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NERVADAS" sheetId="3" state="visible" r:id="rId3"/>
    <sheet xmlns:r="http://schemas.openxmlformats.org/officeDocument/2006/relationships" name="MACIZAS" sheetId="4" state="visible" r:id="rId4"/>
    <sheet xmlns:r="http://schemas.openxmlformats.org/officeDocument/2006/relationships" name="DETALLE" sheetId="5" state="visible" r:id="rId5"/>
    <sheet xmlns:r="http://schemas.openxmlformats.org/officeDocument/2006/relationships" name="CROQUIS" sheetId="6" state="visible" r:id="rId6"/>
    <sheet xmlns:r="http://schemas.openxmlformats.org/officeDocument/2006/relationships" name="TABLAS" sheetId="7" state="visible" r:id="rId7"/>
    <sheet xmlns:r="http://schemas.openxmlformats.org/officeDocument/2006/relationships" name="CROQUIS_DATOS" sheetId="8" state="visible" r:id="rId8"/>
  </sheets>
  <definedNames>
    <definedName name="LST_CASO">TABLAS!$B$72:$B$79</definedName>
    <definedName name="LST_TIPO">TABLAS!$C$72:$C$73</definedName>
    <definedName name="LST_BORDE">TABLAS!$D$72:$D$73</definedName>
    <definedName name="LST_COLADO">TABLAS!$E$72:$E$73</definedName>
    <definedName name="LST_SINO">TABLAS!$F$72:$F$73</definedName>
    <definedName name="LST_AGR">TABLAS!$G$72:$G$73</definedName>
    <definedName name="LST_DEST">DATOS!$B$46:$B$55</definedName>
    <definedName name="LST_MALLA">TABLAS!$B$63:$B$66</definedName>
    <definedName name="LST_TAB">TABLAS!$C$86:$C$165</definedName>
    <definedName name="_xlnm.Print_Area" localSheetId="0">'INSTRUCCIONES'!$B$1:$F$47</definedName>
    <definedName name="_xlnm.Print_Area" localSheetId="1">'DATOS'!$B$1:$F$144</definedName>
    <definedName name="_xlnm.Print_Titles" localSheetId="2">'NERVADAS'!$5:$8</definedName>
    <definedName name="_xlnm.Print_Area" localSheetId="2">'NERVADAS'!$A$1:$DZ$48</definedName>
    <definedName name="_xlnm.Print_Titles" localSheetId="3">'MACIZAS'!$5:$8</definedName>
    <definedName name="_xlnm.Print_Area" localSheetId="3">'MACIZAS'!$A$1:$DJ$48</definedName>
    <definedName name="_xlnm.Print_Area" localSheetId="4">'DETALLE'!$B$1:$F$126</definedName>
    <definedName name="_xlnm.Print_Area" localSheetId="5">'CROQUIS'!$B$1:$F$82</definedName>
    <definedName name="_xlnm.Print_Area" localSheetId="6">'TABLAS'!$B$1:$K$67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0"/>
    <numFmt numFmtId="167" formatCode="0.0000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0000CC"/>
      <sz val="10"/>
    </font>
    <font>
      <name val="Arial"/>
      <color rgb="001A1A1A"/>
      <sz val="10"/>
    </font>
    <font>
      <name val="Arial"/>
      <b val="1"/>
      <color rgb="001F3864"/>
      <sz val="10"/>
    </font>
    <font>
      <name val="Arial"/>
      <b val="1"/>
      <color rgb="00843C0C"/>
      <sz val="9"/>
    </font>
    <font>
      <name val="Arial"/>
      <b val="1"/>
      <color rgb="001F3864"/>
      <sz val="9"/>
    </font>
    <font>
      <name val="Arial"/>
      <color rgb="00595959"/>
      <sz val="9"/>
    </font>
    <font>
      <name val="Arial"/>
      <i val="1"/>
      <color rgb="001F4E79"/>
      <sz val="8"/>
    </font>
    <font>
      <name val="Arial"/>
      <b val="1"/>
      <color rgb="000000CC"/>
      <sz val="9"/>
    </font>
    <font>
      <name val="Arial"/>
      <b val="1"/>
      <color rgb="00FFFFFF"/>
      <sz val="9"/>
    </font>
    <font>
      <name val="Arial"/>
      <i val="1"/>
      <color rgb="00595959"/>
      <sz val="7.5"/>
    </font>
    <font>
      <name val="Arial"/>
      <i val="1"/>
      <color rgb="00595959"/>
      <sz val="8"/>
    </font>
    <font>
      <name val="Arial"/>
      <color rgb="00A6A6A6"/>
      <sz val="7"/>
    </font>
    <font>
      <name val="Arial"/>
      <b val="1"/>
      <color rgb="00FFFFFF"/>
      <sz val="11"/>
    </font>
    <font>
      <name val="Arial"/>
      <color rgb="001A1A1A"/>
      <sz val="8"/>
    </font>
    <font>
      <name val="Arial"/>
      <b val="1"/>
      <color rgb="001F3864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FFF0E0"/>
      </patternFill>
    </fill>
    <fill>
      <patternFill patternType="solid">
        <fgColor rgb="00F2F2F2"/>
      </patternFill>
    </fill>
    <fill>
      <patternFill patternType="solid">
        <fgColor rgb="007F6000"/>
      </patternFill>
    </fill>
    <fill>
      <patternFill patternType="solid">
        <fgColor rgb="00EEF2F9"/>
      </patternFill>
    </fill>
  </fills>
  <borders count="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1F3864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medium">
        <color rgb="001F3864"/>
      </bottom>
      <diagonal/>
    </border>
    <border>
      <left/>
      <right/>
      <top style="thin">
        <color rgb="00A6A6A6"/>
      </top>
      <bottom style="medium">
        <color rgb="001F3864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9" fillId="5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9" fontId="5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0" fillId="7" borderId="1" pivotButton="0" quotePrefix="0" xfId="0"/>
    <xf numFmtId="49" fontId="5" fillId="4" borderId="1" applyAlignment="1" pivotButton="0" quotePrefix="0" xfId="0">
      <alignment horizontal="left" vertical="center"/>
    </xf>
    <xf numFmtId="1" fontId="5" fillId="4" borderId="1" applyAlignment="1" pivotButton="0" quotePrefix="0" xfId="0">
      <alignment horizontal="center" vertical="center"/>
    </xf>
    <xf numFmtId="49" fontId="5" fillId="4" borderId="1" applyAlignment="1" pivotButton="0" quotePrefix="0" xfId="0">
      <alignment horizontal="center" vertical="center"/>
    </xf>
    <xf numFmtId="49" fontId="12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7" fillId="5" borderId="1" applyAlignment="1" pivotButton="0" quotePrefix="0" xfId="0">
      <alignment horizontal="center" vertical="center" wrapText="1"/>
    </xf>
    <xf numFmtId="49" fontId="7" fillId="5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6" fontId="7" fillId="5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14" fillId="7" borderId="0" applyAlignment="1" pivotButton="0" quotePrefix="0" xfId="0">
      <alignment vertical="top" wrapText="1"/>
    </xf>
    <xf numFmtId="0" fontId="13" fillId="8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49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9" fillId="5" borderId="1" applyAlignment="1" pivotButton="0" quotePrefix="0" xfId="0">
      <alignment horizontal="center" vertical="center"/>
    </xf>
    <xf numFmtId="49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2" fontId="9" fillId="5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49" fontId="9" fillId="5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49" fontId="9" fillId="5" borderId="1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left" vertical="center" wrapText="1"/>
    </xf>
    <xf numFmtId="165" fontId="9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0" pivotButton="0" quotePrefix="0" xfId="0"/>
    <xf numFmtId="0" fontId="17" fillId="3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19" fillId="0" borderId="0" pivotButton="0" quotePrefix="0" xfId="0"/>
    <xf numFmtId="0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FFFFFF"/>
      </font>
      <fill>
        <patternFill patternType="solid">
          <bgColor rgb="0000A650"/>
        </patternFill>
      </fill>
    </dxf>
    <dxf>
      <font>
        <b val="1"/>
        <color rgb="007F4F00"/>
      </font>
      <fill>
        <patternFill patternType="solid">
          <b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1F3864"/>
                </a:solidFill>
              </a:defRPr>
            </a:pPr>
            <a:r>
              <a:rPr sz="900" b="1">
                <a:solidFill>
                  <a:srgbClr val="1F3864"/>
                </a:solidFill>
              </a:rPr>
              <a:t>PLANTA DEL TABLERO — CASETONES, NERVADURAS Y ARMADO POR NERVADURA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CROQUIS_DATOS!$A$603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'CROQUIS_DATOS'!$H$8:$H$12</f>
            </numRef>
          </xVal>
          <yVal>
            <numRef>
              <f>'CROQUIS_DATOS'!$I$8:$I$12</f>
            </numRef>
          </yVal>
          <smooth val="0"/>
        </ser>
        <ser>
          <idx val="1"/>
          <order val="1"/>
          <tx>
            <strRef>
              <f>CROQUIS_DATOS!$A$614</f>
            </strRef>
          </tx>
          <spPr>
            <a:ln xmlns:a="http://schemas.openxmlformats.org/drawingml/2006/main" w="19050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'CROQUIS_DATOS'!$AD$8:$AD$12</f>
            </numRef>
          </xVal>
          <yVal>
            <numRef>
              <f>'CROQUIS_DATOS'!$AE$8:$AE$12</f>
            </numRef>
          </yVal>
          <smooth val="0"/>
        </ser>
        <ser>
          <idx val="2"/>
          <order val="2"/>
          <tx>
            <strRef>
              <f>CROQUIS_DATOS!$A$600</f>
            </strRef>
          </tx>
          <spPr>
            <a:ln xmlns:a="http://schemas.openxmlformats.org/drawingml/2006/main" w="2794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'CROQUIS_DATOS'!$B$8:$B$12</f>
            </numRef>
          </xVal>
          <yVal>
            <numRef>
              <f>'CROQUIS_DATOS'!$C$8:$C$12</f>
            </numRef>
          </yVal>
          <smooth val="0"/>
        </ser>
        <ser>
          <idx val="3"/>
          <order val="3"/>
          <tx>
            <strRef>
              <f>CROQUIS_DATOS!$A$601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'CROQUIS_DATOS'!$D$8:$D$12</f>
            </numRef>
          </xVal>
          <yVal>
            <numRef>
              <f>'CROQUIS_DATOS'!$E$8:$E$12</f>
            </numRef>
          </yVal>
          <smooth val="0"/>
        </ser>
        <ser>
          <idx val="4"/>
          <order val="4"/>
          <tx>
            <strRef>
              <f>CROQUIS_DATOS!$A$602</f>
            </strRef>
          </tx>
          <spPr>
            <a:ln xmlns:a="http://schemas.openxmlformats.org/drawingml/2006/main" w="9525">
              <a:solidFill>
                <a:srgbClr val="5959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'CROQUIS_DATOS'!$F$8:$F$48</f>
            </numRef>
          </xVal>
          <yVal>
            <numRef>
              <f>'CROQUIS_DATOS'!$G$8:$G$48</f>
            </numRef>
          </yVal>
          <smooth val="0"/>
        </ser>
        <ser>
          <idx val="5"/>
          <order val="5"/>
          <tx>
            <strRef>
              <f>CROQUIS_DATOS!$A$615</f>
            </strRef>
          </tx>
          <spPr>
            <a:ln xmlns:a="http://schemas.openxmlformats.org/drawingml/2006/main" w="9525">
              <a:solidFill>
                <a:srgbClr val="A6A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'CROQUIS_DATOS'!$AF$8:$AF$107</f>
            </numRef>
          </xVal>
          <yVal>
            <numRef>
              <f>'CROQUIS_DATOS'!$AG$8:$AG$107</f>
            </numRef>
          </yVal>
          <smooth val="0"/>
        </ser>
        <ser>
          <idx val="6"/>
          <order val="6"/>
          <spPr>
            <a:ln xmlns:a="http://schemas.openxmlformats.org/drawingml/2006/main" w="9525">
              <a:solidFill>
                <a:srgbClr val="A6A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'CROQUIS_DATOS'!$AH$8:$AH$107</f>
            </numRef>
          </xVal>
          <yVal>
            <numRef>
              <f>'CROQUIS_DATOS'!$AI$8:$AI$107</f>
            </numRef>
          </yVal>
          <smooth val="0"/>
        </ser>
        <ser>
          <idx val="7"/>
          <order val="7"/>
          <tx>
            <strRef>
              <f>CROQUIS_DATOS!$A$616</f>
            </strRef>
          </tx>
          <spPr>
            <a:ln xmlns:a="http://schemas.openxmlformats.org/drawingml/2006/main" w="6350">
              <a:solidFill>
                <a:srgbClr val="BDD7EE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'CROQUIS_DATOS'!$AJ$8:$AJ$67</f>
            </numRef>
          </xVal>
          <yVal>
            <numRef>
              <f>'CROQUIS_DATOS'!$AK$8:$AK$67</f>
            </numRef>
          </yVal>
          <smooth val="0"/>
        </ser>
        <ser>
          <idx val="8"/>
          <order val="8"/>
          <spPr>
            <a:ln xmlns:a="http://schemas.openxmlformats.org/drawingml/2006/main" w="6350">
              <a:solidFill>
                <a:srgbClr val="BDD7EE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'CROQUIS_DATOS'!$AL$8:$AL$67</f>
            </numRef>
          </xVal>
          <yVal>
            <numRef>
              <f>'CROQUIS_DATOS'!$AM$8:$AM$67</f>
            </numRef>
          </yVal>
          <smooth val="0"/>
        </ser>
        <ser>
          <idx val="9"/>
          <order val="9"/>
          <tx>
            <strRef>
              <f>CROQUIS_DATOS!$A$617</f>
            </strRef>
          </tx>
          <spPr>
            <a:ln xmlns:a="http://schemas.openxmlformats.org/drawingml/2006/main" w="15875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'CROQUIS_DATOS'!$AN$8:$AN$17</f>
            </numRef>
          </xVal>
          <yVal>
            <numRef>
              <f>'CROQUIS_DATOS'!$AO$8:$AO$17</f>
            </numRef>
          </yVal>
          <smooth val="0"/>
        </ser>
        <ser>
          <idx val="10"/>
          <order val="10"/>
          <tx>
            <strRef>
              <f>CROQUIS_DATOS!$A$618</f>
            </strRef>
          </tx>
          <spPr>
            <a:ln xmlns:a="http://schemas.openxmlformats.org/drawingml/2006/main" w="3175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'CROQUIS_DATOS'!$AP$8:$AP$9</f>
            </numRef>
          </xVal>
          <yVal>
            <numRef>
              <f>'CROQUIS_DATOS'!$AQ$8:$AQ$9</f>
            </numRef>
          </yVal>
          <smooth val="0"/>
        </ser>
        <ser>
          <idx val="11"/>
          <order val="11"/>
          <tx>
            <strRef>
              <f>CROQUIS_DATOS!$A$619</f>
            </strRef>
          </tx>
          <spPr>
            <a:ln xmlns:a="http://schemas.openxmlformats.org/drawingml/2006/main" w="22225">
              <a:solidFill>
                <a:srgbClr val="7F4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'CROQUIS_DATOS'!$AR$8:$AR$9</f>
            </numRef>
          </xVal>
          <yVal>
            <numRef>
              <f>'CROQUIS_DATOS'!$AS$8:$AS$9</f>
            </numRef>
          </yVal>
          <smooth val="0"/>
        </ser>
        <ser>
          <idx val="12"/>
          <order val="12"/>
          <tx>
            <strRef>
              <f>CROQUIS_DATOS!$A$620</f>
            </strRef>
          </tx>
          <spPr>
            <a:ln xmlns:a="http://schemas.openxmlformats.org/drawingml/2006/main" w="3175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'CROQUIS_DATOS'!$AT$8:$AT$9</f>
            </numRef>
          </xVal>
          <yVal>
            <numRef>
              <f>'CROQUIS_DATOS'!$AU$8:$AU$9</f>
            </numRef>
          </yVal>
          <smooth val="0"/>
        </ser>
        <ser>
          <idx val="13"/>
          <order val="13"/>
          <spPr>
            <a:ln xmlns:a="http://schemas.openxmlformats.org/drawingml/2006/main" w="3175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'CROQUIS_DATOS'!$AV$8:$AV$9</f>
            </numRef>
          </xVal>
          <yVal>
            <numRef>
              <f>'CROQUIS_DATOS'!$AW$8:$AW$9</f>
            </numRef>
          </yVal>
          <smooth val="0"/>
        </ser>
        <ser>
          <idx val="14"/>
          <order val="14"/>
          <tx>
            <strRef>
              <f>CROQUIS_DATOS!$A$621</f>
            </strRef>
          </tx>
          <spPr>
            <a:ln xmlns:a="http://schemas.openxmlformats.org/drawingml/2006/main" w="254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'CROQUIS_DATOS'!$AX$8:$AX$9</f>
            </numRef>
          </xVal>
          <yVal>
            <numRef>
              <f>'CROQUIS_DATOS'!$AY$8:$AY$9</f>
            </numRef>
          </yVal>
          <smooth val="0"/>
        </ser>
        <ser>
          <idx val="15"/>
          <order val="15"/>
          <tx>
            <strRef>
              <f>CROQUIS_DATOS!$A$622</f>
            </strRef>
          </tx>
          <spPr>
            <a:ln xmlns:a="http://schemas.openxmlformats.org/drawingml/2006/main" w="19050">
              <a:solidFill>
                <a:srgbClr val="37562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'CROQUIS_DATOS'!$AZ$8:$AZ$9</f>
            </numRef>
          </xVal>
          <yVal>
            <numRef>
              <f>'CROQUIS_DATOS'!$BA$8:$BA$9</f>
            </numRef>
          </yVal>
          <smooth val="0"/>
        </ser>
        <ser>
          <idx val="16"/>
          <order val="16"/>
          <tx>
            <strRef>
              <f>CROQUIS_DATOS!$A$623</f>
            </strRef>
          </tx>
          <spPr>
            <a:ln xmlns:a="http://schemas.openxmlformats.org/drawingml/2006/main" w="254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'CROQUIS_DATOS'!$BB$8:$BB$9</f>
            </numRef>
          </xVal>
          <yVal>
            <numRef>
              <f>'CROQUIS_DATOS'!$BC$8:$BC$9</f>
            </numRef>
          </yVal>
          <smooth val="0"/>
        </ser>
        <ser>
          <idx val="17"/>
          <order val="17"/>
          <spPr>
            <a:ln xmlns:a="http://schemas.openxmlformats.org/drawingml/2006/main" w="254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'CROQUIS_DATOS'!$BD$8:$BD$9</f>
            </numRef>
          </xVal>
          <yVal>
            <numRef>
              <f>'CROQUIS_DATOS'!$BE$8:$BE$9</f>
            </numRef>
          </yVal>
          <smooth val="0"/>
        </ser>
        <ser>
          <idx val="18"/>
          <order val="18"/>
          <tx>
            <strRef>
              <f>CROQUIS_DATOS!$A$624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'CROQUIS_DATOS'!$BF$8:$BF$14</f>
            </numRef>
          </xVal>
          <yVal>
            <numRef>
              <f>'CROQUIS_DATOS'!$BG$8:$BG$14</f>
            </numRef>
          </yVal>
          <smooth val="0"/>
        </ser>
        <ser>
          <idx val="19"/>
          <order val="19"/>
          <tx>
            <strRef>
              <f>CROQUIS_DATOS!$A$600</f>
            </strRef>
          </tx>
          <spPr>
            <a:ln xmlns:a="http://schemas.openxmlformats.org/drawingml/2006/main" w="2794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'CROQUIS_DATOS'!$B$8:$B$12</f>
            </numRef>
          </xVal>
          <yVal>
            <numRef>
              <f>'CROQUIS_DATOS'!$C$8:$C$12</f>
            </numRef>
          </yVal>
          <smooth val="0"/>
        </ser>
        <ser>
          <idx val="20"/>
          <order val="20"/>
          <tx>
            <strRef>
              <f>CROQUIS_DATOS!$A$604</f>
            </strRef>
          </tx>
          <spPr>
            <a:ln xmlns:a="http://schemas.openxmlformats.org/drawingml/2006/main" w="4445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'CROQUIS_DATOS'!$J$8:$J$10</f>
            </numRef>
          </xVal>
          <yVal>
            <numRef>
              <f>'CROQUIS_DATOS'!$K$8:$K$10</f>
            </numRef>
          </yVal>
          <smooth val="0"/>
        </ser>
        <ser>
          <idx val="21"/>
          <order val="21"/>
          <tx>
            <strRef>
              <f>CROQUIS_DATOS!$A$605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'CROQUIS_DATOS'!$L$8:$L$14</f>
            </numRef>
          </xVal>
          <yVal>
            <numRef>
              <f>'CROQUIS_DATOS'!$M$8:$M$14</f>
            </numRef>
          </yVal>
          <smooth val="0"/>
        </ser>
        <ser>
          <idx val="22"/>
          <order val="22"/>
          <tx>
            <strRef>
              <f>CROQUIS_DATOS!$A$606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'CROQUIS_DATOS'!$N$8:$N$14</f>
            </numRef>
          </xVal>
          <yVal>
            <numRef>
              <f>'CROQUIS_DATOS'!$O$8:$O$14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4"/>
        <delete val="1"/>
      </legendEntry>
      <legendEntry>
        <idx val="6"/>
        <delete val="1"/>
      </legendEntry>
      <legendEntry>
        <idx val="8"/>
        <delete val="1"/>
      </legendEntry>
      <legendEntry>
        <idx val="13"/>
        <delete val="1"/>
      </legendEntry>
      <legendEntry>
        <idx val="17"/>
        <delete val="1"/>
      </legendEntry>
      <legendEntry>
        <idx val="18"/>
        <delete val="1"/>
      </legendEntry>
      <legendEntry>
        <idx val="19"/>
        <delete val="1"/>
      </legendEntry>
      <legendEntry>
        <idx val="21"/>
        <delete val="1"/>
      </legendEntry>
      <legendEntry>
        <idx val="22"/>
        <delete val="1"/>
      </legendEntry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1F3864"/>
                </a:solidFill>
              </a:defRPr>
            </a:pPr>
            <a:r>
              <a:rPr sz="900" b="1">
                <a:solidFill>
                  <a:srgbClr val="1F3864"/>
                </a:solidFill>
              </a:rPr>
              <a:t>CORTE DE LA NERVADURA ‖ CORTO (cm)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CROQUIS_DATOS!$A$630</f>
            </strRef>
          </tx>
          <spPr>
            <a:ln xmlns:a="http://schemas.openxmlformats.org/drawingml/2006/main" w="2794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'CROQUIS_DATOS'!$BV$8:$BV$16</f>
            </numRef>
          </xVal>
          <yVal>
            <numRef>
              <f>'CROQUIS_DATOS'!$BW$8:$BW$16</f>
            </numRef>
          </yVal>
          <smooth val="0"/>
        </ser>
        <ser>
          <idx val="1"/>
          <order val="1"/>
          <tx>
            <strRef>
              <f>CROQUIS_DATOS!$A$631</f>
            </strRef>
          </tx>
          <spPr>
            <a:ln xmlns:a="http://schemas.openxmlformats.org/drawingml/2006/main" w="12700">
              <a:solidFill>
                <a:srgbClr val="A6A6A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'CROQUIS_DATOS'!$BX$8:$BX$12</f>
            </numRef>
          </xVal>
          <yVal>
            <numRef>
              <f>'CROQUIS_DATOS'!$BY$8:$BY$12</f>
            </numRef>
          </yVal>
          <smooth val="0"/>
        </ser>
        <ser>
          <idx val="2"/>
          <order val="2"/>
          <spPr>
            <a:ln xmlns:a="http://schemas.openxmlformats.org/drawingml/2006/main" w="12700">
              <a:solidFill>
                <a:srgbClr val="A6A6A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'CROQUIS_DATOS'!$BZ$8:$BZ$12</f>
            </numRef>
          </xVal>
          <yVal>
            <numRef>
              <f>'CROQUIS_DATOS'!$CA$8:$CA$12</f>
            </numRef>
          </yVal>
          <smooth val="0"/>
        </ser>
        <ser>
          <idx val="3"/>
          <order val="3"/>
          <tx>
            <strRef>
              <f>CROQUIS_DATOS!$A$632</f>
            </strRef>
          </tx>
          <spPr>
            <a:ln xmlns:a="http://schemas.openxmlformats.org/drawingml/2006/main" w="12700">
              <a:solidFill>
                <a:srgbClr val="00B05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'CROQUIS_DATOS'!$CB$8:$CB$9</f>
            </numRef>
          </xVal>
          <yVal>
            <numRef>
              <f>'CROQUIS_DATOS'!$CC$8:$CC$9</f>
            </numRef>
          </yVal>
          <smooth val="0"/>
        </ser>
        <ser>
          <idx val="4"/>
          <order val="4"/>
          <tx>
            <strRef>
              <f>CROQUIS_DATOS!$A$633</f>
            </strRef>
          </tx>
          <spPr>
            <a:ln xmlns:a="http://schemas.openxmlformats.org/drawingml/2006/main" w="1905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'CROQUIS_DATOS'!$CD$8:$CD$20</f>
            </numRef>
          </xVal>
          <yVal>
            <numRef>
              <f>'CROQUIS_DATOS'!$CE$8:$CE$20</f>
            </numRef>
          </yVal>
          <smooth val="0"/>
        </ser>
        <ser>
          <idx val="5"/>
          <order val="5"/>
          <spPr>
            <a:ln xmlns:a="http://schemas.openxmlformats.org/drawingml/2006/main" w="1905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'CROQUIS_DATOS'!$CF$8:$CF$20</f>
            </numRef>
          </xVal>
          <yVal>
            <numRef>
              <f>'CROQUIS_DATOS'!$CG$8:$CG$20</f>
            </numRef>
          </yVal>
          <smooth val="0"/>
        </ser>
        <ser>
          <idx val="6"/>
          <order val="6"/>
          <spPr>
            <a:ln xmlns:a="http://schemas.openxmlformats.org/drawingml/2006/main" w="1905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'CROQUIS_DATOS'!$CH$8:$CH$20</f>
            </numRef>
          </xVal>
          <yVal>
            <numRef>
              <f>'CROQUIS_DATOS'!$CI$8:$CI$20</f>
            </numRef>
          </yVal>
          <smooth val="0"/>
        </ser>
        <ser>
          <idx val="7"/>
          <order val="7"/>
          <tx>
            <strRef>
              <f>CROQUIS_DATOS!$A$634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'CROQUIS_DATOS'!$CJ$8:$CJ$20</f>
            </numRef>
          </xVal>
          <yVal>
            <numRef>
              <f>'CROQUIS_DATOS'!$CK$8:$CK$20</f>
            </numRef>
          </yVal>
          <smooth val="0"/>
        </ser>
        <ser>
          <idx val="8"/>
          <order val="8"/>
          <spPr>
            <a:ln xmlns:a="http://schemas.openxmlformats.org/drawingml/2006/main" w="1905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'CROQUIS_DATOS'!$CL$8:$CL$20</f>
            </numRef>
          </xVal>
          <yVal>
            <numRef>
              <f>'CROQUIS_DATOS'!$CM$8:$CM$20</f>
            </numRef>
          </yVal>
          <smooth val="0"/>
        </ser>
        <ser>
          <idx val="9"/>
          <order val="9"/>
          <spPr>
            <a:ln xmlns:a="http://schemas.openxmlformats.org/drawingml/2006/main" w="1905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'CROQUIS_DATOS'!$CN$8:$CN$20</f>
            </numRef>
          </xVal>
          <yVal>
            <numRef>
              <f>'CROQUIS_DATOS'!$CO$8:$CO$20</f>
            </numRef>
          </yVal>
          <smooth val="0"/>
        </ser>
        <ser>
          <idx val="10"/>
          <order val="10"/>
          <tx>
            <strRef>
              <f>CROQUIS_DATOS!$A$635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'CROQUIS_DATOS'!$CP$8:$CP$14</f>
            </numRef>
          </xVal>
          <yVal>
            <numRef>
              <f>'CROQUIS_DATOS'!$CQ$8:$CQ$14</f>
            </numRef>
          </yVal>
          <smooth val="0"/>
        </ser>
        <ser>
          <idx val="11"/>
          <order val="11"/>
          <tx>
            <strRef>
              <f>CROQUIS_DATOS!$A$636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'CROQUIS_DATOS'!$CR$8:$CR$14</f>
            </numRef>
          </xVal>
          <yVal>
            <numRef>
              <f>'CROQUIS_DATOS'!$CS$8:$CS$14</f>
            </numRef>
          </yVal>
          <smooth val="0"/>
        </ser>
        <ser>
          <idx val="12"/>
          <order val="12"/>
          <tx>
            <strRef>
              <f>CROQUIS_DATOS!$A$637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'CROQUIS_DATOS'!$CT$8:$CT$14</f>
            </numRef>
          </xVal>
          <yVal>
            <numRef>
              <f>'CROQUIS_DATOS'!$CU$8:$CU$14</f>
            </numRef>
          </yVal>
          <smooth val="0"/>
        </ser>
        <ser>
          <idx val="13"/>
          <order val="13"/>
          <tx>
            <strRef>
              <f>CROQUIS_DATOS!$A$638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'CROQUIS_DATOS'!$CV$8:$CV$14</f>
            </numRef>
          </xVal>
          <yVal>
            <numRef>
              <f>'CROQUIS_DATOS'!$CW$8:$CW$14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48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2"/>
        <delete val="1"/>
      </legendEntry>
      <legendEntry>
        <idx val="5"/>
        <delete val="1"/>
      </legendEntry>
      <legendEntry>
        <idx val="6"/>
        <delete val="1"/>
      </legendEntry>
      <legendEntry>
        <idx val="8"/>
        <delete val="1"/>
      </legendEntry>
      <legendEntry>
        <idx val="9"/>
        <delete val="1"/>
      </legendEntry>
      <legendEntry>
        <idx val="10"/>
        <delete val="1"/>
      </legendEntry>
      <legendEntry>
        <idx val="11"/>
        <delete val="1"/>
      </legendEntry>
      <legendEntry>
        <idx val="12"/>
        <delete val="1"/>
      </legendEntry>
      <legendEntry>
        <idx val="13"/>
        <delete val="1"/>
      </legendEntry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1F3864"/>
                </a:solidFill>
              </a:defRPr>
            </a:pPr>
            <a:r>
              <a:rPr sz="900" b="1">
                <a:solidFill>
                  <a:srgbClr val="1F3864"/>
                </a:solidFill>
              </a:rPr>
              <a:t>ALZADO ‖ CLARO CORTO DE LA NERVADURA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CROQUIS_DATOS!$A$648</f>
            </strRef>
          </tx>
          <spPr>
            <a:ln xmlns:a="http://schemas.openxmlformats.org/drawingml/2006/main" w="254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'CROQUIS_DATOS'!$DP$8:$DP$12</f>
            </numRef>
          </xVal>
          <yVal>
            <numRef>
              <f>'CROQUIS_DATOS'!$DQ$8:$DQ$12</f>
            </numRef>
          </yVal>
          <smooth val="0"/>
        </ser>
        <ser>
          <idx val="1"/>
          <order val="1"/>
          <tx>
            <strRef>
              <f>CROQUIS_DATOS!$A$649</f>
            </strRef>
          </tx>
          <spPr>
            <a:ln xmlns:a="http://schemas.openxmlformats.org/drawingml/2006/main" w="2540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'CROQUIS_DATOS'!$DR$8:$DR$17</f>
            </numRef>
          </xVal>
          <yVal>
            <numRef>
              <f>'CROQUIS_DATOS'!$DS$8:$DS$17</f>
            </numRef>
          </yVal>
          <smooth val="0"/>
        </ser>
        <ser>
          <idx val="2"/>
          <order val="2"/>
          <tx>
            <strRef>
              <f>CROQUIS_DATOS!$A$653</f>
            </strRef>
          </tx>
          <spPr>
            <a:ln xmlns:a="http://schemas.openxmlformats.org/drawingml/2006/main" w="9525">
              <a:solidFill>
                <a:srgbClr val="A6A6A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'CROQUIS_DATOS'!$EB$8:$EB$12</f>
            </numRef>
          </xVal>
          <yVal>
            <numRef>
              <f>'CROQUIS_DATOS'!$EC$8:$EC$12</f>
            </numRef>
          </yVal>
          <smooth val="0"/>
        </ser>
        <ser>
          <idx val="3"/>
          <order val="3"/>
          <tx>
            <strRef>
              <f>CROQUIS_DATOS!$A$654</f>
            </strRef>
          </tx>
          <spPr>
            <a:ln xmlns:a="http://schemas.openxmlformats.org/drawingml/2006/main" w="15875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'CROQUIS_DATOS'!$ED$8:$ED$11</f>
            </numRef>
          </xVal>
          <yVal>
            <numRef>
              <f>'CROQUIS_DATOS'!$EE$8:$EE$11</f>
            </numRef>
          </yVal>
          <smooth val="0"/>
        </ser>
        <ser>
          <idx val="4"/>
          <order val="4"/>
          <tx>
            <strRef>
              <f>CROQUIS_DATOS!$A$650</f>
            </strRef>
          </tx>
          <spPr>
            <a:ln xmlns:a="http://schemas.openxmlformats.org/drawingml/2006/main" w="28575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'CROQUIS_DATOS'!$DT$8:$DT$11</f>
            </numRef>
          </xVal>
          <yVal>
            <numRef>
              <f>'CROQUIS_DATOS'!$DU$8:$DU$11</f>
            </numRef>
          </yVal>
          <smooth val="0"/>
        </ser>
        <ser>
          <idx val="5"/>
          <order val="5"/>
          <tx>
            <strRef>
              <f>CROQUIS_DATOS!$A$651</f>
            </strRef>
          </tx>
          <spPr>
            <a:ln xmlns:a="http://schemas.openxmlformats.org/drawingml/2006/main" w="22225">
              <a:solidFill>
                <a:srgbClr val="7F4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'CROQUIS_DATOS'!$DV$8:$DV$11</f>
            </numRef>
          </xVal>
          <yVal>
            <numRef>
              <f>'CROQUIS_DATOS'!$DW$8:$DW$11</f>
            </numRef>
          </yVal>
          <smooth val="0"/>
        </ser>
        <ser>
          <idx val="6"/>
          <order val="6"/>
          <tx>
            <strRef>
              <f>CROQUIS_DATOS!$A$652</f>
            </strRef>
          </tx>
          <spPr>
            <a:ln xmlns:a="http://schemas.openxmlformats.org/drawingml/2006/main" w="285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'CROQUIS_DATOS'!$DX$8:$DX$10</f>
            </numRef>
          </xVal>
          <yVal>
            <numRef>
              <f>'CROQUIS_DATOS'!$DY$8:$DY$10</f>
            </numRef>
          </yVal>
          <smooth val="0"/>
        </ser>
        <ser>
          <idx val="7"/>
          <order val="7"/>
          <spPr>
            <a:ln xmlns:a="http://schemas.openxmlformats.org/drawingml/2006/main" w="285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'CROQUIS_DATOS'!$DZ$8:$DZ$10</f>
            </numRef>
          </xVal>
          <yVal>
            <numRef>
              <f>'CROQUIS_DATOS'!$EA$8:$EA$10</f>
            </numRef>
          </yVal>
          <smooth val="0"/>
        </ser>
        <ser>
          <idx val="8"/>
          <order val="8"/>
          <tx>
            <strRef>
              <f>CROQUIS_DATOS!$A$655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'CROQUIS_DATOS'!$EF$8:$EF$14</f>
            </numRef>
          </xVal>
          <yVal>
            <numRef>
              <f>'CROQUIS_DATOS'!$EG$8:$EG$14</f>
            </numRef>
          </yVal>
          <smooth val="0"/>
        </ser>
        <ser>
          <idx val="9"/>
          <order val="9"/>
          <tx>
            <strRef>
              <f>CROQUIS_DATOS!$A$656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'CROQUIS_DATOS'!$EH$8:$EH$14</f>
            </numRef>
          </xVal>
          <yVal>
            <numRef>
              <f>'CROQUIS_DATOS'!$EI$8:$EI$14</f>
            </numRef>
          </yVal>
          <smooth val="0"/>
        </ser>
        <ser>
          <idx val="10"/>
          <order val="10"/>
          <tx>
            <strRef>
              <f>CROQUIS_DATOS!$A$657</f>
            </strRef>
          </tx>
          <spPr>
            <a:ln xmlns:a="http://schemas.openxmlformats.org/drawingml/2006/main" w="254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'CROQUIS_DATOS'!$EJ$8:$EJ$12</f>
            </numRef>
          </xVal>
          <yVal>
            <numRef>
              <f>'CROQUIS_DATOS'!$EK$8:$EK$12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64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7"/>
        <delete val="1"/>
      </legendEntry>
      <legendEntry>
        <idx val="8"/>
        <delete val="1"/>
      </legendEntry>
      <legendEntry>
        <idx val="9"/>
        <delete val="1"/>
      </legendEntry>
      <legendEntry>
        <idx val="10"/>
        <delete val="1"/>
      </legendEntry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1F3864"/>
                </a:solidFill>
              </a:defRPr>
            </a:pPr>
            <a:r>
              <a:rPr sz="900" b="1">
                <a:solidFill>
                  <a:srgbClr val="1F3864"/>
                </a:solidFill>
              </a:rPr>
              <a:t>PLANTA DEL TABLERO — ARMADO POR METRO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CROQUIS_DATOS!$A$610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'CROQUIS_DATOS'!$V$8:$V$12</f>
            </numRef>
          </xVal>
          <yVal>
            <numRef>
              <f>'CROQUIS_DATOS'!$W$8:$W$12</f>
            </numRef>
          </yVal>
          <smooth val="0"/>
        </ser>
        <ser>
          <idx val="1"/>
          <order val="1"/>
          <tx>
            <strRef>
              <f>CROQUIS_DATOS!$A$607</f>
            </strRef>
          </tx>
          <spPr>
            <a:ln xmlns:a="http://schemas.openxmlformats.org/drawingml/2006/main" w="2794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'CROQUIS_DATOS'!$P$8:$P$12</f>
            </numRef>
          </xVal>
          <yVal>
            <numRef>
              <f>'CROQUIS_DATOS'!$Q$8:$Q$12</f>
            </numRef>
          </yVal>
          <smooth val="0"/>
        </ser>
        <ser>
          <idx val="2"/>
          <order val="2"/>
          <tx>
            <strRef>
              <f>CROQUIS_DATOS!$A$608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'CROQUIS_DATOS'!$R$8:$R$12</f>
            </numRef>
          </xVal>
          <yVal>
            <numRef>
              <f>'CROQUIS_DATOS'!$S$8:$S$12</f>
            </numRef>
          </yVal>
          <smooth val="0"/>
        </ser>
        <ser>
          <idx val="3"/>
          <order val="3"/>
          <tx>
            <strRef>
              <f>CROQUIS_DATOS!$A$609</f>
            </strRef>
          </tx>
          <spPr>
            <a:ln xmlns:a="http://schemas.openxmlformats.org/drawingml/2006/main" w="9525">
              <a:solidFill>
                <a:srgbClr val="5959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'CROQUIS_DATOS'!$T$8:$T$48</f>
            </numRef>
          </xVal>
          <yVal>
            <numRef>
              <f>'CROQUIS_DATOS'!$U$8:$U$48</f>
            </numRef>
          </yVal>
          <smooth val="0"/>
        </ser>
        <ser>
          <idx val="4"/>
          <order val="4"/>
          <tx>
            <strRef>
              <f>CROQUIS_DATOS!$A$625</f>
            </strRef>
          </tx>
          <spPr>
            <a:ln xmlns:a="http://schemas.openxmlformats.org/drawingml/2006/main" w="9525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'CROQUIS_DATOS'!$BH$8:$BH$407</f>
            </numRef>
          </xVal>
          <yVal>
            <numRef>
              <f>'CROQUIS_DATOS'!$BI$8:$BI$407</f>
            </numRef>
          </yVal>
          <smooth val="0"/>
        </ser>
        <ser>
          <idx val="5"/>
          <order val="5"/>
          <tx>
            <strRef>
              <f>CROQUIS_DATOS!$A$626</f>
            </strRef>
          </tx>
          <spPr>
            <a:ln xmlns:a="http://schemas.openxmlformats.org/drawingml/2006/main" w="9525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'CROQUIS_DATOS'!$BJ$8:$BJ$407</f>
            </numRef>
          </xVal>
          <yVal>
            <numRef>
              <f>'CROQUIS_DATOS'!$BK$8:$BK$407</f>
            </numRef>
          </yVal>
          <smooth val="0"/>
        </ser>
        <ser>
          <idx val="6"/>
          <order val="6"/>
          <tx>
            <strRef>
              <f>CROQUIS_DATOS!$A$627</f>
            </strRef>
          </tx>
          <spPr>
            <a:ln xmlns:a="http://schemas.openxmlformats.org/drawingml/2006/main" w="158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'CROQUIS_DATOS'!$BL$8:$BL$407</f>
            </numRef>
          </xVal>
          <yVal>
            <numRef>
              <f>'CROQUIS_DATOS'!$BM$8:$BM$407</f>
            </numRef>
          </yVal>
          <smooth val="0"/>
        </ser>
        <ser>
          <idx val="7"/>
          <order val="7"/>
          <spPr>
            <a:ln xmlns:a="http://schemas.openxmlformats.org/drawingml/2006/main" w="158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'CROQUIS_DATOS'!$BN$8:$BN$407</f>
            </numRef>
          </xVal>
          <yVal>
            <numRef>
              <f>'CROQUIS_DATOS'!$BO$8:$BO$407</f>
            </numRef>
          </yVal>
          <smooth val="0"/>
        </ser>
        <ser>
          <idx val="8"/>
          <order val="8"/>
          <tx>
            <strRef>
              <f>CROQUIS_DATOS!$A$628</f>
            </strRef>
          </tx>
          <spPr>
            <a:ln xmlns:a="http://schemas.openxmlformats.org/drawingml/2006/main" w="15875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'CROQUIS_DATOS'!$BP$8:$BP$407</f>
            </numRef>
          </xVal>
          <yVal>
            <numRef>
              <f>'CROQUIS_DATOS'!$BQ$8:$BQ$407</f>
            </numRef>
          </yVal>
          <smooth val="0"/>
        </ser>
        <ser>
          <idx val="9"/>
          <order val="9"/>
          <spPr>
            <a:ln xmlns:a="http://schemas.openxmlformats.org/drawingml/2006/main" w="15875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'CROQUIS_DATOS'!$BR$8:$BR$407</f>
            </numRef>
          </xVal>
          <yVal>
            <numRef>
              <f>'CROQUIS_DATOS'!$BS$8:$BS$407</f>
            </numRef>
          </yVal>
          <smooth val="0"/>
        </ser>
        <ser>
          <idx val="10"/>
          <order val="10"/>
          <tx>
            <strRef>
              <f>CROQUIS_DATOS!$A$629</f>
            </strRef>
          </tx>
          <spPr>
            <a:ln xmlns:a="http://schemas.openxmlformats.org/drawingml/2006/main" w="158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'CROQUIS_DATOS'!$BT$8:$BT$407</f>
            </numRef>
          </xVal>
          <yVal>
            <numRef>
              <f>'CROQUIS_DATOS'!$BU$8:$BU$407</f>
            </numRef>
          </yVal>
          <smooth val="0"/>
        </ser>
        <ser>
          <idx val="11"/>
          <order val="11"/>
          <tx>
            <strRef>
              <f>CROQUIS_DATOS!$A$607</f>
            </strRef>
          </tx>
          <spPr>
            <a:ln xmlns:a="http://schemas.openxmlformats.org/drawingml/2006/main" w="2794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'CROQUIS_DATOS'!$P$8:$P$12</f>
            </numRef>
          </xVal>
          <yVal>
            <numRef>
              <f>'CROQUIS_DATOS'!$Q$8:$Q$12</f>
            </numRef>
          </yVal>
          <smooth val="0"/>
        </ser>
        <ser>
          <idx val="12"/>
          <order val="12"/>
          <tx>
            <strRef>
              <f>CROQUIS_DATOS!$A$611</f>
            </strRef>
          </tx>
          <spPr>
            <a:ln xmlns:a="http://schemas.openxmlformats.org/drawingml/2006/main" w="4445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'CROQUIS_DATOS'!$X$8:$X$10</f>
            </numRef>
          </xVal>
          <yVal>
            <numRef>
              <f>'CROQUIS_DATOS'!$Y$8:$Y$10</f>
            </numRef>
          </yVal>
          <smooth val="0"/>
        </ser>
        <ser>
          <idx val="13"/>
          <order val="13"/>
          <tx>
            <strRef>
              <f>CROQUIS_DATOS!$A$612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'CROQUIS_DATOS'!$Z$8:$Z$14</f>
            </numRef>
          </xVal>
          <yVal>
            <numRef>
              <f>'CROQUIS_DATOS'!$AA$8:$AA$14</f>
            </numRef>
          </yVal>
          <smooth val="0"/>
        </ser>
        <ser>
          <idx val="14"/>
          <order val="14"/>
          <tx>
            <strRef>
              <f>CROQUIS_DATOS!$A$613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'CROQUIS_DATOS'!$AB$8:$AB$14</f>
            </numRef>
          </xVal>
          <yVal>
            <numRef>
              <f>'CROQUIS_DATOS'!$AC$8:$AC$14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3"/>
        <delete val="1"/>
      </legendEntry>
      <legendEntry>
        <idx val="7"/>
        <delete val="1"/>
      </legendEntry>
      <legendEntry>
        <idx val="9"/>
        <delete val="1"/>
      </legendEntry>
      <legendEntry>
        <idx val="11"/>
        <delete val="1"/>
      </legendEntry>
      <legendEntry>
        <idx val="13"/>
        <delete val="1"/>
      </legendEntry>
      <legendEntry>
        <idx val="14"/>
        <delete val="1"/>
      </legendEntry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1F3864"/>
                </a:solidFill>
              </a:defRPr>
            </a:pPr>
            <a:r>
              <a:rPr sz="900" b="1">
                <a:solidFill>
                  <a:srgbClr val="1F3864"/>
                </a:solidFill>
              </a:rPr>
              <a:t>CORTE DE LA LOSA JUNTO AL APOYO (cm)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CROQUIS_DATOS!$A$639</f>
            </strRef>
          </tx>
          <spPr>
            <a:ln xmlns:a="http://schemas.openxmlformats.org/drawingml/2006/main" w="2794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'CROQUIS_DATOS'!$CX$8:$CX$12</f>
            </numRef>
          </xVal>
          <yVal>
            <numRef>
              <f>'CROQUIS_DATOS'!$CY$8:$CY$12</f>
            </numRef>
          </yVal>
          <smooth val="0"/>
        </ser>
        <ser>
          <idx val="1"/>
          <order val="1"/>
          <tx>
            <strRef>
              <f>CROQUIS_DATOS!$A$640</f>
            </strRef>
          </tx>
          <spPr>
            <a:ln xmlns:a="http://schemas.openxmlformats.org/drawingml/2006/main" w="254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'CROQUIS_DATOS'!$CZ$8:$CZ$9</f>
            </numRef>
          </xVal>
          <yVal>
            <numRef>
              <f>'CROQUIS_DATOS'!$DA$8:$DA$9</f>
            </numRef>
          </yVal>
          <smooth val="0"/>
        </ser>
        <ser>
          <idx val="2"/>
          <order val="2"/>
          <tx>
            <strRef>
              <f>CROQUIS_DATOS!$A$643</f>
            </strRef>
          </tx>
          <spPr>
            <a:ln xmlns:a="http://schemas.openxmlformats.org/drawingml/2006/main" w="254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'CROQUIS_DATOS'!$DF$8:$DF$9</f>
            </numRef>
          </xVal>
          <yVal>
            <numRef>
              <f>'CROQUIS_DATOS'!$DG$8:$DG$9</f>
            </numRef>
          </yVal>
          <smooth val="0"/>
        </ser>
        <ser>
          <idx val="3"/>
          <order val="3"/>
          <tx>
            <strRef>
              <f>CROQUIS_DATOS!$A$641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solidFill>
                  <a:srgbClr val="00B050"/>
                </a:solidFill>
                <a:prstDash val="solid"/>
              </a:ln>
            </spPr>
          </marker>
          <xVal>
            <numRef>
              <f>'CROQUIS_DATOS'!$DB$8:$DB$19</f>
            </numRef>
          </xVal>
          <yVal>
            <numRef>
              <f>'CROQUIS_DATOS'!$DC$8:$DC$19</f>
            </numRef>
          </yVal>
          <smooth val="0"/>
        </ser>
        <ser>
          <idx val="4"/>
          <order val="4"/>
          <tx>
            <strRef>
              <f>CROQUIS_DATOS!$A$642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xVal>
            <numRef>
              <f>'CROQUIS_DATOS'!$DD$8:$DD$19</f>
            </numRef>
          </xVal>
          <yVal>
            <numRef>
              <f>'CROQUIS_DATOS'!$DE$8:$DE$19</f>
            </numRef>
          </yVal>
          <smooth val="0"/>
        </ser>
        <ser>
          <idx val="5"/>
          <order val="5"/>
          <tx>
            <strRef>
              <f>CROQUIS_DATOS!$A$644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'CROQUIS_DATOS'!$DH$8:$DH$14</f>
            </numRef>
          </xVal>
          <yVal>
            <numRef>
              <f>'CROQUIS_DATOS'!$DI$8:$DI$14</f>
            </numRef>
          </yVal>
          <smooth val="0"/>
        </ser>
        <ser>
          <idx val="6"/>
          <order val="6"/>
          <tx>
            <strRef>
              <f>CROQUIS_DATOS!$A$645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'CROQUIS_DATOS'!$DJ$8:$DJ$14</f>
            </numRef>
          </xVal>
          <yVal>
            <numRef>
              <f>'CROQUIS_DATOS'!$DK$8:$DK$14</f>
            </numRef>
          </yVal>
          <smooth val="0"/>
        </ser>
        <ser>
          <idx val="7"/>
          <order val="7"/>
          <tx>
            <strRef>
              <f>CROQUIS_DATOS!$A$646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'CROQUIS_DATOS'!$DL$8:$DL$14</f>
            </numRef>
          </xVal>
          <yVal>
            <numRef>
              <f>'CROQUIS_DATOS'!$DM$8:$DM$14</f>
            </numRef>
          </yVal>
          <smooth val="0"/>
        </ser>
        <ser>
          <idx val="8"/>
          <order val="8"/>
          <tx>
            <strRef>
              <f>CROQUIS_DATOS!$A$647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'CROQUIS_DATOS'!$DN$8:$DN$14</f>
            </numRef>
          </xVal>
          <yVal>
            <numRef>
              <f>'CROQUIS_DATOS'!$DO$8:$DO$14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48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1F3864"/>
                </a:solidFill>
              </a:defRPr>
            </a:pPr>
            <a:r>
              <a:rPr sz="900" b="1">
                <a:solidFill>
                  <a:srgbClr val="1F3864"/>
                </a:solidFill>
              </a:rPr>
              <a:t>ALZADO ‖ CLARO CORTO (FRANJA DE 1 m)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CROQUIS_DATOS!$A$658</f>
            </strRef>
          </tx>
          <spPr>
            <a:ln xmlns:a="http://schemas.openxmlformats.org/drawingml/2006/main" w="254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'CROQUIS_DATOS'!$EL$8:$EL$12</f>
            </numRef>
          </xVal>
          <yVal>
            <numRef>
              <f>'CROQUIS_DATOS'!$EM$8:$EM$12</f>
            </numRef>
          </yVal>
          <smooth val="0"/>
        </ser>
        <ser>
          <idx val="1"/>
          <order val="1"/>
          <tx>
            <strRef>
              <f>CROQUIS_DATOS!$A$659</f>
            </strRef>
          </tx>
          <spPr>
            <a:ln xmlns:a="http://schemas.openxmlformats.org/drawingml/2006/main" w="2540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'CROQUIS_DATOS'!$EN$8:$EN$17</f>
            </numRef>
          </xVal>
          <yVal>
            <numRef>
              <f>'CROQUIS_DATOS'!$EO$8:$EO$17</f>
            </numRef>
          </yVal>
          <smooth val="0"/>
        </ser>
        <ser>
          <idx val="2"/>
          <order val="2"/>
          <tx>
            <strRef>
              <f>CROQUIS_DATOS!$A$660</f>
            </strRef>
          </tx>
          <spPr>
            <a:ln xmlns:a="http://schemas.openxmlformats.org/drawingml/2006/main" w="28575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'CROQUIS_DATOS'!$EP$8:$EP$11</f>
            </numRef>
          </xVal>
          <yVal>
            <numRef>
              <f>'CROQUIS_DATOS'!$EQ$8:$EQ$11</f>
            </numRef>
          </yVal>
          <smooth val="0"/>
        </ser>
        <ser>
          <idx val="3"/>
          <order val="3"/>
          <tx>
            <strRef>
              <f>CROQUIS_DATOS!$A$661</f>
            </strRef>
          </tx>
          <spPr>
            <a:ln xmlns:a="http://schemas.openxmlformats.org/drawingml/2006/main" w="222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'CROQUIS_DATOS'!$ER$8:$ER$11</f>
            </numRef>
          </xVal>
          <yVal>
            <numRef>
              <f>'CROQUIS_DATOS'!$ES$8:$ES$11</f>
            </numRef>
          </yVal>
          <smooth val="0"/>
        </ser>
        <ser>
          <idx val="4"/>
          <order val="4"/>
          <tx>
            <strRef>
              <f>CROQUIS_DATOS!$A$662</f>
            </strRef>
          </tx>
          <spPr>
            <a:ln xmlns:a="http://schemas.openxmlformats.org/drawingml/2006/main" w="285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'CROQUIS_DATOS'!$ET$8:$ET$10</f>
            </numRef>
          </xVal>
          <yVal>
            <numRef>
              <f>'CROQUIS_DATOS'!$EU$8:$EU$10</f>
            </numRef>
          </yVal>
          <smooth val="0"/>
        </ser>
        <ser>
          <idx val="5"/>
          <order val="5"/>
          <spPr>
            <a:ln xmlns:a="http://schemas.openxmlformats.org/drawingml/2006/main" w="285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'CROQUIS_DATOS'!$EV$8:$EV$10</f>
            </numRef>
          </xVal>
          <yVal>
            <numRef>
              <f>'CROQUIS_DATOS'!$EW$8:$EW$10</f>
            </numRef>
          </yVal>
          <smooth val="0"/>
        </ser>
        <ser>
          <idx val="6"/>
          <order val="6"/>
          <tx>
            <strRef>
              <f>CROQUIS_DATOS!$A$663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'CROQUIS_DATOS'!$EX$8:$EX$14</f>
            </numRef>
          </xVal>
          <yVal>
            <numRef>
              <f>'CROQUIS_DATOS'!$EY$8:$EY$14</f>
            </numRef>
          </yVal>
          <smooth val="0"/>
        </ser>
        <ser>
          <idx val="7"/>
          <order val="7"/>
          <tx>
            <strRef>
              <f>CROQUIS_DATOS!$A$664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'CROQUIS_DATOS'!$EZ$8:$EZ$14</f>
            </numRef>
          </xVal>
          <yVal>
            <numRef>
              <f>'CROQUIS_DATOS'!$FA$8:$FA$14</f>
            </numRef>
          </yVal>
          <smooth val="0"/>
        </ser>
        <ser>
          <idx val="8"/>
          <order val="8"/>
          <tx>
            <strRef>
              <f>CROQUIS_DATOS!$A$665</f>
            </strRef>
          </tx>
          <spPr>
            <a:ln xmlns:a="http://schemas.openxmlformats.org/drawingml/2006/main" w="254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'CROQUIS_DATOS'!$FB$8:$FB$12</f>
            </numRef>
          </xVal>
          <yVal>
            <numRef>
              <f>'CROQUIS_DATOS'!$FC$8:$FC$12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64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txPr>
        <a:bodyPr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5472000" cy="70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636524</colOff>
      <row>5</row>
      <rowOff>0</rowOff>
    </from>
    <ext cx="4968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636524</colOff>
      <row>5</row>
      <rowOff>3528000</rowOff>
    </from>
    <ext cx="4968000" cy="352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44</row>
      <rowOff>0</rowOff>
    </from>
    <ext cx="5472000" cy="705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636524</colOff>
      <row>44</row>
      <rowOff>0</rowOff>
    </from>
    <ext cx="4968000" cy="345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4</col>
      <colOff>636524</colOff>
      <row>44</row>
      <rowOff>3528000</rowOff>
    </from>
    <ext cx="4968000" cy="352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46"/>
  <sheetViews>
    <sheetView showGridLines="0" zoomScale="100" workbookViewId="0">
      <selection activeCell="A1" sqref="A1"/>
    </sheetView>
  </sheetViews>
  <sheetFormatPr baseColWidth="8" defaultRowHeight="15"/>
  <cols>
    <col width="1.78" customWidth="1" min="1" max="1"/>
    <col width="30" customWidth="1" min="2" max="2"/>
    <col width="16" customWidth="1" min="3" max="3"/>
    <col width="9" customWidth="1" min="4" max="4"/>
    <col width="54" customWidth="1" min="5" max="5"/>
    <col width="40" customWidth="1" min="6" max="6"/>
  </cols>
  <sheetData>
    <row r="1" ht="26" customHeight="1">
      <c r="B1" s="1" t="inlineStr">
        <is>
          <t>LOSAS NERVADAS Y MACIZAS — NTC 2023 (CDMX) · HOJA GENERAL</t>
        </is>
      </c>
    </row>
    <row r="2" ht="30" customHeight="1">
      <c r="B2" s="2" t="inlineStr">
        <is>
          <t>Diseño por flexión y cortante de tableros de losa con el método de coeficientes de la NTC-Concreto 2023 (Tabla 3.4.2.1), para cualquier proyecto. Sale de la hoja auditada de Casa Rocha: mismas ecuaciones, mismas citas («NTC-Concreto 2023 (CDMX) 6.7.8.1.4, p. 187»).</t>
        </is>
      </c>
    </row>
    <row r="3" ht="6" customHeight="1"/>
    <row r="4" ht="21" customHeight="1">
      <c r="B4" s="3" t="inlineStr">
        <is>
          <t>1. QUÉ HACE</t>
        </is>
      </c>
    </row>
    <row r="5" ht="41" customHeight="1">
      <c r="B5" s="4" t="inlineStr">
        <is>
          <t>• NERVADAS: hasta 40 tableros de losa nervada (encasetonada). Por tablero: caso de la tabla, coeficientes interpolados en m = a1/a2, momentos por nervadura en las dos direcciones, As, número y cantidad de varillas (sube de número si no cabe), M_R, ε_t ≥ 0.005, cortante con V_cR (×1.1 sólo si cumple 6.7.8.1.4), hileras de casetones a macizar, espesor mínimo contra h_eq, bastones y estado.</t>
        </is>
      </c>
    </row>
    <row r="6" ht="28" customHeight="1">
      <c r="B6" s="4" t="inlineStr">
        <is>
          <t>• MACIZAS: hasta 40 tableros de losa maciza, por franja de 1 m: los mismos pasos, con As mínima 0.0018·b·h, varilla y separación («No. 3 @ 20 cm»), cortante de losa y h mínimo.</t>
        </is>
      </c>
    </row>
    <row r="7" ht="41" customHeight="1">
      <c r="B7" s="4" t="inlineStr">
        <is>
          <t>• VOLADOS (en las dos hojas): momento y cortante en el paño del apoyo con la carga lineal en la orilla y el peso de los macizos (nervadas), y acero superior que entra al tablero de respaldo. En nervadas, si el volado lleva nervaduras más anchas, cuántas hileras del respaldo siguen con ellas (decisión D10 de Casa Rocha).</t>
        </is>
      </c>
    </row>
    <row r="8" ht="15" customHeight="1">
      <c r="B8" s="4" t="inlineStr">
        <is>
          <t>• DETALLE: memoria paso a paso del tablero que escojas (fórmula y referencia de cada paso), lista para imprimir.</t>
        </is>
      </c>
    </row>
    <row r="9" ht="15" customHeight="1">
      <c r="B9" s="4" t="inlineStr">
        <is>
          <t>• CROQUIS: planta, corte y alzado del tablero escogido, a escala, que se redibujan solos al cambiar de tablero.</t>
        </is>
      </c>
    </row>
    <row r="10" ht="6" customHeight="1"/>
    <row r="11" ht="21" customHeight="1">
      <c r="B11" s="3" t="inlineStr">
        <is>
          <t>2. ALCANCE Y LÍMITES — LÉELO</t>
        </is>
      </c>
    </row>
    <row r="12" ht="28" customHeight="1">
      <c r="B12" s="4" t="inlineStr">
        <is>
          <t>• Método de coeficientes (NTC-Concreto 2023, 3.4.2 y Tabla 3.4.2.1) para tableros rectangulares APOYADOS EN SU PERÍMETRO sobre muros o trabes. Sólo está transcrito el CASO I (losa colada monolíticamente con sus apoyos); un tablero marcado como caso II sale FUERA DE ALCANCE.</t>
        </is>
      </c>
    </row>
    <row r="13" ht="41" customHeight="1">
      <c r="B13" s="4" t="inlineStr">
        <is>
          <t>• Condición 3.4.2.1 c): los momentos negativos de tableros vecinos en un borde común no deben diferir más de 50 % del menor. La hoja NO conoce a los vecinos: captura el M⁻ del vecino (columna opcional) y la hoja arma con el mayor y te avisa si difieren más de 50 %. Si es así, distribuye el desequilibrio (3.4.3.1) o confirma con un modelo.</t>
        </is>
      </c>
    </row>
    <row r="14" ht="28" customHeight="1">
      <c r="B14" s="4" t="inlineStr">
        <is>
          <t>• Condición 3.4.2.1 d) (W_m ≤ 2.5·CM aprox.) y las demás de 3.4.2.1: revísalas tú; la hoja supone tableros rectangulares de cargas uniformes. Para tableros irregulares usa un rectángulo representativo.</t>
        </is>
      </c>
    </row>
    <row r="15" ht="28" customHeight="1">
      <c r="B15" s="4" t="inlineStr">
        <is>
          <t>• Claros A EJES (a_x, a_y), del lado seguro: la tabla permite claros libres en el caso I. Los claros libres (L_n = a − b_p) se usan en cortante, patín, espesor mínimo y bastones.</t>
        </is>
      </c>
    </row>
    <row r="16" ht="28" customHeight="1">
      <c r="B16" s="4" t="inlineStr">
        <is>
          <t>• VOLADO: un solo borde empotrado (márcalo CONTINUO; los otros tres DISCONTINUO). Su largo es el claro perpendicular a ese borde, del eje del apoyo a la orilla. El bastón entra al tablero de respaldo hasta pasar el punto donde se anula el momento con 0.9·PP y sin carga viva.</t>
        </is>
      </c>
    </row>
    <row r="17" ht="28" customHeight="1">
      <c r="B17" s="4" t="inlineStr">
        <is>
          <t>• No incluye: trabes y nervaduras principales, flechas calculadas (sólo el espesor mínimo que permite omitirlas), vibración, sismo, losas postensadas, cargas concentradas grandes (tinacos, equipos) ni huecos dentro del tablero.</t>
        </is>
      </c>
    </row>
    <row r="18" ht="6" customHeight="1"/>
    <row r="19" ht="21" customHeight="1">
      <c r="B19" s="3" t="inlineStr">
        <is>
          <t>3. COLORES</t>
        </is>
      </c>
    </row>
    <row r="20">
      <c r="B20" s="5" t="inlineStr">
        <is>
          <t>Celda de captura</t>
        </is>
      </c>
      <c r="C20" s="6" t="inlineStr">
        <is>
          <t>Amarillo con número azul: aquí se escribe. Todo lo demás es fórmula.</t>
        </is>
      </c>
    </row>
    <row r="21">
      <c r="B21" s="7" t="inlineStr">
        <is>
          <t>Fórmula</t>
        </is>
      </c>
      <c r="C21" s="6" t="inlineStr">
        <is>
          <t>Negro: calculado. No se escribe encima.</t>
        </is>
      </c>
    </row>
    <row r="22">
      <c r="B22" s="8" t="inlineStr">
        <is>
          <t>Resultado clave</t>
        </is>
      </c>
      <c r="C22" s="6" t="inlineStr">
        <is>
          <t>Azul pálido: resultado que importa (w_u, Mu/M_R, armado).</t>
        </is>
      </c>
    </row>
    <row r="23">
      <c r="B23" s="7" t="inlineStr">
        <is>
          <t>CUMPLE</t>
        </is>
      </c>
      <c r="C23" s="6" t="inlineStr">
        <is>
          <t>Verde: pasa.</t>
        </is>
      </c>
    </row>
    <row r="24">
      <c r="B24" s="7" t="inlineStr">
        <is>
          <t>MACIZAR 1 hilera(s)</t>
        </is>
      </c>
      <c r="C24" s="6" t="inlineStr">
        <is>
          <t>Ámbar: pasa con una acción (macizar, calcular flecha).</t>
        </is>
      </c>
    </row>
    <row r="25">
      <c r="B25" s="7" t="inlineStr">
        <is>
          <t>NO CUMPLE</t>
        </is>
      </c>
      <c r="C25" s="6" t="inlineStr">
        <is>
          <t>Rojo: no pasa, faltan datos o está fuera de alcance.</t>
        </is>
      </c>
    </row>
    <row r="26" ht="6" customHeight="1"/>
    <row r="27" ht="21" customHeight="1">
      <c r="B27" s="3" t="inlineStr">
        <is>
          <t>4. CÓMO SE USA, PASO A PASO</t>
        </is>
      </c>
    </row>
    <row r="28" ht="28" customHeight="1">
      <c r="B28" s="4" t="inlineStr">
        <is>
          <t>1) DATOS: captura materiales, factores, recubrimientos, la sección nervada (a_c, h_c, b_w, t), la malla y los valores por omisión de macizas. Revisa la lista de destinos (cargas vivas).</t>
        </is>
      </c>
    </row>
    <row r="29" ht="41" customHeight="1">
      <c r="B29" s="4" t="inlineStr">
        <is>
          <t>2) NERVADAS o MACIZAS: un renglón por tablero. Borra o sobrescribe los renglones «EJEMPLO». Captura nombre, tipo (PERIMETRAL o VOLADO), destino, a_x y a_y a ejes, y cada borde como CONTINUO (sigue losa del otro lado) o DISCONTINUO (orilla, hueco o losa que no sigue). El caso de la tabla sale solo (puedes forzarlo).</t>
        </is>
      </c>
    </row>
    <row r="30" ht="28" customHeight="1">
      <c r="B30" s="4" t="inlineStr">
        <is>
          <t>3) Captura la sobrecarga muerta SCM (acabados, rellenos, plafón, muros divisorios repartidos). La carga viva sale del destino; si quieres otra, escríbela en «CV propia».</t>
        </is>
      </c>
    </row>
    <row r="31" ht="41" customHeight="1">
      <c r="B31" s="4" t="inlineStr">
        <is>
          <t>4) Volados: carga lineal en la orilla (barandal, pretil) y claro del tablero de respaldo L_b. En nervadas puedes darle al volado otra b_w (20 cm suele hacer falta): la columna «Respaldo del volado» dice cuántas hileras del tablero de respaldo siguen con esa nervadura; anótalas también en el renglón de ese tablero.</t>
        </is>
      </c>
    </row>
    <row r="32" ht="15" customHeight="1">
      <c r="B32" s="4" t="inlineStr">
        <is>
          <t>5) Lee ESTADO y NOTA. Si dice NO CUMPLE, la nota y las columnas en rojo dicen qué falla (flexión, no caben, ε_t, cortante, peralte).</t>
        </is>
      </c>
    </row>
    <row r="33" ht="15" customHeight="1">
      <c r="B33" s="4" t="inlineStr">
        <is>
          <t>6) DETALLE: escoge el tablero en la celda amarilla y obtén la memoria paso a paso. CROQUIS dibuja ese mismo tablero.</t>
        </is>
      </c>
    </row>
    <row r="34" ht="15" customHeight="1">
      <c r="B34" s="4" t="inlineStr">
        <is>
          <t>7) Imprime DETALLE y CROQUIS (ya tienen área de impresión) y pasa a planos el armado de la columna «ARMADO».</t>
        </is>
      </c>
    </row>
    <row r="35" ht="6" customHeight="1"/>
    <row r="36" ht="21" customHeight="1">
      <c r="B36" s="3" t="inlineStr">
        <is>
          <t>5. REVISIONES QUE HACE CADA RENGLÓN</t>
        </is>
      </c>
    </row>
    <row r="37" ht="28" customHeight="1">
      <c r="B37" s="4" t="inlineStr">
        <is>
          <t>• Flexión en los cuatro lechos (inferior y superior, claro corto y largo): Mu ≤ M_R, As ≥ mínima, p ≤ p_max y ε_t ≥ 0.005 (F_R = 0.9) — 3.8.2, 6.3.5, 6.7.6.1.</t>
        </is>
      </c>
    </row>
    <row r="38" ht="15" customHeight="1">
      <c r="B38" s="4" t="inlineStr">
        <is>
          <t>• Que las varillas quepan con la separación libre mínima (nervadas) o que la separación no pase de la máxima (macizas) — 14.2.1.</t>
        </is>
      </c>
    </row>
    <row r="39" ht="15" customHeight="1">
      <c r="B39" s="4" t="inlineStr">
        <is>
          <t>• Cortante a d del paño: V_u ≤ V_cR (ec. 5.5.3.2.1); en nervadas, hileras de casetones a macizar si no alcanza; ×1.1 sólo si cumple 6.7.8.1.4.</t>
        </is>
      </c>
    </row>
    <row r="40" ht="28" customHeight="1">
      <c r="B40" s="4" t="inlineStr">
        <is>
          <t>• Losa encasetonada (6.7.8.1.2 a 6.7.8.1.4): si a_c &gt; claro corto/6 el tablero se diseña como losa apoyada en vigas (6.7.8.1.9): recubrimiento de viga y sin ×1.1.</t>
        </is>
      </c>
    </row>
    <row r="41" ht="15" customHeight="1">
      <c r="B41" s="4" t="inlineStr">
        <is>
          <t>• Espesor mínimo para omitir flechas (Tabla 6.7.3.1.2 con α_fm; h_eq en nervadas); volados L/8 (nervadas) y L/10 (macizas, criterio de esta hoja).</t>
        </is>
      </c>
    </row>
    <row r="42" ht="28" customHeight="1">
      <c r="B42" s="4" t="inlineStr">
        <is>
          <t>• Capa de compresión y malla al centro de la capa (DATOS sección 7): temperatura, diafragma, que quepa, punzonamiento y flexión con 1 000 kg. Las varillas superiores pasan debajo de la malla.</t>
        </is>
      </c>
    </row>
    <row r="43" ht="28" customHeight="1">
      <c r="B43" s="4" t="inlineStr">
        <is>
          <t>• Anclaje en bordes discontinuos en la dala de borde de DATOS: 1.25·L_dh de la varilla inferior, L_dh del bastón y gancho de 180° que quepa en su peralte (6.7.8.1.7, 6.7.7.4.1.1 y Tabla 14.3.1).</t>
        </is>
      </c>
    </row>
    <row r="44" ht="15" customHeight="1">
      <c r="B44" s="4" t="inlineStr">
        <is>
          <t>• 3.4.2.1 c) contra el M⁻ del vecino, si lo capturas.</t>
        </is>
      </c>
    </row>
    <row r="45" ht="6" customHeight="1"/>
    <row r="46" ht="42" customHeight="1">
      <c r="B46" s="9" t="inlineStr">
        <is>
          <t>RESPONSABILIDAD: la hoja es una herramienta de cálculo; el Director Responsable de Obra / Corresponsable revisa datos, hipótesis y resultados. Los renglones EJEMPLO vienen de la hoja de Casa Rocha (nervadas) y de tableros típicos (macizas) sólo para mostrar cómo se llena.</t>
        </is>
      </c>
      <c r="C46" s="10" t="n"/>
      <c r="D46" s="10" t="n"/>
      <c r="E46" s="10" t="n"/>
      <c r="F46" s="10" t="n"/>
    </row>
  </sheetData>
  <mergeCells count="40">
    <mergeCell ref="B4:F4"/>
    <mergeCell ref="B7:F7"/>
    <mergeCell ref="C23:F23"/>
    <mergeCell ref="B16:F16"/>
    <mergeCell ref="B31:F31"/>
    <mergeCell ref="B46:F46"/>
    <mergeCell ref="B27:F27"/>
    <mergeCell ref="B43:F43"/>
    <mergeCell ref="B12:F12"/>
    <mergeCell ref="B39:F39"/>
    <mergeCell ref="B2:F2"/>
    <mergeCell ref="B11:F11"/>
    <mergeCell ref="B42:F42"/>
    <mergeCell ref="B1:F1"/>
    <mergeCell ref="B14:F14"/>
    <mergeCell ref="B8:F8"/>
    <mergeCell ref="C24:F24"/>
    <mergeCell ref="B17:F17"/>
    <mergeCell ref="B13:F13"/>
    <mergeCell ref="B44:F44"/>
    <mergeCell ref="B29:F29"/>
    <mergeCell ref="B38:F38"/>
    <mergeCell ref="B34:F34"/>
    <mergeCell ref="C20:F20"/>
    <mergeCell ref="B28:F28"/>
    <mergeCell ref="B19:F19"/>
    <mergeCell ref="B37:F37"/>
    <mergeCell ref="C25:F25"/>
    <mergeCell ref="B40:F40"/>
    <mergeCell ref="B9:F9"/>
    <mergeCell ref="C22:F22"/>
    <mergeCell ref="B30:F30"/>
    <mergeCell ref="B6:F6"/>
    <mergeCell ref="B15:F15"/>
    <mergeCell ref="B33:F33"/>
    <mergeCell ref="B5:F5"/>
    <mergeCell ref="C21:F21"/>
    <mergeCell ref="B36:F36"/>
    <mergeCell ref="B32:F32"/>
    <mergeCell ref="B41:F41"/>
  </mergeCells>
  <conditionalFormatting sqref="B23">
    <cfRule type="expression" priority="1" dxfId="0" stopIfTrue="1">
      <formula>OR(ISNUMBER(FIND("NO CUMPLE",B23)),ISNUMBER(FIND("REVISAR",B23)),ISNUMBER(FIND("NO CABE",B23)),ISNUMBER(FIND("FUERA",B23)),ISNUMBER(FIND("FALTA",B23)),ISNUMBER(FIND("INSUFICIENTE",B23)),ISNUMBER(FIND("PENDIENTE",B23)))</formula>
    </cfRule>
    <cfRule type="expression" priority="2" dxfId="1" stopIfTrue="1">
      <formula>OR(ISNUMBER(FIND("CUMPLE",B23)),ISNUMBER(FIND("SÍ aplica",B23)),ISNUMBER(FIND("MANDA",B23)))</formula>
    </cfRule>
    <cfRule type="expression" priority="3" dxfId="2" stopIfTrue="1">
      <formula>OR(ISNUMBER(FIND("MACIZAR",B23)),ISNUMBER(FIND("CALCULAR",B23)),ISNUMBER(FIND("PROPUESTO",B23)),ISNUMBER(FIND("VER ",B23)))</formula>
    </cfRule>
  </conditionalFormatting>
  <conditionalFormatting sqref="B24">
    <cfRule type="expression" priority="4" dxfId="0" stopIfTrue="1">
      <formula>OR(ISNUMBER(FIND("NO CUMPLE",B24)),ISNUMBER(FIND("REVISAR",B24)),ISNUMBER(FIND("NO CABE",B24)),ISNUMBER(FIND("FUERA",B24)),ISNUMBER(FIND("FALTA",B24)),ISNUMBER(FIND("INSUFICIENTE",B24)),ISNUMBER(FIND("PENDIENTE",B24)))</formula>
    </cfRule>
    <cfRule type="expression" priority="5" dxfId="1" stopIfTrue="1">
      <formula>OR(ISNUMBER(FIND("CUMPLE",B24)),ISNUMBER(FIND("SÍ aplica",B24)),ISNUMBER(FIND("MANDA",B24)))</formula>
    </cfRule>
    <cfRule type="expression" priority="6" dxfId="2" stopIfTrue="1">
      <formula>OR(ISNUMBER(FIND("MACIZAR",B24)),ISNUMBER(FIND("CALCULAR",B24)),ISNUMBER(FIND("PROPUESTO",B24)),ISNUMBER(FIND("VER ",B24)))</formula>
    </cfRule>
  </conditionalFormatting>
  <conditionalFormatting sqref="B25">
    <cfRule type="expression" priority="7" dxfId="0" stopIfTrue="1">
      <formula>OR(ISNUMBER(FIND("NO CUMPLE",B25)),ISNUMBER(FIND("REVISAR",B25)),ISNUMBER(FIND("NO CABE",B25)),ISNUMBER(FIND("FUERA",B25)),ISNUMBER(FIND("FALTA",B25)),ISNUMBER(FIND("INSUFICIENTE",B25)),ISNUMBER(FIND("PENDIENTE",B25)))</formula>
    </cfRule>
    <cfRule type="expression" priority="8" dxfId="1" stopIfTrue="1">
      <formula>OR(ISNUMBER(FIND("CUMPLE",B25)),ISNUMBER(FIND("SÍ aplica",B25)),ISNUMBER(FIND("MANDA",B25)))</formula>
    </cfRule>
    <cfRule type="expression" priority="9" dxfId="2" stopIfTrue="1">
      <formula>OR(ISNUMBER(FIND("MACIZAR",B25)),ISNUMBER(FIND("CALCULAR",B25)),ISNUMBER(FIND("PROPUESTO",B25)),ISNUMBER(FIND("VER ",B25)))</formula>
    </cfRule>
  </conditionalFormatting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F14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.78" customWidth="1" min="1" max="1"/>
    <col width="46" customWidth="1" min="2" max="2"/>
    <col width="17" customWidth="1" min="3" max="3"/>
    <col width="9" customWidth="1" min="4" max="4"/>
    <col width="54" customWidth="1" min="5" max="5"/>
    <col width="44" customWidth="1" min="6" max="6"/>
  </cols>
  <sheetData>
    <row r="1" ht="26" customHeight="1">
      <c r="B1" s="1" t="inlineStr">
        <is>
          <t>DATOS GENERALES — LOSAS NERVADAS Y MACIZAS, NTC 2023 (CDMX)</t>
        </is>
      </c>
    </row>
    <row r="2" ht="30" customHeight="1">
      <c r="B2" s="2" t="inlineStr">
        <is>
          <t>Datos que valen para todo el libro. Lo de cada tablero va en NERVADAS y MACIZAS. Cada número capturado dice de dónde sale (columna «Referencia»); lo que es criterio de esta hoja y no de la norma se dice así.</t>
        </is>
      </c>
    </row>
    <row r="3" ht="6" customHeight="1"/>
    <row r="4" ht="42" customHeight="1">
      <c r="B4" s="9" t="inlineStr">
        <is>
          <t>CÓMO SE USA: sólo se tocan las celdas AMARILLAS con número AZUL. Lo demás está calculado y se rompe si lo escribes encima. Los valores que trae la hoja son un punto de partida (los de la hoja auditada de Casa Rocha): cámbialos por los de tu proyecto.</t>
        </is>
      </c>
      <c r="C4" s="10" t="n"/>
      <c r="D4" s="10" t="n"/>
      <c r="E4" s="10" t="n"/>
      <c r="F4" s="10" t="n"/>
    </row>
    <row r="5" ht="6" customHeight="1"/>
    <row r="6" ht="21" customHeight="1">
      <c r="B6" s="3" t="inlineStr">
        <is>
          <t>0. PROYECTO</t>
        </is>
      </c>
    </row>
    <row r="7" ht="30" customHeight="1">
      <c r="B7" s="11" t="inlineStr">
        <is>
          <t>Concepto</t>
        </is>
      </c>
      <c r="C7" s="11" t="inlineStr">
        <is>
          <t>Valor</t>
        </is>
      </c>
      <c r="D7" s="11" t="inlineStr">
        <is>
          <t>Unidad</t>
        </is>
      </c>
      <c r="E7" s="11" t="inlineStr">
        <is>
          <t>Cómo se calcula / de dónde sale</t>
        </is>
      </c>
      <c r="F7" s="11" t="inlineStr">
        <is>
          <t>Referencia</t>
        </is>
      </c>
    </row>
    <row r="8" ht="19.5" customHeight="1">
      <c r="B8" s="12" t="inlineStr">
        <is>
          <t>Proyecto</t>
        </is>
      </c>
      <c r="C8" s="13" t="inlineStr">
        <is>
          <t>NOMBRE DEL PROYECTO</t>
        </is>
      </c>
      <c r="D8" s="14" t="inlineStr">
        <is>
          <t>—</t>
        </is>
      </c>
      <c r="E8" s="15" t="inlineStr">
        <is>
          <t>CAPTURA. Sale en DETALLE y en CROQUIS.</t>
        </is>
      </c>
      <c r="F8" s="16" t="inlineStr">
        <is>
          <t>—</t>
        </is>
      </c>
    </row>
    <row r="9" ht="19.5" customHeight="1">
      <c r="B9" s="12" t="inlineStr">
        <is>
          <t>Elaboró / revisó</t>
        </is>
      </c>
      <c r="C9" s="13" t="inlineStr">
        <is>
          <t>—</t>
        </is>
      </c>
      <c r="D9" s="14" t="inlineStr">
        <is>
          <t>—</t>
        </is>
      </c>
      <c r="E9" s="15" t="inlineStr">
        <is>
          <t>CAPTURA.</t>
        </is>
      </c>
      <c r="F9" s="16" t="inlineStr">
        <is>
          <t>—</t>
        </is>
      </c>
    </row>
    <row r="10" ht="6" customHeight="1"/>
    <row r="11" ht="21" customHeight="1">
      <c r="B11" s="3" t="inlineStr">
        <is>
          <t>1. MATERIALES</t>
        </is>
      </c>
    </row>
    <row r="12" ht="30" customHeight="1">
      <c r="B12" s="11" t="inlineStr">
        <is>
          <t>Concepto</t>
        </is>
      </c>
      <c r="C12" s="11" t="inlineStr">
        <is>
          <t>Valor</t>
        </is>
      </c>
      <c r="D12" s="11" t="inlineStr">
        <is>
          <t>Unidad</t>
        </is>
      </c>
      <c r="E12" s="11" t="inlineStr">
        <is>
          <t>Cómo se calcula / de dónde sale</t>
        </is>
      </c>
      <c r="F12" s="11" t="inlineStr">
        <is>
          <t>Referencia</t>
        </is>
      </c>
    </row>
    <row r="13" ht="30" customHeight="1">
      <c r="B13" s="12" t="inlineStr">
        <is>
          <t>f'c — resistencia del concreto</t>
        </is>
      </c>
      <c r="C13" s="17" t="n">
        <v>250</v>
      </c>
      <c r="D13" s="14" t="inlineStr">
        <is>
          <t>kg/cm²</t>
        </is>
      </c>
      <c r="E13" s="15" t="inlineStr">
        <is>
          <t>CAPTURA. Clase 1A (250 ≤ f'c &lt; 400). Mínimo para exposición A1, A2 y B1.</t>
        </is>
      </c>
      <c r="F13" s="16" t="inlineStr">
        <is>
          <t>NTC-Concreto 2023 (CDMX) 2.2.2 a), p. 30 · Tabla 2.2.6.3, p. 33 · 4.4.1.1 y 4.5.2 a), p. 78</t>
        </is>
      </c>
    </row>
    <row r="14" ht="19.5" customHeight="1">
      <c r="B14" s="12" t="inlineStr">
        <is>
          <t>fy — fluencia de la varilla corrugada</t>
        </is>
      </c>
      <c r="C14" s="17" t="n">
        <v>4200</v>
      </c>
      <c r="D14" s="14" t="inlineStr">
        <is>
          <t>kg/cm²</t>
        </is>
      </c>
      <c r="E14" s="15" t="inlineStr">
        <is>
          <t>CAPTURA. Grado 42, NMX-B-506.</t>
        </is>
      </c>
      <c r="F14" s="16" t="inlineStr">
        <is>
          <t>NTC-Concreto 2023 (CDMX) Tabla 2.4.2.1.2.a, p. 43</t>
        </is>
      </c>
    </row>
    <row r="15" ht="30" customHeight="1">
      <c r="B15" s="12" t="inlineStr">
        <is>
          <t>fy de la malla electrosoldada</t>
        </is>
      </c>
      <c r="C15" s="17" t="n">
        <v>5000</v>
      </c>
      <c r="D15" s="14" t="inlineStr">
        <is>
          <t>kg/cm²</t>
        </is>
      </c>
      <c r="E15" s="15" t="inlineStr">
        <is>
          <t>CAPTURA. Alambre de malla NMX-B-290. Sólo se usa en la capa de compresión.</t>
        </is>
      </c>
      <c r="F15" s="16" t="inlineStr">
        <is>
          <t>NTC-Concreto 2023 (CDMX) 2.4.2.1.6 y 2.4.2.1.7, p. 44</t>
        </is>
      </c>
    </row>
    <row r="16" ht="30" customHeight="1">
      <c r="B16" s="12" t="inlineStr">
        <is>
          <t>γc — peso volumétrico del concreto reforzado</t>
        </is>
      </c>
      <c r="C16" s="18" t="n">
        <v>2.4</v>
      </c>
      <c r="D16" s="14" t="inlineStr">
        <is>
          <t>t/m³</t>
        </is>
      </c>
      <c r="E16" s="15" t="inlineStr">
        <is>
          <t>CAPTURA. Valor máximo probable. Si tu modelo usa otro (Casa Rocha: 2.44), pon el del modelo.</t>
        </is>
      </c>
      <c r="F16" s="16" t="inlineStr">
        <is>
          <t>NTC-Criterios y Acciones 2023 (CDMX) 5.1.1.2, p. 9</t>
        </is>
      </c>
    </row>
    <row r="17" ht="30" customHeight="1">
      <c r="B17" s="12" t="inlineStr">
        <is>
          <t>γ del casetón (poliestireno)</t>
        </is>
      </c>
      <c r="C17" s="19" t="n">
        <v>0.015</v>
      </c>
      <c r="D17" s="14" t="inlineStr">
        <is>
          <t>t/m³</t>
        </is>
      </c>
      <c r="E17" s="15" t="inlineStr">
        <is>
          <t>CAPTURA. Poliestireno expandido de 15 kg/m³. Si el casetón es recuperable (de plástico), pon 0.</t>
        </is>
      </c>
      <c r="F17" s="16" t="inlineStr">
        <is>
          <t>Criterio de esta hoja (dato del fabricante)</t>
        </is>
      </c>
    </row>
    <row r="18" ht="30" customHeight="1">
      <c r="B18" s="12" t="inlineStr">
        <is>
          <t>Agregado grueso del concreto</t>
        </is>
      </c>
      <c r="C18" s="13" t="inlineStr">
        <is>
          <t>CALIZO</t>
        </is>
      </c>
      <c r="D18" s="14" t="inlineStr">
        <is>
          <t>—</t>
        </is>
      </c>
      <c r="E18" s="15" t="inlineStr">
        <is>
          <t>SELECTOR. Cambia Ec: calizo 14 000·√f'c, basáltico 11 000·√f'c. Especificarlo en planos.</t>
        </is>
      </c>
      <c r="F18" s="16" t="inlineStr">
        <is>
          <t>NTC-Concreto 2023 (CDMX) Tabla 2.2.1, p. 31 · 2.2.8.4, p. 34</t>
        </is>
      </c>
    </row>
    <row r="19" ht="30" customHeight="1">
      <c r="B19" s="12" t="inlineStr">
        <is>
          <t>Ec — módulo de elasticidad</t>
        </is>
      </c>
      <c r="C19" s="20">
        <f>IF(DATOS!$C$18="BASALTO",11000,14000)*SQRT(DATOS!$C$13)</f>
        <v>221359.436211787</v>
      </c>
      <c r="D19" s="14" t="inlineStr">
        <is>
          <t>kg/cm²</t>
        </is>
      </c>
      <c r="E19" s="15" t="inlineStr">
        <is>
          <t>CALCULADA = 14 000·√f'c (calizo) u 11 000·√f'c (basalto). Informativa (flechas).</t>
        </is>
      </c>
      <c r="F19" s="16" t="inlineStr">
        <is>
          <t>NTC-Concreto 2023 (CDMX) Tabla 2.2.1, p. 31</t>
        </is>
      </c>
    </row>
    <row r="20" ht="19.5" customHeight="1">
      <c r="B20" s="12" t="inlineStr">
        <is>
          <t>Es — módulo de elasticidad del acero</t>
        </is>
      </c>
      <c r="C20" s="21" t="n">
        <v>2000000</v>
      </c>
      <c r="D20" s="14" t="inlineStr">
        <is>
          <t>kg/cm²</t>
        </is>
      </c>
      <c r="E20" s="15" t="inlineStr">
        <is>
          <t>CAPTURA.</t>
        </is>
      </c>
      <c r="F20" s="16" t="inlineStr">
        <is>
          <t>NTC-Concreto 2023 (CDMX) 2.4.2.2.2, p. 45</t>
        </is>
      </c>
    </row>
    <row r="21" ht="19.5" customHeight="1">
      <c r="B21" s="12" t="inlineStr">
        <is>
          <t>f''c — esfuerzo del bloque equivalente</t>
        </is>
      </c>
      <c r="C21" s="22">
        <f>0.85*DATOS!$C$13</f>
        <v>212.5</v>
      </c>
      <c r="D21" s="14" t="inlineStr">
        <is>
          <t>kg/cm²</t>
        </is>
      </c>
      <c r="E21" s="15" t="inlineStr">
        <is>
          <t>CALCULADA = 0.85·f'c.</t>
        </is>
      </c>
      <c r="F21" s="16" t="inlineStr">
        <is>
          <t>NTC-Concreto 2023 (CDMX) 3.6.1 e), p. 68</t>
        </is>
      </c>
    </row>
    <row r="22" ht="19.5" customHeight="1">
      <c r="B22" s="12" t="inlineStr">
        <is>
          <t>β1 — profundidad del bloque</t>
        </is>
      </c>
      <c r="C22" s="23">
        <f>IF(DATOS!$C$13&lt;=300,0.85,MAX(0.65,1.05-DATOS!$C$13/1400))</f>
        <v>0.85</v>
      </c>
      <c r="D22" s="14" t="inlineStr">
        <is>
          <t>—</t>
        </is>
      </c>
      <c r="E22" s="15" t="inlineStr">
        <is>
          <t>CALCULADA. 0.85 hasta f'c = 300 kg/cm².</t>
        </is>
      </c>
      <c r="F22" s="16" t="inlineStr">
        <is>
          <t>NTC-Concreto 2023 (CDMX) ec. 3.6.1, p. 68</t>
        </is>
      </c>
    </row>
    <row r="23" ht="6" customHeight="1"/>
    <row r="24" ht="21" customHeight="1">
      <c r="B24" s="3" t="inlineStr">
        <is>
          <t>2. FACTORES DE CARGA Y DE RESISTENCIA</t>
        </is>
      </c>
    </row>
    <row r="25" ht="30" customHeight="1">
      <c r="B25" s="11" t="inlineStr">
        <is>
          <t>Concepto</t>
        </is>
      </c>
      <c r="C25" s="11" t="inlineStr">
        <is>
          <t>Valor</t>
        </is>
      </c>
      <c r="D25" s="11" t="inlineStr">
        <is>
          <t>Unidad</t>
        </is>
      </c>
      <c r="E25" s="11" t="inlineStr">
        <is>
          <t>Cómo se calcula / de dónde sale</t>
        </is>
      </c>
      <c r="F25" s="11" t="inlineStr">
        <is>
          <t>Referencia</t>
        </is>
      </c>
    </row>
    <row r="26" ht="30" customHeight="1">
      <c r="B26" s="12" t="inlineStr">
        <is>
          <t>FC_CM — factor de carga muerta</t>
        </is>
      </c>
      <c r="C26" s="18" t="n">
        <v>1.3</v>
      </c>
      <c r="D26" s="14" t="inlineStr">
        <is>
          <t>—</t>
        </is>
      </c>
      <c r="E26" s="15" t="inlineStr">
        <is>
          <t>CAPTURA. Grupo B (Grupo A: 1.5).</t>
        </is>
      </c>
      <c r="F26" s="16" t="inlineStr">
        <is>
          <t>NTC-Criterios y Acciones 2023 (CDMX) 3.4.1 a), p. 7 (combinación 2.3.1 a), p. 5)</t>
        </is>
      </c>
    </row>
    <row r="27" ht="19.5" customHeight="1">
      <c r="B27" s="12" t="inlineStr">
        <is>
          <t>FC_CV — factor de carga viva</t>
        </is>
      </c>
      <c r="C27" s="18" t="n">
        <v>1.5</v>
      </c>
      <c r="D27" s="14" t="inlineStr">
        <is>
          <t>—</t>
        </is>
      </c>
      <c r="E27" s="15" t="inlineStr">
        <is>
          <t>CAPTURA. Grupo B (Grupo A: 1.7).</t>
        </is>
      </c>
      <c r="F27" s="16" t="inlineStr">
        <is>
          <t>NTC-Criterios y Acciones 2023 (CDMX) 3.4.1 a), p. 7</t>
        </is>
      </c>
    </row>
    <row r="28" ht="30" customHeight="1">
      <c r="B28" s="12" t="inlineStr">
        <is>
          <t>FC_acc — factor en combinaciones con acciones accidentales</t>
        </is>
      </c>
      <c r="C28" s="18" t="n">
        <v>1.1</v>
      </c>
      <c r="D28" s="14" t="inlineStr">
        <is>
          <t>—</t>
        </is>
      </c>
      <c r="E28" s="15" t="inlineStr">
        <is>
          <t>CAPTURA. Combinación de granizo en azotea: 1.1·(CM + W_g), sin carga viva.</t>
        </is>
      </c>
      <c r="F28" s="16" t="inlineStr">
        <is>
          <t>NTC-Criterios y Acciones 2023 (CDMX) 3.4.1 b), p. 7 · 7.3.1.3, p. 17</t>
        </is>
      </c>
    </row>
    <row r="29" ht="43.5" customHeight="1">
      <c r="B29" s="12" t="inlineStr">
        <is>
          <t>F_R — flexión</t>
        </is>
      </c>
      <c r="C29" s="18" t="n">
        <v>0.9</v>
      </c>
      <c r="D29" s="14" t="inlineStr">
        <is>
          <t>—</t>
        </is>
      </c>
      <c r="E29" s="15" t="inlineStr">
        <is>
          <t>CAPTURA. Vale si la sección es controlada por tensión (ε_t ≥ 0.005); la hoja limita el acero para garantizarlo (p_max).</t>
        </is>
      </c>
      <c r="F29" s="16" t="inlineStr">
        <is>
          <t>NTC-Concreto 2023 (CDMX) Tabla 3.8.2.1 a) y Tabla 3.8.2.2, p. 70 · 3.8.2.4, p. 71 · 6.7.3.3.1, p. 169</t>
        </is>
      </c>
    </row>
    <row r="30" ht="19.5" customHeight="1">
      <c r="B30" s="12" t="inlineStr">
        <is>
          <t>F_R — cortante</t>
        </is>
      </c>
      <c r="C30" s="18" t="n">
        <v>0.75</v>
      </c>
      <c r="D30" s="14" t="inlineStr">
        <is>
          <t>—</t>
        </is>
      </c>
      <c r="E30" s="15" t="inlineStr">
        <is>
          <t>CAPTURA.</t>
        </is>
      </c>
      <c r="F30" s="16" t="inlineStr">
        <is>
          <t>NTC-Concreto 2023 (CDMX) Tabla 3.8.2.1 b), p. 70</t>
        </is>
      </c>
    </row>
    <row r="31" ht="30" customHeight="1">
      <c r="B31" s="12" t="inlineStr">
        <is>
          <t>Fracción de la cuantía balanceada que se permite</t>
        </is>
      </c>
      <c r="C31" s="18" t="n">
        <v>0.9</v>
      </c>
      <c r="D31" s="14" t="inlineStr">
        <is>
          <t>—</t>
        </is>
      </c>
      <c r="E31" s="15" t="inlineStr">
        <is>
          <t>CAPTURA. Tope de ductilidad baja; en la práctica manda antes ε_t ≥ 0.005.</t>
        </is>
      </c>
      <c r="F31" s="16" t="inlineStr">
        <is>
          <t>NTC-Concreto 2023 (CDMX) 6.3.5.2.1, p. 122</t>
        </is>
      </c>
    </row>
    <row r="32" ht="43.5" customHeight="1">
      <c r="B32" s="12" t="inlineStr">
        <is>
          <t>Incremento de V_cR en losas encasetonadas</t>
        </is>
      </c>
      <c r="C32" s="18" t="n">
        <v>1.1</v>
      </c>
      <c r="D32" s="14" t="inlineStr">
        <is>
          <t>—</t>
        </is>
      </c>
      <c r="E32" s="15" t="inlineStr">
        <is>
          <t>CAPTURA. Sólo en tableros que cumplen 6.7.8.1.4 (claro corto ≥ 6·a_c); en los demás vale 1.0. No aplica a losas macizas.</t>
        </is>
      </c>
      <c r="F32" s="16" t="inlineStr">
        <is>
          <t>NTC-Concreto 2023 (CDMX) 6.7.8.1.5, p. 187 · 6.7.8.1.9, p. 188</t>
        </is>
      </c>
    </row>
    <row r="33" ht="43.5" customHeight="1">
      <c r="B33" s="12" t="inlineStr">
        <is>
          <t>Incremento de cortante con bordes continuos y discontinuos</t>
        </is>
      </c>
      <c r="C33" s="18" t="n">
        <v>1.15</v>
      </c>
      <c r="D33" s="14" t="inlineStr">
        <is>
          <t>—</t>
        </is>
      </c>
      <c r="E33" s="15" t="inlineStr">
        <is>
          <t>CAPTURA. De la fórmula de cortante de losas apoyadas en su perímetro de la NTC 2017, que la 2023 ya no trae; se conserva como «método reconocido».</t>
        </is>
      </c>
      <c r="F33" s="16" t="inlineStr">
        <is>
          <t>NTC-Concreto 2023 (CDMX) 3.4.1.1, p. 64 (métodos reconocidos) · NTC-Concreto 2017</t>
        </is>
      </c>
    </row>
    <row r="34" ht="6" customHeight="1"/>
    <row r="35" ht="21" customHeight="1">
      <c r="B35" s="3" t="inlineStr">
        <is>
          <t>3. CARGA MUERTA ADICIONAL Y GRANIZO</t>
        </is>
      </c>
    </row>
    <row r="36" ht="30" customHeight="1">
      <c r="B36" s="11" t="inlineStr">
        <is>
          <t>Concepto</t>
        </is>
      </c>
      <c r="C36" s="11" t="inlineStr">
        <is>
          <t>Valor</t>
        </is>
      </c>
      <c r="D36" s="11" t="inlineStr">
        <is>
          <t>Unidad</t>
        </is>
      </c>
      <c r="E36" s="11" t="inlineStr">
        <is>
          <t>Cómo se calcula / de dónde sale</t>
        </is>
      </c>
      <c r="F36" s="11" t="inlineStr">
        <is>
          <t>Referencia</t>
        </is>
      </c>
    </row>
    <row r="37" ht="30" customHeight="1">
      <c r="B37" s="12" t="inlineStr">
        <is>
          <t>Incremento del peso propio por losa colada en el lugar</t>
        </is>
      </c>
      <c r="C37" s="17" t="n">
        <v>20</v>
      </c>
      <c r="D37" s="14" t="inlineStr">
        <is>
          <t>kg/m²</t>
        </is>
      </c>
      <c r="E37" s="15" t="inlineStr">
        <is>
          <t>CAPTURA. Se suma al peso propio de todos los tableros.</t>
        </is>
      </c>
      <c r="F37" s="16" t="inlineStr">
        <is>
          <t>NTC-Criterios y Acciones 2023 (CDMX) 5.1.2.1, p. 9</t>
        </is>
      </c>
    </row>
    <row r="38" ht="43.5" customHeight="1">
      <c r="B38" s="12" t="inlineStr">
        <is>
          <t>Incremento por capa de mortero sobre la losa (pegapiso, firme o entortado)</t>
        </is>
      </c>
      <c r="C38" s="17" t="n">
        <v>20</v>
      </c>
      <c r="D38" s="14" t="inlineStr">
        <is>
          <t>kg/m²</t>
        </is>
      </c>
      <c r="E38" s="15" t="inlineStr">
        <is>
          <t>CAPTURA. Si tu sobrecarga ya trae estos 20 kg/m², pon 0 para no contarlos dos veces. No se aplica donde la carga muerta es favorable.</t>
        </is>
      </c>
      <c r="F38" s="16" t="inlineStr">
        <is>
          <t>NTC-Criterios y Acciones 2023 (CDMX) 5.1.2.1 y 5.1.2.2, p. 9</t>
        </is>
      </c>
    </row>
    <row r="39" ht="30" customHeight="1">
      <c r="B39" s="12" t="inlineStr">
        <is>
          <t>H_s — altura de granizo</t>
        </is>
      </c>
      <c r="C39" s="19" t="n">
        <v>0.125</v>
      </c>
      <c r="D39" s="14" t="inlineStr">
        <is>
          <t>m</t>
        </is>
      </c>
      <c r="E39" s="15" t="inlineStr">
        <is>
          <t>CAPTURA. Azotea con pendiente &lt; 5°, Grupo B.</t>
        </is>
      </c>
      <c r="F39" s="16" t="inlineStr">
        <is>
          <t>NTC-Criterios y Acciones 2023 (CDMX) Tabla 7.3.2.2, p. 18</t>
        </is>
      </c>
    </row>
    <row r="40" ht="30" customHeight="1">
      <c r="B40" s="12" t="inlineStr">
        <is>
          <t>C_s — coeficiente de forma</t>
        </is>
      </c>
      <c r="C40" s="18" t="n">
        <v>1</v>
      </c>
      <c r="D40" s="14" t="inlineStr">
        <is>
          <t>—</t>
        </is>
      </c>
      <c r="E40" s="15" t="inlineStr">
        <is>
          <t>CAPTURA.</t>
        </is>
      </c>
      <c r="F40" s="16" t="inlineStr">
        <is>
          <t>NTC-Criterios y Acciones 2023 (CDMX) Tabla 7.3.2.3, p. 18</t>
        </is>
      </c>
    </row>
    <row r="41" ht="43.5" customHeight="1">
      <c r="B41" s="12" t="inlineStr">
        <is>
          <t>W_g — granizo en azotea = 900·H_s·C_s</t>
        </is>
      </c>
      <c r="C41" s="22">
        <f>900*DATOS!$C$39*DATOS!$C$40</f>
        <v>112.5</v>
      </c>
      <c r="D41" s="14" t="inlineStr">
        <is>
          <t>kg/m²</t>
        </is>
      </c>
      <c r="E41" s="15" t="inlineStr">
        <is>
          <t>CALCULADA. Va con FC = 1.1 y sin carga viva; la hoja toma el mayor de esa combinación y la gravitacional en los destinos marcados como azotea.</t>
        </is>
      </c>
      <c r="F41" s="16" t="inlineStr">
        <is>
          <t>NTC-Criterios y Acciones 2023 (CDMX) ec. 7.3.2.1, p. 17 · 3.4.1 b), p. 7</t>
        </is>
      </c>
    </row>
    <row r="42" ht="6" customHeight="1"/>
    <row r="43" ht="21" customHeight="1">
      <c r="B43" s="3" t="inlineStr">
        <is>
          <t>4. CARGAS VIVAS UNITARIAS (lista de destinos)</t>
        </is>
      </c>
    </row>
    <row r="44" ht="42" customHeight="1">
      <c r="B44" s="24" t="inlineStr">
        <is>
          <t>Los tableros escogen su destino de esta lista. W_m (máxima) es la de diseño por gravedad; W_a y W son informativas. «¿Azotea?» = SÍ activa la combinación con granizo. Los incisos a) y h) los cotejó la hoja de Casa Rocha; los demás son los de la misma tabla y hay que cotejarlos contra el texto oficial antes de usarlos. Puedes cambiar nombres y valores.</t>
        </is>
      </c>
      <c r="C44" s="25" t="n"/>
      <c r="D44" s="25" t="n"/>
      <c r="E44" s="25" t="n"/>
      <c r="F44" s="25" t="n"/>
    </row>
    <row r="45" ht="30" customHeight="1">
      <c r="B45" s="11" t="inlineStr">
        <is>
          <t>Destino</t>
        </is>
      </c>
      <c r="C45" s="11" t="inlineStr">
        <is>
          <t>W_m</t>
        </is>
      </c>
      <c r="D45" s="11" t="inlineStr">
        <is>
          <t>¿Azotea? (granizo)</t>
        </is>
      </c>
      <c r="E45" s="11" t="inlineStr">
        <is>
          <t>W_a / W (informativos)</t>
        </is>
      </c>
      <c r="F45" s="11" t="inlineStr">
        <is>
          <t>Referencia</t>
        </is>
      </c>
    </row>
    <row r="46" ht="24" customHeight="1">
      <c r="B46" s="26" t="inlineStr">
        <is>
          <t>HABITACIÓN</t>
        </is>
      </c>
      <c r="C46" s="27" t="n">
        <v>190</v>
      </c>
      <c r="D46" s="28" t="inlineStr">
        <is>
          <t>NO</t>
        </is>
      </c>
      <c r="E46" s="29" t="inlineStr">
        <is>
          <t>100 / 80</t>
        </is>
      </c>
      <c r="F46" s="16" t="inlineStr">
        <is>
          <t>NTC-Criterios y Acciones 2023 (CDMX) Tabla 6.1.2.2 a), p. 11 (cotejado por la hoja de Casa Rocha)</t>
        </is>
      </c>
    </row>
    <row r="47" ht="24" customHeight="1">
      <c r="B47" s="26" t="inlineStr">
        <is>
          <t>OFICINAS Y DESPACHOS</t>
        </is>
      </c>
      <c r="C47" s="27" t="n">
        <v>250</v>
      </c>
      <c r="D47" s="28" t="inlineStr">
        <is>
          <t>NO</t>
        </is>
      </c>
      <c r="E47" s="29" t="inlineStr">
        <is>
          <t>180 / 100</t>
        </is>
      </c>
      <c r="F47" s="16" t="inlineStr">
        <is>
          <t>NTC-Criterios y Acciones 2023 (CDMX) Tabla 6.1.2.2 b), p. 11 — cotejar contra la tabla oficial</t>
        </is>
      </c>
    </row>
    <row r="48" ht="24" customHeight="1">
      <c r="B48" s="26" t="inlineStr">
        <is>
          <t>AULAS</t>
        </is>
      </c>
      <c r="C48" s="27" t="n">
        <v>250</v>
      </c>
      <c r="D48" s="28" t="inlineStr">
        <is>
          <t>NO</t>
        </is>
      </c>
      <c r="E48" s="29" t="inlineStr">
        <is>
          <t>180 / 100</t>
        </is>
      </c>
      <c r="F48" s="16" t="inlineStr">
        <is>
          <t>NTC-Criterios y Acciones 2023 (CDMX) Tabla 6.1.2.2 c), p. 11 — cotejar contra la tabla oficial</t>
        </is>
      </c>
    </row>
    <row r="49" ht="24" customHeight="1">
      <c r="B49" s="26" t="inlineStr">
        <is>
          <t>PASILLOS, ESCALERAS Y VESTÍBULOS</t>
        </is>
      </c>
      <c r="C49" s="27" t="n">
        <v>350</v>
      </c>
      <c r="D49" s="28" t="inlineStr">
        <is>
          <t>NO</t>
        </is>
      </c>
      <c r="E49" s="29" t="inlineStr">
        <is>
          <t>150 / 40</t>
        </is>
      </c>
      <c r="F49" s="16" t="inlineStr">
        <is>
          <t>NTC-Criterios y Acciones 2023 (CDMX) Tabla 6.1.2.2 d), p. 11 — cotejar contra la tabla oficial</t>
        </is>
      </c>
    </row>
    <row r="50" ht="24" customHeight="1">
      <c r="B50" s="26" t="inlineStr">
        <is>
          <t>LUGARES DE REUNIÓN (con asientos)</t>
        </is>
      </c>
      <c r="C50" s="27" t="n">
        <v>350</v>
      </c>
      <c r="D50" s="28" t="inlineStr">
        <is>
          <t>NO</t>
        </is>
      </c>
      <c r="E50" s="29" t="inlineStr">
        <is>
          <t>250 / 40</t>
        </is>
      </c>
      <c r="F50" s="16" t="inlineStr">
        <is>
          <t>NTC-Criterios y Acciones 2023 (CDMX) Tabla 6.1.2.2 f), p. 11 — cotejar contra la tabla oficial</t>
        </is>
      </c>
    </row>
    <row r="51" ht="24" customHeight="1">
      <c r="B51" s="26" t="inlineStr">
        <is>
          <t>AZOTEA (pendiente ≤ 5 %)</t>
        </is>
      </c>
      <c r="C51" s="27" t="n">
        <v>100</v>
      </c>
      <c r="D51" s="28" t="inlineStr">
        <is>
          <t>SÍ</t>
        </is>
      </c>
      <c r="E51" s="29" t="inlineStr">
        <is>
          <t>70 / 15</t>
        </is>
      </c>
      <c r="F51" s="16" t="inlineStr">
        <is>
          <t>NTC-Criterios y Acciones 2023 (CDMX) Tabla 6.1.2.2 h), p. 11 (cotejado por la hoja de Casa Rocha)</t>
        </is>
      </c>
    </row>
    <row r="52" ht="24" customHeight="1">
      <c r="B52" s="26" t="inlineStr">
        <is>
          <t>AZOTEA (pendiente &gt; 5 %) Y CUBIERTAS</t>
        </is>
      </c>
      <c r="C52" s="27" t="n">
        <v>40</v>
      </c>
      <c r="D52" s="28" t="inlineStr">
        <is>
          <t>SÍ</t>
        </is>
      </c>
      <c r="E52" s="29" t="inlineStr">
        <is>
          <t>20 / 5</t>
        </is>
      </c>
      <c r="F52" s="16" t="inlineStr">
        <is>
          <t>NTC-Criterios y Acciones 2023 (CDMX) Tabla 6.1.2.2 i), p. 11 — cotejar contra la tabla oficial</t>
        </is>
      </c>
    </row>
    <row r="53" ht="24" customHeight="1">
      <c r="B53" s="26" t="inlineStr">
        <is>
          <t>VOLADOS EN VÍA PÚBLICA (balcones)</t>
        </is>
      </c>
      <c r="C53" s="27" t="n">
        <v>300</v>
      </c>
      <c r="D53" s="28" t="inlineStr">
        <is>
          <t>NO</t>
        </is>
      </c>
      <c r="E53" s="29" t="inlineStr">
        <is>
          <t>70 / 15</t>
        </is>
      </c>
      <c r="F53" s="16" t="inlineStr">
        <is>
          <t>NTC-Criterios y Acciones 2023 (CDMX) Tabla 6.1.2.2 j), p. 11 — cotejar contra la tabla oficial</t>
        </is>
      </c>
    </row>
    <row r="54" ht="24" customHeight="1">
      <c r="B54" s="26" t="inlineStr">
        <is>
          <t>ESTACIONAMIENTO (sólo autos)</t>
        </is>
      </c>
      <c r="C54" s="27" t="n">
        <v>250</v>
      </c>
      <c r="D54" s="28" t="inlineStr">
        <is>
          <t>NO</t>
        </is>
      </c>
      <c r="E54" s="29" t="inlineStr">
        <is>
          <t>100 / 40</t>
        </is>
      </c>
      <c r="F54" s="16" t="inlineStr">
        <is>
          <t>NTC-Criterios y Acciones 2023 (CDMX) Tabla 6.1.2.2 k), p. 11 — cotejar contra la tabla oficial</t>
        </is>
      </c>
    </row>
    <row r="55" ht="24" customHeight="1">
      <c r="B55" s="26" t="inlineStr">
        <is>
          <t>OTRO (captura del usuario)</t>
        </is>
      </c>
      <c r="C55" s="27" t="n">
        <v>190</v>
      </c>
      <c r="D55" s="28" t="inlineStr">
        <is>
          <t>NO</t>
        </is>
      </c>
      <c r="E55" s="29" t="inlineStr">
        <is>
          <t>— / —</t>
        </is>
      </c>
      <c r="F55" s="16" t="inlineStr">
        <is>
          <t>CAPTURA del usuario: cambia el nombre y los valores</t>
        </is>
      </c>
    </row>
    <row r="56" ht="6" customHeight="1"/>
    <row r="57" ht="21" customHeight="1">
      <c r="B57" s="3" t="inlineStr">
        <is>
          <t>5. RECUBRIMIENTOS, EXPOSICIÓN Y DETALLADO</t>
        </is>
      </c>
    </row>
    <row r="58" ht="30" customHeight="1">
      <c r="B58" s="11" t="inlineStr">
        <is>
          <t>Concepto</t>
        </is>
      </c>
      <c r="C58" s="11" t="inlineStr">
        <is>
          <t>Valor</t>
        </is>
      </c>
      <c r="D58" s="11" t="inlineStr">
        <is>
          <t>Unidad</t>
        </is>
      </c>
      <c r="E58" s="11" t="inlineStr">
        <is>
          <t>Cómo se calcula / de dónde sale</t>
        </is>
      </c>
      <c r="F58" s="11" t="inlineStr">
        <is>
          <t>Referencia</t>
        </is>
      </c>
    </row>
    <row r="59" ht="43.5" customHeight="1">
      <c r="B59" s="12" t="inlineStr">
        <is>
          <t>r — recubrimiento libre en losas y nervaduras (interior, A1)</t>
        </is>
      </c>
      <c r="C59" s="30" t="n">
        <v>2</v>
      </c>
      <c r="D59" s="14" t="inlineStr">
        <is>
          <t>cm</t>
        </is>
      </c>
      <c r="E59" s="15" t="inlineStr">
        <is>
          <t>CAPTURA. El mayor de 15 mm (colocación), 0.75 × 25 mm = 19 mm (A1) y 20 mm (losas y viguetas no expuestas). Lo usan las losas macizas y las nervaduras que cumplen 6.7.8.1.4.</t>
        </is>
      </c>
      <c r="F59" s="16" t="inlineStr">
        <is>
          <t>NTC-Concreto 2023 (CDMX) 4.13.1.1 y 4.13.2.2 b), p. 83 · Tabla 4.14.16.a, p. 85</t>
        </is>
      </c>
    </row>
    <row r="60" ht="70.5" customHeight="1">
      <c r="B60" s="12" t="inlineStr">
        <is>
          <t>r de viga — nervaduras de tableros que no cumplen 6.7.8.1.4</t>
        </is>
      </c>
      <c r="C60" s="30" t="n">
        <v>4</v>
      </c>
      <c r="D60" s="14" t="inlineStr">
        <is>
          <t>cm</t>
        </is>
      </c>
      <c r="E60" s="15" t="inlineStr">
        <is>
          <t>CAPTURA. Si a_c &gt; claro corto/6 la losa se diseña como losa apoyada en vigas (6.7.8.1.9): sus nervaduras ya no son «viguetas» y llevan el recubrimiento de viga (40 mm). También es el que se descuenta del ancho del apoyo al revisar anclajes.</t>
        </is>
      </c>
      <c r="F60" s="16" t="inlineStr">
        <is>
          <t>NTC-Concreto 2023 (CDMX) Tabla 4.14.16.a, p. 85 · 6.7.8.1.9, p. 188</t>
        </is>
      </c>
    </row>
    <row r="61" ht="43.5" customHeight="1">
      <c r="B61" s="12" t="inlineStr">
        <is>
          <t>r_ext — recubrimiento de caras a la intemperie (barras ≤ No. 5)</t>
        </is>
      </c>
      <c r="C61" s="30" t="n">
        <v>4</v>
      </c>
      <c r="D61" s="14" t="inlineStr">
        <is>
          <t>cm</t>
        </is>
      </c>
      <c r="E61" s="15" t="inlineStr">
        <is>
          <t>CAPTURA. Lecho inferior de todo volado y lecho superior de volados y azoteas si así lo indican los selectores de abajo. Con No. 6 o mayor son 5 cm.</t>
        </is>
      </c>
      <c r="F61" s="16" t="inlineStr">
        <is>
          <t>NTC-Concreto 2023 (CDMX) Tabla 4.14.16.a, p. 85 · Tabla 4.3.1, p. 76</t>
        </is>
      </c>
    </row>
    <row r="62" ht="43.5" customHeight="1">
      <c r="B62" s="12" t="inlineStr">
        <is>
          <t>¿Se anotan en planos las precauciones de 3.9.2? (casetón de medida fija y silletas que fijan el lecho superior)</t>
        </is>
      </c>
      <c r="C62" s="13" t="inlineStr">
        <is>
          <t>SÍ</t>
        </is>
      </c>
      <c r="D62" s="14" t="inlineStr">
        <is>
          <t>—</t>
        </is>
      </c>
      <c r="E62" s="15" t="inlineStr">
        <is>
          <t>SELECTOR. Si dices NO: b_w − 2 cm en flexión negativa y cortante cuando b_w &lt; 20 cm, y d − 2 cm en el lecho superior donde d ≤ 20 cm (nervadas y macizas).</t>
        </is>
      </c>
      <c r="F62" s="16" t="inlineStr">
        <is>
          <t>NTC-Concreto 2023 (CDMX) 3.9.1 d) y e) y 3.9.2, p. 74</t>
        </is>
      </c>
    </row>
    <row r="63" ht="43.5" customHeight="1">
      <c r="B63" s="12" t="inlineStr">
        <is>
          <t>¿La cara superior de las AZOTEAS queda expuesta directo a la intemperie?</t>
        </is>
      </c>
      <c r="C63" s="13" t="inlineStr">
        <is>
          <t>NO</t>
        </is>
      </c>
      <c r="D63" s="14" t="inlineStr">
        <is>
          <t>—</t>
        </is>
      </c>
      <c r="E63" s="15" t="inlineStr">
        <is>
          <t>SELECTOR. Con relleno, entortado e impermeabilizante se toma como protegida (criterio del Responsable). Si dices SÍ, el lecho superior de azotea usa r_ext.</t>
        </is>
      </c>
      <c r="F63" s="16" t="inlineStr">
        <is>
          <t>NTC-Concreto 2023 (CDMX) 4.3.2 y Tabla 4.3.1, p. 76</t>
        </is>
      </c>
    </row>
    <row r="64" ht="84" customHeight="1">
      <c r="B64" s="12" t="inlineStr">
        <is>
          <t>¿La cara superior de los VOLADOS queda a la intemperie?</t>
        </is>
      </c>
      <c r="C64" s="13" t="inlineStr">
        <is>
          <t>NO</t>
        </is>
      </c>
      <c r="D64" s="14" t="inlineStr">
        <is>
          <t>—</t>
        </is>
      </c>
      <c r="E64" s="15" t="inlineStr">
        <is>
          <t>SELECTOR. NO = terraza o balcón con impermeabilizante y piso (decisión D12 de Casa Rocha). Si el volado queda sin protección recibe la lluvia (A2): pon SÍ y su lecho superior lleva r_ext (la malla al centro de una capa de 6 cm no alcanza ese recubrimiento: la sección 7 lo marca). Su lecho inferior siempre lleva r_ext.</t>
        </is>
      </c>
      <c r="F64" s="16" t="inlineStr">
        <is>
          <t>NTC-Concreto 2023 (CDMX) Tabla 4.3.1 c), p. 76 · Tabla 4.14.16.a, p. 85</t>
        </is>
      </c>
    </row>
    <row r="65" ht="30" customHeight="1">
      <c r="B65" s="12" t="inlineStr">
        <is>
          <t>Tamaño máximo del agregado grueso (TMA)</t>
        </is>
      </c>
      <c r="C65" s="18" t="n">
        <v>1.27</v>
      </c>
      <c r="D65" s="14" t="inlineStr">
        <is>
          <t>cm</t>
        </is>
      </c>
      <c r="E65" s="15" t="inlineStr">
        <is>
          <t>CAPTURA. No más de 2/3 del recubrimiento ni de la separación libre entre barras.</t>
        </is>
      </c>
      <c r="F65" s="16" t="inlineStr">
        <is>
          <t>NTC-Concreto 2023 (CDMX) 2.2.5.2.1, p. 32</t>
        </is>
      </c>
    </row>
    <row r="66" ht="30" customHeight="1">
      <c r="B66" s="12" t="inlineStr">
        <is>
          <t>¿El agregado cabe? (≤ 2/3 de r y de la separación libre)</t>
        </is>
      </c>
      <c r="C66" s="31" t="str">
        <f>IF(DATOS!$C$65&lt;=2/3*MIN(DATOS!$C$59,MAX(2.5,1.5*DATOS!$C$65)),"CUMPLE","NO CUMPLE — usa agregado más chico")</f>
        <v>CUMPLE</v>
      </c>
      <c r="D66" s="14" t="inlineStr">
        <is>
          <t>—</t>
        </is>
      </c>
      <c r="E66" s="15" t="inlineStr">
        <is>
          <t>CALCULADA.</t>
        </is>
      </c>
      <c r="F66" s="16" t="inlineStr">
        <is>
          <t>NTC-Concreto 2023 (CDMX) 2.2.5.2.1, p. 32</t>
        </is>
      </c>
    </row>
    <row r="67" ht="30" customHeight="1">
      <c r="B67" s="12" t="inlineStr">
        <is>
          <t>Separación libre mínima entre varillas</t>
        </is>
      </c>
      <c r="C67" s="23">
        <f>MAX(2.5,1.5*DATOS!$C$65)</f>
        <v>2.5</v>
      </c>
      <c r="D67" s="14" t="inlineStr">
        <is>
          <t>cm</t>
        </is>
      </c>
      <c r="E67" s="15" t="inlineStr">
        <is>
          <t>CALCULADA = el mayor de 25 mm, d_b y 1.5·TMA (d_b se revisa barra por barra).</t>
        </is>
      </c>
      <c r="F67" s="16" t="inlineStr">
        <is>
          <t>NTC-Concreto 2023 (CDMX) 14.2.1, p. 347</t>
        </is>
      </c>
    </row>
    <row r="68" ht="43.5" customHeight="1">
      <c r="B68" s="12" t="inlineStr">
        <is>
          <t>No. de varilla preferida — lecho INFERIOR de nervaduras</t>
        </is>
      </c>
      <c r="C68" s="32" t="n">
        <v>4</v>
      </c>
      <c r="D68" s="14" t="inlineStr">
        <is>
          <t>—</t>
        </is>
      </c>
      <c r="E68" s="15" t="inlineStr">
        <is>
          <t>CAPTURA. Mínimo No. 4: toda nervadura lleva al menos 1 No. 4 abajo y 1 No. 4 arriba, corridas. Si no alcanza, la hoja sube sola de número.</t>
        </is>
      </c>
      <c r="F68" s="16" t="inlineStr">
        <is>
          <t>NTC-Concreto 2023 (CDMX) 6.7.6.1.3, p. 175</t>
        </is>
      </c>
    </row>
    <row r="69" ht="30" customHeight="1">
      <c r="B69" s="12" t="inlineStr">
        <is>
          <t>No. de varilla preferida — lecho SUPERIOR de nervaduras</t>
        </is>
      </c>
      <c r="C69" s="32" t="n">
        <v>4</v>
      </c>
      <c r="D69" s="14" t="inlineStr">
        <is>
          <t>—</t>
        </is>
      </c>
      <c r="E69" s="15" t="inlineStr">
        <is>
          <t>CAPTURA. Una varilla superior es corrida y las demás son bastones.</t>
        </is>
      </c>
      <c r="F69" s="16" t="inlineStr">
        <is>
          <t>NTC-Concreto 2023 (CDMX) 6.7.6.1.3, p. 175</t>
        </is>
      </c>
    </row>
    <row r="70" ht="30" customHeight="1">
      <c r="B70" s="12" t="inlineStr">
        <is>
          <t>Máximo de varillas por lecho en una nervadura</t>
        </is>
      </c>
      <c r="C70" s="17" t="n">
        <v>2</v>
      </c>
      <c r="D70" s="14" t="inlineStr">
        <is>
          <t>pzas</t>
        </is>
      </c>
      <c r="E70" s="15" t="inlineStr">
        <is>
          <t>CAPTURA. Además se revisa que quepan con la separación libre mínima.</t>
        </is>
      </c>
      <c r="F70" s="16" t="inlineStr">
        <is>
          <t>NTC-Concreto 2023 (CDMX) 14.2.1, p. 347</t>
        </is>
      </c>
    </row>
    <row r="71" ht="30" customHeight="1">
      <c r="B71" s="12" t="inlineStr">
        <is>
          <t>Mínimo de varillas por lecho y por nervadura</t>
        </is>
      </c>
      <c r="C71" s="17" t="n">
        <v>1</v>
      </c>
      <c r="D71" s="14" t="inlineStr">
        <is>
          <t>pzas</t>
        </is>
      </c>
      <c r="E71" s="15" t="inlineStr">
        <is>
          <t>CAPTURA. 1 corrida. Si As colocada &lt; 4/3 de la requerida, la hoja pide 2 (As mín de viga).</t>
        </is>
      </c>
      <c r="F71" s="16" t="inlineStr">
        <is>
          <t>NTC-Concreto 2023 (CDMX) 6.7.6.1.3, p. 175 · 6.3.5.1.1 y 6.3.5.1.3, p. 122</t>
        </is>
      </c>
    </row>
    <row r="72" ht="84" customHeight="1">
      <c r="B72" s="12" t="inlineStr">
        <is>
          <t>Ancho del apoyo en bordes DISCONTINUOS (para anclar)</t>
        </is>
      </c>
      <c r="C72" s="17" t="n">
        <v>40</v>
      </c>
      <c r="D72" s="14" t="inlineStr">
        <is>
          <t>cm</t>
        </is>
      </c>
      <c r="E72" s="15" t="inlineStr">
        <is>
          <t>CAPTURA. Dala de borde armada (o macizo de borde) donde rematan con gancho de 180° la varilla inferior (1.25 fy en el paño interior, ≥ 15 cm dentro) y el bastón superior (fy), como en la decisión D9 de Casa Rocha. Con un muro de 15 cm sin dala ancha, pon 15: la hoja pedirá una dala más ancha.</t>
        </is>
      </c>
      <c r="F72" s="16" t="inlineStr">
        <is>
          <t>NTC-Concreto 2023 (CDMX) 6.7.8.1.7, p. 188 · 6.7.7.4.1.1 a) y b), p. 179 · 14.4.3.1, p. 355</t>
        </is>
      </c>
    </row>
    <row r="73" ht="57" customHeight="1">
      <c r="B73" s="12" t="inlineStr">
        <is>
          <t>Peralte de la dala de borde</t>
        </is>
      </c>
      <c r="C73" s="17" t="n">
        <v>25</v>
      </c>
      <c r="D73" s="14" t="inlineStr">
        <is>
          <t>cm</t>
        </is>
      </c>
      <c r="E73" s="15" t="inlineStr">
        <is>
          <t>CAPTURA. Donde se dobla el gancho de 180° (alto 8·d_b) entre los recubrimientos de viga arriba y abajo. En nervadas suele ser h; bajo una losa maciza, la dala suele bajar más que la losa.</t>
        </is>
      </c>
      <c r="F73" s="16" t="inlineStr">
        <is>
          <t>NTC-Concreto 2023 (CDMX) Tabla 14.3.1, p. 349 · 14.4.3.1, p. 355</t>
        </is>
      </c>
    </row>
    <row r="74" ht="6" customHeight="1"/>
    <row r="75" ht="21" customHeight="1">
      <c r="B75" s="3" t="inlineStr">
        <is>
          <t>6. LOSA NERVADA — SECCIÓN TIPO</t>
        </is>
      </c>
    </row>
    <row r="76" ht="30" customHeight="1">
      <c r="B76" s="24" t="inlineStr">
        <is>
          <t>Casetón a_c × a_c × h_c, nervadura b_w y capa t. Cada tablero de NERVADAS puede usar otro b_w (p. ej. 20 cm en volados): entonces conserva la separación s y el casetón se angosta a s − b_w.</t>
        </is>
      </c>
      <c r="C76" s="25" t="n"/>
      <c r="D76" s="25" t="n"/>
      <c r="E76" s="25" t="n"/>
      <c r="F76" s="25" t="n"/>
    </row>
    <row r="77" ht="30" customHeight="1">
      <c r="B77" s="11" t="inlineStr">
        <is>
          <t>Concepto</t>
        </is>
      </c>
      <c r="C77" s="11" t="inlineStr">
        <is>
          <t>Valor</t>
        </is>
      </c>
      <c r="D77" s="11" t="inlineStr">
        <is>
          <t>Unidad</t>
        </is>
      </c>
      <c r="E77" s="11" t="inlineStr">
        <is>
          <t>Cómo se calcula / de dónde sale</t>
        </is>
      </c>
      <c r="F77" s="11" t="inlineStr">
        <is>
          <t>Referencia</t>
        </is>
      </c>
    </row>
    <row r="78" ht="30" customHeight="1">
      <c r="B78" s="12" t="inlineStr">
        <is>
          <t>a_c — lado del casetón (separación libre entre nervaduras)</t>
        </is>
      </c>
      <c r="C78" s="17" t="n">
        <v>60</v>
      </c>
      <c r="D78" s="14" t="inlineStr">
        <is>
          <t>cm</t>
        </is>
      </c>
      <c r="E78" s="15" t="inlineStr">
        <is>
          <t>CAPTURA. ≤ 80 cm y ≤ claro corto/6 para que cuente como encasetonada (se revisa por tablero).</t>
        </is>
      </c>
      <c r="F78" s="16" t="inlineStr">
        <is>
          <t>NTC-Concreto 2023 (CDMX) 6.7.8.1.4, p. 187</t>
        </is>
      </c>
    </row>
    <row r="79" ht="30" customHeight="1">
      <c r="B79" s="12" t="inlineStr">
        <is>
          <t>h_c — altura del casetón</t>
        </is>
      </c>
      <c r="C79" s="17" t="n">
        <v>19</v>
      </c>
      <c r="D79" s="14" t="inlineStr">
        <is>
          <t>cm</t>
        </is>
      </c>
      <c r="E79" s="15" t="inlineStr">
        <is>
          <t>CAPTURA. Con t = 6 cm da h = 25 cm (LR-25, casetón 60×60×19 de la hoja de Casa Rocha, decisión D3).</t>
        </is>
      </c>
      <c r="F79" s="16" t="inlineStr">
        <is>
          <t>Dato del proyecto</t>
        </is>
      </c>
    </row>
    <row r="80" ht="19.5" customHeight="1">
      <c r="B80" s="12" t="inlineStr">
        <is>
          <t>b_w — ancho de la nervadura</t>
        </is>
      </c>
      <c r="C80" s="17" t="n">
        <v>10</v>
      </c>
      <c r="D80" s="14" t="inlineStr">
        <is>
          <t>cm</t>
        </is>
      </c>
      <c r="E80" s="15" t="inlineStr">
        <is>
          <t>CAPTURA. Mínimo 10 cm en cualquier punto del peralte.</t>
        </is>
      </c>
      <c r="F80" s="16" t="inlineStr">
        <is>
          <t>NTC-Concreto 2023 (CDMX) 6.7.8.1.2, p. 187</t>
        </is>
      </c>
    </row>
    <row r="81" ht="30" customHeight="1">
      <c r="B81" s="12" t="inlineStr">
        <is>
          <t>t — espesor de la capa de compresión</t>
        </is>
      </c>
      <c r="C81" s="17" t="n">
        <v>6</v>
      </c>
      <c r="D81" s="14" t="inlineStr">
        <is>
          <t>cm</t>
        </is>
      </c>
      <c r="E81" s="15" t="inlineStr">
        <is>
          <t>CAPTURA. Mínimo el mayor de a_c/13 y 5 cm; 6 cm si algún claro es ≥ 6 m (diafragma).</t>
        </is>
      </c>
      <c r="F81" s="16" t="inlineStr">
        <is>
          <t>NTC-Concreto 2023 (CDMX) 6.7.8.3.1, p. 188 · 6.8.3.1.2, p. 189</t>
        </is>
      </c>
    </row>
    <row r="82" ht="19.5" customHeight="1">
      <c r="B82" s="12" t="inlineStr">
        <is>
          <t>h — peralte total</t>
        </is>
      </c>
      <c r="C82" s="33">
        <f>DATOS!$C$79+DATOS!$C$81</f>
        <v>25</v>
      </c>
      <c r="D82" s="14" t="inlineStr">
        <is>
          <t>cm</t>
        </is>
      </c>
      <c r="E82" s="15" t="inlineStr">
        <is>
          <t>CALCULADA = h_c + t. Máximo 3.5·b_w.</t>
        </is>
      </c>
      <c r="F82" s="16" t="inlineStr">
        <is>
          <t>NTC-Concreto 2023 (CDMX) 6.7.8.1.3, p. 187</t>
        </is>
      </c>
    </row>
    <row r="83" ht="19.5" customHeight="1">
      <c r="B83" s="12" t="inlineStr">
        <is>
          <t>s — separación entre ejes de nervaduras</t>
        </is>
      </c>
      <c r="C83" s="33">
        <f>DATOS!$C$78+DATOS!$C$80</f>
        <v>70</v>
      </c>
      <c r="D83" s="14" t="inlineStr">
        <is>
          <t>cm</t>
        </is>
      </c>
      <c r="E83" s="15" t="inlineStr">
        <is>
          <t>CALCULADA = a_c + b_w. Ancho tributario de cada nervadura.</t>
        </is>
      </c>
      <c r="F83" s="16" t="inlineStr">
        <is>
          <t>Geometría</t>
        </is>
      </c>
    </row>
    <row r="84" ht="30" customHeight="1">
      <c r="B84" s="12" t="inlineStr">
        <is>
          <t>b_p — ancho del apoyo (muro, dala o trabe) en los bordes</t>
        </is>
      </c>
      <c r="C84" s="17" t="n">
        <v>15</v>
      </c>
      <c r="D84" s="14" t="inlineStr">
        <is>
          <t>cm</t>
        </is>
      </c>
      <c r="E84" s="15" t="inlineStr">
        <is>
          <t>CAPTURA. Claro libre L_n = claro a ejes − b_p (en volados − b_p/2). Lo usan nervadas y macizas.</t>
        </is>
      </c>
      <c r="F84" s="16" t="inlineStr">
        <is>
          <t>NTC-Concreto 2023 (CDMX) 6.3.2.1, p. 117</t>
        </is>
      </c>
    </row>
    <row r="85" ht="30" customHeight="1">
      <c r="B85" s="12" t="inlineStr">
        <is>
          <t>¿La sección cumple las limitaciones de losa encasetonada? (b_w, h, t)</t>
        </is>
      </c>
      <c r="C85" s="34" t="str">
        <f>IF(AND(DATOS!$C$80&gt;=10,DATOS!$C$82&lt;=3.5*DATOS!$C$80,DATOS!$C$81&gt;=MAX(DATOS!$C$78/13,5),DATOS!$C$78&lt;=80),"CUMPLE","NO CUMPLE")</f>
        <v>CUMPLE</v>
      </c>
      <c r="D85" s="14" t="inlineStr">
        <is>
          <t>—</t>
        </is>
      </c>
      <c r="E85" s="15" t="inlineStr">
        <is>
          <t>CALCULADA: b_w ≥ 10 cm, h ≤ 3.5·b_w, t ≥ máx(a_c/13, 5 cm), a_c ≤ 80 cm. El claro ≥ 6·a_c se revisa por tablero.</t>
        </is>
      </c>
      <c r="F85" s="16" t="inlineStr">
        <is>
          <t>NTC-Concreto 2023 (CDMX) 6.7.8.1.2 a 6.7.8.1.4, p. 187 · 6.7.8.3.1, p. 188</t>
        </is>
      </c>
    </row>
    <row r="86" ht="19.5" customHeight="1">
      <c r="B86" s="12" t="inlineStr">
        <is>
          <t>Volumen de concreto por m²</t>
        </is>
      </c>
      <c r="C86" s="35">
        <f>DATOS!$C$82/100-(DATOS!$C$78/100)^2*(DATOS!$C$79/100)/(DATOS!$C$83/100)^2</f>
        <v>0.110408163265306</v>
      </c>
      <c r="D86" s="14" t="inlineStr">
        <is>
          <t>m³/m²</t>
        </is>
      </c>
      <c r="E86" s="15" t="inlineStr">
        <is>
          <t>CALCULADA = h − a_c²·h_c/s².</t>
        </is>
      </c>
      <c r="F86" s="16" t="inlineStr">
        <is>
          <t>Geometría</t>
        </is>
      </c>
    </row>
    <row r="87" ht="19.5" customHeight="1">
      <c r="B87" s="12" t="inlineStr">
        <is>
          <t>Peso propio geométrico</t>
        </is>
      </c>
      <c r="C87" s="36">
        <f>(DATOS!$C$86*DATOS!$C$16+(DATOS!$C$78/100)^2*(DATOS!$C$79/100)/(DATOS!$C$83/100)^2*DATOS!$C$17)*1000</f>
        <v>267.073469387755</v>
      </c>
      <c r="D87" s="14" t="inlineStr">
        <is>
          <t>kg/m²</t>
        </is>
      </c>
      <c r="E87" s="15" t="inlineStr">
        <is>
          <t>CALCULADA = V·γc + casetón·γ_casetón.</t>
        </is>
      </c>
      <c r="F87" s="16" t="inlineStr">
        <is>
          <t>Geometría</t>
        </is>
      </c>
    </row>
    <row r="88" ht="30" customHeight="1">
      <c r="B88" s="12" t="inlineStr">
        <is>
          <t>Peso propio de diseño (+ incrementos de la sección 3)</t>
        </is>
      </c>
      <c r="C88" s="36">
        <f>DATOS!$C$87+DATOS!$C$37+DATOS!$C$38</f>
        <v>307.073469387755</v>
      </c>
      <c r="D88" s="14" t="inlineStr">
        <is>
          <t>kg/m²</t>
        </is>
      </c>
      <c r="E88" s="15" t="inlineStr">
        <is>
          <t>CALCULADA. Con b_w propio en un tablero, NERVADAS lo recalcula en ese renglón.</t>
        </is>
      </c>
      <c r="F88" s="16" t="inlineStr">
        <is>
          <t>NTC-Criterios y Acciones 2023 (CDMX) 5.1.2.1, p. 9</t>
        </is>
      </c>
    </row>
    <row r="89" ht="19.5" customHeight="1">
      <c r="B89" s="12" t="inlineStr">
        <is>
          <t>A_T — área de la sección T de una nervadura</t>
        </is>
      </c>
      <c r="C89" s="22">
        <f>DATOS!$C$83*DATOS!$C$81+DATOS!$C$80*DATOS!$C$79</f>
        <v>610</v>
      </c>
      <c r="D89" s="14" t="inlineStr">
        <is>
          <t>cm²</t>
        </is>
      </c>
      <c r="E89" s="15" t="inlineStr">
        <is>
          <t>CALCULADA = s·t + b_w·h_c.</t>
        </is>
      </c>
      <c r="F89" s="16" t="inlineStr">
        <is>
          <t>Geometría</t>
        </is>
      </c>
    </row>
    <row r="90" ht="19.5" customHeight="1">
      <c r="B90" s="12" t="inlineStr">
        <is>
          <t>ȳ — centroide medido desde arriba</t>
        </is>
      </c>
      <c r="C90" s="23">
        <f>(DATOS!$C$83*DATOS!$C$81*DATOS!$C$81/2+DATOS!$C$80*DATOS!$C$79*(DATOS!$C$81+DATOS!$C$79/2))/DATOS!$C$89</f>
        <v>6.89344262295082</v>
      </c>
      <c r="D90" s="14" t="inlineStr">
        <is>
          <t>cm</t>
        </is>
      </c>
      <c r="E90" s="15" t="inlineStr">
        <is>
          <t>CALCULADA.</t>
        </is>
      </c>
      <c r="F90" s="16" t="inlineStr">
        <is>
          <t>Geometría</t>
        </is>
      </c>
    </row>
    <row r="91" ht="30" customHeight="1">
      <c r="B91" s="12" t="inlineStr">
        <is>
          <t>I_T — inercia bruta de una nervadura con su patín</t>
        </is>
      </c>
      <c r="C91" s="20">
        <f>DATOS!$C$83*DATOS!$C$81^3/12+DATOS!$C$83*DATOS!$C$81*(DATOS!$C$90-DATOS!$C$81/2)^2+DATOS!$C$80*DATOS!$C$79^3/12+DATOS!$C$80*DATOS!$C$79*(DATOS!$C$81+DATOS!$C$79/2-DATOS!$C$90)^2</f>
        <v>27416.4071038251</v>
      </c>
      <c r="D91" s="14" t="inlineStr">
        <is>
          <t>cm⁴</t>
        </is>
      </c>
      <c r="E91" s="15" t="inlineStr">
        <is>
          <t>CALCULADA (Steiner).</t>
        </is>
      </c>
      <c r="F91" s="16" t="inlineStr">
        <is>
          <t>Geometría</t>
        </is>
      </c>
    </row>
    <row r="92" ht="30" customHeight="1">
      <c r="B92" s="12" t="inlineStr">
        <is>
          <t>h_eq — losa maciza de la misma inercia</t>
        </is>
      </c>
      <c r="C92" s="37">
        <f>(12*DATOS!$C$91/DATOS!$C$83)^(1/3)</f>
        <v>16.7506339743859</v>
      </c>
      <c r="D92" s="14" t="inlineStr">
        <is>
          <t>cm</t>
        </is>
      </c>
      <c r="E92" s="15" t="inlineStr">
        <is>
          <t>CALCULADA = ∛(12·I_T/s). La hoja compara h_eq (no h) contra el espesor mínimo, del lado seguro.</t>
        </is>
      </c>
      <c r="F92" s="16" t="inlineStr">
        <is>
          <t>Criterio de esta hoja · NTC-Concreto 2023 (CDMX) 6.7.3.1, p. 167–168</t>
        </is>
      </c>
    </row>
    <row r="93" ht="30" customHeight="1">
      <c r="B93" s="12" t="inlineStr">
        <is>
          <t>Malla electrosoldada de la capa</t>
        </is>
      </c>
      <c r="C93" s="13" t="inlineStr">
        <is>
          <t>6x6-4/4</t>
        </is>
      </c>
      <c r="D93" s="14" t="inlineStr">
        <is>
          <t>—</t>
        </is>
      </c>
      <c r="E93" s="15" t="inlineStr">
        <is>
          <t>SELECTOR (lista en TABLAS). Sus revisiones están en la sección 7.</t>
        </is>
      </c>
      <c r="F93" s="16" t="inlineStr">
        <is>
          <t>NTC-Concreto 2023 (CDMX) 13.8.2.1.1, p. 345 · 6.7.8.1.8, p. 188 · 6.8.6.4, p. 196</t>
        </is>
      </c>
    </row>
    <row r="94" ht="30" customHeight="1">
      <c r="B94" s="12" t="inlineStr">
        <is>
          <t>Ø del alambre de la malla</t>
        </is>
      </c>
      <c r="C94" s="38">
        <f>INDEX(TABLAS!$C$63:$C$66,MATCH(DATOS!$C$93,TABLAS!$B$63:$B$66,0))/10</f>
        <v>0.572</v>
      </c>
      <c r="D94" s="14" t="inlineStr">
        <is>
          <t>cm</t>
        </is>
      </c>
      <c r="E94" s="15" t="inlineStr">
        <is>
          <t>CALCULADA. La malla va al centro de la capa y las varillas superiores pasan DEBAJO de ella: su d pierde 2·Ø.</t>
        </is>
      </c>
      <c r="F94" s="16" t="inlineStr">
        <is>
          <t>TABLAS sección C</t>
        </is>
      </c>
    </row>
    <row r="95" ht="30" customHeight="1">
      <c r="B95" s="12" t="inlineStr">
        <is>
          <t>d inferior típico (varilla preferida)</t>
        </is>
      </c>
      <c r="C95" s="23">
        <f>DATOS!$C$82-DATOS!$C$59-INDEX(TABLAS!$C$52:$C$58,MATCH(DATOS!$C$68,TABLAS!$B$52:$B$58,0))/2</f>
        <v>22.365</v>
      </c>
      <c r="D95" s="14" t="inlineStr">
        <is>
          <t>cm</t>
        </is>
      </c>
      <c r="E95" s="15" t="inlineStr">
        <is>
          <t>CALCULADA = h − r − d_b/2. NERVADAS lo recalcula con la varilla real, la dirección y el r de cada tablero.</t>
        </is>
      </c>
      <c r="F95" s="16" t="inlineStr">
        <is>
          <t>Geometría</t>
        </is>
      </c>
    </row>
    <row r="96" ht="43.5" customHeight="1">
      <c r="B96" s="12" t="inlineStr">
        <is>
          <t>d superior típico (varilla preferida)</t>
        </is>
      </c>
      <c r="C96" s="23">
        <f>DATOS!$C$82-MAX(DATOS!$C$59,(DATOS!$C$81-2*DATOS!$C$94)/2)-2*DATOS!$C$94-INDEX(TABLAS!$C$52:$C$58,MATCH(DATOS!$C$69,TABLAS!$B$52:$B$58,0))/2</f>
        <v>20.793</v>
      </c>
      <c r="D96" s="14" t="inlineStr">
        <is>
          <t>cm</t>
        </is>
      </c>
      <c r="E96" s="15" t="inlineStr">
        <is>
          <t>CALCULADA = h − máx(r, (t − 2Ø)/2) − 2·Ø malla − d_b/2: la malla va al centro de la capa y la varilla pasa debajo; si r es mayor, manda r.</t>
        </is>
      </c>
      <c r="F96" s="16" t="inlineStr">
        <is>
          <t>Geometría · NTC-Concreto 2023 (CDMX) 3.9.1 d), p. 74</t>
        </is>
      </c>
    </row>
    <row r="97" ht="19.5" customHeight="1">
      <c r="B97" s="12" t="inlineStr">
        <is>
          <t>p_b — cuantía balanceada</t>
        </is>
      </c>
      <c r="C97" s="35">
        <f>DATOS!$C$21/DATOS!$C$14*6000*DATOS!$C$22/(DATOS!$C$14+6000)</f>
        <v>0.025297619047619</v>
      </c>
      <c r="D97" s="14" t="inlineStr">
        <is>
          <t>—</t>
        </is>
      </c>
      <c r="E97" s="15" t="inlineStr">
        <is>
          <t>CALCULADA = (f''c/fy)·6000β1/(fy + 6000).</t>
        </is>
      </c>
      <c r="F97" s="16" t="inlineStr">
        <is>
          <t>NTC-Concreto 2023 (CDMX) ec. 5.2.1.3.1, p. 88</t>
        </is>
      </c>
    </row>
    <row r="98" ht="30" customHeight="1">
      <c r="B98" s="12" t="inlineStr">
        <is>
          <t>p para ε_t = 0.005 (sección controlada por tensión)</t>
        </is>
      </c>
      <c r="C98" s="35">
        <f>0.375*DATOS!$C$22*DATOS!$C$21/DATOS!$C$14</f>
        <v>0.0161272321428571</v>
      </c>
      <c r="D98" s="14" t="inlineStr">
        <is>
          <t>—</t>
        </is>
      </c>
      <c r="E98" s="15" t="inlineStr">
        <is>
          <t>CALCULADA: c ≤ 0.375·d ⇒ p ≤ 0.375·β1·f''c/fy sobre el ancho a compresión.</t>
        </is>
      </c>
      <c r="F98" s="16" t="inlineStr">
        <is>
          <t>NTC-Concreto 2023 (CDMX) Tabla 3.8.2.2, p. 70 · 3.8.2.4, p. 71 · 6.3.3.3.1, p. 121</t>
        </is>
      </c>
    </row>
    <row r="99" ht="30" customHeight="1">
      <c r="B99" s="12" t="inlineStr">
        <is>
          <t>p_max — cuantía máxima</t>
        </is>
      </c>
      <c r="C99" s="39">
        <f>MIN(DATOS!$C$31*DATOS!$C$97,DATOS!$C$98)</f>
        <v>0.0161272321428571</v>
      </c>
      <c r="D99" s="14" t="inlineStr">
        <is>
          <t>—</t>
        </is>
      </c>
      <c r="E99" s="15" t="inlineStr">
        <is>
          <t>CALCULADA = el menor de 0.90·p_b y el de ε_t = 0.005. Vale para nervadas y macizas.</t>
        </is>
      </c>
      <c r="F99" s="16" t="inlineStr">
        <is>
          <t>NTC-Concreto 2023 (CDMX) 6.3.5.2.1, p. 122 · 6.7.3.3.1, p. 169</t>
        </is>
      </c>
    </row>
    <row r="100" ht="30" customHeight="1">
      <c r="B100" s="12" t="inlineStr">
        <is>
          <t>p_min — cuantía mínima por flexión de nervaduras</t>
        </is>
      </c>
      <c r="C100" s="40">
        <f>MAX(0.8*SQRT(DATOS!$C$13),14)/DATOS!$C$14</f>
        <v>0.00333333333333333</v>
      </c>
      <c r="D100" s="14" t="inlineStr">
        <is>
          <t>—</t>
        </is>
      </c>
      <c r="E100" s="15" t="inlineStr">
        <is>
          <t>CALCULADA = el mayor de 0.80·√f'c/fy y 14/fy, sobre b_w·d. Se dispensa si As colocada ≥ 4/3 de la requerida.</t>
        </is>
      </c>
      <c r="F100" s="16" t="inlineStr">
        <is>
          <t>NTC-Concreto 2023 (CDMX) 6.3.5.1.2 y 6.3.5.1.3, p. 122</t>
        </is>
      </c>
    </row>
    <row r="101" ht="43.5" customHeight="1">
      <c r="B101" s="12" t="inlineStr">
        <is>
          <t>α_fm por omisión (rigidez de los apoyos del tablero)</t>
        </is>
      </c>
      <c r="C101" s="18" t="n">
        <v>99</v>
      </c>
      <c r="D101" s="14" t="inlineStr">
        <is>
          <t>—</t>
        </is>
      </c>
      <c r="E101" s="15" t="inlineStr">
        <is>
          <t>CAPTURA. 99 = muros o trabes muy rígidas en los cuatro bordes (α_f → ∞). Con trabes de concreto calcula α_f = I_b/I_s por borde, promedia y ponlo en el tablero.</t>
        </is>
      </c>
      <c r="F101" s="16" t="inlineStr">
        <is>
          <t>NTC-Concreto 2023 (CDMX) Tabla 6.7.3.1.2 nota [1], p. 168</t>
        </is>
      </c>
    </row>
    <row r="102" ht="43.5" customHeight="1">
      <c r="B102" s="12" t="inlineStr">
        <is>
          <t>¿Los bordes discontinuos tienen muro o viga con α_f ≥ 0.8?</t>
        </is>
      </c>
      <c r="C102" s="13" t="inlineStr">
        <is>
          <t>SÍ</t>
        </is>
      </c>
      <c r="D102" s="14" t="inlineStr">
        <is>
          <t>—</t>
        </is>
      </c>
      <c r="E102" s="15" t="inlineStr">
        <is>
          <t>SELECTOR. Si dices NO, el espesor mínimo de la Tabla 6.7.3.1.2 se aumenta 10 % en los tableros con algún borde discontinuo.</t>
        </is>
      </c>
      <c r="F102" s="16" t="inlineStr">
        <is>
          <t>NTC-Concreto 2023 (CDMX) 6.7.3.1.2.1, p. 168</t>
        </is>
      </c>
    </row>
    <row r="103" ht="6" customHeight="1"/>
    <row r="104" ht="21" customHeight="1">
      <c r="B104" s="3" t="inlineStr">
        <is>
          <t>7. CAPA DE COMPRESIÓN Y MALLA (IGUAL PARA TODOS LOS TABLEROS NERVADOS)</t>
        </is>
      </c>
    </row>
    <row r="105" ht="30" customHeight="1">
      <c r="B105" s="11" t="inlineStr">
        <is>
          <t>Concepto</t>
        </is>
      </c>
      <c r="C105" s="11" t="inlineStr">
        <is>
          <t>Valor</t>
        </is>
      </c>
      <c r="D105" s="11" t="inlineStr">
        <is>
          <t>Unidad</t>
        </is>
      </c>
      <c r="E105" s="11" t="inlineStr">
        <is>
          <t>Cómo se calcula / de dónde sale</t>
        </is>
      </c>
      <c r="F105" s="11" t="inlineStr">
        <is>
          <t>Referencia</t>
        </is>
      </c>
    </row>
    <row r="106" ht="19.5" customHeight="1">
      <c r="B106" s="12" t="inlineStr">
        <is>
          <t>As de la malla</t>
        </is>
      </c>
      <c r="C106" s="38">
        <f>INDEX(TABLAS!$D$63:$D$66,MATCH(DATOS!$C$93,TABLAS!$B$63:$B$66,0))</f>
        <v>1.68615297042671</v>
      </c>
      <c r="D106" s="14" t="inlineStr">
        <is>
          <t>cm²/m</t>
        </is>
      </c>
      <c r="E106" s="15" t="inlineStr">
        <is>
          <t>TABLAS sección C.</t>
        </is>
      </c>
      <c r="F106" s="16" t="inlineStr">
        <is>
          <t>TABLAS</t>
        </is>
      </c>
    </row>
    <row r="107" ht="30" customHeight="1">
      <c r="B107" s="12" t="inlineStr">
        <is>
          <t>Temperatura: As mín = 0.0018·t·100</t>
        </is>
      </c>
      <c r="C107" s="38">
        <f>0.0018*DATOS!$C$81*100</f>
        <v>1.08</v>
      </c>
      <c r="D107" s="14" t="inlineStr">
        <is>
          <t>cm²/m</t>
        </is>
      </c>
      <c r="E107" s="15" t="inlineStr">
        <is>
          <t>Ya no depende de fy.</t>
        </is>
      </c>
      <c r="F107" s="16" t="inlineStr">
        <is>
          <t>NTC-Concreto 2023 (CDMX) 13.8.2.1.1, p. 345 · 6.7.8.1.8, p. 188</t>
        </is>
      </c>
    </row>
    <row r="108" ht="30" customHeight="1">
      <c r="B108" s="12" t="inlineStr">
        <is>
          <t>Estado (temperatura)</t>
        </is>
      </c>
      <c r="C108" s="34" t="str">
        <f>IF(DATOS!$C$106&gt;=DATOS!$C$107,"CUMPLE","NO CUMPLE")</f>
        <v>CUMPLE</v>
      </c>
      <c r="D108" s="14" t="inlineStr">
        <is>
          <t>—</t>
        </is>
      </c>
      <c r="E108" s="15" t="inlineStr">
        <is>
          <t>—</t>
        </is>
      </c>
      <c r="F108" s="16" t="inlineStr">
        <is>
          <t>—</t>
        </is>
      </c>
    </row>
    <row r="109" ht="30" customHeight="1">
      <c r="B109" s="12" t="inlineStr">
        <is>
          <t>Diafragma: cuantía mínima por cortante = 0.0025·t·100</t>
        </is>
      </c>
      <c r="C109" s="38">
        <f>0.0025*DATOS!$C$81*100</f>
        <v>1.5</v>
      </c>
      <c r="D109" s="14" t="inlineStr">
        <is>
          <t>cm²/m</t>
        </is>
      </c>
      <c r="E109" s="15" t="inlineStr">
        <is>
          <t>Sólo cuenta el acero de la capa.</t>
        </is>
      </c>
      <c r="F109" s="16" t="inlineStr">
        <is>
          <t>NTC-Concreto 2023 (CDMX) 6.8.6.4 y 6.8.6.3, p. 196</t>
        </is>
      </c>
    </row>
    <row r="110" ht="30" customHeight="1">
      <c r="B110" s="12" t="inlineStr">
        <is>
          <t>Estado (diafragma)</t>
        </is>
      </c>
      <c r="C110" s="34" t="str">
        <f>IF(DATOS!$C$106&gt;=DATOS!$C$109-0.0005,"CUMPLE","NO CUMPLE: "&amp;TEXT(DATOS!$C$106/DATOS!$C$109,"0%")&amp;" — sube la malla o la capa")</f>
        <v>CUMPLE</v>
      </c>
      <c r="D110" s="14" t="inlineStr">
        <is>
          <t>—</t>
        </is>
      </c>
      <c r="E110" s="15" t="inlineStr">
        <is>
          <t>—</t>
        </is>
      </c>
      <c r="F110" s="16" t="inlineStr">
        <is>
          <t>—</t>
        </is>
      </c>
    </row>
    <row r="111" ht="30" customHeight="1">
      <c r="B111" s="12" t="inlineStr">
        <is>
          <t>Recubrimiento de la malla centrada en la capa (¿cabe?)</t>
        </is>
      </c>
      <c r="C111" s="23">
        <f>(DATOS!$C$81-2*DATOS!$C$94)/2</f>
        <v>2.428</v>
      </c>
      <c r="D111" s="14" t="inlineStr">
        <is>
          <t>cm</t>
        </is>
      </c>
      <c r="E111" s="15" t="inlineStr">
        <is>
          <t>(t − 2Ø)/2 ≥ r (≥ r_ext donde la cara superior queda expuesta).</t>
        </is>
      </c>
      <c r="F111" s="16" t="inlineStr">
        <is>
          <t>NTC-Concreto 2023 (CDMX) Tabla 4.14.16.a, p. 85 · 4.3.2, p. 76</t>
        </is>
      </c>
    </row>
    <row r="112" ht="30" customHeight="1">
      <c r="B112" s="12" t="inlineStr">
        <is>
          <t>Estado (cabe con su recubrimiento)</t>
        </is>
      </c>
      <c r="C112" s="34" t="str">
        <f>IF(DATOS!$C$111&gt;=IF(OR(DATOS!$C$63="SÍ",DATOS!$C$64="SÍ"),DATOS!$C$61,DATOS!$C$59)-0.005,"CUMPLE",IF(DATOS!$C$111&gt;=DATOS!$C$59-0.005,"NO CUMPLE en zonas expuestas: protegerlas o engrosar ahí la capa","NO CUMPLE: no cabe"))</f>
        <v>CUMPLE</v>
      </c>
      <c r="D112" s="14" t="inlineStr">
        <is>
          <t>—</t>
        </is>
      </c>
      <c r="E112" s="15" t="inlineStr">
        <is>
          <t>—</t>
        </is>
      </c>
      <c r="F112" s="16" t="inlineStr">
        <is>
          <t>—</t>
        </is>
      </c>
    </row>
    <row r="113" ht="30" customHeight="1">
      <c r="B113" s="12" t="inlineStr">
        <is>
          <t>Separación de la malla (15.24 cm) ≤ máx. permitida</t>
        </is>
      </c>
      <c r="C113" s="31" t="str">
        <f>IF(15.24&lt;=MIN(5*DATOS!$C$81,45,30),"CUMPLE","NO CUMPLE")</f>
        <v>CUMPLE</v>
      </c>
      <c r="D113" s="14" t="inlineStr">
        <is>
          <t>—</t>
        </is>
      </c>
      <c r="E113" s="15" t="inlineStr">
        <is>
          <t>El menor de 5t, 45 cm y 30 cm entre alambres soldados.</t>
        </is>
      </c>
      <c r="F113" s="16" t="inlineStr">
        <is>
          <t>NTC-Concreto 2023 (CDMX) 6.8.7.3, p. 196 · 2.4.2.1.6.3, p. 44</t>
        </is>
      </c>
    </row>
    <row r="114" ht="30" customHeight="1">
      <c r="B114" s="12" t="inlineStr">
        <is>
          <t>Espesor de piso y rellenos que reparten la carga concentrada</t>
        </is>
      </c>
      <c r="C114" s="30" t="n">
        <v>0</v>
      </c>
      <c r="D114" s="14" t="inlineStr">
        <is>
          <t>cm</t>
        </is>
      </c>
      <c r="E114" s="15" t="inlineStr">
        <is>
          <t>CAPTURA. 0 = la carga actúa directo sobre la capa (lo más estricto).</t>
        </is>
      </c>
      <c r="F114" s="16" t="inlineStr">
        <is>
          <t>Criterio de esta hoja</t>
        </is>
      </c>
    </row>
    <row r="115" ht="30" customHeight="1">
      <c r="B115" s="12" t="inlineStr">
        <is>
          <t>Carga concentrada en la capa entre nervaduras (10 × 10 cm)</t>
        </is>
      </c>
      <c r="C115" s="17" t="n">
        <v>1000</v>
      </c>
      <c r="D115" s="14" t="inlineStr">
        <is>
          <t>kg</t>
        </is>
      </c>
      <c r="E115" s="15" t="inlineStr">
        <is>
          <t>CAPTURA. Mínimo de la norma en la posición más desfavorable.</t>
        </is>
      </c>
      <c r="F115" s="16" t="inlineStr">
        <is>
          <t>NTC-Concreto 2023 (CDMX) 6.7.8.1.6, p. 187</t>
        </is>
      </c>
    </row>
    <row r="116" ht="19.5" customHeight="1">
      <c r="B116" s="12" t="inlineStr">
        <is>
          <t>P_u = FC_CV × P</t>
        </is>
      </c>
      <c r="C116" s="41">
        <f>DATOS!$C$27*DATOS!$C$115</f>
        <v>1500</v>
      </c>
      <c r="D116" s="14" t="inlineStr">
        <is>
          <t>kg</t>
        </is>
      </c>
      <c r="E116" s="15" t="inlineStr">
        <is>
          <t>CALCULADA.</t>
        </is>
      </c>
      <c r="F116" s="16" t="inlineStr">
        <is>
          <t>NTC-Criterios y Acciones 2023 (CDMX) 3.4.1 a), p. 7</t>
        </is>
      </c>
    </row>
    <row r="117" ht="19.5" customHeight="1">
      <c r="B117" s="12" t="inlineStr">
        <is>
          <t>d de la capa (malla al centro)</t>
        </is>
      </c>
      <c r="C117" s="23">
        <f>DATOS!$C$81/2</f>
        <v>3</v>
      </c>
      <c r="D117" s="14" t="inlineStr">
        <is>
          <t>cm</t>
        </is>
      </c>
      <c r="E117" s="15" t="inlineStr">
        <is>
          <t>—</t>
        </is>
      </c>
      <c r="F117" s="16" t="inlineStr">
        <is>
          <t>Geometría</t>
        </is>
      </c>
    </row>
    <row r="118" ht="19.5" customHeight="1">
      <c r="B118" s="12" t="inlineStr">
        <is>
          <t>b₀ — perímetro crítico a d/2</t>
        </is>
      </c>
      <c r="C118" s="22">
        <f>4*(10+2*DATOS!$C$114+DATOS!$C$117)</f>
        <v>52</v>
      </c>
      <c r="D118" s="14" t="inlineStr">
        <is>
          <t>cm</t>
        </is>
      </c>
      <c r="E118" s="15" t="inlineStr">
        <is>
          <t>4·(c + d).</t>
        </is>
      </c>
      <c r="F118" s="16" t="inlineStr">
        <is>
          <t>NTC-Concreto 2023 (CDMX) 5.6, p. 99–100</t>
        </is>
      </c>
    </row>
    <row r="119" ht="30" customHeight="1">
      <c r="B119" s="12" t="inlineStr">
        <is>
          <t>V_cR punzonamiento de la capa</t>
        </is>
      </c>
      <c r="C119" s="41">
        <f>DATOS!$C$30*MIN(1,0.27*(2+40*DATOS!$C$117/DATOS!$C$118))*MIN(1,SQRT(2/(1+0.04*DATOS!$C$117)))*SQRT(DATOS!$C$13)*DATOS!$C$118*DATOS!$C$117</f>
        <v>1849.9324311985</v>
      </c>
      <c r="D119" s="14" t="inlineStr">
        <is>
          <t>kg</t>
        </is>
      </c>
      <c r="E119" s="15" t="inlineStr">
        <is>
          <t>F_R·(el menor de 1.0, 0.5(1 + 2/β) y 0.27(2 + α_s·d/b₀))·λs·√f'c·b₀·d, β = 1, α_s = 40.</t>
        </is>
      </c>
      <c r="F119" s="16" t="inlineStr">
        <is>
          <t>NTC-Concreto 2023 (CDMX) Tabla 5.6.2.1.1, p. 100</t>
        </is>
      </c>
    </row>
    <row r="120" ht="30" customHeight="1">
      <c r="B120" s="12" t="inlineStr">
        <is>
          <t>Estado (punzonamiento con 1 000 kg)</t>
        </is>
      </c>
      <c r="C120" s="34" t="str">
        <f>IF(DATOS!$C$116&lt;=DATOS!$C$119,"CUMPLE","NO CUMPLE: P_u/V_cR = "&amp;TEXT(DATOS!$C$116/DATOS!$C$119,"0.00"))</f>
        <v>CUMPLE</v>
      </c>
      <c r="D120" s="14" t="inlineStr">
        <is>
          <t>—</t>
        </is>
      </c>
      <c r="E120" s="15" t="inlineStr">
        <is>
          <t>—</t>
        </is>
      </c>
      <c r="F120" s="16" t="inlineStr">
        <is>
          <t>—</t>
        </is>
      </c>
    </row>
    <row r="121" ht="19.5" customHeight="1">
      <c r="B121" s="12" t="inlineStr">
        <is>
          <t>v_uv — esfuerzo cortante en la sección crítica</t>
        </is>
      </c>
      <c r="C121" s="23">
        <f>DATOS!$C$116/(DATOS!$C$118*DATOS!$C$117)</f>
        <v>9.61538461538462</v>
      </c>
      <c r="D121" s="14" t="inlineStr">
        <is>
          <t>kg/cm²</t>
        </is>
      </c>
      <c r="E121" s="15" t="inlineStr">
        <is>
          <t>P_u/(b₀·d).</t>
        </is>
      </c>
      <c r="F121" s="16" t="inlineStr">
        <is>
          <t>NTC-Concreto 2023 (CDMX) 6.7.6.1.2, p. 175</t>
        </is>
      </c>
    </row>
    <row r="122" ht="30" customHeight="1">
      <c r="B122" s="12" t="inlineStr">
        <is>
          <t>Límite 0.5·F_R·λs·√f'c</t>
        </is>
      </c>
      <c r="C122" s="23">
        <f>0.5*DATOS!$C$30*MIN(1,SQRT(2/(1+0.04*DATOS!$C$117)))*SQRT(DATOS!$C$13)</f>
        <v>5.92927061281571</v>
      </c>
      <c r="D122" s="14" t="inlineStr">
        <is>
          <t>kg/cm²</t>
        </is>
      </c>
      <c r="E122" s="15" t="inlineStr">
        <is>
          <t>Si v_uv lo rebasa se pide acero mínimo alrededor de la carga.</t>
        </is>
      </c>
      <c r="F122" s="16" t="inlineStr">
        <is>
          <t>NTC-Concreto 2023 (CDMX) 6.7.6.1.2, p. 175</t>
        </is>
      </c>
    </row>
    <row r="123" ht="19.5" customHeight="1">
      <c r="B123" s="12" t="inlineStr">
        <is>
          <t>b_losa — ancho donde va ese acero</t>
        </is>
      </c>
      <c r="C123" s="22">
        <f>10+2*DATOS!$C$114+2*1.5*DATOS!$C$81</f>
        <v>28</v>
      </c>
      <c r="D123" s="14" t="inlineStr">
        <is>
          <t>cm</t>
        </is>
      </c>
      <c r="E123" s="15" t="inlineStr">
        <is>
          <t>Ancho cargado + 1.5h a cada lado.</t>
        </is>
      </c>
      <c r="F123" s="16" t="inlineStr">
        <is>
          <t>NTC-Concreto 2023 (CDMX) Tabla 6.7.4.2.2.3, p. 171</t>
        </is>
      </c>
    </row>
    <row r="124" ht="30" customHeight="1">
      <c r="B124" s="12" t="inlineStr">
        <is>
          <t>As,mín alrededor de la carga = 5·v_uv·b_losa·b₀/(F_R·α_s·fy)</t>
        </is>
      </c>
      <c r="C124" s="38">
        <f>IF(DATOS!$C$121&gt;DATOS!$C$122,5*DATOS!$C$121*DATOS!$C$123*DATOS!$C$118/(DATOS!$C$30*40*DATOS!$C$15),0)</f>
        <v>0.466666666666667</v>
      </c>
      <c r="D124" s="14" t="inlineStr">
        <is>
          <t>cm²</t>
        </is>
      </c>
      <c r="E124" s="15" t="inlineStr">
        <is>
          <t>α_s = 40; fy de la malla.</t>
        </is>
      </c>
      <c r="F124" s="16" t="inlineStr">
        <is>
          <t>NTC-Concreto 2023 (CDMX) ec. 6.7.6.1.2, p. 175</t>
        </is>
      </c>
    </row>
    <row r="125" ht="30" customHeight="1">
      <c r="B125" s="12" t="inlineStr">
        <is>
          <t>Estado (acero alrededor de la carga)</t>
        </is>
      </c>
      <c r="C125" s="34" t="str">
        <f>IF(DATOS!$C$106/100*DATOS!$C$123&gt;=DATOS!$C$124-0.0005,"CUMPLE","NO CUMPLE: la malla da "&amp;TEXT(DATOS!$C$106/100*DATOS!$C$123,"0.00")&amp;" de "&amp;TEXT(DATOS!$C$124,"0.00")&amp;" cm²")</f>
        <v>CUMPLE</v>
      </c>
      <c r="D125" s="14" t="inlineStr">
        <is>
          <t>—</t>
        </is>
      </c>
      <c r="E125" s="15" t="inlineStr">
        <is>
          <t>—</t>
        </is>
      </c>
      <c r="F125" s="16" t="inlineStr">
        <is>
          <t>—</t>
        </is>
      </c>
    </row>
    <row r="126" ht="19.5" customHeight="1">
      <c r="B126" s="12" t="inlineStr">
        <is>
          <t>m_R de la capa por unidad de ancho</t>
        </is>
      </c>
      <c r="C126" s="22">
        <f>DATOS!$C$29*DATOS!$C$106/100*DATOS!$C$15*(DATOS!$C$117-DATOS!$C$106/100*DATOS!$C$15/DATOS!$C$21/2)</f>
        <v>212.5788824446</v>
      </c>
      <c r="D126" s="14" t="inlineStr">
        <is>
          <t>kg·cm/cm</t>
        </is>
      </c>
      <c r="E126" s="15" t="inlineStr">
        <is>
          <t>F_R·As·fy·(d − a/2) por cm.</t>
        </is>
      </c>
      <c r="F126" s="16" t="inlineStr">
        <is>
          <t>NTC-Concreto 2023 (CDMX) ec. 5.2.2.1.1.1.b, p. 89</t>
        </is>
      </c>
    </row>
    <row r="127" ht="30" customHeight="1">
      <c r="B127" s="12" t="inlineStr">
        <is>
          <t>m requerido = P_u/(4π) (abanico de líneas de fluencia)</t>
        </is>
      </c>
      <c r="C127" s="22">
        <f>DATOS!$C$116/(4*PI())</f>
        <v>119.366207318922</v>
      </c>
      <c r="D127" s="14" t="inlineStr">
        <is>
          <t>kg·cm/cm</t>
        </is>
      </c>
      <c r="E127" s="15" t="inlineStr">
        <is>
          <t>Malla al centro: m = m′. Ignorar el área cargada queda del lado seguro.</t>
        </is>
      </c>
      <c r="F127" s="16" t="inlineStr">
        <is>
          <t>Criterio de esta hoja · NTC-Concreto 2023 (CDMX) 3.4.1.1, p. 64</t>
        </is>
      </c>
    </row>
    <row r="128" ht="30" customHeight="1">
      <c r="B128" s="12" t="inlineStr">
        <is>
          <t>Estado (flexión de la capa)</t>
        </is>
      </c>
      <c r="C128" s="34" t="str">
        <f>IF(DATOS!$C$127&lt;=DATOS!$C$126,"CUMPLE","NO CUMPLE")</f>
        <v>CUMPLE</v>
      </c>
      <c r="D128" s="14" t="inlineStr">
        <is>
          <t>—</t>
        </is>
      </c>
      <c r="E128" s="15" t="inlineStr">
        <is>
          <t>—</t>
        </is>
      </c>
      <c r="F128" s="16" t="inlineStr">
        <is>
          <t>—</t>
        </is>
      </c>
    </row>
    <row r="129" ht="30" customHeight="1">
      <c r="B129" s="12" t="inlineStr">
        <is>
          <t>RESUMEN DE LA CAPA</t>
        </is>
      </c>
      <c r="C129" s="34" t="str">
        <f>IF(AND(LEFT(DATOS!$C$108,6)="CUMPLE",LEFT(DATOS!$C$110,6)="CUMPLE",LEFT(DATOS!$C$112,6)="CUMPLE",LEFT(DATOS!$C$113,6)="CUMPLE",LEFT(DATOS!$C$120,6)="CUMPLE",LEFT(DATOS!$C$125,6)="CUMPLE",LEFT(DATOS!$C$128,6)="CUMPLE"),"CUMPLE","REVISAR: capa o malla (ver renglones de arriba)")</f>
        <v>CUMPLE</v>
      </c>
      <c r="D129" s="14" t="inlineStr">
        <is>
          <t>—</t>
        </is>
      </c>
      <c r="E129" s="15" t="inlineStr">
        <is>
          <t>Si no cumple: capa de 6 cm o malla más gruesa (y que quepa).</t>
        </is>
      </c>
      <c r="F129" s="16" t="inlineStr">
        <is>
          <t>—</t>
        </is>
      </c>
    </row>
    <row r="130" ht="6" customHeight="1"/>
    <row r="131" ht="21" customHeight="1">
      <c r="B131" s="3" t="inlineStr">
        <is>
          <t>8. LOSA MACIZA — VALORES POR OMISIÓN</t>
        </is>
      </c>
    </row>
    <row r="132" ht="42" customHeight="1">
      <c r="B132" s="24" t="inlineStr">
        <is>
          <t>MACIZAS usa estos valores cuando el renglón deja vacía la celda correspondiente. La separación máxima es CRITERIO DE ESTA HOJA y está para que la ajustes: la hoja no pudo cotejar el numeral de separación máxima de refuerzo en losas de la NTC 2023; los valores son los del ACI 318-19, del que deriva.</t>
        </is>
      </c>
      <c r="C132" s="25" t="n"/>
      <c r="D132" s="25" t="n"/>
      <c r="E132" s="25" t="n"/>
      <c r="F132" s="25" t="n"/>
    </row>
    <row r="133" ht="30" customHeight="1">
      <c r="B133" s="11" t="inlineStr">
        <is>
          <t>Concepto</t>
        </is>
      </c>
      <c r="C133" s="11" t="inlineStr">
        <is>
          <t>Valor</t>
        </is>
      </c>
      <c r="D133" s="11" t="inlineStr">
        <is>
          <t>Unidad</t>
        </is>
      </c>
      <c r="E133" s="11" t="inlineStr">
        <is>
          <t>Cómo se calcula / de dónde sale</t>
        </is>
      </c>
      <c r="F133" s="11" t="inlineStr">
        <is>
          <t>Referencia</t>
        </is>
      </c>
    </row>
    <row r="134" ht="19.5" customHeight="1">
      <c r="B134" s="12" t="inlineStr">
        <is>
          <t>h — espesor de la losa maciza por omisión</t>
        </is>
      </c>
      <c r="C134" s="17" t="n">
        <v>12</v>
      </c>
      <c r="D134" s="14" t="inlineStr">
        <is>
          <t>cm</t>
        </is>
      </c>
      <c r="E134" s="15" t="inlineStr">
        <is>
          <t>CAPTURA. Cada tablero puede llevar su propio h.</t>
        </is>
      </c>
      <c r="F134" s="16" t="inlineStr">
        <is>
          <t>Dato del proyecto</t>
        </is>
      </c>
    </row>
    <row r="135" ht="30" customHeight="1">
      <c r="B135" s="12" t="inlineStr">
        <is>
          <t>No. de varilla preferida en losa maciza</t>
        </is>
      </c>
      <c r="C135" s="32" t="n">
        <v>3</v>
      </c>
      <c r="D135" s="14" t="inlineStr">
        <is>
          <t>—</t>
        </is>
      </c>
      <c r="E135" s="15" t="inlineStr">
        <is>
          <t>CAPTURA. Si con la separación mínima no alcanza, la hoja sube de número.</t>
        </is>
      </c>
      <c r="F135" s="16" t="inlineStr">
        <is>
          <t>Dato del proyecto</t>
        </is>
      </c>
    </row>
    <row r="136" ht="30" customHeight="1">
      <c r="B136" s="12" t="inlineStr">
        <is>
          <t>Cuantía de As mínima por lecho (temperatura y losa)</t>
        </is>
      </c>
      <c r="C136" s="42" t="n">
        <v>0.0018</v>
      </c>
      <c r="D136" s="14" t="inlineStr">
        <is>
          <t>—</t>
        </is>
      </c>
      <c r="E136" s="15" t="inlineStr">
        <is>
          <t>CAPTURA. As mín = 0.0018·b·h en cada lecho y dirección (del lado seguro: la norma la pide sobre el área total).</t>
        </is>
      </c>
      <c r="F136" s="16" t="inlineStr">
        <is>
          <t>NTC-Concreto 2023 (CDMX) 6.7.6.1.1, p. 175 · 13.8.2.1.1, p. 345</t>
        </is>
      </c>
    </row>
    <row r="137" ht="30" customHeight="1">
      <c r="B137" s="12" t="inlineStr">
        <is>
          <t>Separación máxima — tableros perimetrales: múltiplo de h</t>
        </is>
      </c>
      <c r="C137" s="30" t="n">
        <v>2</v>
      </c>
      <c r="D137" s="14" t="inlineStr">
        <is>
          <t>× h</t>
        </is>
      </c>
      <c r="E137" s="15" t="inlineStr">
        <is>
          <t>CAPTURA. Secciones críticas de losas en dos direcciones: 2h.</t>
        </is>
      </c>
      <c r="F137" s="16" t="inlineStr">
        <is>
          <t>Criterio de esta hoja = ACI 318-19 8.7.2.2 · confirmar con la NTC-Concreto 2023</t>
        </is>
      </c>
    </row>
    <row r="138" ht="30" customHeight="1">
      <c r="B138" s="12" t="inlineStr">
        <is>
          <t>Separación máxima — volados: múltiplo de h</t>
        </is>
      </c>
      <c r="C138" s="30" t="n">
        <v>3</v>
      </c>
      <c r="D138" s="14" t="inlineStr">
        <is>
          <t>× h</t>
        </is>
      </c>
      <c r="E138" s="15" t="inlineStr">
        <is>
          <t>CAPTURA. Losas en una dirección: 3h.</t>
        </is>
      </c>
      <c r="F138" s="16" t="inlineStr">
        <is>
          <t>Criterio de esta hoja = ACI 318-19 7.7.2.3 · confirmar con la NTC-Concreto 2023</t>
        </is>
      </c>
    </row>
    <row r="139" ht="30" customHeight="1">
      <c r="B139" s="12" t="inlineStr">
        <is>
          <t>Separación máxima absoluta</t>
        </is>
      </c>
      <c r="C139" s="17" t="n">
        <v>45</v>
      </c>
      <c r="D139" s="14" t="inlineStr">
        <is>
          <t>cm</t>
        </is>
      </c>
      <c r="E139" s="15" t="inlineStr">
        <is>
          <t>CAPTURA.</t>
        </is>
      </c>
      <c r="F139" s="16" t="inlineStr">
        <is>
          <t>Criterio de esta hoja = ACI 318-19 7.7.2.3 y 8.7.2.2 (450 mm)</t>
        </is>
      </c>
    </row>
    <row r="140" ht="19.5" customHeight="1">
      <c r="B140" s="12" t="inlineStr">
        <is>
          <t>Separación mínima práctica</t>
        </is>
      </c>
      <c r="C140" s="17" t="n">
        <v>10</v>
      </c>
      <c r="D140" s="14" t="inlineStr">
        <is>
          <t>cm</t>
        </is>
      </c>
      <c r="E140" s="15" t="inlineStr">
        <is>
          <t>CAPTURA. Debajo de esto la hoja sube de número de varilla.</t>
        </is>
      </c>
      <c r="F140" s="16" t="inlineStr">
        <is>
          <t>Criterio de esta hoja (práctica de obra)</t>
        </is>
      </c>
    </row>
    <row r="141" ht="30" customHeight="1">
      <c r="B141" s="12" t="inlineStr">
        <is>
          <t>Redondeo de la separación</t>
        </is>
      </c>
      <c r="C141" s="30" t="n">
        <v>2.5</v>
      </c>
      <c r="D141" s="14" t="inlineStr">
        <is>
          <t>cm</t>
        </is>
      </c>
      <c r="E141" s="15" t="inlineStr">
        <is>
          <t>CAPTURA. La separación se redondea hacia abajo a múltiplos de este valor.</t>
        </is>
      </c>
      <c r="F141" s="16" t="inlineStr">
        <is>
          <t>Criterio de esta hoja (práctica de obra)</t>
        </is>
      </c>
    </row>
    <row r="142" ht="43.5" customHeight="1">
      <c r="B142" s="12" t="inlineStr">
        <is>
          <t>h mínimo de volados macizos = L / …</t>
        </is>
      </c>
      <c r="C142" s="17" t="n">
        <v>10</v>
      </c>
      <c r="D142" s="14" t="inlineStr">
        <is>
          <t>—</t>
        </is>
      </c>
      <c r="E142" s="15" t="inlineStr">
        <is>
          <t>CAPTURA. Losa en voladizo sin elementos frágiles: L/10 (L = longitud del volado a ejes). Si carga pretil o muro frágil, calcula la flecha.</t>
        </is>
      </c>
      <c r="F142" s="16" t="inlineStr">
        <is>
          <t>Criterio de esta hoja = ACI 318-19 Tabla 7.3.1.1 · confirmar con la NTC-Concreto 2023</t>
        </is>
      </c>
    </row>
    <row r="143" ht="6" customHeight="1"/>
  </sheetData>
  <mergeCells count="15">
    <mergeCell ref="B4:F4"/>
    <mergeCell ref="B44:F44"/>
    <mergeCell ref="B43:F43"/>
    <mergeCell ref="B75:F75"/>
    <mergeCell ref="B6:F6"/>
    <mergeCell ref="B24:F24"/>
    <mergeCell ref="B2:F2"/>
    <mergeCell ref="B11:F11"/>
    <mergeCell ref="B104:F104"/>
    <mergeCell ref="B76:F76"/>
    <mergeCell ref="B1:F1"/>
    <mergeCell ref="B132:F132"/>
    <mergeCell ref="B131:F131"/>
    <mergeCell ref="B57:F57"/>
    <mergeCell ref="B35:F35"/>
  </mergeCells>
  <conditionalFormatting sqref="C1:F144">
    <cfRule type="expression" priority="1" dxfId="0" stopIfTrue="1">
      <formula>OR(ISNUMBER(FIND("NO CUMPLE",C1)),ISNUMBER(FIND("REVISAR",C1)),ISNUMBER(FIND("NO CABE",C1)),ISNUMBER(FIND("FUERA",C1)),ISNUMBER(FIND("FALTA",C1)),ISNUMBER(FIND("INSUFICIENTE",C1)),ISNUMBER(FIND("PENDIENTE",C1)))</formula>
    </cfRule>
    <cfRule type="expression" priority="2" dxfId="1" stopIfTrue="1">
      <formula>OR(ISNUMBER(FIND("CUMPLE",C1)),ISNUMBER(FIND("SÍ aplica",C1)),ISNUMBER(FIND("MANDA",C1)))</formula>
    </cfRule>
    <cfRule type="expression" priority="3" dxfId="2" stopIfTrue="1">
      <formula>OR(ISNUMBER(FIND("MACIZAR",C1)),ISNUMBER(FIND("CALCULAR",C1)),ISNUMBER(FIND("PROPUESTO",C1)),ISNUMBER(FIND("VER ",C1)))</formula>
    </cfRule>
  </conditionalFormatting>
  <dataValidations count="7">
    <dataValidation sqref="D46:D55" showDropDown="0" showInputMessage="0" showErrorMessage="1" allowBlank="1" errorTitle="Valor no válido" error="Escoge un valor de la lista" type="list">
      <formula1>LST_SINO</formula1>
    </dataValidation>
    <dataValidation sqref="C18" showDropDown="0" showInputMessage="0" showErrorMessage="1" allowBlank="1" errorTitle="Valor no válido" error="Escoge un valor de la lista" type="list">
      <formula1>LST_AGR</formula1>
    </dataValidation>
    <dataValidation sqref="C62" showDropDown="0" showInputMessage="0" showErrorMessage="1" allowBlank="1" errorTitle="Valor no válido" error="Escoge un valor de la lista" type="list">
      <formula1>LST_SINO</formula1>
    </dataValidation>
    <dataValidation sqref="C63" showDropDown="0" showInputMessage="0" showErrorMessage="1" allowBlank="1" errorTitle="Valor no válido" error="Escoge un valor de la lista" type="list">
      <formula1>LST_SINO</formula1>
    </dataValidation>
    <dataValidation sqref="C64" showDropDown="0" showInputMessage="0" showErrorMessage="1" allowBlank="1" errorTitle="Valor no válido" error="Escoge un valor de la lista" type="list">
      <formula1>LST_SINO</formula1>
    </dataValidation>
    <dataValidation sqref="C102" showDropDown="0" showInputMessage="0" showErrorMessage="1" allowBlank="1" errorTitle="Valor no válido" error="Escoge un valor de la lista" type="list">
      <formula1>LST_SINO</formula1>
    </dataValidation>
    <dataValidation sqref="C93" showDropDown="0" showInputMessage="0" showErrorMessage="1" allowBlank="1" errorTitle="Valor no válido" error="Escoge un valor de la lista" type="list">
      <formula1>LST_MALLA</formula1>
    </dataValidation>
  </dataValidations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Z48"/>
  <sheetViews>
    <sheetView showGridLines="0" zoomScale="8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22" customWidth="1" min="2" max="2"/>
    <col width="11.5" customWidth="1" min="3" max="3"/>
    <col width="19" customWidth="1" min="4" max="4"/>
    <col width="7.5" customWidth="1" min="5" max="5"/>
    <col width="7.5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3" customWidth="1" min="12" max="12"/>
    <col width="7.5" customWidth="1" min="13" max="13"/>
    <col width="7.5" customWidth="1" min="14" max="14"/>
    <col width="8" customWidth="1" min="15" max="15"/>
    <col width="8" customWidth="1" min="16" max="16"/>
    <col width="7" customWidth="1" min="17" max="17"/>
    <col width="7" customWidth="1" min="18" max="18"/>
    <col width="8.5" customWidth="1" min="19" max="19"/>
    <col width="8.5" customWidth="1" min="20" max="20"/>
    <col width="7.5" customWidth="1" min="21" max="21"/>
    <col width="10" customWidth="1" min="22" max="22"/>
    <col width="5.5" customWidth="1" min="23" max="23"/>
    <col width="7" customWidth="1" min="24" max="24"/>
    <col width="7" customWidth="1" min="25" max="25"/>
    <col width="6.5" customWidth="1" min="26" max="26"/>
    <col width="6.5" customWidth="1" min="27" max="27"/>
    <col width="6.5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6" customWidth="1" min="36" max="36"/>
    <col width="6" customWidth="1" min="37" max="37"/>
    <col width="6.5" customWidth="1" min="38" max="38"/>
    <col width="6.5" customWidth="1" min="39" max="39"/>
    <col width="6.5" customWidth="1" min="40" max="40"/>
    <col width="7" customWidth="1" min="41" max="41"/>
    <col width="6.5" customWidth="1" min="42" max="42"/>
    <col width="7" customWidth="1" min="43" max="43"/>
    <col width="6.5" customWidth="1" min="44" max="44"/>
    <col width="6" customWidth="1" min="45" max="45"/>
    <col width="14" customWidth="1" min="46" max="46"/>
    <col width="14" customWidth="1" min="47" max="47"/>
    <col width="5" customWidth="1" min="48" max="48"/>
    <col width="5.5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.5" customWidth="1" min="56" max="56"/>
    <col width="7.5" customWidth="1" min="57" max="57"/>
    <col width="7" customWidth="1" min="58" max="58"/>
    <col width="7" customWidth="1" min="59" max="59"/>
    <col width="7" customWidth="1" min="60" max="60"/>
    <col width="7" customWidth="1" min="61" max="61"/>
    <col width="15" customWidth="1" min="62" max="62"/>
    <col width="7" customWidth="1" min="63" max="63"/>
    <col width="6.5" customWidth="1" min="64" max="64"/>
    <col width="5.5" customWidth="1" min="65" max="65"/>
    <col width="5" customWidth="1" min="66" max="66"/>
    <col width="6" customWidth="1" min="67" max="67"/>
    <col width="6.5" customWidth="1" min="68" max="68"/>
    <col width="6.5" customWidth="1" min="69" max="69"/>
    <col width="6.5" customWidth="1" min="70" max="70"/>
    <col width="7" customWidth="1" min="71" max="71"/>
    <col width="6.5" customWidth="1" min="72" max="72"/>
    <col width="5.5" customWidth="1" min="73" max="73"/>
    <col width="5" customWidth="1" min="74" max="74"/>
    <col width="6" customWidth="1" min="75" max="75"/>
    <col width="6.5" customWidth="1" min="76" max="76"/>
    <col width="6.5" customWidth="1" min="77" max="77"/>
    <col width="6.5" customWidth="1" min="78" max="78"/>
    <col width="7" customWidth="1" min="79" max="79"/>
    <col width="6.5" customWidth="1" min="80" max="80"/>
    <col width="5.5" customWidth="1" min="81" max="81"/>
    <col width="5" customWidth="1" min="82" max="82"/>
    <col width="6" customWidth="1" min="83" max="83"/>
    <col width="6.5" customWidth="1" min="84" max="84"/>
    <col width="6.5" customWidth="1" min="85" max="85"/>
    <col width="6.5" customWidth="1" min="86" max="86"/>
    <col width="7" customWidth="1" min="87" max="87"/>
    <col width="6.5" customWidth="1" min="88" max="88"/>
    <col width="5.5" customWidth="1" min="89" max="89"/>
    <col width="5" customWidth="1" min="90" max="90"/>
    <col width="6" customWidth="1" min="91" max="91"/>
    <col width="6.5" customWidth="1" min="92" max="92"/>
    <col width="6.5" customWidth="1" min="93" max="93"/>
    <col width="6.5" customWidth="1" min="94" max="94"/>
    <col width="7" customWidth="1" min="95" max="95"/>
    <col width="7" customWidth="1" min="96" max="96"/>
    <col width="6.5" customWidth="1" min="97" max="97"/>
    <col width="17" customWidth="1" min="98" max="98"/>
    <col width="6" customWidth="1" min="99" max="99"/>
    <col width="8" customWidth="1" min="100" max="100"/>
    <col width="6.5" customWidth="1" min="101" max="101"/>
    <col width="6" customWidth="1" min="102" max="102"/>
    <col width="8.5" customWidth="1" min="103" max="103"/>
    <col width="13" customWidth="1" min="104" max="104"/>
    <col width="10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16" customWidth="1" min="110" max="110"/>
    <col width="6.5" customWidth="1" min="111" max="111"/>
    <col width="6.5" customWidth="1" min="112" max="112"/>
    <col width="7" customWidth="1" min="113" max="113"/>
    <col width="7" customWidth="1" min="114" max="114"/>
    <col width="8" customWidth="1" min="115" max="115"/>
    <col width="6.5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.5" customWidth="1" min="121" max="121"/>
    <col width="7.5" customWidth="1" min="122" max="122"/>
    <col width="7" customWidth="1" min="123" max="123"/>
    <col width="24" customWidth="1" min="124" max="124"/>
    <col width="16" customWidth="1" min="125" max="125"/>
    <col width="28" customWidth="1" min="126" max="126"/>
    <col width="16" customWidth="1" min="127" max="127"/>
    <col width="28" customWidth="1" min="128" max="128"/>
    <col width="30" customWidth="1" min="129" max="129"/>
    <col width="70" customWidth="1" min="130" max="130"/>
  </cols>
  <sheetData>
    <row r="1" ht="26" customHeight="1">
      <c r="B1" s="43" t="inlineStr">
        <is>
          <t>NERVADAS — LOSA NERVADA (ENCASETONADA), UN RENGLÓN POR TABLERO · MÉTODO DE COEFICIENTES NTC-CONCRETO 2023, TABLA 3.4.2.1 (CASO I)</t>
        </is>
      </c>
    </row>
    <row r="2" ht="30" customHeight="1">
      <c r="B2" s="44" t="inlineStr">
        <is>
          <t>Momentos por nervadura = coef·10⁻⁴·w_u·a1²·s. Abajo trabaja la sección T (patín b_f); arriba sólo la nervadura (b_w de cálculo). Toda nervadura lleva al menos 1 varilla corrida abajo y 1 arriba (6.7.6.1.3); arriba las demás son bastones. Sólo se captura lo AMARILLO; los renglones vacíos quedan en blanco. La memoria paso a paso de un tablero está en DETALLE y su dibujo en CROQUIS.</t>
        </is>
      </c>
    </row>
    <row r="3" ht="42" customHeight="1">
      <c r="B3" s="45" t="inlineStr">
        <is>
          <t>ESTADO: «CUMPLE» = flexión, cupo, ε_t ≥ 0.005, cortante, peralte, capa y anclaje bien. «MACIZAR n hilera(s)» = quitar casetones junto a cada apoyo por cortante. «REVISAR: calcular flecha» = h_eq menor que el mínimo de la Tabla 6.7.3.1.2. «No cumple 6.7.8.1.4» (nota) = a_c &gt; claro corto/6: losa apoyada en vigas (6.7.8.1.9). «FUERA de 3.4.2.1 c)» = el M⁻ del vecino capturado difiere más de 50 %.</t>
        </is>
      </c>
    </row>
    <row r="4" ht="6" customHeight="1"/>
    <row r="5" ht="118" customHeight="1">
      <c r="B5" s="46" t="inlineStr">
        <is>
          <t>CAPTURA. Claros A EJES (del lado seguro; la tabla admite claros libres en el caso I). Borde CONTINUO = sigue losa del otro lado; DISCONTINUO = orilla, hueco o losa que no sigue. VOLADO: marca CONTINUO sólo el borde empotrado. CV propia, b_w propio y α_fm propio: vacío = el de DATOS. M⁻ del vecino: por nervadura, en el borde común; la hoja arma con el mayor.</t>
        </is>
      </c>
      <c r="U5" s="46" t="inlineStr">
        <is>
          <t>a1 = claro corto, a2 = largo (volado: a1 = largo perpendicular al borde empotrado). L_n = a − b_p (volado a − b_p/2) (NTC-Concreto 6.3.2.1, p. 117). Patín b_f = b_w + 2·mín(8t, a_c/2, L_n/8) ≤ s (Tabla 5.2.1.4.2, p. 89). 6.7.8: claro corto ≥ 6·a_c, a_c ≤ 80, b_w ≥ 10, h ≤ 3.5·b_w, t ≥ máx(a_c/13, 5) (6.7.8.1.2 a 6.7.8.1.4, p. 187); si NO: losa sobre vigas, r de viga, sin ×1.1 (6.7.8.1.9, p. 188). b_w − 2 cm si b_w &lt; 20 sin 3.9.2 (3.9.1 e), p. 74).</t>
        </is>
      </c>
      <c r="AM5" s="46" t="inlineStr">
        <is>
          <t>PP = (h − a_c²·h_c/s²)·γc + casetón + 20 + 20 (NTC-Criterios 5.1.2.1, p. 9). CM = PP + SCM. w_u = máx(1.3·CM + 1.5·W_m; azotea: 1.1·(CM + W_g)) (NTC-Criterios 3.4.1 a) y b), p. 7; ec. 7.3.2.1, p. 17).</t>
        </is>
      </c>
      <c r="AR5" s="46" t="inlineStr">
        <is>
          <t>Se cuentan los bordes DISCONTINUOS; «corto» = borde de largo a1. Mismo criterio que la hoja de Casa Rocha; dos bordes opuestos discontinuos se toman como «extremo» (del lado seguro). Tabla 3.4.2.1, p. 65.</t>
        </is>
      </c>
      <c r="AV5" s="46" t="inlineStr">
        <is>
          <t>Interpolación lineal en m entre las columnas de la Tabla 3.4.2.1, caso I (TABLAS sección A).</t>
        </is>
      </c>
      <c r="BD5" s="46" t="inlineStr">
        <is>
          <t>M = coef·10⁻⁴·w_u·a1²·s, por nervadura (NTC-Concreto 3.4.2.1, p. 64). M⁻ = el mayor de borde continuo, discontinuo y el del vecino capturado. Volado: M⁻ = (w_u·L_n²/2 + 1.3·P·L_n)·s + M de los macizos (el PP promedio no cuenta el concreto que llena los casetones en el macizo de la punta, de ancho macizo de orilla + b_p/2, ni en el de la raíz: 1.3·γc·s·(vacío/m²)·ancho·brazo, como en la hoja de Casa Rocha). 3.4.2.1 c): M⁻ propio y del vecino no deben diferir más de 50 % (p. 64).</t>
        </is>
      </c>
      <c r="BK5" s="46" t="inlineStr">
        <is>
          <t>b = patín b_f. d con la varilla preferida para As; con la real para M_R. q = 1 − √(1 − 2Mu/(F_R·b·d²·f''c)), As = q·f''c·b·d/fy (ecs. 5.2.2.1.1.1, p. 89); As ≥ mín(p_min·b_w·d, 4/3·As) (6.3.5.1.3, p. 122); −1 = no alcanza o rebasa p_max. Varilla: la preferida o la siguiente que quepa (14.2.1, p. 347). ε_t = 0.003(d − c)/c ≥ 0.005 (Tabla 3.8.2.2, p. 70).</t>
        </is>
      </c>
      <c r="BS5" s="46" t="inlineStr">
        <is>
          <t>b = b_w de cálculo. d = h − máx(r, (t − 2Ø)/2) − 2·Ø malla − d_b/2 (la malla va al centro de la capa y la varilla pasa debajo), − 2 cm si d ≤ 20 cm sin la precaución de 3.9.2 (3.9.1 d), p. 74). 1 varilla corrida + bastones (6.7.6.1.3, p. 175). En volado el patín trabaja a tensión: As mín sobre 2·b_w.</t>
        </is>
      </c>
      <c r="CA5" s="46" t="inlineStr">
        <is>
          <t>Igual que el lecho inferior corto; el lecho del claro largo va encima del corto: d = h − r − d_b,corto − d_b/2.</t>
        </is>
      </c>
      <c r="CI5" s="46" t="inlineStr">
        <is>
          <t>Igual que el lecho superior corto; va debajo del lecho superior corto.</t>
        </is>
      </c>
      <c r="CQ5" s="46" t="inlineStr">
        <is>
          <t>V_u a d del paño = (L_n/2 − d)(0.95 − 0.5m)·w_u·s, ×1.15 con bordes continuos y discontinuos (método reconocido, 3.4.1.1, p. 64; 6.7.4.3.2, p. 172). Volado: (w_u(L_n − d) + 1.3P)·s. V_cR = F_R·2·λs·p^⅓·√f'c·b_w·d (ec. 5.5.3.2.1, p. 95), ×1.1 si cumple 6.7.8 (6.7.8.1.5, p. 187). Sin estribos (5.5.3.8.1, p. 97): lo que falte se cubre macizando hileras de casetones.</t>
        </is>
      </c>
      <c r="CU5" s="46" t="inlineStr">
        <is>
          <t>Tabla 6.7.3.1.2 (p. 168), α_fm &gt; 2: L_n(0.8 + fy/14 000)/(36 + 9β) ≥ 9; 0.2–2: …/(36 + 5β(α_fm − 0.2)) ≥ 13; ≤ 0.2: Tabla 6.7.3.1.1 (L_n/30 ó /33, ≥ 13). +10 % con borde discontinuo sin viga (6.7.3.1.2.1). Se compara h_eq = ∛(12·I_T/s). Volado: L/8 contra h (Tabla 6.3.3.1.1, p. 120). Capa ≥ 6 cm si el claro es ≥ 6 m (6.8.3.1.2, p. 189).</t>
        </is>
      </c>
      <c r="DB5" s="46" t="inlineStr">
        <is>
          <t>Bastón desde el paño = punto de inflexión + máx(d, 12d_b, L_n/16), ≥ L_d (6.3.7.3.4, p. 127; 6.3.7.3.10.4, p. 129; Tabla 14.4.2.4, p. 353). Volado: entra al respaldo hasta M = 0 con 0.9·PP y sin CV. Anclaje en bordes discontinuos (dala de borde armada, D9 de Casa Rocha): 1.25·L_dh ≤ ancho − r_np y ≥ 15 cm (6.7.8.1.7, p. 188); L_dh del bastón (6.7.7.4.1.1 b), p. 179); gancho de 180° con alto 8·d_b ≤ peralte de la dala − 2·r_np (Tabla 14.3.1, p. 349). Respaldo de un volado con b_w propio: sus nervaduras anchas siguen en el respaldo hasta donde la nervadura de b_w de DATOS resiste el M⁻ (con 0.9·PP, sin CV) y el cortante del volado.</t>
        </is>
      </c>
      <c r="DK5" s="46" t="inlineStr">
        <is>
          <t>Sólo volados con b_w propio mayor que el de DATOS (decisión D10 de Casa Rocha). Del otro lado del apoyo el M⁻ del volado lo toman las nervaduras del tablero de respaldo: sus primeras hileras siguen con el b_w del volado (casetón s − b_w) hasta donde la nervadura normal (con r de viga, del lado seguro), con la varilla corrida del volado, resiste M(x) = M⁻(1 − x/L_b) − 0.9·PP·s·x(L_b − x)/2 (sin CV) y el cortante V(x) = M⁻/L_b + w_u·s·(L_b/2 − x). Las demás varillas del volado son bastones que terminan ahí, más máx(d, 12d_b) y no menos que L_d. La nervadura ancha se revisa a cortante junto al apoyo con el V_cR del volado (ec. 5.5.3.2.1, p. 95; 6.3.7.3.10.4, p. 129).</t>
        </is>
      </c>
      <c r="DU5" s="46" t="inlineStr">
        <is>
          <t>Armado por NERVADURA. Superior: 1 corrida + bastones a cada lado de los bordes continuos (y de los discontinuos si la columna lo pide). ESTADO junta flexión, cupo, ε_t, cortante, peralte, capa y anclaje.</t>
        </is>
      </c>
    </row>
    <row r="6" ht="18" customHeight="1">
      <c r="B6" s="47" t="inlineStr">
        <is>
          <t>DATOS DEL TABLERO — CAPTURA (amarillo)</t>
        </is>
      </c>
      <c r="U6" s="48" t="inlineStr">
        <is>
          <t>GEOMETRÍA</t>
        </is>
      </c>
      <c r="AM6" s="48" t="inlineStr">
        <is>
          <t>CARGAS</t>
        </is>
      </c>
      <c r="AR6" s="48" t="inlineStr">
        <is>
          <t>CASO DE LA TABLA</t>
        </is>
      </c>
      <c r="AV6" s="48" t="inlineStr">
        <is>
          <t>COEFICIENTES ×10⁻⁴ (Tabla 3.4.2.1)</t>
        </is>
      </c>
      <c r="BD6" s="48" t="inlineStr">
        <is>
          <t>MOMENTOS POR NERVADURA</t>
        </is>
      </c>
      <c r="BK6" s="48" t="inlineStr">
        <is>
          <t>LECHO INFERIOR ‖ CLARO CORTO</t>
        </is>
      </c>
      <c r="BS6" s="48" t="inlineStr">
        <is>
          <t>LECHO SUPERIOR ‖ CLARO CORTO</t>
        </is>
      </c>
      <c r="CA6" s="48" t="inlineStr">
        <is>
          <t>LECHO INFERIOR ‖ CLARO LARGO</t>
        </is>
      </c>
      <c r="CI6" s="48" t="inlineStr">
        <is>
          <t>LECHO SUPERIOR ‖ CLARO LARGO</t>
        </is>
      </c>
      <c r="CQ6" s="48" t="inlineStr">
        <is>
          <t>CORTANTE</t>
        </is>
      </c>
      <c r="CU6" s="48" t="inlineStr">
        <is>
          <t>ESPESOR MÍNIMO Y CAPA</t>
        </is>
      </c>
      <c r="DB6" s="48" t="inlineStr">
        <is>
          <t>BASTONES, ANCLAJE Y CASETONES</t>
        </is>
      </c>
      <c r="DK6" s="48" t="inlineStr">
        <is>
          <t>RESPALDO DE UN VOLADO CON b_w PROPIO</t>
        </is>
      </c>
      <c r="DU6" s="48" t="inlineStr">
        <is>
          <t>RESULTADO</t>
        </is>
      </c>
    </row>
    <row r="7" ht="54" customHeight="1">
      <c r="A7" s="11" t="inlineStr">
        <is>
          <t>#</t>
        </is>
      </c>
      <c r="B7" s="11" t="inlineStr">
        <is>
          <t>Tablero</t>
        </is>
      </c>
      <c r="C7" s="11" t="inlineStr">
        <is>
          <t>Tipo</t>
        </is>
      </c>
      <c r="D7" s="11" t="inlineStr">
        <is>
          <t>Destino (lista de DATOS)</t>
        </is>
      </c>
      <c r="E7" s="11" t="inlineStr">
        <is>
          <t>a_x — claro en X a ejes</t>
        </is>
      </c>
      <c r="F7" s="11" t="inlineStr">
        <is>
          <t>a_y — claro en Y a ejes</t>
        </is>
      </c>
      <c r="G7" s="11" t="inlineStr">
        <is>
          <t>Borde inferior (‖ X)</t>
        </is>
      </c>
      <c r="H7" s="11" t="inlineStr">
        <is>
          <t>Borde superior (‖ X)</t>
        </is>
      </c>
      <c r="I7" s="11" t="inlineStr">
        <is>
          <t>Borde izquierdo (‖ Y)</t>
        </is>
      </c>
      <c r="J7" s="11" t="inlineStr">
        <is>
          <t>Borde derecho (‖ Y)</t>
        </is>
      </c>
      <c r="K7" s="11" t="inlineStr">
        <is>
          <t>Forzar caso</t>
        </is>
      </c>
      <c r="L7" s="11" t="inlineStr">
        <is>
          <t>Colado con los apoyos</t>
        </is>
      </c>
      <c r="M7" s="11" t="inlineStr">
        <is>
          <t>SCM — sobrecarga muerta</t>
        </is>
      </c>
      <c r="N7" s="11" t="inlineStr">
        <is>
          <t>CV propia (opcional)</t>
        </is>
      </c>
      <c r="O7" s="11" t="inlineStr">
        <is>
          <t>Carga en la orilla del volado</t>
        </is>
      </c>
      <c r="P7" s="11" t="inlineStr">
        <is>
          <t>L_b — claro de respaldo (volado)</t>
        </is>
      </c>
      <c r="Q7" s="11" t="inlineStr">
        <is>
          <t>b_w propio (opcional)</t>
        </is>
      </c>
      <c r="R7" s="11" t="inlineStr">
        <is>
          <t>α_fm propio (opcional)</t>
        </is>
      </c>
      <c r="S7" s="11" t="inlineStr">
        <is>
          <t>M⁻ del vecino ‖ corto (opcional)</t>
        </is>
      </c>
      <c r="T7" s="11" t="inlineStr">
        <is>
          <t>M⁻ del vecino ‖ largo (opcional)</t>
        </is>
      </c>
      <c r="U7" s="11" t="inlineStr">
        <is>
          <t>¿Datos completos?</t>
        </is>
      </c>
      <c r="V7" s="11" t="inlineStr">
        <is>
          <t>Borde empotrado (volado)</t>
        </is>
      </c>
      <c r="W7" s="11" t="inlineStr">
        <is>
          <t>Claro corto ‖</t>
        </is>
      </c>
      <c r="X7" s="11" t="inlineStr">
        <is>
          <t>a1 corto (volado: largo)</t>
        </is>
      </c>
      <c r="Y7" s="11" t="inlineStr">
        <is>
          <t>a2 largo</t>
        </is>
      </c>
      <c r="Z7" s="11" t="inlineStr">
        <is>
          <t>m = a1/a2</t>
        </is>
      </c>
      <c r="AA7" s="11" t="inlineStr">
        <is>
          <t>L_n corto</t>
        </is>
      </c>
      <c r="AB7" s="11" t="inlineStr">
        <is>
          <t>L_n largo</t>
        </is>
      </c>
      <c r="AC7" s="11" t="inlineStr">
        <is>
          <t>b_w nerv. ‖ corto</t>
        </is>
      </c>
      <c r="AD7" s="11" t="inlineStr">
        <is>
          <t>Casetón entre nerv. ‖ corto = s − b_w</t>
        </is>
      </c>
      <c r="AE7" s="11" t="inlineStr">
        <is>
          <t>b_w cálculo ‖ corto (M⁻ y V)</t>
        </is>
      </c>
      <c r="AF7" s="11" t="inlineStr">
        <is>
          <t>b_w cálculo ‖ largo (M⁻)</t>
        </is>
      </c>
      <c r="AG7" s="11" t="inlineStr">
        <is>
          <t>Patín b_f ‖ corto</t>
        </is>
      </c>
      <c r="AH7" s="11" t="inlineStr">
        <is>
          <t>Patín b_f ‖ largo</t>
        </is>
      </c>
      <c r="AI7" s="11" t="inlineStr">
        <is>
          <t>6.7.8 cumple</t>
        </is>
      </c>
      <c r="AJ7" s="11" t="inlineStr">
        <is>
          <t>r inferior</t>
        </is>
      </c>
      <c r="AK7" s="11" t="inlineStr">
        <is>
          <t>r superior</t>
        </is>
      </c>
      <c r="AL7" s="11" t="inlineStr">
        <is>
          <t>r hasta la malla (al centro de la capa)</t>
        </is>
      </c>
      <c r="AM7" s="11" t="inlineStr">
        <is>
          <t>¿Azotea?</t>
        </is>
      </c>
      <c r="AN7" s="11" t="inlineStr">
        <is>
          <t>CV W_m</t>
        </is>
      </c>
      <c r="AO7" s="11" t="inlineStr">
        <is>
          <t>PP de diseño</t>
        </is>
      </c>
      <c r="AP7" s="11" t="inlineStr">
        <is>
          <t>CM</t>
        </is>
      </c>
      <c r="AQ7" s="11" t="inlineStr">
        <is>
          <t>w_u</t>
        </is>
      </c>
      <c r="AR7" s="11" t="inlineStr">
        <is>
          <t>Bordes discont.</t>
        </is>
      </c>
      <c r="AS7" s="11" t="inlineStr">
        <is>
          <t>… cortos</t>
        </is>
      </c>
      <c r="AT7" s="11" t="inlineStr">
        <is>
          <t>Caso automático</t>
        </is>
      </c>
      <c r="AU7" s="11" t="inlineStr">
        <is>
          <t>Caso usado</t>
        </is>
      </c>
      <c r="AV7" s="11" t="inlineStr">
        <is>
          <t>col. m</t>
        </is>
      </c>
      <c r="AW7" s="11" t="inlineStr">
        <is>
          <t>interp.</t>
        </is>
      </c>
      <c r="AX7" s="11" t="inlineStr">
        <is>
          <t>M⁻ cont. corto</t>
        </is>
      </c>
      <c r="AY7" s="11" t="inlineStr">
        <is>
          <t>M⁻ cont. largo</t>
        </is>
      </c>
      <c r="AZ7" s="11" t="inlineStr">
        <is>
          <t>M⁻ disc. corto</t>
        </is>
      </c>
      <c r="BA7" s="11" t="inlineStr">
        <is>
          <t>M⁻ disc. largo</t>
        </is>
      </c>
      <c r="BB7" s="11" t="inlineStr">
        <is>
          <t>M⁺ corto</t>
        </is>
      </c>
      <c r="BC7" s="11" t="inlineStr">
        <is>
          <t>M⁺ largo</t>
        </is>
      </c>
      <c r="BD7" s="11" t="inlineStr">
        <is>
          <t>M⁻ extra de los macizos del volado</t>
        </is>
      </c>
      <c r="BE7" s="11" t="inlineStr">
        <is>
          <t>V extra de los macizos del volado</t>
        </is>
      </c>
      <c r="BF7" s="11" t="inlineStr">
        <is>
          <t>M⁺ corto</t>
        </is>
      </c>
      <c r="BG7" s="11" t="inlineStr">
        <is>
          <t>M⁻ corto</t>
        </is>
      </c>
      <c r="BH7" s="11" t="inlineStr">
        <is>
          <t>M⁺ largo</t>
        </is>
      </c>
      <c r="BI7" s="11" t="inlineStr">
        <is>
          <t>M⁻ largo</t>
        </is>
      </c>
      <c r="BJ7" s="11" t="inlineStr">
        <is>
          <t>3.4.2.1 c) con el vecino</t>
        </is>
      </c>
      <c r="BK7" s="11" t="inlineStr">
        <is>
          <t>d para As (var. preferida)</t>
        </is>
      </c>
      <c r="BL7" s="11" t="inlineStr">
        <is>
          <t>As req.</t>
        </is>
      </c>
      <c r="BM7" s="11" t="inlineStr">
        <is>
          <t>Var. No.</t>
        </is>
      </c>
      <c r="BN7" s="11" t="inlineStr">
        <is>
          <t>Pzas</t>
        </is>
      </c>
      <c r="BO7" s="11" t="inlineStr">
        <is>
          <t>d real</t>
        </is>
      </c>
      <c r="BP7" s="11" t="inlineStr">
        <is>
          <t>M_R</t>
        </is>
      </c>
      <c r="BQ7" s="11" t="inlineStr">
        <is>
          <t>Mu/M_R</t>
        </is>
      </c>
      <c r="BR7" s="11" t="inlineStr">
        <is>
          <t>ε_t</t>
        </is>
      </c>
      <c r="BS7" s="11" t="inlineStr">
        <is>
          <t>d para As (var. preferida)</t>
        </is>
      </c>
      <c r="BT7" s="11" t="inlineStr">
        <is>
          <t>As req.</t>
        </is>
      </c>
      <c r="BU7" s="11" t="inlineStr">
        <is>
          <t>Var. No.</t>
        </is>
      </c>
      <c r="BV7" s="11" t="inlineStr">
        <is>
          <t>Pzas</t>
        </is>
      </c>
      <c r="BW7" s="11" t="inlineStr">
        <is>
          <t>d real</t>
        </is>
      </c>
      <c r="BX7" s="11" t="inlineStr">
        <is>
          <t>M_R</t>
        </is>
      </c>
      <c r="BY7" s="11" t="inlineStr">
        <is>
          <t>Mu/M_R</t>
        </is>
      </c>
      <c r="BZ7" s="11" t="inlineStr">
        <is>
          <t>ε_t</t>
        </is>
      </c>
      <c r="CA7" s="11" t="inlineStr">
        <is>
          <t>d para As (var. preferida)</t>
        </is>
      </c>
      <c r="CB7" s="11" t="inlineStr">
        <is>
          <t>As req.</t>
        </is>
      </c>
      <c r="CC7" s="11" t="inlineStr">
        <is>
          <t>Var. No.</t>
        </is>
      </c>
      <c r="CD7" s="11" t="inlineStr">
        <is>
          <t>Pzas</t>
        </is>
      </c>
      <c r="CE7" s="11" t="inlineStr">
        <is>
          <t>d real</t>
        </is>
      </c>
      <c r="CF7" s="11" t="inlineStr">
        <is>
          <t>M_R</t>
        </is>
      </c>
      <c r="CG7" s="11" t="inlineStr">
        <is>
          <t>Mu/M_R</t>
        </is>
      </c>
      <c r="CH7" s="11" t="inlineStr">
        <is>
          <t>ε_t</t>
        </is>
      </c>
      <c r="CI7" s="11" t="inlineStr">
        <is>
          <t>d para As (var. preferida)</t>
        </is>
      </c>
      <c r="CJ7" s="11" t="inlineStr">
        <is>
          <t>As req.</t>
        </is>
      </c>
      <c r="CK7" s="11" t="inlineStr">
        <is>
          <t>Var. No.</t>
        </is>
      </c>
      <c r="CL7" s="11" t="inlineStr">
        <is>
          <t>Pzas</t>
        </is>
      </c>
      <c r="CM7" s="11" t="inlineStr">
        <is>
          <t>d real</t>
        </is>
      </c>
      <c r="CN7" s="11" t="inlineStr">
        <is>
          <t>M_R</t>
        </is>
      </c>
      <c r="CO7" s="11" t="inlineStr">
        <is>
          <t>Mu/M_R</t>
        </is>
      </c>
      <c r="CP7" s="11" t="inlineStr">
        <is>
          <t>ε_t</t>
        </is>
      </c>
      <c r="CQ7" s="11" t="inlineStr">
        <is>
          <t>V_u por nerv.</t>
        </is>
      </c>
      <c r="CR7" s="11" t="inlineStr">
        <is>
          <t>V_cR</t>
        </is>
      </c>
      <c r="CS7" s="11" t="inlineStr">
        <is>
          <t>Hileras a macizar</t>
        </is>
      </c>
      <c r="CT7" s="11" t="inlineStr">
        <is>
          <t>Estado cortante</t>
        </is>
      </c>
      <c r="CU7" s="11" t="inlineStr">
        <is>
          <t>ȳ de la T</t>
        </is>
      </c>
      <c r="CV7" s="11" t="inlineStr">
        <is>
          <t>I_T de la T</t>
        </is>
      </c>
      <c r="CW7" s="11" t="inlineStr">
        <is>
          <t>h_eq</t>
        </is>
      </c>
      <c r="CX7" s="11" t="inlineStr">
        <is>
          <t>α_fm</t>
        </is>
      </c>
      <c r="CY7" s="11" t="inlineStr">
        <is>
          <t>h mín. (Tabla 6.7.3.1.2 / volado L/8)</t>
        </is>
      </c>
      <c r="CZ7" s="11" t="inlineStr">
        <is>
          <t>Estado peralte</t>
        </is>
      </c>
      <c r="DA7" s="11" t="inlineStr">
        <is>
          <t>Capa (diafragma)</t>
        </is>
      </c>
      <c r="DB7" s="11" t="inlineStr">
        <is>
          <t>Bastón ‖ corto desde el paño</t>
        </is>
      </c>
      <c r="DC7" s="11" t="inlineStr">
        <is>
          <t>Bastón ‖ largo desde el paño</t>
        </is>
      </c>
      <c r="DD7" s="11" t="inlineStr">
        <is>
          <t>Bastón también en borde disc. ‖ corto</t>
        </is>
      </c>
      <c r="DE7" s="11" t="inlineStr">
        <is>
          <t>Bastón también en borde disc. ‖ largo</t>
        </is>
      </c>
      <c r="DF7" s="11" t="inlineStr">
        <is>
          <t>Anclaje en bordes discontinuos</t>
        </is>
      </c>
      <c r="DG7" s="11" t="inlineStr">
        <is>
          <t>Casetones ‖ X</t>
        </is>
      </c>
      <c r="DH7" s="11" t="inlineStr">
        <is>
          <t>Casetones ‖ Y</t>
        </is>
      </c>
      <c r="DI7" s="11" t="inlineStr">
        <is>
          <t>Macizo de orilla X</t>
        </is>
      </c>
      <c r="DJ7" s="11" t="inlineStr">
        <is>
          <t>Macizo de orilla Y</t>
        </is>
      </c>
      <c r="DK7" s="11" t="inlineStr">
        <is>
          <t>Varillas del volado que siguen en la nervadura de b_w de DATOS (la corrida)</t>
        </is>
      </c>
      <c r="DL7" s="11" t="inlineStr">
        <is>
          <t>d de esa nervadura</t>
        </is>
      </c>
      <c r="DM7" s="11" t="inlineStr">
        <is>
          <t>M_R de esa nervadura</t>
        </is>
      </c>
      <c r="DN7" s="11" t="inlineStr">
        <is>
          <t>V_cR de esa nervadura</t>
        </is>
      </c>
      <c r="DO7" s="11" t="inlineStr">
        <is>
          <t>Donde M baja a ese M_R</t>
        </is>
      </c>
      <c r="DP7" s="11" t="inlineStr">
        <is>
          <t>Donde V baja a ese V_cR</t>
        </is>
      </c>
      <c r="DQ7" s="11" t="inlineStr">
        <is>
          <t>V_u del respaldo junto al apoyo (nerv. ancha)</t>
        </is>
      </c>
      <c r="DR7" s="11" t="inlineStr">
        <is>
          <t>Nervadura ancha en el respaldo hasta</t>
        </is>
      </c>
      <c r="DS7" s="11" t="inlineStr">
        <is>
          <t>Hileras del respaldo con b_w del volado</t>
        </is>
      </c>
      <c r="DT7" s="11" t="inlineStr">
        <is>
          <t>Respaldo del volado</t>
        </is>
      </c>
      <c r="DU7" s="11" t="inlineStr">
        <is>
          <t>ARMADO inferior ‖ corto (por nervadura)</t>
        </is>
      </c>
      <c r="DV7" s="11" t="inlineStr">
        <is>
          <t>ARMADO superior ‖ corto</t>
        </is>
      </c>
      <c r="DW7" s="11" t="inlineStr">
        <is>
          <t>ARMADO inferior ‖ largo</t>
        </is>
      </c>
      <c r="DX7" s="11" t="inlineStr">
        <is>
          <t>ARMADO superior ‖ largo</t>
        </is>
      </c>
      <c r="DY7" s="11" t="inlineStr">
        <is>
          <t>ESTADO</t>
        </is>
      </c>
      <c r="DZ7" s="11" t="inlineStr">
        <is>
          <t>NOTA</t>
        </is>
      </c>
    </row>
    <row r="8">
      <c r="A8" s="49" t="inlineStr">
        <is>
          <t>cuenta</t>
        </is>
      </c>
      <c r="B8" s="49" t="inlineStr"/>
      <c r="C8" s="49" t="inlineStr"/>
      <c r="D8" s="49" t="inlineStr"/>
      <c r="E8" s="49" t="inlineStr">
        <is>
          <t>m</t>
        </is>
      </c>
      <c r="F8" s="49" t="inlineStr">
        <is>
          <t>m</t>
        </is>
      </c>
      <c r="G8" s="49" t="inlineStr">
        <is>
          <t>CONT./DISC.</t>
        </is>
      </c>
      <c r="H8" s="49" t="inlineStr">
        <is>
          <t>CONT./DISC.</t>
        </is>
      </c>
      <c r="I8" s="49" t="inlineStr">
        <is>
          <t>CONT./DISC.</t>
        </is>
      </c>
      <c r="J8" s="49" t="inlineStr">
        <is>
          <t>CONT./DISC.</t>
        </is>
      </c>
      <c r="K8" s="49" t="inlineStr">
        <is>
          <t>AUTO = sale solo</t>
        </is>
      </c>
      <c r="L8" s="49" t="inlineStr">
        <is>
          <t>caso I / II</t>
        </is>
      </c>
      <c r="M8" s="49" t="inlineStr">
        <is>
          <t>kg/m²</t>
        </is>
      </c>
      <c r="N8" s="49" t="inlineStr">
        <is>
          <t>kg/m²</t>
        </is>
      </c>
      <c r="O8" s="49" t="inlineStr">
        <is>
          <t>kg/m serv.</t>
        </is>
      </c>
      <c r="P8" s="49" t="inlineStr">
        <is>
          <t>m</t>
        </is>
      </c>
      <c r="Q8" s="49" t="inlineStr">
        <is>
          <t>cm</t>
        </is>
      </c>
      <c r="R8" s="49" t="inlineStr">
        <is>
          <t>—</t>
        </is>
      </c>
      <c r="S8" s="49" t="inlineStr">
        <is>
          <t>t·m/nerv.</t>
        </is>
      </c>
      <c r="T8" s="49" t="inlineStr">
        <is>
          <t>t·m/nerv.</t>
        </is>
      </c>
      <c r="U8" s="49" t="inlineStr"/>
      <c r="V8" s="49" t="inlineStr"/>
      <c r="W8" s="49" t="inlineStr"/>
      <c r="X8" s="49" t="inlineStr">
        <is>
          <t>m</t>
        </is>
      </c>
      <c r="Y8" s="49" t="inlineStr">
        <is>
          <t>m</t>
        </is>
      </c>
      <c r="Z8" s="49" t="inlineStr"/>
      <c r="AA8" s="49" t="inlineStr">
        <is>
          <t>cm</t>
        </is>
      </c>
      <c r="AB8" s="49" t="inlineStr">
        <is>
          <t>cm</t>
        </is>
      </c>
      <c r="AC8" s="49" t="inlineStr">
        <is>
          <t>cm</t>
        </is>
      </c>
      <c r="AD8" s="49" t="inlineStr">
        <is>
          <t>cm</t>
        </is>
      </c>
      <c r="AE8" s="49" t="inlineStr">
        <is>
          <t>cm</t>
        </is>
      </c>
      <c r="AF8" s="49" t="inlineStr">
        <is>
          <t>cm</t>
        </is>
      </c>
      <c r="AG8" s="49" t="inlineStr">
        <is>
          <t>cm</t>
        </is>
      </c>
      <c r="AH8" s="49" t="inlineStr">
        <is>
          <t>cm</t>
        </is>
      </c>
      <c r="AI8" s="49" t="inlineStr"/>
      <c r="AJ8" s="49" t="inlineStr">
        <is>
          <t>cm</t>
        </is>
      </c>
      <c r="AK8" s="49" t="inlineStr">
        <is>
          <t>cm</t>
        </is>
      </c>
      <c r="AL8" s="49" t="inlineStr">
        <is>
          <t>cm</t>
        </is>
      </c>
      <c r="AM8" s="49" t="inlineStr"/>
      <c r="AN8" s="49" t="inlineStr">
        <is>
          <t>kg/m²</t>
        </is>
      </c>
      <c r="AO8" s="49" t="inlineStr">
        <is>
          <t>kg/m²</t>
        </is>
      </c>
      <c r="AP8" s="49" t="inlineStr">
        <is>
          <t>kg/m²</t>
        </is>
      </c>
      <c r="AQ8" s="49" t="inlineStr">
        <is>
          <t>kg/m²</t>
        </is>
      </c>
      <c r="AR8" s="49" t="inlineStr"/>
      <c r="AS8" s="49" t="inlineStr"/>
      <c r="AT8" s="49" t="inlineStr"/>
      <c r="AU8" s="49" t="inlineStr"/>
      <c r="AV8" s="49" t="inlineStr"/>
      <c r="AW8" s="49" t="inlineStr"/>
      <c r="AX8" s="49" t="inlineStr">
        <is>
          <t>×10⁻⁴</t>
        </is>
      </c>
      <c r="AY8" s="49" t="inlineStr">
        <is>
          <t>×10⁻⁴</t>
        </is>
      </c>
      <c r="AZ8" s="49" t="inlineStr">
        <is>
          <t>×10⁻⁴</t>
        </is>
      </c>
      <c r="BA8" s="49" t="inlineStr">
        <is>
          <t>×10⁻⁴</t>
        </is>
      </c>
      <c r="BB8" s="49" t="inlineStr">
        <is>
          <t>×10⁻⁴</t>
        </is>
      </c>
      <c r="BC8" s="49" t="inlineStr">
        <is>
          <t>×10⁻⁴</t>
        </is>
      </c>
      <c r="BD8" s="49" t="inlineStr">
        <is>
          <t>t·m/nerv.</t>
        </is>
      </c>
      <c r="BE8" s="49" t="inlineStr">
        <is>
          <t>t/nerv.</t>
        </is>
      </c>
      <c r="BF8" s="49" t="inlineStr">
        <is>
          <t>t·m/nerv.</t>
        </is>
      </c>
      <c r="BG8" s="49" t="inlineStr">
        <is>
          <t>t·m/nerv.</t>
        </is>
      </c>
      <c r="BH8" s="49" t="inlineStr">
        <is>
          <t>t·m/nerv.</t>
        </is>
      </c>
      <c r="BI8" s="49" t="inlineStr">
        <is>
          <t>t·m/nerv.</t>
        </is>
      </c>
      <c r="BJ8" s="49" t="inlineStr"/>
      <c r="BK8" s="49" t="inlineStr">
        <is>
          <t>cm</t>
        </is>
      </c>
      <c r="BL8" s="49" t="inlineStr">
        <is>
          <t>cm²</t>
        </is>
      </c>
      <c r="BM8" s="49" t="inlineStr"/>
      <c r="BN8" s="49" t="inlineStr"/>
      <c r="BO8" s="49" t="inlineStr">
        <is>
          <t>cm</t>
        </is>
      </c>
      <c r="BP8" s="49" t="inlineStr">
        <is>
          <t>t·m</t>
        </is>
      </c>
      <c r="BQ8" s="49" t="inlineStr">
        <is>
          <t>≤ 1</t>
        </is>
      </c>
      <c r="BR8" s="49" t="inlineStr">
        <is>
          <t>≥ 0.005</t>
        </is>
      </c>
      <c r="BS8" s="49" t="inlineStr">
        <is>
          <t>cm</t>
        </is>
      </c>
      <c r="BT8" s="49" t="inlineStr">
        <is>
          <t>cm²</t>
        </is>
      </c>
      <c r="BU8" s="49" t="inlineStr"/>
      <c r="BV8" s="49" t="inlineStr"/>
      <c r="BW8" s="49" t="inlineStr">
        <is>
          <t>cm</t>
        </is>
      </c>
      <c r="BX8" s="49" t="inlineStr">
        <is>
          <t>t·m</t>
        </is>
      </c>
      <c r="BY8" s="49" t="inlineStr">
        <is>
          <t>≤ 1</t>
        </is>
      </c>
      <c r="BZ8" s="49" t="inlineStr">
        <is>
          <t>≥ 0.005</t>
        </is>
      </c>
      <c r="CA8" s="49" t="inlineStr">
        <is>
          <t>cm</t>
        </is>
      </c>
      <c r="CB8" s="49" t="inlineStr">
        <is>
          <t>cm²</t>
        </is>
      </c>
      <c r="CC8" s="49" t="inlineStr"/>
      <c r="CD8" s="49" t="inlineStr"/>
      <c r="CE8" s="49" t="inlineStr">
        <is>
          <t>cm</t>
        </is>
      </c>
      <c r="CF8" s="49" t="inlineStr">
        <is>
          <t>t·m</t>
        </is>
      </c>
      <c r="CG8" s="49" t="inlineStr">
        <is>
          <t>≤ 1</t>
        </is>
      </c>
      <c r="CH8" s="49" t="inlineStr">
        <is>
          <t>≥ 0.005</t>
        </is>
      </c>
      <c r="CI8" s="49" t="inlineStr">
        <is>
          <t>cm</t>
        </is>
      </c>
      <c r="CJ8" s="49" t="inlineStr">
        <is>
          <t>cm²</t>
        </is>
      </c>
      <c r="CK8" s="49" t="inlineStr"/>
      <c r="CL8" s="49" t="inlineStr"/>
      <c r="CM8" s="49" t="inlineStr">
        <is>
          <t>cm</t>
        </is>
      </c>
      <c r="CN8" s="49" t="inlineStr">
        <is>
          <t>t·m</t>
        </is>
      </c>
      <c r="CO8" s="49" t="inlineStr">
        <is>
          <t>≤ 1</t>
        </is>
      </c>
      <c r="CP8" s="49" t="inlineStr">
        <is>
          <t>≥ 0.005</t>
        </is>
      </c>
      <c r="CQ8" s="49" t="inlineStr">
        <is>
          <t>t</t>
        </is>
      </c>
      <c r="CR8" s="49" t="inlineStr">
        <is>
          <t>t</t>
        </is>
      </c>
      <c r="CS8" s="49" t="inlineStr">
        <is>
          <t>por apoyo</t>
        </is>
      </c>
      <c r="CT8" s="49" t="inlineStr"/>
      <c r="CU8" s="49" t="inlineStr">
        <is>
          <t>cm</t>
        </is>
      </c>
      <c r="CV8" s="49" t="inlineStr">
        <is>
          <t>cm⁴</t>
        </is>
      </c>
      <c r="CW8" s="49" t="inlineStr">
        <is>
          <t>cm</t>
        </is>
      </c>
      <c r="CX8" s="49" t="inlineStr"/>
      <c r="CY8" s="49" t="inlineStr">
        <is>
          <t>cm</t>
        </is>
      </c>
      <c r="CZ8" s="49" t="inlineStr"/>
      <c r="DA8" s="49" t="inlineStr"/>
      <c r="DB8" s="49" t="inlineStr">
        <is>
          <t>cm</t>
        </is>
      </c>
      <c r="DC8" s="49" t="inlineStr">
        <is>
          <t>cm</t>
        </is>
      </c>
      <c r="DD8" s="49" t="inlineStr"/>
      <c r="DE8" s="49" t="inlineStr"/>
      <c r="DF8" s="49" t="inlineStr"/>
      <c r="DG8" s="49" t="inlineStr">
        <is>
          <t>pzas</t>
        </is>
      </c>
      <c r="DH8" s="49" t="inlineStr">
        <is>
          <t>pzas</t>
        </is>
      </c>
      <c r="DI8" s="49" t="inlineStr">
        <is>
          <t>cm</t>
        </is>
      </c>
      <c r="DJ8" s="49" t="inlineStr">
        <is>
          <t>cm</t>
        </is>
      </c>
      <c r="DK8" s="49" t="inlineStr">
        <is>
          <t>pzas</t>
        </is>
      </c>
      <c r="DL8" s="49" t="inlineStr">
        <is>
          <t>cm</t>
        </is>
      </c>
      <c r="DM8" s="49" t="inlineStr">
        <is>
          <t>t·m</t>
        </is>
      </c>
      <c r="DN8" s="49" t="inlineStr">
        <is>
          <t>t</t>
        </is>
      </c>
      <c r="DO8" s="49" t="inlineStr">
        <is>
          <t>m desde el paño</t>
        </is>
      </c>
      <c r="DP8" s="49" t="inlineStr">
        <is>
          <t>m desde el paño</t>
        </is>
      </c>
      <c r="DQ8" s="49" t="inlineStr">
        <is>
          <t>t</t>
        </is>
      </c>
      <c r="DR8" s="49" t="inlineStr">
        <is>
          <t>cm desde el paño</t>
        </is>
      </c>
      <c r="DS8" s="49" t="inlineStr">
        <is>
          <t>hileras</t>
        </is>
      </c>
      <c r="DT8" s="49" t="inlineStr"/>
      <c r="DU8" s="49" t="inlineStr"/>
      <c r="DV8" s="49" t="inlineStr"/>
      <c r="DW8" s="49" t="inlineStr"/>
      <c r="DX8" s="49" t="inlineStr"/>
      <c r="DY8" s="49" t="inlineStr"/>
      <c r="DZ8" s="49" t="inlineStr"/>
    </row>
    <row r="9" ht="33" customHeight="1">
      <c r="A9" s="50">
        <f>IF(B9="",0,1)</f>
        <v>1</v>
      </c>
      <c r="B9" s="29" t="inlineStr">
        <is>
          <t>EJEMPLO F80014 (interior)</t>
        </is>
      </c>
      <c r="C9" s="51" t="inlineStr">
        <is>
          <t>PERIMETRAL</t>
        </is>
      </c>
      <c r="D9" s="29" t="inlineStr">
        <is>
          <t>HABITACIÓN</t>
        </is>
      </c>
      <c r="E9" s="52" t="n">
        <v>3.029</v>
      </c>
      <c r="F9" s="52" t="n">
        <v>1.6</v>
      </c>
      <c r="G9" s="51" t="inlineStr">
        <is>
          <t>CONTINUO</t>
        </is>
      </c>
      <c r="H9" s="51" t="inlineStr">
        <is>
          <t>CONTINUO</t>
        </is>
      </c>
      <c r="I9" s="51" t="inlineStr">
        <is>
          <t>CONTINUO</t>
        </is>
      </c>
      <c r="J9" s="51" t="inlineStr">
        <is>
          <t>CONTINUO</t>
        </is>
      </c>
      <c r="K9" s="51" t="inlineStr">
        <is>
          <t>AUTO</t>
        </is>
      </c>
      <c r="L9" s="51" t="inlineStr">
        <is>
          <t>MONOLÍTICO (caso I)</t>
        </is>
      </c>
      <c r="M9" s="53" t="n">
        <v>230</v>
      </c>
      <c r="N9" s="53" t="n"/>
      <c r="O9" s="54" t="n"/>
      <c r="P9" s="52" t="n"/>
      <c r="Q9" s="53" t="n"/>
      <c r="R9" s="54" t="n"/>
      <c r="S9" s="52" t="n"/>
      <c r="T9" s="52" t="n"/>
      <c r="U9" s="55" t="str">
        <f>IF(B9="","",IF(AND(OR(C9="PERIMETRAL",C9="VOLADO"),ISNUMBER(E9),ISNUMBER(F9),E9&gt;0,F9&gt;0,OR(ISNUMBER(N9),ISNUMBER(MATCH(D9,DATOS!$B$46:$B$55,0)))),"SÍ","NO"))</f>
        <v>SÍ</v>
      </c>
      <c r="V9" s="55" t="str">
        <f>IF(U9&lt;&gt;"SÍ","",IF(C9&lt;&gt;"VOLADO","—",IF(COUNTIF(G9:J9,"CONTINUO")&lt;&gt;1,"?",IF(G9="CONTINUO","INFERIOR",IF(H9="CONTINUO","SUPERIOR",IF(I9="CONTINUO","IZQUIERDO","DERECHO"))))))</f>
        <v>—</v>
      </c>
      <c r="W9" s="55" t="str">
        <f>IF(U9&lt;&gt;"SÍ","",IF(C9="VOLADO",IF(OR(V9="IZQUIERDO",V9="DERECHO"),"X","Y"),IF(E9&lt;=F9,"X","Y")))</f>
        <v>Y</v>
      </c>
      <c r="X9" s="56">
        <f>IF(U9&lt;&gt;"SÍ","",IF(C9="VOLADO",IF(W9="X",E9,F9),MIN(E9,F9)))</f>
        <v>1.6</v>
      </c>
      <c r="Y9" s="56">
        <f>IF(U9&lt;&gt;"SÍ","",IF(C9="VOLADO",IF(W9="X",F9,E9),MAX(E9,F9)))</f>
        <v>3.029</v>
      </c>
      <c r="Z9" s="56">
        <f>IF(U9&lt;&gt;"SÍ","",MIN(X9,Y9)/MAX(X9,Y9))</f>
        <v>0.528227137669198</v>
      </c>
      <c r="AA9" s="57">
        <f>IF(U9&lt;&gt;"SÍ","",MAX(1,X9*100-IF(C9="VOLADO",DATOS!$C$84/2,DATOS!$C$84)))</f>
        <v>145</v>
      </c>
      <c r="AB9" s="57">
        <f>IF(U9&lt;&gt;"SÍ","",MAX(1,Y9*100-DATOS!$C$84))</f>
        <v>287.9</v>
      </c>
      <c r="AC9" s="57">
        <f>IF(U9&lt;&gt;"SÍ","",IF(ISNUMBER(Q9),Q9,DATOS!$C$80))</f>
        <v>10</v>
      </c>
      <c r="AD9" s="57">
        <f>IF(U9&lt;&gt;"SÍ","",MAX(0,DATOS!$C$83-AC9))</f>
        <v>60</v>
      </c>
      <c r="AE9" s="57">
        <f>IF(U9&lt;&gt;"SÍ","",IF(OR(DATOS!$C$62="SÍ",AC9&gt;=20),AC9,AC9-2))</f>
        <v>10</v>
      </c>
      <c r="AF9" s="57">
        <f>IF(U9&lt;&gt;"SÍ","",IF(OR(DATOS!$C$62="SÍ",DATOS!$C$80&gt;=20),DATOS!$C$80,DATOS!$C$80-2))</f>
        <v>10</v>
      </c>
      <c r="AG9" s="57">
        <f>IF(U9&lt;&gt;"SÍ","",MIN(DATOS!$C$83,AC9+2*MIN(8*DATOS!$C$81,AD9/2,AA9/8)))</f>
        <v>46.25</v>
      </c>
      <c r="AH9" s="57">
        <f>IF(U9&lt;&gt;"SÍ","",MIN(DATOS!$C$83,DATOS!$C$80+2*MIN(8*DATOS!$C$81,DATOS!$C$78/2,AB9/8)))</f>
        <v>70</v>
      </c>
      <c r="AI9" s="55" t="str">
        <f>IF(U9&lt;&gt;"SÍ","",IF(AND(C9="PERIMETRAL",X9*100&gt;=6*MAX(DATOS!$C$78,AD9),MAX(DATOS!$C$78,AD9)&lt;=80,MIN(DATOS!$C$80,AC9)&gt;=10,DATOS!$C$82&lt;=3.5*MIN(DATOS!$C$80,AC9),DATOS!$C$81&gt;=MAX(MAX(DATOS!$C$78,AD9)/13,5)),"SÍ","NO"))</f>
        <v>NO</v>
      </c>
      <c r="AJ9" s="57">
        <f>IF(U9&lt;&gt;"SÍ","",IF(C9="VOLADO",DATOS!$C$61,IF(AI9="NO",DATOS!$C$60,DATOS!$C$59)))</f>
        <v>4</v>
      </c>
      <c r="AK9" s="57">
        <f>IF(U9&lt;&gt;"SÍ","",IF(OR(AND(AM9="SÍ",DATOS!$C$63="SÍ"),AND(C9="VOLADO",DATOS!$C$64="SÍ")),DATOS!$C$61,IF(AI9="NO",DATOS!$C$60,DATOS!$C$59)))</f>
        <v>4</v>
      </c>
      <c r="AL9" s="58">
        <f>IF(U9&lt;&gt;"SÍ","",MAX(AK9,(DATOS!$C$81-2*DATOS!$C$94)/2))</f>
        <v>4</v>
      </c>
      <c r="AM9" s="55" t="str">
        <f>IF(U9&lt;&gt;"SÍ","",IFERROR(INDEX(DATOS!$D$46:$D$55,MATCH(D9,DATOS!$B$46:$B$55,0)),"NO"))</f>
        <v>NO</v>
      </c>
      <c r="AN9" s="59">
        <f>IF(U9&lt;&gt;"SÍ","",IF(ISNUMBER(N9),N9,IFERROR(INDEX(DATOS!$C$46:$C$55,MATCH(D9,DATOS!$B$46:$B$55,0)),0)))</f>
        <v>190</v>
      </c>
      <c r="AO9" s="59">
        <f>IF(U9&lt;&gt;"SÍ","",(DATOS!$C$82/100-(AD9*DATOS!$C$78/DATOS!$C$83^2)*DATOS!$C$79/100)*DATOS!$C$16*1000+(AD9*DATOS!$C$78/DATOS!$C$83^2)*DATOS!$C$79/100*DATOS!$C$17*1000+DATOS!$C$37+DATOS!$C$38)</f>
        <v>307.073469387755</v>
      </c>
      <c r="AP9" s="59">
        <f>IF(U9&lt;&gt;"SÍ","",AO9+N(M9))</f>
        <v>537.073469387755</v>
      </c>
      <c r="AQ9" s="60">
        <f>IF(U9&lt;&gt;"SÍ","",MAX(DATOS!$C$26*AP9+DATOS!$C$27*AN9,IF(AM9="SÍ",DATOS!$C$28*(AP9+DATOS!$C$41),0)))</f>
        <v>983.195510204082</v>
      </c>
      <c r="AR9" s="59">
        <f>IF(U9&lt;&gt;"SÍ","",(G9="DISCONTINUO")+(H9="DISCONTINUO")+(I9="DISCONTINUO")+(J9="DISCONTINUO"))</f>
        <v>0</v>
      </c>
      <c r="AS9" s="59">
        <f>IF(U9&lt;&gt;"SÍ","",IF(W9="X",(G9="DISCONTINUO")+(H9="DISCONTINUO"),(I9="DISCONTINUO")+(J9="DISCONTINUO")))</f>
        <v>0</v>
      </c>
      <c r="AT9" s="55" t="str">
        <f>IF(U9&lt;&gt;"SÍ","",IF(AR9=0,"INTERIOR",IF(AR9=1,IF(AS9=1,"BORDE-CORTO","BORDE-LARGO"),IF(AR9=2,IF(AS9=1,"ESQUINA",IF(AS9=2,"EXTREMO-LARGO","EXTREMO-CORTO")),IF(AR9=3,IF(AS9=2,"EXTREMO-LARGO","EXTREMO-CORTO"),"AISLADO")))))</f>
        <v>INTERIOR</v>
      </c>
      <c r="AU9" s="61" t="str">
        <f>IF(U9&lt;&gt;"SÍ","",IF(OR(K9="",K9="AUTO"),AT9,K9))</f>
        <v>INTERIOR</v>
      </c>
      <c r="AV9" s="59">
        <f>IF(U9&lt;&gt;"SÍ","",MATCH(Z9,TABLAS!$D$5:$J$5,1))</f>
        <v>2</v>
      </c>
      <c r="AW9" s="58">
        <f>IF(U9&lt;&gt;"SÍ","",IF(AV9&gt;=7,0,(Z9-INDEX(TABLAS!$D$5:$J$5,AV9))/(INDEX(TABLAS!$D$5:$J$5,AV9+1)-INDEX(TABLAS!$D$5:$J$5,AV9))))</f>
        <v>0.282271376691978</v>
      </c>
      <c r="AX9" s="59">
        <f>IF(U9&lt;&gt;"SÍ","",INDEX(TABLAS!$D$6:$J$47,MATCH(AU9&amp;"|NIC",TABLAS!$B$6:$B$47,0),AV9)+AW9*(INDEX(TABLAS!$D$6:$J$47,MATCH(AU9&amp;"|NIC",TABLAS!$B$6:$B$47,0),MIN(AV9+1,7))-INDEX(TABLAS!$D$6:$J$47,MATCH(AU9&amp;"|NIC",TABLAS!$B$6:$B$47,0),AV9)))</f>
        <v>1088.58534169693</v>
      </c>
      <c r="AY9" s="59">
        <f>IF(U9&lt;&gt;"SÍ","",INDEX(TABLAS!$D$6:$J$47,MATCH(AU9&amp;"|NIL",TABLAS!$B$6:$B$47,0),AV9)+AW9*(INDEX(TABLAS!$D$6:$J$47,MATCH(AU9&amp;"|NIL",TABLAS!$B$6:$B$47,0),MIN(AV9+1,7))-INDEX(TABLAS!$D$6:$J$47,MATCH(AU9&amp;"|NIL",TABLAS!$B$6:$B$47,0),AV9)))</f>
        <v>540.685044569165</v>
      </c>
      <c r="AZ9" s="59">
        <f>IF(U9&lt;&gt;"SÍ","",INDEX(TABLAS!$D$6:$J$47,MATCH(AU9&amp;"|NDC",TABLAS!$B$6:$B$47,0),AV9)+AW9*(INDEX(TABLAS!$D$6:$J$47,MATCH(AU9&amp;"|NDC",TABLAS!$B$6:$B$47,0),MIN(AV9+1,7))-INDEX(TABLAS!$D$6:$J$47,MATCH(AU9&amp;"|NDC",TABLAS!$B$6:$B$47,0),AV9)))</f>
        <v>0</v>
      </c>
      <c r="BA9" s="59">
        <f>IF(U9&lt;&gt;"SÍ","",INDEX(TABLAS!$D$6:$J$47,MATCH(AU9&amp;"|NDL",TABLAS!$B$6:$B$47,0),AV9)+AW9*(INDEX(TABLAS!$D$6:$J$47,MATCH(AU9&amp;"|NDL",TABLAS!$B$6:$B$47,0),MIN(AV9+1,7))-INDEX(TABLAS!$D$6:$J$47,MATCH(AU9&amp;"|NDL",TABLAS!$B$6:$B$47,0),AV9)))</f>
        <v>0</v>
      </c>
      <c r="BB9" s="59">
        <f>IF(U9&lt;&gt;"SÍ","",INDEX(TABLAS!$D$6:$J$47,MATCH(AU9&amp;"|PC",TABLAS!$B$6:$B$47,0),AV9)+AW9*(INDEX(TABLAS!$D$6:$J$47,MATCH(AU9&amp;"|PC",TABLAS!$B$6:$B$47,0),MIN(AV9+1,7))-INDEX(TABLAS!$D$6:$J$47,MATCH(AU9&amp;"|PC",TABLAS!$B$6:$B$47,0),AV9)))</f>
        <v>317.363156157148</v>
      </c>
      <c r="BC9" s="59">
        <f>IF(U9&lt;&gt;"SÍ","",INDEX(TABLAS!$D$6:$J$47,MATCH(AU9&amp;"|PL",TABLAS!$B$6:$B$47,0),AV9)+AW9*(INDEX(TABLAS!$D$6:$J$47,MATCH(AU9&amp;"|PL",TABLAS!$B$6:$B$47,0),MIN(AV9+1,7))-INDEX(TABLAS!$D$6:$J$47,MATCH(AU9&amp;"|PL",TABLAS!$B$6:$B$47,0),AV9)))</f>
        <v>148.879498184219</v>
      </c>
      <c r="BD9" s="56">
        <f>IF(U9&lt;&gt;"SÍ","",IF(C9&lt;&gt;"VOLADO",0,DATOS!$C$26*DATOS!$C$16*DATOS!$C$83/100*(((AD9*DATOS!$C$78/DATOS!$C$83^2)*DATOS!$C$79/100)*(IF(W9="X",DI9,DJ9)+DATOS!$C$84/2)/100*(AA9-(IF(W9="X",DI9,DJ9)+DATOS!$C$84/2)/2)/100+((AD9*DATOS!$C$78/DATOS!$C$83^2)*DATOS!$C$79/100)*IF(W9="X",DI9,DJ9)/100*IF(W9="X",DI9,DJ9)/200)))</f>
        <v>0</v>
      </c>
      <c r="BE9" s="56">
        <f>IF(U9&lt;&gt;"SÍ","",IF(C9&lt;&gt;"VOLADO",0,DATOS!$C$26*DATOS!$C$16*DATOS!$C$83/100*((AD9*DATOS!$C$78/DATOS!$C$83^2)*DATOS!$C$79/100)*(IF(W9="X",DI9,DJ9)+DATOS!$C$84/2)/100))</f>
        <v>0</v>
      </c>
      <c r="BF9" s="56">
        <f>IF(U9&lt;&gt;"SÍ","",IF(C9="PERIMETRAL",BB9*AQ9*X9^2*1E-4*DATOS!$C$83/100/1000,0))</f>
        <v>0.0559157814186325</v>
      </c>
      <c r="BG9" s="62">
        <f>IF(U9&lt;&gt;"SÍ","",IF(C9="PERIMETRAL",MAX(MAX(AX9,AZ9)*AQ9*X9^2*1E-4*DATOS!$C$83/100/1000,N(S9)),(AQ9*(AA9/100)^2/2+DATOS!$C$26*N(O9)*AA9/100)*DATOS!$C$83/100/1000+BD9))</f>
        <v>0.191796365901127</v>
      </c>
      <c r="BH9" s="56">
        <f>IF(U9&lt;&gt;"SÍ","",IF(C9="PERIMETRAL",BC9*AQ9*X9^2*1E-4*DATOS!$C$83/100/1000,0))</f>
        <v>0.0262308756283681</v>
      </c>
      <c r="BI9" s="56">
        <f>IF(U9&lt;&gt;"SÍ","",IF(C9="PERIMETRAL",MAX(MAX(AY9,BA9)*AQ9*X9^2*1E-4*DATOS!$C$83/100/1000,N(T9)),0))</f>
        <v>0.0952625601992775</v>
      </c>
      <c r="BJ9" s="63" t="str">
        <f>IF(U9&lt;&gt;"SÍ","",IF(C9&lt;&gt;"PERIMETRAL","—",IF(AND(N(S9)=0,N(T9)=0),"— (sin M⁻ del vecino)",IF(OR(AND(N(S9)&gt;0,ABS(MAX(AX9,AZ9)*AQ9*X9^2*1E-4*DATOS!$C$83/100/1000-N(S9))&gt;0.5*MIN(MAX(AX9,AZ9)*AQ9*X9^2*1E-4*DATOS!$C$83/100/1000,N(S9))),AND(N(T9)&gt;0,ABS(MAX(AY9,BA9)*AQ9*X9^2*1E-4*DATOS!$C$83/100/1000-N(T9))&gt;0.5*MIN(MAX(AY9,BA9)*AQ9*X9^2*1E-4*DATOS!$C$83/100/1000,N(T9)))),"FUERA: difieren &gt; 50 %"&amp;IF(AND(N(S9)&gt;0,ABS(MAX(AX9,AZ9)*AQ9*X9^2*1E-4*DATOS!$C$83/100/1000-N(S9))&gt;0.5*MIN(MAX(AX9,AZ9)*AQ9*X9^2*1E-4*DATOS!$C$83/100/1000,N(S9)))," ‖ corto","")&amp;IF(AND(N(T9)&gt;0,ABS(MAX(AY9,BA9)*AQ9*X9^2*1E-4*DATOS!$C$83/100/1000-N(T9))&gt;0.5*MIN(MAX(AY9,BA9)*AQ9*X9^2*1E-4*DATOS!$C$83/100/1000,N(T9)))," ‖ largo",""),"CUMPLE"))))</f>
        <v>— (sin M⁻ del vecino)</v>
      </c>
      <c r="BK9" s="58">
        <f>IF(U9&lt;&gt;"SÍ","",(DATOS!$C$82-AJ9-INDEX(TABLAS!$C$52:$C$58,MATCH(DATOS!$C$68,TABLAS!$B$52:$B$58,0))/2))</f>
        <v>20.365</v>
      </c>
      <c r="BL9" s="58">
        <f>IF(U9&lt;&gt;"SÍ","",IF(IF(BF9&lt;=0,0,IF((1-2*BF9*1E5/(DATOS!$C$29*AG9*BK9^2*DATOS!$C$21))&lt;0,-1,IF((1-SQRT((1-2*BF9*1E5/(DATOS!$C$29*AG9*BK9^2*DATOS!$C$21))))*DATOS!$C$21*AG9*BK9/DATOS!$C$14&gt;DATOS!$C$99*AG9*BK9,-1,(1-SQRT((1-2*BF9*1E5/(DATOS!$C$29*AG9*BK9^2*DATOS!$C$21))))*DATOS!$C$21*AG9*BK9/DATOS!$C$14)))&lt;0,-1,MAX(IF(BF9&lt;=0,0,IF((1-2*BF9*1E5/(DATOS!$C$29*AG9*BK9^2*DATOS!$C$21))&lt;0,-1,IF((1-SQRT((1-2*BF9*1E5/(DATOS!$C$29*AG9*BK9^2*DATOS!$C$21))))*DATOS!$C$21*AG9*BK9/DATOS!$C$14&gt;DATOS!$C$99*AG9*BK9,-1,(1-SQRT((1-2*BF9*1E5/(DATOS!$C$29*AG9*BK9^2*DATOS!$C$21))))*DATOS!$C$21*AG9*BK9/DATOS!$C$14))),MIN(DATOS!$C$100*AC9*BK9,4/3*IF(BF9&lt;=0,0,IF((1-2*BF9*1E5/(DATOS!$C$29*AG9*BK9^2*DATOS!$C$21))&lt;0,-1,IF((1-SQRT((1-2*BF9*1E5/(DATOS!$C$29*AG9*BK9^2*DATOS!$C$21))))*DATOS!$C$21*AG9*BK9/DATOS!$C$14&gt;DATOS!$C$99*AG9*BK9,-1,(1-SQRT((1-2*BF9*1E5/(DATOS!$C$29*AG9*BK9^2*DATOS!$C$21))))*DATOS!$C$21*AG9*BK9/DATOS!$C$14)))))))</f>
        <v>0.0969233203692672</v>
      </c>
      <c r="BM9" s="64">
        <f>IF(U9&lt;&gt;"SÍ","",IF(AND(BL9&gt;=0,IF(MAX(DATOS!$C$71,CEILING(BL9/INDEX(TABLAS!$D$52:$D$58,MIN(MATCH(DATOS!$C$68,TABLAS!$B$52:$B$58,0)+0,7)),1))*INDEX(TABLAS!$D$52:$D$58,MIN(MATCH(DATOS!$C$68,TABLAS!$B$52:$B$58,0)+0,7))&gt;=4/3*IF(BF9&lt;=0,0,IF((1-2*BF9*1E5/(DATOS!$C$29*AG9*BK9^2*DATOS!$C$21))&lt;0,-1,IF((1-SQRT((1-2*BF9*1E5/(DATOS!$C$29*AG9*BK9^2*DATOS!$C$21))))*DATOS!$C$21*AG9*BK9/DATOS!$C$14&gt;DATOS!$C$99*AG9*BK9,-1,(1-SQRT((1-2*BF9*1E5/(DATOS!$C$29*AG9*BK9^2*DATOS!$C$21))))*DATOS!$C$21*AG9*BK9/DATOS!$C$14)))-0.0001,MAX(DATOS!$C$71,CEILING(BL9/INDEX(TABLAS!$D$52:$D$58,MIN(MATCH(DATOS!$C$68,TABLAS!$B$52:$B$58,0)+0,7)),1)),MAX(MAX(DATOS!$C$71,CEILING(BL9/INDEX(TABLAS!$D$52:$D$58,MIN(MATCH(DATOS!$C$68,TABLAS!$B$52:$B$58,0)+0,7)),1)),2))&lt;=MIN(DATOS!$C$70,INT(((AC9-2*AJ9)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9&gt;=0,IF(MAX(DATOS!$C$71,CEILING(BL9/INDEX(TABLAS!$D$52:$D$58,MIN(MATCH(DATOS!$C$68,TABLAS!$B$52:$B$58,0)+1,7)),1))*INDEX(TABLAS!$D$52:$D$58,MIN(MATCH(DATOS!$C$68,TABLAS!$B$52:$B$58,0)+1,7))&gt;=4/3*IF(BF9&lt;=0,0,IF((1-2*BF9*1E5/(DATOS!$C$29*AG9*BK9^2*DATOS!$C$21))&lt;0,-1,IF((1-SQRT((1-2*BF9*1E5/(DATOS!$C$29*AG9*BK9^2*DATOS!$C$21))))*DATOS!$C$21*AG9*BK9/DATOS!$C$14&gt;DATOS!$C$99*AG9*BK9,-1,(1-SQRT((1-2*BF9*1E5/(DATOS!$C$29*AG9*BK9^2*DATOS!$C$21))))*DATOS!$C$21*AG9*BK9/DATOS!$C$14)))-0.0001,MAX(DATOS!$C$71,CEILING(BL9/INDEX(TABLAS!$D$52:$D$58,MIN(MATCH(DATOS!$C$68,TABLAS!$B$52:$B$58,0)+1,7)),1)),MAX(MAX(DATOS!$C$71,CEILING(BL9/INDEX(TABLAS!$D$52:$D$58,MIN(MATCH(DATOS!$C$68,TABLAS!$B$52:$B$58,0)+1,7)),1)),2))&lt;=MIN(DATOS!$C$70,INT(((AC9-2*AJ9)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9&gt;=0,IF(MAX(DATOS!$C$71,CEILING(BL9/INDEX(TABLAS!$D$52:$D$58,MIN(MATCH(DATOS!$C$68,TABLAS!$B$52:$B$58,0)+2,7)),1))*INDEX(TABLAS!$D$52:$D$58,MIN(MATCH(DATOS!$C$68,TABLAS!$B$52:$B$58,0)+2,7))&gt;=4/3*IF(BF9&lt;=0,0,IF((1-2*BF9*1E5/(DATOS!$C$29*AG9*BK9^2*DATOS!$C$21))&lt;0,-1,IF((1-SQRT((1-2*BF9*1E5/(DATOS!$C$29*AG9*BK9^2*DATOS!$C$21))))*DATOS!$C$21*AG9*BK9/DATOS!$C$14&gt;DATOS!$C$99*AG9*BK9,-1,(1-SQRT((1-2*BF9*1E5/(DATOS!$C$29*AG9*BK9^2*DATOS!$C$21))))*DATOS!$C$21*AG9*BK9/DATOS!$C$14)))-0.0001,MAX(DATOS!$C$71,CEILING(BL9/INDEX(TABLAS!$D$52:$D$58,MIN(MATCH(DATOS!$C$68,TABLAS!$B$52:$B$58,0)+2,7)),1)),MAX(MAX(DATOS!$C$71,CEILING(BL9/INDEX(TABLAS!$D$52:$D$58,MIN(MATCH(DATOS!$C$68,TABLAS!$B$52:$B$58,0)+2,7)),1)),2))&lt;=MIN(DATOS!$C$70,INT(((AC9-2*AJ9)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9&gt;=0,IF(MAX(DATOS!$C$71,CEILING(BL9/INDEX(TABLAS!$D$52:$D$58,MIN(MATCH(DATOS!$C$68,TABLAS!$B$52:$B$58,0)+3,7)),1))*INDEX(TABLAS!$D$52:$D$58,MIN(MATCH(DATOS!$C$68,TABLAS!$B$52:$B$58,0)+3,7))&gt;=4/3*IF(BF9&lt;=0,0,IF((1-2*BF9*1E5/(DATOS!$C$29*AG9*BK9^2*DATOS!$C$21))&lt;0,-1,IF((1-SQRT((1-2*BF9*1E5/(DATOS!$C$29*AG9*BK9^2*DATOS!$C$21))))*DATOS!$C$21*AG9*BK9/DATOS!$C$14&gt;DATOS!$C$99*AG9*BK9,-1,(1-SQRT((1-2*BF9*1E5/(DATOS!$C$29*AG9*BK9^2*DATOS!$C$21))))*DATOS!$C$21*AG9*BK9/DATOS!$C$14)))-0.0001,MAX(DATOS!$C$71,CEILING(BL9/INDEX(TABLAS!$D$52:$D$58,MIN(MATCH(DATOS!$C$68,TABLAS!$B$52:$B$58,0)+3,7)),1)),MAX(MAX(DATOS!$C$71,CEILING(BL9/INDEX(TABLAS!$D$52:$D$58,MIN(MATCH(DATOS!$C$68,TABLAS!$B$52:$B$58,0)+3,7)),1)),2))&lt;=MIN(DATOS!$C$70,INT(((AC9-2*AJ9)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9&gt;=0,IF(MAX(DATOS!$C$71,CEILING(BL9/INDEX(TABLAS!$D$52:$D$58,MIN(MATCH(DATOS!$C$68,TABLAS!$B$52:$B$58,0)+4,7)),1))*INDEX(TABLAS!$D$52:$D$58,MIN(MATCH(DATOS!$C$68,TABLAS!$B$52:$B$58,0)+4,7))&gt;=4/3*IF(BF9&lt;=0,0,IF((1-2*BF9*1E5/(DATOS!$C$29*AG9*BK9^2*DATOS!$C$21))&lt;0,-1,IF((1-SQRT((1-2*BF9*1E5/(DATOS!$C$29*AG9*BK9^2*DATOS!$C$21))))*DATOS!$C$21*AG9*BK9/DATOS!$C$14&gt;DATOS!$C$99*AG9*BK9,-1,(1-SQRT((1-2*BF9*1E5/(DATOS!$C$29*AG9*BK9^2*DATOS!$C$21))))*DATOS!$C$21*AG9*BK9/DATOS!$C$14)))-0.0001,MAX(DATOS!$C$71,CEILING(BL9/INDEX(TABLAS!$D$52:$D$58,MIN(MATCH(DATOS!$C$68,TABLAS!$B$52:$B$58,0)+4,7)),1)),MAX(MAX(DATOS!$C$71,CEILING(BL9/INDEX(TABLAS!$D$52:$D$58,MIN(MATCH(DATOS!$C$68,TABLAS!$B$52:$B$58,0)+4,7)),1)),2))&lt;=MIN(DATOS!$C$70,INT(((AC9-2*AJ9)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>4</v>
      </c>
      <c r="BN9" s="59">
        <f>IF(U9&lt;&gt;"SÍ","",IF(BL9&lt;0,0,IF(MAX(DATOS!$C$71,CEILING(MAX(BL9,0)/INDEX(TABLAS!$D$52:$D$58,MATCH(BM9,TABLAS!$B$52:$B$58,0)),1))*INDEX(TABLAS!$D$52:$D$58,MATCH(BM9,TABLAS!$B$52:$B$58,0))&gt;=4/3*IF(BF9&lt;=0,0,IF((1-2*BF9*1E5/(DATOS!$C$29*AG9*BK9^2*DATOS!$C$21))&lt;0,-1,IF((1-SQRT((1-2*BF9*1E5/(DATOS!$C$29*AG9*BK9^2*DATOS!$C$21))))*DATOS!$C$21*AG9*BK9/DATOS!$C$14&gt;DATOS!$C$99*AG9*BK9,-1,(1-SQRT((1-2*BF9*1E5/(DATOS!$C$29*AG9*BK9^2*DATOS!$C$21))))*DATOS!$C$21*AG9*BK9/DATOS!$C$14)))-0.0001,MAX(DATOS!$C$71,CEILING(MAX(BL9,0)/INDEX(TABLAS!$D$52:$D$58,MATCH(BM9,TABLAS!$B$52:$B$58,0)),1)),MAX(MAX(DATOS!$C$71,CEILING(MAX(BL9,0)/INDEX(TABLAS!$D$52:$D$58,MATCH(BM9,TABLAS!$B$52:$B$58,0)),1)),2))))</f>
        <v>1</v>
      </c>
      <c r="BO9" s="58">
        <f>IF(U9&lt;&gt;"SÍ","",DATOS!$C$82-AJ9-INDEX(TABLAS!$C$52:$C$58,MATCH(BM9,TABLAS!$B$52:$B$58,0))/2)</f>
        <v>20.365</v>
      </c>
      <c r="BP9" s="56">
        <f>IF(U9&lt;&gt;"SÍ","",IF(BN9=0,0,DATOS!$C$29*BN9*INDEX(TABLAS!$D$52:$D$58,MATCH(BM9,TABLAS!$B$52:$B$58,0))*DATOS!$C$14*(BO9-BN9*INDEX(TABLAS!$D$52:$D$58,MATCH(BM9,TABLAS!$B$52:$B$58,0))*DATOS!$C$14/(DATOS!$C$21*AG9)/2)/1E5))</f>
        <v>0.96461508645787</v>
      </c>
      <c r="BQ9" s="65">
        <f>IF(U9&lt;&gt;"SÍ","",IF(BL9&lt;0,9.99,IF(BP9&gt;0,BF9/BP9,0)))</f>
        <v>0.0579669364533359</v>
      </c>
      <c r="BR9" s="66">
        <f>IF(U9&lt;&gt;"SÍ","",IF(BN9=0,"—",0.003*(BO9-(BN9*INDEX(TABLAS!$D$52:$D$58,MATCH(BM9,TABLAS!$B$52:$B$58,0))*DATOS!$C$14/(DATOS!$C$21*AG9)/DATOS!$C$22))/(BN9*INDEX(TABLAS!$D$52:$D$58,MATCH(BM9,TABLAS!$B$52:$B$58,0))*DATOS!$C$14/(DATOS!$C$21*AG9)/DATOS!$C$22)))</f>
        <v>0.0926846461086895</v>
      </c>
      <c r="BS9" s="58">
        <f>IF(U9&lt;&gt;"SÍ","",((DATOS!$C$82-AL9-2*DATOS!$C$94-INDEX(TABLAS!$C$52:$C$58,MATCH(DATOS!$C$69,TABLAS!$B$52:$B$58,0))/2)-IF(AND((DATOS!$C$82-AL9-2*DATOS!$C$94-INDEX(TABLAS!$C$52:$C$58,MATCH(DATOS!$C$69,TABLAS!$B$52:$B$58,0))/2)&lt;=20,DATOS!$C$62&lt;&gt;"SÍ"),2,0)))</f>
        <v>19.221</v>
      </c>
      <c r="BT9" s="58">
        <f>IF(U9&lt;&gt;"SÍ","",IF(IF(BG9&lt;=0,0,IF((1-2*BG9*1E5/(DATOS!$C$29*AE9*BS9^2*DATOS!$C$21))&lt;0,-1,IF((1-SQRT((1-2*BG9*1E5/(DATOS!$C$29*AE9*BS9^2*DATOS!$C$21))))*DATOS!$C$21*AE9*BS9/DATOS!$C$14&gt;DATOS!$C$99*AE9*BS9,-1,(1-SQRT((1-2*BG9*1E5/(DATOS!$C$29*AE9*BS9^2*DATOS!$C$21))))*DATOS!$C$21*AE9*BS9/DATOS!$C$14)))&lt;0,-1,MAX(IF(BG9&lt;=0,0,IF((1-2*BG9*1E5/(DATOS!$C$29*AE9*BS9^2*DATOS!$C$21))&lt;0,-1,IF((1-SQRT((1-2*BG9*1E5/(DATOS!$C$29*AE9*BS9^2*DATOS!$C$21))))*DATOS!$C$21*AE9*BS9/DATOS!$C$14&gt;DATOS!$C$99*AE9*BS9,-1,(1-SQRT((1-2*BG9*1E5/(DATOS!$C$29*AE9*BS9^2*DATOS!$C$21))))*DATOS!$C$21*AE9*BS9/DATOS!$C$14))),MIN(DATOS!$C$100*IF(C9="VOLADO",MIN(AG9,2*AC9),AC9)*BS9,4/3*IF(BG9&lt;=0,0,IF((1-2*BG9*1E5/(DATOS!$C$29*AE9*BS9^2*DATOS!$C$21))&lt;0,-1,IF((1-SQRT((1-2*BG9*1E5/(DATOS!$C$29*AE9*BS9^2*DATOS!$C$21))))*DATOS!$C$21*AE9*BS9/DATOS!$C$14&gt;DATOS!$C$99*AE9*BS9,-1,(1-SQRT((1-2*BG9*1E5/(DATOS!$C$29*AE9*BS9^2*DATOS!$C$21))))*DATOS!$C$21*AE9*BS9/DATOS!$C$14)))))))</f>
        <v>0.356885999287858</v>
      </c>
      <c r="BU9" s="64">
        <f>IF(U9&lt;&gt;"SÍ","",IF(AND(BT9&gt;=0,IF(MAX(DATOS!$C$71,CEILING(BT9/INDEX(TABLAS!$D$52:$D$58,MIN(MATCH(DATOS!$C$69,TABLAS!$B$52:$B$58,0)+0,7)),1))*INDEX(TABLAS!$D$52:$D$58,MIN(MATCH(DATOS!$C$69,TABLAS!$B$52:$B$58,0)+0,7))&gt;=4/3*IF(BG9&lt;=0,0,IF((1-2*BG9*1E5/(DATOS!$C$29*AE9*BS9^2*DATOS!$C$21))&lt;0,-1,IF((1-SQRT((1-2*BG9*1E5/(DATOS!$C$29*AE9*BS9^2*DATOS!$C$21))))*DATOS!$C$21*AE9*BS9/DATOS!$C$14&gt;DATOS!$C$99*AE9*BS9,-1,(1-SQRT((1-2*BG9*1E5/(DATOS!$C$29*AE9*BS9^2*DATOS!$C$21))))*DATOS!$C$21*AE9*BS9/DATOS!$C$14)))-0.0001,MAX(DATOS!$C$71,CEILING(BT9/INDEX(TABLAS!$D$52:$D$58,MIN(MATCH(DATOS!$C$69,TABLAS!$B$52:$B$58,0)+0,7)),1)),MAX(MAX(DATOS!$C$71,CEILING(BT9/INDEX(TABLAS!$D$52:$D$58,MIN(MATCH(DATOS!$C$69,TABLAS!$B$52:$B$58,0)+0,7)),1)),2))&lt;=MIN(DATOS!$C$70,INT(((AC9-2*AK9)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9&gt;=0,IF(MAX(DATOS!$C$71,CEILING(BT9/INDEX(TABLAS!$D$52:$D$58,MIN(MATCH(DATOS!$C$69,TABLAS!$B$52:$B$58,0)+1,7)),1))*INDEX(TABLAS!$D$52:$D$58,MIN(MATCH(DATOS!$C$69,TABLAS!$B$52:$B$58,0)+1,7))&gt;=4/3*IF(BG9&lt;=0,0,IF((1-2*BG9*1E5/(DATOS!$C$29*AE9*BS9^2*DATOS!$C$21))&lt;0,-1,IF((1-SQRT((1-2*BG9*1E5/(DATOS!$C$29*AE9*BS9^2*DATOS!$C$21))))*DATOS!$C$21*AE9*BS9/DATOS!$C$14&gt;DATOS!$C$99*AE9*BS9,-1,(1-SQRT((1-2*BG9*1E5/(DATOS!$C$29*AE9*BS9^2*DATOS!$C$21))))*DATOS!$C$21*AE9*BS9/DATOS!$C$14)))-0.0001,MAX(DATOS!$C$71,CEILING(BT9/INDEX(TABLAS!$D$52:$D$58,MIN(MATCH(DATOS!$C$69,TABLAS!$B$52:$B$58,0)+1,7)),1)),MAX(MAX(DATOS!$C$71,CEILING(BT9/INDEX(TABLAS!$D$52:$D$58,MIN(MATCH(DATOS!$C$69,TABLAS!$B$52:$B$58,0)+1,7)),1)),2))&lt;=MIN(DATOS!$C$70,INT(((AC9-2*AK9)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9&gt;=0,IF(MAX(DATOS!$C$71,CEILING(BT9/INDEX(TABLAS!$D$52:$D$58,MIN(MATCH(DATOS!$C$69,TABLAS!$B$52:$B$58,0)+2,7)),1))*INDEX(TABLAS!$D$52:$D$58,MIN(MATCH(DATOS!$C$69,TABLAS!$B$52:$B$58,0)+2,7))&gt;=4/3*IF(BG9&lt;=0,0,IF((1-2*BG9*1E5/(DATOS!$C$29*AE9*BS9^2*DATOS!$C$21))&lt;0,-1,IF((1-SQRT((1-2*BG9*1E5/(DATOS!$C$29*AE9*BS9^2*DATOS!$C$21))))*DATOS!$C$21*AE9*BS9/DATOS!$C$14&gt;DATOS!$C$99*AE9*BS9,-1,(1-SQRT((1-2*BG9*1E5/(DATOS!$C$29*AE9*BS9^2*DATOS!$C$21))))*DATOS!$C$21*AE9*BS9/DATOS!$C$14)))-0.0001,MAX(DATOS!$C$71,CEILING(BT9/INDEX(TABLAS!$D$52:$D$58,MIN(MATCH(DATOS!$C$69,TABLAS!$B$52:$B$58,0)+2,7)),1)),MAX(MAX(DATOS!$C$71,CEILING(BT9/INDEX(TABLAS!$D$52:$D$58,MIN(MATCH(DATOS!$C$69,TABLAS!$B$52:$B$58,0)+2,7)),1)),2))&lt;=MIN(DATOS!$C$70,INT(((AC9-2*AK9)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9&gt;=0,IF(MAX(DATOS!$C$71,CEILING(BT9/INDEX(TABLAS!$D$52:$D$58,MIN(MATCH(DATOS!$C$69,TABLAS!$B$52:$B$58,0)+3,7)),1))*INDEX(TABLAS!$D$52:$D$58,MIN(MATCH(DATOS!$C$69,TABLAS!$B$52:$B$58,0)+3,7))&gt;=4/3*IF(BG9&lt;=0,0,IF((1-2*BG9*1E5/(DATOS!$C$29*AE9*BS9^2*DATOS!$C$21))&lt;0,-1,IF((1-SQRT((1-2*BG9*1E5/(DATOS!$C$29*AE9*BS9^2*DATOS!$C$21))))*DATOS!$C$21*AE9*BS9/DATOS!$C$14&gt;DATOS!$C$99*AE9*BS9,-1,(1-SQRT((1-2*BG9*1E5/(DATOS!$C$29*AE9*BS9^2*DATOS!$C$21))))*DATOS!$C$21*AE9*BS9/DATOS!$C$14)))-0.0001,MAX(DATOS!$C$71,CEILING(BT9/INDEX(TABLAS!$D$52:$D$58,MIN(MATCH(DATOS!$C$69,TABLAS!$B$52:$B$58,0)+3,7)),1)),MAX(MAX(DATOS!$C$71,CEILING(BT9/INDEX(TABLAS!$D$52:$D$58,MIN(MATCH(DATOS!$C$69,TABLAS!$B$52:$B$58,0)+3,7)),1)),2))&lt;=MIN(DATOS!$C$70,INT(((AC9-2*AK9)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9&gt;=0,IF(MAX(DATOS!$C$71,CEILING(BT9/INDEX(TABLAS!$D$52:$D$58,MIN(MATCH(DATOS!$C$69,TABLAS!$B$52:$B$58,0)+4,7)),1))*INDEX(TABLAS!$D$52:$D$58,MIN(MATCH(DATOS!$C$69,TABLAS!$B$52:$B$58,0)+4,7))&gt;=4/3*IF(BG9&lt;=0,0,IF((1-2*BG9*1E5/(DATOS!$C$29*AE9*BS9^2*DATOS!$C$21))&lt;0,-1,IF((1-SQRT((1-2*BG9*1E5/(DATOS!$C$29*AE9*BS9^2*DATOS!$C$21))))*DATOS!$C$21*AE9*BS9/DATOS!$C$14&gt;DATOS!$C$99*AE9*BS9,-1,(1-SQRT((1-2*BG9*1E5/(DATOS!$C$29*AE9*BS9^2*DATOS!$C$21))))*DATOS!$C$21*AE9*BS9/DATOS!$C$14)))-0.0001,MAX(DATOS!$C$71,CEILING(BT9/INDEX(TABLAS!$D$52:$D$58,MIN(MATCH(DATOS!$C$69,TABLAS!$B$52:$B$58,0)+4,7)),1)),MAX(MAX(DATOS!$C$71,CEILING(BT9/INDEX(TABLAS!$D$52:$D$58,MIN(MATCH(DATOS!$C$69,TABLAS!$B$52:$B$58,0)+4,7)),1)),2))&lt;=MIN(DATOS!$C$70,INT(((AC9-2*AK9)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>4</v>
      </c>
      <c r="BV9" s="59">
        <f>IF(U9&lt;&gt;"SÍ","",IF(BT9&lt;0,0,IF(MAX(DATOS!$C$71,CEILING(MAX(BT9,0)/INDEX(TABLAS!$D$52:$D$58,MATCH(BU9,TABLAS!$B$52:$B$58,0)),1))*INDEX(TABLAS!$D$52:$D$58,MATCH(BU9,TABLAS!$B$52:$B$58,0))&gt;=4/3*IF(BG9&lt;=0,0,IF((1-2*BG9*1E5/(DATOS!$C$29*AE9*BS9^2*DATOS!$C$21))&lt;0,-1,IF((1-SQRT((1-2*BG9*1E5/(DATOS!$C$29*AE9*BS9^2*DATOS!$C$21))))*DATOS!$C$21*AE9*BS9/DATOS!$C$14&gt;DATOS!$C$99*AE9*BS9,-1,(1-SQRT((1-2*BG9*1E5/(DATOS!$C$29*AE9*BS9^2*DATOS!$C$21))))*DATOS!$C$21*AE9*BS9/DATOS!$C$14)))-0.0001,MAX(DATOS!$C$71,CEILING(MAX(BT9,0)/INDEX(TABLAS!$D$52:$D$58,MATCH(BU9,TABLAS!$B$52:$B$58,0)),1)),MAX(MAX(DATOS!$C$71,CEILING(MAX(BT9,0)/INDEX(TABLAS!$D$52:$D$58,MATCH(BU9,TABLAS!$B$52:$B$58,0)),1)),2))))</f>
        <v>1</v>
      </c>
      <c r="BW9" s="58">
        <f>IF(U9&lt;&gt;"SÍ","",((DATOS!$C$82-AL9-2*DATOS!$C$94-INDEX(TABLAS!$C$52:$C$58,MATCH(BU9,TABLAS!$B$52:$B$58,0))/2)-IF(AND((DATOS!$C$82-AL9-2*DATOS!$C$94-INDEX(TABLAS!$C$52:$C$58,MATCH(BU9,TABLAS!$B$52:$B$58,0))/2)&lt;=20,DATOS!$C$62&lt;&gt;"SÍ"),2,0)))</f>
        <v>19.221</v>
      </c>
      <c r="BX9" s="56">
        <f>IF(U9&lt;&gt;"SÍ","",IF(BV9=0,0,DATOS!$C$29*BV9*INDEX(TABLAS!$D$52:$D$58,MATCH(BU9,TABLAS!$B$52:$B$58,0))*DATOS!$C$14*(BW9-BV9*INDEX(TABLAS!$D$52:$D$58,MATCH(BU9,TABLAS!$B$52:$B$58,0))*DATOS!$C$14/(DATOS!$C$21*AE9)/2)/1E5))</f>
        <v>0.862472972117647</v>
      </c>
      <c r="BY9" s="65">
        <f>IF(U9&lt;&gt;"SÍ","",IF(BT9&lt;0,9.99,IF(BX9&gt;0,BG9/BX9,0)))</f>
        <v>0.222379566782488</v>
      </c>
      <c r="BZ9" s="66">
        <f>IF(U9&lt;&gt;"SÍ","",IF(BV9=0,"—",0.003*(BW9-(BV9*INDEX(TABLAS!$D$52:$D$58,MATCH(BU9,TABLAS!$B$52:$B$58,0))*DATOS!$C$14/(DATOS!$C$21*AE9)/DATOS!$C$22))/(BV9*INDEX(TABLAS!$D$52:$D$58,MATCH(BU9,TABLAS!$B$52:$B$58,0))*DATOS!$C$14/(DATOS!$C$21*AE9)/DATOS!$C$22)))</f>
        <v>0.0165263955286839</v>
      </c>
      <c r="CA9" s="58">
        <f>IF(U9&lt;&gt;"SÍ","",(DATOS!$C$82-AJ9-INDEX(TABLAS!$C$52:$C$58,MATCH(DATOS!$C$68,TABLAS!$B$52:$B$58,0))-INDEX(TABLAS!$C$52:$C$58,MATCH(DATOS!$C$68,TABLAS!$B$52:$B$58,0))/2))</f>
        <v>19.095</v>
      </c>
      <c r="CB9" s="58">
        <f>IF(U9&lt;&gt;"SÍ","",IF(IF(BH9&lt;=0,0,IF((1-2*BH9*1E5/(DATOS!$C$29*AH9*CA9^2*DATOS!$C$21))&lt;0,-1,IF((1-SQRT((1-2*BH9*1E5/(DATOS!$C$29*AH9*CA9^2*DATOS!$C$21))))*DATOS!$C$21*AH9*CA9/DATOS!$C$14&gt;DATOS!$C$99*AH9*CA9,-1,(1-SQRT((1-2*BH9*1E5/(DATOS!$C$29*AH9*CA9^2*DATOS!$C$21))))*DATOS!$C$21*AH9*CA9/DATOS!$C$14)))&lt;0,-1,MAX(IF(BH9&lt;=0,0,IF((1-2*BH9*1E5/(DATOS!$C$29*AH9*CA9^2*DATOS!$C$21))&lt;0,-1,IF((1-SQRT((1-2*BH9*1E5/(DATOS!$C$29*AH9*CA9^2*DATOS!$C$21))))*DATOS!$C$21*AH9*CA9/DATOS!$C$14&gt;DATOS!$C$99*AH9*CA9,-1,(1-SQRT((1-2*BH9*1E5/(DATOS!$C$29*AH9*CA9^2*DATOS!$C$21))))*DATOS!$C$21*AH9*CA9/DATOS!$C$14))),MIN(DATOS!$C$100*DATOS!$C$80*CA9,4/3*IF(BH9&lt;=0,0,IF((1-2*BH9*1E5/(DATOS!$C$29*AH9*CA9^2*DATOS!$C$21))&lt;0,-1,IF((1-SQRT((1-2*BH9*1E5/(DATOS!$C$29*AH9*CA9^2*DATOS!$C$21))))*DATOS!$C$21*AH9*CA9/DATOS!$C$14&gt;DATOS!$C$99*AH9*CA9,-1,(1-SQRT((1-2*BH9*1E5/(DATOS!$C$29*AH9*CA9^2*DATOS!$C$21))))*DATOS!$C$21*AH9*CA9/DATOS!$C$14)))))))</f>
        <v>0.0484681895824149</v>
      </c>
      <c r="CC9" s="64">
        <f>IF(U9&lt;&gt;"SÍ","",IF(AND(CB9&gt;=0,IF(MAX(DATOS!$C$71,CEILING(CB9/INDEX(TABLAS!$D$52:$D$58,MIN(MATCH(DATOS!$C$68,TABLAS!$B$52:$B$58,0)+0,7)),1))*INDEX(TABLAS!$D$52:$D$58,MIN(MATCH(DATOS!$C$68,TABLAS!$B$52:$B$58,0)+0,7))&gt;=4/3*IF(BH9&lt;=0,0,IF((1-2*BH9*1E5/(DATOS!$C$29*AH9*CA9^2*DATOS!$C$21))&lt;0,-1,IF((1-SQRT((1-2*BH9*1E5/(DATOS!$C$29*AH9*CA9^2*DATOS!$C$21))))*DATOS!$C$21*AH9*CA9/DATOS!$C$14&gt;DATOS!$C$99*AH9*CA9,-1,(1-SQRT((1-2*BH9*1E5/(DATOS!$C$29*AH9*CA9^2*DATOS!$C$21))))*DATOS!$C$21*AH9*CA9/DATOS!$C$14)))-0.0001,MAX(DATOS!$C$71,CEILING(CB9/INDEX(TABLAS!$D$52:$D$58,MIN(MATCH(DATOS!$C$68,TABLAS!$B$52:$B$58,0)+0,7)),1)),MAX(MAX(DATOS!$C$71,CEILING(CB9/INDEX(TABLAS!$D$52:$D$58,MIN(MATCH(DATOS!$C$68,TABLAS!$B$52:$B$58,0)+0,7)),1)),2))&lt;=MIN(DATOS!$C$70,INT(((DATOS!$C$80-2*AJ9)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9&gt;=0,IF(MAX(DATOS!$C$71,CEILING(CB9/INDEX(TABLAS!$D$52:$D$58,MIN(MATCH(DATOS!$C$68,TABLAS!$B$52:$B$58,0)+1,7)),1))*INDEX(TABLAS!$D$52:$D$58,MIN(MATCH(DATOS!$C$68,TABLAS!$B$52:$B$58,0)+1,7))&gt;=4/3*IF(BH9&lt;=0,0,IF((1-2*BH9*1E5/(DATOS!$C$29*AH9*CA9^2*DATOS!$C$21))&lt;0,-1,IF((1-SQRT((1-2*BH9*1E5/(DATOS!$C$29*AH9*CA9^2*DATOS!$C$21))))*DATOS!$C$21*AH9*CA9/DATOS!$C$14&gt;DATOS!$C$99*AH9*CA9,-1,(1-SQRT((1-2*BH9*1E5/(DATOS!$C$29*AH9*CA9^2*DATOS!$C$21))))*DATOS!$C$21*AH9*CA9/DATOS!$C$14)))-0.0001,MAX(DATOS!$C$71,CEILING(CB9/INDEX(TABLAS!$D$52:$D$58,MIN(MATCH(DATOS!$C$68,TABLAS!$B$52:$B$58,0)+1,7)),1)),MAX(MAX(DATOS!$C$71,CEILING(CB9/INDEX(TABLAS!$D$52:$D$58,MIN(MATCH(DATOS!$C$68,TABLAS!$B$52:$B$58,0)+1,7)),1)),2))&lt;=MIN(DATOS!$C$70,INT(((DATOS!$C$80-2*AJ9)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9&gt;=0,IF(MAX(DATOS!$C$71,CEILING(CB9/INDEX(TABLAS!$D$52:$D$58,MIN(MATCH(DATOS!$C$68,TABLAS!$B$52:$B$58,0)+2,7)),1))*INDEX(TABLAS!$D$52:$D$58,MIN(MATCH(DATOS!$C$68,TABLAS!$B$52:$B$58,0)+2,7))&gt;=4/3*IF(BH9&lt;=0,0,IF((1-2*BH9*1E5/(DATOS!$C$29*AH9*CA9^2*DATOS!$C$21))&lt;0,-1,IF((1-SQRT((1-2*BH9*1E5/(DATOS!$C$29*AH9*CA9^2*DATOS!$C$21))))*DATOS!$C$21*AH9*CA9/DATOS!$C$14&gt;DATOS!$C$99*AH9*CA9,-1,(1-SQRT((1-2*BH9*1E5/(DATOS!$C$29*AH9*CA9^2*DATOS!$C$21))))*DATOS!$C$21*AH9*CA9/DATOS!$C$14)))-0.0001,MAX(DATOS!$C$71,CEILING(CB9/INDEX(TABLAS!$D$52:$D$58,MIN(MATCH(DATOS!$C$68,TABLAS!$B$52:$B$58,0)+2,7)),1)),MAX(MAX(DATOS!$C$71,CEILING(CB9/INDEX(TABLAS!$D$52:$D$58,MIN(MATCH(DATOS!$C$68,TABLAS!$B$52:$B$58,0)+2,7)),1)),2))&lt;=MIN(DATOS!$C$70,INT(((DATOS!$C$80-2*AJ9)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9&gt;=0,IF(MAX(DATOS!$C$71,CEILING(CB9/INDEX(TABLAS!$D$52:$D$58,MIN(MATCH(DATOS!$C$68,TABLAS!$B$52:$B$58,0)+3,7)),1))*INDEX(TABLAS!$D$52:$D$58,MIN(MATCH(DATOS!$C$68,TABLAS!$B$52:$B$58,0)+3,7))&gt;=4/3*IF(BH9&lt;=0,0,IF((1-2*BH9*1E5/(DATOS!$C$29*AH9*CA9^2*DATOS!$C$21))&lt;0,-1,IF((1-SQRT((1-2*BH9*1E5/(DATOS!$C$29*AH9*CA9^2*DATOS!$C$21))))*DATOS!$C$21*AH9*CA9/DATOS!$C$14&gt;DATOS!$C$99*AH9*CA9,-1,(1-SQRT((1-2*BH9*1E5/(DATOS!$C$29*AH9*CA9^2*DATOS!$C$21))))*DATOS!$C$21*AH9*CA9/DATOS!$C$14)))-0.0001,MAX(DATOS!$C$71,CEILING(CB9/INDEX(TABLAS!$D$52:$D$58,MIN(MATCH(DATOS!$C$68,TABLAS!$B$52:$B$58,0)+3,7)),1)),MAX(MAX(DATOS!$C$71,CEILING(CB9/INDEX(TABLAS!$D$52:$D$58,MIN(MATCH(DATOS!$C$68,TABLAS!$B$52:$B$58,0)+3,7)),1)),2))&lt;=MIN(DATOS!$C$70,INT(((DATOS!$C$80-2*AJ9)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9&gt;=0,IF(MAX(DATOS!$C$71,CEILING(CB9/INDEX(TABLAS!$D$52:$D$58,MIN(MATCH(DATOS!$C$68,TABLAS!$B$52:$B$58,0)+4,7)),1))*INDEX(TABLAS!$D$52:$D$58,MIN(MATCH(DATOS!$C$68,TABLAS!$B$52:$B$58,0)+4,7))&gt;=4/3*IF(BH9&lt;=0,0,IF((1-2*BH9*1E5/(DATOS!$C$29*AH9*CA9^2*DATOS!$C$21))&lt;0,-1,IF((1-SQRT((1-2*BH9*1E5/(DATOS!$C$29*AH9*CA9^2*DATOS!$C$21))))*DATOS!$C$21*AH9*CA9/DATOS!$C$14&gt;DATOS!$C$99*AH9*CA9,-1,(1-SQRT((1-2*BH9*1E5/(DATOS!$C$29*AH9*CA9^2*DATOS!$C$21))))*DATOS!$C$21*AH9*CA9/DATOS!$C$14)))-0.0001,MAX(DATOS!$C$71,CEILING(CB9/INDEX(TABLAS!$D$52:$D$58,MIN(MATCH(DATOS!$C$68,TABLAS!$B$52:$B$58,0)+4,7)),1)),MAX(MAX(DATOS!$C$71,CEILING(CB9/INDEX(TABLAS!$D$52:$D$58,MIN(MATCH(DATOS!$C$68,TABLAS!$B$52:$B$58,0)+4,7)),1)),2))&lt;=MIN(DATOS!$C$70,INT(((DATOS!$C$80-2*AJ9)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>4</v>
      </c>
      <c r="CD9" s="59">
        <f>IF(U9&lt;&gt;"SÍ","",IF(CB9&lt;0,0,IF(MAX(DATOS!$C$71,CEILING(MAX(CB9,0)/INDEX(TABLAS!$D$52:$D$58,MATCH(CC9,TABLAS!$B$52:$B$58,0)),1))*INDEX(TABLAS!$D$52:$D$58,MATCH(CC9,TABLAS!$B$52:$B$58,0))&gt;=4/3*IF(BH9&lt;=0,0,IF((1-2*BH9*1E5/(DATOS!$C$29*AH9*CA9^2*DATOS!$C$21))&lt;0,-1,IF((1-SQRT((1-2*BH9*1E5/(DATOS!$C$29*AH9*CA9^2*DATOS!$C$21))))*DATOS!$C$21*AH9*CA9/DATOS!$C$14&gt;DATOS!$C$99*AH9*CA9,-1,(1-SQRT((1-2*BH9*1E5/(DATOS!$C$29*AH9*CA9^2*DATOS!$C$21))))*DATOS!$C$21*AH9*CA9/DATOS!$C$14)))-0.0001,MAX(DATOS!$C$71,CEILING(MAX(CB9,0)/INDEX(TABLAS!$D$52:$D$58,MATCH(CC9,TABLAS!$B$52:$B$58,0)),1)),MAX(MAX(DATOS!$C$71,CEILING(MAX(CB9,0)/INDEX(TABLAS!$D$52:$D$58,MATCH(CC9,TABLAS!$B$52:$B$58,0)),1)),2))))</f>
        <v>1</v>
      </c>
      <c r="CE9" s="58">
        <f>IF(U9&lt;&gt;"SÍ","",DATOS!$C$82-AJ9-INDEX(TABLAS!$C$52:$C$58,MATCH(BM9,TABLAS!$B$52:$B$58,0))-INDEX(TABLAS!$C$52:$C$58,MATCH(CC9,TABLAS!$B$52:$B$58,0))/2)</f>
        <v>19.095</v>
      </c>
      <c r="CF9" s="56">
        <f>IF(U9&lt;&gt;"SÍ","",IF(CD9=0,0,DATOS!$C$29*CD9*INDEX(TABLAS!$D$52:$D$58,MATCH(CC9,TABLAS!$B$52:$B$58,0))*DATOS!$C$14*(CE9-CD9*INDEX(TABLAS!$D$52:$D$58,MATCH(CC9,TABLAS!$B$52:$B$58,0))*DATOS!$C$14/(DATOS!$C$21*AH9)/2)/1E5))</f>
        <v>0.908067376588235</v>
      </c>
      <c r="CG9" s="65">
        <f>IF(U9&lt;&gt;"SÍ","",IF(CB9&lt;0,9.99,IF(CF9&gt;0,BH9/CF9,0)))</f>
        <v>0.0288864860743285</v>
      </c>
      <c r="CH9" s="66">
        <f>IF(U9&lt;&gt;"SÍ","",IF(CD9=0,"—",0.003*(CE9-(CD9*INDEX(TABLAS!$D$52:$D$58,MATCH(CC9,TABLAS!$B$52:$B$58,0))*DATOS!$C$14/(DATOS!$C$21*AH9)/DATOS!$C$22))/(CD9*INDEX(TABLAS!$D$52:$D$58,MATCH(CC9,TABLAS!$B$52:$B$58,0))*DATOS!$C$14/(DATOS!$C$21*AH9)/DATOS!$C$22)))</f>
        <v>0.13278875492126</v>
      </c>
      <c r="CI9" s="58">
        <f>IF(U9&lt;&gt;"SÍ","",((DATOS!$C$82-AL9-2*DATOS!$C$94-INDEX(TABLAS!$C$52:$C$58,MATCH(DATOS!$C$69,TABLAS!$B$52:$B$58,0))-INDEX(TABLAS!$C$52:$C$58,MATCH(DATOS!$C$69,TABLAS!$B$52:$B$58,0))/2)-IF(AND((DATOS!$C$82-AL9-2*DATOS!$C$94-INDEX(TABLAS!$C$52:$C$58,MATCH(DATOS!$C$69,TABLAS!$B$52:$B$58,0))-INDEX(TABLAS!$C$52:$C$58,MATCH(DATOS!$C$69,TABLAS!$B$52:$B$58,0))/2)&lt;=20,DATOS!$C$62&lt;&gt;"SÍ"),2,0)))</f>
        <v>17.951</v>
      </c>
      <c r="CJ9" s="58">
        <f>IF(U9&lt;&gt;"SÍ","",IF(IF(BI9&lt;=0,0,IF((1-2*BI9*1E5/(DATOS!$C$29*AF9*CI9^2*DATOS!$C$21))&lt;0,-1,IF((1-SQRT((1-2*BI9*1E5/(DATOS!$C$29*AF9*CI9^2*DATOS!$C$21))))*DATOS!$C$21*AF9*CI9/DATOS!$C$14&gt;DATOS!$C$99*AF9*CI9,-1,(1-SQRT((1-2*BI9*1E5/(DATOS!$C$29*AF9*CI9^2*DATOS!$C$21))))*DATOS!$C$21*AF9*CI9/DATOS!$C$14)))&lt;0,-1,MAX(IF(BI9&lt;=0,0,IF((1-2*BI9*1E5/(DATOS!$C$29*AF9*CI9^2*DATOS!$C$21))&lt;0,-1,IF((1-SQRT((1-2*BI9*1E5/(DATOS!$C$29*AF9*CI9^2*DATOS!$C$21))))*DATOS!$C$21*AF9*CI9/DATOS!$C$14&gt;DATOS!$C$99*AF9*CI9,-1,(1-SQRT((1-2*BI9*1E5/(DATOS!$C$29*AF9*CI9^2*DATOS!$C$21))))*DATOS!$C$21*AF9*CI9/DATOS!$C$14))),MIN(DATOS!$C$100*DATOS!$C$80*CI9,4/3*IF(BI9&lt;=0,0,IF((1-2*BI9*1E5/(DATOS!$C$29*AF9*CI9^2*DATOS!$C$21))&lt;0,-1,IF((1-SQRT((1-2*BI9*1E5/(DATOS!$C$29*AF9*CI9^2*DATOS!$C$21))))*DATOS!$C$21*AF9*CI9/DATOS!$C$14&gt;DATOS!$C$99*AF9*CI9,-1,(1-SQRT((1-2*BI9*1E5/(DATOS!$C$29*AF9*CI9^2*DATOS!$C$21))))*DATOS!$C$21*AF9*CI9/DATOS!$C$14)))))))</f>
        <v>0.188658649491976</v>
      </c>
      <c r="CK9" s="64">
        <f>IF(U9&lt;&gt;"SÍ","",IF(AND(CJ9&gt;=0,IF(MAX(DATOS!$C$71,CEILING(CJ9/INDEX(TABLAS!$D$52:$D$58,MIN(MATCH(DATOS!$C$69,TABLAS!$B$52:$B$58,0)+0,7)),1))*INDEX(TABLAS!$D$52:$D$58,MIN(MATCH(DATOS!$C$69,TABLAS!$B$52:$B$58,0)+0,7))&gt;=4/3*IF(BI9&lt;=0,0,IF((1-2*BI9*1E5/(DATOS!$C$29*AF9*CI9^2*DATOS!$C$21))&lt;0,-1,IF((1-SQRT((1-2*BI9*1E5/(DATOS!$C$29*AF9*CI9^2*DATOS!$C$21))))*DATOS!$C$21*AF9*CI9/DATOS!$C$14&gt;DATOS!$C$99*AF9*CI9,-1,(1-SQRT((1-2*BI9*1E5/(DATOS!$C$29*AF9*CI9^2*DATOS!$C$21))))*DATOS!$C$21*AF9*CI9/DATOS!$C$14)))-0.0001,MAX(DATOS!$C$71,CEILING(CJ9/INDEX(TABLAS!$D$52:$D$58,MIN(MATCH(DATOS!$C$69,TABLAS!$B$52:$B$58,0)+0,7)),1)),MAX(MAX(DATOS!$C$71,CEILING(CJ9/INDEX(TABLAS!$D$52:$D$58,MIN(MATCH(DATOS!$C$69,TABLAS!$B$52:$B$58,0)+0,7)),1)),2))&lt;=MIN(DATOS!$C$70,INT(((DATOS!$C$80-2*AK9)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9&gt;=0,IF(MAX(DATOS!$C$71,CEILING(CJ9/INDEX(TABLAS!$D$52:$D$58,MIN(MATCH(DATOS!$C$69,TABLAS!$B$52:$B$58,0)+1,7)),1))*INDEX(TABLAS!$D$52:$D$58,MIN(MATCH(DATOS!$C$69,TABLAS!$B$52:$B$58,0)+1,7))&gt;=4/3*IF(BI9&lt;=0,0,IF((1-2*BI9*1E5/(DATOS!$C$29*AF9*CI9^2*DATOS!$C$21))&lt;0,-1,IF((1-SQRT((1-2*BI9*1E5/(DATOS!$C$29*AF9*CI9^2*DATOS!$C$21))))*DATOS!$C$21*AF9*CI9/DATOS!$C$14&gt;DATOS!$C$99*AF9*CI9,-1,(1-SQRT((1-2*BI9*1E5/(DATOS!$C$29*AF9*CI9^2*DATOS!$C$21))))*DATOS!$C$21*AF9*CI9/DATOS!$C$14)))-0.0001,MAX(DATOS!$C$71,CEILING(CJ9/INDEX(TABLAS!$D$52:$D$58,MIN(MATCH(DATOS!$C$69,TABLAS!$B$52:$B$58,0)+1,7)),1)),MAX(MAX(DATOS!$C$71,CEILING(CJ9/INDEX(TABLAS!$D$52:$D$58,MIN(MATCH(DATOS!$C$69,TABLAS!$B$52:$B$58,0)+1,7)),1)),2))&lt;=MIN(DATOS!$C$70,INT(((DATOS!$C$80-2*AK9)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9&gt;=0,IF(MAX(DATOS!$C$71,CEILING(CJ9/INDEX(TABLAS!$D$52:$D$58,MIN(MATCH(DATOS!$C$69,TABLAS!$B$52:$B$58,0)+2,7)),1))*INDEX(TABLAS!$D$52:$D$58,MIN(MATCH(DATOS!$C$69,TABLAS!$B$52:$B$58,0)+2,7))&gt;=4/3*IF(BI9&lt;=0,0,IF((1-2*BI9*1E5/(DATOS!$C$29*AF9*CI9^2*DATOS!$C$21))&lt;0,-1,IF((1-SQRT((1-2*BI9*1E5/(DATOS!$C$29*AF9*CI9^2*DATOS!$C$21))))*DATOS!$C$21*AF9*CI9/DATOS!$C$14&gt;DATOS!$C$99*AF9*CI9,-1,(1-SQRT((1-2*BI9*1E5/(DATOS!$C$29*AF9*CI9^2*DATOS!$C$21))))*DATOS!$C$21*AF9*CI9/DATOS!$C$14)))-0.0001,MAX(DATOS!$C$71,CEILING(CJ9/INDEX(TABLAS!$D$52:$D$58,MIN(MATCH(DATOS!$C$69,TABLAS!$B$52:$B$58,0)+2,7)),1)),MAX(MAX(DATOS!$C$71,CEILING(CJ9/INDEX(TABLAS!$D$52:$D$58,MIN(MATCH(DATOS!$C$69,TABLAS!$B$52:$B$58,0)+2,7)),1)),2))&lt;=MIN(DATOS!$C$70,INT(((DATOS!$C$80-2*AK9)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9&gt;=0,IF(MAX(DATOS!$C$71,CEILING(CJ9/INDEX(TABLAS!$D$52:$D$58,MIN(MATCH(DATOS!$C$69,TABLAS!$B$52:$B$58,0)+3,7)),1))*INDEX(TABLAS!$D$52:$D$58,MIN(MATCH(DATOS!$C$69,TABLAS!$B$52:$B$58,0)+3,7))&gt;=4/3*IF(BI9&lt;=0,0,IF((1-2*BI9*1E5/(DATOS!$C$29*AF9*CI9^2*DATOS!$C$21))&lt;0,-1,IF((1-SQRT((1-2*BI9*1E5/(DATOS!$C$29*AF9*CI9^2*DATOS!$C$21))))*DATOS!$C$21*AF9*CI9/DATOS!$C$14&gt;DATOS!$C$99*AF9*CI9,-1,(1-SQRT((1-2*BI9*1E5/(DATOS!$C$29*AF9*CI9^2*DATOS!$C$21))))*DATOS!$C$21*AF9*CI9/DATOS!$C$14)))-0.0001,MAX(DATOS!$C$71,CEILING(CJ9/INDEX(TABLAS!$D$52:$D$58,MIN(MATCH(DATOS!$C$69,TABLAS!$B$52:$B$58,0)+3,7)),1)),MAX(MAX(DATOS!$C$71,CEILING(CJ9/INDEX(TABLAS!$D$52:$D$58,MIN(MATCH(DATOS!$C$69,TABLAS!$B$52:$B$58,0)+3,7)),1)),2))&lt;=MIN(DATOS!$C$70,INT(((DATOS!$C$80-2*AK9)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9&gt;=0,IF(MAX(DATOS!$C$71,CEILING(CJ9/INDEX(TABLAS!$D$52:$D$58,MIN(MATCH(DATOS!$C$69,TABLAS!$B$52:$B$58,0)+4,7)),1))*INDEX(TABLAS!$D$52:$D$58,MIN(MATCH(DATOS!$C$69,TABLAS!$B$52:$B$58,0)+4,7))&gt;=4/3*IF(BI9&lt;=0,0,IF((1-2*BI9*1E5/(DATOS!$C$29*AF9*CI9^2*DATOS!$C$21))&lt;0,-1,IF((1-SQRT((1-2*BI9*1E5/(DATOS!$C$29*AF9*CI9^2*DATOS!$C$21))))*DATOS!$C$21*AF9*CI9/DATOS!$C$14&gt;DATOS!$C$99*AF9*CI9,-1,(1-SQRT((1-2*BI9*1E5/(DATOS!$C$29*AF9*CI9^2*DATOS!$C$21))))*DATOS!$C$21*AF9*CI9/DATOS!$C$14)))-0.0001,MAX(DATOS!$C$71,CEILING(CJ9/INDEX(TABLAS!$D$52:$D$58,MIN(MATCH(DATOS!$C$69,TABLAS!$B$52:$B$58,0)+4,7)),1)),MAX(MAX(DATOS!$C$71,CEILING(CJ9/INDEX(TABLAS!$D$52:$D$58,MIN(MATCH(DATOS!$C$69,TABLAS!$B$52:$B$58,0)+4,7)),1)),2))&lt;=MIN(DATOS!$C$70,INT(((DATOS!$C$80-2*AK9)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>4</v>
      </c>
      <c r="CL9" s="59">
        <f>IF(U9&lt;&gt;"SÍ","",IF(CJ9&lt;0,0,IF(MAX(DATOS!$C$71,CEILING(MAX(CJ9,0)/INDEX(TABLAS!$D$52:$D$58,MATCH(CK9,TABLAS!$B$52:$B$58,0)),1))*INDEX(TABLAS!$D$52:$D$58,MATCH(CK9,TABLAS!$B$52:$B$58,0))&gt;=4/3*IF(BI9&lt;=0,0,IF((1-2*BI9*1E5/(DATOS!$C$29*AF9*CI9^2*DATOS!$C$21))&lt;0,-1,IF((1-SQRT((1-2*BI9*1E5/(DATOS!$C$29*AF9*CI9^2*DATOS!$C$21))))*DATOS!$C$21*AF9*CI9/DATOS!$C$14&gt;DATOS!$C$99*AF9*CI9,-1,(1-SQRT((1-2*BI9*1E5/(DATOS!$C$29*AF9*CI9^2*DATOS!$C$21))))*DATOS!$C$21*AF9*CI9/DATOS!$C$14)))-0.0001,MAX(DATOS!$C$71,CEILING(MAX(CJ9,0)/INDEX(TABLAS!$D$52:$D$58,MATCH(CK9,TABLAS!$B$52:$B$58,0)),1)),MAX(MAX(DATOS!$C$71,CEILING(MAX(CJ9,0)/INDEX(TABLAS!$D$52:$D$58,MATCH(CK9,TABLAS!$B$52:$B$58,0)),1)),2))))</f>
        <v>1</v>
      </c>
      <c r="CM9" s="58">
        <f>IF(U9&lt;&gt;"SÍ","",((DATOS!$C$82-AL9-2*DATOS!$C$94-INDEX(TABLAS!$C$52:$C$58,MATCH(BU9,TABLAS!$B$52:$B$58,0))-INDEX(TABLAS!$C$52:$C$58,MATCH(CK9,TABLAS!$B$52:$B$58,0))/2)-IF(AND((DATOS!$C$82-AL9-2*DATOS!$C$94-INDEX(TABLAS!$C$52:$C$58,MATCH(BU9,TABLAS!$B$52:$B$58,0))-INDEX(TABLAS!$C$52:$C$58,MATCH(CK9,TABLAS!$B$52:$B$58,0))/2)&lt;=20,DATOS!$C$62&lt;&gt;"SÍ"),2,0)))</f>
        <v>17.951</v>
      </c>
      <c r="CN9" s="56">
        <f>IF(U9&lt;&gt;"SÍ","",IF(CL9=0,0,DATOS!$C$29*CL9*INDEX(TABLAS!$D$52:$D$58,MATCH(CK9,TABLAS!$B$52:$B$58,0))*DATOS!$C$14*(CM9-CL9*INDEX(TABLAS!$D$52:$D$58,MATCH(CK9,TABLAS!$B$52:$B$58,0))*DATOS!$C$14/(DATOS!$C$21*AF9)/2)/1E5))</f>
        <v>0.801505352117647</v>
      </c>
      <c r="CO9" s="65">
        <f>IF(U9&lt;&gt;"SÍ","",IF(CJ9&lt;0,9.99,IF(CN9&gt;0,BI9/CN9,0)))</f>
        <v>0.118854552808145</v>
      </c>
      <c r="CP9" s="66">
        <f>IF(U9&lt;&gt;"SÍ","",IF(CL9=0,"—",0.003*(CM9-(CL9*INDEX(TABLAS!$D$52:$D$58,MATCH(CK9,TABLAS!$B$52:$B$58,0))*DATOS!$C$14/(DATOS!$C$21*AF9)/DATOS!$C$22))/(CL9*INDEX(TABLAS!$D$52:$D$58,MATCH(CK9,TABLAS!$B$52:$B$58,0))*DATOS!$C$14/(DATOS!$C$21*AF9)/DATOS!$C$22)))</f>
        <v>0.0152362169572553</v>
      </c>
      <c r="CQ9" s="56">
        <f>IF(U9&lt;&gt;"SÍ","",IF(C9="PERIMETRAL",MAX(0,(AA9/2-BW9)/100)*(0.95-0.5*Z9)*AQ9*IF(AND(AR9&gt;0,AR9&lt;4),DATOS!$C$33,1)*DATOS!$C$83/100/1000,(AQ9*MAX(0,AA9-BW9)/100+DATOS!$C$26*N(O9))*DATOS!$C$83/100/1000+BE9))</f>
        <v>0.25150475650103</v>
      </c>
      <c r="CR9" s="56">
        <f>IF(U9&lt;&gt;"SÍ","",DATOS!$C$30*2*MIN(1,SQRT(2/(1+0.04*BW9)))*(BV9*INDEX(TABLAS!$D$52:$D$58,MATCH(BU9,TABLAS!$B$52:$B$58,0))/(AE9*BW9))^(1/3)*SQRT(DATOS!$C$13)*AE9*BW9*IF(AI9="SÍ",DATOS!$C$32,1)/1000)</f>
        <v>0.855420832907082</v>
      </c>
      <c r="CS9" s="59">
        <f>IF(U9&lt;&gt;"SÍ","",IF(CQ9&lt;=CR9,0,CEILING(MAX(0,IF(C9="VOLADO",(AA9-((CR9-BE9)*1E5/DATOS!$C$83-DATOS!$C$26*N(O9))*100/AQ9),IF(CR9&lt;=0,AA9,AA9/2-CR9/MAX(CQ9,1E-9)*(AA9/2-BW9)))-IF(INT((X9*100-DATOS!$C$84+DATOS!$C$80)/DATOS!$C$83)&gt;0,(X9*100-DATOS!$C$84-(INT((X9*100-DATOS!$C$84+DATOS!$C$80)/DATOS!$C$83)*DATOS!$C$78+(INT((X9*100-DATOS!$C$84+DATOS!$C$80)/DATOS!$C$83)-1)*DATOS!$C$80))/2,X9*100/2))/DATOS!$C$83,1)))</f>
        <v>0</v>
      </c>
      <c r="CT9" s="67" t="str">
        <f>IF(U9&lt;&gt;"SÍ","",IF(CQ9&lt;=CR9,"CUMPLE",IF(CS9&lt;=0,"CUMPLE (basta el macizo de orilla)",IF(CS9*DATOS!$C$83*IF(C9="VOLADO",1,2)&gt;=X9*100-DATOS!$C$84,"NO CUMPLE: no alcanza ni macizando todo","MACIZAR "&amp;CS9&amp;" hilera(s)"))))</f>
        <v>CUMPLE</v>
      </c>
      <c r="CU9" s="58">
        <f>IF(U9&lt;&gt;"SÍ","",(DATOS!$C$83*DATOS!$C$81^2/2+AC9*DATOS!$C$79*(DATOS!$C$81+DATOS!$C$79/2))/(DATOS!$C$83*DATOS!$C$81+AC9*DATOS!$C$79))</f>
        <v>6.89344262295082</v>
      </c>
      <c r="CV9" s="68">
        <f>IF(U9&lt;&gt;"SÍ","",DATOS!$C$83*DATOS!$C$81^3/12+DATOS!$C$83*DATOS!$C$81*(CU9-DATOS!$C$81/2)^2+AC9*DATOS!$C$79^3/12+AC9*DATOS!$C$79*(DATOS!$C$81+DATOS!$C$79/2-CU9)^2)</f>
        <v>27416.4071038251</v>
      </c>
      <c r="CW9" s="58">
        <f>IF(U9&lt;&gt;"SÍ","",(12*CV9/DATOS!$C$83)^(1/3))</f>
        <v>16.7506339743859</v>
      </c>
      <c r="CX9" s="58">
        <f>IF(U9&lt;&gt;"SÍ","",IF(C9="PERIMETRAL",IF(ISNUMBER(R9),R9,DATOS!$C$101),0))</f>
        <v>99</v>
      </c>
      <c r="CY9" s="57">
        <f>IF(U9&lt;&gt;"SÍ","",IF(C9="PERIMETRAL",IF(CX9&gt;2,MAX(9,AB9*(0.8+DATOS!$C$14/14000)/(36+9*(AB9/MAX(AA9,1)))),IF(CX9&gt;0.2,MAX(13,AB9*(0.8+DATOS!$C$14/14000)/(36+5*(AB9/MAX(AA9,1))*(CX9-0.2))),MAX(13,AB9/IF(AR9&gt;0,30,33))))*IF(AND(CX9&gt;0.2,AR9&gt;0,DATOS!$C$102="NO"),1.1,1),X9*100/8))</f>
        <v>9</v>
      </c>
      <c r="CZ9" s="61" t="str">
        <f>IF(U9&lt;&gt;"SÍ","",IF(IF(C9="VOLADO",DATOS!$C$82,CW9)&gt;=CY9,"CUMPLE",IF(C9="VOLADO","NO CUMPLE","CALCULAR FLECHA")))</f>
        <v>CUMPLE</v>
      </c>
      <c r="DA9" s="55" t="str">
        <f>IF(U9&lt;&gt;"SÍ","",IF(DATOS!$C$81&gt;=IF(IF(C9="VOLADO",X9,Y9)&gt;=6,6,5),"CUMPLE","CAPA ≥ 6 cm"))</f>
        <v>CUMPLE</v>
      </c>
      <c r="DB9" s="60">
        <f>IF(U9&lt;&gt;"SÍ","",IF(C9="VOLADO",MIN(CEILING(IF(ISNUMBER(P9),P9,X9)*100,5),CEILING(MAX(IF((0.5*(0.9*DATOS!$C$87*DATOS!$C$83/100/1000)*IF(ISNUMBER(P9),P9,X9)+BG9/IF(ISNUMBER(P9),P9,X9))^2-4*(0.5*(0.9*DATOS!$C$87*DATOS!$C$83/100/1000))*BG9&lt;0,IF(ISNUMBER(P9),P9,X9),MIN(IF(ISNUMBER(P9),P9,X9),((0.5*(0.9*DATOS!$C$87*DATOS!$C$83/100/1000)*IF(ISNUMBER(P9),P9,X9)+BG9/IF(ISNUMBER(P9),P9,X9))-SQRT((0.5*(0.9*DATOS!$C$87*DATOS!$C$83/100/1000)*IF(ISNUMBER(P9),P9,X9)+BG9/IF(ISNUMBER(P9),P9,X9))^2-4*(0.5*(0.9*DATOS!$C$87*DATOS!$C$83/100/1000))*BG9))/(2*(0.5*(0.9*DATOS!$C$87*DATOS!$C$83/100/1000)))))*100+MAX(BW9,12*INDEX(TABLAS!$C$52:$C$58,MATCH(BU9,TABLAS!$B$52:$B$58,0)),IF(ISNUMBER(P9),P9,X9)*100/16),IF(OR(AK9&lt;INDEX(TABLAS!$C$52:$C$58,MATCH(BU9,TABLAS!$B$52:$B$58,0)),AND(BV9&gt;=2,(AC9-2*AK9-BV9*INDEX(TABLAS!$C$52:$C$58,MATCH(BU9,TABLAS!$B$52:$B$58,0)))/MAX(BV9-1,1)&lt;2*INDEX(TABLAS!$C$52:$C$58,MATCH(BU9,TABLAS!$B$52:$B$58,0)))),INDEX(TABLAS!$I$52:$I$58,MATCH(BU9,TABLAS!$B$52:$B$58,0)),INDEX(TABLAS!$F$52:$F$58,MATCH(BU9,TABLAS!$B$52:$B$58,0)))),5)),IF(((4*((BB9*AQ9*X9^2*1E-4*DATOS!$C$83/100/1000)+((MAX(AX9,AZ9)*AQ9*X9^2*1E-4*DATOS!$C$83/100/1000)+(IF(AND(AX9&gt;0,AZ9&gt;0),MIN(AX9,AZ9),MAX(AX9,AZ9))*AQ9*X9^2*1E-4*DATOS!$C$83/100/1000))/2)+BG9-(IF(AND(AX9&gt;0,AZ9&gt;0),MIN(AX9,AZ9),MAX(AX9,AZ9))*AQ9*X9^2*1E-4*DATOS!$C$83/100/1000))^2-16*((BB9*AQ9*X9^2*1E-4*DATOS!$C$83/100/1000)+((MAX(AX9,AZ9)*AQ9*X9^2*1E-4*DATOS!$C$83/100/1000)+(IF(AND(AX9&gt;0,AZ9&gt;0),MIN(AX9,AZ9),MAX(AX9,AZ9))*AQ9*X9^2*1E-4*DATOS!$C$83/100/1000))/2)*BG9)&lt;0,CEILING(AA9,5),CEILING(MAX(AA9*((4*((BB9*AQ9*X9^2*1E-4*DATOS!$C$83/100/1000)+((MAX(AX9,AZ9)*AQ9*X9^2*1E-4*DATOS!$C$83/100/1000)+(IF(AND(AX9&gt;0,AZ9&gt;0),MIN(AX9,AZ9),MAX(AX9,AZ9))*AQ9*X9^2*1E-4*DATOS!$C$83/100/1000))/2)+BG9-(IF(AND(AX9&gt;0,AZ9&gt;0),MIN(AX9,AZ9),MAX(AX9,AZ9))*AQ9*X9^2*1E-4*DATOS!$C$83/100/1000))-SQRT(MAX(0,((4*((BB9*AQ9*X9^2*1E-4*DATOS!$C$83/100/1000)+((MAX(AX9,AZ9)*AQ9*X9^2*1E-4*DATOS!$C$83/100/1000)+(IF(AND(AX9&gt;0,AZ9&gt;0),MIN(AX9,AZ9),MAX(AX9,AZ9))*AQ9*X9^2*1E-4*DATOS!$C$83/100/1000))/2)+BG9-(IF(AND(AX9&gt;0,AZ9&gt;0),MIN(AX9,AZ9),MAX(AX9,AZ9))*AQ9*X9^2*1E-4*DATOS!$C$83/100/1000))^2-16*((BB9*AQ9*X9^2*1E-4*DATOS!$C$83/100/1000)+((MAX(AX9,AZ9)*AQ9*X9^2*1E-4*DATOS!$C$83/100/1000)+(IF(AND(AX9&gt;0,AZ9&gt;0),MIN(AX9,AZ9),MAX(AX9,AZ9))*AQ9*X9^2*1E-4*DATOS!$C$83/100/1000))/2)*BG9))))/(8*MAX(((BB9*AQ9*X9^2*1E-4*DATOS!$C$83/100/1000)+((MAX(AX9,AZ9)*AQ9*X9^2*1E-4*DATOS!$C$83/100/1000)+(IF(AND(AX9&gt;0,AZ9&gt;0),MIN(AX9,AZ9),MAX(AX9,AZ9))*AQ9*X9^2*1E-4*DATOS!$C$83/100/1000))/2),1E-9))+MAX(BW9,12*INDEX(TABLAS!$C$52:$C$58,MATCH(BU9,TABLAS!$B$52:$B$58,0)),AA9/16),IF(OR(AK9&lt;INDEX(TABLAS!$C$52:$C$58,MATCH(BU9,TABLAS!$B$52:$B$58,0)),AND(BV9&gt;=2,(AC9-2*AK9-BV9*INDEX(TABLAS!$C$52:$C$58,MATCH(BU9,TABLAS!$B$52:$B$58,0)))/MAX(BV9-1,1)&lt;2*INDEX(TABLAS!$C$52:$C$58,MATCH(BU9,TABLAS!$B$52:$B$58,0)))),INDEX(TABLAS!$I$52:$I$58,MATCH(BU9,TABLAS!$B$52:$B$58,0)),INDEX(TABLAS!$F$52:$F$58,MATCH(BU9,TABLAS!$B$52:$B$58,0)))),5))))</f>
        <v>60</v>
      </c>
      <c r="DC9" s="60">
        <f>IF(U9&lt;&gt;"SÍ","",IF(C9="VOLADO",0,IF(((4*((BC9*AQ9*X9^2*1E-4*DATOS!$C$83/100/1000)+((MAX(AY9,BA9)*AQ9*X9^2*1E-4*DATOS!$C$83/100/1000)+(IF(AND(AY9&gt;0,BA9&gt;0),MIN(AY9,BA9),MAX(AY9,BA9))*AQ9*X9^2*1E-4*DATOS!$C$83/100/1000))/2)+BI9-(IF(AND(AY9&gt;0,BA9&gt;0),MIN(AY9,BA9),MAX(AY9,BA9))*AQ9*X9^2*1E-4*DATOS!$C$83/100/1000))^2-16*((BC9*AQ9*X9^2*1E-4*DATOS!$C$83/100/1000)+((MAX(AY9,BA9)*AQ9*X9^2*1E-4*DATOS!$C$83/100/1000)+(IF(AND(AY9&gt;0,BA9&gt;0),MIN(AY9,BA9),MAX(AY9,BA9))*AQ9*X9^2*1E-4*DATOS!$C$83/100/1000))/2)*BI9)&lt;0,CEILING(AB9,5),CEILING(MAX(AB9*((4*((BC9*AQ9*X9^2*1E-4*DATOS!$C$83/100/1000)+((MAX(AY9,BA9)*AQ9*X9^2*1E-4*DATOS!$C$83/100/1000)+(IF(AND(AY9&gt;0,BA9&gt;0),MIN(AY9,BA9),MAX(AY9,BA9))*AQ9*X9^2*1E-4*DATOS!$C$83/100/1000))/2)+BI9-(IF(AND(AY9&gt;0,BA9&gt;0),MIN(AY9,BA9),MAX(AY9,BA9))*AQ9*X9^2*1E-4*DATOS!$C$83/100/1000))-SQRT(MAX(0,((4*((BC9*AQ9*X9^2*1E-4*DATOS!$C$83/100/1000)+((MAX(AY9,BA9)*AQ9*X9^2*1E-4*DATOS!$C$83/100/1000)+(IF(AND(AY9&gt;0,BA9&gt;0),MIN(AY9,BA9),MAX(AY9,BA9))*AQ9*X9^2*1E-4*DATOS!$C$83/100/1000))/2)+BI9-(IF(AND(AY9&gt;0,BA9&gt;0),MIN(AY9,BA9),MAX(AY9,BA9))*AQ9*X9^2*1E-4*DATOS!$C$83/100/1000))^2-16*((BC9*AQ9*X9^2*1E-4*DATOS!$C$83/100/1000)+((MAX(AY9,BA9)*AQ9*X9^2*1E-4*DATOS!$C$83/100/1000)+(IF(AND(AY9&gt;0,BA9&gt;0),MIN(AY9,BA9),MAX(AY9,BA9))*AQ9*X9^2*1E-4*DATOS!$C$83/100/1000))/2)*BI9))))/(8*MAX(((BC9*AQ9*X9^2*1E-4*DATOS!$C$83/100/1000)+((MAX(AY9,BA9)*AQ9*X9^2*1E-4*DATOS!$C$83/100/1000)+(IF(AND(AY9&gt;0,BA9&gt;0),MIN(AY9,BA9),MAX(AY9,BA9))*AQ9*X9^2*1E-4*DATOS!$C$83/100/1000))/2),1E-9))+MAX(CM9,12*INDEX(TABLAS!$C$52:$C$58,MATCH(CK9,TABLAS!$B$52:$B$58,0)),AB9/16),IF(OR(AK9&lt;INDEX(TABLAS!$C$52:$C$58,MATCH(CK9,TABLAS!$B$52:$B$58,0)),AND(CL9&gt;=2,(DATOS!$C$80-2*AK9-CL9*INDEX(TABLAS!$C$52:$C$58,MATCH(CK9,TABLAS!$B$52:$B$58,0)))/MAX(CL9-1,1)&lt;2*INDEX(TABLAS!$C$52:$C$58,MATCH(CK9,TABLAS!$B$52:$B$58,0)))),INDEX(TABLAS!$I$52:$I$58,MATCH(CK9,TABLAS!$B$52:$B$58,0)),INDEX(TABLAS!$F$52:$F$58,MATCH(CK9,TABLAS!$B$52:$B$58,0)))),5))))</f>
        <v>100</v>
      </c>
      <c r="DD9" s="55" t="str">
        <f>IF(U9&lt;&gt;"SÍ","",IF(AND(C9="PERIMETRAL",BV9&gt;=2,AR9-AS9&gt;0,AZ9*AQ9*X9^2*1E-4*DATOS!$C$83/100/1000&gt;DATOS!$C$29*INDEX(TABLAS!$D$52:$D$58,MATCH(BU9,TABLAS!$B$52:$B$58,0))*DATOS!$C$14*(BW9-INDEX(TABLAS!$D$52:$D$58,MATCH(BU9,TABLAS!$B$52:$B$58,0))*DATOS!$C$14/(DATOS!$C$21*AE9)/2)/1E5),"SÍ","NO"))</f>
        <v>NO</v>
      </c>
      <c r="DE9" s="55" t="str">
        <f>IF(U9&lt;&gt;"SÍ","",IF(AND(C9="PERIMETRAL",CL9&gt;=2,AS9&gt;0,BA9*AQ9*X9^2*1E-4*DATOS!$C$83/100/1000&gt;DATOS!$C$29*INDEX(TABLAS!$D$52:$D$58,MATCH(CK9,TABLAS!$B$52:$B$58,0))*DATOS!$C$14*(CM9-INDEX(TABLAS!$D$52:$D$58,MATCH(CK9,TABLAS!$B$52:$B$58,0))*DATOS!$C$14/(DATOS!$C$21*AF9)/2)/1E5),"SÍ","NO"))</f>
        <v>NO</v>
      </c>
      <c r="DF9" s="63" t="str">
        <f>IF(U9&lt;&gt;"SÍ","",IF(OR(C9="VOLADO",AR9=0),"—",IF(AND(AND(1.25*INDEX(TABLAS!$G$52:$G$58,MATCH(MAX(BM9,CC9),TABLAS!$B$52:$B$58,0))&lt;=(DATOS!$C$72-DATOS!$C$60),(DATOS!$C$72-DATOS!$C$60)&gt;=15,INDEX(TABLAS!$G$52:$G$58,MATCH(MAX(BU9,CK9),TABLAS!$B$52:$B$58,0))&lt;=(DATOS!$C$72-DATOS!$C$60)),8*INDEX(TABLAS!$C$52:$C$58,MATCH(MAX(MAX(BM9,CC9),MAX(BU9,CK9)),TABLAS!$B$52:$B$58,0))&lt;=DATOS!$C$73-2*DATOS!$C$60),"CUMPLE (gancho de 180°)",IF(AND(1.25*INDEX(TABLAS!$G$52:$G$58,MATCH(MAX(BM9,CC9),TABLAS!$B$52:$B$58,0))&lt;=(DATOS!$C$72-DATOS!$C$60),(DATOS!$C$72-DATOS!$C$60)&gt;=15,INDEX(TABLAS!$G$52:$G$58,MATCH(MAX(BU9,CK9),TABLAS!$B$52:$B$58,0))&lt;=(DATOS!$C$72-DATOS!$C$60)),"NO CUMPLE: el gancho de 180° (8·d_b) no cabe en el peralte de la dala de borde","NO CUMPLE: dala de borde ≥ "&amp;TEXT(CEILING(MAX(1.25*INDEX(TABLAS!$G$52:$G$58,MATCH(MAX(BM9,CC9),TABLAS!$B$52:$B$58,0)),15,INDEX(TABLAS!$G$52:$G$58,MATCH(MAX(BU9,CK9),TABLAS!$B$52:$B$58,0)))+DATOS!$C$60,5),"0")&amp;" cm de ancho"&amp;IF(8*INDEX(TABLAS!$C$52:$C$58,MATCH(MAX(MAX(BM9,CC9),MAX(BU9,CK9)),TABLAS!$B$52:$B$58,0))&lt;=DATOS!$C$73-2*DATOS!$C$60,""," y más peralte para el gancho")))))</f>
        <v>—</v>
      </c>
      <c r="DG9" s="59">
        <f>IF(U9&lt;&gt;"SÍ","",MAX(0,INT((E9*100-DATOS!$C$84+DATOS!$C$83-IF(W9="X",DATOS!$C$78,AD9))/DATOS!$C$83)))</f>
        <v>4</v>
      </c>
      <c r="DH9" s="59">
        <f>IF(U9&lt;&gt;"SÍ","",MAX(0,INT((F9*100-DATOS!$C$84+DATOS!$C$83-IF(W9="Y",DATOS!$C$78,AD9))/DATOS!$C$83)))</f>
        <v>2</v>
      </c>
      <c r="DI9" s="57">
        <f>IF(U9&lt;&gt;"SÍ","",IF(DG9&gt;0,(E9*100-DATOS!$C$84-(DG9*IF(W9="X",DATOS!$C$78,AD9)+(DG9-1)*(DATOS!$C$83-IF(W9="X",DATOS!$C$78,AD9))))/2,E9*100/2))</f>
        <v>8.94999999999999</v>
      </c>
      <c r="DJ9" s="57">
        <f>IF(U9&lt;&gt;"SÍ","",IF(DH9&gt;0,(F9*100-DATOS!$C$84-(DH9*IF(W9="Y",DATOS!$C$78,AD9)+(DH9-1)*(DATOS!$C$83-IF(W9="Y",DATOS!$C$78,AD9))))/2,F9*100/2))</f>
        <v>7.5</v>
      </c>
      <c r="DK9" s="59">
        <f>IF(U9&lt;&gt;"SÍ","",IF(NOT(AND(C9="VOLADO",AC9&gt;DATOS!$C$80)),0,IF(INDEX(TABLAS!$C$52:$C$58,MATCH(BU9,TABLAS!$B$52:$B$58,0))&lt;=DATOS!$C$80-2*DATOS!$C$60,1,0)))</f>
        <v>0</v>
      </c>
      <c r="DL9" s="58">
        <f>IF(U9&lt;&gt;"SÍ","",IF(NOT(AND(C9="VOLADO",AC9&gt;DATOS!$C$80)),0,((DATOS!$C$82-MAX(DATOS!$C$60,(DATOS!$C$81-2*DATOS!$C$94)/2)-2*DATOS!$C$94-INDEX(TABLAS!$C$52:$C$58,MATCH(BU9,TABLAS!$B$52:$B$58,0))/2)-IF(AND((DATOS!$C$82-MAX(DATOS!$C$60,(DATOS!$C$81-2*DATOS!$C$94)/2)-2*DATOS!$C$94-INDEX(TABLAS!$C$52:$C$58,MATCH(BU9,TABLAS!$B$52:$B$58,0))/2)&lt;=20,DATOS!$C$62&lt;&gt;"SÍ"),2,0))))</f>
        <v>0</v>
      </c>
      <c r="DM9" s="56">
        <f>IF(U9&lt;&gt;"SÍ","",IF(OR(NOT(AND(C9="VOLADO",AC9&gt;DATOS!$C$80)),DK9&lt;1),0,IF(0.003*(DL9-((DK9*INDEX(TABLAS!$D$52:$D$58,MATCH(BU9,TABLAS!$B$52:$B$58,0)))*DATOS!$C$14/(DATOS!$C$21*AF9)/DATOS!$C$22))/((DK9*INDEX(TABLAS!$D$52:$D$58,MATCH(BU9,TABLAS!$B$52:$B$58,0)))*DATOS!$C$14/(DATOS!$C$21*AF9)/DATOS!$C$22)&lt;0.005,0,DATOS!$C$29*(DK9*INDEX(TABLAS!$D$52:$D$58,MATCH(BU9,TABLAS!$B$52:$B$58,0)))*DATOS!$C$14*(DL9-(DK9*INDEX(TABLAS!$D$52:$D$58,MATCH(BU9,TABLAS!$B$52:$B$58,0)))*DATOS!$C$14/(DATOS!$C$21*AF9)/2)/1E5)))</f>
        <v>0</v>
      </c>
      <c r="DN9" s="56">
        <f>IF(U9&lt;&gt;"SÍ","",IF(OR(NOT(AND(C9="VOLADO",AC9&gt;DATOS!$C$80)),DK9&lt;1),0,DATOS!$C$30*2*MIN(1,SQRT(2/(1+0.04*DL9)))*((DK9*INDEX(TABLAS!$D$52:$D$58,MATCH(BU9,TABLAS!$B$52:$B$58,0)))/(AF9*DL9))^(1/3)*SQRT(DATOS!$C$13)*AF9*DL9/1000))</f>
        <v>0</v>
      </c>
      <c r="DO9" s="56">
        <f>IF(U9&lt;&gt;"SÍ","",IF(NOT(AND(C9="VOLADO",AC9&gt;DATOS!$C$80)),0,IF((BG9-DM9)&lt;=0,0,IF(DM9&lt;=0,IF(ISNUMBER(P9),P9,X9),IF(((0.9*DATOS!$C$87*DATOS!$C$83/100/1000)*IF(ISNUMBER(P9),P9,X9)/2+BG9/IF(ISNUMBER(P9),P9,X9))^2-4*((0.9*DATOS!$C$87*DATOS!$C$83/100/1000)/2)*(BG9-DM9)&lt;0,IF(ISNUMBER(P9),P9,X9),MIN(IF(ISNUMBER(P9),P9,X9),(((0.9*DATOS!$C$87*DATOS!$C$83/100/1000)*IF(ISNUMBER(P9),P9,X9)/2+BG9/IF(ISNUMBER(P9),P9,X9))-SQRT(((0.9*DATOS!$C$87*DATOS!$C$83/100/1000)*IF(ISNUMBER(P9),P9,X9)/2+BG9/IF(ISNUMBER(P9),P9,X9))^2-4*((0.9*DATOS!$C$87*DATOS!$C$83/100/1000)/2)*(BG9-DM9)))/(2*((0.9*DATOS!$C$87*DATOS!$C$83/100/1000)/2))))))))</f>
        <v>0</v>
      </c>
      <c r="DP9" s="56">
        <f>IF(U9&lt;&gt;"SÍ","",IF(NOT(AND(C9="VOLADO",AC9&gt;DATOS!$C$80)),0,MIN(IF(ISNUMBER(P9),P9,X9),MAX(0,IF(ISNUMBER(P9),P9,X9)/2+BG9/IF(ISNUMBER(P9),P9,X9)/(AQ9*DATOS!$C$83/100/1000)-DN9/(AQ9*DATOS!$C$83/100/1000)))))</f>
        <v>0</v>
      </c>
      <c r="DQ9" s="56">
        <f>IF(U9&lt;&gt;"SÍ","",IF(NOT(AND(C9="VOLADO",AC9&gt;DATOS!$C$80)),0,BG9/IF(ISNUMBER(P9),P9,X9)+(AQ9*DATOS!$C$83/100/1000)*MAX(0,IF(ISNUMBER(P9),P9,X9)/2-BW9/100)))</f>
        <v>0</v>
      </c>
      <c r="DR9" s="59">
        <f>IF(U9&lt;&gt;"SÍ","",IF(NOT(AND(C9="VOLADO",AC9&gt;DATOS!$C$80)),0,CEILING(100*MIN(IF(ISNUMBER(P9),P9,X9),MAX(IF(DO9&gt;0,DO9+IF(BV9&gt;=2,MAX(DL9,12*INDEX(TABLAS!$C$52:$C$58,MATCH(BU9,TABLAS!$B$52:$B$58,0)))/100,0),0),DP9,IF(BV9&gt;=2,INDEX(TABLAS!$F$52:$F$58,MATCH(BU9,TABLAS!$B$52:$B$58,0))/100,0))),5)))</f>
        <v>0</v>
      </c>
      <c r="DS9" s="60">
        <f>IF(U9&lt;&gt;"SÍ","",IF(NOT(AND(C9="VOLADO",AC9&gt;DATOS!$C$80)),0,IF(DR9&lt;=0,0,CEILING(DR9/DATOS!$C$83,1))))</f>
        <v>0</v>
      </c>
      <c r="DT9" s="61" t="str">
        <f>IF(U9&lt;&gt;"SÍ","",IF(C9&lt;&gt;"VOLADO","—",IF(AC9&lt;=DATOS!$C$80,"— (mismo b_w que el respaldo)",IF(DQ9&gt;CR9,"NO CUMPLE: cortante de la nervadura ancha junto al apoyo ("&amp;TEXT(DQ9,"0.00")&amp;" &gt; "&amp;TEXT(CR9,"0.00")&amp;" t)",IF(DR9&gt;=100*IF(ISNUMBER(P9),P9,X9),"CUMPLE — todas las nervaduras del respaldo ‖ al volado con b_w = "&amp;AC9&amp;" cm","CUMPLE — "&amp;DS9&amp;" hilera(s) del respaldo con nervaduras de b_w = "&amp;AC9&amp;" cm (casetón "&amp;AD9&amp;" cm), hasta "&amp;TEXT(DR9/100,"0.00")&amp;" m del paño")))))</f>
        <v>—</v>
      </c>
      <c r="DU9" s="69" t="str">
        <f>IF(U9&lt;&gt;"SÍ","",IF(BN9=0,"NO ALCANZA",BN9&amp;" No. "&amp;BM9&amp;IF(BN9&gt;1," corridas"," corrida")))</f>
        <v>1 No. 4 corrida</v>
      </c>
      <c r="DV9" s="69" t="str">
        <f>IF(U9&lt;&gt;"SÍ","",IF(BV9=0,"NO ALCANZA",IF(AND(C9="VOLADO",AC9&gt;DATOS!$C$80,BV9&gt;=2),"1 No. "&amp;BU9&amp;" corrida de la orilla al respaldo ("&amp;IF(DB9&gt;=100*IF(ISNUMBER(P9),P9,X9),"hasta su apoyo lejano, con gancho","entra "&amp;TEXT(DB9/100,"0.00")&amp;" m desde el paño")&amp;") + "&amp;(BV9-1)&amp;" bastón No. "&amp;BU9&amp;" hasta "&amp;TEXT(DR9/100,"0.00")&amp;" m del paño (fin de la nervadura ancha)",IF(C9="VOLADO",BV9&amp;" No. "&amp;BU9&amp;" de la orilla al respaldo ("&amp;IF(DB9&gt;=100*IF(ISNUMBER(P9),P9,X9),"hasta su apoyo lejano, con gancho","entran "&amp;TEXT(DB9/100,"0.00")&amp;" m desde el paño")&amp;")","1 No. "&amp;BU9&amp;" corrida"&amp;IF(BV9&gt;1," + "&amp;(BV9-1)&amp;" bastón No. "&amp;BU9&amp;" L = "&amp;TEXT(DB9/100,"0.00")&amp;" m desde el paño","")))))</f>
        <v>1 No. 4 corrida</v>
      </c>
      <c r="DW9" s="69" t="str">
        <f>IF(U9&lt;&gt;"SÍ","",IF(CD9=0,"NO ALCANZA",CD9&amp;" No. "&amp;CC9&amp;IF(CD9&gt;1," corridas"," corrida")))</f>
        <v>1 No. 4 corrida</v>
      </c>
      <c r="DX9" s="69" t="str">
        <f>IF(U9&lt;&gt;"SÍ","",IF(CL9=0,"NO ALCANZA",IF(C9="VOLADO","1 No. "&amp;CK9&amp;" corrida (repartición)","1 No. "&amp;CK9&amp;" corrida"&amp;IF(CL9&gt;1," + "&amp;(CL9-1)&amp;" bastón No. "&amp;CK9&amp;" L = "&amp;TEXT(DC9/100,"0.00")&amp;" m desde el paño",""))))</f>
        <v>1 No. 4 corrida</v>
      </c>
      <c r="DY9" s="67" t="str">
        <f>IF(B9="","",IF(U9&lt;&gt;"SÍ","FALTAN DATOS: tipo, a_x, a_y y destino",IF(L9="NO MONOLÍTICO (caso II)","FUERA DE ALCANCE: caso II no transcrito",IF(AND(C9="VOLADO",V9="?"),"REVISAR: el volado lleva UN solo borde CONTINUO (el empotrado)",IF(AND(MAX(BQ9,BY9,CG9,CO9)&lt;=1,NOT(OR(BN9&gt;MIN(DATOS!$C$70,INT(((AC9-2*AJ9)+MAX(DATOS!$C$67,INDEX(TABLAS!$C$52:$C$58,MATCH(BM9,TABLAS!$B$52:$B$58,0))))/(INDEX(TABLAS!$C$52:$C$58,MATCH(BM9,TABLAS!$B$52:$B$58,0))+MAX(DATOS!$C$67,INDEX(TABLAS!$C$52:$C$58,MATCH(BM9,TABLAS!$B$52:$B$58,0)))))),BV9&gt;MIN(DATOS!$C$70,INT(((AC9-2*AK9)+MAX(DATOS!$C$67,INDEX(TABLAS!$C$52:$C$58,MATCH(BU9,TABLAS!$B$52:$B$58,0))))/(INDEX(TABLAS!$C$52:$C$58,MATCH(BU9,TABLAS!$B$52:$B$58,0))+MAX(DATOS!$C$67,INDEX(TABLAS!$C$52:$C$58,MATCH(BU9,TABLAS!$B$52:$B$58,0)))))),CD9&gt;MIN(DATOS!$C$70,INT(((DATOS!$C$80-2*AJ9)+MAX(DATOS!$C$67,INDEX(TABLAS!$C$52:$C$58,MATCH(CC9,TABLAS!$B$52:$B$58,0))))/(INDEX(TABLAS!$C$52:$C$58,MATCH(CC9,TABLAS!$B$52:$B$58,0))+MAX(DATOS!$C$67,INDEX(TABLAS!$C$52:$C$58,MATCH(CC9,TABLAS!$B$52:$B$58,0)))))),CL9&gt;MIN(DATOS!$C$70,INT(((DATOS!$C$80-2*AK9)+MAX(DATOS!$C$67,INDEX(TABLAS!$C$52:$C$58,MATCH(CK9,TABLAS!$B$52:$B$58,0))))/(INDEX(TABLAS!$C$52:$C$58,MATCH(CK9,TABLAS!$B$52:$B$58,0))+MAX(DATOS!$C$67,INDEX(TABLAS!$C$52:$C$58,MATCH(CK9,TABLAS!$B$52:$B$58,0)))))))),NOT(OR(AND(ISNUMBER(BR9),BR9&lt;0.005),AND(ISNUMBER(BZ9),BZ9&lt;0.005),AND(ISNUMBER(CH9),CH9&lt;0.005),AND(ISNUMBER(CP9),CP9&lt;0.005))),NOT(LEFT(DT9,2)="NO"),CZ9="CUMPLE",DA9="CUMPLE",LEFT(CT9,2)&lt;&gt;"NO"),IF(LEFT(CT9,6)="CUMPLE","CUMPLE","CUMPLE — "&amp;CT9)&amp;IF(LEFT(BJ9,5)="FUERA"," · fuera de 3.4.2.1 c)","")&amp;IF(LEFT(DF9,2)="NO"," · REVISAR anclaje en borde discontinuo","")&amp;IF(DS9&gt;0," · respaldo: "&amp;DS9&amp;" hilera(s) de b_w "&amp;AC9&amp;" cm",""),IF(AND(MAX(BQ9,BY9,CG9,CO9)&lt;=1,NOT(OR(BN9&gt;MIN(DATOS!$C$70,INT(((AC9-2*AJ9)+MAX(DATOS!$C$67,INDEX(TABLAS!$C$52:$C$58,MATCH(BM9,TABLAS!$B$52:$B$58,0))))/(INDEX(TABLAS!$C$52:$C$58,MATCH(BM9,TABLAS!$B$52:$B$58,0))+MAX(DATOS!$C$67,INDEX(TABLAS!$C$52:$C$58,MATCH(BM9,TABLAS!$B$52:$B$58,0)))))),BV9&gt;MIN(DATOS!$C$70,INT(((AC9-2*AK9)+MAX(DATOS!$C$67,INDEX(TABLAS!$C$52:$C$58,MATCH(BU9,TABLAS!$B$52:$B$58,0))))/(INDEX(TABLAS!$C$52:$C$58,MATCH(BU9,TABLAS!$B$52:$B$58,0))+MAX(DATOS!$C$67,INDEX(TABLAS!$C$52:$C$58,MATCH(BU9,TABLAS!$B$52:$B$58,0)))))),CD9&gt;MIN(DATOS!$C$70,INT(((DATOS!$C$80-2*AJ9)+MAX(DATOS!$C$67,INDEX(TABLAS!$C$52:$C$58,MATCH(CC9,TABLAS!$B$52:$B$58,0))))/(INDEX(TABLAS!$C$52:$C$58,MATCH(CC9,TABLAS!$B$52:$B$58,0))+MAX(DATOS!$C$67,INDEX(TABLAS!$C$52:$C$58,MATCH(CC9,TABLAS!$B$52:$B$58,0)))))),CL9&gt;MIN(DATOS!$C$70,INT(((DATOS!$C$80-2*AK9)+MAX(DATOS!$C$67,INDEX(TABLAS!$C$52:$C$58,MATCH(CK9,TABLAS!$B$52:$B$58,0))))/(INDEX(TABLAS!$C$52:$C$58,MATCH(CK9,TABLAS!$B$52:$B$58,0))+MAX(DATOS!$C$67,INDEX(TABLAS!$C$52:$C$58,MATCH(CK9,TABLAS!$B$52:$B$58,0)))))))),NOT(OR(AND(ISNUMBER(BR9),BR9&lt;0.005),AND(ISNUMBER(BZ9),BZ9&lt;0.005),AND(ISNUMBER(CH9),CH9&lt;0.005),AND(ISNUMBER(CP9),CP9&lt;0.005))),NOT(LEFT(DT9,2)="NO"),CZ9="CALCULAR FLECHA",LEFT(CT9,2)&lt;&gt;"NO"),"REVISAR: calcular flecha (h_eq &lt; h mín.)"&amp;IF(LEFT(BJ9,5)="FUERA"," · fuera de 3.4.2.1 c)","")&amp;IF(LEFT(DF9,2)="NO"," · REVISAR anclaje en borde discontinuo","")&amp;IF(DS9&gt;0," · respaldo: "&amp;DS9&amp;" hilera(s) de b_w "&amp;AC9&amp;" cm",""),"NO CUMPLE: "&amp;IF(MAX(BQ9,BY9,CG9,CO9)&gt;1,"flexión ","")&amp;IF(OR(BN9&gt;MIN(DATOS!$C$70,INT(((AC9-2*AJ9)+MAX(DATOS!$C$67,INDEX(TABLAS!$C$52:$C$58,MATCH(BM9,TABLAS!$B$52:$B$58,0))))/(INDEX(TABLAS!$C$52:$C$58,MATCH(BM9,TABLAS!$B$52:$B$58,0))+MAX(DATOS!$C$67,INDEX(TABLAS!$C$52:$C$58,MATCH(BM9,TABLAS!$B$52:$B$58,0)))))),BV9&gt;MIN(DATOS!$C$70,INT(((AC9-2*AK9)+MAX(DATOS!$C$67,INDEX(TABLAS!$C$52:$C$58,MATCH(BU9,TABLAS!$B$52:$B$58,0))))/(INDEX(TABLAS!$C$52:$C$58,MATCH(BU9,TABLAS!$B$52:$B$58,0))+MAX(DATOS!$C$67,INDEX(TABLAS!$C$52:$C$58,MATCH(BU9,TABLAS!$B$52:$B$58,0)))))),CD9&gt;MIN(DATOS!$C$70,INT(((DATOS!$C$80-2*AJ9)+MAX(DATOS!$C$67,INDEX(TABLAS!$C$52:$C$58,MATCH(CC9,TABLAS!$B$52:$B$58,0))))/(INDEX(TABLAS!$C$52:$C$58,MATCH(CC9,TABLAS!$B$52:$B$58,0))+MAX(DATOS!$C$67,INDEX(TABLAS!$C$52:$C$58,MATCH(CC9,TABLAS!$B$52:$B$58,0)))))),CL9&gt;MIN(DATOS!$C$70,INT(((DATOS!$C$80-2*AK9)+MAX(DATOS!$C$67,INDEX(TABLAS!$C$52:$C$58,MATCH(CK9,TABLAS!$B$52:$B$58,0))))/(INDEX(TABLAS!$C$52:$C$58,MATCH(CK9,TABLAS!$B$52:$B$58,0))+MAX(DATOS!$C$67,INDEX(TABLAS!$C$52:$C$58,MATCH(CK9,TABLAS!$B$52:$B$58,0))))))),"no caben ","")&amp;IF(OR(AND(ISNUMBER(BR9),BR9&lt;0.005),AND(ISNUMBER(BZ9),BZ9&lt;0.005),AND(ISNUMBER(CH9),CH9&lt;0.005),AND(ISNUMBER(CP9),CP9&lt;0.005)),"ε_t &lt; 0.005 ","")&amp;IF(LEFT(CT9,2)="NO","cortante ","")&amp;IF(CZ9="NO CUMPLE","peralte ","")&amp;IF(DA9&lt;&gt;"CUMPLE","capa &lt; 6 cm ","")&amp;IF(LEFT(DT9,2)="NO","respaldo del volado","")))))))</f>
        <v>CUMPLE</v>
      </c>
      <c r="DZ9" s="70" t="str">
        <f>IF(U9&lt;&gt;"SÍ","",IF(LEFT(B9,7)="EJEMPLO","EJEMPLO de la hoja de Casa Rocha: bórralo o sobrescríbelo. ","")&amp;IF(AND(C9="PERIMETRAL",MIN(DG9,DH9)=0),"No cabe un casetón en el claro corto: es un tablero macizo, diséñalo en MACIZAS. ","")&amp;IF(AND(AI9="NO",C9="PERIMETRAL"),"No cumple 6.7.8.1.4 (a_c = "&amp;MAX(DATOS!$C$78,AD9)&amp;" cm &gt; claro corto/6 = "&amp;TEXT(X9*100/6,"0")&amp;" cm): se diseña como losa apoyada en vigas (6.7.8.1.9): r de viga = "&amp;DATOS!$C$60&amp;" cm y V_cR sin ×1.1. Para que cuente como encasetonada: casetón de "&amp;TEXT(FLOOR(MIN(80,X9*100/6),1),"0")&amp;" cm o menor. ","")&amp;IF(C9="VOLADO","Volado de "&amp;TEXT(X9,"0.00")&amp;" m empotrado en el borde "&amp;LOWER(V9)&amp;IF(N(O9)&gt;0,", con "&amp;TEXT(O9,"0.0")&amp;" kg/m en la orilla","")&amp;". Lecho inferior con r_ext. Si la orilla carga pretil u otro elemento frágil, calcula la flecha (13.4). El acero superior entra al respaldo de "&amp;TEXT(IF(ISNUMBER(P9),P9,X9),"0.00")&amp;" m"&amp;IF(ISNUMBER(P9),""," (L_b no capturado: se tomó igual al volado)")&amp;" hasta pasar M = 0 con 0.9·PP sin carga viva; si ahí no se anula, llega al apoyo lejano y se ancla con gancho (NTC-Criterios 3.4.1 c y 5.1.2.2). "&amp;IF(AC9&gt;DATOS!$C$80,"Respaldo: "&amp;DT9&amp;". ",""),"")&amp;IF(LEFT(BJ9,5)="FUERA","El M⁻ del vecino difiere más de 50 % (3.4.2.1 c): distribuye el desequilibrio (3.4.3.1) o confirma con un modelo; se arma con el mayor. ","")&amp;IF(OR(DD9="SÍ",DE9="SÍ"),"El M⁻ del borde discontinuo pide bastón también ahí (con gancho). ","")&amp;IF(LEFT(DF9,2)="NO","Anclaje: "&amp;DF9&amp;" (6.7.8.1.7). ","")&amp;IF(OR(AZ9&gt;0,BA9&gt;0),"Esquinas exteriores sobre muro: refuerzo de esquina arriba y abajo en L_largo/5 (6.7.7.3.1). ",""))</f>
        <v>EJEMPLO de la hoja de Casa Rocha: bórralo o sobrescríbelo. No cumple 6.7.8.1.4 (a_c = 60 cm &gt; claro corto/6 = 27 cm): se diseña como losa apoyada en vigas (6.7.8.1.9): r de viga = 4 cm y V_cR sin ×1.1. Para que cuente como encasetonada: casetón de 26 cm o menor. </v>
      </c>
    </row>
    <row r="10" ht="33" customHeight="1">
      <c r="A10" s="50">
        <f>IF(B10="",0,1)+A9</f>
        <v>2</v>
      </c>
      <c r="B10" s="29" t="inlineStr">
        <is>
          <t>EJEMPLO F80016 (de borde)</t>
        </is>
      </c>
      <c r="C10" s="51" t="inlineStr">
        <is>
          <t>PERIMETRAL</t>
        </is>
      </c>
      <c r="D10" s="29" t="inlineStr">
        <is>
          <t>HABITACIÓN</t>
        </is>
      </c>
      <c r="E10" s="52" t="n">
        <v>4.426</v>
      </c>
      <c r="F10" s="52" t="n">
        <v>4</v>
      </c>
      <c r="G10" s="51" t="inlineStr">
        <is>
          <t>CONTINUO</t>
        </is>
      </c>
      <c r="H10" s="51" t="inlineStr">
        <is>
          <t>CONTINUO</t>
        </is>
      </c>
      <c r="I10" s="51" t="inlineStr">
        <is>
          <t>DISCONTINUO</t>
        </is>
      </c>
      <c r="J10" s="51" t="inlineStr">
        <is>
          <t>CONTINUO</t>
        </is>
      </c>
      <c r="K10" s="51" t="inlineStr">
        <is>
          <t>AUTO</t>
        </is>
      </c>
      <c r="L10" s="51" t="inlineStr">
        <is>
          <t>MONOLÍTICO (caso I)</t>
        </is>
      </c>
      <c r="M10" s="53" t="n">
        <v>160</v>
      </c>
      <c r="N10" s="53" t="n"/>
      <c r="O10" s="54" t="n"/>
      <c r="P10" s="52" t="n"/>
      <c r="Q10" s="53" t="n"/>
      <c r="R10" s="54" t="n"/>
      <c r="S10" s="52" t="n"/>
      <c r="T10" s="52" t="n"/>
      <c r="U10" s="55" t="str">
        <f>IF(B10="","",IF(AND(OR(C10="PERIMETRAL",C10="VOLADO"),ISNUMBER(E10),ISNUMBER(F10),E10&gt;0,F10&gt;0,OR(ISNUMBER(N10),ISNUMBER(MATCH(D10,DATOS!$B$46:$B$55,0)))),"SÍ","NO"))</f>
        <v>SÍ</v>
      </c>
      <c r="V10" s="55" t="str">
        <f>IF(U10&lt;&gt;"SÍ","",IF(C10&lt;&gt;"VOLADO","—",IF(COUNTIF(G10:J10,"CONTINUO")&lt;&gt;1,"?",IF(G10="CONTINUO","INFERIOR",IF(H10="CONTINUO","SUPERIOR",IF(I10="CONTINUO","IZQUIERDO","DERECHO"))))))</f>
        <v>—</v>
      </c>
      <c r="W10" s="55" t="str">
        <f>IF(U10&lt;&gt;"SÍ","",IF(C10="VOLADO",IF(OR(V10="IZQUIERDO",V10="DERECHO"),"X","Y"),IF(E10&lt;=F10,"X","Y")))</f>
        <v>Y</v>
      </c>
      <c r="X10" s="56">
        <f>IF(U10&lt;&gt;"SÍ","",IF(C10="VOLADO",IF(W10="X",E10,F10),MIN(E10,F10)))</f>
        <v>4</v>
      </c>
      <c r="Y10" s="56">
        <f>IF(U10&lt;&gt;"SÍ","",IF(C10="VOLADO",IF(W10="X",F10,E10),MAX(E10,F10)))</f>
        <v>4.426</v>
      </c>
      <c r="Z10" s="56">
        <f>IF(U10&lt;&gt;"SÍ","",MIN(X10,Y10)/MAX(X10,Y10))</f>
        <v>0.903750564844103</v>
      </c>
      <c r="AA10" s="57">
        <f>IF(U10&lt;&gt;"SÍ","",MAX(1,X10*100-IF(C10="VOLADO",DATOS!$C$84/2,DATOS!$C$84)))</f>
        <v>385</v>
      </c>
      <c r="AB10" s="57">
        <f>IF(U10&lt;&gt;"SÍ","",MAX(1,Y10*100-DATOS!$C$84))</f>
        <v>427.6</v>
      </c>
      <c r="AC10" s="57">
        <f>IF(U10&lt;&gt;"SÍ","",IF(ISNUMBER(Q10),Q10,DATOS!$C$80))</f>
        <v>10</v>
      </c>
      <c r="AD10" s="57">
        <f>IF(U10&lt;&gt;"SÍ","",MAX(0,DATOS!$C$83-AC10))</f>
        <v>60</v>
      </c>
      <c r="AE10" s="57">
        <f>IF(U10&lt;&gt;"SÍ","",IF(OR(DATOS!$C$62="SÍ",AC10&gt;=20),AC10,AC10-2))</f>
        <v>10</v>
      </c>
      <c r="AF10" s="57">
        <f>IF(U10&lt;&gt;"SÍ","",IF(OR(DATOS!$C$62="SÍ",DATOS!$C$80&gt;=20),DATOS!$C$80,DATOS!$C$80-2))</f>
        <v>10</v>
      </c>
      <c r="AG10" s="57">
        <f>IF(U10&lt;&gt;"SÍ","",MIN(DATOS!$C$83,AC10+2*MIN(8*DATOS!$C$81,AD10/2,AA10/8)))</f>
        <v>70</v>
      </c>
      <c r="AH10" s="57">
        <f>IF(U10&lt;&gt;"SÍ","",MIN(DATOS!$C$83,DATOS!$C$80+2*MIN(8*DATOS!$C$81,DATOS!$C$78/2,AB10/8)))</f>
        <v>70</v>
      </c>
      <c r="AI10" s="55" t="str">
        <f>IF(U10&lt;&gt;"SÍ","",IF(AND(C10="PERIMETRAL",X10*100&gt;=6*MAX(DATOS!$C$78,AD10),MAX(DATOS!$C$78,AD10)&lt;=80,MIN(DATOS!$C$80,AC10)&gt;=10,DATOS!$C$82&lt;=3.5*MIN(DATOS!$C$80,AC10),DATOS!$C$81&gt;=MAX(MAX(DATOS!$C$78,AD10)/13,5)),"SÍ","NO"))</f>
        <v>SÍ</v>
      </c>
      <c r="AJ10" s="57">
        <f>IF(U10&lt;&gt;"SÍ","",IF(C10="VOLADO",DATOS!$C$61,IF(AI10="NO",DATOS!$C$60,DATOS!$C$59)))</f>
        <v>2</v>
      </c>
      <c r="AK10" s="57">
        <f>IF(U10&lt;&gt;"SÍ","",IF(OR(AND(AM10="SÍ",DATOS!$C$63="SÍ"),AND(C10="VOLADO",DATOS!$C$64="SÍ")),DATOS!$C$61,IF(AI10="NO",DATOS!$C$60,DATOS!$C$59)))</f>
        <v>2</v>
      </c>
      <c r="AL10" s="58">
        <f>IF(U10&lt;&gt;"SÍ","",MAX(AK10,(DATOS!$C$81-2*DATOS!$C$94)/2))</f>
        <v>2.428</v>
      </c>
      <c r="AM10" s="55" t="str">
        <f>IF(U10&lt;&gt;"SÍ","",IFERROR(INDEX(DATOS!$D$46:$D$55,MATCH(D10,DATOS!$B$46:$B$55,0)),"NO"))</f>
        <v>NO</v>
      </c>
      <c r="AN10" s="59">
        <f>IF(U10&lt;&gt;"SÍ","",IF(ISNUMBER(N10),N10,IFERROR(INDEX(DATOS!$C$46:$C$55,MATCH(D10,DATOS!$B$46:$B$55,0)),0)))</f>
        <v>190</v>
      </c>
      <c r="AO10" s="59">
        <f>IF(U10&lt;&gt;"SÍ","",(DATOS!$C$82/100-(AD10*DATOS!$C$78/DATOS!$C$83^2)*DATOS!$C$79/100)*DATOS!$C$16*1000+(AD10*DATOS!$C$78/DATOS!$C$83^2)*DATOS!$C$79/100*DATOS!$C$17*1000+DATOS!$C$37+DATOS!$C$38)</f>
        <v>307.073469387755</v>
      </c>
      <c r="AP10" s="59">
        <f>IF(U10&lt;&gt;"SÍ","",AO10+N(M10))</f>
        <v>467.073469387755</v>
      </c>
      <c r="AQ10" s="60">
        <f>IF(U10&lt;&gt;"SÍ","",MAX(DATOS!$C$26*AP10+DATOS!$C$27*AN10,IF(AM10="SÍ",DATOS!$C$28*(AP10+DATOS!$C$41),0)))</f>
        <v>892.195510204082</v>
      </c>
      <c r="AR10" s="59">
        <f>IF(U10&lt;&gt;"SÍ","",(G10="DISCONTINUO")+(H10="DISCONTINUO")+(I10="DISCONTINUO")+(J10="DISCONTINUO"))</f>
        <v>1</v>
      </c>
      <c r="AS10" s="59">
        <f>IF(U10&lt;&gt;"SÍ","",IF(W10="X",(G10="DISCONTINUO")+(H10="DISCONTINUO"),(I10="DISCONTINUO")+(J10="DISCONTINUO")))</f>
        <v>1</v>
      </c>
      <c r="AT10" s="55" t="str">
        <f>IF(U10&lt;&gt;"SÍ","",IF(AR10=0,"INTERIOR",IF(AR10=1,IF(AS10=1,"BORDE-CORTO","BORDE-LARGO"),IF(AR10=2,IF(AS10=1,"ESQUINA",IF(AS10=2,"EXTREMO-LARGO","EXTREMO-CORTO")),IF(AR10=3,IF(AS10=2,"EXTREMO-LARGO","EXTREMO-CORTO"),"AISLADO")))))</f>
        <v>BORDE-CORTO</v>
      </c>
      <c r="AU10" s="61" t="str">
        <f>IF(U10&lt;&gt;"SÍ","",IF(OR(K10="",K10="AUTO"),AT10,K10))</f>
        <v>BORDE-CORTO</v>
      </c>
      <c r="AV10" s="59">
        <f>IF(U10&lt;&gt;"SÍ","",MATCH(Z10,TABLAS!$D$5:$J$5,1))</f>
        <v>6</v>
      </c>
      <c r="AW10" s="58">
        <f>IF(U10&lt;&gt;"SÍ","",IF(AV10&gt;=7,0,(Z10-INDEX(TABLAS!$D$5:$J$5,AV10))/(INDEX(TABLAS!$D$5:$J$5,AV10+1)-INDEX(TABLAS!$D$5:$J$5,AV10))))</f>
        <v>0.0375056484410297</v>
      </c>
      <c r="AX10" s="59">
        <f>IF(U10&lt;&gt;"SÍ","",INDEX(TABLAS!$D$6:$J$47,MATCH(AU10&amp;"|NIC",TABLAS!$B$6:$B$47,0),AV10)+AW10*(INDEX(TABLAS!$D$6:$J$47,MATCH(AU10&amp;"|NIC",TABLAS!$B$6:$B$47,0),MIN(AV10+1,7))-INDEX(TABLAS!$D$6:$J$47,MATCH(AU10&amp;"|NIC",TABLAS!$B$6:$B$47,0),AV10)))</f>
        <v>542.774514234072</v>
      </c>
      <c r="AY10" s="59">
        <f>IF(U10&lt;&gt;"SÍ","",INDEX(TABLAS!$D$6:$J$47,MATCH(AU10&amp;"|NIL",TABLAS!$B$6:$B$47,0),AV10)+AW10*(INDEX(TABLAS!$D$6:$J$47,MATCH(AU10&amp;"|NIL",TABLAS!$B$6:$B$47,0),MIN(AV10+1,7))-INDEX(TABLAS!$D$6:$J$47,MATCH(AU10&amp;"|NIL",TABLAS!$B$6:$B$47,0),AV10)))</f>
        <v>439.28739267962</v>
      </c>
      <c r="AZ10" s="59">
        <f>IF(U10&lt;&gt;"SÍ","",INDEX(TABLAS!$D$6:$J$47,MATCH(AU10&amp;"|NDC",TABLAS!$B$6:$B$47,0),AV10)+AW10*(INDEX(TABLAS!$D$6:$J$47,MATCH(AU10&amp;"|NDC",TABLAS!$B$6:$B$47,0),MIN(AV10+1,7))-INDEX(TABLAS!$D$6:$J$47,MATCH(AU10&amp;"|NDC",TABLAS!$B$6:$B$47,0),AV10)))</f>
        <v>0</v>
      </c>
      <c r="BA10" s="59">
        <f>IF(U10&lt;&gt;"SÍ","",INDEX(TABLAS!$D$6:$J$47,MATCH(AU10&amp;"|NDL",TABLAS!$B$6:$B$47,0),AV10)+AW10*(INDEX(TABLAS!$D$6:$J$47,MATCH(AU10&amp;"|NDL",TABLAS!$B$6:$B$47,0),MIN(AV10+1,7))-INDEX(TABLAS!$D$6:$J$47,MATCH(AU10&amp;"|NDL",TABLAS!$B$6:$B$47,0),AV10)))</f>
        <v>205.399909624944</v>
      </c>
      <c r="BB10" s="59">
        <f>IF(U10&lt;&gt;"SÍ","",INDEX(TABLAS!$D$6:$J$47,MATCH(AU10&amp;"|PC",TABLAS!$B$6:$B$47,0),AV10)+AW10*(INDEX(TABLAS!$D$6:$J$47,MATCH(AU10&amp;"|PC",TABLAS!$B$6:$B$47,0),MIN(AV10+1,7))-INDEX(TABLAS!$D$6:$J$47,MATCH(AU10&amp;"|PC",TABLAS!$B$6:$B$47,0),AV10)))</f>
        <v>274.574785359241</v>
      </c>
      <c r="BC10" s="59">
        <f>IF(U10&lt;&gt;"SÍ","",INDEX(TABLAS!$D$6:$J$47,MATCH(AU10&amp;"|PL",TABLAS!$B$6:$B$47,0),AV10)+AW10*(INDEX(TABLAS!$D$6:$J$47,MATCH(AU10&amp;"|PL",TABLAS!$B$6:$B$47,0),MIN(AV10+1,7))-INDEX(TABLAS!$D$6:$J$47,MATCH(AU10&amp;"|PL",TABLAS!$B$6:$B$47,0),AV10)))</f>
        <v>263.862629914144</v>
      </c>
      <c r="BD10" s="56">
        <f>IF(U10&lt;&gt;"SÍ","",IF(C10&lt;&gt;"VOLADO",0,DATOS!$C$26*DATOS!$C$16*DATOS!$C$83/100*(((AD10*DATOS!$C$78/DATOS!$C$83^2)*DATOS!$C$79/100)*(IF(W10="X",DI10,DJ10)+DATOS!$C$84/2)/100*(AA10-(IF(W10="X",DI10,DJ10)+DATOS!$C$84/2)/2)/100+((AD10*DATOS!$C$78/DATOS!$C$83^2)*DATOS!$C$79/100)*IF(W10="X",DI10,DJ10)/100*IF(W10="X",DI10,DJ10)/200)))</f>
        <v>0</v>
      </c>
      <c r="BE10" s="56">
        <f>IF(U10&lt;&gt;"SÍ","",IF(C10&lt;&gt;"VOLADO",0,DATOS!$C$26*DATOS!$C$16*DATOS!$C$83/100*((AD10*DATOS!$C$78/DATOS!$C$83^2)*DATOS!$C$79/100)*(IF(W10="X",DI10,DJ10)+DATOS!$C$84/2)/100))</f>
        <v>0</v>
      </c>
      <c r="BF10" s="56">
        <f>IF(U10&lt;&gt;"SÍ","",IF(C10="PERIMETRAL",BB10*AQ10*X10^2*1E-4*DATOS!$C$83/100/1000,0))</f>
        <v>0.274371317598296</v>
      </c>
      <c r="BG10" s="62">
        <f>IF(U10&lt;&gt;"SÍ","",IF(C10="PERIMETRAL",MAX(MAX(AX10,AZ10)*AQ10*X10^2*1E-4*DATOS!$C$83/100/1000,N(S10)),(AQ10*(AA10/100)^2/2+DATOS!$C$26*N(O10)*AA10/100)*DATOS!$C$83/100/1000+BD10))</f>
        <v>0.542372302811181</v>
      </c>
      <c r="BH10" s="56">
        <f>IF(U10&lt;&gt;"SÍ","",IF(C10="PERIMETRAL",BC10*AQ10*X10^2*1E-4*DATOS!$C$83/100/1000,0))</f>
        <v>0.263667100166445</v>
      </c>
      <c r="BI10" s="56">
        <f>IF(U10&lt;&gt;"SÍ","",IF(C10="PERIMETRAL",MAX(MAX(AY10,BA10)*AQ10*X10^2*1E-4*DATOS!$C$83/100/1000,N(T10)),0))</f>
        <v>0.438961868170577</v>
      </c>
      <c r="BJ10" s="63" t="str">
        <f>IF(U10&lt;&gt;"SÍ","",IF(C10&lt;&gt;"PERIMETRAL","—",IF(AND(N(S10)=0,N(T10)=0),"— (sin M⁻ del vecino)",IF(OR(AND(N(S10)&gt;0,ABS(MAX(AX10,AZ10)*AQ10*X10^2*1E-4*DATOS!$C$83/100/1000-N(S10))&gt;0.5*MIN(MAX(AX10,AZ10)*AQ10*X10^2*1E-4*DATOS!$C$83/100/1000,N(S10))),AND(N(T10)&gt;0,ABS(MAX(AY10,BA10)*AQ10*X10^2*1E-4*DATOS!$C$83/100/1000-N(T10))&gt;0.5*MIN(MAX(AY10,BA10)*AQ10*X10^2*1E-4*DATOS!$C$83/100/1000,N(T10)))),"FUERA: difieren &gt; 50 %"&amp;IF(AND(N(S10)&gt;0,ABS(MAX(AX10,AZ10)*AQ10*X10^2*1E-4*DATOS!$C$83/100/1000-N(S10))&gt;0.5*MIN(MAX(AX10,AZ10)*AQ10*X10^2*1E-4*DATOS!$C$83/100/1000,N(S10)))," ‖ corto","")&amp;IF(AND(N(T10)&gt;0,ABS(MAX(AY10,BA10)*AQ10*X10^2*1E-4*DATOS!$C$83/100/1000-N(T10))&gt;0.5*MIN(MAX(AY10,BA10)*AQ10*X10^2*1E-4*DATOS!$C$83/100/1000,N(T10)))," ‖ largo",""),"CUMPLE"))))</f>
        <v>— (sin M⁻ del vecino)</v>
      </c>
      <c r="BK10" s="58">
        <f>IF(U10&lt;&gt;"SÍ","",(DATOS!$C$82-AJ10-INDEX(TABLAS!$C$52:$C$58,MATCH(DATOS!$C$68,TABLAS!$B$52:$B$58,0))/2))</f>
        <v>22.365</v>
      </c>
      <c r="BL10" s="58">
        <f>IF(U10&lt;&gt;"SÍ","",IF(IF(BF10&lt;=0,0,IF((1-2*BF10*1E5/(DATOS!$C$29*AG10*BK10^2*DATOS!$C$21))&lt;0,-1,IF((1-SQRT((1-2*BF10*1E5/(DATOS!$C$29*AG10*BK10^2*DATOS!$C$21))))*DATOS!$C$21*AG10*BK10/DATOS!$C$14&gt;DATOS!$C$99*AG10*BK10,-1,(1-SQRT((1-2*BF10*1E5/(DATOS!$C$29*AG10*BK10^2*DATOS!$C$21))))*DATOS!$C$21*AG10*BK10/DATOS!$C$14)))&lt;0,-1,MAX(IF(BF10&lt;=0,0,IF((1-2*BF10*1E5/(DATOS!$C$29*AG10*BK10^2*DATOS!$C$21))&lt;0,-1,IF((1-SQRT((1-2*BF10*1E5/(DATOS!$C$29*AG10*BK10^2*DATOS!$C$21))))*DATOS!$C$21*AG10*BK10/DATOS!$C$14&gt;DATOS!$C$99*AG10*BK10,-1,(1-SQRT((1-2*BF10*1E5/(DATOS!$C$29*AG10*BK10^2*DATOS!$C$21))))*DATOS!$C$21*AG10*BK10/DATOS!$C$14))),MIN(DATOS!$C$100*AC10*BK10,4/3*IF(BF10&lt;=0,0,IF((1-2*BF10*1E5/(DATOS!$C$29*AG10*BK10^2*DATOS!$C$21))&lt;0,-1,IF((1-SQRT((1-2*BF10*1E5/(DATOS!$C$29*AG10*BK10^2*DATOS!$C$21))))*DATOS!$C$21*AG10*BK10/DATOS!$C$14&gt;DATOS!$C$99*AG10*BK10,-1,(1-SQRT((1-2*BF10*1E5/(DATOS!$C$29*AG10*BK10^2*DATOS!$C$21))))*DATOS!$C$21*AG10*BK10/DATOS!$C$14)))))))</f>
        <v>0.433619909679508</v>
      </c>
      <c r="BM10" s="64">
        <f>IF(U10&lt;&gt;"SÍ","",IF(AND(BL10&gt;=0,IF(MAX(DATOS!$C$71,CEILING(BL10/INDEX(TABLAS!$D$52:$D$58,MIN(MATCH(DATOS!$C$68,TABLAS!$B$52:$B$58,0)+0,7)),1))*INDEX(TABLAS!$D$52:$D$58,MIN(MATCH(DATOS!$C$68,TABLAS!$B$52:$B$58,0)+0,7))&gt;=4/3*IF(BF10&lt;=0,0,IF((1-2*BF10*1E5/(DATOS!$C$29*AG10*BK10^2*DATOS!$C$21))&lt;0,-1,IF((1-SQRT((1-2*BF10*1E5/(DATOS!$C$29*AG10*BK10^2*DATOS!$C$21))))*DATOS!$C$21*AG10*BK10/DATOS!$C$14&gt;DATOS!$C$99*AG10*BK10,-1,(1-SQRT((1-2*BF10*1E5/(DATOS!$C$29*AG10*BK10^2*DATOS!$C$21))))*DATOS!$C$21*AG10*BK10/DATOS!$C$14)))-0.0001,MAX(DATOS!$C$71,CEILING(BL10/INDEX(TABLAS!$D$52:$D$58,MIN(MATCH(DATOS!$C$68,TABLAS!$B$52:$B$58,0)+0,7)),1)),MAX(MAX(DATOS!$C$71,CEILING(BL10/INDEX(TABLAS!$D$52:$D$58,MIN(MATCH(DATOS!$C$68,TABLAS!$B$52:$B$58,0)+0,7)),1)),2))&lt;=MIN(DATOS!$C$70,INT(((AC10-2*AJ10)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10&gt;=0,IF(MAX(DATOS!$C$71,CEILING(BL10/INDEX(TABLAS!$D$52:$D$58,MIN(MATCH(DATOS!$C$68,TABLAS!$B$52:$B$58,0)+1,7)),1))*INDEX(TABLAS!$D$52:$D$58,MIN(MATCH(DATOS!$C$68,TABLAS!$B$52:$B$58,0)+1,7))&gt;=4/3*IF(BF10&lt;=0,0,IF((1-2*BF10*1E5/(DATOS!$C$29*AG10*BK10^2*DATOS!$C$21))&lt;0,-1,IF((1-SQRT((1-2*BF10*1E5/(DATOS!$C$29*AG10*BK10^2*DATOS!$C$21))))*DATOS!$C$21*AG10*BK10/DATOS!$C$14&gt;DATOS!$C$99*AG10*BK10,-1,(1-SQRT((1-2*BF10*1E5/(DATOS!$C$29*AG10*BK10^2*DATOS!$C$21))))*DATOS!$C$21*AG10*BK10/DATOS!$C$14)))-0.0001,MAX(DATOS!$C$71,CEILING(BL10/INDEX(TABLAS!$D$52:$D$58,MIN(MATCH(DATOS!$C$68,TABLAS!$B$52:$B$58,0)+1,7)),1)),MAX(MAX(DATOS!$C$71,CEILING(BL10/INDEX(TABLAS!$D$52:$D$58,MIN(MATCH(DATOS!$C$68,TABLAS!$B$52:$B$58,0)+1,7)),1)),2))&lt;=MIN(DATOS!$C$70,INT(((AC10-2*AJ10)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10&gt;=0,IF(MAX(DATOS!$C$71,CEILING(BL10/INDEX(TABLAS!$D$52:$D$58,MIN(MATCH(DATOS!$C$68,TABLAS!$B$52:$B$58,0)+2,7)),1))*INDEX(TABLAS!$D$52:$D$58,MIN(MATCH(DATOS!$C$68,TABLAS!$B$52:$B$58,0)+2,7))&gt;=4/3*IF(BF10&lt;=0,0,IF((1-2*BF10*1E5/(DATOS!$C$29*AG10*BK10^2*DATOS!$C$21))&lt;0,-1,IF((1-SQRT((1-2*BF10*1E5/(DATOS!$C$29*AG10*BK10^2*DATOS!$C$21))))*DATOS!$C$21*AG10*BK10/DATOS!$C$14&gt;DATOS!$C$99*AG10*BK10,-1,(1-SQRT((1-2*BF10*1E5/(DATOS!$C$29*AG10*BK10^2*DATOS!$C$21))))*DATOS!$C$21*AG10*BK10/DATOS!$C$14)))-0.0001,MAX(DATOS!$C$71,CEILING(BL10/INDEX(TABLAS!$D$52:$D$58,MIN(MATCH(DATOS!$C$68,TABLAS!$B$52:$B$58,0)+2,7)),1)),MAX(MAX(DATOS!$C$71,CEILING(BL10/INDEX(TABLAS!$D$52:$D$58,MIN(MATCH(DATOS!$C$68,TABLAS!$B$52:$B$58,0)+2,7)),1)),2))&lt;=MIN(DATOS!$C$70,INT(((AC10-2*AJ10)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10&gt;=0,IF(MAX(DATOS!$C$71,CEILING(BL10/INDEX(TABLAS!$D$52:$D$58,MIN(MATCH(DATOS!$C$68,TABLAS!$B$52:$B$58,0)+3,7)),1))*INDEX(TABLAS!$D$52:$D$58,MIN(MATCH(DATOS!$C$68,TABLAS!$B$52:$B$58,0)+3,7))&gt;=4/3*IF(BF10&lt;=0,0,IF((1-2*BF10*1E5/(DATOS!$C$29*AG10*BK10^2*DATOS!$C$21))&lt;0,-1,IF((1-SQRT((1-2*BF10*1E5/(DATOS!$C$29*AG10*BK10^2*DATOS!$C$21))))*DATOS!$C$21*AG10*BK10/DATOS!$C$14&gt;DATOS!$C$99*AG10*BK10,-1,(1-SQRT((1-2*BF10*1E5/(DATOS!$C$29*AG10*BK10^2*DATOS!$C$21))))*DATOS!$C$21*AG10*BK10/DATOS!$C$14)))-0.0001,MAX(DATOS!$C$71,CEILING(BL10/INDEX(TABLAS!$D$52:$D$58,MIN(MATCH(DATOS!$C$68,TABLAS!$B$52:$B$58,0)+3,7)),1)),MAX(MAX(DATOS!$C$71,CEILING(BL10/INDEX(TABLAS!$D$52:$D$58,MIN(MATCH(DATOS!$C$68,TABLAS!$B$52:$B$58,0)+3,7)),1)),2))&lt;=MIN(DATOS!$C$70,INT(((AC10-2*AJ10)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10&gt;=0,IF(MAX(DATOS!$C$71,CEILING(BL10/INDEX(TABLAS!$D$52:$D$58,MIN(MATCH(DATOS!$C$68,TABLAS!$B$52:$B$58,0)+4,7)),1))*INDEX(TABLAS!$D$52:$D$58,MIN(MATCH(DATOS!$C$68,TABLAS!$B$52:$B$58,0)+4,7))&gt;=4/3*IF(BF10&lt;=0,0,IF((1-2*BF10*1E5/(DATOS!$C$29*AG10*BK10^2*DATOS!$C$21))&lt;0,-1,IF((1-SQRT((1-2*BF10*1E5/(DATOS!$C$29*AG10*BK10^2*DATOS!$C$21))))*DATOS!$C$21*AG10*BK10/DATOS!$C$14&gt;DATOS!$C$99*AG10*BK10,-1,(1-SQRT((1-2*BF10*1E5/(DATOS!$C$29*AG10*BK10^2*DATOS!$C$21))))*DATOS!$C$21*AG10*BK10/DATOS!$C$14)))-0.0001,MAX(DATOS!$C$71,CEILING(BL10/INDEX(TABLAS!$D$52:$D$58,MIN(MATCH(DATOS!$C$68,TABLAS!$B$52:$B$58,0)+4,7)),1)),MAX(MAX(DATOS!$C$71,CEILING(BL10/INDEX(TABLAS!$D$52:$D$58,MIN(MATCH(DATOS!$C$68,TABLAS!$B$52:$B$58,0)+4,7)),1)),2))&lt;=MIN(DATOS!$C$70,INT(((AC10-2*AJ10)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>4</v>
      </c>
      <c r="BN10" s="59">
        <f>IF(U10&lt;&gt;"SÍ","",IF(BL10&lt;0,0,IF(MAX(DATOS!$C$71,CEILING(MAX(BL10,0)/INDEX(TABLAS!$D$52:$D$58,MATCH(BM10,TABLAS!$B$52:$B$58,0)),1))*INDEX(TABLAS!$D$52:$D$58,MATCH(BM10,TABLAS!$B$52:$B$58,0))&gt;=4/3*IF(BF10&lt;=0,0,IF((1-2*BF10*1E5/(DATOS!$C$29*AG10*BK10^2*DATOS!$C$21))&lt;0,-1,IF((1-SQRT((1-2*BF10*1E5/(DATOS!$C$29*AG10*BK10^2*DATOS!$C$21))))*DATOS!$C$21*AG10*BK10/DATOS!$C$14&gt;DATOS!$C$99*AG10*BK10,-1,(1-SQRT((1-2*BF10*1E5/(DATOS!$C$29*AG10*BK10^2*DATOS!$C$21))))*DATOS!$C$21*AG10*BK10/DATOS!$C$14)))-0.0001,MAX(DATOS!$C$71,CEILING(MAX(BL10,0)/INDEX(TABLAS!$D$52:$D$58,MATCH(BM10,TABLAS!$B$52:$B$58,0)),1)),MAX(MAX(DATOS!$C$71,CEILING(MAX(BL10,0)/INDEX(TABLAS!$D$52:$D$58,MATCH(BM10,TABLAS!$B$52:$B$58,0)),1)),2))))</f>
        <v>1</v>
      </c>
      <c r="BO10" s="58">
        <f>IF(U10&lt;&gt;"SÍ","",DATOS!$C$82-AJ10-INDEX(TABLAS!$C$52:$C$58,MATCH(BM10,TABLAS!$B$52:$B$58,0))/2)</f>
        <v>22.365</v>
      </c>
      <c r="BP10" s="56">
        <f>IF(U10&lt;&gt;"SÍ","",IF(BN10=0,0,DATOS!$C$29*BN10*INDEX(TABLAS!$D$52:$D$58,MATCH(BM10,TABLAS!$B$52:$B$58,0))*DATOS!$C$14*(BO10-BN10*INDEX(TABLAS!$D$52:$D$58,MATCH(BM10,TABLAS!$B$52:$B$58,0))*DATOS!$C$14/(DATOS!$C$21*AG10)/2)/1E5))</f>
        <v>1.06504699658824</v>
      </c>
      <c r="BQ10" s="65">
        <f>IF(U10&lt;&gt;"SÍ","",IF(BL10&lt;0,9.99,IF(BP10&gt;0,BF10/BP10,0)))</f>
        <v>0.257614282259107</v>
      </c>
      <c r="BR10" s="66">
        <f>IF(U10&lt;&gt;"SÍ","",IF(BN10=0,"—",0.003*(BO10-(BN10*INDEX(TABLAS!$D$52:$D$58,MATCH(BM10,TABLAS!$B$52:$B$58,0))*DATOS!$C$14/(DATOS!$C$21*AG10)/DATOS!$C$22))/(BN10*INDEX(TABLAS!$D$52:$D$58,MATCH(BM10,TABLAS!$B$52:$B$58,0))*DATOS!$C$14/(DATOS!$C$21*AG10)/DATOS!$C$22)))</f>
        <v>0.156042445866142</v>
      </c>
      <c r="BS10" s="58">
        <f>IF(U10&lt;&gt;"SÍ","",((DATOS!$C$82-AL10-2*DATOS!$C$94-INDEX(TABLAS!$C$52:$C$58,MATCH(DATOS!$C$69,TABLAS!$B$52:$B$58,0))/2)-IF(AND((DATOS!$C$82-AL10-2*DATOS!$C$94-INDEX(TABLAS!$C$52:$C$58,MATCH(DATOS!$C$69,TABLAS!$B$52:$B$58,0))/2)&lt;=20,DATOS!$C$62&lt;&gt;"SÍ"),2,0)))</f>
        <v>20.793</v>
      </c>
      <c r="BT10" s="58">
        <f>IF(U10&lt;&gt;"SÍ","",IF(IF(BG10&lt;=0,0,IF((1-2*BG10*1E5/(DATOS!$C$29*AE10*BS10^2*DATOS!$C$21))&lt;0,-1,IF((1-SQRT((1-2*BG10*1E5/(DATOS!$C$29*AE10*BS10^2*DATOS!$C$21))))*DATOS!$C$21*AE10*BS10/DATOS!$C$14&gt;DATOS!$C$99*AE10*BS10,-1,(1-SQRT((1-2*BG10*1E5/(DATOS!$C$29*AE10*BS10^2*DATOS!$C$21))))*DATOS!$C$21*AE10*BS10/DATOS!$C$14)))&lt;0,-1,MAX(IF(BG10&lt;=0,0,IF((1-2*BG10*1E5/(DATOS!$C$29*AE10*BS10^2*DATOS!$C$21))&lt;0,-1,IF((1-SQRT((1-2*BG10*1E5/(DATOS!$C$29*AE10*BS10^2*DATOS!$C$21))))*DATOS!$C$21*AE10*BS10/DATOS!$C$14&gt;DATOS!$C$99*AE10*BS10,-1,(1-SQRT((1-2*BG10*1E5/(DATOS!$C$29*AE10*BS10^2*DATOS!$C$21))))*DATOS!$C$21*AE10*BS10/DATOS!$C$14))),MIN(DATOS!$C$100*IF(C10="VOLADO",MIN(AG10,2*AC10),AC10)*BS10,4/3*IF(BG10&lt;=0,0,IF((1-2*BG10*1E5/(DATOS!$C$29*AE10*BS10^2*DATOS!$C$21))&lt;0,-1,IF((1-SQRT((1-2*BG10*1E5/(DATOS!$C$29*AE10*BS10^2*DATOS!$C$21))))*DATOS!$C$21*AE10*BS10/DATOS!$C$14&gt;DATOS!$C$99*AE10*BS10,-1,(1-SQRT((1-2*BG10*1E5/(DATOS!$C$29*AE10*BS10^2*DATOS!$C$21))))*DATOS!$C$21*AE10*BS10/DATOS!$C$14)))))))</f>
        <v>0.714313186405555</v>
      </c>
      <c r="BU10" s="64">
        <f>IF(U10&lt;&gt;"SÍ","",IF(AND(BT10&gt;=0,IF(MAX(DATOS!$C$71,CEILING(BT10/INDEX(TABLAS!$D$52:$D$58,MIN(MATCH(DATOS!$C$69,TABLAS!$B$52:$B$58,0)+0,7)),1))*INDEX(TABLAS!$D$52:$D$58,MIN(MATCH(DATOS!$C$69,TABLAS!$B$52:$B$58,0)+0,7))&gt;=4/3*IF(BG10&lt;=0,0,IF((1-2*BG10*1E5/(DATOS!$C$29*AE10*BS10^2*DATOS!$C$21))&lt;0,-1,IF((1-SQRT((1-2*BG10*1E5/(DATOS!$C$29*AE10*BS10^2*DATOS!$C$21))))*DATOS!$C$21*AE10*BS10/DATOS!$C$14&gt;DATOS!$C$99*AE10*BS10,-1,(1-SQRT((1-2*BG10*1E5/(DATOS!$C$29*AE10*BS10^2*DATOS!$C$21))))*DATOS!$C$21*AE10*BS10/DATOS!$C$14)))-0.0001,MAX(DATOS!$C$71,CEILING(BT10/INDEX(TABLAS!$D$52:$D$58,MIN(MATCH(DATOS!$C$69,TABLAS!$B$52:$B$58,0)+0,7)),1)),MAX(MAX(DATOS!$C$71,CEILING(BT10/INDEX(TABLAS!$D$52:$D$58,MIN(MATCH(DATOS!$C$69,TABLAS!$B$52:$B$58,0)+0,7)),1)),2))&lt;=MIN(DATOS!$C$70,INT(((AC10-2*AK10)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10&gt;=0,IF(MAX(DATOS!$C$71,CEILING(BT10/INDEX(TABLAS!$D$52:$D$58,MIN(MATCH(DATOS!$C$69,TABLAS!$B$52:$B$58,0)+1,7)),1))*INDEX(TABLAS!$D$52:$D$58,MIN(MATCH(DATOS!$C$69,TABLAS!$B$52:$B$58,0)+1,7))&gt;=4/3*IF(BG10&lt;=0,0,IF((1-2*BG10*1E5/(DATOS!$C$29*AE10*BS10^2*DATOS!$C$21))&lt;0,-1,IF((1-SQRT((1-2*BG10*1E5/(DATOS!$C$29*AE10*BS10^2*DATOS!$C$21))))*DATOS!$C$21*AE10*BS10/DATOS!$C$14&gt;DATOS!$C$99*AE10*BS10,-1,(1-SQRT((1-2*BG10*1E5/(DATOS!$C$29*AE10*BS10^2*DATOS!$C$21))))*DATOS!$C$21*AE10*BS10/DATOS!$C$14)))-0.0001,MAX(DATOS!$C$71,CEILING(BT10/INDEX(TABLAS!$D$52:$D$58,MIN(MATCH(DATOS!$C$69,TABLAS!$B$52:$B$58,0)+1,7)),1)),MAX(MAX(DATOS!$C$71,CEILING(BT10/INDEX(TABLAS!$D$52:$D$58,MIN(MATCH(DATOS!$C$69,TABLAS!$B$52:$B$58,0)+1,7)),1)),2))&lt;=MIN(DATOS!$C$70,INT(((AC10-2*AK10)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10&gt;=0,IF(MAX(DATOS!$C$71,CEILING(BT10/INDEX(TABLAS!$D$52:$D$58,MIN(MATCH(DATOS!$C$69,TABLAS!$B$52:$B$58,0)+2,7)),1))*INDEX(TABLAS!$D$52:$D$58,MIN(MATCH(DATOS!$C$69,TABLAS!$B$52:$B$58,0)+2,7))&gt;=4/3*IF(BG10&lt;=0,0,IF((1-2*BG10*1E5/(DATOS!$C$29*AE10*BS10^2*DATOS!$C$21))&lt;0,-1,IF((1-SQRT((1-2*BG10*1E5/(DATOS!$C$29*AE10*BS10^2*DATOS!$C$21))))*DATOS!$C$21*AE10*BS10/DATOS!$C$14&gt;DATOS!$C$99*AE10*BS10,-1,(1-SQRT((1-2*BG10*1E5/(DATOS!$C$29*AE10*BS10^2*DATOS!$C$21))))*DATOS!$C$21*AE10*BS10/DATOS!$C$14)))-0.0001,MAX(DATOS!$C$71,CEILING(BT10/INDEX(TABLAS!$D$52:$D$58,MIN(MATCH(DATOS!$C$69,TABLAS!$B$52:$B$58,0)+2,7)),1)),MAX(MAX(DATOS!$C$71,CEILING(BT10/INDEX(TABLAS!$D$52:$D$58,MIN(MATCH(DATOS!$C$69,TABLAS!$B$52:$B$58,0)+2,7)),1)),2))&lt;=MIN(DATOS!$C$70,INT(((AC10-2*AK10)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10&gt;=0,IF(MAX(DATOS!$C$71,CEILING(BT10/INDEX(TABLAS!$D$52:$D$58,MIN(MATCH(DATOS!$C$69,TABLAS!$B$52:$B$58,0)+3,7)),1))*INDEX(TABLAS!$D$52:$D$58,MIN(MATCH(DATOS!$C$69,TABLAS!$B$52:$B$58,0)+3,7))&gt;=4/3*IF(BG10&lt;=0,0,IF((1-2*BG10*1E5/(DATOS!$C$29*AE10*BS10^2*DATOS!$C$21))&lt;0,-1,IF((1-SQRT((1-2*BG10*1E5/(DATOS!$C$29*AE10*BS10^2*DATOS!$C$21))))*DATOS!$C$21*AE10*BS10/DATOS!$C$14&gt;DATOS!$C$99*AE10*BS10,-1,(1-SQRT((1-2*BG10*1E5/(DATOS!$C$29*AE10*BS10^2*DATOS!$C$21))))*DATOS!$C$21*AE10*BS10/DATOS!$C$14)))-0.0001,MAX(DATOS!$C$71,CEILING(BT10/INDEX(TABLAS!$D$52:$D$58,MIN(MATCH(DATOS!$C$69,TABLAS!$B$52:$B$58,0)+3,7)),1)),MAX(MAX(DATOS!$C$71,CEILING(BT10/INDEX(TABLAS!$D$52:$D$58,MIN(MATCH(DATOS!$C$69,TABLAS!$B$52:$B$58,0)+3,7)),1)),2))&lt;=MIN(DATOS!$C$70,INT(((AC10-2*AK10)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10&gt;=0,IF(MAX(DATOS!$C$71,CEILING(BT10/INDEX(TABLAS!$D$52:$D$58,MIN(MATCH(DATOS!$C$69,TABLAS!$B$52:$B$58,0)+4,7)),1))*INDEX(TABLAS!$D$52:$D$58,MIN(MATCH(DATOS!$C$69,TABLAS!$B$52:$B$58,0)+4,7))&gt;=4/3*IF(BG10&lt;=0,0,IF((1-2*BG10*1E5/(DATOS!$C$29*AE10*BS10^2*DATOS!$C$21))&lt;0,-1,IF((1-SQRT((1-2*BG10*1E5/(DATOS!$C$29*AE10*BS10^2*DATOS!$C$21))))*DATOS!$C$21*AE10*BS10/DATOS!$C$14&gt;DATOS!$C$99*AE10*BS10,-1,(1-SQRT((1-2*BG10*1E5/(DATOS!$C$29*AE10*BS10^2*DATOS!$C$21))))*DATOS!$C$21*AE10*BS10/DATOS!$C$14)))-0.0001,MAX(DATOS!$C$71,CEILING(BT10/INDEX(TABLAS!$D$52:$D$58,MIN(MATCH(DATOS!$C$69,TABLAS!$B$52:$B$58,0)+4,7)),1)),MAX(MAX(DATOS!$C$71,CEILING(BT10/INDEX(TABLAS!$D$52:$D$58,MIN(MATCH(DATOS!$C$69,TABLAS!$B$52:$B$58,0)+4,7)),1)),2))&lt;=MIN(DATOS!$C$70,INT(((AC10-2*AK10)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>4</v>
      </c>
      <c r="BV10" s="59">
        <f>IF(U10&lt;&gt;"SÍ","",IF(BT10&lt;0,0,IF(MAX(DATOS!$C$71,CEILING(MAX(BT10,0)/INDEX(TABLAS!$D$52:$D$58,MATCH(BU10,TABLAS!$B$52:$B$58,0)),1))*INDEX(TABLAS!$D$52:$D$58,MATCH(BU10,TABLAS!$B$52:$B$58,0))&gt;=4/3*IF(BG10&lt;=0,0,IF((1-2*BG10*1E5/(DATOS!$C$29*AE10*BS10^2*DATOS!$C$21))&lt;0,-1,IF((1-SQRT((1-2*BG10*1E5/(DATOS!$C$29*AE10*BS10^2*DATOS!$C$21))))*DATOS!$C$21*AE10*BS10/DATOS!$C$14&gt;DATOS!$C$99*AE10*BS10,-1,(1-SQRT((1-2*BG10*1E5/(DATOS!$C$29*AE10*BS10^2*DATOS!$C$21))))*DATOS!$C$21*AE10*BS10/DATOS!$C$14)))-0.0001,MAX(DATOS!$C$71,CEILING(MAX(BT10,0)/INDEX(TABLAS!$D$52:$D$58,MATCH(BU10,TABLAS!$B$52:$B$58,0)),1)),MAX(MAX(DATOS!$C$71,CEILING(MAX(BT10,0)/INDEX(TABLAS!$D$52:$D$58,MATCH(BU10,TABLAS!$B$52:$B$58,0)),1)),2))))</f>
        <v>1</v>
      </c>
      <c r="BW10" s="58">
        <f>IF(U10&lt;&gt;"SÍ","",((DATOS!$C$82-AL10-2*DATOS!$C$94-INDEX(TABLAS!$C$52:$C$58,MATCH(BU10,TABLAS!$B$52:$B$58,0))/2)-IF(AND((DATOS!$C$82-AL10-2*DATOS!$C$94-INDEX(TABLAS!$C$52:$C$58,MATCH(BU10,TABLAS!$B$52:$B$58,0))/2)&lt;=20,DATOS!$C$62&lt;&gt;"SÍ"),2,0)))</f>
        <v>20.793</v>
      </c>
      <c r="BX10" s="56">
        <f>IF(U10&lt;&gt;"SÍ","",IF(BV10=0,0,DATOS!$C$29*BV10*INDEX(TABLAS!$D$52:$D$58,MATCH(BU10,TABLAS!$B$52:$B$58,0))*DATOS!$C$14*(BW10-BV10*INDEX(TABLAS!$D$52:$D$58,MATCH(BU10,TABLAS!$B$52:$B$58,0))*DATOS!$C$14/(DATOS!$C$21*AE10)/2)/1E5))</f>
        <v>0.937938404117647</v>
      </c>
      <c r="BY10" s="65">
        <f>IF(U10&lt;&gt;"SÍ","",IF(BT10&lt;0,9.99,IF(BX10&gt;0,BG10/BX10,0)))</f>
        <v>0.578260043975287</v>
      </c>
      <c r="BZ10" s="66">
        <f>IF(U10&lt;&gt;"SÍ","",IF(BV10=0,"—",0.003*(BW10-(BV10*INDEX(TABLAS!$D$52:$D$58,MATCH(BU10,TABLAS!$B$52:$B$58,0))*DATOS!$C$14/(DATOS!$C$21*AE10)/DATOS!$C$22))/(BV10*INDEX(TABLAS!$D$52:$D$58,MATCH(BU10,TABLAS!$B$52:$B$58,0))*DATOS!$C$14/(DATOS!$C$21*AE10)/DATOS!$C$22)))</f>
        <v>0.0181233724690664</v>
      </c>
      <c r="CA10" s="58">
        <f>IF(U10&lt;&gt;"SÍ","",(DATOS!$C$82-AJ10-INDEX(TABLAS!$C$52:$C$58,MATCH(DATOS!$C$68,TABLAS!$B$52:$B$58,0))-INDEX(TABLAS!$C$52:$C$58,MATCH(DATOS!$C$68,TABLAS!$B$52:$B$58,0))/2))</f>
        <v>21.095</v>
      </c>
      <c r="CB10" s="58">
        <f>IF(U10&lt;&gt;"SÍ","",IF(IF(BH10&lt;=0,0,IF((1-2*BH10*1E5/(DATOS!$C$29*AH10*CA10^2*DATOS!$C$21))&lt;0,-1,IF((1-SQRT((1-2*BH10*1E5/(DATOS!$C$29*AH10*CA10^2*DATOS!$C$21))))*DATOS!$C$21*AH10*CA10/DATOS!$C$14&gt;DATOS!$C$99*AH10*CA10,-1,(1-SQRT((1-2*BH10*1E5/(DATOS!$C$29*AH10*CA10^2*DATOS!$C$21))))*DATOS!$C$21*AH10*CA10/DATOS!$C$14)))&lt;0,-1,MAX(IF(BH10&lt;=0,0,IF((1-2*BH10*1E5/(DATOS!$C$29*AH10*CA10^2*DATOS!$C$21))&lt;0,-1,IF((1-SQRT((1-2*BH10*1E5/(DATOS!$C$29*AH10*CA10^2*DATOS!$C$21))))*DATOS!$C$21*AH10*CA10/DATOS!$C$14&gt;DATOS!$C$99*AH10*CA10,-1,(1-SQRT((1-2*BH10*1E5/(DATOS!$C$29*AH10*CA10^2*DATOS!$C$21))))*DATOS!$C$21*AH10*CA10/DATOS!$C$14))),MIN(DATOS!$C$100*DATOS!$C$80*CA10,4/3*IF(BH10&lt;=0,0,IF((1-2*BH10*1E5/(DATOS!$C$29*AH10*CA10^2*DATOS!$C$21))&lt;0,-1,IF((1-SQRT((1-2*BH10*1E5/(DATOS!$C$29*AH10*CA10^2*DATOS!$C$21))))*DATOS!$C$21*AH10*CA10/DATOS!$C$14&gt;DATOS!$C$99*AH10*CA10,-1,(1-SQRT((1-2*BH10*1E5/(DATOS!$C$29*AH10*CA10^2*DATOS!$C$21))))*DATOS!$C$21*AH10*CA10/DATOS!$C$14)))))))</f>
        <v>0.44186298130692</v>
      </c>
      <c r="CC10" s="64">
        <f>IF(U10&lt;&gt;"SÍ","",IF(AND(CB10&gt;=0,IF(MAX(DATOS!$C$71,CEILING(CB10/INDEX(TABLAS!$D$52:$D$58,MIN(MATCH(DATOS!$C$68,TABLAS!$B$52:$B$58,0)+0,7)),1))*INDEX(TABLAS!$D$52:$D$58,MIN(MATCH(DATOS!$C$68,TABLAS!$B$52:$B$58,0)+0,7))&gt;=4/3*IF(BH10&lt;=0,0,IF((1-2*BH10*1E5/(DATOS!$C$29*AH10*CA10^2*DATOS!$C$21))&lt;0,-1,IF((1-SQRT((1-2*BH10*1E5/(DATOS!$C$29*AH10*CA10^2*DATOS!$C$21))))*DATOS!$C$21*AH10*CA10/DATOS!$C$14&gt;DATOS!$C$99*AH10*CA10,-1,(1-SQRT((1-2*BH10*1E5/(DATOS!$C$29*AH10*CA10^2*DATOS!$C$21))))*DATOS!$C$21*AH10*CA10/DATOS!$C$14)))-0.0001,MAX(DATOS!$C$71,CEILING(CB10/INDEX(TABLAS!$D$52:$D$58,MIN(MATCH(DATOS!$C$68,TABLAS!$B$52:$B$58,0)+0,7)),1)),MAX(MAX(DATOS!$C$71,CEILING(CB10/INDEX(TABLAS!$D$52:$D$58,MIN(MATCH(DATOS!$C$68,TABLAS!$B$52:$B$58,0)+0,7)),1)),2))&lt;=MIN(DATOS!$C$70,INT(((DATOS!$C$80-2*AJ10)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10&gt;=0,IF(MAX(DATOS!$C$71,CEILING(CB10/INDEX(TABLAS!$D$52:$D$58,MIN(MATCH(DATOS!$C$68,TABLAS!$B$52:$B$58,0)+1,7)),1))*INDEX(TABLAS!$D$52:$D$58,MIN(MATCH(DATOS!$C$68,TABLAS!$B$52:$B$58,0)+1,7))&gt;=4/3*IF(BH10&lt;=0,0,IF((1-2*BH10*1E5/(DATOS!$C$29*AH10*CA10^2*DATOS!$C$21))&lt;0,-1,IF((1-SQRT((1-2*BH10*1E5/(DATOS!$C$29*AH10*CA10^2*DATOS!$C$21))))*DATOS!$C$21*AH10*CA10/DATOS!$C$14&gt;DATOS!$C$99*AH10*CA10,-1,(1-SQRT((1-2*BH10*1E5/(DATOS!$C$29*AH10*CA10^2*DATOS!$C$21))))*DATOS!$C$21*AH10*CA10/DATOS!$C$14)))-0.0001,MAX(DATOS!$C$71,CEILING(CB10/INDEX(TABLAS!$D$52:$D$58,MIN(MATCH(DATOS!$C$68,TABLAS!$B$52:$B$58,0)+1,7)),1)),MAX(MAX(DATOS!$C$71,CEILING(CB10/INDEX(TABLAS!$D$52:$D$58,MIN(MATCH(DATOS!$C$68,TABLAS!$B$52:$B$58,0)+1,7)),1)),2))&lt;=MIN(DATOS!$C$70,INT(((DATOS!$C$80-2*AJ10)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10&gt;=0,IF(MAX(DATOS!$C$71,CEILING(CB10/INDEX(TABLAS!$D$52:$D$58,MIN(MATCH(DATOS!$C$68,TABLAS!$B$52:$B$58,0)+2,7)),1))*INDEX(TABLAS!$D$52:$D$58,MIN(MATCH(DATOS!$C$68,TABLAS!$B$52:$B$58,0)+2,7))&gt;=4/3*IF(BH10&lt;=0,0,IF((1-2*BH10*1E5/(DATOS!$C$29*AH10*CA10^2*DATOS!$C$21))&lt;0,-1,IF((1-SQRT((1-2*BH10*1E5/(DATOS!$C$29*AH10*CA10^2*DATOS!$C$21))))*DATOS!$C$21*AH10*CA10/DATOS!$C$14&gt;DATOS!$C$99*AH10*CA10,-1,(1-SQRT((1-2*BH10*1E5/(DATOS!$C$29*AH10*CA10^2*DATOS!$C$21))))*DATOS!$C$21*AH10*CA10/DATOS!$C$14)))-0.0001,MAX(DATOS!$C$71,CEILING(CB10/INDEX(TABLAS!$D$52:$D$58,MIN(MATCH(DATOS!$C$68,TABLAS!$B$52:$B$58,0)+2,7)),1)),MAX(MAX(DATOS!$C$71,CEILING(CB10/INDEX(TABLAS!$D$52:$D$58,MIN(MATCH(DATOS!$C$68,TABLAS!$B$52:$B$58,0)+2,7)),1)),2))&lt;=MIN(DATOS!$C$70,INT(((DATOS!$C$80-2*AJ10)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10&gt;=0,IF(MAX(DATOS!$C$71,CEILING(CB10/INDEX(TABLAS!$D$52:$D$58,MIN(MATCH(DATOS!$C$68,TABLAS!$B$52:$B$58,0)+3,7)),1))*INDEX(TABLAS!$D$52:$D$58,MIN(MATCH(DATOS!$C$68,TABLAS!$B$52:$B$58,0)+3,7))&gt;=4/3*IF(BH10&lt;=0,0,IF((1-2*BH10*1E5/(DATOS!$C$29*AH10*CA10^2*DATOS!$C$21))&lt;0,-1,IF((1-SQRT((1-2*BH10*1E5/(DATOS!$C$29*AH10*CA10^2*DATOS!$C$21))))*DATOS!$C$21*AH10*CA10/DATOS!$C$14&gt;DATOS!$C$99*AH10*CA10,-1,(1-SQRT((1-2*BH10*1E5/(DATOS!$C$29*AH10*CA10^2*DATOS!$C$21))))*DATOS!$C$21*AH10*CA10/DATOS!$C$14)))-0.0001,MAX(DATOS!$C$71,CEILING(CB10/INDEX(TABLAS!$D$52:$D$58,MIN(MATCH(DATOS!$C$68,TABLAS!$B$52:$B$58,0)+3,7)),1)),MAX(MAX(DATOS!$C$71,CEILING(CB10/INDEX(TABLAS!$D$52:$D$58,MIN(MATCH(DATOS!$C$68,TABLAS!$B$52:$B$58,0)+3,7)),1)),2))&lt;=MIN(DATOS!$C$70,INT(((DATOS!$C$80-2*AJ10)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10&gt;=0,IF(MAX(DATOS!$C$71,CEILING(CB10/INDEX(TABLAS!$D$52:$D$58,MIN(MATCH(DATOS!$C$68,TABLAS!$B$52:$B$58,0)+4,7)),1))*INDEX(TABLAS!$D$52:$D$58,MIN(MATCH(DATOS!$C$68,TABLAS!$B$52:$B$58,0)+4,7))&gt;=4/3*IF(BH10&lt;=0,0,IF((1-2*BH10*1E5/(DATOS!$C$29*AH10*CA10^2*DATOS!$C$21))&lt;0,-1,IF((1-SQRT((1-2*BH10*1E5/(DATOS!$C$29*AH10*CA10^2*DATOS!$C$21))))*DATOS!$C$21*AH10*CA10/DATOS!$C$14&gt;DATOS!$C$99*AH10*CA10,-1,(1-SQRT((1-2*BH10*1E5/(DATOS!$C$29*AH10*CA10^2*DATOS!$C$21))))*DATOS!$C$21*AH10*CA10/DATOS!$C$14)))-0.0001,MAX(DATOS!$C$71,CEILING(CB10/INDEX(TABLAS!$D$52:$D$58,MIN(MATCH(DATOS!$C$68,TABLAS!$B$52:$B$58,0)+4,7)),1)),MAX(MAX(DATOS!$C$71,CEILING(CB10/INDEX(TABLAS!$D$52:$D$58,MIN(MATCH(DATOS!$C$68,TABLAS!$B$52:$B$58,0)+4,7)),1)),2))&lt;=MIN(DATOS!$C$70,INT(((DATOS!$C$80-2*AJ10)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>4</v>
      </c>
      <c r="CD10" s="59">
        <f>IF(U10&lt;&gt;"SÍ","",IF(CB10&lt;0,0,IF(MAX(DATOS!$C$71,CEILING(MAX(CB10,0)/INDEX(TABLAS!$D$52:$D$58,MATCH(CC10,TABLAS!$B$52:$B$58,0)),1))*INDEX(TABLAS!$D$52:$D$58,MATCH(CC10,TABLAS!$B$52:$B$58,0))&gt;=4/3*IF(BH10&lt;=0,0,IF((1-2*BH10*1E5/(DATOS!$C$29*AH10*CA10^2*DATOS!$C$21))&lt;0,-1,IF((1-SQRT((1-2*BH10*1E5/(DATOS!$C$29*AH10*CA10^2*DATOS!$C$21))))*DATOS!$C$21*AH10*CA10/DATOS!$C$14&gt;DATOS!$C$99*AH10*CA10,-1,(1-SQRT((1-2*BH10*1E5/(DATOS!$C$29*AH10*CA10^2*DATOS!$C$21))))*DATOS!$C$21*AH10*CA10/DATOS!$C$14)))-0.0001,MAX(DATOS!$C$71,CEILING(MAX(CB10,0)/INDEX(TABLAS!$D$52:$D$58,MATCH(CC10,TABLAS!$B$52:$B$58,0)),1)),MAX(MAX(DATOS!$C$71,CEILING(MAX(CB10,0)/INDEX(TABLAS!$D$52:$D$58,MATCH(CC10,TABLAS!$B$52:$B$58,0)),1)),2))))</f>
        <v>1</v>
      </c>
      <c r="CE10" s="58">
        <f>IF(U10&lt;&gt;"SÍ","",DATOS!$C$82-AJ10-INDEX(TABLAS!$C$52:$C$58,MATCH(BM10,TABLAS!$B$52:$B$58,0))-INDEX(TABLAS!$C$52:$C$58,MATCH(CC10,TABLAS!$B$52:$B$58,0))/2)</f>
        <v>21.095</v>
      </c>
      <c r="CF10" s="56">
        <f>IF(U10&lt;&gt;"SÍ","",IF(CD10=0,0,DATOS!$C$29*CD10*INDEX(TABLAS!$D$52:$D$58,MATCH(CC10,TABLAS!$B$52:$B$58,0))*DATOS!$C$14*(CE10-CD10*INDEX(TABLAS!$D$52:$D$58,MATCH(CC10,TABLAS!$B$52:$B$58,0))*DATOS!$C$14/(DATOS!$C$21*AH10)/2)/1E5))</f>
        <v>1.00407937658824</v>
      </c>
      <c r="CG10" s="65">
        <f>IF(U10&lt;&gt;"SÍ","",IF(CB10&lt;0,9.99,IF(CF10&gt;0,BH10/CF10,0)))</f>
        <v>0.26259587271114</v>
      </c>
      <c r="CH10" s="66">
        <f>IF(U10&lt;&gt;"SÍ","",IF(CD10=0,"—",0.003*(CE10-(CD10*INDEX(TABLAS!$D$52:$D$58,MATCH(CC10,TABLAS!$B$52:$B$58,0))*DATOS!$C$14/(DATOS!$C$21*AH10)/DATOS!$C$22))/(CD10*INDEX(TABLAS!$D$52:$D$58,MATCH(CC10,TABLAS!$B$52:$B$58,0))*DATOS!$C$14/(DATOS!$C$21*AH10)/DATOS!$C$22)))</f>
        <v>0.147011195866142</v>
      </c>
      <c r="CI10" s="58">
        <f>IF(U10&lt;&gt;"SÍ","",((DATOS!$C$82-AL10-2*DATOS!$C$94-INDEX(TABLAS!$C$52:$C$58,MATCH(DATOS!$C$69,TABLAS!$B$52:$B$58,0))-INDEX(TABLAS!$C$52:$C$58,MATCH(DATOS!$C$69,TABLAS!$B$52:$B$58,0))/2)-IF(AND((DATOS!$C$82-AL10-2*DATOS!$C$94-INDEX(TABLAS!$C$52:$C$58,MATCH(DATOS!$C$69,TABLAS!$B$52:$B$58,0))-INDEX(TABLAS!$C$52:$C$58,MATCH(DATOS!$C$69,TABLAS!$B$52:$B$58,0))/2)&lt;=20,DATOS!$C$62&lt;&gt;"SÍ"),2,0)))</f>
        <v>19.523</v>
      </c>
      <c r="CJ10" s="58">
        <f>IF(U10&lt;&gt;"SÍ","",IF(IF(BI10&lt;=0,0,IF((1-2*BI10*1E5/(DATOS!$C$29*AF10*CI10^2*DATOS!$C$21))&lt;0,-1,IF((1-SQRT((1-2*BI10*1E5/(DATOS!$C$29*AF10*CI10^2*DATOS!$C$21))))*DATOS!$C$21*AF10*CI10/DATOS!$C$14&gt;DATOS!$C$99*AF10*CI10,-1,(1-SQRT((1-2*BI10*1E5/(DATOS!$C$29*AF10*CI10^2*DATOS!$C$21))))*DATOS!$C$21*AF10*CI10/DATOS!$C$14)))&lt;0,-1,MAX(IF(BI10&lt;=0,0,IF((1-2*BI10*1E5/(DATOS!$C$29*AF10*CI10^2*DATOS!$C$21))&lt;0,-1,IF((1-SQRT((1-2*BI10*1E5/(DATOS!$C$29*AF10*CI10^2*DATOS!$C$21))))*DATOS!$C$21*AF10*CI10/DATOS!$C$14&gt;DATOS!$C$99*AF10*CI10,-1,(1-SQRT((1-2*BI10*1E5/(DATOS!$C$29*AF10*CI10^2*DATOS!$C$21))))*DATOS!$C$21*AF10*CI10/DATOS!$C$14))),MIN(DATOS!$C$100*DATOS!$C$80*CI10,4/3*IF(BI10&lt;=0,0,IF((1-2*BI10*1E5/(DATOS!$C$29*AF10*CI10^2*DATOS!$C$21))&lt;0,-1,IF((1-SQRT((1-2*BI10*1E5/(DATOS!$C$29*AF10*CI10^2*DATOS!$C$21))))*DATOS!$C$21*AF10*CI10/DATOS!$C$14&gt;DATOS!$C$99*AF10*CI10,-1,(1-SQRT((1-2*BI10*1E5/(DATOS!$C$29*AF10*CI10^2*DATOS!$C$21))))*DATOS!$C$21*AF10*CI10/DATOS!$C$14)))))))</f>
        <v>0.650766666666667</v>
      </c>
      <c r="CK10" s="64">
        <f>IF(U10&lt;&gt;"SÍ","",IF(AND(CJ10&gt;=0,IF(MAX(DATOS!$C$71,CEILING(CJ10/INDEX(TABLAS!$D$52:$D$58,MIN(MATCH(DATOS!$C$69,TABLAS!$B$52:$B$58,0)+0,7)),1))*INDEX(TABLAS!$D$52:$D$58,MIN(MATCH(DATOS!$C$69,TABLAS!$B$52:$B$58,0)+0,7))&gt;=4/3*IF(BI10&lt;=0,0,IF((1-2*BI10*1E5/(DATOS!$C$29*AF10*CI10^2*DATOS!$C$21))&lt;0,-1,IF((1-SQRT((1-2*BI10*1E5/(DATOS!$C$29*AF10*CI10^2*DATOS!$C$21))))*DATOS!$C$21*AF10*CI10/DATOS!$C$14&gt;DATOS!$C$99*AF10*CI10,-1,(1-SQRT((1-2*BI10*1E5/(DATOS!$C$29*AF10*CI10^2*DATOS!$C$21))))*DATOS!$C$21*AF10*CI10/DATOS!$C$14)))-0.0001,MAX(DATOS!$C$71,CEILING(CJ10/INDEX(TABLAS!$D$52:$D$58,MIN(MATCH(DATOS!$C$69,TABLAS!$B$52:$B$58,0)+0,7)),1)),MAX(MAX(DATOS!$C$71,CEILING(CJ10/INDEX(TABLAS!$D$52:$D$58,MIN(MATCH(DATOS!$C$69,TABLAS!$B$52:$B$58,0)+0,7)),1)),2))&lt;=MIN(DATOS!$C$70,INT(((DATOS!$C$80-2*AK10)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10&gt;=0,IF(MAX(DATOS!$C$71,CEILING(CJ10/INDEX(TABLAS!$D$52:$D$58,MIN(MATCH(DATOS!$C$69,TABLAS!$B$52:$B$58,0)+1,7)),1))*INDEX(TABLAS!$D$52:$D$58,MIN(MATCH(DATOS!$C$69,TABLAS!$B$52:$B$58,0)+1,7))&gt;=4/3*IF(BI10&lt;=0,0,IF((1-2*BI10*1E5/(DATOS!$C$29*AF10*CI10^2*DATOS!$C$21))&lt;0,-1,IF((1-SQRT((1-2*BI10*1E5/(DATOS!$C$29*AF10*CI10^2*DATOS!$C$21))))*DATOS!$C$21*AF10*CI10/DATOS!$C$14&gt;DATOS!$C$99*AF10*CI10,-1,(1-SQRT((1-2*BI10*1E5/(DATOS!$C$29*AF10*CI10^2*DATOS!$C$21))))*DATOS!$C$21*AF10*CI10/DATOS!$C$14)))-0.0001,MAX(DATOS!$C$71,CEILING(CJ10/INDEX(TABLAS!$D$52:$D$58,MIN(MATCH(DATOS!$C$69,TABLAS!$B$52:$B$58,0)+1,7)),1)),MAX(MAX(DATOS!$C$71,CEILING(CJ10/INDEX(TABLAS!$D$52:$D$58,MIN(MATCH(DATOS!$C$69,TABLAS!$B$52:$B$58,0)+1,7)),1)),2))&lt;=MIN(DATOS!$C$70,INT(((DATOS!$C$80-2*AK10)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10&gt;=0,IF(MAX(DATOS!$C$71,CEILING(CJ10/INDEX(TABLAS!$D$52:$D$58,MIN(MATCH(DATOS!$C$69,TABLAS!$B$52:$B$58,0)+2,7)),1))*INDEX(TABLAS!$D$52:$D$58,MIN(MATCH(DATOS!$C$69,TABLAS!$B$52:$B$58,0)+2,7))&gt;=4/3*IF(BI10&lt;=0,0,IF((1-2*BI10*1E5/(DATOS!$C$29*AF10*CI10^2*DATOS!$C$21))&lt;0,-1,IF((1-SQRT((1-2*BI10*1E5/(DATOS!$C$29*AF10*CI10^2*DATOS!$C$21))))*DATOS!$C$21*AF10*CI10/DATOS!$C$14&gt;DATOS!$C$99*AF10*CI10,-1,(1-SQRT((1-2*BI10*1E5/(DATOS!$C$29*AF10*CI10^2*DATOS!$C$21))))*DATOS!$C$21*AF10*CI10/DATOS!$C$14)))-0.0001,MAX(DATOS!$C$71,CEILING(CJ10/INDEX(TABLAS!$D$52:$D$58,MIN(MATCH(DATOS!$C$69,TABLAS!$B$52:$B$58,0)+2,7)),1)),MAX(MAX(DATOS!$C$71,CEILING(CJ10/INDEX(TABLAS!$D$52:$D$58,MIN(MATCH(DATOS!$C$69,TABLAS!$B$52:$B$58,0)+2,7)),1)),2))&lt;=MIN(DATOS!$C$70,INT(((DATOS!$C$80-2*AK10)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10&gt;=0,IF(MAX(DATOS!$C$71,CEILING(CJ10/INDEX(TABLAS!$D$52:$D$58,MIN(MATCH(DATOS!$C$69,TABLAS!$B$52:$B$58,0)+3,7)),1))*INDEX(TABLAS!$D$52:$D$58,MIN(MATCH(DATOS!$C$69,TABLAS!$B$52:$B$58,0)+3,7))&gt;=4/3*IF(BI10&lt;=0,0,IF((1-2*BI10*1E5/(DATOS!$C$29*AF10*CI10^2*DATOS!$C$21))&lt;0,-1,IF((1-SQRT((1-2*BI10*1E5/(DATOS!$C$29*AF10*CI10^2*DATOS!$C$21))))*DATOS!$C$21*AF10*CI10/DATOS!$C$14&gt;DATOS!$C$99*AF10*CI10,-1,(1-SQRT((1-2*BI10*1E5/(DATOS!$C$29*AF10*CI10^2*DATOS!$C$21))))*DATOS!$C$21*AF10*CI10/DATOS!$C$14)))-0.0001,MAX(DATOS!$C$71,CEILING(CJ10/INDEX(TABLAS!$D$52:$D$58,MIN(MATCH(DATOS!$C$69,TABLAS!$B$52:$B$58,0)+3,7)),1)),MAX(MAX(DATOS!$C$71,CEILING(CJ10/INDEX(TABLAS!$D$52:$D$58,MIN(MATCH(DATOS!$C$69,TABLAS!$B$52:$B$58,0)+3,7)),1)),2))&lt;=MIN(DATOS!$C$70,INT(((DATOS!$C$80-2*AK10)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10&gt;=0,IF(MAX(DATOS!$C$71,CEILING(CJ10/INDEX(TABLAS!$D$52:$D$58,MIN(MATCH(DATOS!$C$69,TABLAS!$B$52:$B$58,0)+4,7)),1))*INDEX(TABLAS!$D$52:$D$58,MIN(MATCH(DATOS!$C$69,TABLAS!$B$52:$B$58,0)+4,7))&gt;=4/3*IF(BI10&lt;=0,0,IF((1-2*BI10*1E5/(DATOS!$C$29*AF10*CI10^2*DATOS!$C$21))&lt;0,-1,IF((1-SQRT((1-2*BI10*1E5/(DATOS!$C$29*AF10*CI10^2*DATOS!$C$21))))*DATOS!$C$21*AF10*CI10/DATOS!$C$14&gt;DATOS!$C$99*AF10*CI10,-1,(1-SQRT((1-2*BI10*1E5/(DATOS!$C$29*AF10*CI10^2*DATOS!$C$21))))*DATOS!$C$21*AF10*CI10/DATOS!$C$14)))-0.0001,MAX(DATOS!$C$71,CEILING(CJ10/INDEX(TABLAS!$D$52:$D$58,MIN(MATCH(DATOS!$C$69,TABLAS!$B$52:$B$58,0)+4,7)),1)),MAX(MAX(DATOS!$C$71,CEILING(CJ10/INDEX(TABLAS!$D$52:$D$58,MIN(MATCH(DATOS!$C$69,TABLAS!$B$52:$B$58,0)+4,7)),1)),2))&lt;=MIN(DATOS!$C$70,INT(((DATOS!$C$80-2*AK10)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>4</v>
      </c>
      <c r="CL10" s="59">
        <f>IF(U10&lt;&gt;"SÍ","",IF(CJ10&lt;0,0,IF(MAX(DATOS!$C$71,CEILING(MAX(CJ10,0)/INDEX(TABLAS!$D$52:$D$58,MATCH(CK10,TABLAS!$B$52:$B$58,0)),1))*INDEX(TABLAS!$D$52:$D$58,MATCH(CK10,TABLAS!$B$52:$B$58,0))&gt;=4/3*IF(BI10&lt;=0,0,IF((1-2*BI10*1E5/(DATOS!$C$29*AF10*CI10^2*DATOS!$C$21))&lt;0,-1,IF((1-SQRT((1-2*BI10*1E5/(DATOS!$C$29*AF10*CI10^2*DATOS!$C$21))))*DATOS!$C$21*AF10*CI10/DATOS!$C$14&gt;DATOS!$C$99*AF10*CI10,-1,(1-SQRT((1-2*BI10*1E5/(DATOS!$C$29*AF10*CI10^2*DATOS!$C$21))))*DATOS!$C$21*AF10*CI10/DATOS!$C$14)))-0.0001,MAX(DATOS!$C$71,CEILING(MAX(CJ10,0)/INDEX(TABLAS!$D$52:$D$58,MATCH(CK10,TABLAS!$B$52:$B$58,0)),1)),MAX(MAX(DATOS!$C$71,CEILING(MAX(CJ10,0)/INDEX(TABLAS!$D$52:$D$58,MATCH(CK10,TABLAS!$B$52:$B$58,0)),1)),2))))</f>
        <v>1</v>
      </c>
      <c r="CM10" s="58">
        <f>IF(U10&lt;&gt;"SÍ","",((DATOS!$C$82-AL10-2*DATOS!$C$94-INDEX(TABLAS!$C$52:$C$58,MATCH(BU10,TABLAS!$B$52:$B$58,0))-INDEX(TABLAS!$C$52:$C$58,MATCH(CK10,TABLAS!$B$52:$B$58,0))/2)-IF(AND((DATOS!$C$82-AL10-2*DATOS!$C$94-INDEX(TABLAS!$C$52:$C$58,MATCH(BU10,TABLAS!$B$52:$B$58,0))-INDEX(TABLAS!$C$52:$C$58,MATCH(CK10,TABLAS!$B$52:$B$58,0))/2)&lt;=20,DATOS!$C$62&lt;&gt;"SÍ"),2,0)))</f>
        <v>19.523</v>
      </c>
      <c r="CN10" s="56">
        <f>IF(U10&lt;&gt;"SÍ","",IF(CL10=0,0,DATOS!$C$29*CL10*INDEX(TABLAS!$D$52:$D$58,MATCH(CK10,TABLAS!$B$52:$B$58,0))*DATOS!$C$14*(CM10-CL10*INDEX(TABLAS!$D$52:$D$58,MATCH(CK10,TABLAS!$B$52:$B$58,0))*DATOS!$C$14/(DATOS!$C$21*AF10)/2)/1E5))</f>
        <v>0.876970784117647</v>
      </c>
      <c r="CO10" s="65">
        <f>IF(U10&lt;&gt;"SÍ","",IF(CJ10&lt;0,9.99,IF(CN10&gt;0,BI10/CN10,0)))</f>
        <v>0.500543320393772</v>
      </c>
      <c r="CP10" s="66">
        <f>IF(U10&lt;&gt;"SÍ","",IF(CL10=0,"—",0.003*(CM10-(CL10*INDEX(TABLAS!$D$52:$D$58,MATCH(CK10,TABLAS!$B$52:$B$58,0))*DATOS!$C$14/(DATOS!$C$21*AF10)/DATOS!$C$22))/(CL10*INDEX(TABLAS!$D$52:$D$58,MATCH(CK10,TABLAS!$B$52:$B$58,0))*DATOS!$C$14/(DATOS!$C$21*AF10)/DATOS!$C$22)))</f>
        <v>0.0168331938976378</v>
      </c>
      <c r="CQ10" s="56">
        <f>IF(U10&lt;&gt;"SÍ","",IF(C10="PERIMETRAL",MAX(0,(AA10/2-BW10)/100)*(0.95-0.5*Z10)*AQ10*IF(AND(AR10&gt;0,AR10&lt;4),DATOS!$C$33,1)*DATOS!$C$83/100/1000,(AQ10*MAX(0,AA10-BW10)/100+DATOS!$C$26*N(O10))*DATOS!$C$83/100/1000+BE10))</f>
        <v>0.614302109590835</v>
      </c>
      <c r="CR10" s="56">
        <f>IF(U10&lt;&gt;"SÍ","",DATOS!$C$30*2*MIN(1,SQRT(2/(1+0.04*BW10)))*(BV10*INDEX(TABLAS!$D$52:$D$58,MATCH(BU10,TABLAS!$B$52:$B$58,0))/(AE10*BW10))^(1/3)*SQRT(DATOS!$C$13)*AE10*BW10*IF(AI10="SÍ",DATOS!$C$32,1)/1000)</f>
        <v>0.991592632344917</v>
      </c>
      <c r="CS10" s="59">
        <f>IF(U10&lt;&gt;"SÍ","",IF(CQ10&lt;=CR10,0,CEILING(MAX(0,IF(C10="VOLADO",(AA10-((CR10-BE10)*1E5/DATOS!$C$83-DATOS!$C$26*N(O10))*100/AQ10),IF(CR10&lt;=0,AA10,AA10/2-CR10/MAX(CQ10,1E-9)*(AA10/2-BW10)))-IF(INT((X10*100-DATOS!$C$84+DATOS!$C$80)/DATOS!$C$83)&gt;0,(X10*100-DATOS!$C$84-(INT((X10*100-DATOS!$C$84+DATOS!$C$80)/DATOS!$C$83)*DATOS!$C$78+(INT((X10*100-DATOS!$C$84+DATOS!$C$80)/DATOS!$C$83)-1)*DATOS!$C$80))/2,X10*100/2))/DATOS!$C$83,1)))</f>
        <v>0</v>
      </c>
      <c r="CT10" s="67" t="str">
        <f>IF(U10&lt;&gt;"SÍ","",IF(CQ10&lt;=CR10,"CUMPLE",IF(CS10&lt;=0,"CUMPLE (basta el macizo de orilla)",IF(CS10*DATOS!$C$83*IF(C10="VOLADO",1,2)&gt;=X10*100-DATOS!$C$84,"NO CUMPLE: no alcanza ni macizando todo","MACIZAR "&amp;CS10&amp;" hilera(s)"))))</f>
        <v>CUMPLE</v>
      </c>
      <c r="CU10" s="58">
        <f>IF(U10&lt;&gt;"SÍ","",(DATOS!$C$83*DATOS!$C$81^2/2+AC10*DATOS!$C$79*(DATOS!$C$81+DATOS!$C$79/2))/(DATOS!$C$83*DATOS!$C$81+AC10*DATOS!$C$79))</f>
        <v>6.89344262295082</v>
      </c>
      <c r="CV10" s="68">
        <f>IF(U10&lt;&gt;"SÍ","",DATOS!$C$83*DATOS!$C$81^3/12+DATOS!$C$83*DATOS!$C$81*(CU10-DATOS!$C$81/2)^2+AC10*DATOS!$C$79^3/12+AC10*DATOS!$C$79*(DATOS!$C$81+DATOS!$C$79/2-CU10)^2)</f>
        <v>27416.4071038251</v>
      </c>
      <c r="CW10" s="58">
        <f>IF(U10&lt;&gt;"SÍ","",(12*CV10/DATOS!$C$83)^(1/3))</f>
        <v>16.7506339743859</v>
      </c>
      <c r="CX10" s="58">
        <f>IF(U10&lt;&gt;"SÍ","",IF(C10="PERIMETRAL",IF(ISNUMBER(R10),R10,DATOS!$C$101),0))</f>
        <v>99</v>
      </c>
      <c r="CY10" s="57">
        <f>IF(U10&lt;&gt;"SÍ","",IF(C10="PERIMETRAL",IF(CX10&gt;2,MAX(9,AB10*(0.8+DATOS!$C$14/14000)/(36+9*(AB10/MAX(AA10,1)))),IF(CX10&gt;0.2,MAX(13,AB10*(0.8+DATOS!$C$14/14000)/(36+5*(AB10/MAX(AA10,1))*(CX10-0.2))),MAX(13,AB10/IF(AR10&gt;0,30,33))))*IF(AND(CX10&gt;0.2,AR10&gt;0,DATOS!$C$102="NO"),1.1,1),X10*100/8))</f>
        <v>10.2261412662917</v>
      </c>
      <c r="CZ10" s="61" t="str">
        <f>IF(U10&lt;&gt;"SÍ","",IF(IF(C10="VOLADO",DATOS!$C$82,CW10)&gt;=CY10,"CUMPLE",IF(C10="VOLADO","NO CUMPLE","CALCULAR FLECHA")))</f>
        <v>CUMPLE</v>
      </c>
      <c r="DA10" s="55" t="str">
        <f>IF(U10&lt;&gt;"SÍ","",IF(DATOS!$C$81&gt;=IF(IF(C10="VOLADO",X10,Y10)&gt;=6,6,5),"CUMPLE","CAPA ≥ 6 cm"))</f>
        <v>CUMPLE</v>
      </c>
      <c r="DB10" s="60">
        <f>IF(U10&lt;&gt;"SÍ","",IF(C10="VOLADO",MIN(CEILING(IF(ISNUMBER(P10),P10,X10)*100,5),CEILING(MAX(IF((0.5*(0.9*DATOS!$C$87*DATOS!$C$83/100/1000)*IF(ISNUMBER(P10),P10,X10)+BG10/IF(ISNUMBER(P10),P10,X10))^2-4*(0.5*(0.9*DATOS!$C$87*DATOS!$C$83/100/1000))*BG10&lt;0,IF(ISNUMBER(P10),P10,X10),MIN(IF(ISNUMBER(P10),P10,X10),((0.5*(0.9*DATOS!$C$87*DATOS!$C$83/100/1000)*IF(ISNUMBER(P10),P10,X10)+BG10/IF(ISNUMBER(P10),P10,X10))-SQRT((0.5*(0.9*DATOS!$C$87*DATOS!$C$83/100/1000)*IF(ISNUMBER(P10),P10,X10)+BG10/IF(ISNUMBER(P10),P10,X10))^2-4*(0.5*(0.9*DATOS!$C$87*DATOS!$C$83/100/1000))*BG10))/(2*(0.5*(0.9*DATOS!$C$87*DATOS!$C$83/100/1000)))))*100+MAX(BW10,12*INDEX(TABLAS!$C$52:$C$58,MATCH(BU10,TABLAS!$B$52:$B$58,0)),IF(ISNUMBER(P10),P10,X10)*100/16),IF(OR(AK10&lt;INDEX(TABLAS!$C$52:$C$58,MATCH(BU10,TABLAS!$B$52:$B$58,0)),AND(BV10&gt;=2,(AC10-2*AK10-BV10*INDEX(TABLAS!$C$52:$C$58,MATCH(BU10,TABLAS!$B$52:$B$58,0)))/MAX(BV10-1,1)&lt;2*INDEX(TABLAS!$C$52:$C$58,MATCH(BU10,TABLAS!$B$52:$B$58,0)))),INDEX(TABLAS!$I$52:$I$58,MATCH(BU10,TABLAS!$B$52:$B$58,0)),INDEX(TABLAS!$F$52:$F$58,MATCH(BU10,TABLAS!$B$52:$B$58,0)))),5)),IF(((4*((BB10*AQ10*X10^2*1E-4*DATOS!$C$83/100/1000)+((MAX(AX10,AZ10)*AQ10*X10^2*1E-4*DATOS!$C$83/100/1000)+(IF(AND(AX10&gt;0,AZ10&gt;0),MIN(AX10,AZ10),MAX(AX10,AZ10))*AQ10*X10^2*1E-4*DATOS!$C$83/100/1000))/2)+BG10-(IF(AND(AX10&gt;0,AZ10&gt;0),MIN(AX10,AZ10),MAX(AX10,AZ10))*AQ10*X10^2*1E-4*DATOS!$C$83/100/1000))^2-16*((BB10*AQ10*X10^2*1E-4*DATOS!$C$83/100/1000)+((MAX(AX10,AZ10)*AQ10*X10^2*1E-4*DATOS!$C$83/100/1000)+(IF(AND(AX10&gt;0,AZ10&gt;0),MIN(AX10,AZ10),MAX(AX10,AZ10))*AQ10*X10^2*1E-4*DATOS!$C$83/100/1000))/2)*BG10)&lt;0,CEILING(AA10,5),CEILING(MAX(AA10*((4*((BB10*AQ10*X10^2*1E-4*DATOS!$C$83/100/1000)+((MAX(AX10,AZ10)*AQ10*X10^2*1E-4*DATOS!$C$83/100/1000)+(IF(AND(AX10&gt;0,AZ10&gt;0),MIN(AX10,AZ10),MAX(AX10,AZ10))*AQ10*X10^2*1E-4*DATOS!$C$83/100/1000))/2)+BG10-(IF(AND(AX10&gt;0,AZ10&gt;0),MIN(AX10,AZ10),MAX(AX10,AZ10))*AQ10*X10^2*1E-4*DATOS!$C$83/100/1000))-SQRT(MAX(0,((4*((BB10*AQ10*X10^2*1E-4*DATOS!$C$83/100/1000)+((MAX(AX10,AZ10)*AQ10*X10^2*1E-4*DATOS!$C$83/100/1000)+(IF(AND(AX10&gt;0,AZ10&gt;0),MIN(AX10,AZ10),MAX(AX10,AZ10))*AQ10*X10^2*1E-4*DATOS!$C$83/100/1000))/2)+BG10-(IF(AND(AX10&gt;0,AZ10&gt;0),MIN(AX10,AZ10),MAX(AX10,AZ10))*AQ10*X10^2*1E-4*DATOS!$C$83/100/1000))^2-16*((BB10*AQ10*X10^2*1E-4*DATOS!$C$83/100/1000)+((MAX(AX10,AZ10)*AQ10*X10^2*1E-4*DATOS!$C$83/100/1000)+(IF(AND(AX10&gt;0,AZ10&gt;0),MIN(AX10,AZ10),MAX(AX10,AZ10))*AQ10*X10^2*1E-4*DATOS!$C$83/100/1000))/2)*BG10))))/(8*MAX(((BB10*AQ10*X10^2*1E-4*DATOS!$C$83/100/1000)+((MAX(AX10,AZ10)*AQ10*X10^2*1E-4*DATOS!$C$83/100/1000)+(IF(AND(AX10&gt;0,AZ10&gt;0),MIN(AX10,AZ10),MAX(AX10,AZ10))*AQ10*X10^2*1E-4*DATOS!$C$83/100/1000))/2),1E-9))+MAX(BW10,12*INDEX(TABLAS!$C$52:$C$58,MATCH(BU10,TABLAS!$B$52:$B$58,0)),AA10/16),IF(OR(AK10&lt;INDEX(TABLAS!$C$52:$C$58,MATCH(BU10,TABLAS!$B$52:$B$58,0)),AND(BV10&gt;=2,(AC10-2*AK10-BV10*INDEX(TABLAS!$C$52:$C$58,MATCH(BU10,TABLAS!$B$52:$B$58,0)))/MAX(BV10-1,1)&lt;2*INDEX(TABLAS!$C$52:$C$58,MATCH(BU10,TABLAS!$B$52:$B$58,0)))),INDEX(TABLAS!$I$52:$I$58,MATCH(BU10,TABLAS!$B$52:$B$58,0)),INDEX(TABLAS!$F$52:$F$58,MATCH(BU10,TABLAS!$B$52:$B$58,0)))),5))))</f>
        <v>105</v>
      </c>
      <c r="DC10" s="60">
        <f>IF(U10&lt;&gt;"SÍ","",IF(C10="VOLADO",0,IF(((4*((BC10*AQ10*X10^2*1E-4*DATOS!$C$83/100/1000)+((MAX(AY10,BA10)*AQ10*X10^2*1E-4*DATOS!$C$83/100/1000)+(IF(AND(AY10&gt;0,BA10&gt;0),MIN(AY10,BA10),MAX(AY10,BA10))*AQ10*X10^2*1E-4*DATOS!$C$83/100/1000))/2)+BI10-(IF(AND(AY10&gt;0,BA10&gt;0),MIN(AY10,BA10),MAX(AY10,BA10))*AQ10*X10^2*1E-4*DATOS!$C$83/100/1000))^2-16*((BC10*AQ10*X10^2*1E-4*DATOS!$C$83/100/1000)+((MAX(AY10,BA10)*AQ10*X10^2*1E-4*DATOS!$C$83/100/1000)+(IF(AND(AY10&gt;0,BA10&gt;0),MIN(AY10,BA10),MAX(AY10,BA10))*AQ10*X10^2*1E-4*DATOS!$C$83/100/1000))/2)*BI10)&lt;0,CEILING(AB10,5),CEILING(MAX(AB10*((4*((BC10*AQ10*X10^2*1E-4*DATOS!$C$83/100/1000)+((MAX(AY10,BA10)*AQ10*X10^2*1E-4*DATOS!$C$83/100/1000)+(IF(AND(AY10&gt;0,BA10&gt;0),MIN(AY10,BA10),MAX(AY10,BA10))*AQ10*X10^2*1E-4*DATOS!$C$83/100/1000))/2)+BI10-(IF(AND(AY10&gt;0,BA10&gt;0),MIN(AY10,BA10),MAX(AY10,BA10))*AQ10*X10^2*1E-4*DATOS!$C$83/100/1000))-SQRT(MAX(0,((4*((BC10*AQ10*X10^2*1E-4*DATOS!$C$83/100/1000)+((MAX(AY10,BA10)*AQ10*X10^2*1E-4*DATOS!$C$83/100/1000)+(IF(AND(AY10&gt;0,BA10&gt;0),MIN(AY10,BA10),MAX(AY10,BA10))*AQ10*X10^2*1E-4*DATOS!$C$83/100/1000))/2)+BI10-(IF(AND(AY10&gt;0,BA10&gt;0),MIN(AY10,BA10),MAX(AY10,BA10))*AQ10*X10^2*1E-4*DATOS!$C$83/100/1000))^2-16*((BC10*AQ10*X10^2*1E-4*DATOS!$C$83/100/1000)+((MAX(AY10,BA10)*AQ10*X10^2*1E-4*DATOS!$C$83/100/1000)+(IF(AND(AY10&gt;0,BA10&gt;0),MIN(AY10,BA10),MAX(AY10,BA10))*AQ10*X10^2*1E-4*DATOS!$C$83/100/1000))/2)*BI10))))/(8*MAX(((BC10*AQ10*X10^2*1E-4*DATOS!$C$83/100/1000)+((MAX(AY10,BA10)*AQ10*X10^2*1E-4*DATOS!$C$83/100/1000)+(IF(AND(AY10&gt;0,BA10&gt;0),MIN(AY10,BA10),MAX(AY10,BA10))*AQ10*X10^2*1E-4*DATOS!$C$83/100/1000))/2),1E-9))+MAX(CM10,12*INDEX(TABLAS!$C$52:$C$58,MATCH(CK10,TABLAS!$B$52:$B$58,0)),AB10/16),IF(OR(AK10&lt;INDEX(TABLAS!$C$52:$C$58,MATCH(CK10,TABLAS!$B$52:$B$58,0)),AND(CL10&gt;=2,(DATOS!$C$80-2*AK10-CL10*INDEX(TABLAS!$C$52:$C$58,MATCH(CK10,TABLAS!$B$52:$B$58,0)))/MAX(CL10-1,1)&lt;2*INDEX(TABLAS!$C$52:$C$58,MATCH(CK10,TABLAS!$B$52:$B$58,0)))),INDEX(TABLAS!$I$52:$I$58,MATCH(CK10,TABLAS!$B$52:$B$58,0)),INDEX(TABLAS!$F$52:$F$58,MATCH(CK10,TABLAS!$B$52:$B$58,0)))),5))))</f>
        <v>120</v>
      </c>
      <c r="DD10" s="55" t="str">
        <f>IF(U10&lt;&gt;"SÍ","",IF(AND(C10="PERIMETRAL",BV10&gt;=2,AR10-AS10&gt;0,AZ10*AQ10*X10^2*1E-4*DATOS!$C$83/100/1000&gt;DATOS!$C$29*INDEX(TABLAS!$D$52:$D$58,MATCH(BU10,TABLAS!$B$52:$B$58,0))*DATOS!$C$14*(BW10-INDEX(TABLAS!$D$52:$D$58,MATCH(BU10,TABLAS!$B$52:$B$58,0))*DATOS!$C$14/(DATOS!$C$21*AE10)/2)/1E5),"SÍ","NO"))</f>
        <v>NO</v>
      </c>
      <c r="DE10" s="55" t="str">
        <f>IF(U10&lt;&gt;"SÍ","",IF(AND(C10="PERIMETRAL",CL10&gt;=2,AS10&gt;0,BA10*AQ10*X10^2*1E-4*DATOS!$C$83/100/1000&gt;DATOS!$C$29*INDEX(TABLAS!$D$52:$D$58,MATCH(CK10,TABLAS!$B$52:$B$58,0))*DATOS!$C$14*(CM10-INDEX(TABLAS!$D$52:$D$58,MATCH(CK10,TABLAS!$B$52:$B$58,0))*DATOS!$C$14/(DATOS!$C$21*AF10)/2)/1E5),"SÍ","NO"))</f>
        <v>NO</v>
      </c>
      <c r="DF10" s="63" t="str">
        <f>IF(U10&lt;&gt;"SÍ","",IF(OR(C10="VOLADO",AR10=0),"—",IF(AND(AND(1.25*INDEX(TABLAS!$G$52:$G$58,MATCH(MAX(BM10,CC10),TABLAS!$B$52:$B$58,0))&lt;=(DATOS!$C$72-DATOS!$C$60),(DATOS!$C$72-DATOS!$C$60)&gt;=15,INDEX(TABLAS!$G$52:$G$58,MATCH(MAX(BU10,CK10),TABLAS!$B$52:$B$58,0))&lt;=(DATOS!$C$72-DATOS!$C$60)),8*INDEX(TABLAS!$C$52:$C$58,MATCH(MAX(MAX(BM10,CC10),MAX(BU10,CK10)),TABLAS!$B$52:$B$58,0))&lt;=DATOS!$C$73-2*DATOS!$C$60),"CUMPLE (gancho de 180°)",IF(AND(1.25*INDEX(TABLAS!$G$52:$G$58,MATCH(MAX(BM10,CC10),TABLAS!$B$52:$B$58,0))&lt;=(DATOS!$C$72-DATOS!$C$60),(DATOS!$C$72-DATOS!$C$60)&gt;=15,INDEX(TABLAS!$G$52:$G$58,MATCH(MAX(BU10,CK10),TABLAS!$B$52:$B$58,0))&lt;=(DATOS!$C$72-DATOS!$C$60)),"NO CUMPLE: el gancho de 180° (8·d_b) no cabe en el peralte de la dala de borde","NO CUMPLE: dala de borde ≥ "&amp;TEXT(CEILING(MAX(1.25*INDEX(TABLAS!$G$52:$G$58,MATCH(MAX(BM10,CC10),TABLAS!$B$52:$B$58,0)),15,INDEX(TABLAS!$G$52:$G$58,MATCH(MAX(BU10,CK10),TABLAS!$B$52:$B$58,0)))+DATOS!$C$60,5),"0")&amp;" cm de ancho"&amp;IF(8*INDEX(TABLAS!$C$52:$C$58,MATCH(MAX(MAX(BM10,CC10),MAX(BU10,CK10)),TABLAS!$B$52:$B$58,0))&lt;=DATOS!$C$73-2*DATOS!$C$60,""," y más peralte para el gancho")))))</f>
        <v>CUMPLE (gancho de 180°)</v>
      </c>
      <c r="DG10" s="59">
        <f>IF(U10&lt;&gt;"SÍ","",MAX(0,INT((E10*100-DATOS!$C$84+DATOS!$C$83-IF(W10="X",DATOS!$C$78,AD10))/DATOS!$C$83)))</f>
        <v>6</v>
      </c>
      <c r="DH10" s="59">
        <f>IF(U10&lt;&gt;"SÍ","",MAX(0,INT((F10*100-DATOS!$C$84+DATOS!$C$83-IF(W10="Y",DATOS!$C$78,AD10))/DATOS!$C$83)))</f>
        <v>5</v>
      </c>
      <c r="DI10" s="57">
        <f>IF(U10&lt;&gt;"SÍ","",IF(DG10&gt;0,(E10*100-DATOS!$C$84-(DG10*IF(W10="X",DATOS!$C$78,AD10)+(DG10-1)*(DATOS!$C$83-IF(W10="X",DATOS!$C$78,AD10))))/2,E10*100/2))</f>
        <v>8.80000000000001</v>
      </c>
      <c r="DJ10" s="57">
        <f>IF(U10&lt;&gt;"SÍ","",IF(DH10&gt;0,(F10*100-DATOS!$C$84-(DH10*IF(W10="Y",DATOS!$C$78,AD10)+(DH10-1)*(DATOS!$C$83-IF(W10="Y",DATOS!$C$78,AD10))))/2,F10*100/2))</f>
        <v>22.5</v>
      </c>
      <c r="DK10" s="59">
        <f>IF(U10&lt;&gt;"SÍ","",IF(NOT(AND(C10="VOLADO",AC10&gt;DATOS!$C$80)),0,IF(INDEX(TABLAS!$C$52:$C$58,MATCH(BU10,TABLAS!$B$52:$B$58,0))&lt;=DATOS!$C$80-2*DATOS!$C$60,1,0)))</f>
        <v>0</v>
      </c>
      <c r="DL10" s="58">
        <f>IF(U10&lt;&gt;"SÍ","",IF(NOT(AND(C10="VOLADO",AC10&gt;DATOS!$C$80)),0,((DATOS!$C$82-MAX(DATOS!$C$60,(DATOS!$C$81-2*DATOS!$C$94)/2)-2*DATOS!$C$94-INDEX(TABLAS!$C$52:$C$58,MATCH(BU10,TABLAS!$B$52:$B$58,0))/2)-IF(AND((DATOS!$C$82-MAX(DATOS!$C$60,(DATOS!$C$81-2*DATOS!$C$94)/2)-2*DATOS!$C$94-INDEX(TABLAS!$C$52:$C$58,MATCH(BU10,TABLAS!$B$52:$B$58,0))/2)&lt;=20,DATOS!$C$62&lt;&gt;"SÍ"),2,0))))</f>
        <v>0</v>
      </c>
      <c r="DM10" s="56">
        <f>IF(U10&lt;&gt;"SÍ","",IF(OR(NOT(AND(C10="VOLADO",AC10&gt;DATOS!$C$80)),DK10&lt;1),0,IF(0.003*(DL10-((DK10*INDEX(TABLAS!$D$52:$D$58,MATCH(BU10,TABLAS!$B$52:$B$58,0)))*DATOS!$C$14/(DATOS!$C$21*AF10)/DATOS!$C$22))/((DK10*INDEX(TABLAS!$D$52:$D$58,MATCH(BU10,TABLAS!$B$52:$B$58,0)))*DATOS!$C$14/(DATOS!$C$21*AF10)/DATOS!$C$22)&lt;0.005,0,DATOS!$C$29*(DK10*INDEX(TABLAS!$D$52:$D$58,MATCH(BU10,TABLAS!$B$52:$B$58,0)))*DATOS!$C$14*(DL10-(DK10*INDEX(TABLAS!$D$52:$D$58,MATCH(BU10,TABLAS!$B$52:$B$58,0)))*DATOS!$C$14/(DATOS!$C$21*AF10)/2)/1E5)))</f>
        <v>0</v>
      </c>
      <c r="DN10" s="56">
        <f>IF(U10&lt;&gt;"SÍ","",IF(OR(NOT(AND(C10="VOLADO",AC10&gt;DATOS!$C$80)),DK10&lt;1),0,DATOS!$C$30*2*MIN(1,SQRT(2/(1+0.04*DL10)))*((DK10*INDEX(TABLAS!$D$52:$D$58,MATCH(BU10,TABLAS!$B$52:$B$58,0)))/(AF10*DL10))^(1/3)*SQRT(DATOS!$C$13)*AF10*DL10/1000))</f>
        <v>0</v>
      </c>
      <c r="DO10" s="56">
        <f>IF(U10&lt;&gt;"SÍ","",IF(NOT(AND(C10="VOLADO",AC10&gt;DATOS!$C$80)),0,IF((BG10-DM10)&lt;=0,0,IF(DM10&lt;=0,IF(ISNUMBER(P10),P10,X10),IF(((0.9*DATOS!$C$87*DATOS!$C$83/100/1000)*IF(ISNUMBER(P10),P10,X10)/2+BG10/IF(ISNUMBER(P10),P10,X10))^2-4*((0.9*DATOS!$C$87*DATOS!$C$83/100/1000)/2)*(BG10-DM10)&lt;0,IF(ISNUMBER(P10),P10,X10),MIN(IF(ISNUMBER(P10),P10,X10),(((0.9*DATOS!$C$87*DATOS!$C$83/100/1000)*IF(ISNUMBER(P10),P10,X10)/2+BG10/IF(ISNUMBER(P10),P10,X10))-SQRT(((0.9*DATOS!$C$87*DATOS!$C$83/100/1000)*IF(ISNUMBER(P10),P10,X10)/2+BG10/IF(ISNUMBER(P10),P10,X10))^2-4*((0.9*DATOS!$C$87*DATOS!$C$83/100/1000)/2)*(BG10-DM10)))/(2*((0.9*DATOS!$C$87*DATOS!$C$83/100/1000)/2))))))))</f>
        <v>0</v>
      </c>
      <c r="DP10" s="56">
        <f>IF(U10&lt;&gt;"SÍ","",IF(NOT(AND(C10="VOLADO",AC10&gt;DATOS!$C$80)),0,MIN(IF(ISNUMBER(P10),P10,X10),MAX(0,IF(ISNUMBER(P10),P10,X10)/2+BG10/IF(ISNUMBER(P10),P10,X10)/(AQ10*DATOS!$C$83/100/1000)-DN10/(AQ10*DATOS!$C$83/100/1000)))))</f>
        <v>0</v>
      </c>
      <c r="DQ10" s="56">
        <f>IF(U10&lt;&gt;"SÍ","",IF(NOT(AND(C10="VOLADO",AC10&gt;DATOS!$C$80)),0,BG10/IF(ISNUMBER(P10),P10,X10)+(AQ10*DATOS!$C$83/100/1000)*MAX(0,IF(ISNUMBER(P10),P10,X10)/2-BW10/100)))</f>
        <v>0</v>
      </c>
      <c r="DR10" s="59">
        <f>IF(U10&lt;&gt;"SÍ","",IF(NOT(AND(C10="VOLADO",AC10&gt;DATOS!$C$80)),0,CEILING(100*MIN(IF(ISNUMBER(P10),P10,X10),MAX(IF(DO10&gt;0,DO10+IF(BV10&gt;=2,MAX(DL10,12*INDEX(TABLAS!$C$52:$C$58,MATCH(BU10,TABLAS!$B$52:$B$58,0)))/100,0),0),DP10,IF(BV10&gt;=2,INDEX(TABLAS!$F$52:$F$58,MATCH(BU10,TABLAS!$B$52:$B$58,0))/100,0))),5)))</f>
        <v>0</v>
      </c>
      <c r="DS10" s="60">
        <f>IF(U10&lt;&gt;"SÍ","",IF(NOT(AND(C10="VOLADO",AC10&gt;DATOS!$C$80)),0,IF(DR10&lt;=0,0,CEILING(DR10/DATOS!$C$83,1))))</f>
        <v>0</v>
      </c>
      <c r="DT10" s="61" t="str">
        <f>IF(U10&lt;&gt;"SÍ","",IF(C10&lt;&gt;"VOLADO","—",IF(AC10&lt;=DATOS!$C$80,"— (mismo b_w que el respaldo)",IF(DQ10&gt;CR10,"NO CUMPLE: cortante de la nervadura ancha junto al apoyo ("&amp;TEXT(DQ10,"0.00")&amp;" &gt; "&amp;TEXT(CR10,"0.00")&amp;" t)",IF(DR10&gt;=100*IF(ISNUMBER(P10),P10,X10),"CUMPLE — todas las nervaduras del respaldo ‖ al volado con b_w = "&amp;AC10&amp;" cm","CUMPLE — "&amp;DS10&amp;" hilera(s) del respaldo con nervaduras de b_w = "&amp;AC10&amp;" cm (casetón "&amp;AD10&amp;" cm), hasta "&amp;TEXT(DR10/100,"0.00")&amp;" m del paño")))))</f>
        <v>—</v>
      </c>
      <c r="DU10" s="69" t="str">
        <f>IF(U10&lt;&gt;"SÍ","",IF(BN10=0,"NO ALCANZA",BN10&amp;" No. "&amp;BM10&amp;IF(BN10&gt;1," corridas"," corrida")))</f>
        <v>1 No. 4 corrida</v>
      </c>
      <c r="DV10" s="69" t="str">
        <f>IF(U10&lt;&gt;"SÍ","",IF(BV10=0,"NO ALCANZA",IF(AND(C10="VOLADO",AC10&gt;DATOS!$C$80,BV10&gt;=2),"1 No. "&amp;BU10&amp;" corrida de la orilla al respaldo ("&amp;IF(DB10&gt;=100*IF(ISNUMBER(P10),P10,X10),"hasta su apoyo lejano, con gancho","entra "&amp;TEXT(DB10/100,"0.00")&amp;" m desde el paño")&amp;") + "&amp;(BV10-1)&amp;" bastón No. "&amp;BU10&amp;" hasta "&amp;TEXT(DR10/100,"0.00")&amp;" m del paño (fin de la nervadura ancha)",IF(C10="VOLADO",BV10&amp;" No. "&amp;BU10&amp;" de la orilla al respaldo ("&amp;IF(DB10&gt;=100*IF(ISNUMBER(P10),P10,X10),"hasta su apoyo lejano, con gancho","entran "&amp;TEXT(DB10/100,"0.00")&amp;" m desde el paño")&amp;")","1 No. "&amp;BU10&amp;" corrida"&amp;IF(BV10&gt;1," + "&amp;(BV10-1)&amp;" bastón No. "&amp;BU10&amp;" L = "&amp;TEXT(DB10/100,"0.00")&amp;" m desde el paño","")))))</f>
        <v>1 No. 4 corrida</v>
      </c>
      <c r="DW10" s="69" t="str">
        <f>IF(U10&lt;&gt;"SÍ","",IF(CD10=0,"NO ALCANZA",CD10&amp;" No. "&amp;CC10&amp;IF(CD10&gt;1," corridas"," corrida")))</f>
        <v>1 No. 4 corrida</v>
      </c>
      <c r="DX10" s="69" t="str">
        <f>IF(U10&lt;&gt;"SÍ","",IF(CL10=0,"NO ALCANZA",IF(C10="VOLADO","1 No. "&amp;CK10&amp;" corrida (repartición)","1 No. "&amp;CK10&amp;" corrida"&amp;IF(CL10&gt;1," + "&amp;(CL10-1)&amp;" bastón No. "&amp;CK10&amp;" L = "&amp;TEXT(DC10/100,"0.00")&amp;" m desde el paño",""))))</f>
        <v>1 No. 4 corrida</v>
      </c>
      <c r="DY10" s="67" t="str">
        <f>IF(B10="","",IF(U10&lt;&gt;"SÍ","FALTAN DATOS: tipo, a_x, a_y y destino",IF(L10="NO MONOLÍTICO (caso II)","FUERA DE ALCANCE: caso II no transcrito",IF(AND(C10="VOLADO",V10="?"),"REVISAR: el volado lleva UN solo borde CONTINUO (el empotrado)",IF(AND(MAX(BQ10,BY10,CG10,CO10)&lt;=1,NOT(OR(BN10&gt;MIN(DATOS!$C$70,INT(((AC10-2*AJ10)+MAX(DATOS!$C$67,INDEX(TABLAS!$C$52:$C$58,MATCH(BM10,TABLAS!$B$52:$B$58,0))))/(INDEX(TABLAS!$C$52:$C$58,MATCH(BM10,TABLAS!$B$52:$B$58,0))+MAX(DATOS!$C$67,INDEX(TABLAS!$C$52:$C$58,MATCH(BM10,TABLAS!$B$52:$B$58,0)))))),BV10&gt;MIN(DATOS!$C$70,INT(((AC10-2*AK10)+MAX(DATOS!$C$67,INDEX(TABLAS!$C$52:$C$58,MATCH(BU10,TABLAS!$B$52:$B$58,0))))/(INDEX(TABLAS!$C$52:$C$58,MATCH(BU10,TABLAS!$B$52:$B$58,0))+MAX(DATOS!$C$67,INDEX(TABLAS!$C$52:$C$58,MATCH(BU10,TABLAS!$B$52:$B$58,0)))))),CD10&gt;MIN(DATOS!$C$70,INT(((DATOS!$C$80-2*AJ10)+MAX(DATOS!$C$67,INDEX(TABLAS!$C$52:$C$58,MATCH(CC10,TABLAS!$B$52:$B$58,0))))/(INDEX(TABLAS!$C$52:$C$58,MATCH(CC10,TABLAS!$B$52:$B$58,0))+MAX(DATOS!$C$67,INDEX(TABLAS!$C$52:$C$58,MATCH(CC10,TABLAS!$B$52:$B$58,0)))))),CL10&gt;MIN(DATOS!$C$70,INT(((DATOS!$C$80-2*AK10)+MAX(DATOS!$C$67,INDEX(TABLAS!$C$52:$C$58,MATCH(CK10,TABLAS!$B$52:$B$58,0))))/(INDEX(TABLAS!$C$52:$C$58,MATCH(CK10,TABLAS!$B$52:$B$58,0))+MAX(DATOS!$C$67,INDEX(TABLAS!$C$52:$C$58,MATCH(CK10,TABLAS!$B$52:$B$58,0)))))))),NOT(OR(AND(ISNUMBER(BR10),BR10&lt;0.005),AND(ISNUMBER(BZ10),BZ10&lt;0.005),AND(ISNUMBER(CH10),CH10&lt;0.005),AND(ISNUMBER(CP10),CP10&lt;0.005))),NOT(LEFT(DT10,2)="NO"),CZ10="CUMPLE",DA10="CUMPLE",LEFT(CT10,2)&lt;&gt;"NO"),IF(LEFT(CT10,6)="CUMPLE","CUMPLE","CUMPLE — "&amp;CT10)&amp;IF(LEFT(BJ10,5)="FUERA"," · fuera de 3.4.2.1 c)","")&amp;IF(LEFT(DF10,2)="NO"," · REVISAR anclaje en borde discontinuo","")&amp;IF(DS10&gt;0," · respaldo: "&amp;DS10&amp;" hilera(s) de b_w "&amp;AC10&amp;" cm",""),IF(AND(MAX(BQ10,BY10,CG10,CO10)&lt;=1,NOT(OR(BN10&gt;MIN(DATOS!$C$70,INT(((AC10-2*AJ10)+MAX(DATOS!$C$67,INDEX(TABLAS!$C$52:$C$58,MATCH(BM10,TABLAS!$B$52:$B$58,0))))/(INDEX(TABLAS!$C$52:$C$58,MATCH(BM10,TABLAS!$B$52:$B$58,0))+MAX(DATOS!$C$67,INDEX(TABLAS!$C$52:$C$58,MATCH(BM10,TABLAS!$B$52:$B$58,0)))))),BV10&gt;MIN(DATOS!$C$70,INT(((AC10-2*AK10)+MAX(DATOS!$C$67,INDEX(TABLAS!$C$52:$C$58,MATCH(BU10,TABLAS!$B$52:$B$58,0))))/(INDEX(TABLAS!$C$52:$C$58,MATCH(BU10,TABLAS!$B$52:$B$58,0))+MAX(DATOS!$C$67,INDEX(TABLAS!$C$52:$C$58,MATCH(BU10,TABLAS!$B$52:$B$58,0)))))),CD10&gt;MIN(DATOS!$C$70,INT(((DATOS!$C$80-2*AJ10)+MAX(DATOS!$C$67,INDEX(TABLAS!$C$52:$C$58,MATCH(CC10,TABLAS!$B$52:$B$58,0))))/(INDEX(TABLAS!$C$52:$C$58,MATCH(CC10,TABLAS!$B$52:$B$58,0))+MAX(DATOS!$C$67,INDEX(TABLAS!$C$52:$C$58,MATCH(CC10,TABLAS!$B$52:$B$58,0)))))),CL10&gt;MIN(DATOS!$C$70,INT(((DATOS!$C$80-2*AK10)+MAX(DATOS!$C$67,INDEX(TABLAS!$C$52:$C$58,MATCH(CK10,TABLAS!$B$52:$B$58,0))))/(INDEX(TABLAS!$C$52:$C$58,MATCH(CK10,TABLAS!$B$52:$B$58,0))+MAX(DATOS!$C$67,INDEX(TABLAS!$C$52:$C$58,MATCH(CK10,TABLAS!$B$52:$B$58,0)))))))),NOT(OR(AND(ISNUMBER(BR10),BR10&lt;0.005),AND(ISNUMBER(BZ10),BZ10&lt;0.005),AND(ISNUMBER(CH10),CH10&lt;0.005),AND(ISNUMBER(CP10),CP10&lt;0.005))),NOT(LEFT(DT10,2)="NO"),CZ10="CALCULAR FLECHA",LEFT(CT10,2)&lt;&gt;"NO"),"REVISAR: calcular flecha (h_eq &lt; h mín.)"&amp;IF(LEFT(BJ10,5)="FUERA"," · fuera de 3.4.2.1 c)","")&amp;IF(LEFT(DF10,2)="NO"," · REVISAR anclaje en borde discontinuo","")&amp;IF(DS10&gt;0," · respaldo: "&amp;DS10&amp;" hilera(s) de b_w "&amp;AC10&amp;" cm",""),"NO CUMPLE: "&amp;IF(MAX(BQ10,BY10,CG10,CO10)&gt;1,"flexión ","")&amp;IF(OR(BN10&gt;MIN(DATOS!$C$70,INT(((AC10-2*AJ10)+MAX(DATOS!$C$67,INDEX(TABLAS!$C$52:$C$58,MATCH(BM10,TABLAS!$B$52:$B$58,0))))/(INDEX(TABLAS!$C$52:$C$58,MATCH(BM10,TABLAS!$B$52:$B$58,0))+MAX(DATOS!$C$67,INDEX(TABLAS!$C$52:$C$58,MATCH(BM10,TABLAS!$B$52:$B$58,0)))))),BV10&gt;MIN(DATOS!$C$70,INT(((AC10-2*AK10)+MAX(DATOS!$C$67,INDEX(TABLAS!$C$52:$C$58,MATCH(BU10,TABLAS!$B$52:$B$58,0))))/(INDEX(TABLAS!$C$52:$C$58,MATCH(BU10,TABLAS!$B$52:$B$58,0))+MAX(DATOS!$C$67,INDEX(TABLAS!$C$52:$C$58,MATCH(BU10,TABLAS!$B$52:$B$58,0)))))),CD10&gt;MIN(DATOS!$C$70,INT(((DATOS!$C$80-2*AJ10)+MAX(DATOS!$C$67,INDEX(TABLAS!$C$52:$C$58,MATCH(CC10,TABLAS!$B$52:$B$58,0))))/(INDEX(TABLAS!$C$52:$C$58,MATCH(CC10,TABLAS!$B$52:$B$58,0))+MAX(DATOS!$C$67,INDEX(TABLAS!$C$52:$C$58,MATCH(CC10,TABLAS!$B$52:$B$58,0)))))),CL10&gt;MIN(DATOS!$C$70,INT(((DATOS!$C$80-2*AK10)+MAX(DATOS!$C$67,INDEX(TABLAS!$C$52:$C$58,MATCH(CK10,TABLAS!$B$52:$B$58,0))))/(INDEX(TABLAS!$C$52:$C$58,MATCH(CK10,TABLAS!$B$52:$B$58,0))+MAX(DATOS!$C$67,INDEX(TABLAS!$C$52:$C$58,MATCH(CK10,TABLAS!$B$52:$B$58,0))))))),"no caben ","")&amp;IF(OR(AND(ISNUMBER(BR10),BR10&lt;0.005),AND(ISNUMBER(BZ10),BZ10&lt;0.005),AND(ISNUMBER(CH10),CH10&lt;0.005),AND(ISNUMBER(CP10),CP10&lt;0.005)),"ε_t &lt; 0.005 ","")&amp;IF(LEFT(CT10,2)="NO","cortante ","")&amp;IF(CZ10="NO CUMPLE","peralte ","")&amp;IF(DA10&lt;&gt;"CUMPLE","capa &lt; 6 cm ","")&amp;IF(LEFT(DT10,2)="NO","respaldo del volado","")))))))</f>
        <v>CUMPLE</v>
      </c>
      <c r="DZ10" s="70" t="str">
        <f>IF(U10&lt;&gt;"SÍ","",IF(LEFT(B10,7)="EJEMPLO","EJEMPLO de la hoja de Casa Rocha: bórralo o sobrescríbelo. ","")&amp;IF(AND(C10="PERIMETRAL",MIN(DG10,DH10)=0),"No cabe un casetón en el claro corto: es un tablero macizo, diséñalo en MACIZAS. ","")&amp;IF(AND(AI10="NO",C10="PERIMETRAL"),"No cumple 6.7.8.1.4 (a_c = "&amp;MAX(DATOS!$C$78,AD10)&amp;" cm &gt; claro corto/6 = "&amp;TEXT(X10*100/6,"0")&amp;" cm): se diseña como losa apoyada en vigas (6.7.8.1.9): r de viga = "&amp;DATOS!$C$60&amp;" cm y V_cR sin ×1.1. Para que cuente como encasetonada: casetón de "&amp;TEXT(FLOOR(MIN(80,X10*100/6),1),"0")&amp;" cm o menor. ","")&amp;IF(C10="VOLADO","Volado de "&amp;TEXT(X10,"0.00")&amp;" m empotrado en el borde "&amp;LOWER(V10)&amp;IF(N(O10)&gt;0,", con "&amp;TEXT(O10,"0.0")&amp;" kg/m en la orilla","")&amp;". Lecho inferior con r_ext. Si la orilla carga pretil u otro elemento frágil, calcula la flecha (13.4). El acero superior entra al respaldo de "&amp;TEXT(IF(ISNUMBER(P10),P10,X10),"0.00")&amp;" m"&amp;IF(ISNUMBER(P10),""," (L_b no capturado: se tomó igual al volado)")&amp;" hasta pasar M = 0 con 0.9·PP sin carga viva; si ahí no se anula, llega al apoyo lejano y se ancla con gancho (NTC-Criterios 3.4.1 c y 5.1.2.2). "&amp;IF(AC10&gt;DATOS!$C$80,"Respaldo: "&amp;DT10&amp;". ",""),"")&amp;IF(LEFT(BJ10,5)="FUERA","El M⁻ del vecino difiere más de 50 % (3.4.2.1 c): distribuye el desequilibrio (3.4.3.1) o confirma con un modelo; se arma con el mayor. ","")&amp;IF(OR(DD10="SÍ",DE10="SÍ"),"El M⁻ del borde discontinuo pide bastón también ahí (con gancho). ","")&amp;IF(LEFT(DF10,2)="NO","Anclaje: "&amp;DF10&amp;" (6.7.8.1.7). ","")&amp;IF(OR(AZ10&gt;0,BA10&gt;0),"Esquinas exteriores sobre muro: refuerzo de esquina arriba y abajo en L_largo/5 (6.7.7.3.1). ",""))</f>
        <v>EJEMPLO de la hoja de Casa Rocha: bórralo o sobrescríbelo. Esquinas exteriores sobre muro: refuerzo de esquina arriba y abajo en L_largo/5 (6.7.7.3.1). </v>
      </c>
    </row>
    <row r="11" ht="33" customHeight="1">
      <c r="A11" s="50">
        <f>IF(B11="",0,1)+A10</f>
        <v>3</v>
      </c>
      <c r="B11" s="29" t="inlineStr">
        <is>
          <t>EJEMPLO F80024 (esquina, azotea)</t>
        </is>
      </c>
      <c r="C11" s="51" t="inlineStr">
        <is>
          <t>PERIMETRAL</t>
        </is>
      </c>
      <c r="D11" s="29" t="inlineStr">
        <is>
          <t>AZOTEA (pendiente ≤ 5 %)</t>
        </is>
      </c>
      <c r="E11" s="52" t="n">
        <v>4.327</v>
      </c>
      <c r="F11" s="52" t="n">
        <v>4.95</v>
      </c>
      <c r="G11" s="51" t="inlineStr">
        <is>
          <t>CONTINUO</t>
        </is>
      </c>
      <c r="H11" s="51" t="inlineStr">
        <is>
          <t>DISCONTINUO</t>
        </is>
      </c>
      <c r="I11" s="51" t="inlineStr">
        <is>
          <t>DISCONTINUO</t>
        </is>
      </c>
      <c r="J11" s="51" t="inlineStr">
        <is>
          <t>CONTINUO</t>
        </is>
      </c>
      <c r="K11" s="51" t="inlineStr">
        <is>
          <t>AUTO</t>
        </is>
      </c>
      <c r="L11" s="51" t="inlineStr">
        <is>
          <t>MONOLÍTICO (caso I)</t>
        </is>
      </c>
      <c r="M11" s="53" t="n">
        <v>315</v>
      </c>
      <c r="N11" s="53" t="n"/>
      <c r="O11" s="54" t="n"/>
      <c r="P11" s="52" t="n"/>
      <c r="Q11" s="53" t="n"/>
      <c r="R11" s="54" t="n"/>
      <c r="S11" s="52" t="n"/>
      <c r="T11" s="52" t="n"/>
      <c r="U11" s="55" t="str">
        <f>IF(B11="","",IF(AND(OR(C11="PERIMETRAL",C11="VOLADO"),ISNUMBER(E11),ISNUMBER(F11),E11&gt;0,F11&gt;0,OR(ISNUMBER(N11),ISNUMBER(MATCH(D11,DATOS!$B$46:$B$55,0)))),"SÍ","NO"))</f>
        <v>SÍ</v>
      </c>
      <c r="V11" s="55" t="str">
        <f>IF(U11&lt;&gt;"SÍ","",IF(C11&lt;&gt;"VOLADO","—",IF(COUNTIF(G11:J11,"CONTINUO")&lt;&gt;1,"?",IF(G11="CONTINUO","INFERIOR",IF(H11="CONTINUO","SUPERIOR",IF(I11="CONTINUO","IZQUIERDO","DERECHO"))))))</f>
        <v>—</v>
      </c>
      <c r="W11" s="55" t="str">
        <f>IF(U11&lt;&gt;"SÍ","",IF(C11="VOLADO",IF(OR(V11="IZQUIERDO",V11="DERECHO"),"X","Y"),IF(E11&lt;=F11,"X","Y")))</f>
        <v>X</v>
      </c>
      <c r="X11" s="56">
        <f>IF(U11&lt;&gt;"SÍ","",IF(C11="VOLADO",IF(W11="X",E11,F11),MIN(E11,F11)))</f>
        <v>4.327</v>
      </c>
      <c r="Y11" s="56">
        <f>IF(U11&lt;&gt;"SÍ","",IF(C11="VOLADO",IF(W11="X",F11,E11),MAX(E11,F11)))</f>
        <v>4.95</v>
      </c>
      <c r="Z11" s="56">
        <f>IF(U11&lt;&gt;"SÍ","",MIN(X11,Y11)/MAX(X11,Y11))</f>
        <v>0.874141414141414</v>
      </c>
      <c r="AA11" s="57">
        <f>IF(U11&lt;&gt;"SÍ","",MAX(1,X11*100-IF(C11="VOLADO",DATOS!$C$84/2,DATOS!$C$84)))</f>
        <v>417.7</v>
      </c>
      <c r="AB11" s="57">
        <f>IF(U11&lt;&gt;"SÍ","",MAX(1,Y11*100-DATOS!$C$84))</f>
        <v>480</v>
      </c>
      <c r="AC11" s="57">
        <f>IF(U11&lt;&gt;"SÍ","",IF(ISNUMBER(Q11),Q11,DATOS!$C$80))</f>
        <v>10</v>
      </c>
      <c r="AD11" s="57">
        <f>IF(U11&lt;&gt;"SÍ","",MAX(0,DATOS!$C$83-AC11))</f>
        <v>60</v>
      </c>
      <c r="AE11" s="57">
        <f>IF(U11&lt;&gt;"SÍ","",IF(OR(DATOS!$C$62="SÍ",AC11&gt;=20),AC11,AC11-2))</f>
        <v>10</v>
      </c>
      <c r="AF11" s="57">
        <f>IF(U11&lt;&gt;"SÍ","",IF(OR(DATOS!$C$62="SÍ",DATOS!$C$80&gt;=20),DATOS!$C$80,DATOS!$C$80-2))</f>
        <v>10</v>
      </c>
      <c r="AG11" s="57">
        <f>IF(U11&lt;&gt;"SÍ","",MIN(DATOS!$C$83,AC11+2*MIN(8*DATOS!$C$81,AD11/2,AA11/8)))</f>
        <v>70</v>
      </c>
      <c r="AH11" s="57">
        <f>IF(U11&lt;&gt;"SÍ","",MIN(DATOS!$C$83,DATOS!$C$80+2*MIN(8*DATOS!$C$81,DATOS!$C$78/2,AB11/8)))</f>
        <v>70</v>
      </c>
      <c r="AI11" s="55" t="str">
        <f>IF(U11&lt;&gt;"SÍ","",IF(AND(C11="PERIMETRAL",X11*100&gt;=6*MAX(DATOS!$C$78,AD11),MAX(DATOS!$C$78,AD11)&lt;=80,MIN(DATOS!$C$80,AC11)&gt;=10,DATOS!$C$82&lt;=3.5*MIN(DATOS!$C$80,AC11),DATOS!$C$81&gt;=MAX(MAX(DATOS!$C$78,AD11)/13,5)),"SÍ","NO"))</f>
        <v>SÍ</v>
      </c>
      <c r="AJ11" s="57">
        <f>IF(U11&lt;&gt;"SÍ","",IF(C11="VOLADO",DATOS!$C$61,IF(AI11="NO",DATOS!$C$60,DATOS!$C$59)))</f>
        <v>2</v>
      </c>
      <c r="AK11" s="57">
        <f>IF(U11&lt;&gt;"SÍ","",IF(OR(AND(AM11="SÍ",DATOS!$C$63="SÍ"),AND(C11="VOLADO",DATOS!$C$64="SÍ")),DATOS!$C$61,IF(AI11="NO",DATOS!$C$60,DATOS!$C$59)))</f>
        <v>2</v>
      </c>
      <c r="AL11" s="58">
        <f>IF(U11&lt;&gt;"SÍ","",MAX(AK11,(DATOS!$C$81-2*DATOS!$C$94)/2))</f>
        <v>2.428</v>
      </c>
      <c r="AM11" s="55" t="str">
        <f>IF(U11&lt;&gt;"SÍ","",IFERROR(INDEX(DATOS!$D$46:$D$55,MATCH(D11,DATOS!$B$46:$B$55,0)),"NO"))</f>
        <v>SÍ</v>
      </c>
      <c r="AN11" s="59">
        <f>IF(U11&lt;&gt;"SÍ","",IF(ISNUMBER(N11),N11,IFERROR(INDEX(DATOS!$C$46:$C$55,MATCH(D11,DATOS!$B$46:$B$55,0)),0)))</f>
        <v>100</v>
      </c>
      <c r="AO11" s="59">
        <f>IF(U11&lt;&gt;"SÍ","",(DATOS!$C$82/100-(AD11*DATOS!$C$78/DATOS!$C$83^2)*DATOS!$C$79/100)*DATOS!$C$16*1000+(AD11*DATOS!$C$78/DATOS!$C$83^2)*DATOS!$C$79/100*DATOS!$C$17*1000+DATOS!$C$37+DATOS!$C$38)</f>
        <v>307.073469387755</v>
      </c>
      <c r="AP11" s="59">
        <f>IF(U11&lt;&gt;"SÍ","",AO11+N(M11))</f>
        <v>622.073469387755</v>
      </c>
      <c r="AQ11" s="60">
        <f>IF(U11&lt;&gt;"SÍ","",MAX(DATOS!$C$26*AP11+DATOS!$C$27*AN11,IF(AM11="SÍ",DATOS!$C$28*(AP11+DATOS!$C$41),0)))</f>
        <v>958.695510204082</v>
      </c>
      <c r="AR11" s="59">
        <f>IF(U11&lt;&gt;"SÍ","",(G11="DISCONTINUO")+(H11="DISCONTINUO")+(I11="DISCONTINUO")+(J11="DISCONTINUO"))</f>
        <v>2</v>
      </c>
      <c r="AS11" s="59">
        <f>IF(U11&lt;&gt;"SÍ","",IF(W11="X",(G11="DISCONTINUO")+(H11="DISCONTINUO"),(I11="DISCONTINUO")+(J11="DISCONTINUO")))</f>
        <v>1</v>
      </c>
      <c r="AT11" s="55" t="str">
        <f>IF(U11&lt;&gt;"SÍ","",IF(AR11=0,"INTERIOR",IF(AR11=1,IF(AS11=1,"BORDE-CORTO","BORDE-LARGO"),IF(AR11=2,IF(AS11=1,"ESQUINA",IF(AS11=2,"EXTREMO-LARGO","EXTREMO-CORTO")),IF(AR11=3,IF(AS11=2,"EXTREMO-LARGO","EXTREMO-CORTO"),"AISLADO")))))</f>
        <v>ESQUINA</v>
      </c>
      <c r="AU11" s="61" t="str">
        <f>IF(U11&lt;&gt;"SÍ","",IF(OR(K11="",K11="AUTO"),AT11,K11))</f>
        <v>ESQUINA</v>
      </c>
      <c r="AV11" s="59">
        <f>IF(U11&lt;&gt;"SÍ","",MATCH(Z11,TABLAS!$D$5:$J$5,1))</f>
        <v>5</v>
      </c>
      <c r="AW11" s="58">
        <f>IF(U11&lt;&gt;"SÍ","",IF(AV11&gt;=7,0,(Z11-INDEX(TABLAS!$D$5:$J$5,AV11))/(INDEX(TABLAS!$D$5:$J$5,AV11+1)-INDEX(TABLAS!$D$5:$J$5,AV11))))</f>
        <v>0.741414141414141</v>
      </c>
      <c r="AX11" s="59">
        <f>IF(U11&lt;&gt;"SÍ","",INDEX(TABLAS!$D$6:$J$47,MATCH(AU11&amp;"|NIC",TABLAS!$B$6:$B$47,0),AV11)+AW11*(INDEX(TABLAS!$D$6:$J$47,MATCH(AU11&amp;"|NIC",TABLAS!$B$6:$B$47,0),MIN(AV11+1,7))-INDEX(TABLAS!$D$6:$J$47,MATCH(AU11&amp;"|NIC",TABLAS!$B$6:$B$47,0),AV11)))</f>
        <v>587.513131313132</v>
      </c>
      <c r="AY11" s="59">
        <f>IF(U11&lt;&gt;"SÍ","",INDEX(TABLAS!$D$6:$J$47,MATCH(AU11&amp;"|NIL",TABLAS!$B$6:$B$47,0),AV11)+AW11*(INDEX(TABLAS!$D$6:$J$47,MATCH(AU11&amp;"|NIL",TABLAS!$B$6:$B$47,0),MIN(AV11+1,7))-INDEX(TABLAS!$D$6:$J$47,MATCH(AU11&amp;"|NIL",TABLAS!$B$6:$B$47,0),AV11)))</f>
        <v>485.482828282828</v>
      </c>
      <c r="AZ11" s="59">
        <f>IF(U11&lt;&gt;"SÍ","",INDEX(TABLAS!$D$6:$J$47,MATCH(AU11&amp;"|NDC",TABLAS!$B$6:$B$47,0),AV11)+AW11*(INDEX(TABLAS!$D$6:$J$47,MATCH(AU11&amp;"|NDC",TABLAS!$B$6:$B$47,0),MIN(AV11+1,7))-INDEX(TABLAS!$D$6:$J$47,MATCH(AU11&amp;"|NDC",TABLAS!$B$6:$B$47,0),AV11)))</f>
        <v>227.016161616162</v>
      </c>
      <c r="BA11" s="59">
        <f>IF(U11&lt;&gt;"SÍ","",INDEX(TABLAS!$D$6:$J$47,MATCH(AU11&amp;"|NDL",TABLAS!$B$6:$B$47,0),AV11)+AW11*(INDEX(TABLAS!$D$6:$J$47,MATCH(AU11&amp;"|NDL",TABLAS!$B$6:$B$47,0),MIN(AV11+1,7))-INDEX(TABLAS!$D$6:$J$47,MATCH(AU11&amp;"|NDL",TABLAS!$B$6:$B$47,0),AV11)))</f>
        <v>248.49898989899</v>
      </c>
      <c r="BB11" s="59">
        <f>IF(U11&lt;&gt;"SÍ","",INDEX(TABLAS!$D$6:$J$47,MATCH(AU11&amp;"|PC",TABLAS!$B$6:$B$47,0),AV11)+AW11*(INDEX(TABLAS!$D$6:$J$47,MATCH(AU11&amp;"|PC",TABLAS!$B$6:$B$47,0),MIN(AV11+1,7))-INDEX(TABLAS!$D$6:$J$47,MATCH(AU11&amp;"|PC",TABLAS!$B$6:$B$47,0),AV11)))</f>
        <v>314.274747474747</v>
      </c>
      <c r="BC11" s="59">
        <f>IF(U11&lt;&gt;"SÍ","",INDEX(TABLAS!$D$6:$J$47,MATCH(AU11&amp;"|PL",TABLAS!$B$6:$B$47,0),AV11)+AW11*(INDEX(TABLAS!$D$6:$J$47,MATCH(AU11&amp;"|PL",TABLAS!$B$6:$B$47,0),MIN(AV11+1,7))-INDEX(TABLAS!$D$6:$J$47,MATCH(AU11&amp;"|PL",TABLAS!$B$6:$B$47,0),AV11)))</f>
        <v>277.620202020202</v>
      </c>
      <c r="BD11" s="56">
        <f>IF(U11&lt;&gt;"SÍ","",IF(C11&lt;&gt;"VOLADO",0,DATOS!$C$26*DATOS!$C$16*DATOS!$C$83/100*(((AD11*DATOS!$C$78/DATOS!$C$83^2)*DATOS!$C$79/100)*(IF(W11="X",DI11,DJ11)+DATOS!$C$84/2)/100*(AA11-(IF(W11="X",DI11,DJ11)+DATOS!$C$84/2)/2)/100+((AD11*DATOS!$C$78/DATOS!$C$83^2)*DATOS!$C$79/100)*IF(W11="X",DI11,DJ11)/100*IF(W11="X",DI11,DJ11)/200)))</f>
        <v>0</v>
      </c>
      <c r="BE11" s="56">
        <f>IF(U11&lt;&gt;"SÍ","",IF(C11&lt;&gt;"VOLADO",0,DATOS!$C$26*DATOS!$C$16*DATOS!$C$83/100*((AD11*DATOS!$C$78/DATOS!$C$83^2)*DATOS!$C$79/100)*(IF(W11="X",DI11,DJ11)+DATOS!$C$84/2)/100))</f>
        <v>0</v>
      </c>
      <c r="BF11" s="56">
        <f>IF(U11&lt;&gt;"SÍ","",IF(C11="PERIMETRAL",BB11*AQ11*X11^2*1E-4*DATOS!$C$83/100/1000,0))</f>
        <v>0.394877155862061</v>
      </c>
      <c r="BG11" s="62">
        <f>IF(U11&lt;&gt;"SÍ","",IF(C11="PERIMETRAL",MAX(MAX(AX11,AZ11)*AQ11*X11^2*1E-4*DATOS!$C$83/100/1000,N(S11)),(AQ11*(AA11/100)^2/2+DATOS!$C$26*N(O11)*AA11/100)*DATOS!$C$83/100/1000+BD11))</f>
        <v>0.738193304389448</v>
      </c>
      <c r="BH11" s="56">
        <f>IF(U11&lt;&gt;"SÍ","",IF(C11="PERIMETRAL",BC11*AQ11*X11^2*1E-4*DATOS!$C$83/100/1000,0))</f>
        <v>0.348821776692055</v>
      </c>
      <c r="BI11" s="56">
        <f>IF(U11&lt;&gt;"SÍ","",IF(C11="PERIMETRAL",MAX(MAX(AY11,BA11)*AQ11*X11^2*1E-4*DATOS!$C$83/100/1000,N(T11)),0))</f>
        <v>0.609995171398863</v>
      </c>
      <c r="BJ11" s="63" t="str">
        <f>IF(U11&lt;&gt;"SÍ","",IF(C11&lt;&gt;"PERIMETRAL","—",IF(AND(N(S11)=0,N(T11)=0),"— (sin M⁻ del vecino)",IF(OR(AND(N(S11)&gt;0,ABS(MAX(AX11,AZ11)*AQ11*X11^2*1E-4*DATOS!$C$83/100/1000-N(S11))&gt;0.5*MIN(MAX(AX11,AZ11)*AQ11*X11^2*1E-4*DATOS!$C$83/100/1000,N(S11))),AND(N(T11)&gt;0,ABS(MAX(AY11,BA11)*AQ11*X11^2*1E-4*DATOS!$C$83/100/1000-N(T11))&gt;0.5*MIN(MAX(AY11,BA11)*AQ11*X11^2*1E-4*DATOS!$C$83/100/1000,N(T11)))),"FUERA: difieren &gt; 50 %"&amp;IF(AND(N(S11)&gt;0,ABS(MAX(AX11,AZ11)*AQ11*X11^2*1E-4*DATOS!$C$83/100/1000-N(S11))&gt;0.5*MIN(MAX(AX11,AZ11)*AQ11*X11^2*1E-4*DATOS!$C$83/100/1000,N(S11)))," ‖ corto","")&amp;IF(AND(N(T11)&gt;0,ABS(MAX(AY11,BA11)*AQ11*X11^2*1E-4*DATOS!$C$83/100/1000-N(T11))&gt;0.5*MIN(MAX(AY11,BA11)*AQ11*X11^2*1E-4*DATOS!$C$83/100/1000,N(T11)))," ‖ largo",""),"CUMPLE"))))</f>
        <v>— (sin M⁻ del vecino)</v>
      </c>
      <c r="BK11" s="58">
        <f>IF(U11&lt;&gt;"SÍ","",(DATOS!$C$82-AJ11-INDEX(TABLAS!$C$52:$C$58,MATCH(DATOS!$C$68,TABLAS!$B$52:$B$58,0))/2))</f>
        <v>22.365</v>
      </c>
      <c r="BL11" s="58">
        <f>IF(U11&lt;&gt;"SÍ","",IF(IF(BF11&lt;=0,0,IF((1-2*BF11*1E5/(DATOS!$C$29*AG11*BK11^2*DATOS!$C$21))&lt;0,-1,IF((1-SQRT((1-2*BF11*1E5/(DATOS!$C$29*AG11*BK11^2*DATOS!$C$21))))*DATOS!$C$21*AG11*BK11/DATOS!$C$14&gt;DATOS!$C$99*AG11*BK11,-1,(1-SQRT((1-2*BF11*1E5/(DATOS!$C$29*AG11*BK11^2*DATOS!$C$21))))*DATOS!$C$21*AG11*BK11/DATOS!$C$14)))&lt;0,-1,MAX(IF(BF11&lt;=0,0,IF((1-2*BF11*1E5/(DATOS!$C$29*AG11*BK11^2*DATOS!$C$21))&lt;0,-1,IF((1-SQRT((1-2*BF11*1E5/(DATOS!$C$29*AG11*BK11^2*DATOS!$C$21))))*DATOS!$C$21*AG11*BK11/DATOS!$C$14&gt;DATOS!$C$99*AG11*BK11,-1,(1-SQRT((1-2*BF11*1E5/(DATOS!$C$29*AG11*BK11^2*DATOS!$C$21))))*DATOS!$C$21*AG11*BK11/DATOS!$C$14))),MIN(DATOS!$C$100*AC11*BK11,4/3*IF(BF11&lt;=0,0,IF((1-2*BF11*1E5/(DATOS!$C$29*AG11*BK11^2*DATOS!$C$21))&lt;0,-1,IF((1-SQRT((1-2*BF11*1E5/(DATOS!$C$29*AG11*BK11^2*DATOS!$C$21))))*DATOS!$C$21*AG11*BK11/DATOS!$C$14&gt;DATOS!$C$99*AG11*BK11,-1,(1-SQRT((1-2*BF11*1E5/(DATOS!$C$29*AG11*BK11^2*DATOS!$C$21))))*DATOS!$C$21*AG11*BK11/DATOS!$C$14)))))))</f>
        <v>0.624634896435949</v>
      </c>
      <c r="BM11" s="64">
        <f>IF(U11&lt;&gt;"SÍ","",IF(AND(BL11&gt;=0,IF(MAX(DATOS!$C$71,CEILING(BL11/INDEX(TABLAS!$D$52:$D$58,MIN(MATCH(DATOS!$C$68,TABLAS!$B$52:$B$58,0)+0,7)),1))*INDEX(TABLAS!$D$52:$D$58,MIN(MATCH(DATOS!$C$68,TABLAS!$B$52:$B$58,0)+0,7))&gt;=4/3*IF(BF11&lt;=0,0,IF((1-2*BF11*1E5/(DATOS!$C$29*AG11*BK11^2*DATOS!$C$21))&lt;0,-1,IF((1-SQRT((1-2*BF11*1E5/(DATOS!$C$29*AG11*BK11^2*DATOS!$C$21))))*DATOS!$C$21*AG11*BK11/DATOS!$C$14&gt;DATOS!$C$99*AG11*BK11,-1,(1-SQRT((1-2*BF11*1E5/(DATOS!$C$29*AG11*BK11^2*DATOS!$C$21))))*DATOS!$C$21*AG11*BK11/DATOS!$C$14)))-0.0001,MAX(DATOS!$C$71,CEILING(BL11/INDEX(TABLAS!$D$52:$D$58,MIN(MATCH(DATOS!$C$68,TABLAS!$B$52:$B$58,0)+0,7)),1)),MAX(MAX(DATOS!$C$71,CEILING(BL11/INDEX(TABLAS!$D$52:$D$58,MIN(MATCH(DATOS!$C$68,TABLAS!$B$52:$B$58,0)+0,7)),1)),2))&lt;=MIN(DATOS!$C$70,INT(((AC11-2*AJ11)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11&gt;=0,IF(MAX(DATOS!$C$71,CEILING(BL11/INDEX(TABLAS!$D$52:$D$58,MIN(MATCH(DATOS!$C$68,TABLAS!$B$52:$B$58,0)+1,7)),1))*INDEX(TABLAS!$D$52:$D$58,MIN(MATCH(DATOS!$C$68,TABLAS!$B$52:$B$58,0)+1,7))&gt;=4/3*IF(BF11&lt;=0,0,IF((1-2*BF11*1E5/(DATOS!$C$29*AG11*BK11^2*DATOS!$C$21))&lt;0,-1,IF((1-SQRT((1-2*BF11*1E5/(DATOS!$C$29*AG11*BK11^2*DATOS!$C$21))))*DATOS!$C$21*AG11*BK11/DATOS!$C$14&gt;DATOS!$C$99*AG11*BK11,-1,(1-SQRT((1-2*BF11*1E5/(DATOS!$C$29*AG11*BK11^2*DATOS!$C$21))))*DATOS!$C$21*AG11*BK11/DATOS!$C$14)))-0.0001,MAX(DATOS!$C$71,CEILING(BL11/INDEX(TABLAS!$D$52:$D$58,MIN(MATCH(DATOS!$C$68,TABLAS!$B$52:$B$58,0)+1,7)),1)),MAX(MAX(DATOS!$C$71,CEILING(BL11/INDEX(TABLAS!$D$52:$D$58,MIN(MATCH(DATOS!$C$68,TABLAS!$B$52:$B$58,0)+1,7)),1)),2))&lt;=MIN(DATOS!$C$70,INT(((AC11-2*AJ11)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11&gt;=0,IF(MAX(DATOS!$C$71,CEILING(BL11/INDEX(TABLAS!$D$52:$D$58,MIN(MATCH(DATOS!$C$68,TABLAS!$B$52:$B$58,0)+2,7)),1))*INDEX(TABLAS!$D$52:$D$58,MIN(MATCH(DATOS!$C$68,TABLAS!$B$52:$B$58,0)+2,7))&gt;=4/3*IF(BF11&lt;=0,0,IF((1-2*BF11*1E5/(DATOS!$C$29*AG11*BK11^2*DATOS!$C$21))&lt;0,-1,IF((1-SQRT((1-2*BF11*1E5/(DATOS!$C$29*AG11*BK11^2*DATOS!$C$21))))*DATOS!$C$21*AG11*BK11/DATOS!$C$14&gt;DATOS!$C$99*AG11*BK11,-1,(1-SQRT((1-2*BF11*1E5/(DATOS!$C$29*AG11*BK11^2*DATOS!$C$21))))*DATOS!$C$21*AG11*BK11/DATOS!$C$14)))-0.0001,MAX(DATOS!$C$71,CEILING(BL11/INDEX(TABLAS!$D$52:$D$58,MIN(MATCH(DATOS!$C$68,TABLAS!$B$52:$B$58,0)+2,7)),1)),MAX(MAX(DATOS!$C$71,CEILING(BL11/INDEX(TABLAS!$D$52:$D$58,MIN(MATCH(DATOS!$C$68,TABLAS!$B$52:$B$58,0)+2,7)),1)),2))&lt;=MIN(DATOS!$C$70,INT(((AC11-2*AJ11)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11&gt;=0,IF(MAX(DATOS!$C$71,CEILING(BL11/INDEX(TABLAS!$D$52:$D$58,MIN(MATCH(DATOS!$C$68,TABLAS!$B$52:$B$58,0)+3,7)),1))*INDEX(TABLAS!$D$52:$D$58,MIN(MATCH(DATOS!$C$68,TABLAS!$B$52:$B$58,0)+3,7))&gt;=4/3*IF(BF11&lt;=0,0,IF((1-2*BF11*1E5/(DATOS!$C$29*AG11*BK11^2*DATOS!$C$21))&lt;0,-1,IF((1-SQRT((1-2*BF11*1E5/(DATOS!$C$29*AG11*BK11^2*DATOS!$C$21))))*DATOS!$C$21*AG11*BK11/DATOS!$C$14&gt;DATOS!$C$99*AG11*BK11,-1,(1-SQRT((1-2*BF11*1E5/(DATOS!$C$29*AG11*BK11^2*DATOS!$C$21))))*DATOS!$C$21*AG11*BK11/DATOS!$C$14)))-0.0001,MAX(DATOS!$C$71,CEILING(BL11/INDEX(TABLAS!$D$52:$D$58,MIN(MATCH(DATOS!$C$68,TABLAS!$B$52:$B$58,0)+3,7)),1)),MAX(MAX(DATOS!$C$71,CEILING(BL11/INDEX(TABLAS!$D$52:$D$58,MIN(MATCH(DATOS!$C$68,TABLAS!$B$52:$B$58,0)+3,7)),1)),2))&lt;=MIN(DATOS!$C$70,INT(((AC11-2*AJ11)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11&gt;=0,IF(MAX(DATOS!$C$71,CEILING(BL11/INDEX(TABLAS!$D$52:$D$58,MIN(MATCH(DATOS!$C$68,TABLAS!$B$52:$B$58,0)+4,7)),1))*INDEX(TABLAS!$D$52:$D$58,MIN(MATCH(DATOS!$C$68,TABLAS!$B$52:$B$58,0)+4,7))&gt;=4/3*IF(BF11&lt;=0,0,IF((1-2*BF11*1E5/(DATOS!$C$29*AG11*BK11^2*DATOS!$C$21))&lt;0,-1,IF((1-SQRT((1-2*BF11*1E5/(DATOS!$C$29*AG11*BK11^2*DATOS!$C$21))))*DATOS!$C$21*AG11*BK11/DATOS!$C$14&gt;DATOS!$C$99*AG11*BK11,-1,(1-SQRT((1-2*BF11*1E5/(DATOS!$C$29*AG11*BK11^2*DATOS!$C$21))))*DATOS!$C$21*AG11*BK11/DATOS!$C$14)))-0.0001,MAX(DATOS!$C$71,CEILING(BL11/INDEX(TABLAS!$D$52:$D$58,MIN(MATCH(DATOS!$C$68,TABLAS!$B$52:$B$58,0)+4,7)),1)),MAX(MAX(DATOS!$C$71,CEILING(BL11/INDEX(TABLAS!$D$52:$D$58,MIN(MATCH(DATOS!$C$68,TABLAS!$B$52:$B$58,0)+4,7)),1)),2))&lt;=MIN(DATOS!$C$70,INT(((AC11-2*AJ11)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>4</v>
      </c>
      <c r="BN11" s="59">
        <f>IF(U11&lt;&gt;"SÍ","",IF(BL11&lt;0,0,IF(MAX(DATOS!$C$71,CEILING(MAX(BL11,0)/INDEX(TABLAS!$D$52:$D$58,MATCH(BM11,TABLAS!$B$52:$B$58,0)),1))*INDEX(TABLAS!$D$52:$D$58,MATCH(BM11,TABLAS!$B$52:$B$58,0))&gt;=4/3*IF(BF11&lt;=0,0,IF((1-2*BF11*1E5/(DATOS!$C$29*AG11*BK11^2*DATOS!$C$21))&lt;0,-1,IF((1-SQRT((1-2*BF11*1E5/(DATOS!$C$29*AG11*BK11^2*DATOS!$C$21))))*DATOS!$C$21*AG11*BK11/DATOS!$C$14&gt;DATOS!$C$99*AG11*BK11,-1,(1-SQRT((1-2*BF11*1E5/(DATOS!$C$29*AG11*BK11^2*DATOS!$C$21))))*DATOS!$C$21*AG11*BK11/DATOS!$C$14)))-0.0001,MAX(DATOS!$C$71,CEILING(MAX(BL11,0)/INDEX(TABLAS!$D$52:$D$58,MATCH(BM11,TABLAS!$B$52:$B$58,0)),1)),MAX(MAX(DATOS!$C$71,CEILING(MAX(BL11,0)/INDEX(TABLAS!$D$52:$D$58,MATCH(BM11,TABLAS!$B$52:$B$58,0)),1)),2))))</f>
        <v>1</v>
      </c>
      <c r="BO11" s="58">
        <f>IF(U11&lt;&gt;"SÍ","",DATOS!$C$82-AJ11-INDEX(TABLAS!$C$52:$C$58,MATCH(BM11,TABLAS!$B$52:$B$58,0))/2)</f>
        <v>22.365</v>
      </c>
      <c r="BP11" s="56">
        <f>IF(U11&lt;&gt;"SÍ","",IF(BN11=0,0,DATOS!$C$29*BN11*INDEX(TABLAS!$D$52:$D$58,MATCH(BM11,TABLAS!$B$52:$B$58,0))*DATOS!$C$14*(BO11-BN11*INDEX(TABLAS!$D$52:$D$58,MATCH(BM11,TABLAS!$B$52:$B$58,0))*DATOS!$C$14/(DATOS!$C$21*AG11)/2)/1E5))</f>
        <v>1.06504699658824</v>
      </c>
      <c r="BQ11" s="65">
        <f>IF(U11&lt;&gt;"SÍ","",IF(BL11&lt;0,9.99,IF(BP11&gt;0,BF11/BP11,0)))</f>
        <v>0.370760311166557</v>
      </c>
      <c r="BR11" s="66">
        <f>IF(U11&lt;&gt;"SÍ","",IF(BN11=0,"—",0.003*(BO11-(BN11*INDEX(TABLAS!$D$52:$D$58,MATCH(BM11,TABLAS!$B$52:$B$58,0))*DATOS!$C$14/(DATOS!$C$21*AG11)/DATOS!$C$22))/(BN11*INDEX(TABLAS!$D$52:$D$58,MATCH(BM11,TABLAS!$B$52:$B$58,0))*DATOS!$C$14/(DATOS!$C$21*AG11)/DATOS!$C$22)))</f>
        <v>0.156042445866142</v>
      </c>
      <c r="BS11" s="58">
        <f>IF(U11&lt;&gt;"SÍ","",((DATOS!$C$82-AL11-2*DATOS!$C$94-INDEX(TABLAS!$C$52:$C$58,MATCH(DATOS!$C$69,TABLAS!$B$52:$B$58,0))/2)-IF(AND((DATOS!$C$82-AL11-2*DATOS!$C$94-INDEX(TABLAS!$C$52:$C$58,MATCH(DATOS!$C$69,TABLAS!$B$52:$B$58,0))/2)&lt;=20,DATOS!$C$62&lt;&gt;"SÍ"),2,0)))</f>
        <v>20.793</v>
      </c>
      <c r="BT11" s="58">
        <f>IF(U11&lt;&gt;"SÍ","",IF(IF(BG11&lt;=0,0,IF((1-2*BG11*1E5/(DATOS!$C$29*AE11*BS11^2*DATOS!$C$21))&lt;0,-1,IF((1-SQRT((1-2*BG11*1E5/(DATOS!$C$29*AE11*BS11^2*DATOS!$C$21))))*DATOS!$C$21*AE11*BS11/DATOS!$C$14&gt;DATOS!$C$99*AE11*BS11,-1,(1-SQRT((1-2*BG11*1E5/(DATOS!$C$29*AE11*BS11^2*DATOS!$C$21))))*DATOS!$C$21*AE11*BS11/DATOS!$C$14)))&lt;0,-1,MAX(IF(BG11&lt;=0,0,IF((1-2*BG11*1E5/(DATOS!$C$29*AE11*BS11^2*DATOS!$C$21))&lt;0,-1,IF((1-SQRT((1-2*BG11*1E5/(DATOS!$C$29*AE11*BS11^2*DATOS!$C$21))))*DATOS!$C$21*AE11*BS11/DATOS!$C$14&gt;DATOS!$C$99*AE11*BS11,-1,(1-SQRT((1-2*BG11*1E5/(DATOS!$C$29*AE11*BS11^2*DATOS!$C$21))))*DATOS!$C$21*AE11*BS11/DATOS!$C$14))),MIN(DATOS!$C$100*IF(C11="VOLADO",MIN(AG11,2*AC11),AC11)*BS11,4/3*IF(BG11&lt;=0,0,IF((1-2*BG11*1E5/(DATOS!$C$29*AE11*BS11^2*DATOS!$C$21))&lt;0,-1,IF((1-SQRT((1-2*BG11*1E5/(DATOS!$C$29*AE11*BS11^2*DATOS!$C$21))))*DATOS!$C$21*AE11*BS11/DATOS!$C$14&gt;DATOS!$C$99*AE11*BS11,-1,(1-SQRT((1-2*BG11*1E5/(DATOS!$C$29*AE11*BS11^2*DATOS!$C$21))))*DATOS!$C$21*AE11*BS11/DATOS!$C$14)))))))</f>
        <v>0.985351748115221</v>
      </c>
      <c r="BU11" s="64">
        <f>IF(U11&lt;&gt;"SÍ","",IF(AND(BT11&gt;=0,IF(MAX(DATOS!$C$71,CEILING(BT11/INDEX(TABLAS!$D$52:$D$58,MIN(MATCH(DATOS!$C$69,TABLAS!$B$52:$B$58,0)+0,7)),1))*INDEX(TABLAS!$D$52:$D$58,MIN(MATCH(DATOS!$C$69,TABLAS!$B$52:$B$58,0)+0,7))&gt;=4/3*IF(BG11&lt;=0,0,IF((1-2*BG11*1E5/(DATOS!$C$29*AE11*BS11^2*DATOS!$C$21))&lt;0,-1,IF((1-SQRT((1-2*BG11*1E5/(DATOS!$C$29*AE11*BS11^2*DATOS!$C$21))))*DATOS!$C$21*AE11*BS11/DATOS!$C$14&gt;DATOS!$C$99*AE11*BS11,-1,(1-SQRT((1-2*BG11*1E5/(DATOS!$C$29*AE11*BS11^2*DATOS!$C$21))))*DATOS!$C$21*AE11*BS11/DATOS!$C$14)))-0.0001,MAX(DATOS!$C$71,CEILING(BT11/INDEX(TABLAS!$D$52:$D$58,MIN(MATCH(DATOS!$C$69,TABLAS!$B$52:$B$58,0)+0,7)),1)),MAX(MAX(DATOS!$C$71,CEILING(BT11/INDEX(TABLAS!$D$52:$D$58,MIN(MATCH(DATOS!$C$69,TABLAS!$B$52:$B$58,0)+0,7)),1)),2))&lt;=MIN(DATOS!$C$70,INT(((AC11-2*AK11)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11&gt;=0,IF(MAX(DATOS!$C$71,CEILING(BT11/INDEX(TABLAS!$D$52:$D$58,MIN(MATCH(DATOS!$C$69,TABLAS!$B$52:$B$58,0)+1,7)),1))*INDEX(TABLAS!$D$52:$D$58,MIN(MATCH(DATOS!$C$69,TABLAS!$B$52:$B$58,0)+1,7))&gt;=4/3*IF(BG11&lt;=0,0,IF((1-2*BG11*1E5/(DATOS!$C$29*AE11*BS11^2*DATOS!$C$21))&lt;0,-1,IF((1-SQRT((1-2*BG11*1E5/(DATOS!$C$29*AE11*BS11^2*DATOS!$C$21))))*DATOS!$C$21*AE11*BS11/DATOS!$C$14&gt;DATOS!$C$99*AE11*BS11,-1,(1-SQRT((1-2*BG11*1E5/(DATOS!$C$29*AE11*BS11^2*DATOS!$C$21))))*DATOS!$C$21*AE11*BS11/DATOS!$C$14)))-0.0001,MAX(DATOS!$C$71,CEILING(BT11/INDEX(TABLAS!$D$52:$D$58,MIN(MATCH(DATOS!$C$69,TABLAS!$B$52:$B$58,0)+1,7)),1)),MAX(MAX(DATOS!$C$71,CEILING(BT11/INDEX(TABLAS!$D$52:$D$58,MIN(MATCH(DATOS!$C$69,TABLAS!$B$52:$B$58,0)+1,7)),1)),2))&lt;=MIN(DATOS!$C$70,INT(((AC11-2*AK11)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11&gt;=0,IF(MAX(DATOS!$C$71,CEILING(BT11/INDEX(TABLAS!$D$52:$D$58,MIN(MATCH(DATOS!$C$69,TABLAS!$B$52:$B$58,0)+2,7)),1))*INDEX(TABLAS!$D$52:$D$58,MIN(MATCH(DATOS!$C$69,TABLAS!$B$52:$B$58,0)+2,7))&gt;=4/3*IF(BG11&lt;=0,0,IF((1-2*BG11*1E5/(DATOS!$C$29*AE11*BS11^2*DATOS!$C$21))&lt;0,-1,IF((1-SQRT((1-2*BG11*1E5/(DATOS!$C$29*AE11*BS11^2*DATOS!$C$21))))*DATOS!$C$21*AE11*BS11/DATOS!$C$14&gt;DATOS!$C$99*AE11*BS11,-1,(1-SQRT((1-2*BG11*1E5/(DATOS!$C$29*AE11*BS11^2*DATOS!$C$21))))*DATOS!$C$21*AE11*BS11/DATOS!$C$14)))-0.0001,MAX(DATOS!$C$71,CEILING(BT11/INDEX(TABLAS!$D$52:$D$58,MIN(MATCH(DATOS!$C$69,TABLAS!$B$52:$B$58,0)+2,7)),1)),MAX(MAX(DATOS!$C$71,CEILING(BT11/INDEX(TABLAS!$D$52:$D$58,MIN(MATCH(DATOS!$C$69,TABLAS!$B$52:$B$58,0)+2,7)),1)),2))&lt;=MIN(DATOS!$C$70,INT(((AC11-2*AK11)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11&gt;=0,IF(MAX(DATOS!$C$71,CEILING(BT11/INDEX(TABLAS!$D$52:$D$58,MIN(MATCH(DATOS!$C$69,TABLAS!$B$52:$B$58,0)+3,7)),1))*INDEX(TABLAS!$D$52:$D$58,MIN(MATCH(DATOS!$C$69,TABLAS!$B$52:$B$58,0)+3,7))&gt;=4/3*IF(BG11&lt;=0,0,IF((1-2*BG11*1E5/(DATOS!$C$29*AE11*BS11^2*DATOS!$C$21))&lt;0,-1,IF((1-SQRT((1-2*BG11*1E5/(DATOS!$C$29*AE11*BS11^2*DATOS!$C$21))))*DATOS!$C$21*AE11*BS11/DATOS!$C$14&gt;DATOS!$C$99*AE11*BS11,-1,(1-SQRT((1-2*BG11*1E5/(DATOS!$C$29*AE11*BS11^2*DATOS!$C$21))))*DATOS!$C$21*AE11*BS11/DATOS!$C$14)))-0.0001,MAX(DATOS!$C$71,CEILING(BT11/INDEX(TABLAS!$D$52:$D$58,MIN(MATCH(DATOS!$C$69,TABLAS!$B$52:$B$58,0)+3,7)),1)),MAX(MAX(DATOS!$C$71,CEILING(BT11/INDEX(TABLAS!$D$52:$D$58,MIN(MATCH(DATOS!$C$69,TABLAS!$B$52:$B$58,0)+3,7)),1)),2))&lt;=MIN(DATOS!$C$70,INT(((AC11-2*AK11)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11&gt;=0,IF(MAX(DATOS!$C$71,CEILING(BT11/INDEX(TABLAS!$D$52:$D$58,MIN(MATCH(DATOS!$C$69,TABLAS!$B$52:$B$58,0)+4,7)),1))*INDEX(TABLAS!$D$52:$D$58,MIN(MATCH(DATOS!$C$69,TABLAS!$B$52:$B$58,0)+4,7))&gt;=4/3*IF(BG11&lt;=0,0,IF((1-2*BG11*1E5/(DATOS!$C$29*AE11*BS11^2*DATOS!$C$21))&lt;0,-1,IF((1-SQRT((1-2*BG11*1E5/(DATOS!$C$29*AE11*BS11^2*DATOS!$C$21))))*DATOS!$C$21*AE11*BS11/DATOS!$C$14&gt;DATOS!$C$99*AE11*BS11,-1,(1-SQRT((1-2*BG11*1E5/(DATOS!$C$29*AE11*BS11^2*DATOS!$C$21))))*DATOS!$C$21*AE11*BS11/DATOS!$C$14)))-0.0001,MAX(DATOS!$C$71,CEILING(BT11/INDEX(TABLAS!$D$52:$D$58,MIN(MATCH(DATOS!$C$69,TABLAS!$B$52:$B$58,0)+4,7)),1)),MAX(MAX(DATOS!$C$71,CEILING(BT11/INDEX(TABLAS!$D$52:$D$58,MIN(MATCH(DATOS!$C$69,TABLAS!$B$52:$B$58,0)+4,7)),1)),2))&lt;=MIN(DATOS!$C$70,INT(((AC11-2*AK11)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>4</v>
      </c>
      <c r="BV11" s="59">
        <f>IF(U11&lt;&gt;"SÍ","",IF(BT11&lt;0,0,IF(MAX(DATOS!$C$71,CEILING(MAX(BT11,0)/INDEX(TABLAS!$D$52:$D$58,MATCH(BU11,TABLAS!$B$52:$B$58,0)),1))*INDEX(TABLAS!$D$52:$D$58,MATCH(BU11,TABLAS!$B$52:$B$58,0))&gt;=4/3*IF(BG11&lt;=0,0,IF((1-2*BG11*1E5/(DATOS!$C$29*AE11*BS11^2*DATOS!$C$21))&lt;0,-1,IF((1-SQRT((1-2*BG11*1E5/(DATOS!$C$29*AE11*BS11^2*DATOS!$C$21))))*DATOS!$C$21*AE11*BS11/DATOS!$C$14&gt;DATOS!$C$99*AE11*BS11,-1,(1-SQRT((1-2*BG11*1E5/(DATOS!$C$29*AE11*BS11^2*DATOS!$C$21))))*DATOS!$C$21*AE11*BS11/DATOS!$C$14)))-0.0001,MAX(DATOS!$C$71,CEILING(MAX(BT11,0)/INDEX(TABLAS!$D$52:$D$58,MATCH(BU11,TABLAS!$B$52:$B$58,0)),1)),MAX(MAX(DATOS!$C$71,CEILING(MAX(BT11,0)/INDEX(TABLAS!$D$52:$D$58,MATCH(BU11,TABLAS!$B$52:$B$58,0)),1)),2))))</f>
        <v>2</v>
      </c>
      <c r="BW11" s="58">
        <f>IF(U11&lt;&gt;"SÍ","",((DATOS!$C$82-AL11-2*DATOS!$C$94-INDEX(TABLAS!$C$52:$C$58,MATCH(BU11,TABLAS!$B$52:$B$58,0))/2)-IF(AND((DATOS!$C$82-AL11-2*DATOS!$C$94-INDEX(TABLAS!$C$52:$C$58,MATCH(BU11,TABLAS!$B$52:$B$58,0))/2)&lt;=20,DATOS!$C$62&lt;&gt;"SÍ"),2,0)))</f>
        <v>20.793</v>
      </c>
      <c r="BX11" s="56">
        <f>IF(U11&lt;&gt;"SÍ","",IF(BV11=0,0,DATOS!$C$29*BV11*INDEX(TABLAS!$D$52:$D$58,MATCH(BU11,TABLAS!$B$52:$B$58,0))*DATOS!$C$14*(BW11-BV11*INDEX(TABLAS!$D$52:$D$58,MATCH(BU11,TABLAS!$B$52:$B$58,0))*DATOS!$C$14/(DATOS!$C$21*AE11)/2)/1E5))</f>
        <v>1.75537610047059</v>
      </c>
      <c r="BY11" s="65">
        <f>IF(U11&lt;&gt;"SÍ","",IF(BT11&lt;0,9.99,IF(BX11&gt;0,BG11/BX11,0)))</f>
        <v>0.420532844324103</v>
      </c>
      <c r="BZ11" s="66">
        <f>IF(U11&lt;&gt;"SÍ","",IF(BV11=0,"—",0.003*(BW11-(BV11*INDEX(TABLAS!$D$52:$D$58,MATCH(BU11,TABLAS!$B$52:$B$58,0))*DATOS!$C$14/(DATOS!$C$21*AE11)/DATOS!$C$22))/(BV11*INDEX(TABLAS!$D$52:$D$58,MATCH(BU11,TABLAS!$B$52:$B$58,0))*DATOS!$C$14/(DATOS!$C$21*AE11)/DATOS!$C$22)))</f>
        <v>0.00756168623453318</v>
      </c>
      <c r="CA11" s="58">
        <f>IF(U11&lt;&gt;"SÍ","",(DATOS!$C$82-AJ11-INDEX(TABLAS!$C$52:$C$58,MATCH(DATOS!$C$68,TABLAS!$B$52:$B$58,0))-INDEX(TABLAS!$C$52:$C$58,MATCH(DATOS!$C$68,TABLAS!$B$52:$B$58,0))/2))</f>
        <v>21.095</v>
      </c>
      <c r="CB11" s="58">
        <f>IF(U11&lt;&gt;"SÍ","",IF(IF(BH11&lt;=0,0,IF((1-2*BH11*1E5/(DATOS!$C$29*AH11*CA11^2*DATOS!$C$21))&lt;0,-1,IF((1-SQRT((1-2*BH11*1E5/(DATOS!$C$29*AH11*CA11^2*DATOS!$C$21))))*DATOS!$C$21*AH11*CA11/DATOS!$C$14&gt;DATOS!$C$99*AH11*CA11,-1,(1-SQRT((1-2*BH11*1E5/(DATOS!$C$29*AH11*CA11^2*DATOS!$C$21))))*DATOS!$C$21*AH11*CA11/DATOS!$C$14)))&lt;0,-1,MAX(IF(BH11&lt;=0,0,IF((1-2*BH11*1E5/(DATOS!$C$29*AH11*CA11^2*DATOS!$C$21))&lt;0,-1,IF((1-SQRT((1-2*BH11*1E5/(DATOS!$C$29*AH11*CA11^2*DATOS!$C$21))))*DATOS!$C$21*AH11*CA11/DATOS!$C$14&gt;DATOS!$C$99*AH11*CA11,-1,(1-SQRT((1-2*BH11*1E5/(DATOS!$C$29*AH11*CA11^2*DATOS!$C$21))))*DATOS!$C$21*AH11*CA11/DATOS!$C$14))),MIN(DATOS!$C$100*DATOS!$C$80*CA11,4/3*IF(BH11&lt;=0,0,IF((1-2*BH11*1E5/(DATOS!$C$29*AH11*CA11^2*DATOS!$C$21))&lt;0,-1,IF((1-SQRT((1-2*BH11*1E5/(DATOS!$C$29*AH11*CA11^2*DATOS!$C$21))))*DATOS!$C$21*AH11*CA11/DATOS!$C$14&gt;DATOS!$C$99*AH11*CA11,-1,(1-SQRT((1-2*BH11*1E5/(DATOS!$C$29*AH11*CA11^2*DATOS!$C$21))))*DATOS!$C$21*AH11*CA11/DATOS!$C$14)))))))</f>
        <v>0.584989494863686</v>
      </c>
      <c r="CC11" s="64">
        <f>IF(U11&lt;&gt;"SÍ","",IF(AND(CB11&gt;=0,IF(MAX(DATOS!$C$71,CEILING(CB11/INDEX(TABLAS!$D$52:$D$58,MIN(MATCH(DATOS!$C$68,TABLAS!$B$52:$B$58,0)+0,7)),1))*INDEX(TABLAS!$D$52:$D$58,MIN(MATCH(DATOS!$C$68,TABLAS!$B$52:$B$58,0)+0,7))&gt;=4/3*IF(BH11&lt;=0,0,IF((1-2*BH11*1E5/(DATOS!$C$29*AH11*CA11^2*DATOS!$C$21))&lt;0,-1,IF((1-SQRT((1-2*BH11*1E5/(DATOS!$C$29*AH11*CA11^2*DATOS!$C$21))))*DATOS!$C$21*AH11*CA11/DATOS!$C$14&gt;DATOS!$C$99*AH11*CA11,-1,(1-SQRT((1-2*BH11*1E5/(DATOS!$C$29*AH11*CA11^2*DATOS!$C$21))))*DATOS!$C$21*AH11*CA11/DATOS!$C$14)))-0.0001,MAX(DATOS!$C$71,CEILING(CB11/INDEX(TABLAS!$D$52:$D$58,MIN(MATCH(DATOS!$C$68,TABLAS!$B$52:$B$58,0)+0,7)),1)),MAX(MAX(DATOS!$C$71,CEILING(CB11/INDEX(TABLAS!$D$52:$D$58,MIN(MATCH(DATOS!$C$68,TABLAS!$B$52:$B$58,0)+0,7)),1)),2))&lt;=MIN(DATOS!$C$70,INT(((DATOS!$C$80-2*AJ11)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11&gt;=0,IF(MAX(DATOS!$C$71,CEILING(CB11/INDEX(TABLAS!$D$52:$D$58,MIN(MATCH(DATOS!$C$68,TABLAS!$B$52:$B$58,0)+1,7)),1))*INDEX(TABLAS!$D$52:$D$58,MIN(MATCH(DATOS!$C$68,TABLAS!$B$52:$B$58,0)+1,7))&gt;=4/3*IF(BH11&lt;=0,0,IF((1-2*BH11*1E5/(DATOS!$C$29*AH11*CA11^2*DATOS!$C$21))&lt;0,-1,IF((1-SQRT((1-2*BH11*1E5/(DATOS!$C$29*AH11*CA11^2*DATOS!$C$21))))*DATOS!$C$21*AH11*CA11/DATOS!$C$14&gt;DATOS!$C$99*AH11*CA11,-1,(1-SQRT((1-2*BH11*1E5/(DATOS!$C$29*AH11*CA11^2*DATOS!$C$21))))*DATOS!$C$21*AH11*CA11/DATOS!$C$14)))-0.0001,MAX(DATOS!$C$71,CEILING(CB11/INDEX(TABLAS!$D$52:$D$58,MIN(MATCH(DATOS!$C$68,TABLAS!$B$52:$B$58,0)+1,7)),1)),MAX(MAX(DATOS!$C$71,CEILING(CB11/INDEX(TABLAS!$D$52:$D$58,MIN(MATCH(DATOS!$C$68,TABLAS!$B$52:$B$58,0)+1,7)),1)),2))&lt;=MIN(DATOS!$C$70,INT(((DATOS!$C$80-2*AJ11)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11&gt;=0,IF(MAX(DATOS!$C$71,CEILING(CB11/INDEX(TABLAS!$D$52:$D$58,MIN(MATCH(DATOS!$C$68,TABLAS!$B$52:$B$58,0)+2,7)),1))*INDEX(TABLAS!$D$52:$D$58,MIN(MATCH(DATOS!$C$68,TABLAS!$B$52:$B$58,0)+2,7))&gt;=4/3*IF(BH11&lt;=0,0,IF((1-2*BH11*1E5/(DATOS!$C$29*AH11*CA11^2*DATOS!$C$21))&lt;0,-1,IF((1-SQRT((1-2*BH11*1E5/(DATOS!$C$29*AH11*CA11^2*DATOS!$C$21))))*DATOS!$C$21*AH11*CA11/DATOS!$C$14&gt;DATOS!$C$99*AH11*CA11,-1,(1-SQRT((1-2*BH11*1E5/(DATOS!$C$29*AH11*CA11^2*DATOS!$C$21))))*DATOS!$C$21*AH11*CA11/DATOS!$C$14)))-0.0001,MAX(DATOS!$C$71,CEILING(CB11/INDEX(TABLAS!$D$52:$D$58,MIN(MATCH(DATOS!$C$68,TABLAS!$B$52:$B$58,0)+2,7)),1)),MAX(MAX(DATOS!$C$71,CEILING(CB11/INDEX(TABLAS!$D$52:$D$58,MIN(MATCH(DATOS!$C$68,TABLAS!$B$52:$B$58,0)+2,7)),1)),2))&lt;=MIN(DATOS!$C$70,INT(((DATOS!$C$80-2*AJ11)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11&gt;=0,IF(MAX(DATOS!$C$71,CEILING(CB11/INDEX(TABLAS!$D$52:$D$58,MIN(MATCH(DATOS!$C$68,TABLAS!$B$52:$B$58,0)+3,7)),1))*INDEX(TABLAS!$D$52:$D$58,MIN(MATCH(DATOS!$C$68,TABLAS!$B$52:$B$58,0)+3,7))&gt;=4/3*IF(BH11&lt;=0,0,IF((1-2*BH11*1E5/(DATOS!$C$29*AH11*CA11^2*DATOS!$C$21))&lt;0,-1,IF((1-SQRT((1-2*BH11*1E5/(DATOS!$C$29*AH11*CA11^2*DATOS!$C$21))))*DATOS!$C$21*AH11*CA11/DATOS!$C$14&gt;DATOS!$C$99*AH11*CA11,-1,(1-SQRT((1-2*BH11*1E5/(DATOS!$C$29*AH11*CA11^2*DATOS!$C$21))))*DATOS!$C$21*AH11*CA11/DATOS!$C$14)))-0.0001,MAX(DATOS!$C$71,CEILING(CB11/INDEX(TABLAS!$D$52:$D$58,MIN(MATCH(DATOS!$C$68,TABLAS!$B$52:$B$58,0)+3,7)),1)),MAX(MAX(DATOS!$C$71,CEILING(CB11/INDEX(TABLAS!$D$52:$D$58,MIN(MATCH(DATOS!$C$68,TABLAS!$B$52:$B$58,0)+3,7)),1)),2))&lt;=MIN(DATOS!$C$70,INT(((DATOS!$C$80-2*AJ11)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11&gt;=0,IF(MAX(DATOS!$C$71,CEILING(CB11/INDEX(TABLAS!$D$52:$D$58,MIN(MATCH(DATOS!$C$68,TABLAS!$B$52:$B$58,0)+4,7)),1))*INDEX(TABLAS!$D$52:$D$58,MIN(MATCH(DATOS!$C$68,TABLAS!$B$52:$B$58,0)+4,7))&gt;=4/3*IF(BH11&lt;=0,0,IF((1-2*BH11*1E5/(DATOS!$C$29*AH11*CA11^2*DATOS!$C$21))&lt;0,-1,IF((1-SQRT((1-2*BH11*1E5/(DATOS!$C$29*AH11*CA11^2*DATOS!$C$21))))*DATOS!$C$21*AH11*CA11/DATOS!$C$14&gt;DATOS!$C$99*AH11*CA11,-1,(1-SQRT((1-2*BH11*1E5/(DATOS!$C$29*AH11*CA11^2*DATOS!$C$21))))*DATOS!$C$21*AH11*CA11/DATOS!$C$14)))-0.0001,MAX(DATOS!$C$71,CEILING(CB11/INDEX(TABLAS!$D$52:$D$58,MIN(MATCH(DATOS!$C$68,TABLAS!$B$52:$B$58,0)+4,7)),1)),MAX(MAX(DATOS!$C$71,CEILING(CB11/INDEX(TABLAS!$D$52:$D$58,MIN(MATCH(DATOS!$C$68,TABLAS!$B$52:$B$58,0)+4,7)),1)),2))&lt;=MIN(DATOS!$C$70,INT(((DATOS!$C$80-2*AJ11)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>4</v>
      </c>
      <c r="CD11" s="59">
        <f>IF(U11&lt;&gt;"SÍ","",IF(CB11&lt;0,0,IF(MAX(DATOS!$C$71,CEILING(MAX(CB11,0)/INDEX(TABLAS!$D$52:$D$58,MATCH(CC11,TABLAS!$B$52:$B$58,0)),1))*INDEX(TABLAS!$D$52:$D$58,MATCH(CC11,TABLAS!$B$52:$B$58,0))&gt;=4/3*IF(BH11&lt;=0,0,IF((1-2*BH11*1E5/(DATOS!$C$29*AH11*CA11^2*DATOS!$C$21))&lt;0,-1,IF((1-SQRT((1-2*BH11*1E5/(DATOS!$C$29*AH11*CA11^2*DATOS!$C$21))))*DATOS!$C$21*AH11*CA11/DATOS!$C$14&gt;DATOS!$C$99*AH11*CA11,-1,(1-SQRT((1-2*BH11*1E5/(DATOS!$C$29*AH11*CA11^2*DATOS!$C$21))))*DATOS!$C$21*AH11*CA11/DATOS!$C$14)))-0.0001,MAX(DATOS!$C$71,CEILING(MAX(CB11,0)/INDEX(TABLAS!$D$52:$D$58,MATCH(CC11,TABLAS!$B$52:$B$58,0)),1)),MAX(MAX(DATOS!$C$71,CEILING(MAX(CB11,0)/INDEX(TABLAS!$D$52:$D$58,MATCH(CC11,TABLAS!$B$52:$B$58,0)),1)),2))))</f>
        <v>1</v>
      </c>
      <c r="CE11" s="58">
        <f>IF(U11&lt;&gt;"SÍ","",DATOS!$C$82-AJ11-INDEX(TABLAS!$C$52:$C$58,MATCH(BM11,TABLAS!$B$52:$B$58,0))-INDEX(TABLAS!$C$52:$C$58,MATCH(CC11,TABLAS!$B$52:$B$58,0))/2)</f>
        <v>21.095</v>
      </c>
      <c r="CF11" s="56">
        <f>IF(U11&lt;&gt;"SÍ","",IF(CD11=0,0,DATOS!$C$29*CD11*INDEX(TABLAS!$D$52:$D$58,MATCH(CC11,TABLAS!$B$52:$B$58,0))*DATOS!$C$14*(CE11-CD11*INDEX(TABLAS!$D$52:$D$58,MATCH(CC11,TABLAS!$B$52:$B$58,0))*DATOS!$C$14/(DATOS!$C$21*AH11)/2)/1E5))</f>
        <v>1.00407937658824</v>
      </c>
      <c r="CG11" s="65">
        <f>IF(U11&lt;&gt;"SÍ","",IF(CB11&lt;0,9.99,IF(CF11&gt;0,BH11/CF11,0)))</f>
        <v>0.347404582571268</v>
      </c>
      <c r="CH11" s="66">
        <f>IF(U11&lt;&gt;"SÍ","",IF(CD11=0,"—",0.003*(CE11-(CD11*INDEX(TABLAS!$D$52:$D$58,MATCH(CC11,TABLAS!$B$52:$B$58,0))*DATOS!$C$14/(DATOS!$C$21*AH11)/DATOS!$C$22))/(CD11*INDEX(TABLAS!$D$52:$D$58,MATCH(CC11,TABLAS!$B$52:$B$58,0))*DATOS!$C$14/(DATOS!$C$21*AH11)/DATOS!$C$22)))</f>
        <v>0.147011195866142</v>
      </c>
      <c r="CI11" s="58">
        <f>IF(U11&lt;&gt;"SÍ","",((DATOS!$C$82-AL11-2*DATOS!$C$94-INDEX(TABLAS!$C$52:$C$58,MATCH(DATOS!$C$69,TABLAS!$B$52:$B$58,0))-INDEX(TABLAS!$C$52:$C$58,MATCH(DATOS!$C$69,TABLAS!$B$52:$B$58,0))/2)-IF(AND((DATOS!$C$82-AL11-2*DATOS!$C$94-INDEX(TABLAS!$C$52:$C$58,MATCH(DATOS!$C$69,TABLAS!$B$52:$B$58,0))-INDEX(TABLAS!$C$52:$C$58,MATCH(DATOS!$C$69,TABLAS!$B$52:$B$58,0))/2)&lt;=20,DATOS!$C$62&lt;&gt;"SÍ"),2,0)))</f>
        <v>19.523</v>
      </c>
      <c r="CJ11" s="58">
        <f>IF(U11&lt;&gt;"SÍ","",IF(IF(BI11&lt;=0,0,IF((1-2*BI11*1E5/(DATOS!$C$29*AF11*CI11^2*DATOS!$C$21))&lt;0,-1,IF((1-SQRT((1-2*BI11*1E5/(DATOS!$C$29*AF11*CI11^2*DATOS!$C$21))))*DATOS!$C$21*AF11*CI11/DATOS!$C$14&gt;DATOS!$C$99*AF11*CI11,-1,(1-SQRT((1-2*BI11*1E5/(DATOS!$C$29*AF11*CI11^2*DATOS!$C$21))))*DATOS!$C$21*AF11*CI11/DATOS!$C$14)))&lt;0,-1,MAX(IF(BI11&lt;=0,0,IF((1-2*BI11*1E5/(DATOS!$C$29*AF11*CI11^2*DATOS!$C$21))&lt;0,-1,IF((1-SQRT((1-2*BI11*1E5/(DATOS!$C$29*AF11*CI11^2*DATOS!$C$21))))*DATOS!$C$21*AF11*CI11/DATOS!$C$14&gt;DATOS!$C$99*AF11*CI11,-1,(1-SQRT((1-2*BI11*1E5/(DATOS!$C$29*AF11*CI11^2*DATOS!$C$21))))*DATOS!$C$21*AF11*CI11/DATOS!$C$14))),MIN(DATOS!$C$100*DATOS!$C$80*CI11,4/3*IF(BI11&lt;=0,0,IF((1-2*BI11*1E5/(DATOS!$C$29*AF11*CI11^2*DATOS!$C$21))&lt;0,-1,IF((1-SQRT((1-2*BI11*1E5/(DATOS!$C$29*AF11*CI11^2*DATOS!$C$21))))*DATOS!$C$21*AF11*CI11/DATOS!$C$14&gt;DATOS!$C$99*AF11*CI11,-1,(1-SQRT((1-2*BI11*1E5/(DATOS!$C$29*AF11*CI11^2*DATOS!$C$21))))*DATOS!$C$21*AF11*CI11/DATOS!$C$14)))))))</f>
        <v>0.864408651211316</v>
      </c>
      <c r="CK11" s="64">
        <f>IF(U11&lt;&gt;"SÍ","",IF(AND(CJ11&gt;=0,IF(MAX(DATOS!$C$71,CEILING(CJ11/INDEX(TABLAS!$D$52:$D$58,MIN(MATCH(DATOS!$C$69,TABLAS!$B$52:$B$58,0)+0,7)),1))*INDEX(TABLAS!$D$52:$D$58,MIN(MATCH(DATOS!$C$69,TABLAS!$B$52:$B$58,0)+0,7))&gt;=4/3*IF(BI11&lt;=0,0,IF((1-2*BI11*1E5/(DATOS!$C$29*AF11*CI11^2*DATOS!$C$21))&lt;0,-1,IF((1-SQRT((1-2*BI11*1E5/(DATOS!$C$29*AF11*CI11^2*DATOS!$C$21))))*DATOS!$C$21*AF11*CI11/DATOS!$C$14&gt;DATOS!$C$99*AF11*CI11,-1,(1-SQRT((1-2*BI11*1E5/(DATOS!$C$29*AF11*CI11^2*DATOS!$C$21))))*DATOS!$C$21*AF11*CI11/DATOS!$C$14)))-0.0001,MAX(DATOS!$C$71,CEILING(CJ11/INDEX(TABLAS!$D$52:$D$58,MIN(MATCH(DATOS!$C$69,TABLAS!$B$52:$B$58,0)+0,7)),1)),MAX(MAX(DATOS!$C$71,CEILING(CJ11/INDEX(TABLAS!$D$52:$D$58,MIN(MATCH(DATOS!$C$69,TABLAS!$B$52:$B$58,0)+0,7)),1)),2))&lt;=MIN(DATOS!$C$70,INT(((DATOS!$C$80-2*AK11)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11&gt;=0,IF(MAX(DATOS!$C$71,CEILING(CJ11/INDEX(TABLAS!$D$52:$D$58,MIN(MATCH(DATOS!$C$69,TABLAS!$B$52:$B$58,0)+1,7)),1))*INDEX(TABLAS!$D$52:$D$58,MIN(MATCH(DATOS!$C$69,TABLAS!$B$52:$B$58,0)+1,7))&gt;=4/3*IF(BI11&lt;=0,0,IF((1-2*BI11*1E5/(DATOS!$C$29*AF11*CI11^2*DATOS!$C$21))&lt;0,-1,IF((1-SQRT((1-2*BI11*1E5/(DATOS!$C$29*AF11*CI11^2*DATOS!$C$21))))*DATOS!$C$21*AF11*CI11/DATOS!$C$14&gt;DATOS!$C$99*AF11*CI11,-1,(1-SQRT((1-2*BI11*1E5/(DATOS!$C$29*AF11*CI11^2*DATOS!$C$21))))*DATOS!$C$21*AF11*CI11/DATOS!$C$14)))-0.0001,MAX(DATOS!$C$71,CEILING(CJ11/INDEX(TABLAS!$D$52:$D$58,MIN(MATCH(DATOS!$C$69,TABLAS!$B$52:$B$58,0)+1,7)),1)),MAX(MAX(DATOS!$C$71,CEILING(CJ11/INDEX(TABLAS!$D$52:$D$58,MIN(MATCH(DATOS!$C$69,TABLAS!$B$52:$B$58,0)+1,7)),1)),2))&lt;=MIN(DATOS!$C$70,INT(((DATOS!$C$80-2*AK11)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11&gt;=0,IF(MAX(DATOS!$C$71,CEILING(CJ11/INDEX(TABLAS!$D$52:$D$58,MIN(MATCH(DATOS!$C$69,TABLAS!$B$52:$B$58,0)+2,7)),1))*INDEX(TABLAS!$D$52:$D$58,MIN(MATCH(DATOS!$C$69,TABLAS!$B$52:$B$58,0)+2,7))&gt;=4/3*IF(BI11&lt;=0,0,IF((1-2*BI11*1E5/(DATOS!$C$29*AF11*CI11^2*DATOS!$C$21))&lt;0,-1,IF((1-SQRT((1-2*BI11*1E5/(DATOS!$C$29*AF11*CI11^2*DATOS!$C$21))))*DATOS!$C$21*AF11*CI11/DATOS!$C$14&gt;DATOS!$C$99*AF11*CI11,-1,(1-SQRT((1-2*BI11*1E5/(DATOS!$C$29*AF11*CI11^2*DATOS!$C$21))))*DATOS!$C$21*AF11*CI11/DATOS!$C$14)))-0.0001,MAX(DATOS!$C$71,CEILING(CJ11/INDEX(TABLAS!$D$52:$D$58,MIN(MATCH(DATOS!$C$69,TABLAS!$B$52:$B$58,0)+2,7)),1)),MAX(MAX(DATOS!$C$71,CEILING(CJ11/INDEX(TABLAS!$D$52:$D$58,MIN(MATCH(DATOS!$C$69,TABLAS!$B$52:$B$58,0)+2,7)),1)),2))&lt;=MIN(DATOS!$C$70,INT(((DATOS!$C$80-2*AK11)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11&gt;=0,IF(MAX(DATOS!$C$71,CEILING(CJ11/INDEX(TABLAS!$D$52:$D$58,MIN(MATCH(DATOS!$C$69,TABLAS!$B$52:$B$58,0)+3,7)),1))*INDEX(TABLAS!$D$52:$D$58,MIN(MATCH(DATOS!$C$69,TABLAS!$B$52:$B$58,0)+3,7))&gt;=4/3*IF(BI11&lt;=0,0,IF((1-2*BI11*1E5/(DATOS!$C$29*AF11*CI11^2*DATOS!$C$21))&lt;0,-1,IF((1-SQRT((1-2*BI11*1E5/(DATOS!$C$29*AF11*CI11^2*DATOS!$C$21))))*DATOS!$C$21*AF11*CI11/DATOS!$C$14&gt;DATOS!$C$99*AF11*CI11,-1,(1-SQRT((1-2*BI11*1E5/(DATOS!$C$29*AF11*CI11^2*DATOS!$C$21))))*DATOS!$C$21*AF11*CI11/DATOS!$C$14)))-0.0001,MAX(DATOS!$C$71,CEILING(CJ11/INDEX(TABLAS!$D$52:$D$58,MIN(MATCH(DATOS!$C$69,TABLAS!$B$52:$B$58,0)+3,7)),1)),MAX(MAX(DATOS!$C$71,CEILING(CJ11/INDEX(TABLAS!$D$52:$D$58,MIN(MATCH(DATOS!$C$69,TABLAS!$B$52:$B$58,0)+3,7)),1)),2))&lt;=MIN(DATOS!$C$70,INT(((DATOS!$C$80-2*AK11)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11&gt;=0,IF(MAX(DATOS!$C$71,CEILING(CJ11/INDEX(TABLAS!$D$52:$D$58,MIN(MATCH(DATOS!$C$69,TABLAS!$B$52:$B$58,0)+4,7)),1))*INDEX(TABLAS!$D$52:$D$58,MIN(MATCH(DATOS!$C$69,TABLAS!$B$52:$B$58,0)+4,7))&gt;=4/3*IF(BI11&lt;=0,0,IF((1-2*BI11*1E5/(DATOS!$C$29*AF11*CI11^2*DATOS!$C$21))&lt;0,-1,IF((1-SQRT((1-2*BI11*1E5/(DATOS!$C$29*AF11*CI11^2*DATOS!$C$21))))*DATOS!$C$21*AF11*CI11/DATOS!$C$14&gt;DATOS!$C$99*AF11*CI11,-1,(1-SQRT((1-2*BI11*1E5/(DATOS!$C$29*AF11*CI11^2*DATOS!$C$21))))*DATOS!$C$21*AF11*CI11/DATOS!$C$14)))-0.0001,MAX(DATOS!$C$71,CEILING(CJ11/INDEX(TABLAS!$D$52:$D$58,MIN(MATCH(DATOS!$C$69,TABLAS!$B$52:$B$58,0)+4,7)),1)),MAX(MAX(DATOS!$C$71,CEILING(CJ11/INDEX(TABLAS!$D$52:$D$58,MIN(MATCH(DATOS!$C$69,TABLAS!$B$52:$B$58,0)+4,7)),1)),2))&lt;=MIN(DATOS!$C$70,INT(((DATOS!$C$80-2*AK11)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>4</v>
      </c>
      <c r="CL11" s="59">
        <f>IF(U11&lt;&gt;"SÍ","",IF(CJ11&lt;0,0,IF(MAX(DATOS!$C$71,CEILING(MAX(CJ11,0)/INDEX(TABLAS!$D$52:$D$58,MATCH(CK11,TABLAS!$B$52:$B$58,0)),1))*INDEX(TABLAS!$D$52:$D$58,MATCH(CK11,TABLAS!$B$52:$B$58,0))&gt;=4/3*IF(BI11&lt;=0,0,IF((1-2*BI11*1E5/(DATOS!$C$29*AF11*CI11^2*DATOS!$C$21))&lt;0,-1,IF((1-SQRT((1-2*BI11*1E5/(DATOS!$C$29*AF11*CI11^2*DATOS!$C$21))))*DATOS!$C$21*AF11*CI11/DATOS!$C$14&gt;DATOS!$C$99*AF11*CI11,-1,(1-SQRT((1-2*BI11*1E5/(DATOS!$C$29*AF11*CI11^2*DATOS!$C$21))))*DATOS!$C$21*AF11*CI11/DATOS!$C$14)))-0.0001,MAX(DATOS!$C$71,CEILING(MAX(CJ11,0)/INDEX(TABLAS!$D$52:$D$58,MATCH(CK11,TABLAS!$B$52:$B$58,0)),1)),MAX(MAX(DATOS!$C$71,CEILING(MAX(CJ11,0)/INDEX(TABLAS!$D$52:$D$58,MATCH(CK11,TABLAS!$B$52:$B$58,0)),1)),2))))</f>
        <v>1</v>
      </c>
      <c r="CM11" s="58">
        <f>IF(U11&lt;&gt;"SÍ","",((DATOS!$C$82-AL11-2*DATOS!$C$94-INDEX(TABLAS!$C$52:$C$58,MATCH(BU11,TABLAS!$B$52:$B$58,0))-INDEX(TABLAS!$C$52:$C$58,MATCH(CK11,TABLAS!$B$52:$B$58,0))/2)-IF(AND((DATOS!$C$82-AL11-2*DATOS!$C$94-INDEX(TABLAS!$C$52:$C$58,MATCH(BU11,TABLAS!$B$52:$B$58,0))-INDEX(TABLAS!$C$52:$C$58,MATCH(CK11,TABLAS!$B$52:$B$58,0))/2)&lt;=20,DATOS!$C$62&lt;&gt;"SÍ"),2,0)))</f>
        <v>19.523</v>
      </c>
      <c r="CN11" s="56">
        <f>IF(U11&lt;&gt;"SÍ","",IF(CL11=0,0,DATOS!$C$29*CL11*INDEX(TABLAS!$D$52:$D$58,MATCH(CK11,TABLAS!$B$52:$B$58,0))*DATOS!$C$14*(CM11-CL11*INDEX(TABLAS!$D$52:$D$58,MATCH(CK11,TABLAS!$B$52:$B$58,0))*DATOS!$C$14/(DATOS!$C$21*AF11)/2)/1E5))</f>
        <v>0.876970784117647</v>
      </c>
      <c r="CO11" s="65">
        <f>IF(U11&lt;&gt;"SÍ","",IF(CJ11&lt;0,9.99,IF(CN11&gt;0,BI11/CN11,0)))</f>
        <v>0.69557068769697</v>
      </c>
      <c r="CP11" s="66">
        <f>IF(U11&lt;&gt;"SÍ","",IF(CL11=0,"—",0.003*(CM11-(CL11*INDEX(TABLAS!$D$52:$D$58,MATCH(CK11,TABLAS!$B$52:$B$58,0))*DATOS!$C$14/(DATOS!$C$21*AF11)/DATOS!$C$22))/(CL11*INDEX(TABLAS!$D$52:$D$58,MATCH(CK11,TABLAS!$B$52:$B$58,0))*DATOS!$C$14/(DATOS!$C$21*AF11)/DATOS!$C$22)))</f>
        <v>0.0168331938976378</v>
      </c>
      <c r="CQ11" s="56">
        <f>IF(U11&lt;&gt;"SÍ","",IF(C11="PERIMETRAL",MAX(0,(AA11/2-BW11)/100)*(0.95-0.5*Z11)*AQ11*IF(AND(AR11&gt;0,AR11&lt;4),DATOS!$C$33,1)*DATOS!$C$83/100/1000,(AQ11*MAX(0,AA11-BW11)/100+DATOS!$C$26*N(O11))*DATOS!$C$83/100/1000+BE11))</f>
        <v>0.744429507891882</v>
      </c>
      <c r="CR11" s="56">
        <f>IF(U11&lt;&gt;"SÍ","",DATOS!$C$30*2*MIN(1,SQRT(2/(1+0.04*BW11)))*(BV11*INDEX(TABLAS!$D$52:$D$58,MATCH(BU11,TABLAS!$B$52:$B$58,0))/(AE11*BW11))^(1/3)*SQRT(DATOS!$C$13)*AE11*BW11*IF(AI11="SÍ",DATOS!$C$32,1)/1000)</f>
        <v>1.24932843041203</v>
      </c>
      <c r="CS11" s="59">
        <f>IF(U11&lt;&gt;"SÍ","",IF(CQ11&lt;=CR11,0,CEILING(MAX(0,IF(C11="VOLADO",(AA11-((CR11-BE11)*1E5/DATOS!$C$83-DATOS!$C$26*N(O11))*100/AQ11),IF(CR11&lt;=0,AA11,AA11/2-CR11/MAX(CQ11,1E-9)*(AA11/2-BW11)))-IF(INT((X11*100-DATOS!$C$84+DATOS!$C$80)/DATOS!$C$83)&gt;0,(X11*100-DATOS!$C$84-(INT((X11*100-DATOS!$C$84+DATOS!$C$80)/DATOS!$C$83)*DATOS!$C$78+(INT((X11*100-DATOS!$C$84+DATOS!$C$80)/DATOS!$C$83)-1)*DATOS!$C$80))/2,X11*100/2))/DATOS!$C$83,1)))</f>
        <v>0</v>
      </c>
      <c r="CT11" s="67" t="str">
        <f>IF(U11&lt;&gt;"SÍ","",IF(CQ11&lt;=CR11,"CUMPLE",IF(CS11&lt;=0,"CUMPLE (basta el macizo de orilla)",IF(CS11*DATOS!$C$83*IF(C11="VOLADO",1,2)&gt;=X11*100-DATOS!$C$84,"NO CUMPLE: no alcanza ni macizando todo","MACIZAR "&amp;CS11&amp;" hilera(s)"))))</f>
        <v>CUMPLE</v>
      </c>
      <c r="CU11" s="58">
        <f>IF(U11&lt;&gt;"SÍ","",(DATOS!$C$83*DATOS!$C$81^2/2+AC11*DATOS!$C$79*(DATOS!$C$81+DATOS!$C$79/2))/(DATOS!$C$83*DATOS!$C$81+AC11*DATOS!$C$79))</f>
        <v>6.89344262295082</v>
      </c>
      <c r="CV11" s="68">
        <f>IF(U11&lt;&gt;"SÍ","",DATOS!$C$83*DATOS!$C$81^3/12+DATOS!$C$83*DATOS!$C$81*(CU11-DATOS!$C$81/2)^2+AC11*DATOS!$C$79^3/12+AC11*DATOS!$C$79*(DATOS!$C$81+DATOS!$C$79/2-CU11)^2)</f>
        <v>27416.4071038251</v>
      </c>
      <c r="CW11" s="58">
        <f>IF(U11&lt;&gt;"SÍ","",(12*CV11/DATOS!$C$83)^(1/3))</f>
        <v>16.7506339743859</v>
      </c>
      <c r="CX11" s="58">
        <f>IF(U11&lt;&gt;"SÍ","",IF(C11="PERIMETRAL",IF(ISNUMBER(R11),R11,DATOS!$C$101),0))</f>
        <v>99</v>
      </c>
      <c r="CY11" s="57">
        <f>IF(U11&lt;&gt;"SÍ","",IF(C11="PERIMETRAL",IF(CX11&gt;2,MAX(9,AB11*(0.8+DATOS!$C$14/14000)/(36+9*(AB11/MAX(AA11,1)))),IF(CX11&gt;0.2,MAX(13,AB11*(0.8+DATOS!$C$14/14000)/(36+5*(AB11/MAX(AA11,1))*(CX11-0.2))),MAX(13,AB11/IF(AR11&gt;0,30,33))))*IF(AND(CX11&gt;0.2,AR11&gt;0,DATOS!$C$102="NO"),1.1,1),X11*100/8))</f>
        <v>11.3934659971483</v>
      </c>
      <c r="CZ11" s="61" t="str">
        <f>IF(U11&lt;&gt;"SÍ","",IF(IF(C11="VOLADO",DATOS!$C$82,CW11)&gt;=CY11,"CUMPLE",IF(C11="VOLADO","NO CUMPLE","CALCULAR FLECHA")))</f>
        <v>CUMPLE</v>
      </c>
      <c r="DA11" s="55" t="str">
        <f>IF(U11&lt;&gt;"SÍ","",IF(DATOS!$C$81&gt;=IF(IF(C11="VOLADO",X11,Y11)&gt;=6,6,5),"CUMPLE","CAPA ≥ 6 cm"))</f>
        <v>CUMPLE</v>
      </c>
      <c r="DB11" s="60">
        <f>IF(U11&lt;&gt;"SÍ","",IF(C11="VOLADO",MIN(CEILING(IF(ISNUMBER(P11),P11,X11)*100,5),CEILING(MAX(IF((0.5*(0.9*DATOS!$C$87*DATOS!$C$83/100/1000)*IF(ISNUMBER(P11),P11,X11)+BG11/IF(ISNUMBER(P11),P11,X11))^2-4*(0.5*(0.9*DATOS!$C$87*DATOS!$C$83/100/1000))*BG11&lt;0,IF(ISNUMBER(P11),P11,X11),MIN(IF(ISNUMBER(P11),P11,X11),((0.5*(0.9*DATOS!$C$87*DATOS!$C$83/100/1000)*IF(ISNUMBER(P11),P11,X11)+BG11/IF(ISNUMBER(P11),P11,X11))-SQRT((0.5*(0.9*DATOS!$C$87*DATOS!$C$83/100/1000)*IF(ISNUMBER(P11),P11,X11)+BG11/IF(ISNUMBER(P11),P11,X11))^2-4*(0.5*(0.9*DATOS!$C$87*DATOS!$C$83/100/1000))*BG11))/(2*(0.5*(0.9*DATOS!$C$87*DATOS!$C$83/100/1000)))))*100+MAX(BW11,12*INDEX(TABLAS!$C$52:$C$58,MATCH(BU11,TABLAS!$B$52:$B$58,0)),IF(ISNUMBER(P11),P11,X11)*100/16),IF(OR(AK11&lt;INDEX(TABLAS!$C$52:$C$58,MATCH(BU11,TABLAS!$B$52:$B$58,0)),AND(BV11&gt;=2,(AC11-2*AK11-BV11*INDEX(TABLAS!$C$52:$C$58,MATCH(BU11,TABLAS!$B$52:$B$58,0)))/MAX(BV11-1,1)&lt;2*INDEX(TABLAS!$C$52:$C$58,MATCH(BU11,TABLAS!$B$52:$B$58,0)))),INDEX(TABLAS!$I$52:$I$58,MATCH(BU11,TABLAS!$B$52:$B$58,0)),INDEX(TABLAS!$F$52:$F$58,MATCH(BU11,TABLAS!$B$52:$B$58,0)))),5)),IF(((4*((BB11*AQ11*X11^2*1E-4*DATOS!$C$83/100/1000)+((MAX(AX11,AZ11)*AQ11*X11^2*1E-4*DATOS!$C$83/100/1000)+(IF(AND(AX11&gt;0,AZ11&gt;0),MIN(AX11,AZ11),MAX(AX11,AZ11))*AQ11*X11^2*1E-4*DATOS!$C$83/100/1000))/2)+BG11-(IF(AND(AX11&gt;0,AZ11&gt;0),MIN(AX11,AZ11),MAX(AX11,AZ11))*AQ11*X11^2*1E-4*DATOS!$C$83/100/1000))^2-16*((BB11*AQ11*X11^2*1E-4*DATOS!$C$83/100/1000)+((MAX(AX11,AZ11)*AQ11*X11^2*1E-4*DATOS!$C$83/100/1000)+(IF(AND(AX11&gt;0,AZ11&gt;0),MIN(AX11,AZ11),MAX(AX11,AZ11))*AQ11*X11^2*1E-4*DATOS!$C$83/100/1000))/2)*BG11)&lt;0,CEILING(AA11,5),CEILING(MAX(AA11*((4*((BB11*AQ11*X11^2*1E-4*DATOS!$C$83/100/1000)+((MAX(AX11,AZ11)*AQ11*X11^2*1E-4*DATOS!$C$83/100/1000)+(IF(AND(AX11&gt;0,AZ11&gt;0),MIN(AX11,AZ11),MAX(AX11,AZ11))*AQ11*X11^2*1E-4*DATOS!$C$83/100/1000))/2)+BG11-(IF(AND(AX11&gt;0,AZ11&gt;0),MIN(AX11,AZ11),MAX(AX11,AZ11))*AQ11*X11^2*1E-4*DATOS!$C$83/100/1000))-SQRT(MAX(0,((4*((BB11*AQ11*X11^2*1E-4*DATOS!$C$83/100/1000)+((MAX(AX11,AZ11)*AQ11*X11^2*1E-4*DATOS!$C$83/100/1000)+(IF(AND(AX11&gt;0,AZ11&gt;0),MIN(AX11,AZ11),MAX(AX11,AZ11))*AQ11*X11^2*1E-4*DATOS!$C$83/100/1000))/2)+BG11-(IF(AND(AX11&gt;0,AZ11&gt;0),MIN(AX11,AZ11),MAX(AX11,AZ11))*AQ11*X11^2*1E-4*DATOS!$C$83/100/1000))^2-16*((BB11*AQ11*X11^2*1E-4*DATOS!$C$83/100/1000)+((MAX(AX11,AZ11)*AQ11*X11^2*1E-4*DATOS!$C$83/100/1000)+(IF(AND(AX11&gt;0,AZ11&gt;0),MIN(AX11,AZ11),MAX(AX11,AZ11))*AQ11*X11^2*1E-4*DATOS!$C$83/100/1000))/2)*BG11))))/(8*MAX(((BB11*AQ11*X11^2*1E-4*DATOS!$C$83/100/1000)+((MAX(AX11,AZ11)*AQ11*X11^2*1E-4*DATOS!$C$83/100/1000)+(IF(AND(AX11&gt;0,AZ11&gt;0),MIN(AX11,AZ11),MAX(AX11,AZ11))*AQ11*X11^2*1E-4*DATOS!$C$83/100/1000))/2),1E-9))+MAX(BW11,12*INDEX(TABLAS!$C$52:$C$58,MATCH(BU11,TABLAS!$B$52:$B$58,0)),AA11/16),IF(OR(AK11&lt;INDEX(TABLAS!$C$52:$C$58,MATCH(BU11,TABLAS!$B$52:$B$58,0)),AND(BV11&gt;=2,(AC11-2*AK11-BV11*INDEX(TABLAS!$C$52:$C$58,MATCH(BU11,TABLAS!$B$52:$B$58,0)))/MAX(BV11-1,1)&lt;2*INDEX(TABLAS!$C$52:$C$58,MATCH(BU11,TABLAS!$B$52:$B$58,0)))),INDEX(TABLAS!$I$52:$I$58,MATCH(BU11,TABLAS!$B$52:$B$58,0)),INDEX(TABLAS!$F$52:$F$58,MATCH(BU11,TABLAS!$B$52:$B$58,0)))),5))))</f>
        <v>125</v>
      </c>
      <c r="DC11" s="60">
        <f>IF(U11&lt;&gt;"SÍ","",IF(C11="VOLADO",0,IF(((4*((BC11*AQ11*X11^2*1E-4*DATOS!$C$83/100/1000)+((MAX(AY11,BA11)*AQ11*X11^2*1E-4*DATOS!$C$83/100/1000)+(IF(AND(AY11&gt;0,BA11&gt;0),MIN(AY11,BA11),MAX(AY11,BA11))*AQ11*X11^2*1E-4*DATOS!$C$83/100/1000))/2)+BI11-(IF(AND(AY11&gt;0,BA11&gt;0),MIN(AY11,BA11),MAX(AY11,BA11))*AQ11*X11^2*1E-4*DATOS!$C$83/100/1000))^2-16*((BC11*AQ11*X11^2*1E-4*DATOS!$C$83/100/1000)+((MAX(AY11,BA11)*AQ11*X11^2*1E-4*DATOS!$C$83/100/1000)+(IF(AND(AY11&gt;0,BA11&gt;0),MIN(AY11,BA11),MAX(AY11,BA11))*AQ11*X11^2*1E-4*DATOS!$C$83/100/1000))/2)*BI11)&lt;0,CEILING(AB11,5),CEILING(MAX(AB11*((4*((BC11*AQ11*X11^2*1E-4*DATOS!$C$83/100/1000)+((MAX(AY11,BA11)*AQ11*X11^2*1E-4*DATOS!$C$83/100/1000)+(IF(AND(AY11&gt;0,BA11&gt;0),MIN(AY11,BA11),MAX(AY11,BA11))*AQ11*X11^2*1E-4*DATOS!$C$83/100/1000))/2)+BI11-(IF(AND(AY11&gt;0,BA11&gt;0),MIN(AY11,BA11),MAX(AY11,BA11))*AQ11*X11^2*1E-4*DATOS!$C$83/100/1000))-SQRT(MAX(0,((4*((BC11*AQ11*X11^2*1E-4*DATOS!$C$83/100/1000)+((MAX(AY11,BA11)*AQ11*X11^2*1E-4*DATOS!$C$83/100/1000)+(IF(AND(AY11&gt;0,BA11&gt;0),MIN(AY11,BA11),MAX(AY11,BA11))*AQ11*X11^2*1E-4*DATOS!$C$83/100/1000))/2)+BI11-(IF(AND(AY11&gt;0,BA11&gt;0),MIN(AY11,BA11),MAX(AY11,BA11))*AQ11*X11^2*1E-4*DATOS!$C$83/100/1000))^2-16*((BC11*AQ11*X11^2*1E-4*DATOS!$C$83/100/1000)+((MAX(AY11,BA11)*AQ11*X11^2*1E-4*DATOS!$C$83/100/1000)+(IF(AND(AY11&gt;0,BA11&gt;0),MIN(AY11,BA11),MAX(AY11,BA11))*AQ11*X11^2*1E-4*DATOS!$C$83/100/1000))/2)*BI11))))/(8*MAX(((BC11*AQ11*X11^2*1E-4*DATOS!$C$83/100/1000)+((MAX(AY11,BA11)*AQ11*X11^2*1E-4*DATOS!$C$83/100/1000)+(IF(AND(AY11&gt;0,BA11&gt;0),MIN(AY11,BA11),MAX(AY11,BA11))*AQ11*X11^2*1E-4*DATOS!$C$83/100/1000))/2),1E-9))+MAX(CM11,12*INDEX(TABLAS!$C$52:$C$58,MATCH(CK11,TABLAS!$B$52:$B$58,0)),AB11/16),IF(OR(AK11&lt;INDEX(TABLAS!$C$52:$C$58,MATCH(CK11,TABLAS!$B$52:$B$58,0)),AND(CL11&gt;=2,(DATOS!$C$80-2*AK11-CL11*INDEX(TABLAS!$C$52:$C$58,MATCH(CK11,TABLAS!$B$52:$B$58,0)))/MAX(CL11-1,1)&lt;2*INDEX(TABLAS!$C$52:$C$58,MATCH(CK11,TABLAS!$B$52:$B$58,0)))),INDEX(TABLAS!$I$52:$I$58,MATCH(CK11,TABLAS!$B$52:$B$58,0)),INDEX(TABLAS!$F$52:$F$58,MATCH(CK11,TABLAS!$B$52:$B$58,0)))),5))))</f>
        <v>135</v>
      </c>
      <c r="DD11" s="55" t="str">
        <f>IF(U11&lt;&gt;"SÍ","",IF(AND(C11="PERIMETRAL",BV11&gt;=2,AR11-AS11&gt;0,AZ11*AQ11*X11^2*1E-4*DATOS!$C$83/100/1000&gt;DATOS!$C$29*INDEX(TABLAS!$D$52:$D$58,MATCH(BU11,TABLAS!$B$52:$B$58,0))*DATOS!$C$14*(BW11-INDEX(TABLAS!$D$52:$D$58,MATCH(BU11,TABLAS!$B$52:$B$58,0))*DATOS!$C$14/(DATOS!$C$21*AE11)/2)/1E5),"SÍ","NO"))</f>
        <v>NO</v>
      </c>
      <c r="DE11" s="55" t="str">
        <f>IF(U11&lt;&gt;"SÍ","",IF(AND(C11="PERIMETRAL",CL11&gt;=2,AS11&gt;0,BA11*AQ11*X11^2*1E-4*DATOS!$C$83/100/1000&gt;DATOS!$C$29*INDEX(TABLAS!$D$52:$D$58,MATCH(CK11,TABLAS!$B$52:$B$58,0))*DATOS!$C$14*(CM11-INDEX(TABLAS!$D$52:$D$58,MATCH(CK11,TABLAS!$B$52:$B$58,0))*DATOS!$C$14/(DATOS!$C$21*AF11)/2)/1E5),"SÍ","NO"))</f>
        <v>NO</v>
      </c>
      <c r="DF11" s="63" t="str">
        <f>IF(U11&lt;&gt;"SÍ","",IF(OR(C11="VOLADO",AR11=0),"—",IF(AND(AND(1.25*INDEX(TABLAS!$G$52:$G$58,MATCH(MAX(BM11,CC11),TABLAS!$B$52:$B$58,0))&lt;=(DATOS!$C$72-DATOS!$C$60),(DATOS!$C$72-DATOS!$C$60)&gt;=15,INDEX(TABLAS!$G$52:$G$58,MATCH(MAX(BU11,CK11),TABLAS!$B$52:$B$58,0))&lt;=(DATOS!$C$72-DATOS!$C$60)),8*INDEX(TABLAS!$C$52:$C$58,MATCH(MAX(MAX(BM11,CC11),MAX(BU11,CK11)),TABLAS!$B$52:$B$58,0))&lt;=DATOS!$C$73-2*DATOS!$C$60),"CUMPLE (gancho de 180°)",IF(AND(1.25*INDEX(TABLAS!$G$52:$G$58,MATCH(MAX(BM11,CC11),TABLAS!$B$52:$B$58,0))&lt;=(DATOS!$C$72-DATOS!$C$60),(DATOS!$C$72-DATOS!$C$60)&gt;=15,INDEX(TABLAS!$G$52:$G$58,MATCH(MAX(BU11,CK11),TABLAS!$B$52:$B$58,0))&lt;=(DATOS!$C$72-DATOS!$C$60)),"NO CUMPLE: el gancho de 180° (8·d_b) no cabe en el peralte de la dala de borde","NO CUMPLE: dala de borde ≥ "&amp;TEXT(CEILING(MAX(1.25*INDEX(TABLAS!$G$52:$G$58,MATCH(MAX(BM11,CC11),TABLAS!$B$52:$B$58,0)),15,INDEX(TABLAS!$G$52:$G$58,MATCH(MAX(BU11,CK11),TABLAS!$B$52:$B$58,0)))+DATOS!$C$60,5),"0")&amp;" cm de ancho"&amp;IF(8*INDEX(TABLAS!$C$52:$C$58,MATCH(MAX(MAX(BM11,CC11),MAX(BU11,CK11)),TABLAS!$B$52:$B$58,0))&lt;=DATOS!$C$73-2*DATOS!$C$60,""," y más peralte para el gancho")))))</f>
        <v>CUMPLE (gancho de 180°)</v>
      </c>
      <c r="DG11" s="59">
        <f>IF(U11&lt;&gt;"SÍ","",MAX(0,INT((E11*100-DATOS!$C$84+DATOS!$C$83-IF(W11="X",DATOS!$C$78,AD11))/DATOS!$C$83)))</f>
        <v>6</v>
      </c>
      <c r="DH11" s="59">
        <f>IF(U11&lt;&gt;"SÍ","",MAX(0,INT((F11*100-DATOS!$C$84+DATOS!$C$83-IF(W11="Y",DATOS!$C$78,AD11))/DATOS!$C$83)))</f>
        <v>7</v>
      </c>
      <c r="DI11" s="57">
        <f>IF(U11&lt;&gt;"SÍ","",IF(DG11&gt;0,(E11*100-DATOS!$C$84-(DG11*IF(W11="X",DATOS!$C$78,AD11)+(DG11-1)*(DATOS!$C$83-IF(W11="X",DATOS!$C$78,AD11))))/2,E11*100/2))</f>
        <v>3.84999999999999</v>
      </c>
      <c r="DJ11" s="57">
        <f>IF(U11&lt;&gt;"SÍ","",IF(DH11&gt;0,(F11*100-DATOS!$C$84-(DH11*IF(W11="Y",DATOS!$C$78,AD11)+(DH11-1)*(DATOS!$C$83-IF(W11="Y",DATOS!$C$78,AD11))))/2,F11*100/2))</f>
        <v>0</v>
      </c>
      <c r="DK11" s="59">
        <f>IF(U11&lt;&gt;"SÍ","",IF(NOT(AND(C11="VOLADO",AC11&gt;DATOS!$C$80)),0,IF(INDEX(TABLAS!$C$52:$C$58,MATCH(BU11,TABLAS!$B$52:$B$58,0))&lt;=DATOS!$C$80-2*DATOS!$C$60,1,0)))</f>
        <v>0</v>
      </c>
      <c r="DL11" s="58">
        <f>IF(U11&lt;&gt;"SÍ","",IF(NOT(AND(C11="VOLADO",AC11&gt;DATOS!$C$80)),0,((DATOS!$C$82-MAX(DATOS!$C$60,(DATOS!$C$81-2*DATOS!$C$94)/2)-2*DATOS!$C$94-INDEX(TABLAS!$C$52:$C$58,MATCH(BU11,TABLAS!$B$52:$B$58,0))/2)-IF(AND((DATOS!$C$82-MAX(DATOS!$C$60,(DATOS!$C$81-2*DATOS!$C$94)/2)-2*DATOS!$C$94-INDEX(TABLAS!$C$52:$C$58,MATCH(BU11,TABLAS!$B$52:$B$58,0))/2)&lt;=20,DATOS!$C$62&lt;&gt;"SÍ"),2,0))))</f>
        <v>0</v>
      </c>
      <c r="DM11" s="56">
        <f>IF(U11&lt;&gt;"SÍ","",IF(OR(NOT(AND(C11="VOLADO",AC11&gt;DATOS!$C$80)),DK11&lt;1),0,IF(0.003*(DL11-((DK11*INDEX(TABLAS!$D$52:$D$58,MATCH(BU11,TABLAS!$B$52:$B$58,0)))*DATOS!$C$14/(DATOS!$C$21*AF11)/DATOS!$C$22))/((DK11*INDEX(TABLAS!$D$52:$D$58,MATCH(BU11,TABLAS!$B$52:$B$58,0)))*DATOS!$C$14/(DATOS!$C$21*AF11)/DATOS!$C$22)&lt;0.005,0,DATOS!$C$29*(DK11*INDEX(TABLAS!$D$52:$D$58,MATCH(BU11,TABLAS!$B$52:$B$58,0)))*DATOS!$C$14*(DL11-(DK11*INDEX(TABLAS!$D$52:$D$58,MATCH(BU11,TABLAS!$B$52:$B$58,0)))*DATOS!$C$14/(DATOS!$C$21*AF11)/2)/1E5)))</f>
        <v>0</v>
      </c>
      <c r="DN11" s="56">
        <f>IF(U11&lt;&gt;"SÍ","",IF(OR(NOT(AND(C11="VOLADO",AC11&gt;DATOS!$C$80)),DK11&lt;1),0,DATOS!$C$30*2*MIN(1,SQRT(2/(1+0.04*DL11)))*((DK11*INDEX(TABLAS!$D$52:$D$58,MATCH(BU11,TABLAS!$B$52:$B$58,0)))/(AF11*DL11))^(1/3)*SQRT(DATOS!$C$13)*AF11*DL11/1000))</f>
        <v>0</v>
      </c>
      <c r="DO11" s="56">
        <f>IF(U11&lt;&gt;"SÍ","",IF(NOT(AND(C11="VOLADO",AC11&gt;DATOS!$C$80)),0,IF((BG11-DM11)&lt;=0,0,IF(DM11&lt;=0,IF(ISNUMBER(P11),P11,X11),IF(((0.9*DATOS!$C$87*DATOS!$C$83/100/1000)*IF(ISNUMBER(P11),P11,X11)/2+BG11/IF(ISNUMBER(P11),P11,X11))^2-4*((0.9*DATOS!$C$87*DATOS!$C$83/100/1000)/2)*(BG11-DM11)&lt;0,IF(ISNUMBER(P11),P11,X11),MIN(IF(ISNUMBER(P11),P11,X11),(((0.9*DATOS!$C$87*DATOS!$C$83/100/1000)*IF(ISNUMBER(P11),P11,X11)/2+BG11/IF(ISNUMBER(P11),P11,X11))-SQRT(((0.9*DATOS!$C$87*DATOS!$C$83/100/1000)*IF(ISNUMBER(P11),P11,X11)/2+BG11/IF(ISNUMBER(P11),P11,X11))^2-4*((0.9*DATOS!$C$87*DATOS!$C$83/100/1000)/2)*(BG11-DM11)))/(2*((0.9*DATOS!$C$87*DATOS!$C$83/100/1000)/2))))))))</f>
        <v>0</v>
      </c>
      <c r="DP11" s="56">
        <f>IF(U11&lt;&gt;"SÍ","",IF(NOT(AND(C11="VOLADO",AC11&gt;DATOS!$C$80)),0,MIN(IF(ISNUMBER(P11),P11,X11),MAX(0,IF(ISNUMBER(P11),P11,X11)/2+BG11/IF(ISNUMBER(P11),P11,X11)/(AQ11*DATOS!$C$83/100/1000)-DN11/(AQ11*DATOS!$C$83/100/1000)))))</f>
        <v>0</v>
      </c>
      <c r="DQ11" s="56">
        <f>IF(U11&lt;&gt;"SÍ","",IF(NOT(AND(C11="VOLADO",AC11&gt;DATOS!$C$80)),0,BG11/IF(ISNUMBER(P11),P11,X11)+(AQ11*DATOS!$C$83/100/1000)*MAX(0,IF(ISNUMBER(P11),P11,X11)/2-BW11/100)))</f>
        <v>0</v>
      </c>
      <c r="DR11" s="59">
        <f>IF(U11&lt;&gt;"SÍ","",IF(NOT(AND(C11="VOLADO",AC11&gt;DATOS!$C$80)),0,CEILING(100*MIN(IF(ISNUMBER(P11),P11,X11),MAX(IF(DO11&gt;0,DO11+IF(BV11&gt;=2,MAX(DL11,12*INDEX(TABLAS!$C$52:$C$58,MATCH(BU11,TABLAS!$B$52:$B$58,0)))/100,0),0),DP11,IF(BV11&gt;=2,INDEX(TABLAS!$F$52:$F$58,MATCH(BU11,TABLAS!$B$52:$B$58,0))/100,0))),5)))</f>
        <v>0</v>
      </c>
      <c r="DS11" s="60">
        <f>IF(U11&lt;&gt;"SÍ","",IF(NOT(AND(C11="VOLADO",AC11&gt;DATOS!$C$80)),0,IF(DR11&lt;=0,0,CEILING(DR11/DATOS!$C$83,1))))</f>
        <v>0</v>
      </c>
      <c r="DT11" s="61" t="str">
        <f>IF(U11&lt;&gt;"SÍ","",IF(C11&lt;&gt;"VOLADO","—",IF(AC11&lt;=DATOS!$C$80,"— (mismo b_w que el respaldo)",IF(DQ11&gt;CR11,"NO CUMPLE: cortante de la nervadura ancha junto al apoyo ("&amp;TEXT(DQ11,"0.00")&amp;" &gt; "&amp;TEXT(CR11,"0.00")&amp;" t)",IF(DR11&gt;=100*IF(ISNUMBER(P11),P11,X11),"CUMPLE — todas las nervaduras del respaldo ‖ al volado con b_w = "&amp;AC11&amp;" cm","CUMPLE — "&amp;DS11&amp;" hilera(s) del respaldo con nervaduras de b_w = "&amp;AC11&amp;" cm (casetón "&amp;AD11&amp;" cm), hasta "&amp;TEXT(DR11/100,"0.00")&amp;" m del paño")))))</f>
        <v>—</v>
      </c>
      <c r="DU11" s="69" t="str">
        <f>IF(U11&lt;&gt;"SÍ","",IF(BN11=0,"NO ALCANZA",BN11&amp;" No. "&amp;BM11&amp;IF(BN11&gt;1," corridas"," corrida")))</f>
        <v>1 No. 4 corrida</v>
      </c>
      <c r="DV11" s="69" t="str">
        <f>IF(U11&lt;&gt;"SÍ","",IF(BV11=0,"NO ALCANZA",IF(AND(C11="VOLADO",AC11&gt;DATOS!$C$80,BV11&gt;=2),"1 No. "&amp;BU11&amp;" corrida de la orilla al respaldo ("&amp;IF(DB11&gt;=100*IF(ISNUMBER(P11),P11,X11),"hasta su apoyo lejano, con gancho","entra "&amp;TEXT(DB11/100,"0.00")&amp;" m desde el paño")&amp;") + "&amp;(BV11-1)&amp;" bastón No. "&amp;BU11&amp;" hasta "&amp;TEXT(DR11/100,"0.00")&amp;" m del paño (fin de la nervadura ancha)",IF(C11="VOLADO",BV11&amp;" No. "&amp;BU11&amp;" de la orilla al respaldo ("&amp;IF(DB11&gt;=100*IF(ISNUMBER(P11),P11,X11),"hasta su apoyo lejano, con gancho","entran "&amp;TEXT(DB11/100,"0.00")&amp;" m desde el paño")&amp;")","1 No. "&amp;BU11&amp;" corrida"&amp;IF(BV11&gt;1," + "&amp;(BV11-1)&amp;" bastón No. "&amp;BU11&amp;" L = "&amp;TEXT(DB11/100,"0.00")&amp;" m desde el paño","")))))</f>
        <v>1 No. 4 corrida + 1 bastón No. 4 L = 1.25 m desde el paño</v>
      </c>
      <c r="DW11" s="69" t="str">
        <f>IF(U11&lt;&gt;"SÍ","",IF(CD11=0,"NO ALCANZA",CD11&amp;" No. "&amp;CC11&amp;IF(CD11&gt;1," corridas"," corrida")))</f>
        <v>1 No. 4 corrida</v>
      </c>
      <c r="DX11" s="69" t="str">
        <f>IF(U11&lt;&gt;"SÍ","",IF(CL11=0,"NO ALCANZA",IF(C11="VOLADO","1 No. "&amp;CK11&amp;" corrida (repartición)","1 No. "&amp;CK11&amp;" corrida"&amp;IF(CL11&gt;1," + "&amp;(CL11-1)&amp;" bastón No. "&amp;CK11&amp;" L = "&amp;TEXT(DC11/100,"0.00")&amp;" m desde el paño",""))))</f>
        <v>1 No. 4 corrida</v>
      </c>
      <c r="DY11" s="67" t="str">
        <f>IF(B11="","",IF(U11&lt;&gt;"SÍ","FALTAN DATOS: tipo, a_x, a_y y destino",IF(L11="NO MONOLÍTICO (caso II)","FUERA DE ALCANCE: caso II no transcrito",IF(AND(C11="VOLADO",V11="?"),"REVISAR: el volado lleva UN solo borde CONTINUO (el empotrado)",IF(AND(MAX(BQ11,BY11,CG11,CO11)&lt;=1,NOT(OR(BN11&gt;MIN(DATOS!$C$70,INT(((AC11-2*AJ11)+MAX(DATOS!$C$67,INDEX(TABLAS!$C$52:$C$58,MATCH(BM11,TABLAS!$B$52:$B$58,0))))/(INDEX(TABLAS!$C$52:$C$58,MATCH(BM11,TABLAS!$B$52:$B$58,0))+MAX(DATOS!$C$67,INDEX(TABLAS!$C$52:$C$58,MATCH(BM11,TABLAS!$B$52:$B$58,0)))))),BV11&gt;MIN(DATOS!$C$70,INT(((AC11-2*AK11)+MAX(DATOS!$C$67,INDEX(TABLAS!$C$52:$C$58,MATCH(BU11,TABLAS!$B$52:$B$58,0))))/(INDEX(TABLAS!$C$52:$C$58,MATCH(BU11,TABLAS!$B$52:$B$58,0))+MAX(DATOS!$C$67,INDEX(TABLAS!$C$52:$C$58,MATCH(BU11,TABLAS!$B$52:$B$58,0)))))),CD11&gt;MIN(DATOS!$C$70,INT(((DATOS!$C$80-2*AJ11)+MAX(DATOS!$C$67,INDEX(TABLAS!$C$52:$C$58,MATCH(CC11,TABLAS!$B$52:$B$58,0))))/(INDEX(TABLAS!$C$52:$C$58,MATCH(CC11,TABLAS!$B$52:$B$58,0))+MAX(DATOS!$C$67,INDEX(TABLAS!$C$52:$C$58,MATCH(CC11,TABLAS!$B$52:$B$58,0)))))),CL11&gt;MIN(DATOS!$C$70,INT(((DATOS!$C$80-2*AK11)+MAX(DATOS!$C$67,INDEX(TABLAS!$C$52:$C$58,MATCH(CK11,TABLAS!$B$52:$B$58,0))))/(INDEX(TABLAS!$C$52:$C$58,MATCH(CK11,TABLAS!$B$52:$B$58,0))+MAX(DATOS!$C$67,INDEX(TABLAS!$C$52:$C$58,MATCH(CK11,TABLAS!$B$52:$B$58,0)))))))),NOT(OR(AND(ISNUMBER(BR11),BR11&lt;0.005),AND(ISNUMBER(BZ11),BZ11&lt;0.005),AND(ISNUMBER(CH11),CH11&lt;0.005),AND(ISNUMBER(CP11),CP11&lt;0.005))),NOT(LEFT(DT11,2)="NO"),CZ11="CUMPLE",DA11="CUMPLE",LEFT(CT11,2)&lt;&gt;"NO"),IF(LEFT(CT11,6)="CUMPLE","CUMPLE","CUMPLE — "&amp;CT11)&amp;IF(LEFT(BJ11,5)="FUERA"," · fuera de 3.4.2.1 c)","")&amp;IF(LEFT(DF11,2)="NO"," · REVISAR anclaje en borde discontinuo","")&amp;IF(DS11&gt;0," · respaldo: "&amp;DS11&amp;" hilera(s) de b_w "&amp;AC11&amp;" cm",""),IF(AND(MAX(BQ11,BY11,CG11,CO11)&lt;=1,NOT(OR(BN11&gt;MIN(DATOS!$C$70,INT(((AC11-2*AJ11)+MAX(DATOS!$C$67,INDEX(TABLAS!$C$52:$C$58,MATCH(BM11,TABLAS!$B$52:$B$58,0))))/(INDEX(TABLAS!$C$52:$C$58,MATCH(BM11,TABLAS!$B$52:$B$58,0))+MAX(DATOS!$C$67,INDEX(TABLAS!$C$52:$C$58,MATCH(BM11,TABLAS!$B$52:$B$58,0)))))),BV11&gt;MIN(DATOS!$C$70,INT(((AC11-2*AK11)+MAX(DATOS!$C$67,INDEX(TABLAS!$C$52:$C$58,MATCH(BU11,TABLAS!$B$52:$B$58,0))))/(INDEX(TABLAS!$C$52:$C$58,MATCH(BU11,TABLAS!$B$52:$B$58,0))+MAX(DATOS!$C$67,INDEX(TABLAS!$C$52:$C$58,MATCH(BU11,TABLAS!$B$52:$B$58,0)))))),CD11&gt;MIN(DATOS!$C$70,INT(((DATOS!$C$80-2*AJ11)+MAX(DATOS!$C$67,INDEX(TABLAS!$C$52:$C$58,MATCH(CC11,TABLAS!$B$52:$B$58,0))))/(INDEX(TABLAS!$C$52:$C$58,MATCH(CC11,TABLAS!$B$52:$B$58,0))+MAX(DATOS!$C$67,INDEX(TABLAS!$C$52:$C$58,MATCH(CC11,TABLAS!$B$52:$B$58,0)))))),CL11&gt;MIN(DATOS!$C$70,INT(((DATOS!$C$80-2*AK11)+MAX(DATOS!$C$67,INDEX(TABLAS!$C$52:$C$58,MATCH(CK11,TABLAS!$B$52:$B$58,0))))/(INDEX(TABLAS!$C$52:$C$58,MATCH(CK11,TABLAS!$B$52:$B$58,0))+MAX(DATOS!$C$67,INDEX(TABLAS!$C$52:$C$58,MATCH(CK11,TABLAS!$B$52:$B$58,0)))))))),NOT(OR(AND(ISNUMBER(BR11),BR11&lt;0.005),AND(ISNUMBER(BZ11),BZ11&lt;0.005),AND(ISNUMBER(CH11),CH11&lt;0.005),AND(ISNUMBER(CP11),CP11&lt;0.005))),NOT(LEFT(DT11,2)="NO"),CZ11="CALCULAR FLECHA",LEFT(CT11,2)&lt;&gt;"NO"),"REVISAR: calcular flecha (h_eq &lt; h mín.)"&amp;IF(LEFT(BJ11,5)="FUERA"," · fuera de 3.4.2.1 c)","")&amp;IF(LEFT(DF11,2)="NO"," · REVISAR anclaje en borde discontinuo","")&amp;IF(DS11&gt;0," · respaldo: "&amp;DS11&amp;" hilera(s) de b_w "&amp;AC11&amp;" cm",""),"NO CUMPLE: "&amp;IF(MAX(BQ11,BY11,CG11,CO11)&gt;1,"flexión ","")&amp;IF(OR(BN11&gt;MIN(DATOS!$C$70,INT(((AC11-2*AJ11)+MAX(DATOS!$C$67,INDEX(TABLAS!$C$52:$C$58,MATCH(BM11,TABLAS!$B$52:$B$58,0))))/(INDEX(TABLAS!$C$52:$C$58,MATCH(BM11,TABLAS!$B$52:$B$58,0))+MAX(DATOS!$C$67,INDEX(TABLAS!$C$52:$C$58,MATCH(BM11,TABLAS!$B$52:$B$58,0)))))),BV11&gt;MIN(DATOS!$C$70,INT(((AC11-2*AK11)+MAX(DATOS!$C$67,INDEX(TABLAS!$C$52:$C$58,MATCH(BU11,TABLAS!$B$52:$B$58,0))))/(INDEX(TABLAS!$C$52:$C$58,MATCH(BU11,TABLAS!$B$52:$B$58,0))+MAX(DATOS!$C$67,INDEX(TABLAS!$C$52:$C$58,MATCH(BU11,TABLAS!$B$52:$B$58,0)))))),CD11&gt;MIN(DATOS!$C$70,INT(((DATOS!$C$80-2*AJ11)+MAX(DATOS!$C$67,INDEX(TABLAS!$C$52:$C$58,MATCH(CC11,TABLAS!$B$52:$B$58,0))))/(INDEX(TABLAS!$C$52:$C$58,MATCH(CC11,TABLAS!$B$52:$B$58,0))+MAX(DATOS!$C$67,INDEX(TABLAS!$C$52:$C$58,MATCH(CC11,TABLAS!$B$52:$B$58,0)))))),CL11&gt;MIN(DATOS!$C$70,INT(((DATOS!$C$80-2*AK11)+MAX(DATOS!$C$67,INDEX(TABLAS!$C$52:$C$58,MATCH(CK11,TABLAS!$B$52:$B$58,0))))/(INDEX(TABLAS!$C$52:$C$58,MATCH(CK11,TABLAS!$B$52:$B$58,0))+MAX(DATOS!$C$67,INDEX(TABLAS!$C$52:$C$58,MATCH(CK11,TABLAS!$B$52:$B$58,0))))))),"no caben ","")&amp;IF(OR(AND(ISNUMBER(BR11),BR11&lt;0.005),AND(ISNUMBER(BZ11),BZ11&lt;0.005),AND(ISNUMBER(CH11),CH11&lt;0.005),AND(ISNUMBER(CP11),CP11&lt;0.005)),"ε_t &lt; 0.005 ","")&amp;IF(LEFT(CT11,2)="NO","cortante ","")&amp;IF(CZ11="NO CUMPLE","peralte ","")&amp;IF(DA11&lt;&gt;"CUMPLE","capa &lt; 6 cm ","")&amp;IF(LEFT(DT11,2)="NO","respaldo del volado","")))))))</f>
        <v>CUMPLE</v>
      </c>
      <c r="DZ11" s="70" t="str">
        <f>IF(U11&lt;&gt;"SÍ","",IF(LEFT(B11,7)="EJEMPLO","EJEMPLO de la hoja de Casa Rocha: bórralo o sobrescríbelo. ","")&amp;IF(AND(C11="PERIMETRAL",MIN(DG11,DH11)=0),"No cabe un casetón en el claro corto: es un tablero macizo, diséñalo en MACIZAS. ","")&amp;IF(AND(AI11="NO",C11="PERIMETRAL"),"No cumple 6.7.8.1.4 (a_c = "&amp;MAX(DATOS!$C$78,AD11)&amp;" cm &gt; claro corto/6 = "&amp;TEXT(X11*100/6,"0")&amp;" cm): se diseña como losa apoyada en vigas (6.7.8.1.9): r de viga = "&amp;DATOS!$C$60&amp;" cm y V_cR sin ×1.1. Para que cuente como encasetonada: casetón de "&amp;TEXT(FLOOR(MIN(80,X11*100/6),1),"0")&amp;" cm o menor. ","")&amp;IF(C11="VOLADO","Volado de "&amp;TEXT(X11,"0.00")&amp;" m empotrado en el borde "&amp;LOWER(V11)&amp;IF(N(O11)&gt;0,", con "&amp;TEXT(O11,"0.0")&amp;" kg/m en la orilla","")&amp;". Lecho inferior con r_ext. Si la orilla carga pretil u otro elemento frágil, calcula la flecha (13.4). El acero superior entra al respaldo de "&amp;TEXT(IF(ISNUMBER(P11),P11,X11),"0.00")&amp;" m"&amp;IF(ISNUMBER(P11),""," (L_b no capturado: se tomó igual al volado)")&amp;" hasta pasar M = 0 con 0.9·PP sin carga viva; si ahí no se anula, llega al apoyo lejano y se ancla con gancho (NTC-Criterios 3.4.1 c y 5.1.2.2). "&amp;IF(AC11&gt;DATOS!$C$80,"Respaldo: "&amp;DT11&amp;". ",""),"")&amp;IF(LEFT(BJ11,5)="FUERA","El M⁻ del vecino difiere más de 50 % (3.4.2.1 c): distribuye el desequilibrio (3.4.3.1) o confirma con un modelo; se arma con el mayor. ","")&amp;IF(OR(DD11="SÍ",DE11="SÍ"),"El M⁻ del borde discontinuo pide bastón también ahí (con gancho). ","")&amp;IF(LEFT(DF11,2)="NO","Anclaje: "&amp;DF11&amp;" (6.7.8.1.7). ","")&amp;IF(OR(AZ11&gt;0,BA11&gt;0),"Esquinas exteriores sobre muro: refuerzo de esquina arriba y abajo en L_largo/5 (6.7.7.3.1). ",""))</f>
        <v>EJEMPLO de la hoja de Casa Rocha: bórralo o sobrescríbelo. Esquinas exteriores sobre muro: refuerzo de esquina arriba y abajo en L_largo/5 (6.7.7.3.1). </v>
      </c>
    </row>
    <row r="12" ht="33" customHeight="1">
      <c r="A12" s="50">
        <f>IF(B12="",0,1)+A11</f>
        <v>4</v>
      </c>
      <c r="B12" s="29" t="inlineStr">
        <is>
          <t>EJEMPLO F80012 (volado)</t>
        </is>
      </c>
      <c r="C12" s="51" t="inlineStr">
        <is>
          <t>VOLADO</t>
        </is>
      </c>
      <c r="D12" s="29" t="inlineStr">
        <is>
          <t>HABITACIÓN</t>
        </is>
      </c>
      <c r="E12" s="52" t="n">
        <v>2</v>
      </c>
      <c r="F12" s="52" t="n">
        <v>3.425</v>
      </c>
      <c r="G12" s="51" t="inlineStr">
        <is>
          <t>DISCONTINUO</t>
        </is>
      </c>
      <c r="H12" s="51" t="inlineStr">
        <is>
          <t>DISCONTINUO</t>
        </is>
      </c>
      <c r="I12" s="51" t="inlineStr">
        <is>
          <t>DISCONTINUO</t>
        </is>
      </c>
      <c r="J12" s="51" t="inlineStr">
        <is>
          <t>CONTINUO</t>
        </is>
      </c>
      <c r="K12" s="51" t="inlineStr">
        <is>
          <t>AUTO</t>
        </is>
      </c>
      <c r="L12" s="51" t="inlineStr">
        <is>
          <t>MONOLÍTICO (caso I)</t>
        </is>
      </c>
      <c r="M12" s="53" t="n">
        <v>210</v>
      </c>
      <c r="N12" s="53" t="n"/>
      <c r="O12" s="54" t="n">
        <v>333.7</v>
      </c>
      <c r="P12" s="52" t="n">
        <v>3.029</v>
      </c>
      <c r="Q12" s="53" t="n">
        <v>20</v>
      </c>
      <c r="R12" s="54" t="n"/>
      <c r="S12" s="52" t="n"/>
      <c r="T12" s="52" t="n"/>
      <c r="U12" s="55" t="str">
        <f>IF(B12="","",IF(AND(OR(C12="PERIMETRAL",C12="VOLADO"),ISNUMBER(E12),ISNUMBER(F12),E12&gt;0,F12&gt;0,OR(ISNUMBER(N12),ISNUMBER(MATCH(D12,DATOS!$B$46:$B$55,0)))),"SÍ","NO"))</f>
        <v>SÍ</v>
      </c>
      <c r="V12" s="55" t="str">
        <f>IF(U12&lt;&gt;"SÍ","",IF(C12&lt;&gt;"VOLADO","—",IF(COUNTIF(G12:J12,"CONTINUO")&lt;&gt;1,"?",IF(G12="CONTINUO","INFERIOR",IF(H12="CONTINUO","SUPERIOR",IF(I12="CONTINUO","IZQUIERDO","DERECHO"))))))</f>
        <v>DERECHO</v>
      </c>
      <c r="W12" s="55" t="str">
        <f>IF(U12&lt;&gt;"SÍ","",IF(C12="VOLADO",IF(OR(V12="IZQUIERDO",V12="DERECHO"),"X","Y"),IF(E12&lt;=F12,"X","Y")))</f>
        <v>X</v>
      </c>
      <c r="X12" s="56">
        <f>IF(U12&lt;&gt;"SÍ","",IF(C12="VOLADO",IF(W12="X",E12,F12),MIN(E12,F12)))</f>
        <v>2</v>
      </c>
      <c r="Y12" s="56">
        <f>IF(U12&lt;&gt;"SÍ","",IF(C12="VOLADO",IF(W12="X",F12,E12),MAX(E12,F12)))</f>
        <v>3.425</v>
      </c>
      <c r="Z12" s="56">
        <f>IF(U12&lt;&gt;"SÍ","",MIN(X12,Y12)/MAX(X12,Y12))</f>
        <v>0.583941605839416</v>
      </c>
      <c r="AA12" s="57">
        <f>IF(U12&lt;&gt;"SÍ","",MAX(1,X12*100-IF(C12="VOLADO",DATOS!$C$84/2,DATOS!$C$84)))</f>
        <v>192.5</v>
      </c>
      <c r="AB12" s="57">
        <f>IF(U12&lt;&gt;"SÍ","",MAX(1,Y12*100-DATOS!$C$84))</f>
        <v>327.5</v>
      </c>
      <c r="AC12" s="57">
        <f>IF(U12&lt;&gt;"SÍ","",IF(ISNUMBER(Q12),Q12,DATOS!$C$80))</f>
        <v>20</v>
      </c>
      <c r="AD12" s="57">
        <f>IF(U12&lt;&gt;"SÍ","",MAX(0,DATOS!$C$83-AC12))</f>
        <v>50</v>
      </c>
      <c r="AE12" s="57">
        <f>IF(U12&lt;&gt;"SÍ","",IF(OR(DATOS!$C$62="SÍ",AC12&gt;=20),AC12,AC12-2))</f>
        <v>20</v>
      </c>
      <c r="AF12" s="57">
        <f>IF(U12&lt;&gt;"SÍ","",IF(OR(DATOS!$C$62="SÍ",DATOS!$C$80&gt;=20),DATOS!$C$80,DATOS!$C$80-2))</f>
        <v>10</v>
      </c>
      <c r="AG12" s="57">
        <f>IF(U12&lt;&gt;"SÍ","",MIN(DATOS!$C$83,AC12+2*MIN(8*DATOS!$C$81,AD12/2,AA12/8)))</f>
        <v>68.125</v>
      </c>
      <c r="AH12" s="57">
        <f>IF(U12&lt;&gt;"SÍ","",MIN(DATOS!$C$83,DATOS!$C$80+2*MIN(8*DATOS!$C$81,DATOS!$C$78/2,AB12/8)))</f>
        <v>70</v>
      </c>
      <c r="AI12" s="55" t="str">
        <f>IF(U12&lt;&gt;"SÍ","",IF(AND(C12="PERIMETRAL",X12*100&gt;=6*MAX(DATOS!$C$78,AD12),MAX(DATOS!$C$78,AD12)&lt;=80,MIN(DATOS!$C$80,AC12)&gt;=10,DATOS!$C$82&lt;=3.5*MIN(DATOS!$C$80,AC12),DATOS!$C$81&gt;=MAX(MAX(DATOS!$C$78,AD12)/13,5)),"SÍ","NO"))</f>
        <v>NO</v>
      </c>
      <c r="AJ12" s="57">
        <f>IF(U12&lt;&gt;"SÍ","",IF(C12="VOLADO",DATOS!$C$61,IF(AI12="NO",DATOS!$C$60,DATOS!$C$59)))</f>
        <v>4</v>
      </c>
      <c r="AK12" s="57">
        <f>IF(U12&lt;&gt;"SÍ","",IF(OR(AND(AM12="SÍ",DATOS!$C$63="SÍ"),AND(C12="VOLADO",DATOS!$C$64="SÍ")),DATOS!$C$61,IF(AI12="NO",DATOS!$C$60,DATOS!$C$59)))</f>
        <v>4</v>
      </c>
      <c r="AL12" s="58">
        <f>IF(U12&lt;&gt;"SÍ","",MAX(AK12,(DATOS!$C$81-2*DATOS!$C$94)/2))</f>
        <v>4</v>
      </c>
      <c r="AM12" s="55" t="str">
        <f>IF(U12&lt;&gt;"SÍ","",IFERROR(INDEX(DATOS!$D$46:$D$55,MATCH(D12,DATOS!$B$46:$B$55,0)),"NO"))</f>
        <v>NO</v>
      </c>
      <c r="AN12" s="59">
        <f>IF(U12&lt;&gt;"SÍ","",IF(ISNUMBER(N12),N12,IFERROR(INDEX(DATOS!$C$46:$C$55,MATCH(D12,DATOS!$B$46:$B$55,0)),0)))</f>
        <v>190</v>
      </c>
      <c r="AO12" s="59">
        <f>IF(U12&lt;&gt;"SÍ","",(DATOS!$C$82/100-(AD12*DATOS!$C$78/DATOS!$C$83^2)*DATOS!$C$79/100)*DATOS!$C$16*1000+(AD12*DATOS!$C$78/DATOS!$C$83^2)*DATOS!$C$79/100*DATOS!$C$17*1000+DATOS!$C$37+DATOS!$C$38)</f>
        <v>362.561224489796</v>
      </c>
      <c r="AP12" s="59">
        <f>IF(U12&lt;&gt;"SÍ","",AO12+N(M12))</f>
        <v>572.561224489796</v>
      </c>
      <c r="AQ12" s="60">
        <f>IF(U12&lt;&gt;"SÍ","",MAX(DATOS!$C$26*AP12+DATOS!$C$27*AN12,IF(AM12="SÍ",DATOS!$C$28*(AP12+DATOS!$C$41),0)))</f>
        <v>1029.32959183673</v>
      </c>
      <c r="AR12" s="59">
        <f>IF(U12&lt;&gt;"SÍ","",(G12="DISCONTINUO")+(H12="DISCONTINUO")+(I12="DISCONTINUO")+(J12="DISCONTINUO"))</f>
        <v>3</v>
      </c>
      <c r="AS12" s="59">
        <f>IF(U12&lt;&gt;"SÍ","",IF(W12="X",(G12="DISCONTINUO")+(H12="DISCONTINUO"),(I12="DISCONTINUO")+(J12="DISCONTINUO")))</f>
        <v>2</v>
      </c>
      <c r="AT12" s="55" t="str">
        <f>IF(U12&lt;&gt;"SÍ","",IF(AR12=0,"INTERIOR",IF(AR12=1,IF(AS12=1,"BORDE-CORTO","BORDE-LARGO"),IF(AR12=2,IF(AS12=1,"ESQUINA",IF(AS12=2,"EXTREMO-LARGO","EXTREMO-CORTO")),IF(AR12=3,IF(AS12=2,"EXTREMO-LARGO","EXTREMO-CORTO"),"AISLADO")))))</f>
        <v>EXTREMO-LARGO</v>
      </c>
      <c r="AU12" s="61" t="str">
        <f>IF(U12&lt;&gt;"SÍ","",IF(OR(K12="",K12="AUTO"),AT12,K12))</f>
        <v>EXTREMO-LARGO</v>
      </c>
      <c r="AV12" s="59">
        <f>IF(U12&lt;&gt;"SÍ","",MATCH(Z12,TABLAS!$D$5:$J$5,1))</f>
        <v>2</v>
      </c>
      <c r="AW12" s="58">
        <f>IF(U12&lt;&gt;"SÍ","",IF(AV12&gt;=7,0,(Z12-INDEX(TABLAS!$D$5:$J$5,AV12))/(INDEX(TABLAS!$D$5:$J$5,AV12+1)-INDEX(TABLAS!$D$5:$J$5,AV12))))</f>
        <v>0.839416058394161</v>
      </c>
      <c r="AX12" s="59">
        <f>IF(U12&lt;&gt;"SÍ","",INDEX(TABLAS!$D$6:$J$47,MATCH(AU12&amp;"|NIC",TABLAS!$B$6:$B$47,0),AV12)+AW12*(INDEX(TABLAS!$D$6:$J$47,MATCH(AU12&amp;"|NIC",TABLAS!$B$6:$B$47,0),MIN(AV12+1,7))-INDEX(TABLAS!$D$6:$J$47,MATCH(AU12&amp;"|NIC",TABLAS!$B$6:$B$47,0),AV12)))</f>
        <v>1166.13138686131</v>
      </c>
      <c r="AY12" s="59">
        <f>IF(U12&lt;&gt;"SÍ","",INDEX(TABLAS!$D$6:$J$47,MATCH(AU12&amp;"|NIL",TABLAS!$B$6:$B$47,0),AV12)+AW12*(INDEX(TABLAS!$D$6:$J$47,MATCH(AU12&amp;"|NIL",TABLAS!$B$6:$B$47,0),MIN(AV12+1,7))-INDEX(TABLAS!$D$6:$J$47,MATCH(AU12&amp;"|NIL",TABLAS!$B$6:$B$47,0),AV12)))</f>
        <v>0</v>
      </c>
      <c r="AZ12" s="59">
        <f>IF(U12&lt;&gt;"SÍ","",INDEX(TABLAS!$D$6:$J$47,MATCH(AU12&amp;"|NDC",TABLAS!$B$6:$B$47,0),AV12)+AW12*(INDEX(TABLAS!$D$6:$J$47,MATCH(AU12&amp;"|NDC",TABLAS!$B$6:$B$47,0),MIN(AV12+1,7))-INDEX(TABLAS!$D$6:$J$47,MATCH(AU12&amp;"|NDC",TABLAS!$B$6:$B$47,0),AV12)))</f>
        <v>344.817518248175</v>
      </c>
      <c r="BA12" s="59">
        <f>IF(U12&lt;&gt;"SÍ","",INDEX(TABLAS!$D$6:$J$47,MATCH(AU12&amp;"|NDL",TABLAS!$B$6:$B$47,0),AV12)+AW12*(INDEX(TABLAS!$D$6:$J$47,MATCH(AU12&amp;"|NDL",TABLAS!$B$6:$B$47,0),MIN(AV12+1,7))-INDEX(TABLAS!$D$6:$J$47,MATCH(AU12&amp;"|NDL",TABLAS!$B$6:$B$47,0),AV12)))</f>
        <v>340.85401459854</v>
      </c>
      <c r="BB12" s="59">
        <f>IF(U12&lt;&gt;"SÍ","",INDEX(TABLAS!$D$6:$J$47,MATCH(AU12&amp;"|PC",TABLAS!$B$6:$B$47,0),AV12)+AW12*(INDEX(TABLAS!$D$6:$J$47,MATCH(AU12&amp;"|PC",TABLAS!$B$6:$B$47,0),MIN(AV12+1,7))-INDEX(TABLAS!$D$6:$J$47,MATCH(AU12&amp;"|PC",TABLAS!$B$6:$B$47,0),AV12)))</f>
        <v>679.63503649635</v>
      </c>
      <c r="BC12" s="59">
        <f>IF(U12&lt;&gt;"SÍ","",INDEX(TABLAS!$D$6:$J$47,MATCH(AU12&amp;"|PL",TABLAS!$B$6:$B$47,0),AV12)+AW12*(INDEX(TABLAS!$D$6:$J$47,MATCH(AU12&amp;"|PL",TABLAS!$B$6:$B$47,0),MIN(AV12+1,7))-INDEX(TABLAS!$D$6:$J$47,MATCH(AU12&amp;"|PL",TABLAS!$B$6:$B$47,0),AV12)))</f>
        <v>430</v>
      </c>
      <c r="BD12" s="56">
        <f>IF(U12&lt;&gt;"SÍ","",IF(C12&lt;&gt;"VOLADO",0,DATOS!$C$26*DATOS!$C$16*DATOS!$C$83/100*(((AD12*DATOS!$C$78/DATOS!$C$83^2)*DATOS!$C$79/100)*(IF(W12="X",DI12,DJ12)+DATOS!$C$84/2)/100*(AA12-(IF(W12="X",DI12,DJ12)+DATOS!$C$84/2)/2)/100+((AD12*DATOS!$C$78/DATOS!$C$83^2)*DATOS!$C$79/100)*IF(W12="X",DI12,DJ12)/100*IF(W12="X",DI12,DJ12)/200)))</f>
        <v>0.165216535714286</v>
      </c>
      <c r="BE12" s="56">
        <f>IF(U12&lt;&gt;"SÍ","",IF(C12&lt;&gt;"VOLADO",0,DATOS!$C$26*DATOS!$C$16*DATOS!$C$83/100*((AD12*DATOS!$C$78/DATOS!$C$83^2)*DATOS!$C$79/100)*(IF(W12="X",DI12,DJ12)+DATOS!$C$84/2)/100))</f>
        <v>0.08892</v>
      </c>
      <c r="BF12" s="56">
        <f>IF(U12&lt;&gt;"SÍ","",IF(C12="PERIMETRAL",BB12*AQ12*X12^2*1E-4*DATOS!$C$83/100/1000,0))</f>
        <v>0</v>
      </c>
      <c r="BG12" s="62">
        <f>IF(U12&lt;&gt;"SÍ","",IF(C12="PERIMETRAL",MAX(MAX(AX12,AZ12)*AQ12*X12^2*1E-4*DATOS!$C$83/100/1000,N(S12)),(AQ12*(AA12/100)^2/2+DATOS!$C$26*N(O12)*AA12/100)*DATOS!$C$83/100/1000+BD12))</f>
        <v>2.08478382477679</v>
      </c>
      <c r="BH12" s="56">
        <f>IF(U12&lt;&gt;"SÍ","",IF(C12="PERIMETRAL",BC12*AQ12*X12^2*1E-4*DATOS!$C$83/100/1000,0))</f>
        <v>0</v>
      </c>
      <c r="BI12" s="56">
        <f>IF(U12&lt;&gt;"SÍ","",IF(C12="PERIMETRAL",MAX(MAX(AY12,BA12)*AQ12*X12^2*1E-4*DATOS!$C$83/100/1000,N(T12)),0))</f>
        <v>0</v>
      </c>
      <c r="BJ12" s="63" t="str">
        <f>IF(U12&lt;&gt;"SÍ","",IF(C12&lt;&gt;"PERIMETRAL","—",IF(AND(N(S12)=0,N(T12)=0),"— (sin M⁻ del vecino)",IF(OR(AND(N(S12)&gt;0,ABS(MAX(AX12,AZ12)*AQ12*X12^2*1E-4*DATOS!$C$83/100/1000-N(S12))&gt;0.5*MIN(MAX(AX12,AZ12)*AQ12*X12^2*1E-4*DATOS!$C$83/100/1000,N(S12))),AND(N(T12)&gt;0,ABS(MAX(AY12,BA12)*AQ12*X12^2*1E-4*DATOS!$C$83/100/1000-N(T12))&gt;0.5*MIN(MAX(AY12,BA12)*AQ12*X12^2*1E-4*DATOS!$C$83/100/1000,N(T12)))),"FUERA: difieren &gt; 50 %"&amp;IF(AND(N(S12)&gt;0,ABS(MAX(AX12,AZ12)*AQ12*X12^2*1E-4*DATOS!$C$83/100/1000-N(S12))&gt;0.5*MIN(MAX(AX12,AZ12)*AQ12*X12^2*1E-4*DATOS!$C$83/100/1000,N(S12)))," ‖ corto","")&amp;IF(AND(N(T12)&gt;0,ABS(MAX(AY12,BA12)*AQ12*X12^2*1E-4*DATOS!$C$83/100/1000-N(T12))&gt;0.5*MIN(MAX(AY12,BA12)*AQ12*X12^2*1E-4*DATOS!$C$83/100/1000,N(T12)))," ‖ largo",""),"CUMPLE"))))</f>
        <v>—</v>
      </c>
      <c r="BK12" s="58">
        <f>IF(U12&lt;&gt;"SÍ","",(DATOS!$C$82-AJ12-INDEX(TABLAS!$C$52:$C$58,MATCH(DATOS!$C$68,TABLAS!$B$52:$B$58,0))/2))</f>
        <v>20.365</v>
      </c>
      <c r="BL12" s="58">
        <f>IF(U12&lt;&gt;"SÍ","",IF(IF(BF12&lt;=0,0,IF((1-2*BF12*1E5/(DATOS!$C$29*AG12*BK12^2*DATOS!$C$21))&lt;0,-1,IF((1-SQRT((1-2*BF12*1E5/(DATOS!$C$29*AG12*BK12^2*DATOS!$C$21))))*DATOS!$C$21*AG12*BK12/DATOS!$C$14&gt;DATOS!$C$99*AG12*BK12,-1,(1-SQRT((1-2*BF12*1E5/(DATOS!$C$29*AG12*BK12^2*DATOS!$C$21))))*DATOS!$C$21*AG12*BK12/DATOS!$C$14)))&lt;0,-1,MAX(IF(BF12&lt;=0,0,IF((1-2*BF12*1E5/(DATOS!$C$29*AG12*BK12^2*DATOS!$C$21))&lt;0,-1,IF((1-SQRT((1-2*BF12*1E5/(DATOS!$C$29*AG12*BK12^2*DATOS!$C$21))))*DATOS!$C$21*AG12*BK12/DATOS!$C$14&gt;DATOS!$C$99*AG12*BK12,-1,(1-SQRT((1-2*BF12*1E5/(DATOS!$C$29*AG12*BK12^2*DATOS!$C$21))))*DATOS!$C$21*AG12*BK12/DATOS!$C$14))),MIN(DATOS!$C$100*AC12*BK12,4/3*IF(BF12&lt;=0,0,IF((1-2*BF12*1E5/(DATOS!$C$29*AG12*BK12^2*DATOS!$C$21))&lt;0,-1,IF((1-SQRT((1-2*BF12*1E5/(DATOS!$C$29*AG12*BK12^2*DATOS!$C$21))))*DATOS!$C$21*AG12*BK12/DATOS!$C$14&gt;DATOS!$C$99*AG12*BK12,-1,(1-SQRT((1-2*BF12*1E5/(DATOS!$C$29*AG12*BK12^2*DATOS!$C$21))))*DATOS!$C$21*AG12*BK12/DATOS!$C$14)))))))</f>
        <v>0</v>
      </c>
      <c r="BM12" s="64">
        <f>IF(U12&lt;&gt;"SÍ","",IF(AND(BL12&gt;=0,IF(MAX(DATOS!$C$71,CEILING(BL12/INDEX(TABLAS!$D$52:$D$58,MIN(MATCH(DATOS!$C$68,TABLAS!$B$52:$B$58,0)+0,7)),1))*INDEX(TABLAS!$D$52:$D$58,MIN(MATCH(DATOS!$C$68,TABLAS!$B$52:$B$58,0)+0,7))&gt;=4/3*IF(BF12&lt;=0,0,IF((1-2*BF12*1E5/(DATOS!$C$29*AG12*BK12^2*DATOS!$C$21))&lt;0,-1,IF((1-SQRT((1-2*BF12*1E5/(DATOS!$C$29*AG12*BK12^2*DATOS!$C$21))))*DATOS!$C$21*AG12*BK12/DATOS!$C$14&gt;DATOS!$C$99*AG12*BK12,-1,(1-SQRT((1-2*BF12*1E5/(DATOS!$C$29*AG12*BK12^2*DATOS!$C$21))))*DATOS!$C$21*AG12*BK12/DATOS!$C$14)))-0.0001,MAX(DATOS!$C$71,CEILING(BL12/INDEX(TABLAS!$D$52:$D$58,MIN(MATCH(DATOS!$C$68,TABLAS!$B$52:$B$58,0)+0,7)),1)),MAX(MAX(DATOS!$C$71,CEILING(BL12/INDEX(TABLAS!$D$52:$D$58,MIN(MATCH(DATOS!$C$68,TABLAS!$B$52:$B$58,0)+0,7)),1)),2))&lt;=MIN(DATOS!$C$70,INT(((AC12-2*AJ12)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12&gt;=0,IF(MAX(DATOS!$C$71,CEILING(BL12/INDEX(TABLAS!$D$52:$D$58,MIN(MATCH(DATOS!$C$68,TABLAS!$B$52:$B$58,0)+1,7)),1))*INDEX(TABLAS!$D$52:$D$58,MIN(MATCH(DATOS!$C$68,TABLAS!$B$52:$B$58,0)+1,7))&gt;=4/3*IF(BF12&lt;=0,0,IF((1-2*BF12*1E5/(DATOS!$C$29*AG12*BK12^2*DATOS!$C$21))&lt;0,-1,IF((1-SQRT((1-2*BF12*1E5/(DATOS!$C$29*AG12*BK12^2*DATOS!$C$21))))*DATOS!$C$21*AG12*BK12/DATOS!$C$14&gt;DATOS!$C$99*AG12*BK12,-1,(1-SQRT((1-2*BF12*1E5/(DATOS!$C$29*AG12*BK12^2*DATOS!$C$21))))*DATOS!$C$21*AG12*BK12/DATOS!$C$14)))-0.0001,MAX(DATOS!$C$71,CEILING(BL12/INDEX(TABLAS!$D$52:$D$58,MIN(MATCH(DATOS!$C$68,TABLAS!$B$52:$B$58,0)+1,7)),1)),MAX(MAX(DATOS!$C$71,CEILING(BL12/INDEX(TABLAS!$D$52:$D$58,MIN(MATCH(DATOS!$C$68,TABLAS!$B$52:$B$58,0)+1,7)),1)),2))&lt;=MIN(DATOS!$C$70,INT(((AC12-2*AJ12)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12&gt;=0,IF(MAX(DATOS!$C$71,CEILING(BL12/INDEX(TABLAS!$D$52:$D$58,MIN(MATCH(DATOS!$C$68,TABLAS!$B$52:$B$58,0)+2,7)),1))*INDEX(TABLAS!$D$52:$D$58,MIN(MATCH(DATOS!$C$68,TABLAS!$B$52:$B$58,0)+2,7))&gt;=4/3*IF(BF12&lt;=0,0,IF((1-2*BF12*1E5/(DATOS!$C$29*AG12*BK12^2*DATOS!$C$21))&lt;0,-1,IF((1-SQRT((1-2*BF12*1E5/(DATOS!$C$29*AG12*BK12^2*DATOS!$C$21))))*DATOS!$C$21*AG12*BK12/DATOS!$C$14&gt;DATOS!$C$99*AG12*BK12,-1,(1-SQRT((1-2*BF12*1E5/(DATOS!$C$29*AG12*BK12^2*DATOS!$C$21))))*DATOS!$C$21*AG12*BK12/DATOS!$C$14)))-0.0001,MAX(DATOS!$C$71,CEILING(BL12/INDEX(TABLAS!$D$52:$D$58,MIN(MATCH(DATOS!$C$68,TABLAS!$B$52:$B$58,0)+2,7)),1)),MAX(MAX(DATOS!$C$71,CEILING(BL12/INDEX(TABLAS!$D$52:$D$58,MIN(MATCH(DATOS!$C$68,TABLAS!$B$52:$B$58,0)+2,7)),1)),2))&lt;=MIN(DATOS!$C$70,INT(((AC12-2*AJ12)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12&gt;=0,IF(MAX(DATOS!$C$71,CEILING(BL12/INDEX(TABLAS!$D$52:$D$58,MIN(MATCH(DATOS!$C$68,TABLAS!$B$52:$B$58,0)+3,7)),1))*INDEX(TABLAS!$D$52:$D$58,MIN(MATCH(DATOS!$C$68,TABLAS!$B$52:$B$58,0)+3,7))&gt;=4/3*IF(BF12&lt;=0,0,IF((1-2*BF12*1E5/(DATOS!$C$29*AG12*BK12^2*DATOS!$C$21))&lt;0,-1,IF((1-SQRT((1-2*BF12*1E5/(DATOS!$C$29*AG12*BK12^2*DATOS!$C$21))))*DATOS!$C$21*AG12*BK12/DATOS!$C$14&gt;DATOS!$C$99*AG12*BK12,-1,(1-SQRT((1-2*BF12*1E5/(DATOS!$C$29*AG12*BK12^2*DATOS!$C$21))))*DATOS!$C$21*AG12*BK12/DATOS!$C$14)))-0.0001,MAX(DATOS!$C$71,CEILING(BL12/INDEX(TABLAS!$D$52:$D$58,MIN(MATCH(DATOS!$C$68,TABLAS!$B$52:$B$58,0)+3,7)),1)),MAX(MAX(DATOS!$C$71,CEILING(BL12/INDEX(TABLAS!$D$52:$D$58,MIN(MATCH(DATOS!$C$68,TABLAS!$B$52:$B$58,0)+3,7)),1)),2))&lt;=MIN(DATOS!$C$70,INT(((AC12-2*AJ12)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12&gt;=0,IF(MAX(DATOS!$C$71,CEILING(BL12/INDEX(TABLAS!$D$52:$D$58,MIN(MATCH(DATOS!$C$68,TABLAS!$B$52:$B$58,0)+4,7)),1))*INDEX(TABLAS!$D$52:$D$58,MIN(MATCH(DATOS!$C$68,TABLAS!$B$52:$B$58,0)+4,7))&gt;=4/3*IF(BF12&lt;=0,0,IF((1-2*BF12*1E5/(DATOS!$C$29*AG12*BK12^2*DATOS!$C$21))&lt;0,-1,IF((1-SQRT((1-2*BF12*1E5/(DATOS!$C$29*AG12*BK12^2*DATOS!$C$21))))*DATOS!$C$21*AG12*BK12/DATOS!$C$14&gt;DATOS!$C$99*AG12*BK12,-1,(1-SQRT((1-2*BF12*1E5/(DATOS!$C$29*AG12*BK12^2*DATOS!$C$21))))*DATOS!$C$21*AG12*BK12/DATOS!$C$14)))-0.0001,MAX(DATOS!$C$71,CEILING(BL12/INDEX(TABLAS!$D$52:$D$58,MIN(MATCH(DATOS!$C$68,TABLAS!$B$52:$B$58,0)+4,7)),1)),MAX(MAX(DATOS!$C$71,CEILING(BL12/INDEX(TABLAS!$D$52:$D$58,MIN(MATCH(DATOS!$C$68,TABLAS!$B$52:$B$58,0)+4,7)),1)),2))&lt;=MIN(DATOS!$C$70,INT(((AC12-2*AJ12)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>4</v>
      </c>
      <c r="BN12" s="59">
        <f>IF(U12&lt;&gt;"SÍ","",IF(BL12&lt;0,0,IF(MAX(DATOS!$C$71,CEILING(MAX(BL12,0)/INDEX(TABLAS!$D$52:$D$58,MATCH(BM12,TABLAS!$B$52:$B$58,0)),1))*INDEX(TABLAS!$D$52:$D$58,MATCH(BM12,TABLAS!$B$52:$B$58,0))&gt;=4/3*IF(BF12&lt;=0,0,IF((1-2*BF12*1E5/(DATOS!$C$29*AG12*BK12^2*DATOS!$C$21))&lt;0,-1,IF((1-SQRT((1-2*BF12*1E5/(DATOS!$C$29*AG12*BK12^2*DATOS!$C$21))))*DATOS!$C$21*AG12*BK12/DATOS!$C$14&gt;DATOS!$C$99*AG12*BK12,-1,(1-SQRT((1-2*BF12*1E5/(DATOS!$C$29*AG12*BK12^2*DATOS!$C$21))))*DATOS!$C$21*AG12*BK12/DATOS!$C$14)))-0.0001,MAX(DATOS!$C$71,CEILING(MAX(BL12,0)/INDEX(TABLAS!$D$52:$D$58,MATCH(BM12,TABLAS!$B$52:$B$58,0)),1)),MAX(MAX(DATOS!$C$71,CEILING(MAX(BL12,0)/INDEX(TABLAS!$D$52:$D$58,MATCH(BM12,TABLAS!$B$52:$B$58,0)),1)),2))))</f>
        <v>1</v>
      </c>
      <c r="BO12" s="58">
        <f>IF(U12&lt;&gt;"SÍ","",DATOS!$C$82-AJ12-INDEX(TABLAS!$C$52:$C$58,MATCH(BM12,TABLAS!$B$52:$B$58,0))/2)</f>
        <v>20.365</v>
      </c>
      <c r="BP12" s="56">
        <f>IF(U12&lt;&gt;"SÍ","",IF(BN12=0,0,DATOS!$C$29*BN12*INDEX(TABLAS!$D$52:$D$58,MATCH(BM12,TABLAS!$B$52:$B$58,0))*DATOS!$C$14*(BO12-BN12*INDEX(TABLAS!$D$52:$D$58,MATCH(BM12,TABLAS!$B$52:$B$58,0))*DATOS!$C$14/(DATOS!$C$21*AG12)/2)/1E5))</f>
        <v>0.968798101356719</v>
      </c>
      <c r="BQ12" s="65">
        <f>IF(U12&lt;&gt;"SÍ","",IF(BL12&lt;0,9.99,IF(BP12&gt;0,BF12/BP12,0)))</f>
        <v>0</v>
      </c>
      <c r="BR12" s="66">
        <f>IF(U12&lt;&gt;"SÍ","",IF(BN12=0,"—",0.003*(BO12-(BN12*INDEX(TABLAS!$D$52:$D$58,MATCH(BM12,TABLAS!$B$52:$B$58,0))*DATOS!$C$14/(DATOS!$C$21*AG12)/DATOS!$C$22))/(BN12*INDEX(TABLAS!$D$52:$D$58,MATCH(BM12,TABLAS!$B$52:$B$58,0))*DATOS!$C$14/(DATOS!$C$21*AG12)/DATOS!$C$22)))</f>
        <v>0.137940897646583</v>
      </c>
      <c r="BS12" s="58">
        <f>IF(U12&lt;&gt;"SÍ","",((DATOS!$C$82-AL12-2*DATOS!$C$94-INDEX(TABLAS!$C$52:$C$58,MATCH(DATOS!$C$69,TABLAS!$B$52:$B$58,0))/2)-IF(AND((DATOS!$C$82-AL12-2*DATOS!$C$94-INDEX(TABLAS!$C$52:$C$58,MATCH(DATOS!$C$69,TABLAS!$B$52:$B$58,0))/2)&lt;=20,DATOS!$C$62&lt;&gt;"SÍ"),2,0)))</f>
        <v>19.221</v>
      </c>
      <c r="BT12" s="58">
        <f>IF(U12&lt;&gt;"SÍ","",IF(IF(BG12&lt;=0,0,IF((1-2*BG12*1E5/(DATOS!$C$29*AE12*BS12^2*DATOS!$C$21))&lt;0,-1,IF((1-SQRT((1-2*BG12*1E5/(DATOS!$C$29*AE12*BS12^2*DATOS!$C$21))))*DATOS!$C$21*AE12*BS12/DATOS!$C$14&gt;DATOS!$C$99*AE12*BS12,-1,(1-SQRT((1-2*BG12*1E5/(DATOS!$C$29*AE12*BS12^2*DATOS!$C$21))))*DATOS!$C$21*AE12*BS12/DATOS!$C$14)))&lt;0,-1,MAX(IF(BG12&lt;=0,0,IF((1-2*BG12*1E5/(DATOS!$C$29*AE12*BS12^2*DATOS!$C$21))&lt;0,-1,IF((1-SQRT((1-2*BG12*1E5/(DATOS!$C$29*AE12*BS12^2*DATOS!$C$21))))*DATOS!$C$21*AE12*BS12/DATOS!$C$14&gt;DATOS!$C$99*AE12*BS12,-1,(1-SQRT((1-2*BG12*1E5/(DATOS!$C$29*AE12*BS12^2*DATOS!$C$21))))*DATOS!$C$21*AE12*BS12/DATOS!$C$14))),MIN(DATOS!$C$100*IF(C12="VOLADO",MIN(AG12,2*AC12),AC12)*BS12,4/3*IF(BG12&lt;=0,0,IF((1-2*BG12*1E5/(DATOS!$C$29*AE12*BS12^2*DATOS!$C$21))&lt;0,-1,IF((1-SQRT((1-2*BG12*1E5/(DATOS!$C$29*AE12*BS12^2*DATOS!$C$21))))*DATOS!$C$21*AE12*BS12/DATOS!$C$14&gt;DATOS!$C$99*AE12*BS12,-1,(1-SQRT((1-2*BG12*1E5/(DATOS!$C$29*AE12*BS12^2*DATOS!$C$21))))*DATOS!$C$21*AE12*BS12/DATOS!$C$14)))))))</f>
        <v>3.11959288779074</v>
      </c>
      <c r="BU12" s="64">
        <f>IF(U12&lt;&gt;"SÍ","",IF(AND(BT12&gt;=0,IF(MAX(DATOS!$C$71,CEILING(BT12/INDEX(TABLAS!$D$52:$D$58,MIN(MATCH(DATOS!$C$69,TABLAS!$B$52:$B$58,0)+0,7)),1))*INDEX(TABLAS!$D$52:$D$58,MIN(MATCH(DATOS!$C$69,TABLAS!$B$52:$B$58,0)+0,7))&gt;=4/3*IF(BG12&lt;=0,0,IF((1-2*BG12*1E5/(DATOS!$C$29*AE12*BS12^2*DATOS!$C$21))&lt;0,-1,IF((1-SQRT((1-2*BG12*1E5/(DATOS!$C$29*AE12*BS12^2*DATOS!$C$21))))*DATOS!$C$21*AE12*BS12/DATOS!$C$14&gt;DATOS!$C$99*AE12*BS12,-1,(1-SQRT((1-2*BG12*1E5/(DATOS!$C$29*AE12*BS12^2*DATOS!$C$21))))*DATOS!$C$21*AE12*BS12/DATOS!$C$14)))-0.0001,MAX(DATOS!$C$71,CEILING(BT12/INDEX(TABLAS!$D$52:$D$58,MIN(MATCH(DATOS!$C$69,TABLAS!$B$52:$B$58,0)+0,7)),1)),MAX(MAX(DATOS!$C$71,CEILING(BT12/INDEX(TABLAS!$D$52:$D$58,MIN(MATCH(DATOS!$C$69,TABLAS!$B$52:$B$58,0)+0,7)),1)),2))&lt;=MIN(DATOS!$C$70,INT(((AC12-2*AK12)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12&gt;=0,IF(MAX(DATOS!$C$71,CEILING(BT12/INDEX(TABLAS!$D$52:$D$58,MIN(MATCH(DATOS!$C$69,TABLAS!$B$52:$B$58,0)+1,7)),1))*INDEX(TABLAS!$D$52:$D$58,MIN(MATCH(DATOS!$C$69,TABLAS!$B$52:$B$58,0)+1,7))&gt;=4/3*IF(BG12&lt;=0,0,IF((1-2*BG12*1E5/(DATOS!$C$29*AE12*BS12^2*DATOS!$C$21))&lt;0,-1,IF((1-SQRT((1-2*BG12*1E5/(DATOS!$C$29*AE12*BS12^2*DATOS!$C$21))))*DATOS!$C$21*AE12*BS12/DATOS!$C$14&gt;DATOS!$C$99*AE12*BS12,-1,(1-SQRT((1-2*BG12*1E5/(DATOS!$C$29*AE12*BS12^2*DATOS!$C$21))))*DATOS!$C$21*AE12*BS12/DATOS!$C$14)))-0.0001,MAX(DATOS!$C$71,CEILING(BT12/INDEX(TABLAS!$D$52:$D$58,MIN(MATCH(DATOS!$C$69,TABLAS!$B$52:$B$58,0)+1,7)),1)),MAX(MAX(DATOS!$C$71,CEILING(BT12/INDEX(TABLAS!$D$52:$D$58,MIN(MATCH(DATOS!$C$69,TABLAS!$B$52:$B$58,0)+1,7)),1)),2))&lt;=MIN(DATOS!$C$70,INT(((AC12-2*AK12)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12&gt;=0,IF(MAX(DATOS!$C$71,CEILING(BT12/INDEX(TABLAS!$D$52:$D$58,MIN(MATCH(DATOS!$C$69,TABLAS!$B$52:$B$58,0)+2,7)),1))*INDEX(TABLAS!$D$52:$D$58,MIN(MATCH(DATOS!$C$69,TABLAS!$B$52:$B$58,0)+2,7))&gt;=4/3*IF(BG12&lt;=0,0,IF((1-2*BG12*1E5/(DATOS!$C$29*AE12*BS12^2*DATOS!$C$21))&lt;0,-1,IF((1-SQRT((1-2*BG12*1E5/(DATOS!$C$29*AE12*BS12^2*DATOS!$C$21))))*DATOS!$C$21*AE12*BS12/DATOS!$C$14&gt;DATOS!$C$99*AE12*BS12,-1,(1-SQRT((1-2*BG12*1E5/(DATOS!$C$29*AE12*BS12^2*DATOS!$C$21))))*DATOS!$C$21*AE12*BS12/DATOS!$C$14)))-0.0001,MAX(DATOS!$C$71,CEILING(BT12/INDEX(TABLAS!$D$52:$D$58,MIN(MATCH(DATOS!$C$69,TABLAS!$B$52:$B$58,0)+2,7)),1)),MAX(MAX(DATOS!$C$71,CEILING(BT12/INDEX(TABLAS!$D$52:$D$58,MIN(MATCH(DATOS!$C$69,TABLAS!$B$52:$B$58,0)+2,7)),1)),2))&lt;=MIN(DATOS!$C$70,INT(((AC12-2*AK12)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12&gt;=0,IF(MAX(DATOS!$C$71,CEILING(BT12/INDEX(TABLAS!$D$52:$D$58,MIN(MATCH(DATOS!$C$69,TABLAS!$B$52:$B$58,0)+3,7)),1))*INDEX(TABLAS!$D$52:$D$58,MIN(MATCH(DATOS!$C$69,TABLAS!$B$52:$B$58,0)+3,7))&gt;=4/3*IF(BG12&lt;=0,0,IF((1-2*BG12*1E5/(DATOS!$C$29*AE12*BS12^2*DATOS!$C$21))&lt;0,-1,IF((1-SQRT((1-2*BG12*1E5/(DATOS!$C$29*AE12*BS12^2*DATOS!$C$21))))*DATOS!$C$21*AE12*BS12/DATOS!$C$14&gt;DATOS!$C$99*AE12*BS12,-1,(1-SQRT((1-2*BG12*1E5/(DATOS!$C$29*AE12*BS12^2*DATOS!$C$21))))*DATOS!$C$21*AE12*BS12/DATOS!$C$14)))-0.0001,MAX(DATOS!$C$71,CEILING(BT12/INDEX(TABLAS!$D$52:$D$58,MIN(MATCH(DATOS!$C$69,TABLAS!$B$52:$B$58,0)+3,7)),1)),MAX(MAX(DATOS!$C$71,CEILING(BT12/INDEX(TABLAS!$D$52:$D$58,MIN(MATCH(DATOS!$C$69,TABLAS!$B$52:$B$58,0)+3,7)),1)),2))&lt;=MIN(DATOS!$C$70,INT(((AC12-2*AK12)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12&gt;=0,IF(MAX(DATOS!$C$71,CEILING(BT12/INDEX(TABLAS!$D$52:$D$58,MIN(MATCH(DATOS!$C$69,TABLAS!$B$52:$B$58,0)+4,7)),1))*INDEX(TABLAS!$D$52:$D$58,MIN(MATCH(DATOS!$C$69,TABLAS!$B$52:$B$58,0)+4,7))&gt;=4/3*IF(BG12&lt;=0,0,IF((1-2*BG12*1E5/(DATOS!$C$29*AE12*BS12^2*DATOS!$C$21))&lt;0,-1,IF((1-SQRT((1-2*BG12*1E5/(DATOS!$C$29*AE12*BS12^2*DATOS!$C$21))))*DATOS!$C$21*AE12*BS12/DATOS!$C$14&gt;DATOS!$C$99*AE12*BS12,-1,(1-SQRT((1-2*BG12*1E5/(DATOS!$C$29*AE12*BS12^2*DATOS!$C$21))))*DATOS!$C$21*AE12*BS12/DATOS!$C$14)))-0.0001,MAX(DATOS!$C$71,CEILING(BT12/INDEX(TABLAS!$D$52:$D$58,MIN(MATCH(DATOS!$C$69,TABLAS!$B$52:$B$58,0)+4,7)),1)),MAX(MAX(DATOS!$C$71,CEILING(BT12/INDEX(TABLAS!$D$52:$D$58,MIN(MATCH(DATOS!$C$69,TABLAS!$B$52:$B$58,0)+4,7)),1)),2))&lt;=MIN(DATOS!$C$70,INT(((AC12-2*AK12)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>5</v>
      </c>
      <c r="BV12" s="59">
        <f>IF(U12&lt;&gt;"SÍ","",IF(BT12&lt;0,0,IF(MAX(DATOS!$C$71,CEILING(MAX(BT12,0)/INDEX(TABLAS!$D$52:$D$58,MATCH(BU12,TABLAS!$B$52:$B$58,0)),1))*INDEX(TABLAS!$D$52:$D$58,MATCH(BU12,TABLAS!$B$52:$B$58,0))&gt;=4/3*IF(BG12&lt;=0,0,IF((1-2*BG12*1E5/(DATOS!$C$29*AE12*BS12^2*DATOS!$C$21))&lt;0,-1,IF((1-SQRT((1-2*BG12*1E5/(DATOS!$C$29*AE12*BS12^2*DATOS!$C$21))))*DATOS!$C$21*AE12*BS12/DATOS!$C$14&gt;DATOS!$C$99*AE12*BS12,-1,(1-SQRT((1-2*BG12*1E5/(DATOS!$C$29*AE12*BS12^2*DATOS!$C$21))))*DATOS!$C$21*AE12*BS12/DATOS!$C$14)))-0.0001,MAX(DATOS!$C$71,CEILING(MAX(BT12,0)/INDEX(TABLAS!$D$52:$D$58,MATCH(BU12,TABLAS!$B$52:$B$58,0)),1)),MAX(MAX(DATOS!$C$71,CEILING(MAX(BT12,0)/INDEX(TABLAS!$D$52:$D$58,MATCH(BU12,TABLAS!$B$52:$B$58,0)),1)),2))))</f>
        <v>2</v>
      </c>
      <c r="BW12" s="58">
        <f>IF(U12&lt;&gt;"SÍ","",((DATOS!$C$82-AL12-2*DATOS!$C$94-INDEX(TABLAS!$C$52:$C$58,MATCH(BU12,TABLAS!$B$52:$B$58,0))/2)-IF(AND((DATOS!$C$82-AL12-2*DATOS!$C$94-INDEX(TABLAS!$C$52:$C$58,MATCH(BU12,TABLAS!$B$52:$B$58,0))/2)&lt;=20,DATOS!$C$62&lt;&gt;"SÍ"),2,0)))</f>
        <v>19.061</v>
      </c>
      <c r="BX12" s="56">
        <f>IF(U12&lt;&gt;"SÍ","",IF(BV12=0,0,DATOS!$C$29*BV12*INDEX(TABLAS!$D$52:$D$58,MATCH(BU12,TABLAS!$B$52:$B$58,0))*DATOS!$C$14*(BW12-BV12*INDEX(TABLAS!$D$52:$D$58,MATCH(BU12,TABLAS!$B$52:$B$58,0))*DATOS!$C$14/(DATOS!$C$21*AE12)/2)/1E5))</f>
        <v>2.56030757788235</v>
      </c>
      <c r="BY12" s="65">
        <f>IF(U12&lt;&gt;"SÍ","",IF(BT12&lt;0,9.99,IF(BX12&gt;0,BG12/BX12,0)))</f>
        <v>0.81427084885681</v>
      </c>
      <c r="BZ12" s="66">
        <f>IF(U12&lt;&gt;"SÍ","",IF(BV12=0,"—",0.003*(BW12-(BV12*INDEX(TABLAS!$D$52:$D$58,MATCH(BU12,TABLAS!$B$52:$B$58,0))*DATOS!$C$14/(DATOS!$C$21*AE12)/DATOS!$C$22))/(BV12*INDEX(TABLAS!$D$52:$D$58,MATCH(BU12,TABLAS!$B$52:$B$58,0))*DATOS!$C$14/(DATOS!$C$21*AE12)/DATOS!$C$22)))</f>
        <v>0.00942024936868687</v>
      </c>
      <c r="CA12" s="58">
        <f>IF(U12&lt;&gt;"SÍ","",(DATOS!$C$82-AJ12-INDEX(TABLAS!$C$52:$C$58,MATCH(DATOS!$C$68,TABLAS!$B$52:$B$58,0))-INDEX(TABLAS!$C$52:$C$58,MATCH(DATOS!$C$68,TABLAS!$B$52:$B$58,0))/2))</f>
        <v>19.095</v>
      </c>
      <c r="CB12" s="58">
        <f>IF(U12&lt;&gt;"SÍ","",IF(IF(BH12&lt;=0,0,IF((1-2*BH12*1E5/(DATOS!$C$29*AH12*CA12^2*DATOS!$C$21))&lt;0,-1,IF((1-SQRT((1-2*BH12*1E5/(DATOS!$C$29*AH12*CA12^2*DATOS!$C$21))))*DATOS!$C$21*AH12*CA12/DATOS!$C$14&gt;DATOS!$C$99*AH12*CA12,-1,(1-SQRT((1-2*BH12*1E5/(DATOS!$C$29*AH12*CA12^2*DATOS!$C$21))))*DATOS!$C$21*AH12*CA12/DATOS!$C$14)))&lt;0,-1,MAX(IF(BH12&lt;=0,0,IF((1-2*BH12*1E5/(DATOS!$C$29*AH12*CA12^2*DATOS!$C$21))&lt;0,-1,IF((1-SQRT((1-2*BH12*1E5/(DATOS!$C$29*AH12*CA12^2*DATOS!$C$21))))*DATOS!$C$21*AH12*CA12/DATOS!$C$14&gt;DATOS!$C$99*AH12*CA12,-1,(1-SQRT((1-2*BH12*1E5/(DATOS!$C$29*AH12*CA12^2*DATOS!$C$21))))*DATOS!$C$21*AH12*CA12/DATOS!$C$14))),MIN(DATOS!$C$100*DATOS!$C$80*CA12,4/3*IF(BH12&lt;=0,0,IF((1-2*BH12*1E5/(DATOS!$C$29*AH12*CA12^2*DATOS!$C$21))&lt;0,-1,IF((1-SQRT((1-2*BH12*1E5/(DATOS!$C$29*AH12*CA12^2*DATOS!$C$21))))*DATOS!$C$21*AH12*CA12/DATOS!$C$14&gt;DATOS!$C$99*AH12*CA12,-1,(1-SQRT((1-2*BH12*1E5/(DATOS!$C$29*AH12*CA12^2*DATOS!$C$21))))*DATOS!$C$21*AH12*CA12/DATOS!$C$14)))))))</f>
        <v>0</v>
      </c>
      <c r="CC12" s="64">
        <f>IF(U12&lt;&gt;"SÍ","",IF(AND(CB12&gt;=0,IF(MAX(DATOS!$C$71,CEILING(CB12/INDEX(TABLAS!$D$52:$D$58,MIN(MATCH(DATOS!$C$68,TABLAS!$B$52:$B$58,0)+0,7)),1))*INDEX(TABLAS!$D$52:$D$58,MIN(MATCH(DATOS!$C$68,TABLAS!$B$52:$B$58,0)+0,7))&gt;=4/3*IF(BH12&lt;=0,0,IF((1-2*BH12*1E5/(DATOS!$C$29*AH12*CA12^2*DATOS!$C$21))&lt;0,-1,IF((1-SQRT((1-2*BH12*1E5/(DATOS!$C$29*AH12*CA12^2*DATOS!$C$21))))*DATOS!$C$21*AH12*CA12/DATOS!$C$14&gt;DATOS!$C$99*AH12*CA12,-1,(1-SQRT((1-2*BH12*1E5/(DATOS!$C$29*AH12*CA12^2*DATOS!$C$21))))*DATOS!$C$21*AH12*CA12/DATOS!$C$14)))-0.0001,MAX(DATOS!$C$71,CEILING(CB12/INDEX(TABLAS!$D$52:$D$58,MIN(MATCH(DATOS!$C$68,TABLAS!$B$52:$B$58,0)+0,7)),1)),MAX(MAX(DATOS!$C$71,CEILING(CB12/INDEX(TABLAS!$D$52:$D$58,MIN(MATCH(DATOS!$C$68,TABLAS!$B$52:$B$58,0)+0,7)),1)),2))&lt;=MIN(DATOS!$C$70,INT(((DATOS!$C$80-2*AJ12)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12&gt;=0,IF(MAX(DATOS!$C$71,CEILING(CB12/INDEX(TABLAS!$D$52:$D$58,MIN(MATCH(DATOS!$C$68,TABLAS!$B$52:$B$58,0)+1,7)),1))*INDEX(TABLAS!$D$52:$D$58,MIN(MATCH(DATOS!$C$68,TABLAS!$B$52:$B$58,0)+1,7))&gt;=4/3*IF(BH12&lt;=0,0,IF((1-2*BH12*1E5/(DATOS!$C$29*AH12*CA12^2*DATOS!$C$21))&lt;0,-1,IF((1-SQRT((1-2*BH12*1E5/(DATOS!$C$29*AH12*CA12^2*DATOS!$C$21))))*DATOS!$C$21*AH12*CA12/DATOS!$C$14&gt;DATOS!$C$99*AH12*CA12,-1,(1-SQRT((1-2*BH12*1E5/(DATOS!$C$29*AH12*CA12^2*DATOS!$C$21))))*DATOS!$C$21*AH12*CA12/DATOS!$C$14)))-0.0001,MAX(DATOS!$C$71,CEILING(CB12/INDEX(TABLAS!$D$52:$D$58,MIN(MATCH(DATOS!$C$68,TABLAS!$B$52:$B$58,0)+1,7)),1)),MAX(MAX(DATOS!$C$71,CEILING(CB12/INDEX(TABLAS!$D$52:$D$58,MIN(MATCH(DATOS!$C$68,TABLAS!$B$52:$B$58,0)+1,7)),1)),2))&lt;=MIN(DATOS!$C$70,INT(((DATOS!$C$80-2*AJ12)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12&gt;=0,IF(MAX(DATOS!$C$71,CEILING(CB12/INDEX(TABLAS!$D$52:$D$58,MIN(MATCH(DATOS!$C$68,TABLAS!$B$52:$B$58,0)+2,7)),1))*INDEX(TABLAS!$D$52:$D$58,MIN(MATCH(DATOS!$C$68,TABLAS!$B$52:$B$58,0)+2,7))&gt;=4/3*IF(BH12&lt;=0,0,IF((1-2*BH12*1E5/(DATOS!$C$29*AH12*CA12^2*DATOS!$C$21))&lt;0,-1,IF((1-SQRT((1-2*BH12*1E5/(DATOS!$C$29*AH12*CA12^2*DATOS!$C$21))))*DATOS!$C$21*AH12*CA12/DATOS!$C$14&gt;DATOS!$C$99*AH12*CA12,-1,(1-SQRT((1-2*BH12*1E5/(DATOS!$C$29*AH12*CA12^2*DATOS!$C$21))))*DATOS!$C$21*AH12*CA12/DATOS!$C$14)))-0.0001,MAX(DATOS!$C$71,CEILING(CB12/INDEX(TABLAS!$D$52:$D$58,MIN(MATCH(DATOS!$C$68,TABLAS!$B$52:$B$58,0)+2,7)),1)),MAX(MAX(DATOS!$C$71,CEILING(CB12/INDEX(TABLAS!$D$52:$D$58,MIN(MATCH(DATOS!$C$68,TABLAS!$B$52:$B$58,0)+2,7)),1)),2))&lt;=MIN(DATOS!$C$70,INT(((DATOS!$C$80-2*AJ12)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12&gt;=0,IF(MAX(DATOS!$C$71,CEILING(CB12/INDEX(TABLAS!$D$52:$D$58,MIN(MATCH(DATOS!$C$68,TABLAS!$B$52:$B$58,0)+3,7)),1))*INDEX(TABLAS!$D$52:$D$58,MIN(MATCH(DATOS!$C$68,TABLAS!$B$52:$B$58,0)+3,7))&gt;=4/3*IF(BH12&lt;=0,0,IF((1-2*BH12*1E5/(DATOS!$C$29*AH12*CA12^2*DATOS!$C$21))&lt;0,-1,IF((1-SQRT((1-2*BH12*1E5/(DATOS!$C$29*AH12*CA12^2*DATOS!$C$21))))*DATOS!$C$21*AH12*CA12/DATOS!$C$14&gt;DATOS!$C$99*AH12*CA12,-1,(1-SQRT((1-2*BH12*1E5/(DATOS!$C$29*AH12*CA12^2*DATOS!$C$21))))*DATOS!$C$21*AH12*CA12/DATOS!$C$14)))-0.0001,MAX(DATOS!$C$71,CEILING(CB12/INDEX(TABLAS!$D$52:$D$58,MIN(MATCH(DATOS!$C$68,TABLAS!$B$52:$B$58,0)+3,7)),1)),MAX(MAX(DATOS!$C$71,CEILING(CB12/INDEX(TABLAS!$D$52:$D$58,MIN(MATCH(DATOS!$C$68,TABLAS!$B$52:$B$58,0)+3,7)),1)),2))&lt;=MIN(DATOS!$C$70,INT(((DATOS!$C$80-2*AJ12)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12&gt;=0,IF(MAX(DATOS!$C$71,CEILING(CB12/INDEX(TABLAS!$D$52:$D$58,MIN(MATCH(DATOS!$C$68,TABLAS!$B$52:$B$58,0)+4,7)),1))*INDEX(TABLAS!$D$52:$D$58,MIN(MATCH(DATOS!$C$68,TABLAS!$B$52:$B$58,0)+4,7))&gt;=4/3*IF(BH12&lt;=0,0,IF((1-2*BH12*1E5/(DATOS!$C$29*AH12*CA12^2*DATOS!$C$21))&lt;0,-1,IF((1-SQRT((1-2*BH12*1E5/(DATOS!$C$29*AH12*CA12^2*DATOS!$C$21))))*DATOS!$C$21*AH12*CA12/DATOS!$C$14&gt;DATOS!$C$99*AH12*CA12,-1,(1-SQRT((1-2*BH12*1E5/(DATOS!$C$29*AH12*CA12^2*DATOS!$C$21))))*DATOS!$C$21*AH12*CA12/DATOS!$C$14)))-0.0001,MAX(DATOS!$C$71,CEILING(CB12/INDEX(TABLAS!$D$52:$D$58,MIN(MATCH(DATOS!$C$68,TABLAS!$B$52:$B$58,0)+4,7)),1)),MAX(MAX(DATOS!$C$71,CEILING(CB12/INDEX(TABLAS!$D$52:$D$58,MIN(MATCH(DATOS!$C$68,TABLAS!$B$52:$B$58,0)+4,7)),1)),2))&lt;=MIN(DATOS!$C$70,INT(((DATOS!$C$80-2*AJ12)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>4</v>
      </c>
      <c r="CD12" s="59">
        <f>IF(U12&lt;&gt;"SÍ","",IF(CB12&lt;0,0,IF(MAX(DATOS!$C$71,CEILING(MAX(CB12,0)/INDEX(TABLAS!$D$52:$D$58,MATCH(CC12,TABLAS!$B$52:$B$58,0)),1))*INDEX(TABLAS!$D$52:$D$58,MATCH(CC12,TABLAS!$B$52:$B$58,0))&gt;=4/3*IF(BH12&lt;=0,0,IF((1-2*BH12*1E5/(DATOS!$C$29*AH12*CA12^2*DATOS!$C$21))&lt;0,-1,IF((1-SQRT((1-2*BH12*1E5/(DATOS!$C$29*AH12*CA12^2*DATOS!$C$21))))*DATOS!$C$21*AH12*CA12/DATOS!$C$14&gt;DATOS!$C$99*AH12*CA12,-1,(1-SQRT((1-2*BH12*1E5/(DATOS!$C$29*AH12*CA12^2*DATOS!$C$21))))*DATOS!$C$21*AH12*CA12/DATOS!$C$14)))-0.0001,MAX(DATOS!$C$71,CEILING(MAX(CB12,0)/INDEX(TABLAS!$D$52:$D$58,MATCH(CC12,TABLAS!$B$52:$B$58,0)),1)),MAX(MAX(DATOS!$C$71,CEILING(MAX(CB12,0)/INDEX(TABLAS!$D$52:$D$58,MATCH(CC12,TABLAS!$B$52:$B$58,0)),1)),2))))</f>
        <v>1</v>
      </c>
      <c r="CE12" s="58">
        <f>IF(U12&lt;&gt;"SÍ","",DATOS!$C$82-AJ12-INDEX(TABLAS!$C$52:$C$58,MATCH(BM12,TABLAS!$B$52:$B$58,0))-INDEX(TABLAS!$C$52:$C$58,MATCH(CC12,TABLAS!$B$52:$B$58,0))/2)</f>
        <v>19.095</v>
      </c>
      <c r="CF12" s="56">
        <f>IF(U12&lt;&gt;"SÍ","",IF(CD12=0,0,DATOS!$C$29*CD12*INDEX(TABLAS!$D$52:$D$58,MATCH(CC12,TABLAS!$B$52:$B$58,0))*DATOS!$C$14*(CE12-CD12*INDEX(TABLAS!$D$52:$D$58,MATCH(CC12,TABLAS!$B$52:$B$58,0))*DATOS!$C$14/(DATOS!$C$21*AH12)/2)/1E5))</f>
        <v>0.908067376588235</v>
      </c>
      <c r="CG12" s="65">
        <f>IF(U12&lt;&gt;"SÍ","",IF(CB12&lt;0,9.99,IF(CF12&gt;0,BH12/CF12,0)))</f>
        <v>0</v>
      </c>
      <c r="CH12" s="66">
        <f>IF(U12&lt;&gt;"SÍ","",IF(CD12=0,"—",0.003*(CE12-(CD12*INDEX(TABLAS!$D$52:$D$58,MATCH(CC12,TABLAS!$B$52:$B$58,0))*DATOS!$C$14/(DATOS!$C$21*AH12)/DATOS!$C$22))/(CD12*INDEX(TABLAS!$D$52:$D$58,MATCH(CC12,TABLAS!$B$52:$B$58,0))*DATOS!$C$14/(DATOS!$C$21*AH12)/DATOS!$C$22)))</f>
        <v>0.13278875492126</v>
      </c>
      <c r="CI12" s="58">
        <f>IF(U12&lt;&gt;"SÍ","",((DATOS!$C$82-AL12-2*DATOS!$C$94-INDEX(TABLAS!$C$52:$C$58,MATCH(DATOS!$C$69,TABLAS!$B$52:$B$58,0))-INDEX(TABLAS!$C$52:$C$58,MATCH(DATOS!$C$69,TABLAS!$B$52:$B$58,0))/2)-IF(AND((DATOS!$C$82-AL12-2*DATOS!$C$94-INDEX(TABLAS!$C$52:$C$58,MATCH(DATOS!$C$69,TABLAS!$B$52:$B$58,0))-INDEX(TABLAS!$C$52:$C$58,MATCH(DATOS!$C$69,TABLAS!$B$52:$B$58,0))/2)&lt;=20,DATOS!$C$62&lt;&gt;"SÍ"),2,0)))</f>
        <v>17.951</v>
      </c>
      <c r="CJ12" s="58">
        <f>IF(U12&lt;&gt;"SÍ","",IF(IF(BI12&lt;=0,0,IF((1-2*BI12*1E5/(DATOS!$C$29*AF12*CI12^2*DATOS!$C$21))&lt;0,-1,IF((1-SQRT((1-2*BI12*1E5/(DATOS!$C$29*AF12*CI12^2*DATOS!$C$21))))*DATOS!$C$21*AF12*CI12/DATOS!$C$14&gt;DATOS!$C$99*AF12*CI12,-1,(1-SQRT((1-2*BI12*1E5/(DATOS!$C$29*AF12*CI12^2*DATOS!$C$21))))*DATOS!$C$21*AF12*CI12/DATOS!$C$14)))&lt;0,-1,MAX(IF(BI12&lt;=0,0,IF((1-2*BI12*1E5/(DATOS!$C$29*AF12*CI12^2*DATOS!$C$21))&lt;0,-1,IF((1-SQRT((1-2*BI12*1E5/(DATOS!$C$29*AF12*CI12^2*DATOS!$C$21))))*DATOS!$C$21*AF12*CI12/DATOS!$C$14&gt;DATOS!$C$99*AF12*CI12,-1,(1-SQRT((1-2*BI12*1E5/(DATOS!$C$29*AF12*CI12^2*DATOS!$C$21))))*DATOS!$C$21*AF12*CI12/DATOS!$C$14))),MIN(DATOS!$C$100*DATOS!$C$80*CI12,4/3*IF(BI12&lt;=0,0,IF((1-2*BI12*1E5/(DATOS!$C$29*AF12*CI12^2*DATOS!$C$21))&lt;0,-1,IF((1-SQRT((1-2*BI12*1E5/(DATOS!$C$29*AF12*CI12^2*DATOS!$C$21))))*DATOS!$C$21*AF12*CI12/DATOS!$C$14&gt;DATOS!$C$99*AF12*CI12,-1,(1-SQRT((1-2*BI12*1E5/(DATOS!$C$29*AF12*CI12^2*DATOS!$C$21))))*DATOS!$C$21*AF12*CI12/DATOS!$C$14)))))))</f>
        <v>0</v>
      </c>
      <c r="CK12" s="64">
        <f>IF(U12&lt;&gt;"SÍ","",IF(AND(CJ12&gt;=0,IF(MAX(DATOS!$C$71,CEILING(CJ12/INDEX(TABLAS!$D$52:$D$58,MIN(MATCH(DATOS!$C$69,TABLAS!$B$52:$B$58,0)+0,7)),1))*INDEX(TABLAS!$D$52:$D$58,MIN(MATCH(DATOS!$C$69,TABLAS!$B$52:$B$58,0)+0,7))&gt;=4/3*IF(BI12&lt;=0,0,IF((1-2*BI12*1E5/(DATOS!$C$29*AF12*CI12^2*DATOS!$C$21))&lt;0,-1,IF((1-SQRT((1-2*BI12*1E5/(DATOS!$C$29*AF12*CI12^2*DATOS!$C$21))))*DATOS!$C$21*AF12*CI12/DATOS!$C$14&gt;DATOS!$C$99*AF12*CI12,-1,(1-SQRT((1-2*BI12*1E5/(DATOS!$C$29*AF12*CI12^2*DATOS!$C$21))))*DATOS!$C$21*AF12*CI12/DATOS!$C$14)))-0.0001,MAX(DATOS!$C$71,CEILING(CJ12/INDEX(TABLAS!$D$52:$D$58,MIN(MATCH(DATOS!$C$69,TABLAS!$B$52:$B$58,0)+0,7)),1)),MAX(MAX(DATOS!$C$71,CEILING(CJ12/INDEX(TABLAS!$D$52:$D$58,MIN(MATCH(DATOS!$C$69,TABLAS!$B$52:$B$58,0)+0,7)),1)),2))&lt;=MIN(DATOS!$C$70,INT(((DATOS!$C$80-2*AK12)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12&gt;=0,IF(MAX(DATOS!$C$71,CEILING(CJ12/INDEX(TABLAS!$D$52:$D$58,MIN(MATCH(DATOS!$C$69,TABLAS!$B$52:$B$58,0)+1,7)),1))*INDEX(TABLAS!$D$52:$D$58,MIN(MATCH(DATOS!$C$69,TABLAS!$B$52:$B$58,0)+1,7))&gt;=4/3*IF(BI12&lt;=0,0,IF((1-2*BI12*1E5/(DATOS!$C$29*AF12*CI12^2*DATOS!$C$21))&lt;0,-1,IF((1-SQRT((1-2*BI12*1E5/(DATOS!$C$29*AF12*CI12^2*DATOS!$C$21))))*DATOS!$C$21*AF12*CI12/DATOS!$C$14&gt;DATOS!$C$99*AF12*CI12,-1,(1-SQRT((1-2*BI12*1E5/(DATOS!$C$29*AF12*CI12^2*DATOS!$C$21))))*DATOS!$C$21*AF12*CI12/DATOS!$C$14)))-0.0001,MAX(DATOS!$C$71,CEILING(CJ12/INDEX(TABLAS!$D$52:$D$58,MIN(MATCH(DATOS!$C$69,TABLAS!$B$52:$B$58,0)+1,7)),1)),MAX(MAX(DATOS!$C$71,CEILING(CJ12/INDEX(TABLAS!$D$52:$D$58,MIN(MATCH(DATOS!$C$69,TABLAS!$B$52:$B$58,0)+1,7)),1)),2))&lt;=MIN(DATOS!$C$70,INT(((DATOS!$C$80-2*AK12)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12&gt;=0,IF(MAX(DATOS!$C$71,CEILING(CJ12/INDEX(TABLAS!$D$52:$D$58,MIN(MATCH(DATOS!$C$69,TABLAS!$B$52:$B$58,0)+2,7)),1))*INDEX(TABLAS!$D$52:$D$58,MIN(MATCH(DATOS!$C$69,TABLAS!$B$52:$B$58,0)+2,7))&gt;=4/3*IF(BI12&lt;=0,0,IF((1-2*BI12*1E5/(DATOS!$C$29*AF12*CI12^2*DATOS!$C$21))&lt;0,-1,IF((1-SQRT((1-2*BI12*1E5/(DATOS!$C$29*AF12*CI12^2*DATOS!$C$21))))*DATOS!$C$21*AF12*CI12/DATOS!$C$14&gt;DATOS!$C$99*AF12*CI12,-1,(1-SQRT((1-2*BI12*1E5/(DATOS!$C$29*AF12*CI12^2*DATOS!$C$21))))*DATOS!$C$21*AF12*CI12/DATOS!$C$14)))-0.0001,MAX(DATOS!$C$71,CEILING(CJ12/INDEX(TABLAS!$D$52:$D$58,MIN(MATCH(DATOS!$C$69,TABLAS!$B$52:$B$58,0)+2,7)),1)),MAX(MAX(DATOS!$C$71,CEILING(CJ12/INDEX(TABLAS!$D$52:$D$58,MIN(MATCH(DATOS!$C$69,TABLAS!$B$52:$B$58,0)+2,7)),1)),2))&lt;=MIN(DATOS!$C$70,INT(((DATOS!$C$80-2*AK12)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12&gt;=0,IF(MAX(DATOS!$C$71,CEILING(CJ12/INDEX(TABLAS!$D$52:$D$58,MIN(MATCH(DATOS!$C$69,TABLAS!$B$52:$B$58,0)+3,7)),1))*INDEX(TABLAS!$D$52:$D$58,MIN(MATCH(DATOS!$C$69,TABLAS!$B$52:$B$58,0)+3,7))&gt;=4/3*IF(BI12&lt;=0,0,IF((1-2*BI12*1E5/(DATOS!$C$29*AF12*CI12^2*DATOS!$C$21))&lt;0,-1,IF((1-SQRT((1-2*BI12*1E5/(DATOS!$C$29*AF12*CI12^2*DATOS!$C$21))))*DATOS!$C$21*AF12*CI12/DATOS!$C$14&gt;DATOS!$C$99*AF12*CI12,-1,(1-SQRT((1-2*BI12*1E5/(DATOS!$C$29*AF12*CI12^2*DATOS!$C$21))))*DATOS!$C$21*AF12*CI12/DATOS!$C$14)))-0.0001,MAX(DATOS!$C$71,CEILING(CJ12/INDEX(TABLAS!$D$52:$D$58,MIN(MATCH(DATOS!$C$69,TABLAS!$B$52:$B$58,0)+3,7)),1)),MAX(MAX(DATOS!$C$71,CEILING(CJ12/INDEX(TABLAS!$D$52:$D$58,MIN(MATCH(DATOS!$C$69,TABLAS!$B$52:$B$58,0)+3,7)),1)),2))&lt;=MIN(DATOS!$C$70,INT(((DATOS!$C$80-2*AK12)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12&gt;=0,IF(MAX(DATOS!$C$71,CEILING(CJ12/INDEX(TABLAS!$D$52:$D$58,MIN(MATCH(DATOS!$C$69,TABLAS!$B$52:$B$58,0)+4,7)),1))*INDEX(TABLAS!$D$52:$D$58,MIN(MATCH(DATOS!$C$69,TABLAS!$B$52:$B$58,0)+4,7))&gt;=4/3*IF(BI12&lt;=0,0,IF((1-2*BI12*1E5/(DATOS!$C$29*AF12*CI12^2*DATOS!$C$21))&lt;0,-1,IF((1-SQRT((1-2*BI12*1E5/(DATOS!$C$29*AF12*CI12^2*DATOS!$C$21))))*DATOS!$C$21*AF12*CI12/DATOS!$C$14&gt;DATOS!$C$99*AF12*CI12,-1,(1-SQRT((1-2*BI12*1E5/(DATOS!$C$29*AF12*CI12^2*DATOS!$C$21))))*DATOS!$C$21*AF12*CI12/DATOS!$C$14)))-0.0001,MAX(DATOS!$C$71,CEILING(CJ12/INDEX(TABLAS!$D$52:$D$58,MIN(MATCH(DATOS!$C$69,TABLAS!$B$52:$B$58,0)+4,7)),1)),MAX(MAX(DATOS!$C$71,CEILING(CJ12/INDEX(TABLAS!$D$52:$D$58,MIN(MATCH(DATOS!$C$69,TABLAS!$B$52:$B$58,0)+4,7)),1)),2))&lt;=MIN(DATOS!$C$70,INT(((DATOS!$C$80-2*AK12)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>4</v>
      </c>
      <c r="CL12" s="59">
        <f>IF(U12&lt;&gt;"SÍ","",IF(CJ12&lt;0,0,IF(MAX(DATOS!$C$71,CEILING(MAX(CJ12,0)/INDEX(TABLAS!$D$52:$D$58,MATCH(CK12,TABLAS!$B$52:$B$58,0)),1))*INDEX(TABLAS!$D$52:$D$58,MATCH(CK12,TABLAS!$B$52:$B$58,0))&gt;=4/3*IF(BI12&lt;=0,0,IF((1-2*BI12*1E5/(DATOS!$C$29*AF12*CI12^2*DATOS!$C$21))&lt;0,-1,IF((1-SQRT((1-2*BI12*1E5/(DATOS!$C$29*AF12*CI12^2*DATOS!$C$21))))*DATOS!$C$21*AF12*CI12/DATOS!$C$14&gt;DATOS!$C$99*AF12*CI12,-1,(1-SQRT((1-2*BI12*1E5/(DATOS!$C$29*AF12*CI12^2*DATOS!$C$21))))*DATOS!$C$21*AF12*CI12/DATOS!$C$14)))-0.0001,MAX(DATOS!$C$71,CEILING(MAX(CJ12,0)/INDEX(TABLAS!$D$52:$D$58,MATCH(CK12,TABLAS!$B$52:$B$58,0)),1)),MAX(MAX(DATOS!$C$71,CEILING(MAX(CJ12,0)/INDEX(TABLAS!$D$52:$D$58,MATCH(CK12,TABLAS!$B$52:$B$58,0)),1)),2))))</f>
        <v>1</v>
      </c>
      <c r="CM12" s="58">
        <f>IF(U12&lt;&gt;"SÍ","",((DATOS!$C$82-AL12-2*DATOS!$C$94-INDEX(TABLAS!$C$52:$C$58,MATCH(BU12,TABLAS!$B$52:$B$58,0))-INDEX(TABLAS!$C$52:$C$58,MATCH(CK12,TABLAS!$B$52:$B$58,0))/2)-IF(AND((DATOS!$C$82-AL12-2*DATOS!$C$94-INDEX(TABLAS!$C$52:$C$58,MATCH(BU12,TABLAS!$B$52:$B$58,0))-INDEX(TABLAS!$C$52:$C$58,MATCH(CK12,TABLAS!$B$52:$B$58,0))/2)&lt;=20,DATOS!$C$62&lt;&gt;"SÍ"),2,0)))</f>
        <v>17.631</v>
      </c>
      <c r="CN12" s="56">
        <f>IF(U12&lt;&gt;"SÍ","",IF(CL12=0,0,DATOS!$C$29*CL12*INDEX(TABLAS!$D$52:$D$58,MATCH(CK12,TABLAS!$B$52:$B$58,0))*DATOS!$C$14*(CM12-CL12*INDEX(TABLAS!$D$52:$D$58,MATCH(CK12,TABLAS!$B$52:$B$58,0))*DATOS!$C$14/(DATOS!$C$21*AF12)/2)/1E5))</f>
        <v>0.786143432117647</v>
      </c>
      <c r="CO12" s="65">
        <f>IF(U12&lt;&gt;"SÍ","",IF(CJ12&lt;0,9.99,IF(CN12&gt;0,BI12/CN12,0)))</f>
        <v>0</v>
      </c>
      <c r="CP12" s="66">
        <f>IF(U12&lt;&gt;"SÍ","",IF(CL12=0,"—",0.003*(CM12-(CL12*INDEX(TABLAS!$D$52:$D$58,MATCH(CK12,TABLAS!$B$52:$B$58,0))*DATOS!$C$14/(DATOS!$C$21*AF12)/DATOS!$C$22))/(CL12*INDEX(TABLAS!$D$52:$D$58,MATCH(CK12,TABLAS!$B$52:$B$58,0))*DATOS!$C$14/(DATOS!$C$21*AF12)/DATOS!$C$22)))</f>
        <v>0.0149111325928009</v>
      </c>
      <c r="CQ12" s="56">
        <f>IF(U12&lt;&gt;"SÍ","",IF(C12="PERIMETRAL",MAX(0,(AA12/2-BW12)/100)*(0.95-0.5*Z12)*AQ12*IF(AND(AR12&gt;0,AR12&lt;4),DATOS!$C$33,1)*DATOS!$C$83/100/1000,(AQ12*MAX(0,AA12-BW12)/100+DATOS!$C$26*N(O12))*DATOS!$C$83/100/1000+BE12))</f>
        <v>1.64226826555</v>
      </c>
      <c r="CR12" s="56">
        <f>IF(U12&lt;&gt;"SÍ","",DATOS!$C$30*2*MIN(1,SQRT(2/(1+0.04*BW12)))*(BV12*INDEX(TABLAS!$D$52:$D$58,MATCH(BU12,TABLAS!$B$52:$B$58,0))/(AE12*BW12))^(1/3)*SQRT(DATOS!$C$13)*AE12*BW12*IF(AI12="SÍ",DATOS!$C$32,1)/1000)</f>
        <v>1.97277146152108</v>
      </c>
      <c r="CS12" s="59">
        <f>IF(U12&lt;&gt;"SÍ","",IF(CQ12&lt;=CR12,0,CEILING(MAX(0,IF(C12="VOLADO",(AA12-((CR12-BE12)*1E5/DATOS!$C$83-DATOS!$C$26*N(O12))*100/AQ12),IF(CR12&lt;=0,AA12,AA12/2-CR12/MAX(CQ12,1E-9)*(AA12/2-BW12)))-IF(INT((X12*100-DATOS!$C$84+DATOS!$C$80)/DATOS!$C$83)&gt;0,(X12*100-DATOS!$C$84-(INT((X12*100-DATOS!$C$84+DATOS!$C$80)/DATOS!$C$83)*DATOS!$C$78+(INT((X12*100-DATOS!$C$84+DATOS!$C$80)/DATOS!$C$83)-1)*DATOS!$C$80))/2,X12*100/2))/DATOS!$C$83,1)))</f>
        <v>0</v>
      </c>
      <c r="CT12" s="67" t="str">
        <f>IF(U12&lt;&gt;"SÍ","",IF(CQ12&lt;=CR12,"CUMPLE",IF(CS12&lt;=0,"CUMPLE (basta el macizo de orilla)",IF(CS12*DATOS!$C$83*IF(C12="VOLADO",1,2)&gt;=X12*100-DATOS!$C$84,"NO CUMPLE: no alcanza ni macizando todo","MACIZAR "&amp;CS12&amp;" hilera(s)"))))</f>
        <v>CUMPLE</v>
      </c>
      <c r="CU12" s="58">
        <f>IF(U12&lt;&gt;"SÍ","",(DATOS!$C$83*DATOS!$C$81^2/2+AC12*DATOS!$C$79*(DATOS!$C$81+DATOS!$C$79/2))/(DATOS!$C$83*DATOS!$C$81+AC12*DATOS!$C$79))</f>
        <v>8.9375</v>
      </c>
      <c r="CV12" s="68">
        <f>IF(U12&lt;&gt;"SÍ","",DATOS!$C$83*DATOS!$C$81^3/12+DATOS!$C$83*DATOS!$C$81*(CU12-DATOS!$C$81/2)^2+AC12*DATOS!$C$79^3/12+AC12*DATOS!$C$79*(DATOS!$C$81+DATOS!$C$79/2-CU12)^2)</f>
        <v>43863.5416666667</v>
      </c>
      <c r="CW12" s="58">
        <f>IF(U12&lt;&gt;"SÍ","",(12*CV12/DATOS!$C$83)^(1/3))</f>
        <v>19.5912569342984</v>
      </c>
      <c r="CX12" s="58">
        <f>IF(U12&lt;&gt;"SÍ","",IF(C12="PERIMETRAL",IF(ISNUMBER(R12),R12,DATOS!$C$101),0))</f>
        <v>0</v>
      </c>
      <c r="CY12" s="57">
        <f>IF(U12&lt;&gt;"SÍ","",IF(C12="PERIMETRAL",IF(CX12&gt;2,MAX(9,AB12*(0.8+DATOS!$C$14/14000)/(36+9*(AB12/MAX(AA12,1)))),IF(CX12&gt;0.2,MAX(13,AB12*(0.8+DATOS!$C$14/14000)/(36+5*(AB12/MAX(AA12,1))*(CX12-0.2))),MAX(13,AB12/IF(AR12&gt;0,30,33))))*IF(AND(CX12&gt;0.2,AR12&gt;0,DATOS!$C$102="NO"),1.1,1),X12*100/8))</f>
        <v>25</v>
      </c>
      <c r="CZ12" s="61" t="str">
        <f>IF(U12&lt;&gt;"SÍ","",IF(IF(C12="VOLADO",DATOS!$C$82,CW12)&gt;=CY12,"CUMPLE",IF(C12="VOLADO","NO CUMPLE","CALCULAR FLECHA")))</f>
        <v>CUMPLE</v>
      </c>
      <c r="DA12" s="55" t="str">
        <f>IF(U12&lt;&gt;"SÍ","",IF(DATOS!$C$81&gt;=IF(IF(C12="VOLADO",X12,Y12)&gt;=6,6,5),"CUMPLE","CAPA ≥ 6 cm"))</f>
        <v>CUMPLE</v>
      </c>
      <c r="DB12" s="60">
        <f>IF(U12&lt;&gt;"SÍ","",IF(C12="VOLADO",MIN(CEILING(IF(ISNUMBER(P12),P12,X12)*100,5),CEILING(MAX(IF((0.5*(0.9*DATOS!$C$87*DATOS!$C$83/100/1000)*IF(ISNUMBER(P12),P12,X12)+BG12/IF(ISNUMBER(P12),P12,X12))^2-4*(0.5*(0.9*DATOS!$C$87*DATOS!$C$83/100/1000))*BG12&lt;0,IF(ISNUMBER(P12),P12,X12),MIN(IF(ISNUMBER(P12),P12,X12),((0.5*(0.9*DATOS!$C$87*DATOS!$C$83/100/1000)*IF(ISNUMBER(P12),P12,X12)+BG12/IF(ISNUMBER(P12),P12,X12))-SQRT((0.5*(0.9*DATOS!$C$87*DATOS!$C$83/100/1000)*IF(ISNUMBER(P12),P12,X12)+BG12/IF(ISNUMBER(P12),P12,X12))^2-4*(0.5*(0.9*DATOS!$C$87*DATOS!$C$83/100/1000))*BG12))/(2*(0.5*(0.9*DATOS!$C$87*DATOS!$C$83/100/1000)))))*100+MAX(BW12,12*INDEX(TABLAS!$C$52:$C$58,MATCH(BU12,TABLAS!$B$52:$B$58,0)),IF(ISNUMBER(P12),P12,X12)*100/16),IF(OR(AK12&lt;INDEX(TABLAS!$C$52:$C$58,MATCH(BU12,TABLAS!$B$52:$B$58,0)),AND(BV12&gt;=2,(AC12-2*AK12-BV12*INDEX(TABLAS!$C$52:$C$58,MATCH(BU12,TABLAS!$B$52:$B$58,0)))/MAX(BV12-1,1)&lt;2*INDEX(TABLAS!$C$52:$C$58,MATCH(BU12,TABLAS!$B$52:$B$58,0)))),INDEX(TABLAS!$I$52:$I$58,MATCH(BU12,TABLAS!$B$52:$B$58,0)),INDEX(TABLAS!$F$52:$F$58,MATCH(BU12,TABLAS!$B$52:$B$58,0)))),5)),IF(((4*((BB12*AQ12*X12^2*1E-4*DATOS!$C$83/100/1000)+((MAX(AX12,AZ12)*AQ12*X12^2*1E-4*DATOS!$C$83/100/1000)+(IF(AND(AX12&gt;0,AZ12&gt;0),MIN(AX12,AZ12),MAX(AX12,AZ12))*AQ12*X12^2*1E-4*DATOS!$C$83/100/1000))/2)+BG12-(IF(AND(AX12&gt;0,AZ12&gt;0),MIN(AX12,AZ12),MAX(AX12,AZ12))*AQ12*X12^2*1E-4*DATOS!$C$83/100/1000))^2-16*((BB12*AQ12*X12^2*1E-4*DATOS!$C$83/100/1000)+((MAX(AX12,AZ12)*AQ12*X12^2*1E-4*DATOS!$C$83/100/1000)+(IF(AND(AX12&gt;0,AZ12&gt;0),MIN(AX12,AZ12),MAX(AX12,AZ12))*AQ12*X12^2*1E-4*DATOS!$C$83/100/1000))/2)*BG12)&lt;0,CEILING(AA12,5),CEILING(MAX(AA12*((4*((BB12*AQ12*X12^2*1E-4*DATOS!$C$83/100/1000)+((MAX(AX12,AZ12)*AQ12*X12^2*1E-4*DATOS!$C$83/100/1000)+(IF(AND(AX12&gt;0,AZ12&gt;0),MIN(AX12,AZ12),MAX(AX12,AZ12))*AQ12*X12^2*1E-4*DATOS!$C$83/100/1000))/2)+BG12-(IF(AND(AX12&gt;0,AZ12&gt;0),MIN(AX12,AZ12),MAX(AX12,AZ12))*AQ12*X12^2*1E-4*DATOS!$C$83/100/1000))-SQRT(MAX(0,((4*((BB12*AQ12*X12^2*1E-4*DATOS!$C$83/100/1000)+((MAX(AX12,AZ12)*AQ12*X12^2*1E-4*DATOS!$C$83/100/1000)+(IF(AND(AX12&gt;0,AZ12&gt;0),MIN(AX12,AZ12),MAX(AX12,AZ12))*AQ12*X12^2*1E-4*DATOS!$C$83/100/1000))/2)+BG12-(IF(AND(AX12&gt;0,AZ12&gt;0),MIN(AX12,AZ12),MAX(AX12,AZ12))*AQ12*X12^2*1E-4*DATOS!$C$83/100/1000))^2-16*((BB12*AQ12*X12^2*1E-4*DATOS!$C$83/100/1000)+((MAX(AX12,AZ12)*AQ12*X12^2*1E-4*DATOS!$C$83/100/1000)+(IF(AND(AX12&gt;0,AZ12&gt;0),MIN(AX12,AZ12),MAX(AX12,AZ12))*AQ12*X12^2*1E-4*DATOS!$C$83/100/1000))/2)*BG12))))/(8*MAX(((BB12*AQ12*X12^2*1E-4*DATOS!$C$83/100/1000)+((MAX(AX12,AZ12)*AQ12*X12^2*1E-4*DATOS!$C$83/100/1000)+(IF(AND(AX12&gt;0,AZ12&gt;0),MIN(AX12,AZ12),MAX(AX12,AZ12))*AQ12*X12^2*1E-4*DATOS!$C$83/100/1000))/2),1E-9))+MAX(BW12,12*INDEX(TABLAS!$C$52:$C$58,MATCH(BU12,TABLAS!$B$52:$B$58,0)),AA12/16),IF(OR(AK12&lt;INDEX(TABLAS!$C$52:$C$58,MATCH(BU12,TABLAS!$B$52:$B$58,0)),AND(BV12&gt;=2,(AC12-2*AK12-BV12*INDEX(TABLAS!$C$52:$C$58,MATCH(BU12,TABLAS!$B$52:$B$58,0)))/MAX(BV12-1,1)&lt;2*INDEX(TABLAS!$C$52:$C$58,MATCH(BU12,TABLAS!$B$52:$B$58,0)))),INDEX(TABLAS!$I$52:$I$58,MATCH(BU12,TABLAS!$B$52:$B$58,0)),INDEX(TABLAS!$F$52:$F$58,MATCH(BU12,TABLAS!$B$52:$B$58,0)))),5))))</f>
        <v>305</v>
      </c>
      <c r="DC12" s="60">
        <f>IF(U12&lt;&gt;"SÍ","",IF(C12="VOLADO",0,IF(((4*((BC12*AQ12*X12^2*1E-4*DATOS!$C$83/100/1000)+((MAX(AY12,BA12)*AQ12*X12^2*1E-4*DATOS!$C$83/100/1000)+(IF(AND(AY12&gt;0,BA12&gt;0),MIN(AY12,BA12),MAX(AY12,BA12))*AQ12*X12^2*1E-4*DATOS!$C$83/100/1000))/2)+BI12-(IF(AND(AY12&gt;0,BA12&gt;0),MIN(AY12,BA12),MAX(AY12,BA12))*AQ12*X12^2*1E-4*DATOS!$C$83/100/1000))^2-16*((BC12*AQ12*X12^2*1E-4*DATOS!$C$83/100/1000)+((MAX(AY12,BA12)*AQ12*X12^2*1E-4*DATOS!$C$83/100/1000)+(IF(AND(AY12&gt;0,BA12&gt;0),MIN(AY12,BA12),MAX(AY12,BA12))*AQ12*X12^2*1E-4*DATOS!$C$83/100/1000))/2)*BI12)&lt;0,CEILING(AB12,5),CEILING(MAX(AB12*((4*((BC12*AQ12*X12^2*1E-4*DATOS!$C$83/100/1000)+((MAX(AY12,BA12)*AQ12*X12^2*1E-4*DATOS!$C$83/100/1000)+(IF(AND(AY12&gt;0,BA12&gt;0),MIN(AY12,BA12),MAX(AY12,BA12))*AQ12*X12^2*1E-4*DATOS!$C$83/100/1000))/2)+BI12-(IF(AND(AY12&gt;0,BA12&gt;0),MIN(AY12,BA12),MAX(AY12,BA12))*AQ12*X12^2*1E-4*DATOS!$C$83/100/1000))-SQRT(MAX(0,((4*((BC12*AQ12*X12^2*1E-4*DATOS!$C$83/100/1000)+((MAX(AY12,BA12)*AQ12*X12^2*1E-4*DATOS!$C$83/100/1000)+(IF(AND(AY12&gt;0,BA12&gt;0),MIN(AY12,BA12),MAX(AY12,BA12))*AQ12*X12^2*1E-4*DATOS!$C$83/100/1000))/2)+BI12-(IF(AND(AY12&gt;0,BA12&gt;0),MIN(AY12,BA12),MAX(AY12,BA12))*AQ12*X12^2*1E-4*DATOS!$C$83/100/1000))^2-16*((BC12*AQ12*X12^2*1E-4*DATOS!$C$83/100/1000)+((MAX(AY12,BA12)*AQ12*X12^2*1E-4*DATOS!$C$83/100/1000)+(IF(AND(AY12&gt;0,BA12&gt;0),MIN(AY12,BA12),MAX(AY12,BA12))*AQ12*X12^2*1E-4*DATOS!$C$83/100/1000))/2)*BI12))))/(8*MAX(((BC12*AQ12*X12^2*1E-4*DATOS!$C$83/100/1000)+((MAX(AY12,BA12)*AQ12*X12^2*1E-4*DATOS!$C$83/100/1000)+(IF(AND(AY12&gt;0,BA12&gt;0),MIN(AY12,BA12),MAX(AY12,BA12))*AQ12*X12^2*1E-4*DATOS!$C$83/100/1000))/2),1E-9))+MAX(CM12,12*INDEX(TABLAS!$C$52:$C$58,MATCH(CK12,TABLAS!$B$52:$B$58,0)),AB12/16),IF(OR(AK12&lt;INDEX(TABLAS!$C$52:$C$58,MATCH(CK12,TABLAS!$B$52:$B$58,0)),AND(CL12&gt;=2,(DATOS!$C$80-2*AK12-CL12*INDEX(TABLAS!$C$52:$C$58,MATCH(CK12,TABLAS!$B$52:$B$58,0)))/MAX(CL12-1,1)&lt;2*INDEX(TABLAS!$C$52:$C$58,MATCH(CK12,TABLAS!$B$52:$B$58,0)))),INDEX(TABLAS!$I$52:$I$58,MATCH(CK12,TABLAS!$B$52:$B$58,0)),INDEX(TABLAS!$F$52:$F$58,MATCH(CK12,TABLAS!$B$52:$B$58,0)))),5))))</f>
        <v>0</v>
      </c>
      <c r="DD12" s="55" t="str">
        <f>IF(U12&lt;&gt;"SÍ","",IF(AND(C12="PERIMETRAL",BV12&gt;=2,AR12-AS12&gt;0,AZ12*AQ12*X12^2*1E-4*DATOS!$C$83/100/1000&gt;DATOS!$C$29*INDEX(TABLAS!$D$52:$D$58,MATCH(BU12,TABLAS!$B$52:$B$58,0))*DATOS!$C$14*(BW12-INDEX(TABLAS!$D$52:$D$58,MATCH(BU12,TABLAS!$B$52:$B$58,0))*DATOS!$C$14/(DATOS!$C$21*AE12)/2)/1E5),"SÍ","NO"))</f>
        <v>NO</v>
      </c>
      <c r="DE12" s="55" t="str">
        <f>IF(U12&lt;&gt;"SÍ","",IF(AND(C12="PERIMETRAL",CL12&gt;=2,AS12&gt;0,BA12*AQ12*X12^2*1E-4*DATOS!$C$83/100/1000&gt;DATOS!$C$29*INDEX(TABLAS!$D$52:$D$58,MATCH(CK12,TABLAS!$B$52:$B$58,0))*DATOS!$C$14*(CM12-INDEX(TABLAS!$D$52:$D$58,MATCH(CK12,TABLAS!$B$52:$B$58,0))*DATOS!$C$14/(DATOS!$C$21*AF12)/2)/1E5),"SÍ","NO"))</f>
        <v>NO</v>
      </c>
      <c r="DF12" s="63" t="str">
        <f>IF(U12&lt;&gt;"SÍ","",IF(OR(C12="VOLADO",AR12=0),"—",IF(AND(AND(1.25*INDEX(TABLAS!$G$52:$G$58,MATCH(MAX(BM12,CC12),TABLAS!$B$52:$B$58,0))&lt;=(DATOS!$C$72-DATOS!$C$60),(DATOS!$C$72-DATOS!$C$60)&gt;=15,INDEX(TABLAS!$G$52:$G$58,MATCH(MAX(BU12,CK12),TABLAS!$B$52:$B$58,0))&lt;=(DATOS!$C$72-DATOS!$C$60)),8*INDEX(TABLAS!$C$52:$C$58,MATCH(MAX(MAX(BM12,CC12),MAX(BU12,CK12)),TABLAS!$B$52:$B$58,0))&lt;=DATOS!$C$73-2*DATOS!$C$60),"CUMPLE (gancho de 180°)",IF(AND(1.25*INDEX(TABLAS!$G$52:$G$58,MATCH(MAX(BM12,CC12),TABLAS!$B$52:$B$58,0))&lt;=(DATOS!$C$72-DATOS!$C$60),(DATOS!$C$72-DATOS!$C$60)&gt;=15,INDEX(TABLAS!$G$52:$G$58,MATCH(MAX(BU12,CK12),TABLAS!$B$52:$B$58,0))&lt;=(DATOS!$C$72-DATOS!$C$60)),"NO CUMPLE: el gancho de 180° (8·d_b) no cabe en el peralte de la dala de borde","NO CUMPLE: dala de borde ≥ "&amp;TEXT(CEILING(MAX(1.25*INDEX(TABLAS!$G$52:$G$58,MATCH(MAX(BM12,CC12),TABLAS!$B$52:$B$58,0)),15,INDEX(TABLAS!$G$52:$G$58,MATCH(MAX(BU12,CK12),TABLAS!$B$52:$B$58,0)))+DATOS!$C$60,5),"0")&amp;" cm de ancho"&amp;IF(8*INDEX(TABLAS!$C$52:$C$58,MATCH(MAX(MAX(BM12,CC12),MAX(BU12,CK12)),TABLAS!$B$52:$B$58,0))&lt;=DATOS!$C$73-2*DATOS!$C$60,""," y más peralte para el gancho")))))</f>
        <v>—</v>
      </c>
      <c r="DG12" s="59">
        <f>IF(U12&lt;&gt;"SÍ","",MAX(0,INT((E12*100-DATOS!$C$84+DATOS!$C$83-IF(W12="X",DATOS!$C$78,AD12))/DATOS!$C$83)))</f>
        <v>2</v>
      </c>
      <c r="DH12" s="59">
        <f>IF(U12&lt;&gt;"SÍ","",MAX(0,INT((F12*100-DATOS!$C$84+DATOS!$C$83-IF(W12="Y",DATOS!$C$78,AD12))/DATOS!$C$83)))</f>
        <v>4</v>
      </c>
      <c r="DI12" s="57">
        <f>IF(U12&lt;&gt;"SÍ","",IF(DG12&gt;0,(E12*100-DATOS!$C$84-(DG12*IF(W12="X",DATOS!$C$78,AD12)+(DG12-1)*(DATOS!$C$83-IF(W12="X",DATOS!$C$78,AD12))))/2,E12*100/2))</f>
        <v>27.5</v>
      </c>
      <c r="DJ12" s="57">
        <f>IF(U12&lt;&gt;"SÍ","",IF(DH12&gt;0,(F12*100-DATOS!$C$84-(DH12*IF(W12="Y",DATOS!$C$78,AD12)+(DH12-1)*(DATOS!$C$83-IF(W12="Y",DATOS!$C$78,AD12))))/2,F12*100/2))</f>
        <v>33.75</v>
      </c>
      <c r="DK12" s="59">
        <f>IF(U12&lt;&gt;"SÍ","",IF(NOT(AND(C12="VOLADO",AC12&gt;DATOS!$C$80)),0,IF(INDEX(TABLAS!$C$52:$C$58,MATCH(BU12,TABLAS!$B$52:$B$58,0))&lt;=DATOS!$C$80-2*DATOS!$C$60,1,0)))</f>
        <v>1</v>
      </c>
      <c r="DL12" s="58">
        <f>IF(U12&lt;&gt;"SÍ","",IF(NOT(AND(C12="VOLADO",AC12&gt;DATOS!$C$80)),0,((DATOS!$C$82-MAX(DATOS!$C$60,(DATOS!$C$81-2*DATOS!$C$94)/2)-2*DATOS!$C$94-INDEX(TABLAS!$C$52:$C$58,MATCH(BU12,TABLAS!$B$52:$B$58,0))/2)-IF(AND((DATOS!$C$82-MAX(DATOS!$C$60,(DATOS!$C$81-2*DATOS!$C$94)/2)-2*DATOS!$C$94-INDEX(TABLAS!$C$52:$C$58,MATCH(BU12,TABLAS!$B$52:$B$58,0))/2)&lt;=20,DATOS!$C$62&lt;&gt;"SÍ"),2,0))))</f>
        <v>19.061</v>
      </c>
      <c r="DM12" s="56">
        <f>IF(U12&lt;&gt;"SÍ","",IF(OR(NOT(AND(C12="VOLADO",AC12&gt;DATOS!$C$80)),DK12&lt;1),0,IF(0.003*(DL12-((DK12*INDEX(TABLAS!$D$52:$D$58,MATCH(BU12,TABLAS!$B$52:$B$58,0)))*DATOS!$C$14/(DATOS!$C$21*AF12)/DATOS!$C$22))/((DK12*INDEX(TABLAS!$D$52:$D$58,MATCH(BU12,TABLAS!$B$52:$B$58,0)))*DATOS!$C$14/(DATOS!$C$21*AF12)/DATOS!$C$22)&lt;0.005,0,DATOS!$C$29*(DK12*INDEX(TABLAS!$D$52:$D$58,MATCH(BU12,TABLAS!$B$52:$B$58,0)))*DATOS!$C$14*(DL12-(DK12*INDEX(TABLAS!$D$52:$D$58,MATCH(BU12,TABLAS!$B$52:$B$58,0)))*DATOS!$C$14/(DATOS!$C$21*AF12)/2)/1E5)))</f>
        <v>1.28015378894118</v>
      </c>
      <c r="DN12" s="56">
        <f>IF(U12&lt;&gt;"SÍ","",IF(OR(NOT(AND(C12="VOLADO",AC12&gt;DATOS!$C$80)),DK12&lt;1),0,DATOS!$C$30*2*MIN(1,SQRT(2/(1+0.04*DL12)))*((DK12*INDEX(TABLAS!$D$52:$D$58,MATCH(BU12,TABLAS!$B$52:$B$58,0)))/(AF12*DL12))^(1/3)*SQRT(DATOS!$C$13)*AF12*DL12/1000))</f>
        <v>0.986385730760539</v>
      </c>
      <c r="DO12" s="56">
        <f>IF(U12&lt;&gt;"SÍ","",IF(NOT(AND(C12="VOLADO",AC12&gt;DATOS!$C$80)),0,IF((BG12-DM12)&lt;=0,0,IF(DM12&lt;=0,IF(ISNUMBER(P12),P12,X12),IF(((0.9*DATOS!$C$87*DATOS!$C$83/100/1000)*IF(ISNUMBER(P12),P12,X12)/2+BG12/IF(ISNUMBER(P12),P12,X12))^2-4*((0.9*DATOS!$C$87*DATOS!$C$83/100/1000)/2)*(BG12-DM12)&lt;0,IF(ISNUMBER(P12),P12,X12),MIN(IF(ISNUMBER(P12),P12,X12),(((0.9*DATOS!$C$87*DATOS!$C$83/100/1000)*IF(ISNUMBER(P12),P12,X12)/2+BG12/IF(ISNUMBER(P12),P12,X12))-SQRT(((0.9*DATOS!$C$87*DATOS!$C$83/100/1000)*IF(ISNUMBER(P12),P12,X12)/2+BG12/IF(ISNUMBER(P12),P12,X12))^2-4*((0.9*DATOS!$C$87*DATOS!$C$83/100/1000)/2)*(BG12-DM12)))/(2*((0.9*DATOS!$C$87*DATOS!$C$83/100/1000)/2))))))))</f>
        <v>0.930394889676118</v>
      </c>
      <c r="DP12" s="56">
        <f>IF(U12&lt;&gt;"SÍ","",IF(NOT(AND(C12="VOLADO",AC12&gt;DATOS!$C$80)),0,MIN(IF(ISNUMBER(P12),P12,X12),MAX(0,IF(ISNUMBER(P12),P12,X12)/2+BG12/IF(ISNUMBER(P12),P12,X12)/(AQ12*DATOS!$C$83/100/1000)-DN12/(AQ12*DATOS!$C$83/100/1000)))))</f>
        <v>1.1007617587468</v>
      </c>
      <c r="DQ12" s="56">
        <f>IF(U12&lt;&gt;"SÍ","",IF(NOT(AND(C12="VOLADO",AC12&gt;DATOS!$C$80)),0,BG12/IF(ISNUMBER(P12),P12,X12)+(AQ12*DATOS!$C$83/100/1000)*MAX(0,IF(ISNUMBER(P12),P12,X12)/2-BW12/100)))</f>
        <v>1.64217802759877</v>
      </c>
      <c r="DR12" s="59">
        <f>IF(U12&lt;&gt;"SÍ","",IF(NOT(AND(C12="VOLADO",AC12&gt;DATOS!$C$80)),0,CEILING(100*MIN(IF(ISNUMBER(P12),P12,X12),MAX(IF(DO12&gt;0,DO12+IF(BV12&gt;=2,MAX(DL12,12*INDEX(TABLAS!$C$52:$C$58,MATCH(BU12,TABLAS!$B$52:$B$58,0)))/100,0),0),DP12,IF(BV12&gt;=2,INDEX(TABLAS!$F$52:$F$58,MATCH(BU12,TABLAS!$B$52:$B$58,0))/100,0))),5)))</f>
        <v>115</v>
      </c>
      <c r="DS12" s="60">
        <f>IF(U12&lt;&gt;"SÍ","",IF(NOT(AND(C12="VOLADO",AC12&gt;DATOS!$C$80)),0,IF(DR12&lt;=0,0,CEILING(DR12/DATOS!$C$83,1))))</f>
        <v>2</v>
      </c>
      <c r="DT12" s="61" t="str">
        <f>IF(U12&lt;&gt;"SÍ","",IF(C12&lt;&gt;"VOLADO","—",IF(AC12&lt;=DATOS!$C$80,"— (mismo b_w que el respaldo)",IF(DQ12&gt;CR12,"NO CUMPLE: cortante de la nervadura ancha junto al apoyo ("&amp;TEXT(DQ12,"0.00")&amp;" &gt; "&amp;TEXT(CR12,"0.00")&amp;" t)",IF(DR12&gt;=100*IF(ISNUMBER(P12),P12,X12),"CUMPLE — todas las nervaduras del respaldo ‖ al volado con b_w = "&amp;AC12&amp;" cm","CUMPLE — "&amp;DS12&amp;" hilera(s) del respaldo con nervaduras de b_w = "&amp;AC12&amp;" cm (casetón "&amp;AD12&amp;" cm), hasta "&amp;TEXT(DR12/100,"0.00")&amp;" m del paño")))))</f>
        <v>CUMPLE — 2 hilera(s) del respaldo con nervaduras de b_w = 20 cm (casetón 50 cm), hasta 1.15 m del paño</v>
      </c>
      <c r="DU12" s="69" t="str">
        <f>IF(U12&lt;&gt;"SÍ","",IF(BN12=0,"NO ALCANZA",BN12&amp;" No. "&amp;BM12&amp;IF(BN12&gt;1," corridas"," corrida")))</f>
        <v>1 No. 4 corrida</v>
      </c>
      <c r="DV12" s="69" t="str">
        <f>IF(U12&lt;&gt;"SÍ","",IF(BV12=0,"NO ALCANZA",IF(AND(C12="VOLADO",AC12&gt;DATOS!$C$80,BV12&gt;=2),"1 No. "&amp;BU12&amp;" corrida de la orilla al respaldo ("&amp;IF(DB12&gt;=100*IF(ISNUMBER(P12),P12,X12),"hasta su apoyo lejano, con gancho","entra "&amp;TEXT(DB12/100,"0.00")&amp;" m desde el paño")&amp;") + "&amp;(BV12-1)&amp;" bastón No. "&amp;BU12&amp;" hasta "&amp;TEXT(DR12/100,"0.00")&amp;" m del paño (fin de la nervadura ancha)",IF(C12="VOLADO",BV12&amp;" No. "&amp;BU12&amp;" de la orilla al respaldo ("&amp;IF(DB12&gt;=100*IF(ISNUMBER(P12),P12,X12),"hasta su apoyo lejano, con gancho","entran "&amp;TEXT(DB12/100,"0.00")&amp;" m desde el paño")&amp;")","1 No. "&amp;BU12&amp;" corrida"&amp;IF(BV12&gt;1," + "&amp;(BV12-1)&amp;" bastón No. "&amp;BU12&amp;" L = "&amp;TEXT(DB12/100,"0.00")&amp;" m desde el paño","")))))</f>
        <v>1 No. 5 corrida de la orilla al respaldo (hasta su apoyo lejano, con gancho) + 1 bastón No. 5 hasta 1.15 m del paño (fin de la nervadura ancha)</v>
      </c>
      <c r="DW12" s="69" t="str">
        <f>IF(U12&lt;&gt;"SÍ","",IF(CD12=0,"NO ALCANZA",CD12&amp;" No. "&amp;CC12&amp;IF(CD12&gt;1," corridas"," corrida")))</f>
        <v>1 No. 4 corrida</v>
      </c>
      <c r="DX12" s="69" t="str">
        <f>IF(U12&lt;&gt;"SÍ","",IF(CL12=0,"NO ALCANZA",IF(C12="VOLADO","1 No. "&amp;CK12&amp;" corrida (repartición)","1 No. "&amp;CK12&amp;" corrida"&amp;IF(CL12&gt;1," + "&amp;(CL12-1)&amp;" bastón No. "&amp;CK12&amp;" L = "&amp;TEXT(DC12/100,"0.00")&amp;" m desde el paño",""))))</f>
        <v>1 No. 4 corrida (repartición)</v>
      </c>
      <c r="DY12" s="67" t="str">
        <f>IF(B12="","",IF(U12&lt;&gt;"SÍ","FALTAN DATOS: tipo, a_x, a_y y destino",IF(L12="NO MONOLÍTICO (caso II)","FUERA DE ALCANCE: caso II no transcrito",IF(AND(C12="VOLADO",V12="?"),"REVISAR: el volado lleva UN solo borde CONTINUO (el empotrado)",IF(AND(MAX(BQ12,BY12,CG12,CO12)&lt;=1,NOT(OR(BN12&gt;MIN(DATOS!$C$70,INT(((AC12-2*AJ12)+MAX(DATOS!$C$67,INDEX(TABLAS!$C$52:$C$58,MATCH(BM12,TABLAS!$B$52:$B$58,0))))/(INDEX(TABLAS!$C$52:$C$58,MATCH(BM12,TABLAS!$B$52:$B$58,0))+MAX(DATOS!$C$67,INDEX(TABLAS!$C$52:$C$58,MATCH(BM12,TABLAS!$B$52:$B$58,0)))))),BV12&gt;MIN(DATOS!$C$70,INT(((AC12-2*AK12)+MAX(DATOS!$C$67,INDEX(TABLAS!$C$52:$C$58,MATCH(BU12,TABLAS!$B$52:$B$58,0))))/(INDEX(TABLAS!$C$52:$C$58,MATCH(BU12,TABLAS!$B$52:$B$58,0))+MAX(DATOS!$C$67,INDEX(TABLAS!$C$52:$C$58,MATCH(BU12,TABLAS!$B$52:$B$58,0)))))),CD12&gt;MIN(DATOS!$C$70,INT(((DATOS!$C$80-2*AJ12)+MAX(DATOS!$C$67,INDEX(TABLAS!$C$52:$C$58,MATCH(CC12,TABLAS!$B$52:$B$58,0))))/(INDEX(TABLAS!$C$52:$C$58,MATCH(CC12,TABLAS!$B$52:$B$58,0))+MAX(DATOS!$C$67,INDEX(TABLAS!$C$52:$C$58,MATCH(CC12,TABLAS!$B$52:$B$58,0)))))),CL12&gt;MIN(DATOS!$C$70,INT(((DATOS!$C$80-2*AK12)+MAX(DATOS!$C$67,INDEX(TABLAS!$C$52:$C$58,MATCH(CK12,TABLAS!$B$52:$B$58,0))))/(INDEX(TABLAS!$C$52:$C$58,MATCH(CK12,TABLAS!$B$52:$B$58,0))+MAX(DATOS!$C$67,INDEX(TABLAS!$C$52:$C$58,MATCH(CK12,TABLAS!$B$52:$B$58,0)))))))),NOT(OR(AND(ISNUMBER(BR12),BR12&lt;0.005),AND(ISNUMBER(BZ12),BZ12&lt;0.005),AND(ISNUMBER(CH12),CH12&lt;0.005),AND(ISNUMBER(CP12),CP12&lt;0.005))),NOT(LEFT(DT12,2)="NO"),CZ12="CUMPLE",DA12="CUMPLE",LEFT(CT12,2)&lt;&gt;"NO"),IF(LEFT(CT12,6)="CUMPLE","CUMPLE","CUMPLE — "&amp;CT12)&amp;IF(LEFT(BJ12,5)="FUERA"," · fuera de 3.4.2.1 c)","")&amp;IF(LEFT(DF12,2)="NO"," · REVISAR anclaje en borde discontinuo","")&amp;IF(DS12&gt;0," · respaldo: "&amp;DS12&amp;" hilera(s) de b_w "&amp;AC12&amp;" cm",""),IF(AND(MAX(BQ12,BY12,CG12,CO12)&lt;=1,NOT(OR(BN12&gt;MIN(DATOS!$C$70,INT(((AC12-2*AJ12)+MAX(DATOS!$C$67,INDEX(TABLAS!$C$52:$C$58,MATCH(BM12,TABLAS!$B$52:$B$58,0))))/(INDEX(TABLAS!$C$52:$C$58,MATCH(BM12,TABLAS!$B$52:$B$58,0))+MAX(DATOS!$C$67,INDEX(TABLAS!$C$52:$C$58,MATCH(BM12,TABLAS!$B$52:$B$58,0)))))),BV12&gt;MIN(DATOS!$C$70,INT(((AC12-2*AK12)+MAX(DATOS!$C$67,INDEX(TABLAS!$C$52:$C$58,MATCH(BU12,TABLAS!$B$52:$B$58,0))))/(INDEX(TABLAS!$C$52:$C$58,MATCH(BU12,TABLAS!$B$52:$B$58,0))+MAX(DATOS!$C$67,INDEX(TABLAS!$C$52:$C$58,MATCH(BU12,TABLAS!$B$52:$B$58,0)))))),CD12&gt;MIN(DATOS!$C$70,INT(((DATOS!$C$80-2*AJ12)+MAX(DATOS!$C$67,INDEX(TABLAS!$C$52:$C$58,MATCH(CC12,TABLAS!$B$52:$B$58,0))))/(INDEX(TABLAS!$C$52:$C$58,MATCH(CC12,TABLAS!$B$52:$B$58,0))+MAX(DATOS!$C$67,INDEX(TABLAS!$C$52:$C$58,MATCH(CC12,TABLAS!$B$52:$B$58,0)))))),CL12&gt;MIN(DATOS!$C$70,INT(((DATOS!$C$80-2*AK12)+MAX(DATOS!$C$67,INDEX(TABLAS!$C$52:$C$58,MATCH(CK12,TABLAS!$B$52:$B$58,0))))/(INDEX(TABLAS!$C$52:$C$58,MATCH(CK12,TABLAS!$B$52:$B$58,0))+MAX(DATOS!$C$67,INDEX(TABLAS!$C$52:$C$58,MATCH(CK12,TABLAS!$B$52:$B$58,0)))))))),NOT(OR(AND(ISNUMBER(BR12),BR12&lt;0.005),AND(ISNUMBER(BZ12),BZ12&lt;0.005),AND(ISNUMBER(CH12),CH12&lt;0.005),AND(ISNUMBER(CP12),CP12&lt;0.005))),NOT(LEFT(DT12,2)="NO"),CZ12="CALCULAR FLECHA",LEFT(CT12,2)&lt;&gt;"NO"),"REVISAR: calcular flecha (h_eq &lt; h mín.)"&amp;IF(LEFT(BJ12,5)="FUERA"," · fuera de 3.4.2.1 c)","")&amp;IF(LEFT(DF12,2)="NO"," · REVISAR anclaje en borde discontinuo","")&amp;IF(DS12&gt;0," · respaldo: "&amp;DS12&amp;" hilera(s) de b_w "&amp;AC12&amp;" cm",""),"NO CUMPLE: "&amp;IF(MAX(BQ12,BY12,CG12,CO12)&gt;1,"flexión ","")&amp;IF(OR(BN12&gt;MIN(DATOS!$C$70,INT(((AC12-2*AJ12)+MAX(DATOS!$C$67,INDEX(TABLAS!$C$52:$C$58,MATCH(BM12,TABLAS!$B$52:$B$58,0))))/(INDEX(TABLAS!$C$52:$C$58,MATCH(BM12,TABLAS!$B$52:$B$58,0))+MAX(DATOS!$C$67,INDEX(TABLAS!$C$52:$C$58,MATCH(BM12,TABLAS!$B$52:$B$58,0)))))),BV12&gt;MIN(DATOS!$C$70,INT(((AC12-2*AK12)+MAX(DATOS!$C$67,INDEX(TABLAS!$C$52:$C$58,MATCH(BU12,TABLAS!$B$52:$B$58,0))))/(INDEX(TABLAS!$C$52:$C$58,MATCH(BU12,TABLAS!$B$52:$B$58,0))+MAX(DATOS!$C$67,INDEX(TABLAS!$C$52:$C$58,MATCH(BU12,TABLAS!$B$52:$B$58,0)))))),CD12&gt;MIN(DATOS!$C$70,INT(((DATOS!$C$80-2*AJ12)+MAX(DATOS!$C$67,INDEX(TABLAS!$C$52:$C$58,MATCH(CC12,TABLAS!$B$52:$B$58,0))))/(INDEX(TABLAS!$C$52:$C$58,MATCH(CC12,TABLAS!$B$52:$B$58,0))+MAX(DATOS!$C$67,INDEX(TABLAS!$C$52:$C$58,MATCH(CC12,TABLAS!$B$52:$B$58,0)))))),CL12&gt;MIN(DATOS!$C$70,INT(((DATOS!$C$80-2*AK12)+MAX(DATOS!$C$67,INDEX(TABLAS!$C$52:$C$58,MATCH(CK12,TABLAS!$B$52:$B$58,0))))/(INDEX(TABLAS!$C$52:$C$58,MATCH(CK12,TABLAS!$B$52:$B$58,0))+MAX(DATOS!$C$67,INDEX(TABLAS!$C$52:$C$58,MATCH(CK12,TABLAS!$B$52:$B$58,0))))))),"no caben ","")&amp;IF(OR(AND(ISNUMBER(BR12),BR12&lt;0.005),AND(ISNUMBER(BZ12),BZ12&lt;0.005),AND(ISNUMBER(CH12),CH12&lt;0.005),AND(ISNUMBER(CP12),CP12&lt;0.005)),"ε_t &lt; 0.005 ","")&amp;IF(LEFT(CT12,2)="NO","cortante ","")&amp;IF(CZ12="NO CUMPLE","peralte ","")&amp;IF(DA12&lt;&gt;"CUMPLE","capa &lt; 6 cm ","")&amp;IF(LEFT(DT12,2)="NO","respaldo del volado","")))))))</f>
        <v>CUMPLE · respaldo: 2 hilera(s) de b_w 20 cm</v>
      </c>
      <c r="DZ12" s="70" t="str">
        <f>IF(U12&lt;&gt;"SÍ","",IF(LEFT(B12,7)="EJEMPLO","EJEMPLO de la hoja de Casa Rocha: bórralo o sobrescríbelo. ","")&amp;IF(AND(C12="PERIMETRAL",MIN(DG12,DH12)=0),"No cabe un casetón en el claro corto: es un tablero macizo, diséñalo en MACIZAS. ","")&amp;IF(AND(AI12="NO",C12="PERIMETRAL"),"No cumple 6.7.8.1.4 (a_c = "&amp;MAX(DATOS!$C$78,AD12)&amp;" cm &gt; claro corto/6 = "&amp;TEXT(X12*100/6,"0")&amp;" cm): se diseña como losa apoyada en vigas (6.7.8.1.9): r de viga = "&amp;DATOS!$C$60&amp;" cm y V_cR sin ×1.1. Para que cuente como encasetonada: casetón de "&amp;TEXT(FLOOR(MIN(80,X12*100/6),1),"0")&amp;" cm o menor. ","")&amp;IF(C12="VOLADO","Volado de "&amp;TEXT(X12,"0.00")&amp;" m empotrado en el borde "&amp;LOWER(V12)&amp;IF(N(O12)&gt;0,", con "&amp;TEXT(O12,"0.0")&amp;" kg/m en la orilla","")&amp;". Lecho inferior con r_ext. Si la orilla carga pretil u otro elemento frágil, calcula la flecha (13.4). El acero superior entra al respaldo de "&amp;TEXT(IF(ISNUMBER(P12),P12,X12),"0.00")&amp;" m"&amp;IF(ISNUMBER(P12),""," (L_b no capturado: se tomó igual al volado)")&amp;" hasta pasar M = 0 con 0.9·PP sin carga viva; si ahí no se anula, llega al apoyo lejano y se ancla con gancho (NTC-Criterios 3.4.1 c y 5.1.2.2). "&amp;IF(AC12&gt;DATOS!$C$80,"Respaldo: "&amp;DT12&amp;". ",""),"")&amp;IF(LEFT(BJ12,5)="FUERA","El M⁻ del vecino difiere más de 50 % (3.4.2.1 c): distribuye el desequilibrio (3.4.3.1) o confirma con un modelo; se arma con el mayor. ","")&amp;IF(OR(DD12="SÍ",DE12="SÍ"),"El M⁻ del borde discontinuo pide bastón también ahí (con gancho). ","")&amp;IF(LEFT(DF12,2)="NO","Anclaje: "&amp;DF12&amp;" (6.7.8.1.7). ","")&amp;IF(OR(AZ12&gt;0,BA12&gt;0),"Esquinas exteriores sobre muro: refuerzo de esquina arriba y abajo en L_largo/5 (6.7.7.3.1). ",""))</f>
        <v>EJEMPLO de la hoja de Casa Rocha: bórralo o sobrescríbelo. Volado de 2.00 m empotrado en el borde derecho, con 333.7 kg/m en la orilla. Lecho inferior con r_ext. Si la orilla carga pretil u otro elemento frágil, calcula la flecha (13.4). El acero superior entra al respaldo de 3.03 m hasta pasar M = 0 con 0.9·PP sin carga viva; si ahí no se anula, llega al apoyo lejano y se ancla con gancho (NTC-Criterios 3.4.1 c y 5.1.2.2). Respaldo: CUMPLE — 2 hilera(s) del respaldo con nervaduras de b_w = 20 cm (casetón 50 cm), hasta 1.15 m del paño. Esquinas exteriores sobre muro: refuerzo de esquina arriba y abajo en L_largo/5 (6.7.7.3.1). </v>
      </c>
    </row>
    <row r="13" ht="33" customHeight="1">
      <c r="A13" s="50">
        <f>IF(B13="",0,1)+A12</f>
        <v>4</v>
      </c>
      <c r="B13" s="29" t="n"/>
      <c r="C13" s="51" t="n"/>
      <c r="D13" s="29" t="n"/>
      <c r="E13" s="52" t="n"/>
      <c r="F13" s="52" t="n"/>
      <c r="G13" s="51" t="n"/>
      <c r="H13" s="51" t="n"/>
      <c r="I13" s="51" t="n"/>
      <c r="J13" s="51" t="n"/>
      <c r="K13" s="51" t="n"/>
      <c r="L13" s="51" t="n"/>
      <c r="M13" s="53" t="n"/>
      <c r="N13" s="53" t="n"/>
      <c r="O13" s="54" t="n"/>
      <c r="P13" s="52" t="n"/>
      <c r="Q13" s="53" t="n"/>
      <c r="R13" s="54" t="n"/>
      <c r="S13" s="52" t="n"/>
      <c r="T13" s="52" t="n"/>
      <c r="U13" s="55" t="str">
        <f>IF(B13="","",IF(AND(OR(C13="PERIMETRAL",C13="VOLADO"),ISNUMBER(E13),ISNUMBER(F13),E13&gt;0,F13&gt;0,OR(ISNUMBER(N13),ISNUMBER(MATCH(D13,DATOS!$B$46:$B$55,0)))),"SÍ","NO"))</f>
        <v/>
      </c>
      <c r="V13" s="55" t="str">
        <f>IF(U13&lt;&gt;"SÍ","",IF(C13&lt;&gt;"VOLADO","—",IF(COUNTIF(G13:J13,"CONTINUO")&lt;&gt;1,"?",IF(G13="CONTINUO","INFERIOR",IF(H13="CONTINUO","SUPERIOR",IF(I13="CONTINUO","IZQUIERDO","DERECHO"))))))</f>
        <v/>
      </c>
      <c r="W13" s="55" t="str">
        <f>IF(U13&lt;&gt;"SÍ","",IF(C13="VOLADO",IF(OR(V13="IZQUIERDO",V13="DERECHO"),"X","Y"),IF(E13&lt;=F13,"X","Y")))</f>
        <v/>
      </c>
      <c r="X13" s="56" t="str">
        <f>IF(U13&lt;&gt;"SÍ","",IF(C13="VOLADO",IF(W13="X",E13,F13),MIN(E13,F13)))</f>
        <v/>
      </c>
      <c r="Y13" s="56" t="str">
        <f>IF(U13&lt;&gt;"SÍ","",IF(C13="VOLADO",IF(W13="X",F13,E13),MAX(E13,F13)))</f>
        <v/>
      </c>
      <c r="Z13" s="56" t="str">
        <f>IF(U13&lt;&gt;"SÍ","",MIN(X13,Y13)/MAX(X13,Y13))</f>
        <v/>
      </c>
      <c r="AA13" s="57" t="str">
        <f>IF(U13&lt;&gt;"SÍ","",MAX(1,X13*100-IF(C13="VOLADO",DATOS!$C$84/2,DATOS!$C$84)))</f>
        <v/>
      </c>
      <c r="AB13" s="57" t="str">
        <f>IF(U13&lt;&gt;"SÍ","",MAX(1,Y13*100-DATOS!$C$84))</f>
        <v/>
      </c>
      <c r="AC13" s="57" t="str">
        <f>IF(U13&lt;&gt;"SÍ","",IF(ISNUMBER(Q13),Q13,DATOS!$C$80))</f>
        <v/>
      </c>
      <c r="AD13" s="57" t="str">
        <f>IF(U13&lt;&gt;"SÍ","",MAX(0,DATOS!$C$83-AC13))</f>
        <v/>
      </c>
      <c r="AE13" s="57" t="str">
        <f>IF(U13&lt;&gt;"SÍ","",IF(OR(DATOS!$C$62="SÍ",AC13&gt;=20),AC13,AC13-2))</f>
        <v/>
      </c>
      <c r="AF13" s="57" t="str">
        <f>IF(U13&lt;&gt;"SÍ","",IF(OR(DATOS!$C$62="SÍ",DATOS!$C$80&gt;=20),DATOS!$C$80,DATOS!$C$80-2))</f>
        <v/>
      </c>
      <c r="AG13" s="57" t="str">
        <f>IF(U13&lt;&gt;"SÍ","",MIN(DATOS!$C$83,AC13+2*MIN(8*DATOS!$C$81,AD13/2,AA13/8)))</f>
        <v/>
      </c>
      <c r="AH13" s="57" t="str">
        <f>IF(U13&lt;&gt;"SÍ","",MIN(DATOS!$C$83,DATOS!$C$80+2*MIN(8*DATOS!$C$81,DATOS!$C$78/2,AB13/8)))</f>
        <v/>
      </c>
      <c r="AI13" s="55" t="str">
        <f>IF(U13&lt;&gt;"SÍ","",IF(AND(C13="PERIMETRAL",X13*100&gt;=6*MAX(DATOS!$C$78,AD13),MAX(DATOS!$C$78,AD13)&lt;=80,MIN(DATOS!$C$80,AC13)&gt;=10,DATOS!$C$82&lt;=3.5*MIN(DATOS!$C$80,AC13),DATOS!$C$81&gt;=MAX(MAX(DATOS!$C$78,AD13)/13,5)),"SÍ","NO"))</f>
        <v/>
      </c>
      <c r="AJ13" s="57" t="str">
        <f>IF(U13&lt;&gt;"SÍ","",IF(C13="VOLADO",DATOS!$C$61,IF(AI13="NO",DATOS!$C$60,DATOS!$C$59)))</f>
        <v/>
      </c>
      <c r="AK13" s="57" t="str">
        <f>IF(U13&lt;&gt;"SÍ","",IF(OR(AND(AM13="SÍ",DATOS!$C$63="SÍ"),AND(C13="VOLADO",DATOS!$C$64="SÍ")),DATOS!$C$61,IF(AI13="NO",DATOS!$C$60,DATOS!$C$59)))</f>
        <v/>
      </c>
      <c r="AL13" s="58" t="str">
        <f>IF(U13&lt;&gt;"SÍ","",MAX(AK13,(DATOS!$C$81-2*DATOS!$C$94)/2))</f>
        <v/>
      </c>
      <c r="AM13" s="55" t="str">
        <f>IF(U13&lt;&gt;"SÍ","",IFERROR(INDEX(DATOS!$D$46:$D$55,MATCH(D13,DATOS!$B$46:$B$55,0)),"NO"))</f>
        <v/>
      </c>
      <c r="AN13" s="59" t="str">
        <f>IF(U13&lt;&gt;"SÍ","",IF(ISNUMBER(N13),N13,IFERROR(INDEX(DATOS!$C$46:$C$55,MATCH(D13,DATOS!$B$46:$B$55,0)),0)))</f>
        <v/>
      </c>
      <c r="AO13" s="59" t="str">
        <f>IF(U13&lt;&gt;"SÍ","",(DATOS!$C$82/100-(AD13*DATOS!$C$78/DATOS!$C$83^2)*DATOS!$C$79/100)*DATOS!$C$16*1000+(AD13*DATOS!$C$78/DATOS!$C$83^2)*DATOS!$C$79/100*DATOS!$C$17*1000+DATOS!$C$37+DATOS!$C$38)</f>
        <v/>
      </c>
      <c r="AP13" s="59" t="str">
        <f>IF(U13&lt;&gt;"SÍ","",AO13+N(M13))</f>
        <v/>
      </c>
      <c r="AQ13" s="60" t="str">
        <f>IF(U13&lt;&gt;"SÍ","",MAX(DATOS!$C$26*AP13+DATOS!$C$27*AN13,IF(AM13="SÍ",DATOS!$C$28*(AP13+DATOS!$C$41),0)))</f>
        <v/>
      </c>
      <c r="AR13" s="59" t="str">
        <f>IF(U13&lt;&gt;"SÍ","",(G13="DISCONTINUO")+(H13="DISCONTINUO")+(I13="DISCONTINUO")+(J13="DISCONTINUO"))</f>
        <v/>
      </c>
      <c r="AS13" s="59" t="str">
        <f>IF(U13&lt;&gt;"SÍ","",IF(W13="X",(G13="DISCONTINUO")+(H13="DISCONTINUO"),(I13="DISCONTINUO")+(J13="DISCONTINUO")))</f>
        <v/>
      </c>
      <c r="AT13" s="55" t="str">
        <f>IF(U13&lt;&gt;"SÍ","",IF(AR13=0,"INTERIOR",IF(AR13=1,IF(AS13=1,"BORDE-CORTO","BORDE-LARGO"),IF(AR13=2,IF(AS13=1,"ESQUINA",IF(AS13=2,"EXTREMO-LARGO","EXTREMO-CORTO")),IF(AR13=3,IF(AS13=2,"EXTREMO-LARGO","EXTREMO-CORTO"),"AISLADO")))))</f>
        <v/>
      </c>
      <c r="AU13" s="61" t="str">
        <f>IF(U13&lt;&gt;"SÍ","",IF(OR(K13="",K13="AUTO"),AT13,K13))</f>
        <v/>
      </c>
      <c r="AV13" s="59" t="str">
        <f>IF(U13&lt;&gt;"SÍ","",MATCH(Z13,TABLAS!$D$5:$J$5,1))</f>
        <v/>
      </c>
      <c r="AW13" s="58" t="str">
        <f>IF(U13&lt;&gt;"SÍ","",IF(AV13&gt;=7,0,(Z13-INDEX(TABLAS!$D$5:$J$5,AV13))/(INDEX(TABLAS!$D$5:$J$5,AV13+1)-INDEX(TABLAS!$D$5:$J$5,AV13))))</f>
        <v/>
      </c>
      <c r="AX13" s="59" t="str">
        <f>IF(U13&lt;&gt;"SÍ","",INDEX(TABLAS!$D$6:$J$47,MATCH(AU13&amp;"|NIC",TABLAS!$B$6:$B$47,0),AV13)+AW13*(INDEX(TABLAS!$D$6:$J$47,MATCH(AU13&amp;"|NIC",TABLAS!$B$6:$B$47,0),MIN(AV13+1,7))-INDEX(TABLAS!$D$6:$J$47,MATCH(AU13&amp;"|NIC",TABLAS!$B$6:$B$47,0),AV13)))</f>
        <v/>
      </c>
      <c r="AY13" s="59" t="str">
        <f>IF(U13&lt;&gt;"SÍ","",INDEX(TABLAS!$D$6:$J$47,MATCH(AU13&amp;"|NIL",TABLAS!$B$6:$B$47,0),AV13)+AW13*(INDEX(TABLAS!$D$6:$J$47,MATCH(AU13&amp;"|NIL",TABLAS!$B$6:$B$47,0),MIN(AV13+1,7))-INDEX(TABLAS!$D$6:$J$47,MATCH(AU13&amp;"|NIL",TABLAS!$B$6:$B$47,0),AV13)))</f>
        <v/>
      </c>
      <c r="AZ13" s="59" t="str">
        <f>IF(U13&lt;&gt;"SÍ","",INDEX(TABLAS!$D$6:$J$47,MATCH(AU13&amp;"|NDC",TABLAS!$B$6:$B$47,0),AV13)+AW13*(INDEX(TABLAS!$D$6:$J$47,MATCH(AU13&amp;"|NDC",TABLAS!$B$6:$B$47,0),MIN(AV13+1,7))-INDEX(TABLAS!$D$6:$J$47,MATCH(AU13&amp;"|NDC",TABLAS!$B$6:$B$47,0),AV13)))</f>
        <v/>
      </c>
      <c r="BA13" s="59" t="str">
        <f>IF(U13&lt;&gt;"SÍ","",INDEX(TABLAS!$D$6:$J$47,MATCH(AU13&amp;"|NDL",TABLAS!$B$6:$B$47,0),AV13)+AW13*(INDEX(TABLAS!$D$6:$J$47,MATCH(AU13&amp;"|NDL",TABLAS!$B$6:$B$47,0),MIN(AV13+1,7))-INDEX(TABLAS!$D$6:$J$47,MATCH(AU13&amp;"|NDL",TABLAS!$B$6:$B$47,0),AV13)))</f>
        <v/>
      </c>
      <c r="BB13" s="59" t="str">
        <f>IF(U13&lt;&gt;"SÍ","",INDEX(TABLAS!$D$6:$J$47,MATCH(AU13&amp;"|PC",TABLAS!$B$6:$B$47,0),AV13)+AW13*(INDEX(TABLAS!$D$6:$J$47,MATCH(AU13&amp;"|PC",TABLAS!$B$6:$B$47,0),MIN(AV13+1,7))-INDEX(TABLAS!$D$6:$J$47,MATCH(AU13&amp;"|PC",TABLAS!$B$6:$B$47,0),AV13)))</f>
        <v/>
      </c>
      <c r="BC13" s="59" t="str">
        <f>IF(U13&lt;&gt;"SÍ","",INDEX(TABLAS!$D$6:$J$47,MATCH(AU13&amp;"|PL",TABLAS!$B$6:$B$47,0),AV13)+AW13*(INDEX(TABLAS!$D$6:$J$47,MATCH(AU13&amp;"|PL",TABLAS!$B$6:$B$47,0),MIN(AV13+1,7))-INDEX(TABLAS!$D$6:$J$47,MATCH(AU13&amp;"|PL",TABLAS!$B$6:$B$47,0),AV13)))</f>
        <v/>
      </c>
      <c r="BD13" s="56" t="str">
        <f>IF(U13&lt;&gt;"SÍ","",IF(C13&lt;&gt;"VOLADO",0,DATOS!$C$26*DATOS!$C$16*DATOS!$C$83/100*(((AD13*DATOS!$C$78/DATOS!$C$83^2)*DATOS!$C$79/100)*(IF(W13="X",DI13,DJ13)+DATOS!$C$84/2)/100*(AA13-(IF(W13="X",DI13,DJ13)+DATOS!$C$84/2)/2)/100+((AD13*DATOS!$C$78/DATOS!$C$83^2)*DATOS!$C$79/100)*IF(W13="X",DI13,DJ13)/100*IF(W13="X",DI13,DJ13)/200)))</f>
        <v/>
      </c>
      <c r="BE13" s="56" t="str">
        <f>IF(U13&lt;&gt;"SÍ","",IF(C13&lt;&gt;"VOLADO",0,DATOS!$C$26*DATOS!$C$16*DATOS!$C$83/100*((AD13*DATOS!$C$78/DATOS!$C$83^2)*DATOS!$C$79/100)*(IF(W13="X",DI13,DJ13)+DATOS!$C$84/2)/100))</f>
        <v/>
      </c>
      <c r="BF13" s="56" t="str">
        <f>IF(U13&lt;&gt;"SÍ","",IF(C13="PERIMETRAL",BB13*AQ13*X13^2*1E-4*DATOS!$C$83/100/1000,0))</f>
        <v/>
      </c>
      <c r="BG13" s="62" t="str">
        <f>IF(U13&lt;&gt;"SÍ","",IF(C13="PERIMETRAL",MAX(MAX(AX13,AZ13)*AQ13*X13^2*1E-4*DATOS!$C$83/100/1000,N(S13)),(AQ13*(AA13/100)^2/2+DATOS!$C$26*N(O13)*AA13/100)*DATOS!$C$83/100/1000+BD13))</f>
        <v/>
      </c>
      <c r="BH13" s="56" t="str">
        <f>IF(U13&lt;&gt;"SÍ","",IF(C13="PERIMETRAL",BC13*AQ13*X13^2*1E-4*DATOS!$C$83/100/1000,0))</f>
        <v/>
      </c>
      <c r="BI13" s="56" t="str">
        <f>IF(U13&lt;&gt;"SÍ","",IF(C13="PERIMETRAL",MAX(MAX(AY13,BA13)*AQ13*X13^2*1E-4*DATOS!$C$83/100/1000,N(T13)),0))</f>
        <v/>
      </c>
      <c r="BJ13" s="63" t="str">
        <f>IF(U13&lt;&gt;"SÍ","",IF(C13&lt;&gt;"PERIMETRAL","—",IF(AND(N(S13)=0,N(T13)=0),"— (sin M⁻ del vecino)",IF(OR(AND(N(S13)&gt;0,ABS(MAX(AX13,AZ13)*AQ13*X13^2*1E-4*DATOS!$C$83/100/1000-N(S13))&gt;0.5*MIN(MAX(AX13,AZ13)*AQ13*X13^2*1E-4*DATOS!$C$83/100/1000,N(S13))),AND(N(T13)&gt;0,ABS(MAX(AY13,BA13)*AQ13*X13^2*1E-4*DATOS!$C$83/100/1000-N(T13))&gt;0.5*MIN(MAX(AY13,BA13)*AQ13*X13^2*1E-4*DATOS!$C$83/100/1000,N(T13)))),"FUERA: difieren &gt; 50 %"&amp;IF(AND(N(S13)&gt;0,ABS(MAX(AX13,AZ13)*AQ13*X13^2*1E-4*DATOS!$C$83/100/1000-N(S13))&gt;0.5*MIN(MAX(AX13,AZ13)*AQ13*X13^2*1E-4*DATOS!$C$83/100/1000,N(S13)))," ‖ corto","")&amp;IF(AND(N(T13)&gt;0,ABS(MAX(AY13,BA13)*AQ13*X13^2*1E-4*DATOS!$C$83/100/1000-N(T13))&gt;0.5*MIN(MAX(AY13,BA13)*AQ13*X13^2*1E-4*DATOS!$C$83/100/1000,N(T13)))," ‖ largo",""),"CUMPLE"))))</f>
        <v/>
      </c>
      <c r="BK13" s="58" t="str">
        <f>IF(U13&lt;&gt;"SÍ","",(DATOS!$C$82-AJ13-INDEX(TABLAS!$C$52:$C$58,MATCH(DATOS!$C$68,TABLAS!$B$52:$B$58,0))/2))</f>
        <v/>
      </c>
      <c r="BL13" s="58" t="str">
        <f>IF(U13&lt;&gt;"SÍ","",IF(IF(BF13&lt;=0,0,IF((1-2*BF13*1E5/(DATOS!$C$29*AG13*BK13^2*DATOS!$C$21))&lt;0,-1,IF((1-SQRT((1-2*BF13*1E5/(DATOS!$C$29*AG13*BK13^2*DATOS!$C$21))))*DATOS!$C$21*AG13*BK13/DATOS!$C$14&gt;DATOS!$C$99*AG13*BK13,-1,(1-SQRT((1-2*BF13*1E5/(DATOS!$C$29*AG13*BK13^2*DATOS!$C$21))))*DATOS!$C$21*AG13*BK13/DATOS!$C$14)))&lt;0,-1,MAX(IF(BF13&lt;=0,0,IF((1-2*BF13*1E5/(DATOS!$C$29*AG13*BK13^2*DATOS!$C$21))&lt;0,-1,IF((1-SQRT((1-2*BF13*1E5/(DATOS!$C$29*AG13*BK13^2*DATOS!$C$21))))*DATOS!$C$21*AG13*BK13/DATOS!$C$14&gt;DATOS!$C$99*AG13*BK13,-1,(1-SQRT((1-2*BF13*1E5/(DATOS!$C$29*AG13*BK13^2*DATOS!$C$21))))*DATOS!$C$21*AG13*BK13/DATOS!$C$14))),MIN(DATOS!$C$100*AC13*BK13,4/3*IF(BF13&lt;=0,0,IF((1-2*BF13*1E5/(DATOS!$C$29*AG13*BK13^2*DATOS!$C$21))&lt;0,-1,IF((1-SQRT((1-2*BF13*1E5/(DATOS!$C$29*AG13*BK13^2*DATOS!$C$21))))*DATOS!$C$21*AG13*BK13/DATOS!$C$14&gt;DATOS!$C$99*AG13*BK13,-1,(1-SQRT((1-2*BF13*1E5/(DATOS!$C$29*AG13*BK13^2*DATOS!$C$21))))*DATOS!$C$21*AG13*BK13/DATOS!$C$14)))))))</f>
        <v/>
      </c>
      <c r="BM13" s="64" t="str">
        <f>IF(U13&lt;&gt;"SÍ","",IF(AND(BL13&gt;=0,IF(MAX(DATOS!$C$71,CEILING(BL13/INDEX(TABLAS!$D$52:$D$58,MIN(MATCH(DATOS!$C$68,TABLAS!$B$52:$B$58,0)+0,7)),1))*INDEX(TABLAS!$D$52:$D$58,MIN(MATCH(DATOS!$C$68,TABLAS!$B$52:$B$58,0)+0,7))&gt;=4/3*IF(BF13&lt;=0,0,IF((1-2*BF13*1E5/(DATOS!$C$29*AG13*BK13^2*DATOS!$C$21))&lt;0,-1,IF((1-SQRT((1-2*BF13*1E5/(DATOS!$C$29*AG13*BK13^2*DATOS!$C$21))))*DATOS!$C$21*AG13*BK13/DATOS!$C$14&gt;DATOS!$C$99*AG13*BK13,-1,(1-SQRT((1-2*BF13*1E5/(DATOS!$C$29*AG13*BK13^2*DATOS!$C$21))))*DATOS!$C$21*AG13*BK13/DATOS!$C$14)))-0.0001,MAX(DATOS!$C$71,CEILING(BL13/INDEX(TABLAS!$D$52:$D$58,MIN(MATCH(DATOS!$C$68,TABLAS!$B$52:$B$58,0)+0,7)),1)),MAX(MAX(DATOS!$C$71,CEILING(BL13/INDEX(TABLAS!$D$52:$D$58,MIN(MATCH(DATOS!$C$68,TABLAS!$B$52:$B$58,0)+0,7)),1)),2))&lt;=MIN(DATOS!$C$70,INT(((AC13-2*AJ13)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13&gt;=0,IF(MAX(DATOS!$C$71,CEILING(BL13/INDEX(TABLAS!$D$52:$D$58,MIN(MATCH(DATOS!$C$68,TABLAS!$B$52:$B$58,0)+1,7)),1))*INDEX(TABLAS!$D$52:$D$58,MIN(MATCH(DATOS!$C$68,TABLAS!$B$52:$B$58,0)+1,7))&gt;=4/3*IF(BF13&lt;=0,0,IF((1-2*BF13*1E5/(DATOS!$C$29*AG13*BK13^2*DATOS!$C$21))&lt;0,-1,IF((1-SQRT((1-2*BF13*1E5/(DATOS!$C$29*AG13*BK13^2*DATOS!$C$21))))*DATOS!$C$21*AG13*BK13/DATOS!$C$14&gt;DATOS!$C$99*AG13*BK13,-1,(1-SQRT((1-2*BF13*1E5/(DATOS!$C$29*AG13*BK13^2*DATOS!$C$21))))*DATOS!$C$21*AG13*BK13/DATOS!$C$14)))-0.0001,MAX(DATOS!$C$71,CEILING(BL13/INDEX(TABLAS!$D$52:$D$58,MIN(MATCH(DATOS!$C$68,TABLAS!$B$52:$B$58,0)+1,7)),1)),MAX(MAX(DATOS!$C$71,CEILING(BL13/INDEX(TABLAS!$D$52:$D$58,MIN(MATCH(DATOS!$C$68,TABLAS!$B$52:$B$58,0)+1,7)),1)),2))&lt;=MIN(DATOS!$C$70,INT(((AC13-2*AJ13)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13&gt;=0,IF(MAX(DATOS!$C$71,CEILING(BL13/INDEX(TABLAS!$D$52:$D$58,MIN(MATCH(DATOS!$C$68,TABLAS!$B$52:$B$58,0)+2,7)),1))*INDEX(TABLAS!$D$52:$D$58,MIN(MATCH(DATOS!$C$68,TABLAS!$B$52:$B$58,0)+2,7))&gt;=4/3*IF(BF13&lt;=0,0,IF((1-2*BF13*1E5/(DATOS!$C$29*AG13*BK13^2*DATOS!$C$21))&lt;0,-1,IF((1-SQRT((1-2*BF13*1E5/(DATOS!$C$29*AG13*BK13^2*DATOS!$C$21))))*DATOS!$C$21*AG13*BK13/DATOS!$C$14&gt;DATOS!$C$99*AG13*BK13,-1,(1-SQRT((1-2*BF13*1E5/(DATOS!$C$29*AG13*BK13^2*DATOS!$C$21))))*DATOS!$C$21*AG13*BK13/DATOS!$C$14)))-0.0001,MAX(DATOS!$C$71,CEILING(BL13/INDEX(TABLAS!$D$52:$D$58,MIN(MATCH(DATOS!$C$68,TABLAS!$B$52:$B$58,0)+2,7)),1)),MAX(MAX(DATOS!$C$71,CEILING(BL13/INDEX(TABLAS!$D$52:$D$58,MIN(MATCH(DATOS!$C$68,TABLAS!$B$52:$B$58,0)+2,7)),1)),2))&lt;=MIN(DATOS!$C$70,INT(((AC13-2*AJ13)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13&gt;=0,IF(MAX(DATOS!$C$71,CEILING(BL13/INDEX(TABLAS!$D$52:$D$58,MIN(MATCH(DATOS!$C$68,TABLAS!$B$52:$B$58,0)+3,7)),1))*INDEX(TABLAS!$D$52:$D$58,MIN(MATCH(DATOS!$C$68,TABLAS!$B$52:$B$58,0)+3,7))&gt;=4/3*IF(BF13&lt;=0,0,IF((1-2*BF13*1E5/(DATOS!$C$29*AG13*BK13^2*DATOS!$C$21))&lt;0,-1,IF((1-SQRT((1-2*BF13*1E5/(DATOS!$C$29*AG13*BK13^2*DATOS!$C$21))))*DATOS!$C$21*AG13*BK13/DATOS!$C$14&gt;DATOS!$C$99*AG13*BK13,-1,(1-SQRT((1-2*BF13*1E5/(DATOS!$C$29*AG13*BK13^2*DATOS!$C$21))))*DATOS!$C$21*AG13*BK13/DATOS!$C$14)))-0.0001,MAX(DATOS!$C$71,CEILING(BL13/INDEX(TABLAS!$D$52:$D$58,MIN(MATCH(DATOS!$C$68,TABLAS!$B$52:$B$58,0)+3,7)),1)),MAX(MAX(DATOS!$C$71,CEILING(BL13/INDEX(TABLAS!$D$52:$D$58,MIN(MATCH(DATOS!$C$68,TABLAS!$B$52:$B$58,0)+3,7)),1)),2))&lt;=MIN(DATOS!$C$70,INT(((AC13-2*AJ13)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13&gt;=0,IF(MAX(DATOS!$C$71,CEILING(BL13/INDEX(TABLAS!$D$52:$D$58,MIN(MATCH(DATOS!$C$68,TABLAS!$B$52:$B$58,0)+4,7)),1))*INDEX(TABLAS!$D$52:$D$58,MIN(MATCH(DATOS!$C$68,TABLAS!$B$52:$B$58,0)+4,7))&gt;=4/3*IF(BF13&lt;=0,0,IF((1-2*BF13*1E5/(DATOS!$C$29*AG13*BK13^2*DATOS!$C$21))&lt;0,-1,IF((1-SQRT((1-2*BF13*1E5/(DATOS!$C$29*AG13*BK13^2*DATOS!$C$21))))*DATOS!$C$21*AG13*BK13/DATOS!$C$14&gt;DATOS!$C$99*AG13*BK13,-1,(1-SQRT((1-2*BF13*1E5/(DATOS!$C$29*AG13*BK13^2*DATOS!$C$21))))*DATOS!$C$21*AG13*BK13/DATOS!$C$14)))-0.0001,MAX(DATOS!$C$71,CEILING(BL13/INDEX(TABLAS!$D$52:$D$58,MIN(MATCH(DATOS!$C$68,TABLAS!$B$52:$B$58,0)+4,7)),1)),MAX(MAX(DATOS!$C$71,CEILING(BL13/INDEX(TABLAS!$D$52:$D$58,MIN(MATCH(DATOS!$C$68,TABLAS!$B$52:$B$58,0)+4,7)),1)),2))&lt;=MIN(DATOS!$C$70,INT(((AC13-2*AJ13)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13" s="59" t="str">
        <f>IF(U13&lt;&gt;"SÍ","",IF(BL13&lt;0,0,IF(MAX(DATOS!$C$71,CEILING(MAX(BL13,0)/INDEX(TABLAS!$D$52:$D$58,MATCH(BM13,TABLAS!$B$52:$B$58,0)),1))*INDEX(TABLAS!$D$52:$D$58,MATCH(BM13,TABLAS!$B$52:$B$58,0))&gt;=4/3*IF(BF13&lt;=0,0,IF((1-2*BF13*1E5/(DATOS!$C$29*AG13*BK13^2*DATOS!$C$21))&lt;0,-1,IF((1-SQRT((1-2*BF13*1E5/(DATOS!$C$29*AG13*BK13^2*DATOS!$C$21))))*DATOS!$C$21*AG13*BK13/DATOS!$C$14&gt;DATOS!$C$99*AG13*BK13,-1,(1-SQRT((1-2*BF13*1E5/(DATOS!$C$29*AG13*BK13^2*DATOS!$C$21))))*DATOS!$C$21*AG13*BK13/DATOS!$C$14)))-0.0001,MAX(DATOS!$C$71,CEILING(MAX(BL13,0)/INDEX(TABLAS!$D$52:$D$58,MATCH(BM13,TABLAS!$B$52:$B$58,0)),1)),MAX(MAX(DATOS!$C$71,CEILING(MAX(BL13,0)/INDEX(TABLAS!$D$52:$D$58,MATCH(BM13,TABLAS!$B$52:$B$58,0)),1)),2))))</f>
        <v/>
      </c>
      <c r="BO13" s="58" t="str">
        <f>IF(U13&lt;&gt;"SÍ","",DATOS!$C$82-AJ13-INDEX(TABLAS!$C$52:$C$58,MATCH(BM13,TABLAS!$B$52:$B$58,0))/2)</f>
        <v/>
      </c>
      <c r="BP13" s="56" t="str">
        <f>IF(U13&lt;&gt;"SÍ","",IF(BN13=0,0,DATOS!$C$29*BN13*INDEX(TABLAS!$D$52:$D$58,MATCH(BM13,TABLAS!$B$52:$B$58,0))*DATOS!$C$14*(BO13-BN13*INDEX(TABLAS!$D$52:$D$58,MATCH(BM13,TABLAS!$B$52:$B$58,0))*DATOS!$C$14/(DATOS!$C$21*AG13)/2)/1E5))</f>
        <v/>
      </c>
      <c r="BQ13" s="65" t="str">
        <f>IF(U13&lt;&gt;"SÍ","",IF(BL13&lt;0,9.99,IF(BP13&gt;0,BF13/BP13,0)))</f>
        <v/>
      </c>
      <c r="BR13" s="66" t="str">
        <f>IF(U13&lt;&gt;"SÍ","",IF(BN13=0,"—",0.003*(BO13-(BN13*INDEX(TABLAS!$D$52:$D$58,MATCH(BM13,TABLAS!$B$52:$B$58,0))*DATOS!$C$14/(DATOS!$C$21*AG13)/DATOS!$C$22))/(BN13*INDEX(TABLAS!$D$52:$D$58,MATCH(BM13,TABLAS!$B$52:$B$58,0))*DATOS!$C$14/(DATOS!$C$21*AG13)/DATOS!$C$22)))</f>
        <v/>
      </c>
      <c r="BS13" s="58" t="str">
        <f>IF(U13&lt;&gt;"SÍ","",((DATOS!$C$82-AL13-2*DATOS!$C$94-INDEX(TABLAS!$C$52:$C$58,MATCH(DATOS!$C$69,TABLAS!$B$52:$B$58,0))/2)-IF(AND((DATOS!$C$82-AL13-2*DATOS!$C$94-INDEX(TABLAS!$C$52:$C$58,MATCH(DATOS!$C$69,TABLAS!$B$52:$B$58,0))/2)&lt;=20,DATOS!$C$62&lt;&gt;"SÍ"),2,0)))</f>
        <v/>
      </c>
      <c r="BT13" s="58" t="str">
        <f>IF(U13&lt;&gt;"SÍ","",IF(IF(BG13&lt;=0,0,IF((1-2*BG13*1E5/(DATOS!$C$29*AE13*BS13^2*DATOS!$C$21))&lt;0,-1,IF((1-SQRT((1-2*BG13*1E5/(DATOS!$C$29*AE13*BS13^2*DATOS!$C$21))))*DATOS!$C$21*AE13*BS13/DATOS!$C$14&gt;DATOS!$C$99*AE13*BS13,-1,(1-SQRT((1-2*BG13*1E5/(DATOS!$C$29*AE13*BS13^2*DATOS!$C$21))))*DATOS!$C$21*AE13*BS13/DATOS!$C$14)))&lt;0,-1,MAX(IF(BG13&lt;=0,0,IF((1-2*BG13*1E5/(DATOS!$C$29*AE13*BS13^2*DATOS!$C$21))&lt;0,-1,IF((1-SQRT((1-2*BG13*1E5/(DATOS!$C$29*AE13*BS13^2*DATOS!$C$21))))*DATOS!$C$21*AE13*BS13/DATOS!$C$14&gt;DATOS!$C$99*AE13*BS13,-1,(1-SQRT((1-2*BG13*1E5/(DATOS!$C$29*AE13*BS13^2*DATOS!$C$21))))*DATOS!$C$21*AE13*BS13/DATOS!$C$14))),MIN(DATOS!$C$100*IF(C13="VOLADO",MIN(AG13,2*AC13),AC13)*BS13,4/3*IF(BG13&lt;=0,0,IF((1-2*BG13*1E5/(DATOS!$C$29*AE13*BS13^2*DATOS!$C$21))&lt;0,-1,IF((1-SQRT((1-2*BG13*1E5/(DATOS!$C$29*AE13*BS13^2*DATOS!$C$21))))*DATOS!$C$21*AE13*BS13/DATOS!$C$14&gt;DATOS!$C$99*AE13*BS13,-1,(1-SQRT((1-2*BG13*1E5/(DATOS!$C$29*AE13*BS13^2*DATOS!$C$21))))*DATOS!$C$21*AE13*BS13/DATOS!$C$14)))))))</f>
        <v/>
      </c>
      <c r="BU13" s="64" t="str">
        <f>IF(U13&lt;&gt;"SÍ","",IF(AND(BT13&gt;=0,IF(MAX(DATOS!$C$71,CEILING(BT13/INDEX(TABLAS!$D$52:$D$58,MIN(MATCH(DATOS!$C$69,TABLAS!$B$52:$B$58,0)+0,7)),1))*INDEX(TABLAS!$D$52:$D$58,MIN(MATCH(DATOS!$C$69,TABLAS!$B$52:$B$58,0)+0,7))&gt;=4/3*IF(BG13&lt;=0,0,IF((1-2*BG13*1E5/(DATOS!$C$29*AE13*BS13^2*DATOS!$C$21))&lt;0,-1,IF((1-SQRT((1-2*BG13*1E5/(DATOS!$C$29*AE13*BS13^2*DATOS!$C$21))))*DATOS!$C$21*AE13*BS13/DATOS!$C$14&gt;DATOS!$C$99*AE13*BS13,-1,(1-SQRT((1-2*BG13*1E5/(DATOS!$C$29*AE13*BS13^2*DATOS!$C$21))))*DATOS!$C$21*AE13*BS13/DATOS!$C$14)))-0.0001,MAX(DATOS!$C$71,CEILING(BT13/INDEX(TABLAS!$D$52:$D$58,MIN(MATCH(DATOS!$C$69,TABLAS!$B$52:$B$58,0)+0,7)),1)),MAX(MAX(DATOS!$C$71,CEILING(BT13/INDEX(TABLAS!$D$52:$D$58,MIN(MATCH(DATOS!$C$69,TABLAS!$B$52:$B$58,0)+0,7)),1)),2))&lt;=MIN(DATOS!$C$70,INT(((AC13-2*AK13)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13&gt;=0,IF(MAX(DATOS!$C$71,CEILING(BT13/INDEX(TABLAS!$D$52:$D$58,MIN(MATCH(DATOS!$C$69,TABLAS!$B$52:$B$58,0)+1,7)),1))*INDEX(TABLAS!$D$52:$D$58,MIN(MATCH(DATOS!$C$69,TABLAS!$B$52:$B$58,0)+1,7))&gt;=4/3*IF(BG13&lt;=0,0,IF((1-2*BG13*1E5/(DATOS!$C$29*AE13*BS13^2*DATOS!$C$21))&lt;0,-1,IF((1-SQRT((1-2*BG13*1E5/(DATOS!$C$29*AE13*BS13^2*DATOS!$C$21))))*DATOS!$C$21*AE13*BS13/DATOS!$C$14&gt;DATOS!$C$99*AE13*BS13,-1,(1-SQRT((1-2*BG13*1E5/(DATOS!$C$29*AE13*BS13^2*DATOS!$C$21))))*DATOS!$C$21*AE13*BS13/DATOS!$C$14)))-0.0001,MAX(DATOS!$C$71,CEILING(BT13/INDEX(TABLAS!$D$52:$D$58,MIN(MATCH(DATOS!$C$69,TABLAS!$B$52:$B$58,0)+1,7)),1)),MAX(MAX(DATOS!$C$71,CEILING(BT13/INDEX(TABLAS!$D$52:$D$58,MIN(MATCH(DATOS!$C$69,TABLAS!$B$52:$B$58,0)+1,7)),1)),2))&lt;=MIN(DATOS!$C$70,INT(((AC13-2*AK13)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13&gt;=0,IF(MAX(DATOS!$C$71,CEILING(BT13/INDEX(TABLAS!$D$52:$D$58,MIN(MATCH(DATOS!$C$69,TABLAS!$B$52:$B$58,0)+2,7)),1))*INDEX(TABLAS!$D$52:$D$58,MIN(MATCH(DATOS!$C$69,TABLAS!$B$52:$B$58,0)+2,7))&gt;=4/3*IF(BG13&lt;=0,0,IF((1-2*BG13*1E5/(DATOS!$C$29*AE13*BS13^2*DATOS!$C$21))&lt;0,-1,IF((1-SQRT((1-2*BG13*1E5/(DATOS!$C$29*AE13*BS13^2*DATOS!$C$21))))*DATOS!$C$21*AE13*BS13/DATOS!$C$14&gt;DATOS!$C$99*AE13*BS13,-1,(1-SQRT((1-2*BG13*1E5/(DATOS!$C$29*AE13*BS13^2*DATOS!$C$21))))*DATOS!$C$21*AE13*BS13/DATOS!$C$14)))-0.0001,MAX(DATOS!$C$71,CEILING(BT13/INDEX(TABLAS!$D$52:$D$58,MIN(MATCH(DATOS!$C$69,TABLAS!$B$52:$B$58,0)+2,7)),1)),MAX(MAX(DATOS!$C$71,CEILING(BT13/INDEX(TABLAS!$D$52:$D$58,MIN(MATCH(DATOS!$C$69,TABLAS!$B$52:$B$58,0)+2,7)),1)),2))&lt;=MIN(DATOS!$C$70,INT(((AC13-2*AK13)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13&gt;=0,IF(MAX(DATOS!$C$71,CEILING(BT13/INDEX(TABLAS!$D$52:$D$58,MIN(MATCH(DATOS!$C$69,TABLAS!$B$52:$B$58,0)+3,7)),1))*INDEX(TABLAS!$D$52:$D$58,MIN(MATCH(DATOS!$C$69,TABLAS!$B$52:$B$58,0)+3,7))&gt;=4/3*IF(BG13&lt;=0,0,IF((1-2*BG13*1E5/(DATOS!$C$29*AE13*BS13^2*DATOS!$C$21))&lt;0,-1,IF((1-SQRT((1-2*BG13*1E5/(DATOS!$C$29*AE13*BS13^2*DATOS!$C$21))))*DATOS!$C$21*AE13*BS13/DATOS!$C$14&gt;DATOS!$C$99*AE13*BS13,-1,(1-SQRT((1-2*BG13*1E5/(DATOS!$C$29*AE13*BS13^2*DATOS!$C$21))))*DATOS!$C$21*AE13*BS13/DATOS!$C$14)))-0.0001,MAX(DATOS!$C$71,CEILING(BT13/INDEX(TABLAS!$D$52:$D$58,MIN(MATCH(DATOS!$C$69,TABLAS!$B$52:$B$58,0)+3,7)),1)),MAX(MAX(DATOS!$C$71,CEILING(BT13/INDEX(TABLAS!$D$52:$D$58,MIN(MATCH(DATOS!$C$69,TABLAS!$B$52:$B$58,0)+3,7)),1)),2))&lt;=MIN(DATOS!$C$70,INT(((AC13-2*AK13)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13&gt;=0,IF(MAX(DATOS!$C$71,CEILING(BT13/INDEX(TABLAS!$D$52:$D$58,MIN(MATCH(DATOS!$C$69,TABLAS!$B$52:$B$58,0)+4,7)),1))*INDEX(TABLAS!$D$52:$D$58,MIN(MATCH(DATOS!$C$69,TABLAS!$B$52:$B$58,0)+4,7))&gt;=4/3*IF(BG13&lt;=0,0,IF((1-2*BG13*1E5/(DATOS!$C$29*AE13*BS13^2*DATOS!$C$21))&lt;0,-1,IF((1-SQRT((1-2*BG13*1E5/(DATOS!$C$29*AE13*BS13^2*DATOS!$C$21))))*DATOS!$C$21*AE13*BS13/DATOS!$C$14&gt;DATOS!$C$99*AE13*BS13,-1,(1-SQRT((1-2*BG13*1E5/(DATOS!$C$29*AE13*BS13^2*DATOS!$C$21))))*DATOS!$C$21*AE13*BS13/DATOS!$C$14)))-0.0001,MAX(DATOS!$C$71,CEILING(BT13/INDEX(TABLAS!$D$52:$D$58,MIN(MATCH(DATOS!$C$69,TABLAS!$B$52:$B$58,0)+4,7)),1)),MAX(MAX(DATOS!$C$71,CEILING(BT13/INDEX(TABLAS!$D$52:$D$58,MIN(MATCH(DATOS!$C$69,TABLAS!$B$52:$B$58,0)+4,7)),1)),2))&lt;=MIN(DATOS!$C$70,INT(((AC13-2*AK13)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13" s="59" t="str">
        <f>IF(U13&lt;&gt;"SÍ","",IF(BT13&lt;0,0,IF(MAX(DATOS!$C$71,CEILING(MAX(BT13,0)/INDEX(TABLAS!$D$52:$D$58,MATCH(BU13,TABLAS!$B$52:$B$58,0)),1))*INDEX(TABLAS!$D$52:$D$58,MATCH(BU13,TABLAS!$B$52:$B$58,0))&gt;=4/3*IF(BG13&lt;=0,0,IF((1-2*BG13*1E5/(DATOS!$C$29*AE13*BS13^2*DATOS!$C$21))&lt;0,-1,IF((1-SQRT((1-2*BG13*1E5/(DATOS!$C$29*AE13*BS13^2*DATOS!$C$21))))*DATOS!$C$21*AE13*BS13/DATOS!$C$14&gt;DATOS!$C$99*AE13*BS13,-1,(1-SQRT((1-2*BG13*1E5/(DATOS!$C$29*AE13*BS13^2*DATOS!$C$21))))*DATOS!$C$21*AE13*BS13/DATOS!$C$14)))-0.0001,MAX(DATOS!$C$71,CEILING(MAX(BT13,0)/INDEX(TABLAS!$D$52:$D$58,MATCH(BU13,TABLAS!$B$52:$B$58,0)),1)),MAX(MAX(DATOS!$C$71,CEILING(MAX(BT13,0)/INDEX(TABLAS!$D$52:$D$58,MATCH(BU13,TABLAS!$B$52:$B$58,0)),1)),2))))</f>
        <v/>
      </c>
      <c r="BW13" s="58" t="str">
        <f>IF(U13&lt;&gt;"SÍ","",((DATOS!$C$82-AL13-2*DATOS!$C$94-INDEX(TABLAS!$C$52:$C$58,MATCH(BU13,TABLAS!$B$52:$B$58,0))/2)-IF(AND((DATOS!$C$82-AL13-2*DATOS!$C$94-INDEX(TABLAS!$C$52:$C$58,MATCH(BU13,TABLAS!$B$52:$B$58,0))/2)&lt;=20,DATOS!$C$62&lt;&gt;"SÍ"),2,0)))</f>
        <v/>
      </c>
      <c r="BX13" s="56" t="str">
        <f>IF(U13&lt;&gt;"SÍ","",IF(BV13=0,0,DATOS!$C$29*BV13*INDEX(TABLAS!$D$52:$D$58,MATCH(BU13,TABLAS!$B$52:$B$58,0))*DATOS!$C$14*(BW13-BV13*INDEX(TABLAS!$D$52:$D$58,MATCH(BU13,TABLAS!$B$52:$B$58,0))*DATOS!$C$14/(DATOS!$C$21*AE13)/2)/1E5))</f>
        <v/>
      </c>
      <c r="BY13" s="65" t="str">
        <f>IF(U13&lt;&gt;"SÍ","",IF(BT13&lt;0,9.99,IF(BX13&gt;0,BG13/BX13,0)))</f>
        <v/>
      </c>
      <c r="BZ13" s="66" t="str">
        <f>IF(U13&lt;&gt;"SÍ","",IF(BV13=0,"—",0.003*(BW13-(BV13*INDEX(TABLAS!$D$52:$D$58,MATCH(BU13,TABLAS!$B$52:$B$58,0))*DATOS!$C$14/(DATOS!$C$21*AE13)/DATOS!$C$22))/(BV13*INDEX(TABLAS!$D$52:$D$58,MATCH(BU13,TABLAS!$B$52:$B$58,0))*DATOS!$C$14/(DATOS!$C$21*AE13)/DATOS!$C$22)))</f>
        <v/>
      </c>
      <c r="CA13" s="58" t="str">
        <f>IF(U13&lt;&gt;"SÍ","",(DATOS!$C$82-AJ13-INDEX(TABLAS!$C$52:$C$58,MATCH(DATOS!$C$68,TABLAS!$B$52:$B$58,0))-INDEX(TABLAS!$C$52:$C$58,MATCH(DATOS!$C$68,TABLAS!$B$52:$B$58,0))/2))</f>
        <v/>
      </c>
      <c r="CB13" s="58" t="str">
        <f>IF(U13&lt;&gt;"SÍ","",IF(IF(BH13&lt;=0,0,IF((1-2*BH13*1E5/(DATOS!$C$29*AH13*CA13^2*DATOS!$C$21))&lt;0,-1,IF((1-SQRT((1-2*BH13*1E5/(DATOS!$C$29*AH13*CA13^2*DATOS!$C$21))))*DATOS!$C$21*AH13*CA13/DATOS!$C$14&gt;DATOS!$C$99*AH13*CA13,-1,(1-SQRT((1-2*BH13*1E5/(DATOS!$C$29*AH13*CA13^2*DATOS!$C$21))))*DATOS!$C$21*AH13*CA13/DATOS!$C$14)))&lt;0,-1,MAX(IF(BH13&lt;=0,0,IF((1-2*BH13*1E5/(DATOS!$C$29*AH13*CA13^2*DATOS!$C$21))&lt;0,-1,IF((1-SQRT((1-2*BH13*1E5/(DATOS!$C$29*AH13*CA13^2*DATOS!$C$21))))*DATOS!$C$21*AH13*CA13/DATOS!$C$14&gt;DATOS!$C$99*AH13*CA13,-1,(1-SQRT((1-2*BH13*1E5/(DATOS!$C$29*AH13*CA13^2*DATOS!$C$21))))*DATOS!$C$21*AH13*CA13/DATOS!$C$14))),MIN(DATOS!$C$100*DATOS!$C$80*CA13,4/3*IF(BH13&lt;=0,0,IF((1-2*BH13*1E5/(DATOS!$C$29*AH13*CA13^2*DATOS!$C$21))&lt;0,-1,IF((1-SQRT((1-2*BH13*1E5/(DATOS!$C$29*AH13*CA13^2*DATOS!$C$21))))*DATOS!$C$21*AH13*CA13/DATOS!$C$14&gt;DATOS!$C$99*AH13*CA13,-1,(1-SQRT((1-2*BH13*1E5/(DATOS!$C$29*AH13*CA13^2*DATOS!$C$21))))*DATOS!$C$21*AH13*CA13/DATOS!$C$14)))))))</f>
        <v/>
      </c>
      <c r="CC13" s="64" t="str">
        <f>IF(U13&lt;&gt;"SÍ","",IF(AND(CB13&gt;=0,IF(MAX(DATOS!$C$71,CEILING(CB13/INDEX(TABLAS!$D$52:$D$58,MIN(MATCH(DATOS!$C$68,TABLAS!$B$52:$B$58,0)+0,7)),1))*INDEX(TABLAS!$D$52:$D$58,MIN(MATCH(DATOS!$C$68,TABLAS!$B$52:$B$58,0)+0,7))&gt;=4/3*IF(BH13&lt;=0,0,IF((1-2*BH13*1E5/(DATOS!$C$29*AH13*CA13^2*DATOS!$C$21))&lt;0,-1,IF((1-SQRT((1-2*BH13*1E5/(DATOS!$C$29*AH13*CA13^2*DATOS!$C$21))))*DATOS!$C$21*AH13*CA13/DATOS!$C$14&gt;DATOS!$C$99*AH13*CA13,-1,(1-SQRT((1-2*BH13*1E5/(DATOS!$C$29*AH13*CA13^2*DATOS!$C$21))))*DATOS!$C$21*AH13*CA13/DATOS!$C$14)))-0.0001,MAX(DATOS!$C$71,CEILING(CB13/INDEX(TABLAS!$D$52:$D$58,MIN(MATCH(DATOS!$C$68,TABLAS!$B$52:$B$58,0)+0,7)),1)),MAX(MAX(DATOS!$C$71,CEILING(CB13/INDEX(TABLAS!$D$52:$D$58,MIN(MATCH(DATOS!$C$68,TABLAS!$B$52:$B$58,0)+0,7)),1)),2))&lt;=MIN(DATOS!$C$70,INT(((DATOS!$C$80-2*AJ13)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13&gt;=0,IF(MAX(DATOS!$C$71,CEILING(CB13/INDEX(TABLAS!$D$52:$D$58,MIN(MATCH(DATOS!$C$68,TABLAS!$B$52:$B$58,0)+1,7)),1))*INDEX(TABLAS!$D$52:$D$58,MIN(MATCH(DATOS!$C$68,TABLAS!$B$52:$B$58,0)+1,7))&gt;=4/3*IF(BH13&lt;=0,0,IF((1-2*BH13*1E5/(DATOS!$C$29*AH13*CA13^2*DATOS!$C$21))&lt;0,-1,IF((1-SQRT((1-2*BH13*1E5/(DATOS!$C$29*AH13*CA13^2*DATOS!$C$21))))*DATOS!$C$21*AH13*CA13/DATOS!$C$14&gt;DATOS!$C$99*AH13*CA13,-1,(1-SQRT((1-2*BH13*1E5/(DATOS!$C$29*AH13*CA13^2*DATOS!$C$21))))*DATOS!$C$21*AH13*CA13/DATOS!$C$14)))-0.0001,MAX(DATOS!$C$71,CEILING(CB13/INDEX(TABLAS!$D$52:$D$58,MIN(MATCH(DATOS!$C$68,TABLAS!$B$52:$B$58,0)+1,7)),1)),MAX(MAX(DATOS!$C$71,CEILING(CB13/INDEX(TABLAS!$D$52:$D$58,MIN(MATCH(DATOS!$C$68,TABLAS!$B$52:$B$58,0)+1,7)),1)),2))&lt;=MIN(DATOS!$C$70,INT(((DATOS!$C$80-2*AJ13)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13&gt;=0,IF(MAX(DATOS!$C$71,CEILING(CB13/INDEX(TABLAS!$D$52:$D$58,MIN(MATCH(DATOS!$C$68,TABLAS!$B$52:$B$58,0)+2,7)),1))*INDEX(TABLAS!$D$52:$D$58,MIN(MATCH(DATOS!$C$68,TABLAS!$B$52:$B$58,0)+2,7))&gt;=4/3*IF(BH13&lt;=0,0,IF((1-2*BH13*1E5/(DATOS!$C$29*AH13*CA13^2*DATOS!$C$21))&lt;0,-1,IF((1-SQRT((1-2*BH13*1E5/(DATOS!$C$29*AH13*CA13^2*DATOS!$C$21))))*DATOS!$C$21*AH13*CA13/DATOS!$C$14&gt;DATOS!$C$99*AH13*CA13,-1,(1-SQRT((1-2*BH13*1E5/(DATOS!$C$29*AH13*CA13^2*DATOS!$C$21))))*DATOS!$C$21*AH13*CA13/DATOS!$C$14)))-0.0001,MAX(DATOS!$C$71,CEILING(CB13/INDEX(TABLAS!$D$52:$D$58,MIN(MATCH(DATOS!$C$68,TABLAS!$B$52:$B$58,0)+2,7)),1)),MAX(MAX(DATOS!$C$71,CEILING(CB13/INDEX(TABLAS!$D$52:$D$58,MIN(MATCH(DATOS!$C$68,TABLAS!$B$52:$B$58,0)+2,7)),1)),2))&lt;=MIN(DATOS!$C$70,INT(((DATOS!$C$80-2*AJ13)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13&gt;=0,IF(MAX(DATOS!$C$71,CEILING(CB13/INDEX(TABLAS!$D$52:$D$58,MIN(MATCH(DATOS!$C$68,TABLAS!$B$52:$B$58,0)+3,7)),1))*INDEX(TABLAS!$D$52:$D$58,MIN(MATCH(DATOS!$C$68,TABLAS!$B$52:$B$58,0)+3,7))&gt;=4/3*IF(BH13&lt;=0,0,IF((1-2*BH13*1E5/(DATOS!$C$29*AH13*CA13^2*DATOS!$C$21))&lt;0,-1,IF((1-SQRT((1-2*BH13*1E5/(DATOS!$C$29*AH13*CA13^2*DATOS!$C$21))))*DATOS!$C$21*AH13*CA13/DATOS!$C$14&gt;DATOS!$C$99*AH13*CA13,-1,(1-SQRT((1-2*BH13*1E5/(DATOS!$C$29*AH13*CA13^2*DATOS!$C$21))))*DATOS!$C$21*AH13*CA13/DATOS!$C$14)))-0.0001,MAX(DATOS!$C$71,CEILING(CB13/INDEX(TABLAS!$D$52:$D$58,MIN(MATCH(DATOS!$C$68,TABLAS!$B$52:$B$58,0)+3,7)),1)),MAX(MAX(DATOS!$C$71,CEILING(CB13/INDEX(TABLAS!$D$52:$D$58,MIN(MATCH(DATOS!$C$68,TABLAS!$B$52:$B$58,0)+3,7)),1)),2))&lt;=MIN(DATOS!$C$70,INT(((DATOS!$C$80-2*AJ13)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13&gt;=0,IF(MAX(DATOS!$C$71,CEILING(CB13/INDEX(TABLAS!$D$52:$D$58,MIN(MATCH(DATOS!$C$68,TABLAS!$B$52:$B$58,0)+4,7)),1))*INDEX(TABLAS!$D$52:$D$58,MIN(MATCH(DATOS!$C$68,TABLAS!$B$52:$B$58,0)+4,7))&gt;=4/3*IF(BH13&lt;=0,0,IF((1-2*BH13*1E5/(DATOS!$C$29*AH13*CA13^2*DATOS!$C$21))&lt;0,-1,IF((1-SQRT((1-2*BH13*1E5/(DATOS!$C$29*AH13*CA13^2*DATOS!$C$21))))*DATOS!$C$21*AH13*CA13/DATOS!$C$14&gt;DATOS!$C$99*AH13*CA13,-1,(1-SQRT((1-2*BH13*1E5/(DATOS!$C$29*AH13*CA13^2*DATOS!$C$21))))*DATOS!$C$21*AH13*CA13/DATOS!$C$14)))-0.0001,MAX(DATOS!$C$71,CEILING(CB13/INDEX(TABLAS!$D$52:$D$58,MIN(MATCH(DATOS!$C$68,TABLAS!$B$52:$B$58,0)+4,7)),1)),MAX(MAX(DATOS!$C$71,CEILING(CB13/INDEX(TABLAS!$D$52:$D$58,MIN(MATCH(DATOS!$C$68,TABLAS!$B$52:$B$58,0)+4,7)),1)),2))&lt;=MIN(DATOS!$C$70,INT(((DATOS!$C$80-2*AJ13)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13" s="59" t="str">
        <f>IF(U13&lt;&gt;"SÍ","",IF(CB13&lt;0,0,IF(MAX(DATOS!$C$71,CEILING(MAX(CB13,0)/INDEX(TABLAS!$D$52:$D$58,MATCH(CC13,TABLAS!$B$52:$B$58,0)),1))*INDEX(TABLAS!$D$52:$D$58,MATCH(CC13,TABLAS!$B$52:$B$58,0))&gt;=4/3*IF(BH13&lt;=0,0,IF((1-2*BH13*1E5/(DATOS!$C$29*AH13*CA13^2*DATOS!$C$21))&lt;0,-1,IF((1-SQRT((1-2*BH13*1E5/(DATOS!$C$29*AH13*CA13^2*DATOS!$C$21))))*DATOS!$C$21*AH13*CA13/DATOS!$C$14&gt;DATOS!$C$99*AH13*CA13,-1,(1-SQRT((1-2*BH13*1E5/(DATOS!$C$29*AH13*CA13^2*DATOS!$C$21))))*DATOS!$C$21*AH13*CA13/DATOS!$C$14)))-0.0001,MAX(DATOS!$C$71,CEILING(MAX(CB13,0)/INDEX(TABLAS!$D$52:$D$58,MATCH(CC13,TABLAS!$B$52:$B$58,0)),1)),MAX(MAX(DATOS!$C$71,CEILING(MAX(CB13,0)/INDEX(TABLAS!$D$52:$D$58,MATCH(CC13,TABLAS!$B$52:$B$58,0)),1)),2))))</f>
        <v/>
      </c>
      <c r="CE13" s="58" t="str">
        <f>IF(U13&lt;&gt;"SÍ","",DATOS!$C$82-AJ13-INDEX(TABLAS!$C$52:$C$58,MATCH(BM13,TABLAS!$B$52:$B$58,0))-INDEX(TABLAS!$C$52:$C$58,MATCH(CC13,TABLAS!$B$52:$B$58,0))/2)</f>
        <v/>
      </c>
      <c r="CF13" s="56" t="str">
        <f>IF(U13&lt;&gt;"SÍ","",IF(CD13=0,0,DATOS!$C$29*CD13*INDEX(TABLAS!$D$52:$D$58,MATCH(CC13,TABLAS!$B$52:$B$58,0))*DATOS!$C$14*(CE13-CD13*INDEX(TABLAS!$D$52:$D$58,MATCH(CC13,TABLAS!$B$52:$B$58,0))*DATOS!$C$14/(DATOS!$C$21*AH13)/2)/1E5))</f>
        <v/>
      </c>
      <c r="CG13" s="65" t="str">
        <f>IF(U13&lt;&gt;"SÍ","",IF(CB13&lt;0,9.99,IF(CF13&gt;0,BH13/CF13,0)))</f>
        <v/>
      </c>
      <c r="CH13" s="66" t="str">
        <f>IF(U13&lt;&gt;"SÍ","",IF(CD13=0,"—",0.003*(CE13-(CD13*INDEX(TABLAS!$D$52:$D$58,MATCH(CC13,TABLAS!$B$52:$B$58,0))*DATOS!$C$14/(DATOS!$C$21*AH13)/DATOS!$C$22))/(CD13*INDEX(TABLAS!$D$52:$D$58,MATCH(CC13,TABLAS!$B$52:$B$58,0))*DATOS!$C$14/(DATOS!$C$21*AH13)/DATOS!$C$22)))</f>
        <v/>
      </c>
      <c r="CI13" s="58" t="str">
        <f>IF(U13&lt;&gt;"SÍ","",((DATOS!$C$82-AL13-2*DATOS!$C$94-INDEX(TABLAS!$C$52:$C$58,MATCH(DATOS!$C$69,TABLAS!$B$52:$B$58,0))-INDEX(TABLAS!$C$52:$C$58,MATCH(DATOS!$C$69,TABLAS!$B$52:$B$58,0))/2)-IF(AND((DATOS!$C$82-AL13-2*DATOS!$C$94-INDEX(TABLAS!$C$52:$C$58,MATCH(DATOS!$C$69,TABLAS!$B$52:$B$58,0))-INDEX(TABLAS!$C$52:$C$58,MATCH(DATOS!$C$69,TABLAS!$B$52:$B$58,0))/2)&lt;=20,DATOS!$C$62&lt;&gt;"SÍ"),2,0)))</f>
        <v/>
      </c>
      <c r="CJ13" s="58" t="str">
        <f>IF(U13&lt;&gt;"SÍ","",IF(IF(BI13&lt;=0,0,IF((1-2*BI13*1E5/(DATOS!$C$29*AF13*CI13^2*DATOS!$C$21))&lt;0,-1,IF((1-SQRT((1-2*BI13*1E5/(DATOS!$C$29*AF13*CI13^2*DATOS!$C$21))))*DATOS!$C$21*AF13*CI13/DATOS!$C$14&gt;DATOS!$C$99*AF13*CI13,-1,(1-SQRT((1-2*BI13*1E5/(DATOS!$C$29*AF13*CI13^2*DATOS!$C$21))))*DATOS!$C$21*AF13*CI13/DATOS!$C$14)))&lt;0,-1,MAX(IF(BI13&lt;=0,0,IF((1-2*BI13*1E5/(DATOS!$C$29*AF13*CI13^2*DATOS!$C$21))&lt;0,-1,IF((1-SQRT((1-2*BI13*1E5/(DATOS!$C$29*AF13*CI13^2*DATOS!$C$21))))*DATOS!$C$21*AF13*CI13/DATOS!$C$14&gt;DATOS!$C$99*AF13*CI13,-1,(1-SQRT((1-2*BI13*1E5/(DATOS!$C$29*AF13*CI13^2*DATOS!$C$21))))*DATOS!$C$21*AF13*CI13/DATOS!$C$14))),MIN(DATOS!$C$100*DATOS!$C$80*CI13,4/3*IF(BI13&lt;=0,0,IF((1-2*BI13*1E5/(DATOS!$C$29*AF13*CI13^2*DATOS!$C$21))&lt;0,-1,IF((1-SQRT((1-2*BI13*1E5/(DATOS!$C$29*AF13*CI13^2*DATOS!$C$21))))*DATOS!$C$21*AF13*CI13/DATOS!$C$14&gt;DATOS!$C$99*AF13*CI13,-1,(1-SQRT((1-2*BI13*1E5/(DATOS!$C$29*AF13*CI13^2*DATOS!$C$21))))*DATOS!$C$21*AF13*CI13/DATOS!$C$14)))))))</f>
        <v/>
      </c>
      <c r="CK13" s="64" t="str">
        <f>IF(U13&lt;&gt;"SÍ","",IF(AND(CJ13&gt;=0,IF(MAX(DATOS!$C$71,CEILING(CJ13/INDEX(TABLAS!$D$52:$D$58,MIN(MATCH(DATOS!$C$69,TABLAS!$B$52:$B$58,0)+0,7)),1))*INDEX(TABLAS!$D$52:$D$58,MIN(MATCH(DATOS!$C$69,TABLAS!$B$52:$B$58,0)+0,7))&gt;=4/3*IF(BI13&lt;=0,0,IF((1-2*BI13*1E5/(DATOS!$C$29*AF13*CI13^2*DATOS!$C$21))&lt;0,-1,IF((1-SQRT((1-2*BI13*1E5/(DATOS!$C$29*AF13*CI13^2*DATOS!$C$21))))*DATOS!$C$21*AF13*CI13/DATOS!$C$14&gt;DATOS!$C$99*AF13*CI13,-1,(1-SQRT((1-2*BI13*1E5/(DATOS!$C$29*AF13*CI13^2*DATOS!$C$21))))*DATOS!$C$21*AF13*CI13/DATOS!$C$14)))-0.0001,MAX(DATOS!$C$71,CEILING(CJ13/INDEX(TABLAS!$D$52:$D$58,MIN(MATCH(DATOS!$C$69,TABLAS!$B$52:$B$58,0)+0,7)),1)),MAX(MAX(DATOS!$C$71,CEILING(CJ13/INDEX(TABLAS!$D$52:$D$58,MIN(MATCH(DATOS!$C$69,TABLAS!$B$52:$B$58,0)+0,7)),1)),2))&lt;=MIN(DATOS!$C$70,INT(((DATOS!$C$80-2*AK13)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13&gt;=0,IF(MAX(DATOS!$C$71,CEILING(CJ13/INDEX(TABLAS!$D$52:$D$58,MIN(MATCH(DATOS!$C$69,TABLAS!$B$52:$B$58,0)+1,7)),1))*INDEX(TABLAS!$D$52:$D$58,MIN(MATCH(DATOS!$C$69,TABLAS!$B$52:$B$58,0)+1,7))&gt;=4/3*IF(BI13&lt;=0,0,IF((1-2*BI13*1E5/(DATOS!$C$29*AF13*CI13^2*DATOS!$C$21))&lt;0,-1,IF((1-SQRT((1-2*BI13*1E5/(DATOS!$C$29*AF13*CI13^2*DATOS!$C$21))))*DATOS!$C$21*AF13*CI13/DATOS!$C$14&gt;DATOS!$C$99*AF13*CI13,-1,(1-SQRT((1-2*BI13*1E5/(DATOS!$C$29*AF13*CI13^2*DATOS!$C$21))))*DATOS!$C$21*AF13*CI13/DATOS!$C$14)))-0.0001,MAX(DATOS!$C$71,CEILING(CJ13/INDEX(TABLAS!$D$52:$D$58,MIN(MATCH(DATOS!$C$69,TABLAS!$B$52:$B$58,0)+1,7)),1)),MAX(MAX(DATOS!$C$71,CEILING(CJ13/INDEX(TABLAS!$D$52:$D$58,MIN(MATCH(DATOS!$C$69,TABLAS!$B$52:$B$58,0)+1,7)),1)),2))&lt;=MIN(DATOS!$C$70,INT(((DATOS!$C$80-2*AK13)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13&gt;=0,IF(MAX(DATOS!$C$71,CEILING(CJ13/INDEX(TABLAS!$D$52:$D$58,MIN(MATCH(DATOS!$C$69,TABLAS!$B$52:$B$58,0)+2,7)),1))*INDEX(TABLAS!$D$52:$D$58,MIN(MATCH(DATOS!$C$69,TABLAS!$B$52:$B$58,0)+2,7))&gt;=4/3*IF(BI13&lt;=0,0,IF((1-2*BI13*1E5/(DATOS!$C$29*AF13*CI13^2*DATOS!$C$21))&lt;0,-1,IF((1-SQRT((1-2*BI13*1E5/(DATOS!$C$29*AF13*CI13^2*DATOS!$C$21))))*DATOS!$C$21*AF13*CI13/DATOS!$C$14&gt;DATOS!$C$99*AF13*CI13,-1,(1-SQRT((1-2*BI13*1E5/(DATOS!$C$29*AF13*CI13^2*DATOS!$C$21))))*DATOS!$C$21*AF13*CI13/DATOS!$C$14)))-0.0001,MAX(DATOS!$C$71,CEILING(CJ13/INDEX(TABLAS!$D$52:$D$58,MIN(MATCH(DATOS!$C$69,TABLAS!$B$52:$B$58,0)+2,7)),1)),MAX(MAX(DATOS!$C$71,CEILING(CJ13/INDEX(TABLAS!$D$52:$D$58,MIN(MATCH(DATOS!$C$69,TABLAS!$B$52:$B$58,0)+2,7)),1)),2))&lt;=MIN(DATOS!$C$70,INT(((DATOS!$C$80-2*AK13)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13&gt;=0,IF(MAX(DATOS!$C$71,CEILING(CJ13/INDEX(TABLAS!$D$52:$D$58,MIN(MATCH(DATOS!$C$69,TABLAS!$B$52:$B$58,0)+3,7)),1))*INDEX(TABLAS!$D$52:$D$58,MIN(MATCH(DATOS!$C$69,TABLAS!$B$52:$B$58,0)+3,7))&gt;=4/3*IF(BI13&lt;=0,0,IF((1-2*BI13*1E5/(DATOS!$C$29*AF13*CI13^2*DATOS!$C$21))&lt;0,-1,IF((1-SQRT((1-2*BI13*1E5/(DATOS!$C$29*AF13*CI13^2*DATOS!$C$21))))*DATOS!$C$21*AF13*CI13/DATOS!$C$14&gt;DATOS!$C$99*AF13*CI13,-1,(1-SQRT((1-2*BI13*1E5/(DATOS!$C$29*AF13*CI13^2*DATOS!$C$21))))*DATOS!$C$21*AF13*CI13/DATOS!$C$14)))-0.0001,MAX(DATOS!$C$71,CEILING(CJ13/INDEX(TABLAS!$D$52:$D$58,MIN(MATCH(DATOS!$C$69,TABLAS!$B$52:$B$58,0)+3,7)),1)),MAX(MAX(DATOS!$C$71,CEILING(CJ13/INDEX(TABLAS!$D$52:$D$58,MIN(MATCH(DATOS!$C$69,TABLAS!$B$52:$B$58,0)+3,7)),1)),2))&lt;=MIN(DATOS!$C$70,INT(((DATOS!$C$80-2*AK13)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13&gt;=0,IF(MAX(DATOS!$C$71,CEILING(CJ13/INDEX(TABLAS!$D$52:$D$58,MIN(MATCH(DATOS!$C$69,TABLAS!$B$52:$B$58,0)+4,7)),1))*INDEX(TABLAS!$D$52:$D$58,MIN(MATCH(DATOS!$C$69,TABLAS!$B$52:$B$58,0)+4,7))&gt;=4/3*IF(BI13&lt;=0,0,IF((1-2*BI13*1E5/(DATOS!$C$29*AF13*CI13^2*DATOS!$C$21))&lt;0,-1,IF((1-SQRT((1-2*BI13*1E5/(DATOS!$C$29*AF13*CI13^2*DATOS!$C$21))))*DATOS!$C$21*AF13*CI13/DATOS!$C$14&gt;DATOS!$C$99*AF13*CI13,-1,(1-SQRT((1-2*BI13*1E5/(DATOS!$C$29*AF13*CI13^2*DATOS!$C$21))))*DATOS!$C$21*AF13*CI13/DATOS!$C$14)))-0.0001,MAX(DATOS!$C$71,CEILING(CJ13/INDEX(TABLAS!$D$52:$D$58,MIN(MATCH(DATOS!$C$69,TABLAS!$B$52:$B$58,0)+4,7)),1)),MAX(MAX(DATOS!$C$71,CEILING(CJ13/INDEX(TABLAS!$D$52:$D$58,MIN(MATCH(DATOS!$C$69,TABLAS!$B$52:$B$58,0)+4,7)),1)),2))&lt;=MIN(DATOS!$C$70,INT(((DATOS!$C$80-2*AK13)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13" s="59" t="str">
        <f>IF(U13&lt;&gt;"SÍ","",IF(CJ13&lt;0,0,IF(MAX(DATOS!$C$71,CEILING(MAX(CJ13,0)/INDEX(TABLAS!$D$52:$D$58,MATCH(CK13,TABLAS!$B$52:$B$58,0)),1))*INDEX(TABLAS!$D$52:$D$58,MATCH(CK13,TABLAS!$B$52:$B$58,0))&gt;=4/3*IF(BI13&lt;=0,0,IF((1-2*BI13*1E5/(DATOS!$C$29*AF13*CI13^2*DATOS!$C$21))&lt;0,-1,IF((1-SQRT((1-2*BI13*1E5/(DATOS!$C$29*AF13*CI13^2*DATOS!$C$21))))*DATOS!$C$21*AF13*CI13/DATOS!$C$14&gt;DATOS!$C$99*AF13*CI13,-1,(1-SQRT((1-2*BI13*1E5/(DATOS!$C$29*AF13*CI13^2*DATOS!$C$21))))*DATOS!$C$21*AF13*CI13/DATOS!$C$14)))-0.0001,MAX(DATOS!$C$71,CEILING(MAX(CJ13,0)/INDEX(TABLAS!$D$52:$D$58,MATCH(CK13,TABLAS!$B$52:$B$58,0)),1)),MAX(MAX(DATOS!$C$71,CEILING(MAX(CJ13,0)/INDEX(TABLAS!$D$52:$D$58,MATCH(CK13,TABLAS!$B$52:$B$58,0)),1)),2))))</f>
        <v/>
      </c>
      <c r="CM13" s="58" t="str">
        <f>IF(U13&lt;&gt;"SÍ","",((DATOS!$C$82-AL13-2*DATOS!$C$94-INDEX(TABLAS!$C$52:$C$58,MATCH(BU13,TABLAS!$B$52:$B$58,0))-INDEX(TABLAS!$C$52:$C$58,MATCH(CK13,TABLAS!$B$52:$B$58,0))/2)-IF(AND((DATOS!$C$82-AL13-2*DATOS!$C$94-INDEX(TABLAS!$C$52:$C$58,MATCH(BU13,TABLAS!$B$52:$B$58,0))-INDEX(TABLAS!$C$52:$C$58,MATCH(CK13,TABLAS!$B$52:$B$58,0))/2)&lt;=20,DATOS!$C$62&lt;&gt;"SÍ"),2,0)))</f>
        <v/>
      </c>
      <c r="CN13" s="56" t="str">
        <f>IF(U13&lt;&gt;"SÍ","",IF(CL13=0,0,DATOS!$C$29*CL13*INDEX(TABLAS!$D$52:$D$58,MATCH(CK13,TABLAS!$B$52:$B$58,0))*DATOS!$C$14*(CM13-CL13*INDEX(TABLAS!$D$52:$D$58,MATCH(CK13,TABLAS!$B$52:$B$58,0))*DATOS!$C$14/(DATOS!$C$21*AF13)/2)/1E5))</f>
        <v/>
      </c>
      <c r="CO13" s="65" t="str">
        <f>IF(U13&lt;&gt;"SÍ","",IF(CJ13&lt;0,9.99,IF(CN13&gt;0,BI13/CN13,0)))</f>
        <v/>
      </c>
      <c r="CP13" s="66" t="str">
        <f>IF(U13&lt;&gt;"SÍ","",IF(CL13=0,"—",0.003*(CM13-(CL13*INDEX(TABLAS!$D$52:$D$58,MATCH(CK13,TABLAS!$B$52:$B$58,0))*DATOS!$C$14/(DATOS!$C$21*AF13)/DATOS!$C$22))/(CL13*INDEX(TABLAS!$D$52:$D$58,MATCH(CK13,TABLAS!$B$52:$B$58,0))*DATOS!$C$14/(DATOS!$C$21*AF13)/DATOS!$C$22)))</f>
        <v/>
      </c>
      <c r="CQ13" s="56" t="str">
        <f>IF(U13&lt;&gt;"SÍ","",IF(C13="PERIMETRAL",MAX(0,(AA13/2-BW13)/100)*(0.95-0.5*Z13)*AQ13*IF(AND(AR13&gt;0,AR13&lt;4),DATOS!$C$33,1)*DATOS!$C$83/100/1000,(AQ13*MAX(0,AA13-BW13)/100+DATOS!$C$26*N(O13))*DATOS!$C$83/100/1000+BE13))</f>
        <v/>
      </c>
      <c r="CR13" s="56" t="str">
        <f>IF(U13&lt;&gt;"SÍ","",DATOS!$C$30*2*MIN(1,SQRT(2/(1+0.04*BW13)))*(BV13*INDEX(TABLAS!$D$52:$D$58,MATCH(BU13,TABLAS!$B$52:$B$58,0))/(AE13*BW13))^(1/3)*SQRT(DATOS!$C$13)*AE13*BW13*IF(AI13="SÍ",DATOS!$C$32,1)/1000)</f>
        <v/>
      </c>
      <c r="CS13" s="59" t="str">
        <f>IF(U13&lt;&gt;"SÍ","",IF(CQ13&lt;=CR13,0,CEILING(MAX(0,IF(C13="VOLADO",(AA13-((CR13-BE13)*1E5/DATOS!$C$83-DATOS!$C$26*N(O13))*100/AQ13),IF(CR13&lt;=0,AA13,AA13/2-CR13/MAX(CQ13,1E-9)*(AA13/2-BW13)))-IF(INT((X13*100-DATOS!$C$84+DATOS!$C$80)/DATOS!$C$83)&gt;0,(X13*100-DATOS!$C$84-(INT((X13*100-DATOS!$C$84+DATOS!$C$80)/DATOS!$C$83)*DATOS!$C$78+(INT((X13*100-DATOS!$C$84+DATOS!$C$80)/DATOS!$C$83)-1)*DATOS!$C$80))/2,X13*100/2))/DATOS!$C$83,1)))</f>
        <v/>
      </c>
      <c r="CT13" s="67" t="str">
        <f>IF(U13&lt;&gt;"SÍ","",IF(CQ13&lt;=CR13,"CUMPLE",IF(CS13&lt;=0,"CUMPLE (basta el macizo de orilla)",IF(CS13*DATOS!$C$83*IF(C13="VOLADO",1,2)&gt;=X13*100-DATOS!$C$84,"NO CUMPLE: no alcanza ni macizando todo","MACIZAR "&amp;CS13&amp;" hilera(s)"))))</f>
        <v/>
      </c>
      <c r="CU13" s="58" t="str">
        <f>IF(U13&lt;&gt;"SÍ","",(DATOS!$C$83*DATOS!$C$81^2/2+AC13*DATOS!$C$79*(DATOS!$C$81+DATOS!$C$79/2))/(DATOS!$C$83*DATOS!$C$81+AC13*DATOS!$C$79))</f>
        <v/>
      </c>
      <c r="CV13" s="68" t="str">
        <f>IF(U13&lt;&gt;"SÍ","",DATOS!$C$83*DATOS!$C$81^3/12+DATOS!$C$83*DATOS!$C$81*(CU13-DATOS!$C$81/2)^2+AC13*DATOS!$C$79^3/12+AC13*DATOS!$C$79*(DATOS!$C$81+DATOS!$C$79/2-CU13)^2)</f>
        <v/>
      </c>
      <c r="CW13" s="58" t="str">
        <f>IF(U13&lt;&gt;"SÍ","",(12*CV13/DATOS!$C$83)^(1/3))</f>
        <v/>
      </c>
      <c r="CX13" s="58" t="str">
        <f>IF(U13&lt;&gt;"SÍ","",IF(C13="PERIMETRAL",IF(ISNUMBER(R13),R13,DATOS!$C$101),0))</f>
        <v/>
      </c>
      <c r="CY13" s="57" t="str">
        <f>IF(U13&lt;&gt;"SÍ","",IF(C13="PERIMETRAL",IF(CX13&gt;2,MAX(9,AB13*(0.8+DATOS!$C$14/14000)/(36+9*(AB13/MAX(AA13,1)))),IF(CX13&gt;0.2,MAX(13,AB13*(0.8+DATOS!$C$14/14000)/(36+5*(AB13/MAX(AA13,1))*(CX13-0.2))),MAX(13,AB13/IF(AR13&gt;0,30,33))))*IF(AND(CX13&gt;0.2,AR13&gt;0,DATOS!$C$102="NO"),1.1,1),X13*100/8))</f>
        <v/>
      </c>
      <c r="CZ13" s="61" t="str">
        <f>IF(U13&lt;&gt;"SÍ","",IF(IF(C13="VOLADO",DATOS!$C$82,CW13)&gt;=CY13,"CUMPLE",IF(C13="VOLADO","NO CUMPLE","CALCULAR FLECHA")))</f>
        <v/>
      </c>
      <c r="DA13" s="55" t="str">
        <f>IF(U13&lt;&gt;"SÍ","",IF(DATOS!$C$81&gt;=IF(IF(C13="VOLADO",X13,Y13)&gt;=6,6,5),"CUMPLE","CAPA ≥ 6 cm"))</f>
        <v/>
      </c>
      <c r="DB13" s="60" t="str">
        <f>IF(U13&lt;&gt;"SÍ","",IF(C13="VOLADO",MIN(CEILING(IF(ISNUMBER(P13),P13,X13)*100,5),CEILING(MAX(IF((0.5*(0.9*DATOS!$C$87*DATOS!$C$83/100/1000)*IF(ISNUMBER(P13),P13,X13)+BG13/IF(ISNUMBER(P13),P13,X13))^2-4*(0.5*(0.9*DATOS!$C$87*DATOS!$C$83/100/1000))*BG13&lt;0,IF(ISNUMBER(P13),P13,X13),MIN(IF(ISNUMBER(P13),P13,X13),((0.5*(0.9*DATOS!$C$87*DATOS!$C$83/100/1000)*IF(ISNUMBER(P13),P13,X13)+BG13/IF(ISNUMBER(P13),P13,X13))-SQRT((0.5*(0.9*DATOS!$C$87*DATOS!$C$83/100/1000)*IF(ISNUMBER(P13),P13,X13)+BG13/IF(ISNUMBER(P13),P13,X13))^2-4*(0.5*(0.9*DATOS!$C$87*DATOS!$C$83/100/1000))*BG13))/(2*(0.5*(0.9*DATOS!$C$87*DATOS!$C$83/100/1000)))))*100+MAX(BW13,12*INDEX(TABLAS!$C$52:$C$58,MATCH(BU13,TABLAS!$B$52:$B$58,0)),IF(ISNUMBER(P13),P13,X13)*100/16),IF(OR(AK13&lt;INDEX(TABLAS!$C$52:$C$58,MATCH(BU13,TABLAS!$B$52:$B$58,0)),AND(BV13&gt;=2,(AC13-2*AK13-BV13*INDEX(TABLAS!$C$52:$C$58,MATCH(BU13,TABLAS!$B$52:$B$58,0)))/MAX(BV13-1,1)&lt;2*INDEX(TABLAS!$C$52:$C$58,MATCH(BU13,TABLAS!$B$52:$B$58,0)))),INDEX(TABLAS!$I$52:$I$58,MATCH(BU13,TABLAS!$B$52:$B$58,0)),INDEX(TABLAS!$F$52:$F$58,MATCH(BU13,TABLAS!$B$52:$B$58,0)))),5)),IF(((4*((BB13*AQ13*X13^2*1E-4*DATOS!$C$83/100/1000)+((MAX(AX13,AZ13)*AQ13*X13^2*1E-4*DATOS!$C$83/100/1000)+(IF(AND(AX13&gt;0,AZ13&gt;0),MIN(AX13,AZ13),MAX(AX13,AZ13))*AQ13*X13^2*1E-4*DATOS!$C$83/100/1000))/2)+BG13-(IF(AND(AX13&gt;0,AZ13&gt;0),MIN(AX13,AZ13),MAX(AX13,AZ13))*AQ13*X13^2*1E-4*DATOS!$C$83/100/1000))^2-16*((BB13*AQ13*X13^2*1E-4*DATOS!$C$83/100/1000)+((MAX(AX13,AZ13)*AQ13*X13^2*1E-4*DATOS!$C$83/100/1000)+(IF(AND(AX13&gt;0,AZ13&gt;0),MIN(AX13,AZ13),MAX(AX13,AZ13))*AQ13*X13^2*1E-4*DATOS!$C$83/100/1000))/2)*BG13)&lt;0,CEILING(AA13,5),CEILING(MAX(AA13*((4*((BB13*AQ13*X13^2*1E-4*DATOS!$C$83/100/1000)+((MAX(AX13,AZ13)*AQ13*X13^2*1E-4*DATOS!$C$83/100/1000)+(IF(AND(AX13&gt;0,AZ13&gt;0),MIN(AX13,AZ13),MAX(AX13,AZ13))*AQ13*X13^2*1E-4*DATOS!$C$83/100/1000))/2)+BG13-(IF(AND(AX13&gt;0,AZ13&gt;0),MIN(AX13,AZ13),MAX(AX13,AZ13))*AQ13*X13^2*1E-4*DATOS!$C$83/100/1000))-SQRT(MAX(0,((4*((BB13*AQ13*X13^2*1E-4*DATOS!$C$83/100/1000)+((MAX(AX13,AZ13)*AQ13*X13^2*1E-4*DATOS!$C$83/100/1000)+(IF(AND(AX13&gt;0,AZ13&gt;0),MIN(AX13,AZ13),MAX(AX13,AZ13))*AQ13*X13^2*1E-4*DATOS!$C$83/100/1000))/2)+BG13-(IF(AND(AX13&gt;0,AZ13&gt;0),MIN(AX13,AZ13),MAX(AX13,AZ13))*AQ13*X13^2*1E-4*DATOS!$C$83/100/1000))^2-16*((BB13*AQ13*X13^2*1E-4*DATOS!$C$83/100/1000)+((MAX(AX13,AZ13)*AQ13*X13^2*1E-4*DATOS!$C$83/100/1000)+(IF(AND(AX13&gt;0,AZ13&gt;0),MIN(AX13,AZ13),MAX(AX13,AZ13))*AQ13*X13^2*1E-4*DATOS!$C$83/100/1000))/2)*BG13))))/(8*MAX(((BB13*AQ13*X13^2*1E-4*DATOS!$C$83/100/1000)+((MAX(AX13,AZ13)*AQ13*X13^2*1E-4*DATOS!$C$83/100/1000)+(IF(AND(AX13&gt;0,AZ13&gt;0),MIN(AX13,AZ13),MAX(AX13,AZ13))*AQ13*X13^2*1E-4*DATOS!$C$83/100/1000))/2),1E-9))+MAX(BW13,12*INDEX(TABLAS!$C$52:$C$58,MATCH(BU13,TABLAS!$B$52:$B$58,0)),AA13/16),IF(OR(AK13&lt;INDEX(TABLAS!$C$52:$C$58,MATCH(BU13,TABLAS!$B$52:$B$58,0)),AND(BV13&gt;=2,(AC13-2*AK13-BV13*INDEX(TABLAS!$C$52:$C$58,MATCH(BU13,TABLAS!$B$52:$B$58,0)))/MAX(BV13-1,1)&lt;2*INDEX(TABLAS!$C$52:$C$58,MATCH(BU13,TABLAS!$B$52:$B$58,0)))),INDEX(TABLAS!$I$52:$I$58,MATCH(BU13,TABLAS!$B$52:$B$58,0)),INDEX(TABLAS!$F$52:$F$58,MATCH(BU13,TABLAS!$B$52:$B$58,0)))),5))))</f>
        <v/>
      </c>
      <c r="DC13" s="60" t="str">
        <f>IF(U13&lt;&gt;"SÍ","",IF(C13="VOLADO",0,IF(((4*((BC13*AQ13*X13^2*1E-4*DATOS!$C$83/100/1000)+((MAX(AY13,BA13)*AQ13*X13^2*1E-4*DATOS!$C$83/100/1000)+(IF(AND(AY13&gt;0,BA13&gt;0),MIN(AY13,BA13),MAX(AY13,BA13))*AQ13*X13^2*1E-4*DATOS!$C$83/100/1000))/2)+BI13-(IF(AND(AY13&gt;0,BA13&gt;0),MIN(AY13,BA13),MAX(AY13,BA13))*AQ13*X13^2*1E-4*DATOS!$C$83/100/1000))^2-16*((BC13*AQ13*X13^2*1E-4*DATOS!$C$83/100/1000)+((MAX(AY13,BA13)*AQ13*X13^2*1E-4*DATOS!$C$83/100/1000)+(IF(AND(AY13&gt;0,BA13&gt;0),MIN(AY13,BA13),MAX(AY13,BA13))*AQ13*X13^2*1E-4*DATOS!$C$83/100/1000))/2)*BI13)&lt;0,CEILING(AB13,5),CEILING(MAX(AB13*((4*((BC13*AQ13*X13^2*1E-4*DATOS!$C$83/100/1000)+((MAX(AY13,BA13)*AQ13*X13^2*1E-4*DATOS!$C$83/100/1000)+(IF(AND(AY13&gt;0,BA13&gt;0),MIN(AY13,BA13),MAX(AY13,BA13))*AQ13*X13^2*1E-4*DATOS!$C$83/100/1000))/2)+BI13-(IF(AND(AY13&gt;0,BA13&gt;0),MIN(AY13,BA13),MAX(AY13,BA13))*AQ13*X13^2*1E-4*DATOS!$C$83/100/1000))-SQRT(MAX(0,((4*((BC13*AQ13*X13^2*1E-4*DATOS!$C$83/100/1000)+((MAX(AY13,BA13)*AQ13*X13^2*1E-4*DATOS!$C$83/100/1000)+(IF(AND(AY13&gt;0,BA13&gt;0),MIN(AY13,BA13),MAX(AY13,BA13))*AQ13*X13^2*1E-4*DATOS!$C$83/100/1000))/2)+BI13-(IF(AND(AY13&gt;0,BA13&gt;0),MIN(AY13,BA13),MAX(AY13,BA13))*AQ13*X13^2*1E-4*DATOS!$C$83/100/1000))^2-16*((BC13*AQ13*X13^2*1E-4*DATOS!$C$83/100/1000)+((MAX(AY13,BA13)*AQ13*X13^2*1E-4*DATOS!$C$83/100/1000)+(IF(AND(AY13&gt;0,BA13&gt;0),MIN(AY13,BA13),MAX(AY13,BA13))*AQ13*X13^2*1E-4*DATOS!$C$83/100/1000))/2)*BI13))))/(8*MAX(((BC13*AQ13*X13^2*1E-4*DATOS!$C$83/100/1000)+((MAX(AY13,BA13)*AQ13*X13^2*1E-4*DATOS!$C$83/100/1000)+(IF(AND(AY13&gt;0,BA13&gt;0),MIN(AY13,BA13),MAX(AY13,BA13))*AQ13*X13^2*1E-4*DATOS!$C$83/100/1000))/2),1E-9))+MAX(CM13,12*INDEX(TABLAS!$C$52:$C$58,MATCH(CK13,TABLAS!$B$52:$B$58,0)),AB13/16),IF(OR(AK13&lt;INDEX(TABLAS!$C$52:$C$58,MATCH(CK13,TABLAS!$B$52:$B$58,0)),AND(CL13&gt;=2,(DATOS!$C$80-2*AK13-CL13*INDEX(TABLAS!$C$52:$C$58,MATCH(CK13,TABLAS!$B$52:$B$58,0)))/MAX(CL13-1,1)&lt;2*INDEX(TABLAS!$C$52:$C$58,MATCH(CK13,TABLAS!$B$52:$B$58,0)))),INDEX(TABLAS!$I$52:$I$58,MATCH(CK13,TABLAS!$B$52:$B$58,0)),INDEX(TABLAS!$F$52:$F$58,MATCH(CK13,TABLAS!$B$52:$B$58,0)))),5))))</f>
        <v/>
      </c>
      <c r="DD13" s="55" t="str">
        <f>IF(U13&lt;&gt;"SÍ","",IF(AND(C13="PERIMETRAL",BV13&gt;=2,AR13-AS13&gt;0,AZ13*AQ13*X13^2*1E-4*DATOS!$C$83/100/1000&gt;DATOS!$C$29*INDEX(TABLAS!$D$52:$D$58,MATCH(BU13,TABLAS!$B$52:$B$58,0))*DATOS!$C$14*(BW13-INDEX(TABLAS!$D$52:$D$58,MATCH(BU13,TABLAS!$B$52:$B$58,0))*DATOS!$C$14/(DATOS!$C$21*AE13)/2)/1E5),"SÍ","NO"))</f>
        <v/>
      </c>
      <c r="DE13" s="55" t="str">
        <f>IF(U13&lt;&gt;"SÍ","",IF(AND(C13="PERIMETRAL",CL13&gt;=2,AS13&gt;0,BA13*AQ13*X13^2*1E-4*DATOS!$C$83/100/1000&gt;DATOS!$C$29*INDEX(TABLAS!$D$52:$D$58,MATCH(CK13,TABLAS!$B$52:$B$58,0))*DATOS!$C$14*(CM13-INDEX(TABLAS!$D$52:$D$58,MATCH(CK13,TABLAS!$B$52:$B$58,0))*DATOS!$C$14/(DATOS!$C$21*AF13)/2)/1E5),"SÍ","NO"))</f>
        <v/>
      </c>
      <c r="DF13" s="63" t="str">
        <f>IF(U13&lt;&gt;"SÍ","",IF(OR(C13="VOLADO",AR13=0),"—",IF(AND(AND(1.25*INDEX(TABLAS!$G$52:$G$58,MATCH(MAX(BM13,CC13),TABLAS!$B$52:$B$58,0))&lt;=(DATOS!$C$72-DATOS!$C$60),(DATOS!$C$72-DATOS!$C$60)&gt;=15,INDEX(TABLAS!$G$52:$G$58,MATCH(MAX(BU13,CK13),TABLAS!$B$52:$B$58,0))&lt;=(DATOS!$C$72-DATOS!$C$60)),8*INDEX(TABLAS!$C$52:$C$58,MATCH(MAX(MAX(BM13,CC13),MAX(BU13,CK13)),TABLAS!$B$52:$B$58,0))&lt;=DATOS!$C$73-2*DATOS!$C$60),"CUMPLE (gancho de 180°)",IF(AND(1.25*INDEX(TABLAS!$G$52:$G$58,MATCH(MAX(BM13,CC13),TABLAS!$B$52:$B$58,0))&lt;=(DATOS!$C$72-DATOS!$C$60),(DATOS!$C$72-DATOS!$C$60)&gt;=15,INDEX(TABLAS!$G$52:$G$58,MATCH(MAX(BU13,CK13),TABLAS!$B$52:$B$58,0))&lt;=(DATOS!$C$72-DATOS!$C$60)),"NO CUMPLE: el gancho de 180° (8·d_b) no cabe en el peralte de la dala de borde","NO CUMPLE: dala de borde ≥ "&amp;TEXT(CEILING(MAX(1.25*INDEX(TABLAS!$G$52:$G$58,MATCH(MAX(BM13,CC13),TABLAS!$B$52:$B$58,0)),15,INDEX(TABLAS!$G$52:$G$58,MATCH(MAX(BU13,CK13),TABLAS!$B$52:$B$58,0)))+DATOS!$C$60,5),"0")&amp;" cm de ancho"&amp;IF(8*INDEX(TABLAS!$C$52:$C$58,MATCH(MAX(MAX(BM13,CC13),MAX(BU13,CK13)),TABLAS!$B$52:$B$58,0))&lt;=DATOS!$C$73-2*DATOS!$C$60,""," y más peralte para el gancho")))))</f>
        <v/>
      </c>
      <c r="DG13" s="59" t="str">
        <f>IF(U13&lt;&gt;"SÍ","",MAX(0,INT((E13*100-DATOS!$C$84+DATOS!$C$83-IF(W13="X",DATOS!$C$78,AD13))/DATOS!$C$83)))</f>
        <v/>
      </c>
      <c r="DH13" s="59" t="str">
        <f>IF(U13&lt;&gt;"SÍ","",MAX(0,INT((F13*100-DATOS!$C$84+DATOS!$C$83-IF(W13="Y",DATOS!$C$78,AD13))/DATOS!$C$83)))</f>
        <v/>
      </c>
      <c r="DI13" s="57" t="str">
        <f>IF(U13&lt;&gt;"SÍ","",IF(DG13&gt;0,(E13*100-DATOS!$C$84-(DG13*IF(W13="X",DATOS!$C$78,AD13)+(DG13-1)*(DATOS!$C$83-IF(W13="X",DATOS!$C$78,AD13))))/2,E13*100/2))</f>
        <v/>
      </c>
      <c r="DJ13" s="57" t="str">
        <f>IF(U13&lt;&gt;"SÍ","",IF(DH13&gt;0,(F13*100-DATOS!$C$84-(DH13*IF(W13="Y",DATOS!$C$78,AD13)+(DH13-1)*(DATOS!$C$83-IF(W13="Y",DATOS!$C$78,AD13))))/2,F13*100/2))</f>
        <v/>
      </c>
      <c r="DK13" s="59" t="str">
        <f>IF(U13&lt;&gt;"SÍ","",IF(NOT(AND(C13="VOLADO",AC13&gt;DATOS!$C$80)),0,IF(INDEX(TABLAS!$C$52:$C$58,MATCH(BU13,TABLAS!$B$52:$B$58,0))&lt;=DATOS!$C$80-2*DATOS!$C$60,1,0)))</f>
        <v/>
      </c>
      <c r="DL13" s="58" t="str">
        <f>IF(U13&lt;&gt;"SÍ","",IF(NOT(AND(C13="VOLADO",AC13&gt;DATOS!$C$80)),0,((DATOS!$C$82-MAX(DATOS!$C$60,(DATOS!$C$81-2*DATOS!$C$94)/2)-2*DATOS!$C$94-INDEX(TABLAS!$C$52:$C$58,MATCH(BU13,TABLAS!$B$52:$B$58,0))/2)-IF(AND((DATOS!$C$82-MAX(DATOS!$C$60,(DATOS!$C$81-2*DATOS!$C$94)/2)-2*DATOS!$C$94-INDEX(TABLAS!$C$52:$C$58,MATCH(BU13,TABLAS!$B$52:$B$58,0))/2)&lt;=20,DATOS!$C$62&lt;&gt;"SÍ"),2,0))))</f>
        <v/>
      </c>
      <c r="DM13" s="56" t="str">
        <f>IF(U13&lt;&gt;"SÍ","",IF(OR(NOT(AND(C13="VOLADO",AC13&gt;DATOS!$C$80)),DK13&lt;1),0,IF(0.003*(DL13-((DK13*INDEX(TABLAS!$D$52:$D$58,MATCH(BU13,TABLAS!$B$52:$B$58,0)))*DATOS!$C$14/(DATOS!$C$21*AF13)/DATOS!$C$22))/((DK13*INDEX(TABLAS!$D$52:$D$58,MATCH(BU13,TABLAS!$B$52:$B$58,0)))*DATOS!$C$14/(DATOS!$C$21*AF13)/DATOS!$C$22)&lt;0.005,0,DATOS!$C$29*(DK13*INDEX(TABLAS!$D$52:$D$58,MATCH(BU13,TABLAS!$B$52:$B$58,0)))*DATOS!$C$14*(DL13-(DK13*INDEX(TABLAS!$D$52:$D$58,MATCH(BU13,TABLAS!$B$52:$B$58,0)))*DATOS!$C$14/(DATOS!$C$21*AF13)/2)/1E5)))</f>
        <v/>
      </c>
      <c r="DN13" s="56" t="str">
        <f>IF(U13&lt;&gt;"SÍ","",IF(OR(NOT(AND(C13="VOLADO",AC13&gt;DATOS!$C$80)),DK13&lt;1),0,DATOS!$C$30*2*MIN(1,SQRT(2/(1+0.04*DL13)))*((DK13*INDEX(TABLAS!$D$52:$D$58,MATCH(BU13,TABLAS!$B$52:$B$58,0)))/(AF13*DL13))^(1/3)*SQRT(DATOS!$C$13)*AF13*DL13/1000))</f>
        <v/>
      </c>
      <c r="DO13" s="56" t="str">
        <f>IF(U13&lt;&gt;"SÍ","",IF(NOT(AND(C13="VOLADO",AC13&gt;DATOS!$C$80)),0,IF((BG13-DM13)&lt;=0,0,IF(DM13&lt;=0,IF(ISNUMBER(P13),P13,X13),IF(((0.9*DATOS!$C$87*DATOS!$C$83/100/1000)*IF(ISNUMBER(P13),P13,X13)/2+BG13/IF(ISNUMBER(P13),P13,X13))^2-4*((0.9*DATOS!$C$87*DATOS!$C$83/100/1000)/2)*(BG13-DM13)&lt;0,IF(ISNUMBER(P13),P13,X13),MIN(IF(ISNUMBER(P13),P13,X13),(((0.9*DATOS!$C$87*DATOS!$C$83/100/1000)*IF(ISNUMBER(P13),P13,X13)/2+BG13/IF(ISNUMBER(P13),P13,X13))-SQRT(((0.9*DATOS!$C$87*DATOS!$C$83/100/1000)*IF(ISNUMBER(P13),P13,X13)/2+BG13/IF(ISNUMBER(P13),P13,X13))^2-4*((0.9*DATOS!$C$87*DATOS!$C$83/100/1000)/2)*(BG13-DM13)))/(2*((0.9*DATOS!$C$87*DATOS!$C$83/100/1000)/2))))))))</f>
        <v/>
      </c>
      <c r="DP13" s="56" t="str">
        <f>IF(U13&lt;&gt;"SÍ","",IF(NOT(AND(C13="VOLADO",AC13&gt;DATOS!$C$80)),0,MIN(IF(ISNUMBER(P13),P13,X13),MAX(0,IF(ISNUMBER(P13),P13,X13)/2+BG13/IF(ISNUMBER(P13),P13,X13)/(AQ13*DATOS!$C$83/100/1000)-DN13/(AQ13*DATOS!$C$83/100/1000)))))</f>
        <v/>
      </c>
      <c r="DQ13" s="56" t="str">
        <f>IF(U13&lt;&gt;"SÍ","",IF(NOT(AND(C13="VOLADO",AC13&gt;DATOS!$C$80)),0,BG13/IF(ISNUMBER(P13),P13,X13)+(AQ13*DATOS!$C$83/100/1000)*MAX(0,IF(ISNUMBER(P13),P13,X13)/2-BW13/100)))</f>
        <v/>
      </c>
      <c r="DR13" s="59" t="str">
        <f>IF(U13&lt;&gt;"SÍ","",IF(NOT(AND(C13="VOLADO",AC13&gt;DATOS!$C$80)),0,CEILING(100*MIN(IF(ISNUMBER(P13),P13,X13),MAX(IF(DO13&gt;0,DO13+IF(BV13&gt;=2,MAX(DL13,12*INDEX(TABLAS!$C$52:$C$58,MATCH(BU13,TABLAS!$B$52:$B$58,0)))/100,0),0),DP13,IF(BV13&gt;=2,INDEX(TABLAS!$F$52:$F$58,MATCH(BU13,TABLAS!$B$52:$B$58,0))/100,0))),5)))</f>
        <v/>
      </c>
      <c r="DS13" s="60" t="str">
        <f>IF(U13&lt;&gt;"SÍ","",IF(NOT(AND(C13="VOLADO",AC13&gt;DATOS!$C$80)),0,IF(DR13&lt;=0,0,CEILING(DR13/DATOS!$C$83,1))))</f>
        <v/>
      </c>
      <c r="DT13" s="61" t="str">
        <f>IF(U13&lt;&gt;"SÍ","",IF(C13&lt;&gt;"VOLADO","—",IF(AC13&lt;=DATOS!$C$80,"— (mismo b_w que el respaldo)",IF(DQ13&gt;CR13,"NO CUMPLE: cortante de la nervadura ancha junto al apoyo ("&amp;TEXT(DQ13,"0.00")&amp;" &gt; "&amp;TEXT(CR13,"0.00")&amp;" t)",IF(DR13&gt;=100*IF(ISNUMBER(P13),P13,X13),"CUMPLE — todas las nervaduras del respaldo ‖ al volado con b_w = "&amp;AC13&amp;" cm","CUMPLE — "&amp;DS13&amp;" hilera(s) del respaldo con nervaduras de b_w = "&amp;AC13&amp;" cm (casetón "&amp;AD13&amp;" cm), hasta "&amp;TEXT(DR13/100,"0.00")&amp;" m del paño")))))</f>
        <v/>
      </c>
      <c r="DU13" s="69" t="str">
        <f>IF(U13&lt;&gt;"SÍ","",IF(BN13=0,"NO ALCANZA",BN13&amp;" No. "&amp;BM13&amp;IF(BN13&gt;1," corridas"," corrida")))</f>
        <v/>
      </c>
      <c r="DV13" s="69" t="str">
        <f>IF(U13&lt;&gt;"SÍ","",IF(BV13=0,"NO ALCANZA",IF(AND(C13="VOLADO",AC13&gt;DATOS!$C$80,BV13&gt;=2),"1 No. "&amp;BU13&amp;" corrida de la orilla al respaldo ("&amp;IF(DB13&gt;=100*IF(ISNUMBER(P13),P13,X13),"hasta su apoyo lejano, con gancho","entra "&amp;TEXT(DB13/100,"0.00")&amp;" m desde el paño")&amp;") + "&amp;(BV13-1)&amp;" bastón No. "&amp;BU13&amp;" hasta "&amp;TEXT(DR13/100,"0.00")&amp;" m del paño (fin de la nervadura ancha)",IF(C13="VOLADO",BV13&amp;" No. "&amp;BU13&amp;" de la orilla al respaldo ("&amp;IF(DB13&gt;=100*IF(ISNUMBER(P13),P13,X13),"hasta su apoyo lejano, con gancho","entran "&amp;TEXT(DB13/100,"0.00")&amp;" m desde el paño")&amp;")","1 No. "&amp;BU13&amp;" corrida"&amp;IF(BV13&gt;1," + "&amp;(BV13-1)&amp;" bastón No. "&amp;BU13&amp;" L = "&amp;TEXT(DB13/100,"0.00")&amp;" m desde el paño","")))))</f>
        <v/>
      </c>
      <c r="DW13" s="69" t="str">
        <f>IF(U13&lt;&gt;"SÍ","",IF(CD13=0,"NO ALCANZA",CD13&amp;" No. "&amp;CC13&amp;IF(CD13&gt;1," corridas"," corrida")))</f>
        <v/>
      </c>
      <c r="DX13" s="69" t="str">
        <f>IF(U13&lt;&gt;"SÍ","",IF(CL13=0,"NO ALCANZA",IF(C13="VOLADO","1 No. "&amp;CK13&amp;" corrida (repartición)","1 No. "&amp;CK13&amp;" corrida"&amp;IF(CL13&gt;1," + "&amp;(CL13-1)&amp;" bastón No. "&amp;CK13&amp;" L = "&amp;TEXT(DC13/100,"0.00")&amp;" m desde el paño",""))))</f>
        <v/>
      </c>
      <c r="DY13" s="67" t="str">
        <f>IF(B13="","",IF(U13&lt;&gt;"SÍ","FALTAN DATOS: tipo, a_x, a_y y destino",IF(L13="NO MONOLÍTICO (caso II)","FUERA DE ALCANCE: caso II no transcrito",IF(AND(C13="VOLADO",V13="?"),"REVISAR: el volado lleva UN solo borde CONTINUO (el empotrado)",IF(AND(MAX(BQ13,BY13,CG13,CO13)&lt;=1,NOT(OR(BN13&gt;MIN(DATOS!$C$70,INT(((AC13-2*AJ13)+MAX(DATOS!$C$67,INDEX(TABLAS!$C$52:$C$58,MATCH(BM13,TABLAS!$B$52:$B$58,0))))/(INDEX(TABLAS!$C$52:$C$58,MATCH(BM13,TABLAS!$B$52:$B$58,0))+MAX(DATOS!$C$67,INDEX(TABLAS!$C$52:$C$58,MATCH(BM13,TABLAS!$B$52:$B$58,0)))))),BV13&gt;MIN(DATOS!$C$70,INT(((AC13-2*AK13)+MAX(DATOS!$C$67,INDEX(TABLAS!$C$52:$C$58,MATCH(BU13,TABLAS!$B$52:$B$58,0))))/(INDEX(TABLAS!$C$52:$C$58,MATCH(BU13,TABLAS!$B$52:$B$58,0))+MAX(DATOS!$C$67,INDEX(TABLAS!$C$52:$C$58,MATCH(BU13,TABLAS!$B$52:$B$58,0)))))),CD13&gt;MIN(DATOS!$C$70,INT(((DATOS!$C$80-2*AJ13)+MAX(DATOS!$C$67,INDEX(TABLAS!$C$52:$C$58,MATCH(CC13,TABLAS!$B$52:$B$58,0))))/(INDEX(TABLAS!$C$52:$C$58,MATCH(CC13,TABLAS!$B$52:$B$58,0))+MAX(DATOS!$C$67,INDEX(TABLAS!$C$52:$C$58,MATCH(CC13,TABLAS!$B$52:$B$58,0)))))),CL13&gt;MIN(DATOS!$C$70,INT(((DATOS!$C$80-2*AK13)+MAX(DATOS!$C$67,INDEX(TABLAS!$C$52:$C$58,MATCH(CK13,TABLAS!$B$52:$B$58,0))))/(INDEX(TABLAS!$C$52:$C$58,MATCH(CK13,TABLAS!$B$52:$B$58,0))+MAX(DATOS!$C$67,INDEX(TABLAS!$C$52:$C$58,MATCH(CK13,TABLAS!$B$52:$B$58,0)))))))),NOT(OR(AND(ISNUMBER(BR13),BR13&lt;0.005),AND(ISNUMBER(BZ13),BZ13&lt;0.005),AND(ISNUMBER(CH13),CH13&lt;0.005),AND(ISNUMBER(CP13),CP13&lt;0.005))),NOT(LEFT(DT13,2)="NO"),CZ13="CUMPLE",DA13="CUMPLE",LEFT(CT13,2)&lt;&gt;"NO"),IF(LEFT(CT13,6)="CUMPLE","CUMPLE","CUMPLE — "&amp;CT13)&amp;IF(LEFT(BJ13,5)="FUERA"," · fuera de 3.4.2.1 c)","")&amp;IF(LEFT(DF13,2)="NO"," · REVISAR anclaje en borde discontinuo","")&amp;IF(DS13&gt;0," · respaldo: "&amp;DS13&amp;" hilera(s) de b_w "&amp;AC13&amp;" cm",""),IF(AND(MAX(BQ13,BY13,CG13,CO13)&lt;=1,NOT(OR(BN13&gt;MIN(DATOS!$C$70,INT(((AC13-2*AJ13)+MAX(DATOS!$C$67,INDEX(TABLAS!$C$52:$C$58,MATCH(BM13,TABLAS!$B$52:$B$58,0))))/(INDEX(TABLAS!$C$52:$C$58,MATCH(BM13,TABLAS!$B$52:$B$58,0))+MAX(DATOS!$C$67,INDEX(TABLAS!$C$52:$C$58,MATCH(BM13,TABLAS!$B$52:$B$58,0)))))),BV13&gt;MIN(DATOS!$C$70,INT(((AC13-2*AK13)+MAX(DATOS!$C$67,INDEX(TABLAS!$C$52:$C$58,MATCH(BU13,TABLAS!$B$52:$B$58,0))))/(INDEX(TABLAS!$C$52:$C$58,MATCH(BU13,TABLAS!$B$52:$B$58,0))+MAX(DATOS!$C$67,INDEX(TABLAS!$C$52:$C$58,MATCH(BU13,TABLAS!$B$52:$B$58,0)))))),CD13&gt;MIN(DATOS!$C$70,INT(((DATOS!$C$80-2*AJ13)+MAX(DATOS!$C$67,INDEX(TABLAS!$C$52:$C$58,MATCH(CC13,TABLAS!$B$52:$B$58,0))))/(INDEX(TABLAS!$C$52:$C$58,MATCH(CC13,TABLAS!$B$52:$B$58,0))+MAX(DATOS!$C$67,INDEX(TABLAS!$C$52:$C$58,MATCH(CC13,TABLAS!$B$52:$B$58,0)))))),CL13&gt;MIN(DATOS!$C$70,INT(((DATOS!$C$80-2*AK13)+MAX(DATOS!$C$67,INDEX(TABLAS!$C$52:$C$58,MATCH(CK13,TABLAS!$B$52:$B$58,0))))/(INDEX(TABLAS!$C$52:$C$58,MATCH(CK13,TABLAS!$B$52:$B$58,0))+MAX(DATOS!$C$67,INDEX(TABLAS!$C$52:$C$58,MATCH(CK13,TABLAS!$B$52:$B$58,0)))))))),NOT(OR(AND(ISNUMBER(BR13),BR13&lt;0.005),AND(ISNUMBER(BZ13),BZ13&lt;0.005),AND(ISNUMBER(CH13),CH13&lt;0.005),AND(ISNUMBER(CP13),CP13&lt;0.005))),NOT(LEFT(DT13,2)="NO"),CZ13="CALCULAR FLECHA",LEFT(CT13,2)&lt;&gt;"NO"),"REVISAR: calcular flecha (h_eq &lt; h mín.)"&amp;IF(LEFT(BJ13,5)="FUERA"," · fuera de 3.4.2.1 c)","")&amp;IF(LEFT(DF13,2)="NO"," · REVISAR anclaje en borde discontinuo","")&amp;IF(DS13&gt;0," · respaldo: "&amp;DS13&amp;" hilera(s) de b_w "&amp;AC13&amp;" cm",""),"NO CUMPLE: "&amp;IF(MAX(BQ13,BY13,CG13,CO13)&gt;1,"flexión ","")&amp;IF(OR(BN13&gt;MIN(DATOS!$C$70,INT(((AC13-2*AJ13)+MAX(DATOS!$C$67,INDEX(TABLAS!$C$52:$C$58,MATCH(BM13,TABLAS!$B$52:$B$58,0))))/(INDEX(TABLAS!$C$52:$C$58,MATCH(BM13,TABLAS!$B$52:$B$58,0))+MAX(DATOS!$C$67,INDEX(TABLAS!$C$52:$C$58,MATCH(BM13,TABLAS!$B$52:$B$58,0)))))),BV13&gt;MIN(DATOS!$C$70,INT(((AC13-2*AK13)+MAX(DATOS!$C$67,INDEX(TABLAS!$C$52:$C$58,MATCH(BU13,TABLAS!$B$52:$B$58,0))))/(INDEX(TABLAS!$C$52:$C$58,MATCH(BU13,TABLAS!$B$52:$B$58,0))+MAX(DATOS!$C$67,INDEX(TABLAS!$C$52:$C$58,MATCH(BU13,TABLAS!$B$52:$B$58,0)))))),CD13&gt;MIN(DATOS!$C$70,INT(((DATOS!$C$80-2*AJ13)+MAX(DATOS!$C$67,INDEX(TABLAS!$C$52:$C$58,MATCH(CC13,TABLAS!$B$52:$B$58,0))))/(INDEX(TABLAS!$C$52:$C$58,MATCH(CC13,TABLAS!$B$52:$B$58,0))+MAX(DATOS!$C$67,INDEX(TABLAS!$C$52:$C$58,MATCH(CC13,TABLAS!$B$52:$B$58,0)))))),CL13&gt;MIN(DATOS!$C$70,INT(((DATOS!$C$80-2*AK13)+MAX(DATOS!$C$67,INDEX(TABLAS!$C$52:$C$58,MATCH(CK13,TABLAS!$B$52:$B$58,0))))/(INDEX(TABLAS!$C$52:$C$58,MATCH(CK13,TABLAS!$B$52:$B$58,0))+MAX(DATOS!$C$67,INDEX(TABLAS!$C$52:$C$58,MATCH(CK13,TABLAS!$B$52:$B$58,0))))))),"no caben ","")&amp;IF(OR(AND(ISNUMBER(BR13),BR13&lt;0.005),AND(ISNUMBER(BZ13),BZ13&lt;0.005),AND(ISNUMBER(CH13),CH13&lt;0.005),AND(ISNUMBER(CP13),CP13&lt;0.005)),"ε_t &lt; 0.005 ","")&amp;IF(LEFT(CT13,2)="NO","cortante ","")&amp;IF(CZ13="NO CUMPLE","peralte ","")&amp;IF(DA13&lt;&gt;"CUMPLE","capa &lt; 6 cm ","")&amp;IF(LEFT(DT13,2)="NO","respaldo del volado","")))))))</f>
        <v/>
      </c>
      <c r="DZ13" s="70" t="str">
        <f>IF(U13&lt;&gt;"SÍ","",IF(LEFT(B13,7)="EJEMPLO","EJEMPLO de la hoja de Casa Rocha: bórralo o sobrescríbelo. ","")&amp;IF(AND(C13="PERIMETRAL",MIN(DG13,DH13)=0),"No cabe un casetón en el claro corto: es un tablero macizo, diséñalo en MACIZAS. ","")&amp;IF(AND(AI13="NO",C13="PERIMETRAL"),"No cumple 6.7.8.1.4 (a_c = "&amp;MAX(DATOS!$C$78,AD13)&amp;" cm &gt; claro corto/6 = "&amp;TEXT(X13*100/6,"0")&amp;" cm): se diseña como losa apoyada en vigas (6.7.8.1.9): r de viga = "&amp;DATOS!$C$60&amp;" cm y V_cR sin ×1.1. Para que cuente como encasetonada: casetón de "&amp;TEXT(FLOOR(MIN(80,X13*100/6),1),"0")&amp;" cm o menor. ","")&amp;IF(C13="VOLADO","Volado de "&amp;TEXT(X13,"0.00")&amp;" m empotrado en el borde "&amp;LOWER(V13)&amp;IF(N(O13)&gt;0,", con "&amp;TEXT(O13,"0.0")&amp;" kg/m en la orilla","")&amp;". Lecho inferior con r_ext. Si la orilla carga pretil u otro elemento frágil, calcula la flecha (13.4). El acero superior entra al respaldo de "&amp;TEXT(IF(ISNUMBER(P13),P13,X13),"0.00")&amp;" m"&amp;IF(ISNUMBER(P13),""," (L_b no capturado: se tomó igual al volado)")&amp;" hasta pasar M = 0 con 0.9·PP sin carga viva; si ahí no se anula, llega al apoyo lejano y se ancla con gancho (NTC-Criterios 3.4.1 c y 5.1.2.2). "&amp;IF(AC13&gt;DATOS!$C$80,"Respaldo: "&amp;DT13&amp;". ",""),"")&amp;IF(LEFT(BJ13,5)="FUERA","El M⁻ del vecino difiere más de 50 % (3.4.2.1 c): distribuye el desequilibrio (3.4.3.1) o confirma con un modelo; se arma con el mayor. ","")&amp;IF(OR(DD13="SÍ",DE13="SÍ"),"El M⁻ del borde discontinuo pide bastón también ahí (con gancho). ","")&amp;IF(LEFT(DF13,2)="NO","Anclaje: "&amp;DF13&amp;" (6.7.8.1.7). ","")&amp;IF(OR(AZ13&gt;0,BA13&gt;0),"Esquinas exteriores sobre muro: refuerzo de esquina arriba y abajo en L_largo/5 (6.7.7.3.1). ",""))</f>
        <v/>
      </c>
    </row>
    <row r="14" ht="33" customHeight="1">
      <c r="A14" s="50">
        <f>IF(B14="",0,1)+A13</f>
        <v>4</v>
      </c>
      <c r="B14" s="29" t="n"/>
      <c r="C14" s="51" t="n"/>
      <c r="D14" s="29" t="n"/>
      <c r="E14" s="52" t="n"/>
      <c r="F14" s="52" t="n"/>
      <c r="G14" s="51" t="n"/>
      <c r="H14" s="51" t="n"/>
      <c r="I14" s="51" t="n"/>
      <c r="J14" s="51" t="n"/>
      <c r="K14" s="51" t="n"/>
      <c r="L14" s="51" t="n"/>
      <c r="M14" s="53" t="n"/>
      <c r="N14" s="53" t="n"/>
      <c r="O14" s="54" t="n"/>
      <c r="P14" s="52" t="n"/>
      <c r="Q14" s="53" t="n"/>
      <c r="R14" s="54" t="n"/>
      <c r="S14" s="52" t="n"/>
      <c r="T14" s="52" t="n"/>
      <c r="U14" s="55" t="str">
        <f>IF(B14="","",IF(AND(OR(C14="PERIMETRAL",C14="VOLADO"),ISNUMBER(E14),ISNUMBER(F14),E14&gt;0,F14&gt;0,OR(ISNUMBER(N14),ISNUMBER(MATCH(D14,DATOS!$B$46:$B$55,0)))),"SÍ","NO"))</f>
        <v/>
      </c>
      <c r="V14" s="55" t="str">
        <f>IF(U14&lt;&gt;"SÍ","",IF(C14&lt;&gt;"VOLADO","—",IF(COUNTIF(G14:J14,"CONTINUO")&lt;&gt;1,"?",IF(G14="CONTINUO","INFERIOR",IF(H14="CONTINUO","SUPERIOR",IF(I14="CONTINUO","IZQUIERDO","DERECHO"))))))</f>
        <v/>
      </c>
      <c r="W14" s="55" t="str">
        <f>IF(U14&lt;&gt;"SÍ","",IF(C14="VOLADO",IF(OR(V14="IZQUIERDO",V14="DERECHO"),"X","Y"),IF(E14&lt;=F14,"X","Y")))</f>
        <v/>
      </c>
      <c r="X14" s="56" t="str">
        <f>IF(U14&lt;&gt;"SÍ","",IF(C14="VOLADO",IF(W14="X",E14,F14),MIN(E14,F14)))</f>
        <v/>
      </c>
      <c r="Y14" s="56" t="str">
        <f>IF(U14&lt;&gt;"SÍ","",IF(C14="VOLADO",IF(W14="X",F14,E14),MAX(E14,F14)))</f>
        <v/>
      </c>
      <c r="Z14" s="56" t="str">
        <f>IF(U14&lt;&gt;"SÍ","",MIN(X14,Y14)/MAX(X14,Y14))</f>
        <v/>
      </c>
      <c r="AA14" s="57" t="str">
        <f>IF(U14&lt;&gt;"SÍ","",MAX(1,X14*100-IF(C14="VOLADO",DATOS!$C$84/2,DATOS!$C$84)))</f>
        <v/>
      </c>
      <c r="AB14" s="57" t="str">
        <f>IF(U14&lt;&gt;"SÍ","",MAX(1,Y14*100-DATOS!$C$84))</f>
        <v/>
      </c>
      <c r="AC14" s="57" t="str">
        <f>IF(U14&lt;&gt;"SÍ","",IF(ISNUMBER(Q14),Q14,DATOS!$C$80))</f>
        <v/>
      </c>
      <c r="AD14" s="57" t="str">
        <f>IF(U14&lt;&gt;"SÍ","",MAX(0,DATOS!$C$83-AC14))</f>
        <v/>
      </c>
      <c r="AE14" s="57" t="str">
        <f>IF(U14&lt;&gt;"SÍ","",IF(OR(DATOS!$C$62="SÍ",AC14&gt;=20),AC14,AC14-2))</f>
        <v/>
      </c>
      <c r="AF14" s="57" t="str">
        <f>IF(U14&lt;&gt;"SÍ","",IF(OR(DATOS!$C$62="SÍ",DATOS!$C$80&gt;=20),DATOS!$C$80,DATOS!$C$80-2))</f>
        <v/>
      </c>
      <c r="AG14" s="57" t="str">
        <f>IF(U14&lt;&gt;"SÍ","",MIN(DATOS!$C$83,AC14+2*MIN(8*DATOS!$C$81,AD14/2,AA14/8)))</f>
        <v/>
      </c>
      <c r="AH14" s="57" t="str">
        <f>IF(U14&lt;&gt;"SÍ","",MIN(DATOS!$C$83,DATOS!$C$80+2*MIN(8*DATOS!$C$81,DATOS!$C$78/2,AB14/8)))</f>
        <v/>
      </c>
      <c r="AI14" s="55" t="str">
        <f>IF(U14&lt;&gt;"SÍ","",IF(AND(C14="PERIMETRAL",X14*100&gt;=6*MAX(DATOS!$C$78,AD14),MAX(DATOS!$C$78,AD14)&lt;=80,MIN(DATOS!$C$80,AC14)&gt;=10,DATOS!$C$82&lt;=3.5*MIN(DATOS!$C$80,AC14),DATOS!$C$81&gt;=MAX(MAX(DATOS!$C$78,AD14)/13,5)),"SÍ","NO"))</f>
        <v/>
      </c>
      <c r="AJ14" s="57" t="str">
        <f>IF(U14&lt;&gt;"SÍ","",IF(C14="VOLADO",DATOS!$C$61,IF(AI14="NO",DATOS!$C$60,DATOS!$C$59)))</f>
        <v/>
      </c>
      <c r="AK14" s="57" t="str">
        <f>IF(U14&lt;&gt;"SÍ","",IF(OR(AND(AM14="SÍ",DATOS!$C$63="SÍ"),AND(C14="VOLADO",DATOS!$C$64="SÍ")),DATOS!$C$61,IF(AI14="NO",DATOS!$C$60,DATOS!$C$59)))</f>
        <v/>
      </c>
      <c r="AL14" s="58" t="str">
        <f>IF(U14&lt;&gt;"SÍ","",MAX(AK14,(DATOS!$C$81-2*DATOS!$C$94)/2))</f>
        <v/>
      </c>
      <c r="AM14" s="55" t="str">
        <f>IF(U14&lt;&gt;"SÍ","",IFERROR(INDEX(DATOS!$D$46:$D$55,MATCH(D14,DATOS!$B$46:$B$55,0)),"NO"))</f>
        <v/>
      </c>
      <c r="AN14" s="59" t="str">
        <f>IF(U14&lt;&gt;"SÍ","",IF(ISNUMBER(N14),N14,IFERROR(INDEX(DATOS!$C$46:$C$55,MATCH(D14,DATOS!$B$46:$B$55,0)),0)))</f>
        <v/>
      </c>
      <c r="AO14" s="59" t="str">
        <f>IF(U14&lt;&gt;"SÍ","",(DATOS!$C$82/100-(AD14*DATOS!$C$78/DATOS!$C$83^2)*DATOS!$C$79/100)*DATOS!$C$16*1000+(AD14*DATOS!$C$78/DATOS!$C$83^2)*DATOS!$C$79/100*DATOS!$C$17*1000+DATOS!$C$37+DATOS!$C$38)</f>
        <v/>
      </c>
      <c r="AP14" s="59" t="str">
        <f>IF(U14&lt;&gt;"SÍ","",AO14+N(M14))</f>
        <v/>
      </c>
      <c r="AQ14" s="60" t="str">
        <f>IF(U14&lt;&gt;"SÍ","",MAX(DATOS!$C$26*AP14+DATOS!$C$27*AN14,IF(AM14="SÍ",DATOS!$C$28*(AP14+DATOS!$C$41),0)))</f>
        <v/>
      </c>
      <c r="AR14" s="59" t="str">
        <f>IF(U14&lt;&gt;"SÍ","",(G14="DISCONTINUO")+(H14="DISCONTINUO")+(I14="DISCONTINUO")+(J14="DISCONTINUO"))</f>
        <v/>
      </c>
      <c r="AS14" s="59" t="str">
        <f>IF(U14&lt;&gt;"SÍ","",IF(W14="X",(G14="DISCONTINUO")+(H14="DISCONTINUO"),(I14="DISCONTINUO")+(J14="DISCONTINUO")))</f>
        <v/>
      </c>
      <c r="AT14" s="55" t="str">
        <f>IF(U14&lt;&gt;"SÍ","",IF(AR14=0,"INTERIOR",IF(AR14=1,IF(AS14=1,"BORDE-CORTO","BORDE-LARGO"),IF(AR14=2,IF(AS14=1,"ESQUINA",IF(AS14=2,"EXTREMO-LARGO","EXTREMO-CORTO")),IF(AR14=3,IF(AS14=2,"EXTREMO-LARGO","EXTREMO-CORTO"),"AISLADO")))))</f>
        <v/>
      </c>
      <c r="AU14" s="61" t="str">
        <f>IF(U14&lt;&gt;"SÍ","",IF(OR(K14="",K14="AUTO"),AT14,K14))</f>
        <v/>
      </c>
      <c r="AV14" s="59" t="str">
        <f>IF(U14&lt;&gt;"SÍ","",MATCH(Z14,TABLAS!$D$5:$J$5,1))</f>
        <v/>
      </c>
      <c r="AW14" s="58" t="str">
        <f>IF(U14&lt;&gt;"SÍ","",IF(AV14&gt;=7,0,(Z14-INDEX(TABLAS!$D$5:$J$5,AV14))/(INDEX(TABLAS!$D$5:$J$5,AV14+1)-INDEX(TABLAS!$D$5:$J$5,AV14))))</f>
        <v/>
      </c>
      <c r="AX14" s="59" t="str">
        <f>IF(U14&lt;&gt;"SÍ","",INDEX(TABLAS!$D$6:$J$47,MATCH(AU14&amp;"|NIC",TABLAS!$B$6:$B$47,0),AV14)+AW14*(INDEX(TABLAS!$D$6:$J$47,MATCH(AU14&amp;"|NIC",TABLAS!$B$6:$B$47,0),MIN(AV14+1,7))-INDEX(TABLAS!$D$6:$J$47,MATCH(AU14&amp;"|NIC",TABLAS!$B$6:$B$47,0),AV14)))</f>
        <v/>
      </c>
      <c r="AY14" s="59" t="str">
        <f>IF(U14&lt;&gt;"SÍ","",INDEX(TABLAS!$D$6:$J$47,MATCH(AU14&amp;"|NIL",TABLAS!$B$6:$B$47,0),AV14)+AW14*(INDEX(TABLAS!$D$6:$J$47,MATCH(AU14&amp;"|NIL",TABLAS!$B$6:$B$47,0),MIN(AV14+1,7))-INDEX(TABLAS!$D$6:$J$47,MATCH(AU14&amp;"|NIL",TABLAS!$B$6:$B$47,0),AV14)))</f>
        <v/>
      </c>
      <c r="AZ14" s="59" t="str">
        <f>IF(U14&lt;&gt;"SÍ","",INDEX(TABLAS!$D$6:$J$47,MATCH(AU14&amp;"|NDC",TABLAS!$B$6:$B$47,0),AV14)+AW14*(INDEX(TABLAS!$D$6:$J$47,MATCH(AU14&amp;"|NDC",TABLAS!$B$6:$B$47,0),MIN(AV14+1,7))-INDEX(TABLAS!$D$6:$J$47,MATCH(AU14&amp;"|NDC",TABLAS!$B$6:$B$47,0),AV14)))</f>
        <v/>
      </c>
      <c r="BA14" s="59" t="str">
        <f>IF(U14&lt;&gt;"SÍ","",INDEX(TABLAS!$D$6:$J$47,MATCH(AU14&amp;"|NDL",TABLAS!$B$6:$B$47,0),AV14)+AW14*(INDEX(TABLAS!$D$6:$J$47,MATCH(AU14&amp;"|NDL",TABLAS!$B$6:$B$47,0),MIN(AV14+1,7))-INDEX(TABLAS!$D$6:$J$47,MATCH(AU14&amp;"|NDL",TABLAS!$B$6:$B$47,0),AV14)))</f>
        <v/>
      </c>
      <c r="BB14" s="59" t="str">
        <f>IF(U14&lt;&gt;"SÍ","",INDEX(TABLAS!$D$6:$J$47,MATCH(AU14&amp;"|PC",TABLAS!$B$6:$B$47,0),AV14)+AW14*(INDEX(TABLAS!$D$6:$J$47,MATCH(AU14&amp;"|PC",TABLAS!$B$6:$B$47,0),MIN(AV14+1,7))-INDEX(TABLAS!$D$6:$J$47,MATCH(AU14&amp;"|PC",TABLAS!$B$6:$B$47,0),AV14)))</f>
        <v/>
      </c>
      <c r="BC14" s="59" t="str">
        <f>IF(U14&lt;&gt;"SÍ","",INDEX(TABLAS!$D$6:$J$47,MATCH(AU14&amp;"|PL",TABLAS!$B$6:$B$47,0),AV14)+AW14*(INDEX(TABLAS!$D$6:$J$47,MATCH(AU14&amp;"|PL",TABLAS!$B$6:$B$47,0),MIN(AV14+1,7))-INDEX(TABLAS!$D$6:$J$47,MATCH(AU14&amp;"|PL",TABLAS!$B$6:$B$47,0),AV14)))</f>
        <v/>
      </c>
      <c r="BD14" s="56" t="str">
        <f>IF(U14&lt;&gt;"SÍ","",IF(C14&lt;&gt;"VOLADO",0,DATOS!$C$26*DATOS!$C$16*DATOS!$C$83/100*(((AD14*DATOS!$C$78/DATOS!$C$83^2)*DATOS!$C$79/100)*(IF(W14="X",DI14,DJ14)+DATOS!$C$84/2)/100*(AA14-(IF(W14="X",DI14,DJ14)+DATOS!$C$84/2)/2)/100+((AD14*DATOS!$C$78/DATOS!$C$83^2)*DATOS!$C$79/100)*IF(W14="X",DI14,DJ14)/100*IF(W14="X",DI14,DJ14)/200)))</f>
        <v/>
      </c>
      <c r="BE14" s="56" t="str">
        <f>IF(U14&lt;&gt;"SÍ","",IF(C14&lt;&gt;"VOLADO",0,DATOS!$C$26*DATOS!$C$16*DATOS!$C$83/100*((AD14*DATOS!$C$78/DATOS!$C$83^2)*DATOS!$C$79/100)*(IF(W14="X",DI14,DJ14)+DATOS!$C$84/2)/100))</f>
        <v/>
      </c>
      <c r="BF14" s="56" t="str">
        <f>IF(U14&lt;&gt;"SÍ","",IF(C14="PERIMETRAL",BB14*AQ14*X14^2*1E-4*DATOS!$C$83/100/1000,0))</f>
        <v/>
      </c>
      <c r="BG14" s="62" t="str">
        <f>IF(U14&lt;&gt;"SÍ","",IF(C14="PERIMETRAL",MAX(MAX(AX14,AZ14)*AQ14*X14^2*1E-4*DATOS!$C$83/100/1000,N(S14)),(AQ14*(AA14/100)^2/2+DATOS!$C$26*N(O14)*AA14/100)*DATOS!$C$83/100/1000+BD14))</f>
        <v/>
      </c>
      <c r="BH14" s="56" t="str">
        <f>IF(U14&lt;&gt;"SÍ","",IF(C14="PERIMETRAL",BC14*AQ14*X14^2*1E-4*DATOS!$C$83/100/1000,0))</f>
        <v/>
      </c>
      <c r="BI14" s="56" t="str">
        <f>IF(U14&lt;&gt;"SÍ","",IF(C14="PERIMETRAL",MAX(MAX(AY14,BA14)*AQ14*X14^2*1E-4*DATOS!$C$83/100/1000,N(T14)),0))</f>
        <v/>
      </c>
      <c r="BJ14" s="63" t="str">
        <f>IF(U14&lt;&gt;"SÍ","",IF(C14&lt;&gt;"PERIMETRAL","—",IF(AND(N(S14)=0,N(T14)=0),"— (sin M⁻ del vecino)",IF(OR(AND(N(S14)&gt;0,ABS(MAX(AX14,AZ14)*AQ14*X14^2*1E-4*DATOS!$C$83/100/1000-N(S14))&gt;0.5*MIN(MAX(AX14,AZ14)*AQ14*X14^2*1E-4*DATOS!$C$83/100/1000,N(S14))),AND(N(T14)&gt;0,ABS(MAX(AY14,BA14)*AQ14*X14^2*1E-4*DATOS!$C$83/100/1000-N(T14))&gt;0.5*MIN(MAX(AY14,BA14)*AQ14*X14^2*1E-4*DATOS!$C$83/100/1000,N(T14)))),"FUERA: difieren &gt; 50 %"&amp;IF(AND(N(S14)&gt;0,ABS(MAX(AX14,AZ14)*AQ14*X14^2*1E-4*DATOS!$C$83/100/1000-N(S14))&gt;0.5*MIN(MAX(AX14,AZ14)*AQ14*X14^2*1E-4*DATOS!$C$83/100/1000,N(S14)))," ‖ corto","")&amp;IF(AND(N(T14)&gt;0,ABS(MAX(AY14,BA14)*AQ14*X14^2*1E-4*DATOS!$C$83/100/1000-N(T14))&gt;0.5*MIN(MAX(AY14,BA14)*AQ14*X14^2*1E-4*DATOS!$C$83/100/1000,N(T14)))," ‖ largo",""),"CUMPLE"))))</f>
        <v/>
      </c>
      <c r="BK14" s="58" t="str">
        <f>IF(U14&lt;&gt;"SÍ","",(DATOS!$C$82-AJ14-INDEX(TABLAS!$C$52:$C$58,MATCH(DATOS!$C$68,TABLAS!$B$52:$B$58,0))/2))</f>
        <v/>
      </c>
      <c r="BL14" s="58" t="str">
        <f>IF(U14&lt;&gt;"SÍ","",IF(IF(BF14&lt;=0,0,IF((1-2*BF14*1E5/(DATOS!$C$29*AG14*BK14^2*DATOS!$C$21))&lt;0,-1,IF((1-SQRT((1-2*BF14*1E5/(DATOS!$C$29*AG14*BK14^2*DATOS!$C$21))))*DATOS!$C$21*AG14*BK14/DATOS!$C$14&gt;DATOS!$C$99*AG14*BK14,-1,(1-SQRT((1-2*BF14*1E5/(DATOS!$C$29*AG14*BK14^2*DATOS!$C$21))))*DATOS!$C$21*AG14*BK14/DATOS!$C$14)))&lt;0,-1,MAX(IF(BF14&lt;=0,0,IF((1-2*BF14*1E5/(DATOS!$C$29*AG14*BK14^2*DATOS!$C$21))&lt;0,-1,IF((1-SQRT((1-2*BF14*1E5/(DATOS!$C$29*AG14*BK14^2*DATOS!$C$21))))*DATOS!$C$21*AG14*BK14/DATOS!$C$14&gt;DATOS!$C$99*AG14*BK14,-1,(1-SQRT((1-2*BF14*1E5/(DATOS!$C$29*AG14*BK14^2*DATOS!$C$21))))*DATOS!$C$21*AG14*BK14/DATOS!$C$14))),MIN(DATOS!$C$100*AC14*BK14,4/3*IF(BF14&lt;=0,0,IF((1-2*BF14*1E5/(DATOS!$C$29*AG14*BK14^2*DATOS!$C$21))&lt;0,-1,IF((1-SQRT((1-2*BF14*1E5/(DATOS!$C$29*AG14*BK14^2*DATOS!$C$21))))*DATOS!$C$21*AG14*BK14/DATOS!$C$14&gt;DATOS!$C$99*AG14*BK14,-1,(1-SQRT((1-2*BF14*1E5/(DATOS!$C$29*AG14*BK14^2*DATOS!$C$21))))*DATOS!$C$21*AG14*BK14/DATOS!$C$14)))))))</f>
        <v/>
      </c>
      <c r="BM14" s="64" t="str">
        <f>IF(U14&lt;&gt;"SÍ","",IF(AND(BL14&gt;=0,IF(MAX(DATOS!$C$71,CEILING(BL14/INDEX(TABLAS!$D$52:$D$58,MIN(MATCH(DATOS!$C$68,TABLAS!$B$52:$B$58,0)+0,7)),1))*INDEX(TABLAS!$D$52:$D$58,MIN(MATCH(DATOS!$C$68,TABLAS!$B$52:$B$58,0)+0,7))&gt;=4/3*IF(BF14&lt;=0,0,IF((1-2*BF14*1E5/(DATOS!$C$29*AG14*BK14^2*DATOS!$C$21))&lt;0,-1,IF((1-SQRT((1-2*BF14*1E5/(DATOS!$C$29*AG14*BK14^2*DATOS!$C$21))))*DATOS!$C$21*AG14*BK14/DATOS!$C$14&gt;DATOS!$C$99*AG14*BK14,-1,(1-SQRT((1-2*BF14*1E5/(DATOS!$C$29*AG14*BK14^2*DATOS!$C$21))))*DATOS!$C$21*AG14*BK14/DATOS!$C$14)))-0.0001,MAX(DATOS!$C$71,CEILING(BL14/INDEX(TABLAS!$D$52:$D$58,MIN(MATCH(DATOS!$C$68,TABLAS!$B$52:$B$58,0)+0,7)),1)),MAX(MAX(DATOS!$C$71,CEILING(BL14/INDEX(TABLAS!$D$52:$D$58,MIN(MATCH(DATOS!$C$68,TABLAS!$B$52:$B$58,0)+0,7)),1)),2))&lt;=MIN(DATOS!$C$70,INT(((AC14-2*AJ14)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14&gt;=0,IF(MAX(DATOS!$C$71,CEILING(BL14/INDEX(TABLAS!$D$52:$D$58,MIN(MATCH(DATOS!$C$68,TABLAS!$B$52:$B$58,0)+1,7)),1))*INDEX(TABLAS!$D$52:$D$58,MIN(MATCH(DATOS!$C$68,TABLAS!$B$52:$B$58,0)+1,7))&gt;=4/3*IF(BF14&lt;=0,0,IF((1-2*BF14*1E5/(DATOS!$C$29*AG14*BK14^2*DATOS!$C$21))&lt;0,-1,IF((1-SQRT((1-2*BF14*1E5/(DATOS!$C$29*AG14*BK14^2*DATOS!$C$21))))*DATOS!$C$21*AG14*BK14/DATOS!$C$14&gt;DATOS!$C$99*AG14*BK14,-1,(1-SQRT((1-2*BF14*1E5/(DATOS!$C$29*AG14*BK14^2*DATOS!$C$21))))*DATOS!$C$21*AG14*BK14/DATOS!$C$14)))-0.0001,MAX(DATOS!$C$71,CEILING(BL14/INDEX(TABLAS!$D$52:$D$58,MIN(MATCH(DATOS!$C$68,TABLAS!$B$52:$B$58,0)+1,7)),1)),MAX(MAX(DATOS!$C$71,CEILING(BL14/INDEX(TABLAS!$D$52:$D$58,MIN(MATCH(DATOS!$C$68,TABLAS!$B$52:$B$58,0)+1,7)),1)),2))&lt;=MIN(DATOS!$C$70,INT(((AC14-2*AJ14)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14&gt;=0,IF(MAX(DATOS!$C$71,CEILING(BL14/INDEX(TABLAS!$D$52:$D$58,MIN(MATCH(DATOS!$C$68,TABLAS!$B$52:$B$58,0)+2,7)),1))*INDEX(TABLAS!$D$52:$D$58,MIN(MATCH(DATOS!$C$68,TABLAS!$B$52:$B$58,0)+2,7))&gt;=4/3*IF(BF14&lt;=0,0,IF((1-2*BF14*1E5/(DATOS!$C$29*AG14*BK14^2*DATOS!$C$21))&lt;0,-1,IF((1-SQRT((1-2*BF14*1E5/(DATOS!$C$29*AG14*BK14^2*DATOS!$C$21))))*DATOS!$C$21*AG14*BK14/DATOS!$C$14&gt;DATOS!$C$99*AG14*BK14,-1,(1-SQRT((1-2*BF14*1E5/(DATOS!$C$29*AG14*BK14^2*DATOS!$C$21))))*DATOS!$C$21*AG14*BK14/DATOS!$C$14)))-0.0001,MAX(DATOS!$C$71,CEILING(BL14/INDEX(TABLAS!$D$52:$D$58,MIN(MATCH(DATOS!$C$68,TABLAS!$B$52:$B$58,0)+2,7)),1)),MAX(MAX(DATOS!$C$71,CEILING(BL14/INDEX(TABLAS!$D$52:$D$58,MIN(MATCH(DATOS!$C$68,TABLAS!$B$52:$B$58,0)+2,7)),1)),2))&lt;=MIN(DATOS!$C$70,INT(((AC14-2*AJ14)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14&gt;=0,IF(MAX(DATOS!$C$71,CEILING(BL14/INDEX(TABLAS!$D$52:$D$58,MIN(MATCH(DATOS!$C$68,TABLAS!$B$52:$B$58,0)+3,7)),1))*INDEX(TABLAS!$D$52:$D$58,MIN(MATCH(DATOS!$C$68,TABLAS!$B$52:$B$58,0)+3,7))&gt;=4/3*IF(BF14&lt;=0,0,IF((1-2*BF14*1E5/(DATOS!$C$29*AG14*BK14^2*DATOS!$C$21))&lt;0,-1,IF((1-SQRT((1-2*BF14*1E5/(DATOS!$C$29*AG14*BK14^2*DATOS!$C$21))))*DATOS!$C$21*AG14*BK14/DATOS!$C$14&gt;DATOS!$C$99*AG14*BK14,-1,(1-SQRT((1-2*BF14*1E5/(DATOS!$C$29*AG14*BK14^2*DATOS!$C$21))))*DATOS!$C$21*AG14*BK14/DATOS!$C$14)))-0.0001,MAX(DATOS!$C$71,CEILING(BL14/INDEX(TABLAS!$D$52:$D$58,MIN(MATCH(DATOS!$C$68,TABLAS!$B$52:$B$58,0)+3,7)),1)),MAX(MAX(DATOS!$C$71,CEILING(BL14/INDEX(TABLAS!$D$52:$D$58,MIN(MATCH(DATOS!$C$68,TABLAS!$B$52:$B$58,0)+3,7)),1)),2))&lt;=MIN(DATOS!$C$70,INT(((AC14-2*AJ14)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14&gt;=0,IF(MAX(DATOS!$C$71,CEILING(BL14/INDEX(TABLAS!$D$52:$D$58,MIN(MATCH(DATOS!$C$68,TABLAS!$B$52:$B$58,0)+4,7)),1))*INDEX(TABLAS!$D$52:$D$58,MIN(MATCH(DATOS!$C$68,TABLAS!$B$52:$B$58,0)+4,7))&gt;=4/3*IF(BF14&lt;=0,0,IF((1-2*BF14*1E5/(DATOS!$C$29*AG14*BK14^2*DATOS!$C$21))&lt;0,-1,IF((1-SQRT((1-2*BF14*1E5/(DATOS!$C$29*AG14*BK14^2*DATOS!$C$21))))*DATOS!$C$21*AG14*BK14/DATOS!$C$14&gt;DATOS!$C$99*AG14*BK14,-1,(1-SQRT((1-2*BF14*1E5/(DATOS!$C$29*AG14*BK14^2*DATOS!$C$21))))*DATOS!$C$21*AG14*BK14/DATOS!$C$14)))-0.0001,MAX(DATOS!$C$71,CEILING(BL14/INDEX(TABLAS!$D$52:$D$58,MIN(MATCH(DATOS!$C$68,TABLAS!$B$52:$B$58,0)+4,7)),1)),MAX(MAX(DATOS!$C$71,CEILING(BL14/INDEX(TABLAS!$D$52:$D$58,MIN(MATCH(DATOS!$C$68,TABLAS!$B$52:$B$58,0)+4,7)),1)),2))&lt;=MIN(DATOS!$C$70,INT(((AC14-2*AJ14)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14" s="59" t="str">
        <f>IF(U14&lt;&gt;"SÍ","",IF(BL14&lt;0,0,IF(MAX(DATOS!$C$71,CEILING(MAX(BL14,0)/INDEX(TABLAS!$D$52:$D$58,MATCH(BM14,TABLAS!$B$52:$B$58,0)),1))*INDEX(TABLAS!$D$52:$D$58,MATCH(BM14,TABLAS!$B$52:$B$58,0))&gt;=4/3*IF(BF14&lt;=0,0,IF((1-2*BF14*1E5/(DATOS!$C$29*AG14*BK14^2*DATOS!$C$21))&lt;0,-1,IF((1-SQRT((1-2*BF14*1E5/(DATOS!$C$29*AG14*BK14^2*DATOS!$C$21))))*DATOS!$C$21*AG14*BK14/DATOS!$C$14&gt;DATOS!$C$99*AG14*BK14,-1,(1-SQRT((1-2*BF14*1E5/(DATOS!$C$29*AG14*BK14^2*DATOS!$C$21))))*DATOS!$C$21*AG14*BK14/DATOS!$C$14)))-0.0001,MAX(DATOS!$C$71,CEILING(MAX(BL14,0)/INDEX(TABLAS!$D$52:$D$58,MATCH(BM14,TABLAS!$B$52:$B$58,0)),1)),MAX(MAX(DATOS!$C$71,CEILING(MAX(BL14,0)/INDEX(TABLAS!$D$52:$D$58,MATCH(BM14,TABLAS!$B$52:$B$58,0)),1)),2))))</f>
        <v/>
      </c>
      <c r="BO14" s="58" t="str">
        <f>IF(U14&lt;&gt;"SÍ","",DATOS!$C$82-AJ14-INDEX(TABLAS!$C$52:$C$58,MATCH(BM14,TABLAS!$B$52:$B$58,0))/2)</f>
        <v/>
      </c>
      <c r="BP14" s="56" t="str">
        <f>IF(U14&lt;&gt;"SÍ","",IF(BN14=0,0,DATOS!$C$29*BN14*INDEX(TABLAS!$D$52:$D$58,MATCH(BM14,TABLAS!$B$52:$B$58,0))*DATOS!$C$14*(BO14-BN14*INDEX(TABLAS!$D$52:$D$58,MATCH(BM14,TABLAS!$B$52:$B$58,0))*DATOS!$C$14/(DATOS!$C$21*AG14)/2)/1E5))</f>
        <v/>
      </c>
      <c r="BQ14" s="65" t="str">
        <f>IF(U14&lt;&gt;"SÍ","",IF(BL14&lt;0,9.99,IF(BP14&gt;0,BF14/BP14,0)))</f>
        <v/>
      </c>
      <c r="BR14" s="66" t="str">
        <f>IF(U14&lt;&gt;"SÍ","",IF(BN14=0,"—",0.003*(BO14-(BN14*INDEX(TABLAS!$D$52:$D$58,MATCH(BM14,TABLAS!$B$52:$B$58,0))*DATOS!$C$14/(DATOS!$C$21*AG14)/DATOS!$C$22))/(BN14*INDEX(TABLAS!$D$52:$D$58,MATCH(BM14,TABLAS!$B$52:$B$58,0))*DATOS!$C$14/(DATOS!$C$21*AG14)/DATOS!$C$22)))</f>
        <v/>
      </c>
      <c r="BS14" s="58" t="str">
        <f>IF(U14&lt;&gt;"SÍ","",((DATOS!$C$82-AL14-2*DATOS!$C$94-INDEX(TABLAS!$C$52:$C$58,MATCH(DATOS!$C$69,TABLAS!$B$52:$B$58,0))/2)-IF(AND((DATOS!$C$82-AL14-2*DATOS!$C$94-INDEX(TABLAS!$C$52:$C$58,MATCH(DATOS!$C$69,TABLAS!$B$52:$B$58,0))/2)&lt;=20,DATOS!$C$62&lt;&gt;"SÍ"),2,0)))</f>
        <v/>
      </c>
      <c r="BT14" s="58" t="str">
        <f>IF(U14&lt;&gt;"SÍ","",IF(IF(BG14&lt;=0,0,IF((1-2*BG14*1E5/(DATOS!$C$29*AE14*BS14^2*DATOS!$C$21))&lt;0,-1,IF((1-SQRT((1-2*BG14*1E5/(DATOS!$C$29*AE14*BS14^2*DATOS!$C$21))))*DATOS!$C$21*AE14*BS14/DATOS!$C$14&gt;DATOS!$C$99*AE14*BS14,-1,(1-SQRT((1-2*BG14*1E5/(DATOS!$C$29*AE14*BS14^2*DATOS!$C$21))))*DATOS!$C$21*AE14*BS14/DATOS!$C$14)))&lt;0,-1,MAX(IF(BG14&lt;=0,0,IF((1-2*BG14*1E5/(DATOS!$C$29*AE14*BS14^2*DATOS!$C$21))&lt;0,-1,IF((1-SQRT((1-2*BG14*1E5/(DATOS!$C$29*AE14*BS14^2*DATOS!$C$21))))*DATOS!$C$21*AE14*BS14/DATOS!$C$14&gt;DATOS!$C$99*AE14*BS14,-1,(1-SQRT((1-2*BG14*1E5/(DATOS!$C$29*AE14*BS14^2*DATOS!$C$21))))*DATOS!$C$21*AE14*BS14/DATOS!$C$14))),MIN(DATOS!$C$100*IF(C14="VOLADO",MIN(AG14,2*AC14),AC14)*BS14,4/3*IF(BG14&lt;=0,0,IF((1-2*BG14*1E5/(DATOS!$C$29*AE14*BS14^2*DATOS!$C$21))&lt;0,-1,IF((1-SQRT((1-2*BG14*1E5/(DATOS!$C$29*AE14*BS14^2*DATOS!$C$21))))*DATOS!$C$21*AE14*BS14/DATOS!$C$14&gt;DATOS!$C$99*AE14*BS14,-1,(1-SQRT((1-2*BG14*1E5/(DATOS!$C$29*AE14*BS14^2*DATOS!$C$21))))*DATOS!$C$21*AE14*BS14/DATOS!$C$14)))))))</f>
        <v/>
      </c>
      <c r="BU14" s="64" t="str">
        <f>IF(U14&lt;&gt;"SÍ","",IF(AND(BT14&gt;=0,IF(MAX(DATOS!$C$71,CEILING(BT14/INDEX(TABLAS!$D$52:$D$58,MIN(MATCH(DATOS!$C$69,TABLAS!$B$52:$B$58,0)+0,7)),1))*INDEX(TABLAS!$D$52:$D$58,MIN(MATCH(DATOS!$C$69,TABLAS!$B$52:$B$58,0)+0,7))&gt;=4/3*IF(BG14&lt;=0,0,IF((1-2*BG14*1E5/(DATOS!$C$29*AE14*BS14^2*DATOS!$C$21))&lt;0,-1,IF((1-SQRT((1-2*BG14*1E5/(DATOS!$C$29*AE14*BS14^2*DATOS!$C$21))))*DATOS!$C$21*AE14*BS14/DATOS!$C$14&gt;DATOS!$C$99*AE14*BS14,-1,(1-SQRT((1-2*BG14*1E5/(DATOS!$C$29*AE14*BS14^2*DATOS!$C$21))))*DATOS!$C$21*AE14*BS14/DATOS!$C$14)))-0.0001,MAX(DATOS!$C$71,CEILING(BT14/INDEX(TABLAS!$D$52:$D$58,MIN(MATCH(DATOS!$C$69,TABLAS!$B$52:$B$58,0)+0,7)),1)),MAX(MAX(DATOS!$C$71,CEILING(BT14/INDEX(TABLAS!$D$52:$D$58,MIN(MATCH(DATOS!$C$69,TABLAS!$B$52:$B$58,0)+0,7)),1)),2))&lt;=MIN(DATOS!$C$70,INT(((AC14-2*AK14)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14&gt;=0,IF(MAX(DATOS!$C$71,CEILING(BT14/INDEX(TABLAS!$D$52:$D$58,MIN(MATCH(DATOS!$C$69,TABLAS!$B$52:$B$58,0)+1,7)),1))*INDEX(TABLAS!$D$52:$D$58,MIN(MATCH(DATOS!$C$69,TABLAS!$B$52:$B$58,0)+1,7))&gt;=4/3*IF(BG14&lt;=0,0,IF((1-2*BG14*1E5/(DATOS!$C$29*AE14*BS14^2*DATOS!$C$21))&lt;0,-1,IF((1-SQRT((1-2*BG14*1E5/(DATOS!$C$29*AE14*BS14^2*DATOS!$C$21))))*DATOS!$C$21*AE14*BS14/DATOS!$C$14&gt;DATOS!$C$99*AE14*BS14,-1,(1-SQRT((1-2*BG14*1E5/(DATOS!$C$29*AE14*BS14^2*DATOS!$C$21))))*DATOS!$C$21*AE14*BS14/DATOS!$C$14)))-0.0001,MAX(DATOS!$C$71,CEILING(BT14/INDEX(TABLAS!$D$52:$D$58,MIN(MATCH(DATOS!$C$69,TABLAS!$B$52:$B$58,0)+1,7)),1)),MAX(MAX(DATOS!$C$71,CEILING(BT14/INDEX(TABLAS!$D$52:$D$58,MIN(MATCH(DATOS!$C$69,TABLAS!$B$52:$B$58,0)+1,7)),1)),2))&lt;=MIN(DATOS!$C$70,INT(((AC14-2*AK14)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14&gt;=0,IF(MAX(DATOS!$C$71,CEILING(BT14/INDEX(TABLAS!$D$52:$D$58,MIN(MATCH(DATOS!$C$69,TABLAS!$B$52:$B$58,0)+2,7)),1))*INDEX(TABLAS!$D$52:$D$58,MIN(MATCH(DATOS!$C$69,TABLAS!$B$52:$B$58,0)+2,7))&gt;=4/3*IF(BG14&lt;=0,0,IF((1-2*BG14*1E5/(DATOS!$C$29*AE14*BS14^2*DATOS!$C$21))&lt;0,-1,IF((1-SQRT((1-2*BG14*1E5/(DATOS!$C$29*AE14*BS14^2*DATOS!$C$21))))*DATOS!$C$21*AE14*BS14/DATOS!$C$14&gt;DATOS!$C$99*AE14*BS14,-1,(1-SQRT((1-2*BG14*1E5/(DATOS!$C$29*AE14*BS14^2*DATOS!$C$21))))*DATOS!$C$21*AE14*BS14/DATOS!$C$14)))-0.0001,MAX(DATOS!$C$71,CEILING(BT14/INDEX(TABLAS!$D$52:$D$58,MIN(MATCH(DATOS!$C$69,TABLAS!$B$52:$B$58,0)+2,7)),1)),MAX(MAX(DATOS!$C$71,CEILING(BT14/INDEX(TABLAS!$D$52:$D$58,MIN(MATCH(DATOS!$C$69,TABLAS!$B$52:$B$58,0)+2,7)),1)),2))&lt;=MIN(DATOS!$C$70,INT(((AC14-2*AK14)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14&gt;=0,IF(MAX(DATOS!$C$71,CEILING(BT14/INDEX(TABLAS!$D$52:$D$58,MIN(MATCH(DATOS!$C$69,TABLAS!$B$52:$B$58,0)+3,7)),1))*INDEX(TABLAS!$D$52:$D$58,MIN(MATCH(DATOS!$C$69,TABLAS!$B$52:$B$58,0)+3,7))&gt;=4/3*IF(BG14&lt;=0,0,IF((1-2*BG14*1E5/(DATOS!$C$29*AE14*BS14^2*DATOS!$C$21))&lt;0,-1,IF((1-SQRT((1-2*BG14*1E5/(DATOS!$C$29*AE14*BS14^2*DATOS!$C$21))))*DATOS!$C$21*AE14*BS14/DATOS!$C$14&gt;DATOS!$C$99*AE14*BS14,-1,(1-SQRT((1-2*BG14*1E5/(DATOS!$C$29*AE14*BS14^2*DATOS!$C$21))))*DATOS!$C$21*AE14*BS14/DATOS!$C$14)))-0.0001,MAX(DATOS!$C$71,CEILING(BT14/INDEX(TABLAS!$D$52:$D$58,MIN(MATCH(DATOS!$C$69,TABLAS!$B$52:$B$58,0)+3,7)),1)),MAX(MAX(DATOS!$C$71,CEILING(BT14/INDEX(TABLAS!$D$52:$D$58,MIN(MATCH(DATOS!$C$69,TABLAS!$B$52:$B$58,0)+3,7)),1)),2))&lt;=MIN(DATOS!$C$70,INT(((AC14-2*AK14)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14&gt;=0,IF(MAX(DATOS!$C$71,CEILING(BT14/INDEX(TABLAS!$D$52:$D$58,MIN(MATCH(DATOS!$C$69,TABLAS!$B$52:$B$58,0)+4,7)),1))*INDEX(TABLAS!$D$52:$D$58,MIN(MATCH(DATOS!$C$69,TABLAS!$B$52:$B$58,0)+4,7))&gt;=4/3*IF(BG14&lt;=0,0,IF((1-2*BG14*1E5/(DATOS!$C$29*AE14*BS14^2*DATOS!$C$21))&lt;0,-1,IF((1-SQRT((1-2*BG14*1E5/(DATOS!$C$29*AE14*BS14^2*DATOS!$C$21))))*DATOS!$C$21*AE14*BS14/DATOS!$C$14&gt;DATOS!$C$99*AE14*BS14,-1,(1-SQRT((1-2*BG14*1E5/(DATOS!$C$29*AE14*BS14^2*DATOS!$C$21))))*DATOS!$C$21*AE14*BS14/DATOS!$C$14)))-0.0001,MAX(DATOS!$C$71,CEILING(BT14/INDEX(TABLAS!$D$52:$D$58,MIN(MATCH(DATOS!$C$69,TABLAS!$B$52:$B$58,0)+4,7)),1)),MAX(MAX(DATOS!$C$71,CEILING(BT14/INDEX(TABLAS!$D$52:$D$58,MIN(MATCH(DATOS!$C$69,TABLAS!$B$52:$B$58,0)+4,7)),1)),2))&lt;=MIN(DATOS!$C$70,INT(((AC14-2*AK14)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14" s="59" t="str">
        <f>IF(U14&lt;&gt;"SÍ","",IF(BT14&lt;0,0,IF(MAX(DATOS!$C$71,CEILING(MAX(BT14,0)/INDEX(TABLAS!$D$52:$D$58,MATCH(BU14,TABLAS!$B$52:$B$58,0)),1))*INDEX(TABLAS!$D$52:$D$58,MATCH(BU14,TABLAS!$B$52:$B$58,0))&gt;=4/3*IF(BG14&lt;=0,0,IF((1-2*BG14*1E5/(DATOS!$C$29*AE14*BS14^2*DATOS!$C$21))&lt;0,-1,IF((1-SQRT((1-2*BG14*1E5/(DATOS!$C$29*AE14*BS14^2*DATOS!$C$21))))*DATOS!$C$21*AE14*BS14/DATOS!$C$14&gt;DATOS!$C$99*AE14*BS14,-1,(1-SQRT((1-2*BG14*1E5/(DATOS!$C$29*AE14*BS14^2*DATOS!$C$21))))*DATOS!$C$21*AE14*BS14/DATOS!$C$14)))-0.0001,MAX(DATOS!$C$71,CEILING(MAX(BT14,0)/INDEX(TABLAS!$D$52:$D$58,MATCH(BU14,TABLAS!$B$52:$B$58,0)),1)),MAX(MAX(DATOS!$C$71,CEILING(MAX(BT14,0)/INDEX(TABLAS!$D$52:$D$58,MATCH(BU14,TABLAS!$B$52:$B$58,0)),1)),2))))</f>
        <v/>
      </c>
      <c r="BW14" s="58" t="str">
        <f>IF(U14&lt;&gt;"SÍ","",((DATOS!$C$82-AL14-2*DATOS!$C$94-INDEX(TABLAS!$C$52:$C$58,MATCH(BU14,TABLAS!$B$52:$B$58,0))/2)-IF(AND((DATOS!$C$82-AL14-2*DATOS!$C$94-INDEX(TABLAS!$C$52:$C$58,MATCH(BU14,TABLAS!$B$52:$B$58,0))/2)&lt;=20,DATOS!$C$62&lt;&gt;"SÍ"),2,0)))</f>
        <v/>
      </c>
      <c r="BX14" s="56" t="str">
        <f>IF(U14&lt;&gt;"SÍ","",IF(BV14=0,0,DATOS!$C$29*BV14*INDEX(TABLAS!$D$52:$D$58,MATCH(BU14,TABLAS!$B$52:$B$58,0))*DATOS!$C$14*(BW14-BV14*INDEX(TABLAS!$D$52:$D$58,MATCH(BU14,TABLAS!$B$52:$B$58,0))*DATOS!$C$14/(DATOS!$C$21*AE14)/2)/1E5))</f>
        <v/>
      </c>
      <c r="BY14" s="65" t="str">
        <f>IF(U14&lt;&gt;"SÍ","",IF(BT14&lt;0,9.99,IF(BX14&gt;0,BG14/BX14,0)))</f>
        <v/>
      </c>
      <c r="BZ14" s="66" t="str">
        <f>IF(U14&lt;&gt;"SÍ","",IF(BV14=0,"—",0.003*(BW14-(BV14*INDEX(TABLAS!$D$52:$D$58,MATCH(BU14,TABLAS!$B$52:$B$58,0))*DATOS!$C$14/(DATOS!$C$21*AE14)/DATOS!$C$22))/(BV14*INDEX(TABLAS!$D$52:$D$58,MATCH(BU14,TABLAS!$B$52:$B$58,0))*DATOS!$C$14/(DATOS!$C$21*AE14)/DATOS!$C$22)))</f>
        <v/>
      </c>
      <c r="CA14" s="58" t="str">
        <f>IF(U14&lt;&gt;"SÍ","",(DATOS!$C$82-AJ14-INDEX(TABLAS!$C$52:$C$58,MATCH(DATOS!$C$68,TABLAS!$B$52:$B$58,0))-INDEX(TABLAS!$C$52:$C$58,MATCH(DATOS!$C$68,TABLAS!$B$52:$B$58,0))/2))</f>
        <v/>
      </c>
      <c r="CB14" s="58" t="str">
        <f>IF(U14&lt;&gt;"SÍ","",IF(IF(BH14&lt;=0,0,IF((1-2*BH14*1E5/(DATOS!$C$29*AH14*CA14^2*DATOS!$C$21))&lt;0,-1,IF((1-SQRT((1-2*BH14*1E5/(DATOS!$C$29*AH14*CA14^2*DATOS!$C$21))))*DATOS!$C$21*AH14*CA14/DATOS!$C$14&gt;DATOS!$C$99*AH14*CA14,-1,(1-SQRT((1-2*BH14*1E5/(DATOS!$C$29*AH14*CA14^2*DATOS!$C$21))))*DATOS!$C$21*AH14*CA14/DATOS!$C$14)))&lt;0,-1,MAX(IF(BH14&lt;=0,0,IF((1-2*BH14*1E5/(DATOS!$C$29*AH14*CA14^2*DATOS!$C$21))&lt;0,-1,IF((1-SQRT((1-2*BH14*1E5/(DATOS!$C$29*AH14*CA14^2*DATOS!$C$21))))*DATOS!$C$21*AH14*CA14/DATOS!$C$14&gt;DATOS!$C$99*AH14*CA14,-1,(1-SQRT((1-2*BH14*1E5/(DATOS!$C$29*AH14*CA14^2*DATOS!$C$21))))*DATOS!$C$21*AH14*CA14/DATOS!$C$14))),MIN(DATOS!$C$100*DATOS!$C$80*CA14,4/3*IF(BH14&lt;=0,0,IF((1-2*BH14*1E5/(DATOS!$C$29*AH14*CA14^2*DATOS!$C$21))&lt;0,-1,IF((1-SQRT((1-2*BH14*1E5/(DATOS!$C$29*AH14*CA14^2*DATOS!$C$21))))*DATOS!$C$21*AH14*CA14/DATOS!$C$14&gt;DATOS!$C$99*AH14*CA14,-1,(1-SQRT((1-2*BH14*1E5/(DATOS!$C$29*AH14*CA14^2*DATOS!$C$21))))*DATOS!$C$21*AH14*CA14/DATOS!$C$14)))))))</f>
        <v/>
      </c>
      <c r="CC14" s="64" t="str">
        <f>IF(U14&lt;&gt;"SÍ","",IF(AND(CB14&gt;=0,IF(MAX(DATOS!$C$71,CEILING(CB14/INDEX(TABLAS!$D$52:$D$58,MIN(MATCH(DATOS!$C$68,TABLAS!$B$52:$B$58,0)+0,7)),1))*INDEX(TABLAS!$D$52:$D$58,MIN(MATCH(DATOS!$C$68,TABLAS!$B$52:$B$58,0)+0,7))&gt;=4/3*IF(BH14&lt;=0,0,IF((1-2*BH14*1E5/(DATOS!$C$29*AH14*CA14^2*DATOS!$C$21))&lt;0,-1,IF((1-SQRT((1-2*BH14*1E5/(DATOS!$C$29*AH14*CA14^2*DATOS!$C$21))))*DATOS!$C$21*AH14*CA14/DATOS!$C$14&gt;DATOS!$C$99*AH14*CA14,-1,(1-SQRT((1-2*BH14*1E5/(DATOS!$C$29*AH14*CA14^2*DATOS!$C$21))))*DATOS!$C$21*AH14*CA14/DATOS!$C$14)))-0.0001,MAX(DATOS!$C$71,CEILING(CB14/INDEX(TABLAS!$D$52:$D$58,MIN(MATCH(DATOS!$C$68,TABLAS!$B$52:$B$58,0)+0,7)),1)),MAX(MAX(DATOS!$C$71,CEILING(CB14/INDEX(TABLAS!$D$52:$D$58,MIN(MATCH(DATOS!$C$68,TABLAS!$B$52:$B$58,0)+0,7)),1)),2))&lt;=MIN(DATOS!$C$70,INT(((DATOS!$C$80-2*AJ14)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14&gt;=0,IF(MAX(DATOS!$C$71,CEILING(CB14/INDEX(TABLAS!$D$52:$D$58,MIN(MATCH(DATOS!$C$68,TABLAS!$B$52:$B$58,0)+1,7)),1))*INDEX(TABLAS!$D$52:$D$58,MIN(MATCH(DATOS!$C$68,TABLAS!$B$52:$B$58,0)+1,7))&gt;=4/3*IF(BH14&lt;=0,0,IF((1-2*BH14*1E5/(DATOS!$C$29*AH14*CA14^2*DATOS!$C$21))&lt;0,-1,IF((1-SQRT((1-2*BH14*1E5/(DATOS!$C$29*AH14*CA14^2*DATOS!$C$21))))*DATOS!$C$21*AH14*CA14/DATOS!$C$14&gt;DATOS!$C$99*AH14*CA14,-1,(1-SQRT((1-2*BH14*1E5/(DATOS!$C$29*AH14*CA14^2*DATOS!$C$21))))*DATOS!$C$21*AH14*CA14/DATOS!$C$14)))-0.0001,MAX(DATOS!$C$71,CEILING(CB14/INDEX(TABLAS!$D$52:$D$58,MIN(MATCH(DATOS!$C$68,TABLAS!$B$52:$B$58,0)+1,7)),1)),MAX(MAX(DATOS!$C$71,CEILING(CB14/INDEX(TABLAS!$D$52:$D$58,MIN(MATCH(DATOS!$C$68,TABLAS!$B$52:$B$58,0)+1,7)),1)),2))&lt;=MIN(DATOS!$C$70,INT(((DATOS!$C$80-2*AJ14)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14&gt;=0,IF(MAX(DATOS!$C$71,CEILING(CB14/INDEX(TABLAS!$D$52:$D$58,MIN(MATCH(DATOS!$C$68,TABLAS!$B$52:$B$58,0)+2,7)),1))*INDEX(TABLAS!$D$52:$D$58,MIN(MATCH(DATOS!$C$68,TABLAS!$B$52:$B$58,0)+2,7))&gt;=4/3*IF(BH14&lt;=0,0,IF((1-2*BH14*1E5/(DATOS!$C$29*AH14*CA14^2*DATOS!$C$21))&lt;0,-1,IF((1-SQRT((1-2*BH14*1E5/(DATOS!$C$29*AH14*CA14^2*DATOS!$C$21))))*DATOS!$C$21*AH14*CA14/DATOS!$C$14&gt;DATOS!$C$99*AH14*CA14,-1,(1-SQRT((1-2*BH14*1E5/(DATOS!$C$29*AH14*CA14^2*DATOS!$C$21))))*DATOS!$C$21*AH14*CA14/DATOS!$C$14)))-0.0001,MAX(DATOS!$C$71,CEILING(CB14/INDEX(TABLAS!$D$52:$D$58,MIN(MATCH(DATOS!$C$68,TABLAS!$B$52:$B$58,0)+2,7)),1)),MAX(MAX(DATOS!$C$71,CEILING(CB14/INDEX(TABLAS!$D$52:$D$58,MIN(MATCH(DATOS!$C$68,TABLAS!$B$52:$B$58,0)+2,7)),1)),2))&lt;=MIN(DATOS!$C$70,INT(((DATOS!$C$80-2*AJ14)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14&gt;=0,IF(MAX(DATOS!$C$71,CEILING(CB14/INDEX(TABLAS!$D$52:$D$58,MIN(MATCH(DATOS!$C$68,TABLAS!$B$52:$B$58,0)+3,7)),1))*INDEX(TABLAS!$D$52:$D$58,MIN(MATCH(DATOS!$C$68,TABLAS!$B$52:$B$58,0)+3,7))&gt;=4/3*IF(BH14&lt;=0,0,IF((1-2*BH14*1E5/(DATOS!$C$29*AH14*CA14^2*DATOS!$C$21))&lt;0,-1,IF((1-SQRT((1-2*BH14*1E5/(DATOS!$C$29*AH14*CA14^2*DATOS!$C$21))))*DATOS!$C$21*AH14*CA14/DATOS!$C$14&gt;DATOS!$C$99*AH14*CA14,-1,(1-SQRT((1-2*BH14*1E5/(DATOS!$C$29*AH14*CA14^2*DATOS!$C$21))))*DATOS!$C$21*AH14*CA14/DATOS!$C$14)))-0.0001,MAX(DATOS!$C$71,CEILING(CB14/INDEX(TABLAS!$D$52:$D$58,MIN(MATCH(DATOS!$C$68,TABLAS!$B$52:$B$58,0)+3,7)),1)),MAX(MAX(DATOS!$C$71,CEILING(CB14/INDEX(TABLAS!$D$52:$D$58,MIN(MATCH(DATOS!$C$68,TABLAS!$B$52:$B$58,0)+3,7)),1)),2))&lt;=MIN(DATOS!$C$70,INT(((DATOS!$C$80-2*AJ14)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14&gt;=0,IF(MAX(DATOS!$C$71,CEILING(CB14/INDEX(TABLAS!$D$52:$D$58,MIN(MATCH(DATOS!$C$68,TABLAS!$B$52:$B$58,0)+4,7)),1))*INDEX(TABLAS!$D$52:$D$58,MIN(MATCH(DATOS!$C$68,TABLAS!$B$52:$B$58,0)+4,7))&gt;=4/3*IF(BH14&lt;=0,0,IF((1-2*BH14*1E5/(DATOS!$C$29*AH14*CA14^2*DATOS!$C$21))&lt;0,-1,IF((1-SQRT((1-2*BH14*1E5/(DATOS!$C$29*AH14*CA14^2*DATOS!$C$21))))*DATOS!$C$21*AH14*CA14/DATOS!$C$14&gt;DATOS!$C$99*AH14*CA14,-1,(1-SQRT((1-2*BH14*1E5/(DATOS!$C$29*AH14*CA14^2*DATOS!$C$21))))*DATOS!$C$21*AH14*CA14/DATOS!$C$14)))-0.0001,MAX(DATOS!$C$71,CEILING(CB14/INDEX(TABLAS!$D$52:$D$58,MIN(MATCH(DATOS!$C$68,TABLAS!$B$52:$B$58,0)+4,7)),1)),MAX(MAX(DATOS!$C$71,CEILING(CB14/INDEX(TABLAS!$D$52:$D$58,MIN(MATCH(DATOS!$C$68,TABLAS!$B$52:$B$58,0)+4,7)),1)),2))&lt;=MIN(DATOS!$C$70,INT(((DATOS!$C$80-2*AJ14)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14" s="59" t="str">
        <f>IF(U14&lt;&gt;"SÍ","",IF(CB14&lt;0,0,IF(MAX(DATOS!$C$71,CEILING(MAX(CB14,0)/INDEX(TABLAS!$D$52:$D$58,MATCH(CC14,TABLAS!$B$52:$B$58,0)),1))*INDEX(TABLAS!$D$52:$D$58,MATCH(CC14,TABLAS!$B$52:$B$58,0))&gt;=4/3*IF(BH14&lt;=0,0,IF((1-2*BH14*1E5/(DATOS!$C$29*AH14*CA14^2*DATOS!$C$21))&lt;0,-1,IF((1-SQRT((1-2*BH14*1E5/(DATOS!$C$29*AH14*CA14^2*DATOS!$C$21))))*DATOS!$C$21*AH14*CA14/DATOS!$C$14&gt;DATOS!$C$99*AH14*CA14,-1,(1-SQRT((1-2*BH14*1E5/(DATOS!$C$29*AH14*CA14^2*DATOS!$C$21))))*DATOS!$C$21*AH14*CA14/DATOS!$C$14)))-0.0001,MAX(DATOS!$C$71,CEILING(MAX(CB14,0)/INDEX(TABLAS!$D$52:$D$58,MATCH(CC14,TABLAS!$B$52:$B$58,0)),1)),MAX(MAX(DATOS!$C$71,CEILING(MAX(CB14,0)/INDEX(TABLAS!$D$52:$D$58,MATCH(CC14,TABLAS!$B$52:$B$58,0)),1)),2))))</f>
        <v/>
      </c>
      <c r="CE14" s="58" t="str">
        <f>IF(U14&lt;&gt;"SÍ","",DATOS!$C$82-AJ14-INDEX(TABLAS!$C$52:$C$58,MATCH(BM14,TABLAS!$B$52:$B$58,0))-INDEX(TABLAS!$C$52:$C$58,MATCH(CC14,TABLAS!$B$52:$B$58,0))/2)</f>
        <v/>
      </c>
      <c r="CF14" s="56" t="str">
        <f>IF(U14&lt;&gt;"SÍ","",IF(CD14=0,0,DATOS!$C$29*CD14*INDEX(TABLAS!$D$52:$D$58,MATCH(CC14,TABLAS!$B$52:$B$58,0))*DATOS!$C$14*(CE14-CD14*INDEX(TABLAS!$D$52:$D$58,MATCH(CC14,TABLAS!$B$52:$B$58,0))*DATOS!$C$14/(DATOS!$C$21*AH14)/2)/1E5))</f>
        <v/>
      </c>
      <c r="CG14" s="65" t="str">
        <f>IF(U14&lt;&gt;"SÍ","",IF(CB14&lt;0,9.99,IF(CF14&gt;0,BH14/CF14,0)))</f>
        <v/>
      </c>
      <c r="CH14" s="66" t="str">
        <f>IF(U14&lt;&gt;"SÍ","",IF(CD14=0,"—",0.003*(CE14-(CD14*INDEX(TABLAS!$D$52:$D$58,MATCH(CC14,TABLAS!$B$52:$B$58,0))*DATOS!$C$14/(DATOS!$C$21*AH14)/DATOS!$C$22))/(CD14*INDEX(TABLAS!$D$52:$D$58,MATCH(CC14,TABLAS!$B$52:$B$58,0))*DATOS!$C$14/(DATOS!$C$21*AH14)/DATOS!$C$22)))</f>
        <v/>
      </c>
      <c r="CI14" s="58" t="str">
        <f>IF(U14&lt;&gt;"SÍ","",((DATOS!$C$82-AL14-2*DATOS!$C$94-INDEX(TABLAS!$C$52:$C$58,MATCH(DATOS!$C$69,TABLAS!$B$52:$B$58,0))-INDEX(TABLAS!$C$52:$C$58,MATCH(DATOS!$C$69,TABLAS!$B$52:$B$58,0))/2)-IF(AND((DATOS!$C$82-AL14-2*DATOS!$C$94-INDEX(TABLAS!$C$52:$C$58,MATCH(DATOS!$C$69,TABLAS!$B$52:$B$58,0))-INDEX(TABLAS!$C$52:$C$58,MATCH(DATOS!$C$69,TABLAS!$B$52:$B$58,0))/2)&lt;=20,DATOS!$C$62&lt;&gt;"SÍ"),2,0)))</f>
        <v/>
      </c>
      <c r="CJ14" s="58" t="str">
        <f>IF(U14&lt;&gt;"SÍ","",IF(IF(BI14&lt;=0,0,IF((1-2*BI14*1E5/(DATOS!$C$29*AF14*CI14^2*DATOS!$C$21))&lt;0,-1,IF((1-SQRT((1-2*BI14*1E5/(DATOS!$C$29*AF14*CI14^2*DATOS!$C$21))))*DATOS!$C$21*AF14*CI14/DATOS!$C$14&gt;DATOS!$C$99*AF14*CI14,-1,(1-SQRT((1-2*BI14*1E5/(DATOS!$C$29*AF14*CI14^2*DATOS!$C$21))))*DATOS!$C$21*AF14*CI14/DATOS!$C$14)))&lt;0,-1,MAX(IF(BI14&lt;=0,0,IF((1-2*BI14*1E5/(DATOS!$C$29*AF14*CI14^2*DATOS!$C$21))&lt;0,-1,IF((1-SQRT((1-2*BI14*1E5/(DATOS!$C$29*AF14*CI14^2*DATOS!$C$21))))*DATOS!$C$21*AF14*CI14/DATOS!$C$14&gt;DATOS!$C$99*AF14*CI14,-1,(1-SQRT((1-2*BI14*1E5/(DATOS!$C$29*AF14*CI14^2*DATOS!$C$21))))*DATOS!$C$21*AF14*CI14/DATOS!$C$14))),MIN(DATOS!$C$100*DATOS!$C$80*CI14,4/3*IF(BI14&lt;=0,0,IF((1-2*BI14*1E5/(DATOS!$C$29*AF14*CI14^2*DATOS!$C$21))&lt;0,-1,IF((1-SQRT((1-2*BI14*1E5/(DATOS!$C$29*AF14*CI14^2*DATOS!$C$21))))*DATOS!$C$21*AF14*CI14/DATOS!$C$14&gt;DATOS!$C$99*AF14*CI14,-1,(1-SQRT((1-2*BI14*1E5/(DATOS!$C$29*AF14*CI14^2*DATOS!$C$21))))*DATOS!$C$21*AF14*CI14/DATOS!$C$14)))))))</f>
        <v/>
      </c>
      <c r="CK14" s="64" t="str">
        <f>IF(U14&lt;&gt;"SÍ","",IF(AND(CJ14&gt;=0,IF(MAX(DATOS!$C$71,CEILING(CJ14/INDEX(TABLAS!$D$52:$D$58,MIN(MATCH(DATOS!$C$69,TABLAS!$B$52:$B$58,0)+0,7)),1))*INDEX(TABLAS!$D$52:$D$58,MIN(MATCH(DATOS!$C$69,TABLAS!$B$52:$B$58,0)+0,7))&gt;=4/3*IF(BI14&lt;=0,0,IF((1-2*BI14*1E5/(DATOS!$C$29*AF14*CI14^2*DATOS!$C$21))&lt;0,-1,IF((1-SQRT((1-2*BI14*1E5/(DATOS!$C$29*AF14*CI14^2*DATOS!$C$21))))*DATOS!$C$21*AF14*CI14/DATOS!$C$14&gt;DATOS!$C$99*AF14*CI14,-1,(1-SQRT((1-2*BI14*1E5/(DATOS!$C$29*AF14*CI14^2*DATOS!$C$21))))*DATOS!$C$21*AF14*CI14/DATOS!$C$14)))-0.0001,MAX(DATOS!$C$71,CEILING(CJ14/INDEX(TABLAS!$D$52:$D$58,MIN(MATCH(DATOS!$C$69,TABLAS!$B$52:$B$58,0)+0,7)),1)),MAX(MAX(DATOS!$C$71,CEILING(CJ14/INDEX(TABLAS!$D$52:$D$58,MIN(MATCH(DATOS!$C$69,TABLAS!$B$52:$B$58,0)+0,7)),1)),2))&lt;=MIN(DATOS!$C$70,INT(((DATOS!$C$80-2*AK14)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14&gt;=0,IF(MAX(DATOS!$C$71,CEILING(CJ14/INDEX(TABLAS!$D$52:$D$58,MIN(MATCH(DATOS!$C$69,TABLAS!$B$52:$B$58,0)+1,7)),1))*INDEX(TABLAS!$D$52:$D$58,MIN(MATCH(DATOS!$C$69,TABLAS!$B$52:$B$58,0)+1,7))&gt;=4/3*IF(BI14&lt;=0,0,IF((1-2*BI14*1E5/(DATOS!$C$29*AF14*CI14^2*DATOS!$C$21))&lt;0,-1,IF((1-SQRT((1-2*BI14*1E5/(DATOS!$C$29*AF14*CI14^2*DATOS!$C$21))))*DATOS!$C$21*AF14*CI14/DATOS!$C$14&gt;DATOS!$C$99*AF14*CI14,-1,(1-SQRT((1-2*BI14*1E5/(DATOS!$C$29*AF14*CI14^2*DATOS!$C$21))))*DATOS!$C$21*AF14*CI14/DATOS!$C$14)))-0.0001,MAX(DATOS!$C$71,CEILING(CJ14/INDEX(TABLAS!$D$52:$D$58,MIN(MATCH(DATOS!$C$69,TABLAS!$B$52:$B$58,0)+1,7)),1)),MAX(MAX(DATOS!$C$71,CEILING(CJ14/INDEX(TABLAS!$D$52:$D$58,MIN(MATCH(DATOS!$C$69,TABLAS!$B$52:$B$58,0)+1,7)),1)),2))&lt;=MIN(DATOS!$C$70,INT(((DATOS!$C$80-2*AK14)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14&gt;=0,IF(MAX(DATOS!$C$71,CEILING(CJ14/INDEX(TABLAS!$D$52:$D$58,MIN(MATCH(DATOS!$C$69,TABLAS!$B$52:$B$58,0)+2,7)),1))*INDEX(TABLAS!$D$52:$D$58,MIN(MATCH(DATOS!$C$69,TABLAS!$B$52:$B$58,0)+2,7))&gt;=4/3*IF(BI14&lt;=0,0,IF((1-2*BI14*1E5/(DATOS!$C$29*AF14*CI14^2*DATOS!$C$21))&lt;0,-1,IF((1-SQRT((1-2*BI14*1E5/(DATOS!$C$29*AF14*CI14^2*DATOS!$C$21))))*DATOS!$C$21*AF14*CI14/DATOS!$C$14&gt;DATOS!$C$99*AF14*CI14,-1,(1-SQRT((1-2*BI14*1E5/(DATOS!$C$29*AF14*CI14^2*DATOS!$C$21))))*DATOS!$C$21*AF14*CI14/DATOS!$C$14)))-0.0001,MAX(DATOS!$C$71,CEILING(CJ14/INDEX(TABLAS!$D$52:$D$58,MIN(MATCH(DATOS!$C$69,TABLAS!$B$52:$B$58,0)+2,7)),1)),MAX(MAX(DATOS!$C$71,CEILING(CJ14/INDEX(TABLAS!$D$52:$D$58,MIN(MATCH(DATOS!$C$69,TABLAS!$B$52:$B$58,0)+2,7)),1)),2))&lt;=MIN(DATOS!$C$70,INT(((DATOS!$C$80-2*AK14)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14&gt;=0,IF(MAX(DATOS!$C$71,CEILING(CJ14/INDEX(TABLAS!$D$52:$D$58,MIN(MATCH(DATOS!$C$69,TABLAS!$B$52:$B$58,0)+3,7)),1))*INDEX(TABLAS!$D$52:$D$58,MIN(MATCH(DATOS!$C$69,TABLAS!$B$52:$B$58,0)+3,7))&gt;=4/3*IF(BI14&lt;=0,0,IF((1-2*BI14*1E5/(DATOS!$C$29*AF14*CI14^2*DATOS!$C$21))&lt;0,-1,IF((1-SQRT((1-2*BI14*1E5/(DATOS!$C$29*AF14*CI14^2*DATOS!$C$21))))*DATOS!$C$21*AF14*CI14/DATOS!$C$14&gt;DATOS!$C$99*AF14*CI14,-1,(1-SQRT((1-2*BI14*1E5/(DATOS!$C$29*AF14*CI14^2*DATOS!$C$21))))*DATOS!$C$21*AF14*CI14/DATOS!$C$14)))-0.0001,MAX(DATOS!$C$71,CEILING(CJ14/INDEX(TABLAS!$D$52:$D$58,MIN(MATCH(DATOS!$C$69,TABLAS!$B$52:$B$58,0)+3,7)),1)),MAX(MAX(DATOS!$C$71,CEILING(CJ14/INDEX(TABLAS!$D$52:$D$58,MIN(MATCH(DATOS!$C$69,TABLAS!$B$52:$B$58,0)+3,7)),1)),2))&lt;=MIN(DATOS!$C$70,INT(((DATOS!$C$80-2*AK14)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14&gt;=0,IF(MAX(DATOS!$C$71,CEILING(CJ14/INDEX(TABLAS!$D$52:$D$58,MIN(MATCH(DATOS!$C$69,TABLAS!$B$52:$B$58,0)+4,7)),1))*INDEX(TABLAS!$D$52:$D$58,MIN(MATCH(DATOS!$C$69,TABLAS!$B$52:$B$58,0)+4,7))&gt;=4/3*IF(BI14&lt;=0,0,IF((1-2*BI14*1E5/(DATOS!$C$29*AF14*CI14^2*DATOS!$C$21))&lt;0,-1,IF((1-SQRT((1-2*BI14*1E5/(DATOS!$C$29*AF14*CI14^2*DATOS!$C$21))))*DATOS!$C$21*AF14*CI14/DATOS!$C$14&gt;DATOS!$C$99*AF14*CI14,-1,(1-SQRT((1-2*BI14*1E5/(DATOS!$C$29*AF14*CI14^2*DATOS!$C$21))))*DATOS!$C$21*AF14*CI14/DATOS!$C$14)))-0.0001,MAX(DATOS!$C$71,CEILING(CJ14/INDEX(TABLAS!$D$52:$D$58,MIN(MATCH(DATOS!$C$69,TABLAS!$B$52:$B$58,0)+4,7)),1)),MAX(MAX(DATOS!$C$71,CEILING(CJ14/INDEX(TABLAS!$D$52:$D$58,MIN(MATCH(DATOS!$C$69,TABLAS!$B$52:$B$58,0)+4,7)),1)),2))&lt;=MIN(DATOS!$C$70,INT(((DATOS!$C$80-2*AK14)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14" s="59" t="str">
        <f>IF(U14&lt;&gt;"SÍ","",IF(CJ14&lt;0,0,IF(MAX(DATOS!$C$71,CEILING(MAX(CJ14,0)/INDEX(TABLAS!$D$52:$D$58,MATCH(CK14,TABLAS!$B$52:$B$58,0)),1))*INDEX(TABLAS!$D$52:$D$58,MATCH(CK14,TABLAS!$B$52:$B$58,0))&gt;=4/3*IF(BI14&lt;=0,0,IF((1-2*BI14*1E5/(DATOS!$C$29*AF14*CI14^2*DATOS!$C$21))&lt;0,-1,IF((1-SQRT((1-2*BI14*1E5/(DATOS!$C$29*AF14*CI14^2*DATOS!$C$21))))*DATOS!$C$21*AF14*CI14/DATOS!$C$14&gt;DATOS!$C$99*AF14*CI14,-1,(1-SQRT((1-2*BI14*1E5/(DATOS!$C$29*AF14*CI14^2*DATOS!$C$21))))*DATOS!$C$21*AF14*CI14/DATOS!$C$14)))-0.0001,MAX(DATOS!$C$71,CEILING(MAX(CJ14,0)/INDEX(TABLAS!$D$52:$D$58,MATCH(CK14,TABLAS!$B$52:$B$58,0)),1)),MAX(MAX(DATOS!$C$71,CEILING(MAX(CJ14,0)/INDEX(TABLAS!$D$52:$D$58,MATCH(CK14,TABLAS!$B$52:$B$58,0)),1)),2))))</f>
        <v/>
      </c>
      <c r="CM14" s="58" t="str">
        <f>IF(U14&lt;&gt;"SÍ","",((DATOS!$C$82-AL14-2*DATOS!$C$94-INDEX(TABLAS!$C$52:$C$58,MATCH(BU14,TABLAS!$B$52:$B$58,0))-INDEX(TABLAS!$C$52:$C$58,MATCH(CK14,TABLAS!$B$52:$B$58,0))/2)-IF(AND((DATOS!$C$82-AL14-2*DATOS!$C$94-INDEX(TABLAS!$C$52:$C$58,MATCH(BU14,TABLAS!$B$52:$B$58,0))-INDEX(TABLAS!$C$52:$C$58,MATCH(CK14,TABLAS!$B$52:$B$58,0))/2)&lt;=20,DATOS!$C$62&lt;&gt;"SÍ"),2,0)))</f>
        <v/>
      </c>
      <c r="CN14" s="56" t="str">
        <f>IF(U14&lt;&gt;"SÍ","",IF(CL14=0,0,DATOS!$C$29*CL14*INDEX(TABLAS!$D$52:$D$58,MATCH(CK14,TABLAS!$B$52:$B$58,0))*DATOS!$C$14*(CM14-CL14*INDEX(TABLAS!$D$52:$D$58,MATCH(CK14,TABLAS!$B$52:$B$58,0))*DATOS!$C$14/(DATOS!$C$21*AF14)/2)/1E5))</f>
        <v/>
      </c>
      <c r="CO14" s="65" t="str">
        <f>IF(U14&lt;&gt;"SÍ","",IF(CJ14&lt;0,9.99,IF(CN14&gt;0,BI14/CN14,0)))</f>
        <v/>
      </c>
      <c r="CP14" s="66" t="str">
        <f>IF(U14&lt;&gt;"SÍ","",IF(CL14=0,"—",0.003*(CM14-(CL14*INDEX(TABLAS!$D$52:$D$58,MATCH(CK14,TABLAS!$B$52:$B$58,0))*DATOS!$C$14/(DATOS!$C$21*AF14)/DATOS!$C$22))/(CL14*INDEX(TABLAS!$D$52:$D$58,MATCH(CK14,TABLAS!$B$52:$B$58,0))*DATOS!$C$14/(DATOS!$C$21*AF14)/DATOS!$C$22)))</f>
        <v/>
      </c>
      <c r="CQ14" s="56" t="str">
        <f>IF(U14&lt;&gt;"SÍ","",IF(C14="PERIMETRAL",MAX(0,(AA14/2-BW14)/100)*(0.95-0.5*Z14)*AQ14*IF(AND(AR14&gt;0,AR14&lt;4),DATOS!$C$33,1)*DATOS!$C$83/100/1000,(AQ14*MAX(0,AA14-BW14)/100+DATOS!$C$26*N(O14))*DATOS!$C$83/100/1000+BE14))</f>
        <v/>
      </c>
      <c r="CR14" s="56" t="str">
        <f>IF(U14&lt;&gt;"SÍ","",DATOS!$C$30*2*MIN(1,SQRT(2/(1+0.04*BW14)))*(BV14*INDEX(TABLAS!$D$52:$D$58,MATCH(BU14,TABLAS!$B$52:$B$58,0))/(AE14*BW14))^(1/3)*SQRT(DATOS!$C$13)*AE14*BW14*IF(AI14="SÍ",DATOS!$C$32,1)/1000)</f>
        <v/>
      </c>
      <c r="CS14" s="59" t="str">
        <f>IF(U14&lt;&gt;"SÍ","",IF(CQ14&lt;=CR14,0,CEILING(MAX(0,IF(C14="VOLADO",(AA14-((CR14-BE14)*1E5/DATOS!$C$83-DATOS!$C$26*N(O14))*100/AQ14),IF(CR14&lt;=0,AA14,AA14/2-CR14/MAX(CQ14,1E-9)*(AA14/2-BW14)))-IF(INT((X14*100-DATOS!$C$84+DATOS!$C$80)/DATOS!$C$83)&gt;0,(X14*100-DATOS!$C$84-(INT((X14*100-DATOS!$C$84+DATOS!$C$80)/DATOS!$C$83)*DATOS!$C$78+(INT((X14*100-DATOS!$C$84+DATOS!$C$80)/DATOS!$C$83)-1)*DATOS!$C$80))/2,X14*100/2))/DATOS!$C$83,1)))</f>
        <v/>
      </c>
      <c r="CT14" s="67" t="str">
        <f>IF(U14&lt;&gt;"SÍ","",IF(CQ14&lt;=CR14,"CUMPLE",IF(CS14&lt;=0,"CUMPLE (basta el macizo de orilla)",IF(CS14*DATOS!$C$83*IF(C14="VOLADO",1,2)&gt;=X14*100-DATOS!$C$84,"NO CUMPLE: no alcanza ni macizando todo","MACIZAR "&amp;CS14&amp;" hilera(s)"))))</f>
        <v/>
      </c>
      <c r="CU14" s="58" t="str">
        <f>IF(U14&lt;&gt;"SÍ","",(DATOS!$C$83*DATOS!$C$81^2/2+AC14*DATOS!$C$79*(DATOS!$C$81+DATOS!$C$79/2))/(DATOS!$C$83*DATOS!$C$81+AC14*DATOS!$C$79))</f>
        <v/>
      </c>
      <c r="CV14" s="68" t="str">
        <f>IF(U14&lt;&gt;"SÍ","",DATOS!$C$83*DATOS!$C$81^3/12+DATOS!$C$83*DATOS!$C$81*(CU14-DATOS!$C$81/2)^2+AC14*DATOS!$C$79^3/12+AC14*DATOS!$C$79*(DATOS!$C$81+DATOS!$C$79/2-CU14)^2)</f>
        <v/>
      </c>
      <c r="CW14" s="58" t="str">
        <f>IF(U14&lt;&gt;"SÍ","",(12*CV14/DATOS!$C$83)^(1/3))</f>
        <v/>
      </c>
      <c r="CX14" s="58" t="str">
        <f>IF(U14&lt;&gt;"SÍ","",IF(C14="PERIMETRAL",IF(ISNUMBER(R14),R14,DATOS!$C$101),0))</f>
        <v/>
      </c>
      <c r="CY14" s="57" t="str">
        <f>IF(U14&lt;&gt;"SÍ","",IF(C14="PERIMETRAL",IF(CX14&gt;2,MAX(9,AB14*(0.8+DATOS!$C$14/14000)/(36+9*(AB14/MAX(AA14,1)))),IF(CX14&gt;0.2,MAX(13,AB14*(0.8+DATOS!$C$14/14000)/(36+5*(AB14/MAX(AA14,1))*(CX14-0.2))),MAX(13,AB14/IF(AR14&gt;0,30,33))))*IF(AND(CX14&gt;0.2,AR14&gt;0,DATOS!$C$102="NO"),1.1,1),X14*100/8))</f>
        <v/>
      </c>
      <c r="CZ14" s="61" t="str">
        <f>IF(U14&lt;&gt;"SÍ","",IF(IF(C14="VOLADO",DATOS!$C$82,CW14)&gt;=CY14,"CUMPLE",IF(C14="VOLADO","NO CUMPLE","CALCULAR FLECHA")))</f>
        <v/>
      </c>
      <c r="DA14" s="55" t="str">
        <f>IF(U14&lt;&gt;"SÍ","",IF(DATOS!$C$81&gt;=IF(IF(C14="VOLADO",X14,Y14)&gt;=6,6,5),"CUMPLE","CAPA ≥ 6 cm"))</f>
        <v/>
      </c>
      <c r="DB14" s="60" t="str">
        <f>IF(U14&lt;&gt;"SÍ","",IF(C14="VOLADO",MIN(CEILING(IF(ISNUMBER(P14),P14,X14)*100,5),CEILING(MAX(IF((0.5*(0.9*DATOS!$C$87*DATOS!$C$83/100/1000)*IF(ISNUMBER(P14),P14,X14)+BG14/IF(ISNUMBER(P14),P14,X14))^2-4*(0.5*(0.9*DATOS!$C$87*DATOS!$C$83/100/1000))*BG14&lt;0,IF(ISNUMBER(P14),P14,X14),MIN(IF(ISNUMBER(P14),P14,X14),((0.5*(0.9*DATOS!$C$87*DATOS!$C$83/100/1000)*IF(ISNUMBER(P14),P14,X14)+BG14/IF(ISNUMBER(P14),P14,X14))-SQRT((0.5*(0.9*DATOS!$C$87*DATOS!$C$83/100/1000)*IF(ISNUMBER(P14),P14,X14)+BG14/IF(ISNUMBER(P14),P14,X14))^2-4*(0.5*(0.9*DATOS!$C$87*DATOS!$C$83/100/1000))*BG14))/(2*(0.5*(0.9*DATOS!$C$87*DATOS!$C$83/100/1000)))))*100+MAX(BW14,12*INDEX(TABLAS!$C$52:$C$58,MATCH(BU14,TABLAS!$B$52:$B$58,0)),IF(ISNUMBER(P14),P14,X14)*100/16),IF(OR(AK14&lt;INDEX(TABLAS!$C$52:$C$58,MATCH(BU14,TABLAS!$B$52:$B$58,0)),AND(BV14&gt;=2,(AC14-2*AK14-BV14*INDEX(TABLAS!$C$52:$C$58,MATCH(BU14,TABLAS!$B$52:$B$58,0)))/MAX(BV14-1,1)&lt;2*INDEX(TABLAS!$C$52:$C$58,MATCH(BU14,TABLAS!$B$52:$B$58,0)))),INDEX(TABLAS!$I$52:$I$58,MATCH(BU14,TABLAS!$B$52:$B$58,0)),INDEX(TABLAS!$F$52:$F$58,MATCH(BU14,TABLAS!$B$52:$B$58,0)))),5)),IF(((4*((BB14*AQ14*X14^2*1E-4*DATOS!$C$83/100/1000)+((MAX(AX14,AZ14)*AQ14*X14^2*1E-4*DATOS!$C$83/100/1000)+(IF(AND(AX14&gt;0,AZ14&gt;0),MIN(AX14,AZ14),MAX(AX14,AZ14))*AQ14*X14^2*1E-4*DATOS!$C$83/100/1000))/2)+BG14-(IF(AND(AX14&gt;0,AZ14&gt;0),MIN(AX14,AZ14),MAX(AX14,AZ14))*AQ14*X14^2*1E-4*DATOS!$C$83/100/1000))^2-16*((BB14*AQ14*X14^2*1E-4*DATOS!$C$83/100/1000)+((MAX(AX14,AZ14)*AQ14*X14^2*1E-4*DATOS!$C$83/100/1000)+(IF(AND(AX14&gt;0,AZ14&gt;0),MIN(AX14,AZ14),MAX(AX14,AZ14))*AQ14*X14^2*1E-4*DATOS!$C$83/100/1000))/2)*BG14)&lt;0,CEILING(AA14,5),CEILING(MAX(AA14*((4*((BB14*AQ14*X14^2*1E-4*DATOS!$C$83/100/1000)+((MAX(AX14,AZ14)*AQ14*X14^2*1E-4*DATOS!$C$83/100/1000)+(IF(AND(AX14&gt;0,AZ14&gt;0),MIN(AX14,AZ14),MAX(AX14,AZ14))*AQ14*X14^2*1E-4*DATOS!$C$83/100/1000))/2)+BG14-(IF(AND(AX14&gt;0,AZ14&gt;0),MIN(AX14,AZ14),MAX(AX14,AZ14))*AQ14*X14^2*1E-4*DATOS!$C$83/100/1000))-SQRT(MAX(0,((4*((BB14*AQ14*X14^2*1E-4*DATOS!$C$83/100/1000)+((MAX(AX14,AZ14)*AQ14*X14^2*1E-4*DATOS!$C$83/100/1000)+(IF(AND(AX14&gt;0,AZ14&gt;0),MIN(AX14,AZ14),MAX(AX14,AZ14))*AQ14*X14^2*1E-4*DATOS!$C$83/100/1000))/2)+BG14-(IF(AND(AX14&gt;0,AZ14&gt;0),MIN(AX14,AZ14),MAX(AX14,AZ14))*AQ14*X14^2*1E-4*DATOS!$C$83/100/1000))^2-16*((BB14*AQ14*X14^2*1E-4*DATOS!$C$83/100/1000)+((MAX(AX14,AZ14)*AQ14*X14^2*1E-4*DATOS!$C$83/100/1000)+(IF(AND(AX14&gt;0,AZ14&gt;0),MIN(AX14,AZ14),MAX(AX14,AZ14))*AQ14*X14^2*1E-4*DATOS!$C$83/100/1000))/2)*BG14))))/(8*MAX(((BB14*AQ14*X14^2*1E-4*DATOS!$C$83/100/1000)+((MAX(AX14,AZ14)*AQ14*X14^2*1E-4*DATOS!$C$83/100/1000)+(IF(AND(AX14&gt;0,AZ14&gt;0),MIN(AX14,AZ14),MAX(AX14,AZ14))*AQ14*X14^2*1E-4*DATOS!$C$83/100/1000))/2),1E-9))+MAX(BW14,12*INDEX(TABLAS!$C$52:$C$58,MATCH(BU14,TABLAS!$B$52:$B$58,0)),AA14/16),IF(OR(AK14&lt;INDEX(TABLAS!$C$52:$C$58,MATCH(BU14,TABLAS!$B$52:$B$58,0)),AND(BV14&gt;=2,(AC14-2*AK14-BV14*INDEX(TABLAS!$C$52:$C$58,MATCH(BU14,TABLAS!$B$52:$B$58,0)))/MAX(BV14-1,1)&lt;2*INDEX(TABLAS!$C$52:$C$58,MATCH(BU14,TABLAS!$B$52:$B$58,0)))),INDEX(TABLAS!$I$52:$I$58,MATCH(BU14,TABLAS!$B$52:$B$58,0)),INDEX(TABLAS!$F$52:$F$58,MATCH(BU14,TABLAS!$B$52:$B$58,0)))),5))))</f>
        <v/>
      </c>
      <c r="DC14" s="60" t="str">
        <f>IF(U14&lt;&gt;"SÍ","",IF(C14="VOLADO",0,IF(((4*((BC14*AQ14*X14^2*1E-4*DATOS!$C$83/100/1000)+((MAX(AY14,BA14)*AQ14*X14^2*1E-4*DATOS!$C$83/100/1000)+(IF(AND(AY14&gt;0,BA14&gt;0),MIN(AY14,BA14),MAX(AY14,BA14))*AQ14*X14^2*1E-4*DATOS!$C$83/100/1000))/2)+BI14-(IF(AND(AY14&gt;0,BA14&gt;0),MIN(AY14,BA14),MAX(AY14,BA14))*AQ14*X14^2*1E-4*DATOS!$C$83/100/1000))^2-16*((BC14*AQ14*X14^2*1E-4*DATOS!$C$83/100/1000)+((MAX(AY14,BA14)*AQ14*X14^2*1E-4*DATOS!$C$83/100/1000)+(IF(AND(AY14&gt;0,BA14&gt;0),MIN(AY14,BA14),MAX(AY14,BA14))*AQ14*X14^2*1E-4*DATOS!$C$83/100/1000))/2)*BI14)&lt;0,CEILING(AB14,5),CEILING(MAX(AB14*((4*((BC14*AQ14*X14^2*1E-4*DATOS!$C$83/100/1000)+((MAX(AY14,BA14)*AQ14*X14^2*1E-4*DATOS!$C$83/100/1000)+(IF(AND(AY14&gt;0,BA14&gt;0),MIN(AY14,BA14),MAX(AY14,BA14))*AQ14*X14^2*1E-4*DATOS!$C$83/100/1000))/2)+BI14-(IF(AND(AY14&gt;0,BA14&gt;0),MIN(AY14,BA14),MAX(AY14,BA14))*AQ14*X14^2*1E-4*DATOS!$C$83/100/1000))-SQRT(MAX(0,((4*((BC14*AQ14*X14^2*1E-4*DATOS!$C$83/100/1000)+((MAX(AY14,BA14)*AQ14*X14^2*1E-4*DATOS!$C$83/100/1000)+(IF(AND(AY14&gt;0,BA14&gt;0),MIN(AY14,BA14),MAX(AY14,BA14))*AQ14*X14^2*1E-4*DATOS!$C$83/100/1000))/2)+BI14-(IF(AND(AY14&gt;0,BA14&gt;0),MIN(AY14,BA14),MAX(AY14,BA14))*AQ14*X14^2*1E-4*DATOS!$C$83/100/1000))^2-16*((BC14*AQ14*X14^2*1E-4*DATOS!$C$83/100/1000)+((MAX(AY14,BA14)*AQ14*X14^2*1E-4*DATOS!$C$83/100/1000)+(IF(AND(AY14&gt;0,BA14&gt;0),MIN(AY14,BA14),MAX(AY14,BA14))*AQ14*X14^2*1E-4*DATOS!$C$83/100/1000))/2)*BI14))))/(8*MAX(((BC14*AQ14*X14^2*1E-4*DATOS!$C$83/100/1000)+((MAX(AY14,BA14)*AQ14*X14^2*1E-4*DATOS!$C$83/100/1000)+(IF(AND(AY14&gt;0,BA14&gt;0),MIN(AY14,BA14),MAX(AY14,BA14))*AQ14*X14^2*1E-4*DATOS!$C$83/100/1000))/2),1E-9))+MAX(CM14,12*INDEX(TABLAS!$C$52:$C$58,MATCH(CK14,TABLAS!$B$52:$B$58,0)),AB14/16),IF(OR(AK14&lt;INDEX(TABLAS!$C$52:$C$58,MATCH(CK14,TABLAS!$B$52:$B$58,0)),AND(CL14&gt;=2,(DATOS!$C$80-2*AK14-CL14*INDEX(TABLAS!$C$52:$C$58,MATCH(CK14,TABLAS!$B$52:$B$58,0)))/MAX(CL14-1,1)&lt;2*INDEX(TABLAS!$C$52:$C$58,MATCH(CK14,TABLAS!$B$52:$B$58,0)))),INDEX(TABLAS!$I$52:$I$58,MATCH(CK14,TABLAS!$B$52:$B$58,0)),INDEX(TABLAS!$F$52:$F$58,MATCH(CK14,TABLAS!$B$52:$B$58,0)))),5))))</f>
        <v/>
      </c>
      <c r="DD14" s="55" t="str">
        <f>IF(U14&lt;&gt;"SÍ","",IF(AND(C14="PERIMETRAL",BV14&gt;=2,AR14-AS14&gt;0,AZ14*AQ14*X14^2*1E-4*DATOS!$C$83/100/1000&gt;DATOS!$C$29*INDEX(TABLAS!$D$52:$D$58,MATCH(BU14,TABLAS!$B$52:$B$58,0))*DATOS!$C$14*(BW14-INDEX(TABLAS!$D$52:$D$58,MATCH(BU14,TABLAS!$B$52:$B$58,0))*DATOS!$C$14/(DATOS!$C$21*AE14)/2)/1E5),"SÍ","NO"))</f>
        <v/>
      </c>
      <c r="DE14" s="55" t="str">
        <f>IF(U14&lt;&gt;"SÍ","",IF(AND(C14="PERIMETRAL",CL14&gt;=2,AS14&gt;0,BA14*AQ14*X14^2*1E-4*DATOS!$C$83/100/1000&gt;DATOS!$C$29*INDEX(TABLAS!$D$52:$D$58,MATCH(CK14,TABLAS!$B$52:$B$58,0))*DATOS!$C$14*(CM14-INDEX(TABLAS!$D$52:$D$58,MATCH(CK14,TABLAS!$B$52:$B$58,0))*DATOS!$C$14/(DATOS!$C$21*AF14)/2)/1E5),"SÍ","NO"))</f>
        <v/>
      </c>
      <c r="DF14" s="63" t="str">
        <f>IF(U14&lt;&gt;"SÍ","",IF(OR(C14="VOLADO",AR14=0),"—",IF(AND(AND(1.25*INDEX(TABLAS!$G$52:$G$58,MATCH(MAX(BM14,CC14),TABLAS!$B$52:$B$58,0))&lt;=(DATOS!$C$72-DATOS!$C$60),(DATOS!$C$72-DATOS!$C$60)&gt;=15,INDEX(TABLAS!$G$52:$G$58,MATCH(MAX(BU14,CK14),TABLAS!$B$52:$B$58,0))&lt;=(DATOS!$C$72-DATOS!$C$60)),8*INDEX(TABLAS!$C$52:$C$58,MATCH(MAX(MAX(BM14,CC14),MAX(BU14,CK14)),TABLAS!$B$52:$B$58,0))&lt;=DATOS!$C$73-2*DATOS!$C$60),"CUMPLE (gancho de 180°)",IF(AND(1.25*INDEX(TABLAS!$G$52:$G$58,MATCH(MAX(BM14,CC14),TABLAS!$B$52:$B$58,0))&lt;=(DATOS!$C$72-DATOS!$C$60),(DATOS!$C$72-DATOS!$C$60)&gt;=15,INDEX(TABLAS!$G$52:$G$58,MATCH(MAX(BU14,CK14),TABLAS!$B$52:$B$58,0))&lt;=(DATOS!$C$72-DATOS!$C$60)),"NO CUMPLE: el gancho de 180° (8·d_b) no cabe en el peralte de la dala de borde","NO CUMPLE: dala de borde ≥ "&amp;TEXT(CEILING(MAX(1.25*INDEX(TABLAS!$G$52:$G$58,MATCH(MAX(BM14,CC14),TABLAS!$B$52:$B$58,0)),15,INDEX(TABLAS!$G$52:$G$58,MATCH(MAX(BU14,CK14),TABLAS!$B$52:$B$58,0)))+DATOS!$C$60,5),"0")&amp;" cm de ancho"&amp;IF(8*INDEX(TABLAS!$C$52:$C$58,MATCH(MAX(MAX(BM14,CC14),MAX(BU14,CK14)),TABLAS!$B$52:$B$58,0))&lt;=DATOS!$C$73-2*DATOS!$C$60,""," y más peralte para el gancho")))))</f>
        <v/>
      </c>
      <c r="DG14" s="59" t="str">
        <f>IF(U14&lt;&gt;"SÍ","",MAX(0,INT((E14*100-DATOS!$C$84+DATOS!$C$83-IF(W14="X",DATOS!$C$78,AD14))/DATOS!$C$83)))</f>
        <v/>
      </c>
      <c r="DH14" s="59" t="str">
        <f>IF(U14&lt;&gt;"SÍ","",MAX(0,INT((F14*100-DATOS!$C$84+DATOS!$C$83-IF(W14="Y",DATOS!$C$78,AD14))/DATOS!$C$83)))</f>
        <v/>
      </c>
      <c r="DI14" s="57" t="str">
        <f>IF(U14&lt;&gt;"SÍ","",IF(DG14&gt;0,(E14*100-DATOS!$C$84-(DG14*IF(W14="X",DATOS!$C$78,AD14)+(DG14-1)*(DATOS!$C$83-IF(W14="X",DATOS!$C$78,AD14))))/2,E14*100/2))</f>
        <v/>
      </c>
      <c r="DJ14" s="57" t="str">
        <f>IF(U14&lt;&gt;"SÍ","",IF(DH14&gt;0,(F14*100-DATOS!$C$84-(DH14*IF(W14="Y",DATOS!$C$78,AD14)+(DH14-1)*(DATOS!$C$83-IF(W14="Y",DATOS!$C$78,AD14))))/2,F14*100/2))</f>
        <v/>
      </c>
      <c r="DK14" s="59" t="str">
        <f>IF(U14&lt;&gt;"SÍ","",IF(NOT(AND(C14="VOLADO",AC14&gt;DATOS!$C$80)),0,IF(INDEX(TABLAS!$C$52:$C$58,MATCH(BU14,TABLAS!$B$52:$B$58,0))&lt;=DATOS!$C$80-2*DATOS!$C$60,1,0)))</f>
        <v/>
      </c>
      <c r="DL14" s="58" t="str">
        <f>IF(U14&lt;&gt;"SÍ","",IF(NOT(AND(C14="VOLADO",AC14&gt;DATOS!$C$80)),0,((DATOS!$C$82-MAX(DATOS!$C$60,(DATOS!$C$81-2*DATOS!$C$94)/2)-2*DATOS!$C$94-INDEX(TABLAS!$C$52:$C$58,MATCH(BU14,TABLAS!$B$52:$B$58,0))/2)-IF(AND((DATOS!$C$82-MAX(DATOS!$C$60,(DATOS!$C$81-2*DATOS!$C$94)/2)-2*DATOS!$C$94-INDEX(TABLAS!$C$52:$C$58,MATCH(BU14,TABLAS!$B$52:$B$58,0))/2)&lt;=20,DATOS!$C$62&lt;&gt;"SÍ"),2,0))))</f>
        <v/>
      </c>
      <c r="DM14" s="56" t="str">
        <f>IF(U14&lt;&gt;"SÍ","",IF(OR(NOT(AND(C14="VOLADO",AC14&gt;DATOS!$C$80)),DK14&lt;1),0,IF(0.003*(DL14-((DK14*INDEX(TABLAS!$D$52:$D$58,MATCH(BU14,TABLAS!$B$52:$B$58,0)))*DATOS!$C$14/(DATOS!$C$21*AF14)/DATOS!$C$22))/((DK14*INDEX(TABLAS!$D$52:$D$58,MATCH(BU14,TABLAS!$B$52:$B$58,0)))*DATOS!$C$14/(DATOS!$C$21*AF14)/DATOS!$C$22)&lt;0.005,0,DATOS!$C$29*(DK14*INDEX(TABLAS!$D$52:$D$58,MATCH(BU14,TABLAS!$B$52:$B$58,0)))*DATOS!$C$14*(DL14-(DK14*INDEX(TABLAS!$D$52:$D$58,MATCH(BU14,TABLAS!$B$52:$B$58,0)))*DATOS!$C$14/(DATOS!$C$21*AF14)/2)/1E5)))</f>
        <v/>
      </c>
      <c r="DN14" s="56" t="str">
        <f>IF(U14&lt;&gt;"SÍ","",IF(OR(NOT(AND(C14="VOLADO",AC14&gt;DATOS!$C$80)),DK14&lt;1),0,DATOS!$C$30*2*MIN(1,SQRT(2/(1+0.04*DL14)))*((DK14*INDEX(TABLAS!$D$52:$D$58,MATCH(BU14,TABLAS!$B$52:$B$58,0)))/(AF14*DL14))^(1/3)*SQRT(DATOS!$C$13)*AF14*DL14/1000))</f>
        <v/>
      </c>
      <c r="DO14" s="56" t="str">
        <f>IF(U14&lt;&gt;"SÍ","",IF(NOT(AND(C14="VOLADO",AC14&gt;DATOS!$C$80)),0,IF((BG14-DM14)&lt;=0,0,IF(DM14&lt;=0,IF(ISNUMBER(P14),P14,X14),IF(((0.9*DATOS!$C$87*DATOS!$C$83/100/1000)*IF(ISNUMBER(P14),P14,X14)/2+BG14/IF(ISNUMBER(P14),P14,X14))^2-4*((0.9*DATOS!$C$87*DATOS!$C$83/100/1000)/2)*(BG14-DM14)&lt;0,IF(ISNUMBER(P14),P14,X14),MIN(IF(ISNUMBER(P14),P14,X14),(((0.9*DATOS!$C$87*DATOS!$C$83/100/1000)*IF(ISNUMBER(P14),P14,X14)/2+BG14/IF(ISNUMBER(P14),P14,X14))-SQRT(((0.9*DATOS!$C$87*DATOS!$C$83/100/1000)*IF(ISNUMBER(P14),P14,X14)/2+BG14/IF(ISNUMBER(P14),P14,X14))^2-4*((0.9*DATOS!$C$87*DATOS!$C$83/100/1000)/2)*(BG14-DM14)))/(2*((0.9*DATOS!$C$87*DATOS!$C$83/100/1000)/2))))))))</f>
        <v/>
      </c>
      <c r="DP14" s="56" t="str">
        <f>IF(U14&lt;&gt;"SÍ","",IF(NOT(AND(C14="VOLADO",AC14&gt;DATOS!$C$80)),0,MIN(IF(ISNUMBER(P14),P14,X14),MAX(0,IF(ISNUMBER(P14),P14,X14)/2+BG14/IF(ISNUMBER(P14),P14,X14)/(AQ14*DATOS!$C$83/100/1000)-DN14/(AQ14*DATOS!$C$83/100/1000)))))</f>
        <v/>
      </c>
      <c r="DQ14" s="56" t="str">
        <f>IF(U14&lt;&gt;"SÍ","",IF(NOT(AND(C14="VOLADO",AC14&gt;DATOS!$C$80)),0,BG14/IF(ISNUMBER(P14),P14,X14)+(AQ14*DATOS!$C$83/100/1000)*MAX(0,IF(ISNUMBER(P14),P14,X14)/2-BW14/100)))</f>
        <v/>
      </c>
      <c r="DR14" s="59" t="str">
        <f>IF(U14&lt;&gt;"SÍ","",IF(NOT(AND(C14="VOLADO",AC14&gt;DATOS!$C$80)),0,CEILING(100*MIN(IF(ISNUMBER(P14),P14,X14),MAX(IF(DO14&gt;0,DO14+IF(BV14&gt;=2,MAX(DL14,12*INDEX(TABLAS!$C$52:$C$58,MATCH(BU14,TABLAS!$B$52:$B$58,0)))/100,0),0),DP14,IF(BV14&gt;=2,INDEX(TABLAS!$F$52:$F$58,MATCH(BU14,TABLAS!$B$52:$B$58,0))/100,0))),5)))</f>
        <v/>
      </c>
      <c r="DS14" s="60" t="str">
        <f>IF(U14&lt;&gt;"SÍ","",IF(NOT(AND(C14="VOLADO",AC14&gt;DATOS!$C$80)),0,IF(DR14&lt;=0,0,CEILING(DR14/DATOS!$C$83,1))))</f>
        <v/>
      </c>
      <c r="DT14" s="61" t="str">
        <f>IF(U14&lt;&gt;"SÍ","",IF(C14&lt;&gt;"VOLADO","—",IF(AC14&lt;=DATOS!$C$80,"— (mismo b_w que el respaldo)",IF(DQ14&gt;CR14,"NO CUMPLE: cortante de la nervadura ancha junto al apoyo ("&amp;TEXT(DQ14,"0.00")&amp;" &gt; "&amp;TEXT(CR14,"0.00")&amp;" t)",IF(DR14&gt;=100*IF(ISNUMBER(P14),P14,X14),"CUMPLE — todas las nervaduras del respaldo ‖ al volado con b_w = "&amp;AC14&amp;" cm","CUMPLE — "&amp;DS14&amp;" hilera(s) del respaldo con nervaduras de b_w = "&amp;AC14&amp;" cm (casetón "&amp;AD14&amp;" cm), hasta "&amp;TEXT(DR14/100,"0.00")&amp;" m del paño")))))</f>
        <v/>
      </c>
      <c r="DU14" s="69" t="str">
        <f>IF(U14&lt;&gt;"SÍ","",IF(BN14=0,"NO ALCANZA",BN14&amp;" No. "&amp;BM14&amp;IF(BN14&gt;1," corridas"," corrida")))</f>
        <v/>
      </c>
      <c r="DV14" s="69" t="str">
        <f>IF(U14&lt;&gt;"SÍ","",IF(BV14=0,"NO ALCANZA",IF(AND(C14="VOLADO",AC14&gt;DATOS!$C$80,BV14&gt;=2),"1 No. "&amp;BU14&amp;" corrida de la orilla al respaldo ("&amp;IF(DB14&gt;=100*IF(ISNUMBER(P14),P14,X14),"hasta su apoyo lejano, con gancho","entra "&amp;TEXT(DB14/100,"0.00")&amp;" m desde el paño")&amp;") + "&amp;(BV14-1)&amp;" bastón No. "&amp;BU14&amp;" hasta "&amp;TEXT(DR14/100,"0.00")&amp;" m del paño (fin de la nervadura ancha)",IF(C14="VOLADO",BV14&amp;" No. "&amp;BU14&amp;" de la orilla al respaldo ("&amp;IF(DB14&gt;=100*IF(ISNUMBER(P14),P14,X14),"hasta su apoyo lejano, con gancho","entran "&amp;TEXT(DB14/100,"0.00")&amp;" m desde el paño")&amp;")","1 No. "&amp;BU14&amp;" corrida"&amp;IF(BV14&gt;1," + "&amp;(BV14-1)&amp;" bastón No. "&amp;BU14&amp;" L = "&amp;TEXT(DB14/100,"0.00")&amp;" m desde el paño","")))))</f>
        <v/>
      </c>
      <c r="DW14" s="69" t="str">
        <f>IF(U14&lt;&gt;"SÍ","",IF(CD14=0,"NO ALCANZA",CD14&amp;" No. "&amp;CC14&amp;IF(CD14&gt;1," corridas"," corrida")))</f>
        <v/>
      </c>
      <c r="DX14" s="69" t="str">
        <f>IF(U14&lt;&gt;"SÍ","",IF(CL14=0,"NO ALCANZA",IF(C14="VOLADO","1 No. "&amp;CK14&amp;" corrida (repartición)","1 No. "&amp;CK14&amp;" corrida"&amp;IF(CL14&gt;1," + "&amp;(CL14-1)&amp;" bastón No. "&amp;CK14&amp;" L = "&amp;TEXT(DC14/100,"0.00")&amp;" m desde el paño",""))))</f>
        <v/>
      </c>
      <c r="DY14" s="67" t="str">
        <f>IF(B14="","",IF(U14&lt;&gt;"SÍ","FALTAN DATOS: tipo, a_x, a_y y destino",IF(L14="NO MONOLÍTICO (caso II)","FUERA DE ALCANCE: caso II no transcrito",IF(AND(C14="VOLADO",V14="?"),"REVISAR: el volado lleva UN solo borde CONTINUO (el empotrado)",IF(AND(MAX(BQ14,BY14,CG14,CO14)&lt;=1,NOT(OR(BN14&gt;MIN(DATOS!$C$70,INT(((AC14-2*AJ14)+MAX(DATOS!$C$67,INDEX(TABLAS!$C$52:$C$58,MATCH(BM14,TABLAS!$B$52:$B$58,0))))/(INDEX(TABLAS!$C$52:$C$58,MATCH(BM14,TABLAS!$B$52:$B$58,0))+MAX(DATOS!$C$67,INDEX(TABLAS!$C$52:$C$58,MATCH(BM14,TABLAS!$B$52:$B$58,0)))))),BV14&gt;MIN(DATOS!$C$70,INT(((AC14-2*AK14)+MAX(DATOS!$C$67,INDEX(TABLAS!$C$52:$C$58,MATCH(BU14,TABLAS!$B$52:$B$58,0))))/(INDEX(TABLAS!$C$52:$C$58,MATCH(BU14,TABLAS!$B$52:$B$58,0))+MAX(DATOS!$C$67,INDEX(TABLAS!$C$52:$C$58,MATCH(BU14,TABLAS!$B$52:$B$58,0)))))),CD14&gt;MIN(DATOS!$C$70,INT(((DATOS!$C$80-2*AJ14)+MAX(DATOS!$C$67,INDEX(TABLAS!$C$52:$C$58,MATCH(CC14,TABLAS!$B$52:$B$58,0))))/(INDEX(TABLAS!$C$52:$C$58,MATCH(CC14,TABLAS!$B$52:$B$58,0))+MAX(DATOS!$C$67,INDEX(TABLAS!$C$52:$C$58,MATCH(CC14,TABLAS!$B$52:$B$58,0)))))),CL14&gt;MIN(DATOS!$C$70,INT(((DATOS!$C$80-2*AK14)+MAX(DATOS!$C$67,INDEX(TABLAS!$C$52:$C$58,MATCH(CK14,TABLAS!$B$52:$B$58,0))))/(INDEX(TABLAS!$C$52:$C$58,MATCH(CK14,TABLAS!$B$52:$B$58,0))+MAX(DATOS!$C$67,INDEX(TABLAS!$C$52:$C$58,MATCH(CK14,TABLAS!$B$52:$B$58,0)))))))),NOT(OR(AND(ISNUMBER(BR14),BR14&lt;0.005),AND(ISNUMBER(BZ14),BZ14&lt;0.005),AND(ISNUMBER(CH14),CH14&lt;0.005),AND(ISNUMBER(CP14),CP14&lt;0.005))),NOT(LEFT(DT14,2)="NO"),CZ14="CUMPLE",DA14="CUMPLE",LEFT(CT14,2)&lt;&gt;"NO"),IF(LEFT(CT14,6)="CUMPLE","CUMPLE","CUMPLE — "&amp;CT14)&amp;IF(LEFT(BJ14,5)="FUERA"," · fuera de 3.4.2.1 c)","")&amp;IF(LEFT(DF14,2)="NO"," · REVISAR anclaje en borde discontinuo","")&amp;IF(DS14&gt;0," · respaldo: "&amp;DS14&amp;" hilera(s) de b_w "&amp;AC14&amp;" cm",""),IF(AND(MAX(BQ14,BY14,CG14,CO14)&lt;=1,NOT(OR(BN14&gt;MIN(DATOS!$C$70,INT(((AC14-2*AJ14)+MAX(DATOS!$C$67,INDEX(TABLAS!$C$52:$C$58,MATCH(BM14,TABLAS!$B$52:$B$58,0))))/(INDEX(TABLAS!$C$52:$C$58,MATCH(BM14,TABLAS!$B$52:$B$58,0))+MAX(DATOS!$C$67,INDEX(TABLAS!$C$52:$C$58,MATCH(BM14,TABLAS!$B$52:$B$58,0)))))),BV14&gt;MIN(DATOS!$C$70,INT(((AC14-2*AK14)+MAX(DATOS!$C$67,INDEX(TABLAS!$C$52:$C$58,MATCH(BU14,TABLAS!$B$52:$B$58,0))))/(INDEX(TABLAS!$C$52:$C$58,MATCH(BU14,TABLAS!$B$52:$B$58,0))+MAX(DATOS!$C$67,INDEX(TABLAS!$C$52:$C$58,MATCH(BU14,TABLAS!$B$52:$B$58,0)))))),CD14&gt;MIN(DATOS!$C$70,INT(((DATOS!$C$80-2*AJ14)+MAX(DATOS!$C$67,INDEX(TABLAS!$C$52:$C$58,MATCH(CC14,TABLAS!$B$52:$B$58,0))))/(INDEX(TABLAS!$C$52:$C$58,MATCH(CC14,TABLAS!$B$52:$B$58,0))+MAX(DATOS!$C$67,INDEX(TABLAS!$C$52:$C$58,MATCH(CC14,TABLAS!$B$52:$B$58,0)))))),CL14&gt;MIN(DATOS!$C$70,INT(((DATOS!$C$80-2*AK14)+MAX(DATOS!$C$67,INDEX(TABLAS!$C$52:$C$58,MATCH(CK14,TABLAS!$B$52:$B$58,0))))/(INDEX(TABLAS!$C$52:$C$58,MATCH(CK14,TABLAS!$B$52:$B$58,0))+MAX(DATOS!$C$67,INDEX(TABLAS!$C$52:$C$58,MATCH(CK14,TABLAS!$B$52:$B$58,0)))))))),NOT(OR(AND(ISNUMBER(BR14),BR14&lt;0.005),AND(ISNUMBER(BZ14),BZ14&lt;0.005),AND(ISNUMBER(CH14),CH14&lt;0.005),AND(ISNUMBER(CP14),CP14&lt;0.005))),NOT(LEFT(DT14,2)="NO"),CZ14="CALCULAR FLECHA",LEFT(CT14,2)&lt;&gt;"NO"),"REVISAR: calcular flecha (h_eq &lt; h mín.)"&amp;IF(LEFT(BJ14,5)="FUERA"," · fuera de 3.4.2.1 c)","")&amp;IF(LEFT(DF14,2)="NO"," · REVISAR anclaje en borde discontinuo","")&amp;IF(DS14&gt;0," · respaldo: "&amp;DS14&amp;" hilera(s) de b_w "&amp;AC14&amp;" cm",""),"NO CUMPLE: "&amp;IF(MAX(BQ14,BY14,CG14,CO14)&gt;1,"flexión ","")&amp;IF(OR(BN14&gt;MIN(DATOS!$C$70,INT(((AC14-2*AJ14)+MAX(DATOS!$C$67,INDEX(TABLAS!$C$52:$C$58,MATCH(BM14,TABLAS!$B$52:$B$58,0))))/(INDEX(TABLAS!$C$52:$C$58,MATCH(BM14,TABLAS!$B$52:$B$58,0))+MAX(DATOS!$C$67,INDEX(TABLAS!$C$52:$C$58,MATCH(BM14,TABLAS!$B$52:$B$58,0)))))),BV14&gt;MIN(DATOS!$C$70,INT(((AC14-2*AK14)+MAX(DATOS!$C$67,INDEX(TABLAS!$C$52:$C$58,MATCH(BU14,TABLAS!$B$52:$B$58,0))))/(INDEX(TABLAS!$C$52:$C$58,MATCH(BU14,TABLAS!$B$52:$B$58,0))+MAX(DATOS!$C$67,INDEX(TABLAS!$C$52:$C$58,MATCH(BU14,TABLAS!$B$52:$B$58,0)))))),CD14&gt;MIN(DATOS!$C$70,INT(((DATOS!$C$80-2*AJ14)+MAX(DATOS!$C$67,INDEX(TABLAS!$C$52:$C$58,MATCH(CC14,TABLAS!$B$52:$B$58,0))))/(INDEX(TABLAS!$C$52:$C$58,MATCH(CC14,TABLAS!$B$52:$B$58,0))+MAX(DATOS!$C$67,INDEX(TABLAS!$C$52:$C$58,MATCH(CC14,TABLAS!$B$52:$B$58,0)))))),CL14&gt;MIN(DATOS!$C$70,INT(((DATOS!$C$80-2*AK14)+MAX(DATOS!$C$67,INDEX(TABLAS!$C$52:$C$58,MATCH(CK14,TABLAS!$B$52:$B$58,0))))/(INDEX(TABLAS!$C$52:$C$58,MATCH(CK14,TABLAS!$B$52:$B$58,0))+MAX(DATOS!$C$67,INDEX(TABLAS!$C$52:$C$58,MATCH(CK14,TABLAS!$B$52:$B$58,0))))))),"no caben ","")&amp;IF(OR(AND(ISNUMBER(BR14),BR14&lt;0.005),AND(ISNUMBER(BZ14),BZ14&lt;0.005),AND(ISNUMBER(CH14),CH14&lt;0.005),AND(ISNUMBER(CP14),CP14&lt;0.005)),"ε_t &lt; 0.005 ","")&amp;IF(LEFT(CT14,2)="NO","cortante ","")&amp;IF(CZ14="NO CUMPLE","peralte ","")&amp;IF(DA14&lt;&gt;"CUMPLE","capa &lt; 6 cm ","")&amp;IF(LEFT(DT14,2)="NO","respaldo del volado","")))))))</f>
        <v/>
      </c>
      <c r="DZ14" s="70" t="str">
        <f>IF(U14&lt;&gt;"SÍ","",IF(LEFT(B14,7)="EJEMPLO","EJEMPLO de la hoja de Casa Rocha: bórralo o sobrescríbelo. ","")&amp;IF(AND(C14="PERIMETRAL",MIN(DG14,DH14)=0),"No cabe un casetón en el claro corto: es un tablero macizo, diséñalo en MACIZAS. ","")&amp;IF(AND(AI14="NO",C14="PERIMETRAL"),"No cumple 6.7.8.1.4 (a_c = "&amp;MAX(DATOS!$C$78,AD14)&amp;" cm &gt; claro corto/6 = "&amp;TEXT(X14*100/6,"0")&amp;" cm): se diseña como losa apoyada en vigas (6.7.8.1.9): r de viga = "&amp;DATOS!$C$60&amp;" cm y V_cR sin ×1.1. Para que cuente como encasetonada: casetón de "&amp;TEXT(FLOOR(MIN(80,X14*100/6),1),"0")&amp;" cm o menor. ","")&amp;IF(C14="VOLADO","Volado de "&amp;TEXT(X14,"0.00")&amp;" m empotrado en el borde "&amp;LOWER(V14)&amp;IF(N(O14)&gt;0,", con "&amp;TEXT(O14,"0.0")&amp;" kg/m en la orilla","")&amp;". Lecho inferior con r_ext. Si la orilla carga pretil u otro elemento frágil, calcula la flecha (13.4). El acero superior entra al respaldo de "&amp;TEXT(IF(ISNUMBER(P14),P14,X14),"0.00")&amp;" m"&amp;IF(ISNUMBER(P14),""," (L_b no capturado: se tomó igual al volado)")&amp;" hasta pasar M = 0 con 0.9·PP sin carga viva; si ahí no se anula, llega al apoyo lejano y se ancla con gancho (NTC-Criterios 3.4.1 c y 5.1.2.2). "&amp;IF(AC14&gt;DATOS!$C$80,"Respaldo: "&amp;DT14&amp;". ",""),"")&amp;IF(LEFT(BJ14,5)="FUERA","El M⁻ del vecino difiere más de 50 % (3.4.2.1 c): distribuye el desequilibrio (3.4.3.1) o confirma con un modelo; se arma con el mayor. ","")&amp;IF(OR(DD14="SÍ",DE14="SÍ"),"El M⁻ del borde discontinuo pide bastón también ahí (con gancho). ","")&amp;IF(LEFT(DF14,2)="NO","Anclaje: "&amp;DF14&amp;" (6.7.8.1.7). ","")&amp;IF(OR(AZ14&gt;0,BA14&gt;0),"Esquinas exteriores sobre muro: refuerzo de esquina arriba y abajo en L_largo/5 (6.7.7.3.1). ",""))</f>
        <v/>
      </c>
    </row>
    <row r="15" ht="33" customHeight="1">
      <c r="A15" s="50">
        <f>IF(B15="",0,1)+A14</f>
        <v>4</v>
      </c>
      <c r="B15" s="29" t="n"/>
      <c r="C15" s="51" t="n"/>
      <c r="D15" s="29" t="n"/>
      <c r="E15" s="52" t="n"/>
      <c r="F15" s="52" t="n"/>
      <c r="G15" s="51" t="n"/>
      <c r="H15" s="51" t="n"/>
      <c r="I15" s="51" t="n"/>
      <c r="J15" s="51" t="n"/>
      <c r="K15" s="51" t="n"/>
      <c r="L15" s="51" t="n"/>
      <c r="M15" s="53" t="n"/>
      <c r="N15" s="53" t="n"/>
      <c r="O15" s="54" t="n"/>
      <c r="P15" s="52" t="n"/>
      <c r="Q15" s="53" t="n"/>
      <c r="R15" s="54" t="n"/>
      <c r="S15" s="52" t="n"/>
      <c r="T15" s="52" t="n"/>
      <c r="U15" s="55" t="str">
        <f>IF(B15="","",IF(AND(OR(C15="PERIMETRAL",C15="VOLADO"),ISNUMBER(E15),ISNUMBER(F15),E15&gt;0,F15&gt;0,OR(ISNUMBER(N15),ISNUMBER(MATCH(D15,DATOS!$B$46:$B$55,0)))),"SÍ","NO"))</f>
        <v/>
      </c>
      <c r="V15" s="55" t="str">
        <f>IF(U15&lt;&gt;"SÍ","",IF(C15&lt;&gt;"VOLADO","—",IF(COUNTIF(G15:J15,"CONTINUO")&lt;&gt;1,"?",IF(G15="CONTINUO","INFERIOR",IF(H15="CONTINUO","SUPERIOR",IF(I15="CONTINUO","IZQUIERDO","DERECHO"))))))</f>
        <v/>
      </c>
      <c r="W15" s="55" t="str">
        <f>IF(U15&lt;&gt;"SÍ","",IF(C15="VOLADO",IF(OR(V15="IZQUIERDO",V15="DERECHO"),"X","Y"),IF(E15&lt;=F15,"X","Y")))</f>
        <v/>
      </c>
      <c r="X15" s="56" t="str">
        <f>IF(U15&lt;&gt;"SÍ","",IF(C15="VOLADO",IF(W15="X",E15,F15),MIN(E15,F15)))</f>
        <v/>
      </c>
      <c r="Y15" s="56" t="str">
        <f>IF(U15&lt;&gt;"SÍ","",IF(C15="VOLADO",IF(W15="X",F15,E15),MAX(E15,F15)))</f>
        <v/>
      </c>
      <c r="Z15" s="56" t="str">
        <f>IF(U15&lt;&gt;"SÍ","",MIN(X15,Y15)/MAX(X15,Y15))</f>
        <v/>
      </c>
      <c r="AA15" s="57" t="str">
        <f>IF(U15&lt;&gt;"SÍ","",MAX(1,X15*100-IF(C15="VOLADO",DATOS!$C$84/2,DATOS!$C$84)))</f>
        <v/>
      </c>
      <c r="AB15" s="57" t="str">
        <f>IF(U15&lt;&gt;"SÍ","",MAX(1,Y15*100-DATOS!$C$84))</f>
        <v/>
      </c>
      <c r="AC15" s="57" t="str">
        <f>IF(U15&lt;&gt;"SÍ","",IF(ISNUMBER(Q15),Q15,DATOS!$C$80))</f>
        <v/>
      </c>
      <c r="AD15" s="57" t="str">
        <f>IF(U15&lt;&gt;"SÍ","",MAX(0,DATOS!$C$83-AC15))</f>
        <v/>
      </c>
      <c r="AE15" s="57" t="str">
        <f>IF(U15&lt;&gt;"SÍ","",IF(OR(DATOS!$C$62="SÍ",AC15&gt;=20),AC15,AC15-2))</f>
        <v/>
      </c>
      <c r="AF15" s="57" t="str">
        <f>IF(U15&lt;&gt;"SÍ","",IF(OR(DATOS!$C$62="SÍ",DATOS!$C$80&gt;=20),DATOS!$C$80,DATOS!$C$80-2))</f>
        <v/>
      </c>
      <c r="AG15" s="57" t="str">
        <f>IF(U15&lt;&gt;"SÍ","",MIN(DATOS!$C$83,AC15+2*MIN(8*DATOS!$C$81,AD15/2,AA15/8)))</f>
        <v/>
      </c>
      <c r="AH15" s="57" t="str">
        <f>IF(U15&lt;&gt;"SÍ","",MIN(DATOS!$C$83,DATOS!$C$80+2*MIN(8*DATOS!$C$81,DATOS!$C$78/2,AB15/8)))</f>
        <v/>
      </c>
      <c r="AI15" s="55" t="str">
        <f>IF(U15&lt;&gt;"SÍ","",IF(AND(C15="PERIMETRAL",X15*100&gt;=6*MAX(DATOS!$C$78,AD15),MAX(DATOS!$C$78,AD15)&lt;=80,MIN(DATOS!$C$80,AC15)&gt;=10,DATOS!$C$82&lt;=3.5*MIN(DATOS!$C$80,AC15),DATOS!$C$81&gt;=MAX(MAX(DATOS!$C$78,AD15)/13,5)),"SÍ","NO"))</f>
        <v/>
      </c>
      <c r="AJ15" s="57" t="str">
        <f>IF(U15&lt;&gt;"SÍ","",IF(C15="VOLADO",DATOS!$C$61,IF(AI15="NO",DATOS!$C$60,DATOS!$C$59)))</f>
        <v/>
      </c>
      <c r="AK15" s="57" t="str">
        <f>IF(U15&lt;&gt;"SÍ","",IF(OR(AND(AM15="SÍ",DATOS!$C$63="SÍ"),AND(C15="VOLADO",DATOS!$C$64="SÍ")),DATOS!$C$61,IF(AI15="NO",DATOS!$C$60,DATOS!$C$59)))</f>
        <v/>
      </c>
      <c r="AL15" s="58" t="str">
        <f>IF(U15&lt;&gt;"SÍ","",MAX(AK15,(DATOS!$C$81-2*DATOS!$C$94)/2))</f>
        <v/>
      </c>
      <c r="AM15" s="55" t="str">
        <f>IF(U15&lt;&gt;"SÍ","",IFERROR(INDEX(DATOS!$D$46:$D$55,MATCH(D15,DATOS!$B$46:$B$55,0)),"NO"))</f>
        <v/>
      </c>
      <c r="AN15" s="59" t="str">
        <f>IF(U15&lt;&gt;"SÍ","",IF(ISNUMBER(N15),N15,IFERROR(INDEX(DATOS!$C$46:$C$55,MATCH(D15,DATOS!$B$46:$B$55,0)),0)))</f>
        <v/>
      </c>
      <c r="AO15" s="59" t="str">
        <f>IF(U15&lt;&gt;"SÍ","",(DATOS!$C$82/100-(AD15*DATOS!$C$78/DATOS!$C$83^2)*DATOS!$C$79/100)*DATOS!$C$16*1000+(AD15*DATOS!$C$78/DATOS!$C$83^2)*DATOS!$C$79/100*DATOS!$C$17*1000+DATOS!$C$37+DATOS!$C$38)</f>
        <v/>
      </c>
      <c r="AP15" s="59" t="str">
        <f>IF(U15&lt;&gt;"SÍ","",AO15+N(M15))</f>
        <v/>
      </c>
      <c r="AQ15" s="60" t="str">
        <f>IF(U15&lt;&gt;"SÍ","",MAX(DATOS!$C$26*AP15+DATOS!$C$27*AN15,IF(AM15="SÍ",DATOS!$C$28*(AP15+DATOS!$C$41),0)))</f>
        <v/>
      </c>
      <c r="AR15" s="59" t="str">
        <f>IF(U15&lt;&gt;"SÍ","",(G15="DISCONTINUO")+(H15="DISCONTINUO")+(I15="DISCONTINUO")+(J15="DISCONTINUO"))</f>
        <v/>
      </c>
      <c r="AS15" s="59" t="str">
        <f>IF(U15&lt;&gt;"SÍ","",IF(W15="X",(G15="DISCONTINUO")+(H15="DISCONTINUO"),(I15="DISCONTINUO")+(J15="DISCONTINUO")))</f>
        <v/>
      </c>
      <c r="AT15" s="55" t="str">
        <f>IF(U15&lt;&gt;"SÍ","",IF(AR15=0,"INTERIOR",IF(AR15=1,IF(AS15=1,"BORDE-CORTO","BORDE-LARGO"),IF(AR15=2,IF(AS15=1,"ESQUINA",IF(AS15=2,"EXTREMO-LARGO","EXTREMO-CORTO")),IF(AR15=3,IF(AS15=2,"EXTREMO-LARGO","EXTREMO-CORTO"),"AISLADO")))))</f>
        <v/>
      </c>
      <c r="AU15" s="61" t="str">
        <f>IF(U15&lt;&gt;"SÍ","",IF(OR(K15="",K15="AUTO"),AT15,K15))</f>
        <v/>
      </c>
      <c r="AV15" s="59" t="str">
        <f>IF(U15&lt;&gt;"SÍ","",MATCH(Z15,TABLAS!$D$5:$J$5,1))</f>
        <v/>
      </c>
      <c r="AW15" s="58" t="str">
        <f>IF(U15&lt;&gt;"SÍ","",IF(AV15&gt;=7,0,(Z15-INDEX(TABLAS!$D$5:$J$5,AV15))/(INDEX(TABLAS!$D$5:$J$5,AV15+1)-INDEX(TABLAS!$D$5:$J$5,AV15))))</f>
        <v/>
      </c>
      <c r="AX15" s="59" t="str">
        <f>IF(U15&lt;&gt;"SÍ","",INDEX(TABLAS!$D$6:$J$47,MATCH(AU15&amp;"|NIC",TABLAS!$B$6:$B$47,0),AV15)+AW15*(INDEX(TABLAS!$D$6:$J$47,MATCH(AU15&amp;"|NIC",TABLAS!$B$6:$B$47,0),MIN(AV15+1,7))-INDEX(TABLAS!$D$6:$J$47,MATCH(AU15&amp;"|NIC",TABLAS!$B$6:$B$47,0),AV15)))</f>
        <v/>
      </c>
      <c r="AY15" s="59" t="str">
        <f>IF(U15&lt;&gt;"SÍ","",INDEX(TABLAS!$D$6:$J$47,MATCH(AU15&amp;"|NIL",TABLAS!$B$6:$B$47,0),AV15)+AW15*(INDEX(TABLAS!$D$6:$J$47,MATCH(AU15&amp;"|NIL",TABLAS!$B$6:$B$47,0),MIN(AV15+1,7))-INDEX(TABLAS!$D$6:$J$47,MATCH(AU15&amp;"|NIL",TABLAS!$B$6:$B$47,0),AV15)))</f>
        <v/>
      </c>
      <c r="AZ15" s="59" t="str">
        <f>IF(U15&lt;&gt;"SÍ","",INDEX(TABLAS!$D$6:$J$47,MATCH(AU15&amp;"|NDC",TABLAS!$B$6:$B$47,0),AV15)+AW15*(INDEX(TABLAS!$D$6:$J$47,MATCH(AU15&amp;"|NDC",TABLAS!$B$6:$B$47,0),MIN(AV15+1,7))-INDEX(TABLAS!$D$6:$J$47,MATCH(AU15&amp;"|NDC",TABLAS!$B$6:$B$47,0),AV15)))</f>
        <v/>
      </c>
      <c r="BA15" s="59" t="str">
        <f>IF(U15&lt;&gt;"SÍ","",INDEX(TABLAS!$D$6:$J$47,MATCH(AU15&amp;"|NDL",TABLAS!$B$6:$B$47,0),AV15)+AW15*(INDEX(TABLAS!$D$6:$J$47,MATCH(AU15&amp;"|NDL",TABLAS!$B$6:$B$47,0),MIN(AV15+1,7))-INDEX(TABLAS!$D$6:$J$47,MATCH(AU15&amp;"|NDL",TABLAS!$B$6:$B$47,0),AV15)))</f>
        <v/>
      </c>
      <c r="BB15" s="59" t="str">
        <f>IF(U15&lt;&gt;"SÍ","",INDEX(TABLAS!$D$6:$J$47,MATCH(AU15&amp;"|PC",TABLAS!$B$6:$B$47,0),AV15)+AW15*(INDEX(TABLAS!$D$6:$J$47,MATCH(AU15&amp;"|PC",TABLAS!$B$6:$B$47,0),MIN(AV15+1,7))-INDEX(TABLAS!$D$6:$J$47,MATCH(AU15&amp;"|PC",TABLAS!$B$6:$B$47,0),AV15)))</f>
        <v/>
      </c>
      <c r="BC15" s="59" t="str">
        <f>IF(U15&lt;&gt;"SÍ","",INDEX(TABLAS!$D$6:$J$47,MATCH(AU15&amp;"|PL",TABLAS!$B$6:$B$47,0),AV15)+AW15*(INDEX(TABLAS!$D$6:$J$47,MATCH(AU15&amp;"|PL",TABLAS!$B$6:$B$47,0),MIN(AV15+1,7))-INDEX(TABLAS!$D$6:$J$47,MATCH(AU15&amp;"|PL",TABLAS!$B$6:$B$47,0),AV15)))</f>
        <v/>
      </c>
      <c r="BD15" s="56" t="str">
        <f>IF(U15&lt;&gt;"SÍ","",IF(C15&lt;&gt;"VOLADO",0,DATOS!$C$26*DATOS!$C$16*DATOS!$C$83/100*(((AD15*DATOS!$C$78/DATOS!$C$83^2)*DATOS!$C$79/100)*(IF(W15="X",DI15,DJ15)+DATOS!$C$84/2)/100*(AA15-(IF(W15="X",DI15,DJ15)+DATOS!$C$84/2)/2)/100+((AD15*DATOS!$C$78/DATOS!$C$83^2)*DATOS!$C$79/100)*IF(W15="X",DI15,DJ15)/100*IF(W15="X",DI15,DJ15)/200)))</f>
        <v/>
      </c>
      <c r="BE15" s="56" t="str">
        <f>IF(U15&lt;&gt;"SÍ","",IF(C15&lt;&gt;"VOLADO",0,DATOS!$C$26*DATOS!$C$16*DATOS!$C$83/100*((AD15*DATOS!$C$78/DATOS!$C$83^2)*DATOS!$C$79/100)*(IF(W15="X",DI15,DJ15)+DATOS!$C$84/2)/100))</f>
        <v/>
      </c>
      <c r="BF15" s="56" t="str">
        <f>IF(U15&lt;&gt;"SÍ","",IF(C15="PERIMETRAL",BB15*AQ15*X15^2*1E-4*DATOS!$C$83/100/1000,0))</f>
        <v/>
      </c>
      <c r="BG15" s="62" t="str">
        <f>IF(U15&lt;&gt;"SÍ","",IF(C15="PERIMETRAL",MAX(MAX(AX15,AZ15)*AQ15*X15^2*1E-4*DATOS!$C$83/100/1000,N(S15)),(AQ15*(AA15/100)^2/2+DATOS!$C$26*N(O15)*AA15/100)*DATOS!$C$83/100/1000+BD15))</f>
        <v/>
      </c>
      <c r="BH15" s="56" t="str">
        <f>IF(U15&lt;&gt;"SÍ","",IF(C15="PERIMETRAL",BC15*AQ15*X15^2*1E-4*DATOS!$C$83/100/1000,0))</f>
        <v/>
      </c>
      <c r="BI15" s="56" t="str">
        <f>IF(U15&lt;&gt;"SÍ","",IF(C15="PERIMETRAL",MAX(MAX(AY15,BA15)*AQ15*X15^2*1E-4*DATOS!$C$83/100/1000,N(T15)),0))</f>
        <v/>
      </c>
      <c r="BJ15" s="63" t="str">
        <f>IF(U15&lt;&gt;"SÍ","",IF(C15&lt;&gt;"PERIMETRAL","—",IF(AND(N(S15)=0,N(T15)=0),"— (sin M⁻ del vecino)",IF(OR(AND(N(S15)&gt;0,ABS(MAX(AX15,AZ15)*AQ15*X15^2*1E-4*DATOS!$C$83/100/1000-N(S15))&gt;0.5*MIN(MAX(AX15,AZ15)*AQ15*X15^2*1E-4*DATOS!$C$83/100/1000,N(S15))),AND(N(T15)&gt;0,ABS(MAX(AY15,BA15)*AQ15*X15^2*1E-4*DATOS!$C$83/100/1000-N(T15))&gt;0.5*MIN(MAX(AY15,BA15)*AQ15*X15^2*1E-4*DATOS!$C$83/100/1000,N(T15)))),"FUERA: difieren &gt; 50 %"&amp;IF(AND(N(S15)&gt;0,ABS(MAX(AX15,AZ15)*AQ15*X15^2*1E-4*DATOS!$C$83/100/1000-N(S15))&gt;0.5*MIN(MAX(AX15,AZ15)*AQ15*X15^2*1E-4*DATOS!$C$83/100/1000,N(S15)))," ‖ corto","")&amp;IF(AND(N(T15)&gt;0,ABS(MAX(AY15,BA15)*AQ15*X15^2*1E-4*DATOS!$C$83/100/1000-N(T15))&gt;0.5*MIN(MAX(AY15,BA15)*AQ15*X15^2*1E-4*DATOS!$C$83/100/1000,N(T15)))," ‖ largo",""),"CUMPLE"))))</f>
        <v/>
      </c>
      <c r="BK15" s="58" t="str">
        <f>IF(U15&lt;&gt;"SÍ","",(DATOS!$C$82-AJ15-INDEX(TABLAS!$C$52:$C$58,MATCH(DATOS!$C$68,TABLAS!$B$52:$B$58,0))/2))</f>
        <v/>
      </c>
      <c r="BL15" s="58" t="str">
        <f>IF(U15&lt;&gt;"SÍ","",IF(IF(BF15&lt;=0,0,IF((1-2*BF15*1E5/(DATOS!$C$29*AG15*BK15^2*DATOS!$C$21))&lt;0,-1,IF((1-SQRT((1-2*BF15*1E5/(DATOS!$C$29*AG15*BK15^2*DATOS!$C$21))))*DATOS!$C$21*AG15*BK15/DATOS!$C$14&gt;DATOS!$C$99*AG15*BK15,-1,(1-SQRT((1-2*BF15*1E5/(DATOS!$C$29*AG15*BK15^2*DATOS!$C$21))))*DATOS!$C$21*AG15*BK15/DATOS!$C$14)))&lt;0,-1,MAX(IF(BF15&lt;=0,0,IF((1-2*BF15*1E5/(DATOS!$C$29*AG15*BK15^2*DATOS!$C$21))&lt;0,-1,IF((1-SQRT((1-2*BF15*1E5/(DATOS!$C$29*AG15*BK15^2*DATOS!$C$21))))*DATOS!$C$21*AG15*BK15/DATOS!$C$14&gt;DATOS!$C$99*AG15*BK15,-1,(1-SQRT((1-2*BF15*1E5/(DATOS!$C$29*AG15*BK15^2*DATOS!$C$21))))*DATOS!$C$21*AG15*BK15/DATOS!$C$14))),MIN(DATOS!$C$100*AC15*BK15,4/3*IF(BF15&lt;=0,0,IF((1-2*BF15*1E5/(DATOS!$C$29*AG15*BK15^2*DATOS!$C$21))&lt;0,-1,IF((1-SQRT((1-2*BF15*1E5/(DATOS!$C$29*AG15*BK15^2*DATOS!$C$21))))*DATOS!$C$21*AG15*BK15/DATOS!$C$14&gt;DATOS!$C$99*AG15*BK15,-1,(1-SQRT((1-2*BF15*1E5/(DATOS!$C$29*AG15*BK15^2*DATOS!$C$21))))*DATOS!$C$21*AG15*BK15/DATOS!$C$14)))))))</f>
        <v/>
      </c>
      <c r="BM15" s="64" t="str">
        <f>IF(U15&lt;&gt;"SÍ","",IF(AND(BL15&gt;=0,IF(MAX(DATOS!$C$71,CEILING(BL15/INDEX(TABLAS!$D$52:$D$58,MIN(MATCH(DATOS!$C$68,TABLAS!$B$52:$B$58,0)+0,7)),1))*INDEX(TABLAS!$D$52:$D$58,MIN(MATCH(DATOS!$C$68,TABLAS!$B$52:$B$58,0)+0,7))&gt;=4/3*IF(BF15&lt;=0,0,IF((1-2*BF15*1E5/(DATOS!$C$29*AG15*BK15^2*DATOS!$C$21))&lt;0,-1,IF((1-SQRT((1-2*BF15*1E5/(DATOS!$C$29*AG15*BK15^2*DATOS!$C$21))))*DATOS!$C$21*AG15*BK15/DATOS!$C$14&gt;DATOS!$C$99*AG15*BK15,-1,(1-SQRT((1-2*BF15*1E5/(DATOS!$C$29*AG15*BK15^2*DATOS!$C$21))))*DATOS!$C$21*AG15*BK15/DATOS!$C$14)))-0.0001,MAX(DATOS!$C$71,CEILING(BL15/INDEX(TABLAS!$D$52:$D$58,MIN(MATCH(DATOS!$C$68,TABLAS!$B$52:$B$58,0)+0,7)),1)),MAX(MAX(DATOS!$C$71,CEILING(BL15/INDEX(TABLAS!$D$52:$D$58,MIN(MATCH(DATOS!$C$68,TABLAS!$B$52:$B$58,0)+0,7)),1)),2))&lt;=MIN(DATOS!$C$70,INT(((AC15-2*AJ15)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15&gt;=0,IF(MAX(DATOS!$C$71,CEILING(BL15/INDEX(TABLAS!$D$52:$D$58,MIN(MATCH(DATOS!$C$68,TABLAS!$B$52:$B$58,0)+1,7)),1))*INDEX(TABLAS!$D$52:$D$58,MIN(MATCH(DATOS!$C$68,TABLAS!$B$52:$B$58,0)+1,7))&gt;=4/3*IF(BF15&lt;=0,0,IF((1-2*BF15*1E5/(DATOS!$C$29*AG15*BK15^2*DATOS!$C$21))&lt;0,-1,IF((1-SQRT((1-2*BF15*1E5/(DATOS!$C$29*AG15*BK15^2*DATOS!$C$21))))*DATOS!$C$21*AG15*BK15/DATOS!$C$14&gt;DATOS!$C$99*AG15*BK15,-1,(1-SQRT((1-2*BF15*1E5/(DATOS!$C$29*AG15*BK15^2*DATOS!$C$21))))*DATOS!$C$21*AG15*BK15/DATOS!$C$14)))-0.0001,MAX(DATOS!$C$71,CEILING(BL15/INDEX(TABLAS!$D$52:$D$58,MIN(MATCH(DATOS!$C$68,TABLAS!$B$52:$B$58,0)+1,7)),1)),MAX(MAX(DATOS!$C$71,CEILING(BL15/INDEX(TABLAS!$D$52:$D$58,MIN(MATCH(DATOS!$C$68,TABLAS!$B$52:$B$58,0)+1,7)),1)),2))&lt;=MIN(DATOS!$C$70,INT(((AC15-2*AJ15)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15&gt;=0,IF(MAX(DATOS!$C$71,CEILING(BL15/INDEX(TABLAS!$D$52:$D$58,MIN(MATCH(DATOS!$C$68,TABLAS!$B$52:$B$58,0)+2,7)),1))*INDEX(TABLAS!$D$52:$D$58,MIN(MATCH(DATOS!$C$68,TABLAS!$B$52:$B$58,0)+2,7))&gt;=4/3*IF(BF15&lt;=0,0,IF((1-2*BF15*1E5/(DATOS!$C$29*AG15*BK15^2*DATOS!$C$21))&lt;0,-1,IF((1-SQRT((1-2*BF15*1E5/(DATOS!$C$29*AG15*BK15^2*DATOS!$C$21))))*DATOS!$C$21*AG15*BK15/DATOS!$C$14&gt;DATOS!$C$99*AG15*BK15,-1,(1-SQRT((1-2*BF15*1E5/(DATOS!$C$29*AG15*BK15^2*DATOS!$C$21))))*DATOS!$C$21*AG15*BK15/DATOS!$C$14)))-0.0001,MAX(DATOS!$C$71,CEILING(BL15/INDEX(TABLAS!$D$52:$D$58,MIN(MATCH(DATOS!$C$68,TABLAS!$B$52:$B$58,0)+2,7)),1)),MAX(MAX(DATOS!$C$71,CEILING(BL15/INDEX(TABLAS!$D$52:$D$58,MIN(MATCH(DATOS!$C$68,TABLAS!$B$52:$B$58,0)+2,7)),1)),2))&lt;=MIN(DATOS!$C$70,INT(((AC15-2*AJ15)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15&gt;=0,IF(MAX(DATOS!$C$71,CEILING(BL15/INDEX(TABLAS!$D$52:$D$58,MIN(MATCH(DATOS!$C$68,TABLAS!$B$52:$B$58,0)+3,7)),1))*INDEX(TABLAS!$D$52:$D$58,MIN(MATCH(DATOS!$C$68,TABLAS!$B$52:$B$58,0)+3,7))&gt;=4/3*IF(BF15&lt;=0,0,IF((1-2*BF15*1E5/(DATOS!$C$29*AG15*BK15^2*DATOS!$C$21))&lt;0,-1,IF((1-SQRT((1-2*BF15*1E5/(DATOS!$C$29*AG15*BK15^2*DATOS!$C$21))))*DATOS!$C$21*AG15*BK15/DATOS!$C$14&gt;DATOS!$C$99*AG15*BK15,-1,(1-SQRT((1-2*BF15*1E5/(DATOS!$C$29*AG15*BK15^2*DATOS!$C$21))))*DATOS!$C$21*AG15*BK15/DATOS!$C$14)))-0.0001,MAX(DATOS!$C$71,CEILING(BL15/INDEX(TABLAS!$D$52:$D$58,MIN(MATCH(DATOS!$C$68,TABLAS!$B$52:$B$58,0)+3,7)),1)),MAX(MAX(DATOS!$C$71,CEILING(BL15/INDEX(TABLAS!$D$52:$D$58,MIN(MATCH(DATOS!$C$68,TABLAS!$B$52:$B$58,0)+3,7)),1)),2))&lt;=MIN(DATOS!$C$70,INT(((AC15-2*AJ15)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15&gt;=0,IF(MAX(DATOS!$C$71,CEILING(BL15/INDEX(TABLAS!$D$52:$D$58,MIN(MATCH(DATOS!$C$68,TABLAS!$B$52:$B$58,0)+4,7)),1))*INDEX(TABLAS!$D$52:$D$58,MIN(MATCH(DATOS!$C$68,TABLAS!$B$52:$B$58,0)+4,7))&gt;=4/3*IF(BF15&lt;=0,0,IF((1-2*BF15*1E5/(DATOS!$C$29*AG15*BK15^2*DATOS!$C$21))&lt;0,-1,IF((1-SQRT((1-2*BF15*1E5/(DATOS!$C$29*AG15*BK15^2*DATOS!$C$21))))*DATOS!$C$21*AG15*BK15/DATOS!$C$14&gt;DATOS!$C$99*AG15*BK15,-1,(1-SQRT((1-2*BF15*1E5/(DATOS!$C$29*AG15*BK15^2*DATOS!$C$21))))*DATOS!$C$21*AG15*BK15/DATOS!$C$14)))-0.0001,MAX(DATOS!$C$71,CEILING(BL15/INDEX(TABLAS!$D$52:$D$58,MIN(MATCH(DATOS!$C$68,TABLAS!$B$52:$B$58,0)+4,7)),1)),MAX(MAX(DATOS!$C$71,CEILING(BL15/INDEX(TABLAS!$D$52:$D$58,MIN(MATCH(DATOS!$C$68,TABLAS!$B$52:$B$58,0)+4,7)),1)),2))&lt;=MIN(DATOS!$C$70,INT(((AC15-2*AJ15)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15" s="59" t="str">
        <f>IF(U15&lt;&gt;"SÍ","",IF(BL15&lt;0,0,IF(MAX(DATOS!$C$71,CEILING(MAX(BL15,0)/INDEX(TABLAS!$D$52:$D$58,MATCH(BM15,TABLAS!$B$52:$B$58,0)),1))*INDEX(TABLAS!$D$52:$D$58,MATCH(BM15,TABLAS!$B$52:$B$58,0))&gt;=4/3*IF(BF15&lt;=0,0,IF((1-2*BF15*1E5/(DATOS!$C$29*AG15*BK15^2*DATOS!$C$21))&lt;0,-1,IF((1-SQRT((1-2*BF15*1E5/(DATOS!$C$29*AG15*BK15^2*DATOS!$C$21))))*DATOS!$C$21*AG15*BK15/DATOS!$C$14&gt;DATOS!$C$99*AG15*BK15,-1,(1-SQRT((1-2*BF15*1E5/(DATOS!$C$29*AG15*BK15^2*DATOS!$C$21))))*DATOS!$C$21*AG15*BK15/DATOS!$C$14)))-0.0001,MAX(DATOS!$C$71,CEILING(MAX(BL15,0)/INDEX(TABLAS!$D$52:$D$58,MATCH(BM15,TABLAS!$B$52:$B$58,0)),1)),MAX(MAX(DATOS!$C$71,CEILING(MAX(BL15,0)/INDEX(TABLAS!$D$52:$D$58,MATCH(BM15,TABLAS!$B$52:$B$58,0)),1)),2))))</f>
        <v/>
      </c>
      <c r="BO15" s="58" t="str">
        <f>IF(U15&lt;&gt;"SÍ","",DATOS!$C$82-AJ15-INDEX(TABLAS!$C$52:$C$58,MATCH(BM15,TABLAS!$B$52:$B$58,0))/2)</f>
        <v/>
      </c>
      <c r="BP15" s="56" t="str">
        <f>IF(U15&lt;&gt;"SÍ","",IF(BN15=0,0,DATOS!$C$29*BN15*INDEX(TABLAS!$D$52:$D$58,MATCH(BM15,TABLAS!$B$52:$B$58,0))*DATOS!$C$14*(BO15-BN15*INDEX(TABLAS!$D$52:$D$58,MATCH(BM15,TABLAS!$B$52:$B$58,0))*DATOS!$C$14/(DATOS!$C$21*AG15)/2)/1E5))</f>
        <v/>
      </c>
      <c r="BQ15" s="65" t="str">
        <f>IF(U15&lt;&gt;"SÍ","",IF(BL15&lt;0,9.99,IF(BP15&gt;0,BF15/BP15,0)))</f>
        <v/>
      </c>
      <c r="BR15" s="66" t="str">
        <f>IF(U15&lt;&gt;"SÍ","",IF(BN15=0,"—",0.003*(BO15-(BN15*INDEX(TABLAS!$D$52:$D$58,MATCH(BM15,TABLAS!$B$52:$B$58,0))*DATOS!$C$14/(DATOS!$C$21*AG15)/DATOS!$C$22))/(BN15*INDEX(TABLAS!$D$52:$D$58,MATCH(BM15,TABLAS!$B$52:$B$58,0))*DATOS!$C$14/(DATOS!$C$21*AG15)/DATOS!$C$22)))</f>
        <v/>
      </c>
      <c r="BS15" s="58" t="str">
        <f>IF(U15&lt;&gt;"SÍ","",((DATOS!$C$82-AL15-2*DATOS!$C$94-INDEX(TABLAS!$C$52:$C$58,MATCH(DATOS!$C$69,TABLAS!$B$52:$B$58,0))/2)-IF(AND((DATOS!$C$82-AL15-2*DATOS!$C$94-INDEX(TABLAS!$C$52:$C$58,MATCH(DATOS!$C$69,TABLAS!$B$52:$B$58,0))/2)&lt;=20,DATOS!$C$62&lt;&gt;"SÍ"),2,0)))</f>
        <v/>
      </c>
      <c r="BT15" s="58" t="str">
        <f>IF(U15&lt;&gt;"SÍ","",IF(IF(BG15&lt;=0,0,IF((1-2*BG15*1E5/(DATOS!$C$29*AE15*BS15^2*DATOS!$C$21))&lt;0,-1,IF((1-SQRT((1-2*BG15*1E5/(DATOS!$C$29*AE15*BS15^2*DATOS!$C$21))))*DATOS!$C$21*AE15*BS15/DATOS!$C$14&gt;DATOS!$C$99*AE15*BS15,-1,(1-SQRT((1-2*BG15*1E5/(DATOS!$C$29*AE15*BS15^2*DATOS!$C$21))))*DATOS!$C$21*AE15*BS15/DATOS!$C$14)))&lt;0,-1,MAX(IF(BG15&lt;=0,0,IF((1-2*BG15*1E5/(DATOS!$C$29*AE15*BS15^2*DATOS!$C$21))&lt;0,-1,IF((1-SQRT((1-2*BG15*1E5/(DATOS!$C$29*AE15*BS15^2*DATOS!$C$21))))*DATOS!$C$21*AE15*BS15/DATOS!$C$14&gt;DATOS!$C$99*AE15*BS15,-1,(1-SQRT((1-2*BG15*1E5/(DATOS!$C$29*AE15*BS15^2*DATOS!$C$21))))*DATOS!$C$21*AE15*BS15/DATOS!$C$14))),MIN(DATOS!$C$100*IF(C15="VOLADO",MIN(AG15,2*AC15),AC15)*BS15,4/3*IF(BG15&lt;=0,0,IF((1-2*BG15*1E5/(DATOS!$C$29*AE15*BS15^2*DATOS!$C$21))&lt;0,-1,IF((1-SQRT((1-2*BG15*1E5/(DATOS!$C$29*AE15*BS15^2*DATOS!$C$21))))*DATOS!$C$21*AE15*BS15/DATOS!$C$14&gt;DATOS!$C$99*AE15*BS15,-1,(1-SQRT((1-2*BG15*1E5/(DATOS!$C$29*AE15*BS15^2*DATOS!$C$21))))*DATOS!$C$21*AE15*BS15/DATOS!$C$14)))))))</f>
        <v/>
      </c>
      <c r="BU15" s="64" t="str">
        <f>IF(U15&lt;&gt;"SÍ","",IF(AND(BT15&gt;=0,IF(MAX(DATOS!$C$71,CEILING(BT15/INDEX(TABLAS!$D$52:$D$58,MIN(MATCH(DATOS!$C$69,TABLAS!$B$52:$B$58,0)+0,7)),1))*INDEX(TABLAS!$D$52:$D$58,MIN(MATCH(DATOS!$C$69,TABLAS!$B$52:$B$58,0)+0,7))&gt;=4/3*IF(BG15&lt;=0,0,IF((1-2*BG15*1E5/(DATOS!$C$29*AE15*BS15^2*DATOS!$C$21))&lt;0,-1,IF((1-SQRT((1-2*BG15*1E5/(DATOS!$C$29*AE15*BS15^2*DATOS!$C$21))))*DATOS!$C$21*AE15*BS15/DATOS!$C$14&gt;DATOS!$C$99*AE15*BS15,-1,(1-SQRT((1-2*BG15*1E5/(DATOS!$C$29*AE15*BS15^2*DATOS!$C$21))))*DATOS!$C$21*AE15*BS15/DATOS!$C$14)))-0.0001,MAX(DATOS!$C$71,CEILING(BT15/INDEX(TABLAS!$D$52:$D$58,MIN(MATCH(DATOS!$C$69,TABLAS!$B$52:$B$58,0)+0,7)),1)),MAX(MAX(DATOS!$C$71,CEILING(BT15/INDEX(TABLAS!$D$52:$D$58,MIN(MATCH(DATOS!$C$69,TABLAS!$B$52:$B$58,0)+0,7)),1)),2))&lt;=MIN(DATOS!$C$70,INT(((AC15-2*AK15)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15&gt;=0,IF(MAX(DATOS!$C$71,CEILING(BT15/INDEX(TABLAS!$D$52:$D$58,MIN(MATCH(DATOS!$C$69,TABLAS!$B$52:$B$58,0)+1,7)),1))*INDEX(TABLAS!$D$52:$D$58,MIN(MATCH(DATOS!$C$69,TABLAS!$B$52:$B$58,0)+1,7))&gt;=4/3*IF(BG15&lt;=0,0,IF((1-2*BG15*1E5/(DATOS!$C$29*AE15*BS15^2*DATOS!$C$21))&lt;0,-1,IF((1-SQRT((1-2*BG15*1E5/(DATOS!$C$29*AE15*BS15^2*DATOS!$C$21))))*DATOS!$C$21*AE15*BS15/DATOS!$C$14&gt;DATOS!$C$99*AE15*BS15,-1,(1-SQRT((1-2*BG15*1E5/(DATOS!$C$29*AE15*BS15^2*DATOS!$C$21))))*DATOS!$C$21*AE15*BS15/DATOS!$C$14)))-0.0001,MAX(DATOS!$C$71,CEILING(BT15/INDEX(TABLAS!$D$52:$D$58,MIN(MATCH(DATOS!$C$69,TABLAS!$B$52:$B$58,0)+1,7)),1)),MAX(MAX(DATOS!$C$71,CEILING(BT15/INDEX(TABLAS!$D$52:$D$58,MIN(MATCH(DATOS!$C$69,TABLAS!$B$52:$B$58,0)+1,7)),1)),2))&lt;=MIN(DATOS!$C$70,INT(((AC15-2*AK15)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15&gt;=0,IF(MAX(DATOS!$C$71,CEILING(BT15/INDEX(TABLAS!$D$52:$D$58,MIN(MATCH(DATOS!$C$69,TABLAS!$B$52:$B$58,0)+2,7)),1))*INDEX(TABLAS!$D$52:$D$58,MIN(MATCH(DATOS!$C$69,TABLAS!$B$52:$B$58,0)+2,7))&gt;=4/3*IF(BG15&lt;=0,0,IF((1-2*BG15*1E5/(DATOS!$C$29*AE15*BS15^2*DATOS!$C$21))&lt;0,-1,IF((1-SQRT((1-2*BG15*1E5/(DATOS!$C$29*AE15*BS15^2*DATOS!$C$21))))*DATOS!$C$21*AE15*BS15/DATOS!$C$14&gt;DATOS!$C$99*AE15*BS15,-1,(1-SQRT((1-2*BG15*1E5/(DATOS!$C$29*AE15*BS15^2*DATOS!$C$21))))*DATOS!$C$21*AE15*BS15/DATOS!$C$14)))-0.0001,MAX(DATOS!$C$71,CEILING(BT15/INDEX(TABLAS!$D$52:$D$58,MIN(MATCH(DATOS!$C$69,TABLAS!$B$52:$B$58,0)+2,7)),1)),MAX(MAX(DATOS!$C$71,CEILING(BT15/INDEX(TABLAS!$D$52:$D$58,MIN(MATCH(DATOS!$C$69,TABLAS!$B$52:$B$58,0)+2,7)),1)),2))&lt;=MIN(DATOS!$C$70,INT(((AC15-2*AK15)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15&gt;=0,IF(MAX(DATOS!$C$71,CEILING(BT15/INDEX(TABLAS!$D$52:$D$58,MIN(MATCH(DATOS!$C$69,TABLAS!$B$52:$B$58,0)+3,7)),1))*INDEX(TABLAS!$D$52:$D$58,MIN(MATCH(DATOS!$C$69,TABLAS!$B$52:$B$58,0)+3,7))&gt;=4/3*IF(BG15&lt;=0,0,IF((1-2*BG15*1E5/(DATOS!$C$29*AE15*BS15^2*DATOS!$C$21))&lt;0,-1,IF((1-SQRT((1-2*BG15*1E5/(DATOS!$C$29*AE15*BS15^2*DATOS!$C$21))))*DATOS!$C$21*AE15*BS15/DATOS!$C$14&gt;DATOS!$C$99*AE15*BS15,-1,(1-SQRT((1-2*BG15*1E5/(DATOS!$C$29*AE15*BS15^2*DATOS!$C$21))))*DATOS!$C$21*AE15*BS15/DATOS!$C$14)))-0.0001,MAX(DATOS!$C$71,CEILING(BT15/INDEX(TABLAS!$D$52:$D$58,MIN(MATCH(DATOS!$C$69,TABLAS!$B$52:$B$58,0)+3,7)),1)),MAX(MAX(DATOS!$C$71,CEILING(BT15/INDEX(TABLAS!$D$52:$D$58,MIN(MATCH(DATOS!$C$69,TABLAS!$B$52:$B$58,0)+3,7)),1)),2))&lt;=MIN(DATOS!$C$70,INT(((AC15-2*AK15)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15&gt;=0,IF(MAX(DATOS!$C$71,CEILING(BT15/INDEX(TABLAS!$D$52:$D$58,MIN(MATCH(DATOS!$C$69,TABLAS!$B$52:$B$58,0)+4,7)),1))*INDEX(TABLAS!$D$52:$D$58,MIN(MATCH(DATOS!$C$69,TABLAS!$B$52:$B$58,0)+4,7))&gt;=4/3*IF(BG15&lt;=0,0,IF((1-2*BG15*1E5/(DATOS!$C$29*AE15*BS15^2*DATOS!$C$21))&lt;0,-1,IF((1-SQRT((1-2*BG15*1E5/(DATOS!$C$29*AE15*BS15^2*DATOS!$C$21))))*DATOS!$C$21*AE15*BS15/DATOS!$C$14&gt;DATOS!$C$99*AE15*BS15,-1,(1-SQRT((1-2*BG15*1E5/(DATOS!$C$29*AE15*BS15^2*DATOS!$C$21))))*DATOS!$C$21*AE15*BS15/DATOS!$C$14)))-0.0001,MAX(DATOS!$C$71,CEILING(BT15/INDEX(TABLAS!$D$52:$D$58,MIN(MATCH(DATOS!$C$69,TABLAS!$B$52:$B$58,0)+4,7)),1)),MAX(MAX(DATOS!$C$71,CEILING(BT15/INDEX(TABLAS!$D$52:$D$58,MIN(MATCH(DATOS!$C$69,TABLAS!$B$52:$B$58,0)+4,7)),1)),2))&lt;=MIN(DATOS!$C$70,INT(((AC15-2*AK15)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15" s="59" t="str">
        <f>IF(U15&lt;&gt;"SÍ","",IF(BT15&lt;0,0,IF(MAX(DATOS!$C$71,CEILING(MAX(BT15,0)/INDEX(TABLAS!$D$52:$D$58,MATCH(BU15,TABLAS!$B$52:$B$58,0)),1))*INDEX(TABLAS!$D$52:$D$58,MATCH(BU15,TABLAS!$B$52:$B$58,0))&gt;=4/3*IF(BG15&lt;=0,0,IF((1-2*BG15*1E5/(DATOS!$C$29*AE15*BS15^2*DATOS!$C$21))&lt;0,-1,IF((1-SQRT((1-2*BG15*1E5/(DATOS!$C$29*AE15*BS15^2*DATOS!$C$21))))*DATOS!$C$21*AE15*BS15/DATOS!$C$14&gt;DATOS!$C$99*AE15*BS15,-1,(1-SQRT((1-2*BG15*1E5/(DATOS!$C$29*AE15*BS15^2*DATOS!$C$21))))*DATOS!$C$21*AE15*BS15/DATOS!$C$14)))-0.0001,MAX(DATOS!$C$71,CEILING(MAX(BT15,0)/INDEX(TABLAS!$D$52:$D$58,MATCH(BU15,TABLAS!$B$52:$B$58,0)),1)),MAX(MAX(DATOS!$C$71,CEILING(MAX(BT15,0)/INDEX(TABLAS!$D$52:$D$58,MATCH(BU15,TABLAS!$B$52:$B$58,0)),1)),2))))</f>
        <v/>
      </c>
      <c r="BW15" s="58" t="str">
        <f>IF(U15&lt;&gt;"SÍ","",((DATOS!$C$82-AL15-2*DATOS!$C$94-INDEX(TABLAS!$C$52:$C$58,MATCH(BU15,TABLAS!$B$52:$B$58,0))/2)-IF(AND((DATOS!$C$82-AL15-2*DATOS!$C$94-INDEX(TABLAS!$C$52:$C$58,MATCH(BU15,TABLAS!$B$52:$B$58,0))/2)&lt;=20,DATOS!$C$62&lt;&gt;"SÍ"),2,0)))</f>
        <v/>
      </c>
      <c r="BX15" s="56" t="str">
        <f>IF(U15&lt;&gt;"SÍ","",IF(BV15=0,0,DATOS!$C$29*BV15*INDEX(TABLAS!$D$52:$D$58,MATCH(BU15,TABLAS!$B$52:$B$58,0))*DATOS!$C$14*(BW15-BV15*INDEX(TABLAS!$D$52:$D$58,MATCH(BU15,TABLAS!$B$52:$B$58,0))*DATOS!$C$14/(DATOS!$C$21*AE15)/2)/1E5))</f>
        <v/>
      </c>
      <c r="BY15" s="65" t="str">
        <f>IF(U15&lt;&gt;"SÍ","",IF(BT15&lt;0,9.99,IF(BX15&gt;0,BG15/BX15,0)))</f>
        <v/>
      </c>
      <c r="BZ15" s="66" t="str">
        <f>IF(U15&lt;&gt;"SÍ","",IF(BV15=0,"—",0.003*(BW15-(BV15*INDEX(TABLAS!$D$52:$D$58,MATCH(BU15,TABLAS!$B$52:$B$58,0))*DATOS!$C$14/(DATOS!$C$21*AE15)/DATOS!$C$22))/(BV15*INDEX(TABLAS!$D$52:$D$58,MATCH(BU15,TABLAS!$B$52:$B$58,0))*DATOS!$C$14/(DATOS!$C$21*AE15)/DATOS!$C$22)))</f>
        <v/>
      </c>
      <c r="CA15" s="58" t="str">
        <f>IF(U15&lt;&gt;"SÍ","",(DATOS!$C$82-AJ15-INDEX(TABLAS!$C$52:$C$58,MATCH(DATOS!$C$68,TABLAS!$B$52:$B$58,0))-INDEX(TABLAS!$C$52:$C$58,MATCH(DATOS!$C$68,TABLAS!$B$52:$B$58,0))/2))</f>
        <v/>
      </c>
      <c r="CB15" s="58" t="str">
        <f>IF(U15&lt;&gt;"SÍ","",IF(IF(BH15&lt;=0,0,IF((1-2*BH15*1E5/(DATOS!$C$29*AH15*CA15^2*DATOS!$C$21))&lt;0,-1,IF((1-SQRT((1-2*BH15*1E5/(DATOS!$C$29*AH15*CA15^2*DATOS!$C$21))))*DATOS!$C$21*AH15*CA15/DATOS!$C$14&gt;DATOS!$C$99*AH15*CA15,-1,(1-SQRT((1-2*BH15*1E5/(DATOS!$C$29*AH15*CA15^2*DATOS!$C$21))))*DATOS!$C$21*AH15*CA15/DATOS!$C$14)))&lt;0,-1,MAX(IF(BH15&lt;=0,0,IF((1-2*BH15*1E5/(DATOS!$C$29*AH15*CA15^2*DATOS!$C$21))&lt;0,-1,IF((1-SQRT((1-2*BH15*1E5/(DATOS!$C$29*AH15*CA15^2*DATOS!$C$21))))*DATOS!$C$21*AH15*CA15/DATOS!$C$14&gt;DATOS!$C$99*AH15*CA15,-1,(1-SQRT((1-2*BH15*1E5/(DATOS!$C$29*AH15*CA15^2*DATOS!$C$21))))*DATOS!$C$21*AH15*CA15/DATOS!$C$14))),MIN(DATOS!$C$100*DATOS!$C$80*CA15,4/3*IF(BH15&lt;=0,0,IF((1-2*BH15*1E5/(DATOS!$C$29*AH15*CA15^2*DATOS!$C$21))&lt;0,-1,IF((1-SQRT((1-2*BH15*1E5/(DATOS!$C$29*AH15*CA15^2*DATOS!$C$21))))*DATOS!$C$21*AH15*CA15/DATOS!$C$14&gt;DATOS!$C$99*AH15*CA15,-1,(1-SQRT((1-2*BH15*1E5/(DATOS!$C$29*AH15*CA15^2*DATOS!$C$21))))*DATOS!$C$21*AH15*CA15/DATOS!$C$14)))))))</f>
        <v/>
      </c>
      <c r="CC15" s="64" t="str">
        <f>IF(U15&lt;&gt;"SÍ","",IF(AND(CB15&gt;=0,IF(MAX(DATOS!$C$71,CEILING(CB15/INDEX(TABLAS!$D$52:$D$58,MIN(MATCH(DATOS!$C$68,TABLAS!$B$52:$B$58,0)+0,7)),1))*INDEX(TABLAS!$D$52:$D$58,MIN(MATCH(DATOS!$C$68,TABLAS!$B$52:$B$58,0)+0,7))&gt;=4/3*IF(BH15&lt;=0,0,IF((1-2*BH15*1E5/(DATOS!$C$29*AH15*CA15^2*DATOS!$C$21))&lt;0,-1,IF((1-SQRT((1-2*BH15*1E5/(DATOS!$C$29*AH15*CA15^2*DATOS!$C$21))))*DATOS!$C$21*AH15*CA15/DATOS!$C$14&gt;DATOS!$C$99*AH15*CA15,-1,(1-SQRT((1-2*BH15*1E5/(DATOS!$C$29*AH15*CA15^2*DATOS!$C$21))))*DATOS!$C$21*AH15*CA15/DATOS!$C$14)))-0.0001,MAX(DATOS!$C$71,CEILING(CB15/INDEX(TABLAS!$D$52:$D$58,MIN(MATCH(DATOS!$C$68,TABLAS!$B$52:$B$58,0)+0,7)),1)),MAX(MAX(DATOS!$C$71,CEILING(CB15/INDEX(TABLAS!$D$52:$D$58,MIN(MATCH(DATOS!$C$68,TABLAS!$B$52:$B$58,0)+0,7)),1)),2))&lt;=MIN(DATOS!$C$70,INT(((DATOS!$C$80-2*AJ15)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15&gt;=0,IF(MAX(DATOS!$C$71,CEILING(CB15/INDEX(TABLAS!$D$52:$D$58,MIN(MATCH(DATOS!$C$68,TABLAS!$B$52:$B$58,0)+1,7)),1))*INDEX(TABLAS!$D$52:$D$58,MIN(MATCH(DATOS!$C$68,TABLAS!$B$52:$B$58,0)+1,7))&gt;=4/3*IF(BH15&lt;=0,0,IF((1-2*BH15*1E5/(DATOS!$C$29*AH15*CA15^2*DATOS!$C$21))&lt;0,-1,IF((1-SQRT((1-2*BH15*1E5/(DATOS!$C$29*AH15*CA15^2*DATOS!$C$21))))*DATOS!$C$21*AH15*CA15/DATOS!$C$14&gt;DATOS!$C$99*AH15*CA15,-1,(1-SQRT((1-2*BH15*1E5/(DATOS!$C$29*AH15*CA15^2*DATOS!$C$21))))*DATOS!$C$21*AH15*CA15/DATOS!$C$14)))-0.0001,MAX(DATOS!$C$71,CEILING(CB15/INDEX(TABLAS!$D$52:$D$58,MIN(MATCH(DATOS!$C$68,TABLAS!$B$52:$B$58,0)+1,7)),1)),MAX(MAX(DATOS!$C$71,CEILING(CB15/INDEX(TABLAS!$D$52:$D$58,MIN(MATCH(DATOS!$C$68,TABLAS!$B$52:$B$58,0)+1,7)),1)),2))&lt;=MIN(DATOS!$C$70,INT(((DATOS!$C$80-2*AJ15)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15&gt;=0,IF(MAX(DATOS!$C$71,CEILING(CB15/INDEX(TABLAS!$D$52:$D$58,MIN(MATCH(DATOS!$C$68,TABLAS!$B$52:$B$58,0)+2,7)),1))*INDEX(TABLAS!$D$52:$D$58,MIN(MATCH(DATOS!$C$68,TABLAS!$B$52:$B$58,0)+2,7))&gt;=4/3*IF(BH15&lt;=0,0,IF((1-2*BH15*1E5/(DATOS!$C$29*AH15*CA15^2*DATOS!$C$21))&lt;0,-1,IF((1-SQRT((1-2*BH15*1E5/(DATOS!$C$29*AH15*CA15^2*DATOS!$C$21))))*DATOS!$C$21*AH15*CA15/DATOS!$C$14&gt;DATOS!$C$99*AH15*CA15,-1,(1-SQRT((1-2*BH15*1E5/(DATOS!$C$29*AH15*CA15^2*DATOS!$C$21))))*DATOS!$C$21*AH15*CA15/DATOS!$C$14)))-0.0001,MAX(DATOS!$C$71,CEILING(CB15/INDEX(TABLAS!$D$52:$D$58,MIN(MATCH(DATOS!$C$68,TABLAS!$B$52:$B$58,0)+2,7)),1)),MAX(MAX(DATOS!$C$71,CEILING(CB15/INDEX(TABLAS!$D$52:$D$58,MIN(MATCH(DATOS!$C$68,TABLAS!$B$52:$B$58,0)+2,7)),1)),2))&lt;=MIN(DATOS!$C$70,INT(((DATOS!$C$80-2*AJ15)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15&gt;=0,IF(MAX(DATOS!$C$71,CEILING(CB15/INDEX(TABLAS!$D$52:$D$58,MIN(MATCH(DATOS!$C$68,TABLAS!$B$52:$B$58,0)+3,7)),1))*INDEX(TABLAS!$D$52:$D$58,MIN(MATCH(DATOS!$C$68,TABLAS!$B$52:$B$58,0)+3,7))&gt;=4/3*IF(BH15&lt;=0,0,IF((1-2*BH15*1E5/(DATOS!$C$29*AH15*CA15^2*DATOS!$C$21))&lt;0,-1,IF((1-SQRT((1-2*BH15*1E5/(DATOS!$C$29*AH15*CA15^2*DATOS!$C$21))))*DATOS!$C$21*AH15*CA15/DATOS!$C$14&gt;DATOS!$C$99*AH15*CA15,-1,(1-SQRT((1-2*BH15*1E5/(DATOS!$C$29*AH15*CA15^2*DATOS!$C$21))))*DATOS!$C$21*AH15*CA15/DATOS!$C$14)))-0.0001,MAX(DATOS!$C$71,CEILING(CB15/INDEX(TABLAS!$D$52:$D$58,MIN(MATCH(DATOS!$C$68,TABLAS!$B$52:$B$58,0)+3,7)),1)),MAX(MAX(DATOS!$C$71,CEILING(CB15/INDEX(TABLAS!$D$52:$D$58,MIN(MATCH(DATOS!$C$68,TABLAS!$B$52:$B$58,0)+3,7)),1)),2))&lt;=MIN(DATOS!$C$70,INT(((DATOS!$C$80-2*AJ15)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15&gt;=0,IF(MAX(DATOS!$C$71,CEILING(CB15/INDEX(TABLAS!$D$52:$D$58,MIN(MATCH(DATOS!$C$68,TABLAS!$B$52:$B$58,0)+4,7)),1))*INDEX(TABLAS!$D$52:$D$58,MIN(MATCH(DATOS!$C$68,TABLAS!$B$52:$B$58,0)+4,7))&gt;=4/3*IF(BH15&lt;=0,0,IF((1-2*BH15*1E5/(DATOS!$C$29*AH15*CA15^2*DATOS!$C$21))&lt;0,-1,IF((1-SQRT((1-2*BH15*1E5/(DATOS!$C$29*AH15*CA15^2*DATOS!$C$21))))*DATOS!$C$21*AH15*CA15/DATOS!$C$14&gt;DATOS!$C$99*AH15*CA15,-1,(1-SQRT((1-2*BH15*1E5/(DATOS!$C$29*AH15*CA15^2*DATOS!$C$21))))*DATOS!$C$21*AH15*CA15/DATOS!$C$14)))-0.0001,MAX(DATOS!$C$71,CEILING(CB15/INDEX(TABLAS!$D$52:$D$58,MIN(MATCH(DATOS!$C$68,TABLAS!$B$52:$B$58,0)+4,7)),1)),MAX(MAX(DATOS!$C$71,CEILING(CB15/INDEX(TABLAS!$D$52:$D$58,MIN(MATCH(DATOS!$C$68,TABLAS!$B$52:$B$58,0)+4,7)),1)),2))&lt;=MIN(DATOS!$C$70,INT(((DATOS!$C$80-2*AJ15)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15" s="59" t="str">
        <f>IF(U15&lt;&gt;"SÍ","",IF(CB15&lt;0,0,IF(MAX(DATOS!$C$71,CEILING(MAX(CB15,0)/INDEX(TABLAS!$D$52:$D$58,MATCH(CC15,TABLAS!$B$52:$B$58,0)),1))*INDEX(TABLAS!$D$52:$D$58,MATCH(CC15,TABLAS!$B$52:$B$58,0))&gt;=4/3*IF(BH15&lt;=0,0,IF((1-2*BH15*1E5/(DATOS!$C$29*AH15*CA15^2*DATOS!$C$21))&lt;0,-1,IF((1-SQRT((1-2*BH15*1E5/(DATOS!$C$29*AH15*CA15^2*DATOS!$C$21))))*DATOS!$C$21*AH15*CA15/DATOS!$C$14&gt;DATOS!$C$99*AH15*CA15,-1,(1-SQRT((1-2*BH15*1E5/(DATOS!$C$29*AH15*CA15^2*DATOS!$C$21))))*DATOS!$C$21*AH15*CA15/DATOS!$C$14)))-0.0001,MAX(DATOS!$C$71,CEILING(MAX(CB15,0)/INDEX(TABLAS!$D$52:$D$58,MATCH(CC15,TABLAS!$B$52:$B$58,0)),1)),MAX(MAX(DATOS!$C$71,CEILING(MAX(CB15,0)/INDEX(TABLAS!$D$52:$D$58,MATCH(CC15,TABLAS!$B$52:$B$58,0)),1)),2))))</f>
        <v/>
      </c>
      <c r="CE15" s="58" t="str">
        <f>IF(U15&lt;&gt;"SÍ","",DATOS!$C$82-AJ15-INDEX(TABLAS!$C$52:$C$58,MATCH(BM15,TABLAS!$B$52:$B$58,0))-INDEX(TABLAS!$C$52:$C$58,MATCH(CC15,TABLAS!$B$52:$B$58,0))/2)</f>
        <v/>
      </c>
      <c r="CF15" s="56" t="str">
        <f>IF(U15&lt;&gt;"SÍ","",IF(CD15=0,0,DATOS!$C$29*CD15*INDEX(TABLAS!$D$52:$D$58,MATCH(CC15,TABLAS!$B$52:$B$58,0))*DATOS!$C$14*(CE15-CD15*INDEX(TABLAS!$D$52:$D$58,MATCH(CC15,TABLAS!$B$52:$B$58,0))*DATOS!$C$14/(DATOS!$C$21*AH15)/2)/1E5))</f>
        <v/>
      </c>
      <c r="CG15" s="65" t="str">
        <f>IF(U15&lt;&gt;"SÍ","",IF(CB15&lt;0,9.99,IF(CF15&gt;0,BH15/CF15,0)))</f>
        <v/>
      </c>
      <c r="CH15" s="66" t="str">
        <f>IF(U15&lt;&gt;"SÍ","",IF(CD15=0,"—",0.003*(CE15-(CD15*INDEX(TABLAS!$D$52:$D$58,MATCH(CC15,TABLAS!$B$52:$B$58,0))*DATOS!$C$14/(DATOS!$C$21*AH15)/DATOS!$C$22))/(CD15*INDEX(TABLAS!$D$52:$D$58,MATCH(CC15,TABLAS!$B$52:$B$58,0))*DATOS!$C$14/(DATOS!$C$21*AH15)/DATOS!$C$22)))</f>
        <v/>
      </c>
      <c r="CI15" s="58" t="str">
        <f>IF(U15&lt;&gt;"SÍ","",((DATOS!$C$82-AL15-2*DATOS!$C$94-INDEX(TABLAS!$C$52:$C$58,MATCH(DATOS!$C$69,TABLAS!$B$52:$B$58,0))-INDEX(TABLAS!$C$52:$C$58,MATCH(DATOS!$C$69,TABLAS!$B$52:$B$58,0))/2)-IF(AND((DATOS!$C$82-AL15-2*DATOS!$C$94-INDEX(TABLAS!$C$52:$C$58,MATCH(DATOS!$C$69,TABLAS!$B$52:$B$58,0))-INDEX(TABLAS!$C$52:$C$58,MATCH(DATOS!$C$69,TABLAS!$B$52:$B$58,0))/2)&lt;=20,DATOS!$C$62&lt;&gt;"SÍ"),2,0)))</f>
        <v/>
      </c>
      <c r="CJ15" s="58" t="str">
        <f>IF(U15&lt;&gt;"SÍ","",IF(IF(BI15&lt;=0,0,IF((1-2*BI15*1E5/(DATOS!$C$29*AF15*CI15^2*DATOS!$C$21))&lt;0,-1,IF((1-SQRT((1-2*BI15*1E5/(DATOS!$C$29*AF15*CI15^2*DATOS!$C$21))))*DATOS!$C$21*AF15*CI15/DATOS!$C$14&gt;DATOS!$C$99*AF15*CI15,-1,(1-SQRT((1-2*BI15*1E5/(DATOS!$C$29*AF15*CI15^2*DATOS!$C$21))))*DATOS!$C$21*AF15*CI15/DATOS!$C$14)))&lt;0,-1,MAX(IF(BI15&lt;=0,0,IF((1-2*BI15*1E5/(DATOS!$C$29*AF15*CI15^2*DATOS!$C$21))&lt;0,-1,IF((1-SQRT((1-2*BI15*1E5/(DATOS!$C$29*AF15*CI15^2*DATOS!$C$21))))*DATOS!$C$21*AF15*CI15/DATOS!$C$14&gt;DATOS!$C$99*AF15*CI15,-1,(1-SQRT((1-2*BI15*1E5/(DATOS!$C$29*AF15*CI15^2*DATOS!$C$21))))*DATOS!$C$21*AF15*CI15/DATOS!$C$14))),MIN(DATOS!$C$100*DATOS!$C$80*CI15,4/3*IF(BI15&lt;=0,0,IF((1-2*BI15*1E5/(DATOS!$C$29*AF15*CI15^2*DATOS!$C$21))&lt;0,-1,IF((1-SQRT((1-2*BI15*1E5/(DATOS!$C$29*AF15*CI15^2*DATOS!$C$21))))*DATOS!$C$21*AF15*CI15/DATOS!$C$14&gt;DATOS!$C$99*AF15*CI15,-1,(1-SQRT((1-2*BI15*1E5/(DATOS!$C$29*AF15*CI15^2*DATOS!$C$21))))*DATOS!$C$21*AF15*CI15/DATOS!$C$14)))))))</f>
        <v/>
      </c>
      <c r="CK15" s="64" t="str">
        <f>IF(U15&lt;&gt;"SÍ","",IF(AND(CJ15&gt;=0,IF(MAX(DATOS!$C$71,CEILING(CJ15/INDEX(TABLAS!$D$52:$D$58,MIN(MATCH(DATOS!$C$69,TABLAS!$B$52:$B$58,0)+0,7)),1))*INDEX(TABLAS!$D$52:$D$58,MIN(MATCH(DATOS!$C$69,TABLAS!$B$52:$B$58,0)+0,7))&gt;=4/3*IF(BI15&lt;=0,0,IF((1-2*BI15*1E5/(DATOS!$C$29*AF15*CI15^2*DATOS!$C$21))&lt;0,-1,IF((1-SQRT((1-2*BI15*1E5/(DATOS!$C$29*AF15*CI15^2*DATOS!$C$21))))*DATOS!$C$21*AF15*CI15/DATOS!$C$14&gt;DATOS!$C$99*AF15*CI15,-1,(1-SQRT((1-2*BI15*1E5/(DATOS!$C$29*AF15*CI15^2*DATOS!$C$21))))*DATOS!$C$21*AF15*CI15/DATOS!$C$14)))-0.0001,MAX(DATOS!$C$71,CEILING(CJ15/INDEX(TABLAS!$D$52:$D$58,MIN(MATCH(DATOS!$C$69,TABLAS!$B$52:$B$58,0)+0,7)),1)),MAX(MAX(DATOS!$C$71,CEILING(CJ15/INDEX(TABLAS!$D$52:$D$58,MIN(MATCH(DATOS!$C$69,TABLAS!$B$52:$B$58,0)+0,7)),1)),2))&lt;=MIN(DATOS!$C$70,INT(((DATOS!$C$80-2*AK15)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15&gt;=0,IF(MAX(DATOS!$C$71,CEILING(CJ15/INDEX(TABLAS!$D$52:$D$58,MIN(MATCH(DATOS!$C$69,TABLAS!$B$52:$B$58,0)+1,7)),1))*INDEX(TABLAS!$D$52:$D$58,MIN(MATCH(DATOS!$C$69,TABLAS!$B$52:$B$58,0)+1,7))&gt;=4/3*IF(BI15&lt;=0,0,IF((1-2*BI15*1E5/(DATOS!$C$29*AF15*CI15^2*DATOS!$C$21))&lt;0,-1,IF((1-SQRT((1-2*BI15*1E5/(DATOS!$C$29*AF15*CI15^2*DATOS!$C$21))))*DATOS!$C$21*AF15*CI15/DATOS!$C$14&gt;DATOS!$C$99*AF15*CI15,-1,(1-SQRT((1-2*BI15*1E5/(DATOS!$C$29*AF15*CI15^2*DATOS!$C$21))))*DATOS!$C$21*AF15*CI15/DATOS!$C$14)))-0.0001,MAX(DATOS!$C$71,CEILING(CJ15/INDEX(TABLAS!$D$52:$D$58,MIN(MATCH(DATOS!$C$69,TABLAS!$B$52:$B$58,0)+1,7)),1)),MAX(MAX(DATOS!$C$71,CEILING(CJ15/INDEX(TABLAS!$D$52:$D$58,MIN(MATCH(DATOS!$C$69,TABLAS!$B$52:$B$58,0)+1,7)),1)),2))&lt;=MIN(DATOS!$C$70,INT(((DATOS!$C$80-2*AK15)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15&gt;=0,IF(MAX(DATOS!$C$71,CEILING(CJ15/INDEX(TABLAS!$D$52:$D$58,MIN(MATCH(DATOS!$C$69,TABLAS!$B$52:$B$58,0)+2,7)),1))*INDEX(TABLAS!$D$52:$D$58,MIN(MATCH(DATOS!$C$69,TABLAS!$B$52:$B$58,0)+2,7))&gt;=4/3*IF(BI15&lt;=0,0,IF((1-2*BI15*1E5/(DATOS!$C$29*AF15*CI15^2*DATOS!$C$21))&lt;0,-1,IF((1-SQRT((1-2*BI15*1E5/(DATOS!$C$29*AF15*CI15^2*DATOS!$C$21))))*DATOS!$C$21*AF15*CI15/DATOS!$C$14&gt;DATOS!$C$99*AF15*CI15,-1,(1-SQRT((1-2*BI15*1E5/(DATOS!$C$29*AF15*CI15^2*DATOS!$C$21))))*DATOS!$C$21*AF15*CI15/DATOS!$C$14)))-0.0001,MAX(DATOS!$C$71,CEILING(CJ15/INDEX(TABLAS!$D$52:$D$58,MIN(MATCH(DATOS!$C$69,TABLAS!$B$52:$B$58,0)+2,7)),1)),MAX(MAX(DATOS!$C$71,CEILING(CJ15/INDEX(TABLAS!$D$52:$D$58,MIN(MATCH(DATOS!$C$69,TABLAS!$B$52:$B$58,0)+2,7)),1)),2))&lt;=MIN(DATOS!$C$70,INT(((DATOS!$C$80-2*AK15)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15&gt;=0,IF(MAX(DATOS!$C$71,CEILING(CJ15/INDEX(TABLAS!$D$52:$D$58,MIN(MATCH(DATOS!$C$69,TABLAS!$B$52:$B$58,0)+3,7)),1))*INDEX(TABLAS!$D$52:$D$58,MIN(MATCH(DATOS!$C$69,TABLAS!$B$52:$B$58,0)+3,7))&gt;=4/3*IF(BI15&lt;=0,0,IF((1-2*BI15*1E5/(DATOS!$C$29*AF15*CI15^2*DATOS!$C$21))&lt;0,-1,IF((1-SQRT((1-2*BI15*1E5/(DATOS!$C$29*AF15*CI15^2*DATOS!$C$21))))*DATOS!$C$21*AF15*CI15/DATOS!$C$14&gt;DATOS!$C$99*AF15*CI15,-1,(1-SQRT((1-2*BI15*1E5/(DATOS!$C$29*AF15*CI15^2*DATOS!$C$21))))*DATOS!$C$21*AF15*CI15/DATOS!$C$14)))-0.0001,MAX(DATOS!$C$71,CEILING(CJ15/INDEX(TABLAS!$D$52:$D$58,MIN(MATCH(DATOS!$C$69,TABLAS!$B$52:$B$58,0)+3,7)),1)),MAX(MAX(DATOS!$C$71,CEILING(CJ15/INDEX(TABLAS!$D$52:$D$58,MIN(MATCH(DATOS!$C$69,TABLAS!$B$52:$B$58,0)+3,7)),1)),2))&lt;=MIN(DATOS!$C$70,INT(((DATOS!$C$80-2*AK15)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15&gt;=0,IF(MAX(DATOS!$C$71,CEILING(CJ15/INDEX(TABLAS!$D$52:$D$58,MIN(MATCH(DATOS!$C$69,TABLAS!$B$52:$B$58,0)+4,7)),1))*INDEX(TABLAS!$D$52:$D$58,MIN(MATCH(DATOS!$C$69,TABLAS!$B$52:$B$58,0)+4,7))&gt;=4/3*IF(BI15&lt;=0,0,IF((1-2*BI15*1E5/(DATOS!$C$29*AF15*CI15^2*DATOS!$C$21))&lt;0,-1,IF((1-SQRT((1-2*BI15*1E5/(DATOS!$C$29*AF15*CI15^2*DATOS!$C$21))))*DATOS!$C$21*AF15*CI15/DATOS!$C$14&gt;DATOS!$C$99*AF15*CI15,-1,(1-SQRT((1-2*BI15*1E5/(DATOS!$C$29*AF15*CI15^2*DATOS!$C$21))))*DATOS!$C$21*AF15*CI15/DATOS!$C$14)))-0.0001,MAX(DATOS!$C$71,CEILING(CJ15/INDEX(TABLAS!$D$52:$D$58,MIN(MATCH(DATOS!$C$69,TABLAS!$B$52:$B$58,0)+4,7)),1)),MAX(MAX(DATOS!$C$71,CEILING(CJ15/INDEX(TABLAS!$D$52:$D$58,MIN(MATCH(DATOS!$C$69,TABLAS!$B$52:$B$58,0)+4,7)),1)),2))&lt;=MIN(DATOS!$C$70,INT(((DATOS!$C$80-2*AK15)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15" s="59" t="str">
        <f>IF(U15&lt;&gt;"SÍ","",IF(CJ15&lt;0,0,IF(MAX(DATOS!$C$71,CEILING(MAX(CJ15,0)/INDEX(TABLAS!$D$52:$D$58,MATCH(CK15,TABLAS!$B$52:$B$58,0)),1))*INDEX(TABLAS!$D$52:$D$58,MATCH(CK15,TABLAS!$B$52:$B$58,0))&gt;=4/3*IF(BI15&lt;=0,0,IF((1-2*BI15*1E5/(DATOS!$C$29*AF15*CI15^2*DATOS!$C$21))&lt;0,-1,IF((1-SQRT((1-2*BI15*1E5/(DATOS!$C$29*AF15*CI15^2*DATOS!$C$21))))*DATOS!$C$21*AF15*CI15/DATOS!$C$14&gt;DATOS!$C$99*AF15*CI15,-1,(1-SQRT((1-2*BI15*1E5/(DATOS!$C$29*AF15*CI15^2*DATOS!$C$21))))*DATOS!$C$21*AF15*CI15/DATOS!$C$14)))-0.0001,MAX(DATOS!$C$71,CEILING(MAX(CJ15,0)/INDEX(TABLAS!$D$52:$D$58,MATCH(CK15,TABLAS!$B$52:$B$58,0)),1)),MAX(MAX(DATOS!$C$71,CEILING(MAX(CJ15,0)/INDEX(TABLAS!$D$52:$D$58,MATCH(CK15,TABLAS!$B$52:$B$58,0)),1)),2))))</f>
        <v/>
      </c>
      <c r="CM15" s="58" t="str">
        <f>IF(U15&lt;&gt;"SÍ","",((DATOS!$C$82-AL15-2*DATOS!$C$94-INDEX(TABLAS!$C$52:$C$58,MATCH(BU15,TABLAS!$B$52:$B$58,0))-INDEX(TABLAS!$C$52:$C$58,MATCH(CK15,TABLAS!$B$52:$B$58,0))/2)-IF(AND((DATOS!$C$82-AL15-2*DATOS!$C$94-INDEX(TABLAS!$C$52:$C$58,MATCH(BU15,TABLAS!$B$52:$B$58,0))-INDEX(TABLAS!$C$52:$C$58,MATCH(CK15,TABLAS!$B$52:$B$58,0))/2)&lt;=20,DATOS!$C$62&lt;&gt;"SÍ"),2,0)))</f>
        <v/>
      </c>
      <c r="CN15" s="56" t="str">
        <f>IF(U15&lt;&gt;"SÍ","",IF(CL15=0,0,DATOS!$C$29*CL15*INDEX(TABLAS!$D$52:$D$58,MATCH(CK15,TABLAS!$B$52:$B$58,0))*DATOS!$C$14*(CM15-CL15*INDEX(TABLAS!$D$52:$D$58,MATCH(CK15,TABLAS!$B$52:$B$58,0))*DATOS!$C$14/(DATOS!$C$21*AF15)/2)/1E5))</f>
        <v/>
      </c>
      <c r="CO15" s="65" t="str">
        <f>IF(U15&lt;&gt;"SÍ","",IF(CJ15&lt;0,9.99,IF(CN15&gt;0,BI15/CN15,0)))</f>
        <v/>
      </c>
      <c r="CP15" s="66" t="str">
        <f>IF(U15&lt;&gt;"SÍ","",IF(CL15=0,"—",0.003*(CM15-(CL15*INDEX(TABLAS!$D$52:$D$58,MATCH(CK15,TABLAS!$B$52:$B$58,0))*DATOS!$C$14/(DATOS!$C$21*AF15)/DATOS!$C$22))/(CL15*INDEX(TABLAS!$D$52:$D$58,MATCH(CK15,TABLAS!$B$52:$B$58,0))*DATOS!$C$14/(DATOS!$C$21*AF15)/DATOS!$C$22)))</f>
        <v/>
      </c>
      <c r="CQ15" s="56" t="str">
        <f>IF(U15&lt;&gt;"SÍ","",IF(C15="PERIMETRAL",MAX(0,(AA15/2-BW15)/100)*(0.95-0.5*Z15)*AQ15*IF(AND(AR15&gt;0,AR15&lt;4),DATOS!$C$33,1)*DATOS!$C$83/100/1000,(AQ15*MAX(0,AA15-BW15)/100+DATOS!$C$26*N(O15))*DATOS!$C$83/100/1000+BE15))</f>
        <v/>
      </c>
      <c r="CR15" s="56" t="str">
        <f>IF(U15&lt;&gt;"SÍ","",DATOS!$C$30*2*MIN(1,SQRT(2/(1+0.04*BW15)))*(BV15*INDEX(TABLAS!$D$52:$D$58,MATCH(BU15,TABLAS!$B$52:$B$58,0))/(AE15*BW15))^(1/3)*SQRT(DATOS!$C$13)*AE15*BW15*IF(AI15="SÍ",DATOS!$C$32,1)/1000)</f>
        <v/>
      </c>
      <c r="CS15" s="59" t="str">
        <f>IF(U15&lt;&gt;"SÍ","",IF(CQ15&lt;=CR15,0,CEILING(MAX(0,IF(C15="VOLADO",(AA15-((CR15-BE15)*1E5/DATOS!$C$83-DATOS!$C$26*N(O15))*100/AQ15),IF(CR15&lt;=0,AA15,AA15/2-CR15/MAX(CQ15,1E-9)*(AA15/2-BW15)))-IF(INT((X15*100-DATOS!$C$84+DATOS!$C$80)/DATOS!$C$83)&gt;0,(X15*100-DATOS!$C$84-(INT((X15*100-DATOS!$C$84+DATOS!$C$80)/DATOS!$C$83)*DATOS!$C$78+(INT((X15*100-DATOS!$C$84+DATOS!$C$80)/DATOS!$C$83)-1)*DATOS!$C$80))/2,X15*100/2))/DATOS!$C$83,1)))</f>
        <v/>
      </c>
      <c r="CT15" s="67" t="str">
        <f>IF(U15&lt;&gt;"SÍ","",IF(CQ15&lt;=CR15,"CUMPLE",IF(CS15&lt;=0,"CUMPLE (basta el macizo de orilla)",IF(CS15*DATOS!$C$83*IF(C15="VOLADO",1,2)&gt;=X15*100-DATOS!$C$84,"NO CUMPLE: no alcanza ni macizando todo","MACIZAR "&amp;CS15&amp;" hilera(s)"))))</f>
        <v/>
      </c>
      <c r="CU15" s="58" t="str">
        <f>IF(U15&lt;&gt;"SÍ","",(DATOS!$C$83*DATOS!$C$81^2/2+AC15*DATOS!$C$79*(DATOS!$C$81+DATOS!$C$79/2))/(DATOS!$C$83*DATOS!$C$81+AC15*DATOS!$C$79))</f>
        <v/>
      </c>
      <c r="CV15" s="68" t="str">
        <f>IF(U15&lt;&gt;"SÍ","",DATOS!$C$83*DATOS!$C$81^3/12+DATOS!$C$83*DATOS!$C$81*(CU15-DATOS!$C$81/2)^2+AC15*DATOS!$C$79^3/12+AC15*DATOS!$C$79*(DATOS!$C$81+DATOS!$C$79/2-CU15)^2)</f>
        <v/>
      </c>
      <c r="CW15" s="58" t="str">
        <f>IF(U15&lt;&gt;"SÍ","",(12*CV15/DATOS!$C$83)^(1/3))</f>
        <v/>
      </c>
      <c r="CX15" s="58" t="str">
        <f>IF(U15&lt;&gt;"SÍ","",IF(C15="PERIMETRAL",IF(ISNUMBER(R15),R15,DATOS!$C$101),0))</f>
        <v/>
      </c>
      <c r="CY15" s="57" t="str">
        <f>IF(U15&lt;&gt;"SÍ","",IF(C15="PERIMETRAL",IF(CX15&gt;2,MAX(9,AB15*(0.8+DATOS!$C$14/14000)/(36+9*(AB15/MAX(AA15,1)))),IF(CX15&gt;0.2,MAX(13,AB15*(0.8+DATOS!$C$14/14000)/(36+5*(AB15/MAX(AA15,1))*(CX15-0.2))),MAX(13,AB15/IF(AR15&gt;0,30,33))))*IF(AND(CX15&gt;0.2,AR15&gt;0,DATOS!$C$102="NO"),1.1,1),X15*100/8))</f>
        <v/>
      </c>
      <c r="CZ15" s="61" t="str">
        <f>IF(U15&lt;&gt;"SÍ","",IF(IF(C15="VOLADO",DATOS!$C$82,CW15)&gt;=CY15,"CUMPLE",IF(C15="VOLADO","NO CUMPLE","CALCULAR FLECHA")))</f>
        <v/>
      </c>
      <c r="DA15" s="55" t="str">
        <f>IF(U15&lt;&gt;"SÍ","",IF(DATOS!$C$81&gt;=IF(IF(C15="VOLADO",X15,Y15)&gt;=6,6,5),"CUMPLE","CAPA ≥ 6 cm"))</f>
        <v/>
      </c>
      <c r="DB15" s="60" t="str">
        <f>IF(U15&lt;&gt;"SÍ","",IF(C15="VOLADO",MIN(CEILING(IF(ISNUMBER(P15),P15,X15)*100,5),CEILING(MAX(IF((0.5*(0.9*DATOS!$C$87*DATOS!$C$83/100/1000)*IF(ISNUMBER(P15),P15,X15)+BG15/IF(ISNUMBER(P15),P15,X15))^2-4*(0.5*(0.9*DATOS!$C$87*DATOS!$C$83/100/1000))*BG15&lt;0,IF(ISNUMBER(P15),P15,X15),MIN(IF(ISNUMBER(P15),P15,X15),((0.5*(0.9*DATOS!$C$87*DATOS!$C$83/100/1000)*IF(ISNUMBER(P15),P15,X15)+BG15/IF(ISNUMBER(P15),P15,X15))-SQRT((0.5*(0.9*DATOS!$C$87*DATOS!$C$83/100/1000)*IF(ISNUMBER(P15),P15,X15)+BG15/IF(ISNUMBER(P15),P15,X15))^2-4*(0.5*(0.9*DATOS!$C$87*DATOS!$C$83/100/1000))*BG15))/(2*(0.5*(0.9*DATOS!$C$87*DATOS!$C$83/100/1000)))))*100+MAX(BW15,12*INDEX(TABLAS!$C$52:$C$58,MATCH(BU15,TABLAS!$B$52:$B$58,0)),IF(ISNUMBER(P15),P15,X15)*100/16),IF(OR(AK15&lt;INDEX(TABLAS!$C$52:$C$58,MATCH(BU15,TABLAS!$B$52:$B$58,0)),AND(BV15&gt;=2,(AC15-2*AK15-BV15*INDEX(TABLAS!$C$52:$C$58,MATCH(BU15,TABLAS!$B$52:$B$58,0)))/MAX(BV15-1,1)&lt;2*INDEX(TABLAS!$C$52:$C$58,MATCH(BU15,TABLAS!$B$52:$B$58,0)))),INDEX(TABLAS!$I$52:$I$58,MATCH(BU15,TABLAS!$B$52:$B$58,0)),INDEX(TABLAS!$F$52:$F$58,MATCH(BU15,TABLAS!$B$52:$B$58,0)))),5)),IF(((4*((BB15*AQ15*X15^2*1E-4*DATOS!$C$83/100/1000)+((MAX(AX15,AZ15)*AQ15*X15^2*1E-4*DATOS!$C$83/100/1000)+(IF(AND(AX15&gt;0,AZ15&gt;0),MIN(AX15,AZ15),MAX(AX15,AZ15))*AQ15*X15^2*1E-4*DATOS!$C$83/100/1000))/2)+BG15-(IF(AND(AX15&gt;0,AZ15&gt;0),MIN(AX15,AZ15),MAX(AX15,AZ15))*AQ15*X15^2*1E-4*DATOS!$C$83/100/1000))^2-16*((BB15*AQ15*X15^2*1E-4*DATOS!$C$83/100/1000)+((MAX(AX15,AZ15)*AQ15*X15^2*1E-4*DATOS!$C$83/100/1000)+(IF(AND(AX15&gt;0,AZ15&gt;0),MIN(AX15,AZ15),MAX(AX15,AZ15))*AQ15*X15^2*1E-4*DATOS!$C$83/100/1000))/2)*BG15)&lt;0,CEILING(AA15,5),CEILING(MAX(AA15*((4*((BB15*AQ15*X15^2*1E-4*DATOS!$C$83/100/1000)+((MAX(AX15,AZ15)*AQ15*X15^2*1E-4*DATOS!$C$83/100/1000)+(IF(AND(AX15&gt;0,AZ15&gt;0),MIN(AX15,AZ15),MAX(AX15,AZ15))*AQ15*X15^2*1E-4*DATOS!$C$83/100/1000))/2)+BG15-(IF(AND(AX15&gt;0,AZ15&gt;0),MIN(AX15,AZ15),MAX(AX15,AZ15))*AQ15*X15^2*1E-4*DATOS!$C$83/100/1000))-SQRT(MAX(0,((4*((BB15*AQ15*X15^2*1E-4*DATOS!$C$83/100/1000)+((MAX(AX15,AZ15)*AQ15*X15^2*1E-4*DATOS!$C$83/100/1000)+(IF(AND(AX15&gt;0,AZ15&gt;0),MIN(AX15,AZ15),MAX(AX15,AZ15))*AQ15*X15^2*1E-4*DATOS!$C$83/100/1000))/2)+BG15-(IF(AND(AX15&gt;0,AZ15&gt;0),MIN(AX15,AZ15),MAX(AX15,AZ15))*AQ15*X15^2*1E-4*DATOS!$C$83/100/1000))^2-16*((BB15*AQ15*X15^2*1E-4*DATOS!$C$83/100/1000)+((MAX(AX15,AZ15)*AQ15*X15^2*1E-4*DATOS!$C$83/100/1000)+(IF(AND(AX15&gt;0,AZ15&gt;0),MIN(AX15,AZ15),MAX(AX15,AZ15))*AQ15*X15^2*1E-4*DATOS!$C$83/100/1000))/2)*BG15))))/(8*MAX(((BB15*AQ15*X15^2*1E-4*DATOS!$C$83/100/1000)+((MAX(AX15,AZ15)*AQ15*X15^2*1E-4*DATOS!$C$83/100/1000)+(IF(AND(AX15&gt;0,AZ15&gt;0),MIN(AX15,AZ15),MAX(AX15,AZ15))*AQ15*X15^2*1E-4*DATOS!$C$83/100/1000))/2),1E-9))+MAX(BW15,12*INDEX(TABLAS!$C$52:$C$58,MATCH(BU15,TABLAS!$B$52:$B$58,0)),AA15/16),IF(OR(AK15&lt;INDEX(TABLAS!$C$52:$C$58,MATCH(BU15,TABLAS!$B$52:$B$58,0)),AND(BV15&gt;=2,(AC15-2*AK15-BV15*INDEX(TABLAS!$C$52:$C$58,MATCH(BU15,TABLAS!$B$52:$B$58,0)))/MAX(BV15-1,1)&lt;2*INDEX(TABLAS!$C$52:$C$58,MATCH(BU15,TABLAS!$B$52:$B$58,0)))),INDEX(TABLAS!$I$52:$I$58,MATCH(BU15,TABLAS!$B$52:$B$58,0)),INDEX(TABLAS!$F$52:$F$58,MATCH(BU15,TABLAS!$B$52:$B$58,0)))),5))))</f>
        <v/>
      </c>
      <c r="DC15" s="60" t="str">
        <f>IF(U15&lt;&gt;"SÍ","",IF(C15="VOLADO",0,IF(((4*((BC15*AQ15*X15^2*1E-4*DATOS!$C$83/100/1000)+((MAX(AY15,BA15)*AQ15*X15^2*1E-4*DATOS!$C$83/100/1000)+(IF(AND(AY15&gt;0,BA15&gt;0),MIN(AY15,BA15),MAX(AY15,BA15))*AQ15*X15^2*1E-4*DATOS!$C$83/100/1000))/2)+BI15-(IF(AND(AY15&gt;0,BA15&gt;0),MIN(AY15,BA15),MAX(AY15,BA15))*AQ15*X15^2*1E-4*DATOS!$C$83/100/1000))^2-16*((BC15*AQ15*X15^2*1E-4*DATOS!$C$83/100/1000)+((MAX(AY15,BA15)*AQ15*X15^2*1E-4*DATOS!$C$83/100/1000)+(IF(AND(AY15&gt;0,BA15&gt;0),MIN(AY15,BA15),MAX(AY15,BA15))*AQ15*X15^2*1E-4*DATOS!$C$83/100/1000))/2)*BI15)&lt;0,CEILING(AB15,5),CEILING(MAX(AB15*((4*((BC15*AQ15*X15^2*1E-4*DATOS!$C$83/100/1000)+((MAX(AY15,BA15)*AQ15*X15^2*1E-4*DATOS!$C$83/100/1000)+(IF(AND(AY15&gt;0,BA15&gt;0),MIN(AY15,BA15),MAX(AY15,BA15))*AQ15*X15^2*1E-4*DATOS!$C$83/100/1000))/2)+BI15-(IF(AND(AY15&gt;0,BA15&gt;0),MIN(AY15,BA15),MAX(AY15,BA15))*AQ15*X15^2*1E-4*DATOS!$C$83/100/1000))-SQRT(MAX(0,((4*((BC15*AQ15*X15^2*1E-4*DATOS!$C$83/100/1000)+((MAX(AY15,BA15)*AQ15*X15^2*1E-4*DATOS!$C$83/100/1000)+(IF(AND(AY15&gt;0,BA15&gt;0),MIN(AY15,BA15),MAX(AY15,BA15))*AQ15*X15^2*1E-4*DATOS!$C$83/100/1000))/2)+BI15-(IF(AND(AY15&gt;0,BA15&gt;0),MIN(AY15,BA15),MAX(AY15,BA15))*AQ15*X15^2*1E-4*DATOS!$C$83/100/1000))^2-16*((BC15*AQ15*X15^2*1E-4*DATOS!$C$83/100/1000)+((MAX(AY15,BA15)*AQ15*X15^2*1E-4*DATOS!$C$83/100/1000)+(IF(AND(AY15&gt;0,BA15&gt;0),MIN(AY15,BA15),MAX(AY15,BA15))*AQ15*X15^2*1E-4*DATOS!$C$83/100/1000))/2)*BI15))))/(8*MAX(((BC15*AQ15*X15^2*1E-4*DATOS!$C$83/100/1000)+((MAX(AY15,BA15)*AQ15*X15^2*1E-4*DATOS!$C$83/100/1000)+(IF(AND(AY15&gt;0,BA15&gt;0),MIN(AY15,BA15),MAX(AY15,BA15))*AQ15*X15^2*1E-4*DATOS!$C$83/100/1000))/2),1E-9))+MAX(CM15,12*INDEX(TABLAS!$C$52:$C$58,MATCH(CK15,TABLAS!$B$52:$B$58,0)),AB15/16),IF(OR(AK15&lt;INDEX(TABLAS!$C$52:$C$58,MATCH(CK15,TABLAS!$B$52:$B$58,0)),AND(CL15&gt;=2,(DATOS!$C$80-2*AK15-CL15*INDEX(TABLAS!$C$52:$C$58,MATCH(CK15,TABLAS!$B$52:$B$58,0)))/MAX(CL15-1,1)&lt;2*INDEX(TABLAS!$C$52:$C$58,MATCH(CK15,TABLAS!$B$52:$B$58,0)))),INDEX(TABLAS!$I$52:$I$58,MATCH(CK15,TABLAS!$B$52:$B$58,0)),INDEX(TABLAS!$F$52:$F$58,MATCH(CK15,TABLAS!$B$52:$B$58,0)))),5))))</f>
        <v/>
      </c>
      <c r="DD15" s="55" t="str">
        <f>IF(U15&lt;&gt;"SÍ","",IF(AND(C15="PERIMETRAL",BV15&gt;=2,AR15-AS15&gt;0,AZ15*AQ15*X15^2*1E-4*DATOS!$C$83/100/1000&gt;DATOS!$C$29*INDEX(TABLAS!$D$52:$D$58,MATCH(BU15,TABLAS!$B$52:$B$58,0))*DATOS!$C$14*(BW15-INDEX(TABLAS!$D$52:$D$58,MATCH(BU15,TABLAS!$B$52:$B$58,0))*DATOS!$C$14/(DATOS!$C$21*AE15)/2)/1E5),"SÍ","NO"))</f>
        <v/>
      </c>
      <c r="DE15" s="55" t="str">
        <f>IF(U15&lt;&gt;"SÍ","",IF(AND(C15="PERIMETRAL",CL15&gt;=2,AS15&gt;0,BA15*AQ15*X15^2*1E-4*DATOS!$C$83/100/1000&gt;DATOS!$C$29*INDEX(TABLAS!$D$52:$D$58,MATCH(CK15,TABLAS!$B$52:$B$58,0))*DATOS!$C$14*(CM15-INDEX(TABLAS!$D$52:$D$58,MATCH(CK15,TABLAS!$B$52:$B$58,0))*DATOS!$C$14/(DATOS!$C$21*AF15)/2)/1E5),"SÍ","NO"))</f>
        <v/>
      </c>
      <c r="DF15" s="63" t="str">
        <f>IF(U15&lt;&gt;"SÍ","",IF(OR(C15="VOLADO",AR15=0),"—",IF(AND(AND(1.25*INDEX(TABLAS!$G$52:$G$58,MATCH(MAX(BM15,CC15),TABLAS!$B$52:$B$58,0))&lt;=(DATOS!$C$72-DATOS!$C$60),(DATOS!$C$72-DATOS!$C$60)&gt;=15,INDEX(TABLAS!$G$52:$G$58,MATCH(MAX(BU15,CK15),TABLAS!$B$52:$B$58,0))&lt;=(DATOS!$C$72-DATOS!$C$60)),8*INDEX(TABLAS!$C$52:$C$58,MATCH(MAX(MAX(BM15,CC15),MAX(BU15,CK15)),TABLAS!$B$52:$B$58,0))&lt;=DATOS!$C$73-2*DATOS!$C$60),"CUMPLE (gancho de 180°)",IF(AND(1.25*INDEX(TABLAS!$G$52:$G$58,MATCH(MAX(BM15,CC15),TABLAS!$B$52:$B$58,0))&lt;=(DATOS!$C$72-DATOS!$C$60),(DATOS!$C$72-DATOS!$C$60)&gt;=15,INDEX(TABLAS!$G$52:$G$58,MATCH(MAX(BU15,CK15),TABLAS!$B$52:$B$58,0))&lt;=(DATOS!$C$72-DATOS!$C$60)),"NO CUMPLE: el gancho de 180° (8·d_b) no cabe en el peralte de la dala de borde","NO CUMPLE: dala de borde ≥ "&amp;TEXT(CEILING(MAX(1.25*INDEX(TABLAS!$G$52:$G$58,MATCH(MAX(BM15,CC15),TABLAS!$B$52:$B$58,0)),15,INDEX(TABLAS!$G$52:$G$58,MATCH(MAX(BU15,CK15),TABLAS!$B$52:$B$58,0)))+DATOS!$C$60,5),"0")&amp;" cm de ancho"&amp;IF(8*INDEX(TABLAS!$C$52:$C$58,MATCH(MAX(MAX(BM15,CC15),MAX(BU15,CK15)),TABLAS!$B$52:$B$58,0))&lt;=DATOS!$C$73-2*DATOS!$C$60,""," y más peralte para el gancho")))))</f>
        <v/>
      </c>
      <c r="DG15" s="59" t="str">
        <f>IF(U15&lt;&gt;"SÍ","",MAX(0,INT((E15*100-DATOS!$C$84+DATOS!$C$83-IF(W15="X",DATOS!$C$78,AD15))/DATOS!$C$83)))</f>
        <v/>
      </c>
      <c r="DH15" s="59" t="str">
        <f>IF(U15&lt;&gt;"SÍ","",MAX(0,INT((F15*100-DATOS!$C$84+DATOS!$C$83-IF(W15="Y",DATOS!$C$78,AD15))/DATOS!$C$83)))</f>
        <v/>
      </c>
      <c r="DI15" s="57" t="str">
        <f>IF(U15&lt;&gt;"SÍ","",IF(DG15&gt;0,(E15*100-DATOS!$C$84-(DG15*IF(W15="X",DATOS!$C$78,AD15)+(DG15-1)*(DATOS!$C$83-IF(W15="X",DATOS!$C$78,AD15))))/2,E15*100/2))</f>
        <v/>
      </c>
      <c r="DJ15" s="57" t="str">
        <f>IF(U15&lt;&gt;"SÍ","",IF(DH15&gt;0,(F15*100-DATOS!$C$84-(DH15*IF(W15="Y",DATOS!$C$78,AD15)+(DH15-1)*(DATOS!$C$83-IF(W15="Y",DATOS!$C$78,AD15))))/2,F15*100/2))</f>
        <v/>
      </c>
      <c r="DK15" s="59" t="str">
        <f>IF(U15&lt;&gt;"SÍ","",IF(NOT(AND(C15="VOLADO",AC15&gt;DATOS!$C$80)),0,IF(INDEX(TABLAS!$C$52:$C$58,MATCH(BU15,TABLAS!$B$52:$B$58,0))&lt;=DATOS!$C$80-2*DATOS!$C$60,1,0)))</f>
        <v/>
      </c>
      <c r="DL15" s="58" t="str">
        <f>IF(U15&lt;&gt;"SÍ","",IF(NOT(AND(C15="VOLADO",AC15&gt;DATOS!$C$80)),0,((DATOS!$C$82-MAX(DATOS!$C$60,(DATOS!$C$81-2*DATOS!$C$94)/2)-2*DATOS!$C$94-INDEX(TABLAS!$C$52:$C$58,MATCH(BU15,TABLAS!$B$52:$B$58,0))/2)-IF(AND((DATOS!$C$82-MAX(DATOS!$C$60,(DATOS!$C$81-2*DATOS!$C$94)/2)-2*DATOS!$C$94-INDEX(TABLAS!$C$52:$C$58,MATCH(BU15,TABLAS!$B$52:$B$58,0))/2)&lt;=20,DATOS!$C$62&lt;&gt;"SÍ"),2,0))))</f>
        <v/>
      </c>
      <c r="DM15" s="56" t="str">
        <f>IF(U15&lt;&gt;"SÍ","",IF(OR(NOT(AND(C15="VOLADO",AC15&gt;DATOS!$C$80)),DK15&lt;1),0,IF(0.003*(DL15-((DK15*INDEX(TABLAS!$D$52:$D$58,MATCH(BU15,TABLAS!$B$52:$B$58,0)))*DATOS!$C$14/(DATOS!$C$21*AF15)/DATOS!$C$22))/((DK15*INDEX(TABLAS!$D$52:$D$58,MATCH(BU15,TABLAS!$B$52:$B$58,0)))*DATOS!$C$14/(DATOS!$C$21*AF15)/DATOS!$C$22)&lt;0.005,0,DATOS!$C$29*(DK15*INDEX(TABLAS!$D$52:$D$58,MATCH(BU15,TABLAS!$B$52:$B$58,0)))*DATOS!$C$14*(DL15-(DK15*INDEX(TABLAS!$D$52:$D$58,MATCH(BU15,TABLAS!$B$52:$B$58,0)))*DATOS!$C$14/(DATOS!$C$21*AF15)/2)/1E5)))</f>
        <v/>
      </c>
      <c r="DN15" s="56" t="str">
        <f>IF(U15&lt;&gt;"SÍ","",IF(OR(NOT(AND(C15="VOLADO",AC15&gt;DATOS!$C$80)),DK15&lt;1),0,DATOS!$C$30*2*MIN(1,SQRT(2/(1+0.04*DL15)))*((DK15*INDEX(TABLAS!$D$52:$D$58,MATCH(BU15,TABLAS!$B$52:$B$58,0)))/(AF15*DL15))^(1/3)*SQRT(DATOS!$C$13)*AF15*DL15/1000))</f>
        <v/>
      </c>
      <c r="DO15" s="56" t="str">
        <f>IF(U15&lt;&gt;"SÍ","",IF(NOT(AND(C15="VOLADO",AC15&gt;DATOS!$C$80)),0,IF((BG15-DM15)&lt;=0,0,IF(DM15&lt;=0,IF(ISNUMBER(P15),P15,X15),IF(((0.9*DATOS!$C$87*DATOS!$C$83/100/1000)*IF(ISNUMBER(P15),P15,X15)/2+BG15/IF(ISNUMBER(P15),P15,X15))^2-4*((0.9*DATOS!$C$87*DATOS!$C$83/100/1000)/2)*(BG15-DM15)&lt;0,IF(ISNUMBER(P15),P15,X15),MIN(IF(ISNUMBER(P15),P15,X15),(((0.9*DATOS!$C$87*DATOS!$C$83/100/1000)*IF(ISNUMBER(P15),P15,X15)/2+BG15/IF(ISNUMBER(P15),P15,X15))-SQRT(((0.9*DATOS!$C$87*DATOS!$C$83/100/1000)*IF(ISNUMBER(P15),P15,X15)/2+BG15/IF(ISNUMBER(P15),P15,X15))^2-4*((0.9*DATOS!$C$87*DATOS!$C$83/100/1000)/2)*(BG15-DM15)))/(2*((0.9*DATOS!$C$87*DATOS!$C$83/100/1000)/2))))))))</f>
        <v/>
      </c>
      <c r="DP15" s="56" t="str">
        <f>IF(U15&lt;&gt;"SÍ","",IF(NOT(AND(C15="VOLADO",AC15&gt;DATOS!$C$80)),0,MIN(IF(ISNUMBER(P15),P15,X15),MAX(0,IF(ISNUMBER(P15),P15,X15)/2+BG15/IF(ISNUMBER(P15),P15,X15)/(AQ15*DATOS!$C$83/100/1000)-DN15/(AQ15*DATOS!$C$83/100/1000)))))</f>
        <v/>
      </c>
      <c r="DQ15" s="56" t="str">
        <f>IF(U15&lt;&gt;"SÍ","",IF(NOT(AND(C15="VOLADO",AC15&gt;DATOS!$C$80)),0,BG15/IF(ISNUMBER(P15),P15,X15)+(AQ15*DATOS!$C$83/100/1000)*MAX(0,IF(ISNUMBER(P15),P15,X15)/2-BW15/100)))</f>
        <v/>
      </c>
      <c r="DR15" s="59" t="str">
        <f>IF(U15&lt;&gt;"SÍ","",IF(NOT(AND(C15="VOLADO",AC15&gt;DATOS!$C$80)),0,CEILING(100*MIN(IF(ISNUMBER(P15),P15,X15),MAX(IF(DO15&gt;0,DO15+IF(BV15&gt;=2,MAX(DL15,12*INDEX(TABLAS!$C$52:$C$58,MATCH(BU15,TABLAS!$B$52:$B$58,0)))/100,0),0),DP15,IF(BV15&gt;=2,INDEX(TABLAS!$F$52:$F$58,MATCH(BU15,TABLAS!$B$52:$B$58,0))/100,0))),5)))</f>
        <v/>
      </c>
      <c r="DS15" s="60" t="str">
        <f>IF(U15&lt;&gt;"SÍ","",IF(NOT(AND(C15="VOLADO",AC15&gt;DATOS!$C$80)),0,IF(DR15&lt;=0,0,CEILING(DR15/DATOS!$C$83,1))))</f>
        <v/>
      </c>
      <c r="DT15" s="61" t="str">
        <f>IF(U15&lt;&gt;"SÍ","",IF(C15&lt;&gt;"VOLADO","—",IF(AC15&lt;=DATOS!$C$80,"— (mismo b_w que el respaldo)",IF(DQ15&gt;CR15,"NO CUMPLE: cortante de la nervadura ancha junto al apoyo ("&amp;TEXT(DQ15,"0.00")&amp;" &gt; "&amp;TEXT(CR15,"0.00")&amp;" t)",IF(DR15&gt;=100*IF(ISNUMBER(P15),P15,X15),"CUMPLE — todas las nervaduras del respaldo ‖ al volado con b_w = "&amp;AC15&amp;" cm","CUMPLE — "&amp;DS15&amp;" hilera(s) del respaldo con nervaduras de b_w = "&amp;AC15&amp;" cm (casetón "&amp;AD15&amp;" cm), hasta "&amp;TEXT(DR15/100,"0.00")&amp;" m del paño")))))</f>
        <v/>
      </c>
      <c r="DU15" s="69" t="str">
        <f>IF(U15&lt;&gt;"SÍ","",IF(BN15=0,"NO ALCANZA",BN15&amp;" No. "&amp;BM15&amp;IF(BN15&gt;1," corridas"," corrida")))</f>
        <v/>
      </c>
      <c r="DV15" s="69" t="str">
        <f>IF(U15&lt;&gt;"SÍ","",IF(BV15=0,"NO ALCANZA",IF(AND(C15="VOLADO",AC15&gt;DATOS!$C$80,BV15&gt;=2),"1 No. "&amp;BU15&amp;" corrida de la orilla al respaldo ("&amp;IF(DB15&gt;=100*IF(ISNUMBER(P15),P15,X15),"hasta su apoyo lejano, con gancho","entra "&amp;TEXT(DB15/100,"0.00")&amp;" m desde el paño")&amp;") + "&amp;(BV15-1)&amp;" bastón No. "&amp;BU15&amp;" hasta "&amp;TEXT(DR15/100,"0.00")&amp;" m del paño (fin de la nervadura ancha)",IF(C15="VOLADO",BV15&amp;" No. "&amp;BU15&amp;" de la orilla al respaldo ("&amp;IF(DB15&gt;=100*IF(ISNUMBER(P15),P15,X15),"hasta su apoyo lejano, con gancho","entran "&amp;TEXT(DB15/100,"0.00")&amp;" m desde el paño")&amp;")","1 No. "&amp;BU15&amp;" corrida"&amp;IF(BV15&gt;1," + "&amp;(BV15-1)&amp;" bastón No. "&amp;BU15&amp;" L = "&amp;TEXT(DB15/100,"0.00")&amp;" m desde el paño","")))))</f>
        <v/>
      </c>
      <c r="DW15" s="69" t="str">
        <f>IF(U15&lt;&gt;"SÍ","",IF(CD15=0,"NO ALCANZA",CD15&amp;" No. "&amp;CC15&amp;IF(CD15&gt;1," corridas"," corrida")))</f>
        <v/>
      </c>
      <c r="DX15" s="69" t="str">
        <f>IF(U15&lt;&gt;"SÍ","",IF(CL15=0,"NO ALCANZA",IF(C15="VOLADO","1 No. "&amp;CK15&amp;" corrida (repartición)","1 No. "&amp;CK15&amp;" corrida"&amp;IF(CL15&gt;1," + "&amp;(CL15-1)&amp;" bastón No. "&amp;CK15&amp;" L = "&amp;TEXT(DC15/100,"0.00")&amp;" m desde el paño",""))))</f>
        <v/>
      </c>
      <c r="DY15" s="67" t="str">
        <f>IF(B15="","",IF(U15&lt;&gt;"SÍ","FALTAN DATOS: tipo, a_x, a_y y destino",IF(L15="NO MONOLÍTICO (caso II)","FUERA DE ALCANCE: caso II no transcrito",IF(AND(C15="VOLADO",V15="?"),"REVISAR: el volado lleva UN solo borde CONTINUO (el empotrado)",IF(AND(MAX(BQ15,BY15,CG15,CO15)&lt;=1,NOT(OR(BN15&gt;MIN(DATOS!$C$70,INT(((AC15-2*AJ15)+MAX(DATOS!$C$67,INDEX(TABLAS!$C$52:$C$58,MATCH(BM15,TABLAS!$B$52:$B$58,0))))/(INDEX(TABLAS!$C$52:$C$58,MATCH(BM15,TABLAS!$B$52:$B$58,0))+MAX(DATOS!$C$67,INDEX(TABLAS!$C$52:$C$58,MATCH(BM15,TABLAS!$B$52:$B$58,0)))))),BV15&gt;MIN(DATOS!$C$70,INT(((AC15-2*AK15)+MAX(DATOS!$C$67,INDEX(TABLAS!$C$52:$C$58,MATCH(BU15,TABLAS!$B$52:$B$58,0))))/(INDEX(TABLAS!$C$52:$C$58,MATCH(BU15,TABLAS!$B$52:$B$58,0))+MAX(DATOS!$C$67,INDEX(TABLAS!$C$52:$C$58,MATCH(BU15,TABLAS!$B$52:$B$58,0)))))),CD15&gt;MIN(DATOS!$C$70,INT(((DATOS!$C$80-2*AJ15)+MAX(DATOS!$C$67,INDEX(TABLAS!$C$52:$C$58,MATCH(CC15,TABLAS!$B$52:$B$58,0))))/(INDEX(TABLAS!$C$52:$C$58,MATCH(CC15,TABLAS!$B$52:$B$58,0))+MAX(DATOS!$C$67,INDEX(TABLAS!$C$52:$C$58,MATCH(CC15,TABLAS!$B$52:$B$58,0)))))),CL15&gt;MIN(DATOS!$C$70,INT(((DATOS!$C$80-2*AK15)+MAX(DATOS!$C$67,INDEX(TABLAS!$C$52:$C$58,MATCH(CK15,TABLAS!$B$52:$B$58,0))))/(INDEX(TABLAS!$C$52:$C$58,MATCH(CK15,TABLAS!$B$52:$B$58,0))+MAX(DATOS!$C$67,INDEX(TABLAS!$C$52:$C$58,MATCH(CK15,TABLAS!$B$52:$B$58,0)))))))),NOT(OR(AND(ISNUMBER(BR15),BR15&lt;0.005),AND(ISNUMBER(BZ15),BZ15&lt;0.005),AND(ISNUMBER(CH15),CH15&lt;0.005),AND(ISNUMBER(CP15),CP15&lt;0.005))),NOT(LEFT(DT15,2)="NO"),CZ15="CUMPLE",DA15="CUMPLE",LEFT(CT15,2)&lt;&gt;"NO"),IF(LEFT(CT15,6)="CUMPLE","CUMPLE","CUMPLE — "&amp;CT15)&amp;IF(LEFT(BJ15,5)="FUERA"," · fuera de 3.4.2.1 c)","")&amp;IF(LEFT(DF15,2)="NO"," · REVISAR anclaje en borde discontinuo","")&amp;IF(DS15&gt;0," · respaldo: "&amp;DS15&amp;" hilera(s) de b_w "&amp;AC15&amp;" cm",""),IF(AND(MAX(BQ15,BY15,CG15,CO15)&lt;=1,NOT(OR(BN15&gt;MIN(DATOS!$C$70,INT(((AC15-2*AJ15)+MAX(DATOS!$C$67,INDEX(TABLAS!$C$52:$C$58,MATCH(BM15,TABLAS!$B$52:$B$58,0))))/(INDEX(TABLAS!$C$52:$C$58,MATCH(BM15,TABLAS!$B$52:$B$58,0))+MAX(DATOS!$C$67,INDEX(TABLAS!$C$52:$C$58,MATCH(BM15,TABLAS!$B$52:$B$58,0)))))),BV15&gt;MIN(DATOS!$C$70,INT(((AC15-2*AK15)+MAX(DATOS!$C$67,INDEX(TABLAS!$C$52:$C$58,MATCH(BU15,TABLAS!$B$52:$B$58,0))))/(INDEX(TABLAS!$C$52:$C$58,MATCH(BU15,TABLAS!$B$52:$B$58,0))+MAX(DATOS!$C$67,INDEX(TABLAS!$C$52:$C$58,MATCH(BU15,TABLAS!$B$52:$B$58,0)))))),CD15&gt;MIN(DATOS!$C$70,INT(((DATOS!$C$80-2*AJ15)+MAX(DATOS!$C$67,INDEX(TABLAS!$C$52:$C$58,MATCH(CC15,TABLAS!$B$52:$B$58,0))))/(INDEX(TABLAS!$C$52:$C$58,MATCH(CC15,TABLAS!$B$52:$B$58,0))+MAX(DATOS!$C$67,INDEX(TABLAS!$C$52:$C$58,MATCH(CC15,TABLAS!$B$52:$B$58,0)))))),CL15&gt;MIN(DATOS!$C$70,INT(((DATOS!$C$80-2*AK15)+MAX(DATOS!$C$67,INDEX(TABLAS!$C$52:$C$58,MATCH(CK15,TABLAS!$B$52:$B$58,0))))/(INDEX(TABLAS!$C$52:$C$58,MATCH(CK15,TABLAS!$B$52:$B$58,0))+MAX(DATOS!$C$67,INDEX(TABLAS!$C$52:$C$58,MATCH(CK15,TABLAS!$B$52:$B$58,0)))))))),NOT(OR(AND(ISNUMBER(BR15),BR15&lt;0.005),AND(ISNUMBER(BZ15),BZ15&lt;0.005),AND(ISNUMBER(CH15),CH15&lt;0.005),AND(ISNUMBER(CP15),CP15&lt;0.005))),NOT(LEFT(DT15,2)="NO"),CZ15="CALCULAR FLECHA",LEFT(CT15,2)&lt;&gt;"NO"),"REVISAR: calcular flecha (h_eq &lt; h mín.)"&amp;IF(LEFT(BJ15,5)="FUERA"," · fuera de 3.4.2.1 c)","")&amp;IF(LEFT(DF15,2)="NO"," · REVISAR anclaje en borde discontinuo","")&amp;IF(DS15&gt;0," · respaldo: "&amp;DS15&amp;" hilera(s) de b_w "&amp;AC15&amp;" cm",""),"NO CUMPLE: "&amp;IF(MAX(BQ15,BY15,CG15,CO15)&gt;1,"flexión ","")&amp;IF(OR(BN15&gt;MIN(DATOS!$C$70,INT(((AC15-2*AJ15)+MAX(DATOS!$C$67,INDEX(TABLAS!$C$52:$C$58,MATCH(BM15,TABLAS!$B$52:$B$58,0))))/(INDEX(TABLAS!$C$52:$C$58,MATCH(BM15,TABLAS!$B$52:$B$58,0))+MAX(DATOS!$C$67,INDEX(TABLAS!$C$52:$C$58,MATCH(BM15,TABLAS!$B$52:$B$58,0)))))),BV15&gt;MIN(DATOS!$C$70,INT(((AC15-2*AK15)+MAX(DATOS!$C$67,INDEX(TABLAS!$C$52:$C$58,MATCH(BU15,TABLAS!$B$52:$B$58,0))))/(INDEX(TABLAS!$C$52:$C$58,MATCH(BU15,TABLAS!$B$52:$B$58,0))+MAX(DATOS!$C$67,INDEX(TABLAS!$C$52:$C$58,MATCH(BU15,TABLAS!$B$52:$B$58,0)))))),CD15&gt;MIN(DATOS!$C$70,INT(((DATOS!$C$80-2*AJ15)+MAX(DATOS!$C$67,INDEX(TABLAS!$C$52:$C$58,MATCH(CC15,TABLAS!$B$52:$B$58,0))))/(INDEX(TABLAS!$C$52:$C$58,MATCH(CC15,TABLAS!$B$52:$B$58,0))+MAX(DATOS!$C$67,INDEX(TABLAS!$C$52:$C$58,MATCH(CC15,TABLAS!$B$52:$B$58,0)))))),CL15&gt;MIN(DATOS!$C$70,INT(((DATOS!$C$80-2*AK15)+MAX(DATOS!$C$67,INDEX(TABLAS!$C$52:$C$58,MATCH(CK15,TABLAS!$B$52:$B$58,0))))/(INDEX(TABLAS!$C$52:$C$58,MATCH(CK15,TABLAS!$B$52:$B$58,0))+MAX(DATOS!$C$67,INDEX(TABLAS!$C$52:$C$58,MATCH(CK15,TABLAS!$B$52:$B$58,0))))))),"no caben ","")&amp;IF(OR(AND(ISNUMBER(BR15),BR15&lt;0.005),AND(ISNUMBER(BZ15),BZ15&lt;0.005),AND(ISNUMBER(CH15),CH15&lt;0.005),AND(ISNUMBER(CP15),CP15&lt;0.005)),"ε_t &lt; 0.005 ","")&amp;IF(LEFT(CT15,2)="NO","cortante ","")&amp;IF(CZ15="NO CUMPLE","peralte ","")&amp;IF(DA15&lt;&gt;"CUMPLE","capa &lt; 6 cm ","")&amp;IF(LEFT(DT15,2)="NO","respaldo del volado","")))))))</f>
        <v/>
      </c>
      <c r="DZ15" s="70" t="str">
        <f>IF(U15&lt;&gt;"SÍ","",IF(LEFT(B15,7)="EJEMPLO","EJEMPLO de la hoja de Casa Rocha: bórralo o sobrescríbelo. ","")&amp;IF(AND(C15="PERIMETRAL",MIN(DG15,DH15)=0),"No cabe un casetón en el claro corto: es un tablero macizo, diséñalo en MACIZAS. ","")&amp;IF(AND(AI15="NO",C15="PERIMETRAL"),"No cumple 6.7.8.1.4 (a_c = "&amp;MAX(DATOS!$C$78,AD15)&amp;" cm &gt; claro corto/6 = "&amp;TEXT(X15*100/6,"0")&amp;" cm): se diseña como losa apoyada en vigas (6.7.8.1.9): r de viga = "&amp;DATOS!$C$60&amp;" cm y V_cR sin ×1.1. Para que cuente como encasetonada: casetón de "&amp;TEXT(FLOOR(MIN(80,X15*100/6),1),"0")&amp;" cm o menor. ","")&amp;IF(C15="VOLADO","Volado de "&amp;TEXT(X15,"0.00")&amp;" m empotrado en el borde "&amp;LOWER(V15)&amp;IF(N(O15)&gt;0,", con "&amp;TEXT(O15,"0.0")&amp;" kg/m en la orilla","")&amp;". Lecho inferior con r_ext. Si la orilla carga pretil u otro elemento frágil, calcula la flecha (13.4). El acero superior entra al respaldo de "&amp;TEXT(IF(ISNUMBER(P15),P15,X15),"0.00")&amp;" m"&amp;IF(ISNUMBER(P15),""," (L_b no capturado: se tomó igual al volado)")&amp;" hasta pasar M = 0 con 0.9·PP sin carga viva; si ahí no se anula, llega al apoyo lejano y se ancla con gancho (NTC-Criterios 3.4.1 c y 5.1.2.2). "&amp;IF(AC15&gt;DATOS!$C$80,"Respaldo: "&amp;DT15&amp;". ",""),"")&amp;IF(LEFT(BJ15,5)="FUERA","El M⁻ del vecino difiere más de 50 % (3.4.2.1 c): distribuye el desequilibrio (3.4.3.1) o confirma con un modelo; se arma con el mayor. ","")&amp;IF(OR(DD15="SÍ",DE15="SÍ"),"El M⁻ del borde discontinuo pide bastón también ahí (con gancho). ","")&amp;IF(LEFT(DF15,2)="NO","Anclaje: "&amp;DF15&amp;" (6.7.8.1.7). ","")&amp;IF(OR(AZ15&gt;0,BA15&gt;0),"Esquinas exteriores sobre muro: refuerzo de esquina arriba y abajo en L_largo/5 (6.7.7.3.1). ",""))</f>
        <v/>
      </c>
    </row>
    <row r="16" ht="33" customHeight="1">
      <c r="A16" s="50">
        <f>IF(B16="",0,1)+A15</f>
        <v>4</v>
      </c>
      <c r="B16" s="29" t="n"/>
      <c r="C16" s="51" t="n"/>
      <c r="D16" s="29" t="n"/>
      <c r="E16" s="52" t="n"/>
      <c r="F16" s="52" t="n"/>
      <c r="G16" s="51" t="n"/>
      <c r="H16" s="51" t="n"/>
      <c r="I16" s="51" t="n"/>
      <c r="J16" s="51" t="n"/>
      <c r="K16" s="51" t="n"/>
      <c r="L16" s="51" t="n"/>
      <c r="M16" s="53" t="n"/>
      <c r="N16" s="53" t="n"/>
      <c r="O16" s="54" t="n"/>
      <c r="P16" s="52" t="n"/>
      <c r="Q16" s="53" t="n"/>
      <c r="R16" s="54" t="n"/>
      <c r="S16" s="52" t="n"/>
      <c r="T16" s="52" t="n"/>
      <c r="U16" s="55" t="str">
        <f>IF(B16="","",IF(AND(OR(C16="PERIMETRAL",C16="VOLADO"),ISNUMBER(E16),ISNUMBER(F16),E16&gt;0,F16&gt;0,OR(ISNUMBER(N16),ISNUMBER(MATCH(D16,DATOS!$B$46:$B$55,0)))),"SÍ","NO"))</f>
        <v/>
      </c>
      <c r="V16" s="55" t="str">
        <f>IF(U16&lt;&gt;"SÍ","",IF(C16&lt;&gt;"VOLADO","—",IF(COUNTIF(G16:J16,"CONTINUO")&lt;&gt;1,"?",IF(G16="CONTINUO","INFERIOR",IF(H16="CONTINUO","SUPERIOR",IF(I16="CONTINUO","IZQUIERDO","DERECHO"))))))</f>
        <v/>
      </c>
      <c r="W16" s="55" t="str">
        <f>IF(U16&lt;&gt;"SÍ","",IF(C16="VOLADO",IF(OR(V16="IZQUIERDO",V16="DERECHO"),"X","Y"),IF(E16&lt;=F16,"X","Y")))</f>
        <v/>
      </c>
      <c r="X16" s="56" t="str">
        <f>IF(U16&lt;&gt;"SÍ","",IF(C16="VOLADO",IF(W16="X",E16,F16),MIN(E16,F16)))</f>
        <v/>
      </c>
      <c r="Y16" s="56" t="str">
        <f>IF(U16&lt;&gt;"SÍ","",IF(C16="VOLADO",IF(W16="X",F16,E16),MAX(E16,F16)))</f>
        <v/>
      </c>
      <c r="Z16" s="56" t="str">
        <f>IF(U16&lt;&gt;"SÍ","",MIN(X16,Y16)/MAX(X16,Y16))</f>
        <v/>
      </c>
      <c r="AA16" s="57" t="str">
        <f>IF(U16&lt;&gt;"SÍ","",MAX(1,X16*100-IF(C16="VOLADO",DATOS!$C$84/2,DATOS!$C$84)))</f>
        <v/>
      </c>
      <c r="AB16" s="57" t="str">
        <f>IF(U16&lt;&gt;"SÍ","",MAX(1,Y16*100-DATOS!$C$84))</f>
        <v/>
      </c>
      <c r="AC16" s="57" t="str">
        <f>IF(U16&lt;&gt;"SÍ","",IF(ISNUMBER(Q16),Q16,DATOS!$C$80))</f>
        <v/>
      </c>
      <c r="AD16" s="57" t="str">
        <f>IF(U16&lt;&gt;"SÍ","",MAX(0,DATOS!$C$83-AC16))</f>
        <v/>
      </c>
      <c r="AE16" s="57" t="str">
        <f>IF(U16&lt;&gt;"SÍ","",IF(OR(DATOS!$C$62="SÍ",AC16&gt;=20),AC16,AC16-2))</f>
        <v/>
      </c>
      <c r="AF16" s="57" t="str">
        <f>IF(U16&lt;&gt;"SÍ","",IF(OR(DATOS!$C$62="SÍ",DATOS!$C$80&gt;=20),DATOS!$C$80,DATOS!$C$80-2))</f>
        <v/>
      </c>
      <c r="AG16" s="57" t="str">
        <f>IF(U16&lt;&gt;"SÍ","",MIN(DATOS!$C$83,AC16+2*MIN(8*DATOS!$C$81,AD16/2,AA16/8)))</f>
        <v/>
      </c>
      <c r="AH16" s="57" t="str">
        <f>IF(U16&lt;&gt;"SÍ","",MIN(DATOS!$C$83,DATOS!$C$80+2*MIN(8*DATOS!$C$81,DATOS!$C$78/2,AB16/8)))</f>
        <v/>
      </c>
      <c r="AI16" s="55" t="str">
        <f>IF(U16&lt;&gt;"SÍ","",IF(AND(C16="PERIMETRAL",X16*100&gt;=6*MAX(DATOS!$C$78,AD16),MAX(DATOS!$C$78,AD16)&lt;=80,MIN(DATOS!$C$80,AC16)&gt;=10,DATOS!$C$82&lt;=3.5*MIN(DATOS!$C$80,AC16),DATOS!$C$81&gt;=MAX(MAX(DATOS!$C$78,AD16)/13,5)),"SÍ","NO"))</f>
        <v/>
      </c>
      <c r="AJ16" s="57" t="str">
        <f>IF(U16&lt;&gt;"SÍ","",IF(C16="VOLADO",DATOS!$C$61,IF(AI16="NO",DATOS!$C$60,DATOS!$C$59)))</f>
        <v/>
      </c>
      <c r="AK16" s="57" t="str">
        <f>IF(U16&lt;&gt;"SÍ","",IF(OR(AND(AM16="SÍ",DATOS!$C$63="SÍ"),AND(C16="VOLADO",DATOS!$C$64="SÍ")),DATOS!$C$61,IF(AI16="NO",DATOS!$C$60,DATOS!$C$59)))</f>
        <v/>
      </c>
      <c r="AL16" s="58" t="str">
        <f>IF(U16&lt;&gt;"SÍ","",MAX(AK16,(DATOS!$C$81-2*DATOS!$C$94)/2))</f>
        <v/>
      </c>
      <c r="AM16" s="55" t="str">
        <f>IF(U16&lt;&gt;"SÍ","",IFERROR(INDEX(DATOS!$D$46:$D$55,MATCH(D16,DATOS!$B$46:$B$55,0)),"NO"))</f>
        <v/>
      </c>
      <c r="AN16" s="59" t="str">
        <f>IF(U16&lt;&gt;"SÍ","",IF(ISNUMBER(N16),N16,IFERROR(INDEX(DATOS!$C$46:$C$55,MATCH(D16,DATOS!$B$46:$B$55,0)),0)))</f>
        <v/>
      </c>
      <c r="AO16" s="59" t="str">
        <f>IF(U16&lt;&gt;"SÍ","",(DATOS!$C$82/100-(AD16*DATOS!$C$78/DATOS!$C$83^2)*DATOS!$C$79/100)*DATOS!$C$16*1000+(AD16*DATOS!$C$78/DATOS!$C$83^2)*DATOS!$C$79/100*DATOS!$C$17*1000+DATOS!$C$37+DATOS!$C$38)</f>
        <v/>
      </c>
      <c r="AP16" s="59" t="str">
        <f>IF(U16&lt;&gt;"SÍ","",AO16+N(M16))</f>
        <v/>
      </c>
      <c r="AQ16" s="60" t="str">
        <f>IF(U16&lt;&gt;"SÍ","",MAX(DATOS!$C$26*AP16+DATOS!$C$27*AN16,IF(AM16="SÍ",DATOS!$C$28*(AP16+DATOS!$C$41),0)))</f>
        <v/>
      </c>
      <c r="AR16" s="59" t="str">
        <f>IF(U16&lt;&gt;"SÍ","",(G16="DISCONTINUO")+(H16="DISCONTINUO")+(I16="DISCONTINUO")+(J16="DISCONTINUO"))</f>
        <v/>
      </c>
      <c r="AS16" s="59" t="str">
        <f>IF(U16&lt;&gt;"SÍ","",IF(W16="X",(G16="DISCONTINUO")+(H16="DISCONTINUO"),(I16="DISCONTINUO")+(J16="DISCONTINUO")))</f>
        <v/>
      </c>
      <c r="AT16" s="55" t="str">
        <f>IF(U16&lt;&gt;"SÍ","",IF(AR16=0,"INTERIOR",IF(AR16=1,IF(AS16=1,"BORDE-CORTO","BORDE-LARGO"),IF(AR16=2,IF(AS16=1,"ESQUINA",IF(AS16=2,"EXTREMO-LARGO","EXTREMO-CORTO")),IF(AR16=3,IF(AS16=2,"EXTREMO-LARGO","EXTREMO-CORTO"),"AISLADO")))))</f>
        <v/>
      </c>
      <c r="AU16" s="61" t="str">
        <f>IF(U16&lt;&gt;"SÍ","",IF(OR(K16="",K16="AUTO"),AT16,K16))</f>
        <v/>
      </c>
      <c r="AV16" s="59" t="str">
        <f>IF(U16&lt;&gt;"SÍ","",MATCH(Z16,TABLAS!$D$5:$J$5,1))</f>
        <v/>
      </c>
      <c r="AW16" s="58" t="str">
        <f>IF(U16&lt;&gt;"SÍ","",IF(AV16&gt;=7,0,(Z16-INDEX(TABLAS!$D$5:$J$5,AV16))/(INDEX(TABLAS!$D$5:$J$5,AV16+1)-INDEX(TABLAS!$D$5:$J$5,AV16))))</f>
        <v/>
      </c>
      <c r="AX16" s="59" t="str">
        <f>IF(U16&lt;&gt;"SÍ","",INDEX(TABLAS!$D$6:$J$47,MATCH(AU16&amp;"|NIC",TABLAS!$B$6:$B$47,0),AV16)+AW16*(INDEX(TABLAS!$D$6:$J$47,MATCH(AU16&amp;"|NIC",TABLAS!$B$6:$B$47,0),MIN(AV16+1,7))-INDEX(TABLAS!$D$6:$J$47,MATCH(AU16&amp;"|NIC",TABLAS!$B$6:$B$47,0),AV16)))</f>
        <v/>
      </c>
      <c r="AY16" s="59" t="str">
        <f>IF(U16&lt;&gt;"SÍ","",INDEX(TABLAS!$D$6:$J$47,MATCH(AU16&amp;"|NIL",TABLAS!$B$6:$B$47,0),AV16)+AW16*(INDEX(TABLAS!$D$6:$J$47,MATCH(AU16&amp;"|NIL",TABLAS!$B$6:$B$47,0),MIN(AV16+1,7))-INDEX(TABLAS!$D$6:$J$47,MATCH(AU16&amp;"|NIL",TABLAS!$B$6:$B$47,0),AV16)))</f>
        <v/>
      </c>
      <c r="AZ16" s="59" t="str">
        <f>IF(U16&lt;&gt;"SÍ","",INDEX(TABLAS!$D$6:$J$47,MATCH(AU16&amp;"|NDC",TABLAS!$B$6:$B$47,0),AV16)+AW16*(INDEX(TABLAS!$D$6:$J$47,MATCH(AU16&amp;"|NDC",TABLAS!$B$6:$B$47,0),MIN(AV16+1,7))-INDEX(TABLAS!$D$6:$J$47,MATCH(AU16&amp;"|NDC",TABLAS!$B$6:$B$47,0),AV16)))</f>
        <v/>
      </c>
      <c r="BA16" s="59" t="str">
        <f>IF(U16&lt;&gt;"SÍ","",INDEX(TABLAS!$D$6:$J$47,MATCH(AU16&amp;"|NDL",TABLAS!$B$6:$B$47,0),AV16)+AW16*(INDEX(TABLAS!$D$6:$J$47,MATCH(AU16&amp;"|NDL",TABLAS!$B$6:$B$47,0),MIN(AV16+1,7))-INDEX(TABLAS!$D$6:$J$47,MATCH(AU16&amp;"|NDL",TABLAS!$B$6:$B$47,0),AV16)))</f>
        <v/>
      </c>
      <c r="BB16" s="59" t="str">
        <f>IF(U16&lt;&gt;"SÍ","",INDEX(TABLAS!$D$6:$J$47,MATCH(AU16&amp;"|PC",TABLAS!$B$6:$B$47,0),AV16)+AW16*(INDEX(TABLAS!$D$6:$J$47,MATCH(AU16&amp;"|PC",TABLAS!$B$6:$B$47,0),MIN(AV16+1,7))-INDEX(TABLAS!$D$6:$J$47,MATCH(AU16&amp;"|PC",TABLAS!$B$6:$B$47,0),AV16)))</f>
        <v/>
      </c>
      <c r="BC16" s="59" t="str">
        <f>IF(U16&lt;&gt;"SÍ","",INDEX(TABLAS!$D$6:$J$47,MATCH(AU16&amp;"|PL",TABLAS!$B$6:$B$47,0),AV16)+AW16*(INDEX(TABLAS!$D$6:$J$47,MATCH(AU16&amp;"|PL",TABLAS!$B$6:$B$47,0),MIN(AV16+1,7))-INDEX(TABLAS!$D$6:$J$47,MATCH(AU16&amp;"|PL",TABLAS!$B$6:$B$47,0),AV16)))</f>
        <v/>
      </c>
      <c r="BD16" s="56" t="str">
        <f>IF(U16&lt;&gt;"SÍ","",IF(C16&lt;&gt;"VOLADO",0,DATOS!$C$26*DATOS!$C$16*DATOS!$C$83/100*(((AD16*DATOS!$C$78/DATOS!$C$83^2)*DATOS!$C$79/100)*(IF(W16="X",DI16,DJ16)+DATOS!$C$84/2)/100*(AA16-(IF(W16="X",DI16,DJ16)+DATOS!$C$84/2)/2)/100+((AD16*DATOS!$C$78/DATOS!$C$83^2)*DATOS!$C$79/100)*IF(W16="X",DI16,DJ16)/100*IF(W16="X",DI16,DJ16)/200)))</f>
        <v/>
      </c>
      <c r="BE16" s="56" t="str">
        <f>IF(U16&lt;&gt;"SÍ","",IF(C16&lt;&gt;"VOLADO",0,DATOS!$C$26*DATOS!$C$16*DATOS!$C$83/100*((AD16*DATOS!$C$78/DATOS!$C$83^2)*DATOS!$C$79/100)*(IF(W16="X",DI16,DJ16)+DATOS!$C$84/2)/100))</f>
        <v/>
      </c>
      <c r="BF16" s="56" t="str">
        <f>IF(U16&lt;&gt;"SÍ","",IF(C16="PERIMETRAL",BB16*AQ16*X16^2*1E-4*DATOS!$C$83/100/1000,0))</f>
        <v/>
      </c>
      <c r="BG16" s="62" t="str">
        <f>IF(U16&lt;&gt;"SÍ","",IF(C16="PERIMETRAL",MAX(MAX(AX16,AZ16)*AQ16*X16^2*1E-4*DATOS!$C$83/100/1000,N(S16)),(AQ16*(AA16/100)^2/2+DATOS!$C$26*N(O16)*AA16/100)*DATOS!$C$83/100/1000+BD16))</f>
        <v/>
      </c>
      <c r="BH16" s="56" t="str">
        <f>IF(U16&lt;&gt;"SÍ","",IF(C16="PERIMETRAL",BC16*AQ16*X16^2*1E-4*DATOS!$C$83/100/1000,0))</f>
        <v/>
      </c>
      <c r="BI16" s="56" t="str">
        <f>IF(U16&lt;&gt;"SÍ","",IF(C16="PERIMETRAL",MAX(MAX(AY16,BA16)*AQ16*X16^2*1E-4*DATOS!$C$83/100/1000,N(T16)),0))</f>
        <v/>
      </c>
      <c r="BJ16" s="63" t="str">
        <f>IF(U16&lt;&gt;"SÍ","",IF(C16&lt;&gt;"PERIMETRAL","—",IF(AND(N(S16)=0,N(T16)=0),"— (sin M⁻ del vecino)",IF(OR(AND(N(S16)&gt;0,ABS(MAX(AX16,AZ16)*AQ16*X16^2*1E-4*DATOS!$C$83/100/1000-N(S16))&gt;0.5*MIN(MAX(AX16,AZ16)*AQ16*X16^2*1E-4*DATOS!$C$83/100/1000,N(S16))),AND(N(T16)&gt;0,ABS(MAX(AY16,BA16)*AQ16*X16^2*1E-4*DATOS!$C$83/100/1000-N(T16))&gt;0.5*MIN(MAX(AY16,BA16)*AQ16*X16^2*1E-4*DATOS!$C$83/100/1000,N(T16)))),"FUERA: difieren &gt; 50 %"&amp;IF(AND(N(S16)&gt;0,ABS(MAX(AX16,AZ16)*AQ16*X16^2*1E-4*DATOS!$C$83/100/1000-N(S16))&gt;0.5*MIN(MAX(AX16,AZ16)*AQ16*X16^2*1E-4*DATOS!$C$83/100/1000,N(S16)))," ‖ corto","")&amp;IF(AND(N(T16)&gt;0,ABS(MAX(AY16,BA16)*AQ16*X16^2*1E-4*DATOS!$C$83/100/1000-N(T16))&gt;0.5*MIN(MAX(AY16,BA16)*AQ16*X16^2*1E-4*DATOS!$C$83/100/1000,N(T16)))," ‖ largo",""),"CUMPLE"))))</f>
        <v/>
      </c>
      <c r="BK16" s="58" t="str">
        <f>IF(U16&lt;&gt;"SÍ","",(DATOS!$C$82-AJ16-INDEX(TABLAS!$C$52:$C$58,MATCH(DATOS!$C$68,TABLAS!$B$52:$B$58,0))/2))</f>
        <v/>
      </c>
      <c r="BL16" s="58" t="str">
        <f>IF(U16&lt;&gt;"SÍ","",IF(IF(BF16&lt;=0,0,IF((1-2*BF16*1E5/(DATOS!$C$29*AG16*BK16^2*DATOS!$C$21))&lt;0,-1,IF((1-SQRT((1-2*BF16*1E5/(DATOS!$C$29*AG16*BK16^2*DATOS!$C$21))))*DATOS!$C$21*AG16*BK16/DATOS!$C$14&gt;DATOS!$C$99*AG16*BK16,-1,(1-SQRT((1-2*BF16*1E5/(DATOS!$C$29*AG16*BK16^2*DATOS!$C$21))))*DATOS!$C$21*AG16*BK16/DATOS!$C$14)))&lt;0,-1,MAX(IF(BF16&lt;=0,0,IF((1-2*BF16*1E5/(DATOS!$C$29*AG16*BK16^2*DATOS!$C$21))&lt;0,-1,IF((1-SQRT((1-2*BF16*1E5/(DATOS!$C$29*AG16*BK16^2*DATOS!$C$21))))*DATOS!$C$21*AG16*BK16/DATOS!$C$14&gt;DATOS!$C$99*AG16*BK16,-1,(1-SQRT((1-2*BF16*1E5/(DATOS!$C$29*AG16*BK16^2*DATOS!$C$21))))*DATOS!$C$21*AG16*BK16/DATOS!$C$14))),MIN(DATOS!$C$100*AC16*BK16,4/3*IF(BF16&lt;=0,0,IF((1-2*BF16*1E5/(DATOS!$C$29*AG16*BK16^2*DATOS!$C$21))&lt;0,-1,IF((1-SQRT((1-2*BF16*1E5/(DATOS!$C$29*AG16*BK16^2*DATOS!$C$21))))*DATOS!$C$21*AG16*BK16/DATOS!$C$14&gt;DATOS!$C$99*AG16*BK16,-1,(1-SQRT((1-2*BF16*1E5/(DATOS!$C$29*AG16*BK16^2*DATOS!$C$21))))*DATOS!$C$21*AG16*BK16/DATOS!$C$14)))))))</f>
        <v/>
      </c>
      <c r="BM16" s="64" t="str">
        <f>IF(U16&lt;&gt;"SÍ","",IF(AND(BL16&gt;=0,IF(MAX(DATOS!$C$71,CEILING(BL16/INDEX(TABLAS!$D$52:$D$58,MIN(MATCH(DATOS!$C$68,TABLAS!$B$52:$B$58,0)+0,7)),1))*INDEX(TABLAS!$D$52:$D$58,MIN(MATCH(DATOS!$C$68,TABLAS!$B$52:$B$58,0)+0,7))&gt;=4/3*IF(BF16&lt;=0,0,IF((1-2*BF16*1E5/(DATOS!$C$29*AG16*BK16^2*DATOS!$C$21))&lt;0,-1,IF((1-SQRT((1-2*BF16*1E5/(DATOS!$C$29*AG16*BK16^2*DATOS!$C$21))))*DATOS!$C$21*AG16*BK16/DATOS!$C$14&gt;DATOS!$C$99*AG16*BK16,-1,(1-SQRT((1-2*BF16*1E5/(DATOS!$C$29*AG16*BK16^2*DATOS!$C$21))))*DATOS!$C$21*AG16*BK16/DATOS!$C$14)))-0.0001,MAX(DATOS!$C$71,CEILING(BL16/INDEX(TABLAS!$D$52:$D$58,MIN(MATCH(DATOS!$C$68,TABLAS!$B$52:$B$58,0)+0,7)),1)),MAX(MAX(DATOS!$C$71,CEILING(BL16/INDEX(TABLAS!$D$52:$D$58,MIN(MATCH(DATOS!$C$68,TABLAS!$B$52:$B$58,0)+0,7)),1)),2))&lt;=MIN(DATOS!$C$70,INT(((AC16-2*AJ16)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16&gt;=0,IF(MAX(DATOS!$C$71,CEILING(BL16/INDEX(TABLAS!$D$52:$D$58,MIN(MATCH(DATOS!$C$68,TABLAS!$B$52:$B$58,0)+1,7)),1))*INDEX(TABLAS!$D$52:$D$58,MIN(MATCH(DATOS!$C$68,TABLAS!$B$52:$B$58,0)+1,7))&gt;=4/3*IF(BF16&lt;=0,0,IF((1-2*BF16*1E5/(DATOS!$C$29*AG16*BK16^2*DATOS!$C$21))&lt;0,-1,IF((1-SQRT((1-2*BF16*1E5/(DATOS!$C$29*AG16*BK16^2*DATOS!$C$21))))*DATOS!$C$21*AG16*BK16/DATOS!$C$14&gt;DATOS!$C$99*AG16*BK16,-1,(1-SQRT((1-2*BF16*1E5/(DATOS!$C$29*AG16*BK16^2*DATOS!$C$21))))*DATOS!$C$21*AG16*BK16/DATOS!$C$14)))-0.0001,MAX(DATOS!$C$71,CEILING(BL16/INDEX(TABLAS!$D$52:$D$58,MIN(MATCH(DATOS!$C$68,TABLAS!$B$52:$B$58,0)+1,7)),1)),MAX(MAX(DATOS!$C$71,CEILING(BL16/INDEX(TABLAS!$D$52:$D$58,MIN(MATCH(DATOS!$C$68,TABLAS!$B$52:$B$58,0)+1,7)),1)),2))&lt;=MIN(DATOS!$C$70,INT(((AC16-2*AJ16)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16&gt;=0,IF(MAX(DATOS!$C$71,CEILING(BL16/INDEX(TABLAS!$D$52:$D$58,MIN(MATCH(DATOS!$C$68,TABLAS!$B$52:$B$58,0)+2,7)),1))*INDEX(TABLAS!$D$52:$D$58,MIN(MATCH(DATOS!$C$68,TABLAS!$B$52:$B$58,0)+2,7))&gt;=4/3*IF(BF16&lt;=0,0,IF((1-2*BF16*1E5/(DATOS!$C$29*AG16*BK16^2*DATOS!$C$21))&lt;0,-1,IF((1-SQRT((1-2*BF16*1E5/(DATOS!$C$29*AG16*BK16^2*DATOS!$C$21))))*DATOS!$C$21*AG16*BK16/DATOS!$C$14&gt;DATOS!$C$99*AG16*BK16,-1,(1-SQRT((1-2*BF16*1E5/(DATOS!$C$29*AG16*BK16^2*DATOS!$C$21))))*DATOS!$C$21*AG16*BK16/DATOS!$C$14)))-0.0001,MAX(DATOS!$C$71,CEILING(BL16/INDEX(TABLAS!$D$52:$D$58,MIN(MATCH(DATOS!$C$68,TABLAS!$B$52:$B$58,0)+2,7)),1)),MAX(MAX(DATOS!$C$71,CEILING(BL16/INDEX(TABLAS!$D$52:$D$58,MIN(MATCH(DATOS!$C$68,TABLAS!$B$52:$B$58,0)+2,7)),1)),2))&lt;=MIN(DATOS!$C$70,INT(((AC16-2*AJ16)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16&gt;=0,IF(MAX(DATOS!$C$71,CEILING(BL16/INDEX(TABLAS!$D$52:$D$58,MIN(MATCH(DATOS!$C$68,TABLAS!$B$52:$B$58,0)+3,7)),1))*INDEX(TABLAS!$D$52:$D$58,MIN(MATCH(DATOS!$C$68,TABLAS!$B$52:$B$58,0)+3,7))&gt;=4/3*IF(BF16&lt;=0,0,IF((1-2*BF16*1E5/(DATOS!$C$29*AG16*BK16^2*DATOS!$C$21))&lt;0,-1,IF((1-SQRT((1-2*BF16*1E5/(DATOS!$C$29*AG16*BK16^2*DATOS!$C$21))))*DATOS!$C$21*AG16*BK16/DATOS!$C$14&gt;DATOS!$C$99*AG16*BK16,-1,(1-SQRT((1-2*BF16*1E5/(DATOS!$C$29*AG16*BK16^2*DATOS!$C$21))))*DATOS!$C$21*AG16*BK16/DATOS!$C$14)))-0.0001,MAX(DATOS!$C$71,CEILING(BL16/INDEX(TABLAS!$D$52:$D$58,MIN(MATCH(DATOS!$C$68,TABLAS!$B$52:$B$58,0)+3,7)),1)),MAX(MAX(DATOS!$C$71,CEILING(BL16/INDEX(TABLAS!$D$52:$D$58,MIN(MATCH(DATOS!$C$68,TABLAS!$B$52:$B$58,0)+3,7)),1)),2))&lt;=MIN(DATOS!$C$70,INT(((AC16-2*AJ16)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16&gt;=0,IF(MAX(DATOS!$C$71,CEILING(BL16/INDEX(TABLAS!$D$52:$D$58,MIN(MATCH(DATOS!$C$68,TABLAS!$B$52:$B$58,0)+4,7)),1))*INDEX(TABLAS!$D$52:$D$58,MIN(MATCH(DATOS!$C$68,TABLAS!$B$52:$B$58,0)+4,7))&gt;=4/3*IF(BF16&lt;=0,0,IF((1-2*BF16*1E5/(DATOS!$C$29*AG16*BK16^2*DATOS!$C$21))&lt;0,-1,IF((1-SQRT((1-2*BF16*1E5/(DATOS!$C$29*AG16*BK16^2*DATOS!$C$21))))*DATOS!$C$21*AG16*BK16/DATOS!$C$14&gt;DATOS!$C$99*AG16*BK16,-1,(1-SQRT((1-2*BF16*1E5/(DATOS!$C$29*AG16*BK16^2*DATOS!$C$21))))*DATOS!$C$21*AG16*BK16/DATOS!$C$14)))-0.0001,MAX(DATOS!$C$71,CEILING(BL16/INDEX(TABLAS!$D$52:$D$58,MIN(MATCH(DATOS!$C$68,TABLAS!$B$52:$B$58,0)+4,7)),1)),MAX(MAX(DATOS!$C$71,CEILING(BL16/INDEX(TABLAS!$D$52:$D$58,MIN(MATCH(DATOS!$C$68,TABLAS!$B$52:$B$58,0)+4,7)),1)),2))&lt;=MIN(DATOS!$C$70,INT(((AC16-2*AJ16)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16" s="59" t="str">
        <f>IF(U16&lt;&gt;"SÍ","",IF(BL16&lt;0,0,IF(MAX(DATOS!$C$71,CEILING(MAX(BL16,0)/INDEX(TABLAS!$D$52:$D$58,MATCH(BM16,TABLAS!$B$52:$B$58,0)),1))*INDEX(TABLAS!$D$52:$D$58,MATCH(BM16,TABLAS!$B$52:$B$58,0))&gt;=4/3*IF(BF16&lt;=0,0,IF((1-2*BF16*1E5/(DATOS!$C$29*AG16*BK16^2*DATOS!$C$21))&lt;0,-1,IF((1-SQRT((1-2*BF16*1E5/(DATOS!$C$29*AG16*BK16^2*DATOS!$C$21))))*DATOS!$C$21*AG16*BK16/DATOS!$C$14&gt;DATOS!$C$99*AG16*BK16,-1,(1-SQRT((1-2*BF16*1E5/(DATOS!$C$29*AG16*BK16^2*DATOS!$C$21))))*DATOS!$C$21*AG16*BK16/DATOS!$C$14)))-0.0001,MAX(DATOS!$C$71,CEILING(MAX(BL16,0)/INDEX(TABLAS!$D$52:$D$58,MATCH(BM16,TABLAS!$B$52:$B$58,0)),1)),MAX(MAX(DATOS!$C$71,CEILING(MAX(BL16,0)/INDEX(TABLAS!$D$52:$D$58,MATCH(BM16,TABLAS!$B$52:$B$58,0)),1)),2))))</f>
        <v/>
      </c>
      <c r="BO16" s="58" t="str">
        <f>IF(U16&lt;&gt;"SÍ","",DATOS!$C$82-AJ16-INDEX(TABLAS!$C$52:$C$58,MATCH(BM16,TABLAS!$B$52:$B$58,0))/2)</f>
        <v/>
      </c>
      <c r="BP16" s="56" t="str">
        <f>IF(U16&lt;&gt;"SÍ","",IF(BN16=0,0,DATOS!$C$29*BN16*INDEX(TABLAS!$D$52:$D$58,MATCH(BM16,TABLAS!$B$52:$B$58,0))*DATOS!$C$14*(BO16-BN16*INDEX(TABLAS!$D$52:$D$58,MATCH(BM16,TABLAS!$B$52:$B$58,0))*DATOS!$C$14/(DATOS!$C$21*AG16)/2)/1E5))</f>
        <v/>
      </c>
      <c r="BQ16" s="65" t="str">
        <f>IF(U16&lt;&gt;"SÍ","",IF(BL16&lt;0,9.99,IF(BP16&gt;0,BF16/BP16,0)))</f>
        <v/>
      </c>
      <c r="BR16" s="66" t="str">
        <f>IF(U16&lt;&gt;"SÍ","",IF(BN16=0,"—",0.003*(BO16-(BN16*INDEX(TABLAS!$D$52:$D$58,MATCH(BM16,TABLAS!$B$52:$B$58,0))*DATOS!$C$14/(DATOS!$C$21*AG16)/DATOS!$C$22))/(BN16*INDEX(TABLAS!$D$52:$D$58,MATCH(BM16,TABLAS!$B$52:$B$58,0))*DATOS!$C$14/(DATOS!$C$21*AG16)/DATOS!$C$22)))</f>
        <v/>
      </c>
      <c r="BS16" s="58" t="str">
        <f>IF(U16&lt;&gt;"SÍ","",((DATOS!$C$82-AL16-2*DATOS!$C$94-INDEX(TABLAS!$C$52:$C$58,MATCH(DATOS!$C$69,TABLAS!$B$52:$B$58,0))/2)-IF(AND((DATOS!$C$82-AL16-2*DATOS!$C$94-INDEX(TABLAS!$C$52:$C$58,MATCH(DATOS!$C$69,TABLAS!$B$52:$B$58,0))/2)&lt;=20,DATOS!$C$62&lt;&gt;"SÍ"),2,0)))</f>
        <v/>
      </c>
      <c r="BT16" s="58" t="str">
        <f>IF(U16&lt;&gt;"SÍ","",IF(IF(BG16&lt;=0,0,IF((1-2*BG16*1E5/(DATOS!$C$29*AE16*BS16^2*DATOS!$C$21))&lt;0,-1,IF((1-SQRT((1-2*BG16*1E5/(DATOS!$C$29*AE16*BS16^2*DATOS!$C$21))))*DATOS!$C$21*AE16*BS16/DATOS!$C$14&gt;DATOS!$C$99*AE16*BS16,-1,(1-SQRT((1-2*BG16*1E5/(DATOS!$C$29*AE16*BS16^2*DATOS!$C$21))))*DATOS!$C$21*AE16*BS16/DATOS!$C$14)))&lt;0,-1,MAX(IF(BG16&lt;=0,0,IF((1-2*BG16*1E5/(DATOS!$C$29*AE16*BS16^2*DATOS!$C$21))&lt;0,-1,IF((1-SQRT((1-2*BG16*1E5/(DATOS!$C$29*AE16*BS16^2*DATOS!$C$21))))*DATOS!$C$21*AE16*BS16/DATOS!$C$14&gt;DATOS!$C$99*AE16*BS16,-1,(1-SQRT((1-2*BG16*1E5/(DATOS!$C$29*AE16*BS16^2*DATOS!$C$21))))*DATOS!$C$21*AE16*BS16/DATOS!$C$14))),MIN(DATOS!$C$100*IF(C16="VOLADO",MIN(AG16,2*AC16),AC16)*BS16,4/3*IF(BG16&lt;=0,0,IF((1-2*BG16*1E5/(DATOS!$C$29*AE16*BS16^2*DATOS!$C$21))&lt;0,-1,IF((1-SQRT((1-2*BG16*1E5/(DATOS!$C$29*AE16*BS16^2*DATOS!$C$21))))*DATOS!$C$21*AE16*BS16/DATOS!$C$14&gt;DATOS!$C$99*AE16*BS16,-1,(1-SQRT((1-2*BG16*1E5/(DATOS!$C$29*AE16*BS16^2*DATOS!$C$21))))*DATOS!$C$21*AE16*BS16/DATOS!$C$14)))))))</f>
        <v/>
      </c>
      <c r="BU16" s="64" t="str">
        <f>IF(U16&lt;&gt;"SÍ","",IF(AND(BT16&gt;=0,IF(MAX(DATOS!$C$71,CEILING(BT16/INDEX(TABLAS!$D$52:$D$58,MIN(MATCH(DATOS!$C$69,TABLAS!$B$52:$B$58,0)+0,7)),1))*INDEX(TABLAS!$D$52:$D$58,MIN(MATCH(DATOS!$C$69,TABLAS!$B$52:$B$58,0)+0,7))&gt;=4/3*IF(BG16&lt;=0,0,IF((1-2*BG16*1E5/(DATOS!$C$29*AE16*BS16^2*DATOS!$C$21))&lt;0,-1,IF((1-SQRT((1-2*BG16*1E5/(DATOS!$C$29*AE16*BS16^2*DATOS!$C$21))))*DATOS!$C$21*AE16*BS16/DATOS!$C$14&gt;DATOS!$C$99*AE16*BS16,-1,(1-SQRT((1-2*BG16*1E5/(DATOS!$C$29*AE16*BS16^2*DATOS!$C$21))))*DATOS!$C$21*AE16*BS16/DATOS!$C$14)))-0.0001,MAX(DATOS!$C$71,CEILING(BT16/INDEX(TABLAS!$D$52:$D$58,MIN(MATCH(DATOS!$C$69,TABLAS!$B$52:$B$58,0)+0,7)),1)),MAX(MAX(DATOS!$C$71,CEILING(BT16/INDEX(TABLAS!$D$52:$D$58,MIN(MATCH(DATOS!$C$69,TABLAS!$B$52:$B$58,0)+0,7)),1)),2))&lt;=MIN(DATOS!$C$70,INT(((AC16-2*AK16)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16&gt;=0,IF(MAX(DATOS!$C$71,CEILING(BT16/INDEX(TABLAS!$D$52:$D$58,MIN(MATCH(DATOS!$C$69,TABLAS!$B$52:$B$58,0)+1,7)),1))*INDEX(TABLAS!$D$52:$D$58,MIN(MATCH(DATOS!$C$69,TABLAS!$B$52:$B$58,0)+1,7))&gt;=4/3*IF(BG16&lt;=0,0,IF((1-2*BG16*1E5/(DATOS!$C$29*AE16*BS16^2*DATOS!$C$21))&lt;0,-1,IF((1-SQRT((1-2*BG16*1E5/(DATOS!$C$29*AE16*BS16^2*DATOS!$C$21))))*DATOS!$C$21*AE16*BS16/DATOS!$C$14&gt;DATOS!$C$99*AE16*BS16,-1,(1-SQRT((1-2*BG16*1E5/(DATOS!$C$29*AE16*BS16^2*DATOS!$C$21))))*DATOS!$C$21*AE16*BS16/DATOS!$C$14)))-0.0001,MAX(DATOS!$C$71,CEILING(BT16/INDEX(TABLAS!$D$52:$D$58,MIN(MATCH(DATOS!$C$69,TABLAS!$B$52:$B$58,0)+1,7)),1)),MAX(MAX(DATOS!$C$71,CEILING(BT16/INDEX(TABLAS!$D$52:$D$58,MIN(MATCH(DATOS!$C$69,TABLAS!$B$52:$B$58,0)+1,7)),1)),2))&lt;=MIN(DATOS!$C$70,INT(((AC16-2*AK16)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16&gt;=0,IF(MAX(DATOS!$C$71,CEILING(BT16/INDEX(TABLAS!$D$52:$D$58,MIN(MATCH(DATOS!$C$69,TABLAS!$B$52:$B$58,0)+2,7)),1))*INDEX(TABLAS!$D$52:$D$58,MIN(MATCH(DATOS!$C$69,TABLAS!$B$52:$B$58,0)+2,7))&gt;=4/3*IF(BG16&lt;=0,0,IF((1-2*BG16*1E5/(DATOS!$C$29*AE16*BS16^2*DATOS!$C$21))&lt;0,-1,IF((1-SQRT((1-2*BG16*1E5/(DATOS!$C$29*AE16*BS16^2*DATOS!$C$21))))*DATOS!$C$21*AE16*BS16/DATOS!$C$14&gt;DATOS!$C$99*AE16*BS16,-1,(1-SQRT((1-2*BG16*1E5/(DATOS!$C$29*AE16*BS16^2*DATOS!$C$21))))*DATOS!$C$21*AE16*BS16/DATOS!$C$14)))-0.0001,MAX(DATOS!$C$71,CEILING(BT16/INDEX(TABLAS!$D$52:$D$58,MIN(MATCH(DATOS!$C$69,TABLAS!$B$52:$B$58,0)+2,7)),1)),MAX(MAX(DATOS!$C$71,CEILING(BT16/INDEX(TABLAS!$D$52:$D$58,MIN(MATCH(DATOS!$C$69,TABLAS!$B$52:$B$58,0)+2,7)),1)),2))&lt;=MIN(DATOS!$C$70,INT(((AC16-2*AK16)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16&gt;=0,IF(MAX(DATOS!$C$71,CEILING(BT16/INDEX(TABLAS!$D$52:$D$58,MIN(MATCH(DATOS!$C$69,TABLAS!$B$52:$B$58,0)+3,7)),1))*INDEX(TABLAS!$D$52:$D$58,MIN(MATCH(DATOS!$C$69,TABLAS!$B$52:$B$58,0)+3,7))&gt;=4/3*IF(BG16&lt;=0,0,IF((1-2*BG16*1E5/(DATOS!$C$29*AE16*BS16^2*DATOS!$C$21))&lt;0,-1,IF((1-SQRT((1-2*BG16*1E5/(DATOS!$C$29*AE16*BS16^2*DATOS!$C$21))))*DATOS!$C$21*AE16*BS16/DATOS!$C$14&gt;DATOS!$C$99*AE16*BS16,-1,(1-SQRT((1-2*BG16*1E5/(DATOS!$C$29*AE16*BS16^2*DATOS!$C$21))))*DATOS!$C$21*AE16*BS16/DATOS!$C$14)))-0.0001,MAX(DATOS!$C$71,CEILING(BT16/INDEX(TABLAS!$D$52:$D$58,MIN(MATCH(DATOS!$C$69,TABLAS!$B$52:$B$58,0)+3,7)),1)),MAX(MAX(DATOS!$C$71,CEILING(BT16/INDEX(TABLAS!$D$52:$D$58,MIN(MATCH(DATOS!$C$69,TABLAS!$B$52:$B$58,0)+3,7)),1)),2))&lt;=MIN(DATOS!$C$70,INT(((AC16-2*AK16)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16&gt;=0,IF(MAX(DATOS!$C$71,CEILING(BT16/INDEX(TABLAS!$D$52:$D$58,MIN(MATCH(DATOS!$C$69,TABLAS!$B$52:$B$58,0)+4,7)),1))*INDEX(TABLAS!$D$52:$D$58,MIN(MATCH(DATOS!$C$69,TABLAS!$B$52:$B$58,0)+4,7))&gt;=4/3*IF(BG16&lt;=0,0,IF((1-2*BG16*1E5/(DATOS!$C$29*AE16*BS16^2*DATOS!$C$21))&lt;0,-1,IF((1-SQRT((1-2*BG16*1E5/(DATOS!$C$29*AE16*BS16^2*DATOS!$C$21))))*DATOS!$C$21*AE16*BS16/DATOS!$C$14&gt;DATOS!$C$99*AE16*BS16,-1,(1-SQRT((1-2*BG16*1E5/(DATOS!$C$29*AE16*BS16^2*DATOS!$C$21))))*DATOS!$C$21*AE16*BS16/DATOS!$C$14)))-0.0001,MAX(DATOS!$C$71,CEILING(BT16/INDEX(TABLAS!$D$52:$D$58,MIN(MATCH(DATOS!$C$69,TABLAS!$B$52:$B$58,0)+4,7)),1)),MAX(MAX(DATOS!$C$71,CEILING(BT16/INDEX(TABLAS!$D$52:$D$58,MIN(MATCH(DATOS!$C$69,TABLAS!$B$52:$B$58,0)+4,7)),1)),2))&lt;=MIN(DATOS!$C$70,INT(((AC16-2*AK16)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16" s="59" t="str">
        <f>IF(U16&lt;&gt;"SÍ","",IF(BT16&lt;0,0,IF(MAX(DATOS!$C$71,CEILING(MAX(BT16,0)/INDEX(TABLAS!$D$52:$D$58,MATCH(BU16,TABLAS!$B$52:$B$58,0)),1))*INDEX(TABLAS!$D$52:$D$58,MATCH(BU16,TABLAS!$B$52:$B$58,0))&gt;=4/3*IF(BG16&lt;=0,0,IF((1-2*BG16*1E5/(DATOS!$C$29*AE16*BS16^2*DATOS!$C$21))&lt;0,-1,IF((1-SQRT((1-2*BG16*1E5/(DATOS!$C$29*AE16*BS16^2*DATOS!$C$21))))*DATOS!$C$21*AE16*BS16/DATOS!$C$14&gt;DATOS!$C$99*AE16*BS16,-1,(1-SQRT((1-2*BG16*1E5/(DATOS!$C$29*AE16*BS16^2*DATOS!$C$21))))*DATOS!$C$21*AE16*BS16/DATOS!$C$14)))-0.0001,MAX(DATOS!$C$71,CEILING(MAX(BT16,0)/INDEX(TABLAS!$D$52:$D$58,MATCH(BU16,TABLAS!$B$52:$B$58,0)),1)),MAX(MAX(DATOS!$C$71,CEILING(MAX(BT16,0)/INDEX(TABLAS!$D$52:$D$58,MATCH(BU16,TABLAS!$B$52:$B$58,0)),1)),2))))</f>
        <v/>
      </c>
      <c r="BW16" s="58" t="str">
        <f>IF(U16&lt;&gt;"SÍ","",((DATOS!$C$82-AL16-2*DATOS!$C$94-INDEX(TABLAS!$C$52:$C$58,MATCH(BU16,TABLAS!$B$52:$B$58,0))/2)-IF(AND((DATOS!$C$82-AL16-2*DATOS!$C$94-INDEX(TABLAS!$C$52:$C$58,MATCH(BU16,TABLAS!$B$52:$B$58,0))/2)&lt;=20,DATOS!$C$62&lt;&gt;"SÍ"),2,0)))</f>
        <v/>
      </c>
      <c r="BX16" s="56" t="str">
        <f>IF(U16&lt;&gt;"SÍ","",IF(BV16=0,0,DATOS!$C$29*BV16*INDEX(TABLAS!$D$52:$D$58,MATCH(BU16,TABLAS!$B$52:$B$58,0))*DATOS!$C$14*(BW16-BV16*INDEX(TABLAS!$D$52:$D$58,MATCH(BU16,TABLAS!$B$52:$B$58,0))*DATOS!$C$14/(DATOS!$C$21*AE16)/2)/1E5))</f>
        <v/>
      </c>
      <c r="BY16" s="65" t="str">
        <f>IF(U16&lt;&gt;"SÍ","",IF(BT16&lt;0,9.99,IF(BX16&gt;0,BG16/BX16,0)))</f>
        <v/>
      </c>
      <c r="BZ16" s="66" t="str">
        <f>IF(U16&lt;&gt;"SÍ","",IF(BV16=0,"—",0.003*(BW16-(BV16*INDEX(TABLAS!$D$52:$D$58,MATCH(BU16,TABLAS!$B$52:$B$58,0))*DATOS!$C$14/(DATOS!$C$21*AE16)/DATOS!$C$22))/(BV16*INDEX(TABLAS!$D$52:$D$58,MATCH(BU16,TABLAS!$B$52:$B$58,0))*DATOS!$C$14/(DATOS!$C$21*AE16)/DATOS!$C$22)))</f>
        <v/>
      </c>
      <c r="CA16" s="58" t="str">
        <f>IF(U16&lt;&gt;"SÍ","",(DATOS!$C$82-AJ16-INDEX(TABLAS!$C$52:$C$58,MATCH(DATOS!$C$68,TABLAS!$B$52:$B$58,0))-INDEX(TABLAS!$C$52:$C$58,MATCH(DATOS!$C$68,TABLAS!$B$52:$B$58,0))/2))</f>
        <v/>
      </c>
      <c r="CB16" s="58" t="str">
        <f>IF(U16&lt;&gt;"SÍ","",IF(IF(BH16&lt;=0,0,IF((1-2*BH16*1E5/(DATOS!$C$29*AH16*CA16^2*DATOS!$C$21))&lt;0,-1,IF((1-SQRT((1-2*BH16*1E5/(DATOS!$C$29*AH16*CA16^2*DATOS!$C$21))))*DATOS!$C$21*AH16*CA16/DATOS!$C$14&gt;DATOS!$C$99*AH16*CA16,-1,(1-SQRT((1-2*BH16*1E5/(DATOS!$C$29*AH16*CA16^2*DATOS!$C$21))))*DATOS!$C$21*AH16*CA16/DATOS!$C$14)))&lt;0,-1,MAX(IF(BH16&lt;=0,0,IF((1-2*BH16*1E5/(DATOS!$C$29*AH16*CA16^2*DATOS!$C$21))&lt;0,-1,IF((1-SQRT((1-2*BH16*1E5/(DATOS!$C$29*AH16*CA16^2*DATOS!$C$21))))*DATOS!$C$21*AH16*CA16/DATOS!$C$14&gt;DATOS!$C$99*AH16*CA16,-1,(1-SQRT((1-2*BH16*1E5/(DATOS!$C$29*AH16*CA16^2*DATOS!$C$21))))*DATOS!$C$21*AH16*CA16/DATOS!$C$14))),MIN(DATOS!$C$100*DATOS!$C$80*CA16,4/3*IF(BH16&lt;=0,0,IF((1-2*BH16*1E5/(DATOS!$C$29*AH16*CA16^2*DATOS!$C$21))&lt;0,-1,IF((1-SQRT((1-2*BH16*1E5/(DATOS!$C$29*AH16*CA16^2*DATOS!$C$21))))*DATOS!$C$21*AH16*CA16/DATOS!$C$14&gt;DATOS!$C$99*AH16*CA16,-1,(1-SQRT((1-2*BH16*1E5/(DATOS!$C$29*AH16*CA16^2*DATOS!$C$21))))*DATOS!$C$21*AH16*CA16/DATOS!$C$14)))))))</f>
        <v/>
      </c>
      <c r="CC16" s="64" t="str">
        <f>IF(U16&lt;&gt;"SÍ","",IF(AND(CB16&gt;=0,IF(MAX(DATOS!$C$71,CEILING(CB16/INDEX(TABLAS!$D$52:$D$58,MIN(MATCH(DATOS!$C$68,TABLAS!$B$52:$B$58,0)+0,7)),1))*INDEX(TABLAS!$D$52:$D$58,MIN(MATCH(DATOS!$C$68,TABLAS!$B$52:$B$58,0)+0,7))&gt;=4/3*IF(BH16&lt;=0,0,IF((1-2*BH16*1E5/(DATOS!$C$29*AH16*CA16^2*DATOS!$C$21))&lt;0,-1,IF((1-SQRT((1-2*BH16*1E5/(DATOS!$C$29*AH16*CA16^2*DATOS!$C$21))))*DATOS!$C$21*AH16*CA16/DATOS!$C$14&gt;DATOS!$C$99*AH16*CA16,-1,(1-SQRT((1-2*BH16*1E5/(DATOS!$C$29*AH16*CA16^2*DATOS!$C$21))))*DATOS!$C$21*AH16*CA16/DATOS!$C$14)))-0.0001,MAX(DATOS!$C$71,CEILING(CB16/INDEX(TABLAS!$D$52:$D$58,MIN(MATCH(DATOS!$C$68,TABLAS!$B$52:$B$58,0)+0,7)),1)),MAX(MAX(DATOS!$C$71,CEILING(CB16/INDEX(TABLAS!$D$52:$D$58,MIN(MATCH(DATOS!$C$68,TABLAS!$B$52:$B$58,0)+0,7)),1)),2))&lt;=MIN(DATOS!$C$70,INT(((DATOS!$C$80-2*AJ16)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16&gt;=0,IF(MAX(DATOS!$C$71,CEILING(CB16/INDEX(TABLAS!$D$52:$D$58,MIN(MATCH(DATOS!$C$68,TABLAS!$B$52:$B$58,0)+1,7)),1))*INDEX(TABLAS!$D$52:$D$58,MIN(MATCH(DATOS!$C$68,TABLAS!$B$52:$B$58,0)+1,7))&gt;=4/3*IF(BH16&lt;=0,0,IF((1-2*BH16*1E5/(DATOS!$C$29*AH16*CA16^2*DATOS!$C$21))&lt;0,-1,IF((1-SQRT((1-2*BH16*1E5/(DATOS!$C$29*AH16*CA16^2*DATOS!$C$21))))*DATOS!$C$21*AH16*CA16/DATOS!$C$14&gt;DATOS!$C$99*AH16*CA16,-1,(1-SQRT((1-2*BH16*1E5/(DATOS!$C$29*AH16*CA16^2*DATOS!$C$21))))*DATOS!$C$21*AH16*CA16/DATOS!$C$14)))-0.0001,MAX(DATOS!$C$71,CEILING(CB16/INDEX(TABLAS!$D$52:$D$58,MIN(MATCH(DATOS!$C$68,TABLAS!$B$52:$B$58,0)+1,7)),1)),MAX(MAX(DATOS!$C$71,CEILING(CB16/INDEX(TABLAS!$D$52:$D$58,MIN(MATCH(DATOS!$C$68,TABLAS!$B$52:$B$58,0)+1,7)),1)),2))&lt;=MIN(DATOS!$C$70,INT(((DATOS!$C$80-2*AJ16)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16&gt;=0,IF(MAX(DATOS!$C$71,CEILING(CB16/INDEX(TABLAS!$D$52:$D$58,MIN(MATCH(DATOS!$C$68,TABLAS!$B$52:$B$58,0)+2,7)),1))*INDEX(TABLAS!$D$52:$D$58,MIN(MATCH(DATOS!$C$68,TABLAS!$B$52:$B$58,0)+2,7))&gt;=4/3*IF(BH16&lt;=0,0,IF((1-2*BH16*1E5/(DATOS!$C$29*AH16*CA16^2*DATOS!$C$21))&lt;0,-1,IF((1-SQRT((1-2*BH16*1E5/(DATOS!$C$29*AH16*CA16^2*DATOS!$C$21))))*DATOS!$C$21*AH16*CA16/DATOS!$C$14&gt;DATOS!$C$99*AH16*CA16,-1,(1-SQRT((1-2*BH16*1E5/(DATOS!$C$29*AH16*CA16^2*DATOS!$C$21))))*DATOS!$C$21*AH16*CA16/DATOS!$C$14)))-0.0001,MAX(DATOS!$C$71,CEILING(CB16/INDEX(TABLAS!$D$52:$D$58,MIN(MATCH(DATOS!$C$68,TABLAS!$B$52:$B$58,0)+2,7)),1)),MAX(MAX(DATOS!$C$71,CEILING(CB16/INDEX(TABLAS!$D$52:$D$58,MIN(MATCH(DATOS!$C$68,TABLAS!$B$52:$B$58,0)+2,7)),1)),2))&lt;=MIN(DATOS!$C$70,INT(((DATOS!$C$80-2*AJ16)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16&gt;=0,IF(MAX(DATOS!$C$71,CEILING(CB16/INDEX(TABLAS!$D$52:$D$58,MIN(MATCH(DATOS!$C$68,TABLAS!$B$52:$B$58,0)+3,7)),1))*INDEX(TABLAS!$D$52:$D$58,MIN(MATCH(DATOS!$C$68,TABLAS!$B$52:$B$58,0)+3,7))&gt;=4/3*IF(BH16&lt;=0,0,IF((1-2*BH16*1E5/(DATOS!$C$29*AH16*CA16^2*DATOS!$C$21))&lt;0,-1,IF((1-SQRT((1-2*BH16*1E5/(DATOS!$C$29*AH16*CA16^2*DATOS!$C$21))))*DATOS!$C$21*AH16*CA16/DATOS!$C$14&gt;DATOS!$C$99*AH16*CA16,-1,(1-SQRT((1-2*BH16*1E5/(DATOS!$C$29*AH16*CA16^2*DATOS!$C$21))))*DATOS!$C$21*AH16*CA16/DATOS!$C$14)))-0.0001,MAX(DATOS!$C$71,CEILING(CB16/INDEX(TABLAS!$D$52:$D$58,MIN(MATCH(DATOS!$C$68,TABLAS!$B$52:$B$58,0)+3,7)),1)),MAX(MAX(DATOS!$C$71,CEILING(CB16/INDEX(TABLAS!$D$52:$D$58,MIN(MATCH(DATOS!$C$68,TABLAS!$B$52:$B$58,0)+3,7)),1)),2))&lt;=MIN(DATOS!$C$70,INT(((DATOS!$C$80-2*AJ16)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16&gt;=0,IF(MAX(DATOS!$C$71,CEILING(CB16/INDEX(TABLAS!$D$52:$D$58,MIN(MATCH(DATOS!$C$68,TABLAS!$B$52:$B$58,0)+4,7)),1))*INDEX(TABLAS!$D$52:$D$58,MIN(MATCH(DATOS!$C$68,TABLAS!$B$52:$B$58,0)+4,7))&gt;=4/3*IF(BH16&lt;=0,0,IF((1-2*BH16*1E5/(DATOS!$C$29*AH16*CA16^2*DATOS!$C$21))&lt;0,-1,IF((1-SQRT((1-2*BH16*1E5/(DATOS!$C$29*AH16*CA16^2*DATOS!$C$21))))*DATOS!$C$21*AH16*CA16/DATOS!$C$14&gt;DATOS!$C$99*AH16*CA16,-1,(1-SQRT((1-2*BH16*1E5/(DATOS!$C$29*AH16*CA16^2*DATOS!$C$21))))*DATOS!$C$21*AH16*CA16/DATOS!$C$14)))-0.0001,MAX(DATOS!$C$71,CEILING(CB16/INDEX(TABLAS!$D$52:$D$58,MIN(MATCH(DATOS!$C$68,TABLAS!$B$52:$B$58,0)+4,7)),1)),MAX(MAX(DATOS!$C$71,CEILING(CB16/INDEX(TABLAS!$D$52:$D$58,MIN(MATCH(DATOS!$C$68,TABLAS!$B$52:$B$58,0)+4,7)),1)),2))&lt;=MIN(DATOS!$C$70,INT(((DATOS!$C$80-2*AJ16)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16" s="59" t="str">
        <f>IF(U16&lt;&gt;"SÍ","",IF(CB16&lt;0,0,IF(MAX(DATOS!$C$71,CEILING(MAX(CB16,0)/INDEX(TABLAS!$D$52:$D$58,MATCH(CC16,TABLAS!$B$52:$B$58,0)),1))*INDEX(TABLAS!$D$52:$D$58,MATCH(CC16,TABLAS!$B$52:$B$58,0))&gt;=4/3*IF(BH16&lt;=0,0,IF((1-2*BH16*1E5/(DATOS!$C$29*AH16*CA16^2*DATOS!$C$21))&lt;0,-1,IF((1-SQRT((1-2*BH16*1E5/(DATOS!$C$29*AH16*CA16^2*DATOS!$C$21))))*DATOS!$C$21*AH16*CA16/DATOS!$C$14&gt;DATOS!$C$99*AH16*CA16,-1,(1-SQRT((1-2*BH16*1E5/(DATOS!$C$29*AH16*CA16^2*DATOS!$C$21))))*DATOS!$C$21*AH16*CA16/DATOS!$C$14)))-0.0001,MAX(DATOS!$C$71,CEILING(MAX(CB16,0)/INDEX(TABLAS!$D$52:$D$58,MATCH(CC16,TABLAS!$B$52:$B$58,0)),1)),MAX(MAX(DATOS!$C$71,CEILING(MAX(CB16,0)/INDEX(TABLAS!$D$52:$D$58,MATCH(CC16,TABLAS!$B$52:$B$58,0)),1)),2))))</f>
        <v/>
      </c>
      <c r="CE16" s="58" t="str">
        <f>IF(U16&lt;&gt;"SÍ","",DATOS!$C$82-AJ16-INDEX(TABLAS!$C$52:$C$58,MATCH(BM16,TABLAS!$B$52:$B$58,0))-INDEX(TABLAS!$C$52:$C$58,MATCH(CC16,TABLAS!$B$52:$B$58,0))/2)</f>
        <v/>
      </c>
      <c r="CF16" s="56" t="str">
        <f>IF(U16&lt;&gt;"SÍ","",IF(CD16=0,0,DATOS!$C$29*CD16*INDEX(TABLAS!$D$52:$D$58,MATCH(CC16,TABLAS!$B$52:$B$58,0))*DATOS!$C$14*(CE16-CD16*INDEX(TABLAS!$D$52:$D$58,MATCH(CC16,TABLAS!$B$52:$B$58,0))*DATOS!$C$14/(DATOS!$C$21*AH16)/2)/1E5))</f>
        <v/>
      </c>
      <c r="CG16" s="65" t="str">
        <f>IF(U16&lt;&gt;"SÍ","",IF(CB16&lt;0,9.99,IF(CF16&gt;0,BH16/CF16,0)))</f>
        <v/>
      </c>
      <c r="CH16" s="66" t="str">
        <f>IF(U16&lt;&gt;"SÍ","",IF(CD16=0,"—",0.003*(CE16-(CD16*INDEX(TABLAS!$D$52:$D$58,MATCH(CC16,TABLAS!$B$52:$B$58,0))*DATOS!$C$14/(DATOS!$C$21*AH16)/DATOS!$C$22))/(CD16*INDEX(TABLAS!$D$52:$D$58,MATCH(CC16,TABLAS!$B$52:$B$58,0))*DATOS!$C$14/(DATOS!$C$21*AH16)/DATOS!$C$22)))</f>
        <v/>
      </c>
      <c r="CI16" s="58" t="str">
        <f>IF(U16&lt;&gt;"SÍ","",((DATOS!$C$82-AL16-2*DATOS!$C$94-INDEX(TABLAS!$C$52:$C$58,MATCH(DATOS!$C$69,TABLAS!$B$52:$B$58,0))-INDEX(TABLAS!$C$52:$C$58,MATCH(DATOS!$C$69,TABLAS!$B$52:$B$58,0))/2)-IF(AND((DATOS!$C$82-AL16-2*DATOS!$C$94-INDEX(TABLAS!$C$52:$C$58,MATCH(DATOS!$C$69,TABLAS!$B$52:$B$58,0))-INDEX(TABLAS!$C$52:$C$58,MATCH(DATOS!$C$69,TABLAS!$B$52:$B$58,0))/2)&lt;=20,DATOS!$C$62&lt;&gt;"SÍ"),2,0)))</f>
        <v/>
      </c>
      <c r="CJ16" s="58" t="str">
        <f>IF(U16&lt;&gt;"SÍ","",IF(IF(BI16&lt;=0,0,IF((1-2*BI16*1E5/(DATOS!$C$29*AF16*CI16^2*DATOS!$C$21))&lt;0,-1,IF((1-SQRT((1-2*BI16*1E5/(DATOS!$C$29*AF16*CI16^2*DATOS!$C$21))))*DATOS!$C$21*AF16*CI16/DATOS!$C$14&gt;DATOS!$C$99*AF16*CI16,-1,(1-SQRT((1-2*BI16*1E5/(DATOS!$C$29*AF16*CI16^2*DATOS!$C$21))))*DATOS!$C$21*AF16*CI16/DATOS!$C$14)))&lt;0,-1,MAX(IF(BI16&lt;=0,0,IF((1-2*BI16*1E5/(DATOS!$C$29*AF16*CI16^2*DATOS!$C$21))&lt;0,-1,IF((1-SQRT((1-2*BI16*1E5/(DATOS!$C$29*AF16*CI16^2*DATOS!$C$21))))*DATOS!$C$21*AF16*CI16/DATOS!$C$14&gt;DATOS!$C$99*AF16*CI16,-1,(1-SQRT((1-2*BI16*1E5/(DATOS!$C$29*AF16*CI16^2*DATOS!$C$21))))*DATOS!$C$21*AF16*CI16/DATOS!$C$14))),MIN(DATOS!$C$100*DATOS!$C$80*CI16,4/3*IF(BI16&lt;=0,0,IF((1-2*BI16*1E5/(DATOS!$C$29*AF16*CI16^2*DATOS!$C$21))&lt;0,-1,IF((1-SQRT((1-2*BI16*1E5/(DATOS!$C$29*AF16*CI16^2*DATOS!$C$21))))*DATOS!$C$21*AF16*CI16/DATOS!$C$14&gt;DATOS!$C$99*AF16*CI16,-1,(1-SQRT((1-2*BI16*1E5/(DATOS!$C$29*AF16*CI16^2*DATOS!$C$21))))*DATOS!$C$21*AF16*CI16/DATOS!$C$14)))))))</f>
        <v/>
      </c>
      <c r="CK16" s="64" t="str">
        <f>IF(U16&lt;&gt;"SÍ","",IF(AND(CJ16&gt;=0,IF(MAX(DATOS!$C$71,CEILING(CJ16/INDEX(TABLAS!$D$52:$D$58,MIN(MATCH(DATOS!$C$69,TABLAS!$B$52:$B$58,0)+0,7)),1))*INDEX(TABLAS!$D$52:$D$58,MIN(MATCH(DATOS!$C$69,TABLAS!$B$52:$B$58,0)+0,7))&gt;=4/3*IF(BI16&lt;=0,0,IF((1-2*BI16*1E5/(DATOS!$C$29*AF16*CI16^2*DATOS!$C$21))&lt;0,-1,IF((1-SQRT((1-2*BI16*1E5/(DATOS!$C$29*AF16*CI16^2*DATOS!$C$21))))*DATOS!$C$21*AF16*CI16/DATOS!$C$14&gt;DATOS!$C$99*AF16*CI16,-1,(1-SQRT((1-2*BI16*1E5/(DATOS!$C$29*AF16*CI16^2*DATOS!$C$21))))*DATOS!$C$21*AF16*CI16/DATOS!$C$14)))-0.0001,MAX(DATOS!$C$71,CEILING(CJ16/INDEX(TABLAS!$D$52:$D$58,MIN(MATCH(DATOS!$C$69,TABLAS!$B$52:$B$58,0)+0,7)),1)),MAX(MAX(DATOS!$C$71,CEILING(CJ16/INDEX(TABLAS!$D$52:$D$58,MIN(MATCH(DATOS!$C$69,TABLAS!$B$52:$B$58,0)+0,7)),1)),2))&lt;=MIN(DATOS!$C$70,INT(((DATOS!$C$80-2*AK16)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16&gt;=0,IF(MAX(DATOS!$C$71,CEILING(CJ16/INDEX(TABLAS!$D$52:$D$58,MIN(MATCH(DATOS!$C$69,TABLAS!$B$52:$B$58,0)+1,7)),1))*INDEX(TABLAS!$D$52:$D$58,MIN(MATCH(DATOS!$C$69,TABLAS!$B$52:$B$58,0)+1,7))&gt;=4/3*IF(BI16&lt;=0,0,IF((1-2*BI16*1E5/(DATOS!$C$29*AF16*CI16^2*DATOS!$C$21))&lt;0,-1,IF((1-SQRT((1-2*BI16*1E5/(DATOS!$C$29*AF16*CI16^2*DATOS!$C$21))))*DATOS!$C$21*AF16*CI16/DATOS!$C$14&gt;DATOS!$C$99*AF16*CI16,-1,(1-SQRT((1-2*BI16*1E5/(DATOS!$C$29*AF16*CI16^2*DATOS!$C$21))))*DATOS!$C$21*AF16*CI16/DATOS!$C$14)))-0.0001,MAX(DATOS!$C$71,CEILING(CJ16/INDEX(TABLAS!$D$52:$D$58,MIN(MATCH(DATOS!$C$69,TABLAS!$B$52:$B$58,0)+1,7)),1)),MAX(MAX(DATOS!$C$71,CEILING(CJ16/INDEX(TABLAS!$D$52:$D$58,MIN(MATCH(DATOS!$C$69,TABLAS!$B$52:$B$58,0)+1,7)),1)),2))&lt;=MIN(DATOS!$C$70,INT(((DATOS!$C$80-2*AK16)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16&gt;=0,IF(MAX(DATOS!$C$71,CEILING(CJ16/INDEX(TABLAS!$D$52:$D$58,MIN(MATCH(DATOS!$C$69,TABLAS!$B$52:$B$58,0)+2,7)),1))*INDEX(TABLAS!$D$52:$D$58,MIN(MATCH(DATOS!$C$69,TABLAS!$B$52:$B$58,0)+2,7))&gt;=4/3*IF(BI16&lt;=0,0,IF((1-2*BI16*1E5/(DATOS!$C$29*AF16*CI16^2*DATOS!$C$21))&lt;0,-1,IF((1-SQRT((1-2*BI16*1E5/(DATOS!$C$29*AF16*CI16^2*DATOS!$C$21))))*DATOS!$C$21*AF16*CI16/DATOS!$C$14&gt;DATOS!$C$99*AF16*CI16,-1,(1-SQRT((1-2*BI16*1E5/(DATOS!$C$29*AF16*CI16^2*DATOS!$C$21))))*DATOS!$C$21*AF16*CI16/DATOS!$C$14)))-0.0001,MAX(DATOS!$C$71,CEILING(CJ16/INDEX(TABLAS!$D$52:$D$58,MIN(MATCH(DATOS!$C$69,TABLAS!$B$52:$B$58,0)+2,7)),1)),MAX(MAX(DATOS!$C$71,CEILING(CJ16/INDEX(TABLAS!$D$52:$D$58,MIN(MATCH(DATOS!$C$69,TABLAS!$B$52:$B$58,0)+2,7)),1)),2))&lt;=MIN(DATOS!$C$70,INT(((DATOS!$C$80-2*AK16)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16&gt;=0,IF(MAX(DATOS!$C$71,CEILING(CJ16/INDEX(TABLAS!$D$52:$D$58,MIN(MATCH(DATOS!$C$69,TABLAS!$B$52:$B$58,0)+3,7)),1))*INDEX(TABLAS!$D$52:$D$58,MIN(MATCH(DATOS!$C$69,TABLAS!$B$52:$B$58,0)+3,7))&gt;=4/3*IF(BI16&lt;=0,0,IF((1-2*BI16*1E5/(DATOS!$C$29*AF16*CI16^2*DATOS!$C$21))&lt;0,-1,IF((1-SQRT((1-2*BI16*1E5/(DATOS!$C$29*AF16*CI16^2*DATOS!$C$21))))*DATOS!$C$21*AF16*CI16/DATOS!$C$14&gt;DATOS!$C$99*AF16*CI16,-1,(1-SQRT((1-2*BI16*1E5/(DATOS!$C$29*AF16*CI16^2*DATOS!$C$21))))*DATOS!$C$21*AF16*CI16/DATOS!$C$14)))-0.0001,MAX(DATOS!$C$71,CEILING(CJ16/INDEX(TABLAS!$D$52:$D$58,MIN(MATCH(DATOS!$C$69,TABLAS!$B$52:$B$58,0)+3,7)),1)),MAX(MAX(DATOS!$C$71,CEILING(CJ16/INDEX(TABLAS!$D$52:$D$58,MIN(MATCH(DATOS!$C$69,TABLAS!$B$52:$B$58,0)+3,7)),1)),2))&lt;=MIN(DATOS!$C$70,INT(((DATOS!$C$80-2*AK16)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16&gt;=0,IF(MAX(DATOS!$C$71,CEILING(CJ16/INDEX(TABLAS!$D$52:$D$58,MIN(MATCH(DATOS!$C$69,TABLAS!$B$52:$B$58,0)+4,7)),1))*INDEX(TABLAS!$D$52:$D$58,MIN(MATCH(DATOS!$C$69,TABLAS!$B$52:$B$58,0)+4,7))&gt;=4/3*IF(BI16&lt;=0,0,IF((1-2*BI16*1E5/(DATOS!$C$29*AF16*CI16^2*DATOS!$C$21))&lt;0,-1,IF((1-SQRT((1-2*BI16*1E5/(DATOS!$C$29*AF16*CI16^2*DATOS!$C$21))))*DATOS!$C$21*AF16*CI16/DATOS!$C$14&gt;DATOS!$C$99*AF16*CI16,-1,(1-SQRT((1-2*BI16*1E5/(DATOS!$C$29*AF16*CI16^2*DATOS!$C$21))))*DATOS!$C$21*AF16*CI16/DATOS!$C$14)))-0.0001,MAX(DATOS!$C$71,CEILING(CJ16/INDEX(TABLAS!$D$52:$D$58,MIN(MATCH(DATOS!$C$69,TABLAS!$B$52:$B$58,0)+4,7)),1)),MAX(MAX(DATOS!$C$71,CEILING(CJ16/INDEX(TABLAS!$D$52:$D$58,MIN(MATCH(DATOS!$C$69,TABLAS!$B$52:$B$58,0)+4,7)),1)),2))&lt;=MIN(DATOS!$C$70,INT(((DATOS!$C$80-2*AK16)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16" s="59" t="str">
        <f>IF(U16&lt;&gt;"SÍ","",IF(CJ16&lt;0,0,IF(MAX(DATOS!$C$71,CEILING(MAX(CJ16,0)/INDEX(TABLAS!$D$52:$D$58,MATCH(CK16,TABLAS!$B$52:$B$58,0)),1))*INDEX(TABLAS!$D$52:$D$58,MATCH(CK16,TABLAS!$B$52:$B$58,0))&gt;=4/3*IF(BI16&lt;=0,0,IF((1-2*BI16*1E5/(DATOS!$C$29*AF16*CI16^2*DATOS!$C$21))&lt;0,-1,IF((1-SQRT((1-2*BI16*1E5/(DATOS!$C$29*AF16*CI16^2*DATOS!$C$21))))*DATOS!$C$21*AF16*CI16/DATOS!$C$14&gt;DATOS!$C$99*AF16*CI16,-1,(1-SQRT((1-2*BI16*1E5/(DATOS!$C$29*AF16*CI16^2*DATOS!$C$21))))*DATOS!$C$21*AF16*CI16/DATOS!$C$14)))-0.0001,MAX(DATOS!$C$71,CEILING(MAX(CJ16,0)/INDEX(TABLAS!$D$52:$D$58,MATCH(CK16,TABLAS!$B$52:$B$58,0)),1)),MAX(MAX(DATOS!$C$71,CEILING(MAX(CJ16,0)/INDEX(TABLAS!$D$52:$D$58,MATCH(CK16,TABLAS!$B$52:$B$58,0)),1)),2))))</f>
        <v/>
      </c>
      <c r="CM16" s="58" t="str">
        <f>IF(U16&lt;&gt;"SÍ","",((DATOS!$C$82-AL16-2*DATOS!$C$94-INDEX(TABLAS!$C$52:$C$58,MATCH(BU16,TABLAS!$B$52:$B$58,0))-INDEX(TABLAS!$C$52:$C$58,MATCH(CK16,TABLAS!$B$52:$B$58,0))/2)-IF(AND((DATOS!$C$82-AL16-2*DATOS!$C$94-INDEX(TABLAS!$C$52:$C$58,MATCH(BU16,TABLAS!$B$52:$B$58,0))-INDEX(TABLAS!$C$52:$C$58,MATCH(CK16,TABLAS!$B$52:$B$58,0))/2)&lt;=20,DATOS!$C$62&lt;&gt;"SÍ"),2,0)))</f>
        <v/>
      </c>
      <c r="CN16" s="56" t="str">
        <f>IF(U16&lt;&gt;"SÍ","",IF(CL16=0,0,DATOS!$C$29*CL16*INDEX(TABLAS!$D$52:$D$58,MATCH(CK16,TABLAS!$B$52:$B$58,0))*DATOS!$C$14*(CM16-CL16*INDEX(TABLAS!$D$52:$D$58,MATCH(CK16,TABLAS!$B$52:$B$58,0))*DATOS!$C$14/(DATOS!$C$21*AF16)/2)/1E5))</f>
        <v/>
      </c>
      <c r="CO16" s="65" t="str">
        <f>IF(U16&lt;&gt;"SÍ","",IF(CJ16&lt;0,9.99,IF(CN16&gt;0,BI16/CN16,0)))</f>
        <v/>
      </c>
      <c r="CP16" s="66" t="str">
        <f>IF(U16&lt;&gt;"SÍ","",IF(CL16=0,"—",0.003*(CM16-(CL16*INDEX(TABLAS!$D$52:$D$58,MATCH(CK16,TABLAS!$B$52:$B$58,0))*DATOS!$C$14/(DATOS!$C$21*AF16)/DATOS!$C$22))/(CL16*INDEX(TABLAS!$D$52:$D$58,MATCH(CK16,TABLAS!$B$52:$B$58,0))*DATOS!$C$14/(DATOS!$C$21*AF16)/DATOS!$C$22)))</f>
        <v/>
      </c>
      <c r="CQ16" s="56" t="str">
        <f>IF(U16&lt;&gt;"SÍ","",IF(C16="PERIMETRAL",MAX(0,(AA16/2-BW16)/100)*(0.95-0.5*Z16)*AQ16*IF(AND(AR16&gt;0,AR16&lt;4),DATOS!$C$33,1)*DATOS!$C$83/100/1000,(AQ16*MAX(0,AA16-BW16)/100+DATOS!$C$26*N(O16))*DATOS!$C$83/100/1000+BE16))</f>
        <v/>
      </c>
      <c r="CR16" s="56" t="str">
        <f>IF(U16&lt;&gt;"SÍ","",DATOS!$C$30*2*MIN(1,SQRT(2/(1+0.04*BW16)))*(BV16*INDEX(TABLAS!$D$52:$D$58,MATCH(BU16,TABLAS!$B$52:$B$58,0))/(AE16*BW16))^(1/3)*SQRT(DATOS!$C$13)*AE16*BW16*IF(AI16="SÍ",DATOS!$C$32,1)/1000)</f>
        <v/>
      </c>
      <c r="CS16" s="59" t="str">
        <f>IF(U16&lt;&gt;"SÍ","",IF(CQ16&lt;=CR16,0,CEILING(MAX(0,IF(C16="VOLADO",(AA16-((CR16-BE16)*1E5/DATOS!$C$83-DATOS!$C$26*N(O16))*100/AQ16),IF(CR16&lt;=0,AA16,AA16/2-CR16/MAX(CQ16,1E-9)*(AA16/2-BW16)))-IF(INT((X16*100-DATOS!$C$84+DATOS!$C$80)/DATOS!$C$83)&gt;0,(X16*100-DATOS!$C$84-(INT((X16*100-DATOS!$C$84+DATOS!$C$80)/DATOS!$C$83)*DATOS!$C$78+(INT((X16*100-DATOS!$C$84+DATOS!$C$80)/DATOS!$C$83)-1)*DATOS!$C$80))/2,X16*100/2))/DATOS!$C$83,1)))</f>
        <v/>
      </c>
      <c r="CT16" s="67" t="str">
        <f>IF(U16&lt;&gt;"SÍ","",IF(CQ16&lt;=CR16,"CUMPLE",IF(CS16&lt;=0,"CUMPLE (basta el macizo de orilla)",IF(CS16*DATOS!$C$83*IF(C16="VOLADO",1,2)&gt;=X16*100-DATOS!$C$84,"NO CUMPLE: no alcanza ni macizando todo","MACIZAR "&amp;CS16&amp;" hilera(s)"))))</f>
        <v/>
      </c>
      <c r="CU16" s="58" t="str">
        <f>IF(U16&lt;&gt;"SÍ","",(DATOS!$C$83*DATOS!$C$81^2/2+AC16*DATOS!$C$79*(DATOS!$C$81+DATOS!$C$79/2))/(DATOS!$C$83*DATOS!$C$81+AC16*DATOS!$C$79))</f>
        <v/>
      </c>
      <c r="CV16" s="68" t="str">
        <f>IF(U16&lt;&gt;"SÍ","",DATOS!$C$83*DATOS!$C$81^3/12+DATOS!$C$83*DATOS!$C$81*(CU16-DATOS!$C$81/2)^2+AC16*DATOS!$C$79^3/12+AC16*DATOS!$C$79*(DATOS!$C$81+DATOS!$C$79/2-CU16)^2)</f>
        <v/>
      </c>
      <c r="CW16" s="58" t="str">
        <f>IF(U16&lt;&gt;"SÍ","",(12*CV16/DATOS!$C$83)^(1/3))</f>
        <v/>
      </c>
      <c r="CX16" s="58" t="str">
        <f>IF(U16&lt;&gt;"SÍ","",IF(C16="PERIMETRAL",IF(ISNUMBER(R16),R16,DATOS!$C$101),0))</f>
        <v/>
      </c>
      <c r="CY16" s="57" t="str">
        <f>IF(U16&lt;&gt;"SÍ","",IF(C16="PERIMETRAL",IF(CX16&gt;2,MAX(9,AB16*(0.8+DATOS!$C$14/14000)/(36+9*(AB16/MAX(AA16,1)))),IF(CX16&gt;0.2,MAX(13,AB16*(0.8+DATOS!$C$14/14000)/(36+5*(AB16/MAX(AA16,1))*(CX16-0.2))),MAX(13,AB16/IF(AR16&gt;0,30,33))))*IF(AND(CX16&gt;0.2,AR16&gt;0,DATOS!$C$102="NO"),1.1,1),X16*100/8))</f>
        <v/>
      </c>
      <c r="CZ16" s="61" t="str">
        <f>IF(U16&lt;&gt;"SÍ","",IF(IF(C16="VOLADO",DATOS!$C$82,CW16)&gt;=CY16,"CUMPLE",IF(C16="VOLADO","NO CUMPLE","CALCULAR FLECHA")))</f>
        <v/>
      </c>
      <c r="DA16" s="55" t="str">
        <f>IF(U16&lt;&gt;"SÍ","",IF(DATOS!$C$81&gt;=IF(IF(C16="VOLADO",X16,Y16)&gt;=6,6,5),"CUMPLE","CAPA ≥ 6 cm"))</f>
        <v/>
      </c>
      <c r="DB16" s="60" t="str">
        <f>IF(U16&lt;&gt;"SÍ","",IF(C16="VOLADO",MIN(CEILING(IF(ISNUMBER(P16),P16,X16)*100,5),CEILING(MAX(IF((0.5*(0.9*DATOS!$C$87*DATOS!$C$83/100/1000)*IF(ISNUMBER(P16),P16,X16)+BG16/IF(ISNUMBER(P16),P16,X16))^2-4*(0.5*(0.9*DATOS!$C$87*DATOS!$C$83/100/1000))*BG16&lt;0,IF(ISNUMBER(P16),P16,X16),MIN(IF(ISNUMBER(P16),P16,X16),((0.5*(0.9*DATOS!$C$87*DATOS!$C$83/100/1000)*IF(ISNUMBER(P16),P16,X16)+BG16/IF(ISNUMBER(P16),P16,X16))-SQRT((0.5*(0.9*DATOS!$C$87*DATOS!$C$83/100/1000)*IF(ISNUMBER(P16),P16,X16)+BG16/IF(ISNUMBER(P16),P16,X16))^2-4*(0.5*(0.9*DATOS!$C$87*DATOS!$C$83/100/1000))*BG16))/(2*(0.5*(0.9*DATOS!$C$87*DATOS!$C$83/100/1000)))))*100+MAX(BW16,12*INDEX(TABLAS!$C$52:$C$58,MATCH(BU16,TABLAS!$B$52:$B$58,0)),IF(ISNUMBER(P16),P16,X16)*100/16),IF(OR(AK16&lt;INDEX(TABLAS!$C$52:$C$58,MATCH(BU16,TABLAS!$B$52:$B$58,0)),AND(BV16&gt;=2,(AC16-2*AK16-BV16*INDEX(TABLAS!$C$52:$C$58,MATCH(BU16,TABLAS!$B$52:$B$58,0)))/MAX(BV16-1,1)&lt;2*INDEX(TABLAS!$C$52:$C$58,MATCH(BU16,TABLAS!$B$52:$B$58,0)))),INDEX(TABLAS!$I$52:$I$58,MATCH(BU16,TABLAS!$B$52:$B$58,0)),INDEX(TABLAS!$F$52:$F$58,MATCH(BU16,TABLAS!$B$52:$B$58,0)))),5)),IF(((4*((BB16*AQ16*X16^2*1E-4*DATOS!$C$83/100/1000)+((MAX(AX16,AZ16)*AQ16*X16^2*1E-4*DATOS!$C$83/100/1000)+(IF(AND(AX16&gt;0,AZ16&gt;0),MIN(AX16,AZ16),MAX(AX16,AZ16))*AQ16*X16^2*1E-4*DATOS!$C$83/100/1000))/2)+BG16-(IF(AND(AX16&gt;0,AZ16&gt;0),MIN(AX16,AZ16),MAX(AX16,AZ16))*AQ16*X16^2*1E-4*DATOS!$C$83/100/1000))^2-16*((BB16*AQ16*X16^2*1E-4*DATOS!$C$83/100/1000)+((MAX(AX16,AZ16)*AQ16*X16^2*1E-4*DATOS!$C$83/100/1000)+(IF(AND(AX16&gt;0,AZ16&gt;0),MIN(AX16,AZ16),MAX(AX16,AZ16))*AQ16*X16^2*1E-4*DATOS!$C$83/100/1000))/2)*BG16)&lt;0,CEILING(AA16,5),CEILING(MAX(AA16*((4*((BB16*AQ16*X16^2*1E-4*DATOS!$C$83/100/1000)+((MAX(AX16,AZ16)*AQ16*X16^2*1E-4*DATOS!$C$83/100/1000)+(IF(AND(AX16&gt;0,AZ16&gt;0),MIN(AX16,AZ16),MAX(AX16,AZ16))*AQ16*X16^2*1E-4*DATOS!$C$83/100/1000))/2)+BG16-(IF(AND(AX16&gt;0,AZ16&gt;0),MIN(AX16,AZ16),MAX(AX16,AZ16))*AQ16*X16^2*1E-4*DATOS!$C$83/100/1000))-SQRT(MAX(0,((4*((BB16*AQ16*X16^2*1E-4*DATOS!$C$83/100/1000)+((MAX(AX16,AZ16)*AQ16*X16^2*1E-4*DATOS!$C$83/100/1000)+(IF(AND(AX16&gt;0,AZ16&gt;0),MIN(AX16,AZ16),MAX(AX16,AZ16))*AQ16*X16^2*1E-4*DATOS!$C$83/100/1000))/2)+BG16-(IF(AND(AX16&gt;0,AZ16&gt;0),MIN(AX16,AZ16),MAX(AX16,AZ16))*AQ16*X16^2*1E-4*DATOS!$C$83/100/1000))^2-16*((BB16*AQ16*X16^2*1E-4*DATOS!$C$83/100/1000)+((MAX(AX16,AZ16)*AQ16*X16^2*1E-4*DATOS!$C$83/100/1000)+(IF(AND(AX16&gt;0,AZ16&gt;0),MIN(AX16,AZ16),MAX(AX16,AZ16))*AQ16*X16^2*1E-4*DATOS!$C$83/100/1000))/2)*BG16))))/(8*MAX(((BB16*AQ16*X16^2*1E-4*DATOS!$C$83/100/1000)+((MAX(AX16,AZ16)*AQ16*X16^2*1E-4*DATOS!$C$83/100/1000)+(IF(AND(AX16&gt;0,AZ16&gt;0),MIN(AX16,AZ16),MAX(AX16,AZ16))*AQ16*X16^2*1E-4*DATOS!$C$83/100/1000))/2),1E-9))+MAX(BW16,12*INDEX(TABLAS!$C$52:$C$58,MATCH(BU16,TABLAS!$B$52:$B$58,0)),AA16/16),IF(OR(AK16&lt;INDEX(TABLAS!$C$52:$C$58,MATCH(BU16,TABLAS!$B$52:$B$58,0)),AND(BV16&gt;=2,(AC16-2*AK16-BV16*INDEX(TABLAS!$C$52:$C$58,MATCH(BU16,TABLAS!$B$52:$B$58,0)))/MAX(BV16-1,1)&lt;2*INDEX(TABLAS!$C$52:$C$58,MATCH(BU16,TABLAS!$B$52:$B$58,0)))),INDEX(TABLAS!$I$52:$I$58,MATCH(BU16,TABLAS!$B$52:$B$58,0)),INDEX(TABLAS!$F$52:$F$58,MATCH(BU16,TABLAS!$B$52:$B$58,0)))),5))))</f>
        <v/>
      </c>
      <c r="DC16" s="60" t="str">
        <f>IF(U16&lt;&gt;"SÍ","",IF(C16="VOLADO",0,IF(((4*((BC16*AQ16*X16^2*1E-4*DATOS!$C$83/100/1000)+((MAX(AY16,BA16)*AQ16*X16^2*1E-4*DATOS!$C$83/100/1000)+(IF(AND(AY16&gt;0,BA16&gt;0),MIN(AY16,BA16),MAX(AY16,BA16))*AQ16*X16^2*1E-4*DATOS!$C$83/100/1000))/2)+BI16-(IF(AND(AY16&gt;0,BA16&gt;0),MIN(AY16,BA16),MAX(AY16,BA16))*AQ16*X16^2*1E-4*DATOS!$C$83/100/1000))^2-16*((BC16*AQ16*X16^2*1E-4*DATOS!$C$83/100/1000)+((MAX(AY16,BA16)*AQ16*X16^2*1E-4*DATOS!$C$83/100/1000)+(IF(AND(AY16&gt;0,BA16&gt;0),MIN(AY16,BA16),MAX(AY16,BA16))*AQ16*X16^2*1E-4*DATOS!$C$83/100/1000))/2)*BI16)&lt;0,CEILING(AB16,5),CEILING(MAX(AB16*((4*((BC16*AQ16*X16^2*1E-4*DATOS!$C$83/100/1000)+((MAX(AY16,BA16)*AQ16*X16^2*1E-4*DATOS!$C$83/100/1000)+(IF(AND(AY16&gt;0,BA16&gt;0),MIN(AY16,BA16),MAX(AY16,BA16))*AQ16*X16^2*1E-4*DATOS!$C$83/100/1000))/2)+BI16-(IF(AND(AY16&gt;0,BA16&gt;0),MIN(AY16,BA16),MAX(AY16,BA16))*AQ16*X16^2*1E-4*DATOS!$C$83/100/1000))-SQRT(MAX(0,((4*((BC16*AQ16*X16^2*1E-4*DATOS!$C$83/100/1000)+((MAX(AY16,BA16)*AQ16*X16^2*1E-4*DATOS!$C$83/100/1000)+(IF(AND(AY16&gt;0,BA16&gt;0),MIN(AY16,BA16),MAX(AY16,BA16))*AQ16*X16^2*1E-4*DATOS!$C$83/100/1000))/2)+BI16-(IF(AND(AY16&gt;0,BA16&gt;0),MIN(AY16,BA16),MAX(AY16,BA16))*AQ16*X16^2*1E-4*DATOS!$C$83/100/1000))^2-16*((BC16*AQ16*X16^2*1E-4*DATOS!$C$83/100/1000)+((MAX(AY16,BA16)*AQ16*X16^2*1E-4*DATOS!$C$83/100/1000)+(IF(AND(AY16&gt;0,BA16&gt;0),MIN(AY16,BA16),MAX(AY16,BA16))*AQ16*X16^2*1E-4*DATOS!$C$83/100/1000))/2)*BI16))))/(8*MAX(((BC16*AQ16*X16^2*1E-4*DATOS!$C$83/100/1000)+((MAX(AY16,BA16)*AQ16*X16^2*1E-4*DATOS!$C$83/100/1000)+(IF(AND(AY16&gt;0,BA16&gt;0),MIN(AY16,BA16),MAX(AY16,BA16))*AQ16*X16^2*1E-4*DATOS!$C$83/100/1000))/2),1E-9))+MAX(CM16,12*INDEX(TABLAS!$C$52:$C$58,MATCH(CK16,TABLAS!$B$52:$B$58,0)),AB16/16),IF(OR(AK16&lt;INDEX(TABLAS!$C$52:$C$58,MATCH(CK16,TABLAS!$B$52:$B$58,0)),AND(CL16&gt;=2,(DATOS!$C$80-2*AK16-CL16*INDEX(TABLAS!$C$52:$C$58,MATCH(CK16,TABLAS!$B$52:$B$58,0)))/MAX(CL16-1,1)&lt;2*INDEX(TABLAS!$C$52:$C$58,MATCH(CK16,TABLAS!$B$52:$B$58,0)))),INDEX(TABLAS!$I$52:$I$58,MATCH(CK16,TABLAS!$B$52:$B$58,0)),INDEX(TABLAS!$F$52:$F$58,MATCH(CK16,TABLAS!$B$52:$B$58,0)))),5))))</f>
        <v/>
      </c>
      <c r="DD16" s="55" t="str">
        <f>IF(U16&lt;&gt;"SÍ","",IF(AND(C16="PERIMETRAL",BV16&gt;=2,AR16-AS16&gt;0,AZ16*AQ16*X16^2*1E-4*DATOS!$C$83/100/1000&gt;DATOS!$C$29*INDEX(TABLAS!$D$52:$D$58,MATCH(BU16,TABLAS!$B$52:$B$58,0))*DATOS!$C$14*(BW16-INDEX(TABLAS!$D$52:$D$58,MATCH(BU16,TABLAS!$B$52:$B$58,0))*DATOS!$C$14/(DATOS!$C$21*AE16)/2)/1E5),"SÍ","NO"))</f>
        <v/>
      </c>
      <c r="DE16" s="55" t="str">
        <f>IF(U16&lt;&gt;"SÍ","",IF(AND(C16="PERIMETRAL",CL16&gt;=2,AS16&gt;0,BA16*AQ16*X16^2*1E-4*DATOS!$C$83/100/1000&gt;DATOS!$C$29*INDEX(TABLAS!$D$52:$D$58,MATCH(CK16,TABLAS!$B$52:$B$58,0))*DATOS!$C$14*(CM16-INDEX(TABLAS!$D$52:$D$58,MATCH(CK16,TABLAS!$B$52:$B$58,0))*DATOS!$C$14/(DATOS!$C$21*AF16)/2)/1E5),"SÍ","NO"))</f>
        <v/>
      </c>
      <c r="DF16" s="63" t="str">
        <f>IF(U16&lt;&gt;"SÍ","",IF(OR(C16="VOLADO",AR16=0),"—",IF(AND(AND(1.25*INDEX(TABLAS!$G$52:$G$58,MATCH(MAX(BM16,CC16),TABLAS!$B$52:$B$58,0))&lt;=(DATOS!$C$72-DATOS!$C$60),(DATOS!$C$72-DATOS!$C$60)&gt;=15,INDEX(TABLAS!$G$52:$G$58,MATCH(MAX(BU16,CK16),TABLAS!$B$52:$B$58,0))&lt;=(DATOS!$C$72-DATOS!$C$60)),8*INDEX(TABLAS!$C$52:$C$58,MATCH(MAX(MAX(BM16,CC16),MAX(BU16,CK16)),TABLAS!$B$52:$B$58,0))&lt;=DATOS!$C$73-2*DATOS!$C$60),"CUMPLE (gancho de 180°)",IF(AND(1.25*INDEX(TABLAS!$G$52:$G$58,MATCH(MAX(BM16,CC16),TABLAS!$B$52:$B$58,0))&lt;=(DATOS!$C$72-DATOS!$C$60),(DATOS!$C$72-DATOS!$C$60)&gt;=15,INDEX(TABLAS!$G$52:$G$58,MATCH(MAX(BU16,CK16),TABLAS!$B$52:$B$58,0))&lt;=(DATOS!$C$72-DATOS!$C$60)),"NO CUMPLE: el gancho de 180° (8·d_b) no cabe en el peralte de la dala de borde","NO CUMPLE: dala de borde ≥ "&amp;TEXT(CEILING(MAX(1.25*INDEX(TABLAS!$G$52:$G$58,MATCH(MAX(BM16,CC16),TABLAS!$B$52:$B$58,0)),15,INDEX(TABLAS!$G$52:$G$58,MATCH(MAX(BU16,CK16),TABLAS!$B$52:$B$58,0)))+DATOS!$C$60,5),"0")&amp;" cm de ancho"&amp;IF(8*INDEX(TABLAS!$C$52:$C$58,MATCH(MAX(MAX(BM16,CC16),MAX(BU16,CK16)),TABLAS!$B$52:$B$58,0))&lt;=DATOS!$C$73-2*DATOS!$C$60,""," y más peralte para el gancho")))))</f>
        <v/>
      </c>
      <c r="DG16" s="59" t="str">
        <f>IF(U16&lt;&gt;"SÍ","",MAX(0,INT((E16*100-DATOS!$C$84+DATOS!$C$83-IF(W16="X",DATOS!$C$78,AD16))/DATOS!$C$83)))</f>
        <v/>
      </c>
      <c r="DH16" s="59" t="str">
        <f>IF(U16&lt;&gt;"SÍ","",MAX(0,INT((F16*100-DATOS!$C$84+DATOS!$C$83-IF(W16="Y",DATOS!$C$78,AD16))/DATOS!$C$83)))</f>
        <v/>
      </c>
      <c r="DI16" s="57" t="str">
        <f>IF(U16&lt;&gt;"SÍ","",IF(DG16&gt;0,(E16*100-DATOS!$C$84-(DG16*IF(W16="X",DATOS!$C$78,AD16)+(DG16-1)*(DATOS!$C$83-IF(W16="X",DATOS!$C$78,AD16))))/2,E16*100/2))</f>
        <v/>
      </c>
      <c r="DJ16" s="57" t="str">
        <f>IF(U16&lt;&gt;"SÍ","",IF(DH16&gt;0,(F16*100-DATOS!$C$84-(DH16*IF(W16="Y",DATOS!$C$78,AD16)+(DH16-1)*(DATOS!$C$83-IF(W16="Y",DATOS!$C$78,AD16))))/2,F16*100/2))</f>
        <v/>
      </c>
      <c r="DK16" s="59" t="str">
        <f>IF(U16&lt;&gt;"SÍ","",IF(NOT(AND(C16="VOLADO",AC16&gt;DATOS!$C$80)),0,IF(INDEX(TABLAS!$C$52:$C$58,MATCH(BU16,TABLAS!$B$52:$B$58,0))&lt;=DATOS!$C$80-2*DATOS!$C$60,1,0)))</f>
        <v/>
      </c>
      <c r="DL16" s="58" t="str">
        <f>IF(U16&lt;&gt;"SÍ","",IF(NOT(AND(C16="VOLADO",AC16&gt;DATOS!$C$80)),0,((DATOS!$C$82-MAX(DATOS!$C$60,(DATOS!$C$81-2*DATOS!$C$94)/2)-2*DATOS!$C$94-INDEX(TABLAS!$C$52:$C$58,MATCH(BU16,TABLAS!$B$52:$B$58,0))/2)-IF(AND((DATOS!$C$82-MAX(DATOS!$C$60,(DATOS!$C$81-2*DATOS!$C$94)/2)-2*DATOS!$C$94-INDEX(TABLAS!$C$52:$C$58,MATCH(BU16,TABLAS!$B$52:$B$58,0))/2)&lt;=20,DATOS!$C$62&lt;&gt;"SÍ"),2,0))))</f>
        <v/>
      </c>
      <c r="DM16" s="56" t="str">
        <f>IF(U16&lt;&gt;"SÍ","",IF(OR(NOT(AND(C16="VOLADO",AC16&gt;DATOS!$C$80)),DK16&lt;1),0,IF(0.003*(DL16-((DK16*INDEX(TABLAS!$D$52:$D$58,MATCH(BU16,TABLAS!$B$52:$B$58,0)))*DATOS!$C$14/(DATOS!$C$21*AF16)/DATOS!$C$22))/((DK16*INDEX(TABLAS!$D$52:$D$58,MATCH(BU16,TABLAS!$B$52:$B$58,0)))*DATOS!$C$14/(DATOS!$C$21*AF16)/DATOS!$C$22)&lt;0.005,0,DATOS!$C$29*(DK16*INDEX(TABLAS!$D$52:$D$58,MATCH(BU16,TABLAS!$B$52:$B$58,0)))*DATOS!$C$14*(DL16-(DK16*INDEX(TABLAS!$D$52:$D$58,MATCH(BU16,TABLAS!$B$52:$B$58,0)))*DATOS!$C$14/(DATOS!$C$21*AF16)/2)/1E5)))</f>
        <v/>
      </c>
      <c r="DN16" s="56" t="str">
        <f>IF(U16&lt;&gt;"SÍ","",IF(OR(NOT(AND(C16="VOLADO",AC16&gt;DATOS!$C$80)),DK16&lt;1),0,DATOS!$C$30*2*MIN(1,SQRT(2/(1+0.04*DL16)))*((DK16*INDEX(TABLAS!$D$52:$D$58,MATCH(BU16,TABLAS!$B$52:$B$58,0)))/(AF16*DL16))^(1/3)*SQRT(DATOS!$C$13)*AF16*DL16/1000))</f>
        <v/>
      </c>
      <c r="DO16" s="56" t="str">
        <f>IF(U16&lt;&gt;"SÍ","",IF(NOT(AND(C16="VOLADO",AC16&gt;DATOS!$C$80)),0,IF((BG16-DM16)&lt;=0,0,IF(DM16&lt;=0,IF(ISNUMBER(P16),P16,X16),IF(((0.9*DATOS!$C$87*DATOS!$C$83/100/1000)*IF(ISNUMBER(P16),P16,X16)/2+BG16/IF(ISNUMBER(P16),P16,X16))^2-4*((0.9*DATOS!$C$87*DATOS!$C$83/100/1000)/2)*(BG16-DM16)&lt;0,IF(ISNUMBER(P16),P16,X16),MIN(IF(ISNUMBER(P16),P16,X16),(((0.9*DATOS!$C$87*DATOS!$C$83/100/1000)*IF(ISNUMBER(P16),P16,X16)/2+BG16/IF(ISNUMBER(P16),P16,X16))-SQRT(((0.9*DATOS!$C$87*DATOS!$C$83/100/1000)*IF(ISNUMBER(P16),P16,X16)/2+BG16/IF(ISNUMBER(P16),P16,X16))^2-4*((0.9*DATOS!$C$87*DATOS!$C$83/100/1000)/2)*(BG16-DM16)))/(2*((0.9*DATOS!$C$87*DATOS!$C$83/100/1000)/2))))))))</f>
        <v/>
      </c>
      <c r="DP16" s="56" t="str">
        <f>IF(U16&lt;&gt;"SÍ","",IF(NOT(AND(C16="VOLADO",AC16&gt;DATOS!$C$80)),0,MIN(IF(ISNUMBER(P16),P16,X16),MAX(0,IF(ISNUMBER(P16),P16,X16)/2+BG16/IF(ISNUMBER(P16),P16,X16)/(AQ16*DATOS!$C$83/100/1000)-DN16/(AQ16*DATOS!$C$83/100/1000)))))</f>
        <v/>
      </c>
      <c r="DQ16" s="56" t="str">
        <f>IF(U16&lt;&gt;"SÍ","",IF(NOT(AND(C16="VOLADO",AC16&gt;DATOS!$C$80)),0,BG16/IF(ISNUMBER(P16),P16,X16)+(AQ16*DATOS!$C$83/100/1000)*MAX(0,IF(ISNUMBER(P16),P16,X16)/2-BW16/100)))</f>
        <v/>
      </c>
      <c r="DR16" s="59" t="str">
        <f>IF(U16&lt;&gt;"SÍ","",IF(NOT(AND(C16="VOLADO",AC16&gt;DATOS!$C$80)),0,CEILING(100*MIN(IF(ISNUMBER(P16),P16,X16),MAX(IF(DO16&gt;0,DO16+IF(BV16&gt;=2,MAX(DL16,12*INDEX(TABLAS!$C$52:$C$58,MATCH(BU16,TABLAS!$B$52:$B$58,0)))/100,0),0),DP16,IF(BV16&gt;=2,INDEX(TABLAS!$F$52:$F$58,MATCH(BU16,TABLAS!$B$52:$B$58,0))/100,0))),5)))</f>
        <v/>
      </c>
      <c r="DS16" s="60" t="str">
        <f>IF(U16&lt;&gt;"SÍ","",IF(NOT(AND(C16="VOLADO",AC16&gt;DATOS!$C$80)),0,IF(DR16&lt;=0,0,CEILING(DR16/DATOS!$C$83,1))))</f>
        <v/>
      </c>
      <c r="DT16" s="61" t="str">
        <f>IF(U16&lt;&gt;"SÍ","",IF(C16&lt;&gt;"VOLADO","—",IF(AC16&lt;=DATOS!$C$80,"— (mismo b_w que el respaldo)",IF(DQ16&gt;CR16,"NO CUMPLE: cortante de la nervadura ancha junto al apoyo ("&amp;TEXT(DQ16,"0.00")&amp;" &gt; "&amp;TEXT(CR16,"0.00")&amp;" t)",IF(DR16&gt;=100*IF(ISNUMBER(P16),P16,X16),"CUMPLE — todas las nervaduras del respaldo ‖ al volado con b_w = "&amp;AC16&amp;" cm","CUMPLE — "&amp;DS16&amp;" hilera(s) del respaldo con nervaduras de b_w = "&amp;AC16&amp;" cm (casetón "&amp;AD16&amp;" cm), hasta "&amp;TEXT(DR16/100,"0.00")&amp;" m del paño")))))</f>
        <v/>
      </c>
      <c r="DU16" s="69" t="str">
        <f>IF(U16&lt;&gt;"SÍ","",IF(BN16=0,"NO ALCANZA",BN16&amp;" No. "&amp;BM16&amp;IF(BN16&gt;1," corridas"," corrida")))</f>
        <v/>
      </c>
      <c r="DV16" s="69" t="str">
        <f>IF(U16&lt;&gt;"SÍ","",IF(BV16=0,"NO ALCANZA",IF(AND(C16="VOLADO",AC16&gt;DATOS!$C$80,BV16&gt;=2),"1 No. "&amp;BU16&amp;" corrida de la orilla al respaldo ("&amp;IF(DB16&gt;=100*IF(ISNUMBER(P16),P16,X16),"hasta su apoyo lejano, con gancho","entra "&amp;TEXT(DB16/100,"0.00")&amp;" m desde el paño")&amp;") + "&amp;(BV16-1)&amp;" bastón No. "&amp;BU16&amp;" hasta "&amp;TEXT(DR16/100,"0.00")&amp;" m del paño (fin de la nervadura ancha)",IF(C16="VOLADO",BV16&amp;" No. "&amp;BU16&amp;" de la orilla al respaldo ("&amp;IF(DB16&gt;=100*IF(ISNUMBER(P16),P16,X16),"hasta su apoyo lejano, con gancho","entran "&amp;TEXT(DB16/100,"0.00")&amp;" m desde el paño")&amp;")","1 No. "&amp;BU16&amp;" corrida"&amp;IF(BV16&gt;1," + "&amp;(BV16-1)&amp;" bastón No. "&amp;BU16&amp;" L = "&amp;TEXT(DB16/100,"0.00")&amp;" m desde el paño","")))))</f>
        <v/>
      </c>
      <c r="DW16" s="69" t="str">
        <f>IF(U16&lt;&gt;"SÍ","",IF(CD16=0,"NO ALCANZA",CD16&amp;" No. "&amp;CC16&amp;IF(CD16&gt;1," corridas"," corrida")))</f>
        <v/>
      </c>
      <c r="DX16" s="69" t="str">
        <f>IF(U16&lt;&gt;"SÍ","",IF(CL16=0,"NO ALCANZA",IF(C16="VOLADO","1 No. "&amp;CK16&amp;" corrida (repartición)","1 No. "&amp;CK16&amp;" corrida"&amp;IF(CL16&gt;1," + "&amp;(CL16-1)&amp;" bastón No. "&amp;CK16&amp;" L = "&amp;TEXT(DC16/100,"0.00")&amp;" m desde el paño",""))))</f>
        <v/>
      </c>
      <c r="DY16" s="67" t="str">
        <f>IF(B16="","",IF(U16&lt;&gt;"SÍ","FALTAN DATOS: tipo, a_x, a_y y destino",IF(L16="NO MONOLÍTICO (caso II)","FUERA DE ALCANCE: caso II no transcrito",IF(AND(C16="VOLADO",V16="?"),"REVISAR: el volado lleva UN solo borde CONTINUO (el empotrado)",IF(AND(MAX(BQ16,BY16,CG16,CO16)&lt;=1,NOT(OR(BN16&gt;MIN(DATOS!$C$70,INT(((AC16-2*AJ16)+MAX(DATOS!$C$67,INDEX(TABLAS!$C$52:$C$58,MATCH(BM16,TABLAS!$B$52:$B$58,0))))/(INDEX(TABLAS!$C$52:$C$58,MATCH(BM16,TABLAS!$B$52:$B$58,0))+MAX(DATOS!$C$67,INDEX(TABLAS!$C$52:$C$58,MATCH(BM16,TABLAS!$B$52:$B$58,0)))))),BV16&gt;MIN(DATOS!$C$70,INT(((AC16-2*AK16)+MAX(DATOS!$C$67,INDEX(TABLAS!$C$52:$C$58,MATCH(BU16,TABLAS!$B$52:$B$58,0))))/(INDEX(TABLAS!$C$52:$C$58,MATCH(BU16,TABLAS!$B$52:$B$58,0))+MAX(DATOS!$C$67,INDEX(TABLAS!$C$52:$C$58,MATCH(BU16,TABLAS!$B$52:$B$58,0)))))),CD16&gt;MIN(DATOS!$C$70,INT(((DATOS!$C$80-2*AJ16)+MAX(DATOS!$C$67,INDEX(TABLAS!$C$52:$C$58,MATCH(CC16,TABLAS!$B$52:$B$58,0))))/(INDEX(TABLAS!$C$52:$C$58,MATCH(CC16,TABLAS!$B$52:$B$58,0))+MAX(DATOS!$C$67,INDEX(TABLAS!$C$52:$C$58,MATCH(CC16,TABLAS!$B$52:$B$58,0)))))),CL16&gt;MIN(DATOS!$C$70,INT(((DATOS!$C$80-2*AK16)+MAX(DATOS!$C$67,INDEX(TABLAS!$C$52:$C$58,MATCH(CK16,TABLAS!$B$52:$B$58,0))))/(INDEX(TABLAS!$C$52:$C$58,MATCH(CK16,TABLAS!$B$52:$B$58,0))+MAX(DATOS!$C$67,INDEX(TABLAS!$C$52:$C$58,MATCH(CK16,TABLAS!$B$52:$B$58,0)))))))),NOT(OR(AND(ISNUMBER(BR16),BR16&lt;0.005),AND(ISNUMBER(BZ16),BZ16&lt;0.005),AND(ISNUMBER(CH16),CH16&lt;0.005),AND(ISNUMBER(CP16),CP16&lt;0.005))),NOT(LEFT(DT16,2)="NO"),CZ16="CUMPLE",DA16="CUMPLE",LEFT(CT16,2)&lt;&gt;"NO"),IF(LEFT(CT16,6)="CUMPLE","CUMPLE","CUMPLE — "&amp;CT16)&amp;IF(LEFT(BJ16,5)="FUERA"," · fuera de 3.4.2.1 c)","")&amp;IF(LEFT(DF16,2)="NO"," · REVISAR anclaje en borde discontinuo","")&amp;IF(DS16&gt;0," · respaldo: "&amp;DS16&amp;" hilera(s) de b_w "&amp;AC16&amp;" cm",""),IF(AND(MAX(BQ16,BY16,CG16,CO16)&lt;=1,NOT(OR(BN16&gt;MIN(DATOS!$C$70,INT(((AC16-2*AJ16)+MAX(DATOS!$C$67,INDEX(TABLAS!$C$52:$C$58,MATCH(BM16,TABLAS!$B$52:$B$58,0))))/(INDEX(TABLAS!$C$52:$C$58,MATCH(BM16,TABLAS!$B$52:$B$58,0))+MAX(DATOS!$C$67,INDEX(TABLAS!$C$52:$C$58,MATCH(BM16,TABLAS!$B$52:$B$58,0)))))),BV16&gt;MIN(DATOS!$C$70,INT(((AC16-2*AK16)+MAX(DATOS!$C$67,INDEX(TABLAS!$C$52:$C$58,MATCH(BU16,TABLAS!$B$52:$B$58,0))))/(INDEX(TABLAS!$C$52:$C$58,MATCH(BU16,TABLAS!$B$52:$B$58,0))+MAX(DATOS!$C$67,INDEX(TABLAS!$C$52:$C$58,MATCH(BU16,TABLAS!$B$52:$B$58,0)))))),CD16&gt;MIN(DATOS!$C$70,INT(((DATOS!$C$80-2*AJ16)+MAX(DATOS!$C$67,INDEX(TABLAS!$C$52:$C$58,MATCH(CC16,TABLAS!$B$52:$B$58,0))))/(INDEX(TABLAS!$C$52:$C$58,MATCH(CC16,TABLAS!$B$52:$B$58,0))+MAX(DATOS!$C$67,INDEX(TABLAS!$C$52:$C$58,MATCH(CC16,TABLAS!$B$52:$B$58,0)))))),CL16&gt;MIN(DATOS!$C$70,INT(((DATOS!$C$80-2*AK16)+MAX(DATOS!$C$67,INDEX(TABLAS!$C$52:$C$58,MATCH(CK16,TABLAS!$B$52:$B$58,0))))/(INDEX(TABLAS!$C$52:$C$58,MATCH(CK16,TABLAS!$B$52:$B$58,0))+MAX(DATOS!$C$67,INDEX(TABLAS!$C$52:$C$58,MATCH(CK16,TABLAS!$B$52:$B$58,0)))))))),NOT(OR(AND(ISNUMBER(BR16),BR16&lt;0.005),AND(ISNUMBER(BZ16),BZ16&lt;0.005),AND(ISNUMBER(CH16),CH16&lt;0.005),AND(ISNUMBER(CP16),CP16&lt;0.005))),NOT(LEFT(DT16,2)="NO"),CZ16="CALCULAR FLECHA",LEFT(CT16,2)&lt;&gt;"NO"),"REVISAR: calcular flecha (h_eq &lt; h mín.)"&amp;IF(LEFT(BJ16,5)="FUERA"," · fuera de 3.4.2.1 c)","")&amp;IF(LEFT(DF16,2)="NO"," · REVISAR anclaje en borde discontinuo","")&amp;IF(DS16&gt;0," · respaldo: "&amp;DS16&amp;" hilera(s) de b_w "&amp;AC16&amp;" cm",""),"NO CUMPLE: "&amp;IF(MAX(BQ16,BY16,CG16,CO16)&gt;1,"flexión ","")&amp;IF(OR(BN16&gt;MIN(DATOS!$C$70,INT(((AC16-2*AJ16)+MAX(DATOS!$C$67,INDEX(TABLAS!$C$52:$C$58,MATCH(BM16,TABLAS!$B$52:$B$58,0))))/(INDEX(TABLAS!$C$52:$C$58,MATCH(BM16,TABLAS!$B$52:$B$58,0))+MAX(DATOS!$C$67,INDEX(TABLAS!$C$52:$C$58,MATCH(BM16,TABLAS!$B$52:$B$58,0)))))),BV16&gt;MIN(DATOS!$C$70,INT(((AC16-2*AK16)+MAX(DATOS!$C$67,INDEX(TABLAS!$C$52:$C$58,MATCH(BU16,TABLAS!$B$52:$B$58,0))))/(INDEX(TABLAS!$C$52:$C$58,MATCH(BU16,TABLAS!$B$52:$B$58,0))+MAX(DATOS!$C$67,INDEX(TABLAS!$C$52:$C$58,MATCH(BU16,TABLAS!$B$52:$B$58,0)))))),CD16&gt;MIN(DATOS!$C$70,INT(((DATOS!$C$80-2*AJ16)+MAX(DATOS!$C$67,INDEX(TABLAS!$C$52:$C$58,MATCH(CC16,TABLAS!$B$52:$B$58,0))))/(INDEX(TABLAS!$C$52:$C$58,MATCH(CC16,TABLAS!$B$52:$B$58,0))+MAX(DATOS!$C$67,INDEX(TABLAS!$C$52:$C$58,MATCH(CC16,TABLAS!$B$52:$B$58,0)))))),CL16&gt;MIN(DATOS!$C$70,INT(((DATOS!$C$80-2*AK16)+MAX(DATOS!$C$67,INDEX(TABLAS!$C$52:$C$58,MATCH(CK16,TABLAS!$B$52:$B$58,0))))/(INDEX(TABLAS!$C$52:$C$58,MATCH(CK16,TABLAS!$B$52:$B$58,0))+MAX(DATOS!$C$67,INDEX(TABLAS!$C$52:$C$58,MATCH(CK16,TABLAS!$B$52:$B$58,0))))))),"no caben ","")&amp;IF(OR(AND(ISNUMBER(BR16),BR16&lt;0.005),AND(ISNUMBER(BZ16),BZ16&lt;0.005),AND(ISNUMBER(CH16),CH16&lt;0.005),AND(ISNUMBER(CP16),CP16&lt;0.005)),"ε_t &lt; 0.005 ","")&amp;IF(LEFT(CT16,2)="NO","cortante ","")&amp;IF(CZ16="NO CUMPLE","peralte ","")&amp;IF(DA16&lt;&gt;"CUMPLE","capa &lt; 6 cm ","")&amp;IF(LEFT(DT16,2)="NO","respaldo del volado","")))))))</f>
        <v/>
      </c>
      <c r="DZ16" s="70" t="str">
        <f>IF(U16&lt;&gt;"SÍ","",IF(LEFT(B16,7)="EJEMPLO","EJEMPLO de la hoja de Casa Rocha: bórralo o sobrescríbelo. ","")&amp;IF(AND(C16="PERIMETRAL",MIN(DG16,DH16)=0),"No cabe un casetón en el claro corto: es un tablero macizo, diséñalo en MACIZAS. ","")&amp;IF(AND(AI16="NO",C16="PERIMETRAL"),"No cumple 6.7.8.1.4 (a_c = "&amp;MAX(DATOS!$C$78,AD16)&amp;" cm &gt; claro corto/6 = "&amp;TEXT(X16*100/6,"0")&amp;" cm): se diseña como losa apoyada en vigas (6.7.8.1.9): r de viga = "&amp;DATOS!$C$60&amp;" cm y V_cR sin ×1.1. Para que cuente como encasetonada: casetón de "&amp;TEXT(FLOOR(MIN(80,X16*100/6),1),"0")&amp;" cm o menor. ","")&amp;IF(C16="VOLADO","Volado de "&amp;TEXT(X16,"0.00")&amp;" m empotrado en el borde "&amp;LOWER(V16)&amp;IF(N(O16)&gt;0,", con "&amp;TEXT(O16,"0.0")&amp;" kg/m en la orilla","")&amp;". Lecho inferior con r_ext. Si la orilla carga pretil u otro elemento frágil, calcula la flecha (13.4). El acero superior entra al respaldo de "&amp;TEXT(IF(ISNUMBER(P16),P16,X16),"0.00")&amp;" m"&amp;IF(ISNUMBER(P16),""," (L_b no capturado: se tomó igual al volado)")&amp;" hasta pasar M = 0 con 0.9·PP sin carga viva; si ahí no se anula, llega al apoyo lejano y se ancla con gancho (NTC-Criterios 3.4.1 c y 5.1.2.2). "&amp;IF(AC16&gt;DATOS!$C$80,"Respaldo: "&amp;DT16&amp;". ",""),"")&amp;IF(LEFT(BJ16,5)="FUERA","El M⁻ del vecino difiere más de 50 % (3.4.2.1 c): distribuye el desequilibrio (3.4.3.1) o confirma con un modelo; se arma con el mayor. ","")&amp;IF(OR(DD16="SÍ",DE16="SÍ"),"El M⁻ del borde discontinuo pide bastón también ahí (con gancho). ","")&amp;IF(LEFT(DF16,2)="NO","Anclaje: "&amp;DF16&amp;" (6.7.8.1.7). ","")&amp;IF(OR(AZ16&gt;0,BA16&gt;0),"Esquinas exteriores sobre muro: refuerzo de esquina arriba y abajo en L_largo/5 (6.7.7.3.1). ",""))</f>
        <v/>
      </c>
    </row>
    <row r="17" ht="33" customHeight="1">
      <c r="A17" s="50">
        <f>IF(B17="",0,1)+A16</f>
        <v>4</v>
      </c>
      <c r="B17" s="29" t="n"/>
      <c r="C17" s="51" t="n"/>
      <c r="D17" s="29" t="n"/>
      <c r="E17" s="52" t="n"/>
      <c r="F17" s="52" t="n"/>
      <c r="G17" s="51" t="n"/>
      <c r="H17" s="51" t="n"/>
      <c r="I17" s="51" t="n"/>
      <c r="J17" s="51" t="n"/>
      <c r="K17" s="51" t="n"/>
      <c r="L17" s="51" t="n"/>
      <c r="M17" s="53" t="n"/>
      <c r="N17" s="53" t="n"/>
      <c r="O17" s="54" t="n"/>
      <c r="P17" s="52" t="n"/>
      <c r="Q17" s="53" t="n"/>
      <c r="R17" s="54" t="n"/>
      <c r="S17" s="52" t="n"/>
      <c r="T17" s="52" t="n"/>
      <c r="U17" s="55" t="str">
        <f>IF(B17="","",IF(AND(OR(C17="PERIMETRAL",C17="VOLADO"),ISNUMBER(E17),ISNUMBER(F17),E17&gt;0,F17&gt;0,OR(ISNUMBER(N17),ISNUMBER(MATCH(D17,DATOS!$B$46:$B$55,0)))),"SÍ","NO"))</f>
        <v/>
      </c>
      <c r="V17" s="55" t="str">
        <f>IF(U17&lt;&gt;"SÍ","",IF(C17&lt;&gt;"VOLADO","—",IF(COUNTIF(G17:J17,"CONTINUO")&lt;&gt;1,"?",IF(G17="CONTINUO","INFERIOR",IF(H17="CONTINUO","SUPERIOR",IF(I17="CONTINUO","IZQUIERDO","DERECHO"))))))</f>
        <v/>
      </c>
      <c r="W17" s="55" t="str">
        <f>IF(U17&lt;&gt;"SÍ","",IF(C17="VOLADO",IF(OR(V17="IZQUIERDO",V17="DERECHO"),"X","Y"),IF(E17&lt;=F17,"X","Y")))</f>
        <v/>
      </c>
      <c r="X17" s="56" t="str">
        <f>IF(U17&lt;&gt;"SÍ","",IF(C17="VOLADO",IF(W17="X",E17,F17),MIN(E17,F17)))</f>
        <v/>
      </c>
      <c r="Y17" s="56" t="str">
        <f>IF(U17&lt;&gt;"SÍ","",IF(C17="VOLADO",IF(W17="X",F17,E17),MAX(E17,F17)))</f>
        <v/>
      </c>
      <c r="Z17" s="56" t="str">
        <f>IF(U17&lt;&gt;"SÍ","",MIN(X17,Y17)/MAX(X17,Y17))</f>
        <v/>
      </c>
      <c r="AA17" s="57" t="str">
        <f>IF(U17&lt;&gt;"SÍ","",MAX(1,X17*100-IF(C17="VOLADO",DATOS!$C$84/2,DATOS!$C$84)))</f>
        <v/>
      </c>
      <c r="AB17" s="57" t="str">
        <f>IF(U17&lt;&gt;"SÍ","",MAX(1,Y17*100-DATOS!$C$84))</f>
        <v/>
      </c>
      <c r="AC17" s="57" t="str">
        <f>IF(U17&lt;&gt;"SÍ","",IF(ISNUMBER(Q17),Q17,DATOS!$C$80))</f>
        <v/>
      </c>
      <c r="AD17" s="57" t="str">
        <f>IF(U17&lt;&gt;"SÍ","",MAX(0,DATOS!$C$83-AC17))</f>
        <v/>
      </c>
      <c r="AE17" s="57" t="str">
        <f>IF(U17&lt;&gt;"SÍ","",IF(OR(DATOS!$C$62="SÍ",AC17&gt;=20),AC17,AC17-2))</f>
        <v/>
      </c>
      <c r="AF17" s="57" t="str">
        <f>IF(U17&lt;&gt;"SÍ","",IF(OR(DATOS!$C$62="SÍ",DATOS!$C$80&gt;=20),DATOS!$C$80,DATOS!$C$80-2))</f>
        <v/>
      </c>
      <c r="AG17" s="57" t="str">
        <f>IF(U17&lt;&gt;"SÍ","",MIN(DATOS!$C$83,AC17+2*MIN(8*DATOS!$C$81,AD17/2,AA17/8)))</f>
        <v/>
      </c>
      <c r="AH17" s="57" t="str">
        <f>IF(U17&lt;&gt;"SÍ","",MIN(DATOS!$C$83,DATOS!$C$80+2*MIN(8*DATOS!$C$81,DATOS!$C$78/2,AB17/8)))</f>
        <v/>
      </c>
      <c r="AI17" s="55" t="str">
        <f>IF(U17&lt;&gt;"SÍ","",IF(AND(C17="PERIMETRAL",X17*100&gt;=6*MAX(DATOS!$C$78,AD17),MAX(DATOS!$C$78,AD17)&lt;=80,MIN(DATOS!$C$80,AC17)&gt;=10,DATOS!$C$82&lt;=3.5*MIN(DATOS!$C$80,AC17),DATOS!$C$81&gt;=MAX(MAX(DATOS!$C$78,AD17)/13,5)),"SÍ","NO"))</f>
        <v/>
      </c>
      <c r="AJ17" s="57" t="str">
        <f>IF(U17&lt;&gt;"SÍ","",IF(C17="VOLADO",DATOS!$C$61,IF(AI17="NO",DATOS!$C$60,DATOS!$C$59)))</f>
        <v/>
      </c>
      <c r="AK17" s="57" t="str">
        <f>IF(U17&lt;&gt;"SÍ","",IF(OR(AND(AM17="SÍ",DATOS!$C$63="SÍ"),AND(C17="VOLADO",DATOS!$C$64="SÍ")),DATOS!$C$61,IF(AI17="NO",DATOS!$C$60,DATOS!$C$59)))</f>
        <v/>
      </c>
      <c r="AL17" s="58" t="str">
        <f>IF(U17&lt;&gt;"SÍ","",MAX(AK17,(DATOS!$C$81-2*DATOS!$C$94)/2))</f>
        <v/>
      </c>
      <c r="AM17" s="55" t="str">
        <f>IF(U17&lt;&gt;"SÍ","",IFERROR(INDEX(DATOS!$D$46:$D$55,MATCH(D17,DATOS!$B$46:$B$55,0)),"NO"))</f>
        <v/>
      </c>
      <c r="AN17" s="59" t="str">
        <f>IF(U17&lt;&gt;"SÍ","",IF(ISNUMBER(N17),N17,IFERROR(INDEX(DATOS!$C$46:$C$55,MATCH(D17,DATOS!$B$46:$B$55,0)),0)))</f>
        <v/>
      </c>
      <c r="AO17" s="59" t="str">
        <f>IF(U17&lt;&gt;"SÍ","",(DATOS!$C$82/100-(AD17*DATOS!$C$78/DATOS!$C$83^2)*DATOS!$C$79/100)*DATOS!$C$16*1000+(AD17*DATOS!$C$78/DATOS!$C$83^2)*DATOS!$C$79/100*DATOS!$C$17*1000+DATOS!$C$37+DATOS!$C$38)</f>
        <v/>
      </c>
      <c r="AP17" s="59" t="str">
        <f>IF(U17&lt;&gt;"SÍ","",AO17+N(M17))</f>
        <v/>
      </c>
      <c r="AQ17" s="60" t="str">
        <f>IF(U17&lt;&gt;"SÍ","",MAX(DATOS!$C$26*AP17+DATOS!$C$27*AN17,IF(AM17="SÍ",DATOS!$C$28*(AP17+DATOS!$C$41),0)))</f>
        <v/>
      </c>
      <c r="AR17" s="59" t="str">
        <f>IF(U17&lt;&gt;"SÍ","",(G17="DISCONTINUO")+(H17="DISCONTINUO")+(I17="DISCONTINUO")+(J17="DISCONTINUO"))</f>
        <v/>
      </c>
      <c r="AS17" s="59" t="str">
        <f>IF(U17&lt;&gt;"SÍ","",IF(W17="X",(G17="DISCONTINUO")+(H17="DISCONTINUO"),(I17="DISCONTINUO")+(J17="DISCONTINUO")))</f>
        <v/>
      </c>
      <c r="AT17" s="55" t="str">
        <f>IF(U17&lt;&gt;"SÍ","",IF(AR17=0,"INTERIOR",IF(AR17=1,IF(AS17=1,"BORDE-CORTO","BORDE-LARGO"),IF(AR17=2,IF(AS17=1,"ESQUINA",IF(AS17=2,"EXTREMO-LARGO","EXTREMO-CORTO")),IF(AR17=3,IF(AS17=2,"EXTREMO-LARGO","EXTREMO-CORTO"),"AISLADO")))))</f>
        <v/>
      </c>
      <c r="AU17" s="61" t="str">
        <f>IF(U17&lt;&gt;"SÍ","",IF(OR(K17="",K17="AUTO"),AT17,K17))</f>
        <v/>
      </c>
      <c r="AV17" s="59" t="str">
        <f>IF(U17&lt;&gt;"SÍ","",MATCH(Z17,TABLAS!$D$5:$J$5,1))</f>
        <v/>
      </c>
      <c r="AW17" s="58" t="str">
        <f>IF(U17&lt;&gt;"SÍ","",IF(AV17&gt;=7,0,(Z17-INDEX(TABLAS!$D$5:$J$5,AV17))/(INDEX(TABLAS!$D$5:$J$5,AV17+1)-INDEX(TABLAS!$D$5:$J$5,AV17))))</f>
        <v/>
      </c>
      <c r="AX17" s="59" t="str">
        <f>IF(U17&lt;&gt;"SÍ","",INDEX(TABLAS!$D$6:$J$47,MATCH(AU17&amp;"|NIC",TABLAS!$B$6:$B$47,0),AV17)+AW17*(INDEX(TABLAS!$D$6:$J$47,MATCH(AU17&amp;"|NIC",TABLAS!$B$6:$B$47,0),MIN(AV17+1,7))-INDEX(TABLAS!$D$6:$J$47,MATCH(AU17&amp;"|NIC",TABLAS!$B$6:$B$47,0),AV17)))</f>
        <v/>
      </c>
      <c r="AY17" s="59" t="str">
        <f>IF(U17&lt;&gt;"SÍ","",INDEX(TABLAS!$D$6:$J$47,MATCH(AU17&amp;"|NIL",TABLAS!$B$6:$B$47,0),AV17)+AW17*(INDEX(TABLAS!$D$6:$J$47,MATCH(AU17&amp;"|NIL",TABLAS!$B$6:$B$47,0),MIN(AV17+1,7))-INDEX(TABLAS!$D$6:$J$47,MATCH(AU17&amp;"|NIL",TABLAS!$B$6:$B$47,0),AV17)))</f>
        <v/>
      </c>
      <c r="AZ17" s="59" t="str">
        <f>IF(U17&lt;&gt;"SÍ","",INDEX(TABLAS!$D$6:$J$47,MATCH(AU17&amp;"|NDC",TABLAS!$B$6:$B$47,0),AV17)+AW17*(INDEX(TABLAS!$D$6:$J$47,MATCH(AU17&amp;"|NDC",TABLAS!$B$6:$B$47,0),MIN(AV17+1,7))-INDEX(TABLAS!$D$6:$J$47,MATCH(AU17&amp;"|NDC",TABLAS!$B$6:$B$47,0),AV17)))</f>
        <v/>
      </c>
      <c r="BA17" s="59" t="str">
        <f>IF(U17&lt;&gt;"SÍ","",INDEX(TABLAS!$D$6:$J$47,MATCH(AU17&amp;"|NDL",TABLAS!$B$6:$B$47,0),AV17)+AW17*(INDEX(TABLAS!$D$6:$J$47,MATCH(AU17&amp;"|NDL",TABLAS!$B$6:$B$47,0),MIN(AV17+1,7))-INDEX(TABLAS!$D$6:$J$47,MATCH(AU17&amp;"|NDL",TABLAS!$B$6:$B$47,0),AV17)))</f>
        <v/>
      </c>
      <c r="BB17" s="59" t="str">
        <f>IF(U17&lt;&gt;"SÍ","",INDEX(TABLAS!$D$6:$J$47,MATCH(AU17&amp;"|PC",TABLAS!$B$6:$B$47,0),AV17)+AW17*(INDEX(TABLAS!$D$6:$J$47,MATCH(AU17&amp;"|PC",TABLAS!$B$6:$B$47,0),MIN(AV17+1,7))-INDEX(TABLAS!$D$6:$J$47,MATCH(AU17&amp;"|PC",TABLAS!$B$6:$B$47,0),AV17)))</f>
        <v/>
      </c>
      <c r="BC17" s="59" t="str">
        <f>IF(U17&lt;&gt;"SÍ","",INDEX(TABLAS!$D$6:$J$47,MATCH(AU17&amp;"|PL",TABLAS!$B$6:$B$47,0),AV17)+AW17*(INDEX(TABLAS!$D$6:$J$47,MATCH(AU17&amp;"|PL",TABLAS!$B$6:$B$47,0),MIN(AV17+1,7))-INDEX(TABLAS!$D$6:$J$47,MATCH(AU17&amp;"|PL",TABLAS!$B$6:$B$47,0),AV17)))</f>
        <v/>
      </c>
      <c r="BD17" s="56" t="str">
        <f>IF(U17&lt;&gt;"SÍ","",IF(C17&lt;&gt;"VOLADO",0,DATOS!$C$26*DATOS!$C$16*DATOS!$C$83/100*(((AD17*DATOS!$C$78/DATOS!$C$83^2)*DATOS!$C$79/100)*(IF(W17="X",DI17,DJ17)+DATOS!$C$84/2)/100*(AA17-(IF(W17="X",DI17,DJ17)+DATOS!$C$84/2)/2)/100+((AD17*DATOS!$C$78/DATOS!$C$83^2)*DATOS!$C$79/100)*IF(W17="X",DI17,DJ17)/100*IF(W17="X",DI17,DJ17)/200)))</f>
        <v/>
      </c>
      <c r="BE17" s="56" t="str">
        <f>IF(U17&lt;&gt;"SÍ","",IF(C17&lt;&gt;"VOLADO",0,DATOS!$C$26*DATOS!$C$16*DATOS!$C$83/100*((AD17*DATOS!$C$78/DATOS!$C$83^2)*DATOS!$C$79/100)*(IF(W17="X",DI17,DJ17)+DATOS!$C$84/2)/100))</f>
        <v/>
      </c>
      <c r="BF17" s="56" t="str">
        <f>IF(U17&lt;&gt;"SÍ","",IF(C17="PERIMETRAL",BB17*AQ17*X17^2*1E-4*DATOS!$C$83/100/1000,0))</f>
        <v/>
      </c>
      <c r="BG17" s="62" t="str">
        <f>IF(U17&lt;&gt;"SÍ","",IF(C17="PERIMETRAL",MAX(MAX(AX17,AZ17)*AQ17*X17^2*1E-4*DATOS!$C$83/100/1000,N(S17)),(AQ17*(AA17/100)^2/2+DATOS!$C$26*N(O17)*AA17/100)*DATOS!$C$83/100/1000+BD17))</f>
        <v/>
      </c>
      <c r="BH17" s="56" t="str">
        <f>IF(U17&lt;&gt;"SÍ","",IF(C17="PERIMETRAL",BC17*AQ17*X17^2*1E-4*DATOS!$C$83/100/1000,0))</f>
        <v/>
      </c>
      <c r="BI17" s="56" t="str">
        <f>IF(U17&lt;&gt;"SÍ","",IF(C17="PERIMETRAL",MAX(MAX(AY17,BA17)*AQ17*X17^2*1E-4*DATOS!$C$83/100/1000,N(T17)),0))</f>
        <v/>
      </c>
      <c r="BJ17" s="63" t="str">
        <f>IF(U17&lt;&gt;"SÍ","",IF(C17&lt;&gt;"PERIMETRAL","—",IF(AND(N(S17)=0,N(T17)=0),"— (sin M⁻ del vecino)",IF(OR(AND(N(S17)&gt;0,ABS(MAX(AX17,AZ17)*AQ17*X17^2*1E-4*DATOS!$C$83/100/1000-N(S17))&gt;0.5*MIN(MAX(AX17,AZ17)*AQ17*X17^2*1E-4*DATOS!$C$83/100/1000,N(S17))),AND(N(T17)&gt;0,ABS(MAX(AY17,BA17)*AQ17*X17^2*1E-4*DATOS!$C$83/100/1000-N(T17))&gt;0.5*MIN(MAX(AY17,BA17)*AQ17*X17^2*1E-4*DATOS!$C$83/100/1000,N(T17)))),"FUERA: difieren &gt; 50 %"&amp;IF(AND(N(S17)&gt;0,ABS(MAX(AX17,AZ17)*AQ17*X17^2*1E-4*DATOS!$C$83/100/1000-N(S17))&gt;0.5*MIN(MAX(AX17,AZ17)*AQ17*X17^2*1E-4*DATOS!$C$83/100/1000,N(S17)))," ‖ corto","")&amp;IF(AND(N(T17)&gt;0,ABS(MAX(AY17,BA17)*AQ17*X17^2*1E-4*DATOS!$C$83/100/1000-N(T17))&gt;0.5*MIN(MAX(AY17,BA17)*AQ17*X17^2*1E-4*DATOS!$C$83/100/1000,N(T17)))," ‖ largo",""),"CUMPLE"))))</f>
        <v/>
      </c>
      <c r="BK17" s="58" t="str">
        <f>IF(U17&lt;&gt;"SÍ","",(DATOS!$C$82-AJ17-INDEX(TABLAS!$C$52:$C$58,MATCH(DATOS!$C$68,TABLAS!$B$52:$B$58,0))/2))</f>
        <v/>
      </c>
      <c r="BL17" s="58" t="str">
        <f>IF(U17&lt;&gt;"SÍ","",IF(IF(BF17&lt;=0,0,IF((1-2*BF17*1E5/(DATOS!$C$29*AG17*BK17^2*DATOS!$C$21))&lt;0,-1,IF((1-SQRT((1-2*BF17*1E5/(DATOS!$C$29*AG17*BK17^2*DATOS!$C$21))))*DATOS!$C$21*AG17*BK17/DATOS!$C$14&gt;DATOS!$C$99*AG17*BK17,-1,(1-SQRT((1-2*BF17*1E5/(DATOS!$C$29*AG17*BK17^2*DATOS!$C$21))))*DATOS!$C$21*AG17*BK17/DATOS!$C$14)))&lt;0,-1,MAX(IF(BF17&lt;=0,0,IF((1-2*BF17*1E5/(DATOS!$C$29*AG17*BK17^2*DATOS!$C$21))&lt;0,-1,IF((1-SQRT((1-2*BF17*1E5/(DATOS!$C$29*AG17*BK17^2*DATOS!$C$21))))*DATOS!$C$21*AG17*BK17/DATOS!$C$14&gt;DATOS!$C$99*AG17*BK17,-1,(1-SQRT((1-2*BF17*1E5/(DATOS!$C$29*AG17*BK17^2*DATOS!$C$21))))*DATOS!$C$21*AG17*BK17/DATOS!$C$14))),MIN(DATOS!$C$100*AC17*BK17,4/3*IF(BF17&lt;=0,0,IF((1-2*BF17*1E5/(DATOS!$C$29*AG17*BK17^2*DATOS!$C$21))&lt;0,-1,IF((1-SQRT((1-2*BF17*1E5/(DATOS!$C$29*AG17*BK17^2*DATOS!$C$21))))*DATOS!$C$21*AG17*BK17/DATOS!$C$14&gt;DATOS!$C$99*AG17*BK17,-1,(1-SQRT((1-2*BF17*1E5/(DATOS!$C$29*AG17*BK17^2*DATOS!$C$21))))*DATOS!$C$21*AG17*BK17/DATOS!$C$14)))))))</f>
        <v/>
      </c>
      <c r="BM17" s="64" t="str">
        <f>IF(U17&lt;&gt;"SÍ","",IF(AND(BL17&gt;=0,IF(MAX(DATOS!$C$71,CEILING(BL17/INDEX(TABLAS!$D$52:$D$58,MIN(MATCH(DATOS!$C$68,TABLAS!$B$52:$B$58,0)+0,7)),1))*INDEX(TABLAS!$D$52:$D$58,MIN(MATCH(DATOS!$C$68,TABLAS!$B$52:$B$58,0)+0,7))&gt;=4/3*IF(BF17&lt;=0,0,IF((1-2*BF17*1E5/(DATOS!$C$29*AG17*BK17^2*DATOS!$C$21))&lt;0,-1,IF((1-SQRT((1-2*BF17*1E5/(DATOS!$C$29*AG17*BK17^2*DATOS!$C$21))))*DATOS!$C$21*AG17*BK17/DATOS!$C$14&gt;DATOS!$C$99*AG17*BK17,-1,(1-SQRT((1-2*BF17*1E5/(DATOS!$C$29*AG17*BK17^2*DATOS!$C$21))))*DATOS!$C$21*AG17*BK17/DATOS!$C$14)))-0.0001,MAX(DATOS!$C$71,CEILING(BL17/INDEX(TABLAS!$D$52:$D$58,MIN(MATCH(DATOS!$C$68,TABLAS!$B$52:$B$58,0)+0,7)),1)),MAX(MAX(DATOS!$C$71,CEILING(BL17/INDEX(TABLAS!$D$52:$D$58,MIN(MATCH(DATOS!$C$68,TABLAS!$B$52:$B$58,0)+0,7)),1)),2))&lt;=MIN(DATOS!$C$70,INT(((AC17-2*AJ17)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17&gt;=0,IF(MAX(DATOS!$C$71,CEILING(BL17/INDEX(TABLAS!$D$52:$D$58,MIN(MATCH(DATOS!$C$68,TABLAS!$B$52:$B$58,0)+1,7)),1))*INDEX(TABLAS!$D$52:$D$58,MIN(MATCH(DATOS!$C$68,TABLAS!$B$52:$B$58,0)+1,7))&gt;=4/3*IF(BF17&lt;=0,0,IF((1-2*BF17*1E5/(DATOS!$C$29*AG17*BK17^2*DATOS!$C$21))&lt;0,-1,IF((1-SQRT((1-2*BF17*1E5/(DATOS!$C$29*AG17*BK17^2*DATOS!$C$21))))*DATOS!$C$21*AG17*BK17/DATOS!$C$14&gt;DATOS!$C$99*AG17*BK17,-1,(1-SQRT((1-2*BF17*1E5/(DATOS!$C$29*AG17*BK17^2*DATOS!$C$21))))*DATOS!$C$21*AG17*BK17/DATOS!$C$14)))-0.0001,MAX(DATOS!$C$71,CEILING(BL17/INDEX(TABLAS!$D$52:$D$58,MIN(MATCH(DATOS!$C$68,TABLAS!$B$52:$B$58,0)+1,7)),1)),MAX(MAX(DATOS!$C$71,CEILING(BL17/INDEX(TABLAS!$D$52:$D$58,MIN(MATCH(DATOS!$C$68,TABLAS!$B$52:$B$58,0)+1,7)),1)),2))&lt;=MIN(DATOS!$C$70,INT(((AC17-2*AJ17)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17&gt;=0,IF(MAX(DATOS!$C$71,CEILING(BL17/INDEX(TABLAS!$D$52:$D$58,MIN(MATCH(DATOS!$C$68,TABLAS!$B$52:$B$58,0)+2,7)),1))*INDEX(TABLAS!$D$52:$D$58,MIN(MATCH(DATOS!$C$68,TABLAS!$B$52:$B$58,0)+2,7))&gt;=4/3*IF(BF17&lt;=0,0,IF((1-2*BF17*1E5/(DATOS!$C$29*AG17*BK17^2*DATOS!$C$21))&lt;0,-1,IF((1-SQRT((1-2*BF17*1E5/(DATOS!$C$29*AG17*BK17^2*DATOS!$C$21))))*DATOS!$C$21*AG17*BK17/DATOS!$C$14&gt;DATOS!$C$99*AG17*BK17,-1,(1-SQRT((1-2*BF17*1E5/(DATOS!$C$29*AG17*BK17^2*DATOS!$C$21))))*DATOS!$C$21*AG17*BK17/DATOS!$C$14)))-0.0001,MAX(DATOS!$C$71,CEILING(BL17/INDEX(TABLAS!$D$52:$D$58,MIN(MATCH(DATOS!$C$68,TABLAS!$B$52:$B$58,0)+2,7)),1)),MAX(MAX(DATOS!$C$71,CEILING(BL17/INDEX(TABLAS!$D$52:$D$58,MIN(MATCH(DATOS!$C$68,TABLAS!$B$52:$B$58,0)+2,7)),1)),2))&lt;=MIN(DATOS!$C$70,INT(((AC17-2*AJ17)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17&gt;=0,IF(MAX(DATOS!$C$71,CEILING(BL17/INDEX(TABLAS!$D$52:$D$58,MIN(MATCH(DATOS!$C$68,TABLAS!$B$52:$B$58,0)+3,7)),1))*INDEX(TABLAS!$D$52:$D$58,MIN(MATCH(DATOS!$C$68,TABLAS!$B$52:$B$58,0)+3,7))&gt;=4/3*IF(BF17&lt;=0,0,IF((1-2*BF17*1E5/(DATOS!$C$29*AG17*BK17^2*DATOS!$C$21))&lt;0,-1,IF((1-SQRT((1-2*BF17*1E5/(DATOS!$C$29*AG17*BK17^2*DATOS!$C$21))))*DATOS!$C$21*AG17*BK17/DATOS!$C$14&gt;DATOS!$C$99*AG17*BK17,-1,(1-SQRT((1-2*BF17*1E5/(DATOS!$C$29*AG17*BK17^2*DATOS!$C$21))))*DATOS!$C$21*AG17*BK17/DATOS!$C$14)))-0.0001,MAX(DATOS!$C$71,CEILING(BL17/INDEX(TABLAS!$D$52:$D$58,MIN(MATCH(DATOS!$C$68,TABLAS!$B$52:$B$58,0)+3,7)),1)),MAX(MAX(DATOS!$C$71,CEILING(BL17/INDEX(TABLAS!$D$52:$D$58,MIN(MATCH(DATOS!$C$68,TABLAS!$B$52:$B$58,0)+3,7)),1)),2))&lt;=MIN(DATOS!$C$70,INT(((AC17-2*AJ17)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17&gt;=0,IF(MAX(DATOS!$C$71,CEILING(BL17/INDEX(TABLAS!$D$52:$D$58,MIN(MATCH(DATOS!$C$68,TABLAS!$B$52:$B$58,0)+4,7)),1))*INDEX(TABLAS!$D$52:$D$58,MIN(MATCH(DATOS!$C$68,TABLAS!$B$52:$B$58,0)+4,7))&gt;=4/3*IF(BF17&lt;=0,0,IF((1-2*BF17*1E5/(DATOS!$C$29*AG17*BK17^2*DATOS!$C$21))&lt;0,-1,IF((1-SQRT((1-2*BF17*1E5/(DATOS!$C$29*AG17*BK17^2*DATOS!$C$21))))*DATOS!$C$21*AG17*BK17/DATOS!$C$14&gt;DATOS!$C$99*AG17*BK17,-1,(1-SQRT((1-2*BF17*1E5/(DATOS!$C$29*AG17*BK17^2*DATOS!$C$21))))*DATOS!$C$21*AG17*BK17/DATOS!$C$14)))-0.0001,MAX(DATOS!$C$71,CEILING(BL17/INDEX(TABLAS!$D$52:$D$58,MIN(MATCH(DATOS!$C$68,TABLAS!$B$52:$B$58,0)+4,7)),1)),MAX(MAX(DATOS!$C$71,CEILING(BL17/INDEX(TABLAS!$D$52:$D$58,MIN(MATCH(DATOS!$C$68,TABLAS!$B$52:$B$58,0)+4,7)),1)),2))&lt;=MIN(DATOS!$C$70,INT(((AC17-2*AJ17)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17" s="59" t="str">
        <f>IF(U17&lt;&gt;"SÍ","",IF(BL17&lt;0,0,IF(MAX(DATOS!$C$71,CEILING(MAX(BL17,0)/INDEX(TABLAS!$D$52:$D$58,MATCH(BM17,TABLAS!$B$52:$B$58,0)),1))*INDEX(TABLAS!$D$52:$D$58,MATCH(BM17,TABLAS!$B$52:$B$58,0))&gt;=4/3*IF(BF17&lt;=0,0,IF((1-2*BF17*1E5/(DATOS!$C$29*AG17*BK17^2*DATOS!$C$21))&lt;0,-1,IF((1-SQRT((1-2*BF17*1E5/(DATOS!$C$29*AG17*BK17^2*DATOS!$C$21))))*DATOS!$C$21*AG17*BK17/DATOS!$C$14&gt;DATOS!$C$99*AG17*BK17,-1,(1-SQRT((1-2*BF17*1E5/(DATOS!$C$29*AG17*BK17^2*DATOS!$C$21))))*DATOS!$C$21*AG17*BK17/DATOS!$C$14)))-0.0001,MAX(DATOS!$C$71,CEILING(MAX(BL17,0)/INDEX(TABLAS!$D$52:$D$58,MATCH(BM17,TABLAS!$B$52:$B$58,0)),1)),MAX(MAX(DATOS!$C$71,CEILING(MAX(BL17,0)/INDEX(TABLAS!$D$52:$D$58,MATCH(BM17,TABLAS!$B$52:$B$58,0)),1)),2))))</f>
        <v/>
      </c>
      <c r="BO17" s="58" t="str">
        <f>IF(U17&lt;&gt;"SÍ","",DATOS!$C$82-AJ17-INDEX(TABLAS!$C$52:$C$58,MATCH(BM17,TABLAS!$B$52:$B$58,0))/2)</f>
        <v/>
      </c>
      <c r="BP17" s="56" t="str">
        <f>IF(U17&lt;&gt;"SÍ","",IF(BN17=0,0,DATOS!$C$29*BN17*INDEX(TABLAS!$D$52:$D$58,MATCH(BM17,TABLAS!$B$52:$B$58,0))*DATOS!$C$14*(BO17-BN17*INDEX(TABLAS!$D$52:$D$58,MATCH(BM17,TABLAS!$B$52:$B$58,0))*DATOS!$C$14/(DATOS!$C$21*AG17)/2)/1E5))</f>
        <v/>
      </c>
      <c r="BQ17" s="65" t="str">
        <f>IF(U17&lt;&gt;"SÍ","",IF(BL17&lt;0,9.99,IF(BP17&gt;0,BF17/BP17,0)))</f>
        <v/>
      </c>
      <c r="BR17" s="66" t="str">
        <f>IF(U17&lt;&gt;"SÍ","",IF(BN17=0,"—",0.003*(BO17-(BN17*INDEX(TABLAS!$D$52:$D$58,MATCH(BM17,TABLAS!$B$52:$B$58,0))*DATOS!$C$14/(DATOS!$C$21*AG17)/DATOS!$C$22))/(BN17*INDEX(TABLAS!$D$52:$D$58,MATCH(BM17,TABLAS!$B$52:$B$58,0))*DATOS!$C$14/(DATOS!$C$21*AG17)/DATOS!$C$22)))</f>
        <v/>
      </c>
      <c r="BS17" s="58" t="str">
        <f>IF(U17&lt;&gt;"SÍ","",((DATOS!$C$82-AL17-2*DATOS!$C$94-INDEX(TABLAS!$C$52:$C$58,MATCH(DATOS!$C$69,TABLAS!$B$52:$B$58,0))/2)-IF(AND((DATOS!$C$82-AL17-2*DATOS!$C$94-INDEX(TABLAS!$C$52:$C$58,MATCH(DATOS!$C$69,TABLAS!$B$52:$B$58,0))/2)&lt;=20,DATOS!$C$62&lt;&gt;"SÍ"),2,0)))</f>
        <v/>
      </c>
      <c r="BT17" s="58" t="str">
        <f>IF(U17&lt;&gt;"SÍ","",IF(IF(BG17&lt;=0,0,IF((1-2*BG17*1E5/(DATOS!$C$29*AE17*BS17^2*DATOS!$C$21))&lt;0,-1,IF((1-SQRT((1-2*BG17*1E5/(DATOS!$C$29*AE17*BS17^2*DATOS!$C$21))))*DATOS!$C$21*AE17*BS17/DATOS!$C$14&gt;DATOS!$C$99*AE17*BS17,-1,(1-SQRT((1-2*BG17*1E5/(DATOS!$C$29*AE17*BS17^2*DATOS!$C$21))))*DATOS!$C$21*AE17*BS17/DATOS!$C$14)))&lt;0,-1,MAX(IF(BG17&lt;=0,0,IF((1-2*BG17*1E5/(DATOS!$C$29*AE17*BS17^2*DATOS!$C$21))&lt;0,-1,IF((1-SQRT((1-2*BG17*1E5/(DATOS!$C$29*AE17*BS17^2*DATOS!$C$21))))*DATOS!$C$21*AE17*BS17/DATOS!$C$14&gt;DATOS!$C$99*AE17*BS17,-1,(1-SQRT((1-2*BG17*1E5/(DATOS!$C$29*AE17*BS17^2*DATOS!$C$21))))*DATOS!$C$21*AE17*BS17/DATOS!$C$14))),MIN(DATOS!$C$100*IF(C17="VOLADO",MIN(AG17,2*AC17),AC17)*BS17,4/3*IF(BG17&lt;=0,0,IF((1-2*BG17*1E5/(DATOS!$C$29*AE17*BS17^2*DATOS!$C$21))&lt;0,-1,IF((1-SQRT((1-2*BG17*1E5/(DATOS!$C$29*AE17*BS17^2*DATOS!$C$21))))*DATOS!$C$21*AE17*BS17/DATOS!$C$14&gt;DATOS!$C$99*AE17*BS17,-1,(1-SQRT((1-2*BG17*1E5/(DATOS!$C$29*AE17*BS17^2*DATOS!$C$21))))*DATOS!$C$21*AE17*BS17/DATOS!$C$14)))))))</f>
        <v/>
      </c>
      <c r="BU17" s="64" t="str">
        <f>IF(U17&lt;&gt;"SÍ","",IF(AND(BT17&gt;=0,IF(MAX(DATOS!$C$71,CEILING(BT17/INDEX(TABLAS!$D$52:$D$58,MIN(MATCH(DATOS!$C$69,TABLAS!$B$52:$B$58,0)+0,7)),1))*INDEX(TABLAS!$D$52:$D$58,MIN(MATCH(DATOS!$C$69,TABLAS!$B$52:$B$58,0)+0,7))&gt;=4/3*IF(BG17&lt;=0,0,IF((1-2*BG17*1E5/(DATOS!$C$29*AE17*BS17^2*DATOS!$C$21))&lt;0,-1,IF((1-SQRT((1-2*BG17*1E5/(DATOS!$C$29*AE17*BS17^2*DATOS!$C$21))))*DATOS!$C$21*AE17*BS17/DATOS!$C$14&gt;DATOS!$C$99*AE17*BS17,-1,(1-SQRT((1-2*BG17*1E5/(DATOS!$C$29*AE17*BS17^2*DATOS!$C$21))))*DATOS!$C$21*AE17*BS17/DATOS!$C$14)))-0.0001,MAX(DATOS!$C$71,CEILING(BT17/INDEX(TABLAS!$D$52:$D$58,MIN(MATCH(DATOS!$C$69,TABLAS!$B$52:$B$58,0)+0,7)),1)),MAX(MAX(DATOS!$C$71,CEILING(BT17/INDEX(TABLAS!$D$52:$D$58,MIN(MATCH(DATOS!$C$69,TABLAS!$B$52:$B$58,0)+0,7)),1)),2))&lt;=MIN(DATOS!$C$70,INT(((AC17-2*AK17)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17&gt;=0,IF(MAX(DATOS!$C$71,CEILING(BT17/INDEX(TABLAS!$D$52:$D$58,MIN(MATCH(DATOS!$C$69,TABLAS!$B$52:$B$58,0)+1,7)),1))*INDEX(TABLAS!$D$52:$D$58,MIN(MATCH(DATOS!$C$69,TABLAS!$B$52:$B$58,0)+1,7))&gt;=4/3*IF(BG17&lt;=0,0,IF((1-2*BG17*1E5/(DATOS!$C$29*AE17*BS17^2*DATOS!$C$21))&lt;0,-1,IF((1-SQRT((1-2*BG17*1E5/(DATOS!$C$29*AE17*BS17^2*DATOS!$C$21))))*DATOS!$C$21*AE17*BS17/DATOS!$C$14&gt;DATOS!$C$99*AE17*BS17,-1,(1-SQRT((1-2*BG17*1E5/(DATOS!$C$29*AE17*BS17^2*DATOS!$C$21))))*DATOS!$C$21*AE17*BS17/DATOS!$C$14)))-0.0001,MAX(DATOS!$C$71,CEILING(BT17/INDEX(TABLAS!$D$52:$D$58,MIN(MATCH(DATOS!$C$69,TABLAS!$B$52:$B$58,0)+1,7)),1)),MAX(MAX(DATOS!$C$71,CEILING(BT17/INDEX(TABLAS!$D$52:$D$58,MIN(MATCH(DATOS!$C$69,TABLAS!$B$52:$B$58,0)+1,7)),1)),2))&lt;=MIN(DATOS!$C$70,INT(((AC17-2*AK17)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17&gt;=0,IF(MAX(DATOS!$C$71,CEILING(BT17/INDEX(TABLAS!$D$52:$D$58,MIN(MATCH(DATOS!$C$69,TABLAS!$B$52:$B$58,0)+2,7)),1))*INDEX(TABLAS!$D$52:$D$58,MIN(MATCH(DATOS!$C$69,TABLAS!$B$52:$B$58,0)+2,7))&gt;=4/3*IF(BG17&lt;=0,0,IF((1-2*BG17*1E5/(DATOS!$C$29*AE17*BS17^2*DATOS!$C$21))&lt;0,-1,IF((1-SQRT((1-2*BG17*1E5/(DATOS!$C$29*AE17*BS17^2*DATOS!$C$21))))*DATOS!$C$21*AE17*BS17/DATOS!$C$14&gt;DATOS!$C$99*AE17*BS17,-1,(1-SQRT((1-2*BG17*1E5/(DATOS!$C$29*AE17*BS17^2*DATOS!$C$21))))*DATOS!$C$21*AE17*BS17/DATOS!$C$14)))-0.0001,MAX(DATOS!$C$71,CEILING(BT17/INDEX(TABLAS!$D$52:$D$58,MIN(MATCH(DATOS!$C$69,TABLAS!$B$52:$B$58,0)+2,7)),1)),MAX(MAX(DATOS!$C$71,CEILING(BT17/INDEX(TABLAS!$D$52:$D$58,MIN(MATCH(DATOS!$C$69,TABLAS!$B$52:$B$58,0)+2,7)),1)),2))&lt;=MIN(DATOS!$C$70,INT(((AC17-2*AK17)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17&gt;=0,IF(MAX(DATOS!$C$71,CEILING(BT17/INDEX(TABLAS!$D$52:$D$58,MIN(MATCH(DATOS!$C$69,TABLAS!$B$52:$B$58,0)+3,7)),1))*INDEX(TABLAS!$D$52:$D$58,MIN(MATCH(DATOS!$C$69,TABLAS!$B$52:$B$58,0)+3,7))&gt;=4/3*IF(BG17&lt;=0,0,IF((1-2*BG17*1E5/(DATOS!$C$29*AE17*BS17^2*DATOS!$C$21))&lt;0,-1,IF((1-SQRT((1-2*BG17*1E5/(DATOS!$C$29*AE17*BS17^2*DATOS!$C$21))))*DATOS!$C$21*AE17*BS17/DATOS!$C$14&gt;DATOS!$C$99*AE17*BS17,-1,(1-SQRT((1-2*BG17*1E5/(DATOS!$C$29*AE17*BS17^2*DATOS!$C$21))))*DATOS!$C$21*AE17*BS17/DATOS!$C$14)))-0.0001,MAX(DATOS!$C$71,CEILING(BT17/INDEX(TABLAS!$D$52:$D$58,MIN(MATCH(DATOS!$C$69,TABLAS!$B$52:$B$58,0)+3,7)),1)),MAX(MAX(DATOS!$C$71,CEILING(BT17/INDEX(TABLAS!$D$52:$D$58,MIN(MATCH(DATOS!$C$69,TABLAS!$B$52:$B$58,0)+3,7)),1)),2))&lt;=MIN(DATOS!$C$70,INT(((AC17-2*AK17)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17&gt;=0,IF(MAX(DATOS!$C$71,CEILING(BT17/INDEX(TABLAS!$D$52:$D$58,MIN(MATCH(DATOS!$C$69,TABLAS!$B$52:$B$58,0)+4,7)),1))*INDEX(TABLAS!$D$52:$D$58,MIN(MATCH(DATOS!$C$69,TABLAS!$B$52:$B$58,0)+4,7))&gt;=4/3*IF(BG17&lt;=0,0,IF((1-2*BG17*1E5/(DATOS!$C$29*AE17*BS17^2*DATOS!$C$21))&lt;0,-1,IF((1-SQRT((1-2*BG17*1E5/(DATOS!$C$29*AE17*BS17^2*DATOS!$C$21))))*DATOS!$C$21*AE17*BS17/DATOS!$C$14&gt;DATOS!$C$99*AE17*BS17,-1,(1-SQRT((1-2*BG17*1E5/(DATOS!$C$29*AE17*BS17^2*DATOS!$C$21))))*DATOS!$C$21*AE17*BS17/DATOS!$C$14)))-0.0001,MAX(DATOS!$C$71,CEILING(BT17/INDEX(TABLAS!$D$52:$D$58,MIN(MATCH(DATOS!$C$69,TABLAS!$B$52:$B$58,0)+4,7)),1)),MAX(MAX(DATOS!$C$71,CEILING(BT17/INDEX(TABLAS!$D$52:$D$58,MIN(MATCH(DATOS!$C$69,TABLAS!$B$52:$B$58,0)+4,7)),1)),2))&lt;=MIN(DATOS!$C$70,INT(((AC17-2*AK17)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17" s="59" t="str">
        <f>IF(U17&lt;&gt;"SÍ","",IF(BT17&lt;0,0,IF(MAX(DATOS!$C$71,CEILING(MAX(BT17,0)/INDEX(TABLAS!$D$52:$D$58,MATCH(BU17,TABLAS!$B$52:$B$58,0)),1))*INDEX(TABLAS!$D$52:$D$58,MATCH(BU17,TABLAS!$B$52:$B$58,0))&gt;=4/3*IF(BG17&lt;=0,0,IF((1-2*BG17*1E5/(DATOS!$C$29*AE17*BS17^2*DATOS!$C$21))&lt;0,-1,IF((1-SQRT((1-2*BG17*1E5/(DATOS!$C$29*AE17*BS17^2*DATOS!$C$21))))*DATOS!$C$21*AE17*BS17/DATOS!$C$14&gt;DATOS!$C$99*AE17*BS17,-1,(1-SQRT((1-2*BG17*1E5/(DATOS!$C$29*AE17*BS17^2*DATOS!$C$21))))*DATOS!$C$21*AE17*BS17/DATOS!$C$14)))-0.0001,MAX(DATOS!$C$71,CEILING(MAX(BT17,0)/INDEX(TABLAS!$D$52:$D$58,MATCH(BU17,TABLAS!$B$52:$B$58,0)),1)),MAX(MAX(DATOS!$C$71,CEILING(MAX(BT17,0)/INDEX(TABLAS!$D$52:$D$58,MATCH(BU17,TABLAS!$B$52:$B$58,0)),1)),2))))</f>
        <v/>
      </c>
      <c r="BW17" s="58" t="str">
        <f>IF(U17&lt;&gt;"SÍ","",((DATOS!$C$82-AL17-2*DATOS!$C$94-INDEX(TABLAS!$C$52:$C$58,MATCH(BU17,TABLAS!$B$52:$B$58,0))/2)-IF(AND((DATOS!$C$82-AL17-2*DATOS!$C$94-INDEX(TABLAS!$C$52:$C$58,MATCH(BU17,TABLAS!$B$52:$B$58,0))/2)&lt;=20,DATOS!$C$62&lt;&gt;"SÍ"),2,0)))</f>
        <v/>
      </c>
      <c r="BX17" s="56" t="str">
        <f>IF(U17&lt;&gt;"SÍ","",IF(BV17=0,0,DATOS!$C$29*BV17*INDEX(TABLAS!$D$52:$D$58,MATCH(BU17,TABLAS!$B$52:$B$58,0))*DATOS!$C$14*(BW17-BV17*INDEX(TABLAS!$D$52:$D$58,MATCH(BU17,TABLAS!$B$52:$B$58,0))*DATOS!$C$14/(DATOS!$C$21*AE17)/2)/1E5))</f>
        <v/>
      </c>
      <c r="BY17" s="65" t="str">
        <f>IF(U17&lt;&gt;"SÍ","",IF(BT17&lt;0,9.99,IF(BX17&gt;0,BG17/BX17,0)))</f>
        <v/>
      </c>
      <c r="BZ17" s="66" t="str">
        <f>IF(U17&lt;&gt;"SÍ","",IF(BV17=0,"—",0.003*(BW17-(BV17*INDEX(TABLAS!$D$52:$D$58,MATCH(BU17,TABLAS!$B$52:$B$58,0))*DATOS!$C$14/(DATOS!$C$21*AE17)/DATOS!$C$22))/(BV17*INDEX(TABLAS!$D$52:$D$58,MATCH(BU17,TABLAS!$B$52:$B$58,0))*DATOS!$C$14/(DATOS!$C$21*AE17)/DATOS!$C$22)))</f>
        <v/>
      </c>
      <c r="CA17" s="58" t="str">
        <f>IF(U17&lt;&gt;"SÍ","",(DATOS!$C$82-AJ17-INDEX(TABLAS!$C$52:$C$58,MATCH(DATOS!$C$68,TABLAS!$B$52:$B$58,0))-INDEX(TABLAS!$C$52:$C$58,MATCH(DATOS!$C$68,TABLAS!$B$52:$B$58,0))/2))</f>
        <v/>
      </c>
      <c r="CB17" s="58" t="str">
        <f>IF(U17&lt;&gt;"SÍ","",IF(IF(BH17&lt;=0,0,IF((1-2*BH17*1E5/(DATOS!$C$29*AH17*CA17^2*DATOS!$C$21))&lt;0,-1,IF((1-SQRT((1-2*BH17*1E5/(DATOS!$C$29*AH17*CA17^2*DATOS!$C$21))))*DATOS!$C$21*AH17*CA17/DATOS!$C$14&gt;DATOS!$C$99*AH17*CA17,-1,(1-SQRT((1-2*BH17*1E5/(DATOS!$C$29*AH17*CA17^2*DATOS!$C$21))))*DATOS!$C$21*AH17*CA17/DATOS!$C$14)))&lt;0,-1,MAX(IF(BH17&lt;=0,0,IF((1-2*BH17*1E5/(DATOS!$C$29*AH17*CA17^2*DATOS!$C$21))&lt;0,-1,IF((1-SQRT((1-2*BH17*1E5/(DATOS!$C$29*AH17*CA17^2*DATOS!$C$21))))*DATOS!$C$21*AH17*CA17/DATOS!$C$14&gt;DATOS!$C$99*AH17*CA17,-1,(1-SQRT((1-2*BH17*1E5/(DATOS!$C$29*AH17*CA17^2*DATOS!$C$21))))*DATOS!$C$21*AH17*CA17/DATOS!$C$14))),MIN(DATOS!$C$100*DATOS!$C$80*CA17,4/3*IF(BH17&lt;=0,0,IF((1-2*BH17*1E5/(DATOS!$C$29*AH17*CA17^2*DATOS!$C$21))&lt;0,-1,IF((1-SQRT((1-2*BH17*1E5/(DATOS!$C$29*AH17*CA17^2*DATOS!$C$21))))*DATOS!$C$21*AH17*CA17/DATOS!$C$14&gt;DATOS!$C$99*AH17*CA17,-1,(1-SQRT((1-2*BH17*1E5/(DATOS!$C$29*AH17*CA17^2*DATOS!$C$21))))*DATOS!$C$21*AH17*CA17/DATOS!$C$14)))))))</f>
        <v/>
      </c>
      <c r="CC17" s="64" t="str">
        <f>IF(U17&lt;&gt;"SÍ","",IF(AND(CB17&gt;=0,IF(MAX(DATOS!$C$71,CEILING(CB17/INDEX(TABLAS!$D$52:$D$58,MIN(MATCH(DATOS!$C$68,TABLAS!$B$52:$B$58,0)+0,7)),1))*INDEX(TABLAS!$D$52:$D$58,MIN(MATCH(DATOS!$C$68,TABLAS!$B$52:$B$58,0)+0,7))&gt;=4/3*IF(BH17&lt;=0,0,IF((1-2*BH17*1E5/(DATOS!$C$29*AH17*CA17^2*DATOS!$C$21))&lt;0,-1,IF((1-SQRT((1-2*BH17*1E5/(DATOS!$C$29*AH17*CA17^2*DATOS!$C$21))))*DATOS!$C$21*AH17*CA17/DATOS!$C$14&gt;DATOS!$C$99*AH17*CA17,-1,(1-SQRT((1-2*BH17*1E5/(DATOS!$C$29*AH17*CA17^2*DATOS!$C$21))))*DATOS!$C$21*AH17*CA17/DATOS!$C$14)))-0.0001,MAX(DATOS!$C$71,CEILING(CB17/INDEX(TABLAS!$D$52:$D$58,MIN(MATCH(DATOS!$C$68,TABLAS!$B$52:$B$58,0)+0,7)),1)),MAX(MAX(DATOS!$C$71,CEILING(CB17/INDEX(TABLAS!$D$52:$D$58,MIN(MATCH(DATOS!$C$68,TABLAS!$B$52:$B$58,0)+0,7)),1)),2))&lt;=MIN(DATOS!$C$70,INT(((DATOS!$C$80-2*AJ17)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17&gt;=0,IF(MAX(DATOS!$C$71,CEILING(CB17/INDEX(TABLAS!$D$52:$D$58,MIN(MATCH(DATOS!$C$68,TABLAS!$B$52:$B$58,0)+1,7)),1))*INDEX(TABLAS!$D$52:$D$58,MIN(MATCH(DATOS!$C$68,TABLAS!$B$52:$B$58,0)+1,7))&gt;=4/3*IF(BH17&lt;=0,0,IF((1-2*BH17*1E5/(DATOS!$C$29*AH17*CA17^2*DATOS!$C$21))&lt;0,-1,IF((1-SQRT((1-2*BH17*1E5/(DATOS!$C$29*AH17*CA17^2*DATOS!$C$21))))*DATOS!$C$21*AH17*CA17/DATOS!$C$14&gt;DATOS!$C$99*AH17*CA17,-1,(1-SQRT((1-2*BH17*1E5/(DATOS!$C$29*AH17*CA17^2*DATOS!$C$21))))*DATOS!$C$21*AH17*CA17/DATOS!$C$14)))-0.0001,MAX(DATOS!$C$71,CEILING(CB17/INDEX(TABLAS!$D$52:$D$58,MIN(MATCH(DATOS!$C$68,TABLAS!$B$52:$B$58,0)+1,7)),1)),MAX(MAX(DATOS!$C$71,CEILING(CB17/INDEX(TABLAS!$D$52:$D$58,MIN(MATCH(DATOS!$C$68,TABLAS!$B$52:$B$58,0)+1,7)),1)),2))&lt;=MIN(DATOS!$C$70,INT(((DATOS!$C$80-2*AJ17)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17&gt;=0,IF(MAX(DATOS!$C$71,CEILING(CB17/INDEX(TABLAS!$D$52:$D$58,MIN(MATCH(DATOS!$C$68,TABLAS!$B$52:$B$58,0)+2,7)),1))*INDEX(TABLAS!$D$52:$D$58,MIN(MATCH(DATOS!$C$68,TABLAS!$B$52:$B$58,0)+2,7))&gt;=4/3*IF(BH17&lt;=0,0,IF((1-2*BH17*1E5/(DATOS!$C$29*AH17*CA17^2*DATOS!$C$21))&lt;0,-1,IF((1-SQRT((1-2*BH17*1E5/(DATOS!$C$29*AH17*CA17^2*DATOS!$C$21))))*DATOS!$C$21*AH17*CA17/DATOS!$C$14&gt;DATOS!$C$99*AH17*CA17,-1,(1-SQRT((1-2*BH17*1E5/(DATOS!$C$29*AH17*CA17^2*DATOS!$C$21))))*DATOS!$C$21*AH17*CA17/DATOS!$C$14)))-0.0001,MAX(DATOS!$C$71,CEILING(CB17/INDEX(TABLAS!$D$52:$D$58,MIN(MATCH(DATOS!$C$68,TABLAS!$B$52:$B$58,0)+2,7)),1)),MAX(MAX(DATOS!$C$71,CEILING(CB17/INDEX(TABLAS!$D$52:$D$58,MIN(MATCH(DATOS!$C$68,TABLAS!$B$52:$B$58,0)+2,7)),1)),2))&lt;=MIN(DATOS!$C$70,INT(((DATOS!$C$80-2*AJ17)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17&gt;=0,IF(MAX(DATOS!$C$71,CEILING(CB17/INDEX(TABLAS!$D$52:$D$58,MIN(MATCH(DATOS!$C$68,TABLAS!$B$52:$B$58,0)+3,7)),1))*INDEX(TABLAS!$D$52:$D$58,MIN(MATCH(DATOS!$C$68,TABLAS!$B$52:$B$58,0)+3,7))&gt;=4/3*IF(BH17&lt;=0,0,IF((1-2*BH17*1E5/(DATOS!$C$29*AH17*CA17^2*DATOS!$C$21))&lt;0,-1,IF((1-SQRT((1-2*BH17*1E5/(DATOS!$C$29*AH17*CA17^2*DATOS!$C$21))))*DATOS!$C$21*AH17*CA17/DATOS!$C$14&gt;DATOS!$C$99*AH17*CA17,-1,(1-SQRT((1-2*BH17*1E5/(DATOS!$C$29*AH17*CA17^2*DATOS!$C$21))))*DATOS!$C$21*AH17*CA17/DATOS!$C$14)))-0.0001,MAX(DATOS!$C$71,CEILING(CB17/INDEX(TABLAS!$D$52:$D$58,MIN(MATCH(DATOS!$C$68,TABLAS!$B$52:$B$58,0)+3,7)),1)),MAX(MAX(DATOS!$C$71,CEILING(CB17/INDEX(TABLAS!$D$52:$D$58,MIN(MATCH(DATOS!$C$68,TABLAS!$B$52:$B$58,0)+3,7)),1)),2))&lt;=MIN(DATOS!$C$70,INT(((DATOS!$C$80-2*AJ17)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17&gt;=0,IF(MAX(DATOS!$C$71,CEILING(CB17/INDEX(TABLAS!$D$52:$D$58,MIN(MATCH(DATOS!$C$68,TABLAS!$B$52:$B$58,0)+4,7)),1))*INDEX(TABLAS!$D$52:$D$58,MIN(MATCH(DATOS!$C$68,TABLAS!$B$52:$B$58,0)+4,7))&gt;=4/3*IF(BH17&lt;=0,0,IF((1-2*BH17*1E5/(DATOS!$C$29*AH17*CA17^2*DATOS!$C$21))&lt;0,-1,IF((1-SQRT((1-2*BH17*1E5/(DATOS!$C$29*AH17*CA17^2*DATOS!$C$21))))*DATOS!$C$21*AH17*CA17/DATOS!$C$14&gt;DATOS!$C$99*AH17*CA17,-1,(1-SQRT((1-2*BH17*1E5/(DATOS!$C$29*AH17*CA17^2*DATOS!$C$21))))*DATOS!$C$21*AH17*CA17/DATOS!$C$14)))-0.0001,MAX(DATOS!$C$71,CEILING(CB17/INDEX(TABLAS!$D$52:$D$58,MIN(MATCH(DATOS!$C$68,TABLAS!$B$52:$B$58,0)+4,7)),1)),MAX(MAX(DATOS!$C$71,CEILING(CB17/INDEX(TABLAS!$D$52:$D$58,MIN(MATCH(DATOS!$C$68,TABLAS!$B$52:$B$58,0)+4,7)),1)),2))&lt;=MIN(DATOS!$C$70,INT(((DATOS!$C$80-2*AJ17)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17" s="59" t="str">
        <f>IF(U17&lt;&gt;"SÍ","",IF(CB17&lt;0,0,IF(MAX(DATOS!$C$71,CEILING(MAX(CB17,0)/INDEX(TABLAS!$D$52:$D$58,MATCH(CC17,TABLAS!$B$52:$B$58,0)),1))*INDEX(TABLAS!$D$52:$D$58,MATCH(CC17,TABLAS!$B$52:$B$58,0))&gt;=4/3*IF(BH17&lt;=0,0,IF((1-2*BH17*1E5/(DATOS!$C$29*AH17*CA17^2*DATOS!$C$21))&lt;0,-1,IF((1-SQRT((1-2*BH17*1E5/(DATOS!$C$29*AH17*CA17^2*DATOS!$C$21))))*DATOS!$C$21*AH17*CA17/DATOS!$C$14&gt;DATOS!$C$99*AH17*CA17,-1,(1-SQRT((1-2*BH17*1E5/(DATOS!$C$29*AH17*CA17^2*DATOS!$C$21))))*DATOS!$C$21*AH17*CA17/DATOS!$C$14)))-0.0001,MAX(DATOS!$C$71,CEILING(MAX(CB17,0)/INDEX(TABLAS!$D$52:$D$58,MATCH(CC17,TABLAS!$B$52:$B$58,0)),1)),MAX(MAX(DATOS!$C$71,CEILING(MAX(CB17,0)/INDEX(TABLAS!$D$52:$D$58,MATCH(CC17,TABLAS!$B$52:$B$58,0)),1)),2))))</f>
        <v/>
      </c>
      <c r="CE17" s="58" t="str">
        <f>IF(U17&lt;&gt;"SÍ","",DATOS!$C$82-AJ17-INDEX(TABLAS!$C$52:$C$58,MATCH(BM17,TABLAS!$B$52:$B$58,0))-INDEX(TABLAS!$C$52:$C$58,MATCH(CC17,TABLAS!$B$52:$B$58,0))/2)</f>
        <v/>
      </c>
      <c r="CF17" s="56" t="str">
        <f>IF(U17&lt;&gt;"SÍ","",IF(CD17=0,0,DATOS!$C$29*CD17*INDEX(TABLAS!$D$52:$D$58,MATCH(CC17,TABLAS!$B$52:$B$58,0))*DATOS!$C$14*(CE17-CD17*INDEX(TABLAS!$D$52:$D$58,MATCH(CC17,TABLAS!$B$52:$B$58,0))*DATOS!$C$14/(DATOS!$C$21*AH17)/2)/1E5))</f>
        <v/>
      </c>
      <c r="CG17" s="65" t="str">
        <f>IF(U17&lt;&gt;"SÍ","",IF(CB17&lt;0,9.99,IF(CF17&gt;0,BH17/CF17,0)))</f>
        <v/>
      </c>
      <c r="CH17" s="66" t="str">
        <f>IF(U17&lt;&gt;"SÍ","",IF(CD17=0,"—",0.003*(CE17-(CD17*INDEX(TABLAS!$D$52:$D$58,MATCH(CC17,TABLAS!$B$52:$B$58,0))*DATOS!$C$14/(DATOS!$C$21*AH17)/DATOS!$C$22))/(CD17*INDEX(TABLAS!$D$52:$D$58,MATCH(CC17,TABLAS!$B$52:$B$58,0))*DATOS!$C$14/(DATOS!$C$21*AH17)/DATOS!$C$22)))</f>
        <v/>
      </c>
      <c r="CI17" s="58" t="str">
        <f>IF(U17&lt;&gt;"SÍ","",((DATOS!$C$82-AL17-2*DATOS!$C$94-INDEX(TABLAS!$C$52:$C$58,MATCH(DATOS!$C$69,TABLAS!$B$52:$B$58,0))-INDEX(TABLAS!$C$52:$C$58,MATCH(DATOS!$C$69,TABLAS!$B$52:$B$58,0))/2)-IF(AND((DATOS!$C$82-AL17-2*DATOS!$C$94-INDEX(TABLAS!$C$52:$C$58,MATCH(DATOS!$C$69,TABLAS!$B$52:$B$58,0))-INDEX(TABLAS!$C$52:$C$58,MATCH(DATOS!$C$69,TABLAS!$B$52:$B$58,0))/2)&lt;=20,DATOS!$C$62&lt;&gt;"SÍ"),2,0)))</f>
        <v/>
      </c>
      <c r="CJ17" s="58" t="str">
        <f>IF(U17&lt;&gt;"SÍ","",IF(IF(BI17&lt;=0,0,IF((1-2*BI17*1E5/(DATOS!$C$29*AF17*CI17^2*DATOS!$C$21))&lt;0,-1,IF((1-SQRT((1-2*BI17*1E5/(DATOS!$C$29*AF17*CI17^2*DATOS!$C$21))))*DATOS!$C$21*AF17*CI17/DATOS!$C$14&gt;DATOS!$C$99*AF17*CI17,-1,(1-SQRT((1-2*BI17*1E5/(DATOS!$C$29*AF17*CI17^2*DATOS!$C$21))))*DATOS!$C$21*AF17*CI17/DATOS!$C$14)))&lt;0,-1,MAX(IF(BI17&lt;=0,0,IF((1-2*BI17*1E5/(DATOS!$C$29*AF17*CI17^2*DATOS!$C$21))&lt;0,-1,IF((1-SQRT((1-2*BI17*1E5/(DATOS!$C$29*AF17*CI17^2*DATOS!$C$21))))*DATOS!$C$21*AF17*CI17/DATOS!$C$14&gt;DATOS!$C$99*AF17*CI17,-1,(1-SQRT((1-2*BI17*1E5/(DATOS!$C$29*AF17*CI17^2*DATOS!$C$21))))*DATOS!$C$21*AF17*CI17/DATOS!$C$14))),MIN(DATOS!$C$100*DATOS!$C$80*CI17,4/3*IF(BI17&lt;=0,0,IF((1-2*BI17*1E5/(DATOS!$C$29*AF17*CI17^2*DATOS!$C$21))&lt;0,-1,IF((1-SQRT((1-2*BI17*1E5/(DATOS!$C$29*AF17*CI17^2*DATOS!$C$21))))*DATOS!$C$21*AF17*CI17/DATOS!$C$14&gt;DATOS!$C$99*AF17*CI17,-1,(1-SQRT((1-2*BI17*1E5/(DATOS!$C$29*AF17*CI17^2*DATOS!$C$21))))*DATOS!$C$21*AF17*CI17/DATOS!$C$14)))))))</f>
        <v/>
      </c>
      <c r="CK17" s="64" t="str">
        <f>IF(U17&lt;&gt;"SÍ","",IF(AND(CJ17&gt;=0,IF(MAX(DATOS!$C$71,CEILING(CJ17/INDEX(TABLAS!$D$52:$D$58,MIN(MATCH(DATOS!$C$69,TABLAS!$B$52:$B$58,0)+0,7)),1))*INDEX(TABLAS!$D$52:$D$58,MIN(MATCH(DATOS!$C$69,TABLAS!$B$52:$B$58,0)+0,7))&gt;=4/3*IF(BI17&lt;=0,0,IF((1-2*BI17*1E5/(DATOS!$C$29*AF17*CI17^2*DATOS!$C$21))&lt;0,-1,IF((1-SQRT((1-2*BI17*1E5/(DATOS!$C$29*AF17*CI17^2*DATOS!$C$21))))*DATOS!$C$21*AF17*CI17/DATOS!$C$14&gt;DATOS!$C$99*AF17*CI17,-1,(1-SQRT((1-2*BI17*1E5/(DATOS!$C$29*AF17*CI17^2*DATOS!$C$21))))*DATOS!$C$21*AF17*CI17/DATOS!$C$14)))-0.0001,MAX(DATOS!$C$71,CEILING(CJ17/INDEX(TABLAS!$D$52:$D$58,MIN(MATCH(DATOS!$C$69,TABLAS!$B$52:$B$58,0)+0,7)),1)),MAX(MAX(DATOS!$C$71,CEILING(CJ17/INDEX(TABLAS!$D$52:$D$58,MIN(MATCH(DATOS!$C$69,TABLAS!$B$52:$B$58,0)+0,7)),1)),2))&lt;=MIN(DATOS!$C$70,INT(((DATOS!$C$80-2*AK17)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17&gt;=0,IF(MAX(DATOS!$C$71,CEILING(CJ17/INDEX(TABLAS!$D$52:$D$58,MIN(MATCH(DATOS!$C$69,TABLAS!$B$52:$B$58,0)+1,7)),1))*INDEX(TABLAS!$D$52:$D$58,MIN(MATCH(DATOS!$C$69,TABLAS!$B$52:$B$58,0)+1,7))&gt;=4/3*IF(BI17&lt;=0,0,IF((1-2*BI17*1E5/(DATOS!$C$29*AF17*CI17^2*DATOS!$C$21))&lt;0,-1,IF((1-SQRT((1-2*BI17*1E5/(DATOS!$C$29*AF17*CI17^2*DATOS!$C$21))))*DATOS!$C$21*AF17*CI17/DATOS!$C$14&gt;DATOS!$C$99*AF17*CI17,-1,(1-SQRT((1-2*BI17*1E5/(DATOS!$C$29*AF17*CI17^2*DATOS!$C$21))))*DATOS!$C$21*AF17*CI17/DATOS!$C$14)))-0.0001,MAX(DATOS!$C$71,CEILING(CJ17/INDEX(TABLAS!$D$52:$D$58,MIN(MATCH(DATOS!$C$69,TABLAS!$B$52:$B$58,0)+1,7)),1)),MAX(MAX(DATOS!$C$71,CEILING(CJ17/INDEX(TABLAS!$D$52:$D$58,MIN(MATCH(DATOS!$C$69,TABLAS!$B$52:$B$58,0)+1,7)),1)),2))&lt;=MIN(DATOS!$C$70,INT(((DATOS!$C$80-2*AK17)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17&gt;=0,IF(MAX(DATOS!$C$71,CEILING(CJ17/INDEX(TABLAS!$D$52:$D$58,MIN(MATCH(DATOS!$C$69,TABLAS!$B$52:$B$58,0)+2,7)),1))*INDEX(TABLAS!$D$52:$D$58,MIN(MATCH(DATOS!$C$69,TABLAS!$B$52:$B$58,0)+2,7))&gt;=4/3*IF(BI17&lt;=0,0,IF((1-2*BI17*1E5/(DATOS!$C$29*AF17*CI17^2*DATOS!$C$21))&lt;0,-1,IF((1-SQRT((1-2*BI17*1E5/(DATOS!$C$29*AF17*CI17^2*DATOS!$C$21))))*DATOS!$C$21*AF17*CI17/DATOS!$C$14&gt;DATOS!$C$99*AF17*CI17,-1,(1-SQRT((1-2*BI17*1E5/(DATOS!$C$29*AF17*CI17^2*DATOS!$C$21))))*DATOS!$C$21*AF17*CI17/DATOS!$C$14)))-0.0001,MAX(DATOS!$C$71,CEILING(CJ17/INDEX(TABLAS!$D$52:$D$58,MIN(MATCH(DATOS!$C$69,TABLAS!$B$52:$B$58,0)+2,7)),1)),MAX(MAX(DATOS!$C$71,CEILING(CJ17/INDEX(TABLAS!$D$52:$D$58,MIN(MATCH(DATOS!$C$69,TABLAS!$B$52:$B$58,0)+2,7)),1)),2))&lt;=MIN(DATOS!$C$70,INT(((DATOS!$C$80-2*AK17)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17&gt;=0,IF(MAX(DATOS!$C$71,CEILING(CJ17/INDEX(TABLAS!$D$52:$D$58,MIN(MATCH(DATOS!$C$69,TABLAS!$B$52:$B$58,0)+3,7)),1))*INDEX(TABLAS!$D$52:$D$58,MIN(MATCH(DATOS!$C$69,TABLAS!$B$52:$B$58,0)+3,7))&gt;=4/3*IF(BI17&lt;=0,0,IF((1-2*BI17*1E5/(DATOS!$C$29*AF17*CI17^2*DATOS!$C$21))&lt;0,-1,IF((1-SQRT((1-2*BI17*1E5/(DATOS!$C$29*AF17*CI17^2*DATOS!$C$21))))*DATOS!$C$21*AF17*CI17/DATOS!$C$14&gt;DATOS!$C$99*AF17*CI17,-1,(1-SQRT((1-2*BI17*1E5/(DATOS!$C$29*AF17*CI17^2*DATOS!$C$21))))*DATOS!$C$21*AF17*CI17/DATOS!$C$14)))-0.0001,MAX(DATOS!$C$71,CEILING(CJ17/INDEX(TABLAS!$D$52:$D$58,MIN(MATCH(DATOS!$C$69,TABLAS!$B$52:$B$58,0)+3,7)),1)),MAX(MAX(DATOS!$C$71,CEILING(CJ17/INDEX(TABLAS!$D$52:$D$58,MIN(MATCH(DATOS!$C$69,TABLAS!$B$52:$B$58,0)+3,7)),1)),2))&lt;=MIN(DATOS!$C$70,INT(((DATOS!$C$80-2*AK17)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17&gt;=0,IF(MAX(DATOS!$C$71,CEILING(CJ17/INDEX(TABLAS!$D$52:$D$58,MIN(MATCH(DATOS!$C$69,TABLAS!$B$52:$B$58,0)+4,7)),1))*INDEX(TABLAS!$D$52:$D$58,MIN(MATCH(DATOS!$C$69,TABLAS!$B$52:$B$58,0)+4,7))&gt;=4/3*IF(BI17&lt;=0,0,IF((1-2*BI17*1E5/(DATOS!$C$29*AF17*CI17^2*DATOS!$C$21))&lt;0,-1,IF((1-SQRT((1-2*BI17*1E5/(DATOS!$C$29*AF17*CI17^2*DATOS!$C$21))))*DATOS!$C$21*AF17*CI17/DATOS!$C$14&gt;DATOS!$C$99*AF17*CI17,-1,(1-SQRT((1-2*BI17*1E5/(DATOS!$C$29*AF17*CI17^2*DATOS!$C$21))))*DATOS!$C$21*AF17*CI17/DATOS!$C$14)))-0.0001,MAX(DATOS!$C$71,CEILING(CJ17/INDEX(TABLAS!$D$52:$D$58,MIN(MATCH(DATOS!$C$69,TABLAS!$B$52:$B$58,0)+4,7)),1)),MAX(MAX(DATOS!$C$71,CEILING(CJ17/INDEX(TABLAS!$D$52:$D$58,MIN(MATCH(DATOS!$C$69,TABLAS!$B$52:$B$58,0)+4,7)),1)),2))&lt;=MIN(DATOS!$C$70,INT(((DATOS!$C$80-2*AK17)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17" s="59" t="str">
        <f>IF(U17&lt;&gt;"SÍ","",IF(CJ17&lt;0,0,IF(MAX(DATOS!$C$71,CEILING(MAX(CJ17,0)/INDEX(TABLAS!$D$52:$D$58,MATCH(CK17,TABLAS!$B$52:$B$58,0)),1))*INDEX(TABLAS!$D$52:$D$58,MATCH(CK17,TABLAS!$B$52:$B$58,0))&gt;=4/3*IF(BI17&lt;=0,0,IF((1-2*BI17*1E5/(DATOS!$C$29*AF17*CI17^2*DATOS!$C$21))&lt;0,-1,IF((1-SQRT((1-2*BI17*1E5/(DATOS!$C$29*AF17*CI17^2*DATOS!$C$21))))*DATOS!$C$21*AF17*CI17/DATOS!$C$14&gt;DATOS!$C$99*AF17*CI17,-1,(1-SQRT((1-2*BI17*1E5/(DATOS!$C$29*AF17*CI17^2*DATOS!$C$21))))*DATOS!$C$21*AF17*CI17/DATOS!$C$14)))-0.0001,MAX(DATOS!$C$71,CEILING(MAX(CJ17,0)/INDEX(TABLAS!$D$52:$D$58,MATCH(CK17,TABLAS!$B$52:$B$58,0)),1)),MAX(MAX(DATOS!$C$71,CEILING(MAX(CJ17,0)/INDEX(TABLAS!$D$52:$D$58,MATCH(CK17,TABLAS!$B$52:$B$58,0)),1)),2))))</f>
        <v/>
      </c>
      <c r="CM17" s="58" t="str">
        <f>IF(U17&lt;&gt;"SÍ","",((DATOS!$C$82-AL17-2*DATOS!$C$94-INDEX(TABLAS!$C$52:$C$58,MATCH(BU17,TABLAS!$B$52:$B$58,0))-INDEX(TABLAS!$C$52:$C$58,MATCH(CK17,TABLAS!$B$52:$B$58,0))/2)-IF(AND((DATOS!$C$82-AL17-2*DATOS!$C$94-INDEX(TABLAS!$C$52:$C$58,MATCH(BU17,TABLAS!$B$52:$B$58,0))-INDEX(TABLAS!$C$52:$C$58,MATCH(CK17,TABLAS!$B$52:$B$58,0))/2)&lt;=20,DATOS!$C$62&lt;&gt;"SÍ"),2,0)))</f>
        <v/>
      </c>
      <c r="CN17" s="56" t="str">
        <f>IF(U17&lt;&gt;"SÍ","",IF(CL17=0,0,DATOS!$C$29*CL17*INDEX(TABLAS!$D$52:$D$58,MATCH(CK17,TABLAS!$B$52:$B$58,0))*DATOS!$C$14*(CM17-CL17*INDEX(TABLAS!$D$52:$D$58,MATCH(CK17,TABLAS!$B$52:$B$58,0))*DATOS!$C$14/(DATOS!$C$21*AF17)/2)/1E5))</f>
        <v/>
      </c>
      <c r="CO17" s="65" t="str">
        <f>IF(U17&lt;&gt;"SÍ","",IF(CJ17&lt;0,9.99,IF(CN17&gt;0,BI17/CN17,0)))</f>
        <v/>
      </c>
      <c r="CP17" s="66" t="str">
        <f>IF(U17&lt;&gt;"SÍ","",IF(CL17=0,"—",0.003*(CM17-(CL17*INDEX(TABLAS!$D$52:$D$58,MATCH(CK17,TABLAS!$B$52:$B$58,0))*DATOS!$C$14/(DATOS!$C$21*AF17)/DATOS!$C$22))/(CL17*INDEX(TABLAS!$D$52:$D$58,MATCH(CK17,TABLAS!$B$52:$B$58,0))*DATOS!$C$14/(DATOS!$C$21*AF17)/DATOS!$C$22)))</f>
        <v/>
      </c>
      <c r="CQ17" s="56" t="str">
        <f>IF(U17&lt;&gt;"SÍ","",IF(C17="PERIMETRAL",MAX(0,(AA17/2-BW17)/100)*(0.95-0.5*Z17)*AQ17*IF(AND(AR17&gt;0,AR17&lt;4),DATOS!$C$33,1)*DATOS!$C$83/100/1000,(AQ17*MAX(0,AA17-BW17)/100+DATOS!$C$26*N(O17))*DATOS!$C$83/100/1000+BE17))</f>
        <v/>
      </c>
      <c r="CR17" s="56" t="str">
        <f>IF(U17&lt;&gt;"SÍ","",DATOS!$C$30*2*MIN(1,SQRT(2/(1+0.04*BW17)))*(BV17*INDEX(TABLAS!$D$52:$D$58,MATCH(BU17,TABLAS!$B$52:$B$58,0))/(AE17*BW17))^(1/3)*SQRT(DATOS!$C$13)*AE17*BW17*IF(AI17="SÍ",DATOS!$C$32,1)/1000)</f>
        <v/>
      </c>
      <c r="CS17" s="59" t="str">
        <f>IF(U17&lt;&gt;"SÍ","",IF(CQ17&lt;=CR17,0,CEILING(MAX(0,IF(C17="VOLADO",(AA17-((CR17-BE17)*1E5/DATOS!$C$83-DATOS!$C$26*N(O17))*100/AQ17),IF(CR17&lt;=0,AA17,AA17/2-CR17/MAX(CQ17,1E-9)*(AA17/2-BW17)))-IF(INT((X17*100-DATOS!$C$84+DATOS!$C$80)/DATOS!$C$83)&gt;0,(X17*100-DATOS!$C$84-(INT((X17*100-DATOS!$C$84+DATOS!$C$80)/DATOS!$C$83)*DATOS!$C$78+(INT((X17*100-DATOS!$C$84+DATOS!$C$80)/DATOS!$C$83)-1)*DATOS!$C$80))/2,X17*100/2))/DATOS!$C$83,1)))</f>
        <v/>
      </c>
      <c r="CT17" s="67" t="str">
        <f>IF(U17&lt;&gt;"SÍ","",IF(CQ17&lt;=CR17,"CUMPLE",IF(CS17&lt;=0,"CUMPLE (basta el macizo de orilla)",IF(CS17*DATOS!$C$83*IF(C17="VOLADO",1,2)&gt;=X17*100-DATOS!$C$84,"NO CUMPLE: no alcanza ni macizando todo","MACIZAR "&amp;CS17&amp;" hilera(s)"))))</f>
        <v/>
      </c>
      <c r="CU17" s="58" t="str">
        <f>IF(U17&lt;&gt;"SÍ","",(DATOS!$C$83*DATOS!$C$81^2/2+AC17*DATOS!$C$79*(DATOS!$C$81+DATOS!$C$79/2))/(DATOS!$C$83*DATOS!$C$81+AC17*DATOS!$C$79))</f>
        <v/>
      </c>
      <c r="CV17" s="68" t="str">
        <f>IF(U17&lt;&gt;"SÍ","",DATOS!$C$83*DATOS!$C$81^3/12+DATOS!$C$83*DATOS!$C$81*(CU17-DATOS!$C$81/2)^2+AC17*DATOS!$C$79^3/12+AC17*DATOS!$C$79*(DATOS!$C$81+DATOS!$C$79/2-CU17)^2)</f>
        <v/>
      </c>
      <c r="CW17" s="58" t="str">
        <f>IF(U17&lt;&gt;"SÍ","",(12*CV17/DATOS!$C$83)^(1/3))</f>
        <v/>
      </c>
      <c r="CX17" s="58" t="str">
        <f>IF(U17&lt;&gt;"SÍ","",IF(C17="PERIMETRAL",IF(ISNUMBER(R17),R17,DATOS!$C$101),0))</f>
        <v/>
      </c>
      <c r="CY17" s="57" t="str">
        <f>IF(U17&lt;&gt;"SÍ","",IF(C17="PERIMETRAL",IF(CX17&gt;2,MAX(9,AB17*(0.8+DATOS!$C$14/14000)/(36+9*(AB17/MAX(AA17,1)))),IF(CX17&gt;0.2,MAX(13,AB17*(0.8+DATOS!$C$14/14000)/(36+5*(AB17/MAX(AA17,1))*(CX17-0.2))),MAX(13,AB17/IF(AR17&gt;0,30,33))))*IF(AND(CX17&gt;0.2,AR17&gt;0,DATOS!$C$102="NO"),1.1,1),X17*100/8))</f>
        <v/>
      </c>
      <c r="CZ17" s="61" t="str">
        <f>IF(U17&lt;&gt;"SÍ","",IF(IF(C17="VOLADO",DATOS!$C$82,CW17)&gt;=CY17,"CUMPLE",IF(C17="VOLADO","NO CUMPLE","CALCULAR FLECHA")))</f>
        <v/>
      </c>
      <c r="DA17" s="55" t="str">
        <f>IF(U17&lt;&gt;"SÍ","",IF(DATOS!$C$81&gt;=IF(IF(C17="VOLADO",X17,Y17)&gt;=6,6,5),"CUMPLE","CAPA ≥ 6 cm"))</f>
        <v/>
      </c>
      <c r="DB17" s="60" t="str">
        <f>IF(U17&lt;&gt;"SÍ","",IF(C17="VOLADO",MIN(CEILING(IF(ISNUMBER(P17),P17,X17)*100,5),CEILING(MAX(IF((0.5*(0.9*DATOS!$C$87*DATOS!$C$83/100/1000)*IF(ISNUMBER(P17),P17,X17)+BG17/IF(ISNUMBER(P17),P17,X17))^2-4*(0.5*(0.9*DATOS!$C$87*DATOS!$C$83/100/1000))*BG17&lt;0,IF(ISNUMBER(P17),P17,X17),MIN(IF(ISNUMBER(P17),P17,X17),((0.5*(0.9*DATOS!$C$87*DATOS!$C$83/100/1000)*IF(ISNUMBER(P17),P17,X17)+BG17/IF(ISNUMBER(P17),P17,X17))-SQRT((0.5*(0.9*DATOS!$C$87*DATOS!$C$83/100/1000)*IF(ISNUMBER(P17),P17,X17)+BG17/IF(ISNUMBER(P17),P17,X17))^2-4*(0.5*(0.9*DATOS!$C$87*DATOS!$C$83/100/1000))*BG17))/(2*(0.5*(0.9*DATOS!$C$87*DATOS!$C$83/100/1000)))))*100+MAX(BW17,12*INDEX(TABLAS!$C$52:$C$58,MATCH(BU17,TABLAS!$B$52:$B$58,0)),IF(ISNUMBER(P17),P17,X17)*100/16),IF(OR(AK17&lt;INDEX(TABLAS!$C$52:$C$58,MATCH(BU17,TABLAS!$B$52:$B$58,0)),AND(BV17&gt;=2,(AC17-2*AK17-BV17*INDEX(TABLAS!$C$52:$C$58,MATCH(BU17,TABLAS!$B$52:$B$58,0)))/MAX(BV17-1,1)&lt;2*INDEX(TABLAS!$C$52:$C$58,MATCH(BU17,TABLAS!$B$52:$B$58,0)))),INDEX(TABLAS!$I$52:$I$58,MATCH(BU17,TABLAS!$B$52:$B$58,0)),INDEX(TABLAS!$F$52:$F$58,MATCH(BU17,TABLAS!$B$52:$B$58,0)))),5)),IF(((4*((BB17*AQ17*X17^2*1E-4*DATOS!$C$83/100/1000)+((MAX(AX17,AZ17)*AQ17*X17^2*1E-4*DATOS!$C$83/100/1000)+(IF(AND(AX17&gt;0,AZ17&gt;0),MIN(AX17,AZ17),MAX(AX17,AZ17))*AQ17*X17^2*1E-4*DATOS!$C$83/100/1000))/2)+BG17-(IF(AND(AX17&gt;0,AZ17&gt;0),MIN(AX17,AZ17),MAX(AX17,AZ17))*AQ17*X17^2*1E-4*DATOS!$C$83/100/1000))^2-16*((BB17*AQ17*X17^2*1E-4*DATOS!$C$83/100/1000)+((MAX(AX17,AZ17)*AQ17*X17^2*1E-4*DATOS!$C$83/100/1000)+(IF(AND(AX17&gt;0,AZ17&gt;0),MIN(AX17,AZ17),MAX(AX17,AZ17))*AQ17*X17^2*1E-4*DATOS!$C$83/100/1000))/2)*BG17)&lt;0,CEILING(AA17,5),CEILING(MAX(AA17*((4*((BB17*AQ17*X17^2*1E-4*DATOS!$C$83/100/1000)+((MAX(AX17,AZ17)*AQ17*X17^2*1E-4*DATOS!$C$83/100/1000)+(IF(AND(AX17&gt;0,AZ17&gt;0),MIN(AX17,AZ17),MAX(AX17,AZ17))*AQ17*X17^2*1E-4*DATOS!$C$83/100/1000))/2)+BG17-(IF(AND(AX17&gt;0,AZ17&gt;0),MIN(AX17,AZ17),MAX(AX17,AZ17))*AQ17*X17^2*1E-4*DATOS!$C$83/100/1000))-SQRT(MAX(0,((4*((BB17*AQ17*X17^2*1E-4*DATOS!$C$83/100/1000)+((MAX(AX17,AZ17)*AQ17*X17^2*1E-4*DATOS!$C$83/100/1000)+(IF(AND(AX17&gt;0,AZ17&gt;0),MIN(AX17,AZ17),MAX(AX17,AZ17))*AQ17*X17^2*1E-4*DATOS!$C$83/100/1000))/2)+BG17-(IF(AND(AX17&gt;0,AZ17&gt;0),MIN(AX17,AZ17),MAX(AX17,AZ17))*AQ17*X17^2*1E-4*DATOS!$C$83/100/1000))^2-16*((BB17*AQ17*X17^2*1E-4*DATOS!$C$83/100/1000)+((MAX(AX17,AZ17)*AQ17*X17^2*1E-4*DATOS!$C$83/100/1000)+(IF(AND(AX17&gt;0,AZ17&gt;0),MIN(AX17,AZ17),MAX(AX17,AZ17))*AQ17*X17^2*1E-4*DATOS!$C$83/100/1000))/2)*BG17))))/(8*MAX(((BB17*AQ17*X17^2*1E-4*DATOS!$C$83/100/1000)+((MAX(AX17,AZ17)*AQ17*X17^2*1E-4*DATOS!$C$83/100/1000)+(IF(AND(AX17&gt;0,AZ17&gt;0),MIN(AX17,AZ17),MAX(AX17,AZ17))*AQ17*X17^2*1E-4*DATOS!$C$83/100/1000))/2),1E-9))+MAX(BW17,12*INDEX(TABLAS!$C$52:$C$58,MATCH(BU17,TABLAS!$B$52:$B$58,0)),AA17/16),IF(OR(AK17&lt;INDEX(TABLAS!$C$52:$C$58,MATCH(BU17,TABLAS!$B$52:$B$58,0)),AND(BV17&gt;=2,(AC17-2*AK17-BV17*INDEX(TABLAS!$C$52:$C$58,MATCH(BU17,TABLAS!$B$52:$B$58,0)))/MAX(BV17-1,1)&lt;2*INDEX(TABLAS!$C$52:$C$58,MATCH(BU17,TABLAS!$B$52:$B$58,0)))),INDEX(TABLAS!$I$52:$I$58,MATCH(BU17,TABLAS!$B$52:$B$58,0)),INDEX(TABLAS!$F$52:$F$58,MATCH(BU17,TABLAS!$B$52:$B$58,0)))),5))))</f>
        <v/>
      </c>
      <c r="DC17" s="60" t="str">
        <f>IF(U17&lt;&gt;"SÍ","",IF(C17="VOLADO",0,IF(((4*((BC17*AQ17*X17^2*1E-4*DATOS!$C$83/100/1000)+((MAX(AY17,BA17)*AQ17*X17^2*1E-4*DATOS!$C$83/100/1000)+(IF(AND(AY17&gt;0,BA17&gt;0),MIN(AY17,BA17),MAX(AY17,BA17))*AQ17*X17^2*1E-4*DATOS!$C$83/100/1000))/2)+BI17-(IF(AND(AY17&gt;0,BA17&gt;0),MIN(AY17,BA17),MAX(AY17,BA17))*AQ17*X17^2*1E-4*DATOS!$C$83/100/1000))^2-16*((BC17*AQ17*X17^2*1E-4*DATOS!$C$83/100/1000)+((MAX(AY17,BA17)*AQ17*X17^2*1E-4*DATOS!$C$83/100/1000)+(IF(AND(AY17&gt;0,BA17&gt;0),MIN(AY17,BA17),MAX(AY17,BA17))*AQ17*X17^2*1E-4*DATOS!$C$83/100/1000))/2)*BI17)&lt;0,CEILING(AB17,5),CEILING(MAX(AB17*((4*((BC17*AQ17*X17^2*1E-4*DATOS!$C$83/100/1000)+((MAX(AY17,BA17)*AQ17*X17^2*1E-4*DATOS!$C$83/100/1000)+(IF(AND(AY17&gt;0,BA17&gt;0),MIN(AY17,BA17),MAX(AY17,BA17))*AQ17*X17^2*1E-4*DATOS!$C$83/100/1000))/2)+BI17-(IF(AND(AY17&gt;0,BA17&gt;0),MIN(AY17,BA17),MAX(AY17,BA17))*AQ17*X17^2*1E-4*DATOS!$C$83/100/1000))-SQRT(MAX(0,((4*((BC17*AQ17*X17^2*1E-4*DATOS!$C$83/100/1000)+((MAX(AY17,BA17)*AQ17*X17^2*1E-4*DATOS!$C$83/100/1000)+(IF(AND(AY17&gt;0,BA17&gt;0),MIN(AY17,BA17),MAX(AY17,BA17))*AQ17*X17^2*1E-4*DATOS!$C$83/100/1000))/2)+BI17-(IF(AND(AY17&gt;0,BA17&gt;0),MIN(AY17,BA17),MAX(AY17,BA17))*AQ17*X17^2*1E-4*DATOS!$C$83/100/1000))^2-16*((BC17*AQ17*X17^2*1E-4*DATOS!$C$83/100/1000)+((MAX(AY17,BA17)*AQ17*X17^2*1E-4*DATOS!$C$83/100/1000)+(IF(AND(AY17&gt;0,BA17&gt;0),MIN(AY17,BA17),MAX(AY17,BA17))*AQ17*X17^2*1E-4*DATOS!$C$83/100/1000))/2)*BI17))))/(8*MAX(((BC17*AQ17*X17^2*1E-4*DATOS!$C$83/100/1000)+((MAX(AY17,BA17)*AQ17*X17^2*1E-4*DATOS!$C$83/100/1000)+(IF(AND(AY17&gt;0,BA17&gt;0),MIN(AY17,BA17),MAX(AY17,BA17))*AQ17*X17^2*1E-4*DATOS!$C$83/100/1000))/2),1E-9))+MAX(CM17,12*INDEX(TABLAS!$C$52:$C$58,MATCH(CK17,TABLAS!$B$52:$B$58,0)),AB17/16),IF(OR(AK17&lt;INDEX(TABLAS!$C$52:$C$58,MATCH(CK17,TABLAS!$B$52:$B$58,0)),AND(CL17&gt;=2,(DATOS!$C$80-2*AK17-CL17*INDEX(TABLAS!$C$52:$C$58,MATCH(CK17,TABLAS!$B$52:$B$58,0)))/MAX(CL17-1,1)&lt;2*INDEX(TABLAS!$C$52:$C$58,MATCH(CK17,TABLAS!$B$52:$B$58,0)))),INDEX(TABLAS!$I$52:$I$58,MATCH(CK17,TABLAS!$B$52:$B$58,0)),INDEX(TABLAS!$F$52:$F$58,MATCH(CK17,TABLAS!$B$52:$B$58,0)))),5))))</f>
        <v/>
      </c>
      <c r="DD17" s="55" t="str">
        <f>IF(U17&lt;&gt;"SÍ","",IF(AND(C17="PERIMETRAL",BV17&gt;=2,AR17-AS17&gt;0,AZ17*AQ17*X17^2*1E-4*DATOS!$C$83/100/1000&gt;DATOS!$C$29*INDEX(TABLAS!$D$52:$D$58,MATCH(BU17,TABLAS!$B$52:$B$58,0))*DATOS!$C$14*(BW17-INDEX(TABLAS!$D$52:$D$58,MATCH(BU17,TABLAS!$B$52:$B$58,0))*DATOS!$C$14/(DATOS!$C$21*AE17)/2)/1E5),"SÍ","NO"))</f>
        <v/>
      </c>
      <c r="DE17" s="55" t="str">
        <f>IF(U17&lt;&gt;"SÍ","",IF(AND(C17="PERIMETRAL",CL17&gt;=2,AS17&gt;0,BA17*AQ17*X17^2*1E-4*DATOS!$C$83/100/1000&gt;DATOS!$C$29*INDEX(TABLAS!$D$52:$D$58,MATCH(CK17,TABLAS!$B$52:$B$58,0))*DATOS!$C$14*(CM17-INDEX(TABLAS!$D$52:$D$58,MATCH(CK17,TABLAS!$B$52:$B$58,0))*DATOS!$C$14/(DATOS!$C$21*AF17)/2)/1E5),"SÍ","NO"))</f>
        <v/>
      </c>
      <c r="DF17" s="63" t="str">
        <f>IF(U17&lt;&gt;"SÍ","",IF(OR(C17="VOLADO",AR17=0),"—",IF(AND(AND(1.25*INDEX(TABLAS!$G$52:$G$58,MATCH(MAX(BM17,CC17),TABLAS!$B$52:$B$58,0))&lt;=(DATOS!$C$72-DATOS!$C$60),(DATOS!$C$72-DATOS!$C$60)&gt;=15,INDEX(TABLAS!$G$52:$G$58,MATCH(MAX(BU17,CK17),TABLAS!$B$52:$B$58,0))&lt;=(DATOS!$C$72-DATOS!$C$60)),8*INDEX(TABLAS!$C$52:$C$58,MATCH(MAX(MAX(BM17,CC17),MAX(BU17,CK17)),TABLAS!$B$52:$B$58,0))&lt;=DATOS!$C$73-2*DATOS!$C$60),"CUMPLE (gancho de 180°)",IF(AND(1.25*INDEX(TABLAS!$G$52:$G$58,MATCH(MAX(BM17,CC17),TABLAS!$B$52:$B$58,0))&lt;=(DATOS!$C$72-DATOS!$C$60),(DATOS!$C$72-DATOS!$C$60)&gt;=15,INDEX(TABLAS!$G$52:$G$58,MATCH(MAX(BU17,CK17),TABLAS!$B$52:$B$58,0))&lt;=(DATOS!$C$72-DATOS!$C$60)),"NO CUMPLE: el gancho de 180° (8·d_b) no cabe en el peralte de la dala de borde","NO CUMPLE: dala de borde ≥ "&amp;TEXT(CEILING(MAX(1.25*INDEX(TABLAS!$G$52:$G$58,MATCH(MAX(BM17,CC17),TABLAS!$B$52:$B$58,0)),15,INDEX(TABLAS!$G$52:$G$58,MATCH(MAX(BU17,CK17),TABLAS!$B$52:$B$58,0)))+DATOS!$C$60,5),"0")&amp;" cm de ancho"&amp;IF(8*INDEX(TABLAS!$C$52:$C$58,MATCH(MAX(MAX(BM17,CC17),MAX(BU17,CK17)),TABLAS!$B$52:$B$58,0))&lt;=DATOS!$C$73-2*DATOS!$C$60,""," y más peralte para el gancho")))))</f>
        <v/>
      </c>
      <c r="DG17" s="59" t="str">
        <f>IF(U17&lt;&gt;"SÍ","",MAX(0,INT((E17*100-DATOS!$C$84+DATOS!$C$83-IF(W17="X",DATOS!$C$78,AD17))/DATOS!$C$83)))</f>
        <v/>
      </c>
      <c r="DH17" s="59" t="str">
        <f>IF(U17&lt;&gt;"SÍ","",MAX(0,INT((F17*100-DATOS!$C$84+DATOS!$C$83-IF(W17="Y",DATOS!$C$78,AD17))/DATOS!$C$83)))</f>
        <v/>
      </c>
      <c r="DI17" s="57" t="str">
        <f>IF(U17&lt;&gt;"SÍ","",IF(DG17&gt;0,(E17*100-DATOS!$C$84-(DG17*IF(W17="X",DATOS!$C$78,AD17)+(DG17-1)*(DATOS!$C$83-IF(W17="X",DATOS!$C$78,AD17))))/2,E17*100/2))</f>
        <v/>
      </c>
      <c r="DJ17" s="57" t="str">
        <f>IF(U17&lt;&gt;"SÍ","",IF(DH17&gt;0,(F17*100-DATOS!$C$84-(DH17*IF(W17="Y",DATOS!$C$78,AD17)+(DH17-1)*(DATOS!$C$83-IF(W17="Y",DATOS!$C$78,AD17))))/2,F17*100/2))</f>
        <v/>
      </c>
      <c r="DK17" s="59" t="str">
        <f>IF(U17&lt;&gt;"SÍ","",IF(NOT(AND(C17="VOLADO",AC17&gt;DATOS!$C$80)),0,IF(INDEX(TABLAS!$C$52:$C$58,MATCH(BU17,TABLAS!$B$52:$B$58,0))&lt;=DATOS!$C$80-2*DATOS!$C$60,1,0)))</f>
        <v/>
      </c>
      <c r="DL17" s="58" t="str">
        <f>IF(U17&lt;&gt;"SÍ","",IF(NOT(AND(C17="VOLADO",AC17&gt;DATOS!$C$80)),0,((DATOS!$C$82-MAX(DATOS!$C$60,(DATOS!$C$81-2*DATOS!$C$94)/2)-2*DATOS!$C$94-INDEX(TABLAS!$C$52:$C$58,MATCH(BU17,TABLAS!$B$52:$B$58,0))/2)-IF(AND((DATOS!$C$82-MAX(DATOS!$C$60,(DATOS!$C$81-2*DATOS!$C$94)/2)-2*DATOS!$C$94-INDEX(TABLAS!$C$52:$C$58,MATCH(BU17,TABLAS!$B$52:$B$58,0))/2)&lt;=20,DATOS!$C$62&lt;&gt;"SÍ"),2,0))))</f>
        <v/>
      </c>
      <c r="DM17" s="56" t="str">
        <f>IF(U17&lt;&gt;"SÍ","",IF(OR(NOT(AND(C17="VOLADO",AC17&gt;DATOS!$C$80)),DK17&lt;1),0,IF(0.003*(DL17-((DK17*INDEX(TABLAS!$D$52:$D$58,MATCH(BU17,TABLAS!$B$52:$B$58,0)))*DATOS!$C$14/(DATOS!$C$21*AF17)/DATOS!$C$22))/((DK17*INDEX(TABLAS!$D$52:$D$58,MATCH(BU17,TABLAS!$B$52:$B$58,0)))*DATOS!$C$14/(DATOS!$C$21*AF17)/DATOS!$C$22)&lt;0.005,0,DATOS!$C$29*(DK17*INDEX(TABLAS!$D$52:$D$58,MATCH(BU17,TABLAS!$B$52:$B$58,0)))*DATOS!$C$14*(DL17-(DK17*INDEX(TABLAS!$D$52:$D$58,MATCH(BU17,TABLAS!$B$52:$B$58,0)))*DATOS!$C$14/(DATOS!$C$21*AF17)/2)/1E5)))</f>
        <v/>
      </c>
      <c r="DN17" s="56" t="str">
        <f>IF(U17&lt;&gt;"SÍ","",IF(OR(NOT(AND(C17="VOLADO",AC17&gt;DATOS!$C$80)),DK17&lt;1),0,DATOS!$C$30*2*MIN(1,SQRT(2/(1+0.04*DL17)))*((DK17*INDEX(TABLAS!$D$52:$D$58,MATCH(BU17,TABLAS!$B$52:$B$58,0)))/(AF17*DL17))^(1/3)*SQRT(DATOS!$C$13)*AF17*DL17/1000))</f>
        <v/>
      </c>
      <c r="DO17" s="56" t="str">
        <f>IF(U17&lt;&gt;"SÍ","",IF(NOT(AND(C17="VOLADO",AC17&gt;DATOS!$C$80)),0,IF((BG17-DM17)&lt;=0,0,IF(DM17&lt;=0,IF(ISNUMBER(P17),P17,X17),IF(((0.9*DATOS!$C$87*DATOS!$C$83/100/1000)*IF(ISNUMBER(P17),P17,X17)/2+BG17/IF(ISNUMBER(P17),P17,X17))^2-4*((0.9*DATOS!$C$87*DATOS!$C$83/100/1000)/2)*(BG17-DM17)&lt;0,IF(ISNUMBER(P17),P17,X17),MIN(IF(ISNUMBER(P17),P17,X17),(((0.9*DATOS!$C$87*DATOS!$C$83/100/1000)*IF(ISNUMBER(P17),P17,X17)/2+BG17/IF(ISNUMBER(P17),P17,X17))-SQRT(((0.9*DATOS!$C$87*DATOS!$C$83/100/1000)*IF(ISNUMBER(P17),P17,X17)/2+BG17/IF(ISNUMBER(P17),P17,X17))^2-4*((0.9*DATOS!$C$87*DATOS!$C$83/100/1000)/2)*(BG17-DM17)))/(2*((0.9*DATOS!$C$87*DATOS!$C$83/100/1000)/2))))))))</f>
        <v/>
      </c>
      <c r="DP17" s="56" t="str">
        <f>IF(U17&lt;&gt;"SÍ","",IF(NOT(AND(C17="VOLADO",AC17&gt;DATOS!$C$80)),0,MIN(IF(ISNUMBER(P17),P17,X17),MAX(0,IF(ISNUMBER(P17),P17,X17)/2+BG17/IF(ISNUMBER(P17),P17,X17)/(AQ17*DATOS!$C$83/100/1000)-DN17/(AQ17*DATOS!$C$83/100/1000)))))</f>
        <v/>
      </c>
      <c r="DQ17" s="56" t="str">
        <f>IF(U17&lt;&gt;"SÍ","",IF(NOT(AND(C17="VOLADO",AC17&gt;DATOS!$C$80)),0,BG17/IF(ISNUMBER(P17),P17,X17)+(AQ17*DATOS!$C$83/100/1000)*MAX(0,IF(ISNUMBER(P17),P17,X17)/2-BW17/100)))</f>
        <v/>
      </c>
      <c r="DR17" s="59" t="str">
        <f>IF(U17&lt;&gt;"SÍ","",IF(NOT(AND(C17="VOLADO",AC17&gt;DATOS!$C$80)),0,CEILING(100*MIN(IF(ISNUMBER(P17),P17,X17),MAX(IF(DO17&gt;0,DO17+IF(BV17&gt;=2,MAX(DL17,12*INDEX(TABLAS!$C$52:$C$58,MATCH(BU17,TABLAS!$B$52:$B$58,0)))/100,0),0),DP17,IF(BV17&gt;=2,INDEX(TABLAS!$F$52:$F$58,MATCH(BU17,TABLAS!$B$52:$B$58,0))/100,0))),5)))</f>
        <v/>
      </c>
      <c r="DS17" s="60" t="str">
        <f>IF(U17&lt;&gt;"SÍ","",IF(NOT(AND(C17="VOLADO",AC17&gt;DATOS!$C$80)),0,IF(DR17&lt;=0,0,CEILING(DR17/DATOS!$C$83,1))))</f>
        <v/>
      </c>
      <c r="DT17" s="61" t="str">
        <f>IF(U17&lt;&gt;"SÍ","",IF(C17&lt;&gt;"VOLADO","—",IF(AC17&lt;=DATOS!$C$80,"— (mismo b_w que el respaldo)",IF(DQ17&gt;CR17,"NO CUMPLE: cortante de la nervadura ancha junto al apoyo ("&amp;TEXT(DQ17,"0.00")&amp;" &gt; "&amp;TEXT(CR17,"0.00")&amp;" t)",IF(DR17&gt;=100*IF(ISNUMBER(P17),P17,X17),"CUMPLE — todas las nervaduras del respaldo ‖ al volado con b_w = "&amp;AC17&amp;" cm","CUMPLE — "&amp;DS17&amp;" hilera(s) del respaldo con nervaduras de b_w = "&amp;AC17&amp;" cm (casetón "&amp;AD17&amp;" cm), hasta "&amp;TEXT(DR17/100,"0.00")&amp;" m del paño")))))</f>
        <v/>
      </c>
      <c r="DU17" s="69" t="str">
        <f>IF(U17&lt;&gt;"SÍ","",IF(BN17=0,"NO ALCANZA",BN17&amp;" No. "&amp;BM17&amp;IF(BN17&gt;1," corridas"," corrida")))</f>
        <v/>
      </c>
      <c r="DV17" s="69" t="str">
        <f>IF(U17&lt;&gt;"SÍ","",IF(BV17=0,"NO ALCANZA",IF(AND(C17="VOLADO",AC17&gt;DATOS!$C$80,BV17&gt;=2),"1 No. "&amp;BU17&amp;" corrida de la orilla al respaldo ("&amp;IF(DB17&gt;=100*IF(ISNUMBER(P17),P17,X17),"hasta su apoyo lejano, con gancho","entra "&amp;TEXT(DB17/100,"0.00")&amp;" m desde el paño")&amp;") + "&amp;(BV17-1)&amp;" bastón No. "&amp;BU17&amp;" hasta "&amp;TEXT(DR17/100,"0.00")&amp;" m del paño (fin de la nervadura ancha)",IF(C17="VOLADO",BV17&amp;" No. "&amp;BU17&amp;" de la orilla al respaldo ("&amp;IF(DB17&gt;=100*IF(ISNUMBER(P17),P17,X17),"hasta su apoyo lejano, con gancho","entran "&amp;TEXT(DB17/100,"0.00")&amp;" m desde el paño")&amp;")","1 No. "&amp;BU17&amp;" corrida"&amp;IF(BV17&gt;1," + "&amp;(BV17-1)&amp;" bastón No. "&amp;BU17&amp;" L = "&amp;TEXT(DB17/100,"0.00")&amp;" m desde el paño","")))))</f>
        <v/>
      </c>
      <c r="DW17" s="69" t="str">
        <f>IF(U17&lt;&gt;"SÍ","",IF(CD17=0,"NO ALCANZA",CD17&amp;" No. "&amp;CC17&amp;IF(CD17&gt;1," corridas"," corrida")))</f>
        <v/>
      </c>
      <c r="DX17" s="69" t="str">
        <f>IF(U17&lt;&gt;"SÍ","",IF(CL17=0,"NO ALCANZA",IF(C17="VOLADO","1 No. "&amp;CK17&amp;" corrida (repartición)","1 No. "&amp;CK17&amp;" corrida"&amp;IF(CL17&gt;1," + "&amp;(CL17-1)&amp;" bastón No. "&amp;CK17&amp;" L = "&amp;TEXT(DC17/100,"0.00")&amp;" m desde el paño",""))))</f>
        <v/>
      </c>
      <c r="DY17" s="67" t="str">
        <f>IF(B17="","",IF(U17&lt;&gt;"SÍ","FALTAN DATOS: tipo, a_x, a_y y destino",IF(L17="NO MONOLÍTICO (caso II)","FUERA DE ALCANCE: caso II no transcrito",IF(AND(C17="VOLADO",V17="?"),"REVISAR: el volado lleva UN solo borde CONTINUO (el empotrado)",IF(AND(MAX(BQ17,BY17,CG17,CO17)&lt;=1,NOT(OR(BN17&gt;MIN(DATOS!$C$70,INT(((AC17-2*AJ17)+MAX(DATOS!$C$67,INDEX(TABLAS!$C$52:$C$58,MATCH(BM17,TABLAS!$B$52:$B$58,0))))/(INDEX(TABLAS!$C$52:$C$58,MATCH(BM17,TABLAS!$B$52:$B$58,0))+MAX(DATOS!$C$67,INDEX(TABLAS!$C$52:$C$58,MATCH(BM17,TABLAS!$B$52:$B$58,0)))))),BV17&gt;MIN(DATOS!$C$70,INT(((AC17-2*AK17)+MAX(DATOS!$C$67,INDEX(TABLAS!$C$52:$C$58,MATCH(BU17,TABLAS!$B$52:$B$58,0))))/(INDEX(TABLAS!$C$52:$C$58,MATCH(BU17,TABLAS!$B$52:$B$58,0))+MAX(DATOS!$C$67,INDEX(TABLAS!$C$52:$C$58,MATCH(BU17,TABLAS!$B$52:$B$58,0)))))),CD17&gt;MIN(DATOS!$C$70,INT(((DATOS!$C$80-2*AJ17)+MAX(DATOS!$C$67,INDEX(TABLAS!$C$52:$C$58,MATCH(CC17,TABLAS!$B$52:$B$58,0))))/(INDEX(TABLAS!$C$52:$C$58,MATCH(CC17,TABLAS!$B$52:$B$58,0))+MAX(DATOS!$C$67,INDEX(TABLAS!$C$52:$C$58,MATCH(CC17,TABLAS!$B$52:$B$58,0)))))),CL17&gt;MIN(DATOS!$C$70,INT(((DATOS!$C$80-2*AK17)+MAX(DATOS!$C$67,INDEX(TABLAS!$C$52:$C$58,MATCH(CK17,TABLAS!$B$52:$B$58,0))))/(INDEX(TABLAS!$C$52:$C$58,MATCH(CK17,TABLAS!$B$52:$B$58,0))+MAX(DATOS!$C$67,INDEX(TABLAS!$C$52:$C$58,MATCH(CK17,TABLAS!$B$52:$B$58,0)))))))),NOT(OR(AND(ISNUMBER(BR17),BR17&lt;0.005),AND(ISNUMBER(BZ17),BZ17&lt;0.005),AND(ISNUMBER(CH17),CH17&lt;0.005),AND(ISNUMBER(CP17),CP17&lt;0.005))),NOT(LEFT(DT17,2)="NO"),CZ17="CUMPLE",DA17="CUMPLE",LEFT(CT17,2)&lt;&gt;"NO"),IF(LEFT(CT17,6)="CUMPLE","CUMPLE","CUMPLE — "&amp;CT17)&amp;IF(LEFT(BJ17,5)="FUERA"," · fuera de 3.4.2.1 c)","")&amp;IF(LEFT(DF17,2)="NO"," · REVISAR anclaje en borde discontinuo","")&amp;IF(DS17&gt;0," · respaldo: "&amp;DS17&amp;" hilera(s) de b_w "&amp;AC17&amp;" cm",""),IF(AND(MAX(BQ17,BY17,CG17,CO17)&lt;=1,NOT(OR(BN17&gt;MIN(DATOS!$C$70,INT(((AC17-2*AJ17)+MAX(DATOS!$C$67,INDEX(TABLAS!$C$52:$C$58,MATCH(BM17,TABLAS!$B$52:$B$58,0))))/(INDEX(TABLAS!$C$52:$C$58,MATCH(BM17,TABLAS!$B$52:$B$58,0))+MAX(DATOS!$C$67,INDEX(TABLAS!$C$52:$C$58,MATCH(BM17,TABLAS!$B$52:$B$58,0)))))),BV17&gt;MIN(DATOS!$C$70,INT(((AC17-2*AK17)+MAX(DATOS!$C$67,INDEX(TABLAS!$C$52:$C$58,MATCH(BU17,TABLAS!$B$52:$B$58,0))))/(INDEX(TABLAS!$C$52:$C$58,MATCH(BU17,TABLAS!$B$52:$B$58,0))+MAX(DATOS!$C$67,INDEX(TABLAS!$C$52:$C$58,MATCH(BU17,TABLAS!$B$52:$B$58,0)))))),CD17&gt;MIN(DATOS!$C$70,INT(((DATOS!$C$80-2*AJ17)+MAX(DATOS!$C$67,INDEX(TABLAS!$C$52:$C$58,MATCH(CC17,TABLAS!$B$52:$B$58,0))))/(INDEX(TABLAS!$C$52:$C$58,MATCH(CC17,TABLAS!$B$52:$B$58,0))+MAX(DATOS!$C$67,INDEX(TABLAS!$C$52:$C$58,MATCH(CC17,TABLAS!$B$52:$B$58,0)))))),CL17&gt;MIN(DATOS!$C$70,INT(((DATOS!$C$80-2*AK17)+MAX(DATOS!$C$67,INDEX(TABLAS!$C$52:$C$58,MATCH(CK17,TABLAS!$B$52:$B$58,0))))/(INDEX(TABLAS!$C$52:$C$58,MATCH(CK17,TABLAS!$B$52:$B$58,0))+MAX(DATOS!$C$67,INDEX(TABLAS!$C$52:$C$58,MATCH(CK17,TABLAS!$B$52:$B$58,0)))))))),NOT(OR(AND(ISNUMBER(BR17),BR17&lt;0.005),AND(ISNUMBER(BZ17),BZ17&lt;0.005),AND(ISNUMBER(CH17),CH17&lt;0.005),AND(ISNUMBER(CP17),CP17&lt;0.005))),NOT(LEFT(DT17,2)="NO"),CZ17="CALCULAR FLECHA",LEFT(CT17,2)&lt;&gt;"NO"),"REVISAR: calcular flecha (h_eq &lt; h mín.)"&amp;IF(LEFT(BJ17,5)="FUERA"," · fuera de 3.4.2.1 c)","")&amp;IF(LEFT(DF17,2)="NO"," · REVISAR anclaje en borde discontinuo","")&amp;IF(DS17&gt;0," · respaldo: "&amp;DS17&amp;" hilera(s) de b_w "&amp;AC17&amp;" cm",""),"NO CUMPLE: "&amp;IF(MAX(BQ17,BY17,CG17,CO17)&gt;1,"flexión ","")&amp;IF(OR(BN17&gt;MIN(DATOS!$C$70,INT(((AC17-2*AJ17)+MAX(DATOS!$C$67,INDEX(TABLAS!$C$52:$C$58,MATCH(BM17,TABLAS!$B$52:$B$58,0))))/(INDEX(TABLAS!$C$52:$C$58,MATCH(BM17,TABLAS!$B$52:$B$58,0))+MAX(DATOS!$C$67,INDEX(TABLAS!$C$52:$C$58,MATCH(BM17,TABLAS!$B$52:$B$58,0)))))),BV17&gt;MIN(DATOS!$C$70,INT(((AC17-2*AK17)+MAX(DATOS!$C$67,INDEX(TABLAS!$C$52:$C$58,MATCH(BU17,TABLAS!$B$52:$B$58,0))))/(INDEX(TABLAS!$C$52:$C$58,MATCH(BU17,TABLAS!$B$52:$B$58,0))+MAX(DATOS!$C$67,INDEX(TABLAS!$C$52:$C$58,MATCH(BU17,TABLAS!$B$52:$B$58,0)))))),CD17&gt;MIN(DATOS!$C$70,INT(((DATOS!$C$80-2*AJ17)+MAX(DATOS!$C$67,INDEX(TABLAS!$C$52:$C$58,MATCH(CC17,TABLAS!$B$52:$B$58,0))))/(INDEX(TABLAS!$C$52:$C$58,MATCH(CC17,TABLAS!$B$52:$B$58,0))+MAX(DATOS!$C$67,INDEX(TABLAS!$C$52:$C$58,MATCH(CC17,TABLAS!$B$52:$B$58,0)))))),CL17&gt;MIN(DATOS!$C$70,INT(((DATOS!$C$80-2*AK17)+MAX(DATOS!$C$67,INDEX(TABLAS!$C$52:$C$58,MATCH(CK17,TABLAS!$B$52:$B$58,0))))/(INDEX(TABLAS!$C$52:$C$58,MATCH(CK17,TABLAS!$B$52:$B$58,0))+MAX(DATOS!$C$67,INDEX(TABLAS!$C$52:$C$58,MATCH(CK17,TABLAS!$B$52:$B$58,0))))))),"no caben ","")&amp;IF(OR(AND(ISNUMBER(BR17),BR17&lt;0.005),AND(ISNUMBER(BZ17),BZ17&lt;0.005),AND(ISNUMBER(CH17),CH17&lt;0.005),AND(ISNUMBER(CP17),CP17&lt;0.005)),"ε_t &lt; 0.005 ","")&amp;IF(LEFT(CT17,2)="NO","cortante ","")&amp;IF(CZ17="NO CUMPLE","peralte ","")&amp;IF(DA17&lt;&gt;"CUMPLE","capa &lt; 6 cm ","")&amp;IF(LEFT(DT17,2)="NO","respaldo del volado","")))))))</f>
        <v/>
      </c>
      <c r="DZ17" s="70" t="str">
        <f>IF(U17&lt;&gt;"SÍ","",IF(LEFT(B17,7)="EJEMPLO","EJEMPLO de la hoja de Casa Rocha: bórralo o sobrescríbelo. ","")&amp;IF(AND(C17="PERIMETRAL",MIN(DG17,DH17)=0),"No cabe un casetón en el claro corto: es un tablero macizo, diséñalo en MACIZAS. ","")&amp;IF(AND(AI17="NO",C17="PERIMETRAL"),"No cumple 6.7.8.1.4 (a_c = "&amp;MAX(DATOS!$C$78,AD17)&amp;" cm &gt; claro corto/6 = "&amp;TEXT(X17*100/6,"0")&amp;" cm): se diseña como losa apoyada en vigas (6.7.8.1.9): r de viga = "&amp;DATOS!$C$60&amp;" cm y V_cR sin ×1.1. Para que cuente como encasetonada: casetón de "&amp;TEXT(FLOOR(MIN(80,X17*100/6),1),"0")&amp;" cm o menor. ","")&amp;IF(C17="VOLADO","Volado de "&amp;TEXT(X17,"0.00")&amp;" m empotrado en el borde "&amp;LOWER(V17)&amp;IF(N(O17)&gt;0,", con "&amp;TEXT(O17,"0.0")&amp;" kg/m en la orilla","")&amp;". Lecho inferior con r_ext. Si la orilla carga pretil u otro elemento frágil, calcula la flecha (13.4). El acero superior entra al respaldo de "&amp;TEXT(IF(ISNUMBER(P17),P17,X17),"0.00")&amp;" m"&amp;IF(ISNUMBER(P17),""," (L_b no capturado: se tomó igual al volado)")&amp;" hasta pasar M = 0 con 0.9·PP sin carga viva; si ahí no se anula, llega al apoyo lejano y se ancla con gancho (NTC-Criterios 3.4.1 c y 5.1.2.2). "&amp;IF(AC17&gt;DATOS!$C$80,"Respaldo: "&amp;DT17&amp;". ",""),"")&amp;IF(LEFT(BJ17,5)="FUERA","El M⁻ del vecino difiere más de 50 % (3.4.2.1 c): distribuye el desequilibrio (3.4.3.1) o confirma con un modelo; se arma con el mayor. ","")&amp;IF(OR(DD17="SÍ",DE17="SÍ"),"El M⁻ del borde discontinuo pide bastón también ahí (con gancho). ","")&amp;IF(LEFT(DF17,2)="NO","Anclaje: "&amp;DF17&amp;" (6.7.8.1.7). ","")&amp;IF(OR(AZ17&gt;0,BA17&gt;0),"Esquinas exteriores sobre muro: refuerzo de esquina arriba y abajo en L_largo/5 (6.7.7.3.1). ",""))</f>
        <v/>
      </c>
    </row>
    <row r="18" ht="33" customHeight="1">
      <c r="A18" s="50">
        <f>IF(B18="",0,1)+A17</f>
        <v>4</v>
      </c>
      <c r="B18" s="29" t="n"/>
      <c r="C18" s="51" t="n"/>
      <c r="D18" s="29" t="n"/>
      <c r="E18" s="52" t="n"/>
      <c r="F18" s="52" t="n"/>
      <c r="G18" s="51" t="n"/>
      <c r="H18" s="51" t="n"/>
      <c r="I18" s="51" t="n"/>
      <c r="J18" s="51" t="n"/>
      <c r="K18" s="51" t="n"/>
      <c r="L18" s="51" t="n"/>
      <c r="M18" s="53" t="n"/>
      <c r="N18" s="53" t="n"/>
      <c r="O18" s="54" t="n"/>
      <c r="P18" s="52" t="n"/>
      <c r="Q18" s="53" t="n"/>
      <c r="R18" s="54" t="n"/>
      <c r="S18" s="52" t="n"/>
      <c r="T18" s="52" t="n"/>
      <c r="U18" s="55" t="str">
        <f>IF(B18="","",IF(AND(OR(C18="PERIMETRAL",C18="VOLADO"),ISNUMBER(E18),ISNUMBER(F18),E18&gt;0,F18&gt;0,OR(ISNUMBER(N18),ISNUMBER(MATCH(D18,DATOS!$B$46:$B$55,0)))),"SÍ","NO"))</f>
        <v/>
      </c>
      <c r="V18" s="55" t="str">
        <f>IF(U18&lt;&gt;"SÍ","",IF(C18&lt;&gt;"VOLADO","—",IF(COUNTIF(G18:J18,"CONTINUO")&lt;&gt;1,"?",IF(G18="CONTINUO","INFERIOR",IF(H18="CONTINUO","SUPERIOR",IF(I18="CONTINUO","IZQUIERDO","DERECHO"))))))</f>
        <v/>
      </c>
      <c r="W18" s="55" t="str">
        <f>IF(U18&lt;&gt;"SÍ","",IF(C18="VOLADO",IF(OR(V18="IZQUIERDO",V18="DERECHO"),"X","Y"),IF(E18&lt;=F18,"X","Y")))</f>
        <v/>
      </c>
      <c r="X18" s="56" t="str">
        <f>IF(U18&lt;&gt;"SÍ","",IF(C18="VOLADO",IF(W18="X",E18,F18),MIN(E18,F18)))</f>
        <v/>
      </c>
      <c r="Y18" s="56" t="str">
        <f>IF(U18&lt;&gt;"SÍ","",IF(C18="VOLADO",IF(W18="X",F18,E18),MAX(E18,F18)))</f>
        <v/>
      </c>
      <c r="Z18" s="56" t="str">
        <f>IF(U18&lt;&gt;"SÍ","",MIN(X18,Y18)/MAX(X18,Y18))</f>
        <v/>
      </c>
      <c r="AA18" s="57" t="str">
        <f>IF(U18&lt;&gt;"SÍ","",MAX(1,X18*100-IF(C18="VOLADO",DATOS!$C$84/2,DATOS!$C$84)))</f>
        <v/>
      </c>
      <c r="AB18" s="57" t="str">
        <f>IF(U18&lt;&gt;"SÍ","",MAX(1,Y18*100-DATOS!$C$84))</f>
        <v/>
      </c>
      <c r="AC18" s="57" t="str">
        <f>IF(U18&lt;&gt;"SÍ","",IF(ISNUMBER(Q18),Q18,DATOS!$C$80))</f>
        <v/>
      </c>
      <c r="AD18" s="57" t="str">
        <f>IF(U18&lt;&gt;"SÍ","",MAX(0,DATOS!$C$83-AC18))</f>
        <v/>
      </c>
      <c r="AE18" s="57" t="str">
        <f>IF(U18&lt;&gt;"SÍ","",IF(OR(DATOS!$C$62="SÍ",AC18&gt;=20),AC18,AC18-2))</f>
        <v/>
      </c>
      <c r="AF18" s="57" t="str">
        <f>IF(U18&lt;&gt;"SÍ","",IF(OR(DATOS!$C$62="SÍ",DATOS!$C$80&gt;=20),DATOS!$C$80,DATOS!$C$80-2))</f>
        <v/>
      </c>
      <c r="AG18" s="57" t="str">
        <f>IF(U18&lt;&gt;"SÍ","",MIN(DATOS!$C$83,AC18+2*MIN(8*DATOS!$C$81,AD18/2,AA18/8)))</f>
        <v/>
      </c>
      <c r="AH18" s="57" t="str">
        <f>IF(U18&lt;&gt;"SÍ","",MIN(DATOS!$C$83,DATOS!$C$80+2*MIN(8*DATOS!$C$81,DATOS!$C$78/2,AB18/8)))</f>
        <v/>
      </c>
      <c r="AI18" s="55" t="str">
        <f>IF(U18&lt;&gt;"SÍ","",IF(AND(C18="PERIMETRAL",X18*100&gt;=6*MAX(DATOS!$C$78,AD18),MAX(DATOS!$C$78,AD18)&lt;=80,MIN(DATOS!$C$80,AC18)&gt;=10,DATOS!$C$82&lt;=3.5*MIN(DATOS!$C$80,AC18),DATOS!$C$81&gt;=MAX(MAX(DATOS!$C$78,AD18)/13,5)),"SÍ","NO"))</f>
        <v/>
      </c>
      <c r="AJ18" s="57" t="str">
        <f>IF(U18&lt;&gt;"SÍ","",IF(C18="VOLADO",DATOS!$C$61,IF(AI18="NO",DATOS!$C$60,DATOS!$C$59)))</f>
        <v/>
      </c>
      <c r="AK18" s="57" t="str">
        <f>IF(U18&lt;&gt;"SÍ","",IF(OR(AND(AM18="SÍ",DATOS!$C$63="SÍ"),AND(C18="VOLADO",DATOS!$C$64="SÍ")),DATOS!$C$61,IF(AI18="NO",DATOS!$C$60,DATOS!$C$59)))</f>
        <v/>
      </c>
      <c r="AL18" s="58" t="str">
        <f>IF(U18&lt;&gt;"SÍ","",MAX(AK18,(DATOS!$C$81-2*DATOS!$C$94)/2))</f>
        <v/>
      </c>
      <c r="AM18" s="55" t="str">
        <f>IF(U18&lt;&gt;"SÍ","",IFERROR(INDEX(DATOS!$D$46:$D$55,MATCH(D18,DATOS!$B$46:$B$55,0)),"NO"))</f>
        <v/>
      </c>
      <c r="AN18" s="59" t="str">
        <f>IF(U18&lt;&gt;"SÍ","",IF(ISNUMBER(N18),N18,IFERROR(INDEX(DATOS!$C$46:$C$55,MATCH(D18,DATOS!$B$46:$B$55,0)),0)))</f>
        <v/>
      </c>
      <c r="AO18" s="59" t="str">
        <f>IF(U18&lt;&gt;"SÍ","",(DATOS!$C$82/100-(AD18*DATOS!$C$78/DATOS!$C$83^2)*DATOS!$C$79/100)*DATOS!$C$16*1000+(AD18*DATOS!$C$78/DATOS!$C$83^2)*DATOS!$C$79/100*DATOS!$C$17*1000+DATOS!$C$37+DATOS!$C$38)</f>
        <v/>
      </c>
      <c r="AP18" s="59" t="str">
        <f>IF(U18&lt;&gt;"SÍ","",AO18+N(M18))</f>
        <v/>
      </c>
      <c r="AQ18" s="60" t="str">
        <f>IF(U18&lt;&gt;"SÍ","",MAX(DATOS!$C$26*AP18+DATOS!$C$27*AN18,IF(AM18="SÍ",DATOS!$C$28*(AP18+DATOS!$C$41),0)))</f>
        <v/>
      </c>
      <c r="AR18" s="59" t="str">
        <f>IF(U18&lt;&gt;"SÍ","",(G18="DISCONTINUO")+(H18="DISCONTINUO")+(I18="DISCONTINUO")+(J18="DISCONTINUO"))</f>
        <v/>
      </c>
      <c r="AS18" s="59" t="str">
        <f>IF(U18&lt;&gt;"SÍ","",IF(W18="X",(G18="DISCONTINUO")+(H18="DISCONTINUO"),(I18="DISCONTINUO")+(J18="DISCONTINUO")))</f>
        <v/>
      </c>
      <c r="AT18" s="55" t="str">
        <f>IF(U18&lt;&gt;"SÍ","",IF(AR18=0,"INTERIOR",IF(AR18=1,IF(AS18=1,"BORDE-CORTO","BORDE-LARGO"),IF(AR18=2,IF(AS18=1,"ESQUINA",IF(AS18=2,"EXTREMO-LARGO","EXTREMO-CORTO")),IF(AR18=3,IF(AS18=2,"EXTREMO-LARGO","EXTREMO-CORTO"),"AISLADO")))))</f>
        <v/>
      </c>
      <c r="AU18" s="61" t="str">
        <f>IF(U18&lt;&gt;"SÍ","",IF(OR(K18="",K18="AUTO"),AT18,K18))</f>
        <v/>
      </c>
      <c r="AV18" s="59" t="str">
        <f>IF(U18&lt;&gt;"SÍ","",MATCH(Z18,TABLAS!$D$5:$J$5,1))</f>
        <v/>
      </c>
      <c r="AW18" s="58" t="str">
        <f>IF(U18&lt;&gt;"SÍ","",IF(AV18&gt;=7,0,(Z18-INDEX(TABLAS!$D$5:$J$5,AV18))/(INDEX(TABLAS!$D$5:$J$5,AV18+1)-INDEX(TABLAS!$D$5:$J$5,AV18))))</f>
        <v/>
      </c>
      <c r="AX18" s="59" t="str">
        <f>IF(U18&lt;&gt;"SÍ","",INDEX(TABLAS!$D$6:$J$47,MATCH(AU18&amp;"|NIC",TABLAS!$B$6:$B$47,0),AV18)+AW18*(INDEX(TABLAS!$D$6:$J$47,MATCH(AU18&amp;"|NIC",TABLAS!$B$6:$B$47,0),MIN(AV18+1,7))-INDEX(TABLAS!$D$6:$J$47,MATCH(AU18&amp;"|NIC",TABLAS!$B$6:$B$47,0),AV18)))</f>
        <v/>
      </c>
      <c r="AY18" s="59" t="str">
        <f>IF(U18&lt;&gt;"SÍ","",INDEX(TABLAS!$D$6:$J$47,MATCH(AU18&amp;"|NIL",TABLAS!$B$6:$B$47,0),AV18)+AW18*(INDEX(TABLAS!$D$6:$J$47,MATCH(AU18&amp;"|NIL",TABLAS!$B$6:$B$47,0),MIN(AV18+1,7))-INDEX(TABLAS!$D$6:$J$47,MATCH(AU18&amp;"|NIL",TABLAS!$B$6:$B$47,0),AV18)))</f>
        <v/>
      </c>
      <c r="AZ18" s="59" t="str">
        <f>IF(U18&lt;&gt;"SÍ","",INDEX(TABLAS!$D$6:$J$47,MATCH(AU18&amp;"|NDC",TABLAS!$B$6:$B$47,0),AV18)+AW18*(INDEX(TABLAS!$D$6:$J$47,MATCH(AU18&amp;"|NDC",TABLAS!$B$6:$B$47,0),MIN(AV18+1,7))-INDEX(TABLAS!$D$6:$J$47,MATCH(AU18&amp;"|NDC",TABLAS!$B$6:$B$47,0),AV18)))</f>
        <v/>
      </c>
      <c r="BA18" s="59" t="str">
        <f>IF(U18&lt;&gt;"SÍ","",INDEX(TABLAS!$D$6:$J$47,MATCH(AU18&amp;"|NDL",TABLAS!$B$6:$B$47,0),AV18)+AW18*(INDEX(TABLAS!$D$6:$J$47,MATCH(AU18&amp;"|NDL",TABLAS!$B$6:$B$47,0),MIN(AV18+1,7))-INDEX(TABLAS!$D$6:$J$47,MATCH(AU18&amp;"|NDL",TABLAS!$B$6:$B$47,0),AV18)))</f>
        <v/>
      </c>
      <c r="BB18" s="59" t="str">
        <f>IF(U18&lt;&gt;"SÍ","",INDEX(TABLAS!$D$6:$J$47,MATCH(AU18&amp;"|PC",TABLAS!$B$6:$B$47,0),AV18)+AW18*(INDEX(TABLAS!$D$6:$J$47,MATCH(AU18&amp;"|PC",TABLAS!$B$6:$B$47,0),MIN(AV18+1,7))-INDEX(TABLAS!$D$6:$J$47,MATCH(AU18&amp;"|PC",TABLAS!$B$6:$B$47,0),AV18)))</f>
        <v/>
      </c>
      <c r="BC18" s="59" t="str">
        <f>IF(U18&lt;&gt;"SÍ","",INDEX(TABLAS!$D$6:$J$47,MATCH(AU18&amp;"|PL",TABLAS!$B$6:$B$47,0),AV18)+AW18*(INDEX(TABLAS!$D$6:$J$47,MATCH(AU18&amp;"|PL",TABLAS!$B$6:$B$47,0),MIN(AV18+1,7))-INDEX(TABLAS!$D$6:$J$47,MATCH(AU18&amp;"|PL",TABLAS!$B$6:$B$47,0),AV18)))</f>
        <v/>
      </c>
      <c r="BD18" s="56" t="str">
        <f>IF(U18&lt;&gt;"SÍ","",IF(C18&lt;&gt;"VOLADO",0,DATOS!$C$26*DATOS!$C$16*DATOS!$C$83/100*(((AD18*DATOS!$C$78/DATOS!$C$83^2)*DATOS!$C$79/100)*(IF(W18="X",DI18,DJ18)+DATOS!$C$84/2)/100*(AA18-(IF(W18="X",DI18,DJ18)+DATOS!$C$84/2)/2)/100+((AD18*DATOS!$C$78/DATOS!$C$83^2)*DATOS!$C$79/100)*IF(W18="X",DI18,DJ18)/100*IF(W18="X",DI18,DJ18)/200)))</f>
        <v/>
      </c>
      <c r="BE18" s="56" t="str">
        <f>IF(U18&lt;&gt;"SÍ","",IF(C18&lt;&gt;"VOLADO",0,DATOS!$C$26*DATOS!$C$16*DATOS!$C$83/100*((AD18*DATOS!$C$78/DATOS!$C$83^2)*DATOS!$C$79/100)*(IF(W18="X",DI18,DJ18)+DATOS!$C$84/2)/100))</f>
        <v/>
      </c>
      <c r="BF18" s="56" t="str">
        <f>IF(U18&lt;&gt;"SÍ","",IF(C18="PERIMETRAL",BB18*AQ18*X18^2*1E-4*DATOS!$C$83/100/1000,0))</f>
        <v/>
      </c>
      <c r="BG18" s="62" t="str">
        <f>IF(U18&lt;&gt;"SÍ","",IF(C18="PERIMETRAL",MAX(MAX(AX18,AZ18)*AQ18*X18^2*1E-4*DATOS!$C$83/100/1000,N(S18)),(AQ18*(AA18/100)^2/2+DATOS!$C$26*N(O18)*AA18/100)*DATOS!$C$83/100/1000+BD18))</f>
        <v/>
      </c>
      <c r="BH18" s="56" t="str">
        <f>IF(U18&lt;&gt;"SÍ","",IF(C18="PERIMETRAL",BC18*AQ18*X18^2*1E-4*DATOS!$C$83/100/1000,0))</f>
        <v/>
      </c>
      <c r="BI18" s="56" t="str">
        <f>IF(U18&lt;&gt;"SÍ","",IF(C18="PERIMETRAL",MAX(MAX(AY18,BA18)*AQ18*X18^2*1E-4*DATOS!$C$83/100/1000,N(T18)),0))</f>
        <v/>
      </c>
      <c r="BJ18" s="63" t="str">
        <f>IF(U18&lt;&gt;"SÍ","",IF(C18&lt;&gt;"PERIMETRAL","—",IF(AND(N(S18)=0,N(T18)=0),"— (sin M⁻ del vecino)",IF(OR(AND(N(S18)&gt;0,ABS(MAX(AX18,AZ18)*AQ18*X18^2*1E-4*DATOS!$C$83/100/1000-N(S18))&gt;0.5*MIN(MAX(AX18,AZ18)*AQ18*X18^2*1E-4*DATOS!$C$83/100/1000,N(S18))),AND(N(T18)&gt;0,ABS(MAX(AY18,BA18)*AQ18*X18^2*1E-4*DATOS!$C$83/100/1000-N(T18))&gt;0.5*MIN(MAX(AY18,BA18)*AQ18*X18^2*1E-4*DATOS!$C$83/100/1000,N(T18)))),"FUERA: difieren &gt; 50 %"&amp;IF(AND(N(S18)&gt;0,ABS(MAX(AX18,AZ18)*AQ18*X18^2*1E-4*DATOS!$C$83/100/1000-N(S18))&gt;0.5*MIN(MAX(AX18,AZ18)*AQ18*X18^2*1E-4*DATOS!$C$83/100/1000,N(S18)))," ‖ corto","")&amp;IF(AND(N(T18)&gt;0,ABS(MAX(AY18,BA18)*AQ18*X18^2*1E-4*DATOS!$C$83/100/1000-N(T18))&gt;0.5*MIN(MAX(AY18,BA18)*AQ18*X18^2*1E-4*DATOS!$C$83/100/1000,N(T18)))," ‖ largo",""),"CUMPLE"))))</f>
        <v/>
      </c>
      <c r="BK18" s="58" t="str">
        <f>IF(U18&lt;&gt;"SÍ","",(DATOS!$C$82-AJ18-INDEX(TABLAS!$C$52:$C$58,MATCH(DATOS!$C$68,TABLAS!$B$52:$B$58,0))/2))</f>
        <v/>
      </c>
      <c r="BL18" s="58" t="str">
        <f>IF(U18&lt;&gt;"SÍ","",IF(IF(BF18&lt;=0,0,IF((1-2*BF18*1E5/(DATOS!$C$29*AG18*BK18^2*DATOS!$C$21))&lt;0,-1,IF((1-SQRT((1-2*BF18*1E5/(DATOS!$C$29*AG18*BK18^2*DATOS!$C$21))))*DATOS!$C$21*AG18*BK18/DATOS!$C$14&gt;DATOS!$C$99*AG18*BK18,-1,(1-SQRT((1-2*BF18*1E5/(DATOS!$C$29*AG18*BK18^2*DATOS!$C$21))))*DATOS!$C$21*AG18*BK18/DATOS!$C$14)))&lt;0,-1,MAX(IF(BF18&lt;=0,0,IF((1-2*BF18*1E5/(DATOS!$C$29*AG18*BK18^2*DATOS!$C$21))&lt;0,-1,IF((1-SQRT((1-2*BF18*1E5/(DATOS!$C$29*AG18*BK18^2*DATOS!$C$21))))*DATOS!$C$21*AG18*BK18/DATOS!$C$14&gt;DATOS!$C$99*AG18*BK18,-1,(1-SQRT((1-2*BF18*1E5/(DATOS!$C$29*AG18*BK18^2*DATOS!$C$21))))*DATOS!$C$21*AG18*BK18/DATOS!$C$14))),MIN(DATOS!$C$100*AC18*BK18,4/3*IF(BF18&lt;=0,0,IF((1-2*BF18*1E5/(DATOS!$C$29*AG18*BK18^2*DATOS!$C$21))&lt;0,-1,IF((1-SQRT((1-2*BF18*1E5/(DATOS!$C$29*AG18*BK18^2*DATOS!$C$21))))*DATOS!$C$21*AG18*BK18/DATOS!$C$14&gt;DATOS!$C$99*AG18*BK18,-1,(1-SQRT((1-2*BF18*1E5/(DATOS!$C$29*AG18*BK18^2*DATOS!$C$21))))*DATOS!$C$21*AG18*BK18/DATOS!$C$14)))))))</f>
        <v/>
      </c>
      <c r="BM18" s="64" t="str">
        <f>IF(U18&lt;&gt;"SÍ","",IF(AND(BL18&gt;=0,IF(MAX(DATOS!$C$71,CEILING(BL18/INDEX(TABLAS!$D$52:$D$58,MIN(MATCH(DATOS!$C$68,TABLAS!$B$52:$B$58,0)+0,7)),1))*INDEX(TABLAS!$D$52:$D$58,MIN(MATCH(DATOS!$C$68,TABLAS!$B$52:$B$58,0)+0,7))&gt;=4/3*IF(BF18&lt;=0,0,IF((1-2*BF18*1E5/(DATOS!$C$29*AG18*BK18^2*DATOS!$C$21))&lt;0,-1,IF((1-SQRT((1-2*BF18*1E5/(DATOS!$C$29*AG18*BK18^2*DATOS!$C$21))))*DATOS!$C$21*AG18*BK18/DATOS!$C$14&gt;DATOS!$C$99*AG18*BK18,-1,(1-SQRT((1-2*BF18*1E5/(DATOS!$C$29*AG18*BK18^2*DATOS!$C$21))))*DATOS!$C$21*AG18*BK18/DATOS!$C$14)))-0.0001,MAX(DATOS!$C$71,CEILING(BL18/INDEX(TABLAS!$D$52:$D$58,MIN(MATCH(DATOS!$C$68,TABLAS!$B$52:$B$58,0)+0,7)),1)),MAX(MAX(DATOS!$C$71,CEILING(BL18/INDEX(TABLAS!$D$52:$D$58,MIN(MATCH(DATOS!$C$68,TABLAS!$B$52:$B$58,0)+0,7)),1)),2))&lt;=MIN(DATOS!$C$70,INT(((AC18-2*AJ18)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18&gt;=0,IF(MAX(DATOS!$C$71,CEILING(BL18/INDEX(TABLAS!$D$52:$D$58,MIN(MATCH(DATOS!$C$68,TABLAS!$B$52:$B$58,0)+1,7)),1))*INDEX(TABLAS!$D$52:$D$58,MIN(MATCH(DATOS!$C$68,TABLAS!$B$52:$B$58,0)+1,7))&gt;=4/3*IF(BF18&lt;=0,0,IF((1-2*BF18*1E5/(DATOS!$C$29*AG18*BK18^2*DATOS!$C$21))&lt;0,-1,IF((1-SQRT((1-2*BF18*1E5/(DATOS!$C$29*AG18*BK18^2*DATOS!$C$21))))*DATOS!$C$21*AG18*BK18/DATOS!$C$14&gt;DATOS!$C$99*AG18*BK18,-1,(1-SQRT((1-2*BF18*1E5/(DATOS!$C$29*AG18*BK18^2*DATOS!$C$21))))*DATOS!$C$21*AG18*BK18/DATOS!$C$14)))-0.0001,MAX(DATOS!$C$71,CEILING(BL18/INDEX(TABLAS!$D$52:$D$58,MIN(MATCH(DATOS!$C$68,TABLAS!$B$52:$B$58,0)+1,7)),1)),MAX(MAX(DATOS!$C$71,CEILING(BL18/INDEX(TABLAS!$D$52:$D$58,MIN(MATCH(DATOS!$C$68,TABLAS!$B$52:$B$58,0)+1,7)),1)),2))&lt;=MIN(DATOS!$C$70,INT(((AC18-2*AJ18)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18&gt;=0,IF(MAX(DATOS!$C$71,CEILING(BL18/INDEX(TABLAS!$D$52:$D$58,MIN(MATCH(DATOS!$C$68,TABLAS!$B$52:$B$58,0)+2,7)),1))*INDEX(TABLAS!$D$52:$D$58,MIN(MATCH(DATOS!$C$68,TABLAS!$B$52:$B$58,0)+2,7))&gt;=4/3*IF(BF18&lt;=0,0,IF((1-2*BF18*1E5/(DATOS!$C$29*AG18*BK18^2*DATOS!$C$21))&lt;0,-1,IF((1-SQRT((1-2*BF18*1E5/(DATOS!$C$29*AG18*BK18^2*DATOS!$C$21))))*DATOS!$C$21*AG18*BK18/DATOS!$C$14&gt;DATOS!$C$99*AG18*BK18,-1,(1-SQRT((1-2*BF18*1E5/(DATOS!$C$29*AG18*BK18^2*DATOS!$C$21))))*DATOS!$C$21*AG18*BK18/DATOS!$C$14)))-0.0001,MAX(DATOS!$C$71,CEILING(BL18/INDEX(TABLAS!$D$52:$D$58,MIN(MATCH(DATOS!$C$68,TABLAS!$B$52:$B$58,0)+2,7)),1)),MAX(MAX(DATOS!$C$71,CEILING(BL18/INDEX(TABLAS!$D$52:$D$58,MIN(MATCH(DATOS!$C$68,TABLAS!$B$52:$B$58,0)+2,7)),1)),2))&lt;=MIN(DATOS!$C$70,INT(((AC18-2*AJ18)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18&gt;=0,IF(MAX(DATOS!$C$71,CEILING(BL18/INDEX(TABLAS!$D$52:$D$58,MIN(MATCH(DATOS!$C$68,TABLAS!$B$52:$B$58,0)+3,7)),1))*INDEX(TABLAS!$D$52:$D$58,MIN(MATCH(DATOS!$C$68,TABLAS!$B$52:$B$58,0)+3,7))&gt;=4/3*IF(BF18&lt;=0,0,IF((1-2*BF18*1E5/(DATOS!$C$29*AG18*BK18^2*DATOS!$C$21))&lt;0,-1,IF((1-SQRT((1-2*BF18*1E5/(DATOS!$C$29*AG18*BK18^2*DATOS!$C$21))))*DATOS!$C$21*AG18*BK18/DATOS!$C$14&gt;DATOS!$C$99*AG18*BK18,-1,(1-SQRT((1-2*BF18*1E5/(DATOS!$C$29*AG18*BK18^2*DATOS!$C$21))))*DATOS!$C$21*AG18*BK18/DATOS!$C$14)))-0.0001,MAX(DATOS!$C$71,CEILING(BL18/INDEX(TABLAS!$D$52:$D$58,MIN(MATCH(DATOS!$C$68,TABLAS!$B$52:$B$58,0)+3,7)),1)),MAX(MAX(DATOS!$C$71,CEILING(BL18/INDEX(TABLAS!$D$52:$D$58,MIN(MATCH(DATOS!$C$68,TABLAS!$B$52:$B$58,0)+3,7)),1)),2))&lt;=MIN(DATOS!$C$70,INT(((AC18-2*AJ18)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18&gt;=0,IF(MAX(DATOS!$C$71,CEILING(BL18/INDEX(TABLAS!$D$52:$D$58,MIN(MATCH(DATOS!$C$68,TABLAS!$B$52:$B$58,0)+4,7)),1))*INDEX(TABLAS!$D$52:$D$58,MIN(MATCH(DATOS!$C$68,TABLAS!$B$52:$B$58,0)+4,7))&gt;=4/3*IF(BF18&lt;=0,0,IF((1-2*BF18*1E5/(DATOS!$C$29*AG18*BK18^2*DATOS!$C$21))&lt;0,-1,IF((1-SQRT((1-2*BF18*1E5/(DATOS!$C$29*AG18*BK18^2*DATOS!$C$21))))*DATOS!$C$21*AG18*BK18/DATOS!$C$14&gt;DATOS!$C$99*AG18*BK18,-1,(1-SQRT((1-2*BF18*1E5/(DATOS!$C$29*AG18*BK18^2*DATOS!$C$21))))*DATOS!$C$21*AG18*BK18/DATOS!$C$14)))-0.0001,MAX(DATOS!$C$71,CEILING(BL18/INDEX(TABLAS!$D$52:$D$58,MIN(MATCH(DATOS!$C$68,TABLAS!$B$52:$B$58,0)+4,7)),1)),MAX(MAX(DATOS!$C$71,CEILING(BL18/INDEX(TABLAS!$D$52:$D$58,MIN(MATCH(DATOS!$C$68,TABLAS!$B$52:$B$58,0)+4,7)),1)),2))&lt;=MIN(DATOS!$C$70,INT(((AC18-2*AJ18)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18" s="59" t="str">
        <f>IF(U18&lt;&gt;"SÍ","",IF(BL18&lt;0,0,IF(MAX(DATOS!$C$71,CEILING(MAX(BL18,0)/INDEX(TABLAS!$D$52:$D$58,MATCH(BM18,TABLAS!$B$52:$B$58,0)),1))*INDEX(TABLAS!$D$52:$D$58,MATCH(BM18,TABLAS!$B$52:$B$58,0))&gt;=4/3*IF(BF18&lt;=0,0,IF((1-2*BF18*1E5/(DATOS!$C$29*AG18*BK18^2*DATOS!$C$21))&lt;0,-1,IF((1-SQRT((1-2*BF18*1E5/(DATOS!$C$29*AG18*BK18^2*DATOS!$C$21))))*DATOS!$C$21*AG18*BK18/DATOS!$C$14&gt;DATOS!$C$99*AG18*BK18,-1,(1-SQRT((1-2*BF18*1E5/(DATOS!$C$29*AG18*BK18^2*DATOS!$C$21))))*DATOS!$C$21*AG18*BK18/DATOS!$C$14)))-0.0001,MAX(DATOS!$C$71,CEILING(MAX(BL18,0)/INDEX(TABLAS!$D$52:$D$58,MATCH(BM18,TABLAS!$B$52:$B$58,0)),1)),MAX(MAX(DATOS!$C$71,CEILING(MAX(BL18,0)/INDEX(TABLAS!$D$52:$D$58,MATCH(BM18,TABLAS!$B$52:$B$58,0)),1)),2))))</f>
        <v/>
      </c>
      <c r="BO18" s="58" t="str">
        <f>IF(U18&lt;&gt;"SÍ","",DATOS!$C$82-AJ18-INDEX(TABLAS!$C$52:$C$58,MATCH(BM18,TABLAS!$B$52:$B$58,0))/2)</f>
        <v/>
      </c>
      <c r="BP18" s="56" t="str">
        <f>IF(U18&lt;&gt;"SÍ","",IF(BN18=0,0,DATOS!$C$29*BN18*INDEX(TABLAS!$D$52:$D$58,MATCH(BM18,TABLAS!$B$52:$B$58,0))*DATOS!$C$14*(BO18-BN18*INDEX(TABLAS!$D$52:$D$58,MATCH(BM18,TABLAS!$B$52:$B$58,0))*DATOS!$C$14/(DATOS!$C$21*AG18)/2)/1E5))</f>
        <v/>
      </c>
      <c r="BQ18" s="65" t="str">
        <f>IF(U18&lt;&gt;"SÍ","",IF(BL18&lt;0,9.99,IF(BP18&gt;0,BF18/BP18,0)))</f>
        <v/>
      </c>
      <c r="BR18" s="66" t="str">
        <f>IF(U18&lt;&gt;"SÍ","",IF(BN18=0,"—",0.003*(BO18-(BN18*INDEX(TABLAS!$D$52:$D$58,MATCH(BM18,TABLAS!$B$52:$B$58,0))*DATOS!$C$14/(DATOS!$C$21*AG18)/DATOS!$C$22))/(BN18*INDEX(TABLAS!$D$52:$D$58,MATCH(BM18,TABLAS!$B$52:$B$58,0))*DATOS!$C$14/(DATOS!$C$21*AG18)/DATOS!$C$22)))</f>
        <v/>
      </c>
      <c r="BS18" s="58" t="str">
        <f>IF(U18&lt;&gt;"SÍ","",((DATOS!$C$82-AL18-2*DATOS!$C$94-INDEX(TABLAS!$C$52:$C$58,MATCH(DATOS!$C$69,TABLAS!$B$52:$B$58,0))/2)-IF(AND((DATOS!$C$82-AL18-2*DATOS!$C$94-INDEX(TABLAS!$C$52:$C$58,MATCH(DATOS!$C$69,TABLAS!$B$52:$B$58,0))/2)&lt;=20,DATOS!$C$62&lt;&gt;"SÍ"),2,0)))</f>
        <v/>
      </c>
      <c r="BT18" s="58" t="str">
        <f>IF(U18&lt;&gt;"SÍ","",IF(IF(BG18&lt;=0,0,IF((1-2*BG18*1E5/(DATOS!$C$29*AE18*BS18^2*DATOS!$C$21))&lt;0,-1,IF((1-SQRT((1-2*BG18*1E5/(DATOS!$C$29*AE18*BS18^2*DATOS!$C$21))))*DATOS!$C$21*AE18*BS18/DATOS!$C$14&gt;DATOS!$C$99*AE18*BS18,-1,(1-SQRT((1-2*BG18*1E5/(DATOS!$C$29*AE18*BS18^2*DATOS!$C$21))))*DATOS!$C$21*AE18*BS18/DATOS!$C$14)))&lt;0,-1,MAX(IF(BG18&lt;=0,0,IF((1-2*BG18*1E5/(DATOS!$C$29*AE18*BS18^2*DATOS!$C$21))&lt;0,-1,IF((1-SQRT((1-2*BG18*1E5/(DATOS!$C$29*AE18*BS18^2*DATOS!$C$21))))*DATOS!$C$21*AE18*BS18/DATOS!$C$14&gt;DATOS!$C$99*AE18*BS18,-1,(1-SQRT((1-2*BG18*1E5/(DATOS!$C$29*AE18*BS18^2*DATOS!$C$21))))*DATOS!$C$21*AE18*BS18/DATOS!$C$14))),MIN(DATOS!$C$100*IF(C18="VOLADO",MIN(AG18,2*AC18),AC18)*BS18,4/3*IF(BG18&lt;=0,0,IF((1-2*BG18*1E5/(DATOS!$C$29*AE18*BS18^2*DATOS!$C$21))&lt;0,-1,IF((1-SQRT((1-2*BG18*1E5/(DATOS!$C$29*AE18*BS18^2*DATOS!$C$21))))*DATOS!$C$21*AE18*BS18/DATOS!$C$14&gt;DATOS!$C$99*AE18*BS18,-1,(1-SQRT((1-2*BG18*1E5/(DATOS!$C$29*AE18*BS18^2*DATOS!$C$21))))*DATOS!$C$21*AE18*BS18/DATOS!$C$14)))))))</f>
        <v/>
      </c>
      <c r="BU18" s="64" t="str">
        <f>IF(U18&lt;&gt;"SÍ","",IF(AND(BT18&gt;=0,IF(MAX(DATOS!$C$71,CEILING(BT18/INDEX(TABLAS!$D$52:$D$58,MIN(MATCH(DATOS!$C$69,TABLAS!$B$52:$B$58,0)+0,7)),1))*INDEX(TABLAS!$D$52:$D$58,MIN(MATCH(DATOS!$C$69,TABLAS!$B$52:$B$58,0)+0,7))&gt;=4/3*IF(BG18&lt;=0,0,IF((1-2*BG18*1E5/(DATOS!$C$29*AE18*BS18^2*DATOS!$C$21))&lt;0,-1,IF((1-SQRT((1-2*BG18*1E5/(DATOS!$C$29*AE18*BS18^2*DATOS!$C$21))))*DATOS!$C$21*AE18*BS18/DATOS!$C$14&gt;DATOS!$C$99*AE18*BS18,-1,(1-SQRT((1-2*BG18*1E5/(DATOS!$C$29*AE18*BS18^2*DATOS!$C$21))))*DATOS!$C$21*AE18*BS18/DATOS!$C$14)))-0.0001,MAX(DATOS!$C$71,CEILING(BT18/INDEX(TABLAS!$D$52:$D$58,MIN(MATCH(DATOS!$C$69,TABLAS!$B$52:$B$58,0)+0,7)),1)),MAX(MAX(DATOS!$C$71,CEILING(BT18/INDEX(TABLAS!$D$52:$D$58,MIN(MATCH(DATOS!$C$69,TABLAS!$B$52:$B$58,0)+0,7)),1)),2))&lt;=MIN(DATOS!$C$70,INT(((AC18-2*AK18)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18&gt;=0,IF(MAX(DATOS!$C$71,CEILING(BT18/INDEX(TABLAS!$D$52:$D$58,MIN(MATCH(DATOS!$C$69,TABLAS!$B$52:$B$58,0)+1,7)),1))*INDEX(TABLAS!$D$52:$D$58,MIN(MATCH(DATOS!$C$69,TABLAS!$B$52:$B$58,0)+1,7))&gt;=4/3*IF(BG18&lt;=0,0,IF((1-2*BG18*1E5/(DATOS!$C$29*AE18*BS18^2*DATOS!$C$21))&lt;0,-1,IF((1-SQRT((1-2*BG18*1E5/(DATOS!$C$29*AE18*BS18^2*DATOS!$C$21))))*DATOS!$C$21*AE18*BS18/DATOS!$C$14&gt;DATOS!$C$99*AE18*BS18,-1,(1-SQRT((1-2*BG18*1E5/(DATOS!$C$29*AE18*BS18^2*DATOS!$C$21))))*DATOS!$C$21*AE18*BS18/DATOS!$C$14)))-0.0001,MAX(DATOS!$C$71,CEILING(BT18/INDEX(TABLAS!$D$52:$D$58,MIN(MATCH(DATOS!$C$69,TABLAS!$B$52:$B$58,0)+1,7)),1)),MAX(MAX(DATOS!$C$71,CEILING(BT18/INDEX(TABLAS!$D$52:$D$58,MIN(MATCH(DATOS!$C$69,TABLAS!$B$52:$B$58,0)+1,7)),1)),2))&lt;=MIN(DATOS!$C$70,INT(((AC18-2*AK18)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18&gt;=0,IF(MAX(DATOS!$C$71,CEILING(BT18/INDEX(TABLAS!$D$52:$D$58,MIN(MATCH(DATOS!$C$69,TABLAS!$B$52:$B$58,0)+2,7)),1))*INDEX(TABLAS!$D$52:$D$58,MIN(MATCH(DATOS!$C$69,TABLAS!$B$52:$B$58,0)+2,7))&gt;=4/3*IF(BG18&lt;=0,0,IF((1-2*BG18*1E5/(DATOS!$C$29*AE18*BS18^2*DATOS!$C$21))&lt;0,-1,IF((1-SQRT((1-2*BG18*1E5/(DATOS!$C$29*AE18*BS18^2*DATOS!$C$21))))*DATOS!$C$21*AE18*BS18/DATOS!$C$14&gt;DATOS!$C$99*AE18*BS18,-1,(1-SQRT((1-2*BG18*1E5/(DATOS!$C$29*AE18*BS18^2*DATOS!$C$21))))*DATOS!$C$21*AE18*BS18/DATOS!$C$14)))-0.0001,MAX(DATOS!$C$71,CEILING(BT18/INDEX(TABLAS!$D$52:$D$58,MIN(MATCH(DATOS!$C$69,TABLAS!$B$52:$B$58,0)+2,7)),1)),MAX(MAX(DATOS!$C$71,CEILING(BT18/INDEX(TABLAS!$D$52:$D$58,MIN(MATCH(DATOS!$C$69,TABLAS!$B$52:$B$58,0)+2,7)),1)),2))&lt;=MIN(DATOS!$C$70,INT(((AC18-2*AK18)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18&gt;=0,IF(MAX(DATOS!$C$71,CEILING(BT18/INDEX(TABLAS!$D$52:$D$58,MIN(MATCH(DATOS!$C$69,TABLAS!$B$52:$B$58,0)+3,7)),1))*INDEX(TABLAS!$D$52:$D$58,MIN(MATCH(DATOS!$C$69,TABLAS!$B$52:$B$58,0)+3,7))&gt;=4/3*IF(BG18&lt;=0,0,IF((1-2*BG18*1E5/(DATOS!$C$29*AE18*BS18^2*DATOS!$C$21))&lt;0,-1,IF((1-SQRT((1-2*BG18*1E5/(DATOS!$C$29*AE18*BS18^2*DATOS!$C$21))))*DATOS!$C$21*AE18*BS18/DATOS!$C$14&gt;DATOS!$C$99*AE18*BS18,-1,(1-SQRT((1-2*BG18*1E5/(DATOS!$C$29*AE18*BS18^2*DATOS!$C$21))))*DATOS!$C$21*AE18*BS18/DATOS!$C$14)))-0.0001,MAX(DATOS!$C$71,CEILING(BT18/INDEX(TABLAS!$D$52:$D$58,MIN(MATCH(DATOS!$C$69,TABLAS!$B$52:$B$58,0)+3,7)),1)),MAX(MAX(DATOS!$C$71,CEILING(BT18/INDEX(TABLAS!$D$52:$D$58,MIN(MATCH(DATOS!$C$69,TABLAS!$B$52:$B$58,0)+3,7)),1)),2))&lt;=MIN(DATOS!$C$70,INT(((AC18-2*AK18)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18&gt;=0,IF(MAX(DATOS!$C$71,CEILING(BT18/INDEX(TABLAS!$D$52:$D$58,MIN(MATCH(DATOS!$C$69,TABLAS!$B$52:$B$58,0)+4,7)),1))*INDEX(TABLAS!$D$52:$D$58,MIN(MATCH(DATOS!$C$69,TABLAS!$B$52:$B$58,0)+4,7))&gt;=4/3*IF(BG18&lt;=0,0,IF((1-2*BG18*1E5/(DATOS!$C$29*AE18*BS18^2*DATOS!$C$21))&lt;0,-1,IF((1-SQRT((1-2*BG18*1E5/(DATOS!$C$29*AE18*BS18^2*DATOS!$C$21))))*DATOS!$C$21*AE18*BS18/DATOS!$C$14&gt;DATOS!$C$99*AE18*BS18,-1,(1-SQRT((1-2*BG18*1E5/(DATOS!$C$29*AE18*BS18^2*DATOS!$C$21))))*DATOS!$C$21*AE18*BS18/DATOS!$C$14)))-0.0001,MAX(DATOS!$C$71,CEILING(BT18/INDEX(TABLAS!$D$52:$D$58,MIN(MATCH(DATOS!$C$69,TABLAS!$B$52:$B$58,0)+4,7)),1)),MAX(MAX(DATOS!$C$71,CEILING(BT18/INDEX(TABLAS!$D$52:$D$58,MIN(MATCH(DATOS!$C$69,TABLAS!$B$52:$B$58,0)+4,7)),1)),2))&lt;=MIN(DATOS!$C$70,INT(((AC18-2*AK18)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18" s="59" t="str">
        <f>IF(U18&lt;&gt;"SÍ","",IF(BT18&lt;0,0,IF(MAX(DATOS!$C$71,CEILING(MAX(BT18,0)/INDEX(TABLAS!$D$52:$D$58,MATCH(BU18,TABLAS!$B$52:$B$58,0)),1))*INDEX(TABLAS!$D$52:$D$58,MATCH(BU18,TABLAS!$B$52:$B$58,0))&gt;=4/3*IF(BG18&lt;=0,0,IF((1-2*BG18*1E5/(DATOS!$C$29*AE18*BS18^2*DATOS!$C$21))&lt;0,-1,IF((1-SQRT((1-2*BG18*1E5/(DATOS!$C$29*AE18*BS18^2*DATOS!$C$21))))*DATOS!$C$21*AE18*BS18/DATOS!$C$14&gt;DATOS!$C$99*AE18*BS18,-1,(1-SQRT((1-2*BG18*1E5/(DATOS!$C$29*AE18*BS18^2*DATOS!$C$21))))*DATOS!$C$21*AE18*BS18/DATOS!$C$14)))-0.0001,MAX(DATOS!$C$71,CEILING(MAX(BT18,0)/INDEX(TABLAS!$D$52:$D$58,MATCH(BU18,TABLAS!$B$52:$B$58,0)),1)),MAX(MAX(DATOS!$C$71,CEILING(MAX(BT18,0)/INDEX(TABLAS!$D$52:$D$58,MATCH(BU18,TABLAS!$B$52:$B$58,0)),1)),2))))</f>
        <v/>
      </c>
      <c r="BW18" s="58" t="str">
        <f>IF(U18&lt;&gt;"SÍ","",((DATOS!$C$82-AL18-2*DATOS!$C$94-INDEX(TABLAS!$C$52:$C$58,MATCH(BU18,TABLAS!$B$52:$B$58,0))/2)-IF(AND((DATOS!$C$82-AL18-2*DATOS!$C$94-INDEX(TABLAS!$C$52:$C$58,MATCH(BU18,TABLAS!$B$52:$B$58,0))/2)&lt;=20,DATOS!$C$62&lt;&gt;"SÍ"),2,0)))</f>
        <v/>
      </c>
      <c r="BX18" s="56" t="str">
        <f>IF(U18&lt;&gt;"SÍ","",IF(BV18=0,0,DATOS!$C$29*BV18*INDEX(TABLAS!$D$52:$D$58,MATCH(BU18,TABLAS!$B$52:$B$58,0))*DATOS!$C$14*(BW18-BV18*INDEX(TABLAS!$D$52:$D$58,MATCH(BU18,TABLAS!$B$52:$B$58,0))*DATOS!$C$14/(DATOS!$C$21*AE18)/2)/1E5))</f>
        <v/>
      </c>
      <c r="BY18" s="65" t="str">
        <f>IF(U18&lt;&gt;"SÍ","",IF(BT18&lt;0,9.99,IF(BX18&gt;0,BG18/BX18,0)))</f>
        <v/>
      </c>
      <c r="BZ18" s="66" t="str">
        <f>IF(U18&lt;&gt;"SÍ","",IF(BV18=0,"—",0.003*(BW18-(BV18*INDEX(TABLAS!$D$52:$D$58,MATCH(BU18,TABLAS!$B$52:$B$58,0))*DATOS!$C$14/(DATOS!$C$21*AE18)/DATOS!$C$22))/(BV18*INDEX(TABLAS!$D$52:$D$58,MATCH(BU18,TABLAS!$B$52:$B$58,0))*DATOS!$C$14/(DATOS!$C$21*AE18)/DATOS!$C$22)))</f>
        <v/>
      </c>
      <c r="CA18" s="58" t="str">
        <f>IF(U18&lt;&gt;"SÍ","",(DATOS!$C$82-AJ18-INDEX(TABLAS!$C$52:$C$58,MATCH(DATOS!$C$68,TABLAS!$B$52:$B$58,0))-INDEX(TABLAS!$C$52:$C$58,MATCH(DATOS!$C$68,TABLAS!$B$52:$B$58,0))/2))</f>
        <v/>
      </c>
      <c r="CB18" s="58" t="str">
        <f>IF(U18&lt;&gt;"SÍ","",IF(IF(BH18&lt;=0,0,IF((1-2*BH18*1E5/(DATOS!$C$29*AH18*CA18^2*DATOS!$C$21))&lt;0,-1,IF((1-SQRT((1-2*BH18*1E5/(DATOS!$C$29*AH18*CA18^2*DATOS!$C$21))))*DATOS!$C$21*AH18*CA18/DATOS!$C$14&gt;DATOS!$C$99*AH18*CA18,-1,(1-SQRT((1-2*BH18*1E5/(DATOS!$C$29*AH18*CA18^2*DATOS!$C$21))))*DATOS!$C$21*AH18*CA18/DATOS!$C$14)))&lt;0,-1,MAX(IF(BH18&lt;=0,0,IF((1-2*BH18*1E5/(DATOS!$C$29*AH18*CA18^2*DATOS!$C$21))&lt;0,-1,IF((1-SQRT((1-2*BH18*1E5/(DATOS!$C$29*AH18*CA18^2*DATOS!$C$21))))*DATOS!$C$21*AH18*CA18/DATOS!$C$14&gt;DATOS!$C$99*AH18*CA18,-1,(1-SQRT((1-2*BH18*1E5/(DATOS!$C$29*AH18*CA18^2*DATOS!$C$21))))*DATOS!$C$21*AH18*CA18/DATOS!$C$14))),MIN(DATOS!$C$100*DATOS!$C$80*CA18,4/3*IF(BH18&lt;=0,0,IF((1-2*BH18*1E5/(DATOS!$C$29*AH18*CA18^2*DATOS!$C$21))&lt;0,-1,IF((1-SQRT((1-2*BH18*1E5/(DATOS!$C$29*AH18*CA18^2*DATOS!$C$21))))*DATOS!$C$21*AH18*CA18/DATOS!$C$14&gt;DATOS!$C$99*AH18*CA18,-1,(1-SQRT((1-2*BH18*1E5/(DATOS!$C$29*AH18*CA18^2*DATOS!$C$21))))*DATOS!$C$21*AH18*CA18/DATOS!$C$14)))))))</f>
        <v/>
      </c>
      <c r="CC18" s="64" t="str">
        <f>IF(U18&lt;&gt;"SÍ","",IF(AND(CB18&gt;=0,IF(MAX(DATOS!$C$71,CEILING(CB18/INDEX(TABLAS!$D$52:$D$58,MIN(MATCH(DATOS!$C$68,TABLAS!$B$52:$B$58,0)+0,7)),1))*INDEX(TABLAS!$D$52:$D$58,MIN(MATCH(DATOS!$C$68,TABLAS!$B$52:$B$58,0)+0,7))&gt;=4/3*IF(BH18&lt;=0,0,IF((1-2*BH18*1E5/(DATOS!$C$29*AH18*CA18^2*DATOS!$C$21))&lt;0,-1,IF((1-SQRT((1-2*BH18*1E5/(DATOS!$C$29*AH18*CA18^2*DATOS!$C$21))))*DATOS!$C$21*AH18*CA18/DATOS!$C$14&gt;DATOS!$C$99*AH18*CA18,-1,(1-SQRT((1-2*BH18*1E5/(DATOS!$C$29*AH18*CA18^2*DATOS!$C$21))))*DATOS!$C$21*AH18*CA18/DATOS!$C$14)))-0.0001,MAX(DATOS!$C$71,CEILING(CB18/INDEX(TABLAS!$D$52:$D$58,MIN(MATCH(DATOS!$C$68,TABLAS!$B$52:$B$58,0)+0,7)),1)),MAX(MAX(DATOS!$C$71,CEILING(CB18/INDEX(TABLAS!$D$52:$D$58,MIN(MATCH(DATOS!$C$68,TABLAS!$B$52:$B$58,0)+0,7)),1)),2))&lt;=MIN(DATOS!$C$70,INT(((DATOS!$C$80-2*AJ18)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18&gt;=0,IF(MAX(DATOS!$C$71,CEILING(CB18/INDEX(TABLAS!$D$52:$D$58,MIN(MATCH(DATOS!$C$68,TABLAS!$B$52:$B$58,0)+1,7)),1))*INDEX(TABLAS!$D$52:$D$58,MIN(MATCH(DATOS!$C$68,TABLAS!$B$52:$B$58,0)+1,7))&gt;=4/3*IF(BH18&lt;=0,0,IF((1-2*BH18*1E5/(DATOS!$C$29*AH18*CA18^2*DATOS!$C$21))&lt;0,-1,IF((1-SQRT((1-2*BH18*1E5/(DATOS!$C$29*AH18*CA18^2*DATOS!$C$21))))*DATOS!$C$21*AH18*CA18/DATOS!$C$14&gt;DATOS!$C$99*AH18*CA18,-1,(1-SQRT((1-2*BH18*1E5/(DATOS!$C$29*AH18*CA18^2*DATOS!$C$21))))*DATOS!$C$21*AH18*CA18/DATOS!$C$14)))-0.0001,MAX(DATOS!$C$71,CEILING(CB18/INDEX(TABLAS!$D$52:$D$58,MIN(MATCH(DATOS!$C$68,TABLAS!$B$52:$B$58,0)+1,7)),1)),MAX(MAX(DATOS!$C$71,CEILING(CB18/INDEX(TABLAS!$D$52:$D$58,MIN(MATCH(DATOS!$C$68,TABLAS!$B$52:$B$58,0)+1,7)),1)),2))&lt;=MIN(DATOS!$C$70,INT(((DATOS!$C$80-2*AJ18)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18&gt;=0,IF(MAX(DATOS!$C$71,CEILING(CB18/INDEX(TABLAS!$D$52:$D$58,MIN(MATCH(DATOS!$C$68,TABLAS!$B$52:$B$58,0)+2,7)),1))*INDEX(TABLAS!$D$52:$D$58,MIN(MATCH(DATOS!$C$68,TABLAS!$B$52:$B$58,0)+2,7))&gt;=4/3*IF(BH18&lt;=0,0,IF((1-2*BH18*1E5/(DATOS!$C$29*AH18*CA18^2*DATOS!$C$21))&lt;0,-1,IF((1-SQRT((1-2*BH18*1E5/(DATOS!$C$29*AH18*CA18^2*DATOS!$C$21))))*DATOS!$C$21*AH18*CA18/DATOS!$C$14&gt;DATOS!$C$99*AH18*CA18,-1,(1-SQRT((1-2*BH18*1E5/(DATOS!$C$29*AH18*CA18^2*DATOS!$C$21))))*DATOS!$C$21*AH18*CA18/DATOS!$C$14)))-0.0001,MAX(DATOS!$C$71,CEILING(CB18/INDEX(TABLAS!$D$52:$D$58,MIN(MATCH(DATOS!$C$68,TABLAS!$B$52:$B$58,0)+2,7)),1)),MAX(MAX(DATOS!$C$71,CEILING(CB18/INDEX(TABLAS!$D$52:$D$58,MIN(MATCH(DATOS!$C$68,TABLAS!$B$52:$B$58,0)+2,7)),1)),2))&lt;=MIN(DATOS!$C$70,INT(((DATOS!$C$80-2*AJ18)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18&gt;=0,IF(MAX(DATOS!$C$71,CEILING(CB18/INDEX(TABLAS!$D$52:$D$58,MIN(MATCH(DATOS!$C$68,TABLAS!$B$52:$B$58,0)+3,7)),1))*INDEX(TABLAS!$D$52:$D$58,MIN(MATCH(DATOS!$C$68,TABLAS!$B$52:$B$58,0)+3,7))&gt;=4/3*IF(BH18&lt;=0,0,IF((1-2*BH18*1E5/(DATOS!$C$29*AH18*CA18^2*DATOS!$C$21))&lt;0,-1,IF((1-SQRT((1-2*BH18*1E5/(DATOS!$C$29*AH18*CA18^2*DATOS!$C$21))))*DATOS!$C$21*AH18*CA18/DATOS!$C$14&gt;DATOS!$C$99*AH18*CA18,-1,(1-SQRT((1-2*BH18*1E5/(DATOS!$C$29*AH18*CA18^2*DATOS!$C$21))))*DATOS!$C$21*AH18*CA18/DATOS!$C$14)))-0.0001,MAX(DATOS!$C$71,CEILING(CB18/INDEX(TABLAS!$D$52:$D$58,MIN(MATCH(DATOS!$C$68,TABLAS!$B$52:$B$58,0)+3,7)),1)),MAX(MAX(DATOS!$C$71,CEILING(CB18/INDEX(TABLAS!$D$52:$D$58,MIN(MATCH(DATOS!$C$68,TABLAS!$B$52:$B$58,0)+3,7)),1)),2))&lt;=MIN(DATOS!$C$70,INT(((DATOS!$C$80-2*AJ18)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18&gt;=0,IF(MAX(DATOS!$C$71,CEILING(CB18/INDEX(TABLAS!$D$52:$D$58,MIN(MATCH(DATOS!$C$68,TABLAS!$B$52:$B$58,0)+4,7)),1))*INDEX(TABLAS!$D$52:$D$58,MIN(MATCH(DATOS!$C$68,TABLAS!$B$52:$B$58,0)+4,7))&gt;=4/3*IF(BH18&lt;=0,0,IF((1-2*BH18*1E5/(DATOS!$C$29*AH18*CA18^2*DATOS!$C$21))&lt;0,-1,IF((1-SQRT((1-2*BH18*1E5/(DATOS!$C$29*AH18*CA18^2*DATOS!$C$21))))*DATOS!$C$21*AH18*CA18/DATOS!$C$14&gt;DATOS!$C$99*AH18*CA18,-1,(1-SQRT((1-2*BH18*1E5/(DATOS!$C$29*AH18*CA18^2*DATOS!$C$21))))*DATOS!$C$21*AH18*CA18/DATOS!$C$14)))-0.0001,MAX(DATOS!$C$71,CEILING(CB18/INDEX(TABLAS!$D$52:$D$58,MIN(MATCH(DATOS!$C$68,TABLAS!$B$52:$B$58,0)+4,7)),1)),MAX(MAX(DATOS!$C$71,CEILING(CB18/INDEX(TABLAS!$D$52:$D$58,MIN(MATCH(DATOS!$C$68,TABLAS!$B$52:$B$58,0)+4,7)),1)),2))&lt;=MIN(DATOS!$C$70,INT(((DATOS!$C$80-2*AJ18)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18" s="59" t="str">
        <f>IF(U18&lt;&gt;"SÍ","",IF(CB18&lt;0,0,IF(MAX(DATOS!$C$71,CEILING(MAX(CB18,0)/INDEX(TABLAS!$D$52:$D$58,MATCH(CC18,TABLAS!$B$52:$B$58,0)),1))*INDEX(TABLAS!$D$52:$D$58,MATCH(CC18,TABLAS!$B$52:$B$58,0))&gt;=4/3*IF(BH18&lt;=0,0,IF((1-2*BH18*1E5/(DATOS!$C$29*AH18*CA18^2*DATOS!$C$21))&lt;0,-1,IF((1-SQRT((1-2*BH18*1E5/(DATOS!$C$29*AH18*CA18^2*DATOS!$C$21))))*DATOS!$C$21*AH18*CA18/DATOS!$C$14&gt;DATOS!$C$99*AH18*CA18,-1,(1-SQRT((1-2*BH18*1E5/(DATOS!$C$29*AH18*CA18^2*DATOS!$C$21))))*DATOS!$C$21*AH18*CA18/DATOS!$C$14)))-0.0001,MAX(DATOS!$C$71,CEILING(MAX(CB18,0)/INDEX(TABLAS!$D$52:$D$58,MATCH(CC18,TABLAS!$B$52:$B$58,0)),1)),MAX(MAX(DATOS!$C$71,CEILING(MAX(CB18,0)/INDEX(TABLAS!$D$52:$D$58,MATCH(CC18,TABLAS!$B$52:$B$58,0)),1)),2))))</f>
        <v/>
      </c>
      <c r="CE18" s="58" t="str">
        <f>IF(U18&lt;&gt;"SÍ","",DATOS!$C$82-AJ18-INDEX(TABLAS!$C$52:$C$58,MATCH(BM18,TABLAS!$B$52:$B$58,0))-INDEX(TABLAS!$C$52:$C$58,MATCH(CC18,TABLAS!$B$52:$B$58,0))/2)</f>
        <v/>
      </c>
      <c r="CF18" s="56" t="str">
        <f>IF(U18&lt;&gt;"SÍ","",IF(CD18=0,0,DATOS!$C$29*CD18*INDEX(TABLAS!$D$52:$D$58,MATCH(CC18,TABLAS!$B$52:$B$58,0))*DATOS!$C$14*(CE18-CD18*INDEX(TABLAS!$D$52:$D$58,MATCH(CC18,TABLAS!$B$52:$B$58,0))*DATOS!$C$14/(DATOS!$C$21*AH18)/2)/1E5))</f>
        <v/>
      </c>
      <c r="CG18" s="65" t="str">
        <f>IF(U18&lt;&gt;"SÍ","",IF(CB18&lt;0,9.99,IF(CF18&gt;0,BH18/CF18,0)))</f>
        <v/>
      </c>
      <c r="CH18" s="66" t="str">
        <f>IF(U18&lt;&gt;"SÍ","",IF(CD18=0,"—",0.003*(CE18-(CD18*INDEX(TABLAS!$D$52:$D$58,MATCH(CC18,TABLAS!$B$52:$B$58,0))*DATOS!$C$14/(DATOS!$C$21*AH18)/DATOS!$C$22))/(CD18*INDEX(TABLAS!$D$52:$D$58,MATCH(CC18,TABLAS!$B$52:$B$58,0))*DATOS!$C$14/(DATOS!$C$21*AH18)/DATOS!$C$22)))</f>
        <v/>
      </c>
      <c r="CI18" s="58" t="str">
        <f>IF(U18&lt;&gt;"SÍ","",((DATOS!$C$82-AL18-2*DATOS!$C$94-INDEX(TABLAS!$C$52:$C$58,MATCH(DATOS!$C$69,TABLAS!$B$52:$B$58,0))-INDEX(TABLAS!$C$52:$C$58,MATCH(DATOS!$C$69,TABLAS!$B$52:$B$58,0))/2)-IF(AND((DATOS!$C$82-AL18-2*DATOS!$C$94-INDEX(TABLAS!$C$52:$C$58,MATCH(DATOS!$C$69,TABLAS!$B$52:$B$58,0))-INDEX(TABLAS!$C$52:$C$58,MATCH(DATOS!$C$69,TABLAS!$B$52:$B$58,0))/2)&lt;=20,DATOS!$C$62&lt;&gt;"SÍ"),2,0)))</f>
        <v/>
      </c>
      <c r="CJ18" s="58" t="str">
        <f>IF(U18&lt;&gt;"SÍ","",IF(IF(BI18&lt;=0,0,IF((1-2*BI18*1E5/(DATOS!$C$29*AF18*CI18^2*DATOS!$C$21))&lt;0,-1,IF((1-SQRT((1-2*BI18*1E5/(DATOS!$C$29*AF18*CI18^2*DATOS!$C$21))))*DATOS!$C$21*AF18*CI18/DATOS!$C$14&gt;DATOS!$C$99*AF18*CI18,-1,(1-SQRT((1-2*BI18*1E5/(DATOS!$C$29*AF18*CI18^2*DATOS!$C$21))))*DATOS!$C$21*AF18*CI18/DATOS!$C$14)))&lt;0,-1,MAX(IF(BI18&lt;=0,0,IF((1-2*BI18*1E5/(DATOS!$C$29*AF18*CI18^2*DATOS!$C$21))&lt;0,-1,IF((1-SQRT((1-2*BI18*1E5/(DATOS!$C$29*AF18*CI18^2*DATOS!$C$21))))*DATOS!$C$21*AF18*CI18/DATOS!$C$14&gt;DATOS!$C$99*AF18*CI18,-1,(1-SQRT((1-2*BI18*1E5/(DATOS!$C$29*AF18*CI18^2*DATOS!$C$21))))*DATOS!$C$21*AF18*CI18/DATOS!$C$14))),MIN(DATOS!$C$100*DATOS!$C$80*CI18,4/3*IF(BI18&lt;=0,0,IF((1-2*BI18*1E5/(DATOS!$C$29*AF18*CI18^2*DATOS!$C$21))&lt;0,-1,IF((1-SQRT((1-2*BI18*1E5/(DATOS!$C$29*AF18*CI18^2*DATOS!$C$21))))*DATOS!$C$21*AF18*CI18/DATOS!$C$14&gt;DATOS!$C$99*AF18*CI18,-1,(1-SQRT((1-2*BI18*1E5/(DATOS!$C$29*AF18*CI18^2*DATOS!$C$21))))*DATOS!$C$21*AF18*CI18/DATOS!$C$14)))))))</f>
        <v/>
      </c>
      <c r="CK18" s="64" t="str">
        <f>IF(U18&lt;&gt;"SÍ","",IF(AND(CJ18&gt;=0,IF(MAX(DATOS!$C$71,CEILING(CJ18/INDEX(TABLAS!$D$52:$D$58,MIN(MATCH(DATOS!$C$69,TABLAS!$B$52:$B$58,0)+0,7)),1))*INDEX(TABLAS!$D$52:$D$58,MIN(MATCH(DATOS!$C$69,TABLAS!$B$52:$B$58,0)+0,7))&gt;=4/3*IF(BI18&lt;=0,0,IF((1-2*BI18*1E5/(DATOS!$C$29*AF18*CI18^2*DATOS!$C$21))&lt;0,-1,IF((1-SQRT((1-2*BI18*1E5/(DATOS!$C$29*AF18*CI18^2*DATOS!$C$21))))*DATOS!$C$21*AF18*CI18/DATOS!$C$14&gt;DATOS!$C$99*AF18*CI18,-1,(1-SQRT((1-2*BI18*1E5/(DATOS!$C$29*AF18*CI18^2*DATOS!$C$21))))*DATOS!$C$21*AF18*CI18/DATOS!$C$14)))-0.0001,MAX(DATOS!$C$71,CEILING(CJ18/INDEX(TABLAS!$D$52:$D$58,MIN(MATCH(DATOS!$C$69,TABLAS!$B$52:$B$58,0)+0,7)),1)),MAX(MAX(DATOS!$C$71,CEILING(CJ18/INDEX(TABLAS!$D$52:$D$58,MIN(MATCH(DATOS!$C$69,TABLAS!$B$52:$B$58,0)+0,7)),1)),2))&lt;=MIN(DATOS!$C$70,INT(((DATOS!$C$80-2*AK18)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18&gt;=0,IF(MAX(DATOS!$C$71,CEILING(CJ18/INDEX(TABLAS!$D$52:$D$58,MIN(MATCH(DATOS!$C$69,TABLAS!$B$52:$B$58,0)+1,7)),1))*INDEX(TABLAS!$D$52:$D$58,MIN(MATCH(DATOS!$C$69,TABLAS!$B$52:$B$58,0)+1,7))&gt;=4/3*IF(BI18&lt;=0,0,IF((1-2*BI18*1E5/(DATOS!$C$29*AF18*CI18^2*DATOS!$C$21))&lt;0,-1,IF((1-SQRT((1-2*BI18*1E5/(DATOS!$C$29*AF18*CI18^2*DATOS!$C$21))))*DATOS!$C$21*AF18*CI18/DATOS!$C$14&gt;DATOS!$C$99*AF18*CI18,-1,(1-SQRT((1-2*BI18*1E5/(DATOS!$C$29*AF18*CI18^2*DATOS!$C$21))))*DATOS!$C$21*AF18*CI18/DATOS!$C$14)))-0.0001,MAX(DATOS!$C$71,CEILING(CJ18/INDEX(TABLAS!$D$52:$D$58,MIN(MATCH(DATOS!$C$69,TABLAS!$B$52:$B$58,0)+1,7)),1)),MAX(MAX(DATOS!$C$71,CEILING(CJ18/INDEX(TABLAS!$D$52:$D$58,MIN(MATCH(DATOS!$C$69,TABLAS!$B$52:$B$58,0)+1,7)),1)),2))&lt;=MIN(DATOS!$C$70,INT(((DATOS!$C$80-2*AK18)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18&gt;=0,IF(MAX(DATOS!$C$71,CEILING(CJ18/INDEX(TABLAS!$D$52:$D$58,MIN(MATCH(DATOS!$C$69,TABLAS!$B$52:$B$58,0)+2,7)),1))*INDEX(TABLAS!$D$52:$D$58,MIN(MATCH(DATOS!$C$69,TABLAS!$B$52:$B$58,0)+2,7))&gt;=4/3*IF(BI18&lt;=0,0,IF((1-2*BI18*1E5/(DATOS!$C$29*AF18*CI18^2*DATOS!$C$21))&lt;0,-1,IF((1-SQRT((1-2*BI18*1E5/(DATOS!$C$29*AF18*CI18^2*DATOS!$C$21))))*DATOS!$C$21*AF18*CI18/DATOS!$C$14&gt;DATOS!$C$99*AF18*CI18,-1,(1-SQRT((1-2*BI18*1E5/(DATOS!$C$29*AF18*CI18^2*DATOS!$C$21))))*DATOS!$C$21*AF18*CI18/DATOS!$C$14)))-0.0001,MAX(DATOS!$C$71,CEILING(CJ18/INDEX(TABLAS!$D$52:$D$58,MIN(MATCH(DATOS!$C$69,TABLAS!$B$52:$B$58,0)+2,7)),1)),MAX(MAX(DATOS!$C$71,CEILING(CJ18/INDEX(TABLAS!$D$52:$D$58,MIN(MATCH(DATOS!$C$69,TABLAS!$B$52:$B$58,0)+2,7)),1)),2))&lt;=MIN(DATOS!$C$70,INT(((DATOS!$C$80-2*AK18)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18&gt;=0,IF(MAX(DATOS!$C$71,CEILING(CJ18/INDEX(TABLAS!$D$52:$D$58,MIN(MATCH(DATOS!$C$69,TABLAS!$B$52:$B$58,0)+3,7)),1))*INDEX(TABLAS!$D$52:$D$58,MIN(MATCH(DATOS!$C$69,TABLAS!$B$52:$B$58,0)+3,7))&gt;=4/3*IF(BI18&lt;=0,0,IF((1-2*BI18*1E5/(DATOS!$C$29*AF18*CI18^2*DATOS!$C$21))&lt;0,-1,IF((1-SQRT((1-2*BI18*1E5/(DATOS!$C$29*AF18*CI18^2*DATOS!$C$21))))*DATOS!$C$21*AF18*CI18/DATOS!$C$14&gt;DATOS!$C$99*AF18*CI18,-1,(1-SQRT((1-2*BI18*1E5/(DATOS!$C$29*AF18*CI18^2*DATOS!$C$21))))*DATOS!$C$21*AF18*CI18/DATOS!$C$14)))-0.0001,MAX(DATOS!$C$71,CEILING(CJ18/INDEX(TABLAS!$D$52:$D$58,MIN(MATCH(DATOS!$C$69,TABLAS!$B$52:$B$58,0)+3,7)),1)),MAX(MAX(DATOS!$C$71,CEILING(CJ18/INDEX(TABLAS!$D$52:$D$58,MIN(MATCH(DATOS!$C$69,TABLAS!$B$52:$B$58,0)+3,7)),1)),2))&lt;=MIN(DATOS!$C$70,INT(((DATOS!$C$80-2*AK18)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18&gt;=0,IF(MAX(DATOS!$C$71,CEILING(CJ18/INDEX(TABLAS!$D$52:$D$58,MIN(MATCH(DATOS!$C$69,TABLAS!$B$52:$B$58,0)+4,7)),1))*INDEX(TABLAS!$D$52:$D$58,MIN(MATCH(DATOS!$C$69,TABLAS!$B$52:$B$58,0)+4,7))&gt;=4/3*IF(BI18&lt;=0,0,IF((1-2*BI18*1E5/(DATOS!$C$29*AF18*CI18^2*DATOS!$C$21))&lt;0,-1,IF((1-SQRT((1-2*BI18*1E5/(DATOS!$C$29*AF18*CI18^2*DATOS!$C$21))))*DATOS!$C$21*AF18*CI18/DATOS!$C$14&gt;DATOS!$C$99*AF18*CI18,-1,(1-SQRT((1-2*BI18*1E5/(DATOS!$C$29*AF18*CI18^2*DATOS!$C$21))))*DATOS!$C$21*AF18*CI18/DATOS!$C$14)))-0.0001,MAX(DATOS!$C$71,CEILING(CJ18/INDEX(TABLAS!$D$52:$D$58,MIN(MATCH(DATOS!$C$69,TABLAS!$B$52:$B$58,0)+4,7)),1)),MAX(MAX(DATOS!$C$71,CEILING(CJ18/INDEX(TABLAS!$D$52:$D$58,MIN(MATCH(DATOS!$C$69,TABLAS!$B$52:$B$58,0)+4,7)),1)),2))&lt;=MIN(DATOS!$C$70,INT(((DATOS!$C$80-2*AK18)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18" s="59" t="str">
        <f>IF(U18&lt;&gt;"SÍ","",IF(CJ18&lt;0,0,IF(MAX(DATOS!$C$71,CEILING(MAX(CJ18,0)/INDEX(TABLAS!$D$52:$D$58,MATCH(CK18,TABLAS!$B$52:$B$58,0)),1))*INDEX(TABLAS!$D$52:$D$58,MATCH(CK18,TABLAS!$B$52:$B$58,0))&gt;=4/3*IF(BI18&lt;=0,0,IF((1-2*BI18*1E5/(DATOS!$C$29*AF18*CI18^2*DATOS!$C$21))&lt;0,-1,IF((1-SQRT((1-2*BI18*1E5/(DATOS!$C$29*AF18*CI18^2*DATOS!$C$21))))*DATOS!$C$21*AF18*CI18/DATOS!$C$14&gt;DATOS!$C$99*AF18*CI18,-1,(1-SQRT((1-2*BI18*1E5/(DATOS!$C$29*AF18*CI18^2*DATOS!$C$21))))*DATOS!$C$21*AF18*CI18/DATOS!$C$14)))-0.0001,MAX(DATOS!$C$71,CEILING(MAX(CJ18,0)/INDEX(TABLAS!$D$52:$D$58,MATCH(CK18,TABLAS!$B$52:$B$58,0)),1)),MAX(MAX(DATOS!$C$71,CEILING(MAX(CJ18,0)/INDEX(TABLAS!$D$52:$D$58,MATCH(CK18,TABLAS!$B$52:$B$58,0)),1)),2))))</f>
        <v/>
      </c>
      <c r="CM18" s="58" t="str">
        <f>IF(U18&lt;&gt;"SÍ","",((DATOS!$C$82-AL18-2*DATOS!$C$94-INDEX(TABLAS!$C$52:$C$58,MATCH(BU18,TABLAS!$B$52:$B$58,0))-INDEX(TABLAS!$C$52:$C$58,MATCH(CK18,TABLAS!$B$52:$B$58,0))/2)-IF(AND((DATOS!$C$82-AL18-2*DATOS!$C$94-INDEX(TABLAS!$C$52:$C$58,MATCH(BU18,TABLAS!$B$52:$B$58,0))-INDEX(TABLAS!$C$52:$C$58,MATCH(CK18,TABLAS!$B$52:$B$58,0))/2)&lt;=20,DATOS!$C$62&lt;&gt;"SÍ"),2,0)))</f>
        <v/>
      </c>
      <c r="CN18" s="56" t="str">
        <f>IF(U18&lt;&gt;"SÍ","",IF(CL18=0,0,DATOS!$C$29*CL18*INDEX(TABLAS!$D$52:$D$58,MATCH(CK18,TABLAS!$B$52:$B$58,0))*DATOS!$C$14*(CM18-CL18*INDEX(TABLAS!$D$52:$D$58,MATCH(CK18,TABLAS!$B$52:$B$58,0))*DATOS!$C$14/(DATOS!$C$21*AF18)/2)/1E5))</f>
        <v/>
      </c>
      <c r="CO18" s="65" t="str">
        <f>IF(U18&lt;&gt;"SÍ","",IF(CJ18&lt;0,9.99,IF(CN18&gt;0,BI18/CN18,0)))</f>
        <v/>
      </c>
      <c r="CP18" s="66" t="str">
        <f>IF(U18&lt;&gt;"SÍ","",IF(CL18=0,"—",0.003*(CM18-(CL18*INDEX(TABLAS!$D$52:$D$58,MATCH(CK18,TABLAS!$B$52:$B$58,0))*DATOS!$C$14/(DATOS!$C$21*AF18)/DATOS!$C$22))/(CL18*INDEX(TABLAS!$D$52:$D$58,MATCH(CK18,TABLAS!$B$52:$B$58,0))*DATOS!$C$14/(DATOS!$C$21*AF18)/DATOS!$C$22)))</f>
        <v/>
      </c>
      <c r="CQ18" s="56" t="str">
        <f>IF(U18&lt;&gt;"SÍ","",IF(C18="PERIMETRAL",MAX(0,(AA18/2-BW18)/100)*(0.95-0.5*Z18)*AQ18*IF(AND(AR18&gt;0,AR18&lt;4),DATOS!$C$33,1)*DATOS!$C$83/100/1000,(AQ18*MAX(0,AA18-BW18)/100+DATOS!$C$26*N(O18))*DATOS!$C$83/100/1000+BE18))</f>
        <v/>
      </c>
      <c r="CR18" s="56" t="str">
        <f>IF(U18&lt;&gt;"SÍ","",DATOS!$C$30*2*MIN(1,SQRT(2/(1+0.04*BW18)))*(BV18*INDEX(TABLAS!$D$52:$D$58,MATCH(BU18,TABLAS!$B$52:$B$58,0))/(AE18*BW18))^(1/3)*SQRT(DATOS!$C$13)*AE18*BW18*IF(AI18="SÍ",DATOS!$C$32,1)/1000)</f>
        <v/>
      </c>
      <c r="CS18" s="59" t="str">
        <f>IF(U18&lt;&gt;"SÍ","",IF(CQ18&lt;=CR18,0,CEILING(MAX(0,IF(C18="VOLADO",(AA18-((CR18-BE18)*1E5/DATOS!$C$83-DATOS!$C$26*N(O18))*100/AQ18),IF(CR18&lt;=0,AA18,AA18/2-CR18/MAX(CQ18,1E-9)*(AA18/2-BW18)))-IF(INT((X18*100-DATOS!$C$84+DATOS!$C$80)/DATOS!$C$83)&gt;0,(X18*100-DATOS!$C$84-(INT((X18*100-DATOS!$C$84+DATOS!$C$80)/DATOS!$C$83)*DATOS!$C$78+(INT((X18*100-DATOS!$C$84+DATOS!$C$80)/DATOS!$C$83)-1)*DATOS!$C$80))/2,X18*100/2))/DATOS!$C$83,1)))</f>
        <v/>
      </c>
      <c r="CT18" s="67" t="str">
        <f>IF(U18&lt;&gt;"SÍ","",IF(CQ18&lt;=CR18,"CUMPLE",IF(CS18&lt;=0,"CUMPLE (basta el macizo de orilla)",IF(CS18*DATOS!$C$83*IF(C18="VOLADO",1,2)&gt;=X18*100-DATOS!$C$84,"NO CUMPLE: no alcanza ni macizando todo","MACIZAR "&amp;CS18&amp;" hilera(s)"))))</f>
        <v/>
      </c>
      <c r="CU18" s="58" t="str">
        <f>IF(U18&lt;&gt;"SÍ","",(DATOS!$C$83*DATOS!$C$81^2/2+AC18*DATOS!$C$79*(DATOS!$C$81+DATOS!$C$79/2))/(DATOS!$C$83*DATOS!$C$81+AC18*DATOS!$C$79))</f>
        <v/>
      </c>
      <c r="CV18" s="68" t="str">
        <f>IF(U18&lt;&gt;"SÍ","",DATOS!$C$83*DATOS!$C$81^3/12+DATOS!$C$83*DATOS!$C$81*(CU18-DATOS!$C$81/2)^2+AC18*DATOS!$C$79^3/12+AC18*DATOS!$C$79*(DATOS!$C$81+DATOS!$C$79/2-CU18)^2)</f>
        <v/>
      </c>
      <c r="CW18" s="58" t="str">
        <f>IF(U18&lt;&gt;"SÍ","",(12*CV18/DATOS!$C$83)^(1/3))</f>
        <v/>
      </c>
      <c r="CX18" s="58" t="str">
        <f>IF(U18&lt;&gt;"SÍ","",IF(C18="PERIMETRAL",IF(ISNUMBER(R18),R18,DATOS!$C$101),0))</f>
        <v/>
      </c>
      <c r="CY18" s="57" t="str">
        <f>IF(U18&lt;&gt;"SÍ","",IF(C18="PERIMETRAL",IF(CX18&gt;2,MAX(9,AB18*(0.8+DATOS!$C$14/14000)/(36+9*(AB18/MAX(AA18,1)))),IF(CX18&gt;0.2,MAX(13,AB18*(0.8+DATOS!$C$14/14000)/(36+5*(AB18/MAX(AA18,1))*(CX18-0.2))),MAX(13,AB18/IF(AR18&gt;0,30,33))))*IF(AND(CX18&gt;0.2,AR18&gt;0,DATOS!$C$102="NO"),1.1,1),X18*100/8))</f>
        <v/>
      </c>
      <c r="CZ18" s="61" t="str">
        <f>IF(U18&lt;&gt;"SÍ","",IF(IF(C18="VOLADO",DATOS!$C$82,CW18)&gt;=CY18,"CUMPLE",IF(C18="VOLADO","NO CUMPLE","CALCULAR FLECHA")))</f>
        <v/>
      </c>
      <c r="DA18" s="55" t="str">
        <f>IF(U18&lt;&gt;"SÍ","",IF(DATOS!$C$81&gt;=IF(IF(C18="VOLADO",X18,Y18)&gt;=6,6,5),"CUMPLE","CAPA ≥ 6 cm"))</f>
        <v/>
      </c>
      <c r="DB18" s="60" t="str">
        <f>IF(U18&lt;&gt;"SÍ","",IF(C18="VOLADO",MIN(CEILING(IF(ISNUMBER(P18),P18,X18)*100,5),CEILING(MAX(IF((0.5*(0.9*DATOS!$C$87*DATOS!$C$83/100/1000)*IF(ISNUMBER(P18),P18,X18)+BG18/IF(ISNUMBER(P18),P18,X18))^2-4*(0.5*(0.9*DATOS!$C$87*DATOS!$C$83/100/1000))*BG18&lt;0,IF(ISNUMBER(P18),P18,X18),MIN(IF(ISNUMBER(P18),P18,X18),((0.5*(0.9*DATOS!$C$87*DATOS!$C$83/100/1000)*IF(ISNUMBER(P18),P18,X18)+BG18/IF(ISNUMBER(P18),P18,X18))-SQRT((0.5*(0.9*DATOS!$C$87*DATOS!$C$83/100/1000)*IF(ISNUMBER(P18),P18,X18)+BG18/IF(ISNUMBER(P18),P18,X18))^2-4*(0.5*(0.9*DATOS!$C$87*DATOS!$C$83/100/1000))*BG18))/(2*(0.5*(0.9*DATOS!$C$87*DATOS!$C$83/100/1000)))))*100+MAX(BW18,12*INDEX(TABLAS!$C$52:$C$58,MATCH(BU18,TABLAS!$B$52:$B$58,0)),IF(ISNUMBER(P18),P18,X18)*100/16),IF(OR(AK18&lt;INDEX(TABLAS!$C$52:$C$58,MATCH(BU18,TABLAS!$B$52:$B$58,0)),AND(BV18&gt;=2,(AC18-2*AK18-BV18*INDEX(TABLAS!$C$52:$C$58,MATCH(BU18,TABLAS!$B$52:$B$58,0)))/MAX(BV18-1,1)&lt;2*INDEX(TABLAS!$C$52:$C$58,MATCH(BU18,TABLAS!$B$52:$B$58,0)))),INDEX(TABLAS!$I$52:$I$58,MATCH(BU18,TABLAS!$B$52:$B$58,0)),INDEX(TABLAS!$F$52:$F$58,MATCH(BU18,TABLAS!$B$52:$B$58,0)))),5)),IF(((4*((BB18*AQ18*X18^2*1E-4*DATOS!$C$83/100/1000)+((MAX(AX18,AZ18)*AQ18*X18^2*1E-4*DATOS!$C$83/100/1000)+(IF(AND(AX18&gt;0,AZ18&gt;0),MIN(AX18,AZ18),MAX(AX18,AZ18))*AQ18*X18^2*1E-4*DATOS!$C$83/100/1000))/2)+BG18-(IF(AND(AX18&gt;0,AZ18&gt;0),MIN(AX18,AZ18),MAX(AX18,AZ18))*AQ18*X18^2*1E-4*DATOS!$C$83/100/1000))^2-16*((BB18*AQ18*X18^2*1E-4*DATOS!$C$83/100/1000)+((MAX(AX18,AZ18)*AQ18*X18^2*1E-4*DATOS!$C$83/100/1000)+(IF(AND(AX18&gt;0,AZ18&gt;0),MIN(AX18,AZ18),MAX(AX18,AZ18))*AQ18*X18^2*1E-4*DATOS!$C$83/100/1000))/2)*BG18)&lt;0,CEILING(AA18,5),CEILING(MAX(AA18*((4*((BB18*AQ18*X18^2*1E-4*DATOS!$C$83/100/1000)+((MAX(AX18,AZ18)*AQ18*X18^2*1E-4*DATOS!$C$83/100/1000)+(IF(AND(AX18&gt;0,AZ18&gt;0),MIN(AX18,AZ18),MAX(AX18,AZ18))*AQ18*X18^2*1E-4*DATOS!$C$83/100/1000))/2)+BG18-(IF(AND(AX18&gt;0,AZ18&gt;0),MIN(AX18,AZ18),MAX(AX18,AZ18))*AQ18*X18^2*1E-4*DATOS!$C$83/100/1000))-SQRT(MAX(0,((4*((BB18*AQ18*X18^2*1E-4*DATOS!$C$83/100/1000)+((MAX(AX18,AZ18)*AQ18*X18^2*1E-4*DATOS!$C$83/100/1000)+(IF(AND(AX18&gt;0,AZ18&gt;0),MIN(AX18,AZ18),MAX(AX18,AZ18))*AQ18*X18^2*1E-4*DATOS!$C$83/100/1000))/2)+BG18-(IF(AND(AX18&gt;0,AZ18&gt;0),MIN(AX18,AZ18),MAX(AX18,AZ18))*AQ18*X18^2*1E-4*DATOS!$C$83/100/1000))^2-16*((BB18*AQ18*X18^2*1E-4*DATOS!$C$83/100/1000)+((MAX(AX18,AZ18)*AQ18*X18^2*1E-4*DATOS!$C$83/100/1000)+(IF(AND(AX18&gt;0,AZ18&gt;0),MIN(AX18,AZ18),MAX(AX18,AZ18))*AQ18*X18^2*1E-4*DATOS!$C$83/100/1000))/2)*BG18))))/(8*MAX(((BB18*AQ18*X18^2*1E-4*DATOS!$C$83/100/1000)+((MAX(AX18,AZ18)*AQ18*X18^2*1E-4*DATOS!$C$83/100/1000)+(IF(AND(AX18&gt;0,AZ18&gt;0),MIN(AX18,AZ18),MAX(AX18,AZ18))*AQ18*X18^2*1E-4*DATOS!$C$83/100/1000))/2),1E-9))+MAX(BW18,12*INDEX(TABLAS!$C$52:$C$58,MATCH(BU18,TABLAS!$B$52:$B$58,0)),AA18/16),IF(OR(AK18&lt;INDEX(TABLAS!$C$52:$C$58,MATCH(BU18,TABLAS!$B$52:$B$58,0)),AND(BV18&gt;=2,(AC18-2*AK18-BV18*INDEX(TABLAS!$C$52:$C$58,MATCH(BU18,TABLAS!$B$52:$B$58,0)))/MAX(BV18-1,1)&lt;2*INDEX(TABLAS!$C$52:$C$58,MATCH(BU18,TABLAS!$B$52:$B$58,0)))),INDEX(TABLAS!$I$52:$I$58,MATCH(BU18,TABLAS!$B$52:$B$58,0)),INDEX(TABLAS!$F$52:$F$58,MATCH(BU18,TABLAS!$B$52:$B$58,0)))),5))))</f>
        <v/>
      </c>
      <c r="DC18" s="60" t="str">
        <f>IF(U18&lt;&gt;"SÍ","",IF(C18="VOLADO",0,IF(((4*((BC18*AQ18*X18^2*1E-4*DATOS!$C$83/100/1000)+((MAX(AY18,BA18)*AQ18*X18^2*1E-4*DATOS!$C$83/100/1000)+(IF(AND(AY18&gt;0,BA18&gt;0),MIN(AY18,BA18),MAX(AY18,BA18))*AQ18*X18^2*1E-4*DATOS!$C$83/100/1000))/2)+BI18-(IF(AND(AY18&gt;0,BA18&gt;0),MIN(AY18,BA18),MAX(AY18,BA18))*AQ18*X18^2*1E-4*DATOS!$C$83/100/1000))^2-16*((BC18*AQ18*X18^2*1E-4*DATOS!$C$83/100/1000)+((MAX(AY18,BA18)*AQ18*X18^2*1E-4*DATOS!$C$83/100/1000)+(IF(AND(AY18&gt;0,BA18&gt;0),MIN(AY18,BA18),MAX(AY18,BA18))*AQ18*X18^2*1E-4*DATOS!$C$83/100/1000))/2)*BI18)&lt;0,CEILING(AB18,5),CEILING(MAX(AB18*((4*((BC18*AQ18*X18^2*1E-4*DATOS!$C$83/100/1000)+((MAX(AY18,BA18)*AQ18*X18^2*1E-4*DATOS!$C$83/100/1000)+(IF(AND(AY18&gt;0,BA18&gt;0),MIN(AY18,BA18),MAX(AY18,BA18))*AQ18*X18^2*1E-4*DATOS!$C$83/100/1000))/2)+BI18-(IF(AND(AY18&gt;0,BA18&gt;0),MIN(AY18,BA18),MAX(AY18,BA18))*AQ18*X18^2*1E-4*DATOS!$C$83/100/1000))-SQRT(MAX(0,((4*((BC18*AQ18*X18^2*1E-4*DATOS!$C$83/100/1000)+((MAX(AY18,BA18)*AQ18*X18^2*1E-4*DATOS!$C$83/100/1000)+(IF(AND(AY18&gt;0,BA18&gt;0),MIN(AY18,BA18),MAX(AY18,BA18))*AQ18*X18^2*1E-4*DATOS!$C$83/100/1000))/2)+BI18-(IF(AND(AY18&gt;0,BA18&gt;0),MIN(AY18,BA18),MAX(AY18,BA18))*AQ18*X18^2*1E-4*DATOS!$C$83/100/1000))^2-16*((BC18*AQ18*X18^2*1E-4*DATOS!$C$83/100/1000)+((MAX(AY18,BA18)*AQ18*X18^2*1E-4*DATOS!$C$83/100/1000)+(IF(AND(AY18&gt;0,BA18&gt;0),MIN(AY18,BA18),MAX(AY18,BA18))*AQ18*X18^2*1E-4*DATOS!$C$83/100/1000))/2)*BI18))))/(8*MAX(((BC18*AQ18*X18^2*1E-4*DATOS!$C$83/100/1000)+((MAX(AY18,BA18)*AQ18*X18^2*1E-4*DATOS!$C$83/100/1000)+(IF(AND(AY18&gt;0,BA18&gt;0),MIN(AY18,BA18),MAX(AY18,BA18))*AQ18*X18^2*1E-4*DATOS!$C$83/100/1000))/2),1E-9))+MAX(CM18,12*INDEX(TABLAS!$C$52:$C$58,MATCH(CK18,TABLAS!$B$52:$B$58,0)),AB18/16),IF(OR(AK18&lt;INDEX(TABLAS!$C$52:$C$58,MATCH(CK18,TABLAS!$B$52:$B$58,0)),AND(CL18&gt;=2,(DATOS!$C$80-2*AK18-CL18*INDEX(TABLAS!$C$52:$C$58,MATCH(CK18,TABLAS!$B$52:$B$58,0)))/MAX(CL18-1,1)&lt;2*INDEX(TABLAS!$C$52:$C$58,MATCH(CK18,TABLAS!$B$52:$B$58,0)))),INDEX(TABLAS!$I$52:$I$58,MATCH(CK18,TABLAS!$B$52:$B$58,0)),INDEX(TABLAS!$F$52:$F$58,MATCH(CK18,TABLAS!$B$52:$B$58,0)))),5))))</f>
        <v/>
      </c>
      <c r="DD18" s="55" t="str">
        <f>IF(U18&lt;&gt;"SÍ","",IF(AND(C18="PERIMETRAL",BV18&gt;=2,AR18-AS18&gt;0,AZ18*AQ18*X18^2*1E-4*DATOS!$C$83/100/1000&gt;DATOS!$C$29*INDEX(TABLAS!$D$52:$D$58,MATCH(BU18,TABLAS!$B$52:$B$58,0))*DATOS!$C$14*(BW18-INDEX(TABLAS!$D$52:$D$58,MATCH(BU18,TABLAS!$B$52:$B$58,0))*DATOS!$C$14/(DATOS!$C$21*AE18)/2)/1E5),"SÍ","NO"))</f>
        <v/>
      </c>
      <c r="DE18" s="55" t="str">
        <f>IF(U18&lt;&gt;"SÍ","",IF(AND(C18="PERIMETRAL",CL18&gt;=2,AS18&gt;0,BA18*AQ18*X18^2*1E-4*DATOS!$C$83/100/1000&gt;DATOS!$C$29*INDEX(TABLAS!$D$52:$D$58,MATCH(CK18,TABLAS!$B$52:$B$58,0))*DATOS!$C$14*(CM18-INDEX(TABLAS!$D$52:$D$58,MATCH(CK18,TABLAS!$B$52:$B$58,0))*DATOS!$C$14/(DATOS!$C$21*AF18)/2)/1E5),"SÍ","NO"))</f>
        <v/>
      </c>
      <c r="DF18" s="63" t="str">
        <f>IF(U18&lt;&gt;"SÍ","",IF(OR(C18="VOLADO",AR18=0),"—",IF(AND(AND(1.25*INDEX(TABLAS!$G$52:$G$58,MATCH(MAX(BM18,CC18),TABLAS!$B$52:$B$58,0))&lt;=(DATOS!$C$72-DATOS!$C$60),(DATOS!$C$72-DATOS!$C$60)&gt;=15,INDEX(TABLAS!$G$52:$G$58,MATCH(MAX(BU18,CK18),TABLAS!$B$52:$B$58,0))&lt;=(DATOS!$C$72-DATOS!$C$60)),8*INDEX(TABLAS!$C$52:$C$58,MATCH(MAX(MAX(BM18,CC18),MAX(BU18,CK18)),TABLAS!$B$52:$B$58,0))&lt;=DATOS!$C$73-2*DATOS!$C$60),"CUMPLE (gancho de 180°)",IF(AND(1.25*INDEX(TABLAS!$G$52:$G$58,MATCH(MAX(BM18,CC18),TABLAS!$B$52:$B$58,0))&lt;=(DATOS!$C$72-DATOS!$C$60),(DATOS!$C$72-DATOS!$C$60)&gt;=15,INDEX(TABLAS!$G$52:$G$58,MATCH(MAX(BU18,CK18),TABLAS!$B$52:$B$58,0))&lt;=(DATOS!$C$72-DATOS!$C$60)),"NO CUMPLE: el gancho de 180° (8·d_b) no cabe en el peralte de la dala de borde","NO CUMPLE: dala de borde ≥ "&amp;TEXT(CEILING(MAX(1.25*INDEX(TABLAS!$G$52:$G$58,MATCH(MAX(BM18,CC18),TABLAS!$B$52:$B$58,0)),15,INDEX(TABLAS!$G$52:$G$58,MATCH(MAX(BU18,CK18),TABLAS!$B$52:$B$58,0)))+DATOS!$C$60,5),"0")&amp;" cm de ancho"&amp;IF(8*INDEX(TABLAS!$C$52:$C$58,MATCH(MAX(MAX(BM18,CC18),MAX(BU18,CK18)),TABLAS!$B$52:$B$58,0))&lt;=DATOS!$C$73-2*DATOS!$C$60,""," y más peralte para el gancho")))))</f>
        <v/>
      </c>
      <c r="DG18" s="59" t="str">
        <f>IF(U18&lt;&gt;"SÍ","",MAX(0,INT((E18*100-DATOS!$C$84+DATOS!$C$83-IF(W18="X",DATOS!$C$78,AD18))/DATOS!$C$83)))</f>
        <v/>
      </c>
      <c r="DH18" s="59" t="str">
        <f>IF(U18&lt;&gt;"SÍ","",MAX(0,INT((F18*100-DATOS!$C$84+DATOS!$C$83-IF(W18="Y",DATOS!$C$78,AD18))/DATOS!$C$83)))</f>
        <v/>
      </c>
      <c r="DI18" s="57" t="str">
        <f>IF(U18&lt;&gt;"SÍ","",IF(DG18&gt;0,(E18*100-DATOS!$C$84-(DG18*IF(W18="X",DATOS!$C$78,AD18)+(DG18-1)*(DATOS!$C$83-IF(W18="X",DATOS!$C$78,AD18))))/2,E18*100/2))</f>
        <v/>
      </c>
      <c r="DJ18" s="57" t="str">
        <f>IF(U18&lt;&gt;"SÍ","",IF(DH18&gt;0,(F18*100-DATOS!$C$84-(DH18*IF(W18="Y",DATOS!$C$78,AD18)+(DH18-1)*(DATOS!$C$83-IF(W18="Y",DATOS!$C$78,AD18))))/2,F18*100/2))</f>
        <v/>
      </c>
      <c r="DK18" s="59" t="str">
        <f>IF(U18&lt;&gt;"SÍ","",IF(NOT(AND(C18="VOLADO",AC18&gt;DATOS!$C$80)),0,IF(INDEX(TABLAS!$C$52:$C$58,MATCH(BU18,TABLAS!$B$52:$B$58,0))&lt;=DATOS!$C$80-2*DATOS!$C$60,1,0)))</f>
        <v/>
      </c>
      <c r="DL18" s="58" t="str">
        <f>IF(U18&lt;&gt;"SÍ","",IF(NOT(AND(C18="VOLADO",AC18&gt;DATOS!$C$80)),0,((DATOS!$C$82-MAX(DATOS!$C$60,(DATOS!$C$81-2*DATOS!$C$94)/2)-2*DATOS!$C$94-INDEX(TABLAS!$C$52:$C$58,MATCH(BU18,TABLAS!$B$52:$B$58,0))/2)-IF(AND((DATOS!$C$82-MAX(DATOS!$C$60,(DATOS!$C$81-2*DATOS!$C$94)/2)-2*DATOS!$C$94-INDEX(TABLAS!$C$52:$C$58,MATCH(BU18,TABLAS!$B$52:$B$58,0))/2)&lt;=20,DATOS!$C$62&lt;&gt;"SÍ"),2,0))))</f>
        <v/>
      </c>
      <c r="DM18" s="56" t="str">
        <f>IF(U18&lt;&gt;"SÍ","",IF(OR(NOT(AND(C18="VOLADO",AC18&gt;DATOS!$C$80)),DK18&lt;1),0,IF(0.003*(DL18-((DK18*INDEX(TABLAS!$D$52:$D$58,MATCH(BU18,TABLAS!$B$52:$B$58,0)))*DATOS!$C$14/(DATOS!$C$21*AF18)/DATOS!$C$22))/((DK18*INDEX(TABLAS!$D$52:$D$58,MATCH(BU18,TABLAS!$B$52:$B$58,0)))*DATOS!$C$14/(DATOS!$C$21*AF18)/DATOS!$C$22)&lt;0.005,0,DATOS!$C$29*(DK18*INDEX(TABLAS!$D$52:$D$58,MATCH(BU18,TABLAS!$B$52:$B$58,0)))*DATOS!$C$14*(DL18-(DK18*INDEX(TABLAS!$D$52:$D$58,MATCH(BU18,TABLAS!$B$52:$B$58,0)))*DATOS!$C$14/(DATOS!$C$21*AF18)/2)/1E5)))</f>
        <v/>
      </c>
      <c r="DN18" s="56" t="str">
        <f>IF(U18&lt;&gt;"SÍ","",IF(OR(NOT(AND(C18="VOLADO",AC18&gt;DATOS!$C$80)),DK18&lt;1),0,DATOS!$C$30*2*MIN(1,SQRT(2/(1+0.04*DL18)))*((DK18*INDEX(TABLAS!$D$52:$D$58,MATCH(BU18,TABLAS!$B$52:$B$58,0)))/(AF18*DL18))^(1/3)*SQRT(DATOS!$C$13)*AF18*DL18/1000))</f>
        <v/>
      </c>
      <c r="DO18" s="56" t="str">
        <f>IF(U18&lt;&gt;"SÍ","",IF(NOT(AND(C18="VOLADO",AC18&gt;DATOS!$C$80)),0,IF((BG18-DM18)&lt;=0,0,IF(DM18&lt;=0,IF(ISNUMBER(P18),P18,X18),IF(((0.9*DATOS!$C$87*DATOS!$C$83/100/1000)*IF(ISNUMBER(P18),P18,X18)/2+BG18/IF(ISNUMBER(P18),P18,X18))^2-4*((0.9*DATOS!$C$87*DATOS!$C$83/100/1000)/2)*(BG18-DM18)&lt;0,IF(ISNUMBER(P18),P18,X18),MIN(IF(ISNUMBER(P18),P18,X18),(((0.9*DATOS!$C$87*DATOS!$C$83/100/1000)*IF(ISNUMBER(P18),P18,X18)/2+BG18/IF(ISNUMBER(P18),P18,X18))-SQRT(((0.9*DATOS!$C$87*DATOS!$C$83/100/1000)*IF(ISNUMBER(P18),P18,X18)/2+BG18/IF(ISNUMBER(P18),P18,X18))^2-4*((0.9*DATOS!$C$87*DATOS!$C$83/100/1000)/2)*(BG18-DM18)))/(2*((0.9*DATOS!$C$87*DATOS!$C$83/100/1000)/2))))))))</f>
        <v/>
      </c>
      <c r="DP18" s="56" t="str">
        <f>IF(U18&lt;&gt;"SÍ","",IF(NOT(AND(C18="VOLADO",AC18&gt;DATOS!$C$80)),0,MIN(IF(ISNUMBER(P18),P18,X18),MAX(0,IF(ISNUMBER(P18),P18,X18)/2+BG18/IF(ISNUMBER(P18),P18,X18)/(AQ18*DATOS!$C$83/100/1000)-DN18/(AQ18*DATOS!$C$83/100/1000)))))</f>
        <v/>
      </c>
      <c r="DQ18" s="56" t="str">
        <f>IF(U18&lt;&gt;"SÍ","",IF(NOT(AND(C18="VOLADO",AC18&gt;DATOS!$C$80)),0,BG18/IF(ISNUMBER(P18),P18,X18)+(AQ18*DATOS!$C$83/100/1000)*MAX(0,IF(ISNUMBER(P18),P18,X18)/2-BW18/100)))</f>
        <v/>
      </c>
      <c r="DR18" s="59" t="str">
        <f>IF(U18&lt;&gt;"SÍ","",IF(NOT(AND(C18="VOLADO",AC18&gt;DATOS!$C$80)),0,CEILING(100*MIN(IF(ISNUMBER(P18),P18,X18),MAX(IF(DO18&gt;0,DO18+IF(BV18&gt;=2,MAX(DL18,12*INDEX(TABLAS!$C$52:$C$58,MATCH(BU18,TABLAS!$B$52:$B$58,0)))/100,0),0),DP18,IF(BV18&gt;=2,INDEX(TABLAS!$F$52:$F$58,MATCH(BU18,TABLAS!$B$52:$B$58,0))/100,0))),5)))</f>
        <v/>
      </c>
      <c r="DS18" s="60" t="str">
        <f>IF(U18&lt;&gt;"SÍ","",IF(NOT(AND(C18="VOLADO",AC18&gt;DATOS!$C$80)),0,IF(DR18&lt;=0,0,CEILING(DR18/DATOS!$C$83,1))))</f>
        <v/>
      </c>
      <c r="DT18" s="61" t="str">
        <f>IF(U18&lt;&gt;"SÍ","",IF(C18&lt;&gt;"VOLADO","—",IF(AC18&lt;=DATOS!$C$80,"— (mismo b_w que el respaldo)",IF(DQ18&gt;CR18,"NO CUMPLE: cortante de la nervadura ancha junto al apoyo ("&amp;TEXT(DQ18,"0.00")&amp;" &gt; "&amp;TEXT(CR18,"0.00")&amp;" t)",IF(DR18&gt;=100*IF(ISNUMBER(P18),P18,X18),"CUMPLE — todas las nervaduras del respaldo ‖ al volado con b_w = "&amp;AC18&amp;" cm","CUMPLE — "&amp;DS18&amp;" hilera(s) del respaldo con nervaduras de b_w = "&amp;AC18&amp;" cm (casetón "&amp;AD18&amp;" cm), hasta "&amp;TEXT(DR18/100,"0.00")&amp;" m del paño")))))</f>
        <v/>
      </c>
      <c r="DU18" s="69" t="str">
        <f>IF(U18&lt;&gt;"SÍ","",IF(BN18=0,"NO ALCANZA",BN18&amp;" No. "&amp;BM18&amp;IF(BN18&gt;1," corridas"," corrida")))</f>
        <v/>
      </c>
      <c r="DV18" s="69" t="str">
        <f>IF(U18&lt;&gt;"SÍ","",IF(BV18=0,"NO ALCANZA",IF(AND(C18="VOLADO",AC18&gt;DATOS!$C$80,BV18&gt;=2),"1 No. "&amp;BU18&amp;" corrida de la orilla al respaldo ("&amp;IF(DB18&gt;=100*IF(ISNUMBER(P18),P18,X18),"hasta su apoyo lejano, con gancho","entra "&amp;TEXT(DB18/100,"0.00")&amp;" m desde el paño")&amp;") + "&amp;(BV18-1)&amp;" bastón No. "&amp;BU18&amp;" hasta "&amp;TEXT(DR18/100,"0.00")&amp;" m del paño (fin de la nervadura ancha)",IF(C18="VOLADO",BV18&amp;" No. "&amp;BU18&amp;" de la orilla al respaldo ("&amp;IF(DB18&gt;=100*IF(ISNUMBER(P18),P18,X18),"hasta su apoyo lejano, con gancho","entran "&amp;TEXT(DB18/100,"0.00")&amp;" m desde el paño")&amp;")","1 No. "&amp;BU18&amp;" corrida"&amp;IF(BV18&gt;1," + "&amp;(BV18-1)&amp;" bastón No. "&amp;BU18&amp;" L = "&amp;TEXT(DB18/100,"0.00")&amp;" m desde el paño","")))))</f>
        <v/>
      </c>
      <c r="DW18" s="69" t="str">
        <f>IF(U18&lt;&gt;"SÍ","",IF(CD18=0,"NO ALCANZA",CD18&amp;" No. "&amp;CC18&amp;IF(CD18&gt;1," corridas"," corrida")))</f>
        <v/>
      </c>
      <c r="DX18" s="69" t="str">
        <f>IF(U18&lt;&gt;"SÍ","",IF(CL18=0,"NO ALCANZA",IF(C18="VOLADO","1 No. "&amp;CK18&amp;" corrida (repartición)","1 No. "&amp;CK18&amp;" corrida"&amp;IF(CL18&gt;1," + "&amp;(CL18-1)&amp;" bastón No. "&amp;CK18&amp;" L = "&amp;TEXT(DC18/100,"0.00")&amp;" m desde el paño",""))))</f>
        <v/>
      </c>
      <c r="DY18" s="67" t="str">
        <f>IF(B18="","",IF(U18&lt;&gt;"SÍ","FALTAN DATOS: tipo, a_x, a_y y destino",IF(L18="NO MONOLÍTICO (caso II)","FUERA DE ALCANCE: caso II no transcrito",IF(AND(C18="VOLADO",V18="?"),"REVISAR: el volado lleva UN solo borde CONTINUO (el empotrado)",IF(AND(MAX(BQ18,BY18,CG18,CO18)&lt;=1,NOT(OR(BN18&gt;MIN(DATOS!$C$70,INT(((AC18-2*AJ18)+MAX(DATOS!$C$67,INDEX(TABLAS!$C$52:$C$58,MATCH(BM18,TABLAS!$B$52:$B$58,0))))/(INDEX(TABLAS!$C$52:$C$58,MATCH(BM18,TABLAS!$B$52:$B$58,0))+MAX(DATOS!$C$67,INDEX(TABLAS!$C$52:$C$58,MATCH(BM18,TABLAS!$B$52:$B$58,0)))))),BV18&gt;MIN(DATOS!$C$70,INT(((AC18-2*AK18)+MAX(DATOS!$C$67,INDEX(TABLAS!$C$52:$C$58,MATCH(BU18,TABLAS!$B$52:$B$58,0))))/(INDEX(TABLAS!$C$52:$C$58,MATCH(BU18,TABLAS!$B$52:$B$58,0))+MAX(DATOS!$C$67,INDEX(TABLAS!$C$52:$C$58,MATCH(BU18,TABLAS!$B$52:$B$58,0)))))),CD18&gt;MIN(DATOS!$C$70,INT(((DATOS!$C$80-2*AJ18)+MAX(DATOS!$C$67,INDEX(TABLAS!$C$52:$C$58,MATCH(CC18,TABLAS!$B$52:$B$58,0))))/(INDEX(TABLAS!$C$52:$C$58,MATCH(CC18,TABLAS!$B$52:$B$58,0))+MAX(DATOS!$C$67,INDEX(TABLAS!$C$52:$C$58,MATCH(CC18,TABLAS!$B$52:$B$58,0)))))),CL18&gt;MIN(DATOS!$C$70,INT(((DATOS!$C$80-2*AK18)+MAX(DATOS!$C$67,INDEX(TABLAS!$C$52:$C$58,MATCH(CK18,TABLAS!$B$52:$B$58,0))))/(INDEX(TABLAS!$C$52:$C$58,MATCH(CK18,TABLAS!$B$52:$B$58,0))+MAX(DATOS!$C$67,INDEX(TABLAS!$C$52:$C$58,MATCH(CK18,TABLAS!$B$52:$B$58,0)))))))),NOT(OR(AND(ISNUMBER(BR18),BR18&lt;0.005),AND(ISNUMBER(BZ18),BZ18&lt;0.005),AND(ISNUMBER(CH18),CH18&lt;0.005),AND(ISNUMBER(CP18),CP18&lt;0.005))),NOT(LEFT(DT18,2)="NO"),CZ18="CUMPLE",DA18="CUMPLE",LEFT(CT18,2)&lt;&gt;"NO"),IF(LEFT(CT18,6)="CUMPLE","CUMPLE","CUMPLE — "&amp;CT18)&amp;IF(LEFT(BJ18,5)="FUERA"," · fuera de 3.4.2.1 c)","")&amp;IF(LEFT(DF18,2)="NO"," · REVISAR anclaje en borde discontinuo","")&amp;IF(DS18&gt;0," · respaldo: "&amp;DS18&amp;" hilera(s) de b_w "&amp;AC18&amp;" cm",""),IF(AND(MAX(BQ18,BY18,CG18,CO18)&lt;=1,NOT(OR(BN18&gt;MIN(DATOS!$C$70,INT(((AC18-2*AJ18)+MAX(DATOS!$C$67,INDEX(TABLAS!$C$52:$C$58,MATCH(BM18,TABLAS!$B$52:$B$58,0))))/(INDEX(TABLAS!$C$52:$C$58,MATCH(BM18,TABLAS!$B$52:$B$58,0))+MAX(DATOS!$C$67,INDEX(TABLAS!$C$52:$C$58,MATCH(BM18,TABLAS!$B$52:$B$58,0)))))),BV18&gt;MIN(DATOS!$C$70,INT(((AC18-2*AK18)+MAX(DATOS!$C$67,INDEX(TABLAS!$C$52:$C$58,MATCH(BU18,TABLAS!$B$52:$B$58,0))))/(INDEX(TABLAS!$C$52:$C$58,MATCH(BU18,TABLAS!$B$52:$B$58,0))+MAX(DATOS!$C$67,INDEX(TABLAS!$C$52:$C$58,MATCH(BU18,TABLAS!$B$52:$B$58,0)))))),CD18&gt;MIN(DATOS!$C$70,INT(((DATOS!$C$80-2*AJ18)+MAX(DATOS!$C$67,INDEX(TABLAS!$C$52:$C$58,MATCH(CC18,TABLAS!$B$52:$B$58,0))))/(INDEX(TABLAS!$C$52:$C$58,MATCH(CC18,TABLAS!$B$52:$B$58,0))+MAX(DATOS!$C$67,INDEX(TABLAS!$C$52:$C$58,MATCH(CC18,TABLAS!$B$52:$B$58,0)))))),CL18&gt;MIN(DATOS!$C$70,INT(((DATOS!$C$80-2*AK18)+MAX(DATOS!$C$67,INDEX(TABLAS!$C$52:$C$58,MATCH(CK18,TABLAS!$B$52:$B$58,0))))/(INDEX(TABLAS!$C$52:$C$58,MATCH(CK18,TABLAS!$B$52:$B$58,0))+MAX(DATOS!$C$67,INDEX(TABLAS!$C$52:$C$58,MATCH(CK18,TABLAS!$B$52:$B$58,0)))))))),NOT(OR(AND(ISNUMBER(BR18),BR18&lt;0.005),AND(ISNUMBER(BZ18),BZ18&lt;0.005),AND(ISNUMBER(CH18),CH18&lt;0.005),AND(ISNUMBER(CP18),CP18&lt;0.005))),NOT(LEFT(DT18,2)="NO"),CZ18="CALCULAR FLECHA",LEFT(CT18,2)&lt;&gt;"NO"),"REVISAR: calcular flecha (h_eq &lt; h mín.)"&amp;IF(LEFT(BJ18,5)="FUERA"," · fuera de 3.4.2.1 c)","")&amp;IF(LEFT(DF18,2)="NO"," · REVISAR anclaje en borde discontinuo","")&amp;IF(DS18&gt;0," · respaldo: "&amp;DS18&amp;" hilera(s) de b_w "&amp;AC18&amp;" cm",""),"NO CUMPLE: "&amp;IF(MAX(BQ18,BY18,CG18,CO18)&gt;1,"flexión ","")&amp;IF(OR(BN18&gt;MIN(DATOS!$C$70,INT(((AC18-2*AJ18)+MAX(DATOS!$C$67,INDEX(TABLAS!$C$52:$C$58,MATCH(BM18,TABLAS!$B$52:$B$58,0))))/(INDEX(TABLAS!$C$52:$C$58,MATCH(BM18,TABLAS!$B$52:$B$58,0))+MAX(DATOS!$C$67,INDEX(TABLAS!$C$52:$C$58,MATCH(BM18,TABLAS!$B$52:$B$58,0)))))),BV18&gt;MIN(DATOS!$C$70,INT(((AC18-2*AK18)+MAX(DATOS!$C$67,INDEX(TABLAS!$C$52:$C$58,MATCH(BU18,TABLAS!$B$52:$B$58,0))))/(INDEX(TABLAS!$C$52:$C$58,MATCH(BU18,TABLAS!$B$52:$B$58,0))+MAX(DATOS!$C$67,INDEX(TABLAS!$C$52:$C$58,MATCH(BU18,TABLAS!$B$52:$B$58,0)))))),CD18&gt;MIN(DATOS!$C$70,INT(((DATOS!$C$80-2*AJ18)+MAX(DATOS!$C$67,INDEX(TABLAS!$C$52:$C$58,MATCH(CC18,TABLAS!$B$52:$B$58,0))))/(INDEX(TABLAS!$C$52:$C$58,MATCH(CC18,TABLAS!$B$52:$B$58,0))+MAX(DATOS!$C$67,INDEX(TABLAS!$C$52:$C$58,MATCH(CC18,TABLAS!$B$52:$B$58,0)))))),CL18&gt;MIN(DATOS!$C$70,INT(((DATOS!$C$80-2*AK18)+MAX(DATOS!$C$67,INDEX(TABLAS!$C$52:$C$58,MATCH(CK18,TABLAS!$B$52:$B$58,0))))/(INDEX(TABLAS!$C$52:$C$58,MATCH(CK18,TABLAS!$B$52:$B$58,0))+MAX(DATOS!$C$67,INDEX(TABLAS!$C$52:$C$58,MATCH(CK18,TABLAS!$B$52:$B$58,0))))))),"no caben ","")&amp;IF(OR(AND(ISNUMBER(BR18),BR18&lt;0.005),AND(ISNUMBER(BZ18),BZ18&lt;0.005),AND(ISNUMBER(CH18),CH18&lt;0.005),AND(ISNUMBER(CP18),CP18&lt;0.005)),"ε_t &lt; 0.005 ","")&amp;IF(LEFT(CT18,2)="NO","cortante ","")&amp;IF(CZ18="NO CUMPLE","peralte ","")&amp;IF(DA18&lt;&gt;"CUMPLE","capa &lt; 6 cm ","")&amp;IF(LEFT(DT18,2)="NO","respaldo del volado","")))))))</f>
        <v/>
      </c>
      <c r="DZ18" s="70" t="str">
        <f>IF(U18&lt;&gt;"SÍ","",IF(LEFT(B18,7)="EJEMPLO","EJEMPLO de la hoja de Casa Rocha: bórralo o sobrescríbelo. ","")&amp;IF(AND(C18="PERIMETRAL",MIN(DG18,DH18)=0),"No cabe un casetón en el claro corto: es un tablero macizo, diséñalo en MACIZAS. ","")&amp;IF(AND(AI18="NO",C18="PERIMETRAL"),"No cumple 6.7.8.1.4 (a_c = "&amp;MAX(DATOS!$C$78,AD18)&amp;" cm &gt; claro corto/6 = "&amp;TEXT(X18*100/6,"0")&amp;" cm): se diseña como losa apoyada en vigas (6.7.8.1.9): r de viga = "&amp;DATOS!$C$60&amp;" cm y V_cR sin ×1.1. Para que cuente como encasetonada: casetón de "&amp;TEXT(FLOOR(MIN(80,X18*100/6),1),"0")&amp;" cm o menor. ","")&amp;IF(C18="VOLADO","Volado de "&amp;TEXT(X18,"0.00")&amp;" m empotrado en el borde "&amp;LOWER(V18)&amp;IF(N(O18)&gt;0,", con "&amp;TEXT(O18,"0.0")&amp;" kg/m en la orilla","")&amp;". Lecho inferior con r_ext. Si la orilla carga pretil u otro elemento frágil, calcula la flecha (13.4). El acero superior entra al respaldo de "&amp;TEXT(IF(ISNUMBER(P18),P18,X18),"0.00")&amp;" m"&amp;IF(ISNUMBER(P18),""," (L_b no capturado: se tomó igual al volado)")&amp;" hasta pasar M = 0 con 0.9·PP sin carga viva; si ahí no se anula, llega al apoyo lejano y se ancla con gancho (NTC-Criterios 3.4.1 c y 5.1.2.2). "&amp;IF(AC18&gt;DATOS!$C$80,"Respaldo: "&amp;DT18&amp;". ",""),"")&amp;IF(LEFT(BJ18,5)="FUERA","El M⁻ del vecino difiere más de 50 % (3.4.2.1 c): distribuye el desequilibrio (3.4.3.1) o confirma con un modelo; se arma con el mayor. ","")&amp;IF(OR(DD18="SÍ",DE18="SÍ"),"El M⁻ del borde discontinuo pide bastón también ahí (con gancho). ","")&amp;IF(LEFT(DF18,2)="NO","Anclaje: "&amp;DF18&amp;" (6.7.8.1.7). ","")&amp;IF(OR(AZ18&gt;0,BA18&gt;0),"Esquinas exteriores sobre muro: refuerzo de esquina arriba y abajo en L_largo/5 (6.7.7.3.1). ",""))</f>
        <v/>
      </c>
    </row>
    <row r="19" ht="33" customHeight="1">
      <c r="A19" s="50">
        <f>IF(B19="",0,1)+A18</f>
        <v>4</v>
      </c>
      <c r="B19" s="29" t="n"/>
      <c r="C19" s="51" t="n"/>
      <c r="D19" s="29" t="n"/>
      <c r="E19" s="52" t="n"/>
      <c r="F19" s="52" t="n"/>
      <c r="G19" s="51" t="n"/>
      <c r="H19" s="51" t="n"/>
      <c r="I19" s="51" t="n"/>
      <c r="J19" s="51" t="n"/>
      <c r="K19" s="51" t="n"/>
      <c r="L19" s="51" t="n"/>
      <c r="M19" s="53" t="n"/>
      <c r="N19" s="53" t="n"/>
      <c r="O19" s="54" t="n"/>
      <c r="P19" s="52" t="n"/>
      <c r="Q19" s="53" t="n"/>
      <c r="R19" s="54" t="n"/>
      <c r="S19" s="52" t="n"/>
      <c r="T19" s="52" t="n"/>
      <c r="U19" s="55" t="str">
        <f>IF(B19="","",IF(AND(OR(C19="PERIMETRAL",C19="VOLADO"),ISNUMBER(E19),ISNUMBER(F19),E19&gt;0,F19&gt;0,OR(ISNUMBER(N19),ISNUMBER(MATCH(D19,DATOS!$B$46:$B$55,0)))),"SÍ","NO"))</f>
        <v/>
      </c>
      <c r="V19" s="55" t="str">
        <f>IF(U19&lt;&gt;"SÍ","",IF(C19&lt;&gt;"VOLADO","—",IF(COUNTIF(G19:J19,"CONTINUO")&lt;&gt;1,"?",IF(G19="CONTINUO","INFERIOR",IF(H19="CONTINUO","SUPERIOR",IF(I19="CONTINUO","IZQUIERDO","DERECHO"))))))</f>
        <v/>
      </c>
      <c r="W19" s="55" t="str">
        <f>IF(U19&lt;&gt;"SÍ","",IF(C19="VOLADO",IF(OR(V19="IZQUIERDO",V19="DERECHO"),"X","Y"),IF(E19&lt;=F19,"X","Y")))</f>
        <v/>
      </c>
      <c r="X19" s="56" t="str">
        <f>IF(U19&lt;&gt;"SÍ","",IF(C19="VOLADO",IF(W19="X",E19,F19),MIN(E19,F19)))</f>
        <v/>
      </c>
      <c r="Y19" s="56" t="str">
        <f>IF(U19&lt;&gt;"SÍ","",IF(C19="VOLADO",IF(W19="X",F19,E19),MAX(E19,F19)))</f>
        <v/>
      </c>
      <c r="Z19" s="56" t="str">
        <f>IF(U19&lt;&gt;"SÍ","",MIN(X19,Y19)/MAX(X19,Y19))</f>
        <v/>
      </c>
      <c r="AA19" s="57" t="str">
        <f>IF(U19&lt;&gt;"SÍ","",MAX(1,X19*100-IF(C19="VOLADO",DATOS!$C$84/2,DATOS!$C$84)))</f>
        <v/>
      </c>
      <c r="AB19" s="57" t="str">
        <f>IF(U19&lt;&gt;"SÍ","",MAX(1,Y19*100-DATOS!$C$84))</f>
        <v/>
      </c>
      <c r="AC19" s="57" t="str">
        <f>IF(U19&lt;&gt;"SÍ","",IF(ISNUMBER(Q19),Q19,DATOS!$C$80))</f>
        <v/>
      </c>
      <c r="AD19" s="57" t="str">
        <f>IF(U19&lt;&gt;"SÍ","",MAX(0,DATOS!$C$83-AC19))</f>
        <v/>
      </c>
      <c r="AE19" s="57" t="str">
        <f>IF(U19&lt;&gt;"SÍ","",IF(OR(DATOS!$C$62="SÍ",AC19&gt;=20),AC19,AC19-2))</f>
        <v/>
      </c>
      <c r="AF19" s="57" t="str">
        <f>IF(U19&lt;&gt;"SÍ","",IF(OR(DATOS!$C$62="SÍ",DATOS!$C$80&gt;=20),DATOS!$C$80,DATOS!$C$80-2))</f>
        <v/>
      </c>
      <c r="AG19" s="57" t="str">
        <f>IF(U19&lt;&gt;"SÍ","",MIN(DATOS!$C$83,AC19+2*MIN(8*DATOS!$C$81,AD19/2,AA19/8)))</f>
        <v/>
      </c>
      <c r="AH19" s="57" t="str">
        <f>IF(U19&lt;&gt;"SÍ","",MIN(DATOS!$C$83,DATOS!$C$80+2*MIN(8*DATOS!$C$81,DATOS!$C$78/2,AB19/8)))</f>
        <v/>
      </c>
      <c r="AI19" s="55" t="str">
        <f>IF(U19&lt;&gt;"SÍ","",IF(AND(C19="PERIMETRAL",X19*100&gt;=6*MAX(DATOS!$C$78,AD19),MAX(DATOS!$C$78,AD19)&lt;=80,MIN(DATOS!$C$80,AC19)&gt;=10,DATOS!$C$82&lt;=3.5*MIN(DATOS!$C$80,AC19),DATOS!$C$81&gt;=MAX(MAX(DATOS!$C$78,AD19)/13,5)),"SÍ","NO"))</f>
        <v/>
      </c>
      <c r="AJ19" s="57" t="str">
        <f>IF(U19&lt;&gt;"SÍ","",IF(C19="VOLADO",DATOS!$C$61,IF(AI19="NO",DATOS!$C$60,DATOS!$C$59)))</f>
        <v/>
      </c>
      <c r="AK19" s="57" t="str">
        <f>IF(U19&lt;&gt;"SÍ","",IF(OR(AND(AM19="SÍ",DATOS!$C$63="SÍ"),AND(C19="VOLADO",DATOS!$C$64="SÍ")),DATOS!$C$61,IF(AI19="NO",DATOS!$C$60,DATOS!$C$59)))</f>
        <v/>
      </c>
      <c r="AL19" s="58" t="str">
        <f>IF(U19&lt;&gt;"SÍ","",MAX(AK19,(DATOS!$C$81-2*DATOS!$C$94)/2))</f>
        <v/>
      </c>
      <c r="AM19" s="55" t="str">
        <f>IF(U19&lt;&gt;"SÍ","",IFERROR(INDEX(DATOS!$D$46:$D$55,MATCH(D19,DATOS!$B$46:$B$55,0)),"NO"))</f>
        <v/>
      </c>
      <c r="AN19" s="59" t="str">
        <f>IF(U19&lt;&gt;"SÍ","",IF(ISNUMBER(N19),N19,IFERROR(INDEX(DATOS!$C$46:$C$55,MATCH(D19,DATOS!$B$46:$B$55,0)),0)))</f>
        <v/>
      </c>
      <c r="AO19" s="59" t="str">
        <f>IF(U19&lt;&gt;"SÍ","",(DATOS!$C$82/100-(AD19*DATOS!$C$78/DATOS!$C$83^2)*DATOS!$C$79/100)*DATOS!$C$16*1000+(AD19*DATOS!$C$78/DATOS!$C$83^2)*DATOS!$C$79/100*DATOS!$C$17*1000+DATOS!$C$37+DATOS!$C$38)</f>
        <v/>
      </c>
      <c r="AP19" s="59" t="str">
        <f>IF(U19&lt;&gt;"SÍ","",AO19+N(M19))</f>
        <v/>
      </c>
      <c r="AQ19" s="60" t="str">
        <f>IF(U19&lt;&gt;"SÍ","",MAX(DATOS!$C$26*AP19+DATOS!$C$27*AN19,IF(AM19="SÍ",DATOS!$C$28*(AP19+DATOS!$C$41),0)))</f>
        <v/>
      </c>
      <c r="AR19" s="59" t="str">
        <f>IF(U19&lt;&gt;"SÍ","",(G19="DISCONTINUO")+(H19="DISCONTINUO")+(I19="DISCONTINUO")+(J19="DISCONTINUO"))</f>
        <v/>
      </c>
      <c r="AS19" s="59" t="str">
        <f>IF(U19&lt;&gt;"SÍ","",IF(W19="X",(G19="DISCONTINUO")+(H19="DISCONTINUO"),(I19="DISCONTINUO")+(J19="DISCONTINUO")))</f>
        <v/>
      </c>
      <c r="AT19" s="55" t="str">
        <f>IF(U19&lt;&gt;"SÍ","",IF(AR19=0,"INTERIOR",IF(AR19=1,IF(AS19=1,"BORDE-CORTO","BORDE-LARGO"),IF(AR19=2,IF(AS19=1,"ESQUINA",IF(AS19=2,"EXTREMO-LARGO","EXTREMO-CORTO")),IF(AR19=3,IF(AS19=2,"EXTREMO-LARGO","EXTREMO-CORTO"),"AISLADO")))))</f>
        <v/>
      </c>
      <c r="AU19" s="61" t="str">
        <f>IF(U19&lt;&gt;"SÍ","",IF(OR(K19="",K19="AUTO"),AT19,K19))</f>
        <v/>
      </c>
      <c r="AV19" s="59" t="str">
        <f>IF(U19&lt;&gt;"SÍ","",MATCH(Z19,TABLAS!$D$5:$J$5,1))</f>
        <v/>
      </c>
      <c r="AW19" s="58" t="str">
        <f>IF(U19&lt;&gt;"SÍ","",IF(AV19&gt;=7,0,(Z19-INDEX(TABLAS!$D$5:$J$5,AV19))/(INDEX(TABLAS!$D$5:$J$5,AV19+1)-INDEX(TABLAS!$D$5:$J$5,AV19))))</f>
        <v/>
      </c>
      <c r="AX19" s="59" t="str">
        <f>IF(U19&lt;&gt;"SÍ","",INDEX(TABLAS!$D$6:$J$47,MATCH(AU19&amp;"|NIC",TABLAS!$B$6:$B$47,0),AV19)+AW19*(INDEX(TABLAS!$D$6:$J$47,MATCH(AU19&amp;"|NIC",TABLAS!$B$6:$B$47,0),MIN(AV19+1,7))-INDEX(TABLAS!$D$6:$J$47,MATCH(AU19&amp;"|NIC",TABLAS!$B$6:$B$47,0),AV19)))</f>
        <v/>
      </c>
      <c r="AY19" s="59" t="str">
        <f>IF(U19&lt;&gt;"SÍ","",INDEX(TABLAS!$D$6:$J$47,MATCH(AU19&amp;"|NIL",TABLAS!$B$6:$B$47,0),AV19)+AW19*(INDEX(TABLAS!$D$6:$J$47,MATCH(AU19&amp;"|NIL",TABLAS!$B$6:$B$47,0),MIN(AV19+1,7))-INDEX(TABLAS!$D$6:$J$47,MATCH(AU19&amp;"|NIL",TABLAS!$B$6:$B$47,0),AV19)))</f>
        <v/>
      </c>
      <c r="AZ19" s="59" t="str">
        <f>IF(U19&lt;&gt;"SÍ","",INDEX(TABLAS!$D$6:$J$47,MATCH(AU19&amp;"|NDC",TABLAS!$B$6:$B$47,0),AV19)+AW19*(INDEX(TABLAS!$D$6:$J$47,MATCH(AU19&amp;"|NDC",TABLAS!$B$6:$B$47,0),MIN(AV19+1,7))-INDEX(TABLAS!$D$6:$J$47,MATCH(AU19&amp;"|NDC",TABLAS!$B$6:$B$47,0),AV19)))</f>
        <v/>
      </c>
      <c r="BA19" s="59" t="str">
        <f>IF(U19&lt;&gt;"SÍ","",INDEX(TABLAS!$D$6:$J$47,MATCH(AU19&amp;"|NDL",TABLAS!$B$6:$B$47,0),AV19)+AW19*(INDEX(TABLAS!$D$6:$J$47,MATCH(AU19&amp;"|NDL",TABLAS!$B$6:$B$47,0),MIN(AV19+1,7))-INDEX(TABLAS!$D$6:$J$47,MATCH(AU19&amp;"|NDL",TABLAS!$B$6:$B$47,0),AV19)))</f>
        <v/>
      </c>
      <c r="BB19" s="59" t="str">
        <f>IF(U19&lt;&gt;"SÍ","",INDEX(TABLAS!$D$6:$J$47,MATCH(AU19&amp;"|PC",TABLAS!$B$6:$B$47,0),AV19)+AW19*(INDEX(TABLAS!$D$6:$J$47,MATCH(AU19&amp;"|PC",TABLAS!$B$6:$B$47,0),MIN(AV19+1,7))-INDEX(TABLAS!$D$6:$J$47,MATCH(AU19&amp;"|PC",TABLAS!$B$6:$B$47,0),AV19)))</f>
        <v/>
      </c>
      <c r="BC19" s="59" t="str">
        <f>IF(U19&lt;&gt;"SÍ","",INDEX(TABLAS!$D$6:$J$47,MATCH(AU19&amp;"|PL",TABLAS!$B$6:$B$47,0),AV19)+AW19*(INDEX(TABLAS!$D$6:$J$47,MATCH(AU19&amp;"|PL",TABLAS!$B$6:$B$47,0),MIN(AV19+1,7))-INDEX(TABLAS!$D$6:$J$47,MATCH(AU19&amp;"|PL",TABLAS!$B$6:$B$47,0),AV19)))</f>
        <v/>
      </c>
      <c r="BD19" s="56" t="str">
        <f>IF(U19&lt;&gt;"SÍ","",IF(C19&lt;&gt;"VOLADO",0,DATOS!$C$26*DATOS!$C$16*DATOS!$C$83/100*(((AD19*DATOS!$C$78/DATOS!$C$83^2)*DATOS!$C$79/100)*(IF(W19="X",DI19,DJ19)+DATOS!$C$84/2)/100*(AA19-(IF(W19="X",DI19,DJ19)+DATOS!$C$84/2)/2)/100+((AD19*DATOS!$C$78/DATOS!$C$83^2)*DATOS!$C$79/100)*IF(W19="X",DI19,DJ19)/100*IF(W19="X",DI19,DJ19)/200)))</f>
        <v/>
      </c>
      <c r="BE19" s="56" t="str">
        <f>IF(U19&lt;&gt;"SÍ","",IF(C19&lt;&gt;"VOLADO",0,DATOS!$C$26*DATOS!$C$16*DATOS!$C$83/100*((AD19*DATOS!$C$78/DATOS!$C$83^2)*DATOS!$C$79/100)*(IF(W19="X",DI19,DJ19)+DATOS!$C$84/2)/100))</f>
        <v/>
      </c>
      <c r="BF19" s="56" t="str">
        <f>IF(U19&lt;&gt;"SÍ","",IF(C19="PERIMETRAL",BB19*AQ19*X19^2*1E-4*DATOS!$C$83/100/1000,0))</f>
        <v/>
      </c>
      <c r="BG19" s="62" t="str">
        <f>IF(U19&lt;&gt;"SÍ","",IF(C19="PERIMETRAL",MAX(MAX(AX19,AZ19)*AQ19*X19^2*1E-4*DATOS!$C$83/100/1000,N(S19)),(AQ19*(AA19/100)^2/2+DATOS!$C$26*N(O19)*AA19/100)*DATOS!$C$83/100/1000+BD19))</f>
        <v/>
      </c>
      <c r="BH19" s="56" t="str">
        <f>IF(U19&lt;&gt;"SÍ","",IF(C19="PERIMETRAL",BC19*AQ19*X19^2*1E-4*DATOS!$C$83/100/1000,0))</f>
        <v/>
      </c>
      <c r="BI19" s="56" t="str">
        <f>IF(U19&lt;&gt;"SÍ","",IF(C19="PERIMETRAL",MAX(MAX(AY19,BA19)*AQ19*X19^2*1E-4*DATOS!$C$83/100/1000,N(T19)),0))</f>
        <v/>
      </c>
      <c r="BJ19" s="63" t="str">
        <f>IF(U19&lt;&gt;"SÍ","",IF(C19&lt;&gt;"PERIMETRAL","—",IF(AND(N(S19)=0,N(T19)=0),"— (sin M⁻ del vecino)",IF(OR(AND(N(S19)&gt;0,ABS(MAX(AX19,AZ19)*AQ19*X19^2*1E-4*DATOS!$C$83/100/1000-N(S19))&gt;0.5*MIN(MAX(AX19,AZ19)*AQ19*X19^2*1E-4*DATOS!$C$83/100/1000,N(S19))),AND(N(T19)&gt;0,ABS(MAX(AY19,BA19)*AQ19*X19^2*1E-4*DATOS!$C$83/100/1000-N(T19))&gt;0.5*MIN(MAX(AY19,BA19)*AQ19*X19^2*1E-4*DATOS!$C$83/100/1000,N(T19)))),"FUERA: difieren &gt; 50 %"&amp;IF(AND(N(S19)&gt;0,ABS(MAX(AX19,AZ19)*AQ19*X19^2*1E-4*DATOS!$C$83/100/1000-N(S19))&gt;0.5*MIN(MAX(AX19,AZ19)*AQ19*X19^2*1E-4*DATOS!$C$83/100/1000,N(S19)))," ‖ corto","")&amp;IF(AND(N(T19)&gt;0,ABS(MAX(AY19,BA19)*AQ19*X19^2*1E-4*DATOS!$C$83/100/1000-N(T19))&gt;0.5*MIN(MAX(AY19,BA19)*AQ19*X19^2*1E-4*DATOS!$C$83/100/1000,N(T19)))," ‖ largo",""),"CUMPLE"))))</f>
        <v/>
      </c>
      <c r="BK19" s="58" t="str">
        <f>IF(U19&lt;&gt;"SÍ","",(DATOS!$C$82-AJ19-INDEX(TABLAS!$C$52:$C$58,MATCH(DATOS!$C$68,TABLAS!$B$52:$B$58,0))/2))</f>
        <v/>
      </c>
      <c r="BL19" s="58" t="str">
        <f>IF(U19&lt;&gt;"SÍ","",IF(IF(BF19&lt;=0,0,IF((1-2*BF19*1E5/(DATOS!$C$29*AG19*BK19^2*DATOS!$C$21))&lt;0,-1,IF((1-SQRT((1-2*BF19*1E5/(DATOS!$C$29*AG19*BK19^2*DATOS!$C$21))))*DATOS!$C$21*AG19*BK19/DATOS!$C$14&gt;DATOS!$C$99*AG19*BK19,-1,(1-SQRT((1-2*BF19*1E5/(DATOS!$C$29*AG19*BK19^2*DATOS!$C$21))))*DATOS!$C$21*AG19*BK19/DATOS!$C$14)))&lt;0,-1,MAX(IF(BF19&lt;=0,0,IF((1-2*BF19*1E5/(DATOS!$C$29*AG19*BK19^2*DATOS!$C$21))&lt;0,-1,IF((1-SQRT((1-2*BF19*1E5/(DATOS!$C$29*AG19*BK19^2*DATOS!$C$21))))*DATOS!$C$21*AG19*BK19/DATOS!$C$14&gt;DATOS!$C$99*AG19*BK19,-1,(1-SQRT((1-2*BF19*1E5/(DATOS!$C$29*AG19*BK19^2*DATOS!$C$21))))*DATOS!$C$21*AG19*BK19/DATOS!$C$14))),MIN(DATOS!$C$100*AC19*BK19,4/3*IF(BF19&lt;=0,0,IF((1-2*BF19*1E5/(DATOS!$C$29*AG19*BK19^2*DATOS!$C$21))&lt;0,-1,IF((1-SQRT((1-2*BF19*1E5/(DATOS!$C$29*AG19*BK19^2*DATOS!$C$21))))*DATOS!$C$21*AG19*BK19/DATOS!$C$14&gt;DATOS!$C$99*AG19*BK19,-1,(1-SQRT((1-2*BF19*1E5/(DATOS!$C$29*AG19*BK19^2*DATOS!$C$21))))*DATOS!$C$21*AG19*BK19/DATOS!$C$14)))))))</f>
        <v/>
      </c>
      <c r="BM19" s="64" t="str">
        <f>IF(U19&lt;&gt;"SÍ","",IF(AND(BL19&gt;=0,IF(MAX(DATOS!$C$71,CEILING(BL19/INDEX(TABLAS!$D$52:$D$58,MIN(MATCH(DATOS!$C$68,TABLAS!$B$52:$B$58,0)+0,7)),1))*INDEX(TABLAS!$D$52:$D$58,MIN(MATCH(DATOS!$C$68,TABLAS!$B$52:$B$58,0)+0,7))&gt;=4/3*IF(BF19&lt;=0,0,IF((1-2*BF19*1E5/(DATOS!$C$29*AG19*BK19^2*DATOS!$C$21))&lt;0,-1,IF((1-SQRT((1-2*BF19*1E5/(DATOS!$C$29*AG19*BK19^2*DATOS!$C$21))))*DATOS!$C$21*AG19*BK19/DATOS!$C$14&gt;DATOS!$C$99*AG19*BK19,-1,(1-SQRT((1-2*BF19*1E5/(DATOS!$C$29*AG19*BK19^2*DATOS!$C$21))))*DATOS!$C$21*AG19*BK19/DATOS!$C$14)))-0.0001,MAX(DATOS!$C$71,CEILING(BL19/INDEX(TABLAS!$D$52:$D$58,MIN(MATCH(DATOS!$C$68,TABLAS!$B$52:$B$58,0)+0,7)),1)),MAX(MAX(DATOS!$C$71,CEILING(BL19/INDEX(TABLAS!$D$52:$D$58,MIN(MATCH(DATOS!$C$68,TABLAS!$B$52:$B$58,0)+0,7)),1)),2))&lt;=MIN(DATOS!$C$70,INT(((AC19-2*AJ19)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19&gt;=0,IF(MAX(DATOS!$C$71,CEILING(BL19/INDEX(TABLAS!$D$52:$D$58,MIN(MATCH(DATOS!$C$68,TABLAS!$B$52:$B$58,0)+1,7)),1))*INDEX(TABLAS!$D$52:$D$58,MIN(MATCH(DATOS!$C$68,TABLAS!$B$52:$B$58,0)+1,7))&gt;=4/3*IF(BF19&lt;=0,0,IF((1-2*BF19*1E5/(DATOS!$C$29*AG19*BK19^2*DATOS!$C$21))&lt;0,-1,IF((1-SQRT((1-2*BF19*1E5/(DATOS!$C$29*AG19*BK19^2*DATOS!$C$21))))*DATOS!$C$21*AG19*BK19/DATOS!$C$14&gt;DATOS!$C$99*AG19*BK19,-1,(1-SQRT((1-2*BF19*1E5/(DATOS!$C$29*AG19*BK19^2*DATOS!$C$21))))*DATOS!$C$21*AG19*BK19/DATOS!$C$14)))-0.0001,MAX(DATOS!$C$71,CEILING(BL19/INDEX(TABLAS!$D$52:$D$58,MIN(MATCH(DATOS!$C$68,TABLAS!$B$52:$B$58,0)+1,7)),1)),MAX(MAX(DATOS!$C$71,CEILING(BL19/INDEX(TABLAS!$D$52:$D$58,MIN(MATCH(DATOS!$C$68,TABLAS!$B$52:$B$58,0)+1,7)),1)),2))&lt;=MIN(DATOS!$C$70,INT(((AC19-2*AJ19)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19&gt;=0,IF(MAX(DATOS!$C$71,CEILING(BL19/INDEX(TABLAS!$D$52:$D$58,MIN(MATCH(DATOS!$C$68,TABLAS!$B$52:$B$58,0)+2,7)),1))*INDEX(TABLAS!$D$52:$D$58,MIN(MATCH(DATOS!$C$68,TABLAS!$B$52:$B$58,0)+2,7))&gt;=4/3*IF(BF19&lt;=0,0,IF((1-2*BF19*1E5/(DATOS!$C$29*AG19*BK19^2*DATOS!$C$21))&lt;0,-1,IF((1-SQRT((1-2*BF19*1E5/(DATOS!$C$29*AG19*BK19^2*DATOS!$C$21))))*DATOS!$C$21*AG19*BK19/DATOS!$C$14&gt;DATOS!$C$99*AG19*BK19,-1,(1-SQRT((1-2*BF19*1E5/(DATOS!$C$29*AG19*BK19^2*DATOS!$C$21))))*DATOS!$C$21*AG19*BK19/DATOS!$C$14)))-0.0001,MAX(DATOS!$C$71,CEILING(BL19/INDEX(TABLAS!$D$52:$D$58,MIN(MATCH(DATOS!$C$68,TABLAS!$B$52:$B$58,0)+2,7)),1)),MAX(MAX(DATOS!$C$71,CEILING(BL19/INDEX(TABLAS!$D$52:$D$58,MIN(MATCH(DATOS!$C$68,TABLAS!$B$52:$B$58,0)+2,7)),1)),2))&lt;=MIN(DATOS!$C$70,INT(((AC19-2*AJ19)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19&gt;=0,IF(MAX(DATOS!$C$71,CEILING(BL19/INDEX(TABLAS!$D$52:$D$58,MIN(MATCH(DATOS!$C$68,TABLAS!$B$52:$B$58,0)+3,7)),1))*INDEX(TABLAS!$D$52:$D$58,MIN(MATCH(DATOS!$C$68,TABLAS!$B$52:$B$58,0)+3,7))&gt;=4/3*IF(BF19&lt;=0,0,IF((1-2*BF19*1E5/(DATOS!$C$29*AG19*BK19^2*DATOS!$C$21))&lt;0,-1,IF((1-SQRT((1-2*BF19*1E5/(DATOS!$C$29*AG19*BK19^2*DATOS!$C$21))))*DATOS!$C$21*AG19*BK19/DATOS!$C$14&gt;DATOS!$C$99*AG19*BK19,-1,(1-SQRT((1-2*BF19*1E5/(DATOS!$C$29*AG19*BK19^2*DATOS!$C$21))))*DATOS!$C$21*AG19*BK19/DATOS!$C$14)))-0.0001,MAX(DATOS!$C$71,CEILING(BL19/INDEX(TABLAS!$D$52:$D$58,MIN(MATCH(DATOS!$C$68,TABLAS!$B$52:$B$58,0)+3,7)),1)),MAX(MAX(DATOS!$C$71,CEILING(BL19/INDEX(TABLAS!$D$52:$D$58,MIN(MATCH(DATOS!$C$68,TABLAS!$B$52:$B$58,0)+3,7)),1)),2))&lt;=MIN(DATOS!$C$70,INT(((AC19-2*AJ19)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19&gt;=0,IF(MAX(DATOS!$C$71,CEILING(BL19/INDEX(TABLAS!$D$52:$D$58,MIN(MATCH(DATOS!$C$68,TABLAS!$B$52:$B$58,0)+4,7)),1))*INDEX(TABLAS!$D$52:$D$58,MIN(MATCH(DATOS!$C$68,TABLAS!$B$52:$B$58,0)+4,7))&gt;=4/3*IF(BF19&lt;=0,0,IF((1-2*BF19*1E5/(DATOS!$C$29*AG19*BK19^2*DATOS!$C$21))&lt;0,-1,IF((1-SQRT((1-2*BF19*1E5/(DATOS!$C$29*AG19*BK19^2*DATOS!$C$21))))*DATOS!$C$21*AG19*BK19/DATOS!$C$14&gt;DATOS!$C$99*AG19*BK19,-1,(1-SQRT((1-2*BF19*1E5/(DATOS!$C$29*AG19*BK19^2*DATOS!$C$21))))*DATOS!$C$21*AG19*BK19/DATOS!$C$14)))-0.0001,MAX(DATOS!$C$71,CEILING(BL19/INDEX(TABLAS!$D$52:$D$58,MIN(MATCH(DATOS!$C$68,TABLAS!$B$52:$B$58,0)+4,7)),1)),MAX(MAX(DATOS!$C$71,CEILING(BL19/INDEX(TABLAS!$D$52:$D$58,MIN(MATCH(DATOS!$C$68,TABLAS!$B$52:$B$58,0)+4,7)),1)),2))&lt;=MIN(DATOS!$C$70,INT(((AC19-2*AJ19)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19" s="59" t="str">
        <f>IF(U19&lt;&gt;"SÍ","",IF(BL19&lt;0,0,IF(MAX(DATOS!$C$71,CEILING(MAX(BL19,0)/INDEX(TABLAS!$D$52:$D$58,MATCH(BM19,TABLAS!$B$52:$B$58,0)),1))*INDEX(TABLAS!$D$52:$D$58,MATCH(BM19,TABLAS!$B$52:$B$58,0))&gt;=4/3*IF(BF19&lt;=0,0,IF((1-2*BF19*1E5/(DATOS!$C$29*AG19*BK19^2*DATOS!$C$21))&lt;0,-1,IF((1-SQRT((1-2*BF19*1E5/(DATOS!$C$29*AG19*BK19^2*DATOS!$C$21))))*DATOS!$C$21*AG19*BK19/DATOS!$C$14&gt;DATOS!$C$99*AG19*BK19,-1,(1-SQRT((1-2*BF19*1E5/(DATOS!$C$29*AG19*BK19^2*DATOS!$C$21))))*DATOS!$C$21*AG19*BK19/DATOS!$C$14)))-0.0001,MAX(DATOS!$C$71,CEILING(MAX(BL19,0)/INDEX(TABLAS!$D$52:$D$58,MATCH(BM19,TABLAS!$B$52:$B$58,0)),1)),MAX(MAX(DATOS!$C$71,CEILING(MAX(BL19,0)/INDEX(TABLAS!$D$52:$D$58,MATCH(BM19,TABLAS!$B$52:$B$58,0)),1)),2))))</f>
        <v/>
      </c>
      <c r="BO19" s="58" t="str">
        <f>IF(U19&lt;&gt;"SÍ","",DATOS!$C$82-AJ19-INDEX(TABLAS!$C$52:$C$58,MATCH(BM19,TABLAS!$B$52:$B$58,0))/2)</f>
        <v/>
      </c>
      <c r="BP19" s="56" t="str">
        <f>IF(U19&lt;&gt;"SÍ","",IF(BN19=0,0,DATOS!$C$29*BN19*INDEX(TABLAS!$D$52:$D$58,MATCH(BM19,TABLAS!$B$52:$B$58,0))*DATOS!$C$14*(BO19-BN19*INDEX(TABLAS!$D$52:$D$58,MATCH(BM19,TABLAS!$B$52:$B$58,0))*DATOS!$C$14/(DATOS!$C$21*AG19)/2)/1E5))</f>
        <v/>
      </c>
      <c r="BQ19" s="65" t="str">
        <f>IF(U19&lt;&gt;"SÍ","",IF(BL19&lt;0,9.99,IF(BP19&gt;0,BF19/BP19,0)))</f>
        <v/>
      </c>
      <c r="BR19" s="66" t="str">
        <f>IF(U19&lt;&gt;"SÍ","",IF(BN19=0,"—",0.003*(BO19-(BN19*INDEX(TABLAS!$D$52:$D$58,MATCH(BM19,TABLAS!$B$52:$B$58,0))*DATOS!$C$14/(DATOS!$C$21*AG19)/DATOS!$C$22))/(BN19*INDEX(TABLAS!$D$52:$D$58,MATCH(BM19,TABLAS!$B$52:$B$58,0))*DATOS!$C$14/(DATOS!$C$21*AG19)/DATOS!$C$22)))</f>
        <v/>
      </c>
      <c r="BS19" s="58" t="str">
        <f>IF(U19&lt;&gt;"SÍ","",((DATOS!$C$82-AL19-2*DATOS!$C$94-INDEX(TABLAS!$C$52:$C$58,MATCH(DATOS!$C$69,TABLAS!$B$52:$B$58,0))/2)-IF(AND((DATOS!$C$82-AL19-2*DATOS!$C$94-INDEX(TABLAS!$C$52:$C$58,MATCH(DATOS!$C$69,TABLAS!$B$52:$B$58,0))/2)&lt;=20,DATOS!$C$62&lt;&gt;"SÍ"),2,0)))</f>
        <v/>
      </c>
      <c r="BT19" s="58" t="str">
        <f>IF(U19&lt;&gt;"SÍ","",IF(IF(BG19&lt;=0,0,IF((1-2*BG19*1E5/(DATOS!$C$29*AE19*BS19^2*DATOS!$C$21))&lt;0,-1,IF((1-SQRT((1-2*BG19*1E5/(DATOS!$C$29*AE19*BS19^2*DATOS!$C$21))))*DATOS!$C$21*AE19*BS19/DATOS!$C$14&gt;DATOS!$C$99*AE19*BS19,-1,(1-SQRT((1-2*BG19*1E5/(DATOS!$C$29*AE19*BS19^2*DATOS!$C$21))))*DATOS!$C$21*AE19*BS19/DATOS!$C$14)))&lt;0,-1,MAX(IF(BG19&lt;=0,0,IF((1-2*BG19*1E5/(DATOS!$C$29*AE19*BS19^2*DATOS!$C$21))&lt;0,-1,IF((1-SQRT((1-2*BG19*1E5/(DATOS!$C$29*AE19*BS19^2*DATOS!$C$21))))*DATOS!$C$21*AE19*BS19/DATOS!$C$14&gt;DATOS!$C$99*AE19*BS19,-1,(1-SQRT((1-2*BG19*1E5/(DATOS!$C$29*AE19*BS19^2*DATOS!$C$21))))*DATOS!$C$21*AE19*BS19/DATOS!$C$14))),MIN(DATOS!$C$100*IF(C19="VOLADO",MIN(AG19,2*AC19),AC19)*BS19,4/3*IF(BG19&lt;=0,0,IF((1-2*BG19*1E5/(DATOS!$C$29*AE19*BS19^2*DATOS!$C$21))&lt;0,-1,IF((1-SQRT((1-2*BG19*1E5/(DATOS!$C$29*AE19*BS19^2*DATOS!$C$21))))*DATOS!$C$21*AE19*BS19/DATOS!$C$14&gt;DATOS!$C$99*AE19*BS19,-1,(1-SQRT((1-2*BG19*1E5/(DATOS!$C$29*AE19*BS19^2*DATOS!$C$21))))*DATOS!$C$21*AE19*BS19/DATOS!$C$14)))))))</f>
        <v/>
      </c>
      <c r="BU19" s="64" t="str">
        <f>IF(U19&lt;&gt;"SÍ","",IF(AND(BT19&gt;=0,IF(MAX(DATOS!$C$71,CEILING(BT19/INDEX(TABLAS!$D$52:$D$58,MIN(MATCH(DATOS!$C$69,TABLAS!$B$52:$B$58,0)+0,7)),1))*INDEX(TABLAS!$D$52:$D$58,MIN(MATCH(DATOS!$C$69,TABLAS!$B$52:$B$58,0)+0,7))&gt;=4/3*IF(BG19&lt;=0,0,IF((1-2*BG19*1E5/(DATOS!$C$29*AE19*BS19^2*DATOS!$C$21))&lt;0,-1,IF((1-SQRT((1-2*BG19*1E5/(DATOS!$C$29*AE19*BS19^2*DATOS!$C$21))))*DATOS!$C$21*AE19*BS19/DATOS!$C$14&gt;DATOS!$C$99*AE19*BS19,-1,(1-SQRT((1-2*BG19*1E5/(DATOS!$C$29*AE19*BS19^2*DATOS!$C$21))))*DATOS!$C$21*AE19*BS19/DATOS!$C$14)))-0.0001,MAX(DATOS!$C$71,CEILING(BT19/INDEX(TABLAS!$D$52:$D$58,MIN(MATCH(DATOS!$C$69,TABLAS!$B$52:$B$58,0)+0,7)),1)),MAX(MAX(DATOS!$C$71,CEILING(BT19/INDEX(TABLAS!$D$52:$D$58,MIN(MATCH(DATOS!$C$69,TABLAS!$B$52:$B$58,0)+0,7)),1)),2))&lt;=MIN(DATOS!$C$70,INT(((AC19-2*AK19)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19&gt;=0,IF(MAX(DATOS!$C$71,CEILING(BT19/INDEX(TABLAS!$D$52:$D$58,MIN(MATCH(DATOS!$C$69,TABLAS!$B$52:$B$58,0)+1,7)),1))*INDEX(TABLAS!$D$52:$D$58,MIN(MATCH(DATOS!$C$69,TABLAS!$B$52:$B$58,0)+1,7))&gt;=4/3*IF(BG19&lt;=0,0,IF((1-2*BG19*1E5/(DATOS!$C$29*AE19*BS19^2*DATOS!$C$21))&lt;0,-1,IF((1-SQRT((1-2*BG19*1E5/(DATOS!$C$29*AE19*BS19^2*DATOS!$C$21))))*DATOS!$C$21*AE19*BS19/DATOS!$C$14&gt;DATOS!$C$99*AE19*BS19,-1,(1-SQRT((1-2*BG19*1E5/(DATOS!$C$29*AE19*BS19^2*DATOS!$C$21))))*DATOS!$C$21*AE19*BS19/DATOS!$C$14)))-0.0001,MAX(DATOS!$C$71,CEILING(BT19/INDEX(TABLAS!$D$52:$D$58,MIN(MATCH(DATOS!$C$69,TABLAS!$B$52:$B$58,0)+1,7)),1)),MAX(MAX(DATOS!$C$71,CEILING(BT19/INDEX(TABLAS!$D$52:$D$58,MIN(MATCH(DATOS!$C$69,TABLAS!$B$52:$B$58,0)+1,7)),1)),2))&lt;=MIN(DATOS!$C$70,INT(((AC19-2*AK19)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19&gt;=0,IF(MAX(DATOS!$C$71,CEILING(BT19/INDEX(TABLAS!$D$52:$D$58,MIN(MATCH(DATOS!$C$69,TABLAS!$B$52:$B$58,0)+2,7)),1))*INDEX(TABLAS!$D$52:$D$58,MIN(MATCH(DATOS!$C$69,TABLAS!$B$52:$B$58,0)+2,7))&gt;=4/3*IF(BG19&lt;=0,0,IF((1-2*BG19*1E5/(DATOS!$C$29*AE19*BS19^2*DATOS!$C$21))&lt;0,-1,IF((1-SQRT((1-2*BG19*1E5/(DATOS!$C$29*AE19*BS19^2*DATOS!$C$21))))*DATOS!$C$21*AE19*BS19/DATOS!$C$14&gt;DATOS!$C$99*AE19*BS19,-1,(1-SQRT((1-2*BG19*1E5/(DATOS!$C$29*AE19*BS19^2*DATOS!$C$21))))*DATOS!$C$21*AE19*BS19/DATOS!$C$14)))-0.0001,MAX(DATOS!$C$71,CEILING(BT19/INDEX(TABLAS!$D$52:$D$58,MIN(MATCH(DATOS!$C$69,TABLAS!$B$52:$B$58,0)+2,7)),1)),MAX(MAX(DATOS!$C$71,CEILING(BT19/INDEX(TABLAS!$D$52:$D$58,MIN(MATCH(DATOS!$C$69,TABLAS!$B$52:$B$58,0)+2,7)),1)),2))&lt;=MIN(DATOS!$C$70,INT(((AC19-2*AK19)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19&gt;=0,IF(MAX(DATOS!$C$71,CEILING(BT19/INDEX(TABLAS!$D$52:$D$58,MIN(MATCH(DATOS!$C$69,TABLAS!$B$52:$B$58,0)+3,7)),1))*INDEX(TABLAS!$D$52:$D$58,MIN(MATCH(DATOS!$C$69,TABLAS!$B$52:$B$58,0)+3,7))&gt;=4/3*IF(BG19&lt;=0,0,IF((1-2*BG19*1E5/(DATOS!$C$29*AE19*BS19^2*DATOS!$C$21))&lt;0,-1,IF((1-SQRT((1-2*BG19*1E5/(DATOS!$C$29*AE19*BS19^2*DATOS!$C$21))))*DATOS!$C$21*AE19*BS19/DATOS!$C$14&gt;DATOS!$C$99*AE19*BS19,-1,(1-SQRT((1-2*BG19*1E5/(DATOS!$C$29*AE19*BS19^2*DATOS!$C$21))))*DATOS!$C$21*AE19*BS19/DATOS!$C$14)))-0.0001,MAX(DATOS!$C$71,CEILING(BT19/INDEX(TABLAS!$D$52:$D$58,MIN(MATCH(DATOS!$C$69,TABLAS!$B$52:$B$58,0)+3,7)),1)),MAX(MAX(DATOS!$C$71,CEILING(BT19/INDEX(TABLAS!$D$52:$D$58,MIN(MATCH(DATOS!$C$69,TABLAS!$B$52:$B$58,0)+3,7)),1)),2))&lt;=MIN(DATOS!$C$70,INT(((AC19-2*AK19)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19&gt;=0,IF(MAX(DATOS!$C$71,CEILING(BT19/INDEX(TABLAS!$D$52:$D$58,MIN(MATCH(DATOS!$C$69,TABLAS!$B$52:$B$58,0)+4,7)),1))*INDEX(TABLAS!$D$52:$D$58,MIN(MATCH(DATOS!$C$69,TABLAS!$B$52:$B$58,0)+4,7))&gt;=4/3*IF(BG19&lt;=0,0,IF((1-2*BG19*1E5/(DATOS!$C$29*AE19*BS19^2*DATOS!$C$21))&lt;0,-1,IF((1-SQRT((1-2*BG19*1E5/(DATOS!$C$29*AE19*BS19^2*DATOS!$C$21))))*DATOS!$C$21*AE19*BS19/DATOS!$C$14&gt;DATOS!$C$99*AE19*BS19,-1,(1-SQRT((1-2*BG19*1E5/(DATOS!$C$29*AE19*BS19^2*DATOS!$C$21))))*DATOS!$C$21*AE19*BS19/DATOS!$C$14)))-0.0001,MAX(DATOS!$C$71,CEILING(BT19/INDEX(TABLAS!$D$52:$D$58,MIN(MATCH(DATOS!$C$69,TABLAS!$B$52:$B$58,0)+4,7)),1)),MAX(MAX(DATOS!$C$71,CEILING(BT19/INDEX(TABLAS!$D$52:$D$58,MIN(MATCH(DATOS!$C$69,TABLAS!$B$52:$B$58,0)+4,7)),1)),2))&lt;=MIN(DATOS!$C$70,INT(((AC19-2*AK19)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19" s="59" t="str">
        <f>IF(U19&lt;&gt;"SÍ","",IF(BT19&lt;0,0,IF(MAX(DATOS!$C$71,CEILING(MAX(BT19,0)/INDEX(TABLAS!$D$52:$D$58,MATCH(BU19,TABLAS!$B$52:$B$58,0)),1))*INDEX(TABLAS!$D$52:$D$58,MATCH(BU19,TABLAS!$B$52:$B$58,0))&gt;=4/3*IF(BG19&lt;=0,0,IF((1-2*BG19*1E5/(DATOS!$C$29*AE19*BS19^2*DATOS!$C$21))&lt;0,-1,IF((1-SQRT((1-2*BG19*1E5/(DATOS!$C$29*AE19*BS19^2*DATOS!$C$21))))*DATOS!$C$21*AE19*BS19/DATOS!$C$14&gt;DATOS!$C$99*AE19*BS19,-1,(1-SQRT((1-2*BG19*1E5/(DATOS!$C$29*AE19*BS19^2*DATOS!$C$21))))*DATOS!$C$21*AE19*BS19/DATOS!$C$14)))-0.0001,MAX(DATOS!$C$71,CEILING(MAX(BT19,0)/INDEX(TABLAS!$D$52:$D$58,MATCH(BU19,TABLAS!$B$52:$B$58,0)),1)),MAX(MAX(DATOS!$C$71,CEILING(MAX(BT19,0)/INDEX(TABLAS!$D$52:$D$58,MATCH(BU19,TABLAS!$B$52:$B$58,0)),1)),2))))</f>
        <v/>
      </c>
      <c r="BW19" s="58" t="str">
        <f>IF(U19&lt;&gt;"SÍ","",((DATOS!$C$82-AL19-2*DATOS!$C$94-INDEX(TABLAS!$C$52:$C$58,MATCH(BU19,TABLAS!$B$52:$B$58,0))/2)-IF(AND((DATOS!$C$82-AL19-2*DATOS!$C$94-INDEX(TABLAS!$C$52:$C$58,MATCH(BU19,TABLAS!$B$52:$B$58,0))/2)&lt;=20,DATOS!$C$62&lt;&gt;"SÍ"),2,0)))</f>
        <v/>
      </c>
      <c r="BX19" s="56" t="str">
        <f>IF(U19&lt;&gt;"SÍ","",IF(BV19=0,0,DATOS!$C$29*BV19*INDEX(TABLAS!$D$52:$D$58,MATCH(BU19,TABLAS!$B$52:$B$58,0))*DATOS!$C$14*(BW19-BV19*INDEX(TABLAS!$D$52:$D$58,MATCH(BU19,TABLAS!$B$52:$B$58,0))*DATOS!$C$14/(DATOS!$C$21*AE19)/2)/1E5))</f>
        <v/>
      </c>
      <c r="BY19" s="65" t="str">
        <f>IF(U19&lt;&gt;"SÍ","",IF(BT19&lt;0,9.99,IF(BX19&gt;0,BG19/BX19,0)))</f>
        <v/>
      </c>
      <c r="BZ19" s="66" t="str">
        <f>IF(U19&lt;&gt;"SÍ","",IF(BV19=0,"—",0.003*(BW19-(BV19*INDEX(TABLAS!$D$52:$D$58,MATCH(BU19,TABLAS!$B$52:$B$58,0))*DATOS!$C$14/(DATOS!$C$21*AE19)/DATOS!$C$22))/(BV19*INDEX(TABLAS!$D$52:$D$58,MATCH(BU19,TABLAS!$B$52:$B$58,0))*DATOS!$C$14/(DATOS!$C$21*AE19)/DATOS!$C$22)))</f>
        <v/>
      </c>
      <c r="CA19" s="58" t="str">
        <f>IF(U19&lt;&gt;"SÍ","",(DATOS!$C$82-AJ19-INDEX(TABLAS!$C$52:$C$58,MATCH(DATOS!$C$68,TABLAS!$B$52:$B$58,0))-INDEX(TABLAS!$C$52:$C$58,MATCH(DATOS!$C$68,TABLAS!$B$52:$B$58,0))/2))</f>
        <v/>
      </c>
      <c r="CB19" s="58" t="str">
        <f>IF(U19&lt;&gt;"SÍ","",IF(IF(BH19&lt;=0,0,IF((1-2*BH19*1E5/(DATOS!$C$29*AH19*CA19^2*DATOS!$C$21))&lt;0,-1,IF((1-SQRT((1-2*BH19*1E5/(DATOS!$C$29*AH19*CA19^2*DATOS!$C$21))))*DATOS!$C$21*AH19*CA19/DATOS!$C$14&gt;DATOS!$C$99*AH19*CA19,-1,(1-SQRT((1-2*BH19*1E5/(DATOS!$C$29*AH19*CA19^2*DATOS!$C$21))))*DATOS!$C$21*AH19*CA19/DATOS!$C$14)))&lt;0,-1,MAX(IF(BH19&lt;=0,0,IF((1-2*BH19*1E5/(DATOS!$C$29*AH19*CA19^2*DATOS!$C$21))&lt;0,-1,IF((1-SQRT((1-2*BH19*1E5/(DATOS!$C$29*AH19*CA19^2*DATOS!$C$21))))*DATOS!$C$21*AH19*CA19/DATOS!$C$14&gt;DATOS!$C$99*AH19*CA19,-1,(1-SQRT((1-2*BH19*1E5/(DATOS!$C$29*AH19*CA19^2*DATOS!$C$21))))*DATOS!$C$21*AH19*CA19/DATOS!$C$14))),MIN(DATOS!$C$100*DATOS!$C$80*CA19,4/3*IF(BH19&lt;=0,0,IF((1-2*BH19*1E5/(DATOS!$C$29*AH19*CA19^2*DATOS!$C$21))&lt;0,-1,IF((1-SQRT((1-2*BH19*1E5/(DATOS!$C$29*AH19*CA19^2*DATOS!$C$21))))*DATOS!$C$21*AH19*CA19/DATOS!$C$14&gt;DATOS!$C$99*AH19*CA19,-1,(1-SQRT((1-2*BH19*1E5/(DATOS!$C$29*AH19*CA19^2*DATOS!$C$21))))*DATOS!$C$21*AH19*CA19/DATOS!$C$14)))))))</f>
        <v/>
      </c>
      <c r="CC19" s="64" t="str">
        <f>IF(U19&lt;&gt;"SÍ","",IF(AND(CB19&gt;=0,IF(MAX(DATOS!$C$71,CEILING(CB19/INDEX(TABLAS!$D$52:$D$58,MIN(MATCH(DATOS!$C$68,TABLAS!$B$52:$B$58,0)+0,7)),1))*INDEX(TABLAS!$D$52:$D$58,MIN(MATCH(DATOS!$C$68,TABLAS!$B$52:$B$58,0)+0,7))&gt;=4/3*IF(BH19&lt;=0,0,IF((1-2*BH19*1E5/(DATOS!$C$29*AH19*CA19^2*DATOS!$C$21))&lt;0,-1,IF((1-SQRT((1-2*BH19*1E5/(DATOS!$C$29*AH19*CA19^2*DATOS!$C$21))))*DATOS!$C$21*AH19*CA19/DATOS!$C$14&gt;DATOS!$C$99*AH19*CA19,-1,(1-SQRT((1-2*BH19*1E5/(DATOS!$C$29*AH19*CA19^2*DATOS!$C$21))))*DATOS!$C$21*AH19*CA19/DATOS!$C$14)))-0.0001,MAX(DATOS!$C$71,CEILING(CB19/INDEX(TABLAS!$D$52:$D$58,MIN(MATCH(DATOS!$C$68,TABLAS!$B$52:$B$58,0)+0,7)),1)),MAX(MAX(DATOS!$C$71,CEILING(CB19/INDEX(TABLAS!$D$52:$D$58,MIN(MATCH(DATOS!$C$68,TABLAS!$B$52:$B$58,0)+0,7)),1)),2))&lt;=MIN(DATOS!$C$70,INT(((DATOS!$C$80-2*AJ19)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19&gt;=0,IF(MAX(DATOS!$C$71,CEILING(CB19/INDEX(TABLAS!$D$52:$D$58,MIN(MATCH(DATOS!$C$68,TABLAS!$B$52:$B$58,0)+1,7)),1))*INDEX(TABLAS!$D$52:$D$58,MIN(MATCH(DATOS!$C$68,TABLAS!$B$52:$B$58,0)+1,7))&gt;=4/3*IF(BH19&lt;=0,0,IF((1-2*BH19*1E5/(DATOS!$C$29*AH19*CA19^2*DATOS!$C$21))&lt;0,-1,IF((1-SQRT((1-2*BH19*1E5/(DATOS!$C$29*AH19*CA19^2*DATOS!$C$21))))*DATOS!$C$21*AH19*CA19/DATOS!$C$14&gt;DATOS!$C$99*AH19*CA19,-1,(1-SQRT((1-2*BH19*1E5/(DATOS!$C$29*AH19*CA19^2*DATOS!$C$21))))*DATOS!$C$21*AH19*CA19/DATOS!$C$14)))-0.0001,MAX(DATOS!$C$71,CEILING(CB19/INDEX(TABLAS!$D$52:$D$58,MIN(MATCH(DATOS!$C$68,TABLAS!$B$52:$B$58,0)+1,7)),1)),MAX(MAX(DATOS!$C$71,CEILING(CB19/INDEX(TABLAS!$D$52:$D$58,MIN(MATCH(DATOS!$C$68,TABLAS!$B$52:$B$58,0)+1,7)),1)),2))&lt;=MIN(DATOS!$C$70,INT(((DATOS!$C$80-2*AJ19)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19&gt;=0,IF(MAX(DATOS!$C$71,CEILING(CB19/INDEX(TABLAS!$D$52:$D$58,MIN(MATCH(DATOS!$C$68,TABLAS!$B$52:$B$58,0)+2,7)),1))*INDEX(TABLAS!$D$52:$D$58,MIN(MATCH(DATOS!$C$68,TABLAS!$B$52:$B$58,0)+2,7))&gt;=4/3*IF(BH19&lt;=0,0,IF((1-2*BH19*1E5/(DATOS!$C$29*AH19*CA19^2*DATOS!$C$21))&lt;0,-1,IF((1-SQRT((1-2*BH19*1E5/(DATOS!$C$29*AH19*CA19^2*DATOS!$C$21))))*DATOS!$C$21*AH19*CA19/DATOS!$C$14&gt;DATOS!$C$99*AH19*CA19,-1,(1-SQRT((1-2*BH19*1E5/(DATOS!$C$29*AH19*CA19^2*DATOS!$C$21))))*DATOS!$C$21*AH19*CA19/DATOS!$C$14)))-0.0001,MAX(DATOS!$C$71,CEILING(CB19/INDEX(TABLAS!$D$52:$D$58,MIN(MATCH(DATOS!$C$68,TABLAS!$B$52:$B$58,0)+2,7)),1)),MAX(MAX(DATOS!$C$71,CEILING(CB19/INDEX(TABLAS!$D$52:$D$58,MIN(MATCH(DATOS!$C$68,TABLAS!$B$52:$B$58,0)+2,7)),1)),2))&lt;=MIN(DATOS!$C$70,INT(((DATOS!$C$80-2*AJ19)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19&gt;=0,IF(MAX(DATOS!$C$71,CEILING(CB19/INDEX(TABLAS!$D$52:$D$58,MIN(MATCH(DATOS!$C$68,TABLAS!$B$52:$B$58,0)+3,7)),1))*INDEX(TABLAS!$D$52:$D$58,MIN(MATCH(DATOS!$C$68,TABLAS!$B$52:$B$58,0)+3,7))&gt;=4/3*IF(BH19&lt;=0,0,IF((1-2*BH19*1E5/(DATOS!$C$29*AH19*CA19^2*DATOS!$C$21))&lt;0,-1,IF((1-SQRT((1-2*BH19*1E5/(DATOS!$C$29*AH19*CA19^2*DATOS!$C$21))))*DATOS!$C$21*AH19*CA19/DATOS!$C$14&gt;DATOS!$C$99*AH19*CA19,-1,(1-SQRT((1-2*BH19*1E5/(DATOS!$C$29*AH19*CA19^2*DATOS!$C$21))))*DATOS!$C$21*AH19*CA19/DATOS!$C$14)))-0.0001,MAX(DATOS!$C$71,CEILING(CB19/INDEX(TABLAS!$D$52:$D$58,MIN(MATCH(DATOS!$C$68,TABLAS!$B$52:$B$58,0)+3,7)),1)),MAX(MAX(DATOS!$C$71,CEILING(CB19/INDEX(TABLAS!$D$52:$D$58,MIN(MATCH(DATOS!$C$68,TABLAS!$B$52:$B$58,0)+3,7)),1)),2))&lt;=MIN(DATOS!$C$70,INT(((DATOS!$C$80-2*AJ19)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19&gt;=0,IF(MAX(DATOS!$C$71,CEILING(CB19/INDEX(TABLAS!$D$52:$D$58,MIN(MATCH(DATOS!$C$68,TABLAS!$B$52:$B$58,0)+4,7)),1))*INDEX(TABLAS!$D$52:$D$58,MIN(MATCH(DATOS!$C$68,TABLAS!$B$52:$B$58,0)+4,7))&gt;=4/3*IF(BH19&lt;=0,0,IF((1-2*BH19*1E5/(DATOS!$C$29*AH19*CA19^2*DATOS!$C$21))&lt;0,-1,IF((1-SQRT((1-2*BH19*1E5/(DATOS!$C$29*AH19*CA19^2*DATOS!$C$21))))*DATOS!$C$21*AH19*CA19/DATOS!$C$14&gt;DATOS!$C$99*AH19*CA19,-1,(1-SQRT((1-2*BH19*1E5/(DATOS!$C$29*AH19*CA19^2*DATOS!$C$21))))*DATOS!$C$21*AH19*CA19/DATOS!$C$14)))-0.0001,MAX(DATOS!$C$71,CEILING(CB19/INDEX(TABLAS!$D$52:$D$58,MIN(MATCH(DATOS!$C$68,TABLAS!$B$52:$B$58,0)+4,7)),1)),MAX(MAX(DATOS!$C$71,CEILING(CB19/INDEX(TABLAS!$D$52:$D$58,MIN(MATCH(DATOS!$C$68,TABLAS!$B$52:$B$58,0)+4,7)),1)),2))&lt;=MIN(DATOS!$C$70,INT(((DATOS!$C$80-2*AJ19)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19" s="59" t="str">
        <f>IF(U19&lt;&gt;"SÍ","",IF(CB19&lt;0,0,IF(MAX(DATOS!$C$71,CEILING(MAX(CB19,0)/INDEX(TABLAS!$D$52:$D$58,MATCH(CC19,TABLAS!$B$52:$B$58,0)),1))*INDEX(TABLAS!$D$52:$D$58,MATCH(CC19,TABLAS!$B$52:$B$58,0))&gt;=4/3*IF(BH19&lt;=0,0,IF((1-2*BH19*1E5/(DATOS!$C$29*AH19*CA19^2*DATOS!$C$21))&lt;0,-1,IF((1-SQRT((1-2*BH19*1E5/(DATOS!$C$29*AH19*CA19^2*DATOS!$C$21))))*DATOS!$C$21*AH19*CA19/DATOS!$C$14&gt;DATOS!$C$99*AH19*CA19,-1,(1-SQRT((1-2*BH19*1E5/(DATOS!$C$29*AH19*CA19^2*DATOS!$C$21))))*DATOS!$C$21*AH19*CA19/DATOS!$C$14)))-0.0001,MAX(DATOS!$C$71,CEILING(MAX(CB19,0)/INDEX(TABLAS!$D$52:$D$58,MATCH(CC19,TABLAS!$B$52:$B$58,0)),1)),MAX(MAX(DATOS!$C$71,CEILING(MAX(CB19,0)/INDEX(TABLAS!$D$52:$D$58,MATCH(CC19,TABLAS!$B$52:$B$58,0)),1)),2))))</f>
        <v/>
      </c>
      <c r="CE19" s="58" t="str">
        <f>IF(U19&lt;&gt;"SÍ","",DATOS!$C$82-AJ19-INDEX(TABLAS!$C$52:$C$58,MATCH(BM19,TABLAS!$B$52:$B$58,0))-INDEX(TABLAS!$C$52:$C$58,MATCH(CC19,TABLAS!$B$52:$B$58,0))/2)</f>
        <v/>
      </c>
      <c r="CF19" s="56" t="str">
        <f>IF(U19&lt;&gt;"SÍ","",IF(CD19=0,0,DATOS!$C$29*CD19*INDEX(TABLAS!$D$52:$D$58,MATCH(CC19,TABLAS!$B$52:$B$58,0))*DATOS!$C$14*(CE19-CD19*INDEX(TABLAS!$D$52:$D$58,MATCH(CC19,TABLAS!$B$52:$B$58,0))*DATOS!$C$14/(DATOS!$C$21*AH19)/2)/1E5))</f>
        <v/>
      </c>
      <c r="CG19" s="65" t="str">
        <f>IF(U19&lt;&gt;"SÍ","",IF(CB19&lt;0,9.99,IF(CF19&gt;0,BH19/CF19,0)))</f>
        <v/>
      </c>
      <c r="CH19" s="66" t="str">
        <f>IF(U19&lt;&gt;"SÍ","",IF(CD19=0,"—",0.003*(CE19-(CD19*INDEX(TABLAS!$D$52:$D$58,MATCH(CC19,TABLAS!$B$52:$B$58,0))*DATOS!$C$14/(DATOS!$C$21*AH19)/DATOS!$C$22))/(CD19*INDEX(TABLAS!$D$52:$D$58,MATCH(CC19,TABLAS!$B$52:$B$58,0))*DATOS!$C$14/(DATOS!$C$21*AH19)/DATOS!$C$22)))</f>
        <v/>
      </c>
      <c r="CI19" s="58" t="str">
        <f>IF(U19&lt;&gt;"SÍ","",((DATOS!$C$82-AL19-2*DATOS!$C$94-INDEX(TABLAS!$C$52:$C$58,MATCH(DATOS!$C$69,TABLAS!$B$52:$B$58,0))-INDEX(TABLAS!$C$52:$C$58,MATCH(DATOS!$C$69,TABLAS!$B$52:$B$58,0))/2)-IF(AND((DATOS!$C$82-AL19-2*DATOS!$C$94-INDEX(TABLAS!$C$52:$C$58,MATCH(DATOS!$C$69,TABLAS!$B$52:$B$58,0))-INDEX(TABLAS!$C$52:$C$58,MATCH(DATOS!$C$69,TABLAS!$B$52:$B$58,0))/2)&lt;=20,DATOS!$C$62&lt;&gt;"SÍ"),2,0)))</f>
        <v/>
      </c>
      <c r="CJ19" s="58" t="str">
        <f>IF(U19&lt;&gt;"SÍ","",IF(IF(BI19&lt;=0,0,IF((1-2*BI19*1E5/(DATOS!$C$29*AF19*CI19^2*DATOS!$C$21))&lt;0,-1,IF((1-SQRT((1-2*BI19*1E5/(DATOS!$C$29*AF19*CI19^2*DATOS!$C$21))))*DATOS!$C$21*AF19*CI19/DATOS!$C$14&gt;DATOS!$C$99*AF19*CI19,-1,(1-SQRT((1-2*BI19*1E5/(DATOS!$C$29*AF19*CI19^2*DATOS!$C$21))))*DATOS!$C$21*AF19*CI19/DATOS!$C$14)))&lt;0,-1,MAX(IF(BI19&lt;=0,0,IF((1-2*BI19*1E5/(DATOS!$C$29*AF19*CI19^2*DATOS!$C$21))&lt;0,-1,IF((1-SQRT((1-2*BI19*1E5/(DATOS!$C$29*AF19*CI19^2*DATOS!$C$21))))*DATOS!$C$21*AF19*CI19/DATOS!$C$14&gt;DATOS!$C$99*AF19*CI19,-1,(1-SQRT((1-2*BI19*1E5/(DATOS!$C$29*AF19*CI19^2*DATOS!$C$21))))*DATOS!$C$21*AF19*CI19/DATOS!$C$14))),MIN(DATOS!$C$100*DATOS!$C$80*CI19,4/3*IF(BI19&lt;=0,0,IF((1-2*BI19*1E5/(DATOS!$C$29*AF19*CI19^2*DATOS!$C$21))&lt;0,-1,IF((1-SQRT((1-2*BI19*1E5/(DATOS!$C$29*AF19*CI19^2*DATOS!$C$21))))*DATOS!$C$21*AF19*CI19/DATOS!$C$14&gt;DATOS!$C$99*AF19*CI19,-1,(1-SQRT((1-2*BI19*1E5/(DATOS!$C$29*AF19*CI19^2*DATOS!$C$21))))*DATOS!$C$21*AF19*CI19/DATOS!$C$14)))))))</f>
        <v/>
      </c>
      <c r="CK19" s="64" t="str">
        <f>IF(U19&lt;&gt;"SÍ","",IF(AND(CJ19&gt;=0,IF(MAX(DATOS!$C$71,CEILING(CJ19/INDEX(TABLAS!$D$52:$D$58,MIN(MATCH(DATOS!$C$69,TABLAS!$B$52:$B$58,0)+0,7)),1))*INDEX(TABLAS!$D$52:$D$58,MIN(MATCH(DATOS!$C$69,TABLAS!$B$52:$B$58,0)+0,7))&gt;=4/3*IF(BI19&lt;=0,0,IF((1-2*BI19*1E5/(DATOS!$C$29*AF19*CI19^2*DATOS!$C$21))&lt;0,-1,IF((1-SQRT((1-2*BI19*1E5/(DATOS!$C$29*AF19*CI19^2*DATOS!$C$21))))*DATOS!$C$21*AF19*CI19/DATOS!$C$14&gt;DATOS!$C$99*AF19*CI19,-1,(1-SQRT((1-2*BI19*1E5/(DATOS!$C$29*AF19*CI19^2*DATOS!$C$21))))*DATOS!$C$21*AF19*CI19/DATOS!$C$14)))-0.0001,MAX(DATOS!$C$71,CEILING(CJ19/INDEX(TABLAS!$D$52:$D$58,MIN(MATCH(DATOS!$C$69,TABLAS!$B$52:$B$58,0)+0,7)),1)),MAX(MAX(DATOS!$C$71,CEILING(CJ19/INDEX(TABLAS!$D$52:$D$58,MIN(MATCH(DATOS!$C$69,TABLAS!$B$52:$B$58,0)+0,7)),1)),2))&lt;=MIN(DATOS!$C$70,INT(((DATOS!$C$80-2*AK19)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19&gt;=0,IF(MAX(DATOS!$C$71,CEILING(CJ19/INDEX(TABLAS!$D$52:$D$58,MIN(MATCH(DATOS!$C$69,TABLAS!$B$52:$B$58,0)+1,7)),1))*INDEX(TABLAS!$D$52:$D$58,MIN(MATCH(DATOS!$C$69,TABLAS!$B$52:$B$58,0)+1,7))&gt;=4/3*IF(BI19&lt;=0,0,IF((1-2*BI19*1E5/(DATOS!$C$29*AF19*CI19^2*DATOS!$C$21))&lt;0,-1,IF((1-SQRT((1-2*BI19*1E5/(DATOS!$C$29*AF19*CI19^2*DATOS!$C$21))))*DATOS!$C$21*AF19*CI19/DATOS!$C$14&gt;DATOS!$C$99*AF19*CI19,-1,(1-SQRT((1-2*BI19*1E5/(DATOS!$C$29*AF19*CI19^2*DATOS!$C$21))))*DATOS!$C$21*AF19*CI19/DATOS!$C$14)))-0.0001,MAX(DATOS!$C$71,CEILING(CJ19/INDEX(TABLAS!$D$52:$D$58,MIN(MATCH(DATOS!$C$69,TABLAS!$B$52:$B$58,0)+1,7)),1)),MAX(MAX(DATOS!$C$71,CEILING(CJ19/INDEX(TABLAS!$D$52:$D$58,MIN(MATCH(DATOS!$C$69,TABLAS!$B$52:$B$58,0)+1,7)),1)),2))&lt;=MIN(DATOS!$C$70,INT(((DATOS!$C$80-2*AK19)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19&gt;=0,IF(MAX(DATOS!$C$71,CEILING(CJ19/INDEX(TABLAS!$D$52:$D$58,MIN(MATCH(DATOS!$C$69,TABLAS!$B$52:$B$58,0)+2,7)),1))*INDEX(TABLAS!$D$52:$D$58,MIN(MATCH(DATOS!$C$69,TABLAS!$B$52:$B$58,0)+2,7))&gt;=4/3*IF(BI19&lt;=0,0,IF((1-2*BI19*1E5/(DATOS!$C$29*AF19*CI19^2*DATOS!$C$21))&lt;0,-1,IF((1-SQRT((1-2*BI19*1E5/(DATOS!$C$29*AF19*CI19^2*DATOS!$C$21))))*DATOS!$C$21*AF19*CI19/DATOS!$C$14&gt;DATOS!$C$99*AF19*CI19,-1,(1-SQRT((1-2*BI19*1E5/(DATOS!$C$29*AF19*CI19^2*DATOS!$C$21))))*DATOS!$C$21*AF19*CI19/DATOS!$C$14)))-0.0001,MAX(DATOS!$C$71,CEILING(CJ19/INDEX(TABLAS!$D$52:$D$58,MIN(MATCH(DATOS!$C$69,TABLAS!$B$52:$B$58,0)+2,7)),1)),MAX(MAX(DATOS!$C$71,CEILING(CJ19/INDEX(TABLAS!$D$52:$D$58,MIN(MATCH(DATOS!$C$69,TABLAS!$B$52:$B$58,0)+2,7)),1)),2))&lt;=MIN(DATOS!$C$70,INT(((DATOS!$C$80-2*AK19)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19&gt;=0,IF(MAX(DATOS!$C$71,CEILING(CJ19/INDEX(TABLAS!$D$52:$D$58,MIN(MATCH(DATOS!$C$69,TABLAS!$B$52:$B$58,0)+3,7)),1))*INDEX(TABLAS!$D$52:$D$58,MIN(MATCH(DATOS!$C$69,TABLAS!$B$52:$B$58,0)+3,7))&gt;=4/3*IF(BI19&lt;=0,0,IF((1-2*BI19*1E5/(DATOS!$C$29*AF19*CI19^2*DATOS!$C$21))&lt;0,-1,IF((1-SQRT((1-2*BI19*1E5/(DATOS!$C$29*AF19*CI19^2*DATOS!$C$21))))*DATOS!$C$21*AF19*CI19/DATOS!$C$14&gt;DATOS!$C$99*AF19*CI19,-1,(1-SQRT((1-2*BI19*1E5/(DATOS!$C$29*AF19*CI19^2*DATOS!$C$21))))*DATOS!$C$21*AF19*CI19/DATOS!$C$14)))-0.0001,MAX(DATOS!$C$71,CEILING(CJ19/INDEX(TABLAS!$D$52:$D$58,MIN(MATCH(DATOS!$C$69,TABLAS!$B$52:$B$58,0)+3,7)),1)),MAX(MAX(DATOS!$C$71,CEILING(CJ19/INDEX(TABLAS!$D$52:$D$58,MIN(MATCH(DATOS!$C$69,TABLAS!$B$52:$B$58,0)+3,7)),1)),2))&lt;=MIN(DATOS!$C$70,INT(((DATOS!$C$80-2*AK19)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19&gt;=0,IF(MAX(DATOS!$C$71,CEILING(CJ19/INDEX(TABLAS!$D$52:$D$58,MIN(MATCH(DATOS!$C$69,TABLAS!$B$52:$B$58,0)+4,7)),1))*INDEX(TABLAS!$D$52:$D$58,MIN(MATCH(DATOS!$C$69,TABLAS!$B$52:$B$58,0)+4,7))&gt;=4/3*IF(BI19&lt;=0,0,IF((1-2*BI19*1E5/(DATOS!$C$29*AF19*CI19^2*DATOS!$C$21))&lt;0,-1,IF((1-SQRT((1-2*BI19*1E5/(DATOS!$C$29*AF19*CI19^2*DATOS!$C$21))))*DATOS!$C$21*AF19*CI19/DATOS!$C$14&gt;DATOS!$C$99*AF19*CI19,-1,(1-SQRT((1-2*BI19*1E5/(DATOS!$C$29*AF19*CI19^2*DATOS!$C$21))))*DATOS!$C$21*AF19*CI19/DATOS!$C$14)))-0.0001,MAX(DATOS!$C$71,CEILING(CJ19/INDEX(TABLAS!$D$52:$D$58,MIN(MATCH(DATOS!$C$69,TABLAS!$B$52:$B$58,0)+4,7)),1)),MAX(MAX(DATOS!$C$71,CEILING(CJ19/INDEX(TABLAS!$D$52:$D$58,MIN(MATCH(DATOS!$C$69,TABLAS!$B$52:$B$58,0)+4,7)),1)),2))&lt;=MIN(DATOS!$C$70,INT(((DATOS!$C$80-2*AK19)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19" s="59" t="str">
        <f>IF(U19&lt;&gt;"SÍ","",IF(CJ19&lt;0,0,IF(MAX(DATOS!$C$71,CEILING(MAX(CJ19,0)/INDEX(TABLAS!$D$52:$D$58,MATCH(CK19,TABLAS!$B$52:$B$58,0)),1))*INDEX(TABLAS!$D$52:$D$58,MATCH(CK19,TABLAS!$B$52:$B$58,0))&gt;=4/3*IF(BI19&lt;=0,0,IF((1-2*BI19*1E5/(DATOS!$C$29*AF19*CI19^2*DATOS!$C$21))&lt;0,-1,IF((1-SQRT((1-2*BI19*1E5/(DATOS!$C$29*AF19*CI19^2*DATOS!$C$21))))*DATOS!$C$21*AF19*CI19/DATOS!$C$14&gt;DATOS!$C$99*AF19*CI19,-1,(1-SQRT((1-2*BI19*1E5/(DATOS!$C$29*AF19*CI19^2*DATOS!$C$21))))*DATOS!$C$21*AF19*CI19/DATOS!$C$14)))-0.0001,MAX(DATOS!$C$71,CEILING(MAX(CJ19,0)/INDEX(TABLAS!$D$52:$D$58,MATCH(CK19,TABLAS!$B$52:$B$58,0)),1)),MAX(MAX(DATOS!$C$71,CEILING(MAX(CJ19,0)/INDEX(TABLAS!$D$52:$D$58,MATCH(CK19,TABLAS!$B$52:$B$58,0)),1)),2))))</f>
        <v/>
      </c>
      <c r="CM19" s="58" t="str">
        <f>IF(U19&lt;&gt;"SÍ","",((DATOS!$C$82-AL19-2*DATOS!$C$94-INDEX(TABLAS!$C$52:$C$58,MATCH(BU19,TABLAS!$B$52:$B$58,0))-INDEX(TABLAS!$C$52:$C$58,MATCH(CK19,TABLAS!$B$52:$B$58,0))/2)-IF(AND((DATOS!$C$82-AL19-2*DATOS!$C$94-INDEX(TABLAS!$C$52:$C$58,MATCH(BU19,TABLAS!$B$52:$B$58,0))-INDEX(TABLAS!$C$52:$C$58,MATCH(CK19,TABLAS!$B$52:$B$58,0))/2)&lt;=20,DATOS!$C$62&lt;&gt;"SÍ"),2,0)))</f>
        <v/>
      </c>
      <c r="CN19" s="56" t="str">
        <f>IF(U19&lt;&gt;"SÍ","",IF(CL19=0,0,DATOS!$C$29*CL19*INDEX(TABLAS!$D$52:$D$58,MATCH(CK19,TABLAS!$B$52:$B$58,0))*DATOS!$C$14*(CM19-CL19*INDEX(TABLAS!$D$52:$D$58,MATCH(CK19,TABLAS!$B$52:$B$58,0))*DATOS!$C$14/(DATOS!$C$21*AF19)/2)/1E5))</f>
        <v/>
      </c>
      <c r="CO19" s="65" t="str">
        <f>IF(U19&lt;&gt;"SÍ","",IF(CJ19&lt;0,9.99,IF(CN19&gt;0,BI19/CN19,0)))</f>
        <v/>
      </c>
      <c r="CP19" s="66" t="str">
        <f>IF(U19&lt;&gt;"SÍ","",IF(CL19=0,"—",0.003*(CM19-(CL19*INDEX(TABLAS!$D$52:$D$58,MATCH(CK19,TABLAS!$B$52:$B$58,0))*DATOS!$C$14/(DATOS!$C$21*AF19)/DATOS!$C$22))/(CL19*INDEX(TABLAS!$D$52:$D$58,MATCH(CK19,TABLAS!$B$52:$B$58,0))*DATOS!$C$14/(DATOS!$C$21*AF19)/DATOS!$C$22)))</f>
        <v/>
      </c>
      <c r="CQ19" s="56" t="str">
        <f>IF(U19&lt;&gt;"SÍ","",IF(C19="PERIMETRAL",MAX(0,(AA19/2-BW19)/100)*(0.95-0.5*Z19)*AQ19*IF(AND(AR19&gt;0,AR19&lt;4),DATOS!$C$33,1)*DATOS!$C$83/100/1000,(AQ19*MAX(0,AA19-BW19)/100+DATOS!$C$26*N(O19))*DATOS!$C$83/100/1000+BE19))</f>
        <v/>
      </c>
      <c r="CR19" s="56" t="str">
        <f>IF(U19&lt;&gt;"SÍ","",DATOS!$C$30*2*MIN(1,SQRT(2/(1+0.04*BW19)))*(BV19*INDEX(TABLAS!$D$52:$D$58,MATCH(BU19,TABLAS!$B$52:$B$58,0))/(AE19*BW19))^(1/3)*SQRT(DATOS!$C$13)*AE19*BW19*IF(AI19="SÍ",DATOS!$C$32,1)/1000)</f>
        <v/>
      </c>
      <c r="CS19" s="59" t="str">
        <f>IF(U19&lt;&gt;"SÍ","",IF(CQ19&lt;=CR19,0,CEILING(MAX(0,IF(C19="VOLADO",(AA19-((CR19-BE19)*1E5/DATOS!$C$83-DATOS!$C$26*N(O19))*100/AQ19),IF(CR19&lt;=0,AA19,AA19/2-CR19/MAX(CQ19,1E-9)*(AA19/2-BW19)))-IF(INT((X19*100-DATOS!$C$84+DATOS!$C$80)/DATOS!$C$83)&gt;0,(X19*100-DATOS!$C$84-(INT((X19*100-DATOS!$C$84+DATOS!$C$80)/DATOS!$C$83)*DATOS!$C$78+(INT((X19*100-DATOS!$C$84+DATOS!$C$80)/DATOS!$C$83)-1)*DATOS!$C$80))/2,X19*100/2))/DATOS!$C$83,1)))</f>
        <v/>
      </c>
      <c r="CT19" s="67" t="str">
        <f>IF(U19&lt;&gt;"SÍ","",IF(CQ19&lt;=CR19,"CUMPLE",IF(CS19&lt;=0,"CUMPLE (basta el macizo de orilla)",IF(CS19*DATOS!$C$83*IF(C19="VOLADO",1,2)&gt;=X19*100-DATOS!$C$84,"NO CUMPLE: no alcanza ni macizando todo","MACIZAR "&amp;CS19&amp;" hilera(s)"))))</f>
        <v/>
      </c>
      <c r="CU19" s="58" t="str">
        <f>IF(U19&lt;&gt;"SÍ","",(DATOS!$C$83*DATOS!$C$81^2/2+AC19*DATOS!$C$79*(DATOS!$C$81+DATOS!$C$79/2))/(DATOS!$C$83*DATOS!$C$81+AC19*DATOS!$C$79))</f>
        <v/>
      </c>
      <c r="CV19" s="68" t="str">
        <f>IF(U19&lt;&gt;"SÍ","",DATOS!$C$83*DATOS!$C$81^3/12+DATOS!$C$83*DATOS!$C$81*(CU19-DATOS!$C$81/2)^2+AC19*DATOS!$C$79^3/12+AC19*DATOS!$C$79*(DATOS!$C$81+DATOS!$C$79/2-CU19)^2)</f>
        <v/>
      </c>
      <c r="CW19" s="58" t="str">
        <f>IF(U19&lt;&gt;"SÍ","",(12*CV19/DATOS!$C$83)^(1/3))</f>
        <v/>
      </c>
      <c r="CX19" s="58" t="str">
        <f>IF(U19&lt;&gt;"SÍ","",IF(C19="PERIMETRAL",IF(ISNUMBER(R19),R19,DATOS!$C$101),0))</f>
        <v/>
      </c>
      <c r="CY19" s="57" t="str">
        <f>IF(U19&lt;&gt;"SÍ","",IF(C19="PERIMETRAL",IF(CX19&gt;2,MAX(9,AB19*(0.8+DATOS!$C$14/14000)/(36+9*(AB19/MAX(AA19,1)))),IF(CX19&gt;0.2,MAX(13,AB19*(0.8+DATOS!$C$14/14000)/(36+5*(AB19/MAX(AA19,1))*(CX19-0.2))),MAX(13,AB19/IF(AR19&gt;0,30,33))))*IF(AND(CX19&gt;0.2,AR19&gt;0,DATOS!$C$102="NO"),1.1,1),X19*100/8))</f>
        <v/>
      </c>
      <c r="CZ19" s="61" t="str">
        <f>IF(U19&lt;&gt;"SÍ","",IF(IF(C19="VOLADO",DATOS!$C$82,CW19)&gt;=CY19,"CUMPLE",IF(C19="VOLADO","NO CUMPLE","CALCULAR FLECHA")))</f>
        <v/>
      </c>
      <c r="DA19" s="55" t="str">
        <f>IF(U19&lt;&gt;"SÍ","",IF(DATOS!$C$81&gt;=IF(IF(C19="VOLADO",X19,Y19)&gt;=6,6,5),"CUMPLE","CAPA ≥ 6 cm"))</f>
        <v/>
      </c>
      <c r="DB19" s="60" t="str">
        <f>IF(U19&lt;&gt;"SÍ","",IF(C19="VOLADO",MIN(CEILING(IF(ISNUMBER(P19),P19,X19)*100,5),CEILING(MAX(IF((0.5*(0.9*DATOS!$C$87*DATOS!$C$83/100/1000)*IF(ISNUMBER(P19),P19,X19)+BG19/IF(ISNUMBER(P19),P19,X19))^2-4*(0.5*(0.9*DATOS!$C$87*DATOS!$C$83/100/1000))*BG19&lt;0,IF(ISNUMBER(P19),P19,X19),MIN(IF(ISNUMBER(P19),P19,X19),((0.5*(0.9*DATOS!$C$87*DATOS!$C$83/100/1000)*IF(ISNUMBER(P19),P19,X19)+BG19/IF(ISNUMBER(P19),P19,X19))-SQRT((0.5*(0.9*DATOS!$C$87*DATOS!$C$83/100/1000)*IF(ISNUMBER(P19),P19,X19)+BG19/IF(ISNUMBER(P19),P19,X19))^2-4*(0.5*(0.9*DATOS!$C$87*DATOS!$C$83/100/1000))*BG19))/(2*(0.5*(0.9*DATOS!$C$87*DATOS!$C$83/100/1000)))))*100+MAX(BW19,12*INDEX(TABLAS!$C$52:$C$58,MATCH(BU19,TABLAS!$B$52:$B$58,0)),IF(ISNUMBER(P19),P19,X19)*100/16),IF(OR(AK19&lt;INDEX(TABLAS!$C$52:$C$58,MATCH(BU19,TABLAS!$B$52:$B$58,0)),AND(BV19&gt;=2,(AC19-2*AK19-BV19*INDEX(TABLAS!$C$52:$C$58,MATCH(BU19,TABLAS!$B$52:$B$58,0)))/MAX(BV19-1,1)&lt;2*INDEX(TABLAS!$C$52:$C$58,MATCH(BU19,TABLAS!$B$52:$B$58,0)))),INDEX(TABLAS!$I$52:$I$58,MATCH(BU19,TABLAS!$B$52:$B$58,0)),INDEX(TABLAS!$F$52:$F$58,MATCH(BU19,TABLAS!$B$52:$B$58,0)))),5)),IF(((4*((BB19*AQ19*X19^2*1E-4*DATOS!$C$83/100/1000)+((MAX(AX19,AZ19)*AQ19*X19^2*1E-4*DATOS!$C$83/100/1000)+(IF(AND(AX19&gt;0,AZ19&gt;0),MIN(AX19,AZ19),MAX(AX19,AZ19))*AQ19*X19^2*1E-4*DATOS!$C$83/100/1000))/2)+BG19-(IF(AND(AX19&gt;0,AZ19&gt;0),MIN(AX19,AZ19),MAX(AX19,AZ19))*AQ19*X19^2*1E-4*DATOS!$C$83/100/1000))^2-16*((BB19*AQ19*X19^2*1E-4*DATOS!$C$83/100/1000)+((MAX(AX19,AZ19)*AQ19*X19^2*1E-4*DATOS!$C$83/100/1000)+(IF(AND(AX19&gt;0,AZ19&gt;0),MIN(AX19,AZ19),MAX(AX19,AZ19))*AQ19*X19^2*1E-4*DATOS!$C$83/100/1000))/2)*BG19)&lt;0,CEILING(AA19,5),CEILING(MAX(AA19*((4*((BB19*AQ19*X19^2*1E-4*DATOS!$C$83/100/1000)+((MAX(AX19,AZ19)*AQ19*X19^2*1E-4*DATOS!$C$83/100/1000)+(IF(AND(AX19&gt;0,AZ19&gt;0),MIN(AX19,AZ19),MAX(AX19,AZ19))*AQ19*X19^2*1E-4*DATOS!$C$83/100/1000))/2)+BG19-(IF(AND(AX19&gt;0,AZ19&gt;0),MIN(AX19,AZ19),MAX(AX19,AZ19))*AQ19*X19^2*1E-4*DATOS!$C$83/100/1000))-SQRT(MAX(0,((4*((BB19*AQ19*X19^2*1E-4*DATOS!$C$83/100/1000)+((MAX(AX19,AZ19)*AQ19*X19^2*1E-4*DATOS!$C$83/100/1000)+(IF(AND(AX19&gt;0,AZ19&gt;0),MIN(AX19,AZ19),MAX(AX19,AZ19))*AQ19*X19^2*1E-4*DATOS!$C$83/100/1000))/2)+BG19-(IF(AND(AX19&gt;0,AZ19&gt;0),MIN(AX19,AZ19),MAX(AX19,AZ19))*AQ19*X19^2*1E-4*DATOS!$C$83/100/1000))^2-16*((BB19*AQ19*X19^2*1E-4*DATOS!$C$83/100/1000)+((MAX(AX19,AZ19)*AQ19*X19^2*1E-4*DATOS!$C$83/100/1000)+(IF(AND(AX19&gt;0,AZ19&gt;0),MIN(AX19,AZ19),MAX(AX19,AZ19))*AQ19*X19^2*1E-4*DATOS!$C$83/100/1000))/2)*BG19))))/(8*MAX(((BB19*AQ19*X19^2*1E-4*DATOS!$C$83/100/1000)+((MAX(AX19,AZ19)*AQ19*X19^2*1E-4*DATOS!$C$83/100/1000)+(IF(AND(AX19&gt;0,AZ19&gt;0),MIN(AX19,AZ19),MAX(AX19,AZ19))*AQ19*X19^2*1E-4*DATOS!$C$83/100/1000))/2),1E-9))+MAX(BW19,12*INDEX(TABLAS!$C$52:$C$58,MATCH(BU19,TABLAS!$B$52:$B$58,0)),AA19/16),IF(OR(AK19&lt;INDEX(TABLAS!$C$52:$C$58,MATCH(BU19,TABLAS!$B$52:$B$58,0)),AND(BV19&gt;=2,(AC19-2*AK19-BV19*INDEX(TABLAS!$C$52:$C$58,MATCH(BU19,TABLAS!$B$52:$B$58,0)))/MAX(BV19-1,1)&lt;2*INDEX(TABLAS!$C$52:$C$58,MATCH(BU19,TABLAS!$B$52:$B$58,0)))),INDEX(TABLAS!$I$52:$I$58,MATCH(BU19,TABLAS!$B$52:$B$58,0)),INDEX(TABLAS!$F$52:$F$58,MATCH(BU19,TABLAS!$B$52:$B$58,0)))),5))))</f>
        <v/>
      </c>
      <c r="DC19" s="60" t="str">
        <f>IF(U19&lt;&gt;"SÍ","",IF(C19="VOLADO",0,IF(((4*((BC19*AQ19*X19^2*1E-4*DATOS!$C$83/100/1000)+((MAX(AY19,BA19)*AQ19*X19^2*1E-4*DATOS!$C$83/100/1000)+(IF(AND(AY19&gt;0,BA19&gt;0),MIN(AY19,BA19),MAX(AY19,BA19))*AQ19*X19^2*1E-4*DATOS!$C$83/100/1000))/2)+BI19-(IF(AND(AY19&gt;0,BA19&gt;0),MIN(AY19,BA19),MAX(AY19,BA19))*AQ19*X19^2*1E-4*DATOS!$C$83/100/1000))^2-16*((BC19*AQ19*X19^2*1E-4*DATOS!$C$83/100/1000)+((MAX(AY19,BA19)*AQ19*X19^2*1E-4*DATOS!$C$83/100/1000)+(IF(AND(AY19&gt;0,BA19&gt;0),MIN(AY19,BA19),MAX(AY19,BA19))*AQ19*X19^2*1E-4*DATOS!$C$83/100/1000))/2)*BI19)&lt;0,CEILING(AB19,5),CEILING(MAX(AB19*((4*((BC19*AQ19*X19^2*1E-4*DATOS!$C$83/100/1000)+((MAX(AY19,BA19)*AQ19*X19^2*1E-4*DATOS!$C$83/100/1000)+(IF(AND(AY19&gt;0,BA19&gt;0),MIN(AY19,BA19),MAX(AY19,BA19))*AQ19*X19^2*1E-4*DATOS!$C$83/100/1000))/2)+BI19-(IF(AND(AY19&gt;0,BA19&gt;0),MIN(AY19,BA19),MAX(AY19,BA19))*AQ19*X19^2*1E-4*DATOS!$C$83/100/1000))-SQRT(MAX(0,((4*((BC19*AQ19*X19^2*1E-4*DATOS!$C$83/100/1000)+((MAX(AY19,BA19)*AQ19*X19^2*1E-4*DATOS!$C$83/100/1000)+(IF(AND(AY19&gt;0,BA19&gt;0),MIN(AY19,BA19),MAX(AY19,BA19))*AQ19*X19^2*1E-4*DATOS!$C$83/100/1000))/2)+BI19-(IF(AND(AY19&gt;0,BA19&gt;0),MIN(AY19,BA19),MAX(AY19,BA19))*AQ19*X19^2*1E-4*DATOS!$C$83/100/1000))^2-16*((BC19*AQ19*X19^2*1E-4*DATOS!$C$83/100/1000)+((MAX(AY19,BA19)*AQ19*X19^2*1E-4*DATOS!$C$83/100/1000)+(IF(AND(AY19&gt;0,BA19&gt;0),MIN(AY19,BA19),MAX(AY19,BA19))*AQ19*X19^2*1E-4*DATOS!$C$83/100/1000))/2)*BI19))))/(8*MAX(((BC19*AQ19*X19^2*1E-4*DATOS!$C$83/100/1000)+((MAX(AY19,BA19)*AQ19*X19^2*1E-4*DATOS!$C$83/100/1000)+(IF(AND(AY19&gt;0,BA19&gt;0),MIN(AY19,BA19),MAX(AY19,BA19))*AQ19*X19^2*1E-4*DATOS!$C$83/100/1000))/2),1E-9))+MAX(CM19,12*INDEX(TABLAS!$C$52:$C$58,MATCH(CK19,TABLAS!$B$52:$B$58,0)),AB19/16),IF(OR(AK19&lt;INDEX(TABLAS!$C$52:$C$58,MATCH(CK19,TABLAS!$B$52:$B$58,0)),AND(CL19&gt;=2,(DATOS!$C$80-2*AK19-CL19*INDEX(TABLAS!$C$52:$C$58,MATCH(CK19,TABLAS!$B$52:$B$58,0)))/MAX(CL19-1,1)&lt;2*INDEX(TABLAS!$C$52:$C$58,MATCH(CK19,TABLAS!$B$52:$B$58,0)))),INDEX(TABLAS!$I$52:$I$58,MATCH(CK19,TABLAS!$B$52:$B$58,0)),INDEX(TABLAS!$F$52:$F$58,MATCH(CK19,TABLAS!$B$52:$B$58,0)))),5))))</f>
        <v/>
      </c>
      <c r="DD19" s="55" t="str">
        <f>IF(U19&lt;&gt;"SÍ","",IF(AND(C19="PERIMETRAL",BV19&gt;=2,AR19-AS19&gt;0,AZ19*AQ19*X19^2*1E-4*DATOS!$C$83/100/1000&gt;DATOS!$C$29*INDEX(TABLAS!$D$52:$D$58,MATCH(BU19,TABLAS!$B$52:$B$58,0))*DATOS!$C$14*(BW19-INDEX(TABLAS!$D$52:$D$58,MATCH(BU19,TABLAS!$B$52:$B$58,0))*DATOS!$C$14/(DATOS!$C$21*AE19)/2)/1E5),"SÍ","NO"))</f>
        <v/>
      </c>
      <c r="DE19" s="55" t="str">
        <f>IF(U19&lt;&gt;"SÍ","",IF(AND(C19="PERIMETRAL",CL19&gt;=2,AS19&gt;0,BA19*AQ19*X19^2*1E-4*DATOS!$C$83/100/1000&gt;DATOS!$C$29*INDEX(TABLAS!$D$52:$D$58,MATCH(CK19,TABLAS!$B$52:$B$58,0))*DATOS!$C$14*(CM19-INDEX(TABLAS!$D$52:$D$58,MATCH(CK19,TABLAS!$B$52:$B$58,0))*DATOS!$C$14/(DATOS!$C$21*AF19)/2)/1E5),"SÍ","NO"))</f>
        <v/>
      </c>
      <c r="DF19" s="63" t="str">
        <f>IF(U19&lt;&gt;"SÍ","",IF(OR(C19="VOLADO",AR19=0),"—",IF(AND(AND(1.25*INDEX(TABLAS!$G$52:$G$58,MATCH(MAX(BM19,CC19),TABLAS!$B$52:$B$58,0))&lt;=(DATOS!$C$72-DATOS!$C$60),(DATOS!$C$72-DATOS!$C$60)&gt;=15,INDEX(TABLAS!$G$52:$G$58,MATCH(MAX(BU19,CK19),TABLAS!$B$52:$B$58,0))&lt;=(DATOS!$C$72-DATOS!$C$60)),8*INDEX(TABLAS!$C$52:$C$58,MATCH(MAX(MAX(BM19,CC19),MAX(BU19,CK19)),TABLAS!$B$52:$B$58,0))&lt;=DATOS!$C$73-2*DATOS!$C$60),"CUMPLE (gancho de 180°)",IF(AND(1.25*INDEX(TABLAS!$G$52:$G$58,MATCH(MAX(BM19,CC19),TABLAS!$B$52:$B$58,0))&lt;=(DATOS!$C$72-DATOS!$C$60),(DATOS!$C$72-DATOS!$C$60)&gt;=15,INDEX(TABLAS!$G$52:$G$58,MATCH(MAX(BU19,CK19),TABLAS!$B$52:$B$58,0))&lt;=(DATOS!$C$72-DATOS!$C$60)),"NO CUMPLE: el gancho de 180° (8·d_b) no cabe en el peralte de la dala de borde","NO CUMPLE: dala de borde ≥ "&amp;TEXT(CEILING(MAX(1.25*INDEX(TABLAS!$G$52:$G$58,MATCH(MAX(BM19,CC19),TABLAS!$B$52:$B$58,0)),15,INDEX(TABLAS!$G$52:$G$58,MATCH(MAX(BU19,CK19),TABLAS!$B$52:$B$58,0)))+DATOS!$C$60,5),"0")&amp;" cm de ancho"&amp;IF(8*INDEX(TABLAS!$C$52:$C$58,MATCH(MAX(MAX(BM19,CC19),MAX(BU19,CK19)),TABLAS!$B$52:$B$58,0))&lt;=DATOS!$C$73-2*DATOS!$C$60,""," y más peralte para el gancho")))))</f>
        <v/>
      </c>
      <c r="DG19" s="59" t="str">
        <f>IF(U19&lt;&gt;"SÍ","",MAX(0,INT((E19*100-DATOS!$C$84+DATOS!$C$83-IF(W19="X",DATOS!$C$78,AD19))/DATOS!$C$83)))</f>
        <v/>
      </c>
      <c r="DH19" s="59" t="str">
        <f>IF(U19&lt;&gt;"SÍ","",MAX(0,INT((F19*100-DATOS!$C$84+DATOS!$C$83-IF(W19="Y",DATOS!$C$78,AD19))/DATOS!$C$83)))</f>
        <v/>
      </c>
      <c r="DI19" s="57" t="str">
        <f>IF(U19&lt;&gt;"SÍ","",IF(DG19&gt;0,(E19*100-DATOS!$C$84-(DG19*IF(W19="X",DATOS!$C$78,AD19)+(DG19-1)*(DATOS!$C$83-IF(W19="X",DATOS!$C$78,AD19))))/2,E19*100/2))</f>
        <v/>
      </c>
      <c r="DJ19" s="57" t="str">
        <f>IF(U19&lt;&gt;"SÍ","",IF(DH19&gt;0,(F19*100-DATOS!$C$84-(DH19*IF(W19="Y",DATOS!$C$78,AD19)+(DH19-1)*(DATOS!$C$83-IF(W19="Y",DATOS!$C$78,AD19))))/2,F19*100/2))</f>
        <v/>
      </c>
      <c r="DK19" s="59" t="str">
        <f>IF(U19&lt;&gt;"SÍ","",IF(NOT(AND(C19="VOLADO",AC19&gt;DATOS!$C$80)),0,IF(INDEX(TABLAS!$C$52:$C$58,MATCH(BU19,TABLAS!$B$52:$B$58,0))&lt;=DATOS!$C$80-2*DATOS!$C$60,1,0)))</f>
        <v/>
      </c>
      <c r="DL19" s="58" t="str">
        <f>IF(U19&lt;&gt;"SÍ","",IF(NOT(AND(C19="VOLADO",AC19&gt;DATOS!$C$80)),0,((DATOS!$C$82-MAX(DATOS!$C$60,(DATOS!$C$81-2*DATOS!$C$94)/2)-2*DATOS!$C$94-INDEX(TABLAS!$C$52:$C$58,MATCH(BU19,TABLAS!$B$52:$B$58,0))/2)-IF(AND((DATOS!$C$82-MAX(DATOS!$C$60,(DATOS!$C$81-2*DATOS!$C$94)/2)-2*DATOS!$C$94-INDEX(TABLAS!$C$52:$C$58,MATCH(BU19,TABLAS!$B$52:$B$58,0))/2)&lt;=20,DATOS!$C$62&lt;&gt;"SÍ"),2,0))))</f>
        <v/>
      </c>
      <c r="DM19" s="56" t="str">
        <f>IF(U19&lt;&gt;"SÍ","",IF(OR(NOT(AND(C19="VOLADO",AC19&gt;DATOS!$C$80)),DK19&lt;1),0,IF(0.003*(DL19-((DK19*INDEX(TABLAS!$D$52:$D$58,MATCH(BU19,TABLAS!$B$52:$B$58,0)))*DATOS!$C$14/(DATOS!$C$21*AF19)/DATOS!$C$22))/((DK19*INDEX(TABLAS!$D$52:$D$58,MATCH(BU19,TABLAS!$B$52:$B$58,0)))*DATOS!$C$14/(DATOS!$C$21*AF19)/DATOS!$C$22)&lt;0.005,0,DATOS!$C$29*(DK19*INDEX(TABLAS!$D$52:$D$58,MATCH(BU19,TABLAS!$B$52:$B$58,0)))*DATOS!$C$14*(DL19-(DK19*INDEX(TABLAS!$D$52:$D$58,MATCH(BU19,TABLAS!$B$52:$B$58,0)))*DATOS!$C$14/(DATOS!$C$21*AF19)/2)/1E5)))</f>
        <v/>
      </c>
      <c r="DN19" s="56" t="str">
        <f>IF(U19&lt;&gt;"SÍ","",IF(OR(NOT(AND(C19="VOLADO",AC19&gt;DATOS!$C$80)),DK19&lt;1),0,DATOS!$C$30*2*MIN(1,SQRT(2/(1+0.04*DL19)))*((DK19*INDEX(TABLAS!$D$52:$D$58,MATCH(BU19,TABLAS!$B$52:$B$58,0)))/(AF19*DL19))^(1/3)*SQRT(DATOS!$C$13)*AF19*DL19/1000))</f>
        <v/>
      </c>
      <c r="DO19" s="56" t="str">
        <f>IF(U19&lt;&gt;"SÍ","",IF(NOT(AND(C19="VOLADO",AC19&gt;DATOS!$C$80)),0,IF((BG19-DM19)&lt;=0,0,IF(DM19&lt;=0,IF(ISNUMBER(P19),P19,X19),IF(((0.9*DATOS!$C$87*DATOS!$C$83/100/1000)*IF(ISNUMBER(P19),P19,X19)/2+BG19/IF(ISNUMBER(P19),P19,X19))^2-4*((0.9*DATOS!$C$87*DATOS!$C$83/100/1000)/2)*(BG19-DM19)&lt;0,IF(ISNUMBER(P19),P19,X19),MIN(IF(ISNUMBER(P19),P19,X19),(((0.9*DATOS!$C$87*DATOS!$C$83/100/1000)*IF(ISNUMBER(P19),P19,X19)/2+BG19/IF(ISNUMBER(P19),P19,X19))-SQRT(((0.9*DATOS!$C$87*DATOS!$C$83/100/1000)*IF(ISNUMBER(P19),P19,X19)/2+BG19/IF(ISNUMBER(P19),P19,X19))^2-4*((0.9*DATOS!$C$87*DATOS!$C$83/100/1000)/2)*(BG19-DM19)))/(2*((0.9*DATOS!$C$87*DATOS!$C$83/100/1000)/2))))))))</f>
        <v/>
      </c>
      <c r="DP19" s="56" t="str">
        <f>IF(U19&lt;&gt;"SÍ","",IF(NOT(AND(C19="VOLADO",AC19&gt;DATOS!$C$80)),0,MIN(IF(ISNUMBER(P19),P19,X19),MAX(0,IF(ISNUMBER(P19),P19,X19)/2+BG19/IF(ISNUMBER(P19),P19,X19)/(AQ19*DATOS!$C$83/100/1000)-DN19/(AQ19*DATOS!$C$83/100/1000)))))</f>
        <v/>
      </c>
      <c r="DQ19" s="56" t="str">
        <f>IF(U19&lt;&gt;"SÍ","",IF(NOT(AND(C19="VOLADO",AC19&gt;DATOS!$C$80)),0,BG19/IF(ISNUMBER(P19),P19,X19)+(AQ19*DATOS!$C$83/100/1000)*MAX(0,IF(ISNUMBER(P19),P19,X19)/2-BW19/100)))</f>
        <v/>
      </c>
      <c r="DR19" s="59" t="str">
        <f>IF(U19&lt;&gt;"SÍ","",IF(NOT(AND(C19="VOLADO",AC19&gt;DATOS!$C$80)),0,CEILING(100*MIN(IF(ISNUMBER(P19),P19,X19),MAX(IF(DO19&gt;0,DO19+IF(BV19&gt;=2,MAX(DL19,12*INDEX(TABLAS!$C$52:$C$58,MATCH(BU19,TABLAS!$B$52:$B$58,0)))/100,0),0),DP19,IF(BV19&gt;=2,INDEX(TABLAS!$F$52:$F$58,MATCH(BU19,TABLAS!$B$52:$B$58,0))/100,0))),5)))</f>
        <v/>
      </c>
      <c r="DS19" s="60" t="str">
        <f>IF(U19&lt;&gt;"SÍ","",IF(NOT(AND(C19="VOLADO",AC19&gt;DATOS!$C$80)),0,IF(DR19&lt;=0,0,CEILING(DR19/DATOS!$C$83,1))))</f>
        <v/>
      </c>
      <c r="DT19" s="61" t="str">
        <f>IF(U19&lt;&gt;"SÍ","",IF(C19&lt;&gt;"VOLADO","—",IF(AC19&lt;=DATOS!$C$80,"— (mismo b_w que el respaldo)",IF(DQ19&gt;CR19,"NO CUMPLE: cortante de la nervadura ancha junto al apoyo ("&amp;TEXT(DQ19,"0.00")&amp;" &gt; "&amp;TEXT(CR19,"0.00")&amp;" t)",IF(DR19&gt;=100*IF(ISNUMBER(P19),P19,X19),"CUMPLE — todas las nervaduras del respaldo ‖ al volado con b_w = "&amp;AC19&amp;" cm","CUMPLE — "&amp;DS19&amp;" hilera(s) del respaldo con nervaduras de b_w = "&amp;AC19&amp;" cm (casetón "&amp;AD19&amp;" cm), hasta "&amp;TEXT(DR19/100,"0.00")&amp;" m del paño")))))</f>
        <v/>
      </c>
      <c r="DU19" s="69" t="str">
        <f>IF(U19&lt;&gt;"SÍ","",IF(BN19=0,"NO ALCANZA",BN19&amp;" No. "&amp;BM19&amp;IF(BN19&gt;1," corridas"," corrida")))</f>
        <v/>
      </c>
      <c r="DV19" s="69" t="str">
        <f>IF(U19&lt;&gt;"SÍ","",IF(BV19=0,"NO ALCANZA",IF(AND(C19="VOLADO",AC19&gt;DATOS!$C$80,BV19&gt;=2),"1 No. "&amp;BU19&amp;" corrida de la orilla al respaldo ("&amp;IF(DB19&gt;=100*IF(ISNUMBER(P19),P19,X19),"hasta su apoyo lejano, con gancho","entra "&amp;TEXT(DB19/100,"0.00")&amp;" m desde el paño")&amp;") + "&amp;(BV19-1)&amp;" bastón No. "&amp;BU19&amp;" hasta "&amp;TEXT(DR19/100,"0.00")&amp;" m del paño (fin de la nervadura ancha)",IF(C19="VOLADO",BV19&amp;" No. "&amp;BU19&amp;" de la orilla al respaldo ("&amp;IF(DB19&gt;=100*IF(ISNUMBER(P19),P19,X19),"hasta su apoyo lejano, con gancho","entran "&amp;TEXT(DB19/100,"0.00")&amp;" m desde el paño")&amp;")","1 No. "&amp;BU19&amp;" corrida"&amp;IF(BV19&gt;1," + "&amp;(BV19-1)&amp;" bastón No. "&amp;BU19&amp;" L = "&amp;TEXT(DB19/100,"0.00")&amp;" m desde el paño","")))))</f>
        <v/>
      </c>
      <c r="DW19" s="69" t="str">
        <f>IF(U19&lt;&gt;"SÍ","",IF(CD19=0,"NO ALCANZA",CD19&amp;" No. "&amp;CC19&amp;IF(CD19&gt;1," corridas"," corrida")))</f>
        <v/>
      </c>
      <c r="DX19" s="69" t="str">
        <f>IF(U19&lt;&gt;"SÍ","",IF(CL19=0,"NO ALCANZA",IF(C19="VOLADO","1 No. "&amp;CK19&amp;" corrida (repartición)","1 No. "&amp;CK19&amp;" corrida"&amp;IF(CL19&gt;1," + "&amp;(CL19-1)&amp;" bastón No. "&amp;CK19&amp;" L = "&amp;TEXT(DC19/100,"0.00")&amp;" m desde el paño",""))))</f>
        <v/>
      </c>
      <c r="DY19" s="67" t="str">
        <f>IF(B19="","",IF(U19&lt;&gt;"SÍ","FALTAN DATOS: tipo, a_x, a_y y destino",IF(L19="NO MONOLÍTICO (caso II)","FUERA DE ALCANCE: caso II no transcrito",IF(AND(C19="VOLADO",V19="?"),"REVISAR: el volado lleva UN solo borde CONTINUO (el empotrado)",IF(AND(MAX(BQ19,BY19,CG19,CO19)&lt;=1,NOT(OR(BN19&gt;MIN(DATOS!$C$70,INT(((AC19-2*AJ19)+MAX(DATOS!$C$67,INDEX(TABLAS!$C$52:$C$58,MATCH(BM19,TABLAS!$B$52:$B$58,0))))/(INDEX(TABLAS!$C$52:$C$58,MATCH(BM19,TABLAS!$B$52:$B$58,0))+MAX(DATOS!$C$67,INDEX(TABLAS!$C$52:$C$58,MATCH(BM19,TABLAS!$B$52:$B$58,0)))))),BV19&gt;MIN(DATOS!$C$70,INT(((AC19-2*AK19)+MAX(DATOS!$C$67,INDEX(TABLAS!$C$52:$C$58,MATCH(BU19,TABLAS!$B$52:$B$58,0))))/(INDEX(TABLAS!$C$52:$C$58,MATCH(BU19,TABLAS!$B$52:$B$58,0))+MAX(DATOS!$C$67,INDEX(TABLAS!$C$52:$C$58,MATCH(BU19,TABLAS!$B$52:$B$58,0)))))),CD19&gt;MIN(DATOS!$C$70,INT(((DATOS!$C$80-2*AJ19)+MAX(DATOS!$C$67,INDEX(TABLAS!$C$52:$C$58,MATCH(CC19,TABLAS!$B$52:$B$58,0))))/(INDEX(TABLAS!$C$52:$C$58,MATCH(CC19,TABLAS!$B$52:$B$58,0))+MAX(DATOS!$C$67,INDEX(TABLAS!$C$52:$C$58,MATCH(CC19,TABLAS!$B$52:$B$58,0)))))),CL19&gt;MIN(DATOS!$C$70,INT(((DATOS!$C$80-2*AK19)+MAX(DATOS!$C$67,INDEX(TABLAS!$C$52:$C$58,MATCH(CK19,TABLAS!$B$52:$B$58,0))))/(INDEX(TABLAS!$C$52:$C$58,MATCH(CK19,TABLAS!$B$52:$B$58,0))+MAX(DATOS!$C$67,INDEX(TABLAS!$C$52:$C$58,MATCH(CK19,TABLAS!$B$52:$B$58,0)))))))),NOT(OR(AND(ISNUMBER(BR19),BR19&lt;0.005),AND(ISNUMBER(BZ19),BZ19&lt;0.005),AND(ISNUMBER(CH19),CH19&lt;0.005),AND(ISNUMBER(CP19),CP19&lt;0.005))),NOT(LEFT(DT19,2)="NO"),CZ19="CUMPLE",DA19="CUMPLE",LEFT(CT19,2)&lt;&gt;"NO"),IF(LEFT(CT19,6)="CUMPLE","CUMPLE","CUMPLE — "&amp;CT19)&amp;IF(LEFT(BJ19,5)="FUERA"," · fuera de 3.4.2.1 c)","")&amp;IF(LEFT(DF19,2)="NO"," · REVISAR anclaje en borde discontinuo","")&amp;IF(DS19&gt;0," · respaldo: "&amp;DS19&amp;" hilera(s) de b_w "&amp;AC19&amp;" cm",""),IF(AND(MAX(BQ19,BY19,CG19,CO19)&lt;=1,NOT(OR(BN19&gt;MIN(DATOS!$C$70,INT(((AC19-2*AJ19)+MAX(DATOS!$C$67,INDEX(TABLAS!$C$52:$C$58,MATCH(BM19,TABLAS!$B$52:$B$58,0))))/(INDEX(TABLAS!$C$52:$C$58,MATCH(BM19,TABLAS!$B$52:$B$58,0))+MAX(DATOS!$C$67,INDEX(TABLAS!$C$52:$C$58,MATCH(BM19,TABLAS!$B$52:$B$58,0)))))),BV19&gt;MIN(DATOS!$C$70,INT(((AC19-2*AK19)+MAX(DATOS!$C$67,INDEX(TABLAS!$C$52:$C$58,MATCH(BU19,TABLAS!$B$52:$B$58,0))))/(INDEX(TABLAS!$C$52:$C$58,MATCH(BU19,TABLAS!$B$52:$B$58,0))+MAX(DATOS!$C$67,INDEX(TABLAS!$C$52:$C$58,MATCH(BU19,TABLAS!$B$52:$B$58,0)))))),CD19&gt;MIN(DATOS!$C$70,INT(((DATOS!$C$80-2*AJ19)+MAX(DATOS!$C$67,INDEX(TABLAS!$C$52:$C$58,MATCH(CC19,TABLAS!$B$52:$B$58,0))))/(INDEX(TABLAS!$C$52:$C$58,MATCH(CC19,TABLAS!$B$52:$B$58,0))+MAX(DATOS!$C$67,INDEX(TABLAS!$C$52:$C$58,MATCH(CC19,TABLAS!$B$52:$B$58,0)))))),CL19&gt;MIN(DATOS!$C$70,INT(((DATOS!$C$80-2*AK19)+MAX(DATOS!$C$67,INDEX(TABLAS!$C$52:$C$58,MATCH(CK19,TABLAS!$B$52:$B$58,0))))/(INDEX(TABLAS!$C$52:$C$58,MATCH(CK19,TABLAS!$B$52:$B$58,0))+MAX(DATOS!$C$67,INDEX(TABLAS!$C$52:$C$58,MATCH(CK19,TABLAS!$B$52:$B$58,0)))))))),NOT(OR(AND(ISNUMBER(BR19),BR19&lt;0.005),AND(ISNUMBER(BZ19),BZ19&lt;0.005),AND(ISNUMBER(CH19),CH19&lt;0.005),AND(ISNUMBER(CP19),CP19&lt;0.005))),NOT(LEFT(DT19,2)="NO"),CZ19="CALCULAR FLECHA",LEFT(CT19,2)&lt;&gt;"NO"),"REVISAR: calcular flecha (h_eq &lt; h mín.)"&amp;IF(LEFT(BJ19,5)="FUERA"," · fuera de 3.4.2.1 c)","")&amp;IF(LEFT(DF19,2)="NO"," · REVISAR anclaje en borde discontinuo","")&amp;IF(DS19&gt;0," · respaldo: "&amp;DS19&amp;" hilera(s) de b_w "&amp;AC19&amp;" cm",""),"NO CUMPLE: "&amp;IF(MAX(BQ19,BY19,CG19,CO19)&gt;1,"flexión ","")&amp;IF(OR(BN19&gt;MIN(DATOS!$C$70,INT(((AC19-2*AJ19)+MAX(DATOS!$C$67,INDEX(TABLAS!$C$52:$C$58,MATCH(BM19,TABLAS!$B$52:$B$58,0))))/(INDEX(TABLAS!$C$52:$C$58,MATCH(BM19,TABLAS!$B$52:$B$58,0))+MAX(DATOS!$C$67,INDEX(TABLAS!$C$52:$C$58,MATCH(BM19,TABLAS!$B$52:$B$58,0)))))),BV19&gt;MIN(DATOS!$C$70,INT(((AC19-2*AK19)+MAX(DATOS!$C$67,INDEX(TABLAS!$C$52:$C$58,MATCH(BU19,TABLAS!$B$52:$B$58,0))))/(INDEX(TABLAS!$C$52:$C$58,MATCH(BU19,TABLAS!$B$52:$B$58,0))+MAX(DATOS!$C$67,INDEX(TABLAS!$C$52:$C$58,MATCH(BU19,TABLAS!$B$52:$B$58,0)))))),CD19&gt;MIN(DATOS!$C$70,INT(((DATOS!$C$80-2*AJ19)+MAX(DATOS!$C$67,INDEX(TABLAS!$C$52:$C$58,MATCH(CC19,TABLAS!$B$52:$B$58,0))))/(INDEX(TABLAS!$C$52:$C$58,MATCH(CC19,TABLAS!$B$52:$B$58,0))+MAX(DATOS!$C$67,INDEX(TABLAS!$C$52:$C$58,MATCH(CC19,TABLAS!$B$52:$B$58,0)))))),CL19&gt;MIN(DATOS!$C$70,INT(((DATOS!$C$80-2*AK19)+MAX(DATOS!$C$67,INDEX(TABLAS!$C$52:$C$58,MATCH(CK19,TABLAS!$B$52:$B$58,0))))/(INDEX(TABLAS!$C$52:$C$58,MATCH(CK19,TABLAS!$B$52:$B$58,0))+MAX(DATOS!$C$67,INDEX(TABLAS!$C$52:$C$58,MATCH(CK19,TABLAS!$B$52:$B$58,0))))))),"no caben ","")&amp;IF(OR(AND(ISNUMBER(BR19),BR19&lt;0.005),AND(ISNUMBER(BZ19),BZ19&lt;0.005),AND(ISNUMBER(CH19),CH19&lt;0.005),AND(ISNUMBER(CP19),CP19&lt;0.005)),"ε_t &lt; 0.005 ","")&amp;IF(LEFT(CT19,2)="NO","cortante ","")&amp;IF(CZ19="NO CUMPLE","peralte ","")&amp;IF(DA19&lt;&gt;"CUMPLE","capa &lt; 6 cm ","")&amp;IF(LEFT(DT19,2)="NO","respaldo del volado","")))))))</f>
        <v/>
      </c>
      <c r="DZ19" s="70" t="str">
        <f>IF(U19&lt;&gt;"SÍ","",IF(LEFT(B19,7)="EJEMPLO","EJEMPLO de la hoja de Casa Rocha: bórralo o sobrescríbelo. ","")&amp;IF(AND(C19="PERIMETRAL",MIN(DG19,DH19)=0),"No cabe un casetón en el claro corto: es un tablero macizo, diséñalo en MACIZAS. ","")&amp;IF(AND(AI19="NO",C19="PERIMETRAL"),"No cumple 6.7.8.1.4 (a_c = "&amp;MAX(DATOS!$C$78,AD19)&amp;" cm &gt; claro corto/6 = "&amp;TEXT(X19*100/6,"0")&amp;" cm): se diseña como losa apoyada en vigas (6.7.8.1.9): r de viga = "&amp;DATOS!$C$60&amp;" cm y V_cR sin ×1.1. Para que cuente como encasetonada: casetón de "&amp;TEXT(FLOOR(MIN(80,X19*100/6),1),"0")&amp;" cm o menor. ","")&amp;IF(C19="VOLADO","Volado de "&amp;TEXT(X19,"0.00")&amp;" m empotrado en el borde "&amp;LOWER(V19)&amp;IF(N(O19)&gt;0,", con "&amp;TEXT(O19,"0.0")&amp;" kg/m en la orilla","")&amp;". Lecho inferior con r_ext. Si la orilla carga pretil u otro elemento frágil, calcula la flecha (13.4). El acero superior entra al respaldo de "&amp;TEXT(IF(ISNUMBER(P19),P19,X19),"0.00")&amp;" m"&amp;IF(ISNUMBER(P19),""," (L_b no capturado: se tomó igual al volado)")&amp;" hasta pasar M = 0 con 0.9·PP sin carga viva; si ahí no se anula, llega al apoyo lejano y se ancla con gancho (NTC-Criterios 3.4.1 c y 5.1.2.2). "&amp;IF(AC19&gt;DATOS!$C$80,"Respaldo: "&amp;DT19&amp;". ",""),"")&amp;IF(LEFT(BJ19,5)="FUERA","El M⁻ del vecino difiere más de 50 % (3.4.2.1 c): distribuye el desequilibrio (3.4.3.1) o confirma con un modelo; se arma con el mayor. ","")&amp;IF(OR(DD19="SÍ",DE19="SÍ"),"El M⁻ del borde discontinuo pide bastón también ahí (con gancho). ","")&amp;IF(LEFT(DF19,2)="NO","Anclaje: "&amp;DF19&amp;" (6.7.8.1.7). ","")&amp;IF(OR(AZ19&gt;0,BA19&gt;0),"Esquinas exteriores sobre muro: refuerzo de esquina arriba y abajo en L_largo/5 (6.7.7.3.1). ",""))</f>
        <v/>
      </c>
    </row>
    <row r="20" ht="33" customHeight="1">
      <c r="A20" s="50">
        <f>IF(B20="",0,1)+A19</f>
        <v>4</v>
      </c>
      <c r="B20" s="29" t="n"/>
      <c r="C20" s="51" t="n"/>
      <c r="D20" s="29" t="n"/>
      <c r="E20" s="52" t="n"/>
      <c r="F20" s="52" t="n"/>
      <c r="G20" s="51" t="n"/>
      <c r="H20" s="51" t="n"/>
      <c r="I20" s="51" t="n"/>
      <c r="J20" s="51" t="n"/>
      <c r="K20" s="51" t="n"/>
      <c r="L20" s="51" t="n"/>
      <c r="M20" s="53" t="n"/>
      <c r="N20" s="53" t="n"/>
      <c r="O20" s="54" t="n"/>
      <c r="P20" s="52" t="n"/>
      <c r="Q20" s="53" t="n"/>
      <c r="R20" s="54" t="n"/>
      <c r="S20" s="52" t="n"/>
      <c r="T20" s="52" t="n"/>
      <c r="U20" s="55" t="str">
        <f>IF(B20="","",IF(AND(OR(C20="PERIMETRAL",C20="VOLADO"),ISNUMBER(E20),ISNUMBER(F20),E20&gt;0,F20&gt;0,OR(ISNUMBER(N20),ISNUMBER(MATCH(D20,DATOS!$B$46:$B$55,0)))),"SÍ","NO"))</f>
        <v/>
      </c>
      <c r="V20" s="55" t="str">
        <f>IF(U20&lt;&gt;"SÍ","",IF(C20&lt;&gt;"VOLADO","—",IF(COUNTIF(G20:J20,"CONTINUO")&lt;&gt;1,"?",IF(G20="CONTINUO","INFERIOR",IF(H20="CONTINUO","SUPERIOR",IF(I20="CONTINUO","IZQUIERDO","DERECHO"))))))</f>
        <v/>
      </c>
      <c r="W20" s="55" t="str">
        <f>IF(U20&lt;&gt;"SÍ","",IF(C20="VOLADO",IF(OR(V20="IZQUIERDO",V20="DERECHO"),"X","Y"),IF(E20&lt;=F20,"X","Y")))</f>
        <v/>
      </c>
      <c r="X20" s="56" t="str">
        <f>IF(U20&lt;&gt;"SÍ","",IF(C20="VOLADO",IF(W20="X",E20,F20),MIN(E20,F20)))</f>
        <v/>
      </c>
      <c r="Y20" s="56" t="str">
        <f>IF(U20&lt;&gt;"SÍ","",IF(C20="VOLADO",IF(W20="X",F20,E20),MAX(E20,F20)))</f>
        <v/>
      </c>
      <c r="Z20" s="56" t="str">
        <f>IF(U20&lt;&gt;"SÍ","",MIN(X20,Y20)/MAX(X20,Y20))</f>
        <v/>
      </c>
      <c r="AA20" s="57" t="str">
        <f>IF(U20&lt;&gt;"SÍ","",MAX(1,X20*100-IF(C20="VOLADO",DATOS!$C$84/2,DATOS!$C$84)))</f>
        <v/>
      </c>
      <c r="AB20" s="57" t="str">
        <f>IF(U20&lt;&gt;"SÍ","",MAX(1,Y20*100-DATOS!$C$84))</f>
        <v/>
      </c>
      <c r="AC20" s="57" t="str">
        <f>IF(U20&lt;&gt;"SÍ","",IF(ISNUMBER(Q20),Q20,DATOS!$C$80))</f>
        <v/>
      </c>
      <c r="AD20" s="57" t="str">
        <f>IF(U20&lt;&gt;"SÍ","",MAX(0,DATOS!$C$83-AC20))</f>
        <v/>
      </c>
      <c r="AE20" s="57" t="str">
        <f>IF(U20&lt;&gt;"SÍ","",IF(OR(DATOS!$C$62="SÍ",AC20&gt;=20),AC20,AC20-2))</f>
        <v/>
      </c>
      <c r="AF20" s="57" t="str">
        <f>IF(U20&lt;&gt;"SÍ","",IF(OR(DATOS!$C$62="SÍ",DATOS!$C$80&gt;=20),DATOS!$C$80,DATOS!$C$80-2))</f>
        <v/>
      </c>
      <c r="AG20" s="57" t="str">
        <f>IF(U20&lt;&gt;"SÍ","",MIN(DATOS!$C$83,AC20+2*MIN(8*DATOS!$C$81,AD20/2,AA20/8)))</f>
        <v/>
      </c>
      <c r="AH20" s="57" t="str">
        <f>IF(U20&lt;&gt;"SÍ","",MIN(DATOS!$C$83,DATOS!$C$80+2*MIN(8*DATOS!$C$81,DATOS!$C$78/2,AB20/8)))</f>
        <v/>
      </c>
      <c r="AI20" s="55" t="str">
        <f>IF(U20&lt;&gt;"SÍ","",IF(AND(C20="PERIMETRAL",X20*100&gt;=6*MAX(DATOS!$C$78,AD20),MAX(DATOS!$C$78,AD20)&lt;=80,MIN(DATOS!$C$80,AC20)&gt;=10,DATOS!$C$82&lt;=3.5*MIN(DATOS!$C$80,AC20),DATOS!$C$81&gt;=MAX(MAX(DATOS!$C$78,AD20)/13,5)),"SÍ","NO"))</f>
        <v/>
      </c>
      <c r="AJ20" s="57" t="str">
        <f>IF(U20&lt;&gt;"SÍ","",IF(C20="VOLADO",DATOS!$C$61,IF(AI20="NO",DATOS!$C$60,DATOS!$C$59)))</f>
        <v/>
      </c>
      <c r="AK20" s="57" t="str">
        <f>IF(U20&lt;&gt;"SÍ","",IF(OR(AND(AM20="SÍ",DATOS!$C$63="SÍ"),AND(C20="VOLADO",DATOS!$C$64="SÍ")),DATOS!$C$61,IF(AI20="NO",DATOS!$C$60,DATOS!$C$59)))</f>
        <v/>
      </c>
      <c r="AL20" s="58" t="str">
        <f>IF(U20&lt;&gt;"SÍ","",MAX(AK20,(DATOS!$C$81-2*DATOS!$C$94)/2))</f>
        <v/>
      </c>
      <c r="AM20" s="55" t="str">
        <f>IF(U20&lt;&gt;"SÍ","",IFERROR(INDEX(DATOS!$D$46:$D$55,MATCH(D20,DATOS!$B$46:$B$55,0)),"NO"))</f>
        <v/>
      </c>
      <c r="AN20" s="59" t="str">
        <f>IF(U20&lt;&gt;"SÍ","",IF(ISNUMBER(N20),N20,IFERROR(INDEX(DATOS!$C$46:$C$55,MATCH(D20,DATOS!$B$46:$B$55,0)),0)))</f>
        <v/>
      </c>
      <c r="AO20" s="59" t="str">
        <f>IF(U20&lt;&gt;"SÍ","",(DATOS!$C$82/100-(AD20*DATOS!$C$78/DATOS!$C$83^2)*DATOS!$C$79/100)*DATOS!$C$16*1000+(AD20*DATOS!$C$78/DATOS!$C$83^2)*DATOS!$C$79/100*DATOS!$C$17*1000+DATOS!$C$37+DATOS!$C$38)</f>
        <v/>
      </c>
      <c r="AP20" s="59" t="str">
        <f>IF(U20&lt;&gt;"SÍ","",AO20+N(M20))</f>
        <v/>
      </c>
      <c r="AQ20" s="60" t="str">
        <f>IF(U20&lt;&gt;"SÍ","",MAX(DATOS!$C$26*AP20+DATOS!$C$27*AN20,IF(AM20="SÍ",DATOS!$C$28*(AP20+DATOS!$C$41),0)))</f>
        <v/>
      </c>
      <c r="AR20" s="59" t="str">
        <f>IF(U20&lt;&gt;"SÍ","",(G20="DISCONTINUO")+(H20="DISCONTINUO")+(I20="DISCONTINUO")+(J20="DISCONTINUO"))</f>
        <v/>
      </c>
      <c r="AS20" s="59" t="str">
        <f>IF(U20&lt;&gt;"SÍ","",IF(W20="X",(G20="DISCONTINUO")+(H20="DISCONTINUO"),(I20="DISCONTINUO")+(J20="DISCONTINUO")))</f>
        <v/>
      </c>
      <c r="AT20" s="55" t="str">
        <f>IF(U20&lt;&gt;"SÍ","",IF(AR20=0,"INTERIOR",IF(AR20=1,IF(AS20=1,"BORDE-CORTO","BORDE-LARGO"),IF(AR20=2,IF(AS20=1,"ESQUINA",IF(AS20=2,"EXTREMO-LARGO","EXTREMO-CORTO")),IF(AR20=3,IF(AS20=2,"EXTREMO-LARGO","EXTREMO-CORTO"),"AISLADO")))))</f>
        <v/>
      </c>
      <c r="AU20" s="61" t="str">
        <f>IF(U20&lt;&gt;"SÍ","",IF(OR(K20="",K20="AUTO"),AT20,K20))</f>
        <v/>
      </c>
      <c r="AV20" s="59" t="str">
        <f>IF(U20&lt;&gt;"SÍ","",MATCH(Z20,TABLAS!$D$5:$J$5,1))</f>
        <v/>
      </c>
      <c r="AW20" s="58" t="str">
        <f>IF(U20&lt;&gt;"SÍ","",IF(AV20&gt;=7,0,(Z20-INDEX(TABLAS!$D$5:$J$5,AV20))/(INDEX(TABLAS!$D$5:$J$5,AV20+1)-INDEX(TABLAS!$D$5:$J$5,AV20))))</f>
        <v/>
      </c>
      <c r="AX20" s="59" t="str">
        <f>IF(U20&lt;&gt;"SÍ","",INDEX(TABLAS!$D$6:$J$47,MATCH(AU20&amp;"|NIC",TABLAS!$B$6:$B$47,0),AV20)+AW20*(INDEX(TABLAS!$D$6:$J$47,MATCH(AU20&amp;"|NIC",TABLAS!$B$6:$B$47,0),MIN(AV20+1,7))-INDEX(TABLAS!$D$6:$J$47,MATCH(AU20&amp;"|NIC",TABLAS!$B$6:$B$47,0),AV20)))</f>
        <v/>
      </c>
      <c r="AY20" s="59" t="str">
        <f>IF(U20&lt;&gt;"SÍ","",INDEX(TABLAS!$D$6:$J$47,MATCH(AU20&amp;"|NIL",TABLAS!$B$6:$B$47,0),AV20)+AW20*(INDEX(TABLAS!$D$6:$J$47,MATCH(AU20&amp;"|NIL",TABLAS!$B$6:$B$47,0),MIN(AV20+1,7))-INDEX(TABLAS!$D$6:$J$47,MATCH(AU20&amp;"|NIL",TABLAS!$B$6:$B$47,0),AV20)))</f>
        <v/>
      </c>
      <c r="AZ20" s="59" t="str">
        <f>IF(U20&lt;&gt;"SÍ","",INDEX(TABLAS!$D$6:$J$47,MATCH(AU20&amp;"|NDC",TABLAS!$B$6:$B$47,0),AV20)+AW20*(INDEX(TABLAS!$D$6:$J$47,MATCH(AU20&amp;"|NDC",TABLAS!$B$6:$B$47,0),MIN(AV20+1,7))-INDEX(TABLAS!$D$6:$J$47,MATCH(AU20&amp;"|NDC",TABLAS!$B$6:$B$47,0),AV20)))</f>
        <v/>
      </c>
      <c r="BA20" s="59" t="str">
        <f>IF(U20&lt;&gt;"SÍ","",INDEX(TABLAS!$D$6:$J$47,MATCH(AU20&amp;"|NDL",TABLAS!$B$6:$B$47,0),AV20)+AW20*(INDEX(TABLAS!$D$6:$J$47,MATCH(AU20&amp;"|NDL",TABLAS!$B$6:$B$47,0),MIN(AV20+1,7))-INDEX(TABLAS!$D$6:$J$47,MATCH(AU20&amp;"|NDL",TABLAS!$B$6:$B$47,0),AV20)))</f>
        <v/>
      </c>
      <c r="BB20" s="59" t="str">
        <f>IF(U20&lt;&gt;"SÍ","",INDEX(TABLAS!$D$6:$J$47,MATCH(AU20&amp;"|PC",TABLAS!$B$6:$B$47,0),AV20)+AW20*(INDEX(TABLAS!$D$6:$J$47,MATCH(AU20&amp;"|PC",TABLAS!$B$6:$B$47,0),MIN(AV20+1,7))-INDEX(TABLAS!$D$6:$J$47,MATCH(AU20&amp;"|PC",TABLAS!$B$6:$B$47,0),AV20)))</f>
        <v/>
      </c>
      <c r="BC20" s="59" t="str">
        <f>IF(U20&lt;&gt;"SÍ","",INDEX(TABLAS!$D$6:$J$47,MATCH(AU20&amp;"|PL",TABLAS!$B$6:$B$47,0),AV20)+AW20*(INDEX(TABLAS!$D$6:$J$47,MATCH(AU20&amp;"|PL",TABLAS!$B$6:$B$47,0),MIN(AV20+1,7))-INDEX(TABLAS!$D$6:$J$47,MATCH(AU20&amp;"|PL",TABLAS!$B$6:$B$47,0),AV20)))</f>
        <v/>
      </c>
      <c r="BD20" s="56" t="str">
        <f>IF(U20&lt;&gt;"SÍ","",IF(C20&lt;&gt;"VOLADO",0,DATOS!$C$26*DATOS!$C$16*DATOS!$C$83/100*(((AD20*DATOS!$C$78/DATOS!$C$83^2)*DATOS!$C$79/100)*(IF(W20="X",DI20,DJ20)+DATOS!$C$84/2)/100*(AA20-(IF(W20="X",DI20,DJ20)+DATOS!$C$84/2)/2)/100+((AD20*DATOS!$C$78/DATOS!$C$83^2)*DATOS!$C$79/100)*IF(W20="X",DI20,DJ20)/100*IF(W20="X",DI20,DJ20)/200)))</f>
        <v/>
      </c>
      <c r="BE20" s="56" t="str">
        <f>IF(U20&lt;&gt;"SÍ","",IF(C20&lt;&gt;"VOLADO",0,DATOS!$C$26*DATOS!$C$16*DATOS!$C$83/100*((AD20*DATOS!$C$78/DATOS!$C$83^2)*DATOS!$C$79/100)*(IF(W20="X",DI20,DJ20)+DATOS!$C$84/2)/100))</f>
        <v/>
      </c>
      <c r="BF20" s="56" t="str">
        <f>IF(U20&lt;&gt;"SÍ","",IF(C20="PERIMETRAL",BB20*AQ20*X20^2*1E-4*DATOS!$C$83/100/1000,0))</f>
        <v/>
      </c>
      <c r="BG20" s="62" t="str">
        <f>IF(U20&lt;&gt;"SÍ","",IF(C20="PERIMETRAL",MAX(MAX(AX20,AZ20)*AQ20*X20^2*1E-4*DATOS!$C$83/100/1000,N(S20)),(AQ20*(AA20/100)^2/2+DATOS!$C$26*N(O20)*AA20/100)*DATOS!$C$83/100/1000+BD20))</f>
        <v/>
      </c>
      <c r="BH20" s="56" t="str">
        <f>IF(U20&lt;&gt;"SÍ","",IF(C20="PERIMETRAL",BC20*AQ20*X20^2*1E-4*DATOS!$C$83/100/1000,0))</f>
        <v/>
      </c>
      <c r="BI20" s="56" t="str">
        <f>IF(U20&lt;&gt;"SÍ","",IF(C20="PERIMETRAL",MAX(MAX(AY20,BA20)*AQ20*X20^2*1E-4*DATOS!$C$83/100/1000,N(T20)),0))</f>
        <v/>
      </c>
      <c r="BJ20" s="63" t="str">
        <f>IF(U20&lt;&gt;"SÍ","",IF(C20&lt;&gt;"PERIMETRAL","—",IF(AND(N(S20)=0,N(T20)=0),"— (sin M⁻ del vecino)",IF(OR(AND(N(S20)&gt;0,ABS(MAX(AX20,AZ20)*AQ20*X20^2*1E-4*DATOS!$C$83/100/1000-N(S20))&gt;0.5*MIN(MAX(AX20,AZ20)*AQ20*X20^2*1E-4*DATOS!$C$83/100/1000,N(S20))),AND(N(T20)&gt;0,ABS(MAX(AY20,BA20)*AQ20*X20^2*1E-4*DATOS!$C$83/100/1000-N(T20))&gt;0.5*MIN(MAX(AY20,BA20)*AQ20*X20^2*1E-4*DATOS!$C$83/100/1000,N(T20)))),"FUERA: difieren &gt; 50 %"&amp;IF(AND(N(S20)&gt;0,ABS(MAX(AX20,AZ20)*AQ20*X20^2*1E-4*DATOS!$C$83/100/1000-N(S20))&gt;0.5*MIN(MAX(AX20,AZ20)*AQ20*X20^2*1E-4*DATOS!$C$83/100/1000,N(S20)))," ‖ corto","")&amp;IF(AND(N(T20)&gt;0,ABS(MAX(AY20,BA20)*AQ20*X20^2*1E-4*DATOS!$C$83/100/1000-N(T20))&gt;0.5*MIN(MAX(AY20,BA20)*AQ20*X20^2*1E-4*DATOS!$C$83/100/1000,N(T20)))," ‖ largo",""),"CUMPLE"))))</f>
        <v/>
      </c>
      <c r="BK20" s="58" t="str">
        <f>IF(U20&lt;&gt;"SÍ","",(DATOS!$C$82-AJ20-INDEX(TABLAS!$C$52:$C$58,MATCH(DATOS!$C$68,TABLAS!$B$52:$B$58,0))/2))</f>
        <v/>
      </c>
      <c r="BL20" s="58" t="str">
        <f>IF(U20&lt;&gt;"SÍ","",IF(IF(BF20&lt;=0,0,IF((1-2*BF20*1E5/(DATOS!$C$29*AG20*BK20^2*DATOS!$C$21))&lt;0,-1,IF((1-SQRT((1-2*BF20*1E5/(DATOS!$C$29*AG20*BK20^2*DATOS!$C$21))))*DATOS!$C$21*AG20*BK20/DATOS!$C$14&gt;DATOS!$C$99*AG20*BK20,-1,(1-SQRT((1-2*BF20*1E5/(DATOS!$C$29*AG20*BK20^2*DATOS!$C$21))))*DATOS!$C$21*AG20*BK20/DATOS!$C$14)))&lt;0,-1,MAX(IF(BF20&lt;=0,0,IF((1-2*BF20*1E5/(DATOS!$C$29*AG20*BK20^2*DATOS!$C$21))&lt;0,-1,IF((1-SQRT((1-2*BF20*1E5/(DATOS!$C$29*AG20*BK20^2*DATOS!$C$21))))*DATOS!$C$21*AG20*BK20/DATOS!$C$14&gt;DATOS!$C$99*AG20*BK20,-1,(1-SQRT((1-2*BF20*1E5/(DATOS!$C$29*AG20*BK20^2*DATOS!$C$21))))*DATOS!$C$21*AG20*BK20/DATOS!$C$14))),MIN(DATOS!$C$100*AC20*BK20,4/3*IF(BF20&lt;=0,0,IF((1-2*BF20*1E5/(DATOS!$C$29*AG20*BK20^2*DATOS!$C$21))&lt;0,-1,IF((1-SQRT((1-2*BF20*1E5/(DATOS!$C$29*AG20*BK20^2*DATOS!$C$21))))*DATOS!$C$21*AG20*BK20/DATOS!$C$14&gt;DATOS!$C$99*AG20*BK20,-1,(1-SQRT((1-2*BF20*1E5/(DATOS!$C$29*AG20*BK20^2*DATOS!$C$21))))*DATOS!$C$21*AG20*BK20/DATOS!$C$14)))))))</f>
        <v/>
      </c>
      <c r="BM20" s="64" t="str">
        <f>IF(U20&lt;&gt;"SÍ","",IF(AND(BL20&gt;=0,IF(MAX(DATOS!$C$71,CEILING(BL20/INDEX(TABLAS!$D$52:$D$58,MIN(MATCH(DATOS!$C$68,TABLAS!$B$52:$B$58,0)+0,7)),1))*INDEX(TABLAS!$D$52:$D$58,MIN(MATCH(DATOS!$C$68,TABLAS!$B$52:$B$58,0)+0,7))&gt;=4/3*IF(BF20&lt;=0,0,IF((1-2*BF20*1E5/(DATOS!$C$29*AG20*BK20^2*DATOS!$C$21))&lt;0,-1,IF((1-SQRT((1-2*BF20*1E5/(DATOS!$C$29*AG20*BK20^2*DATOS!$C$21))))*DATOS!$C$21*AG20*BK20/DATOS!$C$14&gt;DATOS!$C$99*AG20*BK20,-1,(1-SQRT((1-2*BF20*1E5/(DATOS!$C$29*AG20*BK20^2*DATOS!$C$21))))*DATOS!$C$21*AG20*BK20/DATOS!$C$14)))-0.0001,MAX(DATOS!$C$71,CEILING(BL20/INDEX(TABLAS!$D$52:$D$58,MIN(MATCH(DATOS!$C$68,TABLAS!$B$52:$B$58,0)+0,7)),1)),MAX(MAX(DATOS!$C$71,CEILING(BL20/INDEX(TABLAS!$D$52:$D$58,MIN(MATCH(DATOS!$C$68,TABLAS!$B$52:$B$58,0)+0,7)),1)),2))&lt;=MIN(DATOS!$C$70,INT(((AC20-2*AJ20)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20&gt;=0,IF(MAX(DATOS!$C$71,CEILING(BL20/INDEX(TABLAS!$D$52:$D$58,MIN(MATCH(DATOS!$C$68,TABLAS!$B$52:$B$58,0)+1,7)),1))*INDEX(TABLAS!$D$52:$D$58,MIN(MATCH(DATOS!$C$68,TABLAS!$B$52:$B$58,0)+1,7))&gt;=4/3*IF(BF20&lt;=0,0,IF((1-2*BF20*1E5/(DATOS!$C$29*AG20*BK20^2*DATOS!$C$21))&lt;0,-1,IF((1-SQRT((1-2*BF20*1E5/(DATOS!$C$29*AG20*BK20^2*DATOS!$C$21))))*DATOS!$C$21*AG20*BK20/DATOS!$C$14&gt;DATOS!$C$99*AG20*BK20,-1,(1-SQRT((1-2*BF20*1E5/(DATOS!$C$29*AG20*BK20^2*DATOS!$C$21))))*DATOS!$C$21*AG20*BK20/DATOS!$C$14)))-0.0001,MAX(DATOS!$C$71,CEILING(BL20/INDEX(TABLAS!$D$52:$D$58,MIN(MATCH(DATOS!$C$68,TABLAS!$B$52:$B$58,0)+1,7)),1)),MAX(MAX(DATOS!$C$71,CEILING(BL20/INDEX(TABLAS!$D$52:$D$58,MIN(MATCH(DATOS!$C$68,TABLAS!$B$52:$B$58,0)+1,7)),1)),2))&lt;=MIN(DATOS!$C$70,INT(((AC20-2*AJ20)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20&gt;=0,IF(MAX(DATOS!$C$71,CEILING(BL20/INDEX(TABLAS!$D$52:$D$58,MIN(MATCH(DATOS!$C$68,TABLAS!$B$52:$B$58,0)+2,7)),1))*INDEX(TABLAS!$D$52:$D$58,MIN(MATCH(DATOS!$C$68,TABLAS!$B$52:$B$58,0)+2,7))&gt;=4/3*IF(BF20&lt;=0,0,IF((1-2*BF20*1E5/(DATOS!$C$29*AG20*BK20^2*DATOS!$C$21))&lt;0,-1,IF((1-SQRT((1-2*BF20*1E5/(DATOS!$C$29*AG20*BK20^2*DATOS!$C$21))))*DATOS!$C$21*AG20*BK20/DATOS!$C$14&gt;DATOS!$C$99*AG20*BK20,-1,(1-SQRT((1-2*BF20*1E5/(DATOS!$C$29*AG20*BK20^2*DATOS!$C$21))))*DATOS!$C$21*AG20*BK20/DATOS!$C$14)))-0.0001,MAX(DATOS!$C$71,CEILING(BL20/INDEX(TABLAS!$D$52:$D$58,MIN(MATCH(DATOS!$C$68,TABLAS!$B$52:$B$58,0)+2,7)),1)),MAX(MAX(DATOS!$C$71,CEILING(BL20/INDEX(TABLAS!$D$52:$D$58,MIN(MATCH(DATOS!$C$68,TABLAS!$B$52:$B$58,0)+2,7)),1)),2))&lt;=MIN(DATOS!$C$70,INT(((AC20-2*AJ20)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20&gt;=0,IF(MAX(DATOS!$C$71,CEILING(BL20/INDEX(TABLAS!$D$52:$D$58,MIN(MATCH(DATOS!$C$68,TABLAS!$B$52:$B$58,0)+3,7)),1))*INDEX(TABLAS!$D$52:$D$58,MIN(MATCH(DATOS!$C$68,TABLAS!$B$52:$B$58,0)+3,7))&gt;=4/3*IF(BF20&lt;=0,0,IF((1-2*BF20*1E5/(DATOS!$C$29*AG20*BK20^2*DATOS!$C$21))&lt;0,-1,IF((1-SQRT((1-2*BF20*1E5/(DATOS!$C$29*AG20*BK20^2*DATOS!$C$21))))*DATOS!$C$21*AG20*BK20/DATOS!$C$14&gt;DATOS!$C$99*AG20*BK20,-1,(1-SQRT((1-2*BF20*1E5/(DATOS!$C$29*AG20*BK20^2*DATOS!$C$21))))*DATOS!$C$21*AG20*BK20/DATOS!$C$14)))-0.0001,MAX(DATOS!$C$71,CEILING(BL20/INDEX(TABLAS!$D$52:$D$58,MIN(MATCH(DATOS!$C$68,TABLAS!$B$52:$B$58,0)+3,7)),1)),MAX(MAX(DATOS!$C$71,CEILING(BL20/INDEX(TABLAS!$D$52:$D$58,MIN(MATCH(DATOS!$C$68,TABLAS!$B$52:$B$58,0)+3,7)),1)),2))&lt;=MIN(DATOS!$C$70,INT(((AC20-2*AJ20)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20&gt;=0,IF(MAX(DATOS!$C$71,CEILING(BL20/INDEX(TABLAS!$D$52:$D$58,MIN(MATCH(DATOS!$C$68,TABLAS!$B$52:$B$58,0)+4,7)),1))*INDEX(TABLAS!$D$52:$D$58,MIN(MATCH(DATOS!$C$68,TABLAS!$B$52:$B$58,0)+4,7))&gt;=4/3*IF(BF20&lt;=0,0,IF((1-2*BF20*1E5/(DATOS!$C$29*AG20*BK20^2*DATOS!$C$21))&lt;0,-1,IF((1-SQRT((1-2*BF20*1E5/(DATOS!$C$29*AG20*BK20^2*DATOS!$C$21))))*DATOS!$C$21*AG20*BK20/DATOS!$C$14&gt;DATOS!$C$99*AG20*BK20,-1,(1-SQRT((1-2*BF20*1E5/(DATOS!$C$29*AG20*BK20^2*DATOS!$C$21))))*DATOS!$C$21*AG20*BK20/DATOS!$C$14)))-0.0001,MAX(DATOS!$C$71,CEILING(BL20/INDEX(TABLAS!$D$52:$D$58,MIN(MATCH(DATOS!$C$68,TABLAS!$B$52:$B$58,0)+4,7)),1)),MAX(MAX(DATOS!$C$71,CEILING(BL20/INDEX(TABLAS!$D$52:$D$58,MIN(MATCH(DATOS!$C$68,TABLAS!$B$52:$B$58,0)+4,7)),1)),2))&lt;=MIN(DATOS!$C$70,INT(((AC20-2*AJ20)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20" s="59" t="str">
        <f>IF(U20&lt;&gt;"SÍ","",IF(BL20&lt;0,0,IF(MAX(DATOS!$C$71,CEILING(MAX(BL20,0)/INDEX(TABLAS!$D$52:$D$58,MATCH(BM20,TABLAS!$B$52:$B$58,0)),1))*INDEX(TABLAS!$D$52:$D$58,MATCH(BM20,TABLAS!$B$52:$B$58,0))&gt;=4/3*IF(BF20&lt;=0,0,IF((1-2*BF20*1E5/(DATOS!$C$29*AG20*BK20^2*DATOS!$C$21))&lt;0,-1,IF((1-SQRT((1-2*BF20*1E5/(DATOS!$C$29*AG20*BK20^2*DATOS!$C$21))))*DATOS!$C$21*AG20*BK20/DATOS!$C$14&gt;DATOS!$C$99*AG20*BK20,-1,(1-SQRT((1-2*BF20*1E5/(DATOS!$C$29*AG20*BK20^2*DATOS!$C$21))))*DATOS!$C$21*AG20*BK20/DATOS!$C$14)))-0.0001,MAX(DATOS!$C$71,CEILING(MAX(BL20,0)/INDEX(TABLAS!$D$52:$D$58,MATCH(BM20,TABLAS!$B$52:$B$58,0)),1)),MAX(MAX(DATOS!$C$71,CEILING(MAX(BL20,0)/INDEX(TABLAS!$D$52:$D$58,MATCH(BM20,TABLAS!$B$52:$B$58,0)),1)),2))))</f>
        <v/>
      </c>
      <c r="BO20" s="58" t="str">
        <f>IF(U20&lt;&gt;"SÍ","",DATOS!$C$82-AJ20-INDEX(TABLAS!$C$52:$C$58,MATCH(BM20,TABLAS!$B$52:$B$58,0))/2)</f>
        <v/>
      </c>
      <c r="BP20" s="56" t="str">
        <f>IF(U20&lt;&gt;"SÍ","",IF(BN20=0,0,DATOS!$C$29*BN20*INDEX(TABLAS!$D$52:$D$58,MATCH(BM20,TABLAS!$B$52:$B$58,0))*DATOS!$C$14*(BO20-BN20*INDEX(TABLAS!$D$52:$D$58,MATCH(BM20,TABLAS!$B$52:$B$58,0))*DATOS!$C$14/(DATOS!$C$21*AG20)/2)/1E5))</f>
        <v/>
      </c>
      <c r="BQ20" s="65" t="str">
        <f>IF(U20&lt;&gt;"SÍ","",IF(BL20&lt;0,9.99,IF(BP20&gt;0,BF20/BP20,0)))</f>
        <v/>
      </c>
      <c r="BR20" s="66" t="str">
        <f>IF(U20&lt;&gt;"SÍ","",IF(BN20=0,"—",0.003*(BO20-(BN20*INDEX(TABLAS!$D$52:$D$58,MATCH(BM20,TABLAS!$B$52:$B$58,0))*DATOS!$C$14/(DATOS!$C$21*AG20)/DATOS!$C$22))/(BN20*INDEX(TABLAS!$D$52:$D$58,MATCH(BM20,TABLAS!$B$52:$B$58,0))*DATOS!$C$14/(DATOS!$C$21*AG20)/DATOS!$C$22)))</f>
        <v/>
      </c>
      <c r="BS20" s="58" t="str">
        <f>IF(U20&lt;&gt;"SÍ","",((DATOS!$C$82-AL20-2*DATOS!$C$94-INDEX(TABLAS!$C$52:$C$58,MATCH(DATOS!$C$69,TABLAS!$B$52:$B$58,0))/2)-IF(AND((DATOS!$C$82-AL20-2*DATOS!$C$94-INDEX(TABLAS!$C$52:$C$58,MATCH(DATOS!$C$69,TABLAS!$B$52:$B$58,0))/2)&lt;=20,DATOS!$C$62&lt;&gt;"SÍ"),2,0)))</f>
        <v/>
      </c>
      <c r="BT20" s="58" t="str">
        <f>IF(U20&lt;&gt;"SÍ","",IF(IF(BG20&lt;=0,0,IF((1-2*BG20*1E5/(DATOS!$C$29*AE20*BS20^2*DATOS!$C$21))&lt;0,-1,IF((1-SQRT((1-2*BG20*1E5/(DATOS!$C$29*AE20*BS20^2*DATOS!$C$21))))*DATOS!$C$21*AE20*BS20/DATOS!$C$14&gt;DATOS!$C$99*AE20*BS20,-1,(1-SQRT((1-2*BG20*1E5/(DATOS!$C$29*AE20*BS20^2*DATOS!$C$21))))*DATOS!$C$21*AE20*BS20/DATOS!$C$14)))&lt;0,-1,MAX(IF(BG20&lt;=0,0,IF((1-2*BG20*1E5/(DATOS!$C$29*AE20*BS20^2*DATOS!$C$21))&lt;0,-1,IF((1-SQRT((1-2*BG20*1E5/(DATOS!$C$29*AE20*BS20^2*DATOS!$C$21))))*DATOS!$C$21*AE20*BS20/DATOS!$C$14&gt;DATOS!$C$99*AE20*BS20,-1,(1-SQRT((1-2*BG20*1E5/(DATOS!$C$29*AE20*BS20^2*DATOS!$C$21))))*DATOS!$C$21*AE20*BS20/DATOS!$C$14))),MIN(DATOS!$C$100*IF(C20="VOLADO",MIN(AG20,2*AC20),AC20)*BS20,4/3*IF(BG20&lt;=0,0,IF((1-2*BG20*1E5/(DATOS!$C$29*AE20*BS20^2*DATOS!$C$21))&lt;0,-1,IF((1-SQRT((1-2*BG20*1E5/(DATOS!$C$29*AE20*BS20^2*DATOS!$C$21))))*DATOS!$C$21*AE20*BS20/DATOS!$C$14&gt;DATOS!$C$99*AE20*BS20,-1,(1-SQRT((1-2*BG20*1E5/(DATOS!$C$29*AE20*BS20^2*DATOS!$C$21))))*DATOS!$C$21*AE20*BS20/DATOS!$C$14)))))))</f>
        <v/>
      </c>
      <c r="BU20" s="64" t="str">
        <f>IF(U20&lt;&gt;"SÍ","",IF(AND(BT20&gt;=0,IF(MAX(DATOS!$C$71,CEILING(BT20/INDEX(TABLAS!$D$52:$D$58,MIN(MATCH(DATOS!$C$69,TABLAS!$B$52:$B$58,0)+0,7)),1))*INDEX(TABLAS!$D$52:$D$58,MIN(MATCH(DATOS!$C$69,TABLAS!$B$52:$B$58,0)+0,7))&gt;=4/3*IF(BG20&lt;=0,0,IF((1-2*BG20*1E5/(DATOS!$C$29*AE20*BS20^2*DATOS!$C$21))&lt;0,-1,IF((1-SQRT((1-2*BG20*1E5/(DATOS!$C$29*AE20*BS20^2*DATOS!$C$21))))*DATOS!$C$21*AE20*BS20/DATOS!$C$14&gt;DATOS!$C$99*AE20*BS20,-1,(1-SQRT((1-2*BG20*1E5/(DATOS!$C$29*AE20*BS20^2*DATOS!$C$21))))*DATOS!$C$21*AE20*BS20/DATOS!$C$14)))-0.0001,MAX(DATOS!$C$71,CEILING(BT20/INDEX(TABLAS!$D$52:$D$58,MIN(MATCH(DATOS!$C$69,TABLAS!$B$52:$B$58,0)+0,7)),1)),MAX(MAX(DATOS!$C$71,CEILING(BT20/INDEX(TABLAS!$D$52:$D$58,MIN(MATCH(DATOS!$C$69,TABLAS!$B$52:$B$58,0)+0,7)),1)),2))&lt;=MIN(DATOS!$C$70,INT(((AC20-2*AK20)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20&gt;=0,IF(MAX(DATOS!$C$71,CEILING(BT20/INDEX(TABLAS!$D$52:$D$58,MIN(MATCH(DATOS!$C$69,TABLAS!$B$52:$B$58,0)+1,7)),1))*INDEX(TABLAS!$D$52:$D$58,MIN(MATCH(DATOS!$C$69,TABLAS!$B$52:$B$58,0)+1,7))&gt;=4/3*IF(BG20&lt;=0,0,IF((1-2*BG20*1E5/(DATOS!$C$29*AE20*BS20^2*DATOS!$C$21))&lt;0,-1,IF((1-SQRT((1-2*BG20*1E5/(DATOS!$C$29*AE20*BS20^2*DATOS!$C$21))))*DATOS!$C$21*AE20*BS20/DATOS!$C$14&gt;DATOS!$C$99*AE20*BS20,-1,(1-SQRT((1-2*BG20*1E5/(DATOS!$C$29*AE20*BS20^2*DATOS!$C$21))))*DATOS!$C$21*AE20*BS20/DATOS!$C$14)))-0.0001,MAX(DATOS!$C$71,CEILING(BT20/INDEX(TABLAS!$D$52:$D$58,MIN(MATCH(DATOS!$C$69,TABLAS!$B$52:$B$58,0)+1,7)),1)),MAX(MAX(DATOS!$C$71,CEILING(BT20/INDEX(TABLAS!$D$52:$D$58,MIN(MATCH(DATOS!$C$69,TABLAS!$B$52:$B$58,0)+1,7)),1)),2))&lt;=MIN(DATOS!$C$70,INT(((AC20-2*AK20)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20&gt;=0,IF(MAX(DATOS!$C$71,CEILING(BT20/INDEX(TABLAS!$D$52:$D$58,MIN(MATCH(DATOS!$C$69,TABLAS!$B$52:$B$58,0)+2,7)),1))*INDEX(TABLAS!$D$52:$D$58,MIN(MATCH(DATOS!$C$69,TABLAS!$B$52:$B$58,0)+2,7))&gt;=4/3*IF(BG20&lt;=0,0,IF((1-2*BG20*1E5/(DATOS!$C$29*AE20*BS20^2*DATOS!$C$21))&lt;0,-1,IF((1-SQRT((1-2*BG20*1E5/(DATOS!$C$29*AE20*BS20^2*DATOS!$C$21))))*DATOS!$C$21*AE20*BS20/DATOS!$C$14&gt;DATOS!$C$99*AE20*BS20,-1,(1-SQRT((1-2*BG20*1E5/(DATOS!$C$29*AE20*BS20^2*DATOS!$C$21))))*DATOS!$C$21*AE20*BS20/DATOS!$C$14)))-0.0001,MAX(DATOS!$C$71,CEILING(BT20/INDEX(TABLAS!$D$52:$D$58,MIN(MATCH(DATOS!$C$69,TABLAS!$B$52:$B$58,0)+2,7)),1)),MAX(MAX(DATOS!$C$71,CEILING(BT20/INDEX(TABLAS!$D$52:$D$58,MIN(MATCH(DATOS!$C$69,TABLAS!$B$52:$B$58,0)+2,7)),1)),2))&lt;=MIN(DATOS!$C$70,INT(((AC20-2*AK20)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20&gt;=0,IF(MAX(DATOS!$C$71,CEILING(BT20/INDEX(TABLAS!$D$52:$D$58,MIN(MATCH(DATOS!$C$69,TABLAS!$B$52:$B$58,0)+3,7)),1))*INDEX(TABLAS!$D$52:$D$58,MIN(MATCH(DATOS!$C$69,TABLAS!$B$52:$B$58,0)+3,7))&gt;=4/3*IF(BG20&lt;=0,0,IF((1-2*BG20*1E5/(DATOS!$C$29*AE20*BS20^2*DATOS!$C$21))&lt;0,-1,IF((1-SQRT((1-2*BG20*1E5/(DATOS!$C$29*AE20*BS20^2*DATOS!$C$21))))*DATOS!$C$21*AE20*BS20/DATOS!$C$14&gt;DATOS!$C$99*AE20*BS20,-1,(1-SQRT((1-2*BG20*1E5/(DATOS!$C$29*AE20*BS20^2*DATOS!$C$21))))*DATOS!$C$21*AE20*BS20/DATOS!$C$14)))-0.0001,MAX(DATOS!$C$71,CEILING(BT20/INDEX(TABLAS!$D$52:$D$58,MIN(MATCH(DATOS!$C$69,TABLAS!$B$52:$B$58,0)+3,7)),1)),MAX(MAX(DATOS!$C$71,CEILING(BT20/INDEX(TABLAS!$D$52:$D$58,MIN(MATCH(DATOS!$C$69,TABLAS!$B$52:$B$58,0)+3,7)),1)),2))&lt;=MIN(DATOS!$C$70,INT(((AC20-2*AK20)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20&gt;=0,IF(MAX(DATOS!$C$71,CEILING(BT20/INDEX(TABLAS!$D$52:$D$58,MIN(MATCH(DATOS!$C$69,TABLAS!$B$52:$B$58,0)+4,7)),1))*INDEX(TABLAS!$D$52:$D$58,MIN(MATCH(DATOS!$C$69,TABLAS!$B$52:$B$58,0)+4,7))&gt;=4/3*IF(BG20&lt;=0,0,IF((1-2*BG20*1E5/(DATOS!$C$29*AE20*BS20^2*DATOS!$C$21))&lt;0,-1,IF((1-SQRT((1-2*BG20*1E5/(DATOS!$C$29*AE20*BS20^2*DATOS!$C$21))))*DATOS!$C$21*AE20*BS20/DATOS!$C$14&gt;DATOS!$C$99*AE20*BS20,-1,(1-SQRT((1-2*BG20*1E5/(DATOS!$C$29*AE20*BS20^2*DATOS!$C$21))))*DATOS!$C$21*AE20*BS20/DATOS!$C$14)))-0.0001,MAX(DATOS!$C$71,CEILING(BT20/INDEX(TABLAS!$D$52:$D$58,MIN(MATCH(DATOS!$C$69,TABLAS!$B$52:$B$58,0)+4,7)),1)),MAX(MAX(DATOS!$C$71,CEILING(BT20/INDEX(TABLAS!$D$52:$D$58,MIN(MATCH(DATOS!$C$69,TABLAS!$B$52:$B$58,0)+4,7)),1)),2))&lt;=MIN(DATOS!$C$70,INT(((AC20-2*AK20)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20" s="59" t="str">
        <f>IF(U20&lt;&gt;"SÍ","",IF(BT20&lt;0,0,IF(MAX(DATOS!$C$71,CEILING(MAX(BT20,0)/INDEX(TABLAS!$D$52:$D$58,MATCH(BU20,TABLAS!$B$52:$B$58,0)),1))*INDEX(TABLAS!$D$52:$D$58,MATCH(BU20,TABLAS!$B$52:$B$58,0))&gt;=4/3*IF(BG20&lt;=0,0,IF((1-2*BG20*1E5/(DATOS!$C$29*AE20*BS20^2*DATOS!$C$21))&lt;0,-1,IF((1-SQRT((1-2*BG20*1E5/(DATOS!$C$29*AE20*BS20^2*DATOS!$C$21))))*DATOS!$C$21*AE20*BS20/DATOS!$C$14&gt;DATOS!$C$99*AE20*BS20,-1,(1-SQRT((1-2*BG20*1E5/(DATOS!$C$29*AE20*BS20^2*DATOS!$C$21))))*DATOS!$C$21*AE20*BS20/DATOS!$C$14)))-0.0001,MAX(DATOS!$C$71,CEILING(MAX(BT20,0)/INDEX(TABLAS!$D$52:$D$58,MATCH(BU20,TABLAS!$B$52:$B$58,0)),1)),MAX(MAX(DATOS!$C$71,CEILING(MAX(BT20,0)/INDEX(TABLAS!$D$52:$D$58,MATCH(BU20,TABLAS!$B$52:$B$58,0)),1)),2))))</f>
        <v/>
      </c>
      <c r="BW20" s="58" t="str">
        <f>IF(U20&lt;&gt;"SÍ","",((DATOS!$C$82-AL20-2*DATOS!$C$94-INDEX(TABLAS!$C$52:$C$58,MATCH(BU20,TABLAS!$B$52:$B$58,0))/2)-IF(AND((DATOS!$C$82-AL20-2*DATOS!$C$94-INDEX(TABLAS!$C$52:$C$58,MATCH(BU20,TABLAS!$B$52:$B$58,0))/2)&lt;=20,DATOS!$C$62&lt;&gt;"SÍ"),2,0)))</f>
        <v/>
      </c>
      <c r="BX20" s="56" t="str">
        <f>IF(U20&lt;&gt;"SÍ","",IF(BV20=0,0,DATOS!$C$29*BV20*INDEX(TABLAS!$D$52:$D$58,MATCH(BU20,TABLAS!$B$52:$B$58,0))*DATOS!$C$14*(BW20-BV20*INDEX(TABLAS!$D$52:$D$58,MATCH(BU20,TABLAS!$B$52:$B$58,0))*DATOS!$C$14/(DATOS!$C$21*AE20)/2)/1E5))</f>
        <v/>
      </c>
      <c r="BY20" s="65" t="str">
        <f>IF(U20&lt;&gt;"SÍ","",IF(BT20&lt;0,9.99,IF(BX20&gt;0,BG20/BX20,0)))</f>
        <v/>
      </c>
      <c r="BZ20" s="66" t="str">
        <f>IF(U20&lt;&gt;"SÍ","",IF(BV20=0,"—",0.003*(BW20-(BV20*INDEX(TABLAS!$D$52:$D$58,MATCH(BU20,TABLAS!$B$52:$B$58,0))*DATOS!$C$14/(DATOS!$C$21*AE20)/DATOS!$C$22))/(BV20*INDEX(TABLAS!$D$52:$D$58,MATCH(BU20,TABLAS!$B$52:$B$58,0))*DATOS!$C$14/(DATOS!$C$21*AE20)/DATOS!$C$22)))</f>
        <v/>
      </c>
      <c r="CA20" s="58" t="str">
        <f>IF(U20&lt;&gt;"SÍ","",(DATOS!$C$82-AJ20-INDEX(TABLAS!$C$52:$C$58,MATCH(DATOS!$C$68,TABLAS!$B$52:$B$58,0))-INDEX(TABLAS!$C$52:$C$58,MATCH(DATOS!$C$68,TABLAS!$B$52:$B$58,0))/2))</f>
        <v/>
      </c>
      <c r="CB20" s="58" t="str">
        <f>IF(U20&lt;&gt;"SÍ","",IF(IF(BH20&lt;=0,0,IF((1-2*BH20*1E5/(DATOS!$C$29*AH20*CA20^2*DATOS!$C$21))&lt;0,-1,IF((1-SQRT((1-2*BH20*1E5/(DATOS!$C$29*AH20*CA20^2*DATOS!$C$21))))*DATOS!$C$21*AH20*CA20/DATOS!$C$14&gt;DATOS!$C$99*AH20*CA20,-1,(1-SQRT((1-2*BH20*1E5/(DATOS!$C$29*AH20*CA20^2*DATOS!$C$21))))*DATOS!$C$21*AH20*CA20/DATOS!$C$14)))&lt;0,-1,MAX(IF(BH20&lt;=0,0,IF((1-2*BH20*1E5/(DATOS!$C$29*AH20*CA20^2*DATOS!$C$21))&lt;0,-1,IF((1-SQRT((1-2*BH20*1E5/(DATOS!$C$29*AH20*CA20^2*DATOS!$C$21))))*DATOS!$C$21*AH20*CA20/DATOS!$C$14&gt;DATOS!$C$99*AH20*CA20,-1,(1-SQRT((1-2*BH20*1E5/(DATOS!$C$29*AH20*CA20^2*DATOS!$C$21))))*DATOS!$C$21*AH20*CA20/DATOS!$C$14))),MIN(DATOS!$C$100*DATOS!$C$80*CA20,4/3*IF(BH20&lt;=0,0,IF((1-2*BH20*1E5/(DATOS!$C$29*AH20*CA20^2*DATOS!$C$21))&lt;0,-1,IF((1-SQRT((1-2*BH20*1E5/(DATOS!$C$29*AH20*CA20^2*DATOS!$C$21))))*DATOS!$C$21*AH20*CA20/DATOS!$C$14&gt;DATOS!$C$99*AH20*CA20,-1,(1-SQRT((1-2*BH20*1E5/(DATOS!$C$29*AH20*CA20^2*DATOS!$C$21))))*DATOS!$C$21*AH20*CA20/DATOS!$C$14)))))))</f>
        <v/>
      </c>
      <c r="CC20" s="64" t="str">
        <f>IF(U20&lt;&gt;"SÍ","",IF(AND(CB20&gt;=0,IF(MAX(DATOS!$C$71,CEILING(CB20/INDEX(TABLAS!$D$52:$D$58,MIN(MATCH(DATOS!$C$68,TABLAS!$B$52:$B$58,0)+0,7)),1))*INDEX(TABLAS!$D$52:$D$58,MIN(MATCH(DATOS!$C$68,TABLAS!$B$52:$B$58,0)+0,7))&gt;=4/3*IF(BH20&lt;=0,0,IF((1-2*BH20*1E5/(DATOS!$C$29*AH20*CA20^2*DATOS!$C$21))&lt;0,-1,IF((1-SQRT((1-2*BH20*1E5/(DATOS!$C$29*AH20*CA20^2*DATOS!$C$21))))*DATOS!$C$21*AH20*CA20/DATOS!$C$14&gt;DATOS!$C$99*AH20*CA20,-1,(1-SQRT((1-2*BH20*1E5/(DATOS!$C$29*AH20*CA20^2*DATOS!$C$21))))*DATOS!$C$21*AH20*CA20/DATOS!$C$14)))-0.0001,MAX(DATOS!$C$71,CEILING(CB20/INDEX(TABLAS!$D$52:$D$58,MIN(MATCH(DATOS!$C$68,TABLAS!$B$52:$B$58,0)+0,7)),1)),MAX(MAX(DATOS!$C$71,CEILING(CB20/INDEX(TABLAS!$D$52:$D$58,MIN(MATCH(DATOS!$C$68,TABLAS!$B$52:$B$58,0)+0,7)),1)),2))&lt;=MIN(DATOS!$C$70,INT(((DATOS!$C$80-2*AJ20)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20&gt;=0,IF(MAX(DATOS!$C$71,CEILING(CB20/INDEX(TABLAS!$D$52:$D$58,MIN(MATCH(DATOS!$C$68,TABLAS!$B$52:$B$58,0)+1,7)),1))*INDEX(TABLAS!$D$52:$D$58,MIN(MATCH(DATOS!$C$68,TABLAS!$B$52:$B$58,0)+1,7))&gt;=4/3*IF(BH20&lt;=0,0,IF((1-2*BH20*1E5/(DATOS!$C$29*AH20*CA20^2*DATOS!$C$21))&lt;0,-1,IF((1-SQRT((1-2*BH20*1E5/(DATOS!$C$29*AH20*CA20^2*DATOS!$C$21))))*DATOS!$C$21*AH20*CA20/DATOS!$C$14&gt;DATOS!$C$99*AH20*CA20,-1,(1-SQRT((1-2*BH20*1E5/(DATOS!$C$29*AH20*CA20^2*DATOS!$C$21))))*DATOS!$C$21*AH20*CA20/DATOS!$C$14)))-0.0001,MAX(DATOS!$C$71,CEILING(CB20/INDEX(TABLAS!$D$52:$D$58,MIN(MATCH(DATOS!$C$68,TABLAS!$B$52:$B$58,0)+1,7)),1)),MAX(MAX(DATOS!$C$71,CEILING(CB20/INDEX(TABLAS!$D$52:$D$58,MIN(MATCH(DATOS!$C$68,TABLAS!$B$52:$B$58,0)+1,7)),1)),2))&lt;=MIN(DATOS!$C$70,INT(((DATOS!$C$80-2*AJ20)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20&gt;=0,IF(MAX(DATOS!$C$71,CEILING(CB20/INDEX(TABLAS!$D$52:$D$58,MIN(MATCH(DATOS!$C$68,TABLAS!$B$52:$B$58,0)+2,7)),1))*INDEX(TABLAS!$D$52:$D$58,MIN(MATCH(DATOS!$C$68,TABLAS!$B$52:$B$58,0)+2,7))&gt;=4/3*IF(BH20&lt;=0,0,IF((1-2*BH20*1E5/(DATOS!$C$29*AH20*CA20^2*DATOS!$C$21))&lt;0,-1,IF((1-SQRT((1-2*BH20*1E5/(DATOS!$C$29*AH20*CA20^2*DATOS!$C$21))))*DATOS!$C$21*AH20*CA20/DATOS!$C$14&gt;DATOS!$C$99*AH20*CA20,-1,(1-SQRT((1-2*BH20*1E5/(DATOS!$C$29*AH20*CA20^2*DATOS!$C$21))))*DATOS!$C$21*AH20*CA20/DATOS!$C$14)))-0.0001,MAX(DATOS!$C$71,CEILING(CB20/INDEX(TABLAS!$D$52:$D$58,MIN(MATCH(DATOS!$C$68,TABLAS!$B$52:$B$58,0)+2,7)),1)),MAX(MAX(DATOS!$C$71,CEILING(CB20/INDEX(TABLAS!$D$52:$D$58,MIN(MATCH(DATOS!$C$68,TABLAS!$B$52:$B$58,0)+2,7)),1)),2))&lt;=MIN(DATOS!$C$70,INT(((DATOS!$C$80-2*AJ20)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20&gt;=0,IF(MAX(DATOS!$C$71,CEILING(CB20/INDEX(TABLAS!$D$52:$D$58,MIN(MATCH(DATOS!$C$68,TABLAS!$B$52:$B$58,0)+3,7)),1))*INDEX(TABLAS!$D$52:$D$58,MIN(MATCH(DATOS!$C$68,TABLAS!$B$52:$B$58,0)+3,7))&gt;=4/3*IF(BH20&lt;=0,0,IF((1-2*BH20*1E5/(DATOS!$C$29*AH20*CA20^2*DATOS!$C$21))&lt;0,-1,IF((1-SQRT((1-2*BH20*1E5/(DATOS!$C$29*AH20*CA20^2*DATOS!$C$21))))*DATOS!$C$21*AH20*CA20/DATOS!$C$14&gt;DATOS!$C$99*AH20*CA20,-1,(1-SQRT((1-2*BH20*1E5/(DATOS!$C$29*AH20*CA20^2*DATOS!$C$21))))*DATOS!$C$21*AH20*CA20/DATOS!$C$14)))-0.0001,MAX(DATOS!$C$71,CEILING(CB20/INDEX(TABLAS!$D$52:$D$58,MIN(MATCH(DATOS!$C$68,TABLAS!$B$52:$B$58,0)+3,7)),1)),MAX(MAX(DATOS!$C$71,CEILING(CB20/INDEX(TABLAS!$D$52:$D$58,MIN(MATCH(DATOS!$C$68,TABLAS!$B$52:$B$58,0)+3,7)),1)),2))&lt;=MIN(DATOS!$C$70,INT(((DATOS!$C$80-2*AJ20)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20&gt;=0,IF(MAX(DATOS!$C$71,CEILING(CB20/INDEX(TABLAS!$D$52:$D$58,MIN(MATCH(DATOS!$C$68,TABLAS!$B$52:$B$58,0)+4,7)),1))*INDEX(TABLAS!$D$52:$D$58,MIN(MATCH(DATOS!$C$68,TABLAS!$B$52:$B$58,0)+4,7))&gt;=4/3*IF(BH20&lt;=0,0,IF((1-2*BH20*1E5/(DATOS!$C$29*AH20*CA20^2*DATOS!$C$21))&lt;0,-1,IF((1-SQRT((1-2*BH20*1E5/(DATOS!$C$29*AH20*CA20^2*DATOS!$C$21))))*DATOS!$C$21*AH20*CA20/DATOS!$C$14&gt;DATOS!$C$99*AH20*CA20,-1,(1-SQRT((1-2*BH20*1E5/(DATOS!$C$29*AH20*CA20^2*DATOS!$C$21))))*DATOS!$C$21*AH20*CA20/DATOS!$C$14)))-0.0001,MAX(DATOS!$C$71,CEILING(CB20/INDEX(TABLAS!$D$52:$D$58,MIN(MATCH(DATOS!$C$68,TABLAS!$B$52:$B$58,0)+4,7)),1)),MAX(MAX(DATOS!$C$71,CEILING(CB20/INDEX(TABLAS!$D$52:$D$58,MIN(MATCH(DATOS!$C$68,TABLAS!$B$52:$B$58,0)+4,7)),1)),2))&lt;=MIN(DATOS!$C$70,INT(((DATOS!$C$80-2*AJ20)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20" s="59" t="str">
        <f>IF(U20&lt;&gt;"SÍ","",IF(CB20&lt;0,0,IF(MAX(DATOS!$C$71,CEILING(MAX(CB20,0)/INDEX(TABLAS!$D$52:$D$58,MATCH(CC20,TABLAS!$B$52:$B$58,0)),1))*INDEX(TABLAS!$D$52:$D$58,MATCH(CC20,TABLAS!$B$52:$B$58,0))&gt;=4/3*IF(BH20&lt;=0,0,IF((1-2*BH20*1E5/(DATOS!$C$29*AH20*CA20^2*DATOS!$C$21))&lt;0,-1,IF((1-SQRT((1-2*BH20*1E5/(DATOS!$C$29*AH20*CA20^2*DATOS!$C$21))))*DATOS!$C$21*AH20*CA20/DATOS!$C$14&gt;DATOS!$C$99*AH20*CA20,-1,(1-SQRT((1-2*BH20*1E5/(DATOS!$C$29*AH20*CA20^2*DATOS!$C$21))))*DATOS!$C$21*AH20*CA20/DATOS!$C$14)))-0.0001,MAX(DATOS!$C$71,CEILING(MAX(CB20,0)/INDEX(TABLAS!$D$52:$D$58,MATCH(CC20,TABLAS!$B$52:$B$58,0)),1)),MAX(MAX(DATOS!$C$71,CEILING(MAX(CB20,0)/INDEX(TABLAS!$D$52:$D$58,MATCH(CC20,TABLAS!$B$52:$B$58,0)),1)),2))))</f>
        <v/>
      </c>
      <c r="CE20" s="58" t="str">
        <f>IF(U20&lt;&gt;"SÍ","",DATOS!$C$82-AJ20-INDEX(TABLAS!$C$52:$C$58,MATCH(BM20,TABLAS!$B$52:$B$58,0))-INDEX(TABLAS!$C$52:$C$58,MATCH(CC20,TABLAS!$B$52:$B$58,0))/2)</f>
        <v/>
      </c>
      <c r="CF20" s="56" t="str">
        <f>IF(U20&lt;&gt;"SÍ","",IF(CD20=0,0,DATOS!$C$29*CD20*INDEX(TABLAS!$D$52:$D$58,MATCH(CC20,TABLAS!$B$52:$B$58,0))*DATOS!$C$14*(CE20-CD20*INDEX(TABLAS!$D$52:$D$58,MATCH(CC20,TABLAS!$B$52:$B$58,0))*DATOS!$C$14/(DATOS!$C$21*AH20)/2)/1E5))</f>
        <v/>
      </c>
      <c r="CG20" s="65" t="str">
        <f>IF(U20&lt;&gt;"SÍ","",IF(CB20&lt;0,9.99,IF(CF20&gt;0,BH20/CF20,0)))</f>
        <v/>
      </c>
      <c r="CH20" s="66" t="str">
        <f>IF(U20&lt;&gt;"SÍ","",IF(CD20=0,"—",0.003*(CE20-(CD20*INDEX(TABLAS!$D$52:$D$58,MATCH(CC20,TABLAS!$B$52:$B$58,0))*DATOS!$C$14/(DATOS!$C$21*AH20)/DATOS!$C$22))/(CD20*INDEX(TABLAS!$D$52:$D$58,MATCH(CC20,TABLAS!$B$52:$B$58,0))*DATOS!$C$14/(DATOS!$C$21*AH20)/DATOS!$C$22)))</f>
        <v/>
      </c>
      <c r="CI20" s="58" t="str">
        <f>IF(U20&lt;&gt;"SÍ","",((DATOS!$C$82-AL20-2*DATOS!$C$94-INDEX(TABLAS!$C$52:$C$58,MATCH(DATOS!$C$69,TABLAS!$B$52:$B$58,0))-INDEX(TABLAS!$C$52:$C$58,MATCH(DATOS!$C$69,TABLAS!$B$52:$B$58,0))/2)-IF(AND((DATOS!$C$82-AL20-2*DATOS!$C$94-INDEX(TABLAS!$C$52:$C$58,MATCH(DATOS!$C$69,TABLAS!$B$52:$B$58,0))-INDEX(TABLAS!$C$52:$C$58,MATCH(DATOS!$C$69,TABLAS!$B$52:$B$58,0))/2)&lt;=20,DATOS!$C$62&lt;&gt;"SÍ"),2,0)))</f>
        <v/>
      </c>
      <c r="CJ20" s="58" t="str">
        <f>IF(U20&lt;&gt;"SÍ","",IF(IF(BI20&lt;=0,0,IF((1-2*BI20*1E5/(DATOS!$C$29*AF20*CI20^2*DATOS!$C$21))&lt;0,-1,IF((1-SQRT((1-2*BI20*1E5/(DATOS!$C$29*AF20*CI20^2*DATOS!$C$21))))*DATOS!$C$21*AF20*CI20/DATOS!$C$14&gt;DATOS!$C$99*AF20*CI20,-1,(1-SQRT((1-2*BI20*1E5/(DATOS!$C$29*AF20*CI20^2*DATOS!$C$21))))*DATOS!$C$21*AF20*CI20/DATOS!$C$14)))&lt;0,-1,MAX(IF(BI20&lt;=0,0,IF((1-2*BI20*1E5/(DATOS!$C$29*AF20*CI20^2*DATOS!$C$21))&lt;0,-1,IF((1-SQRT((1-2*BI20*1E5/(DATOS!$C$29*AF20*CI20^2*DATOS!$C$21))))*DATOS!$C$21*AF20*CI20/DATOS!$C$14&gt;DATOS!$C$99*AF20*CI20,-1,(1-SQRT((1-2*BI20*1E5/(DATOS!$C$29*AF20*CI20^2*DATOS!$C$21))))*DATOS!$C$21*AF20*CI20/DATOS!$C$14))),MIN(DATOS!$C$100*DATOS!$C$80*CI20,4/3*IF(BI20&lt;=0,0,IF((1-2*BI20*1E5/(DATOS!$C$29*AF20*CI20^2*DATOS!$C$21))&lt;0,-1,IF((1-SQRT((1-2*BI20*1E5/(DATOS!$C$29*AF20*CI20^2*DATOS!$C$21))))*DATOS!$C$21*AF20*CI20/DATOS!$C$14&gt;DATOS!$C$99*AF20*CI20,-1,(1-SQRT((1-2*BI20*1E5/(DATOS!$C$29*AF20*CI20^2*DATOS!$C$21))))*DATOS!$C$21*AF20*CI20/DATOS!$C$14)))))))</f>
        <v/>
      </c>
      <c r="CK20" s="64" t="str">
        <f>IF(U20&lt;&gt;"SÍ","",IF(AND(CJ20&gt;=0,IF(MAX(DATOS!$C$71,CEILING(CJ20/INDEX(TABLAS!$D$52:$D$58,MIN(MATCH(DATOS!$C$69,TABLAS!$B$52:$B$58,0)+0,7)),1))*INDEX(TABLAS!$D$52:$D$58,MIN(MATCH(DATOS!$C$69,TABLAS!$B$52:$B$58,0)+0,7))&gt;=4/3*IF(BI20&lt;=0,0,IF((1-2*BI20*1E5/(DATOS!$C$29*AF20*CI20^2*DATOS!$C$21))&lt;0,-1,IF((1-SQRT((1-2*BI20*1E5/(DATOS!$C$29*AF20*CI20^2*DATOS!$C$21))))*DATOS!$C$21*AF20*CI20/DATOS!$C$14&gt;DATOS!$C$99*AF20*CI20,-1,(1-SQRT((1-2*BI20*1E5/(DATOS!$C$29*AF20*CI20^2*DATOS!$C$21))))*DATOS!$C$21*AF20*CI20/DATOS!$C$14)))-0.0001,MAX(DATOS!$C$71,CEILING(CJ20/INDEX(TABLAS!$D$52:$D$58,MIN(MATCH(DATOS!$C$69,TABLAS!$B$52:$B$58,0)+0,7)),1)),MAX(MAX(DATOS!$C$71,CEILING(CJ20/INDEX(TABLAS!$D$52:$D$58,MIN(MATCH(DATOS!$C$69,TABLAS!$B$52:$B$58,0)+0,7)),1)),2))&lt;=MIN(DATOS!$C$70,INT(((DATOS!$C$80-2*AK20)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20&gt;=0,IF(MAX(DATOS!$C$71,CEILING(CJ20/INDEX(TABLAS!$D$52:$D$58,MIN(MATCH(DATOS!$C$69,TABLAS!$B$52:$B$58,0)+1,7)),1))*INDEX(TABLAS!$D$52:$D$58,MIN(MATCH(DATOS!$C$69,TABLAS!$B$52:$B$58,0)+1,7))&gt;=4/3*IF(BI20&lt;=0,0,IF((1-2*BI20*1E5/(DATOS!$C$29*AF20*CI20^2*DATOS!$C$21))&lt;0,-1,IF((1-SQRT((1-2*BI20*1E5/(DATOS!$C$29*AF20*CI20^2*DATOS!$C$21))))*DATOS!$C$21*AF20*CI20/DATOS!$C$14&gt;DATOS!$C$99*AF20*CI20,-1,(1-SQRT((1-2*BI20*1E5/(DATOS!$C$29*AF20*CI20^2*DATOS!$C$21))))*DATOS!$C$21*AF20*CI20/DATOS!$C$14)))-0.0001,MAX(DATOS!$C$71,CEILING(CJ20/INDEX(TABLAS!$D$52:$D$58,MIN(MATCH(DATOS!$C$69,TABLAS!$B$52:$B$58,0)+1,7)),1)),MAX(MAX(DATOS!$C$71,CEILING(CJ20/INDEX(TABLAS!$D$52:$D$58,MIN(MATCH(DATOS!$C$69,TABLAS!$B$52:$B$58,0)+1,7)),1)),2))&lt;=MIN(DATOS!$C$70,INT(((DATOS!$C$80-2*AK20)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20&gt;=0,IF(MAX(DATOS!$C$71,CEILING(CJ20/INDEX(TABLAS!$D$52:$D$58,MIN(MATCH(DATOS!$C$69,TABLAS!$B$52:$B$58,0)+2,7)),1))*INDEX(TABLAS!$D$52:$D$58,MIN(MATCH(DATOS!$C$69,TABLAS!$B$52:$B$58,0)+2,7))&gt;=4/3*IF(BI20&lt;=0,0,IF((1-2*BI20*1E5/(DATOS!$C$29*AF20*CI20^2*DATOS!$C$21))&lt;0,-1,IF((1-SQRT((1-2*BI20*1E5/(DATOS!$C$29*AF20*CI20^2*DATOS!$C$21))))*DATOS!$C$21*AF20*CI20/DATOS!$C$14&gt;DATOS!$C$99*AF20*CI20,-1,(1-SQRT((1-2*BI20*1E5/(DATOS!$C$29*AF20*CI20^2*DATOS!$C$21))))*DATOS!$C$21*AF20*CI20/DATOS!$C$14)))-0.0001,MAX(DATOS!$C$71,CEILING(CJ20/INDEX(TABLAS!$D$52:$D$58,MIN(MATCH(DATOS!$C$69,TABLAS!$B$52:$B$58,0)+2,7)),1)),MAX(MAX(DATOS!$C$71,CEILING(CJ20/INDEX(TABLAS!$D$52:$D$58,MIN(MATCH(DATOS!$C$69,TABLAS!$B$52:$B$58,0)+2,7)),1)),2))&lt;=MIN(DATOS!$C$70,INT(((DATOS!$C$80-2*AK20)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20&gt;=0,IF(MAX(DATOS!$C$71,CEILING(CJ20/INDEX(TABLAS!$D$52:$D$58,MIN(MATCH(DATOS!$C$69,TABLAS!$B$52:$B$58,0)+3,7)),1))*INDEX(TABLAS!$D$52:$D$58,MIN(MATCH(DATOS!$C$69,TABLAS!$B$52:$B$58,0)+3,7))&gt;=4/3*IF(BI20&lt;=0,0,IF((1-2*BI20*1E5/(DATOS!$C$29*AF20*CI20^2*DATOS!$C$21))&lt;0,-1,IF((1-SQRT((1-2*BI20*1E5/(DATOS!$C$29*AF20*CI20^2*DATOS!$C$21))))*DATOS!$C$21*AF20*CI20/DATOS!$C$14&gt;DATOS!$C$99*AF20*CI20,-1,(1-SQRT((1-2*BI20*1E5/(DATOS!$C$29*AF20*CI20^2*DATOS!$C$21))))*DATOS!$C$21*AF20*CI20/DATOS!$C$14)))-0.0001,MAX(DATOS!$C$71,CEILING(CJ20/INDEX(TABLAS!$D$52:$D$58,MIN(MATCH(DATOS!$C$69,TABLAS!$B$52:$B$58,0)+3,7)),1)),MAX(MAX(DATOS!$C$71,CEILING(CJ20/INDEX(TABLAS!$D$52:$D$58,MIN(MATCH(DATOS!$C$69,TABLAS!$B$52:$B$58,0)+3,7)),1)),2))&lt;=MIN(DATOS!$C$70,INT(((DATOS!$C$80-2*AK20)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20&gt;=0,IF(MAX(DATOS!$C$71,CEILING(CJ20/INDEX(TABLAS!$D$52:$D$58,MIN(MATCH(DATOS!$C$69,TABLAS!$B$52:$B$58,0)+4,7)),1))*INDEX(TABLAS!$D$52:$D$58,MIN(MATCH(DATOS!$C$69,TABLAS!$B$52:$B$58,0)+4,7))&gt;=4/3*IF(BI20&lt;=0,0,IF((1-2*BI20*1E5/(DATOS!$C$29*AF20*CI20^2*DATOS!$C$21))&lt;0,-1,IF((1-SQRT((1-2*BI20*1E5/(DATOS!$C$29*AF20*CI20^2*DATOS!$C$21))))*DATOS!$C$21*AF20*CI20/DATOS!$C$14&gt;DATOS!$C$99*AF20*CI20,-1,(1-SQRT((1-2*BI20*1E5/(DATOS!$C$29*AF20*CI20^2*DATOS!$C$21))))*DATOS!$C$21*AF20*CI20/DATOS!$C$14)))-0.0001,MAX(DATOS!$C$71,CEILING(CJ20/INDEX(TABLAS!$D$52:$D$58,MIN(MATCH(DATOS!$C$69,TABLAS!$B$52:$B$58,0)+4,7)),1)),MAX(MAX(DATOS!$C$71,CEILING(CJ20/INDEX(TABLAS!$D$52:$D$58,MIN(MATCH(DATOS!$C$69,TABLAS!$B$52:$B$58,0)+4,7)),1)),2))&lt;=MIN(DATOS!$C$70,INT(((DATOS!$C$80-2*AK20)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20" s="59" t="str">
        <f>IF(U20&lt;&gt;"SÍ","",IF(CJ20&lt;0,0,IF(MAX(DATOS!$C$71,CEILING(MAX(CJ20,0)/INDEX(TABLAS!$D$52:$D$58,MATCH(CK20,TABLAS!$B$52:$B$58,0)),1))*INDEX(TABLAS!$D$52:$D$58,MATCH(CK20,TABLAS!$B$52:$B$58,0))&gt;=4/3*IF(BI20&lt;=0,0,IF((1-2*BI20*1E5/(DATOS!$C$29*AF20*CI20^2*DATOS!$C$21))&lt;0,-1,IF((1-SQRT((1-2*BI20*1E5/(DATOS!$C$29*AF20*CI20^2*DATOS!$C$21))))*DATOS!$C$21*AF20*CI20/DATOS!$C$14&gt;DATOS!$C$99*AF20*CI20,-1,(1-SQRT((1-2*BI20*1E5/(DATOS!$C$29*AF20*CI20^2*DATOS!$C$21))))*DATOS!$C$21*AF20*CI20/DATOS!$C$14)))-0.0001,MAX(DATOS!$C$71,CEILING(MAX(CJ20,0)/INDEX(TABLAS!$D$52:$D$58,MATCH(CK20,TABLAS!$B$52:$B$58,0)),1)),MAX(MAX(DATOS!$C$71,CEILING(MAX(CJ20,0)/INDEX(TABLAS!$D$52:$D$58,MATCH(CK20,TABLAS!$B$52:$B$58,0)),1)),2))))</f>
        <v/>
      </c>
      <c r="CM20" s="58" t="str">
        <f>IF(U20&lt;&gt;"SÍ","",((DATOS!$C$82-AL20-2*DATOS!$C$94-INDEX(TABLAS!$C$52:$C$58,MATCH(BU20,TABLAS!$B$52:$B$58,0))-INDEX(TABLAS!$C$52:$C$58,MATCH(CK20,TABLAS!$B$52:$B$58,0))/2)-IF(AND((DATOS!$C$82-AL20-2*DATOS!$C$94-INDEX(TABLAS!$C$52:$C$58,MATCH(BU20,TABLAS!$B$52:$B$58,0))-INDEX(TABLAS!$C$52:$C$58,MATCH(CK20,TABLAS!$B$52:$B$58,0))/2)&lt;=20,DATOS!$C$62&lt;&gt;"SÍ"),2,0)))</f>
        <v/>
      </c>
      <c r="CN20" s="56" t="str">
        <f>IF(U20&lt;&gt;"SÍ","",IF(CL20=0,0,DATOS!$C$29*CL20*INDEX(TABLAS!$D$52:$D$58,MATCH(CK20,TABLAS!$B$52:$B$58,0))*DATOS!$C$14*(CM20-CL20*INDEX(TABLAS!$D$52:$D$58,MATCH(CK20,TABLAS!$B$52:$B$58,0))*DATOS!$C$14/(DATOS!$C$21*AF20)/2)/1E5))</f>
        <v/>
      </c>
      <c r="CO20" s="65" t="str">
        <f>IF(U20&lt;&gt;"SÍ","",IF(CJ20&lt;0,9.99,IF(CN20&gt;0,BI20/CN20,0)))</f>
        <v/>
      </c>
      <c r="CP20" s="66" t="str">
        <f>IF(U20&lt;&gt;"SÍ","",IF(CL20=0,"—",0.003*(CM20-(CL20*INDEX(TABLAS!$D$52:$D$58,MATCH(CK20,TABLAS!$B$52:$B$58,0))*DATOS!$C$14/(DATOS!$C$21*AF20)/DATOS!$C$22))/(CL20*INDEX(TABLAS!$D$52:$D$58,MATCH(CK20,TABLAS!$B$52:$B$58,0))*DATOS!$C$14/(DATOS!$C$21*AF20)/DATOS!$C$22)))</f>
        <v/>
      </c>
      <c r="CQ20" s="56" t="str">
        <f>IF(U20&lt;&gt;"SÍ","",IF(C20="PERIMETRAL",MAX(0,(AA20/2-BW20)/100)*(0.95-0.5*Z20)*AQ20*IF(AND(AR20&gt;0,AR20&lt;4),DATOS!$C$33,1)*DATOS!$C$83/100/1000,(AQ20*MAX(0,AA20-BW20)/100+DATOS!$C$26*N(O20))*DATOS!$C$83/100/1000+BE20))</f>
        <v/>
      </c>
      <c r="CR20" s="56" t="str">
        <f>IF(U20&lt;&gt;"SÍ","",DATOS!$C$30*2*MIN(1,SQRT(2/(1+0.04*BW20)))*(BV20*INDEX(TABLAS!$D$52:$D$58,MATCH(BU20,TABLAS!$B$52:$B$58,0))/(AE20*BW20))^(1/3)*SQRT(DATOS!$C$13)*AE20*BW20*IF(AI20="SÍ",DATOS!$C$32,1)/1000)</f>
        <v/>
      </c>
      <c r="CS20" s="59" t="str">
        <f>IF(U20&lt;&gt;"SÍ","",IF(CQ20&lt;=CR20,0,CEILING(MAX(0,IF(C20="VOLADO",(AA20-((CR20-BE20)*1E5/DATOS!$C$83-DATOS!$C$26*N(O20))*100/AQ20),IF(CR20&lt;=0,AA20,AA20/2-CR20/MAX(CQ20,1E-9)*(AA20/2-BW20)))-IF(INT((X20*100-DATOS!$C$84+DATOS!$C$80)/DATOS!$C$83)&gt;0,(X20*100-DATOS!$C$84-(INT((X20*100-DATOS!$C$84+DATOS!$C$80)/DATOS!$C$83)*DATOS!$C$78+(INT((X20*100-DATOS!$C$84+DATOS!$C$80)/DATOS!$C$83)-1)*DATOS!$C$80))/2,X20*100/2))/DATOS!$C$83,1)))</f>
        <v/>
      </c>
      <c r="CT20" s="67" t="str">
        <f>IF(U20&lt;&gt;"SÍ","",IF(CQ20&lt;=CR20,"CUMPLE",IF(CS20&lt;=0,"CUMPLE (basta el macizo de orilla)",IF(CS20*DATOS!$C$83*IF(C20="VOLADO",1,2)&gt;=X20*100-DATOS!$C$84,"NO CUMPLE: no alcanza ni macizando todo","MACIZAR "&amp;CS20&amp;" hilera(s)"))))</f>
        <v/>
      </c>
      <c r="CU20" s="58" t="str">
        <f>IF(U20&lt;&gt;"SÍ","",(DATOS!$C$83*DATOS!$C$81^2/2+AC20*DATOS!$C$79*(DATOS!$C$81+DATOS!$C$79/2))/(DATOS!$C$83*DATOS!$C$81+AC20*DATOS!$C$79))</f>
        <v/>
      </c>
      <c r="CV20" s="68" t="str">
        <f>IF(U20&lt;&gt;"SÍ","",DATOS!$C$83*DATOS!$C$81^3/12+DATOS!$C$83*DATOS!$C$81*(CU20-DATOS!$C$81/2)^2+AC20*DATOS!$C$79^3/12+AC20*DATOS!$C$79*(DATOS!$C$81+DATOS!$C$79/2-CU20)^2)</f>
        <v/>
      </c>
      <c r="CW20" s="58" t="str">
        <f>IF(U20&lt;&gt;"SÍ","",(12*CV20/DATOS!$C$83)^(1/3))</f>
        <v/>
      </c>
      <c r="CX20" s="58" t="str">
        <f>IF(U20&lt;&gt;"SÍ","",IF(C20="PERIMETRAL",IF(ISNUMBER(R20),R20,DATOS!$C$101),0))</f>
        <v/>
      </c>
      <c r="CY20" s="57" t="str">
        <f>IF(U20&lt;&gt;"SÍ","",IF(C20="PERIMETRAL",IF(CX20&gt;2,MAX(9,AB20*(0.8+DATOS!$C$14/14000)/(36+9*(AB20/MAX(AA20,1)))),IF(CX20&gt;0.2,MAX(13,AB20*(0.8+DATOS!$C$14/14000)/(36+5*(AB20/MAX(AA20,1))*(CX20-0.2))),MAX(13,AB20/IF(AR20&gt;0,30,33))))*IF(AND(CX20&gt;0.2,AR20&gt;0,DATOS!$C$102="NO"),1.1,1),X20*100/8))</f>
        <v/>
      </c>
      <c r="CZ20" s="61" t="str">
        <f>IF(U20&lt;&gt;"SÍ","",IF(IF(C20="VOLADO",DATOS!$C$82,CW20)&gt;=CY20,"CUMPLE",IF(C20="VOLADO","NO CUMPLE","CALCULAR FLECHA")))</f>
        <v/>
      </c>
      <c r="DA20" s="55" t="str">
        <f>IF(U20&lt;&gt;"SÍ","",IF(DATOS!$C$81&gt;=IF(IF(C20="VOLADO",X20,Y20)&gt;=6,6,5),"CUMPLE","CAPA ≥ 6 cm"))</f>
        <v/>
      </c>
      <c r="DB20" s="60" t="str">
        <f>IF(U20&lt;&gt;"SÍ","",IF(C20="VOLADO",MIN(CEILING(IF(ISNUMBER(P20),P20,X20)*100,5),CEILING(MAX(IF((0.5*(0.9*DATOS!$C$87*DATOS!$C$83/100/1000)*IF(ISNUMBER(P20),P20,X20)+BG20/IF(ISNUMBER(P20),P20,X20))^2-4*(0.5*(0.9*DATOS!$C$87*DATOS!$C$83/100/1000))*BG20&lt;0,IF(ISNUMBER(P20),P20,X20),MIN(IF(ISNUMBER(P20),P20,X20),((0.5*(0.9*DATOS!$C$87*DATOS!$C$83/100/1000)*IF(ISNUMBER(P20),P20,X20)+BG20/IF(ISNUMBER(P20),P20,X20))-SQRT((0.5*(0.9*DATOS!$C$87*DATOS!$C$83/100/1000)*IF(ISNUMBER(P20),P20,X20)+BG20/IF(ISNUMBER(P20),P20,X20))^2-4*(0.5*(0.9*DATOS!$C$87*DATOS!$C$83/100/1000))*BG20))/(2*(0.5*(0.9*DATOS!$C$87*DATOS!$C$83/100/1000)))))*100+MAX(BW20,12*INDEX(TABLAS!$C$52:$C$58,MATCH(BU20,TABLAS!$B$52:$B$58,0)),IF(ISNUMBER(P20),P20,X20)*100/16),IF(OR(AK20&lt;INDEX(TABLAS!$C$52:$C$58,MATCH(BU20,TABLAS!$B$52:$B$58,0)),AND(BV20&gt;=2,(AC20-2*AK20-BV20*INDEX(TABLAS!$C$52:$C$58,MATCH(BU20,TABLAS!$B$52:$B$58,0)))/MAX(BV20-1,1)&lt;2*INDEX(TABLAS!$C$52:$C$58,MATCH(BU20,TABLAS!$B$52:$B$58,0)))),INDEX(TABLAS!$I$52:$I$58,MATCH(BU20,TABLAS!$B$52:$B$58,0)),INDEX(TABLAS!$F$52:$F$58,MATCH(BU20,TABLAS!$B$52:$B$58,0)))),5)),IF(((4*((BB20*AQ20*X20^2*1E-4*DATOS!$C$83/100/1000)+((MAX(AX20,AZ20)*AQ20*X20^2*1E-4*DATOS!$C$83/100/1000)+(IF(AND(AX20&gt;0,AZ20&gt;0),MIN(AX20,AZ20),MAX(AX20,AZ20))*AQ20*X20^2*1E-4*DATOS!$C$83/100/1000))/2)+BG20-(IF(AND(AX20&gt;0,AZ20&gt;0),MIN(AX20,AZ20),MAX(AX20,AZ20))*AQ20*X20^2*1E-4*DATOS!$C$83/100/1000))^2-16*((BB20*AQ20*X20^2*1E-4*DATOS!$C$83/100/1000)+((MAX(AX20,AZ20)*AQ20*X20^2*1E-4*DATOS!$C$83/100/1000)+(IF(AND(AX20&gt;0,AZ20&gt;0),MIN(AX20,AZ20),MAX(AX20,AZ20))*AQ20*X20^2*1E-4*DATOS!$C$83/100/1000))/2)*BG20)&lt;0,CEILING(AA20,5),CEILING(MAX(AA20*((4*((BB20*AQ20*X20^2*1E-4*DATOS!$C$83/100/1000)+((MAX(AX20,AZ20)*AQ20*X20^2*1E-4*DATOS!$C$83/100/1000)+(IF(AND(AX20&gt;0,AZ20&gt;0),MIN(AX20,AZ20),MAX(AX20,AZ20))*AQ20*X20^2*1E-4*DATOS!$C$83/100/1000))/2)+BG20-(IF(AND(AX20&gt;0,AZ20&gt;0),MIN(AX20,AZ20),MAX(AX20,AZ20))*AQ20*X20^2*1E-4*DATOS!$C$83/100/1000))-SQRT(MAX(0,((4*((BB20*AQ20*X20^2*1E-4*DATOS!$C$83/100/1000)+((MAX(AX20,AZ20)*AQ20*X20^2*1E-4*DATOS!$C$83/100/1000)+(IF(AND(AX20&gt;0,AZ20&gt;0),MIN(AX20,AZ20),MAX(AX20,AZ20))*AQ20*X20^2*1E-4*DATOS!$C$83/100/1000))/2)+BG20-(IF(AND(AX20&gt;0,AZ20&gt;0),MIN(AX20,AZ20),MAX(AX20,AZ20))*AQ20*X20^2*1E-4*DATOS!$C$83/100/1000))^2-16*((BB20*AQ20*X20^2*1E-4*DATOS!$C$83/100/1000)+((MAX(AX20,AZ20)*AQ20*X20^2*1E-4*DATOS!$C$83/100/1000)+(IF(AND(AX20&gt;0,AZ20&gt;0),MIN(AX20,AZ20),MAX(AX20,AZ20))*AQ20*X20^2*1E-4*DATOS!$C$83/100/1000))/2)*BG20))))/(8*MAX(((BB20*AQ20*X20^2*1E-4*DATOS!$C$83/100/1000)+((MAX(AX20,AZ20)*AQ20*X20^2*1E-4*DATOS!$C$83/100/1000)+(IF(AND(AX20&gt;0,AZ20&gt;0),MIN(AX20,AZ20),MAX(AX20,AZ20))*AQ20*X20^2*1E-4*DATOS!$C$83/100/1000))/2),1E-9))+MAX(BW20,12*INDEX(TABLAS!$C$52:$C$58,MATCH(BU20,TABLAS!$B$52:$B$58,0)),AA20/16),IF(OR(AK20&lt;INDEX(TABLAS!$C$52:$C$58,MATCH(BU20,TABLAS!$B$52:$B$58,0)),AND(BV20&gt;=2,(AC20-2*AK20-BV20*INDEX(TABLAS!$C$52:$C$58,MATCH(BU20,TABLAS!$B$52:$B$58,0)))/MAX(BV20-1,1)&lt;2*INDEX(TABLAS!$C$52:$C$58,MATCH(BU20,TABLAS!$B$52:$B$58,0)))),INDEX(TABLAS!$I$52:$I$58,MATCH(BU20,TABLAS!$B$52:$B$58,0)),INDEX(TABLAS!$F$52:$F$58,MATCH(BU20,TABLAS!$B$52:$B$58,0)))),5))))</f>
        <v/>
      </c>
      <c r="DC20" s="60" t="str">
        <f>IF(U20&lt;&gt;"SÍ","",IF(C20="VOLADO",0,IF(((4*((BC20*AQ20*X20^2*1E-4*DATOS!$C$83/100/1000)+((MAX(AY20,BA20)*AQ20*X20^2*1E-4*DATOS!$C$83/100/1000)+(IF(AND(AY20&gt;0,BA20&gt;0),MIN(AY20,BA20),MAX(AY20,BA20))*AQ20*X20^2*1E-4*DATOS!$C$83/100/1000))/2)+BI20-(IF(AND(AY20&gt;0,BA20&gt;0),MIN(AY20,BA20),MAX(AY20,BA20))*AQ20*X20^2*1E-4*DATOS!$C$83/100/1000))^2-16*((BC20*AQ20*X20^2*1E-4*DATOS!$C$83/100/1000)+((MAX(AY20,BA20)*AQ20*X20^2*1E-4*DATOS!$C$83/100/1000)+(IF(AND(AY20&gt;0,BA20&gt;0),MIN(AY20,BA20),MAX(AY20,BA20))*AQ20*X20^2*1E-4*DATOS!$C$83/100/1000))/2)*BI20)&lt;0,CEILING(AB20,5),CEILING(MAX(AB20*((4*((BC20*AQ20*X20^2*1E-4*DATOS!$C$83/100/1000)+((MAX(AY20,BA20)*AQ20*X20^2*1E-4*DATOS!$C$83/100/1000)+(IF(AND(AY20&gt;0,BA20&gt;0),MIN(AY20,BA20),MAX(AY20,BA20))*AQ20*X20^2*1E-4*DATOS!$C$83/100/1000))/2)+BI20-(IF(AND(AY20&gt;0,BA20&gt;0),MIN(AY20,BA20),MAX(AY20,BA20))*AQ20*X20^2*1E-4*DATOS!$C$83/100/1000))-SQRT(MAX(0,((4*((BC20*AQ20*X20^2*1E-4*DATOS!$C$83/100/1000)+((MAX(AY20,BA20)*AQ20*X20^2*1E-4*DATOS!$C$83/100/1000)+(IF(AND(AY20&gt;0,BA20&gt;0),MIN(AY20,BA20),MAX(AY20,BA20))*AQ20*X20^2*1E-4*DATOS!$C$83/100/1000))/2)+BI20-(IF(AND(AY20&gt;0,BA20&gt;0),MIN(AY20,BA20),MAX(AY20,BA20))*AQ20*X20^2*1E-4*DATOS!$C$83/100/1000))^2-16*((BC20*AQ20*X20^2*1E-4*DATOS!$C$83/100/1000)+((MAX(AY20,BA20)*AQ20*X20^2*1E-4*DATOS!$C$83/100/1000)+(IF(AND(AY20&gt;0,BA20&gt;0),MIN(AY20,BA20),MAX(AY20,BA20))*AQ20*X20^2*1E-4*DATOS!$C$83/100/1000))/2)*BI20))))/(8*MAX(((BC20*AQ20*X20^2*1E-4*DATOS!$C$83/100/1000)+((MAX(AY20,BA20)*AQ20*X20^2*1E-4*DATOS!$C$83/100/1000)+(IF(AND(AY20&gt;0,BA20&gt;0),MIN(AY20,BA20),MAX(AY20,BA20))*AQ20*X20^2*1E-4*DATOS!$C$83/100/1000))/2),1E-9))+MAX(CM20,12*INDEX(TABLAS!$C$52:$C$58,MATCH(CK20,TABLAS!$B$52:$B$58,0)),AB20/16),IF(OR(AK20&lt;INDEX(TABLAS!$C$52:$C$58,MATCH(CK20,TABLAS!$B$52:$B$58,0)),AND(CL20&gt;=2,(DATOS!$C$80-2*AK20-CL20*INDEX(TABLAS!$C$52:$C$58,MATCH(CK20,TABLAS!$B$52:$B$58,0)))/MAX(CL20-1,1)&lt;2*INDEX(TABLAS!$C$52:$C$58,MATCH(CK20,TABLAS!$B$52:$B$58,0)))),INDEX(TABLAS!$I$52:$I$58,MATCH(CK20,TABLAS!$B$52:$B$58,0)),INDEX(TABLAS!$F$52:$F$58,MATCH(CK20,TABLAS!$B$52:$B$58,0)))),5))))</f>
        <v/>
      </c>
      <c r="DD20" s="55" t="str">
        <f>IF(U20&lt;&gt;"SÍ","",IF(AND(C20="PERIMETRAL",BV20&gt;=2,AR20-AS20&gt;0,AZ20*AQ20*X20^2*1E-4*DATOS!$C$83/100/1000&gt;DATOS!$C$29*INDEX(TABLAS!$D$52:$D$58,MATCH(BU20,TABLAS!$B$52:$B$58,0))*DATOS!$C$14*(BW20-INDEX(TABLAS!$D$52:$D$58,MATCH(BU20,TABLAS!$B$52:$B$58,0))*DATOS!$C$14/(DATOS!$C$21*AE20)/2)/1E5),"SÍ","NO"))</f>
        <v/>
      </c>
      <c r="DE20" s="55" t="str">
        <f>IF(U20&lt;&gt;"SÍ","",IF(AND(C20="PERIMETRAL",CL20&gt;=2,AS20&gt;0,BA20*AQ20*X20^2*1E-4*DATOS!$C$83/100/1000&gt;DATOS!$C$29*INDEX(TABLAS!$D$52:$D$58,MATCH(CK20,TABLAS!$B$52:$B$58,0))*DATOS!$C$14*(CM20-INDEX(TABLAS!$D$52:$D$58,MATCH(CK20,TABLAS!$B$52:$B$58,0))*DATOS!$C$14/(DATOS!$C$21*AF20)/2)/1E5),"SÍ","NO"))</f>
        <v/>
      </c>
      <c r="DF20" s="63" t="str">
        <f>IF(U20&lt;&gt;"SÍ","",IF(OR(C20="VOLADO",AR20=0),"—",IF(AND(AND(1.25*INDEX(TABLAS!$G$52:$G$58,MATCH(MAX(BM20,CC20),TABLAS!$B$52:$B$58,0))&lt;=(DATOS!$C$72-DATOS!$C$60),(DATOS!$C$72-DATOS!$C$60)&gt;=15,INDEX(TABLAS!$G$52:$G$58,MATCH(MAX(BU20,CK20),TABLAS!$B$52:$B$58,0))&lt;=(DATOS!$C$72-DATOS!$C$60)),8*INDEX(TABLAS!$C$52:$C$58,MATCH(MAX(MAX(BM20,CC20),MAX(BU20,CK20)),TABLAS!$B$52:$B$58,0))&lt;=DATOS!$C$73-2*DATOS!$C$60),"CUMPLE (gancho de 180°)",IF(AND(1.25*INDEX(TABLAS!$G$52:$G$58,MATCH(MAX(BM20,CC20),TABLAS!$B$52:$B$58,0))&lt;=(DATOS!$C$72-DATOS!$C$60),(DATOS!$C$72-DATOS!$C$60)&gt;=15,INDEX(TABLAS!$G$52:$G$58,MATCH(MAX(BU20,CK20),TABLAS!$B$52:$B$58,0))&lt;=(DATOS!$C$72-DATOS!$C$60)),"NO CUMPLE: el gancho de 180° (8·d_b) no cabe en el peralte de la dala de borde","NO CUMPLE: dala de borde ≥ "&amp;TEXT(CEILING(MAX(1.25*INDEX(TABLAS!$G$52:$G$58,MATCH(MAX(BM20,CC20),TABLAS!$B$52:$B$58,0)),15,INDEX(TABLAS!$G$52:$G$58,MATCH(MAX(BU20,CK20),TABLAS!$B$52:$B$58,0)))+DATOS!$C$60,5),"0")&amp;" cm de ancho"&amp;IF(8*INDEX(TABLAS!$C$52:$C$58,MATCH(MAX(MAX(BM20,CC20),MAX(BU20,CK20)),TABLAS!$B$52:$B$58,0))&lt;=DATOS!$C$73-2*DATOS!$C$60,""," y más peralte para el gancho")))))</f>
        <v/>
      </c>
      <c r="DG20" s="59" t="str">
        <f>IF(U20&lt;&gt;"SÍ","",MAX(0,INT((E20*100-DATOS!$C$84+DATOS!$C$83-IF(W20="X",DATOS!$C$78,AD20))/DATOS!$C$83)))</f>
        <v/>
      </c>
      <c r="DH20" s="59" t="str">
        <f>IF(U20&lt;&gt;"SÍ","",MAX(0,INT((F20*100-DATOS!$C$84+DATOS!$C$83-IF(W20="Y",DATOS!$C$78,AD20))/DATOS!$C$83)))</f>
        <v/>
      </c>
      <c r="DI20" s="57" t="str">
        <f>IF(U20&lt;&gt;"SÍ","",IF(DG20&gt;0,(E20*100-DATOS!$C$84-(DG20*IF(W20="X",DATOS!$C$78,AD20)+(DG20-1)*(DATOS!$C$83-IF(W20="X",DATOS!$C$78,AD20))))/2,E20*100/2))</f>
        <v/>
      </c>
      <c r="DJ20" s="57" t="str">
        <f>IF(U20&lt;&gt;"SÍ","",IF(DH20&gt;0,(F20*100-DATOS!$C$84-(DH20*IF(W20="Y",DATOS!$C$78,AD20)+(DH20-1)*(DATOS!$C$83-IF(W20="Y",DATOS!$C$78,AD20))))/2,F20*100/2))</f>
        <v/>
      </c>
      <c r="DK20" s="59" t="str">
        <f>IF(U20&lt;&gt;"SÍ","",IF(NOT(AND(C20="VOLADO",AC20&gt;DATOS!$C$80)),0,IF(INDEX(TABLAS!$C$52:$C$58,MATCH(BU20,TABLAS!$B$52:$B$58,0))&lt;=DATOS!$C$80-2*DATOS!$C$60,1,0)))</f>
        <v/>
      </c>
      <c r="DL20" s="58" t="str">
        <f>IF(U20&lt;&gt;"SÍ","",IF(NOT(AND(C20="VOLADO",AC20&gt;DATOS!$C$80)),0,((DATOS!$C$82-MAX(DATOS!$C$60,(DATOS!$C$81-2*DATOS!$C$94)/2)-2*DATOS!$C$94-INDEX(TABLAS!$C$52:$C$58,MATCH(BU20,TABLAS!$B$52:$B$58,0))/2)-IF(AND((DATOS!$C$82-MAX(DATOS!$C$60,(DATOS!$C$81-2*DATOS!$C$94)/2)-2*DATOS!$C$94-INDEX(TABLAS!$C$52:$C$58,MATCH(BU20,TABLAS!$B$52:$B$58,0))/2)&lt;=20,DATOS!$C$62&lt;&gt;"SÍ"),2,0))))</f>
        <v/>
      </c>
      <c r="DM20" s="56" t="str">
        <f>IF(U20&lt;&gt;"SÍ","",IF(OR(NOT(AND(C20="VOLADO",AC20&gt;DATOS!$C$80)),DK20&lt;1),0,IF(0.003*(DL20-((DK20*INDEX(TABLAS!$D$52:$D$58,MATCH(BU20,TABLAS!$B$52:$B$58,0)))*DATOS!$C$14/(DATOS!$C$21*AF20)/DATOS!$C$22))/((DK20*INDEX(TABLAS!$D$52:$D$58,MATCH(BU20,TABLAS!$B$52:$B$58,0)))*DATOS!$C$14/(DATOS!$C$21*AF20)/DATOS!$C$22)&lt;0.005,0,DATOS!$C$29*(DK20*INDEX(TABLAS!$D$52:$D$58,MATCH(BU20,TABLAS!$B$52:$B$58,0)))*DATOS!$C$14*(DL20-(DK20*INDEX(TABLAS!$D$52:$D$58,MATCH(BU20,TABLAS!$B$52:$B$58,0)))*DATOS!$C$14/(DATOS!$C$21*AF20)/2)/1E5)))</f>
        <v/>
      </c>
      <c r="DN20" s="56" t="str">
        <f>IF(U20&lt;&gt;"SÍ","",IF(OR(NOT(AND(C20="VOLADO",AC20&gt;DATOS!$C$80)),DK20&lt;1),0,DATOS!$C$30*2*MIN(1,SQRT(2/(1+0.04*DL20)))*((DK20*INDEX(TABLAS!$D$52:$D$58,MATCH(BU20,TABLAS!$B$52:$B$58,0)))/(AF20*DL20))^(1/3)*SQRT(DATOS!$C$13)*AF20*DL20/1000))</f>
        <v/>
      </c>
      <c r="DO20" s="56" t="str">
        <f>IF(U20&lt;&gt;"SÍ","",IF(NOT(AND(C20="VOLADO",AC20&gt;DATOS!$C$80)),0,IF((BG20-DM20)&lt;=0,0,IF(DM20&lt;=0,IF(ISNUMBER(P20),P20,X20),IF(((0.9*DATOS!$C$87*DATOS!$C$83/100/1000)*IF(ISNUMBER(P20),P20,X20)/2+BG20/IF(ISNUMBER(P20),P20,X20))^2-4*((0.9*DATOS!$C$87*DATOS!$C$83/100/1000)/2)*(BG20-DM20)&lt;0,IF(ISNUMBER(P20),P20,X20),MIN(IF(ISNUMBER(P20),P20,X20),(((0.9*DATOS!$C$87*DATOS!$C$83/100/1000)*IF(ISNUMBER(P20),P20,X20)/2+BG20/IF(ISNUMBER(P20),P20,X20))-SQRT(((0.9*DATOS!$C$87*DATOS!$C$83/100/1000)*IF(ISNUMBER(P20),P20,X20)/2+BG20/IF(ISNUMBER(P20),P20,X20))^2-4*((0.9*DATOS!$C$87*DATOS!$C$83/100/1000)/2)*(BG20-DM20)))/(2*((0.9*DATOS!$C$87*DATOS!$C$83/100/1000)/2))))))))</f>
        <v/>
      </c>
      <c r="DP20" s="56" t="str">
        <f>IF(U20&lt;&gt;"SÍ","",IF(NOT(AND(C20="VOLADO",AC20&gt;DATOS!$C$80)),0,MIN(IF(ISNUMBER(P20),P20,X20),MAX(0,IF(ISNUMBER(P20),P20,X20)/2+BG20/IF(ISNUMBER(P20),P20,X20)/(AQ20*DATOS!$C$83/100/1000)-DN20/(AQ20*DATOS!$C$83/100/1000)))))</f>
        <v/>
      </c>
      <c r="DQ20" s="56" t="str">
        <f>IF(U20&lt;&gt;"SÍ","",IF(NOT(AND(C20="VOLADO",AC20&gt;DATOS!$C$80)),0,BG20/IF(ISNUMBER(P20),P20,X20)+(AQ20*DATOS!$C$83/100/1000)*MAX(0,IF(ISNUMBER(P20),P20,X20)/2-BW20/100)))</f>
        <v/>
      </c>
      <c r="DR20" s="59" t="str">
        <f>IF(U20&lt;&gt;"SÍ","",IF(NOT(AND(C20="VOLADO",AC20&gt;DATOS!$C$80)),0,CEILING(100*MIN(IF(ISNUMBER(P20),P20,X20),MAX(IF(DO20&gt;0,DO20+IF(BV20&gt;=2,MAX(DL20,12*INDEX(TABLAS!$C$52:$C$58,MATCH(BU20,TABLAS!$B$52:$B$58,0)))/100,0),0),DP20,IF(BV20&gt;=2,INDEX(TABLAS!$F$52:$F$58,MATCH(BU20,TABLAS!$B$52:$B$58,0))/100,0))),5)))</f>
        <v/>
      </c>
      <c r="DS20" s="60" t="str">
        <f>IF(U20&lt;&gt;"SÍ","",IF(NOT(AND(C20="VOLADO",AC20&gt;DATOS!$C$80)),0,IF(DR20&lt;=0,0,CEILING(DR20/DATOS!$C$83,1))))</f>
        <v/>
      </c>
      <c r="DT20" s="61" t="str">
        <f>IF(U20&lt;&gt;"SÍ","",IF(C20&lt;&gt;"VOLADO","—",IF(AC20&lt;=DATOS!$C$80,"— (mismo b_w que el respaldo)",IF(DQ20&gt;CR20,"NO CUMPLE: cortante de la nervadura ancha junto al apoyo ("&amp;TEXT(DQ20,"0.00")&amp;" &gt; "&amp;TEXT(CR20,"0.00")&amp;" t)",IF(DR20&gt;=100*IF(ISNUMBER(P20),P20,X20),"CUMPLE — todas las nervaduras del respaldo ‖ al volado con b_w = "&amp;AC20&amp;" cm","CUMPLE — "&amp;DS20&amp;" hilera(s) del respaldo con nervaduras de b_w = "&amp;AC20&amp;" cm (casetón "&amp;AD20&amp;" cm), hasta "&amp;TEXT(DR20/100,"0.00")&amp;" m del paño")))))</f>
        <v/>
      </c>
      <c r="DU20" s="69" t="str">
        <f>IF(U20&lt;&gt;"SÍ","",IF(BN20=0,"NO ALCANZA",BN20&amp;" No. "&amp;BM20&amp;IF(BN20&gt;1," corridas"," corrida")))</f>
        <v/>
      </c>
      <c r="DV20" s="69" t="str">
        <f>IF(U20&lt;&gt;"SÍ","",IF(BV20=0,"NO ALCANZA",IF(AND(C20="VOLADO",AC20&gt;DATOS!$C$80,BV20&gt;=2),"1 No. "&amp;BU20&amp;" corrida de la orilla al respaldo ("&amp;IF(DB20&gt;=100*IF(ISNUMBER(P20),P20,X20),"hasta su apoyo lejano, con gancho","entra "&amp;TEXT(DB20/100,"0.00")&amp;" m desde el paño")&amp;") + "&amp;(BV20-1)&amp;" bastón No. "&amp;BU20&amp;" hasta "&amp;TEXT(DR20/100,"0.00")&amp;" m del paño (fin de la nervadura ancha)",IF(C20="VOLADO",BV20&amp;" No. "&amp;BU20&amp;" de la orilla al respaldo ("&amp;IF(DB20&gt;=100*IF(ISNUMBER(P20),P20,X20),"hasta su apoyo lejano, con gancho","entran "&amp;TEXT(DB20/100,"0.00")&amp;" m desde el paño")&amp;")","1 No. "&amp;BU20&amp;" corrida"&amp;IF(BV20&gt;1," + "&amp;(BV20-1)&amp;" bastón No. "&amp;BU20&amp;" L = "&amp;TEXT(DB20/100,"0.00")&amp;" m desde el paño","")))))</f>
        <v/>
      </c>
      <c r="DW20" s="69" t="str">
        <f>IF(U20&lt;&gt;"SÍ","",IF(CD20=0,"NO ALCANZA",CD20&amp;" No. "&amp;CC20&amp;IF(CD20&gt;1," corridas"," corrida")))</f>
        <v/>
      </c>
      <c r="DX20" s="69" t="str">
        <f>IF(U20&lt;&gt;"SÍ","",IF(CL20=0,"NO ALCANZA",IF(C20="VOLADO","1 No. "&amp;CK20&amp;" corrida (repartición)","1 No. "&amp;CK20&amp;" corrida"&amp;IF(CL20&gt;1," + "&amp;(CL20-1)&amp;" bastón No. "&amp;CK20&amp;" L = "&amp;TEXT(DC20/100,"0.00")&amp;" m desde el paño",""))))</f>
        <v/>
      </c>
      <c r="DY20" s="67" t="str">
        <f>IF(B20="","",IF(U20&lt;&gt;"SÍ","FALTAN DATOS: tipo, a_x, a_y y destino",IF(L20="NO MONOLÍTICO (caso II)","FUERA DE ALCANCE: caso II no transcrito",IF(AND(C20="VOLADO",V20="?"),"REVISAR: el volado lleva UN solo borde CONTINUO (el empotrado)",IF(AND(MAX(BQ20,BY20,CG20,CO20)&lt;=1,NOT(OR(BN20&gt;MIN(DATOS!$C$70,INT(((AC20-2*AJ20)+MAX(DATOS!$C$67,INDEX(TABLAS!$C$52:$C$58,MATCH(BM20,TABLAS!$B$52:$B$58,0))))/(INDEX(TABLAS!$C$52:$C$58,MATCH(BM20,TABLAS!$B$52:$B$58,0))+MAX(DATOS!$C$67,INDEX(TABLAS!$C$52:$C$58,MATCH(BM20,TABLAS!$B$52:$B$58,0)))))),BV20&gt;MIN(DATOS!$C$70,INT(((AC20-2*AK20)+MAX(DATOS!$C$67,INDEX(TABLAS!$C$52:$C$58,MATCH(BU20,TABLAS!$B$52:$B$58,0))))/(INDEX(TABLAS!$C$52:$C$58,MATCH(BU20,TABLAS!$B$52:$B$58,0))+MAX(DATOS!$C$67,INDEX(TABLAS!$C$52:$C$58,MATCH(BU20,TABLAS!$B$52:$B$58,0)))))),CD20&gt;MIN(DATOS!$C$70,INT(((DATOS!$C$80-2*AJ20)+MAX(DATOS!$C$67,INDEX(TABLAS!$C$52:$C$58,MATCH(CC20,TABLAS!$B$52:$B$58,0))))/(INDEX(TABLAS!$C$52:$C$58,MATCH(CC20,TABLAS!$B$52:$B$58,0))+MAX(DATOS!$C$67,INDEX(TABLAS!$C$52:$C$58,MATCH(CC20,TABLAS!$B$52:$B$58,0)))))),CL20&gt;MIN(DATOS!$C$70,INT(((DATOS!$C$80-2*AK20)+MAX(DATOS!$C$67,INDEX(TABLAS!$C$52:$C$58,MATCH(CK20,TABLAS!$B$52:$B$58,0))))/(INDEX(TABLAS!$C$52:$C$58,MATCH(CK20,TABLAS!$B$52:$B$58,0))+MAX(DATOS!$C$67,INDEX(TABLAS!$C$52:$C$58,MATCH(CK20,TABLAS!$B$52:$B$58,0)))))))),NOT(OR(AND(ISNUMBER(BR20),BR20&lt;0.005),AND(ISNUMBER(BZ20),BZ20&lt;0.005),AND(ISNUMBER(CH20),CH20&lt;0.005),AND(ISNUMBER(CP20),CP20&lt;0.005))),NOT(LEFT(DT20,2)="NO"),CZ20="CUMPLE",DA20="CUMPLE",LEFT(CT20,2)&lt;&gt;"NO"),IF(LEFT(CT20,6)="CUMPLE","CUMPLE","CUMPLE — "&amp;CT20)&amp;IF(LEFT(BJ20,5)="FUERA"," · fuera de 3.4.2.1 c)","")&amp;IF(LEFT(DF20,2)="NO"," · REVISAR anclaje en borde discontinuo","")&amp;IF(DS20&gt;0," · respaldo: "&amp;DS20&amp;" hilera(s) de b_w "&amp;AC20&amp;" cm",""),IF(AND(MAX(BQ20,BY20,CG20,CO20)&lt;=1,NOT(OR(BN20&gt;MIN(DATOS!$C$70,INT(((AC20-2*AJ20)+MAX(DATOS!$C$67,INDEX(TABLAS!$C$52:$C$58,MATCH(BM20,TABLAS!$B$52:$B$58,0))))/(INDEX(TABLAS!$C$52:$C$58,MATCH(BM20,TABLAS!$B$52:$B$58,0))+MAX(DATOS!$C$67,INDEX(TABLAS!$C$52:$C$58,MATCH(BM20,TABLAS!$B$52:$B$58,0)))))),BV20&gt;MIN(DATOS!$C$70,INT(((AC20-2*AK20)+MAX(DATOS!$C$67,INDEX(TABLAS!$C$52:$C$58,MATCH(BU20,TABLAS!$B$52:$B$58,0))))/(INDEX(TABLAS!$C$52:$C$58,MATCH(BU20,TABLAS!$B$52:$B$58,0))+MAX(DATOS!$C$67,INDEX(TABLAS!$C$52:$C$58,MATCH(BU20,TABLAS!$B$52:$B$58,0)))))),CD20&gt;MIN(DATOS!$C$70,INT(((DATOS!$C$80-2*AJ20)+MAX(DATOS!$C$67,INDEX(TABLAS!$C$52:$C$58,MATCH(CC20,TABLAS!$B$52:$B$58,0))))/(INDEX(TABLAS!$C$52:$C$58,MATCH(CC20,TABLAS!$B$52:$B$58,0))+MAX(DATOS!$C$67,INDEX(TABLAS!$C$52:$C$58,MATCH(CC20,TABLAS!$B$52:$B$58,0)))))),CL20&gt;MIN(DATOS!$C$70,INT(((DATOS!$C$80-2*AK20)+MAX(DATOS!$C$67,INDEX(TABLAS!$C$52:$C$58,MATCH(CK20,TABLAS!$B$52:$B$58,0))))/(INDEX(TABLAS!$C$52:$C$58,MATCH(CK20,TABLAS!$B$52:$B$58,0))+MAX(DATOS!$C$67,INDEX(TABLAS!$C$52:$C$58,MATCH(CK20,TABLAS!$B$52:$B$58,0)))))))),NOT(OR(AND(ISNUMBER(BR20),BR20&lt;0.005),AND(ISNUMBER(BZ20),BZ20&lt;0.005),AND(ISNUMBER(CH20),CH20&lt;0.005),AND(ISNUMBER(CP20),CP20&lt;0.005))),NOT(LEFT(DT20,2)="NO"),CZ20="CALCULAR FLECHA",LEFT(CT20,2)&lt;&gt;"NO"),"REVISAR: calcular flecha (h_eq &lt; h mín.)"&amp;IF(LEFT(BJ20,5)="FUERA"," · fuera de 3.4.2.1 c)","")&amp;IF(LEFT(DF20,2)="NO"," · REVISAR anclaje en borde discontinuo","")&amp;IF(DS20&gt;0," · respaldo: "&amp;DS20&amp;" hilera(s) de b_w "&amp;AC20&amp;" cm",""),"NO CUMPLE: "&amp;IF(MAX(BQ20,BY20,CG20,CO20)&gt;1,"flexión ","")&amp;IF(OR(BN20&gt;MIN(DATOS!$C$70,INT(((AC20-2*AJ20)+MAX(DATOS!$C$67,INDEX(TABLAS!$C$52:$C$58,MATCH(BM20,TABLAS!$B$52:$B$58,0))))/(INDEX(TABLAS!$C$52:$C$58,MATCH(BM20,TABLAS!$B$52:$B$58,0))+MAX(DATOS!$C$67,INDEX(TABLAS!$C$52:$C$58,MATCH(BM20,TABLAS!$B$52:$B$58,0)))))),BV20&gt;MIN(DATOS!$C$70,INT(((AC20-2*AK20)+MAX(DATOS!$C$67,INDEX(TABLAS!$C$52:$C$58,MATCH(BU20,TABLAS!$B$52:$B$58,0))))/(INDEX(TABLAS!$C$52:$C$58,MATCH(BU20,TABLAS!$B$52:$B$58,0))+MAX(DATOS!$C$67,INDEX(TABLAS!$C$52:$C$58,MATCH(BU20,TABLAS!$B$52:$B$58,0)))))),CD20&gt;MIN(DATOS!$C$70,INT(((DATOS!$C$80-2*AJ20)+MAX(DATOS!$C$67,INDEX(TABLAS!$C$52:$C$58,MATCH(CC20,TABLAS!$B$52:$B$58,0))))/(INDEX(TABLAS!$C$52:$C$58,MATCH(CC20,TABLAS!$B$52:$B$58,0))+MAX(DATOS!$C$67,INDEX(TABLAS!$C$52:$C$58,MATCH(CC20,TABLAS!$B$52:$B$58,0)))))),CL20&gt;MIN(DATOS!$C$70,INT(((DATOS!$C$80-2*AK20)+MAX(DATOS!$C$67,INDEX(TABLAS!$C$52:$C$58,MATCH(CK20,TABLAS!$B$52:$B$58,0))))/(INDEX(TABLAS!$C$52:$C$58,MATCH(CK20,TABLAS!$B$52:$B$58,0))+MAX(DATOS!$C$67,INDEX(TABLAS!$C$52:$C$58,MATCH(CK20,TABLAS!$B$52:$B$58,0))))))),"no caben ","")&amp;IF(OR(AND(ISNUMBER(BR20),BR20&lt;0.005),AND(ISNUMBER(BZ20),BZ20&lt;0.005),AND(ISNUMBER(CH20),CH20&lt;0.005),AND(ISNUMBER(CP20),CP20&lt;0.005)),"ε_t &lt; 0.005 ","")&amp;IF(LEFT(CT20,2)="NO","cortante ","")&amp;IF(CZ20="NO CUMPLE","peralte ","")&amp;IF(DA20&lt;&gt;"CUMPLE","capa &lt; 6 cm ","")&amp;IF(LEFT(DT20,2)="NO","respaldo del volado","")))))))</f>
        <v/>
      </c>
      <c r="DZ20" s="70" t="str">
        <f>IF(U20&lt;&gt;"SÍ","",IF(LEFT(B20,7)="EJEMPLO","EJEMPLO de la hoja de Casa Rocha: bórralo o sobrescríbelo. ","")&amp;IF(AND(C20="PERIMETRAL",MIN(DG20,DH20)=0),"No cabe un casetón en el claro corto: es un tablero macizo, diséñalo en MACIZAS. ","")&amp;IF(AND(AI20="NO",C20="PERIMETRAL"),"No cumple 6.7.8.1.4 (a_c = "&amp;MAX(DATOS!$C$78,AD20)&amp;" cm &gt; claro corto/6 = "&amp;TEXT(X20*100/6,"0")&amp;" cm): se diseña como losa apoyada en vigas (6.7.8.1.9): r de viga = "&amp;DATOS!$C$60&amp;" cm y V_cR sin ×1.1. Para que cuente como encasetonada: casetón de "&amp;TEXT(FLOOR(MIN(80,X20*100/6),1),"0")&amp;" cm o menor. ","")&amp;IF(C20="VOLADO","Volado de "&amp;TEXT(X20,"0.00")&amp;" m empotrado en el borde "&amp;LOWER(V20)&amp;IF(N(O20)&gt;0,", con "&amp;TEXT(O20,"0.0")&amp;" kg/m en la orilla","")&amp;". Lecho inferior con r_ext. Si la orilla carga pretil u otro elemento frágil, calcula la flecha (13.4). El acero superior entra al respaldo de "&amp;TEXT(IF(ISNUMBER(P20),P20,X20),"0.00")&amp;" m"&amp;IF(ISNUMBER(P20),""," (L_b no capturado: se tomó igual al volado)")&amp;" hasta pasar M = 0 con 0.9·PP sin carga viva; si ahí no se anula, llega al apoyo lejano y se ancla con gancho (NTC-Criterios 3.4.1 c y 5.1.2.2). "&amp;IF(AC20&gt;DATOS!$C$80,"Respaldo: "&amp;DT20&amp;". ",""),"")&amp;IF(LEFT(BJ20,5)="FUERA","El M⁻ del vecino difiere más de 50 % (3.4.2.1 c): distribuye el desequilibrio (3.4.3.1) o confirma con un modelo; se arma con el mayor. ","")&amp;IF(OR(DD20="SÍ",DE20="SÍ"),"El M⁻ del borde discontinuo pide bastón también ahí (con gancho). ","")&amp;IF(LEFT(DF20,2)="NO","Anclaje: "&amp;DF20&amp;" (6.7.8.1.7). ","")&amp;IF(OR(AZ20&gt;0,BA20&gt;0),"Esquinas exteriores sobre muro: refuerzo de esquina arriba y abajo en L_largo/5 (6.7.7.3.1). ",""))</f>
        <v/>
      </c>
    </row>
    <row r="21" ht="33" customHeight="1">
      <c r="A21" s="50">
        <f>IF(B21="",0,1)+A20</f>
        <v>4</v>
      </c>
      <c r="B21" s="29" t="n"/>
      <c r="C21" s="51" t="n"/>
      <c r="D21" s="29" t="n"/>
      <c r="E21" s="52" t="n"/>
      <c r="F21" s="52" t="n"/>
      <c r="G21" s="51" t="n"/>
      <c r="H21" s="51" t="n"/>
      <c r="I21" s="51" t="n"/>
      <c r="J21" s="51" t="n"/>
      <c r="K21" s="51" t="n"/>
      <c r="L21" s="51" t="n"/>
      <c r="M21" s="53" t="n"/>
      <c r="N21" s="53" t="n"/>
      <c r="O21" s="54" t="n"/>
      <c r="P21" s="52" t="n"/>
      <c r="Q21" s="53" t="n"/>
      <c r="R21" s="54" t="n"/>
      <c r="S21" s="52" t="n"/>
      <c r="T21" s="52" t="n"/>
      <c r="U21" s="55" t="str">
        <f>IF(B21="","",IF(AND(OR(C21="PERIMETRAL",C21="VOLADO"),ISNUMBER(E21),ISNUMBER(F21),E21&gt;0,F21&gt;0,OR(ISNUMBER(N21),ISNUMBER(MATCH(D21,DATOS!$B$46:$B$55,0)))),"SÍ","NO"))</f>
        <v/>
      </c>
      <c r="V21" s="55" t="str">
        <f>IF(U21&lt;&gt;"SÍ","",IF(C21&lt;&gt;"VOLADO","—",IF(COUNTIF(G21:J21,"CONTINUO")&lt;&gt;1,"?",IF(G21="CONTINUO","INFERIOR",IF(H21="CONTINUO","SUPERIOR",IF(I21="CONTINUO","IZQUIERDO","DERECHO"))))))</f>
        <v/>
      </c>
      <c r="W21" s="55" t="str">
        <f>IF(U21&lt;&gt;"SÍ","",IF(C21="VOLADO",IF(OR(V21="IZQUIERDO",V21="DERECHO"),"X","Y"),IF(E21&lt;=F21,"X","Y")))</f>
        <v/>
      </c>
      <c r="X21" s="56" t="str">
        <f>IF(U21&lt;&gt;"SÍ","",IF(C21="VOLADO",IF(W21="X",E21,F21),MIN(E21,F21)))</f>
        <v/>
      </c>
      <c r="Y21" s="56" t="str">
        <f>IF(U21&lt;&gt;"SÍ","",IF(C21="VOLADO",IF(W21="X",F21,E21),MAX(E21,F21)))</f>
        <v/>
      </c>
      <c r="Z21" s="56" t="str">
        <f>IF(U21&lt;&gt;"SÍ","",MIN(X21,Y21)/MAX(X21,Y21))</f>
        <v/>
      </c>
      <c r="AA21" s="57" t="str">
        <f>IF(U21&lt;&gt;"SÍ","",MAX(1,X21*100-IF(C21="VOLADO",DATOS!$C$84/2,DATOS!$C$84)))</f>
        <v/>
      </c>
      <c r="AB21" s="57" t="str">
        <f>IF(U21&lt;&gt;"SÍ","",MAX(1,Y21*100-DATOS!$C$84))</f>
        <v/>
      </c>
      <c r="AC21" s="57" t="str">
        <f>IF(U21&lt;&gt;"SÍ","",IF(ISNUMBER(Q21),Q21,DATOS!$C$80))</f>
        <v/>
      </c>
      <c r="AD21" s="57" t="str">
        <f>IF(U21&lt;&gt;"SÍ","",MAX(0,DATOS!$C$83-AC21))</f>
        <v/>
      </c>
      <c r="AE21" s="57" t="str">
        <f>IF(U21&lt;&gt;"SÍ","",IF(OR(DATOS!$C$62="SÍ",AC21&gt;=20),AC21,AC21-2))</f>
        <v/>
      </c>
      <c r="AF21" s="57" t="str">
        <f>IF(U21&lt;&gt;"SÍ","",IF(OR(DATOS!$C$62="SÍ",DATOS!$C$80&gt;=20),DATOS!$C$80,DATOS!$C$80-2))</f>
        <v/>
      </c>
      <c r="AG21" s="57" t="str">
        <f>IF(U21&lt;&gt;"SÍ","",MIN(DATOS!$C$83,AC21+2*MIN(8*DATOS!$C$81,AD21/2,AA21/8)))</f>
        <v/>
      </c>
      <c r="AH21" s="57" t="str">
        <f>IF(U21&lt;&gt;"SÍ","",MIN(DATOS!$C$83,DATOS!$C$80+2*MIN(8*DATOS!$C$81,DATOS!$C$78/2,AB21/8)))</f>
        <v/>
      </c>
      <c r="AI21" s="55" t="str">
        <f>IF(U21&lt;&gt;"SÍ","",IF(AND(C21="PERIMETRAL",X21*100&gt;=6*MAX(DATOS!$C$78,AD21),MAX(DATOS!$C$78,AD21)&lt;=80,MIN(DATOS!$C$80,AC21)&gt;=10,DATOS!$C$82&lt;=3.5*MIN(DATOS!$C$80,AC21),DATOS!$C$81&gt;=MAX(MAX(DATOS!$C$78,AD21)/13,5)),"SÍ","NO"))</f>
        <v/>
      </c>
      <c r="AJ21" s="57" t="str">
        <f>IF(U21&lt;&gt;"SÍ","",IF(C21="VOLADO",DATOS!$C$61,IF(AI21="NO",DATOS!$C$60,DATOS!$C$59)))</f>
        <v/>
      </c>
      <c r="AK21" s="57" t="str">
        <f>IF(U21&lt;&gt;"SÍ","",IF(OR(AND(AM21="SÍ",DATOS!$C$63="SÍ"),AND(C21="VOLADO",DATOS!$C$64="SÍ")),DATOS!$C$61,IF(AI21="NO",DATOS!$C$60,DATOS!$C$59)))</f>
        <v/>
      </c>
      <c r="AL21" s="58" t="str">
        <f>IF(U21&lt;&gt;"SÍ","",MAX(AK21,(DATOS!$C$81-2*DATOS!$C$94)/2))</f>
        <v/>
      </c>
      <c r="AM21" s="55" t="str">
        <f>IF(U21&lt;&gt;"SÍ","",IFERROR(INDEX(DATOS!$D$46:$D$55,MATCH(D21,DATOS!$B$46:$B$55,0)),"NO"))</f>
        <v/>
      </c>
      <c r="AN21" s="59" t="str">
        <f>IF(U21&lt;&gt;"SÍ","",IF(ISNUMBER(N21),N21,IFERROR(INDEX(DATOS!$C$46:$C$55,MATCH(D21,DATOS!$B$46:$B$55,0)),0)))</f>
        <v/>
      </c>
      <c r="AO21" s="59" t="str">
        <f>IF(U21&lt;&gt;"SÍ","",(DATOS!$C$82/100-(AD21*DATOS!$C$78/DATOS!$C$83^2)*DATOS!$C$79/100)*DATOS!$C$16*1000+(AD21*DATOS!$C$78/DATOS!$C$83^2)*DATOS!$C$79/100*DATOS!$C$17*1000+DATOS!$C$37+DATOS!$C$38)</f>
        <v/>
      </c>
      <c r="AP21" s="59" t="str">
        <f>IF(U21&lt;&gt;"SÍ","",AO21+N(M21))</f>
        <v/>
      </c>
      <c r="AQ21" s="60" t="str">
        <f>IF(U21&lt;&gt;"SÍ","",MAX(DATOS!$C$26*AP21+DATOS!$C$27*AN21,IF(AM21="SÍ",DATOS!$C$28*(AP21+DATOS!$C$41),0)))</f>
        <v/>
      </c>
      <c r="AR21" s="59" t="str">
        <f>IF(U21&lt;&gt;"SÍ","",(G21="DISCONTINUO")+(H21="DISCONTINUO")+(I21="DISCONTINUO")+(J21="DISCONTINUO"))</f>
        <v/>
      </c>
      <c r="AS21" s="59" t="str">
        <f>IF(U21&lt;&gt;"SÍ","",IF(W21="X",(G21="DISCONTINUO")+(H21="DISCONTINUO"),(I21="DISCONTINUO")+(J21="DISCONTINUO")))</f>
        <v/>
      </c>
      <c r="AT21" s="55" t="str">
        <f>IF(U21&lt;&gt;"SÍ","",IF(AR21=0,"INTERIOR",IF(AR21=1,IF(AS21=1,"BORDE-CORTO","BORDE-LARGO"),IF(AR21=2,IF(AS21=1,"ESQUINA",IF(AS21=2,"EXTREMO-LARGO","EXTREMO-CORTO")),IF(AR21=3,IF(AS21=2,"EXTREMO-LARGO","EXTREMO-CORTO"),"AISLADO")))))</f>
        <v/>
      </c>
      <c r="AU21" s="61" t="str">
        <f>IF(U21&lt;&gt;"SÍ","",IF(OR(K21="",K21="AUTO"),AT21,K21))</f>
        <v/>
      </c>
      <c r="AV21" s="59" t="str">
        <f>IF(U21&lt;&gt;"SÍ","",MATCH(Z21,TABLAS!$D$5:$J$5,1))</f>
        <v/>
      </c>
      <c r="AW21" s="58" t="str">
        <f>IF(U21&lt;&gt;"SÍ","",IF(AV21&gt;=7,0,(Z21-INDEX(TABLAS!$D$5:$J$5,AV21))/(INDEX(TABLAS!$D$5:$J$5,AV21+1)-INDEX(TABLAS!$D$5:$J$5,AV21))))</f>
        <v/>
      </c>
      <c r="AX21" s="59" t="str">
        <f>IF(U21&lt;&gt;"SÍ","",INDEX(TABLAS!$D$6:$J$47,MATCH(AU21&amp;"|NIC",TABLAS!$B$6:$B$47,0),AV21)+AW21*(INDEX(TABLAS!$D$6:$J$47,MATCH(AU21&amp;"|NIC",TABLAS!$B$6:$B$47,0),MIN(AV21+1,7))-INDEX(TABLAS!$D$6:$J$47,MATCH(AU21&amp;"|NIC",TABLAS!$B$6:$B$47,0),AV21)))</f>
        <v/>
      </c>
      <c r="AY21" s="59" t="str">
        <f>IF(U21&lt;&gt;"SÍ","",INDEX(TABLAS!$D$6:$J$47,MATCH(AU21&amp;"|NIL",TABLAS!$B$6:$B$47,0),AV21)+AW21*(INDEX(TABLAS!$D$6:$J$47,MATCH(AU21&amp;"|NIL",TABLAS!$B$6:$B$47,0),MIN(AV21+1,7))-INDEX(TABLAS!$D$6:$J$47,MATCH(AU21&amp;"|NIL",TABLAS!$B$6:$B$47,0),AV21)))</f>
        <v/>
      </c>
      <c r="AZ21" s="59" t="str">
        <f>IF(U21&lt;&gt;"SÍ","",INDEX(TABLAS!$D$6:$J$47,MATCH(AU21&amp;"|NDC",TABLAS!$B$6:$B$47,0),AV21)+AW21*(INDEX(TABLAS!$D$6:$J$47,MATCH(AU21&amp;"|NDC",TABLAS!$B$6:$B$47,0),MIN(AV21+1,7))-INDEX(TABLAS!$D$6:$J$47,MATCH(AU21&amp;"|NDC",TABLAS!$B$6:$B$47,0),AV21)))</f>
        <v/>
      </c>
      <c r="BA21" s="59" t="str">
        <f>IF(U21&lt;&gt;"SÍ","",INDEX(TABLAS!$D$6:$J$47,MATCH(AU21&amp;"|NDL",TABLAS!$B$6:$B$47,0),AV21)+AW21*(INDEX(TABLAS!$D$6:$J$47,MATCH(AU21&amp;"|NDL",TABLAS!$B$6:$B$47,0),MIN(AV21+1,7))-INDEX(TABLAS!$D$6:$J$47,MATCH(AU21&amp;"|NDL",TABLAS!$B$6:$B$47,0),AV21)))</f>
        <v/>
      </c>
      <c r="BB21" s="59" t="str">
        <f>IF(U21&lt;&gt;"SÍ","",INDEX(TABLAS!$D$6:$J$47,MATCH(AU21&amp;"|PC",TABLAS!$B$6:$B$47,0),AV21)+AW21*(INDEX(TABLAS!$D$6:$J$47,MATCH(AU21&amp;"|PC",TABLAS!$B$6:$B$47,0),MIN(AV21+1,7))-INDEX(TABLAS!$D$6:$J$47,MATCH(AU21&amp;"|PC",TABLAS!$B$6:$B$47,0),AV21)))</f>
        <v/>
      </c>
      <c r="BC21" s="59" t="str">
        <f>IF(U21&lt;&gt;"SÍ","",INDEX(TABLAS!$D$6:$J$47,MATCH(AU21&amp;"|PL",TABLAS!$B$6:$B$47,0),AV21)+AW21*(INDEX(TABLAS!$D$6:$J$47,MATCH(AU21&amp;"|PL",TABLAS!$B$6:$B$47,0),MIN(AV21+1,7))-INDEX(TABLAS!$D$6:$J$47,MATCH(AU21&amp;"|PL",TABLAS!$B$6:$B$47,0),AV21)))</f>
        <v/>
      </c>
      <c r="BD21" s="56" t="str">
        <f>IF(U21&lt;&gt;"SÍ","",IF(C21&lt;&gt;"VOLADO",0,DATOS!$C$26*DATOS!$C$16*DATOS!$C$83/100*(((AD21*DATOS!$C$78/DATOS!$C$83^2)*DATOS!$C$79/100)*(IF(W21="X",DI21,DJ21)+DATOS!$C$84/2)/100*(AA21-(IF(W21="X",DI21,DJ21)+DATOS!$C$84/2)/2)/100+((AD21*DATOS!$C$78/DATOS!$C$83^2)*DATOS!$C$79/100)*IF(W21="X",DI21,DJ21)/100*IF(W21="X",DI21,DJ21)/200)))</f>
        <v/>
      </c>
      <c r="BE21" s="56" t="str">
        <f>IF(U21&lt;&gt;"SÍ","",IF(C21&lt;&gt;"VOLADO",0,DATOS!$C$26*DATOS!$C$16*DATOS!$C$83/100*((AD21*DATOS!$C$78/DATOS!$C$83^2)*DATOS!$C$79/100)*(IF(W21="X",DI21,DJ21)+DATOS!$C$84/2)/100))</f>
        <v/>
      </c>
      <c r="BF21" s="56" t="str">
        <f>IF(U21&lt;&gt;"SÍ","",IF(C21="PERIMETRAL",BB21*AQ21*X21^2*1E-4*DATOS!$C$83/100/1000,0))</f>
        <v/>
      </c>
      <c r="BG21" s="62" t="str">
        <f>IF(U21&lt;&gt;"SÍ","",IF(C21="PERIMETRAL",MAX(MAX(AX21,AZ21)*AQ21*X21^2*1E-4*DATOS!$C$83/100/1000,N(S21)),(AQ21*(AA21/100)^2/2+DATOS!$C$26*N(O21)*AA21/100)*DATOS!$C$83/100/1000+BD21))</f>
        <v/>
      </c>
      <c r="BH21" s="56" t="str">
        <f>IF(U21&lt;&gt;"SÍ","",IF(C21="PERIMETRAL",BC21*AQ21*X21^2*1E-4*DATOS!$C$83/100/1000,0))</f>
        <v/>
      </c>
      <c r="BI21" s="56" t="str">
        <f>IF(U21&lt;&gt;"SÍ","",IF(C21="PERIMETRAL",MAX(MAX(AY21,BA21)*AQ21*X21^2*1E-4*DATOS!$C$83/100/1000,N(T21)),0))</f>
        <v/>
      </c>
      <c r="BJ21" s="63" t="str">
        <f>IF(U21&lt;&gt;"SÍ","",IF(C21&lt;&gt;"PERIMETRAL","—",IF(AND(N(S21)=0,N(T21)=0),"— (sin M⁻ del vecino)",IF(OR(AND(N(S21)&gt;0,ABS(MAX(AX21,AZ21)*AQ21*X21^2*1E-4*DATOS!$C$83/100/1000-N(S21))&gt;0.5*MIN(MAX(AX21,AZ21)*AQ21*X21^2*1E-4*DATOS!$C$83/100/1000,N(S21))),AND(N(T21)&gt;0,ABS(MAX(AY21,BA21)*AQ21*X21^2*1E-4*DATOS!$C$83/100/1000-N(T21))&gt;0.5*MIN(MAX(AY21,BA21)*AQ21*X21^2*1E-4*DATOS!$C$83/100/1000,N(T21)))),"FUERA: difieren &gt; 50 %"&amp;IF(AND(N(S21)&gt;0,ABS(MAX(AX21,AZ21)*AQ21*X21^2*1E-4*DATOS!$C$83/100/1000-N(S21))&gt;0.5*MIN(MAX(AX21,AZ21)*AQ21*X21^2*1E-4*DATOS!$C$83/100/1000,N(S21)))," ‖ corto","")&amp;IF(AND(N(T21)&gt;0,ABS(MAX(AY21,BA21)*AQ21*X21^2*1E-4*DATOS!$C$83/100/1000-N(T21))&gt;0.5*MIN(MAX(AY21,BA21)*AQ21*X21^2*1E-4*DATOS!$C$83/100/1000,N(T21)))," ‖ largo",""),"CUMPLE"))))</f>
        <v/>
      </c>
      <c r="BK21" s="58" t="str">
        <f>IF(U21&lt;&gt;"SÍ","",(DATOS!$C$82-AJ21-INDEX(TABLAS!$C$52:$C$58,MATCH(DATOS!$C$68,TABLAS!$B$52:$B$58,0))/2))</f>
        <v/>
      </c>
      <c r="BL21" s="58" t="str">
        <f>IF(U21&lt;&gt;"SÍ","",IF(IF(BF21&lt;=0,0,IF((1-2*BF21*1E5/(DATOS!$C$29*AG21*BK21^2*DATOS!$C$21))&lt;0,-1,IF((1-SQRT((1-2*BF21*1E5/(DATOS!$C$29*AG21*BK21^2*DATOS!$C$21))))*DATOS!$C$21*AG21*BK21/DATOS!$C$14&gt;DATOS!$C$99*AG21*BK21,-1,(1-SQRT((1-2*BF21*1E5/(DATOS!$C$29*AG21*BK21^2*DATOS!$C$21))))*DATOS!$C$21*AG21*BK21/DATOS!$C$14)))&lt;0,-1,MAX(IF(BF21&lt;=0,0,IF((1-2*BF21*1E5/(DATOS!$C$29*AG21*BK21^2*DATOS!$C$21))&lt;0,-1,IF((1-SQRT((1-2*BF21*1E5/(DATOS!$C$29*AG21*BK21^2*DATOS!$C$21))))*DATOS!$C$21*AG21*BK21/DATOS!$C$14&gt;DATOS!$C$99*AG21*BK21,-1,(1-SQRT((1-2*BF21*1E5/(DATOS!$C$29*AG21*BK21^2*DATOS!$C$21))))*DATOS!$C$21*AG21*BK21/DATOS!$C$14))),MIN(DATOS!$C$100*AC21*BK21,4/3*IF(BF21&lt;=0,0,IF((1-2*BF21*1E5/(DATOS!$C$29*AG21*BK21^2*DATOS!$C$21))&lt;0,-1,IF((1-SQRT((1-2*BF21*1E5/(DATOS!$C$29*AG21*BK21^2*DATOS!$C$21))))*DATOS!$C$21*AG21*BK21/DATOS!$C$14&gt;DATOS!$C$99*AG21*BK21,-1,(1-SQRT((1-2*BF21*1E5/(DATOS!$C$29*AG21*BK21^2*DATOS!$C$21))))*DATOS!$C$21*AG21*BK21/DATOS!$C$14)))))))</f>
        <v/>
      </c>
      <c r="BM21" s="64" t="str">
        <f>IF(U21&lt;&gt;"SÍ","",IF(AND(BL21&gt;=0,IF(MAX(DATOS!$C$71,CEILING(BL21/INDEX(TABLAS!$D$52:$D$58,MIN(MATCH(DATOS!$C$68,TABLAS!$B$52:$B$58,0)+0,7)),1))*INDEX(TABLAS!$D$52:$D$58,MIN(MATCH(DATOS!$C$68,TABLAS!$B$52:$B$58,0)+0,7))&gt;=4/3*IF(BF21&lt;=0,0,IF((1-2*BF21*1E5/(DATOS!$C$29*AG21*BK21^2*DATOS!$C$21))&lt;0,-1,IF((1-SQRT((1-2*BF21*1E5/(DATOS!$C$29*AG21*BK21^2*DATOS!$C$21))))*DATOS!$C$21*AG21*BK21/DATOS!$C$14&gt;DATOS!$C$99*AG21*BK21,-1,(1-SQRT((1-2*BF21*1E5/(DATOS!$C$29*AG21*BK21^2*DATOS!$C$21))))*DATOS!$C$21*AG21*BK21/DATOS!$C$14)))-0.0001,MAX(DATOS!$C$71,CEILING(BL21/INDEX(TABLAS!$D$52:$D$58,MIN(MATCH(DATOS!$C$68,TABLAS!$B$52:$B$58,0)+0,7)),1)),MAX(MAX(DATOS!$C$71,CEILING(BL21/INDEX(TABLAS!$D$52:$D$58,MIN(MATCH(DATOS!$C$68,TABLAS!$B$52:$B$58,0)+0,7)),1)),2))&lt;=MIN(DATOS!$C$70,INT(((AC21-2*AJ21)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21&gt;=0,IF(MAX(DATOS!$C$71,CEILING(BL21/INDEX(TABLAS!$D$52:$D$58,MIN(MATCH(DATOS!$C$68,TABLAS!$B$52:$B$58,0)+1,7)),1))*INDEX(TABLAS!$D$52:$D$58,MIN(MATCH(DATOS!$C$68,TABLAS!$B$52:$B$58,0)+1,7))&gt;=4/3*IF(BF21&lt;=0,0,IF((1-2*BF21*1E5/(DATOS!$C$29*AG21*BK21^2*DATOS!$C$21))&lt;0,-1,IF((1-SQRT((1-2*BF21*1E5/(DATOS!$C$29*AG21*BK21^2*DATOS!$C$21))))*DATOS!$C$21*AG21*BK21/DATOS!$C$14&gt;DATOS!$C$99*AG21*BK21,-1,(1-SQRT((1-2*BF21*1E5/(DATOS!$C$29*AG21*BK21^2*DATOS!$C$21))))*DATOS!$C$21*AG21*BK21/DATOS!$C$14)))-0.0001,MAX(DATOS!$C$71,CEILING(BL21/INDEX(TABLAS!$D$52:$D$58,MIN(MATCH(DATOS!$C$68,TABLAS!$B$52:$B$58,0)+1,7)),1)),MAX(MAX(DATOS!$C$71,CEILING(BL21/INDEX(TABLAS!$D$52:$D$58,MIN(MATCH(DATOS!$C$68,TABLAS!$B$52:$B$58,0)+1,7)),1)),2))&lt;=MIN(DATOS!$C$70,INT(((AC21-2*AJ21)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21&gt;=0,IF(MAX(DATOS!$C$71,CEILING(BL21/INDEX(TABLAS!$D$52:$D$58,MIN(MATCH(DATOS!$C$68,TABLAS!$B$52:$B$58,0)+2,7)),1))*INDEX(TABLAS!$D$52:$D$58,MIN(MATCH(DATOS!$C$68,TABLAS!$B$52:$B$58,0)+2,7))&gt;=4/3*IF(BF21&lt;=0,0,IF((1-2*BF21*1E5/(DATOS!$C$29*AG21*BK21^2*DATOS!$C$21))&lt;0,-1,IF((1-SQRT((1-2*BF21*1E5/(DATOS!$C$29*AG21*BK21^2*DATOS!$C$21))))*DATOS!$C$21*AG21*BK21/DATOS!$C$14&gt;DATOS!$C$99*AG21*BK21,-1,(1-SQRT((1-2*BF21*1E5/(DATOS!$C$29*AG21*BK21^2*DATOS!$C$21))))*DATOS!$C$21*AG21*BK21/DATOS!$C$14)))-0.0001,MAX(DATOS!$C$71,CEILING(BL21/INDEX(TABLAS!$D$52:$D$58,MIN(MATCH(DATOS!$C$68,TABLAS!$B$52:$B$58,0)+2,7)),1)),MAX(MAX(DATOS!$C$71,CEILING(BL21/INDEX(TABLAS!$D$52:$D$58,MIN(MATCH(DATOS!$C$68,TABLAS!$B$52:$B$58,0)+2,7)),1)),2))&lt;=MIN(DATOS!$C$70,INT(((AC21-2*AJ21)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21&gt;=0,IF(MAX(DATOS!$C$71,CEILING(BL21/INDEX(TABLAS!$D$52:$D$58,MIN(MATCH(DATOS!$C$68,TABLAS!$B$52:$B$58,0)+3,7)),1))*INDEX(TABLAS!$D$52:$D$58,MIN(MATCH(DATOS!$C$68,TABLAS!$B$52:$B$58,0)+3,7))&gt;=4/3*IF(BF21&lt;=0,0,IF((1-2*BF21*1E5/(DATOS!$C$29*AG21*BK21^2*DATOS!$C$21))&lt;0,-1,IF((1-SQRT((1-2*BF21*1E5/(DATOS!$C$29*AG21*BK21^2*DATOS!$C$21))))*DATOS!$C$21*AG21*BK21/DATOS!$C$14&gt;DATOS!$C$99*AG21*BK21,-1,(1-SQRT((1-2*BF21*1E5/(DATOS!$C$29*AG21*BK21^2*DATOS!$C$21))))*DATOS!$C$21*AG21*BK21/DATOS!$C$14)))-0.0001,MAX(DATOS!$C$71,CEILING(BL21/INDEX(TABLAS!$D$52:$D$58,MIN(MATCH(DATOS!$C$68,TABLAS!$B$52:$B$58,0)+3,7)),1)),MAX(MAX(DATOS!$C$71,CEILING(BL21/INDEX(TABLAS!$D$52:$D$58,MIN(MATCH(DATOS!$C$68,TABLAS!$B$52:$B$58,0)+3,7)),1)),2))&lt;=MIN(DATOS!$C$70,INT(((AC21-2*AJ21)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21&gt;=0,IF(MAX(DATOS!$C$71,CEILING(BL21/INDEX(TABLAS!$D$52:$D$58,MIN(MATCH(DATOS!$C$68,TABLAS!$B$52:$B$58,0)+4,7)),1))*INDEX(TABLAS!$D$52:$D$58,MIN(MATCH(DATOS!$C$68,TABLAS!$B$52:$B$58,0)+4,7))&gt;=4/3*IF(BF21&lt;=0,0,IF((1-2*BF21*1E5/(DATOS!$C$29*AG21*BK21^2*DATOS!$C$21))&lt;0,-1,IF((1-SQRT((1-2*BF21*1E5/(DATOS!$C$29*AG21*BK21^2*DATOS!$C$21))))*DATOS!$C$21*AG21*BK21/DATOS!$C$14&gt;DATOS!$C$99*AG21*BK21,-1,(1-SQRT((1-2*BF21*1E5/(DATOS!$C$29*AG21*BK21^2*DATOS!$C$21))))*DATOS!$C$21*AG21*BK21/DATOS!$C$14)))-0.0001,MAX(DATOS!$C$71,CEILING(BL21/INDEX(TABLAS!$D$52:$D$58,MIN(MATCH(DATOS!$C$68,TABLAS!$B$52:$B$58,0)+4,7)),1)),MAX(MAX(DATOS!$C$71,CEILING(BL21/INDEX(TABLAS!$D$52:$D$58,MIN(MATCH(DATOS!$C$68,TABLAS!$B$52:$B$58,0)+4,7)),1)),2))&lt;=MIN(DATOS!$C$70,INT(((AC21-2*AJ21)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21" s="59" t="str">
        <f>IF(U21&lt;&gt;"SÍ","",IF(BL21&lt;0,0,IF(MAX(DATOS!$C$71,CEILING(MAX(BL21,0)/INDEX(TABLAS!$D$52:$D$58,MATCH(BM21,TABLAS!$B$52:$B$58,0)),1))*INDEX(TABLAS!$D$52:$D$58,MATCH(BM21,TABLAS!$B$52:$B$58,0))&gt;=4/3*IF(BF21&lt;=0,0,IF((1-2*BF21*1E5/(DATOS!$C$29*AG21*BK21^2*DATOS!$C$21))&lt;0,-1,IF((1-SQRT((1-2*BF21*1E5/(DATOS!$C$29*AG21*BK21^2*DATOS!$C$21))))*DATOS!$C$21*AG21*BK21/DATOS!$C$14&gt;DATOS!$C$99*AG21*BK21,-1,(1-SQRT((1-2*BF21*1E5/(DATOS!$C$29*AG21*BK21^2*DATOS!$C$21))))*DATOS!$C$21*AG21*BK21/DATOS!$C$14)))-0.0001,MAX(DATOS!$C$71,CEILING(MAX(BL21,0)/INDEX(TABLAS!$D$52:$D$58,MATCH(BM21,TABLAS!$B$52:$B$58,0)),1)),MAX(MAX(DATOS!$C$71,CEILING(MAX(BL21,0)/INDEX(TABLAS!$D$52:$D$58,MATCH(BM21,TABLAS!$B$52:$B$58,0)),1)),2))))</f>
        <v/>
      </c>
      <c r="BO21" s="58" t="str">
        <f>IF(U21&lt;&gt;"SÍ","",DATOS!$C$82-AJ21-INDEX(TABLAS!$C$52:$C$58,MATCH(BM21,TABLAS!$B$52:$B$58,0))/2)</f>
        <v/>
      </c>
      <c r="BP21" s="56" t="str">
        <f>IF(U21&lt;&gt;"SÍ","",IF(BN21=0,0,DATOS!$C$29*BN21*INDEX(TABLAS!$D$52:$D$58,MATCH(BM21,TABLAS!$B$52:$B$58,0))*DATOS!$C$14*(BO21-BN21*INDEX(TABLAS!$D$52:$D$58,MATCH(BM21,TABLAS!$B$52:$B$58,0))*DATOS!$C$14/(DATOS!$C$21*AG21)/2)/1E5))</f>
        <v/>
      </c>
      <c r="BQ21" s="65" t="str">
        <f>IF(U21&lt;&gt;"SÍ","",IF(BL21&lt;0,9.99,IF(BP21&gt;0,BF21/BP21,0)))</f>
        <v/>
      </c>
      <c r="BR21" s="66" t="str">
        <f>IF(U21&lt;&gt;"SÍ","",IF(BN21=0,"—",0.003*(BO21-(BN21*INDEX(TABLAS!$D$52:$D$58,MATCH(BM21,TABLAS!$B$52:$B$58,0))*DATOS!$C$14/(DATOS!$C$21*AG21)/DATOS!$C$22))/(BN21*INDEX(TABLAS!$D$52:$D$58,MATCH(BM21,TABLAS!$B$52:$B$58,0))*DATOS!$C$14/(DATOS!$C$21*AG21)/DATOS!$C$22)))</f>
        <v/>
      </c>
      <c r="BS21" s="58" t="str">
        <f>IF(U21&lt;&gt;"SÍ","",((DATOS!$C$82-AL21-2*DATOS!$C$94-INDEX(TABLAS!$C$52:$C$58,MATCH(DATOS!$C$69,TABLAS!$B$52:$B$58,0))/2)-IF(AND((DATOS!$C$82-AL21-2*DATOS!$C$94-INDEX(TABLAS!$C$52:$C$58,MATCH(DATOS!$C$69,TABLAS!$B$52:$B$58,0))/2)&lt;=20,DATOS!$C$62&lt;&gt;"SÍ"),2,0)))</f>
        <v/>
      </c>
      <c r="BT21" s="58" t="str">
        <f>IF(U21&lt;&gt;"SÍ","",IF(IF(BG21&lt;=0,0,IF((1-2*BG21*1E5/(DATOS!$C$29*AE21*BS21^2*DATOS!$C$21))&lt;0,-1,IF((1-SQRT((1-2*BG21*1E5/(DATOS!$C$29*AE21*BS21^2*DATOS!$C$21))))*DATOS!$C$21*AE21*BS21/DATOS!$C$14&gt;DATOS!$C$99*AE21*BS21,-1,(1-SQRT((1-2*BG21*1E5/(DATOS!$C$29*AE21*BS21^2*DATOS!$C$21))))*DATOS!$C$21*AE21*BS21/DATOS!$C$14)))&lt;0,-1,MAX(IF(BG21&lt;=0,0,IF((1-2*BG21*1E5/(DATOS!$C$29*AE21*BS21^2*DATOS!$C$21))&lt;0,-1,IF((1-SQRT((1-2*BG21*1E5/(DATOS!$C$29*AE21*BS21^2*DATOS!$C$21))))*DATOS!$C$21*AE21*BS21/DATOS!$C$14&gt;DATOS!$C$99*AE21*BS21,-1,(1-SQRT((1-2*BG21*1E5/(DATOS!$C$29*AE21*BS21^2*DATOS!$C$21))))*DATOS!$C$21*AE21*BS21/DATOS!$C$14))),MIN(DATOS!$C$100*IF(C21="VOLADO",MIN(AG21,2*AC21),AC21)*BS21,4/3*IF(BG21&lt;=0,0,IF((1-2*BG21*1E5/(DATOS!$C$29*AE21*BS21^2*DATOS!$C$21))&lt;0,-1,IF((1-SQRT((1-2*BG21*1E5/(DATOS!$C$29*AE21*BS21^2*DATOS!$C$21))))*DATOS!$C$21*AE21*BS21/DATOS!$C$14&gt;DATOS!$C$99*AE21*BS21,-1,(1-SQRT((1-2*BG21*1E5/(DATOS!$C$29*AE21*BS21^2*DATOS!$C$21))))*DATOS!$C$21*AE21*BS21/DATOS!$C$14)))))))</f>
        <v/>
      </c>
      <c r="BU21" s="64" t="str">
        <f>IF(U21&lt;&gt;"SÍ","",IF(AND(BT21&gt;=0,IF(MAX(DATOS!$C$71,CEILING(BT21/INDEX(TABLAS!$D$52:$D$58,MIN(MATCH(DATOS!$C$69,TABLAS!$B$52:$B$58,0)+0,7)),1))*INDEX(TABLAS!$D$52:$D$58,MIN(MATCH(DATOS!$C$69,TABLAS!$B$52:$B$58,0)+0,7))&gt;=4/3*IF(BG21&lt;=0,0,IF((1-2*BG21*1E5/(DATOS!$C$29*AE21*BS21^2*DATOS!$C$21))&lt;0,-1,IF((1-SQRT((1-2*BG21*1E5/(DATOS!$C$29*AE21*BS21^2*DATOS!$C$21))))*DATOS!$C$21*AE21*BS21/DATOS!$C$14&gt;DATOS!$C$99*AE21*BS21,-1,(1-SQRT((1-2*BG21*1E5/(DATOS!$C$29*AE21*BS21^2*DATOS!$C$21))))*DATOS!$C$21*AE21*BS21/DATOS!$C$14)))-0.0001,MAX(DATOS!$C$71,CEILING(BT21/INDEX(TABLAS!$D$52:$D$58,MIN(MATCH(DATOS!$C$69,TABLAS!$B$52:$B$58,0)+0,7)),1)),MAX(MAX(DATOS!$C$71,CEILING(BT21/INDEX(TABLAS!$D$52:$D$58,MIN(MATCH(DATOS!$C$69,TABLAS!$B$52:$B$58,0)+0,7)),1)),2))&lt;=MIN(DATOS!$C$70,INT(((AC21-2*AK21)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21&gt;=0,IF(MAX(DATOS!$C$71,CEILING(BT21/INDEX(TABLAS!$D$52:$D$58,MIN(MATCH(DATOS!$C$69,TABLAS!$B$52:$B$58,0)+1,7)),1))*INDEX(TABLAS!$D$52:$D$58,MIN(MATCH(DATOS!$C$69,TABLAS!$B$52:$B$58,0)+1,7))&gt;=4/3*IF(BG21&lt;=0,0,IF((1-2*BG21*1E5/(DATOS!$C$29*AE21*BS21^2*DATOS!$C$21))&lt;0,-1,IF((1-SQRT((1-2*BG21*1E5/(DATOS!$C$29*AE21*BS21^2*DATOS!$C$21))))*DATOS!$C$21*AE21*BS21/DATOS!$C$14&gt;DATOS!$C$99*AE21*BS21,-1,(1-SQRT((1-2*BG21*1E5/(DATOS!$C$29*AE21*BS21^2*DATOS!$C$21))))*DATOS!$C$21*AE21*BS21/DATOS!$C$14)))-0.0001,MAX(DATOS!$C$71,CEILING(BT21/INDEX(TABLAS!$D$52:$D$58,MIN(MATCH(DATOS!$C$69,TABLAS!$B$52:$B$58,0)+1,7)),1)),MAX(MAX(DATOS!$C$71,CEILING(BT21/INDEX(TABLAS!$D$52:$D$58,MIN(MATCH(DATOS!$C$69,TABLAS!$B$52:$B$58,0)+1,7)),1)),2))&lt;=MIN(DATOS!$C$70,INT(((AC21-2*AK21)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21&gt;=0,IF(MAX(DATOS!$C$71,CEILING(BT21/INDEX(TABLAS!$D$52:$D$58,MIN(MATCH(DATOS!$C$69,TABLAS!$B$52:$B$58,0)+2,7)),1))*INDEX(TABLAS!$D$52:$D$58,MIN(MATCH(DATOS!$C$69,TABLAS!$B$52:$B$58,0)+2,7))&gt;=4/3*IF(BG21&lt;=0,0,IF((1-2*BG21*1E5/(DATOS!$C$29*AE21*BS21^2*DATOS!$C$21))&lt;0,-1,IF((1-SQRT((1-2*BG21*1E5/(DATOS!$C$29*AE21*BS21^2*DATOS!$C$21))))*DATOS!$C$21*AE21*BS21/DATOS!$C$14&gt;DATOS!$C$99*AE21*BS21,-1,(1-SQRT((1-2*BG21*1E5/(DATOS!$C$29*AE21*BS21^2*DATOS!$C$21))))*DATOS!$C$21*AE21*BS21/DATOS!$C$14)))-0.0001,MAX(DATOS!$C$71,CEILING(BT21/INDEX(TABLAS!$D$52:$D$58,MIN(MATCH(DATOS!$C$69,TABLAS!$B$52:$B$58,0)+2,7)),1)),MAX(MAX(DATOS!$C$71,CEILING(BT21/INDEX(TABLAS!$D$52:$D$58,MIN(MATCH(DATOS!$C$69,TABLAS!$B$52:$B$58,0)+2,7)),1)),2))&lt;=MIN(DATOS!$C$70,INT(((AC21-2*AK21)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21&gt;=0,IF(MAX(DATOS!$C$71,CEILING(BT21/INDEX(TABLAS!$D$52:$D$58,MIN(MATCH(DATOS!$C$69,TABLAS!$B$52:$B$58,0)+3,7)),1))*INDEX(TABLAS!$D$52:$D$58,MIN(MATCH(DATOS!$C$69,TABLAS!$B$52:$B$58,0)+3,7))&gt;=4/3*IF(BG21&lt;=0,0,IF((1-2*BG21*1E5/(DATOS!$C$29*AE21*BS21^2*DATOS!$C$21))&lt;0,-1,IF((1-SQRT((1-2*BG21*1E5/(DATOS!$C$29*AE21*BS21^2*DATOS!$C$21))))*DATOS!$C$21*AE21*BS21/DATOS!$C$14&gt;DATOS!$C$99*AE21*BS21,-1,(1-SQRT((1-2*BG21*1E5/(DATOS!$C$29*AE21*BS21^2*DATOS!$C$21))))*DATOS!$C$21*AE21*BS21/DATOS!$C$14)))-0.0001,MAX(DATOS!$C$71,CEILING(BT21/INDEX(TABLAS!$D$52:$D$58,MIN(MATCH(DATOS!$C$69,TABLAS!$B$52:$B$58,0)+3,7)),1)),MAX(MAX(DATOS!$C$71,CEILING(BT21/INDEX(TABLAS!$D$52:$D$58,MIN(MATCH(DATOS!$C$69,TABLAS!$B$52:$B$58,0)+3,7)),1)),2))&lt;=MIN(DATOS!$C$70,INT(((AC21-2*AK21)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21&gt;=0,IF(MAX(DATOS!$C$71,CEILING(BT21/INDEX(TABLAS!$D$52:$D$58,MIN(MATCH(DATOS!$C$69,TABLAS!$B$52:$B$58,0)+4,7)),1))*INDEX(TABLAS!$D$52:$D$58,MIN(MATCH(DATOS!$C$69,TABLAS!$B$52:$B$58,0)+4,7))&gt;=4/3*IF(BG21&lt;=0,0,IF((1-2*BG21*1E5/(DATOS!$C$29*AE21*BS21^2*DATOS!$C$21))&lt;0,-1,IF((1-SQRT((1-2*BG21*1E5/(DATOS!$C$29*AE21*BS21^2*DATOS!$C$21))))*DATOS!$C$21*AE21*BS21/DATOS!$C$14&gt;DATOS!$C$99*AE21*BS21,-1,(1-SQRT((1-2*BG21*1E5/(DATOS!$C$29*AE21*BS21^2*DATOS!$C$21))))*DATOS!$C$21*AE21*BS21/DATOS!$C$14)))-0.0001,MAX(DATOS!$C$71,CEILING(BT21/INDEX(TABLAS!$D$52:$D$58,MIN(MATCH(DATOS!$C$69,TABLAS!$B$52:$B$58,0)+4,7)),1)),MAX(MAX(DATOS!$C$71,CEILING(BT21/INDEX(TABLAS!$D$52:$D$58,MIN(MATCH(DATOS!$C$69,TABLAS!$B$52:$B$58,0)+4,7)),1)),2))&lt;=MIN(DATOS!$C$70,INT(((AC21-2*AK21)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21" s="59" t="str">
        <f>IF(U21&lt;&gt;"SÍ","",IF(BT21&lt;0,0,IF(MAX(DATOS!$C$71,CEILING(MAX(BT21,0)/INDEX(TABLAS!$D$52:$D$58,MATCH(BU21,TABLAS!$B$52:$B$58,0)),1))*INDEX(TABLAS!$D$52:$D$58,MATCH(BU21,TABLAS!$B$52:$B$58,0))&gt;=4/3*IF(BG21&lt;=0,0,IF((1-2*BG21*1E5/(DATOS!$C$29*AE21*BS21^2*DATOS!$C$21))&lt;0,-1,IF((1-SQRT((1-2*BG21*1E5/(DATOS!$C$29*AE21*BS21^2*DATOS!$C$21))))*DATOS!$C$21*AE21*BS21/DATOS!$C$14&gt;DATOS!$C$99*AE21*BS21,-1,(1-SQRT((1-2*BG21*1E5/(DATOS!$C$29*AE21*BS21^2*DATOS!$C$21))))*DATOS!$C$21*AE21*BS21/DATOS!$C$14)))-0.0001,MAX(DATOS!$C$71,CEILING(MAX(BT21,0)/INDEX(TABLAS!$D$52:$D$58,MATCH(BU21,TABLAS!$B$52:$B$58,0)),1)),MAX(MAX(DATOS!$C$71,CEILING(MAX(BT21,0)/INDEX(TABLAS!$D$52:$D$58,MATCH(BU21,TABLAS!$B$52:$B$58,0)),1)),2))))</f>
        <v/>
      </c>
      <c r="BW21" s="58" t="str">
        <f>IF(U21&lt;&gt;"SÍ","",((DATOS!$C$82-AL21-2*DATOS!$C$94-INDEX(TABLAS!$C$52:$C$58,MATCH(BU21,TABLAS!$B$52:$B$58,0))/2)-IF(AND((DATOS!$C$82-AL21-2*DATOS!$C$94-INDEX(TABLAS!$C$52:$C$58,MATCH(BU21,TABLAS!$B$52:$B$58,0))/2)&lt;=20,DATOS!$C$62&lt;&gt;"SÍ"),2,0)))</f>
        <v/>
      </c>
      <c r="BX21" s="56" t="str">
        <f>IF(U21&lt;&gt;"SÍ","",IF(BV21=0,0,DATOS!$C$29*BV21*INDEX(TABLAS!$D$52:$D$58,MATCH(BU21,TABLAS!$B$52:$B$58,0))*DATOS!$C$14*(BW21-BV21*INDEX(TABLAS!$D$52:$D$58,MATCH(BU21,TABLAS!$B$52:$B$58,0))*DATOS!$C$14/(DATOS!$C$21*AE21)/2)/1E5))</f>
        <v/>
      </c>
      <c r="BY21" s="65" t="str">
        <f>IF(U21&lt;&gt;"SÍ","",IF(BT21&lt;0,9.99,IF(BX21&gt;0,BG21/BX21,0)))</f>
        <v/>
      </c>
      <c r="BZ21" s="66" t="str">
        <f>IF(U21&lt;&gt;"SÍ","",IF(BV21=0,"—",0.003*(BW21-(BV21*INDEX(TABLAS!$D$52:$D$58,MATCH(BU21,TABLAS!$B$52:$B$58,0))*DATOS!$C$14/(DATOS!$C$21*AE21)/DATOS!$C$22))/(BV21*INDEX(TABLAS!$D$52:$D$58,MATCH(BU21,TABLAS!$B$52:$B$58,0))*DATOS!$C$14/(DATOS!$C$21*AE21)/DATOS!$C$22)))</f>
        <v/>
      </c>
      <c r="CA21" s="58" t="str">
        <f>IF(U21&lt;&gt;"SÍ","",(DATOS!$C$82-AJ21-INDEX(TABLAS!$C$52:$C$58,MATCH(DATOS!$C$68,TABLAS!$B$52:$B$58,0))-INDEX(TABLAS!$C$52:$C$58,MATCH(DATOS!$C$68,TABLAS!$B$52:$B$58,0))/2))</f>
        <v/>
      </c>
      <c r="CB21" s="58" t="str">
        <f>IF(U21&lt;&gt;"SÍ","",IF(IF(BH21&lt;=0,0,IF((1-2*BH21*1E5/(DATOS!$C$29*AH21*CA21^2*DATOS!$C$21))&lt;0,-1,IF((1-SQRT((1-2*BH21*1E5/(DATOS!$C$29*AH21*CA21^2*DATOS!$C$21))))*DATOS!$C$21*AH21*CA21/DATOS!$C$14&gt;DATOS!$C$99*AH21*CA21,-1,(1-SQRT((1-2*BH21*1E5/(DATOS!$C$29*AH21*CA21^2*DATOS!$C$21))))*DATOS!$C$21*AH21*CA21/DATOS!$C$14)))&lt;0,-1,MAX(IF(BH21&lt;=0,0,IF((1-2*BH21*1E5/(DATOS!$C$29*AH21*CA21^2*DATOS!$C$21))&lt;0,-1,IF((1-SQRT((1-2*BH21*1E5/(DATOS!$C$29*AH21*CA21^2*DATOS!$C$21))))*DATOS!$C$21*AH21*CA21/DATOS!$C$14&gt;DATOS!$C$99*AH21*CA21,-1,(1-SQRT((1-2*BH21*1E5/(DATOS!$C$29*AH21*CA21^2*DATOS!$C$21))))*DATOS!$C$21*AH21*CA21/DATOS!$C$14))),MIN(DATOS!$C$100*DATOS!$C$80*CA21,4/3*IF(BH21&lt;=0,0,IF((1-2*BH21*1E5/(DATOS!$C$29*AH21*CA21^2*DATOS!$C$21))&lt;0,-1,IF((1-SQRT((1-2*BH21*1E5/(DATOS!$C$29*AH21*CA21^2*DATOS!$C$21))))*DATOS!$C$21*AH21*CA21/DATOS!$C$14&gt;DATOS!$C$99*AH21*CA21,-1,(1-SQRT((1-2*BH21*1E5/(DATOS!$C$29*AH21*CA21^2*DATOS!$C$21))))*DATOS!$C$21*AH21*CA21/DATOS!$C$14)))))))</f>
        <v/>
      </c>
      <c r="CC21" s="64" t="str">
        <f>IF(U21&lt;&gt;"SÍ","",IF(AND(CB21&gt;=0,IF(MAX(DATOS!$C$71,CEILING(CB21/INDEX(TABLAS!$D$52:$D$58,MIN(MATCH(DATOS!$C$68,TABLAS!$B$52:$B$58,0)+0,7)),1))*INDEX(TABLAS!$D$52:$D$58,MIN(MATCH(DATOS!$C$68,TABLAS!$B$52:$B$58,0)+0,7))&gt;=4/3*IF(BH21&lt;=0,0,IF((1-2*BH21*1E5/(DATOS!$C$29*AH21*CA21^2*DATOS!$C$21))&lt;0,-1,IF((1-SQRT((1-2*BH21*1E5/(DATOS!$C$29*AH21*CA21^2*DATOS!$C$21))))*DATOS!$C$21*AH21*CA21/DATOS!$C$14&gt;DATOS!$C$99*AH21*CA21,-1,(1-SQRT((1-2*BH21*1E5/(DATOS!$C$29*AH21*CA21^2*DATOS!$C$21))))*DATOS!$C$21*AH21*CA21/DATOS!$C$14)))-0.0001,MAX(DATOS!$C$71,CEILING(CB21/INDEX(TABLAS!$D$52:$D$58,MIN(MATCH(DATOS!$C$68,TABLAS!$B$52:$B$58,0)+0,7)),1)),MAX(MAX(DATOS!$C$71,CEILING(CB21/INDEX(TABLAS!$D$52:$D$58,MIN(MATCH(DATOS!$C$68,TABLAS!$B$52:$B$58,0)+0,7)),1)),2))&lt;=MIN(DATOS!$C$70,INT(((DATOS!$C$80-2*AJ21)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21&gt;=0,IF(MAX(DATOS!$C$71,CEILING(CB21/INDEX(TABLAS!$D$52:$D$58,MIN(MATCH(DATOS!$C$68,TABLAS!$B$52:$B$58,0)+1,7)),1))*INDEX(TABLAS!$D$52:$D$58,MIN(MATCH(DATOS!$C$68,TABLAS!$B$52:$B$58,0)+1,7))&gt;=4/3*IF(BH21&lt;=0,0,IF((1-2*BH21*1E5/(DATOS!$C$29*AH21*CA21^2*DATOS!$C$21))&lt;0,-1,IF((1-SQRT((1-2*BH21*1E5/(DATOS!$C$29*AH21*CA21^2*DATOS!$C$21))))*DATOS!$C$21*AH21*CA21/DATOS!$C$14&gt;DATOS!$C$99*AH21*CA21,-1,(1-SQRT((1-2*BH21*1E5/(DATOS!$C$29*AH21*CA21^2*DATOS!$C$21))))*DATOS!$C$21*AH21*CA21/DATOS!$C$14)))-0.0001,MAX(DATOS!$C$71,CEILING(CB21/INDEX(TABLAS!$D$52:$D$58,MIN(MATCH(DATOS!$C$68,TABLAS!$B$52:$B$58,0)+1,7)),1)),MAX(MAX(DATOS!$C$71,CEILING(CB21/INDEX(TABLAS!$D$52:$D$58,MIN(MATCH(DATOS!$C$68,TABLAS!$B$52:$B$58,0)+1,7)),1)),2))&lt;=MIN(DATOS!$C$70,INT(((DATOS!$C$80-2*AJ21)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21&gt;=0,IF(MAX(DATOS!$C$71,CEILING(CB21/INDEX(TABLAS!$D$52:$D$58,MIN(MATCH(DATOS!$C$68,TABLAS!$B$52:$B$58,0)+2,7)),1))*INDEX(TABLAS!$D$52:$D$58,MIN(MATCH(DATOS!$C$68,TABLAS!$B$52:$B$58,0)+2,7))&gt;=4/3*IF(BH21&lt;=0,0,IF((1-2*BH21*1E5/(DATOS!$C$29*AH21*CA21^2*DATOS!$C$21))&lt;0,-1,IF((1-SQRT((1-2*BH21*1E5/(DATOS!$C$29*AH21*CA21^2*DATOS!$C$21))))*DATOS!$C$21*AH21*CA21/DATOS!$C$14&gt;DATOS!$C$99*AH21*CA21,-1,(1-SQRT((1-2*BH21*1E5/(DATOS!$C$29*AH21*CA21^2*DATOS!$C$21))))*DATOS!$C$21*AH21*CA21/DATOS!$C$14)))-0.0001,MAX(DATOS!$C$71,CEILING(CB21/INDEX(TABLAS!$D$52:$D$58,MIN(MATCH(DATOS!$C$68,TABLAS!$B$52:$B$58,0)+2,7)),1)),MAX(MAX(DATOS!$C$71,CEILING(CB21/INDEX(TABLAS!$D$52:$D$58,MIN(MATCH(DATOS!$C$68,TABLAS!$B$52:$B$58,0)+2,7)),1)),2))&lt;=MIN(DATOS!$C$70,INT(((DATOS!$C$80-2*AJ21)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21&gt;=0,IF(MAX(DATOS!$C$71,CEILING(CB21/INDEX(TABLAS!$D$52:$D$58,MIN(MATCH(DATOS!$C$68,TABLAS!$B$52:$B$58,0)+3,7)),1))*INDEX(TABLAS!$D$52:$D$58,MIN(MATCH(DATOS!$C$68,TABLAS!$B$52:$B$58,0)+3,7))&gt;=4/3*IF(BH21&lt;=0,0,IF((1-2*BH21*1E5/(DATOS!$C$29*AH21*CA21^2*DATOS!$C$21))&lt;0,-1,IF((1-SQRT((1-2*BH21*1E5/(DATOS!$C$29*AH21*CA21^2*DATOS!$C$21))))*DATOS!$C$21*AH21*CA21/DATOS!$C$14&gt;DATOS!$C$99*AH21*CA21,-1,(1-SQRT((1-2*BH21*1E5/(DATOS!$C$29*AH21*CA21^2*DATOS!$C$21))))*DATOS!$C$21*AH21*CA21/DATOS!$C$14)))-0.0001,MAX(DATOS!$C$71,CEILING(CB21/INDEX(TABLAS!$D$52:$D$58,MIN(MATCH(DATOS!$C$68,TABLAS!$B$52:$B$58,0)+3,7)),1)),MAX(MAX(DATOS!$C$71,CEILING(CB21/INDEX(TABLAS!$D$52:$D$58,MIN(MATCH(DATOS!$C$68,TABLAS!$B$52:$B$58,0)+3,7)),1)),2))&lt;=MIN(DATOS!$C$70,INT(((DATOS!$C$80-2*AJ21)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21&gt;=0,IF(MAX(DATOS!$C$71,CEILING(CB21/INDEX(TABLAS!$D$52:$D$58,MIN(MATCH(DATOS!$C$68,TABLAS!$B$52:$B$58,0)+4,7)),1))*INDEX(TABLAS!$D$52:$D$58,MIN(MATCH(DATOS!$C$68,TABLAS!$B$52:$B$58,0)+4,7))&gt;=4/3*IF(BH21&lt;=0,0,IF((1-2*BH21*1E5/(DATOS!$C$29*AH21*CA21^2*DATOS!$C$21))&lt;0,-1,IF((1-SQRT((1-2*BH21*1E5/(DATOS!$C$29*AH21*CA21^2*DATOS!$C$21))))*DATOS!$C$21*AH21*CA21/DATOS!$C$14&gt;DATOS!$C$99*AH21*CA21,-1,(1-SQRT((1-2*BH21*1E5/(DATOS!$C$29*AH21*CA21^2*DATOS!$C$21))))*DATOS!$C$21*AH21*CA21/DATOS!$C$14)))-0.0001,MAX(DATOS!$C$71,CEILING(CB21/INDEX(TABLAS!$D$52:$D$58,MIN(MATCH(DATOS!$C$68,TABLAS!$B$52:$B$58,0)+4,7)),1)),MAX(MAX(DATOS!$C$71,CEILING(CB21/INDEX(TABLAS!$D$52:$D$58,MIN(MATCH(DATOS!$C$68,TABLAS!$B$52:$B$58,0)+4,7)),1)),2))&lt;=MIN(DATOS!$C$70,INT(((DATOS!$C$80-2*AJ21)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21" s="59" t="str">
        <f>IF(U21&lt;&gt;"SÍ","",IF(CB21&lt;0,0,IF(MAX(DATOS!$C$71,CEILING(MAX(CB21,0)/INDEX(TABLAS!$D$52:$D$58,MATCH(CC21,TABLAS!$B$52:$B$58,0)),1))*INDEX(TABLAS!$D$52:$D$58,MATCH(CC21,TABLAS!$B$52:$B$58,0))&gt;=4/3*IF(BH21&lt;=0,0,IF((1-2*BH21*1E5/(DATOS!$C$29*AH21*CA21^2*DATOS!$C$21))&lt;0,-1,IF((1-SQRT((1-2*BH21*1E5/(DATOS!$C$29*AH21*CA21^2*DATOS!$C$21))))*DATOS!$C$21*AH21*CA21/DATOS!$C$14&gt;DATOS!$C$99*AH21*CA21,-1,(1-SQRT((1-2*BH21*1E5/(DATOS!$C$29*AH21*CA21^2*DATOS!$C$21))))*DATOS!$C$21*AH21*CA21/DATOS!$C$14)))-0.0001,MAX(DATOS!$C$71,CEILING(MAX(CB21,0)/INDEX(TABLAS!$D$52:$D$58,MATCH(CC21,TABLAS!$B$52:$B$58,0)),1)),MAX(MAX(DATOS!$C$71,CEILING(MAX(CB21,0)/INDEX(TABLAS!$D$52:$D$58,MATCH(CC21,TABLAS!$B$52:$B$58,0)),1)),2))))</f>
        <v/>
      </c>
      <c r="CE21" s="58" t="str">
        <f>IF(U21&lt;&gt;"SÍ","",DATOS!$C$82-AJ21-INDEX(TABLAS!$C$52:$C$58,MATCH(BM21,TABLAS!$B$52:$B$58,0))-INDEX(TABLAS!$C$52:$C$58,MATCH(CC21,TABLAS!$B$52:$B$58,0))/2)</f>
        <v/>
      </c>
      <c r="CF21" s="56" t="str">
        <f>IF(U21&lt;&gt;"SÍ","",IF(CD21=0,0,DATOS!$C$29*CD21*INDEX(TABLAS!$D$52:$D$58,MATCH(CC21,TABLAS!$B$52:$B$58,0))*DATOS!$C$14*(CE21-CD21*INDEX(TABLAS!$D$52:$D$58,MATCH(CC21,TABLAS!$B$52:$B$58,0))*DATOS!$C$14/(DATOS!$C$21*AH21)/2)/1E5))</f>
        <v/>
      </c>
      <c r="CG21" s="65" t="str">
        <f>IF(U21&lt;&gt;"SÍ","",IF(CB21&lt;0,9.99,IF(CF21&gt;0,BH21/CF21,0)))</f>
        <v/>
      </c>
      <c r="CH21" s="66" t="str">
        <f>IF(U21&lt;&gt;"SÍ","",IF(CD21=0,"—",0.003*(CE21-(CD21*INDEX(TABLAS!$D$52:$D$58,MATCH(CC21,TABLAS!$B$52:$B$58,0))*DATOS!$C$14/(DATOS!$C$21*AH21)/DATOS!$C$22))/(CD21*INDEX(TABLAS!$D$52:$D$58,MATCH(CC21,TABLAS!$B$52:$B$58,0))*DATOS!$C$14/(DATOS!$C$21*AH21)/DATOS!$C$22)))</f>
        <v/>
      </c>
      <c r="CI21" s="58" t="str">
        <f>IF(U21&lt;&gt;"SÍ","",((DATOS!$C$82-AL21-2*DATOS!$C$94-INDEX(TABLAS!$C$52:$C$58,MATCH(DATOS!$C$69,TABLAS!$B$52:$B$58,0))-INDEX(TABLAS!$C$52:$C$58,MATCH(DATOS!$C$69,TABLAS!$B$52:$B$58,0))/2)-IF(AND((DATOS!$C$82-AL21-2*DATOS!$C$94-INDEX(TABLAS!$C$52:$C$58,MATCH(DATOS!$C$69,TABLAS!$B$52:$B$58,0))-INDEX(TABLAS!$C$52:$C$58,MATCH(DATOS!$C$69,TABLAS!$B$52:$B$58,0))/2)&lt;=20,DATOS!$C$62&lt;&gt;"SÍ"),2,0)))</f>
        <v/>
      </c>
      <c r="CJ21" s="58" t="str">
        <f>IF(U21&lt;&gt;"SÍ","",IF(IF(BI21&lt;=0,0,IF((1-2*BI21*1E5/(DATOS!$C$29*AF21*CI21^2*DATOS!$C$21))&lt;0,-1,IF((1-SQRT((1-2*BI21*1E5/(DATOS!$C$29*AF21*CI21^2*DATOS!$C$21))))*DATOS!$C$21*AF21*CI21/DATOS!$C$14&gt;DATOS!$C$99*AF21*CI21,-1,(1-SQRT((1-2*BI21*1E5/(DATOS!$C$29*AF21*CI21^2*DATOS!$C$21))))*DATOS!$C$21*AF21*CI21/DATOS!$C$14)))&lt;0,-1,MAX(IF(BI21&lt;=0,0,IF((1-2*BI21*1E5/(DATOS!$C$29*AF21*CI21^2*DATOS!$C$21))&lt;0,-1,IF((1-SQRT((1-2*BI21*1E5/(DATOS!$C$29*AF21*CI21^2*DATOS!$C$21))))*DATOS!$C$21*AF21*CI21/DATOS!$C$14&gt;DATOS!$C$99*AF21*CI21,-1,(1-SQRT((1-2*BI21*1E5/(DATOS!$C$29*AF21*CI21^2*DATOS!$C$21))))*DATOS!$C$21*AF21*CI21/DATOS!$C$14))),MIN(DATOS!$C$100*DATOS!$C$80*CI21,4/3*IF(BI21&lt;=0,0,IF((1-2*BI21*1E5/(DATOS!$C$29*AF21*CI21^2*DATOS!$C$21))&lt;0,-1,IF((1-SQRT((1-2*BI21*1E5/(DATOS!$C$29*AF21*CI21^2*DATOS!$C$21))))*DATOS!$C$21*AF21*CI21/DATOS!$C$14&gt;DATOS!$C$99*AF21*CI21,-1,(1-SQRT((1-2*BI21*1E5/(DATOS!$C$29*AF21*CI21^2*DATOS!$C$21))))*DATOS!$C$21*AF21*CI21/DATOS!$C$14)))))))</f>
        <v/>
      </c>
      <c r="CK21" s="64" t="str">
        <f>IF(U21&lt;&gt;"SÍ","",IF(AND(CJ21&gt;=0,IF(MAX(DATOS!$C$71,CEILING(CJ21/INDEX(TABLAS!$D$52:$D$58,MIN(MATCH(DATOS!$C$69,TABLAS!$B$52:$B$58,0)+0,7)),1))*INDEX(TABLAS!$D$52:$D$58,MIN(MATCH(DATOS!$C$69,TABLAS!$B$52:$B$58,0)+0,7))&gt;=4/3*IF(BI21&lt;=0,0,IF((1-2*BI21*1E5/(DATOS!$C$29*AF21*CI21^2*DATOS!$C$21))&lt;0,-1,IF((1-SQRT((1-2*BI21*1E5/(DATOS!$C$29*AF21*CI21^2*DATOS!$C$21))))*DATOS!$C$21*AF21*CI21/DATOS!$C$14&gt;DATOS!$C$99*AF21*CI21,-1,(1-SQRT((1-2*BI21*1E5/(DATOS!$C$29*AF21*CI21^2*DATOS!$C$21))))*DATOS!$C$21*AF21*CI21/DATOS!$C$14)))-0.0001,MAX(DATOS!$C$71,CEILING(CJ21/INDEX(TABLAS!$D$52:$D$58,MIN(MATCH(DATOS!$C$69,TABLAS!$B$52:$B$58,0)+0,7)),1)),MAX(MAX(DATOS!$C$71,CEILING(CJ21/INDEX(TABLAS!$D$52:$D$58,MIN(MATCH(DATOS!$C$69,TABLAS!$B$52:$B$58,0)+0,7)),1)),2))&lt;=MIN(DATOS!$C$70,INT(((DATOS!$C$80-2*AK21)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21&gt;=0,IF(MAX(DATOS!$C$71,CEILING(CJ21/INDEX(TABLAS!$D$52:$D$58,MIN(MATCH(DATOS!$C$69,TABLAS!$B$52:$B$58,0)+1,7)),1))*INDEX(TABLAS!$D$52:$D$58,MIN(MATCH(DATOS!$C$69,TABLAS!$B$52:$B$58,0)+1,7))&gt;=4/3*IF(BI21&lt;=0,0,IF((1-2*BI21*1E5/(DATOS!$C$29*AF21*CI21^2*DATOS!$C$21))&lt;0,-1,IF((1-SQRT((1-2*BI21*1E5/(DATOS!$C$29*AF21*CI21^2*DATOS!$C$21))))*DATOS!$C$21*AF21*CI21/DATOS!$C$14&gt;DATOS!$C$99*AF21*CI21,-1,(1-SQRT((1-2*BI21*1E5/(DATOS!$C$29*AF21*CI21^2*DATOS!$C$21))))*DATOS!$C$21*AF21*CI21/DATOS!$C$14)))-0.0001,MAX(DATOS!$C$71,CEILING(CJ21/INDEX(TABLAS!$D$52:$D$58,MIN(MATCH(DATOS!$C$69,TABLAS!$B$52:$B$58,0)+1,7)),1)),MAX(MAX(DATOS!$C$71,CEILING(CJ21/INDEX(TABLAS!$D$52:$D$58,MIN(MATCH(DATOS!$C$69,TABLAS!$B$52:$B$58,0)+1,7)),1)),2))&lt;=MIN(DATOS!$C$70,INT(((DATOS!$C$80-2*AK21)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21&gt;=0,IF(MAX(DATOS!$C$71,CEILING(CJ21/INDEX(TABLAS!$D$52:$D$58,MIN(MATCH(DATOS!$C$69,TABLAS!$B$52:$B$58,0)+2,7)),1))*INDEX(TABLAS!$D$52:$D$58,MIN(MATCH(DATOS!$C$69,TABLAS!$B$52:$B$58,0)+2,7))&gt;=4/3*IF(BI21&lt;=0,0,IF((1-2*BI21*1E5/(DATOS!$C$29*AF21*CI21^2*DATOS!$C$21))&lt;0,-1,IF((1-SQRT((1-2*BI21*1E5/(DATOS!$C$29*AF21*CI21^2*DATOS!$C$21))))*DATOS!$C$21*AF21*CI21/DATOS!$C$14&gt;DATOS!$C$99*AF21*CI21,-1,(1-SQRT((1-2*BI21*1E5/(DATOS!$C$29*AF21*CI21^2*DATOS!$C$21))))*DATOS!$C$21*AF21*CI21/DATOS!$C$14)))-0.0001,MAX(DATOS!$C$71,CEILING(CJ21/INDEX(TABLAS!$D$52:$D$58,MIN(MATCH(DATOS!$C$69,TABLAS!$B$52:$B$58,0)+2,7)),1)),MAX(MAX(DATOS!$C$71,CEILING(CJ21/INDEX(TABLAS!$D$52:$D$58,MIN(MATCH(DATOS!$C$69,TABLAS!$B$52:$B$58,0)+2,7)),1)),2))&lt;=MIN(DATOS!$C$70,INT(((DATOS!$C$80-2*AK21)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21&gt;=0,IF(MAX(DATOS!$C$71,CEILING(CJ21/INDEX(TABLAS!$D$52:$D$58,MIN(MATCH(DATOS!$C$69,TABLAS!$B$52:$B$58,0)+3,7)),1))*INDEX(TABLAS!$D$52:$D$58,MIN(MATCH(DATOS!$C$69,TABLAS!$B$52:$B$58,0)+3,7))&gt;=4/3*IF(BI21&lt;=0,0,IF((1-2*BI21*1E5/(DATOS!$C$29*AF21*CI21^2*DATOS!$C$21))&lt;0,-1,IF((1-SQRT((1-2*BI21*1E5/(DATOS!$C$29*AF21*CI21^2*DATOS!$C$21))))*DATOS!$C$21*AF21*CI21/DATOS!$C$14&gt;DATOS!$C$99*AF21*CI21,-1,(1-SQRT((1-2*BI21*1E5/(DATOS!$C$29*AF21*CI21^2*DATOS!$C$21))))*DATOS!$C$21*AF21*CI21/DATOS!$C$14)))-0.0001,MAX(DATOS!$C$71,CEILING(CJ21/INDEX(TABLAS!$D$52:$D$58,MIN(MATCH(DATOS!$C$69,TABLAS!$B$52:$B$58,0)+3,7)),1)),MAX(MAX(DATOS!$C$71,CEILING(CJ21/INDEX(TABLAS!$D$52:$D$58,MIN(MATCH(DATOS!$C$69,TABLAS!$B$52:$B$58,0)+3,7)),1)),2))&lt;=MIN(DATOS!$C$70,INT(((DATOS!$C$80-2*AK21)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21&gt;=0,IF(MAX(DATOS!$C$71,CEILING(CJ21/INDEX(TABLAS!$D$52:$D$58,MIN(MATCH(DATOS!$C$69,TABLAS!$B$52:$B$58,0)+4,7)),1))*INDEX(TABLAS!$D$52:$D$58,MIN(MATCH(DATOS!$C$69,TABLAS!$B$52:$B$58,0)+4,7))&gt;=4/3*IF(BI21&lt;=0,0,IF((1-2*BI21*1E5/(DATOS!$C$29*AF21*CI21^2*DATOS!$C$21))&lt;0,-1,IF((1-SQRT((1-2*BI21*1E5/(DATOS!$C$29*AF21*CI21^2*DATOS!$C$21))))*DATOS!$C$21*AF21*CI21/DATOS!$C$14&gt;DATOS!$C$99*AF21*CI21,-1,(1-SQRT((1-2*BI21*1E5/(DATOS!$C$29*AF21*CI21^2*DATOS!$C$21))))*DATOS!$C$21*AF21*CI21/DATOS!$C$14)))-0.0001,MAX(DATOS!$C$71,CEILING(CJ21/INDEX(TABLAS!$D$52:$D$58,MIN(MATCH(DATOS!$C$69,TABLAS!$B$52:$B$58,0)+4,7)),1)),MAX(MAX(DATOS!$C$71,CEILING(CJ21/INDEX(TABLAS!$D$52:$D$58,MIN(MATCH(DATOS!$C$69,TABLAS!$B$52:$B$58,0)+4,7)),1)),2))&lt;=MIN(DATOS!$C$70,INT(((DATOS!$C$80-2*AK21)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21" s="59" t="str">
        <f>IF(U21&lt;&gt;"SÍ","",IF(CJ21&lt;0,0,IF(MAX(DATOS!$C$71,CEILING(MAX(CJ21,0)/INDEX(TABLAS!$D$52:$D$58,MATCH(CK21,TABLAS!$B$52:$B$58,0)),1))*INDEX(TABLAS!$D$52:$D$58,MATCH(CK21,TABLAS!$B$52:$B$58,0))&gt;=4/3*IF(BI21&lt;=0,0,IF((1-2*BI21*1E5/(DATOS!$C$29*AF21*CI21^2*DATOS!$C$21))&lt;0,-1,IF((1-SQRT((1-2*BI21*1E5/(DATOS!$C$29*AF21*CI21^2*DATOS!$C$21))))*DATOS!$C$21*AF21*CI21/DATOS!$C$14&gt;DATOS!$C$99*AF21*CI21,-1,(1-SQRT((1-2*BI21*1E5/(DATOS!$C$29*AF21*CI21^2*DATOS!$C$21))))*DATOS!$C$21*AF21*CI21/DATOS!$C$14)))-0.0001,MAX(DATOS!$C$71,CEILING(MAX(CJ21,0)/INDEX(TABLAS!$D$52:$D$58,MATCH(CK21,TABLAS!$B$52:$B$58,0)),1)),MAX(MAX(DATOS!$C$71,CEILING(MAX(CJ21,0)/INDEX(TABLAS!$D$52:$D$58,MATCH(CK21,TABLAS!$B$52:$B$58,0)),1)),2))))</f>
        <v/>
      </c>
      <c r="CM21" s="58" t="str">
        <f>IF(U21&lt;&gt;"SÍ","",((DATOS!$C$82-AL21-2*DATOS!$C$94-INDEX(TABLAS!$C$52:$C$58,MATCH(BU21,TABLAS!$B$52:$B$58,0))-INDEX(TABLAS!$C$52:$C$58,MATCH(CK21,TABLAS!$B$52:$B$58,0))/2)-IF(AND((DATOS!$C$82-AL21-2*DATOS!$C$94-INDEX(TABLAS!$C$52:$C$58,MATCH(BU21,TABLAS!$B$52:$B$58,0))-INDEX(TABLAS!$C$52:$C$58,MATCH(CK21,TABLAS!$B$52:$B$58,0))/2)&lt;=20,DATOS!$C$62&lt;&gt;"SÍ"),2,0)))</f>
        <v/>
      </c>
      <c r="CN21" s="56" t="str">
        <f>IF(U21&lt;&gt;"SÍ","",IF(CL21=0,0,DATOS!$C$29*CL21*INDEX(TABLAS!$D$52:$D$58,MATCH(CK21,TABLAS!$B$52:$B$58,0))*DATOS!$C$14*(CM21-CL21*INDEX(TABLAS!$D$52:$D$58,MATCH(CK21,TABLAS!$B$52:$B$58,0))*DATOS!$C$14/(DATOS!$C$21*AF21)/2)/1E5))</f>
        <v/>
      </c>
      <c r="CO21" s="65" t="str">
        <f>IF(U21&lt;&gt;"SÍ","",IF(CJ21&lt;0,9.99,IF(CN21&gt;0,BI21/CN21,0)))</f>
        <v/>
      </c>
      <c r="CP21" s="66" t="str">
        <f>IF(U21&lt;&gt;"SÍ","",IF(CL21=0,"—",0.003*(CM21-(CL21*INDEX(TABLAS!$D$52:$D$58,MATCH(CK21,TABLAS!$B$52:$B$58,0))*DATOS!$C$14/(DATOS!$C$21*AF21)/DATOS!$C$22))/(CL21*INDEX(TABLAS!$D$52:$D$58,MATCH(CK21,TABLAS!$B$52:$B$58,0))*DATOS!$C$14/(DATOS!$C$21*AF21)/DATOS!$C$22)))</f>
        <v/>
      </c>
      <c r="CQ21" s="56" t="str">
        <f>IF(U21&lt;&gt;"SÍ","",IF(C21="PERIMETRAL",MAX(0,(AA21/2-BW21)/100)*(0.95-0.5*Z21)*AQ21*IF(AND(AR21&gt;0,AR21&lt;4),DATOS!$C$33,1)*DATOS!$C$83/100/1000,(AQ21*MAX(0,AA21-BW21)/100+DATOS!$C$26*N(O21))*DATOS!$C$83/100/1000+BE21))</f>
        <v/>
      </c>
      <c r="CR21" s="56" t="str">
        <f>IF(U21&lt;&gt;"SÍ","",DATOS!$C$30*2*MIN(1,SQRT(2/(1+0.04*BW21)))*(BV21*INDEX(TABLAS!$D$52:$D$58,MATCH(BU21,TABLAS!$B$52:$B$58,0))/(AE21*BW21))^(1/3)*SQRT(DATOS!$C$13)*AE21*BW21*IF(AI21="SÍ",DATOS!$C$32,1)/1000)</f>
        <v/>
      </c>
      <c r="CS21" s="59" t="str">
        <f>IF(U21&lt;&gt;"SÍ","",IF(CQ21&lt;=CR21,0,CEILING(MAX(0,IF(C21="VOLADO",(AA21-((CR21-BE21)*1E5/DATOS!$C$83-DATOS!$C$26*N(O21))*100/AQ21),IF(CR21&lt;=0,AA21,AA21/2-CR21/MAX(CQ21,1E-9)*(AA21/2-BW21)))-IF(INT((X21*100-DATOS!$C$84+DATOS!$C$80)/DATOS!$C$83)&gt;0,(X21*100-DATOS!$C$84-(INT((X21*100-DATOS!$C$84+DATOS!$C$80)/DATOS!$C$83)*DATOS!$C$78+(INT((X21*100-DATOS!$C$84+DATOS!$C$80)/DATOS!$C$83)-1)*DATOS!$C$80))/2,X21*100/2))/DATOS!$C$83,1)))</f>
        <v/>
      </c>
      <c r="CT21" s="67" t="str">
        <f>IF(U21&lt;&gt;"SÍ","",IF(CQ21&lt;=CR21,"CUMPLE",IF(CS21&lt;=0,"CUMPLE (basta el macizo de orilla)",IF(CS21*DATOS!$C$83*IF(C21="VOLADO",1,2)&gt;=X21*100-DATOS!$C$84,"NO CUMPLE: no alcanza ni macizando todo","MACIZAR "&amp;CS21&amp;" hilera(s)"))))</f>
        <v/>
      </c>
      <c r="CU21" s="58" t="str">
        <f>IF(U21&lt;&gt;"SÍ","",(DATOS!$C$83*DATOS!$C$81^2/2+AC21*DATOS!$C$79*(DATOS!$C$81+DATOS!$C$79/2))/(DATOS!$C$83*DATOS!$C$81+AC21*DATOS!$C$79))</f>
        <v/>
      </c>
      <c r="CV21" s="68" t="str">
        <f>IF(U21&lt;&gt;"SÍ","",DATOS!$C$83*DATOS!$C$81^3/12+DATOS!$C$83*DATOS!$C$81*(CU21-DATOS!$C$81/2)^2+AC21*DATOS!$C$79^3/12+AC21*DATOS!$C$79*(DATOS!$C$81+DATOS!$C$79/2-CU21)^2)</f>
        <v/>
      </c>
      <c r="CW21" s="58" t="str">
        <f>IF(U21&lt;&gt;"SÍ","",(12*CV21/DATOS!$C$83)^(1/3))</f>
        <v/>
      </c>
      <c r="CX21" s="58" t="str">
        <f>IF(U21&lt;&gt;"SÍ","",IF(C21="PERIMETRAL",IF(ISNUMBER(R21),R21,DATOS!$C$101),0))</f>
        <v/>
      </c>
      <c r="CY21" s="57" t="str">
        <f>IF(U21&lt;&gt;"SÍ","",IF(C21="PERIMETRAL",IF(CX21&gt;2,MAX(9,AB21*(0.8+DATOS!$C$14/14000)/(36+9*(AB21/MAX(AA21,1)))),IF(CX21&gt;0.2,MAX(13,AB21*(0.8+DATOS!$C$14/14000)/(36+5*(AB21/MAX(AA21,1))*(CX21-0.2))),MAX(13,AB21/IF(AR21&gt;0,30,33))))*IF(AND(CX21&gt;0.2,AR21&gt;0,DATOS!$C$102="NO"),1.1,1),X21*100/8))</f>
        <v/>
      </c>
      <c r="CZ21" s="61" t="str">
        <f>IF(U21&lt;&gt;"SÍ","",IF(IF(C21="VOLADO",DATOS!$C$82,CW21)&gt;=CY21,"CUMPLE",IF(C21="VOLADO","NO CUMPLE","CALCULAR FLECHA")))</f>
        <v/>
      </c>
      <c r="DA21" s="55" t="str">
        <f>IF(U21&lt;&gt;"SÍ","",IF(DATOS!$C$81&gt;=IF(IF(C21="VOLADO",X21,Y21)&gt;=6,6,5),"CUMPLE","CAPA ≥ 6 cm"))</f>
        <v/>
      </c>
      <c r="DB21" s="60" t="str">
        <f>IF(U21&lt;&gt;"SÍ","",IF(C21="VOLADO",MIN(CEILING(IF(ISNUMBER(P21),P21,X21)*100,5),CEILING(MAX(IF((0.5*(0.9*DATOS!$C$87*DATOS!$C$83/100/1000)*IF(ISNUMBER(P21),P21,X21)+BG21/IF(ISNUMBER(P21),P21,X21))^2-4*(0.5*(0.9*DATOS!$C$87*DATOS!$C$83/100/1000))*BG21&lt;0,IF(ISNUMBER(P21),P21,X21),MIN(IF(ISNUMBER(P21),P21,X21),((0.5*(0.9*DATOS!$C$87*DATOS!$C$83/100/1000)*IF(ISNUMBER(P21),P21,X21)+BG21/IF(ISNUMBER(P21),P21,X21))-SQRT((0.5*(0.9*DATOS!$C$87*DATOS!$C$83/100/1000)*IF(ISNUMBER(P21),P21,X21)+BG21/IF(ISNUMBER(P21),P21,X21))^2-4*(0.5*(0.9*DATOS!$C$87*DATOS!$C$83/100/1000))*BG21))/(2*(0.5*(0.9*DATOS!$C$87*DATOS!$C$83/100/1000)))))*100+MAX(BW21,12*INDEX(TABLAS!$C$52:$C$58,MATCH(BU21,TABLAS!$B$52:$B$58,0)),IF(ISNUMBER(P21),P21,X21)*100/16),IF(OR(AK21&lt;INDEX(TABLAS!$C$52:$C$58,MATCH(BU21,TABLAS!$B$52:$B$58,0)),AND(BV21&gt;=2,(AC21-2*AK21-BV21*INDEX(TABLAS!$C$52:$C$58,MATCH(BU21,TABLAS!$B$52:$B$58,0)))/MAX(BV21-1,1)&lt;2*INDEX(TABLAS!$C$52:$C$58,MATCH(BU21,TABLAS!$B$52:$B$58,0)))),INDEX(TABLAS!$I$52:$I$58,MATCH(BU21,TABLAS!$B$52:$B$58,0)),INDEX(TABLAS!$F$52:$F$58,MATCH(BU21,TABLAS!$B$52:$B$58,0)))),5)),IF(((4*((BB21*AQ21*X21^2*1E-4*DATOS!$C$83/100/1000)+((MAX(AX21,AZ21)*AQ21*X21^2*1E-4*DATOS!$C$83/100/1000)+(IF(AND(AX21&gt;0,AZ21&gt;0),MIN(AX21,AZ21),MAX(AX21,AZ21))*AQ21*X21^2*1E-4*DATOS!$C$83/100/1000))/2)+BG21-(IF(AND(AX21&gt;0,AZ21&gt;0),MIN(AX21,AZ21),MAX(AX21,AZ21))*AQ21*X21^2*1E-4*DATOS!$C$83/100/1000))^2-16*((BB21*AQ21*X21^2*1E-4*DATOS!$C$83/100/1000)+((MAX(AX21,AZ21)*AQ21*X21^2*1E-4*DATOS!$C$83/100/1000)+(IF(AND(AX21&gt;0,AZ21&gt;0),MIN(AX21,AZ21),MAX(AX21,AZ21))*AQ21*X21^2*1E-4*DATOS!$C$83/100/1000))/2)*BG21)&lt;0,CEILING(AA21,5),CEILING(MAX(AA21*((4*((BB21*AQ21*X21^2*1E-4*DATOS!$C$83/100/1000)+((MAX(AX21,AZ21)*AQ21*X21^2*1E-4*DATOS!$C$83/100/1000)+(IF(AND(AX21&gt;0,AZ21&gt;0),MIN(AX21,AZ21),MAX(AX21,AZ21))*AQ21*X21^2*1E-4*DATOS!$C$83/100/1000))/2)+BG21-(IF(AND(AX21&gt;0,AZ21&gt;0),MIN(AX21,AZ21),MAX(AX21,AZ21))*AQ21*X21^2*1E-4*DATOS!$C$83/100/1000))-SQRT(MAX(0,((4*((BB21*AQ21*X21^2*1E-4*DATOS!$C$83/100/1000)+((MAX(AX21,AZ21)*AQ21*X21^2*1E-4*DATOS!$C$83/100/1000)+(IF(AND(AX21&gt;0,AZ21&gt;0),MIN(AX21,AZ21),MAX(AX21,AZ21))*AQ21*X21^2*1E-4*DATOS!$C$83/100/1000))/2)+BG21-(IF(AND(AX21&gt;0,AZ21&gt;0),MIN(AX21,AZ21),MAX(AX21,AZ21))*AQ21*X21^2*1E-4*DATOS!$C$83/100/1000))^2-16*((BB21*AQ21*X21^2*1E-4*DATOS!$C$83/100/1000)+((MAX(AX21,AZ21)*AQ21*X21^2*1E-4*DATOS!$C$83/100/1000)+(IF(AND(AX21&gt;0,AZ21&gt;0),MIN(AX21,AZ21),MAX(AX21,AZ21))*AQ21*X21^2*1E-4*DATOS!$C$83/100/1000))/2)*BG21))))/(8*MAX(((BB21*AQ21*X21^2*1E-4*DATOS!$C$83/100/1000)+((MAX(AX21,AZ21)*AQ21*X21^2*1E-4*DATOS!$C$83/100/1000)+(IF(AND(AX21&gt;0,AZ21&gt;0),MIN(AX21,AZ21),MAX(AX21,AZ21))*AQ21*X21^2*1E-4*DATOS!$C$83/100/1000))/2),1E-9))+MAX(BW21,12*INDEX(TABLAS!$C$52:$C$58,MATCH(BU21,TABLAS!$B$52:$B$58,0)),AA21/16),IF(OR(AK21&lt;INDEX(TABLAS!$C$52:$C$58,MATCH(BU21,TABLAS!$B$52:$B$58,0)),AND(BV21&gt;=2,(AC21-2*AK21-BV21*INDEX(TABLAS!$C$52:$C$58,MATCH(BU21,TABLAS!$B$52:$B$58,0)))/MAX(BV21-1,1)&lt;2*INDEX(TABLAS!$C$52:$C$58,MATCH(BU21,TABLAS!$B$52:$B$58,0)))),INDEX(TABLAS!$I$52:$I$58,MATCH(BU21,TABLAS!$B$52:$B$58,0)),INDEX(TABLAS!$F$52:$F$58,MATCH(BU21,TABLAS!$B$52:$B$58,0)))),5))))</f>
        <v/>
      </c>
      <c r="DC21" s="60" t="str">
        <f>IF(U21&lt;&gt;"SÍ","",IF(C21="VOLADO",0,IF(((4*((BC21*AQ21*X21^2*1E-4*DATOS!$C$83/100/1000)+((MAX(AY21,BA21)*AQ21*X21^2*1E-4*DATOS!$C$83/100/1000)+(IF(AND(AY21&gt;0,BA21&gt;0),MIN(AY21,BA21),MAX(AY21,BA21))*AQ21*X21^2*1E-4*DATOS!$C$83/100/1000))/2)+BI21-(IF(AND(AY21&gt;0,BA21&gt;0),MIN(AY21,BA21),MAX(AY21,BA21))*AQ21*X21^2*1E-4*DATOS!$C$83/100/1000))^2-16*((BC21*AQ21*X21^2*1E-4*DATOS!$C$83/100/1000)+((MAX(AY21,BA21)*AQ21*X21^2*1E-4*DATOS!$C$83/100/1000)+(IF(AND(AY21&gt;0,BA21&gt;0),MIN(AY21,BA21),MAX(AY21,BA21))*AQ21*X21^2*1E-4*DATOS!$C$83/100/1000))/2)*BI21)&lt;0,CEILING(AB21,5),CEILING(MAX(AB21*((4*((BC21*AQ21*X21^2*1E-4*DATOS!$C$83/100/1000)+((MAX(AY21,BA21)*AQ21*X21^2*1E-4*DATOS!$C$83/100/1000)+(IF(AND(AY21&gt;0,BA21&gt;0),MIN(AY21,BA21),MAX(AY21,BA21))*AQ21*X21^2*1E-4*DATOS!$C$83/100/1000))/2)+BI21-(IF(AND(AY21&gt;0,BA21&gt;0),MIN(AY21,BA21),MAX(AY21,BA21))*AQ21*X21^2*1E-4*DATOS!$C$83/100/1000))-SQRT(MAX(0,((4*((BC21*AQ21*X21^2*1E-4*DATOS!$C$83/100/1000)+((MAX(AY21,BA21)*AQ21*X21^2*1E-4*DATOS!$C$83/100/1000)+(IF(AND(AY21&gt;0,BA21&gt;0),MIN(AY21,BA21),MAX(AY21,BA21))*AQ21*X21^2*1E-4*DATOS!$C$83/100/1000))/2)+BI21-(IF(AND(AY21&gt;0,BA21&gt;0),MIN(AY21,BA21),MAX(AY21,BA21))*AQ21*X21^2*1E-4*DATOS!$C$83/100/1000))^2-16*((BC21*AQ21*X21^2*1E-4*DATOS!$C$83/100/1000)+((MAX(AY21,BA21)*AQ21*X21^2*1E-4*DATOS!$C$83/100/1000)+(IF(AND(AY21&gt;0,BA21&gt;0),MIN(AY21,BA21),MAX(AY21,BA21))*AQ21*X21^2*1E-4*DATOS!$C$83/100/1000))/2)*BI21))))/(8*MAX(((BC21*AQ21*X21^2*1E-4*DATOS!$C$83/100/1000)+((MAX(AY21,BA21)*AQ21*X21^2*1E-4*DATOS!$C$83/100/1000)+(IF(AND(AY21&gt;0,BA21&gt;0),MIN(AY21,BA21),MAX(AY21,BA21))*AQ21*X21^2*1E-4*DATOS!$C$83/100/1000))/2),1E-9))+MAX(CM21,12*INDEX(TABLAS!$C$52:$C$58,MATCH(CK21,TABLAS!$B$52:$B$58,0)),AB21/16),IF(OR(AK21&lt;INDEX(TABLAS!$C$52:$C$58,MATCH(CK21,TABLAS!$B$52:$B$58,0)),AND(CL21&gt;=2,(DATOS!$C$80-2*AK21-CL21*INDEX(TABLAS!$C$52:$C$58,MATCH(CK21,TABLAS!$B$52:$B$58,0)))/MAX(CL21-1,1)&lt;2*INDEX(TABLAS!$C$52:$C$58,MATCH(CK21,TABLAS!$B$52:$B$58,0)))),INDEX(TABLAS!$I$52:$I$58,MATCH(CK21,TABLAS!$B$52:$B$58,0)),INDEX(TABLAS!$F$52:$F$58,MATCH(CK21,TABLAS!$B$52:$B$58,0)))),5))))</f>
        <v/>
      </c>
      <c r="DD21" s="55" t="str">
        <f>IF(U21&lt;&gt;"SÍ","",IF(AND(C21="PERIMETRAL",BV21&gt;=2,AR21-AS21&gt;0,AZ21*AQ21*X21^2*1E-4*DATOS!$C$83/100/1000&gt;DATOS!$C$29*INDEX(TABLAS!$D$52:$D$58,MATCH(BU21,TABLAS!$B$52:$B$58,0))*DATOS!$C$14*(BW21-INDEX(TABLAS!$D$52:$D$58,MATCH(BU21,TABLAS!$B$52:$B$58,0))*DATOS!$C$14/(DATOS!$C$21*AE21)/2)/1E5),"SÍ","NO"))</f>
        <v/>
      </c>
      <c r="DE21" s="55" t="str">
        <f>IF(U21&lt;&gt;"SÍ","",IF(AND(C21="PERIMETRAL",CL21&gt;=2,AS21&gt;0,BA21*AQ21*X21^2*1E-4*DATOS!$C$83/100/1000&gt;DATOS!$C$29*INDEX(TABLAS!$D$52:$D$58,MATCH(CK21,TABLAS!$B$52:$B$58,0))*DATOS!$C$14*(CM21-INDEX(TABLAS!$D$52:$D$58,MATCH(CK21,TABLAS!$B$52:$B$58,0))*DATOS!$C$14/(DATOS!$C$21*AF21)/2)/1E5),"SÍ","NO"))</f>
        <v/>
      </c>
      <c r="DF21" s="63" t="str">
        <f>IF(U21&lt;&gt;"SÍ","",IF(OR(C21="VOLADO",AR21=0),"—",IF(AND(AND(1.25*INDEX(TABLAS!$G$52:$G$58,MATCH(MAX(BM21,CC21),TABLAS!$B$52:$B$58,0))&lt;=(DATOS!$C$72-DATOS!$C$60),(DATOS!$C$72-DATOS!$C$60)&gt;=15,INDEX(TABLAS!$G$52:$G$58,MATCH(MAX(BU21,CK21),TABLAS!$B$52:$B$58,0))&lt;=(DATOS!$C$72-DATOS!$C$60)),8*INDEX(TABLAS!$C$52:$C$58,MATCH(MAX(MAX(BM21,CC21),MAX(BU21,CK21)),TABLAS!$B$52:$B$58,0))&lt;=DATOS!$C$73-2*DATOS!$C$60),"CUMPLE (gancho de 180°)",IF(AND(1.25*INDEX(TABLAS!$G$52:$G$58,MATCH(MAX(BM21,CC21),TABLAS!$B$52:$B$58,0))&lt;=(DATOS!$C$72-DATOS!$C$60),(DATOS!$C$72-DATOS!$C$60)&gt;=15,INDEX(TABLAS!$G$52:$G$58,MATCH(MAX(BU21,CK21),TABLAS!$B$52:$B$58,0))&lt;=(DATOS!$C$72-DATOS!$C$60)),"NO CUMPLE: el gancho de 180° (8·d_b) no cabe en el peralte de la dala de borde","NO CUMPLE: dala de borde ≥ "&amp;TEXT(CEILING(MAX(1.25*INDEX(TABLAS!$G$52:$G$58,MATCH(MAX(BM21,CC21),TABLAS!$B$52:$B$58,0)),15,INDEX(TABLAS!$G$52:$G$58,MATCH(MAX(BU21,CK21),TABLAS!$B$52:$B$58,0)))+DATOS!$C$60,5),"0")&amp;" cm de ancho"&amp;IF(8*INDEX(TABLAS!$C$52:$C$58,MATCH(MAX(MAX(BM21,CC21),MAX(BU21,CK21)),TABLAS!$B$52:$B$58,0))&lt;=DATOS!$C$73-2*DATOS!$C$60,""," y más peralte para el gancho")))))</f>
        <v/>
      </c>
      <c r="DG21" s="59" t="str">
        <f>IF(U21&lt;&gt;"SÍ","",MAX(0,INT((E21*100-DATOS!$C$84+DATOS!$C$83-IF(W21="X",DATOS!$C$78,AD21))/DATOS!$C$83)))</f>
        <v/>
      </c>
      <c r="DH21" s="59" t="str">
        <f>IF(U21&lt;&gt;"SÍ","",MAX(0,INT((F21*100-DATOS!$C$84+DATOS!$C$83-IF(W21="Y",DATOS!$C$78,AD21))/DATOS!$C$83)))</f>
        <v/>
      </c>
      <c r="DI21" s="57" t="str">
        <f>IF(U21&lt;&gt;"SÍ","",IF(DG21&gt;0,(E21*100-DATOS!$C$84-(DG21*IF(W21="X",DATOS!$C$78,AD21)+(DG21-1)*(DATOS!$C$83-IF(W21="X",DATOS!$C$78,AD21))))/2,E21*100/2))</f>
        <v/>
      </c>
      <c r="DJ21" s="57" t="str">
        <f>IF(U21&lt;&gt;"SÍ","",IF(DH21&gt;0,(F21*100-DATOS!$C$84-(DH21*IF(W21="Y",DATOS!$C$78,AD21)+(DH21-1)*(DATOS!$C$83-IF(W21="Y",DATOS!$C$78,AD21))))/2,F21*100/2))</f>
        <v/>
      </c>
      <c r="DK21" s="59" t="str">
        <f>IF(U21&lt;&gt;"SÍ","",IF(NOT(AND(C21="VOLADO",AC21&gt;DATOS!$C$80)),0,IF(INDEX(TABLAS!$C$52:$C$58,MATCH(BU21,TABLAS!$B$52:$B$58,0))&lt;=DATOS!$C$80-2*DATOS!$C$60,1,0)))</f>
        <v/>
      </c>
      <c r="DL21" s="58" t="str">
        <f>IF(U21&lt;&gt;"SÍ","",IF(NOT(AND(C21="VOLADO",AC21&gt;DATOS!$C$80)),0,((DATOS!$C$82-MAX(DATOS!$C$60,(DATOS!$C$81-2*DATOS!$C$94)/2)-2*DATOS!$C$94-INDEX(TABLAS!$C$52:$C$58,MATCH(BU21,TABLAS!$B$52:$B$58,0))/2)-IF(AND((DATOS!$C$82-MAX(DATOS!$C$60,(DATOS!$C$81-2*DATOS!$C$94)/2)-2*DATOS!$C$94-INDEX(TABLAS!$C$52:$C$58,MATCH(BU21,TABLAS!$B$52:$B$58,0))/2)&lt;=20,DATOS!$C$62&lt;&gt;"SÍ"),2,0))))</f>
        <v/>
      </c>
      <c r="DM21" s="56" t="str">
        <f>IF(U21&lt;&gt;"SÍ","",IF(OR(NOT(AND(C21="VOLADO",AC21&gt;DATOS!$C$80)),DK21&lt;1),0,IF(0.003*(DL21-((DK21*INDEX(TABLAS!$D$52:$D$58,MATCH(BU21,TABLAS!$B$52:$B$58,0)))*DATOS!$C$14/(DATOS!$C$21*AF21)/DATOS!$C$22))/((DK21*INDEX(TABLAS!$D$52:$D$58,MATCH(BU21,TABLAS!$B$52:$B$58,0)))*DATOS!$C$14/(DATOS!$C$21*AF21)/DATOS!$C$22)&lt;0.005,0,DATOS!$C$29*(DK21*INDEX(TABLAS!$D$52:$D$58,MATCH(BU21,TABLAS!$B$52:$B$58,0)))*DATOS!$C$14*(DL21-(DK21*INDEX(TABLAS!$D$52:$D$58,MATCH(BU21,TABLAS!$B$52:$B$58,0)))*DATOS!$C$14/(DATOS!$C$21*AF21)/2)/1E5)))</f>
        <v/>
      </c>
      <c r="DN21" s="56" t="str">
        <f>IF(U21&lt;&gt;"SÍ","",IF(OR(NOT(AND(C21="VOLADO",AC21&gt;DATOS!$C$80)),DK21&lt;1),0,DATOS!$C$30*2*MIN(1,SQRT(2/(1+0.04*DL21)))*((DK21*INDEX(TABLAS!$D$52:$D$58,MATCH(BU21,TABLAS!$B$52:$B$58,0)))/(AF21*DL21))^(1/3)*SQRT(DATOS!$C$13)*AF21*DL21/1000))</f>
        <v/>
      </c>
      <c r="DO21" s="56" t="str">
        <f>IF(U21&lt;&gt;"SÍ","",IF(NOT(AND(C21="VOLADO",AC21&gt;DATOS!$C$80)),0,IF((BG21-DM21)&lt;=0,0,IF(DM21&lt;=0,IF(ISNUMBER(P21),P21,X21),IF(((0.9*DATOS!$C$87*DATOS!$C$83/100/1000)*IF(ISNUMBER(P21),P21,X21)/2+BG21/IF(ISNUMBER(P21),P21,X21))^2-4*((0.9*DATOS!$C$87*DATOS!$C$83/100/1000)/2)*(BG21-DM21)&lt;0,IF(ISNUMBER(P21),P21,X21),MIN(IF(ISNUMBER(P21),P21,X21),(((0.9*DATOS!$C$87*DATOS!$C$83/100/1000)*IF(ISNUMBER(P21),P21,X21)/2+BG21/IF(ISNUMBER(P21),P21,X21))-SQRT(((0.9*DATOS!$C$87*DATOS!$C$83/100/1000)*IF(ISNUMBER(P21),P21,X21)/2+BG21/IF(ISNUMBER(P21),P21,X21))^2-4*((0.9*DATOS!$C$87*DATOS!$C$83/100/1000)/2)*(BG21-DM21)))/(2*((0.9*DATOS!$C$87*DATOS!$C$83/100/1000)/2))))))))</f>
        <v/>
      </c>
      <c r="DP21" s="56" t="str">
        <f>IF(U21&lt;&gt;"SÍ","",IF(NOT(AND(C21="VOLADO",AC21&gt;DATOS!$C$80)),0,MIN(IF(ISNUMBER(P21),P21,X21),MAX(0,IF(ISNUMBER(P21),P21,X21)/2+BG21/IF(ISNUMBER(P21),P21,X21)/(AQ21*DATOS!$C$83/100/1000)-DN21/(AQ21*DATOS!$C$83/100/1000)))))</f>
        <v/>
      </c>
      <c r="DQ21" s="56" t="str">
        <f>IF(U21&lt;&gt;"SÍ","",IF(NOT(AND(C21="VOLADO",AC21&gt;DATOS!$C$80)),0,BG21/IF(ISNUMBER(P21),P21,X21)+(AQ21*DATOS!$C$83/100/1000)*MAX(0,IF(ISNUMBER(P21),P21,X21)/2-BW21/100)))</f>
        <v/>
      </c>
      <c r="DR21" s="59" t="str">
        <f>IF(U21&lt;&gt;"SÍ","",IF(NOT(AND(C21="VOLADO",AC21&gt;DATOS!$C$80)),0,CEILING(100*MIN(IF(ISNUMBER(P21),P21,X21),MAX(IF(DO21&gt;0,DO21+IF(BV21&gt;=2,MAX(DL21,12*INDEX(TABLAS!$C$52:$C$58,MATCH(BU21,TABLAS!$B$52:$B$58,0)))/100,0),0),DP21,IF(BV21&gt;=2,INDEX(TABLAS!$F$52:$F$58,MATCH(BU21,TABLAS!$B$52:$B$58,0))/100,0))),5)))</f>
        <v/>
      </c>
      <c r="DS21" s="60" t="str">
        <f>IF(U21&lt;&gt;"SÍ","",IF(NOT(AND(C21="VOLADO",AC21&gt;DATOS!$C$80)),0,IF(DR21&lt;=0,0,CEILING(DR21/DATOS!$C$83,1))))</f>
        <v/>
      </c>
      <c r="DT21" s="61" t="str">
        <f>IF(U21&lt;&gt;"SÍ","",IF(C21&lt;&gt;"VOLADO","—",IF(AC21&lt;=DATOS!$C$80,"— (mismo b_w que el respaldo)",IF(DQ21&gt;CR21,"NO CUMPLE: cortante de la nervadura ancha junto al apoyo ("&amp;TEXT(DQ21,"0.00")&amp;" &gt; "&amp;TEXT(CR21,"0.00")&amp;" t)",IF(DR21&gt;=100*IF(ISNUMBER(P21),P21,X21),"CUMPLE — todas las nervaduras del respaldo ‖ al volado con b_w = "&amp;AC21&amp;" cm","CUMPLE — "&amp;DS21&amp;" hilera(s) del respaldo con nervaduras de b_w = "&amp;AC21&amp;" cm (casetón "&amp;AD21&amp;" cm), hasta "&amp;TEXT(DR21/100,"0.00")&amp;" m del paño")))))</f>
        <v/>
      </c>
      <c r="DU21" s="69" t="str">
        <f>IF(U21&lt;&gt;"SÍ","",IF(BN21=0,"NO ALCANZA",BN21&amp;" No. "&amp;BM21&amp;IF(BN21&gt;1," corridas"," corrida")))</f>
        <v/>
      </c>
      <c r="DV21" s="69" t="str">
        <f>IF(U21&lt;&gt;"SÍ","",IF(BV21=0,"NO ALCANZA",IF(AND(C21="VOLADO",AC21&gt;DATOS!$C$80,BV21&gt;=2),"1 No. "&amp;BU21&amp;" corrida de la orilla al respaldo ("&amp;IF(DB21&gt;=100*IF(ISNUMBER(P21),P21,X21),"hasta su apoyo lejano, con gancho","entra "&amp;TEXT(DB21/100,"0.00")&amp;" m desde el paño")&amp;") + "&amp;(BV21-1)&amp;" bastón No. "&amp;BU21&amp;" hasta "&amp;TEXT(DR21/100,"0.00")&amp;" m del paño (fin de la nervadura ancha)",IF(C21="VOLADO",BV21&amp;" No. "&amp;BU21&amp;" de la orilla al respaldo ("&amp;IF(DB21&gt;=100*IF(ISNUMBER(P21),P21,X21),"hasta su apoyo lejano, con gancho","entran "&amp;TEXT(DB21/100,"0.00")&amp;" m desde el paño")&amp;")","1 No. "&amp;BU21&amp;" corrida"&amp;IF(BV21&gt;1," + "&amp;(BV21-1)&amp;" bastón No. "&amp;BU21&amp;" L = "&amp;TEXT(DB21/100,"0.00")&amp;" m desde el paño","")))))</f>
        <v/>
      </c>
      <c r="DW21" s="69" t="str">
        <f>IF(U21&lt;&gt;"SÍ","",IF(CD21=0,"NO ALCANZA",CD21&amp;" No. "&amp;CC21&amp;IF(CD21&gt;1," corridas"," corrida")))</f>
        <v/>
      </c>
      <c r="DX21" s="69" t="str">
        <f>IF(U21&lt;&gt;"SÍ","",IF(CL21=0,"NO ALCANZA",IF(C21="VOLADO","1 No. "&amp;CK21&amp;" corrida (repartición)","1 No. "&amp;CK21&amp;" corrida"&amp;IF(CL21&gt;1," + "&amp;(CL21-1)&amp;" bastón No. "&amp;CK21&amp;" L = "&amp;TEXT(DC21/100,"0.00")&amp;" m desde el paño",""))))</f>
        <v/>
      </c>
      <c r="DY21" s="67" t="str">
        <f>IF(B21="","",IF(U21&lt;&gt;"SÍ","FALTAN DATOS: tipo, a_x, a_y y destino",IF(L21="NO MONOLÍTICO (caso II)","FUERA DE ALCANCE: caso II no transcrito",IF(AND(C21="VOLADO",V21="?"),"REVISAR: el volado lleva UN solo borde CONTINUO (el empotrado)",IF(AND(MAX(BQ21,BY21,CG21,CO21)&lt;=1,NOT(OR(BN21&gt;MIN(DATOS!$C$70,INT(((AC21-2*AJ21)+MAX(DATOS!$C$67,INDEX(TABLAS!$C$52:$C$58,MATCH(BM21,TABLAS!$B$52:$B$58,0))))/(INDEX(TABLAS!$C$52:$C$58,MATCH(BM21,TABLAS!$B$52:$B$58,0))+MAX(DATOS!$C$67,INDEX(TABLAS!$C$52:$C$58,MATCH(BM21,TABLAS!$B$52:$B$58,0)))))),BV21&gt;MIN(DATOS!$C$70,INT(((AC21-2*AK21)+MAX(DATOS!$C$67,INDEX(TABLAS!$C$52:$C$58,MATCH(BU21,TABLAS!$B$52:$B$58,0))))/(INDEX(TABLAS!$C$52:$C$58,MATCH(BU21,TABLAS!$B$52:$B$58,0))+MAX(DATOS!$C$67,INDEX(TABLAS!$C$52:$C$58,MATCH(BU21,TABLAS!$B$52:$B$58,0)))))),CD21&gt;MIN(DATOS!$C$70,INT(((DATOS!$C$80-2*AJ21)+MAX(DATOS!$C$67,INDEX(TABLAS!$C$52:$C$58,MATCH(CC21,TABLAS!$B$52:$B$58,0))))/(INDEX(TABLAS!$C$52:$C$58,MATCH(CC21,TABLAS!$B$52:$B$58,0))+MAX(DATOS!$C$67,INDEX(TABLAS!$C$52:$C$58,MATCH(CC21,TABLAS!$B$52:$B$58,0)))))),CL21&gt;MIN(DATOS!$C$70,INT(((DATOS!$C$80-2*AK21)+MAX(DATOS!$C$67,INDEX(TABLAS!$C$52:$C$58,MATCH(CK21,TABLAS!$B$52:$B$58,0))))/(INDEX(TABLAS!$C$52:$C$58,MATCH(CK21,TABLAS!$B$52:$B$58,0))+MAX(DATOS!$C$67,INDEX(TABLAS!$C$52:$C$58,MATCH(CK21,TABLAS!$B$52:$B$58,0)))))))),NOT(OR(AND(ISNUMBER(BR21),BR21&lt;0.005),AND(ISNUMBER(BZ21),BZ21&lt;0.005),AND(ISNUMBER(CH21),CH21&lt;0.005),AND(ISNUMBER(CP21),CP21&lt;0.005))),NOT(LEFT(DT21,2)="NO"),CZ21="CUMPLE",DA21="CUMPLE",LEFT(CT21,2)&lt;&gt;"NO"),IF(LEFT(CT21,6)="CUMPLE","CUMPLE","CUMPLE — "&amp;CT21)&amp;IF(LEFT(BJ21,5)="FUERA"," · fuera de 3.4.2.1 c)","")&amp;IF(LEFT(DF21,2)="NO"," · REVISAR anclaje en borde discontinuo","")&amp;IF(DS21&gt;0," · respaldo: "&amp;DS21&amp;" hilera(s) de b_w "&amp;AC21&amp;" cm",""),IF(AND(MAX(BQ21,BY21,CG21,CO21)&lt;=1,NOT(OR(BN21&gt;MIN(DATOS!$C$70,INT(((AC21-2*AJ21)+MAX(DATOS!$C$67,INDEX(TABLAS!$C$52:$C$58,MATCH(BM21,TABLAS!$B$52:$B$58,0))))/(INDEX(TABLAS!$C$52:$C$58,MATCH(BM21,TABLAS!$B$52:$B$58,0))+MAX(DATOS!$C$67,INDEX(TABLAS!$C$52:$C$58,MATCH(BM21,TABLAS!$B$52:$B$58,0)))))),BV21&gt;MIN(DATOS!$C$70,INT(((AC21-2*AK21)+MAX(DATOS!$C$67,INDEX(TABLAS!$C$52:$C$58,MATCH(BU21,TABLAS!$B$52:$B$58,0))))/(INDEX(TABLAS!$C$52:$C$58,MATCH(BU21,TABLAS!$B$52:$B$58,0))+MAX(DATOS!$C$67,INDEX(TABLAS!$C$52:$C$58,MATCH(BU21,TABLAS!$B$52:$B$58,0)))))),CD21&gt;MIN(DATOS!$C$70,INT(((DATOS!$C$80-2*AJ21)+MAX(DATOS!$C$67,INDEX(TABLAS!$C$52:$C$58,MATCH(CC21,TABLAS!$B$52:$B$58,0))))/(INDEX(TABLAS!$C$52:$C$58,MATCH(CC21,TABLAS!$B$52:$B$58,0))+MAX(DATOS!$C$67,INDEX(TABLAS!$C$52:$C$58,MATCH(CC21,TABLAS!$B$52:$B$58,0)))))),CL21&gt;MIN(DATOS!$C$70,INT(((DATOS!$C$80-2*AK21)+MAX(DATOS!$C$67,INDEX(TABLAS!$C$52:$C$58,MATCH(CK21,TABLAS!$B$52:$B$58,0))))/(INDEX(TABLAS!$C$52:$C$58,MATCH(CK21,TABLAS!$B$52:$B$58,0))+MAX(DATOS!$C$67,INDEX(TABLAS!$C$52:$C$58,MATCH(CK21,TABLAS!$B$52:$B$58,0)))))))),NOT(OR(AND(ISNUMBER(BR21),BR21&lt;0.005),AND(ISNUMBER(BZ21),BZ21&lt;0.005),AND(ISNUMBER(CH21),CH21&lt;0.005),AND(ISNUMBER(CP21),CP21&lt;0.005))),NOT(LEFT(DT21,2)="NO"),CZ21="CALCULAR FLECHA",LEFT(CT21,2)&lt;&gt;"NO"),"REVISAR: calcular flecha (h_eq &lt; h mín.)"&amp;IF(LEFT(BJ21,5)="FUERA"," · fuera de 3.4.2.1 c)","")&amp;IF(LEFT(DF21,2)="NO"," · REVISAR anclaje en borde discontinuo","")&amp;IF(DS21&gt;0," · respaldo: "&amp;DS21&amp;" hilera(s) de b_w "&amp;AC21&amp;" cm",""),"NO CUMPLE: "&amp;IF(MAX(BQ21,BY21,CG21,CO21)&gt;1,"flexión ","")&amp;IF(OR(BN21&gt;MIN(DATOS!$C$70,INT(((AC21-2*AJ21)+MAX(DATOS!$C$67,INDEX(TABLAS!$C$52:$C$58,MATCH(BM21,TABLAS!$B$52:$B$58,0))))/(INDEX(TABLAS!$C$52:$C$58,MATCH(BM21,TABLAS!$B$52:$B$58,0))+MAX(DATOS!$C$67,INDEX(TABLAS!$C$52:$C$58,MATCH(BM21,TABLAS!$B$52:$B$58,0)))))),BV21&gt;MIN(DATOS!$C$70,INT(((AC21-2*AK21)+MAX(DATOS!$C$67,INDEX(TABLAS!$C$52:$C$58,MATCH(BU21,TABLAS!$B$52:$B$58,0))))/(INDEX(TABLAS!$C$52:$C$58,MATCH(BU21,TABLAS!$B$52:$B$58,0))+MAX(DATOS!$C$67,INDEX(TABLAS!$C$52:$C$58,MATCH(BU21,TABLAS!$B$52:$B$58,0)))))),CD21&gt;MIN(DATOS!$C$70,INT(((DATOS!$C$80-2*AJ21)+MAX(DATOS!$C$67,INDEX(TABLAS!$C$52:$C$58,MATCH(CC21,TABLAS!$B$52:$B$58,0))))/(INDEX(TABLAS!$C$52:$C$58,MATCH(CC21,TABLAS!$B$52:$B$58,0))+MAX(DATOS!$C$67,INDEX(TABLAS!$C$52:$C$58,MATCH(CC21,TABLAS!$B$52:$B$58,0)))))),CL21&gt;MIN(DATOS!$C$70,INT(((DATOS!$C$80-2*AK21)+MAX(DATOS!$C$67,INDEX(TABLAS!$C$52:$C$58,MATCH(CK21,TABLAS!$B$52:$B$58,0))))/(INDEX(TABLAS!$C$52:$C$58,MATCH(CK21,TABLAS!$B$52:$B$58,0))+MAX(DATOS!$C$67,INDEX(TABLAS!$C$52:$C$58,MATCH(CK21,TABLAS!$B$52:$B$58,0))))))),"no caben ","")&amp;IF(OR(AND(ISNUMBER(BR21),BR21&lt;0.005),AND(ISNUMBER(BZ21),BZ21&lt;0.005),AND(ISNUMBER(CH21),CH21&lt;0.005),AND(ISNUMBER(CP21),CP21&lt;0.005)),"ε_t &lt; 0.005 ","")&amp;IF(LEFT(CT21,2)="NO","cortante ","")&amp;IF(CZ21="NO CUMPLE","peralte ","")&amp;IF(DA21&lt;&gt;"CUMPLE","capa &lt; 6 cm ","")&amp;IF(LEFT(DT21,2)="NO","respaldo del volado","")))))))</f>
        <v/>
      </c>
      <c r="DZ21" s="70" t="str">
        <f>IF(U21&lt;&gt;"SÍ","",IF(LEFT(B21,7)="EJEMPLO","EJEMPLO de la hoja de Casa Rocha: bórralo o sobrescríbelo. ","")&amp;IF(AND(C21="PERIMETRAL",MIN(DG21,DH21)=0),"No cabe un casetón en el claro corto: es un tablero macizo, diséñalo en MACIZAS. ","")&amp;IF(AND(AI21="NO",C21="PERIMETRAL"),"No cumple 6.7.8.1.4 (a_c = "&amp;MAX(DATOS!$C$78,AD21)&amp;" cm &gt; claro corto/6 = "&amp;TEXT(X21*100/6,"0")&amp;" cm): se diseña como losa apoyada en vigas (6.7.8.1.9): r de viga = "&amp;DATOS!$C$60&amp;" cm y V_cR sin ×1.1. Para que cuente como encasetonada: casetón de "&amp;TEXT(FLOOR(MIN(80,X21*100/6),1),"0")&amp;" cm o menor. ","")&amp;IF(C21="VOLADO","Volado de "&amp;TEXT(X21,"0.00")&amp;" m empotrado en el borde "&amp;LOWER(V21)&amp;IF(N(O21)&gt;0,", con "&amp;TEXT(O21,"0.0")&amp;" kg/m en la orilla","")&amp;". Lecho inferior con r_ext. Si la orilla carga pretil u otro elemento frágil, calcula la flecha (13.4). El acero superior entra al respaldo de "&amp;TEXT(IF(ISNUMBER(P21),P21,X21),"0.00")&amp;" m"&amp;IF(ISNUMBER(P21),""," (L_b no capturado: se tomó igual al volado)")&amp;" hasta pasar M = 0 con 0.9·PP sin carga viva; si ahí no se anula, llega al apoyo lejano y se ancla con gancho (NTC-Criterios 3.4.1 c y 5.1.2.2). "&amp;IF(AC21&gt;DATOS!$C$80,"Respaldo: "&amp;DT21&amp;". ",""),"")&amp;IF(LEFT(BJ21,5)="FUERA","El M⁻ del vecino difiere más de 50 % (3.4.2.1 c): distribuye el desequilibrio (3.4.3.1) o confirma con un modelo; se arma con el mayor. ","")&amp;IF(OR(DD21="SÍ",DE21="SÍ"),"El M⁻ del borde discontinuo pide bastón también ahí (con gancho). ","")&amp;IF(LEFT(DF21,2)="NO","Anclaje: "&amp;DF21&amp;" (6.7.8.1.7). ","")&amp;IF(OR(AZ21&gt;0,BA21&gt;0),"Esquinas exteriores sobre muro: refuerzo de esquina arriba y abajo en L_largo/5 (6.7.7.3.1). ",""))</f>
        <v/>
      </c>
    </row>
    <row r="22" ht="33" customHeight="1">
      <c r="A22" s="50">
        <f>IF(B22="",0,1)+A21</f>
        <v>4</v>
      </c>
      <c r="B22" s="29" t="n"/>
      <c r="C22" s="51" t="n"/>
      <c r="D22" s="29" t="n"/>
      <c r="E22" s="52" t="n"/>
      <c r="F22" s="52" t="n"/>
      <c r="G22" s="51" t="n"/>
      <c r="H22" s="51" t="n"/>
      <c r="I22" s="51" t="n"/>
      <c r="J22" s="51" t="n"/>
      <c r="K22" s="51" t="n"/>
      <c r="L22" s="51" t="n"/>
      <c r="M22" s="53" t="n"/>
      <c r="N22" s="53" t="n"/>
      <c r="O22" s="54" t="n"/>
      <c r="P22" s="52" t="n"/>
      <c r="Q22" s="53" t="n"/>
      <c r="R22" s="54" t="n"/>
      <c r="S22" s="52" t="n"/>
      <c r="T22" s="52" t="n"/>
      <c r="U22" s="55" t="str">
        <f>IF(B22="","",IF(AND(OR(C22="PERIMETRAL",C22="VOLADO"),ISNUMBER(E22),ISNUMBER(F22),E22&gt;0,F22&gt;0,OR(ISNUMBER(N22),ISNUMBER(MATCH(D22,DATOS!$B$46:$B$55,0)))),"SÍ","NO"))</f>
        <v/>
      </c>
      <c r="V22" s="55" t="str">
        <f>IF(U22&lt;&gt;"SÍ","",IF(C22&lt;&gt;"VOLADO","—",IF(COUNTIF(G22:J22,"CONTINUO")&lt;&gt;1,"?",IF(G22="CONTINUO","INFERIOR",IF(H22="CONTINUO","SUPERIOR",IF(I22="CONTINUO","IZQUIERDO","DERECHO"))))))</f>
        <v/>
      </c>
      <c r="W22" s="55" t="str">
        <f>IF(U22&lt;&gt;"SÍ","",IF(C22="VOLADO",IF(OR(V22="IZQUIERDO",V22="DERECHO"),"X","Y"),IF(E22&lt;=F22,"X","Y")))</f>
        <v/>
      </c>
      <c r="X22" s="56" t="str">
        <f>IF(U22&lt;&gt;"SÍ","",IF(C22="VOLADO",IF(W22="X",E22,F22),MIN(E22,F22)))</f>
        <v/>
      </c>
      <c r="Y22" s="56" t="str">
        <f>IF(U22&lt;&gt;"SÍ","",IF(C22="VOLADO",IF(W22="X",F22,E22),MAX(E22,F22)))</f>
        <v/>
      </c>
      <c r="Z22" s="56" t="str">
        <f>IF(U22&lt;&gt;"SÍ","",MIN(X22,Y22)/MAX(X22,Y22))</f>
        <v/>
      </c>
      <c r="AA22" s="57" t="str">
        <f>IF(U22&lt;&gt;"SÍ","",MAX(1,X22*100-IF(C22="VOLADO",DATOS!$C$84/2,DATOS!$C$84)))</f>
        <v/>
      </c>
      <c r="AB22" s="57" t="str">
        <f>IF(U22&lt;&gt;"SÍ","",MAX(1,Y22*100-DATOS!$C$84))</f>
        <v/>
      </c>
      <c r="AC22" s="57" t="str">
        <f>IF(U22&lt;&gt;"SÍ","",IF(ISNUMBER(Q22),Q22,DATOS!$C$80))</f>
        <v/>
      </c>
      <c r="AD22" s="57" t="str">
        <f>IF(U22&lt;&gt;"SÍ","",MAX(0,DATOS!$C$83-AC22))</f>
        <v/>
      </c>
      <c r="AE22" s="57" t="str">
        <f>IF(U22&lt;&gt;"SÍ","",IF(OR(DATOS!$C$62="SÍ",AC22&gt;=20),AC22,AC22-2))</f>
        <v/>
      </c>
      <c r="AF22" s="57" t="str">
        <f>IF(U22&lt;&gt;"SÍ","",IF(OR(DATOS!$C$62="SÍ",DATOS!$C$80&gt;=20),DATOS!$C$80,DATOS!$C$80-2))</f>
        <v/>
      </c>
      <c r="AG22" s="57" t="str">
        <f>IF(U22&lt;&gt;"SÍ","",MIN(DATOS!$C$83,AC22+2*MIN(8*DATOS!$C$81,AD22/2,AA22/8)))</f>
        <v/>
      </c>
      <c r="AH22" s="57" t="str">
        <f>IF(U22&lt;&gt;"SÍ","",MIN(DATOS!$C$83,DATOS!$C$80+2*MIN(8*DATOS!$C$81,DATOS!$C$78/2,AB22/8)))</f>
        <v/>
      </c>
      <c r="AI22" s="55" t="str">
        <f>IF(U22&lt;&gt;"SÍ","",IF(AND(C22="PERIMETRAL",X22*100&gt;=6*MAX(DATOS!$C$78,AD22),MAX(DATOS!$C$78,AD22)&lt;=80,MIN(DATOS!$C$80,AC22)&gt;=10,DATOS!$C$82&lt;=3.5*MIN(DATOS!$C$80,AC22),DATOS!$C$81&gt;=MAX(MAX(DATOS!$C$78,AD22)/13,5)),"SÍ","NO"))</f>
        <v/>
      </c>
      <c r="AJ22" s="57" t="str">
        <f>IF(U22&lt;&gt;"SÍ","",IF(C22="VOLADO",DATOS!$C$61,IF(AI22="NO",DATOS!$C$60,DATOS!$C$59)))</f>
        <v/>
      </c>
      <c r="AK22" s="57" t="str">
        <f>IF(U22&lt;&gt;"SÍ","",IF(OR(AND(AM22="SÍ",DATOS!$C$63="SÍ"),AND(C22="VOLADO",DATOS!$C$64="SÍ")),DATOS!$C$61,IF(AI22="NO",DATOS!$C$60,DATOS!$C$59)))</f>
        <v/>
      </c>
      <c r="AL22" s="58" t="str">
        <f>IF(U22&lt;&gt;"SÍ","",MAX(AK22,(DATOS!$C$81-2*DATOS!$C$94)/2))</f>
        <v/>
      </c>
      <c r="AM22" s="55" t="str">
        <f>IF(U22&lt;&gt;"SÍ","",IFERROR(INDEX(DATOS!$D$46:$D$55,MATCH(D22,DATOS!$B$46:$B$55,0)),"NO"))</f>
        <v/>
      </c>
      <c r="AN22" s="59" t="str">
        <f>IF(U22&lt;&gt;"SÍ","",IF(ISNUMBER(N22),N22,IFERROR(INDEX(DATOS!$C$46:$C$55,MATCH(D22,DATOS!$B$46:$B$55,0)),0)))</f>
        <v/>
      </c>
      <c r="AO22" s="59" t="str">
        <f>IF(U22&lt;&gt;"SÍ","",(DATOS!$C$82/100-(AD22*DATOS!$C$78/DATOS!$C$83^2)*DATOS!$C$79/100)*DATOS!$C$16*1000+(AD22*DATOS!$C$78/DATOS!$C$83^2)*DATOS!$C$79/100*DATOS!$C$17*1000+DATOS!$C$37+DATOS!$C$38)</f>
        <v/>
      </c>
      <c r="AP22" s="59" t="str">
        <f>IF(U22&lt;&gt;"SÍ","",AO22+N(M22))</f>
        <v/>
      </c>
      <c r="AQ22" s="60" t="str">
        <f>IF(U22&lt;&gt;"SÍ","",MAX(DATOS!$C$26*AP22+DATOS!$C$27*AN22,IF(AM22="SÍ",DATOS!$C$28*(AP22+DATOS!$C$41),0)))</f>
        <v/>
      </c>
      <c r="AR22" s="59" t="str">
        <f>IF(U22&lt;&gt;"SÍ","",(G22="DISCONTINUO")+(H22="DISCONTINUO")+(I22="DISCONTINUO")+(J22="DISCONTINUO"))</f>
        <v/>
      </c>
      <c r="AS22" s="59" t="str">
        <f>IF(U22&lt;&gt;"SÍ","",IF(W22="X",(G22="DISCONTINUO")+(H22="DISCONTINUO"),(I22="DISCONTINUO")+(J22="DISCONTINUO")))</f>
        <v/>
      </c>
      <c r="AT22" s="55" t="str">
        <f>IF(U22&lt;&gt;"SÍ","",IF(AR22=0,"INTERIOR",IF(AR22=1,IF(AS22=1,"BORDE-CORTO","BORDE-LARGO"),IF(AR22=2,IF(AS22=1,"ESQUINA",IF(AS22=2,"EXTREMO-LARGO","EXTREMO-CORTO")),IF(AR22=3,IF(AS22=2,"EXTREMO-LARGO","EXTREMO-CORTO"),"AISLADO")))))</f>
        <v/>
      </c>
      <c r="AU22" s="61" t="str">
        <f>IF(U22&lt;&gt;"SÍ","",IF(OR(K22="",K22="AUTO"),AT22,K22))</f>
        <v/>
      </c>
      <c r="AV22" s="59" t="str">
        <f>IF(U22&lt;&gt;"SÍ","",MATCH(Z22,TABLAS!$D$5:$J$5,1))</f>
        <v/>
      </c>
      <c r="AW22" s="58" t="str">
        <f>IF(U22&lt;&gt;"SÍ","",IF(AV22&gt;=7,0,(Z22-INDEX(TABLAS!$D$5:$J$5,AV22))/(INDEX(TABLAS!$D$5:$J$5,AV22+1)-INDEX(TABLAS!$D$5:$J$5,AV22))))</f>
        <v/>
      </c>
      <c r="AX22" s="59" t="str">
        <f>IF(U22&lt;&gt;"SÍ","",INDEX(TABLAS!$D$6:$J$47,MATCH(AU22&amp;"|NIC",TABLAS!$B$6:$B$47,0),AV22)+AW22*(INDEX(TABLAS!$D$6:$J$47,MATCH(AU22&amp;"|NIC",TABLAS!$B$6:$B$47,0),MIN(AV22+1,7))-INDEX(TABLAS!$D$6:$J$47,MATCH(AU22&amp;"|NIC",TABLAS!$B$6:$B$47,0),AV22)))</f>
        <v/>
      </c>
      <c r="AY22" s="59" t="str">
        <f>IF(U22&lt;&gt;"SÍ","",INDEX(TABLAS!$D$6:$J$47,MATCH(AU22&amp;"|NIL",TABLAS!$B$6:$B$47,0),AV22)+AW22*(INDEX(TABLAS!$D$6:$J$47,MATCH(AU22&amp;"|NIL",TABLAS!$B$6:$B$47,0),MIN(AV22+1,7))-INDEX(TABLAS!$D$6:$J$47,MATCH(AU22&amp;"|NIL",TABLAS!$B$6:$B$47,0),AV22)))</f>
        <v/>
      </c>
      <c r="AZ22" s="59" t="str">
        <f>IF(U22&lt;&gt;"SÍ","",INDEX(TABLAS!$D$6:$J$47,MATCH(AU22&amp;"|NDC",TABLAS!$B$6:$B$47,0),AV22)+AW22*(INDEX(TABLAS!$D$6:$J$47,MATCH(AU22&amp;"|NDC",TABLAS!$B$6:$B$47,0),MIN(AV22+1,7))-INDEX(TABLAS!$D$6:$J$47,MATCH(AU22&amp;"|NDC",TABLAS!$B$6:$B$47,0),AV22)))</f>
        <v/>
      </c>
      <c r="BA22" s="59" t="str">
        <f>IF(U22&lt;&gt;"SÍ","",INDEX(TABLAS!$D$6:$J$47,MATCH(AU22&amp;"|NDL",TABLAS!$B$6:$B$47,0),AV22)+AW22*(INDEX(TABLAS!$D$6:$J$47,MATCH(AU22&amp;"|NDL",TABLAS!$B$6:$B$47,0),MIN(AV22+1,7))-INDEX(TABLAS!$D$6:$J$47,MATCH(AU22&amp;"|NDL",TABLAS!$B$6:$B$47,0),AV22)))</f>
        <v/>
      </c>
      <c r="BB22" s="59" t="str">
        <f>IF(U22&lt;&gt;"SÍ","",INDEX(TABLAS!$D$6:$J$47,MATCH(AU22&amp;"|PC",TABLAS!$B$6:$B$47,0),AV22)+AW22*(INDEX(TABLAS!$D$6:$J$47,MATCH(AU22&amp;"|PC",TABLAS!$B$6:$B$47,0),MIN(AV22+1,7))-INDEX(TABLAS!$D$6:$J$47,MATCH(AU22&amp;"|PC",TABLAS!$B$6:$B$47,0),AV22)))</f>
        <v/>
      </c>
      <c r="BC22" s="59" t="str">
        <f>IF(U22&lt;&gt;"SÍ","",INDEX(TABLAS!$D$6:$J$47,MATCH(AU22&amp;"|PL",TABLAS!$B$6:$B$47,0),AV22)+AW22*(INDEX(TABLAS!$D$6:$J$47,MATCH(AU22&amp;"|PL",TABLAS!$B$6:$B$47,0),MIN(AV22+1,7))-INDEX(TABLAS!$D$6:$J$47,MATCH(AU22&amp;"|PL",TABLAS!$B$6:$B$47,0),AV22)))</f>
        <v/>
      </c>
      <c r="BD22" s="56" t="str">
        <f>IF(U22&lt;&gt;"SÍ","",IF(C22&lt;&gt;"VOLADO",0,DATOS!$C$26*DATOS!$C$16*DATOS!$C$83/100*(((AD22*DATOS!$C$78/DATOS!$C$83^2)*DATOS!$C$79/100)*(IF(W22="X",DI22,DJ22)+DATOS!$C$84/2)/100*(AA22-(IF(W22="X",DI22,DJ22)+DATOS!$C$84/2)/2)/100+((AD22*DATOS!$C$78/DATOS!$C$83^2)*DATOS!$C$79/100)*IF(W22="X",DI22,DJ22)/100*IF(W22="X",DI22,DJ22)/200)))</f>
        <v/>
      </c>
      <c r="BE22" s="56" t="str">
        <f>IF(U22&lt;&gt;"SÍ","",IF(C22&lt;&gt;"VOLADO",0,DATOS!$C$26*DATOS!$C$16*DATOS!$C$83/100*((AD22*DATOS!$C$78/DATOS!$C$83^2)*DATOS!$C$79/100)*(IF(W22="X",DI22,DJ22)+DATOS!$C$84/2)/100))</f>
        <v/>
      </c>
      <c r="BF22" s="56" t="str">
        <f>IF(U22&lt;&gt;"SÍ","",IF(C22="PERIMETRAL",BB22*AQ22*X22^2*1E-4*DATOS!$C$83/100/1000,0))</f>
        <v/>
      </c>
      <c r="BG22" s="62" t="str">
        <f>IF(U22&lt;&gt;"SÍ","",IF(C22="PERIMETRAL",MAX(MAX(AX22,AZ22)*AQ22*X22^2*1E-4*DATOS!$C$83/100/1000,N(S22)),(AQ22*(AA22/100)^2/2+DATOS!$C$26*N(O22)*AA22/100)*DATOS!$C$83/100/1000+BD22))</f>
        <v/>
      </c>
      <c r="BH22" s="56" t="str">
        <f>IF(U22&lt;&gt;"SÍ","",IF(C22="PERIMETRAL",BC22*AQ22*X22^2*1E-4*DATOS!$C$83/100/1000,0))</f>
        <v/>
      </c>
      <c r="BI22" s="56" t="str">
        <f>IF(U22&lt;&gt;"SÍ","",IF(C22="PERIMETRAL",MAX(MAX(AY22,BA22)*AQ22*X22^2*1E-4*DATOS!$C$83/100/1000,N(T22)),0))</f>
        <v/>
      </c>
      <c r="BJ22" s="63" t="str">
        <f>IF(U22&lt;&gt;"SÍ","",IF(C22&lt;&gt;"PERIMETRAL","—",IF(AND(N(S22)=0,N(T22)=0),"— (sin M⁻ del vecino)",IF(OR(AND(N(S22)&gt;0,ABS(MAX(AX22,AZ22)*AQ22*X22^2*1E-4*DATOS!$C$83/100/1000-N(S22))&gt;0.5*MIN(MAX(AX22,AZ22)*AQ22*X22^2*1E-4*DATOS!$C$83/100/1000,N(S22))),AND(N(T22)&gt;0,ABS(MAX(AY22,BA22)*AQ22*X22^2*1E-4*DATOS!$C$83/100/1000-N(T22))&gt;0.5*MIN(MAX(AY22,BA22)*AQ22*X22^2*1E-4*DATOS!$C$83/100/1000,N(T22)))),"FUERA: difieren &gt; 50 %"&amp;IF(AND(N(S22)&gt;0,ABS(MAX(AX22,AZ22)*AQ22*X22^2*1E-4*DATOS!$C$83/100/1000-N(S22))&gt;0.5*MIN(MAX(AX22,AZ22)*AQ22*X22^2*1E-4*DATOS!$C$83/100/1000,N(S22)))," ‖ corto","")&amp;IF(AND(N(T22)&gt;0,ABS(MAX(AY22,BA22)*AQ22*X22^2*1E-4*DATOS!$C$83/100/1000-N(T22))&gt;0.5*MIN(MAX(AY22,BA22)*AQ22*X22^2*1E-4*DATOS!$C$83/100/1000,N(T22)))," ‖ largo",""),"CUMPLE"))))</f>
        <v/>
      </c>
      <c r="BK22" s="58" t="str">
        <f>IF(U22&lt;&gt;"SÍ","",(DATOS!$C$82-AJ22-INDEX(TABLAS!$C$52:$C$58,MATCH(DATOS!$C$68,TABLAS!$B$52:$B$58,0))/2))</f>
        <v/>
      </c>
      <c r="BL22" s="58" t="str">
        <f>IF(U22&lt;&gt;"SÍ","",IF(IF(BF22&lt;=0,0,IF((1-2*BF22*1E5/(DATOS!$C$29*AG22*BK22^2*DATOS!$C$21))&lt;0,-1,IF((1-SQRT((1-2*BF22*1E5/(DATOS!$C$29*AG22*BK22^2*DATOS!$C$21))))*DATOS!$C$21*AG22*BK22/DATOS!$C$14&gt;DATOS!$C$99*AG22*BK22,-1,(1-SQRT((1-2*BF22*1E5/(DATOS!$C$29*AG22*BK22^2*DATOS!$C$21))))*DATOS!$C$21*AG22*BK22/DATOS!$C$14)))&lt;0,-1,MAX(IF(BF22&lt;=0,0,IF((1-2*BF22*1E5/(DATOS!$C$29*AG22*BK22^2*DATOS!$C$21))&lt;0,-1,IF((1-SQRT((1-2*BF22*1E5/(DATOS!$C$29*AG22*BK22^2*DATOS!$C$21))))*DATOS!$C$21*AG22*BK22/DATOS!$C$14&gt;DATOS!$C$99*AG22*BK22,-1,(1-SQRT((1-2*BF22*1E5/(DATOS!$C$29*AG22*BK22^2*DATOS!$C$21))))*DATOS!$C$21*AG22*BK22/DATOS!$C$14))),MIN(DATOS!$C$100*AC22*BK22,4/3*IF(BF22&lt;=0,0,IF((1-2*BF22*1E5/(DATOS!$C$29*AG22*BK22^2*DATOS!$C$21))&lt;0,-1,IF((1-SQRT((1-2*BF22*1E5/(DATOS!$C$29*AG22*BK22^2*DATOS!$C$21))))*DATOS!$C$21*AG22*BK22/DATOS!$C$14&gt;DATOS!$C$99*AG22*BK22,-1,(1-SQRT((1-2*BF22*1E5/(DATOS!$C$29*AG22*BK22^2*DATOS!$C$21))))*DATOS!$C$21*AG22*BK22/DATOS!$C$14)))))))</f>
        <v/>
      </c>
      <c r="BM22" s="64" t="str">
        <f>IF(U22&lt;&gt;"SÍ","",IF(AND(BL22&gt;=0,IF(MAX(DATOS!$C$71,CEILING(BL22/INDEX(TABLAS!$D$52:$D$58,MIN(MATCH(DATOS!$C$68,TABLAS!$B$52:$B$58,0)+0,7)),1))*INDEX(TABLAS!$D$52:$D$58,MIN(MATCH(DATOS!$C$68,TABLAS!$B$52:$B$58,0)+0,7))&gt;=4/3*IF(BF22&lt;=0,0,IF((1-2*BF22*1E5/(DATOS!$C$29*AG22*BK22^2*DATOS!$C$21))&lt;0,-1,IF((1-SQRT((1-2*BF22*1E5/(DATOS!$C$29*AG22*BK22^2*DATOS!$C$21))))*DATOS!$C$21*AG22*BK22/DATOS!$C$14&gt;DATOS!$C$99*AG22*BK22,-1,(1-SQRT((1-2*BF22*1E5/(DATOS!$C$29*AG22*BK22^2*DATOS!$C$21))))*DATOS!$C$21*AG22*BK22/DATOS!$C$14)))-0.0001,MAX(DATOS!$C$71,CEILING(BL22/INDEX(TABLAS!$D$52:$D$58,MIN(MATCH(DATOS!$C$68,TABLAS!$B$52:$B$58,0)+0,7)),1)),MAX(MAX(DATOS!$C$71,CEILING(BL22/INDEX(TABLAS!$D$52:$D$58,MIN(MATCH(DATOS!$C$68,TABLAS!$B$52:$B$58,0)+0,7)),1)),2))&lt;=MIN(DATOS!$C$70,INT(((AC22-2*AJ22)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22&gt;=0,IF(MAX(DATOS!$C$71,CEILING(BL22/INDEX(TABLAS!$D$52:$D$58,MIN(MATCH(DATOS!$C$68,TABLAS!$B$52:$B$58,0)+1,7)),1))*INDEX(TABLAS!$D$52:$D$58,MIN(MATCH(DATOS!$C$68,TABLAS!$B$52:$B$58,0)+1,7))&gt;=4/3*IF(BF22&lt;=0,0,IF((1-2*BF22*1E5/(DATOS!$C$29*AG22*BK22^2*DATOS!$C$21))&lt;0,-1,IF((1-SQRT((1-2*BF22*1E5/(DATOS!$C$29*AG22*BK22^2*DATOS!$C$21))))*DATOS!$C$21*AG22*BK22/DATOS!$C$14&gt;DATOS!$C$99*AG22*BK22,-1,(1-SQRT((1-2*BF22*1E5/(DATOS!$C$29*AG22*BK22^2*DATOS!$C$21))))*DATOS!$C$21*AG22*BK22/DATOS!$C$14)))-0.0001,MAX(DATOS!$C$71,CEILING(BL22/INDEX(TABLAS!$D$52:$D$58,MIN(MATCH(DATOS!$C$68,TABLAS!$B$52:$B$58,0)+1,7)),1)),MAX(MAX(DATOS!$C$71,CEILING(BL22/INDEX(TABLAS!$D$52:$D$58,MIN(MATCH(DATOS!$C$68,TABLAS!$B$52:$B$58,0)+1,7)),1)),2))&lt;=MIN(DATOS!$C$70,INT(((AC22-2*AJ22)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22&gt;=0,IF(MAX(DATOS!$C$71,CEILING(BL22/INDEX(TABLAS!$D$52:$D$58,MIN(MATCH(DATOS!$C$68,TABLAS!$B$52:$B$58,0)+2,7)),1))*INDEX(TABLAS!$D$52:$D$58,MIN(MATCH(DATOS!$C$68,TABLAS!$B$52:$B$58,0)+2,7))&gt;=4/3*IF(BF22&lt;=0,0,IF((1-2*BF22*1E5/(DATOS!$C$29*AG22*BK22^2*DATOS!$C$21))&lt;0,-1,IF((1-SQRT((1-2*BF22*1E5/(DATOS!$C$29*AG22*BK22^2*DATOS!$C$21))))*DATOS!$C$21*AG22*BK22/DATOS!$C$14&gt;DATOS!$C$99*AG22*BK22,-1,(1-SQRT((1-2*BF22*1E5/(DATOS!$C$29*AG22*BK22^2*DATOS!$C$21))))*DATOS!$C$21*AG22*BK22/DATOS!$C$14)))-0.0001,MAX(DATOS!$C$71,CEILING(BL22/INDEX(TABLAS!$D$52:$D$58,MIN(MATCH(DATOS!$C$68,TABLAS!$B$52:$B$58,0)+2,7)),1)),MAX(MAX(DATOS!$C$71,CEILING(BL22/INDEX(TABLAS!$D$52:$D$58,MIN(MATCH(DATOS!$C$68,TABLAS!$B$52:$B$58,0)+2,7)),1)),2))&lt;=MIN(DATOS!$C$70,INT(((AC22-2*AJ22)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22&gt;=0,IF(MAX(DATOS!$C$71,CEILING(BL22/INDEX(TABLAS!$D$52:$D$58,MIN(MATCH(DATOS!$C$68,TABLAS!$B$52:$B$58,0)+3,7)),1))*INDEX(TABLAS!$D$52:$D$58,MIN(MATCH(DATOS!$C$68,TABLAS!$B$52:$B$58,0)+3,7))&gt;=4/3*IF(BF22&lt;=0,0,IF((1-2*BF22*1E5/(DATOS!$C$29*AG22*BK22^2*DATOS!$C$21))&lt;0,-1,IF((1-SQRT((1-2*BF22*1E5/(DATOS!$C$29*AG22*BK22^2*DATOS!$C$21))))*DATOS!$C$21*AG22*BK22/DATOS!$C$14&gt;DATOS!$C$99*AG22*BK22,-1,(1-SQRT((1-2*BF22*1E5/(DATOS!$C$29*AG22*BK22^2*DATOS!$C$21))))*DATOS!$C$21*AG22*BK22/DATOS!$C$14)))-0.0001,MAX(DATOS!$C$71,CEILING(BL22/INDEX(TABLAS!$D$52:$D$58,MIN(MATCH(DATOS!$C$68,TABLAS!$B$52:$B$58,0)+3,7)),1)),MAX(MAX(DATOS!$C$71,CEILING(BL22/INDEX(TABLAS!$D$52:$D$58,MIN(MATCH(DATOS!$C$68,TABLAS!$B$52:$B$58,0)+3,7)),1)),2))&lt;=MIN(DATOS!$C$70,INT(((AC22-2*AJ22)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22&gt;=0,IF(MAX(DATOS!$C$71,CEILING(BL22/INDEX(TABLAS!$D$52:$D$58,MIN(MATCH(DATOS!$C$68,TABLAS!$B$52:$B$58,0)+4,7)),1))*INDEX(TABLAS!$D$52:$D$58,MIN(MATCH(DATOS!$C$68,TABLAS!$B$52:$B$58,0)+4,7))&gt;=4/3*IF(BF22&lt;=0,0,IF((1-2*BF22*1E5/(DATOS!$C$29*AG22*BK22^2*DATOS!$C$21))&lt;0,-1,IF((1-SQRT((1-2*BF22*1E5/(DATOS!$C$29*AG22*BK22^2*DATOS!$C$21))))*DATOS!$C$21*AG22*BK22/DATOS!$C$14&gt;DATOS!$C$99*AG22*BK22,-1,(1-SQRT((1-2*BF22*1E5/(DATOS!$C$29*AG22*BK22^2*DATOS!$C$21))))*DATOS!$C$21*AG22*BK22/DATOS!$C$14)))-0.0001,MAX(DATOS!$C$71,CEILING(BL22/INDEX(TABLAS!$D$52:$D$58,MIN(MATCH(DATOS!$C$68,TABLAS!$B$52:$B$58,0)+4,7)),1)),MAX(MAX(DATOS!$C$71,CEILING(BL22/INDEX(TABLAS!$D$52:$D$58,MIN(MATCH(DATOS!$C$68,TABLAS!$B$52:$B$58,0)+4,7)),1)),2))&lt;=MIN(DATOS!$C$70,INT(((AC22-2*AJ22)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22" s="59" t="str">
        <f>IF(U22&lt;&gt;"SÍ","",IF(BL22&lt;0,0,IF(MAX(DATOS!$C$71,CEILING(MAX(BL22,0)/INDEX(TABLAS!$D$52:$D$58,MATCH(BM22,TABLAS!$B$52:$B$58,0)),1))*INDEX(TABLAS!$D$52:$D$58,MATCH(BM22,TABLAS!$B$52:$B$58,0))&gt;=4/3*IF(BF22&lt;=0,0,IF((1-2*BF22*1E5/(DATOS!$C$29*AG22*BK22^2*DATOS!$C$21))&lt;0,-1,IF((1-SQRT((1-2*BF22*1E5/(DATOS!$C$29*AG22*BK22^2*DATOS!$C$21))))*DATOS!$C$21*AG22*BK22/DATOS!$C$14&gt;DATOS!$C$99*AG22*BK22,-1,(1-SQRT((1-2*BF22*1E5/(DATOS!$C$29*AG22*BK22^2*DATOS!$C$21))))*DATOS!$C$21*AG22*BK22/DATOS!$C$14)))-0.0001,MAX(DATOS!$C$71,CEILING(MAX(BL22,0)/INDEX(TABLAS!$D$52:$D$58,MATCH(BM22,TABLAS!$B$52:$B$58,0)),1)),MAX(MAX(DATOS!$C$71,CEILING(MAX(BL22,0)/INDEX(TABLAS!$D$52:$D$58,MATCH(BM22,TABLAS!$B$52:$B$58,0)),1)),2))))</f>
        <v/>
      </c>
      <c r="BO22" s="58" t="str">
        <f>IF(U22&lt;&gt;"SÍ","",DATOS!$C$82-AJ22-INDEX(TABLAS!$C$52:$C$58,MATCH(BM22,TABLAS!$B$52:$B$58,0))/2)</f>
        <v/>
      </c>
      <c r="BP22" s="56" t="str">
        <f>IF(U22&lt;&gt;"SÍ","",IF(BN22=0,0,DATOS!$C$29*BN22*INDEX(TABLAS!$D$52:$D$58,MATCH(BM22,TABLAS!$B$52:$B$58,0))*DATOS!$C$14*(BO22-BN22*INDEX(TABLAS!$D$52:$D$58,MATCH(BM22,TABLAS!$B$52:$B$58,0))*DATOS!$C$14/(DATOS!$C$21*AG22)/2)/1E5))</f>
        <v/>
      </c>
      <c r="BQ22" s="65" t="str">
        <f>IF(U22&lt;&gt;"SÍ","",IF(BL22&lt;0,9.99,IF(BP22&gt;0,BF22/BP22,0)))</f>
        <v/>
      </c>
      <c r="BR22" s="66" t="str">
        <f>IF(U22&lt;&gt;"SÍ","",IF(BN22=0,"—",0.003*(BO22-(BN22*INDEX(TABLAS!$D$52:$D$58,MATCH(BM22,TABLAS!$B$52:$B$58,0))*DATOS!$C$14/(DATOS!$C$21*AG22)/DATOS!$C$22))/(BN22*INDEX(TABLAS!$D$52:$D$58,MATCH(BM22,TABLAS!$B$52:$B$58,0))*DATOS!$C$14/(DATOS!$C$21*AG22)/DATOS!$C$22)))</f>
        <v/>
      </c>
      <c r="BS22" s="58" t="str">
        <f>IF(U22&lt;&gt;"SÍ","",((DATOS!$C$82-AL22-2*DATOS!$C$94-INDEX(TABLAS!$C$52:$C$58,MATCH(DATOS!$C$69,TABLAS!$B$52:$B$58,0))/2)-IF(AND((DATOS!$C$82-AL22-2*DATOS!$C$94-INDEX(TABLAS!$C$52:$C$58,MATCH(DATOS!$C$69,TABLAS!$B$52:$B$58,0))/2)&lt;=20,DATOS!$C$62&lt;&gt;"SÍ"),2,0)))</f>
        <v/>
      </c>
      <c r="BT22" s="58" t="str">
        <f>IF(U22&lt;&gt;"SÍ","",IF(IF(BG22&lt;=0,0,IF((1-2*BG22*1E5/(DATOS!$C$29*AE22*BS22^2*DATOS!$C$21))&lt;0,-1,IF((1-SQRT((1-2*BG22*1E5/(DATOS!$C$29*AE22*BS22^2*DATOS!$C$21))))*DATOS!$C$21*AE22*BS22/DATOS!$C$14&gt;DATOS!$C$99*AE22*BS22,-1,(1-SQRT((1-2*BG22*1E5/(DATOS!$C$29*AE22*BS22^2*DATOS!$C$21))))*DATOS!$C$21*AE22*BS22/DATOS!$C$14)))&lt;0,-1,MAX(IF(BG22&lt;=0,0,IF((1-2*BG22*1E5/(DATOS!$C$29*AE22*BS22^2*DATOS!$C$21))&lt;0,-1,IF((1-SQRT((1-2*BG22*1E5/(DATOS!$C$29*AE22*BS22^2*DATOS!$C$21))))*DATOS!$C$21*AE22*BS22/DATOS!$C$14&gt;DATOS!$C$99*AE22*BS22,-1,(1-SQRT((1-2*BG22*1E5/(DATOS!$C$29*AE22*BS22^2*DATOS!$C$21))))*DATOS!$C$21*AE22*BS22/DATOS!$C$14))),MIN(DATOS!$C$100*IF(C22="VOLADO",MIN(AG22,2*AC22),AC22)*BS22,4/3*IF(BG22&lt;=0,0,IF((1-2*BG22*1E5/(DATOS!$C$29*AE22*BS22^2*DATOS!$C$21))&lt;0,-1,IF((1-SQRT((1-2*BG22*1E5/(DATOS!$C$29*AE22*BS22^2*DATOS!$C$21))))*DATOS!$C$21*AE22*BS22/DATOS!$C$14&gt;DATOS!$C$99*AE22*BS22,-1,(1-SQRT((1-2*BG22*1E5/(DATOS!$C$29*AE22*BS22^2*DATOS!$C$21))))*DATOS!$C$21*AE22*BS22/DATOS!$C$14)))))))</f>
        <v/>
      </c>
      <c r="BU22" s="64" t="str">
        <f>IF(U22&lt;&gt;"SÍ","",IF(AND(BT22&gt;=0,IF(MAX(DATOS!$C$71,CEILING(BT22/INDEX(TABLAS!$D$52:$D$58,MIN(MATCH(DATOS!$C$69,TABLAS!$B$52:$B$58,0)+0,7)),1))*INDEX(TABLAS!$D$52:$D$58,MIN(MATCH(DATOS!$C$69,TABLAS!$B$52:$B$58,0)+0,7))&gt;=4/3*IF(BG22&lt;=0,0,IF((1-2*BG22*1E5/(DATOS!$C$29*AE22*BS22^2*DATOS!$C$21))&lt;0,-1,IF((1-SQRT((1-2*BG22*1E5/(DATOS!$C$29*AE22*BS22^2*DATOS!$C$21))))*DATOS!$C$21*AE22*BS22/DATOS!$C$14&gt;DATOS!$C$99*AE22*BS22,-1,(1-SQRT((1-2*BG22*1E5/(DATOS!$C$29*AE22*BS22^2*DATOS!$C$21))))*DATOS!$C$21*AE22*BS22/DATOS!$C$14)))-0.0001,MAX(DATOS!$C$71,CEILING(BT22/INDEX(TABLAS!$D$52:$D$58,MIN(MATCH(DATOS!$C$69,TABLAS!$B$52:$B$58,0)+0,7)),1)),MAX(MAX(DATOS!$C$71,CEILING(BT22/INDEX(TABLAS!$D$52:$D$58,MIN(MATCH(DATOS!$C$69,TABLAS!$B$52:$B$58,0)+0,7)),1)),2))&lt;=MIN(DATOS!$C$70,INT(((AC22-2*AK22)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22&gt;=0,IF(MAX(DATOS!$C$71,CEILING(BT22/INDEX(TABLAS!$D$52:$D$58,MIN(MATCH(DATOS!$C$69,TABLAS!$B$52:$B$58,0)+1,7)),1))*INDEX(TABLAS!$D$52:$D$58,MIN(MATCH(DATOS!$C$69,TABLAS!$B$52:$B$58,0)+1,7))&gt;=4/3*IF(BG22&lt;=0,0,IF((1-2*BG22*1E5/(DATOS!$C$29*AE22*BS22^2*DATOS!$C$21))&lt;0,-1,IF((1-SQRT((1-2*BG22*1E5/(DATOS!$C$29*AE22*BS22^2*DATOS!$C$21))))*DATOS!$C$21*AE22*BS22/DATOS!$C$14&gt;DATOS!$C$99*AE22*BS22,-1,(1-SQRT((1-2*BG22*1E5/(DATOS!$C$29*AE22*BS22^2*DATOS!$C$21))))*DATOS!$C$21*AE22*BS22/DATOS!$C$14)))-0.0001,MAX(DATOS!$C$71,CEILING(BT22/INDEX(TABLAS!$D$52:$D$58,MIN(MATCH(DATOS!$C$69,TABLAS!$B$52:$B$58,0)+1,7)),1)),MAX(MAX(DATOS!$C$71,CEILING(BT22/INDEX(TABLAS!$D$52:$D$58,MIN(MATCH(DATOS!$C$69,TABLAS!$B$52:$B$58,0)+1,7)),1)),2))&lt;=MIN(DATOS!$C$70,INT(((AC22-2*AK22)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22&gt;=0,IF(MAX(DATOS!$C$71,CEILING(BT22/INDEX(TABLAS!$D$52:$D$58,MIN(MATCH(DATOS!$C$69,TABLAS!$B$52:$B$58,0)+2,7)),1))*INDEX(TABLAS!$D$52:$D$58,MIN(MATCH(DATOS!$C$69,TABLAS!$B$52:$B$58,0)+2,7))&gt;=4/3*IF(BG22&lt;=0,0,IF((1-2*BG22*1E5/(DATOS!$C$29*AE22*BS22^2*DATOS!$C$21))&lt;0,-1,IF((1-SQRT((1-2*BG22*1E5/(DATOS!$C$29*AE22*BS22^2*DATOS!$C$21))))*DATOS!$C$21*AE22*BS22/DATOS!$C$14&gt;DATOS!$C$99*AE22*BS22,-1,(1-SQRT((1-2*BG22*1E5/(DATOS!$C$29*AE22*BS22^2*DATOS!$C$21))))*DATOS!$C$21*AE22*BS22/DATOS!$C$14)))-0.0001,MAX(DATOS!$C$71,CEILING(BT22/INDEX(TABLAS!$D$52:$D$58,MIN(MATCH(DATOS!$C$69,TABLAS!$B$52:$B$58,0)+2,7)),1)),MAX(MAX(DATOS!$C$71,CEILING(BT22/INDEX(TABLAS!$D$52:$D$58,MIN(MATCH(DATOS!$C$69,TABLAS!$B$52:$B$58,0)+2,7)),1)),2))&lt;=MIN(DATOS!$C$70,INT(((AC22-2*AK22)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22&gt;=0,IF(MAX(DATOS!$C$71,CEILING(BT22/INDEX(TABLAS!$D$52:$D$58,MIN(MATCH(DATOS!$C$69,TABLAS!$B$52:$B$58,0)+3,7)),1))*INDEX(TABLAS!$D$52:$D$58,MIN(MATCH(DATOS!$C$69,TABLAS!$B$52:$B$58,0)+3,7))&gt;=4/3*IF(BG22&lt;=0,0,IF((1-2*BG22*1E5/(DATOS!$C$29*AE22*BS22^2*DATOS!$C$21))&lt;0,-1,IF((1-SQRT((1-2*BG22*1E5/(DATOS!$C$29*AE22*BS22^2*DATOS!$C$21))))*DATOS!$C$21*AE22*BS22/DATOS!$C$14&gt;DATOS!$C$99*AE22*BS22,-1,(1-SQRT((1-2*BG22*1E5/(DATOS!$C$29*AE22*BS22^2*DATOS!$C$21))))*DATOS!$C$21*AE22*BS22/DATOS!$C$14)))-0.0001,MAX(DATOS!$C$71,CEILING(BT22/INDEX(TABLAS!$D$52:$D$58,MIN(MATCH(DATOS!$C$69,TABLAS!$B$52:$B$58,0)+3,7)),1)),MAX(MAX(DATOS!$C$71,CEILING(BT22/INDEX(TABLAS!$D$52:$D$58,MIN(MATCH(DATOS!$C$69,TABLAS!$B$52:$B$58,0)+3,7)),1)),2))&lt;=MIN(DATOS!$C$70,INT(((AC22-2*AK22)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22&gt;=0,IF(MAX(DATOS!$C$71,CEILING(BT22/INDEX(TABLAS!$D$52:$D$58,MIN(MATCH(DATOS!$C$69,TABLAS!$B$52:$B$58,0)+4,7)),1))*INDEX(TABLAS!$D$52:$D$58,MIN(MATCH(DATOS!$C$69,TABLAS!$B$52:$B$58,0)+4,7))&gt;=4/3*IF(BG22&lt;=0,0,IF((1-2*BG22*1E5/(DATOS!$C$29*AE22*BS22^2*DATOS!$C$21))&lt;0,-1,IF((1-SQRT((1-2*BG22*1E5/(DATOS!$C$29*AE22*BS22^2*DATOS!$C$21))))*DATOS!$C$21*AE22*BS22/DATOS!$C$14&gt;DATOS!$C$99*AE22*BS22,-1,(1-SQRT((1-2*BG22*1E5/(DATOS!$C$29*AE22*BS22^2*DATOS!$C$21))))*DATOS!$C$21*AE22*BS22/DATOS!$C$14)))-0.0001,MAX(DATOS!$C$71,CEILING(BT22/INDEX(TABLAS!$D$52:$D$58,MIN(MATCH(DATOS!$C$69,TABLAS!$B$52:$B$58,0)+4,7)),1)),MAX(MAX(DATOS!$C$71,CEILING(BT22/INDEX(TABLAS!$D$52:$D$58,MIN(MATCH(DATOS!$C$69,TABLAS!$B$52:$B$58,0)+4,7)),1)),2))&lt;=MIN(DATOS!$C$70,INT(((AC22-2*AK22)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22" s="59" t="str">
        <f>IF(U22&lt;&gt;"SÍ","",IF(BT22&lt;0,0,IF(MAX(DATOS!$C$71,CEILING(MAX(BT22,0)/INDEX(TABLAS!$D$52:$D$58,MATCH(BU22,TABLAS!$B$52:$B$58,0)),1))*INDEX(TABLAS!$D$52:$D$58,MATCH(BU22,TABLAS!$B$52:$B$58,0))&gt;=4/3*IF(BG22&lt;=0,0,IF((1-2*BG22*1E5/(DATOS!$C$29*AE22*BS22^2*DATOS!$C$21))&lt;0,-1,IF((1-SQRT((1-2*BG22*1E5/(DATOS!$C$29*AE22*BS22^2*DATOS!$C$21))))*DATOS!$C$21*AE22*BS22/DATOS!$C$14&gt;DATOS!$C$99*AE22*BS22,-1,(1-SQRT((1-2*BG22*1E5/(DATOS!$C$29*AE22*BS22^2*DATOS!$C$21))))*DATOS!$C$21*AE22*BS22/DATOS!$C$14)))-0.0001,MAX(DATOS!$C$71,CEILING(MAX(BT22,0)/INDEX(TABLAS!$D$52:$D$58,MATCH(BU22,TABLAS!$B$52:$B$58,0)),1)),MAX(MAX(DATOS!$C$71,CEILING(MAX(BT22,0)/INDEX(TABLAS!$D$52:$D$58,MATCH(BU22,TABLAS!$B$52:$B$58,0)),1)),2))))</f>
        <v/>
      </c>
      <c r="BW22" s="58" t="str">
        <f>IF(U22&lt;&gt;"SÍ","",((DATOS!$C$82-AL22-2*DATOS!$C$94-INDEX(TABLAS!$C$52:$C$58,MATCH(BU22,TABLAS!$B$52:$B$58,0))/2)-IF(AND((DATOS!$C$82-AL22-2*DATOS!$C$94-INDEX(TABLAS!$C$52:$C$58,MATCH(BU22,TABLAS!$B$52:$B$58,0))/2)&lt;=20,DATOS!$C$62&lt;&gt;"SÍ"),2,0)))</f>
        <v/>
      </c>
      <c r="BX22" s="56" t="str">
        <f>IF(U22&lt;&gt;"SÍ","",IF(BV22=0,0,DATOS!$C$29*BV22*INDEX(TABLAS!$D$52:$D$58,MATCH(BU22,TABLAS!$B$52:$B$58,0))*DATOS!$C$14*(BW22-BV22*INDEX(TABLAS!$D$52:$D$58,MATCH(BU22,TABLAS!$B$52:$B$58,0))*DATOS!$C$14/(DATOS!$C$21*AE22)/2)/1E5))</f>
        <v/>
      </c>
      <c r="BY22" s="65" t="str">
        <f>IF(U22&lt;&gt;"SÍ","",IF(BT22&lt;0,9.99,IF(BX22&gt;0,BG22/BX22,0)))</f>
        <v/>
      </c>
      <c r="BZ22" s="66" t="str">
        <f>IF(U22&lt;&gt;"SÍ","",IF(BV22=0,"—",0.003*(BW22-(BV22*INDEX(TABLAS!$D$52:$D$58,MATCH(BU22,TABLAS!$B$52:$B$58,0))*DATOS!$C$14/(DATOS!$C$21*AE22)/DATOS!$C$22))/(BV22*INDEX(TABLAS!$D$52:$D$58,MATCH(BU22,TABLAS!$B$52:$B$58,0))*DATOS!$C$14/(DATOS!$C$21*AE22)/DATOS!$C$22)))</f>
        <v/>
      </c>
      <c r="CA22" s="58" t="str">
        <f>IF(U22&lt;&gt;"SÍ","",(DATOS!$C$82-AJ22-INDEX(TABLAS!$C$52:$C$58,MATCH(DATOS!$C$68,TABLAS!$B$52:$B$58,0))-INDEX(TABLAS!$C$52:$C$58,MATCH(DATOS!$C$68,TABLAS!$B$52:$B$58,0))/2))</f>
        <v/>
      </c>
      <c r="CB22" s="58" t="str">
        <f>IF(U22&lt;&gt;"SÍ","",IF(IF(BH22&lt;=0,0,IF((1-2*BH22*1E5/(DATOS!$C$29*AH22*CA22^2*DATOS!$C$21))&lt;0,-1,IF((1-SQRT((1-2*BH22*1E5/(DATOS!$C$29*AH22*CA22^2*DATOS!$C$21))))*DATOS!$C$21*AH22*CA22/DATOS!$C$14&gt;DATOS!$C$99*AH22*CA22,-1,(1-SQRT((1-2*BH22*1E5/(DATOS!$C$29*AH22*CA22^2*DATOS!$C$21))))*DATOS!$C$21*AH22*CA22/DATOS!$C$14)))&lt;0,-1,MAX(IF(BH22&lt;=0,0,IF((1-2*BH22*1E5/(DATOS!$C$29*AH22*CA22^2*DATOS!$C$21))&lt;0,-1,IF((1-SQRT((1-2*BH22*1E5/(DATOS!$C$29*AH22*CA22^2*DATOS!$C$21))))*DATOS!$C$21*AH22*CA22/DATOS!$C$14&gt;DATOS!$C$99*AH22*CA22,-1,(1-SQRT((1-2*BH22*1E5/(DATOS!$C$29*AH22*CA22^2*DATOS!$C$21))))*DATOS!$C$21*AH22*CA22/DATOS!$C$14))),MIN(DATOS!$C$100*DATOS!$C$80*CA22,4/3*IF(BH22&lt;=0,0,IF((1-2*BH22*1E5/(DATOS!$C$29*AH22*CA22^2*DATOS!$C$21))&lt;0,-1,IF((1-SQRT((1-2*BH22*1E5/(DATOS!$C$29*AH22*CA22^2*DATOS!$C$21))))*DATOS!$C$21*AH22*CA22/DATOS!$C$14&gt;DATOS!$C$99*AH22*CA22,-1,(1-SQRT((1-2*BH22*1E5/(DATOS!$C$29*AH22*CA22^2*DATOS!$C$21))))*DATOS!$C$21*AH22*CA22/DATOS!$C$14)))))))</f>
        <v/>
      </c>
      <c r="CC22" s="64" t="str">
        <f>IF(U22&lt;&gt;"SÍ","",IF(AND(CB22&gt;=0,IF(MAX(DATOS!$C$71,CEILING(CB22/INDEX(TABLAS!$D$52:$D$58,MIN(MATCH(DATOS!$C$68,TABLAS!$B$52:$B$58,0)+0,7)),1))*INDEX(TABLAS!$D$52:$D$58,MIN(MATCH(DATOS!$C$68,TABLAS!$B$52:$B$58,0)+0,7))&gt;=4/3*IF(BH22&lt;=0,0,IF((1-2*BH22*1E5/(DATOS!$C$29*AH22*CA22^2*DATOS!$C$21))&lt;0,-1,IF((1-SQRT((1-2*BH22*1E5/(DATOS!$C$29*AH22*CA22^2*DATOS!$C$21))))*DATOS!$C$21*AH22*CA22/DATOS!$C$14&gt;DATOS!$C$99*AH22*CA22,-1,(1-SQRT((1-2*BH22*1E5/(DATOS!$C$29*AH22*CA22^2*DATOS!$C$21))))*DATOS!$C$21*AH22*CA22/DATOS!$C$14)))-0.0001,MAX(DATOS!$C$71,CEILING(CB22/INDEX(TABLAS!$D$52:$D$58,MIN(MATCH(DATOS!$C$68,TABLAS!$B$52:$B$58,0)+0,7)),1)),MAX(MAX(DATOS!$C$71,CEILING(CB22/INDEX(TABLAS!$D$52:$D$58,MIN(MATCH(DATOS!$C$68,TABLAS!$B$52:$B$58,0)+0,7)),1)),2))&lt;=MIN(DATOS!$C$70,INT(((DATOS!$C$80-2*AJ22)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22&gt;=0,IF(MAX(DATOS!$C$71,CEILING(CB22/INDEX(TABLAS!$D$52:$D$58,MIN(MATCH(DATOS!$C$68,TABLAS!$B$52:$B$58,0)+1,7)),1))*INDEX(TABLAS!$D$52:$D$58,MIN(MATCH(DATOS!$C$68,TABLAS!$B$52:$B$58,0)+1,7))&gt;=4/3*IF(BH22&lt;=0,0,IF((1-2*BH22*1E5/(DATOS!$C$29*AH22*CA22^2*DATOS!$C$21))&lt;0,-1,IF((1-SQRT((1-2*BH22*1E5/(DATOS!$C$29*AH22*CA22^2*DATOS!$C$21))))*DATOS!$C$21*AH22*CA22/DATOS!$C$14&gt;DATOS!$C$99*AH22*CA22,-1,(1-SQRT((1-2*BH22*1E5/(DATOS!$C$29*AH22*CA22^2*DATOS!$C$21))))*DATOS!$C$21*AH22*CA22/DATOS!$C$14)))-0.0001,MAX(DATOS!$C$71,CEILING(CB22/INDEX(TABLAS!$D$52:$D$58,MIN(MATCH(DATOS!$C$68,TABLAS!$B$52:$B$58,0)+1,7)),1)),MAX(MAX(DATOS!$C$71,CEILING(CB22/INDEX(TABLAS!$D$52:$D$58,MIN(MATCH(DATOS!$C$68,TABLAS!$B$52:$B$58,0)+1,7)),1)),2))&lt;=MIN(DATOS!$C$70,INT(((DATOS!$C$80-2*AJ22)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22&gt;=0,IF(MAX(DATOS!$C$71,CEILING(CB22/INDEX(TABLAS!$D$52:$D$58,MIN(MATCH(DATOS!$C$68,TABLAS!$B$52:$B$58,0)+2,7)),1))*INDEX(TABLAS!$D$52:$D$58,MIN(MATCH(DATOS!$C$68,TABLAS!$B$52:$B$58,0)+2,7))&gt;=4/3*IF(BH22&lt;=0,0,IF((1-2*BH22*1E5/(DATOS!$C$29*AH22*CA22^2*DATOS!$C$21))&lt;0,-1,IF((1-SQRT((1-2*BH22*1E5/(DATOS!$C$29*AH22*CA22^2*DATOS!$C$21))))*DATOS!$C$21*AH22*CA22/DATOS!$C$14&gt;DATOS!$C$99*AH22*CA22,-1,(1-SQRT((1-2*BH22*1E5/(DATOS!$C$29*AH22*CA22^2*DATOS!$C$21))))*DATOS!$C$21*AH22*CA22/DATOS!$C$14)))-0.0001,MAX(DATOS!$C$71,CEILING(CB22/INDEX(TABLAS!$D$52:$D$58,MIN(MATCH(DATOS!$C$68,TABLAS!$B$52:$B$58,0)+2,7)),1)),MAX(MAX(DATOS!$C$71,CEILING(CB22/INDEX(TABLAS!$D$52:$D$58,MIN(MATCH(DATOS!$C$68,TABLAS!$B$52:$B$58,0)+2,7)),1)),2))&lt;=MIN(DATOS!$C$70,INT(((DATOS!$C$80-2*AJ22)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22&gt;=0,IF(MAX(DATOS!$C$71,CEILING(CB22/INDEX(TABLAS!$D$52:$D$58,MIN(MATCH(DATOS!$C$68,TABLAS!$B$52:$B$58,0)+3,7)),1))*INDEX(TABLAS!$D$52:$D$58,MIN(MATCH(DATOS!$C$68,TABLAS!$B$52:$B$58,0)+3,7))&gt;=4/3*IF(BH22&lt;=0,0,IF((1-2*BH22*1E5/(DATOS!$C$29*AH22*CA22^2*DATOS!$C$21))&lt;0,-1,IF((1-SQRT((1-2*BH22*1E5/(DATOS!$C$29*AH22*CA22^2*DATOS!$C$21))))*DATOS!$C$21*AH22*CA22/DATOS!$C$14&gt;DATOS!$C$99*AH22*CA22,-1,(1-SQRT((1-2*BH22*1E5/(DATOS!$C$29*AH22*CA22^2*DATOS!$C$21))))*DATOS!$C$21*AH22*CA22/DATOS!$C$14)))-0.0001,MAX(DATOS!$C$71,CEILING(CB22/INDEX(TABLAS!$D$52:$D$58,MIN(MATCH(DATOS!$C$68,TABLAS!$B$52:$B$58,0)+3,7)),1)),MAX(MAX(DATOS!$C$71,CEILING(CB22/INDEX(TABLAS!$D$52:$D$58,MIN(MATCH(DATOS!$C$68,TABLAS!$B$52:$B$58,0)+3,7)),1)),2))&lt;=MIN(DATOS!$C$70,INT(((DATOS!$C$80-2*AJ22)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22&gt;=0,IF(MAX(DATOS!$C$71,CEILING(CB22/INDEX(TABLAS!$D$52:$D$58,MIN(MATCH(DATOS!$C$68,TABLAS!$B$52:$B$58,0)+4,7)),1))*INDEX(TABLAS!$D$52:$D$58,MIN(MATCH(DATOS!$C$68,TABLAS!$B$52:$B$58,0)+4,7))&gt;=4/3*IF(BH22&lt;=0,0,IF((1-2*BH22*1E5/(DATOS!$C$29*AH22*CA22^2*DATOS!$C$21))&lt;0,-1,IF((1-SQRT((1-2*BH22*1E5/(DATOS!$C$29*AH22*CA22^2*DATOS!$C$21))))*DATOS!$C$21*AH22*CA22/DATOS!$C$14&gt;DATOS!$C$99*AH22*CA22,-1,(1-SQRT((1-2*BH22*1E5/(DATOS!$C$29*AH22*CA22^2*DATOS!$C$21))))*DATOS!$C$21*AH22*CA22/DATOS!$C$14)))-0.0001,MAX(DATOS!$C$71,CEILING(CB22/INDEX(TABLAS!$D$52:$D$58,MIN(MATCH(DATOS!$C$68,TABLAS!$B$52:$B$58,0)+4,7)),1)),MAX(MAX(DATOS!$C$71,CEILING(CB22/INDEX(TABLAS!$D$52:$D$58,MIN(MATCH(DATOS!$C$68,TABLAS!$B$52:$B$58,0)+4,7)),1)),2))&lt;=MIN(DATOS!$C$70,INT(((DATOS!$C$80-2*AJ22)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22" s="59" t="str">
        <f>IF(U22&lt;&gt;"SÍ","",IF(CB22&lt;0,0,IF(MAX(DATOS!$C$71,CEILING(MAX(CB22,0)/INDEX(TABLAS!$D$52:$D$58,MATCH(CC22,TABLAS!$B$52:$B$58,0)),1))*INDEX(TABLAS!$D$52:$D$58,MATCH(CC22,TABLAS!$B$52:$B$58,0))&gt;=4/3*IF(BH22&lt;=0,0,IF((1-2*BH22*1E5/(DATOS!$C$29*AH22*CA22^2*DATOS!$C$21))&lt;0,-1,IF((1-SQRT((1-2*BH22*1E5/(DATOS!$C$29*AH22*CA22^2*DATOS!$C$21))))*DATOS!$C$21*AH22*CA22/DATOS!$C$14&gt;DATOS!$C$99*AH22*CA22,-1,(1-SQRT((1-2*BH22*1E5/(DATOS!$C$29*AH22*CA22^2*DATOS!$C$21))))*DATOS!$C$21*AH22*CA22/DATOS!$C$14)))-0.0001,MAX(DATOS!$C$71,CEILING(MAX(CB22,0)/INDEX(TABLAS!$D$52:$D$58,MATCH(CC22,TABLAS!$B$52:$B$58,0)),1)),MAX(MAX(DATOS!$C$71,CEILING(MAX(CB22,0)/INDEX(TABLAS!$D$52:$D$58,MATCH(CC22,TABLAS!$B$52:$B$58,0)),1)),2))))</f>
        <v/>
      </c>
      <c r="CE22" s="58" t="str">
        <f>IF(U22&lt;&gt;"SÍ","",DATOS!$C$82-AJ22-INDEX(TABLAS!$C$52:$C$58,MATCH(BM22,TABLAS!$B$52:$B$58,0))-INDEX(TABLAS!$C$52:$C$58,MATCH(CC22,TABLAS!$B$52:$B$58,0))/2)</f>
        <v/>
      </c>
      <c r="CF22" s="56" t="str">
        <f>IF(U22&lt;&gt;"SÍ","",IF(CD22=0,0,DATOS!$C$29*CD22*INDEX(TABLAS!$D$52:$D$58,MATCH(CC22,TABLAS!$B$52:$B$58,0))*DATOS!$C$14*(CE22-CD22*INDEX(TABLAS!$D$52:$D$58,MATCH(CC22,TABLAS!$B$52:$B$58,0))*DATOS!$C$14/(DATOS!$C$21*AH22)/2)/1E5))</f>
        <v/>
      </c>
      <c r="CG22" s="65" t="str">
        <f>IF(U22&lt;&gt;"SÍ","",IF(CB22&lt;0,9.99,IF(CF22&gt;0,BH22/CF22,0)))</f>
        <v/>
      </c>
      <c r="CH22" s="66" t="str">
        <f>IF(U22&lt;&gt;"SÍ","",IF(CD22=0,"—",0.003*(CE22-(CD22*INDEX(TABLAS!$D$52:$D$58,MATCH(CC22,TABLAS!$B$52:$B$58,0))*DATOS!$C$14/(DATOS!$C$21*AH22)/DATOS!$C$22))/(CD22*INDEX(TABLAS!$D$52:$D$58,MATCH(CC22,TABLAS!$B$52:$B$58,0))*DATOS!$C$14/(DATOS!$C$21*AH22)/DATOS!$C$22)))</f>
        <v/>
      </c>
      <c r="CI22" s="58" t="str">
        <f>IF(U22&lt;&gt;"SÍ","",((DATOS!$C$82-AL22-2*DATOS!$C$94-INDEX(TABLAS!$C$52:$C$58,MATCH(DATOS!$C$69,TABLAS!$B$52:$B$58,0))-INDEX(TABLAS!$C$52:$C$58,MATCH(DATOS!$C$69,TABLAS!$B$52:$B$58,0))/2)-IF(AND((DATOS!$C$82-AL22-2*DATOS!$C$94-INDEX(TABLAS!$C$52:$C$58,MATCH(DATOS!$C$69,TABLAS!$B$52:$B$58,0))-INDEX(TABLAS!$C$52:$C$58,MATCH(DATOS!$C$69,TABLAS!$B$52:$B$58,0))/2)&lt;=20,DATOS!$C$62&lt;&gt;"SÍ"),2,0)))</f>
        <v/>
      </c>
      <c r="CJ22" s="58" t="str">
        <f>IF(U22&lt;&gt;"SÍ","",IF(IF(BI22&lt;=0,0,IF((1-2*BI22*1E5/(DATOS!$C$29*AF22*CI22^2*DATOS!$C$21))&lt;0,-1,IF((1-SQRT((1-2*BI22*1E5/(DATOS!$C$29*AF22*CI22^2*DATOS!$C$21))))*DATOS!$C$21*AF22*CI22/DATOS!$C$14&gt;DATOS!$C$99*AF22*CI22,-1,(1-SQRT((1-2*BI22*1E5/(DATOS!$C$29*AF22*CI22^2*DATOS!$C$21))))*DATOS!$C$21*AF22*CI22/DATOS!$C$14)))&lt;0,-1,MAX(IF(BI22&lt;=0,0,IF((1-2*BI22*1E5/(DATOS!$C$29*AF22*CI22^2*DATOS!$C$21))&lt;0,-1,IF((1-SQRT((1-2*BI22*1E5/(DATOS!$C$29*AF22*CI22^2*DATOS!$C$21))))*DATOS!$C$21*AF22*CI22/DATOS!$C$14&gt;DATOS!$C$99*AF22*CI22,-1,(1-SQRT((1-2*BI22*1E5/(DATOS!$C$29*AF22*CI22^2*DATOS!$C$21))))*DATOS!$C$21*AF22*CI22/DATOS!$C$14))),MIN(DATOS!$C$100*DATOS!$C$80*CI22,4/3*IF(BI22&lt;=0,0,IF((1-2*BI22*1E5/(DATOS!$C$29*AF22*CI22^2*DATOS!$C$21))&lt;0,-1,IF((1-SQRT((1-2*BI22*1E5/(DATOS!$C$29*AF22*CI22^2*DATOS!$C$21))))*DATOS!$C$21*AF22*CI22/DATOS!$C$14&gt;DATOS!$C$99*AF22*CI22,-1,(1-SQRT((1-2*BI22*1E5/(DATOS!$C$29*AF22*CI22^2*DATOS!$C$21))))*DATOS!$C$21*AF22*CI22/DATOS!$C$14)))))))</f>
        <v/>
      </c>
      <c r="CK22" s="64" t="str">
        <f>IF(U22&lt;&gt;"SÍ","",IF(AND(CJ22&gt;=0,IF(MAX(DATOS!$C$71,CEILING(CJ22/INDEX(TABLAS!$D$52:$D$58,MIN(MATCH(DATOS!$C$69,TABLAS!$B$52:$B$58,0)+0,7)),1))*INDEX(TABLAS!$D$52:$D$58,MIN(MATCH(DATOS!$C$69,TABLAS!$B$52:$B$58,0)+0,7))&gt;=4/3*IF(BI22&lt;=0,0,IF((1-2*BI22*1E5/(DATOS!$C$29*AF22*CI22^2*DATOS!$C$21))&lt;0,-1,IF((1-SQRT((1-2*BI22*1E5/(DATOS!$C$29*AF22*CI22^2*DATOS!$C$21))))*DATOS!$C$21*AF22*CI22/DATOS!$C$14&gt;DATOS!$C$99*AF22*CI22,-1,(1-SQRT((1-2*BI22*1E5/(DATOS!$C$29*AF22*CI22^2*DATOS!$C$21))))*DATOS!$C$21*AF22*CI22/DATOS!$C$14)))-0.0001,MAX(DATOS!$C$71,CEILING(CJ22/INDEX(TABLAS!$D$52:$D$58,MIN(MATCH(DATOS!$C$69,TABLAS!$B$52:$B$58,0)+0,7)),1)),MAX(MAX(DATOS!$C$71,CEILING(CJ22/INDEX(TABLAS!$D$52:$D$58,MIN(MATCH(DATOS!$C$69,TABLAS!$B$52:$B$58,0)+0,7)),1)),2))&lt;=MIN(DATOS!$C$70,INT(((DATOS!$C$80-2*AK22)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22&gt;=0,IF(MAX(DATOS!$C$71,CEILING(CJ22/INDEX(TABLAS!$D$52:$D$58,MIN(MATCH(DATOS!$C$69,TABLAS!$B$52:$B$58,0)+1,7)),1))*INDEX(TABLAS!$D$52:$D$58,MIN(MATCH(DATOS!$C$69,TABLAS!$B$52:$B$58,0)+1,7))&gt;=4/3*IF(BI22&lt;=0,0,IF((1-2*BI22*1E5/(DATOS!$C$29*AF22*CI22^2*DATOS!$C$21))&lt;0,-1,IF((1-SQRT((1-2*BI22*1E5/(DATOS!$C$29*AF22*CI22^2*DATOS!$C$21))))*DATOS!$C$21*AF22*CI22/DATOS!$C$14&gt;DATOS!$C$99*AF22*CI22,-1,(1-SQRT((1-2*BI22*1E5/(DATOS!$C$29*AF22*CI22^2*DATOS!$C$21))))*DATOS!$C$21*AF22*CI22/DATOS!$C$14)))-0.0001,MAX(DATOS!$C$71,CEILING(CJ22/INDEX(TABLAS!$D$52:$D$58,MIN(MATCH(DATOS!$C$69,TABLAS!$B$52:$B$58,0)+1,7)),1)),MAX(MAX(DATOS!$C$71,CEILING(CJ22/INDEX(TABLAS!$D$52:$D$58,MIN(MATCH(DATOS!$C$69,TABLAS!$B$52:$B$58,0)+1,7)),1)),2))&lt;=MIN(DATOS!$C$70,INT(((DATOS!$C$80-2*AK22)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22&gt;=0,IF(MAX(DATOS!$C$71,CEILING(CJ22/INDEX(TABLAS!$D$52:$D$58,MIN(MATCH(DATOS!$C$69,TABLAS!$B$52:$B$58,0)+2,7)),1))*INDEX(TABLAS!$D$52:$D$58,MIN(MATCH(DATOS!$C$69,TABLAS!$B$52:$B$58,0)+2,7))&gt;=4/3*IF(BI22&lt;=0,0,IF((1-2*BI22*1E5/(DATOS!$C$29*AF22*CI22^2*DATOS!$C$21))&lt;0,-1,IF((1-SQRT((1-2*BI22*1E5/(DATOS!$C$29*AF22*CI22^2*DATOS!$C$21))))*DATOS!$C$21*AF22*CI22/DATOS!$C$14&gt;DATOS!$C$99*AF22*CI22,-1,(1-SQRT((1-2*BI22*1E5/(DATOS!$C$29*AF22*CI22^2*DATOS!$C$21))))*DATOS!$C$21*AF22*CI22/DATOS!$C$14)))-0.0001,MAX(DATOS!$C$71,CEILING(CJ22/INDEX(TABLAS!$D$52:$D$58,MIN(MATCH(DATOS!$C$69,TABLAS!$B$52:$B$58,0)+2,7)),1)),MAX(MAX(DATOS!$C$71,CEILING(CJ22/INDEX(TABLAS!$D$52:$D$58,MIN(MATCH(DATOS!$C$69,TABLAS!$B$52:$B$58,0)+2,7)),1)),2))&lt;=MIN(DATOS!$C$70,INT(((DATOS!$C$80-2*AK22)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22&gt;=0,IF(MAX(DATOS!$C$71,CEILING(CJ22/INDEX(TABLAS!$D$52:$D$58,MIN(MATCH(DATOS!$C$69,TABLAS!$B$52:$B$58,0)+3,7)),1))*INDEX(TABLAS!$D$52:$D$58,MIN(MATCH(DATOS!$C$69,TABLAS!$B$52:$B$58,0)+3,7))&gt;=4/3*IF(BI22&lt;=0,0,IF((1-2*BI22*1E5/(DATOS!$C$29*AF22*CI22^2*DATOS!$C$21))&lt;0,-1,IF((1-SQRT((1-2*BI22*1E5/(DATOS!$C$29*AF22*CI22^2*DATOS!$C$21))))*DATOS!$C$21*AF22*CI22/DATOS!$C$14&gt;DATOS!$C$99*AF22*CI22,-1,(1-SQRT((1-2*BI22*1E5/(DATOS!$C$29*AF22*CI22^2*DATOS!$C$21))))*DATOS!$C$21*AF22*CI22/DATOS!$C$14)))-0.0001,MAX(DATOS!$C$71,CEILING(CJ22/INDEX(TABLAS!$D$52:$D$58,MIN(MATCH(DATOS!$C$69,TABLAS!$B$52:$B$58,0)+3,7)),1)),MAX(MAX(DATOS!$C$71,CEILING(CJ22/INDEX(TABLAS!$D$52:$D$58,MIN(MATCH(DATOS!$C$69,TABLAS!$B$52:$B$58,0)+3,7)),1)),2))&lt;=MIN(DATOS!$C$70,INT(((DATOS!$C$80-2*AK22)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22&gt;=0,IF(MAX(DATOS!$C$71,CEILING(CJ22/INDEX(TABLAS!$D$52:$D$58,MIN(MATCH(DATOS!$C$69,TABLAS!$B$52:$B$58,0)+4,7)),1))*INDEX(TABLAS!$D$52:$D$58,MIN(MATCH(DATOS!$C$69,TABLAS!$B$52:$B$58,0)+4,7))&gt;=4/3*IF(BI22&lt;=0,0,IF((1-2*BI22*1E5/(DATOS!$C$29*AF22*CI22^2*DATOS!$C$21))&lt;0,-1,IF((1-SQRT((1-2*BI22*1E5/(DATOS!$C$29*AF22*CI22^2*DATOS!$C$21))))*DATOS!$C$21*AF22*CI22/DATOS!$C$14&gt;DATOS!$C$99*AF22*CI22,-1,(1-SQRT((1-2*BI22*1E5/(DATOS!$C$29*AF22*CI22^2*DATOS!$C$21))))*DATOS!$C$21*AF22*CI22/DATOS!$C$14)))-0.0001,MAX(DATOS!$C$71,CEILING(CJ22/INDEX(TABLAS!$D$52:$D$58,MIN(MATCH(DATOS!$C$69,TABLAS!$B$52:$B$58,0)+4,7)),1)),MAX(MAX(DATOS!$C$71,CEILING(CJ22/INDEX(TABLAS!$D$52:$D$58,MIN(MATCH(DATOS!$C$69,TABLAS!$B$52:$B$58,0)+4,7)),1)),2))&lt;=MIN(DATOS!$C$70,INT(((DATOS!$C$80-2*AK22)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22" s="59" t="str">
        <f>IF(U22&lt;&gt;"SÍ","",IF(CJ22&lt;0,0,IF(MAX(DATOS!$C$71,CEILING(MAX(CJ22,0)/INDEX(TABLAS!$D$52:$D$58,MATCH(CK22,TABLAS!$B$52:$B$58,0)),1))*INDEX(TABLAS!$D$52:$D$58,MATCH(CK22,TABLAS!$B$52:$B$58,0))&gt;=4/3*IF(BI22&lt;=0,0,IF((1-2*BI22*1E5/(DATOS!$C$29*AF22*CI22^2*DATOS!$C$21))&lt;0,-1,IF((1-SQRT((1-2*BI22*1E5/(DATOS!$C$29*AF22*CI22^2*DATOS!$C$21))))*DATOS!$C$21*AF22*CI22/DATOS!$C$14&gt;DATOS!$C$99*AF22*CI22,-1,(1-SQRT((1-2*BI22*1E5/(DATOS!$C$29*AF22*CI22^2*DATOS!$C$21))))*DATOS!$C$21*AF22*CI22/DATOS!$C$14)))-0.0001,MAX(DATOS!$C$71,CEILING(MAX(CJ22,0)/INDEX(TABLAS!$D$52:$D$58,MATCH(CK22,TABLAS!$B$52:$B$58,0)),1)),MAX(MAX(DATOS!$C$71,CEILING(MAX(CJ22,0)/INDEX(TABLAS!$D$52:$D$58,MATCH(CK22,TABLAS!$B$52:$B$58,0)),1)),2))))</f>
        <v/>
      </c>
      <c r="CM22" s="58" t="str">
        <f>IF(U22&lt;&gt;"SÍ","",((DATOS!$C$82-AL22-2*DATOS!$C$94-INDEX(TABLAS!$C$52:$C$58,MATCH(BU22,TABLAS!$B$52:$B$58,0))-INDEX(TABLAS!$C$52:$C$58,MATCH(CK22,TABLAS!$B$52:$B$58,0))/2)-IF(AND((DATOS!$C$82-AL22-2*DATOS!$C$94-INDEX(TABLAS!$C$52:$C$58,MATCH(BU22,TABLAS!$B$52:$B$58,0))-INDEX(TABLAS!$C$52:$C$58,MATCH(CK22,TABLAS!$B$52:$B$58,0))/2)&lt;=20,DATOS!$C$62&lt;&gt;"SÍ"),2,0)))</f>
        <v/>
      </c>
      <c r="CN22" s="56" t="str">
        <f>IF(U22&lt;&gt;"SÍ","",IF(CL22=0,0,DATOS!$C$29*CL22*INDEX(TABLAS!$D$52:$D$58,MATCH(CK22,TABLAS!$B$52:$B$58,0))*DATOS!$C$14*(CM22-CL22*INDEX(TABLAS!$D$52:$D$58,MATCH(CK22,TABLAS!$B$52:$B$58,0))*DATOS!$C$14/(DATOS!$C$21*AF22)/2)/1E5))</f>
        <v/>
      </c>
      <c r="CO22" s="65" t="str">
        <f>IF(U22&lt;&gt;"SÍ","",IF(CJ22&lt;0,9.99,IF(CN22&gt;0,BI22/CN22,0)))</f>
        <v/>
      </c>
      <c r="CP22" s="66" t="str">
        <f>IF(U22&lt;&gt;"SÍ","",IF(CL22=0,"—",0.003*(CM22-(CL22*INDEX(TABLAS!$D$52:$D$58,MATCH(CK22,TABLAS!$B$52:$B$58,0))*DATOS!$C$14/(DATOS!$C$21*AF22)/DATOS!$C$22))/(CL22*INDEX(TABLAS!$D$52:$D$58,MATCH(CK22,TABLAS!$B$52:$B$58,0))*DATOS!$C$14/(DATOS!$C$21*AF22)/DATOS!$C$22)))</f>
        <v/>
      </c>
      <c r="CQ22" s="56" t="str">
        <f>IF(U22&lt;&gt;"SÍ","",IF(C22="PERIMETRAL",MAX(0,(AA22/2-BW22)/100)*(0.95-0.5*Z22)*AQ22*IF(AND(AR22&gt;0,AR22&lt;4),DATOS!$C$33,1)*DATOS!$C$83/100/1000,(AQ22*MAX(0,AA22-BW22)/100+DATOS!$C$26*N(O22))*DATOS!$C$83/100/1000+BE22))</f>
        <v/>
      </c>
      <c r="CR22" s="56" t="str">
        <f>IF(U22&lt;&gt;"SÍ","",DATOS!$C$30*2*MIN(1,SQRT(2/(1+0.04*BW22)))*(BV22*INDEX(TABLAS!$D$52:$D$58,MATCH(BU22,TABLAS!$B$52:$B$58,0))/(AE22*BW22))^(1/3)*SQRT(DATOS!$C$13)*AE22*BW22*IF(AI22="SÍ",DATOS!$C$32,1)/1000)</f>
        <v/>
      </c>
      <c r="CS22" s="59" t="str">
        <f>IF(U22&lt;&gt;"SÍ","",IF(CQ22&lt;=CR22,0,CEILING(MAX(0,IF(C22="VOLADO",(AA22-((CR22-BE22)*1E5/DATOS!$C$83-DATOS!$C$26*N(O22))*100/AQ22),IF(CR22&lt;=0,AA22,AA22/2-CR22/MAX(CQ22,1E-9)*(AA22/2-BW22)))-IF(INT((X22*100-DATOS!$C$84+DATOS!$C$80)/DATOS!$C$83)&gt;0,(X22*100-DATOS!$C$84-(INT((X22*100-DATOS!$C$84+DATOS!$C$80)/DATOS!$C$83)*DATOS!$C$78+(INT((X22*100-DATOS!$C$84+DATOS!$C$80)/DATOS!$C$83)-1)*DATOS!$C$80))/2,X22*100/2))/DATOS!$C$83,1)))</f>
        <v/>
      </c>
      <c r="CT22" s="67" t="str">
        <f>IF(U22&lt;&gt;"SÍ","",IF(CQ22&lt;=CR22,"CUMPLE",IF(CS22&lt;=0,"CUMPLE (basta el macizo de orilla)",IF(CS22*DATOS!$C$83*IF(C22="VOLADO",1,2)&gt;=X22*100-DATOS!$C$84,"NO CUMPLE: no alcanza ni macizando todo","MACIZAR "&amp;CS22&amp;" hilera(s)"))))</f>
        <v/>
      </c>
      <c r="CU22" s="58" t="str">
        <f>IF(U22&lt;&gt;"SÍ","",(DATOS!$C$83*DATOS!$C$81^2/2+AC22*DATOS!$C$79*(DATOS!$C$81+DATOS!$C$79/2))/(DATOS!$C$83*DATOS!$C$81+AC22*DATOS!$C$79))</f>
        <v/>
      </c>
      <c r="CV22" s="68" t="str">
        <f>IF(U22&lt;&gt;"SÍ","",DATOS!$C$83*DATOS!$C$81^3/12+DATOS!$C$83*DATOS!$C$81*(CU22-DATOS!$C$81/2)^2+AC22*DATOS!$C$79^3/12+AC22*DATOS!$C$79*(DATOS!$C$81+DATOS!$C$79/2-CU22)^2)</f>
        <v/>
      </c>
      <c r="CW22" s="58" t="str">
        <f>IF(U22&lt;&gt;"SÍ","",(12*CV22/DATOS!$C$83)^(1/3))</f>
        <v/>
      </c>
      <c r="CX22" s="58" t="str">
        <f>IF(U22&lt;&gt;"SÍ","",IF(C22="PERIMETRAL",IF(ISNUMBER(R22),R22,DATOS!$C$101),0))</f>
        <v/>
      </c>
      <c r="CY22" s="57" t="str">
        <f>IF(U22&lt;&gt;"SÍ","",IF(C22="PERIMETRAL",IF(CX22&gt;2,MAX(9,AB22*(0.8+DATOS!$C$14/14000)/(36+9*(AB22/MAX(AA22,1)))),IF(CX22&gt;0.2,MAX(13,AB22*(0.8+DATOS!$C$14/14000)/(36+5*(AB22/MAX(AA22,1))*(CX22-0.2))),MAX(13,AB22/IF(AR22&gt;0,30,33))))*IF(AND(CX22&gt;0.2,AR22&gt;0,DATOS!$C$102="NO"),1.1,1),X22*100/8))</f>
        <v/>
      </c>
      <c r="CZ22" s="61" t="str">
        <f>IF(U22&lt;&gt;"SÍ","",IF(IF(C22="VOLADO",DATOS!$C$82,CW22)&gt;=CY22,"CUMPLE",IF(C22="VOLADO","NO CUMPLE","CALCULAR FLECHA")))</f>
        <v/>
      </c>
      <c r="DA22" s="55" t="str">
        <f>IF(U22&lt;&gt;"SÍ","",IF(DATOS!$C$81&gt;=IF(IF(C22="VOLADO",X22,Y22)&gt;=6,6,5),"CUMPLE","CAPA ≥ 6 cm"))</f>
        <v/>
      </c>
      <c r="DB22" s="60" t="str">
        <f>IF(U22&lt;&gt;"SÍ","",IF(C22="VOLADO",MIN(CEILING(IF(ISNUMBER(P22),P22,X22)*100,5),CEILING(MAX(IF((0.5*(0.9*DATOS!$C$87*DATOS!$C$83/100/1000)*IF(ISNUMBER(P22),P22,X22)+BG22/IF(ISNUMBER(P22),P22,X22))^2-4*(0.5*(0.9*DATOS!$C$87*DATOS!$C$83/100/1000))*BG22&lt;0,IF(ISNUMBER(P22),P22,X22),MIN(IF(ISNUMBER(P22),P22,X22),((0.5*(0.9*DATOS!$C$87*DATOS!$C$83/100/1000)*IF(ISNUMBER(P22),P22,X22)+BG22/IF(ISNUMBER(P22),P22,X22))-SQRT((0.5*(0.9*DATOS!$C$87*DATOS!$C$83/100/1000)*IF(ISNUMBER(P22),P22,X22)+BG22/IF(ISNUMBER(P22),P22,X22))^2-4*(0.5*(0.9*DATOS!$C$87*DATOS!$C$83/100/1000))*BG22))/(2*(0.5*(0.9*DATOS!$C$87*DATOS!$C$83/100/1000)))))*100+MAX(BW22,12*INDEX(TABLAS!$C$52:$C$58,MATCH(BU22,TABLAS!$B$52:$B$58,0)),IF(ISNUMBER(P22),P22,X22)*100/16),IF(OR(AK22&lt;INDEX(TABLAS!$C$52:$C$58,MATCH(BU22,TABLAS!$B$52:$B$58,0)),AND(BV22&gt;=2,(AC22-2*AK22-BV22*INDEX(TABLAS!$C$52:$C$58,MATCH(BU22,TABLAS!$B$52:$B$58,0)))/MAX(BV22-1,1)&lt;2*INDEX(TABLAS!$C$52:$C$58,MATCH(BU22,TABLAS!$B$52:$B$58,0)))),INDEX(TABLAS!$I$52:$I$58,MATCH(BU22,TABLAS!$B$52:$B$58,0)),INDEX(TABLAS!$F$52:$F$58,MATCH(BU22,TABLAS!$B$52:$B$58,0)))),5)),IF(((4*((BB22*AQ22*X22^2*1E-4*DATOS!$C$83/100/1000)+((MAX(AX22,AZ22)*AQ22*X22^2*1E-4*DATOS!$C$83/100/1000)+(IF(AND(AX22&gt;0,AZ22&gt;0),MIN(AX22,AZ22),MAX(AX22,AZ22))*AQ22*X22^2*1E-4*DATOS!$C$83/100/1000))/2)+BG22-(IF(AND(AX22&gt;0,AZ22&gt;0),MIN(AX22,AZ22),MAX(AX22,AZ22))*AQ22*X22^2*1E-4*DATOS!$C$83/100/1000))^2-16*((BB22*AQ22*X22^2*1E-4*DATOS!$C$83/100/1000)+((MAX(AX22,AZ22)*AQ22*X22^2*1E-4*DATOS!$C$83/100/1000)+(IF(AND(AX22&gt;0,AZ22&gt;0),MIN(AX22,AZ22),MAX(AX22,AZ22))*AQ22*X22^2*1E-4*DATOS!$C$83/100/1000))/2)*BG22)&lt;0,CEILING(AA22,5),CEILING(MAX(AA22*((4*((BB22*AQ22*X22^2*1E-4*DATOS!$C$83/100/1000)+((MAX(AX22,AZ22)*AQ22*X22^2*1E-4*DATOS!$C$83/100/1000)+(IF(AND(AX22&gt;0,AZ22&gt;0),MIN(AX22,AZ22),MAX(AX22,AZ22))*AQ22*X22^2*1E-4*DATOS!$C$83/100/1000))/2)+BG22-(IF(AND(AX22&gt;0,AZ22&gt;0),MIN(AX22,AZ22),MAX(AX22,AZ22))*AQ22*X22^2*1E-4*DATOS!$C$83/100/1000))-SQRT(MAX(0,((4*((BB22*AQ22*X22^2*1E-4*DATOS!$C$83/100/1000)+((MAX(AX22,AZ22)*AQ22*X22^2*1E-4*DATOS!$C$83/100/1000)+(IF(AND(AX22&gt;0,AZ22&gt;0),MIN(AX22,AZ22),MAX(AX22,AZ22))*AQ22*X22^2*1E-4*DATOS!$C$83/100/1000))/2)+BG22-(IF(AND(AX22&gt;0,AZ22&gt;0),MIN(AX22,AZ22),MAX(AX22,AZ22))*AQ22*X22^2*1E-4*DATOS!$C$83/100/1000))^2-16*((BB22*AQ22*X22^2*1E-4*DATOS!$C$83/100/1000)+((MAX(AX22,AZ22)*AQ22*X22^2*1E-4*DATOS!$C$83/100/1000)+(IF(AND(AX22&gt;0,AZ22&gt;0),MIN(AX22,AZ22),MAX(AX22,AZ22))*AQ22*X22^2*1E-4*DATOS!$C$83/100/1000))/2)*BG22))))/(8*MAX(((BB22*AQ22*X22^2*1E-4*DATOS!$C$83/100/1000)+((MAX(AX22,AZ22)*AQ22*X22^2*1E-4*DATOS!$C$83/100/1000)+(IF(AND(AX22&gt;0,AZ22&gt;0),MIN(AX22,AZ22),MAX(AX22,AZ22))*AQ22*X22^2*1E-4*DATOS!$C$83/100/1000))/2),1E-9))+MAX(BW22,12*INDEX(TABLAS!$C$52:$C$58,MATCH(BU22,TABLAS!$B$52:$B$58,0)),AA22/16),IF(OR(AK22&lt;INDEX(TABLAS!$C$52:$C$58,MATCH(BU22,TABLAS!$B$52:$B$58,0)),AND(BV22&gt;=2,(AC22-2*AK22-BV22*INDEX(TABLAS!$C$52:$C$58,MATCH(BU22,TABLAS!$B$52:$B$58,0)))/MAX(BV22-1,1)&lt;2*INDEX(TABLAS!$C$52:$C$58,MATCH(BU22,TABLAS!$B$52:$B$58,0)))),INDEX(TABLAS!$I$52:$I$58,MATCH(BU22,TABLAS!$B$52:$B$58,0)),INDEX(TABLAS!$F$52:$F$58,MATCH(BU22,TABLAS!$B$52:$B$58,0)))),5))))</f>
        <v/>
      </c>
      <c r="DC22" s="60" t="str">
        <f>IF(U22&lt;&gt;"SÍ","",IF(C22="VOLADO",0,IF(((4*((BC22*AQ22*X22^2*1E-4*DATOS!$C$83/100/1000)+((MAX(AY22,BA22)*AQ22*X22^2*1E-4*DATOS!$C$83/100/1000)+(IF(AND(AY22&gt;0,BA22&gt;0),MIN(AY22,BA22),MAX(AY22,BA22))*AQ22*X22^2*1E-4*DATOS!$C$83/100/1000))/2)+BI22-(IF(AND(AY22&gt;0,BA22&gt;0),MIN(AY22,BA22),MAX(AY22,BA22))*AQ22*X22^2*1E-4*DATOS!$C$83/100/1000))^2-16*((BC22*AQ22*X22^2*1E-4*DATOS!$C$83/100/1000)+((MAX(AY22,BA22)*AQ22*X22^2*1E-4*DATOS!$C$83/100/1000)+(IF(AND(AY22&gt;0,BA22&gt;0),MIN(AY22,BA22),MAX(AY22,BA22))*AQ22*X22^2*1E-4*DATOS!$C$83/100/1000))/2)*BI22)&lt;0,CEILING(AB22,5),CEILING(MAX(AB22*((4*((BC22*AQ22*X22^2*1E-4*DATOS!$C$83/100/1000)+((MAX(AY22,BA22)*AQ22*X22^2*1E-4*DATOS!$C$83/100/1000)+(IF(AND(AY22&gt;0,BA22&gt;0),MIN(AY22,BA22),MAX(AY22,BA22))*AQ22*X22^2*1E-4*DATOS!$C$83/100/1000))/2)+BI22-(IF(AND(AY22&gt;0,BA22&gt;0),MIN(AY22,BA22),MAX(AY22,BA22))*AQ22*X22^2*1E-4*DATOS!$C$83/100/1000))-SQRT(MAX(0,((4*((BC22*AQ22*X22^2*1E-4*DATOS!$C$83/100/1000)+((MAX(AY22,BA22)*AQ22*X22^2*1E-4*DATOS!$C$83/100/1000)+(IF(AND(AY22&gt;0,BA22&gt;0),MIN(AY22,BA22),MAX(AY22,BA22))*AQ22*X22^2*1E-4*DATOS!$C$83/100/1000))/2)+BI22-(IF(AND(AY22&gt;0,BA22&gt;0),MIN(AY22,BA22),MAX(AY22,BA22))*AQ22*X22^2*1E-4*DATOS!$C$83/100/1000))^2-16*((BC22*AQ22*X22^2*1E-4*DATOS!$C$83/100/1000)+((MAX(AY22,BA22)*AQ22*X22^2*1E-4*DATOS!$C$83/100/1000)+(IF(AND(AY22&gt;0,BA22&gt;0),MIN(AY22,BA22),MAX(AY22,BA22))*AQ22*X22^2*1E-4*DATOS!$C$83/100/1000))/2)*BI22))))/(8*MAX(((BC22*AQ22*X22^2*1E-4*DATOS!$C$83/100/1000)+((MAX(AY22,BA22)*AQ22*X22^2*1E-4*DATOS!$C$83/100/1000)+(IF(AND(AY22&gt;0,BA22&gt;0),MIN(AY22,BA22),MAX(AY22,BA22))*AQ22*X22^2*1E-4*DATOS!$C$83/100/1000))/2),1E-9))+MAX(CM22,12*INDEX(TABLAS!$C$52:$C$58,MATCH(CK22,TABLAS!$B$52:$B$58,0)),AB22/16),IF(OR(AK22&lt;INDEX(TABLAS!$C$52:$C$58,MATCH(CK22,TABLAS!$B$52:$B$58,0)),AND(CL22&gt;=2,(DATOS!$C$80-2*AK22-CL22*INDEX(TABLAS!$C$52:$C$58,MATCH(CK22,TABLAS!$B$52:$B$58,0)))/MAX(CL22-1,1)&lt;2*INDEX(TABLAS!$C$52:$C$58,MATCH(CK22,TABLAS!$B$52:$B$58,0)))),INDEX(TABLAS!$I$52:$I$58,MATCH(CK22,TABLAS!$B$52:$B$58,0)),INDEX(TABLAS!$F$52:$F$58,MATCH(CK22,TABLAS!$B$52:$B$58,0)))),5))))</f>
        <v/>
      </c>
      <c r="DD22" s="55" t="str">
        <f>IF(U22&lt;&gt;"SÍ","",IF(AND(C22="PERIMETRAL",BV22&gt;=2,AR22-AS22&gt;0,AZ22*AQ22*X22^2*1E-4*DATOS!$C$83/100/1000&gt;DATOS!$C$29*INDEX(TABLAS!$D$52:$D$58,MATCH(BU22,TABLAS!$B$52:$B$58,0))*DATOS!$C$14*(BW22-INDEX(TABLAS!$D$52:$D$58,MATCH(BU22,TABLAS!$B$52:$B$58,0))*DATOS!$C$14/(DATOS!$C$21*AE22)/2)/1E5),"SÍ","NO"))</f>
        <v/>
      </c>
      <c r="DE22" s="55" t="str">
        <f>IF(U22&lt;&gt;"SÍ","",IF(AND(C22="PERIMETRAL",CL22&gt;=2,AS22&gt;0,BA22*AQ22*X22^2*1E-4*DATOS!$C$83/100/1000&gt;DATOS!$C$29*INDEX(TABLAS!$D$52:$D$58,MATCH(CK22,TABLAS!$B$52:$B$58,0))*DATOS!$C$14*(CM22-INDEX(TABLAS!$D$52:$D$58,MATCH(CK22,TABLAS!$B$52:$B$58,0))*DATOS!$C$14/(DATOS!$C$21*AF22)/2)/1E5),"SÍ","NO"))</f>
        <v/>
      </c>
      <c r="DF22" s="63" t="str">
        <f>IF(U22&lt;&gt;"SÍ","",IF(OR(C22="VOLADO",AR22=0),"—",IF(AND(AND(1.25*INDEX(TABLAS!$G$52:$G$58,MATCH(MAX(BM22,CC22),TABLAS!$B$52:$B$58,0))&lt;=(DATOS!$C$72-DATOS!$C$60),(DATOS!$C$72-DATOS!$C$60)&gt;=15,INDEX(TABLAS!$G$52:$G$58,MATCH(MAX(BU22,CK22),TABLAS!$B$52:$B$58,0))&lt;=(DATOS!$C$72-DATOS!$C$60)),8*INDEX(TABLAS!$C$52:$C$58,MATCH(MAX(MAX(BM22,CC22),MAX(BU22,CK22)),TABLAS!$B$52:$B$58,0))&lt;=DATOS!$C$73-2*DATOS!$C$60),"CUMPLE (gancho de 180°)",IF(AND(1.25*INDEX(TABLAS!$G$52:$G$58,MATCH(MAX(BM22,CC22),TABLAS!$B$52:$B$58,0))&lt;=(DATOS!$C$72-DATOS!$C$60),(DATOS!$C$72-DATOS!$C$60)&gt;=15,INDEX(TABLAS!$G$52:$G$58,MATCH(MAX(BU22,CK22),TABLAS!$B$52:$B$58,0))&lt;=(DATOS!$C$72-DATOS!$C$60)),"NO CUMPLE: el gancho de 180° (8·d_b) no cabe en el peralte de la dala de borde","NO CUMPLE: dala de borde ≥ "&amp;TEXT(CEILING(MAX(1.25*INDEX(TABLAS!$G$52:$G$58,MATCH(MAX(BM22,CC22),TABLAS!$B$52:$B$58,0)),15,INDEX(TABLAS!$G$52:$G$58,MATCH(MAX(BU22,CK22),TABLAS!$B$52:$B$58,0)))+DATOS!$C$60,5),"0")&amp;" cm de ancho"&amp;IF(8*INDEX(TABLAS!$C$52:$C$58,MATCH(MAX(MAX(BM22,CC22),MAX(BU22,CK22)),TABLAS!$B$52:$B$58,0))&lt;=DATOS!$C$73-2*DATOS!$C$60,""," y más peralte para el gancho")))))</f>
        <v/>
      </c>
      <c r="DG22" s="59" t="str">
        <f>IF(U22&lt;&gt;"SÍ","",MAX(0,INT((E22*100-DATOS!$C$84+DATOS!$C$83-IF(W22="X",DATOS!$C$78,AD22))/DATOS!$C$83)))</f>
        <v/>
      </c>
      <c r="DH22" s="59" t="str">
        <f>IF(U22&lt;&gt;"SÍ","",MAX(0,INT((F22*100-DATOS!$C$84+DATOS!$C$83-IF(W22="Y",DATOS!$C$78,AD22))/DATOS!$C$83)))</f>
        <v/>
      </c>
      <c r="DI22" s="57" t="str">
        <f>IF(U22&lt;&gt;"SÍ","",IF(DG22&gt;0,(E22*100-DATOS!$C$84-(DG22*IF(W22="X",DATOS!$C$78,AD22)+(DG22-1)*(DATOS!$C$83-IF(W22="X",DATOS!$C$78,AD22))))/2,E22*100/2))</f>
        <v/>
      </c>
      <c r="DJ22" s="57" t="str">
        <f>IF(U22&lt;&gt;"SÍ","",IF(DH22&gt;0,(F22*100-DATOS!$C$84-(DH22*IF(W22="Y",DATOS!$C$78,AD22)+(DH22-1)*(DATOS!$C$83-IF(W22="Y",DATOS!$C$78,AD22))))/2,F22*100/2))</f>
        <v/>
      </c>
      <c r="DK22" s="59" t="str">
        <f>IF(U22&lt;&gt;"SÍ","",IF(NOT(AND(C22="VOLADO",AC22&gt;DATOS!$C$80)),0,IF(INDEX(TABLAS!$C$52:$C$58,MATCH(BU22,TABLAS!$B$52:$B$58,0))&lt;=DATOS!$C$80-2*DATOS!$C$60,1,0)))</f>
        <v/>
      </c>
      <c r="DL22" s="58" t="str">
        <f>IF(U22&lt;&gt;"SÍ","",IF(NOT(AND(C22="VOLADO",AC22&gt;DATOS!$C$80)),0,((DATOS!$C$82-MAX(DATOS!$C$60,(DATOS!$C$81-2*DATOS!$C$94)/2)-2*DATOS!$C$94-INDEX(TABLAS!$C$52:$C$58,MATCH(BU22,TABLAS!$B$52:$B$58,0))/2)-IF(AND((DATOS!$C$82-MAX(DATOS!$C$60,(DATOS!$C$81-2*DATOS!$C$94)/2)-2*DATOS!$C$94-INDEX(TABLAS!$C$52:$C$58,MATCH(BU22,TABLAS!$B$52:$B$58,0))/2)&lt;=20,DATOS!$C$62&lt;&gt;"SÍ"),2,0))))</f>
        <v/>
      </c>
      <c r="DM22" s="56" t="str">
        <f>IF(U22&lt;&gt;"SÍ","",IF(OR(NOT(AND(C22="VOLADO",AC22&gt;DATOS!$C$80)),DK22&lt;1),0,IF(0.003*(DL22-((DK22*INDEX(TABLAS!$D$52:$D$58,MATCH(BU22,TABLAS!$B$52:$B$58,0)))*DATOS!$C$14/(DATOS!$C$21*AF22)/DATOS!$C$22))/((DK22*INDEX(TABLAS!$D$52:$D$58,MATCH(BU22,TABLAS!$B$52:$B$58,0)))*DATOS!$C$14/(DATOS!$C$21*AF22)/DATOS!$C$22)&lt;0.005,0,DATOS!$C$29*(DK22*INDEX(TABLAS!$D$52:$D$58,MATCH(BU22,TABLAS!$B$52:$B$58,0)))*DATOS!$C$14*(DL22-(DK22*INDEX(TABLAS!$D$52:$D$58,MATCH(BU22,TABLAS!$B$52:$B$58,0)))*DATOS!$C$14/(DATOS!$C$21*AF22)/2)/1E5)))</f>
        <v/>
      </c>
      <c r="DN22" s="56" t="str">
        <f>IF(U22&lt;&gt;"SÍ","",IF(OR(NOT(AND(C22="VOLADO",AC22&gt;DATOS!$C$80)),DK22&lt;1),0,DATOS!$C$30*2*MIN(1,SQRT(2/(1+0.04*DL22)))*((DK22*INDEX(TABLAS!$D$52:$D$58,MATCH(BU22,TABLAS!$B$52:$B$58,0)))/(AF22*DL22))^(1/3)*SQRT(DATOS!$C$13)*AF22*DL22/1000))</f>
        <v/>
      </c>
      <c r="DO22" s="56" t="str">
        <f>IF(U22&lt;&gt;"SÍ","",IF(NOT(AND(C22="VOLADO",AC22&gt;DATOS!$C$80)),0,IF((BG22-DM22)&lt;=0,0,IF(DM22&lt;=0,IF(ISNUMBER(P22),P22,X22),IF(((0.9*DATOS!$C$87*DATOS!$C$83/100/1000)*IF(ISNUMBER(P22),P22,X22)/2+BG22/IF(ISNUMBER(P22),P22,X22))^2-4*((0.9*DATOS!$C$87*DATOS!$C$83/100/1000)/2)*(BG22-DM22)&lt;0,IF(ISNUMBER(P22),P22,X22),MIN(IF(ISNUMBER(P22),P22,X22),(((0.9*DATOS!$C$87*DATOS!$C$83/100/1000)*IF(ISNUMBER(P22),P22,X22)/2+BG22/IF(ISNUMBER(P22),P22,X22))-SQRT(((0.9*DATOS!$C$87*DATOS!$C$83/100/1000)*IF(ISNUMBER(P22),P22,X22)/2+BG22/IF(ISNUMBER(P22),P22,X22))^2-4*((0.9*DATOS!$C$87*DATOS!$C$83/100/1000)/2)*(BG22-DM22)))/(2*((0.9*DATOS!$C$87*DATOS!$C$83/100/1000)/2))))))))</f>
        <v/>
      </c>
      <c r="DP22" s="56" t="str">
        <f>IF(U22&lt;&gt;"SÍ","",IF(NOT(AND(C22="VOLADO",AC22&gt;DATOS!$C$80)),0,MIN(IF(ISNUMBER(P22),P22,X22),MAX(0,IF(ISNUMBER(P22),P22,X22)/2+BG22/IF(ISNUMBER(P22),P22,X22)/(AQ22*DATOS!$C$83/100/1000)-DN22/(AQ22*DATOS!$C$83/100/1000)))))</f>
        <v/>
      </c>
      <c r="DQ22" s="56" t="str">
        <f>IF(U22&lt;&gt;"SÍ","",IF(NOT(AND(C22="VOLADO",AC22&gt;DATOS!$C$80)),0,BG22/IF(ISNUMBER(P22),P22,X22)+(AQ22*DATOS!$C$83/100/1000)*MAX(0,IF(ISNUMBER(P22),P22,X22)/2-BW22/100)))</f>
        <v/>
      </c>
      <c r="DR22" s="59" t="str">
        <f>IF(U22&lt;&gt;"SÍ","",IF(NOT(AND(C22="VOLADO",AC22&gt;DATOS!$C$80)),0,CEILING(100*MIN(IF(ISNUMBER(P22),P22,X22),MAX(IF(DO22&gt;0,DO22+IF(BV22&gt;=2,MAX(DL22,12*INDEX(TABLAS!$C$52:$C$58,MATCH(BU22,TABLAS!$B$52:$B$58,0)))/100,0),0),DP22,IF(BV22&gt;=2,INDEX(TABLAS!$F$52:$F$58,MATCH(BU22,TABLAS!$B$52:$B$58,0))/100,0))),5)))</f>
        <v/>
      </c>
      <c r="DS22" s="60" t="str">
        <f>IF(U22&lt;&gt;"SÍ","",IF(NOT(AND(C22="VOLADO",AC22&gt;DATOS!$C$80)),0,IF(DR22&lt;=0,0,CEILING(DR22/DATOS!$C$83,1))))</f>
        <v/>
      </c>
      <c r="DT22" s="61" t="str">
        <f>IF(U22&lt;&gt;"SÍ","",IF(C22&lt;&gt;"VOLADO","—",IF(AC22&lt;=DATOS!$C$80,"— (mismo b_w que el respaldo)",IF(DQ22&gt;CR22,"NO CUMPLE: cortante de la nervadura ancha junto al apoyo ("&amp;TEXT(DQ22,"0.00")&amp;" &gt; "&amp;TEXT(CR22,"0.00")&amp;" t)",IF(DR22&gt;=100*IF(ISNUMBER(P22),P22,X22),"CUMPLE — todas las nervaduras del respaldo ‖ al volado con b_w = "&amp;AC22&amp;" cm","CUMPLE — "&amp;DS22&amp;" hilera(s) del respaldo con nervaduras de b_w = "&amp;AC22&amp;" cm (casetón "&amp;AD22&amp;" cm), hasta "&amp;TEXT(DR22/100,"0.00")&amp;" m del paño")))))</f>
        <v/>
      </c>
      <c r="DU22" s="69" t="str">
        <f>IF(U22&lt;&gt;"SÍ","",IF(BN22=0,"NO ALCANZA",BN22&amp;" No. "&amp;BM22&amp;IF(BN22&gt;1," corridas"," corrida")))</f>
        <v/>
      </c>
      <c r="DV22" s="69" t="str">
        <f>IF(U22&lt;&gt;"SÍ","",IF(BV22=0,"NO ALCANZA",IF(AND(C22="VOLADO",AC22&gt;DATOS!$C$80,BV22&gt;=2),"1 No. "&amp;BU22&amp;" corrida de la orilla al respaldo ("&amp;IF(DB22&gt;=100*IF(ISNUMBER(P22),P22,X22),"hasta su apoyo lejano, con gancho","entra "&amp;TEXT(DB22/100,"0.00")&amp;" m desde el paño")&amp;") + "&amp;(BV22-1)&amp;" bastón No. "&amp;BU22&amp;" hasta "&amp;TEXT(DR22/100,"0.00")&amp;" m del paño (fin de la nervadura ancha)",IF(C22="VOLADO",BV22&amp;" No. "&amp;BU22&amp;" de la orilla al respaldo ("&amp;IF(DB22&gt;=100*IF(ISNUMBER(P22),P22,X22),"hasta su apoyo lejano, con gancho","entran "&amp;TEXT(DB22/100,"0.00")&amp;" m desde el paño")&amp;")","1 No. "&amp;BU22&amp;" corrida"&amp;IF(BV22&gt;1," + "&amp;(BV22-1)&amp;" bastón No. "&amp;BU22&amp;" L = "&amp;TEXT(DB22/100,"0.00")&amp;" m desde el paño","")))))</f>
        <v/>
      </c>
      <c r="DW22" s="69" t="str">
        <f>IF(U22&lt;&gt;"SÍ","",IF(CD22=0,"NO ALCANZA",CD22&amp;" No. "&amp;CC22&amp;IF(CD22&gt;1," corridas"," corrida")))</f>
        <v/>
      </c>
      <c r="DX22" s="69" t="str">
        <f>IF(U22&lt;&gt;"SÍ","",IF(CL22=0,"NO ALCANZA",IF(C22="VOLADO","1 No. "&amp;CK22&amp;" corrida (repartición)","1 No. "&amp;CK22&amp;" corrida"&amp;IF(CL22&gt;1," + "&amp;(CL22-1)&amp;" bastón No. "&amp;CK22&amp;" L = "&amp;TEXT(DC22/100,"0.00")&amp;" m desde el paño",""))))</f>
        <v/>
      </c>
      <c r="DY22" s="67" t="str">
        <f>IF(B22="","",IF(U22&lt;&gt;"SÍ","FALTAN DATOS: tipo, a_x, a_y y destino",IF(L22="NO MONOLÍTICO (caso II)","FUERA DE ALCANCE: caso II no transcrito",IF(AND(C22="VOLADO",V22="?"),"REVISAR: el volado lleva UN solo borde CONTINUO (el empotrado)",IF(AND(MAX(BQ22,BY22,CG22,CO22)&lt;=1,NOT(OR(BN22&gt;MIN(DATOS!$C$70,INT(((AC22-2*AJ22)+MAX(DATOS!$C$67,INDEX(TABLAS!$C$52:$C$58,MATCH(BM22,TABLAS!$B$52:$B$58,0))))/(INDEX(TABLAS!$C$52:$C$58,MATCH(BM22,TABLAS!$B$52:$B$58,0))+MAX(DATOS!$C$67,INDEX(TABLAS!$C$52:$C$58,MATCH(BM22,TABLAS!$B$52:$B$58,0)))))),BV22&gt;MIN(DATOS!$C$70,INT(((AC22-2*AK22)+MAX(DATOS!$C$67,INDEX(TABLAS!$C$52:$C$58,MATCH(BU22,TABLAS!$B$52:$B$58,0))))/(INDEX(TABLAS!$C$52:$C$58,MATCH(BU22,TABLAS!$B$52:$B$58,0))+MAX(DATOS!$C$67,INDEX(TABLAS!$C$52:$C$58,MATCH(BU22,TABLAS!$B$52:$B$58,0)))))),CD22&gt;MIN(DATOS!$C$70,INT(((DATOS!$C$80-2*AJ22)+MAX(DATOS!$C$67,INDEX(TABLAS!$C$52:$C$58,MATCH(CC22,TABLAS!$B$52:$B$58,0))))/(INDEX(TABLAS!$C$52:$C$58,MATCH(CC22,TABLAS!$B$52:$B$58,0))+MAX(DATOS!$C$67,INDEX(TABLAS!$C$52:$C$58,MATCH(CC22,TABLAS!$B$52:$B$58,0)))))),CL22&gt;MIN(DATOS!$C$70,INT(((DATOS!$C$80-2*AK22)+MAX(DATOS!$C$67,INDEX(TABLAS!$C$52:$C$58,MATCH(CK22,TABLAS!$B$52:$B$58,0))))/(INDEX(TABLAS!$C$52:$C$58,MATCH(CK22,TABLAS!$B$52:$B$58,0))+MAX(DATOS!$C$67,INDEX(TABLAS!$C$52:$C$58,MATCH(CK22,TABLAS!$B$52:$B$58,0)))))))),NOT(OR(AND(ISNUMBER(BR22),BR22&lt;0.005),AND(ISNUMBER(BZ22),BZ22&lt;0.005),AND(ISNUMBER(CH22),CH22&lt;0.005),AND(ISNUMBER(CP22),CP22&lt;0.005))),NOT(LEFT(DT22,2)="NO"),CZ22="CUMPLE",DA22="CUMPLE",LEFT(CT22,2)&lt;&gt;"NO"),IF(LEFT(CT22,6)="CUMPLE","CUMPLE","CUMPLE — "&amp;CT22)&amp;IF(LEFT(BJ22,5)="FUERA"," · fuera de 3.4.2.1 c)","")&amp;IF(LEFT(DF22,2)="NO"," · REVISAR anclaje en borde discontinuo","")&amp;IF(DS22&gt;0," · respaldo: "&amp;DS22&amp;" hilera(s) de b_w "&amp;AC22&amp;" cm",""),IF(AND(MAX(BQ22,BY22,CG22,CO22)&lt;=1,NOT(OR(BN22&gt;MIN(DATOS!$C$70,INT(((AC22-2*AJ22)+MAX(DATOS!$C$67,INDEX(TABLAS!$C$52:$C$58,MATCH(BM22,TABLAS!$B$52:$B$58,0))))/(INDEX(TABLAS!$C$52:$C$58,MATCH(BM22,TABLAS!$B$52:$B$58,0))+MAX(DATOS!$C$67,INDEX(TABLAS!$C$52:$C$58,MATCH(BM22,TABLAS!$B$52:$B$58,0)))))),BV22&gt;MIN(DATOS!$C$70,INT(((AC22-2*AK22)+MAX(DATOS!$C$67,INDEX(TABLAS!$C$52:$C$58,MATCH(BU22,TABLAS!$B$52:$B$58,0))))/(INDEX(TABLAS!$C$52:$C$58,MATCH(BU22,TABLAS!$B$52:$B$58,0))+MAX(DATOS!$C$67,INDEX(TABLAS!$C$52:$C$58,MATCH(BU22,TABLAS!$B$52:$B$58,0)))))),CD22&gt;MIN(DATOS!$C$70,INT(((DATOS!$C$80-2*AJ22)+MAX(DATOS!$C$67,INDEX(TABLAS!$C$52:$C$58,MATCH(CC22,TABLAS!$B$52:$B$58,0))))/(INDEX(TABLAS!$C$52:$C$58,MATCH(CC22,TABLAS!$B$52:$B$58,0))+MAX(DATOS!$C$67,INDEX(TABLAS!$C$52:$C$58,MATCH(CC22,TABLAS!$B$52:$B$58,0)))))),CL22&gt;MIN(DATOS!$C$70,INT(((DATOS!$C$80-2*AK22)+MAX(DATOS!$C$67,INDEX(TABLAS!$C$52:$C$58,MATCH(CK22,TABLAS!$B$52:$B$58,0))))/(INDEX(TABLAS!$C$52:$C$58,MATCH(CK22,TABLAS!$B$52:$B$58,0))+MAX(DATOS!$C$67,INDEX(TABLAS!$C$52:$C$58,MATCH(CK22,TABLAS!$B$52:$B$58,0)))))))),NOT(OR(AND(ISNUMBER(BR22),BR22&lt;0.005),AND(ISNUMBER(BZ22),BZ22&lt;0.005),AND(ISNUMBER(CH22),CH22&lt;0.005),AND(ISNUMBER(CP22),CP22&lt;0.005))),NOT(LEFT(DT22,2)="NO"),CZ22="CALCULAR FLECHA",LEFT(CT22,2)&lt;&gt;"NO"),"REVISAR: calcular flecha (h_eq &lt; h mín.)"&amp;IF(LEFT(BJ22,5)="FUERA"," · fuera de 3.4.2.1 c)","")&amp;IF(LEFT(DF22,2)="NO"," · REVISAR anclaje en borde discontinuo","")&amp;IF(DS22&gt;0," · respaldo: "&amp;DS22&amp;" hilera(s) de b_w "&amp;AC22&amp;" cm",""),"NO CUMPLE: "&amp;IF(MAX(BQ22,BY22,CG22,CO22)&gt;1,"flexión ","")&amp;IF(OR(BN22&gt;MIN(DATOS!$C$70,INT(((AC22-2*AJ22)+MAX(DATOS!$C$67,INDEX(TABLAS!$C$52:$C$58,MATCH(BM22,TABLAS!$B$52:$B$58,0))))/(INDEX(TABLAS!$C$52:$C$58,MATCH(BM22,TABLAS!$B$52:$B$58,0))+MAX(DATOS!$C$67,INDEX(TABLAS!$C$52:$C$58,MATCH(BM22,TABLAS!$B$52:$B$58,0)))))),BV22&gt;MIN(DATOS!$C$70,INT(((AC22-2*AK22)+MAX(DATOS!$C$67,INDEX(TABLAS!$C$52:$C$58,MATCH(BU22,TABLAS!$B$52:$B$58,0))))/(INDEX(TABLAS!$C$52:$C$58,MATCH(BU22,TABLAS!$B$52:$B$58,0))+MAX(DATOS!$C$67,INDEX(TABLAS!$C$52:$C$58,MATCH(BU22,TABLAS!$B$52:$B$58,0)))))),CD22&gt;MIN(DATOS!$C$70,INT(((DATOS!$C$80-2*AJ22)+MAX(DATOS!$C$67,INDEX(TABLAS!$C$52:$C$58,MATCH(CC22,TABLAS!$B$52:$B$58,0))))/(INDEX(TABLAS!$C$52:$C$58,MATCH(CC22,TABLAS!$B$52:$B$58,0))+MAX(DATOS!$C$67,INDEX(TABLAS!$C$52:$C$58,MATCH(CC22,TABLAS!$B$52:$B$58,0)))))),CL22&gt;MIN(DATOS!$C$70,INT(((DATOS!$C$80-2*AK22)+MAX(DATOS!$C$67,INDEX(TABLAS!$C$52:$C$58,MATCH(CK22,TABLAS!$B$52:$B$58,0))))/(INDEX(TABLAS!$C$52:$C$58,MATCH(CK22,TABLAS!$B$52:$B$58,0))+MAX(DATOS!$C$67,INDEX(TABLAS!$C$52:$C$58,MATCH(CK22,TABLAS!$B$52:$B$58,0))))))),"no caben ","")&amp;IF(OR(AND(ISNUMBER(BR22),BR22&lt;0.005),AND(ISNUMBER(BZ22),BZ22&lt;0.005),AND(ISNUMBER(CH22),CH22&lt;0.005),AND(ISNUMBER(CP22),CP22&lt;0.005)),"ε_t &lt; 0.005 ","")&amp;IF(LEFT(CT22,2)="NO","cortante ","")&amp;IF(CZ22="NO CUMPLE","peralte ","")&amp;IF(DA22&lt;&gt;"CUMPLE","capa &lt; 6 cm ","")&amp;IF(LEFT(DT22,2)="NO","respaldo del volado","")))))))</f>
        <v/>
      </c>
      <c r="DZ22" s="70" t="str">
        <f>IF(U22&lt;&gt;"SÍ","",IF(LEFT(B22,7)="EJEMPLO","EJEMPLO de la hoja de Casa Rocha: bórralo o sobrescríbelo. ","")&amp;IF(AND(C22="PERIMETRAL",MIN(DG22,DH22)=0),"No cabe un casetón en el claro corto: es un tablero macizo, diséñalo en MACIZAS. ","")&amp;IF(AND(AI22="NO",C22="PERIMETRAL"),"No cumple 6.7.8.1.4 (a_c = "&amp;MAX(DATOS!$C$78,AD22)&amp;" cm &gt; claro corto/6 = "&amp;TEXT(X22*100/6,"0")&amp;" cm): se diseña como losa apoyada en vigas (6.7.8.1.9): r de viga = "&amp;DATOS!$C$60&amp;" cm y V_cR sin ×1.1. Para que cuente como encasetonada: casetón de "&amp;TEXT(FLOOR(MIN(80,X22*100/6),1),"0")&amp;" cm o menor. ","")&amp;IF(C22="VOLADO","Volado de "&amp;TEXT(X22,"0.00")&amp;" m empotrado en el borde "&amp;LOWER(V22)&amp;IF(N(O22)&gt;0,", con "&amp;TEXT(O22,"0.0")&amp;" kg/m en la orilla","")&amp;". Lecho inferior con r_ext. Si la orilla carga pretil u otro elemento frágil, calcula la flecha (13.4). El acero superior entra al respaldo de "&amp;TEXT(IF(ISNUMBER(P22),P22,X22),"0.00")&amp;" m"&amp;IF(ISNUMBER(P22),""," (L_b no capturado: se tomó igual al volado)")&amp;" hasta pasar M = 0 con 0.9·PP sin carga viva; si ahí no se anula, llega al apoyo lejano y se ancla con gancho (NTC-Criterios 3.4.1 c y 5.1.2.2). "&amp;IF(AC22&gt;DATOS!$C$80,"Respaldo: "&amp;DT22&amp;". ",""),"")&amp;IF(LEFT(BJ22,5)="FUERA","El M⁻ del vecino difiere más de 50 % (3.4.2.1 c): distribuye el desequilibrio (3.4.3.1) o confirma con un modelo; se arma con el mayor. ","")&amp;IF(OR(DD22="SÍ",DE22="SÍ"),"El M⁻ del borde discontinuo pide bastón también ahí (con gancho). ","")&amp;IF(LEFT(DF22,2)="NO","Anclaje: "&amp;DF22&amp;" (6.7.8.1.7). ","")&amp;IF(OR(AZ22&gt;0,BA22&gt;0),"Esquinas exteriores sobre muro: refuerzo de esquina arriba y abajo en L_largo/5 (6.7.7.3.1). ",""))</f>
        <v/>
      </c>
    </row>
    <row r="23" ht="33" customHeight="1">
      <c r="A23" s="50">
        <f>IF(B23="",0,1)+A22</f>
        <v>4</v>
      </c>
      <c r="B23" s="29" t="n"/>
      <c r="C23" s="51" t="n"/>
      <c r="D23" s="29" t="n"/>
      <c r="E23" s="52" t="n"/>
      <c r="F23" s="52" t="n"/>
      <c r="G23" s="51" t="n"/>
      <c r="H23" s="51" t="n"/>
      <c r="I23" s="51" t="n"/>
      <c r="J23" s="51" t="n"/>
      <c r="K23" s="51" t="n"/>
      <c r="L23" s="51" t="n"/>
      <c r="M23" s="53" t="n"/>
      <c r="N23" s="53" t="n"/>
      <c r="O23" s="54" t="n"/>
      <c r="P23" s="52" t="n"/>
      <c r="Q23" s="53" t="n"/>
      <c r="R23" s="54" t="n"/>
      <c r="S23" s="52" t="n"/>
      <c r="T23" s="52" t="n"/>
      <c r="U23" s="55" t="str">
        <f>IF(B23="","",IF(AND(OR(C23="PERIMETRAL",C23="VOLADO"),ISNUMBER(E23),ISNUMBER(F23),E23&gt;0,F23&gt;0,OR(ISNUMBER(N23),ISNUMBER(MATCH(D23,DATOS!$B$46:$B$55,0)))),"SÍ","NO"))</f>
        <v/>
      </c>
      <c r="V23" s="55" t="str">
        <f>IF(U23&lt;&gt;"SÍ","",IF(C23&lt;&gt;"VOLADO","—",IF(COUNTIF(G23:J23,"CONTINUO")&lt;&gt;1,"?",IF(G23="CONTINUO","INFERIOR",IF(H23="CONTINUO","SUPERIOR",IF(I23="CONTINUO","IZQUIERDO","DERECHO"))))))</f>
        <v/>
      </c>
      <c r="W23" s="55" t="str">
        <f>IF(U23&lt;&gt;"SÍ","",IF(C23="VOLADO",IF(OR(V23="IZQUIERDO",V23="DERECHO"),"X","Y"),IF(E23&lt;=F23,"X","Y")))</f>
        <v/>
      </c>
      <c r="X23" s="56" t="str">
        <f>IF(U23&lt;&gt;"SÍ","",IF(C23="VOLADO",IF(W23="X",E23,F23),MIN(E23,F23)))</f>
        <v/>
      </c>
      <c r="Y23" s="56" t="str">
        <f>IF(U23&lt;&gt;"SÍ","",IF(C23="VOLADO",IF(W23="X",F23,E23),MAX(E23,F23)))</f>
        <v/>
      </c>
      <c r="Z23" s="56" t="str">
        <f>IF(U23&lt;&gt;"SÍ","",MIN(X23,Y23)/MAX(X23,Y23))</f>
        <v/>
      </c>
      <c r="AA23" s="57" t="str">
        <f>IF(U23&lt;&gt;"SÍ","",MAX(1,X23*100-IF(C23="VOLADO",DATOS!$C$84/2,DATOS!$C$84)))</f>
        <v/>
      </c>
      <c r="AB23" s="57" t="str">
        <f>IF(U23&lt;&gt;"SÍ","",MAX(1,Y23*100-DATOS!$C$84))</f>
        <v/>
      </c>
      <c r="AC23" s="57" t="str">
        <f>IF(U23&lt;&gt;"SÍ","",IF(ISNUMBER(Q23),Q23,DATOS!$C$80))</f>
        <v/>
      </c>
      <c r="AD23" s="57" t="str">
        <f>IF(U23&lt;&gt;"SÍ","",MAX(0,DATOS!$C$83-AC23))</f>
        <v/>
      </c>
      <c r="AE23" s="57" t="str">
        <f>IF(U23&lt;&gt;"SÍ","",IF(OR(DATOS!$C$62="SÍ",AC23&gt;=20),AC23,AC23-2))</f>
        <v/>
      </c>
      <c r="AF23" s="57" t="str">
        <f>IF(U23&lt;&gt;"SÍ","",IF(OR(DATOS!$C$62="SÍ",DATOS!$C$80&gt;=20),DATOS!$C$80,DATOS!$C$80-2))</f>
        <v/>
      </c>
      <c r="AG23" s="57" t="str">
        <f>IF(U23&lt;&gt;"SÍ","",MIN(DATOS!$C$83,AC23+2*MIN(8*DATOS!$C$81,AD23/2,AA23/8)))</f>
        <v/>
      </c>
      <c r="AH23" s="57" t="str">
        <f>IF(U23&lt;&gt;"SÍ","",MIN(DATOS!$C$83,DATOS!$C$80+2*MIN(8*DATOS!$C$81,DATOS!$C$78/2,AB23/8)))</f>
        <v/>
      </c>
      <c r="AI23" s="55" t="str">
        <f>IF(U23&lt;&gt;"SÍ","",IF(AND(C23="PERIMETRAL",X23*100&gt;=6*MAX(DATOS!$C$78,AD23),MAX(DATOS!$C$78,AD23)&lt;=80,MIN(DATOS!$C$80,AC23)&gt;=10,DATOS!$C$82&lt;=3.5*MIN(DATOS!$C$80,AC23),DATOS!$C$81&gt;=MAX(MAX(DATOS!$C$78,AD23)/13,5)),"SÍ","NO"))</f>
        <v/>
      </c>
      <c r="AJ23" s="57" t="str">
        <f>IF(U23&lt;&gt;"SÍ","",IF(C23="VOLADO",DATOS!$C$61,IF(AI23="NO",DATOS!$C$60,DATOS!$C$59)))</f>
        <v/>
      </c>
      <c r="AK23" s="57" t="str">
        <f>IF(U23&lt;&gt;"SÍ","",IF(OR(AND(AM23="SÍ",DATOS!$C$63="SÍ"),AND(C23="VOLADO",DATOS!$C$64="SÍ")),DATOS!$C$61,IF(AI23="NO",DATOS!$C$60,DATOS!$C$59)))</f>
        <v/>
      </c>
      <c r="AL23" s="58" t="str">
        <f>IF(U23&lt;&gt;"SÍ","",MAX(AK23,(DATOS!$C$81-2*DATOS!$C$94)/2))</f>
        <v/>
      </c>
      <c r="AM23" s="55" t="str">
        <f>IF(U23&lt;&gt;"SÍ","",IFERROR(INDEX(DATOS!$D$46:$D$55,MATCH(D23,DATOS!$B$46:$B$55,0)),"NO"))</f>
        <v/>
      </c>
      <c r="AN23" s="59" t="str">
        <f>IF(U23&lt;&gt;"SÍ","",IF(ISNUMBER(N23),N23,IFERROR(INDEX(DATOS!$C$46:$C$55,MATCH(D23,DATOS!$B$46:$B$55,0)),0)))</f>
        <v/>
      </c>
      <c r="AO23" s="59" t="str">
        <f>IF(U23&lt;&gt;"SÍ","",(DATOS!$C$82/100-(AD23*DATOS!$C$78/DATOS!$C$83^2)*DATOS!$C$79/100)*DATOS!$C$16*1000+(AD23*DATOS!$C$78/DATOS!$C$83^2)*DATOS!$C$79/100*DATOS!$C$17*1000+DATOS!$C$37+DATOS!$C$38)</f>
        <v/>
      </c>
      <c r="AP23" s="59" t="str">
        <f>IF(U23&lt;&gt;"SÍ","",AO23+N(M23))</f>
        <v/>
      </c>
      <c r="AQ23" s="60" t="str">
        <f>IF(U23&lt;&gt;"SÍ","",MAX(DATOS!$C$26*AP23+DATOS!$C$27*AN23,IF(AM23="SÍ",DATOS!$C$28*(AP23+DATOS!$C$41),0)))</f>
        <v/>
      </c>
      <c r="AR23" s="59" t="str">
        <f>IF(U23&lt;&gt;"SÍ","",(G23="DISCONTINUO")+(H23="DISCONTINUO")+(I23="DISCONTINUO")+(J23="DISCONTINUO"))</f>
        <v/>
      </c>
      <c r="AS23" s="59" t="str">
        <f>IF(U23&lt;&gt;"SÍ","",IF(W23="X",(G23="DISCONTINUO")+(H23="DISCONTINUO"),(I23="DISCONTINUO")+(J23="DISCONTINUO")))</f>
        <v/>
      </c>
      <c r="AT23" s="55" t="str">
        <f>IF(U23&lt;&gt;"SÍ","",IF(AR23=0,"INTERIOR",IF(AR23=1,IF(AS23=1,"BORDE-CORTO","BORDE-LARGO"),IF(AR23=2,IF(AS23=1,"ESQUINA",IF(AS23=2,"EXTREMO-LARGO","EXTREMO-CORTO")),IF(AR23=3,IF(AS23=2,"EXTREMO-LARGO","EXTREMO-CORTO"),"AISLADO")))))</f>
        <v/>
      </c>
      <c r="AU23" s="61" t="str">
        <f>IF(U23&lt;&gt;"SÍ","",IF(OR(K23="",K23="AUTO"),AT23,K23))</f>
        <v/>
      </c>
      <c r="AV23" s="59" t="str">
        <f>IF(U23&lt;&gt;"SÍ","",MATCH(Z23,TABLAS!$D$5:$J$5,1))</f>
        <v/>
      </c>
      <c r="AW23" s="58" t="str">
        <f>IF(U23&lt;&gt;"SÍ","",IF(AV23&gt;=7,0,(Z23-INDEX(TABLAS!$D$5:$J$5,AV23))/(INDEX(TABLAS!$D$5:$J$5,AV23+1)-INDEX(TABLAS!$D$5:$J$5,AV23))))</f>
        <v/>
      </c>
      <c r="AX23" s="59" t="str">
        <f>IF(U23&lt;&gt;"SÍ","",INDEX(TABLAS!$D$6:$J$47,MATCH(AU23&amp;"|NIC",TABLAS!$B$6:$B$47,0),AV23)+AW23*(INDEX(TABLAS!$D$6:$J$47,MATCH(AU23&amp;"|NIC",TABLAS!$B$6:$B$47,0),MIN(AV23+1,7))-INDEX(TABLAS!$D$6:$J$47,MATCH(AU23&amp;"|NIC",TABLAS!$B$6:$B$47,0),AV23)))</f>
        <v/>
      </c>
      <c r="AY23" s="59" t="str">
        <f>IF(U23&lt;&gt;"SÍ","",INDEX(TABLAS!$D$6:$J$47,MATCH(AU23&amp;"|NIL",TABLAS!$B$6:$B$47,0),AV23)+AW23*(INDEX(TABLAS!$D$6:$J$47,MATCH(AU23&amp;"|NIL",TABLAS!$B$6:$B$47,0),MIN(AV23+1,7))-INDEX(TABLAS!$D$6:$J$47,MATCH(AU23&amp;"|NIL",TABLAS!$B$6:$B$47,0),AV23)))</f>
        <v/>
      </c>
      <c r="AZ23" s="59" t="str">
        <f>IF(U23&lt;&gt;"SÍ","",INDEX(TABLAS!$D$6:$J$47,MATCH(AU23&amp;"|NDC",TABLAS!$B$6:$B$47,0),AV23)+AW23*(INDEX(TABLAS!$D$6:$J$47,MATCH(AU23&amp;"|NDC",TABLAS!$B$6:$B$47,0),MIN(AV23+1,7))-INDEX(TABLAS!$D$6:$J$47,MATCH(AU23&amp;"|NDC",TABLAS!$B$6:$B$47,0),AV23)))</f>
        <v/>
      </c>
      <c r="BA23" s="59" t="str">
        <f>IF(U23&lt;&gt;"SÍ","",INDEX(TABLAS!$D$6:$J$47,MATCH(AU23&amp;"|NDL",TABLAS!$B$6:$B$47,0),AV23)+AW23*(INDEX(TABLAS!$D$6:$J$47,MATCH(AU23&amp;"|NDL",TABLAS!$B$6:$B$47,0),MIN(AV23+1,7))-INDEX(TABLAS!$D$6:$J$47,MATCH(AU23&amp;"|NDL",TABLAS!$B$6:$B$47,0),AV23)))</f>
        <v/>
      </c>
      <c r="BB23" s="59" t="str">
        <f>IF(U23&lt;&gt;"SÍ","",INDEX(TABLAS!$D$6:$J$47,MATCH(AU23&amp;"|PC",TABLAS!$B$6:$B$47,0),AV23)+AW23*(INDEX(TABLAS!$D$6:$J$47,MATCH(AU23&amp;"|PC",TABLAS!$B$6:$B$47,0),MIN(AV23+1,7))-INDEX(TABLAS!$D$6:$J$47,MATCH(AU23&amp;"|PC",TABLAS!$B$6:$B$47,0),AV23)))</f>
        <v/>
      </c>
      <c r="BC23" s="59" t="str">
        <f>IF(U23&lt;&gt;"SÍ","",INDEX(TABLAS!$D$6:$J$47,MATCH(AU23&amp;"|PL",TABLAS!$B$6:$B$47,0),AV23)+AW23*(INDEX(TABLAS!$D$6:$J$47,MATCH(AU23&amp;"|PL",TABLAS!$B$6:$B$47,0),MIN(AV23+1,7))-INDEX(TABLAS!$D$6:$J$47,MATCH(AU23&amp;"|PL",TABLAS!$B$6:$B$47,0),AV23)))</f>
        <v/>
      </c>
      <c r="BD23" s="56" t="str">
        <f>IF(U23&lt;&gt;"SÍ","",IF(C23&lt;&gt;"VOLADO",0,DATOS!$C$26*DATOS!$C$16*DATOS!$C$83/100*(((AD23*DATOS!$C$78/DATOS!$C$83^2)*DATOS!$C$79/100)*(IF(W23="X",DI23,DJ23)+DATOS!$C$84/2)/100*(AA23-(IF(W23="X",DI23,DJ23)+DATOS!$C$84/2)/2)/100+((AD23*DATOS!$C$78/DATOS!$C$83^2)*DATOS!$C$79/100)*IF(W23="X",DI23,DJ23)/100*IF(W23="X",DI23,DJ23)/200)))</f>
        <v/>
      </c>
      <c r="BE23" s="56" t="str">
        <f>IF(U23&lt;&gt;"SÍ","",IF(C23&lt;&gt;"VOLADO",0,DATOS!$C$26*DATOS!$C$16*DATOS!$C$83/100*((AD23*DATOS!$C$78/DATOS!$C$83^2)*DATOS!$C$79/100)*(IF(W23="X",DI23,DJ23)+DATOS!$C$84/2)/100))</f>
        <v/>
      </c>
      <c r="BF23" s="56" t="str">
        <f>IF(U23&lt;&gt;"SÍ","",IF(C23="PERIMETRAL",BB23*AQ23*X23^2*1E-4*DATOS!$C$83/100/1000,0))</f>
        <v/>
      </c>
      <c r="BG23" s="62" t="str">
        <f>IF(U23&lt;&gt;"SÍ","",IF(C23="PERIMETRAL",MAX(MAX(AX23,AZ23)*AQ23*X23^2*1E-4*DATOS!$C$83/100/1000,N(S23)),(AQ23*(AA23/100)^2/2+DATOS!$C$26*N(O23)*AA23/100)*DATOS!$C$83/100/1000+BD23))</f>
        <v/>
      </c>
      <c r="BH23" s="56" t="str">
        <f>IF(U23&lt;&gt;"SÍ","",IF(C23="PERIMETRAL",BC23*AQ23*X23^2*1E-4*DATOS!$C$83/100/1000,0))</f>
        <v/>
      </c>
      <c r="BI23" s="56" t="str">
        <f>IF(U23&lt;&gt;"SÍ","",IF(C23="PERIMETRAL",MAX(MAX(AY23,BA23)*AQ23*X23^2*1E-4*DATOS!$C$83/100/1000,N(T23)),0))</f>
        <v/>
      </c>
      <c r="BJ23" s="63" t="str">
        <f>IF(U23&lt;&gt;"SÍ","",IF(C23&lt;&gt;"PERIMETRAL","—",IF(AND(N(S23)=0,N(T23)=0),"— (sin M⁻ del vecino)",IF(OR(AND(N(S23)&gt;0,ABS(MAX(AX23,AZ23)*AQ23*X23^2*1E-4*DATOS!$C$83/100/1000-N(S23))&gt;0.5*MIN(MAX(AX23,AZ23)*AQ23*X23^2*1E-4*DATOS!$C$83/100/1000,N(S23))),AND(N(T23)&gt;0,ABS(MAX(AY23,BA23)*AQ23*X23^2*1E-4*DATOS!$C$83/100/1000-N(T23))&gt;0.5*MIN(MAX(AY23,BA23)*AQ23*X23^2*1E-4*DATOS!$C$83/100/1000,N(T23)))),"FUERA: difieren &gt; 50 %"&amp;IF(AND(N(S23)&gt;0,ABS(MAX(AX23,AZ23)*AQ23*X23^2*1E-4*DATOS!$C$83/100/1000-N(S23))&gt;0.5*MIN(MAX(AX23,AZ23)*AQ23*X23^2*1E-4*DATOS!$C$83/100/1000,N(S23)))," ‖ corto","")&amp;IF(AND(N(T23)&gt;0,ABS(MAX(AY23,BA23)*AQ23*X23^2*1E-4*DATOS!$C$83/100/1000-N(T23))&gt;0.5*MIN(MAX(AY23,BA23)*AQ23*X23^2*1E-4*DATOS!$C$83/100/1000,N(T23)))," ‖ largo",""),"CUMPLE"))))</f>
        <v/>
      </c>
      <c r="BK23" s="58" t="str">
        <f>IF(U23&lt;&gt;"SÍ","",(DATOS!$C$82-AJ23-INDEX(TABLAS!$C$52:$C$58,MATCH(DATOS!$C$68,TABLAS!$B$52:$B$58,0))/2))</f>
        <v/>
      </c>
      <c r="BL23" s="58" t="str">
        <f>IF(U23&lt;&gt;"SÍ","",IF(IF(BF23&lt;=0,0,IF((1-2*BF23*1E5/(DATOS!$C$29*AG23*BK23^2*DATOS!$C$21))&lt;0,-1,IF((1-SQRT((1-2*BF23*1E5/(DATOS!$C$29*AG23*BK23^2*DATOS!$C$21))))*DATOS!$C$21*AG23*BK23/DATOS!$C$14&gt;DATOS!$C$99*AG23*BK23,-1,(1-SQRT((1-2*BF23*1E5/(DATOS!$C$29*AG23*BK23^2*DATOS!$C$21))))*DATOS!$C$21*AG23*BK23/DATOS!$C$14)))&lt;0,-1,MAX(IF(BF23&lt;=0,0,IF((1-2*BF23*1E5/(DATOS!$C$29*AG23*BK23^2*DATOS!$C$21))&lt;0,-1,IF((1-SQRT((1-2*BF23*1E5/(DATOS!$C$29*AG23*BK23^2*DATOS!$C$21))))*DATOS!$C$21*AG23*BK23/DATOS!$C$14&gt;DATOS!$C$99*AG23*BK23,-1,(1-SQRT((1-2*BF23*1E5/(DATOS!$C$29*AG23*BK23^2*DATOS!$C$21))))*DATOS!$C$21*AG23*BK23/DATOS!$C$14))),MIN(DATOS!$C$100*AC23*BK23,4/3*IF(BF23&lt;=0,0,IF((1-2*BF23*1E5/(DATOS!$C$29*AG23*BK23^2*DATOS!$C$21))&lt;0,-1,IF((1-SQRT((1-2*BF23*1E5/(DATOS!$C$29*AG23*BK23^2*DATOS!$C$21))))*DATOS!$C$21*AG23*BK23/DATOS!$C$14&gt;DATOS!$C$99*AG23*BK23,-1,(1-SQRT((1-2*BF23*1E5/(DATOS!$C$29*AG23*BK23^2*DATOS!$C$21))))*DATOS!$C$21*AG23*BK23/DATOS!$C$14)))))))</f>
        <v/>
      </c>
      <c r="BM23" s="64" t="str">
        <f>IF(U23&lt;&gt;"SÍ","",IF(AND(BL23&gt;=0,IF(MAX(DATOS!$C$71,CEILING(BL23/INDEX(TABLAS!$D$52:$D$58,MIN(MATCH(DATOS!$C$68,TABLAS!$B$52:$B$58,0)+0,7)),1))*INDEX(TABLAS!$D$52:$D$58,MIN(MATCH(DATOS!$C$68,TABLAS!$B$52:$B$58,0)+0,7))&gt;=4/3*IF(BF23&lt;=0,0,IF((1-2*BF23*1E5/(DATOS!$C$29*AG23*BK23^2*DATOS!$C$21))&lt;0,-1,IF((1-SQRT((1-2*BF23*1E5/(DATOS!$C$29*AG23*BK23^2*DATOS!$C$21))))*DATOS!$C$21*AG23*BK23/DATOS!$C$14&gt;DATOS!$C$99*AG23*BK23,-1,(1-SQRT((1-2*BF23*1E5/(DATOS!$C$29*AG23*BK23^2*DATOS!$C$21))))*DATOS!$C$21*AG23*BK23/DATOS!$C$14)))-0.0001,MAX(DATOS!$C$71,CEILING(BL23/INDEX(TABLAS!$D$52:$D$58,MIN(MATCH(DATOS!$C$68,TABLAS!$B$52:$B$58,0)+0,7)),1)),MAX(MAX(DATOS!$C$71,CEILING(BL23/INDEX(TABLAS!$D$52:$D$58,MIN(MATCH(DATOS!$C$68,TABLAS!$B$52:$B$58,0)+0,7)),1)),2))&lt;=MIN(DATOS!$C$70,INT(((AC23-2*AJ23)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23&gt;=0,IF(MAX(DATOS!$C$71,CEILING(BL23/INDEX(TABLAS!$D$52:$D$58,MIN(MATCH(DATOS!$C$68,TABLAS!$B$52:$B$58,0)+1,7)),1))*INDEX(TABLAS!$D$52:$D$58,MIN(MATCH(DATOS!$C$68,TABLAS!$B$52:$B$58,0)+1,7))&gt;=4/3*IF(BF23&lt;=0,0,IF((1-2*BF23*1E5/(DATOS!$C$29*AG23*BK23^2*DATOS!$C$21))&lt;0,-1,IF((1-SQRT((1-2*BF23*1E5/(DATOS!$C$29*AG23*BK23^2*DATOS!$C$21))))*DATOS!$C$21*AG23*BK23/DATOS!$C$14&gt;DATOS!$C$99*AG23*BK23,-1,(1-SQRT((1-2*BF23*1E5/(DATOS!$C$29*AG23*BK23^2*DATOS!$C$21))))*DATOS!$C$21*AG23*BK23/DATOS!$C$14)))-0.0001,MAX(DATOS!$C$71,CEILING(BL23/INDEX(TABLAS!$D$52:$D$58,MIN(MATCH(DATOS!$C$68,TABLAS!$B$52:$B$58,0)+1,7)),1)),MAX(MAX(DATOS!$C$71,CEILING(BL23/INDEX(TABLAS!$D$52:$D$58,MIN(MATCH(DATOS!$C$68,TABLAS!$B$52:$B$58,0)+1,7)),1)),2))&lt;=MIN(DATOS!$C$70,INT(((AC23-2*AJ23)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23&gt;=0,IF(MAX(DATOS!$C$71,CEILING(BL23/INDEX(TABLAS!$D$52:$D$58,MIN(MATCH(DATOS!$C$68,TABLAS!$B$52:$B$58,0)+2,7)),1))*INDEX(TABLAS!$D$52:$D$58,MIN(MATCH(DATOS!$C$68,TABLAS!$B$52:$B$58,0)+2,7))&gt;=4/3*IF(BF23&lt;=0,0,IF((1-2*BF23*1E5/(DATOS!$C$29*AG23*BK23^2*DATOS!$C$21))&lt;0,-1,IF((1-SQRT((1-2*BF23*1E5/(DATOS!$C$29*AG23*BK23^2*DATOS!$C$21))))*DATOS!$C$21*AG23*BK23/DATOS!$C$14&gt;DATOS!$C$99*AG23*BK23,-1,(1-SQRT((1-2*BF23*1E5/(DATOS!$C$29*AG23*BK23^2*DATOS!$C$21))))*DATOS!$C$21*AG23*BK23/DATOS!$C$14)))-0.0001,MAX(DATOS!$C$71,CEILING(BL23/INDEX(TABLAS!$D$52:$D$58,MIN(MATCH(DATOS!$C$68,TABLAS!$B$52:$B$58,0)+2,7)),1)),MAX(MAX(DATOS!$C$71,CEILING(BL23/INDEX(TABLAS!$D$52:$D$58,MIN(MATCH(DATOS!$C$68,TABLAS!$B$52:$B$58,0)+2,7)),1)),2))&lt;=MIN(DATOS!$C$70,INT(((AC23-2*AJ23)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23&gt;=0,IF(MAX(DATOS!$C$71,CEILING(BL23/INDEX(TABLAS!$D$52:$D$58,MIN(MATCH(DATOS!$C$68,TABLAS!$B$52:$B$58,0)+3,7)),1))*INDEX(TABLAS!$D$52:$D$58,MIN(MATCH(DATOS!$C$68,TABLAS!$B$52:$B$58,0)+3,7))&gt;=4/3*IF(BF23&lt;=0,0,IF((1-2*BF23*1E5/(DATOS!$C$29*AG23*BK23^2*DATOS!$C$21))&lt;0,-1,IF((1-SQRT((1-2*BF23*1E5/(DATOS!$C$29*AG23*BK23^2*DATOS!$C$21))))*DATOS!$C$21*AG23*BK23/DATOS!$C$14&gt;DATOS!$C$99*AG23*BK23,-1,(1-SQRT((1-2*BF23*1E5/(DATOS!$C$29*AG23*BK23^2*DATOS!$C$21))))*DATOS!$C$21*AG23*BK23/DATOS!$C$14)))-0.0001,MAX(DATOS!$C$71,CEILING(BL23/INDEX(TABLAS!$D$52:$D$58,MIN(MATCH(DATOS!$C$68,TABLAS!$B$52:$B$58,0)+3,7)),1)),MAX(MAX(DATOS!$C$71,CEILING(BL23/INDEX(TABLAS!$D$52:$D$58,MIN(MATCH(DATOS!$C$68,TABLAS!$B$52:$B$58,0)+3,7)),1)),2))&lt;=MIN(DATOS!$C$70,INT(((AC23-2*AJ23)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23&gt;=0,IF(MAX(DATOS!$C$71,CEILING(BL23/INDEX(TABLAS!$D$52:$D$58,MIN(MATCH(DATOS!$C$68,TABLAS!$B$52:$B$58,0)+4,7)),1))*INDEX(TABLAS!$D$52:$D$58,MIN(MATCH(DATOS!$C$68,TABLAS!$B$52:$B$58,0)+4,7))&gt;=4/3*IF(BF23&lt;=0,0,IF((1-2*BF23*1E5/(DATOS!$C$29*AG23*BK23^2*DATOS!$C$21))&lt;0,-1,IF((1-SQRT((1-2*BF23*1E5/(DATOS!$C$29*AG23*BK23^2*DATOS!$C$21))))*DATOS!$C$21*AG23*BK23/DATOS!$C$14&gt;DATOS!$C$99*AG23*BK23,-1,(1-SQRT((1-2*BF23*1E5/(DATOS!$C$29*AG23*BK23^2*DATOS!$C$21))))*DATOS!$C$21*AG23*BK23/DATOS!$C$14)))-0.0001,MAX(DATOS!$C$71,CEILING(BL23/INDEX(TABLAS!$D$52:$D$58,MIN(MATCH(DATOS!$C$68,TABLAS!$B$52:$B$58,0)+4,7)),1)),MAX(MAX(DATOS!$C$71,CEILING(BL23/INDEX(TABLAS!$D$52:$D$58,MIN(MATCH(DATOS!$C$68,TABLAS!$B$52:$B$58,0)+4,7)),1)),2))&lt;=MIN(DATOS!$C$70,INT(((AC23-2*AJ23)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23" s="59" t="str">
        <f>IF(U23&lt;&gt;"SÍ","",IF(BL23&lt;0,0,IF(MAX(DATOS!$C$71,CEILING(MAX(BL23,0)/INDEX(TABLAS!$D$52:$D$58,MATCH(BM23,TABLAS!$B$52:$B$58,0)),1))*INDEX(TABLAS!$D$52:$D$58,MATCH(BM23,TABLAS!$B$52:$B$58,0))&gt;=4/3*IF(BF23&lt;=0,0,IF((1-2*BF23*1E5/(DATOS!$C$29*AG23*BK23^2*DATOS!$C$21))&lt;0,-1,IF((1-SQRT((1-2*BF23*1E5/(DATOS!$C$29*AG23*BK23^2*DATOS!$C$21))))*DATOS!$C$21*AG23*BK23/DATOS!$C$14&gt;DATOS!$C$99*AG23*BK23,-1,(1-SQRT((1-2*BF23*1E5/(DATOS!$C$29*AG23*BK23^2*DATOS!$C$21))))*DATOS!$C$21*AG23*BK23/DATOS!$C$14)))-0.0001,MAX(DATOS!$C$71,CEILING(MAX(BL23,0)/INDEX(TABLAS!$D$52:$D$58,MATCH(BM23,TABLAS!$B$52:$B$58,0)),1)),MAX(MAX(DATOS!$C$71,CEILING(MAX(BL23,0)/INDEX(TABLAS!$D$52:$D$58,MATCH(BM23,TABLAS!$B$52:$B$58,0)),1)),2))))</f>
        <v/>
      </c>
      <c r="BO23" s="58" t="str">
        <f>IF(U23&lt;&gt;"SÍ","",DATOS!$C$82-AJ23-INDEX(TABLAS!$C$52:$C$58,MATCH(BM23,TABLAS!$B$52:$B$58,0))/2)</f>
        <v/>
      </c>
      <c r="BP23" s="56" t="str">
        <f>IF(U23&lt;&gt;"SÍ","",IF(BN23=0,0,DATOS!$C$29*BN23*INDEX(TABLAS!$D$52:$D$58,MATCH(BM23,TABLAS!$B$52:$B$58,0))*DATOS!$C$14*(BO23-BN23*INDEX(TABLAS!$D$52:$D$58,MATCH(BM23,TABLAS!$B$52:$B$58,0))*DATOS!$C$14/(DATOS!$C$21*AG23)/2)/1E5))</f>
        <v/>
      </c>
      <c r="BQ23" s="65" t="str">
        <f>IF(U23&lt;&gt;"SÍ","",IF(BL23&lt;0,9.99,IF(BP23&gt;0,BF23/BP23,0)))</f>
        <v/>
      </c>
      <c r="BR23" s="66" t="str">
        <f>IF(U23&lt;&gt;"SÍ","",IF(BN23=0,"—",0.003*(BO23-(BN23*INDEX(TABLAS!$D$52:$D$58,MATCH(BM23,TABLAS!$B$52:$B$58,0))*DATOS!$C$14/(DATOS!$C$21*AG23)/DATOS!$C$22))/(BN23*INDEX(TABLAS!$D$52:$D$58,MATCH(BM23,TABLAS!$B$52:$B$58,0))*DATOS!$C$14/(DATOS!$C$21*AG23)/DATOS!$C$22)))</f>
        <v/>
      </c>
      <c r="BS23" s="58" t="str">
        <f>IF(U23&lt;&gt;"SÍ","",((DATOS!$C$82-AL23-2*DATOS!$C$94-INDEX(TABLAS!$C$52:$C$58,MATCH(DATOS!$C$69,TABLAS!$B$52:$B$58,0))/2)-IF(AND((DATOS!$C$82-AL23-2*DATOS!$C$94-INDEX(TABLAS!$C$52:$C$58,MATCH(DATOS!$C$69,TABLAS!$B$52:$B$58,0))/2)&lt;=20,DATOS!$C$62&lt;&gt;"SÍ"),2,0)))</f>
        <v/>
      </c>
      <c r="BT23" s="58" t="str">
        <f>IF(U23&lt;&gt;"SÍ","",IF(IF(BG23&lt;=0,0,IF((1-2*BG23*1E5/(DATOS!$C$29*AE23*BS23^2*DATOS!$C$21))&lt;0,-1,IF((1-SQRT((1-2*BG23*1E5/(DATOS!$C$29*AE23*BS23^2*DATOS!$C$21))))*DATOS!$C$21*AE23*BS23/DATOS!$C$14&gt;DATOS!$C$99*AE23*BS23,-1,(1-SQRT((1-2*BG23*1E5/(DATOS!$C$29*AE23*BS23^2*DATOS!$C$21))))*DATOS!$C$21*AE23*BS23/DATOS!$C$14)))&lt;0,-1,MAX(IF(BG23&lt;=0,0,IF((1-2*BG23*1E5/(DATOS!$C$29*AE23*BS23^2*DATOS!$C$21))&lt;0,-1,IF((1-SQRT((1-2*BG23*1E5/(DATOS!$C$29*AE23*BS23^2*DATOS!$C$21))))*DATOS!$C$21*AE23*BS23/DATOS!$C$14&gt;DATOS!$C$99*AE23*BS23,-1,(1-SQRT((1-2*BG23*1E5/(DATOS!$C$29*AE23*BS23^2*DATOS!$C$21))))*DATOS!$C$21*AE23*BS23/DATOS!$C$14))),MIN(DATOS!$C$100*IF(C23="VOLADO",MIN(AG23,2*AC23),AC23)*BS23,4/3*IF(BG23&lt;=0,0,IF((1-2*BG23*1E5/(DATOS!$C$29*AE23*BS23^2*DATOS!$C$21))&lt;0,-1,IF((1-SQRT((1-2*BG23*1E5/(DATOS!$C$29*AE23*BS23^2*DATOS!$C$21))))*DATOS!$C$21*AE23*BS23/DATOS!$C$14&gt;DATOS!$C$99*AE23*BS23,-1,(1-SQRT((1-2*BG23*1E5/(DATOS!$C$29*AE23*BS23^2*DATOS!$C$21))))*DATOS!$C$21*AE23*BS23/DATOS!$C$14)))))))</f>
        <v/>
      </c>
      <c r="BU23" s="64" t="str">
        <f>IF(U23&lt;&gt;"SÍ","",IF(AND(BT23&gt;=0,IF(MAX(DATOS!$C$71,CEILING(BT23/INDEX(TABLAS!$D$52:$D$58,MIN(MATCH(DATOS!$C$69,TABLAS!$B$52:$B$58,0)+0,7)),1))*INDEX(TABLAS!$D$52:$D$58,MIN(MATCH(DATOS!$C$69,TABLAS!$B$52:$B$58,0)+0,7))&gt;=4/3*IF(BG23&lt;=0,0,IF((1-2*BG23*1E5/(DATOS!$C$29*AE23*BS23^2*DATOS!$C$21))&lt;0,-1,IF((1-SQRT((1-2*BG23*1E5/(DATOS!$C$29*AE23*BS23^2*DATOS!$C$21))))*DATOS!$C$21*AE23*BS23/DATOS!$C$14&gt;DATOS!$C$99*AE23*BS23,-1,(1-SQRT((1-2*BG23*1E5/(DATOS!$C$29*AE23*BS23^2*DATOS!$C$21))))*DATOS!$C$21*AE23*BS23/DATOS!$C$14)))-0.0001,MAX(DATOS!$C$71,CEILING(BT23/INDEX(TABLAS!$D$52:$D$58,MIN(MATCH(DATOS!$C$69,TABLAS!$B$52:$B$58,0)+0,7)),1)),MAX(MAX(DATOS!$C$71,CEILING(BT23/INDEX(TABLAS!$D$52:$D$58,MIN(MATCH(DATOS!$C$69,TABLAS!$B$52:$B$58,0)+0,7)),1)),2))&lt;=MIN(DATOS!$C$70,INT(((AC23-2*AK23)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23&gt;=0,IF(MAX(DATOS!$C$71,CEILING(BT23/INDEX(TABLAS!$D$52:$D$58,MIN(MATCH(DATOS!$C$69,TABLAS!$B$52:$B$58,0)+1,7)),1))*INDEX(TABLAS!$D$52:$D$58,MIN(MATCH(DATOS!$C$69,TABLAS!$B$52:$B$58,0)+1,7))&gt;=4/3*IF(BG23&lt;=0,0,IF((1-2*BG23*1E5/(DATOS!$C$29*AE23*BS23^2*DATOS!$C$21))&lt;0,-1,IF((1-SQRT((1-2*BG23*1E5/(DATOS!$C$29*AE23*BS23^2*DATOS!$C$21))))*DATOS!$C$21*AE23*BS23/DATOS!$C$14&gt;DATOS!$C$99*AE23*BS23,-1,(1-SQRT((1-2*BG23*1E5/(DATOS!$C$29*AE23*BS23^2*DATOS!$C$21))))*DATOS!$C$21*AE23*BS23/DATOS!$C$14)))-0.0001,MAX(DATOS!$C$71,CEILING(BT23/INDEX(TABLAS!$D$52:$D$58,MIN(MATCH(DATOS!$C$69,TABLAS!$B$52:$B$58,0)+1,7)),1)),MAX(MAX(DATOS!$C$71,CEILING(BT23/INDEX(TABLAS!$D$52:$D$58,MIN(MATCH(DATOS!$C$69,TABLAS!$B$52:$B$58,0)+1,7)),1)),2))&lt;=MIN(DATOS!$C$70,INT(((AC23-2*AK23)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23&gt;=0,IF(MAX(DATOS!$C$71,CEILING(BT23/INDEX(TABLAS!$D$52:$D$58,MIN(MATCH(DATOS!$C$69,TABLAS!$B$52:$B$58,0)+2,7)),1))*INDEX(TABLAS!$D$52:$D$58,MIN(MATCH(DATOS!$C$69,TABLAS!$B$52:$B$58,0)+2,7))&gt;=4/3*IF(BG23&lt;=0,0,IF((1-2*BG23*1E5/(DATOS!$C$29*AE23*BS23^2*DATOS!$C$21))&lt;0,-1,IF((1-SQRT((1-2*BG23*1E5/(DATOS!$C$29*AE23*BS23^2*DATOS!$C$21))))*DATOS!$C$21*AE23*BS23/DATOS!$C$14&gt;DATOS!$C$99*AE23*BS23,-1,(1-SQRT((1-2*BG23*1E5/(DATOS!$C$29*AE23*BS23^2*DATOS!$C$21))))*DATOS!$C$21*AE23*BS23/DATOS!$C$14)))-0.0001,MAX(DATOS!$C$71,CEILING(BT23/INDEX(TABLAS!$D$52:$D$58,MIN(MATCH(DATOS!$C$69,TABLAS!$B$52:$B$58,0)+2,7)),1)),MAX(MAX(DATOS!$C$71,CEILING(BT23/INDEX(TABLAS!$D$52:$D$58,MIN(MATCH(DATOS!$C$69,TABLAS!$B$52:$B$58,0)+2,7)),1)),2))&lt;=MIN(DATOS!$C$70,INT(((AC23-2*AK23)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23&gt;=0,IF(MAX(DATOS!$C$71,CEILING(BT23/INDEX(TABLAS!$D$52:$D$58,MIN(MATCH(DATOS!$C$69,TABLAS!$B$52:$B$58,0)+3,7)),1))*INDEX(TABLAS!$D$52:$D$58,MIN(MATCH(DATOS!$C$69,TABLAS!$B$52:$B$58,0)+3,7))&gt;=4/3*IF(BG23&lt;=0,0,IF((1-2*BG23*1E5/(DATOS!$C$29*AE23*BS23^2*DATOS!$C$21))&lt;0,-1,IF((1-SQRT((1-2*BG23*1E5/(DATOS!$C$29*AE23*BS23^2*DATOS!$C$21))))*DATOS!$C$21*AE23*BS23/DATOS!$C$14&gt;DATOS!$C$99*AE23*BS23,-1,(1-SQRT((1-2*BG23*1E5/(DATOS!$C$29*AE23*BS23^2*DATOS!$C$21))))*DATOS!$C$21*AE23*BS23/DATOS!$C$14)))-0.0001,MAX(DATOS!$C$71,CEILING(BT23/INDEX(TABLAS!$D$52:$D$58,MIN(MATCH(DATOS!$C$69,TABLAS!$B$52:$B$58,0)+3,7)),1)),MAX(MAX(DATOS!$C$71,CEILING(BT23/INDEX(TABLAS!$D$52:$D$58,MIN(MATCH(DATOS!$C$69,TABLAS!$B$52:$B$58,0)+3,7)),1)),2))&lt;=MIN(DATOS!$C$70,INT(((AC23-2*AK23)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23&gt;=0,IF(MAX(DATOS!$C$71,CEILING(BT23/INDEX(TABLAS!$D$52:$D$58,MIN(MATCH(DATOS!$C$69,TABLAS!$B$52:$B$58,0)+4,7)),1))*INDEX(TABLAS!$D$52:$D$58,MIN(MATCH(DATOS!$C$69,TABLAS!$B$52:$B$58,0)+4,7))&gt;=4/3*IF(BG23&lt;=0,0,IF((1-2*BG23*1E5/(DATOS!$C$29*AE23*BS23^2*DATOS!$C$21))&lt;0,-1,IF((1-SQRT((1-2*BG23*1E5/(DATOS!$C$29*AE23*BS23^2*DATOS!$C$21))))*DATOS!$C$21*AE23*BS23/DATOS!$C$14&gt;DATOS!$C$99*AE23*BS23,-1,(1-SQRT((1-2*BG23*1E5/(DATOS!$C$29*AE23*BS23^2*DATOS!$C$21))))*DATOS!$C$21*AE23*BS23/DATOS!$C$14)))-0.0001,MAX(DATOS!$C$71,CEILING(BT23/INDEX(TABLAS!$D$52:$D$58,MIN(MATCH(DATOS!$C$69,TABLAS!$B$52:$B$58,0)+4,7)),1)),MAX(MAX(DATOS!$C$71,CEILING(BT23/INDEX(TABLAS!$D$52:$D$58,MIN(MATCH(DATOS!$C$69,TABLAS!$B$52:$B$58,0)+4,7)),1)),2))&lt;=MIN(DATOS!$C$70,INT(((AC23-2*AK23)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23" s="59" t="str">
        <f>IF(U23&lt;&gt;"SÍ","",IF(BT23&lt;0,0,IF(MAX(DATOS!$C$71,CEILING(MAX(BT23,0)/INDEX(TABLAS!$D$52:$D$58,MATCH(BU23,TABLAS!$B$52:$B$58,0)),1))*INDEX(TABLAS!$D$52:$D$58,MATCH(BU23,TABLAS!$B$52:$B$58,0))&gt;=4/3*IF(BG23&lt;=0,0,IF((1-2*BG23*1E5/(DATOS!$C$29*AE23*BS23^2*DATOS!$C$21))&lt;0,-1,IF((1-SQRT((1-2*BG23*1E5/(DATOS!$C$29*AE23*BS23^2*DATOS!$C$21))))*DATOS!$C$21*AE23*BS23/DATOS!$C$14&gt;DATOS!$C$99*AE23*BS23,-1,(1-SQRT((1-2*BG23*1E5/(DATOS!$C$29*AE23*BS23^2*DATOS!$C$21))))*DATOS!$C$21*AE23*BS23/DATOS!$C$14)))-0.0001,MAX(DATOS!$C$71,CEILING(MAX(BT23,0)/INDEX(TABLAS!$D$52:$D$58,MATCH(BU23,TABLAS!$B$52:$B$58,0)),1)),MAX(MAX(DATOS!$C$71,CEILING(MAX(BT23,0)/INDEX(TABLAS!$D$52:$D$58,MATCH(BU23,TABLAS!$B$52:$B$58,0)),1)),2))))</f>
        <v/>
      </c>
      <c r="BW23" s="58" t="str">
        <f>IF(U23&lt;&gt;"SÍ","",((DATOS!$C$82-AL23-2*DATOS!$C$94-INDEX(TABLAS!$C$52:$C$58,MATCH(BU23,TABLAS!$B$52:$B$58,0))/2)-IF(AND((DATOS!$C$82-AL23-2*DATOS!$C$94-INDEX(TABLAS!$C$52:$C$58,MATCH(BU23,TABLAS!$B$52:$B$58,0))/2)&lt;=20,DATOS!$C$62&lt;&gt;"SÍ"),2,0)))</f>
        <v/>
      </c>
      <c r="BX23" s="56" t="str">
        <f>IF(U23&lt;&gt;"SÍ","",IF(BV23=0,0,DATOS!$C$29*BV23*INDEX(TABLAS!$D$52:$D$58,MATCH(BU23,TABLAS!$B$52:$B$58,0))*DATOS!$C$14*(BW23-BV23*INDEX(TABLAS!$D$52:$D$58,MATCH(BU23,TABLAS!$B$52:$B$58,0))*DATOS!$C$14/(DATOS!$C$21*AE23)/2)/1E5))</f>
        <v/>
      </c>
      <c r="BY23" s="65" t="str">
        <f>IF(U23&lt;&gt;"SÍ","",IF(BT23&lt;0,9.99,IF(BX23&gt;0,BG23/BX23,0)))</f>
        <v/>
      </c>
      <c r="BZ23" s="66" t="str">
        <f>IF(U23&lt;&gt;"SÍ","",IF(BV23=0,"—",0.003*(BW23-(BV23*INDEX(TABLAS!$D$52:$D$58,MATCH(BU23,TABLAS!$B$52:$B$58,0))*DATOS!$C$14/(DATOS!$C$21*AE23)/DATOS!$C$22))/(BV23*INDEX(TABLAS!$D$52:$D$58,MATCH(BU23,TABLAS!$B$52:$B$58,0))*DATOS!$C$14/(DATOS!$C$21*AE23)/DATOS!$C$22)))</f>
        <v/>
      </c>
      <c r="CA23" s="58" t="str">
        <f>IF(U23&lt;&gt;"SÍ","",(DATOS!$C$82-AJ23-INDEX(TABLAS!$C$52:$C$58,MATCH(DATOS!$C$68,TABLAS!$B$52:$B$58,0))-INDEX(TABLAS!$C$52:$C$58,MATCH(DATOS!$C$68,TABLAS!$B$52:$B$58,0))/2))</f>
        <v/>
      </c>
      <c r="CB23" s="58" t="str">
        <f>IF(U23&lt;&gt;"SÍ","",IF(IF(BH23&lt;=0,0,IF((1-2*BH23*1E5/(DATOS!$C$29*AH23*CA23^2*DATOS!$C$21))&lt;0,-1,IF((1-SQRT((1-2*BH23*1E5/(DATOS!$C$29*AH23*CA23^2*DATOS!$C$21))))*DATOS!$C$21*AH23*CA23/DATOS!$C$14&gt;DATOS!$C$99*AH23*CA23,-1,(1-SQRT((1-2*BH23*1E5/(DATOS!$C$29*AH23*CA23^2*DATOS!$C$21))))*DATOS!$C$21*AH23*CA23/DATOS!$C$14)))&lt;0,-1,MAX(IF(BH23&lt;=0,0,IF((1-2*BH23*1E5/(DATOS!$C$29*AH23*CA23^2*DATOS!$C$21))&lt;0,-1,IF((1-SQRT((1-2*BH23*1E5/(DATOS!$C$29*AH23*CA23^2*DATOS!$C$21))))*DATOS!$C$21*AH23*CA23/DATOS!$C$14&gt;DATOS!$C$99*AH23*CA23,-1,(1-SQRT((1-2*BH23*1E5/(DATOS!$C$29*AH23*CA23^2*DATOS!$C$21))))*DATOS!$C$21*AH23*CA23/DATOS!$C$14))),MIN(DATOS!$C$100*DATOS!$C$80*CA23,4/3*IF(BH23&lt;=0,0,IF((1-2*BH23*1E5/(DATOS!$C$29*AH23*CA23^2*DATOS!$C$21))&lt;0,-1,IF((1-SQRT((1-2*BH23*1E5/(DATOS!$C$29*AH23*CA23^2*DATOS!$C$21))))*DATOS!$C$21*AH23*CA23/DATOS!$C$14&gt;DATOS!$C$99*AH23*CA23,-1,(1-SQRT((1-2*BH23*1E5/(DATOS!$C$29*AH23*CA23^2*DATOS!$C$21))))*DATOS!$C$21*AH23*CA23/DATOS!$C$14)))))))</f>
        <v/>
      </c>
      <c r="CC23" s="64" t="str">
        <f>IF(U23&lt;&gt;"SÍ","",IF(AND(CB23&gt;=0,IF(MAX(DATOS!$C$71,CEILING(CB23/INDEX(TABLAS!$D$52:$D$58,MIN(MATCH(DATOS!$C$68,TABLAS!$B$52:$B$58,0)+0,7)),1))*INDEX(TABLAS!$D$52:$D$58,MIN(MATCH(DATOS!$C$68,TABLAS!$B$52:$B$58,0)+0,7))&gt;=4/3*IF(BH23&lt;=0,0,IF((1-2*BH23*1E5/(DATOS!$C$29*AH23*CA23^2*DATOS!$C$21))&lt;0,-1,IF((1-SQRT((1-2*BH23*1E5/(DATOS!$C$29*AH23*CA23^2*DATOS!$C$21))))*DATOS!$C$21*AH23*CA23/DATOS!$C$14&gt;DATOS!$C$99*AH23*CA23,-1,(1-SQRT((1-2*BH23*1E5/(DATOS!$C$29*AH23*CA23^2*DATOS!$C$21))))*DATOS!$C$21*AH23*CA23/DATOS!$C$14)))-0.0001,MAX(DATOS!$C$71,CEILING(CB23/INDEX(TABLAS!$D$52:$D$58,MIN(MATCH(DATOS!$C$68,TABLAS!$B$52:$B$58,0)+0,7)),1)),MAX(MAX(DATOS!$C$71,CEILING(CB23/INDEX(TABLAS!$D$52:$D$58,MIN(MATCH(DATOS!$C$68,TABLAS!$B$52:$B$58,0)+0,7)),1)),2))&lt;=MIN(DATOS!$C$70,INT(((DATOS!$C$80-2*AJ23)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23&gt;=0,IF(MAX(DATOS!$C$71,CEILING(CB23/INDEX(TABLAS!$D$52:$D$58,MIN(MATCH(DATOS!$C$68,TABLAS!$B$52:$B$58,0)+1,7)),1))*INDEX(TABLAS!$D$52:$D$58,MIN(MATCH(DATOS!$C$68,TABLAS!$B$52:$B$58,0)+1,7))&gt;=4/3*IF(BH23&lt;=0,0,IF((1-2*BH23*1E5/(DATOS!$C$29*AH23*CA23^2*DATOS!$C$21))&lt;0,-1,IF((1-SQRT((1-2*BH23*1E5/(DATOS!$C$29*AH23*CA23^2*DATOS!$C$21))))*DATOS!$C$21*AH23*CA23/DATOS!$C$14&gt;DATOS!$C$99*AH23*CA23,-1,(1-SQRT((1-2*BH23*1E5/(DATOS!$C$29*AH23*CA23^2*DATOS!$C$21))))*DATOS!$C$21*AH23*CA23/DATOS!$C$14)))-0.0001,MAX(DATOS!$C$71,CEILING(CB23/INDEX(TABLAS!$D$52:$D$58,MIN(MATCH(DATOS!$C$68,TABLAS!$B$52:$B$58,0)+1,7)),1)),MAX(MAX(DATOS!$C$71,CEILING(CB23/INDEX(TABLAS!$D$52:$D$58,MIN(MATCH(DATOS!$C$68,TABLAS!$B$52:$B$58,0)+1,7)),1)),2))&lt;=MIN(DATOS!$C$70,INT(((DATOS!$C$80-2*AJ23)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23&gt;=0,IF(MAX(DATOS!$C$71,CEILING(CB23/INDEX(TABLAS!$D$52:$D$58,MIN(MATCH(DATOS!$C$68,TABLAS!$B$52:$B$58,0)+2,7)),1))*INDEX(TABLAS!$D$52:$D$58,MIN(MATCH(DATOS!$C$68,TABLAS!$B$52:$B$58,0)+2,7))&gt;=4/3*IF(BH23&lt;=0,0,IF((1-2*BH23*1E5/(DATOS!$C$29*AH23*CA23^2*DATOS!$C$21))&lt;0,-1,IF((1-SQRT((1-2*BH23*1E5/(DATOS!$C$29*AH23*CA23^2*DATOS!$C$21))))*DATOS!$C$21*AH23*CA23/DATOS!$C$14&gt;DATOS!$C$99*AH23*CA23,-1,(1-SQRT((1-2*BH23*1E5/(DATOS!$C$29*AH23*CA23^2*DATOS!$C$21))))*DATOS!$C$21*AH23*CA23/DATOS!$C$14)))-0.0001,MAX(DATOS!$C$71,CEILING(CB23/INDEX(TABLAS!$D$52:$D$58,MIN(MATCH(DATOS!$C$68,TABLAS!$B$52:$B$58,0)+2,7)),1)),MAX(MAX(DATOS!$C$71,CEILING(CB23/INDEX(TABLAS!$D$52:$D$58,MIN(MATCH(DATOS!$C$68,TABLAS!$B$52:$B$58,0)+2,7)),1)),2))&lt;=MIN(DATOS!$C$70,INT(((DATOS!$C$80-2*AJ23)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23&gt;=0,IF(MAX(DATOS!$C$71,CEILING(CB23/INDEX(TABLAS!$D$52:$D$58,MIN(MATCH(DATOS!$C$68,TABLAS!$B$52:$B$58,0)+3,7)),1))*INDEX(TABLAS!$D$52:$D$58,MIN(MATCH(DATOS!$C$68,TABLAS!$B$52:$B$58,0)+3,7))&gt;=4/3*IF(BH23&lt;=0,0,IF((1-2*BH23*1E5/(DATOS!$C$29*AH23*CA23^2*DATOS!$C$21))&lt;0,-1,IF((1-SQRT((1-2*BH23*1E5/(DATOS!$C$29*AH23*CA23^2*DATOS!$C$21))))*DATOS!$C$21*AH23*CA23/DATOS!$C$14&gt;DATOS!$C$99*AH23*CA23,-1,(1-SQRT((1-2*BH23*1E5/(DATOS!$C$29*AH23*CA23^2*DATOS!$C$21))))*DATOS!$C$21*AH23*CA23/DATOS!$C$14)))-0.0001,MAX(DATOS!$C$71,CEILING(CB23/INDEX(TABLAS!$D$52:$D$58,MIN(MATCH(DATOS!$C$68,TABLAS!$B$52:$B$58,0)+3,7)),1)),MAX(MAX(DATOS!$C$71,CEILING(CB23/INDEX(TABLAS!$D$52:$D$58,MIN(MATCH(DATOS!$C$68,TABLAS!$B$52:$B$58,0)+3,7)),1)),2))&lt;=MIN(DATOS!$C$70,INT(((DATOS!$C$80-2*AJ23)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23&gt;=0,IF(MAX(DATOS!$C$71,CEILING(CB23/INDEX(TABLAS!$D$52:$D$58,MIN(MATCH(DATOS!$C$68,TABLAS!$B$52:$B$58,0)+4,7)),1))*INDEX(TABLAS!$D$52:$D$58,MIN(MATCH(DATOS!$C$68,TABLAS!$B$52:$B$58,0)+4,7))&gt;=4/3*IF(BH23&lt;=0,0,IF((1-2*BH23*1E5/(DATOS!$C$29*AH23*CA23^2*DATOS!$C$21))&lt;0,-1,IF((1-SQRT((1-2*BH23*1E5/(DATOS!$C$29*AH23*CA23^2*DATOS!$C$21))))*DATOS!$C$21*AH23*CA23/DATOS!$C$14&gt;DATOS!$C$99*AH23*CA23,-1,(1-SQRT((1-2*BH23*1E5/(DATOS!$C$29*AH23*CA23^2*DATOS!$C$21))))*DATOS!$C$21*AH23*CA23/DATOS!$C$14)))-0.0001,MAX(DATOS!$C$71,CEILING(CB23/INDEX(TABLAS!$D$52:$D$58,MIN(MATCH(DATOS!$C$68,TABLAS!$B$52:$B$58,0)+4,7)),1)),MAX(MAX(DATOS!$C$71,CEILING(CB23/INDEX(TABLAS!$D$52:$D$58,MIN(MATCH(DATOS!$C$68,TABLAS!$B$52:$B$58,0)+4,7)),1)),2))&lt;=MIN(DATOS!$C$70,INT(((DATOS!$C$80-2*AJ23)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23" s="59" t="str">
        <f>IF(U23&lt;&gt;"SÍ","",IF(CB23&lt;0,0,IF(MAX(DATOS!$C$71,CEILING(MAX(CB23,0)/INDEX(TABLAS!$D$52:$D$58,MATCH(CC23,TABLAS!$B$52:$B$58,0)),1))*INDEX(TABLAS!$D$52:$D$58,MATCH(CC23,TABLAS!$B$52:$B$58,0))&gt;=4/3*IF(BH23&lt;=0,0,IF((1-2*BH23*1E5/(DATOS!$C$29*AH23*CA23^2*DATOS!$C$21))&lt;0,-1,IF((1-SQRT((1-2*BH23*1E5/(DATOS!$C$29*AH23*CA23^2*DATOS!$C$21))))*DATOS!$C$21*AH23*CA23/DATOS!$C$14&gt;DATOS!$C$99*AH23*CA23,-1,(1-SQRT((1-2*BH23*1E5/(DATOS!$C$29*AH23*CA23^2*DATOS!$C$21))))*DATOS!$C$21*AH23*CA23/DATOS!$C$14)))-0.0001,MAX(DATOS!$C$71,CEILING(MAX(CB23,0)/INDEX(TABLAS!$D$52:$D$58,MATCH(CC23,TABLAS!$B$52:$B$58,0)),1)),MAX(MAX(DATOS!$C$71,CEILING(MAX(CB23,0)/INDEX(TABLAS!$D$52:$D$58,MATCH(CC23,TABLAS!$B$52:$B$58,0)),1)),2))))</f>
        <v/>
      </c>
      <c r="CE23" s="58" t="str">
        <f>IF(U23&lt;&gt;"SÍ","",DATOS!$C$82-AJ23-INDEX(TABLAS!$C$52:$C$58,MATCH(BM23,TABLAS!$B$52:$B$58,0))-INDEX(TABLAS!$C$52:$C$58,MATCH(CC23,TABLAS!$B$52:$B$58,0))/2)</f>
        <v/>
      </c>
      <c r="CF23" s="56" t="str">
        <f>IF(U23&lt;&gt;"SÍ","",IF(CD23=0,0,DATOS!$C$29*CD23*INDEX(TABLAS!$D$52:$D$58,MATCH(CC23,TABLAS!$B$52:$B$58,0))*DATOS!$C$14*(CE23-CD23*INDEX(TABLAS!$D$52:$D$58,MATCH(CC23,TABLAS!$B$52:$B$58,0))*DATOS!$C$14/(DATOS!$C$21*AH23)/2)/1E5))</f>
        <v/>
      </c>
      <c r="CG23" s="65" t="str">
        <f>IF(U23&lt;&gt;"SÍ","",IF(CB23&lt;0,9.99,IF(CF23&gt;0,BH23/CF23,0)))</f>
        <v/>
      </c>
      <c r="CH23" s="66" t="str">
        <f>IF(U23&lt;&gt;"SÍ","",IF(CD23=0,"—",0.003*(CE23-(CD23*INDEX(TABLAS!$D$52:$D$58,MATCH(CC23,TABLAS!$B$52:$B$58,0))*DATOS!$C$14/(DATOS!$C$21*AH23)/DATOS!$C$22))/(CD23*INDEX(TABLAS!$D$52:$D$58,MATCH(CC23,TABLAS!$B$52:$B$58,0))*DATOS!$C$14/(DATOS!$C$21*AH23)/DATOS!$C$22)))</f>
        <v/>
      </c>
      <c r="CI23" s="58" t="str">
        <f>IF(U23&lt;&gt;"SÍ","",((DATOS!$C$82-AL23-2*DATOS!$C$94-INDEX(TABLAS!$C$52:$C$58,MATCH(DATOS!$C$69,TABLAS!$B$52:$B$58,0))-INDEX(TABLAS!$C$52:$C$58,MATCH(DATOS!$C$69,TABLAS!$B$52:$B$58,0))/2)-IF(AND((DATOS!$C$82-AL23-2*DATOS!$C$94-INDEX(TABLAS!$C$52:$C$58,MATCH(DATOS!$C$69,TABLAS!$B$52:$B$58,0))-INDEX(TABLAS!$C$52:$C$58,MATCH(DATOS!$C$69,TABLAS!$B$52:$B$58,0))/2)&lt;=20,DATOS!$C$62&lt;&gt;"SÍ"),2,0)))</f>
        <v/>
      </c>
      <c r="CJ23" s="58" t="str">
        <f>IF(U23&lt;&gt;"SÍ","",IF(IF(BI23&lt;=0,0,IF((1-2*BI23*1E5/(DATOS!$C$29*AF23*CI23^2*DATOS!$C$21))&lt;0,-1,IF((1-SQRT((1-2*BI23*1E5/(DATOS!$C$29*AF23*CI23^2*DATOS!$C$21))))*DATOS!$C$21*AF23*CI23/DATOS!$C$14&gt;DATOS!$C$99*AF23*CI23,-1,(1-SQRT((1-2*BI23*1E5/(DATOS!$C$29*AF23*CI23^2*DATOS!$C$21))))*DATOS!$C$21*AF23*CI23/DATOS!$C$14)))&lt;0,-1,MAX(IF(BI23&lt;=0,0,IF((1-2*BI23*1E5/(DATOS!$C$29*AF23*CI23^2*DATOS!$C$21))&lt;0,-1,IF((1-SQRT((1-2*BI23*1E5/(DATOS!$C$29*AF23*CI23^2*DATOS!$C$21))))*DATOS!$C$21*AF23*CI23/DATOS!$C$14&gt;DATOS!$C$99*AF23*CI23,-1,(1-SQRT((1-2*BI23*1E5/(DATOS!$C$29*AF23*CI23^2*DATOS!$C$21))))*DATOS!$C$21*AF23*CI23/DATOS!$C$14))),MIN(DATOS!$C$100*DATOS!$C$80*CI23,4/3*IF(BI23&lt;=0,0,IF((1-2*BI23*1E5/(DATOS!$C$29*AF23*CI23^2*DATOS!$C$21))&lt;0,-1,IF((1-SQRT((1-2*BI23*1E5/(DATOS!$C$29*AF23*CI23^2*DATOS!$C$21))))*DATOS!$C$21*AF23*CI23/DATOS!$C$14&gt;DATOS!$C$99*AF23*CI23,-1,(1-SQRT((1-2*BI23*1E5/(DATOS!$C$29*AF23*CI23^2*DATOS!$C$21))))*DATOS!$C$21*AF23*CI23/DATOS!$C$14)))))))</f>
        <v/>
      </c>
      <c r="CK23" s="64" t="str">
        <f>IF(U23&lt;&gt;"SÍ","",IF(AND(CJ23&gt;=0,IF(MAX(DATOS!$C$71,CEILING(CJ23/INDEX(TABLAS!$D$52:$D$58,MIN(MATCH(DATOS!$C$69,TABLAS!$B$52:$B$58,0)+0,7)),1))*INDEX(TABLAS!$D$52:$D$58,MIN(MATCH(DATOS!$C$69,TABLAS!$B$52:$B$58,0)+0,7))&gt;=4/3*IF(BI23&lt;=0,0,IF((1-2*BI23*1E5/(DATOS!$C$29*AF23*CI23^2*DATOS!$C$21))&lt;0,-1,IF((1-SQRT((1-2*BI23*1E5/(DATOS!$C$29*AF23*CI23^2*DATOS!$C$21))))*DATOS!$C$21*AF23*CI23/DATOS!$C$14&gt;DATOS!$C$99*AF23*CI23,-1,(1-SQRT((1-2*BI23*1E5/(DATOS!$C$29*AF23*CI23^2*DATOS!$C$21))))*DATOS!$C$21*AF23*CI23/DATOS!$C$14)))-0.0001,MAX(DATOS!$C$71,CEILING(CJ23/INDEX(TABLAS!$D$52:$D$58,MIN(MATCH(DATOS!$C$69,TABLAS!$B$52:$B$58,0)+0,7)),1)),MAX(MAX(DATOS!$C$71,CEILING(CJ23/INDEX(TABLAS!$D$52:$D$58,MIN(MATCH(DATOS!$C$69,TABLAS!$B$52:$B$58,0)+0,7)),1)),2))&lt;=MIN(DATOS!$C$70,INT(((DATOS!$C$80-2*AK23)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23&gt;=0,IF(MAX(DATOS!$C$71,CEILING(CJ23/INDEX(TABLAS!$D$52:$D$58,MIN(MATCH(DATOS!$C$69,TABLAS!$B$52:$B$58,0)+1,7)),1))*INDEX(TABLAS!$D$52:$D$58,MIN(MATCH(DATOS!$C$69,TABLAS!$B$52:$B$58,0)+1,7))&gt;=4/3*IF(BI23&lt;=0,0,IF((1-2*BI23*1E5/(DATOS!$C$29*AF23*CI23^2*DATOS!$C$21))&lt;0,-1,IF((1-SQRT((1-2*BI23*1E5/(DATOS!$C$29*AF23*CI23^2*DATOS!$C$21))))*DATOS!$C$21*AF23*CI23/DATOS!$C$14&gt;DATOS!$C$99*AF23*CI23,-1,(1-SQRT((1-2*BI23*1E5/(DATOS!$C$29*AF23*CI23^2*DATOS!$C$21))))*DATOS!$C$21*AF23*CI23/DATOS!$C$14)))-0.0001,MAX(DATOS!$C$71,CEILING(CJ23/INDEX(TABLAS!$D$52:$D$58,MIN(MATCH(DATOS!$C$69,TABLAS!$B$52:$B$58,0)+1,7)),1)),MAX(MAX(DATOS!$C$71,CEILING(CJ23/INDEX(TABLAS!$D$52:$D$58,MIN(MATCH(DATOS!$C$69,TABLAS!$B$52:$B$58,0)+1,7)),1)),2))&lt;=MIN(DATOS!$C$70,INT(((DATOS!$C$80-2*AK23)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23&gt;=0,IF(MAX(DATOS!$C$71,CEILING(CJ23/INDEX(TABLAS!$D$52:$D$58,MIN(MATCH(DATOS!$C$69,TABLAS!$B$52:$B$58,0)+2,7)),1))*INDEX(TABLAS!$D$52:$D$58,MIN(MATCH(DATOS!$C$69,TABLAS!$B$52:$B$58,0)+2,7))&gt;=4/3*IF(BI23&lt;=0,0,IF((1-2*BI23*1E5/(DATOS!$C$29*AF23*CI23^2*DATOS!$C$21))&lt;0,-1,IF((1-SQRT((1-2*BI23*1E5/(DATOS!$C$29*AF23*CI23^2*DATOS!$C$21))))*DATOS!$C$21*AF23*CI23/DATOS!$C$14&gt;DATOS!$C$99*AF23*CI23,-1,(1-SQRT((1-2*BI23*1E5/(DATOS!$C$29*AF23*CI23^2*DATOS!$C$21))))*DATOS!$C$21*AF23*CI23/DATOS!$C$14)))-0.0001,MAX(DATOS!$C$71,CEILING(CJ23/INDEX(TABLAS!$D$52:$D$58,MIN(MATCH(DATOS!$C$69,TABLAS!$B$52:$B$58,0)+2,7)),1)),MAX(MAX(DATOS!$C$71,CEILING(CJ23/INDEX(TABLAS!$D$52:$D$58,MIN(MATCH(DATOS!$C$69,TABLAS!$B$52:$B$58,0)+2,7)),1)),2))&lt;=MIN(DATOS!$C$70,INT(((DATOS!$C$80-2*AK23)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23&gt;=0,IF(MAX(DATOS!$C$71,CEILING(CJ23/INDEX(TABLAS!$D$52:$D$58,MIN(MATCH(DATOS!$C$69,TABLAS!$B$52:$B$58,0)+3,7)),1))*INDEX(TABLAS!$D$52:$D$58,MIN(MATCH(DATOS!$C$69,TABLAS!$B$52:$B$58,0)+3,7))&gt;=4/3*IF(BI23&lt;=0,0,IF((1-2*BI23*1E5/(DATOS!$C$29*AF23*CI23^2*DATOS!$C$21))&lt;0,-1,IF((1-SQRT((1-2*BI23*1E5/(DATOS!$C$29*AF23*CI23^2*DATOS!$C$21))))*DATOS!$C$21*AF23*CI23/DATOS!$C$14&gt;DATOS!$C$99*AF23*CI23,-1,(1-SQRT((1-2*BI23*1E5/(DATOS!$C$29*AF23*CI23^2*DATOS!$C$21))))*DATOS!$C$21*AF23*CI23/DATOS!$C$14)))-0.0001,MAX(DATOS!$C$71,CEILING(CJ23/INDEX(TABLAS!$D$52:$D$58,MIN(MATCH(DATOS!$C$69,TABLAS!$B$52:$B$58,0)+3,7)),1)),MAX(MAX(DATOS!$C$71,CEILING(CJ23/INDEX(TABLAS!$D$52:$D$58,MIN(MATCH(DATOS!$C$69,TABLAS!$B$52:$B$58,0)+3,7)),1)),2))&lt;=MIN(DATOS!$C$70,INT(((DATOS!$C$80-2*AK23)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23&gt;=0,IF(MAX(DATOS!$C$71,CEILING(CJ23/INDEX(TABLAS!$D$52:$D$58,MIN(MATCH(DATOS!$C$69,TABLAS!$B$52:$B$58,0)+4,7)),1))*INDEX(TABLAS!$D$52:$D$58,MIN(MATCH(DATOS!$C$69,TABLAS!$B$52:$B$58,0)+4,7))&gt;=4/3*IF(BI23&lt;=0,0,IF((1-2*BI23*1E5/(DATOS!$C$29*AF23*CI23^2*DATOS!$C$21))&lt;0,-1,IF((1-SQRT((1-2*BI23*1E5/(DATOS!$C$29*AF23*CI23^2*DATOS!$C$21))))*DATOS!$C$21*AF23*CI23/DATOS!$C$14&gt;DATOS!$C$99*AF23*CI23,-1,(1-SQRT((1-2*BI23*1E5/(DATOS!$C$29*AF23*CI23^2*DATOS!$C$21))))*DATOS!$C$21*AF23*CI23/DATOS!$C$14)))-0.0001,MAX(DATOS!$C$71,CEILING(CJ23/INDEX(TABLAS!$D$52:$D$58,MIN(MATCH(DATOS!$C$69,TABLAS!$B$52:$B$58,0)+4,7)),1)),MAX(MAX(DATOS!$C$71,CEILING(CJ23/INDEX(TABLAS!$D$52:$D$58,MIN(MATCH(DATOS!$C$69,TABLAS!$B$52:$B$58,0)+4,7)),1)),2))&lt;=MIN(DATOS!$C$70,INT(((DATOS!$C$80-2*AK23)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23" s="59" t="str">
        <f>IF(U23&lt;&gt;"SÍ","",IF(CJ23&lt;0,0,IF(MAX(DATOS!$C$71,CEILING(MAX(CJ23,0)/INDEX(TABLAS!$D$52:$D$58,MATCH(CK23,TABLAS!$B$52:$B$58,0)),1))*INDEX(TABLAS!$D$52:$D$58,MATCH(CK23,TABLAS!$B$52:$B$58,0))&gt;=4/3*IF(BI23&lt;=0,0,IF((1-2*BI23*1E5/(DATOS!$C$29*AF23*CI23^2*DATOS!$C$21))&lt;0,-1,IF((1-SQRT((1-2*BI23*1E5/(DATOS!$C$29*AF23*CI23^2*DATOS!$C$21))))*DATOS!$C$21*AF23*CI23/DATOS!$C$14&gt;DATOS!$C$99*AF23*CI23,-1,(1-SQRT((1-2*BI23*1E5/(DATOS!$C$29*AF23*CI23^2*DATOS!$C$21))))*DATOS!$C$21*AF23*CI23/DATOS!$C$14)))-0.0001,MAX(DATOS!$C$71,CEILING(MAX(CJ23,0)/INDEX(TABLAS!$D$52:$D$58,MATCH(CK23,TABLAS!$B$52:$B$58,0)),1)),MAX(MAX(DATOS!$C$71,CEILING(MAX(CJ23,0)/INDEX(TABLAS!$D$52:$D$58,MATCH(CK23,TABLAS!$B$52:$B$58,0)),1)),2))))</f>
        <v/>
      </c>
      <c r="CM23" s="58" t="str">
        <f>IF(U23&lt;&gt;"SÍ","",((DATOS!$C$82-AL23-2*DATOS!$C$94-INDEX(TABLAS!$C$52:$C$58,MATCH(BU23,TABLAS!$B$52:$B$58,0))-INDEX(TABLAS!$C$52:$C$58,MATCH(CK23,TABLAS!$B$52:$B$58,0))/2)-IF(AND((DATOS!$C$82-AL23-2*DATOS!$C$94-INDEX(TABLAS!$C$52:$C$58,MATCH(BU23,TABLAS!$B$52:$B$58,0))-INDEX(TABLAS!$C$52:$C$58,MATCH(CK23,TABLAS!$B$52:$B$58,0))/2)&lt;=20,DATOS!$C$62&lt;&gt;"SÍ"),2,0)))</f>
        <v/>
      </c>
      <c r="CN23" s="56" t="str">
        <f>IF(U23&lt;&gt;"SÍ","",IF(CL23=0,0,DATOS!$C$29*CL23*INDEX(TABLAS!$D$52:$D$58,MATCH(CK23,TABLAS!$B$52:$B$58,0))*DATOS!$C$14*(CM23-CL23*INDEX(TABLAS!$D$52:$D$58,MATCH(CK23,TABLAS!$B$52:$B$58,0))*DATOS!$C$14/(DATOS!$C$21*AF23)/2)/1E5))</f>
        <v/>
      </c>
      <c r="CO23" s="65" t="str">
        <f>IF(U23&lt;&gt;"SÍ","",IF(CJ23&lt;0,9.99,IF(CN23&gt;0,BI23/CN23,0)))</f>
        <v/>
      </c>
      <c r="CP23" s="66" t="str">
        <f>IF(U23&lt;&gt;"SÍ","",IF(CL23=0,"—",0.003*(CM23-(CL23*INDEX(TABLAS!$D$52:$D$58,MATCH(CK23,TABLAS!$B$52:$B$58,0))*DATOS!$C$14/(DATOS!$C$21*AF23)/DATOS!$C$22))/(CL23*INDEX(TABLAS!$D$52:$D$58,MATCH(CK23,TABLAS!$B$52:$B$58,0))*DATOS!$C$14/(DATOS!$C$21*AF23)/DATOS!$C$22)))</f>
        <v/>
      </c>
      <c r="CQ23" s="56" t="str">
        <f>IF(U23&lt;&gt;"SÍ","",IF(C23="PERIMETRAL",MAX(0,(AA23/2-BW23)/100)*(0.95-0.5*Z23)*AQ23*IF(AND(AR23&gt;0,AR23&lt;4),DATOS!$C$33,1)*DATOS!$C$83/100/1000,(AQ23*MAX(0,AA23-BW23)/100+DATOS!$C$26*N(O23))*DATOS!$C$83/100/1000+BE23))</f>
        <v/>
      </c>
      <c r="CR23" s="56" t="str">
        <f>IF(U23&lt;&gt;"SÍ","",DATOS!$C$30*2*MIN(1,SQRT(2/(1+0.04*BW23)))*(BV23*INDEX(TABLAS!$D$52:$D$58,MATCH(BU23,TABLAS!$B$52:$B$58,0))/(AE23*BW23))^(1/3)*SQRT(DATOS!$C$13)*AE23*BW23*IF(AI23="SÍ",DATOS!$C$32,1)/1000)</f>
        <v/>
      </c>
      <c r="CS23" s="59" t="str">
        <f>IF(U23&lt;&gt;"SÍ","",IF(CQ23&lt;=CR23,0,CEILING(MAX(0,IF(C23="VOLADO",(AA23-((CR23-BE23)*1E5/DATOS!$C$83-DATOS!$C$26*N(O23))*100/AQ23),IF(CR23&lt;=0,AA23,AA23/2-CR23/MAX(CQ23,1E-9)*(AA23/2-BW23)))-IF(INT((X23*100-DATOS!$C$84+DATOS!$C$80)/DATOS!$C$83)&gt;0,(X23*100-DATOS!$C$84-(INT((X23*100-DATOS!$C$84+DATOS!$C$80)/DATOS!$C$83)*DATOS!$C$78+(INT((X23*100-DATOS!$C$84+DATOS!$C$80)/DATOS!$C$83)-1)*DATOS!$C$80))/2,X23*100/2))/DATOS!$C$83,1)))</f>
        <v/>
      </c>
      <c r="CT23" s="67" t="str">
        <f>IF(U23&lt;&gt;"SÍ","",IF(CQ23&lt;=CR23,"CUMPLE",IF(CS23&lt;=0,"CUMPLE (basta el macizo de orilla)",IF(CS23*DATOS!$C$83*IF(C23="VOLADO",1,2)&gt;=X23*100-DATOS!$C$84,"NO CUMPLE: no alcanza ni macizando todo","MACIZAR "&amp;CS23&amp;" hilera(s)"))))</f>
        <v/>
      </c>
      <c r="CU23" s="58" t="str">
        <f>IF(U23&lt;&gt;"SÍ","",(DATOS!$C$83*DATOS!$C$81^2/2+AC23*DATOS!$C$79*(DATOS!$C$81+DATOS!$C$79/2))/(DATOS!$C$83*DATOS!$C$81+AC23*DATOS!$C$79))</f>
        <v/>
      </c>
      <c r="CV23" s="68" t="str">
        <f>IF(U23&lt;&gt;"SÍ","",DATOS!$C$83*DATOS!$C$81^3/12+DATOS!$C$83*DATOS!$C$81*(CU23-DATOS!$C$81/2)^2+AC23*DATOS!$C$79^3/12+AC23*DATOS!$C$79*(DATOS!$C$81+DATOS!$C$79/2-CU23)^2)</f>
        <v/>
      </c>
      <c r="CW23" s="58" t="str">
        <f>IF(U23&lt;&gt;"SÍ","",(12*CV23/DATOS!$C$83)^(1/3))</f>
        <v/>
      </c>
      <c r="CX23" s="58" t="str">
        <f>IF(U23&lt;&gt;"SÍ","",IF(C23="PERIMETRAL",IF(ISNUMBER(R23),R23,DATOS!$C$101),0))</f>
        <v/>
      </c>
      <c r="CY23" s="57" t="str">
        <f>IF(U23&lt;&gt;"SÍ","",IF(C23="PERIMETRAL",IF(CX23&gt;2,MAX(9,AB23*(0.8+DATOS!$C$14/14000)/(36+9*(AB23/MAX(AA23,1)))),IF(CX23&gt;0.2,MAX(13,AB23*(0.8+DATOS!$C$14/14000)/(36+5*(AB23/MAX(AA23,1))*(CX23-0.2))),MAX(13,AB23/IF(AR23&gt;0,30,33))))*IF(AND(CX23&gt;0.2,AR23&gt;0,DATOS!$C$102="NO"),1.1,1),X23*100/8))</f>
        <v/>
      </c>
      <c r="CZ23" s="61" t="str">
        <f>IF(U23&lt;&gt;"SÍ","",IF(IF(C23="VOLADO",DATOS!$C$82,CW23)&gt;=CY23,"CUMPLE",IF(C23="VOLADO","NO CUMPLE","CALCULAR FLECHA")))</f>
        <v/>
      </c>
      <c r="DA23" s="55" t="str">
        <f>IF(U23&lt;&gt;"SÍ","",IF(DATOS!$C$81&gt;=IF(IF(C23="VOLADO",X23,Y23)&gt;=6,6,5),"CUMPLE","CAPA ≥ 6 cm"))</f>
        <v/>
      </c>
      <c r="DB23" s="60" t="str">
        <f>IF(U23&lt;&gt;"SÍ","",IF(C23="VOLADO",MIN(CEILING(IF(ISNUMBER(P23),P23,X23)*100,5),CEILING(MAX(IF((0.5*(0.9*DATOS!$C$87*DATOS!$C$83/100/1000)*IF(ISNUMBER(P23),P23,X23)+BG23/IF(ISNUMBER(P23),P23,X23))^2-4*(0.5*(0.9*DATOS!$C$87*DATOS!$C$83/100/1000))*BG23&lt;0,IF(ISNUMBER(P23),P23,X23),MIN(IF(ISNUMBER(P23),P23,X23),((0.5*(0.9*DATOS!$C$87*DATOS!$C$83/100/1000)*IF(ISNUMBER(P23),P23,X23)+BG23/IF(ISNUMBER(P23),P23,X23))-SQRT((0.5*(0.9*DATOS!$C$87*DATOS!$C$83/100/1000)*IF(ISNUMBER(P23),P23,X23)+BG23/IF(ISNUMBER(P23),P23,X23))^2-4*(0.5*(0.9*DATOS!$C$87*DATOS!$C$83/100/1000))*BG23))/(2*(0.5*(0.9*DATOS!$C$87*DATOS!$C$83/100/1000)))))*100+MAX(BW23,12*INDEX(TABLAS!$C$52:$C$58,MATCH(BU23,TABLAS!$B$52:$B$58,0)),IF(ISNUMBER(P23),P23,X23)*100/16),IF(OR(AK23&lt;INDEX(TABLAS!$C$52:$C$58,MATCH(BU23,TABLAS!$B$52:$B$58,0)),AND(BV23&gt;=2,(AC23-2*AK23-BV23*INDEX(TABLAS!$C$52:$C$58,MATCH(BU23,TABLAS!$B$52:$B$58,0)))/MAX(BV23-1,1)&lt;2*INDEX(TABLAS!$C$52:$C$58,MATCH(BU23,TABLAS!$B$52:$B$58,0)))),INDEX(TABLAS!$I$52:$I$58,MATCH(BU23,TABLAS!$B$52:$B$58,0)),INDEX(TABLAS!$F$52:$F$58,MATCH(BU23,TABLAS!$B$52:$B$58,0)))),5)),IF(((4*((BB23*AQ23*X23^2*1E-4*DATOS!$C$83/100/1000)+((MAX(AX23,AZ23)*AQ23*X23^2*1E-4*DATOS!$C$83/100/1000)+(IF(AND(AX23&gt;0,AZ23&gt;0),MIN(AX23,AZ23),MAX(AX23,AZ23))*AQ23*X23^2*1E-4*DATOS!$C$83/100/1000))/2)+BG23-(IF(AND(AX23&gt;0,AZ23&gt;0),MIN(AX23,AZ23),MAX(AX23,AZ23))*AQ23*X23^2*1E-4*DATOS!$C$83/100/1000))^2-16*((BB23*AQ23*X23^2*1E-4*DATOS!$C$83/100/1000)+((MAX(AX23,AZ23)*AQ23*X23^2*1E-4*DATOS!$C$83/100/1000)+(IF(AND(AX23&gt;0,AZ23&gt;0),MIN(AX23,AZ23),MAX(AX23,AZ23))*AQ23*X23^2*1E-4*DATOS!$C$83/100/1000))/2)*BG23)&lt;0,CEILING(AA23,5),CEILING(MAX(AA23*((4*((BB23*AQ23*X23^2*1E-4*DATOS!$C$83/100/1000)+((MAX(AX23,AZ23)*AQ23*X23^2*1E-4*DATOS!$C$83/100/1000)+(IF(AND(AX23&gt;0,AZ23&gt;0),MIN(AX23,AZ23),MAX(AX23,AZ23))*AQ23*X23^2*1E-4*DATOS!$C$83/100/1000))/2)+BG23-(IF(AND(AX23&gt;0,AZ23&gt;0),MIN(AX23,AZ23),MAX(AX23,AZ23))*AQ23*X23^2*1E-4*DATOS!$C$83/100/1000))-SQRT(MAX(0,((4*((BB23*AQ23*X23^2*1E-4*DATOS!$C$83/100/1000)+((MAX(AX23,AZ23)*AQ23*X23^2*1E-4*DATOS!$C$83/100/1000)+(IF(AND(AX23&gt;0,AZ23&gt;0),MIN(AX23,AZ23),MAX(AX23,AZ23))*AQ23*X23^2*1E-4*DATOS!$C$83/100/1000))/2)+BG23-(IF(AND(AX23&gt;0,AZ23&gt;0),MIN(AX23,AZ23),MAX(AX23,AZ23))*AQ23*X23^2*1E-4*DATOS!$C$83/100/1000))^2-16*((BB23*AQ23*X23^2*1E-4*DATOS!$C$83/100/1000)+((MAX(AX23,AZ23)*AQ23*X23^2*1E-4*DATOS!$C$83/100/1000)+(IF(AND(AX23&gt;0,AZ23&gt;0),MIN(AX23,AZ23),MAX(AX23,AZ23))*AQ23*X23^2*1E-4*DATOS!$C$83/100/1000))/2)*BG23))))/(8*MAX(((BB23*AQ23*X23^2*1E-4*DATOS!$C$83/100/1000)+((MAX(AX23,AZ23)*AQ23*X23^2*1E-4*DATOS!$C$83/100/1000)+(IF(AND(AX23&gt;0,AZ23&gt;0),MIN(AX23,AZ23),MAX(AX23,AZ23))*AQ23*X23^2*1E-4*DATOS!$C$83/100/1000))/2),1E-9))+MAX(BW23,12*INDEX(TABLAS!$C$52:$C$58,MATCH(BU23,TABLAS!$B$52:$B$58,0)),AA23/16),IF(OR(AK23&lt;INDEX(TABLAS!$C$52:$C$58,MATCH(BU23,TABLAS!$B$52:$B$58,0)),AND(BV23&gt;=2,(AC23-2*AK23-BV23*INDEX(TABLAS!$C$52:$C$58,MATCH(BU23,TABLAS!$B$52:$B$58,0)))/MAX(BV23-1,1)&lt;2*INDEX(TABLAS!$C$52:$C$58,MATCH(BU23,TABLAS!$B$52:$B$58,0)))),INDEX(TABLAS!$I$52:$I$58,MATCH(BU23,TABLAS!$B$52:$B$58,0)),INDEX(TABLAS!$F$52:$F$58,MATCH(BU23,TABLAS!$B$52:$B$58,0)))),5))))</f>
        <v/>
      </c>
      <c r="DC23" s="60" t="str">
        <f>IF(U23&lt;&gt;"SÍ","",IF(C23="VOLADO",0,IF(((4*((BC23*AQ23*X23^2*1E-4*DATOS!$C$83/100/1000)+((MAX(AY23,BA23)*AQ23*X23^2*1E-4*DATOS!$C$83/100/1000)+(IF(AND(AY23&gt;0,BA23&gt;0),MIN(AY23,BA23),MAX(AY23,BA23))*AQ23*X23^2*1E-4*DATOS!$C$83/100/1000))/2)+BI23-(IF(AND(AY23&gt;0,BA23&gt;0),MIN(AY23,BA23),MAX(AY23,BA23))*AQ23*X23^2*1E-4*DATOS!$C$83/100/1000))^2-16*((BC23*AQ23*X23^2*1E-4*DATOS!$C$83/100/1000)+((MAX(AY23,BA23)*AQ23*X23^2*1E-4*DATOS!$C$83/100/1000)+(IF(AND(AY23&gt;0,BA23&gt;0),MIN(AY23,BA23),MAX(AY23,BA23))*AQ23*X23^2*1E-4*DATOS!$C$83/100/1000))/2)*BI23)&lt;0,CEILING(AB23,5),CEILING(MAX(AB23*((4*((BC23*AQ23*X23^2*1E-4*DATOS!$C$83/100/1000)+((MAX(AY23,BA23)*AQ23*X23^2*1E-4*DATOS!$C$83/100/1000)+(IF(AND(AY23&gt;0,BA23&gt;0),MIN(AY23,BA23),MAX(AY23,BA23))*AQ23*X23^2*1E-4*DATOS!$C$83/100/1000))/2)+BI23-(IF(AND(AY23&gt;0,BA23&gt;0),MIN(AY23,BA23),MAX(AY23,BA23))*AQ23*X23^2*1E-4*DATOS!$C$83/100/1000))-SQRT(MAX(0,((4*((BC23*AQ23*X23^2*1E-4*DATOS!$C$83/100/1000)+((MAX(AY23,BA23)*AQ23*X23^2*1E-4*DATOS!$C$83/100/1000)+(IF(AND(AY23&gt;0,BA23&gt;0),MIN(AY23,BA23),MAX(AY23,BA23))*AQ23*X23^2*1E-4*DATOS!$C$83/100/1000))/2)+BI23-(IF(AND(AY23&gt;0,BA23&gt;0),MIN(AY23,BA23),MAX(AY23,BA23))*AQ23*X23^2*1E-4*DATOS!$C$83/100/1000))^2-16*((BC23*AQ23*X23^2*1E-4*DATOS!$C$83/100/1000)+((MAX(AY23,BA23)*AQ23*X23^2*1E-4*DATOS!$C$83/100/1000)+(IF(AND(AY23&gt;0,BA23&gt;0),MIN(AY23,BA23),MAX(AY23,BA23))*AQ23*X23^2*1E-4*DATOS!$C$83/100/1000))/2)*BI23))))/(8*MAX(((BC23*AQ23*X23^2*1E-4*DATOS!$C$83/100/1000)+((MAX(AY23,BA23)*AQ23*X23^2*1E-4*DATOS!$C$83/100/1000)+(IF(AND(AY23&gt;0,BA23&gt;0),MIN(AY23,BA23),MAX(AY23,BA23))*AQ23*X23^2*1E-4*DATOS!$C$83/100/1000))/2),1E-9))+MAX(CM23,12*INDEX(TABLAS!$C$52:$C$58,MATCH(CK23,TABLAS!$B$52:$B$58,0)),AB23/16),IF(OR(AK23&lt;INDEX(TABLAS!$C$52:$C$58,MATCH(CK23,TABLAS!$B$52:$B$58,0)),AND(CL23&gt;=2,(DATOS!$C$80-2*AK23-CL23*INDEX(TABLAS!$C$52:$C$58,MATCH(CK23,TABLAS!$B$52:$B$58,0)))/MAX(CL23-1,1)&lt;2*INDEX(TABLAS!$C$52:$C$58,MATCH(CK23,TABLAS!$B$52:$B$58,0)))),INDEX(TABLAS!$I$52:$I$58,MATCH(CK23,TABLAS!$B$52:$B$58,0)),INDEX(TABLAS!$F$52:$F$58,MATCH(CK23,TABLAS!$B$52:$B$58,0)))),5))))</f>
        <v/>
      </c>
      <c r="DD23" s="55" t="str">
        <f>IF(U23&lt;&gt;"SÍ","",IF(AND(C23="PERIMETRAL",BV23&gt;=2,AR23-AS23&gt;0,AZ23*AQ23*X23^2*1E-4*DATOS!$C$83/100/1000&gt;DATOS!$C$29*INDEX(TABLAS!$D$52:$D$58,MATCH(BU23,TABLAS!$B$52:$B$58,0))*DATOS!$C$14*(BW23-INDEX(TABLAS!$D$52:$D$58,MATCH(BU23,TABLAS!$B$52:$B$58,0))*DATOS!$C$14/(DATOS!$C$21*AE23)/2)/1E5),"SÍ","NO"))</f>
        <v/>
      </c>
      <c r="DE23" s="55" t="str">
        <f>IF(U23&lt;&gt;"SÍ","",IF(AND(C23="PERIMETRAL",CL23&gt;=2,AS23&gt;0,BA23*AQ23*X23^2*1E-4*DATOS!$C$83/100/1000&gt;DATOS!$C$29*INDEX(TABLAS!$D$52:$D$58,MATCH(CK23,TABLAS!$B$52:$B$58,0))*DATOS!$C$14*(CM23-INDEX(TABLAS!$D$52:$D$58,MATCH(CK23,TABLAS!$B$52:$B$58,0))*DATOS!$C$14/(DATOS!$C$21*AF23)/2)/1E5),"SÍ","NO"))</f>
        <v/>
      </c>
      <c r="DF23" s="63" t="str">
        <f>IF(U23&lt;&gt;"SÍ","",IF(OR(C23="VOLADO",AR23=0),"—",IF(AND(AND(1.25*INDEX(TABLAS!$G$52:$G$58,MATCH(MAX(BM23,CC23),TABLAS!$B$52:$B$58,0))&lt;=(DATOS!$C$72-DATOS!$C$60),(DATOS!$C$72-DATOS!$C$60)&gt;=15,INDEX(TABLAS!$G$52:$G$58,MATCH(MAX(BU23,CK23),TABLAS!$B$52:$B$58,0))&lt;=(DATOS!$C$72-DATOS!$C$60)),8*INDEX(TABLAS!$C$52:$C$58,MATCH(MAX(MAX(BM23,CC23),MAX(BU23,CK23)),TABLAS!$B$52:$B$58,0))&lt;=DATOS!$C$73-2*DATOS!$C$60),"CUMPLE (gancho de 180°)",IF(AND(1.25*INDEX(TABLAS!$G$52:$G$58,MATCH(MAX(BM23,CC23),TABLAS!$B$52:$B$58,0))&lt;=(DATOS!$C$72-DATOS!$C$60),(DATOS!$C$72-DATOS!$C$60)&gt;=15,INDEX(TABLAS!$G$52:$G$58,MATCH(MAX(BU23,CK23),TABLAS!$B$52:$B$58,0))&lt;=(DATOS!$C$72-DATOS!$C$60)),"NO CUMPLE: el gancho de 180° (8·d_b) no cabe en el peralte de la dala de borde","NO CUMPLE: dala de borde ≥ "&amp;TEXT(CEILING(MAX(1.25*INDEX(TABLAS!$G$52:$G$58,MATCH(MAX(BM23,CC23),TABLAS!$B$52:$B$58,0)),15,INDEX(TABLAS!$G$52:$G$58,MATCH(MAX(BU23,CK23),TABLAS!$B$52:$B$58,0)))+DATOS!$C$60,5),"0")&amp;" cm de ancho"&amp;IF(8*INDEX(TABLAS!$C$52:$C$58,MATCH(MAX(MAX(BM23,CC23),MAX(BU23,CK23)),TABLAS!$B$52:$B$58,0))&lt;=DATOS!$C$73-2*DATOS!$C$60,""," y más peralte para el gancho")))))</f>
        <v/>
      </c>
      <c r="DG23" s="59" t="str">
        <f>IF(U23&lt;&gt;"SÍ","",MAX(0,INT((E23*100-DATOS!$C$84+DATOS!$C$83-IF(W23="X",DATOS!$C$78,AD23))/DATOS!$C$83)))</f>
        <v/>
      </c>
      <c r="DH23" s="59" t="str">
        <f>IF(U23&lt;&gt;"SÍ","",MAX(0,INT((F23*100-DATOS!$C$84+DATOS!$C$83-IF(W23="Y",DATOS!$C$78,AD23))/DATOS!$C$83)))</f>
        <v/>
      </c>
      <c r="DI23" s="57" t="str">
        <f>IF(U23&lt;&gt;"SÍ","",IF(DG23&gt;0,(E23*100-DATOS!$C$84-(DG23*IF(W23="X",DATOS!$C$78,AD23)+(DG23-1)*(DATOS!$C$83-IF(W23="X",DATOS!$C$78,AD23))))/2,E23*100/2))</f>
        <v/>
      </c>
      <c r="DJ23" s="57" t="str">
        <f>IF(U23&lt;&gt;"SÍ","",IF(DH23&gt;0,(F23*100-DATOS!$C$84-(DH23*IF(W23="Y",DATOS!$C$78,AD23)+(DH23-1)*(DATOS!$C$83-IF(W23="Y",DATOS!$C$78,AD23))))/2,F23*100/2))</f>
        <v/>
      </c>
      <c r="DK23" s="59" t="str">
        <f>IF(U23&lt;&gt;"SÍ","",IF(NOT(AND(C23="VOLADO",AC23&gt;DATOS!$C$80)),0,IF(INDEX(TABLAS!$C$52:$C$58,MATCH(BU23,TABLAS!$B$52:$B$58,0))&lt;=DATOS!$C$80-2*DATOS!$C$60,1,0)))</f>
        <v/>
      </c>
      <c r="DL23" s="58" t="str">
        <f>IF(U23&lt;&gt;"SÍ","",IF(NOT(AND(C23="VOLADO",AC23&gt;DATOS!$C$80)),0,((DATOS!$C$82-MAX(DATOS!$C$60,(DATOS!$C$81-2*DATOS!$C$94)/2)-2*DATOS!$C$94-INDEX(TABLAS!$C$52:$C$58,MATCH(BU23,TABLAS!$B$52:$B$58,0))/2)-IF(AND((DATOS!$C$82-MAX(DATOS!$C$60,(DATOS!$C$81-2*DATOS!$C$94)/2)-2*DATOS!$C$94-INDEX(TABLAS!$C$52:$C$58,MATCH(BU23,TABLAS!$B$52:$B$58,0))/2)&lt;=20,DATOS!$C$62&lt;&gt;"SÍ"),2,0))))</f>
        <v/>
      </c>
      <c r="DM23" s="56" t="str">
        <f>IF(U23&lt;&gt;"SÍ","",IF(OR(NOT(AND(C23="VOLADO",AC23&gt;DATOS!$C$80)),DK23&lt;1),0,IF(0.003*(DL23-((DK23*INDEX(TABLAS!$D$52:$D$58,MATCH(BU23,TABLAS!$B$52:$B$58,0)))*DATOS!$C$14/(DATOS!$C$21*AF23)/DATOS!$C$22))/((DK23*INDEX(TABLAS!$D$52:$D$58,MATCH(BU23,TABLAS!$B$52:$B$58,0)))*DATOS!$C$14/(DATOS!$C$21*AF23)/DATOS!$C$22)&lt;0.005,0,DATOS!$C$29*(DK23*INDEX(TABLAS!$D$52:$D$58,MATCH(BU23,TABLAS!$B$52:$B$58,0)))*DATOS!$C$14*(DL23-(DK23*INDEX(TABLAS!$D$52:$D$58,MATCH(BU23,TABLAS!$B$52:$B$58,0)))*DATOS!$C$14/(DATOS!$C$21*AF23)/2)/1E5)))</f>
        <v/>
      </c>
      <c r="DN23" s="56" t="str">
        <f>IF(U23&lt;&gt;"SÍ","",IF(OR(NOT(AND(C23="VOLADO",AC23&gt;DATOS!$C$80)),DK23&lt;1),0,DATOS!$C$30*2*MIN(1,SQRT(2/(1+0.04*DL23)))*((DK23*INDEX(TABLAS!$D$52:$D$58,MATCH(BU23,TABLAS!$B$52:$B$58,0)))/(AF23*DL23))^(1/3)*SQRT(DATOS!$C$13)*AF23*DL23/1000))</f>
        <v/>
      </c>
      <c r="DO23" s="56" t="str">
        <f>IF(U23&lt;&gt;"SÍ","",IF(NOT(AND(C23="VOLADO",AC23&gt;DATOS!$C$80)),0,IF((BG23-DM23)&lt;=0,0,IF(DM23&lt;=0,IF(ISNUMBER(P23),P23,X23),IF(((0.9*DATOS!$C$87*DATOS!$C$83/100/1000)*IF(ISNUMBER(P23),P23,X23)/2+BG23/IF(ISNUMBER(P23),P23,X23))^2-4*((0.9*DATOS!$C$87*DATOS!$C$83/100/1000)/2)*(BG23-DM23)&lt;0,IF(ISNUMBER(P23),P23,X23),MIN(IF(ISNUMBER(P23),P23,X23),(((0.9*DATOS!$C$87*DATOS!$C$83/100/1000)*IF(ISNUMBER(P23),P23,X23)/2+BG23/IF(ISNUMBER(P23),P23,X23))-SQRT(((0.9*DATOS!$C$87*DATOS!$C$83/100/1000)*IF(ISNUMBER(P23),P23,X23)/2+BG23/IF(ISNUMBER(P23),P23,X23))^2-4*((0.9*DATOS!$C$87*DATOS!$C$83/100/1000)/2)*(BG23-DM23)))/(2*((0.9*DATOS!$C$87*DATOS!$C$83/100/1000)/2))))))))</f>
        <v/>
      </c>
      <c r="DP23" s="56" t="str">
        <f>IF(U23&lt;&gt;"SÍ","",IF(NOT(AND(C23="VOLADO",AC23&gt;DATOS!$C$80)),0,MIN(IF(ISNUMBER(P23),P23,X23),MAX(0,IF(ISNUMBER(P23),P23,X23)/2+BG23/IF(ISNUMBER(P23),P23,X23)/(AQ23*DATOS!$C$83/100/1000)-DN23/(AQ23*DATOS!$C$83/100/1000)))))</f>
        <v/>
      </c>
      <c r="DQ23" s="56" t="str">
        <f>IF(U23&lt;&gt;"SÍ","",IF(NOT(AND(C23="VOLADO",AC23&gt;DATOS!$C$80)),0,BG23/IF(ISNUMBER(P23),P23,X23)+(AQ23*DATOS!$C$83/100/1000)*MAX(0,IF(ISNUMBER(P23),P23,X23)/2-BW23/100)))</f>
        <v/>
      </c>
      <c r="DR23" s="59" t="str">
        <f>IF(U23&lt;&gt;"SÍ","",IF(NOT(AND(C23="VOLADO",AC23&gt;DATOS!$C$80)),0,CEILING(100*MIN(IF(ISNUMBER(P23),P23,X23),MAX(IF(DO23&gt;0,DO23+IF(BV23&gt;=2,MAX(DL23,12*INDEX(TABLAS!$C$52:$C$58,MATCH(BU23,TABLAS!$B$52:$B$58,0)))/100,0),0),DP23,IF(BV23&gt;=2,INDEX(TABLAS!$F$52:$F$58,MATCH(BU23,TABLAS!$B$52:$B$58,0))/100,0))),5)))</f>
        <v/>
      </c>
      <c r="DS23" s="60" t="str">
        <f>IF(U23&lt;&gt;"SÍ","",IF(NOT(AND(C23="VOLADO",AC23&gt;DATOS!$C$80)),0,IF(DR23&lt;=0,0,CEILING(DR23/DATOS!$C$83,1))))</f>
        <v/>
      </c>
      <c r="DT23" s="61" t="str">
        <f>IF(U23&lt;&gt;"SÍ","",IF(C23&lt;&gt;"VOLADO","—",IF(AC23&lt;=DATOS!$C$80,"— (mismo b_w que el respaldo)",IF(DQ23&gt;CR23,"NO CUMPLE: cortante de la nervadura ancha junto al apoyo ("&amp;TEXT(DQ23,"0.00")&amp;" &gt; "&amp;TEXT(CR23,"0.00")&amp;" t)",IF(DR23&gt;=100*IF(ISNUMBER(P23),P23,X23),"CUMPLE — todas las nervaduras del respaldo ‖ al volado con b_w = "&amp;AC23&amp;" cm","CUMPLE — "&amp;DS23&amp;" hilera(s) del respaldo con nervaduras de b_w = "&amp;AC23&amp;" cm (casetón "&amp;AD23&amp;" cm), hasta "&amp;TEXT(DR23/100,"0.00")&amp;" m del paño")))))</f>
        <v/>
      </c>
      <c r="DU23" s="69" t="str">
        <f>IF(U23&lt;&gt;"SÍ","",IF(BN23=0,"NO ALCANZA",BN23&amp;" No. "&amp;BM23&amp;IF(BN23&gt;1," corridas"," corrida")))</f>
        <v/>
      </c>
      <c r="DV23" s="69" t="str">
        <f>IF(U23&lt;&gt;"SÍ","",IF(BV23=0,"NO ALCANZA",IF(AND(C23="VOLADO",AC23&gt;DATOS!$C$80,BV23&gt;=2),"1 No. "&amp;BU23&amp;" corrida de la orilla al respaldo ("&amp;IF(DB23&gt;=100*IF(ISNUMBER(P23),P23,X23),"hasta su apoyo lejano, con gancho","entra "&amp;TEXT(DB23/100,"0.00")&amp;" m desde el paño")&amp;") + "&amp;(BV23-1)&amp;" bastón No. "&amp;BU23&amp;" hasta "&amp;TEXT(DR23/100,"0.00")&amp;" m del paño (fin de la nervadura ancha)",IF(C23="VOLADO",BV23&amp;" No. "&amp;BU23&amp;" de la orilla al respaldo ("&amp;IF(DB23&gt;=100*IF(ISNUMBER(P23),P23,X23),"hasta su apoyo lejano, con gancho","entran "&amp;TEXT(DB23/100,"0.00")&amp;" m desde el paño")&amp;")","1 No. "&amp;BU23&amp;" corrida"&amp;IF(BV23&gt;1," + "&amp;(BV23-1)&amp;" bastón No. "&amp;BU23&amp;" L = "&amp;TEXT(DB23/100,"0.00")&amp;" m desde el paño","")))))</f>
        <v/>
      </c>
      <c r="DW23" s="69" t="str">
        <f>IF(U23&lt;&gt;"SÍ","",IF(CD23=0,"NO ALCANZA",CD23&amp;" No. "&amp;CC23&amp;IF(CD23&gt;1," corridas"," corrida")))</f>
        <v/>
      </c>
      <c r="DX23" s="69" t="str">
        <f>IF(U23&lt;&gt;"SÍ","",IF(CL23=0,"NO ALCANZA",IF(C23="VOLADO","1 No. "&amp;CK23&amp;" corrida (repartición)","1 No. "&amp;CK23&amp;" corrida"&amp;IF(CL23&gt;1," + "&amp;(CL23-1)&amp;" bastón No. "&amp;CK23&amp;" L = "&amp;TEXT(DC23/100,"0.00")&amp;" m desde el paño",""))))</f>
        <v/>
      </c>
      <c r="DY23" s="67" t="str">
        <f>IF(B23="","",IF(U23&lt;&gt;"SÍ","FALTAN DATOS: tipo, a_x, a_y y destino",IF(L23="NO MONOLÍTICO (caso II)","FUERA DE ALCANCE: caso II no transcrito",IF(AND(C23="VOLADO",V23="?"),"REVISAR: el volado lleva UN solo borde CONTINUO (el empotrado)",IF(AND(MAX(BQ23,BY23,CG23,CO23)&lt;=1,NOT(OR(BN23&gt;MIN(DATOS!$C$70,INT(((AC23-2*AJ23)+MAX(DATOS!$C$67,INDEX(TABLAS!$C$52:$C$58,MATCH(BM23,TABLAS!$B$52:$B$58,0))))/(INDEX(TABLAS!$C$52:$C$58,MATCH(BM23,TABLAS!$B$52:$B$58,0))+MAX(DATOS!$C$67,INDEX(TABLAS!$C$52:$C$58,MATCH(BM23,TABLAS!$B$52:$B$58,0)))))),BV23&gt;MIN(DATOS!$C$70,INT(((AC23-2*AK23)+MAX(DATOS!$C$67,INDEX(TABLAS!$C$52:$C$58,MATCH(BU23,TABLAS!$B$52:$B$58,0))))/(INDEX(TABLAS!$C$52:$C$58,MATCH(BU23,TABLAS!$B$52:$B$58,0))+MAX(DATOS!$C$67,INDEX(TABLAS!$C$52:$C$58,MATCH(BU23,TABLAS!$B$52:$B$58,0)))))),CD23&gt;MIN(DATOS!$C$70,INT(((DATOS!$C$80-2*AJ23)+MAX(DATOS!$C$67,INDEX(TABLAS!$C$52:$C$58,MATCH(CC23,TABLAS!$B$52:$B$58,0))))/(INDEX(TABLAS!$C$52:$C$58,MATCH(CC23,TABLAS!$B$52:$B$58,0))+MAX(DATOS!$C$67,INDEX(TABLAS!$C$52:$C$58,MATCH(CC23,TABLAS!$B$52:$B$58,0)))))),CL23&gt;MIN(DATOS!$C$70,INT(((DATOS!$C$80-2*AK23)+MAX(DATOS!$C$67,INDEX(TABLAS!$C$52:$C$58,MATCH(CK23,TABLAS!$B$52:$B$58,0))))/(INDEX(TABLAS!$C$52:$C$58,MATCH(CK23,TABLAS!$B$52:$B$58,0))+MAX(DATOS!$C$67,INDEX(TABLAS!$C$52:$C$58,MATCH(CK23,TABLAS!$B$52:$B$58,0)))))))),NOT(OR(AND(ISNUMBER(BR23),BR23&lt;0.005),AND(ISNUMBER(BZ23),BZ23&lt;0.005),AND(ISNUMBER(CH23),CH23&lt;0.005),AND(ISNUMBER(CP23),CP23&lt;0.005))),NOT(LEFT(DT23,2)="NO"),CZ23="CUMPLE",DA23="CUMPLE",LEFT(CT23,2)&lt;&gt;"NO"),IF(LEFT(CT23,6)="CUMPLE","CUMPLE","CUMPLE — "&amp;CT23)&amp;IF(LEFT(BJ23,5)="FUERA"," · fuera de 3.4.2.1 c)","")&amp;IF(LEFT(DF23,2)="NO"," · REVISAR anclaje en borde discontinuo","")&amp;IF(DS23&gt;0," · respaldo: "&amp;DS23&amp;" hilera(s) de b_w "&amp;AC23&amp;" cm",""),IF(AND(MAX(BQ23,BY23,CG23,CO23)&lt;=1,NOT(OR(BN23&gt;MIN(DATOS!$C$70,INT(((AC23-2*AJ23)+MAX(DATOS!$C$67,INDEX(TABLAS!$C$52:$C$58,MATCH(BM23,TABLAS!$B$52:$B$58,0))))/(INDEX(TABLAS!$C$52:$C$58,MATCH(BM23,TABLAS!$B$52:$B$58,0))+MAX(DATOS!$C$67,INDEX(TABLAS!$C$52:$C$58,MATCH(BM23,TABLAS!$B$52:$B$58,0)))))),BV23&gt;MIN(DATOS!$C$70,INT(((AC23-2*AK23)+MAX(DATOS!$C$67,INDEX(TABLAS!$C$52:$C$58,MATCH(BU23,TABLAS!$B$52:$B$58,0))))/(INDEX(TABLAS!$C$52:$C$58,MATCH(BU23,TABLAS!$B$52:$B$58,0))+MAX(DATOS!$C$67,INDEX(TABLAS!$C$52:$C$58,MATCH(BU23,TABLAS!$B$52:$B$58,0)))))),CD23&gt;MIN(DATOS!$C$70,INT(((DATOS!$C$80-2*AJ23)+MAX(DATOS!$C$67,INDEX(TABLAS!$C$52:$C$58,MATCH(CC23,TABLAS!$B$52:$B$58,0))))/(INDEX(TABLAS!$C$52:$C$58,MATCH(CC23,TABLAS!$B$52:$B$58,0))+MAX(DATOS!$C$67,INDEX(TABLAS!$C$52:$C$58,MATCH(CC23,TABLAS!$B$52:$B$58,0)))))),CL23&gt;MIN(DATOS!$C$70,INT(((DATOS!$C$80-2*AK23)+MAX(DATOS!$C$67,INDEX(TABLAS!$C$52:$C$58,MATCH(CK23,TABLAS!$B$52:$B$58,0))))/(INDEX(TABLAS!$C$52:$C$58,MATCH(CK23,TABLAS!$B$52:$B$58,0))+MAX(DATOS!$C$67,INDEX(TABLAS!$C$52:$C$58,MATCH(CK23,TABLAS!$B$52:$B$58,0)))))))),NOT(OR(AND(ISNUMBER(BR23),BR23&lt;0.005),AND(ISNUMBER(BZ23),BZ23&lt;0.005),AND(ISNUMBER(CH23),CH23&lt;0.005),AND(ISNUMBER(CP23),CP23&lt;0.005))),NOT(LEFT(DT23,2)="NO"),CZ23="CALCULAR FLECHA",LEFT(CT23,2)&lt;&gt;"NO"),"REVISAR: calcular flecha (h_eq &lt; h mín.)"&amp;IF(LEFT(BJ23,5)="FUERA"," · fuera de 3.4.2.1 c)","")&amp;IF(LEFT(DF23,2)="NO"," · REVISAR anclaje en borde discontinuo","")&amp;IF(DS23&gt;0," · respaldo: "&amp;DS23&amp;" hilera(s) de b_w "&amp;AC23&amp;" cm",""),"NO CUMPLE: "&amp;IF(MAX(BQ23,BY23,CG23,CO23)&gt;1,"flexión ","")&amp;IF(OR(BN23&gt;MIN(DATOS!$C$70,INT(((AC23-2*AJ23)+MAX(DATOS!$C$67,INDEX(TABLAS!$C$52:$C$58,MATCH(BM23,TABLAS!$B$52:$B$58,0))))/(INDEX(TABLAS!$C$52:$C$58,MATCH(BM23,TABLAS!$B$52:$B$58,0))+MAX(DATOS!$C$67,INDEX(TABLAS!$C$52:$C$58,MATCH(BM23,TABLAS!$B$52:$B$58,0)))))),BV23&gt;MIN(DATOS!$C$70,INT(((AC23-2*AK23)+MAX(DATOS!$C$67,INDEX(TABLAS!$C$52:$C$58,MATCH(BU23,TABLAS!$B$52:$B$58,0))))/(INDEX(TABLAS!$C$52:$C$58,MATCH(BU23,TABLAS!$B$52:$B$58,0))+MAX(DATOS!$C$67,INDEX(TABLAS!$C$52:$C$58,MATCH(BU23,TABLAS!$B$52:$B$58,0)))))),CD23&gt;MIN(DATOS!$C$70,INT(((DATOS!$C$80-2*AJ23)+MAX(DATOS!$C$67,INDEX(TABLAS!$C$52:$C$58,MATCH(CC23,TABLAS!$B$52:$B$58,0))))/(INDEX(TABLAS!$C$52:$C$58,MATCH(CC23,TABLAS!$B$52:$B$58,0))+MAX(DATOS!$C$67,INDEX(TABLAS!$C$52:$C$58,MATCH(CC23,TABLAS!$B$52:$B$58,0)))))),CL23&gt;MIN(DATOS!$C$70,INT(((DATOS!$C$80-2*AK23)+MAX(DATOS!$C$67,INDEX(TABLAS!$C$52:$C$58,MATCH(CK23,TABLAS!$B$52:$B$58,0))))/(INDEX(TABLAS!$C$52:$C$58,MATCH(CK23,TABLAS!$B$52:$B$58,0))+MAX(DATOS!$C$67,INDEX(TABLAS!$C$52:$C$58,MATCH(CK23,TABLAS!$B$52:$B$58,0))))))),"no caben ","")&amp;IF(OR(AND(ISNUMBER(BR23),BR23&lt;0.005),AND(ISNUMBER(BZ23),BZ23&lt;0.005),AND(ISNUMBER(CH23),CH23&lt;0.005),AND(ISNUMBER(CP23),CP23&lt;0.005)),"ε_t &lt; 0.005 ","")&amp;IF(LEFT(CT23,2)="NO","cortante ","")&amp;IF(CZ23="NO CUMPLE","peralte ","")&amp;IF(DA23&lt;&gt;"CUMPLE","capa &lt; 6 cm ","")&amp;IF(LEFT(DT23,2)="NO","respaldo del volado","")))))))</f>
        <v/>
      </c>
      <c r="DZ23" s="70" t="str">
        <f>IF(U23&lt;&gt;"SÍ","",IF(LEFT(B23,7)="EJEMPLO","EJEMPLO de la hoja de Casa Rocha: bórralo o sobrescríbelo. ","")&amp;IF(AND(C23="PERIMETRAL",MIN(DG23,DH23)=0),"No cabe un casetón en el claro corto: es un tablero macizo, diséñalo en MACIZAS. ","")&amp;IF(AND(AI23="NO",C23="PERIMETRAL"),"No cumple 6.7.8.1.4 (a_c = "&amp;MAX(DATOS!$C$78,AD23)&amp;" cm &gt; claro corto/6 = "&amp;TEXT(X23*100/6,"0")&amp;" cm): se diseña como losa apoyada en vigas (6.7.8.1.9): r de viga = "&amp;DATOS!$C$60&amp;" cm y V_cR sin ×1.1. Para que cuente como encasetonada: casetón de "&amp;TEXT(FLOOR(MIN(80,X23*100/6),1),"0")&amp;" cm o menor. ","")&amp;IF(C23="VOLADO","Volado de "&amp;TEXT(X23,"0.00")&amp;" m empotrado en el borde "&amp;LOWER(V23)&amp;IF(N(O23)&gt;0,", con "&amp;TEXT(O23,"0.0")&amp;" kg/m en la orilla","")&amp;". Lecho inferior con r_ext. Si la orilla carga pretil u otro elemento frágil, calcula la flecha (13.4). El acero superior entra al respaldo de "&amp;TEXT(IF(ISNUMBER(P23),P23,X23),"0.00")&amp;" m"&amp;IF(ISNUMBER(P23),""," (L_b no capturado: se tomó igual al volado)")&amp;" hasta pasar M = 0 con 0.9·PP sin carga viva; si ahí no se anula, llega al apoyo lejano y se ancla con gancho (NTC-Criterios 3.4.1 c y 5.1.2.2). "&amp;IF(AC23&gt;DATOS!$C$80,"Respaldo: "&amp;DT23&amp;". ",""),"")&amp;IF(LEFT(BJ23,5)="FUERA","El M⁻ del vecino difiere más de 50 % (3.4.2.1 c): distribuye el desequilibrio (3.4.3.1) o confirma con un modelo; se arma con el mayor. ","")&amp;IF(OR(DD23="SÍ",DE23="SÍ"),"El M⁻ del borde discontinuo pide bastón también ahí (con gancho). ","")&amp;IF(LEFT(DF23,2)="NO","Anclaje: "&amp;DF23&amp;" (6.7.8.1.7). ","")&amp;IF(OR(AZ23&gt;0,BA23&gt;0),"Esquinas exteriores sobre muro: refuerzo de esquina arriba y abajo en L_largo/5 (6.7.7.3.1). ",""))</f>
        <v/>
      </c>
    </row>
    <row r="24" ht="33" customHeight="1">
      <c r="A24" s="50">
        <f>IF(B24="",0,1)+A23</f>
        <v>4</v>
      </c>
      <c r="B24" s="29" t="n"/>
      <c r="C24" s="51" t="n"/>
      <c r="D24" s="29" t="n"/>
      <c r="E24" s="52" t="n"/>
      <c r="F24" s="52" t="n"/>
      <c r="G24" s="51" t="n"/>
      <c r="H24" s="51" t="n"/>
      <c r="I24" s="51" t="n"/>
      <c r="J24" s="51" t="n"/>
      <c r="K24" s="51" t="n"/>
      <c r="L24" s="51" t="n"/>
      <c r="M24" s="53" t="n"/>
      <c r="N24" s="53" t="n"/>
      <c r="O24" s="54" t="n"/>
      <c r="P24" s="52" t="n"/>
      <c r="Q24" s="53" t="n"/>
      <c r="R24" s="54" t="n"/>
      <c r="S24" s="52" t="n"/>
      <c r="T24" s="52" t="n"/>
      <c r="U24" s="55" t="str">
        <f>IF(B24="","",IF(AND(OR(C24="PERIMETRAL",C24="VOLADO"),ISNUMBER(E24),ISNUMBER(F24),E24&gt;0,F24&gt;0,OR(ISNUMBER(N24),ISNUMBER(MATCH(D24,DATOS!$B$46:$B$55,0)))),"SÍ","NO"))</f>
        <v/>
      </c>
      <c r="V24" s="55" t="str">
        <f>IF(U24&lt;&gt;"SÍ","",IF(C24&lt;&gt;"VOLADO","—",IF(COUNTIF(G24:J24,"CONTINUO")&lt;&gt;1,"?",IF(G24="CONTINUO","INFERIOR",IF(H24="CONTINUO","SUPERIOR",IF(I24="CONTINUO","IZQUIERDO","DERECHO"))))))</f>
        <v/>
      </c>
      <c r="W24" s="55" t="str">
        <f>IF(U24&lt;&gt;"SÍ","",IF(C24="VOLADO",IF(OR(V24="IZQUIERDO",V24="DERECHO"),"X","Y"),IF(E24&lt;=F24,"X","Y")))</f>
        <v/>
      </c>
      <c r="X24" s="56" t="str">
        <f>IF(U24&lt;&gt;"SÍ","",IF(C24="VOLADO",IF(W24="X",E24,F24),MIN(E24,F24)))</f>
        <v/>
      </c>
      <c r="Y24" s="56" t="str">
        <f>IF(U24&lt;&gt;"SÍ","",IF(C24="VOLADO",IF(W24="X",F24,E24),MAX(E24,F24)))</f>
        <v/>
      </c>
      <c r="Z24" s="56" t="str">
        <f>IF(U24&lt;&gt;"SÍ","",MIN(X24,Y24)/MAX(X24,Y24))</f>
        <v/>
      </c>
      <c r="AA24" s="57" t="str">
        <f>IF(U24&lt;&gt;"SÍ","",MAX(1,X24*100-IF(C24="VOLADO",DATOS!$C$84/2,DATOS!$C$84)))</f>
        <v/>
      </c>
      <c r="AB24" s="57" t="str">
        <f>IF(U24&lt;&gt;"SÍ","",MAX(1,Y24*100-DATOS!$C$84))</f>
        <v/>
      </c>
      <c r="AC24" s="57" t="str">
        <f>IF(U24&lt;&gt;"SÍ","",IF(ISNUMBER(Q24),Q24,DATOS!$C$80))</f>
        <v/>
      </c>
      <c r="AD24" s="57" t="str">
        <f>IF(U24&lt;&gt;"SÍ","",MAX(0,DATOS!$C$83-AC24))</f>
        <v/>
      </c>
      <c r="AE24" s="57" t="str">
        <f>IF(U24&lt;&gt;"SÍ","",IF(OR(DATOS!$C$62="SÍ",AC24&gt;=20),AC24,AC24-2))</f>
        <v/>
      </c>
      <c r="AF24" s="57" t="str">
        <f>IF(U24&lt;&gt;"SÍ","",IF(OR(DATOS!$C$62="SÍ",DATOS!$C$80&gt;=20),DATOS!$C$80,DATOS!$C$80-2))</f>
        <v/>
      </c>
      <c r="AG24" s="57" t="str">
        <f>IF(U24&lt;&gt;"SÍ","",MIN(DATOS!$C$83,AC24+2*MIN(8*DATOS!$C$81,AD24/2,AA24/8)))</f>
        <v/>
      </c>
      <c r="AH24" s="57" t="str">
        <f>IF(U24&lt;&gt;"SÍ","",MIN(DATOS!$C$83,DATOS!$C$80+2*MIN(8*DATOS!$C$81,DATOS!$C$78/2,AB24/8)))</f>
        <v/>
      </c>
      <c r="AI24" s="55" t="str">
        <f>IF(U24&lt;&gt;"SÍ","",IF(AND(C24="PERIMETRAL",X24*100&gt;=6*MAX(DATOS!$C$78,AD24),MAX(DATOS!$C$78,AD24)&lt;=80,MIN(DATOS!$C$80,AC24)&gt;=10,DATOS!$C$82&lt;=3.5*MIN(DATOS!$C$80,AC24),DATOS!$C$81&gt;=MAX(MAX(DATOS!$C$78,AD24)/13,5)),"SÍ","NO"))</f>
        <v/>
      </c>
      <c r="AJ24" s="57" t="str">
        <f>IF(U24&lt;&gt;"SÍ","",IF(C24="VOLADO",DATOS!$C$61,IF(AI24="NO",DATOS!$C$60,DATOS!$C$59)))</f>
        <v/>
      </c>
      <c r="AK24" s="57" t="str">
        <f>IF(U24&lt;&gt;"SÍ","",IF(OR(AND(AM24="SÍ",DATOS!$C$63="SÍ"),AND(C24="VOLADO",DATOS!$C$64="SÍ")),DATOS!$C$61,IF(AI24="NO",DATOS!$C$60,DATOS!$C$59)))</f>
        <v/>
      </c>
      <c r="AL24" s="58" t="str">
        <f>IF(U24&lt;&gt;"SÍ","",MAX(AK24,(DATOS!$C$81-2*DATOS!$C$94)/2))</f>
        <v/>
      </c>
      <c r="AM24" s="55" t="str">
        <f>IF(U24&lt;&gt;"SÍ","",IFERROR(INDEX(DATOS!$D$46:$D$55,MATCH(D24,DATOS!$B$46:$B$55,0)),"NO"))</f>
        <v/>
      </c>
      <c r="AN24" s="59" t="str">
        <f>IF(U24&lt;&gt;"SÍ","",IF(ISNUMBER(N24),N24,IFERROR(INDEX(DATOS!$C$46:$C$55,MATCH(D24,DATOS!$B$46:$B$55,0)),0)))</f>
        <v/>
      </c>
      <c r="AO24" s="59" t="str">
        <f>IF(U24&lt;&gt;"SÍ","",(DATOS!$C$82/100-(AD24*DATOS!$C$78/DATOS!$C$83^2)*DATOS!$C$79/100)*DATOS!$C$16*1000+(AD24*DATOS!$C$78/DATOS!$C$83^2)*DATOS!$C$79/100*DATOS!$C$17*1000+DATOS!$C$37+DATOS!$C$38)</f>
        <v/>
      </c>
      <c r="AP24" s="59" t="str">
        <f>IF(U24&lt;&gt;"SÍ","",AO24+N(M24))</f>
        <v/>
      </c>
      <c r="AQ24" s="60" t="str">
        <f>IF(U24&lt;&gt;"SÍ","",MAX(DATOS!$C$26*AP24+DATOS!$C$27*AN24,IF(AM24="SÍ",DATOS!$C$28*(AP24+DATOS!$C$41),0)))</f>
        <v/>
      </c>
      <c r="AR24" s="59" t="str">
        <f>IF(U24&lt;&gt;"SÍ","",(G24="DISCONTINUO")+(H24="DISCONTINUO")+(I24="DISCONTINUO")+(J24="DISCONTINUO"))</f>
        <v/>
      </c>
      <c r="AS24" s="59" t="str">
        <f>IF(U24&lt;&gt;"SÍ","",IF(W24="X",(G24="DISCONTINUO")+(H24="DISCONTINUO"),(I24="DISCONTINUO")+(J24="DISCONTINUO")))</f>
        <v/>
      </c>
      <c r="AT24" s="55" t="str">
        <f>IF(U24&lt;&gt;"SÍ","",IF(AR24=0,"INTERIOR",IF(AR24=1,IF(AS24=1,"BORDE-CORTO","BORDE-LARGO"),IF(AR24=2,IF(AS24=1,"ESQUINA",IF(AS24=2,"EXTREMO-LARGO","EXTREMO-CORTO")),IF(AR24=3,IF(AS24=2,"EXTREMO-LARGO","EXTREMO-CORTO"),"AISLADO")))))</f>
        <v/>
      </c>
      <c r="AU24" s="61" t="str">
        <f>IF(U24&lt;&gt;"SÍ","",IF(OR(K24="",K24="AUTO"),AT24,K24))</f>
        <v/>
      </c>
      <c r="AV24" s="59" t="str">
        <f>IF(U24&lt;&gt;"SÍ","",MATCH(Z24,TABLAS!$D$5:$J$5,1))</f>
        <v/>
      </c>
      <c r="AW24" s="58" t="str">
        <f>IF(U24&lt;&gt;"SÍ","",IF(AV24&gt;=7,0,(Z24-INDEX(TABLAS!$D$5:$J$5,AV24))/(INDEX(TABLAS!$D$5:$J$5,AV24+1)-INDEX(TABLAS!$D$5:$J$5,AV24))))</f>
        <v/>
      </c>
      <c r="AX24" s="59" t="str">
        <f>IF(U24&lt;&gt;"SÍ","",INDEX(TABLAS!$D$6:$J$47,MATCH(AU24&amp;"|NIC",TABLAS!$B$6:$B$47,0),AV24)+AW24*(INDEX(TABLAS!$D$6:$J$47,MATCH(AU24&amp;"|NIC",TABLAS!$B$6:$B$47,0),MIN(AV24+1,7))-INDEX(TABLAS!$D$6:$J$47,MATCH(AU24&amp;"|NIC",TABLAS!$B$6:$B$47,0),AV24)))</f>
        <v/>
      </c>
      <c r="AY24" s="59" t="str">
        <f>IF(U24&lt;&gt;"SÍ","",INDEX(TABLAS!$D$6:$J$47,MATCH(AU24&amp;"|NIL",TABLAS!$B$6:$B$47,0),AV24)+AW24*(INDEX(TABLAS!$D$6:$J$47,MATCH(AU24&amp;"|NIL",TABLAS!$B$6:$B$47,0),MIN(AV24+1,7))-INDEX(TABLAS!$D$6:$J$47,MATCH(AU24&amp;"|NIL",TABLAS!$B$6:$B$47,0),AV24)))</f>
        <v/>
      </c>
      <c r="AZ24" s="59" t="str">
        <f>IF(U24&lt;&gt;"SÍ","",INDEX(TABLAS!$D$6:$J$47,MATCH(AU24&amp;"|NDC",TABLAS!$B$6:$B$47,0),AV24)+AW24*(INDEX(TABLAS!$D$6:$J$47,MATCH(AU24&amp;"|NDC",TABLAS!$B$6:$B$47,0),MIN(AV24+1,7))-INDEX(TABLAS!$D$6:$J$47,MATCH(AU24&amp;"|NDC",TABLAS!$B$6:$B$47,0),AV24)))</f>
        <v/>
      </c>
      <c r="BA24" s="59" t="str">
        <f>IF(U24&lt;&gt;"SÍ","",INDEX(TABLAS!$D$6:$J$47,MATCH(AU24&amp;"|NDL",TABLAS!$B$6:$B$47,0),AV24)+AW24*(INDEX(TABLAS!$D$6:$J$47,MATCH(AU24&amp;"|NDL",TABLAS!$B$6:$B$47,0),MIN(AV24+1,7))-INDEX(TABLAS!$D$6:$J$47,MATCH(AU24&amp;"|NDL",TABLAS!$B$6:$B$47,0),AV24)))</f>
        <v/>
      </c>
      <c r="BB24" s="59" t="str">
        <f>IF(U24&lt;&gt;"SÍ","",INDEX(TABLAS!$D$6:$J$47,MATCH(AU24&amp;"|PC",TABLAS!$B$6:$B$47,0),AV24)+AW24*(INDEX(TABLAS!$D$6:$J$47,MATCH(AU24&amp;"|PC",TABLAS!$B$6:$B$47,0),MIN(AV24+1,7))-INDEX(TABLAS!$D$6:$J$47,MATCH(AU24&amp;"|PC",TABLAS!$B$6:$B$47,0),AV24)))</f>
        <v/>
      </c>
      <c r="BC24" s="59" t="str">
        <f>IF(U24&lt;&gt;"SÍ","",INDEX(TABLAS!$D$6:$J$47,MATCH(AU24&amp;"|PL",TABLAS!$B$6:$B$47,0),AV24)+AW24*(INDEX(TABLAS!$D$6:$J$47,MATCH(AU24&amp;"|PL",TABLAS!$B$6:$B$47,0),MIN(AV24+1,7))-INDEX(TABLAS!$D$6:$J$47,MATCH(AU24&amp;"|PL",TABLAS!$B$6:$B$47,0),AV24)))</f>
        <v/>
      </c>
      <c r="BD24" s="56" t="str">
        <f>IF(U24&lt;&gt;"SÍ","",IF(C24&lt;&gt;"VOLADO",0,DATOS!$C$26*DATOS!$C$16*DATOS!$C$83/100*(((AD24*DATOS!$C$78/DATOS!$C$83^2)*DATOS!$C$79/100)*(IF(W24="X",DI24,DJ24)+DATOS!$C$84/2)/100*(AA24-(IF(W24="X",DI24,DJ24)+DATOS!$C$84/2)/2)/100+((AD24*DATOS!$C$78/DATOS!$C$83^2)*DATOS!$C$79/100)*IF(W24="X",DI24,DJ24)/100*IF(W24="X",DI24,DJ24)/200)))</f>
        <v/>
      </c>
      <c r="BE24" s="56" t="str">
        <f>IF(U24&lt;&gt;"SÍ","",IF(C24&lt;&gt;"VOLADO",0,DATOS!$C$26*DATOS!$C$16*DATOS!$C$83/100*((AD24*DATOS!$C$78/DATOS!$C$83^2)*DATOS!$C$79/100)*(IF(W24="X",DI24,DJ24)+DATOS!$C$84/2)/100))</f>
        <v/>
      </c>
      <c r="BF24" s="56" t="str">
        <f>IF(U24&lt;&gt;"SÍ","",IF(C24="PERIMETRAL",BB24*AQ24*X24^2*1E-4*DATOS!$C$83/100/1000,0))</f>
        <v/>
      </c>
      <c r="BG24" s="62" t="str">
        <f>IF(U24&lt;&gt;"SÍ","",IF(C24="PERIMETRAL",MAX(MAX(AX24,AZ24)*AQ24*X24^2*1E-4*DATOS!$C$83/100/1000,N(S24)),(AQ24*(AA24/100)^2/2+DATOS!$C$26*N(O24)*AA24/100)*DATOS!$C$83/100/1000+BD24))</f>
        <v/>
      </c>
      <c r="BH24" s="56" t="str">
        <f>IF(U24&lt;&gt;"SÍ","",IF(C24="PERIMETRAL",BC24*AQ24*X24^2*1E-4*DATOS!$C$83/100/1000,0))</f>
        <v/>
      </c>
      <c r="BI24" s="56" t="str">
        <f>IF(U24&lt;&gt;"SÍ","",IF(C24="PERIMETRAL",MAX(MAX(AY24,BA24)*AQ24*X24^2*1E-4*DATOS!$C$83/100/1000,N(T24)),0))</f>
        <v/>
      </c>
      <c r="BJ24" s="63" t="str">
        <f>IF(U24&lt;&gt;"SÍ","",IF(C24&lt;&gt;"PERIMETRAL","—",IF(AND(N(S24)=0,N(T24)=0),"— (sin M⁻ del vecino)",IF(OR(AND(N(S24)&gt;0,ABS(MAX(AX24,AZ24)*AQ24*X24^2*1E-4*DATOS!$C$83/100/1000-N(S24))&gt;0.5*MIN(MAX(AX24,AZ24)*AQ24*X24^2*1E-4*DATOS!$C$83/100/1000,N(S24))),AND(N(T24)&gt;0,ABS(MAX(AY24,BA24)*AQ24*X24^2*1E-4*DATOS!$C$83/100/1000-N(T24))&gt;0.5*MIN(MAX(AY24,BA24)*AQ24*X24^2*1E-4*DATOS!$C$83/100/1000,N(T24)))),"FUERA: difieren &gt; 50 %"&amp;IF(AND(N(S24)&gt;0,ABS(MAX(AX24,AZ24)*AQ24*X24^2*1E-4*DATOS!$C$83/100/1000-N(S24))&gt;0.5*MIN(MAX(AX24,AZ24)*AQ24*X24^2*1E-4*DATOS!$C$83/100/1000,N(S24)))," ‖ corto","")&amp;IF(AND(N(T24)&gt;0,ABS(MAX(AY24,BA24)*AQ24*X24^2*1E-4*DATOS!$C$83/100/1000-N(T24))&gt;0.5*MIN(MAX(AY24,BA24)*AQ24*X24^2*1E-4*DATOS!$C$83/100/1000,N(T24)))," ‖ largo",""),"CUMPLE"))))</f>
        <v/>
      </c>
      <c r="BK24" s="58" t="str">
        <f>IF(U24&lt;&gt;"SÍ","",(DATOS!$C$82-AJ24-INDEX(TABLAS!$C$52:$C$58,MATCH(DATOS!$C$68,TABLAS!$B$52:$B$58,0))/2))</f>
        <v/>
      </c>
      <c r="BL24" s="58" t="str">
        <f>IF(U24&lt;&gt;"SÍ","",IF(IF(BF24&lt;=0,0,IF((1-2*BF24*1E5/(DATOS!$C$29*AG24*BK24^2*DATOS!$C$21))&lt;0,-1,IF((1-SQRT((1-2*BF24*1E5/(DATOS!$C$29*AG24*BK24^2*DATOS!$C$21))))*DATOS!$C$21*AG24*BK24/DATOS!$C$14&gt;DATOS!$C$99*AG24*BK24,-1,(1-SQRT((1-2*BF24*1E5/(DATOS!$C$29*AG24*BK24^2*DATOS!$C$21))))*DATOS!$C$21*AG24*BK24/DATOS!$C$14)))&lt;0,-1,MAX(IF(BF24&lt;=0,0,IF((1-2*BF24*1E5/(DATOS!$C$29*AG24*BK24^2*DATOS!$C$21))&lt;0,-1,IF((1-SQRT((1-2*BF24*1E5/(DATOS!$C$29*AG24*BK24^2*DATOS!$C$21))))*DATOS!$C$21*AG24*BK24/DATOS!$C$14&gt;DATOS!$C$99*AG24*BK24,-1,(1-SQRT((1-2*BF24*1E5/(DATOS!$C$29*AG24*BK24^2*DATOS!$C$21))))*DATOS!$C$21*AG24*BK24/DATOS!$C$14))),MIN(DATOS!$C$100*AC24*BK24,4/3*IF(BF24&lt;=0,0,IF((1-2*BF24*1E5/(DATOS!$C$29*AG24*BK24^2*DATOS!$C$21))&lt;0,-1,IF((1-SQRT((1-2*BF24*1E5/(DATOS!$C$29*AG24*BK24^2*DATOS!$C$21))))*DATOS!$C$21*AG24*BK24/DATOS!$C$14&gt;DATOS!$C$99*AG24*BK24,-1,(1-SQRT((1-2*BF24*1E5/(DATOS!$C$29*AG24*BK24^2*DATOS!$C$21))))*DATOS!$C$21*AG24*BK24/DATOS!$C$14)))))))</f>
        <v/>
      </c>
      <c r="BM24" s="64" t="str">
        <f>IF(U24&lt;&gt;"SÍ","",IF(AND(BL24&gt;=0,IF(MAX(DATOS!$C$71,CEILING(BL24/INDEX(TABLAS!$D$52:$D$58,MIN(MATCH(DATOS!$C$68,TABLAS!$B$52:$B$58,0)+0,7)),1))*INDEX(TABLAS!$D$52:$D$58,MIN(MATCH(DATOS!$C$68,TABLAS!$B$52:$B$58,0)+0,7))&gt;=4/3*IF(BF24&lt;=0,0,IF((1-2*BF24*1E5/(DATOS!$C$29*AG24*BK24^2*DATOS!$C$21))&lt;0,-1,IF((1-SQRT((1-2*BF24*1E5/(DATOS!$C$29*AG24*BK24^2*DATOS!$C$21))))*DATOS!$C$21*AG24*BK24/DATOS!$C$14&gt;DATOS!$C$99*AG24*BK24,-1,(1-SQRT((1-2*BF24*1E5/(DATOS!$C$29*AG24*BK24^2*DATOS!$C$21))))*DATOS!$C$21*AG24*BK24/DATOS!$C$14)))-0.0001,MAX(DATOS!$C$71,CEILING(BL24/INDEX(TABLAS!$D$52:$D$58,MIN(MATCH(DATOS!$C$68,TABLAS!$B$52:$B$58,0)+0,7)),1)),MAX(MAX(DATOS!$C$71,CEILING(BL24/INDEX(TABLAS!$D$52:$D$58,MIN(MATCH(DATOS!$C$68,TABLAS!$B$52:$B$58,0)+0,7)),1)),2))&lt;=MIN(DATOS!$C$70,INT(((AC24-2*AJ24)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24&gt;=0,IF(MAX(DATOS!$C$71,CEILING(BL24/INDEX(TABLAS!$D$52:$D$58,MIN(MATCH(DATOS!$C$68,TABLAS!$B$52:$B$58,0)+1,7)),1))*INDEX(TABLAS!$D$52:$D$58,MIN(MATCH(DATOS!$C$68,TABLAS!$B$52:$B$58,0)+1,7))&gt;=4/3*IF(BF24&lt;=0,0,IF((1-2*BF24*1E5/(DATOS!$C$29*AG24*BK24^2*DATOS!$C$21))&lt;0,-1,IF((1-SQRT((1-2*BF24*1E5/(DATOS!$C$29*AG24*BK24^2*DATOS!$C$21))))*DATOS!$C$21*AG24*BK24/DATOS!$C$14&gt;DATOS!$C$99*AG24*BK24,-1,(1-SQRT((1-2*BF24*1E5/(DATOS!$C$29*AG24*BK24^2*DATOS!$C$21))))*DATOS!$C$21*AG24*BK24/DATOS!$C$14)))-0.0001,MAX(DATOS!$C$71,CEILING(BL24/INDEX(TABLAS!$D$52:$D$58,MIN(MATCH(DATOS!$C$68,TABLAS!$B$52:$B$58,0)+1,7)),1)),MAX(MAX(DATOS!$C$71,CEILING(BL24/INDEX(TABLAS!$D$52:$D$58,MIN(MATCH(DATOS!$C$68,TABLAS!$B$52:$B$58,0)+1,7)),1)),2))&lt;=MIN(DATOS!$C$70,INT(((AC24-2*AJ24)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24&gt;=0,IF(MAX(DATOS!$C$71,CEILING(BL24/INDEX(TABLAS!$D$52:$D$58,MIN(MATCH(DATOS!$C$68,TABLAS!$B$52:$B$58,0)+2,7)),1))*INDEX(TABLAS!$D$52:$D$58,MIN(MATCH(DATOS!$C$68,TABLAS!$B$52:$B$58,0)+2,7))&gt;=4/3*IF(BF24&lt;=0,0,IF((1-2*BF24*1E5/(DATOS!$C$29*AG24*BK24^2*DATOS!$C$21))&lt;0,-1,IF((1-SQRT((1-2*BF24*1E5/(DATOS!$C$29*AG24*BK24^2*DATOS!$C$21))))*DATOS!$C$21*AG24*BK24/DATOS!$C$14&gt;DATOS!$C$99*AG24*BK24,-1,(1-SQRT((1-2*BF24*1E5/(DATOS!$C$29*AG24*BK24^2*DATOS!$C$21))))*DATOS!$C$21*AG24*BK24/DATOS!$C$14)))-0.0001,MAX(DATOS!$C$71,CEILING(BL24/INDEX(TABLAS!$D$52:$D$58,MIN(MATCH(DATOS!$C$68,TABLAS!$B$52:$B$58,0)+2,7)),1)),MAX(MAX(DATOS!$C$71,CEILING(BL24/INDEX(TABLAS!$D$52:$D$58,MIN(MATCH(DATOS!$C$68,TABLAS!$B$52:$B$58,0)+2,7)),1)),2))&lt;=MIN(DATOS!$C$70,INT(((AC24-2*AJ24)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24&gt;=0,IF(MAX(DATOS!$C$71,CEILING(BL24/INDEX(TABLAS!$D$52:$D$58,MIN(MATCH(DATOS!$C$68,TABLAS!$B$52:$B$58,0)+3,7)),1))*INDEX(TABLAS!$D$52:$D$58,MIN(MATCH(DATOS!$C$68,TABLAS!$B$52:$B$58,0)+3,7))&gt;=4/3*IF(BF24&lt;=0,0,IF((1-2*BF24*1E5/(DATOS!$C$29*AG24*BK24^2*DATOS!$C$21))&lt;0,-1,IF((1-SQRT((1-2*BF24*1E5/(DATOS!$C$29*AG24*BK24^2*DATOS!$C$21))))*DATOS!$C$21*AG24*BK24/DATOS!$C$14&gt;DATOS!$C$99*AG24*BK24,-1,(1-SQRT((1-2*BF24*1E5/(DATOS!$C$29*AG24*BK24^2*DATOS!$C$21))))*DATOS!$C$21*AG24*BK24/DATOS!$C$14)))-0.0001,MAX(DATOS!$C$71,CEILING(BL24/INDEX(TABLAS!$D$52:$D$58,MIN(MATCH(DATOS!$C$68,TABLAS!$B$52:$B$58,0)+3,7)),1)),MAX(MAX(DATOS!$C$71,CEILING(BL24/INDEX(TABLAS!$D$52:$D$58,MIN(MATCH(DATOS!$C$68,TABLAS!$B$52:$B$58,0)+3,7)),1)),2))&lt;=MIN(DATOS!$C$70,INT(((AC24-2*AJ24)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24&gt;=0,IF(MAX(DATOS!$C$71,CEILING(BL24/INDEX(TABLAS!$D$52:$D$58,MIN(MATCH(DATOS!$C$68,TABLAS!$B$52:$B$58,0)+4,7)),1))*INDEX(TABLAS!$D$52:$D$58,MIN(MATCH(DATOS!$C$68,TABLAS!$B$52:$B$58,0)+4,7))&gt;=4/3*IF(BF24&lt;=0,0,IF((1-2*BF24*1E5/(DATOS!$C$29*AG24*BK24^2*DATOS!$C$21))&lt;0,-1,IF((1-SQRT((1-2*BF24*1E5/(DATOS!$C$29*AG24*BK24^2*DATOS!$C$21))))*DATOS!$C$21*AG24*BK24/DATOS!$C$14&gt;DATOS!$C$99*AG24*BK24,-1,(1-SQRT((1-2*BF24*1E5/(DATOS!$C$29*AG24*BK24^2*DATOS!$C$21))))*DATOS!$C$21*AG24*BK24/DATOS!$C$14)))-0.0001,MAX(DATOS!$C$71,CEILING(BL24/INDEX(TABLAS!$D$52:$D$58,MIN(MATCH(DATOS!$C$68,TABLAS!$B$52:$B$58,0)+4,7)),1)),MAX(MAX(DATOS!$C$71,CEILING(BL24/INDEX(TABLAS!$D$52:$D$58,MIN(MATCH(DATOS!$C$68,TABLAS!$B$52:$B$58,0)+4,7)),1)),2))&lt;=MIN(DATOS!$C$70,INT(((AC24-2*AJ24)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24" s="59" t="str">
        <f>IF(U24&lt;&gt;"SÍ","",IF(BL24&lt;0,0,IF(MAX(DATOS!$C$71,CEILING(MAX(BL24,0)/INDEX(TABLAS!$D$52:$D$58,MATCH(BM24,TABLAS!$B$52:$B$58,0)),1))*INDEX(TABLAS!$D$52:$D$58,MATCH(BM24,TABLAS!$B$52:$B$58,0))&gt;=4/3*IF(BF24&lt;=0,0,IF((1-2*BF24*1E5/(DATOS!$C$29*AG24*BK24^2*DATOS!$C$21))&lt;0,-1,IF((1-SQRT((1-2*BF24*1E5/(DATOS!$C$29*AG24*BK24^2*DATOS!$C$21))))*DATOS!$C$21*AG24*BK24/DATOS!$C$14&gt;DATOS!$C$99*AG24*BK24,-1,(1-SQRT((1-2*BF24*1E5/(DATOS!$C$29*AG24*BK24^2*DATOS!$C$21))))*DATOS!$C$21*AG24*BK24/DATOS!$C$14)))-0.0001,MAX(DATOS!$C$71,CEILING(MAX(BL24,0)/INDEX(TABLAS!$D$52:$D$58,MATCH(BM24,TABLAS!$B$52:$B$58,0)),1)),MAX(MAX(DATOS!$C$71,CEILING(MAX(BL24,0)/INDEX(TABLAS!$D$52:$D$58,MATCH(BM24,TABLAS!$B$52:$B$58,0)),1)),2))))</f>
        <v/>
      </c>
      <c r="BO24" s="58" t="str">
        <f>IF(U24&lt;&gt;"SÍ","",DATOS!$C$82-AJ24-INDEX(TABLAS!$C$52:$C$58,MATCH(BM24,TABLAS!$B$52:$B$58,0))/2)</f>
        <v/>
      </c>
      <c r="BP24" s="56" t="str">
        <f>IF(U24&lt;&gt;"SÍ","",IF(BN24=0,0,DATOS!$C$29*BN24*INDEX(TABLAS!$D$52:$D$58,MATCH(BM24,TABLAS!$B$52:$B$58,0))*DATOS!$C$14*(BO24-BN24*INDEX(TABLAS!$D$52:$D$58,MATCH(BM24,TABLAS!$B$52:$B$58,0))*DATOS!$C$14/(DATOS!$C$21*AG24)/2)/1E5))</f>
        <v/>
      </c>
      <c r="BQ24" s="65" t="str">
        <f>IF(U24&lt;&gt;"SÍ","",IF(BL24&lt;0,9.99,IF(BP24&gt;0,BF24/BP24,0)))</f>
        <v/>
      </c>
      <c r="BR24" s="66" t="str">
        <f>IF(U24&lt;&gt;"SÍ","",IF(BN24=0,"—",0.003*(BO24-(BN24*INDEX(TABLAS!$D$52:$D$58,MATCH(BM24,TABLAS!$B$52:$B$58,0))*DATOS!$C$14/(DATOS!$C$21*AG24)/DATOS!$C$22))/(BN24*INDEX(TABLAS!$D$52:$D$58,MATCH(BM24,TABLAS!$B$52:$B$58,0))*DATOS!$C$14/(DATOS!$C$21*AG24)/DATOS!$C$22)))</f>
        <v/>
      </c>
      <c r="BS24" s="58" t="str">
        <f>IF(U24&lt;&gt;"SÍ","",((DATOS!$C$82-AL24-2*DATOS!$C$94-INDEX(TABLAS!$C$52:$C$58,MATCH(DATOS!$C$69,TABLAS!$B$52:$B$58,0))/2)-IF(AND((DATOS!$C$82-AL24-2*DATOS!$C$94-INDEX(TABLAS!$C$52:$C$58,MATCH(DATOS!$C$69,TABLAS!$B$52:$B$58,0))/2)&lt;=20,DATOS!$C$62&lt;&gt;"SÍ"),2,0)))</f>
        <v/>
      </c>
      <c r="BT24" s="58" t="str">
        <f>IF(U24&lt;&gt;"SÍ","",IF(IF(BG24&lt;=0,0,IF((1-2*BG24*1E5/(DATOS!$C$29*AE24*BS24^2*DATOS!$C$21))&lt;0,-1,IF((1-SQRT((1-2*BG24*1E5/(DATOS!$C$29*AE24*BS24^2*DATOS!$C$21))))*DATOS!$C$21*AE24*BS24/DATOS!$C$14&gt;DATOS!$C$99*AE24*BS24,-1,(1-SQRT((1-2*BG24*1E5/(DATOS!$C$29*AE24*BS24^2*DATOS!$C$21))))*DATOS!$C$21*AE24*BS24/DATOS!$C$14)))&lt;0,-1,MAX(IF(BG24&lt;=0,0,IF((1-2*BG24*1E5/(DATOS!$C$29*AE24*BS24^2*DATOS!$C$21))&lt;0,-1,IF((1-SQRT((1-2*BG24*1E5/(DATOS!$C$29*AE24*BS24^2*DATOS!$C$21))))*DATOS!$C$21*AE24*BS24/DATOS!$C$14&gt;DATOS!$C$99*AE24*BS24,-1,(1-SQRT((1-2*BG24*1E5/(DATOS!$C$29*AE24*BS24^2*DATOS!$C$21))))*DATOS!$C$21*AE24*BS24/DATOS!$C$14))),MIN(DATOS!$C$100*IF(C24="VOLADO",MIN(AG24,2*AC24),AC24)*BS24,4/3*IF(BG24&lt;=0,0,IF((1-2*BG24*1E5/(DATOS!$C$29*AE24*BS24^2*DATOS!$C$21))&lt;0,-1,IF((1-SQRT((1-2*BG24*1E5/(DATOS!$C$29*AE24*BS24^2*DATOS!$C$21))))*DATOS!$C$21*AE24*BS24/DATOS!$C$14&gt;DATOS!$C$99*AE24*BS24,-1,(1-SQRT((1-2*BG24*1E5/(DATOS!$C$29*AE24*BS24^2*DATOS!$C$21))))*DATOS!$C$21*AE24*BS24/DATOS!$C$14)))))))</f>
        <v/>
      </c>
      <c r="BU24" s="64" t="str">
        <f>IF(U24&lt;&gt;"SÍ","",IF(AND(BT24&gt;=0,IF(MAX(DATOS!$C$71,CEILING(BT24/INDEX(TABLAS!$D$52:$D$58,MIN(MATCH(DATOS!$C$69,TABLAS!$B$52:$B$58,0)+0,7)),1))*INDEX(TABLAS!$D$52:$D$58,MIN(MATCH(DATOS!$C$69,TABLAS!$B$52:$B$58,0)+0,7))&gt;=4/3*IF(BG24&lt;=0,0,IF((1-2*BG24*1E5/(DATOS!$C$29*AE24*BS24^2*DATOS!$C$21))&lt;0,-1,IF((1-SQRT((1-2*BG24*1E5/(DATOS!$C$29*AE24*BS24^2*DATOS!$C$21))))*DATOS!$C$21*AE24*BS24/DATOS!$C$14&gt;DATOS!$C$99*AE24*BS24,-1,(1-SQRT((1-2*BG24*1E5/(DATOS!$C$29*AE24*BS24^2*DATOS!$C$21))))*DATOS!$C$21*AE24*BS24/DATOS!$C$14)))-0.0001,MAX(DATOS!$C$71,CEILING(BT24/INDEX(TABLAS!$D$52:$D$58,MIN(MATCH(DATOS!$C$69,TABLAS!$B$52:$B$58,0)+0,7)),1)),MAX(MAX(DATOS!$C$71,CEILING(BT24/INDEX(TABLAS!$D$52:$D$58,MIN(MATCH(DATOS!$C$69,TABLAS!$B$52:$B$58,0)+0,7)),1)),2))&lt;=MIN(DATOS!$C$70,INT(((AC24-2*AK24)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24&gt;=0,IF(MAX(DATOS!$C$71,CEILING(BT24/INDEX(TABLAS!$D$52:$D$58,MIN(MATCH(DATOS!$C$69,TABLAS!$B$52:$B$58,0)+1,7)),1))*INDEX(TABLAS!$D$52:$D$58,MIN(MATCH(DATOS!$C$69,TABLAS!$B$52:$B$58,0)+1,7))&gt;=4/3*IF(BG24&lt;=0,0,IF((1-2*BG24*1E5/(DATOS!$C$29*AE24*BS24^2*DATOS!$C$21))&lt;0,-1,IF((1-SQRT((1-2*BG24*1E5/(DATOS!$C$29*AE24*BS24^2*DATOS!$C$21))))*DATOS!$C$21*AE24*BS24/DATOS!$C$14&gt;DATOS!$C$99*AE24*BS24,-1,(1-SQRT((1-2*BG24*1E5/(DATOS!$C$29*AE24*BS24^2*DATOS!$C$21))))*DATOS!$C$21*AE24*BS24/DATOS!$C$14)))-0.0001,MAX(DATOS!$C$71,CEILING(BT24/INDEX(TABLAS!$D$52:$D$58,MIN(MATCH(DATOS!$C$69,TABLAS!$B$52:$B$58,0)+1,7)),1)),MAX(MAX(DATOS!$C$71,CEILING(BT24/INDEX(TABLAS!$D$52:$D$58,MIN(MATCH(DATOS!$C$69,TABLAS!$B$52:$B$58,0)+1,7)),1)),2))&lt;=MIN(DATOS!$C$70,INT(((AC24-2*AK24)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24&gt;=0,IF(MAX(DATOS!$C$71,CEILING(BT24/INDEX(TABLAS!$D$52:$D$58,MIN(MATCH(DATOS!$C$69,TABLAS!$B$52:$B$58,0)+2,7)),1))*INDEX(TABLAS!$D$52:$D$58,MIN(MATCH(DATOS!$C$69,TABLAS!$B$52:$B$58,0)+2,7))&gt;=4/3*IF(BG24&lt;=0,0,IF((1-2*BG24*1E5/(DATOS!$C$29*AE24*BS24^2*DATOS!$C$21))&lt;0,-1,IF((1-SQRT((1-2*BG24*1E5/(DATOS!$C$29*AE24*BS24^2*DATOS!$C$21))))*DATOS!$C$21*AE24*BS24/DATOS!$C$14&gt;DATOS!$C$99*AE24*BS24,-1,(1-SQRT((1-2*BG24*1E5/(DATOS!$C$29*AE24*BS24^2*DATOS!$C$21))))*DATOS!$C$21*AE24*BS24/DATOS!$C$14)))-0.0001,MAX(DATOS!$C$71,CEILING(BT24/INDEX(TABLAS!$D$52:$D$58,MIN(MATCH(DATOS!$C$69,TABLAS!$B$52:$B$58,0)+2,7)),1)),MAX(MAX(DATOS!$C$71,CEILING(BT24/INDEX(TABLAS!$D$52:$D$58,MIN(MATCH(DATOS!$C$69,TABLAS!$B$52:$B$58,0)+2,7)),1)),2))&lt;=MIN(DATOS!$C$70,INT(((AC24-2*AK24)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24&gt;=0,IF(MAX(DATOS!$C$71,CEILING(BT24/INDEX(TABLAS!$D$52:$D$58,MIN(MATCH(DATOS!$C$69,TABLAS!$B$52:$B$58,0)+3,7)),1))*INDEX(TABLAS!$D$52:$D$58,MIN(MATCH(DATOS!$C$69,TABLAS!$B$52:$B$58,0)+3,7))&gt;=4/3*IF(BG24&lt;=0,0,IF((1-2*BG24*1E5/(DATOS!$C$29*AE24*BS24^2*DATOS!$C$21))&lt;0,-1,IF((1-SQRT((1-2*BG24*1E5/(DATOS!$C$29*AE24*BS24^2*DATOS!$C$21))))*DATOS!$C$21*AE24*BS24/DATOS!$C$14&gt;DATOS!$C$99*AE24*BS24,-1,(1-SQRT((1-2*BG24*1E5/(DATOS!$C$29*AE24*BS24^2*DATOS!$C$21))))*DATOS!$C$21*AE24*BS24/DATOS!$C$14)))-0.0001,MAX(DATOS!$C$71,CEILING(BT24/INDEX(TABLAS!$D$52:$D$58,MIN(MATCH(DATOS!$C$69,TABLAS!$B$52:$B$58,0)+3,7)),1)),MAX(MAX(DATOS!$C$71,CEILING(BT24/INDEX(TABLAS!$D$52:$D$58,MIN(MATCH(DATOS!$C$69,TABLAS!$B$52:$B$58,0)+3,7)),1)),2))&lt;=MIN(DATOS!$C$70,INT(((AC24-2*AK24)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24&gt;=0,IF(MAX(DATOS!$C$71,CEILING(BT24/INDEX(TABLAS!$D$52:$D$58,MIN(MATCH(DATOS!$C$69,TABLAS!$B$52:$B$58,0)+4,7)),1))*INDEX(TABLAS!$D$52:$D$58,MIN(MATCH(DATOS!$C$69,TABLAS!$B$52:$B$58,0)+4,7))&gt;=4/3*IF(BG24&lt;=0,0,IF((1-2*BG24*1E5/(DATOS!$C$29*AE24*BS24^2*DATOS!$C$21))&lt;0,-1,IF((1-SQRT((1-2*BG24*1E5/(DATOS!$C$29*AE24*BS24^2*DATOS!$C$21))))*DATOS!$C$21*AE24*BS24/DATOS!$C$14&gt;DATOS!$C$99*AE24*BS24,-1,(1-SQRT((1-2*BG24*1E5/(DATOS!$C$29*AE24*BS24^2*DATOS!$C$21))))*DATOS!$C$21*AE24*BS24/DATOS!$C$14)))-0.0001,MAX(DATOS!$C$71,CEILING(BT24/INDEX(TABLAS!$D$52:$D$58,MIN(MATCH(DATOS!$C$69,TABLAS!$B$52:$B$58,0)+4,7)),1)),MAX(MAX(DATOS!$C$71,CEILING(BT24/INDEX(TABLAS!$D$52:$D$58,MIN(MATCH(DATOS!$C$69,TABLAS!$B$52:$B$58,0)+4,7)),1)),2))&lt;=MIN(DATOS!$C$70,INT(((AC24-2*AK24)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24" s="59" t="str">
        <f>IF(U24&lt;&gt;"SÍ","",IF(BT24&lt;0,0,IF(MAX(DATOS!$C$71,CEILING(MAX(BT24,0)/INDEX(TABLAS!$D$52:$D$58,MATCH(BU24,TABLAS!$B$52:$B$58,0)),1))*INDEX(TABLAS!$D$52:$D$58,MATCH(BU24,TABLAS!$B$52:$B$58,0))&gt;=4/3*IF(BG24&lt;=0,0,IF((1-2*BG24*1E5/(DATOS!$C$29*AE24*BS24^2*DATOS!$C$21))&lt;0,-1,IF((1-SQRT((1-2*BG24*1E5/(DATOS!$C$29*AE24*BS24^2*DATOS!$C$21))))*DATOS!$C$21*AE24*BS24/DATOS!$C$14&gt;DATOS!$C$99*AE24*BS24,-1,(1-SQRT((1-2*BG24*1E5/(DATOS!$C$29*AE24*BS24^2*DATOS!$C$21))))*DATOS!$C$21*AE24*BS24/DATOS!$C$14)))-0.0001,MAX(DATOS!$C$71,CEILING(MAX(BT24,0)/INDEX(TABLAS!$D$52:$D$58,MATCH(BU24,TABLAS!$B$52:$B$58,0)),1)),MAX(MAX(DATOS!$C$71,CEILING(MAX(BT24,0)/INDEX(TABLAS!$D$52:$D$58,MATCH(BU24,TABLAS!$B$52:$B$58,0)),1)),2))))</f>
        <v/>
      </c>
      <c r="BW24" s="58" t="str">
        <f>IF(U24&lt;&gt;"SÍ","",((DATOS!$C$82-AL24-2*DATOS!$C$94-INDEX(TABLAS!$C$52:$C$58,MATCH(BU24,TABLAS!$B$52:$B$58,0))/2)-IF(AND((DATOS!$C$82-AL24-2*DATOS!$C$94-INDEX(TABLAS!$C$52:$C$58,MATCH(BU24,TABLAS!$B$52:$B$58,0))/2)&lt;=20,DATOS!$C$62&lt;&gt;"SÍ"),2,0)))</f>
        <v/>
      </c>
      <c r="BX24" s="56" t="str">
        <f>IF(U24&lt;&gt;"SÍ","",IF(BV24=0,0,DATOS!$C$29*BV24*INDEX(TABLAS!$D$52:$D$58,MATCH(BU24,TABLAS!$B$52:$B$58,0))*DATOS!$C$14*(BW24-BV24*INDEX(TABLAS!$D$52:$D$58,MATCH(BU24,TABLAS!$B$52:$B$58,0))*DATOS!$C$14/(DATOS!$C$21*AE24)/2)/1E5))</f>
        <v/>
      </c>
      <c r="BY24" s="65" t="str">
        <f>IF(U24&lt;&gt;"SÍ","",IF(BT24&lt;0,9.99,IF(BX24&gt;0,BG24/BX24,0)))</f>
        <v/>
      </c>
      <c r="BZ24" s="66" t="str">
        <f>IF(U24&lt;&gt;"SÍ","",IF(BV24=0,"—",0.003*(BW24-(BV24*INDEX(TABLAS!$D$52:$D$58,MATCH(BU24,TABLAS!$B$52:$B$58,0))*DATOS!$C$14/(DATOS!$C$21*AE24)/DATOS!$C$22))/(BV24*INDEX(TABLAS!$D$52:$D$58,MATCH(BU24,TABLAS!$B$52:$B$58,0))*DATOS!$C$14/(DATOS!$C$21*AE24)/DATOS!$C$22)))</f>
        <v/>
      </c>
      <c r="CA24" s="58" t="str">
        <f>IF(U24&lt;&gt;"SÍ","",(DATOS!$C$82-AJ24-INDEX(TABLAS!$C$52:$C$58,MATCH(DATOS!$C$68,TABLAS!$B$52:$B$58,0))-INDEX(TABLAS!$C$52:$C$58,MATCH(DATOS!$C$68,TABLAS!$B$52:$B$58,0))/2))</f>
        <v/>
      </c>
      <c r="CB24" s="58" t="str">
        <f>IF(U24&lt;&gt;"SÍ","",IF(IF(BH24&lt;=0,0,IF((1-2*BH24*1E5/(DATOS!$C$29*AH24*CA24^2*DATOS!$C$21))&lt;0,-1,IF((1-SQRT((1-2*BH24*1E5/(DATOS!$C$29*AH24*CA24^2*DATOS!$C$21))))*DATOS!$C$21*AH24*CA24/DATOS!$C$14&gt;DATOS!$C$99*AH24*CA24,-1,(1-SQRT((1-2*BH24*1E5/(DATOS!$C$29*AH24*CA24^2*DATOS!$C$21))))*DATOS!$C$21*AH24*CA24/DATOS!$C$14)))&lt;0,-1,MAX(IF(BH24&lt;=0,0,IF((1-2*BH24*1E5/(DATOS!$C$29*AH24*CA24^2*DATOS!$C$21))&lt;0,-1,IF((1-SQRT((1-2*BH24*1E5/(DATOS!$C$29*AH24*CA24^2*DATOS!$C$21))))*DATOS!$C$21*AH24*CA24/DATOS!$C$14&gt;DATOS!$C$99*AH24*CA24,-1,(1-SQRT((1-2*BH24*1E5/(DATOS!$C$29*AH24*CA24^2*DATOS!$C$21))))*DATOS!$C$21*AH24*CA24/DATOS!$C$14))),MIN(DATOS!$C$100*DATOS!$C$80*CA24,4/3*IF(BH24&lt;=0,0,IF((1-2*BH24*1E5/(DATOS!$C$29*AH24*CA24^2*DATOS!$C$21))&lt;0,-1,IF((1-SQRT((1-2*BH24*1E5/(DATOS!$C$29*AH24*CA24^2*DATOS!$C$21))))*DATOS!$C$21*AH24*CA24/DATOS!$C$14&gt;DATOS!$C$99*AH24*CA24,-1,(1-SQRT((1-2*BH24*1E5/(DATOS!$C$29*AH24*CA24^2*DATOS!$C$21))))*DATOS!$C$21*AH24*CA24/DATOS!$C$14)))))))</f>
        <v/>
      </c>
      <c r="CC24" s="64" t="str">
        <f>IF(U24&lt;&gt;"SÍ","",IF(AND(CB24&gt;=0,IF(MAX(DATOS!$C$71,CEILING(CB24/INDEX(TABLAS!$D$52:$D$58,MIN(MATCH(DATOS!$C$68,TABLAS!$B$52:$B$58,0)+0,7)),1))*INDEX(TABLAS!$D$52:$D$58,MIN(MATCH(DATOS!$C$68,TABLAS!$B$52:$B$58,0)+0,7))&gt;=4/3*IF(BH24&lt;=0,0,IF((1-2*BH24*1E5/(DATOS!$C$29*AH24*CA24^2*DATOS!$C$21))&lt;0,-1,IF((1-SQRT((1-2*BH24*1E5/(DATOS!$C$29*AH24*CA24^2*DATOS!$C$21))))*DATOS!$C$21*AH24*CA24/DATOS!$C$14&gt;DATOS!$C$99*AH24*CA24,-1,(1-SQRT((1-2*BH24*1E5/(DATOS!$C$29*AH24*CA24^2*DATOS!$C$21))))*DATOS!$C$21*AH24*CA24/DATOS!$C$14)))-0.0001,MAX(DATOS!$C$71,CEILING(CB24/INDEX(TABLAS!$D$52:$D$58,MIN(MATCH(DATOS!$C$68,TABLAS!$B$52:$B$58,0)+0,7)),1)),MAX(MAX(DATOS!$C$71,CEILING(CB24/INDEX(TABLAS!$D$52:$D$58,MIN(MATCH(DATOS!$C$68,TABLAS!$B$52:$B$58,0)+0,7)),1)),2))&lt;=MIN(DATOS!$C$70,INT(((DATOS!$C$80-2*AJ24)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24&gt;=0,IF(MAX(DATOS!$C$71,CEILING(CB24/INDEX(TABLAS!$D$52:$D$58,MIN(MATCH(DATOS!$C$68,TABLAS!$B$52:$B$58,0)+1,7)),1))*INDEX(TABLAS!$D$52:$D$58,MIN(MATCH(DATOS!$C$68,TABLAS!$B$52:$B$58,0)+1,7))&gt;=4/3*IF(BH24&lt;=0,0,IF((1-2*BH24*1E5/(DATOS!$C$29*AH24*CA24^2*DATOS!$C$21))&lt;0,-1,IF((1-SQRT((1-2*BH24*1E5/(DATOS!$C$29*AH24*CA24^2*DATOS!$C$21))))*DATOS!$C$21*AH24*CA24/DATOS!$C$14&gt;DATOS!$C$99*AH24*CA24,-1,(1-SQRT((1-2*BH24*1E5/(DATOS!$C$29*AH24*CA24^2*DATOS!$C$21))))*DATOS!$C$21*AH24*CA24/DATOS!$C$14)))-0.0001,MAX(DATOS!$C$71,CEILING(CB24/INDEX(TABLAS!$D$52:$D$58,MIN(MATCH(DATOS!$C$68,TABLAS!$B$52:$B$58,0)+1,7)),1)),MAX(MAX(DATOS!$C$71,CEILING(CB24/INDEX(TABLAS!$D$52:$D$58,MIN(MATCH(DATOS!$C$68,TABLAS!$B$52:$B$58,0)+1,7)),1)),2))&lt;=MIN(DATOS!$C$70,INT(((DATOS!$C$80-2*AJ24)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24&gt;=0,IF(MAX(DATOS!$C$71,CEILING(CB24/INDEX(TABLAS!$D$52:$D$58,MIN(MATCH(DATOS!$C$68,TABLAS!$B$52:$B$58,0)+2,7)),1))*INDEX(TABLAS!$D$52:$D$58,MIN(MATCH(DATOS!$C$68,TABLAS!$B$52:$B$58,0)+2,7))&gt;=4/3*IF(BH24&lt;=0,0,IF((1-2*BH24*1E5/(DATOS!$C$29*AH24*CA24^2*DATOS!$C$21))&lt;0,-1,IF((1-SQRT((1-2*BH24*1E5/(DATOS!$C$29*AH24*CA24^2*DATOS!$C$21))))*DATOS!$C$21*AH24*CA24/DATOS!$C$14&gt;DATOS!$C$99*AH24*CA24,-1,(1-SQRT((1-2*BH24*1E5/(DATOS!$C$29*AH24*CA24^2*DATOS!$C$21))))*DATOS!$C$21*AH24*CA24/DATOS!$C$14)))-0.0001,MAX(DATOS!$C$71,CEILING(CB24/INDEX(TABLAS!$D$52:$D$58,MIN(MATCH(DATOS!$C$68,TABLAS!$B$52:$B$58,0)+2,7)),1)),MAX(MAX(DATOS!$C$71,CEILING(CB24/INDEX(TABLAS!$D$52:$D$58,MIN(MATCH(DATOS!$C$68,TABLAS!$B$52:$B$58,0)+2,7)),1)),2))&lt;=MIN(DATOS!$C$70,INT(((DATOS!$C$80-2*AJ24)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24&gt;=0,IF(MAX(DATOS!$C$71,CEILING(CB24/INDEX(TABLAS!$D$52:$D$58,MIN(MATCH(DATOS!$C$68,TABLAS!$B$52:$B$58,0)+3,7)),1))*INDEX(TABLAS!$D$52:$D$58,MIN(MATCH(DATOS!$C$68,TABLAS!$B$52:$B$58,0)+3,7))&gt;=4/3*IF(BH24&lt;=0,0,IF((1-2*BH24*1E5/(DATOS!$C$29*AH24*CA24^2*DATOS!$C$21))&lt;0,-1,IF((1-SQRT((1-2*BH24*1E5/(DATOS!$C$29*AH24*CA24^2*DATOS!$C$21))))*DATOS!$C$21*AH24*CA24/DATOS!$C$14&gt;DATOS!$C$99*AH24*CA24,-1,(1-SQRT((1-2*BH24*1E5/(DATOS!$C$29*AH24*CA24^2*DATOS!$C$21))))*DATOS!$C$21*AH24*CA24/DATOS!$C$14)))-0.0001,MAX(DATOS!$C$71,CEILING(CB24/INDEX(TABLAS!$D$52:$D$58,MIN(MATCH(DATOS!$C$68,TABLAS!$B$52:$B$58,0)+3,7)),1)),MAX(MAX(DATOS!$C$71,CEILING(CB24/INDEX(TABLAS!$D$52:$D$58,MIN(MATCH(DATOS!$C$68,TABLAS!$B$52:$B$58,0)+3,7)),1)),2))&lt;=MIN(DATOS!$C$70,INT(((DATOS!$C$80-2*AJ24)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24&gt;=0,IF(MAX(DATOS!$C$71,CEILING(CB24/INDEX(TABLAS!$D$52:$D$58,MIN(MATCH(DATOS!$C$68,TABLAS!$B$52:$B$58,0)+4,7)),1))*INDEX(TABLAS!$D$52:$D$58,MIN(MATCH(DATOS!$C$68,TABLAS!$B$52:$B$58,0)+4,7))&gt;=4/3*IF(BH24&lt;=0,0,IF((1-2*BH24*1E5/(DATOS!$C$29*AH24*CA24^2*DATOS!$C$21))&lt;0,-1,IF((1-SQRT((1-2*BH24*1E5/(DATOS!$C$29*AH24*CA24^2*DATOS!$C$21))))*DATOS!$C$21*AH24*CA24/DATOS!$C$14&gt;DATOS!$C$99*AH24*CA24,-1,(1-SQRT((1-2*BH24*1E5/(DATOS!$C$29*AH24*CA24^2*DATOS!$C$21))))*DATOS!$C$21*AH24*CA24/DATOS!$C$14)))-0.0001,MAX(DATOS!$C$71,CEILING(CB24/INDEX(TABLAS!$D$52:$D$58,MIN(MATCH(DATOS!$C$68,TABLAS!$B$52:$B$58,0)+4,7)),1)),MAX(MAX(DATOS!$C$71,CEILING(CB24/INDEX(TABLAS!$D$52:$D$58,MIN(MATCH(DATOS!$C$68,TABLAS!$B$52:$B$58,0)+4,7)),1)),2))&lt;=MIN(DATOS!$C$70,INT(((DATOS!$C$80-2*AJ24)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24" s="59" t="str">
        <f>IF(U24&lt;&gt;"SÍ","",IF(CB24&lt;0,0,IF(MAX(DATOS!$C$71,CEILING(MAX(CB24,0)/INDEX(TABLAS!$D$52:$D$58,MATCH(CC24,TABLAS!$B$52:$B$58,0)),1))*INDEX(TABLAS!$D$52:$D$58,MATCH(CC24,TABLAS!$B$52:$B$58,0))&gt;=4/3*IF(BH24&lt;=0,0,IF((1-2*BH24*1E5/(DATOS!$C$29*AH24*CA24^2*DATOS!$C$21))&lt;0,-1,IF((1-SQRT((1-2*BH24*1E5/(DATOS!$C$29*AH24*CA24^2*DATOS!$C$21))))*DATOS!$C$21*AH24*CA24/DATOS!$C$14&gt;DATOS!$C$99*AH24*CA24,-1,(1-SQRT((1-2*BH24*1E5/(DATOS!$C$29*AH24*CA24^2*DATOS!$C$21))))*DATOS!$C$21*AH24*CA24/DATOS!$C$14)))-0.0001,MAX(DATOS!$C$71,CEILING(MAX(CB24,0)/INDEX(TABLAS!$D$52:$D$58,MATCH(CC24,TABLAS!$B$52:$B$58,0)),1)),MAX(MAX(DATOS!$C$71,CEILING(MAX(CB24,0)/INDEX(TABLAS!$D$52:$D$58,MATCH(CC24,TABLAS!$B$52:$B$58,0)),1)),2))))</f>
        <v/>
      </c>
      <c r="CE24" s="58" t="str">
        <f>IF(U24&lt;&gt;"SÍ","",DATOS!$C$82-AJ24-INDEX(TABLAS!$C$52:$C$58,MATCH(BM24,TABLAS!$B$52:$B$58,0))-INDEX(TABLAS!$C$52:$C$58,MATCH(CC24,TABLAS!$B$52:$B$58,0))/2)</f>
        <v/>
      </c>
      <c r="CF24" s="56" t="str">
        <f>IF(U24&lt;&gt;"SÍ","",IF(CD24=0,0,DATOS!$C$29*CD24*INDEX(TABLAS!$D$52:$D$58,MATCH(CC24,TABLAS!$B$52:$B$58,0))*DATOS!$C$14*(CE24-CD24*INDEX(TABLAS!$D$52:$D$58,MATCH(CC24,TABLAS!$B$52:$B$58,0))*DATOS!$C$14/(DATOS!$C$21*AH24)/2)/1E5))</f>
        <v/>
      </c>
      <c r="CG24" s="65" t="str">
        <f>IF(U24&lt;&gt;"SÍ","",IF(CB24&lt;0,9.99,IF(CF24&gt;0,BH24/CF24,0)))</f>
        <v/>
      </c>
      <c r="CH24" s="66" t="str">
        <f>IF(U24&lt;&gt;"SÍ","",IF(CD24=0,"—",0.003*(CE24-(CD24*INDEX(TABLAS!$D$52:$D$58,MATCH(CC24,TABLAS!$B$52:$B$58,0))*DATOS!$C$14/(DATOS!$C$21*AH24)/DATOS!$C$22))/(CD24*INDEX(TABLAS!$D$52:$D$58,MATCH(CC24,TABLAS!$B$52:$B$58,0))*DATOS!$C$14/(DATOS!$C$21*AH24)/DATOS!$C$22)))</f>
        <v/>
      </c>
      <c r="CI24" s="58" t="str">
        <f>IF(U24&lt;&gt;"SÍ","",((DATOS!$C$82-AL24-2*DATOS!$C$94-INDEX(TABLAS!$C$52:$C$58,MATCH(DATOS!$C$69,TABLAS!$B$52:$B$58,0))-INDEX(TABLAS!$C$52:$C$58,MATCH(DATOS!$C$69,TABLAS!$B$52:$B$58,0))/2)-IF(AND((DATOS!$C$82-AL24-2*DATOS!$C$94-INDEX(TABLAS!$C$52:$C$58,MATCH(DATOS!$C$69,TABLAS!$B$52:$B$58,0))-INDEX(TABLAS!$C$52:$C$58,MATCH(DATOS!$C$69,TABLAS!$B$52:$B$58,0))/2)&lt;=20,DATOS!$C$62&lt;&gt;"SÍ"),2,0)))</f>
        <v/>
      </c>
      <c r="CJ24" s="58" t="str">
        <f>IF(U24&lt;&gt;"SÍ","",IF(IF(BI24&lt;=0,0,IF((1-2*BI24*1E5/(DATOS!$C$29*AF24*CI24^2*DATOS!$C$21))&lt;0,-1,IF((1-SQRT((1-2*BI24*1E5/(DATOS!$C$29*AF24*CI24^2*DATOS!$C$21))))*DATOS!$C$21*AF24*CI24/DATOS!$C$14&gt;DATOS!$C$99*AF24*CI24,-1,(1-SQRT((1-2*BI24*1E5/(DATOS!$C$29*AF24*CI24^2*DATOS!$C$21))))*DATOS!$C$21*AF24*CI24/DATOS!$C$14)))&lt;0,-1,MAX(IF(BI24&lt;=0,0,IF((1-2*BI24*1E5/(DATOS!$C$29*AF24*CI24^2*DATOS!$C$21))&lt;0,-1,IF((1-SQRT((1-2*BI24*1E5/(DATOS!$C$29*AF24*CI24^2*DATOS!$C$21))))*DATOS!$C$21*AF24*CI24/DATOS!$C$14&gt;DATOS!$C$99*AF24*CI24,-1,(1-SQRT((1-2*BI24*1E5/(DATOS!$C$29*AF24*CI24^2*DATOS!$C$21))))*DATOS!$C$21*AF24*CI24/DATOS!$C$14))),MIN(DATOS!$C$100*DATOS!$C$80*CI24,4/3*IF(BI24&lt;=0,0,IF((1-2*BI24*1E5/(DATOS!$C$29*AF24*CI24^2*DATOS!$C$21))&lt;0,-1,IF((1-SQRT((1-2*BI24*1E5/(DATOS!$C$29*AF24*CI24^2*DATOS!$C$21))))*DATOS!$C$21*AF24*CI24/DATOS!$C$14&gt;DATOS!$C$99*AF24*CI24,-1,(1-SQRT((1-2*BI24*1E5/(DATOS!$C$29*AF24*CI24^2*DATOS!$C$21))))*DATOS!$C$21*AF24*CI24/DATOS!$C$14)))))))</f>
        <v/>
      </c>
      <c r="CK24" s="64" t="str">
        <f>IF(U24&lt;&gt;"SÍ","",IF(AND(CJ24&gt;=0,IF(MAX(DATOS!$C$71,CEILING(CJ24/INDEX(TABLAS!$D$52:$D$58,MIN(MATCH(DATOS!$C$69,TABLAS!$B$52:$B$58,0)+0,7)),1))*INDEX(TABLAS!$D$52:$D$58,MIN(MATCH(DATOS!$C$69,TABLAS!$B$52:$B$58,0)+0,7))&gt;=4/3*IF(BI24&lt;=0,0,IF((1-2*BI24*1E5/(DATOS!$C$29*AF24*CI24^2*DATOS!$C$21))&lt;0,-1,IF((1-SQRT((1-2*BI24*1E5/(DATOS!$C$29*AF24*CI24^2*DATOS!$C$21))))*DATOS!$C$21*AF24*CI24/DATOS!$C$14&gt;DATOS!$C$99*AF24*CI24,-1,(1-SQRT((1-2*BI24*1E5/(DATOS!$C$29*AF24*CI24^2*DATOS!$C$21))))*DATOS!$C$21*AF24*CI24/DATOS!$C$14)))-0.0001,MAX(DATOS!$C$71,CEILING(CJ24/INDEX(TABLAS!$D$52:$D$58,MIN(MATCH(DATOS!$C$69,TABLAS!$B$52:$B$58,0)+0,7)),1)),MAX(MAX(DATOS!$C$71,CEILING(CJ24/INDEX(TABLAS!$D$52:$D$58,MIN(MATCH(DATOS!$C$69,TABLAS!$B$52:$B$58,0)+0,7)),1)),2))&lt;=MIN(DATOS!$C$70,INT(((DATOS!$C$80-2*AK24)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24&gt;=0,IF(MAX(DATOS!$C$71,CEILING(CJ24/INDEX(TABLAS!$D$52:$D$58,MIN(MATCH(DATOS!$C$69,TABLAS!$B$52:$B$58,0)+1,7)),1))*INDEX(TABLAS!$D$52:$D$58,MIN(MATCH(DATOS!$C$69,TABLAS!$B$52:$B$58,0)+1,7))&gt;=4/3*IF(BI24&lt;=0,0,IF((1-2*BI24*1E5/(DATOS!$C$29*AF24*CI24^2*DATOS!$C$21))&lt;0,-1,IF((1-SQRT((1-2*BI24*1E5/(DATOS!$C$29*AF24*CI24^2*DATOS!$C$21))))*DATOS!$C$21*AF24*CI24/DATOS!$C$14&gt;DATOS!$C$99*AF24*CI24,-1,(1-SQRT((1-2*BI24*1E5/(DATOS!$C$29*AF24*CI24^2*DATOS!$C$21))))*DATOS!$C$21*AF24*CI24/DATOS!$C$14)))-0.0001,MAX(DATOS!$C$71,CEILING(CJ24/INDEX(TABLAS!$D$52:$D$58,MIN(MATCH(DATOS!$C$69,TABLAS!$B$52:$B$58,0)+1,7)),1)),MAX(MAX(DATOS!$C$71,CEILING(CJ24/INDEX(TABLAS!$D$52:$D$58,MIN(MATCH(DATOS!$C$69,TABLAS!$B$52:$B$58,0)+1,7)),1)),2))&lt;=MIN(DATOS!$C$70,INT(((DATOS!$C$80-2*AK24)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24&gt;=0,IF(MAX(DATOS!$C$71,CEILING(CJ24/INDEX(TABLAS!$D$52:$D$58,MIN(MATCH(DATOS!$C$69,TABLAS!$B$52:$B$58,0)+2,7)),1))*INDEX(TABLAS!$D$52:$D$58,MIN(MATCH(DATOS!$C$69,TABLAS!$B$52:$B$58,0)+2,7))&gt;=4/3*IF(BI24&lt;=0,0,IF((1-2*BI24*1E5/(DATOS!$C$29*AF24*CI24^2*DATOS!$C$21))&lt;0,-1,IF((1-SQRT((1-2*BI24*1E5/(DATOS!$C$29*AF24*CI24^2*DATOS!$C$21))))*DATOS!$C$21*AF24*CI24/DATOS!$C$14&gt;DATOS!$C$99*AF24*CI24,-1,(1-SQRT((1-2*BI24*1E5/(DATOS!$C$29*AF24*CI24^2*DATOS!$C$21))))*DATOS!$C$21*AF24*CI24/DATOS!$C$14)))-0.0001,MAX(DATOS!$C$71,CEILING(CJ24/INDEX(TABLAS!$D$52:$D$58,MIN(MATCH(DATOS!$C$69,TABLAS!$B$52:$B$58,0)+2,7)),1)),MAX(MAX(DATOS!$C$71,CEILING(CJ24/INDEX(TABLAS!$D$52:$D$58,MIN(MATCH(DATOS!$C$69,TABLAS!$B$52:$B$58,0)+2,7)),1)),2))&lt;=MIN(DATOS!$C$70,INT(((DATOS!$C$80-2*AK24)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24&gt;=0,IF(MAX(DATOS!$C$71,CEILING(CJ24/INDEX(TABLAS!$D$52:$D$58,MIN(MATCH(DATOS!$C$69,TABLAS!$B$52:$B$58,0)+3,7)),1))*INDEX(TABLAS!$D$52:$D$58,MIN(MATCH(DATOS!$C$69,TABLAS!$B$52:$B$58,0)+3,7))&gt;=4/3*IF(BI24&lt;=0,0,IF((1-2*BI24*1E5/(DATOS!$C$29*AF24*CI24^2*DATOS!$C$21))&lt;0,-1,IF((1-SQRT((1-2*BI24*1E5/(DATOS!$C$29*AF24*CI24^2*DATOS!$C$21))))*DATOS!$C$21*AF24*CI24/DATOS!$C$14&gt;DATOS!$C$99*AF24*CI24,-1,(1-SQRT((1-2*BI24*1E5/(DATOS!$C$29*AF24*CI24^2*DATOS!$C$21))))*DATOS!$C$21*AF24*CI24/DATOS!$C$14)))-0.0001,MAX(DATOS!$C$71,CEILING(CJ24/INDEX(TABLAS!$D$52:$D$58,MIN(MATCH(DATOS!$C$69,TABLAS!$B$52:$B$58,0)+3,7)),1)),MAX(MAX(DATOS!$C$71,CEILING(CJ24/INDEX(TABLAS!$D$52:$D$58,MIN(MATCH(DATOS!$C$69,TABLAS!$B$52:$B$58,0)+3,7)),1)),2))&lt;=MIN(DATOS!$C$70,INT(((DATOS!$C$80-2*AK24)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24&gt;=0,IF(MAX(DATOS!$C$71,CEILING(CJ24/INDEX(TABLAS!$D$52:$D$58,MIN(MATCH(DATOS!$C$69,TABLAS!$B$52:$B$58,0)+4,7)),1))*INDEX(TABLAS!$D$52:$D$58,MIN(MATCH(DATOS!$C$69,TABLAS!$B$52:$B$58,0)+4,7))&gt;=4/3*IF(BI24&lt;=0,0,IF((1-2*BI24*1E5/(DATOS!$C$29*AF24*CI24^2*DATOS!$C$21))&lt;0,-1,IF((1-SQRT((1-2*BI24*1E5/(DATOS!$C$29*AF24*CI24^2*DATOS!$C$21))))*DATOS!$C$21*AF24*CI24/DATOS!$C$14&gt;DATOS!$C$99*AF24*CI24,-1,(1-SQRT((1-2*BI24*1E5/(DATOS!$C$29*AF24*CI24^2*DATOS!$C$21))))*DATOS!$C$21*AF24*CI24/DATOS!$C$14)))-0.0001,MAX(DATOS!$C$71,CEILING(CJ24/INDEX(TABLAS!$D$52:$D$58,MIN(MATCH(DATOS!$C$69,TABLAS!$B$52:$B$58,0)+4,7)),1)),MAX(MAX(DATOS!$C$71,CEILING(CJ24/INDEX(TABLAS!$D$52:$D$58,MIN(MATCH(DATOS!$C$69,TABLAS!$B$52:$B$58,0)+4,7)),1)),2))&lt;=MIN(DATOS!$C$70,INT(((DATOS!$C$80-2*AK24)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24" s="59" t="str">
        <f>IF(U24&lt;&gt;"SÍ","",IF(CJ24&lt;0,0,IF(MAX(DATOS!$C$71,CEILING(MAX(CJ24,0)/INDEX(TABLAS!$D$52:$D$58,MATCH(CK24,TABLAS!$B$52:$B$58,0)),1))*INDEX(TABLAS!$D$52:$D$58,MATCH(CK24,TABLAS!$B$52:$B$58,0))&gt;=4/3*IF(BI24&lt;=0,0,IF((1-2*BI24*1E5/(DATOS!$C$29*AF24*CI24^2*DATOS!$C$21))&lt;0,-1,IF((1-SQRT((1-2*BI24*1E5/(DATOS!$C$29*AF24*CI24^2*DATOS!$C$21))))*DATOS!$C$21*AF24*CI24/DATOS!$C$14&gt;DATOS!$C$99*AF24*CI24,-1,(1-SQRT((1-2*BI24*1E5/(DATOS!$C$29*AF24*CI24^2*DATOS!$C$21))))*DATOS!$C$21*AF24*CI24/DATOS!$C$14)))-0.0001,MAX(DATOS!$C$71,CEILING(MAX(CJ24,0)/INDEX(TABLAS!$D$52:$D$58,MATCH(CK24,TABLAS!$B$52:$B$58,0)),1)),MAX(MAX(DATOS!$C$71,CEILING(MAX(CJ24,0)/INDEX(TABLAS!$D$52:$D$58,MATCH(CK24,TABLAS!$B$52:$B$58,0)),1)),2))))</f>
        <v/>
      </c>
      <c r="CM24" s="58" t="str">
        <f>IF(U24&lt;&gt;"SÍ","",((DATOS!$C$82-AL24-2*DATOS!$C$94-INDEX(TABLAS!$C$52:$C$58,MATCH(BU24,TABLAS!$B$52:$B$58,0))-INDEX(TABLAS!$C$52:$C$58,MATCH(CK24,TABLAS!$B$52:$B$58,0))/2)-IF(AND((DATOS!$C$82-AL24-2*DATOS!$C$94-INDEX(TABLAS!$C$52:$C$58,MATCH(BU24,TABLAS!$B$52:$B$58,0))-INDEX(TABLAS!$C$52:$C$58,MATCH(CK24,TABLAS!$B$52:$B$58,0))/2)&lt;=20,DATOS!$C$62&lt;&gt;"SÍ"),2,0)))</f>
        <v/>
      </c>
      <c r="CN24" s="56" t="str">
        <f>IF(U24&lt;&gt;"SÍ","",IF(CL24=0,0,DATOS!$C$29*CL24*INDEX(TABLAS!$D$52:$D$58,MATCH(CK24,TABLAS!$B$52:$B$58,0))*DATOS!$C$14*(CM24-CL24*INDEX(TABLAS!$D$52:$D$58,MATCH(CK24,TABLAS!$B$52:$B$58,0))*DATOS!$C$14/(DATOS!$C$21*AF24)/2)/1E5))</f>
        <v/>
      </c>
      <c r="CO24" s="65" t="str">
        <f>IF(U24&lt;&gt;"SÍ","",IF(CJ24&lt;0,9.99,IF(CN24&gt;0,BI24/CN24,0)))</f>
        <v/>
      </c>
      <c r="CP24" s="66" t="str">
        <f>IF(U24&lt;&gt;"SÍ","",IF(CL24=0,"—",0.003*(CM24-(CL24*INDEX(TABLAS!$D$52:$D$58,MATCH(CK24,TABLAS!$B$52:$B$58,0))*DATOS!$C$14/(DATOS!$C$21*AF24)/DATOS!$C$22))/(CL24*INDEX(TABLAS!$D$52:$D$58,MATCH(CK24,TABLAS!$B$52:$B$58,0))*DATOS!$C$14/(DATOS!$C$21*AF24)/DATOS!$C$22)))</f>
        <v/>
      </c>
      <c r="CQ24" s="56" t="str">
        <f>IF(U24&lt;&gt;"SÍ","",IF(C24="PERIMETRAL",MAX(0,(AA24/2-BW24)/100)*(0.95-0.5*Z24)*AQ24*IF(AND(AR24&gt;0,AR24&lt;4),DATOS!$C$33,1)*DATOS!$C$83/100/1000,(AQ24*MAX(0,AA24-BW24)/100+DATOS!$C$26*N(O24))*DATOS!$C$83/100/1000+BE24))</f>
        <v/>
      </c>
      <c r="CR24" s="56" t="str">
        <f>IF(U24&lt;&gt;"SÍ","",DATOS!$C$30*2*MIN(1,SQRT(2/(1+0.04*BW24)))*(BV24*INDEX(TABLAS!$D$52:$D$58,MATCH(BU24,TABLAS!$B$52:$B$58,0))/(AE24*BW24))^(1/3)*SQRT(DATOS!$C$13)*AE24*BW24*IF(AI24="SÍ",DATOS!$C$32,1)/1000)</f>
        <v/>
      </c>
      <c r="CS24" s="59" t="str">
        <f>IF(U24&lt;&gt;"SÍ","",IF(CQ24&lt;=CR24,0,CEILING(MAX(0,IF(C24="VOLADO",(AA24-((CR24-BE24)*1E5/DATOS!$C$83-DATOS!$C$26*N(O24))*100/AQ24),IF(CR24&lt;=0,AA24,AA24/2-CR24/MAX(CQ24,1E-9)*(AA24/2-BW24)))-IF(INT((X24*100-DATOS!$C$84+DATOS!$C$80)/DATOS!$C$83)&gt;0,(X24*100-DATOS!$C$84-(INT((X24*100-DATOS!$C$84+DATOS!$C$80)/DATOS!$C$83)*DATOS!$C$78+(INT((X24*100-DATOS!$C$84+DATOS!$C$80)/DATOS!$C$83)-1)*DATOS!$C$80))/2,X24*100/2))/DATOS!$C$83,1)))</f>
        <v/>
      </c>
      <c r="CT24" s="67" t="str">
        <f>IF(U24&lt;&gt;"SÍ","",IF(CQ24&lt;=CR24,"CUMPLE",IF(CS24&lt;=0,"CUMPLE (basta el macizo de orilla)",IF(CS24*DATOS!$C$83*IF(C24="VOLADO",1,2)&gt;=X24*100-DATOS!$C$84,"NO CUMPLE: no alcanza ni macizando todo","MACIZAR "&amp;CS24&amp;" hilera(s)"))))</f>
        <v/>
      </c>
      <c r="CU24" s="58" t="str">
        <f>IF(U24&lt;&gt;"SÍ","",(DATOS!$C$83*DATOS!$C$81^2/2+AC24*DATOS!$C$79*(DATOS!$C$81+DATOS!$C$79/2))/(DATOS!$C$83*DATOS!$C$81+AC24*DATOS!$C$79))</f>
        <v/>
      </c>
      <c r="CV24" s="68" t="str">
        <f>IF(U24&lt;&gt;"SÍ","",DATOS!$C$83*DATOS!$C$81^3/12+DATOS!$C$83*DATOS!$C$81*(CU24-DATOS!$C$81/2)^2+AC24*DATOS!$C$79^3/12+AC24*DATOS!$C$79*(DATOS!$C$81+DATOS!$C$79/2-CU24)^2)</f>
        <v/>
      </c>
      <c r="CW24" s="58" t="str">
        <f>IF(U24&lt;&gt;"SÍ","",(12*CV24/DATOS!$C$83)^(1/3))</f>
        <v/>
      </c>
      <c r="CX24" s="58" t="str">
        <f>IF(U24&lt;&gt;"SÍ","",IF(C24="PERIMETRAL",IF(ISNUMBER(R24),R24,DATOS!$C$101),0))</f>
        <v/>
      </c>
      <c r="CY24" s="57" t="str">
        <f>IF(U24&lt;&gt;"SÍ","",IF(C24="PERIMETRAL",IF(CX24&gt;2,MAX(9,AB24*(0.8+DATOS!$C$14/14000)/(36+9*(AB24/MAX(AA24,1)))),IF(CX24&gt;0.2,MAX(13,AB24*(0.8+DATOS!$C$14/14000)/(36+5*(AB24/MAX(AA24,1))*(CX24-0.2))),MAX(13,AB24/IF(AR24&gt;0,30,33))))*IF(AND(CX24&gt;0.2,AR24&gt;0,DATOS!$C$102="NO"),1.1,1),X24*100/8))</f>
        <v/>
      </c>
      <c r="CZ24" s="61" t="str">
        <f>IF(U24&lt;&gt;"SÍ","",IF(IF(C24="VOLADO",DATOS!$C$82,CW24)&gt;=CY24,"CUMPLE",IF(C24="VOLADO","NO CUMPLE","CALCULAR FLECHA")))</f>
        <v/>
      </c>
      <c r="DA24" s="55" t="str">
        <f>IF(U24&lt;&gt;"SÍ","",IF(DATOS!$C$81&gt;=IF(IF(C24="VOLADO",X24,Y24)&gt;=6,6,5),"CUMPLE","CAPA ≥ 6 cm"))</f>
        <v/>
      </c>
      <c r="DB24" s="60" t="str">
        <f>IF(U24&lt;&gt;"SÍ","",IF(C24="VOLADO",MIN(CEILING(IF(ISNUMBER(P24),P24,X24)*100,5),CEILING(MAX(IF((0.5*(0.9*DATOS!$C$87*DATOS!$C$83/100/1000)*IF(ISNUMBER(P24),P24,X24)+BG24/IF(ISNUMBER(P24),P24,X24))^2-4*(0.5*(0.9*DATOS!$C$87*DATOS!$C$83/100/1000))*BG24&lt;0,IF(ISNUMBER(P24),P24,X24),MIN(IF(ISNUMBER(P24),P24,X24),((0.5*(0.9*DATOS!$C$87*DATOS!$C$83/100/1000)*IF(ISNUMBER(P24),P24,X24)+BG24/IF(ISNUMBER(P24),P24,X24))-SQRT((0.5*(0.9*DATOS!$C$87*DATOS!$C$83/100/1000)*IF(ISNUMBER(P24),P24,X24)+BG24/IF(ISNUMBER(P24),P24,X24))^2-4*(0.5*(0.9*DATOS!$C$87*DATOS!$C$83/100/1000))*BG24))/(2*(0.5*(0.9*DATOS!$C$87*DATOS!$C$83/100/1000)))))*100+MAX(BW24,12*INDEX(TABLAS!$C$52:$C$58,MATCH(BU24,TABLAS!$B$52:$B$58,0)),IF(ISNUMBER(P24),P24,X24)*100/16),IF(OR(AK24&lt;INDEX(TABLAS!$C$52:$C$58,MATCH(BU24,TABLAS!$B$52:$B$58,0)),AND(BV24&gt;=2,(AC24-2*AK24-BV24*INDEX(TABLAS!$C$52:$C$58,MATCH(BU24,TABLAS!$B$52:$B$58,0)))/MAX(BV24-1,1)&lt;2*INDEX(TABLAS!$C$52:$C$58,MATCH(BU24,TABLAS!$B$52:$B$58,0)))),INDEX(TABLAS!$I$52:$I$58,MATCH(BU24,TABLAS!$B$52:$B$58,0)),INDEX(TABLAS!$F$52:$F$58,MATCH(BU24,TABLAS!$B$52:$B$58,0)))),5)),IF(((4*((BB24*AQ24*X24^2*1E-4*DATOS!$C$83/100/1000)+((MAX(AX24,AZ24)*AQ24*X24^2*1E-4*DATOS!$C$83/100/1000)+(IF(AND(AX24&gt;0,AZ24&gt;0),MIN(AX24,AZ24),MAX(AX24,AZ24))*AQ24*X24^2*1E-4*DATOS!$C$83/100/1000))/2)+BG24-(IF(AND(AX24&gt;0,AZ24&gt;0),MIN(AX24,AZ24),MAX(AX24,AZ24))*AQ24*X24^2*1E-4*DATOS!$C$83/100/1000))^2-16*((BB24*AQ24*X24^2*1E-4*DATOS!$C$83/100/1000)+((MAX(AX24,AZ24)*AQ24*X24^2*1E-4*DATOS!$C$83/100/1000)+(IF(AND(AX24&gt;0,AZ24&gt;0),MIN(AX24,AZ24),MAX(AX24,AZ24))*AQ24*X24^2*1E-4*DATOS!$C$83/100/1000))/2)*BG24)&lt;0,CEILING(AA24,5),CEILING(MAX(AA24*((4*((BB24*AQ24*X24^2*1E-4*DATOS!$C$83/100/1000)+((MAX(AX24,AZ24)*AQ24*X24^2*1E-4*DATOS!$C$83/100/1000)+(IF(AND(AX24&gt;0,AZ24&gt;0),MIN(AX24,AZ24),MAX(AX24,AZ24))*AQ24*X24^2*1E-4*DATOS!$C$83/100/1000))/2)+BG24-(IF(AND(AX24&gt;0,AZ24&gt;0),MIN(AX24,AZ24),MAX(AX24,AZ24))*AQ24*X24^2*1E-4*DATOS!$C$83/100/1000))-SQRT(MAX(0,((4*((BB24*AQ24*X24^2*1E-4*DATOS!$C$83/100/1000)+((MAX(AX24,AZ24)*AQ24*X24^2*1E-4*DATOS!$C$83/100/1000)+(IF(AND(AX24&gt;0,AZ24&gt;0),MIN(AX24,AZ24),MAX(AX24,AZ24))*AQ24*X24^2*1E-4*DATOS!$C$83/100/1000))/2)+BG24-(IF(AND(AX24&gt;0,AZ24&gt;0),MIN(AX24,AZ24),MAX(AX24,AZ24))*AQ24*X24^2*1E-4*DATOS!$C$83/100/1000))^2-16*((BB24*AQ24*X24^2*1E-4*DATOS!$C$83/100/1000)+((MAX(AX24,AZ24)*AQ24*X24^2*1E-4*DATOS!$C$83/100/1000)+(IF(AND(AX24&gt;0,AZ24&gt;0),MIN(AX24,AZ24),MAX(AX24,AZ24))*AQ24*X24^2*1E-4*DATOS!$C$83/100/1000))/2)*BG24))))/(8*MAX(((BB24*AQ24*X24^2*1E-4*DATOS!$C$83/100/1000)+((MAX(AX24,AZ24)*AQ24*X24^2*1E-4*DATOS!$C$83/100/1000)+(IF(AND(AX24&gt;0,AZ24&gt;0),MIN(AX24,AZ24),MAX(AX24,AZ24))*AQ24*X24^2*1E-4*DATOS!$C$83/100/1000))/2),1E-9))+MAX(BW24,12*INDEX(TABLAS!$C$52:$C$58,MATCH(BU24,TABLAS!$B$52:$B$58,0)),AA24/16),IF(OR(AK24&lt;INDEX(TABLAS!$C$52:$C$58,MATCH(BU24,TABLAS!$B$52:$B$58,0)),AND(BV24&gt;=2,(AC24-2*AK24-BV24*INDEX(TABLAS!$C$52:$C$58,MATCH(BU24,TABLAS!$B$52:$B$58,0)))/MAX(BV24-1,1)&lt;2*INDEX(TABLAS!$C$52:$C$58,MATCH(BU24,TABLAS!$B$52:$B$58,0)))),INDEX(TABLAS!$I$52:$I$58,MATCH(BU24,TABLAS!$B$52:$B$58,0)),INDEX(TABLAS!$F$52:$F$58,MATCH(BU24,TABLAS!$B$52:$B$58,0)))),5))))</f>
        <v/>
      </c>
      <c r="DC24" s="60" t="str">
        <f>IF(U24&lt;&gt;"SÍ","",IF(C24="VOLADO",0,IF(((4*((BC24*AQ24*X24^2*1E-4*DATOS!$C$83/100/1000)+((MAX(AY24,BA24)*AQ24*X24^2*1E-4*DATOS!$C$83/100/1000)+(IF(AND(AY24&gt;0,BA24&gt;0),MIN(AY24,BA24),MAX(AY24,BA24))*AQ24*X24^2*1E-4*DATOS!$C$83/100/1000))/2)+BI24-(IF(AND(AY24&gt;0,BA24&gt;0),MIN(AY24,BA24),MAX(AY24,BA24))*AQ24*X24^2*1E-4*DATOS!$C$83/100/1000))^2-16*((BC24*AQ24*X24^2*1E-4*DATOS!$C$83/100/1000)+((MAX(AY24,BA24)*AQ24*X24^2*1E-4*DATOS!$C$83/100/1000)+(IF(AND(AY24&gt;0,BA24&gt;0),MIN(AY24,BA24),MAX(AY24,BA24))*AQ24*X24^2*1E-4*DATOS!$C$83/100/1000))/2)*BI24)&lt;0,CEILING(AB24,5),CEILING(MAX(AB24*((4*((BC24*AQ24*X24^2*1E-4*DATOS!$C$83/100/1000)+((MAX(AY24,BA24)*AQ24*X24^2*1E-4*DATOS!$C$83/100/1000)+(IF(AND(AY24&gt;0,BA24&gt;0),MIN(AY24,BA24),MAX(AY24,BA24))*AQ24*X24^2*1E-4*DATOS!$C$83/100/1000))/2)+BI24-(IF(AND(AY24&gt;0,BA24&gt;0),MIN(AY24,BA24),MAX(AY24,BA24))*AQ24*X24^2*1E-4*DATOS!$C$83/100/1000))-SQRT(MAX(0,((4*((BC24*AQ24*X24^2*1E-4*DATOS!$C$83/100/1000)+((MAX(AY24,BA24)*AQ24*X24^2*1E-4*DATOS!$C$83/100/1000)+(IF(AND(AY24&gt;0,BA24&gt;0),MIN(AY24,BA24),MAX(AY24,BA24))*AQ24*X24^2*1E-4*DATOS!$C$83/100/1000))/2)+BI24-(IF(AND(AY24&gt;0,BA24&gt;0),MIN(AY24,BA24),MAX(AY24,BA24))*AQ24*X24^2*1E-4*DATOS!$C$83/100/1000))^2-16*((BC24*AQ24*X24^2*1E-4*DATOS!$C$83/100/1000)+((MAX(AY24,BA24)*AQ24*X24^2*1E-4*DATOS!$C$83/100/1000)+(IF(AND(AY24&gt;0,BA24&gt;0),MIN(AY24,BA24),MAX(AY24,BA24))*AQ24*X24^2*1E-4*DATOS!$C$83/100/1000))/2)*BI24))))/(8*MAX(((BC24*AQ24*X24^2*1E-4*DATOS!$C$83/100/1000)+((MAX(AY24,BA24)*AQ24*X24^2*1E-4*DATOS!$C$83/100/1000)+(IF(AND(AY24&gt;0,BA24&gt;0),MIN(AY24,BA24),MAX(AY24,BA24))*AQ24*X24^2*1E-4*DATOS!$C$83/100/1000))/2),1E-9))+MAX(CM24,12*INDEX(TABLAS!$C$52:$C$58,MATCH(CK24,TABLAS!$B$52:$B$58,0)),AB24/16),IF(OR(AK24&lt;INDEX(TABLAS!$C$52:$C$58,MATCH(CK24,TABLAS!$B$52:$B$58,0)),AND(CL24&gt;=2,(DATOS!$C$80-2*AK24-CL24*INDEX(TABLAS!$C$52:$C$58,MATCH(CK24,TABLAS!$B$52:$B$58,0)))/MAX(CL24-1,1)&lt;2*INDEX(TABLAS!$C$52:$C$58,MATCH(CK24,TABLAS!$B$52:$B$58,0)))),INDEX(TABLAS!$I$52:$I$58,MATCH(CK24,TABLAS!$B$52:$B$58,0)),INDEX(TABLAS!$F$52:$F$58,MATCH(CK24,TABLAS!$B$52:$B$58,0)))),5))))</f>
        <v/>
      </c>
      <c r="DD24" s="55" t="str">
        <f>IF(U24&lt;&gt;"SÍ","",IF(AND(C24="PERIMETRAL",BV24&gt;=2,AR24-AS24&gt;0,AZ24*AQ24*X24^2*1E-4*DATOS!$C$83/100/1000&gt;DATOS!$C$29*INDEX(TABLAS!$D$52:$D$58,MATCH(BU24,TABLAS!$B$52:$B$58,0))*DATOS!$C$14*(BW24-INDEX(TABLAS!$D$52:$D$58,MATCH(BU24,TABLAS!$B$52:$B$58,0))*DATOS!$C$14/(DATOS!$C$21*AE24)/2)/1E5),"SÍ","NO"))</f>
        <v/>
      </c>
      <c r="DE24" s="55" t="str">
        <f>IF(U24&lt;&gt;"SÍ","",IF(AND(C24="PERIMETRAL",CL24&gt;=2,AS24&gt;0,BA24*AQ24*X24^2*1E-4*DATOS!$C$83/100/1000&gt;DATOS!$C$29*INDEX(TABLAS!$D$52:$D$58,MATCH(CK24,TABLAS!$B$52:$B$58,0))*DATOS!$C$14*(CM24-INDEX(TABLAS!$D$52:$D$58,MATCH(CK24,TABLAS!$B$52:$B$58,0))*DATOS!$C$14/(DATOS!$C$21*AF24)/2)/1E5),"SÍ","NO"))</f>
        <v/>
      </c>
      <c r="DF24" s="63" t="str">
        <f>IF(U24&lt;&gt;"SÍ","",IF(OR(C24="VOLADO",AR24=0),"—",IF(AND(AND(1.25*INDEX(TABLAS!$G$52:$G$58,MATCH(MAX(BM24,CC24),TABLAS!$B$52:$B$58,0))&lt;=(DATOS!$C$72-DATOS!$C$60),(DATOS!$C$72-DATOS!$C$60)&gt;=15,INDEX(TABLAS!$G$52:$G$58,MATCH(MAX(BU24,CK24),TABLAS!$B$52:$B$58,0))&lt;=(DATOS!$C$72-DATOS!$C$60)),8*INDEX(TABLAS!$C$52:$C$58,MATCH(MAX(MAX(BM24,CC24),MAX(BU24,CK24)),TABLAS!$B$52:$B$58,0))&lt;=DATOS!$C$73-2*DATOS!$C$60),"CUMPLE (gancho de 180°)",IF(AND(1.25*INDEX(TABLAS!$G$52:$G$58,MATCH(MAX(BM24,CC24),TABLAS!$B$52:$B$58,0))&lt;=(DATOS!$C$72-DATOS!$C$60),(DATOS!$C$72-DATOS!$C$60)&gt;=15,INDEX(TABLAS!$G$52:$G$58,MATCH(MAX(BU24,CK24),TABLAS!$B$52:$B$58,0))&lt;=(DATOS!$C$72-DATOS!$C$60)),"NO CUMPLE: el gancho de 180° (8·d_b) no cabe en el peralte de la dala de borde","NO CUMPLE: dala de borde ≥ "&amp;TEXT(CEILING(MAX(1.25*INDEX(TABLAS!$G$52:$G$58,MATCH(MAX(BM24,CC24),TABLAS!$B$52:$B$58,0)),15,INDEX(TABLAS!$G$52:$G$58,MATCH(MAX(BU24,CK24),TABLAS!$B$52:$B$58,0)))+DATOS!$C$60,5),"0")&amp;" cm de ancho"&amp;IF(8*INDEX(TABLAS!$C$52:$C$58,MATCH(MAX(MAX(BM24,CC24),MAX(BU24,CK24)),TABLAS!$B$52:$B$58,0))&lt;=DATOS!$C$73-2*DATOS!$C$60,""," y más peralte para el gancho")))))</f>
        <v/>
      </c>
      <c r="DG24" s="59" t="str">
        <f>IF(U24&lt;&gt;"SÍ","",MAX(0,INT((E24*100-DATOS!$C$84+DATOS!$C$83-IF(W24="X",DATOS!$C$78,AD24))/DATOS!$C$83)))</f>
        <v/>
      </c>
      <c r="DH24" s="59" t="str">
        <f>IF(U24&lt;&gt;"SÍ","",MAX(0,INT((F24*100-DATOS!$C$84+DATOS!$C$83-IF(W24="Y",DATOS!$C$78,AD24))/DATOS!$C$83)))</f>
        <v/>
      </c>
      <c r="DI24" s="57" t="str">
        <f>IF(U24&lt;&gt;"SÍ","",IF(DG24&gt;0,(E24*100-DATOS!$C$84-(DG24*IF(W24="X",DATOS!$C$78,AD24)+(DG24-1)*(DATOS!$C$83-IF(W24="X",DATOS!$C$78,AD24))))/2,E24*100/2))</f>
        <v/>
      </c>
      <c r="DJ24" s="57" t="str">
        <f>IF(U24&lt;&gt;"SÍ","",IF(DH24&gt;0,(F24*100-DATOS!$C$84-(DH24*IF(W24="Y",DATOS!$C$78,AD24)+(DH24-1)*(DATOS!$C$83-IF(W24="Y",DATOS!$C$78,AD24))))/2,F24*100/2))</f>
        <v/>
      </c>
      <c r="DK24" s="59" t="str">
        <f>IF(U24&lt;&gt;"SÍ","",IF(NOT(AND(C24="VOLADO",AC24&gt;DATOS!$C$80)),0,IF(INDEX(TABLAS!$C$52:$C$58,MATCH(BU24,TABLAS!$B$52:$B$58,0))&lt;=DATOS!$C$80-2*DATOS!$C$60,1,0)))</f>
        <v/>
      </c>
      <c r="DL24" s="58" t="str">
        <f>IF(U24&lt;&gt;"SÍ","",IF(NOT(AND(C24="VOLADO",AC24&gt;DATOS!$C$80)),0,((DATOS!$C$82-MAX(DATOS!$C$60,(DATOS!$C$81-2*DATOS!$C$94)/2)-2*DATOS!$C$94-INDEX(TABLAS!$C$52:$C$58,MATCH(BU24,TABLAS!$B$52:$B$58,0))/2)-IF(AND((DATOS!$C$82-MAX(DATOS!$C$60,(DATOS!$C$81-2*DATOS!$C$94)/2)-2*DATOS!$C$94-INDEX(TABLAS!$C$52:$C$58,MATCH(BU24,TABLAS!$B$52:$B$58,0))/2)&lt;=20,DATOS!$C$62&lt;&gt;"SÍ"),2,0))))</f>
        <v/>
      </c>
      <c r="DM24" s="56" t="str">
        <f>IF(U24&lt;&gt;"SÍ","",IF(OR(NOT(AND(C24="VOLADO",AC24&gt;DATOS!$C$80)),DK24&lt;1),0,IF(0.003*(DL24-((DK24*INDEX(TABLAS!$D$52:$D$58,MATCH(BU24,TABLAS!$B$52:$B$58,0)))*DATOS!$C$14/(DATOS!$C$21*AF24)/DATOS!$C$22))/((DK24*INDEX(TABLAS!$D$52:$D$58,MATCH(BU24,TABLAS!$B$52:$B$58,0)))*DATOS!$C$14/(DATOS!$C$21*AF24)/DATOS!$C$22)&lt;0.005,0,DATOS!$C$29*(DK24*INDEX(TABLAS!$D$52:$D$58,MATCH(BU24,TABLAS!$B$52:$B$58,0)))*DATOS!$C$14*(DL24-(DK24*INDEX(TABLAS!$D$52:$D$58,MATCH(BU24,TABLAS!$B$52:$B$58,0)))*DATOS!$C$14/(DATOS!$C$21*AF24)/2)/1E5)))</f>
        <v/>
      </c>
      <c r="DN24" s="56" t="str">
        <f>IF(U24&lt;&gt;"SÍ","",IF(OR(NOT(AND(C24="VOLADO",AC24&gt;DATOS!$C$80)),DK24&lt;1),0,DATOS!$C$30*2*MIN(1,SQRT(2/(1+0.04*DL24)))*((DK24*INDEX(TABLAS!$D$52:$D$58,MATCH(BU24,TABLAS!$B$52:$B$58,0)))/(AF24*DL24))^(1/3)*SQRT(DATOS!$C$13)*AF24*DL24/1000))</f>
        <v/>
      </c>
      <c r="DO24" s="56" t="str">
        <f>IF(U24&lt;&gt;"SÍ","",IF(NOT(AND(C24="VOLADO",AC24&gt;DATOS!$C$80)),0,IF((BG24-DM24)&lt;=0,0,IF(DM24&lt;=0,IF(ISNUMBER(P24),P24,X24),IF(((0.9*DATOS!$C$87*DATOS!$C$83/100/1000)*IF(ISNUMBER(P24),P24,X24)/2+BG24/IF(ISNUMBER(P24),P24,X24))^2-4*((0.9*DATOS!$C$87*DATOS!$C$83/100/1000)/2)*(BG24-DM24)&lt;0,IF(ISNUMBER(P24),P24,X24),MIN(IF(ISNUMBER(P24),P24,X24),(((0.9*DATOS!$C$87*DATOS!$C$83/100/1000)*IF(ISNUMBER(P24),P24,X24)/2+BG24/IF(ISNUMBER(P24),P24,X24))-SQRT(((0.9*DATOS!$C$87*DATOS!$C$83/100/1000)*IF(ISNUMBER(P24),P24,X24)/2+BG24/IF(ISNUMBER(P24),P24,X24))^2-4*((0.9*DATOS!$C$87*DATOS!$C$83/100/1000)/2)*(BG24-DM24)))/(2*((0.9*DATOS!$C$87*DATOS!$C$83/100/1000)/2))))))))</f>
        <v/>
      </c>
      <c r="DP24" s="56" t="str">
        <f>IF(U24&lt;&gt;"SÍ","",IF(NOT(AND(C24="VOLADO",AC24&gt;DATOS!$C$80)),0,MIN(IF(ISNUMBER(P24),P24,X24),MAX(0,IF(ISNUMBER(P24),P24,X24)/2+BG24/IF(ISNUMBER(P24),P24,X24)/(AQ24*DATOS!$C$83/100/1000)-DN24/(AQ24*DATOS!$C$83/100/1000)))))</f>
        <v/>
      </c>
      <c r="DQ24" s="56" t="str">
        <f>IF(U24&lt;&gt;"SÍ","",IF(NOT(AND(C24="VOLADO",AC24&gt;DATOS!$C$80)),0,BG24/IF(ISNUMBER(P24),P24,X24)+(AQ24*DATOS!$C$83/100/1000)*MAX(0,IF(ISNUMBER(P24),P24,X24)/2-BW24/100)))</f>
        <v/>
      </c>
      <c r="DR24" s="59" t="str">
        <f>IF(U24&lt;&gt;"SÍ","",IF(NOT(AND(C24="VOLADO",AC24&gt;DATOS!$C$80)),0,CEILING(100*MIN(IF(ISNUMBER(P24),P24,X24),MAX(IF(DO24&gt;0,DO24+IF(BV24&gt;=2,MAX(DL24,12*INDEX(TABLAS!$C$52:$C$58,MATCH(BU24,TABLAS!$B$52:$B$58,0)))/100,0),0),DP24,IF(BV24&gt;=2,INDEX(TABLAS!$F$52:$F$58,MATCH(BU24,TABLAS!$B$52:$B$58,0))/100,0))),5)))</f>
        <v/>
      </c>
      <c r="DS24" s="60" t="str">
        <f>IF(U24&lt;&gt;"SÍ","",IF(NOT(AND(C24="VOLADO",AC24&gt;DATOS!$C$80)),0,IF(DR24&lt;=0,0,CEILING(DR24/DATOS!$C$83,1))))</f>
        <v/>
      </c>
      <c r="DT24" s="61" t="str">
        <f>IF(U24&lt;&gt;"SÍ","",IF(C24&lt;&gt;"VOLADO","—",IF(AC24&lt;=DATOS!$C$80,"— (mismo b_w que el respaldo)",IF(DQ24&gt;CR24,"NO CUMPLE: cortante de la nervadura ancha junto al apoyo ("&amp;TEXT(DQ24,"0.00")&amp;" &gt; "&amp;TEXT(CR24,"0.00")&amp;" t)",IF(DR24&gt;=100*IF(ISNUMBER(P24),P24,X24),"CUMPLE — todas las nervaduras del respaldo ‖ al volado con b_w = "&amp;AC24&amp;" cm","CUMPLE — "&amp;DS24&amp;" hilera(s) del respaldo con nervaduras de b_w = "&amp;AC24&amp;" cm (casetón "&amp;AD24&amp;" cm), hasta "&amp;TEXT(DR24/100,"0.00")&amp;" m del paño")))))</f>
        <v/>
      </c>
      <c r="DU24" s="69" t="str">
        <f>IF(U24&lt;&gt;"SÍ","",IF(BN24=0,"NO ALCANZA",BN24&amp;" No. "&amp;BM24&amp;IF(BN24&gt;1," corridas"," corrida")))</f>
        <v/>
      </c>
      <c r="DV24" s="69" t="str">
        <f>IF(U24&lt;&gt;"SÍ","",IF(BV24=0,"NO ALCANZA",IF(AND(C24="VOLADO",AC24&gt;DATOS!$C$80,BV24&gt;=2),"1 No. "&amp;BU24&amp;" corrida de la orilla al respaldo ("&amp;IF(DB24&gt;=100*IF(ISNUMBER(P24),P24,X24),"hasta su apoyo lejano, con gancho","entra "&amp;TEXT(DB24/100,"0.00")&amp;" m desde el paño")&amp;") + "&amp;(BV24-1)&amp;" bastón No. "&amp;BU24&amp;" hasta "&amp;TEXT(DR24/100,"0.00")&amp;" m del paño (fin de la nervadura ancha)",IF(C24="VOLADO",BV24&amp;" No. "&amp;BU24&amp;" de la orilla al respaldo ("&amp;IF(DB24&gt;=100*IF(ISNUMBER(P24),P24,X24),"hasta su apoyo lejano, con gancho","entran "&amp;TEXT(DB24/100,"0.00")&amp;" m desde el paño")&amp;")","1 No. "&amp;BU24&amp;" corrida"&amp;IF(BV24&gt;1," + "&amp;(BV24-1)&amp;" bastón No. "&amp;BU24&amp;" L = "&amp;TEXT(DB24/100,"0.00")&amp;" m desde el paño","")))))</f>
        <v/>
      </c>
      <c r="DW24" s="69" t="str">
        <f>IF(U24&lt;&gt;"SÍ","",IF(CD24=0,"NO ALCANZA",CD24&amp;" No. "&amp;CC24&amp;IF(CD24&gt;1," corridas"," corrida")))</f>
        <v/>
      </c>
      <c r="DX24" s="69" t="str">
        <f>IF(U24&lt;&gt;"SÍ","",IF(CL24=0,"NO ALCANZA",IF(C24="VOLADO","1 No. "&amp;CK24&amp;" corrida (repartición)","1 No. "&amp;CK24&amp;" corrida"&amp;IF(CL24&gt;1," + "&amp;(CL24-1)&amp;" bastón No. "&amp;CK24&amp;" L = "&amp;TEXT(DC24/100,"0.00")&amp;" m desde el paño",""))))</f>
        <v/>
      </c>
      <c r="DY24" s="67" t="str">
        <f>IF(B24="","",IF(U24&lt;&gt;"SÍ","FALTAN DATOS: tipo, a_x, a_y y destino",IF(L24="NO MONOLÍTICO (caso II)","FUERA DE ALCANCE: caso II no transcrito",IF(AND(C24="VOLADO",V24="?"),"REVISAR: el volado lleva UN solo borde CONTINUO (el empotrado)",IF(AND(MAX(BQ24,BY24,CG24,CO24)&lt;=1,NOT(OR(BN24&gt;MIN(DATOS!$C$70,INT(((AC24-2*AJ24)+MAX(DATOS!$C$67,INDEX(TABLAS!$C$52:$C$58,MATCH(BM24,TABLAS!$B$52:$B$58,0))))/(INDEX(TABLAS!$C$52:$C$58,MATCH(BM24,TABLAS!$B$52:$B$58,0))+MAX(DATOS!$C$67,INDEX(TABLAS!$C$52:$C$58,MATCH(BM24,TABLAS!$B$52:$B$58,0)))))),BV24&gt;MIN(DATOS!$C$70,INT(((AC24-2*AK24)+MAX(DATOS!$C$67,INDEX(TABLAS!$C$52:$C$58,MATCH(BU24,TABLAS!$B$52:$B$58,0))))/(INDEX(TABLAS!$C$52:$C$58,MATCH(BU24,TABLAS!$B$52:$B$58,0))+MAX(DATOS!$C$67,INDEX(TABLAS!$C$52:$C$58,MATCH(BU24,TABLAS!$B$52:$B$58,0)))))),CD24&gt;MIN(DATOS!$C$70,INT(((DATOS!$C$80-2*AJ24)+MAX(DATOS!$C$67,INDEX(TABLAS!$C$52:$C$58,MATCH(CC24,TABLAS!$B$52:$B$58,0))))/(INDEX(TABLAS!$C$52:$C$58,MATCH(CC24,TABLAS!$B$52:$B$58,0))+MAX(DATOS!$C$67,INDEX(TABLAS!$C$52:$C$58,MATCH(CC24,TABLAS!$B$52:$B$58,0)))))),CL24&gt;MIN(DATOS!$C$70,INT(((DATOS!$C$80-2*AK24)+MAX(DATOS!$C$67,INDEX(TABLAS!$C$52:$C$58,MATCH(CK24,TABLAS!$B$52:$B$58,0))))/(INDEX(TABLAS!$C$52:$C$58,MATCH(CK24,TABLAS!$B$52:$B$58,0))+MAX(DATOS!$C$67,INDEX(TABLAS!$C$52:$C$58,MATCH(CK24,TABLAS!$B$52:$B$58,0)))))))),NOT(OR(AND(ISNUMBER(BR24),BR24&lt;0.005),AND(ISNUMBER(BZ24),BZ24&lt;0.005),AND(ISNUMBER(CH24),CH24&lt;0.005),AND(ISNUMBER(CP24),CP24&lt;0.005))),NOT(LEFT(DT24,2)="NO"),CZ24="CUMPLE",DA24="CUMPLE",LEFT(CT24,2)&lt;&gt;"NO"),IF(LEFT(CT24,6)="CUMPLE","CUMPLE","CUMPLE — "&amp;CT24)&amp;IF(LEFT(BJ24,5)="FUERA"," · fuera de 3.4.2.1 c)","")&amp;IF(LEFT(DF24,2)="NO"," · REVISAR anclaje en borde discontinuo","")&amp;IF(DS24&gt;0," · respaldo: "&amp;DS24&amp;" hilera(s) de b_w "&amp;AC24&amp;" cm",""),IF(AND(MAX(BQ24,BY24,CG24,CO24)&lt;=1,NOT(OR(BN24&gt;MIN(DATOS!$C$70,INT(((AC24-2*AJ24)+MAX(DATOS!$C$67,INDEX(TABLAS!$C$52:$C$58,MATCH(BM24,TABLAS!$B$52:$B$58,0))))/(INDEX(TABLAS!$C$52:$C$58,MATCH(BM24,TABLAS!$B$52:$B$58,0))+MAX(DATOS!$C$67,INDEX(TABLAS!$C$52:$C$58,MATCH(BM24,TABLAS!$B$52:$B$58,0)))))),BV24&gt;MIN(DATOS!$C$70,INT(((AC24-2*AK24)+MAX(DATOS!$C$67,INDEX(TABLAS!$C$52:$C$58,MATCH(BU24,TABLAS!$B$52:$B$58,0))))/(INDEX(TABLAS!$C$52:$C$58,MATCH(BU24,TABLAS!$B$52:$B$58,0))+MAX(DATOS!$C$67,INDEX(TABLAS!$C$52:$C$58,MATCH(BU24,TABLAS!$B$52:$B$58,0)))))),CD24&gt;MIN(DATOS!$C$70,INT(((DATOS!$C$80-2*AJ24)+MAX(DATOS!$C$67,INDEX(TABLAS!$C$52:$C$58,MATCH(CC24,TABLAS!$B$52:$B$58,0))))/(INDEX(TABLAS!$C$52:$C$58,MATCH(CC24,TABLAS!$B$52:$B$58,0))+MAX(DATOS!$C$67,INDEX(TABLAS!$C$52:$C$58,MATCH(CC24,TABLAS!$B$52:$B$58,0)))))),CL24&gt;MIN(DATOS!$C$70,INT(((DATOS!$C$80-2*AK24)+MAX(DATOS!$C$67,INDEX(TABLAS!$C$52:$C$58,MATCH(CK24,TABLAS!$B$52:$B$58,0))))/(INDEX(TABLAS!$C$52:$C$58,MATCH(CK24,TABLAS!$B$52:$B$58,0))+MAX(DATOS!$C$67,INDEX(TABLAS!$C$52:$C$58,MATCH(CK24,TABLAS!$B$52:$B$58,0)))))))),NOT(OR(AND(ISNUMBER(BR24),BR24&lt;0.005),AND(ISNUMBER(BZ24),BZ24&lt;0.005),AND(ISNUMBER(CH24),CH24&lt;0.005),AND(ISNUMBER(CP24),CP24&lt;0.005))),NOT(LEFT(DT24,2)="NO"),CZ24="CALCULAR FLECHA",LEFT(CT24,2)&lt;&gt;"NO"),"REVISAR: calcular flecha (h_eq &lt; h mín.)"&amp;IF(LEFT(BJ24,5)="FUERA"," · fuera de 3.4.2.1 c)","")&amp;IF(LEFT(DF24,2)="NO"," · REVISAR anclaje en borde discontinuo","")&amp;IF(DS24&gt;0," · respaldo: "&amp;DS24&amp;" hilera(s) de b_w "&amp;AC24&amp;" cm",""),"NO CUMPLE: "&amp;IF(MAX(BQ24,BY24,CG24,CO24)&gt;1,"flexión ","")&amp;IF(OR(BN24&gt;MIN(DATOS!$C$70,INT(((AC24-2*AJ24)+MAX(DATOS!$C$67,INDEX(TABLAS!$C$52:$C$58,MATCH(BM24,TABLAS!$B$52:$B$58,0))))/(INDEX(TABLAS!$C$52:$C$58,MATCH(BM24,TABLAS!$B$52:$B$58,0))+MAX(DATOS!$C$67,INDEX(TABLAS!$C$52:$C$58,MATCH(BM24,TABLAS!$B$52:$B$58,0)))))),BV24&gt;MIN(DATOS!$C$70,INT(((AC24-2*AK24)+MAX(DATOS!$C$67,INDEX(TABLAS!$C$52:$C$58,MATCH(BU24,TABLAS!$B$52:$B$58,0))))/(INDEX(TABLAS!$C$52:$C$58,MATCH(BU24,TABLAS!$B$52:$B$58,0))+MAX(DATOS!$C$67,INDEX(TABLAS!$C$52:$C$58,MATCH(BU24,TABLAS!$B$52:$B$58,0)))))),CD24&gt;MIN(DATOS!$C$70,INT(((DATOS!$C$80-2*AJ24)+MAX(DATOS!$C$67,INDEX(TABLAS!$C$52:$C$58,MATCH(CC24,TABLAS!$B$52:$B$58,0))))/(INDEX(TABLAS!$C$52:$C$58,MATCH(CC24,TABLAS!$B$52:$B$58,0))+MAX(DATOS!$C$67,INDEX(TABLAS!$C$52:$C$58,MATCH(CC24,TABLAS!$B$52:$B$58,0)))))),CL24&gt;MIN(DATOS!$C$70,INT(((DATOS!$C$80-2*AK24)+MAX(DATOS!$C$67,INDEX(TABLAS!$C$52:$C$58,MATCH(CK24,TABLAS!$B$52:$B$58,0))))/(INDEX(TABLAS!$C$52:$C$58,MATCH(CK24,TABLAS!$B$52:$B$58,0))+MAX(DATOS!$C$67,INDEX(TABLAS!$C$52:$C$58,MATCH(CK24,TABLAS!$B$52:$B$58,0))))))),"no caben ","")&amp;IF(OR(AND(ISNUMBER(BR24),BR24&lt;0.005),AND(ISNUMBER(BZ24),BZ24&lt;0.005),AND(ISNUMBER(CH24),CH24&lt;0.005),AND(ISNUMBER(CP24),CP24&lt;0.005)),"ε_t &lt; 0.005 ","")&amp;IF(LEFT(CT24,2)="NO","cortante ","")&amp;IF(CZ24="NO CUMPLE","peralte ","")&amp;IF(DA24&lt;&gt;"CUMPLE","capa &lt; 6 cm ","")&amp;IF(LEFT(DT24,2)="NO","respaldo del volado","")))))))</f>
        <v/>
      </c>
      <c r="DZ24" s="70" t="str">
        <f>IF(U24&lt;&gt;"SÍ","",IF(LEFT(B24,7)="EJEMPLO","EJEMPLO de la hoja de Casa Rocha: bórralo o sobrescríbelo. ","")&amp;IF(AND(C24="PERIMETRAL",MIN(DG24,DH24)=0),"No cabe un casetón en el claro corto: es un tablero macizo, diséñalo en MACIZAS. ","")&amp;IF(AND(AI24="NO",C24="PERIMETRAL"),"No cumple 6.7.8.1.4 (a_c = "&amp;MAX(DATOS!$C$78,AD24)&amp;" cm &gt; claro corto/6 = "&amp;TEXT(X24*100/6,"0")&amp;" cm): se diseña como losa apoyada en vigas (6.7.8.1.9): r de viga = "&amp;DATOS!$C$60&amp;" cm y V_cR sin ×1.1. Para que cuente como encasetonada: casetón de "&amp;TEXT(FLOOR(MIN(80,X24*100/6),1),"0")&amp;" cm o menor. ","")&amp;IF(C24="VOLADO","Volado de "&amp;TEXT(X24,"0.00")&amp;" m empotrado en el borde "&amp;LOWER(V24)&amp;IF(N(O24)&gt;0,", con "&amp;TEXT(O24,"0.0")&amp;" kg/m en la orilla","")&amp;". Lecho inferior con r_ext. Si la orilla carga pretil u otro elemento frágil, calcula la flecha (13.4). El acero superior entra al respaldo de "&amp;TEXT(IF(ISNUMBER(P24),P24,X24),"0.00")&amp;" m"&amp;IF(ISNUMBER(P24),""," (L_b no capturado: se tomó igual al volado)")&amp;" hasta pasar M = 0 con 0.9·PP sin carga viva; si ahí no se anula, llega al apoyo lejano y se ancla con gancho (NTC-Criterios 3.4.1 c y 5.1.2.2). "&amp;IF(AC24&gt;DATOS!$C$80,"Respaldo: "&amp;DT24&amp;". ",""),"")&amp;IF(LEFT(BJ24,5)="FUERA","El M⁻ del vecino difiere más de 50 % (3.4.2.1 c): distribuye el desequilibrio (3.4.3.1) o confirma con un modelo; se arma con el mayor. ","")&amp;IF(OR(DD24="SÍ",DE24="SÍ"),"El M⁻ del borde discontinuo pide bastón también ahí (con gancho). ","")&amp;IF(LEFT(DF24,2)="NO","Anclaje: "&amp;DF24&amp;" (6.7.8.1.7). ","")&amp;IF(OR(AZ24&gt;0,BA24&gt;0),"Esquinas exteriores sobre muro: refuerzo de esquina arriba y abajo en L_largo/5 (6.7.7.3.1). ",""))</f>
        <v/>
      </c>
    </row>
    <row r="25" ht="33" customHeight="1">
      <c r="A25" s="50">
        <f>IF(B25="",0,1)+A24</f>
        <v>4</v>
      </c>
      <c r="B25" s="29" t="n"/>
      <c r="C25" s="51" t="n"/>
      <c r="D25" s="29" t="n"/>
      <c r="E25" s="52" t="n"/>
      <c r="F25" s="52" t="n"/>
      <c r="G25" s="51" t="n"/>
      <c r="H25" s="51" t="n"/>
      <c r="I25" s="51" t="n"/>
      <c r="J25" s="51" t="n"/>
      <c r="K25" s="51" t="n"/>
      <c r="L25" s="51" t="n"/>
      <c r="M25" s="53" t="n"/>
      <c r="N25" s="53" t="n"/>
      <c r="O25" s="54" t="n"/>
      <c r="P25" s="52" t="n"/>
      <c r="Q25" s="53" t="n"/>
      <c r="R25" s="54" t="n"/>
      <c r="S25" s="52" t="n"/>
      <c r="T25" s="52" t="n"/>
      <c r="U25" s="55" t="str">
        <f>IF(B25="","",IF(AND(OR(C25="PERIMETRAL",C25="VOLADO"),ISNUMBER(E25),ISNUMBER(F25),E25&gt;0,F25&gt;0,OR(ISNUMBER(N25),ISNUMBER(MATCH(D25,DATOS!$B$46:$B$55,0)))),"SÍ","NO"))</f>
        <v/>
      </c>
      <c r="V25" s="55" t="str">
        <f>IF(U25&lt;&gt;"SÍ","",IF(C25&lt;&gt;"VOLADO","—",IF(COUNTIF(G25:J25,"CONTINUO")&lt;&gt;1,"?",IF(G25="CONTINUO","INFERIOR",IF(H25="CONTINUO","SUPERIOR",IF(I25="CONTINUO","IZQUIERDO","DERECHO"))))))</f>
        <v/>
      </c>
      <c r="W25" s="55" t="str">
        <f>IF(U25&lt;&gt;"SÍ","",IF(C25="VOLADO",IF(OR(V25="IZQUIERDO",V25="DERECHO"),"X","Y"),IF(E25&lt;=F25,"X","Y")))</f>
        <v/>
      </c>
      <c r="X25" s="56" t="str">
        <f>IF(U25&lt;&gt;"SÍ","",IF(C25="VOLADO",IF(W25="X",E25,F25),MIN(E25,F25)))</f>
        <v/>
      </c>
      <c r="Y25" s="56" t="str">
        <f>IF(U25&lt;&gt;"SÍ","",IF(C25="VOLADO",IF(W25="X",F25,E25),MAX(E25,F25)))</f>
        <v/>
      </c>
      <c r="Z25" s="56" t="str">
        <f>IF(U25&lt;&gt;"SÍ","",MIN(X25,Y25)/MAX(X25,Y25))</f>
        <v/>
      </c>
      <c r="AA25" s="57" t="str">
        <f>IF(U25&lt;&gt;"SÍ","",MAX(1,X25*100-IF(C25="VOLADO",DATOS!$C$84/2,DATOS!$C$84)))</f>
        <v/>
      </c>
      <c r="AB25" s="57" t="str">
        <f>IF(U25&lt;&gt;"SÍ","",MAX(1,Y25*100-DATOS!$C$84))</f>
        <v/>
      </c>
      <c r="AC25" s="57" t="str">
        <f>IF(U25&lt;&gt;"SÍ","",IF(ISNUMBER(Q25),Q25,DATOS!$C$80))</f>
        <v/>
      </c>
      <c r="AD25" s="57" t="str">
        <f>IF(U25&lt;&gt;"SÍ","",MAX(0,DATOS!$C$83-AC25))</f>
        <v/>
      </c>
      <c r="AE25" s="57" t="str">
        <f>IF(U25&lt;&gt;"SÍ","",IF(OR(DATOS!$C$62="SÍ",AC25&gt;=20),AC25,AC25-2))</f>
        <v/>
      </c>
      <c r="AF25" s="57" t="str">
        <f>IF(U25&lt;&gt;"SÍ","",IF(OR(DATOS!$C$62="SÍ",DATOS!$C$80&gt;=20),DATOS!$C$80,DATOS!$C$80-2))</f>
        <v/>
      </c>
      <c r="AG25" s="57" t="str">
        <f>IF(U25&lt;&gt;"SÍ","",MIN(DATOS!$C$83,AC25+2*MIN(8*DATOS!$C$81,AD25/2,AA25/8)))</f>
        <v/>
      </c>
      <c r="AH25" s="57" t="str">
        <f>IF(U25&lt;&gt;"SÍ","",MIN(DATOS!$C$83,DATOS!$C$80+2*MIN(8*DATOS!$C$81,DATOS!$C$78/2,AB25/8)))</f>
        <v/>
      </c>
      <c r="AI25" s="55" t="str">
        <f>IF(U25&lt;&gt;"SÍ","",IF(AND(C25="PERIMETRAL",X25*100&gt;=6*MAX(DATOS!$C$78,AD25),MAX(DATOS!$C$78,AD25)&lt;=80,MIN(DATOS!$C$80,AC25)&gt;=10,DATOS!$C$82&lt;=3.5*MIN(DATOS!$C$80,AC25),DATOS!$C$81&gt;=MAX(MAX(DATOS!$C$78,AD25)/13,5)),"SÍ","NO"))</f>
        <v/>
      </c>
      <c r="AJ25" s="57" t="str">
        <f>IF(U25&lt;&gt;"SÍ","",IF(C25="VOLADO",DATOS!$C$61,IF(AI25="NO",DATOS!$C$60,DATOS!$C$59)))</f>
        <v/>
      </c>
      <c r="AK25" s="57" t="str">
        <f>IF(U25&lt;&gt;"SÍ","",IF(OR(AND(AM25="SÍ",DATOS!$C$63="SÍ"),AND(C25="VOLADO",DATOS!$C$64="SÍ")),DATOS!$C$61,IF(AI25="NO",DATOS!$C$60,DATOS!$C$59)))</f>
        <v/>
      </c>
      <c r="AL25" s="58" t="str">
        <f>IF(U25&lt;&gt;"SÍ","",MAX(AK25,(DATOS!$C$81-2*DATOS!$C$94)/2))</f>
        <v/>
      </c>
      <c r="AM25" s="55" t="str">
        <f>IF(U25&lt;&gt;"SÍ","",IFERROR(INDEX(DATOS!$D$46:$D$55,MATCH(D25,DATOS!$B$46:$B$55,0)),"NO"))</f>
        <v/>
      </c>
      <c r="AN25" s="59" t="str">
        <f>IF(U25&lt;&gt;"SÍ","",IF(ISNUMBER(N25),N25,IFERROR(INDEX(DATOS!$C$46:$C$55,MATCH(D25,DATOS!$B$46:$B$55,0)),0)))</f>
        <v/>
      </c>
      <c r="AO25" s="59" t="str">
        <f>IF(U25&lt;&gt;"SÍ","",(DATOS!$C$82/100-(AD25*DATOS!$C$78/DATOS!$C$83^2)*DATOS!$C$79/100)*DATOS!$C$16*1000+(AD25*DATOS!$C$78/DATOS!$C$83^2)*DATOS!$C$79/100*DATOS!$C$17*1000+DATOS!$C$37+DATOS!$C$38)</f>
        <v/>
      </c>
      <c r="AP25" s="59" t="str">
        <f>IF(U25&lt;&gt;"SÍ","",AO25+N(M25))</f>
        <v/>
      </c>
      <c r="AQ25" s="60" t="str">
        <f>IF(U25&lt;&gt;"SÍ","",MAX(DATOS!$C$26*AP25+DATOS!$C$27*AN25,IF(AM25="SÍ",DATOS!$C$28*(AP25+DATOS!$C$41),0)))</f>
        <v/>
      </c>
      <c r="AR25" s="59" t="str">
        <f>IF(U25&lt;&gt;"SÍ","",(G25="DISCONTINUO")+(H25="DISCONTINUO")+(I25="DISCONTINUO")+(J25="DISCONTINUO"))</f>
        <v/>
      </c>
      <c r="AS25" s="59" t="str">
        <f>IF(U25&lt;&gt;"SÍ","",IF(W25="X",(G25="DISCONTINUO")+(H25="DISCONTINUO"),(I25="DISCONTINUO")+(J25="DISCONTINUO")))</f>
        <v/>
      </c>
      <c r="AT25" s="55" t="str">
        <f>IF(U25&lt;&gt;"SÍ","",IF(AR25=0,"INTERIOR",IF(AR25=1,IF(AS25=1,"BORDE-CORTO","BORDE-LARGO"),IF(AR25=2,IF(AS25=1,"ESQUINA",IF(AS25=2,"EXTREMO-LARGO","EXTREMO-CORTO")),IF(AR25=3,IF(AS25=2,"EXTREMO-LARGO","EXTREMO-CORTO"),"AISLADO")))))</f>
        <v/>
      </c>
      <c r="AU25" s="61" t="str">
        <f>IF(U25&lt;&gt;"SÍ","",IF(OR(K25="",K25="AUTO"),AT25,K25))</f>
        <v/>
      </c>
      <c r="AV25" s="59" t="str">
        <f>IF(U25&lt;&gt;"SÍ","",MATCH(Z25,TABLAS!$D$5:$J$5,1))</f>
        <v/>
      </c>
      <c r="AW25" s="58" t="str">
        <f>IF(U25&lt;&gt;"SÍ","",IF(AV25&gt;=7,0,(Z25-INDEX(TABLAS!$D$5:$J$5,AV25))/(INDEX(TABLAS!$D$5:$J$5,AV25+1)-INDEX(TABLAS!$D$5:$J$5,AV25))))</f>
        <v/>
      </c>
      <c r="AX25" s="59" t="str">
        <f>IF(U25&lt;&gt;"SÍ","",INDEX(TABLAS!$D$6:$J$47,MATCH(AU25&amp;"|NIC",TABLAS!$B$6:$B$47,0),AV25)+AW25*(INDEX(TABLAS!$D$6:$J$47,MATCH(AU25&amp;"|NIC",TABLAS!$B$6:$B$47,0),MIN(AV25+1,7))-INDEX(TABLAS!$D$6:$J$47,MATCH(AU25&amp;"|NIC",TABLAS!$B$6:$B$47,0),AV25)))</f>
        <v/>
      </c>
      <c r="AY25" s="59" t="str">
        <f>IF(U25&lt;&gt;"SÍ","",INDEX(TABLAS!$D$6:$J$47,MATCH(AU25&amp;"|NIL",TABLAS!$B$6:$B$47,0),AV25)+AW25*(INDEX(TABLAS!$D$6:$J$47,MATCH(AU25&amp;"|NIL",TABLAS!$B$6:$B$47,0),MIN(AV25+1,7))-INDEX(TABLAS!$D$6:$J$47,MATCH(AU25&amp;"|NIL",TABLAS!$B$6:$B$47,0),AV25)))</f>
        <v/>
      </c>
      <c r="AZ25" s="59" t="str">
        <f>IF(U25&lt;&gt;"SÍ","",INDEX(TABLAS!$D$6:$J$47,MATCH(AU25&amp;"|NDC",TABLAS!$B$6:$B$47,0),AV25)+AW25*(INDEX(TABLAS!$D$6:$J$47,MATCH(AU25&amp;"|NDC",TABLAS!$B$6:$B$47,0),MIN(AV25+1,7))-INDEX(TABLAS!$D$6:$J$47,MATCH(AU25&amp;"|NDC",TABLAS!$B$6:$B$47,0),AV25)))</f>
        <v/>
      </c>
      <c r="BA25" s="59" t="str">
        <f>IF(U25&lt;&gt;"SÍ","",INDEX(TABLAS!$D$6:$J$47,MATCH(AU25&amp;"|NDL",TABLAS!$B$6:$B$47,0),AV25)+AW25*(INDEX(TABLAS!$D$6:$J$47,MATCH(AU25&amp;"|NDL",TABLAS!$B$6:$B$47,0),MIN(AV25+1,7))-INDEX(TABLAS!$D$6:$J$47,MATCH(AU25&amp;"|NDL",TABLAS!$B$6:$B$47,0),AV25)))</f>
        <v/>
      </c>
      <c r="BB25" s="59" t="str">
        <f>IF(U25&lt;&gt;"SÍ","",INDEX(TABLAS!$D$6:$J$47,MATCH(AU25&amp;"|PC",TABLAS!$B$6:$B$47,0),AV25)+AW25*(INDEX(TABLAS!$D$6:$J$47,MATCH(AU25&amp;"|PC",TABLAS!$B$6:$B$47,0),MIN(AV25+1,7))-INDEX(TABLAS!$D$6:$J$47,MATCH(AU25&amp;"|PC",TABLAS!$B$6:$B$47,0),AV25)))</f>
        <v/>
      </c>
      <c r="BC25" s="59" t="str">
        <f>IF(U25&lt;&gt;"SÍ","",INDEX(TABLAS!$D$6:$J$47,MATCH(AU25&amp;"|PL",TABLAS!$B$6:$B$47,0),AV25)+AW25*(INDEX(TABLAS!$D$6:$J$47,MATCH(AU25&amp;"|PL",TABLAS!$B$6:$B$47,0),MIN(AV25+1,7))-INDEX(TABLAS!$D$6:$J$47,MATCH(AU25&amp;"|PL",TABLAS!$B$6:$B$47,0),AV25)))</f>
        <v/>
      </c>
      <c r="BD25" s="56" t="str">
        <f>IF(U25&lt;&gt;"SÍ","",IF(C25&lt;&gt;"VOLADO",0,DATOS!$C$26*DATOS!$C$16*DATOS!$C$83/100*(((AD25*DATOS!$C$78/DATOS!$C$83^2)*DATOS!$C$79/100)*(IF(W25="X",DI25,DJ25)+DATOS!$C$84/2)/100*(AA25-(IF(W25="X",DI25,DJ25)+DATOS!$C$84/2)/2)/100+((AD25*DATOS!$C$78/DATOS!$C$83^2)*DATOS!$C$79/100)*IF(W25="X",DI25,DJ25)/100*IF(W25="X",DI25,DJ25)/200)))</f>
        <v/>
      </c>
      <c r="BE25" s="56" t="str">
        <f>IF(U25&lt;&gt;"SÍ","",IF(C25&lt;&gt;"VOLADO",0,DATOS!$C$26*DATOS!$C$16*DATOS!$C$83/100*((AD25*DATOS!$C$78/DATOS!$C$83^2)*DATOS!$C$79/100)*(IF(W25="X",DI25,DJ25)+DATOS!$C$84/2)/100))</f>
        <v/>
      </c>
      <c r="BF25" s="56" t="str">
        <f>IF(U25&lt;&gt;"SÍ","",IF(C25="PERIMETRAL",BB25*AQ25*X25^2*1E-4*DATOS!$C$83/100/1000,0))</f>
        <v/>
      </c>
      <c r="BG25" s="62" t="str">
        <f>IF(U25&lt;&gt;"SÍ","",IF(C25="PERIMETRAL",MAX(MAX(AX25,AZ25)*AQ25*X25^2*1E-4*DATOS!$C$83/100/1000,N(S25)),(AQ25*(AA25/100)^2/2+DATOS!$C$26*N(O25)*AA25/100)*DATOS!$C$83/100/1000+BD25))</f>
        <v/>
      </c>
      <c r="BH25" s="56" t="str">
        <f>IF(U25&lt;&gt;"SÍ","",IF(C25="PERIMETRAL",BC25*AQ25*X25^2*1E-4*DATOS!$C$83/100/1000,0))</f>
        <v/>
      </c>
      <c r="BI25" s="56" t="str">
        <f>IF(U25&lt;&gt;"SÍ","",IF(C25="PERIMETRAL",MAX(MAX(AY25,BA25)*AQ25*X25^2*1E-4*DATOS!$C$83/100/1000,N(T25)),0))</f>
        <v/>
      </c>
      <c r="BJ25" s="63" t="str">
        <f>IF(U25&lt;&gt;"SÍ","",IF(C25&lt;&gt;"PERIMETRAL","—",IF(AND(N(S25)=0,N(T25)=0),"— (sin M⁻ del vecino)",IF(OR(AND(N(S25)&gt;0,ABS(MAX(AX25,AZ25)*AQ25*X25^2*1E-4*DATOS!$C$83/100/1000-N(S25))&gt;0.5*MIN(MAX(AX25,AZ25)*AQ25*X25^2*1E-4*DATOS!$C$83/100/1000,N(S25))),AND(N(T25)&gt;0,ABS(MAX(AY25,BA25)*AQ25*X25^2*1E-4*DATOS!$C$83/100/1000-N(T25))&gt;0.5*MIN(MAX(AY25,BA25)*AQ25*X25^2*1E-4*DATOS!$C$83/100/1000,N(T25)))),"FUERA: difieren &gt; 50 %"&amp;IF(AND(N(S25)&gt;0,ABS(MAX(AX25,AZ25)*AQ25*X25^2*1E-4*DATOS!$C$83/100/1000-N(S25))&gt;0.5*MIN(MAX(AX25,AZ25)*AQ25*X25^2*1E-4*DATOS!$C$83/100/1000,N(S25)))," ‖ corto","")&amp;IF(AND(N(T25)&gt;0,ABS(MAX(AY25,BA25)*AQ25*X25^2*1E-4*DATOS!$C$83/100/1000-N(T25))&gt;0.5*MIN(MAX(AY25,BA25)*AQ25*X25^2*1E-4*DATOS!$C$83/100/1000,N(T25)))," ‖ largo",""),"CUMPLE"))))</f>
        <v/>
      </c>
      <c r="BK25" s="58" t="str">
        <f>IF(U25&lt;&gt;"SÍ","",(DATOS!$C$82-AJ25-INDEX(TABLAS!$C$52:$C$58,MATCH(DATOS!$C$68,TABLAS!$B$52:$B$58,0))/2))</f>
        <v/>
      </c>
      <c r="BL25" s="58" t="str">
        <f>IF(U25&lt;&gt;"SÍ","",IF(IF(BF25&lt;=0,0,IF((1-2*BF25*1E5/(DATOS!$C$29*AG25*BK25^2*DATOS!$C$21))&lt;0,-1,IF((1-SQRT((1-2*BF25*1E5/(DATOS!$C$29*AG25*BK25^2*DATOS!$C$21))))*DATOS!$C$21*AG25*BK25/DATOS!$C$14&gt;DATOS!$C$99*AG25*BK25,-1,(1-SQRT((1-2*BF25*1E5/(DATOS!$C$29*AG25*BK25^2*DATOS!$C$21))))*DATOS!$C$21*AG25*BK25/DATOS!$C$14)))&lt;0,-1,MAX(IF(BF25&lt;=0,0,IF((1-2*BF25*1E5/(DATOS!$C$29*AG25*BK25^2*DATOS!$C$21))&lt;0,-1,IF((1-SQRT((1-2*BF25*1E5/(DATOS!$C$29*AG25*BK25^2*DATOS!$C$21))))*DATOS!$C$21*AG25*BK25/DATOS!$C$14&gt;DATOS!$C$99*AG25*BK25,-1,(1-SQRT((1-2*BF25*1E5/(DATOS!$C$29*AG25*BK25^2*DATOS!$C$21))))*DATOS!$C$21*AG25*BK25/DATOS!$C$14))),MIN(DATOS!$C$100*AC25*BK25,4/3*IF(BF25&lt;=0,0,IF((1-2*BF25*1E5/(DATOS!$C$29*AG25*BK25^2*DATOS!$C$21))&lt;0,-1,IF((1-SQRT((1-2*BF25*1E5/(DATOS!$C$29*AG25*BK25^2*DATOS!$C$21))))*DATOS!$C$21*AG25*BK25/DATOS!$C$14&gt;DATOS!$C$99*AG25*BK25,-1,(1-SQRT((1-2*BF25*1E5/(DATOS!$C$29*AG25*BK25^2*DATOS!$C$21))))*DATOS!$C$21*AG25*BK25/DATOS!$C$14)))))))</f>
        <v/>
      </c>
      <c r="BM25" s="64" t="str">
        <f>IF(U25&lt;&gt;"SÍ","",IF(AND(BL25&gt;=0,IF(MAX(DATOS!$C$71,CEILING(BL25/INDEX(TABLAS!$D$52:$D$58,MIN(MATCH(DATOS!$C$68,TABLAS!$B$52:$B$58,0)+0,7)),1))*INDEX(TABLAS!$D$52:$D$58,MIN(MATCH(DATOS!$C$68,TABLAS!$B$52:$B$58,0)+0,7))&gt;=4/3*IF(BF25&lt;=0,0,IF((1-2*BF25*1E5/(DATOS!$C$29*AG25*BK25^2*DATOS!$C$21))&lt;0,-1,IF((1-SQRT((1-2*BF25*1E5/(DATOS!$C$29*AG25*BK25^2*DATOS!$C$21))))*DATOS!$C$21*AG25*BK25/DATOS!$C$14&gt;DATOS!$C$99*AG25*BK25,-1,(1-SQRT((1-2*BF25*1E5/(DATOS!$C$29*AG25*BK25^2*DATOS!$C$21))))*DATOS!$C$21*AG25*BK25/DATOS!$C$14)))-0.0001,MAX(DATOS!$C$71,CEILING(BL25/INDEX(TABLAS!$D$52:$D$58,MIN(MATCH(DATOS!$C$68,TABLAS!$B$52:$B$58,0)+0,7)),1)),MAX(MAX(DATOS!$C$71,CEILING(BL25/INDEX(TABLAS!$D$52:$D$58,MIN(MATCH(DATOS!$C$68,TABLAS!$B$52:$B$58,0)+0,7)),1)),2))&lt;=MIN(DATOS!$C$70,INT(((AC25-2*AJ25)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25&gt;=0,IF(MAX(DATOS!$C$71,CEILING(BL25/INDEX(TABLAS!$D$52:$D$58,MIN(MATCH(DATOS!$C$68,TABLAS!$B$52:$B$58,0)+1,7)),1))*INDEX(TABLAS!$D$52:$D$58,MIN(MATCH(DATOS!$C$68,TABLAS!$B$52:$B$58,0)+1,7))&gt;=4/3*IF(BF25&lt;=0,0,IF((1-2*BF25*1E5/(DATOS!$C$29*AG25*BK25^2*DATOS!$C$21))&lt;0,-1,IF((1-SQRT((1-2*BF25*1E5/(DATOS!$C$29*AG25*BK25^2*DATOS!$C$21))))*DATOS!$C$21*AG25*BK25/DATOS!$C$14&gt;DATOS!$C$99*AG25*BK25,-1,(1-SQRT((1-2*BF25*1E5/(DATOS!$C$29*AG25*BK25^2*DATOS!$C$21))))*DATOS!$C$21*AG25*BK25/DATOS!$C$14)))-0.0001,MAX(DATOS!$C$71,CEILING(BL25/INDEX(TABLAS!$D$52:$D$58,MIN(MATCH(DATOS!$C$68,TABLAS!$B$52:$B$58,0)+1,7)),1)),MAX(MAX(DATOS!$C$71,CEILING(BL25/INDEX(TABLAS!$D$52:$D$58,MIN(MATCH(DATOS!$C$68,TABLAS!$B$52:$B$58,0)+1,7)),1)),2))&lt;=MIN(DATOS!$C$70,INT(((AC25-2*AJ25)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25&gt;=0,IF(MAX(DATOS!$C$71,CEILING(BL25/INDEX(TABLAS!$D$52:$D$58,MIN(MATCH(DATOS!$C$68,TABLAS!$B$52:$B$58,0)+2,7)),1))*INDEX(TABLAS!$D$52:$D$58,MIN(MATCH(DATOS!$C$68,TABLAS!$B$52:$B$58,0)+2,7))&gt;=4/3*IF(BF25&lt;=0,0,IF((1-2*BF25*1E5/(DATOS!$C$29*AG25*BK25^2*DATOS!$C$21))&lt;0,-1,IF((1-SQRT((1-2*BF25*1E5/(DATOS!$C$29*AG25*BK25^2*DATOS!$C$21))))*DATOS!$C$21*AG25*BK25/DATOS!$C$14&gt;DATOS!$C$99*AG25*BK25,-1,(1-SQRT((1-2*BF25*1E5/(DATOS!$C$29*AG25*BK25^2*DATOS!$C$21))))*DATOS!$C$21*AG25*BK25/DATOS!$C$14)))-0.0001,MAX(DATOS!$C$71,CEILING(BL25/INDEX(TABLAS!$D$52:$D$58,MIN(MATCH(DATOS!$C$68,TABLAS!$B$52:$B$58,0)+2,7)),1)),MAX(MAX(DATOS!$C$71,CEILING(BL25/INDEX(TABLAS!$D$52:$D$58,MIN(MATCH(DATOS!$C$68,TABLAS!$B$52:$B$58,0)+2,7)),1)),2))&lt;=MIN(DATOS!$C$70,INT(((AC25-2*AJ25)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25&gt;=0,IF(MAX(DATOS!$C$71,CEILING(BL25/INDEX(TABLAS!$D$52:$D$58,MIN(MATCH(DATOS!$C$68,TABLAS!$B$52:$B$58,0)+3,7)),1))*INDEX(TABLAS!$D$52:$D$58,MIN(MATCH(DATOS!$C$68,TABLAS!$B$52:$B$58,0)+3,7))&gt;=4/3*IF(BF25&lt;=0,0,IF((1-2*BF25*1E5/(DATOS!$C$29*AG25*BK25^2*DATOS!$C$21))&lt;0,-1,IF((1-SQRT((1-2*BF25*1E5/(DATOS!$C$29*AG25*BK25^2*DATOS!$C$21))))*DATOS!$C$21*AG25*BK25/DATOS!$C$14&gt;DATOS!$C$99*AG25*BK25,-1,(1-SQRT((1-2*BF25*1E5/(DATOS!$C$29*AG25*BK25^2*DATOS!$C$21))))*DATOS!$C$21*AG25*BK25/DATOS!$C$14)))-0.0001,MAX(DATOS!$C$71,CEILING(BL25/INDEX(TABLAS!$D$52:$D$58,MIN(MATCH(DATOS!$C$68,TABLAS!$B$52:$B$58,0)+3,7)),1)),MAX(MAX(DATOS!$C$71,CEILING(BL25/INDEX(TABLAS!$D$52:$D$58,MIN(MATCH(DATOS!$C$68,TABLAS!$B$52:$B$58,0)+3,7)),1)),2))&lt;=MIN(DATOS!$C$70,INT(((AC25-2*AJ25)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25&gt;=0,IF(MAX(DATOS!$C$71,CEILING(BL25/INDEX(TABLAS!$D$52:$D$58,MIN(MATCH(DATOS!$C$68,TABLAS!$B$52:$B$58,0)+4,7)),1))*INDEX(TABLAS!$D$52:$D$58,MIN(MATCH(DATOS!$C$68,TABLAS!$B$52:$B$58,0)+4,7))&gt;=4/3*IF(BF25&lt;=0,0,IF((1-2*BF25*1E5/(DATOS!$C$29*AG25*BK25^2*DATOS!$C$21))&lt;0,-1,IF((1-SQRT((1-2*BF25*1E5/(DATOS!$C$29*AG25*BK25^2*DATOS!$C$21))))*DATOS!$C$21*AG25*BK25/DATOS!$C$14&gt;DATOS!$C$99*AG25*BK25,-1,(1-SQRT((1-2*BF25*1E5/(DATOS!$C$29*AG25*BK25^2*DATOS!$C$21))))*DATOS!$C$21*AG25*BK25/DATOS!$C$14)))-0.0001,MAX(DATOS!$C$71,CEILING(BL25/INDEX(TABLAS!$D$52:$D$58,MIN(MATCH(DATOS!$C$68,TABLAS!$B$52:$B$58,0)+4,7)),1)),MAX(MAX(DATOS!$C$71,CEILING(BL25/INDEX(TABLAS!$D$52:$D$58,MIN(MATCH(DATOS!$C$68,TABLAS!$B$52:$B$58,0)+4,7)),1)),2))&lt;=MIN(DATOS!$C$70,INT(((AC25-2*AJ25)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25" s="59" t="str">
        <f>IF(U25&lt;&gt;"SÍ","",IF(BL25&lt;0,0,IF(MAX(DATOS!$C$71,CEILING(MAX(BL25,0)/INDEX(TABLAS!$D$52:$D$58,MATCH(BM25,TABLAS!$B$52:$B$58,0)),1))*INDEX(TABLAS!$D$52:$D$58,MATCH(BM25,TABLAS!$B$52:$B$58,0))&gt;=4/3*IF(BF25&lt;=0,0,IF((1-2*BF25*1E5/(DATOS!$C$29*AG25*BK25^2*DATOS!$C$21))&lt;0,-1,IF((1-SQRT((1-2*BF25*1E5/(DATOS!$C$29*AG25*BK25^2*DATOS!$C$21))))*DATOS!$C$21*AG25*BK25/DATOS!$C$14&gt;DATOS!$C$99*AG25*BK25,-1,(1-SQRT((1-2*BF25*1E5/(DATOS!$C$29*AG25*BK25^2*DATOS!$C$21))))*DATOS!$C$21*AG25*BK25/DATOS!$C$14)))-0.0001,MAX(DATOS!$C$71,CEILING(MAX(BL25,0)/INDEX(TABLAS!$D$52:$D$58,MATCH(BM25,TABLAS!$B$52:$B$58,0)),1)),MAX(MAX(DATOS!$C$71,CEILING(MAX(BL25,0)/INDEX(TABLAS!$D$52:$D$58,MATCH(BM25,TABLAS!$B$52:$B$58,0)),1)),2))))</f>
        <v/>
      </c>
      <c r="BO25" s="58" t="str">
        <f>IF(U25&lt;&gt;"SÍ","",DATOS!$C$82-AJ25-INDEX(TABLAS!$C$52:$C$58,MATCH(BM25,TABLAS!$B$52:$B$58,0))/2)</f>
        <v/>
      </c>
      <c r="BP25" s="56" t="str">
        <f>IF(U25&lt;&gt;"SÍ","",IF(BN25=0,0,DATOS!$C$29*BN25*INDEX(TABLAS!$D$52:$D$58,MATCH(BM25,TABLAS!$B$52:$B$58,0))*DATOS!$C$14*(BO25-BN25*INDEX(TABLAS!$D$52:$D$58,MATCH(BM25,TABLAS!$B$52:$B$58,0))*DATOS!$C$14/(DATOS!$C$21*AG25)/2)/1E5))</f>
        <v/>
      </c>
      <c r="BQ25" s="65" t="str">
        <f>IF(U25&lt;&gt;"SÍ","",IF(BL25&lt;0,9.99,IF(BP25&gt;0,BF25/BP25,0)))</f>
        <v/>
      </c>
      <c r="BR25" s="66" t="str">
        <f>IF(U25&lt;&gt;"SÍ","",IF(BN25=0,"—",0.003*(BO25-(BN25*INDEX(TABLAS!$D$52:$D$58,MATCH(BM25,TABLAS!$B$52:$B$58,0))*DATOS!$C$14/(DATOS!$C$21*AG25)/DATOS!$C$22))/(BN25*INDEX(TABLAS!$D$52:$D$58,MATCH(BM25,TABLAS!$B$52:$B$58,0))*DATOS!$C$14/(DATOS!$C$21*AG25)/DATOS!$C$22)))</f>
        <v/>
      </c>
      <c r="BS25" s="58" t="str">
        <f>IF(U25&lt;&gt;"SÍ","",((DATOS!$C$82-AL25-2*DATOS!$C$94-INDEX(TABLAS!$C$52:$C$58,MATCH(DATOS!$C$69,TABLAS!$B$52:$B$58,0))/2)-IF(AND((DATOS!$C$82-AL25-2*DATOS!$C$94-INDEX(TABLAS!$C$52:$C$58,MATCH(DATOS!$C$69,TABLAS!$B$52:$B$58,0))/2)&lt;=20,DATOS!$C$62&lt;&gt;"SÍ"),2,0)))</f>
        <v/>
      </c>
      <c r="BT25" s="58" t="str">
        <f>IF(U25&lt;&gt;"SÍ","",IF(IF(BG25&lt;=0,0,IF((1-2*BG25*1E5/(DATOS!$C$29*AE25*BS25^2*DATOS!$C$21))&lt;0,-1,IF((1-SQRT((1-2*BG25*1E5/(DATOS!$C$29*AE25*BS25^2*DATOS!$C$21))))*DATOS!$C$21*AE25*BS25/DATOS!$C$14&gt;DATOS!$C$99*AE25*BS25,-1,(1-SQRT((1-2*BG25*1E5/(DATOS!$C$29*AE25*BS25^2*DATOS!$C$21))))*DATOS!$C$21*AE25*BS25/DATOS!$C$14)))&lt;0,-1,MAX(IF(BG25&lt;=0,0,IF((1-2*BG25*1E5/(DATOS!$C$29*AE25*BS25^2*DATOS!$C$21))&lt;0,-1,IF((1-SQRT((1-2*BG25*1E5/(DATOS!$C$29*AE25*BS25^2*DATOS!$C$21))))*DATOS!$C$21*AE25*BS25/DATOS!$C$14&gt;DATOS!$C$99*AE25*BS25,-1,(1-SQRT((1-2*BG25*1E5/(DATOS!$C$29*AE25*BS25^2*DATOS!$C$21))))*DATOS!$C$21*AE25*BS25/DATOS!$C$14))),MIN(DATOS!$C$100*IF(C25="VOLADO",MIN(AG25,2*AC25),AC25)*BS25,4/3*IF(BG25&lt;=0,0,IF((1-2*BG25*1E5/(DATOS!$C$29*AE25*BS25^2*DATOS!$C$21))&lt;0,-1,IF((1-SQRT((1-2*BG25*1E5/(DATOS!$C$29*AE25*BS25^2*DATOS!$C$21))))*DATOS!$C$21*AE25*BS25/DATOS!$C$14&gt;DATOS!$C$99*AE25*BS25,-1,(1-SQRT((1-2*BG25*1E5/(DATOS!$C$29*AE25*BS25^2*DATOS!$C$21))))*DATOS!$C$21*AE25*BS25/DATOS!$C$14)))))))</f>
        <v/>
      </c>
      <c r="BU25" s="64" t="str">
        <f>IF(U25&lt;&gt;"SÍ","",IF(AND(BT25&gt;=0,IF(MAX(DATOS!$C$71,CEILING(BT25/INDEX(TABLAS!$D$52:$D$58,MIN(MATCH(DATOS!$C$69,TABLAS!$B$52:$B$58,0)+0,7)),1))*INDEX(TABLAS!$D$52:$D$58,MIN(MATCH(DATOS!$C$69,TABLAS!$B$52:$B$58,0)+0,7))&gt;=4/3*IF(BG25&lt;=0,0,IF((1-2*BG25*1E5/(DATOS!$C$29*AE25*BS25^2*DATOS!$C$21))&lt;0,-1,IF((1-SQRT((1-2*BG25*1E5/(DATOS!$C$29*AE25*BS25^2*DATOS!$C$21))))*DATOS!$C$21*AE25*BS25/DATOS!$C$14&gt;DATOS!$C$99*AE25*BS25,-1,(1-SQRT((1-2*BG25*1E5/(DATOS!$C$29*AE25*BS25^2*DATOS!$C$21))))*DATOS!$C$21*AE25*BS25/DATOS!$C$14)))-0.0001,MAX(DATOS!$C$71,CEILING(BT25/INDEX(TABLAS!$D$52:$D$58,MIN(MATCH(DATOS!$C$69,TABLAS!$B$52:$B$58,0)+0,7)),1)),MAX(MAX(DATOS!$C$71,CEILING(BT25/INDEX(TABLAS!$D$52:$D$58,MIN(MATCH(DATOS!$C$69,TABLAS!$B$52:$B$58,0)+0,7)),1)),2))&lt;=MIN(DATOS!$C$70,INT(((AC25-2*AK25)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25&gt;=0,IF(MAX(DATOS!$C$71,CEILING(BT25/INDEX(TABLAS!$D$52:$D$58,MIN(MATCH(DATOS!$C$69,TABLAS!$B$52:$B$58,0)+1,7)),1))*INDEX(TABLAS!$D$52:$D$58,MIN(MATCH(DATOS!$C$69,TABLAS!$B$52:$B$58,0)+1,7))&gt;=4/3*IF(BG25&lt;=0,0,IF((1-2*BG25*1E5/(DATOS!$C$29*AE25*BS25^2*DATOS!$C$21))&lt;0,-1,IF((1-SQRT((1-2*BG25*1E5/(DATOS!$C$29*AE25*BS25^2*DATOS!$C$21))))*DATOS!$C$21*AE25*BS25/DATOS!$C$14&gt;DATOS!$C$99*AE25*BS25,-1,(1-SQRT((1-2*BG25*1E5/(DATOS!$C$29*AE25*BS25^2*DATOS!$C$21))))*DATOS!$C$21*AE25*BS25/DATOS!$C$14)))-0.0001,MAX(DATOS!$C$71,CEILING(BT25/INDEX(TABLAS!$D$52:$D$58,MIN(MATCH(DATOS!$C$69,TABLAS!$B$52:$B$58,0)+1,7)),1)),MAX(MAX(DATOS!$C$71,CEILING(BT25/INDEX(TABLAS!$D$52:$D$58,MIN(MATCH(DATOS!$C$69,TABLAS!$B$52:$B$58,0)+1,7)),1)),2))&lt;=MIN(DATOS!$C$70,INT(((AC25-2*AK25)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25&gt;=0,IF(MAX(DATOS!$C$71,CEILING(BT25/INDEX(TABLAS!$D$52:$D$58,MIN(MATCH(DATOS!$C$69,TABLAS!$B$52:$B$58,0)+2,7)),1))*INDEX(TABLAS!$D$52:$D$58,MIN(MATCH(DATOS!$C$69,TABLAS!$B$52:$B$58,0)+2,7))&gt;=4/3*IF(BG25&lt;=0,0,IF((1-2*BG25*1E5/(DATOS!$C$29*AE25*BS25^2*DATOS!$C$21))&lt;0,-1,IF((1-SQRT((1-2*BG25*1E5/(DATOS!$C$29*AE25*BS25^2*DATOS!$C$21))))*DATOS!$C$21*AE25*BS25/DATOS!$C$14&gt;DATOS!$C$99*AE25*BS25,-1,(1-SQRT((1-2*BG25*1E5/(DATOS!$C$29*AE25*BS25^2*DATOS!$C$21))))*DATOS!$C$21*AE25*BS25/DATOS!$C$14)))-0.0001,MAX(DATOS!$C$71,CEILING(BT25/INDEX(TABLAS!$D$52:$D$58,MIN(MATCH(DATOS!$C$69,TABLAS!$B$52:$B$58,0)+2,7)),1)),MAX(MAX(DATOS!$C$71,CEILING(BT25/INDEX(TABLAS!$D$52:$D$58,MIN(MATCH(DATOS!$C$69,TABLAS!$B$52:$B$58,0)+2,7)),1)),2))&lt;=MIN(DATOS!$C$70,INT(((AC25-2*AK25)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25&gt;=0,IF(MAX(DATOS!$C$71,CEILING(BT25/INDEX(TABLAS!$D$52:$D$58,MIN(MATCH(DATOS!$C$69,TABLAS!$B$52:$B$58,0)+3,7)),1))*INDEX(TABLAS!$D$52:$D$58,MIN(MATCH(DATOS!$C$69,TABLAS!$B$52:$B$58,0)+3,7))&gt;=4/3*IF(BG25&lt;=0,0,IF((1-2*BG25*1E5/(DATOS!$C$29*AE25*BS25^2*DATOS!$C$21))&lt;0,-1,IF((1-SQRT((1-2*BG25*1E5/(DATOS!$C$29*AE25*BS25^2*DATOS!$C$21))))*DATOS!$C$21*AE25*BS25/DATOS!$C$14&gt;DATOS!$C$99*AE25*BS25,-1,(1-SQRT((1-2*BG25*1E5/(DATOS!$C$29*AE25*BS25^2*DATOS!$C$21))))*DATOS!$C$21*AE25*BS25/DATOS!$C$14)))-0.0001,MAX(DATOS!$C$71,CEILING(BT25/INDEX(TABLAS!$D$52:$D$58,MIN(MATCH(DATOS!$C$69,TABLAS!$B$52:$B$58,0)+3,7)),1)),MAX(MAX(DATOS!$C$71,CEILING(BT25/INDEX(TABLAS!$D$52:$D$58,MIN(MATCH(DATOS!$C$69,TABLAS!$B$52:$B$58,0)+3,7)),1)),2))&lt;=MIN(DATOS!$C$70,INT(((AC25-2*AK25)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25&gt;=0,IF(MAX(DATOS!$C$71,CEILING(BT25/INDEX(TABLAS!$D$52:$D$58,MIN(MATCH(DATOS!$C$69,TABLAS!$B$52:$B$58,0)+4,7)),1))*INDEX(TABLAS!$D$52:$D$58,MIN(MATCH(DATOS!$C$69,TABLAS!$B$52:$B$58,0)+4,7))&gt;=4/3*IF(BG25&lt;=0,0,IF((1-2*BG25*1E5/(DATOS!$C$29*AE25*BS25^2*DATOS!$C$21))&lt;0,-1,IF((1-SQRT((1-2*BG25*1E5/(DATOS!$C$29*AE25*BS25^2*DATOS!$C$21))))*DATOS!$C$21*AE25*BS25/DATOS!$C$14&gt;DATOS!$C$99*AE25*BS25,-1,(1-SQRT((1-2*BG25*1E5/(DATOS!$C$29*AE25*BS25^2*DATOS!$C$21))))*DATOS!$C$21*AE25*BS25/DATOS!$C$14)))-0.0001,MAX(DATOS!$C$71,CEILING(BT25/INDEX(TABLAS!$D$52:$D$58,MIN(MATCH(DATOS!$C$69,TABLAS!$B$52:$B$58,0)+4,7)),1)),MAX(MAX(DATOS!$C$71,CEILING(BT25/INDEX(TABLAS!$D$52:$D$58,MIN(MATCH(DATOS!$C$69,TABLAS!$B$52:$B$58,0)+4,7)),1)),2))&lt;=MIN(DATOS!$C$70,INT(((AC25-2*AK25)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25" s="59" t="str">
        <f>IF(U25&lt;&gt;"SÍ","",IF(BT25&lt;0,0,IF(MAX(DATOS!$C$71,CEILING(MAX(BT25,0)/INDEX(TABLAS!$D$52:$D$58,MATCH(BU25,TABLAS!$B$52:$B$58,0)),1))*INDEX(TABLAS!$D$52:$D$58,MATCH(BU25,TABLAS!$B$52:$B$58,0))&gt;=4/3*IF(BG25&lt;=0,0,IF((1-2*BG25*1E5/(DATOS!$C$29*AE25*BS25^2*DATOS!$C$21))&lt;0,-1,IF((1-SQRT((1-2*BG25*1E5/(DATOS!$C$29*AE25*BS25^2*DATOS!$C$21))))*DATOS!$C$21*AE25*BS25/DATOS!$C$14&gt;DATOS!$C$99*AE25*BS25,-1,(1-SQRT((1-2*BG25*1E5/(DATOS!$C$29*AE25*BS25^2*DATOS!$C$21))))*DATOS!$C$21*AE25*BS25/DATOS!$C$14)))-0.0001,MAX(DATOS!$C$71,CEILING(MAX(BT25,0)/INDEX(TABLAS!$D$52:$D$58,MATCH(BU25,TABLAS!$B$52:$B$58,0)),1)),MAX(MAX(DATOS!$C$71,CEILING(MAX(BT25,0)/INDEX(TABLAS!$D$52:$D$58,MATCH(BU25,TABLAS!$B$52:$B$58,0)),1)),2))))</f>
        <v/>
      </c>
      <c r="BW25" s="58" t="str">
        <f>IF(U25&lt;&gt;"SÍ","",((DATOS!$C$82-AL25-2*DATOS!$C$94-INDEX(TABLAS!$C$52:$C$58,MATCH(BU25,TABLAS!$B$52:$B$58,0))/2)-IF(AND((DATOS!$C$82-AL25-2*DATOS!$C$94-INDEX(TABLAS!$C$52:$C$58,MATCH(BU25,TABLAS!$B$52:$B$58,0))/2)&lt;=20,DATOS!$C$62&lt;&gt;"SÍ"),2,0)))</f>
        <v/>
      </c>
      <c r="BX25" s="56" t="str">
        <f>IF(U25&lt;&gt;"SÍ","",IF(BV25=0,0,DATOS!$C$29*BV25*INDEX(TABLAS!$D$52:$D$58,MATCH(BU25,TABLAS!$B$52:$B$58,0))*DATOS!$C$14*(BW25-BV25*INDEX(TABLAS!$D$52:$D$58,MATCH(BU25,TABLAS!$B$52:$B$58,0))*DATOS!$C$14/(DATOS!$C$21*AE25)/2)/1E5))</f>
        <v/>
      </c>
      <c r="BY25" s="65" t="str">
        <f>IF(U25&lt;&gt;"SÍ","",IF(BT25&lt;0,9.99,IF(BX25&gt;0,BG25/BX25,0)))</f>
        <v/>
      </c>
      <c r="BZ25" s="66" t="str">
        <f>IF(U25&lt;&gt;"SÍ","",IF(BV25=0,"—",0.003*(BW25-(BV25*INDEX(TABLAS!$D$52:$D$58,MATCH(BU25,TABLAS!$B$52:$B$58,0))*DATOS!$C$14/(DATOS!$C$21*AE25)/DATOS!$C$22))/(BV25*INDEX(TABLAS!$D$52:$D$58,MATCH(BU25,TABLAS!$B$52:$B$58,0))*DATOS!$C$14/(DATOS!$C$21*AE25)/DATOS!$C$22)))</f>
        <v/>
      </c>
      <c r="CA25" s="58" t="str">
        <f>IF(U25&lt;&gt;"SÍ","",(DATOS!$C$82-AJ25-INDEX(TABLAS!$C$52:$C$58,MATCH(DATOS!$C$68,TABLAS!$B$52:$B$58,0))-INDEX(TABLAS!$C$52:$C$58,MATCH(DATOS!$C$68,TABLAS!$B$52:$B$58,0))/2))</f>
        <v/>
      </c>
      <c r="CB25" s="58" t="str">
        <f>IF(U25&lt;&gt;"SÍ","",IF(IF(BH25&lt;=0,0,IF((1-2*BH25*1E5/(DATOS!$C$29*AH25*CA25^2*DATOS!$C$21))&lt;0,-1,IF((1-SQRT((1-2*BH25*1E5/(DATOS!$C$29*AH25*CA25^2*DATOS!$C$21))))*DATOS!$C$21*AH25*CA25/DATOS!$C$14&gt;DATOS!$C$99*AH25*CA25,-1,(1-SQRT((1-2*BH25*1E5/(DATOS!$C$29*AH25*CA25^2*DATOS!$C$21))))*DATOS!$C$21*AH25*CA25/DATOS!$C$14)))&lt;0,-1,MAX(IF(BH25&lt;=0,0,IF((1-2*BH25*1E5/(DATOS!$C$29*AH25*CA25^2*DATOS!$C$21))&lt;0,-1,IF((1-SQRT((1-2*BH25*1E5/(DATOS!$C$29*AH25*CA25^2*DATOS!$C$21))))*DATOS!$C$21*AH25*CA25/DATOS!$C$14&gt;DATOS!$C$99*AH25*CA25,-1,(1-SQRT((1-2*BH25*1E5/(DATOS!$C$29*AH25*CA25^2*DATOS!$C$21))))*DATOS!$C$21*AH25*CA25/DATOS!$C$14))),MIN(DATOS!$C$100*DATOS!$C$80*CA25,4/3*IF(BH25&lt;=0,0,IF((1-2*BH25*1E5/(DATOS!$C$29*AH25*CA25^2*DATOS!$C$21))&lt;0,-1,IF((1-SQRT((1-2*BH25*1E5/(DATOS!$C$29*AH25*CA25^2*DATOS!$C$21))))*DATOS!$C$21*AH25*CA25/DATOS!$C$14&gt;DATOS!$C$99*AH25*CA25,-1,(1-SQRT((1-2*BH25*1E5/(DATOS!$C$29*AH25*CA25^2*DATOS!$C$21))))*DATOS!$C$21*AH25*CA25/DATOS!$C$14)))))))</f>
        <v/>
      </c>
      <c r="CC25" s="64" t="str">
        <f>IF(U25&lt;&gt;"SÍ","",IF(AND(CB25&gt;=0,IF(MAX(DATOS!$C$71,CEILING(CB25/INDEX(TABLAS!$D$52:$D$58,MIN(MATCH(DATOS!$C$68,TABLAS!$B$52:$B$58,0)+0,7)),1))*INDEX(TABLAS!$D$52:$D$58,MIN(MATCH(DATOS!$C$68,TABLAS!$B$52:$B$58,0)+0,7))&gt;=4/3*IF(BH25&lt;=0,0,IF((1-2*BH25*1E5/(DATOS!$C$29*AH25*CA25^2*DATOS!$C$21))&lt;0,-1,IF((1-SQRT((1-2*BH25*1E5/(DATOS!$C$29*AH25*CA25^2*DATOS!$C$21))))*DATOS!$C$21*AH25*CA25/DATOS!$C$14&gt;DATOS!$C$99*AH25*CA25,-1,(1-SQRT((1-2*BH25*1E5/(DATOS!$C$29*AH25*CA25^2*DATOS!$C$21))))*DATOS!$C$21*AH25*CA25/DATOS!$C$14)))-0.0001,MAX(DATOS!$C$71,CEILING(CB25/INDEX(TABLAS!$D$52:$D$58,MIN(MATCH(DATOS!$C$68,TABLAS!$B$52:$B$58,0)+0,7)),1)),MAX(MAX(DATOS!$C$71,CEILING(CB25/INDEX(TABLAS!$D$52:$D$58,MIN(MATCH(DATOS!$C$68,TABLAS!$B$52:$B$58,0)+0,7)),1)),2))&lt;=MIN(DATOS!$C$70,INT(((DATOS!$C$80-2*AJ25)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25&gt;=0,IF(MAX(DATOS!$C$71,CEILING(CB25/INDEX(TABLAS!$D$52:$D$58,MIN(MATCH(DATOS!$C$68,TABLAS!$B$52:$B$58,0)+1,7)),1))*INDEX(TABLAS!$D$52:$D$58,MIN(MATCH(DATOS!$C$68,TABLAS!$B$52:$B$58,0)+1,7))&gt;=4/3*IF(BH25&lt;=0,0,IF((1-2*BH25*1E5/(DATOS!$C$29*AH25*CA25^2*DATOS!$C$21))&lt;0,-1,IF((1-SQRT((1-2*BH25*1E5/(DATOS!$C$29*AH25*CA25^2*DATOS!$C$21))))*DATOS!$C$21*AH25*CA25/DATOS!$C$14&gt;DATOS!$C$99*AH25*CA25,-1,(1-SQRT((1-2*BH25*1E5/(DATOS!$C$29*AH25*CA25^2*DATOS!$C$21))))*DATOS!$C$21*AH25*CA25/DATOS!$C$14)))-0.0001,MAX(DATOS!$C$71,CEILING(CB25/INDEX(TABLAS!$D$52:$D$58,MIN(MATCH(DATOS!$C$68,TABLAS!$B$52:$B$58,0)+1,7)),1)),MAX(MAX(DATOS!$C$71,CEILING(CB25/INDEX(TABLAS!$D$52:$D$58,MIN(MATCH(DATOS!$C$68,TABLAS!$B$52:$B$58,0)+1,7)),1)),2))&lt;=MIN(DATOS!$C$70,INT(((DATOS!$C$80-2*AJ25)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25&gt;=0,IF(MAX(DATOS!$C$71,CEILING(CB25/INDEX(TABLAS!$D$52:$D$58,MIN(MATCH(DATOS!$C$68,TABLAS!$B$52:$B$58,0)+2,7)),1))*INDEX(TABLAS!$D$52:$D$58,MIN(MATCH(DATOS!$C$68,TABLAS!$B$52:$B$58,0)+2,7))&gt;=4/3*IF(BH25&lt;=0,0,IF((1-2*BH25*1E5/(DATOS!$C$29*AH25*CA25^2*DATOS!$C$21))&lt;0,-1,IF((1-SQRT((1-2*BH25*1E5/(DATOS!$C$29*AH25*CA25^2*DATOS!$C$21))))*DATOS!$C$21*AH25*CA25/DATOS!$C$14&gt;DATOS!$C$99*AH25*CA25,-1,(1-SQRT((1-2*BH25*1E5/(DATOS!$C$29*AH25*CA25^2*DATOS!$C$21))))*DATOS!$C$21*AH25*CA25/DATOS!$C$14)))-0.0001,MAX(DATOS!$C$71,CEILING(CB25/INDEX(TABLAS!$D$52:$D$58,MIN(MATCH(DATOS!$C$68,TABLAS!$B$52:$B$58,0)+2,7)),1)),MAX(MAX(DATOS!$C$71,CEILING(CB25/INDEX(TABLAS!$D$52:$D$58,MIN(MATCH(DATOS!$C$68,TABLAS!$B$52:$B$58,0)+2,7)),1)),2))&lt;=MIN(DATOS!$C$70,INT(((DATOS!$C$80-2*AJ25)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25&gt;=0,IF(MAX(DATOS!$C$71,CEILING(CB25/INDEX(TABLAS!$D$52:$D$58,MIN(MATCH(DATOS!$C$68,TABLAS!$B$52:$B$58,0)+3,7)),1))*INDEX(TABLAS!$D$52:$D$58,MIN(MATCH(DATOS!$C$68,TABLAS!$B$52:$B$58,0)+3,7))&gt;=4/3*IF(BH25&lt;=0,0,IF((1-2*BH25*1E5/(DATOS!$C$29*AH25*CA25^2*DATOS!$C$21))&lt;0,-1,IF((1-SQRT((1-2*BH25*1E5/(DATOS!$C$29*AH25*CA25^2*DATOS!$C$21))))*DATOS!$C$21*AH25*CA25/DATOS!$C$14&gt;DATOS!$C$99*AH25*CA25,-1,(1-SQRT((1-2*BH25*1E5/(DATOS!$C$29*AH25*CA25^2*DATOS!$C$21))))*DATOS!$C$21*AH25*CA25/DATOS!$C$14)))-0.0001,MAX(DATOS!$C$71,CEILING(CB25/INDEX(TABLAS!$D$52:$D$58,MIN(MATCH(DATOS!$C$68,TABLAS!$B$52:$B$58,0)+3,7)),1)),MAX(MAX(DATOS!$C$71,CEILING(CB25/INDEX(TABLAS!$D$52:$D$58,MIN(MATCH(DATOS!$C$68,TABLAS!$B$52:$B$58,0)+3,7)),1)),2))&lt;=MIN(DATOS!$C$70,INT(((DATOS!$C$80-2*AJ25)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25&gt;=0,IF(MAX(DATOS!$C$71,CEILING(CB25/INDEX(TABLAS!$D$52:$D$58,MIN(MATCH(DATOS!$C$68,TABLAS!$B$52:$B$58,0)+4,7)),1))*INDEX(TABLAS!$D$52:$D$58,MIN(MATCH(DATOS!$C$68,TABLAS!$B$52:$B$58,0)+4,7))&gt;=4/3*IF(BH25&lt;=0,0,IF((1-2*BH25*1E5/(DATOS!$C$29*AH25*CA25^2*DATOS!$C$21))&lt;0,-1,IF((1-SQRT((1-2*BH25*1E5/(DATOS!$C$29*AH25*CA25^2*DATOS!$C$21))))*DATOS!$C$21*AH25*CA25/DATOS!$C$14&gt;DATOS!$C$99*AH25*CA25,-1,(1-SQRT((1-2*BH25*1E5/(DATOS!$C$29*AH25*CA25^2*DATOS!$C$21))))*DATOS!$C$21*AH25*CA25/DATOS!$C$14)))-0.0001,MAX(DATOS!$C$71,CEILING(CB25/INDEX(TABLAS!$D$52:$D$58,MIN(MATCH(DATOS!$C$68,TABLAS!$B$52:$B$58,0)+4,7)),1)),MAX(MAX(DATOS!$C$71,CEILING(CB25/INDEX(TABLAS!$D$52:$D$58,MIN(MATCH(DATOS!$C$68,TABLAS!$B$52:$B$58,0)+4,7)),1)),2))&lt;=MIN(DATOS!$C$70,INT(((DATOS!$C$80-2*AJ25)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25" s="59" t="str">
        <f>IF(U25&lt;&gt;"SÍ","",IF(CB25&lt;0,0,IF(MAX(DATOS!$C$71,CEILING(MAX(CB25,0)/INDEX(TABLAS!$D$52:$D$58,MATCH(CC25,TABLAS!$B$52:$B$58,0)),1))*INDEX(TABLAS!$D$52:$D$58,MATCH(CC25,TABLAS!$B$52:$B$58,0))&gt;=4/3*IF(BH25&lt;=0,0,IF((1-2*BH25*1E5/(DATOS!$C$29*AH25*CA25^2*DATOS!$C$21))&lt;0,-1,IF((1-SQRT((1-2*BH25*1E5/(DATOS!$C$29*AH25*CA25^2*DATOS!$C$21))))*DATOS!$C$21*AH25*CA25/DATOS!$C$14&gt;DATOS!$C$99*AH25*CA25,-1,(1-SQRT((1-2*BH25*1E5/(DATOS!$C$29*AH25*CA25^2*DATOS!$C$21))))*DATOS!$C$21*AH25*CA25/DATOS!$C$14)))-0.0001,MAX(DATOS!$C$71,CEILING(MAX(CB25,0)/INDEX(TABLAS!$D$52:$D$58,MATCH(CC25,TABLAS!$B$52:$B$58,0)),1)),MAX(MAX(DATOS!$C$71,CEILING(MAX(CB25,0)/INDEX(TABLAS!$D$52:$D$58,MATCH(CC25,TABLAS!$B$52:$B$58,0)),1)),2))))</f>
        <v/>
      </c>
      <c r="CE25" s="58" t="str">
        <f>IF(U25&lt;&gt;"SÍ","",DATOS!$C$82-AJ25-INDEX(TABLAS!$C$52:$C$58,MATCH(BM25,TABLAS!$B$52:$B$58,0))-INDEX(TABLAS!$C$52:$C$58,MATCH(CC25,TABLAS!$B$52:$B$58,0))/2)</f>
        <v/>
      </c>
      <c r="CF25" s="56" t="str">
        <f>IF(U25&lt;&gt;"SÍ","",IF(CD25=0,0,DATOS!$C$29*CD25*INDEX(TABLAS!$D$52:$D$58,MATCH(CC25,TABLAS!$B$52:$B$58,0))*DATOS!$C$14*(CE25-CD25*INDEX(TABLAS!$D$52:$D$58,MATCH(CC25,TABLAS!$B$52:$B$58,0))*DATOS!$C$14/(DATOS!$C$21*AH25)/2)/1E5))</f>
        <v/>
      </c>
      <c r="CG25" s="65" t="str">
        <f>IF(U25&lt;&gt;"SÍ","",IF(CB25&lt;0,9.99,IF(CF25&gt;0,BH25/CF25,0)))</f>
        <v/>
      </c>
      <c r="CH25" s="66" t="str">
        <f>IF(U25&lt;&gt;"SÍ","",IF(CD25=0,"—",0.003*(CE25-(CD25*INDEX(TABLAS!$D$52:$D$58,MATCH(CC25,TABLAS!$B$52:$B$58,0))*DATOS!$C$14/(DATOS!$C$21*AH25)/DATOS!$C$22))/(CD25*INDEX(TABLAS!$D$52:$D$58,MATCH(CC25,TABLAS!$B$52:$B$58,0))*DATOS!$C$14/(DATOS!$C$21*AH25)/DATOS!$C$22)))</f>
        <v/>
      </c>
      <c r="CI25" s="58" t="str">
        <f>IF(U25&lt;&gt;"SÍ","",((DATOS!$C$82-AL25-2*DATOS!$C$94-INDEX(TABLAS!$C$52:$C$58,MATCH(DATOS!$C$69,TABLAS!$B$52:$B$58,0))-INDEX(TABLAS!$C$52:$C$58,MATCH(DATOS!$C$69,TABLAS!$B$52:$B$58,0))/2)-IF(AND((DATOS!$C$82-AL25-2*DATOS!$C$94-INDEX(TABLAS!$C$52:$C$58,MATCH(DATOS!$C$69,TABLAS!$B$52:$B$58,0))-INDEX(TABLAS!$C$52:$C$58,MATCH(DATOS!$C$69,TABLAS!$B$52:$B$58,0))/2)&lt;=20,DATOS!$C$62&lt;&gt;"SÍ"),2,0)))</f>
        <v/>
      </c>
      <c r="CJ25" s="58" t="str">
        <f>IF(U25&lt;&gt;"SÍ","",IF(IF(BI25&lt;=0,0,IF((1-2*BI25*1E5/(DATOS!$C$29*AF25*CI25^2*DATOS!$C$21))&lt;0,-1,IF((1-SQRT((1-2*BI25*1E5/(DATOS!$C$29*AF25*CI25^2*DATOS!$C$21))))*DATOS!$C$21*AF25*CI25/DATOS!$C$14&gt;DATOS!$C$99*AF25*CI25,-1,(1-SQRT((1-2*BI25*1E5/(DATOS!$C$29*AF25*CI25^2*DATOS!$C$21))))*DATOS!$C$21*AF25*CI25/DATOS!$C$14)))&lt;0,-1,MAX(IF(BI25&lt;=0,0,IF((1-2*BI25*1E5/(DATOS!$C$29*AF25*CI25^2*DATOS!$C$21))&lt;0,-1,IF((1-SQRT((1-2*BI25*1E5/(DATOS!$C$29*AF25*CI25^2*DATOS!$C$21))))*DATOS!$C$21*AF25*CI25/DATOS!$C$14&gt;DATOS!$C$99*AF25*CI25,-1,(1-SQRT((1-2*BI25*1E5/(DATOS!$C$29*AF25*CI25^2*DATOS!$C$21))))*DATOS!$C$21*AF25*CI25/DATOS!$C$14))),MIN(DATOS!$C$100*DATOS!$C$80*CI25,4/3*IF(BI25&lt;=0,0,IF((1-2*BI25*1E5/(DATOS!$C$29*AF25*CI25^2*DATOS!$C$21))&lt;0,-1,IF((1-SQRT((1-2*BI25*1E5/(DATOS!$C$29*AF25*CI25^2*DATOS!$C$21))))*DATOS!$C$21*AF25*CI25/DATOS!$C$14&gt;DATOS!$C$99*AF25*CI25,-1,(1-SQRT((1-2*BI25*1E5/(DATOS!$C$29*AF25*CI25^2*DATOS!$C$21))))*DATOS!$C$21*AF25*CI25/DATOS!$C$14)))))))</f>
        <v/>
      </c>
      <c r="CK25" s="64" t="str">
        <f>IF(U25&lt;&gt;"SÍ","",IF(AND(CJ25&gt;=0,IF(MAX(DATOS!$C$71,CEILING(CJ25/INDEX(TABLAS!$D$52:$D$58,MIN(MATCH(DATOS!$C$69,TABLAS!$B$52:$B$58,0)+0,7)),1))*INDEX(TABLAS!$D$52:$D$58,MIN(MATCH(DATOS!$C$69,TABLAS!$B$52:$B$58,0)+0,7))&gt;=4/3*IF(BI25&lt;=0,0,IF((1-2*BI25*1E5/(DATOS!$C$29*AF25*CI25^2*DATOS!$C$21))&lt;0,-1,IF((1-SQRT((1-2*BI25*1E5/(DATOS!$C$29*AF25*CI25^2*DATOS!$C$21))))*DATOS!$C$21*AF25*CI25/DATOS!$C$14&gt;DATOS!$C$99*AF25*CI25,-1,(1-SQRT((1-2*BI25*1E5/(DATOS!$C$29*AF25*CI25^2*DATOS!$C$21))))*DATOS!$C$21*AF25*CI25/DATOS!$C$14)))-0.0001,MAX(DATOS!$C$71,CEILING(CJ25/INDEX(TABLAS!$D$52:$D$58,MIN(MATCH(DATOS!$C$69,TABLAS!$B$52:$B$58,0)+0,7)),1)),MAX(MAX(DATOS!$C$71,CEILING(CJ25/INDEX(TABLAS!$D$52:$D$58,MIN(MATCH(DATOS!$C$69,TABLAS!$B$52:$B$58,0)+0,7)),1)),2))&lt;=MIN(DATOS!$C$70,INT(((DATOS!$C$80-2*AK25)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25&gt;=0,IF(MAX(DATOS!$C$71,CEILING(CJ25/INDEX(TABLAS!$D$52:$D$58,MIN(MATCH(DATOS!$C$69,TABLAS!$B$52:$B$58,0)+1,7)),1))*INDEX(TABLAS!$D$52:$D$58,MIN(MATCH(DATOS!$C$69,TABLAS!$B$52:$B$58,0)+1,7))&gt;=4/3*IF(BI25&lt;=0,0,IF((1-2*BI25*1E5/(DATOS!$C$29*AF25*CI25^2*DATOS!$C$21))&lt;0,-1,IF((1-SQRT((1-2*BI25*1E5/(DATOS!$C$29*AF25*CI25^2*DATOS!$C$21))))*DATOS!$C$21*AF25*CI25/DATOS!$C$14&gt;DATOS!$C$99*AF25*CI25,-1,(1-SQRT((1-2*BI25*1E5/(DATOS!$C$29*AF25*CI25^2*DATOS!$C$21))))*DATOS!$C$21*AF25*CI25/DATOS!$C$14)))-0.0001,MAX(DATOS!$C$71,CEILING(CJ25/INDEX(TABLAS!$D$52:$D$58,MIN(MATCH(DATOS!$C$69,TABLAS!$B$52:$B$58,0)+1,7)),1)),MAX(MAX(DATOS!$C$71,CEILING(CJ25/INDEX(TABLAS!$D$52:$D$58,MIN(MATCH(DATOS!$C$69,TABLAS!$B$52:$B$58,0)+1,7)),1)),2))&lt;=MIN(DATOS!$C$70,INT(((DATOS!$C$80-2*AK25)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25&gt;=0,IF(MAX(DATOS!$C$71,CEILING(CJ25/INDEX(TABLAS!$D$52:$D$58,MIN(MATCH(DATOS!$C$69,TABLAS!$B$52:$B$58,0)+2,7)),1))*INDEX(TABLAS!$D$52:$D$58,MIN(MATCH(DATOS!$C$69,TABLAS!$B$52:$B$58,0)+2,7))&gt;=4/3*IF(BI25&lt;=0,0,IF((1-2*BI25*1E5/(DATOS!$C$29*AF25*CI25^2*DATOS!$C$21))&lt;0,-1,IF((1-SQRT((1-2*BI25*1E5/(DATOS!$C$29*AF25*CI25^2*DATOS!$C$21))))*DATOS!$C$21*AF25*CI25/DATOS!$C$14&gt;DATOS!$C$99*AF25*CI25,-1,(1-SQRT((1-2*BI25*1E5/(DATOS!$C$29*AF25*CI25^2*DATOS!$C$21))))*DATOS!$C$21*AF25*CI25/DATOS!$C$14)))-0.0001,MAX(DATOS!$C$71,CEILING(CJ25/INDEX(TABLAS!$D$52:$D$58,MIN(MATCH(DATOS!$C$69,TABLAS!$B$52:$B$58,0)+2,7)),1)),MAX(MAX(DATOS!$C$71,CEILING(CJ25/INDEX(TABLAS!$D$52:$D$58,MIN(MATCH(DATOS!$C$69,TABLAS!$B$52:$B$58,0)+2,7)),1)),2))&lt;=MIN(DATOS!$C$70,INT(((DATOS!$C$80-2*AK25)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25&gt;=0,IF(MAX(DATOS!$C$71,CEILING(CJ25/INDEX(TABLAS!$D$52:$D$58,MIN(MATCH(DATOS!$C$69,TABLAS!$B$52:$B$58,0)+3,7)),1))*INDEX(TABLAS!$D$52:$D$58,MIN(MATCH(DATOS!$C$69,TABLAS!$B$52:$B$58,0)+3,7))&gt;=4/3*IF(BI25&lt;=0,0,IF((1-2*BI25*1E5/(DATOS!$C$29*AF25*CI25^2*DATOS!$C$21))&lt;0,-1,IF((1-SQRT((1-2*BI25*1E5/(DATOS!$C$29*AF25*CI25^2*DATOS!$C$21))))*DATOS!$C$21*AF25*CI25/DATOS!$C$14&gt;DATOS!$C$99*AF25*CI25,-1,(1-SQRT((1-2*BI25*1E5/(DATOS!$C$29*AF25*CI25^2*DATOS!$C$21))))*DATOS!$C$21*AF25*CI25/DATOS!$C$14)))-0.0001,MAX(DATOS!$C$71,CEILING(CJ25/INDEX(TABLAS!$D$52:$D$58,MIN(MATCH(DATOS!$C$69,TABLAS!$B$52:$B$58,0)+3,7)),1)),MAX(MAX(DATOS!$C$71,CEILING(CJ25/INDEX(TABLAS!$D$52:$D$58,MIN(MATCH(DATOS!$C$69,TABLAS!$B$52:$B$58,0)+3,7)),1)),2))&lt;=MIN(DATOS!$C$70,INT(((DATOS!$C$80-2*AK25)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25&gt;=0,IF(MAX(DATOS!$C$71,CEILING(CJ25/INDEX(TABLAS!$D$52:$D$58,MIN(MATCH(DATOS!$C$69,TABLAS!$B$52:$B$58,0)+4,7)),1))*INDEX(TABLAS!$D$52:$D$58,MIN(MATCH(DATOS!$C$69,TABLAS!$B$52:$B$58,0)+4,7))&gt;=4/3*IF(BI25&lt;=0,0,IF((1-2*BI25*1E5/(DATOS!$C$29*AF25*CI25^2*DATOS!$C$21))&lt;0,-1,IF((1-SQRT((1-2*BI25*1E5/(DATOS!$C$29*AF25*CI25^2*DATOS!$C$21))))*DATOS!$C$21*AF25*CI25/DATOS!$C$14&gt;DATOS!$C$99*AF25*CI25,-1,(1-SQRT((1-2*BI25*1E5/(DATOS!$C$29*AF25*CI25^2*DATOS!$C$21))))*DATOS!$C$21*AF25*CI25/DATOS!$C$14)))-0.0001,MAX(DATOS!$C$71,CEILING(CJ25/INDEX(TABLAS!$D$52:$D$58,MIN(MATCH(DATOS!$C$69,TABLAS!$B$52:$B$58,0)+4,7)),1)),MAX(MAX(DATOS!$C$71,CEILING(CJ25/INDEX(TABLAS!$D$52:$D$58,MIN(MATCH(DATOS!$C$69,TABLAS!$B$52:$B$58,0)+4,7)),1)),2))&lt;=MIN(DATOS!$C$70,INT(((DATOS!$C$80-2*AK25)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25" s="59" t="str">
        <f>IF(U25&lt;&gt;"SÍ","",IF(CJ25&lt;0,0,IF(MAX(DATOS!$C$71,CEILING(MAX(CJ25,0)/INDEX(TABLAS!$D$52:$D$58,MATCH(CK25,TABLAS!$B$52:$B$58,0)),1))*INDEX(TABLAS!$D$52:$D$58,MATCH(CK25,TABLAS!$B$52:$B$58,0))&gt;=4/3*IF(BI25&lt;=0,0,IF((1-2*BI25*1E5/(DATOS!$C$29*AF25*CI25^2*DATOS!$C$21))&lt;0,-1,IF((1-SQRT((1-2*BI25*1E5/(DATOS!$C$29*AF25*CI25^2*DATOS!$C$21))))*DATOS!$C$21*AF25*CI25/DATOS!$C$14&gt;DATOS!$C$99*AF25*CI25,-1,(1-SQRT((1-2*BI25*1E5/(DATOS!$C$29*AF25*CI25^2*DATOS!$C$21))))*DATOS!$C$21*AF25*CI25/DATOS!$C$14)))-0.0001,MAX(DATOS!$C$71,CEILING(MAX(CJ25,0)/INDEX(TABLAS!$D$52:$D$58,MATCH(CK25,TABLAS!$B$52:$B$58,0)),1)),MAX(MAX(DATOS!$C$71,CEILING(MAX(CJ25,0)/INDEX(TABLAS!$D$52:$D$58,MATCH(CK25,TABLAS!$B$52:$B$58,0)),1)),2))))</f>
        <v/>
      </c>
      <c r="CM25" s="58" t="str">
        <f>IF(U25&lt;&gt;"SÍ","",((DATOS!$C$82-AL25-2*DATOS!$C$94-INDEX(TABLAS!$C$52:$C$58,MATCH(BU25,TABLAS!$B$52:$B$58,0))-INDEX(TABLAS!$C$52:$C$58,MATCH(CK25,TABLAS!$B$52:$B$58,0))/2)-IF(AND((DATOS!$C$82-AL25-2*DATOS!$C$94-INDEX(TABLAS!$C$52:$C$58,MATCH(BU25,TABLAS!$B$52:$B$58,0))-INDEX(TABLAS!$C$52:$C$58,MATCH(CK25,TABLAS!$B$52:$B$58,0))/2)&lt;=20,DATOS!$C$62&lt;&gt;"SÍ"),2,0)))</f>
        <v/>
      </c>
      <c r="CN25" s="56" t="str">
        <f>IF(U25&lt;&gt;"SÍ","",IF(CL25=0,0,DATOS!$C$29*CL25*INDEX(TABLAS!$D$52:$D$58,MATCH(CK25,TABLAS!$B$52:$B$58,0))*DATOS!$C$14*(CM25-CL25*INDEX(TABLAS!$D$52:$D$58,MATCH(CK25,TABLAS!$B$52:$B$58,0))*DATOS!$C$14/(DATOS!$C$21*AF25)/2)/1E5))</f>
        <v/>
      </c>
      <c r="CO25" s="65" t="str">
        <f>IF(U25&lt;&gt;"SÍ","",IF(CJ25&lt;0,9.99,IF(CN25&gt;0,BI25/CN25,0)))</f>
        <v/>
      </c>
      <c r="CP25" s="66" t="str">
        <f>IF(U25&lt;&gt;"SÍ","",IF(CL25=0,"—",0.003*(CM25-(CL25*INDEX(TABLAS!$D$52:$D$58,MATCH(CK25,TABLAS!$B$52:$B$58,0))*DATOS!$C$14/(DATOS!$C$21*AF25)/DATOS!$C$22))/(CL25*INDEX(TABLAS!$D$52:$D$58,MATCH(CK25,TABLAS!$B$52:$B$58,0))*DATOS!$C$14/(DATOS!$C$21*AF25)/DATOS!$C$22)))</f>
        <v/>
      </c>
      <c r="CQ25" s="56" t="str">
        <f>IF(U25&lt;&gt;"SÍ","",IF(C25="PERIMETRAL",MAX(0,(AA25/2-BW25)/100)*(0.95-0.5*Z25)*AQ25*IF(AND(AR25&gt;0,AR25&lt;4),DATOS!$C$33,1)*DATOS!$C$83/100/1000,(AQ25*MAX(0,AA25-BW25)/100+DATOS!$C$26*N(O25))*DATOS!$C$83/100/1000+BE25))</f>
        <v/>
      </c>
      <c r="CR25" s="56" t="str">
        <f>IF(U25&lt;&gt;"SÍ","",DATOS!$C$30*2*MIN(1,SQRT(2/(1+0.04*BW25)))*(BV25*INDEX(TABLAS!$D$52:$D$58,MATCH(BU25,TABLAS!$B$52:$B$58,0))/(AE25*BW25))^(1/3)*SQRT(DATOS!$C$13)*AE25*BW25*IF(AI25="SÍ",DATOS!$C$32,1)/1000)</f>
        <v/>
      </c>
      <c r="CS25" s="59" t="str">
        <f>IF(U25&lt;&gt;"SÍ","",IF(CQ25&lt;=CR25,0,CEILING(MAX(0,IF(C25="VOLADO",(AA25-((CR25-BE25)*1E5/DATOS!$C$83-DATOS!$C$26*N(O25))*100/AQ25),IF(CR25&lt;=0,AA25,AA25/2-CR25/MAX(CQ25,1E-9)*(AA25/2-BW25)))-IF(INT((X25*100-DATOS!$C$84+DATOS!$C$80)/DATOS!$C$83)&gt;0,(X25*100-DATOS!$C$84-(INT((X25*100-DATOS!$C$84+DATOS!$C$80)/DATOS!$C$83)*DATOS!$C$78+(INT((X25*100-DATOS!$C$84+DATOS!$C$80)/DATOS!$C$83)-1)*DATOS!$C$80))/2,X25*100/2))/DATOS!$C$83,1)))</f>
        <v/>
      </c>
      <c r="CT25" s="67" t="str">
        <f>IF(U25&lt;&gt;"SÍ","",IF(CQ25&lt;=CR25,"CUMPLE",IF(CS25&lt;=0,"CUMPLE (basta el macizo de orilla)",IF(CS25*DATOS!$C$83*IF(C25="VOLADO",1,2)&gt;=X25*100-DATOS!$C$84,"NO CUMPLE: no alcanza ni macizando todo","MACIZAR "&amp;CS25&amp;" hilera(s)"))))</f>
        <v/>
      </c>
      <c r="CU25" s="58" t="str">
        <f>IF(U25&lt;&gt;"SÍ","",(DATOS!$C$83*DATOS!$C$81^2/2+AC25*DATOS!$C$79*(DATOS!$C$81+DATOS!$C$79/2))/(DATOS!$C$83*DATOS!$C$81+AC25*DATOS!$C$79))</f>
        <v/>
      </c>
      <c r="CV25" s="68" t="str">
        <f>IF(U25&lt;&gt;"SÍ","",DATOS!$C$83*DATOS!$C$81^3/12+DATOS!$C$83*DATOS!$C$81*(CU25-DATOS!$C$81/2)^2+AC25*DATOS!$C$79^3/12+AC25*DATOS!$C$79*(DATOS!$C$81+DATOS!$C$79/2-CU25)^2)</f>
        <v/>
      </c>
      <c r="CW25" s="58" t="str">
        <f>IF(U25&lt;&gt;"SÍ","",(12*CV25/DATOS!$C$83)^(1/3))</f>
        <v/>
      </c>
      <c r="CX25" s="58" t="str">
        <f>IF(U25&lt;&gt;"SÍ","",IF(C25="PERIMETRAL",IF(ISNUMBER(R25),R25,DATOS!$C$101),0))</f>
        <v/>
      </c>
      <c r="CY25" s="57" t="str">
        <f>IF(U25&lt;&gt;"SÍ","",IF(C25="PERIMETRAL",IF(CX25&gt;2,MAX(9,AB25*(0.8+DATOS!$C$14/14000)/(36+9*(AB25/MAX(AA25,1)))),IF(CX25&gt;0.2,MAX(13,AB25*(0.8+DATOS!$C$14/14000)/(36+5*(AB25/MAX(AA25,1))*(CX25-0.2))),MAX(13,AB25/IF(AR25&gt;0,30,33))))*IF(AND(CX25&gt;0.2,AR25&gt;0,DATOS!$C$102="NO"),1.1,1),X25*100/8))</f>
        <v/>
      </c>
      <c r="CZ25" s="61" t="str">
        <f>IF(U25&lt;&gt;"SÍ","",IF(IF(C25="VOLADO",DATOS!$C$82,CW25)&gt;=CY25,"CUMPLE",IF(C25="VOLADO","NO CUMPLE","CALCULAR FLECHA")))</f>
        <v/>
      </c>
      <c r="DA25" s="55" t="str">
        <f>IF(U25&lt;&gt;"SÍ","",IF(DATOS!$C$81&gt;=IF(IF(C25="VOLADO",X25,Y25)&gt;=6,6,5),"CUMPLE","CAPA ≥ 6 cm"))</f>
        <v/>
      </c>
      <c r="DB25" s="60" t="str">
        <f>IF(U25&lt;&gt;"SÍ","",IF(C25="VOLADO",MIN(CEILING(IF(ISNUMBER(P25),P25,X25)*100,5),CEILING(MAX(IF((0.5*(0.9*DATOS!$C$87*DATOS!$C$83/100/1000)*IF(ISNUMBER(P25),P25,X25)+BG25/IF(ISNUMBER(P25),P25,X25))^2-4*(0.5*(0.9*DATOS!$C$87*DATOS!$C$83/100/1000))*BG25&lt;0,IF(ISNUMBER(P25),P25,X25),MIN(IF(ISNUMBER(P25),P25,X25),((0.5*(0.9*DATOS!$C$87*DATOS!$C$83/100/1000)*IF(ISNUMBER(P25),P25,X25)+BG25/IF(ISNUMBER(P25),P25,X25))-SQRT((0.5*(0.9*DATOS!$C$87*DATOS!$C$83/100/1000)*IF(ISNUMBER(P25),P25,X25)+BG25/IF(ISNUMBER(P25),P25,X25))^2-4*(0.5*(0.9*DATOS!$C$87*DATOS!$C$83/100/1000))*BG25))/(2*(0.5*(0.9*DATOS!$C$87*DATOS!$C$83/100/1000)))))*100+MAX(BW25,12*INDEX(TABLAS!$C$52:$C$58,MATCH(BU25,TABLAS!$B$52:$B$58,0)),IF(ISNUMBER(P25),P25,X25)*100/16),IF(OR(AK25&lt;INDEX(TABLAS!$C$52:$C$58,MATCH(BU25,TABLAS!$B$52:$B$58,0)),AND(BV25&gt;=2,(AC25-2*AK25-BV25*INDEX(TABLAS!$C$52:$C$58,MATCH(BU25,TABLAS!$B$52:$B$58,0)))/MAX(BV25-1,1)&lt;2*INDEX(TABLAS!$C$52:$C$58,MATCH(BU25,TABLAS!$B$52:$B$58,0)))),INDEX(TABLAS!$I$52:$I$58,MATCH(BU25,TABLAS!$B$52:$B$58,0)),INDEX(TABLAS!$F$52:$F$58,MATCH(BU25,TABLAS!$B$52:$B$58,0)))),5)),IF(((4*((BB25*AQ25*X25^2*1E-4*DATOS!$C$83/100/1000)+((MAX(AX25,AZ25)*AQ25*X25^2*1E-4*DATOS!$C$83/100/1000)+(IF(AND(AX25&gt;0,AZ25&gt;0),MIN(AX25,AZ25),MAX(AX25,AZ25))*AQ25*X25^2*1E-4*DATOS!$C$83/100/1000))/2)+BG25-(IF(AND(AX25&gt;0,AZ25&gt;0),MIN(AX25,AZ25),MAX(AX25,AZ25))*AQ25*X25^2*1E-4*DATOS!$C$83/100/1000))^2-16*((BB25*AQ25*X25^2*1E-4*DATOS!$C$83/100/1000)+((MAX(AX25,AZ25)*AQ25*X25^2*1E-4*DATOS!$C$83/100/1000)+(IF(AND(AX25&gt;0,AZ25&gt;0),MIN(AX25,AZ25),MAX(AX25,AZ25))*AQ25*X25^2*1E-4*DATOS!$C$83/100/1000))/2)*BG25)&lt;0,CEILING(AA25,5),CEILING(MAX(AA25*((4*((BB25*AQ25*X25^2*1E-4*DATOS!$C$83/100/1000)+((MAX(AX25,AZ25)*AQ25*X25^2*1E-4*DATOS!$C$83/100/1000)+(IF(AND(AX25&gt;0,AZ25&gt;0),MIN(AX25,AZ25),MAX(AX25,AZ25))*AQ25*X25^2*1E-4*DATOS!$C$83/100/1000))/2)+BG25-(IF(AND(AX25&gt;0,AZ25&gt;0),MIN(AX25,AZ25),MAX(AX25,AZ25))*AQ25*X25^2*1E-4*DATOS!$C$83/100/1000))-SQRT(MAX(0,((4*((BB25*AQ25*X25^2*1E-4*DATOS!$C$83/100/1000)+((MAX(AX25,AZ25)*AQ25*X25^2*1E-4*DATOS!$C$83/100/1000)+(IF(AND(AX25&gt;0,AZ25&gt;0),MIN(AX25,AZ25),MAX(AX25,AZ25))*AQ25*X25^2*1E-4*DATOS!$C$83/100/1000))/2)+BG25-(IF(AND(AX25&gt;0,AZ25&gt;0),MIN(AX25,AZ25),MAX(AX25,AZ25))*AQ25*X25^2*1E-4*DATOS!$C$83/100/1000))^2-16*((BB25*AQ25*X25^2*1E-4*DATOS!$C$83/100/1000)+((MAX(AX25,AZ25)*AQ25*X25^2*1E-4*DATOS!$C$83/100/1000)+(IF(AND(AX25&gt;0,AZ25&gt;0),MIN(AX25,AZ25),MAX(AX25,AZ25))*AQ25*X25^2*1E-4*DATOS!$C$83/100/1000))/2)*BG25))))/(8*MAX(((BB25*AQ25*X25^2*1E-4*DATOS!$C$83/100/1000)+((MAX(AX25,AZ25)*AQ25*X25^2*1E-4*DATOS!$C$83/100/1000)+(IF(AND(AX25&gt;0,AZ25&gt;0),MIN(AX25,AZ25),MAX(AX25,AZ25))*AQ25*X25^2*1E-4*DATOS!$C$83/100/1000))/2),1E-9))+MAX(BW25,12*INDEX(TABLAS!$C$52:$C$58,MATCH(BU25,TABLAS!$B$52:$B$58,0)),AA25/16),IF(OR(AK25&lt;INDEX(TABLAS!$C$52:$C$58,MATCH(BU25,TABLAS!$B$52:$B$58,0)),AND(BV25&gt;=2,(AC25-2*AK25-BV25*INDEX(TABLAS!$C$52:$C$58,MATCH(BU25,TABLAS!$B$52:$B$58,0)))/MAX(BV25-1,1)&lt;2*INDEX(TABLAS!$C$52:$C$58,MATCH(BU25,TABLAS!$B$52:$B$58,0)))),INDEX(TABLAS!$I$52:$I$58,MATCH(BU25,TABLAS!$B$52:$B$58,0)),INDEX(TABLAS!$F$52:$F$58,MATCH(BU25,TABLAS!$B$52:$B$58,0)))),5))))</f>
        <v/>
      </c>
      <c r="DC25" s="60" t="str">
        <f>IF(U25&lt;&gt;"SÍ","",IF(C25="VOLADO",0,IF(((4*((BC25*AQ25*X25^2*1E-4*DATOS!$C$83/100/1000)+((MAX(AY25,BA25)*AQ25*X25^2*1E-4*DATOS!$C$83/100/1000)+(IF(AND(AY25&gt;0,BA25&gt;0),MIN(AY25,BA25),MAX(AY25,BA25))*AQ25*X25^2*1E-4*DATOS!$C$83/100/1000))/2)+BI25-(IF(AND(AY25&gt;0,BA25&gt;0),MIN(AY25,BA25),MAX(AY25,BA25))*AQ25*X25^2*1E-4*DATOS!$C$83/100/1000))^2-16*((BC25*AQ25*X25^2*1E-4*DATOS!$C$83/100/1000)+((MAX(AY25,BA25)*AQ25*X25^2*1E-4*DATOS!$C$83/100/1000)+(IF(AND(AY25&gt;0,BA25&gt;0),MIN(AY25,BA25),MAX(AY25,BA25))*AQ25*X25^2*1E-4*DATOS!$C$83/100/1000))/2)*BI25)&lt;0,CEILING(AB25,5),CEILING(MAX(AB25*((4*((BC25*AQ25*X25^2*1E-4*DATOS!$C$83/100/1000)+((MAX(AY25,BA25)*AQ25*X25^2*1E-4*DATOS!$C$83/100/1000)+(IF(AND(AY25&gt;0,BA25&gt;0),MIN(AY25,BA25),MAX(AY25,BA25))*AQ25*X25^2*1E-4*DATOS!$C$83/100/1000))/2)+BI25-(IF(AND(AY25&gt;0,BA25&gt;0),MIN(AY25,BA25),MAX(AY25,BA25))*AQ25*X25^2*1E-4*DATOS!$C$83/100/1000))-SQRT(MAX(0,((4*((BC25*AQ25*X25^2*1E-4*DATOS!$C$83/100/1000)+((MAX(AY25,BA25)*AQ25*X25^2*1E-4*DATOS!$C$83/100/1000)+(IF(AND(AY25&gt;0,BA25&gt;0),MIN(AY25,BA25),MAX(AY25,BA25))*AQ25*X25^2*1E-4*DATOS!$C$83/100/1000))/2)+BI25-(IF(AND(AY25&gt;0,BA25&gt;0),MIN(AY25,BA25),MAX(AY25,BA25))*AQ25*X25^2*1E-4*DATOS!$C$83/100/1000))^2-16*((BC25*AQ25*X25^2*1E-4*DATOS!$C$83/100/1000)+((MAX(AY25,BA25)*AQ25*X25^2*1E-4*DATOS!$C$83/100/1000)+(IF(AND(AY25&gt;0,BA25&gt;0),MIN(AY25,BA25),MAX(AY25,BA25))*AQ25*X25^2*1E-4*DATOS!$C$83/100/1000))/2)*BI25))))/(8*MAX(((BC25*AQ25*X25^2*1E-4*DATOS!$C$83/100/1000)+((MAX(AY25,BA25)*AQ25*X25^2*1E-4*DATOS!$C$83/100/1000)+(IF(AND(AY25&gt;0,BA25&gt;0),MIN(AY25,BA25),MAX(AY25,BA25))*AQ25*X25^2*1E-4*DATOS!$C$83/100/1000))/2),1E-9))+MAX(CM25,12*INDEX(TABLAS!$C$52:$C$58,MATCH(CK25,TABLAS!$B$52:$B$58,0)),AB25/16),IF(OR(AK25&lt;INDEX(TABLAS!$C$52:$C$58,MATCH(CK25,TABLAS!$B$52:$B$58,0)),AND(CL25&gt;=2,(DATOS!$C$80-2*AK25-CL25*INDEX(TABLAS!$C$52:$C$58,MATCH(CK25,TABLAS!$B$52:$B$58,0)))/MAX(CL25-1,1)&lt;2*INDEX(TABLAS!$C$52:$C$58,MATCH(CK25,TABLAS!$B$52:$B$58,0)))),INDEX(TABLAS!$I$52:$I$58,MATCH(CK25,TABLAS!$B$52:$B$58,0)),INDEX(TABLAS!$F$52:$F$58,MATCH(CK25,TABLAS!$B$52:$B$58,0)))),5))))</f>
        <v/>
      </c>
      <c r="DD25" s="55" t="str">
        <f>IF(U25&lt;&gt;"SÍ","",IF(AND(C25="PERIMETRAL",BV25&gt;=2,AR25-AS25&gt;0,AZ25*AQ25*X25^2*1E-4*DATOS!$C$83/100/1000&gt;DATOS!$C$29*INDEX(TABLAS!$D$52:$D$58,MATCH(BU25,TABLAS!$B$52:$B$58,0))*DATOS!$C$14*(BW25-INDEX(TABLAS!$D$52:$D$58,MATCH(BU25,TABLAS!$B$52:$B$58,0))*DATOS!$C$14/(DATOS!$C$21*AE25)/2)/1E5),"SÍ","NO"))</f>
        <v/>
      </c>
      <c r="DE25" s="55" t="str">
        <f>IF(U25&lt;&gt;"SÍ","",IF(AND(C25="PERIMETRAL",CL25&gt;=2,AS25&gt;0,BA25*AQ25*X25^2*1E-4*DATOS!$C$83/100/1000&gt;DATOS!$C$29*INDEX(TABLAS!$D$52:$D$58,MATCH(CK25,TABLAS!$B$52:$B$58,0))*DATOS!$C$14*(CM25-INDEX(TABLAS!$D$52:$D$58,MATCH(CK25,TABLAS!$B$52:$B$58,0))*DATOS!$C$14/(DATOS!$C$21*AF25)/2)/1E5),"SÍ","NO"))</f>
        <v/>
      </c>
      <c r="DF25" s="63" t="str">
        <f>IF(U25&lt;&gt;"SÍ","",IF(OR(C25="VOLADO",AR25=0),"—",IF(AND(AND(1.25*INDEX(TABLAS!$G$52:$G$58,MATCH(MAX(BM25,CC25),TABLAS!$B$52:$B$58,0))&lt;=(DATOS!$C$72-DATOS!$C$60),(DATOS!$C$72-DATOS!$C$60)&gt;=15,INDEX(TABLAS!$G$52:$G$58,MATCH(MAX(BU25,CK25),TABLAS!$B$52:$B$58,0))&lt;=(DATOS!$C$72-DATOS!$C$60)),8*INDEX(TABLAS!$C$52:$C$58,MATCH(MAX(MAX(BM25,CC25),MAX(BU25,CK25)),TABLAS!$B$52:$B$58,0))&lt;=DATOS!$C$73-2*DATOS!$C$60),"CUMPLE (gancho de 180°)",IF(AND(1.25*INDEX(TABLAS!$G$52:$G$58,MATCH(MAX(BM25,CC25),TABLAS!$B$52:$B$58,0))&lt;=(DATOS!$C$72-DATOS!$C$60),(DATOS!$C$72-DATOS!$C$60)&gt;=15,INDEX(TABLAS!$G$52:$G$58,MATCH(MAX(BU25,CK25),TABLAS!$B$52:$B$58,0))&lt;=(DATOS!$C$72-DATOS!$C$60)),"NO CUMPLE: el gancho de 180° (8·d_b) no cabe en el peralte de la dala de borde","NO CUMPLE: dala de borde ≥ "&amp;TEXT(CEILING(MAX(1.25*INDEX(TABLAS!$G$52:$G$58,MATCH(MAX(BM25,CC25),TABLAS!$B$52:$B$58,0)),15,INDEX(TABLAS!$G$52:$G$58,MATCH(MAX(BU25,CK25),TABLAS!$B$52:$B$58,0)))+DATOS!$C$60,5),"0")&amp;" cm de ancho"&amp;IF(8*INDEX(TABLAS!$C$52:$C$58,MATCH(MAX(MAX(BM25,CC25),MAX(BU25,CK25)),TABLAS!$B$52:$B$58,0))&lt;=DATOS!$C$73-2*DATOS!$C$60,""," y más peralte para el gancho")))))</f>
        <v/>
      </c>
      <c r="DG25" s="59" t="str">
        <f>IF(U25&lt;&gt;"SÍ","",MAX(0,INT((E25*100-DATOS!$C$84+DATOS!$C$83-IF(W25="X",DATOS!$C$78,AD25))/DATOS!$C$83)))</f>
        <v/>
      </c>
      <c r="DH25" s="59" t="str">
        <f>IF(U25&lt;&gt;"SÍ","",MAX(0,INT((F25*100-DATOS!$C$84+DATOS!$C$83-IF(W25="Y",DATOS!$C$78,AD25))/DATOS!$C$83)))</f>
        <v/>
      </c>
      <c r="DI25" s="57" t="str">
        <f>IF(U25&lt;&gt;"SÍ","",IF(DG25&gt;0,(E25*100-DATOS!$C$84-(DG25*IF(W25="X",DATOS!$C$78,AD25)+(DG25-1)*(DATOS!$C$83-IF(W25="X",DATOS!$C$78,AD25))))/2,E25*100/2))</f>
        <v/>
      </c>
      <c r="DJ25" s="57" t="str">
        <f>IF(U25&lt;&gt;"SÍ","",IF(DH25&gt;0,(F25*100-DATOS!$C$84-(DH25*IF(W25="Y",DATOS!$C$78,AD25)+(DH25-1)*(DATOS!$C$83-IF(W25="Y",DATOS!$C$78,AD25))))/2,F25*100/2))</f>
        <v/>
      </c>
      <c r="DK25" s="59" t="str">
        <f>IF(U25&lt;&gt;"SÍ","",IF(NOT(AND(C25="VOLADO",AC25&gt;DATOS!$C$80)),0,IF(INDEX(TABLAS!$C$52:$C$58,MATCH(BU25,TABLAS!$B$52:$B$58,0))&lt;=DATOS!$C$80-2*DATOS!$C$60,1,0)))</f>
        <v/>
      </c>
      <c r="DL25" s="58" t="str">
        <f>IF(U25&lt;&gt;"SÍ","",IF(NOT(AND(C25="VOLADO",AC25&gt;DATOS!$C$80)),0,((DATOS!$C$82-MAX(DATOS!$C$60,(DATOS!$C$81-2*DATOS!$C$94)/2)-2*DATOS!$C$94-INDEX(TABLAS!$C$52:$C$58,MATCH(BU25,TABLAS!$B$52:$B$58,0))/2)-IF(AND((DATOS!$C$82-MAX(DATOS!$C$60,(DATOS!$C$81-2*DATOS!$C$94)/2)-2*DATOS!$C$94-INDEX(TABLAS!$C$52:$C$58,MATCH(BU25,TABLAS!$B$52:$B$58,0))/2)&lt;=20,DATOS!$C$62&lt;&gt;"SÍ"),2,0))))</f>
        <v/>
      </c>
      <c r="DM25" s="56" t="str">
        <f>IF(U25&lt;&gt;"SÍ","",IF(OR(NOT(AND(C25="VOLADO",AC25&gt;DATOS!$C$80)),DK25&lt;1),0,IF(0.003*(DL25-((DK25*INDEX(TABLAS!$D$52:$D$58,MATCH(BU25,TABLAS!$B$52:$B$58,0)))*DATOS!$C$14/(DATOS!$C$21*AF25)/DATOS!$C$22))/((DK25*INDEX(TABLAS!$D$52:$D$58,MATCH(BU25,TABLAS!$B$52:$B$58,0)))*DATOS!$C$14/(DATOS!$C$21*AF25)/DATOS!$C$22)&lt;0.005,0,DATOS!$C$29*(DK25*INDEX(TABLAS!$D$52:$D$58,MATCH(BU25,TABLAS!$B$52:$B$58,0)))*DATOS!$C$14*(DL25-(DK25*INDEX(TABLAS!$D$52:$D$58,MATCH(BU25,TABLAS!$B$52:$B$58,0)))*DATOS!$C$14/(DATOS!$C$21*AF25)/2)/1E5)))</f>
        <v/>
      </c>
      <c r="DN25" s="56" t="str">
        <f>IF(U25&lt;&gt;"SÍ","",IF(OR(NOT(AND(C25="VOLADO",AC25&gt;DATOS!$C$80)),DK25&lt;1),0,DATOS!$C$30*2*MIN(1,SQRT(2/(1+0.04*DL25)))*((DK25*INDEX(TABLAS!$D$52:$D$58,MATCH(BU25,TABLAS!$B$52:$B$58,0)))/(AF25*DL25))^(1/3)*SQRT(DATOS!$C$13)*AF25*DL25/1000))</f>
        <v/>
      </c>
      <c r="DO25" s="56" t="str">
        <f>IF(U25&lt;&gt;"SÍ","",IF(NOT(AND(C25="VOLADO",AC25&gt;DATOS!$C$80)),0,IF((BG25-DM25)&lt;=0,0,IF(DM25&lt;=0,IF(ISNUMBER(P25),P25,X25),IF(((0.9*DATOS!$C$87*DATOS!$C$83/100/1000)*IF(ISNUMBER(P25),P25,X25)/2+BG25/IF(ISNUMBER(P25),P25,X25))^2-4*((0.9*DATOS!$C$87*DATOS!$C$83/100/1000)/2)*(BG25-DM25)&lt;0,IF(ISNUMBER(P25),P25,X25),MIN(IF(ISNUMBER(P25),P25,X25),(((0.9*DATOS!$C$87*DATOS!$C$83/100/1000)*IF(ISNUMBER(P25),P25,X25)/2+BG25/IF(ISNUMBER(P25),P25,X25))-SQRT(((0.9*DATOS!$C$87*DATOS!$C$83/100/1000)*IF(ISNUMBER(P25),P25,X25)/2+BG25/IF(ISNUMBER(P25),P25,X25))^2-4*((0.9*DATOS!$C$87*DATOS!$C$83/100/1000)/2)*(BG25-DM25)))/(2*((0.9*DATOS!$C$87*DATOS!$C$83/100/1000)/2))))))))</f>
        <v/>
      </c>
      <c r="DP25" s="56" t="str">
        <f>IF(U25&lt;&gt;"SÍ","",IF(NOT(AND(C25="VOLADO",AC25&gt;DATOS!$C$80)),0,MIN(IF(ISNUMBER(P25),P25,X25),MAX(0,IF(ISNUMBER(P25),P25,X25)/2+BG25/IF(ISNUMBER(P25),P25,X25)/(AQ25*DATOS!$C$83/100/1000)-DN25/(AQ25*DATOS!$C$83/100/1000)))))</f>
        <v/>
      </c>
      <c r="DQ25" s="56" t="str">
        <f>IF(U25&lt;&gt;"SÍ","",IF(NOT(AND(C25="VOLADO",AC25&gt;DATOS!$C$80)),0,BG25/IF(ISNUMBER(P25),P25,X25)+(AQ25*DATOS!$C$83/100/1000)*MAX(0,IF(ISNUMBER(P25),P25,X25)/2-BW25/100)))</f>
        <v/>
      </c>
      <c r="DR25" s="59" t="str">
        <f>IF(U25&lt;&gt;"SÍ","",IF(NOT(AND(C25="VOLADO",AC25&gt;DATOS!$C$80)),0,CEILING(100*MIN(IF(ISNUMBER(P25),P25,X25),MAX(IF(DO25&gt;0,DO25+IF(BV25&gt;=2,MAX(DL25,12*INDEX(TABLAS!$C$52:$C$58,MATCH(BU25,TABLAS!$B$52:$B$58,0)))/100,0),0),DP25,IF(BV25&gt;=2,INDEX(TABLAS!$F$52:$F$58,MATCH(BU25,TABLAS!$B$52:$B$58,0))/100,0))),5)))</f>
        <v/>
      </c>
      <c r="DS25" s="60" t="str">
        <f>IF(U25&lt;&gt;"SÍ","",IF(NOT(AND(C25="VOLADO",AC25&gt;DATOS!$C$80)),0,IF(DR25&lt;=0,0,CEILING(DR25/DATOS!$C$83,1))))</f>
        <v/>
      </c>
      <c r="DT25" s="61" t="str">
        <f>IF(U25&lt;&gt;"SÍ","",IF(C25&lt;&gt;"VOLADO","—",IF(AC25&lt;=DATOS!$C$80,"— (mismo b_w que el respaldo)",IF(DQ25&gt;CR25,"NO CUMPLE: cortante de la nervadura ancha junto al apoyo ("&amp;TEXT(DQ25,"0.00")&amp;" &gt; "&amp;TEXT(CR25,"0.00")&amp;" t)",IF(DR25&gt;=100*IF(ISNUMBER(P25),P25,X25),"CUMPLE — todas las nervaduras del respaldo ‖ al volado con b_w = "&amp;AC25&amp;" cm","CUMPLE — "&amp;DS25&amp;" hilera(s) del respaldo con nervaduras de b_w = "&amp;AC25&amp;" cm (casetón "&amp;AD25&amp;" cm), hasta "&amp;TEXT(DR25/100,"0.00")&amp;" m del paño")))))</f>
        <v/>
      </c>
      <c r="DU25" s="69" t="str">
        <f>IF(U25&lt;&gt;"SÍ","",IF(BN25=0,"NO ALCANZA",BN25&amp;" No. "&amp;BM25&amp;IF(BN25&gt;1," corridas"," corrida")))</f>
        <v/>
      </c>
      <c r="DV25" s="69" t="str">
        <f>IF(U25&lt;&gt;"SÍ","",IF(BV25=0,"NO ALCANZA",IF(AND(C25="VOLADO",AC25&gt;DATOS!$C$80,BV25&gt;=2),"1 No. "&amp;BU25&amp;" corrida de la orilla al respaldo ("&amp;IF(DB25&gt;=100*IF(ISNUMBER(P25),P25,X25),"hasta su apoyo lejano, con gancho","entra "&amp;TEXT(DB25/100,"0.00")&amp;" m desde el paño")&amp;") + "&amp;(BV25-1)&amp;" bastón No. "&amp;BU25&amp;" hasta "&amp;TEXT(DR25/100,"0.00")&amp;" m del paño (fin de la nervadura ancha)",IF(C25="VOLADO",BV25&amp;" No. "&amp;BU25&amp;" de la orilla al respaldo ("&amp;IF(DB25&gt;=100*IF(ISNUMBER(P25),P25,X25),"hasta su apoyo lejano, con gancho","entran "&amp;TEXT(DB25/100,"0.00")&amp;" m desde el paño")&amp;")","1 No. "&amp;BU25&amp;" corrida"&amp;IF(BV25&gt;1," + "&amp;(BV25-1)&amp;" bastón No. "&amp;BU25&amp;" L = "&amp;TEXT(DB25/100,"0.00")&amp;" m desde el paño","")))))</f>
        <v/>
      </c>
      <c r="DW25" s="69" t="str">
        <f>IF(U25&lt;&gt;"SÍ","",IF(CD25=0,"NO ALCANZA",CD25&amp;" No. "&amp;CC25&amp;IF(CD25&gt;1," corridas"," corrida")))</f>
        <v/>
      </c>
      <c r="DX25" s="69" t="str">
        <f>IF(U25&lt;&gt;"SÍ","",IF(CL25=0,"NO ALCANZA",IF(C25="VOLADO","1 No. "&amp;CK25&amp;" corrida (repartición)","1 No. "&amp;CK25&amp;" corrida"&amp;IF(CL25&gt;1," + "&amp;(CL25-1)&amp;" bastón No. "&amp;CK25&amp;" L = "&amp;TEXT(DC25/100,"0.00")&amp;" m desde el paño",""))))</f>
        <v/>
      </c>
      <c r="DY25" s="67" t="str">
        <f>IF(B25="","",IF(U25&lt;&gt;"SÍ","FALTAN DATOS: tipo, a_x, a_y y destino",IF(L25="NO MONOLÍTICO (caso II)","FUERA DE ALCANCE: caso II no transcrito",IF(AND(C25="VOLADO",V25="?"),"REVISAR: el volado lleva UN solo borde CONTINUO (el empotrado)",IF(AND(MAX(BQ25,BY25,CG25,CO25)&lt;=1,NOT(OR(BN25&gt;MIN(DATOS!$C$70,INT(((AC25-2*AJ25)+MAX(DATOS!$C$67,INDEX(TABLAS!$C$52:$C$58,MATCH(BM25,TABLAS!$B$52:$B$58,0))))/(INDEX(TABLAS!$C$52:$C$58,MATCH(BM25,TABLAS!$B$52:$B$58,0))+MAX(DATOS!$C$67,INDEX(TABLAS!$C$52:$C$58,MATCH(BM25,TABLAS!$B$52:$B$58,0)))))),BV25&gt;MIN(DATOS!$C$70,INT(((AC25-2*AK25)+MAX(DATOS!$C$67,INDEX(TABLAS!$C$52:$C$58,MATCH(BU25,TABLAS!$B$52:$B$58,0))))/(INDEX(TABLAS!$C$52:$C$58,MATCH(BU25,TABLAS!$B$52:$B$58,0))+MAX(DATOS!$C$67,INDEX(TABLAS!$C$52:$C$58,MATCH(BU25,TABLAS!$B$52:$B$58,0)))))),CD25&gt;MIN(DATOS!$C$70,INT(((DATOS!$C$80-2*AJ25)+MAX(DATOS!$C$67,INDEX(TABLAS!$C$52:$C$58,MATCH(CC25,TABLAS!$B$52:$B$58,0))))/(INDEX(TABLAS!$C$52:$C$58,MATCH(CC25,TABLAS!$B$52:$B$58,0))+MAX(DATOS!$C$67,INDEX(TABLAS!$C$52:$C$58,MATCH(CC25,TABLAS!$B$52:$B$58,0)))))),CL25&gt;MIN(DATOS!$C$70,INT(((DATOS!$C$80-2*AK25)+MAX(DATOS!$C$67,INDEX(TABLAS!$C$52:$C$58,MATCH(CK25,TABLAS!$B$52:$B$58,0))))/(INDEX(TABLAS!$C$52:$C$58,MATCH(CK25,TABLAS!$B$52:$B$58,0))+MAX(DATOS!$C$67,INDEX(TABLAS!$C$52:$C$58,MATCH(CK25,TABLAS!$B$52:$B$58,0)))))))),NOT(OR(AND(ISNUMBER(BR25),BR25&lt;0.005),AND(ISNUMBER(BZ25),BZ25&lt;0.005),AND(ISNUMBER(CH25),CH25&lt;0.005),AND(ISNUMBER(CP25),CP25&lt;0.005))),NOT(LEFT(DT25,2)="NO"),CZ25="CUMPLE",DA25="CUMPLE",LEFT(CT25,2)&lt;&gt;"NO"),IF(LEFT(CT25,6)="CUMPLE","CUMPLE","CUMPLE — "&amp;CT25)&amp;IF(LEFT(BJ25,5)="FUERA"," · fuera de 3.4.2.1 c)","")&amp;IF(LEFT(DF25,2)="NO"," · REVISAR anclaje en borde discontinuo","")&amp;IF(DS25&gt;0," · respaldo: "&amp;DS25&amp;" hilera(s) de b_w "&amp;AC25&amp;" cm",""),IF(AND(MAX(BQ25,BY25,CG25,CO25)&lt;=1,NOT(OR(BN25&gt;MIN(DATOS!$C$70,INT(((AC25-2*AJ25)+MAX(DATOS!$C$67,INDEX(TABLAS!$C$52:$C$58,MATCH(BM25,TABLAS!$B$52:$B$58,0))))/(INDEX(TABLAS!$C$52:$C$58,MATCH(BM25,TABLAS!$B$52:$B$58,0))+MAX(DATOS!$C$67,INDEX(TABLAS!$C$52:$C$58,MATCH(BM25,TABLAS!$B$52:$B$58,0)))))),BV25&gt;MIN(DATOS!$C$70,INT(((AC25-2*AK25)+MAX(DATOS!$C$67,INDEX(TABLAS!$C$52:$C$58,MATCH(BU25,TABLAS!$B$52:$B$58,0))))/(INDEX(TABLAS!$C$52:$C$58,MATCH(BU25,TABLAS!$B$52:$B$58,0))+MAX(DATOS!$C$67,INDEX(TABLAS!$C$52:$C$58,MATCH(BU25,TABLAS!$B$52:$B$58,0)))))),CD25&gt;MIN(DATOS!$C$70,INT(((DATOS!$C$80-2*AJ25)+MAX(DATOS!$C$67,INDEX(TABLAS!$C$52:$C$58,MATCH(CC25,TABLAS!$B$52:$B$58,0))))/(INDEX(TABLAS!$C$52:$C$58,MATCH(CC25,TABLAS!$B$52:$B$58,0))+MAX(DATOS!$C$67,INDEX(TABLAS!$C$52:$C$58,MATCH(CC25,TABLAS!$B$52:$B$58,0)))))),CL25&gt;MIN(DATOS!$C$70,INT(((DATOS!$C$80-2*AK25)+MAX(DATOS!$C$67,INDEX(TABLAS!$C$52:$C$58,MATCH(CK25,TABLAS!$B$52:$B$58,0))))/(INDEX(TABLAS!$C$52:$C$58,MATCH(CK25,TABLAS!$B$52:$B$58,0))+MAX(DATOS!$C$67,INDEX(TABLAS!$C$52:$C$58,MATCH(CK25,TABLAS!$B$52:$B$58,0)))))))),NOT(OR(AND(ISNUMBER(BR25),BR25&lt;0.005),AND(ISNUMBER(BZ25),BZ25&lt;0.005),AND(ISNUMBER(CH25),CH25&lt;0.005),AND(ISNUMBER(CP25),CP25&lt;0.005))),NOT(LEFT(DT25,2)="NO"),CZ25="CALCULAR FLECHA",LEFT(CT25,2)&lt;&gt;"NO"),"REVISAR: calcular flecha (h_eq &lt; h mín.)"&amp;IF(LEFT(BJ25,5)="FUERA"," · fuera de 3.4.2.1 c)","")&amp;IF(LEFT(DF25,2)="NO"," · REVISAR anclaje en borde discontinuo","")&amp;IF(DS25&gt;0," · respaldo: "&amp;DS25&amp;" hilera(s) de b_w "&amp;AC25&amp;" cm",""),"NO CUMPLE: "&amp;IF(MAX(BQ25,BY25,CG25,CO25)&gt;1,"flexión ","")&amp;IF(OR(BN25&gt;MIN(DATOS!$C$70,INT(((AC25-2*AJ25)+MAX(DATOS!$C$67,INDEX(TABLAS!$C$52:$C$58,MATCH(BM25,TABLAS!$B$52:$B$58,0))))/(INDEX(TABLAS!$C$52:$C$58,MATCH(BM25,TABLAS!$B$52:$B$58,0))+MAX(DATOS!$C$67,INDEX(TABLAS!$C$52:$C$58,MATCH(BM25,TABLAS!$B$52:$B$58,0)))))),BV25&gt;MIN(DATOS!$C$70,INT(((AC25-2*AK25)+MAX(DATOS!$C$67,INDEX(TABLAS!$C$52:$C$58,MATCH(BU25,TABLAS!$B$52:$B$58,0))))/(INDEX(TABLAS!$C$52:$C$58,MATCH(BU25,TABLAS!$B$52:$B$58,0))+MAX(DATOS!$C$67,INDEX(TABLAS!$C$52:$C$58,MATCH(BU25,TABLAS!$B$52:$B$58,0)))))),CD25&gt;MIN(DATOS!$C$70,INT(((DATOS!$C$80-2*AJ25)+MAX(DATOS!$C$67,INDEX(TABLAS!$C$52:$C$58,MATCH(CC25,TABLAS!$B$52:$B$58,0))))/(INDEX(TABLAS!$C$52:$C$58,MATCH(CC25,TABLAS!$B$52:$B$58,0))+MAX(DATOS!$C$67,INDEX(TABLAS!$C$52:$C$58,MATCH(CC25,TABLAS!$B$52:$B$58,0)))))),CL25&gt;MIN(DATOS!$C$70,INT(((DATOS!$C$80-2*AK25)+MAX(DATOS!$C$67,INDEX(TABLAS!$C$52:$C$58,MATCH(CK25,TABLAS!$B$52:$B$58,0))))/(INDEX(TABLAS!$C$52:$C$58,MATCH(CK25,TABLAS!$B$52:$B$58,0))+MAX(DATOS!$C$67,INDEX(TABLAS!$C$52:$C$58,MATCH(CK25,TABLAS!$B$52:$B$58,0))))))),"no caben ","")&amp;IF(OR(AND(ISNUMBER(BR25),BR25&lt;0.005),AND(ISNUMBER(BZ25),BZ25&lt;0.005),AND(ISNUMBER(CH25),CH25&lt;0.005),AND(ISNUMBER(CP25),CP25&lt;0.005)),"ε_t &lt; 0.005 ","")&amp;IF(LEFT(CT25,2)="NO","cortante ","")&amp;IF(CZ25="NO CUMPLE","peralte ","")&amp;IF(DA25&lt;&gt;"CUMPLE","capa &lt; 6 cm ","")&amp;IF(LEFT(DT25,2)="NO","respaldo del volado","")))))))</f>
        <v/>
      </c>
      <c r="DZ25" s="70" t="str">
        <f>IF(U25&lt;&gt;"SÍ","",IF(LEFT(B25,7)="EJEMPLO","EJEMPLO de la hoja de Casa Rocha: bórralo o sobrescríbelo. ","")&amp;IF(AND(C25="PERIMETRAL",MIN(DG25,DH25)=0),"No cabe un casetón en el claro corto: es un tablero macizo, diséñalo en MACIZAS. ","")&amp;IF(AND(AI25="NO",C25="PERIMETRAL"),"No cumple 6.7.8.1.4 (a_c = "&amp;MAX(DATOS!$C$78,AD25)&amp;" cm &gt; claro corto/6 = "&amp;TEXT(X25*100/6,"0")&amp;" cm): se diseña como losa apoyada en vigas (6.7.8.1.9): r de viga = "&amp;DATOS!$C$60&amp;" cm y V_cR sin ×1.1. Para que cuente como encasetonada: casetón de "&amp;TEXT(FLOOR(MIN(80,X25*100/6),1),"0")&amp;" cm o menor. ","")&amp;IF(C25="VOLADO","Volado de "&amp;TEXT(X25,"0.00")&amp;" m empotrado en el borde "&amp;LOWER(V25)&amp;IF(N(O25)&gt;0,", con "&amp;TEXT(O25,"0.0")&amp;" kg/m en la orilla","")&amp;". Lecho inferior con r_ext. Si la orilla carga pretil u otro elemento frágil, calcula la flecha (13.4). El acero superior entra al respaldo de "&amp;TEXT(IF(ISNUMBER(P25),P25,X25),"0.00")&amp;" m"&amp;IF(ISNUMBER(P25),""," (L_b no capturado: se tomó igual al volado)")&amp;" hasta pasar M = 0 con 0.9·PP sin carga viva; si ahí no se anula, llega al apoyo lejano y se ancla con gancho (NTC-Criterios 3.4.1 c y 5.1.2.2). "&amp;IF(AC25&gt;DATOS!$C$80,"Respaldo: "&amp;DT25&amp;". ",""),"")&amp;IF(LEFT(BJ25,5)="FUERA","El M⁻ del vecino difiere más de 50 % (3.4.2.1 c): distribuye el desequilibrio (3.4.3.1) o confirma con un modelo; se arma con el mayor. ","")&amp;IF(OR(DD25="SÍ",DE25="SÍ"),"El M⁻ del borde discontinuo pide bastón también ahí (con gancho). ","")&amp;IF(LEFT(DF25,2)="NO","Anclaje: "&amp;DF25&amp;" (6.7.8.1.7). ","")&amp;IF(OR(AZ25&gt;0,BA25&gt;0),"Esquinas exteriores sobre muro: refuerzo de esquina arriba y abajo en L_largo/5 (6.7.7.3.1). ",""))</f>
        <v/>
      </c>
    </row>
    <row r="26" ht="33" customHeight="1">
      <c r="A26" s="50">
        <f>IF(B26="",0,1)+A25</f>
        <v>4</v>
      </c>
      <c r="B26" s="29" t="n"/>
      <c r="C26" s="51" t="n"/>
      <c r="D26" s="29" t="n"/>
      <c r="E26" s="52" t="n"/>
      <c r="F26" s="52" t="n"/>
      <c r="G26" s="51" t="n"/>
      <c r="H26" s="51" t="n"/>
      <c r="I26" s="51" t="n"/>
      <c r="J26" s="51" t="n"/>
      <c r="K26" s="51" t="n"/>
      <c r="L26" s="51" t="n"/>
      <c r="M26" s="53" t="n"/>
      <c r="N26" s="53" t="n"/>
      <c r="O26" s="54" t="n"/>
      <c r="P26" s="52" t="n"/>
      <c r="Q26" s="53" t="n"/>
      <c r="R26" s="54" t="n"/>
      <c r="S26" s="52" t="n"/>
      <c r="T26" s="52" t="n"/>
      <c r="U26" s="55" t="str">
        <f>IF(B26="","",IF(AND(OR(C26="PERIMETRAL",C26="VOLADO"),ISNUMBER(E26),ISNUMBER(F26),E26&gt;0,F26&gt;0,OR(ISNUMBER(N26),ISNUMBER(MATCH(D26,DATOS!$B$46:$B$55,0)))),"SÍ","NO"))</f>
        <v/>
      </c>
      <c r="V26" s="55" t="str">
        <f>IF(U26&lt;&gt;"SÍ","",IF(C26&lt;&gt;"VOLADO","—",IF(COUNTIF(G26:J26,"CONTINUO")&lt;&gt;1,"?",IF(G26="CONTINUO","INFERIOR",IF(H26="CONTINUO","SUPERIOR",IF(I26="CONTINUO","IZQUIERDO","DERECHO"))))))</f>
        <v/>
      </c>
      <c r="W26" s="55" t="str">
        <f>IF(U26&lt;&gt;"SÍ","",IF(C26="VOLADO",IF(OR(V26="IZQUIERDO",V26="DERECHO"),"X","Y"),IF(E26&lt;=F26,"X","Y")))</f>
        <v/>
      </c>
      <c r="X26" s="56" t="str">
        <f>IF(U26&lt;&gt;"SÍ","",IF(C26="VOLADO",IF(W26="X",E26,F26),MIN(E26,F26)))</f>
        <v/>
      </c>
      <c r="Y26" s="56" t="str">
        <f>IF(U26&lt;&gt;"SÍ","",IF(C26="VOLADO",IF(W26="X",F26,E26),MAX(E26,F26)))</f>
        <v/>
      </c>
      <c r="Z26" s="56" t="str">
        <f>IF(U26&lt;&gt;"SÍ","",MIN(X26,Y26)/MAX(X26,Y26))</f>
        <v/>
      </c>
      <c r="AA26" s="57" t="str">
        <f>IF(U26&lt;&gt;"SÍ","",MAX(1,X26*100-IF(C26="VOLADO",DATOS!$C$84/2,DATOS!$C$84)))</f>
        <v/>
      </c>
      <c r="AB26" s="57" t="str">
        <f>IF(U26&lt;&gt;"SÍ","",MAX(1,Y26*100-DATOS!$C$84))</f>
        <v/>
      </c>
      <c r="AC26" s="57" t="str">
        <f>IF(U26&lt;&gt;"SÍ","",IF(ISNUMBER(Q26),Q26,DATOS!$C$80))</f>
        <v/>
      </c>
      <c r="AD26" s="57" t="str">
        <f>IF(U26&lt;&gt;"SÍ","",MAX(0,DATOS!$C$83-AC26))</f>
        <v/>
      </c>
      <c r="AE26" s="57" t="str">
        <f>IF(U26&lt;&gt;"SÍ","",IF(OR(DATOS!$C$62="SÍ",AC26&gt;=20),AC26,AC26-2))</f>
        <v/>
      </c>
      <c r="AF26" s="57" t="str">
        <f>IF(U26&lt;&gt;"SÍ","",IF(OR(DATOS!$C$62="SÍ",DATOS!$C$80&gt;=20),DATOS!$C$80,DATOS!$C$80-2))</f>
        <v/>
      </c>
      <c r="AG26" s="57" t="str">
        <f>IF(U26&lt;&gt;"SÍ","",MIN(DATOS!$C$83,AC26+2*MIN(8*DATOS!$C$81,AD26/2,AA26/8)))</f>
        <v/>
      </c>
      <c r="AH26" s="57" t="str">
        <f>IF(U26&lt;&gt;"SÍ","",MIN(DATOS!$C$83,DATOS!$C$80+2*MIN(8*DATOS!$C$81,DATOS!$C$78/2,AB26/8)))</f>
        <v/>
      </c>
      <c r="AI26" s="55" t="str">
        <f>IF(U26&lt;&gt;"SÍ","",IF(AND(C26="PERIMETRAL",X26*100&gt;=6*MAX(DATOS!$C$78,AD26),MAX(DATOS!$C$78,AD26)&lt;=80,MIN(DATOS!$C$80,AC26)&gt;=10,DATOS!$C$82&lt;=3.5*MIN(DATOS!$C$80,AC26),DATOS!$C$81&gt;=MAX(MAX(DATOS!$C$78,AD26)/13,5)),"SÍ","NO"))</f>
        <v/>
      </c>
      <c r="AJ26" s="57" t="str">
        <f>IF(U26&lt;&gt;"SÍ","",IF(C26="VOLADO",DATOS!$C$61,IF(AI26="NO",DATOS!$C$60,DATOS!$C$59)))</f>
        <v/>
      </c>
      <c r="AK26" s="57" t="str">
        <f>IF(U26&lt;&gt;"SÍ","",IF(OR(AND(AM26="SÍ",DATOS!$C$63="SÍ"),AND(C26="VOLADO",DATOS!$C$64="SÍ")),DATOS!$C$61,IF(AI26="NO",DATOS!$C$60,DATOS!$C$59)))</f>
        <v/>
      </c>
      <c r="AL26" s="58" t="str">
        <f>IF(U26&lt;&gt;"SÍ","",MAX(AK26,(DATOS!$C$81-2*DATOS!$C$94)/2))</f>
        <v/>
      </c>
      <c r="AM26" s="55" t="str">
        <f>IF(U26&lt;&gt;"SÍ","",IFERROR(INDEX(DATOS!$D$46:$D$55,MATCH(D26,DATOS!$B$46:$B$55,0)),"NO"))</f>
        <v/>
      </c>
      <c r="AN26" s="59" t="str">
        <f>IF(U26&lt;&gt;"SÍ","",IF(ISNUMBER(N26),N26,IFERROR(INDEX(DATOS!$C$46:$C$55,MATCH(D26,DATOS!$B$46:$B$55,0)),0)))</f>
        <v/>
      </c>
      <c r="AO26" s="59" t="str">
        <f>IF(U26&lt;&gt;"SÍ","",(DATOS!$C$82/100-(AD26*DATOS!$C$78/DATOS!$C$83^2)*DATOS!$C$79/100)*DATOS!$C$16*1000+(AD26*DATOS!$C$78/DATOS!$C$83^2)*DATOS!$C$79/100*DATOS!$C$17*1000+DATOS!$C$37+DATOS!$C$38)</f>
        <v/>
      </c>
      <c r="AP26" s="59" t="str">
        <f>IF(U26&lt;&gt;"SÍ","",AO26+N(M26))</f>
        <v/>
      </c>
      <c r="AQ26" s="60" t="str">
        <f>IF(U26&lt;&gt;"SÍ","",MAX(DATOS!$C$26*AP26+DATOS!$C$27*AN26,IF(AM26="SÍ",DATOS!$C$28*(AP26+DATOS!$C$41),0)))</f>
        <v/>
      </c>
      <c r="AR26" s="59" t="str">
        <f>IF(U26&lt;&gt;"SÍ","",(G26="DISCONTINUO")+(H26="DISCONTINUO")+(I26="DISCONTINUO")+(J26="DISCONTINUO"))</f>
        <v/>
      </c>
      <c r="AS26" s="59" t="str">
        <f>IF(U26&lt;&gt;"SÍ","",IF(W26="X",(G26="DISCONTINUO")+(H26="DISCONTINUO"),(I26="DISCONTINUO")+(J26="DISCONTINUO")))</f>
        <v/>
      </c>
      <c r="AT26" s="55" t="str">
        <f>IF(U26&lt;&gt;"SÍ","",IF(AR26=0,"INTERIOR",IF(AR26=1,IF(AS26=1,"BORDE-CORTO","BORDE-LARGO"),IF(AR26=2,IF(AS26=1,"ESQUINA",IF(AS26=2,"EXTREMO-LARGO","EXTREMO-CORTO")),IF(AR26=3,IF(AS26=2,"EXTREMO-LARGO","EXTREMO-CORTO"),"AISLADO")))))</f>
        <v/>
      </c>
      <c r="AU26" s="61" t="str">
        <f>IF(U26&lt;&gt;"SÍ","",IF(OR(K26="",K26="AUTO"),AT26,K26))</f>
        <v/>
      </c>
      <c r="AV26" s="59" t="str">
        <f>IF(U26&lt;&gt;"SÍ","",MATCH(Z26,TABLAS!$D$5:$J$5,1))</f>
        <v/>
      </c>
      <c r="AW26" s="58" t="str">
        <f>IF(U26&lt;&gt;"SÍ","",IF(AV26&gt;=7,0,(Z26-INDEX(TABLAS!$D$5:$J$5,AV26))/(INDEX(TABLAS!$D$5:$J$5,AV26+1)-INDEX(TABLAS!$D$5:$J$5,AV26))))</f>
        <v/>
      </c>
      <c r="AX26" s="59" t="str">
        <f>IF(U26&lt;&gt;"SÍ","",INDEX(TABLAS!$D$6:$J$47,MATCH(AU26&amp;"|NIC",TABLAS!$B$6:$B$47,0),AV26)+AW26*(INDEX(TABLAS!$D$6:$J$47,MATCH(AU26&amp;"|NIC",TABLAS!$B$6:$B$47,0),MIN(AV26+1,7))-INDEX(TABLAS!$D$6:$J$47,MATCH(AU26&amp;"|NIC",TABLAS!$B$6:$B$47,0),AV26)))</f>
        <v/>
      </c>
      <c r="AY26" s="59" t="str">
        <f>IF(U26&lt;&gt;"SÍ","",INDEX(TABLAS!$D$6:$J$47,MATCH(AU26&amp;"|NIL",TABLAS!$B$6:$B$47,0),AV26)+AW26*(INDEX(TABLAS!$D$6:$J$47,MATCH(AU26&amp;"|NIL",TABLAS!$B$6:$B$47,0),MIN(AV26+1,7))-INDEX(TABLAS!$D$6:$J$47,MATCH(AU26&amp;"|NIL",TABLAS!$B$6:$B$47,0),AV26)))</f>
        <v/>
      </c>
      <c r="AZ26" s="59" t="str">
        <f>IF(U26&lt;&gt;"SÍ","",INDEX(TABLAS!$D$6:$J$47,MATCH(AU26&amp;"|NDC",TABLAS!$B$6:$B$47,0),AV26)+AW26*(INDEX(TABLAS!$D$6:$J$47,MATCH(AU26&amp;"|NDC",TABLAS!$B$6:$B$47,0),MIN(AV26+1,7))-INDEX(TABLAS!$D$6:$J$47,MATCH(AU26&amp;"|NDC",TABLAS!$B$6:$B$47,0),AV26)))</f>
        <v/>
      </c>
      <c r="BA26" s="59" t="str">
        <f>IF(U26&lt;&gt;"SÍ","",INDEX(TABLAS!$D$6:$J$47,MATCH(AU26&amp;"|NDL",TABLAS!$B$6:$B$47,0),AV26)+AW26*(INDEX(TABLAS!$D$6:$J$47,MATCH(AU26&amp;"|NDL",TABLAS!$B$6:$B$47,0),MIN(AV26+1,7))-INDEX(TABLAS!$D$6:$J$47,MATCH(AU26&amp;"|NDL",TABLAS!$B$6:$B$47,0),AV26)))</f>
        <v/>
      </c>
      <c r="BB26" s="59" t="str">
        <f>IF(U26&lt;&gt;"SÍ","",INDEX(TABLAS!$D$6:$J$47,MATCH(AU26&amp;"|PC",TABLAS!$B$6:$B$47,0),AV26)+AW26*(INDEX(TABLAS!$D$6:$J$47,MATCH(AU26&amp;"|PC",TABLAS!$B$6:$B$47,0),MIN(AV26+1,7))-INDEX(TABLAS!$D$6:$J$47,MATCH(AU26&amp;"|PC",TABLAS!$B$6:$B$47,0),AV26)))</f>
        <v/>
      </c>
      <c r="BC26" s="59" t="str">
        <f>IF(U26&lt;&gt;"SÍ","",INDEX(TABLAS!$D$6:$J$47,MATCH(AU26&amp;"|PL",TABLAS!$B$6:$B$47,0),AV26)+AW26*(INDEX(TABLAS!$D$6:$J$47,MATCH(AU26&amp;"|PL",TABLAS!$B$6:$B$47,0),MIN(AV26+1,7))-INDEX(TABLAS!$D$6:$J$47,MATCH(AU26&amp;"|PL",TABLAS!$B$6:$B$47,0),AV26)))</f>
        <v/>
      </c>
      <c r="BD26" s="56" t="str">
        <f>IF(U26&lt;&gt;"SÍ","",IF(C26&lt;&gt;"VOLADO",0,DATOS!$C$26*DATOS!$C$16*DATOS!$C$83/100*(((AD26*DATOS!$C$78/DATOS!$C$83^2)*DATOS!$C$79/100)*(IF(W26="X",DI26,DJ26)+DATOS!$C$84/2)/100*(AA26-(IF(W26="X",DI26,DJ26)+DATOS!$C$84/2)/2)/100+((AD26*DATOS!$C$78/DATOS!$C$83^2)*DATOS!$C$79/100)*IF(W26="X",DI26,DJ26)/100*IF(W26="X",DI26,DJ26)/200)))</f>
        <v/>
      </c>
      <c r="BE26" s="56" t="str">
        <f>IF(U26&lt;&gt;"SÍ","",IF(C26&lt;&gt;"VOLADO",0,DATOS!$C$26*DATOS!$C$16*DATOS!$C$83/100*((AD26*DATOS!$C$78/DATOS!$C$83^2)*DATOS!$C$79/100)*(IF(W26="X",DI26,DJ26)+DATOS!$C$84/2)/100))</f>
        <v/>
      </c>
      <c r="BF26" s="56" t="str">
        <f>IF(U26&lt;&gt;"SÍ","",IF(C26="PERIMETRAL",BB26*AQ26*X26^2*1E-4*DATOS!$C$83/100/1000,0))</f>
        <v/>
      </c>
      <c r="BG26" s="62" t="str">
        <f>IF(U26&lt;&gt;"SÍ","",IF(C26="PERIMETRAL",MAX(MAX(AX26,AZ26)*AQ26*X26^2*1E-4*DATOS!$C$83/100/1000,N(S26)),(AQ26*(AA26/100)^2/2+DATOS!$C$26*N(O26)*AA26/100)*DATOS!$C$83/100/1000+BD26))</f>
        <v/>
      </c>
      <c r="BH26" s="56" t="str">
        <f>IF(U26&lt;&gt;"SÍ","",IF(C26="PERIMETRAL",BC26*AQ26*X26^2*1E-4*DATOS!$C$83/100/1000,0))</f>
        <v/>
      </c>
      <c r="BI26" s="56" t="str">
        <f>IF(U26&lt;&gt;"SÍ","",IF(C26="PERIMETRAL",MAX(MAX(AY26,BA26)*AQ26*X26^2*1E-4*DATOS!$C$83/100/1000,N(T26)),0))</f>
        <v/>
      </c>
      <c r="BJ26" s="63" t="str">
        <f>IF(U26&lt;&gt;"SÍ","",IF(C26&lt;&gt;"PERIMETRAL","—",IF(AND(N(S26)=0,N(T26)=0),"— (sin M⁻ del vecino)",IF(OR(AND(N(S26)&gt;0,ABS(MAX(AX26,AZ26)*AQ26*X26^2*1E-4*DATOS!$C$83/100/1000-N(S26))&gt;0.5*MIN(MAX(AX26,AZ26)*AQ26*X26^2*1E-4*DATOS!$C$83/100/1000,N(S26))),AND(N(T26)&gt;0,ABS(MAX(AY26,BA26)*AQ26*X26^2*1E-4*DATOS!$C$83/100/1000-N(T26))&gt;0.5*MIN(MAX(AY26,BA26)*AQ26*X26^2*1E-4*DATOS!$C$83/100/1000,N(T26)))),"FUERA: difieren &gt; 50 %"&amp;IF(AND(N(S26)&gt;0,ABS(MAX(AX26,AZ26)*AQ26*X26^2*1E-4*DATOS!$C$83/100/1000-N(S26))&gt;0.5*MIN(MAX(AX26,AZ26)*AQ26*X26^2*1E-4*DATOS!$C$83/100/1000,N(S26)))," ‖ corto","")&amp;IF(AND(N(T26)&gt;0,ABS(MAX(AY26,BA26)*AQ26*X26^2*1E-4*DATOS!$C$83/100/1000-N(T26))&gt;0.5*MIN(MAX(AY26,BA26)*AQ26*X26^2*1E-4*DATOS!$C$83/100/1000,N(T26)))," ‖ largo",""),"CUMPLE"))))</f>
        <v/>
      </c>
      <c r="BK26" s="58" t="str">
        <f>IF(U26&lt;&gt;"SÍ","",(DATOS!$C$82-AJ26-INDEX(TABLAS!$C$52:$C$58,MATCH(DATOS!$C$68,TABLAS!$B$52:$B$58,0))/2))</f>
        <v/>
      </c>
      <c r="BL26" s="58" t="str">
        <f>IF(U26&lt;&gt;"SÍ","",IF(IF(BF26&lt;=0,0,IF((1-2*BF26*1E5/(DATOS!$C$29*AG26*BK26^2*DATOS!$C$21))&lt;0,-1,IF((1-SQRT((1-2*BF26*1E5/(DATOS!$C$29*AG26*BK26^2*DATOS!$C$21))))*DATOS!$C$21*AG26*BK26/DATOS!$C$14&gt;DATOS!$C$99*AG26*BK26,-1,(1-SQRT((1-2*BF26*1E5/(DATOS!$C$29*AG26*BK26^2*DATOS!$C$21))))*DATOS!$C$21*AG26*BK26/DATOS!$C$14)))&lt;0,-1,MAX(IF(BF26&lt;=0,0,IF((1-2*BF26*1E5/(DATOS!$C$29*AG26*BK26^2*DATOS!$C$21))&lt;0,-1,IF((1-SQRT((1-2*BF26*1E5/(DATOS!$C$29*AG26*BK26^2*DATOS!$C$21))))*DATOS!$C$21*AG26*BK26/DATOS!$C$14&gt;DATOS!$C$99*AG26*BK26,-1,(1-SQRT((1-2*BF26*1E5/(DATOS!$C$29*AG26*BK26^2*DATOS!$C$21))))*DATOS!$C$21*AG26*BK26/DATOS!$C$14))),MIN(DATOS!$C$100*AC26*BK26,4/3*IF(BF26&lt;=0,0,IF((1-2*BF26*1E5/(DATOS!$C$29*AG26*BK26^2*DATOS!$C$21))&lt;0,-1,IF((1-SQRT((1-2*BF26*1E5/(DATOS!$C$29*AG26*BK26^2*DATOS!$C$21))))*DATOS!$C$21*AG26*BK26/DATOS!$C$14&gt;DATOS!$C$99*AG26*BK26,-1,(1-SQRT((1-2*BF26*1E5/(DATOS!$C$29*AG26*BK26^2*DATOS!$C$21))))*DATOS!$C$21*AG26*BK26/DATOS!$C$14)))))))</f>
        <v/>
      </c>
      <c r="BM26" s="64" t="str">
        <f>IF(U26&lt;&gt;"SÍ","",IF(AND(BL26&gt;=0,IF(MAX(DATOS!$C$71,CEILING(BL26/INDEX(TABLAS!$D$52:$D$58,MIN(MATCH(DATOS!$C$68,TABLAS!$B$52:$B$58,0)+0,7)),1))*INDEX(TABLAS!$D$52:$D$58,MIN(MATCH(DATOS!$C$68,TABLAS!$B$52:$B$58,0)+0,7))&gt;=4/3*IF(BF26&lt;=0,0,IF((1-2*BF26*1E5/(DATOS!$C$29*AG26*BK26^2*DATOS!$C$21))&lt;0,-1,IF((1-SQRT((1-2*BF26*1E5/(DATOS!$C$29*AG26*BK26^2*DATOS!$C$21))))*DATOS!$C$21*AG26*BK26/DATOS!$C$14&gt;DATOS!$C$99*AG26*BK26,-1,(1-SQRT((1-2*BF26*1E5/(DATOS!$C$29*AG26*BK26^2*DATOS!$C$21))))*DATOS!$C$21*AG26*BK26/DATOS!$C$14)))-0.0001,MAX(DATOS!$C$71,CEILING(BL26/INDEX(TABLAS!$D$52:$D$58,MIN(MATCH(DATOS!$C$68,TABLAS!$B$52:$B$58,0)+0,7)),1)),MAX(MAX(DATOS!$C$71,CEILING(BL26/INDEX(TABLAS!$D$52:$D$58,MIN(MATCH(DATOS!$C$68,TABLAS!$B$52:$B$58,0)+0,7)),1)),2))&lt;=MIN(DATOS!$C$70,INT(((AC26-2*AJ26)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26&gt;=0,IF(MAX(DATOS!$C$71,CEILING(BL26/INDEX(TABLAS!$D$52:$D$58,MIN(MATCH(DATOS!$C$68,TABLAS!$B$52:$B$58,0)+1,7)),1))*INDEX(TABLAS!$D$52:$D$58,MIN(MATCH(DATOS!$C$68,TABLAS!$B$52:$B$58,0)+1,7))&gt;=4/3*IF(BF26&lt;=0,0,IF((1-2*BF26*1E5/(DATOS!$C$29*AG26*BK26^2*DATOS!$C$21))&lt;0,-1,IF((1-SQRT((1-2*BF26*1E5/(DATOS!$C$29*AG26*BK26^2*DATOS!$C$21))))*DATOS!$C$21*AG26*BK26/DATOS!$C$14&gt;DATOS!$C$99*AG26*BK26,-1,(1-SQRT((1-2*BF26*1E5/(DATOS!$C$29*AG26*BK26^2*DATOS!$C$21))))*DATOS!$C$21*AG26*BK26/DATOS!$C$14)))-0.0001,MAX(DATOS!$C$71,CEILING(BL26/INDEX(TABLAS!$D$52:$D$58,MIN(MATCH(DATOS!$C$68,TABLAS!$B$52:$B$58,0)+1,7)),1)),MAX(MAX(DATOS!$C$71,CEILING(BL26/INDEX(TABLAS!$D$52:$D$58,MIN(MATCH(DATOS!$C$68,TABLAS!$B$52:$B$58,0)+1,7)),1)),2))&lt;=MIN(DATOS!$C$70,INT(((AC26-2*AJ26)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26&gt;=0,IF(MAX(DATOS!$C$71,CEILING(BL26/INDEX(TABLAS!$D$52:$D$58,MIN(MATCH(DATOS!$C$68,TABLAS!$B$52:$B$58,0)+2,7)),1))*INDEX(TABLAS!$D$52:$D$58,MIN(MATCH(DATOS!$C$68,TABLAS!$B$52:$B$58,0)+2,7))&gt;=4/3*IF(BF26&lt;=0,0,IF((1-2*BF26*1E5/(DATOS!$C$29*AG26*BK26^2*DATOS!$C$21))&lt;0,-1,IF((1-SQRT((1-2*BF26*1E5/(DATOS!$C$29*AG26*BK26^2*DATOS!$C$21))))*DATOS!$C$21*AG26*BK26/DATOS!$C$14&gt;DATOS!$C$99*AG26*BK26,-1,(1-SQRT((1-2*BF26*1E5/(DATOS!$C$29*AG26*BK26^2*DATOS!$C$21))))*DATOS!$C$21*AG26*BK26/DATOS!$C$14)))-0.0001,MAX(DATOS!$C$71,CEILING(BL26/INDEX(TABLAS!$D$52:$D$58,MIN(MATCH(DATOS!$C$68,TABLAS!$B$52:$B$58,0)+2,7)),1)),MAX(MAX(DATOS!$C$71,CEILING(BL26/INDEX(TABLAS!$D$52:$D$58,MIN(MATCH(DATOS!$C$68,TABLAS!$B$52:$B$58,0)+2,7)),1)),2))&lt;=MIN(DATOS!$C$70,INT(((AC26-2*AJ26)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26&gt;=0,IF(MAX(DATOS!$C$71,CEILING(BL26/INDEX(TABLAS!$D$52:$D$58,MIN(MATCH(DATOS!$C$68,TABLAS!$B$52:$B$58,0)+3,7)),1))*INDEX(TABLAS!$D$52:$D$58,MIN(MATCH(DATOS!$C$68,TABLAS!$B$52:$B$58,0)+3,7))&gt;=4/3*IF(BF26&lt;=0,0,IF((1-2*BF26*1E5/(DATOS!$C$29*AG26*BK26^2*DATOS!$C$21))&lt;0,-1,IF((1-SQRT((1-2*BF26*1E5/(DATOS!$C$29*AG26*BK26^2*DATOS!$C$21))))*DATOS!$C$21*AG26*BK26/DATOS!$C$14&gt;DATOS!$C$99*AG26*BK26,-1,(1-SQRT((1-2*BF26*1E5/(DATOS!$C$29*AG26*BK26^2*DATOS!$C$21))))*DATOS!$C$21*AG26*BK26/DATOS!$C$14)))-0.0001,MAX(DATOS!$C$71,CEILING(BL26/INDEX(TABLAS!$D$52:$D$58,MIN(MATCH(DATOS!$C$68,TABLAS!$B$52:$B$58,0)+3,7)),1)),MAX(MAX(DATOS!$C$71,CEILING(BL26/INDEX(TABLAS!$D$52:$D$58,MIN(MATCH(DATOS!$C$68,TABLAS!$B$52:$B$58,0)+3,7)),1)),2))&lt;=MIN(DATOS!$C$70,INT(((AC26-2*AJ26)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26&gt;=0,IF(MAX(DATOS!$C$71,CEILING(BL26/INDEX(TABLAS!$D$52:$D$58,MIN(MATCH(DATOS!$C$68,TABLAS!$B$52:$B$58,0)+4,7)),1))*INDEX(TABLAS!$D$52:$D$58,MIN(MATCH(DATOS!$C$68,TABLAS!$B$52:$B$58,0)+4,7))&gt;=4/3*IF(BF26&lt;=0,0,IF((1-2*BF26*1E5/(DATOS!$C$29*AG26*BK26^2*DATOS!$C$21))&lt;0,-1,IF((1-SQRT((1-2*BF26*1E5/(DATOS!$C$29*AG26*BK26^2*DATOS!$C$21))))*DATOS!$C$21*AG26*BK26/DATOS!$C$14&gt;DATOS!$C$99*AG26*BK26,-1,(1-SQRT((1-2*BF26*1E5/(DATOS!$C$29*AG26*BK26^2*DATOS!$C$21))))*DATOS!$C$21*AG26*BK26/DATOS!$C$14)))-0.0001,MAX(DATOS!$C$71,CEILING(BL26/INDEX(TABLAS!$D$52:$D$58,MIN(MATCH(DATOS!$C$68,TABLAS!$B$52:$B$58,0)+4,7)),1)),MAX(MAX(DATOS!$C$71,CEILING(BL26/INDEX(TABLAS!$D$52:$D$58,MIN(MATCH(DATOS!$C$68,TABLAS!$B$52:$B$58,0)+4,7)),1)),2))&lt;=MIN(DATOS!$C$70,INT(((AC26-2*AJ26)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26" s="59" t="str">
        <f>IF(U26&lt;&gt;"SÍ","",IF(BL26&lt;0,0,IF(MAX(DATOS!$C$71,CEILING(MAX(BL26,0)/INDEX(TABLAS!$D$52:$D$58,MATCH(BM26,TABLAS!$B$52:$B$58,0)),1))*INDEX(TABLAS!$D$52:$D$58,MATCH(BM26,TABLAS!$B$52:$B$58,0))&gt;=4/3*IF(BF26&lt;=0,0,IF((1-2*BF26*1E5/(DATOS!$C$29*AG26*BK26^2*DATOS!$C$21))&lt;0,-1,IF((1-SQRT((1-2*BF26*1E5/(DATOS!$C$29*AG26*BK26^2*DATOS!$C$21))))*DATOS!$C$21*AG26*BK26/DATOS!$C$14&gt;DATOS!$C$99*AG26*BK26,-1,(1-SQRT((1-2*BF26*1E5/(DATOS!$C$29*AG26*BK26^2*DATOS!$C$21))))*DATOS!$C$21*AG26*BK26/DATOS!$C$14)))-0.0001,MAX(DATOS!$C$71,CEILING(MAX(BL26,0)/INDEX(TABLAS!$D$52:$D$58,MATCH(BM26,TABLAS!$B$52:$B$58,0)),1)),MAX(MAX(DATOS!$C$71,CEILING(MAX(BL26,0)/INDEX(TABLAS!$D$52:$D$58,MATCH(BM26,TABLAS!$B$52:$B$58,0)),1)),2))))</f>
        <v/>
      </c>
      <c r="BO26" s="58" t="str">
        <f>IF(U26&lt;&gt;"SÍ","",DATOS!$C$82-AJ26-INDEX(TABLAS!$C$52:$C$58,MATCH(BM26,TABLAS!$B$52:$B$58,0))/2)</f>
        <v/>
      </c>
      <c r="BP26" s="56" t="str">
        <f>IF(U26&lt;&gt;"SÍ","",IF(BN26=0,0,DATOS!$C$29*BN26*INDEX(TABLAS!$D$52:$D$58,MATCH(BM26,TABLAS!$B$52:$B$58,0))*DATOS!$C$14*(BO26-BN26*INDEX(TABLAS!$D$52:$D$58,MATCH(BM26,TABLAS!$B$52:$B$58,0))*DATOS!$C$14/(DATOS!$C$21*AG26)/2)/1E5))</f>
        <v/>
      </c>
      <c r="BQ26" s="65" t="str">
        <f>IF(U26&lt;&gt;"SÍ","",IF(BL26&lt;0,9.99,IF(BP26&gt;0,BF26/BP26,0)))</f>
        <v/>
      </c>
      <c r="BR26" s="66" t="str">
        <f>IF(U26&lt;&gt;"SÍ","",IF(BN26=0,"—",0.003*(BO26-(BN26*INDEX(TABLAS!$D$52:$D$58,MATCH(BM26,TABLAS!$B$52:$B$58,0))*DATOS!$C$14/(DATOS!$C$21*AG26)/DATOS!$C$22))/(BN26*INDEX(TABLAS!$D$52:$D$58,MATCH(BM26,TABLAS!$B$52:$B$58,0))*DATOS!$C$14/(DATOS!$C$21*AG26)/DATOS!$C$22)))</f>
        <v/>
      </c>
      <c r="BS26" s="58" t="str">
        <f>IF(U26&lt;&gt;"SÍ","",((DATOS!$C$82-AL26-2*DATOS!$C$94-INDEX(TABLAS!$C$52:$C$58,MATCH(DATOS!$C$69,TABLAS!$B$52:$B$58,0))/2)-IF(AND((DATOS!$C$82-AL26-2*DATOS!$C$94-INDEX(TABLAS!$C$52:$C$58,MATCH(DATOS!$C$69,TABLAS!$B$52:$B$58,0))/2)&lt;=20,DATOS!$C$62&lt;&gt;"SÍ"),2,0)))</f>
        <v/>
      </c>
      <c r="BT26" s="58" t="str">
        <f>IF(U26&lt;&gt;"SÍ","",IF(IF(BG26&lt;=0,0,IF((1-2*BG26*1E5/(DATOS!$C$29*AE26*BS26^2*DATOS!$C$21))&lt;0,-1,IF((1-SQRT((1-2*BG26*1E5/(DATOS!$C$29*AE26*BS26^2*DATOS!$C$21))))*DATOS!$C$21*AE26*BS26/DATOS!$C$14&gt;DATOS!$C$99*AE26*BS26,-1,(1-SQRT((1-2*BG26*1E5/(DATOS!$C$29*AE26*BS26^2*DATOS!$C$21))))*DATOS!$C$21*AE26*BS26/DATOS!$C$14)))&lt;0,-1,MAX(IF(BG26&lt;=0,0,IF((1-2*BG26*1E5/(DATOS!$C$29*AE26*BS26^2*DATOS!$C$21))&lt;0,-1,IF((1-SQRT((1-2*BG26*1E5/(DATOS!$C$29*AE26*BS26^2*DATOS!$C$21))))*DATOS!$C$21*AE26*BS26/DATOS!$C$14&gt;DATOS!$C$99*AE26*BS26,-1,(1-SQRT((1-2*BG26*1E5/(DATOS!$C$29*AE26*BS26^2*DATOS!$C$21))))*DATOS!$C$21*AE26*BS26/DATOS!$C$14))),MIN(DATOS!$C$100*IF(C26="VOLADO",MIN(AG26,2*AC26),AC26)*BS26,4/3*IF(BG26&lt;=0,0,IF((1-2*BG26*1E5/(DATOS!$C$29*AE26*BS26^2*DATOS!$C$21))&lt;0,-1,IF((1-SQRT((1-2*BG26*1E5/(DATOS!$C$29*AE26*BS26^2*DATOS!$C$21))))*DATOS!$C$21*AE26*BS26/DATOS!$C$14&gt;DATOS!$C$99*AE26*BS26,-1,(1-SQRT((1-2*BG26*1E5/(DATOS!$C$29*AE26*BS26^2*DATOS!$C$21))))*DATOS!$C$21*AE26*BS26/DATOS!$C$14)))))))</f>
        <v/>
      </c>
      <c r="BU26" s="64" t="str">
        <f>IF(U26&lt;&gt;"SÍ","",IF(AND(BT26&gt;=0,IF(MAX(DATOS!$C$71,CEILING(BT26/INDEX(TABLAS!$D$52:$D$58,MIN(MATCH(DATOS!$C$69,TABLAS!$B$52:$B$58,0)+0,7)),1))*INDEX(TABLAS!$D$52:$D$58,MIN(MATCH(DATOS!$C$69,TABLAS!$B$52:$B$58,0)+0,7))&gt;=4/3*IF(BG26&lt;=0,0,IF((1-2*BG26*1E5/(DATOS!$C$29*AE26*BS26^2*DATOS!$C$21))&lt;0,-1,IF((1-SQRT((1-2*BG26*1E5/(DATOS!$C$29*AE26*BS26^2*DATOS!$C$21))))*DATOS!$C$21*AE26*BS26/DATOS!$C$14&gt;DATOS!$C$99*AE26*BS26,-1,(1-SQRT((1-2*BG26*1E5/(DATOS!$C$29*AE26*BS26^2*DATOS!$C$21))))*DATOS!$C$21*AE26*BS26/DATOS!$C$14)))-0.0001,MAX(DATOS!$C$71,CEILING(BT26/INDEX(TABLAS!$D$52:$D$58,MIN(MATCH(DATOS!$C$69,TABLAS!$B$52:$B$58,0)+0,7)),1)),MAX(MAX(DATOS!$C$71,CEILING(BT26/INDEX(TABLAS!$D$52:$D$58,MIN(MATCH(DATOS!$C$69,TABLAS!$B$52:$B$58,0)+0,7)),1)),2))&lt;=MIN(DATOS!$C$70,INT(((AC26-2*AK26)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26&gt;=0,IF(MAX(DATOS!$C$71,CEILING(BT26/INDEX(TABLAS!$D$52:$D$58,MIN(MATCH(DATOS!$C$69,TABLAS!$B$52:$B$58,0)+1,7)),1))*INDEX(TABLAS!$D$52:$D$58,MIN(MATCH(DATOS!$C$69,TABLAS!$B$52:$B$58,0)+1,7))&gt;=4/3*IF(BG26&lt;=0,0,IF((1-2*BG26*1E5/(DATOS!$C$29*AE26*BS26^2*DATOS!$C$21))&lt;0,-1,IF((1-SQRT((1-2*BG26*1E5/(DATOS!$C$29*AE26*BS26^2*DATOS!$C$21))))*DATOS!$C$21*AE26*BS26/DATOS!$C$14&gt;DATOS!$C$99*AE26*BS26,-1,(1-SQRT((1-2*BG26*1E5/(DATOS!$C$29*AE26*BS26^2*DATOS!$C$21))))*DATOS!$C$21*AE26*BS26/DATOS!$C$14)))-0.0001,MAX(DATOS!$C$71,CEILING(BT26/INDEX(TABLAS!$D$52:$D$58,MIN(MATCH(DATOS!$C$69,TABLAS!$B$52:$B$58,0)+1,7)),1)),MAX(MAX(DATOS!$C$71,CEILING(BT26/INDEX(TABLAS!$D$52:$D$58,MIN(MATCH(DATOS!$C$69,TABLAS!$B$52:$B$58,0)+1,7)),1)),2))&lt;=MIN(DATOS!$C$70,INT(((AC26-2*AK26)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26&gt;=0,IF(MAX(DATOS!$C$71,CEILING(BT26/INDEX(TABLAS!$D$52:$D$58,MIN(MATCH(DATOS!$C$69,TABLAS!$B$52:$B$58,0)+2,7)),1))*INDEX(TABLAS!$D$52:$D$58,MIN(MATCH(DATOS!$C$69,TABLAS!$B$52:$B$58,0)+2,7))&gt;=4/3*IF(BG26&lt;=0,0,IF((1-2*BG26*1E5/(DATOS!$C$29*AE26*BS26^2*DATOS!$C$21))&lt;0,-1,IF((1-SQRT((1-2*BG26*1E5/(DATOS!$C$29*AE26*BS26^2*DATOS!$C$21))))*DATOS!$C$21*AE26*BS26/DATOS!$C$14&gt;DATOS!$C$99*AE26*BS26,-1,(1-SQRT((1-2*BG26*1E5/(DATOS!$C$29*AE26*BS26^2*DATOS!$C$21))))*DATOS!$C$21*AE26*BS26/DATOS!$C$14)))-0.0001,MAX(DATOS!$C$71,CEILING(BT26/INDEX(TABLAS!$D$52:$D$58,MIN(MATCH(DATOS!$C$69,TABLAS!$B$52:$B$58,0)+2,7)),1)),MAX(MAX(DATOS!$C$71,CEILING(BT26/INDEX(TABLAS!$D$52:$D$58,MIN(MATCH(DATOS!$C$69,TABLAS!$B$52:$B$58,0)+2,7)),1)),2))&lt;=MIN(DATOS!$C$70,INT(((AC26-2*AK26)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26&gt;=0,IF(MAX(DATOS!$C$71,CEILING(BT26/INDEX(TABLAS!$D$52:$D$58,MIN(MATCH(DATOS!$C$69,TABLAS!$B$52:$B$58,0)+3,7)),1))*INDEX(TABLAS!$D$52:$D$58,MIN(MATCH(DATOS!$C$69,TABLAS!$B$52:$B$58,0)+3,7))&gt;=4/3*IF(BG26&lt;=0,0,IF((1-2*BG26*1E5/(DATOS!$C$29*AE26*BS26^2*DATOS!$C$21))&lt;0,-1,IF((1-SQRT((1-2*BG26*1E5/(DATOS!$C$29*AE26*BS26^2*DATOS!$C$21))))*DATOS!$C$21*AE26*BS26/DATOS!$C$14&gt;DATOS!$C$99*AE26*BS26,-1,(1-SQRT((1-2*BG26*1E5/(DATOS!$C$29*AE26*BS26^2*DATOS!$C$21))))*DATOS!$C$21*AE26*BS26/DATOS!$C$14)))-0.0001,MAX(DATOS!$C$71,CEILING(BT26/INDEX(TABLAS!$D$52:$D$58,MIN(MATCH(DATOS!$C$69,TABLAS!$B$52:$B$58,0)+3,7)),1)),MAX(MAX(DATOS!$C$71,CEILING(BT26/INDEX(TABLAS!$D$52:$D$58,MIN(MATCH(DATOS!$C$69,TABLAS!$B$52:$B$58,0)+3,7)),1)),2))&lt;=MIN(DATOS!$C$70,INT(((AC26-2*AK26)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26&gt;=0,IF(MAX(DATOS!$C$71,CEILING(BT26/INDEX(TABLAS!$D$52:$D$58,MIN(MATCH(DATOS!$C$69,TABLAS!$B$52:$B$58,0)+4,7)),1))*INDEX(TABLAS!$D$52:$D$58,MIN(MATCH(DATOS!$C$69,TABLAS!$B$52:$B$58,0)+4,7))&gt;=4/3*IF(BG26&lt;=0,0,IF((1-2*BG26*1E5/(DATOS!$C$29*AE26*BS26^2*DATOS!$C$21))&lt;0,-1,IF((1-SQRT((1-2*BG26*1E5/(DATOS!$C$29*AE26*BS26^2*DATOS!$C$21))))*DATOS!$C$21*AE26*BS26/DATOS!$C$14&gt;DATOS!$C$99*AE26*BS26,-1,(1-SQRT((1-2*BG26*1E5/(DATOS!$C$29*AE26*BS26^2*DATOS!$C$21))))*DATOS!$C$21*AE26*BS26/DATOS!$C$14)))-0.0001,MAX(DATOS!$C$71,CEILING(BT26/INDEX(TABLAS!$D$52:$D$58,MIN(MATCH(DATOS!$C$69,TABLAS!$B$52:$B$58,0)+4,7)),1)),MAX(MAX(DATOS!$C$71,CEILING(BT26/INDEX(TABLAS!$D$52:$D$58,MIN(MATCH(DATOS!$C$69,TABLAS!$B$52:$B$58,0)+4,7)),1)),2))&lt;=MIN(DATOS!$C$70,INT(((AC26-2*AK26)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26" s="59" t="str">
        <f>IF(U26&lt;&gt;"SÍ","",IF(BT26&lt;0,0,IF(MAX(DATOS!$C$71,CEILING(MAX(BT26,0)/INDEX(TABLAS!$D$52:$D$58,MATCH(BU26,TABLAS!$B$52:$B$58,0)),1))*INDEX(TABLAS!$D$52:$D$58,MATCH(BU26,TABLAS!$B$52:$B$58,0))&gt;=4/3*IF(BG26&lt;=0,0,IF((1-2*BG26*1E5/(DATOS!$C$29*AE26*BS26^2*DATOS!$C$21))&lt;0,-1,IF((1-SQRT((1-2*BG26*1E5/(DATOS!$C$29*AE26*BS26^2*DATOS!$C$21))))*DATOS!$C$21*AE26*BS26/DATOS!$C$14&gt;DATOS!$C$99*AE26*BS26,-1,(1-SQRT((1-2*BG26*1E5/(DATOS!$C$29*AE26*BS26^2*DATOS!$C$21))))*DATOS!$C$21*AE26*BS26/DATOS!$C$14)))-0.0001,MAX(DATOS!$C$71,CEILING(MAX(BT26,0)/INDEX(TABLAS!$D$52:$D$58,MATCH(BU26,TABLAS!$B$52:$B$58,0)),1)),MAX(MAX(DATOS!$C$71,CEILING(MAX(BT26,0)/INDEX(TABLAS!$D$52:$D$58,MATCH(BU26,TABLAS!$B$52:$B$58,0)),1)),2))))</f>
        <v/>
      </c>
      <c r="BW26" s="58" t="str">
        <f>IF(U26&lt;&gt;"SÍ","",((DATOS!$C$82-AL26-2*DATOS!$C$94-INDEX(TABLAS!$C$52:$C$58,MATCH(BU26,TABLAS!$B$52:$B$58,0))/2)-IF(AND((DATOS!$C$82-AL26-2*DATOS!$C$94-INDEX(TABLAS!$C$52:$C$58,MATCH(BU26,TABLAS!$B$52:$B$58,0))/2)&lt;=20,DATOS!$C$62&lt;&gt;"SÍ"),2,0)))</f>
        <v/>
      </c>
      <c r="BX26" s="56" t="str">
        <f>IF(U26&lt;&gt;"SÍ","",IF(BV26=0,0,DATOS!$C$29*BV26*INDEX(TABLAS!$D$52:$D$58,MATCH(BU26,TABLAS!$B$52:$B$58,0))*DATOS!$C$14*(BW26-BV26*INDEX(TABLAS!$D$52:$D$58,MATCH(BU26,TABLAS!$B$52:$B$58,0))*DATOS!$C$14/(DATOS!$C$21*AE26)/2)/1E5))</f>
        <v/>
      </c>
      <c r="BY26" s="65" t="str">
        <f>IF(U26&lt;&gt;"SÍ","",IF(BT26&lt;0,9.99,IF(BX26&gt;0,BG26/BX26,0)))</f>
        <v/>
      </c>
      <c r="BZ26" s="66" t="str">
        <f>IF(U26&lt;&gt;"SÍ","",IF(BV26=0,"—",0.003*(BW26-(BV26*INDEX(TABLAS!$D$52:$D$58,MATCH(BU26,TABLAS!$B$52:$B$58,0))*DATOS!$C$14/(DATOS!$C$21*AE26)/DATOS!$C$22))/(BV26*INDEX(TABLAS!$D$52:$D$58,MATCH(BU26,TABLAS!$B$52:$B$58,0))*DATOS!$C$14/(DATOS!$C$21*AE26)/DATOS!$C$22)))</f>
        <v/>
      </c>
      <c r="CA26" s="58" t="str">
        <f>IF(U26&lt;&gt;"SÍ","",(DATOS!$C$82-AJ26-INDEX(TABLAS!$C$52:$C$58,MATCH(DATOS!$C$68,TABLAS!$B$52:$B$58,0))-INDEX(TABLAS!$C$52:$C$58,MATCH(DATOS!$C$68,TABLAS!$B$52:$B$58,0))/2))</f>
        <v/>
      </c>
      <c r="CB26" s="58" t="str">
        <f>IF(U26&lt;&gt;"SÍ","",IF(IF(BH26&lt;=0,0,IF((1-2*BH26*1E5/(DATOS!$C$29*AH26*CA26^2*DATOS!$C$21))&lt;0,-1,IF((1-SQRT((1-2*BH26*1E5/(DATOS!$C$29*AH26*CA26^2*DATOS!$C$21))))*DATOS!$C$21*AH26*CA26/DATOS!$C$14&gt;DATOS!$C$99*AH26*CA26,-1,(1-SQRT((1-2*BH26*1E5/(DATOS!$C$29*AH26*CA26^2*DATOS!$C$21))))*DATOS!$C$21*AH26*CA26/DATOS!$C$14)))&lt;0,-1,MAX(IF(BH26&lt;=0,0,IF((1-2*BH26*1E5/(DATOS!$C$29*AH26*CA26^2*DATOS!$C$21))&lt;0,-1,IF((1-SQRT((1-2*BH26*1E5/(DATOS!$C$29*AH26*CA26^2*DATOS!$C$21))))*DATOS!$C$21*AH26*CA26/DATOS!$C$14&gt;DATOS!$C$99*AH26*CA26,-1,(1-SQRT((1-2*BH26*1E5/(DATOS!$C$29*AH26*CA26^2*DATOS!$C$21))))*DATOS!$C$21*AH26*CA26/DATOS!$C$14))),MIN(DATOS!$C$100*DATOS!$C$80*CA26,4/3*IF(BH26&lt;=0,0,IF((1-2*BH26*1E5/(DATOS!$C$29*AH26*CA26^2*DATOS!$C$21))&lt;0,-1,IF((1-SQRT((1-2*BH26*1E5/(DATOS!$C$29*AH26*CA26^2*DATOS!$C$21))))*DATOS!$C$21*AH26*CA26/DATOS!$C$14&gt;DATOS!$C$99*AH26*CA26,-1,(1-SQRT((1-2*BH26*1E5/(DATOS!$C$29*AH26*CA26^2*DATOS!$C$21))))*DATOS!$C$21*AH26*CA26/DATOS!$C$14)))))))</f>
        <v/>
      </c>
      <c r="CC26" s="64" t="str">
        <f>IF(U26&lt;&gt;"SÍ","",IF(AND(CB26&gt;=0,IF(MAX(DATOS!$C$71,CEILING(CB26/INDEX(TABLAS!$D$52:$D$58,MIN(MATCH(DATOS!$C$68,TABLAS!$B$52:$B$58,0)+0,7)),1))*INDEX(TABLAS!$D$52:$D$58,MIN(MATCH(DATOS!$C$68,TABLAS!$B$52:$B$58,0)+0,7))&gt;=4/3*IF(BH26&lt;=0,0,IF((1-2*BH26*1E5/(DATOS!$C$29*AH26*CA26^2*DATOS!$C$21))&lt;0,-1,IF((1-SQRT((1-2*BH26*1E5/(DATOS!$C$29*AH26*CA26^2*DATOS!$C$21))))*DATOS!$C$21*AH26*CA26/DATOS!$C$14&gt;DATOS!$C$99*AH26*CA26,-1,(1-SQRT((1-2*BH26*1E5/(DATOS!$C$29*AH26*CA26^2*DATOS!$C$21))))*DATOS!$C$21*AH26*CA26/DATOS!$C$14)))-0.0001,MAX(DATOS!$C$71,CEILING(CB26/INDEX(TABLAS!$D$52:$D$58,MIN(MATCH(DATOS!$C$68,TABLAS!$B$52:$B$58,0)+0,7)),1)),MAX(MAX(DATOS!$C$71,CEILING(CB26/INDEX(TABLAS!$D$52:$D$58,MIN(MATCH(DATOS!$C$68,TABLAS!$B$52:$B$58,0)+0,7)),1)),2))&lt;=MIN(DATOS!$C$70,INT(((DATOS!$C$80-2*AJ26)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26&gt;=0,IF(MAX(DATOS!$C$71,CEILING(CB26/INDEX(TABLAS!$D$52:$D$58,MIN(MATCH(DATOS!$C$68,TABLAS!$B$52:$B$58,0)+1,7)),1))*INDEX(TABLAS!$D$52:$D$58,MIN(MATCH(DATOS!$C$68,TABLAS!$B$52:$B$58,0)+1,7))&gt;=4/3*IF(BH26&lt;=0,0,IF((1-2*BH26*1E5/(DATOS!$C$29*AH26*CA26^2*DATOS!$C$21))&lt;0,-1,IF((1-SQRT((1-2*BH26*1E5/(DATOS!$C$29*AH26*CA26^2*DATOS!$C$21))))*DATOS!$C$21*AH26*CA26/DATOS!$C$14&gt;DATOS!$C$99*AH26*CA26,-1,(1-SQRT((1-2*BH26*1E5/(DATOS!$C$29*AH26*CA26^2*DATOS!$C$21))))*DATOS!$C$21*AH26*CA26/DATOS!$C$14)))-0.0001,MAX(DATOS!$C$71,CEILING(CB26/INDEX(TABLAS!$D$52:$D$58,MIN(MATCH(DATOS!$C$68,TABLAS!$B$52:$B$58,0)+1,7)),1)),MAX(MAX(DATOS!$C$71,CEILING(CB26/INDEX(TABLAS!$D$52:$D$58,MIN(MATCH(DATOS!$C$68,TABLAS!$B$52:$B$58,0)+1,7)),1)),2))&lt;=MIN(DATOS!$C$70,INT(((DATOS!$C$80-2*AJ26)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26&gt;=0,IF(MAX(DATOS!$C$71,CEILING(CB26/INDEX(TABLAS!$D$52:$D$58,MIN(MATCH(DATOS!$C$68,TABLAS!$B$52:$B$58,0)+2,7)),1))*INDEX(TABLAS!$D$52:$D$58,MIN(MATCH(DATOS!$C$68,TABLAS!$B$52:$B$58,0)+2,7))&gt;=4/3*IF(BH26&lt;=0,0,IF((1-2*BH26*1E5/(DATOS!$C$29*AH26*CA26^2*DATOS!$C$21))&lt;0,-1,IF((1-SQRT((1-2*BH26*1E5/(DATOS!$C$29*AH26*CA26^2*DATOS!$C$21))))*DATOS!$C$21*AH26*CA26/DATOS!$C$14&gt;DATOS!$C$99*AH26*CA26,-1,(1-SQRT((1-2*BH26*1E5/(DATOS!$C$29*AH26*CA26^2*DATOS!$C$21))))*DATOS!$C$21*AH26*CA26/DATOS!$C$14)))-0.0001,MAX(DATOS!$C$71,CEILING(CB26/INDEX(TABLAS!$D$52:$D$58,MIN(MATCH(DATOS!$C$68,TABLAS!$B$52:$B$58,0)+2,7)),1)),MAX(MAX(DATOS!$C$71,CEILING(CB26/INDEX(TABLAS!$D$52:$D$58,MIN(MATCH(DATOS!$C$68,TABLAS!$B$52:$B$58,0)+2,7)),1)),2))&lt;=MIN(DATOS!$C$70,INT(((DATOS!$C$80-2*AJ26)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26&gt;=0,IF(MAX(DATOS!$C$71,CEILING(CB26/INDEX(TABLAS!$D$52:$D$58,MIN(MATCH(DATOS!$C$68,TABLAS!$B$52:$B$58,0)+3,7)),1))*INDEX(TABLAS!$D$52:$D$58,MIN(MATCH(DATOS!$C$68,TABLAS!$B$52:$B$58,0)+3,7))&gt;=4/3*IF(BH26&lt;=0,0,IF((1-2*BH26*1E5/(DATOS!$C$29*AH26*CA26^2*DATOS!$C$21))&lt;0,-1,IF((1-SQRT((1-2*BH26*1E5/(DATOS!$C$29*AH26*CA26^2*DATOS!$C$21))))*DATOS!$C$21*AH26*CA26/DATOS!$C$14&gt;DATOS!$C$99*AH26*CA26,-1,(1-SQRT((1-2*BH26*1E5/(DATOS!$C$29*AH26*CA26^2*DATOS!$C$21))))*DATOS!$C$21*AH26*CA26/DATOS!$C$14)))-0.0001,MAX(DATOS!$C$71,CEILING(CB26/INDEX(TABLAS!$D$52:$D$58,MIN(MATCH(DATOS!$C$68,TABLAS!$B$52:$B$58,0)+3,7)),1)),MAX(MAX(DATOS!$C$71,CEILING(CB26/INDEX(TABLAS!$D$52:$D$58,MIN(MATCH(DATOS!$C$68,TABLAS!$B$52:$B$58,0)+3,7)),1)),2))&lt;=MIN(DATOS!$C$70,INT(((DATOS!$C$80-2*AJ26)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26&gt;=0,IF(MAX(DATOS!$C$71,CEILING(CB26/INDEX(TABLAS!$D$52:$D$58,MIN(MATCH(DATOS!$C$68,TABLAS!$B$52:$B$58,0)+4,7)),1))*INDEX(TABLAS!$D$52:$D$58,MIN(MATCH(DATOS!$C$68,TABLAS!$B$52:$B$58,0)+4,7))&gt;=4/3*IF(BH26&lt;=0,0,IF((1-2*BH26*1E5/(DATOS!$C$29*AH26*CA26^2*DATOS!$C$21))&lt;0,-1,IF((1-SQRT((1-2*BH26*1E5/(DATOS!$C$29*AH26*CA26^2*DATOS!$C$21))))*DATOS!$C$21*AH26*CA26/DATOS!$C$14&gt;DATOS!$C$99*AH26*CA26,-1,(1-SQRT((1-2*BH26*1E5/(DATOS!$C$29*AH26*CA26^2*DATOS!$C$21))))*DATOS!$C$21*AH26*CA26/DATOS!$C$14)))-0.0001,MAX(DATOS!$C$71,CEILING(CB26/INDEX(TABLAS!$D$52:$D$58,MIN(MATCH(DATOS!$C$68,TABLAS!$B$52:$B$58,0)+4,7)),1)),MAX(MAX(DATOS!$C$71,CEILING(CB26/INDEX(TABLAS!$D$52:$D$58,MIN(MATCH(DATOS!$C$68,TABLAS!$B$52:$B$58,0)+4,7)),1)),2))&lt;=MIN(DATOS!$C$70,INT(((DATOS!$C$80-2*AJ26)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26" s="59" t="str">
        <f>IF(U26&lt;&gt;"SÍ","",IF(CB26&lt;0,0,IF(MAX(DATOS!$C$71,CEILING(MAX(CB26,0)/INDEX(TABLAS!$D$52:$D$58,MATCH(CC26,TABLAS!$B$52:$B$58,0)),1))*INDEX(TABLAS!$D$52:$D$58,MATCH(CC26,TABLAS!$B$52:$B$58,0))&gt;=4/3*IF(BH26&lt;=0,0,IF((1-2*BH26*1E5/(DATOS!$C$29*AH26*CA26^2*DATOS!$C$21))&lt;0,-1,IF((1-SQRT((1-2*BH26*1E5/(DATOS!$C$29*AH26*CA26^2*DATOS!$C$21))))*DATOS!$C$21*AH26*CA26/DATOS!$C$14&gt;DATOS!$C$99*AH26*CA26,-1,(1-SQRT((1-2*BH26*1E5/(DATOS!$C$29*AH26*CA26^2*DATOS!$C$21))))*DATOS!$C$21*AH26*CA26/DATOS!$C$14)))-0.0001,MAX(DATOS!$C$71,CEILING(MAX(CB26,0)/INDEX(TABLAS!$D$52:$D$58,MATCH(CC26,TABLAS!$B$52:$B$58,0)),1)),MAX(MAX(DATOS!$C$71,CEILING(MAX(CB26,0)/INDEX(TABLAS!$D$52:$D$58,MATCH(CC26,TABLAS!$B$52:$B$58,0)),1)),2))))</f>
        <v/>
      </c>
      <c r="CE26" s="58" t="str">
        <f>IF(U26&lt;&gt;"SÍ","",DATOS!$C$82-AJ26-INDEX(TABLAS!$C$52:$C$58,MATCH(BM26,TABLAS!$B$52:$B$58,0))-INDEX(TABLAS!$C$52:$C$58,MATCH(CC26,TABLAS!$B$52:$B$58,0))/2)</f>
        <v/>
      </c>
      <c r="CF26" s="56" t="str">
        <f>IF(U26&lt;&gt;"SÍ","",IF(CD26=0,0,DATOS!$C$29*CD26*INDEX(TABLAS!$D$52:$D$58,MATCH(CC26,TABLAS!$B$52:$B$58,0))*DATOS!$C$14*(CE26-CD26*INDEX(TABLAS!$D$52:$D$58,MATCH(CC26,TABLAS!$B$52:$B$58,0))*DATOS!$C$14/(DATOS!$C$21*AH26)/2)/1E5))</f>
        <v/>
      </c>
      <c r="CG26" s="65" t="str">
        <f>IF(U26&lt;&gt;"SÍ","",IF(CB26&lt;0,9.99,IF(CF26&gt;0,BH26/CF26,0)))</f>
        <v/>
      </c>
      <c r="CH26" s="66" t="str">
        <f>IF(U26&lt;&gt;"SÍ","",IF(CD26=0,"—",0.003*(CE26-(CD26*INDEX(TABLAS!$D$52:$D$58,MATCH(CC26,TABLAS!$B$52:$B$58,0))*DATOS!$C$14/(DATOS!$C$21*AH26)/DATOS!$C$22))/(CD26*INDEX(TABLAS!$D$52:$D$58,MATCH(CC26,TABLAS!$B$52:$B$58,0))*DATOS!$C$14/(DATOS!$C$21*AH26)/DATOS!$C$22)))</f>
        <v/>
      </c>
      <c r="CI26" s="58" t="str">
        <f>IF(U26&lt;&gt;"SÍ","",((DATOS!$C$82-AL26-2*DATOS!$C$94-INDEX(TABLAS!$C$52:$C$58,MATCH(DATOS!$C$69,TABLAS!$B$52:$B$58,0))-INDEX(TABLAS!$C$52:$C$58,MATCH(DATOS!$C$69,TABLAS!$B$52:$B$58,0))/2)-IF(AND((DATOS!$C$82-AL26-2*DATOS!$C$94-INDEX(TABLAS!$C$52:$C$58,MATCH(DATOS!$C$69,TABLAS!$B$52:$B$58,0))-INDEX(TABLAS!$C$52:$C$58,MATCH(DATOS!$C$69,TABLAS!$B$52:$B$58,0))/2)&lt;=20,DATOS!$C$62&lt;&gt;"SÍ"),2,0)))</f>
        <v/>
      </c>
      <c r="CJ26" s="58" t="str">
        <f>IF(U26&lt;&gt;"SÍ","",IF(IF(BI26&lt;=0,0,IF((1-2*BI26*1E5/(DATOS!$C$29*AF26*CI26^2*DATOS!$C$21))&lt;0,-1,IF((1-SQRT((1-2*BI26*1E5/(DATOS!$C$29*AF26*CI26^2*DATOS!$C$21))))*DATOS!$C$21*AF26*CI26/DATOS!$C$14&gt;DATOS!$C$99*AF26*CI26,-1,(1-SQRT((1-2*BI26*1E5/(DATOS!$C$29*AF26*CI26^2*DATOS!$C$21))))*DATOS!$C$21*AF26*CI26/DATOS!$C$14)))&lt;0,-1,MAX(IF(BI26&lt;=0,0,IF((1-2*BI26*1E5/(DATOS!$C$29*AF26*CI26^2*DATOS!$C$21))&lt;0,-1,IF((1-SQRT((1-2*BI26*1E5/(DATOS!$C$29*AF26*CI26^2*DATOS!$C$21))))*DATOS!$C$21*AF26*CI26/DATOS!$C$14&gt;DATOS!$C$99*AF26*CI26,-1,(1-SQRT((1-2*BI26*1E5/(DATOS!$C$29*AF26*CI26^2*DATOS!$C$21))))*DATOS!$C$21*AF26*CI26/DATOS!$C$14))),MIN(DATOS!$C$100*DATOS!$C$80*CI26,4/3*IF(BI26&lt;=0,0,IF((1-2*BI26*1E5/(DATOS!$C$29*AF26*CI26^2*DATOS!$C$21))&lt;0,-1,IF((1-SQRT((1-2*BI26*1E5/(DATOS!$C$29*AF26*CI26^2*DATOS!$C$21))))*DATOS!$C$21*AF26*CI26/DATOS!$C$14&gt;DATOS!$C$99*AF26*CI26,-1,(1-SQRT((1-2*BI26*1E5/(DATOS!$C$29*AF26*CI26^2*DATOS!$C$21))))*DATOS!$C$21*AF26*CI26/DATOS!$C$14)))))))</f>
        <v/>
      </c>
      <c r="CK26" s="64" t="str">
        <f>IF(U26&lt;&gt;"SÍ","",IF(AND(CJ26&gt;=0,IF(MAX(DATOS!$C$71,CEILING(CJ26/INDEX(TABLAS!$D$52:$D$58,MIN(MATCH(DATOS!$C$69,TABLAS!$B$52:$B$58,0)+0,7)),1))*INDEX(TABLAS!$D$52:$D$58,MIN(MATCH(DATOS!$C$69,TABLAS!$B$52:$B$58,0)+0,7))&gt;=4/3*IF(BI26&lt;=0,0,IF((1-2*BI26*1E5/(DATOS!$C$29*AF26*CI26^2*DATOS!$C$21))&lt;0,-1,IF((1-SQRT((1-2*BI26*1E5/(DATOS!$C$29*AF26*CI26^2*DATOS!$C$21))))*DATOS!$C$21*AF26*CI26/DATOS!$C$14&gt;DATOS!$C$99*AF26*CI26,-1,(1-SQRT((1-2*BI26*1E5/(DATOS!$C$29*AF26*CI26^2*DATOS!$C$21))))*DATOS!$C$21*AF26*CI26/DATOS!$C$14)))-0.0001,MAX(DATOS!$C$71,CEILING(CJ26/INDEX(TABLAS!$D$52:$D$58,MIN(MATCH(DATOS!$C$69,TABLAS!$B$52:$B$58,0)+0,7)),1)),MAX(MAX(DATOS!$C$71,CEILING(CJ26/INDEX(TABLAS!$D$52:$D$58,MIN(MATCH(DATOS!$C$69,TABLAS!$B$52:$B$58,0)+0,7)),1)),2))&lt;=MIN(DATOS!$C$70,INT(((DATOS!$C$80-2*AK26)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26&gt;=0,IF(MAX(DATOS!$C$71,CEILING(CJ26/INDEX(TABLAS!$D$52:$D$58,MIN(MATCH(DATOS!$C$69,TABLAS!$B$52:$B$58,0)+1,7)),1))*INDEX(TABLAS!$D$52:$D$58,MIN(MATCH(DATOS!$C$69,TABLAS!$B$52:$B$58,0)+1,7))&gt;=4/3*IF(BI26&lt;=0,0,IF((1-2*BI26*1E5/(DATOS!$C$29*AF26*CI26^2*DATOS!$C$21))&lt;0,-1,IF((1-SQRT((1-2*BI26*1E5/(DATOS!$C$29*AF26*CI26^2*DATOS!$C$21))))*DATOS!$C$21*AF26*CI26/DATOS!$C$14&gt;DATOS!$C$99*AF26*CI26,-1,(1-SQRT((1-2*BI26*1E5/(DATOS!$C$29*AF26*CI26^2*DATOS!$C$21))))*DATOS!$C$21*AF26*CI26/DATOS!$C$14)))-0.0001,MAX(DATOS!$C$71,CEILING(CJ26/INDEX(TABLAS!$D$52:$D$58,MIN(MATCH(DATOS!$C$69,TABLAS!$B$52:$B$58,0)+1,7)),1)),MAX(MAX(DATOS!$C$71,CEILING(CJ26/INDEX(TABLAS!$D$52:$D$58,MIN(MATCH(DATOS!$C$69,TABLAS!$B$52:$B$58,0)+1,7)),1)),2))&lt;=MIN(DATOS!$C$70,INT(((DATOS!$C$80-2*AK26)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26&gt;=0,IF(MAX(DATOS!$C$71,CEILING(CJ26/INDEX(TABLAS!$D$52:$D$58,MIN(MATCH(DATOS!$C$69,TABLAS!$B$52:$B$58,0)+2,7)),1))*INDEX(TABLAS!$D$52:$D$58,MIN(MATCH(DATOS!$C$69,TABLAS!$B$52:$B$58,0)+2,7))&gt;=4/3*IF(BI26&lt;=0,0,IF((1-2*BI26*1E5/(DATOS!$C$29*AF26*CI26^2*DATOS!$C$21))&lt;0,-1,IF((1-SQRT((1-2*BI26*1E5/(DATOS!$C$29*AF26*CI26^2*DATOS!$C$21))))*DATOS!$C$21*AF26*CI26/DATOS!$C$14&gt;DATOS!$C$99*AF26*CI26,-1,(1-SQRT((1-2*BI26*1E5/(DATOS!$C$29*AF26*CI26^2*DATOS!$C$21))))*DATOS!$C$21*AF26*CI26/DATOS!$C$14)))-0.0001,MAX(DATOS!$C$71,CEILING(CJ26/INDEX(TABLAS!$D$52:$D$58,MIN(MATCH(DATOS!$C$69,TABLAS!$B$52:$B$58,0)+2,7)),1)),MAX(MAX(DATOS!$C$71,CEILING(CJ26/INDEX(TABLAS!$D$52:$D$58,MIN(MATCH(DATOS!$C$69,TABLAS!$B$52:$B$58,0)+2,7)),1)),2))&lt;=MIN(DATOS!$C$70,INT(((DATOS!$C$80-2*AK26)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26&gt;=0,IF(MAX(DATOS!$C$71,CEILING(CJ26/INDEX(TABLAS!$D$52:$D$58,MIN(MATCH(DATOS!$C$69,TABLAS!$B$52:$B$58,0)+3,7)),1))*INDEX(TABLAS!$D$52:$D$58,MIN(MATCH(DATOS!$C$69,TABLAS!$B$52:$B$58,0)+3,7))&gt;=4/3*IF(BI26&lt;=0,0,IF((1-2*BI26*1E5/(DATOS!$C$29*AF26*CI26^2*DATOS!$C$21))&lt;0,-1,IF((1-SQRT((1-2*BI26*1E5/(DATOS!$C$29*AF26*CI26^2*DATOS!$C$21))))*DATOS!$C$21*AF26*CI26/DATOS!$C$14&gt;DATOS!$C$99*AF26*CI26,-1,(1-SQRT((1-2*BI26*1E5/(DATOS!$C$29*AF26*CI26^2*DATOS!$C$21))))*DATOS!$C$21*AF26*CI26/DATOS!$C$14)))-0.0001,MAX(DATOS!$C$71,CEILING(CJ26/INDEX(TABLAS!$D$52:$D$58,MIN(MATCH(DATOS!$C$69,TABLAS!$B$52:$B$58,0)+3,7)),1)),MAX(MAX(DATOS!$C$71,CEILING(CJ26/INDEX(TABLAS!$D$52:$D$58,MIN(MATCH(DATOS!$C$69,TABLAS!$B$52:$B$58,0)+3,7)),1)),2))&lt;=MIN(DATOS!$C$70,INT(((DATOS!$C$80-2*AK26)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26&gt;=0,IF(MAX(DATOS!$C$71,CEILING(CJ26/INDEX(TABLAS!$D$52:$D$58,MIN(MATCH(DATOS!$C$69,TABLAS!$B$52:$B$58,0)+4,7)),1))*INDEX(TABLAS!$D$52:$D$58,MIN(MATCH(DATOS!$C$69,TABLAS!$B$52:$B$58,0)+4,7))&gt;=4/3*IF(BI26&lt;=0,0,IF((1-2*BI26*1E5/(DATOS!$C$29*AF26*CI26^2*DATOS!$C$21))&lt;0,-1,IF((1-SQRT((1-2*BI26*1E5/(DATOS!$C$29*AF26*CI26^2*DATOS!$C$21))))*DATOS!$C$21*AF26*CI26/DATOS!$C$14&gt;DATOS!$C$99*AF26*CI26,-1,(1-SQRT((1-2*BI26*1E5/(DATOS!$C$29*AF26*CI26^2*DATOS!$C$21))))*DATOS!$C$21*AF26*CI26/DATOS!$C$14)))-0.0001,MAX(DATOS!$C$71,CEILING(CJ26/INDEX(TABLAS!$D$52:$D$58,MIN(MATCH(DATOS!$C$69,TABLAS!$B$52:$B$58,0)+4,7)),1)),MAX(MAX(DATOS!$C$71,CEILING(CJ26/INDEX(TABLAS!$D$52:$D$58,MIN(MATCH(DATOS!$C$69,TABLAS!$B$52:$B$58,0)+4,7)),1)),2))&lt;=MIN(DATOS!$C$70,INT(((DATOS!$C$80-2*AK26)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26" s="59" t="str">
        <f>IF(U26&lt;&gt;"SÍ","",IF(CJ26&lt;0,0,IF(MAX(DATOS!$C$71,CEILING(MAX(CJ26,0)/INDEX(TABLAS!$D$52:$D$58,MATCH(CK26,TABLAS!$B$52:$B$58,0)),1))*INDEX(TABLAS!$D$52:$D$58,MATCH(CK26,TABLAS!$B$52:$B$58,0))&gt;=4/3*IF(BI26&lt;=0,0,IF((1-2*BI26*1E5/(DATOS!$C$29*AF26*CI26^2*DATOS!$C$21))&lt;0,-1,IF((1-SQRT((1-2*BI26*1E5/(DATOS!$C$29*AF26*CI26^2*DATOS!$C$21))))*DATOS!$C$21*AF26*CI26/DATOS!$C$14&gt;DATOS!$C$99*AF26*CI26,-1,(1-SQRT((1-2*BI26*1E5/(DATOS!$C$29*AF26*CI26^2*DATOS!$C$21))))*DATOS!$C$21*AF26*CI26/DATOS!$C$14)))-0.0001,MAX(DATOS!$C$71,CEILING(MAX(CJ26,0)/INDEX(TABLAS!$D$52:$D$58,MATCH(CK26,TABLAS!$B$52:$B$58,0)),1)),MAX(MAX(DATOS!$C$71,CEILING(MAX(CJ26,0)/INDEX(TABLAS!$D$52:$D$58,MATCH(CK26,TABLAS!$B$52:$B$58,0)),1)),2))))</f>
        <v/>
      </c>
      <c r="CM26" s="58" t="str">
        <f>IF(U26&lt;&gt;"SÍ","",((DATOS!$C$82-AL26-2*DATOS!$C$94-INDEX(TABLAS!$C$52:$C$58,MATCH(BU26,TABLAS!$B$52:$B$58,0))-INDEX(TABLAS!$C$52:$C$58,MATCH(CK26,TABLAS!$B$52:$B$58,0))/2)-IF(AND((DATOS!$C$82-AL26-2*DATOS!$C$94-INDEX(TABLAS!$C$52:$C$58,MATCH(BU26,TABLAS!$B$52:$B$58,0))-INDEX(TABLAS!$C$52:$C$58,MATCH(CK26,TABLAS!$B$52:$B$58,0))/2)&lt;=20,DATOS!$C$62&lt;&gt;"SÍ"),2,0)))</f>
        <v/>
      </c>
      <c r="CN26" s="56" t="str">
        <f>IF(U26&lt;&gt;"SÍ","",IF(CL26=0,0,DATOS!$C$29*CL26*INDEX(TABLAS!$D$52:$D$58,MATCH(CK26,TABLAS!$B$52:$B$58,0))*DATOS!$C$14*(CM26-CL26*INDEX(TABLAS!$D$52:$D$58,MATCH(CK26,TABLAS!$B$52:$B$58,0))*DATOS!$C$14/(DATOS!$C$21*AF26)/2)/1E5))</f>
        <v/>
      </c>
      <c r="CO26" s="65" t="str">
        <f>IF(U26&lt;&gt;"SÍ","",IF(CJ26&lt;0,9.99,IF(CN26&gt;0,BI26/CN26,0)))</f>
        <v/>
      </c>
      <c r="CP26" s="66" t="str">
        <f>IF(U26&lt;&gt;"SÍ","",IF(CL26=0,"—",0.003*(CM26-(CL26*INDEX(TABLAS!$D$52:$D$58,MATCH(CK26,TABLAS!$B$52:$B$58,0))*DATOS!$C$14/(DATOS!$C$21*AF26)/DATOS!$C$22))/(CL26*INDEX(TABLAS!$D$52:$D$58,MATCH(CK26,TABLAS!$B$52:$B$58,0))*DATOS!$C$14/(DATOS!$C$21*AF26)/DATOS!$C$22)))</f>
        <v/>
      </c>
      <c r="CQ26" s="56" t="str">
        <f>IF(U26&lt;&gt;"SÍ","",IF(C26="PERIMETRAL",MAX(0,(AA26/2-BW26)/100)*(0.95-0.5*Z26)*AQ26*IF(AND(AR26&gt;0,AR26&lt;4),DATOS!$C$33,1)*DATOS!$C$83/100/1000,(AQ26*MAX(0,AA26-BW26)/100+DATOS!$C$26*N(O26))*DATOS!$C$83/100/1000+BE26))</f>
        <v/>
      </c>
      <c r="CR26" s="56" t="str">
        <f>IF(U26&lt;&gt;"SÍ","",DATOS!$C$30*2*MIN(1,SQRT(2/(1+0.04*BW26)))*(BV26*INDEX(TABLAS!$D$52:$D$58,MATCH(BU26,TABLAS!$B$52:$B$58,0))/(AE26*BW26))^(1/3)*SQRT(DATOS!$C$13)*AE26*BW26*IF(AI26="SÍ",DATOS!$C$32,1)/1000)</f>
        <v/>
      </c>
      <c r="CS26" s="59" t="str">
        <f>IF(U26&lt;&gt;"SÍ","",IF(CQ26&lt;=CR26,0,CEILING(MAX(0,IF(C26="VOLADO",(AA26-((CR26-BE26)*1E5/DATOS!$C$83-DATOS!$C$26*N(O26))*100/AQ26),IF(CR26&lt;=0,AA26,AA26/2-CR26/MAX(CQ26,1E-9)*(AA26/2-BW26)))-IF(INT((X26*100-DATOS!$C$84+DATOS!$C$80)/DATOS!$C$83)&gt;0,(X26*100-DATOS!$C$84-(INT((X26*100-DATOS!$C$84+DATOS!$C$80)/DATOS!$C$83)*DATOS!$C$78+(INT((X26*100-DATOS!$C$84+DATOS!$C$80)/DATOS!$C$83)-1)*DATOS!$C$80))/2,X26*100/2))/DATOS!$C$83,1)))</f>
        <v/>
      </c>
      <c r="CT26" s="67" t="str">
        <f>IF(U26&lt;&gt;"SÍ","",IF(CQ26&lt;=CR26,"CUMPLE",IF(CS26&lt;=0,"CUMPLE (basta el macizo de orilla)",IF(CS26*DATOS!$C$83*IF(C26="VOLADO",1,2)&gt;=X26*100-DATOS!$C$84,"NO CUMPLE: no alcanza ni macizando todo","MACIZAR "&amp;CS26&amp;" hilera(s)"))))</f>
        <v/>
      </c>
      <c r="CU26" s="58" t="str">
        <f>IF(U26&lt;&gt;"SÍ","",(DATOS!$C$83*DATOS!$C$81^2/2+AC26*DATOS!$C$79*(DATOS!$C$81+DATOS!$C$79/2))/(DATOS!$C$83*DATOS!$C$81+AC26*DATOS!$C$79))</f>
        <v/>
      </c>
      <c r="CV26" s="68" t="str">
        <f>IF(U26&lt;&gt;"SÍ","",DATOS!$C$83*DATOS!$C$81^3/12+DATOS!$C$83*DATOS!$C$81*(CU26-DATOS!$C$81/2)^2+AC26*DATOS!$C$79^3/12+AC26*DATOS!$C$79*(DATOS!$C$81+DATOS!$C$79/2-CU26)^2)</f>
        <v/>
      </c>
      <c r="CW26" s="58" t="str">
        <f>IF(U26&lt;&gt;"SÍ","",(12*CV26/DATOS!$C$83)^(1/3))</f>
        <v/>
      </c>
      <c r="CX26" s="58" t="str">
        <f>IF(U26&lt;&gt;"SÍ","",IF(C26="PERIMETRAL",IF(ISNUMBER(R26),R26,DATOS!$C$101),0))</f>
        <v/>
      </c>
      <c r="CY26" s="57" t="str">
        <f>IF(U26&lt;&gt;"SÍ","",IF(C26="PERIMETRAL",IF(CX26&gt;2,MAX(9,AB26*(0.8+DATOS!$C$14/14000)/(36+9*(AB26/MAX(AA26,1)))),IF(CX26&gt;0.2,MAX(13,AB26*(0.8+DATOS!$C$14/14000)/(36+5*(AB26/MAX(AA26,1))*(CX26-0.2))),MAX(13,AB26/IF(AR26&gt;0,30,33))))*IF(AND(CX26&gt;0.2,AR26&gt;0,DATOS!$C$102="NO"),1.1,1),X26*100/8))</f>
        <v/>
      </c>
      <c r="CZ26" s="61" t="str">
        <f>IF(U26&lt;&gt;"SÍ","",IF(IF(C26="VOLADO",DATOS!$C$82,CW26)&gt;=CY26,"CUMPLE",IF(C26="VOLADO","NO CUMPLE","CALCULAR FLECHA")))</f>
        <v/>
      </c>
      <c r="DA26" s="55" t="str">
        <f>IF(U26&lt;&gt;"SÍ","",IF(DATOS!$C$81&gt;=IF(IF(C26="VOLADO",X26,Y26)&gt;=6,6,5),"CUMPLE","CAPA ≥ 6 cm"))</f>
        <v/>
      </c>
      <c r="DB26" s="60" t="str">
        <f>IF(U26&lt;&gt;"SÍ","",IF(C26="VOLADO",MIN(CEILING(IF(ISNUMBER(P26),P26,X26)*100,5),CEILING(MAX(IF((0.5*(0.9*DATOS!$C$87*DATOS!$C$83/100/1000)*IF(ISNUMBER(P26),P26,X26)+BG26/IF(ISNUMBER(P26),P26,X26))^2-4*(0.5*(0.9*DATOS!$C$87*DATOS!$C$83/100/1000))*BG26&lt;0,IF(ISNUMBER(P26),P26,X26),MIN(IF(ISNUMBER(P26),P26,X26),((0.5*(0.9*DATOS!$C$87*DATOS!$C$83/100/1000)*IF(ISNUMBER(P26),P26,X26)+BG26/IF(ISNUMBER(P26),P26,X26))-SQRT((0.5*(0.9*DATOS!$C$87*DATOS!$C$83/100/1000)*IF(ISNUMBER(P26),P26,X26)+BG26/IF(ISNUMBER(P26),P26,X26))^2-4*(0.5*(0.9*DATOS!$C$87*DATOS!$C$83/100/1000))*BG26))/(2*(0.5*(0.9*DATOS!$C$87*DATOS!$C$83/100/1000)))))*100+MAX(BW26,12*INDEX(TABLAS!$C$52:$C$58,MATCH(BU26,TABLAS!$B$52:$B$58,0)),IF(ISNUMBER(P26),P26,X26)*100/16),IF(OR(AK26&lt;INDEX(TABLAS!$C$52:$C$58,MATCH(BU26,TABLAS!$B$52:$B$58,0)),AND(BV26&gt;=2,(AC26-2*AK26-BV26*INDEX(TABLAS!$C$52:$C$58,MATCH(BU26,TABLAS!$B$52:$B$58,0)))/MAX(BV26-1,1)&lt;2*INDEX(TABLAS!$C$52:$C$58,MATCH(BU26,TABLAS!$B$52:$B$58,0)))),INDEX(TABLAS!$I$52:$I$58,MATCH(BU26,TABLAS!$B$52:$B$58,0)),INDEX(TABLAS!$F$52:$F$58,MATCH(BU26,TABLAS!$B$52:$B$58,0)))),5)),IF(((4*((BB26*AQ26*X26^2*1E-4*DATOS!$C$83/100/1000)+((MAX(AX26,AZ26)*AQ26*X26^2*1E-4*DATOS!$C$83/100/1000)+(IF(AND(AX26&gt;0,AZ26&gt;0),MIN(AX26,AZ26),MAX(AX26,AZ26))*AQ26*X26^2*1E-4*DATOS!$C$83/100/1000))/2)+BG26-(IF(AND(AX26&gt;0,AZ26&gt;0),MIN(AX26,AZ26),MAX(AX26,AZ26))*AQ26*X26^2*1E-4*DATOS!$C$83/100/1000))^2-16*((BB26*AQ26*X26^2*1E-4*DATOS!$C$83/100/1000)+((MAX(AX26,AZ26)*AQ26*X26^2*1E-4*DATOS!$C$83/100/1000)+(IF(AND(AX26&gt;0,AZ26&gt;0),MIN(AX26,AZ26),MAX(AX26,AZ26))*AQ26*X26^2*1E-4*DATOS!$C$83/100/1000))/2)*BG26)&lt;0,CEILING(AA26,5),CEILING(MAX(AA26*((4*((BB26*AQ26*X26^2*1E-4*DATOS!$C$83/100/1000)+((MAX(AX26,AZ26)*AQ26*X26^2*1E-4*DATOS!$C$83/100/1000)+(IF(AND(AX26&gt;0,AZ26&gt;0),MIN(AX26,AZ26),MAX(AX26,AZ26))*AQ26*X26^2*1E-4*DATOS!$C$83/100/1000))/2)+BG26-(IF(AND(AX26&gt;0,AZ26&gt;0),MIN(AX26,AZ26),MAX(AX26,AZ26))*AQ26*X26^2*1E-4*DATOS!$C$83/100/1000))-SQRT(MAX(0,((4*((BB26*AQ26*X26^2*1E-4*DATOS!$C$83/100/1000)+((MAX(AX26,AZ26)*AQ26*X26^2*1E-4*DATOS!$C$83/100/1000)+(IF(AND(AX26&gt;0,AZ26&gt;0),MIN(AX26,AZ26),MAX(AX26,AZ26))*AQ26*X26^2*1E-4*DATOS!$C$83/100/1000))/2)+BG26-(IF(AND(AX26&gt;0,AZ26&gt;0),MIN(AX26,AZ26),MAX(AX26,AZ26))*AQ26*X26^2*1E-4*DATOS!$C$83/100/1000))^2-16*((BB26*AQ26*X26^2*1E-4*DATOS!$C$83/100/1000)+((MAX(AX26,AZ26)*AQ26*X26^2*1E-4*DATOS!$C$83/100/1000)+(IF(AND(AX26&gt;0,AZ26&gt;0),MIN(AX26,AZ26),MAX(AX26,AZ26))*AQ26*X26^2*1E-4*DATOS!$C$83/100/1000))/2)*BG26))))/(8*MAX(((BB26*AQ26*X26^2*1E-4*DATOS!$C$83/100/1000)+((MAX(AX26,AZ26)*AQ26*X26^2*1E-4*DATOS!$C$83/100/1000)+(IF(AND(AX26&gt;0,AZ26&gt;0),MIN(AX26,AZ26),MAX(AX26,AZ26))*AQ26*X26^2*1E-4*DATOS!$C$83/100/1000))/2),1E-9))+MAX(BW26,12*INDEX(TABLAS!$C$52:$C$58,MATCH(BU26,TABLAS!$B$52:$B$58,0)),AA26/16),IF(OR(AK26&lt;INDEX(TABLAS!$C$52:$C$58,MATCH(BU26,TABLAS!$B$52:$B$58,0)),AND(BV26&gt;=2,(AC26-2*AK26-BV26*INDEX(TABLAS!$C$52:$C$58,MATCH(BU26,TABLAS!$B$52:$B$58,0)))/MAX(BV26-1,1)&lt;2*INDEX(TABLAS!$C$52:$C$58,MATCH(BU26,TABLAS!$B$52:$B$58,0)))),INDEX(TABLAS!$I$52:$I$58,MATCH(BU26,TABLAS!$B$52:$B$58,0)),INDEX(TABLAS!$F$52:$F$58,MATCH(BU26,TABLAS!$B$52:$B$58,0)))),5))))</f>
        <v/>
      </c>
      <c r="DC26" s="60" t="str">
        <f>IF(U26&lt;&gt;"SÍ","",IF(C26="VOLADO",0,IF(((4*((BC26*AQ26*X26^2*1E-4*DATOS!$C$83/100/1000)+((MAX(AY26,BA26)*AQ26*X26^2*1E-4*DATOS!$C$83/100/1000)+(IF(AND(AY26&gt;0,BA26&gt;0),MIN(AY26,BA26),MAX(AY26,BA26))*AQ26*X26^2*1E-4*DATOS!$C$83/100/1000))/2)+BI26-(IF(AND(AY26&gt;0,BA26&gt;0),MIN(AY26,BA26),MAX(AY26,BA26))*AQ26*X26^2*1E-4*DATOS!$C$83/100/1000))^2-16*((BC26*AQ26*X26^2*1E-4*DATOS!$C$83/100/1000)+((MAX(AY26,BA26)*AQ26*X26^2*1E-4*DATOS!$C$83/100/1000)+(IF(AND(AY26&gt;0,BA26&gt;0),MIN(AY26,BA26),MAX(AY26,BA26))*AQ26*X26^2*1E-4*DATOS!$C$83/100/1000))/2)*BI26)&lt;0,CEILING(AB26,5),CEILING(MAX(AB26*((4*((BC26*AQ26*X26^2*1E-4*DATOS!$C$83/100/1000)+((MAX(AY26,BA26)*AQ26*X26^2*1E-4*DATOS!$C$83/100/1000)+(IF(AND(AY26&gt;0,BA26&gt;0),MIN(AY26,BA26),MAX(AY26,BA26))*AQ26*X26^2*1E-4*DATOS!$C$83/100/1000))/2)+BI26-(IF(AND(AY26&gt;0,BA26&gt;0),MIN(AY26,BA26),MAX(AY26,BA26))*AQ26*X26^2*1E-4*DATOS!$C$83/100/1000))-SQRT(MAX(0,((4*((BC26*AQ26*X26^2*1E-4*DATOS!$C$83/100/1000)+((MAX(AY26,BA26)*AQ26*X26^2*1E-4*DATOS!$C$83/100/1000)+(IF(AND(AY26&gt;0,BA26&gt;0),MIN(AY26,BA26),MAX(AY26,BA26))*AQ26*X26^2*1E-4*DATOS!$C$83/100/1000))/2)+BI26-(IF(AND(AY26&gt;0,BA26&gt;0),MIN(AY26,BA26),MAX(AY26,BA26))*AQ26*X26^2*1E-4*DATOS!$C$83/100/1000))^2-16*((BC26*AQ26*X26^2*1E-4*DATOS!$C$83/100/1000)+((MAX(AY26,BA26)*AQ26*X26^2*1E-4*DATOS!$C$83/100/1000)+(IF(AND(AY26&gt;0,BA26&gt;0),MIN(AY26,BA26),MAX(AY26,BA26))*AQ26*X26^2*1E-4*DATOS!$C$83/100/1000))/2)*BI26))))/(8*MAX(((BC26*AQ26*X26^2*1E-4*DATOS!$C$83/100/1000)+((MAX(AY26,BA26)*AQ26*X26^2*1E-4*DATOS!$C$83/100/1000)+(IF(AND(AY26&gt;0,BA26&gt;0),MIN(AY26,BA26),MAX(AY26,BA26))*AQ26*X26^2*1E-4*DATOS!$C$83/100/1000))/2),1E-9))+MAX(CM26,12*INDEX(TABLAS!$C$52:$C$58,MATCH(CK26,TABLAS!$B$52:$B$58,0)),AB26/16),IF(OR(AK26&lt;INDEX(TABLAS!$C$52:$C$58,MATCH(CK26,TABLAS!$B$52:$B$58,0)),AND(CL26&gt;=2,(DATOS!$C$80-2*AK26-CL26*INDEX(TABLAS!$C$52:$C$58,MATCH(CK26,TABLAS!$B$52:$B$58,0)))/MAX(CL26-1,1)&lt;2*INDEX(TABLAS!$C$52:$C$58,MATCH(CK26,TABLAS!$B$52:$B$58,0)))),INDEX(TABLAS!$I$52:$I$58,MATCH(CK26,TABLAS!$B$52:$B$58,0)),INDEX(TABLAS!$F$52:$F$58,MATCH(CK26,TABLAS!$B$52:$B$58,0)))),5))))</f>
        <v/>
      </c>
      <c r="DD26" s="55" t="str">
        <f>IF(U26&lt;&gt;"SÍ","",IF(AND(C26="PERIMETRAL",BV26&gt;=2,AR26-AS26&gt;0,AZ26*AQ26*X26^2*1E-4*DATOS!$C$83/100/1000&gt;DATOS!$C$29*INDEX(TABLAS!$D$52:$D$58,MATCH(BU26,TABLAS!$B$52:$B$58,0))*DATOS!$C$14*(BW26-INDEX(TABLAS!$D$52:$D$58,MATCH(BU26,TABLAS!$B$52:$B$58,0))*DATOS!$C$14/(DATOS!$C$21*AE26)/2)/1E5),"SÍ","NO"))</f>
        <v/>
      </c>
      <c r="DE26" s="55" t="str">
        <f>IF(U26&lt;&gt;"SÍ","",IF(AND(C26="PERIMETRAL",CL26&gt;=2,AS26&gt;0,BA26*AQ26*X26^2*1E-4*DATOS!$C$83/100/1000&gt;DATOS!$C$29*INDEX(TABLAS!$D$52:$D$58,MATCH(CK26,TABLAS!$B$52:$B$58,0))*DATOS!$C$14*(CM26-INDEX(TABLAS!$D$52:$D$58,MATCH(CK26,TABLAS!$B$52:$B$58,0))*DATOS!$C$14/(DATOS!$C$21*AF26)/2)/1E5),"SÍ","NO"))</f>
        <v/>
      </c>
      <c r="DF26" s="63" t="str">
        <f>IF(U26&lt;&gt;"SÍ","",IF(OR(C26="VOLADO",AR26=0),"—",IF(AND(AND(1.25*INDEX(TABLAS!$G$52:$G$58,MATCH(MAX(BM26,CC26),TABLAS!$B$52:$B$58,0))&lt;=(DATOS!$C$72-DATOS!$C$60),(DATOS!$C$72-DATOS!$C$60)&gt;=15,INDEX(TABLAS!$G$52:$G$58,MATCH(MAX(BU26,CK26),TABLAS!$B$52:$B$58,0))&lt;=(DATOS!$C$72-DATOS!$C$60)),8*INDEX(TABLAS!$C$52:$C$58,MATCH(MAX(MAX(BM26,CC26),MAX(BU26,CK26)),TABLAS!$B$52:$B$58,0))&lt;=DATOS!$C$73-2*DATOS!$C$60),"CUMPLE (gancho de 180°)",IF(AND(1.25*INDEX(TABLAS!$G$52:$G$58,MATCH(MAX(BM26,CC26),TABLAS!$B$52:$B$58,0))&lt;=(DATOS!$C$72-DATOS!$C$60),(DATOS!$C$72-DATOS!$C$60)&gt;=15,INDEX(TABLAS!$G$52:$G$58,MATCH(MAX(BU26,CK26),TABLAS!$B$52:$B$58,0))&lt;=(DATOS!$C$72-DATOS!$C$60)),"NO CUMPLE: el gancho de 180° (8·d_b) no cabe en el peralte de la dala de borde","NO CUMPLE: dala de borde ≥ "&amp;TEXT(CEILING(MAX(1.25*INDEX(TABLAS!$G$52:$G$58,MATCH(MAX(BM26,CC26),TABLAS!$B$52:$B$58,0)),15,INDEX(TABLAS!$G$52:$G$58,MATCH(MAX(BU26,CK26),TABLAS!$B$52:$B$58,0)))+DATOS!$C$60,5),"0")&amp;" cm de ancho"&amp;IF(8*INDEX(TABLAS!$C$52:$C$58,MATCH(MAX(MAX(BM26,CC26),MAX(BU26,CK26)),TABLAS!$B$52:$B$58,0))&lt;=DATOS!$C$73-2*DATOS!$C$60,""," y más peralte para el gancho")))))</f>
        <v/>
      </c>
      <c r="DG26" s="59" t="str">
        <f>IF(U26&lt;&gt;"SÍ","",MAX(0,INT((E26*100-DATOS!$C$84+DATOS!$C$83-IF(W26="X",DATOS!$C$78,AD26))/DATOS!$C$83)))</f>
        <v/>
      </c>
      <c r="DH26" s="59" t="str">
        <f>IF(U26&lt;&gt;"SÍ","",MAX(0,INT((F26*100-DATOS!$C$84+DATOS!$C$83-IF(W26="Y",DATOS!$C$78,AD26))/DATOS!$C$83)))</f>
        <v/>
      </c>
      <c r="DI26" s="57" t="str">
        <f>IF(U26&lt;&gt;"SÍ","",IF(DG26&gt;0,(E26*100-DATOS!$C$84-(DG26*IF(W26="X",DATOS!$C$78,AD26)+(DG26-1)*(DATOS!$C$83-IF(W26="X",DATOS!$C$78,AD26))))/2,E26*100/2))</f>
        <v/>
      </c>
      <c r="DJ26" s="57" t="str">
        <f>IF(U26&lt;&gt;"SÍ","",IF(DH26&gt;0,(F26*100-DATOS!$C$84-(DH26*IF(W26="Y",DATOS!$C$78,AD26)+(DH26-1)*(DATOS!$C$83-IF(W26="Y",DATOS!$C$78,AD26))))/2,F26*100/2))</f>
        <v/>
      </c>
      <c r="DK26" s="59" t="str">
        <f>IF(U26&lt;&gt;"SÍ","",IF(NOT(AND(C26="VOLADO",AC26&gt;DATOS!$C$80)),0,IF(INDEX(TABLAS!$C$52:$C$58,MATCH(BU26,TABLAS!$B$52:$B$58,0))&lt;=DATOS!$C$80-2*DATOS!$C$60,1,0)))</f>
        <v/>
      </c>
      <c r="DL26" s="58" t="str">
        <f>IF(U26&lt;&gt;"SÍ","",IF(NOT(AND(C26="VOLADO",AC26&gt;DATOS!$C$80)),0,((DATOS!$C$82-MAX(DATOS!$C$60,(DATOS!$C$81-2*DATOS!$C$94)/2)-2*DATOS!$C$94-INDEX(TABLAS!$C$52:$C$58,MATCH(BU26,TABLAS!$B$52:$B$58,0))/2)-IF(AND((DATOS!$C$82-MAX(DATOS!$C$60,(DATOS!$C$81-2*DATOS!$C$94)/2)-2*DATOS!$C$94-INDEX(TABLAS!$C$52:$C$58,MATCH(BU26,TABLAS!$B$52:$B$58,0))/2)&lt;=20,DATOS!$C$62&lt;&gt;"SÍ"),2,0))))</f>
        <v/>
      </c>
      <c r="DM26" s="56" t="str">
        <f>IF(U26&lt;&gt;"SÍ","",IF(OR(NOT(AND(C26="VOLADO",AC26&gt;DATOS!$C$80)),DK26&lt;1),0,IF(0.003*(DL26-((DK26*INDEX(TABLAS!$D$52:$D$58,MATCH(BU26,TABLAS!$B$52:$B$58,0)))*DATOS!$C$14/(DATOS!$C$21*AF26)/DATOS!$C$22))/((DK26*INDEX(TABLAS!$D$52:$D$58,MATCH(BU26,TABLAS!$B$52:$B$58,0)))*DATOS!$C$14/(DATOS!$C$21*AF26)/DATOS!$C$22)&lt;0.005,0,DATOS!$C$29*(DK26*INDEX(TABLAS!$D$52:$D$58,MATCH(BU26,TABLAS!$B$52:$B$58,0)))*DATOS!$C$14*(DL26-(DK26*INDEX(TABLAS!$D$52:$D$58,MATCH(BU26,TABLAS!$B$52:$B$58,0)))*DATOS!$C$14/(DATOS!$C$21*AF26)/2)/1E5)))</f>
        <v/>
      </c>
      <c r="DN26" s="56" t="str">
        <f>IF(U26&lt;&gt;"SÍ","",IF(OR(NOT(AND(C26="VOLADO",AC26&gt;DATOS!$C$80)),DK26&lt;1),0,DATOS!$C$30*2*MIN(1,SQRT(2/(1+0.04*DL26)))*((DK26*INDEX(TABLAS!$D$52:$D$58,MATCH(BU26,TABLAS!$B$52:$B$58,0)))/(AF26*DL26))^(1/3)*SQRT(DATOS!$C$13)*AF26*DL26/1000))</f>
        <v/>
      </c>
      <c r="DO26" s="56" t="str">
        <f>IF(U26&lt;&gt;"SÍ","",IF(NOT(AND(C26="VOLADO",AC26&gt;DATOS!$C$80)),0,IF((BG26-DM26)&lt;=0,0,IF(DM26&lt;=0,IF(ISNUMBER(P26),P26,X26),IF(((0.9*DATOS!$C$87*DATOS!$C$83/100/1000)*IF(ISNUMBER(P26),P26,X26)/2+BG26/IF(ISNUMBER(P26),P26,X26))^2-4*((0.9*DATOS!$C$87*DATOS!$C$83/100/1000)/2)*(BG26-DM26)&lt;0,IF(ISNUMBER(P26),P26,X26),MIN(IF(ISNUMBER(P26),P26,X26),(((0.9*DATOS!$C$87*DATOS!$C$83/100/1000)*IF(ISNUMBER(P26),P26,X26)/2+BG26/IF(ISNUMBER(P26),P26,X26))-SQRT(((0.9*DATOS!$C$87*DATOS!$C$83/100/1000)*IF(ISNUMBER(P26),P26,X26)/2+BG26/IF(ISNUMBER(P26),P26,X26))^2-4*((0.9*DATOS!$C$87*DATOS!$C$83/100/1000)/2)*(BG26-DM26)))/(2*((0.9*DATOS!$C$87*DATOS!$C$83/100/1000)/2))))))))</f>
        <v/>
      </c>
      <c r="DP26" s="56" t="str">
        <f>IF(U26&lt;&gt;"SÍ","",IF(NOT(AND(C26="VOLADO",AC26&gt;DATOS!$C$80)),0,MIN(IF(ISNUMBER(P26),P26,X26),MAX(0,IF(ISNUMBER(P26),P26,X26)/2+BG26/IF(ISNUMBER(P26),P26,X26)/(AQ26*DATOS!$C$83/100/1000)-DN26/(AQ26*DATOS!$C$83/100/1000)))))</f>
        <v/>
      </c>
      <c r="DQ26" s="56" t="str">
        <f>IF(U26&lt;&gt;"SÍ","",IF(NOT(AND(C26="VOLADO",AC26&gt;DATOS!$C$80)),0,BG26/IF(ISNUMBER(P26),P26,X26)+(AQ26*DATOS!$C$83/100/1000)*MAX(0,IF(ISNUMBER(P26),P26,X26)/2-BW26/100)))</f>
        <v/>
      </c>
      <c r="DR26" s="59" t="str">
        <f>IF(U26&lt;&gt;"SÍ","",IF(NOT(AND(C26="VOLADO",AC26&gt;DATOS!$C$80)),0,CEILING(100*MIN(IF(ISNUMBER(P26),P26,X26),MAX(IF(DO26&gt;0,DO26+IF(BV26&gt;=2,MAX(DL26,12*INDEX(TABLAS!$C$52:$C$58,MATCH(BU26,TABLAS!$B$52:$B$58,0)))/100,0),0),DP26,IF(BV26&gt;=2,INDEX(TABLAS!$F$52:$F$58,MATCH(BU26,TABLAS!$B$52:$B$58,0))/100,0))),5)))</f>
        <v/>
      </c>
      <c r="DS26" s="60" t="str">
        <f>IF(U26&lt;&gt;"SÍ","",IF(NOT(AND(C26="VOLADO",AC26&gt;DATOS!$C$80)),0,IF(DR26&lt;=0,0,CEILING(DR26/DATOS!$C$83,1))))</f>
        <v/>
      </c>
      <c r="DT26" s="61" t="str">
        <f>IF(U26&lt;&gt;"SÍ","",IF(C26&lt;&gt;"VOLADO","—",IF(AC26&lt;=DATOS!$C$80,"— (mismo b_w que el respaldo)",IF(DQ26&gt;CR26,"NO CUMPLE: cortante de la nervadura ancha junto al apoyo ("&amp;TEXT(DQ26,"0.00")&amp;" &gt; "&amp;TEXT(CR26,"0.00")&amp;" t)",IF(DR26&gt;=100*IF(ISNUMBER(P26),P26,X26),"CUMPLE — todas las nervaduras del respaldo ‖ al volado con b_w = "&amp;AC26&amp;" cm","CUMPLE — "&amp;DS26&amp;" hilera(s) del respaldo con nervaduras de b_w = "&amp;AC26&amp;" cm (casetón "&amp;AD26&amp;" cm), hasta "&amp;TEXT(DR26/100,"0.00")&amp;" m del paño")))))</f>
        <v/>
      </c>
      <c r="DU26" s="69" t="str">
        <f>IF(U26&lt;&gt;"SÍ","",IF(BN26=0,"NO ALCANZA",BN26&amp;" No. "&amp;BM26&amp;IF(BN26&gt;1," corridas"," corrida")))</f>
        <v/>
      </c>
      <c r="DV26" s="69" t="str">
        <f>IF(U26&lt;&gt;"SÍ","",IF(BV26=0,"NO ALCANZA",IF(AND(C26="VOLADO",AC26&gt;DATOS!$C$80,BV26&gt;=2),"1 No. "&amp;BU26&amp;" corrida de la orilla al respaldo ("&amp;IF(DB26&gt;=100*IF(ISNUMBER(P26),P26,X26),"hasta su apoyo lejano, con gancho","entra "&amp;TEXT(DB26/100,"0.00")&amp;" m desde el paño")&amp;") + "&amp;(BV26-1)&amp;" bastón No. "&amp;BU26&amp;" hasta "&amp;TEXT(DR26/100,"0.00")&amp;" m del paño (fin de la nervadura ancha)",IF(C26="VOLADO",BV26&amp;" No. "&amp;BU26&amp;" de la orilla al respaldo ("&amp;IF(DB26&gt;=100*IF(ISNUMBER(P26),P26,X26),"hasta su apoyo lejano, con gancho","entran "&amp;TEXT(DB26/100,"0.00")&amp;" m desde el paño")&amp;")","1 No. "&amp;BU26&amp;" corrida"&amp;IF(BV26&gt;1," + "&amp;(BV26-1)&amp;" bastón No. "&amp;BU26&amp;" L = "&amp;TEXT(DB26/100,"0.00")&amp;" m desde el paño","")))))</f>
        <v/>
      </c>
      <c r="DW26" s="69" t="str">
        <f>IF(U26&lt;&gt;"SÍ","",IF(CD26=0,"NO ALCANZA",CD26&amp;" No. "&amp;CC26&amp;IF(CD26&gt;1," corridas"," corrida")))</f>
        <v/>
      </c>
      <c r="DX26" s="69" t="str">
        <f>IF(U26&lt;&gt;"SÍ","",IF(CL26=0,"NO ALCANZA",IF(C26="VOLADO","1 No. "&amp;CK26&amp;" corrida (repartición)","1 No. "&amp;CK26&amp;" corrida"&amp;IF(CL26&gt;1," + "&amp;(CL26-1)&amp;" bastón No. "&amp;CK26&amp;" L = "&amp;TEXT(DC26/100,"0.00")&amp;" m desde el paño",""))))</f>
        <v/>
      </c>
      <c r="DY26" s="67" t="str">
        <f>IF(B26="","",IF(U26&lt;&gt;"SÍ","FALTAN DATOS: tipo, a_x, a_y y destino",IF(L26="NO MONOLÍTICO (caso II)","FUERA DE ALCANCE: caso II no transcrito",IF(AND(C26="VOLADO",V26="?"),"REVISAR: el volado lleva UN solo borde CONTINUO (el empotrado)",IF(AND(MAX(BQ26,BY26,CG26,CO26)&lt;=1,NOT(OR(BN26&gt;MIN(DATOS!$C$70,INT(((AC26-2*AJ26)+MAX(DATOS!$C$67,INDEX(TABLAS!$C$52:$C$58,MATCH(BM26,TABLAS!$B$52:$B$58,0))))/(INDEX(TABLAS!$C$52:$C$58,MATCH(BM26,TABLAS!$B$52:$B$58,0))+MAX(DATOS!$C$67,INDEX(TABLAS!$C$52:$C$58,MATCH(BM26,TABLAS!$B$52:$B$58,0)))))),BV26&gt;MIN(DATOS!$C$70,INT(((AC26-2*AK26)+MAX(DATOS!$C$67,INDEX(TABLAS!$C$52:$C$58,MATCH(BU26,TABLAS!$B$52:$B$58,0))))/(INDEX(TABLAS!$C$52:$C$58,MATCH(BU26,TABLAS!$B$52:$B$58,0))+MAX(DATOS!$C$67,INDEX(TABLAS!$C$52:$C$58,MATCH(BU26,TABLAS!$B$52:$B$58,0)))))),CD26&gt;MIN(DATOS!$C$70,INT(((DATOS!$C$80-2*AJ26)+MAX(DATOS!$C$67,INDEX(TABLAS!$C$52:$C$58,MATCH(CC26,TABLAS!$B$52:$B$58,0))))/(INDEX(TABLAS!$C$52:$C$58,MATCH(CC26,TABLAS!$B$52:$B$58,0))+MAX(DATOS!$C$67,INDEX(TABLAS!$C$52:$C$58,MATCH(CC26,TABLAS!$B$52:$B$58,0)))))),CL26&gt;MIN(DATOS!$C$70,INT(((DATOS!$C$80-2*AK26)+MAX(DATOS!$C$67,INDEX(TABLAS!$C$52:$C$58,MATCH(CK26,TABLAS!$B$52:$B$58,0))))/(INDEX(TABLAS!$C$52:$C$58,MATCH(CK26,TABLAS!$B$52:$B$58,0))+MAX(DATOS!$C$67,INDEX(TABLAS!$C$52:$C$58,MATCH(CK26,TABLAS!$B$52:$B$58,0)))))))),NOT(OR(AND(ISNUMBER(BR26),BR26&lt;0.005),AND(ISNUMBER(BZ26),BZ26&lt;0.005),AND(ISNUMBER(CH26),CH26&lt;0.005),AND(ISNUMBER(CP26),CP26&lt;0.005))),NOT(LEFT(DT26,2)="NO"),CZ26="CUMPLE",DA26="CUMPLE",LEFT(CT26,2)&lt;&gt;"NO"),IF(LEFT(CT26,6)="CUMPLE","CUMPLE","CUMPLE — "&amp;CT26)&amp;IF(LEFT(BJ26,5)="FUERA"," · fuera de 3.4.2.1 c)","")&amp;IF(LEFT(DF26,2)="NO"," · REVISAR anclaje en borde discontinuo","")&amp;IF(DS26&gt;0," · respaldo: "&amp;DS26&amp;" hilera(s) de b_w "&amp;AC26&amp;" cm",""),IF(AND(MAX(BQ26,BY26,CG26,CO26)&lt;=1,NOT(OR(BN26&gt;MIN(DATOS!$C$70,INT(((AC26-2*AJ26)+MAX(DATOS!$C$67,INDEX(TABLAS!$C$52:$C$58,MATCH(BM26,TABLAS!$B$52:$B$58,0))))/(INDEX(TABLAS!$C$52:$C$58,MATCH(BM26,TABLAS!$B$52:$B$58,0))+MAX(DATOS!$C$67,INDEX(TABLAS!$C$52:$C$58,MATCH(BM26,TABLAS!$B$52:$B$58,0)))))),BV26&gt;MIN(DATOS!$C$70,INT(((AC26-2*AK26)+MAX(DATOS!$C$67,INDEX(TABLAS!$C$52:$C$58,MATCH(BU26,TABLAS!$B$52:$B$58,0))))/(INDEX(TABLAS!$C$52:$C$58,MATCH(BU26,TABLAS!$B$52:$B$58,0))+MAX(DATOS!$C$67,INDEX(TABLAS!$C$52:$C$58,MATCH(BU26,TABLAS!$B$52:$B$58,0)))))),CD26&gt;MIN(DATOS!$C$70,INT(((DATOS!$C$80-2*AJ26)+MAX(DATOS!$C$67,INDEX(TABLAS!$C$52:$C$58,MATCH(CC26,TABLAS!$B$52:$B$58,0))))/(INDEX(TABLAS!$C$52:$C$58,MATCH(CC26,TABLAS!$B$52:$B$58,0))+MAX(DATOS!$C$67,INDEX(TABLAS!$C$52:$C$58,MATCH(CC26,TABLAS!$B$52:$B$58,0)))))),CL26&gt;MIN(DATOS!$C$70,INT(((DATOS!$C$80-2*AK26)+MAX(DATOS!$C$67,INDEX(TABLAS!$C$52:$C$58,MATCH(CK26,TABLAS!$B$52:$B$58,0))))/(INDEX(TABLAS!$C$52:$C$58,MATCH(CK26,TABLAS!$B$52:$B$58,0))+MAX(DATOS!$C$67,INDEX(TABLAS!$C$52:$C$58,MATCH(CK26,TABLAS!$B$52:$B$58,0)))))))),NOT(OR(AND(ISNUMBER(BR26),BR26&lt;0.005),AND(ISNUMBER(BZ26),BZ26&lt;0.005),AND(ISNUMBER(CH26),CH26&lt;0.005),AND(ISNUMBER(CP26),CP26&lt;0.005))),NOT(LEFT(DT26,2)="NO"),CZ26="CALCULAR FLECHA",LEFT(CT26,2)&lt;&gt;"NO"),"REVISAR: calcular flecha (h_eq &lt; h mín.)"&amp;IF(LEFT(BJ26,5)="FUERA"," · fuera de 3.4.2.1 c)","")&amp;IF(LEFT(DF26,2)="NO"," · REVISAR anclaje en borde discontinuo","")&amp;IF(DS26&gt;0," · respaldo: "&amp;DS26&amp;" hilera(s) de b_w "&amp;AC26&amp;" cm",""),"NO CUMPLE: "&amp;IF(MAX(BQ26,BY26,CG26,CO26)&gt;1,"flexión ","")&amp;IF(OR(BN26&gt;MIN(DATOS!$C$70,INT(((AC26-2*AJ26)+MAX(DATOS!$C$67,INDEX(TABLAS!$C$52:$C$58,MATCH(BM26,TABLAS!$B$52:$B$58,0))))/(INDEX(TABLAS!$C$52:$C$58,MATCH(BM26,TABLAS!$B$52:$B$58,0))+MAX(DATOS!$C$67,INDEX(TABLAS!$C$52:$C$58,MATCH(BM26,TABLAS!$B$52:$B$58,0)))))),BV26&gt;MIN(DATOS!$C$70,INT(((AC26-2*AK26)+MAX(DATOS!$C$67,INDEX(TABLAS!$C$52:$C$58,MATCH(BU26,TABLAS!$B$52:$B$58,0))))/(INDEX(TABLAS!$C$52:$C$58,MATCH(BU26,TABLAS!$B$52:$B$58,0))+MAX(DATOS!$C$67,INDEX(TABLAS!$C$52:$C$58,MATCH(BU26,TABLAS!$B$52:$B$58,0)))))),CD26&gt;MIN(DATOS!$C$70,INT(((DATOS!$C$80-2*AJ26)+MAX(DATOS!$C$67,INDEX(TABLAS!$C$52:$C$58,MATCH(CC26,TABLAS!$B$52:$B$58,0))))/(INDEX(TABLAS!$C$52:$C$58,MATCH(CC26,TABLAS!$B$52:$B$58,0))+MAX(DATOS!$C$67,INDEX(TABLAS!$C$52:$C$58,MATCH(CC26,TABLAS!$B$52:$B$58,0)))))),CL26&gt;MIN(DATOS!$C$70,INT(((DATOS!$C$80-2*AK26)+MAX(DATOS!$C$67,INDEX(TABLAS!$C$52:$C$58,MATCH(CK26,TABLAS!$B$52:$B$58,0))))/(INDEX(TABLAS!$C$52:$C$58,MATCH(CK26,TABLAS!$B$52:$B$58,0))+MAX(DATOS!$C$67,INDEX(TABLAS!$C$52:$C$58,MATCH(CK26,TABLAS!$B$52:$B$58,0))))))),"no caben ","")&amp;IF(OR(AND(ISNUMBER(BR26),BR26&lt;0.005),AND(ISNUMBER(BZ26),BZ26&lt;0.005),AND(ISNUMBER(CH26),CH26&lt;0.005),AND(ISNUMBER(CP26),CP26&lt;0.005)),"ε_t &lt; 0.005 ","")&amp;IF(LEFT(CT26,2)="NO","cortante ","")&amp;IF(CZ26="NO CUMPLE","peralte ","")&amp;IF(DA26&lt;&gt;"CUMPLE","capa &lt; 6 cm ","")&amp;IF(LEFT(DT26,2)="NO","respaldo del volado","")))))))</f>
        <v/>
      </c>
      <c r="DZ26" s="70" t="str">
        <f>IF(U26&lt;&gt;"SÍ","",IF(LEFT(B26,7)="EJEMPLO","EJEMPLO de la hoja de Casa Rocha: bórralo o sobrescríbelo. ","")&amp;IF(AND(C26="PERIMETRAL",MIN(DG26,DH26)=0),"No cabe un casetón en el claro corto: es un tablero macizo, diséñalo en MACIZAS. ","")&amp;IF(AND(AI26="NO",C26="PERIMETRAL"),"No cumple 6.7.8.1.4 (a_c = "&amp;MAX(DATOS!$C$78,AD26)&amp;" cm &gt; claro corto/6 = "&amp;TEXT(X26*100/6,"0")&amp;" cm): se diseña como losa apoyada en vigas (6.7.8.1.9): r de viga = "&amp;DATOS!$C$60&amp;" cm y V_cR sin ×1.1. Para que cuente como encasetonada: casetón de "&amp;TEXT(FLOOR(MIN(80,X26*100/6),1),"0")&amp;" cm o menor. ","")&amp;IF(C26="VOLADO","Volado de "&amp;TEXT(X26,"0.00")&amp;" m empotrado en el borde "&amp;LOWER(V26)&amp;IF(N(O26)&gt;0,", con "&amp;TEXT(O26,"0.0")&amp;" kg/m en la orilla","")&amp;". Lecho inferior con r_ext. Si la orilla carga pretil u otro elemento frágil, calcula la flecha (13.4). El acero superior entra al respaldo de "&amp;TEXT(IF(ISNUMBER(P26),P26,X26),"0.00")&amp;" m"&amp;IF(ISNUMBER(P26),""," (L_b no capturado: se tomó igual al volado)")&amp;" hasta pasar M = 0 con 0.9·PP sin carga viva; si ahí no se anula, llega al apoyo lejano y se ancla con gancho (NTC-Criterios 3.4.1 c y 5.1.2.2). "&amp;IF(AC26&gt;DATOS!$C$80,"Respaldo: "&amp;DT26&amp;". ",""),"")&amp;IF(LEFT(BJ26,5)="FUERA","El M⁻ del vecino difiere más de 50 % (3.4.2.1 c): distribuye el desequilibrio (3.4.3.1) o confirma con un modelo; se arma con el mayor. ","")&amp;IF(OR(DD26="SÍ",DE26="SÍ"),"El M⁻ del borde discontinuo pide bastón también ahí (con gancho). ","")&amp;IF(LEFT(DF26,2)="NO","Anclaje: "&amp;DF26&amp;" (6.7.8.1.7). ","")&amp;IF(OR(AZ26&gt;0,BA26&gt;0),"Esquinas exteriores sobre muro: refuerzo de esquina arriba y abajo en L_largo/5 (6.7.7.3.1). ",""))</f>
        <v/>
      </c>
    </row>
    <row r="27" ht="33" customHeight="1">
      <c r="A27" s="50">
        <f>IF(B27="",0,1)+A26</f>
        <v>4</v>
      </c>
      <c r="B27" s="29" t="n"/>
      <c r="C27" s="51" t="n"/>
      <c r="D27" s="29" t="n"/>
      <c r="E27" s="52" t="n"/>
      <c r="F27" s="52" t="n"/>
      <c r="G27" s="51" t="n"/>
      <c r="H27" s="51" t="n"/>
      <c r="I27" s="51" t="n"/>
      <c r="J27" s="51" t="n"/>
      <c r="K27" s="51" t="n"/>
      <c r="L27" s="51" t="n"/>
      <c r="M27" s="53" t="n"/>
      <c r="N27" s="53" t="n"/>
      <c r="O27" s="54" t="n"/>
      <c r="P27" s="52" t="n"/>
      <c r="Q27" s="53" t="n"/>
      <c r="R27" s="54" t="n"/>
      <c r="S27" s="52" t="n"/>
      <c r="T27" s="52" t="n"/>
      <c r="U27" s="55" t="str">
        <f>IF(B27="","",IF(AND(OR(C27="PERIMETRAL",C27="VOLADO"),ISNUMBER(E27),ISNUMBER(F27),E27&gt;0,F27&gt;0,OR(ISNUMBER(N27),ISNUMBER(MATCH(D27,DATOS!$B$46:$B$55,0)))),"SÍ","NO"))</f>
        <v/>
      </c>
      <c r="V27" s="55" t="str">
        <f>IF(U27&lt;&gt;"SÍ","",IF(C27&lt;&gt;"VOLADO","—",IF(COUNTIF(G27:J27,"CONTINUO")&lt;&gt;1,"?",IF(G27="CONTINUO","INFERIOR",IF(H27="CONTINUO","SUPERIOR",IF(I27="CONTINUO","IZQUIERDO","DERECHO"))))))</f>
        <v/>
      </c>
      <c r="W27" s="55" t="str">
        <f>IF(U27&lt;&gt;"SÍ","",IF(C27="VOLADO",IF(OR(V27="IZQUIERDO",V27="DERECHO"),"X","Y"),IF(E27&lt;=F27,"X","Y")))</f>
        <v/>
      </c>
      <c r="X27" s="56" t="str">
        <f>IF(U27&lt;&gt;"SÍ","",IF(C27="VOLADO",IF(W27="X",E27,F27),MIN(E27,F27)))</f>
        <v/>
      </c>
      <c r="Y27" s="56" t="str">
        <f>IF(U27&lt;&gt;"SÍ","",IF(C27="VOLADO",IF(W27="X",F27,E27),MAX(E27,F27)))</f>
        <v/>
      </c>
      <c r="Z27" s="56" t="str">
        <f>IF(U27&lt;&gt;"SÍ","",MIN(X27,Y27)/MAX(X27,Y27))</f>
        <v/>
      </c>
      <c r="AA27" s="57" t="str">
        <f>IF(U27&lt;&gt;"SÍ","",MAX(1,X27*100-IF(C27="VOLADO",DATOS!$C$84/2,DATOS!$C$84)))</f>
        <v/>
      </c>
      <c r="AB27" s="57" t="str">
        <f>IF(U27&lt;&gt;"SÍ","",MAX(1,Y27*100-DATOS!$C$84))</f>
        <v/>
      </c>
      <c r="AC27" s="57" t="str">
        <f>IF(U27&lt;&gt;"SÍ","",IF(ISNUMBER(Q27),Q27,DATOS!$C$80))</f>
        <v/>
      </c>
      <c r="AD27" s="57" t="str">
        <f>IF(U27&lt;&gt;"SÍ","",MAX(0,DATOS!$C$83-AC27))</f>
        <v/>
      </c>
      <c r="AE27" s="57" t="str">
        <f>IF(U27&lt;&gt;"SÍ","",IF(OR(DATOS!$C$62="SÍ",AC27&gt;=20),AC27,AC27-2))</f>
        <v/>
      </c>
      <c r="AF27" s="57" t="str">
        <f>IF(U27&lt;&gt;"SÍ","",IF(OR(DATOS!$C$62="SÍ",DATOS!$C$80&gt;=20),DATOS!$C$80,DATOS!$C$80-2))</f>
        <v/>
      </c>
      <c r="AG27" s="57" t="str">
        <f>IF(U27&lt;&gt;"SÍ","",MIN(DATOS!$C$83,AC27+2*MIN(8*DATOS!$C$81,AD27/2,AA27/8)))</f>
        <v/>
      </c>
      <c r="AH27" s="57" t="str">
        <f>IF(U27&lt;&gt;"SÍ","",MIN(DATOS!$C$83,DATOS!$C$80+2*MIN(8*DATOS!$C$81,DATOS!$C$78/2,AB27/8)))</f>
        <v/>
      </c>
      <c r="AI27" s="55" t="str">
        <f>IF(U27&lt;&gt;"SÍ","",IF(AND(C27="PERIMETRAL",X27*100&gt;=6*MAX(DATOS!$C$78,AD27),MAX(DATOS!$C$78,AD27)&lt;=80,MIN(DATOS!$C$80,AC27)&gt;=10,DATOS!$C$82&lt;=3.5*MIN(DATOS!$C$80,AC27),DATOS!$C$81&gt;=MAX(MAX(DATOS!$C$78,AD27)/13,5)),"SÍ","NO"))</f>
        <v/>
      </c>
      <c r="AJ27" s="57" t="str">
        <f>IF(U27&lt;&gt;"SÍ","",IF(C27="VOLADO",DATOS!$C$61,IF(AI27="NO",DATOS!$C$60,DATOS!$C$59)))</f>
        <v/>
      </c>
      <c r="AK27" s="57" t="str">
        <f>IF(U27&lt;&gt;"SÍ","",IF(OR(AND(AM27="SÍ",DATOS!$C$63="SÍ"),AND(C27="VOLADO",DATOS!$C$64="SÍ")),DATOS!$C$61,IF(AI27="NO",DATOS!$C$60,DATOS!$C$59)))</f>
        <v/>
      </c>
      <c r="AL27" s="58" t="str">
        <f>IF(U27&lt;&gt;"SÍ","",MAX(AK27,(DATOS!$C$81-2*DATOS!$C$94)/2))</f>
        <v/>
      </c>
      <c r="AM27" s="55" t="str">
        <f>IF(U27&lt;&gt;"SÍ","",IFERROR(INDEX(DATOS!$D$46:$D$55,MATCH(D27,DATOS!$B$46:$B$55,0)),"NO"))</f>
        <v/>
      </c>
      <c r="AN27" s="59" t="str">
        <f>IF(U27&lt;&gt;"SÍ","",IF(ISNUMBER(N27),N27,IFERROR(INDEX(DATOS!$C$46:$C$55,MATCH(D27,DATOS!$B$46:$B$55,0)),0)))</f>
        <v/>
      </c>
      <c r="AO27" s="59" t="str">
        <f>IF(U27&lt;&gt;"SÍ","",(DATOS!$C$82/100-(AD27*DATOS!$C$78/DATOS!$C$83^2)*DATOS!$C$79/100)*DATOS!$C$16*1000+(AD27*DATOS!$C$78/DATOS!$C$83^2)*DATOS!$C$79/100*DATOS!$C$17*1000+DATOS!$C$37+DATOS!$C$38)</f>
        <v/>
      </c>
      <c r="AP27" s="59" t="str">
        <f>IF(U27&lt;&gt;"SÍ","",AO27+N(M27))</f>
        <v/>
      </c>
      <c r="AQ27" s="60" t="str">
        <f>IF(U27&lt;&gt;"SÍ","",MAX(DATOS!$C$26*AP27+DATOS!$C$27*AN27,IF(AM27="SÍ",DATOS!$C$28*(AP27+DATOS!$C$41),0)))</f>
        <v/>
      </c>
      <c r="AR27" s="59" t="str">
        <f>IF(U27&lt;&gt;"SÍ","",(G27="DISCONTINUO")+(H27="DISCONTINUO")+(I27="DISCONTINUO")+(J27="DISCONTINUO"))</f>
        <v/>
      </c>
      <c r="AS27" s="59" t="str">
        <f>IF(U27&lt;&gt;"SÍ","",IF(W27="X",(G27="DISCONTINUO")+(H27="DISCONTINUO"),(I27="DISCONTINUO")+(J27="DISCONTINUO")))</f>
        <v/>
      </c>
      <c r="AT27" s="55" t="str">
        <f>IF(U27&lt;&gt;"SÍ","",IF(AR27=0,"INTERIOR",IF(AR27=1,IF(AS27=1,"BORDE-CORTO","BORDE-LARGO"),IF(AR27=2,IF(AS27=1,"ESQUINA",IF(AS27=2,"EXTREMO-LARGO","EXTREMO-CORTO")),IF(AR27=3,IF(AS27=2,"EXTREMO-LARGO","EXTREMO-CORTO"),"AISLADO")))))</f>
        <v/>
      </c>
      <c r="AU27" s="61" t="str">
        <f>IF(U27&lt;&gt;"SÍ","",IF(OR(K27="",K27="AUTO"),AT27,K27))</f>
        <v/>
      </c>
      <c r="AV27" s="59" t="str">
        <f>IF(U27&lt;&gt;"SÍ","",MATCH(Z27,TABLAS!$D$5:$J$5,1))</f>
        <v/>
      </c>
      <c r="AW27" s="58" t="str">
        <f>IF(U27&lt;&gt;"SÍ","",IF(AV27&gt;=7,0,(Z27-INDEX(TABLAS!$D$5:$J$5,AV27))/(INDEX(TABLAS!$D$5:$J$5,AV27+1)-INDEX(TABLAS!$D$5:$J$5,AV27))))</f>
        <v/>
      </c>
      <c r="AX27" s="59" t="str">
        <f>IF(U27&lt;&gt;"SÍ","",INDEX(TABLAS!$D$6:$J$47,MATCH(AU27&amp;"|NIC",TABLAS!$B$6:$B$47,0),AV27)+AW27*(INDEX(TABLAS!$D$6:$J$47,MATCH(AU27&amp;"|NIC",TABLAS!$B$6:$B$47,0),MIN(AV27+1,7))-INDEX(TABLAS!$D$6:$J$47,MATCH(AU27&amp;"|NIC",TABLAS!$B$6:$B$47,0),AV27)))</f>
        <v/>
      </c>
      <c r="AY27" s="59" t="str">
        <f>IF(U27&lt;&gt;"SÍ","",INDEX(TABLAS!$D$6:$J$47,MATCH(AU27&amp;"|NIL",TABLAS!$B$6:$B$47,0),AV27)+AW27*(INDEX(TABLAS!$D$6:$J$47,MATCH(AU27&amp;"|NIL",TABLAS!$B$6:$B$47,0),MIN(AV27+1,7))-INDEX(TABLAS!$D$6:$J$47,MATCH(AU27&amp;"|NIL",TABLAS!$B$6:$B$47,0),AV27)))</f>
        <v/>
      </c>
      <c r="AZ27" s="59" t="str">
        <f>IF(U27&lt;&gt;"SÍ","",INDEX(TABLAS!$D$6:$J$47,MATCH(AU27&amp;"|NDC",TABLAS!$B$6:$B$47,0),AV27)+AW27*(INDEX(TABLAS!$D$6:$J$47,MATCH(AU27&amp;"|NDC",TABLAS!$B$6:$B$47,0),MIN(AV27+1,7))-INDEX(TABLAS!$D$6:$J$47,MATCH(AU27&amp;"|NDC",TABLAS!$B$6:$B$47,0),AV27)))</f>
        <v/>
      </c>
      <c r="BA27" s="59" t="str">
        <f>IF(U27&lt;&gt;"SÍ","",INDEX(TABLAS!$D$6:$J$47,MATCH(AU27&amp;"|NDL",TABLAS!$B$6:$B$47,0),AV27)+AW27*(INDEX(TABLAS!$D$6:$J$47,MATCH(AU27&amp;"|NDL",TABLAS!$B$6:$B$47,0),MIN(AV27+1,7))-INDEX(TABLAS!$D$6:$J$47,MATCH(AU27&amp;"|NDL",TABLAS!$B$6:$B$47,0),AV27)))</f>
        <v/>
      </c>
      <c r="BB27" s="59" t="str">
        <f>IF(U27&lt;&gt;"SÍ","",INDEX(TABLAS!$D$6:$J$47,MATCH(AU27&amp;"|PC",TABLAS!$B$6:$B$47,0),AV27)+AW27*(INDEX(TABLAS!$D$6:$J$47,MATCH(AU27&amp;"|PC",TABLAS!$B$6:$B$47,0),MIN(AV27+1,7))-INDEX(TABLAS!$D$6:$J$47,MATCH(AU27&amp;"|PC",TABLAS!$B$6:$B$47,0),AV27)))</f>
        <v/>
      </c>
      <c r="BC27" s="59" t="str">
        <f>IF(U27&lt;&gt;"SÍ","",INDEX(TABLAS!$D$6:$J$47,MATCH(AU27&amp;"|PL",TABLAS!$B$6:$B$47,0),AV27)+AW27*(INDEX(TABLAS!$D$6:$J$47,MATCH(AU27&amp;"|PL",TABLAS!$B$6:$B$47,0),MIN(AV27+1,7))-INDEX(TABLAS!$D$6:$J$47,MATCH(AU27&amp;"|PL",TABLAS!$B$6:$B$47,0),AV27)))</f>
        <v/>
      </c>
      <c r="BD27" s="56" t="str">
        <f>IF(U27&lt;&gt;"SÍ","",IF(C27&lt;&gt;"VOLADO",0,DATOS!$C$26*DATOS!$C$16*DATOS!$C$83/100*(((AD27*DATOS!$C$78/DATOS!$C$83^2)*DATOS!$C$79/100)*(IF(W27="X",DI27,DJ27)+DATOS!$C$84/2)/100*(AA27-(IF(W27="X",DI27,DJ27)+DATOS!$C$84/2)/2)/100+((AD27*DATOS!$C$78/DATOS!$C$83^2)*DATOS!$C$79/100)*IF(W27="X",DI27,DJ27)/100*IF(W27="X",DI27,DJ27)/200)))</f>
        <v/>
      </c>
      <c r="BE27" s="56" t="str">
        <f>IF(U27&lt;&gt;"SÍ","",IF(C27&lt;&gt;"VOLADO",0,DATOS!$C$26*DATOS!$C$16*DATOS!$C$83/100*((AD27*DATOS!$C$78/DATOS!$C$83^2)*DATOS!$C$79/100)*(IF(W27="X",DI27,DJ27)+DATOS!$C$84/2)/100))</f>
        <v/>
      </c>
      <c r="BF27" s="56" t="str">
        <f>IF(U27&lt;&gt;"SÍ","",IF(C27="PERIMETRAL",BB27*AQ27*X27^2*1E-4*DATOS!$C$83/100/1000,0))</f>
        <v/>
      </c>
      <c r="BG27" s="62" t="str">
        <f>IF(U27&lt;&gt;"SÍ","",IF(C27="PERIMETRAL",MAX(MAX(AX27,AZ27)*AQ27*X27^2*1E-4*DATOS!$C$83/100/1000,N(S27)),(AQ27*(AA27/100)^2/2+DATOS!$C$26*N(O27)*AA27/100)*DATOS!$C$83/100/1000+BD27))</f>
        <v/>
      </c>
      <c r="BH27" s="56" t="str">
        <f>IF(U27&lt;&gt;"SÍ","",IF(C27="PERIMETRAL",BC27*AQ27*X27^2*1E-4*DATOS!$C$83/100/1000,0))</f>
        <v/>
      </c>
      <c r="BI27" s="56" t="str">
        <f>IF(U27&lt;&gt;"SÍ","",IF(C27="PERIMETRAL",MAX(MAX(AY27,BA27)*AQ27*X27^2*1E-4*DATOS!$C$83/100/1000,N(T27)),0))</f>
        <v/>
      </c>
      <c r="BJ27" s="63" t="str">
        <f>IF(U27&lt;&gt;"SÍ","",IF(C27&lt;&gt;"PERIMETRAL","—",IF(AND(N(S27)=0,N(T27)=0),"— (sin M⁻ del vecino)",IF(OR(AND(N(S27)&gt;0,ABS(MAX(AX27,AZ27)*AQ27*X27^2*1E-4*DATOS!$C$83/100/1000-N(S27))&gt;0.5*MIN(MAX(AX27,AZ27)*AQ27*X27^2*1E-4*DATOS!$C$83/100/1000,N(S27))),AND(N(T27)&gt;0,ABS(MAX(AY27,BA27)*AQ27*X27^2*1E-4*DATOS!$C$83/100/1000-N(T27))&gt;0.5*MIN(MAX(AY27,BA27)*AQ27*X27^2*1E-4*DATOS!$C$83/100/1000,N(T27)))),"FUERA: difieren &gt; 50 %"&amp;IF(AND(N(S27)&gt;0,ABS(MAX(AX27,AZ27)*AQ27*X27^2*1E-4*DATOS!$C$83/100/1000-N(S27))&gt;0.5*MIN(MAX(AX27,AZ27)*AQ27*X27^2*1E-4*DATOS!$C$83/100/1000,N(S27)))," ‖ corto","")&amp;IF(AND(N(T27)&gt;0,ABS(MAX(AY27,BA27)*AQ27*X27^2*1E-4*DATOS!$C$83/100/1000-N(T27))&gt;0.5*MIN(MAX(AY27,BA27)*AQ27*X27^2*1E-4*DATOS!$C$83/100/1000,N(T27)))," ‖ largo",""),"CUMPLE"))))</f>
        <v/>
      </c>
      <c r="BK27" s="58" t="str">
        <f>IF(U27&lt;&gt;"SÍ","",(DATOS!$C$82-AJ27-INDEX(TABLAS!$C$52:$C$58,MATCH(DATOS!$C$68,TABLAS!$B$52:$B$58,0))/2))</f>
        <v/>
      </c>
      <c r="BL27" s="58" t="str">
        <f>IF(U27&lt;&gt;"SÍ","",IF(IF(BF27&lt;=0,0,IF((1-2*BF27*1E5/(DATOS!$C$29*AG27*BK27^2*DATOS!$C$21))&lt;0,-1,IF((1-SQRT((1-2*BF27*1E5/(DATOS!$C$29*AG27*BK27^2*DATOS!$C$21))))*DATOS!$C$21*AG27*BK27/DATOS!$C$14&gt;DATOS!$C$99*AG27*BK27,-1,(1-SQRT((1-2*BF27*1E5/(DATOS!$C$29*AG27*BK27^2*DATOS!$C$21))))*DATOS!$C$21*AG27*BK27/DATOS!$C$14)))&lt;0,-1,MAX(IF(BF27&lt;=0,0,IF((1-2*BF27*1E5/(DATOS!$C$29*AG27*BK27^2*DATOS!$C$21))&lt;0,-1,IF((1-SQRT((1-2*BF27*1E5/(DATOS!$C$29*AG27*BK27^2*DATOS!$C$21))))*DATOS!$C$21*AG27*BK27/DATOS!$C$14&gt;DATOS!$C$99*AG27*BK27,-1,(1-SQRT((1-2*BF27*1E5/(DATOS!$C$29*AG27*BK27^2*DATOS!$C$21))))*DATOS!$C$21*AG27*BK27/DATOS!$C$14))),MIN(DATOS!$C$100*AC27*BK27,4/3*IF(BF27&lt;=0,0,IF((1-2*BF27*1E5/(DATOS!$C$29*AG27*BK27^2*DATOS!$C$21))&lt;0,-1,IF((1-SQRT((1-2*BF27*1E5/(DATOS!$C$29*AG27*BK27^2*DATOS!$C$21))))*DATOS!$C$21*AG27*BK27/DATOS!$C$14&gt;DATOS!$C$99*AG27*BK27,-1,(1-SQRT((1-2*BF27*1E5/(DATOS!$C$29*AG27*BK27^2*DATOS!$C$21))))*DATOS!$C$21*AG27*BK27/DATOS!$C$14)))))))</f>
        <v/>
      </c>
      <c r="BM27" s="64" t="str">
        <f>IF(U27&lt;&gt;"SÍ","",IF(AND(BL27&gt;=0,IF(MAX(DATOS!$C$71,CEILING(BL27/INDEX(TABLAS!$D$52:$D$58,MIN(MATCH(DATOS!$C$68,TABLAS!$B$52:$B$58,0)+0,7)),1))*INDEX(TABLAS!$D$52:$D$58,MIN(MATCH(DATOS!$C$68,TABLAS!$B$52:$B$58,0)+0,7))&gt;=4/3*IF(BF27&lt;=0,0,IF((1-2*BF27*1E5/(DATOS!$C$29*AG27*BK27^2*DATOS!$C$21))&lt;0,-1,IF((1-SQRT((1-2*BF27*1E5/(DATOS!$C$29*AG27*BK27^2*DATOS!$C$21))))*DATOS!$C$21*AG27*BK27/DATOS!$C$14&gt;DATOS!$C$99*AG27*BK27,-1,(1-SQRT((1-2*BF27*1E5/(DATOS!$C$29*AG27*BK27^2*DATOS!$C$21))))*DATOS!$C$21*AG27*BK27/DATOS!$C$14)))-0.0001,MAX(DATOS!$C$71,CEILING(BL27/INDEX(TABLAS!$D$52:$D$58,MIN(MATCH(DATOS!$C$68,TABLAS!$B$52:$B$58,0)+0,7)),1)),MAX(MAX(DATOS!$C$71,CEILING(BL27/INDEX(TABLAS!$D$52:$D$58,MIN(MATCH(DATOS!$C$68,TABLAS!$B$52:$B$58,0)+0,7)),1)),2))&lt;=MIN(DATOS!$C$70,INT(((AC27-2*AJ27)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27&gt;=0,IF(MAX(DATOS!$C$71,CEILING(BL27/INDEX(TABLAS!$D$52:$D$58,MIN(MATCH(DATOS!$C$68,TABLAS!$B$52:$B$58,0)+1,7)),1))*INDEX(TABLAS!$D$52:$D$58,MIN(MATCH(DATOS!$C$68,TABLAS!$B$52:$B$58,0)+1,7))&gt;=4/3*IF(BF27&lt;=0,0,IF((1-2*BF27*1E5/(DATOS!$C$29*AG27*BK27^2*DATOS!$C$21))&lt;0,-1,IF((1-SQRT((1-2*BF27*1E5/(DATOS!$C$29*AG27*BK27^2*DATOS!$C$21))))*DATOS!$C$21*AG27*BK27/DATOS!$C$14&gt;DATOS!$C$99*AG27*BK27,-1,(1-SQRT((1-2*BF27*1E5/(DATOS!$C$29*AG27*BK27^2*DATOS!$C$21))))*DATOS!$C$21*AG27*BK27/DATOS!$C$14)))-0.0001,MAX(DATOS!$C$71,CEILING(BL27/INDEX(TABLAS!$D$52:$D$58,MIN(MATCH(DATOS!$C$68,TABLAS!$B$52:$B$58,0)+1,7)),1)),MAX(MAX(DATOS!$C$71,CEILING(BL27/INDEX(TABLAS!$D$52:$D$58,MIN(MATCH(DATOS!$C$68,TABLAS!$B$52:$B$58,0)+1,7)),1)),2))&lt;=MIN(DATOS!$C$70,INT(((AC27-2*AJ27)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27&gt;=0,IF(MAX(DATOS!$C$71,CEILING(BL27/INDEX(TABLAS!$D$52:$D$58,MIN(MATCH(DATOS!$C$68,TABLAS!$B$52:$B$58,0)+2,7)),1))*INDEX(TABLAS!$D$52:$D$58,MIN(MATCH(DATOS!$C$68,TABLAS!$B$52:$B$58,0)+2,7))&gt;=4/3*IF(BF27&lt;=0,0,IF((1-2*BF27*1E5/(DATOS!$C$29*AG27*BK27^2*DATOS!$C$21))&lt;0,-1,IF((1-SQRT((1-2*BF27*1E5/(DATOS!$C$29*AG27*BK27^2*DATOS!$C$21))))*DATOS!$C$21*AG27*BK27/DATOS!$C$14&gt;DATOS!$C$99*AG27*BK27,-1,(1-SQRT((1-2*BF27*1E5/(DATOS!$C$29*AG27*BK27^2*DATOS!$C$21))))*DATOS!$C$21*AG27*BK27/DATOS!$C$14)))-0.0001,MAX(DATOS!$C$71,CEILING(BL27/INDEX(TABLAS!$D$52:$D$58,MIN(MATCH(DATOS!$C$68,TABLAS!$B$52:$B$58,0)+2,7)),1)),MAX(MAX(DATOS!$C$71,CEILING(BL27/INDEX(TABLAS!$D$52:$D$58,MIN(MATCH(DATOS!$C$68,TABLAS!$B$52:$B$58,0)+2,7)),1)),2))&lt;=MIN(DATOS!$C$70,INT(((AC27-2*AJ27)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27&gt;=0,IF(MAX(DATOS!$C$71,CEILING(BL27/INDEX(TABLAS!$D$52:$D$58,MIN(MATCH(DATOS!$C$68,TABLAS!$B$52:$B$58,0)+3,7)),1))*INDEX(TABLAS!$D$52:$D$58,MIN(MATCH(DATOS!$C$68,TABLAS!$B$52:$B$58,0)+3,7))&gt;=4/3*IF(BF27&lt;=0,0,IF((1-2*BF27*1E5/(DATOS!$C$29*AG27*BK27^2*DATOS!$C$21))&lt;0,-1,IF((1-SQRT((1-2*BF27*1E5/(DATOS!$C$29*AG27*BK27^2*DATOS!$C$21))))*DATOS!$C$21*AG27*BK27/DATOS!$C$14&gt;DATOS!$C$99*AG27*BK27,-1,(1-SQRT((1-2*BF27*1E5/(DATOS!$C$29*AG27*BK27^2*DATOS!$C$21))))*DATOS!$C$21*AG27*BK27/DATOS!$C$14)))-0.0001,MAX(DATOS!$C$71,CEILING(BL27/INDEX(TABLAS!$D$52:$D$58,MIN(MATCH(DATOS!$C$68,TABLAS!$B$52:$B$58,0)+3,7)),1)),MAX(MAX(DATOS!$C$71,CEILING(BL27/INDEX(TABLAS!$D$52:$D$58,MIN(MATCH(DATOS!$C$68,TABLAS!$B$52:$B$58,0)+3,7)),1)),2))&lt;=MIN(DATOS!$C$70,INT(((AC27-2*AJ27)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27&gt;=0,IF(MAX(DATOS!$C$71,CEILING(BL27/INDEX(TABLAS!$D$52:$D$58,MIN(MATCH(DATOS!$C$68,TABLAS!$B$52:$B$58,0)+4,7)),1))*INDEX(TABLAS!$D$52:$D$58,MIN(MATCH(DATOS!$C$68,TABLAS!$B$52:$B$58,0)+4,7))&gt;=4/3*IF(BF27&lt;=0,0,IF((1-2*BF27*1E5/(DATOS!$C$29*AG27*BK27^2*DATOS!$C$21))&lt;0,-1,IF((1-SQRT((1-2*BF27*1E5/(DATOS!$C$29*AG27*BK27^2*DATOS!$C$21))))*DATOS!$C$21*AG27*BK27/DATOS!$C$14&gt;DATOS!$C$99*AG27*BK27,-1,(1-SQRT((1-2*BF27*1E5/(DATOS!$C$29*AG27*BK27^2*DATOS!$C$21))))*DATOS!$C$21*AG27*BK27/DATOS!$C$14)))-0.0001,MAX(DATOS!$C$71,CEILING(BL27/INDEX(TABLAS!$D$52:$D$58,MIN(MATCH(DATOS!$C$68,TABLAS!$B$52:$B$58,0)+4,7)),1)),MAX(MAX(DATOS!$C$71,CEILING(BL27/INDEX(TABLAS!$D$52:$D$58,MIN(MATCH(DATOS!$C$68,TABLAS!$B$52:$B$58,0)+4,7)),1)),2))&lt;=MIN(DATOS!$C$70,INT(((AC27-2*AJ27)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27" s="59" t="str">
        <f>IF(U27&lt;&gt;"SÍ","",IF(BL27&lt;0,0,IF(MAX(DATOS!$C$71,CEILING(MAX(BL27,0)/INDEX(TABLAS!$D$52:$D$58,MATCH(BM27,TABLAS!$B$52:$B$58,0)),1))*INDEX(TABLAS!$D$52:$D$58,MATCH(BM27,TABLAS!$B$52:$B$58,0))&gt;=4/3*IF(BF27&lt;=0,0,IF((1-2*BF27*1E5/(DATOS!$C$29*AG27*BK27^2*DATOS!$C$21))&lt;0,-1,IF((1-SQRT((1-2*BF27*1E5/(DATOS!$C$29*AG27*BK27^2*DATOS!$C$21))))*DATOS!$C$21*AG27*BK27/DATOS!$C$14&gt;DATOS!$C$99*AG27*BK27,-1,(1-SQRT((1-2*BF27*1E5/(DATOS!$C$29*AG27*BK27^2*DATOS!$C$21))))*DATOS!$C$21*AG27*BK27/DATOS!$C$14)))-0.0001,MAX(DATOS!$C$71,CEILING(MAX(BL27,0)/INDEX(TABLAS!$D$52:$D$58,MATCH(BM27,TABLAS!$B$52:$B$58,0)),1)),MAX(MAX(DATOS!$C$71,CEILING(MAX(BL27,0)/INDEX(TABLAS!$D$52:$D$58,MATCH(BM27,TABLAS!$B$52:$B$58,0)),1)),2))))</f>
        <v/>
      </c>
      <c r="BO27" s="58" t="str">
        <f>IF(U27&lt;&gt;"SÍ","",DATOS!$C$82-AJ27-INDEX(TABLAS!$C$52:$C$58,MATCH(BM27,TABLAS!$B$52:$B$58,0))/2)</f>
        <v/>
      </c>
      <c r="BP27" s="56" t="str">
        <f>IF(U27&lt;&gt;"SÍ","",IF(BN27=0,0,DATOS!$C$29*BN27*INDEX(TABLAS!$D$52:$D$58,MATCH(BM27,TABLAS!$B$52:$B$58,0))*DATOS!$C$14*(BO27-BN27*INDEX(TABLAS!$D$52:$D$58,MATCH(BM27,TABLAS!$B$52:$B$58,0))*DATOS!$C$14/(DATOS!$C$21*AG27)/2)/1E5))</f>
        <v/>
      </c>
      <c r="BQ27" s="65" t="str">
        <f>IF(U27&lt;&gt;"SÍ","",IF(BL27&lt;0,9.99,IF(BP27&gt;0,BF27/BP27,0)))</f>
        <v/>
      </c>
      <c r="BR27" s="66" t="str">
        <f>IF(U27&lt;&gt;"SÍ","",IF(BN27=0,"—",0.003*(BO27-(BN27*INDEX(TABLAS!$D$52:$D$58,MATCH(BM27,TABLAS!$B$52:$B$58,0))*DATOS!$C$14/(DATOS!$C$21*AG27)/DATOS!$C$22))/(BN27*INDEX(TABLAS!$D$52:$D$58,MATCH(BM27,TABLAS!$B$52:$B$58,0))*DATOS!$C$14/(DATOS!$C$21*AG27)/DATOS!$C$22)))</f>
        <v/>
      </c>
      <c r="BS27" s="58" t="str">
        <f>IF(U27&lt;&gt;"SÍ","",((DATOS!$C$82-AL27-2*DATOS!$C$94-INDEX(TABLAS!$C$52:$C$58,MATCH(DATOS!$C$69,TABLAS!$B$52:$B$58,0))/2)-IF(AND((DATOS!$C$82-AL27-2*DATOS!$C$94-INDEX(TABLAS!$C$52:$C$58,MATCH(DATOS!$C$69,TABLAS!$B$52:$B$58,0))/2)&lt;=20,DATOS!$C$62&lt;&gt;"SÍ"),2,0)))</f>
        <v/>
      </c>
      <c r="BT27" s="58" t="str">
        <f>IF(U27&lt;&gt;"SÍ","",IF(IF(BG27&lt;=0,0,IF((1-2*BG27*1E5/(DATOS!$C$29*AE27*BS27^2*DATOS!$C$21))&lt;0,-1,IF((1-SQRT((1-2*BG27*1E5/(DATOS!$C$29*AE27*BS27^2*DATOS!$C$21))))*DATOS!$C$21*AE27*BS27/DATOS!$C$14&gt;DATOS!$C$99*AE27*BS27,-1,(1-SQRT((1-2*BG27*1E5/(DATOS!$C$29*AE27*BS27^2*DATOS!$C$21))))*DATOS!$C$21*AE27*BS27/DATOS!$C$14)))&lt;0,-1,MAX(IF(BG27&lt;=0,0,IF((1-2*BG27*1E5/(DATOS!$C$29*AE27*BS27^2*DATOS!$C$21))&lt;0,-1,IF((1-SQRT((1-2*BG27*1E5/(DATOS!$C$29*AE27*BS27^2*DATOS!$C$21))))*DATOS!$C$21*AE27*BS27/DATOS!$C$14&gt;DATOS!$C$99*AE27*BS27,-1,(1-SQRT((1-2*BG27*1E5/(DATOS!$C$29*AE27*BS27^2*DATOS!$C$21))))*DATOS!$C$21*AE27*BS27/DATOS!$C$14))),MIN(DATOS!$C$100*IF(C27="VOLADO",MIN(AG27,2*AC27),AC27)*BS27,4/3*IF(BG27&lt;=0,0,IF((1-2*BG27*1E5/(DATOS!$C$29*AE27*BS27^2*DATOS!$C$21))&lt;0,-1,IF((1-SQRT((1-2*BG27*1E5/(DATOS!$C$29*AE27*BS27^2*DATOS!$C$21))))*DATOS!$C$21*AE27*BS27/DATOS!$C$14&gt;DATOS!$C$99*AE27*BS27,-1,(1-SQRT((1-2*BG27*1E5/(DATOS!$C$29*AE27*BS27^2*DATOS!$C$21))))*DATOS!$C$21*AE27*BS27/DATOS!$C$14)))))))</f>
        <v/>
      </c>
      <c r="BU27" s="64" t="str">
        <f>IF(U27&lt;&gt;"SÍ","",IF(AND(BT27&gt;=0,IF(MAX(DATOS!$C$71,CEILING(BT27/INDEX(TABLAS!$D$52:$D$58,MIN(MATCH(DATOS!$C$69,TABLAS!$B$52:$B$58,0)+0,7)),1))*INDEX(TABLAS!$D$52:$D$58,MIN(MATCH(DATOS!$C$69,TABLAS!$B$52:$B$58,0)+0,7))&gt;=4/3*IF(BG27&lt;=0,0,IF((1-2*BG27*1E5/(DATOS!$C$29*AE27*BS27^2*DATOS!$C$21))&lt;0,-1,IF((1-SQRT((1-2*BG27*1E5/(DATOS!$C$29*AE27*BS27^2*DATOS!$C$21))))*DATOS!$C$21*AE27*BS27/DATOS!$C$14&gt;DATOS!$C$99*AE27*BS27,-1,(1-SQRT((1-2*BG27*1E5/(DATOS!$C$29*AE27*BS27^2*DATOS!$C$21))))*DATOS!$C$21*AE27*BS27/DATOS!$C$14)))-0.0001,MAX(DATOS!$C$71,CEILING(BT27/INDEX(TABLAS!$D$52:$D$58,MIN(MATCH(DATOS!$C$69,TABLAS!$B$52:$B$58,0)+0,7)),1)),MAX(MAX(DATOS!$C$71,CEILING(BT27/INDEX(TABLAS!$D$52:$D$58,MIN(MATCH(DATOS!$C$69,TABLAS!$B$52:$B$58,0)+0,7)),1)),2))&lt;=MIN(DATOS!$C$70,INT(((AC27-2*AK27)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27&gt;=0,IF(MAX(DATOS!$C$71,CEILING(BT27/INDEX(TABLAS!$D$52:$D$58,MIN(MATCH(DATOS!$C$69,TABLAS!$B$52:$B$58,0)+1,7)),1))*INDEX(TABLAS!$D$52:$D$58,MIN(MATCH(DATOS!$C$69,TABLAS!$B$52:$B$58,0)+1,7))&gt;=4/3*IF(BG27&lt;=0,0,IF((1-2*BG27*1E5/(DATOS!$C$29*AE27*BS27^2*DATOS!$C$21))&lt;0,-1,IF((1-SQRT((1-2*BG27*1E5/(DATOS!$C$29*AE27*BS27^2*DATOS!$C$21))))*DATOS!$C$21*AE27*BS27/DATOS!$C$14&gt;DATOS!$C$99*AE27*BS27,-1,(1-SQRT((1-2*BG27*1E5/(DATOS!$C$29*AE27*BS27^2*DATOS!$C$21))))*DATOS!$C$21*AE27*BS27/DATOS!$C$14)))-0.0001,MAX(DATOS!$C$71,CEILING(BT27/INDEX(TABLAS!$D$52:$D$58,MIN(MATCH(DATOS!$C$69,TABLAS!$B$52:$B$58,0)+1,7)),1)),MAX(MAX(DATOS!$C$71,CEILING(BT27/INDEX(TABLAS!$D$52:$D$58,MIN(MATCH(DATOS!$C$69,TABLAS!$B$52:$B$58,0)+1,7)),1)),2))&lt;=MIN(DATOS!$C$70,INT(((AC27-2*AK27)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27&gt;=0,IF(MAX(DATOS!$C$71,CEILING(BT27/INDEX(TABLAS!$D$52:$D$58,MIN(MATCH(DATOS!$C$69,TABLAS!$B$52:$B$58,0)+2,7)),1))*INDEX(TABLAS!$D$52:$D$58,MIN(MATCH(DATOS!$C$69,TABLAS!$B$52:$B$58,0)+2,7))&gt;=4/3*IF(BG27&lt;=0,0,IF((1-2*BG27*1E5/(DATOS!$C$29*AE27*BS27^2*DATOS!$C$21))&lt;0,-1,IF((1-SQRT((1-2*BG27*1E5/(DATOS!$C$29*AE27*BS27^2*DATOS!$C$21))))*DATOS!$C$21*AE27*BS27/DATOS!$C$14&gt;DATOS!$C$99*AE27*BS27,-1,(1-SQRT((1-2*BG27*1E5/(DATOS!$C$29*AE27*BS27^2*DATOS!$C$21))))*DATOS!$C$21*AE27*BS27/DATOS!$C$14)))-0.0001,MAX(DATOS!$C$71,CEILING(BT27/INDEX(TABLAS!$D$52:$D$58,MIN(MATCH(DATOS!$C$69,TABLAS!$B$52:$B$58,0)+2,7)),1)),MAX(MAX(DATOS!$C$71,CEILING(BT27/INDEX(TABLAS!$D$52:$D$58,MIN(MATCH(DATOS!$C$69,TABLAS!$B$52:$B$58,0)+2,7)),1)),2))&lt;=MIN(DATOS!$C$70,INT(((AC27-2*AK27)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27&gt;=0,IF(MAX(DATOS!$C$71,CEILING(BT27/INDEX(TABLAS!$D$52:$D$58,MIN(MATCH(DATOS!$C$69,TABLAS!$B$52:$B$58,0)+3,7)),1))*INDEX(TABLAS!$D$52:$D$58,MIN(MATCH(DATOS!$C$69,TABLAS!$B$52:$B$58,0)+3,7))&gt;=4/3*IF(BG27&lt;=0,0,IF((1-2*BG27*1E5/(DATOS!$C$29*AE27*BS27^2*DATOS!$C$21))&lt;0,-1,IF((1-SQRT((1-2*BG27*1E5/(DATOS!$C$29*AE27*BS27^2*DATOS!$C$21))))*DATOS!$C$21*AE27*BS27/DATOS!$C$14&gt;DATOS!$C$99*AE27*BS27,-1,(1-SQRT((1-2*BG27*1E5/(DATOS!$C$29*AE27*BS27^2*DATOS!$C$21))))*DATOS!$C$21*AE27*BS27/DATOS!$C$14)))-0.0001,MAX(DATOS!$C$71,CEILING(BT27/INDEX(TABLAS!$D$52:$D$58,MIN(MATCH(DATOS!$C$69,TABLAS!$B$52:$B$58,0)+3,7)),1)),MAX(MAX(DATOS!$C$71,CEILING(BT27/INDEX(TABLAS!$D$52:$D$58,MIN(MATCH(DATOS!$C$69,TABLAS!$B$52:$B$58,0)+3,7)),1)),2))&lt;=MIN(DATOS!$C$70,INT(((AC27-2*AK27)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27&gt;=0,IF(MAX(DATOS!$C$71,CEILING(BT27/INDEX(TABLAS!$D$52:$D$58,MIN(MATCH(DATOS!$C$69,TABLAS!$B$52:$B$58,0)+4,7)),1))*INDEX(TABLAS!$D$52:$D$58,MIN(MATCH(DATOS!$C$69,TABLAS!$B$52:$B$58,0)+4,7))&gt;=4/3*IF(BG27&lt;=0,0,IF((1-2*BG27*1E5/(DATOS!$C$29*AE27*BS27^2*DATOS!$C$21))&lt;0,-1,IF((1-SQRT((1-2*BG27*1E5/(DATOS!$C$29*AE27*BS27^2*DATOS!$C$21))))*DATOS!$C$21*AE27*BS27/DATOS!$C$14&gt;DATOS!$C$99*AE27*BS27,-1,(1-SQRT((1-2*BG27*1E5/(DATOS!$C$29*AE27*BS27^2*DATOS!$C$21))))*DATOS!$C$21*AE27*BS27/DATOS!$C$14)))-0.0001,MAX(DATOS!$C$71,CEILING(BT27/INDEX(TABLAS!$D$52:$D$58,MIN(MATCH(DATOS!$C$69,TABLAS!$B$52:$B$58,0)+4,7)),1)),MAX(MAX(DATOS!$C$71,CEILING(BT27/INDEX(TABLAS!$D$52:$D$58,MIN(MATCH(DATOS!$C$69,TABLAS!$B$52:$B$58,0)+4,7)),1)),2))&lt;=MIN(DATOS!$C$70,INT(((AC27-2*AK27)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27" s="59" t="str">
        <f>IF(U27&lt;&gt;"SÍ","",IF(BT27&lt;0,0,IF(MAX(DATOS!$C$71,CEILING(MAX(BT27,0)/INDEX(TABLAS!$D$52:$D$58,MATCH(BU27,TABLAS!$B$52:$B$58,0)),1))*INDEX(TABLAS!$D$52:$D$58,MATCH(BU27,TABLAS!$B$52:$B$58,0))&gt;=4/3*IF(BG27&lt;=0,0,IF((1-2*BG27*1E5/(DATOS!$C$29*AE27*BS27^2*DATOS!$C$21))&lt;0,-1,IF((1-SQRT((1-2*BG27*1E5/(DATOS!$C$29*AE27*BS27^2*DATOS!$C$21))))*DATOS!$C$21*AE27*BS27/DATOS!$C$14&gt;DATOS!$C$99*AE27*BS27,-1,(1-SQRT((1-2*BG27*1E5/(DATOS!$C$29*AE27*BS27^2*DATOS!$C$21))))*DATOS!$C$21*AE27*BS27/DATOS!$C$14)))-0.0001,MAX(DATOS!$C$71,CEILING(MAX(BT27,0)/INDEX(TABLAS!$D$52:$D$58,MATCH(BU27,TABLAS!$B$52:$B$58,0)),1)),MAX(MAX(DATOS!$C$71,CEILING(MAX(BT27,0)/INDEX(TABLAS!$D$52:$D$58,MATCH(BU27,TABLAS!$B$52:$B$58,0)),1)),2))))</f>
        <v/>
      </c>
      <c r="BW27" s="58" t="str">
        <f>IF(U27&lt;&gt;"SÍ","",((DATOS!$C$82-AL27-2*DATOS!$C$94-INDEX(TABLAS!$C$52:$C$58,MATCH(BU27,TABLAS!$B$52:$B$58,0))/2)-IF(AND((DATOS!$C$82-AL27-2*DATOS!$C$94-INDEX(TABLAS!$C$52:$C$58,MATCH(BU27,TABLAS!$B$52:$B$58,0))/2)&lt;=20,DATOS!$C$62&lt;&gt;"SÍ"),2,0)))</f>
        <v/>
      </c>
      <c r="BX27" s="56" t="str">
        <f>IF(U27&lt;&gt;"SÍ","",IF(BV27=0,0,DATOS!$C$29*BV27*INDEX(TABLAS!$D$52:$D$58,MATCH(BU27,TABLAS!$B$52:$B$58,0))*DATOS!$C$14*(BW27-BV27*INDEX(TABLAS!$D$52:$D$58,MATCH(BU27,TABLAS!$B$52:$B$58,0))*DATOS!$C$14/(DATOS!$C$21*AE27)/2)/1E5))</f>
        <v/>
      </c>
      <c r="BY27" s="65" t="str">
        <f>IF(U27&lt;&gt;"SÍ","",IF(BT27&lt;0,9.99,IF(BX27&gt;0,BG27/BX27,0)))</f>
        <v/>
      </c>
      <c r="BZ27" s="66" t="str">
        <f>IF(U27&lt;&gt;"SÍ","",IF(BV27=0,"—",0.003*(BW27-(BV27*INDEX(TABLAS!$D$52:$D$58,MATCH(BU27,TABLAS!$B$52:$B$58,0))*DATOS!$C$14/(DATOS!$C$21*AE27)/DATOS!$C$22))/(BV27*INDEX(TABLAS!$D$52:$D$58,MATCH(BU27,TABLAS!$B$52:$B$58,0))*DATOS!$C$14/(DATOS!$C$21*AE27)/DATOS!$C$22)))</f>
        <v/>
      </c>
      <c r="CA27" s="58" t="str">
        <f>IF(U27&lt;&gt;"SÍ","",(DATOS!$C$82-AJ27-INDEX(TABLAS!$C$52:$C$58,MATCH(DATOS!$C$68,TABLAS!$B$52:$B$58,0))-INDEX(TABLAS!$C$52:$C$58,MATCH(DATOS!$C$68,TABLAS!$B$52:$B$58,0))/2))</f>
        <v/>
      </c>
      <c r="CB27" s="58" t="str">
        <f>IF(U27&lt;&gt;"SÍ","",IF(IF(BH27&lt;=0,0,IF((1-2*BH27*1E5/(DATOS!$C$29*AH27*CA27^2*DATOS!$C$21))&lt;0,-1,IF((1-SQRT((1-2*BH27*1E5/(DATOS!$C$29*AH27*CA27^2*DATOS!$C$21))))*DATOS!$C$21*AH27*CA27/DATOS!$C$14&gt;DATOS!$C$99*AH27*CA27,-1,(1-SQRT((1-2*BH27*1E5/(DATOS!$C$29*AH27*CA27^2*DATOS!$C$21))))*DATOS!$C$21*AH27*CA27/DATOS!$C$14)))&lt;0,-1,MAX(IF(BH27&lt;=0,0,IF((1-2*BH27*1E5/(DATOS!$C$29*AH27*CA27^2*DATOS!$C$21))&lt;0,-1,IF((1-SQRT((1-2*BH27*1E5/(DATOS!$C$29*AH27*CA27^2*DATOS!$C$21))))*DATOS!$C$21*AH27*CA27/DATOS!$C$14&gt;DATOS!$C$99*AH27*CA27,-1,(1-SQRT((1-2*BH27*1E5/(DATOS!$C$29*AH27*CA27^2*DATOS!$C$21))))*DATOS!$C$21*AH27*CA27/DATOS!$C$14))),MIN(DATOS!$C$100*DATOS!$C$80*CA27,4/3*IF(BH27&lt;=0,0,IF((1-2*BH27*1E5/(DATOS!$C$29*AH27*CA27^2*DATOS!$C$21))&lt;0,-1,IF((1-SQRT((1-2*BH27*1E5/(DATOS!$C$29*AH27*CA27^2*DATOS!$C$21))))*DATOS!$C$21*AH27*CA27/DATOS!$C$14&gt;DATOS!$C$99*AH27*CA27,-1,(1-SQRT((1-2*BH27*1E5/(DATOS!$C$29*AH27*CA27^2*DATOS!$C$21))))*DATOS!$C$21*AH27*CA27/DATOS!$C$14)))))))</f>
        <v/>
      </c>
      <c r="CC27" s="64" t="str">
        <f>IF(U27&lt;&gt;"SÍ","",IF(AND(CB27&gt;=0,IF(MAX(DATOS!$C$71,CEILING(CB27/INDEX(TABLAS!$D$52:$D$58,MIN(MATCH(DATOS!$C$68,TABLAS!$B$52:$B$58,0)+0,7)),1))*INDEX(TABLAS!$D$52:$D$58,MIN(MATCH(DATOS!$C$68,TABLAS!$B$52:$B$58,0)+0,7))&gt;=4/3*IF(BH27&lt;=0,0,IF((1-2*BH27*1E5/(DATOS!$C$29*AH27*CA27^2*DATOS!$C$21))&lt;0,-1,IF((1-SQRT((1-2*BH27*1E5/(DATOS!$C$29*AH27*CA27^2*DATOS!$C$21))))*DATOS!$C$21*AH27*CA27/DATOS!$C$14&gt;DATOS!$C$99*AH27*CA27,-1,(1-SQRT((1-2*BH27*1E5/(DATOS!$C$29*AH27*CA27^2*DATOS!$C$21))))*DATOS!$C$21*AH27*CA27/DATOS!$C$14)))-0.0001,MAX(DATOS!$C$71,CEILING(CB27/INDEX(TABLAS!$D$52:$D$58,MIN(MATCH(DATOS!$C$68,TABLAS!$B$52:$B$58,0)+0,7)),1)),MAX(MAX(DATOS!$C$71,CEILING(CB27/INDEX(TABLAS!$D$52:$D$58,MIN(MATCH(DATOS!$C$68,TABLAS!$B$52:$B$58,0)+0,7)),1)),2))&lt;=MIN(DATOS!$C$70,INT(((DATOS!$C$80-2*AJ27)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27&gt;=0,IF(MAX(DATOS!$C$71,CEILING(CB27/INDEX(TABLAS!$D$52:$D$58,MIN(MATCH(DATOS!$C$68,TABLAS!$B$52:$B$58,0)+1,7)),1))*INDEX(TABLAS!$D$52:$D$58,MIN(MATCH(DATOS!$C$68,TABLAS!$B$52:$B$58,0)+1,7))&gt;=4/3*IF(BH27&lt;=0,0,IF((1-2*BH27*1E5/(DATOS!$C$29*AH27*CA27^2*DATOS!$C$21))&lt;0,-1,IF((1-SQRT((1-2*BH27*1E5/(DATOS!$C$29*AH27*CA27^2*DATOS!$C$21))))*DATOS!$C$21*AH27*CA27/DATOS!$C$14&gt;DATOS!$C$99*AH27*CA27,-1,(1-SQRT((1-2*BH27*1E5/(DATOS!$C$29*AH27*CA27^2*DATOS!$C$21))))*DATOS!$C$21*AH27*CA27/DATOS!$C$14)))-0.0001,MAX(DATOS!$C$71,CEILING(CB27/INDEX(TABLAS!$D$52:$D$58,MIN(MATCH(DATOS!$C$68,TABLAS!$B$52:$B$58,0)+1,7)),1)),MAX(MAX(DATOS!$C$71,CEILING(CB27/INDEX(TABLAS!$D$52:$D$58,MIN(MATCH(DATOS!$C$68,TABLAS!$B$52:$B$58,0)+1,7)),1)),2))&lt;=MIN(DATOS!$C$70,INT(((DATOS!$C$80-2*AJ27)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27&gt;=0,IF(MAX(DATOS!$C$71,CEILING(CB27/INDEX(TABLAS!$D$52:$D$58,MIN(MATCH(DATOS!$C$68,TABLAS!$B$52:$B$58,0)+2,7)),1))*INDEX(TABLAS!$D$52:$D$58,MIN(MATCH(DATOS!$C$68,TABLAS!$B$52:$B$58,0)+2,7))&gt;=4/3*IF(BH27&lt;=0,0,IF((1-2*BH27*1E5/(DATOS!$C$29*AH27*CA27^2*DATOS!$C$21))&lt;0,-1,IF((1-SQRT((1-2*BH27*1E5/(DATOS!$C$29*AH27*CA27^2*DATOS!$C$21))))*DATOS!$C$21*AH27*CA27/DATOS!$C$14&gt;DATOS!$C$99*AH27*CA27,-1,(1-SQRT((1-2*BH27*1E5/(DATOS!$C$29*AH27*CA27^2*DATOS!$C$21))))*DATOS!$C$21*AH27*CA27/DATOS!$C$14)))-0.0001,MAX(DATOS!$C$71,CEILING(CB27/INDEX(TABLAS!$D$52:$D$58,MIN(MATCH(DATOS!$C$68,TABLAS!$B$52:$B$58,0)+2,7)),1)),MAX(MAX(DATOS!$C$71,CEILING(CB27/INDEX(TABLAS!$D$52:$D$58,MIN(MATCH(DATOS!$C$68,TABLAS!$B$52:$B$58,0)+2,7)),1)),2))&lt;=MIN(DATOS!$C$70,INT(((DATOS!$C$80-2*AJ27)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27&gt;=0,IF(MAX(DATOS!$C$71,CEILING(CB27/INDEX(TABLAS!$D$52:$D$58,MIN(MATCH(DATOS!$C$68,TABLAS!$B$52:$B$58,0)+3,7)),1))*INDEX(TABLAS!$D$52:$D$58,MIN(MATCH(DATOS!$C$68,TABLAS!$B$52:$B$58,0)+3,7))&gt;=4/3*IF(BH27&lt;=0,0,IF((1-2*BH27*1E5/(DATOS!$C$29*AH27*CA27^2*DATOS!$C$21))&lt;0,-1,IF((1-SQRT((1-2*BH27*1E5/(DATOS!$C$29*AH27*CA27^2*DATOS!$C$21))))*DATOS!$C$21*AH27*CA27/DATOS!$C$14&gt;DATOS!$C$99*AH27*CA27,-1,(1-SQRT((1-2*BH27*1E5/(DATOS!$C$29*AH27*CA27^2*DATOS!$C$21))))*DATOS!$C$21*AH27*CA27/DATOS!$C$14)))-0.0001,MAX(DATOS!$C$71,CEILING(CB27/INDEX(TABLAS!$D$52:$D$58,MIN(MATCH(DATOS!$C$68,TABLAS!$B$52:$B$58,0)+3,7)),1)),MAX(MAX(DATOS!$C$71,CEILING(CB27/INDEX(TABLAS!$D$52:$D$58,MIN(MATCH(DATOS!$C$68,TABLAS!$B$52:$B$58,0)+3,7)),1)),2))&lt;=MIN(DATOS!$C$70,INT(((DATOS!$C$80-2*AJ27)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27&gt;=0,IF(MAX(DATOS!$C$71,CEILING(CB27/INDEX(TABLAS!$D$52:$D$58,MIN(MATCH(DATOS!$C$68,TABLAS!$B$52:$B$58,0)+4,7)),1))*INDEX(TABLAS!$D$52:$D$58,MIN(MATCH(DATOS!$C$68,TABLAS!$B$52:$B$58,0)+4,7))&gt;=4/3*IF(BH27&lt;=0,0,IF((1-2*BH27*1E5/(DATOS!$C$29*AH27*CA27^2*DATOS!$C$21))&lt;0,-1,IF((1-SQRT((1-2*BH27*1E5/(DATOS!$C$29*AH27*CA27^2*DATOS!$C$21))))*DATOS!$C$21*AH27*CA27/DATOS!$C$14&gt;DATOS!$C$99*AH27*CA27,-1,(1-SQRT((1-2*BH27*1E5/(DATOS!$C$29*AH27*CA27^2*DATOS!$C$21))))*DATOS!$C$21*AH27*CA27/DATOS!$C$14)))-0.0001,MAX(DATOS!$C$71,CEILING(CB27/INDEX(TABLAS!$D$52:$D$58,MIN(MATCH(DATOS!$C$68,TABLAS!$B$52:$B$58,0)+4,7)),1)),MAX(MAX(DATOS!$C$71,CEILING(CB27/INDEX(TABLAS!$D$52:$D$58,MIN(MATCH(DATOS!$C$68,TABLAS!$B$52:$B$58,0)+4,7)),1)),2))&lt;=MIN(DATOS!$C$70,INT(((DATOS!$C$80-2*AJ27)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27" s="59" t="str">
        <f>IF(U27&lt;&gt;"SÍ","",IF(CB27&lt;0,0,IF(MAX(DATOS!$C$71,CEILING(MAX(CB27,0)/INDEX(TABLAS!$D$52:$D$58,MATCH(CC27,TABLAS!$B$52:$B$58,0)),1))*INDEX(TABLAS!$D$52:$D$58,MATCH(CC27,TABLAS!$B$52:$B$58,0))&gt;=4/3*IF(BH27&lt;=0,0,IF((1-2*BH27*1E5/(DATOS!$C$29*AH27*CA27^2*DATOS!$C$21))&lt;0,-1,IF((1-SQRT((1-2*BH27*1E5/(DATOS!$C$29*AH27*CA27^2*DATOS!$C$21))))*DATOS!$C$21*AH27*CA27/DATOS!$C$14&gt;DATOS!$C$99*AH27*CA27,-1,(1-SQRT((1-2*BH27*1E5/(DATOS!$C$29*AH27*CA27^2*DATOS!$C$21))))*DATOS!$C$21*AH27*CA27/DATOS!$C$14)))-0.0001,MAX(DATOS!$C$71,CEILING(MAX(CB27,0)/INDEX(TABLAS!$D$52:$D$58,MATCH(CC27,TABLAS!$B$52:$B$58,0)),1)),MAX(MAX(DATOS!$C$71,CEILING(MAX(CB27,0)/INDEX(TABLAS!$D$52:$D$58,MATCH(CC27,TABLAS!$B$52:$B$58,0)),1)),2))))</f>
        <v/>
      </c>
      <c r="CE27" s="58" t="str">
        <f>IF(U27&lt;&gt;"SÍ","",DATOS!$C$82-AJ27-INDEX(TABLAS!$C$52:$C$58,MATCH(BM27,TABLAS!$B$52:$B$58,0))-INDEX(TABLAS!$C$52:$C$58,MATCH(CC27,TABLAS!$B$52:$B$58,0))/2)</f>
        <v/>
      </c>
      <c r="CF27" s="56" t="str">
        <f>IF(U27&lt;&gt;"SÍ","",IF(CD27=0,0,DATOS!$C$29*CD27*INDEX(TABLAS!$D$52:$D$58,MATCH(CC27,TABLAS!$B$52:$B$58,0))*DATOS!$C$14*(CE27-CD27*INDEX(TABLAS!$D$52:$D$58,MATCH(CC27,TABLAS!$B$52:$B$58,0))*DATOS!$C$14/(DATOS!$C$21*AH27)/2)/1E5))</f>
        <v/>
      </c>
      <c r="CG27" s="65" t="str">
        <f>IF(U27&lt;&gt;"SÍ","",IF(CB27&lt;0,9.99,IF(CF27&gt;0,BH27/CF27,0)))</f>
        <v/>
      </c>
      <c r="CH27" s="66" t="str">
        <f>IF(U27&lt;&gt;"SÍ","",IF(CD27=0,"—",0.003*(CE27-(CD27*INDEX(TABLAS!$D$52:$D$58,MATCH(CC27,TABLAS!$B$52:$B$58,0))*DATOS!$C$14/(DATOS!$C$21*AH27)/DATOS!$C$22))/(CD27*INDEX(TABLAS!$D$52:$D$58,MATCH(CC27,TABLAS!$B$52:$B$58,0))*DATOS!$C$14/(DATOS!$C$21*AH27)/DATOS!$C$22)))</f>
        <v/>
      </c>
      <c r="CI27" s="58" t="str">
        <f>IF(U27&lt;&gt;"SÍ","",((DATOS!$C$82-AL27-2*DATOS!$C$94-INDEX(TABLAS!$C$52:$C$58,MATCH(DATOS!$C$69,TABLAS!$B$52:$B$58,0))-INDEX(TABLAS!$C$52:$C$58,MATCH(DATOS!$C$69,TABLAS!$B$52:$B$58,0))/2)-IF(AND((DATOS!$C$82-AL27-2*DATOS!$C$94-INDEX(TABLAS!$C$52:$C$58,MATCH(DATOS!$C$69,TABLAS!$B$52:$B$58,0))-INDEX(TABLAS!$C$52:$C$58,MATCH(DATOS!$C$69,TABLAS!$B$52:$B$58,0))/2)&lt;=20,DATOS!$C$62&lt;&gt;"SÍ"),2,0)))</f>
        <v/>
      </c>
      <c r="CJ27" s="58" t="str">
        <f>IF(U27&lt;&gt;"SÍ","",IF(IF(BI27&lt;=0,0,IF((1-2*BI27*1E5/(DATOS!$C$29*AF27*CI27^2*DATOS!$C$21))&lt;0,-1,IF((1-SQRT((1-2*BI27*1E5/(DATOS!$C$29*AF27*CI27^2*DATOS!$C$21))))*DATOS!$C$21*AF27*CI27/DATOS!$C$14&gt;DATOS!$C$99*AF27*CI27,-1,(1-SQRT((1-2*BI27*1E5/(DATOS!$C$29*AF27*CI27^2*DATOS!$C$21))))*DATOS!$C$21*AF27*CI27/DATOS!$C$14)))&lt;0,-1,MAX(IF(BI27&lt;=0,0,IF((1-2*BI27*1E5/(DATOS!$C$29*AF27*CI27^2*DATOS!$C$21))&lt;0,-1,IF((1-SQRT((1-2*BI27*1E5/(DATOS!$C$29*AF27*CI27^2*DATOS!$C$21))))*DATOS!$C$21*AF27*CI27/DATOS!$C$14&gt;DATOS!$C$99*AF27*CI27,-1,(1-SQRT((1-2*BI27*1E5/(DATOS!$C$29*AF27*CI27^2*DATOS!$C$21))))*DATOS!$C$21*AF27*CI27/DATOS!$C$14))),MIN(DATOS!$C$100*DATOS!$C$80*CI27,4/3*IF(BI27&lt;=0,0,IF((1-2*BI27*1E5/(DATOS!$C$29*AF27*CI27^2*DATOS!$C$21))&lt;0,-1,IF((1-SQRT((1-2*BI27*1E5/(DATOS!$C$29*AF27*CI27^2*DATOS!$C$21))))*DATOS!$C$21*AF27*CI27/DATOS!$C$14&gt;DATOS!$C$99*AF27*CI27,-1,(1-SQRT((1-2*BI27*1E5/(DATOS!$C$29*AF27*CI27^2*DATOS!$C$21))))*DATOS!$C$21*AF27*CI27/DATOS!$C$14)))))))</f>
        <v/>
      </c>
      <c r="CK27" s="64" t="str">
        <f>IF(U27&lt;&gt;"SÍ","",IF(AND(CJ27&gt;=0,IF(MAX(DATOS!$C$71,CEILING(CJ27/INDEX(TABLAS!$D$52:$D$58,MIN(MATCH(DATOS!$C$69,TABLAS!$B$52:$B$58,0)+0,7)),1))*INDEX(TABLAS!$D$52:$D$58,MIN(MATCH(DATOS!$C$69,TABLAS!$B$52:$B$58,0)+0,7))&gt;=4/3*IF(BI27&lt;=0,0,IF((1-2*BI27*1E5/(DATOS!$C$29*AF27*CI27^2*DATOS!$C$21))&lt;0,-1,IF((1-SQRT((1-2*BI27*1E5/(DATOS!$C$29*AF27*CI27^2*DATOS!$C$21))))*DATOS!$C$21*AF27*CI27/DATOS!$C$14&gt;DATOS!$C$99*AF27*CI27,-1,(1-SQRT((1-2*BI27*1E5/(DATOS!$C$29*AF27*CI27^2*DATOS!$C$21))))*DATOS!$C$21*AF27*CI27/DATOS!$C$14)))-0.0001,MAX(DATOS!$C$71,CEILING(CJ27/INDEX(TABLAS!$D$52:$D$58,MIN(MATCH(DATOS!$C$69,TABLAS!$B$52:$B$58,0)+0,7)),1)),MAX(MAX(DATOS!$C$71,CEILING(CJ27/INDEX(TABLAS!$D$52:$D$58,MIN(MATCH(DATOS!$C$69,TABLAS!$B$52:$B$58,0)+0,7)),1)),2))&lt;=MIN(DATOS!$C$70,INT(((DATOS!$C$80-2*AK27)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27&gt;=0,IF(MAX(DATOS!$C$71,CEILING(CJ27/INDEX(TABLAS!$D$52:$D$58,MIN(MATCH(DATOS!$C$69,TABLAS!$B$52:$B$58,0)+1,7)),1))*INDEX(TABLAS!$D$52:$D$58,MIN(MATCH(DATOS!$C$69,TABLAS!$B$52:$B$58,0)+1,7))&gt;=4/3*IF(BI27&lt;=0,0,IF((1-2*BI27*1E5/(DATOS!$C$29*AF27*CI27^2*DATOS!$C$21))&lt;0,-1,IF((1-SQRT((1-2*BI27*1E5/(DATOS!$C$29*AF27*CI27^2*DATOS!$C$21))))*DATOS!$C$21*AF27*CI27/DATOS!$C$14&gt;DATOS!$C$99*AF27*CI27,-1,(1-SQRT((1-2*BI27*1E5/(DATOS!$C$29*AF27*CI27^2*DATOS!$C$21))))*DATOS!$C$21*AF27*CI27/DATOS!$C$14)))-0.0001,MAX(DATOS!$C$71,CEILING(CJ27/INDEX(TABLAS!$D$52:$D$58,MIN(MATCH(DATOS!$C$69,TABLAS!$B$52:$B$58,0)+1,7)),1)),MAX(MAX(DATOS!$C$71,CEILING(CJ27/INDEX(TABLAS!$D$52:$D$58,MIN(MATCH(DATOS!$C$69,TABLAS!$B$52:$B$58,0)+1,7)),1)),2))&lt;=MIN(DATOS!$C$70,INT(((DATOS!$C$80-2*AK27)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27&gt;=0,IF(MAX(DATOS!$C$71,CEILING(CJ27/INDEX(TABLAS!$D$52:$D$58,MIN(MATCH(DATOS!$C$69,TABLAS!$B$52:$B$58,0)+2,7)),1))*INDEX(TABLAS!$D$52:$D$58,MIN(MATCH(DATOS!$C$69,TABLAS!$B$52:$B$58,0)+2,7))&gt;=4/3*IF(BI27&lt;=0,0,IF((1-2*BI27*1E5/(DATOS!$C$29*AF27*CI27^2*DATOS!$C$21))&lt;0,-1,IF((1-SQRT((1-2*BI27*1E5/(DATOS!$C$29*AF27*CI27^2*DATOS!$C$21))))*DATOS!$C$21*AF27*CI27/DATOS!$C$14&gt;DATOS!$C$99*AF27*CI27,-1,(1-SQRT((1-2*BI27*1E5/(DATOS!$C$29*AF27*CI27^2*DATOS!$C$21))))*DATOS!$C$21*AF27*CI27/DATOS!$C$14)))-0.0001,MAX(DATOS!$C$71,CEILING(CJ27/INDEX(TABLAS!$D$52:$D$58,MIN(MATCH(DATOS!$C$69,TABLAS!$B$52:$B$58,0)+2,7)),1)),MAX(MAX(DATOS!$C$71,CEILING(CJ27/INDEX(TABLAS!$D$52:$D$58,MIN(MATCH(DATOS!$C$69,TABLAS!$B$52:$B$58,0)+2,7)),1)),2))&lt;=MIN(DATOS!$C$70,INT(((DATOS!$C$80-2*AK27)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27&gt;=0,IF(MAX(DATOS!$C$71,CEILING(CJ27/INDEX(TABLAS!$D$52:$D$58,MIN(MATCH(DATOS!$C$69,TABLAS!$B$52:$B$58,0)+3,7)),1))*INDEX(TABLAS!$D$52:$D$58,MIN(MATCH(DATOS!$C$69,TABLAS!$B$52:$B$58,0)+3,7))&gt;=4/3*IF(BI27&lt;=0,0,IF((1-2*BI27*1E5/(DATOS!$C$29*AF27*CI27^2*DATOS!$C$21))&lt;0,-1,IF((1-SQRT((1-2*BI27*1E5/(DATOS!$C$29*AF27*CI27^2*DATOS!$C$21))))*DATOS!$C$21*AF27*CI27/DATOS!$C$14&gt;DATOS!$C$99*AF27*CI27,-1,(1-SQRT((1-2*BI27*1E5/(DATOS!$C$29*AF27*CI27^2*DATOS!$C$21))))*DATOS!$C$21*AF27*CI27/DATOS!$C$14)))-0.0001,MAX(DATOS!$C$71,CEILING(CJ27/INDEX(TABLAS!$D$52:$D$58,MIN(MATCH(DATOS!$C$69,TABLAS!$B$52:$B$58,0)+3,7)),1)),MAX(MAX(DATOS!$C$71,CEILING(CJ27/INDEX(TABLAS!$D$52:$D$58,MIN(MATCH(DATOS!$C$69,TABLAS!$B$52:$B$58,0)+3,7)),1)),2))&lt;=MIN(DATOS!$C$70,INT(((DATOS!$C$80-2*AK27)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27&gt;=0,IF(MAX(DATOS!$C$71,CEILING(CJ27/INDEX(TABLAS!$D$52:$D$58,MIN(MATCH(DATOS!$C$69,TABLAS!$B$52:$B$58,0)+4,7)),1))*INDEX(TABLAS!$D$52:$D$58,MIN(MATCH(DATOS!$C$69,TABLAS!$B$52:$B$58,0)+4,7))&gt;=4/3*IF(BI27&lt;=0,0,IF((1-2*BI27*1E5/(DATOS!$C$29*AF27*CI27^2*DATOS!$C$21))&lt;0,-1,IF((1-SQRT((1-2*BI27*1E5/(DATOS!$C$29*AF27*CI27^2*DATOS!$C$21))))*DATOS!$C$21*AF27*CI27/DATOS!$C$14&gt;DATOS!$C$99*AF27*CI27,-1,(1-SQRT((1-2*BI27*1E5/(DATOS!$C$29*AF27*CI27^2*DATOS!$C$21))))*DATOS!$C$21*AF27*CI27/DATOS!$C$14)))-0.0001,MAX(DATOS!$C$71,CEILING(CJ27/INDEX(TABLAS!$D$52:$D$58,MIN(MATCH(DATOS!$C$69,TABLAS!$B$52:$B$58,0)+4,7)),1)),MAX(MAX(DATOS!$C$71,CEILING(CJ27/INDEX(TABLAS!$D$52:$D$58,MIN(MATCH(DATOS!$C$69,TABLAS!$B$52:$B$58,0)+4,7)),1)),2))&lt;=MIN(DATOS!$C$70,INT(((DATOS!$C$80-2*AK27)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27" s="59" t="str">
        <f>IF(U27&lt;&gt;"SÍ","",IF(CJ27&lt;0,0,IF(MAX(DATOS!$C$71,CEILING(MAX(CJ27,0)/INDEX(TABLAS!$D$52:$D$58,MATCH(CK27,TABLAS!$B$52:$B$58,0)),1))*INDEX(TABLAS!$D$52:$D$58,MATCH(CK27,TABLAS!$B$52:$B$58,0))&gt;=4/3*IF(BI27&lt;=0,0,IF((1-2*BI27*1E5/(DATOS!$C$29*AF27*CI27^2*DATOS!$C$21))&lt;0,-1,IF((1-SQRT((1-2*BI27*1E5/(DATOS!$C$29*AF27*CI27^2*DATOS!$C$21))))*DATOS!$C$21*AF27*CI27/DATOS!$C$14&gt;DATOS!$C$99*AF27*CI27,-1,(1-SQRT((1-2*BI27*1E5/(DATOS!$C$29*AF27*CI27^2*DATOS!$C$21))))*DATOS!$C$21*AF27*CI27/DATOS!$C$14)))-0.0001,MAX(DATOS!$C$71,CEILING(MAX(CJ27,0)/INDEX(TABLAS!$D$52:$D$58,MATCH(CK27,TABLAS!$B$52:$B$58,0)),1)),MAX(MAX(DATOS!$C$71,CEILING(MAX(CJ27,0)/INDEX(TABLAS!$D$52:$D$58,MATCH(CK27,TABLAS!$B$52:$B$58,0)),1)),2))))</f>
        <v/>
      </c>
      <c r="CM27" s="58" t="str">
        <f>IF(U27&lt;&gt;"SÍ","",((DATOS!$C$82-AL27-2*DATOS!$C$94-INDEX(TABLAS!$C$52:$C$58,MATCH(BU27,TABLAS!$B$52:$B$58,0))-INDEX(TABLAS!$C$52:$C$58,MATCH(CK27,TABLAS!$B$52:$B$58,0))/2)-IF(AND((DATOS!$C$82-AL27-2*DATOS!$C$94-INDEX(TABLAS!$C$52:$C$58,MATCH(BU27,TABLAS!$B$52:$B$58,0))-INDEX(TABLAS!$C$52:$C$58,MATCH(CK27,TABLAS!$B$52:$B$58,0))/2)&lt;=20,DATOS!$C$62&lt;&gt;"SÍ"),2,0)))</f>
        <v/>
      </c>
      <c r="CN27" s="56" t="str">
        <f>IF(U27&lt;&gt;"SÍ","",IF(CL27=0,0,DATOS!$C$29*CL27*INDEX(TABLAS!$D$52:$D$58,MATCH(CK27,TABLAS!$B$52:$B$58,0))*DATOS!$C$14*(CM27-CL27*INDEX(TABLAS!$D$52:$D$58,MATCH(CK27,TABLAS!$B$52:$B$58,0))*DATOS!$C$14/(DATOS!$C$21*AF27)/2)/1E5))</f>
        <v/>
      </c>
      <c r="CO27" s="65" t="str">
        <f>IF(U27&lt;&gt;"SÍ","",IF(CJ27&lt;0,9.99,IF(CN27&gt;0,BI27/CN27,0)))</f>
        <v/>
      </c>
      <c r="CP27" s="66" t="str">
        <f>IF(U27&lt;&gt;"SÍ","",IF(CL27=0,"—",0.003*(CM27-(CL27*INDEX(TABLAS!$D$52:$D$58,MATCH(CK27,TABLAS!$B$52:$B$58,0))*DATOS!$C$14/(DATOS!$C$21*AF27)/DATOS!$C$22))/(CL27*INDEX(TABLAS!$D$52:$D$58,MATCH(CK27,TABLAS!$B$52:$B$58,0))*DATOS!$C$14/(DATOS!$C$21*AF27)/DATOS!$C$22)))</f>
        <v/>
      </c>
      <c r="CQ27" s="56" t="str">
        <f>IF(U27&lt;&gt;"SÍ","",IF(C27="PERIMETRAL",MAX(0,(AA27/2-BW27)/100)*(0.95-0.5*Z27)*AQ27*IF(AND(AR27&gt;0,AR27&lt;4),DATOS!$C$33,1)*DATOS!$C$83/100/1000,(AQ27*MAX(0,AA27-BW27)/100+DATOS!$C$26*N(O27))*DATOS!$C$83/100/1000+BE27))</f>
        <v/>
      </c>
      <c r="CR27" s="56" t="str">
        <f>IF(U27&lt;&gt;"SÍ","",DATOS!$C$30*2*MIN(1,SQRT(2/(1+0.04*BW27)))*(BV27*INDEX(TABLAS!$D$52:$D$58,MATCH(BU27,TABLAS!$B$52:$B$58,0))/(AE27*BW27))^(1/3)*SQRT(DATOS!$C$13)*AE27*BW27*IF(AI27="SÍ",DATOS!$C$32,1)/1000)</f>
        <v/>
      </c>
      <c r="CS27" s="59" t="str">
        <f>IF(U27&lt;&gt;"SÍ","",IF(CQ27&lt;=CR27,0,CEILING(MAX(0,IF(C27="VOLADO",(AA27-((CR27-BE27)*1E5/DATOS!$C$83-DATOS!$C$26*N(O27))*100/AQ27),IF(CR27&lt;=0,AA27,AA27/2-CR27/MAX(CQ27,1E-9)*(AA27/2-BW27)))-IF(INT((X27*100-DATOS!$C$84+DATOS!$C$80)/DATOS!$C$83)&gt;0,(X27*100-DATOS!$C$84-(INT((X27*100-DATOS!$C$84+DATOS!$C$80)/DATOS!$C$83)*DATOS!$C$78+(INT((X27*100-DATOS!$C$84+DATOS!$C$80)/DATOS!$C$83)-1)*DATOS!$C$80))/2,X27*100/2))/DATOS!$C$83,1)))</f>
        <v/>
      </c>
      <c r="CT27" s="67" t="str">
        <f>IF(U27&lt;&gt;"SÍ","",IF(CQ27&lt;=CR27,"CUMPLE",IF(CS27&lt;=0,"CUMPLE (basta el macizo de orilla)",IF(CS27*DATOS!$C$83*IF(C27="VOLADO",1,2)&gt;=X27*100-DATOS!$C$84,"NO CUMPLE: no alcanza ni macizando todo","MACIZAR "&amp;CS27&amp;" hilera(s)"))))</f>
        <v/>
      </c>
      <c r="CU27" s="58" t="str">
        <f>IF(U27&lt;&gt;"SÍ","",(DATOS!$C$83*DATOS!$C$81^2/2+AC27*DATOS!$C$79*(DATOS!$C$81+DATOS!$C$79/2))/(DATOS!$C$83*DATOS!$C$81+AC27*DATOS!$C$79))</f>
        <v/>
      </c>
      <c r="CV27" s="68" t="str">
        <f>IF(U27&lt;&gt;"SÍ","",DATOS!$C$83*DATOS!$C$81^3/12+DATOS!$C$83*DATOS!$C$81*(CU27-DATOS!$C$81/2)^2+AC27*DATOS!$C$79^3/12+AC27*DATOS!$C$79*(DATOS!$C$81+DATOS!$C$79/2-CU27)^2)</f>
        <v/>
      </c>
      <c r="CW27" s="58" t="str">
        <f>IF(U27&lt;&gt;"SÍ","",(12*CV27/DATOS!$C$83)^(1/3))</f>
        <v/>
      </c>
      <c r="CX27" s="58" t="str">
        <f>IF(U27&lt;&gt;"SÍ","",IF(C27="PERIMETRAL",IF(ISNUMBER(R27),R27,DATOS!$C$101),0))</f>
        <v/>
      </c>
      <c r="CY27" s="57" t="str">
        <f>IF(U27&lt;&gt;"SÍ","",IF(C27="PERIMETRAL",IF(CX27&gt;2,MAX(9,AB27*(0.8+DATOS!$C$14/14000)/(36+9*(AB27/MAX(AA27,1)))),IF(CX27&gt;0.2,MAX(13,AB27*(0.8+DATOS!$C$14/14000)/(36+5*(AB27/MAX(AA27,1))*(CX27-0.2))),MAX(13,AB27/IF(AR27&gt;0,30,33))))*IF(AND(CX27&gt;0.2,AR27&gt;0,DATOS!$C$102="NO"),1.1,1),X27*100/8))</f>
        <v/>
      </c>
      <c r="CZ27" s="61" t="str">
        <f>IF(U27&lt;&gt;"SÍ","",IF(IF(C27="VOLADO",DATOS!$C$82,CW27)&gt;=CY27,"CUMPLE",IF(C27="VOLADO","NO CUMPLE","CALCULAR FLECHA")))</f>
        <v/>
      </c>
      <c r="DA27" s="55" t="str">
        <f>IF(U27&lt;&gt;"SÍ","",IF(DATOS!$C$81&gt;=IF(IF(C27="VOLADO",X27,Y27)&gt;=6,6,5),"CUMPLE","CAPA ≥ 6 cm"))</f>
        <v/>
      </c>
      <c r="DB27" s="60" t="str">
        <f>IF(U27&lt;&gt;"SÍ","",IF(C27="VOLADO",MIN(CEILING(IF(ISNUMBER(P27),P27,X27)*100,5),CEILING(MAX(IF((0.5*(0.9*DATOS!$C$87*DATOS!$C$83/100/1000)*IF(ISNUMBER(P27),P27,X27)+BG27/IF(ISNUMBER(P27),P27,X27))^2-4*(0.5*(0.9*DATOS!$C$87*DATOS!$C$83/100/1000))*BG27&lt;0,IF(ISNUMBER(P27),P27,X27),MIN(IF(ISNUMBER(P27),P27,X27),((0.5*(0.9*DATOS!$C$87*DATOS!$C$83/100/1000)*IF(ISNUMBER(P27),P27,X27)+BG27/IF(ISNUMBER(P27),P27,X27))-SQRT((0.5*(0.9*DATOS!$C$87*DATOS!$C$83/100/1000)*IF(ISNUMBER(P27),P27,X27)+BG27/IF(ISNUMBER(P27),P27,X27))^2-4*(0.5*(0.9*DATOS!$C$87*DATOS!$C$83/100/1000))*BG27))/(2*(0.5*(0.9*DATOS!$C$87*DATOS!$C$83/100/1000)))))*100+MAX(BW27,12*INDEX(TABLAS!$C$52:$C$58,MATCH(BU27,TABLAS!$B$52:$B$58,0)),IF(ISNUMBER(P27),P27,X27)*100/16),IF(OR(AK27&lt;INDEX(TABLAS!$C$52:$C$58,MATCH(BU27,TABLAS!$B$52:$B$58,0)),AND(BV27&gt;=2,(AC27-2*AK27-BV27*INDEX(TABLAS!$C$52:$C$58,MATCH(BU27,TABLAS!$B$52:$B$58,0)))/MAX(BV27-1,1)&lt;2*INDEX(TABLAS!$C$52:$C$58,MATCH(BU27,TABLAS!$B$52:$B$58,0)))),INDEX(TABLAS!$I$52:$I$58,MATCH(BU27,TABLAS!$B$52:$B$58,0)),INDEX(TABLAS!$F$52:$F$58,MATCH(BU27,TABLAS!$B$52:$B$58,0)))),5)),IF(((4*((BB27*AQ27*X27^2*1E-4*DATOS!$C$83/100/1000)+((MAX(AX27,AZ27)*AQ27*X27^2*1E-4*DATOS!$C$83/100/1000)+(IF(AND(AX27&gt;0,AZ27&gt;0),MIN(AX27,AZ27),MAX(AX27,AZ27))*AQ27*X27^2*1E-4*DATOS!$C$83/100/1000))/2)+BG27-(IF(AND(AX27&gt;0,AZ27&gt;0),MIN(AX27,AZ27),MAX(AX27,AZ27))*AQ27*X27^2*1E-4*DATOS!$C$83/100/1000))^2-16*((BB27*AQ27*X27^2*1E-4*DATOS!$C$83/100/1000)+((MAX(AX27,AZ27)*AQ27*X27^2*1E-4*DATOS!$C$83/100/1000)+(IF(AND(AX27&gt;0,AZ27&gt;0),MIN(AX27,AZ27),MAX(AX27,AZ27))*AQ27*X27^2*1E-4*DATOS!$C$83/100/1000))/2)*BG27)&lt;0,CEILING(AA27,5),CEILING(MAX(AA27*((4*((BB27*AQ27*X27^2*1E-4*DATOS!$C$83/100/1000)+((MAX(AX27,AZ27)*AQ27*X27^2*1E-4*DATOS!$C$83/100/1000)+(IF(AND(AX27&gt;0,AZ27&gt;0),MIN(AX27,AZ27),MAX(AX27,AZ27))*AQ27*X27^2*1E-4*DATOS!$C$83/100/1000))/2)+BG27-(IF(AND(AX27&gt;0,AZ27&gt;0),MIN(AX27,AZ27),MAX(AX27,AZ27))*AQ27*X27^2*1E-4*DATOS!$C$83/100/1000))-SQRT(MAX(0,((4*((BB27*AQ27*X27^2*1E-4*DATOS!$C$83/100/1000)+((MAX(AX27,AZ27)*AQ27*X27^2*1E-4*DATOS!$C$83/100/1000)+(IF(AND(AX27&gt;0,AZ27&gt;0),MIN(AX27,AZ27),MAX(AX27,AZ27))*AQ27*X27^2*1E-4*DATOS!$C$83/100/1000))/2)+BG27-(IF(AND(AX27&gt;0,AZ27&gt;0),MIN(AX27,AZ27),MAX(AX27,AZ27))*AQ27*X27^2*1E-4*DATOS!$C$83/100/1000))^2-16*((BB27*AQ27*X27^2*1E-4*DATOS!$C$83/100/1000)+((MAX(AX27,AZ27)*AQ27*X27^2*1E-4*DATOS!$C$83/100/1000)+(IF(AND(AX27&gt;0,AZ27&gt;0),MIN(AX27,AZ27),MAX(AX27,AZ27))*AQ27*X27^2*1E-4*DATOS!$C$83/100/1000))/2)*BG27))))/(8*MAX(((BB27*AQ27*X27^2*1E-4*DATOS!$C$83/100/1000)+((MAX(AX27,AZ27)*AQ27*X27^2*1E-4*DATOS!$C$83/100/1000)+(IF(AND(AX27&gt;0,AZ27&gt;0),MIN(AX27,AZ27),MAX(AX27,AZ27))*AQ27*X27^2*1E-4*DATOS!$C$83/100/1000))/2),1E-9))+MAX(BW27,12*INDEX(TABLAS!$C$52:$C$58,MATCH(BU27,TABLAS!$B$52:$B$58,0)),AA27/16),IF(OR(AK27&lt;INDEX(TABLAS!$C$52:$C$58,MATCH(BU27,TABLAS!$B$52:$B$58,0)),AND(BV27&gt;=2,(AC27-2*AK27-BV27*INDEX(TABLAS!$C$52:$C$58,MATCH(BU27,TABLAS!$B$52:$B$58,0)))/MAX(BV27-1,1)&lt;2*INDEX(TABLAS!$C$52:$C$58,MATCH(BU27,TABLAS!$B$52:$B$58,0)))),INDEX(TABLAS!$I$52:$I$58,MATCH(BU27,TABLAS!$B$52:$B$58,0)),INDEX(TABLAS!$F$52:$F$58,MATCH(BU27,TABLAS!$B$52:$B$58,0)))),5))))</f>
        <v/>
      </c>
      <c r="DC27" s="60" t="str">
        <f>IF(U27&lt;&gt;"SÍ","",IF(C27="VOLADO",0,IF(((4*((BC27*AQ27*X27^2*1E-4*DATOS!$C$83/100/1000)+((MAX(AY27,BA27)*AQ27*X27^2*1E-4*DATOS!$C$83/100/1000)+(IF(AND(AY27&gt;0,BA27&gt;0),MIN(AY27,BA27),MAX(AY27,BA27))*AQ27*X27^2*1E-4*DATOS!$C$83/100/1000))/2)+BI27-(IF(AND(AY27&gt;0,BA27&gt;0),MIN(AY27,BA27),MAX(AY27,BA27))*AQ27*X27^2*1E-4*DATOS!$C$83/100/1000))^2-16*((BC27*AQ27*X27^2*1E-4*DATOS!$C$83/100/1000)+((MAX(AY27,BA27)*AQ27*X27^2*1E-4*DATOS!$C$83/100/1000)+(IF(AND(AY27&gt;0,BA27&gt;0),MIN(AY27,BA27),MAX(AY27,BA27))*AQ27*X27^2*1E-4*DATOS!$C$83/100/1000))/2)*BI27)&lt;0,CEILING(AB27,5),CEILING(MAX(AB27*((4*((BC27*AQ27*X27^2*1E-4*DATOS!$C$83/100/1000)+((MAX(AY27,BA27)*AQ27*X27^2*1E-4*DATOS!$C$83/100/1000)+(IF(AND(AY27&gt;0,BA27&gt;0),MIN(AY27,BA27),MAX(AY27,BA27))*AQ27*X27^2*1E-4*DATOS!$C$83/100/1000))/2)+BI27-(IF(AND(AY27&gt;0,BA27&gt;0),MIN(AY27,BA27),MAX(AY27,BA27))*AQ27*X27^2*1E-4*DATOS!$C$83/100/1000))-SQRT(MAX(0,((4*((BC27*AQ27*X27^2*1E-4*DATOS!$C$83/100/1000)+((MAX(AY27,BA27)*AQ27*X27^2*1E-4*DATOS!$C$83/100/1000)+(IF(AND(AY27&gt;0,BA27&gt;0),MIN(AY27,BA27),MAX(AY27,BA27))*AQ27*X27^2*1E-4*DATOS!$C$83/100/1000))/2)+BI27-(IF(AND(AY27&gt;0,BA27&gt;0),MIN(AY27,BA27),MAX(AY27,BA27))*AQ27*X27^2*1E-4*DATOS!$C$83/100/1000))^2-16*((BC27*AQ27*X27^2*1E-4*DATOS!$C$83/100/1000)+((MAX(AY27,BA27)*AQ27*X27^2*1E-4*DATOS!$C$83/100/1000)+(IF(AND(AY27&gt;0,BA27&gt;0),MIN(AY27,BA27),MAX(AY27,BA27))*AQ27*X27^2*1E-4*DATOS!$C$83/100/1000))/2)*BI27))))/(8*MAX(((BC27*AQ27*X27^2*1E-4*DATOS!$C$83/100/1000)+((MAX(AY27,BA27)*AQ27*X27^2*1E-4*DATOS!$C$83/100/1000)+(IF(AND(AY27&gt;0,BA27&gt;0),MIN(AY27,BA27),MAX(AY27,BA27))*AQ27*X27^2*1E-4*DATOS!$C$83/100/1000))/2),1E-9))+MAX(CM27,12*INDEX(TABLAS!$C$52:$C$58,MATCH(CK27,TABLAS!$B$52:$B$58,0)),AB27/16),IF(OR(AK27&lt;INDEX(TABLAS!$C$52:$C$58,MATCH(CK27,TABLAS!$B$52:$B$58,0)),AND(CL27&gt;=2,(DATOS!$C$80-2*AK27-CL27*INDEX(TABLAS!$C$52:$C$58,MATCH(CK27,TABLAS!$B$52:$B$58,0)))/MAX(CL27-1,1)&lt;2*INDEX(TABLAS!$C$52:$C$58,MATCH(CK27,TABLAS!$B$52:$B$58,0)))),INDEX(TABLAS!$I$52:$I$58,MATCH(CK27,TABLAS!$B$52:$B$58,0)),INDEX(TABLAS!$F$52:$F$58,MATCH(CK27,TABLAS!$B$52:$B$58,0)))),5))))</f>
        <v/>
      </c>
      <c r="DD27" s="55" t="str">
        <f>IF(U27&lt;&gt;"SÍ","",IF(AND(C27="PERIMETRAL",BV27&gt;=2,AR27-AS27&gt;0,AZ27*AQ27*X27^2*1E-4*DATOS!$C$83/100/1000&gt;DATOS!$C$29*INDEX(TABLAS!$D$52:$D$58,MATCH(BU27,TABLAS!$B$52:$B$58,0))*DATOS!$C$14*(BW27-INDEX(TABLAS!$D$52:$D$58,MATCH(BU27,TABLAS!$B$52:$B$58,0))*DATOS!$C$14/(DATOS!$C$21*AE27)/2)/1E5),"SÍ","NO"))</f>
        <v/>
      </c>
      <c r="DE27" s="55" t="str">
        <f>IF(U27&lt;&gt;"SÍ","",IF(AND(C27="PERIMETRAL",CL27&gt;=2,AS27&gt;0,BA27*AQ27*X27^2*1E-4*DATOS!$C$83/100/1000&gt;DATOS!$C$29*INDEX(TABLAS!$D$52:$D$58,MATCH(CK27,TABLAS!$B$52:$B$58,0))*DATOS!$C$14*(CM27-INDEX(TABLAS!$D$52:$D$58,MATCH(CK27,TABLAS!$B$52:$B$58,0))*DATOS!$C$14/(DATOS!$C$21*AF27)/2)/1E5),"SÍ","NO"))</f>
        <v/>
      </c>
      <c r="DF27" s="63" t="str">
        <f>IF(U27&lt;&gt;"SÍ","",IF(OR(C27="VOLADO",AR27=0),"—",IF(AND(AND(1.25*INDEX(TABLAS!$G$52:$G$58,MATCH(MAX(BM27,CC27),TABLAS!$B$52:$B$58,0))&lt;=(DATOS!$C$72-DATOS!$C$60),(DATOS!$C$72-DATOS!$C$60)&gt;=15,INDEX(TABLAS!$G$52:$G$58,MATCH(MAX(BU27,CK27),TABLAS!$B$52:$B$58,0))&lt;=(DATOS!$C$72-DATOS!$C$60)),8*INDEX(TABLAS!$C$52:$C$58,MATCH(MAX(MAX(BM27,CC27),MAX(BU27,CK27)),TABLAS!$B$52:$B$58,0))&lt;=DATOS!$C$73-2*DATOS!$C$60),"CUMPLE (gancho de 180°)",IF(AND(1.25*INDEX(TABLAS!$G$52:$G$58,MATCH(MAX(BM27,CC27),TABLAS!$B$52:$B$58,0))&lt;=(DATOS!$C$72-DATOS!$C$60),(DATOS!$C$72-DATOS!$C$60)&gt;=15,INDEX(TABLAS!$G$52:$G$58,MATCH(MAX(BU27,CK27),TABLAS!$B$52:$B$58,0))&lt;=(DATOS!$C$72-DATOS!$C$60)),"NO CUMPLE: el gancho de 180° (8·d_b) no cabe en el peralte de la dala de borde","NO CUMPLE: dala de borde ≥ "&amp;TEXT(CEILING(MAX(1.25*INDEX(TABLAS!$G$52:$G$58,MATCH(MAX(BM27,CC27),TABLAS!$B$52:$B$58,0)),15,INDEX(TABLAS!$G$52:$G$58,MATCH(MAX(BU27,CK27),TABLAS!$B$52:$B$58,0)))+DATOS!$C$60,5),"0")&amp;" cm de ancho"&amp;IF(8*INDEX(TABLAS!$C$52:$C$58,MATCH(MAX(MAX(BM27,CC27),MAX(BU27,CK27)),TABLAS!$B$52:$B$58,0))&lt;=DATOS!$C$73-2*DATOS!$C$60,""," y más peralte para el gancho")))))</f>
        <v/>
      </c>
      <c r="DG27" s="59" t="str">
        <f>IF(U27&lt;&gt;"SÍ","",MAX(0,INT((E27*100-DATOS!$C$84+DATOS!$C$83-IF(W27="X",DATOS!$C$78,AD27))/DATOS!$C$83)))</f>
        <v/>
      </c>
      <c r="DH27" s="59" t="str">
        <f>IF(U27&lt;&gt;"SÍ","",MAX(0,INT((F27*100-DATOS!$C$84+DATOS!$C$83-IF(W27="Y",DATOS!$C$78,AD27))/DATOS!$C$83)))</f>
        <v/>
      </c>
      <c r="DI27" s="57" t="str">
        <f>IF(U27&lt;&gt;"SÍ","",IF(DG27&gt;0,(E27*100-DATOS!$C$84-(DG27*IF(W27="X",DATOS!$C$78,AD27)+(DG27-1)*(DATOS!$C$83-IF(W27="X",DATOS!$C$78,AD27))))/2,E27*100/2))</f>
        <v/>
      </c>
      <c r="DJ27" s="57" t="str">
        <f>IF(U27&lt;&gt;"SÍ","",IF(DH27&gt;0,(F27*100-DATOS!$C$84-(DH27*IF(W27="Y",DATOS!$C$78,AD27)+(DH27-1)*(DATOS!$C$83-IF(W27="Y",DATOS!$C$78,AD27))))/2,F27*100/2))</f>
        <v/>
      </c>
      <c r="DK27" s="59" t="str">
        <f>IF(U27&lt;&gt;"SÍ","",IF(NOT(AND(C27="VOLADO",AC27&gt;DATOS!$C$80)),0,IF(INDEX(TABLAS!$C$52:$C$58,MATCH(BU27,TABLAS!$B$52:$B$58,0))&lt;=DATOS!$C$80-2*DATOS!$C$60,1,0)))</f>
        <v/>
      </c>
      <c r="DL27" s="58" t="str">
        <f>IF(U27&lt;&gt;"SÍ","",IF(NOT(AND(C27="VOLADO",AC27&gt;DATOS!$C$80)),0,((DATOS!$C$82-MAX(DATOS!$C$60,(DATOS!$C$81-2*DATOS!$C$94)/2)-2*DATOS!$C$94-INDEX(TABLAS!$C$52:$C$58,MATCH(BU27,TABLAS!$B$52:$B$58,0))/2)-IF(AND((DATOS!$C$82-MAX(DATOS!$C$60,(DATOS!$C$81-2*DATOS!$C$94)/2)-2*DATOS!$C$94-INDEX(TABLAS!$C$52:$C$58,MATCH(BU27,TABLAS!$B$52:$B$58,0))/2)&lt;=20,DATOS!$C$62&lt;&gt;"SÍ"),2,0))))</f>
        <v/>
      </c>
      <c r="DM27" s="56" t="str">
        <f>IF(U27&lt;&gt;"SÍ","",IF(OR(NOT(AND(C27="VOLADO",AC27&gt;DATOS!$C$80)),DK27&lt;1),0,IF(0.003*(DL27-((DK27*INDEX(TABLAS!$D$52:$D$58,MATCH(BU27,TABLAS!$B$52:$B$58,0)))*DATOS!$C$14/(DATOS!$C$21*AF27)/DATOS!$C$22))/((DK27*INDEX(TABLAS!$D$52:$D$58,MATCH(BU27,TABLAS!$B$52:$B$58,0)))*DATOS!$C$14/(DATOS!$C$21*AF27)/DATOS!$C$22)&lt;0.005,0,DATOS!$C$29*(DK27*INDEX(TABLAS!$D$52:$D$58,MATCH(BU27,TABLAS!$B$52:$B$58,0)))*DATOS!$C$14*(DL27-(DK27*INDEX(TABLAS!$D$52:$D$58,MATCH(BU27,TABLAS!$B$52:$B$58,0)))*DATOS!$C$14/(DATOS!$C$21*AF27)/2)/1E5)))</f>
        <v/>
      </c>
      <c r="DN27" s="56" t="str">
        <f>IF(U27&lt;&gt;"SÍ","",IF(OR(NOT(AND(C27="VOLADO",AC27&gt;DATOS!$C$80)),DK27&lt;1),0,DATOS!$C$30*2*MIN(1,SQRT(2/(1+0.04*DL27)))*((DK27*INDEX(TABLAS!$D$52:$D$58,MATCH(BU27,TABLAS!$B$52:$B$58,0)))/(AF27*DL27))^(1/3)*SQRT(DATOS!$C$13)*AF27*DL27/1000))</f>
        <v/>
      </c>
      <c r="DO27" s="56" t="str">
        <f>IF(U27&lt;&gt;"SÍ","",IF(NOT(AND(C27="VOLADO",AC27&gt;DATOS!$C$80)),0,IF((BG27-DM27)&lt;=0,0,IF(DM27&lt;=0,IF(ISNUMBER(P27),P27,X27),IF(((0.9*DATOS!$C$87*DATOS!$C$83/100/1000)*IF(ISNUMBER(P27),P27,X27)/2+BG27/IF(ISNUMBER(P27),P27,X27))^2-4*((0.9*DATOS!$C$87*DATOS!$C$83/100/1000)/2)*(BG27-DM27)&lt;0,IF(ISNUMBER(P27),P27,X27),MIN(IF(ISNUMBER(P27),P27,X27),(((0.9*DATOS!$C$87*DATOS!$C$83/100/1000)*IF(ISNUMBER(P27),P27,X27)/2+BG27/IF(ISNUMBER(P27),P27,X27))-SQRT(((0.9*DATOS!$C$87*DATOS!$C$83/100/1000)*IF(ISNUMBER(P27),P27,X27)/2+BG27/IF(ISNUMBER(P27),P27,X27))^2-4*((0.9*DATOS!$C$87*DATOS!$C$83/100/1000)/2)*(BG27-DM27)))/(2*((0.9*DATOS!$C$87*DATOS!$C$83/100/1000)/2))))))))</f>
        <v/>
      </c>
      <c r="DP27" s="56" t="str">
        <f>IF(U27&lt;&gt;"SÍ","",IF(NOT(AND(C27="VOLADO",AC27&gt;DATOS!$C$80)),0,MIN(IF(ISNUMBER(P27),P27,X27),MAX(0,IF(ISNUMBER(P27),P27,X27)/2+BG27/IF(ISNUMBER(P27),P27,X27)/(AQ27*DATOS!$C$83/100/1000)-DN27/(AQ27*DATOS!$C$83/100/1000)))))</f>
        <v/>
      </c>
      <c r="DQ27" s="56" t="str">
        <f>IF(U27&lt;&gt;"SÍ","",IF(NOT(AND(C27="VOLADO",AC27&gt;DATOS!$C$80)),0,BG27/IF(ISNUMBER(P27),P27,X27)+(AQ27*DATOS!$C$83/100/1000)*MAX(0,IF(ISNUMBER(P27),P27,X27)/2-BW27/100)))</f>
        <v/>
      </c>
      <c r="DR27" s="59" t="str">
        <f>IF(U27&lt;&gt;"SÍ","",IF(NOT(AND(C27="VOLADO",AC27&gt;DATOS!$C$80)),0,CEILING(100*MIN(IF(ISNUMBER(P27),P27,X27),MAX(IF(DO27&gt;0,DO27+IF(BV27&gt;=2,MAX(DL27,12*INDEX(TABLAS!$C$52:$C$58,MATCH(BU27,TABLAS!$B$52:$B$58,0)))/100,0),0),DP27,IF(BV27&gt;=2,INDEX(TABLAS!$F$52:$F$58,MATCH(BU27,TABLAS!$B$52:$B$58,0))/100,0))),5)))</f>
        <v/>
      </c>
      <c r="DS27" s="60" t="str">
        <f>IF(U27&lt;&gt;"SÍ","",IF(NOT(AND(C27="VOLADO",AC27&gt;DATOS!$C$80)),0,IF(DR27&lt;=0,0,CEILING(DR27/DATOS!$C$83,1))))</f>
        <v/>
      </c>
      <c r="DT27" s="61" t="str">
        <f>IF(U27&lt;&gt;"SÍ","",IF(C27&lt;&gt;"VOLADO","—",IF(AC27&lt;=DATOS!$C$80,"— (mismo b_w que el respaldo)",IF(DQ27&gt;CR27,"NO CUMPLE: cortante de la nervadura ancha junto al apoyo ("&amp;TEXT(DQ27,"0.00")&amp;" &gt; "&amp;TEXT(CR27,"0.00")&amp;" t)",IF(DR27&gt;=100*IF(ISNUMBER(P27),P27,X27),"CUMPLE — todas las nervaduras del respaldo ‖ al volado con b_w = "&amp;AC27&amp;" cm","CUMPLE — "&amp;DS27&amp;" hilera(s) del respaldo con nervaduras de b_w = "&amp;AC27&amp;" cm (casetón "&amp;AD27&amp;" cm), hasta "&amp;TEXT(DR27/100,"0.00")&amp;" m del paño")))))</f>
        <v/>
      </c>
      <c r="DU27" s="69" t="str">
        <f>IF(U27&lt;&gt;"SÍ","",IF(BN27=0,"NO ALCANZA",BN27&amp;" No. "&amp;BM27&amp;IF(BN27&gt;1," corridas"," corrida")))</f>
        <v/>
      </c>
      <c r="DV27" s="69" t="str">
        <f>IF(U27&lt;&gt;"SÍ","",IF(BV27=0,"NO ALCANZA",IF(AND(C27="VOLADO",AC27&gt;DATOS!$C$80,BV27&gt;=2),"1 No. "&amp;BU27&amp;" corrida de la orilla al respaldo ("&amp;IF(DB27&gt;=100*IF(ISNUMBER(P27),P27,X27),"hasta su apoyo lejano, con gancho","entra "&amp;TEXT(DB27/100,"0.00")&amp;" m desde el paño")&amp;") + "&amp;(BV27-1)&amp;" bastón No. "&amp;BU27&amp;" hasta "&amp;TEXT(DR27/100,"0.00")&amp;" m del paño (fin de la nervadura ancha)",IF(C27="VOLADO",BV27&amp;" No. "&amp;BU27&amp;" de la orilla al respaldo ("&amp;IF(DB27&gt;=100*IF(ISNUMBER(P27),P27,X27),"hasta su apoyo lejano, con gancho","entran "&amp;TEXT(DB27/100,"0.00")&amp;" m desde el paño")&amp;")","1 No. "&amp;BU27&amp;" corrida"&amp;IF(BV27&gt;1," + "&amp;(BV27-1)&amp;" bastón No. "&amp;BU27&amp;" L = "&amp;TEXT(DB27/100,"0.00")&amp;" m desde el paño","")))))</f>
        <v/>
      </c>
      <c r="DW27" s="69" t="str">
        <f>IF(U27&lt;&gt;"SÍ","",IF(CD27=0,"NO ALCANZA",CD27&amp;" No. "&amp;CC27&amp;IF(CD27&gt;1," corridas"," corrida")))</f>
        <v/>
      </c>
      <c r="DX27" s="69" t="str">
        <f>IF(U27&lt;&gt;"SÍ","",IF(CL27=0,"NO ALCANZA",IF(C27="VOLADO","1 No. "&amp;CK27&amp;" corrida (repartición)","1 No. "&amp;CK27&amp;" corrida"&amp;IF(CL27&gt;1," + "&amp;(CL27-1)&amp;" bastón No. "&amp;CK27&amp;" L = "&amp;TEXT(DC27/100,"0.00")&amp;" m desde el paño",""))))</f>
        <v/>
      </c>
      <c r="DY27" s="67" t="str">
        <f>IF(B27="","",IF(U27&lt;&gt;"SÍ","FALTAN DATOS: tipo, a_x, a_y y destino",IF(L27="NO MONOLÍTICO (caso II)","FUERA DE ALCANCE: caso II no transcrito",IF(AND(C27="VOLADO",V27="?"),"REVISAR: el volado lleva UN solo borde CONTINUO (el empotrado)",IF(AND(MAX(BQ27,BY27,CG27,CO27)&lt;=1,NOT(OR(BN27&gt;MIN(DATOS!$C$70,INT(((AC27-2*AJ27)+MAX(DATOS!$C$67,INDEX(TABLAS!$C$52:$C$58,MATCH(BM27,TABLAS!$B$52:$B$58,0))))/(INDEX(TABLAS!$C$52:$C$58,MATCH(BM27,TABLAS!$B$52:$B$58,0))+MAX(DATOS!$C$67,INDEX(TABLAS!$C$52:$C$58,MATCH(BM27,TABLAS!$B$52:$B$58,0)))))),BV27&gt;MIN(DATOS!$C$70,INT(((AC27-2*AK27)+MAX(DATOS!$C$67,INDEX(TABLAS!$C$52:$C$58,MATCH(BU27,TABLAS!$B$52:$B$58,0))))/(INDEX(TABLAS!$C$52:$C$58,MATCH(BU27,TABLAS!$B$52:$B$58,0))+MAX(DATOS!$C$67,INDEX(TABLAS!$C$52:$C$58,MATCH(BU27,TABLAS!$B$52:$B$58,0)))))),CD27&gt;MIN(DATOS!$C$70,INT(((DATOS!$C$80-2*AJ27)+MAX(DATOS!$C$67,INDEX(TABLAS!$C$52:$C$58,MATCH(CC27,TABLAS!$B$52:$B$58,0))))/(INDEX(TABLAS!$C$52:$C$58,MATCH(CC27,TABLAS!$B$52:$B$58,0))+MAX(DATOS!$C$67,INDEX(TABLAS!$C$52:$C$58,MATCH(CC27,TABLAS!$B$52:$B$58,0)))))),CL27&gt;MIN(DATOS!$C$70,INT(((DATOS!$C$80-2*AK27)+MAX(DATOS!$C$67,INDEX(TABLAS!$C$52:$C$58,MATCH(CK27,TABLAS!$B$52:$B$58,0))))/(INDEX(TABLAS!$C$52:$C$58,MATCH(CK27,TABLAS!$B$52:$B$58,0))+MAX(DATOS!$C$67,INDEX(TABLAS!$C$52:$C$58,MATCH(CK27,TABLAS!$B$52:$B$58,0)))))))),NOT(OR(AND(ISNUMBER(BR27),BR27&lt;0.005),AND(ISNUMBER(BZ27),BZ27&lt;0.005),AND(ISNUMBER(CH27),CH27&lt;0.005),AND(ISNUMBER(CP27),CP27&lt;0.005))),NOT(LEFT(DT27,2)="NO"),CZ27="CUMPLE",DA27="CUMPLE",LEFT(CT27,2)&lt;&gt;"NO"),IF(LEFT(CT27,6)="CUMPLE","CUMPLE","CUMPLE — "&amp;CT27)&amp;IF(LEFT(BJ27,5)="FUERA"," · fuera de 3.4.2.1 c)","")&amp;IF(LEFT(DF27,2)="NO"," · REVISAR anclaje en borde discontinuo","")&amp;IF(DS27&gt;0," · respaldo: "&amp;DS27&amp;" hilera(s) de b_w "&amp;AC27&amp;" cm",""),IF(AND(MAX(BQ27,BY27,CG27,CO27)&lt;=1,NOT(OR(BN27&gt;MIN(DATOS!$C$70,INT(((AC27-2*AJ27)+MAX(DATOS!$C$67,INDEX(TABLAS!$C$52:$C$58,MATCH(BM27,TABLAS!$B$52:$B$58,0))))/(INDEX(TABLAS!$C$52:$C$58,MATCH(BM27,TABLAS!$B$52:$B$58,0))+MAX(DATOS!$C$67,INDEX(TABLAS!$C$52:$C$58,MATCH(BM27,TABLAS!$B$52:$B$58,0)))))),BV27&gt;MIN(DATOS!$C$70,INT(((AC27-2*AK27)+MAX(DATOS!$C$67,INDEX(TABLAS!$C$52:$C$58,MATCH(BU27,TABLAS!$B$52:$B$58,0))))/(INDEX(TABLAS!$C$52:$C$58,MATCH(BU27,TABLAS!$B$52:$B$58,0))+MAX(DATOS!$C$67,INDEX(TABLAS!$C$52:$C$58,MATCH(BU27,TABLAS!$B$52:$B$58,0)))))),CD27&gt;MIN(DATOS!$C$70,INT(((DATOS!$C$80-2*AJ27)+MAX(DATOS!$C$67,INDEX(TABLAS!$C$52:$C$58,MATCH(CC27,TABLAS!$B$52:$B$58,0))))/(INDEX(TABLAS!$C$52:$C$58,MATCH(CC27,TABLAS!$B$52:$B$58,0))+MAX(DATOS!$C$67,INDEX(TABLAS!$C$52:$C$58,MATCH(CC27,TABLAS!$B$52:$B$58,0)))))),CL27&gt;MIN(DATOS!$C$70,INT(((DATOS!$C$80-2*AK27)+MAX(DATOS!$C$67,INDEX(TABLAS!$C$52:$C$58,MATCH(CK27,TABLAS!$B$52:$B$58,0))))/(INDEX(TABLAS!$C$52:$C$58,MATCH(CK27,TABLAS!$B$52:$B$58,0))+MAX(DATOS!$C$67,INDEX(TABLAS!$C$52:$C$58,MATCH(CK27,TABLAS!$B$52:$B$58,0)))))))),NOT(OR(AND(ISNUMBER(BR27),BR27&lt;0.005),AND(ISNUMBER(BZ27),BZ27&lt;0.005),AND(ISNUMBER(CH27),CH27&lt;0.005),AND(ISNUMBER(CP27),CP27&lt;0.005))),NOT(LEFT(DT27,2)="NO"),CZ27="CALCULAR FLECHA",LEFT(CT27,2)&lt;&gt;"NO"),"REVISAR: calcular flecha (h_eq &lt; h mín.)"&amp;IF(LEFT(BJ27,5)="FUERA"," · fuera de 3.4.2.1 c)","")&amp;IF(LEFT(DF27,2)="NO"," · REVISAR anclaje en borde discontinuo","")&amp;IF(DS27&gt;0," · respaldo: "&amp;DS27&amp;" hilera(s) de b_w "&amp;AC27&amp;" cm",""),"NO CUMPLE: "&amp;IF(MAX(BQ27,BY27,CG27,CO27)&gt;1,"flexión ","")&amp;IF(OR(BN27&gt;MIN(DATOS!$C$70,INT(((AC27-2*AJ27)+MAX(DATOS!$C$67,INDEX(TABLAS!$C$52:$C$58,MATCH(BM27,TABLAS!$B$52:$B$58,0))))/(INDEX(TABLAS!$C$52:$C$58,MATCH(BM27,TABLAS!$B$52:$B$58,0))+MAX(DATOS!$C$67,INDEX(TABLAS!$C$52:$C$58,MATCH(BM27,TABLAS!$B$52:$B$58,0)))))),BV27&gt;MIN(DATOS!$C$70,INT(((AC27-2*AK27)+MAX(DATOS!$C$67,INDEX(TABLAS!$C$52:$C$58,MATCH(BU27,TABLAS!$B$52:$B$58,0))))/(INDEX(TABLAS!$C$52:$C$58,MATCH(BU27,TABLAS!$B$52:$B$58,0))+MAX(DATOS!$C$67,INDEX(TABLAS!$C$52:$C$58,MATCH(BU27,TABLAS!$B$52:$B$58,0)))))),CD27&gt;MIN(DATOS!$C$70,INT(((DATOS!$C$80-2*AJ27)+MAX(DATOS!$C$67,INDEX(TABLAS!$C$52:$C$58,MATCH(CC27,TABLAS!$B$52:$B$58,0))))/(INDEX(TABLAS!$C$52:$C$58,MATCH(CC27,TABLAS!$B$52:$B$58,0))+MAX(DATOS!$C$67,INDEX(TABLAS!$C$52:$C$58,MATCH(CC27,TABLAS!$B$52:$B$58,0)))))),CL27&gt;MIN(DATOS!$C$70,INT(((DATOS!$C$80-2*AK27)+MAX(DATOS!$C$67,INDEX(TABLAS!$C$52:$C$58,MATCH(CK27,TABLAS!$B$52:$B$58,0))))/(INDEX(TABLAS!$C$52:$C$58,MATCH(CK27,TABLAS!$B$52:$B$58,0))+MAX(DATOS!$C$67,INDEX(TABLAS!$C$52:$C$58,MATCH(CK27,TABLAS!$B$52:$B$58,0))))))),"no caben ","")&amp;IF(OR(AND(ISNUMBER(BR27),BR27&lt;0.005),AND(ISNUMBER(BZ27),BZ27&lt;0.005),AND(ISNUMBER(CH27),CH27&lt;0.005),AND(ISNUMBER(CP27),CP27&lt;0.005)),"ε_t &lt; 0.005 ","")&amp;IF(LEFT(CT27,2)="NO","cortante ","")&amp;IF(CZ27="NO CUMPLE","peralte ","")&amp;IF(DA27&lt;&gt;"CUMPLE","capa &lt; 6 cm ","")&amp;IF(LEFT(DT27,2)="NO","respaldo del volado","")))))))</f>
        <v/>
      </c>
      <c r="DZ27" s="70" t="str">
        <f>IF(U27&lt;&gt;"SÍ","",IF(LEFT(B27,7)="EJEMPLO","EJEMPLO de la hoja de Casa Rocha: bórralo o sobrescríbelo. ","")&amp;IF(AND(C27="PERIMETRAL",MIN(DG27,DH27)=0),"No cabe un casetón en el claro corto: es un tablero macizo, diséñalo en MACIZAS. ","")&amp;IF(AND(AI27="NO",C27="PERIMETRAL"),"No cumple 6.7.8.1.4 (a_c = "&amp;MAX(DATOS!$C$78,AD27)&amp;" cm &gt; claro corto/6 = "&amp;TEXT(X27*100/6,"0")&amp;" cm): se diseña como losa apoyada en vigas (6.7.8.1.9): r de viga = "&amp;DATOS!$C$60&amp;" cm y V_cR sin ×1.1. Para que cuente como encasetonada: casetón de "&amp;TEXT(FLOOR(MIN(80,X27*100/6),1),"0")&amp;" cm o menor. ","")&amp;IF(C27="VOLADO","Volado de "&amp;TEXT(X27,"0.00")&amp;" m empotrado en el borde "&amp;LOWER(V27)&amp;IF(N(O27)&gt;0,", con "&amp;TEXT(O27,"0.0")&amp;" kg/m en la orilla","")&amp;". Lecho inferior con r_ext. Si la orilla carga pretil u otro elemento frágil, calcula la flecha (13.4). El acero superior entra al respaldo de "&amp;TEXT(IF(ISNUMBER(P27),P27,X27),"0.00")&amp;" m"&amp;IF(ISNUMBER(P27),""," (L_b no capturado: se tomó igual al volado)")&amp;" hasta pasar M = 0 con 0.9·PP sin carga viva; si ahí no se anula, llega al apoyo lejano y se ancla con gancho (NTC-Criterios 3.4.1 c y 5.1.2.2). "&amp;IF(AC27&gt;DATOS!$C$80,"Respaldo: "&amp;DT27&amp;". ",""),"")&amp;IF(LEFT(BJ27,5)="FUERA","El M⁻ del vecino difiere más de 50 % (3.4.2.1 c): distribuye el desequilibrio (3.4.3.1) o confirma con un modelo; se arma con el mayor. ","")&amp;IF(OR(DD27="SÍ",DE27="SÍ"),"El M⁻ del borde discontinuo pide bastón también ahí (con gancho). ","")&amp;IF(LEFT(DF27,2)="NO","Anclaje: "&amp;DF27&amp;" (6.7.8.1.7). ","")&amp;IF(OR(AZ27&gt;0,BA27&gt;0),"Esquinas exteriores sobre muro: refuerzo de esquina arriba y abajo en L_largo/5 (6.7.7.3.1). ",""))</f>
        <v/>
      </c>
    </row>
    <row r="28" ht="33" customHeight="1">
      <c r="A28" s="50">
        <f>IF(B28="",0,1)+A27</f>
        <v>4</v>
      </c>
      <c r="B28" s="29" t="n"/>
      <c r="C28" s="51" t="n"/>
      <c r="D28" s="29" t="n"/>
      <c r="E28" s="52" t="n"/>
      <c r="F28" s="52" t="n"/>
      <c r="G28" s="51" t="n"/>
      <c r="H28" s="51" t="n"/>
      <c r="I28" s="51" t="n"/>
      <c r="J28" s="51" t="n"/>
      <c r="K28" s="51" t="n"/>
      <c r="L28" s="51" t="n"/>
      <c r="M28" s="53" t="n"/>
      <c r="N28" s="53" t="n"/>
      <c r="O28" s="54" t="n"/>
      <c r="P28" s="52" t="n"/>
      <c r="Q28" s="53" t="n"/>
      <c r="R28" s="54" t="n"/>
      <c r="S28" s="52" t="n"/>
      <c r="T28" s="52" t="n"/>
      <c r="U28" s="55" t="str">
        <f>IF(B28="","",IF(AND(OR(C28="PERIMETRAL",C28="VOLADO"),ISNUMBER(E28),ISNUMBER(F28),E28&gt;0,F28&gt;0,OR(ISNUMBER(N28),ISNUMBER(MATCH(D28,DATOS!$B$46:$B$55,0)))),"SÍ","NO"))</f>
        <v/>
      </c>
      <c r="V28" s="55" t="str">
        <f>IF(U28&lt;&gt;"SÍ","",IF(C28&lt;&gt;"VOLADO","—",IF(COUNTIF(G28:J28,"CONTINUO")&lt;&gt;1,"?",IF(G28="CONTINUO","INFERIOR",IF(H28="CONTINUO","SUPERIOR",IF(I28="CONTINUO","IZQUIERDO","DERECHO"))))))</f>
        <v/>
      </c>
      <c r="W28" s="55" t="str">
        <f>IF(U28&lt;&gt;"SÍ","",IF(C28="VOLADO",IF(OR(V28="IZQUIERDO",V28="DERECHO"),"X","Y"),IF(E28&lt;=F28,"X","Y")))</f>
        <v/>
      </c>
      <c r="X28" s="56" t="str">
        <f>IF(U28&lt;&gt;"SÍ","",IF(C28="VOLADO",IF(W28="X",E28,F28),MIN(E28,F28)))</f>
        <v/>
      </c>
      <c r="Y28" s="56" t="str">
        <f>IF(U28&lt;&gt;"SÍ","",IF(C28="VOLADO",IF(W28="X",F28,E28),MAX(E28,F28)))</f>
        <v/>
      </c>
      <c r="Z28" s="56" t="str">
        <f>IF(U28&lt;&gt;"SÍ","",MIN(X28,Y28)/MAX(X28,Y28))</f>
        <v/>
      </c>
      <c r="AA28" s="57" t="str">
        <f>IF(U28&lt;&gt;"SÍ","",MAX(1,X28*100-IF(C28="VOLADO",DATOS!$C$84/2,DATOS!$C$84)))</f>
        <v/>
      </c>
      <c r="AB28" s="57" t="str">
        <f>IF(U28&lt;&gt;"SÍ","",MAX(1,Y28*100-DATOS!$C$84))</f>
        <v/>
      </c>
      <c r="AC28" s="57" t="str">
        <f>IF(U28&lt;&gt;"SÍ","",IF(ISNUMBER(Q28),Q28,DATOS!$C$80))</f>
        <v/>
      </c>
      <c r="AD28" s="57" t="str">
        <f>IF(U28&lt;&gt;"SÍ","",MAX(0,DATOS!$C$83-AC28))</f>
        <v/>
      </c>
      <c r="AE28" s="57" t="str">
        <f>IF(U28&lt;&gt;"SÍ","",IF(OR(DATOS!$C$62="SÍ",AC28&gt;=20),AC28,AC28-2))</f>
        <v/>
      </c>
      <c r="AF28" s="57" t="str">
        <f>IF(U28&lt;&gt;"SÍ","",IF(OR(DATOS!$C$62="SÍ",DATOS!$C$80&gt;=20),DATOS!$C$80,DATOS!$C$80-2))</f>
        <v/>
      </c>
      <c r="AG28" s="57" t="str">
        <f>IF(U28&lt;&gt;"SÍ","",MIN(DATOS!$C$83,AC28+2*MIN(8*DATOS!$C$81,AD28/2,AA28/8)))</f>
        <v/>
      </c>
      <c r="AH28" s="57" t="str">
        <f>IF(U28&lt;&gt;"SÍ","",MIN(DATOS!$C$83,DATOS!$C$80+2*MIN(8*DATOS!$C$81,DATOS!$C$78/2,AB28/8)))</f>
        <v/>
      </c>
      <c r="AI28" s="55" t="str">
        <f>IF(U28&lt;&gt;"SÍ","",IF(AND(C28="PERIMETRAL",X28*100&gt;=6*MAX(DATOS!$C$78,AD28),MAX(DATOS!$C$78,AD28)&lt;=80,MIN(DATOS!$C$80,AC28)&gt;=10,DATOS!$C$82&lt;=3.5*MIN(DATOS!$C$80,AC28),DATOS!$C$81&gt;=MAX(MAX(DATOS!$C$78,AD28)/13,5)),"SÍ","NO"))</f>
        <v/>
      </c>
      <c r="AJ28" s="57" t="str">
        <f>IF(U28&lt;&gt;"SÍ","",IF(C28="VOLADO",DATOS!$C$61,IF(AI28="NO",DATOS!$C$60,DATOS!$C$59)))</f>
        <v/>
      </c>
      <c r="AK28" s="57" t="str">
        <f>IF(U28&lt;&gt;"SÍ","",IF(OR(AND(AM28="SÍ",DATOS!$C$63="SÍ"),AND(C28="VOLADO",DATOS!$C$64="SÍ")),DATOS!$C$61,IF(AI28="NO",DATOS!$C$60,DATOS!$C$59)))</f>
        <v/>
      </c>
      <c r="AL28" s="58" t="str">
        <f>IF(U28&lt;&gt;"SÍ","",MAX(AK28,(DATOS!$C$81-2*DATOS!$C$94)/2))</f>
        <v/>
      </c>
      <c r="AM28" s="55" t="str">
        <f>IF(U28&lt;&gt;"SÍ","",IFERROR(INDEX(DATOS!$D$46:$D$55,MATCH(D28,DATOS!$B$46:$B$55,0)),"NO"))</f>
        <v/>
      </c>
      <c r="AN28" s="59" t="str">
        <f>IF(U28&lt;&gt;"SÍ","",IF(ISNUMBER(N28),N28,IFERROR(INDEX(DATOS!$C$46:$C$55,MATCH(D28,DATOS!$B$46:$B$55,0)),0)))</f>
        <v/>
      </c>
      <c r="AO28" s="59" t="str">
        <f>IF(U28&lt;&gt;"SÍ","",(DATOS!$C$82/100-(AD28*DATOS!$C$78/DATOS!$C$83^2)*DATOS!$C$79/100)*DATOS!$C$16*1000+(AD28*DATOS!$C$78/DATOS!$C$83^2)*DATOS!$C$79/100*DATOS!$C$17*1000+DATOS!$C$37+DATOS!$C$38)</f>
        <v/>
      </c>
      <c r="AP28" s="59" t="str">
        <f>IF(U28&lt;&gt;"SÍ","",AO28+N(M28))</f>
        <v/>
      </c>
      <c r="AQ28" s="60" t="str">
        <f>IF(U28&lt;&gt;"SÍ","",MAX(DATOS!$C$26*AP28+DATOS!$C$27*AN28,IF(AM28="SÍ",DATOS!$C$28*(AP28+DATOS!$C$41),0)))</f>
        <v/>
      </c>
      <c r="AR28" s="59" t="str">
        <f>IF(U28&lt;&gt;"SÍ","",(G28="DISCONTINUO")+(H28="DISCONTINUO")+(I28="DISCONTINUO")+(J28="DISCONTINUO"))</f>
        <v/>
      </c>
      <c r="AS28" s="59" t="str">
        <f>IF(U28&lt;&gt;"SÍ","",IF(W28="X",(G28="DISCONTINUO")+(H28="DISCONTINUO"),(I28="DISCONTINUO")+(J28="DISCONTINUO")))</f>
        <v/>
      </c>
      <c r="AT28" s="55" t="str">
        <f>IF(U28&lt;&gt;"SÍ","",IF(AR28=0,"INTERIOR",IF(AR28=1,IF(AS28=1,"BORDE-CORTO","BORDE-LARGO"),IF(AR28=2,IF(AS28=1,"ESQUINA",IF(AS28=2,"EXTREMO-LARGO","EXTREMO-CORTO")),IF(AR28=3,IF(AS28=2,"EXTREMO-LARGO","EXTREMO-CORTO"),"AISLADO")))))</f>
        <v/>
      </c>
      <c r="AU28" s="61" t="str">
        <f>IF(U28&lt;&gt;"SÍ","",IF(OR(K28="",K28="AUTO"),AT28,K28))</f>
        <v/>
      </c>
      <c r="AV28" s="59" t="str">
        <f>IF(U28&lt;&gt;"SÍ","",MATCH(Z28,TABLAS!$D$5:$J$5,1))</f>
        <v/>
      </c>
      <c r="AW28" s="58" t="str">
        <f>IF(U28&lt;&gt;"SÍ","",IF(AV28&gt;=7,0,(Z28-INDEX(TABLAS!$D$5:$J$5,AV28))/(INDEX(TABLAS!$D$5:$J$5,AV28+1)-INDEX(TABLAS!$D$5:$J$5,AV28))))</f>
        <v/>
      </c>
      <c r="AX28" s="59" t="str">
        <f>IF(U28&lt;&gt;"SÍ","",INDEX(TABLAS!$D$6:$J$47,MATCH(AU28&amp;"|NIC",TABLAS!$B$6:$B$47,0),AV28)+AW28*(INDEX(TABLAS!$D$6:$J$47,MATCH(AU28&amp;"|NIC",TABLAS!$B$6:$B$47,0),MIN(AV28+1,7))-INDEX(TABLAS!$D$6:$J$47,MATCH(AU28&amp;"|NIC",TABLAS!$B$6:$B$47,0),AV28)))</f>
        <v/>
      </c>
      <c r="AY28" s="59" t="str">
        <f>IF(U28&lt;&gt;"SÍ","",INDEX(TABLAS!$D$6:$J$47,MATCH(AU28&amp;"|NIL",TABLAS!$B$6:$B$47,0),AV28)+AW28*(INDEX(TABLAS!$D$6:$J$47,MATCH(AU28&amp;"|NIL",TABLAS!$B$6:$B$47,0),MIN(AV28+1,7))-INDEX(TABLAS!$D$6:$J$47,MATCH(AU28&amp;"|NIL",TABLAS!$B$6:$B$47,0),AV28)))</f>
        <v/>
      </c>
      <c r="AZ28" s="59" t="str">
        <f>IF(U28&lt;&gt;"SÍ","",INDEX(TABLAS!$D$6:$J$47,MATCH(AU28&amp;"|NDC",TABLAS!$B$6:$B$47,0),AV28)+AW28*(INDEX(TABLAS!$D$6:$J$47,MATCH(AU28&amp;"|NDC",TABLAS!$B$6:$B$47,0),MIN(AV28+1,7))-INDEX(TABLAS!$D$6:$J$47,MATCH(AU28&amp;"|NDC",TABLAS!$B$6:$B$47,0),AV28)))</f>
        <v/>
      </c>
      <c r="BA28" s="59" t="str">
        <f>IF(U28&lt;&gt;"SÍ","",INDEX(TABLAS!$D$6:$J$47,MATCH(AU28&amp;"|NDL",TABLAS!$B$6:$B$47,0),AV28)+AW28*(INDEX(TABLAS!$D$6:$J$47,MATCH(AU28&amp;"|NDL",TABLAS!$B$6:$B$47,0),MIN(AV28+1,7))-INDEX(TABLAS!$D$6:$J$47,MATCH(AU28&amp;"|NDL",TABLAS!$B$6:$B$47,0),AV28)))</f>
        <v/>
      </c>
      <c r="BB28" s="59" t="str">
        <f>IF(U28&lt;&gt;"SÍ","",INDEX(TABLAS!$D$6:$J$47,MATCH(AU28&amp;"|PC",TABLAS!$B$6:$B$47,0),AV28)+AW28*(INDEX(TABLAS!$D$6:$J$47,MATCH(AU28&amp;"|PC",TABLAS!$B$6:$B$47,0),MIN(AV28+1,7))-INDEX(TABLAS!$D$6:$J$47,MATCH(AU28&amp;"|PC",TABLAS!$B$6:$B$47,0),AV28)))</f>
        <v/>
      </c>
      <c r="BC28" s="59" t="str">
        <f>IF(U28&lt;&gt;"SÍ","",INDEX(TABLAS!$D$6:$J$47,MATCH(AU28&amp;"|PL",TABLAS!$B$6:$B$47,0),AV28)+AW28*(INDEX(TABLAS!$D$6:$J$47,MATCH(AU28&amp;"|PL",TABLAS!$B$6:$B$47,0),MIN(AV28+1,7))-INDEX(TABLAS!$D$6:$J$47,MATCH(AU28&amp;"|PL",TABLAS!$B$6:$B$47,0),AV28)))</f>
        <v/>
      </c>
      <c r="BD28" s="56" t="str">
        <f>IF(U28&lt;&gt;"SÍ","",IF(C28&lt;&gt;"VOLADO",0,DATOS!$C$26*DATOS!$C$16*DATOS!$C$83/100*(((AD28*DATOS!$C$78/DATOS!$C$83^2)*DATOS!$C$79/100)*(IF(W28="X",DI28,DJ28)+DATOS!$C$84/2)/100*(AA28-(IF(W28="X",DI28,DJ28)+DATOS!$C$84/2)/2)/100+((AD28*DATOS!$C$78/DATOS!$C$83^2)*DATOS!$C$79/100)*IF(W28="X",DI28,DJ28)/100*IF(W28="X",DI28,DJ28)/200)))</f>
        <v/>
      </c>
      <c r="BE28" s="56" t="str">
        <f>IF(U28&lt;&gt;"SÍ","",IF(C28&lt;&gt;"VOLADO",0,DATOS!$C$26*DATOS!$C$16*DATOS!$C$83/100*((AD28*DATOS!$C$78/DATOS!$C$83^2)*DATOS!$C$79/100)*(IF(W28="X",DI28,DJ28)+DATOS!$C$84/2)/100))</f>
        <v/>
      </c>
      <c r="BF28" s="56" t="str">
        <f>IF(U28&lt;&gt;"SÍ","",IF(C28="PERIMETRAL",BB28*AQ28*X28^2*1E-4*DATOS!$C$83/100/1000,0))</f>
        <v/>
      </c>
      <c r="BG28" s="62" t="str">
        <f>IF(U28&lt;&gt;"SÍ","",IF(C28="PERIMETRAL",MAX(MAX(AX28,AZ28)*AQ28*X28^2*1E-4*DATOS!$C$83/100/1000,N(S28)),(AQ28*(AA28/100)^2/2+DATOS!$C$26*N(O28)*AA28/100)*DATOS!$C$83/100/1000+BD28))</f>
        <v/>
      </c>
      <c r="BH28" s="56" t="str">
        <f>IF(U28&lt;&gt;"SÍ","",IF(C28="PERIMETRAL",BC28*AQ28*X28^2*1E-4*DATOS!$C$83/100/1000,0))</f>
        <v/>
      </c>
      <c r="BI28" s="56" t="str">
        <f>IF(U28&lt;&gt;"SÍ","",IF(C28="PERIMETRAL",MAX(MAX(AY28,BA28)*AQ28*X28^2*1E-4*DATOS!$C$83/100/1000,N(T28)),0))</f>
        <v/>
      </c>
      <c r="BJ28" s="63" t="str">
        <f>IF(U28&lt;&gt;"SÍ","",IF(C28&lt;&gt;"PERIMETRAL","—",IF(AND(N(S28)=0,N(T28)=0),"— (sin M⁻ del vecino)",IF(OR(AND(N(S28)&gt;0,ABS(MAX(AX28,AZ28)*AQ28*X28^2*1E-4*DATOS!$C$83/100/1000-N(S28))&gt;0.5*MIN(MAX(AX28,AZ28)*AQ28*X28^2*1E-4*DATOS!$C$83/100/1000,N(S28))),AND(N(T28)&gt;0,ABS(MAX(AY28,BA28)*AQ28*X28^2*1E-4*DATOS!$C$83/100/1000-N(T28))&gt;0.5*MIN(MAX(AY28,BA28)*AQ28*X28^2*1E-4*DATOS!$C$83/100/1000,N(T28)))),"FUERA: difieren &gt; 50 %"&amp;IF(AND(N(S28)&gt;0,ABS(MAX(AX28,AZ28)*AQ28*X28^2*1E-4*DATOS!$C$83/100/1000-N(S28))&gt;0.5*MIN(MAX(AX28,AZ28)*AQ28*X28^2*1E-4*DATOS!$C$83/100/1000,N(S28)))," ‖ corto","")&amp;IF(AND(N(T28)&gt;0,ABS(MAX(AY28,BA28)*AQ28*X28^2*1E-4*DATOS!$C$83/100/1000-N(T28))&gt;0.5*MIN(MAX(AY28,BA28)*AQ28*X28^2*1E-4*DATOS!$C$83/100/1000,N(T28)))," ‖ largo",""),"CUMPLE"))))</f>
        <v/>
      </c>
      <c r="BK28" s="58" t="str">
        <f>IF(U28&lt;&gt;"SÍ","",(DATOS!$C$82-AJ28-INDEX(TABLAS!$C$52:$C$58,MATCH(DATOS!$C$68,TABLAS!$B$52:$B$58,0))/2))</f>
        <v/>
      </c>
      <c r="BL28" s="58" t="str">
        <f>IF(U28&lt;&gt;"SÍ","",IF(IF(BF28&lt;=0,0,IF((1-2*BF28*1E5/(DATOS!$C$29*AG28*BK28^2*DATOS!$C$21))&lt;0,-1,IF((1-SQRT((1-2*BF28*1E5/(DATOS!$C$29*AG28*BK28^2*DATOS!$C$21))))*DATOS!$C$21*AG28*BK28/DATOS!$C$14&gt;DATOS!$C$99*AG28*BK28,-1,(1-SQRT((1-2*BF28*1E5/(DATOS!$C$29*AG28*BK28^2*DATOS!$C$21))))*DATOS!$C$21*AG28*BK28/DATOS!$C$14)))&lt;0,-1,MAX(IF(BF28&lt;=0,0,IF((1-2*BF28*1E5/(DATOS!$C$29*AG28*BK28^2*DATOS!$C$21))&lt;0,-1,IF((1-SQRT((1-2*BF28*1E5/(DATOS!$C$29*AG28*BK28^2*DATOS!$C$21))))*DATOS!$C$21*AG28*BK28/DATOS!$C$14&gt;DATOS!$C$99*AG28*BK28,-1,(1-SQRT((1-2*BF28*1E5/(DATOS!$C$29*AG28*BK28^2*DATOS!$C$21))))*DATOS!$C$21*AG28*BK28/DATOS!$C$14))),MIN(DATOS!$C$100*AC28*BK28,4/3*IF(BF28&lt;=0,0,IF((1-2*BF28*1E5/(DATOS!$C$29*AG28*BK28^2*DATOS!$C$21))&lt;0,-1,IF((1-SQRT((1-2*BF28*1E5/(DATOS!$C$29*AG28*BK28^2*DATOS!$C$21))))*DATOS!$C$21*AG28*BK28/DATOS!$C$14&gt;DATOS!$C$99*AG28*BK28,-1,(1-SQRT((1-2*BF28*1E5/(DATOS!$C$29*AG28*BK28^2*DATOS!$C$21))))*DATOS!$C$21*AG28*BK28/DATOS!$C$14)))))))</f>
        <v/>
      </c>
      <c r="BM28" s="64" t="str">
        <f>IF(U28&lt;&gt;"SÍ","",IF(AND(BL28&gt;=0,IF(MAX(DATOS!$C$71,CEILING(BL28/INDEX(TABLAS!$D$52:$D$58,MIN(MATCH(DATOS!$C$68,TABLAS!$B$52:$B$58,0)+0,7)),1))*INDEX(TABLAS!$D$52:$D$58,MIN(MATCH(DATOS!$C$68,TABLAS!$B$52:$B$58,0)+0,7))&gt;=4/3*IF(BF28&lt;=0,0,IF((1-2*BF28*1E5/(DATOS!$C$29*AG28*BK28^2*DATOS!$C$21))&lt;0,-1,IF((1-SQRT((1-2*BF28*1E5/(DATOS!$C$29*AG28*BK28^2*DATOS!$C$21))))*DATOS!$C$21*AG28*BK28/DATOS!$C$14&gt;DATOS!$C$99*AG28*BK28,-1,(1-SQRT((1-2*BF28*1E5/(DATOS!$C$29*AG28*BK28^2*DATOS!$C$21))))*DATOS!$C$21*AG28*BK28/DATOS!$C$14)))-0.0001,MAX(DATOS!$C$71,CEILING(BL28/INDEX(TABLAS!$D$52:$D$58,MIN(MATCH(DATOS!$C$68,TABLAS!$B$52:$B$58,0)+0,7)),1)),MAX(MAX(DATOS!$C$71,CEILING(BL28/INDEX(TABLAS!$D$52:$D$58,MIN(MATCH(DATOS!$C$68,TABLAS!$B$52:$B$58,0)+0,7)),1)),2))&lt;=MIN(DATOS!$C$70,INT(((AC28-2*AJ28)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28&gt;=0,IF(MAX(DATOS!$C$71,CEILING(BL28/INDEX(TABLAS!$D$52:$D$58,MIN(MATCH(DATOS!$C$68,TABLAS!$B$52:$B$58,0)+1,7)),1))*INDEX(TABLAS!$D$52:$D$58,MIN(MATCH(DATOS!$C$68,TABLAS!$B$52:$B$58,0)+1,7))&gt;=4/3*IF(BF28&lt;=0,0,IF((1-2*BF28*1E5/(DATOS!$C$29*AG28*BK28^2*DATOS!$C$21))&lt;0,-1,IF((1-SQRT((1-2*BF28*1E5/(DATOS!$C$29*AG28*BK28^2*DATOS!$C$21))))*DATOS!$C$21*AG28*BK28/DATOS!$C$14&gt;DATOS!$C$99*AG28*BK28,-1,(1-SQRT((1-2*BF28*1E5/(DATOS!$C$29*AG28*BK28^2*DATOS!$C$21))))*DATOS!$C$21*AG28*BK28/DATOS!$C$14)))-0.0001,MAX(DATOS!$C$71,CEILING(BL28/INDEX(TABLAS!$D$52:$D$58,MIN(MATCH(DATOS!$C$68,TABLAS!$B$52:$B$58,0)+1,7)),1)),MAX(MAX(DATOS!$C$71,CEILING(BL28/INDEX(TABLAS!$D$52:$D$58,MIN(MATCH(DATOS!$C$68,TABLAS!$B$52:$B$58,0)+1,7)),1)),2))&lt;=MIN(DATOS!$C$70,INT(((AC28-2*AJ28)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28&gt;=0,IF(MAX(DATOS!$C$71,CEILING(BL28/INDEX(TABLAS!$D$52:$D$58,MIN(MATCH(DATOS!$C$68,TABLAS!$B$52:$B$58,0)+2,7)),1))*INDEX(TABLAS!$D$52:$D$58,MIN(MATCH(DATOS!$C$68,TABLAS!$B$52:$B$58,0)+2,7))&gt;=4/3*IF(BF28&lt;=0,0,IF((1-2*BF28*1E5/(DATOS!$C$29*AG28*BK28^2*DATOS!$C$21))&lt;0,-1,IF((1-SQRT((1-2*BF28*1E5/(DATOS!$C$29*AG28*BK28^2*DATOS!$C$21))))*DATOS!$C$21*AG28*BK28/DATOS!$C$14&gt;DATOS!$C$99*AG28*BK28,-1,(1-SQRT((1-2*BF28*1E5/(DATOS!$C$29*AG28*BK28^2*DATOS!$C$21))))*DATOS!$C$21*AG28*BK28/DATOS!$C$14)))-0.0001,MAX(DATOS!$C$71,CEILING(BL28/INDEX(TABLAS!$D$52:$D$58,MIN(MATCH(DATOS!$C$68,TABLAS!$B$52:$B$58,0)+2,7)),1)),MAX(MAX(DATOS!$C$71,CEILING(BL28/INDEX(TABLAS!$D$52:$D$58,MIN(MATCH(DATOS!$C$68,TABLAS!$B$52:$B$58,0)+2,7)),1)),2))&lt;=MIN(DATOS!$C$70,INT(((AC28-2*AJ28)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28&gt;=0,IF(MAX(DATOS!$C$71,CEILING(BL28/INDEX(TABLAS!$D$52:$D$58,MIN(MATCH(DATOS!$C$68,TABLAS!$B$52:$B$58,0)+3,7)),1))*INDEX(TABLAS!$D$52:$D$58,MIN(MATCH(DATOS!$C$68,TABLAS!$B$52:$B$58,0)+3,7))&gt;=4/3*IF(BF28&lt;=0,0,IF((1-2*BF28*1E5/(DATOS!$C$29*AG28*BK28^2*DATOS!$C$21))&lt;0,-1,IF((1-SQRT((1-2*BF28*1E5/(DATOS!$C$29*AG28*BK28^2*DATOS!$C$21))))*DATOS!$C$21*AG28*BK28/DATOS!$C$14&gt;DATOS!$C$99*AG28*BK28,-1,(1-SQRT((1-2*BF28*1E5/(DATOS!$C$29*AG28*BK28^2*DATOS!$C$21))))*DATOS!$C$21*AG28*BK28/DATOS!$C$14)))-0.0001,MAX(DATOS!$C$71,CEILING(BL28/INDEX(TABLAS!$D$52:$D$58,MIN(MATCH(DATOS!$C$68,TABLAS!$B$52:$B$58,0)+3,7)),1)),MAX(MAX(DATOS!$C$71,CEILING(BL28/INDEX(TABLAS!$D$52:$D$58,MIN(MATCH(DATOS!$C$68,TABLAS!$B$52:$B$58,0)+3,7)),1)),2))&lt;=MIN(DATOS!$C$70,INT(((AC28-2*AJ28)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28&gt;=0,IF(MAX(DATOS!$C$71,CEILING(BL28/INDEX(TABLAS!$D$52:$D$58,MIN(MATCH(DATOS!$C$68,TABLAS!$B$52:$B$58,0)+4,7)),1))*INDEX(TABLAS!$D$52:$D$58,MIN(MATCH(DATOS!$C$68,TABLAS!$B$52:$B$58,0)+4,7))&gt;=4/3*IF(BF28&lt;=0,0,IF((1-2*BF28*1E5/(DATOS!$C$29*AG28*BK28^2*DATOS!$C$21))&lt;0,-1,IF((1-SQRT((1-2*BF28*1E5/(DATOS!$C$29*AG28*BK28^2*DATOS!$C$21))))*DATOS!$C$21*AG28*BK28/DATOS!$C$14&gt;DATOS!$C$99*AG28*BK28,-1,(1-SQRT((1-2*BF28*1E5/(DATOS!$C$29*AG28*BK28^2*DATOS!$C$21))))*DATOS!$C$21*AG28*BK28/DATOS!$C$14)))-0.0001,MAX(DATOS!$C$71,CEILING(BL28/INDEX(TABLAS!$D$52:$D$58,MIN(MATCH(DATOS!$C$68,TABLAS!$B$52:$B$58,0)+4,7)),1)),MAX(MAX(DATOS!$C$71,CEILING(BL28/INDEX(TABLAS!$D$52:$D$58,MIN(MATCH(DATOS!$C$68,TABLAS!$B$52:$B$58,0)+4,7)),1)),2))&lt;=MIN(DATOS!$C$70,INT(((AC28-2*AJ28)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28" s="59" t="str">
        <f>IF(U28&lt;&gt;"SÍ","",IF(BL28&lt;0,0,IF(MAX(DATOS!$C$71,CEILING(MAX(BL28,0)/INDEX(TABLAS!$D$52:$D$58,MATCH(BM28,TABLAS!$B$52:$B$58,0)),1))*INDEX(TABLAS!$D$52:$D$58,MATCH(BM28,TABLAS!$B$52:$B$58,0))&gt;=4/3*IF(BF28&lt;=0,0,IF((1-2*BF28*1E5/(DATOS!$C$29*AG28*BK28^2*DATOS!$C$21))&lt;0,-1,IF((1-SQRT((1-2*BF28*1E5/(DATOS!$C$29*AG28*BK28^2*DATOS!$C$21))))*DATOS!$C$21*AG28*BK28/DATOS!$C$14&gt;DATOS!$C$99*AG28*BK28,-1,(1-SQRT((1-2*BF28*1E5/(DATOS!$C$29*AG28*BK28^2*DATOS!$C$21))))*DATOS!$C$21*AG28*BK28/DATOS!$C$14)))-0.0001,MAX(DATOS!$C$71,CEILING(MAX(BL28,0)/INDEX(TABLAS!$D$52:$D$58,MATCH(BM28,TABLAS!$B$52:$B$58,0)),1)),MAX(MAX(DATOS!$C$71,CEILING(MAX(BL28,0)/INDEX(TABLAS!$D$52:$D$58,MATCH(BM28,TABLAS!$B$52:$B$58,0)),1)),2))))</f>
        <v/>
      </c>
      <c r="BO28" s="58" t="str">
        <f>IF(U28&lt;&gt;"SÍ","",DATOS!$C$82-AJ28-INDEX(TABLAS!$C$52:$C$58,MATCH(BM28,TABLAS!$B$52:$B$58,0))/2)</f>
        <v/>
      </c>
      <c r="BP28" s="56" t="str">
        <f>IF(U28&lt;&gt;"SÍ","",IF(BN28=0,0,DATOS!$C$29*BN28*INDEX(TABLAS!$D$52:$D$58,MATCH(BM28,TABLAS!$B$52:$B$58,0))*DATOS!$C$14*(BO28-BN28*INDEX(TABLAS!$D$52:$D$58,MATCH(BM28,TABLAS!$B$52:$B$58,0))*DATOS!$C$14/(DATOS!$C$21*AG28)/2)/1E5))</f>
        <v/>
      </c>
      <c r="BQ28" s="65" t="str">
        <f>IF(U28&lt;&gt;"SÍ","",IF(BL28&lt;0,9.99,IF(BP28&gt;0,BF28/BP28,0)))</f>
        <v/>
      </c>
      <c r="BR28" s="66" t="str">
        <f>IF(U28&lt;&gt;"SÍ","",IF(BN28=0,"—",0.003*(BO28-(BN28*INDEX(TABLAS!$D$52:$D$58,MATCH(BM28,TABLAS!$B$52:$B$58,0))*DATOS!$C$14/(DATOS!$C$21*AG28)/DATOS!$C$22))/(BN28*INDEX(TABLAS!$D$52:$D$58,MATCH(BM28,TABLAS!$B$52:$B$58,0))*DATOS!$C$14/(DATOS!$C$21*AG28)/DATOS!$C$22)))</f>
        <v/>
      </c>
      <c r="BS28" s="58" t="str">
        <f>IF(U28&lt;&gt;"SÍ","",((DATOS!$C$82-AL28-2*DATOS!$C$94-INDEX(TABLAS!$C$52:$C$58,MATCH(DATOS!$C$69,TABLAS!$B$52:$B$58,0))/2)-IF(AND((DATOS!$C$82-AL28-2*DATOS!$C$94-INDEX(TABLAS!$C$52:$C$58,MATCH(DATOS!$C$69,TABLAS!$B$52:$B$58,0))/2)&lt;=20,DATOS!$C$62&lt;&gt;"SÍ"),2,0)))</f>
        <v/>
      </c>
      <c r="BT28" s="58" t="str">
        <f>IF(U28&lt;&gt;"SÍ","",IF(IF(BG28&lt;=0,0,IF((1-2*BG28*1E5/(DATOS!$C$29*AE28*BS28^2*DATOS!$C$21))&lt;0,-1,IF((1-SQRT((1-2*BG28*1E5/(DATOS!$C$29*AE28*BS28^2*DATOS!$C$21))))*DATOS!$C$21*AE28*BS28/DATOS!$C$14&gt;DATOS!$C$99*AE28*BS28,-1,(1-SQRT((1-2*BG28*1E5/(DATOS!$C$29*AE28*BS28^2*DATOS!$C$21))))*DATOS!$C$21*AE28*BS28/DATOS!$C$14)))&lt;0,-1,MAX(IF(BG28&lt;=0,0,IF((1-2*BG28*1E5/(DATOS!$C$29*AE28*BS28^2*DATOS!$C$21))&lt;0,-1,IF((1-SQRT((1-2*BG28*1E5/(DATOS!$C$29*AE28*BS28^2*DATOS!$C$21))))*DATOS!$C$21*AE28*BS28/DATOS!$C$14&gt;DATOS!$C$99*AE28*BS28,-1,(1-SQRT((1-2*BG28*1E5/(DATOS!$C$29*AE28*BS28^2*DATOS!$C$21))))*DATOS!$C$21*AE28*BS28/DATOS!$C$14))),MIN(DATOS!$C$100*IF(C28="VOLADO",MIN(AG28,2*AC28),AC28)*BS28,4/3*IF(BG28&lt;=0,0,IF((1-2*BG28*1E5/(DATOS!$C$29*AE28*BS28^2*DATOS!$C$21))&lt;0,-1,IF((1-SQRT((1-2*BG28*1E5/(DATOS!$C$29*AE28*BS28^2*DATOS!$C$21))))*DATOS!$C$21*AE28*BS28/DATOS!$C$14&gt;DATOS!$C$99*AE28*BS28,-1,(1-SQRT((1-2*BG28*1E5/(DATOS!$C$29*AE28*BS28^2*DATOS!$C$21))))*DATOS!$C$21*AE28*BS28/DATOS!$C$14)))))))</f>
        <v/>
      </c>
      <c r="BU28" s="64" t="str">
        <f>IF(U28&lt;&gt;"SÍ","",IF(AND(BT28&gt;=0,IF(MAX(DATOS!$C$71,CEILING(BT28/INDEX(TABLAS!$D$52:$D$58,MIN(MATCH(DATOS!$C$69,TABLAS!$B$52:$B$58,0)+0,7)),1))*INDEX(TABLAS!$D$52:$D$58,MIN(MATCH(DATOS!$C$69,TABLAS!$B$52:$B$58,0)+0,7))&gt;=4/3*IF(BG28&lt;=0,0,IF((1-2*BG28*1E5/(DATOS!$C$29*AE28*BS28^2*DATOS!$C$21))&lt;0,-1,IF((1-SQRT((1-2*BG28*1E5/(DATOS!$C$29*AE28*BS28^2*DATOS!$C$21))))*DATOS!$C$21*AE28*BS28/DATOS!$C$14&gt;DATOS!$C$99*AE28*BS28,-1,(1-SQRT((1-2*BG28*1E5/(DATOS!$C$29*AE28*BS28^2*DATOS!$C$21))))*DATOS!$C$21*AE28*BS28/DATOS!$C$14)))-0.0001,MAX(DATOS!$C$71,CEILING(BT28/INDEX(TABLAS!$D$52:$D$58,MIN(MATCH(DATOS!$C$69,TABLAS!$B$52:$B$58,0)+0,7)),1)),MAX(MAX(DATOS!$C$71,CEILING(BT28/INDEX(TABLAS!$D$52:$D$58,MIN(MATCH(DATOS!$C$69,TABLAS!$B$52:$B$58,0)+0,7)),1)),2))&lt;=MIN(DATOS!$C$70,INT(((AC28-2*AK28)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28&gt;=0,IF(MAX(DATOS!$C$71,CEILING(BT28/INDEX(TABLAS!$D$52:$D$58,MIN(MATCH(DATOS!$C$69,TABLAS!$B$52:$B$58,0)+1,7)),1))*INDEX(TABLAS!$D$52:$D$58,MIN(MATCH(DATOS!$C$69,TABLAS!$B$52:$B$58,0)+1,7))&gt;=4/3*IF(BG28&lt;=0,0,IF((1-2*BG28*1E5/(DATOS!$C$29*AE28*BS28^2*DATOS!$C$21))&lt;0,-1,IF((1-SQRT((1-2*BG28*1E5/(DATOS!$C$29*AE28*BS28^2*DATOS!$C$21))))*DATOS!$C$21*AE28*BS28/DATOS!$C$14&gt;DATOS!$C$99*AE28*BS28,-1,(1-SQRT((1-2*BG28*1E5/(DATOS!$C$29*AE28*BS28^2*DATOS!$C$21))))*DATOS!$C$21*AE28*BS28/DATOS!$C$14)))-0.0001,MAX(DATOS!$C$71,CEILING(BT28/INDEX(TABLAS!$D$52:$D$58,MIN(MATCH(DATOS!$C$69,TABLAS!$B$52:$B$58,0)+1,7)),1)),MAX(MAX(DATOS!$C$71,CEILING(BT28/INDEX(TABLAS!$D$52:$D$58,MIN(MATCH(DATOS!$C$69,TABLAS!$B$52:$B$58,0)+1,7)),1)),2))&lt;=MIN(DATOS!$C$70,INT(((AC28-2*AK28)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28&gt;=0,IF(MAX(DATOS!$C$71,CEILING(BT28/INDEX(TABLAS!$D$52:$D$58,MIN(MATCH(DATOS!$C$69,TABLAS!$B$52:$B$58,0)+2,7)),1))*INDEX(TABLAS!$D$52:$D$58,MIN(MATCH(DATOS!$C$69,TABLAS!$B$52:$B$58,0)+2,7))&gt;=4/3*IF(BG28&lt;=0,0,IF((1-2*BG28*1E5/(DATOS!$C$29*AE28*BS28^2*DATOS!$C$21))&lt;0,-1,IF((1-SQRT((1-2*BG28*1E5/(DATOS!$C$29*AE28*BS28^2*DATOS!$C$21))))*DATOS!$C$21*AE28*BS28/DATOS!$C$14&gt;DATOS!$C$99*AE28*BS28,-1,(1-SQRT((1-2*BG28*1E5/(DATOS!$C$29*AE28*BS28^2*DATOS!$C$21))))*DATOS!$C$21*AE28*BS28/DATOS!$C$14)))-0.0001,MAX(DATOS!$C$71,CEILING(BT28/INDEX(TABLAS!$D$52:$D$58,MIN(MATCH(DATOS!$C$69,TABLAS!$B$52:$B$58,0)+2,7)),1)),MAX(MAX(DATOS!$C$71,CEILING(BT28/INDEX(TABLAS!$D$52:$D$58,MIN(MATCH(DATOS!$C$69,TABLAS!$B$52:$B$58,0)+2,7)),1)),2))&lt;=MIN(DATOS!$C$70,INT(((AC28-2*AK28)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28&gt;=0,IF(MAX(DATOS!$C$71,CEILING(BT28/INDEX(TABLAS!$D$52:$D$58,MIN(MATCH(DATOS!$C$69,TABLAS!$B$52:$B$58,0)+3,7)),1))*INDEX(TABLAS!$D$52:$D$58,MIN(MATCH(DATOS!$C$69,TABLAS!$B$52:$B$58,0)+3,7))&gt;=4/3*IF(BG28&lt;=0,0,IF((1-2*BG28*1E5/(DATOS!$C$29*AE28*BS28^2*DATOS!$C$21))&lt;0,-1,IF((1-SQRT((1-2*BG28*1E5/(DATOS!$C$29*AE28*BS28^2*DATOS!$C$21))))*DATOS!$C$21*AE28*BS28/DATOS!$C$14&gt;DATOS!$C$99*AE28*BS28,-1,(1-SQRT((1-2*BG28*1E5/(DATOS!$C$29*AE28*BS28^2*DATOS!$C$21))))*DATOS!$C$21*AE28*BS28/DATOS!$C$14)))-0.0001,MAX(DATOS!$C$71,CEILING(BT28/INDEX(TABLAS!$D$52:$D$58,MIN(MATCH(DATOS!$C$69,TABLAS!$B$52:$B$58,0)+3,7)),1)),MAX(MAX(DATOS!$C$71,CEILING(BT28/INDEX(TABLAS!$D$52:$D$58,MIN(MATCH(DATOS!$C$69,TABLAS!$B$52:$B$58,0)+3,7)),1)),2))&lt;=MIN(DATOS!$C$70,INT(((AC28-2*AK28)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28&gt;=0,IF(MAX(DATOS!$C$71,CEILING(BT28/INDEX(TABLAS!$D$52:$D$58,MIN(MATCH(DATOS!$C$69,TABLAS!$B$52:$B$58,0)+4,7)),1))*INDEX(TABLAS!$D$52:$D$58,MIN(MATCH(DATOS!$C$69,TABLAS!$B$52:$B$58,0)+4,7))&gt;=4/3*IF(BG28&lt;=0,0,IF((1-2*BG28*1E5/(DATOS!$C$29*AE28*BS28^2*DATOS!$C$21))&lt;0,-1,IF((1-SQRT((1-2*BG28*1E5/(DATOS!$C$29*AE28*BS28^2*DATOS!$C$21))))*DATOS!$C$21*AE28*BS28/DATOS!$C$14&gt;DATOS!$C$99*AE28*BS28,-1,(1-SQRT((1-2*BG28*1E5/(DATOS!$C$29*AE28*BS28^2*DATOS!$C$21))))*DATOS!$C$21*AE28*BS28/DATOS!$C$14)))-0.0001,MAX(DATOS!$C$71,CEILING(BT28/INDEX(TABLAS!$D$52:$D$58,MIN(MATCH(DATOS!$C$69,TABLAS!$B$52:$B$58,0)+4,7)),1)),MAX(MAX(DATOS!$C$71,CEILING(BT28/INDEX(TABLAS!$D$52:$D$58,MIN(MATCH(DATOS!$C$69,TABLAS!$B$52:$B$58,0)+4,7)),1)),2))&lt;=MIN(DATOS!$C$70,INT(((AC28-2*AK28)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28" s="59" t="str">
        <f>IF(U28&lt;&gt;"SÍ","",IF(BT28&lt;0,0,IF(MAX(DATOS!$C$71,CEILING(MAX(BT28,0)/INDEX(TABLAS!$D$52:$D$58,MATCH(BU28,TABLAS!$B$52:$B$58,0)),1))*INDEX(TABLAS!$D$52:$D$58,MATCH(BU28,TABLAS!$B$52:$B$58,0))&gt;=4/3*IF(BG28&lt;=0,0,IF((1-2*BG28*1E5/(DATOS!$C$29*AE28*BS28^2*DATOS!$C$21))&lt;0,-1,IF((1-SQRT((1-2*BG28*1E5/(DATOS!$C$29*AE28*BS28^2*DATOS!$C$21))))*DATOS!$C$21*AE28*BS28/DATOS!$C$14&gt;DATOS!$C$99*AE28*BS28,-1,(1-SQRT((1-2*BG28*1E5/(DATOS!$C$29*AE28*BS28^2*DATOS!$C$21))))*DATOS!$C$21*AE28*BS28/DATOS!$C$14)))-0.0001,MAX(DATOS!$C$71,CEILING(MAX(BT28,0)/INDEX(TABLAS!$D$52:$D$58,MATCH(BU28,TABLAS!$B$52:$B$58,0)),1)),MAX(MAX(DATOS!$C$71,CEILING(MAX(BT28,0)/INDEX(TABLAS!$D$52:$D$58,MATCH(BU28,TABLAS!$B$52:$B$58,0)),1)),2))))</f>
        <v/>
      </c>
      <c r="BW28" s="58" t="str">
        <f>IF(U28&lt;&gt;"SÍ","",((DATOS!$C$82-AL28-2*DATOS!$C$94-INDEX(TABLAS!$C$52:$C$58,MATCH(BU28,TABLAS!$B$52:$B$58,0))/2)-IF(AND((DATOS!$C$82-AL28-2*DATOS!$C$94-INDEX(TABLAS!$C$52:$C$58,MATCH(BU28,TABLAS!$B$52:$B$58,0))/2)&lt;=20,DATOS!$C$62&lt;&gt;"SÍ"),2,0)))</f>
        <v/>
      </c>
      <c r="BX28" s="56" t="str">
        <f>IF(U28&lt;&gt;"SÍ","",IF(BV28=0,0,DATOS!$C$29*BV28*INDEX(TABLAS!$D$52:$D$58,MATCH(BU28,TABLAS!$B$52:$B$58,0))*DATOS!$C$14*(BW28-BV28*INDEX(TABLAS!$D$52:$D$58,MATCH(BU28,TABLAS!$B$52:$B$58,0))*DATOS!$C$14/(DATOS!$C$21*AE28)/2)/1E5))</f>
        <v/>
      </c>
      <c r="BY28" s="65" t="str">
        <f>IF(U28&lt;&gt;"SÍ","",IF(BT28&lt;0,9.99,IF(BX28&gt;0,BG28/BX28,0)))</f>
        <v/>
      </c>
      <c r="BZ28" s="66" t="str">
        <f>IF(U28&lt;&gt;"SÍ","",IF(BV28=0,"—",0.003*(BW28-(BV28*INDEX(TABLAS!$D$52:$D$58,MATCH(BU28,TABLAS!$B$52:$B$58,0))*DATOS!$C$14/(DATOS!$C$21*AE28)/DATOS!$C$22))/(BV28*INDEX(TABLAS!$D$52:$D$58,MATCH(BU28,TABLAS!$B$52:$B$58,0))*DATOS!$C$14/(DATOS!$C$21*AE28)/DATOS!$C$22)))</f>
        <v/>
      </c>
      <c r="CA28" s="58" t="str">
        <f>IF(U28&lt;&gt;"SÍ","",(DATOS!$C$82-AJ28-INDEX(TABLAS!$C$52:$C$58,MATCH(DATOS!$C$68,TABLAS!$B$52:$B$58,0))-INDEX(TABLAS!$C$52:$C$58,MATCH(DATOS!$C$68,TABLAS!$B$52:$B$58,0))/2))</f>
        <v/>
      </c>
      <c r="CB28" s="58" t="str">
        <f>IF(U28&lt;&gt;"SÍ","",IF(IF(BH28&lt;=0,0,IF((1-2*BH28*1E5/(DATOS!$C$29*AH28*CA28^2*DATOS!$C$21))&lt;0,-1,IF((1-SQRT((1-2*BH28*1E5/(DATOS!$C$29*AH28*CA28^2*DATOS!$C$21))))*DATOS!$C$21*AH28*CA28/DATOS!$C$14&gt;DATOS!$C$99*AH28*CA28,-1,(1-SQRT((1-2*BH28*1E5/(DATOS!$C$29*AH28*CA28^2*DATOS!$C$21))))*DATOS!$C$21*AH28*CA28/DATOS!$C$14)))&lt;0,-1,MAX(IF(BH28&lt;=0,0,IF((1-2*BH28*1E5/(DATOS!$C$29*AH28*CA28^2*DATOS!$C$21))&lt;0,-1,IF((1-SQRT((1-2*BH28*1E5/(DATOS!$C$29*AH28*CA28^2*DATOS!$C$21))))*DATOS!$C$21*AH28*CA28/DATOS!$C$14&gt;DATOS!$C$99*AH28*CA28,-1,(1-SQRT((1-2*BH28*1E5/(DATOS!$C$29*AH28*CA28^2*DATOS!$C$21))))*DATOS!$C$21*AH28*CA28/DATOS!$C$14))),MIN(DATOS!$C$100*DATOS!$C$80*CA28,4/3*IF(BH28&lt;=0,0,IF((1-2*BH28*1E5/(DATOS!$C$29*AH28*CA28^2*DATOS!$C$21))&lt;0,-1,IF((1-SQRT((1-2*BH28*1E5/(DATOS!$C$29*AH28*CA28^2*DATOS!$C$21))))*DATOS!$C$21*AH28*CA28/DATOS!$C$14&gt;DATOS!$C$99*AH28*CA28,-1,(1-SQRT((1-2*BH28*1E5/(DATOS!$C$29*AH28*CA28^2*DATOS!$C$21))))*DATOS!$C$21*AH28*CA28/DATOS!$C$14)))))))</f>
        <v/>
      </c>
      <c r="CC28" s="64" t="str">
        <f>IF(U28&lt;&gt;"SÍ","",IF(AND(CB28&gt;=0,IF(MAX(DATOS!$C$71,CEILING(CB28/INDEX(TABLAS!$D$52:$D$58,MIN(MATCH(DATOS!$C$68,TABLAS!$B$52:$B$58,0)+0,7)),1))*INDEX(TABLAS!$D$52:$D$58,MIN(MATCH(DATOS!$C$68,TABLAS!$B$52:$B$58,0)+0,7))&gt;=4/3*IF(BH28&lt;=0,0,IF((1-2*BH28*1E5/(DATOS!$C$29*AH28*CA28^2*DATOS!$C$21))&lt;0,-1,IF((1-SQRT((1-2*BH28*1E5/(DATOS!$C$29*AH28*CA28^2*DATOS!$C$21))))*DATOS!$C$21*AH28*CA28/DATOS!$C$14&gt;DATOS!$C$99*AH28*CA28,-1,(1-SQRT((1-2*BH28*1E5/(DATOS!$C$29*AH28*CA28^2*DATOS!$C$21))))*DATOS!$C$21*AH28*CA28/DATOS!$C$14)))-0.0001,MAX(DATOS!$C$71,CEILING(CB28/INDEX(TABLAS!$D$52:$D$58,MIN(MATCH(DATOS!$C$68,TABLAS!$B$52:$B$58,0)+0,7)),1)),MAX(MAX(DATOS!$C$71,CEILING(CB28/INDEX(TABLAS!$D$52:$D$58,MIN(MATCH(DATOS!$C$68,TABLAS!$B$52:$B$58,0)+0,7)),1)),2))&lt;=MIN(DATOS!$C$70,INT(((DATOS!$C$80-2*AJ28)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28&gt;=0,IF(MAX(DATOS!$C$71,CEILING(CB28/INDEX(TABLAS!$D$52:$D$58,MIN(MATCH(DATOS!$C$68,TABLAS!$B$52:$B$58,0)+1,7)),1))*INDEX(TABLAS!$D$52:$D$58,MIN(MATCH(DATOS!$C$68,TABLAS!$B$52:$B$58,0)+1,7))&gt;=4/3*IF(BH28&lt;=0,0,IF((1-2*BH28*1E5/(DATOS!$C$29*AH28*CA28^2*DATOS!$C$21))&lt;0,-1,IF((1-SQRT((1-2*BH28*1E5/(DATOS!$C$29*AH28*CA28^2*DATOS!$C$21))))*DATOS!$C$21*AH28*CA28/DATOS!$C$14&gt;DATOS!$C$99*AH28*CA28,-1,(1-SQRT((1-2*BH28*1E5/(DATOS!$C$29*AH28*CA28^2*DATOS!$C$21))))*DATOS!$C$21*AH28*CA28/DATOS!$C$14)))-0.0001,MAX(DATOS!$C$71,CEILING(CB28/INDEX(TABLAS!$D$52:$D$58,MIN(MATCH(DATOS!$C$68,TABLAS!$B$52:$B$58,0)+1,7)),1)),MAX(MAX(DATOS!$C$71,CEILING(CB28/INDEX(TABLAS!$D$52:$D$58,MIN(MATCH(DATOS!$C$68,TABLAS!$B$52:$B$58,0)+1,7)),1)),2))&lt;=MIN(DATOS!$C$70,INT(((DATOS!$C$80-2*AJ28)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28&gt;=0,IF(MAX(DATOS!$C$71,CEILING(CB28/INDEX(TABLAS!$D$52:$D$58,MIN(MATCH(DATOS!$C$68,TABLAS!$B$52:$B$58,0)+2,7)),1))*INDEX(TABLAS!$D$52:$D$58,MIN(MATCH(DATOS!$C$68,TABLAS!$B$52:$B$58,0)+2,7))&gt;=4/3*IF(BH28&lt;=0,0,IF((1-2*BH28*1E5/(DATOS!$C$29*AH28*CA28^2*DATOS!$C$21))&lt;0,-1,IF((1-SQRT((1-2*BH28*1E5/(DATOS!$C$29*AH28*CA28^2*DATOS!$C$21))))*DATOS!$C$21*AH28*CA28/DATOS!$C$14&gt;DATOS!$C$99*AH28*CA28,-1,(1-SQRT((1-2*BH28*1E5/(DATOS!$C$29*AH28*CA28^2*DATOS!$C$21))))*DATOS!$C$21*AH28*CA28/DATOS!$C$14)))-0.0001,MAX(DATOS!$C$71,CEILING(CB28/INDEX(TABLAS!$D$52:$D$58,MIN(MATCH(DATOS!$C$68,TABLAS!$B$52:$B$58,0)+2,7)),1)),MAX(MAX(DATOS!$C$71,CEILING(CB28/INDEX(TABLAS!$D$52:$D$58,MIN(MATCH(DATOS!$C$68,TABLAS!$B$52:$B$58,0)+2,7)),1)),2))&lt;=MIN(DATOS!$C$70,INT(((DATOS!$C$80-2*AJ28)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28&gt;=0,IF(MAX(DATOS!$C$71,CEILING(CB28/INDEX(TABLAS!$D$52:$D$58,MIN(MATCH(DATOS!$C$68,TABLAS!$B$52:$B$58,0)+3,7)),1))*INDEX(TABLAS!$D$52:$D$58,MIN(MATCH(DATOS!$C$68,TABLAS!$B$52:$B$58,0)+3,7))&gt;=4/3*IF(BH28&lt;=0,0,IF((1-2*BH28*1E5/(DATOS!$C$29*AH28*CA28^2*DATOS!$C$21))&lt;0,-1,IF((1-SQRT((1-2*BH28*1E5/(DATOS!$C$29*AH28*CA28^2*DATOS!$C$21))))*DATOS!$C$21*AH28*CA28/DATOS!$C$14&gt;DATOS!$C$99*AH28*CA28,-1,(1-SQRT((1-2*BH28*1E5/(DATOS!$C$29*AH28*CA28^2*DATOS!$C$21))))*DATOS!$C$21*AH28*CA28/DATOS!$C$14)))-0.0001,MAX(DATOS!$C$71,CEILING(CB28/INDEX(TABLAS!$D$52:$D$58,MIN(MATCH(DATOS!$C$68,TABLAS!$B$52:$B$58,0)+3,7)),1)),MAX(MAX(DATOS!$C$71,CEILING(CB28/INDEX(TABLAS!$D$52:$D$58,MIN(MATCH(DATOS!$C$68,TABLAS!$B$52:$B$58,0)+3,7)),1)),2))&lt;=MIN(DATOS!$C$70,INT(((DATOS!$C$80-2*AJ28)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28&gt;=0,IF(MAX(DATOS!$C$71,CEILING(CB28/INDEX(TABLAS!$D$52:$D$58,MIN(MATCH(DATOS!$C$68,TABLAS!$B$52:$B$58,0)+4,7)),1))*INDEX(TABLAS!$D$52:$D$58,MIN(MATCH(DATOS!$C$68,TABLAS!$B$52:$B$58,0)+4,7))&gt;=4/3*IF(BH28&lt;=0,0,IF((1-2*BH28*1E5/(DATOS!$C$29*AH28*CA28^2*DATOS!$C$21))&lt;0,-1,IF((1-SQRT((1-2*BH28*1E5/(DATOS!$C$29*AH28*CA28^2*DATOS!$C$21))))*DATOS!$C$21*AH28*CA28/DATOS!$C$14&gt;DATOS!$C$99*AH28*CA28,-1,(1-SQRT((1-2*BH28*1E5/(DATOS!$C$29*AH28*CA28^2*DATOS!$C$21))))*DATOS!$C$21*AH28*CA28/DATOS!$C$14)))-0.0001,MAX(DATOS!$C$71,CEILING(CB28/INDEX(TABLAS!$D$52:$D$58,MIN(MATCH(DATOS!$C$68,TABLAS!$B$52:$B$58,0)+4,7)),1)),MAX(MAX(DATOS!$C$71,CEILING(CB28/INDEX(TABLAS!$D$52:$D$58,MIN(MATCH(DATOS!$C$68,TABLAS!$B$52:$B$58,0)+4,7)),1)),2))&lt;=MIN(DATOS!$C$70,INT(((DATOS!$C$80-2*AJ28)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28" s="59" t="str">
        <f>IF(U28&lt;&gt;"SÍ","",IF(CB28&lt;0,0,IF(MAX(DATOS!$C$71,CEILING(MAX(CB28,0)/INDEX(TABLAS!$D$52:$D$58,MATCH(CC28,TABLAS!$B$52:$B$58,0)),1))*INDEX(TABLAS!$D$52:$D$58,MATCH(CC28,TABLAS!$B$52:$B$58,0))&gt;=4/3*IF(BH28&lt;=0,0,IF((1-2*BH28*1E5/(DATOS!$C$29*AH28*CA28^2*DATOS!$C$21))&lt;0,-1,IF((1-SQRT((1-2*BH28*1E5/(DATOS!$C$29*AH28*CA28^2*DATOS!$C$21))))*DATOS!$C$21*AH28*CA28/DATOS!$C$14&gt;DATOS!$C$99*AH28*CA28,-1,(1-SQRT((1-2*BH28*1E5/(DATOS!$C$29*AH28*CA28^2*DATOS!$C$21))))*DATOS!$C$21*AH28*CA28/DATOS!$C$14)))-0.0001,MAX(DATOS!$C$71,CEILING(MAX(CB28,0)/INDEX(TABLAS!$D$52:$D$58,MATCH(CC28,TABLAS!$B$52:$B$58,0)),1)),MAX(MAX(DATOS!$C$71,CEILING(MAX(CB28,0)/INDEX(TABLAS!$D$52:$D$58,MATCH(CC28,TABLAS!$B$52:$B$58,0)),1)),2))))</f>
        <v/>
      </c>
      <c r="CE28" s="58" t="str">
        <f>IF(U28&lt;&gt;"SÍ","",DATOS!$C$82-AJ28-INDEX(TABLAS!$C$52:$C$58,MATCH(BM28,TABLAS!$B$52:$B$58,0))-INDEX(TABLAS!$C$52:$C$58,MATCH(CC28,TABLAS!$B$52:$B$58,0))/2)</f>
        <v/>
      </c>
      <c r="CF28" s="56" t="str">
        <f>IF(U28&lt;&gt;"SÍ","",IF(CD28=0,0,DATOS!$C$29*CD28*INDEX(TABLAS!$D$52:$D$58,MATCH(CC28,TABLAS!$B$52:$B$58,0))*DATOS!$C$14*(CE28-CD28*INDEX(TABLAS!$D$52:$D$58,MATCH(CC28,TABLAS!$B$52:$B$58,0))*DATOS!$C$14/(DATOS!$C$21*AH28)/2)/1E5))</f>
        <v/>
      </c>
      <c r="CG28" s="65" t="str">
        <f>IF(U28&lt;&gt;"SÍ","",IF(CB28&lt;0,9.99,IF(CF28&gt;0,BH28/CF28,0)))</f>
        <v/>
      </c>
      <c r="CH28" s="66" t="str">
        <f>IF(U28&lt;&gt;"SÍ","",IF(CD28=0,"—",0.003*(CE28-(CD28*INDEX(TABLAS!$D$52:$D$58,MATCH(CC28,TABLAS!$B$52:$B$58,0))*DATOS!$C$14/(DATOS!$C$21*AH28)/DATOS!$C$22))/(CD28*INDEX(TABLAS!$D$52:$D$58,MATCH(CC28,TABLAS!$B$52:$B$58,0))*DATOS!$C$14/(DATOS!$C$21*AH28)/DATOS!$C$22)))</f>
        <v/>
      </c>
      <c r="CI28" s="58" t="str">
        <f>IF(U28&lt;&gt;"SÍ","",((DATOS!$C$82-AL28-2*DATOS!$C$94-INDEX(TABLAS!$C$52:$C$58,MATCH(DATOS!$C$69,TABLAS!$B$52:$B$58,0))-INDEX(TABLAS!$C$52:$C$58,MATCH(DATOS!$C$69,TABLAS!$B$52:$B$58,0))/2)-IF(AND((DATOS!$C$82-AL28-2*DATOS!$C$94-INDEX(TABLAS!$C$52:$C$58,MATCH(DATOS!$C$69,TABLAS!$B$52:$B$58,0))-INDEX(TABLAS!$C$52:$C$58,MATCH(DATOS!$C$69,TABLAS!$B$52:$B$58,0))/2)&lt;=20,DATOS!$C$62&lt;&gt;"SÍ"),2,0)))</f>
        <v/>
      </c>
      <c r="CJ28" s="58" t="str">
        <f>IF(U28&lt;&gt;"SÍ","",IF(IF(BI28&lt;=0,0,IF((1-2*BI28*1E5/(DATOS!$C$29*AF28*CI28^2*DATOS!$C$21))&lt;0,-1,IF((1-SQRT((1-2*BI28*1E5/(DATOS!$C$29*AF28*CI28^2*DATOS!$C$21))))*DATOS!$C$21*AF28*CI28/DATOS!$C$14&gt;DATOS!$C$99*AF28*CI28,-1,(1-SQRT((1-2*BI28*1E5/(DATOS!$C$29*AF28*CI28^2*DATOS!$C$21))))*DATOS!$C$21*AF28*CI28/DATOS!$C$14)))&lt;0,-1,MAX(IF(BI28&lt;=0,0,IF((1-2*BI28*1E5/(DATOS!$C$29*AF28*CI28^2*DATOS!$C$21))&lt;0,-1,IF((1-SQRT((1-2*BI28*1E5/(DATOS!$C$29*AF28*CI28^2*DATOS!$C$21))))*DATOS!$C$21*AF28*CI28/DATOS!$C$14&gt;DATOS!$C$99*AF28*CI28,-1,(1-SQRT((1-2*BI28*1E5/(DATOS!$C$29*AF28*CI28^2*DATOS!$C$21))))*DATOS!$C$21*AF28*CI28/DATOS!$C$14))),MIN(DATOS!$C$100*DATOS!$C$80*CI28,4/3*IF(BI28&lt;=0,0,IF((1-2*BI28*1E5/(DATOS!$C$29*AF28*CI28^2*DATOS!$C$21))&lt;0,-1,IF((1-SQRT((1-2*BI28*1E5/(DATOS!$C$29*AF28*CI28^2*DATOS!$C$21))))*DATOS!$C$21*AF28*CI28/DATOS!$C$14&gt;DATOS!$C$99*AF28*CI28,-1,(1-SQRT((1-2*BI28*1E5/(DATOS!$C$29*AF28*CI28^2*DATOS!$C$21))))*DATOS!$C$21*AF28*CI28/DATOS!$C$14)))))))</f>
        <v/>
      </c>
      <c r="CK28" s="64" t="str">
        <f>IF(U28&lt;&gt;"SÍ","",IF(AND(CJ28&gt;=0,IF(MAX(DATOS!$C$71,CEILING(CJ28/INDEX(TABLAS!$D$52:$D$58,MIN(MATCH(DATOS!$C$69,TABLAS!$B$52:$B$58,0)+0,7)),1))*INDEX(TABLAS!$D$52:$D$58,MIN(MATCH(DATOS!$C$69,TABLAS!$B$52:$B$58,0)+0,7))&gt;=4/3*IF(BI28&lt;=0,0,IF((1-2*BI28*1E5/(DATOS!$C$29*AF28*CI28^2*DATOS!$C$21))&lt;0,-1,IF((1-SQRT((1-2*BI28*1E5/(DATOS!$C$29*AF28*CI28^2*DATOS!$C$21))))*DATOS!$C$21*AF28*CI28/DATOS!$C$14&gt;DATOS!$C$99*AF28*CI28,-1,(1-SQRT((1-2*BI28*1E5/(DATOS!$C$29*AF28*CI28^2*DATOS!$C$21))))*DATOS!$C$21*AF28*CI28/DATOS!$C$14)))-0.0001,MAX(DATOS!$C$71,CEILING(CJ28/INDEX(TABLAS!$D$52:$D$58,MIN(MATCH(DATOS!$C$69,TABLAS!$B$52:$B$58,0)+0,7)),1)),MAX(MAX(DATOS!$C$71,CEILING(CJ28/INDEX(TABLAS!$D$52:$D$58,MIN(MATCH(DATOS!$C$69,TABLAS!$B$52:$B$58,0)+0,7)),1)),2))&lt;=MIN(DATOS!$C$70,INT(((DATOS!$C$80-2*AK28)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28&gt;=0,IF(MAX(DATOS!$C$71,CEILING(CJ28/INDEX(TABLAS!$D$52:$D$58,MIN(MATCH(DATOS!$C$69,TABLAS!$B$52:$B$58,0)+1,7)),1))*INDEX(TABLAS!$D$52:$D$58,MIN(MATCH(DATOS!$C$69,TABLAS!$B$52:$B$58,0)+1,7))&gt;=4/3*IF(BI28&lt;=0,0,IF((1-2*BI28*1E5/(DATOS!$C$29*AF28*CI28^2*DATOS!$C$21))&lt;0,-1,IF((1-SQRT((1-2*BI28*1E5/(DATOS!$C$29*AF28*CI28^2*DATOS!$C$21))))*DATOS!$C$21*AF28*CI28/DATOS!$C$14&gt;DATOS!$C$99*AF28*CI28,-1,(1-SQRT((1-2*BI28*1E5/(DATOS!$C$29*AF28*CI28^2*DATOS!$C$21))))*DATOS!$C$21*AF28*CI28/DATOS!$C$14)))-0.0001,MAX(DATOS!$C$71,CEILING(CJ28/INDEX(TABLAS!$D$52:$D$58,MIN(MATCH(DATOS!$C$69,TABLAS!$B$52:$B$58,0)+1,7)),1)),MAX(MAX(DATOS!$C$71,CEILING(CJ28/INDEX(TABLAS!$D$52:$D$58,MIN(MATCH(DATOS!$C$69,TABLAS!$B$52:$B$58,0)+1,7)),1)),2))&lt;=MIN(DATOS!$C$70,INT(((DATOS!$C$80-2*AK28)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28&gt;=0,IF(MAX(DATOS!$C$71,CEILING(CJ28/INDEX(TABLAS!$D$52:$D$58,MIN(MATCH(DATOS!$C$69,TABLAS!$B$52:$B$58,0)+2,7)),1))*INDEX(TABLAS!$D$52:$D$58,MIN(MATCH(DATOS!$C$69,TABLAS!$B$52:$B$58,0)+2,7))&gt;=4/3*IF(BI28&lt;=0,0,IF((1-2*BI28*1E5/(DATOS!$C$29*AF28*CI28^2*DATOS!$C$21))&lt;0,-1,IF((1-SQRT((1-2*BI28*1E5/(DATOS!$C$29*AF28*CI28^2*DATOS!$C$21))))*DATOS!$C$21*AF28*CI28/DATOS!$C$14&gt;DATOS!$C$99*AF28*CI28,-1,(1-SQRT((1-2*BI28*1E5/(DATOS!$C$29*AF28*CI28^2*DATOS!$C$21))))*DATOS!$C$21*AF28*CI28/DATOS!$C$14)))-0.0001,MAX(DATOS!$C$71,CEILING(CJ28/INDEX(TABLAS!$D$52:$D$58,MIN(MATCH(DATOS!$C$69,TABLAS!$B$52:$B$58,0)+2,7)),1)),MAX(MAX(DATOS!$C$71,CEILING(CJ28/INDEX(TABLAS!$D$52:$D$58,MIN(MATCH(DATOS!$C$69,TABLAS!$B$52:$B$58,0)+2,7)),1)),2))&lt;=MIN(DATOS!$C$70,INT(((DATOS!$C$80-2*AK28)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28&gt;=0,IF(MAX(DATOS!$C$71,CEILING(CJ28/INDEX(TABLAS!$D$52:$D$58,MIN(MATCH(DATOS!$C$69,TABLAS!$B$52:$B$58,0)+3,7)),1))*INDEX(TABLAS!$D$52:$D$58,MIN(MATCH(DATOS!$C$69,TABLAS!$B$52:$B$58,0)+3,7))&gt;=4/3*IF(BI28&lt;=0,0,IF((1-2*BI28*1E5/(DATOS!$C$29*AF28*CI28^2*DATOS!$C$21))&lt;0,-1,IF((1-SQRT((1-2*BI28*1E5/(DATOS!$C$29*AF28*CI28^2*DATOS!$C$21))))*DATOS!$C$21*AF28*CI28/DATOS!$C$14&gt;DATOS!$C$99*AF28*CI28,-1,(1-SQRT((1-2*BI28*1E5/(DATOS!$C$29*AF28*CI28^2*DATOS!$C$21))))*DATOS!$C$21*AF28*CI28/DATOS!$C$14)))-0.0001,MAX(DATOS!$C$71,CEILING(CJ28/INDEX(TABLAS!$D$52:$D$58,MIN(MATCH(DATOS!$C$69,TABLAS!$B$52:$B$58,0)+3,7)),1)),MAX(MAX(DATOS!$C$71,CEILING(CJ28/INDEX(TABLAS!$D$52:$D$58,MIN(MATCH(DATOS!$C$69,TABLAS!$B$52:$B$58,0)+3,7)),1)),2))&lt;=MIN(DATOS!$C$70,INT(((DATOS!$C$80-2*AK28)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28&gt;=0,IF(MAX(DATOS!$C$71,CEILING(CJ28/INDEX(TABLAS!$D$52:$D$58,MIN(MATCH(DATOS!$C$69,TABLAS!$B$52:$B$58,0)+4,7)),1))*INDEX(TABLAS!$D$52:$D$58,MIN(MATCH(DATOS!$C$69,TABLAS!$B$52:$B$58,0)+4,7))&gt;=4/3*IF(BI28&lt;=0,0,IF((1-2*BI28*1E5/(DATOS!$C$29*AF28*CI28^2*DATOS!$C$21))&lt;0,-1,IF((1-SQRT((1-2*BI28*1E5/(DATOS!$C$29*AF28*CI28^2*DATOS!$C$21))))*DATOS!$C$21*AF28*CI28/DATOS!$C$14&gt;DATOS!$C$99*AF28*CI28,-1,(1-SQRT((1-2*BI28*1E5/(DATOS!$C$29*AF28*CI28^2*DATOS!$C$21))))*DATOS!$C$21*AF28*CI28/DATOS!$C$14)))-0.0001,MAX(DATOS!$C$71,CEILING(CJ28/INDEX(TABLAS!$D$52:$D$58,MIN(MATCH(DATOS!$C$69,TABLAS!$B$52:$B$58,0)+4,7)),1)),MAX(MAX(DATOS!$C$71,CEILING(CJ28/INDEX(TABLAS!$D$52:$D$58,MIN(MATCH(DATOS!$C$69,TABLAS!$B$52:$B$58,0)+4,7)),1)),2))&lt;=MIN(DATOS!$C$70,INT(((DATOS!$C$80-2*AK28)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28" s="59" t="str">
        <f>IF(U28&lt;&gt;"SÍ","",IF(CJ28&lt;0,0,IF(MAX(DATOS!$C$71,CEILING(MAX(CJ28,0)/INDEX(TABLAS!$D$52:$D$58,MATCH(CK28,TABLAS!$B$52:$B$58,0)),1))*INDEX(TABLAS!$D$52:$D$58,MATCH(CK28,TABLAS!$B$52:$B$58,0))&gt;=4/3*IF(BI28&lt;=0,0,IF((1-2*BI28*1E5/(DATOS!$C$29*AF28*CI28^2*DATOS!$C$21))&lt;0,-1,IF((1-SQRT((1-2*BI28*1E5/(DATOS!$C$29*AF28*CI28^2*DATOS!$C$21))))*DATOS!$C$21*AF28*CI28/DATOS!$C$14&gt;DATOS!$C$99*AF28*CI28,-1,(1-SQRT((1-2*BI28*1E5/(DATOS!$C$29*AF28*CI28^2*DATOS!$C$21))))*DATOS!$C$21*AF28*CI28/DATOS!$C$14)))-0.0001,MAX(DATOS!$C$71,CEILING(MAX(CJ28,0)/INDEX(TABLAS!$D$52:$D$58,MATCH(CK28,TABLAS!$B$52:$B$58,0)),1)),MAX(MAX(DATOS!$C$71,CEILING(MAX(CJ28,0)/INDEX(TABLAS!$D$52:$D$58,MATCH(CK28,TABLAS!$B$52:$B$58,0)),1)),2))))</f>
        <v/>
      </c>
      <c r="CM28" s="58" t="str">
        <f>IF(U28&lt;&gt;"SÍ","",((DATOS!$C$82-AL28-2*DATOS!$C$94-INDEX(TABLAS!$C$52:$C$58,MATCH(BU28,TABLAS!$B$52:$B$58,0))-INDEX(TABLAS!$C$52:$C$58,MATCH(CK28,TABLAS!$B$52:$B$58,0))/2)-IF(AND((DATOS!$C$82-AL28-2*DATOS!$C$94-INDEX(TABLAS!$C$52:$C$58,MATCH(BU28,TABLAS!$B$52:$B$58,0))-INDEX(TABLAS!$C$52:$C$58,MATCH(CK28,TABLAS!$B$52:$B$58,0))/2)&lt;=20,DATOS!$C$62&lt;&gt;"SÍ"),2,0)))</f>
        <v/>
      </c>
      <c r="CN28" s="56" t="str">
        <f>IF(U28&lt;&gt;"SÍ","",IF(CL28=0,0,DATOS!$C$29*CL28*INDEX(TABLAS!$D$52:$D$58,MATCH(CK28,TABLAS!$B$52:$B$58,0))*DATOS!$C$14*(CM28-CL28*INDEX(TABLAS!$D$52:$D$58,MATCH(CK28,TABLAS!$B$52:$B$58,0))*DATOS!$C$14/(DATOS!$C$21*AF28)/2)/1E5))</f>
        <v/>
      </c>
      <c r="CO28" s="65" t="str">
        <f>IF(U28&lt;&gt;"SÍ","",IF(CJ28&lt;0,9.99,IF(CN28&gt;0,BI28/CN28,0)))</f>
        <v/>
      </c>
      <c r="CP28" s="66" t="str">
        <f>IF(U28&lt;&gt;"SÍ","",IF(CL28=0,"—",0.003*(CM28-(CL28*INDEX(TABLAS!$D$52:$D$58,MATCH(CK28,TABLAS!$B$52:$B$58,0))*DATOS!$C$14/(DATOS!$C$21*AF28)/DATOS!$C$22))/(CL28*INDEX(TABLAS!$D$52:$D$58,MATCH(CK28,TABLAS!$B$52:$B$58,0))*DATOS!$C$14/(DATOS!$C$21*AF28)/DATOS!$C$22)))</f>
        <v/>
      </c>
      <c r="CQ28" s="56" t="str">
        <f>IF(U28&lt;&gt;"SÍ","",IF(C28="PERIMETRAL",MAX(0,(AA28/2-BW28)/100)*(0.95-0.5*Z28)*AQ28*IF(AND(AR28&gt;0,AR28&lt;4),DATOS!$C$33,1)*DATOS!$C$83/100/1000,(AQ28*MAX(0,AA28-BW28)/100+DATOS!$C$26*N(O28))*DATOS!$C$83/100/1000+BE28))</f>
        <v/>
      </c>
      <c r="CR28" s="56" t="str">
        <f>IF(U28&lt;&gt;"SÍ","",DATOS!$C$30*2*MIN(1,SQRT(2/(1+0.04*BW28)))*(BV28*INDEX(TABLAS!$D$52:$D$58,MATCH(BU28,TABLAS!$B$52:$B$58,0))/(AE28*BW28))^(1/3)*SQRT(DATOS!$C$13)*AE28*BW28*IF(AI28="SÍ",DATOS!$C$32,1)/1000)</f>
        <v/>
      </c>
      <c r="CS28" s="59" t="str">
        <f>IF(U28&lt;&gt;"SÍ","",IF(CQ28&lt;=CR28,0,CEILING(MAX(0,IF(C28="VOLADO",(AA28-((CR28-BE28)*1E5/DATOS!$C$83-DATOS!$C$26*N(O28))*100/AQ28),IF(CR28&lt;=0,AA28,AA28/2-CR28/MAX(CQ28,1E-9)*(AA28/2-BW28)))-IF(INT((X28*100-DATOS!$C$84+DATOS!$C$80)/DATOS!$C$83)&gt;0,(X28*100-DATOS!$C$84-(INT((X28*100-DATOS!$C$84+DATOS!$C$80)/DATOS!$C$83)*DATOS!$C$78+(INT((X28*100-DATOS!$C$84+DATOS!$C$80)/DATOS!$C$83)-1)*DATOS!$C$80))/2,X28*100/2))/DATOS!$C$83,1)))</f>
        <v/>
      </c>
      <c r="CT28" s="67" t="str">
        <f>IF(U28&lt;&gt;"SÍ","",IF(CQ28&lt;=CR28,"CUMPLE",IF(CS28&lt;=0,"CUMPLE (basta el macizo de orilla)",IF(CS28*DATOS!$C$83*IF(C28="VOLADO",1,2)&gt;=X28*100-DATOS!$C$84,"NO CUMPLE: no alcanza ni macizando todo","MACIZAR "&amp;CS28&amp;" hilera(s)"))))</f>
        <v/>
      </c>
      <c r="CU28" s="58" t="str">
        <f>IF(U28&lt;&gt;"SÍ","",(DATOS!$C$83*DATOS!$C$81^2/2+AC28*DATOS!$C$79*(DATOS!$C$81+DATOS!$C$79/2))/(DATOS!$C$83*DATOS!$C$81+AC28*DATOS!$C$79))</f>
        <v/>
      </c>
      <c r="CV28" s="68" t="str">
        <f>IF(U28&lt;&gt;"SÍ","",DATOS!$C$83*DATOS!$C$81^3/12+DATOS!$C$83*DATOS!$C$81*(CU28-DATOS!$C$81/2)^2+AC28*DATOS!$C$79^3/12+AC28*DATOS!$C$79*(DATOS!$C$81+DATOS!$C$79/2-CU28)^2)</f>
        <v/>
      </c>
      <c r="CW28" s="58" t="str">
        <f>IF(U28&lt;&gt;"SÍ","",(12*CV28/DATOS!$C$83)^(1/3))</f>
        <v/>
      </c>
      <c r="CX28" s="58" t="str">
        <f>IF(U28&lt;&gt;"SÍ","",IF(C28="PERIMETRAL",IF(ISNUMBER(R28),R28,DATOS!$C$101),0))</f>
        <v/>
      </c>
      <c r="CY28" s="57" t="str">
        <f>IF(U28&lt;&gt;"SÍ","",IF(C28="PERIMETRAL",IF(CX28&gt;2,MAX(9,AB28*(0.8+DATOS!$C$14/14000)/(36+9*(AB28/MAX(AA28,1)))),IF(CX28&gt;0.2,MAX(13,AB28*(0.8+DATOS!$C$14/14000)/(36+5*(AB28/MAX(AA28,1))*(CX28-0.2))),MAX(13,AB28/IF(AR28&gt;0,30,33))))*IF(AND(CX28&gt;0.2,AR28&gt;0,DATOS!$C$102="NO"),1.1,1),X28*100/8))</f>
        <v/>
      </c>
      <c r="CZ28" s="61" t="str">
        <f>IF(U28&lt;&gt;"SÍ","",IF(IF(C28="VOLADO",DATOS!$C$82,CW28)&gt;=CY28,"CUMPLE",IF(C28="VOLADO","NO CUMPLE","CALCULAR FLECHA")))</f>
        <v/>
      </c>
      <c r="DA28" s="55" t="str">
        <f>IF(U28&lt;&gt;"SÍ","",IF(DATOS!$C$81&gt;=IF(IF(C28="VOLADO",X28,Y28)&gt;=6,6,5),"CUMPLE","CAPA ≥ 6 cm"))</f>
        <v/>
      </c>
      <c r="DB28" s="60" t="str">
        <f>IF(U28&lt;&gt;"SÍ","",IF(C28="VOLADO",MIN(CEILING(IF(ISNUMBER(P28),P28,X28)*100,5),CEILING(MAX(IF((0.5*(0.9*DATOS!$C$87*DATOS!$C$83/100/1000)*IF(ISNUMBER(P28),P28,X28)+BG28/IF(ISNUMBER(P28),P28,X28))^2-4*(0.5*(0.9*DATOS!$C$87*DATOS!$C$83/100/1000))*BG28&lt;0,IF(ISNUMBER(P28),P28,X28),MIN(IF(ISNUMBER(P28),P28,X28),((0.5*(0.9*DATOS!$C$87*DATOS!$C$83/100/1000)*IF(ISNUMBER(P28),P28,X28)+BG28/IF(ISNUMBER(P28),P28,X28))-SQRT((0.5*(0.9*DATOS!$C$87*DATOS!$C$83/100/1000)*IF(ISNUMBER(P28),P28,X28)+BG28/IF(ISNUMBER(P28),P28,X28))^2-4*(0.5*(0.9*DATOS!$C$87*DATOS!$C$83/100/1000))*BG28))/(2*(0.5*(0.9*DATOS!$C$87*DATOS!$C$83/100/1000)))))*100+MAX(BW28,12*INDEX(TABLAS!$C$52:$C$58,MATCH(BU28,TABLAS!$B$52:$B$58,0)),IF(ISNUMBER(P28),P28,X28)*100/16),IF(OR(AK28&lt;INDEX(TABLAS!$C$52:$C$58,MATCH(BU28,TABLAS!$B$52:$B$58,0)),AND(BV28&gt;=2,(AC28-2*AK28-BV28*INDEX(TABLAS!$C$52:$C$58,MATCH(BU28,TABLAS!$B$52:$B$58,0)))/MAX(BV28-1,1)&lt;2*INDEX(TABLAS!$C$52:$C$58,MATCH(BU28,TABLAS!$B$52:$B$58,0)))),INDEX(TABLAS!$I$52:$I$58,MATCH(BU28,TABLAS!$B$52:$B$58,0)),INDEX(TABLAS!$F$52:$F$58,MATCH(BU28,TABLAS!$B$52:$B$58,0)))),5)),IF(((4*((BB28*AQ28*X28^2*1E-4*DATOS!$C$83/100/1000)+((MAX(AX28,AZ28)*AQ28*X28^2*1E-4*DATOS!$C$83/100/1000)+(IF(AND(AX28&gt;0,AZ28&gt;0),MIN(AX28,AZ28),MAX(AX28,AZ28))*AQ28*X28^2*1E-4*DATOS!$C$83/100/1000))/2)+BG28-(IF(AND(AX28&gt;0,AZ28&gt;0),MIN(AX28,AZ28),MAX(AX28,AZ28))*AQ28*X28^2*1E-4*DATOS!$C$83/100/1000))^2-16*((BB28*AQ28*X28^2*1E-4*DATOS!$C$83/100/1000)+((MAX(AX28,AZ28)*AQ28*X28^2*1E-4*DATOS!$C$83/100/1000)+(IF(AND(AX28&gt;0,AZ28&gt;0),MIN(AX28,AZ28),MAX(AX28,AZ28))*AQ28*X28^2*1E-4*DATOS!$C$83/100/1000))/2)*BG28)&lt;0,CEILING(AA28,5),CEILING(MAX(AA28*((4*((BB28*AQ28*X28^2*1E-4*DATOS!$C$83/100/1000)+((MAX(AX28,AZ28)*AQ28*X28^2*1E-4*DATOS!$C$83/100/1000)+(IF(AND(AX28&gt;0,AZ28&gt;0),MIN(AX28,AZ28),MAX(AX28,AZ28))*AQ28*X28^2*1E-4*DATOS!$C$83/100/1000))/2)+BG28-(IF(AND(AX28&gt;0,AZ28&gt;0),MIN(AX28,AZ28),MAX(AX28,AZ28))*AQ28*X28^2*1E-4*DATOS!$C$83/100/1000))-SQRT(MAX(0,((4*((BB28*AQ28*X28^2*1E-4*DATOS!$C$83/100/1000)+((MAX(AX28,AZ28)*AQ28*X28^2*1E-4*DATOS!$C$83/100/1000)+(IF(AND(AX28&gt;0,AZ28&gt;0),MIN(AX28,AZ28),MAX(AX28,AZ28))*AQ28*X28^2*1E-4*DATOS!$C$83/100/1000))/2)+BG28-(IF(AND(AX28&gt;0,AZ28&gt;0),MIN(AX28,AZ28),MAX(AX28,AZ28))*AQ28*X28^2*1E-4*DATOS!$C$83/100/1000))^2-16*((BB28*AQ28*X28^2*1E-4*DATOS!$C$83/100/1000)+((MAX(AX28,AZ28)*AQ28*X28^2*1E-4*DATOS!$C$83/100/1000)+(IF(AND(AX28&gt;0,AZ28&gt;0),MIN(AX28,AZ28),MAX(AX28,AZ28))*AQ28*X28^2*1E-4*DATOS!$C$83/100/1000))/2)*BG28))))/(8*MAX(((BB28*AQ28*X28^2*1E-4*DATOS!$C$83/100/1000)+((MAX(AX28,AZ28)*AQ28*X28^2*1E-4*DATOS!$C$83/100/1000)+(IF(AND(AX28&gt;0,AZ28&gt;0),MIN(AX28,AZ28),MAX(AX28,AZ28))*AQ28*X28^2*1E-4*DATOS!$C$83/100/1000))/2),1E-9))+MAX(BW28,12*INDEX(TABLAS!$C$52:$C$58,MATCH(BU28,TABLAS!$B$52:$B$58,0)),AA28/16),IF(OR(AK28&lt;INDEX(TABLAS!$C$52:$C$58,MATCH(BU28,TABLAS!$B$52:$B$58,0)),AND(BV28&gt;=2,(AC28-2*AK28-BV28*INDEX(TABLAS!$C$52:$C$58,MATCH(BU28,TABLAS!$B$52:$B$58,0)))/MAX(BV28-1,1)&lt;2*INDEX(TABLAS!$C$52:$C$58,MATCH(BU28,TABLAS!$B$52:$B$58,0)))),INDEX(TABLAS!$I$52:$I$58,MATCH(BU28,TABLAS!$B$52:$B$58,0)),INDEX(TABLAS!$F$52:$F$58,MATCH(BU28,TABLAS!$B$52:$B$58,0)))),5))))</f>
        <v/>
      </c>
      <c r="DC28" s="60" t="str">
        <f>IF(U28&lt;&gt;"SÍ","",IF(C28="VOLADO",0,IF(((4*((BC28*AQ28*X28^2*1E-4*DATOS!$C$83/100/1000)+((MAX(AY28,BA28)*AQ28*X28^2*1E-4*DATOS!$C$83/100/1000)+(IF(AND(AY28&gt;0,BA28&gt;0),MIN(AY28,BA28),MAX(AY28,BA28))*AQ28*X28^2*1E-4*DATOS!$C$83/100/1000))/2)+BI28-(IF(AND(AY28&gt;0,BA28&gt;0),MIN(AY28,BA28),MAX(AY28,BA28))*AQ28*X28^2*1E-4*DATOS!$C$83/100/1000))^2-16*((BC28*AQ28*X28^2*1E-4*DATOS!$C$83/100/1000)+((MAX(AY28,BA28)*AQ28*X28^2*1E-4*DATOS!$C$83/100/1000)+(IF(AND(AY28&gt;0,BA28&gt;0),MIN(AY28,BA28),MAX(AY28,BA28))*AQ28*X28^2*1E-4*DATOS!$C$83/100/1000))/2)*BI28)&lt;0,CEILING(AB28,5),CEILING(MAX(AB28*((4*((BC28*AQ28*X28^2*1E-4*DATOS!$C$83/100/1000)+((MAX(AY28,BA28)*AQ28*X28^2*1E-4*DATOS!$C$83/100/1000)+(IF(AND(AY28&gt;0,BA28&gt;0),MIN(AY28,BA28),MAX(AY28,BA28))*AQ28*X28^2*1E-4*DATOS!$C$83/100/1000))/2)+BI28-(IF(AND(AY28&gt;0,BA28&gt;0),MIN(AY28,BA28),MAX(AY28,BA28))*AQ28*X28^2*1E-4*DATOS!$C$83/100/1000))-SQRT(MAX(0,((4*((BC28*AQ28*X28^2*1E-4*DATOS!$C$83/100/1000)+((MAX(AY28,BA28)*AQ28*X28^2*1E-4*DATOS!$C$83/100/1000)+(IF(AND(AY28&gt;0,BA28&gt;0),MIN(AY28,BA28),MAX(AY28,BA28))*AQ28*X28^2*1E-4*DATOS!$C$83/100/1000))/2)+BI28-(IF(AND(AY28&gt;0,BA28&gt;0),MIN(AY28,BA28),MAX(AY28,BA28))*AQ28*X28^2*1E-4*DATOS!$C$83/100/1000))^2-16*((BC28*AQ28*X28^2*1E-4*DATOS!$C$83/100/1000)+((MAX(AY28,BA28)*AQ28*X28^2*1E-4*DATOS!$C$83/100/1000)+(IF(AND(AY28&gt;0,BA28&gt;0),MIN(AY28,BA28),MAX(AY28,BA28))*AQ28*X28^2*1E-4*DATOS!$C$83/100/1000))/2)*BI28))))/(8*MAX(((BC28*AQ28*X28^2*1E-4*DATOS!$C$83/100/1000)+((MAX(AY28,BA28)*AQ28*X28^2*1E-4*DATOS!$C$83/100/1000)+(IF(AND(AY28&gt;0,BA28&gt;0),MIN(AY28,BA28),MAX(AY28,BA28))*AQ28*X28^2*1E-4*DATOS!$C$83/100/1000))/2),1E-9))+MAX(CM28,12*INDEX(TABLAS!$C$52:$C$58,MATCH(CK28,TABLAS!$B$52:$B$58,0)),AB28/16),IF(OR(AK28&lt;INDEX(TABLAS!$C$52:$C$58,MATCH(CK28,TABLAS!$B$52:$B$58,0)),AND(CL28&gt;=2,(DATOS!$C$80-2*AK28-CL28*INDEX(TABLAS!$C$52:$C$58,MATCH(CK28,TABLAS!$B$52:$B$58,0)))/MAX(CL28-1,1)&lt;2*INDEX(TABLAS!$C$52:$C$58,MATCH(CK28,TABLAS!$B$52:$B$58,0)))),INDEX(TABLAS!$I$52:$I$58,MATCH(CK28,TABLAS!$B$52:$B$58,0)),INDEX(TABLAS!$F$52:$F$58,MATCH(CK28,TABLAS!$B$52:$B$58,0)))),5))))</f>
        <v/>
      </c>
      <c r="DD28" s="55" t="str">
        <f>IF(U28&lt;&gt;"SÍ","",IF(AND(C28="PERIMETRAL",BV28&gt;=2,AR28-AS28&gt;0,AZ28*AQ28*X28^2*1E-4*DATOS!$C$83/100/1000&gt;DATOS!$C$29*INDEX(TABLAS!$D$52:$D$58,MATCH(BU28,TABLAS!$B$52:$B$58,0))*DATOS!$C$14*(BW28-INDEX(TABLAS!$D$52:$D$58,MATCH(BU28,TABLAS!$B$52:$B$58,0))*DATOS!$C$14/(DATOS!$C$21*AE28)/2)/1E5),"SÍ","NO"))</f>
        <v/>
      </c>
      <c r="DE28" s="55" t="str">
        <f>IF(U28&lt;&gt;"SÍ","",IF(AND(C28="PERIMETRAL",CL28&gt;=2,AS28&gt;0,BA28*AQ28*X28^2*1E-4*DATOS!$C$83/100/1000&gt;DATOS!$C$29*INDEX(TABLAS!$D$52:$D$58,MATCH(CK28,TABLAS!$B$52:$B$58,0))*DATOS!$C$14*(CM28-INDEX(TABLAS!$D$52:$D$58,MATCH(CK28,TABLAS!$B$52:$B$58,0))*DATOS!$C$14/(DATOS!$C$21*AF28)/2)/1E5),"SÍ","NO"))</f>
        <v/>
      </c>
      <c r="DF28" s="63" t="str">
        <f>IF(U28&lt;&gt;"SÍ","",IF(OR(C28="VOLADO",AR28=0),"—",IF(AND(AND(1.25*INDEX(TABLAS!$G$52:$G$58,MATCH(MAX(BM28,CC28),TABLAS!$B$52:$B$58,0))&lt;=(DATOS!$C$72-DATOS!$C$60),(DATOS!$C$72-DATOS!$C$60)&gt;=15,INDEX(TABLAS!$G$52:$G$58,MATCH(MAX(BU28,CK28),TABLAS!$B$52:$B$58,0))&lt;=(DATOS!$C$72-DATOS!$C$60)),8*INDEX(TABLAS!$C$52:$C$58,MATCH(MAX(MAX(BM28,CC28),MAX(BU28,CK28)),TABLAS!$B$52:$B$58,0))&lt;=DATOS!$C$73-2*DATOS!$C$60),"CUMPLE (gancho de 180°)",IF(AND(1.25*INDEX(TABLAS!$G$52:$G$58,MATCH(MAX(BM28,CC28),TABLAS!$B$52:$B$58,0))&lt;=(DATOS!$C$72-DATOS!$C$60),(DATOS!$C$72-DATOS!$C$60)&gt;=15,INDEX(TABLAS!$G$52:$G$58,MATCH(MAX(BU28,CK28),TABLAS!$B$52:$B$58,0))&lt;=(DATOS!$C$72-DATOS!$C$60)),"NO CUMPLE: el gancho de 180° (8·d_b) no cabe en el peralte de la dala de borde","NO CUMPLE: dala de borde ≥ "&amp;TEXT(CEILING(MAX(1.25*INDEX(TABLAS!$G$52:$G$58,MATCH(MAX(BM28,CC28),TABLAS!$B$52:$B$58,0)),15,INDEX(TABLAS!$G$52:$G$58,MATCH(MAX(BU28,CK28),TABLAS!$B$52:$B$58,0)))+DATOS!$C$60,5),"0")&amp;" cm de ancho"&amp;IF(8*INDEX(TABLAS!$C$52:$C$58,MATCH(MAX(MAX(BM28,CC28),MAX(BU28,CK28)),TABLAS!$B$52:$B$58,0))&lt;=DATOS!$C$73-2*DATOS!$C$60,""," y más peralte para el gancho")))))</f>
        <v/>
      </c>
      <c r="DG28" s="59" t="str">
        <f>IF(U28&lt;&gt;"SÍ","",MAX(0,INT((E28*100-DATOS!$C$84+DATOS!$C$83-IF(W28="X",DATOS!$C$78,AD28))/DATOS!$C$83)))</f>
        <v/>
      </c>
      <c r="DH28" s="59" t="str">
        <f>IF(U28&lt;&gt;"SÍ","",MAX(0,INT((F28*100-DATOS!$C$84+DATOS!$C$83-IF(W28="Y",DATOS!$C$78,AD28))/DATOS!$C$83)))</f>
        <v/>
      </c>
      <c r="DI28" s="57" t="str">
        <f>IF(U28&lt;&gt;"SÍ","",IF(DG28&gt;0,(E28*100-DATOS!$C$84-(DG28*IF(W28="X",DATOS!$C$78,AD28)+(DG28-1)*(DATOS!$C$83-IF(W28="X",DATOS!$C$78,AD28))))/2,E28*100/2))</f>
        <v/>
      </c>
      <c r="DJ28" s="57" t="str">
        <f>IF(U28&lt;&gt;"SÍ","",IF(DH28&gt;0,(F28*100-DATOS!$C$84-(DH28*IF(W28="Y",DATOS!$C$78,AD28)+(DH28-1)*(DATOS!$C$83-IF(W28="Y",DATOS!$C$78,AD28))))/2,F28*100/2))</f>
        <v/>
      </c>
      <c r="DK28" s="59" t="str">
        <f>IF(U28&lt;&gt;"SÍ","",IF(NOT(AND(C28="VOLADO",AC28&gt;DATOS!$C$80)),0,IF(INDEX(TABLAS!$C$52:$C$58,MATCH(BU28,TABLAS!$B$52:$B$58,0))&lt;=DATOS!$C$80-2*DATOS!$C$60,1,0)))</f>
        <v/>
      </c>
      <c r="DL28" s="58" t="str">
        <f>IF(U28&lt;&gt;"SÍ","",IF(NOT(AND(C28="VOLADO",AC28&gt;DATOS!$C$80)),0,((DATOS!$C$82-MAX(DATOS!$C$60,(DATOS!$C$81-2*DATOS!$C$94)/2)-2*DATOS!$C$94-INDEX(TABLAS!$C$52:$C$58,MATCH(BU28,TABLAS!$B$52:$B$58,0))/2)-IF(AND((DATOS!$C$82-MAX(DATOS!$C$60,(DATOS!$C$81-2*DATOS!$C$94)/2)-2*DATOS!$C$94-INDEX(TABLAS!$C$52:$C$58,MATCH(BU28,TABLAS!$B$52:$B$58,0))/2)&lt;=20,DATOS!$C$62&lt;&gt;"SÍ"),2,0))))</f>
        <v/>
      </c>
      <c r="DM28" s="56" t="str">
        <f>IF(U28&lt;&gt;"SÍ","",IF(OR(NOT(AND(C28="VOLADO",AC28&gt;DATOS!$C$80)),DK28&lt;1),0,IF(0.003*(DL28-((DK28*INDEX(TABLAS!$D$52:$D$58,MATCH(BU28,TABLAS!$B$52:$B$58,0)))*DATOS!$C$14/(DATOS!$C$21*AF28)/DATOS!$C$22))/((DK28*INDEX(TABLAS!$D$52:$D$58,MATCH(BU28,TABLAS!$B$52:$B$58,0)))*DATOS!$C$14/(DATOS!$C$21*AF28)/DATOS!$C$22)&lt;0.005,0,DATOS!$C$29*(DK28*INDEX(TABLAS!$D$52:$D$58,MATCH(BU28,TABLAS!$B$52:$B$58,0)))*DATOS!$C$14*(DL28-(DK28*INDEX(TABLAS!$D$52:$D$58,MATCH(BU28,TABLAS!$B$52:$B$58,0)))*DATOS!$C$14/(DATOS!$C$21*AF28)/2)/1E5)))</f>
        <v/>
      </c>
      <c r="DN28" s="56" t="str">
        <f>IF(U28&lt;&gt;"SÍ","",IF(OR(NOT(AND(C28="VOLADO",AC28&gt;DATOS!$C$80)),DK28&lt;1),0,DATOS!$C$30*2*MIN(1,SQRT(2/(1+0.04*DL28)))*((DK28*INDEX(TABLAS!$D$52:$D$58,MATCH(BU28,TABLAS!$B$52:$B$58,0)))/(AF28*DL28))^(1/3)*SQRT(DATOS!$C$13)*AF28*DL28/1000))</f>
        <v/>
      </c>
      <c r="DO28" s="56" t="str">
        <f>IF(U28&lt;&gt;"SÍ","",IF(NOT(AND(C28="VOLADO",AC28&gt;DATOS!$C$80)),0,IF((BG28-DM28)&lt;=0,0,IF(DM28&lt;=0,IF(ISNUMBER(P28),P28,X28),IF(((0.9*DATOS!$C$87*DATOS!$C$83/100/1000)*IF(ISNUMBER(P28),P28,X28)/2+BG28/IF(ISNUMBER(P28),P28,X28))^2-4*((0.9*DATOS!$C$87*DATOS!$C$83/100/1000)/2)*(BG28-DM28)&lt;0,IF(ISNUMBER(P28),P28,X28),MIN(IF(ISNUMBER(P28),P28,X28),(((0.9*DATOS!$C$87*DATOS!$C$83/100/1000)*IF(ISNUMBER(P28),P28,X28)/2+BG28/IF(ISNUMBER(P28),P28,X28))-SQRT(((0.9*DATOS!$C$87*DATOS!$C$83/100/1000)*IF(ISNUMBER(P28),P28,X28)/2+BG28/IF(ISNUMBER(P28),P28,X28))^2-4*((0.9*DATOS!$C$87*DATOS!$C$83/100/1000)/2)*(BG28-DM28)))/(2*((0.9*DATOS!$C$87*DATOS!$C$83/100/1000)/2))))))))</f>
        <v/>
      </c>
      <c r="DP28" s="56" t="str">
        <f>IF(U28&lt;&gt;"SÍ","",IF(NOT(AND(C28="VOLADO",AC28&gt;DATOS!$C$80)),0,MIN(IF(ISNUMBER(P28),P28,X28),MAX(0,IF(ISNUMBER(P28),P28,X28)/2+BG28/IF(ISNUMBER(P28),P28,X28)/(AQ28*DATOS!$C$83/100/1000)-DN28/(AQ28*DATOS!$C$83/100/1000)))))</f>
        <v/>
      </c>
      <c r="DQ28" s="56" t="str">
        <f>IF(U28&lt;&gt;"SÍ","",IF(NOT(AND(C28="VOLADO",AC28&gt;DATOS!$C$80)),0,BG28/IF(ISNUMBER(P28),P28,X28)+(AQ28*DATOS!$C$83/100/1000)*MAX(0,IF(ISNUMBER(P28),P28,X28)/2-BW28/100)))</f>
        <v/>
      </c>
      <c r="DR28" s="59" t="str">
        <f>IF(U28&lt;&gt;"SÍ","",IF(NOT(AND(C28="VOLADO",AC28&gt;DATOS!$C$80)),0,CEILING(100*MIN(IF(ISNUMBER(P28),P28,X28),MAX(IF(DO28&gt;0,DO28+IF(BV28&gt;=2,MAX(DL28,12*INDEX(TABLAS!$C$52:$C$58,MATCH(BU28,TABLAS!$B$52:$B$58,0)))/100,0),0),DP28,IF(BV28&gt;=2,INDEX(TABLAS!$F$52:$F$58,MATCH(BU28,TABLAS!$B$52:$B$58,0))/100,0))),5)))</f>
        <v/>
      </c>
      <c r="DS28" s="60" t="str">
        <f>IF(U28&lt;&gt;"SÍ","",IF(NOT(AND(C28="VOLADO",AC28&gt;DATOS!$C$80)),0,IF(DR28&lt;=0,0,CEILING(DR28/DATOS!$C$83,1))))</f>
        <v/>
      </c>
      <c r="DT28" s="61" t="str">
        <f>IF(U28&lt;&gt;"SÍ","",IF(C28&lt;&gt;"VOLADO","—",IF(AC28&lt;=DATOS!$C$80,"— (mismo b_w que el respaldo)",IF(DQ28&gt;CR28,"NO CUMPLE: cortante de la nervadura ancha junto al apoyo ("&amp;TEXT(DQ28,"0.00")&amp;" &gt; "&amp;TEXT(CR28,"0.00")&amp;" t)",IF(DR28&gt;=100*IF(ISNUMBER(P28),P28,X28),"CUMPLE — todas las nervaduras del respaldo ‖ al volado con b_w = "&amp;AC28&amp;" cm","CUMPLE — "&amp;DS28&amp;" hilera(s) del respaldo con nervaduras de b_w = "&amp;AC28&amp;" cm (casetón "&amp;AD28&amp;" cm), hasta "&amp;TEXT(DR28/100,"0.00")&amp;" m del paño")))))</f>
        <v/>
      </c>
      <c r="DU28" s="69" t="str">
        <f>IF(U28&lt;&gt;"SÍ","",IF(BN28=0,"NO ALCANZA",BN28&amp;" No. "&amp;BM28&amp;IF(BN28&gt;1," corridas"," corrida")))</f>
        <v/>
      </c>
      <c r="DV28" s="69" t="str">
        <f>IF(U28&lt;&gt;"SÍ","",IF(BV28=0,"NO ALCANZA",IF(AND(C28="VOLADO",AC28&gt;DATOS!$C$80,BV28&gt;=2),"1 No. "&amp;BU28&amp;" corrida de la orilla al respaldo ("&amp;IF(DB28&gt;=100*IF(ISNUMBER(P28),P28,X28),"hasta su apoyo lejano, con gancho","entra "&amp;TEXT(DB28/100,"0.00")&amp;" m desde el paño")&amp;") + "&amp;(BV28-1)&amp;" bastón No. "&amp;BU28&amp;" hasta "&amp;TEXT(DR28/100,"0.00")&amp;" m del paño (fin de la nervadura ancha)",IF(C28="VOLADO",BV28&amp;" No. "&amp;BU28&amp;" de la orilla al respaldo ("&amp;IF(DB28&gt;=100*IF(ISNUMBER(P28),P28,X28),"hasta su apoyo lejano, con gancho","entran "&amp;TEXT(DB28/100,"0.00")&amp;" m desde el paño")&amp;")","1 No. "&amp;BU28&amp;" corrida"&amp;IF(BV28&gt;1," + "&amp;(BV28-1)&amp;" bastón No. "&amp;BU28&amp;" L = "&amp;TEXT(DB28/100,"0.00")&amp;" m desde el paño","")))))</f>
        <v/>
      </c>
      <c r="DW28" s="69" t="str">
        <f>IF(U28&lt;&gt;"SÍ","",IF(CD28=0,"NO ALCANZA",CD28&amp;" No. "&amp;CC28&amp;IF(CD28&gt;1," corridas"," corrida")))</f>
        <v/>
      </c>
      <c r="DX28" s="69" t="str">
        <f>IF(U28&lt;&gt;"SÍ","",IF(CL28=0,"NO ALCANZA",IF(C28="VOLADO","1 No. "&amp;CK28&amp;" corrida (repartición)","1 No. "&amp;CK28&amp;" corrida"&amp;IF(CL28&gt;1," + "&amp;(CL28-1)&amp;" bastón No. "&amp;CK28&amp;" L = "&amp;TEXT(DC28/100,"0.00")&amp;" m desde el paño",""))))</f>
        <v/>
      </c>
      <c r="DY28" s="67" t="str">
        <f>IF(B28="","",IF(U28&lt;&gt;"SÍ","FALTAN DATOS: tipo, a_x, a_y y destino",IF(L28="NO MONOLÍTICO (caso II)","FUERA DE ALCANCE: caso II no transcrito",IF(AND(C28="VOLADO",V28="?"),"REVISAR: el volado lleva UN solo borde CONTINUO (el empotrado)",IF(AND(MAX(BQ28,BY28,CG28,CO28)&lt;=1,NOT(OR(BN28&gt;MIN(DATOS!$C$70,INT(((AC28-2*AJ28)+MAX(DATOS!$C$67,INDEX(TABLAS!$C$52:$C$58,MATCH(BM28,TABLAS!$B$52:$B$58,0))))/(INDEX(TABLAS!$C$52:$C$58,MATCH(BM28,TABLAS!$B$52:$B$58,0))+MAX(DATOS!$C$67,INDEX(TABLAS!$C$52:$C$58,MATCH(BM28,TABLAS!$B$52:$B$58,0)))))),BV28&gt;MIN(DATOS!$C$70,INT(((AC28-2*AK28)+MAX(DATOS!$C$67,INDEX(TABLAS!$C$52:$C$58,MATCH(BU28,TABLAS!$B$52:$B$58,0))))/(INDEX(TABLAS!$C$52:$C$58,MATCH(BU28,TABLAS!$B$52:$B$58,0))+MAX(DATOS!$C$67,INDEX(TABLAS!$C$52:$C$58,MATCH(BU28,TABLAS!$B$52:$B$58,0)))))),CD28&gt;MIN(DATOS!$C$70,INT(((DATOS!$C$80-2*AJ28)+MAX(DATOS!$C$67,INDEX(TABLAS!$C$52:$C$58,MATCH(CC28,TABLAS!$B$52:$B$58,0))))/(INDEX(TABLAS!$C$52:$C$58,MATCH(CC28,TABLAS!$B$52:$B$58,0))+MAX(DATOS!$C$67,INDEX(TABLAS!$C$52:$C$58,MATCH(CC28,TABLAS!$B$52:$B$58,0)))))),CL28&gt;MIN(DATOS!$C$70,INT(((DATOS!$C$80-2*AK28)+MAX(DATOS!$C$67,INDEX(TABLAS!$C$52:$C$58,MATCH(CK28,TABLAS!$B$52:$B$58,0))))/(INDEX(TABLAS!$C$52:$C$58,MATCH(CK28,TABLAS!$B$52:$B$58,0))+MAX(DATOS!$C$67,INDEX(TABLAS!$C$52:$C$58,MATCH(CK28,TABLAS!$B$52:$B$58,0)))))))),NOT(OR(AND(ISNUMBER(BR28),BR28&lt;0.005),AND(ISNUMBER(BZ28),BZ28&lt;0.005),AND(ISNUMBER(CH28),CH28&lt;0.005),AND(ISNUMBER(CP28),CP28&lt;0.005))),NOT(LEFT(DT28,2)="NO"),CZ28="CUMPLE",DA28="CUMPLE",LEFT(CT28,2)&lt;&gt;"NO"),IF(LEFT(CT28,6)="CUMPLE","CUMPLE","CUMPLE — "&amp;CT28)&amp;IF(LEFT(BJ28,5)="FUERA"," · fuera de 3.4.2.1 c)","")&amp;IF(LEFT(DF28,2)="NO"," · REVISAR anclaje en borde discontinuo","")&amp;IF(DS28&gt;0," · respaldo: "&amp;DS28&amp;" hilera(s) de b_w "&amp;AC28&amp;" cm",""),IF(AND(MAX(BQ28,BY28,CG28,CO28)&lt;=1,NOT(OR(BN28&gt;MIN(DATOS!$C$70,INT(((AC28-2*AJ28)+MAX(DATOS!$C$67,INDEX(TABLAS!$C$52:$C$58,MATCH(BM28,TABLAS!$B$52:$B$58,0))))/(INDEX(TABLAS!$C$52:$C$58,MATCH(BM28,TABLAS!$B$52:$B$58,0))+MAX(DATOS!$C$67,INDEX(TABLAS!$C$52:$C$58,MATCH(BM28,TABLAS!$B$52:$B$58,0)))))),BV28&gt;MIN(DATOS!$C$70,INT(((AC28-2*AK28)+MAX(DATOS!$C$67,INDEX(TABLAS!$C$52:$C$58,MATCH(BU28,TABLAS!$B$52:$B$58,0))))/(INDEX(TABLAS!$C$52:$C$58,MATCH(BU28,TABLAS!$B$52:$B$58,0))+MAX(DATOS!$C$67,INDEX(TABLAS!$C$52:$C$58,MATCH(BU28,TABLAS!$B$52:$B$58,0)))))),CD28&gt;MIN(DATOS!$C$70,INT(((DATOS!$C$80-2*AJ28)+MAX(DATOS!$C$67,INDEX(TABLAS!$C$52:$C$58,MATCH(CC28,TABLAS!$B$52:$B$58,0))))/(INDEX(TABLAS!$C$52:$C$58,MATCH(CC28,TABLAS!$B$52:$B$58,0))+MAX(DATOS!$C$67,INDEX(TABLAS!$C$52:$C$58,MATCH(CC28,TABLAS!$B$52:$B$58,0)))))),CL28&gt;MIN(DATOS!$C$70,INT(((DATOS!$C$80-2*AK28)+MAX(DATOS!$C$67,INDEX(TABLAS!$C$52:$C$58,MATCH(CK28,TABLAS!$B$52:$B$58,0))))/(INDEX(TABLAS!$C$52:$C$58,MATCH(CK28,TABLAS!$B$52:$B$58,0))+MAX(DATOS!$C$67,INDEX(TABLAS!$C$52:$C$58,MATCH(CK28,TABLAS!$B$52:$B$58,0)))))))),NOT(OR(AND(ISNUMBER(BR28),BR28&lt;0.005),AND(ISNUMBER(BZ28),BZ28&lt;0.005),AND(ISNUMBER(CH28),CH28&lt;0.005),AND(ISNUMBER(CP28),CP28&lt;0.005))),NOT(LEFT(DT28,2)="NO"),CZ28="CALCULAR FLECHA",LEFT(CT28,2)&lt;&gt;"NO"),"REVISAR: calcular flecha (h_eq &lt; h mín.)"&amp;IF(LEFT(BJ28,5)="FUERA"," · fuera de 3.4.2.1 c)","")&amp;IF(LEFT(DF28,2)="NO"," · REVISAR anclaje en borde discontinuo","")&amp;IF(DS28&gt;0," · respaldo: "&amp;DS28&amp;" hilera(s) de b_w "&amp;AC28&amp;" cm",""),"NO CUMPLE: "&amp;IF(MAX(BQ28,BY28,CG28,CO28)&gt;1,"flexión ","")&amp;IF(OR(BN28&gt;MIN(DATOS!$C$70,INT(((AC28-2*AJ28)+MAX(DATOS!$C$67,INDEX(TABLAS!$C$52:$C$58,MATCH(BM28,TABLAS!$B$52:$B$58,0))))/(INDEX(TABLAS!$C$52:$C$58,MATCH(BM28,TABLAS!$B$52:$B$58,0))+MAX(DATOS!$C$67,INDEX(TABLAS!$C$52:$C$58,MATCH(BM28,TABLAS!$B$52:$B$58,0)))))),BV28&gt;MIN(DATOS!$C$70,INT(((AC28-2*AK28)+MAX(DATOS!$C$67,INDEX(TABLAS!$C$52:$C$58,MATCH(BU28,TABLAS!$B$52:$B$58,0))))/(INDEX(TABLAS!$C$52:$C$58,MATCH(BU28,TABLAS!$B$52:$B$58,0))+MAX(DATOS!$C$67,INDEX(TABLAS!$C$52:$C$58,MATCH(BU28,TABLAS!$B$52:$B$58,0)))))),CD28&gt;MIN(DATOS!$C$70,INT(((DATOS!$C$80-2*AJ28)+MAX(DATOS!$C$67,INDEX(TABLAS!$C$52:$C$58,MATCH(CC28,TABLAS!$B$52:$B$58,0))))/(INDEX(TABLAS!$C$52:$C$58,MATCH(CC28,TABLAS!$B$52:$B$58,0))+MAX(DATOS!$C$67,INDEX(TABLAS!$C$52:$C$58,MATCH(CC28,TABLAS!$B$52:$B$58,0)))))),CL28&gt;MIN(DATOS!$C$70,INT(((DATOS!$C$80-2*AK28)+MAX(DATOS!$C$67,INDEX(TABLAS!$C$52:$C$58,MATCH(CK28,TABLAS!$B$52:$B$58,0))))/(INDEX(TABLAS!$C$52:$C$58,MATCH(CK28,TABLAS!$B$52:$B$58,0))+MAX(DATOS!$C$67,INDEX(TABLAS!$C$52:$C$58,MATCH(CK28,TABLAS!$B$52:$B$58,0))))))),"no caben ","")&amp;IF(OR(AND(ISNUMBER(BR28),BR28&lt;0.005),AND(ISNUMBER(BZ28),BZ28&lt;0.005),AND(ISNUMBER(CH28),CH28&lt;0.005),AND(ISNUMBER(CP28),CP28&lt;0.005)),"ε_t &lt; 0.005 ","")&amp;IF(LEFT(CT28,2)="NO","cortante ","")&amp;IF(CZ28="NO CUMPLE","peralte ","")&amp;IF(DA28&lt;&gt;"CUMPLE","capa &lt; 6 cm ","")&amp;IF(LEFT(DT28,2)="NO","respaldo del volado","")))))))</f>
        <v/>
      </c>
      <c r="DZ28" s="70" t="str">
        <f>IF(U28&lt;&gt;"SÍ","",IF(LEFT(B28,7)="EJEMPLO","EJEMPLO de la hoja de Casa Rocha: bórralo o sobrescríbelo. ","")&amp;IF(AND(C28="PERIMETRAL",MIN(DG28,DH28)=0),"No cabe un casetón en el claro corto: es un tablero macizo, diséñalo en MACIZAS. ","")&amp;IF(AND(AI28="NO",C28="PERIMETRAL"),"No cumple 6.7.8.1.4 (a_c = "&amp;MAX(DATOS!$C$78,AD28)&amp;" cm &gt; claro corto/6 = "&amp;TEXT(X28*100/6,"0")&amp;" cm): se diseña como losa apoyada en vigas (6.7.8.1.9): r de viga = "&amp;DATOS!$C$60&amp;" cm y V_cR sin ×1.1. Para que cuente como encasetonada: casetón de "&amp;TEXT(FLOOR(MIN(80,X28*100/6),1),"0")&amp;" cm o menor. ","")&amp;IF(C28="VOLADO","Volado de "&amp;TEXT(X28,"0.00")&amp;" m empotrado en el borde "&amp;LOWER(V28)&amp;IF(N(O28)&gt;0,", con "&amp;TEXT(O28,"0.0")&amp;" kg/m en la orilla","")&amp;". Lecho inferior con r_ext. Si la orilla carga pretil u otro elemento frágil, calcula la flecha (13.4). El acero superior entra al respaldo de "&amp;TEXT(IF(ISNUMBER(P28),P28,X28),"0.00")&amp;" m"&amp;IF(ISNUMBER(P28),""," (L_b no capturado: se tomó igual al volado)")&amp;" hasta pasar M = 0 con 0.9·PP sin carga viva; si ahí no se anula, llega al apoyo lejano y se ancla con gancho (NTC-Criterios 3.4.1 c y 5.1.2.2). "&amp;IF(AC28&gt;DATOS!$C$80,"Respaldo: "&amp;DT28&amp;". ",""),"")&amp;IF(LEFT(BJ28,5)="FUERA","El M⁻ del vecino difiere más de 50 % (3.4.2.1 c): distribuye el desequilibrio (3.4.3.1) o confirma con un modelo; se arma con el mayor. ","")&amp;IF(OR(DD28="SÍ",DE28="SÍ"),"El M⁻ del borde discontinuo pide bastón también ahí (con gancho). ","")&amp;IF(LEFT(DF28,2)="NO","Anclaje: "&amp;DF28&amp;" (6.7.8.1.7). ","")&amp;IF(OR(AZ28&gt;0,BA28&gt;0),"Esquinas exteriores sobre muro: refuerzo de esquina arriba y abajo en L_largo/5 (6.7.7.3.1). ",""))</f>
        <v/>
      </c>
    </row>
    <row r="29" ht="33" customHeight="1">
      <c r="A29" s="50">
        <f>IF(B29="",0,1)+A28</f>
        <v>4</v>
      </c>
      <c r="B29" s="29" t="n"/>
      <c r="C29" s="51" t="n"/>
      <c r="D29" s="29" t="n"/>
      <c r="E29" s="52" t="n"/>
      <c r="F29" s="52" t="n"/>
      <c r="G29" s="51" t="n"/>
      <c r="H29" s="51" t="n"/>
      <c r="I29" s="51" t="n"/>
      <c r="J29" s="51" t="n"/>
      <c r="K29" s="51" t="n"/>
      <c r="L29" s="51" t="n"/>
      <c r="M29" s="53" t="n"/>
      <c r="N29" s="53" t="n"/>
      <c r="O29" s="54" t="n"/>
      <c r="P29" s="52" t="n"/>
      <c r="Q29" s="53" t="n"/>
      <c r="R29" s="54" t="n"/>
      <c r="S29" s="52" t="n"/>
      <c r="T29" s="52" t="n"/>
      <c r="U29" s="55" t="str">
        <f>IF(B29="","",IF(AND(OR(C29="PERIMETRAL",C29="VOLADO"),ISNUMBER(E29),ISNUMBER(F29),E29&gt;0,F29&gt;0,OR(ISNUMBER(N29),ISNUMBER(MATCH(D29,DATOS!$B$46:$B$55,0)))),"SÍ","NO"))</f>
        <v/>
      </c>
      <c r="V29" s="55" t="str">
        <f>IF(U29&lt;&gt;"SÍ","",IF(C29&lt;&gt;"VOLADO","—",IF(COUNTIF(G29:J29,"CONTINUO")&lt;&gt;1,"?",IF(G29="CONTINUO","INFERIOR",IF(H29="CONTINUO","SUPERIOR",IF(I29="CONTINUO","IZQUIERDO","DERECHO"))))))</f>
        <v/>
      </c>
      <c r="W29" s="55" t="str">
        <f>IF(U29&lt;&gt;"SÍ","",IF(C29="VOLADO",IF(OR(V29="IZQUIERDO",V29="DERECHO"),"X","Y"),IF(E29&lt;=F29,"X","Y")))</f>
        <v/>
      </c>
      <c r="X29" s="56" t="str">
        <f>IF(U29&lt;&gt;"SÍ","",IF(C29="VOLADO",IF(W29="X",E29,F29),MIN(E29,F29)))</f>
        <v/>
      </c>
      <c r="Y29" s="56" t="str">
        <f>IF(U29&lt;&gt;"SÍ","",IF(C29="VOLADO",IF(W29="X",F29,E29),MAX(E29,F29)))</f>
        <v/>
      </c>
      <c r="Z29" s="56" t="str">
        <f>IF(U29&lt;&gt;"SÍ","",MIN(X29,Y29)/MAX(X29,Y29))</f>
        <v/>
      </c>
      <c r="AA29" s="57" t="str">
        <f>IF(U29&lt;&gt;"SÍ","",MAX(1,X29*100-IF(C29="VOLADO",DATOS!$C$84/2,DATOS!$C$84)))</f>
        <v/>
      </c>
      <c r="AB29" s="57" t="str">
        <f>IF(U29&lt;&gt;"SÍ","",MAX(1,Y29*100-DATOS!$C$84))</f>
        <v/>
      </c>
      <c r="AC29" s="57" t="str">
        <f>IF(U29&lt;&gt;"SÍ","",IF(ISNUMBER(Q29),Q29,DATOS!$C$80))</f>
        <v/>
      </c>
      <c r="AD29" s="57" t="str">
        <f>IF(U29&lt;&gt;"SÍ","",MAX(0,DATOS!$C$83-AC29))</f>
        <v/>
      </c>
      <c r="AE29" s="57" t="str">
        <f>IF(U29&lt;&gt;"SÍ","",IF(OR(DATOS!$C$62="SÍ",AC29&gt;=20),AC29,AC29-2))</f>
        <v/>
      </c>
      <c r="AF29" s="57" t="str">
        <f>IF(U29&lt;&gt;"SÍ","",IF(OR(DATOS!$C$62="SÍ",DATOS!$C$80&gt;=20),DATOS!$C$80,DATOS!$C$80-2))</f>
        <v/>
      </c>
      <c r="AG29" s="57" t="str">
        <f>IF(U29&lt;&gt;"SÍ","",MIN(DATOS!$C$83,AC29+2*MIN(8*DATOS!$C$81,AD29/2,AA29/8)))</f>
        <v/>
      </c>
      <c r="AH29" s="57" t="str">
        <f>IF(U29&lt;&gt;"SÍ","",MIN(DATOS!$C$83,DATOS!$C$80+2*MIN(8*DATOS!$C$81,DATOS!$C$78/2,AB29/8)))</f>
        <v/>
      </c>
      <c r="AI29" s="55" t="str">
        <f>IF(U29&lt;&gt;"SÍ","",IF(AND(C29="PERIMETRAL",X29*100&gt;=6*MAX(DATOS!$C$78,AD29),MAX(DATOS!$C$78,AD29)&lt;=80,MIN(DATOS!$C$80,AC29)&gt;=10,DATOS!$C$82&lt;=3.5*MIN(DATOS!$C$80,AC29),DATOS!$C$81&gt;=MAX(MAX(DATOS!$C$78,AD29)/13,5)),"SÍ","NO"))</f>
        <v/>
      </c>
      <c r="AJ29" s="57" t="str">
        <f>IF(U29&lt;&gt;"SÍ","",IF(C29="VOLADO",DATOS!$C$61,IF(AI29="NO",DATOS!$C$60,DATOS!$C$59)))</f>
        <v/>
      </c>
      <c r="AK29" s="57" t="str">
        <f>IF(U29&lt;&gt;"SÍ","",IF(OR(AND(AM29="SÍ",DATOS!$C$63="SÍ"),AND(C29="VOLADO",DATOS!$C$64="SÍ")),DATOS!$C$61,IF(AI29="NO",DATOS!$C$60,DATOS!$C$59)))</f>
        <v/>
      </c>
      <c r="AL29" s="58" t="str">
        <f>IF(U29&lt;&gt;"SÍ","",MAX(AK29,(DATOS!$C$81-2*DATOS!$C$94)/2))</f>
        <v/>
      </c>
      <c r="AM29" s="55" t="str">
        <f>IF(U29&lt;&gt;"SÍ","",IFERROR(INDEX(DATOS!$D$46:$D$55,MATCH(D29,DATOS!$B$46:$B$55,0)),"NO"))</f>
        <v/>
      </c>
      <c r="AN29" s="59" t="str">
        <f>IF(U29&lt;&gt;"SÍ","",IF(ISNUMBER(N29),N29,IFERROR(INDEX(DATOS!$C$46:$C$55,MATCH(D29,DATOS!$B$46:$B$55,0)),0)))</f>
        <v/>
      </c>
      <c r="AO29" s="59" t="str">
        <f>IF(U29&lt;&gt;"SÍ","",(DATOS!$C$82/100-(AD29*DATOS!$C$78/DATOS!$C$83^2)*DATOS!$C$79/100)*DATOS!$C$16*1000+(AD29*DATOS!$C$78/DATOS!$C$83^2)*DATOS!$C$79/100*DATOS!$C$17*1000+DATOS!$C$37+DATOS!$C$38)</f>
        <v/>
      </c>
      <c r="AP29" s="59" t="str">
        <f>IF(U29&lt;&gt;"SÍ","",AO29+N(M29))</f>
        <v/>
      </c>
      <c r="AQ29" s="60" t="str">
        <f>IF(U29&lt;&gt;"SÍ","",MAX(DATOS!$C$26*AP29+DATOS!$C$27*AN29,IF(AM29="SÍ",DATOS!$C$28*(AP29+DATOS!$C$41),0)))</f>
        <v/>
      </c>
      <c r="AR29" s="59" t="str">
        <f>IF(U29&lt;&gt;"SÍ","",(G29="DISCONTINUO")+(H29="DISCONTINUO")+(I29="DISCONTINUO")+(J29="DISCONTINUO"))</f>
        <v/>
      </c>
      <c r="AS29" s="59" t="str">
        <f>IF(U29&lt;&gt;"SÍ","",IF(W29="X",(G29="DISCONTINUO")+(H29="DISCONTINUO"),(I29="DISCONTINUO")+(J29="DISCONTINUO")))</f>
        <v/>
      </c>
      <c r="AT29" s="55" t="str">
        <f>IF(U29&lt;&gt;"SÍ","",IF(AR29=0,"INTERIOR",IF(AR29=1,IF(AS29=1,"BORDE-CORTO","BORDE-LARGO"),IF(AR29=2,IF(AS29=1,"ESQUINA",IF(AS29=2,"EXTREMO-LARGO","EXTREMO-CORTO")),IF(AR29=3,IF(AS29=2,"EXTREMO-LARGO","EXTREMO-CORTO"),"AISLADO")))))</f>
        <v/>
      </c>
      <c r="AU29" s="61" t="str">
        <f>IF(U29&lt;&gt;"SÍ","",IF(OR(K29="",K29="AUTO"),AT29,K29))</f>
        <v/>
      </c>
      <c r="AV29" s="59" t="str">
        <f>IF(U29&lt;&gt;"SÍ","",MATCH(Z29,TABLAS!$D$5:$J$5,1))</f>
        <v/>
      </c>
      <c r="AW29" s="58" t="str">
        <f>IF(U29&lt;&gt;"SÍ","",IF(AV29&gt;=7,0,(Z29-INDEX(TABLAS!$D$5:$J$5,AV29))/(INDEX(TABLAS!$D$5:$J$5,AV29+1)-INDEX(TABLAS!$D$5:$J$5,AV29))))</f>
        <v/>
      </c>
      <c r="AX29" s="59" t="str">
        <f>IF(U29&lt;&gt;"SÍ","",INDEX(TABLAS!$D$6:$J$47,MATCH(AU29&amp;"|NIC",TABLAS!$B$6:$B$47,0),AV29)+AW29*(INDEX(TABLAS!$D$6:$J$47,MATCH(AU29&amp;"|NIC",TABLAS!$B$6:$B$47,0),MIN(AV29+1,7))-INDEX(TABLAS!$D$6:$J$47,MATCH(AU29&amp;"|NIC",TABLAS!$B$6:$B$47,0),AV29)))</f>
        <v/>
      </c>
      <c r="AY29" s="59" t="str">
        <f>IF(U29&lt;&gt;"SÍ","",INDEX(TABLAS!$D$6:$J$47,MATCH(AU29&amp;"|NIL",TABLAS!$B$6:$B$47,0),AV29)+AW29*(INDEX(TABLAS!$D$6:$J$47,MATCH(AU29&amp;"|NIL",TABLAS!$B$6:$B$47,0),MIN(AV29+1,7))-INDEX(TABLAS!$D$6:$J$47,MATCH(AU29&amp;"|NIL",TABLAS!$B$6:$B$47,0),AV29)))</f>
        <v/>
      </c>
      <c r="AZ29" s="59" t="str">
        <f>IF(U29&lt;&gt;"SÍ","",INDEX(TABLAS!$D$6:$J$47,MATCH(AU29&amp;"|NDC",TABLAS!$B$6:$B$47,0),AV29)+AW29*(INDEX(TABLAS!$D$6:$J$47,MATCH(AU29&amp;"|NDC",TABLAS!$B$6:$B$47,0),MIN(AV29+1,7))-INDEX(TABLAS!$D$6:$J$47,MATCH(AU29&amp;"|NDC",TABLAS!$B$6:$B$47,0),AV29)))</f>
        <v/>
      </c>
      <c r="BA29" s="59" t="str">
        <f>IF(U29&lt;&gt;"SÍ","",INDEX(TABLAS!$D$6:$J$47,MATCH(AU29&amp;"|NDL",TABLAS!$B$6:$B$47,0),AV29)+AW29*(INDEX(TABLAS!$D$6:$J$47,MATCH(AU29&amp;"|NDL",TABLAS!$B$6:$B$47,0),MIN(AV29+1,7))-INDEX(TABLAS!$D$6:$J$47,MATCH(AU29&amp;"|NDL",TABLAS!$B$6:$B$47,0),AV29)))</f>
        <v/>
      </c>
      <c r="BB29" s="59" t="str">
        <f>IF(U29&lt;&gt;"SÍ","",INDEX(TABLAS!$D$6:$J$47,MATCH(AU29&amp;"|PC",TABLAS!$B$6:$B$47,0),AV29)+AW29*(INDEX(TABLAS!$D$6:$J$47,MATCH(AU29&amp;"|PC",TABLAS!$B$6:$B$47,0),MIN(AV29+1,7))-INDEX(TABLAS!$D$6:$J$47,MATCH(AU29&amp;"|PC",TABLAS!$B$6:$B$47,0),AV29)))</f>
        <v/>
      </c>
      <c r="BC29" s="59" t="str">
        <f>IF(U29&lt;&gt;"SÍ","",INDEX(TABLAS!$D$6:$J$47,MATCH(AU29&amp;"|PL",TABLAS!$B$6:$B$47,0),AV29)+AW29*(INDEX(TABLAS!$D$6:$J$47,MATCH(AU29&amp;"|PL",TABLAS!$B$6:$B$47,0),MIN(AV29+1,7))-INDEX(TABLAS!$D$6:$J$47,MATCH(AU29&amp;"|PL",TABLAS!$B$6:$B$47,0),AV29)))</f>
        <v/>
      </c>
      <c r="BD29" s="56" t="str">
        <f>IF(U29&lt;&gt;"SÍ","",IF(C29&lt;&gt;"VOLADO",0,DATOS!$C$26*DATOS!$C$16*DATOS!$C$83/100*(((AD29*DATOS!$C$78/DATOS!$C$83^2)*DATOS!$C$79/100)*(IF(W29="X",DI29,DJ29)+DATOS!$C$84/2)/100*(AA29-(IF(W29="X",DI29,DJ29)+DATOS!$C$84/2)/2)/100+((AD29*DATOS!$C$78/DATOS!$C$83^2)*DATOS!$C$79/100)*IF(W29="X",DI29,DJ29)/100*IF(W29="X",DI29,DJ29)/200)))</f>
        <v/>
      </c>
      <c r="BE29" s="56" t="str">
        <f>IF(U29&lt;&gt;"SÍ","",IF(C29&lt;&gt;"VOLADO",0,DATOS!$C$26*DATOS!$C$16*DATOS!$C$83/100*((AD29*DATOS!$C$78/DATOS!$C$83^2)*DATOS!$C$79/100)*(IF(W29="X",DI29,DJ29)+DATOS!$C$84/2)/100))</f>
        <v/>
      </c>
      <c r="BF29" s="56" t="str">
        <f>IF(U29&lt;&gt;"SÍ","",IF(C29="PERIMETRAL",BB29*AQ29*X29^2*1E-4*DATOS!$C$83/100/1000,0))</f>
        <v/>
      </c>
      <c r="BG29" s="62" t="str">
        <f>IF(U29&lt;&gt;"SÍ","",IF(C29="PERIMETRAL",MAX(MAX(AX29,AZ29)*AQ29*X29^2*1E-4*DATOS!$C$83/100/1000,N(S29)),(AQ29*(AA29/100)^2/2+DATOS!$C$26*N(O29)*AA29/100)*DATOS!$C$83/100/1000+BD29))</f>
        <v/>
      </c>
      <c r="BH29" s="56" t="str">
        <f>IF(U29&lt;&gt;"SÍ","",IF(C29="PERIMETRAL",BC29*AQ29*X29^2*1E-4*DATOS!$C$83/100/1000,0))</f>
        <v/>
      </c>
      <c r="BI29" s="56" t="str">
        <f>IF(U29&lt;&gt;"SÍ","",IF(C29="PERIMETRAL",MAX(MAX(AY29,BA29)*AQ29*X29^2*1E-4*DATOS!$C$83/100/1000,N(T29)),0))</f>
        <v/>
      </c>
      <c r="BJ29" s="63" t="str">
        <f>IF(U29&lt;&gt;"SÍ","",IF(C29&lt;&gt;"PERIMETRAL","—",IF(AND(N(S29)=0,N(T29)=0),"— (sin M⁻ del vecino)",IF(OR(AND(N(S29)&gt;0,ABS(MAX(AX29,AZ29)*AQ29*X29^2*1E-4*DATOS!$C$83/100/1000-N(S29))&gt;0.5*MIN(MAX(AX29,AZ29)*AQ29*X29^2*1E-4*DATOS!$C$83/100/1000,N(S29))),AND(N(T29)&gt;0,ABS(MAX(AY29,BA29)*AQ29*X29^2*1E-4*DATOS!$C$83/100/1000-N(T29))&gt;0.5*MIN(MAX(AY29,BA29)*AQ29*X29^2*1E-4*DATOS!$C$83/100/1000,N(T29)))),"FUERA: difieren &gt; 50 %"&amp;IF(AND(N(S29)&gt;0,ABS(MAX(AX29,AZ29)*AQ29*X29^2*1E-4*DATOS!$C$83/100/1000-N(S29))&gt;0.5*MIN(MAX(AX29,AZ29)*AQ29*X29^2*1E-4*DATOS!$C$83/100/1000,N(S29)))," ‖ corto","")&amp;IF(AND(N(T29)&gt;0,ABS(MAX(AY29,BA29)*AQ29*X29^2*1E-4*DATOS!$C$83/100/1000-N(T29))&gt;0.5*MIN(MAX(AY29,BA29)*AQ29*X29^2*1E-4*DATOS!$C$83/100/1000,N(T29)))," ‖ largo",""),"CUMPLE"))))</f>
        <v/>
      </c>
      <c r="BK29" s="58" t="str">
        <f>IF(U29&lt;&gt;"SÍ","",(DATOS!$C$82-AJ29-INDEX(TABLAS!$C$52:$C$58,MATCH(DATOS!$C$68,TABLAS!$B$52:$B$58,0))/2))</f>
        <v/>
      </c>
      <c r="BL29" s="58" t="str">
        <f>IF(U29&lt;&gt;"SÍ","",IF(IF(BF29&lt;=0,0,IF((1-2*BF29*1E5/(DATOS!$C$29*AG29*BK29^2*DATOS!$C$21))&lt;0,-1,IF((1-SQRT((1-2*BF29*1E5/(DATOS!$C$29*AG29*BK29^2*DATOS!$C$21))))*DATOS!$C$21*AG29*BK29/DATOS!$C$14&gt;DATOS!$C$99*AG29*BK29,-1,(1-SQRT((1-2*BF29*1E5/(DATOS!$C$29*AG29*BK29^2*DATOS!$C$21))))*DATOS!$C$21*AG29*BK29/DATOS!$C$14)))&lt;0,-1,MAX(IF(BF29&lt;=0,0,IF((1-2*BF29*1E5/(DATOS!$C$29*AG29*BK29^2*DATOS!$C$21))&lt;0,-1,IF((1-SQRT((1-2*BF29*1E5/(DATOS!$C$29*AG29*BK29^2*DATOS!$C$21))))*DATOS!$C$21*AG29*BK29/DATOS!$C$14&gt;DATOS!$C$99*AG29*BK29,-1,(1-SQRT((1-2*BF29*1E5/(DATOS!$C$29*AG29*BK29^2*DATOS!$C$21))))*DATOS!$C$21*AG29*BK29/DATOS!$C$14))),MIN(DATOS!$C$100*AC29*BK29,4/3*IF(BF29&lt;=0,0,IF((1-2*BF29*1E5/(DATOS!$C$29*AG29*BK29^2*DATOS!$C$21))&lt;0,-1,IF((1-SQRT((1-2*BF29*1E5/(DATOS!$C$29*AG29*BK29^2*DATOS!$C$21))))*DATOS!$C$21*AG29*BK29/DATOS!$C$14&gt;DATOS!$C$99*AG29*BK29,-1,(1-SQRT((1-2*BF29*1E5/(DATOS!$C$29*AG29*BK29^2*DATOS!$C$21))))*DATOS!$C$21*AG29*BK29/DATOS!$C$14)))))))</f>
        <v/>
      </c>
      <c r="BM29" s="64" t="str">
        <f>IF(U29&lt;&gt;"SÍ","",IF(AND(BL29&gt;=0,IF(MAX(DATOS!$C$71,CEILING(BL29/INDEX(TABLAS!$D$52:$D$58,MIN(MATCH(DATOS!$C$68,TABLAS!$B$52:$B$58,0)+0,7)),1))*INDEX(TABLAS!$D$52:$D$58,MIN(MATCH(DATOS!$C$68,TABLAS!$B$52:$B$58,0)+0,7))&gt;=4/3*IF(BF29&lt;=0,0,IF((1-2*BF29*1E5/(DATOS!$C$29*AG29*BK29^2*DATOS!$C$21))&lt;0,-1,IF((1-SQRT((1-2*BF29*1E5/(DATOS!$C$29*AG29*BK29^2*DATOS!$C$21))))*DATOS!$C$21*AG29*BK29/DATOS!$C$14&gt;DATOS!$C$99*AG29*BK29,-1,(1-SQRT((1-2*BF29*1E5/(DATOS!$C$29*AG29*BK29^2*DATOS!$C$21))))*DATOS!$C$21*AG29*BK29/DATOS!$C$14)))-0.0001,MAX(DATOS!$C$71,CEILING(BL29/INDEX(TABLAS!$D$52:$D$58,MIN(MATCH(DATOS!$C$68,TABLAS!$B$52:$B$58,0)+0,7)),1)),MAX(MAX(DATOS!$C$71,CEILING(BL29/INDEX(TABLAS!$D$52:$D$58,MIN(MATCH(DATOS!$C$68,TABLAS!$B$52:$B$58,0)+0,7)),1)),2))&lt;=MIN(DATOS!$C$70,INT(((AC29-2*AJ29)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29&gt;=0,IF(MAX(DATOS!$C$71,CEILING(BL29/INDEX(TABLAS!$D$52:$D$58,MIN(MATCH(DATOS!$C$68,TABLAS!$B$52:$B$58,0)+1,7)),1))*INDEX(TABLAS!$D$52:$D$58,MIN(MATCH(DATOS!$C$68,TABLAS!$B$52:$B$58,0)+1,7))&gt;=4/3*IF(BF29&lt;=0,0,IF((1-2*BF29*1E5/(DATOS!$C$29*AG29*BK29^2*DATOS!$C$21))&lt;0,-1,IF((1-SQRT((1-2*BF29*1E5/(DATOS!$C$29*AG29*BK29^2*DATOS!$C$21))))*DATOS!$C$21*AG29*BK29/DATOS!$C$14&gt;DATOS!$C$99*AG29*BK29,-1,(1-SQRT((1-2*BF29*1E5/(DATOS!$C$29*AG29*BK29^2*DATOS!$C$21))))*DATOS!$C$21*AG29*BK29/DATOS!$C$14)))-0.0001,MAX(DATOS!$C$71,CEILING(BL29/INDEX(TABLAS!$D$52:$D$58,MIN(MATCH(DATOS!$C$68,TABLAS!$B$52:$B$58,0)+1,7)),1)),MAX(MAX(DATOS!$C$71,CEILING(BL29/INDEX(TABLAS!$D$52:$D$58,MIN(MATCH(DATOS!$C$68,TABLAS!$B$52:$B$58,0)+1,7)),1)),2))&lt;=MIN(DATOS!$C$70,INT(((AC29-2*AJ29)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29&gt;=0,IF(MAX(DATOS!$C$71,CEILING(BL29/INDEX(TABLAS!$D$52:$D$58,MIN(MATCH(DATOS!$C$68,TABLAS!$B$52:$B$58,0)+2,7)),1))*INDEX(TABLAS!$D$52:$D$58,MIN(MATCH(DATOS!$C$68,TABLAS!$B$52:$B$58,0)+2,7))&gt;=4/3*IF(BF29&lt;=0,0,IF((1-2*BF29*1E5/(DATOS!$C$29*AG29*BK29^2*DATOS!$C$21))&lt;0,-1,IF((1-SQRT((1-2*BF29*1E5/(DATOS!$C$29*AG29*BK29^2*DATOS!$C$21))))*DATOS!$C$21*AG29*BK29/DATOS!$C$14&gt;DATOS!$C$99*AG29*BK29,-1,(1-SQRT((1-2*BF29*1E5/(DATOS!$C$29*AG29*BK29^2*DATOS!$C$21))))*DATOS!$C$21*AG29*BK29/DATOS!$C$14)))-0.0001,MAX(DATOS!$C$71,CEILING(BL29/INDEX(TABLAS!$D$52:$D$58,MIN(MATCH(DATOS!$C$68,TABLAS!$B$52:$B$58,0)+2,7)),1)),MAX(MAX(DATOS!$C$71,CEILING(BL29/INDEX(TABLAS!$D$52:$D$58,MIN(MATCH(DATOS!$C$68,TABLAS!$B$52:$B$58,0)+2,7)),1)),2))&lt;=MIN(DATOS!$C$70,INT(((AC29-2*AJ29)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29&gt;=0,IF(MAX(DATOS!$C$71,CEILING(BL29/INDEX(TABLAS!$D$52:$D$58,MIN(MATCH(DATOS!$C$68,TABLAS!$B$52:$B$58,0)+3,7)),1))*INDEX(TABLAS!$D$52:$D$58,MIN(MATCH(DATOS!$C$68,TABLAS!$B$52:$B$58,0)+3,7))&gt;=4/3*IF(BF29&lt;=0,0,IF((1-2*BF29*1E5/(DATOS!$C$29*AG29*BK29^2*DATOS!$C$21))&lt;0,-1,IF((1-SQRT((1-2*BF29*1E5/(DATOS!$C$29*AG29*BK29^2*DATOS!$C$21))))*DATOS!$C$21*AG29*BK29/DATOS!$C$14&gt;DATOS!$C$99*AG29*BK29,-1,(1-SQRT((1-2*BF29*1E5/(DATOS!$C$29*AG29*BK29^2*DATOS!$C$21))))*DATOS!$C$21*AG29*BK29/DATOS!$C$14)))-0.0001,MAX(DATOS!$C$71,CEILING(BL29/INDEX(TABLAS!$D$52:$D$58,MIN(MATCH(DATOS!$C$68,TABLAS!$B$52:$B$58,0)+3,7)),1)),MAX(MAX(DATOS!$C$71,CEILING(BL29/INDEX(TABLAS!$D$52:$D$58,MIN(MATCH(DATOS!$C$68,TABLAS!$B$52:$B$58,0)+3,7)),1)),2))&lt;=MIN(DATOS!$C$70,INT(((AC29-2*AJ29)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29&gt;=0,IF(MAX(DATOS!$C$71,CEILING(BL29/INDEX(TABLAS!$D$52:$D$58,MIN(MATCH(DATOS!$C$68,TABLAS!$B$52:$B$58,0)+4,7)),1))*INDEX(TABLAS!$D$52:$D$58,MIN(MATCH(DATOS!$C$68,TABLAS!$B$52:$B$58,0)+4,7))&gt;=4/3*IF(BF29&lt;=0,0,IF((1-2*BF29*1E5/(DATOS!$C$29*AG29*BK29^2*DATOS!$C$21))&lt;0,-1,IF((1-SQRT((1-2*BF29*1E5/(DATOS!$C$29*AG29*BK29^2*DATOS!$C$21))))*DATOS!$C$21*AG29*BK29/DATOS!$C$14&gt;DATOS!$C$99*AG29*BK29,-1,(1-SQRT((1-2*BF29*1E5/(DATOS!$C$29*AG29*BK29^2*DATOS!$C$21))))*DATOS!$C$21*AG29*BK29/DATOS!$C$14)))-0.0001,MAX(DATOS!$C$71,CEILING(BL29/INDEX(TABLAS!$D$52:$D$58,MIN(MATCH(DATOS!$C$68,TABLAS!$B$52:$B$58,0)+4,7)),1)),MAX(MAX(DATOS!$C$71,CEILING(BL29/INDEX(TABLAS!$D$52:$D$58,MIN(MATCH(DATOS!$C$68,TABLAS!$B$52:$B$58,0)+4,7)),1)),2))&lt;=MIN(DATOS!$C$70,INT(((AC29-2*AJ29)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29" s="59" t="str">
        <f>IF(U29&lt;&gt;"SÍ","",IF(BL29&lt;0,0,IF(MAX(DATOS!$C$71,CEILING(MAX(BL29,0)/INDEX(TABLAS!$D$52:$D$58,MATCH(BM29,TABLAS!$B$52:$B$58,0)),1))*INDEX(TABLAS!$D$52:$D$58,MATCH(BM29,TABLAS!$B$52:$B$58,0))&gt;=4/3*IF(BF29&lt;=0,0,IF((1-2*BF29*1E5/(DATOS!$C$29*AG29*BK29^2*DATOS!$C$21))&lt;0,-1,IF((1-SQRT((1-2*BF29*1E5/(DATOS!$C$29*AG29*BK29^2*DATOS!$C$21))))*DATOS!$C$21*AG29*BK29/DATOS!$C$14&gt;DATOS!$C$99*AG29*BK29,-1,(1-SQRT((1-2*BF29*1E5/(DATOS!$C$29*AG29*BK29^2*DATOS!$C$21))))*DATOS!$C$21*AG29*BK29/DATOS!$C$14)))-0.0001,MAX(DATOS!$C$71,CEILING(MAX(BL29,0)/INDEX(TABLAS!$D$52:$D$58,MATCH(BM29,TABLAS!$B$52:$B$58,0)),1)),MAX(MAX(DATOS!$C$71,CEILING(MAX(BL29,0)/INDEX(TABLAS!$D$52:$D$58,MATCH(BM29,TABLAS!$B$52:$B$58,0)),1)),2))))</f>
        <v/>
      </c>
      <c r="BO29" s="58" t="str">
        <f>IF(U29&lt;&gt;"SÍ","",DATOS!$C$82-AJ29-INDEX(TABLAS!$C$52:$C$58,MATCH(BM29,TABLAS!$B$52:$B$58,0))/2)</f>
        <v/>
      </c>
      <c r="BP29" s="56" t="str">
        <f>IF(U29&lt;&gt;"SÍ","",IF(BN29=0,0,DATOS!$C$29*BN29*INDEX(TABLAS!$D$52:$D$58,MATCH(BM29,TABLAS!$B$52:$B$58,0))*DATOS!$C$14*(BO29-BN29*INDEX(TABLAS!$D$52:$D$58,MATCH(BM29,TABLAS!$B$52:$B$58,0))*DATOS!$C$14/(DATOS!$C$21*AG29)/2)/1E5))</f>
        <v/>
      </c>
      <c r="BQ29" s="65" t="str">
        <f>IF(U29&lt;&gt;"SÍ","",IF(BL29&lt;0,9.99,IF(BP29&gt;0,BF29/BP29,0)))</f>
        <v/>
      </c>
      <c r="BR29" s="66" t="str">
        <f>IF(U29&lt;&gt;"SÍ","",IF(BN29=0,"—",0.003*(BO29-(BN29*INDEX(TABLAS!$D$52:$D$58,MATCH(BM29,TABLAS!$B$52:$B$58,0))*DATOS!$C$14/(DATOS!$C$21*AG29)/DATOS!$C$22))/(BN29*INDEX(TABLAS!$D$52:$D$58,MATCH(BM29,TABLAS!$B$52:$B$58,0))*DATOS!$C$14/(DATOS!$C$21*AG29)/DATOS!$C$22)))</f>
        <v/>
      </c>
      <c r="BS29" s="58" t="str">
        <f>IF(U29&lt;&gt;"SÍ","",((DATOS!$C$82-AL29-2*DATOS!$C$94-INDEX(TABLAS!$C$52:$C$58,MATCH(DATOS!$C$69,TABLAS!$B$52:$B$58,0))/2)-IF(AND((DATOS!$C$82-AL29-2*DATOS!$C$94-INDEX(TABLAS!$C$52:$C$58,MATCH(DATOS!$C$69,TABLAS!$B$52:$B$58,0))/2)&lt;=20,DATOS!$C$62&lt;&gt;"SÍ"),2,0)))</f>
        <v/>
      </c>
      <c r="BT29" s="58" t="str">
        <f>IF(U29&lt;&gt;"SÍ","",IF(IF(BG29&lt;=0,0,IF((1-2*BG29*1E5/(DATOS!$C$29*AE29*BS29^2*DATOS!$C$21))&lt;0,-1,IF((1-SQRT((1-2*BG29*1E5/(DATOS!$C$29*AE29*BS29^2*DATOS!$C$21))))*DATOS!$C$21*AE29*BS29/DATOS!$C$14&gt;DATOS!$C$99*AE29*BS29,-1,(1-SQRT((1-2*BG29*1E5/(DATOS!$C$29*AE29*BS29^2*DATOS!$C$21))))*DATOS!$C$21*AE29*BS29/DATOS!$C$14)))&lt;0,-1,MAX(IF(BG29&lt;=0,0,IF((1-2*BG29*1E5/(DATOS!$C$29*AE29*BS29^2*DATOS!$C$21))&lt;0,-1,IF((1-SQRT((1-2*BG29*1E5/(DATOS!$C$29*AE29*BS29^2*DATOS!$C$21))))*DATOS!$C$21*AE29*BS29/DATOS!$C$14&gt;DATOS!$C$99*AE29*BS29,-1,(1-SQRT((1-2*BG29*1E5/(DATOS!$C$29*AE29*BS29^2*DATOS!$C$21))))*DATOS!$C$21*AE29*BS29/DATOS!$C$14))),MIN(DATOS!$C$100*IF(C29="VOLADO",MIN(AG29,2*AC29),AC29)*BS29,4/3*IF(BG29&lt;=0,0,IF((1-2*BG29*1E5/(DATOS!$C$29*AE29*BS29^2*DATOS!$C$21))&lt;0,-1,IF((1-SQRT((1-2*BG29*1E5/(DATOS!$C$29*AE29*BS29^2*DATOS!$C$21))))*DATOS!$C$21*AE29*BS29/DATOS!$C$14&gt;DATOS!$C$99*AE29*BS29,-1,(1-SQRT((1-2*BG29*1E5/(DATOS!$C$29*AE29*BS29^2*DATOS!$C$21))))*DATOS!$C$21*AE29*BS29/DATOS!$C$14)))))))</f>
        <v/>
      </c>
      <c r="BU29" s="64" t="str">
        <f>IF(U29&lt;&gt;"SÍ","",IF(AND(BT29&gt;=0,IF(MAX(DATOS!$C$71,CEILING(BT29/INDEX(TABLAS!$D$52:$D$58,MIN(MATCH(DATOS!$C$69,TABLAS!$B$52:$B$58,0)+0,7)),1))*INDEX(TABLAS!$D$52:$D$58,MIN(MATCH(DATOS!$C$69,TABLAS!$B$52:$B$58,0)+0,7))&gt;=4/3*IF(BG29&lt;=0,0,IF((1-2*BG29*1E5/(DATOS!$C$29*AE29*BS29^2*DATOS!$C$21))&lt;0,-1,IF((1-SQRT((1-2*BG29*1E5/(DATOS!$C$29*AE29*BS29^2*DATOS!$C$21))))*DATOS!$C$21*AE29*BS29/DATOS!$C$14&gt;DATOS!$C$99*AE29*BS29,-1,(1-SQRT((1-2*BG29*1E5/(DATOS!$C$29*AE29*BS29^2*DATOS!$C$21))))*DATOS!$C$21*AE29*BS29/DATOS!$C$14)))-0.0001,MAX(DATOS!$C$71,CEILING(BT29/INDEX(TABLAS!$D$52:$D$58,MIN(MATCH(DATOS!$C$69,TABLAS!$B$52:$B$58,0)+0,7)),1)),MAX(MAX(DATOS!$C$71,CEILING(BT29/INDEX(TABLAS!$D$52:$D$58,MIN(MATCH(DATOS!$C$69,TABLAS!$B$52:$B$58,0)+0,7)),1)),2))&lt;=MIN(DATOS!$C$70,INT(((AC29-2*AK29)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29&gt;=0,IF(MAX(DATOS!$C$71,CEILING(BT29/INDEX(TABLAS!$D$52:$D$58,MIN(MATCH(DATOS!$C$69,TABLAS!$B$52:$B$58,0)+1,7)),1))*INDEX(TABLAS!$D$52:$D$58,MIN(MATCH(DATOS!$C$69,TABLAS!$B$52:$B$58,0)+1,7))&gt;=4/3*IF(BG29&lt;=0,0,IF((1-2*BG29*1E5/(DATOS!$C$29*AE29*BS29^2*DATOS!$C$21))&lt;0,-1,IF((1-SQRT((1-2*BG29*1E5/(DATOS!$C$29*AE29*BS29^2*DATOS!$C$21))))*DATOS!$C$21*AE29*BS29/DATOS!$C$14&gt;DATOS!$C$99*AE29*BS29,-1,(1-SQRT((1-2*BG29*1E5/(DATOS!$C$29*AE29*BS29^2*DATOS!$C$21))))*DATOS!$C$21*AE29*BS29/DATOS!$C$14)))-0.0001,MAX(DATOS!$C$71,CEILING(BT29/INDEX(TABLAS!$D$52:$D$58,MIN(MATCH(DATOS!$C$69,TABLAS!$B$52:$B$58,0)+1,7)),1)),MAX(MAX(DATOS!$C$71,CEILING(BT29/INDEX(TABLAS!$D$52:$D$58,MIN(MATCH(DATOS!$C$69,TABLAS!$B$52:$B$58,0)+1,7)),1)),2))&lt;=MIN(DATOS!$C$70,INT(((AC29-2*AK29)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29&gt;=0,IF(MAX(DATOS!$C$71,CEILING(BT29/INDEX(TABLAS!$D$52:$D$58,MIN(MATCH(DATOS!$C$69,TABLAS!$B$52:$B$58,0)+2,7)),1))*INDEX(TABLAS!$D$52:$D$58,MIN(MATCH(DATOS!$C$69,TABLAS!$B$52:$B$58,0)+2,7))&gt;=4/3*IF(BG29&lt;=0,0,IF((1-2*BG29*1E5/(DATOS!$C$29*AE29*BS29^2*DATOS!$C$21))&lt;0,-1,IF((1-SQRT((1-2*BG29*1E5/(DATOS!$C$29*AE29*BS29^2*DATOS!$C$21))))*DATOS!$C$21*AE29*BS29/DATOS!$C$14&gt;DATOS!$C$99*AE29*BS29,-1,(1-SQRT((1-2*BG29*1E5/(DATOS!$C$29*AE29*BS29^2*DATOS!$C$21))))*DATOS!$C$21*AE29*BS29/DATOS!$C$14)))-0.0001,MAX(DATOS!$C$71,CEILING(BT29/INDEX(TABLAS!$D$52:$D$58,MIN(MATCH(DATOS!$C$69,TABLAS!$B$52:$B$58,0)+2,7)),1)),MAX(MAX(DATOS!$C$71,CEILING(BT29/INDEX(TABLAS!$D$52:$D$58,MIN(MATCH(DATOS!$C$69,TABLAS!$B$52:$B$58,0)+2,7)),1)),2))&lt;=MIN(DATOS!$C$70,INT(((AC29-2*AK29)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29&gt;=0,IF(MAX(DATOS!$C$71,CEILING(BT29/INDEX(TABLAS!$D$52:$D$58,MIN(MATCH(DATOS!$C$69,TABLAS!$B$52:$B$58,0)+3,7)),1))*INDEX(TABLAS!$D$52:$D$58,MIN(MATCH(DATOS!$C$69,TABLAS!$B$52:$B$58,0)+3,7))&gt;=4/3*IF(BG29&lt;=0,0,IF((1-2*BG29*1E5/(DATOS!$C$29*AE29*BS29^2*DATOS!$C$21))&lt;0,-1,IF((1-SQRT((1-2*BG29*1E5/(DATOS!$C$29*AE29*BS29^2*DATOS!$C$21))))*DATOS!$C$21*AE29*BS29/DATOS!$C$14&gt;DATOS!$C$99*AE29*BS29,-1,(1-SQRT((1-2*BG29*1E5/(DATOS!$C$29*AE29*BS29^2*DATOS!$C$21))))*DATOS!$C$21*AE29*BS29/DATOS!$C$14)))-0.0001,MAX(DATOS!$C$71,CEILING(BT29/INDEX(TABLAS!$D$52:$D$58,MIN(MATCH(DATOS!$C$69,TABLAS!$B$52:$B$58,0)+3,7)),1)),MAX(MAX(DATOS!$C$71,CEILING(BT29/INDEX(TABLAS!$D$52:$D$58,MIN(MATCH(DATOS!$C$69,TABLAS!$B$52:$B$58,0)+3,7)),1)),2))&lt;=MIN(DATOS!$C$70,INT(((AC29-2*AK29)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29&gt;=0,IF(MAX(DATOS!$C$71,CEILING(BT29/INDEX(TABLAS!$D$52:$D$58,MIN(MATCH(DATOS!$C$69,TABLAS!$B$52:$B$58,0)+4,7)),1))*INDEX(TABLAS!$D$52:$D$58,MIN(MATCH(DATOS!$C$69,TABLAS!$B$52:$B$58,0)+4,7))&gt;=4/3*IF(BG29&lt;=0,0,IF((1-2*BG29*1E5/(DATOS!$C$29*AE29*BS29^2*DATOS!$C$21))&lt;0,-1,IF((1-SQRT((1-2*BG29*1E5/(DATOS!$C$29*AE29*BS29^2*DATOS!$C$21))))*DATOS!$C$21*AE29*BS29/DATOS!$C$14&gt;DATOS!$C$99*AE29*BS29,-1,(1-SQRT((1-2*BG29*1E5/(DATOS!$C$29*AE29*BS29^2*DATOS!$C$21))))*DATOS!$C$21*AE29*BS29/DATOS!$C$14)))-0.0001,MAX(DATOS!$C$71,CEILING(BT29/INDEX(TABLAS!$D$52:$D$58,MIN(MATCH(DATOS!$C$69,TABLAS!$B$52:$B$58,0)+4,7)),1)),MAX(MAX(DATOS!$C$71,CEILING(BT29/INDEX(TABLAS!$D$52:$D$58,MIN(MATCH(DATOS!$C$69,TABLAS!$B$52:$B$58,0)+4,7)),1)),2))&lt;=MIN(DATOS!$C$70,INT(((AC29-2*AK29)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29" s="59" t="str">
        <f>IF(U29&lt;&gt;"SÍ","",IF(BT29&lt;0,0,IF(MAX(DATOS!$C$71,CEILING(MAX(BT29,0)/INDEX(TABLAS!$D$52:$D$58,MATCH(BU29,TABLAS!$B$52:$B$58,0)),1))*INDEX(TABLAS!$D$52:$D$58,MATCH(BU29,TABLAS!$B$52:$B$58,0))&gt;=4/3*IF(BG29&lt;=0,0,IF((1-2*BG29*1E5/(DATOS!$C$29*AE29*BS29^2*DATOS!$C$21))&lt;0,-1,IF((1-SQRT((1-2*BG29*1E5/(DATOS!$C$29*AE29*BS29^2*DATOS!$C$21))))*DATOS!$C$21*AE29*BS29/DATOS!$C$14&gt;DATOS!$C$99*AE29*BS29,-1,(1-SQRT((1-2*BG29*1E5/(DATOS!$C$29*AE29*BS29^2*DATOS!$C$21))))*DATOS!$C$21*AE29*BS29/DATOS!$C$14)))-0.0001,MAX(DATOS!$C$71,CEILING(MAX(BT29,0)/INDEX(TABLAS!$D$52:$D$58,MATCH(BU29,TABLAS!$B$52:$B$58,0)),1)),MAX(MAX(DATOS!$C$71,CEILING(MAX(BT29,0)/INDEX(TABLAS!$D$52:$D$58,MATCH(BU29,TABLAS!$B$52:$B$58,0)),1)),2))))</f>
        <v/>
      </c>
      <c r="BW29" s="58" t="str">
        <f>IF(U29&lt;&gt;"SÍ","",((DATOS!$C$82-AL29-2*DATOS!$C$94-INDEX(TABLAS!$C$52:$C$58,MATCH(BU29,TABLAS!$B$52:$B$58,0))/2)-IF(AND((DATOS!$C$82-AL29-2*DATOS!$C$94-INDEX(TABLAS!$C$52:$C$58,MATCH(BU29,TABLAS!$B$52:$B$58,0))/2)&lt;=20,DATOS!$C$62&lt;&gt;"SÍ"),2,0)))</f>
        <v/>
      </c>
      <c r="BX29" s="56" t="str">
        <f>IF(U29&lt;&gt;"SÍ","",IF(BV29=0,0,DATOS!$C$29*BV29*INDEX(TABLAS!$D$52:$D$58,MATCH(BU29,TABLAS!$B$52:$B$58,0))*DATOS!$C$14*(BW29-BV29*INDEX(TABLAS!$D$52:$D$58,MATCH(BU29,TABLAS!$B$52:$B$58,0))*DATOS!$C$14/(DATOS!$C$21*AE29)/2)/1E5))</f>
        <v/>
      </c>
      <c r="BY29" s="65" t="str">
        <f>IF(U29&lt;&gt;"SÍ","",IF(BT29&lt;0,9.99,IF(BX29&gt;0,BG29/BX29,0)))</f>
        <v/>
      </c>
      <c r="BZ29" s="66" t="str">
        <f>IF(U29&lt;&gt;"SÍ","",IF(BV29=0,"—",0.003*(BW29-(BV29*INDEX(TABLAS!$D$52:$D$58,MATCH(BU29,TABLAS!$B$52:$B$58,0))*DATOS!$C$14/(DATOS!$C$21*AE29)/DATOS!$C$22))/(BV29*INDEX(TABLAS!$D$52:$D$58,MATCH(BU29,TABLAS!$B$52:$B$58,0))*DATOS!$C$14/(DATOS!$C$21*AE29)/DATOS!$C$22)))</f>
        <v/>
      </c>
      <c r="CA29" s="58" t="str">
        <f>IF(U29&lt;&gt;"SÍ","",(DATOS!$C$82-AJ29-INDEX(TABLAS!$C$52:$C$58,MATCH(DATOS!$C$68,TABLAS!$B$52:$B$58,0))-INDEX(TABLAS!$C$52:$C$58,MATCH(DATOS!$C$68,TABLAS!$B$52:$B$58,0))/2))</f>
        <v/>
      </c>
      <c r="CB29" s="58" t="str">
        <f>IF(U29&lt;&gt;"SÍ","",IF(IF(BH29&lt;=0,0,IF((1-2*BH29*1E5/(DATOS!$C$29*AH29*CA29^2*DATOS!$C$21))&lt;0,-1,IF((1-SQRT((1-2*BH29*1E5/(DATOS!$C$29*AH29*CA29^2*DATOS!$C$21))))*DATOS!$C$21*AH29*CA29/DATOS!$C$14&gt;DATOS!$C$99*AH29*CA29,-1,(1-SQRT((1-2*BH29*1E5/(DATOS!$C$29*AH29*CA29^2*DATOS!$C$21))))*DATOS!$C$21*AH29*CA29/DATOS!$C$14)))&lt;0,-1,MAX(IF(BH29&lt;=0,0,IF((1-2*BH29*1E5/(DATOS!$C$29*AH29*CA29^2*DATOS!$C$21))&lt;0,-1,IF((1-SQRT((1-2*BH29*1E5/(DATOS!$C$29*AH29*CA29^2*DATOS!$C$21))))*DATOS!$C$21*AH29*CA29/DATOS!$C$14&gt;DATOS!$C$99*AH29*CA29,-1,(1-SQRT((1-2*BH29*1E5/(DATOS!$C$29*AH29*CA29^2*DATOS!$C$21))))*DATOS!$C$21*AH29*CA29/DATOS!$C$14))),MIN(DATOS!$C$100*DATOS!$C$80*CA29,4/3*IF(BH29&lt;=0,0,IF((1-2*BH29*1E5/(DATOS!$C$29*AH29*CA29^2*DATOS!$C$21))&lt;0,-1,IF((1-SQRT((1-2*BH29*1E5/(DATOS!$C$29*AH29*CA29^2*DATOS!$C$21))))*DATOS!$C$21*AH29*CA29/DATOS!$C$14&gt;DATOS!$C$99*AH29*CA29,-1,(1-SQRT((1-2*BH29*1E5/(DATOS!$C$29*AH29*CA29^2*DATOS!$C$21))))*DATOS!$C$21*AH29*CA29/DATOS!$C$14)))))))</f>
        <v/>
      </c>
      <c r="CC29" s="64" t="str">
        <f>IF(U29&lt;&gt;"SÍ","",IF(AND(CB29&gt;=0,IF(MAX(DATOS!$C$71,CEILING(CB29/INDEX(TABLAS!$D$52:$D$58,MIN(MATCH(DATOS!$C$68,TABLAS!$B$52:$B$58,0)+0,7)),1))*INDEX(TABLAS!$D$52:$D$58,MIN(MATCH(DATOS!$C$68,TABLAS!$B$52:$B$58,0)+0,7))&gt;=4/3*IF(BH29&lt;=0,0,IF((1-2*BH29*1E5/(DATOS!$C$29*AH29*CA29^2*DATOS!$C$21))&lt;0,-1,IF((1-SQRT((1-2*BH29*1E5/(DATOS!$C$29*AH29*CA29^2*DATOS!$C$21))))*DATOS!$C$21*AH29*CA29/DATOS!$C$14&gt;DATOS!$C$99*AH29*CA29,-1,(1-SQRT((1-2*BH29*1E5/(DATOS!$C$29*AH29*CA29^2*DATOS!$C$21))))*DATOS!$C$21*AH29*CA29/DATOS!$C$14)))-0.0001,MAX(DATOS!$C$71,CEILING(CB29/INDEX(TABLAS!$D$52:$D$58,MIN(MATCH(DATOS!$C$68,TABLAS!$B$52:$B$58,0)+0,7)),1)),MAX(MAX(DATOS!$C$71,CEILING(CB29/INDEX(TABLAS!$D$52:$D$58,MIN(MATCH(DATOS!$C$68,TABLAS!$B$52:$B$58,0)+0,7)),1)),2))&lt;=MIN(DATOS!$C$70,INT(((DATOS!$C$80-2*AJ29)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29&gt;=0,IF(MAX(DATOS!$C$71,CEILING(CB29/INDEX(TABLAS!$D$52:$D$58,MIN(MATCH(DATOS!$C$68,TABLAS!$B$52:$B$58,0)+1,7)),1))*INDEX(TABLAS!$D$52:$D$58,MIN(MATCH(DATOS!$C$68,TABLAS!$B$52:$B$58,0)+1,7))&gt;=4/3*IF(BH29&lt;=0,0,IF((1-2*BH29*1E5/(DATOS!$C$29*AH29*CA29^2*DATOS!$C$21))&lt;0,-1,IF((1-SQRT((1-2*BH29*1E5/(DATOS!$C$29*AH29*CA29^2*DATOS!$C$21))))*DATOS!$C$21*AH29*CA29/DATOS!$C$14&gt;DATOS!$C$99*AH29*CA29,-1,(1-SQRT((1-2*BH29*1E5/(DATOS!$C$29*AH29*CA29^2*DATOS!$C$21))))*DATOS!$C$21*AH29*CA29/DATOS!$C$14)))-0.0001,MAX(DATOS!$C$71,CEILING(CB29/INDEX(TABLAS!$D$52:$D$58,MIN(MATCH(DATOS!$C$68,TABLAS!$B$52:$B$58,0)+1,7)),1)),MAX(MAX(DATOS!$C$71,CEILING(CB29/INDEX(TABLAS!$D$52:$D$58,MIN(MATCH(DATOS!$C$68,TABLAS!$B$52:$B$58,0)+1,7)),1)),2))&lt;=MIN(DATOS!$C$70,INT(((DATOS!$C$80-2*AJ29)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29&gt;=0,IF(MAX(DATOS!$C$71,CEILING(CB29/INDEX(TABLAS!$D$52:$D$58,MIN(MATCH(DATOS!$C$68,TABLAS!$B$52:$B$58,0)+2,7)),1))*INDEX(TABLAS!$D$52:$D$58,MIN(MATCH(DATOS!$C$68,TABLAS!$B$52:$B$58,0)+2,7))&gt;=4/3*IF(BH29&lt;=0,0,IF((1-2*BH29*1E5/(DATOS!$C$29*AH29*CA29^2*DATOS!$C$21))&lt;0,-1,IF((1-SQRT((1-2*BH29*1E5/(DATOS!$C$29*AH29*CA29^2*DATOS!$C$21))))*DATOS!$C$21*AH29*CA29/DATOS!$C$14&gt;DATOS!$C$99*AH29*CA29,-1,(1-SQRT((1-2*BH29*1E5/(DATOS!$C$29*AH29*CA29^2*DATOS!$C$21))))*DATOS!$C$21*AH29*CA29/DATOS!$C$14)))-0.0001,MAX(DATOS!$C$71,CEILING(CB29/INDEX(TABLAS!$D$52:$D$58,MIN(MATCH(DATOS!$C$68,TABLAS!$B$52:$B$58,0)+2,7)),1)),MAX(MAX(DATOS!$C$71,CEILING(CB29/INDEX(TABLAS!$D$52:$D$58,MIN(MATCH(DATOS!$C$68,TABLAS!$B$52:$B$58,0)+2,7)),1)),2))&lt;=MIN(DATOS!$C$70,INT(((DATOS!$C$80-2*AJ29)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29&gt;=0,IF(MAX(DATOS!$C$71,CEILING(CB29/INDEX(TABLAS!$D$52:$D$58,MIN(MATCH(DATOS!$C$68,TABLAS!$B$52:$B$58,0)+3,7)),1))*INDEX(TABLAS!$D$52:$D$58,MIN(MATCH(DATOS!$C$68,TABLAS!$B$52:$B$58,0)+3,7))&gt;=4/3*IF(BH29&lt;=0,0,IF((1-2*BH29*1E5/(DATOS!$C$29*AH29*CA29^2*DATOS!$C$21))&lt;0,-1,IF((1-SQRT((1-2*BH29*1E5/(DATOS!$C$29*AH29*CA29^2*DATOS!$C$21))))*DATOS!$C$21*AH29*CA29/DATOS!$C$14&gt;DATOS!$C$99*AH29*CA29,-1,(1-SQRT((1-2*BH29*1E5/(DATOS!$C$29*AH29*CA29^2*DATOS!$C$21))))*DATOS!$C$21*AH29*CA29/DATOS!$C$14)))-0.0001,MAX(DATOS!$C$71,CEILING(CB29/INDEX(TABLAS!$D$52:$D$58,MIN(MATCH(DATOS!$C$68,TABLAS!$B$52:$B$58,0)+3,7)),1)),MAX(MAX(DATOS!$C$71,CEILING(CB29/INDEX(TABLAS!$D$52:$D$58,MIN(MATCH(DATOS!$C$68,TABLAS!$B$52:$B$58,0)+3,7)),1)),2))&lt;=MIN(DATOS!$C$70,INT(((DATOS!$C$80-2*AJ29)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29&gt;=0,IF(MAX(DATOS!$C$71,CEILING(CB29/INDEX(TABLAS!$D$52:$D$58,MIN(MATCH(DATOS!$C$68,TABLAS!$B$52:$B$58,0)+4,7)),1))*INDEX(TABLAS!$D$52:$D$58,MIN(MATCH(DATOS!$C$68,TABLAS!$B$52:$B$58,0)+4,7))&gt;=4/3*IF(BH29&lt;=0,0,IF((1-2*BH29*1E5/(DATOS!$C$29*AH29*CA29^2*DATOS!$C$21))&lt;0,-1,IF((1-SQRT((1-2*BH29*1E5/(DATOS!$C$29*AH29*CA29^2*DATOS!$C$21))))*DATOS!$C$21*AH29*CA29/DATOS!$C$14&gt;DATOS!$C$99*AH29*CA29,-1,(1-SQRT((1-2*BH29*1E5/(DATOS!$C$29*AH29*CA29^2*DATOS!$C$21))))*DATOS!$C$21*AH29*CA29/DATOS!$C$14)))-0.0001,MAX(DATOS!$C$71,CEILING(CB29/INDEX(TABLAS!$D$52:$D$58,MIN(MATCH(DATOS!$C$68,TABLAS!$B$52:$B$58,0)+4,7)),1)),MAX(MAX(DATOS!$C$71,CEILING(CB29/INDEX(TABLAS!$D$52:$D$58,MIN(MATCH(DATOS!$C$68,TABLAS!$B$52:$B$58,0)+4,7)),1)),2))&lt;=MIN(DATOS!$C$70,INT(((DATOS!$C$80-2*AJ29)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29" s="59" t="str">
        <f>IF(U29&lt;&gt;"SÍ","",IF(CB29&lt;0,0,IF(MAX(DATOS!$C$71,CEILING(MAX(CB29,0)/INDEX(TABLAS!$D$52:$D$58,MATCH(CC29,TABLAS!$B$52:$B$58,0)),1))*INDEX(TABLAS!$D$52:$D$58,MATCH(CC29,TABLAS!$B$52:$B$58,0))&gt;=4/3*IF(BH29&lt;=0,0,IF((1-2*BH29*1E5/(DATOS!$C$29*AH29*CA29^2*DATOS!$C$21))&lt;0,-1,IF((1-SQRT((1-2*BH29*1E5/(DATOS!$C$29*AH29*CA29^2*DATOS!$C$21))))*DATOS!$C$21*AH29*CA29/DATOS!$C$14&gt;DATOS!$C$99*AH29*CA29,-1,(1-SQRT((1-2*BH29*1E5/(DATOS!$C$29*AH29*CA29^2*DATOS!$C$21))))*DATOS!$C$21*AH29*CA29/DATOS!$C$14)))-0.0001,MAX(DATOS!$C$71,CEILING(MAX(CB29,0)/INDEX(TABLAS!$D$52:$D$58,MATCH(CC29,TABLAS!$B$52:$B$58,0)),1)),MAX(MAX(DATOS!$C$71,CEILING(MAX(CB29,0)/INDEX(TABLAS!$D$52:$D$58,MATCH(CC29,TABLAS!$B$52:$B$58,0)),1)),2))))</f>
        <v/>
      </c>
      <c r="CE29" s="58" t="str">
        <f>IF(U29&lt;&gt;"SÍ","",DATOS!$C$82-AJ29-INDEX(TABLAS!$C$52:$C$58,MATCH(BM29,TABLAS!$B$52:$B$58,0))-INDEX(TABLAS!$C$52:$C$58,MATCH(CC29,TABLAS!$B$52:$B$58,0))/2)</f>
        <v/>
      </c>
      <c r="CF29" s="56" t="str">
        <f>IF(U29&lt;&gt;"SÍ","",IF(CD29=0,0,DATOS!$C$29*CD29*INDEX(TABLAS!$D$52:$D$58,MATCH(CC29,TABLAS!$B$52:$B$58,0))*DATOS!$C$14*(CE29-CD29*INDEX(TABLAS!$D$52:$D$58,MATCH(CC29,TABLAS!$B$52:$B$58,0))*DATOS!$C$14/(DATOS!$C$21*AH29)/2)/1E5))</f>
        <v/>
      </c>
      <c r="CG29" s="65" t="str">
        <f>IF(U29&lt;&gt;"SÍ","",IF(CB29&lt;0,9.99,IF(CF29&gt;0,BH29/CF29,0)))</f>
        <v/>
      </c>
      <c r="CH29" s="66" t="str">
        <f>IF(U29&lt;&gt;"SÍ","",IF(CD29=0,"—",0.003*(CE29-(CD29*INDEX(TABLAS!$D$52:$D$58,MATCH(CC29,TABLAS!$B$52:$B$58,0))*DATOS!$C$14/(DATOS!$C$21*AH29)/DATOS!$C$22))/(CD29*INDEX(TABLAS!$D$52:$D$58,MATCH(CC29,TABLAS!$B$52:$B$58,0))*DATOS!$C$14/(DATOS!$C$21*AH29)/DATOS!$C$22)))</f>
        <v/>
      </c>
      <c r="CI29" s="58" t="str">
        <f>IF(U29&lt;&gt;"SÍ","",((DATOS!$C$82-AL29-2*DATOS!$C$94-INDEX(TABLAS!$C$52:$C$58,MATCH(DATOS!$C$69,TABLAS!$B$52:$B$58,0))-INDEX(TABLAS!$C$52:$C$58,MATCH(DATOS!$C$69,TABLAS!$B$52:$B$58,0))/2)-IF(AND((DATOS!$C$82-AL29-2*DATOS!$C$94-INDEX(TABLAS!$C$52:$C$58,MATCH(DATOS!$C$69,TABLAS!$B$52:$B$58,0))-INDEX(TABLAS!$C$52:$C$58,MATCH(DATOS!$C$69,TABLAS!$B$52:$B$58,0))/2)&lt;=20,DATOS!$C$62&lt;&gt;"SÍ"),2,0)))</f>
        <v/>
      </c>
      <c r="CJ29" s="58" t="str">
        <f>IF(U29&lt;&gt;"SÍ","",IF(IF(BI29&lt;=0,0,IF((1-2*BI29*1E5/(DATOS!$C$29*AF29*CI29^2*DATOS!$C$21))&lt;0,-1,IF((1-SQRT((1-2*BI29*1E5/(DATOS!$C$29*AF29*CI29^2*DATOS!$C$21))))*DATOS!$C$21*AF29*CI29/DATOS!$C$14&gt;DATOS!$C$99*AF29*CI29,-1,(1-SQRT((1-2*BI29*1E5/(DATOS!$C$29*AF29*CI29^2*DATOS!$C$21))))*DATOS!$C$21*AF29*CI29/DATOS!$C$14)))&lt;0,-1,MAX(IF(BI29&lt;=0,0,IF((1-2*BI29*1E5/(DATOS!$C$29*AF29*CI29^2*DATOS!$C$21))&lt;0,-1,IF((1-SQRT((1-2*BI29*1E5/(DATOS!$C$29*AF29*CI29^2*DATOS!$C$21))))*DATOS!$C$21*AF29*CI29/DATOS!$C$14&gt;DATOS!$C$99*AF29*CI29,-1,(1-SQRT((1-2*BI29*1E5/(DATOS!$C$29*AF29*CI29^2*DATOS!$C$21))))*DATOS!$C$21*AF29*CI29/DATOS!$C$14))),MIN(DATOS!$C$100*DATOS!$C$80*CI29,4/3*IF(BI29&lt;=0,0,IF((1-2*BI29*1E5/(DATOS!$C$29*AF29*CI29^2*DATOS!$C$21))&lt;0,-1,IF((1-SQRT((1-2*BI29*1E5/(DATOS!$C$29*AF29*CI29^2*DATOS!$C$21))))*DATOS!$C$21*AF29*CI29/DATOS!$C$14&gt;DATOS!$C$99*AF29*CI29,-1,(1-SQRT((1-2*BI29*1E5/(DATOS!$C$29*AF29*CI29^2*DATOS!$C$21))))*DATOS!$C$21*AF29*CI29/DATOS!$C$14)))))))</f>
        <v/>
      </c>
      <c r="CK29" s="64" t="str">
        <f>IF(U29&lt;&gt;"SÍ","",IF(AND(CJ29&gt;=0,IF(MAX(DATOS!$C$71,CEILING(CJ29/INDEX(TABLAS!$D$52:$D$58,MIN(MATCH(DATOS!$C$69,TABLAS!$B$52:$B$58,0)+0,7)),1))*INDEX(TABLAS!$D$52:$D$58,MIN(MATCH(DATOS!$C$69,TABLAS!$B$52:$B$58,0)+0,7))&gt;=4/3*IF(BI29&lt;=0,0,IF((1-2*BI29*1E5/(DATOS!$C$29*AF29*CI29^2*DATOS!$C$21))&lt;0,-1,IF((1-SQRT((1-2*BI29*1E5/(DATOS!$C$29*AF29*CI29^2*DATOS!$C$21))))*DATOS!$C$21*AF29*CI29/DATOS!$C$14&gt;DATOS!$C$99*AF29*CI29,-1,(1-SQRT((1-2*BI29*1E5/(DATOS!$C$29*AF29*CI29^2*DATOS!$C$21))))*DATOS!$C$21*AF29*CI29/DATOS!$C$14)))-0.0001,MAX(DATOS!$C$71,CEILING(CJ29/INDEX(TABLAS!$D$52:$D$58,MIN(MATCH(DATOS!$C$69,TABLAS!$B$52:$B$58,0)+0,7)),1)),MAX(MAX(DATOS!$C$71,CEILING(CJ29/INDEX(TABLAS!$D$52:$D$58,MIN(MATCH(DATOS!$C$69,TABLAS!$B$52:$B$58,0)+0,7)),1)),2))&lt;=MIN(DATOS!$C$70,INT(((DATOS!$C$80-2*AK29)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29&gt;=0,IF(MAX(DATOS!$C$71,CEILING(CJ29/INDEX(TABLAS!$D$52:$D$58,MIN(MATCH(DATOS!$C$69,TABLAS!$B$52:$B$58,0)+1,7)),1))*INDEX(TABLAS!$D$52:$D$58,MIN(MATCH(DATOS!$C$69,TABLAS!$B$52:$B$58,0)+1,7))&gt;=4/3*IF(BI29&lt;=0,0,IF((1-2*BI29*1E5/(DATOS!$C$29*AF29*CI29^2*DATOS!$C$21))&lt;0,-1,IF((1-SQRT((1-2*BI29*1E5/(DATOS!$C$29*AF29*CI29^2*DATOS!$C$21))))*DATOS!$C$21*AF29*CI29/DATOS!$C$14&gt;DATOS!$C$99*AF29*CI29,-1,(1-SQRT((1-2*BI29*1E5/(DATOS!$C$29*AF29*CI29^2*DATOS!$C$21))))*DATOS!$C$21*AF29*CI29/DATOS!$C$14)))-0.0001,MAX(DATOS!$C$71,CEILING(CJ29/INDEX(TABLAS!$D$52:$D$58,MIN(MATCH(DATOS!$C$69,TABLAS!$B$52:$B$58,0)+1,7)),1)),MAX(MAX(DATOS!$C$71,CEILING(CJ29/INDEX(TABLAS!$D$52:$D$58,MIN(MATCH(DATOS!$C$69,TABLAS!$B$52:$B$58,0)+1,7)),1)),2))&lt;=MIN(DATOS!$C$70,INT(((DATOS!$C$80-2*AK29)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29&gt;=0,IF(MAX(DATOS!$C$71,CEILING(CJ29/INDEX(TABLAS!$D$52:$D$58,MIN(MATCH(DATOS!$C$69,TABLAS!$B$52:$B$58,0)+2,7)),1))*INDEX(TABLAS!$D$52:$D$58,MIN(MATCH(DATOS!$C$69,TABLAS!$B$52:$B$58,0)+2,7))&gt;=4/3*IF(BI29&lt;=0,0,IF((1-2*BI29*1E5/(DATOS!$C$29*AF29*CI29^2*DATOS!$C$21))&lt;0,-1,IF((1-SQRT((1-2*BI29*1E5/(DATOS!$C$29*AF29*CI29^2*DATOS!$C$21))))*DATOS!$C$21*AF29*CI29/DATOS!$C$14&gt;DATOS!$C$99*AF29*CI29,-1,(1-SQRT((1-2*BI29*1E5/(DATOS!$C$29*AF29*CI29^2*DATOS!$C$21))))*DATOS!$C$21*AF29*CI29/DATOS!$C$14)))-0.0001,MAX(DATOS!$C$71,CEILING(CJ29/INDEX(TABLAS!$D$52:$D$58,MIN(MATCH(DATOS!$C$69,TABLAS!$B$52:$B$58,0)+2,7)),1)),MAX(MAX(DATOS!$C$71,CEILING(CJ29/INDEX(TABLAS!$D$52:$D$58,MIN(MATCH(DATOS!$C$69,TABLAS!$B$52:$B$58,0)+2,7)),1)),2))&lt;=MIN(DATOS!$C$70,INT(((DATOS!$C$80-2*AK29)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29&gt;=0,IF(MAX(DATOS!$C$71,CEILING(CJ29/INDEX(TABLAS!$D$52:$D$58,MIN(MATCH(DATOS!$C$69,TABLAS!$B$52:$B$58,0)+3,7)),1))*INDEX(TABLAS!$D$52:$D$58,MIN(MATCH(DATOS!$C$69,TABLAS!$B$52:$B$58,0)+3,7))&gt;=4/3*IF(BI29&lt;=0,0,IF((1-2*BI29*1E5/(DATOS!$C$29*AF29*CI29^2*DATOS!$C$21))&lt;0,-1,IF((1-SQRT((1-2*BI29*1E5/(DATOS!$C$29*AF29*CI29^2*DATOS!$C$21))))*DATOS!$C$21*AF29*CI29/DATOS!$C$14&gt;DATOS!$C$99*AF29*CI29,-1,(1-SQRT((1-2*BI29*1E5/(DATOS!$C$29*AF29*CI29^2*DATOS!$C$21))))*DATOS!$C$21*AF29*CI29/DATOS!$C$14)))-0.0001,MAX(DATOS!$C$71,CEILING(CJ29/INDEX(TABLAS!$D$52:$D$58,MIN(MATCH(DATOS!$C$69,TABLAS!$B$52:$B$58,0)+3,7)),1)),MAX(MAX(DATOS!$C$71,CEILING(CJ29/INDEX(TABLAS!$D$52:$D$58,MIN(MATCH(DATOS!$C$69,TABLAS!$B$52:$B$58,0)+3,7)),1)),2))&lt;=MIN(DATOS!$C$70,INT(((DATOS!$C$80-2*AK29)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29&gt;=0,IF(MAX(DATOS!$C$71,CEILING(CJ29/INDEX(TABLAS!$D$52:$D$58,MIN(MATCH(DATOS!$C$69,TABLAS!$B$52:$B$58,0)+4,7)),1))*INDEX(TABLAS!$D$52:$D$58,MIN(MATCH(DATOS!$C$69,TABLAS!$B$52:$B$58,0)+4,7))&gt;=4/3*IF(BI29&lt;=0,0,IF((1-2*BI29*1E5/(DATOS!$C$29*AF29*CI29^2*DATOS!$C$21))&lt;0,-1,IF((1-SQRT((1-2*BI29*1E5/(DATOS!$C$29*AF29*CI29^2*DATOS!$C$21))))*DATOS!$C$21*AF29*CI29/DATOS!$C$14&gt;DATOS!$C$99*AF29*CI29,-1,(1-SQRT((1-2*BI29*1E5/(DATOS!$C$29*AF29*CI29^2*DATOS!$C$21))))*DATOS!$C$21*AF29*CI29/DATOS!$C$14)))-0.0001,MAX(DATOS!$C$71,CEILING(CJ29/INDEX(TABLAS!$D$52:$D$58,MIN(MATCH(DATOS!$C$69,TABLAS!$B$52:$B$58,0)+4,7)),1)),MAX(MAX(DATOS!$C$71,CEILING(CJ29/INDEX(TABLAS!$D$52:$D$58,MIN(MATCH(DATOS!$C$69,TABLAS!$B$52:$B$58,0)+4,7)),1)),2))&lt;=MIN(DATOS!$C$70,INT(((DATOS!$C$80-2*AK29)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29" s="59" t="str">
        <f>IF(U29&lt;&gt;"SÍ","",IF(CJ29&lt;0,0,IF(MAX(DATOS!$C$71,CEILING(MAX(CJ29,0)/INDEX(TABLAS!$D$52:$D$58,MATCH(CK29,TABLAS!$B$52:$B$58,0)),1))*INDEX(TABLAS!$D$52:$D$58,MATCH(CK29,TABLAS!$B$52:$B$58,0))&gt;=4/3*IF(BI29&lt;=0,0,IF((1-2*BI29*1E5/(DATOS!$C$29*AF29*CI29^2*DATOS!$C$21))&lt;0,-1,IF((1-SQRT((1-2*BI29*1E5/(DATOS!$C$29*AF29*CI29^2*DATOS!$C$21))))*DATOS!$C$21*AF29*CI29/DATOS!$C$14&gt;DATOS!$C$99*AF29*CI29,-1,(1-SQRT((1-2*BI29*1E5/(DATOS!$C$29*AF29*CI29^2*DATOS!$C$21))))*DATOS!$C$21*AF29*CI29/DATOS!$C$14)))-0.0001,MAX(DATOS!$C$71,CEILING(MAX(CJ29,0)/INDEX(TABLAS!$D$52:$D$58,MATCH(CK29,TABLAS!$B$52:$B$58,0)),1)),MAX(MAX(DATOS!$C$71,CEILING(MAX(CJ29,0)/INDEX(TABLAS!$D$52:$D$58,MATCH(CK29,TABLAS!$B$52:$B$58,0)),1)),2))))</f>
        <v/>
      </c>
      <c r="CM29" s="58" t="str">
        <f>IF(U29&lt;&gt;"SÍ","",((DATOS!$C$82-AL29-2*DATOS!$C$94-INDEX(TABLAS!$C$52:$C$58,MATCH(BU29,TABLAS!$B$52:$B$58,0))-INDEX(TABLAS!$C$52:$C$58,MATCH(CK29,TABLAS!$B$52:$B$58,0))/2)-IF(AND((DATOS!$C$82-AL29-2*DATOS!$C$94-INDEX(TABLAS!$C$52:$C$58,MATCH(BU29,TABLAS!$B$52:$B$58,0))-INDEX(TABLAS!$C$52:$C$58,MATCH(CK29,TABLAS!$B$52:$B$58,0))/2)&lt;=20,DATOS!$C$62&lt;&gt;"SÍ"),2,0)))</f>
        <v/>
      </c>
      <c r="CN29" s="56" t="str">
        <f>IF(U29&lt;&gt;"SÍ","",IF(CL29=0,0,DATOS!$C$29*CL29*INDEX(TABLAS!$D$52:$D$58,MATCH(CK29,TABLAS!$B$52:$B$58,0))*DATOS!$C$14*(CM29-CL29*INDEX(TABLAS!$D$52:$D$58,MATCH(CK29,TABLAS!$B$52:$B$58,0))*DATOS!$C$14/(DATOS!$C$21*AF29)/2)/1E5))</f>
        <v/>
      </c>
      <c r="CO29" s="65" t="str">
        <f>IF(U29&lt;&gt;"SÍ","",IF(CJ29&lt;0,9.99,IF(CN29&gt;0,BI29/CN29,0)))</f>
        <v/>
      </c>
      <c r="CP29" s="66" t="str">
        <f>IF(U29&lt;&gt;"SÍ","",IF(CL29=0,"—",0.003*(CM29-(CL29*INDEX(TABLAS!$D$52:$D$58,MATCH(CK29,TABLAS!$B$52:$B$58,0))*DATOS!$C$14/(DATOS!$C$21*AF29)/DATOS!$C$22))/(CL29*INDEX(TABLAS!$D$52:$D$58,MATCH(CK29,TABLAS!$B$52:$B$58,0))*DATOS!$C$14/(DATOS!$C$21*AF29)/DATOS!$C$22)))</f>
        <v/>
      </c>
      <c r="CQ29" s="56" t="str">
        <f>IF(U29&lt;&gt;"SÍ","",IF(C29="PERIMETRAL",MAX(0,(AA29/2-BW29)/100)*(0.95-0.5*Z29)*AQ29*IF(AND(AR29&gt;0,AR29&lt;4),DATOS!$C$33,1)*DATOS!$C$83/100/1000,(AQ29*MAX(0,AA29-BW29)/100+DATOS!$C$26*N(O29))*DATOS!$C$83/100/1000+BE29))</f>
        <v/>
      </c>
      <c r="CR29" s="56" t="str">
        <f>IF(U29&lt;&gt;"SÍ","",DATOS!$C$30*2*MIN(1,SQRT(2/(1+0.04*BW29)))*(BV29*INDEX(TABLAS!$D$52:$D$58,MATCH(BU29,TABLAS!$B$52:$B$58,0))/(AE29*BW29))^(1/3)*SQRT(DATOS!$C$13)*AE29*BW29*IF(AI29="SÍ",DATOS!$C$32,1)/1000)</f>
        <v/>
      </c>
      <c r="CS29" s="59" t="str">
        <f>IF(U29&lt;&gt;"SÍ","",IF(CQ29&lt;=CR29,0,CEILING(MAX(0,IF(C29="VOLADO",(AA29-((CR29-BE29)*1E5/DATOS!$C$83-DATOS!$C$26*N(O29))*100/AQ29),IF(CR29&lt;=0,AA29,AA29/2-CR29/MAX(CQ29,1E-9)*(AA29/2-BW29)))-IF(INT((X29*100-DATOS!$C$84+DATOS!$C$80)/DATOS!$C$83)&gt;0,(X29*100-DATOS!$C$84-(INT((X29*100-DATOS!$C$84+DATOS!$C$80)/DATOS!$C$83)*DATOS!$C$78+(INT((X29*100-DATOS!$C$84+DATOS!$C$80)/DATOS!$C$83)-1)*DATOS!$C$80))/2,X29*100/2))/DATOS!$C$83,1)))</f>
        <v/>
      </c>
      <c r="CT29" s="67" t="str">
        <f>IF(U29&lt;&gt;"SÍ","",IF(CQ29&lt;=CR29,"CUMPLE",IF(CS29&lt;=0,"CUMPLE (basta el macizo de orilla)",IF(CS29*DATOS!$C$83*IF(C29="VOLADO",1,2)&gt;=X29*100-DATOS!$C$84,"NO CUMPLE: no alcanza ni macizando todo","MACIZAR "&amp;CS29&amp;" hilera(s)"))))</f>
        <v/>
      </c>
      <c r="CU29" s="58" t="str">
        <f>IF(U29&lt;&gt;"SÍ","",(DATOS!$C$83*DATOS!$C$81^2/2+AC29*DATOS!$C$79*(DATOS!$C$81+DATOS!$C$79/2))/(DATOS!$C$83*DATOS!$C$81+AC29*DATOS!$C$79))</f>
        <v/>
      </c>
      <c r="CV29" s="68" t="str">
        <f>IF(U29&lt;&gt;"SÍ","",DATOS!$C$83*DATOS!$C$81^3/12+DATOS!$C$83*DATOS!$C$81*(CU29-DATOS!$C$81/2)^2+AC29*DATOS!$C$79^3/12+AC29*DATOS!$C$79*(DATOS!$C$81+DATOS!$C$79/2-CU29)^2)</f>
        <v/>
      </c>
      <c r="CW29" s="58" t="str">
        <f>IF(U29&lt;&gt;"SÍ","",(12*CV29/DATOS!$C$83)^(1/3))</f>
        <v/>
      </c>
      <c r="CX29" s="58" t="str">
        <f>IF(U29&lt;&gt;"SÍ","",IF(C29="PERIMETRAL",IF(ISNUMBER(R29),R29,DATOS!$C$101),0))</f>
        <v/>
      </c>
      <c r="CY29" s="57" t="str">
        <f>IF(U29&lt;&gt;"SÍ","",IF(C29="PERIMETRAL",IF(CX29&gt;2,MAX(9,AB29*(0.8+DATOS!$C$14/14000)/(36+9*(AB29/MAX(AA29,1)))),IF(CX29&gt;0.2,MAX(13,AB29*(0.8+DATOS!$C$14/14000)/(36+5*(AB29/MAX(AA29,1))*(CX29-0.2))),MAX(13,AB29/IF(AR29&gt;0,30,33))))*IF(AND(CX29&gt;0.2,AR29&gt;0,DATOS!$C$102="NO"),1.1,1),X29*100/8))</f>
        <v/>
      </c>
      <c r="CZ29" s="61" t="str">
        <f>IF(U29&lt;&gt;"SÍ","",IF(IF(C29="VOLADO",DATOS!$C$82,CW29)&gt;=CY29,"CUMPLE",IF(C29="VOLADO","NO CUMPLE","CALCULAR FLECHA")))</f>
        <v/>
      </c>
      <c r="DA29" s="55" t="str">
        <f>IF(U29&lt;&gt;"SÍ","",IF(DATOS!$C$81&gt;=IF(IF(C29="VOLADO",X29,Y29)&gt;=6,6,5),"CUMPLE","CAPA ≥ 6 cm"))</f>
        <v/>
      </c>
      <c r="DB29" s="60" t="str">
        <f>IF(U29&lt;&gt;"SÍ","",IF(C29="VOLADO",MIN(CEILING(IF(ISNUMBER(P29),P29,X29)*100,5),CEILING(MAX(IF((0.5*(0.9*DATOS!$C$87*DATOS!$C$83/100/1000)*IF(ISNUMBER(P29),P29,X29)+BG29/IF(ISNUMBER(P29),P29,X29))^2-4*(0.5*(0.9*DATOS!$C$87*DATOS!$C$83/100/1000))*BG29&lt;0,IF(ISNUMBER(P29),P29,X29),MIN(IF(ISNUMBER(P29),P29,X29),((0.5*(0.9*DATOS!$C$87*DATOS!$C$83/100/1000)*IF(ISNUMBER(P29),P29,X29)+BG29/IF(ISNUMBER(P29),P29,X29))-SQRT((0.5*(0.9*DATOS!$C$87*DATOS!$C$83/100/1000)*IF(ISNUMBER(P29),P29,X29)+BG29/IF(ISNUMBER(P29),P29,X29))^2-4*(0.5*(0.9*DATOS!$C$87*DATOS!$C$83/100/1000))*BG29))/(2*(0.5*(0.9*DATOS!$C$87*DATOS!$C$83/100/1000)))))*100+MAX(BW29,12*INDEX(TABLAS!$C$52:$C$58,MATCH(BU29,TABLAS!$B$52:$B$58,0)),IF(ISNUMBER(P29),P29,X29)*100/16),IF(OR(AK29&lt;INDEX(TABLAS!$C$52:$C$58,MATCH(BU29,TABLAS!$B$52:$B$58,0)),AND(BV29&gt;=2,(AC29-2*AK29-BV29*INDEX(TABLAS!$C$52:$C$58,MATCH(BU29,TABLAS!$B$52:$B$58,0)))/MAX(BV29-1,1)&lt;2*INDEX(TABLAS!$C$52:$C$58,MATCH(BU29,TABLAS!$B$52:$B$58,0)))),INDEX(TABLAS!$I$52:$I$58,MATCH(BU29,TABLAS!$B$52:$B$58,0)),INDEX(TABLAS!$F$52:$F$58,MATCH(BU29,TABLAS!$B$52:$B$58,0)))),5)),IF(((4*((BB29*AQ29*X29^2*1E-4*DATOS!$C$83/100/1000)+((MAX(AX29,AZ29)*AQ29*X29^2*1E-4*DATOS!$C$83/100/1000)+(IF(AND(AX29&gt;0,AZ29&gt;0),MIN(AX29,AZ29),MAX(AX29,AZ29))*AQ29*X29^2*1E-4*DATOS!$C$83/100/1000))/2)+BG29-(IF(AND(AX29&gt;0,AZ29&gt;0),MIN(AX29,AZ29),MAX(AX29,AZ29))*AQ29*X29^2*1E-4*DATOS!$C$83/100/1000))^2-16*((BB29*AQ29*X29^2*1E-4*DATOS!$C$83/100/1000)+((MAX(AX29,AZ29)*AQ29*X29^2*1E-4*DATOS!$C$83/100/1000)+(IF(AND(AX29&gt;0,AZ29&gt;0),MIN(AX29,AZ29),MAX(AX29,AZ29))*AQ29*X29^2*1E-4*DATOS!$C$83/100/1000))/2)*BG29)&lt;0,CEILING(AA29,5),CEILING(MAX(AA29*((4*((BB29*AQ29*X29^2*1E-4*DATOS!$C$83/100/1000)+((MAX(AX29,AZ29)*AQ29*X29^2*1E-4*DATOS!$C$83/100/1000)+(IF(AND(AX29&gt;0,AZ29&gt;0),MIN(AX29,AZ29),MAX(AX29,AZ29))*AQ29*X29^2*1E-4*DATOS!$C$83/100/1000))/2)+BG29-(IF(AND(AX29&gt;0,AZ29&gt;0),MIN(AX29,AZ29),MAX(AX29,AZ29))*AQ29*X29^2*1E-4*DATOS!$C$83/100/1000))-SQRT(MAX(0,((4*((BB29*AQ29*X29^2*1E-4*DATOS!$C$83/100/1000)+((MAX(AX29,AZ29)*AQ29*X29^2*1E-4*DATOS!$C$83/100/1000)+(IF(AND(AX29&gt;0,AZ29&gt;0),MIN(AX29,AZ29),MAX(AX29,AZ29))*AQ29*X29^2*1E-4*DATOS!$C$83/100/1000))/2)+BG29-(IF(AND(AX29&gt;0,AZ29&gt;0),MIN(AX29,AZ29),MAX(AX29,AZ29))*AQ29*X29^2*1E-4*DATOS!$C$83/100/1000))^2-16*((BB29*AQ29*X29^2*1E-4*DATOS!$C$83/100/1000)+((MAX(AX29,AZ29)*AQ29*X29^2*1E-4*DATOS!$C$83/100/1000)+(IF(AND(AX29&gt;0,AZ29&gt;0),MIN(AX29,AZ29),MAX(AX29,AZ29))*AQ29*X29^2*1E-4*DATOS!$C$83/100/1000))/2)*BG29))))/(8*MAX(((BB29*AQ29*X29^2*1E-4*DATOS!$C$83/100/1000)+((MAX(AX29,AZ29)*AQ29*X29^2*1E-4*DATOS!$C$83/100/1000)+(IF(AND(AX29&gt;0,AZ29&gt;0),MIN(AX29,AZ29),MAX(AX29,AZ29))*AQ29*X29^2*1E-4*DATOS!$C$83/100/1000))/2),1E-9))+MAX(BW29,12*INDEX(TABLAS!$C$52:$C$58,MATCH(BU29,TABLAS!$B$52:$B$58,0)),AA29/16),IF(OR(AK29&lt;INDEX(TABLAS!$C$52:$C$58,MATCH(BU29,TABLAS!$B$52:$B$58,0)),AND(BV29&gt;=2,(AC29-2*AK29-BV29*INDEX(TABLAS!$C$52:$C$58,MATCH(BU29,TABLAS!$B$52:$B$58,0)))/MAX(BV29-1,1)&lt;2*INDEX(TABLAS!$C$52:$C$58,MATCH(BU29,TABLAS!$B$52:$B$58,0)))),INDEX(TABLAS!$I$52:$I$58,MATCH(BU29,TABLAS!$B$52:$B$58,0)),INDEX(TABLAS!$F$52:$F$58,MATCH(BU29,TABLAS!$B$52:$B$58,0)))),5))))</f>
        <v/>
      </c>
      <c r="DC29" s="60" t="str">
        <f>IF(U29&lt;&gt;"SÍ","",IF(C29="VOLADO",0,IF(((4*((BC29*AQ29*X29^2*1E-4*DATOS!$C$83/100/1000)+((MAX(AY29,BA29)*AQ29*X29^2*1E-4*DATOS!$C$83/100/1000)+(IF(AND(AY29&gt;0,BA29&gt;0),MIN(AY29,BA29),MAX(AY29,BA29))*AQ29*X29^2*1E-4*DATOS!$C$83/100/1000))/2)+BI29-(IF(AND(AY29&gt;0,BA29&gt;0),MIN(AY29,BA29),MAX(AY29,BA29))*AQ29*X29^2*1E-4*DATOS!$C$83/100/1000))^2-16*((BC29*AQ29*X29^2*1E-4*DATOS!$C$83/100/1000)+((MAX(AY29,BA29)*AQ29*X29^2*1E-4*DATOS!$C$83/100/1000)+(IF(AND(AY29&gt;0,BA29&gt;0),MIN(AY29,BA29),MAX(AY29,BA29))*AQ29*X29^2*1E-4*DATOS!$C$83/100/1000))/2)*BI29)&lt;0,CEILING(AB29,5),CEILING(MAX(AB29*((4*((BC29*AQ29*X29^2*1E-4*DATOS!$C$83/100/1000)+((MAX(AY29,BA29)*AQ29*X29^2*1E-4*DATOS!$C$83/100/1000)+(IF(AND(AY29&gt;0,BA29&gt;0),MIN(AY29,BA29),MAX(AY29,BA29))*AQ29*X29^2*1E-4*DATOS!$C$83/100/1000))/2)+BI29-(IF(AND(AY29&gt;0,BA29&gt;0),MIN(AY29,BA29),MAX(AY29,BA29))*AQ29*X29^2*1E-4*DATOS!$C$83/100/1000))-SQRT(MAX(0,((4*((BC29*AQ29*X29^2*1E-4*DATOS!$C$83/100/1000)+((MAX(AY29,BA29)*AQ29*X29^2*1E-4*DATOS!$C$83/100/1000)+(IF(AND(AY29&gt;0,BA29&gt;0),MIN(AY29,BA29),MAX(AY29,BA29))*AQ29*X29^2*1E-4*DATOS!$C$83/100/1000))/2)+BI29-(IF(AND(AY29&gt;0,BA29&gt;0),MIN(AY29,BA29),MAX(AY29,BA29))*AQ29*X29^2*1E-4*DATOS!$C$83/100/1000))^2-16*((BC29*AQ29*X29^2*1E-4*DATOS!$C$83/100/1000)+((MAX(AY29,BA29)*AQ29*X29^2*1E-4*DATOS!$C$83/100/1000)+(IF(AND(AY29&gt;0,BA29&gt;0),MIN(AY29,BA29),MAX(AY29,BA29))*AQ29*X29^2*1E-4*DATOS!$C$83/100/1000))/2)*BI29))))/(8*MAX(((BC29*AQ29*X29^2*1E-4*DATOS!$C$83/100/1000)+((MAX(AY29,BA29)*AQ29*X29^2*1E-4*DATOS!$C$83/100/1000)+(IF(AND(AY29&gt;0,BA29&gt;0),MIN(AY29,BA29),MAX(AY29,BA29))*AQ29*X29^2*1E-4*DATOS!$C$83/100/1000))/2),1E-9))+MAX(CM29,12*INDEX(TABLAS!$C$52:$C$58,MATCH(CK29,TABLAS!$B$52:$B$58,0)),AB29/16),IF(OR(AK29&lt;INDEX(TABLAS!$C$52:$C$58,MATCH(CK29,TABLAS!$B$52:$B$58,0)),AND(CL29&gt;=2,(DATOS!$C$80-2*AK29-CL29*INDEX(TABLAS!$C$52:$C$58,MATCH(CK29,TABLAS!$B$52:$B$58,0)))/MAX(CL29-1,1)&lt;2*INDEX(TABLAS!$C$52:$C$58,MATCH(CK29,TABLAS!$B$52:$B$58,0)))),INDEX(TABLAS!$I$52:$I$58,MATCH(CK29,TABLAS!$B$52:$B$58,0)),INDEX(TABLAS!$F$52:$F$58,MATCH(CK29,TABLAS!$B$52:$B$58,0)))),5))))</f>
        <v/>
      </c>
      <c r="DD29" s="55" t="str">
        <f>IF(U29&lt;&gt;"SÍ","",IF(AND(C29="PERIMETRAL",BV29&gt;=2,AR29-AS29&gt;0,AZ29*AQ29*X29^2*1E-4*DATOS!$C$83/100/1000&gt;DATOS!$C$29*INDEX(TABLAS!$D$52:$D$58,MATCH(BU29,TABLAS!$B$52:$B$58,0))*DATOS!$C$14*(BW29-INDEX(TABLAS!$D$52:$D$58,MATCH(BU29,TABLAS!$B$52:$B$58,0))*DATOS!$C$14/(DATOS!$C$21*AE29)/2)/1E5),"SÍ","NO"))</f>
        <v/>
      </c>
      <c r="DE29" s="55" t="str">
        <f>IF(U29&lt;&gt;"SÍ","",IF(AND(C29="PERIMETRAL",CL29&gt;=2,AS29&gt;0,BA29*AQ29*X29^2*1E-4*DATOS!$C$83/100/1000&gt;DATOS!$C$29*INDEX(TABLAS!$D$52:$D$58,MATCH(CK29,TABLAS!$B$52:$B$58,0))*DATOS!$C$14*(CM29-INDEX(TABLAS!$D$52:$D$58,MATCH(CK29,TABLAS!$B$52:$B$58,0))*DATOS!$C$14/(DATOS!$C$21*AF29)/2)/1E5),"SÍ","NO"))</f>
        <v/>
      </c>
      <c r="DF29" s="63" t="str">
        <f>IF(U29&lt;&gt;"SÍ","",IF(OR(C29="VOLADO",AR29=0),"—",IF(AND(AND(1.25*INDEX(TABLAS!$G$52:$G$58,MATCH(MAX(BM29,CC29),TABLAS!$B$52:$B$58,0))&lt;=(DATOS!$C$72-DATOS!$C$60),(DATOS!$C$72-DATOS!$C$60)&gt;=15,INDEX(TABLAS!$G$52:$G$58,MATCH(MAX(BU29,CK29),TABLAS!$B$52:$B$58,0))&lt;=(DATOS!$C$72-DATOS!$C$60)),8*INDEX(TABLAS!$C$52:$C$58,MATCH(MAX(MAX(BM29,CC29),MAX(BU29,CK29)),TABLAS!$B$52:$B$58,0))&lt;=DATOS!$C$73-2*DATOS!$C$60),"CUMPLE (gancho de 180°)",IF(AND(1.25*INDEX(TABLAS!$G$52:$G$58,MATCH(MAX(BM29,CC29),TABLAS!$B$52:$B$58,0))&lt;=(DATOS!$C$72-DATOS!$C$60),(DATOS!$C$72-DATOS!$C$60)&gt;=15,INDEX(TABLAS!$G$52:$G$58,MATCH(MAX(BU29,CK29),TABLAS!$B$52:$B$58,0))&lt;=(DATOS!$C$72-DATOS!$C$60)),"NO CUMPLE: el gancho de 180° (8·d_b) no cabe en el peralte de la dala de borde","NO CUMPLE: dala de borde ≥ "&amp;TEXT(CEILING(MAX(1.25*INDEX(TABLAS!$G$52:$G$58,MATCH(MAX(BM29,CC29),TABLAS!$B$52:$B$58,0)),15,INDEX(TABLAS!$G$52:$G$58,MATCH(MAX(BU29,CK29),TABLAS!$B$52:$B$58,0)))+DATOS!$C$60,5),"0")&amp;" cm de ancho"&amp;IF(8*INDEX(TABLAS!$C$52:$C$58,MATCH(MAX(MAX(BM29,CC29),MAX(BU29,CK29)),TABLAS!$B$52:$B$58,0))&lt;=DATOS!$C$73-2*DATOS!$C$60,""," y más peralte para el gancho")))))</f>
        <v/>
      </c>
      <c r="DG29" s="59" t="str">
        <f>IF(U29&lt;&gt;"SÍ","",MAX(0,INT((E29*100-DATOS!$C$84+DATOS!$C$83-IF(W29="X",DATOS!$C$78,AD29))/DATOS!$C$83)))</f>
        <v/>
      </c>
      <c r="DH29" s="59" t="str">
        <f>IF(U29&lt;&gt;"SÍ","",MAX(0,INT((F29*100-DATOS!$C$84+DATOS!$C$83-IF(W29="Y",DATOS!$C$78,AD29))/DATOS!$C$83)))</f>
        <v/>
      </c>
      <c r="DI29" s="57" t="str">
        <f>IF(U29&lt;&gt;"SÍ","",IF(DG29&gt;0,(E29*100-DATOS!$C$84-(DG29*IF(W29="X",DATOS!$C$78,AD29)+(DG29-1)*(DATOS!$C$83-IF(W29="X",DATOS!$C$78,AD29))))/2,E29*100/2))</f>
        <v/>
      </c>
      <c r="DJ29" s="57" t="str">
        <f>IF(U29&lt;&gt;"SÍ","",IF(DH29&gt;0,(F29*100-DATOS!$C$84-(DH29*IF(W29="Y",DATOS!$C$78,AD29)+(DH29-1)*(DATOS!$C$83-IF(W29="Y",DATOS!$C$78,AD29))))/2,F29*100/2))</f>
        <v/>
      </c>
      <c r="DK29" s="59" t="str">
        <f>IF(U29&lt;&gt;"SÍ","",IF(NOT(AND(C29="VOLADO",AC29&gt;DATOS!$C$80)),0,IF(INDEX(TABLAS!$C$52:$C$58,MATCH(BU29,TABLAS!$B$52:$B$58,0))&lt;=DATOS!$C$80-2*DATOS!$C$60,1,0)))</f>
        <v/>
      </c>
      <c r="DL29" s="58" t="str">
        <f>IF(U29&lt;&gt;"SÍ","",IF(NOT(AND(C29="VOLADO",AC29&gt;DATOS!$C$80)),0,((DATOS!$C$82-MAX(DATOS!$C$60,(DATOS!$C$81-2*DATOS!$C$94)/2)-2*DATOS!$C$94-INDEX(TABLAS!$C$52:$C$58,MATCH(BU29,TABLAS!$B$52:$B$58,0))/2)-IF(AND((DATOS!$C$82-MAX(DATOS!$C$60,(DATOS!$C$81-2*DATOS!$C$94)/2)-2*DATOS!$C$94-INDEX(TABLAS!$C$52:$C$58,MATCH(BU29,TABLAS!$B$52:$B$58,0))/2)&lt;=20,DATOS!$C$62&lt;&gt;"SÍ"),2,0))))</f>
        <v/>
      </c>
      <c r="DM29" s="56" t="str">
        <f>IF(U29&lt;&gt;"SÍ","",IF(OR(NOT(AND(C29="VOLADO",AC29&gt;DATOS!$C$80)),DK29&lt;1),0,IF(0.003*(DL29-((DK29*INDEX(TABLAS!$D$52:$D$58,MATCH(BU29,TABLAS!$B$52:$B$58,0)))*DATOS!$C$14/(DATOS!$C$21*AF29)/DATOS!$C$22))/((DK29*INDEX(TABLAS!$D$52:$D$58,MATCH(BU29,TABLAS!$B$52:$B$58,0)))*DATOS!$C$14/(DATOS!$C$21*AF29)/DATOS!$C$22)&lt;0.005,0,DATOS!$C$29*(DK29*INDEX(TABLAS!$D$52:$D$58,MATCH(BU29,TABLAS!$B$52:$B$58,0)))*DATOS!$C$14*(DL29-(DK29*INDEX(TABLAS!$D$52:$D$58,MATCH(BU29,TABLAS!$B$52:$B$58,0)))*DATOS!$C$14/(DATOS!$C$21*AF29)/2)/1E5)))</f>
        <v/>
      </c>
      <c r="DN29" s="56" t="str">
        <f>IF(U29&lt;&gt;"SÍ","",IF(OR(NOT(AND(C29="VOLADO",AC29&gt;DATOS!$C$80)),DK29&lt;1),0,DATOS!$C$30*2*MIN(1,SQRT(2/(1+0.04*DL29)))*((DK29*INDEX(TABLAS!$D$52:$D$58,MATCH(BU29,TABLAS!$B$52:$B$58,0)))/(AF29*DL29))^(1/3)*SQRT(DATOS!$C$13)*AF29*DL29/1000))</f>
        <v/>
      </c>
      <c r="DO29" s="56" t="str">
        <f>IF(U29&lt;&gt;"SÍ","",IF(NOT(AND(C29="VOLADO",AC29&gt;DATOS!$C$80)),0,IF((BG29-DM29)&lt;=0,0,IF(DM29&lt;=0,IF(ISNUMBER(P29),P29,X29),IF(((0.9*DATOS!$C$87*DATOS!$C$83/100/1000)*IF(ISNUMBER(P29),P29,X29)/2+BG29/IF(ISNUMBER(P29),P29,X29))^2-4*((0.9*DATOS!$C$87*DATOS!$C$83/100/1000)/2)*(BG29-DM29)&lt;0,IF(ISNUMBER(P29),P29,X29),MIN(IF(ISNUMBER(P29),P29,X29),(((0.9*DATOS!$C$87*DATOS!$C$83/100/1000)*IF(ISNUMBER(P29),P29,X29)/2+BG29/IF(ISNUMBER(P29),P29,X29))-SQRT(((0.9*DATOS!$C$87*DATOS!$C$83/100/1000)*IF(ISNUMBER(P29),P29,X29)/2+BG29/IF(ISNUMBER(P29),P29,X29))^2-4*((0.9*DATOS!$C$87*DATOS!$C$83/100/1000)/2)*(BG29-DM29)))/(2*((0.9*DATOS!$C$87*DATOS!$C$83/100/1000)/2))))))))</f>
        <v/>
      </c>
      <c r="DP29" s="56" t="str">
        <f>IF(U29&lt;&gt;"SÍ","",IF(NOT(AND(C29="VOLADO",AC29&gt;DATOS!$C$80)),0,MIN(IF(ISNUMBER(P29),P29,X29),MAX(0,IF(ISNUMBER(P29),P29,X29)/2+BG29/IF(ISNUMBER(P29),P29,X29)/(AQ29*DATOS!$C$83/100/1000)-DN29/(AQ29*DATOS!$C$83/100/1000)))))</f>
        <v/>
      </c>
      <c r="DQ29" s="56" t="str">
        <f>IF(U29&lt;&gt;"SÍ","",IF(NOT(AND(C29="VOLADO",AC29&gt;DATOS!$C$80)),0,BG29/IF(ISNUMBER(P29),P29,X29)+(AQ29*DATOS!$C$83/100/1000)*MAX(0,IF(ISNUMBER(P29),P29,X29)/2-BW29/100)))</f>
        <v/>
      </c>
      <c r="DR29" s="59" t="str">
        <f>IF(U29&lt;&gt;"SÍ","",IF(NOT(AND(C29="VOLADO",AC29&gt;DATOS!$C$80)),0,CEILING(100*MIN(IF(ISNUMBER(P29),P29,X29),MAX(IF(DO29&gt;0,DO29+IF(BV29&gt;=2,MAX(DL29,12*INDEX(TABLAS!$C$52:$C$58,MATCH(BU29,TABLAS!$B$52:$B$58,0)))/100,0),0),DP29,IF(BV29&gt;=2,INDEX(TABLAS!$F$52:$F$58,MATCH(BU29,TABLAS!$B$52:$B$58,0))/100,0))),5)))</f>
        <v/>
      </c>
      <c r="DS29" s="60" t="str">
        <f>IF(U29&lt;&gt;"SÍ","",IF(NOT(AND(C29="VOLADO",AC29&gt;DATOS!$C$80)),0,IF(DR29&lt;=0,0,CEILING(DR29/DATOS!$C$83,1))))</f>
        <v/>
      </c>
      <c r="DT29" s="61" t="str">
        <f>IF(U29&lt;&gt;"SÍ","",IF(C29&lt;&gt;"VOLADO","—",IF(AC29&lt;=DATOS!$C$80,"— (mismo b_w que el respaldo)",IF(DQ29&gt;CR29,"NO CUMPLE: cortante de la nervadura ancha junto al apoyo ("&amp;TEXT(DQ29,"0.00")&amp;" &gt; "&amp;TEXT(CR29,"0.00")&amp;" t)",IF(DR29&gt;=100*IF(ISNUMBER(P29),P29,X29),"CUMPLE — todas las nervaduras del respaldo ‖ al volado con b_w = "&amp;AC29&amp;" cm","CUMPLE — "&amp;DS29&amp;" hilera(s) del respaldo con nervaduras de b_w = "&amp;AC29&amp;" cm (casetón "&amp;AD29&amp;" cm), hasta "&amp;TEXT(DR29/100,"0.00")&amp;" m del paño")))))</f>
        <v/>
      </c>
      <c r="DU29" s="69" t="str">
        <f>IF(U29&lt;&gt;"SÍ","",IF(BN29=0,"NO ALCANZA",BN29&amp;" No. "&amp;BM29&amp;IF(BN29&gt;1," corridas"," corrida")))</f>
        <v/>
      </c>
      <c r="DV29" s="69" t="str">
        <f>IF(U29&lt;&gt;"SÍ","",IF(BV29=0,"NO ALCANZA",IF(AND(C29="VOLADO",AC29&gt;DATOS!$C$80,BV29&gt;=2),"1 No. "&amp;BU29&amp;" corrida de la orilla al respaldo ("&amp;IF(DB29&gt;=100*IF(ISNUMBER(P29),P29,X29),"hasta su apoyo lejano, con gancho","entra "&amp;TEXT(DB29/100,"0.00")&amp;" m desde el paño")&amp;") + "&amp;(BV29-1)&amp;" bastón No. "&amp;BU29&amp;" hasta "&amp;TEXT(DR29/100,"0.00")&amp;" m del paño (fin de la nervadura ancha)",IF(C29="VOLADO",BV29&amp;" No. "&amp;BU29&amp;" de la orilla al respaldo ("&amp;IF(DB29&gt;=100*IF(ISNUMBER(P29),P29,X29),"hasta su apoyo lejano, con gancho","entran "&amp;TEXT(DB29/100,"0.00")&amp;" m desde el paño")&amp;")","1 No. "&amp;BU29&amp;" corrida"&amp;IF(BV29&gt;1," + "&amp;(BV29-1)&amp;" bastón No. "&amp;BU29&amp;" L = "&amp;TEXT(DB29/100,"0.00")&amp;" m desde el paño","")))))</f>
        <v/>
      </c>
      <c r="DW29" s="69" t="str">
        <f>IF(U29&lt;&gt;"SÍ","",IF(CD29=0,"NO ALCANZA",CD29&amp;" No. "&amp;CC29&amp;IF(CD29&gt;1," corridas"," corrida")))</f>
        <v/>
      </c>
      <c r="DX29" s="69" t="str">
        <f>IF(U29&lt;&gt;"SÍ","",IF(CL29=0,"NO ALCANZA",IF(C29="VOLADO","1 No. "&amp;CK29&amp;" corrida (repartición)","1 No. "&amp;CK29&amp;" corrida"&amp;IF(CL29&gt;1," + "&amp;(CL29-1)&amp;" bastón No. "&amp;CK29&amp;" L = "&amp;TEXT(DC29/100,"0.00")&amp;" m desde el paño",""))))</f>
        <v/>
      </c>
      <c r="DY29" s="67" t="str">
        <f>IF(B29="","",IF(U29&lt;&gt;"SÍ","FALTAN DATOS: tipo, a_x, a_y y destino",IF(L29="NO MONOLÍTICO (caso II)","FUERA DE ALCANCE: caso II no transcrito",IF(AND(C29="VOLADO",V29="?"),"REVISAR: el volado lleva UN solo borde CONTINUO (el empotrado)",IF(AND(MAX(BQ29,BY29,CG29,CO29)&lt;=1,NOT(OR(BN29&gt;MIN(DATOS!$C$70,INT(((AC29-2*AJ29)+MAX(DATOS!$C$67,INDEX(TABLAS!$C$52:$C$58,MATCH(BM29,TABLAS!$B$52:$B$58,0))))/(INDEX(TABLAS!$C$52:$C$58,MATCH(BM29,TABLAS!$B$52:$B$58,0))+MAX(DATOS!$C$67,INDEX(TABLAS!$C$52:$C$58,MATCH(BM29,TABLAS!$B$52:$B$58,0)))))),BV29&gt;MIN(DATOS!$C$70,INT(((AC29-2*AK29)+MAX(DATOS!$C$67,INDEX(TABLAS!$C$52:$C$58,MATCH(BU29,TABLAS!$B$52:$B$58,0))))/(INDEX(TABLAS!$C$52:$C$58,MATCH(BU29,TABLAS!$B$52:$B$58,0))+MAX(DATOS!$C$67,INDEX(TABLAS!$C$52:$C$58,MATCH(BU29,TABLAS!$B$52:$B$58,0)))))),CD29&gt;MIN(DATOS!$C$70,INT(((DATOS!$C$80-2*AJ29)+MAX(DATOS!$C$67,INDEX(TABLAS!$C$52:$C$58,MATCH(CC29,TABLAS!$B$52:$B$58,0))))/(INDEX(TABLAS!$C$52:$C$58,MATCH(CC29,TABLAS!$B$52:$B$58,0))+MAX(DATOS!$C$67,INDEX(TABLAS!$C$52:$C$58,MATCH(CC29,TABLAS!$B$52:$B$58,0)))))),CL29&gt;MIN(DATOS!$C$70,INT(((DATOS!$C$80-2*AK29)+MAX(DATOS!$C$67,INDEX(TABLAS!$C$52:$C$58,MATCH(CK29,TABLAS!$B$52:$B$58,0))))/(INDEX(TABLAS!$C$52:$C$58,MATCH(CK29,TABLAS!$B$52:$B$58,0))+MAX(DATOS!$C$67,INDEX(TABLAS!$C$52:$C$58,MATCH(CK29,TABLAS!$B$52:$B$58,0)))))))),NOT(OR(AND(ISNUMBER(BR29),BR29&lt;0.005),AND(ISNUMBER(BZ29),BZ29&lt;0.005),AND(ISNUMBER(CH29),CH29&lt;0.005),AND(ISNUMBER(CP29),CP29&lt;0.005))),NOT(LEFT(DT29,2)="NO"),CZ29="CUMPLE",DA29="CUMPLE",LEFT(CT29,2)&lt;&gt;"NO"),IF(LEFT(CT29,6)="CUMPLE","CUMPLE","CUMPLE — "&amp;CT29)&amp;IF(LEFT(BJ29,5)="FUERA"," · fuera de 3.4.2.1 c)","")&amp;IF(LEFT(DF29,2)="NO"," · REVISAR anclaje en borde discontinuo","")&amp;IF(DS29&gt;0," · respaldo: "&amp;DS29&amp;" hilera(s) de b_w "&amp;AC29&amp;" cm",""),IF(AND(MAX(BQ29,BY29,CG29,CO29)&lt;=1,NOT(OR(BN29&gt;MIN(DATOS!$C$70,INT(((AC29-2*AJ29)+MAX(DATOS!$C$67,INDEX(TABLAS!$C$52:$C$58,MATCH(BM29,TABLAS!$B$52:$B$58,0))))/(INDEX(TABLAS!$C$52:$C$58,MATCH(BM29,TABLAS!$B$52:$B$58,0))+MAX(DATOS!$C$67,INDEX(TABLAS!$C$52:$C$58,MATCH(BM29,TABLAS!$B$52:$B$58,0)))))),BV29&gt;MIN(DATOS!$C$70,INT(((AC29-2*AK29)+MAX(DATOS!$C$67,INDEX(TABLAS!$C$52:$C$58,MATCH(BU29,TABLAS!$B$52:$B$58,0))))/(INDEX(TABLAS!$C$52:$C$58,MATCH(BU29,TABLAS!$B$52:$B$58,0))+MAX(DATOS!$C$67,INDEX(TABLAS!$C$52:$C$58,MATCH(BU29,TABLAS!$B$52:$B$58,0)))))),CD29&gt;MIN(DATOS!$C$70,INT(((DATOS!$C$80-2*AJ29)+MAX(DATOS!$C$67,INDEX(TABLAS!$C$52:$C$58,MATCH(CC29,TABLAS!$B$52:$B$58,0))))/(INDEX(TABLAS!$C$52:$C$58,MATCH(CC29,TABLAS!$B$52:$B$58,0))+MAX(DATOS!$C$67,INDEX(TABLAS!$C$52:$C$58,MATCH(CC29,TABLAS!$B$52:$B$58,0)))))),CL29&gt;MIN(DATOS!$C$70,INT(((DATOS!$C$80-2*AK29)+MAX(DATOS!$C$67,INDEX(TABLAS!$C$52:$C$58,MATCH(CK29,TABLAS!$B$52:$B$58,0))))/(INDEX(TABLAS!$C$52:$C$58,MATCH(CK29,TABLAS!$B$52:$B$58,0))+MAX(DATOS!$C$67,INDEX(TABLAS!$C$52:$C$58,MATCH(CK29,TABLAS!$B$52:$B$58,0)))))))),NOT(OR(AND(ISNUMBER(BR29),BR29&lt;0.005),AND(ISNUMBER(BZ29),BZ29&lt;0.005),AND(ISNUMBER(CH29),CH29&lt;0.005),AND(ISNUMBER(CP29),CP29&lt;0.005))),NOT(LEFT(DT29,2)="NO"),CZ29="CALCULAR FLECHA",LEFT(CT29,2)&lt;&gt;"NO"),"REVISAR: calcular flecha (h_eq &lt; h mín.)"&amp;IF(LEFT(BJ29,5)="FUERA"," · fuera de 3.4.2.1 c)","")&amp;IF(LEFT(DF29,2)="NO"," · REVISAR anclaje en borde discontinuo","")&amp;IF(DS29&gt;0," · respaldo: "&amp;DS29&amp;" hilera(s) de b_w "&amp;AC29&amp;" cm",""),"NO CUMPLE: "&amp;IF(MAX(BQ29,BY29,CG29,CO29)&gt;1,"flexión ","")&amp;IF(OR(BN29&gt;MIN(DATOS!$C$70,INT(((AC29-2*AJ29)+MAX(DATOS!$C$67,INDEX(TABLAS!$C$52:$C$58,MATCH(BM29,TABLAS!$B$52:$B$58,0))))/(INDEX(TABLAS!$C$52:$C$58,MATCH(BM29,TABLAS!$B$52:$B$58,0))+MAX(DATOS!$C$67,INDEX(TABLAS!$C$52:$C$58,MATCH(BM29,TABLAS!$B$52:$B$58,0)))))),BV29&gt;MIN(DATOS!$C$70,INT(((AC29-2*AK29)+MAX(DATOS!$C$67,INDEX(TABLAS!$C$52:$C$58,MATCH(BU29,TABLAS!$B$52:$B$58,0))))/(INDEX(TABLAS!$C$52:$C$58,MATCH(BU29,TABLAS!$B$52:$B$58,0))+MAX(DATOS!$C$67,INDEX(TABLAS!$C$52:$C$58,MATCH(BU29,TABLAS!$B$52:$B$58,0)))))),CD29&gt;MIN(DATOS!$C$70,INT(((DATOS!$C$80-2*AJ29)+MAX(DATOS!$C$67,INDEX(TABLAS!$C$52:$C$58,MATCH(CC29,TABLAS!$B$52:$B$58,0))))/(INDEX(TABLAS!$C$52:$C$58,MATCH(CC29,TABLAS!$B$52:$B$58,0))+MAX(DATOS!$C$67,INDEX(TABLAS!$C$52:$C$58,MATCH(CC29,TABLAS!$B$52:$B$58,0)))))),CL29&gt;MIN(DATOS!$C$70,INT(((DATOS!$C$80-2*AK29)+MAX(DATOS!$C$67,INDEX(TABLAS!$C$52:$C$58,MATCH(CK29,TABLAS!$B$52:$B$58,0))))/(INDEX(TABLAS!$C$52:$C$58,MATCH(CK29,TABLAS!$B$52:$B$58,0))+MAX(DATOS!$C$67,INDEX(TABLAS!$C$52:$C$58,MATCH(CK29,TABLAS!$B$52:$B$58,0))))))),"no caben ","")&amp;IF(OR(AND(ISNUMBER(BR29),BR29&lt;0.005),AND(ISNUMBER(BZ29),BZ29&lt;0.005),AND(ISNUMBER(CH29),CH29&lt;0.005),AND(ISNUMBER(CP29),CP29&lt;0.005)),"ε_t &lt; 0.005 ","")&amp;IF(LEFT(CT29,2)="NO","cortante ","")&amp;IF(CZ29="NO CUMPLE","peralte ","")&amp;IF(DA29&lt;&gt;"CUMPLE","capa &lt; 6 cm ","")&amp;IF(LEFT(DT29,2)="NO","respaldo del volado","")))))))</f>
        <v/>
      </c>
      <c r="DZ29" s="70" t="str">
        <f>IF(U29&lt;&gt;"SÍ","",IF(LEFT(B29,7)="EJEMPLO","EJEMPLO de la hoja de Casa Rocha: bórralo o sobrescríbelo. ","")&amp;IF(AND(C29="PERIMETRAL",MIN(DG29,DH29)=0),"No cabe un casetón en el claro corto: es un tablero macizo, diséñalo en MACIZAS. ","")&amp;IF(AND(AI29="NO",C29="PERIMETRAL"),"No cumple 6.7.8.1.4 (a_c = "&amp;MAX(DATOS!$C$78,AD29)&amp;" cm &gt; claro corto/6 = "&amp;TEXT(X29*100/6,"0")&amp;" cm): se diseña como losa apoyada en vigas (6.7.8.1.9): r de viga = "&amp;DATOS!$C$60&amp;" cm y V_cR sin ×1.1. Para que cuente como encasetonada: casetón de "&amp;TEXT(FLOOR(MIN(80,X29*100/6),1),"0")&amp;" cm o menor. ","")&amp;IF(C29="VOLADO","Volado de "&amp;TEXT(X29,"0.00")&amp;" m empotrado en el borde "&amp;LOWER(V29)&amp;IF(N(O29)&gt;0,", con "&amp;TEXT(O29,"0.0")&amp;" kg/m en la orilla","")&amp;". Lecho inferior con r_ext. Si la orilla carga pretil u otro elemento frágil, calcula la flecha (13.4). El acero superior entra al respaldo de "&amp;TEXT(IF(ISNUMBER(P29),P29,X29),"0.00")&amp;" m"&amp;IF(ISNUMBER(P29),""," (L_b no capturado: se tomó igual al volado)")&amp;" hasta pasar M = 0 con 0.9·PP sin carga viva; si ahí no se anula, llega al apoyo lejano y se ancla con gancho (NTC-Criterios 3.4.1 c y 5.1.2.2). "&amp;IF(AC29&gt;DATOS!$C$80,"Respaldo: "&amp;DT29&amp;". ",""),"")&amp;IF(LEFT(BJ29,5)="FUERA","El M⁻ del vecino difiere más de 50 % (3.4.2.1 c): distribuye el desequilibrio (3.4.3.1) o confirma con un modelo; se arma con el mayor. ","")&amp;IF(OR(DD29="SÍ",DE29="SÍ"),"El M⁻ del borde discontinuo pide bastón también ahí (con gancho). ","")&amp;IF(LEFT(DF29,2)="NO","Anclaje: "&amp;DF29&amp;" (6.7.8.1.7). ","")&amp;IF(OR(AZ29&gt;0,BA29&gt;0),"Esquinas exteriores sobre muro: refuerzo de esquina arriba y abajo en L_largo/5 (6.7.7.3.1). ",""))</f>
        <v/>
      </c>
    </row>
    <row r="30" ht="33" customHeight="1">
      <c r="A30" s="50">
        <f>IF(B30="",0,1)+A29</f>
        <v>4</v>
      </c>
      <c r="B30" s="29" t="n"/>
      <c r="C30" s="51" t="n"/>
      <c r="D30" s="29" t="n"/>
      <c r="E30" s="52" t="n"/>
      <c r="F30" s="52" t="n"/>
      <c r="G30" s="51" t="n"/>
      <c r="H30" s="51" t="n"/>
      <c r="I30" s="51" t="n"/>
      <c r="J30" s="51" t="n"/>
      <c r="K30" s="51" t="n"/>
      <c r="L30" s="51" t="n"/>
      <c r="M30" s="53" t="n"/>
      <c r="N30" s="53" t="n"/>
      <c r="O30" s="54" t="n"/>
      <c r="P30" s="52" t="n"/>
      <c r="Q30" s="53" t="n"/>
      <c r="R30" s="54" t="n"/>
      <c r="S30" s="52" t="n"/>
      <c r="T30" s="52" t="n"/>
      <c r="U30" s="55" t="str">
        <f>IF(B30="","",IF(AND(OR(C30="PERIMETRAL",C30="VOLADO"),ISNUMBER(E30),ISNUMBER(F30),E30&gt;0,F30&gt;0,OR(ISNUMBER(N30),ISNUMBER(MATCH(D30,DATOS!$B$46:$B$55,0)))),"SÍ","NO"))</f>
        <v/>
      </c>
      <c r="V30" s="55" t="str">
        <f>IF(U30&lt;&gt;"SÍ","",IF(C30&lt;&gt;"VOLADO","—",IF(COUNTIF(G30:J30,"CONTINUO")&lt;&gt;1,"?",IF(G30="CONTINUO","INFERIOR",IF(H30="CONTINUO","SUPERIOR",IF(I30="CONTINUO","IZQUIERDO","DERECHO"))))))</f>
        <v/>
      </c>
      <c r="W30" s="55" t="str">
        <f>IF(U30&lt;&gt;"SÍ","",IF(C30="VOLADO",IF(OR(V30="IZQUIERDO",V30="DERECHO"),"X","Y"),IF(E30&lt;=F30,"X","Y")))</f>
        <v/>
      </c>
      <c r="X30" s="56" t="str">
        <f>IF(U30&lt;&gt;"SÍ","",IF(C30="VOLADO",IF(W30="X",E30,F30),MIN(E30,F30)))</f>
        <v/>
      </c>
      <c r="Y30" s="56" t="str">
        <f>IF(U30&lt;&gt;"SÍ","",IF(C30="VOLADO",IF(W30="X",F30,E30),MAX(E30,F30)))</f>
        <v/>
      </c>
      <c r="Z30" s="56" t="str">
        <f>IF(U30&lt;&gt;"SÍ","",MIN(X30,Y30)/MAX(X30,Y30))</f>
        <v/>
      </c>
      <c r="AA30" s="57" t="str">
        <f>IF(U30&lt;&gt;"SÍ","",MAX(1,X30*100-IF(C30="VOLADO",DATOS!$C$84/2,DATOS!$C$84)))</f>
        <v/>
      </c>
      <c r="AB30" s="57" t="str">
        <f>IF(U30&lt;&gt;"SÍ","",MAX(1,Y30*100-DATOS!$C$84))</f>
        <v/>
      </c>
      <c r="AC30" s="57" t="str">
        <f>IF(U30&lt;&gt;"SÍ","",IF(ISNUMBER(Q30),Q30,DATOS!$C$80))</f>
        <v/>
      </c>
      <c r="AD30" s="57" t="str">
        <f>IF(U30&lt;&gt;"SÍ","",MAX(0,DATOS!$C$83-AC30))</f>
        <v/>
      </c>
      <c r="AE30" s="57" t="str">
        <f>IF(U30&lt;&gt;"SÍ","",IF(OR(DATOS!$C$62="SÍ",AC30&gt;=20),AC30,AC30-2))</f>
        <v/>
      </c>
      <c r="AF30" s="57" t="str">
        <f>IF(U30&lt;&gt;"SÍ","",IF(OR(DATOS!$C$62="SÍ",DATOS!$C$80&gt;=20),DATOS!$C$80,DATOS!$C$80-2))</f>
        <v/>
      </c>
      <c r="AG30" s="57" t="str">
        <f>IF(U30&lt;&gt;"SÍ","",MIN(DATOS!$C$83,AC30+2*MIN(8*DATOS!$C$81,AD30/2,AA30/8)))</f>
        <v/>
      </c>
      <c r="AH30" s="57" t="str">
        <f>IF(U30&lt;&gt;"SÍ","",MIN(DATOS!$C$83,DATOS!$C$80+2*MIN(8*DATOS!$C$81,DATOS!$C$78/2,AB30/8)))</f>
        <v/>
      </c>
      <c r="AI30" s="55" t="str">
        <f>IF(U30&lt;&gt;"SÍ","",IF(AND(C30="PERIMETRAL",X30*100&gt;=6*MAX(DATOS!$C$78,AD30),MAX(DATOS!$C$78,AD30)&lt;=80,MIN(DATOS!$C$80,AC30)&gt;=10,DATOS!$C$82&lt;=3.5*MIN(DATOS!$C$80,AC30),DATOS!$C$81&gt;=MAX(MAX(DATOS!$C$78,AD30)/13,5)),"SÍ","NO"))</f>
        <v/>
      </c>
      <c r="AJ30" s="57" t="str">
        <f>IF(U30&lt;&gt;"SÍ","",IF(C30="VOLADO",DATOS!$C$61,IF(AI30="NO",DATOS!$C$60,DATOS!$C$59)))</f>
        <v/>
      </c>
      <c r="AK30" s="57" t="str">
        <f>IF(U30&lt;&gt;"SÍ","",IF(OR(AND(AM30="SÍ",DATOS!$C$63="SÍ"),AND(C30="VOLADO",DATOS!$C$64="SÍ")),DATOS!$C$61,IF(AI30="NO",DATOS!$C$60,DATOS!$C$59)))</f>
        <v/>
      </c>
      <c r="AL30" s="58" t="str">
        <f>IF(U30&lt;&gt;"SÍ","",MAX(AK30,(DATOS!$C$81-2*DATOS!$C$94)/2))</f>
        <v/>
      </c>
      <c r="AM30" s="55" t="str">
        <f>IF(U30&lt;&gt;"SÍ","",IFERROR(INDEX(DATOS!$D$46:$D$55,MATCH(D30,DATOS!$B$46:$B$55,0)),"NO"))</f>
        <v/>
      </c>
      <c r="AN30" s="59" t="str">
        <f>IF(U30&lt;&gt;"SÍ","",IF(ISNUMBER(N30),N30,IFERROR(INDEX(DATOS!$C$46:$C$55,MATCH(D30,DATOS!$B$46:$B$55,0)),0)))</f>
        <v/>
      </c>
      <c r="AO30" s="59" t="str">
        <f>IF(U30&lt;&gt;"SÍ","",(DATOS!$C$82/100-(AD30*DATOS!$C$78/DATOS!$C$83^2)*DATOS!$C$79/100)*DATOS!$C$16*1000+(AD30*DATOS!$C$78/DATOS!$C$83^2)*DATOS!$C$79/100*DATOS!$C$17*1000+DATOS!$C$37+DATOS!$C$38)</f>
        <v/>
      </c>
      <c r="AP30" s="59" t="str">
        <f>IF(U30&lt;&gt;"SÍ","",AO30+N(M30))</f>
        <v/>
      </c>
      <c r="AQ30" s="60" t="str">
        <f>IF(U30&lt;&gt;"SÍ","",MAX(DATOS!$C$26*AP30+DATOS!$C$27*AN30,IF(AM30="SÍ",DATOS!$C$28*(AP30+DATOS!$C$41),0)))</f>
        <v/>
      </c>
      <c r="AR30" s="59" t="str">
        <f>IF(U30&lt;&gt;"SÍ","",(G30="DISCONTINUO")+(H30="DISCONTINUO")+(I30="DISCONTINUO")+(J30="DISCONTINUO"))</f>
        <v/>
      </c>
      <c r="AS30" s="59" t="str">
        <f>IF(U30&lt;&gt;"SÍ","",IF(W30="X",(G30="DISCONTINUO")+(H30="DISCONTINUO"),(I30="DISCONTINUO")+(J30="DISCONTINUO")))</f>
        <v/>
      </c>
      <c r="AT30" s="55" t="str">
        <f>IF(U30&lt;&gt;"SÍ","",IF(AR30=0,"INTERIOR",IF(AR30=1,IF(AS30=1,"BORDE-CORTO","BORDE-LARGO"),IF(AR30=2,IF(AS30=1,"ESQUINA",IF(AS30=2,"EXTREMO-LARGO","EXTREMO-CORTO")),IF(AR30=3,IF(AS30=2,"EXTREMO-LARGO","EXTREMO-CORTO"),"AISLADO")))))</f>
        <v/>
      </c>
      <c r="AU30" s="61" t="str">
        <f>IF(U30&lt;&gt;"SÍ","",IF(OR(K30="",K30="AUTO"),AT30,K30))</f>
        <v/>
      </c>
      <c r="AV30" s="59" t="str">
        <f>IF(U30&lt;&gt;"SÍ","",MATCH(Z30,TABLAS!$D$5:$J$5,1))</f>
        <v/>
      </c>
      <c r="AW30" s="58" t="str">
        <f>IF(U30&lt;&gt;"SÍ","",IF(AV30&gt;=7,0,(Z30-INDEX(TABLAS!$D$5:$J$5,AV30))/(INDEX(TABLAS!$D$5:$J$5,AV30+1)-INDEX(TABLAS!$D$5:$J$5,AV30))))</f>
        <v/>
      </c>
      <c r="AX30" s="59" t="str">
        <f>IF(U30&lt;&gt;"SÍ","",INDEX(TABLAS!$D$6:$J$47,MATCH(AU30&amp;"|NIC",TABLAS!$B$6:$B$47,0),AV30)+AW30*(INDEX(TABLAS!$D$6:$J$47,MATCH(AU30&amp;"|NIC",TABLAS!$B$6:$B$47,0),MIN(AV30+1,7))-INDEX(TABLAS!$D$6:$J$47,MATCH(AU30&amp;"|NIC",TABLAS!$B$6:$B$47,0),AV30)))</f>
        <v/>
      </c>
      <c r="AY30" s="59" t="str">
        <f>IF(U30&lt;&gt;"SÍ","",INDEX(TABLAS!$D$6:$J$47,MATCH(AU30&amp;"|NIL",TABLAS!$B$6:$B$47,0),AV30)+AW30*(INDEX(TABLAS!$D$6:$J$47,MATCH(AU30&amp;"|NIL",TABLAS!$B$6:$B$47,0),MIN(AV30+1,7))-INDEX(TABLAS!$D$6:$J$47,MATCH(AU30&amp;"|NIL",TABLAS!$B$6:$B$47,0),AV30)))</f>
        <v/>
      </c>
      <c r="AZ30" s="59" t="str">
        <f>IF(U30&lt;&gt;"SÍ","",INDEX(TABLAS!$D$6:$J$47,MATCH(AU30&amp;"|NDC",TABLAS!$B$6:$B$47,0),AV30)+AW30*(INDEX(TABLAS!$D$6:$J$47,MATCH(AU30&amp;"|NDC",TABLAS!$B$6:$B$47,0),MIN(AV30+1,7))-INDEX(TABLAS!$D$6:$J$47,MATCH(AU30&amp;"|NDC",TABLAS!$B$6:$B$47,0),AV30)))</f>
        <v/>
      </c>
      <c r="BA30" s="59" t="str">
        <f>IF(U30&lt;&gt;"SÍ","",INDEX(TABLAS!$D$6:$J$47,MATCH(AU30&amp;"|NDL",TABLAS!$B$6:$B$47,0),AV30)+AW30*(INDEX(TABLAS!$D$6:$J$47,MATCH(AU30&amp;"|NDL",TABLAS!$B$6:$B$47,0),MIN(AV30+1,7))-INDEX(TABLAS!$D$6:$J$47,MATCH(AU30&amp;"|NDL",TABLAS!$B$6:$B$47,0),AV30)))</f>
        <v/>
      </c>
      <c r="BB30" s="59" t="str">
        <f>IF(U30&lt;&gt;"SÍ","",INDEX(TABLAS!$D$6:$J$47,MATCH(AU30&amp;"|PC",TABLAS!$B$6:$B$47,0),AV30)+AW30*(INDEX(TABLAS!$D$6:$J$47,MATCH(AU30&amp;"|PC",TABLAS!$B$6:$B$47,0),MIN(AV30+1,7))-INDEX(TABLAS!$D$6:$J$47,MATCH(AU30&amp;"|PC",TABLAS!$B$6:$B$47,0),AV30)))</f>
        <v/>
      </c>
      <c r="BC30" s="59" t="str">
        <f>IF(U30&lt;&gt;"SÍ","",INDEX(TABLAS!$D$6:$J$47,MATCH(AU30&amp;"|PL",TABLAS!$B$6:$B$47,0),AV30)+AW30*(INDEX(TABLAS!$D$6:$J$47,MATCH(AU30&amp;"|PL",TABLAS!$B$6:$B$47,0),MIN(AV30+1,7))-INDEX(TABLAS!$D$6:$J$47,MATCH(AU30&amp;"|PL",TABLAS!$B$6:$B$47,0),AV30)))</f>
        <v/>
      </c>
      <c r="BD30" s="56" t="str">
        <f>IF(U30&lt;&gt;"SÍ","",IF(C30&lt;&gt;"VOLADO",0,DATOS!$C$26*DATOS!$C$16*DATOS!$C$83/100*(((AD30*DATOS!$C$78/DATOS!$C$83^2)*DATOS!$C$79/100)*(IF(W30="X",DI30,DJ30)+DATOS!$C$84/2)/100*(AA30-(IF(W30="X",DI30,DJ30)+DATOS!$C$84/2)/2)/100+((AD30*DATOS!$C$78/DATOS!$C$83^2)*DATOS!$C$79/100)*IF(W30="X",DI30,DJ30)/100*IF(W30="X",DI30,DJ30)/200)))</f>
        <v/>
      </c>
      <c r="BE30" s="56" t="str">
        <f>IF(U30&lt;&gt;"SÍ","",IF(C30&lt;&gt;"VOLADO",0,DATOS!$C$26*DATOS!$C$16*DATOS!$C$83/100*((AD30*DATOS!$C$78/DATOS!$C$83^2)*DATOS!$C$79/100)*(IF(W30="X",DI30,DJ30)+DATOS!$C$84/2)/100))</f>
        <v/>
      </c>
      <c r="BF30" s="56" t="str">
        <f>IF(U30&lt;&gt;"SÍ","",IF(C30="PERIMETRAL",BB30*AQ30*X30^2*1E-4*DATOS!$C$83/100/1000,0))</f>
        <v/>
      </c>
      <c r="BG30" s="62" t="str">
        <f>IF(U30&lt;&gt;"SÍ","",IF(C30="PERIMETRAL",MAX(MAX(AX30,AZ30)*AQ30*X30^2*1E-4*DATOS!$C$83/100/1000,N(S30)),(AQ30*(AA30/100)^2/2+DATOS!$C$26*N(O30)*AA30/100)*DATOS!$C$83/100/1000+BD30))</f>
        <v/>
      </c>
      <c r="BH30" s="56" t="str">
        <f>IF(U30&lt;&gt;"SÍ","",IF(C30="PERIMETRAL",BC30*AQ30*X30^2*1E-4*DATOS!$C$83/100/1000,0))</f>
        <v/>
      </c>
      <c r="BI30" s="56" t="str">
        <f>IF(U30&lt;&gt;"SÍ","",IF(C30="PERIMETRAL",MAX(MAX(AY30,BA30)*AQ30*X30^2*1E-4*DATOS!$C$83/100/1000,N(T30)),0))</f>
        <v/>
      </c>
      <c r="BJ30" s="63" t="str">
        <f>IF(U30&lt;&gt;"SÍ","",IF(C30&lt;&gt;"PERIMETRAL","—",IF(AND(N(S30)=0,N(T30)=0),"— (sin M⁻ del vecino)",IF(OR(AND(N(S30)&gt;0,ABS(MAX(AX30,AZ30)*AQ30*X30^2*1E-4*DATOS!$C$83/100/1000-N(S30))&gt;0.5*MIN(MAX(AX30,AZ30)*AQ30*X30^2*1E-4*DATOS!$C$83/100/1000,N(S30))),AND(N(T30)&gt;0,ABS(MAX(AY30,BA30)*AQ30*X30^2*1E-4*DATOS!$C$83/100/1000-N(T30))&gt;0.5*MIN(MAX(AY30,BA30)*AQ30*X30^2*1E-4*DATOS!$C$83/100/1000,N(T30)))),"FUERA: difieren &gt; 50 %"&amp;IF(AND(N(S30)&gt;0,ABS(MAX(AX30,AZ30)*AQ30*X30^2*1E-4*DATOS!$C$83/100/1000-N(S30))&gt;0.5*MIN(MAX(AX30,AZ30)*AQ30*X30^2*1E-4*DATOS!$C$83/100/1000,N(S30)))," ‖ corto","")&amp;IF(AND(N(T30)&gt;0,ABS(MAX(AY30,BA30)*AQ30*X30^2*1E-4*DATOS!$C$83/100/1000-N(T30))&gt;0.5*MIN(MAX(AY30,BA30)*AQ30*X30^2*1E-4*DATOS!$C$83/100/1000,N(T30)))," ‖ largo",""),"CUMPLE"))))</f>
        <v/>
      </c>
      <c r="BK30" s="58" t="str">
        <f>IF(U30&lt;&gt;"SÍ","",(DATOS!$C$82-AJ30-INDEX(TABLAS!$C$52:$C$58,MATCH(DATOS!$C$68,TABLAS!$B$52:$B$58,0))/2))</f>
        <v/>
      </c>
      <c r="BL30" s="58" t="str">
        <f>IF(U30&lt;&gt;"SÍ","",IF(IF(BF30&lt;=0,0,IF((1-2*BF30*1E5/(DATOS!$C$29*AG30*BK30^2*DATOS!$C$21))&lt;0,-1,IF((1-SQRT((1-2*BF30*1E5/(DATOS!$C$29*AG30*BK30^2*DATOS!$C$21))))*DATOS!$C$21*AG30*BK30/DATOS!$C$14&gt;DATOS!$C$99*AG30*BK30,-1,(1-SQRT((1-2*BF30*1E5/(DATOS!$C$29*AG30*BK30^2*DATOS!$C$21))))*DATOS!$C$21*AG30*BK30/DATOS!$C$14)))&lt;0,-1,MAX(IF(BF30&lt;=0,0,IF((1-2*BF30*1E5/(DATOS!$C$29*AG30*BK30^2*DATOS!$C$21))&lt;0,-1,IF((1-SQRT((1-2*BF30*1E5/(DATOS!$C$29*AG30*BK30^2*DATOS!$C$21))))*DATOS!$C$21*AG30*BK30/DATOS!$C$14&gt;DATOS!$C$99*AG30*BK30,-1,(1-SQRT((1-2*BF30*1E5/(DATOS!$C$29*AG30*BK30^2*DATOS!$C$21))))*DATOS!$C$21*AG30*BK30/DATOS!$C$14))),MIN(DATOS!$C$100*AC30*BK30,4/3*IF(BF30&lt;=0,0,IF((1-2*BF30*1E5/(DATOS!$C$29*AG30*BK30^2*DATOS!$C$21))&lt;0,-1,IF((1-SQRT((1-2*BF30*1E5/(DATOS!$C$29*AG30*BK30^2*DATOS!$C$21))))*DATOS!$C$21*AG30*BK30/DATOS!$C$14&gt;DATOS!$C$99*AG30*BK30,-1,(1-SQRT((1-2*BF30*1E5/(DATOS!$C$29*AG30*BK30^2*DATOS!$C$21))))*DATOS!$C$21*AG30*BK30/DATOS!$C$14)))))))</f>
        <v/>
      </c>
      <c r="BM30" s="64" t="str">
        <f>IF(U30&lt;&gt;"SÍ","",IF(AND(BL30&gt;=0,IF(MAX(DATOS!$C$71,CEILING(BL30/INDEX(TABLAS!$D$52:$D$58,MIN(MATCH(DATOS!$C$68,TABLAS!$B$52:$B$58,0)+0,7)),1))*INDEX(TABLAS!$D$52:$D$58,MIN(MATCH(DATOS!$C$68,TABLAS!$B$52:$B$58,0)+0,7))&gt;=4/3*IF(BF30&lt;=0,0,IF((1-2*BF30*1E5/(DATOS!$C$29*AG30*BK30^2*DATOS!$C$21))&lt;0,-1,IF((1-SQRT((1-2*BF30*1E5/(DATOS!$C$29*AG30*BK30^2*DATOS!$C$21))))*DATOS!$C$21*AG30*BK30/DATOS!$C$14&gt;DATOS!$C$99*AG30*BK30,-1,(1-SQRT((1-2*BF30*1E5/(DATOS!$C$29*AG30*BK30^2*DATOS!$C$21))))*DATOS!$C$21*AG30*BK30/DATOS!$C$14)))-0.0001,MAX(DATOS!$C$71,CEILING(BL30/INDEX(TABLAS!$D$52:$D$58,MIN(MATCH(DATOS!$C$68,TABLAS!$B$52:$B$58,0)+0,7)),1)),MAX(MAX(DATOS!$C$71,CEILING(BL30/INDEX(TABLAS!$D$52:$D$58,MIN(MATCH(DATOS!$C$68,TABLAS!$B$52:$B$58,0)+0,7)),1)),2))&lt;=MIN(DATOS!$C$70,INT(((AC30-2*AJ30)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30&gt;=0,IF(MAX(DATOS!$C$71,CEILING(BL30/INDEX(TABLAS!$D$52:$D$58,MIN(MATCH(DATOS!$C$68,TABLAS!$B$52:$B$58,0)+1,7)),1))*INDEX(TABLAS!$D$52:$D$58,MIN(MATCH(DATOS!$C$68,TABLAS!$B$52:$B$58,0)+1,7))&gt;=4/3*IF(BF30&lt;=0,0,IF((1-2*BF30*1E5/(DATOS!$C$29*AG30*BK30^2*DATOS!$C$21))&lt;0,-1,IF((1-SQRT((1-2*BF30*1E5/(DATOS!$C$29*AG30*BK30^2*DATOS!$C$21))))*DATOS!$C$21*AG30*BK30/DATOS!$C$14&gt;DATOS!$C$99*AG30*BK30,-1,(1-SQRT((1-2*BF30*1E5/(DATOS!$C$29*AG30*BK30^2*DATOS!$C$21))))*DATOS!$C$21*AG30*BK30/DATOS!$C$14)))-0.0001,MAX(DATOS!$C$71,CEILING(BL30/INDEX(TABLAS!$D$52:$D$58,MIN(MATCH(DATOS!$C$68,TABLAS!$B$52:$B$58,0)+1,7)),1)),MAX(MAX(DATOS!$C$71,CEILING(BL30/INDEX(TABLAS!$D$52:$D$58,MIN(MATCH(DATOS!$C$68,TABLAS!$B$52:$B$58,0)+1,7)),1)),2))&lt;=MIN(DATOS!$C$70,INT(((AC30-2*AJ30)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30&gt;=0,IF(MAX(DATOS!$C$71,CEILING(BL30/INDEX(TABLAS!$D$52:$D$58,MIN(MATCH(DATOS!$C$68,TABLAS!$B$52:$B$58,0)+2,7)),1))*INDEX(TABLAS!$D$52:$D$58,MIN(MATCH(DATOS!$C$68,TABLAS!$B$52:$B$58,0)+2,7))&gt;=4/3*IF(BF30&lt;=0,0,IF((1-2*BF30*1E5/(DATOS!$C$29*AG30*BK30^2*DATOS!$C$21))&lt;0,-1,IF((1-SQRT((1-2*BF30*1E5/(DATOS!$C$29*AG30*BK30^2*DATOS!$C$21))))*DATOS!$C$21*AG30*BK30/DATOS!$C$14&gt;DATOS!$C$99*AG30*BK30,-1,(1-SQRT((1-2*BF30*1E5/(DATOS!$C$29*AG30*BK30^2*DATOS!$C$21))))*DATOS!$C$21*AG30*BK30/DATOS!$C$14)))-0.0001,MAX(DATOS!$C$71,CEILING(BL30/INDEX(TABLAS!$D$52:$D$58,MIN(MATCH(DATOS!$C$68,TABLAS!$B$52:$B$58,0)+2,7)),1)),MAX(MAX(DATOS!$C$71,CEILING(BL30/INDEX(TABLAS!$D$52:$D$58,MIN(MATCH(DATOS!$C$68,TABLAS!$B$52:$B$58,0)+2,7)),1)),2))&lt;=MIN(DATOS!$C$70,INT(((AC30-2*AJ30)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30&gt;=0,IF(MAX(DATOS!$C$71,CEILING(BL30/INDEX(TABLAS!$D$52:$D$58,MIN(MATCH(DATOS!$C$68,TABLAS!$B$52:$B$58,0)+3,7)),1))*INDEX(TABLAS!$D$52:$D$58,MIN(MATCH(DATOS!$C$68,TABLAS!$B$52:$B$58,0)+3,7))&gt;=4/3*IF(BF30&lt;=0,0,IF((1-2*BF30*1E5/(DATOS!$C$29*AG30*BK30^2*DATOS!$C$21))&lt;0,-1,IF((1-SQRT((1-2*BF30*1E5/(DATOS!$C$29*AG30*BK30^2*DATOS!$C$21))))*DATOS!$C$21*AG30*BK30/DATOS!$C$14&gt;DATOS!$C$99*AG30*BK30,-1,(1-SQRT((1-2*BF30*1E5/(DATOS!$C$29*AG30*BK30^2*DATOS!$C$21))))*DATOS!$C$21*AG30*BK30/DATOS!$C$14)))-0.0001,MAX(DATOS!$C$71,CEILING(BL30/INDEX(TABLAS!$D$52:$D$58,MIN(MATCH(DATOS!$C$68,TABLAS!$B$52:$B$58,0)+3,7)),1)),MAX(MAX(DATOS!$C$71,CEILING(BL30/INDEX(TABLAS!$D$52:$D$58,MIN(MATCH(DATOS!$C$68,TABLAS!$B$52:$B$58,0)+3,7)),1)),2))&lt;=MIN(DATOS!$C$70,INT(((AC30-2*AJ30)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30&gt;=0,IF(MAX(DATOS!$C$71,CEILING(BL30/INDEX(TABLAS!$D$52:$D$58,MIN(MATCH(DATOS!$C$68,TABLAS!$B$52:$B$58,0)+4,7)),1))*INDEX(TABLAS!$D$52:$D$58,MIN(MATCH(DATOS!$C$68,TABLAS!$B$52:$B$58,0)+4,7))&gt;=4/3*IF(BF30&lt;=0,0,IF((1-2*BF30*1E5/(DATOS!$C$29*AG30*BK30^2*DATOS!$C$21))&lt;0,-1,IF((1-SQRT((1-2*BF30*1E5/(DATOS!$C$29*AG30*BK30^2*DATOS!$C$21))))*DATOS!$C$21*AG30*BK30/DATOS!$C$14&gt;DATOS!$C$99*AG30*BK30,-1,(1-SQRT((1-2*BF30*1E5/(DATOS!$C$29*AG30*BK30^2*DATOS!$C$21))))*DATOS!$C$21*AG30*BK30/DATOS!$C$14)))-0.0001,MAX(DATOS!$C$71,CEILING(BL30/INDEX(TABLAS!$D$52:$D$58,MIN(MATCH(DATOS!$C$68,TABLAS!$B$52:$B$58,0)+4,7)),1)),MAX(MAX(DATOS!$C$71,CEILING(BL30/INDEX(TABLAS!$D$52:$D$58,MIN(MATCH(DATOS!$C$68,TABLAS!$B$52:$B$58,0)+4,7)),1)),2))&lt;=MIN(DATOS!$C$70,INT(((AC30-2*AJ30)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30" s="59" t="str">
        <f>IF(U30&lt;&gt;"SÍ","",IF(BL30&lt;0,0,IF(MAX(DATOS!$C$71,CEILING(MAX(BL30,0)/INDEX(TABLAS!$D$52:$D$58,MATCH(BM30,TABLAS!$B$52:$B$58,0)),1))*INDEX(TABLAS!$D$52:$D$58,MATCH(BM30,TABLAS!$B$52:$B$58,0))&gt;=4/3*IF(BF30&lt;=0,0,IF((1-2*BF30*1E5/(DATOS!$C$29*AG30*BK30^2*DATOS!$C$21))&lt;0,-1,IF((1-SQRT((1-2*BF30*1E5/(DATOS!$C$29*AG30*BK30^2*DATOS!$C$21))))*DATOS!$C$21*AG30*BK30/DATOS!$C$14&gt;DATOS!$C$99*AG30*BK30,-1,(1-SQRT((1-2*BF30*1E5/(DATOS!$C$29*AG30*BK30^2*DATOS!$C$21))))*DATOS!$C$21*AG30*BK30/DATOS!$C$14)))-0.0001,MAX(DATOS!$C$71,CEILING(MAX(BL30,0)/INDEX(TABLAS!$D$52:$D$58,MATCH(BM30,TABLAS!$B$52:$B$58,0)),1)),MAX(MAX(DATOS!$C$71,CEILING(MAX(BL30,0)/INDEX(TABLAS!$D$52:$D$58,MATCH(BM30,TABLAS!$B$52:$B$58,0)),1)),2))))</f>
        <v/>
      </c>
      <c r="BO30" s="58" t="str">
        <f>IF(U30&lt;&gt;"SÍ","",DATOS!$C$82-AJ30-INDEX(TABLAS!$C$52:$C$58,MATCH(BM30,TABLAS!$B$52:$B$58,0))/2)</f>
        <v/>
      </c>
      <c r="BP30" s="56" t="str">
        <f>IF(U30&lt;&gt;"SÍ","",IF(BN30=0,0,DATOS!$C$29*BN30*INDEX(TABLAS!$D$52:$D$58,MATCH(BM30,TABLAS!$B$52:$B$58,0))*DATOS!$C$14*(BO30-BN30*INDEX(TABLAS!$D$52:$D$58,MATCH(BM30,TABLAS!$B$52:$B$58,0))*DATOS!$C$14/(DATOS!$C$21*AG30)/2)/1E5))</f>
        <v/>
      </c>
      <c r="BQ30" s="65" t="str">
        <f>IF(U30&lt;&gt;"SÍ","",IF(BL30&lt;0,9.99,IF(BP30&gt;0,BF30/BP30,0)))</f>
        <v/>
      </c>
      <c r="BR30" s="66" t="str">
        <f>IF(U30&lt;&gt;"SÍ","",IF(BN30=0,"—",0.003*(BO30-(BN30*INDEX(TABLAS!$D$52:$D$58,MATCH(BM30,TABLAS!$B$52:$B$58,0))*DATOS!$C$14/(DATOS!$C$21*AG30)/DATOS!$C$22))/(BN30*INDEX(TABLAS!$D$52:$D$58,MATCH(BM30,TABLAS!$B$52:$B$58,0))*DATOS!$C$14/(DATOS!$C$21*AG30)/DATOS!$C$22)))</f>
        <v/>
      </c>
      <c r="BS30" s="58" t="str">
        <f>IF(U30&lt;&gt;"SÍ","",((DATOS!$C$82-AL30-2*DATOS!$C$94-INDEX(TABLAS!$C$52:$C$58,MATCH(DATOS!$C$69,TABLAS!$B$52:$B$58,0))/2)-IF(AND((DATOS!$C$82-AL30-2*DATOS!$C$94-INDEX(TABLAS!$C$52:$C$58,MATCH(DATOS!$C$69,TABLAS!$B$52:$B$58,0))/2)&lt;=20,DATOS!$C$62&lt;&gt;"SÍ"),2,0)))</f>
        <v/>
      </c>
      <c r="BT30" s="58" t="str">
        <f>IF(U30&lt;&gt;"SÍ","",IF(IF(BG30&lt;=0,0,IF((1-2*BG30*1E5/(DATOS!$C$29*AE30*BS30^2*DATOS!$C$21))&lt;0,-1,IF((1-SQRT((1-2*BG30*1E5/(DATOS!$C$29*AE30*BS30^2*DATOS!$C$21))))*DATOS!$C$21*AE30*BS30/DATOS!$C$14&gt;DATOS!$C$99*AE30*BS30,-1,(1-SQRT((1-2*BG30*1E5/(DATOS!$C$29*AE30*BS30^2*DATOS!$C$21))))*DATOS!$C$21*AE30*BS30/DATOS!$C$14)))&lt;0,-1,MAX(IF(BG30&lt;=0,0,IF((1-2*BG30*1E5/(DATOS!$C$29*AE30*BS30^2*DATOS!$C$21))&lt;0,-1,IF((1-SQRT((1-2*BG30*1E5/(DATOS!$C$29*AE30*BS30^2*DATOS!$C$21))))*DATOS!$C$21*AE30*BS30/DATOS!$C$14&gt;DATOS!$C$99*AE30*BS30,-1,(1-SQRT((1-2*BG30*1E5/(DATOS!$C$29*AE30*BS30^2*DATOS!$C$21))))*DATOS!$C$21*AE30*BS30/DATOS!$C$14))),MIN(DATOS!$C$100*IF(C30="VOLADO",MIN(AG30,2*AC30),AC30)*BS30,4/3*IF(BG30&lt;=0,0,IF((1-2*BG30*1E5/(DATOS!$C$29*AE30*BS30^2*DATOS!$C$21))&lt;0,-1,IF((1-SQRT((1-2*BG30*1E5/(DATOS!$C$29*AE30*BS30^2*DATOS!$C$21))))*DATOS!$C$21*AE30*BS30/DATOS!$C$14&gt;DATOS!$C$99*AE30*BS30,-1,(1-SQRT((1-2*BG30*1E5/(DATOS!$C$29*AE30*BS30^2*DATOS!$C$21))))*DATOS!$C$21*AE30*BS30/DATOS!$C$14)))))))</f>
        <v/>
      </c>
      <c r="BU30" s="64" t="str">
        <f>IF(U30&lt;&gt;"SÍ","",IF(AND(BT30&gt;=0,IF(MAX(DATOS!$C$71,CEILING(BT30/INDEX(TABLAS!$D$52:$D$58,MIN(MATCH(DATOS!$C$69,TABLAS!$B$52:$B$58,0)+0,7)),1))*INDEX(TABLAS!$D$52:$D$58,MIN(MATCH(DATOS!$C$69,TABLAS!$B$52:$B$58,0)+0,7))&gt;=4/3*IF(BG30&lt;=0,0,IF((1-2*BG30*1E5/(DATOS!$C$29*AE30*BS30^2*DATOS!$C$21))&lt;0,-1,IF((1-SQRT((1-2*BG30*1E5/(DATOS!$C$29*AE30*BS30^2*DATOS!$C$21))))*DATOS!$C$21*AE30*BS30/DATOS!$C$14&gt;DATOS!$C$99*AE30*BS30,-1,(1-SQRT((1-2*BG30*1E5/(DATOS!$C$29*AE30*BS30^2*DATOS!$C$21))))*DATOS!$C$21*AE30*BS30/DATOS!$C$14)))-0.0001,MAX(DATOS!$C$71,CEILING(BT30/INDEX(TABLAS!$D$52:$D$58,MIN(MATCH(DATOS!$C$69,TABLAS!$B$52:$B$58,0)+0,7)),1)),MAX(MAX(DATOS!$C$71,CEILING(BT30/INDEX(TABLAS!$D$52:$D$58,MIN(MATCH(DATOS!$C$69,TABLAS!$B$52:$B$58,0)+0,7)),1)),2))&lt;=MIN(DATOS!$C$70,INT(((AC30-2*AK30)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30&gt;=0,IF(MAX(DATOS!$C$71,CEILING(BT30/INDEX(TABLAS!$D$52:$D$58,MIN(MATCH(DATOS!$C$69,TABLAS!$B$52:$B$58,0)+1,7)),1))*INDEX(TABLAS!$D$52:$D$58,MIN(MATCH(DATOS!$C$69,TABLAS!$B$52:$B$58,0)+1,7))&gt;=4/3*IF(BG30&lt;=0,0,IF((1-2*BG30*1E5/(DATOS!$C$29*AE30*BS30^2*DATOS!$C$21))&lt;0,-1,IF((1-SQRT((1-2*BG30*1E5/(DATOS!$C$29*AE30*BS30^2*DATOS!$C$21))))*DATOS!$C$21*AE30*BS30/DATOS!$C$14&gt;DATOS!$C$99*AE30*BS30,-1,(1-SQRT((1-2*BG30*1E5/(DATOS!$C$29*AE30*BS30^2*DATOS!$C$21))))*DATOS!$C$21*AE30*BS30/DATOS!$C$14)))-0.0001,MAX(DATOS!$C$71,CEILING(BT30/INDEX(TABLAS!$D$52:$D$58,MIN(MATCH(DATOS!$C$69,TABLAS!$B$52:$B$58,0)+1,7)),1)),MAX(MAX(DATOS!$C$71,CEILING(BT30/INDEX(TABLAS!$D$52:$D$58,MIN(MATCH(DATOS!$C$69,TABLAS!$B$52:$B$58,0)+1,7)),1)),2))&lt;=MIN(DATOS!$C$70,INT(((AC30-2*AK30)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30&gt;=0,IF(MAX(DATOS!$C$71,CEILING(BT30/INDEX(TABLAS!$D$52:$D$58,MIN(MATCH(DATOS!$C$69,TABLAS!$B$52:$B$58,0)+2,7)),1))*INDEX(TABLAS!$D$52:$D$58,MIN(MATCH(DATOS!$C$69,TABLAS!$B$52:$B$58,0)+2,7))&gt;=4/3*IF(BG30&lt;=0,0,IF((1-2*BG30*1E5/(DATOS!$C$29*AE30*BS30^2*DATOS!$C$21))&lt;0,-1,IF((1-SQRT((1-2*BG30*1E5/(DATOS!$C$29*AE30*BS30^2*DATOS!$C$21))))*DATOS!$C$21*AE30*BS30/DATOS!$C$14&gt;DATOS!$C$99*AE30*BS30,-1,(1-SQRT((1-2*BG30*1E5/(DATOS!$C$29*AE30*BS30^2*DATOS!$C$21))))*DATOS!$C$21*AE30*BS30/DATOS!$C$14)))-0.0001,MAX(DATOS!$C$71,CEILING(BT30/INDEX(TABLAS!$D$52:$D$58,MIN(MATCH(DATOS!$C$69,TABLAS!$B$52:$B$58,0)+2,7)),1)),MAX(MAX(DATOS!$C$71,CEILING(BT30/INDEX(TABLAS!$D$52:$D$58,MIN(MATCH(DATOS!$C$69,TABLAS!$B$52:$B$58,0)+2,7)),1)),2))&lt;=MIN(DATOS!$C$70,INT(((AC30-2*AK30)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30&gt;=0,IF(MAX(DATOS!$C$71,CEILING(BT30/INDEX(TABLAS!$D$52:$D$58,MIN(MATCH(DATOS!$C$69,TABLAS!$B$52:$B$58,0)+3,7)),1))*INDEX(TABLAS!$D$52:$D$58,MIN(MATCH(DATOS!$C$69,TABLAS!$B$52:$B$58,0)+3,7))&gt;=4/3*IF(BG30&lt;=0,0,IF((1-2*BG30*1E5/(DATOS!$C$29*AE30*BS30^2*DATOS!$C$21))&lt;0,-1,IF((1-SQRT((1-2*BG30*1E5/(DATOS!$C$29*AE30*BS30^2*DATOS!$C$21))))*DATOS!$C$21*AE30*BS30/DATOS!$C$14&gt;DATOS!$C$99*AE30*BS30,-1,(1-SQRT((1-2*BG30*1E5/(DATOS!$C$29*AE30*BS30^2*DATOS!$C$21))))*DATOS!$C$21*AE30*BS30/DATOS!$C$14)))-0.0001,MAX(DATOS!$C$71,CEILING(BT30/INDEX(TABLAS!$D$52:$D$58,MIN(MATCH(DATOS!$C$69,TABLAS!$B$52:$B$58,0)+3,7)),1)),MAX(MAX(DATOS!$C$71,CEILING(BT30/INDEX(TABLAS!$D$52:$D$58,MIN(MATCH(DATOS!$C$69,TABLAS!$B$52:$B$58,0)+3,7)),1)),2))&lt;=MIN(DATOS!$C$70,INT(((AC30-2*AK30)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30&gt;=0,IF(MAX(DATOS!$C$71,CEILING(BT30/INDEX(TABLAS!$D$52:$D$58,MIN(MATCH(DATOS!$C$69,TABLAS!$B$52:$B$58,0)+4,7)),1))*INDEX(TABLAS!$D$52:$D$58,MIN(MATCH(DATOS!$C$69,TABLAS!$B$52:$B$58,0)+4,7))&gt;=4/3*IF(BG30&lt;=0,0,IF((1-2*BG30*1E5/(DATOS!$C$29*AE30*BS30^2*DATOS!$C$21))&lt;0,-1,IF((1-SQRT((1-2*BG30*1E5/(DATOS!$C$29*AE30*BS30^2*DATOS!$C$21))))*DATOS!$C$21*AE30*BS30/DATOS!$C$14&gt;DATOS!$C$99*AE30*BS30,-1,(1-SQRT((1-2*BG30*1E5/(DATOS!$C$29*AE30*BS30^2*DATOS!$C$21))))*DATOS!$C$21*AE30*BS30/DATOS!$C$14)))-0.0001,MAX(DATOS!$C$71,CEILING(BT30/INDEX(TABLAS!$D$52:$D$58,MIN(MATCH(DATOS!$C$69,TABLAS!$B$52:$B$58,0)+4,7)),1)),MAX(MAX(DATOS!$C$71,CEILING(BT30/INDEX(TABLAS!$D$52:$D$58,MIN(MATCH(DATOS!$C$69,TABLAS!$B$52:$B$58,0)+4,7)),1)),2))&lt;=MIN(DATOS!$C$70,INT(((AC30-2*AK30)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30" s="59" t="str">
        <f>IF(U30&lt;&gt;"SÍ","",IF(BT30&lt;0,0,IF(MAX(DATOS!$C$71,CEILING(MAX(BT30,0)/INDEX(TABLAS!$D$52:$D$58,MATCH(BU30,TABLAS!$B$52:$B$58,0)),1))*INDEX(TABLAS!$D$52:$D$58,MATCH(BU30,TABLAS!$B$52:$B$58,0))&gt;=4/3*IF(BG30&lt;=0,0,IF((1-2*BG30*1E5/(DATOS!$C$29*AE30*BS30^2*DATOS!$C$21))&lt;0,-1,IF((1-SQRT((1-2*BG30*1E5/(DATOS!$C$29*AE30*BS30^2*DATOS!$C$21))))*DATOS!$C$21*AE30*BS30/DATOS!$C$14&gt;DATOS!$C$99*AE30*BS30,-1,(1-SQRT((1-2*BG30*1E5/(DATOS!$C$29*AE30*BS30^2*DATOS!$C$21))))*DATOS!$C$21*AE30*BS30/DATOS!$C$14)))-0.0001,MAX(DATOS!$C$71,CEILING(MAX(BT30,0)/INDEX(TABLAS!$D$52:$D$58,MATCH(BU30,TABLAS!$B$52:$B$58,0)),1)),MAX(MAX(DATOS!$C$71,CEILING(MAX(BT30,0)/INDEX(TABLAS!$D$52:$D$58,MATCH(BU30,TABLAS!$B$52:$B$58,0)),1)),2))))</f>
        <v/>
      </c>
      <c r="BW30" s="58" t="str">
        <f>IF(U30&lt;&gt;"SÍ","",((DATOS!$C$82-AL30-2*DATOS!$C$94-INDEX(TABLAS!$C$52:$C$58,MATCH(BU30,TABLAS!$B$52:$B$58,0))/2)-IF(AND((DATOS!$C$82-AL30-2*DATOS!$C$94-INDEX(TABLAS!$C$52:$C$58,MATCH(BU30,TABLAS!$B$52:$B$58,0))/2)&lt;=20,DATOS!$C$62&lt;&gt;"SÍ"),2,0)))</f>
        <v/>
      </c>
      <c r="BX30" s="56" t="str">
        <f>IF(U30&lt;&gt;"SÍ","",IF(BV30=0,0,DATOS!$C$29*BV30*INDEX(TABLAS!$D$52:$D$58,MATCH(BU30,TABLAS!$B$52:$B$58,0))*DATOS!$C$14*(BW30-BV30*INDEX(TABLAS!$D$52:$D$58,MATCH(BU30,TABLAS!$B$52:$B$58,0))*DATOS!$C$14/(DATOS!$C$21*AE30)/2)/1E5))</f>
        <v/>
      </c>
      <c r="BY30" s="65" t="str">
        <f>IF(U30&lt;&gt;"SÍ","",IF(BT30&lt;0,9.99,IF(BX30&gt;0,BG30/BX30,0)))</f>
        <v/>
      </c>
      <c r="BZ30" s="66" t="str">
        <f>IF(U30&lt;&gt;"SÍ","",IF(BV30=0,"—",0.003*(BW30-(BV30*INDEX(TABLAS!$D$52:$D$58,MATCH(BU30,TABLAS!$B$52:$B$58,0))*DATOS!$C$14/(DATOS!$C$21*AE30)/DATOS!$C$22))/(BV30*INDEX(TABLAS!$D$52:$D$58,MATCH(BU30,TABLAS!$B$52:$B$58,0))*DATOS!$C$14/(DATOS!$C$21*AE30)/DATOS!$C$22)))</f>
        <v/>
      </c>
      <c r="CA30" s="58" t="str">
        <f>IF(U30&lt;&gt;"SÍ","",(DATOS!$C$82-AJ30-INDEX(TABLAS!$C$52:$C$58,MATCH(DATOS!$C$68,TABLAS!$B$52:$B$58,0))-INDEX(TABLAS!$C$52:$C$58,MATCH(DATOS!$C$68,TABLAS!$B$52:$B$58,0))/2))</f>
        <v/>
      </c>
      <c r="CB30" s="58" t="str">
        <f>IF(U30&lt;&gt;"SÍ","",IF(IF(BH30&lt;=0,0,IF((1-2*BH30*1E5/(DATOS!$C$29*AH30*CA30^2*DATOS!$C$21))&lt;0,-1,IF((1-SQRT((1-2*BH30*1E5/(DATOS!$C$29*AH30*CA30^2*DATOS!$C$21))))*DATOS!$C$21*AH30*CA30/DATOS!$C$14&gt;DATOS!$C$99*AH30*CA30,-1,(1-SQRT((1-2*BH30*1E5/(DATOS!$C$29*AH30*CA30^2*DATOS!$C$21))))*DATOS!$C$21*AH30*CA30/DATOS!$C$14)))&lt;0,-1,MAX(IF(BH30&lt;=0,0,IF((1-2*BH30*1E5/(DATOS!$C$29*AH30*CA30^2*DATOS!$C$21))&lt;0,-1,IF((1-SQRT((1-2*BH30*1E5/(DATOS!$C$29*AH30*CA30^2*DATOS!$C$21))))*DATOS!$C$21*AH30*CA30/DATOS!$C$14&gt;DATOS!$C$99*AH30*CA30,-1,(1-SQRT((1-2*BH30*1E5/(DATOS!$C$29*AH30*CA30^2*DATOS!$C$21))))*DATOS!$C$21*AH30*CA30/DATOS!$C$14))),MIN(DATOS!$C$100*DATOS!$C$80*CA30,4/3*IF(BH30&lt;=0,0,IF((1-2*BH30*1E5/(DATOS!$C$29*AH30*CA30^2*DATOS!$C$21))&lt;0,-1,IF((1-SQRT((1-2*BH30*1E5/(DATOS!$C$29*AH30*CA30^2*DATOS!$C$21))))*DATOS!$C$21*AH30*CA30/DATOS!$C$14&gt;DATOS!$C$99*AH30*CA30,-1,(1-SQRT((1-2*BH30*1E5/(DATOS!$C$29*AH30*CA30^2*DATOS!$C$21))))*DATOS!$C$21*AH30*CA30/DATOS!$C$14)))))))</f>
        <v/>
      </c>
      <c r="CC30" s="64" t="str">
        <f>IF(U30&lt;&gt;"SÍ","",IF(AND(CB30&gt;=0,IF(MAX(DATOS!$C$71,CEILING(CB30/INDEX(TABLAS!$D$52:$D$58,MIN(MATCH(DATOS!$C$68,TABLAS!$B$52:$B$58,0)+0,7)),1))*INDEX(TABLAS!$D$52:$D$58,MIN(MATCH(DATOS!$C$68,TABLAS!$B$52:$B$58,0)+0,7))&gt;=4/3*IF(BH30&lt;=0,0,IF((1-2*BH30*1E5/(DATOS!$C$29*AH30*CA30^2*DATOS!$C$21))&lt;0,-1,IF((1-SQRT((1-2*BH30*1E5/(DATOS!$C$29*AH30*CA30^2*DATOS!$C$21))))*DATOS!$C$21*AH30*CA30/DATOS!$C$14&gt;DATOS!$C$99*AH30*CA30,-1,(1-SQRT((1-2*BH30*1E5/(DATOS!$C$29*AH30*CA30^2*DATOS!$C$21))))*DATOS!$C$21*AH30*CA30/DATOS!$C$14)))-0.0001,MAX(DATOS!$C$71,CEILING(CB30/INDEX(TABLAS!$D$52:$D$58,MIN(MATCH(DATOS!$C$68,TABLAS!$B$52:$B$58,0)+0,7)),1)),MAX(MAX(DATOS!$C$71,CEILING(CB30/INDEX(TABLAS!$D$52:$D$58,MIN(MATCH(DATOS!$C$68,TABLAS!$B$52:$B$58,0)+0,7)),1)),2))&lt;=MIN(DATOS!$C$70,INT(((DATOS!$C$80-2*AJ30)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30&gt;=0,IF(MAX(DATOS!$C$71,CEILING(CB30/INDEX(TABLAS!$D$52:$D$58,MIN(MATCH(DATOS!$C$68,TABLAS!$B$52:$B$58,0)+1,7)),1))*INDEX(TABLAS!$D$52:$D$58,MIN(MATCH(DATOS!$C$68,TABLAS!$B$52:$B$58,0)+1,7))&gt;=4/3*IF(BH30&lt;=0,0,IF((1-2*BH30*1E5/(DATOS!$C$29*AH30*CA30^2*DATOS!$C$21))&lt;0,-1,IF((1-SQRT((1-2*BH30*1E5/(DATOS!$C$29*AH30*CA30^2*DATOS!$C$21))))*DATOS!$C$21*AH30*CA30/DATOS!$C$14&gt;DATOS!$C$99*AH30*CA30,-1,(1-SQRT((1-2*BH30*1E5/(DATOS!$C$29*AH30*CA30^2*DATOS!$C$21))))*DATOS!$C$21*AH30*CA30/DATOS!$C$14)))-0.0001,MAX(DATOS!$C$71,CEILING(CB30/INDEX(TABLAS!$D$52:$D$58,MIN(MATCH(DATOS!$C$68,TABLAS!$B$52:$B$58,0)+1,7)),1)),MAX(MAX(DATOS!$C$71,CEILING(CB30/INDEX(TABLAS!$D$52:$D$58,MIN(MATCH(DATOS!$C$68,TABLAS!$B$52:$B$58,0)+1,7)),1)),2))&lt;=MIN(DATOS!$C$70,INT(((DATOS!$C$80-2*AJ30)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30&gt;=0,IF(MAX(DATOS!$C$71,CEILING(CB30/INDEX(TABLAS!$D$52:$D$58,MIN(MATCH(DATOS!$C$68,TABLAS!$B$52:$B$58,0)+2,7)),1))*INDEX(TABLAS!$D$52:$D$58,MIN(MATCH(DATOS!$C$68,TABLAS!$B$52:$B$58,0)+2,7))&gt;=4/3*IF(BH30&lt;=0,0,IF((1-2*BH30*1E5/(DATOS!$C$29*AH30*CA30^2*DATOS!$C$21))&lt;0,-1,IF((1-SQRT((1-2*BH30*1E5/(DATOS!$C$29*AH30*CA30^2*DATOS!$C$21))))*DATOS!$C$21*AH30*CA30/DATOS!$C$14&gt;DATOS!$C$99*AH30*CA30,-1,(1-SQRT((1-2*BH30*1E5/(DATOS!$C$29*AH30*CA30^2*DATOS!$C$21))))*DATOS!$C$21*AH30*CA30/DATOS!$C$14)))-0.0001,MAX(DATOS!$C$71,CEILING(CB30/INDEX(TABLAS!$D$52:$D$58,MIN(MATCH(DATOS!$C$68,TABLAS!$B$52:$B$58,0)+2,7)),1)),MAX(MAX(DATOS!$C$71,CEILING(CB30/INDEX(TABLAS!$D$52:$D$58,MIN(MATCH(DATOS!$C$68,TABLAS!$B$52:$B$58,0)+2,7)),1)),2))&lt;=MIN(DATOS!$C$70,INT(((DATOS!$C$80-2*AJ30)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30&gt;=0,IF(MAX(DATOS!$C$71,CEILING(CB30/INDEX(TABLAS!$D$52:$D$58,MIN(MATCH(DATOS!$C$68,TABLAS!$B$52:$B$58,0)+3,7)),1))*INDEX(TABLAS!$D$52:$D$58,MIN(MATCH(DATOS!$C$68,TABLAS!$B$52:$B$58,0)+3,7))&gt;=4/3*IF(BH30&lt;=0,0,IF((1-2*BH30*1E5/(DATOS!$C$29*AH30*CA30^2*DATOS!$C$21))&lt;0,-1,IF((1-SQRT((1-2*BH30*1E5/(DATOS!$C$29*AH30*CA30^2*DATOS!$C$21))))*DATOS!$C$21*AH30*CA30/DATOS!$C$14&gt;DATOS!$C$99*AH30*CA30,-1,(1-SQRT((1-2*BH30*1E5/(DATOS!$C$29*AH30*CA30^2*DATOS!$C$21))))*DATOS!$C$21*AH30*CA30/DATOS!$C$14)))-0.0001,MAX(DATOS!$C$71,CEILING(CB30/INDEX(TABLAS!$D$52:$D$58,MIN(MATCH(DATOS!$C$68,TABLAS!$B$52:$B$58,0)+3,7)),1)),MAX(MAX(DATOS!$C$71,CEILING(CB30/INDEX(TABLAS!$D$52:$D$58,MIN(MATCH(DATOS!$C$68,TABLAS!$B$52:$B$58,0)+3,7)),1)),2))&lt;=MIN(DATOS!$C$70,INT(((DATOS!$C$80-2*AJ30)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30&gt;=0,IF(MAX(DATOS!$C$71,CEILING(CB30/INDEX(TABLAS!$D$52:$D$58,MIN(MATCH(DATOS!$C$68,TABLAS!$B$52:$B$58,0)+4,7)),1))*INDEX(TABLAS!$D$52:$D$58,MIN(MATCH(DATOS!$C$68,TABLAS!$B$52:$B$58,0)+4,7))&gt;=4/3*IF(BH30&lt;=0,0,IF((1-2*BH30*1E5/(DATOS!$C$29*AH30*CA30^2*DATOS!$C$21))&lt;0,-1,IF((1-SQRT((1-2*BH30*1E5/(DATOS!$C$29*AH30*CA30^2*DATOS!$C$21))))*DATOS!$C$21*AH30*CA30/DATOS!$C$14&gt;DATOS!$C$99*AH30*CA30,-1,(1-SQRT((1-2*BH30*1E5/(DATOS!$C$29*AH30*CA30^2*DATOS!$C$21))))*DATOS!$C$21*AH30*CA30/DATOS!$C$14)))-0.0001,MAX(DATOS!$C$71,CEILING(CB30/INDEX(TABLAS!$D$52:$D$58,MIN(MATCH(DATOS!$C$68,TABLAS!$B$52:$B$58,0)+4,7)),1)),MAX(MAX(DATOS!$C$71,CEILING(CB30/INDEX(TABLAS!$D$52:$D$58,MIN(MATCH(DATOS!$C$68,TABLAS!$B$52:$B$58,0)+4,7)),1)),2))&lt;=MIN(DATOS!$C$70,INT(((DATOS!$C$80-2*AJ30)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30" s="59" t="str">
        <f>IF(U30&lt;&gt;"SÍ","",IF(CB30&lt;0,0,IF(MAX(DATOS!$C$71,CEILING(MAX(CB30,0)/INDEX(TABLAS!$D$52:$D$58,MATCH(CC30,TABLAS!$B$52:$B$58,0)),1))*INDEX(TABLAS!$D$52:$D$58,MATCH(CC30,TABLAS!$B$52:$B$58,0))&gt;=4/3*IF(BH30&lt;=0,0,IF((1-2*BH30*1E5/(DATOS!$C$29*AH30*CA30^2*DATOS!$C$21))&lt;0,-1,IF((1-SQRT((1-2*BH30*1E5/(DATOS!$C$29*AH30*CA30^2*DATOS!$C$21))))*DATOS!$C$21*AH30*CA30/DATOS!$C$14&gt;DATOS!$C$99*AH30*CA30,-1,(1-SQRT((1-2*BH30*1E5/(DATOS!$C$29*AH30*CA30^2*DATOS!$C$21))))*DATOS!$C$21*AH30*CA30/DATOS!$C$14)))-0.0001,MAX(DATOS!$C$71,CEILING(MAX(CB30,0)/INDEX(TABLAS!$D$52:$D$58,MATCH(CC30,TABLAS!$B$52:$B$58,0)),1)),MAX(MAX(DATOS!$C$71,CEILING(MAX(CB30,0)/INDEX(TABLAS!$D$52:$D$58,MATCH(CC30,TABLAS!$B$52:$B$58,0)),1)),2))))</f>
        <v/>
      </c>
      <c r="CE30" s="58" t="str">
        <f>IF(U30&lt;&gt;"SÍ","",DATOS!$C$82-AJ30-INDEX(TABLAS!$C$52:$C$58,MATCH(BM30,TABLAS!$B$52:$B$58,0))-INDEX(TABLAS!$C$52:$C$58,MATCH(CC30,TABLAS!$B$52:$B$58,0))/2)</f>
        <v/>
      </c>
      <c r="CF30" s="56" t="str">
        <f>IF(U30&lt;&gt;"SÍ","",IF(CD30=0,0,DATOS!$C$29*CD30*INDEX(TABLAS!$D$52:$D$58,MATCH(CC30,TABLAS!$B$52:$B$58,0))*DATOS!$C$14*(CE30-CD30*INDEX(TABLAS!$D$52:$D$58,MATCH(CC30,TABLAS!$B$52:$B$58,0))*DATOS!$C$14/(DATOS!$C$21*AH30)/2)/1E5))</f>
        <v/>
      </c>
      <c r="CG30" s="65" t="str">
        <f>IF(U30&lt;&gt;"SÍ","",IF(CB30&lt;0,9.99,IF(CF30&gt;0,BH30/CF30,0)))</f>
        <v/>
      </c>
      <c r="CH30" s="66" t="str">
        <f>IF(U30&lt;&gt;"SÍ","",IF(CD30=0,"—",0.003*(CE30-(CD30*INDEX(TABLAS!$D$52:$D$58,MATCH(CC30,TABLAS!$B$52:$B$58,0))*DATOS!$C$14/(DATOS!$C$21*AH30)/DATOS!$C$22))/(CD30*INDEX(TABLAS!$D$52:$D$58,MATCH(CC30,TABLAS!$B$52:$B$58,0))*DATOS!$C$14/(DATOS!$C$21*AH30)/DATOS!$C$22)))</f>
        <v/>
      </c>
      <c r="CI30" s="58" t="str">
        <f>IF(U30&lt;&gt;"SÍ","",((DATOS!$C$82-AL30-2*DATOS!$C$94-INDEX(TABLAS!$C$52:$C$58,MATCH(DATOS!$C$69,TABLAS!$B$52:$B$58,0))-INDEX(TABLAS!$C$52:$C$58,MATCH(DATOS!$C$69,TABLAS!$B$52:$B$58,0))/2)-IF(AND((DATOS!$C$82-AL30-2*DATOS!$C$94-INDEX(TABLAS!$C$52:$C$58,MATCH(DATOS!$C$69,TABLAS!$B$52:$B$58,0))-INDEX(TABLAS!$C$52:$C$58,MATCH(DATOS!$C$69,TABLAS!$B$52:$B$58,0))/2)&lt;=20,DATOS!$C$62&lt;&gt;"SÍ"),2,0)))</f>
        <v/>
      </c>
      <c r="CJ30" s="58" t="str">
        <f>IF(U30&lt;&gt;"SÍ","",IF(IF(BI30&lt;=0,0,IF((1-2*BI30*1E5/(DATOS!$C$29*AF30*CI30^2*DATOS!$C$21))&lt;0,-1,IF((1-SQRT((1-2*BI30*1E5/(DATOS!$C$29*AF30*CI30^2*DATOS!$C$21))))*DATOS!$C$21*AF30*CI30/DATOS!$C$14&gt;DATOS!$C$99*AF30*CI30,-1,(1-SQRT((1-2*BI30*1E5/(DATOS!$C$29*AF30*CI30^2*DATOS!$C$21))))*DATOS!$C$21*AF30*CI30/DATOS!$C$14)))&lt;0,-1,MAX(IF(BI30&lt;=0,0,IF((1-2*BI30*1E5/(DATOS!$C$29*AF30*CI30^2*DATOS!$C$21))&lt;0,-1,IF((1-SQRT((1-2*BI30*1E5/(DATOS!$C$29*AF30*CI30^2*DATOS!$C$21))))*DATOS!$C$21*AF30*CI30/DATOS!$C$14&gt;DATOS!$C$99*AF30*CI30,-1,(1-SQRT((1-2*BI30*1E5/(DATOS!$C$29*AF30*CI30^2*DATOS!$C$21))))*DATOS!$C$21*AF30*CI30/DATOS!$C$14))),MIN(DATOS!$C$100*DATOS!$C$80*CI30,4/3*IF(BI30&lt;=0,0,IF((1-2*BI30*1E5/(DATOS!$C$29*AF30*CI30^2*DATOS!$C$21))&lt;0,-1,IF((1-SQRT((1-2*BI30*1E5/(DATOS!$C$29*AF30*CI30^2*DATOS!$C$21))))*DATOS!$C$21*AF30*CI30/DATOS!$C$14&gt;DATOS!$C$99*AF30*CI30,-1,(1-SQRT((1-2*BI30*1E5/(DATOS!$C$29*AF30*CI30^2*DATOS!$C$21))))*DATOS!$C$21*AF30*CI30/DATOS!$C$14)))))))</f>
        <v/>
      </c>
      <c r="CK30" s="64" t="str">
        <f>IF(U30&lt;&gt;"SÍ","",IF(AND(CJ30&gt;=0,IF(MAX(DATOS!$C$71,CEILING(CJ30/INDEX(TABLAS!$D$52:$D$58,MIN(MATCH(DATOS!$C$69,TABLAS!$B$52:$B$58,0)+0,7)),1))*INDEX(TABLAS!$D$52:$D$58,MIN(MATCH(DATOS!$C$69,TABLAS!$B$52:$B$58,0)+0,7))&gt;=4/3*IF(BI30&lt;=0,0,IF((1-2*BI30*1E5/(DATOS!$C$29*AF30*CI30^2*DATOS!$C$21))&lt;0,-1,IF((1-SQRT((1-2*BI30*1E5/(DATOS!$C$29*AF30*CI30^2*DATOS!$C$21))))*DATOS!$C$21*AF30*CI30/DATOS!$C$14&gt;DATOS!$C$99*AF30*CI30,-1,(1-SQRT((1-2*BI30*1E5/(DATOS!$C$29*AF30*CI30^2*DATOS!$C$21))))*DATOS!$C$21*AF30*CI30/DATOS!$C$14)))-0.0001,MAX(DATOS!$C$71,CEILING(CJ30/INDEX(TABLAS!$D$52:$D$58,MIN(MATCH(DATOS!$C$69,TABLAS!$B$52:$B$58,0)+0,7)),1)),MAX(MAX(DATOS!$C$71,CEILING(CJ30/INDEX(TABLAS!$D$52:$D$58,MIN(MATCH(DATOS!$C$69,TABLAS!$B$52:$B$58,0)+0,7)),1)),2))&lt;=MIN(DATOS!$C$70,INT(((DATOS!$C$80-2*AK30)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30&gt;=0,IF(MAX(DATOS!$C$71,CEILING(CJ30/INDEX(TABLAS!$D$52:$D$58,MIN(MATCH(DATOS!$C$69,TABLAS!$B$52:$B$58,0)+1,7)),1))*INDEX(TABLAS!$D$52:$D$58,MIN(MATCH(DATOS!$C$69,TABLAS!$B$52:$B$58,0)+1,7))&gt;=4/3*IF(BI30&lt;=0,0,IF((1-2*BI30*1E5/(DATOS!$C$29*AF30*CI30^2*DATOS!$C$21))&lt;0,-1,IF((1-SQRT((1-2*BI30*1E5/(DATOS!$C$29*AF30*CI30^2*DATOS!$C$21))))*DATOS!$C$21*AF30*CI30/DATOS!$C$14&gt;DATOS!$C$99*AF30*CI30,-1,(1-SQRT((1-2*BI30*1E5/(DATOS!$C$29*AF30*CI30^2*DATOS!$C$21))))*DATOS!$C$21*AF30*CI30/DATOS!$C$14)))-0.0001,MAX(DATOS!$C$71,CEILING(CJ30/INDEX(TABLAS!$D$52:$D$58,MIN(MATCH(DATOS!$C$69,TABLAS!$B$52:$B$58,0)+1,7)),1)),MAX(MAX(DATOS!$C$71,CEILING(CJ30/INDEX(TABLAS!$D$52:$D$58,MIN(MATCH(DATOS!$C$69,TABLAS!$B$52:$B$58,0)+1,7)),1)),2))&lt;=MIN(DATOS!$C$70,INT(((DATOS!$C$80-2*AK30)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30&gt;=0,IF(MAX(DATOS!$C$71,CEILING(CJ30/INDEX(TABLAS!$D$52:$D$58,MIN(MATCH(DATOS!$C$69,TABLAS!$B$52:$B$58,0)+2,7)),1))*INDEX(TABLAS!$D$52:$D$58,MIN(MATCH(DATOS!$C$69,TABLAS!$B$52:$B$58,0)+2,7))&gt;=4/3*IF(BI30&lt;=0,0,IF((1-2*BI30*1E5/(DATOS!$C$29*AF30*CI30^2*DATOS!$C$21))&lt;0,-1,IF((1-SQRT((1-2*BI30*1E5/(DATOS!$C$29*AF30*CI30^2*DATOS!$C$21))))*DATOS!$C$21*AF30*CI30/DATOS!$C$14&gt;DATOS!$C$99*AF30*CI30,-1,(1-SQRT((1-2*BI30*1E5/(DATOS!$C$29*AF30*CI30^2*DATOS!$C$21))))*DATOS!$C$21*AF30*CI30/DATOS!$C$14)))-0.0001,MAX(DATOS!$C$71,CEILING(CJ30/INDEX(TABLAS!$D$52:$D$58,MIN(MATCH(DATOS!$C$69,TABLAS!$B$52:$B$58,0)+2,7)),1)),MAX(MAX(DATOS!$C$71,CEILING(CJ30/INDEX(TABLAS!$D$52:$D$58,MIN(MATCH(DATOS!$C$69,TABLAS!$B$52:$B$58,0)+2,7)),1)),2))&lt;=MIN(DATOS!$C$70,INT(((DATOS!$C$80-2*AK30)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30&gt;=0,IF(MAX(DATOS!$C$71,CEILING(CJ30/INDEX(TABLAS!$D$52:$D$58,MIN(MATCH(DATOS!$C$69,TABLAS!$B$52:$B$58,0)+3,7)),1))*INDEX(TABLAS!$D$52:$D$58,MIN(MATCH(DATOS!$C$69,TABLAS!$B$52:$B$58,0)+3,7))&gt;=4/3*IF(BI30&lt;=0,0,IF((1-2*BI30*1E5/(DATOS!$C$29*AF30*CI30^2*DATOS!$C$21))&lt;0,-1,IF((1-SQRT((1-2*BI30*1E5/(DATOS!$C$29*AF30*CI30^2*DATOS!$C$21))))*DATOS!$C$21*AF30*CI30/DATOS!$C$14&gt;DATOS!$C$99*AF30*CI30,-1,(1-SQRT((1-2*BI30*1E5/(DATOS!$C$29*AF30*CI30^2*DATOS!$C$21))))*DATOS!$C$21*AF30*CI30/DATOS!$C$14)))-0.0001,MAX(DATOS!$C$71,CEILING(CJ30/INDEX(TABLAS!$D$52:$D$58,MIN(MATCH(DATOS!$C$69,TABLAS!$B$52:$B$58,0)+3,7)),1)),MAX(MAX(DATOS!$C$71,CEILING(CJ30/INDEX(TABLAS!$D$52:$D$58,MIN(MATCH(DATOS!$C$69,TABLAS!$B$52:$B$58,0)+3,7)),1)),2))&lt;=MIN(DATOS!$C$70,INT(((DATOS!$C$80-2*AK30)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30&gt;=0,IF(MAX(DATOS!$C$71,CEILING(CJ30/INDEX(TABLAS!$D$52:$D$58,MIN(MATCH(DATOS!$C$69,TABLAS!$B$52:$B$58,0)+4,7)),1))*INDEX(TABLAS!$D$52:$D$58,MIN(MATCH(DATOS!$C$69,TABLAS!$B$52:$B$58,0)+4,7))&gt;=4/3*IF(BI30&lt;=0,0,IF((1-2*BI30*1E5/(DATOS!$C$29*AF30*CI30^2*DATOS!$C$21))&lt;0,-1,IF((1-SQRT((1-2*BI30*1E5/(DATOS!$C$29*AF30*CI30^2*DATOS!$C$21))))*DATOS!$C$21*AF30*CI30/DATOS!$C$14&gt;DATOS!$C$99*AF30*CI30,-1,(1-SQRT((1-2*BI30*1E5/(DATOS!$C$29*AF30*CI30^2*DATOS!$C$21))))*DATOS!$C$21*AF30*CI30/DATOS!$C$14)))-0.0001,MAX(DATOS!$C$71,CEILING(CJ30/INDEX(TABLAS!$D$52:$D$58,MIN(MATCH(DATOS!$C$69,TABLAS!$B$52:$B$58,0)+4,7)),1)),MAX(MAX(DATOS!$C$71,CEILING(CJ30/INDEX(TABLAS!$D$52:$D$58,MIN(MATCH(DATOS!$C$69,TABLAS!$B$52:$B$58,0)+4,7)),1)),2))&lt;=MIN(DATOS!$C$70,INT(((DATOS!$C$80-2*AK30)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30" s="59" t="str">
        <f>IF(U30&lt;&gt;"SÍ","",IF(CJ30&lt;0,0,IF(MAX(DATOS!$C$71,CEILING(MAX(CJ30,0)/INDEX(TABLAS!$D$52:$D$58,MATCH(CK30,TABLAS!$B$52:$B$58,0)),1))*INDEX(TABLAS!$D$52:$D$58,MATCH(CK30,TABLAS!$B$52:$B$58,0))&gt;=4/3*IF(BI30&lt;=0,0,IF((1-2*BI30*1E5/(DATOS!$C$29*AF30*CI30^2*DATOS!$C$21))&lt;0,-1,IF((1-SQRT((1-2*BI30*1E5/(DATOS!$C$29*AF30*CI30^2*DATOS!$C$21))))*DATOS!$C$21*AF30*CI30/DATOS!$C$14&gt;DATOS!$C$99*AF30*CI30,-1,(1-SQRT((1-2*BI30*1E5/(DATOS!$C$29*AF30*CI30^2*DATOS!$C$21))))*DATOS!$C$21*AF30*CI30/DATOS!$C$14)))-0.0001,MAX(DATOS!$C$71,CEILING(MAX(CJ30,0)/INDEX(TABLAS!$D$52:$D$58,MATCH(CK30,TABLAS!$B$52:$B$58,0)),1)),MAX(MAX(DATOS!$C$71,CEILING(MAX(CJ30,0)/INDEX(TABLAS!$D$52:$D$58,MATCH(CK30,TABLAS!$B$52:$B$58,0)),1)),2))))</f>
        <v/>
      </c>
      <c r="CM30" s="58" t="str">
        <f>IF(U30&lt;&gt;"SÍ","",((DATOS!$C$82-AL30-2*DATOS!$C$94-INDEX(TABLAS!$C$52:$C$58,MATCH(BU30,TABLAS!$B$52:$B$58,0))-INDEX(TABLAS!$C$52:$C$58,MATCH(CK30,TABLAS!$B$52:$B$58,0))/2)-IF(AND((DATOS!$C$82-AL30-2*DATOS!$C$94-INDEX(TABLAS!$C$52:$C$58,MATCH(BU30,TABLAS!$B$52:$B$58,0))-INDEX(TABLAS!$C$52:$C$58,MATCH(CK30,TABLAS!$B$52:$B$58,0))/2)&lt;=20,DATOS!$C$62&lt;&gt;"SÍ"),2,0)))</f>
        <v/>
      </c>
      <c r="CN30" s="56" t="str">
        <f>IF(U30&lt;&gt;"SÍ","",IF(CL30=0,0,DATOS!$C$29*CL30*INDEX(TABLAS!$D$52:$D$58,MATCH(CK30,TABLAS!$B$52:$B$58,0))*DATOS!$C$14*(CM30-CL30*INDEX(TABLAS!$D$52:$D$58,MATCH(CK30,TABLAS!$B$52:$B$58,0))*DATOS!$C$14/(DATOS!$C$21*AF30)/2)/1E5))</f>
        <v/>
      </c>
      <c r="CO30" s="65" t="str">
        <f>IF(U30&lt;&gt;"SÍ","",IF(CJ30&lt;0,9.99,IF(CN30&gt;0,BI30/CN30,0)))</f>
        <v/>
      </c>
      <c r="CP30" s="66" t="str">
        <f>IF(U30&lt;&gt;"SÍ","",IF(CL30=0,"—",0.003*(CM30-(CL30*INDEX(TABLAS!$D$52:$D$58,MATCH(CK30,TABLAS!$B$52:$B$58,0))*DATOS!$C$14/(DATOS!$C$21*AF30)/DATOS!$C$22))/(CL30*INDEX(TABLAS!$D$52:$D$58,MATCH(CK30,TABLAS!$B$52:$B$58,0))*DATOS!$C$14/(DATOS!$C$21*AF30)/DATOS!$C$22)))</f>
        <v/>
      </c>
      <c r="CQ30" s="56" t="str">
        <f>IF(U30&lt;&gt;"SÍ","",IF(C30="PERIMETRAL",MAX(0,(AA30/2-BW30)/100)*(0.95-0.5*Z30)*AQ30*IF(AND(AR30&gt;0,AR30&lt;4),DATOS!$C$33,1)*DATOS!$C$83/100/1000,(AQ30*MAX(0,AA30-BW30)/100+DATOS!$C$26*N(O30))*DATOS!$C$83/100/1000+BE30))</f>
        <v/>
      </c>
      <c r="CR30" s="56" t="str">
        <f>IF(U30&lt;&gt;"SÍ","",DATOS!$C$30*2*MIN(1,SQRT(2/(1+0.04*BW30)))*(BV30*INDEX(TABLAS!$D$52:$D$58,MATCH(BU30,TABLAS!$B$52:$B$58,0))/(AE30*BW30))^(1/3)*SQRT(DATOS!$C$13)*AE30*BW30*IF(AI30="SÍ",DATOS!$C$32,1)/1000)</f>
        <v/>
      </c>
      <c r="CS30" s="59" t="str">
        <f>IF(U30&lt;&gt;"SÍ","",IF(CQ30&lt;=CR30,0,CEILING(MAX(0,IF(C30="VOLADO",(AA30-((CR30-BE30)*1E5/DATOS!$C$83-DATOS!$C$26*N(O30))*100/AQ30),IF(CR30&lt;=0,AA30,AA30/2-CR30/MAX(CQ30,1E-9)*(AA30/2-BW30)))-IF(INT((X30*100-DATOS!$C$84+DATOS!$C$80)/DATOS!$C$83)&gt;0,(X30*100-DATOS!$C$84-(INT((X30*100-DATOS!$C$84+DATOS!$C$80)/DATOS!$C$83)*DATOS!$C$78+(INT((X30*100-DATOS!$C$84+DATOS!$C$80)/DATOS!$C$83)-1)*DATOS!$C$80))/2,X30*100/2))/DATOS!$C$83,1)))</f>
        <v/>
      </c>
      <c r="CT30" s="67" t="str">
        <f>IF(U30&lt;&gt;"SÍ","",IF(CQ30&lt;=CR30,"CUMPLE",IF(CS30&lt;=0,"CUMPLE (basta el macizo de orilla)",IF(CS30*DATOS!$C$83*IF(C30="VOLADO",1,2)&gt;=X30*100-DATOS!$C$84,"NO CUMPLE: no alcanza ni macizando todo","MACIZAR "&amp;CS30&amp;" hilera(s)"))))</f>
        <v/>
      </c>
      <c r="CU30" s="58" t="str">
        <f>IF(U30&lt;&gt;"SÍ","",(DATOS!$C$83*DATOS!$C$81^2/2+AC30*DATOS!$C$79*(DATOS!$C$81+DATOS!$C$79/2))/(DATOS!$C$83*DATOS!$C$81+AC30*DATOS!$C$79))</f>
        <v/>
      </c>
      <c r="CV30" s="68" t="str">
        <f>IF(U30&lt;&gt;"SÍ","",DATOS!$C$83*DATOS!$C$81^3/12+DATOS!$C$83*DATOS!$C$81*(CU30-DATOS!$C$81/2)^2+AC30*DATOS!$C$79^3/12+AC30*DATOS!$C$79*(DATOS!$C$81+DATOS!$C$79/2-CU30)^2)</f>
        <v/>
      </c>
      <c r="CW30" s="58" t="str">
        <f>IF(U30&lt;&gt;"SÍ","",(12*CV30/DATOS!$C$83)^(1/3))</f>
        <v/>
      </c>
      <c r="CX30" s="58" t="str">
        <f>IF(U30&lt;&gt;"SÍ","",IF(C30="PERIMETRAL",IF(ISNUMBER(R30),R30,DATOS!$C$101),0))</f>
        <v/>
      </c>
      <c r="CY30" s="57" t="str">
        <f>IF(U30&lt;&gt;"SÍ","",IF(C30="PERIMETRAL",IF(CX30&gt;2,MAX(9,AB30*(0.8+DATOS!$C$14/14000)/(36+9*(AB30/MAX(AA30,1)))),IF(CX30&gt;0.2,MAX(13,AB30*(0.8+DATOS!$C$14/14000)/(36+5*(AB30/MAX(AA30,1))*(CX30-0.2))),MAX(13,AB30/IF(AR30&gt;0,30,33))))*IF(AND(CX30&gt;0.2,AR30&gt;0,DATOS!$C$102="NO"),1.1,1),X30*100/8))</f>
        <v/>
      </c>
      <c r="CZ30" s="61" t="str">
        <f>IF(U30&lt;&gt;"SÍ","",IF(IF(C30="VOLADO",DATOS!$C$82,CW30)&gt;=CY30,"CUMPLE",IF(C30="VOLADO","NO CUMPLE","CALCULAR FLECHA")))</f>
        <v/>
      </c>
      <c r="DA30" s="55" t="str">
        <f>IF(U30&lt;&gt;"SÍ","",IF(DATOS!$C$81&gt;=IF(IF(C30="VOLADO",X30,Y30)&gt;=6,6,5),"CUMPLE","CAPA ≥ 6 cm"))</f>
        <v/>
      </c>
      <c r="DB30" s="60" t="str">
        <f>IF(U30&lt;&gt;"SÍ","",IF(C30="VOLADO",MIN(CEILING(IF(ISNUMBER(P30),P30,X30)*100,5),CEILING(MAX(IF((0.5*(0.9*DATOS!$C$87*DATOS!$C$83/100/1000)*IF(ISNUMBER(P30),P30,X30)+BG30/IF(ISNUMBER(P30),P30,X30))^2-4*(0.5*(0.9*DATOS!$C$87*DATOS!$C$83/100/1000))*BG30&lt;0,IF(ISNUMBER(P30),P30,X30),MIN(IF(ISNUMBER(P30),P30,X30),((0.5*(0.9*DATOS!$C$87*DATOS!$C$83/100/1000)*IF(ISNUMBER(P30),P30,X30)+BG30/IF(ISNUMBER(P30),P30,X30))-SQRT((0.5*(0.9*DATOS!$C$87*DATOS!$C$83/100/1000)*IF(ISNUMBER(P30),P30,X30)+BG30/IF(ISNUMBER(P30),P30,X30))^2-4*(0.5*(0.9*DATOS!$C$87*DATOS!$C$83/100/1000))*BG30))/(2*(0.5*(0.9*DATOS!$C$87*DATOS!$C$83/100/1000)))))*100+MAX(BW30,12*INDEX(TABLAS!$C$52:$C$58,MATCH(BU30,TABLAS!$B$52:$B$58,0)),IF(ISNUMBER(P30),P30,X30)*100/16),IF(OR(AK30&lt;INDEX(TABLAS!$C$52:$C$58,MATCH(BU30,TABLAS!$B$52:$B$58,0)),AND(BV30&gt;=2,(AC30-2*AK30-BV30*INDEX(TABLAS!$C$52:$C$58,MATCH(BU30,TABLAS!$B$52:$B$58,0)))/MAX(BV30-1,1)&lt;2*INDEX(TABLAS!$C$52:$C$58,MATCH(BU30,TABLAS!$B$52:$B$58,0)))),INDEX(TABLAS!$I$52:$I$58,MATCH(BU30,TABLAS!$B$52:$B$58,0)),INDEX(TABLAS!$F$52:$F$58,MATCH(BU30,TABLAS!$B$52:$B$58,0)))),5)),IF(((4*((BB30*AQ30*X30^2*1E-4*DATOS!$C$83/100/1000)+((MAX(AX30,AZ30)*AQ30*X30^2*1E-4*DATOS!$C$83/100/1000)+(IF(AND(AX30&gt;0,AZ30&gt;0),MIN(AX30,AZ30),MAX(AX30,AZ30))*AQ30*X30^2*1E-4*DATOS!$C$83/100/1000))/2)+BG30-(IF(AND(AX30&gt;0,AZ30&gt;0),MIN(AX30,AZ30),MAX(AX30,AZ30))*AQ30*X30^2*1E-4*DATOS!$C$83/100/1000))^2-16*((BB30*AQ30*X30^2*1E-4*DATOS!$C$83/100/1000)+((MAX(AX30,AZ30)*AQ30*X30^2*1E-4*DATOS!$C$83/100/1000)+(IF(AND(AX30&gt;0,AZ30&gt;0),MIN(AX30,AZ30),MAX(AX30,AZ30))*AQ30*X30^2*1E-4*DATOS!$C$83/100/1000))/2)*BG30)&lt;0,CEILING(AA30,5),CEILING(MAX(AA30*((4*((BB30*AQ30*X30^2*1E-4*DATOS!$C$83/100/1000)+((MAX(AX30,AZ30)*AQ30*X30^2*1E-4*DATOS!$C$83/100/1000)+(IF(AND(AX30&gt;0,AZ30&gt;0),MIN(AX30,AZ30),MAX(AX30,AZ30))*AQ30*X30^2*1E-4*DATOS!$C$83/100/1000))/2)+BG30-(IF(AND(AX30&gt;0,AZ30&gt;0),MIN(AX30,AZ30),MAX(AX30,AZ30))*AQ30*X30^2*1E-4*DATOS!$C$83/100/1000))-SQRT(MAX(0,((4*((BB30*AQ30*X30^2*1E-4*DATOS!$C$83/100/1000)+((MAX(AX30,AZ30)*AQ30*X30^2*1E-4*DATOS!$C$83/100/1000)+(IF(AND(AX30&gt;0,AZ30&gt;0),MIN(AX30,AZ30),MAX(AX30,AZ30))*AQ30*X30^2*1E-4*DATOS!$C$83/100/1000))/2)+BG30-(IF(AND(AX30&gt;0,AZ30&gt;0),MIN(AX30,AZ30),MAX(AX30,AZ30))*AQ30*X30^2*1E-4*DATOS!$C$83/100/1000))^2-16*((BB30*AQ30*X30^2*1E-4*DATOS!$C$83/100/1000)+((MAX(AX30,AZ30)*AQ30*X30^2*1E-4*DATOS!$C$83/100/1000)+(IF(AND(AX30&gt;0,AZ30&gt;0),MIN(AX30,AZ30),MAX(AX30,AZ30))*AQ30*X30^2*1E-4*DATOS!$C$83/100/1000))/2)*BG30))))/(8*MAX(((BB30*AQ30*X30^2*1E-4*DATOS!$C$83/100/1000)+((MAX(AX30,AZ30)*AQ30*X30^2*1E-4*DATOS!$C$83/100/1000)+(IF(AND(AX30&gt;0,AZ30&gt;0),MIN(AX30,AZ30),MAX(AX30,AZ30))*AQ30*X30^2*1E-4*DATOS!$C$83/100/1000))/2),1E-9))+MAX(BW30,12*INDEX(TABLAS!$C$52:$C$58,MATCH(BU30,TABLAS!$B$52:$B$58,0)),AA30/16),IF(OR(AK30&lt;INDEX(TABLAS!$C$52:$C$58,MATCH(BU30,TABLAS!$B$52:$B$58,0)),AND(BV30&gt;=2,(AC30-2*AK30-BV30*INDEX(TABLAS!$C$52:$C$58,MATCH(BU30,TABLAS!$B$52:$B$58,0)))/MAX(BV30-1,1)&lt;2*INDEX(TABLAS!$C$52:$C$58,MATCH(BU30,TABLAS!$B$52:$B$58,0)))),INDEX(TABLAS!$I$52:$I$58,MATCH(BU30,TABLAS!$B$52:$B$58,0)),INDEX(TABLAS!$F$52:$F$58,MATCH(BU30,TABLAS!$B$52:$B$58,0)))),5))))</f>
        <v/>
      </c>
      <c r="DC30" s="60" t="str">
        <f>IF(U30&lt;&gt;"SÍ","",IF(C30="VOLADO",0,IF(((4*((BC30*AQ30*X30^2*1E-4*DATOS!$C$83/100/1000)+((MAX(AY30,BA30)*AQ30*X30^2*1E-4*DATOS!$C$83/100/1000)+(IF(AND(AY30&gt;0,BA30&gt;0),MIN(AY30,BA30),MAX(AY30,BA30))*AQ30*X30^2*1E-4*DATOS!$C$83/100/1000))/2)+BI30-(IF(AND(AY30&gt;0,BA30&gt;0),MIN(AY30,BA30),MAX(AY30,BA30))*AQ30*X30^2*1E-4*DATOS!$C$83/100/1000))^2-16*((BC30*AQ30*X30^2*1E-4*DATOS!$C$83/100/1000)+((MAX(AY30,BA30)*AQ30*X30^2*1E-4*DATOS!$C$83/100/1000)+(IF(AND(AY30&gt;0,BA30&gt;0),MIN(AY30,BA30),MAX(AY30,BA30))*AQ30*X30^2*1E-4*DATOS!$C$83/100/1000))/2)*BI30)&lt;0,CEILING(AB30,5),CEILING(MAX(AB30*((4*((BC30*AQ30*X30^2*1E-4*DATOS!$C$83/100/1000)+((MAX(AY30,BA30)*AQ30*X30^2*1E-4*DATOS!$C$83/100/1000)+(IF(AND(AY30&gt;0,BA30&gt;0),MIN(AY30,BA30),MAX(AY30,BA30))*AQ30*X30^2*1E-4*DATOS!$C$83/100/1000))/2)+BI30-(IF(AND(AY30&gt;0,BA30&gt;0),MIN(AY30,BA30),MAX(AY30,BA30))*AQ30*X30^2*1E-4*DATOS!$C$83/100/1000))-SQRT(MAX(0,((4*((BC30*AQ30*X30^2*1E-4*DATOS!$C$83/100/1000)+((MAX(AY30,BA30)*AQ30*X30^2*1E-4*DATOS!$C$83/100/1000)+(IF(AND(AY30&gt;0,BA30&gt;0),MIN(AY30,BA30),MAX(AY30,BA30))*AQ30*X30^2*1E-4*DATOS!$C$83/100/1000))/2)+BI30-(IF(AND(AY30&gt;0,BA30&gt;0),MIN(AY30,BA30),MAX(AY30,BA30))*AQ30*X30^2*1E-4*DATOS!$C$83/100/1000))^2-16*((BC30*AQ30*X30^2*1E-4*DATOS!$C$83/100/1000)+((MAX(AY30,BA30)*AQ30*X30^2*1E-4*DATOS!$C$83/100/1000)+(IF(AND(AY30&gt;0,BA30&gt;0),MIN(AY30,BA30),MAX(AY30,BA30))*AQ30*X30^2*1E-4*DATOS!$C$83/100/1000))/2)*BI30))))/(8*MAX(((BC30*AQ30*X30^2*1E-4*DATOS!$C$83/100/1000)+((MAX(AY30,BA30)*AQ30*X30^2*1E-4*DATOS!$C$83/100/1000)+(IF(AND(AY30&gt;0,BA30&gt;0),MIN(AY30,BA30),MAX(AY30,BA30))*AQ30*X30^2*1E-4*DATOS!$C$83/100/1000))/2),1E-9))+MAX(CM30,12*INDEX(TABLAS!$C$52:$C$58,MATCH(CK30,TABLAS!$B$52:$B$58,0)),AB30/16),IF(OR(AK30&lt;INDEX(TABLAS!$C$52:$C$58,MATCH(CK30,TABLAS!$B$52:$B$58,0)),AND(CL30&gt;=2,(DATOS!$C$80-2*AK30-CL30*INDEX(TABLAS!$C$52:$C$58,MATCH(CK30,TABLAS!$B$52:$B$58,0)))/MAX(CL30-1,1)&lt;2*INDEX(TABLAS!$C$52:$C$58,MATCH(CK30,TABLAS!$B$52:$B$58,0)))),INDEX(TABLAS!$I$52:$I$58,MATCH(CK30,TABLAS!$B$52:$B$58,0)),INDEX(TABLAS!$F$52:$F$58,MATCH(CK30,TABLAS!$B$52:$B$58,0)))),5))))</f>
        <v/>
      </c>
      <c r="DD30" s="55" t="str">
        <f>IF(U30&lt;&gt;"SÍ","",IF(AND(C30="PERIMETRAL",BV30&gt;=2,AR30-AS30&gt;0,AZ30*AQ30*X30^2*1E-4*DATOS!$C$83/100/1000&gt;DATOS!$C$29*INDEX(TABLAS!$D$52:$D$58,MATCH(BU30,TABLAS!$B$52:$B$58,0))*DATOS!$C$14*(BW30-INDEX(TABLAS!$D$52:$D$58,MATCH(BU30,TABLAS!$B$52:$B$58,0))*DATOS!$C$14/(DATOS!$C$21*AE30)/2)/1E5),"SÍ","NO"))</f>
        <v/>
      </c>
      <c r="DE30" s="55" t="str">
        <f>IF(U30&lt;&gt;"SÍ","",IF(AND(C30="PERIMETRAL",CL30&gt;=2,AS30&gt;0,BA30*AQ30*X30^2*1E-4*DATOS!$C$83/100/1000&gt;DATOS!$C$29*INDEX(TABLAS!$D$52:$D$58,MATCH(CK30,TABLAS!$B$52:$B$58,0))*DATOS!$C$14*(CM30-INDEX(TABLAS!$D$52:$D$58,MATCH(CK30,TABLAS!$B$52:$B$58,0))*DATOS!$C$14/(DATOS!$C$21*AF30)/2)/1E5),"SÍ","NO"))</f>
        <v/>
      </c>
      <c r="DF30" s="63" t="str">
        <f>IF(U30&lt;&gt;"SÍ","",IF(OR(C30="VOLADO",AR30=0),"—",IF(AND(AND(1.25*INDEX(TABLAS!$G$52:$G$58,MATCH(MAX(BM30,CC30),TABLAS!$B$52:$B$58,0))&lt;=(DATOS!$C$72-DATOS!$C$60),(DATOS!$C$72-DATOS!$C$60)&gt;=15,INDEX(TABLAS!$G$52:$G$58,MATCH(MAX(BU30,CK30),TABLAS!$B$52:$B$58,0))&lt;=(DATOS!$C$72-DATOS!$C$60)),8*INDEX(TABLAS!$C$52:$C$58,MATCH(MAX(MAX(BM30,CC30),MAX(BU30,CK30)),TABLAS!$B$52:$B$58,0))&lt;=DATOS!$C$73-2*DATOS!$C$60),"CUMPLE (gancho de 180°)",IF(AND(1.25*INDEX(TABLAS!$G$52:$G$58,MATCH(MAX(BM30,CC30),TABLAS!$B$52:$B$58,0))&lt;=(DATOS!$C$72-DATOS!$C$60),(DATOS!$C$72-DATOS!$C$60)&gt;=15,INDEX(TABLAS!$G$52:$G$58,MATCH(MAX(BU30,CK30),TABLAS!$B$52:$B$58,0))&lt;=(DATOS!$C$72-DATOS!$C$60)),"NO CUMPLE: el gancho de 180° (8·d_b) no cabe en el peralte de la dala de borde","NO CUMPLE: dala de borde ≥ "&amp;TEXT(CEILING(MAX(1.25*INDEX(TABLAS!$G$52:$G$58,MATCH(MAX(BM30,CC30),TABLAS!$B$52:$B$58,0)),15,INDEX(TABLAS!$G$52:$G$58,MATCH(MAX(BU30,CK30),TABLAS!$B$52:$B$58,0)))+DATOS!$C$60,5),"0")&amp;" cm de ancho"&amp;IF(8*INDEX(TABLAS!$C$52:$C$58,MATCH(MAX(MAX(BM30,CC30),MAX(BU30,CK30)),TABLAS!$B$52:$B$58,0))&lt;=DATOS!$C$73-2*DATOS!$C$60,""," y más peralte para el gancho")))))</f>
        <v/>
      </c>
      <c r="DG30" s="59" t="str">
        <f>IF(U30&lt;&gt;"SÍ","",MAX(0,INT((E30*100-DATOS!$C$84+DATOS!$C$83-IF(W30="X",DATOS!$C$78,AD30))/DATOS!$C$83)))</f>
        <v/>
      </c>
      <c r="DH30" s="59" t="str">
        <f>IF(U30&lt;&gt;"SÍ","",MAX(0,INT((F30*100-DATOS!$C$84+DATOS!$C$83-IF(W30="Y",DATOS!$C$78,AD30))/DATOS!$C$83)))</f>
        <v/>
      </c>
      <c r="DI30" s="57" t="str">
        <f>IF(U30&lt;&gt;"SÍ","",IF(DG30&gt;0,(E30*100-DATOS!$C$84-(DG30*IF(W30="X",DATOS!$C$78,AD30)+(DG30-1)*(DATOS!$C$83-IF(W30="X",DATOS!$C$78,AD30))))/2,E30*100/2))</f>
        <v/>
      </c>
      <c r="DJ30" s="57" t="str">
        <f>IF(U30&lt;&gt;"SÍ","",IF(DH30&gt;0,(F30*100-DATOS!$C$84-(DH30*IF(W30="Y",DATOS!$C$78,AD30)+(DH30-1)*(DATOS!$C$83-IF(W30="Y",DATOS!$C$78,AD30))))/2,F30*100/2))</f>
        <v/>
      </c>
      <c r="DK30" s="59" t="str">
        <f>IF(U30&lt;&gt;"SÍ","",IF(NOT(AND(C30="VOLADO",AC30&gt;DATOS!$C$80)),0,IF(INDEX(TABLAS!$C$52:$C$58,MATCH(BU30,TABLAS!$B$52:$B$58,0))&lt;=DATOS!$C$80-2*DATOS!$C$60,1,0)))</f>
        <v/>
      </c>
      <c r="DL30" s="58" t="str">
        <f>IF(U30&lt;&gt;"SÍ","",IF(NOT(AND(C30="VOLADO",AC30&gt;DATOS!$C$80)),0,((DATOS!$C$82-MAX(DATOS!$C$60,(DATOS!$C$81-2*DATOS!$C$94)/2)-2*DATOS!$C$94-INDEX(TABLAS!$C$52:$C$58,MATCH(BU30,TABLAS!$B$52:$B$58,0))/2)-IF(AND((DATOS!$C$82-MAX(DATOS!$C$60,(DATOS!$C$81-2*DATOS!$C$94)/2)-2*DATOS!$C$94-INDEX(TABLAS!$C$52:$C$58,MATCH(BU30,TABLAS!$B$52:$B$58,0))/2)&lt;=20,DATOS!$C$62&lt;&gt;"SÍ"),2,0))))</f>
        <v/>
      </c>
      <c r="DM30" s="56" t="str">
        <f>IF(U30&lt;&gt;"SÍ","",IF(OR(NOT(AND(C30="VOLADO",AC30&gt;DATOS!$C$80)),DK30&lt;1),0,IF(0.003*(DL30-((DK30*INDEX(TABLAS!$D$52:$D$58,MATCH(BU30,TABLAS!$B$52:$B$58,0)))*DATOS!$C$14/(DATOS!$C$21*AF30)/DATOS!$C$22))/((DK30*INDEX(TABLAS!$D$52:$D$58,MATCH(BU30,TABLAS!$B$52:$B$58,0)))*DATOS!$C$14/(DATOS!$C$21*AF30)/DATOS!$C$22)&lt;0.005,0,DATOS!$C$29*(DK30*INDEX(TABLAS!$D$52:$D$58,MATCH(BU30,TABLAS!$B$52:$B$58,0)))*DATOS!$C$14*(DL30-(DK30*INDEX(TABLAS!$D$52:$D$58,MATCH(BU30,TABLAS!$B$52:$B$58,0)))*DATOS!$C$14/(DATOS!$C$21*AF30)/2)/1E5)))</f>
        <v/>
      </c>
      <c r="DN30" s="56" t="str">
        <f>IF(U30&lt;&gt;"SÍ","",IF(OR(NOT(AND(C30="VOLADO",AC30&gt;DATOS!$C$80)),DK30&lt;1),0,DATOS!$C$30*2*MIN(1,SQRT(2/(1+0.04*DL30)))*((DK30*INDEX(TABLAS!$D$52:$D$58,MATCH(BU30,TABLAS!$B$52:$B$58,0)))/(AF30*DL30))^(1/3)*SQRT(DATOS!$C$13)*AF30*DL30/1000))</f>
        <v/>
      </c>
      <c r="DO30" s="56" t="str">
        <f>IF(U30&lt;&gt;"SÍ","",IF(NOT(AND(C30="VOLADO",AC30&gt;DATOS!$C$80)),0,IF((BG30-DM30)&lt;=0,0,IF(DM30&lt;=0,IF(ISNUMBER(P30),P30,X30),IF(((0.9*DATOS!$C$87*DATOS!$C$83/100/1000)*IF(ISNUMBER(P30),P30,X30)/2+BG30/IF(ISNUMBER(P30),P30,X30))^2-4*((0.9*DATOS!$C$87*DATOS!$C$83/100/1000)/2)*(BG30-DM30)&lt;0,IF(ISNUMBER(P30),P30,X30),MIN(IF(ISNUMBER(P30),P30,X30),(((0.9*DATOS!$C$87*DATOS!$C$83/100/1000)*IF(ISNUMBER(P30),P30,X30)/2+BG30/IF(ISNUMBER(P30),P30,X30))-SQRT(((0.9*DATOS!$C$87*DATOS!$C$83/100/1000)*IF(ISNUMBER(P30),P30,X30)/2+BG30/IF(ISNUMBER(P30),P30,X30))^2-4*((0.9*DATOS!$C$87*DATOS!$C$83/100/1000)/2)*(BG30-DM30)))/(2*((0.9*DATOS!$C$87*DATOS!$C$83/100/1000)/2))))))))</f>
        <v/>
      </c>
      <c r="DP30" s="56" t="str">
        <f>IF(U30&lt;&gt;"SÍ","",IF(NOT(AND(C30="VOLADO",AC30&gt;DATOS!$C$80)),0,MIN(IF(ISNUMBER(P30),P30,X30),MAX(0,IF(ISNUMBER(P30),P30,X30)/2+BG30/IF(ISNUMBER(P30),P30,X30)/(AQ30*DATOS!$C$83/100/1000)-DN30/(AQ30*DATOS!$C$83/100/1000)))))</f>
        <v/>
      </c>
      <c r="DQ30" s="56" t="str">
        <f>IF(U30&lt;&gt;"SÍ","",IF(NOT(AND(C30="VOLADO",AC30&gt;DATOS!$C$80)),0,BG30/IF(ISNUMBER(P30),P30,X30)+(AQ30*DATOS!$C$83/100/1000)*MAX(0,IF(ISNUMBER(P30),P30,X30)/2-BW30/100)))</f>
        <v/>
      </c>
      <c r="DR30" s="59" t="str">
        <f>IF(U30&lt;&gt;"SÍ","",IF(NOT(AND(C30="VOLADO",AC30&gt;DATOS!$C$80)),0,CEILING(100*MIN(IF(ISNUMBER(P30),P30,X30),MAX(IF(DO30&gt;0,DO30+IF(BV30&gt;=2,MAX(DL30,12*INDEX(TABLAS!$C$52:$C$58,MATCH(BU30,TABLAS!$B$52:$B$58,0)))/100,0),0),DP30,IF(BV30&gt;=2,INDEX(TABLAS!$F$52:$F$58,MATCH(BU30,TABLAS!$B$52:$B$58,0))/100,0))),5)))</f>
        <v/>
      </c>
      <c r="DS30" s="60" t="str">
        <f>IF(U30&lt;&gt;"SÍ","",IF(NOT(AND(C30="VOLADO",AC30&gt;DATOS!$C$80)),0,IF(DR30&lt;=0,0,CEILING(DR30/DATOS!$C$83,1))))</f>
        <v/>
      </c>
      <c r="DT30" s="61" t="str">
        <f>IF(U30&lt;&gt;"SÍ","",IF(C30&lt;&gt;"VOLADO","—",IF(AC30&lt;=DATOS!$C$80,"— (mismo b_w que el respaldo)",IF(DQ30&gt;CR30,"NO CUMPLE: cortante de la nervadura ancha junto al apoyo ("&amp;TEXT(DQ30,"0.00")&amp;" &gt; "&amp;TEXT(CR30,"0.00")&amp;" t)",IF(DR30&gt;=100*IF(ISNUMBER(P30),P30,X30),"CUMPLE — todas las nervaduras del respaldo ‖ al volado con b_w = "&amp;AC30&amp;" cm","CUMPLE — "&amp;DS30&amp;" hilera(s) del respaldo con nervaduras de b_w = "&amp;AC30&amp;" cm (casetón "&amp;AD30&amp;" cm), hasta "&amp;TEXT(DR30/100,"0.00")&amp;" m del paño")))))</f>
        <v/>
      </c>
      <c r="DU30" s="69" t="str">
        <f>IF(U30&lt;&gt;"SÍ","",IF(BN30=0,"NO ALCANZA",BN30&amp;" No. "&amp;BM30&amp;IF(BN30&gt;1," corridas"," corrida")))</f>
        <v/>
      </c>
      <c r="DV30" s="69" t="str">
        <f>IF(U30&lt;&gt;"SÍ","",IF(BV30=0,"NO ALCANZA",IF(AND(C30="VOLADO",AC30&gt;DATOS!$C$80,BV30&gt;=2),"1 No. "&amp;BU30&amp;" corrida de la orilla al respaldo ("&amp;IF(DB30&gt;=100*IF(ISNUMBER(P30),P30,X30),"hasta su apoyo lejano, con gancho","entra "&amp;TEXT(DB30/100,"0.00")&amp;" m desde el paño")&amp;") + "&amp;(BV30-1)&amp;" bastón No. "&amp;BU30&amp;" hasta "&amp;TEXT(DR30/100,"0.00")&amp;" m del paño (fin de la nervadura ancha)",IF(C30="VOLADO",BV30&amp;" No. "&amp;BU30&amp;" de la orilla al respaldo ("&amp;IF(DB30&gt;=100*IF(ISNUMBER(P30),P30,X30),"hasta su apoyo lejano, con gancho","entran "&amp;TEXT(DB30/100,"0.00")&amp;" m desde el paño")&amp;")","1 No. "&amp;BU30&amp;" corrida"&amp;IF(BV30&gt;1," + "&amp;(BV30-1)&amp;" bastón No. "&amp;BU30&amp;" L = "&amp;TEXT(DB30/100,"0.00")&amp;" m desde el paño","")))))</f>
        <v/>
      </c>
      <c r="DW30" s="69" t="str">
        <f>IF(U30&lt;&gt;"SÍ","",IF(CD30=0,"NO ALCANZA",CD30&amp;" No. "&amp;CC30&amp;IF(CD30&gt;1," corridas"," corrida")))</f>
        <v/>
      </c>
      <c r="DX30" s="69" t="str">
        <f>IF(U30&lt;&gt;"SÍ","",IF(CL30=0,"NO ALCANZA",IF(C30="VOLADO","1 No. "&amp;CK30&amp;" corrida (repartición)","1 No. "&amp;CK30&amp;" corrida"&amp;IF(CL30&gt;1," + "&amp;(CL30-1)&amp;" bastón No. "&amp;CK30&amp;" L = "&amp;TEXT(DC30/100,"0.00")&amp;" m desde el paño",""))))</f>
        <v/>
      </c>
      <c r="DY30" s="67" t="str">
        <f>IF(B30="","",IF(U30&lt;&gt;"SÍ","FALTAN DATOS: tipo, a_x, a_y y destino",IF(L30="NO MONOLÍTICO (caso II)","FUERA DE ALCANCE: caso II no transcrito",IF(AND(C30="VOLADO",V30="?"),"REVISAR: el volado lleva UN solo borde CONTINUO (el empotrado)",IF(AND(MAX(BQ30,BY30,CG30,CO30)&lt;=1,NOT(OR(BN30&gt;MIN(DATOS!$C$70,INT(((AC30-2*AJ30)+MAX(DATOS!$C$67,INDEX(TABLAS!$C$52:$C$58,MATCH(BM30,TABLAS!$B$52:$B$58,0))))/(INDEX(TABLAS!$C$52:$C$58,MATCH(BM30,TABLAS!$B$52:$B$58,0))+MAX(DATOS!$C$67,INDEX(TABLAS!$C$52:$C$58,MATCH(BM30,TABLAS!$B$52:$B$58,0)))))),BV30&gt;MIN(DATOS!$C$70,INT(((AC30-2*AK30)+MAX(DATOS!$C$67,INDEX(TABLAS!$C$52:$C$58,MATCH(BU30,TABLAS!$B$52:$B$58,0))))/(INDEX(TABLAS!$C$52:$C$58,MATCH(BU30,TABLAS!$B$52:$B$58,0))+MAX(DATOS!$C$67,INDEX(TABLAS!$C$52:$C$58,MATCH(BU30,TABLAS!$B$52:$B$58,0)))))),CD30&gt;MIN(DATOS!$C$70,INT(((DATOS!$C$80-2*AJ30)+MAX(DATOS!$C$67,INDEX(TABLAS!$C$52:$C$58,MATCH(CC30,TABLAS!$B$52:$B$58,0))))/(INDEX(TABLAS!$C$52:$C$58,MATCH(CC30,TABLAS!$B$52:$B$58,0))+MAX(DATOS!$C$67,INDEX(TABLAS!$C$52:$C$58,MATCH(CC30,TABLAS!$B$52:$B$58,0)))))),CL30&gt;MIN(DATOS!$C$70,INT(((DATOS!$C$80-2*AK30)+MAX(DATOS!$C$67,INDEX(TABLAS!$C$52:$C$58,MATCH(CK30,TABLAS!$B$52:$B$58,0))))/(INDEX(TABLAS!$C$52:$C$58,MATCH(CK30,TABLAS!$B$52:$B$58,0))+MAX(DATOS!$C$67,INDEX(TABLAS!$C$52:$C$58,MATCH(CK30,TABLAS!$B$52:$B$58,0)))))))),NOT(OR(AND(ISNUMBER(BR30),BR30&lt;0.005),AND(ISNUMBER(BZ30),BZ30&lt;0.005),AND(ISNUMBER(CH30),CH30&lt;0.005),AND(ISNUMBER(CP30),CP30&lt;0.005))),NOT(LEFT(DT30,2)="NO"),CZ30="CUMPLE",DA30="CUMPLE",LEFT(CT30,2)&lt;&gt;"NO"),IF(LEFT(CT30,6)="CUMPLE","CUMPLE","CUMPLE — "&amp;CT30)&amp;IF(LEFT(BJ30,5)="FUERA"," · fuera de 3.4.2.1 c)","")&amp;IF(LEFT(DF30,2)="NO"," · REVISAR anclaje en borde discontinuo","")&amp;IF(DS30&gt;0," · respaldo: "&amp;DS30&amp;" hilera(s) de b_w "&amp;AC30&amp;" cm",""),IF(AND(MAX(BQ30,BY30,CG30,CO30)&lt;=1,NOT(OR(BN30&gt;MIN(DATOS!$C$70,INT(((AC30-2*AJ30)+MAX(DATOS!$C$67,INDEX(TABLAS!$C$52:$C$58,MATCH(BM30,TABLAS!$B$52:$B$58,0))))/(INDEX(TABLAS!$C$52:$C$58,MATCH(BM30,TABLAS!$B$52:$B$58,0))+MAX(DATOS!$C$67,INDEX(TABLAS!$C$52:$C$58,MATCH(BM30,TABLAS!$B$52:$B$58,0)))))),BV30&gt;MIN(DATOS!$C$70,INT(((AC30-2*AK30)+MAX(DATOS!$C$67,INDEX(TABLAS!$C$52:$C$58,MATCH(BU30,TABLAS!$B$52:$B$58,0))))/(INDEX(TABLAS!$C$52:$C$58,MATCH(BU30,TABLAS!$B$52:$B$58,0))+MAX(DATOS!$C$67,INDEX(TABLAS!$C$52:$C$58,MATCH(BU30,TABLAS!$B$52:$B$58,0)))))),CD30&gt;MIN(DATOS!$C$70,INT(((DATOS!$C$80-2*AJ30)+MAX(DATOS!$C$67,INDEX(TABLAS!$C$52:$C$58,MATCH(CC30,TABLAS!$B$52:$B$58,0))))/(INDEX(TABLAS!$C$52:$C$58,MATCH(CC30,TABLAS!$B$52:$B$58,0))+MAX(DATOS!$C$67,INDEX(TABLAS!$C$52:$C$58,MATCH(CC30,TABLAS!$B$52:$B$58,0)))))),CL30&gt;MIN(DATOS!$C$70,INT(((DATOS!$C$80-2*AK30)+MAX(DATOS!$C$67,INDEX(TABLAS!$C$52:$C$58,MATCH(CK30,TABLAS!$B$52:$B$58,0))))/(INDEX(TABLAS!$C$52:$C$58,MATCH(CK30,TABLAS!$B$52:$B$58,0))+MAX(DATOS!$C$67,INDEX(TABLAS!$C$52:$C$58,MATCH(CK30,TABLAS!$B$52:$B$58,0)))))))),NOT(OR(AND(ISNUMBER(BR30),BR30&lt;0.005),AND(ISNUMBER(BZ30),BZ30&lt;0.005),AND(ISNUMBER(CH30),CH30&lt;0.005),AND(ISNUMBER(CP30),CP30&lt;0.005))),NOT(LEFT(DT30,2)="NO"),CZ30="CALCULAR FLECHA",LEFT(CT30,2)&lt;&gt;"NO"),"REVISAR: calcular flecha (h_eq &lt; h mín.)"&amp;IF(LEFT(BJ30,5)="FUERA"," · fuera de 3.4.2.1 c)","")&amp;IF(LEFT(DF30,2)="NO"," · REVISAR anclaje en borde discontinuo","")&amp;IF(DS30&gt;0," · respaldo: "&amp;DS30&amp;" hilera(s) de b_w "&amp;AC30&amp;" cm",""),"NO CUMPLE: "&amp;IF(MAX(BQ30,BY30,CG30,CO30)&gt;1,"flexión ","")&amp;IF(OR(BN30&gt;MIN(DATOS!$C$70,INT(((AC30-2*AJ30)+MAX(DATOS!$C$67,INDEX(TABLAS!$C$52:$C$58,MATCH(BM30,TABLAS!$B$52:$B$58,0))))/(INDEX(TABLAS!$C$52:$C$58,MATCH(BM30,TABLAS!$B$52:$B$58,0))+MAX(DATOS!$C$67,INDEX(TABLAS!$C$52:$C$58,MATCH(BM30,TABLAS!$B$52:$B$58,0)))))),BV30&gt;MIN(DATOS!$C$70,INT(((AC30-2*AK30)+MAX(DATOS!$C$67,INDEX(TABLAS!$C$52:$C$58,MATCH(BU30,TABLAS!$B$52:$B$58,0))))/(INDEX(TABLAS!$C$52:$C$58,MATCH(BU30,TABLAS!$B$52:$B$58,0))+MAX(DATOS!$C$67,INDEX(TABLAS!$C$52:$C$58,MATCH(BU30,TABLAS!$B$52:$B$58,0)))))),CD30&gt;MIN(DATOS!$C$70,INT(((DATOS!$C$80-2*AJ30)+MAX(DATOS!$C$67,INDEX(TABLAS!$C$52:$C$58,MATCH(CC30,TABLAS!$B$52:$B$58,0))))/(INDEX(TABLAS!$C$52:$C$58,MATCH(CC30,TABLAS!$B$52:$B$58,0))+MAX(DATOS!$C$67,INDEX(TABLAS!$C$52:$C$58,MATCH(CC30,TABLAS!$B$52:$B$58,0)))))),CL30&gt;MIN(DATOS!$C$70,INT(((DATOS!$C$80-2*AK30)+MAX(DATOS!$C$67,INDEX(TABLAS!$C$52:$C$58,MATCH(CK30,TABLAS!$B$52:$B$58,0))))/(INDEX(TABLAS!$C$52:$C$58,MATCH(CK30,TABLAS!$B$52:$B$58,0))+MAX(DATOS!$C$67,INDEX(TABLAS!$C$52:$C$58,MATCH(CK30,TABLAS!$B$52:$B$58,0))))))),"no caben ","")&amp;IF(OR(AND(ISNUMBER(BR30),BR30&lt;0.005),AND(ISNUMBER(BZ30),BZ30&lt;0.005),AND(ISNUMBER(CH30),CH30&lt;0.005),AND(ISNUMBER(CP30),CP30&lt;0.005)),"ε_t &lt; 0.005 ","")&amp;IF(LEFT(CT30,2)="NO","cortante ","")&amp;IF(CZ30="NO CUMPLE","peralte ","")&amp;IF(DA30&lt;&gt;"CUMPLE","capa &lt; 6 cm ","")&amp;IF(LEFT(DT30,2)="NO","respaldo del volado","")))))))</f>
        <v/>
      </c>
      <c r="DZ30" s="70" t="str">
        <f>IF(U30&lt;&gt;"SÍ","",IF(LEFT(B30,7)="EJEMPLO","EJEMPLO de la hoja de Casa Rocha: bórralo o sobrescríbelo. ","")&amp;IF(AND(C30="PERIMETRAL",MIN(DG30,DH30)=0),"No cabe un casetón en el claro corto: es un tablero macizo, diséñalo en MACIZAS. ","")&amp;IF(AND(AI30="NO",C30="PERIMETRAL"),"No cumple 6.7.8.1.4 (a_c = "&amp;MAX(DATOS!$C$78,AD30)&amp;" cm &gt; claro corto/6 = "&amp;TEXT(X30*100/6,"0")&amp;" cm): se diseña como losa apoyada en vigas (6.7.8.1.9): r de viga = "&amp;DATOS!$C$60&amp;" cm y V_cR sin ×1.1. Para que cuente como encasetonada: casetón de "&amp;TEXT(FLOOR(MIN(80,X30*100/6),1),"0")&amp;" cm o menor. ","")&amp;IF(C30="VOLADO","Volado de "&amp;TEXT(X30,"0.00")&amp;" m empotrado en el borde "&amp;LOWER(V30)&amp;IF(N(O30)&gt;0,", con "&amp;TEXT(O30,"0.0")&amp;" kg/m en la orilla","")&amp;". Lecho inferior con r_ext. Si la orilla carga pretil u otro elemento frágil, calcula la flecha (13.4). El acero superior entra al respaldo de "&amp;TEXT(IF(ISNUMBER(P30),P30,X30),"0.00")&amp;" m"&amp;IF(ISNUMBER(P30),""," (L_b no capturado: se tomó igual al volado)")&amp;" hasta pasar M = 0 con 0.9·PP sin carga viva; si ahí no se anula, llega al apoyo lejano y se ancla con gancho (NTC-Criterios 3.4.1 c y 5.1.2.2). "&amp;IF(AC30&gt;DATOS!$C$80,"Respaldo: "&amp;DT30&amp;". ",""),"")&amp;IF(LEFT(BJ30,5)="FUERA","El M⁻ del vecino difiere más de 50 % (3.4.2.1 c): distribuye el desequilibrio (3.4.3.1) o confirma con un modelo; se arma con el mayor. ","")&amp;IF(OR(DD30="SÍ",DE30="SÍ"),"El M⁻ del borde discontinuo pide bastón también ahí (con gancho). ","")&amp;IF(LEFT(DF30,2)="NO","Anclaje: "&amp;DF30&amp;" (6.7.8.1.7). ","")&amp;IF(OR(AZ30&gt;0,BA30&gt;0),"Esquinas exteriores sobre muro: refuerzo de esquina arriba y abajo en L_largo/5 (6.7.7.3.1). ",""))</f>
        <v/>
      </c>
    </row>
    <row r="31" ht="33" customHeight="1">
      <c r="A31" s="50">
        <f>IF(B31="",0,1)+A30</f>
        <v>4</v>
      </c>
      <c r="B31" s="29" t="n"/>
      <c r="C31" s="51" t="n"/>
      <c r="D31" s="29" t="n"/>
      <c r="E31" s="52" t="n"/>
      <c r="F31" s="52" t="n"/>
      <c r="G31" s="51" t="n"/>
      <c r="H31" s="51" t="n"/>
      <c r="I31" s="51" t="n"/>
      <c r="J31" s="51" t="n"/>
      <c r="K31" s="51" t="n"/>
      <c r="L31" s="51" t="n"/>
      <c r="M31" s="53" t="n"/>
      <c r="N31" s="53" t="n"/>
      <c r="O31" s="54" t="n"/>
      <c r="P31" s="52" t="n"/>
      <c r="Q31" s="53" t="n"/>
      <c r="R31" s="54" t="n"/>
      <c r="S31" s="52" t="n"/>
      <c r="T31" s="52" t="n"/>
      <c r="U31" s="55" t="str">
        <f>IF(B31="","",IF(AND(OR(C31="PERIMETRAL",C31="VOLADO"),ISNUMBER(E31),ISNUMBER(F31),E31&gt;0,F31&gt;0,OR(ISNUMBER(N31),ISNUMBER(MATCH(D31,DATOS!$B$46:$B$55,0)))),"SÍ","NO"))</f>
        <v/>
      </c>
      <c r="V31" s="55" t="str">
        <f>IF(U31&lt;&gt;"SÍ","",IF(C31&lt;&gt;"VOLADO","—",IF(COUNTIF(G31:J31,"CONTINUO")&lt;&gt;1,"?",IF(G31="CONTINUO","INFERIOR",IF(H31="CONTINUO","SUPERIOR",IF(I31="CONTINUO","IZQUIERDO","DERECHO"))))))</f>
        <v/>
      </c>
      <c r="W31" s="55" t="str">
        <f>IF(U31&lt;&gt;"SÍ","",IF(C31="VOLADO",IF(OR(V31="IZQUIERDO",V31="DERECHO"),"X","Y"),IF(E31&lt;=F31,"X","Y")))</f>
        <v/>
      </c>
      <c r="X31" s="56" t="str">
        <f>IF(U31&lt;&gt;"SÍ","",IF(C31="VOLADO",IF(W31="X",E31,F31),MIN(E31,F31)))</f>
        <v/>
      </c>
      <c r="Y31" s="56" t="str">
        <f>IF(U31&lt;&gt;"SÍ","",IF(C31="VOLADO",IF(W31="X",F31,E31),MAX(E31,F31)))</f>
        <v/>
      </c>
      <c r="Z31" s="56" t="str">
        <f>IF(U31&lt;&gt;"SÍ","",MIN(X31,Y31)/MAX(X31,Y31))</f>
        <v/>
      </c>
      <c r="AA31" s="57" t="str">
        <f>IF(U31&lt;&gt;"SÍ","",MAX(1,X31*100-IF(C31="VOLADO",DATOS!$C$84/2,DATOS!$C$84)))</f>
        <v/>
      </c>
      <c r="AB31" s="57" t="str">
        <f>IF(U31&lt;&gt;"SÍ","",MAX(1,Y31*100-DATOS!$C$84))</f>
        <v/>
      </c>
      <c r="AC31" s="57" t="str">
        <f>IF(U31&lt;&gt;"SÍ","",IF(ISNUMBER(Q31),Q31,DATOS!$C$80))</f>
        <v/>
      </c>
      <c r="AD31" s="57" t="str">
        <f>IF(U31&lt;&gt;"SÍ","",MAX(0,DATOS!$C$83-AC31))</f>
        <v/>
      </c>
      <c r="AE31" s="57" t="str">
        <f>IF(U31&lt;&gt;"SÍ","",IF(OR(DATOS!$C$62="SÍ",AC31&gt;=20),AC31,AC31-2))</f>
        <v/>
      </c>
      <c r="AF31" s="57" t="str">
        <f>IF(U31&lt;&gt;"SÍ","",IF(OR(DATOS!$C$62="SÍ",DATOS!$C$80&gt;=20),DATOS!$C$80,DATOS!$C$80-2))</f>
        <v/>
      </c>
      <c r="AG31" s="57" t="str">
        <f>IF(U31&lt;&gt;"SÍ","",MIN(DATOS!$C$83,AC31+2*MIN(8*DATOS!$C$81,AD31/2,AA31/8)))</f>
        <v/>
      </c>
      <c r="AH31" s="57" t="str">
        <f>IF(U31&lt;&gt;"SÍ","",MIN(DATOS!$C$83,DATOS!$C$80+2*MIN(8*DATOS!$C$81,DATOS!$C$78/2,AB31/8)))</f>
        <v/>
      </c>
      <c r="AI31" s="55" t="str">
        <f>IF(U31&lt;&gt;"SÍ","",IF(AND(C31="PERIMETRAL",X31*100&gt;=6*MAX(DATOS!$C$78,AD31),MAX(DATOS!$C$78,AD31)&lt;=80,MIN(DATOS!$C$80,AC31)&gt;=10,DATOS!$C$82&lt;=3.5*MIN(DATOS!$C$80,AC31),DATOS!$C$81&gt;=MAX(MAX(DATOS!$C$78,AD31)/13,5)),"SÍ","NO"))</f>
        <v/>
      </c>
      <c r="AJ31" s="57" t="str">
        <f>IF(U31&lt;&gt;"SÍ","",IF(C31="VOLADO",DATOS!$C$61,IF(AI31="NO",DATOS!$C$60,DATOS!$C$59)))</f>
        <v/>
      </c>
      <c r="AK31" s="57" t="str">
        <f>IF(U31&lt;&gt;"SÍ","",IF(OR(AND(AM31="SÍ",DATOS!$C$63="SÍ"),AND(C31="VOLADO",DATOS!$C$64="SÍ")),DATOS!$C$61,IF(AI31="NO",DATOS!$C$60,DATOS!$C$59)))</f>
        <v/>
      </c>
      <c r="AL31" s="58" t="str">
        <f>IF(U31&lt;&gt;"SÍ","",MAX(AK31,(DATOS!$C$81-2*DATOS!$C$94)/2))</f>
        <v/>
      </c>
      <c r="AM31" s="55" t="str">
        <f>IF(U31&lt;&gt;"SÍ","",IFERROR(INDEX(DATOS!$D$46:$D$55,MATCH(D31,DATOS!$B$46:$B$55,0)),"NO"))</f>
        <v/>
      </c>
      <c r="AN31" s="59" t="str">
        <f>IF(U31&lt;&gt;"SÍ","",IF(ISNUMBER(N31),N31,IFERROR(INDEX(DATOS!$C$46:$C$55,MATCH(D31,DATOS!$B$46:$B$55,0)),0)))</f>
        <v/>
      </c>
      <c r="AO31" s="59" t="str">
        <f>IF(U31&lt;&gt;"SÍ","",(DATOS!$C$82/100-(AD31*DATOS!$C$78/DATOS!$C$83^2)*DATOS!$C$79/100)*DATOS!$C$16*1000+(AD31*DATOS!$C$78/DATOS!$C$83^2)*DATOS!$C$79/100*DATOS!$C$17*1000+DATOS!$C$37+DATOS!$C$38)</f>
        <v/>
      </c>
      <c r="AP31" s="59" t="str">
        <f>IF(U31&lt;&gt;"SÍ","",AO31+N(M31))</f>
        <v/>
      </c>
      <c r="AQ31" s="60" t="str">
        <f>IF(U31&lt;&gt;"SÍ","",MAX(DATOS!$C$26*AP31+DATOS!$C$27*AN31,IF(AM31="SÍ",DATOS!$C$28*(AP31+DATOS!$C$41),0)))</f>
        <v/>
      </c>
      <c r="AR31" s="59" t="str">
        <f>IF(U31&lt;&gt;"SÍ","",(G31="DISCONTINUO")+(H31="DISCONTINUO")+(I31="DISCONTINUO")+(J31="DISCONTINUO"))</f>
        <v/>
      </c>
      <c r="AS31" s="59" t="str">
        <f>IF(U31&lt;&gt;"SÍ","",IF(W31="X",(G31="DISCONTINUO")+(H31="DISCONTINUO"),(I31="DISCONTINUO")+(J31="DISCONTINUO")))</f>
        <v/>
      </c>
      <c r="AT31" s="55" t="str">
        <f>IF(U31&lt;&gt;"SÍ","",IF(AR31=0,"INTERIOR",IF(AR31=1,IF(AS31=1,"BORDE-CORTO","BORDE-LARGO"),IF(AR31=2,IF(AS31=1,"ESQUINA",IF(AS31=2,"EXTREMO-LARGO","EXTREMO-CORTO")),IF(AR31=3,IF(AS31=2,"EXTREMO-LARGO","EXTREMO-CORTO"),"AISLADO")))))</f>
        <v/>
      </c>
      <c r="AU31" s="61" t="str">
        <f>IF(U31&lt;&gt;"SÍ","",IF(OR(K31="",K31="AUTO"),AT31,K31))</f>
        <v/>
      </c>
      <c r="AV31" s="59" t="str">
        <f>IF(U31&lt;&gt;"SÍ","",MATCH(Z31,TABLAS!$D$5:$J$5,1))</f>
        <v/>
      </c>
      <c r="AW31" s="58" t="str">
        <f>IF(U31&lt;&gt;"SÍ","",IF(AV31&gt;=7,0,(Z31-INDEX(TABLAS!$D$5:$J$5,AV31))/(INDEX(TABLAS!$D$5:$J$5,AV31+1)-INDEX(TABLAS!$D$5:$J$5,AV31))))</f>
        <v/>
      </c>
      <c r="AX31" s="59" t="str">
        <f>IF(U31&lt;&gt;"SÍ","",INDEX(TABLAS!$D$6:$J$47,MATCH(AU31&amp;"|NIC",TABLAS!$B$6:$B$47,0),AV31)+AW31*(INDEX(TABLAS!$D$6:$J$47,MATCH(AU31&amp;"|NIC",TABLAS!$B$6:$B$47,0),MIN(AV31+1,7))-INDEX(TABLAS!$D$6:$J$47,MATCH(AU31&amp;"|NIC",TABLAS!$B$6:$B$47,0),AV31)))</f>
        <v/>
      </c>
      <c r="AY31" s="59" t="str">
        <f>IF(U31&lt;&gt;"SÍ","",INDEX(TABLAS!$D$6:$J$47,MATCH(AU31&amp;"|NIL",TABLAS!$B$6:$B$47,0),AV31)+AW31*(INDEX(TABLAS!$D$6:$J$47,MATCH(AU31&amp;"|NIL",TABLAS!$B$6:$B$47,0),MIN(AV31+1,7))-INDEX(TABLAS!$D$6:$J$47,MATCH(AU31&amp;"|NIL",TABLAS!$B$6:$B$47,0),AV31)))</f>
        <v/>
      </c>
      <c r="AZ31" s="59" t="str">
        <f>IF(U31&lt;&gt;"SÍ","",INDEX(TABLAS!$D$6:$J$47,MATCH(AU31&amp;"|NDC",TABLAS!$B$6:$B$47,0),AV31)+AW31*(INDEX(TABLAS!$D$6:$J$47,MATCH(AU31&amp;"|NDC",TABLAS!$B$6:$B$47,0),MIN(AV31+1,7))-INDEX(TABLAS!$D$6:$J$47,MATCH(AU31&amp;"|NDC",TABLAS!$B$6:$B$47,0),AV31)))</f>
        <v/>
      </c>
      <c r="BA31" s="59" t="str">
        <f>IF(U31&lt;&gt;"SÍ","",INDEX(TABLAS!$D$6:$J$47,MATCH(AU31&amp;"|NDL",TABLAS!$B$6:$B$47,0),AV31)+AW31*(INDEX(TABLAS!$D$6:$J$47,MATCH(AU31&amp;"|NDL",TABLAS!$B$6:$B$47,0),MIN(AV31+1,7))-INDEX(TABLAS!$D$6:$J$47,MATCH(AU31&amp;"|NDL",TABLAS!$B$6:$B$47,0),AV31)))</f>
        <v/>
      </c>
      <c r="BB31" s="59" t="str">
        <f>IF(U31&lt;&gt;"SÍ","",INDEX(TABLAS!$D$6:$J$47,MATCH(AU31&amp;"|PC",TABLAS!$B$6:$B$47,0),AV31)+AW31*(INDEX(TABLAS!$D$6:$J$47,MATCH(AU31&amp;"|PC",TABLAS!$B$6:$B$47,0),MIN(AV31+1,7))-INDEX(TABLAS!$D$6:$J$47,MATCH(AU31&amp;"|PC",TABLAS!$B$6:$B$47,0),AV31)))</f>
        <v/>
      </c>
      <c r="BC31" s="59" t="str">
        <f>IF(U31&lt;&gt;"SÍ","",INDEX(TABLAS!$D$6:$J$47,MATCH(AU31&amp;"|PL",TABLAS!$B$6:$B$47,0),AV31)+AW31*(INDEX(TABLAS!$D$6:$J$47,MATCH(AU31&amp;"|PL",TABLAS!$B$6:$B$47,0),MIN(AV31+1,7))-INDEX(TABLAS!$D$6:$J$47,MATCH(AU31&amp;"|PL",TABLAS!$B$6:$B$47,0),AV31)))</f>
        <v/>
      </c>
      <c r="BD31" s="56" t="str">
        <f>IF(U31&lt;&gt;"SÍ","",IF(C31&lt;&gt;"VOLADO",0,DATOS!$C$26*DATOS!$C$16*DATOS!$C$83/100*(((AD31*DATOS!$C$78/DATOS!$C$83^2)*DATOS!$C$79/100)*(IF(W31="X",DI31,DJ31)+DATOS!$C$84/2)/100*(AA31-(IF(W31="X",DI31,DJ31)+DATOS!$C$84/2)/2)/100+((AD31*DATOS!$C$78/DATOS!$C$83^2)*DATOS!$C$79/100)*IF(W31="X",DI31,DJ31)/100*IF(W31="X",DI31,DJ31)/200)))</f>
        <v/>
      </c>
      <c r="BE31" s="56" t="str">
        <f>IF(U31&lt;&gt;"SÍ","",IF(C31&lt;&gt;"VOLADO",0,DATOS!$C$26*DATOS!$C$16*DATOS!$C$83/100*((AD31*DATOS!$C$78/DATOS!$C$83^2)*DATOS!$C$79/100)*(IF(W31="X",DI31,DJ31)+DATOS!$C$84/2)/100))</f>
        <v/>
      </c>
      <c r="BF31" s="56" t="str">
        <f>IF(U31&lt;&gt;"SÍ","",IF(C31="PERIMETRAL",BB31*AQ31*X31^2*1E-4*DATOS!$C$83/100/1000,0))</f>
        <v/>
      </c>
      <c r="BG31" s="62" t="str">
        <f>IF(U31&lt;&gt;"SÍ","",IF(C31="PERIMETRAL",MAX(MAX(AX31,AZ31)*AQ31*X31^2*1E-4*DATOS!$C$83/100/1000,N(S31)),(AQ31*(AA31/100)^2/2+DATOS!$C$26*N(O31)*AA31/100)*DATOS!$C$83/100/1000+BD31))</f>
        <v/>
      </c>
      <c r="BH31" s="56" t="str">
        <f>IF(U31&lt;&gt;"SÍ","",IF(C31="PERIMETRAL",BC31*AQ31*X31^2*1E-4*DATOS!$C$83/100/1000,0))</f>
        <v/>
      </c>
      <c r="BI31" s="56" t="str">
        <f>IF(U31&lt;&gt;"SÍ","",IF(C31="PERIMETRAL",MAX(MAX(AY31,BA31)*AQ31*X31^2*1E-4*DATOS!$C$83/100/1000,N(T31)),0))</f>
        <v/>
      </c>
      <c r="BJ31" s="63" t="str">
        <f>IF(U31&lt;&gt;"SÍ","",IF(C31&lt;&gt;"PERIMETRAL","—",IF(AND(N(S31)=0,N(T31)=0),"— (sin M⁻ del vecino)",IF(OR(AND(N(S31)&gt;0,ABS(MAX(AX31,AZ31)*AQ31*X31^2*1E-4*DATOS!$C$83/100/1000-N(S31))&gt;0.5*MIN(MAX(AX31,AZ31)*AQ31*X31^2*1E-4*DATOS!$C$83/100/1000,N(S31))),AND(N(T31)&gt;0,ABS(MAX(AY31,BA31)*AQ31*X31^2*1E-4*DATOS!$C$83/100/1000-N(T31))&gt;0.5*MIN(MAX(AY31,BA31)*AQ31*X31^2*1E-4*DATOS!$C$83/100/1000,N(T31)))),"FUERA: difieren &gt; 50 %"&amp;IF(AND(N(S31)&gt;0,ABS(MAX(AX31,AZ31)*AQ31*X31^2*1E-4*DATOS!$C$83/100/1000-N(S31))&gt;0.5*MIN(MAX(AX31,AZ31)*AQ31*X31^2*1E-4*DATOS!$C$83/100/1000,N(S31)))," ‖ corto","")&amp;IF(AND(N(T31)&gt;0,ABS(MAX(AY31,BA31)*AQ31*X31^2*1E-4*DATOS!$C$83/100/1000-N(T31))&gt;0.5*MIN(MAX(AY31,BA31)*AQ31*X31^2*1E-4*DATOS!$C$83/100/1000,N(T31)))," ‖ largo",""),"CUMPLE"))))</f>
        <v/>
      </c>
      <c r="BK31" s="58" t="str">
        <f>IF(U31&lt;&gt;"SÍ","",(DATOS!$C$82-AJ31-INDEX(TABLAS!$C$52:$C$58,MATCH(DATOS!$C$68,TABLAS!$B$52:$B$58,0))/2))</f>
        <v/>
      </c>
      <c r="BL31" s="58" t="str">
        <f>IF(U31&lt;&gt;"SÍ","",IF(IF(BF31&lt;=0,0,IF((1-2*BF31*1E5/(DATOS!$C$29*AG31*BK31^2*DATOS!$C$21))&lt;0,-1,IF((1-SQRT((1-2*BF31*1E5/(DATOS!$C$29*AG31*BK31^2*DATOS!$C$21))))*DATOS!$C$21*AG31*BK31/DATOS!$C$14&gt;DATOS!$C$99*AG31*BK31,-1,(1-SQRT((1-2*BF31*1E5/(DATOS!$C$29*AG31*BK31^2*DATOS!$C$21))))*DATOS!$C$21*AG31*BK31/DATOS!$C$14)))&lt;0,-1,MAX(IF(BF31&lt;=0,0,IF((1-2*BF31*1E5/(DATOS!$C$29*AG31*BK31^2*DATOS!$C$21))&lt;0,-1,IF((1-SQRT((1-2*BF31*1E5/(DATOS!$C$29*AG31*BK31^2*DATOS!$C$21))))*DATOS!$C$21*AG31*BK31/DATOS!$C$14&gt;DATOS!$C$99*AG31*BK31,-1,(1-SQRT((1-2*BF31*1E5/(DATOS!$C$29*AG31*BK31^2*DATOS!$C$21))))*DATOS!$C$21*AG31*BK31/DATOS!$C$14))),MIN(DATOS!$C$100*AC31*BK31,4/3*IF(BF31&lt;=0,0,IF((1-2*BF31*1E5/(DATOS!$C$29*AG31*BK31^2*DATOS!$C$21))&lt;0,-1,IF((1-SQRT((1-2*BF31*1E5/(DATOS!$C$29*AG31*BK31^2*DATOS!$C$21))))*DATOS!$C$21*AG31*BK31/DATOS!$C$14&gt;DATOS!$C$99*AG31*BK31,-1,(1-SQRT((1-2*BF31*1E5/(DATOS!$C$29*AG31*BK31^2*DATOS!$C$21))))*DATOS!$C$21*AG31*BK31/DATOS!$C$14)))))))</f>
        <v/>
      </c>
      <c r="BM31" s="64" t="str">
        <f>IF(U31&lt;&gt;"SÍ","",IF(AND(BL31&gt;=0,IF(MAX(DATOS!$C$71,CEILING(BL31/INDEX(TABLAS!$D$52:$D$58,MIN(MATCH(DATOS!$C$68,TABLAS!$B$52:$B$58,0)+0,7)),1))*INDEX(TABLAS!$D$52:$D$58,MIN(MATCH(DATOS!$C$68,TABLAS!$B$52:$B$58,0)+0,7))&gt;=4/3*IF(BF31&lt;=0,0,IF((1-2*BF31*1E5/(DATOS!$C$29*AG31*BK31^2*DATOS!$C$21))&lt;0,-1,IF((1-SQRT((1-2*BF31*1E5/(DATOS!$C$29*AG31*BK31^2*DATOS!$C$21))))*DATOS!$C$21*AG31*BK31/DATOS!$C$14&gt;DATOS!$C$99*AG31*BK31,-1,(1-SQRT((1-2*BF31*1E5/(DATOS!$C$29*AG31*BK31^2*DATOS!$C$21))))*DATOS!$C$21*AG31*BK31/DATOS!$C$14)))-0.0001,MAX(DATOS!$C$71,CEILING(BL31/INDEX(TABLAS!$D$52:$D$58,MIN(MATCH(DATOS!$C$68,TABLAS!$B$52:$B$58,0)+0,7)),1)),MAX(MAX(DATOS!$C$71,CEILING(BL31/INDEX(TABLAS!$D$52:$D$58,MIN(MATCH(DATOS!$C$68,TABLAS!$B$52:$B$58,0)+0,7)),1)),2))&lt;=MIN(DATOS!$C$70,INT(((AC31-2*AJ31)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31&gt;=0,IF(MAX(DATOS!$C$71,CEILING(BL31/INDEX(TABLAS!$D$52:$D$58,MIN(MATCH(DATOS!$C$68,TABLAS!$B$52:$B$58,0)+1,7)),1))*INDEX(TABLAS!$D$52:$D$58,MIN(MATCH(DATOS!$C$68,TABLAS!$B$52:$B$58,0)+1,7))&gt;=4/3*IF(BF31&lt;=0,0,IF((1-2*BF31*1E5/(DATOS!$C$29*AG31*BK31^2*DATOS!$C$21))&lt;0,-1,IF((1-SQRT((1-2*BF31*1E5/(DATOS!$C$29*AG31*BK31^2*DATOS!$C$21))))*DATOS!$C$21*AG31*BK31/DATOS!$C$14&gt;DATOS!$C$99*AG31*BK31,-1,(1-SQRT((1-2*BF31*1E5/(DATOS!$C$29*AG31*BK31^2*DATOS!$C$21))))*DATOS!$C$21*AG31*BK31/DATOS!$C$14)))-0.0001,MAX(DATOS!$C$71,CEILING(BL31/INDEX(TABLAS!$D$52:$D$58,MIN(MATCH(DATOS!$C$68,TABLAS!$B$52:$B$58,0)+1,7)),1)),MAX(MAX(DATOS!$C$71,CEILING(BL31/INDEX(TABLAS!$D$52:$D$58,MIN(MATCH(DATOS!$C$68,TABLAS!$B$52:$B$58,0)+1,7)),1)),2))&lt;=MIN(DATOS!$C$70,INT(((AC31-2*AJ31)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31&gt;=0,IF(MAX(DATOS!$C$71,CEILING(BL31/INDEX(TABLAS!$D$52:$D$58,MIN(MATCH(DATOS!$C$68,TABLAS!$B$52:$B$58,0)+2,7)),1))*INDEX(TABLAS!$D$52:$D$58,MIN(MATCH(DATOS!$C$68,TABLAS!$B$52:$B$58,0)+2,7))&gt;=4/3*IF(BF31&lt;=0,0,IF((1-2*BF31*1E5/(DATOS!$C$29*AG31*BK31^2*DATOS!$C$21))&lt;0,-1,IF((1-SQRT((1-2*BF31*1E5/(DATOS!$C$29*AG31*BK31^2*DATOS!$C$21))))*DATOS!$C$21*AG31*BK31/DATOS!$C$14&gt;DATOS!$C$99*AG31*BK31,-1,(1-SQRT((1-2*BF31*1E5/(DATOS!$C$29*AG31*BK31^2*DATOS!$C$21))))*DATOS!$C$21*AG31*BK31/DATOS!$C$14)))-0.0001,MAX(DATOS!$C$71,CEILING(BL31/INDEX(TABLAS!$D$52:$D$58,MIN(MATCH(DATOS!$C$68,TABLAS!$B$52:$B$58,0)+2,7)),1)),MAX(MAX(DATOS!$C$71,CEILING(BL31/INDEX(TABLAS!$D$52:$D$58,MIN(MATCH(DATOS!$C$68,TABLAS!$B$52:$B$58,0)+2,7)),1)),2))&lt;=MIN(DATOS!$C$70,INT(((AC31-2*AJ31)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31&gt;=0,IF(MAX(DATOS!$C$71,CEILING(BL31/INDEX(TABLAS!$D$52:$D$58,MIN(MATCH(DATOS!$C$68,TABLAS!$B$52:$B$58,0)+3,7)),1))*INDEX(TABLAS!$D$52:$D$58,MIN(MATCH(DATOS!$C$68,TABLAS!$B$52:$B$58,0)+3,7))&gt;=4/3*IF(BF31&lt;=0,0,IF((1-2*BF31*1E5/(DATOS!$C$29*AG31*BK31^2*DATOS!$C$21))&lt;0,-1,IF((1-SQRT((1-2*BF31*1E5/(DATOS!$C$29*AG31*BK31^2*DATOS!$C$21))))*DATOS!$C$21*AG31*BK31/DATOS!$C$14&gt;DATOS!$C$99*AG31*BK31,-1,(1-SQRT((1-2*BF31*1E5/(DATOS!$C$29*AG31*BK31^2*DATOS!$C$21))))*DATOS!$C$21*AG31*BK31/DATOS!$C$14)))-0.0001,MAX(DATOS!$C$71,CEILING(BL31/INDEX(TABLAS!$D$52:$D$58,MIN(MATCH(DATOS!$C$68,TABLAS!$B$52:$B$58,0)+3,7)),1)),MAX(MAX(DATOS!$C$71,CEILING(BL31/INDEX(TABLAS!$D$52:$D$58,MIN(MATCH(DATOS!$C$68,TABLAS!$B$52:$B$58,0)+3,7)),1)),2))&lt;=MIN(DATOS!$C$70,INT(((AC31-2*AJ31)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31&gt;=0,IF(MAX(DATOS!$C$71,CEILING(BL31/INDEX(TABLAS!$D$52:$D$58,MIN(MATCH(DATOS!$C$68,TABLAS!$B$52:$B$58,0)+4,7)),1))*INDEX(TABLAS!$D$52:$D$58,MIN(MATCH(DATOS!$C$68,TABLAS!$B$52:$B$58,0)+4,7))&gt;=4/3*IF(BF31&lt;=0,0,IF((1-2*BF31*1E5/(DATOS!$C$29*AG31*BK31^2*DATOS!$C$21))&lt;0,-1,IF((1-SQRT((1-2*BF31*1E5/(DATOS!$C$29*AG31*BK31^2*DATOS!$C$21))))*DATOS!$C$21*AG31*BK31/DATOS!$C$14&gt;DATOS!$C$99*AG31*BK31,-1,(1-SQRT((1-2*BF31*1E5/(DATOS!$C$29*AG31*BK31^2*DATOS!$C$21))))*DATOS!$C$21*AG31*BK31/DATOS!$C$14)))-0.0001,MAX(DATOS!$C$71,CEILING(BL31/INDEX(TABLAS!$D$52:$D$58,MIN(MATCH(DATOS!$C$68,TABLAS!$B$52:$B$58,0)+4,7)),1)),MAX(MAX(DATOS!$C$71,CEILING(BL31/INDEX(TABLAS!$D$52:$D$58,MIN(MATCH(DATOS!$C$68,TABLAS!$B$52:$B$58,0)+4,7)),1)),2))&lt;=MIN(DATOS!$C$70,INT(((AC31-2*AJ31)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31" s="59" t="str">
        <f>IF(U31&lt;&gt;"SÍ","",IF(BL31&lt;0,0,IF(MAX(DATOS!$C$71,CEILING(MAX(BL31,0)/INDEX(TABLAS!$D$52:$D$58,MATCH(BM31,TABLAS!$B$52:$B$58,0)),1))*INDEX(TABLAS!$D$52:$D$58,MATCH(BM31,TABLAS!$B$52:$B$58,0))&gt;=4/3*IF(BF31&lt;=0,0,IF((1-2*BF31*1E5/(DATOS!$C$29*AG31*BK31^2*DATOS!$C$21))&lt;0,-1,IF((1-SQRT((1-2*BF31*1E5/(DATOS!$C$29*AG31*BK31^2*DATOS!$C$21))))*DATOS!$C$21*AG31*BK31/DATOS!$C$14&gt;DATOS!$C$99*AG31*BK31,-1,(1-SQRT((1-2*BF31*1E5/(DATOS!$C$29*AG31*BK31^2*DATOS!$C$21))))*DATOS!$C$21*AG31*BK31/DATOS!$C$14)))-0.0001,MAX(DATOS!$C$71,CEILING(MAX(BL31,0)/INDEX(TABLAS!$D$52:$D$58,MATCH(BM31,TABLAS!$B$52:$B$58,0)),1)),MAX(MAX(DATOS!$C$71,CEILING(MAX(BL31,0)/INDEX(TABLAS!$D$52:$D$58,MATCH(BM31,TABLAS!$B$52:$B$58,0)),1)),2))))</f>
        <v/>
      </c>
      <c r="BO31" s="58" t="str">
        <f>IF(U31&lt;&gt;"SÍ","",DATOS!$C$82-AJ31-INDEX(TABLAS!$C$52:$C$58,MATCH(BM31,TABLAS!$B$52:$B$58,0))/2)</f>
        <v/>
      </c>
      <c r="BP31" s="56" t="str">
        <f>IF(U31&lt;&gt;"SÍ","",IF(BN31=0,0,DATOS!$C$29*BN31*INDEX(TABLAS!$D$52:$D$58,MATCH(BM31,TABLAS!$B$52:$B$58,0))*DATOS!$C$14*(BO31-BN31*INDEX(TABLAS!$D$52:$D$58,MATCH(BM31,TABLAS!$B$52:$B$58,0))*DATOS!$C$14/(DATOS!$C$21*AG31)/2)/1E5))</f>
        <v/>
      </c>
      <c r="BQ31" s="65" t="str">
        <f>IF(U31&lt;&gt;"SÍ","",IF(BL31&lt;0,9.99,IF(BP31&gt;0,BF31/BP31,0)))</f>
        <v/>
      </c>
      <c r="BR31" s="66" t="str">
        <f>IF(U31&lt;&gt;"SÍ","",IF(BN31=0,"—",0.003*(BO31-(BN31*INDEX(TABLAS!$D$52:$D$58,MATCH(BM31,TABLAS!$B$52:$B$58,0))*DATOS!$C$14/(DATOS!$C$21*AG31)/DATOS!$C$22))/(BN31*INDEX(TABLAS!$D$52:$D$58,MATCH(BM31,TABLAS!$B$52:$B$58,0))*DATOS!$C$14/(DATOS!$C$21*AG31)/DATOS!$C$22)))</f>
        <v/>
      </c>
      <c r="BS31" s="58" t="str">
        <f>IF(U31&lt;&gt;"SÍ","",((DATOS!$C$82-AL31-2*DATOS!$C$94-INDEX(TABLAS!$C$52:$C$58,MATCH(DATOS!$C$69,TABLAS!$B$52:$B$58,0))/2)-IF(AND((DATOS!$C$82-AL31-2*DATOS!$C$94-INDEX(TABLAS!$C$52:$C$58,MATCH(DATOS!$C$69,TABLAS!$B$52:$B$58,0))/2)&lt;=20,DATOS!$C$62&lt;&gt;"SÍ"),2,0)))</f>
        <v/>
      </c>
      <c r="BT31" s="58" t="str">
        <f>IF(U31&lt;&gt;"SÍ","",IF(IF(BG31&lt;=0,0,IF((1-2*BG31*1E5/(DATOS!$C$29*AE31*BS31^2*DATOS!$C$21))&lt;0,-1,IF((1-SQRT((1-2*BG31*1E5/(DATOS!$C$29*AE31*BS31^2*DATOS!$C$21))))*DATOS!$C$21*AE31*BS31/DATOS!$C$14&gt;DATOS!$C$99*AE31*BS31,-1,(1-SQRT((1-2*BG31*1E5/(DATOS!$C$29*AE31*BS31^2*DATOS!$C$21))))*DATOS!$C$21*AE31*BS31/DATOS!$C$14)))&lt;0,-1,MAX(IF(BG31&lt;=0,0,IF((1-2*BG31*1E5/(DATOS!$C$29*AE31*BS31^2*DATOS!$C$21))&lt;0,-1,IF((1-SQRT((1-2*BG31*1E5/(DATOS!$C$29*AE31*BS31^2*DATOS!$C$21))))*DATOS!$C$21*AE31*BS31/DATOS!$C$14&gt;DATOS!$C$99*AE31*BS31,-1,(1-SQRT((1-2*BG31*1E5/(DATOS!$C$29*AE31*BS31^2*DATOS!$C$21))))*DATOS!$C$21*AE31*BS31/DATOS!$C$14))),MIN(DATOS!$C$100*IF(C31="VOLADO",MIN(AG31,2*AC31),AC31)*BS31,4/3*IF(BG31&lt;=0,0,IF((1-2*BG31*1E5/(DATOS!$C$29*AE31*BS31^2*DATOS!$C$21))&lt;0,-1,IF((1-SQRT((1-2*BG31*1E5/(DATOS!$C$29*AE31*BS31^2*DATOS!$C$21))))*DATOS!$C$21*AE31*BS31/DATOS!$C$14&gt;DATOS!$C$99*AE31*BS31,-1,(1-SQRT((1-2*BG31*1E5/(DATOS!$C$29*AE31*BS31^2*DATOS!$C$21))))*DATOS!$C$21*AE31*BS31/DATOS!$C$14)))))))</f>
        <v/>
      </c>
      <c r="BU31" s="64" t="str">
        <f>IF(U31&lt;&gt;"SÍ","",IF(AND(BT31&gt;=0,IF(MAX(DATOS!$C$71,CEILING(BT31/INDEX(TABLAS!$D$52:$D$58,MIN(MATCH(DATOS!$C$69,TABLAS!$B$52:$B$58,0)+0,7)),1))*INDEX(TABLAS!$D$52:$D$58,MIN(MATCH(DATOS!$C$69,TABLAS!$B$52:$B$58,0)+0,7))&gt;=4/3*IF(BG31&lt;=0,0,IF((1-2*BG31*1E5/(DATOS!$C$29*AE31*BS31^2*DATOS!$C$21))&lt;0,-1,IF((1-SQRT((1-2*BG31*1E5/(DATOS!$C$29*AE31*BS31^2*DATOS!$C$21))))*DATOS!$C$21*AE31*BS31/DATOS!$C$14&gt;DATOS!$C$99*AE31*BS31,-1,(1-SQRT((1-2*BG31*1E5/(DATOS!$C$29*AE31*BS31^2*DATOS!$C$21))))*DATOS!$C$21*AE31*BS31/DATOS!$C$14)))-0.0001,MAX(DATOS!$C$71,CEILING(BT31/INDEX(TABLAS!$D$52:$D$58,MIN(MATCH(DATOS!$C$69,TABLAS!$B$52:$B$58,0)+0,7)),1)),MAX(MAX(DATOS!$C$71,CEILING(BT31/INDEX(TABLAS!$D$52:$D$58,MIN(MATCH(DATOS!$C$69,TABLAS!$B$52:$B$58,0)+0,7)),1)),2))&lt;=MIN(DATOS!$C$70,INT(((AC31-2*AK31)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31&gt;=0,IF(MAX(DATOS!$C$71,CEILING(BT31/INDEX(TABLAS!$D$52:$D$58,MIN(MATCH(DATOS!$C$69,TABLAS!$B$52:$B$58,0)+1,7)),1))*INDEX(TABLAS!$D$52:$D$58,MIN(MATCH(DATOS!$C$69,TABLAS!$B$52:$B$58,0)+1,7))&gt;=4/3*IF(BG31&lt;=0,0,IF((1-2*BG31*1E5/(DATOS!$C$29*AE31*BS31^2*DATOS!$C$21))&lt;0,-1,IF((1-SQRT((1-2*BG31*1E5/(DATOS!$C$29*AE31*BS31^2*DATOS!$C$21))))*DATOS!$C$21*AE31*BS31/DATOS!$C$14&gt;DATOS!$C$99*AE31*BS31,-1,(1-SQRT((1-2*BG31*1E5/(DATOS!$C$29*AE31*BS31^2*DATOS!$C$21))))*DATOS!$C$21*AE31*BS31/DATOS!$C$14)))-0.0001,MAX(DATOS!$C$71,CEILING(BT31/INDEX(TABLAS!$D$52:$D$58,MIN(MATCH(DATOS!$C$69,TABLAS!$B$52:$B$58,0)+1,7)),1)),MAX(MAX(DATOS!$C$71,CEILING(BT31/INDEX(TABLAS!$D$52:$D$58,MIN(MATCH(DATOS!$C$69,TABLAS!$B$52:$B$58,0)+1,7)),1)),2))&lt;=MIN(DATOS!$C$70,INT(((AC31-2*AK31)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31&gt;=0,IF(MAX(DATOS!$C$71,CEILING(BT31/INDEX(TABLAS!$D$52:$D$58,MIN(MATCH(DATOS!$C$69,TABLAS!$B$52:$B$58,0)+2,7)),1))*INDEX(TABLAS!$D$52:$D$58,MIN(MATCH(DATOS!$C$69,TABLAS!$B$52:$B$58,0)+2,7))&gt;=4/3*IF(BG31&lt;=0,0,IF((1-2*BG31*1E5/(DATOS!$C$29*AE31*BS31^2*DATOS!$C$21))&lt;0,-1,IF((1-SQRT((1-2*BG31*1E5/(DATOS!$C$29*AE31*BS31^2*DATOS!$C$21))))*DATOS!$C$21*AE31*BS31/DATOS!$C$14&gt;DATOS!$C$99*AE31*BS31,-1,(1-SQRT((1-2*BG31*1E5/(DATOS!$C$29*AE31*BS31^2*DATOS!$C$21))))*DATOS!$C$21*AE31*BS31/DATOS!$C$14)))-0.0001,MAX(DATOS!$C$71,CEILING(BT31/INDEX(TABLAS!$D$52:$D$58,MIN(MATCH(DATOS!$C$69,TABLAS!$B$52:$B$58,0)+2,7)),1)),MAX(MAX(DATOS!$C$71,CEILING(BT31/INDEX(TABLAS!$D$52:$D$58,MIN(MATCH(DATOS!$C$69,TABLAS!$B$52:$B$58,0)+2,7)),1)),2))&lt;=MIN(DATOS!$C$70,INT(((AC31-2*AK31)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31&gt;=0,IF(MAX(DATOS!$C$71,CEILING(BT31/INDEX(TABLAS!$D$52:$D$58,MIN(MATCH(DATOS!$C$69,TABLAS!$B$52:$B$58,0)+3,7)),1))*INDEX(TABLAS!$D$52:$D$58,MIN(MATCH(DATOS!$C$69,TABLAS!$B$52:$B$58,0)+3,7))&gt;=4/3*IF(BG31&lt;=0,0,IF((1-2*BG31*1E5/(DATOS!$C$29*AE31*BS31^2*DATOS!$C$21))&lt;0,-1,IF((1-SQRT((1-2*BG31*1E5/(DATOS!$C$29*AE31*BS31^2*DATOS!$C$21))))*DATOS!$C$21*AE31*BS31/DATOS!$C$14&gt;DATOS!$C$99*AE31*BS31,-1,(1-SQRT((1-2*BG31*1E5/(DATOS!$C$29*AE31*BS31^2*DATOS!$C$21))))*DATOS!$C$21*AE31*BS31/DATOS!$C$14)))-0.0001,MAX(DATOS!$C$71,CEILING(BT31/INDEX(TABLAS!$D$52:$D$58,MIN(MATCH(DATOS!$C$69,TABLAS!$B$52:$B$58,0)+3,7)),1)),MAX(MAX(DATOS!$C$71,CEILING(BT31/INDEX(TABLAS!$D$52:$D$58,MIN(MATCH(DATOS!$C$69,TABLAS!$B$52:$B$58,0)+3,7)),1)),2))&lt;=MIN(DATOS!$C$70,INT(((AC31-2*AK31)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31&gt;=0,IF(MAX(DATOS!$C$71,CEILING(BT31/INDEX(TABLAS!$D$52:$D$58,MIN(MATCH(DATOS!$C$69,TABLAS!$B$52:$B$58,0)+4,7)),1))*INDEX(TABLAS!$D$52:$D$58,MIN(MATCH(DATOS!$C$69,TABLAS!$B$52:$B$58,0)+4,7))&gt;=4/3*IF(BG31&lt;=0,0,IF((1-2*BG31*1E5/(DATOS!$C$29*AE31*BS31^2*DATOS!$C$21))&lt;0,-1,IF((1-SQRT((1-2*BG31*1E5/(DATOS!$C$29*AE31*BS31^2*DATOS!$C$21))))*DATOS!$C$21*AE31*BS31/DATOS!$C$14&gt;DATOS!$C$99*AE31*BS31,-1,(1-SQRT((1-2*BG31*1E5/(DATOS!$C$29*AE31*BS31^2*DATOS!$C$21))))*DATOS!$C$21*AE31*BS31/DATOS!$C$14)))-0.0001,MAX(DATOS!$C$71,CEILING(BT31/INDEX(TABLAS!$D$52:$D$58,MIN(MATCH(DATOS!$C$69,TABLAS!$B$52:$B$58,0)+4,7)),1)),MAX(MAX(DATOS!$C$71,CEILING(BT31/INDEX(TABLAS!$D$52:$D$58,MIN(MATCH(DATOS!$C$69,TABLAS!$B$52:$B$58,0)+4,7)),1)),2))&lt;=MIN(DATOS!$C$70,INT(((AC31-2*AK31)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31" s="59" t="str">
        <f>IF(U31&lt;&gt;"SÍ","",IF(BT31&lt;0,0,IF(MAX(DATOS!$C$71,CEILING(MAX(BT31,0)/INDEX(TABLAS!$D$52:$D$58,MATCH(BU31,TABLAS!$B$52:$B$58,0)),1))*INDEX(TABLAS!$D$52:$D$58,MATCH(BU31,TABLAS!$B$52:$B$58,0))&gt;=4/3*IF(BG31&lt;=0,0,IF((1-2*BG31*1E5/(DATOS!$C$29*AE31*BS31^2*DATOS!$C$21))&lt;0,-1,IF((1-SQRT((1-2*BG31*1E5/(DATOS!$C$29*AE31*BS31^2*DATOS!$C$21))))*DATOS!$C$21*AE31*BS31/DATOS!$C$14&gt;DATOS!$C$99*AE31*BS31,-1,(1-SQRT((1-2*BG31*1E5/(DATOS!$C$29*AE31*BS31^2*DATOS!$C$21))))*DATOS!$C$21*AE31*BS31/DATOS!$C$14)))-0.0001,MAX(DATOS!$C$71,CEILING(MAX(BT31,0)/INDEX(TABLAS!$D$52:$D$58,MATCH(BU31,TABLAS!$B$52:$B$58,0)),1)),MAX(MAX(DATOS!$C$71,CEILING(MAX(BT31,0)/INDEX(TABLAS!$D$52:$D$58,MATCH(BU31,TABLAS!$B$52:$B$58,0)),1)),2))))</f>
        <v/>
      </c>
      <c r="BW31" s="58" t="str">
        <f>IF(U31&lt;&gt;"SÍ","",((DATOS!$C$82-AL31-2*DATOS!$C$94-INDEX(TABLAS!$C$52:$C$58,MATCH(BU31,TABLAS!$B$52:$B$58,0))/2)-IF(AND((DATOS!$C$82-AL31-2*DATOS!$C$94-INDEX(TABLAS!$C$52:$C$58,MATCH(BU31,TABLAS!$B$52:$B$58,0))/2)&lt;=20,DATOS!$C$62&lt;&gt;"SÍ"),2,0)))</f>
        <v/>
      </c>
      <c r="BX31" s="56" t="str">
        <f>IF(U31&lt;&gt;"SÍ","",IF(BV31=0,0,DATOS!$C$29*BV31*INDEX(TABLAS!$D$52:$D$58,MATCH(BU31,TABLAS!$B$52:$B$58,0))*DATOS!$C$14*(BW31-BV31*INDEX(TABLAS!$D$52:$D$58,MATCH(BU31,TABLAS!$B$52:$B$58,0))*DATOS!$C$14/(DATOS!$C$21*AE31)/2)/1E5))</f>
        <v/>
      </c>
      <c r="BY31" s="65" t="str">
        <f>IF(U31&lt;&gt;"SÍ","",IF(BT31&lt;0,9.99,IF(BX31&gt;0,BG31/BX31,0)))</f>
        <v/>
      </c>
      <c r="BZ31" s="66" t="str">
        <f>IF(U31&lt;&gt;"SÍ","",IF(BV31=0,"—",0.003*(BW31-(BV31*INDEX(TABLAS!$D$52:$D$58,MATCH(BU31,TABLAS!$B$52:$B$58,0))*DATOS!$C$14/(DATOS!$C$21*AE31)/DATOS!$C$22))/(BV31*INDEX(TABLAS!$D$52:$D$58,MATCH(BU31,TABLAS!$B$52:$B$58,0))*DATOS!$C$14/(DATOS!$C$21*AE31)/DATOS!$C$22)))</f>
        <v/>
      </c>
      <c r="CA31" s="58" t="str">
        <f>IF(U31&lt;&gt;"SÍ","",(DATOS!$C$82-AJ31-INDEX(TABLAS!$C$52:$C$58,MATCH(DATOS!$C$68,TABLAS!$B$52:$B$58,0))-INDEX(TABLAS!$C$52:$C$58,MATCH(DATOS!$C$68,TABLAS!$B$52:$B$58,0))/2))</f>
        <v/>
      </c>
      <c r="CB31" s="58" t="str">
        <f>IF(U31&lt;&gt;"SÍ","",IF(IF(BH31&lt;=0,0,IF((1-2*BH31*1E5/(DATOS!$C$29*AH31*CA31^2*DATOS!$C$21))&lt;0,-1,IF((1-SQRT((1-2*BH31*1E5/(DATOS!$C$29*AH31*CA31^2*DATOS!$C$21))))*DATOS!$C$21*AH31*CA31/DATOS!$C$14&gt;DATOS!$C$99*AH31*CA31,-1,(1-SQRT((1-2*BH31*1E5/(DATOS!$C$29*AH31*CA31^2*DATOS!$C$21))))*DATOS!$C$21*AH31*CA31/DATOS!$C$14)))&lt;0,-1,MAX(IF(BH31&lt;=0,0,IF((1-2*BH31*1E5/(DATOS!$C$29*AH31*CA31^2*DATOS!$C$21))&lt;0,-1,IF((1-SQRT((1-2*BH31*1E5/(DATOS!$C$29*AH31*CA31^2*DATOS!$C$21))))*DATOS!$C$21*AH31*CA31/DATOS!$C$14&gt;DATOS!$C$99*AH31*CA31,-1,(1-SQRT((1-2*BH31*1E5/(DATOS!$C$29*AH31*CA31^2*DATOS!$C$21))))*DATOS!$C$21*AH31*CA31/DATOS!$C$14))),MIN(DATOS!$C$100*DATOS!$C$80*CA31,4/3*IF(BH31&lt;=0,0,IF((1-2*BH31*1E5/(DATOS!$C$29*AH31*CA31^2*DATOS!$C$21))&lt;0,-1,IF((1-SQRT((1-2*BH31*1E5/(DATOS!$C$29*AH31*CA31^2*DATOS!$C$21))))*DATOS!$C$21*AH31*CA31/DATOS!$C$14&gt;DATOS!$C$99*AH31*CA31,-1,(1-SQRT((1-2*BH31*1E5/(DATOS!$C$29*AH31*CA31^2*DATOS!$C$21))))*DATOS!$C$21*AH31*CA31/DATOS!$C$14)))))))</f>
        <v/>
      </c>
      <c r="CC31" s="64" t="str">
        <f>IF(U31&lt;&gt;"SÍ","",IF(AND(CB31&gt;=0,IF(MAX(DATOS!$C$71,CEILING(CB31/INDEX(TABLAS!$D$52:$D$58,MIN(MATCH(DATOS!$C$68,TABLAS!$B$52:$B$58,0)+0,7)),1))*INDEX(TABLAS!$D$52:$D$58,MIN(MATCH(DATOS!$C$68,TABLAS!$B$52:$B$58,0)+0,7))&gt;=4/3*IF(BH31&lt;=0,0,IF((1-2*BH31*1E5/(DATOS!$C$29*AH31*CA31^2*DATOS!$C$21))&lt;0,-1,IF((1-SQRT((1-2*BH31*1E5/(DATOS!$C$29*AH31*CA31^2*DATOS!$C$21))))*DATOS!$C$21*AH31*CA31/DATOS!$C$14&gt;DATOS!$C$99*AH31*CA31,-1,(1-SQRT((1-2*BH31*1E5/(DATOS!$C$29*AH31*CA31^2*DATOS!$C$21))))*DATOS!$C$21*AH31*CA31/DATOS!$C$14)))-0.0001,MAX(DATOS!$C$71,CEILING(CB31/INDEX(TABLAS!$D$52:$D$58,MIN(MATCH(DATOS!$C$68,TABLAS!$B$52:$B$58,0)+0,7)),1)),MAX(MAX(DATOS!$C$71,CEILING(CB31/INDEX(TABLAS!$D$52:$D$58,MIN(MATCH(DATOS!$C$68,TABLAS!$B$52:$B$58,0)+0,7)),1)),2))&lt;=MIN(DATOS!$C$70,INT(((DATOS!$C$80-2*AJ31)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31&gt;=0,IF(MAX(DATOS!$C$71,CEILING(CB31/INDEX(TABLAS!$D$52:$D$58,MIN(MATCH(DATOS!$C$68,TABLAS!$B$52:$B$58,0)+1,7)),1))*INDEX(TABLAS!$D$52:$D$58,MIN(MATCH(DATOS!$C$68,TABLAS!$B$52:$B$58,0)+1,7))&gt;=4/3*IF(BH31&lt;=0,0,IF((1-2*BH31*1E5/(DATOS!$C$29*AH31*CA31^2*DATOS!$C$21))&lt;0,-1,IF((1-SQRT((1-2*BH31*1E5/(DATOS!$C$29*AH31*CA31^2*DATOS!$C$21))))*DATOS!$C$21*AH31*CA31/DATOS!$C$14&gt;DATOS!$C$99*AH31*CA31,-1,(1-SQRT((1-2*BH31*1E5/(DATOS!$C$29*AH31*CA31^2*DATOS!$C$21))))*DATOS!$C$21*AH31*CA31/DATOS!$C$14)))-0.0001,MAX(DATOS!$C$71,CEILING(CB31/INDEX(TABLAS!$D$52:$D$58,MIN(MATCH(DATOS!$C$68,TABLAS!$B$52:$B$58,0)+1,7)),1)),MAX(MAX(DATOS!$C$71,CEILING(CB31/INDEX(TABLAS!$D$52:$D$58,MIN(MATCH(DATOS!$C$68,TABLAS!$B$52:$B$58,0)+1,7)),1)),2))&lt;=MIN(DATOS!$C$70,INT(((DATOS!$C$80-2*AJ31)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31&gt;=0,IF(MAX(DATOS!$C$71,CEILING(CB31/INDEX(TABLAS!$D$52:$D$58,MIN(MATCH(DATOS!$C$68,TABLAS!$B$52:$B$58,0)+2,7)),1))*INDEX(TABLAS!$D$52:$D$58,MIN(MATCH(DATOS!$C$68,TABLAS!$B$52:$B$58,0)+2,7))&gt;=4/3*IF(BH31&lt;=0,0,IF((1-2*BH31*1E5/(DATOS!$C$29*AH31*CA31^2*DATOS!$C$21))&lt;0,-1,IF((1-SQRT((1-2*BH31*1E5/(DATOS!$C$29*AH31*CA31^2*DATOS!$C$21))))*DATOS!$C$21*AH31*CA31/DATOS!$C$14&gt;DATOS!$C$99*AH31*CA31,-1,(1-SQRT((1-2*BH31*1E5/(DATOS!$C$29*AH31*CA31^2*DATOS!$C$21))))*DATOS!$C$21*AH31*CA31/DATOS!$C$14)))-0.0001,MAX(DATOS!$C$71,CEILING(CB31/INDEX(TABLAS!$D$52:$D$58,MIN(MATCH(DATOS!$C$68,TABLAS!$B$52:$B$58,0)+2,7)),1)),MAX(MAX(DATOS!$C$71,CEILING(CB31/INDEX(TABLAS!$D$52:$D$58,MIN(MATCH(DATOS!$C$68,TABLAS!$B$52:$B$58,0)+2,7)),1)),2))&lt;=MIN(DATOS!$C$70,INT(((DATOS!$C$80-2*AJ31)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31&gt;=0,IF(MAX(DATOS!$C$71,CEILING(CB31/INDEX(TABLAS!$D$52:$D$58,MIN(MATCH(DATOS!$C$68,TABLAS!$B$52:$B$58,0)+3,7)),1))*INDEX(TABLAS!$D$52:$D$58,MIN(MATCH(DATOS!$C$68,TABLAS!$B$52:$B$58,0)+3,7))&gt;=4/3*IF(BH31&lt;=0,0,IF((1-2*BH31*1E5/(DATOS!$C$29*AH31*CA31^2*DATOS!$C$21))&lt;0,-1,IF((1-SQRT((1-2*BH31*1E5/(DATOS!$C$29*AH31*CA31^2*DATOS!$C$21))))*DATOS!$C$21*AH31*CA31/DATOS!$C$14&gt;DATOS!$C$99*AH31*CA31,-1,(1-SQRT((1-2*BH31*1E5/(DATOS!$C$29*AH31*CA31^2*DATOS!$C$21))))*DATOS!$C$21*AH31*CA31/DATOS!$C$14)))-0.0001,MAX(DATOS!$C$71,CEILING(CB31/INDEX(TABLAS!$D$52:$D$58,MIN(MATCH(DATOS!$C$68,TABLAS!$B$52:$B$58,0)+3,7)),1)),MAX(MAX(DATOS!$C$71,CEILING(CB31/INDEX(TABLAS!$D$52:$D$58,MIN(MATCH(DATOS!$C$68,TABLAS!$B$52:$B$58,0)+3,7)),1)),2))&lt;=MIN(DATOS!$C$70,INT(((DATOS!$C$80-2*AJ31)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31&gt;=0,IF(MAX(DATOS!$C$71,CEILING(CB31/INDEX(TABLAS!$D$52:$D$58,MIN(MATCH(DATOS!$C$68,TABLAS!$B$52:$B$58,0)+4,7)),1))*INDEX(TABLAS!$D$52:$D$58,MIN(MATCH(DATOS!$C$68,TABLAS!$B$52:$B$58,0)+4,7))&gt;=4/3*IF(BH31&lt;=0,0,IF((1-2*BH31*1E5/(DATOS!$C$29*AH31*CA31^2*DATOS!$C$21))&lt;0,-1,IF((1-SQRT((1-2*BH31*1E5/(DATOS!$C$29*AH31*CA31^2*DATOS!$C$21))))*DATOS!$C$21*AH31*CA31/DATOS!$C$14&gt;DATOS!$C$99*AH31*CA31,-1,(1-SQRT((1-2*BH31*1E5/(DATOS!$C$29*AH31*CA31^2*DATOS!$C$21))))*DATOS!$C$21*AH31*CA31/DATOS!$C$14)))-0.0001,MAX(DATOS!$C$71,CEILING(CB31/INDEX(TABLAS!$D$52:$D$58,MIN(MATCH(DATOS!$C$68,TABLAS!$B$52:$B$58,0)+4,7)),1)),MAX(MAX(DATOS!$C$71,CEILING(CB31/INDEX(TABLAS!$D$52:$D$58,MIN(MATCH(DATOS!$C$68,TABLAS!$B$52:$B$58,0)+4,7)),1)),2))&lt;=MIN(DATOS!$C$70,INT(((DATOS!$C$80-2*AJ31)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31" s="59" t="str">
        <f>IF(U31&lt;&gt;"SÍ","",IF(CB31&lt;0,0,IF(MAX(DATOS!$C$71,CEILING(MAX(CB31,0)/INDEX(TABLAS!$D$52:$D$58,MATCH(CC31,TABLAS!$B$52:$B$58,0)),1))*INDEX(TABLAS!$D$52:$D$58,MATCH(CC31,TABLAS!$B$52:$B$58,0))&gt;=4/3*IF(BH31&lt;=0,0,IF((1-2*BH31*1E5/(DATOS!$C$29*AH31*CA31^2*DATOS!$C$21))&lt;0,-1,IF((1-SQRT((1-2*BH31*1E5/(DATOS!$C$29*AH31*CA31^2*DATOS!$C$21))))*DATOS!$C$21*AH31*CA31/DATOS!$C$14&gt;DATOS!$C$99*AH31*CA31,-1,(1-SQRT((1-2*BH31*1E5/(DATOS!$C$29*AH31*CA31^2*DATOS!$C$21))))*DATOS!$C$21*AH31*CA31/DATOS!$C$14)))-0.0001,MAX(DATOS!$C$71,CEILING(MAX(CB31,0)/INDEX(TABLAS!$D$52:$D$58,MATCH(CC31,TABLAS!$B$52:$B$58,0)),1)),MAX(MAX(DATOS!$C$71,CEILING(MAX(CB31,0)/INDEX(TABLAS!$D$52:$D$58,MATCH(CC31,TABLAS!$B$52:$B$58,0)),1)),2))))</f>
        <v/>
      </c>
      <c r="CE31" s="58" t="str">
        <f>IF(U31&lt;&gt;"SÍ","",DATOS!$C$82-AJ31-INDEX(TABLAS!$C$52:$C$58,MATCH(BM31,TABLAS!$B$52:$B$58,0))-INDEX(TABLAS!$C$52:$C$58,MATCH(CC31,TABLAS!$B$52:$B$58,0))/2)</f>
        <v/>
      </c>
      <c r="CF31" s="56" t="str">
        <f>IF(U31&lt;&gt;"SÍ","",IF(CD31=0,0,DATOS!$C$29*CD31*INDEX(TABLAS!$D$52:$D$58,MATCH(CC31,TABLAS!$B$52:$B$58,0))*DATOS!$C$14*(CE31-CD31*INDEX(TABLAS!$D$52:$D$58,MATCH(CC31,TABLAS!$B$52:$B$58,0))*DATOS!$C$14/(DATOS!$C$21*AH31)/2)/1E5))</f>
        <v/>
      </c>
      <c r="CG31" s="65" t="str">
        <f>IF(U31&lt;&gt;"SÍ","",IF(CB31&lt;0,9.99,IF(CF31&gt;0,BH31/CF31,0)))</f>
        <v/>
      </c>
      <c r="CH31" s="66" t="str">
        <f>IF(U31&lt;&gt;"SÍ","",IF(CD31=0,"—",0.003*(CE31-(CD31*INDEX(TABLAS!$D$52:$D$58,MATCH(CC31,TABLAS!$B$52:$B$58,0))*DATOS!$C$14/(DATOS!$C$21*AH31)/DATOS!$C$22))/(CD31*INDEX(TABLAS!$D$52:$D$58,MATCH(CC31,TABLAS!$B$52:$B$58,0))*DATOS!$C$14/(DATOS!$C$21*AH31)/DATOS!$C$22)))</f>
        <v/>
      </c>
      <c r="CI31" s="58" t="str">
        <f>IF(U31&lt;&gt;"SÍ","",((DATOS!$C$82-AL31-2*DATOS!$C$94-INDEX(TABLAS!$C$52:$C$58,MATCH(DATOS!$C$69,TABLAS!$B$52:$B$58,0))-INDEX(TABLAS!$C$52:$C$58,MATCH(DATOS!$C$69,TABLAS!$B$52:$B$58,0))/2)-IF(AND((DATOS!$C$82-AL31-2*DATOS!$C$94-INDEX(TABLAS!$C$52:$C$58,MATCH(DATOS!$C$69,TABLAS!$B$52:$B$58,0))-INDEX(TABLAS!$C$52:$C$58,MATCH(DATOS!$C$69,TABLAS!$B$52:$B$58,0))/2)&lt;=20,DATOS!$C$62&lt;&gt;"SÍ"),2,0)))</f>
        <v/>
      </c>
      <c r="CJ31" s="58" t="str">
        <f>IF(U31&lt;&gt;"SÍ","",IF(IF(BI31&lt;=0,0,IF((1-2*BI31*1E5/(DATOS!$C$29*AF31*CI31^2*DATOS!$C$21))&lt;0,-1,IF((1-SQRT((1-2*BI31*1E5/(DATOS!$C$29*AF31*CI31^2*DATOS!$C$21))))*DATOS!$C$21*AF31*CI31/DATOS!$C$14&gt;DATOS!$C$99*AF31*CI31,-1,(1-SQRT((1-2*BI31*1E5/(DATOS!$C$29*AF31*CI31^2*DATOS!$C$21))))*DATOS!$C$21*AF31*CI31/DATOS!$C$14)))&lt;0,-1,MAX(IF(BI31&lt;=0,0,IF((1-2*BI31*1E5/(DATOS!$C$29*AF31*CI31^2*DATOS!$C$21))&lt;0,-1,IF((1-SQRT((1-2*BI31*1E5/(DATOS!$C$29*AF31*CI31^2*DATOS!$C$21))))*DATOS!$C$21*AF31*CI31/DATOS!$C$14&gt;DATOS!$C$99*AF31*CI31,-1,(1-SQRT((1-2*BI31*1E5/(DATOS!$C$29*AF31*CI31^2*DATOS!$C$21))))*DATOS!$C$21*AF31*CI31/DATOS!$C$14))),MIN(DATOS!$C$100*DATOS!$C$80*CI31,4/3*IF(BI31&lt;=0,0,IF((1-2*BI31*1E5/(DATOS!$C$29*AF31*CI31^2*DATOS!$C$21))&lt;0,-1,IF((1-SQRT((1-2*BI31*1E5/(DATOS!$C$29*AF31*CI31^2*DATOS!$C$21))))*DATOS!$C$21*AF31*CI31/DATOS!$C$14&gt;DATOS!$C$99*AF31*CI31,-1,(1-SQRT((1-2*BI31*1E5/(DATOS!$C$29*AF31*CI31^2*DATOS!$C$21))))*DATOS!$C$21*AF31*CI31/DATOS!$C$14)))))))</f>
        <v/>
      </c>
      <c r="CK31" s="64" t="str">
        <f>IF(U31&lt;&gt;"SÍ","",IF(AND(CJ31&gt;=0,IF(MAX(DATOS!$C$71,CEILING(CJ31/INDEX(TABLAS!$D$52:$D$58,MIN(MATCH(DATOS!$C$69,TABLAS!$B$52:$B$58,0)+0,7)),1))*INDEX(TABLAS!$D$52:$D$58,MIN(MATCH(DATOS!$C$69,TABLAS!$B$52:$B$58,0)+0,7))&gt;=4/3*IF(BI31&lt;=0,0,IF((1-2*BI31*1E5/(DATOS!$C$29*AF31*CI31^2*DATOS!$C$21))&lt;0,-1,IF((1-SQRT((1-2*BI31*1E5/(DATOS!$C$29*AF31*CI31^2*DATOS!$C$21))))*DATOS!$C$21*AF31*CI31/DATOS!$C$14&gt;DATOS!$C$99*AF31*CI31,-1,(1-SQRT((1-2*BI31*1E5/(DATOS!$C$29*AF31*CI31^2*DATOS!$C$21))))*DATOS!$C$21*AF31*CI31/DATOS!$C$14)))-0.0001,MAX(DATOS!$C$71,CEILING(CJ31/INDEX(TABLAS!$D$52:$D$58,MIN(MATCH(DATOS!$C$69,TABLAS!$B$52:$B$58,0)+0,7)),1)),MAX(MAX(DATOS!$C$71,CEILING(CJ31/INDEX(TABLAS!$D$52:$D$58,MIN(MATCH(DATOS!$C$69,TABLAS!$B$52:$B$58,0)+0,7)),1)),2))&lt;=MIN(DATOS!$C$70,INT(((DATOS!$C$80-2*AK31)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31&gt;=0,IF(MAX(DATOS!$C$71,CEILING(CJ31/INDEX(TABLAS!$D$52:$D$58,MIN(MATCH(DATOS!$C$69,TABLAS!$B$52:$B$58,0)+1,7)),1))*INDEX(TABLAS!$D$52:$D$58,MIN(MATCH(DATOS!$C$69,TABLAS!$B$52:$B$58,0)+1,7))&gt;=4/3*IF(BI31&lt;=0,0,IF((1-2*BI31*1E5/(DATOS!$C$29*AF31*CI31^2*DATOS!$C$21))&lt;0,-1,IF((1-SQRT((1-2*BI31*1E5/(DATOS!$C$29*AF31*CI31^2*DATOS!$C$21))))*DATOS!$C$21*AF31*CI31/DATOS!$C$14&gt;DATOS!$C$99*AF31*CI31,-1,(1-SQRT((1-2*BI31*1E5/(DATOS!$C$29*AF31*CI31^2*DATOS!$C$21))))*DATOS!$C$21*AF31*CI31/DATOS!$C$14)))-0.0001,MAX(DATOS!$C$71,CEILING(CJ31/INDEX(TABLAS!$D$52:$D$58,MIN(MATCH(DATOS!$C$69,TABLAS!$B$52:$B$58,0)+1,7)),1)),MAX(MAX(DATOS!$C$71,CEILING(CJ31/INDEX(TABLAS!$D$52:$D$58,MIN(MATCH(DATOS!$C$69,TABLAS!$B$52:$B$58,0)+1,7)),1)),2))&lt;=MIN(DATOS!$C$70,INT(((DATOS!$C$80-2*AK31)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31&gt;=0,IF(MAX(DATOS!$C$71,CEILING(CJ31/INDEX(TABLAS!$D$52:$D$58,MIN(MATCH(DATOS!$C$69,TABLAS!$B$52:$B$58,0)+2,7)),1))*INDEX(TABLAS!$D$52:$D$58,MIN(MATCH(DATOS!$C$69,TABLAS!$B$52:$B$58,0)+2,7))&gt;=4/3*IF(BI31&lt;=0,0,IF((1-2*BI31*1E5/(DATOS!$C$29*AF31*CI31^2*DATOS!$C$21))&lt;0,-1,IF((1-SQRT((1-2*BI31*1E5/(DATOS!$C$29*AF31*CI31^2*DATOS!$C$21))))*DATOS!$C$21*AF31*CI31/DATOS!$C$14&gt;DATOS!$C$99*AF31*CI31,-1,(1-SQRT((1-2*BI31*1E5/(DATOS!$C$29*AF31*CI31^2*DATOS!$C$21))))*DATOS!$C$21*AF31*CI31/DATOS!$C$14)))-0.0001,MAX(DATOS!$C$71,CEILING(CJ31/INDEX(TABLAS!$D$52:$D$58,MIN(MATCH(DATOS!$C$69,TABLAS!$B$52:$B$58,0)+2,7)),1)),MAX(MAX(DATOS!$C$71,CEILING(CJ31/INDEX(TABLAS!$D$52:$D$58,MIN(MATCH(DATOS!$C$69,TABLAS!$B$52:$B$58,0)+2,7)),1)),2))&lt;=MIN(DATOS!$C$70,INT(((DATOS!$C$80-2*AK31)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31&gt;=0,IF(MAX(DATOS!$C$71,CEILING(CJ31/INDEX(TABLAS!$D$52:$D$58,MIN(MATCH(DATOS!$C$69,TABLAS!$B$52:$B$58,0)+3,7)),1))*INDEX(TABLAS!$D$52:$D$58,MIN(MATCH(DATOS!$C$69,TABLAS!$B$52:$B$58,0)+3,7))&gt;=4/3*IF(BI31&lt;=0,0,IF((1-2*BI31*1E5/(DATOS!$C$29*AF31*CI31^2*DATOS!$C$21))&lt;0,-1,IF((1-SQRT((1-2*BI31*1E5/(DATOS!$C$29*AF31*CI31^2*DATOS!$C$21))))*DATOS!$C$21*AF31*CI31/DATOS!$C$14&gt;DATOS!$C$99*AF31*CI31,-1,(1-SQRT((1-2*BI31*1E5/(DATOS!$C$29*AF31*CI31^2*DATOS!$C$21))))*DATOS!$C$21*AF31*CI31/DATOS!$C$14)))-0.0001,MAX(DATOS!$C$71,CEILING(CJ31/INDEX(TABLAS!$D$52:$D$58,MIN(MATCH(DATOS!$C$69,TABLAS!$B$52:$B$58,0)+3,7)),1)),MAX(MAX(DATOS!$C$71,CEILING(CJ31/INDEX(TABLAS!$D$52:$D$58,MIN(MATCH(DATOS!$C$69,TABLAS!$B$52:$B$58,0)+3,7)),1)),2))&lt;=MIN(DATOS!$C$70,INT(((DATOS!$C$80-2*AK31)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31&gt;=0,IF(MAX(DATOS!$C$71,CEILING(CJ31/INDEX(TABLAS!$D$52:$D$58,MIN(MATCH(DATOS!$C$69,TABLAS!$B$52:$B$58,0)+4,7)),1))*INDEX(TABLAS!$D$52:$D$58,MIN(MATCH(DATOS!$C$69,TABLAS!$B$52:$B$58,0)+4,7))&gt;=4/3*IF(BI31&lt;=0,0,IF((1-2*BI31*1E5/(DATOS!$C$29*AF31*CI31^2*DATOS!$C$21))&lt;0,-1,IF((1-SQRT((1-2*BI31*1E5/(DATOS!$C$29*AF31*CI31^2*DATOS!$C$21))))*DATOS!$C$21*AF31*CI31/DATOS!$C$14&gt;DATOS!$C$99*AF31*CI31,-1,(1-SQRT((1-2*BI31*1E5/(DATOS!$C$29*AF31*CI31^2*DATOS!$C$21))))*DATOS!$C$21*AF31*CI31/DATOS!$C$14)))-0.0001,MAX(DATOS!$C$71,CEILING(CJ31/INDEX(TABLAS!$D$52:$D$58,MIN(MATCH(DATOS!$C$69,TABLAS!$B$52:$B$58,0)+4,7)),1)),MAX(MAX(DATOS!$C$71,CEILING(CJ31/INDEX(TABLAS!$D$52:$D$58,MIN(MATCH(DATOS!$C$69,TABLAS!$B$52:$B$58,0)+4,7)),1)),2))&lt;=MIN(DATOS!$C$70,INT(((DATOS!$C$80-2*AK31)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31" s="59" t="str">
        <f>IF(U31&lt;&gt;"SÍ","",IF(CJ31&lt;0,0,IF(MAX(DATOS!$C$71,CEILING(MAX(CJ31,0)/INDEX(TABLAS!$D$52:$D$58,MATCH(CK31,TABLAS!$B$52:$B$58,0)),1))*INDEX(TABLAS!$D$52:$D$58,MATCH(CK31,TABLAS!$B$52:$B$58,0))&gt;=4/3*IF(BI31&lt;=0,0,IF((1-2*BI31*1E5/(DATOS!$C$29*AF31*CI31^2*DATOS!$C$21))&lt;0,-1,IF((1-SQRT((1-2*BI31*1E5/(DATOS!$C$29*AF31*CI31^2*DATOS!$C$21))))*DATOS!$C$21*AF31*CI31/DATOS!$C$14&gt;DATOS!$C$99*AF31*CI31,-1,(1-SQRT((1-2*BI31*1E5/(DATOS!$C$29*AF31*CI31^2*DATOS!$C$21))))*DATOS!$C$21*AF31*CI31/DATOS!$C$14)))-0.0001,MAX(DATOS!$C$71,CEILING(MAX(CJ31,0)/INDEX(TABLAS!$D$52:$D$58,MATCH(CK31,TABLAS!$B$52:$B$58,0)),1)),MAX(MAX(DATOS!$C$71,CEILING(MAX(CJ31,0)/INDEX(TABLAS!$D$52:$D$58,MATCH(CK31,TABLAS!$B$52:$B$58,0)),1)),2))))</f>
        <v/>
      </c>
      <c r="CM31" s="58" t="str">
        <f>IF(U31&lt;&gt;"SÍ","",((DATOS!$C$82-AL31-2*DATOS!$C$94-INDEX(TABLAS!$C$52:$C$58,MATCH(BU31,TABLAS!$B$52:$B$58,0))-INDEX(TABLAS!$C$52:$C$58,MATCH(CK31,TABLAS!$B$52:$B$58,0))/2)-IF(AND((DATOS!$C$82-AL31-2*DATOS!$C$94-INDEX(TABLAS!$C$52:$C$58,MATCH(BU31,TABLAS!$B$52:$B$58,0))-INDEX(TABLAS!$C$52:$C$58,MATCH(CK31,TABLAS!$B$52:$B$58,0))/2)&lt;=20,DATOS!$C$62&lt;&gt;"SÍ"),2,0)))</f>
        <v/>
      </c>
      <c r="CN31" s="56" t="str">
        <f>IF(U31&lt;&gt;"SÍ","",IF(CL31=0,0,DATOS!$C$29*CL31*INDEX(TABLAS!$D$52:$D$58,MATCH(CK31,TABLAS!$B$52:$B$58,0))*DATOS!$C$14*(CM31-CL31*INDEX(TABLAS!$D$52:$D$58,MATCH(CK31,TABLAS!$B$52:$B$58,0))*DATOS!$C$14/(DATOS!$C$21*AF31)/2)/1E5))</f>
        <v/>
      </c>
      <c r="CO31" s="65" t="str">
        <f>IF(U31&lt;&gt;"SÍ","",IF(CJ31&lt;0,9.99,IF(CN31&gt;0,BI31/CN31,0)))</f>
        <v/>
      </c>
      <c r="CP31" s="66" t="str">
        <f>IF(U31&lt;&gt;"SÍ","",IF(CL31=0,"—",0.003*(CM31-(CL31*INDEX(TABLAS!$D$52:$D$58,MATCH(CK31,TABLAS!$B$52:$B$58,0))*DATOS!$C$14/(DATOS!$C$21*AF31)/DATOS!$C$22))/(CL31*INDEX(TABLAS!$D$52:$D$58,MATCH(CK31,TABLAS!$B$52:$B$58,0))*DATOS!$C$14/(DATOS!$C$21*AF31)/DATOS!$C$22)))</f>
        <v/>
      </c>
      <c r="CQ31" s="56" t="str">
        <f>IF(U31&lt;&gt;"SÍ","",IF(C31="PERIMETRAL",MAX(0,(AA31/2-BW31)/100)*(0.95-0.5*Z31)*AQ31*IF(AND(AR31&gt;0,AR31&lt;4),DATOS!$C$33,1)*DATOS!$C$83/100/1000,(AQ31*MAX(0,AA31-BW31)/100+DATOS!$C$26*N(O31))*DATOS!$C$83/100/1000+BE31))</f>
        <v/>
      </c>
      <c r="CR31" s="56" t="str">
        <f>IF(U31&lt;&gt;"SÍ","",DATOS!$C$30*2*MIN(1,SQRT(2/(1+0.04*BW31)))*(BV31*INDEX(TABLAS!$D$52:$D$58,MATCH(BU31,TABLAS!$B$52:$B$58,0))/(AE31*BW31))^(1/3)*SQRT(DATOS!$C$13)*AE31*BW31*IF(AI31="SÍ",DATOS!$C$32,1)/1000)</f>
        <v/>
      </c>
      <c r="CS31" s="59" t="str">
        <f>IF(U31&lt;&gt;"SÍ","",IF(CQ31&lt;=CR31,0,CEILING(MAX(0,IF(C31="VOLADO",(AA31-((CR31-BE31)*1E5/DATOS!$C$83-DATOS!$C$26*N(O31))*100/AQ31),IF(CR31&lt;=0,AA31,AA31/2-CR31/MAX(CQ31,1E-9)*(AA31/2-BW31)))-IF(INT((X31*100-DATOS!$C$84+DATOS!$C$80)/DATOS!$C$83)&gt;0,(X31*100-DATOS!$C$84-(INT((X31*100-DATOS!$C$84+DATOS!$C$80)/DATOS!$C$83)*DATOS!$C$78+(INT((X31*100-DATOS!$C$84+DATOS!$C$80)/DATOS!$C$83)-1)*DATOS!$C$80))/2,X31*100/2))/DATOS!$C$83,1)))</f>
        <v/>
      </c>
      <c r="CT31" s="67" t="str">
        <f>IF(U31&lt;&gt;"SÍ","",IF(CQ31&lt;=CR31,"CUMPLE",IF(CS31&lt;=0,"CUMPLE (basta el macizo de orilla)",IF(CS31*DATOS!$C$83*IF(C31="VOLADO",1,2)&gt;=X31*100-DATOS!$C$84,"NO CUMPLE: no alcanza ni macizando todo","MACIZAR "&amp;CS31&amp;" hilera(s)"))))</f>
        <v/>
      </c>
      <c r="CU31" s="58" t="str">
        <f>IF(U31&lt;&gt;"SÍ","",(DATOS!$C$83*DATOS!$C$81^2/2+AC31*DATOS!$C$79*(DATOS!$C$81+DATOS!$C$79/2))/(DATOS!$C$83*DATOS!$C$81+AC31*DATOS!$C$79))</f>
        <v/>
      </c>
      <c r="CV31" s="68" t="str">
        <f>IF(U31&lt;&gt;"SÍ","",DATOS!$C$83*DATOS!$C$81^3/12+DATOS!$C$83*DATOS!$C$81*(CU31-DATOS!$C$81/2)^2+AC31*DATOS!$C$79^3/12+AC31*DATOS!$C$79*(DATOS!$C$81+DATOS!$C$79/2-CU31)^2)</f>
        <v/>
      </c>
      <c r="CW31" s="58" t="str">
        <f>IF(U31&lt;&gt;"SÍ","",(12*CV31/DATOS!$C$83)^(1/3))</f>
        <v/>
      </c>
      <c r="CX31" s="58" t="str">
        <f>IF(U31&lt;&gt;"SÍ","",IF(C31="PERIMETRAL",IF(ISNUMBER(R31),R31,DATOS!$C$101),0))</f>
        <v/>
      </c>
      <c r="CY31" s="57" t="str">
        <f>IF(U31&lt;&gt;"SÍ","",IF(C31="PERIMETRAL",IF(CX31&gt;2,MAX(9,AB31*(0.8+DATOS!$C$14/14000)/(36+9*(AB31/MAX(AA31,1)))),IF(CX31&gt;0.2,MAX(13,AB31*(0.8+DATOS!$C$14/14000)/(36+5*(AB31/MAX(AA31,1))*(CX31-0.2))),MAX(13,AB31/IF(AR31&gt;0,30,33))))*IF(AND(CX31&gt;0.2,AR31&gt;0,DATOS!$C$102="NO"),1.1,1),X31*100/8))</f>
        <v/>
      </c>
      <c r="CZ31" s="61" t="str">
        <f>IF(U31&lt;&gt;"SÍ","",IF(IF(C31="VOLADO",DATOS!$C$82,CW31)&gt;=CY31,"CUMPLE",IF(C31="VOLADO","NO CUMPLE","CALCULAR FLECHA")))</f>
        <v/>
      </c>
      <c r="DA31" s="55" t="str">
        <f>IF(U31&lt;&gt;"SÍ","",IF(DATOS!$C$81&gt;=IF(IF(C31="VOLADO",X31,Y31)&gt;=6,6,5),"CUMPLE","CAPA ≥ 6 cm"))</f>
        <v/>
      </c>
      <c r="DB31" s="60" t="str">
        <f>IF(U31&lt;&gt;"SÍ","",IF(C31="VOLADO",MIN(CEILING(IF(ISNUMBER(P31),P31,X31)*100,5),CEILING(MAX(IF((0.5*(0.9*DATOS!$C$87*DATOS!$C$83/100/1000)*IF(ISNUMBER(P31),P31,X31)+BG31/IF(ISNUMBER(P31),P31,X31))^2-4*(0.5*(0.9*DATOS!$C$87*DATOS!$C$83/100/1000))*BG31&lt;0,IF(ISNUMBER(P31),P31,X31),MIN(IF(ISNUMBER(P31),P31,X31),((0.5*(0.9*DATOS!$C$87*DATOS!$C$83/100/1000)*IF(ISNUMBER(P31),P31,X31)+BG31/IF(ISNUMBER(P31),P31,X31))-SQRT((0.5*(0.9*DATOS!$C$87*DATOS!$C$83/100/1000)*IF(ISNUMBER(P31),P31,X31)+BG31/IF(ISNUMBER(P31),P31,X31))^2-4*(0.5*(0.9*DATOS!$C$87*DATOS!$C$83/100/1000))*BG31))/(2*(0.5*(0.9*DATOS!$C$87*DATOS!$C$83/100/1000)))))*100+MAX(BW31,12*INDEX(TABLAS!$C$52:$C$58,MATCH(BU31,TABLAS!$B$52:$B$58,0)),IF(ISNUMBER(P31),P31,X31)*100/16),IF(OR(AK31&lt;INDEX(TABLAS!$C$52:$C$58,MATCH(BU31,TABLAS!$B$52:$B$58,0)),AND(BV31&gt;=2,(AC31-2*AK31-BV31*INDEX(TABLAS!$C$52:$C$58,MATCH(BU31,TABLAS!$B$52:$B$58,0)))/MAX(BV31-1,1)&lt;2*INDEX(TABLAS!$C$52:$C$58,MATCH(BU31,TABLAS!$B$52:$B$58,0)))),INDEX(TABLAS!$I$52:$I$58,MATCH(BU31,TABLAS!$B$52:$B$58,0)),INDEX(TABLAS!$F$52:$F$58,MATCH(BU31,TABLAS!$B$52:$B$58,0)))),5)),IF(((4*((BB31*AQ31*X31^2*1E-4*DATOS!$C$83/100/1000)+((MAX(AX31,AZ31)*AQ31*X31^2*1E-4*DATOS!$C$83/100/1000)+(IF(AND(AX31&gt;0,AZ31&gt;0),MIN(AX31,AZ31),MAX(AX31,AZ31))*AQ31*X31^2*1E-4*DATOS!$C$83/100/1000))/2)+BG31-(IF(AND(AX31&gt;0,AZ31&gt;0),MIN(AX31,AZ31),MAX(AX31,AZ31))*AQ31*X31^2*1E-4*DATOS!$C$83/100/1000))^2-16*((BB31*AQ31*X31^2*1E-4*DATOS!$C$83/100/1000)+((MAX(AX31,AZ31)*AQ31*X31^2*1E-4*DATOS!$C$83/100/1000)+(IF(AND(AX31&gt;0,AZ31&gt;0),MIN(AX31,AZ31),MAX(AX31,AZ31))*AQ31*X31^2*1E-4*DATOS!$C$83/100/1000))/2)*BG31)&lt;0,CEILING(AA31,5),CEILING(MAX(AA31*((4*((BB31*AQ31*X31^2*1E-4*DATOS!$C$83/100/1000)+((MAX(AX31,AZ31)*AQ31*X31^2*1E-4*DATOS!$C$83/100/1000)+(IF(AND(AX31&gt;0,AZ31&gt;0),MIN(AX31,AZ31),MAX(AX31,AZ31))*AQ31*X31^2*1E-4*DATOS!$C$83/100/1000))/2)+BG31-(IF(AND(AX31&gt;0,AZ31&gt;0),MIN(AX31,AZ31),MAX(AX31,AZ31))*AQ31*X31^2*1E-4*DATOS!$C$83/100/1000))-SQRT(MAX(0,((4*((BB31*AQ31*X31^2*1E-4*DATOS!$C$83/100/1000)+((MAX(AX31,AZ31)*AQ31*X31^2*1E-4*DATOS!$C$83/100/1000)+(IF(AND(AX31&gt;0,AZ31&gt;0),MIN(AX31,AZ31),MAX(AX31,AZ31))*AQ31*X31^2*1E-4*DATOS!$C$83/100/1000))/2)+BG31-(IF(AND(AX31&gt;0,AZ31&gt;0),MIN(AX31,AZ31),MAX(AX31,AZ31))*AQ31*X31^2*1E-4*DATOS!$C$83/100/1000))^2-16*((BB31*AQ31*X31^2*1E-4*DATOS!$C$83/100/1000)+((MAX(AX31,AZ31)*AQ31*X31^2*1E-4*DATOS!$C$83/100/1000)+(IF(AND(AX31&gt;0,AZ31&gt;0),MIN(AX31,AZ31),MAX(AX31,AZ31))*AQ31*X31^2*1E-4*DATOS!$C$83/100/1000))/2)*BG31))))/(8*MAX(((BB31*AQ31*X31^2*1E-4*DATOS!$C$83/100/1000)+((MAX(AX31,AZ31)*AQ31*X31^2*1E-4*DATOS!$C$83/100/1000)+(IF(AND(AX31&gt;0,AZ31&gt;0),MIN(AX31,AZ31),MAX(AX31,AZ31))*AQ31*X31^2*1E-4*DATOS!$C$83/100/1000))/2),1E-9))+MAX(BW31,12*INDEX(TABLAS!$C$52:$C$58,MATCH(BU31,TABLAS!$B$52:$B$58,0)),AA31/16),IF(OR(AK31&lt;INDEX(TABLAS!$C$52:$C$58,MATCH(BU31,TABLAS!$B$52:$B$58,0)),AND(BV31&gt;=2,(AC31-2*AK31-BV31*INDEX(TABLAS!$C$52:$C$58,MATCH(BU31,TABLAS!$B$52:$B$58,0)))/MAX(BV31-1,1)&lt;2*INDEX(TABLAS!$C$52:$C$58,MATCH(BU31,TABLAS!$B$52:$B$58,0)))),INDEX(TABLAS!$I$52:$I$58,MATCH(BU31,TABLAS!$B$52:$B$58,0)),INDEX(TABLAS!$F$52:$F$58,MATCH(BU31,TABLAS!$B$52:$B$58,0)))),5))))</f>
        <v/>
      </c>
      <c r="DC31" s="60" t="str">
        <f>IF(U31&lt;&gt;"SÍ","",IF(C31="VOLADO",0,IF(((4*((BC31*AQ31*X31^2*1E-4*DATOS!$C$83/100/1000)+((MAX(AY31,BA31)*AQ31*X31^2*1E-4*DATOS!$C$83/100/1000)+(IF(AND(AY31&gt;0,BA31&gt;0),MIN(AY31,BA31),MAX(AY31,BA31))*AQ31*X31^2*1E-4*DATOS!$C$83/100/1000))/2)+BI31-(IF(AND(AY31&gt;0,BA31&gt;0),MIN(AY31,BA31),MAX(AY31,BA31))*AQ31*X31^2*1E-4*DATOS!$C$83/100/1000))^2-16*((BC31*AQ31*X31^2*1E-4*DATOS!$C$83/100/1000)+((MAX(AY31,BA31)*AQ31*X31^2*1E-4*DATOS!$C$83/100/1000)+(IF(AND(AY31&gt;0,BA31&gt;0),MIN(AY31,BA31),MAX(AY31,BA31))*AQ31*X31^2*1E-4*DATOS!$C$83/100/1000))/2)*BI31)&lt;0,CEILING(AB31,5),CEILING(MAX(AB31*((4*((BC31*AQ31*X31^2*1E-4*DATOS!$C$83/100/1000)+((MAX(AY31,BA31)*AQ31*X31^2*1E-4*DATOS!$C$83/100/1000)+(IF(AND(AY31&gt;0,BA31&gt;0),MIN(AY31,BA31),MAX(AY31,BA31))*AQ31*X31^2*1E-4*DATOS!$C$83/100/1000))/2)+BI31-(IF(AND(AY31&gt;0,BA31&gt;0),MIN(AY31,BA31),MAX(AY31,BA31))*AQ31*X31^2*1E-4*DATOS!$C$83/100/1000))-SQRT(MAX(0,((4*((BC31*AQ31*X31^2*1E-4*DATOS!$C$83/100/1000)+((MAX(AY31,BA31)*AQ31*X31^2*1E-4*DATOS!$C$83/100/1000)+(IF(AND(AY31&gt;0,BA31&gt;0),MIN(AY31,BA31),MAX(AY31,BA31))*AQ31*X31^2*1E-4*DATOS!$C$83/100/1000))/2)+BI31-(IF(AND(AY31&gt;0,BA31&gt;0),MIN(AY31,BA31),MAX(AY31,BA31))*AQ31*X31^2*1E-4*DATOS!$C$83/100/1000))^2-16*((BC31*AQ31*X31^2*1E-4*DATOS!$C$83/100/1000)+((MAX(AY31,BA31)*AQ31*X31^2*1E-4*DATOS!$C$83/100/1000)+(IF(AND(AY31&gt;0,BA31&gt;0),MIN(AY31,BA31),MAX(AY31,BA31))*AQ31*X31^2*1E-4*DATOS!$C$83/100/1000))/2)*BI31))))/(8*MAX(((BC31*AQ31*X31^2*1E-4*DATOS!$C$83/100/1000)+((MAX(AY31,BA31)*AQ31*X31^2*1E-4*DATOS!$C$83/100/1000)+(IF(AND(AY31&gt;0,BA31&gt;0),MIN(AY31,BA31),MAX(AY31,BA31))*AQ31*X31^2*1E-4*DATOS!$C$83/100/1000))/2),1E-9))+MAX(CM31,12*INDEX(TABLAS!$C$52:$C$58,MATCH(CK31,TABLAS!$B$52:$B$58,0)),AB31/16),IF(OR(AK31&lt;INDEX(TABLAS!$C$52:$C$58,MATCH(CK31,TABLAS!$B$52:$B$58,0)),AND(CL31&gt;=2,(DATOS!$C$80-2*AK31-CL31*INDEX(TABLAS!$C$52:$C$58,MATCH(CK31,TABLAS!$B$52:$B$58,0)))/MAX(CL31-1,1)&lt;2*INDEX(TABLAS!$C$52:$C$58,MATCH(CK31,TABLAS!$B$52:$B$58,0)))),INDEX(TABLAS!$I$52:$I$58,MATCH(CK31,TABLAS!$B$52:$B$58,0)),INDEX(TABLAS!$F$52:$F$58,MATCH(CK31,TABLAS!$B$52:$B$58,0)))),5))))</f>
        <v/>
      </c>
      <c r="DD31" s="55" t="str">
        <f>IF(U31&lt;&gt;"SÍ","",IF(AND(C31="PERIMETRAL",BV31&gt;=2,AR31-AS31&gt;0,AZ31*AQ31*X31^2*1E-4*DATOS!$C$83/100/1000&gt;DATOS!$C$29*INDEX(TABLAS!$D$52:$D$58,MATCH(BU31,TABLAS!$B$52:$B$58,0))*DATOS!$C$14*(BW31-INDEX(TABLAS!$D$52:$D$58,MATCH(BU31,TABLAS!$B$52:$B$58,0))*DATOS!$C$14/(DATOS!$C$21*AE31)/2)/1E5),"SÍ","NO"))</f>
        <v/>
      </c>
      <c r="DE31" s="55" t="str">
        <f>IF(U31&lt;&gt;"SÍ","",IF(AND(C31="PERIMETRAL",CL31&gt;=2,AS31&gt;0,BA31*AQ31*X31^2*1E-4*DATOS!$C$83/100/1000&gt;DATOS!$C$29*INDEX(TABLAS!$D$52:$D$58,MATCH(CK31,TABLAS!$B$52:$B$58,0))*DATOS!$C$14*(CM31-INDEX(TABLAS!$D$52:$D$58,MATCH(CK31,TABLAS!$B$52:$B$58,0))*DATOS!$C$14/(DATOS!$C$21*AF31)/2)/1E5),"SÍ","NO"))</f>
        <v/>
      </c>
      <c r="DF31" s="63" t="str">
        <f>IF(U31&lt;&gt;"SÍ","",IF(OR(C31="VOLADO",AR31=0),"—",IF(AND(AND(1.25*INDEX(TABLAS!$G$52:$G$58,MATCH(MAX(BM31,CC31),TABLAS!$B$52:$B$58,0))&lt;=(DATOS!$C$72-DATOS!$C$60),(DATOS!$C$72-DATOS!$C$60)&gt;=15,INDEX(TABLAS!$G$52:$G$58,MATCH(MAX(BU31,CK31),TABLAS!$B$52:$B$58,0))&lt;=(DATOS!$C$72-DATOS!$C$60)),8*INDEX(TABLAS!$C$52:$C$58,MATCH(MAX(MAX(BM31,CC31),MAX(BU31,CK31)),TABLAS!$B$52:$B$58,0))&lt;=DATOS!$C$73-2*DATOS!$C$60),"CUMPLE (gancho de 180°)",IF(AND(1.25*INDEX(TABLAS!$G$52:$G$58,MATCH(MAX(BM31,CC31),TABLAS!$B$52:$B$58,0))&lt;=(DATOS!$C$72-DATOS!$C$60),(DATOS!$C$72-DATOS!$C$60)&gt;=15,INDEX(TABLAS!$G$52:$G$58,MATCH(MAX(BU31,CK31),TABLAS!$B$52:$B$58,0))&lt;=(DATOS!$C$72-DATOS!$C$60)),"NO CUMPLE: el gancho de 180° (8·d_b) no cabe en el peralte de la dala de borde","NO CUMPLE: dala de borde ≥ "&amp;TEXT(CEILING(MAX(1.25*INDEX(TABLAS!$G$52:$G$58,MATCH(MAX(BM31,CC31),TABLAS!$B$52:$B$58,0)),15,INDEX(TABLAS!$G$52:$G$58,MATCH(MAX(BU31,CK31),TABLAS!$B$52:$B$58,0)))+DATOS!$C$60,5),"0")&amp;" cm de ancho"&amp;IF(8*INDEX(TABLAS!$C$52:$C$58,MATCH(MAX(MAX(BM31,CC31),MAX(BU31,CK31)),TABLAS!$B$52:$B$58,0))&lt;=DATOS!$C$73-2*DATOS!$C$60,""," y más peralte para el gancho")))))</f>
        <v/>
      </c>
      <c r="DG31" s="59" t="str">
        <f>IF(U31&lt;&gt;"SÍ","",MAX(0,INT((E31*100-DATOS!$C$84+DATOS!$C$83-IF(W31="X",DATOS!$C$78,AD31))/DATOS!$C$83)))</f>
        <v/>
      </c>
      <c r="DH31" s="59" t="str">
        <f>IF(U31&lt;&gt;"SÍ","",MAX(0,INT((F31*100-DATOS!$C$84+DATOS!$C$83-IF(W31="Y",DATOS!$C$78,AD31))/DATOS!$C$83)))</f>
        <v/>
      </c>
      <c r="DI31" s="57" t="str">
        <f>IF(U31&lt;&gt;"SÍ","",IF(DG31&gt;0,(E31*100-DATOS!$C$84-(DG31*IF(W31="X",DATOS!$C$78,AD31)+(DG31-1)*(DATOS!$C$83-IF(W31="X",DATOS!$C$78,AD31))))/2,E31*100/2))</f>
        <v/>
      </c>
      <c r="DJ31" s="57" t="str">
        <f>IF(U31&lt;&gt;"SÍ","",IF(DH31&gt;0,(F31*100-DATOS!$C$84-(DH31*IF(W31="Y",DATOS!$C$78,AD31)+(DH31-1)*(DATOS!$C$83-IF(W31="Y",DATOS!$C$78,AD31))))/2,F31*100/2))</f>
        <v/>
      </c>
      <c r="DK31" s="59" t="str">
        <f>IF(U31&lt;&gt;"SÍ","",IF(NOT(AND(C31="VOLADO",AC31&gt;DATOS!$C$80)),0,IF(INDEX(TABLAS!$C$52:$C$58,MATCH(BU31,TABLAS!$B$52:$B$58,0))&lt;=DATOS!$C$80-2*DATOS!$C$60,1,0)))</f>
        <v/>
      </c>
      <c r="DL31" s="58" t="str">
        <f>IF(U31&lt;&gt;"SÍ","",IF(NOT(AND(C31="VOLADO",AC31&gt;DATOS!$C$80)),0,((DATOS!$C$82-MAX(DATOS!$C$60,(DATOS!$C$81-2*DATOS!$C$94)/2)-2*DATOS!$C$94-INDEX(TABLAS!$C$52:$C$58,MATCH(BU31,TABLAS!$B$52:$B$58,0))/2)-IF(AND((DATOS!$C$82-MAX(DATOS!$C$60,(DATOS!$C$81-2*DATOS!$C$94)/2)-2*DATOS!$C$94-INDEX(TABLAS!$C$52:$C$58,MATCH(BU31,TABLAS!$B$52:$B$58,0))/2)&lt;=20,DATOS!$C$62&lt;&gt;"SÍ"),2,0))))</f>
        <v/>
      </c>
      <c r="DM31" s="56" t="str">
        <f>IF(U31&lt;&gt;"SÍ","",IF(OR(NOT(AND(C31="VOLADO",AC31&gt;DATOS!$C$80)),DK31&lt;1),0,IF(0.003*(DL31-((DK31*INDEX(TABLAS!$D$52:$D$58,MATCH(BU31,TABLAS!$B$52:$B$58,0)))*DATOS!$C$14/(DATOS!$C$21*AF31)/DATOS!$C$22))/((DK31*INDEX(TABLAS!$D$52:$D$58,MATCH(BU31,TABLAS!$B$52:$B$58,0)))*DATOS!$C$14/(DATOS!$C$21*AF31)/DATOS!$C$22)&lt;0.005,0,DATOS!$C$29*(DK31*INDEX(TABLAS!$D$52:$D$58,MATCH(BU31,TABLAS!$B$52:$B$58,0)))*DATOS!$C$14*(DL31-(DK31*INDEX(TABLAS!$D$52:$D$58,MATCH(BU31,TABLAS!$B$52:$B$58,0)))*DATOS!$C$14/(DATOS!$C$21*AF31)/2)/1E5)))</f>
        <v/>
      </c>
      <c r="DN31" s="56" t="str">
        <f>IF(U31&lt;&gt;"SÍ","",IF(OR(NOT(AND(C31="VOLADO",AC31&gt;DATOS!$C$80)),DK31&lt;1),0,DATOS!$C$30*2*MIN(1,SQRT(2/(1+0.04*DL31)))*((DK31*INDEX(TABLAS!$D$52:$D$58,MATCH(BU31,TABLAS!$B$52:$B$58,0)))/(AF31*DL31))^(1/3)*SQRT(DATOS!$C$13)*AF31*DL31/1000))</f>
        <v/>
      </c>
      <c r="DO31" s="56" t="str">
        <f>IF(U31&lt;&gt;"SÍ","",IF(NOT(AND(C31="VOLADO",AC31&gt;DATOS!$C$80)),0,IF((BG31-DM31)&lt;=0,0,IF(DM31&lt;=0,IF(ISNUMBER(P31),P31,X31),IF(((0.9*DATOS!$C$87*DATOS!$C$83/100/1000)*IF(ISNUMBER(P31),P31,X31)/2+BG31/IF(ISNUMBER(P31),P31,X31))^2-4*((0.9*DATOS!$C$87*DATOS!$C$83/100/1000)/2)*(BG31-DM31)&lt;0,IF(ISNUMBER(P31),P31,X31),MIN(IF(ISNUMBER(P31),P31,X31),(((0.9*DATOS!$C$87*DATOS!$C$83/100/1000)*IF(ISNUMBER(P31),P31,X31)/2+BG31/IF(ISNUMBER(P31),P31,X31))-SQRT(((0.9*DATOS!$C$87*DATOS!$C$83/100/1000)*IF(ISNUMBER(P31),P31,X31)/2+BG31/IF(ISNUMBER(P31),P31,X31))^2-4*((0.9*DATOS!$C$87*DATOS!$C$83/100/1000)/2)*(BG31-DM31)))/(2*((0.9*DATOS!$C$87*DATOS!$C$83/100/1000)/2))))))))</f>
        <v/>
      </c>
      <c r="DP31" s="56" t="str">
        <f>IF(U31&lt;&gt;"SÍ","",IF(NOT(AND(C31="VOLADO",AC31&gt;DATOS!$C$80)),0,MIN(IF(ISNUMBER(P31),P31,X31),MAX(0,IF(ISNUMBER(P31),P31,X31)/2+BG31/IF(ISNUMBER(P31),P31,X31)/(AQ31*DATOS!$C$83/100/1000)-DN31/(AQ31*DATOS!$C$83/100/1000)))))</f>
        <v/>
      </c>
      <c r="DQ31" s="56" t="str">
        <f>IF(U31&lt;&gt;"SÍ","",IF(NOT(AND(C31="VOLADO",AC31&gt;DATOS!$C$80)),0,BG31/IF(ISNUMBER(P31),P31,X31)+(AQ31*DATOS!$C$83/100/1000)*MAX(0,IF(ISNUMBER(P31),P31,X31)/2-BW31/100)))</f>
        <v/>
      </c>
      <c r="DR31" s="59" t="str">
        <f>IF(U31&lt;&gt;"SÍ","",IF(NOT(AND(C31="VOLADO",AC31&gt;DATOS!$C$80)),0,CEILING(100*MIN(IF(ISNUMBER(P31),P31,X31),MAX(IF(DO31&gt;0,DO31+IF(BV31&gt;=2,MAX(DL31,12*INDEX(TABLAS!$C$52:$C$58,MATCH(BU31,TABLAS!$B$52:$B$58,0)))/100,0),0),DP31,IF(BV31&gt;=2,INDEX(TABLAS!$F$52:$F$58,MATCH(BU31,TABLAS!$B$52:$B$58,0))/100,0))),5)))</f>
        <v/>
      </c>
      <c r="DS31" s="60" t="str">
        <f>IF(U31&lt;&gt;"SÍ","",IF(NOT(AND(C31="VOLADO",AC31&gt;DATOS!$C$80)),0,IF(DR31&lt;=0,0,CEILING(DR31/DATOS!$C$83,1))))</f>
        <v/>
      </c>
      <c r="DT31" s="61" t="str">
        <f>IF(U31&lt;&gt;"SÍ","",IF(C31&lt;&gt;"VOLADO","—",IF(AC31&lt;=DATOS!$C$80,"— (mismo b_w que el respaldo)",IF(DQ31&gt;CR31,"NO CUMPLE: cortante de la nervadura ancha junto al apoyo ("&amp;TEXT(DQ31,"0.00")&amp;" &gt; "&amp;TEXT(CR31,"0.00")&amp;" t)",IF(DR31&gt;=100*IF(ISNUMBER(P31),P31,X31),"CUMPLE — todas las nervaduras del respaldo ‖ al volado con b_w = "&amp;AC31&amp;" cm","CUMPLE — "&amp;DS31&amp;" hilera(s) del respaldo con nervaduras de b_w = "&amp;AC31&amp;" cm (casetón "&amp;AD31&amp;" cm), hasta "&amp;TEXT(DR31/100,"0.00")&amp;" m del paño")))))</f>
        <v/>
      </c>
      <c r="DU31" s="69" t="str">
        <f>IF(U31&lt;&gt;"SÍ","",IF(BN31=0,"NO ALCANZA",BN31&amp;" No. "&amp;BM31&amp;IF(BN31&gt;1," corridas"," corrida")))</f>
        <v/>
      </c>
      <c r="DV31" s="69" t="str">
        <f>IF(U31&lt;&gt;"SÍ","",IF(BV31=0,"NO ALCANZA",IF(AND(C31="VOLADO",AC31&gt;DATOS!$C$80,BV31&gt;=2),"1 No. "&amp;BU31&amp;" corrida de la orilla al respaldo ("&amp;IF(DB31&gt;=100*IF(ISNUMBER(P31),P31,X31),"hasta su apoyo lejano, con gancho","entra "&amp;TEXT(DB31/100,"0.00")&amp;" m desde el paño")&amp;") + "&amp;(BV31-1)&amp;" bastón No. "&amp;BU31&amp;" hasta "&amp;TEXT(DR31/100,"0.00")&amp;" m del paño (fin de la nervadura ancha)",IF(C31="VOLADO",BV31&amp;" No. "&amp;BU31&amp;" de la orilla al respaldo ("&amp;IF(DB31&gt;=100*IF(ISNUMBER(P31),P31,X31),"hasta su apoyo lejano, con gancho","entran "&amp;TEXT(DB31/100,"0.00")&amp;" m desde el paño")&amp;")","1 No. "&amp;BU31&amp;" corrida"&amp;IF(BV31&gt;1," + "&amp;(BV31-1)&amp;" bastón No. "&amp;BU31&amp;" L = "&amp;TEXT(DB31/100,"0.00")&amp;" m desde el paño","")))))</f>
        <v/>
      </c>
      <c r="DW31" s="69" t="str">
        <f>IF(U31&lt;&gt;"SÍ","",IF(CD31=0,"NO ALCANZA",CD31&amp;" No. "&amp;CC31&amp;IF(CD31&gt;1," corridas"," corrida")))</f>
        <v/>
      </c>
      <c r="DX31" s="69" t="str">
        <f>IF(U31&lt;&gt;"SÍ","",IF(CL31=0,"NO ALCANZA",IF(C31="VOLADO","1 No. "&amp;CK31&amp;" corrida (repartición)","1 No. "&amp;CK31&amp;" corrida"&amp;IF(CL31&gt;1," + "&amp;(CL31-1)&amp;" bastón No. "&amp;CK31&amp;" L = "&amp;TEXT(DC31/100,"0.00")&amp;" m desde el paño",""))))</f>
        <v/>
      </c>
      <c r="DY31" s="67" t="str">
        <f>IF(B31="","",IF(U31&lt;&gt;"SÍ","FALTAN DATOS: tipo, a_x, a_y y destino",IF(L31="NO MONOLÍTICO (caso II)","FUERA DE ALCANCE: caso II no transcrito",IF(AND(C31="VOLADO",V31="?"),"REVISAR: el volado lleva UN solo borde CONTINUO (el empotrado)",IF(AND(MAX(BQ31,BY31,CG31,CO31)&lt;=1,NOT(OR(BN31&gt;MIN(DATOS!$C$70,INT(((AC31-2*AJ31)+MAX(DATOS!$C$67,INDEX(TABLAS!$C$52:$C$58,MATCH(BM31,TABLAS!$B$52:$B$58,0))))/(INDEX(TABLAS!$C$52:$C$58,MATCH(BM31,TABLAS!$B$52:$B$58,0))+MAX(DATOS!$C$67,INDEX(TABLAS!$C$52:$C$58,MATCH(BM31,TABLAS!$B$52:$B$58,0)))))),BV31&gt;MIN(DATOS!$C$70,INT(((AC31-2*AK31)+MAX(DATOS!$C$67,INDEX(TABLAS!$C$52:$C$58,MATCH(BU31,TABLAS!$B$52:$B$58,0))))/(INDEX(TABLAS!$C$52:$C$58,MATCH(BU31,TABLAS!$B$52:$B$58,0))+MAX(DATOS!$C$67,INDEX(TABLAS!$C$52:$C$58,MATCH(BU31,TABLAS!$B$52:$B$58,0)))))),CD31&gt;MIN(DATOS!$C$70,INT(((DATOS!$C$80-2*AJ31)+MAX(DATOS!$C$67,INDEX(TABLAS!$C$52:$C$58,MATCH(CC31,TABLAS!$B$52:$B$58,0))))/(INDEX(TABLAS!$C$52:$C$58,MATCH(CC31,TABLAS!$B$52:$B$58,0))+MAX(DATOS!$C$67,INDEX(TABLAS!$C$52:$C$58,MATCH(CC31,TABLAS!$B$52:$B$58,0)))))),CL31&gt;MIN(DATOS!$C$70,INT(((DATOS!$C$80-2*AK31)+MAX(DATOS!$C$67,INDEX(TABLAS!$C$52:$C$58,MATCH(CK31,TABLAS!$B$52:$B$58,0))))/(INDEX(TABLAS!$C$52:$C$58,MATCH(CK31,TABLAS!$B$52:$B$58,0))+MAX(DATOS!$C$67,INDEX(TABLAS!$C$52:$C$58,MATCH(CK31,TABLAS!$B$52:$B$58,0)))))))),NOT(OR(AND(ISNUMBER(BR31),BR31&lt;0.005),AND(ISNUMBER(BZ31),BZ31&lt;0.005),AND(ISNUMBER(CH31),CH31&lt;0.005),AND(ISNUMBER(CP31),CP31&lt;0.005))),NOT(LEFT(DT31,2)="NO"),CZ31="CUMPLE",DA31="CUMPLE",LEFT(CT31,2)&lt;&gt;"NO"),IF(LEFT(CT31,6)="CUMPLE","CUMPLE","CUMPLE — "&amp;CT31)&amp;IF(LEFT(BJ31,5)="FUERA"," · fuera de 3.4.2.1 c)","")&amp;IF(LEFT(DF31,2)="NO"," · REVISAR anclaje en borde discontinuo","")&amp;IF(DS31&gt;0," · respaldo: "&amp;DS31&amp;" hilera(s) de b_w "&amp;AC31&amp;" cm",""),IF(AND(MAX(BQ31,BY31,CG31,CO31)&lt;=1,NOT(OR(BN31&gt;MIN(DATOS!$C$70,INT(((AC31-2*AJ31)+MAX(DATOS!$C$67,INDEX(TABLAS!$C$52:$C$58,MATCH(BM31,TABLAS!$B$52:$B$58,0))))/(INDEX(TABLAS!$C$52:$C$58,MATCH(BM31,TABLAS!$B$52:$B$58,0))+MAX(DATOS!$C$67,INDEX(TABLAS!$C$52:$C$58,MATCH(BM31,TABLAS!$B$52:$B$58,0)))))),BV31&gt;MIN(DATOS!$C$70,INT(((AC31-2*AK31)+MAX(DATOS!$C$67,INDEX(TABLAS!$C$52:$C$58,MATCH(BU31,TABLAS!$B$52:$B$58,0))))/(INDEX(TABLAS!$C$52:$C$58,MATCH(BU31,TABLAS!$B$52:$B$58,0))+MAX(DATOS!$C$67,INDEX(TABLAS!$C$52:$C$58,MATCH(BU31,TABLAS!$B$52:$B$58,0)))))),CD31&gt;MIN(DATOS!$C$70,INT(((DATOS!$C$80-2*AJ31)+MAX(DATOS!$C$67,INDEX(TABLAS!$C$52:$C$58,MATCH(CC31,TABLAS!$B$52:$B$58,0))))/(INDEX(TABLAS!$C$52:$C$58,MATCH(CC31,TABLAS!$B$52:$B$58,0))+MAX(DATOS!$C$67,INDEX(TABLAS!$C$52:$C$58,MATCH(CC31,TABLAS!$B$52:$B$58,0)))))),CL31&gt;MIN(DATOS!$C$70,INT(((DATOS!$C$80-2*AK31)+MAX(DATOS!$C$67,INDEX(TABLAS!$C$52:$C$58,MATCH(CK31,TABLAS!$B$52:$B$58,0))))/(INDEX(TABLAS!$C$52:$C$58,MATCH(CK31,TABLAS!$B$52:$B$58,0))+MAX(DATOS!$C$67,INDEX(TABLAS!$C$52:$C$58,MATCH(CK31,TABLAS!$B$52:$B$58,0)))))))),NOT(OR(AND(ISNUMBER(BR31),BR31&lt;0.005),AND(ISNUMBER(BZ31),BZ31&lt;0.005),AND(ISNUMBER(CH31),CH31&lt;0.005),AND(ISNUMBER(CP31),CP31&lt;0.005))),NOT(LEFT(DT31,2)="NO"),CZ31="CALCULAR FLECHA",LEFT(CT31,2)&lt;&gt;"NO"),"REVISAR: calcular flecha (h_eq &lt; h mín.)"&amp;IF(LEFT(BJ31,5)="FUERA"," · fuera de 3.4.2.1 c)","")&amp;IF(LEFT(DF31,2)="NO"," · REVISAR anclaje en borde discontinuo","")&amp;IF(DS31&gt;0," · respaldo: "&amp;DS31&amp;" hilera(s) de b_w "&amp;AC31&amp;" cm",""),"NO CUMPLE: "&amp;IF(MAX(BQ31,BY31,CG31,CO31)&gt;1,"flexión ","")&amp;IF(OR(BN31&gt;MIN(DATOS!$C$70,INT(((AC31-2*AJ31)+MAX(DATOS!$C$67,INDEX(TABLAS!$C$52:$C$58,MATCH(BM31,TABLAS!$B$52:$B$58,0))))/(INDEX(TABLAS!$C$52:$C$58,MATCH(BM31,TABLAS!$B$52:$B$58,0))+MAX(DATOS!$C$67,INDEX(TABLAS!$C$52:$C$58,MATCH(BM31,TABLAS!$B$52:$B$58,0)))))),BV31&gt;MIN(DATOS!$C$70,INT(((AC31-2*AK31)+MAX(DATOS!$C$67,INDEX(TABLAS!$C$52:$C$58,MATCH(BU31,TABLAS!$B$52:$B$58,0))))/(INDEX(TABLAS!$C$52:$C$58,MATCH(BU31,TABLAS!$B$52:$B$58,0))+MAX(DATOS!$C$67,INDEX(TABLAS!$C$52:$C$58,MATCH(BU31,TABLAS!$B$52:$B$58,0)))))),CD31&gt;MIN(DATOS!$C$70,INT(((DATOS!$C$80-2*AJ31)+MAX(DATOS!$C$67,INDEX(TABLAS!$C$52:$C$58,MATCH(CC31,TABLAS!$B$52:$B$58,0))))/(INDEX(TABLAS!$C$52:$C$58,MATCH(CC31,TABLAS!$B$52:$B$58,0))+MAX(DATOS!$C$67,INDEX(TABLAS!$C$52:$C$58,MATCH(CC31,TABLAS!$B$52:$B$58,0)))))),CL31&gt;MIN(DATOS!$C$70,INT(((DATOS!$C$80-2*AK31)+MAX(DATOS!$C$67,INDEX(TABLAS!$C$52:$C$58,MATCH(CK31,TABLAS!$B$52:$B$58,0))))/(INDEX(TABLAS!$C$52:$C$58,MATCH(CK31,TABLAS!$B$52:$B$58,0))+MAX(DATOS!$C$67,INDEX(TABLAS!$C$52:$C$58,MATCH(CK31,TABLAS!$B$52:$B$58,0))))))),"no caben ","")&amp;IF(OR(AND(ISNUMBER(BR31),BR31&lt;0.005),AND(ISNUMBER(BZ31),BZ31&lt;0.005),AND(ISNUMBER(CH31),CH31&lt;0.005),AND(ISNUMBER(CP31),CP31&lt;0.005)),"ε_t &lt; 0.005 ","")&amp;IF(LEFT(CT31,2)="NO","cortante ","")&amp;IF(CZ31="NO CUMPLE","peralte ","")&amp;IF(DA31&lt;&gt;"CUMPLE","capa &lt; 6 cm ","")&amp;IF(LEFT(DT31,2)="NO","respaldo del volado","")))))))</f>
        <v/>
      </c>
      <c r="DZ31" s="70" t="str">
        <f>IF(U31&lt;&gt;"SÍ","",IF(LEFT(B31,7)="EJEMPLO","EJEMPLO de la hoja de Casa Rocha: bórralo o sobrescríbelo. ","")&amp;IF(AND(C31="PERIMETRAL",MIN(DG31,DH31)=0),"No cabe un casetón en el claro corto: es un tablero macizo, diséñalo en MACIZAS. ","")&amp;IF(AND(AI31="NO",C31="PERIMETRAL"),"No cumple 6.7.8.1.4 (a_c = "&amp;MAX(DATOS!$C$78,AD31)&amp;" cm &gt; claro corto/6 = "&amp;TEXT(X31*100/6,"0")&amp;" cm): se diseña como losa apoyada en vigas (6.7.8.1.9): r de viga = "&amp;DATOS!$C$60&amp;" cm y V_cR sin ×1.1. Para que cuente como encasetonada: casetón de "&amp;TEXT(FLOOR(MIN(80,X31*100/6),1),"0")&amp;" cm o menor. ","")&amp;IF(C31="VOLADO","Volado de "&amp;TEXT(X31,"0.00")&amp;" m empotrado en el borde "&amp;LOWER(V31)&amp;IF(N(O31)&gt;0,", con "&amp;TEXT(O31,"0.0")&amp;" kg/m en la orilla","")&amp;". Lecho inferior con r_ext. Si la orilla carga pretil u otro elemento frágil, calcula la flecha (13.4). El acero superior entra al respaldo de "&amp;TEXT(IF(ISNUMBER(P31),P31,X31),"0.00")&amp;" m"&amp;IF(ISNUMBER(P31),""," (L_b no capturado: se tomó igual al volado)")&amp;" hasta pasar M = 0 con 0.9·PP sin carga viva; si ahí no se anula, llega al apoyo lejano y se ancla con gancho (NTC-Criterios 3.4.1 c y 5.1.2.2). "&amp;IF(AC31&gt;DATOS!$C$80,"Respaldo: "&amp;DT31&amp;". ",""),"")&amp;IF(LEFT(BJ31,5)="FUERA","El M⁻ del vecino difiere más de 50 % (3.4.2.1 c): distribuye el desequilibrio (3.4.3.1) o confirma con un modelo; se arma con el mayor. ","")&amp;IF(OR(DD31="SÍ",DE31="SÍ"),"El M⁻ del borde discontinuo pide bastón también ahí (con gancho). ","")&amp;IF(LEFT(DF31,2)="NO","Anclaje: "&amp;DF31&amp;" (6.7.8.1.7). ","")&amp;IF(OR(AZ31&gt;0,BA31&gt;0),"Esquinas exteriores sobre muro: refuerzo de esquina arriba y abajo en L_largo/5 (6.7.7.3.1). ",""))</f>
        <v/>
      </c>
    </row>
    <row r="32" ht="33" customHeight="1">
      <c r="A32" s="50">
        <f>IF(B32="",0,1)+A31</f>
        <v>4</v>
      </c>
      <c r="B32" s="29" t="n"/>
      <c r="C32" s="51" t="n"/>
      <c r="D32" s="29" t="n"/>
      <c r="E32" s="52" t="n"/>
      <c r="F32" s="52" t="n"/>
      <c r="G32" s="51" t="n"/>
      <c r="H32" s="51" t="n"/>
      <c r="I32" s="51" t="n"/>
      <c r="J32" s="51" t="n"/>
      <c r="K32" s="51" t="n"/>
      <c r="L32" s="51" t="n"/>
      <c r="M32" s="53" t="n"/>
      <c r="N32" s="53" t="n"/>
      <c r="O32" s="54" t="n"/>
      <c r="P32" s="52" t="n"/>
      <c r="Q32" s="53" t="n"/>
      <c r="R32" s="54" t="n"/>
      <c r="S32" s="52" t="n"/>
      <c r="T32" s="52" t="n"/>
      <c r="U32" s="55" t="str">
        <f>IF(B32="","",IF(AND(OR(C32="PERIMETRAL",C32="VOLADO"),ISNUMBER(E32),ISNUMBER(F32),E32&gt;0,F32&gt;0,OR(ISNUMBER(N32),ISNUMBER(MATCH(D32,DATOS!$B$46:$B$55,0)))),"SÍ","NO"))</f>
        <v/>
      </c>
      <c r="V32" s="55" t="str">
        <f>IF(U32&lt;&gt;"SÍ","",IF(C32&lt;&gt;"VOLADO","—",IF(COUNTIF(G32:J32,"CONTINUO")&lt;&gt;1,"?",IF(G32="CONTINUO","INFERIOR",IF(H32="CONTINUO","SUPERIOR",IF(I32="CONTINUO","IZQUIERDO","DERECHO"))))))</f>
        <v/>
      </c>
      <c r="W32" s="55" t="str">
        <f>IF(U32&lt;&gt;"SÍ","",IF(C32="VOLADO",IF(OR(V32="IZQUIERDO",V32="DERECHO"),"X","Y"),IF(E32&lt;=F32,"X","Y")))</f>
        <v/>
      </c>
      <c r="X32" s="56" t="str">
        <f>IF(U32&lt;&gt;"SÍ","",IF(C32="VOLADO",IF(W32="X",E32,F32),MIN(E32,F32)))</f>
        <v/>
      </c>
      <c r="Y32" s="56" t="str">
        <f>IF(U32&lt;&gt;"SÍ","",IF(C32="VOLADO",IF(W32="X",F32,E32),MAX(E32,F32)))</f>
        <v/>
      </c>
      <c r="Z32" s="56" t="str">
        <f>IF(U32&lt;&gt;"SÍ","",MIN(X32,Y32)/MAX(X32,Y32))</f>
        <v/>
      </c>
      <c r="AA32" s="57" t="str">
        <f>IF(U32&lt;&gt;"SÍ","",MAX(1,X32*100-IF(C32="VOLADO",DATOS!$C$84/2,DATOS!$C$84)))</f>
        <v/>
      </c>
      <c r="AB32" s="57" t="str">
        <f>IF(U32&lt;&gt;"SÍ","",MAX(1,Y32*100-DATOS!$C$84))</f>
        <v/>
      </c>
      <c r="AC32" s="57" t="str">
        <f>IF(U32&lt;&gt;"SÍ","",IF(ISNUMBER(Q32),Q32,DATOS!$C$80))</f>
        <v/>
      </c>
      <c r="AD32" s="57" t="str">
        <f>IF(U32&lt;&gt;"SÍ","",MAX(0,DATOS!$C$83-AC32))</f>
        <v/>
      </c>
      <c r="AE32" s="57" t="str">
        <f>IF(U32&lt;&gt;"SÍ","",IF(OR(DATOS!$C$62="SÍ",AC32&gt;=20),AC32,AC32-2))</f>
        <v/>
      </c>
      <c r="AF32" s="57" t="str">
        <f>IF(U32&lt;&gt;"SÍ","",IF(OR(DATOS!$C$62="SÍ",DATOS!$C$80&gt;=20),DATOS!$C$80,DATOS!$C$80-2))</f>
        <v/>
      </c>
      <c r="AG32" s="57" t="str">
        <f>IF(U32&lt;&gt;"SÍ","",MIN(DATOS!$C$83,AC32+2*MIN(8*DATOS!$C$81,AD32/2,AA32/8)))</f>
        <v/>
      </c>
      <c r="AH32" s="57" t="str">
        <f>IF(U32&lt;&gt;"SÍ","",MIN(DATOS!$C$83,DATOS!$C$80+2*MIN(8*DATOS!$C$81,DATOS!$C$78/2,AB32/8)))</f>
        <v/>
      </c>
      <c r="AI32" s="55" t="str">
        <f>IF(U32&lt;&gt;"SÍ","",IF(AND(C32="PERIMETRAL",X32*100&gt;=6*MAX(DATOS!$C$78,AD32),MAX(DATOS!$C$78,AD32)&lt;=80,MIN(DATOS!$C$80,AC32)&gt;=10,DATOS!$C$82&lt;=3.5*MIN(DATOS!$C$80,AC32),DATOS!$C$81&gt;=MAX(MAX(DATOS!$C$78,AD32)/13,5)),"SÍ","NO"))</f>
        <v/>
      </c>
      <c r="AJ32" s="57" t="str">
        <f>IF(U32&lt;&gt;"SÍ","",IF(C32="VOLADO",DATOS!$C$61,IF(AI32="NO",DATOS!$C$60,DATOS!$C$59)))</f>
        <v/>
      </c>
      <c r="AK32" s="57" t="str">
        <f>IF(U32&lt;&gt;"SÍ","",IF(OR(AND(AM32="SÍ",DATOS!$C$63="SÍ"),AND(C32="VOLADO",DATOS!$C$64="SÍ")),DATOS!$C$61,IF(AI32="NO",DATOS!$C$60,DATOS!$C$59)))</f>
        <v/>
      </c>
      <c r="AL32" s="58" t="str">
        <f>IF(U32&lt;&gt;"SÍ","",MAX(AK32,(DATOS!$C$81-2*DATOS!$C$94)/2))</f>
        <v/>
      </c>
      <c r="AM32" s="55" t="str">
        <f>IF(U32&lt;&gt;"SÍ","",IFERROR(INDEX(DATOS!$D$46:$D$55,MATCH(D32,DATOS!$B$46:$B$55,0)),"NO"))</f>
        <v/>
      </c>
      <c r="AN32" s="59" t="str">
        <f>IF(U32&lt;&gt;"SÍ","",IF(ISNUMBER(N32),N32,IFERROR(INDEX(DATOS!$C$46:$C$55,MATCH(D32,DATOS!$B$46:$B$55,0)),0)))</f>
        <v/>
      </c>
      <c r="AO32" s="59" t="str">
        <f>IF(U32&lt;&gt;"SÍ","",(DATOS!$C$82/100-(AD32*DATOS!$C$78/DATOS!$C$83^2)*DATOS!$C$79/100)*DATOS!$C$16*1000+(AD32*DATOS!$C$78/DATOS!$C$83^2)*DATOS!$C$79/100*DATOS!$C$17*1000+DATOS!$C$37+DATOS!$C$38)</f>
        <v/>
      </c>
      <c r="AP32" s="59" t="str">
        <f>IF(U32&lt;&gt;"SÍ","",AO32+N(M32))</f>
        <v/>
      </c>
      <c r="AQ32" s="60" t="str">
        <f>IF(U32&lt;&gt;"SÍ","",MAX(DATOS!$C$26*AP32+DATOS!$C$27*AN32,IF(AM32="SÍ",DATOS!$C$28*(AP32+DATOS!$C$41),0)))</f>
        <v/>
      </c>
      <c r="AR32" s="59" t="str">
        <f>IF(U32&lt;&gt;"SÍ","",(G32="DISCONTINUO")+(H32="DISCONTINUO")+(I32="DISCONTINUO")+(J32="DISCONTINUO"))</f>
        <v/>
      </c>
      <c r="AS32" s="59" t="str">
        <f>IF(U32&lt;&gt;"SÍ","",IF(W32="X",(G32="DISCONTINUO")+(H32="DISCONTINUO"),(I32="DISCONTINUO")+(J32="DISCONTINUO")))</f>
        <v/>
      </c>
      <c r="AT32" s="55" t="str">
        <f>IF(U32&lt;&gt;"SÍ","",IF(AR32=0,"INTERIOR",IF(AR32=1,IF(AS32=1,"BORDE-CORTO","BORDE-LARGO"),IF(AR32=2,IF(AS32=1,"ESQUINA",IF(AS32=2,"EXTREMO-LARGO","EXTREMO-CORTO")),IF(AR32=3,IF(AS32=2,"EXTREMO-LARGO","EXTREMO-CORTO"),"AISLADO")))))</f>
        <v/>
      </c>
      <c r="AU32" s="61" t="str">
        <f>IF(U32&lt;&gt;"SÍ","",IF(OR(K32="",K32="AUTO"),AT32,K32))</f>
        <v/>
      </c>
      <c r="AV32" s="59" t="str">
        <f>IF(U32&lt;&gt;"SÍ","",MATCH(Z32,TABLAS!$D$5:$J$5,1))</f>
        <v/>
      </c>
      <c r="AW32" s="58" t="str">
        <f>IF(U32&lt;&gt;"SÍ","",IF(AV32&gt;=7,0,(Z32-INDEX(TABLAS!$D$5:$J$5,AV32))/(INDEX(TABLAS!$D$5:$J$5,AV32+1)-INDEX(TABLAS!$D$5:$J$5,AV32))))</f>
        <v/>
      </c>
      <c r="AX32" s="59" t="str">
        <f>IF(U32&lt;&gt;"SÍ","",INDEX(TABLAS!$D$6:$J$47,MATCH(AU32&amp;"|NIC",TABLAS!$B$6:$B$47,0),AV32)+AW32*(INDEX(TABLAS!$D$6:$J$47,MATCH(AU32&amp;"|NIC",TABLAS!$B$6:$B$47,0),MIN(AV32+1,7))-INDEX(TABLAS!$D$6:$J$47,MATCH(AU32&amp;"|NIC",TABLAS!$B$6:$B$47,0),AV32)))</f>
        <v/>
      </c>
      <c r="AY32" s="59" t="str">
        <f>IF(U32&lt;&gt;"SÍ","",INDEX(TABLAS!$D$6:$J$47,MATCH(AU32&amp;"|NIL",TABLAS!$B$6:$B$47,0),AV32)+AW32*(INDEX(TABLAS!$D$6:$J$47,MATCH(AU32&amp;"|NIL",TABLAS!$B$6:$B$47,0),MIN(AV32+1,7))-INDEX(TABLAS!$D$6:$J$47,MATCH(AU32&amp;"|NIL",TABLAS!$B$6:$B$47,0),AV32)))</f>
        <v/>
      </c>
      <c r="AZ32" s="59" t="str">
        <f>IF(U32&lt;&gt;"SÍ","",INDEX(TABLAS!$D$6:$J$47,MATCH(AU32&amp;"|NDC",TABLAS!$B$6:$B$47,0),AV32)+AW32*(INDEX(TABLAS!$D$6:$J$47,MATCH(AU32&amp;"|NDC",TABLAS!$B$6:$B$47,0),MIN(AV32+1,7))-INDEX(TABLAS!$D$6:$J$47,MATCH(AU32&amp;"|NDC",TABLAS!$B$6:$B$47,0),AV32)))</f>
        <v/>
      </c>
      <c r="BA32" s="59" t="str">
        <f>IF(U32&lt;&gt;"SÍ","",INDEX(TABLAS!$D$6:$J$47,MATCH(AU32&amp;"|NDL",TABLAS!$B$6:$B$47,0),AV32)+AW32*(INDEX(TABLAS!$D$6:$J$47,MATCH(AU32&amp;"|NDL",TABLAS!$B$6:$B$47,0),MIN(AV32+1,7))-INDEX(TABLAS!$D$6:$J$47,MATCH(AU32&amp;"|NDL",TABLAS!$B$6:$B$47,0),AV32)))</f>
        <v/>
      </c>
      <c r="BB32" s="59" t="str">
        <f>IF(U32&lt;&gt;"SÍ","",INDEX(TABLAS!$D$6:$J$47,MATCH(AU32&amp;"|PC",TABLAS!$B$6:$B$47,0),AV32)+AW32*(INDEX(TABLAS!$D$6:$J$47,MATCH(AU32&amp;"|PC",TABLAS!$B$6:$B$47,0),MIN(AV32+1,7))-INDEX(TABLAS!$D$6:$J$47,MATCH(AU32&amp;"|PC",TABLAS!$B$6:$B$47,0),AV32)))</f>
        <v/>
      </c>
      <c r="BC32" s="59" t="str">
        <f>IF(U32&lt;&gt;"SÍ","",INDEX(TABLAS!$D$6:$J$47,MATCH(AU32&amp;"|PL",TABLAS!$B$6:$B$47,0),AV32)+AW32*(INDEX(TABLAS!$D$6:$J$47,MATCH(AU32&amp;"|PL",TABLAS!$B$6:$B$47,0),MIN(AV32+1,7))-INDEX(TABLAS!$D$6:$J$47,MATCH(AU32&amp;"|PL",TABLAS!$B$6:$B$47,0),AV32)))</f>
        <v/>
      </c>
      <c r="BD32" s="56" t="str">
        <f>IF(U32&lt;&gt;"SÍ","",IF(C32&lt;&gt;"VOLADO",0,DATOS!$C$26*DATOS!$C$16*DATOS!$C$83/100*(((AD32*DATOS!$C$78/DATOS!$C$83^2)*DATOS!$C$79/100)*(IF(W32="X",DI32,DJ32)+DATOS!$C$84/2)/100*(AA32-(IF(W32="X",DI32,DJ32)+DATOS!$C$84/2)/2)/100+((AD32*DATOS!$C$78/DATOS!$C$83^2)*DATOS!$C$79/100)*IF(W32="X",DI32,DJ32)/100*IF(W32="X",DI32,DJ32)/200)))</f>
        <v/>
      </c>
      <c r="BE32" s="56" t="str">
        <f>IF(U32&lt;&gt;"SÍ","",IF(C32&lt;&gt;"VOLADO",0,DATOS!$C$26*DATOS!$C$16*DATOS!$C$83/100*((AD32*DATOS!$C$78/DATOS!$C$83^2)*DATOS!$C$79/100)*(IF(W32="X",DI32,DJ32)+DATOS!$C$84/2)/100))</f>
        <v/>
      </c>
      <c r="BF32" s="56" t="str">
        <f>IF(U32&lt;&gt;"SÍ","",IF(C32="PERIMETRAL",BB32*AQ32*X32^2*1E-4*DATOS!$C$83/100/1000,0))</f>
        <v/>
      </c>
      <c r="BG32" s="62" t="str">
        <f>IF(U32&lt;&gt;"SÍ","",IF(C32="PERIMETRAL",MAX(MAX(AX32,AZ32)*AQ32*X32^2*1E-4*DATOS!$C$83/100/1000,N(S32)),(AQ32*(AA32/100)^2/2+DATOS!$C$26*N(O32)*AA32/100)*DATOS!$C$83/100/1000+BD32))</f>
        <v/>
      </c>
      <c r="BH32" s="56" t="str">
        <f>IF(U32&lt;&gt;"SÍ","",IF(C32="PERIMETRAL",BC32*AQ32*X32^2*1E-4*DATOS!$C$83/100/1000,0))</f>
        <v/>
      </c>
      <c r="BI32" s="56" t="str">
        <f>IF(U32&lt;&gt;"SÍ","",IF(C32="PERIMETRAL",MAX(MAX(AY32,BA32)*AQ32*X32^2*1E-4*DATOS!$C$83/100/1000,N(T32)),0))</f>
        <v/>
      </c>
      <c r="BJ32" s="63" t="str">
        <f>IF(U32&lt;&gt;"SÍ","",IF(C32&lt;&gt;"PERIMETRAL","—",IF(AND(N(S32)=0,N(T32)=0),"— (sin M⁻ del vecino)",IF(OR(AND(N(S32)&gt;0,ABS(MAX(AX32,AZ32)*AQ32*X32^2*1E-4*DATOS!$C$83/100/1000-N(S32))&gt;0.5*MIN(MAX(AX32,AZ32)*AQ32*X32^2*1E-4*DATOS!$C$83/100/1000,N(S32))),AND(N(T32)&gt;0,ABS(MAX(AY32,BA32)*AQ32*X32^2*1E-4*DATOS!$C$83/100/1000-N(T32))&gt;0.5*MIN(MAX(AY32,BA32)*AQ32*X32^2*1E-4*DATOS!$C$83/100/1000,N(T32)))),"FUERA: difieren &gt; 50 %"&amp;IF(AND(N(S32)&gt;0,ABS(MAX(AX32,AZ32)*AQ32*X32^2*1E-4*DATOS!$C$83/100/1000-N(S32))&gt;0.5*MIN(MAX(AX32,AZ32)*AQ32*X32^2*1E-4*DATOS!$C$83/100/1000,N(S32)))," ‖ corto","")&amp;IF(AND(N(T32)&gt;0,ABS(MAX(AY32,BA32)*AQ32*X32^2*1E-4*DATOS!$C$83/100/1000-N(T32))&gt;0.5*MIN(MAX(AY32,BA32)*AQ32*X32^2*1E-4*DATOS!$C$83/100/1000,N(T32)))," ‖ largo",""),"CUMPLE"))))</f>
        <v/>
      </c>
      <c r="BK32" s="58" t="str">
        <f>IF(U32&lt;&gt;"SÍ","",(DATOS!$C$82-AJ32-INDEX(TABLAS!$C$52:$C$58,MATCH(DATOS!$C$68,TABLAS!$B$52:$B$58,0))/2))</f>
        <v/>
      </c>
      <c r="BL32" s="58" t="str">
        <f>IF(U32&lt;&gt;"SÍ","",IF(IF(BF32&lt;=0,0,IF((1-2*BF32*1E5/(DATOS!$C$29*AG32*BK32^2*DATOS!$C$21))&lt;0,-1,IF((1-SQRT((1-2*BF32*1E5/(DATOS!$C$29*AG32*BK32^2*DATOS!$C$21))))*DATOS!$C$21*AG32*BK32/DATOS!$C$14&gt;DATOS!$C$99*AG32*BK32,-1,(1-SQRT((1-2*BF32*1E5/(DATOS!$C$29*AG32*BK32^2*DATOS!$C$21))))*DATOS!$C$21*AG32*BK32/DATOS!$C$14)))&lt;0,-1,MAX(IF(BF32&lt;=0,0,IF((1-2*BF32*1E5/(DATOS!$C$29*AG32*BK32^2*DATOS!$C$21))&lt;0,-1,IF((1-SQRT((1-2*BF32*1E5/(DATOS!$C$29*AG32*BK32^2*DATOS!$C$21))))*DATOS!$C$21*AG32*BK32/DATOS!$C$14&gt;DATOS!$C$99*AG32*BK32,-1,(1-SQRT((1-2*BF32*1E5/(DATOS!$C$29*AG32*BK32^2*DATOS!$C$21))))*DATOS!$C$21*AG32*BK32/DATOS!$C$14))),MIN(DATOS!$C$100*AC32*BK32,4/3*IF(BF32&lt;=0,0,IF((1-2*BF32*1E5/(DATOS!$C$29*AG32*BK32^2*DATOS!$C$21))&lt;0,-1,IF((1-SQRT((1-2*BF32*1E5/(DATOS!$C$29*AG32*BK32^2*DATOS!$C$21))))*DATOS!$C$21*AG32*BK32/DATOS!$C$14&gt;DATOS!$C$99*AG32*BK32,-1,(1-SQRT((1-2*BF32*1E5/(DATOS!$C$29*AG32*BK32^2*DATOS!$C$21))))*DATOS!$C$21*AG32*BK32/DATOS!$C$14)))))))</f>
        <v/>
      </c>
      <c r="BM32" s="64" t="str">
        <f>IF(U32&lt;&gt;"SÍ","",IF(AND(BL32&gt;=0,IF(MAX(DATOS!$C$71,CEILING(BL32/INDEX(TABLAS!$D$52:$D$58,MIN(MATCH(DATOS!$C$68,TABLAS!$B$52:$B$58,0)+0,7)),1))*INDEX(TABLAS!$D$52:$D$58,MIN(MATCH(DATOS!$C$68,TABLAS!$B$52:$B$58,0)+0,7))&gt;=4/3*IF(BF32&lt;=0,0,IF((1-2*BF32*1E5/(DATOS!$C$29*AG32*BK32^2*DATOS!$C$21))&lt;0,-1,IF((1-SQRT((1-2*BF32*1E5/(DATOS!$C$29*AG32*BK32^2*DATOS!$C$21))))*DATOS!$C$21*AG32*BK32/DATOS!$C$14&gt;DATOS!$C$99*AG32*BK32,-1,(1-SQRT((1-2*BF32*1E5/(DATOS!$C$29*AG32*BK32^2*DATOS!$C$21))))*DATOS!$C$21*AG32*BK32/DATOS!$C$14)))-0.0001,MAX(DATOS!$C$71,CEILING(BL32/INDEX(TABLAS!$D$52:$D$58,MIN(MATCH(DATOS!$C$68,TABLAS!$B$52:$B$58,0)+0,7)),1)),MAX(MAX(DATOS!$C$71,CEILING(BL32/INDEX(TABLAS!$D$52:$D$58,MIN(MATCH(DATOS!$C$68,TABLAS!$B$52:$B$58,0)+0,7)),1)),2))&lt;=MIN(DATOS!$C$70,INT(((AC32-2*AJ32)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32&gt;=0,IF(MAX(DATOS!$C$71,CEILING(BL32/INDEX(TABLAS!$D$52:$D$58,MIN(MATCH(DATOS!$C$68,TABLAS!$B$52:$B$58,0)+1,7)),1))*INDEX(TABLAS!$D$52:$D$58,MIN(MATCH(DATOS!$C$68,TABLAS!$B$52:$B$58,0)+1,7))&gt;=4/3*IF(BF32&lt;=0,0,IF((1-2*BF32*1E5/(DATOS!$C$29*AG32*BK32^2*DATOS!$C$21))&lt;0,-1,IF((1-SQRT((1-2*BF32*1E5/(DATOS!$C$29*AG32*BK32^2*DATOS!$C$21))))*DATOS!$C$21*AG32*BK32/DATOS!$C$14&gt;DATOS!$C$99*AG32*BK32,-1,(1-SQRT((1-2*BF32*1E5/(DATOS!$C$29*AG32*BK32^2*DATOS!$C$21))))*DATOS!$C$21*AG32*BK32/DATOS!$C$14)))-0.0001,MAX(DATOS!$C$71,CEILING(BL32/INDEX(TABLAS!$D$52:$D$58,MIN(MATCH(DATOS!$C$68,TABLAS!$B$52:$B$58,0)+1,7)),1)),MAX(MAX(DATOS!$C$71,CEILING(BL32/INDEX(TABLAS!$D$52:$D$58,MIN(MATCH(DATOS!$C$68,TABLAS!$B$52:$B$58,0)+1,7)),1)),2))&lt;=MIN(DATOS!$C$70,INT(((AC32-2*AJ32)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32&gt;=0,IF(MAX(DATOS!$C$71,CEILING(BL32/INDEX(TABLAS!$D$52:$D$58,MIN(MATCH(DATOS!$C$68,TABLAS!$B$52:$B$58,0)+2,7)),1))*INDEX(TABLAS!$D$52:$D$58,MIN(MATCH(DATOS!$C$68,TABLAS!$B$52:$B$58,0)+2,7))&gt;=4/3*IF(BF32&lt;=0,0,IF((1-2*BF32*1E5/(DATOS!$C$29*AG32*BK32^2*DATOS!$C$21))&lt;0,-1,IF((1-SQRT((1-2*BF32*1E5/(DATOS!$C$29*AG32*BK32^2*DATOS!$C$21))))*DATOS!$C$21*AG32*BK32/DATOS!$C$14&gt;DATOS!$C$99*AG32*BK32,-1,(1-SQRT((1-2*BF32*1E5/(DATOS!$C$29*AG32*BK32^2*DATOS!$C$21))))*DATOS!$C$21*AG32*BK32/DATOS!$C$14)))-0.0001,MAX(DATOS!$C$71,CEILING(BL32/INDEX(TABLAS!$D$52:$D$58,MIN(MATCH(DATOS!$C$68,TABLAS!$B$52:$B$58,0)+2,7)),1)),MAX(MAX(DATOS!$C$71,CEILING(BL32/INDEX(TABLAS!$D$52:$D$58,MIN(MATCH(DATOS!$C$68,TABLAS!$B$52:$B$58,0)+2,7)),1)),2))&lt;=MIN(DATOS!$C$70,INT(((AC32-2*AJ32)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32&gt;=0,IF(MAX(DATOS!$C$71,CEILING(BL32/INDEX(TABLAS!$D$52:$D$58,MIN(MATCH(DATOS!$C$68,TABLAS!$B$52:$B$58,0)+3,7)),1))*INDEX(TABLAS!$D$52:$D$58,MIN(MATCH(DATOS!$C$68,TABLAS!$B$52:$B$58,0)+3,7))&gt;=4/3*IF(BF32&lt;=0,0,IF((1-2*BF32*1E5/(DATOS!$C$29*AG32*BK32^2*DATOS!$C$21))&lt;0,-1,IF((1-SQRT((1-2*BF32*1E5/(DATOS!$C$29*AG32*BK32^2*DATOS!$C$21))))*DATOS!$C$21*AG32*BK32/DATOS!$C$14&gt;DATOS!$C$99*AG32*BK32,-1,(1-SQRT((1-2*BF32*1E5/(DATOS!$C$29*AG32*BK32^2*DATOS!$C$21))))*DATOS!$C$21*AG32*BK32/DATOS!$C$14)))-0.0001,MAX(DATOS!$C$71,CEILING(BL32/INDEX(TABLAS!$D$52:$D$58,MIN(MATCH(DATOS!$C$68,TABLAS!$B$52:$B$58,0)+3,7)),1)),MAX(MAX(DATOS!$C$71,CEILING(BL32/INDEX(TABLAS!$D$52:$D$58,MIN(MATCH(DATOS!$C$68,TABLAS!$B$52:$B$58,0)+3,7)),1)),2))&lt;=MIN(DATOS!$C$70,INT(((AC32-2*AJ32)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32&gt;=0,IF(MAX(DATOS!$C$71,CEILING(BL32/INDEX(TABLAS!$D$52:$D$58,MIN(MATCH(DATOS!$C$68,TABLAS!$B$52:$B$58,0)+4,7)),1))*INDEX(TABLAS!$D$52:$D$58,MIN(MATCH(DATOS!$C$68,TABLAS!$B$52:$B$58,0)+4,7))&gt;=4/3*IF(BF32&lt;=0,0,IF((1-2*BF32*1E5/(DATOS!$C$29*AG32*BK32^2*DATOS!$C$21))&lt;0,-1,IF((1-SQRT((1-2*BF32*1E5/(DATOS!$C$29*AG32*BK32^2*DATOS!$C$21))))*DATOS!$C$21*AG32*BK32/DATOS!$C$14&gt;DATOS!$C$99*AG32*BK32,-1,(1-SQRT((1-2*BF32*1E5/(DATOS!$C$29*AG32*BK32^2*DATOS!$C$21))))*DATOS!$C$21*AG32*BK32/DATOS!$C$14)))-0.0001,MAX(DATOS!$C$71,CEILING(BL32/INDEX(TABLAS!$D$52:$D$58,MIN(MATCH(DATOS!$C$68,TABLAS!$B$52:$B$58,0)+4,7)),1)),MAX(MAX(DATOS!$C$71,CEILING(BL32/INDEX(TABLAS!$D$52:$D$58,MIN(MATCH(DATOS!$C$68,TABLAS!$B$52:$B$58,0)+4,7)),1)),2))&lt;=MIN(DATOS!$C$70,INT(((AC32-2*AJ32)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32" s="59" t="str">
        <f>IF(U32&lt;&gt;"SÍ","",IF(BL32&lt;0,0,IF(MAX(DATOS!$C$71,CEILING(MAX(BL32,0)/INDEX(TABLAS!$D$52:$D$58,MATCH(BM32,TABLAS!$B$52:$B$58,0)),1))*INDEX(TABLAS!$D$52:$D$58,MATCH(BM32,TABLAS!$B$52:$B$58,0))&gt;=4/3*IF(BF32&lt;=0,0,IF((1-2*BF32*1E5/(DATOS!$C$29*AG32*BK32^2*DATOS!$C$21))&lt;0,-1,IF((1-SQRT((1-2*BF32*1E5/(DATOS!$C$29*AG32*BK32^2*DATOS!$C$21))))*DATOS!$C$21*AG32*BK32/DATOS!$C$14&gt;DATOS!$C$99*AG32*BK32,-1,(1-SQRT((1-2*BF32*1E5/(DATOS!$C$29*AG32*BK32^2*DATOS!$C$21))))*DATOS!$C$21*AG32*BK32/DATOS!$C$14)))-0.0001,MAX(DATOS!$C$71,CEILING(MAX(BL32,0)/INDEX(TABLAS!$D$52:$D$58,MATCH(BM32,TABLAS!$B$52:$B$58,0)),1)),MAX(MAX(DATOS!$C$71,CEILING(MAX(BL32,0)/INDEX(TABLAS!$D$52:$D$58,MATCH(BM32,TABLAS!$B$52:$B$58,0)),1)),2))))</f>
        <v/>
      </c>
      <c r="BO32" s="58" t="str">
        <f>IF(U32&lt;&gt;"SÍ","",DATOS!$C$82-AJ32-INDEX(TABLAS!$C$52:$C$58,MATCH(BM32,TABLAS!$B$52:$B$58,0))/2)</f>
        <v/>
      </c>
      <c r="BP32" s="56" t="str">
        <f>IF(U32&lt;&gt;"SÍ","",IF(BN32=0,0,DATOS!$C$29*BN32*INDEX(TABLAS!$D$52:$D$58,MATCH(BM32,TABLAS!$B$52:$B$58,0))*DATOS!$C$14*(BO32-BN32*INDEX(TABLAS!$D$52:$D$58,MATCH(BM32,TABLAS!$B$52:$B$58,0))*DATOS!$C$14/(DATOS!$C$21*AG32)/2)/1E5))</f>
        <v/>
      </c>
      <c r="BQ32" s="65" t="str">
        <f>IF(U32&lt;&gt;"SÍ","",IF(BL32&lt;0,9.99,IF(BP32&gt;0,BF32/BP32,0)))</f>
        <v/>
      </c>
      <c r="BR32" s="66" t="str">
        <f>IF(U32&lt;&gt;"SÍ","",IF(BN32=0,"—",0.003*(BO32-(BN32*INDEX(TABLAS!$D$52:$D$58,MATCH(BM32,TABLAS!$B$52:$B$58,0))*DATOS!$C$14/(DATOS!$C$21*AG32)/DATOS!$C$22))/(BN32*INDEX(TABLAS!$D$52:$D$58,MATCH(BM32,TABLAS!$B$52:$B$58,0))*DATOS!$C$14/(DATOS!$C$21*AG32)/DATOS!$C$22)))</f>
        <v/>
      </c>
      <c r="BS32" s="58" t="str">
        <f>IF(U32&lt;&gt;"SÍ","",((DATOS!$C$82-AL32-2*DATOS!$C$94-INDEX(TABLAS!$C$52:$C$58,MATCH(DATOS!$C$69,TABLAS!$B$52:$B$58,0))/2)-IF(AND((DATOS!$C$82-AL32-2*DATOS!$C$94-INDEX(TABLAS!$C$52:$C$58,MATCH(DATOS!$C$69,TABLAS!$B$52:$B$58,0))/2)&lt;=20,DATOS!$C$62&lt;&gt;"SÍ"),2,0)))</f>
        <v/>
      </c>
      <c r="BT32" s="58" t="str">
        <f>IF(U32&lt;&gt;"SÍ","",IF(IF(BG32&lt;=0,0,IF((1-2*BG32*1E5/(DATOS!$C$29*AE32*BS32^2*DATOS!$C$21))&lt;0,-1,IF((1-SQRT((1-2*BG32*1E5/(DATOS!$C$29*AE32*BS32^2*DATOS!$C$21))))*DATOS!$C$21*AE32*BS32/DATOS!$C$14&gt;DATOS!$C$99*AE32*BS32,-1,(1-SQRT((1-2*BG32*1E5/(DATOS!$C$29*AE32*BS32^2*DATOS!$C$21))))*DATOS!$C$21*AE32*BS32/DATOS!$C$14)))&lt;0,-1,MAX(IF(BG32&lt;=0,0,IF((1-2*BG32*1E5/(DATOS!$C$29*AE32*BS32^2*DATOS!$C$21))&lt;0,-1,IF((1-SQRT((1-2*BG32*1E5/(DATOS!$C$29*AE32*BS32^2*DATOS!$C$21))))*DATOS!$C$21*AE32*BS32/DATOS!$C$14&gt;DATOS!$C$99*AE32*BS32,-1,(1-SQRT((1-2*BG32*1E5/(DATOS!$C$29*AE32*BS32^2*DATOS!$C$21))))*DATOS!$C$21*AE32*BS32/DATOS!$C$14))),MIN(DATOS!$C$100*IF(C32="VOLADO",MIN(AG32,2*AC32),AC32)*BS32,4/3*IF(BG32&lt;=0,0,IF((1-2*BG32*1E5/(DATOS!$C$29*AE32*BS32^2*DATOS!$C$21))&lt;0,-1,IF((1-SQRT((1-2*BG32*1E5/(DATOS!$C$29*AE32*BS32^2*DATOS!$C$21))))*DATOS!$C$21*AE32*BS32/DATOS!$C$14&gt;DATOS!$C$99*AE32*BS32,-1,(1-SQRT((1-2*BG32*1E5/(DATOS!$C$29*AE32*BS32^2*DATOS!$C$21))))*DATOS!$C$21*AE32*BS32/DATOS!$C$14)))))))</f>
        <v/>
      </c>
      <c r="BU32" s="64" t="str">
        <f>IF(U32&lt;&gt;"SÍ","",IF(AND(BT32&gt;=0,IF(MAX(DATOS!$C$71,CEILING(BT32/INDEX(TABLAS!$D$52:$D$58,MIN(MATCH(DATOS!$C$69,TABLAS!$B$52:$B$58,0)+0,7)),1))*INDEX(TABLAS!$D$52:$D$58,MIN(MATCH(DATOS!$C$69,TABLAS!$B$52:$B$58,0)+0,7))&gt;=4/3*IF(BG32&lt;=0,0,IF((1-2*BG32*1E5/(DATOS!$C$29*AE32*BS32^2*DATOS!$C$21))&lt;0,-1,IF((1-SQRT((1-2*BG32*1E5/(DATOS!$C$29*AE32*BS32^2*DATOS!$C$21))))*DATOS!$C$21*AE32*BS32/DATOS!$C$14&gt;DATOS!$C$99*AE32*BS32,-1,(1-SQRT((1-2*BG32*1E5/(DATOS!$C$29*AE32*BS32^2*DATOS!$C$21))))*DATOS!$C$21*AE32*BS32/DATOS!$C$14)))-0.0001,MAX(DATOS!$C$71,CEILING(BT32/INDEX(TABLAS!$D$52:$D$58,MIN(MATCH(DATOS!$C$69,TABLAS!$B$52:$B$58,0)+0,7)),1)),MAX(MAX(DATOS!$C$71,CEILING(BT32/INDEX(TABLAS!$D$52:$D$58,MIN(MATCH(DATOS!$C$69,TABLAS!$B$52:$B$58,0)+0,7)),1)),2))&lt;=MIN(DATOS!$C$70,INT(((AC32-2*AK32)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32&gt;=0,IF(MAX(DATOS!$C$71,CEILING(BT32/INDEX(TABLAS!$D$52:$D$58,MIN(MATCH(DATOS!$C$69,TABLAS!$B$52:$B$58,0)+1,7)),1))*INDEX(TABLAS!$D$52:$D$58,MIN(MATCH(DATOS!$C$69,TABLAS!$B$52:$B$58,0)+1,7))&gt;=4/3*IF(BG32&lt;=0,0,IF((1-2*BG32*1E5/(DATOS!$C$29*AE32*BS32^2*DATOS!$C$21))&lt;0,-1,IF((1-SQRT((1-2*BG32*1E5/(DATOS!$C$29*AE32*BS32^2*DATOS!$C$21))))*DATOS!$C$21*AE32*BS32/DATOS!$C$14&gt;DATOS!$C$99*AE32*BS32,-1,(1-SQRT((1-2*BG32*1E5/(DATOS!$C$29*AE32*BS32^2*DATOS!$C$21))))*DATOS!$C$21*AE32*BS32/DATOS!$C$14)))-0.0001,MAX(DATOS!$C$71,CEILING(BT32/INDEX(TABLAS!$D$52:$D$58,MIN(MATCH(DATOS!$C$69,TABLAS!$B$52:$B$58,0)+1,7)),1)),MAX(MAX(DATOS!$C$71,CEILING(BT32/INDEX(TABLAS!$D$52:$D$58,MIN(MATCH(DATOS!$C$69,TABLAS!$B$52:$B$58,0)+1,7)),1)),2))&lt;=MIN(DATOS!$C$70,INT(((AC32-2*AK32)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32&gt;=0,IF(MAX(DATOS!$C$71,CEILING(BT32/INDEX(TABLAS!$D$52:$D$58,MIN(MATCH(DATOS!$C$69,TABLAS!$B$52:$B$58,0)+2,7)),1))*INDEX(TABLAS!$D$52:$D$58,MIN(MATCH(DATOS!$C$69,TABLAS!$B$52:$B$58,0)+2,7))&gt;=4/3*IF(BG32&lt;=0,0,IF((1-2*BG32*1E5/(DATOS!$C$29*AE32*BS32^2*DATOS!$C$21))&lt;0,-1,IF((1-SQRT((1-2*BG32*1E5/(DATOS!$C$29*AE32*BS32^2*DATOS!$C$21))))*DATOS!$C$21*AE32*BS32/DATOS!$C$14&gt;DATOS!$C$99*AE32*BS32,-1,(1-SQRT((1-2*BG32*1E5/(DATOS!$C$29*AE32*BS32^2*DATOS!$C$21))))*DATOS!$C$21*AE32*BS32/DATOS!$C$14)))-0.0001,MAX(DATOS!$C$71,CEILING(BT32/INDEX(TABLAS!$D$52:$D$58,MIN(MATCH(DATOS!$C$69,TABLAS!$B$52:$B$58,0)+2,7)),1)),MAX(MAX(DATOS!$C$71,CEILING(BT32/INDEX(TABLAS!$D$52:$D$58,MIN(MATCH(DATOS!$C$69,TABLAS!$B$52:$B$58,0)+2,7)),1)),2))&lt;=MIN(DATOS!$C$70,INT(((AC32-2*AK32)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32&gt;=0,IF(MAX(DATOS!$C$71,CEILING(BT32/INDEX(TABLAS!$D$52:$D$58,MIN(MATCH(DATOS!$C$69,TABLAS!$B$52:$B$58,0)+3,7)),1))*INDEX(TABLAS!$D$52:$D$58,MIN(MATCH(DATOS!$C$69,TABLAS!$B$52:$B$58,0)+3,7))&gt;=4/3*IF(BG32&lt;=0,0,IF((1-2*BG32*1E5/(DATOS!$C$29*AE32*BS32^2*DATOS!$C$21))&lt;0,-1,IF((1-SQRT((1-2*BG32*1E5/(DATOS!$C$29*AE32*BS32^2*DATOS!$C$21))))*DATOS!$C$21*AE32*BS32/DATOS!$C$14&gt;DATOS!$C$99*AE32*BS32,-1,(1-SQRT((1-2*BG32*1E5/(DATOS!$C$29*AE32*BS32^2*DATOS!$C$21))))*DATOS!$C$21*AE32*BS32/DATOS!$C$14)))-0.0001,MAX(DATOS!$C$71,CEILING(BT32/INDEX(TABLAS!$D$52:$D$58,MIN(MATCH(DATOS!$C$69,TABLAS!$B$52:$B$58,0)+3,7)),1)),MAX(MAX(DATOS!$C$71,CEILING(BT32/INDEX(TABLAS!$D$52:$D$58,MIN(MATCH(DATOS!$C$69,TABLAS!$B$52:$B$58,0)+3,7)),1)),2))&lt;=MIN(DATOS!$C$70,INT(((AC32-2*AK32)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32&gt;=0,IF(MAX(DATOS!$C$71,CEILING(BT32/INDEX(TABLAS!$D$52:$D$58,MIN(MATCH(DATOS!$C$69,TABLAS!$B$52:$B$58,0)+4,7)),1))*INDEX(TABLAS!$D$52:$D$58,MIN(MATCH(DATOS!$C$69,TABLAS!$B$52:$B$58,0)+4,7))&gt;=4/3*IF(BG32&lt;=0,0,IF((1-2*BG32*1E5/(DATOS!$C$29*AE32*BS32^2*DATOS!$C$21))&lt;0,-1,IF((1-SQRT((1-2*BG32*1E5/(DATOS!$C$29*AE32*BS32^2*DATOS!$C$21))))*DATOS!$C$21*AE32*BS32/DATOS!$C$14&gt;DATOS!$C$99*AE32*BS32,-1,(1-SQRT((1-2*BG32*1E5/(DATOS!$C$29*AE32*BS32^2*DATOS!$C$21))))*DATOS!$C$21*AE32*BS32/DATOS!$C$14)))-0.0001,MAX(DATOS!$C$71,CEILING(BT32/INDEX(TABLAS!$D$52:$D$58,MIN(MATCH(DATOS!$C$69,TABLAS!$B$52:$B$58,0)+4,7)),1)),MAX(MAX(DATOS!$C$71,CEILING(BT32/INDEX(TABLAS!$D$52:$D$58,MIN(MATCH(DATOS!$C$69,TABLAS!$B$52:$B$58,0)+4,7)),1)),2))&lt;=MIN(DATOS!$C$70,INT(((AC32-2*AK32)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32" s="59" t="str">
        <f>IF(U32&lt;&gt;"SÍ","",IF(BT32&lt;0,0,IF(MAX(DATOS!$C$71,CEILING(MAX(BT32,0)/INDEX(TABLAS!$D$52:$D$58,MATCH(BU32,TABLAS!$B$52:$B$58,0)),1))*INDEX(TABLAS!$D$52:$D$58,MATCH(BU32,TABLAS!$B$52:$B$58,0))&gt;=4/3*IF(BG32&lt;=0,0,IF((1-2*BG32*1E5/(DATOS!$C$29*AE32*BS32^2*DATOS!$C$21))&lt;0,-1,IF((1-SQRT((1-2*BG32*1E5/(DATOS!$C$29*AE32*BS32^2*DATOS!$C$21))))*DATOS!$C$21*AE32*BS32/DATOS!$C$14&gt;DATOS!$C$99*AE32*BS32,-1,(1-SQRT((1-2*BG32*1E5/(DATOS!$C$29*AE32*BS32^2*DATOS!$C$21))))*DATOS!$C$21*AE32*BS32/DATOS!$C$14)))-0.0001,MAX(DATOS!$C$71,CEILING(MAX(BT32,0)/INDEX(TABLAS!$D$52:$D$58,MATCH(BU32,TABLAS!$B$52:$B$58,0)),1)),MAX(MAX(DATOS!$C$71,CEILING(MAX(BT32,0)/INDEX(TABLAS!$D$52:$D$58,MATCH(BU32,TABLAS!$B$52:$B$58,0)),1)),2))))</f>
        <v/>
      </c>
      <c r="BW32" s="58" t="str">
        <f>IF(U32&lt;&gt;"SÍ","",((DATOS!$C$82-AL32-2*DATOS!$C$94-INDEX(TABLAS!$C$52:$C$58,MATCH(BU32,TABLAS!$B$52:$B$58,0))/2)-IF(AND((DATOS!$C$82-AL32-2*DATOS!$C$94-INDEX(TABLAS!$C$52:$C$58,MATCH(BU32,TABLAS!$B$52:$B$58,0))/2)&lt;=20,DATOS!$C$62&lt;&gt;"SÍ"),2,0)))</f>
        <v/>
      </c>
      <c r="BX32" s="56" t="str">
        <f>IF(U32&lt;&gt;"SÍ","",IF(BV32=0,0,DATOS!$C$29*BV32*INDEX(TABLAS!$D$52:$D$58,MATCH(BU32,TABLAS!$B$52:$B$58,0))*DATOS!$C$14*(BW32-BV32*INDEX(TABLAS!$D$52:$D$58,MATCH(BU32,TABLAS!$B$52:$B$58,0))*DATOS!$C$14/(DATOS!$C$21*AE32)/2)/1E5))</f>
        <v/>
      </c>
      <c r="BY32" s="65" t="str">
        <f>IF(U32&lt;&gt;"SÍ","",IF(BT32&lt;0,9.99,IF(BX32&gt;0,BG32/BX32,0)))</f>
        <v/>
      </c>
      <c r="BZ32" s="66" t="str">
        <f>IF(U32&lt;&gt;"SÍ","",IF(BV32=0,"—",0.003*(BW32-(BV32*INDEX(TABLAS!$D$52:$D$58,MATCH(BU32,TABLAS!$B$52:$B$58,0))*DATOS!$C$14/(DATOS!$C$21*AE32)/DATOS!$C$22))/(BV32*INDEX(TABLAS!$D$52:$D$58,MATCH(BU32,TABLAS!$B$52:$B$58,0))*DATOS!$C$14/(DATOS!$C$21*AE32)/DATOS!$C$22)))</f>
        <v/>
      </c>
      <c r="CA32" s="58" t="str">
        <f>IF(U32&lt;&gt;"SÍ","",(DATOS!$C$82-AJ32-INDEX(TABLAS!$C$52:$C$58,MATCH(DATOS!$C$68,TABLAS!$B$52:$B$58,0))-INDEX(TABLAS!$C$52:$C$58,MATCH(DATOS!$C$68,TABLAS!$B$52:$B$58,0))/2))</f>
        <v/>
      </c>
      <c r="CB32" s="58" t="str">
        <f>IF(U32&lt;&gt;"SÍ","",IF(IF(BH32&lt;=0,0,IF((1-2*BH32*1E5/(DATOS!$C$29*AH32*CA32^2*DATOS!$C$21))&lt;0,-1,IF((1-SQRT((1-2*BH32*1E5/(DATOS!$C$29*AH32*CA32^2*DATOS!$C$21))))*DATOS!$C$21*AH32*CA32/DATOS!$C$14&gt;DATOS!$C$99*AH32*CA32,-1,(1-SQRT((1-2*BH32*1E5/(DATOS!$C$29*AH32*CA32^2*DATOS!$C$21))))*DATOS!$C$21*AH32*CA32/DATOS!$C$14)))&lt;0,-1,MAX(IF(BH32&lt;=0,0,IF((1-2*BH32*1E5/(DATOS!$C$29*AH32*CA32^2*DATOS!$C$21))&lt;0,-1,IF((1-SQRT((1-2*BH32*1E5/(DATOS!$C$29*AH32*CA32^2*DATOS!$C$21))))*DATOS!$C$21*AH32*CA32/DATOS!$C$14&gt;DATOS!$C$99*AH32*CA32,-1,(1-SQRT((1-2*BH32*1E5/(DATOS!$C$29*AH32*CA32^2*DATOS!$C$21))))*DATOS!$C$21*AH32*CA32/DATOS!$C$14))),MIN(DATOS!$C$100*DATOS!$C$80*CA32,4/3*IF(BH32&lt;=0,0,IF((1-2*BH32*1E5/(DATOS!$C$29*AH32*CA32^2*DATOS!$C$21))&lt;0,-1,IF((1-SQRT((1-2*BH32*1E5/(DATOS!$C$29*AH32*CA32^2*DATOS!$C$21))))*DATOS!$C$21*AH32*CA32/DATOS!$C$14&gt;DATOS!$C$99*AH32*CA32,-1,(1-SQRT((1-2*BH32*1E5/(DATOS!$C$29*AH32*CA32^2*DATOS!$C$21))))*DATOS!$C$21*AH32*CA32/DATOS!$C$14)))))))</f>
        <v/>
      </c>
      <c r="CC32" s="64" t="str">
        <f>IF(U32&lt;&gt;"SÍ","",IF(AND(CB32&gt;=0,IF(MAX(DATOS!$C$71,CEILING(CB32/INDEX(TABLAS!$D$52:$D$58,MIN(MATCH(DATOS!$C$68,TABLAS!$B$52:$B$58,0)+0,7)),1))*INDEX(TABLAS!$D$52:$D$58,MIN(MATCH(DATOS!$C$68,TABLAS!$B$52:$B$58,0)+0,7))&gt;=4/3*IF(BH32&lt;=0,0,IF((1-2*BH32*1E5/(DATOS!$C$29*AH32*CA32^2*DATOS!$C$21))&lt;0,-1,IF((1-SQRT((1-2*BH32*1E5/(DATOS!$C$29*AH32*CA32^2*DATOS!$C$21))))*DATOS!$C$21*AH32*CA32/DATOS!$C$14&gt;DATOS!$C$99*AH32*CA32,-1,(1-SQRT((1-2*BH32*1E5/(DATOS!$C$29*AH32*CA32^2*DATOS!$C$21))))*DATOS!$C$21*AH32*CA32/DATOS!$C$14)))-0.0001,MAX(DATOS!$C$71,CEILING(CB32/INDEX(TABLAS!$D$52:$D$58,MIN(MATCH(DATOS!$C$68,TABLAS!$B$52:$B$58,0)+0,7)),1)),MAX(MAX(DATOS!$C$71,CEILING(CB32/INDEX(TABLAS!$D$52:$D$58,MIN(MATCH(DATOS!$C$68,TABLAS!$B$52:$B$58,0)+0,7)),1)),2))&lt;=MIN(DATOS!$C$70,INT(((DATOS!$C$80-2*AJ32)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32&gt;=0,IF(MAX(DATOS!$C$71,CEILING(CB32/INDEX(TABLAS!$D$52:$D$58,MIN(MATCH(DATOS!$C$68,TABLAS!$B$52:$B$58,0)+1,7)),1))*INDEX(TABLAS!$D$52:$D$58,MIN(MATCH(DATOS!$C$68,TABLAS!$B$52:$B$58,0)+1,7))&gt;=4/3*IF(BH32&lt;=0,0,IF((1-2*BH32*1E5/(DATOS!$C$29*AH32*CA32^2*DATOS!$C$21))&lt;0,-1,IF((1-SQRT((1-2*BH32*1E5/(DATOS!$C$29*AH32*CA32^2*DATOS!$C$21))))*DATOS!$C$21*AH32*CA32/DATOS!$C$14&gt;DATOS!$C$99*AH32*CA32,-1,(1-SQRT((1-2*BH32*1E5/(DATOS!$C$29*AH32*CA32^2*DATOS!$C$21))))*DATOS!$C$21*AH32*CA32/DATOS!$C$14)))-0.0001,MAX(DATOS!$C$71,CEILING(CB32/INDEX(TABLAS!$D$52:$D$58,MIN(MATCH(DATOS!$C$68,TABLAS!$B$52:$B$58,0)+1,7)),1)),MAX(MAX(DATOS!$C$71,CEILING(CB32/INDEX(TABLAS!$D$52:$D$58,MIN(MATCH(DATOS!$C$68,TABLAS!$B$52:$B$58,0)+1,7)),1)),2))&lt;=MIN(DATOS!$C$70,INT(((DATOS!$C$80-2*AJ32)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32&gt;=0,IF(MAX(DATOS!$C$71,CEILING(CB32/INDEX(TABLAS!$D$52:$D$58,MIN(MATCH(DATOS!$C$68,TABLAS!$B$52:$B$58,0)+2,7)),1))*INDEX(TABLAS!$D$52:$D$58,MIN(MATCH(DATOS!$C$68,TABLAS!$B$52:$B$58,0)+2,7))&gt;=4/3*IF(BH32&lt;=0,0,IF((1-2*BH32*1E5/(DATOS!$C$29*AH32*CA32^2*DATOS!$C$21))&lt;0,-1,IF((1-SQRT((1-2*BH32*1E5/(DATOS!$C$29*AH32*CA32^2*DATOS!$C$21))))*DATOS!$C$21*AH32*CA32/DATOS!$C$14&gt;DATOS!$C$99*AH32*CA32,-1,(1-SQRT((1-2*BH32*1E5/(DATOS!$C$29*AH32*CA32^2*DATOS!$C$21))))*DATOS!$C$21*AH32*CA32/DATOS!$C$14)))-0.0001,MAX(DATOS!$C$71,CEILING(CB32/INDEX(TABLAS!$D$52:$D$58,MIN(MATCH(DATOS!$C$68,TABLAS!$B$52:$B$58,0)+2,7)),1)),MAX(MAX(DATOS!$C$71,CEILING(CB32/INDEX(TABLAS!$D$52:$D$58,MIN(MATCH(DATOS!$C$68,TABLAS!$B$52:$B$58,0)+2,7)),1)),2))&lt;=MIN(DATOS!$C$70,INT(((DATOS!$C$80-2*AJ32)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32&gt;=0,IF(MAX(DATOS!$C$71,CEILING(CB32/INDEX(TABLAS!$D$52:$D$58,MIN(MATCH(DATOS!$C$68,TABLAS!$B$52:$B$58,0)+3,7)),1))*INDEX(TABLAS!$D$52:$D$58,MIN(MATCH(DATOS!$C$68,TABLAS!$B$52:$B$58,0)+3,7))&gt;=4/3*IF(BH32&lt;=0,0,IF((1-2*BH32*1E5/(DATOS!$C$29*AH32*CA32^2*DATOS!$C$21))&lt;0,-1,IF((1-SQRT((1-2*BH32*1E5/(DATOS!$C$29*AH32*CA32^2*DATOS!$C$21))))*DATOS!$C$21*AH32*CA32/DATOS!$C$14&gt;DATOS!$C$99*AH32*CA32,-1,(1-SQRT((1-2*BH32*1E5/(DATOS!$C$29*AH32*CA32^2*DATOS!$C$21))))*DATOS!$C$21*AH32*CA32/DATOS!$C$14)))-0.0001,MAX(DATOS!$C$71,CEILING(CB32/INDEX(TABLAS!$D$52:$D$58,MIN(MATCH(DATOS!$C$68,TABLAS!$B$52:$B$58,0)+3,7)),1)),MAX(MAX(DATOS!$C$71,CEILING(CB32/INDEX(TABLAS!$D$52:$D$58,MIN(MATCH(DATOS!$C$68,TABLAS!$B$52:$B$58,0)+3,7)),1)),2))&lt;=MIN(DATOS!$C$70,INT(((DATOS!$C$80-2*AJ32)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32&gt;=0,IF(MAX(DATOS!$C$71,CEILING(CB32/INDEX(TABLAS!$D$52:$D$58,MIN(MATCH(DATOS!$C$68,TABLAS!$B$52:$B$58,0)+4,7)),1))*INDEX(TABLAS!$D$52:$D$58,MIN(MATCH(DATOS!$C$68,TABLAS!$B$52:$B$58,0)+4,7))&gt;=4/3*IF(BH32&lt;=0,0,IF((1-2*BH32*1E5/(DATOS!$C$29*AH32*CA32^2*DATOS!$C$21))&lt;0,-1,IF((1-SQRT((1-2*BH32*1E5/(DATOS!$C$29*AH32*CA32^2*DATOS!$C$21))))*DATOS!$C$21*AH32*CA32/DATOS!$C$14&gt;DATOS!$C$99*AH32*CA32,-1,(1-SQRT((1-2*BH32*1E5/(DATOS!$C$29*AH32*CA32^2*DATOS!$C$21))))*DATOS!$C$21*AH32*CA32/DATOS!$C$14)))-0.0001,MAX(DATOS!$C$71,CEILING(CB32/INDEX(TABLAS!$D$52:$D$58,MIN(MATCH(DATOS!$C$68,TABLAS!$B$52:$B$58,0)+4,7)),1)),MAX(MAX(DATOS!$C$71,CEILING(CB32/INDEX(TABLAS!$D$52:$D$58,MIN(MATCH(DATOS!$C$68,TABLAS!$B$52:$B$58,0)+4,7)),1)),2))&lt;=MIN(DATOS!$C$70,INT(((DATOS!$C$80-2*AJ32)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32" s="59" t="str">
        <f>IF(U32&lt;&gt;"SÍ","",IF(CB32&lt;0,0,IF(MAX(DATOS!$C$71,CEILING(MAX(CB32,0)/INDEX(TABLAS!$D$52:$D$58,MATCH(CC32,TABLAS!$B$52:$B$58,0)),1))*INDEX(TABLAS!$D$52:$D$58,MATCH(CC32,TABLAS!$B$52:$B$58,0))&gt;=4/3*IF(BH32&lt;=0,0,IF((1-2*BH32*1E5/(DATOS!$C$29*AH32*CA32^2*DATOS!$C$21))&lt;0,-1,IF((1-SQRT((1-2*BH32*1E5/(DATOS!$C$29*AH32*CA32^2*DATOS!$C$21))))*DATOS!$C$21*AH32*CA32/DATOS!$C$14&gt;DATOS!$C$99*AH32*CA32,-1,(1-SQRT((1-2*BH32*1E5/(DATOS!$C$29*AH32*CA32^2*DATOS!$C$21))))*DATOS!$C$21*AH32*CA32/DATOS!$C$14)))-0.0001,MAX(DATOS!$C$71,CEILING(MAX(CB32,0)/INDEX(TABLAS!$D$52:$D$58,MATCH(CC32,TABLAS!$B$52:$B$58,0)),1)),MAX(MAX(DATOS!$C$71,CEILING(MAX(CB32,0)/INDEX(TABLAS!$D$52:$D$58,MATCH(CC32,TABLAS!$B$52:$B$58,0)),1)),2))))</f>
        <v/>
      </c>
      <c r="CE32" s="58" t="str">
        <f>IF(U32&lt;&gt;"SÍ","",DATOS!$C$82-AJ32-INDEX(TABLAS!$C$52:$C$58,MATCH(BM32,TABLAS!$B$52:$B$58,0))-INDEX(TABLAS!$C$52:$C$58,MATCH(CC32,TABLAS!$B$52:$B$58,0))/2)</f>
        <v/>
      </c>
      <c r="CF32" s="56" t="str">
        <f>IF(U32&lt;&gt;"SÍ","",IF(CD32=0,0,DATOS!$C$29*CD32*INDEX(TABLAS!$D$52:$D$58,MATCH(CC32,TABLAS!$B$52:$B$58,0))*DATOS!$C$14*(CE32-CD32*INDEX(TABLAS!$D$52:$D$58,MATCH(CC32,TABLAS!$B$52:$B$58,0))*DATOS!$C$14/(DATOS!$C$21*AH32)/2)/1E5))</f>
        <v/>
      </c>
      <c r="CG32" s="65" t="str">
        <f>IF(U32&lt;&gt;"SÍ","",IF(CB32&lt;0,9.99,IF(CF32&gt;0,BH32/CF32,0)))</f>
        <v/>
      </c>
      <c r="CH32" s="66" t="str">
        <f>IF(U32&lt;&gt;"SÍ","",IF(CD32=0,"—",0.003*(CE32-(CD32*INDEX(TABLAS!$D$52:$D$58,MATCH(CC32,TABLAS!$B$52:$B$58,0))*DATOS!$C$14/(DATOS!$C$21*AH32)/DATOS!$C$22))/(CD32*INDEX(TABLAS!$D$52:$D$58,MATCH(CC32,TABLAS!$B$52:$B$58,0))*DATOS!$C$14/(DATOS!$C$21*AH32)/DATOS!$C$22)))</f>
        <v/>
      </c>
      <c r="CI32" s="58" t="str">
        <f>IF(U32&lt;&gt;"SÍ","",((DATOS!$C$82-AL32-2*DATOS!$C$94-INDEX(TABLAS!$C$52:$C$58,MATCH(DATOS!$C$69,TABLAS!$B$52:$B$58,0))-INDEX(TABLAS!$C$52:$C$58,MATCH(DATOS!$C$69,TABLAS!$B$52:$B$58,0))/2)-IF(AND((DATOS!$C$82-AL32-2*DATOS!$C$94-INDEX(TABLAS!$C$52:$C$58,MATCH(DATOS!$C$69,TABLAS!$B$52:$B$58,0))-INDEX(TABLAS!$C$52:$C$58,MATCH(DATOS!$C$69,TABLAS!$B$52:$B$58,0))/2)&lt;=20,DATOS!$C$62&lt;&gt;"SÍ"),2,0)))</f>
        <v/>
      </c>
      <c r="CJ32" s="58" t="str">
        <f>IF(U32&lt;&gt;"SÍ","",IF(IF(BI32&lt;=0,0,IF((1-2*BI32*1E5/(DATOS!$C$29*AF32*CI32^2*DATOS!$C$21))&lt;0,-1,IF((1-SQRT((1-2*BI32*1E5/(DATOS!$C$29*AF32*CI32^2*DATOS!$C$21))))*DATOS!$C$21*AF32*CI32/DATOS!$C$14&gt;DATOS!$C$99*AF32*CI32,-1,(1-SQRT((1-2*BI32*1E5/(DATOS!$C$29*AF32*CI32^2*DATOS!$C$21))))*DATOS!$C$21*AF32*CI32/DATOS!$C$14)))&lt;0,-1,MAX(IF(BI32&lt;=0,0,IF((1-2*BI32*1E5/(DATOS!$C$29*AF32*CI32^2*DATOS!$C$21))&lt;0,-1,IF((1-SQRT((1-2*BI32*1E5/(DATOS!$C$29*AF32*CI32^2*DATOS!$C$21))))*DATOS!$C$21*AF32*CI32/DATOS!$C$14&gt;DATOS!$C$99*AF32*CI32,-1,(1-SQRT((1-2*BI32*1E5/(DATOS!$C$29*AF32*CI32^2*DATOS!$C$21))))*DATOS!$C$21*AF32*CI32/DATOS!$C$14))),MIN(DATOS!$C$100*DATOS!$C$80*CI32,4/3*IF(BI32&lt;=0,0,IF((1-2*BI32*1E5/(DATOS!$C$29*AF32*CI32^2*DATOS!$C$21))&lt;0,-1,IF((1-SQRT((1-2*BI32*1E5/(DATOS!$C$29*AF32*CI32^2*DATOS!$C$21))))*DATOS!$C$21*AF32*CI32/DATOS!$C$14&gt;DATOS!$C$99*AF32*CI32,-1,(1-SQRT((1-2*BI32*1E5/(DATOS!$C$29*AF32*CI32^2*DATOS!$C$21))))*DATOS!$C$21*AF32*CI32/DATOS!$C$14)))))))</f>
        <v/>
      </c>
      <c r="CK32" s="64" t="str">
        <f>IF(U32&lt;&gt;"SÍ","",IF(AND(CJ32&gt;=0,IF(MAX(DATOS!$C$71,CEILING(CJ32/INDEX(TABLAS!$D$52:$D$58,MIN(MATCH(DATOS!$C$69,TABLAS!$B$52:$B$58,0)+0,7)),1))*INDEX(TABLAS!$D$52:$D$58,MIN(MATCH(DATOS!$C$69,TABLAS!$B$52:$B$58,0)+0,7))&gt;=4/3*IF(BI32&lt;=0,0,IF((1-2*BI32*1E5/(DATOS!$C$29*AF32*CI32^2*DATOS!$C$21))&lt;0,-1,IF((1-SQRT((1-2*BI32*1E5/(DATOS!$C$29*AF32*CI32^2*DATOS!$C$21))))*DATOS!$C$21*AF32*CI32/DATOS!$C$14&gt;DATOS!$C$99*AF32*CI32,-1,(1-SQRT((1-2*BI32*1E5/(DATOS!$C$29*AF32*CI32^2*DATOS!$C$21))))*DATOS!$C$21*AF32*CI32/DATOS!$C$14)))-0.0001,MAX(DATOS!$C$71,CEILING(CJ32/INDEX(TABLAS!$D$52:$D$58,MIN(MATCH(DATOS!$C$69,TABLAS!$B$52:$B$58,0)+0,7)),1)),MAX(MAX(DATOS!$C$71,CEILING(CJ32/INDEX(TABLAS!$D$52:$D$58,MIN(MATCH(DATOS!$C$69,TABLAS!$B$52:$B$58,0)+0,7)),1)),2))&lt;=MIN(DATOS!$C$70,INT(((DATOS!$C$80-2*AK32)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32&gt;=0,IF(MAX(DATOS!$C$71,CEILING(CJ32/INDEX(TABLAS!$D$52:$D$58,MIN(MATCH(DATOS!$C$69,TABLAS!$B$52:$B$58,0)+1,7)),1))*INDEX(TABLAS!$D$52:$D$58,MIN(MATCH(DATOS!$C$69,TABLAS!$B$52:$B$58,0)+1,7))&gt;=4/3*IF(BI32&lt;=0,0,IF((1-2*BI32*1E5/(DATOS!$C$29*AF32*CI32^2*DATOS!$C$21))&lt;0,-1,IF((1-SQRT((1-2*BI32*1E5/(DATOS!$C$29*AF32*CI32^2*DATOS!$C$21))))*DATOS!$C$21*AF32*CI32/DATOS!$C$14&gt;DATOS!$C$99*AF32*CI32,-1,(1-SQRT((1-2*BI32*1E5/(DATOS!$C$29*AF32*CI32^2*DATOS!$C$21))))*DATOS!$C$21*AF32*CI32/DATOS!$C$14)))-0.0001,MAX(DATOS!$C$71,CEILING(CJ32/INDEX(TABLAS!$D$52:$D$58,MIN(MATCH(DATOS!$C$69,TABLAS!$B$52:$B$58,0)+1,7)),1)),MAX(MAX(DATOS!$C$71,CEILING(CJ32/INDEX(TABLAS!$D$52:$D$58,MIN(MATCH(DATOS!$C$69,TABLAS!$B$52:$B$58,0)+1,7)),1)),2))&lt;=MIN(DATOS!$C$70,INT(((DATOS!$C$80-2*AK32)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32&gt;=0,IF(MAX(DATOS!$C$71,CEILING(CJ32/INDEX(TABLAS!$D$52:$D$58,MIN(MATCH(DATOS!$C$69,TABLAS!$B$52:$B$58,0)+2,7)),1))*INDEX(TABLAS!$D$52:$D$58,MIN(MATCH(DATOS!$C$69,TABLAS!$B$52:$B$58,0)+2,7))&gt;=4/3*IF(BI32&lt;=0,0,IF((1-2*BI32*1E5/(DATOS!$C$29*AF32*CI32^2*DATOS!$C$21))&lt;0,-1,IF((1-SQRT((1-2*BI32*1E5/(DATOS!$C$29*AF32*CI32^2*DATOS!$C$21))))*DATOS!$C$21*AF32*CI32/DATOS!$C$14&gt;DATOS!$C$99*AF32*CI32,-1,(1-SQRT((1-2*BI32*1E5/(DATOS!$C$29*AF32*CI32^2*DATOS!$C$21))))*DATOS!$C$21*AF32*CI32/DATOS!$C$14)))-0.0001,MAX(DATOS!$C$71,CEILING(CJ32/INDEX(TABLAS!$D$52:$D$58,MIN(MATCH(DATOS!$C$69,TABLAS!$B$52:$B$58,0)+2,7)),1)),MAX(MAX(DATOS!$C$71,CEILING(CJ32/INDEX(TABLAS!$D$52:$D$58,MIN(MATCH(DATOS!$C$69,TABLAS!$B$52:$B$58,0)+2,7)),1)),2))&lt;=MIN(DATOS!$C$70,INT(((DATOS!$C$80-2*AK32)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32&gt;=0,IF(MAX(DATOS!$C$71,CEILING(CJ32/INDEX(TABLAS!$D$52:$D$58,MIN(MATCH(DATOS!$C$69,TABLAS!$B$52:$B$58,0)+3,7)),1))*INDEX(TABLAS!$D$52:$D$58,MIN(MATCH(DATOS!$C$69,TABLAS!$B$52:$B$58,0)+3,7))&gt;=4/3*IF(BI32&lt;=0,0,IF((1-2*BI32*1E5/(DATOS!$C$29*AF32*CI32^2*DATOS!$C$21))&lt;0,-1,IF((1-SQRT((1-2*BI32*1E5/(DATOS!$C$29*AF32*CI32^2*DATOS!$C$21))))*DATOS!$C$21*AF32*CI32/DATOS!$C$14&gt;DATOS!$C$99*AF32*CI32,-1,(1-SQRT((1-2*BI32*1E5/(DATOS!$C$29*AF32*CI32^2*DATOS!$C$21))))*DATOS!$C$21*AF32*CI32/DATOS!$C$14)))-0.0001,MAX(DATOS!$C$71,CEILING(CJ32/INDEX(TABLAS!$D$52:$D$58,MIN(MATCH(DATOS!$C$69,TABLAS!$B$52:$B$58,0)+3,7)),1)),MAX(MAX(DATOS!$C$71,CEILING(CJ32/INDEX(TABLAS!$D$52:$D$58,MIN(MATCH(DATOS!$C$69,TABLAS!$B$52:$B$58,0)+3,7)),1)),2))&lt;=MIN(DATOS!$C$70,INT(((DATOS!$C$80-2*AK32)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32&gt;=0,IF(MAX(DATOS!$C$71,CEILING(CJ32/INDEX(TABLAS!$D$52:$D$58,MIN(MATCH(DATOS!$C$69,TABLAS!$B$52:$B$58,0)+4,7)),1))*INDEX(TABLAS!$D$52:$D$58,MIN(MATCH(DATOS!$C$69,TABLAS!$B$52:$B$58,0)+4,7))&gt;=4/3*IF(BI32&lt;=0,0,IF((1-2*BI32*1E5/(DATOS!$C$29*AF32*CI32^2*DATOS!$C$21))&lt;0,-1,IF((1-SQRT((1-2*BI32*1E5/(DATOS!$C$29*AF32*CI32^2*DATOS!$C$21))))*DATOS!$C$21*AF32*CI32/DATOS!$C$14&gt;DATOS!$C$99*AF32*CI32,-1,(1-SQRT((1-2*BI32*1E5/(DATOS!$C$29*AF32*CI32^2*DATOS!$C$21))))*DATOS!$C$21*AF32*CI32/DATOS!$C$14)))-0.0001,MAX(DATOS!$C$71,CEILING(CJ32/INDEX(TABLAS!$D$52:$D$58,MIN(MATCH(DATOS!$C$69,TABLAS!$B$52:$B$58,0)+4,7)),1)),MAX(MAX(DATOS!$C$71,CEILING(CJ32/INDEX(TABLAS!$D$52:$D$58,MIN(MATCH(DATOS!$C$69,TABLAS!$B$52:$B$58,0)+4,7)),1)),2))&lt;=MIN(DATOS!$C$70,INT(((DATOS!$C$80-2*AK32)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32" s="59" t="str">
        <f>IF(U32&lt;&gt;"SÍ","",IF(CJ32&lt;0,0,IF(MAX(DATOS!$C$71,CEILING(MAX(CJ32,0)/INDEX(TABLAS!$D$52:$D$58,MATCH(CK32,TABLAS!$B$52:$B$58,0)),1))*INDEX(TABLAS!$D$52:$D$58,MATCH(CK32,TABLAS!$B$52:$B$58,0))&gt;=4/3*IF(BI32&lt;=0,0,IF((1-2*BI32*1E5/(DATOS!$C$29*AF32*CI32^2*DATOS!$C$21))&lt;0,-1,IF((1-SQRT((1-2*BI32*1E5/(DATOS!$C$29*AF32*CI32^2*DATOS!$C$21))))*DATOS!$C$21*AF32*CI32/DATOS!$C$14&gt;DATOS!$C$99*AF32*CI32,-1,(1-SQRT((1-2*BI32*1E5/(DATOS!$C$29*AF32*CI32^2*DATOS!$C$21))))*DATOS!$C$21*AF32*CI32/DATOS!$C$14)))-0.0001,MAX(DATOS!$C$71,CEILING(MAX(CJ32,0)/INDEX(TABLAS!$D$52:$D$58,MATCH(CK32,TABLAS!$B$52:$B$58,0)),1)),MAX(MAX(DATOS!$C$71,CEILING(MAX(CJ32,0)/INDEX(TABLAS!$D$52:$D$58,MATCH(CK32,TABLAS!$B$52:$B$58,0)),1)),2))))</f>
        <v/>
      </c>
      <c r="CM32" s="58" t="str">
        <f>IF(U32&lt;&gt;"SÍ","",((DATOS!$C$82-AL32-2*DATOS!$C$94-INDEX(TABLAS!$C$52:$C$58,MATCH(BU32,TABLAS!$B$52:$B$58,0))-INDEX(TABLAS!$C$52:$C$58,MATCH(CK32,TABLAS!$B$52:$B$58,0))/2)-IF(AND((DATOS!$C$82-AL32-2*DATOS!$C$94-INDEX(TABLAS!$C$52:$C$58,MATCH(BU32,TABLAS!$B$52:$B$58,0))-INDEX(TABLAS!$C$52:$C$58,MATCH(CK32,TABLAS!$B$52:$B$58,0))/2)&lt;=20,DATOS!$C$62&lt;&gt;"SÍ"),2,0)))</f>
        <v/>
      </c>
      <c r="CN32" s="56" t="str">
        <f>IF(U32&lt;&gt;"SÍ","",IF(CL32=0,0,DATOS!$C$29*CL32*INDEX(TABLAS!$D$52:$D$58,MATCH(CK32,TABLAS!$B$52:$B$58,0))*DATOS!$C$14*(CM32-CL32*INDEX(TABLAS!$D$52:$D$58,MATCH(CK32,TABLAS!$B$52:$B$58,0))*DATOS!$C$14/(DATOS!$C$21*AF32)/2)/1E5))</f>
        <v/>
      </c>
      <c r="CO32" s="65" t="str">
        <f>IF(U32&lt;&gt;"SÍ","",IF(CJ32&lt;0,9.99,IF(CN32&gt;0,BI32/CN32,0)))</f>
        <v/>
      </c>
      <c r="CP32" s="66" t="str">
        <f>IF(U32&lt;&gt;"SÍ","",IF(CL32=0,"—",0.003*(CM32-(CL32*INDEX(TABLAS!$D$52:$D$58,MATCH(CK32,TABLAS!$B$52:$B$58,0))*DATOS!$C$14/(DATOS!$C$21*AF32)/DATOS!$C$22))/(CL32*INDEX(TABLAS!$D$52:$D$58,MATCH(CK32,TABLAS!$B$52:$B$58,0))*DATOS!$C$14/(DATOS!$C$21*AF32)/DATOS!$C$22)))</f>
        <v/>
      </c>
      <c r="CQ32" s="56" t="str">
        <f>IF(U32&lt;&gt;"SÍ","",IF(C32="PERIMETRAL",MAX(0,(AA32/2-BW32)/100)*(0.95-0.5*Z32)*AQ32*IF(AND(AR32&gt;0,AR32&lt;4),DATOS!$C$33,1)*DATOS!$C$83/100/1000,(AQ32*MAX(0,AA32-BW32)/100+DATOS!$C$26*N(O32))*DATOS!$C$83/100/1000+BE32))</f>
        <v/>
      </c>
      <c r="CR32" s="56" t="str">
        <f>IF(U32&lt;&gt;"SÍ","",DATOS!$C$30*2*MIN(1,SQRT(2/(1+0.04*BW32)))*(BV32*INDEX(TABLAS!$D$52:$D$58,MATCH(BU32,TABLAS!$B$52:$B$58,0))/(AE32*BW32))^(1/3)*SQRT(DATOS!$C$13)*AE32*BW32*IF(AI32="SÍ",DATOS!$C$32,1)/1000)</f>
        <v/>
      </c>
      <c r="CS32" s="59" t="str">
        <f>IF(U32&lt;&gt;"SÍ","",IF(CQ32&lt;=CR32,0,CEILING(MAX(0,IF(C32="VOLADO",(AA32-((CR32-BE32)*1E5/DATOS!$C$83-DATOS!$C$26*N(O32))*100/AQ32),IF(CR32&lt;=0,AA32,AA32/2-CR32/MAX(CQ32,1E-9)*(AA32/2-BW32)))-IF(INT((X32*100-DATOS!$C$84+DATOS!$C$80)/DATOS!$C$83)&gt;0,(X32*100-DATOS!$C$84-(INT((X32*100-DATOS!$C$84+DATOS!$C$80)/DATOS!$C$83)*DATOS!$C$78+(INT((X32*100-DATOS!$C$84+DATOS!$C$80)/DATOS!$C$83)-1)*DATOS!$C$80))/2,X32*100/2))/DATOS!$C$83,1)))</f>
        <v/>
      </c>
      <c r="CT32" s="67" t="str">
        <f>IF(U32&lt;&gt;"SÍ","",IF(CQ32&lt;=CR32,"CUMPLE",IF(CS32&lt;=0,"CUMPLE (basta el macizo de orilla)",IF(CS32*DATOS!$C$83*IF(C32="VOLADO",1,2)&gt;=X32*100-DATOS!$C$84,"NO CUMPLE: no alcanza ni macizando todo","MACIZAR "&amp;CS32&amp;" hilera(s)"))))</f>
        <v/>
      </c>
      <c r="CU32" s="58" t="str">
        <f>IF(U32&lt;&gt;"SÍ","",(DATOS!$C$83*DATOS!$C$81^2/2+AC32*DATOS!$C$79*(DATOS!$C$81+DATOS!$C$79/2))/(DATOS!$C$83*DATOS!$C$81+AC32*DATOS!$C$79))</f>
        <v/>
      </c>
      <c r="CV32" s="68" t="str">
        <f>IF(U32&lt;&gt;"SÍ","",DATOS!$C$83*DATOS!$C$81^3/12+DATOS!$C$83*DATOS!$C$81*(CU32-DATOS!$C$81/2)^2+AC32*DATOS!$C$79^3/12+AC32*DATOS!$C$79*(DATOS!$C$81+DATOS!$C$79/2-CU32)^2)</f>
        <v/>
      </c>
      <c r="CW32" s="58" t="str">
        <f>IF(U32&lt;&gt;"SÍ","",(12*CV32/DATOS!$C$83)^(1/3))</f>
        <v/>
      </c>
      <c r="CX32" s="58" t="str">
        <f>IF(U32&lt;&gt;"SÍ","",IF(C32="PERIMETRAL",IF(ISNUMBER(R32),R32,DATOS!$C$101),0))</f>
        <v/>
      </c>
      <c r="CY32" s="57" t="str">
        <f>IF(U32&lt;&gt;"SÍ","",IF(C32="PERIMETRAL",IF(CX32&gt;2,MAX(9,AB32*(0.8+DATOS!$C$14/14000)/(36+9*(AB32/MAX(AA32,1)))),IF(CX32&gt;0.2,MAX(13,AB32*(0.8+DATOS!$C$14/14000)/(36+5*(AB32/MAX(AA32,1))*(CX32-0.2))),MAX(13,AB32/IF(AR32&gt;0,30,33))))*IF(AND(CX32&gt;0.2,AR32&gt;0,DATOS!$C$102="NO"),1.1,1),X32*100/8))</f>
        <v/>
      </c>
      <c r="CZ32" s="61" t="str">
        <f>IF(U32&lt;&gt;"SÍ","",IF(IF(C32="VOLADO",DATOS!$C$82,CW32)&gt;=CY32,"CUMPLE",IF(C32="VOLADO","NO CUMPLE","CALCULAR FLECHA")))</f>
        <v/>
      </c>
      <c r="DA32" s="55" t="str">
        <f>IF(U32&lt;&gt;"SÍ","",IF(DATOS!$C$81&gt;=IF(IF(C32="VOLADO",X32,Y32)&gt;=6,6,5),"CUMPLE","CAPA ≥ 6 cm"))</f>
        <v/>
      </c>
      <c r="DB32" s="60" t="str">
        <f>IF(U32&lt;&gt;"SÍ","",IF(C32="VOLADO",MIN(CEILING(IF(ISNUMBER(P32),P32,X32)*100,5),CEILING(MAX(IF((0.5*(0.9*DATOS!$C$87*DATOS!$C$83/100/1000)*IF(ISNUMBER(P32),P32,X32)+BG32/IF(ISNUMBER(P32),P32,X32))^2-4*(0.5*(0.9*DATOS!$C$87*DATOS!$C$83/100/1000))*BG32&lt;0,IF(ISNUMBER(P32),P32,X32),MIN(IF(ISNUMBER(P32),P32,X32),((0.5*(0.9*DATOS!$C$87*DATOS!$C$83/100/1000)*IF(ISNUMBER(P32),P32,X32)+BG32/IF(ISNUMBER(P32),P32,X32))-SQRT((0.5*(0.9*DATOS!$C$87*DATOS!$C$83/100/1000)*IF(ISNUMBER(P32),P32,X32)+BG32/IF(ISNUMBER(P32),P32,X32))^2-4*(0.5*(0.9*DATOS!$C$87*DATOS!$C$83/100/1000))*BG32))/(2*(0.5*(0.9*DATOS!$C$87*DATOS!$C$83/100/1000)))))*100+MAX(BW32,12*INDEX(TABLAS!$C$52:$C$58,MATCH(BU32,TABLAS!$B$52:$B$58,0)),IF(ISNUMBER(P32),P32,X32)*100/16),IF(OR(AK32&lt;INDEX(TABLAS!$C$52:$C$58,MATCH(BU32,TABLAS!$B$52:$B$58,0)),AND(BV32&gt;=2,(AC32-2*AK32-BV32*INDEX(TABLAS!$C$52:$C$58,MATCH(BU32,TABLAS!$B$52:$B$58,0)))/MAX(BV32-1,1)&lt;2*INDEX(TABLAS!$C$52:$C$58,MATCH(BU32,TABLAS!$B$52:$B$58,0)))),INDEX(TABLAS!$I$52:$I$58,MATCH(BU32,TABLAS!$B$52:$B$58,0)),INDEX(TABLAS!$F$52:$F$58,MATCH(BU32,TABLAS!$B$52:$B$58,0)))),5)),IF(((4*((BB32*AQ32*X32^2*1E-4*DATOS!$C$83/100/1000)+((MAX(AX32,AZ32)*AQ32*X32^2*1E-4*DATOS!$C$83/100/1000)+(IF(AND(AX32&gt;0,AZ32&gt;0),MIN(AX32,AZ32),MAX(AX32,AZ32))*AQ32*X32^2*1E-4*DATOS!$C$83/100/1000))/2)+BG32-(IF(AND(AX32&gt;0,AZ32&gt;0),MIN(AX32,AZ32),MAX(AX32,AZ32))*AQ32*X32^2*1E-4*DATOS!$C$83/100/1000))^2-16*((BB32*AQ32*X32^2*1E-4*DATOS!$C$83/100/1000)+((MAX(AX32,AZ32)*AQ32*X32^2*1E-4*DATOS!$C$83/100/1000)+(IF(AND(AX32&gt;0,AZ32&gt;0),MIN(AX32,AZ32),MAX(AX32,AZ32))*AQ32*X32^2*1E-4*DATOS!$C$83/100/1000))/2)*BG32)&lt;0,CEILING(AA32,5),CEILING(MAX(AA32*((4*((BB32*AQ32*X32^2*1E-4*DATOS!$C$83/100/1000)+((MAX(AX32,AZ32)*AQ32*X32^2*1E-4*DATOS!$C$83/100/1000)+(IF(AND(AX32&gt;0,AZ32&gt;0),MIN(AX32,AZ32),MAX(AX32,AZ32))*AQ32*X32^2*1E-4*DATOS!$C$83/100/1000))/2)+BG32-(IF(AND(AX32&gt;0,AZ32&gt;0),MIN(AX32,AZ32),MAX(AX32,AZ32))*AQ32*X32^2*1E-4*DATOS!$C$83/100/1000))-SQRT(MAX(0,((4*((BB32*AQ32*X32^2*1E-4*DATOS!$C$83/100/1000)+((MAX(AX32,AZ32)*AQ32*X32^2*1E-4*DATOS!$C$83/100/1000)+(IF(AND(AX32&gt;0,AZ32&gt;0),MIN(AX32,AZ32),MAX(AX32,AZ32))*AQ32*X32^2*1E-4*DATOS!$C$83/100/1000))/2)+BG32-(IF(AND(AX32&gt;0,AZ32&gt;0),MIN(AX32,AZ32),MAX(AX32,AZ32))*AQ32*X32^2*1E-4*DATOS!$C$83/100/1000))^2-16*((BB32*AQ32*X32^2*1E-4*DATOS!$C$83/100/1000)+((MAX(AX32,AZ32)*AQ32*X32^2*1E-4*DATOS!$C$83/100/1000)+(IF(AND(AX32&gt;0,AZ32&gt;0),MIN(AX32,AZ32),MAX(AX32,AZ32))*AQ32*X32^2*1E-4*DATOS!$C$83/100/1000))/2)*BG32))))/(8*MAX(((BB32*AQ32*X32^2*1E-4*DATOS!$C$83/100/1000)+((MAX(AX32,AZ32)*AQ32*X32^2*1E-4*DATOS!$C$83/100/1000)+(IF(AND(AX32&gt;0,AZ32&gt;0),MIN(AX32,AZ32),MAX(AX32,AZ32))*AQ32*X32^2*1E-4*DATOS!$C$83/100/1000))/2),1E-9))+MAX(BW32,12*INDEX(TABLAS!$C$52:$C$58,MATCH(BU32,TABLAS!$B$52:$B$58,0)),AA32/16),IF(OR(AK32&lt;INDEX(TABLAS!$C$52:$C$58,MATCH(BU32,TABLAS!$B$52:$B$58,0)),AND(BV32&gt;=2,(AC32-2*AK32-BV32*INDEX(TABLAS!$C$52:$C$58,MATCH(BU32,TABLAS!$B$52:$B$58,0)))/MAX(BV32-1,1)&lt;2*INDEX(TABLAS!$C$52:$C$58,MATCH(BU32,TABLAS!$B$52:$B$58,0)))),INDEX(TABLAS!$I$52:$I$58,MATCH(BU32,TABLAS!$B$52:$B$58,0)),INDEX(TABLAS!$F$52:$F$58,MATCH(BU32,TABLAS!$B$52:$B$58,0)))),5))))</f>
        <v/>
      </c>
      <c r="DC32" s="60" t="str">
        <f>IF(U32&lt;&gt;"SÍ","",IF(C32="VOLADO",0,IF(((4*((BC32*AQ32*X32^2*1E-4*DATOS!$C$83/100/1000)+((MAX(AY32,BA32)*AQ32*X32^2*1E-4*DATOS!$C$83/100/1000)+(IF(AND(AY32&gt;0,BA32&gt;0),MIN(AY32,BA32),MAX(AY32,BA32))*AQ32*X32^2*1E-4*DATOS!$C$83/100/1000))/2)+BI32-(IF(AND(AY32&gt;0,BA32&gt;0),MIN(AY32,BA32),MAX(AY32,BA32))*AQ32*X32^2*1E-4*DATOS!$C$83/100/1000))^2-16*((BC32*AQ32*X32^2*1E-4*DATOS!$C$83/100/1000)+((MAX(AY32,BA32)*AQ32*X32^2*1E-4*DATOS!$C$83/100/1000)+(IF(AND(AY32&gt;0,BA32&gt;0),MIN(AY32,BA32),MAX(AY32,BA32))*AQ32*X32^2*1E-4*DATOS!$C$83/100/1000))/2)*BI32)&lt;0,CEILING(AB32,5),CEILING(MAX(AB32*((4*((BC32*AQ32*X32^2*1E-4*DATOS!$C$83/100/1000)+((MAX(AY32,BA32)*AQ32*X32^2*1E-4*DATOS!$C$83/100/1000)+(IF(AND(AY32&gt;0,BA32&gt;0),MIN(AY32,BA32),MAX(AY32,BA32))*AQ32*X32^2*1E-4*DATOS!$C$83/100/1000))/2)+BI32-(IF(AND(AY32&gt;0,BA32&gt;0),MIN(AY32,BA32),MAX(AY32,BA32))*AQ32*X32^2*1E-4*DATOS!$C$83/100/1000))-SQRT(MAX(0,((4*((BC32*AQ32*X32^2*1E-4*DATOS!$C$83/100/1000)+((MAX(AY32,BA32)*AQ32*X32^2*1E-4*DATOS!$C$83/100/1000)+(IF(AND(AY32&gt;0,BA32&gt;0),MIN(AY32,BA32),MAX(AY32,BA32))*AQ32*X32^2*1E-4*DATOS!$C$83/100/1000))/2)+BI32-(IF(AND(AY32&gt;0,BA32&gt;0),MIN(AY32,BA32),MAX(AY32,BA32))*AQ32*X32^2*1E-4*DATOS!$C$83/100/1000))^2-16*((BC32*AQ32*X32^2*1E-4*DATOS!$C$83/100/1000)+((MAX(AY32,BA32)*AQ32*X32^2*1E-4*DATOS!$C$83/100/1000)+(IF(AND(AY32&gt;0,BA32&gt;0),MIN(AY32,BA32),MAX(AY32,BA32))*AQ32*X32^2*1E-4*DATOS!$C$83/100/1000))/2)*BI32))))/(8*MAX(((BC32*AQ32*X32^2*1E-4*DATOS!$C$83/100/1000)+((MAX(AY32,BA32)*AQ32*X32^2*1E-4*DATOS!$C$83/100/1000)+(IF(AND(AY32&gt;0,BA32&gt;0),MIN(AY32,BA32),MAX(AY32,BA32))*AQ32*X32^2*1E-4*DATOS!$C$83/100/1000))/2),1E-9))+MAX(CM32,12*INDEX(TABLAS!$C$52:$C$58,MATCH(CK32,TABLAS!$B$52:$B$58,0)),AB32/16),IF(OR(AK32&lt;INDEX(TABLAS!$C$52:$C$58,MATCH(CK32,TABLAS!$B$52:$B$58,0)),AND(CL32&gt;=2,(DATOS!$C$80-2*AK32-CL32*INDEX(TABLAS!$C$52:$C$58,MATCH(CK32,TABLAS!$B$52:$B$58,0)))/MAX(CL32-1,1)&lt;2*INDEX(TABLAS!$C$52:$C$58,MATCH(CK32,TABLAS!$B$52:$B$58,0)))),INDEX(TABLAS!$I$52:$I$58,MATCH(CK32,TABLAS!$B$52:$B$58,0)),INDEX(TABLAS!$F$52:$F$58,MATCH(CK32,TABLAS!$B$52:$B$58,0)))),5))))</f>
        <v/>
      </c>
      <c r="DD32" s="55" t="str">
        <f>IF(U32&lt;&gt;"SÍ","",IF(AND(C32="PERIMETRAL",BV32&gt;=2,AR32-AS32&gt;0,AZ32*AQ32*X32^2*1E-4*DATOS!$C$83/100/1000&gt;DATOS!$C$29*INDEX(TABLAS!$D$52:$D$58,MATCH(BU32,TABLAS!$B$52:$B$58,0))*DATOS!$C$14*(BW32-INDEX(TABLAS!$D$52:$D$58,MATCH(BU32,TABLAS!$B$52:$B$58,0))*DATOS!$C$14/(DATOS!$C$21*AE32)/2)/1E5),"SÍ","NO"))</f>
        <v/>
      </c>
      <c r="DE32" s="55" t="str">
        <f>IF(U32&lt;&gt;"SÍ","",IF(AND(C32="PERIMETRAL",CL32&gt;=2,AS32&gt;0,BA32*AQ32*X32^2*1E-4*DATOS!$C$83/100/1000&gt;DATOS!$C$29*INDEX(TABLAS!$D$52:$D$58,MATCH(CK32,TABLAS!$B$52:$B$58,0))*DATOS!$C$14*(CM32-INDEX(TABLAS!$D$52:$D$58,MATCH(CK32,TABLAS!$B$52:$B$58,0))*DATOS!$C$14/(DATOS!$C$21*AF32)/2)/1E5),"SÍ","NO"))</f>
        <v/>
      </c>
      <c r="DF32" s="63" t="str">
        <f>IF(U32&lt;&gt;"SÍ","",IF(OR(C32="VOLADO",AR32=0),"—",IF(AND(AND(1.25*INDEX(TABLAS!$G$52:$G$58,MATCH(MAX(BM32,CC32),TABLAS!$B$52:$B$58,0))&lt;=(DATOS!$C$72-DATOS!$C$60),(DATOS!$C$72-DATOS!$C$60)&gt;=15,INDEX(TABLAS!$G$52:$G$58,MATCH(MAX(BU32,CK32),TABLAS!$B$52:$B$58,0))&lt;=(DATOS!$C$72-DATOS!$C$60)),8*INDEX(TABLAS!$C$52:$C$58,MATCH(MAX(MAX(BM32,CC32),MAX(BU32,CK32)),TABLAS!$B$52:$B$58,0))&lt;=DATOS!$C$73-2*DATOS!$C$60),"CUMPLE (gancho de 180°)",IF(AND(1.25*INDEX(TABLAS!$G$52:$G$58,MATCH(MAX(BM32,CC32),TABLAS!$B$52:$B$58,0))&lt;=(DATOS!$C$72-DATOS!$C$60),(DATOS!$C$72-DATOS!$C$60)&gt;=15,INDEX(TABLAS!$G$52:$G$58,MATCH(MAX(BU32,CK32),TABLAS!$B$52:$B$58,0))&lt;=(DATOS!$C$72-DATOS!$C$60)),"NO CUMPLE: el gancho de 180° (8·d_b) no cabe en el peralte de la dala de borde","NO CUMPLE: dala de borde ≥ "&amp;TEXT(CEILING(MAX(1.25*INDEX(TABLAS!$G$52:$G$58,MATCH(MAX(BM32,CC32),TABLAS!$B$52:$B$58,0)),15,INDEX(TABLAS!$G$52:$G$58,MATCH(MAX(BU32,CK32),TABLAS!$B$52:$B$58,0)))+DATOS!$C$60,5),"0")&amp;" cm de ancho"&amp;IF(8*INDEX(TABLAS!$C$52:$C$58,MATCH(MAX(MAX(BM32,CC32),MAX(BU32,CK32)),TABLAS!$B$52:$B$58,0))&lt;=DATOS!$C$73-2*DATOS!$C$60,""," y más peralte para el gancho")))))</f>
        <v/>
      </c>
      <c r="DG32" s="59" t="str">
        <f>IF(U32&lt;&gt;"SÍ","",MAX(0,INT((E32*100-DATOS!$C$84+DATOS!$C$83-IF(W32="X",DATOS!$C$78,AD32))/DATOS!$C$83)))</f>
        <v/>
      </c>
      <c r="DH32" s="59" t="str">
        <f>IF(U32&lt;&gt;"SÍ","",MAX(0,INT((F32*100-DATOS!$C$84+DATOS!$C$83-IF(W32="Y",DATOS!$C$78,AD32))/DATOS!$C$83)))</f>
        <v/>
      </c>
      <c r="DI32" s="57" t="str">
        <f>IF(U32&lt;&gt;"SÍ","",IF(DG32&gt;0,(E32*100-DATOS!$C$84-(DG32*IF(W32="X",DATOS!$C$78,AD32)+(DG32-1)*(DATOS!$C$83-IF(W32="X",DATOS!$C$78,AD32))))/2,E32*100/2))</f>
        <v/>
      </c>
      <c r="DJ32" s="57" t="str">
        <f>IF(U32&lt;&gt;"SÍ","",IF(DH32&gt;0,(F32*100-DATOS!$C$84-(DH32*IF(W32="Y",DATOS!$C$78,AD32)+(DH32-1)*(DATOS!$C$83-IF(W32="Y",DATOS!$C$78,AD32))))/2,F32*100/2))</f>
        <v/>
      </c>
      <c r="DK32" s="59" t="str">
        <f>IF(U32&lt;&gt;"SÍ","",IF(NOT(AND(C32="VOLADO",AC32&gt;DATOS!$C$80)),0,IF(INDEX(TABLAS!$C$52:$C$58,MATCH(BU32,TABLAS!$B$52:$B$58,0))&lt;=DATOS!$C$80-2*DATOS!$C$60,1,0)))</f>
        <v/>
      </c>
      <c r="DL32" s="58" t="str">
        <f>IF(U32&lt;&gt;"SÍ","",IF(NOT(AND(C32="VOLADO",AC32&gt;DATOS!$C$80)),0,((DATOS!$C$82-MAX(DATOS!$C$60,(DATOS!$C$81-2*DATOS!$C$94)/2)-2*DATOS!$C$94-INDEX(TABLAS!$C$52:$C$58,MATCH(BU32,TABLAS!$B$52:$B$58,0))/2)-IF(AND((DATOS!$C$82-MAX(DATOS!$C$60,(DATOS!$C$81-2*DATOS!$C$94)/2)-2*DATOS!$C$94-INDEX(TABLAS!$C$52:$C$58,MATCH(BU32,TABLAS!$B$52:$B$58,0))/2)&lt;=20,DATOS!$C$62&lt;&gt;"SÍ"),2,0))))</f>
        <v/>
      </c>
      <c r="DM32" s="56" t="str">
        <f>IF(U32&lt;&gt;"SÍ","",IF(OR(NOT(AND(C32="VOLADO",AC32&gt;DATOS!$C$80)),DK32&lt;1),0,IF(0.003*(DL32-((DK32*INDEX(TABLAS!$D$52:$D$58,MATCH(BU32,TABLAS!$B$52:$B$58,0)))*DATOS!$C$14/(DATOS!$C$21*AF32)/DATOS!$C$22))/((DK32*INDEX(TABLAS!$D$52:$D$58,MATCH(BU32,TABLAS!$B$52:$B$58,0)))*DATOS!$C$14/(DATOS!$C$21*AF32)/DATOS!$C$22)&lt;0.005,0,DATOS!$C$29*(DK32*INDEX(TABLAS!$D$52:$D$58,MATCH(BU32,TABLAS!$B$52:$B$58,0)))*DATOS!$C$14*(DL32-(DK32*INDEX(TABLAS!$D$52:$D$58,MATCH(BU32,TABLAS!$B$52:$B$58,0)))*DATOS!$C$14/(DATOS!$C$21*AF32)/2)/1E5)))</f>
        <v/>
      </c>
      <c r="DN32" s="56" t="str">
        <f>IF(U32&lt;&gt;"SÍ","",IF(OR(NOT(AND(C32="VOLADO",AC32&gt;DATOS!$C$80)),DK32&lt;1),0,DATOS!$C$30*2*MIN(1,SQRT(2/(1+0.04*DL32)))*((DK32*INDEX(TABLAS!$D$52:$D$58,MATCH(BU32,TABLAS!$B$52:$B$58,0)))/(AF32*DL32))^(1/3)*SQRT(DATOS!$C$13)*AF32*DL32/1000))</f>
        <v/>
      </c>
      <c r="DO32" s="56" t="str">
        <f>IF(U32&lt;&gt;"SÍ","",IF(NOT(AND(C32="VOLADO",AC32&gt;DATOS!$C$80)),0,IF((BG32-DM32)&lt;=0,0,IF(DM32&lt;=0,IF(ISNUMBER(P32),P32,X32),IF(((0.9*DATOS!$C$87*DATOS!$C$83/100/1000)*IF(ISNUMBER(P32),P32,X32)/2+BG32/IF(ISNUMBER(P32),P32,X32))^2-4*((0.9*DATOS!$C$87*DATOS!$C$83/100/1000)/2)*(BG32-DM32)&lt;0,IF(ISNUMBER(P32),P32,X32),MIN(IF(ISNUMBER(P32),P32,X32),(((0.9*DATOS!$C$87*DATOS!$C$83/100/1000)*IF(ISNUMBER(P32),P32,X32)/2+BG32/IF(ISNUMBER(P32),P32,X32))-SQRT(((0.9*DATOS!$C$87*DATOS!$C$83/100/1000)*IF(ISNUMBER(P32),P32,X32)/2+BG32/IF(ISNUMBER(P32),P32,X32))^2-4*((0.9*DATOS!$C$87*DATOS!$C$83/100/1000)/2)*(BG32-DM32)))/(2*((0.9*DATOS!$C$87*DATOS!$C$83/100/1000)/2))))))))</f>
        <v/>
      </c>
      <c r="DP32" s="56" t="str">
        <f>IF(U32&lt;&gt;"SÍ","",IF(NOT(AND(C32="VOLADO",AC32&gt;DATOS!$C$80)),0,MIN(IF(ISNUMBER(P32),P32,X32),MAX(0,IF(ISNUMBER(P32),P32,X32)/2+BG32/IF(ISNUMBER(P32),P32,X32)/(AQ32*DATOS!$C$83/100/1000)-DN32/(AQ32*DATOS!$C$83/100/1000)))))</f>
        <v/>
      </c>
      <c r="DQ32" s="56" t="str">
        <f>IF(U32&lt;&gt;"SÍ","",IF(NOT(AND(C32="VOLADO",AC32&gt;DATOS!$C$80)),0,BG32/IF(ISNUMBER(P32),P32,X32)+(AQ32*DATOS!$C$83/100/1000)*MAX(0,IF(ISNUMBER(P32),P32,X32)/2-BW32/100)))</f>
        <v/>
      </c>
      <c r="DR32" s="59" t="str">
        <f>IF(U32&lt;&gt;"SÍ","",IF(NOT(AND(C32="VOLADO",AC32&gt;DATOS!$C$80)),0,CEILING(100*MIN(IF(ISNUMBER(P32),P32,X32),MAX(IF(DO32&gt;0,DO32+IF(BV32&gt;=2,MAX(DL32,12*INDEX(TABLAS!$C$52:$C$58,MATCH(BU32,TABLAS!$B$52:$B$58,0)))/100,0),0),DP32,IF(BV32&gt;=2,INDEX(TABLAS!$F$52:$F$58,MATCH(BU32,TABLAS!$B$52:$B$58,0))/100,0))),5)))</f>
        <v/>
      </c>
      <c r="DS32" s="60" t="str">
        <f>IF(U32&lt;&gt;"SÍ","",IF(NOT(AND(C32="VOLADO",AC32&gt;DATOS!$C$80)),0,IF(DR32&lt;=0,0,CEILING(DR32/DATOS!$C$83,1))))</f>
        <v/>
      </c>
      <c r="DT32" s="61" t="str">
        <f>IF(U32&lt;&gt;"SÍ","",IF(C32&lt;&gt;"VOLADO","—",IF(AC32&lt;=DATOS!$C$80,"— (mismo b_w que el respaldo)",IF(DQ32&gt;CR32,"NO CUMPLE: cortante de la nervadura ancha junto al apoyo ("&amp;TEXT(DQ32,"0.00")&amp;" &gt; "&amp;TEXT(CR32,"0.00")&amp;" t)",IF(DR32&gt;=100*IF(ISNUMBER(P32),P32,X32),"CUMPLE — todas las nervaduras del respaldo ‖ al volado con b_w = "&amp;AC32&amp;" cm","CUMPLE — "&amp;DS32&amp;" hilera(s) del respaldo con nervaduras de b_w = "&amp;AC32&amp;" cm (casetón "&amp;AD32&amp;" cm), hasta "&amp;TEXT(DR32/100,"0.00")&amp;" m del paño")))))</f>
        <v/>
      </c>
      <c r="DU32" s="69" t="str">
        <f>IF(U32&lt;&gt;"SÍ","",IF(BN32=0,"NO ALCANZA",BN32&amp;" No. "&amp;BM32&amp;IF(BN32&gt;1," corridas"," corrida")))</f>
        <v/>
      </c>
      <c r="DV32" s="69" t="str">
        <f>IF(U32&lt;&gt;"SÍ","",IF(BV32=0,"NO ALCANZA",IF(AND(C32="VOLADO",AC32&gt;DATOS!$C$80,BV32&gt;=2),"1 No. "&amp;BU32&amp;" corrida de la orilla al respaldo ("&amp;IF(DB32&gt;=100*IF(ISNUMBER(P32),P32,X32),"hasta su apoyo lejano, con gancho","entra "&amp;TEXT(DB32/100,"0.00")&amp;" m desde el paño")&amp;") + "&amp;(BV32-1)&amp;" bastón No. "&amp;BU32&amp;" hasta "&amp;TEXT(DR32/100,"0.00")&amp;" m del paño (fin de la nervadura ancha)",IF(C32="VOLADO",BV32&amp;" No. "&amp;BU32&amp;" de la orilla al respaldo ("&amp;IF(DB32&gt;=100*IF(ISNUMBER(P32),P32,X32),"hasta su apoyo lejano, con gancho","entran "&amp;TEXT(DB32/100,"0.00")&amp;" m desde el paño")&amp;")","1 No. "&amp;BU32&amp;" corrida"&amp;IF(BV32&gt;1," + "&amp;(BV32-1)&amp;" bastón No. "&amp;BU32&amp;" L = "&amp;TEXT(DB32/100,"0.00")&amp;" m desde el paño","")))))</f>
        <v/>
      </c>
      <c r="DW32" s="69" t="str">
        <f>IF(U32&lt;&gt;"SÍ","",IF(CD32=0,"NO ALCANZA",CD32&amp;" No. "&amp;CC32&amp;IF(CD32&gt;1," corridas"," corrida")))</f>
        <v/>
      </c>
      <c r="DX32" s="69" t="str">
        <f>IF(U32&lt;&gt;"SÍ","",IF(CL32=0,"NO ALCANZA",IF(C32="VOLADO","1 No. "&amp;CK32&amp;" corrida (repartición)","1 No. "&amp;CK32&amp;" corrida"&amp;IF(CL32&gt;1," + "&amp;(CL32-1)&amp;" bastón No. "&amp;CK32&amp;" L = "&amp;TEXT(DC32/100,"0.00")&amp;" m desde el paño",""))))</f>
        <v/>
      </c>
      <c r="DY32" s="67" t="str">
        <f>IF(B32="","",IF(U32&lt;&gt;"SÍ","FALTAN DATOS: tipo, a_x, a_y y destino",IF(L32="NO MONOLÍTICO (caso II)","FUERA DE ALCANCE: caso II no transcrito",IF(AND(C32="VOLADO",V32="?"),"REVISAR: el volado lleva UN solo borde CONTINUO (el empotrado)",IF(AND(MAX(BQ32,BY32,CG32,CO32)&lt;=1,NOT(OR(BN32&gt;MIN(DATOS!$C$70,INT(((AC32-2*AJ32)+MAX(DATOS!$C$67,INDEX(TABLAS!$C$52:$C$58,MATCH(BM32,TABLAS!$B$52:$B$58,0))))/(INDEX(TABLAS!$C$52:$C$58,MATCH(BM32,TABLAS!$B$52:$B$58,0))+MAX(DATOS!$C$67,INDEX(TABLAS!$C$52:$C$58,MATCH(BM32,TABLAS!$B$52:$B$58,0)))))),BV32&gt;MIN(DATOS!$C$70,INT(((AC32-2*AK32)+MAX(DATOS!$C$67,INDEX(TABLAS!$C$52:$C$58,MATCH(BU32,TABLAS!$B$52:$B$58,0))))/(INDEX(TABLAS!$C$52:$C$58,MATCH(BU32,TABLAS!$B$52:$B$58,0))+MAX(DATOS!$C$67,INDEX(TABLAS!$C$52:$C$58,MATCH(BU32,TABLAS!$B$52:$B$58,0)))))),CD32&gt;MIN(DATOS!$C$70,INT(((DATOS!$C$80-2*AJ32)+MAX(DATOS!$C$67,INDEX(TABLAS!$C$52:$C$58,MATCH(CC32,TABLAS!$B$52:$B$58,0))))/(INDEX(TABLAS!$C$52:$C$58,MATCH(CC32,TABLAS!$B$52:$B$58,0))+MAX(DATOS!$C$67,INDEX(TABLAS!$C$52:$C$58,MATCH(CC32,TABLAS!$B$52:$B$58,0)))))),CL32&gt;MIN(DATOS!$C$70,INT(((DATOS!$C$80-2*AK32)+MAX(DATOS!$C$67,INDEX(TABLAS!$C$52:$C$58,MATCH(CK32,TABLAS!$B$52:$B$58,0))))/(INDEX(TABLAS!$C$52:$C$58,MATCH(CK32,TABLAS!$B$52:$B$58,0))+MAX(DATOS!$C$67,INDEX(TABLAS!$C$52:$C$58,MATCH(CK32,TABLAS!$B$52:$B$58,0)))))))),NOT(OR(AND(ISNUMBER(BR32),BR32&lt;0.005),AND(ISNUMBER(BZ32),BZ32&lt;0.005),AND(ISNUMBER(CH32),CH32&lt;0.005),AND(ISNUMBER(CP32),CP32&lt;0.005))),NOT(LEFT(DT32,2)="NO"),CZ32="CUMPLE",DA32="CUMPLE",LEFT(CT32,2)&lt;&gt;"NO"),IF(LEFT(CT32,6)="CUMPLE","CUMPLE","CUMPLE — "&amp;CT32)&amp;IF(LEFT(BJ32,5)="FUERA"," · fuera de 3.4.2.1 c)","")&amp;IF(LEFT(DF32,2)="NO"," · REVISAR anclaje en borde discontinuo","")&amp;IF(DS32&gt;0," · respaldo: "&amp;DS32&amp;" hilera(s) de b_w "&amp;AC32&amp;" cm",""),IF(AND(MAX(BQ32,BY32,CG32,CO32)&lt;=1,NOT(OR(BN32&gt;MIN(DATOS!$C$70,INT(((AC32-2*AJ32)+MAX(DATOS!$C$67,INDEX(TABLAS!$C$52:$C$58,MATCH(BM32,TABLAS!$B$52:$B$58,0))))/(INDEX(TABLAS!$C$52:$C$58,MATCH(BM32,TABLAS!$B$52:$B$58,0))+MAX(DATOS!$C$67,INDEX(TABLAS!$C$52:$C$58,MATCH(BM32,TABLAS!$B$52:$B$58,0)))))),BV32&gt;MIN(DATOS!$C$70,INT(((AC32-2*AK32)+MAX(DATOS!$C$67,INDEX(TABLAS!$C$52:$C$58,MATCH(BU32,TABLAS!$B$52:$B$58,0))))/(INDEX(TABLAS!$C$52:$C$58,MATCH(BU32,TABLAS!$B$52:$B$58,0))+MAX(DATOS!$C$67,INDEX(TABLAS!$C$52:$C$58,MATCH(BU32,TABLAS!$B$52:$B$58,0)))))),CD32&gt;MIN(DATOS!$C$70,INT(((DATOS!$C$80-2*AJ32)+MAX(DATOS!$C$67,INDEX(TABLAS!$C$52:$C$58,MATCH(CC32,TABLAS!$B$52:$B$58,0))))/(INDEX(TABLAS!$C$52:$C$58,MATCH(CC32,TABLAS!$B$52:$B$58,0))+MAX(DATOS!$C$67,INDEX(TABLAS!$C$52:$C$58,MATCH(CC32,TABLAS!$B$52:$B$58,0)))))),CL32&gt;MIN(DATOS!$C$70,INT(((DATOS!$C$80-2*AK32)+MAX(DATOS!$C$67,INDEX(TABLAS!$C$52:$C$58,MATCH(CK32,TABLAS!$B$52:$B$58,0))))/(INDEX(TABLAS!$C$52:$C$58,MATCH(CK32,TABLAS!$B$52:$B$58,0))+MAX(DATOS!$C$67,INDEX(TABLAS!$C$52:$C$58,MATCH(CK32,TABLAS!$B$52:$B$58,0)))))))),NOT(OR(AND(ISNUMBER(BR32),BR32&lt;0.005),AND(ISNUMBER(BZ32),BZ32&lt;0.005),AND(ISNUMBER(CH32),CH32&lt;0.005),AND(ISNUMBER(CP32),CP32&lt;0.005))),NOT(LEFT(DT32,2)="NO"),CZ32="CALCULAR FLECHA",LEFT(CT32,2)&lt;&gt;"NO"),"REVISAR: calcular flecha (h_eq &lt; h mín.)"&amp;IF(LEFT(BJ32,5)="FUERA"," · fuera de 3.4.2.1 c)","")&amp;IF(LEFT(DF32,2)="NO"," · REVISAR anclaje en borde discontinuo","")&amp;IF(DS32&gt;0," · respaldo: "&amp;DS32&amp;" hilera(s) de b_w "&amp;AC32&amp;" cm",""),"NO CUMPLE: "&amp;IF(MAX(BQ32,BY32,CG32,CO32)&gt;1,"flexión ","")&amp;IF(OR(BN32&gt;MIN(DATOS!$C$70,INT(((AC32-2*AJ32)+MAX(DATOS!$C$67,INDEX(TABLAS!$C$52:$C$58,MATCH(BM32,TABLAS!$B$52:$B$58,0))))/(INDEX(TABLAS!$C$52:$C$58,MATCH(BM32,TABLAS!$B$52:$B$58,0))+MAX(DATOS!$C$67,INDEX(TABLAS!$C$52:$C$58,MATCH(BM32,TABLAS!$B$52:$B$58,0)))))),BV32&gt;MIN(DATOS!$C$70,INT(((AC32-2*AK32)+MAX(DATOS!$C$67,INDEX(TABLAS!$C$52:$C$58,MATCH(BU32,TABLAS!$B$52:$B$58,0))))/(INDEX(TABLAS!$C$52:$C$58,MATCH(BU32,TABLAS!$B$52:$B$58,0))+MAX(DATOS!$C$67,INDEX(TABLAS!$C$52:$C$58,MATCH(BU32,TABLAS!$B$52:$B$58,0)))))),CD32&gt;MIN(DATOS!$C$70,INT(((DATOS!$C$80-2*AJ32)+MAX(DATOS!$C$67,INDEX(TABLAS!$C$52:$C$58,MATCH(CC32,TABLAS!$B$52:$B$58,0))))/(INDEX(TABLAS!$C$52:$C$58,MATCH(CC32,TABLAS!$B$52:$B$58,0))+MAX(DATOS!$C$67,INDEX(TABLAS!$C$52:$C$58,MATCH(CC32,TABLAS!$B$52:$B$58,0)))))),CL32&gt;MIN(DATOS!$C$70,INT(((DATOS!$C$80-2*AK32)+MAX(DATOS!$C$67,INDEX(TABLAS!$C$52:$C$58,MATCH(CK32,TABLAS!$B$52:$B$58,0))))/(INDEX(TABLAS!$C$52:$C$58,MATCH(CK32,TABLAS!$B$52:$B$58,0))+MAX(DATOS!$C$67,INDEX(TABLAS!$C$52:$C$58,MATCH(CK32,TABLAS!$B$52:$B$58,0))))))),"no caben ","")&amp;IF(OR(AND(ISNUMBER(BR32),BR32&lt;0.005),AND(ISNUMBER(BZ32),BZ32&lt;0.005),AND(ISNUMBER(CH32),CH32&lt;0.005),AND(ISNUMBER(CP32),CP32&lt;0.005)),"ε_t &lt; 0.005 ","")&amp;IF(LEFT(CT32,2)="NO","cortante ","")&amp;IF(CZ32="NO CUMPLE","peralte ","")&amp;IF(DA32&lt;&gt;"CUMPLE","capa &lt; 6 cm ","")&amp;IF(LEFT(DT32,2)="NO","respaldo del volado","")))))))</f>
        <v/>
      </c>
      <c r="DZ32" s="70" t="str">
        <f>IF(U32&lt;&gt;"SÍ","",IF(LEFT(B32,7)="EJEMPLO","EJEMPLO de la hoja de Casa Rocha: bórralo o sobrescríbelo. ","")&amp;IF(AND(C32="PERIMETRAL",MIN(DG32,DH32)=0),"No cabe un casetón en el claro corto: es un tablero macizo, diséñalo en MACIZAS. ","")&amp;IF(AND(AI32="NO",C32="PERIMETRAL"),"No cumple 6.7.8.1.4 (a_c = "&amp;MAX(DATOS!$C$78,AD32)&amp;" cm &gt; claro corto/6 = "&amp;TEXT(X32*100/6,"0")&amp;" cm): se diseña como losa apoyada en vigas (6.7.8.1.9): r de viga = "&amp;DATOS!$C$60&amp;" cm y V_cR sin ×1.1. Para que cuente como encasetonada: casetón de "&amp;TEXT(FLOOR(MIN(80,X32*100/6),1),"0")&amp;" cm o menor. ","")&amp;IF(C32="VOLADO","Volado de "&amp;TEXT(X32,"0.00")&amp;" m empotrado en el borde "&amp;LOWER(V32)&amp;IF(N(O32)&gt;0,", con "&amp;TEXT(O32,"0.0")&amp;" kg/m en la orilla","")&amp;". Lecho inferior con r_ext. Si la orilla carga pretil u otro elemento frágil, calcula la flecha (13.4). El acero superior entra al respaldo de "&amp;TEXT(IF(ISNUMBER(P32),P32,X32),"0.00")&amp;" m"&amp;IF(ISNUMBER(P32),""," (L_b no capturado: se tomó igual al volado)")&amp;" hasta pasar M = 0 con 0.9·PP sin carga viva; si ahí no se anula, llega al apoyo lejano y se ancla con gancho (NTC-Criterios 3.4.1 c y 5.1.2.2). "&amp;IF(AC32&gt;DATOS!$C$80,"Respaldo: "&amp;DT32&amp;". ",""),"")&amp;IF(LEFT(BJ32,5)="FUERA","El M⁻ del vecino difiere más de 50 % (3.4.2.1 c): distribuye el desequilibrio (3.4.3.1) o confirma con un modelo; se arma con el mayor. ","")&amp;IF(OR(DD32="SÍ",DE32="SÍ"),"El M⁻ del borde discontinuo pide bastón también ahí (con gancho). ","")&amp;IF(LEFT(DF32,2)="NO","Anclaje: "&amp;DF32&amp;" (6.7.8.1.7). ","")&amp;IF(OR(AZ32&gt;0,BA32&gt;0),"Esquinas exteriores sobre muro: refuerzo de esquina arriba y abajo en L_largo/5 (6.7.7.3.1). ",""))</f>
        <v/>
      </c>
    </row>
    <row r="33" ht="33" customHeight="1">
      <c r="A33" s="50">
        <f>IF(B33="",0,1)+A32</f>
        <v>4</v>
      </c>
      <c r="B33" s="29" t="n"/>
      <c r="C33" s="51" t="n"/>
      <c r="D33" s="29" t="n"/>
      <c r="E33" s="52" t="n"/>
      <c r="F33" s="52" t="n"/>
      <c r="G33" s="51" t="n"/>
      <c r="H33" s="51" t="n"/>
      <c r="I33" s="51" t="n"/>
      <c r="J33" s="51" t="n"/>
      <c r="K33" s="51" t="n"/>
      <c r="L33" s="51" t="n"/>
      <c r="M33" s="53" t="n"/>
      <c r="N33" s="53" t="n"/>
      <c r="O33" s="54" t="n"/>
      <c r="P33" s="52" t="n"/>
      <c r="Q33" s="53" t="n"/>
      <c r="R33" s="54" t="n"/>
      <c r="S33" s="52" t="n"/>
      <c r="T33" s="52" t="n"/>
      <c r="U33" s="55" t="str">
        <f>IF(B33="","",IF(AND(OR(C33="PERIMETRAL",C33="VOLADO"),ISNUMBER(E33),ISNUMBER(F33),E33&gt;0,F33&gt;0,OR(ISNUMBER(N33),ISNUMBER(MATCH(D33,DATOS!$B$46:$B$55,0)))),"SÍ","NO"))</f>
        <v/>
      </c>
      <c r="V33" s="55" t="str">
        <f>IF(U33&lt;&gt;"SÍ","",IF(C33&lt;&gt;"VOLADO","—",IF(COUNTIF(G33:J33,"CONTINUO")&lt;&gt;1,"?",IF(G33="CONTINUO","INFERIOR",IF(H33="CONTINUO","SUPERIOR",IF(I33="CONTINUO","IZQUIERDO","DERECHO"))))))</f>
        <v/>
      </c>
      <c r="W33" s="55" t="str">
        <f>IF(U33&lt;&gt;"SÍ","",IF(C33="VOLADO",IF(OR(V33="IZQUIERDO",V33="DERECHO"),"X","Y"),IF(E33&lt;=F33,"X","Y")))</f>
        <v/>
      </c>
      <c r="X33" s="56" t="str">
        <f>IF(U33&lt;&gt;"SÍ","",IF(C33="VOLADO",IF(W33="X",E33,F33),MIN(E33,F33)))</f>
        <v/>
      </c>
      <c r="Y33" s="56" t="str">
        <f>IF(U33&lt;&gt;"SÍ","",IF(C33="VOLADO",IF(W33="X",F33,E33),MAX(E33,F33)))</f>
        <v/>
      </c>
      <c r="Z33" s="56" t="str">
        <f>IF(U33&lt;&gt;"SÍ","",MIN(X33,Y33)/MAX(X33,Y33))</f>
        <v/>
      </c>
      <c r="AA33" s="57" t="str">
        <f>IF(U33&lt;&gt;"SÍ","",MAX(1,X33*100-IF(C33="VOLADO",DATOS!$C$84/2,DATOS!$C$84)))</f>
        <v/>
      </c>
      <c r="AB33" s="57" t="str">
        <f>IF(U33&lt;&gt;"SÍ","",MAX(1,Y33*100-DATOS!$C$84))</f>
        <v/>
      </c>
      <c r="AC33" s="57" t="str">
        <f>IF(U33&lt;&gt;"SÍ","",IF(ISNUMBER(Q33),Q33,DATOS!$C$80))</f>
        <v/>
      </c>
      <c r="AD33" s="57" t="str">
        <f>IF(U33&lt;&gt;"SÍ","",MAX(0,DATOS!$C$83-AC33))</f>
        <v/>
      </c>
      <c r="AE33" s="57" t="str">
        <f>IF(U33&lt;&gt;"SÍ","",IF(OR(DATOS!$C$62="SÍ",AC33&gt;=20),AC33,AC33-2))</f>
        <v/>
      </c>
      <c r="AF33" s="57" t="str">
        <f>IF(U33&lt;&gt;"SÍ","",IF(OR(DATOS!$C$62="SÍ",DATOS!$C$80&gt;=20),DATOS!$C$80,DATOS!$C$80-2))</f>
        <v/>
      </c>
      <c r="AG33" s="57" t="str">
        <f>IF(U33&lt;&gt;"SÍ","",MIN(DATOS!$C$83,AC33+2*MIN(8*DATOS!$C$81,AD33/2,AA33/8)))</f>
        <v/>
      </c>
      <c r="AH33" s="57" t="str">
        <f>IF(U33&lt;&gt;"SÍ","",MIN(DATOS!$C$83,DATOS!$C$80+2*MIN(8*DATOS!$C$81,DATOS!$C$78/2,AB33/8)))</f>
        <v/>
      </c>
      <c r="AI33" s="55" t="str">
        <f>IF(U33&lt;&gt;"SÍ","",IF(AND(C33="PERIMETRAL",X33*100&gt;=6*MAX(DATOS!$C$78,AD33),MAX(DATOS!$C$78,AD33)&lt;=80,MIN(DATOS!$C$80,AC33)&gt;=10,DATOS!$C$82&lt;=3.5*MIN(DATOS!$C$80,AC33),DATOS!$C$81&gt;=MAX(MAX(DATOS!$C$78,AD33)/13,5)),"SÍ","NO"))</f>
        <v/>
      </c>
      <c r="AJ33" s="57" t="str">
        <f>IF(U33&lt;&gt;"SÍ","",IF(C33="VOLADO",DATOS!$C$61,IF(AI33="NO",DATOS!$C$60,DATOS!$C$59)))</f>
        <v/>
      </c>
      <c r="AK33" s="57" t="str">
        <f>IF(U33&lt;&gt;"SÍ","",IF(OR(AND(AM33="SÍ",DATOS!$C$63="SÍ"),AND(C33="VOLADO",DATOS!$C$64="SÍ")),DATOS!$C$61,IF(AI33="NO",DATOS!$C$60,DATOS!$C$59)))</f>
        <v/>
      </c>
      <c r="AL33" s="58" t="str">
        <f>IF(U33&lt;&gt;"SÍ","",MAX(AK33,(DATOS!$C$81-2*DATOS!$C$94)/2))</f>
        <v/>
      </c>
      <c r="AM33" s="55" t="str">
        <f>IF(U33&lt;&gt;"SÍ","",IFERROR(INDEX(DATOS!$D$46:$D$55,MATCH(D33,DATOS!$B$46:$B$55,0)),"NO"))</f>
        <v/>
      </c>
      <c r="AN33" s="59" t="str">
        <f>IF(U33&lt;&gt;"SÍ","",IF(ISNUMBER(N33),N33,IFERROR(INDEX(DATOS!$C$46:$C$55,MATCH(D33,DATOS!$B$46:$B$55,0)),0)))</f>
        <v/>
      </c>
      <c r="AO33" s="59" t="str">
        <f>IF(U33&lt;&gt;"SÍ","",(DATOS!$C$82/100-(AD33*DATOS!$C$78/DATOS!$C$83^2)*DATOS!$C$79/100)*DATOS!$C$16*1000+(AD33*DATOS!$C$78/DATOS!$C$83^2)*DATOS!$C$79/100*DATOS!$C$17*1000+DATOS!$C$37+DATOS!$C$38)</f>
        <v/>
      </c>
      <c r="AP33" s="59" t="str">
        <f>IF(U33&lt;&gt;"SÍ","",AO33+N(M33))</f>
        <v/>
      </c>
      <c r="AQ33" s="60" t="str">
        <f>IF(U33&lt;&gt;"SÍ","",MAX(DATOS!$C$26*AP33+DATOS!$C$27*AN33,IF(AM33="SÍ",DATOS!$C$28*(AP33+DATOS!$C$41),0)))</f>
        <v/>
      </c>
      <c r="AR33" s="59" t="str">
        <f>IF(U33&lt;&gt;"SÍ","",(G33="DISCONTINUO")+(H33="DISCONTINUO")+(I33="DISCONTINUO")+(J33="DISCONTINUO"))</f>
        <v/>
      </c>
      <c r="AS33" s="59" t="str">
        <f>IF(U33&lt;&gt;"SÍ","",IF(W33="X",(G33="DISCONTINUO")+(H33="DISCONTINUO"),(I33="DISCONTINUO")+(J33="DISCONTINUO")))</f>
        <v/>
      </c>
      <c r="AT33" s="55" t="str">
        <f>IF(U33&lt;&gt;"SÍ","",IF(AR33=0,"INTERIOR",IF(AR33=1,IF(AS33=1,"BORDE-CORTO","BORDE-LARGO"),IF(AR33=2,IF(AS33=1,"ESQUINA",IF(AS33=2,"EXTREMO-LARGO","EXTREMO-CORTO")),IF(AR33=3,IF(AS33=2,"EXTREMO-LARGO","EXTREMO-CORTO"),"AISLADO")))))</f>
        <v/>
      </c>
      <c r="AU33" s="61" t="str">
        <f>IF(U33&lt;&gt;"SÍ","",IF(OR(K33="",K33="AUTO"),AT33,K33))</f>
        <v/>
      </c>
      <c r="AV33" s="59" t="str">
        <f>IF(U33&lt;&gt;"SÍ","",MATCH(Z33,TABLAS!$D$5:$J$5,1))</f>
        <v/>
      </c>
      <c r="AW33" s="58" t="str">
        <f>IF(U33&lt;&gt;"SÍ","",IF(AV33&gt;=7,0,(Z33-INDEX(TABLAS!$D$5:$J$5,AV33))/(INDEX(TABLAS!$D$5:$J$5,AV33+1)-INDEX(TABLAS!$D$5:$J$5,AV33))))</f>
        <v/>
      </c>
      <c r="AX33" s="59" t="str">
        <f>IF(U33&lt;&gt;"SÍ","",INDEX(TABLAS!$D$6:$J$47,MATCH(AU33&amp;"|NIC",TABLAS!$B$6:$B$47,0),AV33)+AW33*(INDEX(TABLAS!$D$6:$J$47,MATCH(AU33&amp;"|NIC",TABLAS!$B$6:$B$47,0),MIN(AV33+1,7))-INDEX(TABLAS!$D$6:$J$47,MATCH(AU33&amp;"|NIC",TABLAS!$B$6:$B$47,0),AV33)))</f>
        <v/>
      </c>
      <c r="AY33" s="59" t="str">
        <f>IF(U33&lt;&gt;"SÍ","",INDEX(TABLAS!$D$6:$J$47,MATCH(AU33&amp;"|NIL",TABLAS!$B$6:$B$47,0),AV33)+AW33*(INDEX(TABLAS!$D$6:$J$47,MATCH(AU33&amp;"|NIL",TABLAS!$B$6:$B$47,0),MIN(AV33+1,7))-INDEX(TABLAS!$D$6:$J$47,MATCH(AU33&amp;"|NIL",TABLAS!$B$6:$B$47,0),AV33)))</f>
        <v/>
      </c>
      <c r="AZ33" s="59" t="str">
        <f>IF(U33&lt;&gt;"SÍ","",INDEX(TABLAS!$D$6:$J$47,MATCH(AU33&amp;"|NDC",TABLAS!$B$6:$B$47,0),AV33)+AW33*(INDEX(TABLAS!$D$6:$J$47,MATCH(AU33&amp;"|NDC",TABLAS!$B$6:$B$47,0),MIN(AV33+1,7))-INDEX(TABLAS!$D$6:$J$47,MATCH(AU33&amp;"|NDC",TABLAS!$B$6:$B$47,0),AV33)))</f>
        <v/>
      </c>
      <c r="BA33" s="59" t="str">
        <f>IF(U33&lt;&gt;"SÍ","",INDEX(TABLAS!$D$6:$J$47,MATCH(AU33&amp;"|NDL",TABLAS!$B$6:$B$47,0),AV33)+AW33*(INDEX(TABLAS!$D$6:$J$47,MATCH(AU33&amp;"|NDL",TABLAS!$B$6:$B$47,0),MIN(AV33+1,7))-INDEX(TABLAS!$D$6:$J$47,MATCH(AU33&amp;"|NDL",TABLAS!$B$6:$B$47,0),AV33)))</f>
        <v/>
      </c>
      <c r="BB33" s="59" t="str">
        <f>IF(U33&lt;&gt;"SÍ","",INDEX(TABLAS!$D$6:$J$47,MATCH(AU33&amp;"|PC",TABLAS!$B$6:$B$47,0),AV33)+AW33*(INDEX(TABLAS!$D$6:$J$47,MATCH(AU33&amp;"|PC",TABLAS!$B$6:$B$47,0),MIN(AV33+1,7))-INDEX(TABLAS!$D$6:$J$47,MATCH(AU33&amp;"|PC",TABLAS!$B$6:$B$47,0),AV33)))</f>
        <v/>
      </c>
      <c r="BC33" s="59" t="str">
        <f>IF(U33&lt;&gt;"SÍ","",INDEX(TABLAS!$D$6:$J$47,MATCH(AU33&amp;"|PL",TABLAS!$B$6:$B$47,0),AV33)+AW33*(INDEX(TABLAS!$D$6:$J$47,MATCH(AU33&amp;"|PL",TABLAS!$B$6:$B$47,0),MIN(AV33+1,7))-INDEX(TABLAS!$D$6:$J$47,MATCH(AU33&amp;"|PL",TABLAS!$B$6:$B$47,0),AV33)))</f>
        <v/>
      </c>
      <c r="BD33" s="56" t="str">
        <f>IF(U33&lt;&gt;"SÍ","",IF(C33&lt;&gt;"VOLADO",0,DATOS!$C$26*DATOS!$C$16*DATOS!$C$83/100*(((AD33*DATOS!$C$78/DATOS!$C$83^2)*DATOS!$C$79/100)*(IF(W33="X",DI33,DJ33)+DATOS!$C$84/2)/100*(AA33-(IF(W33="X",DI33,DJ33)+DATOS!$C$84/2)/2)/100+((AD33*DATOS!$C$78/DATOS!$C$83^2)*DATOS!$C$79/100)*IF(W33="X",DI33,DJ33)/100*IF(W33="X",DI33,DJ33)/200)))</f>
        <v/>
      </c>
      <c r="BE33" s="56" t="str">
        <f>IF(U33&lt;&gt;"SÍ","",IF(C33&lt;&gt;"VOLADO",0,DATOS!$C$26*DATOS!$C$16*DATOS!$C$83/100*((AD33*DATOS!$C$78/DATOS!$C$83^2)*DATOS!$C$79/100)*(IF(W33="X",DI33,DJ33)+DATOS!$C$84/2)/100))</f>
        <v/>
      </c>
      <c r="BF33" s="56" t="str">
        <f>IF(U33&lt;&gt;"SÍ","",IF(C33="PERIMETRAL",BB33*AQ33*X33^2*1E-4*DATOS!$C$83/100/1000,0))</f>
        <v/>
      </c>
      <c r="BG33" s="62" t="str">
        <f>IF(U33&lt;&gt;"SÍ","",IF(C33="PERIMETRAL",MAX(MAX(AX33,AZ33)*AQ33*X33^2*1E-4*DATOS!$C$83/100/1000,N(S33)),(AQ33*(AA33/100)^2/2+DATOS!$C$26*N(O33)*AA33/100)*DATOS!$C$83/100/1000+BD33))</f>
        <v/>
      </c>
      <c r="BH33" s="56" t="str">
        <f>IF(U33&lt;&gt;"SÍ","",IF(C33="PERIMETRAL",BC33*AQ33*X33^2*1E-4*DATOS!$C$83/100/1000,0))</f>
        <v/>
      </c>
      <c r="BI33" s="56" t="str">
        <f>IF(U33&lt;&gt;"SÍ","",IF(C33="PERIMETRAL",MAX(MAX(AY33,BA33)*AQ33*X33^2*1E-4*DATOS!$C$83/100/1000,N(T33)),0))</f>
        <v/>
      </c>
      <c r="BJ33" s="63" t="str">
        <f>IF(U33&lt;&gt;"SÍ","",IF(C33&lt;&gt;"PERIMETRAL","—",IF(AND(N(S33)=0,N(T33)=0),"— (sin M⁻ del vecino)",IF(OR(AND(N(S33)&gt;0,ABS(MAX(AX33,AZ33)*AQ33*X33^2*1E-4*DATOS!$C$83/100/1000-N(S33))&gt;0.5*MIN(MAX(AX33,AZ33)*AQ33*X33^2*1E-4*DATOS!$C$83/100/1000,N(S33))),AND(N(T33)&gt;0,ABS(MAX(AY33,BA33)*AQ33*X33^2*1E-4*DATOS!$C$83/100/1000-N(T33))&gt;0.5*MIN(MAX(AY33,BA33)*AQ33*X33^2*1E-4*DATOS!$C$83/100/1000,N(T33)))),"FUERA: difieren &gt; 50 %"&amp;IF(AND(N(S33)&gt;0,ABS(MAX(AX33,AZ33)*AQ33*X33^2*1E-4*DATOS!$C$83/100/1000-N(S33))&gt;0.5*MIN(MAX(AX33,AZ33)*AQ33*X33^2*1E-4*DATOS!$C$83/100/1000,N(S33)))," ‖ corto","")&amp;IF(AND(N(T33)&gt;0,ABS(MAX(AY33,BA33)*AQ33*X33^2*1E-4*DATOS!$C$83/100/1000-N(T33))&gt;0.5*MIN(MAX(AY33,BA33)*AQ33*X33^2*1E-4*DATOS!$C$83/100/1000,N(T33)))," ‖ largo",""),"CUMPLE"))))</f>
        <v/>
      </c>
      <c r="BK33" s="58" t="str">
        <f>IF(U33&lt;&gt;"SÍ","",(DATOS!$C$82-AJ33-INDEX(TABLAS!$C$52:$C$58,MATCH(DATOS!$C$68,TABLAS!$B$52:$B$58,0))/2))</f>
        <v/>
      </c>
      <c r="BL33" s="58" t="str">
        <f>IF(U33&lt;&gt;"SÍ","",IF(IF(BF33&lt;=0,0,IF((1-2*BF33*1E5/(DATOS!$C$29*AG33*BK33^2*DATOS!$C$21))&lt;0,-1,IF((1-SQRT((1-2*BF33*1E5/(DATOS!$C$29*AG33*BK33^2*DATOS!$C$21))))*DATOS!$C$21*AG33*BK33/DATOS!$C$14&gt;DATOS!$C$99*AG33*BK33,-1,(1-SQRT((1-2*BF33*1E5/(DATOS!$C$29*AG33*BK33^2*DATOS!$C$21))))*DATOS!$C$21*AG33*BK33/DATOS!$C$14)))&lt;0,-1,MAX(IF(BF33&lt;=0,0,IF((1-2*BF33*1E5/(DATOS!$C$29*AG33*BK33^2*DATOS!$C$21))&lt;0,-1,IF((1-SQRT((1-2*BF33*1E5/(DATOS!$C$29*AG33*BK33^2*DATOS!$C$21))))*DATOS!$C$21*AG33*BK33/DATOS!$C$14&gt;DATOS!$C$99*AG33*BK33,-1,(1-SQRT((1-2*BF33*1E5/(DATOS!$C$29*AG33*BK33^2*DATOS!$C$21))))*DATOS!$C$21*AG33*BK33/DATOS!$C$14))),MIN(DATOS!$C$100*AC33*BK33,4/3*IF(BF33&lt;=0,0,IF((1-2*BF33*1E5/(DATOS!$C$29*AG33*BK33^2*DATOS!$C$21))&lt;0,-1,IF((1-SQRT((1-2*BF33*1E5/(DATOS!$C$29*AG33*BK33^2*DATOS!$C$21))))*DATOS!$C$21*AG33*BK33/DATOS!$C$14&gt;DATOS!$C$99*AG33*BK33,-1,(1-SQRT((1-2*BF33*1E5/(DATOS!$C$29*AG33*BK33^2*DATOS!$C$21))))*DATOS!$C$21*AG33*BK33/DATOS!$C$14)))))))</f>
        <v/>
      </c>
      <c r="BM33" s="64" t="str">
        <f>IF(U33&lt;&gt;"SÍ","",IF(AND(BL33&gt;=0,IF(MAX(DATOS!$C$71,CEILING(BL33/INDEX(TABLAS!$D$52:$D$58,MIN(MATCH(DATOS!$C$68,TABLAS!$B$52:$B$58,0)+0,7)),1))*INDEX(TABLAS!$D$52:$D$58,MIN(MATCH(DATOS!$C$68,TABLAS!$B$52:$B$58,0)+0,7))&gt;=4/3*IF(BF33&lt;=0,0,IF((1-2*BF33*1E5/(DATOS!$C$29*AG33*BK33^2*DATOS!$C$21))&lt;0,-1,IF((1-SQRT((1-2*BF33*1E5/(DATOS!$C$29*AG33*BK33^2*DATOS!$C$21))))*DATOS!$C$21*AG33*BK33/DATOS!$C$14&gt;DATOS!$C$99*AG33*BK33,-1,(1-SQRT((1-2*BF33*1E5/(DATOS!$C$29*AG33*BK33^2*DATOS!$C$21))))*DATOS!$C$21*AG33*BK33/DATOS!$C$14)))-0.0001,MAX(DATOS!$C$71,CEILING(BL33/INDEX(TABLAS!$D$52:$D$58,MIN(MATCH(DATOS!$C$68,TABLAS!$B$52:$B$58,0)+0,7)),1)),MAX(MAX(DATOS!$C$71,CEILING(BL33/INDEX(TABLAS!$D$52:$D$58,MIN(MATCH(DATOS!$C$68,TABLAS!$B$52:$B$58,0)+0,7)),1)),2))&lt;=MIN(DATOS!$C$70,INT(((AC33-2*AJ33)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33&gt;=0,IF(MAX(DATOS!$C$71,CEILING(BL33/INDEX(TABLAS!$D$52:$D$58,MIN(MATCH(DATOS!$C$68,TABLAS!$B$52:$B$58,0)+1,7)),1))*INDEX(TABLAS!$D$52:$D$58,MIN(MATCH(DATOS!$C$68,TABLAS!$B$52:$B$58,0)+1,7))&gt;=4/3*IF(BF33&lt;=0,0,IF((1-2*BF33*1E5/(DATOS!$C$29*AG33*BK33^2*DATOS!$C$21))&lt;0,-1,IF((1-SQRT((1-2*BF33*1E5/(DATOS!$C$29*AG33*BK33^2*DATOS!$C$21))))*DATOS!$C$21*AG33*BK33/DATOS!$C$14&gt;DATOS!$C$99*AG33*BK33,-1,(1-SQRT((1-2*BF33*1E5/(DATOS!$C$29*AG33*BK33^2*DATOS!$C$21))))*DATOS!$C$21*AG33*BK33/DATOS!$C$14)))-0.0001,MAX(DATOS!$C$71,CEILING(BL33/INDEX(TABLAS!$D$52:$D$58,MIN(MATCH(DATOS!$C$68,TABLAS!$B$52:$B$58,0)+1,7)),1)),MAX(MAX(DATOS!$C$71,CEILING(BL33/INDEX(TABLAS!$D$52:$D$58,MIN(MATCH(DATOS!$C$68,TABLAS!$B$52:$B$58,0)+1,7)),1)),2))&lt;=MIN(DATOS!$C$70,INT(((AC33-2*AJ33)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33&gt;=0,IF(MAX(DATOS!$C$71,CEILING(BL33/INDEX(TABLAS!$D$52:$D$58,MIN(MATCH(DATOS!$C$68,TABLAS!$B$52:$B$58,0)+2,7)),1))*INDEX(TABLAS!$D$52:$D$58,MIN(MATCH(DATOS!$C$68,TABLAS!$B$52:$B$58,0)+2,7))&gt;=4/3*IF(BF33&lt;=0,0,IF((1-2*BF33*1E5/(DATOS!$C$29*AG33*BK33^2*DATOS!$C$21))&lt;0,-1,IF((1-SQRT((1-2*BF33*1E5/(DATOS!$C$29*AG33*BK33^2*DATOS!$C$21))))*DATOS!$C$21*AG33*BK33/DATOS!$C$14&gt;DATOS!$C$99*AG33*BK33,-1,(1-SQRT((1-2*BF33*1E5/(DATOS!$C$29*AG33*BK33^2*DATOS!$C$21))))*DATOS!$C$21*AG33*BK33/DATOS!$C$14)))-0.0001,MAX(DATOS!$C$71,CEILING(BL33/INDEX(TABLAS!$D$52:$D$58,MIN(MATCH(DATOS!$C$68,TABLAS!$B$52:$B$58,0)+2,7)),1)),MAX(MAX(DATOS!$C$71,CEILING(BL33/INDEX(TABLAS!$D$52:$D$58,MIN(MATCH(DATOS!$C$68,TABLAS!$B$52:$B$58,0)+2,7)),1)),2))&lt;=MIN(DATOS!$C$70,INT(((AC33-2*AJ33)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33&gt;=0,IF(MAX(DATOS!$C$71,CEILING(BL33/INDEX(TABLAS!$D$52:$D$58,MIN(MATCH(DATOS!$C$68,TABLAS!$B$52:$B$58,0)+3,7)),1))*INDEX(TABLAS!$D$52:$D$58,MIN(MATCH(DATOS!$C$68,TABLAS!$B$52:$B$58,0)+3,7))&gt;=4/3*IF(BF33&lt;=0,0,IF((1-2*BF33*1E5/(DATOS!$C$29*AG33*BK33^2*DATOS!$C$21))&lt;0,-1,IF((1-SQRT((1-2*BF33*1E5/(DATOS!$C$29*AG33*BK33^2*DATOS!$C$21))))*DATOS!$C$21*AG33*BK33/DATOS!$C$14&gt;DATOS!$C$99*AG33*BK33,-1,(1-SQRT((1-2*BF33*1E5/(DATOS!$C$29*AG33*BK33^2*DATOS!$C$21))))*DATOS!$C$21*AG33*BK33/DATOS!$C$14)))-0.0001,MAX(DATOS!$C$71,CEILING(BL33/INDEX(TABLAS!$D$52:$D$58,MIN(MATCH(DATOS!$C$68,TABLAS!$B$52:$B$58,0)+3,7)),1)),MAX(MAX(DATOS!$C$71,CEILING(BL33/INDEX(TABLAS!$D$52:$D$58,MIN(MATCH(DATOS!$C$68,TABLAS!$B$52:$B$58,0)+3,7)),1)),2))&lt;=MIN(DATOS!$C$70,INT(((AC33-2*AJ33)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33&gt;=0,IF(MAX(DATOS!$C$71,CEILING(BL33/INDEX(TABLAS!$D$52:$D$58,MIN(MATCH(DATOS!$C$68,TABLAS!$B$52:$B$58,0)+4,7)),1))*INDEX(TABLAS!$D$52:$D$58,MIN(MATCH(DATOS!$C$68,TABLAS!$B$52:$B$58,0)+4,7))&gt;=4/3*IF(BF33&lt;=0,0,IF((1-2*BF33*1E5/(DATOS!$C$29*AG33*BK33^2*DATOS!$C$21))&lt;0,-1,IF((1-SQRT((1-2*BF33*1E5/(DATOS!$C$29*AG33*BK33^2*DATOS!$C$21))))*DATOS!$C$21*AG33*BK33/DATOS!$C$14&gt;DATOS!$C$99*AG33*BK33,-1,(1-SQRT((1-2*BF33*1E5/(DATOS!$C$29*AG33*BK33^2*DATOS!$C$21))))*DATOS!$C$21*AG33*BK33/DATOS!$C$14)))-0.0001,MAX(DATOS!$C$71,CEILING(BL33/INDEX(TABLAS!$D$52:$D$58,MIN(MATCH(DATOS!$C$68,TABLAS!$B$52:$B$58,0)+4,7)),1)),MAX(MAX(DATOS!$C$71,CEILING(BL33/INDEX(TABLAS!$D$52:$D$58,MIN(MATCH(DATOS!$C$68,TABLAS!$B$52:$B$58,0)+4,7)),1)),2))&lt;=MIN(DATOS!$C$70,INT(((AC33-2*AJ33)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33" s="59" t="str">
        <f>IF(U33&lt;&gt;"SÍ","",IF(BL33&lt;0,0,IF(MAX(DATOS!$C$71,CEILING(MAX(BL33,0)/INDEX(TABLAS!$D$52:$D$58,MATCH(BM33,TABLAS!$B$52:$B$58,0)),1))*INDEX(TABLAS!$D$52:$D$58,MATCH(BM33,TABLAS!$B$52:$B$58,0))&gt;=4/3*IF(BF33&lt;=0,0,IF((1-2*BF33*1E5/(DATOS!$C$29*AG33*BK33^2*DATOS!$C$21))&lt;0,-1,IF((1-SQRT((1-2*BF33*1E5/(DATOS!$C$29*AG33*BK33^2*DATOS!$C$21))))*DATOS!$C$21*AG33*BK33/DATOS!$C$14&gt;DATOS!$C$99*AG33*BK33,-1,(1-SQRT((1-2*BF33*1E5/(DATOS!$C$29*AG33*BK33^2*DATOS!$C$21))))*DATOS!$C$21*AG33*BK33/DATOS!$C$14)))-0.0001,MAX(DATOS!$C$71,CEILING(MAX(BL33,0)/INDEX(TABLAS!$D$52:$D$58,MATCH(BM33,TABLAS!$B$52:$B$58,0)),1)),MAX(MAX(DATOS!$C$71,CEILING(MAX(BL33,0)/INDEX(TABLAS!$D$52:$D$58,MATCH(BM33,TABLAS!$B$52:$B$58,0)),1)),2))))</f>
        <v/>
      </c>
      <c r="BO33" s="58" t="str">
        <f>IF(U33&lt;&gt;"SÍ","",DATOS!$C$82-AJ33-INDEX(TABLAS!$C$52:$C$58,MATCH(BM33,TABLAS!$B$52:$B$58,0))/2)</f>
        <v/>
      </c>
      <c r="BP33" s="56" t="str">
        <f>IF(U33&lt;&gt;"SÍ","",IF(BN33=0,0,DATOS!$C$29*BN33*INDEX(TABLAS!$D$52:$D$58,MATCH(BM33,TABLAS!$B$52:$B$58,0))*DATOS!$C$14*(BO33-BN33*INDEX(TABLAS!$D$52:$D$58,MATCH(BM33,TABLAS!$B$52:$B$58,0))*DATOS!$C$14/(DATOS!$C$21*AG33)/2)/1E5))</f>
        <v/>
      </c>
      <c r="BQ33" s="65" t="str">
        <f>IF(U33&lt;&gt;"SÍ","",IF(BL33&lt;0,9.99,IF(BP33&gt;0,BF33/BP33,0)))</f>
        <v/>
      </c>
      <c r="BR33" s="66" t="str">
        <f>IF(U33&lt;&gt;"SÍ","",IF(BN33=0,"—",0.003*(BO33-(BN33*INDEX(TABLAS!$D$52:$D$58,MATCH(BM33,TABLAS!$B$52:$B$58,0))*DATOS!$C$14/(DATOS!$C$21*AG33)/DATOS!$C$22))/(BN33*INDEX(TABLAS!$D$52:$D$58,MATCH(BM33,TABLAS!$B$52:$B$58,0))*DATOS!$C$14/(DATOS!$C$21*AG33)/DATOS!$C$22)))</f>
        <v/>
      </c>
      <c r="BS33" s="58" t="str">
        <f>IF(U33&lt;&gt;"SÍ","",((DATOS!$C$82-AL33-2*DATOS!$C$94-INDEX(TABLAS!$C$52:$C$58,MATCH(DATOS!$C$69,TABLAS!$B$52:$B$58,0))/2)-IF(AND((DATOS!$C$82-AL33-2*DATOS!$C$94-INDEX(TABLAS!$C$52:$C$58,MATCH(DATOS!$C$69,TABLAS!$B$52:$B$58,0))/2)&lt;=20,DATOS!$C$62&lt;&gt;"SÍ"),2,0)))</f>
        <v/>
      </c>
      <c r="BT33" s="58" t="str">
        <f>IF(U33&lt;&gt;"SÍ","",IF(IF(BG33&lt;=0,0,IF((1-2*BG33*1E5/(DATOS!$C$29*AE33*BS33^2*DATOS!$C$21))&lt;0,-1,IF((1-SQRT((1-2*BG33*1E5/(DATOS!$C$29*AE33*BS33^2*DATOS!$C$21))))*DATOS!$C$21*AE33*BS33/DATOS!$C$14&gt;DATOS!$C$99*AE33*BS33,-1,(1-SQRT((1-2*BG33*1E5/(DATOS!$C$29*AE33*BS33^2*DATOS!$C$21))))*DATOS!$C$21*AE33*BS33/DATOS!$C$14)))&lt;0,-1,MAX(IF(BG33&lt;=0,0,IF((1-2*BG33*1E5/(DATOS!$C$29*AE33*BS33^2*DATOS!$C$21))&lt;0,-1,IF((1-SQRT((1-2*BG33*1E5/(DATOS!$C$29*AE33*BS33^2*DATOS!$C$21))))*DATOS!$C$21*AE33*BS33/DATOS!$C$14&gt;DATOS!$C$99*AE33*BS33,-1,(1-SQRT((1-2*BG33*1E5/(DATOS!$C$29*AE33*BS33^2*DATOS!$C$21))))*DATOS!$C$21*AE33*BS33/DATOS!$C$14))),MIN(DATOS!$C$100*IF(C33="VOLADO",MIN(AG33,2*AC33),AC33)*BS33,4/3*IF(BG33&lt;=0,0,IF((1-2*BG33*1E5/(DATOS!$C$29*AE33*BS33^2*DATOS!$C$21))&lt;0,-1,IF((1-SQRT((1-2*BG33*1E5/(DATOS!$C$29*AE33*BS33^2*DATOS!$C$21))))*DATOS!$C$21*AE33*BS33/DATOS!$C$14&gt;DATOS!$C$99*AE33*BS33,-1,(1-SQRT((1-2*BG33*1E5/(DATOS!$C$29*AE33*BS33^2*DATOS!$C$21))))*DATOS!$C$21*AE33*BS33/DATOS!$C$14)))))))</f>
        <v/>
      </c>
      <c r="BU33" s="64" t="str">
        <f>IF(U33&lt;&gt;"SÍ","",IF(AND(BT33&gt;=0,IF(MAX(DATOS!$C$71,CEILING(BT33/INDEX(TABLAS!$D$52:$D$58,MIN(MATCH(DATOS!$C$69,TABLAS!$B$52:$B$58,0)+0,7)),1))*INDEX(TABLAS!$D$52:$D$58,MIN(MATCH(DATOS!$C$69,TABLAS!$B$52:$B$58,0)+0,7))&gt;=4/3*IF(BG33&lt;=0,0,IF((1-2*BG33*1E5/(DATOS!$C$29*AE33*BS33^2*DATOS!$C$21))&lt;0,-1,IF((1-SQRT((1-2*BG33*1E5/(DATOS!$C$29*AE33*BS33^2*DATOS!$C$21))))*DATOS!$C$21*AE33*BS33/DATOS!$C$14&gt;DATOS!$C$99*AE33*BS33,-1,(1-SQRT((1-2*BG33*1E5/(DATOS!$C$29*AE33*BS33^2*DATOS!$C$21))))*DATOS!$C$21*AE33*BS33/DATOS!$C$14)))-0.0001,MAX(DATOS!$C$71,CEILING(BT33/INDEX(TABLAS!$D$52:$D$58,MIN(MATCH(DATOS!$C$69,TABLAS!$B$52:$B$58,0)+0,7)),1)),MAX(MAX(DATOS!$C$71,CEILING(BT33/INDEX(TABLAS!$D$52:$D$58,MIN(MATCH(DATOS!$C$69,TABLAS!$B$52:$B$58,0)+0,7)),1)),2))&lt;=MIN(DATOS!$C$70,INT(((AC33-2*AK33)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33&gt;=0,IF(MAX(DATOS!$C$71,CEILING(BT33/INDEX(TABLAS!$D$52:$D$58,MIN(MATCH(DATOS!$C$69,TABLAS!$B$52:$B$58,0)+1,7)),1))*INDEX(TABLAS!$D$52:$D$58,MIN(MATCH(DATOS!$C$69,TABLAS!$B$52:$B$58,0)+1,7))&gt;=4/3*IF(BG33&lt;=0,0,IF((1-2*BG33*1E5/(DATOS!$C$29*AE33*BS33^2*DATOS!$C$21))&lt;0,-1,IF((1-SQRT((1-2*BG33*1E5/(DATOS!$C$29*AE33*BS33^2*DATOS!$C$21))))*DATOS!$C$21*AE33*BS33/DATOS!$C$14&gt;DATOS!$C$99*AE33*BS33,-1,(1-SQRT((1-2*BG33*1E5/(DATOS!$C$29*AE33*BS33^2*DATOS!$C$21))))*DATOS!$C$21*AE33*BS33/DATOS!$C$14)))-0.0001,MAX(DATOS!$C$71,CEILING(BT33/INDEX(TABLAS!$D$52:$D$58,MIN(MATCH(DATOS!$C$69,TABLAS!$B$52:$B$58,0)+1,7)),1)),MAX(MAX(DATOS!$C$71,CEILING(BT33/INDEX(TABLAS!$D$52:$D$58,MIN(MATCH(DATOS!$C$69,TABLAS!$B$52:$B$58,0)+1,7)),1)),2))&lt;=MIN(DATOS!$C$70,INT(((AC33-2*AK33)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33&gt;=0,IF(MAX(DATOS!$C$71,CEILING(BT33/INDEX(TABLAS!$D$52:$D$58,MIN(MATCH(DATOS!$C$69,TABLAS!$B$52:$B$58,0)+2,7)),1))*INDEX(TABLAS!$D$52:$D$58,MIN(MATCH(DATOS!$C$69,TABLAS!$B$52:$B$58,0)+2,7))&gt;=4/3*IF(BG33&lt;=0,0,IF((1-2*BG33*1E5/(DATOS!$C$29*AE33*BS33^2*DATOS!$C$21))&lt;0,-1,IF((1-SQRT((1-2*BG33*1E5/(DATOS!$C$29*AE33*BS33^2*DATOS!$C$21))))*DATOS!$C$21*AE33*BS33/DATOS!$C$14&gt;DATOS!$C$99*AE33*BS33,-1,(1-SQRT((1-2*BG33*1E5/(DATOS!$C$29*AE33*BS33^2*DATOS!$C$21))))*DATOS!$C$21*AE33*BS33/DATOS!$C$14)))-0.0001,MAX(DATOS!$C$71,CEILING(BT33/INDEX(TABLAS!$D$52:$D$58,MIN(MATCH(DATOS!$C$69,TABLAS!$B$52:$B$58,0)+2,7)),1)),MAX(MAX(DATOS!$C$71,CEILING(BT33/INDEX(TABLAS!$D$52:$D$58,MIN(MATCH(DATOS!$C$69,TABLAS!$B$52:$B$58,0)+2,7)),1)),2))&lt;=MIN(DATOS!$C$70,INT(((AC33-2*AK33)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33&gt;=0,IF(MAX(DATOS!$C$71,CEILING(BT33/INDEX(TABLAS!$D$52:$D$58,MIN(MATCH(DATOS!$C$69,TABLAS!$B$52:$B$58,0)+3,7)),1))*INDEX(TABLAS!$D$52:$D$58,MIN(MATCH(DATOS!$C$69,TABLAS!$B$52:$B$58,0)+3,7))&gt;=4/3*IF(BG33&lt;=0,0,IF((1-2*BG33*1E5/(DATOS!$C$29*AE33*BS33^2*DATOS!$C$21))&lt;0,-1,IF((1-SQRT((1-2*BG33*1E5/(DATOS!$C$29*AE33*BS33^2*DATOS!$C$21))))*DATOS!$C$21*AE33*BS33/DATOS!$C$14&gt;DATOS!$C$99*AE33*BS33,-1,(1-SQRT((1-2*BG33*1E5/(DATOS!$C$29*AE33*BS33^2*DATOS!$C$21))))*DATOS!$C$21*AE33*BS33/DATOS!$C$14)))-0.0001,MAX(DATOS!$C$71,CEILING(BT33/INDEX(TABLAS!$D$52:$D$58,MIN(MATCH(DATOS!$C$69,TABLAS!$B$52:$B$58,0)+3,7)),1)),MAX(MAX(DATOS!$C$71,CEILING(BT33/INDEX(TABLAS!$D$52:$D$58,MIN(MATCH(DATOS!$C$69,TABLAS!$B$52:$B$58,0)+3,7)),1)),2))&lt;=MIN(DATOS!$C$70,INT(((AC33-2*AK33)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33&gt;=0,IF(MAX(DATOS!$C$71,CEILING(BT33/INDEX(TABLAS!$D$52:$D$58,MIN(MATCH(DATOS!$C$69,TABLAS!$B$52:$B$58,0)+4,7)),1))*INDEX(TABLAS!$D$52:$D$58,MIN(MATCH(DATOS!$C$69,TABLAS!$B$52:$B$58,0)+4,7))&gt;=4/3*IF(BG33&lt;=0,0,IF((1-2*BG33*1E5/(DATOS!$C$29*AE33*BS33^2*DATOS!$C$21))&lt;0,-1,IF((1-SQRT((1-2*BG33*1E5/(DATOS!$C$29*AE33*BS33^2*DATOS!$C$21))))*DATOS!$C$21*AE33*BS33/DATOS!$C$14&gt;DATOS!$C$99*AE33*BS33,-1,(1-SQRT((1-2*BG33*1E5/(DATOS!$C$29*AE33*BS33^2*DATOS!$C$21))))*DATOS!$C$21*AE33*BS33/DATOS!$C$14)))-0.0001,MAX(DATOS!$C$71,CEILING(BT33/INDEX(TABLAS!$D$52:$D$58,MIN(MATCH(DATOS!$C$69,TABLAS!$B$52:$B$58,0)+4,7)),1)),MAX(MAX(DATOS!$C$71,CEILING(BT33/INDEX(TABLAS!$D$52:$D$58,MIN(MATCH(DATOS!$C$69,TABLAS!$B$52:$B$58,0)+4,7)),1)),2))&lt;=MIN(DATOS!$C$70,INT(((AC33-2*AK33)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33" s="59" t="str">
        <f>IF(U33&lt;&gt;"SÍ","",IF(BT33&lt;0,0,IF(MAX(DATOS!$C$71,CEILING(MAX(BT33,0)/INDEX(TABLAS!$D$52:$D$58,MATCH(BU33,TABLAS!$B$52:$B$58,0)),1))*INDEX(TABLAS!$D$52:$D$58,MATCH(BU33,TABLAS!$B$52:$B$58,0))&gt;=4/3*IF(BG33&lt;=0,0,IF((1-2*BG33*1E5/(DATOS!$C$29*AE33*BS33^2*DATOS!$C$21))&lt;0,-1,IF((1-SQRT((1-2*BG33*1E5/(DATOS!$C$29*AE33*BS33^2*DATOS!$C$21))))*DATOS!$C$21*AE33*BS33/DATOS!$C$14&gt;DATOS!$C$99*AE33*BS33,-1,(1-SQRT((1-2*BG33*1E5/(DATOS!$C$29*AE33*BS33^2*DATOS!$C$21))))*DATOS!$C$21*AE33*BS33/DATOS!$C$14)))-0.0001,MAX(DATOS!$C$71,CEILING(MAX(BT33,0)/INDEX(TABLAS!$D$52:$D$58,MATCH(BU33,TABLAS!$B$52:$B$58,0)),1)),MAX(MAX(DATOS!$C$71,CEILING(MAX(BT33,0)/INDEX(TABLAS!$D$52:$D$58,MATCH(BU33,TABLAS!$B$52:$B$58,0)),1)),2))))</f>
        <v/>
      </c>
      <c r="BW33" s="58" t="str">
        <f>IF(U33&lt;&gt;"SÍ","",((DATOS!$C$82-AL33-2*DATOS!$C$94-INDEX(TABLAS!$C$52:$C$58,MATCH(BU33,TABLAS!$B$52:$B$58,0))/2)-IF(AND((DATOS!$C$82-AL33-2*DATOS!$C$94-INDEX(TABLAS!$C$52:$C$58,MATCH(BU33,TABLAS!$B$52:$B$58,0))/2)&lt;=20,DATOS!$C$62&lt;&gt;"SÍ"),2,0)))</f>
        <v/>
      </c>
      <c r="BX33" s="56" t="str">
        <f>IF(U33&lt;&gt;"SÍ","",IF(BV33=0,0,DATOS!$C$29*BV33*INDEX(TABLAS!$D$52:$D$58,MATCH(BU33,TABLAS!$B$52:$B$58,0))*DATOS!$C$14*(BW33-BV33*INDEX(TABLAS!$D$52:$D$58,MATCH(BU33,TABLAS!$B$52:$B$58,0))*DATOS!$C$14/(DATOS!$C$21*AE33)/2)/1E5))</f>
        <v/>
      </c>
      <c r="BY33" s="65" t="str">
        <f>IF(U33&lt;&gt;"SÍ","",IF(BT33&lt;0,9.99,IF(BX33&gt;0,BG33/BX33,0)))</f>
        <v/>
      </c>
      <c r="BZ33" s="66" t="str">
        <f>IF(U33&lt;&gt;"SÍ","",IF(BV33=0,"—",0.003*(BW33-(BV33*INDEX(TABLAS!$D$52:$D$58,MATCH(BU33,TABLAS!$B$52:$B$58,0))*DATOS!$C$14/(DATOS!$C$21*AE33)/DATOS!$C$22))/(BV33*INDEX(TABLAS!$D$52:$D$58,MATCH(BU33,TABLAS!$B$52:$B$58,0))*DATOS!$C$14/(DATOS!$C$21*AE33)/DATOS!$C$22)))</f>
        <v/>
      </c>
      <c r="CA33" s="58" t="str">
        <f>IF(U33&lt;&gt;"SÍ","",(DATOS!$C$82-AJ33-INDEX(TABLAS!$C$52:$C$58,MATCH(DATOS!$C$68,TABLAS!$B$52:$B$58,0))-INDEX(TABLAS!$C$52:$C$58,MATCH(DATOS!$C$68,TABLAS!$B$52:$B$58,0))/2))</f>
        <v/>
      </c>
      <c r="CB33" s="58" t="str">
        <f>IF(U33&lt;&gt;"SÍ","",IF(IF(BH33&lt;=0,0,IF((1-2*BH33*1E5/(DATOS!$C$29*AH33*CA33^2*DATOS!$C$21))&lt;0,-1,IF((1-SQRT((1-2*BH33*1E5/(DATOS!$C$29*AH33*CA33^2*DATOS!$C$21))))*DATOS!$C$21*AH33*CA33/DATOS!$C$14&gt;DATOS!$C$99*AH33*CA33,-1,(1-SQRT((1-2*BH33*1E5/(DATOS!$C$29*AH33*CA33^2*DATOS!$C$21))))*DATOS!$C$21*AH33*CA33/DATOS!$C$14)))&lt;0,-1,MAX(IF(BH33&lt;=0,0,IF((1-2*BH33*1E5/(DATOS!$C$29*AH33*CA33^2*DATOS!$C$21))&lt;0,-1,IF((1-SQRT((1-2*BH33*1E5/(DATOS!$C$29*AH33*CA33^2*DATOS!$C$21))))*DATOS!$C$21*AH33*CA33/DATOS!$C$14&gt;DATOS!$C$99*AH33*CA33,-1,(1-SQRT((1-2*BH33*1E5/(DATOS!$C$29*AH33*CA33^2*DATOS!$C$21))))*DATOS!$C$21*AH33*CA33/DATOS!$C$14))),MIN(DATOS!$C$100*DATOS!$C$80*CA33,4/3*IF(BH33&lt;=0,0,IF((1-2*BH33*1E5/(DATOS!$C$29*AH33*CA33^2*DATOS!$C$21))&lt;0,-1,IF((1-SQRT((1-2*BH33*1E5/(DATOS!$C$29*AH33*CA33^2*DATOS!$C$21))))*DATOS!$C$21*AH33*CA33/DATOS!$C$14&gt;DATOS!$C$99*AH33*CA33,-1,(1-SQRT((1-2*BH33*1E5/(DATOS!$C$29*AH33*CA33^2*DATOS!$C$21))))*DATOS!$C$21*AH33*CA33/DATOS!$C$14)))))))</f>
        <v/>
      </c>
      <c r="CC33" s="64" t="str">
        <f>IF(U33&lt;&gt;"SÍ","",IF(AND(CB33&gt;=0,IF(MAX(DATOS!$C$71,CEILING(CB33/INDEX(TABLAS!$D$52:$D$58,MIN(MATCH(DATOS!$C$68,TABLAS!$B$52:$B$58,0)+0,7)),1))*INDEX(TABLAS!$D$52:$D$58,MIN(MATCH(DATOS!$C$68,TABLAS!$B$52:$B$58,0)+0,7))&gt;=4/3*IF(BH33&lt;=0,0,IF((1-2*BH33*1E5/(DATOS!$C$29*AH33*CA33^2*DATOS!$C$21))&lt;0,-1,IF((1-SQRT((1-2*BH33*1E5/(DATOS!$C$29*AH33*CA33^2*DATOS!$C$21))))*DATOS!$C$21*AH33*CA33/DATOS!$C$14&gt;DATOS!$C$99*AH33*CA33,-1,(1-SQRT((1-2*BH33*1E5/(DATOS!$C$29*AH33*CA33^2*DATOS!$C$21))))*DATOS!$C$21*AH33*CA33/DATOS!$C$14)))-0.0001,MAX(DATOS!$C$71,CEILING(CB33/INDEX(TABLAS!$D$52:$D$58,MIN(MATCH(DATOS!$C$68,TABLAS!$B$52:$B$58,0)+0,7)),1)),MAX(MAX(DATOS!$C$71,CEILING(CB33/INDEX(TABLAS!$D$52:$D$58,MIN(MATCH(DATOS!$C$68,TABLAS!$B$52:$B$58,0)+0,7)),1)),2))&lt;=MIN(DATOS!$C$70,INT(((DATOS!$C$80-2*AJ33)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33&gt;=0,IF(MAX(DATOS!$C$71,CEILING(CB33/INDEX(TABLAS!$D$52:$D$58,MIN(MATCH(DATOS!$C$68,TABLAS!$B$52:$B$58,0)+1,7)),1))*INDEX(TABLAS!$D$52:$D$58,MIN(MATCH(DATOS!$C$68,TABLAS!$B$52:$B$58,0)+1,7))&gt;=4/3*IF(BH33&lt;=0,0,IF((1-2*BH33*1E5/(DATOS!$C$29*AH33*CA33^2*DATOS!$C$21))&lt;0,-1,IF((1-SQRT((1-2*BH33*1E5/(DATOS!$C$29*AH33*CA33^2*DATOS!$C$21))))*DATOS!$C$21*AH33*CA33/DATOS!$C$14&gt;DATOS!$C$99*AH33*CA33,-1,(1-SQRT((1-2*BH33*1E5/(DATOS!$C$29*AH33*CA33^2*DATOS!$C$21))))*DATOS!$C$21*AH33*CA33/DATOS!$C$14)))-0.0001,MAX(DATOS!$C$71,CEILING(CB33/INDEX(TABLAS!$D$52:$D$58,MIN(MATCH(DATOS!$C$68,TABLAS!$B$52:$B$58,0)+1,7)),1)),MAX(MAX(DATOS!$C$71,CEILING(CB33/INDEX(TABLAS!$D$52:$D$58,MIN(MATCH(DATOS!$C$68,TABLAS!$B$52:$B$58,0)+1,7)),1)),2))&lt;=MIN(DATOS!$C$70,INT(((DATOS!$C$80-2*AJ33)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33&gt;=0,IF(MAX(DATOS!$C$71,CEILING(CB33/INDEX(TABLAS!$D$52:$D$58,MIN(MATCH(DATOS!$C$68,TABLAS!$B$52:$B$58,0)+2,7)),1))*INDEX(TABLAS!$D$52:$D$58,MIN(MATCH(DATOS!$C$68,TABLAS!$B$52:$B$58,0)+2,7))&gt;=4/3*IF(BH33&lt;=0,0,IF((1-2*BH33*1E5/(DATOS!$C$29*AH33*CA33^2*DATOS!$C$21))&lt;0,-1,IF((1-SQRT((1-2*BH33*1E5/(DATOS!$C$29*AH33*CA33^2*DATOS!$C$21))))*DATOS!$C$21*AH33*CA33/DATOS!$C$14&gt;DATOS!$C$99*AH33*CA33,-1,(1-SQRT((1-2*BH33*1E5/(DATOS!$C$29*AH33*CA33^2*DATOS!$C$21))))*DATOS!$C$21*AH33*CA33/DATOS!$C$14)))-0.0001,MAX(DATOS!$C$71,CEILING(CB33/INDEX(TABLAS!$D$52:$D$58,MIN(MATCH(DATOS!$C$68,TABLAS!$B$52:$B$58,0)+2,7)),1)),MAX(MAX(DATOS!$C$71,CEILING(CB33/INDEX(TABLAS!$D$52:$D$58,MIN(MATCH(DATOS!$C$68,TABLAS!$B$52:$B$58,0)+2,7)),1)),2))&lt;=MIN(DATOS!$C$70,INT(((DATOS!$C$80-2*AJ33)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33&gt;=0,IF(MAX(DATOS!$C$71,CEILING(CB33/INDEX(TABLAS!$D$52:$D$58,MIN(MATCH(DATOS!$C$68,TABLAS!$B$52:$B$58,0)+3,7)),1))*INDEX(TABLAS!$D$52:$D$58,MIN(MATCH(DATOS!$C$68,TABLAS!$B$52:$B$58,0)+3,7))&gt;=4/3*IF(BH33&lt;=0,0,IF((1-2*BH33*1E5/(DATOS!$C$29*AH33*CA33^2*DATOS!$C$21))&lt;0,-1,IF((1-SQRT((1-2*BH33*1E5/(DATOS!$C$29*AH33*CA33^2*DATOS!$C$21))))*DATOS!$C$21*AH33*CA33/DATOS!$C$14&gt;DATOS!$C$99*AH33*CA33,-1,(1-SQRT((1-2*BH33*1E5/(DATOS!$C$29*AH33*CA33^2*DATOS!$C$21))))*DATOS!$C$21*AH33*CA33/DATOS!$C$14)))-0.0001,MAX(DATOS!$C$71,CEILING(CB33/INDEX(TABLAS!$D$52:$D$58,MIN(MATCH(DATOS!$C$68,TABLAS!$B$52:$B$58,0)+3,7)),1)),MAX(MAX(DATOS!$C$71,CEILING(CB33/INDEX(TABLAS!$D$52:$D$58,MIN(MATCH(DATOS!$C$68,TABLAS!$B$52:$B$58,0)+3,7)),1)),2))&lt;=MIN(DATOS!$C$70,INT(((DATOS!$C$80-2*AJ33)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33&gt;=0,IF(MAX(DATOS!$C$71,CEILING(CB33/INDEX(TABLAS!$D$52:$D$58,MIN(MATCH(DATOS!$C$68,TABLAS!$B$52:$B$58,0)+4,7)),1))*INDEX(TABLAS!$D$52:$D$58,MIN(MATCH(DATOS!$C$68,TABLAS!$B$52:$B$58,0)+4,7))&gt;=4/3*IF(BH33&lt;=0,0,IF((1-2*BH33*1E5/(DATOS!$C$29*AH33*CA33^2*DATOS!$C$21))&lt;0,-1,IF((1-SQRT((1-2*BH33*1E5/(DATOS!$C$29*AH33*CA33^2*DATOS!$C$21))))*DATOS!$C$21*AH33*CA33/DATOS!$C$14&gt;DATOS!$C$99*AH33*CA33,-1,(1-SQRT((1-2*BH33*1E5/(DATOS!$C$29*AH33*CA33^2*DATOS!$C$21))))*DATOS!$C$21*AH33*CA33/DATOS!$C$14)))-0.0001,MAX(DATOS!$C$71,CEILING(CB33/INDEX(TABLAS!$D$52:$D$58,MIN(MATCH(DATOS!$C$68,TABLAS!$B$52:$B$58,0)+4,7)),1)),MAX(MAX(DATOS!$C$71,CEILING(CB33/INDEX(TABLAS!$D$52:$D$58,MIN(MATCH(DATOS!$C$68,TABLAS!$B$52:$B$58,0)+4,7)),1)),2))&lt;=MIN(DATOS!$C$70,INT(((DATOS!$C$80-2*AJ33)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33" s="59" t="str">
        <f>IF(U33&lt;&gt;"SÍ","",IF(CB33&lt;0,0,IF(MAX(DATOS!$C$71,CEILING(MAX(CB33,0)/INDEX(TABLAS!$D$52:$D$58,MATCH(CC33,TABLAS!$B$52:$B$58,0)),1))*INDEX(TABLAS!$D$52:$D$58,MATCH(CC33,TABLAS!$B$52:$B$58,0))&gt;=4/3*IF(BH33&lt;=0,0,IF((1-2*BH33*1E5/(DATOS!$C$29*AH33*CA33^2*DATOS!$C$21))&lt;0,-1,IF((1-SQRT((1-2*BH33*1E5/(DATOS!$C$29*AH33*CA33^2*DATOS!$C$21))))*DATOS!$C$21*AH33*CA33/DATOS!$C$14&gt;DATOS!$C$99*AH33*CA33,-1,(1-SQRT((1-2*BH33*1E5/(DATOS!$C$29*AH33*CA33^2*DATOS!$C$21))))*DATOS!$C$21*AH33*CA33/DATOS!$C$14)))-0.0001,MAX(DATOS!$C$71,CEILING(MAX(CB33,0)/INDEX(TABLAS!$D$52:$D$58,MATCH(CC33,TABLAS!$B$52:$B$58,0)),1)),MAX(MAX(DATOS!$C$71,CEILING(MAX(CB33,0)/INDEX(TABLAS!$D$52:$D$58,MATCH(CC33,TABLAS!$B$52:$B$58,0)),1)),2))))</f>
        <v/>
      </c>
      <c r="CE33" s="58" t="str">
        <f>IF(U33&lt;&gt;"SÍ","",DATOS!$C$82-AJ33-INDEX(TABLAS!$C$52:$C$58,MATCH(BM33,TABLAS!$B$52:$B$58,0))-INDEX(TABLAS!$C$52:$C$58,MATCH(CC33,TABLAS!$B$52:$B$58,0))/2)</f>
        <v/>
      </c>
      <c r="CF33" s="56" t="str">
        <f>IF(U33&lt;&gt;"SÍ","",IF(CD33=0,0,DATOS!$C$29*CD33*INDEX(TABLAS!$D$52:$D$58,MATCH(CC33,TABLAS!$B$52:$B$58,0))*DATOS!$C$14*(CE33-CD33*INDEX(TABLAS!$D$52:$D$58,MATCH(CC33,TABLAS!$B$52:$B$58,0))*DATOS!$C$14/(DATOS!$C$21*AH33)/2)/1E5))</f>
        <v/>
      </c>
      <c r="CG33" s="65" t="str">
        <f>IF(U33&lt;&gt;"SÍ","",IF(CB33&lt;0,9.99,IF(CF33&gt;0,BH33/CF33,0)))</f>
        <v/>
      </c>
      <c r="CH33" s="66" t="str">
        <f>IF(U33&lt;&gt;"SÍ","",IF(CD33=0,"—",0.003*(CE33-(CD33*INDEX(TABLAS!$D$52:$D$58,MATCH(CC33,TABLAS!$B$52:$B$58,0))*DATOS!$C$14/(DATOS!$C$21*AH33)/DATOS!$C$22))/(CD33*INDEX(TABLAS!$D$52:$D$58,MATCH(CC33,TABLAS!$B$52:$B$58,0))*DATOS!$C$14/(DATOS!$C$21*AH33)/DATOS!$C$22)))</f>
        <v/>
      </c>
      <c r="CI33" s="58" t="str">
        <f>IF(U33&lt;&gt;"SÍ","",((DATOS!$C$82-AL33-2*DATOS!$C$94-INDEX(TABLAS!$C$52:$C$58,MATCH(DATOS!$C$69,TABLAS!$B$52:$B$58,0))-INDEX(TABLAS!$C$52:$C$58,MATCH(DATOS!$C$69,TABLAS!$B$52:$B$58,0))/2)-IF(AND((DATOS!$C$82-AL33-2*DATOS!$C$94-INDEX(TABLAS!$C$52:$C$58,MATCH(DATOS!$C$69,TABLAS!$B$52:$B$58,0))-INDEX(TABLAS!$C$52:$C$58,MATCH(DATOS!$C$69,TABLAS!$B$52:$B$58,0))/2)&lt;=20,DATOS!$C$62&lt;&gt;"SÍ"),2,0)))</f>
        <v/>
      </c>
      <c r="CJ33" s="58" t="str">
        <f>IF(U33&lt;&gt;"SÍ","",IF(IF(BI33&lt;=0,0,IF((1-2*BI33*1E5/(DATOS!$C$29*AF33*CI33^2*DATOS!$C$21))&lt;0,-1,IF((1-SQRT((1-2*BI33*1E5/(DATOS!$C$29*AF33*CI33^2*DATOS!$C$21))))*DATOS!$C$21*AF33*CI33/DATOS!$C$14&gt;DATOS!$C$99*AF33*CI33,-1,(1-SQRT((1-2*BI33*1E5/(DATOS!$C$29*AF33*CI33^2*DATOS!$C$21))))*DATOS!$C$21*AF33*CI33/DATOS!$C$14)))&lt;0,-1,MAX(IF(BI33&lt;=0,0,IF((1-2*BI33*1E5/(DATOS!$C$29*AF33*CI33^2*DATOS!$C$21))&lt;0,-1,IF((1-SQRT((1-2*BI33*1E5/(DATOS!$C$29*AF33*CI33^2*DATOS!$C$21))))*DATOS!$C$21*AF33*CI33/DATOS!$C$14&gt;DATOS!$C$99*AF33*CI33,-1,(1-SQRT((1-2*BI33*1E5/(DATOS!$C$29*AF33*CI33^2*DATOS!$C$21))))*DATOS!$C$21*AF33*CI33/DATOS!$C$14))),MIN(DATOS!$C$100*DATOS!$C$80*CI33,4/3*IF(BI33&lt;=0,0,IF((1-2*BI33*1E5/(DATOS!$C$29*AF33*CI33^2*DATOS!$C$21))&lt;0,-1,IF((1-SQRT((1-2*BI33*1E5/(DATOS!$C$29*AF33*CI33^2*DATOS!$C$21))))*DATOS!$C$21*AF33*CI33/DATOS!$C$14&gt;DATOS!$C$99*AF33*CI33,-1,(1-SQRT((1-2*BI33*1E5/(DATOS!$C$29*AF33*CI33^2*DATOS!$C$21))))*DATOS!$C$21*AF33*CI33/DATOS!$C$14)))))))</f>
        <v/>
      </c>
      <c r="CK33" s="64" t="str">
        <f>IF(U33&lt;&gt;"SÍ","",IF(AND(CJ33&gt;=0,IF(MAX(DATOS!$C$71,CEILING(CJ33/INDEX(TABLAS!$D$52:$D$58,MIN(MATCH(DATOS!$C$69,TABLAS!$B$52:$B$58,0)+0,7)),1))*INDEX(TABLAS!$D$52:$D$58,MIN(MATCH(DATOS!$C$69,TABLAS!$B$52:$B$58,0)+0,7))&gt;=4/3*IF(BI33&lt;=0,0,IF((1-2*BI33*1E5/(DATOS!$C$29*AF33*CI33^2*DATOS!$C$21))&lt;0,-1,IF((1-SQRT((1-2*BI33*1E5/(DATOS!$C$29*AF33*CI33^2*DATOS!$C$21))))*DATOS!$C$21*AF33*CI33/DATOS!$C$14&gt;DATOS!$C$99*AF33*CI33,-1,(1-SQRT((1-2*BI33*1E5/(DATOS!$C$29*AF33*CI33^2*DATOS!$C$21))))*DATOS!$C$21*AF33*CI33/DATOS!$C$14)))-0.0001,MAX(DATOS!$C$71,CEILING(CJ33/INDEX(TABLAS!$D$52:$D$58,MIN(MATCH(DATOS!$C$69,TABLAS!$B$52:$B$58,0)+0,7)),1)),MAX(MAX(DATOS!$C$71,CEILING(CJ33/INDEX(TABLAS!$D$52:$D$58,MIN(MATCH(DATOS!$C$69,TABLAS!$B$52:$B$58,0)+0,7)),1)),2))&lt;=MIN(DATOS!$C$70,INT(((DATOS!$C$80-2*AK33)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33&gt;=0,IF(MAX(DATOS!$C$71,CEILING(CJ33/INDEX(TABLAS!$D$52:$D$58,MIN(MATCH(DATOS!$C$69,TABLAS!$B$52:$B$58,0)+1,7)),1))*INDEX(TABLAS!$D$52:$D$58,MIN(MATCH(DATOS!$C$69,TABLAS!$B$52:$B$58,0)+1,7))&gt;=4/3*IF(BI33&lt;=0,0,IF((1-2*BI33*1E5/(DATOS!$C$29*AF33*CI33^2*DATOS!$C$21))&lt;0,-1,IF((1-SQRT((1-2*BI33*1E5/(DATOS!$C$29*AF33*CI33^2*DATOS!$C$21))))*DATOS!$C$21*AF33*CI33/DATOS!$C$14&gt;DATOS!$C$99*AF33*CI33,-1,(1-SQRT((1-2*BI33*1E5/(DATOS!$C$29*AF33*CI33^2*DATOS!$C$21))))*DATOS!$C$21*AF33*CI33/DATOS!$C$14)))-0.0001,MAX(DATOS!$C$71,CEILING(CJ33/INDEX(TABLAS!$D$52:$D$58,MIN(MATCH(DATOS!$C$69,TABLAS!$B$52:$B$58,0)+1,7)),1)),MAX(MAX(DATOS!$C$71,CEILING(CJ33/INDEX(TABLAS!$D$52:$D$58,MIN(MATCH(DATOS!$C$69,TABLAS!$B$52:$B$58,0)+1,7)),1)),2))&lt;=MIN(DATOS!$C$70,INT(((DATOS!$C$80-2*AK33)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33&gt;=0,IF(MAX(DATOS!$C$71,CEILING(CJ33/INDEX(TABLAS!$D$52:$D$58,MIN(MATCH(DATOS!$C$69,TABLAS!$B$52:$B$58,0)+2,7)),1))*INDEX(TABLAS!$D$52:$D$58,MIN(MATCH(DATOS!$C$69,TABLAS!$B$52:$B$58,0)+2,7))&gt;=4/3*IF(BI33&lt;=0,0,IF((1-2*BI33*1E5/(DATOS!$C$29*AF33*CI33^2*DATOS!$C$21))&lt;0,-1,IF((1-SQRT((1-2*BI33*1E5/(DATOS!$C$29*AF33*CI33^2*DATOS!$C$21))))*DATOS!$C$21*AF33*CI33/DATOS!$C$14&gt;DATOS!$C$99*AF33*CI33,-1,(1-SQRT((1-2*BI33*1E5/(DATOS!$C$29*AF33*CI33^2*DATOS!$C$21))))*DATOS!$C$21*AF33*CI33/DATOS!$C$14)))-0.0001,MAX(DATOS!$C$71,CEILING(CJ33/INDEX(TABLAS!$D$52:$D$58,MIN(MATCH(DATOS!$C$69,TABLAS!$B$52:$B$58,0)+2,7)),1)),MAX(MAX(DATOS!$C$71,CEILING(CJ33/INDEX(TABLAS!$D$52:$D$58,MIN(MATCH(DATOS!$C$69,TABLAS!$B$52:$B$58,0)+2,7)),1)),2))&lt;=MIN(DATOS!$C$70,INT(((DATOS!$C$80-2*AK33)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33&gt;=0,IF(MAX(DATOS!$C$71,CEILING(CJ33/INDEX(TABLAS!$D$52:$D$58,MIN(MATCH(DATOS!$C$69,TABLAS!$B$52:$B$58,0)+3,7)),1))*INDEX(TABLAS!$D$52:$D$58,MIN(MATCH(DATOS!$C$69,TABLAS!$B$52:$B$58,0)+3,7))&gt;=4/3*IF(BI33&lt;=0,0,IF((1-2*BI33*1E5/(DATOS!$C$29*AF33*CI33^2*DATOS!$C$21))&lt;0,-1,IF((1-SQRT((1-2*BI33*1E5/(DATOS!$C$29*AF33*CI33^2*DATOS!$C$21))))*DATOS!$C$21*AF33*CI33/DATOS!$C$14&gt;DATOS!$C$99*AF33*CI33,-1,(1-SQRT((1-2*BI33*1E5/(DATOS!$C$29*AF33*CI33^2*DATOS!$C$21))))*DATOS!$C$21*AF33*CI33/DATOS!$C$14)))-0.0001,MAX(DATOS!$C$71,CEILING(CJ33/INDEX(TABLAS!$D$52:$D$58,MIN(MATCH(DATOS!$C$69,TABLAS!$B$52:$B$58,0)+3,7)),1)),MAX(MAX(DATOS!$C$71,CEILING(CJ33/INDEX(TABLAS!$D$52:$D$58,MIN(MATCH(DATOS!$C$69,TABLAS!$B$52:$B$58,0)+3,7)),1)),2))&lt;=MIN(DATOS!$C$70,INT(((DATOS!$C$80-2*AK33)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33&gt;=0,IF(MAX(DATOS!$C$71,CEILING(CJ33/INDEX(TABLAS!$D$52:$D$58,MIN(MATCH(DATOS!$C$69,TABLAS!$B$52:$B$58,0)+4,7)),1))*INDEX(TABLAS!$D$52:$D$58,MIN(MATCH(DATOS!$C$69,TABLAS!$B$52:$B$58,0)+4,7))&gt;=4/3*IF(BI33&lt;=0,0,IF((1-2*BI33*1E5/(DATOS!$C$29*AF33*CI33^2*DATOS!$C$21))&lt;0,-1,IF((1-SQRT((1-2*BI33*1E5/(DATOS!$C$29*AF33*CI33^2*DATOS!$C$21))))*DATOS!$C$21*AF33*CI33/DATOS!$C$14&gt;DATOS!$C$99*AF33*CI33,-1,(1-SQRT((1-2*BI33*1E5/(DATOS!$C$29*AF33*CI33^2*DATOS!$C$21))))*DATOS!$C$21*AF33*CI33/DATOS!$C$14)))-0.0001,MAX(DATOS!$C$71,CEILING(CJ33/INDEX(TABLAS!$D$52:$D$58,MIN(MATCH(DATOS!$C$69,TABLAS!$B$52:$B$58,0)+4,7)),1)),MAX(MAX(DATOS!$C$71,CEILING(CJ33/INDEX(TABLAS!$D$52:$D$58,MIN(MATCH(DATOS!$C$69,TABLAS!$B$52:$B$58,0)+4,7)),1)),2))&lt;=MIN(DATOS!$C$70,INT(((DATOS!$C$80-2*AK33)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33" s="59" t="str">
        <f>IF(U33&lt;&gt;"SÍ","",IF(CJ33&lt;0,0,IF(MAX(DATOS!$C$71,CEILING(MAX(CJ33,0)/INDEX(TABLAS!$D$52:$D$58,MATCH(CK33,TABLAS!$B$52:$B$58,0)),1))*INDEX(TABLAS!$D$52:$D$58,MATCH(CK33,TABLAS!$B$52:$B$58,0))&gt;=4/3*IF(BI33&lt;=0,0,IF((1-2*BI33*1E5/(DATOS!$C$29*AF33*CI33^2*DATOS!$C$21))&lt;0,-1,IF((1-SQRT((1-2*BI33*1E5/(DATOS!$C$29*AF33*CI33^2*DATOS!$C$21))))*DATOS!$C$21*AF33*CI33/DATOS!$C$14&gt;DATOS!$C$99*AF33*CI33,-1,(1-SQRT((1-2*BI33*1E5/(DATOS!$C$29*AF33*CI33^2*DATOS!$C$21))))*DATOS!$C$21*AF33*CI33/DATOS!$C$14)))-0.0001,MAX(DATOS!$C$71,CEILING(MAX(CJ33,0)/INDEX(TABLAS!$D$52:$D$58,MATCH(CK33,TABLAS!$B$52:$B$58,0)),1)),MAX(MAX(DATOS!$C$71,CEILING(MAX(CJ33,0)/INDEX(TABLAS!$D$52:$D$58,MATCH(CK33,TABLAS!$B$52:$B$58,0)),1)),2))))</f>
        <v/>
      </c>
      <c r="CM33" s="58" t="str">
        <f>IF(U33&lt;&gt;"SÍ","",((DATOS!$C$82-AL33-2*DATOS!$C$94-INDEX(TABLAS!$C$52:$C$58,MATCH(BU33,TABLAS!$B$52:$B$58,0))-INDEX(TABLAS!$C$52:$C$58,MATCH(CK33,TABLAS!$B$52:$B$58,0))/2)-IF(AND((DATOS!$C$82-AL33-2*DATOS!$C$94-INDEX(TABLAS!$C$52:$C$58,MATCH(BU33,TABLAS!$B$52:$B$58,0))-INDEX(TABLAS!$C$52:$C$58,MATCH(CK33,TABLAS!$B$52:$B$58,0))/2)&lt;=20,DATOS!$C$62&lt;&gt;"SÍ"),2,0)))</f>
        <v/>
      </c>
      <c r="CN33" s="56" t="str">
        <f>IF(U33&lt;&gt;"SÍ","",IF(CL33=0,0,DATOS!$C$29*CL33*INDEX(TABLAS!$D$52:$D$58,MATCH(CK33,TABLAS!$B$52:$B$58,0))*DATOS!$C$14*(CM33-CL33*INDEX(TABLAS!$D$52:$D$58,MATCH(CK33,TABLAS!$B$52:$B$58,0))*DATOS!$C$14/(DATOS!$C$21*AF33)/2)/1E5))</f>
        <v/>
      </c>
      <c r="CO33" s="65" t="str">
        <f>IF(U33&lt;&gt;"SÍ","",IF(CJ33&lt;0,9.99,IF(CN33&gt;0,BI33/CN33,0)))</f>
        <v/>
      </c>
      <c r="CP33" s="66" t="str">
        <f>IF(U33&lt;&gt;"SÍ","",IF(CL33=0,"—",0.003*(CM33-(CL33*INDEX(TABLAS!$D$52:$D$58,MATCH(CK33,TABLAS!$B$52:$B$58,0))*DATOS!$C$14/(DATOS!$C$21*AF33)/DATOS!$C$22))/(CL33*INDEX(TABLAS!$D$52:$D$58,MATCH(CK33,TABLAS!$B$52:$B$58,0))*DATOS!$C$14/(DATOS!$C$21*AF33)/DATOS!$C$22)))</f>
        <v/>
      </c>
      <c r="CQ33" s="56" t="str">
        <f>IF(U33&lt;&gt;"SÍ","",IF(C33="PERIMETRAL",MAX(0,(AA33/2-BW33)/100)*(0.95-0.5*Z33)*AQ33*IF(AND(AR33&gt;0,AR33&lt;4),DATOS!$C$33,1)*DATOS!$C$83/100/1000,(AQ33*MAX(0,AA33-BW33)/100+DATOS!$C$26*N(O33))*DATOS!$C$83/100/1000+BE33))</f>
        <v/>
      </c>
      <c r="CR33" s="56" t="str">
        <f>IF(U33&lt;&gt;"SÍ","",DATOS!$C$30*2*MIN(1,SQRT(2/(1+0.04*BW33)))*(BV33*INDEX(TABLAS!$D$52:$D$58,MATCH(BU33,TABLAS!$B$52:$B$58,0))/(AE33*BW33))^(1/3)*SQRT(DATOS!$C$13)*AE33*BW33*IF(AI33="SÍ",DATOS!$C$32,1)/1000)</f>
        <v/>
      </c>
      <c r="CS33" s="59" t="str">
        <f>IF(U33&lt;&gt;"SÍ","",IF(CQ33&lt;=CR33,0,CEILING(MAX(0,IF(C33="VOLADO",(AA33-((CR33-BE33)*1E5/DATOS!$C$83-DATOS!$C$26*N(O33))*100/AQ33),IF(CR33&lt;=0,AA33,AA33/2-CR33/MAX(CQ33,1E-9)*(AA33/2-BW33)))-IF(INT((X33*100-DATOS!$C$84+DATOS!$C$80)/DATOS!$C$83)&gt;0,(X33*100-DATOS!$C$84-(INT((X33*100-DATOS!$C$84+DATOS!$C$80)/DATOS!$C$83)*DATOS!$C$78+(INT((X33*100-DATOS!$C$84+DATOS!$C$80)/DATOS!$C$83)-1)*DATOS!$C$80))/2,X33*100/2))/DATOS!$C$83,1)))</f>
        <v/>
      </c>
      <c r="CT33" s="67" t="str">
        <f>IF(U33&lt;&gt;"SÍ","",IF(CQ33&lt;=CR33,"CUMPLE",IF(CS33&lt;=0,"CUMPLE (basta el macizo de orilla)",IF(CS33*DATOS!$C$83*IF(C33="VOLADO",1,2)&gt;=X33*100-DATOS!$C$84,"NO CUMPLE: no alcanza ni macizando todo","MACIZAR "&amp;CS33&amp;" hilera(s)"))))</f>
        <v/>
      </c>
      <c r="CU33" s="58" t="str">
        <f>IF(U33&lt;&gt;"SÍ","",(DATOS!$C$83*DATOS!$C$81^2/2+AC33*DATOS!$C$79*(DATOS!$C$81+DATOS!$C$79/2))/(DATOS!$C$83*DATOS!$C$81+AC33*DATOS!$C$79))</f>
        <v/>
      </c>
      <c r="CV33" s="68" t="str">
        <f>IF(U33&lt;&gt;"SÍ","",DATOS!$C$83*DATOS!$C$81^3/12+DATOS!$C$83*DATOS!$C$81*(CU33-DATOS!$C$81/2)^2+AC33*DATOS!$C$79^3/12+AC33*DATOS!$C$79*(DATOS!$C$81+DATOS!$C$79/2-CU33)^2)</f>
        <v/>
      </c>
      <c r="CW33" s="58" t="str">
        <f>IF(U33&lt;&gt;"SÍ","",(12*CV33/DATOS!$C$83)^(1/3))</f>
        <v/>
      </c>
      <c r="CX33" s="58" t="str">
        <f>IF(U33&lt;&gt;"SÍ","",IF(C33="PERIMETRAL",IF(ISNUMBER(R33),R33,DATOS!$C$101),0))</f>
        <v/>
      </c>
      <c r="CY33" s="57" t="str">
        <f>IF(U33&lt;&gt;"SÍ","",IF(C33="PERIMETRAL",IF(CX33&gt;2,MAX(9,AB33*(0.8+DATOS!$C$14/14000)/(36+9*(AB33/MAX(AA33,1)))),IF(CX33&gt;0.2,MAX(13,AB33*(0.8+DATOS!$C$14/14000)/(36+5*(AB33/MAX(AA33,1))*(CX33-0.2))),MAX(13,AB33/IF(AR33&gt;0,30,33))))*IF(AND(CX33&gt;0.2,AR33&gt;0,DATOS!$C$102="NO"),1.1,1),X33*100/8))</f>
        <v/>
      </c>
      <c r="CZ33" s="61" t="str">
        <f>IF(U33&lt;&gt;"SÍ","",IF(IF(C33="VOLADO",DATOS!$C$82,CW33)&gt;=CY33,"CUMPLE",IF(C33="VOLADO","NO CUMPLE","CALCULAR FLECHA")))</f>
        <v/>
      </c>
      <c r="DA33" s="55" t="str">
        <f>IF(U33&lt;&gt;"SÍ","",IF(DATOS!$C$81&gt;=IF(IF(C33="VOLADO",X33,Y33)&gt;=6,6,5),"CUMPLE","CAPA ≥ 6 cm"))</f>
        <v/>
      </c>
      <c r="DB33" s="60" t="str">
        <f>IF(U33&lt;&gt;"SÍ","",IF(C33="VOLADO",MIN(CEILING(IF(ISNUMBER(P33),P33,X33)*100,5),CEILING(MAX(IF((0.5*(0.9*DATOS!$C$87*DATOS!$C$83/100/1000)*IF(ISNUMBER(P33),P33,X33)+BG33/IF(ISNUMBER(P33),P33,X33))^2-4*(0.5*(0.9*DATOS!$C$87*DATOS!$C$83/100/1000))*BG33&lt;0,IF(ISNUMBER(P33),P33,X33),MIN(IF(ISNUMBER(P33),P33,X33),((0.5*(0.9*DATOS!$C$87*DATOS!$C$83/100/1000)*IF(ISNUMBER(P33),P33,X33)+BG33/IF(ISNUMBER(P33),P33,X33))-SQRT((0.5*(0.9*DATOS!$C$87*DATOS!$C$83/100/1000)*IF(ISNUMBER(P33),P33,X33)+BG33/IF(ISNUMBER(P33),P33,X33))^2-4*(0.5*(0.9*DATOS!$C$87*DATOS!$C$83/100/1000))*BG33))/(2*(0.5*(0.9*DATOS!$C$87*DATOS!$C$83/100/1000)))))*100+MAX(BW33,12*INDEX(TABLAS!$C$52:$C$58,MATCH(BU33,TABLAS!$B$52:$B$58,0)),IF(ISNUMBER(P33),P33,X33)*100/16),IF(OR(AK33&lt;INDEX(TABLAS!$C$52:$C$58,MATCH(BU33,TABLAS!$B$52:$B$58,0)),AND(BV33&gt;=2,(AC33-2*AK33-BV33*INDEX(TABLAS!$C$52:$C$58,MATCH(BU33,TABLAS!$B$52:$B$58,0)))/MAX(BV33-1,1)&lt;2*INDEX(TABLAS!$C$52:$C$58,MATCH(BU33,TABLAS!$B$52:$B$58,0)))),INDEX(TABLAS!$I$52:$I$58,MATCH(BU33,TABLAS!$B$52:$B$58,0)),INDEX(TABLAS!$F$52:$F$58,MATCH(BU33,TABLAS!$B$52:$B$58,0)))),5)),IF(((4*((BB33*AQ33*X33^2*1E-4*DATOS!$C$83/100/1000)+((MAX(AX33,AZ33)*AQ33*X33^2*1E-4*DATOS!$C$83/100/1000)+(IF(AND(AX33&gt;0,AZ33&gt;0),MIN(AX33,AZ33),MAX(AX33,AZ33))*AQ33*X33^2*1E-4*DATOS!$C$83/100/1000))/2)+BG33-(IF(AND(AX33&gt;0,AZ33&gt;0),MIN(AX33,AZ33),MAX(AX33,AZ33))*AQ33*X33^2*1E-4*DATOS!$C$83/100/1000))^2-16*((BB33*AQ33*X33^2*1E-4*DATOS!$C$83/100/1000)+((MAX(AX33,AZ33)*AQ33*X33^2*1E-4*DATOS!$C$83/100/1000)+(IF(AND(AX33&gt;0,AZ33&gt;0),MIN(AX33,AZ33),MAX(AX33,AZ33))*AQ33*X33^2*1E-4*DATOS!$C$83/100/1000))/2)*BG33)&lt;0,CEILING(AA33,5),CEILING(MAX(AA33*((4*((BB33*AQ33*X33^2*1E-4*DATOS!$C$83/100/1000)+((MAX(AX33,AZ33)*AQ33*X33^2*1E-4*DATOS!$C$83/100/1000)+(IF(AND(AX33&gt;0,AZ33&gt;0),MIN(AX33,AZ33),MAX(AX33,AZ33))*AQ33*X33^2*1E-4*DATOS!$C$83/100/1000))/2)+BG33-(IF(AND(AX33&gt;0,AZ33&gt;0),MIN(AX33,AZ33),MAX(AX33,AZ33))*AQ33*X33^2*1E-4*DATOS!$C$83/100/1000))-SQRT(MAX(0,((4*((BB33*AQ33*X33^2*1E-4*DATOS!$C$83/100/1000)+((MAX(AX33,AZ33)*AQ33*X33^2*1E-4*DATOS!$C$83/100/1000)+(IF(AND(AX33&gt;0,AZ33&gt;0),MIN(AX33,AZ33),MAX(AX33,AZ33))*AQ33*X33^2*1E-4*DATOS!$C$83/100/1000))/2)+BG33-(IF(AND(AX33&gt;0,AZ33&gt;0),MIN(AX33,AZ33),MAX(AX33,AZ33))*AQ33*X33^2*1E-4*DATOS!$C$83/100/1000))^2-16*((BB33*AQ33*X33^2*1E-4*DATOS!$C$83/100/1000)+((MAX(AX33,AZ33)*AQ33*X33^2*1E-4*DATOS!$C$83/100/1000)+(IF(AND(AX33&gt;0,AZ33&gt;0),MIN(AX33,AZ33),MAX(AX33,AZ33))*AQ33*X33^2*1E-4*DATOS!$C$83/100/1000))/2)*BG33))))/(8*MAX(((BB33*AQ33*X33^2*1E-4*DATOS!$C$83/100/1000)+((MAX(AX33,AZ33)*AQ33*X33^2*1E-4*DATOS!$C$83/100/1000)+(IF(AND(AX33&gt;0,AZ33&gt;0),MIN(AX33,AZ33),MAX(AX33,AZ33))*AQ33*X33^2*1E-4*DATOS!$C$83/100/1000))/2),1E-9))+MAX(BW33,12*INDEX(TABLAS!$C$52:$C$58,MATCH(BU33,TABLAS!$B$52:$B$58,0)),AA33/16),IF(OR(AK33&lt;INDEX(TABLAS!$C$52:$C$58,MATCH(BU33,TABLAS!$B$52:$B$58,0)),AND(BV33&gt;=2,(AC33-2*AK33-BV33*INDEX(TABLAS!$C$52:$C$58,MATCH(BU33,TABLAS!$B$52:$B$58,0)))/MAX(BV33-1,1)&lt;2*INDEX(TABLAS!$C$52:$C$58,MATCH(BU33,TABLAS!$B$52:$B$58,0)))),INDEX(TABLAS!$I$52:$I$58,MATCH(BU33,TABLAS!$B$52:$B$58,0)),INDEX(TABLAS!$F$52:$F$58,MATCH(BU33,TABLAS!$B$52:$B$58,0)))),5))))</f>
        <v/>
      </c>
      <c r="DC33" s="60" t="str">
        <f>IF(U33&lt;&gt;"SÍ","",IF(C33="VOLADO",0,IF(((4*((BC33*AQ33*X33^2*1E-4*DATOS!$C$83/100/1000)+((MAX(AY33,BA33)*AQ33*X33^2*1E-4*DATOS!$C$83/100/1000)+(IF(AND(AY33&gt;0,BA33&gt;0),MIN(AY33,BA33),MAX(AY33,BA33))*AQ33*X33^2*1E-4*DATOS!$C$83/100/1000))/2)+BI33-(IF(AND(AY33&gt;0,BA33&gt;0),MIN(AY33,BA33),MAX(AY33,BA33))*AQ33*X33^2*1E-4*DATOS!$C$83/100/1000))^2-16*((BC33*AQ33*X33^2*1E-4*DATOS!$C$83/100/1000)+((MAX(AY33,BA33)*AQ33*X33^2*1E-4*DATOS!$C$83/100/1000)+(IF(AND(AY33&gt;0,BA33&gt;0),MIN(AY33,BA33),MAX(AY33,BA33))*AQ33*X33^2*1E-4*DATOS!$C$83/100/1000))/2)*BI33)&lt;0,CEILING(AB33,5),CEILING(MAX(AB33*((4*((BC33*AQ33*X33^2*1E-4*DATOS!$C$83/100/1000)+((MAX(AY33,BA33)*AQ33*X33^2*1E-4*DATOS!$C$83/100/1000)+(IF(AND(AY33&gt;0,BA33&gt;0),MIN(AY33,BA33),MAX(AY33,BA33))*AQ33*X33^2*1E-4*DATOS!$C$83/100/1000))/2)+BI33-(IF(AND(AY33&gt;0,BA33&gt;0),MIN(AY33,BA33),MAX(AY33,BA33))*AQ33*X33^2*1E-4*DATOS!$C$83/100/1000))-SQRT(MAX(0,((4*((BC33*AQ33*X33^2*1E-4*DATOS!$C$83/100/1000)+((MAX(AY33,BA33)*AQ33*X33^2*1E-4*DATOS!$C$83/100/1000)+(IF(AND(AY33&gt;0,BA33&gt;0),MIN(AY33,BA33),MAX(AY33,BA33))*AQ33*X33^2*1E-4*DATOS!$C$83/100/1000))/2)+BI33-(IF(AND(AY33&gt;0,BA33&gt;0),MIN(AY33,BA33),MAX(AY33,BA33))*AQ33*X33^2*1E-4*DATOS!$C$83/100/1000))^2-16*((BC33*AQ33*X33^2*1E-4*DATOS!$C$83/100/1000)+((MAX(AY33,BA33)*AQ33*X33^2*1E-4*DATOS!$C$83/100/1000)+(IF(AND(AY33&gt;0,BA33&gt;0),MIN(AY33,BA33),MAX(AY33,BA33))*AQ33*X33^2*1E-4*DATOS!$C$83/100/1000))/2)*BI33))))/(8*MAX(((BC33*AQ33*X33^2*1E-4*DATOS!$C$83/100/1000)+((MAX(AY33,BA33)*AQ33*X33^2*1E-4*DATOS!$C$83/100/1000)+(IF(AND(AY33&gt;0,BA33&gt;0),MIN(AY33,BA33),MAX(AY33,BA33))*AQ33*X33^2*1E-4*DATOS!$C$83/100/1000))/2),1E-9))+MAX(CM33,12*INDEX(TABLAS!$C$52:$C$58,MATCH(CK33,TABLAS!$B$52:$B$58,0)),AB33/16),IF(OR(AK33&lt;INDEX(TABLAS!$C$52:$C$58,MATCH(CK33,TABLAS!$B$52:$B$58,0)),AND(CL33&gt;=2,(DATOS!$C$80-2*AK33-CL33*INDEX(TABLAS!$C$52:$C$58,MATCH(CK33,TABLAS!$B$52:$B$58,0)))/MAX(CL33-1,1)&lt;2*INDEX(TABLAS!$C$52:$C$58,MATCH(CK33,TABLAS!$B$52:$B$58,0)))),INDEX(TABLAS!$I$52:$I$58,MATCH(CK33,TABLAS!$B$52:$B$58,0)),INDEX(TABLAS!$F$52:$F$58,MATCH(CK33,TABLAS!$B$52:$B$58,0)))),5))))</f>
        <v/>
      </c>
      <c r="DD33" s="55" t="str">
        <f>IF(U33&lt;&gt;"SÍ","",IF(AND(C33="PERIMETRAL",BV33&gt;=2,AR33-AS33&gt;0,AZ33*AQ33*X33^2*1E-4*DATOS!$C$83/100/1000&gt;DATOS!$C$29*INDEX(TABLAS!$D$52:$D$58,MATCH(BU33,TABLAS!$B$52:$B$58,0))*DATOS!$C$14*(BW33-INDEX(TABLAS!$D$52:$D$58,MATCH(BU33,TABLAS!$B$52:$B$58,0))*DATOS!$C$14/(DATOS!$C$21*AE33)/2)/1E5),"SÍ","NO"))</f>
        <v/>
      </c>
      <c r="DE33" s="55" t="str">
        <f>IF(U33&lt;&gt;"SÍ","",IF(AND(C33="PERIMETRAL",CL33&gt;=2,AS33&gt;0,BA33*AQ33*X33^2*1E-4*DATOS!$C$83/100/1000&gt;DATOS!$C$29*INDEX(TABLAS!$D$52:$D$58,MATCH(CK33,TABLAS!$B$52:$B$58,0))*DATOS!$C$14*(CM33-INDEX(TABLAS!$D$52:$D$58,MATCH(CK33,TABLAS!$B$52:$B$58,0))*DATOS!$C$14/(DATOS!$C$21*AF33)/2)/1E5),"SÍ","NO"))</f>
        <v/>
      </c>
      <c r="DF33" s="63" t="str">
        <f>IF(U33&lt;&gt;"SÍ","",IF(OR(C33="VOLADO",AR33=0),"—",IF(AND(AND(1.25*INDEX(TABLAS!$G$52:$G$58,MATCH(MAX(BM33,CC33),TABLAS!$B$52:$B$58,0))&lt;=(DATOS!$C$72-DATOS!$C$60),(DATOS!$C$72-DATOS!$C$60)&gt;=15,INDEX(TABLAS!$G$52:$G$58,MATCH(MAX(BU33,CK33),TABLAS!$B$52:$B$58,0))&lt;=(DATOS!$C$72-DATOS!$C$60)),8*INDEX(TABLAS!$C$52:$C$58,MATCH(MAX(MAX(BM33,CC33),MAX(BU33,CK33)),TABLAS!$B$52:$B$58,0))&lt;=DATOS!$C$73-2*DATOS!$C$60),"CUMPLE (gancho de 180°)",IF(AND(1.25*INDEX(TABLAS!$G$52:$G$58,MATCH(MAX(BM33,CC33),TABLAS!$B$52:$B$58,0))&lt;=(DATOS!$C$72-DATOS!$C$60),(DATOS!$C$72-DATOS!$C$60)&gt;=15,INDEX(TABLAS!$G$52:$G$58,MATCH(MAX(BU33,CK33),TABLAS!$B$52:$B$58,0))&lt;=(DATOS!$C$72-DATOS!$C$60)),"NO CUMPLE: el gancho de 180° (8·d_b) no cabe en el peralte de la dala de borde","NO CUMPLE: dala de borde ≥ "&amp;TEXT(CEILING(MAX(1.25*INDEX(TABLAS!$G$52:$G$58,MATCH(MAX(BM33,CC33),TABLAS!$B$52:$B$58,0)),15,INDEX(TABLAS!$G$52:$G$58,MATCH(MAX(BU33,CK33),TABLAS!$B$52:$B$58,0)))+DATOS!$C$60,5),"0")&amp;" cm de ancho"&amp;IF(8*INDEX(TABLAS!$C$52:$C$58,MATCH(MAX(MAX(BM33,CC33),MAX(BU33,CK33)),TABLAS!$B$52:$B$58,0))&lt;=DATOS!$C$73-2*DATOS!$C$60,""," y más peralte para el gancho")))))</f>
        <v/>
      </c>
      <c r="DG33" s="59" t="str">
        <f>IF(U33&lt;&gt;"SÍ","",MAX(0,INT((E33*100-DATOS!$C$84+DATOS!$C$83-IF(W33="X",DATOS!$C$78,AD33))/DATOS!$C$83)))</f>
        <v/>
      </c>
      <c r="DH33" s="59" t="str">
        <f>IF(U33&lt;&gt;"SÍ","",MAX(0,INT((F33*100-DATOS!$C$84+DATOS!$C$83-IF(W33="Y",DATOS!$C$78,AD33))/DATOS!$C$83)))</f>
        <v/>
      </c>
      <c r="DI33" s="57" t="str">
        <f>IF(U33&lt;&gt;"SÍ","",IF(DG33&gt;0,(E33*100-DATOS!$C$84-(DG33*IF(W33="X",DATOS!$C$78,AD33)+(DG33-1)*(DATOS!$C$83-IF(W33="X",DATOS!$C$78,AD33))))/2,E33*100/2))</f>
        <v/>
      </c>
      <c r="DJ33" s="57" t="str">
        <f>IF(U33&lt;&gt;"SÍ","",IF(DH33&gt;0,(F33*100-DATOS!$C$84-(DH33*IF(W33="Y",DATOS!$C$78,AD33)+(DH33-1)*(DATOS!$C$83-IF(W33="Y",DATOS!$C$78,AD33))))/2,F33*100/2))</f>
        <v/>
      </c>
      <c r="DK33" s="59" t="str">
        <f>IF(U33&lt;&gt;"SÍ","",IF(NOT(AND(C33="VOLADO",AC33&gt;DATOS!$C$80)),0,IF(INDEX(TABLAS!$C$52:$C$58,MATCH(BU33,TABLAS!$B$52:$B$58,0))&lt;=DATOS!$C$80-2*DATOS!$C$60,1,0)))</f>
        <v/>
      </c>
      <c r="DL33" s="58" t="str">
        <f>IF(U33&lt;&gt;"SÍ","",IF(NOT(AND(C33="VOLADO",AC33&gt;DATOS!$C$80)),0,((DATOS!$C$82-MAX(DATOS!$C$60,(DATOS!$C$81-2*DATOS!$C$94)/2)-2*DATOS!$C$94-INDEX(TABLAS!$C$52:$C$58,MATCH(BU33,TABLAS!$B$52:$B$58,0))/2)-IF(AND((DATOS!$C$82-MAX(DATOS!$C$60,(DATOS!$C$81-2*DATOS!$C$94)/2)-2*DATOS!$C$94-INDEX(TABLAS!$C$52:$C$58,MATCH(BU33,TABLAS!$B$52:$B$58,0))/2)&lt;=20,DATOS!$C$62&lt;&gt;"SÍ"),2,0))))</f>
        <v/>
      </c>
      <c r="DM33" s="56" t="str">
        <f>IF(U33&lt;&gt;"SÍ","",IF(OR(NOT(AND(C33="VOLADO",AC33&gt;DATOS!$C$80)),DK33&lt;1),0,IF(0.003*(DL33-((DK33*INDEX(TABLAS!$D$52:$D$58,MATCH(BU33,TABLAS!$B$52:$B$58,0)))*DATOS!$C$14/(DATOS!$C$21*AF33)/DATOS!$C$22))/((DK33*INDEX(TABLAS!$D$52:$D$58,MATCH(BU33,TABLAS!$B$52:$B$58,0)))*DATOS!$C$14/(DATOS!$C$21*AF33)/DATOS!$C$22)&lt;0.005,0,DATOS!$C$29*(DK33*INDEX(TABLAS!$D$52:$D$58,MATCH(BU33,TABLAS!$B$52:$B$58,0)))*DATOS!$C$14*(DL33-(DK33*INDEX(TABLAS!$D$52:$D$58,MATCH(BU33,TABLAS!$B$52:$B$58,0)))*DATOS!$C$14/(DATOS!$C$21*AF33)/2)/1E5)))</f>
        <v/>
      </c>
      <c r="DN33" s="56" t="str">
        <f>IF(U33&lt;&gt;"SÍ","",IF(OR(NOT(AND(C33="VOLADO",AC33&gt;DATOS!$C$80)),DK33&lt;1),0,DATOS!$C$30*2*MIN(1,SQRT(2/(1+0.04*DL33)))*((DK33*INDEX(TABLAS!$D$52:$D$58,MATCH(BU33,TABLAS!$B$52:$B$58,0)))/(AF33*DL33))^(1/3)*SQRT(DATOS!$C$13)*AF33*DL33/1000))</f>
        <v/>
      </c>
      <c r="DO33" s="56" t="str">
        <f>IF(U33&lt;&gt;"SÍ","",IF(NOT(AND(C33="VOLADO",AC33&gt;DATOS!$C$80)),0,IF((BG33-DM33)&lt;=0,0,IF(DM33&lt;=0,IF(ISNUMBER(P33),P33,X33),IF(((0.9*DATOS!$C$87*DATOS!$C$83/100/1000)*IF(ISNUMBER(P33),P33,X33)/2+BG33/IF(ISNUMBER(P33),P33,X33))^2-4*((0.9*DATOS!$C$87*DATOS!$C$83/100/1000)/2)*(BG33-DM33)&lt;0,IF(ISNUMBER(P33),P33,X33),MIN(IF(ISNUMBER(P33),P33,X33),(((0.9*DATOS!$C$87*DATOS!$C$83/100/1000)*IF(ISNUMBER(P33),P33,X33)/2+BG33/IF(ISNUMBER(P33),P33,X33))-SQRT(((0.9*DATOS!$C$87*DATOS!$C$83/100/1000)*IF(ISNUMBER(P33),P33,X33)/2+BG33/IF(ISNUMBER(P33),P33,X33))^2-4*((0.9*DATOS!$C$87*DATOS!$C$83/100/1000)/2)*(BG33-DM33)))/(2*((0.9*DATOS!$C$87*DATOS!$C$83/100/1000)/2))))))))</f>
        <v/>
      </c>
      <c r="DP33" s="56" t="str">
        <f>IF(U33&lt;&gt;"SÍ","",IF(NOT(AND(C33="VOLADO",AC33&gt;DATOS!$C$80)),0,MIN(IF(ISNUMBER(P33),P33,X33),MAX(0,IF(ISNUMBER(P33),P33,X33)/2+BG33/IF(ISNUMBER(P33),P33,X33)/(AQ33*DATOS!$C$83/100/1000)-DN33/(AQ33*DATOS!$C$83/100/1000)))))</f>
        <v/>
      </c>
      <c r="DQ33" s="56" t="str">
        <f>IF(U33&lt;&gt;"SÍ","",IF(NOT(AND(C33="VOLADO",AC33&gt;DATOS!$C$80)),0,BG33/IF(ISNUMBER(P33),P33,X33)+(AQ33*DATOS!$C$83/100/1000)*MAX(0,IF(ISNUMBER(P33),P33,X33)/2-BW33/100)))</f>
        <v/>
      </c>
      <c r="DR33" s="59" t="str">
        <f>IF(U33&lt;&gt;"SÍ","",IF(NOT(AND(C33="VOLADO",AC33&gt;DATOS!$C$80)),0,CEILING(100*MIN(IF(ISNUMBER(P33),P33,X33),MAX(IF(DO33&gt;0,DO33+IF(BV33&gt;=2,MAX(DL33,12*INDEX(TABLAS!$C$52:$C$58,MATCH(BU33,TABLAS!$B$52:$B$58,0)))/100,0),0),DP33,IF(BV33&gt;=2,INDEX(TABLAS!$F$52:$F$58,MATCH(BU33,TABLAS!$B$52:$B$58,0))/100,0))),5)))</f>
        <v/>
      </c>
      <c r="DS33" s="60" t="str">
        <f>IF(U33&lt;&gt;"SÍ","",IF(NOT(AND(C33="VOLADO",AC33&gt;DATOS!$C$80)),0,IF(DR33&lt;=0,0,CEILING(DR33/DATOS!$C$83,1))))</f>
        <v/>
      </c>
      <c r="DT33" s="61" t="str">
        <f>IF(U33&lt;&gt;"SÍ","",IF(C33&lt;&gt;"VOLADO","—",IF(AC33&lt;=DATOS!$C$80,"— (mismo b_w que el respaldo)",IF(DQ33&gt;CR33,"NO CUMPLE: cortante de la nervadura ancha junto al apoyo ("&amp;TEXT(DQ33,"0.00")&amp;" &gt; "&amp;TEXT(CR33,"0.00")&amp;" t)",IF(DR33&gt;=100*IF(ISNUMBER(P33),P33,X33),"CUMPLE — todas las nervaduras del respaldo ‖ al volado con b_w = "&amp;AC33&amp;" cm","CUMPLE — "&amp;DS33&amp;" hilera(s) del respaldo con nervaduras de b_w = "&amp;AC33&amp;" cm (casetón "&amp;AD33&amp;" cm), hasta "&amp;TEXT(DR33/100,"0.00")&amp;" m del paño")))))</f>
        <v/>
      </c>
      <c r="DU33" s="69" t="str">
        <f>IF(U33&lt;&gt;"SÍ","",IF(BN33=0,"NO ALCANZA",BN33&amp;" No. "&amp;BM33&amp;IF(BN33&gt;1," corridas"," corrida")))</f>
        <v/>
      </c>
      <c r="DV33" s="69" t="str">
        <f>IF(U33&lt;&gt;"SÍ","",IF(BV33=0,"NO ALCANZA",IF(AND(C33="VOLADO",AC33&gt;DATOS!$C$80,BV33&gt;=2),"1 No. "&amp;BU33&amp;" corrida de la orilla al respaldo ("&amp;IF(DB33&gt;=100*IF(ISNUMBER(P33),P33,X33),"hasta su apoyo lejano, con gancho","entra "&amp;TEXT(DB33/100,"0.00")&amp;" m desde el paño")&amp;") + "&amp;(BV33-1)&amp;" bastón No. "&amp;BU33&amp;" hasta "&amp;TEXT(DR33/100,"0.00")&amp;" m del paño (fin de la nervadura ancha)",IF(C33="VOLADO",BV33&amp;" No. "&amp;BU33&amp;" de la orilla al respaldo ("&amp;IF(DB33&gt;=100*IF(ISNUMBER(P33),P33,X33),"hasta su apoyo lejano, con gancho","entran "&amp;TEXT(DB33/100,"0.00")&amp;" m desde el paño")&amp;")","1 No. "&amp;BU33&amp;" corrida"&amp;IF(BV33&gt;1," + "&amp;(BV33-1)&amp;" bastón No. "&amp;BU33&amp;" L = "&amp;TEXT(DB33/100,"0.00")&amp;" m desde el paño","")))))</f>
        <v/>
      </c>
      <c r="DW33" s="69" t="str">
        <f>IF(U33&lt;&gt;"SÍ","",IF(CD33=0,"NO ALCANZA",CD33&amp;" No. "&amp;CC33&amp;IF(CD33&gt;1," corridas"," corrida")))</f>
        <v/>
      </c>
      <c r="DX33" s="69" t="str">
        <f>IF(U33&lt;&gt;"SÍ","",IF(CL33=0,"NO ALCANZA",IF(C33="VOLADO","1 No. "&amp;CK33&amp;" corrida (repartición)","1 No. "&amp;CK33&amp;" corrida"&amp;IF(CL33&gt;1," + "&amp;(CL33-1)&amp;" bastón No. "&amp;CK33&amp;" L = "&amp;TEXT(DC33/100,"0.00")&amp;" m desde el paño",""))))</f>
        <v/>
      </c>
      <c r="DY33" s="67" t="str">
        <f>IF(B33="","",IF(U33&lt;&gt;"SÍ","FALTAN DATOS: tipo, a_x, a_y y destino",IF(L33="NO MONOLÍTICO (caso II)","FUERA DE ALCANCE: caso II no transcrito",IF(AND(C33="VOLADO",V33="?"),"REVISAR: el volado lleva UN solo borde CONTINUO (el empotrado)",IF(AND(MAX(BQ33,BY33,CG33,CO33)&lt;=1,NOT(OR(BN33&gt;MIN(DATOS!$C$70,INT(((AC33-2*AJ33)+MAX(DATOS!$C$67,INDEX(TABLAS!$C$52:$C$58,MATCH(BM33,TABLAS!$B$52:$B$58,0))))/(INDEX(TABLAS!$C$52:$C$58,MATCH(BM33,TABLAS!$B$52:$B$58,0))+MAX(DATOS!$C$67,INDEX(TABLAS!$C$52:$C$58,MATCH(BM33,TABLAS!$B$52:$B$58,0)))))),BV33&gt;MIN(DATOS!$C$70,INT(((AC33-2*AK33)+MAX(DATOS!$C$67,INDEX(TABLAS!$C$52:$C$58,MATCH(BU33,TABLAS!$B$52:$B$58,0))))/(INDEX(TABLAS!$C$52:$C$58,MATCH(BU33,TABLAS!$B$52:$B$58,0))+MAX(DATOS!$C$67,INDEX(TABLAS!$C$52:$C$58,MATCH(BU33,TABLAS!$B$52:$B$58,0)))))),CD33&gt;MIN(DATOS!$C$70,INT(((DATOS!$C$80-2*AJ33)+MAX(DATOS!$C$67,INDEX(TABLAS!$C$52:$C$58,MATCH(CC33,TABLAS!$B$52:$B$58,0))))/(INDEX(TABLAS!$C$52:$C$58,MATCH(CC33,TABLAS!$B$52:$B$58,0))+MAX(DATOS!$C$67,INDEX(TABLAS!$C$52:$C$58,MATCH(CC33,TABLAS!$B$52:$B$58,0)))))),CL33&gt;MIN(DATOS!$C$70,INT(((DATOS!$C$80-2*AK33)+MAX(DATOS!$C$67,INDEX(TABLAS!$C$52:$C$58,MATCH(CK33,TABLAS!$B$52:$B$58,0))))/(INDEX(TABLAS!$C$52:$C$58,MATCH(CK33,TABLAS!$B$52:$B$58,0))+MAX(DATOS!$C$67,INDEX(TABLAS!$C$52:$C$58,MATCH(CK33,TABLAS!$B$52:$B$58,0)))))))),NOT(OR(AND(ISNUMBER(BR33),BR33&lt;0.005),AND(ISNUMBER(BZ33),BZ33&lt;0.005),AND(ISNUMBER(CH33),CH33&lt;0.005),AND(ISNUMBER(CP33),CP33&lt;0.005))),NOT(LEFT(DT33,2)="NO"),CZ33="CUMPLE",DA33="CUMPLE",LEFT(CT33,2)&lt;&gt;"NO"),IF(LEFT(CT33,6)="CUMPLE","CUMPLE","CUMPLE — "&amp;CT33)&amp;IF(LEFT(BJ33,5)="FUERA"," · fuera de 3.4.2.1 c)","")&amp;IF(LEFT(DF33,2)="NO"," · REVISAR anclaje en borde discontinuo","")&amp;IF(DS33&gt;0," · respaldo: "&amp;DS33&amp;" hilera(s) de b_w "&amp;AC33&amp;" cm",""),IF(AND(MAX(BQ33,BY33,CG33,CO33)&lt;=1,NOT(OR(BN33&gt;MIN(DATOS!$C$70,INT(((AC33-2*AJ33)+MAX(DATOS!$C$67,INDEX(TABLAS!$C$52:$C$58,MATCH(BM33,TABLAS!$B$52:$B$58,0))))/(INDEX(TABLAS!$C$52:$C$58,MATCH(BM33,TABLAS!$B$52:$B$58,0))+MAX(DATOS!$C$67,INDEX(TABLAS!$C$52:$C$58,MATCH(BM33,TABLAS!$B$52:$B$58,0)))))),BV33&gt;MIN(DATOS!$C$70,INT(((AC33-2*AK33)+MAX(DATOS!$C$67,INDEX(TABLAS!$C$52:$C$58,MATCH(BU33,TABLAS!$B$52:$B$58,0))))/(INDEX(TABLAS!$C$52:$C$58,MATCH(BU33,TABLAS!$B$52:$B$58,0))+MAX(DATOS!$C$67,INDEX(TABLAS!$C$52:$C$58,MATCH(BU33,TABLAS!$B$52:$B$58,0)))))),CD33&gt;MIN(DATOS!$C$70,INT(((DATOS!$C$80-2*AJ33)+MAX(DATOS!$C$67,INDEX(TABLAS!$C$52:$C$58,MATCH(CC33,TABLAS!$B$52:$B$58,0))))/(INDEX(TABLAS!$C$52:$C$58,MATCH(CC33,TABLAS!$B$52:$B$58,0))+MAX(DATOS!$C$67,INDEX(TABLAS!$C$52:$C$58,MATCH(CC33,TABLAS!$B$52:$B$58,0)))))),CL33&gt;MIN(DATOS!$C$70,INT(((DATOS!$C$80-2*AK33)+MAX(DATOS!$C$67,INDEX(TABLAS!$C$52:$C$58,MATCH(CK33,TABLAS!$B$52:$B$58,0))))/(INDEX(TABLAS!$C$52:$C$58,MATCH(CK33,TABLAS!$B$52:$B$58,0))+MAX(DATOS!$C$67,INDEX(TABLAS!$C$52:$C$58,MATCH(CK33,TABLAS!$B$52:$B$58,0)))))))),NOT(OR(AND(ISNUMBER(BR33),BR33&lt;0.005),AND(ISNUMBER(BZ33),BZ33&lt;0.005),AND(ISNUMBER(CH33),CH33&lt;0.005),AND(ISNUMBER(CP33),CP33&lt;0.005))),NOT(LEFT(DT33,2)="NO"),CZ33="CALCULAR FLECHA",LEFT(CT33,2)&lt;&gt;"NO"),"REVISAR: calcular flecha (h_eq &lt; h mín.)"&amp;IF(LEFT(BJ33,5)="FUERA"," · fuera de 3.4.2.1 c)","")&amp;IF(LEFT(DF33,2)="NO"," · REVISAR anclaje en borde discontinuo","")&amp;IF(DS33&gt;0," · respaldo: "&amp;DS33&amp;" hilera(s) de b_w "&amp;AC33&amp;" cm",""),"NO CUMPLE: "&amp;IF(MAX(BQ33,BY33,CG33,CO33)&gt;1,"flexión ","")&amp;IF(OR(BN33&gt;MIN(DATOS!$C$70,INT(((AC33-2*AJ33)+MAX(DATOS!$C$67,INDEX(TABLAS!$C$52:$C$58,MATCH(BM33,TABLAS!$B$52:$B$58,0))))/(INDEX(TABLAS!$C$52:$C$58,MATCH(BM33,TABLAS!$B$52:$B$58,0))+MAX(DATOS!$C$67,INDEX(TABLAS!$C$52:$C$58,MATCH(BM33,TABLAS!$B$52:$B$58,0)))))),BV33&gt;MIN(DATOS!$C$70,INT(((AC33-2*AK33)+MAX(DATOS!$C$67,INDEX(TABLAS!$C$52:$C$58,MATCH(BU33,TABLAS!$B$52:$B$58,0))))/(INDEX(TABLAS!$C$52:$C$58,MATCH(BU33,TABLAS!$B$52:$B$58,0))+MAX(DATOS!$C$67,INDEX(TABLAS!$C$52:$C$58,MATCH(BU33,TABLAS!$B$52:$B$58,0)))))),CD33&gt;MIN(DATOS!$C$70,INT(((DATOS!$C$80-2*AJ33)+MAX(DATOS!$C$67,INDEX(TABLAS!$C$52:$C$58,MATCH(CC33,TABLAS!$B$52:$B$58,0))))/(INDEX(TABLAS!$C$52:$C$58,MATCH(CC33,TABLAS!$B$52:$B$58,0))+MAX(DATOS!$C$67,INDEX(TABLAS!$C$52:$C$58,MATCH(CC33,TABLAS!$B$52:$B$58,0)))))),CL33&gt;MIN(DATOS!$C$70,INT(((DATOS!$C$80-2*AK33)+MAX(DATOS!$C$67,INDEX(TABLAS!$C$52:$C$58,MATCH(CK33,TABLAS!$B$52:$B$58,0))))/(INDEX(TABLAS!$C$52:$C$58,MATCH(CK33,TABLAS!$B$52:$B$58,0))+MAX(DATOS!$C$67,INDEX(TABLAS!$C$52:$C$58,MATCH(CK33,TABLAS!$B$52:$B$58,0))))))),"no caben ","")&amp;IF(OR(AND(ISNUMBER(BR33),BR33&lt;0.005),AND(ISNUMBER(BZ33),BZ33&lt;0.005),AND(ISNUMBER(CH33),CH33&lt;0.005),AND(ISNUMBER(CP33),CP33&lt;0.005)),"ε_t &lt; 0.005 ","")&amp;IF(LEFT(CT33,2)="NO","cortante ","")&amp;IF(CZ33="NO CUMPLE","peralte ","")&amp;IF(DA33&lt;&gt;"CUMPLE","capa &lt; 6 cm ","")&amp;IF(LEFT(DT33,2)="NO","respaldo del volado","")))))))</f>
        <v/>
      </c>
      <c r="DZ33" s="70" t="str">
        <f>IF(U33&lt;&gt;"SÍ","",IF(LEFT(B33,7)="EJEMPLO","EJEMPLO de la hoja de Casa Rocha: bórralo o sobrescríbelo. ","")&amp;IF(AND(C33="PERIMETRAL",MIN(DG33,DH33)=0),"No cabe un casetón en el claro corto: es un tablero macizo, diséñalo en MACIZAS. ","")&amp;IF(AND(AI33="NO",C33="PERIMETRAL"),"No cumple 6.7.8.1.4 (a_c = "&amp;MAX(DATOS!$C$78,AD33)&amp;" cm &gt; claro corto/6 = "&amp;TEXT(X33*100/6,"0")&amp;" cm): se diseña como losa apoyada en vigas (6.7.8.1.9): r de viga = "&amp;DATOS!$C$60&amp;" cm y V_cR sin ×1.1. Para que cuente como encasetonada: casetón de "&amp;TEXT(FLOOR(MIN(80,X33*100/6),1),"0")&amp;" cm o menor. ","")&amp;IF(C33="VOLADO","Volado de "&amp;TEXT(X33,"0.00")&amp;" m empotrado en el borde "&amp;LOWER(V33)&amp;IF(N(O33)&gt;0,", con "&amp;TEXT(O33,"0.0")&amp;" kg/m en la orilla","")&amp;". Lecho inferior con r_ext. Si la orilla carga pretil u otro elemento frágil, calcula la flecha (13.4). El acero superior entra al respaldo de "&amp;TEXT(IF(ISNUMBER(P33),P33,X33),"0.00")&amp;" m"&amp;IF(ISNUMBER(P33),""," (L_b no capturado: se tomó igual al volado)")&amp;" hasta pasar M = 0 con 0.9·PP sin carga viva; si ahí no se anula, llega al apoyo lejano y se ancla con gancho (NTC-Criterios 3.4.1 c y 5.1.2.2). "&amp;IF(AC33&gt;DATOS!$C$80,"Respaldo: "&amp;DT33&amp;". ",""),"")&amp;IF(LEFT(BJ33,5)="FUERA","El M⁻ del vecino difiere más de 50 % (3.4.2.1 c): distribuye el desequilibrio (3.4.3.1) o confirma con un modelo; se arma con el mayor. ","")&amp;IF(OR(DD33="SÍ",DE33="SÍ"),"El M⁻ del borde discontinuo pide bastón también ahí (con gancho). ","")&amp;IF(LEFT(DF33,2)="NO","Anclaje: "&amp;DF33&amp;" (6.7.8.1.7). ","")&amp;IF(OR(AZ33&gt;0,BA33&gt;0),"Esquinas exteriores sobre muro: refuerzo de esquina arriba y abajo en L_largo/5 (6.7.7.3.1). ",""))</f>
        <v/>
      </c>
    </row>
    <row r="34" ht="33" customHeight="1">
      <c r="A34" s="50">
        <f>IF(B34="",0,1)+A33</f>
        <v>4</v>
      </c>
      <c r="B34" s="29" t="n"/>
      <c r="C34" s="51" t="n"/>
      <c r="D34" s="29" t="n"/>
      <c r="E34" s="52" t="n"/>
      <c r="F34" s="52" t="n"/>
      <c r="G34" s="51" t="n"/>
      <c r="H34" s="51" t="n"/>
      <c r="I34" s="51" t="n"/>
      <c r="J34" s="51" t="n"/>
      <c r="K34" s="51" t="n"/>
      <c r="L34" s="51" t="n"/>
      <c r="M34" s="53" t="n"/>
      <c r="N34" s="53" t="n"/>
      <c r="O34" s="54" t="n"/>
      <c r="P34" s="52" t="n"/>
      <c r="Q34" s="53" t="n"/>
      <c r="R34" s="54" t="n"/>
      <c r="S34" s="52" t="n"/>
      <c r="T34" s="52" t="n"/>
      <c r="U34" s="55" t="str">
        <f>IF(B34="","",IF(AND(OR(C34="PERIMETRAL",C34="VOLADO"),ISNUMBER(E34),ISNUMBER(F34),E34&gt;0,F34&gt;0,OR(ISNUMBER(N34),ISNUMBER(MATCH(D34,DATOS!$B$46:$B$55,0)))),"SÍ","NO"))</f>
        <v/>
      </c>
      <c r="V34" s="55" t="str">
        <f>IF(U34&lt;&gt;"SÍ","",IF(C34&lt;&gt;"VOLADO","—",IF(COUNTIF(G34:J34,"CONTINUO")&lt;&gt;1,"?",IF(G34="CONTINUO","INFERIOR",IF(H34="CONTINUO","SUPERIOR",IF(I34="CONTINUO","IZQUIERDO","DERECHO"))))))</f>
        <v/>
      </c>
      <c r="W34" s="55" t="str">
        <f>IF(U34&lt;&gt;"SÍ","",IF(C34="VOLADO",IF(OR(V34="IZQUIERDO",V34="DERECHO"),"X","Y"),IF(E34&lt;=F34,"X","Y")))</f>
        <v/>
      </c>
      <c r="X34" s="56" t="str">
        <f>IF(U34&lt;&gt;"SÍ","",IF(C34="VOLADO",IF(W34="X",E34,F34),MIN(E34,F34)))</f>
        <v/>
      </c>
      <c r="Y34" s="56" t="str">
        <f>IF(U34&lt;&gt;"SÍ","",IF(C34="VOLADO",IF(W34="X",F34,E34),MAX(E34,F34)))</f>
        <v/>
      </c>
      <c r="Z34" s="56" t="str">
        <f>IF(U34&lt;&gt;"SÍ","",MIN(X34,Y34)/MAX(X34,Y34))</f>
        <v/>
      </c>
      <c r="AA34" s="57" t="str">
        <f>IF(U34&lt;&gt;"SÍ","",MAX(1,X34*100-IF(C34="VOLADO",DATOS!$C$84/2,DATOS!$C$84)))</f>
        <v/>
      </c>
      <c r="AB34" s="57" t="str">
        <f>IF(U34&lt;&gt;"SÍ","",MAX(1,Y34*100-DATOS!$C$84))</f>
        <v/>
      </c>
      <c r="AC34" s="57" t="str">
        <f>IF(U34&lt;&gt;"SÍ","",IF(ISNUMBER(Q34),Q34,DATOS!$C$80))</f>
        <v/>
      </c>
      <c r="AD34" s="57" t="str">
        <f>IF(U34&lt;&gt;"SÍ","",MAX(0,DATOS!$C$83-AC34))</f>
        <v/>
      </c>
      <c r="AE34" s="57" t="str">
        <f>IF(U34&lt;&gt;"SÍ","",IF(OR(DATOS!$C$62="SÍ",AC34&gt;=20),AC34,AC34-2))</f>
        <v/>
      </c>
      <c r="AF34" s="57" t="str">
        <f>IF(U34&lt;&gt;"SÍ","",IF(OR(DATOS!$C$62="SÍ",DATOS!$C$80&gt;=20),DATOS!$C$80,DATOS!$C$80-2))</f>
        <v/>
      </c>
      <c r="AG34" s="57" t="str">
        <f>IF(U34&lt;&gt;"SÍ","",MIN(DATOS!$C$83,AC34+2*MIN(8*DATOS!$C$81,AD34/2,AA34/8)))</f>
        <v/>
      </c>
      <c r="AH34" s="57" t="str">
        <f>IF(U34&lt;&gt;"SÍ","",MIN(DATOS!$C$83,DATOS!$C$80+2*MIN(8*DATOS!$C$81,DATOS!$C$78/2,AB34/8)))</f>
        <v/>
      </c>
      <c r="AI34" s="55" t="str">
        <f>IF(U34&lt;&gt;"SÍ","",IF(AND(C34="PERIMETRAL",X34*100&gt;=6*MAX(DATOS!$C$78,AD34),MAX(DATOS!$C$78,AD34)&lt;=80,MIN(DATOS!$C$80,AC34)&gt;=10,DATOS!$C$82&lt;=3.5*MIN(DATOS!$C$80,AC34),DATOS!$C$81&gt;=MAX(MAX(DATOS!$C$78,AD34)/13,5)),"SÍ","NO"))</f>
        <v/>
      </c>
      <c r="AJ34" s="57" t="str">
        <f>IF(U34&lt;&gt;"SÍ","",IF(C34="VOLADO",DATOS!$C$61,IF(AI34="NO",DATOS!$C$60,DATOS!$C$59)))</f>
        <v/>
      </c>
      <c r="AK34" s="57" t="str">
        <f>IF(U34&lt;&gt;"SÍ","",IF(OR(AND(AM34="SÍ",DATOS!$C$63="SÍ"),AND(C34="VOLADO",DATOS!$C$64="SÍ")),DATOS!$C$61,IF(AI34="NO",DATOS!$C$60,DATOS!$C$59)))</f>
        <v/>
      </c>
      <c r="AL34" s="58" t="str">
        <f>IF(U34&lt;&gt;"SÍ","",MAX(AK34,(DATOS!$C$81-2*DATOS!$C$94)/2))</f>
        <v/>
      </c>
      <c r="AM34" s="55" t="str">
        <f>IF(U34&lt;&gt;"SÍ","",IFERROR(INDEX(DATOS!$D$46:$D$55,MATCH(D34,DATOS!$B$46:$B$55,0)),"NO"))</f>
        <v/>
      </c>
      <c r="AN34" s="59" t="str">
        <f>IF(U34&lt;&gt;"SÍ","",IF(ISNUMBER(N34),N34,IFERROR(INDEX(DATOS!$C$46:$C$55,MATCH(D34,DATOS!$B$46:$B$55,0)),0)))</f>
        <v/>
      </c>
      <c r="AO34" s="59" t="str">
        <f>IF(U34&lt;&gt;"SÍ","",(DATOS!$C$82/100-(AD34*DATOS!$C$78/DATOS!$C$83^2)*DATOS!$C$79/100)*DATOS!$C$16*1000+(AD34*DATOS!$C$78/DATOS!$C$83^2)*DATOS!$C$79/100*DATOS!$C$17*1000+DATOS!$C$37+DATOS!$C$38)</f>
        <v/>
      </c>
      <c r="AP34" s="59" t="str">
        <f>IF(U34&lt;&gt;"SÍ","",AO34+N(M34))</f>
        <v/>
      </c>
      <c r="AQ34" s="60" t="str">
        <f>IF(U34&lt;&gt;"SÍ","",MAX(DATOS!$C$26*AP34+DATOS!$C$27*AN34,IF(AM34="SÍ",DATOS!$C$28*(AP34+DATOS!$C$41),0)))</f>
        <v/>
      </c>
      <c r="AR34" s="59" t="str">
        <f>IF(U34&lt;&gt;"SÍ","",(G34="DISCONTINUO")+(H34="DISCONTINUO")+(I34="DISCONTINUO")+(J34="DISCONTINUO"))</f>
        <v/>
      </c>
      <c r="AS34" s="59" t="str">
        <f>IF(U34&lt;&gt;"SÍ","",IF(W34="X",(G34="DISCONTINUO")+(H34="DISCONTINUO"),(I34="DISCONTINUO")+(J34="DISCONTINUO")))</f>
        <v/>
      </c>
      <c r="AT34" s="55" t="str">
        <f>IF(U34&lt;&gt;"SÍ","",IF(AR34=0,"INTERIOR",IF(AR34=1,IF(AS34=1,"BORDE-CORTO","BORDE-LARGO"),IF(AR34=2,IF(AS34=1,"ESQUINA",IF(AS34=2,"EXTREMO-LARGO","EXTREMO-CORTO")),IF(AR34=3,IF(AS34=2,"EXTREMO-LARGO","EXTREMO-CORTO"),"AISLADO")))))</f>
        <v/>
      </c>
      <c r="AU34" s="61" t="str">
        <f>IF(U34&lt;&gt;"SÍ","",IF(OR(K34="",K34="AUTO"),AT34,K34))</f>
        <v/>
      </c>
      <c r="AV34" s="59" t="str">
        <f>IF(U34&lt;&gt;"SÍ","",MATCH(Z34,TABLAS!$D$5:$J$5,1))</f>
        <v/>
      </c>
      <c r="AW34" s="58" t="str">
        <f>IF(U34&lt;&gt;"SÍ","",IF(AV34&gt;=7,0,(Z34-INDEX(TABLAS!$D$5:$J$5,AV34))/(INDEX(TABLAS!$D$5:$J$5,AV34+1)-INDEX(TABLAS!$D$5:$J$5,AV34))))</f>
        <v/>
      </c>
      <c r="AX34" s="59" t="str">
        <f>IF(U34&lt;&gt;"SÍ","",INDEX(TABLAS!$D$6:$J$47,MATCH(AU34&amp;"|NIC",TABLAS!$B$6:$B$47,0),AV34)+AW34*(INDEX(TABLAS!$D$6:$J$47,MATCH(AU34&amp;"|NIC",TABLAS!$B$6:$B$47,0),MIN(AV34+1,7))-INDEX(TABLAS!$D$6:$J$47,MATCH(AU34&amp;"|NIC",TABLAS!$B$6:$B$47,0),AV34)))</f>
        <v/>
      </c>
      <c r="AY34" s="59" t="str">
        <f>IF(U34&lt;&gt;"SÍ","",INDEX(TABLAS!$D$6:$J$47,MATCH(AU34&amp;"|NIL",TABLAS!$B$6:$B$47,0),AV34)+AW34*(INDEX(TABLAS!$D$6:$J$47,MATCH(AU34&amp;"|NIL",TABLAS!$B$6:$B$47,0),MIN(AV34+1,7))-INDEX(TABLAS!$D$6:$J$47,MATCH(AU34&amp;"|NIL",TABLAS!$B$6:$B$47,0),AV34)))</f>
        <v/>
      </c>
      <c r="AZ34" s="59" t="str">
        <f>IF(U34&lt;&gt;"SÍ","",INDEX(TABLAS!$D$6:$J$47,MATCH(AU34&amp;"|NDC",TABLAS!$B$6:$B$47,0),AV34)+AW34*(INDEX(TABLAS!$D$6:$J$47,MATCH(AU34&amp;"|NDC",TABLAS!$B$6:$B$47,0),MIN(AV34+1,7))-INDEX(TABLAS!$D$6:$J$47,MATCH(AU34&amp;"|NDC",TABLAS!$B$6:$B$47,0),AV34)))</f>
        <v/>
      </c>
      <c r="BA34" s="59" t="str">
        <f>IF(U34&lt;&gt;"SÍ","",INDEX(TABLAS!$D$6:$J$47,MATCH(AU34&amp;"|NDL",TABLAS!$B$6:$B$47,0),AV34)+AW34*(INDEX(TABLAS!$D$6:$J$47,MATCH(AU34&amp;"|NDL",TABLAS!$B$6:$B$47,0),MIN(AV34+1,7))-INDEX(TABLAS!$D$6:$J$47,MATCH(AU34&amp;"|NDL",TABLAS!$B$6:$B$47,0),AV34)))</f>
        <v/>
      </c>
      <c r="BB34" s="59" t="str">
        <f>IF(U34&lt;&gt;"SÍ","",INDEX(TABLAS!$D$6:$J$47,MATCH(AU34&amp;"|PC",TABLAS!$B$6:$B$47,0),AV34)+AW34*(INDEX(TABLAS!$D$6:$J$47,MATCH(AU34&amp;"|PC",TABLAS!$B$6:$B$47,0),MIN(AV34+1,7))-INDEX(TABLAS!$D$6:$J$47,MATCH(AU34&amp;"|PC",TABLAS!$B$6:$B$47,0),AV34)))</f>
        <v/>
      </c>
      <c r="BC34" s="59" t="str">
        <f>IF(U34&lt;&gt;"SÍ","",INDEX(TABLAS!$D$6:$J$47,MATCH(AU34&amp;"|PL",TABLAS!$B$6:$B$47,0),AV34)+AW34*(INDEX(TABLAS!$D$6:$J$47,MATCH(AU34&amp;"|PL",TABLAS!$B$6:$B$47,0),MIN(AV34+1,7))-INDEX(TABLAS!$D$6:$J$47,MATCH(AU34&amp;"|PL",TABLAS!$B$6:$B$47,0),AV34)))</f>
        <v/>
      </c>
      <c r="BD34" s="56" t="str">
        <f>IF(U34&lt;&gt;"SÍ","",IF(C34&lt;&gt;"VOLADO",0,DATOS!$C$26*DATOS!$C$16*DATOS!$C$83/100*(((AD34*DATOS!$C$78/DATOS!$C$83^2)*DATOS!$C$79/100)*(IF(W34="X",DI34,DJ34)+DATOS!$C$84/2)/100*(AA34-(IF(W34="X",DI34,DJ34)+DATOS!$C$84/2)/2)/100+((AD34*DATOS!$C$78/DATOS!$C$83^2)*DATOS!$C$79/100)*IF(W34="X",DI34,DJ34)/100*IF(W34="X",DI34,DJ34)/200)))</f>
        <v/>
      </c>
      <c r="BE34" s="56" t="str">
        <f>IF(U34&lt;&gt;"SÍ","",IF(C34&lt;&gt;"VOLADO",0,DATOS!$C$26*DATOS!$C$16*DATOS!$C$83/100*((AD34*DATOS!$C$78/DATOS!$C$83^2)*DATOS!$C$79/100)*(IF(W34="X",DI34,DJ34)+DATOS!$C$84/2)/100))</f>
        <v/>
      </c>
      <c r="BF34" s="56" t="str">
        <f>IF(U34&lt;&gt;"SÍ","",IF(C34="PERIMETRAL",BB34*AQ34*X34^2*1E-4*DATOS!$C$83/100/1000,0))</f>
        <v/>
      </c>
      <c r="BG34" s="62" t="str">
        <f>IF(U34&lt;&gt;"SÍ","",IF(C34="PERIMETRAL",MAX(MAX(AX34,AZ34)*AQ34*X34^2*1E-4*DATOS!$C$83/100/1000,N(S34)),(AQ34*(AA34/100)^2/2+DATOS!$C$26*N(O34)*AA34/100)*DATOS!$C$83/100/1000+BD34))</f>
        <v/>
      </c>
      <c r="BH34" s="56" t="str">
        <f>IF(U34&lt;&gt;"SÍ","",IF(C34="PERIMETRAL",BC34*AQ34*X34^2*1E-4*DATOS!$C$83/100/1000,0))</f>
        <v/>
      </c>
      <c r="BI34" s="56" t="str">
        <f>IF(U34&lt;&gt;"SÍ","",IF(C34="PERIMETRAL",MAX(MAX(AY34,BA34)*AQ34*X34^2*1E-4*DATOS!$C$83/100/1000,N(T34)),0))</f>
        <v/>
      </c>
      <c r="BJ34" s="63" t="str">
        <f>IF(U34&lt;&gt;"SÍ","",IF(C34&lt;&gt;"PERIMETRAL","—",IF(AND(N(S34)=0,N(T34)=0),"— (sin M⁻ del vecino)",IF(OR(AND(N(S34)&gt;0,ABS(MAX(AX34,AZ34)*AQ34*X34^2*1E-4*DATOS!$C$83/100/1000-N(S34))&gt;0.5*MIN(MAX(AX34,AZ34)*AQ34*X34^2*1E-4*DATOS!$C$83/100/1000,N(S34))),AND(N(T34)&gt;0,ABS(MAX(AY34,BA34)*AQ34*X34^2*1E-4*DATOS!$C$83/100/1000-N(T34))&gt;0.5*MIN(MAX(AY34,BA34)*AQ34*X34^2*1E-4*DATOS!$C$83/100/1000,N(T34)))),"FUERA: difieren &gt; 50 %"&amp;IF(AND(N(S34)&gt;0,ABS(MAX(AX34,AZ34)*AQ34*X34^2*1E-4*DATOS!$C$83/100/1000-N(S34))&gt;0.5*MIN(MAX(AX34,AZ34)*AQ34*X34^2*1E-4*DATOS!$C$83/100/1000,N(S34)))," ‖ corto","")&amp;IF(AND(N(T34)&gt;0,ABS(MAX(AY34,BA34)*AQ34*X34^2*1E-4*DATOS!$C$83/100/1000-N(T34))&gt;0.5*MIN(MAX(AY34,BA34)*AQ34*X34^2*1E-4*DATOS!$C$83/100/1000,N(T34)))," ‖ largo",""),"CUMPLE"))))</f>
        <v/>
      </c>
      <c r="BK34" s="58" t="str">
        <f>IF(U34&lt;&gt;"SÍ","",(DATOS!$C$82-AJ34-INDEX(TABLAS!$C$52:$C$58,MATCH(DATOS!$C$68,TABLAS!$B$52:$B$58,0))/2))</f>
        <v/>
      </c>
      <c r="BL34" s="58" t="str">
        <f>IF(U34&lt;&gt;"SÍ","",IF(IF(BF34&lt;=0,0,IF((1-2*BF34*1E5/(DATOS!$C$29*AG34*BK34^2*DATOS!$C$21))&lt;0,-1,IF((1-SQRT((1-2*BF34*1E5/(DATOS!$C$29*AG34*BK34^2*DATOS!$C$21))))*DATOS!$C$21*AG34*BK34/DATOS!$C$14&gt;DATOS!$C$99*AG34*BK34,-1,(1-SQRT((1-2*BF34*1E5/(DATOS!$C$29*AG34*BK34^2*DATOS!$C$21))))*DATOS!$C$21*AG34*BK34/DATOS!$C$14)))&lt;0,-1,MAX(IF(BF34&lt;=0,0,IF((1-2*BF34*1E5/(DATOS!$C$29*AG34*BK34^2*DATOS!$C$21))&lt;0,-1,IF((1-SQRT((1-2*BF34*1E5/(DATOS!$C$29*AG34*BK34^2*DATOS!$C$21))))*DATOS!$C$21*AG34*BK34/DATOS!$C$14&gt;DATOS!$C$99*AG34*BK34,-1,(1-SQRT((1-2*BF34*1E5/(DATOS!$C$29*AG34*BK34^2*DATOS!$C$21))))*DATOS!$C$21*AG34*BK34/DATOS!$C$14))),MIN(DATOS!$C$100*AC34*BK34,4/3*IF(BF34&lt;=0,0,IF((1-2*BF34*1E5/(DATOS!$C$29*AG34*BK34^2*DATOS!$C$21))&lt;0,-1,IF((1-SQRT((1-2*BF34*1E5/(DATOS!$C$29*AG34*BK34^2*DATOS!$C$21))))*DATOS!$C$21*AG34*BK34/DATOS!$C$14&gt;DATOS!$C$99*AG34*BK34,-1,(1-SQRT((1-2*BF34*1E5/(DATOS!$C$29*AG34*BK34^2*DATOS!$C$21))))*DATOS!$C$21*AG34*BK34/DATOS!$C$14)))))))</f>
        <v/>
      </c>
      <c r="BM34" s="64" t="str">
        <f>IF(U34&lt;&gt;"SÍ","",IF(AND(BL34&gt;=0,IF(MAX(DATOS!$C$71,CEILING(BL34/INDEX(TABLAS!$D$52:$D$58,MIN(MATCH(DATOS!$C$68,TABLAS!$B$52:$B$58,0)+0,7)),1))*INDEX(TABLAS!$D$52:$D$58,MIN(MATCH(DATOS!$C$68,TABLAS!$B$52:$B$58,0)+0,7))&gt;=4/3*IF(BF34&lt;=0,0,IF((1-2*BF34*1E5/(DATOS!$C$29*AG34*BK34^2*DATOS!$C$21))&lt;0,-1,IF((1-SQRT((1-2*BF34*1E5/(DATOS!$C$29*AG34*BK34^2*DATOS!$C$21))))*DATOS!$C$21*AG34*BK34/DATOS!$C$14&gt;DATOS!$C$99*AG34*BK34,-1,(1-SQRT((1-2*BF34*1E5/(DATOS!$C$29*AG34*BK34^2*DATOS!$C$21))))*DATOS!$C$21*AG34*BK34/DATOS!$C$14)))-0.0001,MAX(DATOS!$C$71,CEILING(BL34/INDEX(TABLAS!$D$52:$D$58,MIN(MATCH(DATOS!$C$68,TABLAS!$B$52:$B$58,0)+0,7)),1)),MAX(MAX(DATOS!$C$71,CEILING(BL34/INDEX(TABLAS!$D$52:$D$58,MIN(MATCH(DATOS!$C$68,TABLAS!$B$52:$B$58,0)+0,7)),1)),2))&lt;=MIN(DATOS!$C$70,INT(((AC34-2*AJ34)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34&gt;=0,IF(MAX(DATOS!$C$71,CEILING(BL34/INDEX(TABLAS!$D$52:$D$58,MIN(MATCH(DATOS!$C$68,TABLAS!$B$52:$B$58,0)+1,7)),1))*INDEX(TABLAS!$D$52:$D$58,MIN(MATCH(DATOS!$C$68,TABLAS!$B$52:$B$58,0)+1,7))&gt;=4/3*IF(BF34&lt;=0,0,IF((1-2*BF34*1E5/(DATOS!$C$29*AG34*BK34^2*DATOS!$C$21))&lt;0,-1,IF((1-SQRT((1-2*BF34*1E5/(DATOS!$C$29*AG34*BK34^2*DATOS!$C$21))))*DATOS!$C$21*AG34*BK34/DATOS!$C$14&gt;DATOS!$C$99*AG34*BK34,-1,(1-SQRT((1-2*BF34*1E5/(DATOS!$C$29*AG34*BK34^2*DATOS!$C$21))))*DATOS!$C$21*AG34*BK34/DATOS!$C$14)))-0.0001,MAX(DATOS!$C$71,CEILING(BL34/INDEX(TABLAS!$D$52:$D$58,MIN(MATCH(DATOS!$C$68,TABLAS!$B$52:$B$58,0)+1,7)),1)),MAX(MAX(DATOS!$C$71,CEILING(BL34/INDEX(TABLAS!$D$52:$D$58,MIN(MATCH(DATOS!$C$68,TABLAS!$B$52:$B$58,0)+1,7)),1)),2))&lt;=MIN(DATOS!$C$70,INT(((AC34-2*AJ34)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34&gt;=0,IF(MAX(DATOS!$C$71,CEILING(BL34/INDEX(TABLAS!$D$52:$D$58,MIN(MATCH(DATOS!$C$68,TABLAS!$B$52:$B$58,0)+2,7)),1))*INDEX(TABLAS!$D$52:$D$58,MIN(MATCH(DATOS!$C$68,TABLAS!$B$52:$B$58,0)+2,7))&gt;=4/3*IF(BF34&lt;=0,0,IF((1-2*BF34*1E5/(DATOS!$C$29*AG34*BK34^2*DATOS!$C$21))&lt;0,-1,IF((1-SQRT((1-2*BF34*1E5/(DATOS!$C$29*AG34*BK34^2*DATOS!$C$21))))*DATOS!$C$21*AG34*BK34/DATOS!$C$14&gt;DATOS!$C$99*AG34*BK34,-1,(1-SQRT((1-2*BF34*1E5/(DATOS!$C$29*AG34*BK34^2*DATOS!$C$21))))*DATOS!$C$21*AG34*BK34/DATOS!$C$14)))-0.0001,MAX(DATOS!$C$71,CEILING(BL34/INDEX(TABLAS!$D$52:$D$58,MIN(MATCH(DATOS!$C$68,TABLAS!$B$52:$B$58,0)+2,7)),1)),MAX(MAX(DATOS!$C$71,CEILING(BL34/INDEX(TABLAS!$D$52:$D$58,MIN(MATCH(DATOS!$C$68,TABLAS!$B$52:$B$58,0)+2,7)),1)),2))&lt;=MIN(DATOS!$C$70,INT(((AC34-2*AJ34)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34&gt;=0,IF(MAX(DATOS!$C$71,CEILING(BL34/INDEX(TABLAS!$D$52:$D$58,MIN(MATCH(DATOS!$C$68,TABLAS!$B$52:$B$58,0)+3,7)),1))*INDEX(TABLAS!$D$52:$D$58,MIN(MATCH(DATOS!$C$68,TABLAS!$B$52:$B$58,0)+3,7))&gt;=4/3*IF(BF34&lt;=0,0,IF((1-2*BF34*1E5/(DATOS!$C$29*AG34*BK34^2*DATOS!$C$21))&lt;0,-1,IF((1-SQRT((1-2*BF34*1E5/(DATOS!$C$29*AG34*BK34^2*DATOS!$C$21))))*DATOS!$C$21*AG34*BK34/DATOS!$C$14&gt;DATOS!$C$99*AG34*BK34,-1,(1-SQRT((1-2*BF34*1E5/(DATOS!$C$29*AG34*BK34^2*DATOS!$C$21))))*DATOS!$C$21*AG34*BK34/DATOS!$C$14)))-0.0001,MAX(DATOS!$C$71,CEILING(BL34/INDEX(TABLAS!$D$52:$D$58,MIN(MATCH(DATOS!$C$68,TABLAS!$B$52:$B$58,0)+3,7)),1)),MAX(MAX(DATOS!$C$71,CEILING(BL34/INDEX(TABLAS!$D$52:$D$58,MIN(MATCH(DATOS!$C$68,TABLAS!$B$52:$B$58,0)+3,7)),1)),2))&lt;=MIN(DATOS!$C$70,INT(((AC34-2*AJ34)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34&gt;=0,IF(MAX(DATOS!$C$71,CEILING(BL34/INDEX(TABLAS!$D$52:$D$58,MIN(MATCH(DATOS!$C$68,TABLAS!$B$52:$B$58,0)+4,7)),1))*INDEX(TABLAS!$D$52:$D$58,MIN(MATCH(DATOS!$C$68,TABLAS!$B$52:$B$58,0)+4,7))&gt;=4/3*IF(BF34&lt;=0,0,IF((1-2*BF34*1E5/(DATOS!$C$29*AG34*BK34^2*DATOS!$C$21))&lt;0,-1,IF((1-SQRT((1-2*BF34*1E5/(DATOS!$C$29*AG34*BK34^2*DATOS!$C$21))))*DATOS!$C$21*AG34*BK34/DATOS!$C$14&gt;DATOS!$C$99*AG34*BK34,-1,(1-SQRT((1-2*BF34*1E5/(DATOS!$C$29*AG34*BK34^2*DATOS!$C$21))))*DATOS!$C$21*AG34*BK34/DATOS!$C$14)))-0.0001,MAX(DATOS!$C$71,CEILING(BL34/INDEX(TABLAS!$D$52:$D$58,MIN(MATCH(DATOS!$C$68,TABLAS!$B$52:$B$58,0)+4,7)),1)),MAX(MAX(DATOS!$C$71,CEILING(BL34/INDEX(TABLAS!$D$52:$D$58,MIN(MATCH(DATOS!$C$68,TABLAS!$B$52:$B$58,0)+4,7)),1)),2))&lt;=MIN(DATOS!$C$70,INT(((AC34-2*AJ34)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34" s="59" t="str">
        <f>IF(U34&lt;&gt;"SÍ","",IF(BL34&lt;0,0,IF(MAX(DATOS!$C$71,CEILING(MAX(BL34,0)/INDEX(TABLAS!$D$52:$D$58,MATCH(BM34,TABLAS!$B$52:$B$58,0)),1))*INDEX(TABLAS!$D$52:$D$58,MATCH(BM34,TABLAS!$B$52:$B$58,0))&gt;=4/3*IF(BF34&lt;=0,0,IF((1-2*BF34*1E5/(DATOS!$C$29*AG34*BK34^2*DATOS!$C$21))&lt;0,-1,IF((1-SQRT((1-2*BF34*1E5/(DATOS!$C$29*AG34*BK34^2*DATOS!$C$21))))*DATOS!$C$21*AG34*BK34/DATOS!$C$14&gt;DATOS!$C$99*AG34*BK34,-1,(1-SQRT((1-2*BF34*1E5/(DATOS!$C$29*AG34*BK34^2*DATOS!$C$21))))*DATOS!$C$21*AG34*BK34/DATOS!$C$14)))-0.0001,MAX(DATOS!$C$71,CEILING(MAX(BL34,0)/INDEX(TABLAS!$D$52:$D$58,MATCH(BM34,TABLAS!$B$52:$B$58,0)),1)),MAX(MAX(DATOS!$C$71,CEILING(MAX(BL34,0)/INDEX(TABLAS!$D$52:$D$58,MATCH(BM34,TABLAS!$B$52:$B$58,0)),1)),2))))</f>
        <v/>
      </c>
      <c r="BO34" s="58" t="str">
        <f>IF(U34&lt;&gt;"SÍ","",DATOS!$C$82-AJ34-INDEX(TABLAS!$C$52:$C$58,MATCH(BM34,TABLAS!$B$52:$B$58,0))/2)</f>
        <v/>
      </c>
      <c r="BP34" s="56" t="str">
        <f>IF(U34&lt;&gt;"SÍ","",IF(BN34=0,0,DATOS!$C$29*BN34*INDEX(TABLAS!$D$52:$D$58,MATCH(BM34,TABLAS!$B$52:$B$58,0))*DATOS!$C$14*(BO34-BN34*INDEX(TABLAS!$D$52:$D$58,MATCH(BM34,TABLAS!$B$52:$B$58,0))*DATOS!$C$14/(DATOS!$C$21*AG34)/2)/1E5))</f>
        <v/>
      </c>
      <c r="BQ34" s="65" t="str">
        <f>IF(U34&lt;&gt;"SÍ","",IF(BL34&lt;0,9.99,IF(BP34&gt;0,BF34/BP34,0)))</f>
        <v/>
      </c>
      <c r="BR34" s="66" t="str">
        <f>IF(U34&lt;&gt;"SÍ","",IF(BN34=0,"—",0.003*(BO34-(BN34*INDEX(TABLAS!$D$52:$D$58,MATCH(BM34,TABLAS!$B$52:$B$58,0))*DATOS!$C$14/(DATOS!$C$21*AG34)/DATOS!$C$22))/(BN34*INDEX(TABLAS!$D$52:$D$58,MATCH(BM34,TABLAS!$B$52:$B$58,0))*DATOS!$C$14/(DATOS!$C$21*AG34)/DATOS!$C$22)))</f>
        <v/>
      </c>
      <c r="BS34" s="58" t="str">
        <f>IF(U34&lt;&gt;"SÍ","",((DATOS!$C$82-AL34-2*DATOS!$C$94-INDEX(TABLAS!$C$52:$C$58,MATCH(DATOS!$C$69,TABLAS!$B$52:$B$58,0))/2)-IF(AND((DATOS!$C$82-AL34-2*DATOS!$C$94-INDEX(TABLAS!$C$52:$C$58,MATCH(DATOS!$C$69,TABLAS!$B$52:$B$58,0))/2)&lt;=20,DATOS!$C$62&lt;&gt;"SÍ"),2,0)))</f>
        <v/>
      </c>
      <c r="BT34" s="58" t="str">
        <f>IF(U34&lt;&gt;"SÍ","",IF(IF(BG34&lt;=0,0,IF((1-2*BG34*1E5/(DATOS!$C$29*AE34*BS34^2*DATOS!$C$21))&lt;0,-1,IF((1-SQRT((1-2*BG34*1E5/(DATOS!$C$29*AE34*BS34^2*DATOS!$C$21))))*DATOS!$C$21*AE34*BS34/DATOS!$C$14&gt;DATOS!$C$99*AE34*BS34,-1,(1-SQRT((1-2*BG34*1E5/(DATOS!$C$29*AE34*BS34^2*DATOS!$C$21))))*DATOS!$C$21*AE34*BS34/DATOS!$C$14)))&lt;0,-1,MAX(IF(BG34&lt;=0,0,IF((1-2*BG34*1E5/(DATOS!$C$29*AE34*BS34^2*DATOS!$C$21))&lt;0,-1,IF((1-SQRT((1-2*BG34*1E5/(DATOS!$C$29*AE34*BS34^2*DATOS!$C$21))))*DATOS!$C$21*AE34*BS34/DATOS!$C$14&gt;DATOS!$C$99*AE34*BS34,-1,(1-SQRT((1-2*BG34*1E5/(DATOS!$C$29*AE34*BS34^2*DATOS!$C$21))))*DATOS!$C$21*AE34*BS34/DATOS!$C$14))),MIN(DATOS!$C$100*IF(C34="VOLADO",MIN(AG34,2*AC34),AC34)*BS34,4/3*IF(BG34&lt;=0,0,IF((1-2*BG34*1E5/(DATOS!$C$29*AE34*BS34^2*DATOS!$C$21))&lt;0,-1,IF((1-SQRT((1-2*BG34*1E5/(DATOS!$C$29*AE34*BS34^2*DATOS!$C$21))))*DATOS!$C$21*AE34*BS34/DATOS!$C$14&gt;DATOS!$C$99*AE34*BS34,-1,(1-SQRT((1-2*BG34*1E5/(DATOS!$C$29*AE34*BS34^2*DATOS!$C$21))))*DATOS!$C$21*AE34*BS34/DATOS!$C$14)))))))</f>
        <v/>
      </c>
      <c r="BU34" s="64" t="str">
        <f>IF(U34&lt;&gt;"SÍ","",IF(AND(BT34&gt;=0,IF(MAX(DATOS!$C$71,CEILING(BT34/INDEX(TABLAS!$D$52:$D$58,MIN(MATCH(DATOS!$C$69,TABLAS!$B$52:$B$58,0)+0,7)),1))*INDEX(TABLAS!$D$52:$D$58,MIN(MATCH(DATOS!$C$69,TABLAS!$B$52:$B$58,0)+0,7))&gt;=4/3*IF(BG34&lt;=0,0,IF((1-2*BG34*1E5/(DATOS!$C$29*AE34*BS34^2*DATOS!$C$21))&lt;0,-1,IF((1-SQRT((1-2*BG34*1E5/(DATOS!$C$29*AE34*BS34^2*DATOS!$C$21))))*DATOS!$C$21*AE34*BS34/DATOS!$C$14&gt;DATOS!$C$99*AE34*BS34,-1,(1-SQRT((1-2*BG34*1E5/(DATOS!$C$29*AE34*BS34^2*DATOS!$C$21))))*DATOS!$C$21*AE34*BS34/DATOS!$C$14)))-0.0001,MAX(DATOS!$C$71,CEILING(BT34/INDEX(TABLAS!$D$52:$D$58,MIN(MATCH(DATOS!$C$69,TABLAS!$B$52:$B$58,0)+0,7)),1)),MAX(MAX(DATOS!$C$71,CEILING(BT34/INDEX(TABLAS!$D$52:$D$58,MIN(MATCH(DATOS!$C$69,TABLAS!$B$52:$B$58,0)+0,7)),1)),2))&lt;=MIN(DATOS!$C$70,INT(((AC34-2*AK34)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34&gt;=0,IF(MAX(DATOS!$C$71,CEILING(BT34/INDEX(TABLAS!$D$52:$D$58,MIN(MATCH(DATOS!$C$69,TABLAS!$B$52:$B$58,0)+1,7)),1))*INDEX(TABLAS!$D$52:$D$58,MIN(MATCH(DATOS!$C$69,TABLAS!$B$52:$B$58,0)+1,7))&gt;=4/3*IF(BG34&lt;=0,0,IF((1-2*BG34*1E5/(DATOS!$C$29*AE34*BS34^2*DATOS!$C$21))&lt;0,-1,IF((1-SQRT((1-2*BG34*1E5/(DATOS!$C$29*AE34*BS34^2*DATOS!$C$21))))*DATOS!$C$21*AE34*BS34/DATOS!$C$14&gt;DATOS!$C$99*AE34*BS34,-1,(1-SQRT((1-2*BG34*1E5/(DATOS!$C$29*AE34*BS34^2*DATOS!$C$21))))*DATOS!$C$21*AE34*BS34/DATOS!$C$14)))-0.0001,MAX(DATOS!$C$71,CEILING(BT34/INDEX(TABLAS!$D$52:$D$58,MIN(MATCH(DATOS!$C$69,TABLAS!$B$52:$B$58,0)+1,7)),1)),MAX(MAX(DATOS!$C$71,CEILING(BT34/INDEX(TABLAS!$D$52:$D$58,MIN(MATCH(DATOS!$C$69,TABLAS!$B$52:$B$58,0)+1,7)),1)),2))&lt;=MIN(DATOS!$C$70,INT(((AC34-2*AK34)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34&gt;=0,IF(MAX(DATOS!$C$71,CEILING(BT34/INDEX(TABLAS!$D$52:$D$58,MIN(MATCH(DATOS!$C$69,TABLAS!$B$52:$B$58,0)+2,7)),1))*INDEX(TABLAS!$D$52:$D$58,MIN(MATCH(DATOS!$C$69,TABLAS!$B$52:$B$58,0)+2,7))&gt;=4/3*IF(BG34&lt;=0,0,IF((1-2*BG34*1E5/(DATOS!$C$29*AE34*BS34^2*DATOS!$C$21))&lt;0,-1,IF((1-SQRT((1-2*BG34*1E5/(DATOS!$C$29*AE34*BS34^2*DATOS!$C$21))))*DATOS!$C$21*AE34*BS34/DATOS!$C$14&gt;DATOS!$C$99*AE34*BS34,-1,(1-SQRT((1-2*BG34*1E5/(DATOS!$C$29*AE34*BS34^2*DATOS!$C$21))))*DATOS!$C$21*AE34*BS34/DATOS!$C$14)))-0.0001,MAX(DATOS!$C$71,CEILING(BT34/INDEX(TABLAS!$D$52:$D$58,MIN(MATCH(DATOS!$C$69,TABLAS!$B$52:$B$58,0)+2,7)),1)),MAX(MAX(DATOS!$C$71,CEILING(BT34/INDEX(TABLAS!$D$52:$D$58,MIN(MATCH(DATOS!$C$69,TABLAS!$B$52:$B$58,0)+2,7)),1)),2))&lt;=MIN(DATOS!$C$70,INT(((AC34-2*AK34)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34&gt;=0,IF(MAX(DATOS!$C$71,CEILING(BT34/INDEX(TABLAS!$D$52:$D$58,MIN(MATCH(DATOS!$C$69,TABLAS!$B$52:$B$58,0)+3,7)),1))*INDEX(TABLAS!$D$52:$D$58,MIN(MATCH(DATOS!$C$69,TABLAS!$B$52:$B$58,0)+3,7))&gt;=4/3*IF(BG34&lt;=0,0,IF((1-2*BG34*1E5/(DATOS!$C$29*AE34*BS34^2*DATOS!$C$21))&lt;0,-1,IF((1-SQRT((1-2*BG34*1E5/(DATOS!$C$29*AE34*BS34^2*DATOS!$C$21))))*DATOS!$C$21*AE34*BS34/DATOS!$C$14&gt;DATOS!$C$99*AE34*BS34,-1,(1-SQRT((1-2*BG34*1E5/(DATOS!$C$29*AE34*BS34^2*DATOS!$C$21))))*DATOS!$C$21*AE34*BS34/DATOS!$C$14)))-0.0001,MAX(DATOS!$C$71,CEILING(BT34/INDEX(TABLAS!$D$52:$D$58,MIN(MATCH(DATOS!$C$69,TABLAS!$B$52:$B$58,0)+3,7)),1)),MAX(MAX(DATOS!$C$71,CEILING(BT34/INDEX(TABLAS!$D$52:$D$58,MIN(MATCH(DATOS!$C$69,TABLAS!$B$52:$B$58,0)+3,7)),1)),2))&lt;=MIN(DATOS!$C$70,INT(((AC34-2*AK34)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34&gt;=0,IF(MAX(DATOS!$C$71,CEILING(BT34/INDEX(TABLAS!$D$52:$D$58,MIN(MATCH(DATOS!$C$69,TABLAS!$B$52:$B$58,0)+4,7)),1))*INDEX(TABLAS!$D$52:$D$58,MIN(MATCH(DATOS!$C$69,TABLAS!$B$52:$B$58,0)+4,7))&gt;=4/3*IF(BG34&lt;=0,0,IF((1-2*BG34*1E5/(DATOS!$C$29*AE34*BS34^2*DATOS!$C$21))&lt;0,-1,IF((1-SQRT((1-2*BG34*1E5/(DATOS!$C$29*AE34*BS34^2*DATOS!$C$21))))*DATOS!$C$21*AE34*BS34/DATOS!$C$14&gt;DATOS!$C$99*AE34*BS34,-1,(1-SQRT((1-2*BG34*1E5/(DATOS!$C$29*AE34*BS34^2*DATOS!$C$21))))*DATOS!$C$21*AE34*BS34/DATOS!$C$14)))-0.0001,MAX(DATOS!$C$71,CEILING(BT34/INDEX(TABLAS!$D$52:$D$58,MIN(MATCH(DATOS!$C$69,TABLAS!$B$52:$B$58,0)+4,7)),1)),MAX(MAX(DATOS!$C$71,CEILING(BT34/INDEX(TABLAS!$D$52:$D$58,MIN(MATCH(DATOS!$C$69,TABLAS!$B$52:$B$58,0)+4,7)),1)),2))&lt;=MIN(DATOS!$C$70,INT(((AC34-2*AK34)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34" s="59" t="str">
        <f>IF(U34&lt;&gt;"SÍ","",IF(BT34&lt;0,0,IF(MAX(DATOS!$C$71,CEILING(MAX(BT34,0)/INDEX(TABLAS!$D$52:$D$58,MATCH(BU34,TABLAS!$B$52:$B$58,0)),1))*INDEX(TABLAS!$D$52:$D$58,MATCH(BU34,TABLAS!$B$52:$B$58,0))&gt;=4/3*IF(BG34&lt;=0,0,IF((1-2*BG34*1E5/(DATOS!$C$29*AE34*BS34^2*DATOS!$C$21))&lt;0,-1,IF((1-SQRT((1-2*BG34*1E5/(DATOS!$C$29*AE34*BS34^2*DATOS!$C$21))))*DATOS!$C$21*AE34*BS34/DATOS!$C$14&gt;DATOS!$C$99*AE34*BS34,-1,(1-SQRT((1-2*BG34*1E5/(DATOS!$C$29*AE34*BS34^2*DATOS!$C$21))))*DATOS!$C$21*AE34*BS34/DATOS!$C$14)))-0.0001,MAX(DATOS!$C$71,CEILING(MAX(BT34,0)/INDEX(TABLAS!$D$52:$D$58,MATCH(BU34,TABLAS!$B$52:$B$58,0)),1)),MAX(MAX(DATOS!$C$71,CEILING(MAX(BT34,0)/INDEX(TABLAS!$D$52:$D$58,MATCH(BU34,TABLAS!$B$52:$B$58,0)),1)),2))))</f>
        <v/>
      </c>
      <c r="BW34" s="58" t="str">
        <f>IF(U34&lt;&gt;"SÍ","",((DATOS!$C$82-AL34-2*DATOS!$C$94-INDEX(TABLAS!$C$52:$C$58,MATCH(BU34,TABLAS!$B$52:$B$58,0))/2)-IF(AND((DATOS!$C$82-AL34-2*DATOS!$C$94-INDEX(TABLAS!$C$52:$C$58,MATCH(BU34,TABLAS!$B$52:$B$58,0))/2)&lt;=20,DATOS!$C$62&lt;&gt;"SÍ"),2,0)))</f>
        <v/>
      </c>
      <c r="BX34" s="56" t="str">
        <f>IF(U34&lt;&gt;"SÍ","",IF(BV34=0,0,DATOS!$C$29*BV34*INDEX(TABLAS!$D$52:$D$58,MATCH(BU34,TABLAS!$B$52:$B$58,0))*DATOS!$C$14*(BW34-BV34*INDEX(TABLAS!$D$52:$D$58,MATCH(BU34,TABLAS!$B$52:$B$58,0))*DATOS!$C$14/(DATOS!$C$21*AE34)/2)/1E5))</f>
        <v/>
      </c>
      <c r="BY34" s="65" t="str">
        <f>IF(U34&lt;&gt;"SÍ","",IF(BT34&lt;0,9.99,IF(BX34&gt;0,BG34/BX34,0)))</f>
        <v/>
      </c>
      <c r="BZ34" s="66" t="str">
        <f>IF(U34&lt;&gt;"SÍ","",IF(BV34=0,"—",0.003*(BW34-(BV34*INDEX(TABLAS!$D$52:$D$58,MATCH(BU34,TABLAS!$B$52:$B$58,0))*DATOS!$C$14/(DATOS!$C$21*AE34)/DATOS!$C$22))/(BV34*INDEX(TABLAS!$D$52:$D$58,MATCH(BU34,TABLAS!$B$52:$B$58,0))*DATOS!$C$14/(DATOS!$C$21*AE34)/DATOS!$C$22)))</f>
        <v/>
      </c>
      <c r="CA34" s="58" t="str">
        <f>IF(U34&lt;&gt;"SÍ","",(DATOS!$C$82-AJ34-INDEX(TABLAS!$C$52:$C$58,MATCH(DATOS!$C$68,TABLAS!$B$52:$B$58,0))-INDEX(TABLAS!$C$52:$C$58,MATCH(DATOS!$C$68,TABLAS!$B$52:$B$58,0))/2))</f>
        <v/>
      </c>
      <c r="CB34" s="58" t="str">
        <f>IF(U34&lt;&gt;"SÍ","",IF(IF(BH34&lt;=0,0,IF((1-2*BH34*1E5/(DATOS!$C$29*AH34*CA34^2*DATOS!$C$21))&lt;0,-1,IF((1-SQRT((1-2*BH34*1E5/(DATOS!$C$29*AH34*CA34^2*DATOS!$C$21))))*DATOS!$C$21*AH34*CA34/DATOS!$C$14&gt;DATOS!$C$99*AH34*CA34,-1,(1-SQRT((1-2*BH34*1E5/(DATOS!$C$29*AH34*CA34^2*DATOS!$C$21))))*DATOS!$C$21*AH34*CA34/DATOS!$C$14)))&lt;0,-1,MAX(IF(BH34&lt;=0,0,IF((1-2*BH34*1E5/(DATOS!$C$29*AH34*CA34^2*DATOS!$C$21))&lt;0,-1,IF((1-SQRT((1-2*BH34*1E5/(DATOS!$C$29*AH34*CA34^2*DATOS!$C$21))))*DATOS!$C$21*AH34*CA34/DATOS!$C$14&gt;DATOS!$C$99*AH34*CA34,-1,(1-SQRT((1-2*BH34*1E5/(DATOS!$C$29*AH34*CA34^2*DATOS!$C$21))))*DATOS!$C$21*AH34*CA34/DATOS!$C$14))),MIN(DATOS!$C$100*DATOS!$C$80*CA34,4/3*IF(BH34&lt;=0,0,IF((1-2*BH34*1E5/(DATOS!$C$29*AH34*CA34^2*DATOS!$C$21))&lt;0,-1,IF((1-SQRT((1-2*BH34*1E5/(DATOS!$C$29*AH34*CA34^2*DATOS!$C$21))))*DATOS!$C$21*AH34*CA34/DATOS!$C$14&gt;DATOS!$C$99*AH34*CA34,-1,(1-SQRT((1-2*BH34*1E5/(DATOS!$C$29*AH34*CA34^2*DATOS!$C$21))))*DATOS!$C$21*AH34*CA34/DATOS!$C$14)))))))</f>
        <v/>
      </c>
      <c r="CC34" s="64" t="str">
        <f>IF(U34&lt;&gt;"SÍ","",IF(AND(CB34&gt;=0,IF(MAX(DATOS!$C$71,CEILING(CB34/INDEX(TABLAS!$D$52:$D$58,MIN(MATCH(DATOS!$C$68,TABLAS!$B$52:$B$58,0)+0,7)),1))*INDEX(TABLAS!$D$52:$D$58,MIN(MATCH(DATOS!$C$68,TABLAS!$B$52:$B$58,0)+0,7))&gt;=4/3*IF(BH34&lt;=0,0,IF((1-2*BH34*1E5/(DATOS!$C$29*AH34*CA34^2*DATOS!$C$21))&lt;0,-1,IF((1-SQRT((1-2*BH34*1E5/(DATOS!$C$29*AH34*CA34^2*DATOS!$C$21))))*DATOS!$C$21*AH34*CA34/DATOS!$C$14&gt;DATOS!$C$99*AH34*CA34,-1,(1-SQRT((1-2*BH34*1E5/(DATOS!$C$29*AH34*CA34^2*DATOS!$C$21))))*DATOS!$C$21*AH34*CA34/DATOS!$C$14)))-0.0001,MAX(DATOS!$C$71,CEILING(CB34/INDEX(TABLAS!$D$52:$D$58,MIN(MATCH(DATOS!$C$68,TABLAS!$B$52:$B$58,0)+0,7)),1)),MAX(MAX(DATOS!$C$71,CEILING(CB34/INDEX(TABLAS!$D$52:$D$58,MIN(MATCH(DATOS!$C$68,TABLAS!$B$52:$B$58,0)+0,7)),1)),2))&lt;=MIN(DATOS!$C$70,INT(((DATOS!$C$80-2*AJ34)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34&gt;=0,IF(MAX(DATOS!$C$71,CEILING(CB34/INDEX(TABLAS!$D$52:$D$58,MIN(MATCH(DATOS!$C$68,TABLAS!$B$52:$B$58,0)+1,7)),1))*INDEX(TABLAS!$D$52:$D$58,MIN(MATCH(DATOS!$C$68,TABLAS!$B$52:$B$58,0)+1,7))&gt;=4/3*IF(BH34&lt;=0,0,IF((1-2*BH34*1E5/(DATOS!$C$29*AH34*CA34^2*DATOS!$C$21))&lt;0,-1,IF((1-SQRT((1-2*BH34*1E5/(DATOS!$C$29*AH34*CA34^2*DATOS!$C$21))))*DATOS!$C$21*AH34*CA34/DATOS!$C$14&gt;DATOS!$C$99*AH34*CA34,-1,(1-SQRT((1-2*BH34*1E5/(DATOS!$C$29*AH34*CA34^2*DATOS!$C$21))))*DATOS!$C$21*AH34*CA34/DATOS!$C$14)))-0.0001,MAX(DATOS!$C$71,CEILING(CB34/INDEX(TABLAS!$D$52:$D$58,MIN(MATCH(DATOS!$C$68,TABLAS!$B$52:$B$58,0)+1,7)),1)),MAX(MAX(DATOS!$C$71,CEILING(CB34/INDEX(TABLAS!$D$52:$D$58,MIN(MATCH(DATOS!$C$68,TABLAS!$B$52:$B$58,0)+1,7)),1)),2))&lt;=MIN(DATOS!$C$70,INT(((DATOS!$C$80-2*AJ34)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34&gt;=0,IF(MAX(DATOS!$C$71,CEILING(CB34/INDEX(TABLAS!$D$52:$D$58,MIN(MATCH(DATOS!$C$68,TABLAS!$B$52:$B$58,0)+2,7)),1))*INDEX(TABLAS!$D$52:$D$58,MIN(MATCH(DATOS!$C$68,TABLAS!$B$52:$B$58,0)+2,7))&gt;=4/3*IF(BH34&lt;=0,0,IF((1-2*BH34*1E5/(DATOS!$C$29*AH34*CA34^2*DATOS!$C$21))&lt;0,-1,IF((1-SQRT((1-2*BH34*1E5/(DATOS!$C$29*AH34*CA34^2*DATOS!$C$21))))*DATOS!$C$21*AH34*CA34/DATOS!$C$14&gt;DATOS!$C$99*AH34*CA34,-1,(1-SQRT((1-2*BH34*1E5/(DATOS!$C$29*AH34*CA34^2*DATOS!$C$21))))*DATOS!$C$21*AH34*CA34/DATOS!$C$14)))-0.0001,MAX(DATOS!$C$71,CEILING(CB34/INDEX(TABLAS!$D$52:$D$58,MIN(MATCH(DATOS!$C$68,TABLAS!$B$52:$B$58,0)+2,7)),1)),MAX(MAX(DATOS!$C$71,CEILING(CB34/INDEX(TABLAS!$D$52:$D$58,MIN(MATCH(DATOS!$C$68,TABLAS!$B$52:$B$58,0)+2,7)),1)),2))&lt;=MIN(DATOS!$C$70,INT(((DATOS!$C$80-2*AJ34)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34&gt;=0,IF(MAX(DATOS!$C$71,CEILING(CB34/INDEX(TABLAS!$D$52:$D$58,MIN(MATCH(DATOS!$C$68,TABLAS!$B$52:$B$58,0)+3,7)),1))*INDEX(TABLAS!$D$52:$D$58,MIN(MATCH(DATOS!$C$68,TABLAS!$B$52:$B$58,0)+3,7))&gt;=4/3*IF(BH34&lt;=0,0,IF((1-2*BH34*1E5/(DATOS!$C$29*AH34*CA34^2*DATOS!$C$21))&lt;0,-1,IF((1-SQRT((1-2*BH34*1E5/(DATOS!$C$29*AH34*CA34^2*DATOS!$C$21))))*DATOS!$C$21*AH34*CA34/DATOS!$C$14&gt;DATOS!$C$99*AH34*CA34,-1,(1-SQRT((1-2*BH34*1E5/(DATOS!$C$29*AH34*CA34^2*DATOS!$C$21))))*DATOS!$C$21*AH34*CA34/DATOS!$C$14)))-0.0001,MAX(DATOS!$C$71,CEILING(CB34/INDEX(TABLAS!$D$52:$D$58,MIN(MATCH(DATOS!$C$68,TABLAS!$B$52:$B$58,0)+3,7)),1)),MAX(MAX(DATOS!$C$71,CEILING(CB34/INDEX(TABLAS!$D$52:$D$58,MIN(MATCH(DATOS!$C$68,TABLAS!$B$52:$B$58,0)+3,7)),1)),2))&lt;=MIN(DATOS!$C$70,INT(((DATOS!$C$80-2*AJ34)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34&gt;=0,IF(MAX(DATOS!$C$71,CEILING(CB34/INDEX(TABLAS!$D$52:$D$58,MIN(MATCH(DATOS!$C$68,TABLAS!$B$52:$B$58,0)+4,7)),1))*INDEX(TABLAS!$D$52:$D$58,MIN(MATCH(DATOS!$C$68,TABLAS!$B$52:$B$58,0)+4,7))&gt;=4/3*IF(BH34&lt;=0,0,IF((1-2*BH34*1E5/(DATOS!$C$29*AH34*CA34^2*DATOS!$C$21))&lt;0,-1,IF((1-SQRT((1-2*BH34*1E5/(DATOS!$C$29*AH34*CA34^2*DATOS!$C$21))))*DATOS!$C$21*AH34*CA34/DATOS!$C$14&gt;DATOS!$C$99*AH34*CA34,-1,(1-SQRT((1-2*BH34*1E5/(DATOS!$C$29*AH34*CA34^2*DATOS!$C$21))))*DATOS!$C$21*AH34*CA34/DATOS!$C$14)))-0.0001,MAX(DATOS!$C$71,CEILING(CB34/INDEX(TABLAS!$D$52:$D$58,MIN(MATCH(DATOS!$C$68,TABLAS!$B$52:$B$58,0)+4,7)),1)),MAX(MAX(DATOS!$C$71,CEILING(CB34/INDEX(TABLAS!$D$52:$D$58,MIN(MATCH(DATOS!$C$68,TABLAS!$B$52:$B$58,0)+4,7)),1)),2))&lt;=MIN(DATOS!$C$70,INT(((DATOS!$C$80-2*AJ34)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34" s="59" t="str">
        <f>IF(U34&lt;&gt;"SÍ","",IF(CB34&lt;0,0,IF(MAX(DATOS!$C$71,CEILING(MAX(CB34,0)/INDEX(TABLAS!$D$52:$D$58,MATCH(CC34,TABLAS!$B$52:$B$58,0)),1))*INDEX(TABLAS!$D$52:$D$58,MATCH(CC34,TABLAS!$B$52:$B$58,0))&gt;=4/3*IF(BH34&lt;=0,0,IF((1-2*BH34*1E5/(DATOS!$C$29*AH34*CA34^2*DATOS!$C$21))&lt;0,-1,IF((1-SQRT((1-2*BH34*1E5/(DATOS!$C$29*AH34*CA34^2*DATOS!$C$21))))*DATOS!$C$21*AH34*CA34/DATOS!$C$14&gt;DATOS!$C$99*AH34*CA34,-1,(1-SQRT((1-2*BH34*1E5/(DATOS!$C$29*AH34*CA34^2*DATOS!$C$21))))*DATOS!$C$21*AH34*CA34/DATOS!$C$14)))-0.0001,MAX(DATOS!$C$71,CEILING(MAX(CB34,0)/INDEX(TABLAS!$D$52:$D$58,MATCH(CC34,TABLAS!$B$52:$B$58,0)),1)),MAX(MAX(DATOS!$C$71,CEILING(MAX(CB34,0)/INDEX(TABLAS!$D$52:$D$58,MATCH(CC34,TABLAS!$B$52:$B$58,0)),1)),2))))</f>
        <v/>
      </c>
      <c r="CE34" s="58" t="str">
        <f>IF(U34&lt;&gt;"SÍ","",DATOS!$C$82-AJ34-INDEX(TABLAS!$C$52:$C$58,MATCH(BM34,TABLAS!$B$52:$B$58,0))-INDEX(TABLAS!$C$52:$C$58,MATCH(CC34,TABLAS!$B$52:$B$58,0))/2)</f>
        <v/>
      </c>
      <c r="CF34" s="56" t="str">
        <f>IF(U34&lt;&gt;"SÍ","",IF(CD34=0,0,DATOS!$C$29*CD34*INDEX(TABLAS!$D$52:$D$58,MATCH(CC34,TABLAS!$B$52:$B$58,0))*DATOS!$C$14*(CE34-CD34*INDEX(TABLAS!$D$52:$D$58,MATCH(CC34,TABLAS!$B$52:$B$58,0))*DATOS!$C$14/(DATOS!$C$21*AH34)/2)/1E5))</f>
        <v/>
      </c>
      <c r="CG34" s="65" t="str">
        <f>IF(U34&lt;&gt;"SÍ","",IF(CB34&lt;0,9.99,IF(CF34&gt;0,BH34/CF34,0)))</f>
        <v/>
      </c>
      <c r="CH34" s="66" t="str">
        <f>IF(U34&lt;&gt;"SÍ","",IF(CD34=0,"—",0.003*(CE34-(CD34*INDEX(TABLAS!$D$52:$D$58,MATCH(CC34,TABLAS!$B$52:$B$58,0))*DATOS!$C$14/(DATOS!$C$21*AH34)/DATOS!$C$22))/(CD34*INDEX(TABLAS!$D$52:$D$58,MATCH(CC34,TABLAS!$B$52:$B$58,0))*DATOS!$C$14/(DATOS!$C$21*AH34)/DATOS!$C$22)))</f>
        <v/>
      </c>
      <c r="CI34" s="58" t="str">
        <f>IF(U34&lt;&gt;"SÍ","",((DATOS!$C$82-AL34-2*DATOS!$C$94-INDEX(TABLAS!$C$52:$C$58,MATCH(DATOS!$C$69,TABLAS!$B$52:$B$58,0))-INDEX(TABLAS!$C$52:$C$58,MATCH(DATOS!$C$69,TABLAS!$B$52:$B$58,0))/2)-IF(AND((DATOS!$C$82-AL34-2*DATOS!$C$94-INDEX(TABLAS!$C$52:$C$58,MATCH(DATOS!$C$69,TABLAS!$B$52:$B$58,0))-INDEX(TABLAS!$C$52:$C$58,MATCH(DATOS!$C$69,TABLAS!$B$52:$B$58,0))/2)&lt;=20,DATOS!$C$62&lt;&gt;"SÍ"),2,0)))</f>
        <v/>
      </c>
      <c r="CJ34" s="58" t="str">
        <f>IF(U34&lt;&gt;"SÍ","",IF(IF(BI34&lt;=0,0,IF((1-2*BI34*1E5/(DATOS!$C$29*AF34*CI34^2*DATOS!$C$21))&lt;0,-1,IF((1-SQRT((1-2*BI34*1E5/(DATOS!$C$29*AF34*CI34^2*DATOS!$C$21))))*DATOS!$C$21*AF34*CI34/DATOS!$C$14&gt;DATOS!$C$99*AF34*CI34,-1,(1-SQRT((1-2*BI34*1E5/(DATOS!$C$29*AF34*CI34^2*DATOS!$C$21))))*DATOS!$C$21*AF34*CI34/DATOS!$C$14)))&lt;0,-1,MAX(IF(BI34&lt;=0,0,IF((1-2*BI34*1E5/(DATOS!$C$29*AF34*CI34^2*DATOS!$C$21))&lt;0,-1,IF((1-SQRT((1-2*BI34*1E5/(DATOS!$C$29*AF34*CI34^2*DATOS!$C$21))))*DATOS!$C$21*AF34*CI34/DATOS!$C$14&gt;DATOS!$C$99*AF34*CI34,-1,(1-SQRT((1-2*BI34*1E5/(DATOS!$C$29*AF34*CI34^2*DATOS!$C$21))))*DATOS!$C$21*AF34*CI34/DATOS!$C$14))),MIN(DATOS!$C$100*DATOS!$C$80*CI34,4/3*IF(BI34&lt;=0,0,IF((1-2*BI34*1E5/(DATOS!$C$29*AF34*CI34^2*DATOS!$C$21))&lt;0,-1,IF((1-SQRT((1-2*BI34*1E5/(DATOS!$C$29*AF34*CI34^2*DATOS!$C$21))))*DATOS!$C$21*AF34*CI34/DATOS!$C$14&gt;DATOS!$C$99*AF34*CI34,-1,(1-SQRT((1-2*BI34*1E5/(DATOS!$C$29*AF34*CI34^2*DATOS!$C$21))))*DATOS!$C$21*AF34*CI34/DATOS!$C$14)))))))</f>
        <v/>
      </c>
      <c r="CK34" s="64" t="str">
        <f>IF(U34&lt;&gt;"SÍ","",IF(AND(CJ34&gt;=0,IF(MAX(DATOS!$C$71,CEILING(CJ34/INDEX(TABLAS!$D$52:$D$58,MIN(MATCH(DATOS!$C$69,TABLAS!$B$52:$B$58,0)+0,7)),1))*INDEX(TABLAS!$D$52:$D$58,MIN(MATCH(DATOS!$C$69,TABLAS!$B$52:$B$58,0)+0,7))&gt;=4/3*IF(BI34&lt;=0,0,IF((1-2*BI34*1E5/(DATOS!$C$29*AF34*CI34^2*DATOS!$C$21))&lt;0,-1,IF((1-SQRT((1-2*BI34*1E5/(DATOS!$C$29*AF34*CI34^2*DATOS!$C$21))))*DATOS!$C$21*AF34*CI34/DATOS!$C$14&gt;DATOS!$C$99*AF34*CI34,-1,(1-SQRT((1-2*BI34*1E5/(DATOS!$C$29*AF34*CI34^2*DATOS!$C$21))))*DATOS!$C$21*AF34*CI34/DATOS!$C$14)))-0.0001,MAX(DATOS!$C$71,CEILING(CJ34/INDEX(TABLAS!$D$52:$D$58,MIN(MATCH(DATOS!$C$69,TABLAS!$B$52:$B$58,0)+0,7)),1)),MAX(MAX(DATOS!$C$71,CEILING(CJ34/INDEX(TABLAS!$D$52:$D$58,MIN(MATCH(DATOS!$C$69,TABLAS!$B$52:$B$58,0)+0,7)),1)),2))&lt;=MIN(DATOS!$C$70,INT(((DATOS!$C$80-2*AK34)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34&gt;=0,IF(MAX(DATOS!$C$71,CEILING(CJ34/INDEX(TABLAS!$D$52:$D$58,MIN(MATCH(DATOS!$C$69,TABLAS!$B$52:$B$58,0)+1,7)),1))*INDEX(TABLAS!$D$52:$D$58,MIN(MATCH(DATOS!$C$69,TABLAS!$B$52:$B$58,0)+1,7))&gt;=4/3*IF(BI34&lt;=0,0,IF((1-2*BI34*1E5/(DATOS!$C$29*AF34*CI34^2*DATOS!$C$21))&lt;0,-1,IF((1-SQRT((1-2*BI34*1E5/(DATOS!$C$29*AF34*CI34^2*DATOS!$C$21))))*DATOS!$C$21*AF34*CI34/DATOS!$C$14&gt;DATOS!$C$99*AF34*CI34,-1,(1-SQRT((1-2*BI34*1E5/(DATOS!$C$29*AF34*CI34^2*DATOS!$C$21))))*DATOS!$C$21*AF34*CI34/DATOS!$C$14)))-0.0001,MAX(DATOS!$C$71,CEILING(CJ34/INDEX(TABLAS!$D$52:$D$58,MIN(MATCH(DATOS!$C$69,TABLAS!$B$52:$B$58,0)+1,7)),1)),MAX(MAX(DATOS!$C$71,CEILING(CJ34/INDEX(TABLAS!$D$52:$D$58,MIN(MATCH(DATOS!$C$69,TABLAS!$B$52:$B$58,0)+1,7)),1)),2))&lt;=MIN(DATOS!$C$70,INT(((DATOS!$C$80-2*AK34)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34&gt;=0,IF(MAX(DATOS!$C$71,CEILING(CJ34/INDEX(TABLAS!$D$52:$D$58,MIN(MATCH(DATOS!$C$69,TABLAS!$B$52:$B$58,0)+2,7)),1))*INDEX(TABLAS!$D$52:$D$58,MIN(MATCH(DATOS!$C$69,TABLAS!$B$52:$B$58,0)+2,7))&gt;=4/3*IF(BI34&lt;=0,0,IF((1-2*BI34*1E5/(DATOS!$C$29*AF34*CI34^2*DATOS!$C$21))&lt;0,-1,IF((1-SQRT((1-2*BI34*1E5/(DATOS!$C$29*AF34*CI34^2*DATOS!$C$21))))*DATOS!$C$21*AF34*CI34/DATOS!$C$14&gt;DATOS!$C$99*AF34*CI34,-1,(1-SQRT((1-2*BI34*1E5/(DATOS!$C$29*AF34*CI34^2*DATOS!$C$21))))*DATOS!$C$21*AF34*CI34/DATOS!$C$14)))-0.0001,MAX(DATOS!$C$71,CEILING(CJ34/INDEX(TABLAS!$D$52:$D$58,MIN(MATCH(DATOS!$C$69,TABLAS!$B$52:$B$58,0)+2,7)),1)),MAX(MAX(DATOS!$C$71,CEILING(CJ34/INDEX(TABLAS!$D$52:$D$58,MIN(MATCH(DATOS!$C$69,TABLAS!$B$52:$B$58,0)+2,7)),1)),2))&lt;=MIN(DATOS!$C$70,INT(((DATOS!$C$80-2*AK34)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34&gt;=0,IF(MAX(DATOS!$C$71,CEILING(CJ34/INDEX(TABLAS!$D$52:$D$58,MIN(MATCH(DATOS!$C$69,TABLAS!$B$52:$B$58,0)+3,7)),1))*INDEX(TABLAS!$D$52:$D$58,MIN(MATCH(DATOS!$C$69,TABLAS!$B$52:$B$58,0)+3,7))&gt;=4/3*IF(BI34&lt;=0,0,IF((1-2*BI34*1E5/(DATOS!$C$29*AF34*CI34^2*DATOS!$C$21))&lt;0,-1,IF((1-SQRT((1-2*BI34*1E5/(DATOS!$C$29*AF34*CI34^2*DATOS!$C$21))))*DATOS!$C$21*AF34*CI34/DATOS!$C$14&gt;DATOS!$C$99*AF34*CI34,-1,(1-SQRT((1-2*BI34*1E5/(DATOS!$C$29*AF34*CI34^2*DATOS!$C$21))))*DATOS!$C$21*AF34*CI34/DATOS!$C$14)))-0.0001,MAX(DATOS!$C$71,CEILING(CJ34/INDEX(TABLAS!$D$52:$D$58,MIN(MATCH(DATOS!$C$69,TABLAS!$B$52:$B$58,0)+3,7)),1)),MAX(MAX(DATOS!$C$71,CEILING(CJ34/INDEX(TABLAS!$D$52:$D$58,MIN(MATCH(DATOS!$C$69,TABLAS!$B$52:$B$58,0)+3,7)),1)),2))&lt;=MIN(DATOS!$C$70,INT(((DATOS!$C$80-2*AK34)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34&gt;=0,IF(MAX(DATOS!$C$71,CEILING(CJ34/INDEX(TABLAS!$D$52:$D$58,MIN(MATCH(DATOS!$C$69,TABLAS!$B$52:$B$58,0)+4,7)),1))*INDEX(TABLAS!$D$52:$D$58,MIN(MATCH(DATOS!$C$69,TABLAS!$B$52:$B$58,0)+4,7))&gt;=4/3*IF(BI34&lt;=0,0,IF((1-2*BI34*1E5/(DATOS!$C$29*AF34*CI34^2*DATOS!$C$21))&lt;0,-1,IF((1-SQRT((1-2*BI34*1E5/(DATOS!$C$29*AF34*CI34^2*DATOS!$C$21))))*DATOS!$C$21*AF34*CI34/DATOS!$C$14&gt;DATOS!$C$99*AF34*CI34,-1,(1-SQRT((1-2*BI34*1E5/(DATOS!$C$29*AF34*CI34^2*DATOS!$C$21))))*DATOS!$C$21*AF34*CI34/DATOS!$C$14)))-0.0001,MAX(DATOS!$C$71,CEILING(CJ34/INDEX(TABLAS!$D$52:$D$58,MIN(MATCH(DATOS!$C$69,TABLAS!$B$52:$B$58,0)+4,7)),1)),MAX(MAX(DATOS!$C$71,CEILING(CJ34/INDEX(TABLAS!$D$52:$D$58,MIN(MATCH(DATOS!$C$69,TABLAS!$B$52:$B$58,0)+4,7)),1)),2))&lt;=MIN(DATOS!$C$70,INT(((DATOS!$C$80-2*AK34)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34" s="59" t="str">
        <f>IF(U34&lt;&gt;"SÍ","",IF(CJ34&lt;0,0,IF(MAX(DATOS!$C$71,CEILING(MAX(CJ34,0)/INDEX(TABLAS!$D$52:$D$58,MATCH(CK34,TABLAS!$B$52:$B$58,0)),1))*INDEX(TABLAS!$D$52:$D$58,MATCH(CK34,TABLAS!$B$52:$B$58,0))&gt;=4/3*IF(BI34&lt;=0,0,IF((1-2*BI34*1E5/(DATOS!$C$29*AF34*CI34^2*DATOS!$C$21))&lt;0,-1,IF((1-SQRT((1-2*BI34*1E5/(DATOS!$C$29*AF34*CI34^2*DATOS!$C$21))))*DATOS!$C$21*AF34*CI34/DATOS!$C$14&gt;DATOS!$C$99*AF34*CI34,-1,(1-SQRT((1-2*BI34*1E5/(DATOS!$C$29*AF34*CI34^2*DATOS!$C$21))))*DATOS!$C$21*AF34*CI34/DATOS!$C$14)))-0.0001,MAX(DATOS!$C$71,CEILING(MAX(CJ34,0)/INDEX(TABLAS!$D$52:$D$58,MATCH(CK34,TABLAS!$B$52:$B$58,0)),1)),MAX(MAX(DATOS!$C$71,CEILING(MAX(CJ34,0)/INDEX(TABLAS!$D$52:$D$58,MATCH(CK34,TABLAS!$B$52:$B$58,0)),1)),2))))</f>
        <v/>
      </c>
      <c r="CM34" s="58" t="str">
        <f>IF(U34&lt;&gt;"SÍ","",((DATOS!$C$82-AL34-2*DATOS!$C$94-INDEX(TABLAS!$C$52:$C$58,MATCH(BU34,TABLAS!$B$52:$B$58,0))-INDEX(TABLAS!$C$52:$C$58,MATCH(CK34,TABLAS!$B$52:$B$58,0))/2)-IF(AND((DATOS!$C$82-AL34-2*DATOS!$C$94-INDEX(TABLAS!$C$52:$C$58,MATCH(BU34,TABLAS!$B$52:$B$58,0))-INDEX(TABLAS!$C$52:$C$58,MATCH(CK34,TABLAS!$B$52:$B$58,0))/2)&lt;=20,DATOS!$C$62&lt;&gt;"SÍ"),2,0)))</f>
        <v/>
      </c>
      <c r="CN34" s="56" t="str">
        <f>IF(U34&lt;&gt;"SÍ","",IF(CL34=0,0,DATOS!$C$29*CL34*INDEX(TABLAS!$D$52:$D$58,MATCH(CK34,TABLAS!$B$52:$B$58,0))*DATOS!$C$14*(CM34-CL34*INDEX(TABLAS!$D$52:$D$58,MATCH(CK34,TABLAS!$B$52:$B$58,0))*DATOS!$C$14/(DATOS!$C$21*AF34)/2)/1E5))</f>
        <v/>
      </c>
      <c r="CO34" s="65" t="str">
        <f>IF(U34&lt;&gt;"SÍ","",IF(CJ34&lt;0,9.99,IF(CN34&gt;0,BI34/CN34,0)))</f>
        <v/>
      </c>
      <c r="CP34" s="66" t="str">
        <f>IF(U34&lt;&gt;"SÍ","",IF(CL34=0,"—",0.003*(CM34-(CL34*INDEX(TABLAS!$D$52:$D$58,MATCH(CK34,TABLAS!$B$52:$B$58,0))*DATOS!$C$14/(DATOS!$C$21*AF34)/DATOS!$C$22))/(CL34*INDEX(TABLAS!$D$52:$D$58,MATCH(CK34,TABLAS!$B$52:$B$58,0))*DATOS!$C$14/(DATOS!$C$21*AF34)/DATOS!$C$22)))</f>
        <v/>
      </c>
      <c r="CQ34" s="56" t="str">
        <f>IF(U34&lt;&gt;"SÍ","",IF(C34="PERIMETRAL",MAX(0,(AA34/2-BW34)/100)*(0.95-0.5*Z34)*AQ34*IF(AND(AR34&gt;0,AR34&lt;4),DATOS!$C$33,1)*DATOS!$C$83/100/1000,(AQ34*MAX(0,AA34-BW34)/100+DATOS!$C$26*N(O34))*DATOS!$C$83/100/1000+BE34))</f>
        <v/>
      </c>
      <c r="CR34" s="56" t="str">
        <f>IF(U34&lt;&gt;"SÍ","",DATOS!$C$30*2*MIN(1,SQRT(2/(1+0.04*BW34)))*(BV34*INDEX(TABLAS!$D$52:$D$58,MATCH(BU34,TABLAS!$B$52:$B$58,0))/(AE34*BW34))^(1/3)*SQRT(DATOS!$C$13)*AE34*BW34*IF(AI34="SÍ",DATOS!$C$32,1)/1000)</f>
        <v/>
      </c>
      <c r="CS34" s="59" t="str">
        <f>IF(U34&lt;&gt;"SÍ","",IF(CQ34&lt;=CR34,0,CEILING(MAX(0,IF(C34="VOLADO",(AA34-((CR34-BE34)*1E5/DATOS!$C$83-DATOS!$C$26*N(O34))*100/AQ34),IF(CR34&lt;=0,AA34,AA34/2-CR34/MAX(CQ34,1E-9)*(AA34/2-BW34)))-IF(INT((X34*100-DATOS!$C$84+DATOS!$C$80)/DATOS!$C$83)&gt;0,(X34*100-DATOS!$C$84-(INT((X34*100-DATOS!$C$84+DATOS!$C$80)/DATOS!$C$83)*DATOS!$C$78+(INT((X34*100-DATOS!$C$84+DATOS!$C$80)/DATOS!$C$83)-1)*DATOS!$C$80))/2,X34*100/2))/DATOS!$C$83,1)))</f>
        <v/>
      </c>
      <c r="CT34" s="67" t="str">
        <f>IF(U34&lt;&gt;"SÍ","",IF(CQ34&lt;=CR34,"CUMPLE",IF(CS34&lt;=0,"CUMPLE (basta el macizo de orilla)",IF(CS34*DATOS!$C$83*IF(C34="VOLADO",1,2)&gt;=X34*100-DATOS!$C$84,"NO CUMPLE: no alcanza ni macizando todo","MACIZAR "&amp;CS34&amp;" hilera(s)"))))</f>
        <v/>
      </c>
      <c r="CU34" s="58" t="str">
        <f>IF(U34&lt;&gt;"SÍ","",(DATOS!$C$83*DATOS!$C$81^2/2+AC34*DATOS!$C$79*(DATOS!$C$81+DATOS!$C$79/2))/(DATOS!$C$83*DATOS!$C$81+AC34*DATOS!$C$79))</f>
        <v/>
      </c>
      <c r="CV34" s="68" t="str">
        <f>IF(U34&lt;&gt;"SÍ","",DATOS!$C$83*DATOS!$C$81^3/12+DATOS!$C$83*DATOS!$C$81*(CU34-DATOS!$C$81/2)^2+AC34*DATOS!$C$79^3/12+AC34*DATOS!$C$79*(DATOS!$C$81+DATOS!$C$79/2-CU34)^2)</f>
        <v/>
      </c>
      <c r="CW34" s="58" t="str">
        <f>IF(U34&lt;&gt;"SÍ","",(12*CV34/DATOS!$C$83)^(1/3))</f>
        <v/>
      </c>
      <c r="CX34" s="58" t="str">
        <f>IF(U34&lt;&gt;"SÍ","",IF(C34="PERIMETRAL",IF(ISNUMBER(R34),R34,DATOS!$C$101),0))</f>
        <v/>
      </c>
      <c r="CY34" s="57" t="str">
        <f>IF(U34&lt;&gt;"SÍ","",IF(C34="PERIMETRAL",IF(CX34&gt;2,MAX(9,AB34*(0.8+DATOS!$C$14/14000)/(36+9*(AB34/MAX(AA34,1)))),IF(CX34&gt;0.2,MAX(13,AB34*(0.8+DATOS!$C$14/14000)/(36+5*(AB34/MAX(AA34,1))*(CX34-0.2))),MAX(13,AB34/IF(AR34&gt;0,30,33))))*IF(AND(CX34&gt;0.2,AR34&gt;0,DATOS!$C$102="NO"),1.1,1),X34*100/8))</f>
        <v/>
      </c>
      <c r="CZ34" s="61" t="str">
        <f>IF(U34&lt;&gt;"SÍ","",IF(IF(C34="VOLADO",DATOS!$C$82,CW34)&gt;=CY34,"CUMPLE",IF(C34="VOLADO","NO CUMPLE","CALCULAR FLECHA")))</f>
        <v/>
      </c>
      <c r="DA34" s="55" t="str">
        <f>IF(U34&lt;&gt;"SÍ","",IF(DATOS!$C$81&gt;=IF(IF(C34="VOLADO",X34,Y34)&gt;=6,6,5),"CUMPLE","CAPA ≥ 6 cm"))</f>
        <v/>
      </c>
      <c r="DB34" s="60" t="str">
        <f>IF(U34&lt;&gt;"SÍ","",IF(C34="VOLADO",MIN(CEILING(IF(ISNUMBER(P34),P34,X34)*100,5),CEILING(MAX(IF((0.5*(0.9*DATOS!$C$87*DATOS!$C$83/100/1000)*IF(ISNUMBER(P34),P34,X34)+BG34/IF(ISNUMBER(P34),P34,X34))^2-4*(0.5*(0.9*DATOS!$C$87*DATOS!$C$83/100/1000))*BG34&lt;0,IF(ISNUMBER(P34),P34,X34),MIN(IF(ISNUMBER(P34),P34,X34),((0.5*(0.9*DATOS!$C$87*DATOS!$C$83/100/1000)*IF(ISNUMBER(P34),P34,X34)+BG34/IF(ISNUMBER(P34),P34,X34))-SQRT((0.5*(0.9*DATOS!$C$87*DATOS!$C$83/100/1000)*IF(ISNUMBER(P34),P34,X34)+BG34/IF(ISNUMBER(P34),P34,X34))^2-4*(0.5*(0.9*DATOS!$C$87*DATOS!$C$83/100/1000))*BG34))/(2*(0.5*(0.9*DATOS!$C$87*DATOS!$C$83/100/1000)))))*100+MAX(BW34,12*INDEX(TABLAS!$C$52:$C$58,MATCH(BU34,TABLAS!$B$52:$B$58,0)),IF(ISNUMBER(P34),P34,X34)*100/16),IF(OR(AK34&lt;INDEX(TABLAS!$C$52:$C$58,MATCH(BU34,TABLAS!$B$52:$B$58,0)),AND(BV34&gt;=2,(AC34-2*AK34-BV34*INDEX(TABLAS!$C$52:$C$58,MATCH(BU34,TABLAS!$B$52:$B$58,0)))/MAX(BV34-1,1)&lt;2*INDEX(TABLAS!$C$52:$C$58,MATCH(BU34,TABLAS!$B$52:$B$58,0)))),INDEX(TABLAS!$I$52:$I$58,MATCH(BU34,TABLAS!$B$52:$B$58,0)),INDEX(TABLAS!$F$52:$F$58,MATCH(BU34,TABLAS!$B$52:$B$58,0)))),5)),IF(((4*((BB34*AQ34*X34^2*1E-4*DATOS!$C$83/100/1000)+((MAX(AX34,AZ34)*AQ34*X34^2*1E-4*DATOS!$C$83/100/1000)+(IF(AND(AX34&gt;0,AZ34&gt;0),MIN(AX34,AZ34),MAX(AX34,AZ34))*AQ34*X34^2*1E-4*DATOS!$C$83/100/1000))/2)+BG34-(IF(AND(AX34&gt;0,AZ34&gt;0),MIN(AX34,AZ34),MAX(AX34,AZ34))*AQ34*X34^2*1E-4*DATOS!$C$83/100/1000))^2-16*((BB34*AQ34*X34^2*1E-4*DATOS!$C$83/100/1000)+((MAX(AX34,AZ34)*AQ34*X34^2*1E-4*DATOS!$C$83/100/1000)+(IF(AND(AX34&gt;0,AZ34&gt;0),MIN(AX34,AZ34),MAX(AX34,AZ34))*AQ34*X34^2*1E-4*DATOS!$C$83/100/1000))/2)*BG34)&lt;0,CEILING(AA34,5),CEILING(MAX(AA34*((4*((BB34*AQ34*X34^2*1E-4*DATOS!$C$83/100/1000)+((MAX(AX34,AZ34)*AQ34*X34^2*1E-4*DATOS!$C$83/100/1000)+(IF(AND(AX34&gt;0,AZ34&gt;0),MIN(AX34,AZ34),MAX(AX34,AZ34))*AQ34*X34^2*1E-4*DATOS!$C$83/100/1000))/2)+BG34-(IF(AND(AX34&gt;0,AZ34&gt;0),MIN(AX34,AZ34),MAX(AX34,AZ34))*AQ34*X34^2*1E-4*DATOS!$C$83/100/1000))-SQRT(MAX(0,((4*((BB34*AQ34*X34^2*1E-4*DATOS!$C$83/100/1000)+((MAX(AX34,AZ34)*AQ34*X34^2*1E-4*DATOS!$C$83/100/1000)+(IF(AND(AX34&gt;0,AZ34&gt;0),MIN(AX34,AZ34),MAX(AX34,AZ34))*AQ34*X34^2*1E-4*DATOS!$C$83/100/1000))/2)+BG34-(IF(AND(AX34&gt;0,AZ34&gt;0),MIN(AX34,AZ34),MAX(AX34,AZ34))*AQ34*X34^2*1E-4*DATOS!$C$83/100/1000))^2-16*((BB34*AQ34*X34^2*1E-4*DATOS!$C$83/100/1000)+((MAX(AX34,AZ34)*AQ34*X34^2*1E-4*DATOS!$C$83/100/1000)+(IF(AND(AX34&gt;0,AZ34&gt;0),MIN(AX34,AZ34),MAX(AX34,AZ34))*AQ34*X34^2*1E-4*DATOS!$C$83/100/1000))/2)*BG34))))/(8*MAX(((BB34*AQ34*X34^2*1E-4*DATOS!$C$83/100/1000)+((MAX(AX34,AZ34)*AQ34*X34^2*1E-4*DATOS!$C$83/100/1000)+(IF(AND(AX34&gt;0,AZ34&gt;0),MIN(AX34,AZ34),MAX(AX34,AZ34))*AQ34*X34^2*1E-4*DATOS!$C$83/100/1000))/2),1E-9))+MAX(BW34,12*INDEX(TABLAS!$C$52:$C$58,MATCH(BU34,TABLAS!$B$52:$B$58,0)),AA34/16),IF(OR(AK34&lt;INDEX(TABLAS!$C$52:$C$58,MATCH(BU34,TABLAS!$B$52:$B$58,0)),AND(BV34&gt;=2,(AC34-2*AK34-BV34*INDEX(TABLAS!$C$52:$C$58,MATCH(BU34,TABLAS!$B$52:$B$58,0)))/MAX(BV34-1,1)&lt;2*INDEX(TABLAS!$C$52:$C$58,MATCH(BU34,TABLAS!$B$52:$B$58,0)))),INDEX(TABLAS!$I$52:$I$58,MATCH(BU34,TABLAS!$B$52:$B$58,0)),INDEX(TABLAS!$F$52:$F$58,MATCH(BU34,TABLAS!$B$52:$B$58,0)))),5))))</f>
        <v/>
      </c>
      <c r="DC34" s="60" t="str">
        <f>IF(U34&lt;&gt;"SÍ","",IF(C34="VOLADO",0,IF(((4*((BC34*AQ34*X34^2*1E-4*DATOS!$C$83/100/1000)+((MAX(AY34,BA34)*AQ34*X34^2*1E-4*DATOS!$C$83/100/1000)+(IF(AND(AY34&gt;0,BA34&gt;0),MIN(AY34,BA34),MAX(AY34,BA34))*AQ34*X34^2*1E-4*DATOS!$C$83/100/1000))/2)+BI34-(IF(AND(AY34&gt;0,BA34&gt;0),MIN(AY34,BA34),MAX(AY34,BA34))*AQ34*X34^2*1E-4*DATOS!$C$83/100/1000))^2-16*((BC34*AQ34*X34^2*1E-4*DATOS!$C$83/100/1000)+((MAX(AY34,BA34)*AQ34*X34^2*1E-4*DATOS!$C$83/100/1000)+(IF(AND(AY34&gt;0,BA34&gt;0),MIN(AY34,BA34),MAX(AY34,BA34))*AQ34*X34^2*1E-4*DATOS!$C$83/100/1000))/2)*BI34)&lt;0,CEILING(AB34,5),CEILING(MAX(AB34*((4*((BC34*AQ34*X34^2*1E-4*DATOS!$C$83/100/1000)+((MAX(AY34,BA34)*AQ34*X34^2*1E-4*DATOS!$C$83/100/1000)+(IF(AND(AY34&gt;0,BA34&gt;0),MIN(AY34,BA34),MAX(AY34,BA34))*AQ34*X34^2*1E-4*DATOS!$C$83/100/1000))/2)+BI34-(IF(AND(AY34&gt;0,BA34&gt;0),MIN(AY34,BA34),MAX(AY34,BA34))*AQ34*X34^2*1E-4*DATOS!$C$83/100/1000))-SQRT(MAX(0,((4*((BC34*AQ34*X34^2*1E-4*DATOS!$C$83/100/1000)+((MAX(AY34,BA34)*AQ34*X34^2*1E-4*DATOS!$C$83/100/1000)+(IF(AND(AY34&gt;0,BA34&gt;0),MIN(AY34,BA34),MAX(AY34,BA34))*AQ34*X34^2*1E-4*DATOS!$C$83/100/1000))/2)+BI34-(IF(AND(AY34&gt;0,BA34&gt;0),MIN(AY34,BA34),MAX(AY34,BA34))*AQ34*X34^2*1E-4*DATOS!$C$83/100/1000))^2-16*((BC34*AQ34*X34^2*1E-4*DATOS!$C$83/100/1000)+((MAX(AY34,BA34)*AQ34*X34^2*1E-4*DATOS!$C$83/100/1000)+(IF(AND(AY34&gt;0,BA34&gt;0),MIN(AY34,BA34),MAX(AY34,BA34))*AQ34*X34^2*1E-4*DATOS!$C$83/100/1000))/2)*BI34))))/(8*MAX(((BC34*AQ34*X34^2*1E-4*DATOS!$C$83/100/1000)+((MAX(AY34,BA34)*AQ34*X34^2*1E-4*DATOS!$C$83/100/1000)+(IF(AND(AY34&gt;0,BA34&gt;0),MIN(AY34,BA34),MAX(AY34,BA34))*AQ34*X34^2*1E-4*DATOS!$C$83/100/1000))/2),1E-9))+MAX(CM34,12*INDEX(TABLAS!$C$52:$C$58,MATCH(CK34,TABLAS!$B$52:$B$58,0)),AB34/16),IF(OR(AK34&lt;INDEX(TABLAS!$C$52:$C$58,MATCH(CK34,TABLAS!$B$52:$B$58,0)),AND(CL34&gt;=2,(DATOS!$C$80-2*AK34-CL34*INDEX(TABLAS!$C$52:$C$58,MATCH(CK34,TABLAS!$B$52:$B$58,0)))/MAX(CL34-1,1)&lt;2*INDEX(TABLAS!$C$52:$C$58,MATCH(CK34,TABLAS!$B$52:$B$58,0)))),INDEX(TABLAS!$I$52:$I$58,MATCH(CK34,TABLAS!$B$52:$B$58,0)),INDEX(TABLAS!$F$52:$F$58,MATCH(CK34,TABLAS!$B$52:$B$58,0)))),5))))</f>
        <v/>
      </c>
      <c r="DD34" s="55" t="str">
        <f>IF(U34&lt;&gt;"SÍ","",IF(AND(C34="PERIMETRAL",BV34&gt;=2,AR34-AS34&gt;0,AZ34*AQ34*X34^2*1E-4*DATOS!$C$83/100/1000&gt;DATOS!$C$29*INDEX(TABLAS!$D$52:$D$58,MATCH(BU34,TABLAS!$B$52:$B$58,0))*DATOS!$C$14*(BW34-INDEX(TABLAS!$D$52:$D$58,MATCH(BU34,TABLAS!$B$52:$B$58,0))*DATOS!$C$14/(DATOS!$C$21*AE34)/2)/1E5),"SÍ","NO"))</f>
        <v/>
      </c>
      <c r="DE34" s="55" t="str">
        <f>IF(U34&lt;&gt;"SÍ","",IF(AND(C34="PERIMETRAL",CL34&gt;=2,AS34&gt;0,BA34*AQ34*X34^2*1E-4*DATOS!$C$83/100/1000&gt;DATOS!$C$29*INDEX(TABLAS!$D$52:$D$58,MATCH(CK34,TABLAS!$B$52:$B$58,0))*DATOS!$C$14*(CM34-INDEX(TABLAS!$D$52:$D$58,MATCH(CK34,TABLAS!$B$52:$B$58,0))*DATOS!$C$14/(DATOS!$C$21*AF34)/2)/1E5),"SÍ","NO"))</f>
        <v/>
      </c>
      <c r="DF34" s="63" t="str">
        <f>IF(U34&lt;&gt;"SÍ","",IF(OR(C34="VOLADO",AR34=0),"—",IF(AND(AND(1.25*INDEX(TABLAS!$G$52:$G$58,MATCH(MAX(BM34,CC34),TABLAS!$B$52:$B$58,0))&lt;=(DATOS!$C$72-DATOS!$C$60),(DATOS!$C$72-DATOS!$C$60)&gt;=15,INDEX(TABLAS!$G$52:$G$58,MATCH(MAX(BU34,CK34),TABLAS!$B$52:$B$58,0))&lt;=(DATOS!$C$72-DATOS!$C$60)),8*INDEX(TABLAS!$C$52:$C$58,MATCH(MAX(MAX(BM34,CC34),MAX(BU34,CK34)),TABLAS!$B$52:$B$58,0))&lt;=DATOS!$C$73-2*DATOS!$C$60),"CUMPLE (gancho de 180°)",IF(AND(1.25*INDEX(TABLAS!$G$52:$G$58,MATCH(MAX(BM34,CC34),TABLAS!$B$52:$B$58,0))&lt;=(DATOS!$C$72-DATOS!$C$60),(DATOS!$C$72-DATOS!$C$60)&gt;=15,INDEX(TABLAS!$G$52:$G$58,MATCH(MAX(BU34,CK34),TABLAS!$B$52:$B$58,0))&lt;=(DATOS!$C$72-DATOS!$C$60)),"NO CUMPLE: el gancho de 180° (8·d_b) no cabe en el peralte de la dala de borde","NO CUMPLE: dala de borde ≥ "&amp;TEXT(CEILING(MAX(1.25*INDEX(TABLAS!$G$52:$G$58,MATCH(MAX(BM34,CC34),TABLAS!$B$52:$B$58,0)),15,INDEX(TABLAS!$G$52:$G$58,MATCH(MAX(BU34,CK34),TABLAS!$B$52:$B$58,0)))+DATOS!$C$60,5),"0")&amp;" cm de ancho"&amp;IF(8*INDEX(TABLAS!$C$52:$C$58,MATCH(MAX(MAX(BM34,CC34),MAX(BU34,CK34)),TABLAS!$B$52:$B$58,0))&lt;=DATOS!$C$73-2*DATOS!$C$60,""," y más peralte para el gancho")))))</f>
        <v/>
      </c>
      <c r="DG34" s="59" t="str">
        <f>IF(U34&lt;&gt;"SÍ","",MAX(0,INT((E34*100-DATOS!$C$84+DATOS!$C$83-IF(W34="X",DATOS!$C$78,AD34))/DATOS!$C$83)))</f>
        <v/>
      </c>
      <c r="DH34" s="59" t="str">
        <f>IF(U34&lt;&gt;"SÍ","",MAX(0,INT((F34*100-DATOS!$C$84+DATOS!$C$83-IF(W34="Y",DATOS!$C$78,AD34))/DATOS!$C$83)))</f>
        <v/>
      </c>
      <c r="DI34" s="57" t="str">
        <f>IF(U34&lt;&gt;"SÍ","",IF(DG34&gt;0,(E34*100-DATOS!$C$84-(DG34*IF(W34="X",DATOS!$C$78,AD34)+(DG34-1)*(DATOS!$C$83-IF(W34="X",DATOS!$C$78,AD34))))/2,E34*100/2))</f>
        <v/>
      </c>
      <c r="DJ34" s="57" t="str">
        <f>IF(U34&lt;&gt;"SÍ","",IF(DH34&gt;0,(F34*100-DATOS!$C$84-(DH34*IF(W34="Y",DATOS!$C$78,AD34)+(DH34-1)*(DATOS!$C$83-IF(W34="Y",DATOS!$C$78,AD34))))/2,F34*100/2))</f>
        <v/>
      </c>
      <c r="DK34" s="59" t="str">
        <f>IF(U34&lt;&gt;"SÍ","",IF(NOT(AND(C34="VOLADO",AC34&gt;DATOS!$C$80)),0,IF(INDEX(TABLAS!$C$52:$C$58,MATCH(BU34,TABLAS!$B$52:$B$58,0))&lt;=DATOS!$C$80-2*DATOS!$C$60,1,0)))</f>
        <v/>
      </c>
      <c r="DL34" s="58" t="str">
        <f>IF(U34&lt;&gt;"SÍ","",IF(NOT(AND(C34="VOLADO",AC34&gt;DATOS!$C$80)),0,((DATOS!$C$82-MAX(DATOS!$C$60,(DATOS!$C$81-2*DATOS!$C$94)/2)-2*DATOS!$C$94-INDEX(TABLAS!$C$52:$C$58,MATCH(BU34,TABLAS!$B$52:$B$58,0))/2)-IF(AND((DATOS!$C$82-MAX(DATOS!$C$60,(DATOS!$C$81-2*DATOS!$C$94)/2)-2*DATOS!$C$94-INDEX(TABLAS!$C$52:$C$58,MATCH(BU34,TABLAS!$B$52:$B$58,0))/2)&lt;=20,DATOS!$C$62&lt;&gt;"SÍ"),2,0))))</f>
        <v/>
      </c>
      <c r="DM34" s="56" t="str">
        <f>IF(U34&lt;&gt;"SÍ","",IF(OR(NOT(AND(C34="VOLADO",AC34&gt;DATOS!$C$80)),DK34&lt;1),0,IF(0.003*(DL34-((DK34*INDEX(TABLAS!$D$52:$D$58,MATCH(BU34,TABLAS!$B$52:$B$58,0)))*DATOS!$C$14/(DATOS!$C$21*AF34)/DATOS!$C$22))/((DK34*INDEX(TABLAS!$D$52:$D$58,MATCH(BU34,TABLAS!$B$52:$B$58,0)))*DATOS!$C$14/(DATOS!$C$21*AF34)/DATOS!$C$22)&lt;0.005,0,DATOS!$C$29*(DK34*INDEX(TABLAS!$D$52:$D$58,MATCH(BU34,TABLAS!$B$52:$B$58,0)))*DATOS!$C$14*(DL34-(DK34*INDEX(TABLAS!$D$52:$D$58,MATCH(BU34,TABLAS!$B$52:$B$58,0)))*DATOS!$C$14/(DATOS!$C$21*AF34)/2)/1E5)))</f>
        <v/>
      </c>
      <c r="DN34" s="56" t="str">
        <f>IF(U34&lt;&gt;"SÍ","",IF(OR(NOT(AND(C34="VOLADO",AC34&gt;DATOS!$C$80)),DK34&lt;1),0,DATOS!$C$30*2*MIN(1,SQRT(2/(1+0.04*DL34)))*((DK34*INDEX(TABLAS!$D$52:$D$58,MATCH(BU34,TABLAS!$B$52:$B$58,0)))/(AF34*DL34))^(1/3)*SQRT(DATOS!$C$13)*AF34*DL34/1000))</f>
        <v/>
      </c>
      <c r="DO34" s="56" t="str">
        <f>IF(U34&lt;&gt;"SÍ","",IF(NOT(AND(C34="VOLADO",AC34&gt;DATOS!$C$80)),0,IF((BG34-DM34)&lt;=0,0,IF(DM34&lt;=0,IF(ISNUMBER(P34),P34,X34),IF(((0.9*DATOS!$C$87*DATOS!$C$83/100/1000)*IF(ISNUMBER(P34),P34,X34)/2+BG34/IF(ISNUMBER(P34),P34,X34))^2-4*((0.9*DATOS!$C$87*DATOS!$C$83/100/1000)/2)*(BG34-DM34)&lt;0,IF(ISNUMBER(P34),P34,X34),MIN(IF(ISNUMBER(P34),P34,X34),(((0.9*DATOS!$C$87*DATOS!$C$83/100/1000)*IF(ISNUMBER(P34),P34,X34)/2+BG34/IF(ISNUMBER(P34),P34,X34))-SQRT(((0.9*DATOS!$C$87*DATOS!$C$83/100/1000)*IF(ISNUMBER(P34),P34,X34)/2+BG34/IF(ISNUMBER(P34),P34,X34))^2-4*((0.9*DATOS!$C$87*DATOS!$C$83/100/1000)/2)*(BG34-DM34)))/(2*((0.9*DATOS!$C$87*DATOS!$C$83/100/1000)/2))))))))</f>
        <v/>
      </c>
      <c r="DP34" s="56" t="str">
        <f>IF(U34&lt;&gt;"SÍ","",IF(NOT(AND(C34="VOLADO",AC34&gt;DATOS!$C$80)),0,MIN(IF(ISNUMBER(P34),P34,X34),MAX(0,IF(ISNUMBER(P34),P34,X34)/2+BG34/IF(ISNUMBER(P34),P34,X34)/(AQ34*DATOS!$C$83/100/1000)-DN34/(AQ34*DATOS!$C$83/100/1000)))))</f>
        <v/>
      </c>
      <c r="DQ34" s="56" t="str">
        <f>IF(U34&lt;&gt;"SÍ","",IF(NOT(AND(C34="VOLADO",AC34&gt;DATOS!$C$80)),0,BG34/IF(ISNUMBER(P34),P34,X34)+(AQ34*DATOS!$C$83/100/1000)*MAX(0,IF(ISNUMBER(P34),P34,X34)/2-BW34/100)))</f>
        <v/>
      </c>
      <c r="DR34" s="59" t="str">
        <f>IF(U34&lt;&gt;"SÍ","",IF(NOT(AND(C34="VOLADO",AC34&gt;DATOS!$C$80)),0,CEILING(100*MIN(IF(ISNUMBER(P34),P34,X34),MAX(IF(DO34&gt;0,DO34+IF(BV34&gt;=2,MAX(DL34,12*INDEX(TABLAS!$C$52:$C$58,MATCH(BU34,TABLAS!$B$52:$B$58,0)))/100,0),0),DP34,IF(BV34&gt;=2,INDEX(TABLAS!$F$52:$F$58,MATCH(BU34,TABLAS!$B$52:$B$58,0))/100,0))),5)))</f>
        <v/>
      </c>
      <c r="DS34" s="60" t="str">
        <f>IF(U34&lt;&gt;"SÍ","",IF(NOT(AND(C34="VOLADO",AC34&gt;DATOS!$C$80)),0,IF(DR34&lt;=0,0,CEILING(DR34/DATOS!$C$83,1))))</f>
        <v/>
      </c>
      <c r="DT34" s="61" t="str">
        <f>IF(U34&lt;&gt;"SÍ","",IF(C34&lt;&gt;"VOLADO","—",IF(AC34&lt;=DATOS!$C$80,"— (mismo b_w que el respaldo)",IF(DQ34&gt;CR34,"NO CUMPLE: cortante de la nervadura ancha junto al apoyo ("&amp;TEXT(DQ34,"0.00")&amp;" &gt; "&amp;TEXT(CR34,"0.00")&amp;" t)",IF(DR34&gt;=100*IF(ISNUMBER(P34),P34,X34),"CUMPLE — todas las nervaduras del respaldo ‖ al volado con b_w = "&amp;AC34&amp;" cm","CUMPLE — "&amp;DS34&amp;" hilera(s) del respaldo con nervaduras de b_w = "&amp;AC34&amp;" cm (casetón "&amp;AD34&amp;" cm), hasta "&amp;TEXT(DR34/100,"0.00")&amp;" m del paño")))))</f>
        <v/>
      </c>
      <c r="DU34" s="69" t="str">
        <f>IF(U34&lt;&gt;"SÍ","",IF(BN34=0,"NO ALCANZA",BN34&amp;" No. "&amp;BM34&amp;IF(BN34&gt;1," corridas"," corrida")))</f>
        <v/>
      </c>
      <c r="DV34" s="69" t="str">
        <f>IF(U34&lt;&gt;"SÍ","",IF(BV34=0,"NO ALCANZA",IF(AND(C34="VOLADO",AC34&gt;DATOS!$C$80,BV34&gt;=2),"1 No. "&amp;BU34&amp;" corrida de la orilla al respaldo ("&amp;IF(DB34&gt;=100*IF(ISNUMBER(P34),P34,X34),"hasta su apoyo lejano, con gancho","entra "&amp;TEXT(DB34/100,"0.00")&amp;" m desde el paño")&amp;") + "&amp;(BV34-1)&amp;" bastón No. "&amp;BU34&amp;" hasta "&amp;TEXT(DR34/100,"0.00")&amp;" m del paño (fin de la nervadura ancha)",IF(C34="VOLADO",BV34&amp;" No. "&amp;BU34&amp;" de la orilla al respaldo ("&amp;IF(DB34&gt;=100*IF(ISNUMBER(P34),P34,X34),"hasta su apoyo lejano, con gancho","entran "&amp;TEXT(DB34/100,"0.00")&amp;" m desde el paño")&amp;")","1 No. "&amp;BU34&amp;" corrida"&amp;IF(BV34&gt;1," + "&amp;(BV34-1)&amp;" bastón No. "&amp;BU34&amp;" L = "&amp;TEXT(DB34/100,"0.00")&amp;" m desde el paño","")))))</f>
        <v/>
      </c>
      <c r="DW34" s="69" t="str">
        <f>IF(U34&lt;&gt;"SÍ","",IF(CD34=0,"NO ALCANZA",CD34&amp;" No. "&amp;CC34&amp;IF(CD34&gt;1," corridas"," corrida")))</f>
        <v/>
      </c>
      <c r="DX34" s="69" t="str">
        <f>IF(U34&lt;&gt;"SÍ","",IF(CL34=0,"NO ALCANZA",IF(C34="VOLADO","1 No. "&amp;CK34&amp;" corrida (repartición)","1 No. "&amp;CK34&amp;" corrida"&amp;IF(CL34&gt;1," + "&amp;(CL34-1)&amp;" bastón No. "&amp;CK34&amp;" L = "&amp;TEXT(DC34/100,"0.00")&amp;" m desde el paño",""))))</f>
        <v/>
      </c>
      <c r="DY34" s="67" t="str">
        <f>IF(B34="","",IF(U34&lt;&gt;"SÍ","FALTAN DATOS: tipo, a_x, a_y y destino",IF(L34="NO MONOLÍTICO (caso II)","FUERA DE ALCANCE: caso II no transcrito",IF(AND(C34="VOLADO",V34="?"),"REVISAR: el volado lleva UN solo borde CONTINUO (el empotrado)",IF(AND(MAX(BQ34,BY34,CG34,CO34)&lt;=1,NOT(OR(BN34&gt;MIN(DATOS!$C$70,INT(((AC34-2*AJ34)+MAX(DATOS!$C$67,INDEX(TABLAS!$C$52:$C$58,MATCH(BM34,TABLAS!$B$52:$B$58,0))))/(INDEX(TABLAS!$C$52:$C$58,MATCH(BM34,TABLAS!$B$52:$B$58,0))+MAX(DATOS!$C$67,INDEX(TABLAS!$C$52:$C$58,MATCH(BM34,TABLAS!$B$52:$B$58,0)))))),BV34&gt;MIN(DATOS!$C$70,INT(((AC34-2*AK34)+MAX(DATOS!$C$67,INDEX(TABLAS!$C$52:$C$58,MATCH(BU34,TABLAS!$B$52:$B$58,0))))/(INDEX(TABLAS!$C$52:$C$58,MATCH(BU34,TABLAS!$B$52:$B$58,0))+MAX(DATOS!$C$67,INDEX(TABLAS!$C$52:$C$58,MATCH(BU34,TABLAS!$B$52:$B$58,0)))))),CD34&gt;MIN(DATOS!$C$70,INT(((DATOS!$C$80-2*AJ34)+MAX(DATOS!$C$67,INDEX(TABLAS!$C$52:$C$58,MATCH(CC34,TABLAS!$B$52:$B$58,0))))/(INDEX(TABLAS!$C$52:$C$58,MATCH(CC34,TABLAS!$B$52:$B$58,0))+MAX(DATOS!$C$67,INDEX(TABLAS!$C$52:$C$58,MATCH(CC34,TABLAS!$B$52:$B$58,0)))))),CL34&gt;MIN(DATOS!$C$70,INT(((DATOS!$C$80-2*AK34)+MAX(DATOS!$C$67,INDEX(TABLAS!$C$52:$C$58,MATCH(CK34,TABLAS!$B$52:$B$58,0))))/(INDEX(TABLAS!$C$52:$C$58,MATCH(CK34,TABLAS!$B$52:$B$58,0))+MAX(DATOS!$C$67,INDEX(TABLAS!$C$52:$C$58,MATCH(CK34,TABLAS!$B$52:$B$58,0)))))))),NOT(OR(AND(ISNUMBER(BR34),BR34&lt;0.005),AND(ISNUMBER(BZ34),BZ34&lt;0.005),AND(ISNUMBER(CH34),CH34&lt;0.005),AND(ISNUMBER(CP34),CP34&lt;0.005))),NOT(LEFT(DT34,2)="NO"),CZ34="CUMPLE",DA34="CUMPLE",LEFT(CT34,2)&lt;&gt;"NO"),IF(LEFT(CT34,6)="CUMPLE","CUMPLE","CUMPLE — "&amp;CT34)&amp;IF(LEFT(BJ34,5)="FUERA"," · fuera de 3.4.2.1 c)","")&amp;IF(LEFT(DF34,2)="NO"," · REVISAR anclaje en borde discontinuo","")&amp;IF(DS34&gt;0," · respaldo: "&amp;DS34&amp;" hilera(s) de b_w "&amp;AC34&amp;" cm",""),IF(AND(MAX(BQ34,BY34,CG34,CO34)&lt;=1,NOT(OR(BN34&gt;MIN(DATOS!$C$70,INT(((AC34-2*AJ34)+MAX(DATOS!$C$67,INDEX(TABLAS!$C$52:$C$58,MATCH(BM34,TABLAS!$B$52:$B$58,0))))/(INDEX(TABLAS!$C$52:$C$58,MATCH(BM34,TABLAS!$B$52:$B$58,0))+MAX(DATOS!$C$67,INDEX(TABLAS!$C$52:$C$58,MATCH(BM34,TABLAS!$B$52:$B$58,0)))))),BV34&gt;MIN(DATOS!$C$70,INT(((AC34-2*AK34)+MAX(DATOS!$C$67,INDEX(TABLAS!$C$52:$C$58,MATCH(BU34,TABLAS!$B$52:$B$58,0))))/(INDEX(TABLAS!$C$52:$C$58,MATCH(BU34,TABLAS!$B$52:$B$58,0))+MAX(DATOS!$C$67,INDEX(TABLAS!$C$52:$C$58,MATCH(BU34,TABLAS!$B$52:$B$58,0)))))),CD34&gt;MIN(DATOS!$C$70,INT(((DATOS!$C$80-2*AJ34)+MAX(DATOS!$C$67,INDEX(TABLAS!$C$52:$C$58,MATCH(CC34,TABLAS!$B$52:$B$58,0))))/(INDEX(TABLAS!$C$52:$C$58,MATCH(CC34,TABLAS!$B$52:$B$58,0))+MAX(DATOS!$C$67,INDEX(TABLAS!$C$52:$C$58,MATCH(CC34,TABLAS!$B$52:$B$58,0)))))),CL34&gt;MIN(DATOS!$C$70,INT(((DATOS!$C$80-2*AK34)+MAX(DATOS!$C$67,INDEX(TABLAS!$C$52:$C$58,MATCH(CK34,TABLAS!$B$52:$B$58,0))))/(INDEX(TABLAS!$C$52:$C$58,MATCH(CK34,TABLAS!$B$52:$B$58,0))+MAX(DATOS!$C$67,INDEX(TABLAS!$C$52:$C$58,MATCH(CK34,TABLAS!$B$52:$B$58,0)))))))),NOT(OR(AND(ISNUMBER(BR34),BR34&lt;0.005),AND(ISNUMBER(BZ34),BZ34&lt;0.005),AND(ISNUMBER(CH34),CH34&lt;0.005),AND(ISNUMBER(CP34),CP34&lt;0.005))),NOT(LEFT(DT34,2)="NO"),CZ34="CALCULAR FLECHA",LEFT(CT34,2)&lt;&gt;"NO"),"REVISAR: calcular flecha (h_eq &lt; h mín.)"&amp;IF(LEFT(BJ34,5)="FUERA"," · fuera de 3.4.2.1 c)","")&amp;IF(LEFT(DF34,2)="NO"," · REVISAR anclaje en borde discontinuo","")&amp;IF(DS34&gt;0," · respaldo: "&amp;DS34&amp;" hilera(s) de b_w "&amp;AC34&amp;" cm",""),"NO CUMPLE: "&amp;IF(MAX(BQ34,BY34,CG34,CO34)&gt;1,"flexión ","")&amp;IF(OR(BN34&gt;MIN(DATOS!$C$70,INT(((AC34-2*AJ34)+MAX(DATOS!$C$67,INDEX(TABLAS!$C$52:$C$58,MATCH(BM34,TABLAS!$B$52:$B$58,0))))/(INDEX(TABLAS!$C$52:$C$58,MATCH(BM34,TABLAS!$B$52:$B$58,0))+MAX(DATOS!$C$67,INDEX(TABLAS!$C$52:$C$58,MATCH(BM34,TABLAS!$B$52:$B$58,0)))))),BV34&gt;MIN(DATOS!$C$70,INT(((AC34-2*AK34)+MAX(DATOS!$C$67,INDEX(TABLAS!$C$52:$C$58,MATCH(BU34,TABLAS!$B$52:$B$58,0))))/(INDEX(TABLAS!$C$52:$C$58,MATCH(BU34,TABLAS!$B$52:$B$58,0))+MAX(DATOS!$C$67,INDEX(TABLAS!$C$52:$C$58,MATCH(BU34,TABLAS!$B$52:$B$58,0)))))),CD34&gt;MIN(DATOS!$C$70,INT(((DATOS!$C$80-2*AJ34)+MAX(DATOS!$C$67,INDEX(TABLAS!$C$52:$C$58,MATCH(CC34,TABLAS!$B$52:$B$58,0))))/(INDEX(TABLAS!$C$52:$C$58,MATCH(CC34,TABLAS!$B$52:$B$58,0))+MAX(DATOS!$C$67,INDEX(TABLAS!$C$52:$C$58,MATCH(CC34,TABLAS!$B$52:$B$58,0)))))),CL34&gt;MIN(DATOS!$C$70,INT(((DATOS!$C$80-2*AK34)+MAX(DATOS!$C$67,INDEX(TABLAS!$C$52:$C$58,MATCH(CK34,TABLAS!$B$52:$B$58,0))))/(INDEX(TABLAS!$C$52:$C$58,MATCH(CK34,TABLAS!$B$52:$B$58,0))+MAX(DATOS!$C$67,INDEX(TABLAS!$C$52:$C$58,MATCH(CK34,TABLAS!$B$52:$B$58,0))))))),"no caben ","")&amp;IF(OR(AND(ISNUMBER(BR34),BR34&lt;0.005),AND(ISNUMBER(BZ34),BZ34&lt;0.005),AND(ISNUMBER(CH34),CH34&lt;0.005),AND(ISNUMBER(CP34),CP34&lt;0.005)),"ε_t &lt; 0.005 ","")&amp;IF(LEFT(CT34,2)="NO","cortante ","")&amp;IF(CZ34="NO CUMPLE","peralte ","")&amp;IF(DA34&lt;&gt;"CUMPLE","capa &lt; 6 cm ","")&amp;IF(LEFT(DT34,2)="NO","respaldo del volado","")))))))</f>
        <v/>
      </c>
      <c r="DZ34" s="70" t="str">
        <f>IF(U34&lt;&gt;"SÍ","",IF(LEFT(B34,7)="EJEMPLO","EJEMPLO de la hoja de Casa Rocha: bórralo o sobrescríbelo. ","")&amp;IF(AND(C34="PERIMETRAL",MIN(DG34,DH34)=0),"No cabe un casetón en el claro corto: es un tablero macizo, diséñalo en MACIZAS. ","")&amp;IF(AND(AI34="NO",C34="PERIMETRAL"),"No cumple 6.7.8.1.4 (a_c = "&amp;MAX(DATOS!$C$78,AD34)&amp;" cm &gt; claro corto/6 = "&amp;TEXT(X34*100/6,"0")&amp;" cm): se diseña como losa apoyada en vigas (6.7.8.1.9): r de viga = "&amp;DATOS!$C$60&amp;" cm y V_cR sin ×1.1. Para que cuente como encasetonada: casetón de "&amp;TEXT(FLOOR(MIN(80,X34*100/6),1),"0")&amp;" cm o menor. ","")&amp;IF(C34="VOLADO","Volado de "&amp;TEXT(X34,"0.00")&amp;" m empotrado en el borde "&amp;LOWER(V34)&amp;IF(N(O34)&gt;0,", con "&amp;TEXT(O34,"0.0")&amp;" kg/m en la orilla","")&amp;". Lecho inferior con r_ext. Si la orilla carga pretil u otro elemento frágil, calcula la flecha (13.4). El acero superior entra al respaldo de "&amp;TEXT(IF(ISNUMBER(P34),P34,X34),"0.00")&amp;" m"&amp;IF(ISNUMBER(P34),""," (L_b no capturado: se tomó igual al volado)")&amp;" hasta pasar M = 0 con 0.9·PP sin carga viva; si ahí no se anula, llega al apoyo lejano y se ancla con gancho (NTC-Criterios 3.4.1 c y 5.1.2.2). "&amp;IF(AC34&gt;DATOS!$C$80,"Respaldo: "&amp;DT34&amp;". ",""),"")&amp;IF(LEFT(BJ34,5)="FUERA","El M⁻ del vecino difiere más de 50 % (3.4.2.1 c): distribuye el desequilibrio (3.4.3.1) o confirma con un modelo; se arma con el mayor. ","")&amp;IF(OR(DD34="SÍ",DE34="SÍ"),"El M⁻ del borde discontinuo pide bastón también ahí (con gancho). ","")&amp;IF(LEFT(DF34,2)="NO","Anclaje: "&amp;DF34&amp;" (6.7.8.1.7). ","")&amp;IF(OR(AZ34&gt;0,BA34&gt;0),"Esquinas exteriores sobre muro: refuerzo de esquina arriba y abajo en L_largo/5 (6.7.7.3.1). ",""))</f>
        <v/>
      </c>
    </row>
    <row r="35" ht="33" customHeight="1">
      <c r="A35" s="50">
        <f>IF(B35="",0,1)+A34</f>
        <v>4</v>
      </c>
      <c r="B35" s="29" t="n"/>
      <c r="C35" s="51" t="n"/>
      <c r="D35" s="29" t="n"/>
      <c r="E35" s="52" t="n"/>
      <c r="F35" s="52" t="n"/>
      <c r="G35" s="51" t="n"/>
      <c r="H35" s="51" t="n"/>
      <c r="I35" s="51" t="n"/>
      <c r="J35" s="51" t="n"/>
      <c r="K35" s="51" t="n"/>
      <c r="L35" s="51" t="n"/>
      <c r="M35" s="53" t="n"/>
      <c r="N35" s="53" t="n"/>
      <c r="O35" s="54" t="n"/>
      <c r="P35" s="52" t="n"/>
      <c r="Q35" s="53" t="n"/>
      <c r="R35" s="54" t="n"/>
      <c r="S35" s="52" t="n"/>
      <c r="T35" s="52" t="n"/>
      <c r="U35" s="55" t="str">
        <f>IF(B35="","",IF(AND(OR(C35="PERIMETRAL",C35="VOLADO"),ISNUMBER(E35),ISNUMBER(F35),E35&gt;0,F35&gt;0,OR(ISNUMBER(N35),ISNUMBER(MATCH(D35,DATOS!$B$46:$B$55,0)))),"SÍ","NO"))</f>
        <v/>
      </c>
      <c r="V35" s="55" t="str">
        <f>IF(U35&lt;&gt;"SÍ","",IF(C35&lt;&gt;"VOLADO","—",IF(COUNTIF(G35:J35,"CONTINUO")&lt;&gt;1,"?",IF(G35="CONTINUO","INFERIOR",IF(H35="CONTINUO","SUPERIOR",IF(I35="CONTINUO","IZQUIERDO","DERECHO"))))))</f>
        <v/>
      </c>
      <c r="W35" s="55" t="str">
        <f>IF(U35&lt;&gt;"SÍ","",IF(C35="VOLADO",IF(OR(V35="IZQUIERDO",V35="DERECHO"),"X","Y"),IF(E35&lt;=F35,"X","Y")))</f>
        <v/>
      </c>
      <c r="X35" s="56" t="str">
        <f>IF(U35&lt;&gt;"SÍ","",IF(C35="VOLADO",IF(W35="X",E35,F35),MIN(E35,F35)))</f>
        <v/>
      </c>
      <c r="Y35" s="56" t="str">
        <f>IF(U35&lt;&gt;"SÍ","",IF(C35="VOLADO",IF(W35="X",F35,E35),MAX(E35,F35)))</f>
        <v/>
      </c>
      <c r="Z35" s="56" t="str">
        <f>IF(U35&lt;&gt;"SÍ","",MIN(X35,Y35)/MAX(X35,Y35))</f>
        <v/>
      </c>
      <c r="AA35" s="57" t="str">
        <f>IF(U35&lt;&gt;"SÍ","",MAX(1,X35*100-IF(C35="VOLADO",DATOS!$C$84/2,DATOS!$C$84)))</f>
        <v/>
      </c>
      <c r="AB35" s="57" t="str">
        <f>IF(U35&lt;&gt;"SÍ","",MAX(1,Y35*100-DATOS!$C$84))</f>
        <v/>
      </c>
      <c r="AC35" s="57" t="str">
        <f>IF(U35&lt;&gt;"SÍ","",IF(ISNUMBER(Q35),Q35,DATOS!$C$80))</f>
        <v/>
      </c>
      <c r="AD35" s="57" t="str">
        <f>IF(U35&lt;&gt;"SÍ","",MAX(0,DATOS!$C$83-AC35))</f>
        <v/>
      </c>
      <c r="AE35" s="57" t="str">
        <f>IF(U35&lt;&gt;"SÍ","",IF(OR(DATOS!$C$62="SÍ",AC35&gt;=20),AC35,AC35-2))</f>
        <v/>
      </c>
      <c r="AF35" s="57" t="str">
        <f>IF(U35&lt;&gt;"SÍ","",IF(OR(DATOS!$C$62="SÍ",DATOS!$C$80&gt;=20),DATOS!$C$80,DATOS!$C$80-2))</f>
        <v/>
      </c>
      <c r="AG35" s="57" t="str">
        <f>IF(U35&lt;&gt;"SÍ","",MIN(DATOS!$C$83,AC35+2*MIN(8*DATOS!$C$81,AD35/2,AA35/8)))</f>
        <v/>
      </c>
      <c r="AH35" s="57" t="str">
        <f>IF(U35&lt;&gt;"SÍ","",MIN(DATOS!$C$83,DATOS!$C$80+2*MIN(8*DATOS!$C$81,DATOS!$C$78/2,AB35/8)))</f>
        <v/>
      </c>
      <c r="AI35" s="55" t="str">
        <f>IF(U35&lt;&gt;"SÍ","",IF(AND(C35="PERIMETRAL",X35*100&gt;=6*MAX(DATOS!$C$78,AD35),MAX(DATOS!$C$78,AD35)&lt;=80,MIN(DATOS!$C$80,AC35)&gt;=10,DATOS!$C$82&lt;=3.5*MIN(DATOS!$C$80,AC35),DATOS!$C$81&gt;=MAX(MAX(DATOS!$C$78,AD35)/13,5)),"SÍ","NO"))</f>
        <v/>
      </c>
      <c r="AJ35" s="57" t="str">
        <f>IF(U35&lt;&gt;"SÍ","",IF(C35="VOLADO",DATOS!$C$61,IF(AI35="NO",DATOS!$C$60,DATOS!$C$59)))</f>
        <v/>
      </c>
      <c r="AK35" s="57" t="str">
        <f>IF(U35&lt;&gt;"SÍ","",IF(OR(AND(AM35="SÍ",DATOS!$C$63="SÍ"),AND(C35="VOLADO",DATOS!$C$64="SÍ")),DATOS!$C$61,IF(AI35="NO",DATOS!$C$60,DATOS!$C$59)))</f>
        <v/>
      </c>
      <c r="AL35" s="58" t="str">
        <f>IF(U35&lt;&gt;"SÍ","",MAX(AK35,(DATOS!$C$81-2*DATOS!$C$94)/2))</f>
        <v/>
      </c>
      <c r="AM35" s="55" t="str">
        <f>IF(U35&lt;&gt;"SÍ","",IFERROR(INDEX(DATOS!$D$46:$D$55,MATCH(D35,DATOS!$B$46:$B$55,0)),"NO"))</f>
        <v/>
      </c>
      <c r="AN35" s="59" t="str">
        <f>IF(U35&lt;&gt;"SÍ","",IF(ISNUMBER(N35),N35,IFERROR(INDEX(DATOS!$C$46:$C$55,MATCH(D35,DATOS!$B$46:$B$55,0)),0)))</f>
        <v/>
      </c>
      <c r="AO35" s="59" t="str">
        <f>IF(U35&lt;&gt;"SÍ","",(DATOS!$C$82/100-(AD35*DATOS!$C$78/DATOS!$C$83^2)*DATOS!$C$79/100)*DATOS!$C$16*1000+(AD35*DATOS!$C$78/DATOS!$C$83^2)*DATOS!$C$79/100*DATOS!$C$17*1000+DATOS!$C$37+DATOS!$C$38)</f>
        <v/>
      </c>
      <c r="AP35" s="59" t="str">
        <f>IF(U35&lt;&gt;"SÍ","",AO35+N(M35))</f>
        <v/>
      </c>
      <c r="AQ35" s="60" t="str">
        <f>IF(U35&lt;&gt;"SÍ","",MAX(DATOS!$C$26*AP35+DATOS!$C$27*AN35,IF(AM35="SÍ",DATOS!$C$28*(AP35+DATOS!$C$41),0)))</f>
        <v/>
      </c>
      <c r="AR35" s="59" t="str">
        <f>IF(U35&lt;&gt;"SÍ","",(G35="DISCONTINUO")+(H35="DISCONTINUO")+(I35="DISCONTINUO")+(J35="DISCONTINUO"))</f>
        <v/>
      </c>
      <c r="AS35" s="59" t="str">
        <f>IF(U35&lt;&gt;"SÍ","",IF(W35="X",(G35="DISCONTINUO")+(H35="DISCONTINUO"),(I35="DISCONTINUO")+(J35="DISCONTINUO")))</f>
        <v/>
      </c>
      <c r="AT35" s="55" t="str">
        <f>IF(U35&lt;&gt;"SÍ","",IF(AR35=0,"INTERIOR",IF(AR35=1,IF(AS35=1,"BORDE-CORTO","BORDE-LARGO"),IF(AR35=2,IF(AS35=1,"ESQUINA",IF(AS35=2,"EXTREMO-LARGO","EXTREMO-CORTO")),IF(AR35=3,IF(AS35=2,"EXTREMO-LARGO","EXTREMO-CORTO"),"AISLADO")))))</f>
        <v/>
      </c>
      <c r="AU35" s="61" t="str">
        <f>IF(U35&lt;&gt;"SÍ","",IF(OR(K35="",K35="AUTO"),AT35,K35))</f>
        <v/>
      </c>
      <c r="AV35" s="59" t="str">
        <f>IF(U35&lt;&gt;"SÍ","",MATCH(Z35,TABLAS!$D$5:$J$5,1))</f>
        <v/>
      </c>
      <c r="AW35" s="58" t="str">
        <f>IF(U35&lt;&gt;"SÍ","",IF(AV35&gt;=7,0,(Z35-INDEX(TABLAS!$D$5:$J$5,AV35))/(INDEX(TABLAS!$D$5:$J$5,AV35+1)-INDEX(TABLAS!$D$5:$J$5,AV35))))</f>
        <v/>
      </c>
      <c r="AX35" s="59" t="str">
        <f>IF(U35&lt;&gt;"SÍ","",INDEX(TABLAS!$D$6:$J$47,MATCH(AU35&amp;"|NIC",TABLAS!$B$6:$B$47,0),AV35)+AW35*(INDEX(TABLAS!$D$6:$J$47,MATCH(AU35&amp;"|NIC",TABLAS!$B$6:$B$47,0),MIN(AV35+1,7))-INDEX(TABLAS!$D$6:$J$47,MATCH(AU35&amp;"|NIC",TABLAS!$B$6:$B$47,0),AV35)))</f>
        <v/>
      </c>
      <c r="AY35" s="59" t="str">
        <f>IF(U35&lt;&gt;"SÍ","",INDEX(TABLAS!$D$6:$J$47,MATCH(AU35&amp;"|NIL",TABLAS!$B$6:$B$47,0),AV35)+AW35*(INDEX(TABLAS!$D$6:$J$47,MATCH(AU35&amp;"|NIL",TABLAS!$B$6:$B$47,0),MIN(AV35+1,7))-INDEX(TABLAS!$D$6:$J$47,MATCH(AU35&amp;"|NIL",TABLAS!$B$6:$B$47,0),AV35)))</f>
        <v/>
      </c>
      <c r="AZ35" s="59" t="str">
        <f>IF(U35&lt;&gt;"SÍ","",INDEX(TABLAS!$D$6:$J$47,MATCH(AU35&amp;"|NDC",TABLAS!$B$6:$B$47,0),AV35)+AW35*(INDEX(TABLAS!$D$6:$J$47,MATCH(AU35&amp;"|NDC",TABLAS!$B$6:$B$47,0),MIN(AV35+1,7))-INDEX(TABLAS!$D$6:$J$47,MATCH(AU35&amp;"|NDC",TABLAS!$B$6:$B$47,0),AV35)))</f>
        <v/>
      </c>
      <c r="BA35" s="59" t="str">
        <f>IF(U35&lt;&gt;"SÍ","",INDEX(TABLAS!$D$6:$J$47,MATCH(AU35&amp;"|NDL",TABLAS!$B$6:$B$47,0),AV35)+AW35*(INDEX(TABLAS!$D$6:$J$47,MATCH(AU35&amp;"|NDL",TABLAS!$B$6:$B$47,0),MIN(AV35+1,7))-INDEX(TABLAS!$D$6:$J$47,MATCH(AU35&amp;"|NDL",TABLAS!$B$6:$B$47,0),AV35)))</f>
        <v/>
      </c>
      <c r="BB35" s="59" t="str">
        <f>IF(U35&lt;&gt;"SÍ","",INDEX(TABLAS!$D$6:$J$47,MATCH(AU35&amp;"|PC",TABLAS!$B$6:$B$47,0),AV35)+AW35*(INDEX(TABLAS!$D$6:$J$47,MATCH(AU35&amp;"|PC",TABLAS!$B$6:$B$47,0),MIN(AV35+1,7))-INDEX(TABLAS!$D$6:$J$47,MATCH(AU35&amp;"|PC",TABLAS!$B$6:$B$47,0),AV35)))</f>
        <v/>
      </c>
      <c r="BC35" s="59" t="str">
        <f>IF(U35&lt;&gt;"SÍ","",INDEX(TABLAS!$D$6:$J$47,MATCH(AU35&amp;"|PL",TABLAS!$B$6:$B$47,0),AV35)+AW35*(INDEX(TABLAS!$D$6:$J$47,MATCH(AU35&amp;"|PL",TABLAS!$B$6:$B$47,0),MIN(AV35+1,7))-INDEX(TABLAS!$D$6:$J$47,MATCH(AU35&amp;"|PL",TABLAS!$B$6:$B$47,0),AV35)))</f>
        <v/>
      </c>
      <c r="BD35" s="56" t="str">
        <f>IF(U35&lt;&gt;"SÍ","",IF(C35&lt;&gt;"VOLADO",0,DATOS!$C$26*DATOS!$C$16*DATOS!$C$83/100*(((AD35*DATOS!$C$78/DATOS!$C$83^2)*DATOS!$C$79/100)*(IF(W35="X",DI35,DJ35)+DATOS!$C$84/2)/100*(AA35-(IF(W35="X",DI35,DJ35)+DATOS!$C$84/2)/2)/100+((AD35*DATOS!$C$78/DATOS!$C$83^2)*DATOS!$C$79/100)*IF(W35="X",DI35,DJ35)/100*IF(W35="X",DI35,DJ35)/200)))</f>
        <v/>
      </c>
      <c r="BE35" s="56" t="str">
        <f>IF(U35&lt;&gt;"SÍ","",IF(C35&lt;&gt;"VOLADO",0,DATOS!$C$26*DATOS!$C$16*DATOS!$C$83/100*((AD35*DATOS!$C$78/DATOS!$C$83^2)*DATOS!$C$79/100)*(IF(W35="X",DI35,DJ35)+DATOS!$C$84/2)/100))</f>
        <v/>
      </c>
      <c r="BF35" s="56" t="str">
        <f>IF(U35&lt;&gt;"SÍ","",IF(C35="PERIMETRAL",BB35*AQ35*X35^2*1E-4*DATOS!$C$83/100/1000,0))</f>
        <v/>
      </c>
      <c r="BG35" s="62" t="str">
        <f>IF(U35&lt;&gt;"SÍ","",IF(C35="PERIMETRAL",MAX(MAX(AX35,AZ35)*AQ35*X35^2*1E-4*DATOS!$C$83/100/1000,N(S35)),(AQ35*(AA35/100)^2/2+DATOS!$C$26*N(O35)*AA35/100)*DATOS!$C$83/100/1000+BD35))</f>
        <v/>
      </c>
      <c r="BH35" s="56" t="str">
        <f>IF(U35&lt;&gt;"SÍ","",IF(C35="PERIMETRAL",BC35*AQ35*X35^2*1E-4*DATOS!$C$83/100/1000,0))</f>
        <v/>
      </c>
      <c r="BI35" s="56" t="str">
        <f>IF(U35&lt;&gt;"SÍ","",IF(C35="PERIMETRAL",MAX(MAX(AY35,BA35)*AQ35*X35^2*1E-4*DATOS!$C$83/100/1000,N(T35)),0))</f>
        <v/>
      </c>
      <c r="BJ35" s="63" t="str">
        <f>IF(U35&lt;&gt;"SÍ","",IF(C35&lt;&gt;"PERIMETRAL","—",IF(AND(N(S35)=0,N(T35)=0),"— (sin M⁻ del vecino)",IF(OR(AND(N(S35)&gt;0,ABS(MAX(AX35,AZ35)*AQ35*X35^2*1E-4*DATOS!$C$83/100/1000-N(S35))&gt;0.5*MIN(MAX(AX35,AZ35)*AQ35*X35^2*1E-4*DATOS!$C$83/100/1000,N(S35))),AND(N(T35)&gt;0,ABS(MAX(AY35,BA35)*AQ35*X35^2*1E-4*DATOS!$C$83/100/1000-N(T35))&gt;0.5*MIN(MAX(AY35,BA35)*AQ35*X35^2*1E-4*DATOS!$C$83/100/1000,N(T35)))),"FUERA: difieren &gt; 50 %"&amp;IF(AND(N(S35)&gt;0,ABS(MAX(AX35,AZ35)*AQ35*X35^2*1E-4*DATOS!$C$83/100/1000-N(S35))&gt;0.5*MIN(MAX(AX35,AZ35)*AQ35*X35^2*1E-4*DATOS!$C$83/100/1000,N(S35)))," ‖ corto","")&amp;IF(AND(N(T35)&gt;0,ABS(MAX(AY35,BA35)*AQ35*X35^2*1E-4*DATOS!$C$83/100/1000-N(T35))&gt;0.5*MIN(MAX(AY35,BA35)*AQ35*X35^2*1E-4*DATOS!$C$83/100/1000,N(T35)))," ‖ largo",""),"CUMPLE"))))</f>
        <v/>
      </c>
      <c r="BK35" s="58" t="str">
        <f>IF(U35&lt;&gt;"SÍ","",(DATOS!$C$82-AJ35-INDEX(TABLAS!$C$52:$C$58,MATCH(DATOS!$C$68,TABLAS!$B$52:$B$58,0))/2))</f>
        <v/>
      </c>
      <c r="BL35" s="58" t="str">
        <f>IF(U35&lt;&gt;"SÍ","",IF(IF(BF35&lt;=0,0,IF((1-2*BF35*1E5/(DATOS!$C$29*AG35*BK35^2*DATOS!$C$21))&lt;0,-1,IF((1-SQRT((1-2*BF35*1E5/(DATOS!$C$29*AG35*BK35^2*DATOS!$C$21))))*DATOS!$C$21*AG35*BK35/DATOS!$C$14&gt;DATOS!$C$99*AG35*BK35,-1,(1-SQRT((1-2*BF35*1E5/(DATOS!$C$29*AG35*BK35^2*DATOS!$C$21))))*DATOS!$C$21*AG35*BK35/DATOS!$C$14)))&lt;0,-1,MAX(IF(BF35&lt;=0,0,IF((1-2*BF35*1E5/(DATOS!$C$29*AG35*BK35^2*DATOS!$C$21))&lt;0,-1,IF((1-SQRT((1-2*BF35*1E5/(DATOS!$C$29*AG35*BK35^2*DATOS!$C$21))))*DATOS!$C$21*AG35*BK35/DATOS!$C$14&gt;DATOS!$C$99*AG35*BK35,-1,(1-SQRT((1-2*BF35*1E5/(DATOS!$C$29*AG35*BK35^2*DATOS!$C$21))))*DATOS!$C$21*AG35*BK35/DATOS!$C$14))),MIN(DATOS!$C$100*AC35*BK35,4/3*IF(BF35&lt;=0,0,IF((1-2*BF35*1E5/(DATOS!$C$29*AG35*BK35^2*DATOS!$C$21))&lt;0,-1,IF((1-SQRT((1-2*BF35*1E5/(DATOS!$C$29*AG35*BK35^2*DATOS!$C$21))))*DATOS!$C$21*AG35*BK35/DATOS!$C$14&gt;DATOS!$C$99*AG35*BK35,-1,(1-SQRT((1-2*BF35*1E5/(DATOS!$C$29*AG35*BK35^2*DATOS!$C$21))))*DATOS!$C$21*AG35*BK35/DATOS!$C$14)))))))</f>
        <v/>
      </c>
      <c r="BM35" s="64" t="str">
        <f>IF(U35&lt;&gt;"SÍ","",IF(AND(BL35&gt;=0,IF(MAX(DATOS!$C$71,CEILING(BL35/INDEX(TABLAS!$D$52:$D$58,MIN(MATCH(DATOS!$C$68,TABLAS!$B$52:$B$58,0)+0,7)),1))*INDEX(TABLAS!$D$52:$D$58,MIN(MATCH(DATOS!$C$68,TABLAS!$B$52:$B$58,0)+0,7))&gt;=4/3*IF(BF35&lt;=0,0,IF((1-2*BF35*1E5/(DATOS!$C$29*AG35*BK35^2*DATOS!$C$21))&lt;0,-1,IF((1-SQRT((1-2*BF35*1E5/(DATOS!$C$29*AG35*BK35^2*DATOS!$C$21))))*DATOS!$C$21*AG35*BK35/DATOS!$C$14&gt;DATOS!$C$99*AG35*BK35,-1,(1-SQRT((1-2*BF35*1E5/(DATOS!$C$29*AG35*BK35^2*DATOS!$C$21))))*DATOS!$C$21*AG35*BK35/DATOS!$C$14)))-0.0001,MAX(DATOS!$C$71,CEILING(BL35/INDEX(TABLAS!$D$52:$D$58,MIN(MATCH(DATOS!$C$68,TABLAS!$B$52:$B$58,0)+0,7)),1)),MAX(MAX(DATOS!$C$71,CEILING(BL35/INDEX(TABLAS!$D$52:$D$58,MIN(MATCH(DATOS!$C$68,TABLAS!$B$52:$B$58,0)+0,7)),1)),2))&lt;=MIN(DATOS!$C$70,INT(((AC35-2*AJ35)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35&gt;=0,IF(MAX(DATOS!$C$71,CEILING(BL35/INDEX(TABLAS!$D$52:$D$58,MIN(MATCH(DATOS!$C$68,TABLAS!$B$52:$B$58,0)+1,7)),1))*INDEX(TABLAS!$D$52:$D$58,MIN(MATCH(DATOS!$C$68,TABLAS!$B$52:$B$58,0)+1,7))&gt;=4/3*IF(BF35&lt;=0,0,IF((1-2*BF35*1E5/(DATOS!$C$29*AG35*BK35^2*DATOS!$C$21))&lt;0,-1,IF((1-SQRT((1-2*BF35*1E5/(DATOS!$C$29*AG35*BK35^2*DATOS!$C$21))))*DATOS!$C$21*AG35*BK35/DATOS!$C$14&gt;DATOS!$C$99*AG35*BK35,-1,(1-SQRT((1-2*BF35*1E5/(DATOS!$C$29*AG35*BK35^2*DATOS!$C$21))))*DATOS!$C$21*AG35*BK35/DATOS!$C$14)))-0.0001,MAX(DATOS!$C$71,CEILING(BL35/INDEX(TABLAS!$D$52:$D$58,MIN(MATCH(DATOS!$C$68,TABLAS!$B$52:$B$58,0)+1,7)),1)),MAX(MAX(DATOS!$C$71,CEILING(BL35/INDEX(TABLAS!$D$52:$D$58,MIN(MATCH(DATOS!$C$68,TABLAS!$B$52:$B$58,0)+1,7)),1)),2))&lt;=MIN(DATOS!$C$70,INT(((AC35-2*AJ35)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35&gt;=0,IF(MAX(DATOS!$C$71,CEILING(BL35/INDEX(TABLAS!$D$52:$D$58,MIN(MATCH(DATOS!$C$68,TABLAS!$B$52:$B$58,0)+2,7)),1))*INDEX(TABLAS!$D$52:$D$58,MIN(MATCH(DATOS!$C$68,TABLAS!$B$52:$B$58,0)+2,7))&gt;=4/3*IF(BF35&lt;=0,0,IF((1-2*BF35*1E5/(DATOS!$C$29*AG35*BK35^2*DATOS!$C$21))&lt;0,-1,IF((1-SQRT((1-2*BF35*1E5/(DATOS!$C$29*AG35*BK35^2*DATOS!$C$21))))*DATOS!$C$21*AG35*BK35/DATOS!$C$14&gt;DATOS!$C$99*AG35*BK35,-1,(1-SQRT((1-2*BF35*1E5/(DATOS!$C$29*AG35*BK35^2*DATOS!$C$21))))*DATOS!$C$21*AG35*BK35/DATOS!$C$14)))-0.0001,MAX(DATOS!$C$71,CEILING(BL35/INDEX(TABLAS!$D$52:$D$58,MIN(MATCH(DATOS!$C$68,TABLAS!$B$52:$B$58,0)+2,7)),1)),MAX(MAX(DATOS!$C$71,CEILING(BL35/INDEX(TABLAS!$D$52:$D$58,MIN(MATCH(DATOS!$C$68,TABLAS!$B$52:$B$58,0)+2,7)),1)),2))&lt;=MIN(DATOS!$C$70,INT(((AC35-2*AJ35)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35&gt;=0,IF(MAX(DATOS!$C$71,CEILING(BL35/INDEX(TABLAS!$D$52:$D$58,MIN(MATCH(DATOS!$C$68,TABLAS!$B$52:$B$58,0)+3,7)),1))*INDEX(TABLAS!$D$52:$D$58,MIN(MATCH(DATOS!$C$68,TABLAS!$B$52:$B$58,0)+3,7))&gt;=4/3*IF(BF35&lt;=0,0,IF((1-2*BF35*1E5/(DATOS!$C$29*AG35*BK35^2*DATOS!$C$21))&lt;0,-1,IF((1-SQRT((1-2*BF35*1E5/(DATOS!$C$29*AG35*BK35^2*DATOS!$C$21))))*DATOS!$C$21*AG35*BK35/DATOS!$C$14&gt;DATOS!$C$99*AG35*BK35,-1,(1-SQRT((1-2*BF35*1E5/(DATOS!$C$29*AG35*BK35^2*DATOS!$C$21))))*DATOS!$C$21*AG35*BK35/DATOS!$C$14)))-0.0001,MAX(DATOS!$C$71,CEILING(BL35/INDEX(TABLAS!$D$52:$D$58,MIN(MATCH(DATOS!$C$68,TABLAS!$B$52:$B$58,0)+3,7)),1)),MAX(MAX(DATOS!$C$71,CEILING(BL35/INDEX(TABLAS!$D$52:$D$58,MIN(MATCH(DATOS!$C$68,TABLAS!$B$52:$B$58,0)+3,7)),1)),2))&lt;=MIN(DATOS!$C$70,INT(((AC35-2*AJ35)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35&gt;=0,IF(MAX(DATOS!$C$71,CEILING(BL35/INDEX(TABLAS!$D$52:$D$58,MIN(MATCH(DATOS!$C$68,TABLAS!$B$52:$B$58,0)+4,7)),1))*INDEX(TABLAS!$D$52:$D$58,MIN(MATCH(DATOS!$C$68,TABLAS!$B$52:$B$58,0)+4,7))&gt;=4/3*IF(BF35&lt;=0,0,IF((1-2*BF35*1E5/(DATOS!$C$29*AG35*BK35^2*DATOS!$C$21))&lt;0,-1,IF((1-SQRT((1-2*BF35*1E5/(DATOS!$C$29*AG35*BK35^2*DATOS!$C$21))))*DATOS!$C$21*AG35*BK35/DATOS!$C$14&gt;DATOS!$C$99*AG35*BK35,-1,(1-SQRT((1-2*BF35*1E5/(DATOS!$C$29*AG35*BK35^2*DATOS!$C$21))))*DATOS!$C$21*AG35*BK35/DATOS!$C$14)))-0.0001,MAX(DATOS!$C$71,CEILING(BL35/INDEX(TABLAS!$D$52:$D$58,MIN(MATCH(DATOS!$C$68,TABLAS!$B$52:$B$58,0)+4,7)),1)),MAX(MAX(DATOS!$C$71,CEILING(BL35/INDEX(TABLAS!$D$52:$D$58,MIN(MATCH(DATOS!$C$68,TABLAS!$B$52:$B$58,0)+4,7)),1)),2))&lt;=MIN(DATOS!$C$70,INT(((AC35-2*AJ35)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35" s="59" t="str">
        <f>IF(U35&lt;&gt;"SÍ","",IF(BL35&lt;0,0,IF(MAX(DATOS!$C$71,CEILING(MAX(BL35,0)/INDEX(TABLAS!$D$52:$D$58,MATCH(BM35,TABLAS!$B$52:$B$58,0)),1))*INDEX(TABLAS!$D$52:$D$58,MATCH(BM35,TABLAS!$B$52:$B$58,0))&gt;=4/3*IF(BF35&lt;=0,0,IF((1-2*BF35*1E5/(DATOS!$C$29*AG35*BK35^2*DATOS!$C$21))&lt;0,-1,IF((1-SQRT((1-2*BF35*1E5/(DATOS!$C$29*AG35*BK35^2*DATOS!$C$21))))*DATOS!$C$21*AG35*BK35/DATOS!$C$14&gt;DATOS!$C$99*AG35*BK35,-1,(1-SQRT((1-2*BF35*1E5/(DATOS!$C$29*AG35*BK35^2*DATOS!$C$21))))*DATOS!$C$21*AG35*BK35/DATOS!$C$14)))-0.0001,MAX(DATOS!$C$71,CEILING(MAX(BL35,0)/INDEX(TABLAS!$D$52:$D$58,MATCH(BM35,TABLAS!$B$52:$B$58,0)),1)),MAX(MAX(DATOS!$C$71,CEILING(MAX(BL35,0)/INDEX(TABLAS!$D$52:$D$58,MATCH(BM35,TABLAS!$B$52:$B$58,0)),1)),2))))</f>
        <v/>
      </c>
      <c r="BO35" s="58" t="str">
        <f>IF(U35&lt;&gt;"SÍ","",DATOS!$C$82-AJ35-INDEX(TABLAS!$C$52:$C$58,MATCH(BM35,TABLAS!$B$52:$B$58,0))/2)</f>
        <v/>
      </c>
      <c r="BP35" s="56" t="str">
        <f>IF(U35&lt;&gt;"SÍ","",IF(BN35=0,0,DATOS!$C$29*BN35*INDEX(TABLAS!$D$52:$D$58,MATCH(BM35,TABLAS!$B$52:$B$58,0))*DATOS!$C$14*(BO35-BN35*INDEX(TABLAS!$D$52:$D$58,MATCH(BM35,TABLAS!$B$52:$B$58,0))*DATOS!$C$14/(DATOS!$C$21*AG35)/2)/1E5))</f>
        <v/>
      </c>
      <c r="BQ35" s="65" t="str">
        <f>IF(U35&lt;&gt;"SÍ","",IF(BL35&lt;0,9.99,IF(BP35&gt;0,BF35/BP35,0)))</f>
        <v/>
      </c>
      <c r="BR35" s="66" t="str">
        <f>IF(U35&lt;&gt;"SÍ","",IF(BN35=0,"—",0.003*(BO35-(BN35*INDEX(TABLAS!$D$52:$D$58,MATCH(BM35,TABLAS!$B$52:$B$58,0))*DATOS!$C$14/(DATOS!$C$21*AG35)/DATOS!$C$22))/(BN35*INDEX(TABLAS!$D$52:$D$58,MATCH(BM35,TABLAS!$B$52:$B$58,0))*DATOS!$C$14/(DATOS!$C$21*AG35)/DATOS!$C$22)))</f>
        <v/>
      </c>
      <c r="BS35" s="58" t="str">
        <f>IF(U35&lt;&gt;"SÍ","",((DATOS!$C$82-AL35-2*DATOS!$C$94-INDEX(TABLAS!$C$52:$C$58,MATCH(DATOS!$C$69,TABLAS!$B$52:$B$58,0))/2)-IF(AND((DATOS!$C$82-AL35-2*DATOS!$C$94-INDEX(TABLAS!$C$52:$C$58,MATCH(DATOS!$C$69,TABLAS!$B$52:$B$58,0))/2)&lt;=20,DATOS!$C$62&lt;&gt;"SÍ"),2,0)))</f>
        <v/>
      </c>
      <c r="BT35" s="58" t="str">
        <f>IF(U35&lt;&gt;"SÍ","",IF(IF(BG35&lt;=0,0,IF((1-2*BG35*1E5/(DATOS!$C$29*AE35*BS35^2*DATOS!$C$21))&lt;0,-1,IF((1-SQRT((1-2*BG35*1E5/(DATOS!$C$29*AE35*BS35^2*DATOS!$C$21))))*DATOS!$C$21*AE35*BS35/DATOS!$C$14&gt;DATOS!$C$99*AE35*BS35,-1,(1-SQRT((1-2*BG35*1E5/(DATOS!$C$29*AE35*BS35^2*DATOS!$C$21))))*DATOS!$C$21*AE35*BS35/DATOS!$C$14)))&lt;0,-1,MAX(IF(BG35&lt;=0,0,IF((1-2*BG35*1E5/(DATOS!$C$29*AE35*BS35^2*DATOS!$C$21))&lt;0,-1,IF((1-SQRT((1-2*BG35*1E5/(DATOS!$C$29*AE35*BS35^2*DATOS!$C$21))))*DATOS!$C$21*AE35*BS35/DATOS!$C$14&gt;DATOS!$C$99*AE35*BS35,-1,(1-SQRT((1-2*BG35*1E5/(DATOS!$C$29*AE35*BS35^2*DATOS!$C$21))))*DATOS!$C$21*AE35*BS35/DATOS!$C$14))),MIN(DATOS!$C$100*IF(C35="VOLADO",MIN(AG35,2*AC35),AC35)*BS35,4/3*IF(BG35&lt;=0,0,IF((1-2*BG35*1E5/(DATOS!$C$29*AE35*BS35^2*DATOS!$C$21))&lt;0,-1,IF((1-SQRT((1-2*BG35*1E5/(DATOS!$C$29*AE35*BS35^2*DATOS!$C$21))))*DATOS!$C$21*AE35*BS35/DATOS!$C$14&gt;DATOS!$C$99*AE35*BS35,-1,(1-SQRT((1-2*BG35*1E5/(DATOS!$C$29*AE35*BS35^2*DATOS!$C$21))))*DATOS!$C$21*AE35*BS35/DATOS!$C$14)))))))</f>
        <v/>
      </c>
      <c r="BU35" s="64" t="str">
        <f>IF(U35&lt;&gt;"SÍ","",IF(AND(BT35&gt;=0,IF(MAX(DATOS!$C$71,CEILING(BT35/INDEX(TABLAS!$D$52:$D$58,MIN(MATCH(DATOS!$C$69,TABLAS!$B$52:$B$58,0)+0,7)),1))*INDEX(TABLAS!$D$52:$D$58,MIN(MATCH(DATOS!$C$69,TABLAS!$B$52:$B$58,0)+0,7))&gt;=4/3*IF(BG35&lt;=0,0,IF((1-2*BG35*1E5/(DATOS!$C$29*AE35*BS35^2*DATOS!$C$21))&lt;0,-1,IF((1-SQRT((1-2*BG35*1E5/(DATOS!$C$29*AE35*BS35^2*DATOS!$C$21))))*DATOS!$C$21*AE35*BS35/DATOS!$C$14&gt;DATOS!$C$99*AE35*BS35,-1,(1-SQRT((1-2*BG35*1E5/(DATOS!$C$29*AE35*BS35^2*DATOS!$C$21))))*DATOS!$C$21*AE35*BS35/DATOS!$C$14)))-0.0001,MAX(DATOS!$C$71,CEILING(BT35/INDEX(TABLAS!$D$52:$D$58,MIN(MATCH(DATOS!$C$69,TABLAS!$B$52:$B$58,0)+0,7)),1)),MAX(MAX(DATOS!$C$71,CEILING(BT35/INDEX(TABLAS!$D$52:$D$58,MIN(MATCH(DATOS!$C$69,TABLAS!$B$52:$B$58,0)+0,7)),1)),2))&lt;=MIN(DATOS!$C$70,INT(((AC35-2*AK35)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35&gt;=0,IF(MAX(DATOS!$C$71,CEILING(BT35/INDEX(TABLAS!$D$52:$D$58,MIN(MATCH(DATOS!$C$69,TABLAS!$B$52:$B$58,0)+1,7)),1))*INDEX(TABLAS!$D$52:$D$58,MIN(MATCH(DATOS!$C$69,TABLAS!$B$52:$B$58,0)+1,7))&gt;=4/3*IF(BG35&lt;=0,0,IF((1-2*BG35*1E5/(DATOS!$C$29*AE35*BS35^2*DATOS!$C$21))&lt;0,-1,IF((1-SQRT((1-2*BG35*1E5/(DATOS!$C$29*AE35*BS35^2*DATOS!$C$21))))*DATOS!$C$21*AE35*BS35/DATOS!$C$14&gt;DATOS!$C$99*AE35*BS35,-1,(1-SQRT((1-2*BG35*1E5/(DATOS!$C$29*AE35*BS35^2*DATOS!$C$21))))*DATOS!$C$21*AE35*BS35/DATOS!$C$14)))-0.0001,MAX(DATOS!$C$71,CEILING(BT35/INDEX(TABLAS!$D$52:$D$58,MIN(MATCH(DATOS!$C$69,TABLAS!$B$52:$B$58,0)+1,7)),1)),MAX(MAX(DATOS!$C$71,CEILING(BT35/INDEX(TABLAS!$D$52:$D$58,MIN(MATCH(DATOS!$C$69,TABLAS!$B$52:$B$58,0)+1,7)),1)),2))&lt;=MIN(DATOS!$C$70,INT(((AC35-2*AK35)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35&gt;=0,IF(MAX(DATOS!$C$71,CEILING(BT35/INDEX(TABLAS!$D$52:$D$58,MIN(MATCH(DATOS!$C$69,TABLAS!$B$52:$B$58,0)+2,7)),1))*INDEX(TABLAS!$D$52:$D$58,MIN(MATCH(DATOS!$C$69,TABLAS!$B$52:$B$58,0)+2,7))&gt;=4/3*IF(BG35&lt;=0,0,IF((1-2*BG35*1E5/(DATOS!$C$29*AE35*BS35^2*DATOS!$C$21))&lt;0,-1,IF((1-SQRT((1-2*BG35*1E5/(DATOS!$C$29*AE35*BS35^2*DATOS!$C$21))))*DATOS!$C$21*AE35*BS35/DATOS!$C$14&gt;DATOS!$C$99*AE35*BS35,-1,(1-SQRT((1-2*BG35*1E5/(DATOS!$C$29*AE35*BS35^2*DATOS!$C$21))))*DATOS!$C$21*AE35*BS35/DATOS!$C$14)))-0.0001,MAX(DATOS!$C$71,CEILING(BT35/INDEX(TABLAS!$D$52:$D$58,MIN(MATCH(DATOS!$C$69,TABLAS!$B$52:$B$58,0)+2,7)),1)),MAX(MAX(DATOS!$C$71,CEILING(BT35/INDEX(TABLAS!$D$52:$D$58,MIN(MATCH(DATOS!$C$69,TABLAS!$B$52:$B$58,0)+2,7)),1)),2))&lt;=MIN(DATOS!$C$70,INT(((AC35-2*AK35)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35&gt;=0,IF(MAX(DATOS!$C$71,CEILING(BT35/INDEX(TABLAS!$D$52:$D$58,MIN(MATCH(DATOS!$C$69,TABLAS!$B$52:$B$58,0)+3,7)),1))*INDEX(TABLAS!$D$52:$D$58,MIN(MATCH(DATOS!$C$69,TABLAS!$B$52:$B$58,0)+3,7))&gt;=4/3*IF(BG35&lt;=0,0,IF((1-2*BG35*1E5/(DATOS!$C$29*AE35*BS35^2*DATOS!$C$21))&lt;0,-1,IF((1-SQRT((1-2*BG35*1E5/(DATOS!$C$29*AE35*BS35^2*DATOS!$C$21))))*DATOS!$C$21*AE35*BS35/DATOS!$C$14&gt;DATOS!$C$99*AE35*BS35,-1,(1-SQRT((1-2*BG35*1E5/(DATOS!$C$29*AE35*BS35^2*DATOS!$C$21))))*DATOS!$C$21*AE35*BS35/DATOS!$C$14)))-0.0001,MAX(DATOS!$C$71,CEILING(BT35/INDEX(TABLAS!$D$52:$D$58,MIN(MATCH(DATOS!$C$69,TABLAS!$B$52:$B$58,0)+3,7)),1)),MAX(MAX(DATOS!$C$71,CEILING(BT35/INDEX(TABLAS!$D$52:$D$58,MIN(MATCH(DATOS!$C$69,TABLAS!$B$52:$B$58,0)+3,7)),1)),2))&lt;=MIN(DATOS!$C$70,INT(((AC35-2*AK35)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35&gt;=0,IF(MAX(DATOS!$C$71,CEILING(BT35/INDEX(TABLAS!$D$52:$D$58,MIN(MATCH(DATOS!$C$69,TABLAS!$B$52:$B$58,0)+4,7)),1))*INDEX(TABLAS!$D$52:$D$58,MIN(MATCH(DATOS!$C$69,TABLAS!$B$52:$B$58,0)+4,7))&gt;=4/3*IF(BG35&lt;=0,0,IF((1-2*BG35*1E5/(DATOS!$C$29*AE35*BS35^2*DATOS!$C$21))&lt;0,-1,IF((1-SQRT((1-2*BG35*1E5/(DATOS!$C$29*AE35*BS35^2*DATOS!$C$21))))*DATOS!$C$21*AE35*BS35/DATOS!$C$14&gt;DATOS!$C$99*AE35*BS35,-1,(1-SQRT((1-2*BG35*1E5/(DATOS!$C$29*AE35*BS35^2*DATOS!$C$21))))*DATOS!$C$21*AE35*BS35/DATOS!$C$14)))-0.0001,MAX(DATOS!$C$71,CEILING(BT35/INDEX(TABLAS!$D$52:$D$58,MIN(MATCH(DATOS!$C$69,TABLAS!$B$52:$B$58,0)+4,7)),1)),MAX(MAX(DATOS!$C$71,CEILING(BT35/INDEX(TABLAS!$D$52:$D$58,MIN(MATCH(DATOS!$C$69,TABLAS!$B$52:$B$58,0)+4,7)),1)),2))&lt;=MIN(DATOS!$C$70,INT(((AC35-2*AK35)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35" s="59" t="str">
        <f>IF(U35&lt;&gt;"SÍ","",IF(BT35&lt;0,0,IF(MAX(DATOS!$C$71,CEILING(MAX(BT35,0)/INDEX(TABLAS!$D$52:$D$58,MATCH(BU35,TABLAS!$B$52:$B$58,0)),1))*INDEX(TABLAS!$D$52:$D$58,MATCH(BU35,TABLAS!$B$52:$B$58,0))&gt;=4/3*IF(BG35&lt;=0,0,IF((1-2*BG35*1E5/(DATOS!$C$29*AE35*BS35^2*DATOS!$C$21))&lt;0,-1,IF((1-SQRT((1-2*BG35*1E5/(DATOS!$C$29*AE35*BS35^2*DATOS!$C$21))))*DATOS!$C$21*AE35*BS35/DATOS!$C$14&gt;DATOS!$C$99*AE35*BS35,-1,(1-SQRT((1-2*BG35*1E5/(DATOS!$C$29*AE35*BS35^2*DATOS!$C$21))))*DATOS!$C$21*AE35*BS35/DATOS!$C$14)))-0.0001,MAX(DATOS!$C$71,CEILING(MAX(BT35,0)/INDEX(TABLAS!$D$52:$D$58,MATCH(BU35,TABLAS!$B$52:$B$58,0)),1)),MAX(MAX(DATOS!$C$71,CEILING(MAX(BT35,0)/INDEX(TABLAS!$D$52:$D$58,MATCH(BU35,TABLAS!$B$52:$B$58,0)),1)),2))))</f>
        <v/>
      </c>
      <c r="BW35" s="58" t="str">
        <f>IF(U35&lt;&gt;"SÍ","",((DATOS!$C$82-AL35-2*DATOS!$C$94-INDEX(TABLAS!$C$52:$C$58,MATCH(BU35,TABLAS!$B$52:$B$58,0))/2)-IF(AND((DATOS!$C$82-AL35-2*DATOS!$C$94-INDEX(TABLAS!$C$52:$C$58,MATCH(BU35,TABLAS!$B$52:$B$58,0))/2)&lt;=20,DATOS!$C$62&lt;&gt;"SÍ"),2,0)))</f>
        <v/>
      </c>
      <c r="BX35" s="56" t="str">
        <f>IF(U35&lt;&gt;"SÍ","",IF(BV35=0,0,DATOS!$C$29*BV35*INDEX(TABLAS!$D$52:$D$58,MATCH(BU35,TABLAS!$B$52:$B$58,0))*DATOS!$C$14*(BW35-BV35*INDEX(TABLAS!$D$52:$D$58,MATCH(BU35,TABLAS!$B$52:$B$58,0))*DATOS!$C$14/(DATOS!$C$21*AE35)/2)/1E5))</f>
        <v/>
      </c>
      <c r="BY35" s="65" t="str">
        <f>IF(U35&lt;&gt;"SÍ","",IF(BT35&lt;0,9.99,IF(BX35&gt;0,BG35/BX35,0)))</f>
        <v/>
      </c>
      <c r="BZ35" s="66" t="str">
        <f>IF(U35&lt;&gt;"SÍ","",IF(BV35=0,"—",0.003*(BW35-(BV35*INDEX(TABLAS!$D$52:$D$58,MATCH(BU35,TABLAS!$B$52:$B$58,0))*DATOS!$C$14/(DATOS!$C$21*AE35)/DATOS!$C$22))/(BV35*INDEX(TABLAS!$D$52:$D$58,MATCH(BU35,TABLAS!$B$52:$B$58,0))*DATOS!$C$14/(DATOS!$C$21*AE35)/DATOS!$C$22)))</f>
        <v/>
      </c>
      <c r="CA35" s="58" t="str">
        <f>IF(U35&lt;&gt;"SÍ","",(DATOS!$C$82-AJ35-INDEX(TABLAS!$C$52:$C$58,MATCH(DATOS!$C$68,TABLAS!$B$52:$B$58,0))-INDEX(TABLAS!$C$52:$C$58,MATCH(DATOS!$C$68,TABLAS!$B$52:$B$58,0))/2))</f>
        <v/>
      </c>
      <c r="CB35" s="58" t="str">
        <f>IF(U35&lt;&gt;"SÍ","",IF(IF(BH35&lt;=0,0,IF((1-2*BH35*1E5/(DATOS!$C$29*AH35*CA35^2*DATOS!$C$21))&lt;0,-1,IF((1-SQRT((1-2*BH35*1E5/(DATOS!$C$29*AH35*CA35^2*DATOS!$C$21))))*DATOS!$C$21*AH35*CA35/DATOS!$C$14&gt;DATOS!$C$99*AH35*CA35,-1,(1-SQRT((1-2*BH35*1E5/(DATOS!$C$29*AH35*CA35^2*DATOS!$C$21))))*DATOS!$C$21*AH35*CA35/DATOS!$C$14)))&lt;0,-1,MAX(IF(BH35&lt;=0,0,IF((1-2*BH35*1E5/(DATOS!$C$29*AH35*CA35^2*DATOS!$C$21))&lt;0,-1,IF((1-SQRT((1-2*BH35*1E5/(DATOS!$C$29*AH35*CA35^2*DATOS!$C$21))))*DATOS!$C$21*AH35*CA35/DATOS!$C$14&gt;DATOS!$C$99*AH35*CA35,-1,(1-SQRT((1-2*BH35*1E5/(DATOS!$C$29*AH35*CA35^2*DATOS!$C$21))))*DATOS!$C$21*AH35*CA35/DATOS!$C$14))),MIN(DATOS!$C$100*DATOS!$C$80*CA35,4/3*IF(BH35&lt;=0,0,IF((1-2*BH35*1E5/(DATOS!$C$29*AH35*CA35^2*DATOS!$C$21))&lt;0,-1,IF((1-SQRT((1-2*BH35*1E5/(DATOS!$C$29*AH35*CA35^2*DATOS!$C$21))))*DATOS!$C$21*AH35*CA35/DATOS!$C$14&gt;DATOS!$C$99*AH35*CA35,-1,(1-SQRT((1-2*BH35*1E5/(DATOS!$C$29*AH35*CA35^2*DATOS!$C$21))))*DATOS!$C$21*AH35*CA35/DATOS!$C$14)))))))</f>
        <v/>
      </c>
      <c r="CC35" s="64" t="str">
        <f>IF(U35&lt;&gt;"SÍ","",IF(AND(CB35&gt;=0,IF(MAX(DATOS!$C$71,CEILING(CB35/INDEX(TABLAS!$D$52:$D$58,MIN(MATCH(DATOS!$C$68,TABLAS!$B$52:$B$58,0)+0,7)),1))*INDEX(TABLAS!$D$52:$D$58,MIN(MATCH(DATOS!$C$68,TABLAS!$B$52:$B$58,0)+0,7))&gt;=4/3*IF(BH35&lt;=0,0,IF((1-2*BH35*1E5/(DATOS!$C$29*AH35*CA35^2*DATOS!$C$21))&lt;0,-1,IF((1-SQRT((1-2*BH35*1E5/(DATOS!$C$29*AH35*CA35^2*DATOS!$C$21))))*DATOS!$C$21*AH35*CA35/DATOS!$C$14&gt;DATOS!$C$99*AH35*CA35,-1,(1-SQRT((1-2*BH35*1E5/(DATOS!$C$29*AH35*CA35^2*DATOS!$C$21))))*DATOS!$C$21*AH35*CA35/DATOS!$C$14)))-0.0001,MAX(DATOS!$C$71,CEILING(CB35/INDEX(TABLAS!$D$52:$D$58,MIN(MATCH(DATOS!$C$68,TABLAS!$B$52:$B$58,0)+0,7)),1)),MAX(MAX(DATOS!$C$71,CEILING(CB35/INDEX(TABLAS!$D$52:$D$58,MIN(MATCH(DATOS!$C$68,TABLAS!$B$52:$B$58,0)+0,7)),1)),2))&lt;=MIN(DATOS!$C$70,INT(((DATOS!$C$80-2*AJ35)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35&gt;=0,IF(MAX(DATOS!$C$71,CEILING(CB35/INDEX(TABLAS!$D$52:$D$58,MIN(MATCH(DATOS!$C$68,TABLAS!$B$52:$B$58,0)+1,7)),1))*INDEX(TABLAS!$D$52:$D$58,MIN(MATCH(DATOS!$C$68,TABLAS!$B$52:$B$58,0)+1,7))&gt;=4/3*IF(BH35&lt;=0,0,IF((1-2*BH35*1E5/(DATOS!$C$29*AH35*CA35^2*DATOS!$C$21))&lt;0,-1,IF((1-SQRT((1-2*BH35*1E5/(DATOS!$C$29*AH35*CA35^2*DATOS!$C$21))))*DATOS!$C$21*AH35*CA35/DATOS!$C$14&gt;DATOS!$C$99*AH35*CA35,-1,(1-SQRT((1-2*BH35*1E5/(DATOS!$C$29*AH35*CA35^2*DATOS!$C$21))))*DATOS!$C$21*AH35*CA35/DATOS!$C$14)))-0.0001,MAX(DATOS!$C$71,CEILING(CB35/INDEX(TABLAS!$D$52:$D$58,MIN(MATCH(DATOS!$C$68,TABLAS!$B$52:$B$58,0)+1,7)),1)),MAX(MAX(DATOS!$C$71,CEILING(CB35/INDEX(TABLAS!$D$52:$D$58,MIN(MATCH(DATOS!$C$68,TABLAS!$B$52:$B$58,0)+1,7)),1)),2))&lt;=MIN(DATOS!$C$70,INT(((DATOS!$C$80-2*AJ35)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35&gt;=0,IF(MAX(DATOS!$C$71,CEILING(CB35/INDEX(TABLAS!$D$52:$D$58,MIN(MATCH(DATOS!$C$68,TABLAS!$B$52:$B$58,0)+2,7)),1))*INDEX(TABLAS!$D$52:$D$58,MIN(MATCH(DATOS!$C$68,TABLAS!$B$52:$B$58,0)+2,7))&gt;=4/3*IF(BH35&lt;=0,0,IF((1-2*BH35*1E5/(DATOS!$C$29*AH35*CA35^2*DATOS!$C$21))&lt;0,-1,IF((1-SQRT((1-2*BH35*1E5/(DATOS!$C$29*AH35*CA35^2*DATOS!$C$21))))*DATOS!$C$21*AH35*CA35/DATOS!$C$14&gt;DATOS!$C$99*AH35*CA35,-1,(1-SQRT((1-2*BH35*1E5/(DATOS!$C$29*AH35*CA35^2*DATOS!$C$21))))*DATOS!$C$21*AH35*CA35/DATOS!$C$14)))-0.0001,MAX(DATOS!$C$71,CEILING(CB35/INDEX(TABLAS!$D$52:$D$58,MIN(MATCH(DATOS!$C$68,TABLAS!$B$52:$B$58,0)+2,7)),1)),MAX(MAX(DATOS!$C$71,CEILING(CB35/INDEX(TABLAS!$D$52:$D$58,MIN(MATCH(DATOS!$C$68,TABLAS!$B$52:$B$58,0)+2,7)),1)),2))&lt;=MIN(DATOS!$C$70,INT(((DATOS!$C$80-2*AJ35)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35&gt;=0,IF(MAX(DATOS!$C$71,CEILING(CB35/INDEX(TABLAS!$D$52:$D$58,MIN(MATCH(DATOS!$C$68,TABLAS!$B$52:$B$58,0)+3,7)),1))*INDEX(TABLAS!$D$52:$D$58,MIN(MATCH(DATOS!$C$68,TABLAS!$B$52:$B$58,0)+3,7))&gt;=4/3*IF(BH35&lt;=0,0,IF((1-2*BH35*1E5/(DATOS!$C$29*AH35*CA35^2*DATOS!$C$21))&lt;0,-1,IF((1-SQRT((1-2*BH35*1E5/(DATOS!$C$29*AH35*CA35^2*DATOS!$C$21))))*DATOS!$C$21*AH35*CA35/DATOS!$C$14&gt;DATOS!$C$99*AH35*CA35,-1,(1-SQRT((1-2*BH35*1E5/(DATOS!$C$29*AH35*CA35^2*DATOS!$C$21))))*DATOS!$C$21*AH35*CA35/DATOS!$C$14)))-0.0001,MAX(DATOS!$C$71,CEILING(CB35/INDEX(TABLAS!$D$52:$D$58,MIN(MATCH(DATOS!$C$68,TABLAS!$B$52:$B$58,0)+3,7)),1)),MAX(MAX(DATOS!$C$71,CEILING(CB35/INDEX(TABLAS!$D$52:$D$58,MIN(MATCH(DATOS!$C$68,TABLAS!$B$52:$B$58,0)+3,7)),1)),2))&lt;=MIN(DATOS!$C$70,INT(((DATOS!$C$80-2*AJ35)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35&gt;=0,IF(MAX(DATOS!$C$71,CEILING(CB35/INDEX(TABLAS!$D$52:$D$58,MIN(MATCH(DATOS!$C$68,TABLAS!$B$52:$B$58,0)+4,7)),1))*INDEX(TABLAS!$D$52:$D$58,MIN(MATCH(DATOS!$C$68,TABLAS!$B$52:$B$58,0)+4,7))&gt;=4/3*IF(BH35&lt;=0,0,IF((1-2*BH35*1E5/(DATOS!$C$29*AH35*CA35^2*DATOS!$C$21))&lt;0,-1,IF((1-SQRT((1-2*BH35*1E5/(DATOS!$C$29*AH35*CA35^2*DATOS!$C$21))))*DATOS!$C$21*AH35*CA35/DATOS!$C$14&gt;DATOS!$C$99*AH35*CA35,-1,(1-SQRT((1-2*BH35*1E5/(DATOS!$C$29*AH35*CA35^2*DATOS!$C$21))))*DATOS!$C$21*AH35*CA35/DATOS!$C$14)))-0.0001,MAX(DATOS!$C$71,CEILING(CB35/INDEX(TABLAS!$D$52:$D$58,MIN(MATCH(DATOS!$C$68,TABLAS!$B$52:$B$58,0)+4,7)),1)),MAX(MAX(DATOS!$C$71,CEILING(CB35/INDEX(TABLAS!$D$52:$D$58,MIN(MATCH(DATOS!$C$68,TABLAS!$B$52:$B$58,0)+4,7)),1)),2))&lt;=MIN(DATOS!$C$70,INT(((DATOS!$C$80-2*AJ35)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35" s="59" t="str">
        <f>IF(U35&lt;&gt;"SÍ","",IF(CB35&lt;0,0,IF(MAX(DATOS!$C$71,CEILING(MAX(CB35,0)/INDEX(TABLAS!$D$52:$D$58,MATCH(CC35,TABLAS!$B$52:$B$58,0)),1))*INDEX(TABLAS!$D$52:$D$58,MATCH(CC35,TABLAS!$B$52:$B$58,0))&gt;=4/3*IF(BH35&lt;=0,0,IF((1-2*BH35*1E5/(DATOS!$C$29*AH35*CA35^2*DATOS!$C$21))&lt;0,-1,IF((1-SQRT((1-2*BH35*1E5/(DATOS!$C$29*AH35*CA35^2*DATOS!$C$21))))*DATOS!$C$21*AH35*CA35/DATOS!$C$14&gt;DATOS!$C$99*AH35*CA35,-1,(1-SQRT((1-2*BH35*1E5/(DATOS!$C$29*AH35*CA35^2*DATOS!$C$21))))*DATOS!$C$21*AH35*CA35/DATOS!$C$14)))-0.0001,MAX(DATOS!$C$71,CEILING(MAX(CB35,0)/INDEX(TABLAS!$D$52:$D$58,MATCH(CC35,TABLAS!$B$52:$B$58,0)),1)),MAX(MAX(DATOS!$C$71,CEILING(MAX(CB35,0)/INDEX(TABLAS!$D$52:$D$58,MATCH(CC35,TABLAS!$B$52:$B$58,0)),1)),2))))</f>
        <v/>
      </c>
      <c r="CE35" s="58" t="str">
        <f>IF(U35&lt;&gt;"SÍ","",DATOS!$C$82-AJ35-INDEX(TABLAS!$C$52:$C$58,MATCH(BM35,TABLAS!$B$52:$B$58,0))-INDEX(TABLAS!$C$52:$C$58,MATCH(CC35,TABLAS!$B$52:$B$58,0))/2)</f>
        <v/>
      </c>
      <c r="CF35" s="56" t="str">
        <f>IF(U35&lt;&gt;"SÍ","",IF(CD35=0,0,DATOS!$C$29*CD35*INDEX(TABLAS!$D$52:$D$58,MATCH(CC35,TABLAS!$B$52:$B$58,0))*DATOS!$C$14*(CE35-CD35*INDEX(TABLAS!$D$52:$D$58,MATCH(CC35,TABLAS!$B$52:$B$58,0))*DATOS!$C$14/(DATOS!$C$21*AH35)/2)/1E5))</f>
        <v/>
      </c>
      <c r="CG35" s="65" t="str">
        <f>IF(U35&lt;&gt;"SÍ","",IF(CB35&lt;0,9.99,IF(CF35&gt;0,BH35/CF35,0)))</f>
        <v/>
      </c>
      <c r="CH35" s="66" t="str">
        <f>IF(U35&lt;&gt;"SÍ","",IF(CD35=0,"—",0.003*(CE35-(CD35*INDEX(TABLAS!$D$52:$D$58,MATCH(CC35,TABLAS!$B$52:$B$58,0))*DATOS!$C$14/(DATOS!$C$21*AH35)/DATOS!$C$22))/(CD35*INDEX(TABLAS!$D$52:$D$58,MATCH(CC35,TABLAS!$B$52:$B$58,0))*DATOS!$C$14/(DATOS!$C$21*AH35)/DATOS!$C$22)))</f>
        <v/>
      </c>
      <c r="CI35" s="58" t="str">
        <f>IF(U35&lt;&gt;"SÍ","",((DATOS!$C$82-AL35-2*DATOS!$C$94-INDEX(TABLAS!$C$52:$C$58,MATCH(DATOS!$C$69,TABLAS!$B$52:$B$58,0))-INDEX(TABLAS!$C$52:$C$58,MATCH(DATOS!$C$69,TABLAS!$B$52:$B$58,0))/2)-IF(AND((DATOS!$C$82-AL35-2*DATOS!$C$94-INDEX(TABLAS!$C$52:$C$58,MATCH(DATOS!$C$69,TABLAS!$B$52:$B$58,0))-INDEX(TABLAS!$C$52:$C$58,MATCH(DATOS!$C$69,TABLAS!$B$52:$B$58,0))/2)&lt;=20,DATOS!$C$62&lt;&gt;"SÍ"),2,0)))</f>
        <v/>
      </c>
      <c r="CJ35" s="58" t="str">
        <f>IF(U35&lt;&gt;"SÍ","",IF(IF(BI35&lt;=0,0,IF((1-2*BI35*1E5/(DATOS!$C$29*AF35*CI35^2*DATOS!$C$21))&lt;0,-1,IF((1-SQRT((1-2*BI35*1E5/(DATOS!$C$29*AF35*CI35^2*DATOS!$C$21))))*DATOS!$C$21*AF35*CI35/DATOS!$C$14&gt;DATOS!$C$99*AF35*CI35,-1,(1-SQRT((1-2*BI35*1E5/(DATOS!$C$29*AF35*CI35^2*DATOS!$C$21))))*DATOS!$C$21*AF35*CI35/DATOS!$C$14)))&lt;0,-1,MAX(IF(BI35&lt;=0,0,IF((1-2*BI35*1E5/(DATOS!$C$29*AF35*CI35^2*DATOS!$C$21))&lt;0,-1,IF((1-SQRT((1-2*BI35*1E5/(DATOS!$C$29*AF35*CI35^2*DATOS!$C$21))))*DATOS!$C$21*AF35*CI35/DATOS!$C$14&gt;DATOS!$C$99*AF35*CI35,-1,(1-SQRT((1-2*BI35*1E5/(DATOS!$C$29*AF35*CI35^2*DATOS!$C$21))))*DATOS!$C$21*AF35*CI35/DATOS!$C$14))),MIN(DATOS!$C$100*DATOS!$C$80*CI35,4/3*IF(BI35&lt;=0,0,IF((1-2*BI35*1E5/(DATOS!$C$29*AF35*CI35^2*DATOS!$C$21))&lt;0,-1,IF((1-SQRT((1-2*BI35*1E5/(DATOS!$C$29*AF35*CI35^2*DATOS!$C$21))))*DATOS!$C$21*AF35*CI35/DATOS!$C$14&gt;DATOS!$C$99*AF35*CI35,-1,(1-SQRT((1-2*BI35*1E5/(DATOS!$C$29*AF35*CI35^2*DATOS!$C$21))))*DATOS!$C$21*AF35*CI35/DATOS!$C$14)))))))</f>
        <v/>
      </c>
      <c r="CK35" s="64" t="str">
        <f>IF(U35&lt;&gt;"SÍ","",IF(AND(CJ35&gt;=0,IF(MAX(DATOS!$C$71,CEILING(CJ35/INDEX(TABLAS!$D$52:$D$58,MIN(MATCH(DATOS!$C$69,TABLAS!$B$52:$B$58,0)+0,7)),1))*INDEX(TABLAS!$D$52:$D$58,MIN(MATCH(DATOS!$C$69,TABLAS!$B$52:$B$58,0)+0,7))&gt;=4/3*IF(BI35&lt;=0,0,IF((1-2*BI35*1E5/(DATOS!$C$29*AF35*CI35^2*DATOS!$C$21))&lt;0,-1,IF((1-SQRT((1-2*BI35*1E5/(DATOS!$C$29*AF35*CI35^2*DATOS!$C$21))))*DATOS!$C$21*AF35*CI35/DATOS!$C$14&gt;DATOS!$C$99*AF35*CI35,-1,(1-SQRT((1-2*BI35*1E5/(DATOS!$C$29*AF35*CI35^2*DATOS!$C$21))))*DATOS!$C$21*AF35*CI35/DATOS!$C$14)))-0.0001,MAX(DATOS!$C$71,CEILING(CJ35/INDEX(TABLAS!$D$52:$D$58,MIN(MATCH(DATOS!$C$69,TABLAS!$B$52:$B$58,0)+0,7)),1)),MAX(MAX(DATOS!$C$71,CEILING(CJ35/INDEX(TABLAS!$D$52:$D$58,MIN(MATCH(DATOS!$C$69,TABLAS!$B$52:$B$58,0)+0,7)),1)),2))&lt;=MIN(DATOS!$C$70,INT(((DATOS!$C$80-2*AK35)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35&gt;=0,IF(MAX(DATOS!$C$71,CEILING(CJ35/INDEX(TABLAS!$D$52:$D$58,MIN(MATCH(DATOS!$C$69,TABLAS!$B$52:$B$58,0)+1,7)),1))*INDEX(TABLAS!$D$52:$D$58,MIN(MATCH(DATOS!$C$69,TABLAS!$B$52:$B$58,0)+1,7))&gt;=4/3*IF(BI35&lt;=0,0,IF((1-2*BI35*1E5/(DATOS!$C$29*AF35*CI35^2*DATOS!$C$21))&lt;0,-1,IF((1-SQRT((1-2*BI35*1E5/(DATOS!$C$29*AF35*CI35^2*DATOS!$C$21))))*DATOS!$C$21*AF35*CI35/DATOS!$C$14&gt;DATOS!$C$99*AF35*CI35,-1,(1-SQRT((1-2*BI35*1E5/(DATOS!$C$29*AF35*CI35^2*DATOS!$C$21))))*DATOS!$C$21*AF35*CI35/DATOS!$C$14)))-0.0001,MAX(DATOS!$C$71,CEILING(CJ35/INDEX(TABLAS!$D$52:$D$58,MIN(MATCH(DATOS!$C$69,TABLAS!$B$52:$B$58,0)+1,7)),1)),MAX(MAX(DATOS!$C$71,CEILING(CJ35/INDEX(TABLAS!$D$52:$D$58,MIN(MATCH(DATOS!$C$69,TABLAS!$B$52:$B$58,0)+1,7)),1)),2))&lt;=MIN(DATOS!$C$70,INT(((DATOS!$C$80-2*AK35)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35&gt;=0,IF(MAX(DATOS!$C$71,CEILING(CJ35/INDEX(TABLAS!$D$52:$D$58,MIN(MATCH(DATOS!$C$69,TABLAS!$B$52:$B$58,0)+2,7)),1))*INDEX(TABLAS!$D$52:$D$58,MIN(MATCH(DATOS!$C$69,TABLAS!$B$52:$B$58,0)+2,7))&gt;=4/3*IF(BI35&lt;=0,0,IF((1-2*BI35*1E5/(DATOS!$C$29*AF35*CI35^2*DATOS!$C$21))&lt;0,-1,IF((1-SQRT((1-2*BI35*1E5/(DATOS!$C$29*AF35*CI35^2*DATOS!$C$21))))*DATOS!$C$21*AF35*CI35/DATOS!$C$14&gt;DATOS!$C$99*AF35*CI35,-1,(1-SQRT((1-2*BI35*1E5/(DATOS!$C$29*AF35*CI35^2*DATOS!$C$21))))*DATOS!$C$21*AF35*CI35/DATOS!$C$14)))-0.0001,MAX(DATOS!$C$71,CEILING(CJ35/INDEX(TABLAS!$D$52:$D$58,MIN(MATCH(DATOS!$C$69,TABLAS!$B$52:$B$58,0)+2,7)),1)),MAX(MAX(DATOS!$C$71,CEILING(CJ35/INDEX(TABLAS!$D$52:$D$58,MIN(MATCH(DATOS!$C$69,TABLAS!$B$52:$B$58,0)+2,7)),1)),2))&lt;=MIN(DATOS!$C$70,INT(((DATOS!$C$80-2*AK35)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35&gt;=0,IF(MAX(DATOS!$C$71,CEILING(CJ35/INDEX(TABLAS!$D$52:$D$58,MIN(MATCH(DATOS!$C$69,TABLAS!$B$52:$B$58,0)+3,7)),1))*INDEX(TABLAS!$D$52:$D$58,MIN(MATCH(DATOS!$C$69,TABLAS!$B$52:$B$58,0)+3,7))&gt;=4/3*IF(BI35&lt;=0,0,IF((1-2*BI35*1E5/(DATOS!$C$29*AF35*CI35^2*DATOS!$C$21))&lt;0,-1,IF((1-SQRT((1-2*BI35*1E5/(DATOS!$C$29*AF35*CI35^2*DATOS!$C$21))))*DATOS!$C$21*AF35*CI35/DATOS!$C$14&gt;DATOS!$C$99*AF35*CI35,-1,(1-SQRT((1-2*BI35*1E5/(DATOS!$C$29*AF35*CI35^2*DATOS!$C$21))))*DATOS!$C$21*AF35*CI35/DATOS!$C$14)))-0.0001,MAX(DATOS!$C$71,CEILING(CJ35/INDEX(TABLAS!$D$52:$D$58,MIN(MATCH(DATOS!$C$69,TABLAS!$B$52:$B$58,0)+3,7)),1)),MAX(MAX(DATOS!$C$71,CEILING(CJ35/INDEX(TABLAS!$D$52:$D$58,MIN(MATCH(DATOS!$C$69,TABLAS!$B$52:$B$58,0)+3,7)),1)),2))&lt;=MIN(DATOS!$C$70,INT(((DATOS!$C$80-2*AK35)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35&gt;=0,IF(MAX(DATOS!$C$71,CEILING(CJ35/INDEX(TABLAS!$D$52:$D$58,MIN(MATCH(DATOS!$C$69,TABLAS!$B$52:$B$58,0)+4,7)),1))*INDEX(TABLAS!$D$52:$D$58,MIN(MATCH(DATOS!$C$69,TABLAS!$B$52:$B$58,0)+4,7))&gt;=4/3*IF(BI35&lt;=0,0,IF((1-2*BI35*1E5/(DATOS!$C$29*AF35*CI35^2*DATOS!$C$21))&lt;0,-1,IF((1-SQRT((1-2*BI35*1E5/(DATOS!$C$29*AF35*CI35^2*DATOS!$C$21))))*DATOS!$C$21*AF35*CI35/DATOS!$C$14&gt;DATOS!$C$99*AF35*CI35,-1,(1-SQRT((1-2*BI35*1E5/(DATOS!$C$29*AF35*CI35^2*DATOS!$C$21))))*DATOS!$C$21*AF35*CI35/DATOS!$C$14)))-0.0001,MAX(DATOS!$C$71,CEILING(CJ35/INDEX(TABLAS!$D$52:$D$58,MIN(MATCH(DATOS!$C$69,TABLAS!$B$52:$B$58,0)+4,7)),1)),MAX(MAX(DATOS!$C$71,CEILING(CJ35/INDEX(TABLAS!$D$52:$D$58,MIN(MATCH(DATOS!$C$69,TABLAS!$B$52:$B$58,0)+4,7)),1)),2))&lt;=MIN(DATOS!$C$70,INT(((DATOS!$C$80-2*AK35)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35" s="59" t="str">
        <f>IF(U35&lt;&gt;"SÍ","",IF(CJ35&lt;0,0,IF(MAX(DATOS!$C$71,CEILING(MAX(CJ35,0)/INDEX(TABLAS!$D$52:$D$58,MATCH(CK35,TABLAS!$B$52:$B$58,0)),1))*INDEX(TABLAS!$D$52:$D$58,MATCH(CK35,TABLAS!$B$52:$B$58,0))&gt;=4/3*IF(BI35&lt;=0,0,IF((1-2*BI35*1E5/(DATOS!$C$29*AF35*CI35^2*DATOS!$C$21))&lt;0,-1,IF((1-SQRT((1-2*BI35*1E5/(DATOS!$C$29*AF35*CI35^2*DATOS!$C$21))))*DATOS!$C$21*AF35*CI35/DATOS!$C$14&gt;DATOS!$C$99*AF35*CI35,-1,(1-SQRT((1-2*BI35*1E5/(DATOS!$C$29*AF35*CI35^2*DATOS!$C$21))))*DATOS!$C$21*AF35*CI35/DATOS!$C$14)))-0.0001,MAX(DATOS!$C$71,CEILING(MAX(CJ35,0)/INDEX(TABLAS!$D$52:$D$58,MATCH(CK35,TABLAS!$B$52:$B$58,0)),1)),MAX(MAX(DATOS!$C$71,CEILING(MAX(CJ35,0)/INDEX(TABLAS!$D$52:$D$58,MATCH(CK35,TABLAS!$B$52:$B$58,0)),1)),2))))</f>
        <v/>
      </c>
      <c r="CM35" s="58" t="str">
        <f>IF(U35&lt;&gt;"SÍ","",((DATOS!$C$82-AL35-2*DATOS!$C$94-INDEX(TABLAS!$C$52:$C$58,MATCH(BU35,TABLAS!$B$52:$B$58,0))-INDEX(TABLAS!$C$52:$C$58,MATCH(CK35,TABLAS!$B$52:$B$58,0))/2)-IF(AND((DATOS!$C$82-AL35-2*DATOS!$C$94-INDEX(TABLAS!$C$52:$C$58,MATCH(BU35,TABLAS!$B$52:$B$58,0))-INDEX(TABLAS!$C$52:$C$58,MATCH(CK35,TABLAS!$B$52:$B$58,0))/2)&lt;=20,DATOS!$C$62&lt;&gt;"SÍ"),2,0)))</f>
        <v/>
      </c>
      <c r="CN35" s="56" t="str">
        <f>IF(U35&lt;&gt;"SÍ","",IF(CL35=0,0,DATOS!$C$29*CL35*INDEX(TABLAS!$D$52:$D$58,MATCH(CK35,TABLAS!$B$52:$B$58,0))*DATOS!$C$14*(CM35-CL35*INDEX(TABLAS!$D$52:$D$58,MATCH(CK35,TABLAS!$B$52:$B$58,0))*DATOS!$C$14/(DATOS!$C$21*AF35)/2)/1E5))</f>
        <v/>
      </c>
      <c r="CO35" s="65" t="str">
        <f>IF(U35&lt;&gt;"SÍ","",IF(CJ35&lt;0,9.99,IF(CN35&gt;0,BI35/CN35,0)))</f>
        <v/>
      </c>
      <c r="CP35" s="66" t="str">
        <f>IF(U35&lt;&gt;"SÍ","",IF(CL35=0,"—",0.003*(CM35-(CL35*INDEX(TABLAS!$D$52:$D$58,MATCH(CK35,TABLAS!$B$52:$B$58,0))*DATOS!$C$14/(DATOS!$C$21*AF35)/DATOS!$C$22))/(CL35*INDEX(TABLAS!$D$52:$D$58,MATCH(CK35,TABLAS!$B$52:$B$58,0))*DATOS!$C$14/(DATOS!$C$21*AF35)/DATOS!$C$22)))</f>
        <v/>
      </c>
      <c r="CQ35" s="56" t="str">
        <f>IF(U35&lt;&gt;"SÍ","",IF(C35="PERIMETRAL",MAX(0,(AA35/2-BW35)/100)*(0.95-0.5*Z35)*AQ35*IF(AND(AR35&gt;0,AR35&lt;4),DATOS!$C$33,1)*DATOS!$C$83/100/1000,(AQ35*MAX(0,AA35-BW35)/100+DATOS!$C$26*N(O35))*DATOS!$C$83/100/1000+BE35))</f>
        <v/>
      </c>
      <c r="CR35" s="56" t="str">
        <f>IF(U35&lt;&gt;"SÍ","",DATOS!$C$30*2*MIN(1,SQRT(2/(1+0.04*BW35)))*(BV35*INDEX(TABLAS!$D$52:$D$58,MATCH(BU35,TABLAS!$B$52:$B$58,0))/(AE35*BW35))^(1/3)*SQRT(DATOS!$C$13)*AE35*BW35*IF(AI35="SÍ",DATOS!$C$32,1)/1000)</f>
        <v/>
      </c>
      <c r="CS35" s="59" t="str">
        <f>IF(U35&lt;&gt;"SÍ","",IF(CQ35&lt;=CR35,0,CEILING(MAX(0,IF(C35="VOLADO",(AA35-((CR35-BE35)*1E5/DATOS!$C$83-DATOS!$C$26*N(O35))*100/AQ35),IF(CR35&lt;=0,AA35,AA35/2-CR35/MAX(CQ35,1E-9)*(AA35/2-BW35)))-IF(INT((X35*100-DATOS!$C$84+DATOS!$C$80)/DATOS!$C$83)&gt;0,(X35*100-DATOS!$C$84-(INT((X35*100-DATOS!$C$84+DATOS!$C$80)/DATOS!$C$83)*DATOS!$C$78+(INT((X35*100-DATOS!$C$84+DATOS!$C$80)/DATOS!$C$83)-1)*DATOS!$C$80))/2,X35*100/2))/DATOS!$C$83,1)))</f>
        <v/>
      </c>
      <c r="CT35" s="67" t="str">
        <f>IF(U35&lt;&gt;"SÍ","",IF(CQ35&lt;=CR35,"CUMPLE",IF(CS35&lt;=0,"CUMPLE (basta el macizo de orilla)",IF(CS35*DATOS!$C$83*IF(C35="VOLADO",1,2)&gt;=X35*100-DATOS!$C$84,"NO CUMPLE: no alcanza ni macizando todo","MACIZAR "&amp;CS35&amp;" hilera(s)"))))</f>
        <v/>
      </c>
      <c r="CU35" s="58" t="str">
        <f>IF(U35&lt;&gt;"SÍ","",(DATOS!$C$83*DATOS!$C$81^2/2+AC35*DATOS!$C$79*(DATOS!$C$81+DATOS!$C$79/2))/(DATOS!$C$83*DATOS!$C$81+AC35*DATOS!$C$79))</f>
        <v/>
      </c>
      <c r="CV35" s="68" t="str">
        <f>IF(U35&lt;&gt;"SÍ","",DATOS!$C$83*DATOS!$C$81^3/12+DATOS!$C$83*DATOS!$C$81*(CU35-DATOS!$C$81/2)^2+AC35*DATOS!$C$79^3/12+AC35*DATOS!$C$79*(DATOS!$C$81+DATOS!$C$79/2-CU35)^2)</f>
        <v/>
      </c>
      <c r="CW35" s="58" t="str">
        <f>IF(U35&lt;&gt;"SÍ","",(12*CV35/DATOS!$C$83)^(1/3))</f>
        <v/>
      </c>
      <c r="CX35" s="58" t="str">
        <f>IF(U35&lt;&gt;"SÍ","",IF(C35="PERIMETRAL",IF(ISNUMBER(R35),R35,DATOS!$C$101),0))</f>
        <v/>
      </c>
      <c r="CY35" s="57" t="str">
        <f>IF(U35&lt;&gt;"SÍ","",IF(C35="PERIMETRAL",IF(CX35&gt;2,MAX(9,AB35*(0.8+DATOS!$C$14/14000)/(36+9*(AB35/MAX(AA35,1)))),IF(CX35&gt;0.2,MAX(13,AB35*(0.8+DATOS!$C$14/14000)/(36+5*(AB35/MAX(AA35,1))*(CX35-0.2))),MAX(13,AB35/IF(AR35&gt;0,30,33))))*IF(AND(CX35&gt;0.2,AR35&gt;0,DATOS!$C$102="NO"),1.1,1),X35*100/8))</f>
        <v/>
      </c>
      <c r="CZ35" s="61" t="str">
        <f>IF(U35&lt;&gt;"SÍ","",IF(IF(C35="VOLADO",DATOS!$C$82,CW35)&gt;=CY35,"CUMPLE",IF(C35="VOLADO","NO CUMPLE","CALCULAR FLECHA")))</f>
        <v/>
      </c>
      <c r="DA35" s="55" t="str">
        <f>IF(U35&lt;&gt;"SÍ","",IF(DATOS!$C$81&gt;=IF(IF(C35="VOLADO",X35,Y35)&gt;=6,6,5),"CUMPLE","CAPA ≥ 6 cm"))</f>
        <v/>
      </c>
      <c r="DB35" s="60" t="str">
        <f>IF(U35&lt;&gt;"SÍ","",IF(C35="VOLADO",MIN(CEILING(IF(ISNUMBER(P35),P35,X35)*100,5),CEILING(MAX(IF((0.5*(0.9*DATOS!$C$87*DATOS!$C$83/100/1000)*IF(ISNUMBER(P35),P35,X35)+BG35/IF(ISNUMBER(P35),P35,X35))^2-4*(0.5*(0.9*DATOS!$C$87*DATOS!$C$83/100/1000))*BG35&lt;0,IF(ISNUMBER(P35),P35,X35),MIN(IF(ISNUMBER(P35),P35,X35),((0.5*(0.9*DATOS!$C$87*DATOS!$C$83/100/1000)*IF(ISNUMBER(P35),P35,X35)+BG35/IF(ISNUMBER(P35),P35,X35))-SQRT((0.5*(0.9*DATOS!$C$87*DATOS!$C$83/100/1000)*IF(ISNUMBER(P35),P35,X35)+BG35/IF(ISNUMBER(P35),P35,X35))^2-4*(0.5*(0.9*DATOS!$C$87*DATOS!$C$83/100/1000))*BG35))/(2*(0.5*(0.9*DATOS!$C$87*DATOS!$C$83/100/1000)))))*100+MAX(BW35,12*INDEX(TABLAS!$C$52:$C$58,MATCH(BU35,TABLAS!$B$52:$B$58,0)),IF(ISNUMBER(P35),P35,X35)*100/16),IF(OR(AK35&lt;INDEX(TABLAS!$C$52:$C$58,MATCH(BU35,TABLAS!$B$52:$B$58,0)),AND(BV35&gt;=2,(AC35-2*AK35-BV35*INDEX(TABLAS!$C$52:$C$58,MATCH(BU35,TABLAS!$B$52:$B$58,0)))/MAX(BV35-1,1)&lt;2*INDEX(TABLAS!$C$52:$C$58,MATCH(BU35,TABLAS!$B$52:$B$58,0)))),INDEX(TABLAS!$I$52:$I$58,MATCH(BU35,TABLAS!$B$52:$B$58,0)),INDEX(TABLAS!$F$52:$F$58,MATCH(BU35,TABLAS!$B$52:$B$58,0)))),5)),IF(((4*((BB35*AQ35*X35^2*1E-4*DATOS!$C$83/100/1000)+((MAX(AX35,AZ35)*AQ35*X35^2*1E-4*DATOS!$C$83/100/1000)+(IF(AND(AX35&gt;0,AZ35&gt;0),MIN(AX35,AZ35),MAX(AX35,AZ35))*AQ35*X35^2*1E-4*DATOS!$C$83/100/1000))/2)+BG35-(IF(AND(AX35&gt;0,AZ35&gt;0),MIN(AX35,AZ35),MAX(AX35,AZ35))*AQ35*X35^2*1E-4*DATOS!$C$83/100/1000))^2-16*((BB35*AQ35*X35^2*1E-4*DATOS!$C$83/100/1000)+((MAX(AX35,AZ35)*AQ35*X35^2*1E-4*DATOS!$C$83/100/1000)+(IF(AND(AX35&gt;0,AZ35&gt;0),MIN(AX35,AZ35),MAX(AX35,AZ35))*AQ35*X35^2*1E-4*DATOS!$C$83/100/1000))/2)*BG35)&lt;0,CEILING(AA35,5),CEILING(MAX(AA35*((4*((BB35*AQ35*X35^2*1E-4*DATOS!$C$83/100/1000)+((MAX(AX35,AZ35)*AQ35*X35^2*1E-4*DATOS!$C$83/100/1000)+(IF(AND(AX35&gt;0,AZ35&gt;0),MIN(AX35,AZ35),MAX(AX35,AZ35))*AQ35*X35^2*1E-4*DATOS!$C$83/100/1000))/2)+BG35-(IF(AND(AX35&gt;0,AZ35&gt;0),MIN(AX35,AZ35),MAX(AX35,AZ35))*AQ35*X35^2*1E-4*DATOS!$C$83/100/1000))-SQRT(MAX(0,((4*((BB35*AQ35*X35^2*1E-4*DATOS!$C$83/100/1000)+((MAX(AX35,AZ35)*AQ35*X35^2*1E-4*DATOS!$C$83/100/1000)+(IF(AND(AX35&gt;0,AZ35&gt;0),MIN(AX35,AZ35),MAX(AX35,AZ35))*AQ35*X35^2*1E-4*DATOS!$C$83/100/1000))/2)+BG35-(IF(AND(AX35&gt;0,AZ35&gt;0),MIN(AX35,AZ35),MAX(AX35,AZ35))*AQ35*X35^2*1E-4*DATOS!$C$83/100/1000))^2-16*((BB35*AQ35*X35^2*1E-4*DATOS!$C$83/100/1000)+((MAX(AX35,AZ35)*AQ35*X35^2*1E-4*DATOS!$C$83/100/1000)+(IF(AND(AX35&gt;0,AZ35&gt;0),MIN(AX35,AZ35),MAX(AX35,AZ35))*AQ35*X35^2*1E-4*DATOS!$C$83/100/1000))/2)*BG35))))/(8*MAX(((BB35*AQ35*X35^2*1E-4*DATOS!$C$83/100/1000)+((MAX(AX35,AZ35)*AQ35*X35^2*1E-4*DATOS!$C$83/100/1000)+(IF(AND(AX35&gt;0,AZ35&gt;0),MIN(AX35,AZ35),MAX(AX35,AZ35))*AQ35*X35^2*1E-4*DATOS!$C$83/100/1000))/2),1E-9))+MAX(BW35,12*INDEX(TABLAS!$C$52:$C$58,MATCH(BU35,TABLAS!$B$52:$B$58,0)),AA35/16),IF(OR(AK35&lt;INDEX(TABLAS!$C$52:$C$58,MATCH(BU35,TABLAS!$B$52:$B$58,0)),AND(BV35&gt;=2,(AC35-2*AK35-BV35*INDEX(TABLAS!$C$52:$C$58,MATCH(BU35,TABLAS!$B$52:$B$58,0)))/MAX(BV35-1,1)&lt;2*INDEX(TABLAS!$C$52:$C$58,MATCH(BU35,TABLAS!$B$52:$B$58,0)))),INDEX(TABLAS!$I$52:$I$58,MATCH(BU35,TABLAS!$B$52:$B$58,0)),INDEX(TABLAS!$F$52:$F$58,MATCH(BU35,TABLAS!$B$52:$B$58,0)))),5))))</f>
        <v/>
      </c>
      <c r="DC35" s="60" t="str">
        <f>IF(U35&lt;&gt;"SÍ","",IF(C35="VOLADO",0,IF(((4*((BC35*AQ35*X35^2*1E-4*DATOS!$C$83/100/1000)+((MAX(AY35,BA35)*AQ35*X35^2*1E-4*DATOS!$C$83/100/1000)+(IF(AND(AY35&gt;0,BA35&gt;0),MIN(AY35,BA35),MAX(AY35,BA35))*AQ35*X35^2*1E-4*DATOS!$C$83/100/1000))/2)+BI35-(IF(AND(AY35&gt;0,BA35&gt;0),MIN(AY35,BA35),MAX(AY35,BA35))*AQ35*X35^2*1E-4*DATOS!$C$83/100/1000))^2-16*((BC35*AQ35*X35^2*1E-4*DATOS!$C$83/100/1000)+((MAX(AY35,BA35)*AQ35*X35^2*1E-4*DATOS!$C$83/100/1000)+(IF(AND(AY35&gt;0,BA35&gt;0),MIN(AY35,BA35),MAX(AY35,BA35))*AQ35*X35^2*1E-4*DATOS!$C$83/100/1000))/2)*BI35)&lt;0,CEILING(AB35,5),CEILING(MAX(AB35*((4*((BC35*AQ35*X35^2*1E-4*DATOS!$C$83/100/1000)+((MAX(AY35,BA35)*AQ35*X35^2*1E-4*DATOS!$C$83/100/1000)+(IF(AND(AY35&gt;0,BA35&gt;0),MIN(AY35,BA35),MAX(AY35,BA35))*AQ35*X35^2*1E-4*DATOS!$C$83/100/1000))/2)+BI35-(IF(AND(AY35&gt;0,BA35&gt;0),MIN(AY35,BA35),MAX(AY35,BA35))*AQ35*X35^2*1E-4*DATOS!$C$83/100/1000))-SQRT(MAX(0,((4*((BC35*AQ35*X35^2*1E-4*DATOS!$C$83/100/1000)+((MAX(AY35,BA35)*AQ35*X35^2*1E-4*DATOS!$C$83/100/1000)+(IF(AND(AY35&gt;0,BA35&gt;0),MIN(AY35,BA35),MAX(AY35,BA35))*AQ35*X35^2*1E-4*DATOS!$C$83/100/1000))/2)+BI35-(IF(AND(AY35&gt;0,BA35&gt;0),MIN(AY35,BA35),MAX(AY35,BA35))*AQ35*X35^2*1E-4*DATOS!$C$83/100/1000))^2-16*((BC35*AQ35*X35^2*1E-4*DATOS!$C$83/100/1000)+((MAX(AY35,BA35)*AQ35*X35^2*1E-4*DATOS!$C$83/100/1000)+(IF(AND(AY35&gt;0,BA35&gt;0),MIN(AY35,BA35),MAX(AY35,BA35))*AQ35*X35^2*1E-4*DATOS!$C$83/100/1000))/2)*BI35))))/(8*MAX(((BC35*AQ35*X35^2*1E-4*DATOS!$C$83/100/1000)+((MAX(AY35,BA35)*AQ35*X35^2*1E-4*DATOS!$C$83/100/1000)+(IF(AND(AY35&gt;0,BA35&gt;0),MIN(AY35,BA35),MAX(AY35,BA35))*AQ35*X35^2*1E-4*DATOS!$C$83/100/1000))/2),1E-9))+MAX(CM35,12*INDEX(TABLAS!$C$52:$C$58,MATCH(CK35,TABLAS!$B$52:$B$58,0)),AB35/16),IF(OR(AK35&lt;INDEX(TABLAS!$C$52:$C$58,MATCH(CK35,TABLAS!$B$52:$B$58,0)),AND(CL35&gt;=2,(DATOS!$C$80-2*AK35-CL35*INDEX(TABLAS!$C$52:$C$58,MATCH(CK35,TABLAS!$B$52:$B$58,0)))/MAX(CL35-1,1)&lt;2*INDEX(TABLAS!$C$52:$C$58,MATCH(CK35,TABLAS!$B$52:$B$58,0)))),INDEX(TABLAS!$I$52:$I$58,MATCH(CK35,TABLAS!$B$52:$B$58,0)),INDEX(TABLAS!$F$52:$F$58,MATCH(CK35,TABLAS!$B$52:$B$58,0)))),5))))</f>
        <v/>
      </c>
      <c r="DD35" s="55" t="str">
        <f>IF(U35&lt;&gt;"SÍ","",IF(AND(C35="PERIMETRAL",BV35&gt;=2,AR35-AS35&gt;0,AZ35*AQ35*X35^2*1E-4*DATOS!$C$83/100/1000&gt;DATOS!$C$29*INDEX(TABLAS!$D$52:$D$58,MATCH(BU35,TABLAS!$B$52:$B$58,0))*DATOS!$C$14*(BW35-INDEX(TABLAS!$D$52:$D$58,MATCH(BU35,TABLAS!$B$52:$B$58,0))*DATOS!$C$14/(DATOS!$C$21*AE35)/2)/1E5),"SÍ","NO"))</f>
        <v/>
      </c>
      <c r="DE35" s="55" t="str">
        <f>IF(U35&lt;&gt;"SÍ","",IF(AND(C35="PERIMETRAL",CL35&gt;=2,AS35&gt;0,BA35*AQ35*X35^2*1E-4*DATOS!$C$83/100/1000&gt;DATOS!$C$29*INDEX(TABLAS!$D$52:$D$58,MATCH(CK35,TABLAS!$B$52:$B$58,0))*DATOS!$C$14*(CM35-INDEX(TABLAS!$D$52:$D$58,MATCH(CK35,TABLAS!$B$52:$B$58,0))*DATOS!$C$14/(DATOS!$C$21*AF35)/2)/1E5),"SÍ","NO"))</f>
        <v/>
      </c>
      <c r="DF35" s="63" t="str">
        <f>IF(U35&lt;&gt;"SÍ","",IF(OR(C35="VOLADO",AR35=0),"—",IF(AND(AND(1.25*INDEX(TABLAS!$G$52:$G$58,MATCH(MAX(BM35,CC35),TABLAS!$B$52:$B$58,0))&lt;=(DATOS!$C$72-DATOS!$C$60),(DATOS!$C$72-DATOS!$C$60)&gt;=15,INDEX(TABLAS!$G$52:$G$58,MATCH(MAX(BU35,CK35),TABLAS!$B$52:$B$58,0))&lt;=(DATOS!$C$72-DATOS!$C$60)),8*INDEX(TABLAS!$C$52:$C$58,MATCH(MAX(MAX(BM35,CC35),MAX(BU35,CK35)),TABLAS!$B$52:$B$58,0))&lt;=DATOS!$C$73-2*DATOS!$C$60),"CUMPLE (gancho de 180°)",IF(AND(1.25*INDEX(TABLAS!$G$52:$G$58,MATCH(MAX(BM35,CC35),TABLAS!$B$52:$B$58,0))&lt;=(DATOS!$C$72-DATOS!$C$60),(DATOS!$C$72-DATOS!$C$60)&gt;=15,INDEX(TABLAS!$G$52:$G$58,MATCH(MAX(BU35,CK35),TABLAS!$B$52:$B$58,0))&lt;=(DATOS!$C$72-DATOS!$C$60)),"NO CUMPLE: el gancho de 180° (8·d_b) no cabe en el peralte de la dala de borde","NO CUMPLE: dala de borde ≥ "&amp;TEXT(CEILING(MAX(1.25*INDEX(TABLAS!$G$52:$G$58,MATCH(MAX(BM35,CC35),TABLAS!$B$52:$B$58,0)),15,INDEX(TABLAS!$G$52:$G$58,MATCH(MAX(BU35,CK35),TABLAS!$B$52:$B$58,0)))+DATOS!$C$60,5),"0")&amp;" cm de ancho"&amp;IF(8*INDEX(TABLAS!$C$52:$C$58,MATCH(MAX(MAX(BM35,CC35),MAX(BU35,CK35)),TABLAS!$B$52:$B$58,0))&lt;=DATOS!$C$73-2*DATOS!$C$60,""," y más peralte para el gancho")))))</f>
        <v/>
      </c>
      <c r="DG35" s="59" t="str">
        <f>IF(U35&lt;&gt;"SÍ","",MAX(0,INT((E35*100-DATOS!$C$84+DATOS!$C$83-IF(W35="X",DATOS!$C$78,AD35))/DATOS!$C$83)))</f>
        <v/>
      </c>
      <c r="DH35" s="59" t="str">
        <f>IF(U35&lt;&gt;"SÍ","",MAX(0,INT((F35*100-DATOS!$C$84+DATOS!$C$83-IF(W35="Y",DATOS!$C$78,AD35))/DATOS!$C$83)))</f>
        <v/>
      </c>
      <c r="DI35" s="57" t="str">
        <f>IF(U35&lt;&gt;"SÍ","",IF(DG35&gt;0,(E35*100-DATOS!$C$84-(DG35*IF(W35="X",DATOS!$C$78,AD35)+(DG35-1)*(DATOS!$C$83-IF(W35="X",DATOS!$C$78,AD35))))/2,E35*100/2))</f>
        <v/>
      </c>
      <c r="DJ35" s="57" t="str">
        <f>IF(U35&lt;&gt;"SÍ","",IF(DH35&gt;0,(F35*100-DATOS!$C$84-(DH35*IF(W35="Y",DATOS!$C$78,AD35)+(DH35-1)*(DATOS!$C$83-IF(W35="Y",DATOS!$C$78,AD35))))/2,F35*100/2))</f>
        <v/>
      </c>
      <c r="DK35" s="59" t="str">
        <f>IF(U35&lt;&gt;"SÍ","",IF(NOT(AND(C35="VOLADO",AC35&gt;DATOS!$C$80)),0,IF(INDEX(TABLAS!$C$52:$C$58,MATCH(BU35,TABLAS!$B$52:$B$58,0))&lt;=DATOS!$C$80-2*DATOS!$C$60,1,0)))</f>
        <v/>
      </c>
      <c r="DL35" s="58" t="str">
        <f>IF(U35&lt;&gt;"SÍ","",IF(NOT(AND(C35="VOLADO",AC35&gt;DATOS!$C$80)),0,((DATOS!$C$82-MAX(DATOS!$C$60,(DATOS!$C$81-2*DATOS!$C$94)/2)-2*DATOS!$C$94-INDEX(TABLAS!$C$52:$C$58,MATCH(BU35,TABLAS!$B$52:$B$58,0))/2)-IF(AND((DATOS!$C$82-MAX(DATOS!$C$60,(DATOS!$C$81-2*DATOS!$C$94)/2)-2*DATOS!$C$94-INDEX(TABLAS!$C$52:$C$58,MATCH(BU35,TABLAS!$B$52:$B$58,0))/2)&lt;=20,DATOS!$C$62&lt;&gt;"SÍ"),2,0))))</f>
        <v/>
      </c>
      <c r="DM35" s="56" t="str">
        <f>IF(U35&lt;&gt;"SÍ","",IF(OR(NOT(AND(C35="VOLADO",AC35&gt;DATOS!$C$80)),DK35&lt;1),0,IF(0.003*(DL35-((DK35*INDEX(TABLAS!$D$52:$D$58,MATCH(BU35,TABLAS!$B$52:$B$58,0)))*DATOS!$C$14/(DATOS!$C$21*AF35)/DATOS!$C$22))/((DK35*INDEX(TABLAS!$D$52:$D$58,MATCH(BU35,TABLAS!$B$52:$B$58,0)))*DATOS!$C$14/(DATOS!$C$21*AF35)/DATOS!$C$22)&lt;0.005,0,DATOS!$C$29*(DK35*INDEX(TABLAS!$D$52:$D$58,MATCH(BU35,TABLAS!$B$52:$B$58,0)))*DATOS!$C$14*(DL35-(DK35*INDEX(TABLAS!$D$52:$D$58,MATCH(BU35,TABLAS!$B$52:$B$58,0)))*DATOS!$C$14/(DATOS!$C$21*AF35)/2)/1E5)))</f>
        <v/>
      </c>
      <c r="DN35" s="56" t="str">
        <f>IF(U35&lt;&gt;"SÍ","",IF(OR(NOT(AND(C35="VOLADO",AC35&gt;DATOS!$C$80)),DK35&lt;1),0,DATOS!$C$30*2*MIN(1,SQRT(2/(1+0.04*DL35)))*((DK35*INDEX(TABLAS!$D$52:$D$58,MATCH(BU35,TABLAS!$B$52:$B$58,0)))/(AF35*DL35))^(1/3)*SQRT(DATOS!$C$13)*AF35*DL35/1000))</f>
        <v/>
      </c>
      <c r="DO35" s="56" t="str">
        <f>IF(U35&lt;&gt;"SÍ","",IF(NOT(AND(C35="VOLADO",AC35&gt;DATOS!$C$80)),0,IF((BG35-DM35)&lt;=0,0,IF(DM35&lt;=0,IF(ISNUMBER(P35),P35,X35),IF(((0.9*DATOS!$C$87*DATOS!$C$83/100/1000)*IF(ISNUMBER(P35),P35,X35)/2+BG35/IF(ISNUMBER(P35),P35,X35))^2-4*((0.9*DATOS!$C$87*DATOS!$C$83/100/1000)/2)*(BG35-DM35)&lt;0,IF(ISNUMBER(P35),P35,X35),MIN(IF(ISNUMBER(P35),P35,X35),(((0.9*DATOS!$C$87*DATOS!$C$83/100/1000)*IF(ISNUMBER(P35),P35,X35)/2+BG35/IF(ISNUMBER(P35),P35,X35))-SQRT(((0.9*DATOS!$C$87*DATOS!$C$83/100/1000)*IF(ISNUMBER(P35),P35,X35)/2+BG35/IF(ISNUMBER(P35),P35,X35))^2-4*((0.9*DATOS!$C$87*DATOS!$C$83/100/1000)/2)*(BG35-DM35)))/(2*((0.9*DATOS!$C$87*DATOS!$C$83/100/1000)/2))))))))</f>
        <v/>
      </c>
      <c r="DP35" s="56" t="str">
        <f>IF(U35&lt;&gt;"SÍ","",IF(NOT(AND(C35="VOLADO",AC35&gt;DATOS!$C$80)),0,MIN(IF(ISNUMBER(P35),P35,X35),MAX(0,IF(ISNUMBER(P35),P35,X35)/2+BG35/IF(ISNUMBER(P35),P35,X35)/(AQ35*DATOS!$C$83/100/1000)-DN35/(AQ35*DATOS!$C$83/100/1000)))))</f>
        <v/>
      </c>
      <c r="DQ35" s="56" t="str">
        <f>IF(U35&lt;&gt;"SÍ","",IF(NOT(AND(C35="VOLADO",AC35&gt;DATOS!$C$80)),0,BG35/IF(ISNUMBER(P35),P35,X35)+(AQ35*DATOS!$C$83/100/1000)*MAX(0,IF(ISNUMBER(P35),P35,X35)/2-BW35/100)))</f>
        <v/>
      </c>
      <c r="DR35" s="59" t="str">
        <f>IF(U35&lt;&gt;"SÍ","",IF(NOT(AND(C35="VOLADO",AC35&gt;DATOS!$C$80)),0,CEILING(100*MIN(IF(ISNUMBER(P35),P35,X35),MAX(IF(DO35&gt;0,DO35+IF(BV35&gt;=2,MAX(DL35,12*INDEX(TABLAS!$C$52:$C$58,MATCH(BU35,TABLAS!$B$52:$B$58,0)))/100,0),0),DP35,IF(BV35&gt;=2,INDEX(TABLAS!$F$52:$F$58,MATCH(BU35,TABLAS!$B$52:$B$58,0))/100,0))),5)))</f>
        <v/>
      </c>
      <c r="DS35" s="60" t="str">
        <f>IF(U35&lt;&gt;"SÍ","",IF(NOT(AND(C35="VOLADO",AC35&gt;DATOS!$C$80)),0,IF(DR35&lt;=0,0,CEILING(DR35/DATOS!$C$83,1))))</f>
        <v/>
      </c>
      <c r="DT35" s="61" t="str">
        <f>IF(U35&lt;&gt;"SÍ","",IF(C35&lt;&gt;"VOLADO","—",IF(AC35&lt;=DATOS!$C$80,"— (mismo b_w que el respaldo)",IF(DQ35&gt;CR35,"NO CUMPLE: cortante de la nervadura ancha junto al apoyo ("&amp;TEXT(DQ35,"0.00")&amp;" &gt; "&amp;TEXT(CR35,"0.00")&amp;" t)",IF(DR35&gt;=100*IF(ISNUMBER(P35),P35,X35),"CUMPLE — todas las nervaduras del respaldo ‖ al volado con b_w = "&amp;AC35&amp;" cm","CUMPLE — "&amp;DS35&amp;" hilera(s) del respaldo con nervaduras de b_w = "&amp;AC35&amp;" cm (casetón "&amp;AD35&amp;" cm), hasta "&amp;TEXT(DR35/100,"0.00")&amp;" m del paño")))))</f>
        <v/>
      </c>
      <c r="DU35" s="69" t="str">
        <f>IF(U35&lt;&gt;"SÍ","",IF(BN35=0,"NO ALCANZA",BN35&amp;" No. "&amp;BM35&amp;IF(BN35&gt;1," corridas"," corrida")))</f>
        <v/>
      </c>
      <c r="DV35" s="69" t="str">
        <f>IF(U35&lt;&gt;"SÍ","",IF(BV35=0,"NO ALCANZA",IF(AND(C35="VOLADO",AC35&gt;DATOS!$C$80,BV35&gt;=2),"1 No. "&amp;BU35&amp;" corrida de la orilla al respaldo ("&amp;IF(DB35&gt;=100*IF(ISNUMBER(P35),P35,X35),"hasta su apoyo lejano, con gancho","entra "&amp;TEXT(DB35/100,"0.00")&amp;" m desde el paño")&amp;") + "&amp;(BV35-1)&amp;" bastón No. "&amp;BU35&amp;" hasta "&amp;TEXT(DR35/100,"0.00")&amp;" m del paño (fin de la nervadura ancha)",IF(C35="VOLADO",BV35&amp;" No. "&amp;BU35&amp;" de la orilla al respaldo ("&amp;IF(DB35&gt;=100*IF(ISNUMBER(P35),P35,X35),"hasta su apoyo lejano, con gancho","entran "&amp;TEXT(DB35/100,"0.00")&amp;" m desde el paño")&amp;")","1 No. "&amp;BU35&amp;" corrida"&amp;IF(BV35&gt;1," + "&amp;(BV35-1)&amp;" bastón No. "&amp;BU35&amp;" L = "&amp;TEXT(DB35/100,"0.00")&amp;" m desde el paño","")))))</f>
        <v/>
      </c>
      <c r="DW35" s="69" t="str">
        <f>IF(U35&lt;&gt;"SÍ","",IF(CD35=0,"NO ALCANZA",CD35&amp;" No. "&amp;CC35&amp;IF(CD35&gt;1," corridas"," corrida")))</f>
        <v/>
      </c>
      <c r="DX35" s="69" t="str">
        <f>IF(U35&lt;&gt;"SÍ","",IF(CL35=0,"NO ALCANZA",IF(C35="VOLADO","1 No. "&amp;CK35&amp;" corrida (repartición)","1 No. "&amp;CK35&amp;" corrida"&amp;IF(CL35&gt;1," + "&amp;(CL35-1)&amp;" bastón No. "&amp;CK35&amp;" L = "&amp;TEXT(DC35/100,"0.00")&amp;" m desde el paño",""))))</f>
        <v/>
      </c>
      <c r="DY35" s="67" t="str">
        <f>IF(B35="","",IF(U35&lt;&gt;"SÍ","FALTAN DATOS: tipo, a_x, a_y y destino",IF(L35="NO MONOLÍTICO (caso II)","FUERA DE ALCANCE: caso II no transcrito",IF(AND(C35="VOLADO",V35="?"),"REVISAR: el volado lleva UN solo borde CONTINUO (el empotrado)",IF(AND(MAX(BQ35,BY35,CG35,CO35)&lt;=1,NOT(OR(BN35&gt;MIN(DATOS!$C$70,INT(((AC35-2*AJ35)+MAX(DATOS!$C$67,INDEX(TABLAS!$C$52:$C$58,MATCH(BM35,TABLAS!$B$52:$B$58,0))))/(INDEX(TABLAS!$C$52:$C$58,MATCH(BM35,TABLAS!$B$52:$B$58,0))+MAX(DATOS!$C$67,INDEX(TABLAS!$C$52:$C$58,MATCH(BM35,TABLAS!$B$52:$B$58,0)))))),BV35&gt;MIN(DATOS!$C$70,INT(((AC35-2*AK35)+MAX(DATOS!$C$67,INDEX(TABLAS!$C$52:$C$58,MATCH(BU35,TABLAS!$B$52:$B$58,0))))/(INDEX(TABLAS!$C$52:$C$58,MATCH(BU35,TABLAS!$B$52:$B$58,0))+MAX(DATOS!$C$67,INDEX(TABLAS!$C$52:$C$58,MATCH(BU35,TABLAS!$B$52:$B$58,0)))))),CD35&gt;MIN(DATOS!$C$70,INT(((DATOS!$C$80-2*AJ35)+MAX(DATOS!$C$67,INDEX(TABLAS!$C$52:$C$58,MATCH(CC35,TABLAS!$B$52:$B$58,0))))/(INDEX(TABLAS!$C$52:$C$58,MATCH(CC35,TABLAS!$B$52:$B$58,0))+MAX(DATOS!$C$67,INDEX(TABLAS!$C$52:$C$58,MATCH(CC35,TABLAS!$B$52:$B$58,0)))))),CL35&gt;MIN(DATOS!$C$70,INT(((DATOS!$C$80-2*AK35)+MAX(DATOS!$C$67,INDEX(TABLAS!$C$52:$C$58,MATCH(CK35,TABLAS!$B$52:$B$58,0))))/(INDEX(TABLAS!$C$52:$C$58,MATCH(CK35,TABLAS!$B$52:$B$58,0))+MAX(DATOS!$C$67,INDEX(TABLAS!$C$52:$C$58,MATCH(CK35,TABLAS!$B$52:$B$58,0)))))))),NOT(OR(AND(ISNUMBER(BR35),BR35&lt;0.005),AND(ISNUMBER(BZ35),BZ35&lt;0.005),AND(ISNUMBER(CH35),CH35&lt;0.005),AND(ISNUMBER(CP35),CP35&lt;0.005))),NOT(LEFT(DT35,2)="NO"),CZ35="CUMPLE",DA35="CUMPLE",LEFT(CT35,2)&lt;&gt;"NO"),IF(LEFT(CT35,6)="CUMPLE","CUMPLE","CUMPLE — "&amp;CT35)&amp;IF(LEFT(BJ35,5)="FUERA"," · fuera de 3.4.2.1 c)","")&amp;IF(LEFT(DF35,2)="NO"," · REVISAR anclaje en borde discontinuo","")&amp;IF(DS35&gt;0," · respaldo: "&amp;DS35&amp;" hilera(s) de b_w "&amp;AC35&amp;" cm",""),IF(AND(MAX(BQ35,BY35,CG35,CO35)&lt;=1,NOT(OR(BN35&gt;MIN(DATOS!$C$70,INT(((AC35-2*AJ35)+MAX(DATOS!$C$67,INDEX(TABLAS!$C$52:$C$58,MATCH(BM35,TABLAS!$B$52:$B$58,0))))/(INDEX(TABLAS!$C$52:$C$58,MATCH(BM35,TABLAS!$B$52:$B$58,0))+MAX(DATOS!$C$67,INDEX(TABLAS!$C$52:$C$58,MATCH(BM35,TABLAS!$B$52:$B$58,0)))))),BV35&gt;MIN(DATOS!$C$70,INT(((AC35-2*AK35)+MAX(DATOS!$C$67,INDEX(TABLAS!$C$52:$C$58,MATCH(BU35,TABLAS!$B$52:$B$58,0))))/(INDEX(TABLAS!$C$52:$C$58,MATCH(BU35,TABLAS!$B$52:$B$58,0))+MAX(DATOS!$C$67,INDEX(TABLAS!$C$52:$C$58,MATCH(BU35,TABLAS!$B$52:$B$58,0)))))),CD35&gt;MIN(DATOS!$C$70,INT(((DATOS!$C$80-2*AJ35)+MAX(DATOS!$C$67,INDEX(TABLAS!$C$52:$C$58,MATCH(CC35,TABLAS!$B$52:$B$58,0))))/(INDEX(TABLAS!$C$52:$C$58,MATCH(CC35,TABLAS!$B$52:$B$58,0))+MAX(DATOS!$C$67,INDEX(TABLAS!$C$52:$C$58,MATCH(CC35,TABLAS!$B$52:$B$58,0)))))),CL35&gt;MIN(DATOS!$C$70,INT(((DATOS!$C$80-2*AK35)+MAX(DATOS!$C$67,INDEX(TABLAS!$C$52:$C$58,MATCH(CK35,TABLAS!$B$52:$B$58,0))))/(INDEX(TABLAS!$C$52:$C$58,MATCH(CK35,TABLAS!$B$52:$B$58,0))+MAX(DATOS!$C$67,INDEX(TABLAS!$C$52:$C$58,MATCH(CK35,TABLAS!$B$52:$B$58,0)))))))),NOT(OR(AND(ISNUMBER(BR35),BR35&lt;0.005),AND(ISNUMBER(BZ35),BZ35&lt;0.005),AND(ISNUMBER(CH35),CH35&lt;0.005),AND(ISNUMBER(CP35),CP35&lt;0.005))),NOT(LEFT(DT35,2)="NO"),CZ35="CALCULAR FLECHA",LEFT(CT35,2)&lt;&gt;"NO"),"REVISAR: calcular flecha (h_eq &lt; h mín.)"&amp;IF(LEFT(BJ35,5)="FUERA"," · fuera de 3.4.2.1 c)","")&amp;IF(LEFT(DF35,2)="NO"," · REVISAR anclaje en borde discontinuo","")&amp;IF(DS35&gt;0," · respaldo: "&amp;DS35&amp;" hilera(s) de b_w "&amp;AC35&amp;" cm",""),"NO CUMPLE: "&amp;IF(MAX(BQ35,BY35,CG35,CO35)&gt;1,"flexión ","")&amp;IF(OR(BN35&gt;MIN(DATOS!$C$70,INT(((AC35-2*AJ35)+MAX(DATOS!$C$67,INDEX(TABLAS!$C$52:$C$58,MATCH(BM35,TABLAS!$B$52:$B$58,0))))/(INDEX(TABLAS!$C$52:$C$58,MATCH(BM35,TABLAS!$B$52:$B$58,0))+MAX(DATOS!$C$67,INDEX(TABLAS!$C$52:$C$58,MATCH(BM35,TABLAS!$B$52:$B$58,0)))))),BV35&gt;MIN(DATOS!$C$70,INT(((AC35-2*AK35)+MAX(DATOS!$C$67,INDEX(TABLAS!$C$52:$C$58,MATCH(BU35,TABLAS!$B$52:$B$58,0))))/(INDEX(TABLAS!$C$52:$C$58,MATCH(BU35,TABLAS!$B$52:$B$58,0))+MAX(DATOS!$C$67,INDEX(TABLAS!$C$52:$C$58,MATCH(BU35,TABLAS!$B$52:$B$58,0)))))),CD35&gt;MIN(DATOS!$C$70,INT(((DATOS!$C$80-2*AJ35)+MAX(DATOS!$C$67,INDEX(TABLAS!$C$52:$C$58,MATCH(CC35,TABLAS!$B$52:$B$58,0))))/(INDEX(TABLAS!$C$52:$C$58,MATCH(CC35,TABLAS!$B$52:$B$58,0))+MAX(DATOS!$C$67,INDEX(TABLAS!$C$52:$C$58,MATCH(CC35,TABLAS!$B$52:$B$58,0)))))),CL35&gt;MIN(DATOS!$C$70,INT(((DATOS!$C$80-2*AK35)+MAX(DATOS!$C$67,INDEX(TABLAS!$C$52:$C$58,MATCH(CK35,TABLAS!$B$52:$B$58,0))))/(INDEX(TABLAS!$C$52:$C$58,MATCH(CK35,TABLAS!$B$52:$B$58,0))+MAX(DATOS!$C$67,INDEX(TABLAS!$C$52:$C$58,MATCH(CK35,TABLAS!$B$52:$B$58,0))))))),"no caben ","")&amp;IF(OR(AND(ISNUMBER(BR35),BR35&lt;0.005),AND(ISNUMBER(BZ35),BZ35&lt;0.005),AND(ISNUMBER(CH35),CH35&lt;0.005),AND(ISNUMBER(CP35),CP35&lt;0.005)),"ε_t &lt; 0.005 ","")&amp;IF(LEFT(CT35,2)="NO","cortante ","")&amp;IF(CZ35="NO CUMPLE","peralte ","")&amp;IF(DA35&lt;&gt;"CUMPLE","capa &lt; 6 cm ","")&amp;IF(LEFT(DT35,2)="NO","respaldo del volado","")))))))</f>
        <v/>
      </c>
      <c r="DZ35" s="70" t="str">
        <f>IF(U35&lt;&gt;"SÍ","",IF(LEFT(B35,7)="EJEMPLO","EJEMPLO de la hoja de Casa Rocha: bórralo o sobrescríbelo. ","")&amp;IF(AND(C35="PERIMETRAL",MIN(DG35,DH35)=0),"No cabe un casetón en el claro corto: es un tablero macizo, diséñalo en MACIZAS. ","")&amp;IF(AND(AI35="NO",C35="PERIMETRAL"),"No cumple 6.7.8.1.4 (a_c = "&amp;MAX(DATOS!$C$78,AD35)&amp;" cm &gt; claro corto/6 = "&amp;TEXT(X35*100/6,"0")&amp;" cm): se diseña como losa apoyada en vigas (6.7.8.1.9): r de viga = "&amp;DATOS!$C$60&amp;" cm y V_cR sin ×1.1. Para que cuente como encasetonada: casetón de "&amp;TEXT(FLOOR(MIN(80,X35*100/6),1),"0")&amp;" cm o menor. ","")&amp;IF(C35="VOLADO","Volado de "&amp;TEXT(X35,"0.00")&amp;" m empotrado en el borde "&amp;LOWER(V35)&amp;IF(N(O35)&gt;0,", con "&amp;TEXT(O35,"0.0")&amp;" kg/m en la orilla","")&amp;". Lecho inferior con r_ext. Si la orilla carga pretil u otro elemento frágil, calcula la flecha (13.4). El acero superior entra al respaldo de "&amp;TEXT(IF(ISNUMBER(P35),P35,X35),"0.00")&amp;" m"&amp;IF(ISNUMBER(P35),""," (L_b no capturado: se tomó igual al volado)")&amp;" hasta pasar M = 0 con 0.9·PP sin carga viva; si ahí no se anula, llega al apoyo lejano y se ancla con gancho (NTC-Criterios 3.4.1 c y 5.1.2.2). "&amp;IF(AC35&gt;DATOS!$C$80,"Respaldo: "&amp;DT35&amp;". ",""),"")&amp;IF(LEFT(BJ35,5)="FUERA","El M⁻ del vecino difiere más de 50 % (3.4.2.1 c): distribuye el desequilibrio (3.4.3.1) o confirma con un modelo; se arma con el mayor. ","")&amp;IF(OR(DD35="SÍ",DE35="SÍ"),"El M⁻ del borde discontinuo pide bastón también ahí (con gancho). ","")&amp;IF(LEFT(DF35,2)="NO","Anclaje: "&amp;DF35&amp;" (6.7.8.1.7). ","")&amp;IF(OR(AZ35&gt;0,BA35&gt;0),"Esquinas exteriores sobre muro: refuerzo de esquina arriba y abajo en L_largo/5 (6.7.7.3.1). ",""))</f>
        <v/>
      </c>
    </row>
    <row r="36" ht="33" customHeight="1">
      <c r="A36" s="50">
        <f>IF(B36="",0,1)+A35</f>
        <v>4</v>
      </c>
      <c r="B36" s="29" t="n"/>
      <c r="C36" s="51" t="n"/>
      <c r="D36" s="29" t="n"/>
      <c r="E36" s="52" t="n"/>
      <c r="F36" s="52" t="n"/>
      <c r="G36" s="51" t="n"/>
      <c r="H36" s="51" t="n"/>
      <c r="I36" s="51" t="n"/>
      <c r="J36" s="51" t="n"/>
      <c r="K36" s="51" t="n"/>
      <c r="L36" s="51" t="n"/>
      <c r="M36" s="53" t="n"/>
      <c r="N36" s="53" t="n"/>
      <c r="O36" s="54" t="n"/>
      <c r="P36" s="52" t="n"/>
      <c r="Q36" s="53" t="n"/>
      <c r="R36" s="54" t="n"/>
      <c r="S36" s="52" t="n"/>
      <c r="T36" s="52" t="n"/>
      <c r="U36" s="55" t="str">
        <f>IF(B36="","",IF(AND(OR(C36="PERIMETRAL",C36="VOLADO"),ISNUMBER(E36),ISNUMBER(F36),E36&gt;0,F36&gt;0,OR(ISNUMBER(N36),ISNUMBER(MATCH(D36,DATOS!$B$46:$B$55,0)))),"SÍ","NO"))</f>
        <v/>
      </c>
      <c r="V36" s="55" t="str">
        <f>IF(U36&lt;&gt;"SÍ","",IF(C36&lt;&gt;"VOLADO","—",IF(COUNTIF(G36:J36,"CONTINUO")&lt;&gt;1,"?",IF(G36="CONTINUO","INFERIOR",IF(H36="CONTINUO","SUPERIOR",IF(I36="CONTINUO","IZQUIERDO","DERECHO"))))))</f>
        <v/>
      </c>
      <c r="W36" s="55" t="str">
        <f>IF(U36&lt;&gt;"SÍ","",IF(C36="VOLADO",IF(OR(V36="IZQUIERDO",V36="DERECHO"),"X","Y"),IF(E36&lt;=F36,"X","Y")))</f>
        <v/>
      </c>
      <c r="X36" s="56" t="str">
        <f>IF(U36&lt;&gt;"SÍ","",IF(C36="VOLADO",IF(W36="X",E36,F36),MIN(E36,F36)))</f>
        <v/>
      </c>
      <c r="Y36" s="56" t="str">
        <f>IF(U36&lt;&gt;"SÍ","",IF(C36="VOLADO",IF(W36="X",F36,E36),MAX(E36,F36)))</f>
        <v/>
      </c>
      <c r="Z36" s="56" t="str">
        <f>IF(U36&lt;&gt;"SÍ","",MIN(X36,Y36)/MAX(X36,Y36))</f>
        <v/>
      </c>
      <c r="AA36" s="57" t="str">
        <f>IF(U36&lt;&gt;"SÍ","",MAX(1,X36*100-IF(C36="VOLADO",DATOS!$C$84/2,DATOS!$C$84)))</f>
        <v/>
      </c>
      <c r="AB36" s="57" t="str">
        <f>IF(U36&lt;&gt;"SÍ","",MAX(1,Y36*100-DATOS!$C$84))</f>
        <v/>
      </c>
      <c r="AC36" s="57" t="str">
        <f>IF(U36&lt;&gt;"SÍ","",IF(ISNUMBER(Q36),Q36,DATOS!$C$80))</f>
        <v/>
      </c>
      <c r="AD36" s="57" t="str">
        <f>IF(U36&lt;&gt;"SÍ","",MAX(0,DATOS!$C$83-AC36))</f>
        <v/>
      </c>
      <c r="AE36" s="57" t="str">
        <f>IF(U36&lt;&gt;"SÍ","",IF(OR(DATOS!$C$62="SÍ",AC36&gt;=20),AC36,AC36-2))</f>
        <v/>
      </c>
      <c r="AF36" s="57" t="str">
        <f>IF(U36&lt;&gt;"SÍ","",IF(OR(DATOS!$C$62="SÍ",DATOS!$C$80&gt;=20),DATOS!$C$80,DATOS!$C$80-2))</f>
        <v/>
      </c>
      <c r="AG36" s="57" t="str">
        <f>IF(U36&lt;&gt;"SÍ","",MIN(DATOS!$C$83,AC36+2*MIN(8*DATOS!$C$81,AD36/2,AA36/8)))</f>
        <v/>
      </c>
      <c r="AH36" s="57" t="str">
        <f>IF(U36&lt;&gt;"SÍ","",MIN(DATOS!$C$83,DATOS!$C$80+2*MIN(8*DATOS!$C$81,DATOS!$C$78/2,AB36/8)))</f>
        <v/>
      </c>
      <c r="AI36" s="55" t="str">
        <f>IF(U36&lt;&gt;"SÍ","",IF(AND(C36="PERIMETRAL",X36*100&gt;=6*MAX(DATOS!$C$78,AD36),MAX(DATOS!$C$78,AD36)&lt;=80,MIN(DATOS!$C$80,AC36)&gt;=10,DATOS!$C$82&lt;=3.5*MIN(DATOS!$C$80,AC36),DATOS!$C$81&gt;=MAX(MAX(DATOS!$C$78,AD36)/13,5)),"SÍ","NO"))</f>
        <v/>
      </c>
      <c r="AJ36" s="57" t="str">
        <f>IF(U36&lt;&gt;"SÍ","",IF(C36="VOLADO",DATOS!$C$61,IF(AI36="NO",DATOS!$C$60,DATOS!$C$59)))</f>
        <v/>
      </c>
      <c r="AK36" s="57" t="str">
        <f>IF(U36&lt;&gt;"SÍ","",IF(OR(AND(AM36="SÍ",DATOS!$C$63="SÍ"),AND(C36="VOLADO",DATOS!$C$64="SÍ")),DATOS!$C$61,IF(AI36="NO",DATOS!$C$60,DATOS!$C$59)))</f>
        <v/>
      </c>
      <c r="AL36" s="58" t="str">
        <f>IF(U36&lt;&gt;"SÍ","",MAX(AK36,(DATOS!$C$81-2*DATOS!$C$94)/2))</f>
        <v/>
      </c>
      <c r="AM36" s="55" t="str">
        <f>IF(U36&lt;&gt;"SÍ","",IFERROR(INDEX(DATOS!$D$46:$D$55,MATCH(D36,DATOS!$B$46:$B$55,0)),"NO"))</f>
        <v/>
      </c>
      <c r="AN36" s="59" t="str">
        <f>IF(U36&lt;&gt;"SÍ","",IF(ISNUMBER(N36),N36,IFERROR(INDEX(DATOS!$C$46:$C$55,MATCH(D36,DATOS!$B$46:$B$55,0)),0)))</f>
        <v/>
      </c>
      <c r="AO36" s="59" t="str">
        <f>IF(U36&lt;&gt;"SÍ","",(DATOS!$C$82/100-(AD36*DATOS!$C$78/DATOS!$C$83^2)*DATOS!$C$79/100)*DATOS!$C$16*1000+(AD36*DATOS!$C$78/DATOS!$C$83^2)*DATOS!$C$79/100*DATOS!$C$17*1000+DATOS!$C$37+DATOS!$C$38)</f>
        <v/>
      </c>
      <c r="AP36" s="59" t="str">
        <f>IF(U36&lt;&gt;"SÍ","",AO36+N(M36))</f>
        <v/>
      </c>
      <c r="AQ36" s="60" t="str">
        <f>IF(U36&lt;&gt;"SÍ","",MAX(DATOS!$C$26*AP36+DATOS!$C$27*AN36,IF(AM36="SÍ",DATOS!$C$28*(AP36+DATOS!$C$41),0)))</f>
        <v/>
      </c>
      <c r="AR36" s="59" t="str">
        <f>IF(U36&lt;&gt;"SÍ","",(G36="DISCONTINUO")+(H36="DISCONTINUO")+(I36="DISCONTINUO")+(J36="DISCONTINUO"))</f>
        <v/>
      </c>
      <c r="AS36" s="59" t="str">
        <f>IF(U36&lt;&gt;"SÍ","",IF(W36="X",(G36="DISCONTINUO")+(H36="DISCONTINUO"),(I36="DISCONTINUO")+(J36="DISCONTINUO")))</f>
        <v/>
      </c>
      <c r="AT36" s="55" t="str">
        <f>IF(U36&lt;&gt;"SÍ","",IF(AR36=0,"INTERIOR",IF(AR36=1,IF(AS36=1,"BORDE-CORTO","BORDE-LARGO"),IF(AR36=2,IF(AS36=1,"ESQUINA",IF(AS36=2,"EXTREMO-LARGO","EXTREMO-CORTO")),IF(AR36=3,IF(AS36=2,"EXTREMO-LARGO","EXTREMO-CORTO"),"AISLADO")))))</f>
        <v/>
      </c>
      <c r="AU36" s="61" t="str">
        <f>IF(U36&lt;&gt;"SÍ","",IF(OR(K36="",K36="AUTO"),AT36,K36))</f>
        <v/>
      </c>
      <c r="AV36" s="59" t="str">
        <f>IF(U36&lt;&gt;"SÍ","",MATCH(Z36,TABLAS!$D$5:$J$5,1))</f>
        <v/>
      </c>
      <c r="AW36" s="58" t="str">
        <f>IF(U36&lt;&gt;"SÍ","",IF(AV36&gt;=7,0,(Z36-INDEX(TABLAS!$D$5:$J$5,AV36))/(INDEX(TABLAS!$D$5:$J$5,AV36+1)-INDEX(TABLAS!$D$5:$J$5,AV36))))</f>
        <v/>
      </c>
      <c r="AX36" s="59" t="str">
        <f>IF(U36&lt;&gt;"SÍ","",INDEX(TABLAS!$D$6:$J$47,MATCH(AU36&amp;"|NIC",TABLAS!$B$6:$B$47,0),AV36)+AW36*(INDEX(TABLAS!$D$6:$J$47,MATCH(AU36&amp;"|NIC",TABLAS!$B$6:$B$47,0),MIN(AV36+1,7))-INDEX(TABLAS!$D$6:$J$47,MATCH(AU36&amp;"|NIC",TABLAS!$B$6:$B$47,0),AV36)))</f>
        <v/>
      </c>
      <c r="AY36" s="59" t="str">
        <f>IF(U36&lt;&gt;"SÍ","",INDEX(TABLAS!$D$6:$J$47,MATCH(AU36&amp;"|NIL",TABLAS!$B$6:$B$47,0),AV36)+AW36*(INDEX(TABLAS!$D$6:$J$47,MATCH(AU36&amp;"|NIL",TABLAS!$B$6:$B$47,0),MIN(AV36+1,7))-INDEX(TABLAS!$D$6:$J$47,MATCH(AU36&amp;"|NIL",TABLAS!$B$6:$B$47,0),AV36)))</f>
        <v/>
      </c>
      <c r="AZ36" s="59" t="str">
        <f>IF(U36&lt;&gt;"SÍ","",INDEX(TABLAS!$D$6:$J$47,MATCH(AU36&amp;"|NDC",TABLAS!$B$6:$B$47,0),AV36)+AW36*(INDEX(TABLAS!$D$6:$J$47,MATCH(AU36&amp;"|NDC",TABLAS!$B$6:$B$47,0),MIN(AV36+1,7))-INDEX(TABLAS!$D$6:$J$47,MATCH(AU36&amp;"|NDC",TABLAS!$B$6:$B$47,0),AV36)))</f>
        <v/>
      </c>
      <c r="BA36" s="59" t="str">
        <f>IF(U36&lt;&gt;"SÍ","",INDEX(TABLAS!$D$6:$J$47,MATCH(AU36&amp;"|NDL",TABLAS!$B$6:$B$47,0),AV36)+AW36*(INDEX(TABLAS!$D$6:$J$47,MATCH(AU36&amp;"|NDL",TABLAS!$B$6:$B$47,0),MIN(AV36+1,7))-INDEX(TABLAS!$D$6:$J$47,MATCH(AU36&amp;"|NDL",TABLAS!$B$6:$B$47,0),AV36)))</f>
        <v/>
      </c>
      <c r="BB36" s="59" t="str">
        <f>IF(U36&lt;&gt;"SÍ","",INDEX(TABLAS!$D$6:$J$47,MATCH(AU36&amp;"|PC",TABLAS!$B$6:$B$47,0),AV36)+AW36*(INDEX(TABLAS!$D$6:$J$47,MATCH(AU36&amp;"|PC",TABLAS!$B$6:$B$47,0),MIN(AV36+1,7))-INDEX(TABLAS!$D$6:$J$47,MATCH(AU36&amp;"|PC",TABLAS!$B$6:$B$47,0),AV36)))</f>
        <v/>
      </c>
      <c r="BC36" s="59" t="str">
        <f>IF(U36&lt;&gt;"SÍ","",INDEX(TABLAS!$D$6:$J$47,MATCH(AU36&amp;"|PL",TABLAS!$B$6:$B$47,0),AV36)+AW36*(INDEX(TABLAS!$D$6:$J$47,MATCH(AU36&amp;"|PL",TABLAS!$B$6:$B$47,0),MIN(AV36+1,7))-INDEX(TABLAS!$D$6:$J$47,MATCH(AU36&amp;"|PL",TABLAS!$B$6:$B$47,0),AV36)))</f>
        <v/>
      </c>
      <c r="BD36" s="56" t="str">
        <f>IF(U36&lt;&gt;"SÍ","",IF(C36&lt;&gt;"VOLADO",0,DATOS!$C$26*DATOS!$C$16*DATOS!$C$83/100*(((AD36*DATOS!$C$78/DATOS!$C$83^2)*DATOS!$C$79/100)*(IF(W36="X",DI36,DJ36)+DATOS!$C$84/2)/100*(AA36-(IF(W36="X",DI36,DJ36)+DATOS!$C$84/2)/2)/100+((AD36*DATOS!$C$78/DATOS!$C$83^2)*DATOS!$C$79/100)*IF(W36="X",DI36,DJ36)/100*IF(W36="X",DI36,DJ36)/200)))</f>
        <v/>
      </c>
      <c r="BE36" s="56" t="str">
        <f>IF(U36&lt;&gt;"SÍ","",IF(C36&lt;&gt;"VOLADO",0,DATOS!$C$26*DATOS!$C$16*DATOS!$C$83/100*((AD36*DATOS!$C$78/DATOS!$C$83^2)*DATOS!$C$79/100)*(IF(W36="X",DI36,DJ36)+DATOS!$C$84/2)/100))</f>
        <v/>
      </c>
      <c r="BF36" s="56" t="str">
        <f>IF(U36&lt;&gt;"SÍ","",IF(C36="PERIMETRAL",BB36*AQ36*X36^2*1E-4*DATOS!$C$83/100/1000,0))</f>
        <v/>
      </c>
      <c r="BG36" s="62" t="str">
        <f>IF(U36&lt;&gt;"SÍ","",IF(C36="PERIMETRAL",MAX(MAX(AX36,AZ36)*AQ36*X36^2*1E-4*DATOS!$C$83/100/1000,N(S36)),(AQ36*(AA36/100)^2/2+DATOS!$C$26*N(O36)*AA36/100)*DATOS!$C$83/100/1000+BD36))</f>
        <v/>
      </c>
      <c r="BH36" s="56" t="str">
        <f>IF(U36&lt;&gt;"SÍ","",IF(C36="PERIMETRAL",BC36*AQ36*X36^2*1E-4*DATOS!$C$83/100/1000,0))</f>
        <v/>
      </c>
      <c r="BI36" s="56" t="str">
        <f>IF(U36&lt;&gt;"SÍ","",IF(C36="PERIMETRAL",MAX(MAX(AY36,BA36)*AQ36*X36^2*1E-4*DATOS!$C$83/100/1000,N(T36)),0))</f>
        <v/>
      </c>
      <c r="BJ36" s="63" t="str">
        <f>IF(U36&lt;&gt;"SÍ","",IF(C36&lt;&gt;"PERIMETRAL","—",IF(AND(N(S36)=0,N(T36)=0),"— (sin M⁻ del vecino)",IF(OR(AND(N(S36)&gt;0,ABS(MAX(AX36,AZ36)*AQ36*X36^2*1E-4*DATOS!$C$83/100/1000-N(S36))&gt;0.5*MIN(MAX(AX36,AZ36)*AQ36*X36^2*1E-4*DATOS!$C$83/100/1000,N(S36))),AND(N(T36)&gt;0,ABS(MAX(AY36,BA36)*AQ36*X36^2*1E-4*DATOS!$C$83/100/1000-N(T36))&gt;0.5*MIN(MAX(AY36,BA36)*AQ36*X36^2*1E-4*DATOS!$C$83/100/1000,N(T36)))),"FUERA: difieren &gt; 50 %"&amp;IF(AND(N(S36)&gt;0,ABS(MAX(AX36,AZ36)*AQ36*X36^2*1E-4*DATOS!$C$83/100/1000-N(S36))&gt;0.5*MIN(MAX(AX36,AZ36)*AQ36*X36^2*1E-4*DATOS!$C$83/100/1000,N(S36)))," ‖ corto","")&amp;IF(AND(N(T36)&gt;0,ABS(MAX(AY36,BA36)*AQ36*X36^2*1E-4*DATOS!$C$83/100/1000-N(T36))&gt;0.5*MIN(MAX(AY36,BA36)*AQ36*X36^2*1E-4*DATOS!$C$83/100/1000,N(T36)))," ‖ largo",""),"CUMPLE"))))</f>
        <v/>
      </c>
      <c r="BK36" s="58" t="str">
        <f>IF(U36&lt;&gt;"SÍ","",(DATOS!$C$82-AJ36-INDEX(TABLAS!$C$52:$C$58,MATCH(DATOS!$C$68,TABLAS!$B$52:$B$58,0))/2))</f>
        <v/>
      </c>
      <c r="BL36" s="58" t="str">
        <f>IF(U36&lt;&gt;"SÍ","",IF(IF(BF36&lt;=0,0,IF((1-2*BF36*1E5/(DATOS!$C$29*AG36*BK36^2*DATOS!$C$21))&lt;0,-1,IF((1-SQRT((1-2*BF36*1E5/(DATOS!$C$29*AG36*BK36^2*DATOS!$C$21))))*DATOS!$C$21*AG36*BK36/DATOS!$C$14&gt;DATOS!$C$99*AG36*BK36,-1,(1-SQRT((1-2*BF36*1E5/(DATOS!$C$29*AG36*BK36^2*DATOS!$C$21))))*DATOS!$C$21*AG36*BK36/DATOS!$C$14)))&lt;0,-1,MAX(IF(BF36&lt;=0,0,IF((1-2*BF36*1E5/(DATOS!$C$29*AG36*BK36^2*DATOS!$C$21))&lt;0,-1,IF((1-SQRT((1-2*BF36*1E5/(DATOS!$C$29*AG36*BK36^2*DATOS!$C$21))))*DATOS!$C$21*AG36*BK36/DATOS!$C$14&gt;DATOS!$C$99*AG36*BK36,-1,(1-SQRT((1-2*BF36*1E5/(DATOS!$C$29*AG36*BK36^2*DATOS!$C$21))))*DATOS!$C$21*AG36*BK36/DATOS!$C$14))),MIN(DATOS!$C$100*AC36*BK36,4/3*IF(BF36&lt;=0,0,IF((1-2*BF36*1E5/(DATOS!$C$29*AG36*BK36^2*DATOS!$C$21))&lt;0,-1,IF((1-SQRT((1-2*BF36*1E5/(DATOS!$C$29*AG36*BK36^2*DATOS!$C$21))))*DATOS!$C$21*AG36*BK36/DATOS!$C$14&gt;DATOS!$C$99*AG36*BK36,-1,(1-SQRT((1-2*BF36*1E5/(DATOS!$C$29*AG36*BK36^2*DATOS!$C$21))))*DATOS!$C$21*AG36*BK36/DATOS!$C$14)))))))</f>
        <v/>
      </c>
      <c r="BM36" s="64" t="str">
        <f>IF(U36&lt;&gt;"SÍ","",IF(AND(BL36&gt;=0,IF(MAX(DATOS!$C$71,CEILING(BL36/INDEX(TABLAS!$D$52:$D$58,MIN(MATCH(DATOS!$C$68,TABLAS!$B$52:$B$58,0)+0,7)),1))*INDEX(TABLAS!$D$52:$D$58,MIN(MATCH(DATOS!$C$68,TABLAS!$B$52:$B$58,0)+0,7))&gt;=4/3*IF(BF36&lt;=0,0,IF((1-2*BF36*1E5/(DATOS!$C$29*AG36*BK36^2*DATOS!$C$21))&lt;0,-1,IF((1-SQRT((1-2*BF36*1E5/(DATOS!$C$29*AG36*BK36^2*DATOS!$C$21))))*DATOS!$C$21*AG36*BK36/DATOS!$C$14&gt;DATOS!$C$99*AG36*BK36,-1,(1-SQRT((1-2*BF36*1E5/(DATOS!$C$29*AG36*BK36^2*DATOS!$C$21))))*DATOS!$C$21*AG36*BK36/DATOS!$C$14)))-0.0001,MAX(DATOS!$C$71,CEILING(BL36/INDEX(TABLAS!$D$52:$D$58,MIN(MATCH(DATOS!$C$68,TABLAS!$B$52:$B$58,0)+0,7)),1)),MAX(MAX(DATOS!$C$71,CEILING(BL36/INDEX(TABLAS!$D$52:$D$58,MIN(MATCH(DATOS!$C$68,TABLAS!$B$52:$B$58,0)+0,7)),1)),2))&lt;=MIN(DATOS!$C$70,INT(((AC36-2*AJ36)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36&gt;=0,IF(MAX(DATOS!$C$71,CEILING(BL36/INDEX(TABLAS!$D$52:$D$58,MIN(MATCH(DATOS!$C$68,TABLAS!$B$52:$B$58,0)+1,7)),1))*INDEX(TABLAS!$D$52:$D$58,MIN(MATCH(DATOS!$C$68,TABLAS!$B$52:$B$58,0)+1,7))&gt;=4/3*IF(BF36&lt;=0,0,IF((1-2*BF36*1E5/(DATOS!$C$29*AG36*BK36^2*DATOS!$C$21))&lt;0,-1,IF((1-SQRT((1-2*BF36*1E5/(DATOS!$C$29*AG36*BK36^2*DATOS!$C$21))))*DATOS!$C$21*AG36*BK36/DATOS!$C$14&gt;DATOS!$C$99*AG36*BK36,-1,(1-SQRT((1-2*BF36*1E5/(DATOS!$C$29*AG36*BK36^2*DATOS!$C$21))))*DATOS!$C$21*AG36*BK36/DATOS!$C$14)))-0.0001,MAX(DATOS!$C$71,CEILING(BL36/INDEX(TABLAS!$D$52:$D$58,MIN(MATCH(DATOS!$C$68,TABLAS!$B$52:$B$58,0)+1,7)),1)),MAX(MAX(DATOS!$C$71,CEILING(BL36/INDEX(TABLAS!$D$52:$D$58,MIN(MATCH(DATOS!$C$68,TABLAS!$B$52:$B$58,0)+1,7)),1)),2))&lt;=MIN(DATOS!$C$70,INT(((AC36-2*AJ36)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36&gt;=0,IF(MAX(DATOS!$C$71,CEILING(BL36/INDEX(TABLAS!$D$52:$D$58,MIN(MATCH(DATOS!$C$68,TABLAS!$B$52:$B$58,0)+2,7)),1))*INDEX(TABLAS!$D$52:$D$58,MIN(MATCH(DATOS!$C$68,TABLAS!$B$52:$B$58,0)+2,7))&gt;=4/3*IF(BF36&lt;=0,0,IF((1-2*BF36*1E5/(DATOS!$C$29*AG36*BK36^2*DATOS!$C$21))&lt;0,-1,IF((1-SQRT((1-2*BF36*1E5/(DATOS!$C$29*AG36*BK36^2*DATOS!$C$21))))*DATOS!$C$21*AG36*BK36/DATOS!$C$14&gt;DATOS!$C$99*AG36*BK36,-1,(1-SQRT((1-2*BF36*1E5/(DATOS!$C$29*AG36*BK36^2*DATOS!$C$21))))*DATOS!$C$21*AG36*BK36/DATOS!$C$14)))-0.0001,MAX(DATOS!$C$71,CEILING(BL36/INDEX(TABLAS!$D$52:$D$58,MIN(MATCH(DATOS!$C$68,TABLAS!$B$52:$B$58,0)+2,7)),1)),MAX(MAX(DATOS!$C$71,CEILING(BL36/INDEX(TABLAS!$D$52:$D$58,MIN(MATCH(DATOS!$C$68,TABLAS!$B$52:$B$58,0)+2,7)),1)),2))&lt;=MIN(DATOS!$C$70,INT(((AC36-2*AJ36)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36&gt;=0,IF(MAX(DATOS!$C$71,CEILING(BL36/INDEX(TABLAS!$D$52:$D$58,MIN(MATCH(DATOS!$C$68,TABLAS!$B$52:$B$58,0)+3,7)),1))*INDEX(TABLAS!$D$52:$D$58,MIN(MATCH(DATOS!$C$68,TABLAS!$B$52:$B$58,0)+3,7))&gt;=4/3*IF(BF36&lt;=0,0,IF((1-2*BF36*1E5/(DATOS!$C$29*AG36*BK36^2*DATOS!$C$21))&lt;0,-1,IF((1-SQRT((1-2*BF36*1E5/(DATOS!$C$29*AG36*BK36^2*DATOS!$C$21))))*DATOS!$C$21*AG36*BK36/DATOS!$C$14&gt;DATOS!$C$99*AG36*BK36,-1,(1-SQRT((1-2*BF36*1E5/(DATOS!$C$29*AG36*BK36^2*DATOS!$C$21))))*DATOS!$C$21*AG36*BK36/DATOS!$C$14)))-0.0001,MAX(DATOS!$C$71,CEILING(BL36/INDEX(TABLAS!$D$52:$D$58,MIN(MATCH(DATOS!$C$68,TABLAS!$B$52:$B$58,0)+3,7)),1)),MAX(MAX(DATOS!$C$71,CEILING(BL36/INDEX(TABLAS!$D$52:$D$58,MIN(MATCH(DATOS!$C$68,TABLAS!$B$52:$B$58,0)+3,7)),1)),2))&lt;=MIN(DATOS!$C$70,INT(((AC36-2*AJ36)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36&gt;=0,IF(MAX(DATOS!$C$71,CEILING(BL36/INDEX(TABLAS!$D$52:$D$58,MIN(MATCH(DATOS!$C$68,TABLAS!$B$52:$B$58,0)+4,7)),1))*INDEX(TABLAS!$D$52:$D$58,MIN(MATCH(DATOS!$C$68,TABLAS!$B$52:$B$58,0)+4,7))&gt;=4/3*IF(BF36&lt;=0,0,IF((1-2*BF36*1E5/(DATOS!$C$29*AG36*BK36^2*DATOS!$C$21))&lt;0,-1,IF((1-SQRT((1-2*BF36*1E5/(DATOS!$C$29*AG36*BK36^2*DATOS!$C$21))))*DATOS!$C$21*AG36*BK36/DATOS!$C$14&gt;DATOS!$C$99*AG36*BK36,-1,(1-SQRT((1-2*BF36*1E5/(DATOS!$C$29*AG36*BK36^2*DATOS!$C$21))))*DATOS!$C$21*AG36*BK36/DATOS!$C$14)))-0.0001,MAX(DATOS!$C$71,CEILING(BL36/INDEX(TABLAS!$D$52:$D$58,MIN(MATCH(DATOS!$C$68,TABLAS!$B$52:$B$58,0)+4,7)),1)),MAX(MAX(DATOS!$C$71,CEILING(BL36/INDEX(TABLAS!$D$52:$D$58,MIN(MATCH(DATOS!$C$68,TABLAS!$B$52:$B$58,0)+4,7)),1)),2))&lt;=MIN(DATOS!$C$70,INT(((AC36-2*AJ36)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36" s="59" t="str">
        <f>IF(U36&lt;&gt;"SÍ","",IF(BL36&lt;0,0,IF(MAX(DATOS!$C$71,CEILING(MAX(BL36,0)/INDEX(TABLAS!$D$52:$D$58,MATCH(BM36,TABLAS!$B$52:$B$58,0)),1))*INDEX(TABLAS!$D$52:$D$58,MATCH(BM36,TABLAS!$B$52:$B$58,0))&gt;=4/3*IF(BF36&lt;=0,0,IF((1-2*BF36*1E5/(DATOS!$C$29*AG36*BK36^2*DATOS!$C$21))&lt;0,-1,IF((1-SQRT((1-2*BF36*1E5/(DATOS!$C$29*AG36*BK36^2*DATOS!$C$21))))*DATOS!$C$21*AG36*BK36/DATOS!$C$14&gt;DATOS!$C$99*AG36*BK36,-1,(1-SQRT((1-2*BF36*1E5/(DATOS!$C$29*AG36*BK36^2*DATOS!$C$21))))*DATOS!$C$21*AG36*BK36/DATOS!$C$14)))-0.0001,MAX(DATOS!$C$71,CEILING(MAX(BL36,0)/INDEX(TABLAS!$D$52:$D$58,MATCH(BM36,TABLAS!$B$52:$B$58,0)),1)),MAX(MAX(DATOS!$C$71,CEILING(MAX(BL36,0)/INDEX(TABLAS!$D$52:$D$58,MATCH(BM36,TABLAS!$B$52:$B$58,0)),1)),2))))</f>
        <v/>
      </c>
      <c r="BO36" s="58" t="str">
        <f>IF(U36&lt;&gt;"SÍ","",DATOS!$C$82-AJ36-INDEX(TABLAS!$C$52:$C$58,MATCH(BM36,TABLAS!$B$52:$B$58,0))/2)</f>
        <v/>
      </c>
      <c r="BP36" s="56" t="str">
        <f>IF(U36&lt;&gt;"SÍ","",IF(BN36=0,0,DATOS!$C$29*BN36*INDEX(TABLAS!$D$52:$D$58,MATCH(BM36,TABLAS!$B$52:$B$58,0))*DATOS!$C$14*(BO36-BN36*INDEX(TABLAS!$D$52:$D$58,MATCH(BM36,TABLAS!$B$52:$B$58,0))*DATOS!$C$14/(DATOS!$C$21*AG36)/2)/1E5))</f>
        <v/>
      </c>
      <c r="BQ36" s="65" t="str">
        <f>IF(U36&lt;&gt;"SÍ","",IF(BL36&lt;0,9.99,IF(BP36&gt;0,BF36/BP36,0)))</f>
        <v/>
      </c>
      <c r="BR36" s="66" t="str">
        <f>IF(U36&lt;&gt;"SÍ","",IF(BN36=0,"—",0.003*(BO36-(BN36*INDEX(TABLAS!$D$52:$D$58,MATCH(BM36,TABLAS!$B$52:$B$58,0))*DATOS!$C$14/(DATOS!$C$21*AG36)/DATOS!$C$22))/(BN36*INDEX(TABLAS!$D$52:$D$58,MATCH(BM36,TABLAS!$B$52:$B$58,0))*DATOS!$C$14/(DATOS!$C$21*AG36)/DATOS!$C$22)))</f>
        <v/>
      </c>
      <c r="BS36" s="58" t="str">
        <f>IF(U36&lt;&gt;"SÍ","",((DATOS!$C$82-AL36-2*DATOS!$C$94-INDEX(TABLAS!$C$52:$C$58,MATCH(DATOS!$C$69,TABLAS!$B$52:$B$58,0))/2)-IF(AND((DATOS!$C$82-AL36-2*DATOS!$C$94-INDEX(TABLAS!$C$52:$C$58,MATCH(DATOS!$C$69,TABLAS!$B$52:$B$58,0))/2)&lt;=20,DATOS!$C$62&lt;&gt;"SÍ"),2,0)))</f>
        <v/>
      </c>
      <c r="BT36" s="58" t="str">
        <f>IF(U36&lt;&gt;"SÍ","",IF(IF(BG36&lt;=0,0,IF((1-2*BG36*1E5/(DATOS!$C$29*AE36*BS36^2*DATOS!$C$21))&lt;0,-1,IF((1-SQRT((1-2*BG36*1E5/(DATOS!$C$29*AE36*BS36^2*DATOS!$C$21))))*DATOS!$C$21*AE36*BS36/DATOS!$C$14&gt;DATOS!$C$99*AE36*BS36,-1,(1-SQRT((1-2*BG36*1E5/(DATOS!$C$29*AE36*BS36^2*DATOS!$C$21))))*DATOS!$C$21*AE36*BS36/DATOS!$C$14)))&lt;0,-1,MAX(IF(BG36&lt;=0,0,IF((1-2*BG36*1E5/(DATOS!$C$29*AE36*BS36^2*DATOS!$C$21))&lt;0,-1,IF((1-SQRT((1-2*BG36*1E5/(DATOS!$C$29*AE36*BS36^2*DATOS!$C$21))))*DATOS!$C$21*AE36*BS36/DATOS!$C$14&gt;DATOS!$C$99*AE36*BS36,-1,(1-SQRT((1-2*BG36*1E5/(DATOS!$C$29*AE36*BS36^2*DATOS!$C$21))))*DATOS!$C$21*AE36*BS36/DATOS!$C$14))),MIN(DATOS!$C$100*IF(C36="VOLADO",MIN(AG36,2*AC36),AC36)*BS36,4/3*IF(BG36&lt;=0,0,IF((1-2*BG36*1E5/(DATOS!$C$29*AE36*BS36^2*DATOS!$C$21))&lt;0,-1,IF((1-SQRT((1-2*BG36*1E5/(DATOS!$C$29*AE36*BS36^2*DATOS!$C$21))))*DATOS!$C$21*AE36*BS36/DATOS!$C$14&gt;DATOS!$C$99*AE36*BS36,-1,(1-SQRT((1-2*BG36*1E5/(DATOS!$C$29*AE36*BS36^2*DATOS!$C$21))))*DATOS!$C$21*AE36*BS36/DATOS!$C$14)))))))</f>
        <v/>
      </c>
      <c r="BU36" s="64" t="str">
        <f>IF(U36&lt;&gt;"SÍ","",IF(AND(BT36&gt;=0,IF(MAX(DATOS!$C$71,CEILING(BT36/INDEX(TABLAS!$D$52:$D$58,MIN(MATCH(DATOS!$C$69,TABLAS!$B$52:$B$58,0)+0,7)),1))*INDEX(TABLAS!$D$52:$D$58,MIN(MATCH(DATOS!$C$69,TABLAS!$B$52:$B$58,0)+0,7))&gt;=4/3*IF(BG36&lt;=0,0,IF((1-2*BG36*1E5/(DATOS!$C$29*AE36*BS36^2*DATOS!$C$21))&lt;0,-1,IF((1-SQRT((1-2*BG36*1E5/(DATOS!$C$29*AE36*BS36^2*DATOS!$C$21))))*DATOS!$C$21*AE36*BS36/DATOS!$C$14&gt;DATOS!$C$99*AE36*BS36,-1,(1-SQRT((1-2*BG36*1E5/(DATOS!$C$29*AE36*BS36^2*DATOS!$C$21))))*DATOS!$C$21*AE36*BS36/DATOS!$C$14)))-0.0001,MAX(DATOS!$C$71,CEILING(BT36/INDEX(TABLAS!$D$52:$D$58,MIN(MATCH(DATOS!$C$69,TABLAS!$B$52:$B$58,0)+0,7)),1)),MAX(MAX(DATOS!$C$71,CEILING(BT36/INDEX(TABLAS!$D$52:$D$58,MIN(MATCH(DATOS!$C$69,TABLAS!$B$52:$B$58,0)+0,7)),1)),2))&lt;=MIN(DATOS!$C$70,INT(((AC36-2*AK36)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36&gt;=0,IF(MAX(DATOS!$C$71,CEILING(BT36/INDEX(TABLAS!$D$52:$D$58,MIN(MATCH(DATOS!$C$69,TABLAS!$B$52:$B$58,0)+1,7)),1))*INDEX(TABLAS!$D$52:$D$58,MIN(MATCH(DATOS!$C$69,TABLAS!$B$52:$B$58,0)+1,7))&gt;=4/3*IF(BG36&lt;=0,0,IF((1-2*BG36*1E5/(DATOS!$C$29*AE36*BS36^2*DATOS!$C$21))&lt;0,-1,IF((1-SQRT((1-2*BG36*1E5/(DATOS!$C$29*AE36*BS36^2*DATOS!$C$21))))*DATOS!$C$21*AE36*BS36/DATOS!$C$14&gt;DATOS!$C$99*AE36*BS36,-1,(1-SQRT((1-2*BG36*1E5/(DATOS!$C$29*AE36*BS36^2*DATOS!$C$21))))*DATOS!$C$21*AE36*BS36/DATOS!$C$14)))-0.0001,MAX(DATOS!$C$71,CEILING(BT36/INDEX(TABLAS!$D$52:$D$58,MIN(MATCH(DATOS!$C$69,TABLAS!$B$52:$B$58,0)+1,7)),1)),MAX(MAX(DATOS!$C$71,CEILING(BT36/INDEX(TABLAS!$D$52:$D$58,MIN(MATCH(DATOS!$C$69,TABLAS!$B$52:$B$58,0)+1,7)),1)),2))&lt;=MIN(DATOS!$C$70,INT(((AC36-2*AK36)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36&gt;=0,IF(MAX(DATOS!$C$71,CEILING(BT36/INDEX(TABLAS!$D$52:$D$58,MIN(MATCH(DATOS!$C$69,TABLAS!$B$52:$B$58,0)+2,7)),1))*INDEX(TABLAS!$D$52:$D$58,MIN(MATCH(DATOS!$C$69,TABLAS!$B$52:$B$58,0)+2,7))&gt;=4/3*IF(BG36&lt;=0,0,IF((1-2*BG36*1E5/(DATOS!$C$29*AE36*BS36^2*DATOS!$C$21))&lt;0,-1,IF((1-SQRT((1-2*BG36*1E5/(DATOS!$C$29*AE36*BS36^2*DATOS!$C$21))))*DATOS!$C$21*AE36*BS36/DATOS!$C$14&gt;DATOS!$C$99*AE36*BS36,-1,(1-SQRT((1-2*BG36*1E5/(DATOS!$C$29*AE36*BS36^2*DATOS!$C$21))))*DATOS!$C$21*AE36*BS36/DATOS!$C$14)))-0.0001,MAX(DATOS!$C$71,CEILING(BT36/INDEX(TABLAS!$D$52:$D$58,MIN(MATCH(DATOS!$C$69,TABLAS!$B$52:$B$58,0)+2,7)),1)),MAX(MAX(DATOS!$C$71,CEILING(BT36/INDEX(TABLAS!$D$52:$D$58,MIN(MATCH(DATOS!$C$69,TABLAS!$B$52:$B$58,0)+2,7)),1)),2))&lt;=MIN(DATOS!$C$70,INT(((AC36-2*AK36)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36&gt;=0,IF(MAX(DATOS!$C$71,CEILING(BT36/INDEX(TABLAS!$D$52:$D$58,MIN(MATCH(DATOS!$C$69,TABLAS!$B$52:$B$58,0)+3,7)),1))*INDEX(TABLAS!$D$52:$D$58,MIN(MATCH(DATOS!$C$69,TABLAS!$B$52:$B$58,0)+3,7))&gt;=4/3*IF(BG36&lt;=0,0,IF((1-2*BG36*1E5/(DATOS!$C$29*AE36*BS36^2*DATOS!$C$21))&lt;0,-1,IF((1-SQRT((1-2*BG36*1E5/(DATOS!$C$29*AE36*BS36^2*DATOS!$C$21))))*DATOS!$C$21*AE36*BS36/DATOS!$C$14&gt;DATOS!$C$99*AE36*BS36,-1,(1-SQRT((1-2*BG36*1E5/(DATOS!$C$29*AE36*BS36^2*DATOS!$C$21))))*DATOS!$C$21*AE36*BS36/DATOS!$C$14)))-0.0001,MAX(DATOS!$C$71,CEILING(BT36/INDEX(TABLAS!$D$52:$D$58,MIN(MATCH(DATOS!$C$69,TABLAS!$B$52:$B$58,0)+3,7)),1)),MAX(MAX(DATOS!$C$71,CEILING(BT36/INDEX(TABLAS!$D$52:$D$58,MIN(MATCH(DATOS!$C$69,TABLAS!$B$52:$B$58,0)+3,7)),1)),2))&lt;=MIN(DATOS!$C$70,INT(((AC36-2*AK36)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36&gt;=0,IF(MAX(DATOS!$C$71,CEILING(BT36/INDEX(TABLAS!$D$52:$D$58,MIN(MATCH(DATOS!$C$69,TABLAS!$B$52:$B$58,0)+4,7)),1))*INDEX(TABLAS!$D$52:$D$58,MIN(MATCH(DATOS!$C$69,TABLAS!$B$52:$B$58,0)+4,7))&gt;=4/3*IF(BG36&lt;=0,0,IF((1-2*BG36*1E5/(DATOS!$C$29*AE36*BS36^2*DATOS!$C$21))&lt;0,-1,IF((1-SQRT((1-2*BG36*1E5/(DATOS!$C$29*AE36*BS36^2*DATOS!$C$21))))*DATOS!$C$21*AE36*BS36/DATOS!$C$14&gt;DATOS!$C$99*AE36*BS36,-1,(1-SQRT((1-2*BG36*1E5/(DATOS!$C$29*AE36*BS36^2*DATOS!$C$21))))*DATOS!$C$21*AE36*BS36/DATOS!$C$14)))-0.0001,MAX(DATOS!$C$71,CEILING(BT36/INDEX(TABLAS!$D$52:$D$58,MIN(MATCH(DATOS!$C$69,TABLAS!$B$52:$B$58,0)+4,7)),1)),MAX(MAX(DATOS!$C$71,CEILING(BT36/INDEX(TABLAS!$D$52:$D$58,MIN(MATCH(DATOS!$C$69,TABLAS!$B$52:$B$58,0)+4,7)),1)),2))&lt;=MIN(DATOS!$C$70,INT(((AC36-2*AK36)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36" s="59" t="str">
        <f>IF(U36&lt;&gt;"SÍ","",IF(BT36&lt;0,0,IF(MAX(DATOS!$C$71,CEILING(MAX(BT36,0)/INDEX(TABLAS!$D$52:$D$58,MATCH(BU36,TABLAS!$B$52:$B$58,0)),1))*INDEX(TABLAS!$D$52:$D$58,MATCH(BU36,TABLAS!$B$52:$B$58,0))&gt;=4/3*IF(BG36&lt;=0,0,IF((1-2*BG36*1E5/(DATOS!$C$29*AE36*BS36^2*DATOS!$C$21))&lt;0,-1,IF((1-SQRT((1-2*BG36*1E5/(DATOS!$C$29*AE36*BS36^2*DATOS!$C$21))))*DATOS!$C$21*AE36*BS36/DATOS!$C$14&gt;DATOS!$C$99*AE36*BS36,-1,(1-SQRT((1-2*BG36*1E5/(DATOS!$C$29*AE36*BS36^2*DATOS!$C$21))))*DATOS!$C$21*AE36*BS36/DATOS!$C$14)))-0.0001,MAX(DATOS!$C$71,CEILING(MAX(BT36,0)/INDEX(TABLAS!$D$52:$D$58,MATCH(BU36,TABLAS!$B$52:$B$58,0)),1)),MAX(MAX(DATOS!$C$71,CEILING(MAX(BT36,0)/INDEX(TABLAS!$D$52:$D$58,MATCH(BU36,TABLAS!$B$52:$B$58,0)),1)),2))))</f>
        <v/>
      </c>
      <c r="BW36" s="58" t="str">
        <f>IF(U36&lt;&gt;"SÍ","",((DATOS!$C$82-AL36-2*DATOS!$C$94-INDEX(TABLAS!$C$52:$C$58,MATCH(BU36,TABLAS!$B$52:$B$58,0))/2)-IF(AND((DATOS!$C$82-AL36-2*DATOS!$C$94-INDEX(TABLAS!$C$52:$C$58,MATCH(BU36,TABLAS!$B$52:$B$58,0))/2)&lt;=20,DATOS!$C$62&lt;&gt;"SÍ"),2,0)))</f>
        <v/>
      </c>
      <c r="BX36" s="56" t="str">
        <f>IF(U36&lt;&gt;"SÍ","",IF(BV36=0,0,DATOS!$C$29*BV36*INDEX(TABLAS!$D$52:$D$58,MATCH(BU36,TABLAS!$B$52:$B$58,0))*DATOS!$C$14*(BW36-BV36*INDEX(TABLAS!$D$52:$D$58,MATCH(BU36,TABLAS!$B$52:$B$58,0))*DATOS!$C$14/(DATOS!$C$21*AE36)/2)/1E5))</f>
        <v/>
      </c>
      <c r="BY36" s="65" t="str">
        <f>IF(U36&lt;&gt;"SÍ","",IF(BT36&lt;0,9.99,IF(BX36&gt;0,BG36/BX36,0)))</f>
        <v/>
      </c>
      <c r="BZ36" s="66" t="str">
        <f>IF(U36&lt;&gt;"SÍ","",IF(BV36=0,"—",0.003*(BW36-(BV36*INDEX(TABLAS!$D$52:$D$58,MATCH(BU36,TABLAS!$B$52:$B$58,0))*DATOS!$C$14/(DATOS!$C$21*AE36)/DATOS!$C$22))/(BV36*INDEX(TABLAS!$D$52:$D$58,MATCH(BU36,TABLAS!$B$52:$B$58,0))*DATOS!$C$14/(DATOS!$C$21*AE36)/DATOS!$C$22)))</f>
        <v/>
      </c>
      <c r="CA36" s="58" t="str">
        <f>IF(U36&lt;&gt;"SÍ","",(DATOS!$C$82-AJ36-INDEX(TABLAS!$C$52:$C$58,MATCH(DATOS!$C$68,TABLAS!$B$52:$B$58,0))-INDEX(TABLAS!$C$52:$C$58,MATCH(DATOS!$C$68,TABLAS!$B$52:$B$58,0))/2))</f>
        <v/>
      </c>
      <c r="CB36" s="58" t="str">
        <f>IF(U36&lt;&gt;"SÍ","",IF(IF(BH36&lt;=0,0,IF((1-2*BH36*1E5/(DATOS!$C$29*AH36*CA36^2*DATOS!$C$21))&lt;0,-1,IF((1-SQRT((1-2*BH36*1E5/(DATOS!$C$29*AH36*CA36^2*DATOS!$C$21))))*DATOS!$C$21*AH36*CA36/DATOS!$C$14&gt;DATOS!$C$99*AH36*CA36,-1,(1-SQRT((1-2*BH36*1E5/(DATOS!$C$29*AH36*CA36^2*DATOS!$C$21))))*DATOS!$C$21*AH36*CA36/DATOS!$C$14)))&lt;0,-1,MAX(IF(BH36&lt;=0,0,IF((1-2*BH36*1E5/(DATOS!$C$29*AH36*CA36^2*DATOS!$C$21))&lt;0,-1,IF((1-SQRT((1-2*BH36*1E5/(DATOS!$C$29*AH36*CA36^2*DATOS!$C$21))))*DATOS!$C$21*AH36*CA36/DATOS!$C$14&gt;DATOS!$C$99*AH36*CA36,-1,(1-SQRT((1-2*BH36*1E5/(DATOS!$C$29*AH36*CA36^2*DATOS!$C$21))))*DATOS!$C$21*AH36*CA36/DATOS!$C$14))),MIN(DATOS!$C$100*DATOS!$C$80*CA36,4/3*IF(BH36&lt;=0,0,IF((1-2*BH36*1E5/(DATOS!$C$29*AH36*CA36^2*DATOS!$C$21))&lt;0,-1,IF((1-SQRT((1-2*BH36*1E5/(DATOS!$C$29*AH36*CA36^2*DATOS!$C$21))))*DATOS!$C$21*AH36*CA36/DATOS!$C$14&gt;DATOS!$C$99*AH36*CA36,-1,(1-SQRT((1-2*BH36*1E5/(DATOS!$C$29*AH36*CA36^2*DATOS!$C$21))))*DATOS!$C$21*AH36*CA36/DATOS!$C$14)))))))</f>
        <v/>
      </c>
      <c r="CC36" s="64" t="str">
        <f>IF(U36&lt;&gt;"SÍ","",IF(AND(CB36&gt;=0,IF(MAX(DATOS!$C$71,CEILING(CB36/INDEX(TABLAS!$D$52:$D$58,MIN(MATCH(DATOS!$C$68,TABLAS!$B$52:$B$58,0)+0,7)),1))*INDEX(TABLAS!$D$52:$D$58,MIN(MATCH(DATOS!$C$68,TABLAS!$B$52:$B$58,0)+0,7))&gt;=4/3*IF(BH36&lt;=0,0,IF((1-2*BH36*1E5/(DATOS!$C$29*AH36*CA36^2*DATOS!$C$21))&lt;0,-1,IF((1-SQRT((1-2*BH36*1E5/(DATOS!$C$29*AH36*CA36^2*DATOS!$C$21))))*DATOS!$C$21*AH36*CA36/DATOS!$C$14&gt;DATOS!$C$99*AH36*CA36,-1,(1-SQRT((1-2*BH36*1E5/(DATOS!$C$29*AH36*CA36^2*DATOS!$C$21))))*DATOS!$C$21*AH36*CA36/DATOS!$C$14)))-0.0001,MAX(DATOS!$C$71,CEILING(CB36/INDEX(TABLAS!$D$52:$D$58,MIN(MATCH(DATOS!$C$68,TABLAS!$B$52:$B$58,0)+0,7)),1)),MAX(MAX(DATOS!$C$71,CEILING(CB36/INDEX(TABLAS!$D$52:$D$58,MIN(MATCH(DATOS!$C$68,TABLAS!$B$52:$B$58,0)+0,7)),1)),2))&lt;=MIN(DATOS!$C$70,INT(((DATOS!$C$80-2*AJ36)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36&gt;=0,IF(MAX(DATOS!$C$71,CEILING(CB36/INDEX(TABLAS!$D$52:$D$58,MIN(MATCH(DATOS!$C$68,TABLAS!$B$52:$B$58,0)+1,7)),1))*INDEX(TABLAS!$D$52:$D$58,MIN(MATCH(DATOS!$C$68,TABLAS!$B$52:$B$58,0)+1,7))&gt;=4/3*IF(BH36&lt;=0,0,IF((1-2*BH36*1E5/(DATOS!$C$29*AH36*CA36^2*DATOS!$C$21))&lt;0,-1,IF((1-SQRT((1-2*BH36*1E5/(DATOS!$C$29*AH36*CA36^2*DATOS!$C$21))))*DATOS!$C$21*AH36*CA36/DATOS!$C$14&gt;DATOS!$C$99*AH36*CA36,-1,(1-SQRT((1-2*BH36*1E5/(DATOS!$C$29*AH36*CA36^2*DATOS!$C$21))))*DATOS!$C$21*AH36*CA36/DATOS!$C$14)))-0.0001,MAX(DATOS!$C$71,CEILING(CB36/INDEX(TABLAS!$D$52:$D$58,MIN(MATCH(DATOS!$C$68,TABLAS!$B$52:$B$58,0)+1,7)),1)),MAX(MAX(DATOS!$C$71,CEILING(CB36/INDEX(TABLAS!$D$52:$D$58,MIN(MATCH(DATOS!$C$68,TABLAS!$B$52:$B$58,0)+1,7)),1)),2))&lt;=MIN(DATOS!$C$70,INT(((DATOS!$C$80-2*AJ36)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36&gt;=0,IF(MAX(DATOS!$C$71,CEILING(CB36/INDEX(TABLAS!$D$52:$D$58,MIN(MATCH(DATOS!$C$68,TABLAS!$B$52:$B$58,0)+2,7)),1))*INDEX(TABLAS!$D$52:$D$58,MIN(MATCH(DATOS!$C$68,TABLAS!$B$52:$B$58,0)+2,7))&gt;=4/3*IF(BH36&lt;=0,0,IF((1-2*BH36*1E5/(DATOS!$C$29*AH36*CA36^2*DATOS!$C$21))&lt;0,-1,IF((1-SQRT((1-2*BH36*1E5/(DATOS!$C$29*AH36*CA36^2*DATOS!$C$21))))*DATOS!$C$21*AH36*CA36/DATOS!$C$14&gt;DATOS!$C$99*AH36*CA36,-1,(1-SQRT((1-2*BH36*1E5/(DATOS!$C$29*AH36*CA36^2*DATOS!$C$21))))*DATOS!$C$21*AH36*CA36/DATOS!$C$14)))-0.0001,MAX(DATOS!$C$71,CEILING(CB36/INDEX(TABLAS!$D$52:$D$58,MIN(MATCH(DATOS!$C$68,TABLAS!$B$52:$B$58,0)+2,7)),1)),MAX(MAX(DATOS!$C$71,CEILING(CB36/INDEX(TABLAS!$D$52:$D$58,MIN(MATCH(DATOS!$C$68,TABLAS!$B$52:$B$58,0)+2,7)),1)),2))&lt;=MIN(DATOS!$C$70,INT(((DATOS!$C$80-2*AJ36)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36&gt;=0,IF(MAX(DATOS!$C$71,CEILING(CB36/INDEX(TABLAS!$D$52:$D$58,MIN(MATCH(DATOS!$C$68,TABLAS!$B$52:$B$58,0)+3,7)),1))*INDEX(TABLAS!$D$52:$D$58,MIN(MATCH(DATOS!$C$68,TABLAS!$B$52:$B$58,0)+3,7))&gt;=4/3*IF(BH36&lt;=0,0,IF((1-2*BH36*1E5/(DATOS!$C$29*AH36*CA36^2*DATOS!$C$21))&lt;0,-1,IF((1-SQRT((1-2*BH36*1E5/(DATOS!$C$29*AH36*CA36^2*DATOS!$C$21))))*DATOS!$C$21*AH36*CA36/DATOS!$C$14&gt;DATOS!$C$99*AH36*CA36,-1,(1-SQRT((1-2*BH36*1E5/(DATOS!$C$29*AH36*CA36^2*DATOS!$C$21))))*DATOS!$C$21*AH36*CA36/DATOS!$C$14)))-0.0001,MAX(DATOS!$C$71,CEILING(CB36/INDEX(TABLAS!$D$52:$D$58,MIN(MATCH(DATOS!$C$68,TABLAS!$B$52:$B$58,0)+3,7)),1)),MAX(MAX(DATOS!$C$71,CEILING(CB36/INDEX(TABLAS!$D$52:$D$58,MIN(MATCH(DATOS!$C$68,TABLAS!$B$52:$B$58,0)+3,7)),1)),2))&lt;=MIN(DATOS!$C$70,INT(((DATOS!$C$80-2*AJ36)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36&gt;=0,IF(MAX(DATOS!$C$71,CEILING(CB36/INDEX(TABLAS!$D$52:$D$58,MIN(MATCH(DATOS!$C$68,TABLAS!$B$52:$B$58,0)+4,7)),1))*INDEX(TABLAS!$D$52:$D$58,MIN(MATCH(DATOS!$C$68,TABLAS!$B$52:$B$58,0)+4,7))&gt;=4/3*IF(BH36&lt;=0,0,IF((1-2*BH36*1E5/(DATOS!$C$29*AH36*CA36^2*DATOS!$C$21))&lt;0,-1,IF((1-SQRT((1-2*BH36*1E5/(DATOS!$C$29*AH36*CA36^2*DATOS!$C$21))))*DATOS!$C$21*AH36*CA36/DATOS!$C$14&gt;DATOS!$C$99*AH36*CA36,-1,(1-SQRT((1-2*BH36*1E5/(DATOS!$C$29*AH36*CA36^2*DATOS!$C$21))))*DATOS!$C$21*AH36*CA36/DATOS!$C$14)))-0.0001,MAX(DATOS!$C$71,CEILING(CB36/INDEX(TABLAS!$D$52:$D$58,MIN(MATCH(DATOS!$C$68,TABLAS!$B$52:$B$58,0)+4,7)),1)),MAX(MAX(DATOS!$C$71,CEILING(CB36/INDEX(TABLAS!$D$52:$D$58,MIN(MATCH(DATOS!$C$68,TABLAS!$B$52:$B$58,0)+4,7)),1)),2))&lt;=MIN(DATOS!$C$70,INT(((DATOS!$C$80-2*AJ36)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36" s="59" t="str">
        <f>IF(U36&lt;&gt;"SÍ","",IF(CB36&lt;0,0,IF(MAX(DATOS!$C$71,CEILING(MAX(CB36,0)/INDEX(TABLAS!$D$52:$D$58,MATCH(CC36,TABLAS!$B$52:$B$58,0)),1))*INDEX(TABLAS!$D$52:$D$58,MATCH(CC36,TABLAS!$B$52:$B$58,0))&gt;=4/3*IF(BH36&lt;=0,0,IF((1-2*BH36*1E5/(DATOS!$C$29*AH36*CA36^2*DATOS!$C$21))&lt;0,-1,IF((1-SQRT((1-2*BH36*1E5/(DATOS!$C$29*AH36*CA36^2*DATOS!$C$21))))*DATOS!$C$21*AH36*CA36/DATOS!$C$14&gt;DATOS!$C$99*AH36*CA36,-1,(1-SQRT((1-2*BH36*1E5/(DATOS!$C$29*AH36*CA36^2*DATOS!$C$21))))*DATOS!$C$21*AH36*CA36/DATOS!$C$14)))-0.0001,MAX(DATOS!$C$71,CEILING(MAX(CB36,0)/INDEX(TABLAS!$D$52:$D$58,MATCH(CC36,TABLAS!$B$52:$B$58,0)),1)),MAX(MAX(DATOS!$C$71,CEILING(MAX(CB36,0)/INDEX(TABLAS!$D$52:$D$58,MATCH(CC36,TABLAS!$B$52:$B$58,0)),1)),2))))</f>
        <v/>
      </c>
      <c r="CE36" s="58" t="str">
        <f>IF(U36&lt;&gt;"SÍ","",DATOS!$C$82-AJ36-INDEX(TABLAS!$C$52:$C$58,MATCH(BM36,TABLAS!$B$52:$B$58,0))-INDEX(TABLAS!$C$52:$C$58,MATCH(CC36,TABLAS!$B$52:$B$58,0))/2)</f>
        <v/>
      </c>
      <c r="CF36" s="56" t="str">
        <f>IF(U36&lt;&gt;"SÍ","",IF(CD36=0,0,DATOS!$C$29*CD36*INDEX(TABLAS!$D$52:$D$58,MATCH(CC36,TABLAS!$B$52:$B$58,0))*DATOS!$C$14*(CE36-CD36*INDEX(TABLAS!$D$52:$D$58,MATCH(CC36,TABLAS!$B$52:$B$58,0))*DATOS!$C$14/(DATOS!$C$21*AH36)/2)/1E5))</f>
        <v/>
      </c>
      <c r="CG36" s="65" t="str">
        <f>IF(U36&lt;&gt;"SÍ","",IF(CB36&lt;0,9.99,IF(CF36&gt;0,BH36/CF36,0)))</f>
        <v/>
      </c>
      <c r="CH36" s="66" t="str">
        <f>IF(U36&lt;&gt;"SÍ","",IF(CD36=0,"—",0.003*(CE36-(CD36*INDEX(TABLAS!$D$52:$D$58,MATCH(CC36,TABLAS!$B$52:$B$58,0))*DATOS!$C$14/(DATOS!$C$21*AH36)/DATOS!$C$22))/(CD36*INDEX(TABLAS!$D$52:$D$58,MATCH(CC36,TABLAS!$B$52:$B$58,0))*DATOS!$C$14/(DATOS!$C$21*AH36)/DATOS!$C$22)))</f>
        <v/>
      </c>
      <c r="CI36" s="58" t="str">
        <f>IF(U36&lt;&gt;"SÍ","",((DATOS!$C$82-AL36-2*DATOS!$C$94-INDEX(TABLAS!$C$52:$C$58,MATCH(DATOS!$C$69,TABLAS!$B$52:$B$58,0))-INDEX(TABLAS!$C$52:$C$58,MATCH(DATOS!$C$69,TABLAS!$B$52:$B$58,0))/2)-IF(AND((DATOS!$C$82-AL36-2*DATOS!$C$94-INDEX(TABLAS!$C$52:$C$58,MATCH(DATOS!$C$69,TABLAS!$B$52:$B$58,0))-INDEX(TABLAS!$C$52:$C$58,MATCH(DATOS!$C$69,TABLAS!$B$52:$B$58,0))/2)&lt;=20,DATOS!$C$62&lt;&gt;"SÍ"),2,0)))</f>
        <v/>
      </c>
      <c r="CJ36" s="58" t="str">
        <f>IF(U36&lt;&gt;"SÍ","",IF(IF(BI36&lt;=0,0,IF((1-2*BI36*1E5/(DATOS!$C$29*AF36*CI36^2*DATOS!$C$21))&lt;0,-1,IF((1-SQRT((1-2*BI36*1E5/(DATOS!$C$29*AF36*CI36^2*DATOS!$C$21))))*DATOS!$C$21*AF36*CI36/DATOS!$C$14&gt;DATOS!$C$99*AF36*CI36,-1,(1-SQRT((1-2*BI36*1E5/(DATOS!$C$29*AF36*CI36^2*DATOS!$C$21))))*DATOS!$C$21*AF36*CI36/DATOS!$C$14)))&lt;0,-1,MAX(IF(BI36&lt;=0,0,IF((1-2*BI36*1E5/(DATOS!$C$29*AF36*CI36^2*DATOS!$C$21))&lt;0,-1,IF((1-SQRT((1-2*BI36*1E5/(DATOS!$C$29*AF36*CI36^2*DATOS!$C$21))))*DATOS!$C$21*AF36*CI36/DATOS!$C$14&gt;DATOS!$C$99*AF36*CI36,-1,(1-SQRT((1-2*BI36*1E5/(DATOS!$C$29*AF36*CI36^2*DATOS!$C$21))))*DATOS!$C$21*AF36*CI36/DATOS!$C$14))),MIN(DATOS!$C$100*DATOS!$C$80*CI36,4/3*IF(BI36&lt;=0,0,IF((1-2*BI36*1E5/(DATOS!$C$29*AF36*CI36^2*DATOS!$C$21))&lt;0,-1,IF((1-SQRT((1-2*BI36*1E5/(DATOS!$C$29*AF36*CI36^2*DATOS!$C$21))))*DATOS!$C$21*AF36*CI36/DATOS!$C$14&gt;DATOS!$C$99*AF36*CI36,-1,(1-SQRT((1-2*BI36*1E5/(DATOS!$C$29*AF36*CI36^2*DATOS!$C$21))))*DATOS!$C$21*AF36*CI36/DATOS!$C$14)))))))</f>
        <v/>
      </c>
      <c r="CK36" s="64" t="str">
        <f>IF(U36&lt;&gt;"SÍ","",IF(AND(CJ36&gt;=0,IF(MAX(DATOS!$C$71,CEILING(CJ36/INDEX(TABLAS!$D$52:$D$58,MIN(MATCH(DATOS!$C$69,TABLAS!$B$52:$B$58,0)+0,7)),1))*INDEX(TABLAS!$D$52:$D$58,MIN(MATCH(DATOS!$C$69,TABLAS!$B$52:$B$58,0)+0,7))&gt;=4/3*IF(BI36&lt;=0,0,IF((1-2*BI36*1E5/(DATOS!$C$29*AF36*CI36^2*DATOS!$C$21))&lt;0,-1,IF((1-SQRT((1-2*BI36*1E5/(DATOS!$C$29*AF36*CI36^2*DATOS!$C$21))))*DATOS!$C$21*AF36*CI36/DATOS!$C$14&gt;DATOS!$C$99*AF36*CI36,-1,(1-SQRT((1-2*BI36*1E5/(DATOS!$C$29*AF36*CI36^2*DATOS!$C$21))))*DATOS!$C$21*AF36*CI36/DATOS!$C$14)))-0.0001,MAX(DATOS!$C$71,CEILING(CJ36/INDEX(TABLAS!$D$52:$D$58,MIN(MATCH(DATOS!$C$69,TABLAS!$B$52:$B$58,0)+0,7)),1)),MAX(MAX(DATOS!$C$71,CEILING(CJ36/INDEX(TABLAS!$D$52:$D$58,MIN(MATCH(DATOS!$C$69,TABLAS!$B$52:$B$58,0)+0,7)),1)),2))&lt;=MIN(DATOS!$C$70,INT(((DATOS!$C$80-2*AK36)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36&gt;=0,IF(MAX(DATOS!$C$71,CEILING(CJ36/INDEX(TABLAS!$D$52:$D$58,MIN(MATCH(DATOS!$C$69,TABLAS!$B$52:$B$58,0)+1,7)),1))*INDEX(TABLAS!$D$52:$D$58,MIN(MATCH(DATOS!$C$69,TABLAS!$B$52:$B$58,0)+1,7))&gt;=4/3*IF(BI36&lt;=0,0,IF((1-2*BI36*1E5/(DATOS!$C$29*AF36*CI36^2*DATOS!$C$21))&lt;0,-1,IF((1-SQRT((1-2*BI36*1E5/(DATOS!$C$29*AF36*CI36^2*DATOS!$C$21))))*DATOS!$C$21*AF36*CI36/DATOS!$C$14&gt;DATOS!$C$99*AF36*CI36,-1,(1-SQRT((1-2*BI36*1E5/(DATOS!$C$29*AF36*CI36^2*DATOS!$C$21))))*DATOS!$C$21*AF36*CI36/DATOS!$C$14)))-0.0001,MAX(DATOS!$C$71,CEILING(CJ36/INDEX(TABLAS!$D$52:$D$58,MIN(MATCH(DATOS!$C$69,TABLAS!$B$52:$B$58,0)+1,7)),1)),MAX(MAX(DATOS!$C$71,CEILING(CJ36/INDEX(TABLAS!$D$52:$D$58,MIN(MATCH(DATOS!$C$69,TABLAS!$B$52:$B$58,0)+1,7)),1)),2))&lt;=MIN(DATOS!$C$70,INT(((DATOS!$C$80-2*AK36)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36&gt;=0,IF(MAX(DATOS!$C$71,CEILING(CJ36/INDEX(TABLAS!$D$52:$D$58,MIN(MATCH(DATOS!$C$69,TABLAS!$B$52:$B$58,0)+2,7)),1))*INDEX(TABLAS!$D$52:$D$58,MIN(MATCH(DATOS!$C$69,TABLAS!$B$52:$B$58,0)+2,7))&gt;=4/3*IF(BI36&lt;=0,0,IF((1-2*BI36*1E5/(DATOS!$C$29*AF36*CI36^2*DATOS!$C$21))&lt;0,-1,IF((1-SQRT((1-2*BI36*1E5/(DATOS!$C$29*AF36*CI36^2*DATOS!$C$21))))*DATOS!$C$21*AF36*CI36/DATOS!$C$14&gt;DATOS!$C$99*AF36*CI36,-1,(1-SQRT((1-2*BI36*1E5/(DATOS!$C$29*AF36*CI36^2*DATOS!$C$21))))*DATOS!$C$21*AF36*CI36/DATOS!$C$14)))-0.0001,MAX(DATOS!$C$71,CEILING(CJ36/INDEX(TABLAS!$D$52:$D$58,MIN(MATCH(DATOS!$C$69,TABLAS!$B$52:$B$58,0)+2,7)),1)),MAX(MAX(DATOS!$C$71,CEILING(CJ36/INDEX(TABLAS!$D$52:$D$58,MIN(MATCH(DATOS!$C$69,TABLAS!$B$52:$B$58,0)+2,7)),1)),2))&lt;=MIN(DATOS!$C$70,INT(((DATOS!$C$80-2*AK36)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36&gt;=0,IF(MAX(DATOS!$C$71,CEILING(CJ36/INDEX(TABLAS!$D$52:$D$58,MIN(MATCH(DATOS!$C$69,TABLAS!$B$52:$B$58,0)+3,7)),1))*INDEX(TABLAS!$D$52:$D$58,MIN(MATCH(DATOS!$C$69,TABLAS!$B$52:$B$58,0)+3,7))&gt;=4/3*IF(BI36&lt;=0,0,IF((1-2*BI36*1E5/(DATOS!$C$29*AF36*CI36^2*DATOS!$C$21))&lt;0,-1,IF((1-SQRT((1-2*BI36*1E5/(DATOS!$C$29*AF36*CI36^2*DATOS!$C$21))))*DATOS!$C$21*AF36*CI36/DATOS!$C$14&gt;DATOS!$C$99*AF36*CI36,-1,(1-SQRT((1-2*BI36*1E5/(DATOS!$C$29*AF36*CI36^2*DATOS!$C$21))))*DATOS!$C$21*AF36*CI36/DATOS!$C$14)))-0.0001,MAX(DATOS!$C$71,CEILING(CJ36/INDEX(TABLAS!$D$52:$D$58,MIN(MATCH(DATOS!$C$69,TABLAS!$B$52:$B$58,0)+3,7)),1)),MAX(MAX(DATOS!$C$71,CEILING(CJ36/INDEX(TABLAS!$D$52:$D$58,MIN(MATCH(DATOS!$C$69,TABLAS!$B$52:$B$58,0)+3,7)),1)),2))&lt;=MIN(DATOS!$C$70,INT(((DATOS!$C$80-2*AK36)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36&gt;=0,IF(MAX(DATOS!$C$71,CEILING(CJ36/INDEX(TABLAS!$D$52:$D$58,MIN(MATCH(DATOS!$C$69,TABLAS!$B$52:$B$58,0)+4,7)),1))*INDEX(TABLAS!$D$52:$D$58,MIN(MATCH(DATOS!$C$69,TABLAS!$B$52:$B$58,0)+4,7))&gt;=4/3*IF(BI36&lt;=0,0,IF((1-2*BI36*1E5/(DATOS!$C$29*AF36*CI36^2*DATOS!$C$21))&lt;0,-1,IF((1-SQRT((1-2*BI36*1E5/(DATOS!$C$29*AF36*CI36^2*DATOS!$C$21))))*DATOS!$C$21*AF36*CI36/DATOS!$C$14&gt;DATOS!$C$99*AF36*CI36,-1,(1-SQRT((1-2*BI36*1E5/(DATOS!$C$29*AF36*CI36^2*DATOS!$C$21))))*DATOS!$C$21*AF36*CI36/DATOS!$C$14)))-0.0001,MAX(DATOS!$C$71,CEILING(CJ36/INDEX(TABLAS!$D$52:$D$58,MIN(MATCH(DATOS!$C$69,TABLAS!$B$52:$B$58,0)+4,7)),1)),MAX(MAX(DATOS!$C$71,CEILING(CJ36/INDEX(TABLAS!$D$52:$D$58,MIN(MATCH(DATOS!$C$69,TABLAS!$B$52:$B$58,0)+4,7)),1)),2))&lt;=MIN(DATOS!$C$70,INT(((DATOS!$C$80-2*AK36)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36" s="59" t="str">
        <f>IF(U36&lt;&gt;"SÍ","",IF(CJ36&lt;0,0,IF(MAX(DATOS!$C$71,CEILING(MAX(CJ36,0)/INDEX(TABLAS!$D$52:$D$58,MATCH(CK36,TABLAS!$B$52:$B$58,0)),1))*INDEX(TABLAS!$D$52:$D$58,MATCH(CK36,TABLAS!$B$52:$B$58,0))&gt;=4/3*IF(BI36&lt;=0,0,IF((1-2*BI36*1E5/(DATOS!$C$29*AF36*CI36^2*DATOS!$C$21))&lt;0,-1,IF((1-SQRT((1-2*BI36*1E5/(DATOS!$C$29*AF36*CI36^2*DATOS!$C$21))))*DATOS!$C$21*AF36*CI36/DATOS!$C$14&gt;DATOS!$C$99*AF36*CI36,-1,(1-SQRT((1-2*BI36*1E5/(DATOS!$C$29*AF36*CI36^2*DATOS!$C$21))))*DATOS!$C$21*AF36*CI36/DATOS!$C$14)))-0.0001,MAX(DATOS!$C$71,CEILING(MAX(CJ36,0)/INDEX(TABLAS!$D$52:$D$58,MATCH(CK36,TABLAS!$B$52:$B$58,0)),1)),MAX(MAX(DATOS!$C$71,CEILING(MAX(CJ36,0)/INDEX(TABLAS!$D$52:$D$58,MATCH(CK36,TABLAS!$B$52:$B$58,0)),1)),2))))</f>
        <v/>
      </c>
      <c r="CM36" s="58" t="str">
        <f>IF(U36&lt;&gt;"SÍ","",((DATOS!$C$82-AL36-2*DATOS!$C$94-INDEX(TABLAS!$C$52:$C$58,MATCH(BU36,TABLAS!$B$52:$B$58,0))-INDEX(TABLAS!$C$52:$C$58,MATCH(CK36,TABLAS!$B$52:$B$58,0))/2)-IF(AND((DATOS!$C$82-AL36-2*DATOS!$C$94-INDEX(TABLAS!$C$52:$C$58,MATCH(BU36,TABLAS!$B$52:$B$58,0))-INDEX(TABLAS!$C$52:$C$58,MATCH(CK36,TABLAS!$B$52:$B$58,0))/2)&lt;=20,DATOS!$C$62&lt;&gt;"SÍ"),2,0)))</f>
        <v/>
      </c>
      <c r="CN36" s="56" t="str">
        <f>IF(U36&lt;&gt;"SÍ","",IF(CL36=0,0,DATOS!$C$29*CL36*INDEX(TABLAS!$D$52:$D$58,MATCH(CK36,TABLAS!$B$52:$B$58,0))*DATOS!$C$14*(CM36-CL36*INDEX(TABLAS!$D$52:$D$58,MATCH(CK36,TABLAS!$B$52:$B$58,0))*DATOS!$C$14/(DATOS!$C$21*AF36)/2)/1E5))</f>
        <v/>
      </c>
      <c r="CO36" s="65" t="str">
        <f>IF(U36&lt;&gt;"SÍ","",IF(CJ36&lt;0,9.99,IF(CN36&gt;0,BI36/CN36,0)))</f>
        <v/>
      </c>
      <c r="CP36" s="66" t="str">
        <f>IF(U36&lt;&gt;"SÍ","",IF(CL36=0,"—",0.003*(CM36-(CL36*INDEX(TABLAS!$D$52:$D$58,MATCH(CK36,TABLAS!$B$52:$B$58,0))*DATOS!$C$14/(DATOS!$C$21*AF36)/DATOS!$C$22))/(CL36*INDEX(TABLAS!$D$52:$D$58,MATCH(CK36,TABLAS!$B$52:$B$58,0))*DATOS!$C$14/(DATOS!$C$21*AF36)/DATOS!$C$22)))</f>
        <v/>
      </c>
      <c r="CQ36" s="56" t="str">
        <f>IF(U36&lt;&gt;"SÍ","",IF(C36="PERIMETRAL",MAX(0,(AA36/2-BW36)/100)*(0.95-0.5*Z36)*AQ36*IF(AND(AR36&gt;0,AR36&lt;4),DATOS!$C$33,1)*DATOS!$C$83/100/1000,(AQ36*MAX(0,AA36-BW36)/100+DATOS!$C$26*N(O36))*DATOS!$C$83/100/1000+BE36))</f>
        <v/>
      </c>
      <c r="CR36" s="56" t="str">
        <f>IF(U36&lt;&gt;"SÍ","",DATOS!$C$30*2*MIN(1,SQRT(2/(1+0.04*BW36)))*(BV36*INDEX(TABLAS!$D$52:$D$58,MATCH(BU36,TABLAS!$B$52:$B$58,0))/(AE36*BW36))^(1/3)*SQRT(DATOS!$C$13)*AE36*BW36*IF(AI36="SÍ",DATOS!$C$32,1)/1000)</f>
        <v/>
      </c>
      <c r="CS36" s="59" t="str">
        <f>IF(U36&lt;&gt;"SÍ","",IF(CQ36&lt;=CR36,0,CEILING(MAX(0,IF(C36="VOLADO",(AA36-((CR36-BE36)*1E5/DATOS!$C$83-DATOS!$C$26*N(O36))*100/AQ36),IF(CR36&lt;=0,AA36,AA36/2-CR36/MAX(CQ36,1E-9)*(AA36/2-BW36)))-IF(INT((X36*100-DATOS!$C$84+DATOS!$C$80)/DATOS!$C$83)&gt;0,(X36*100-DATOS!$C$84-(INT((X36*100-DATOS!$C$84+DATOS!$C$80)/DATOS!$C$83)*DATOS!$C$78+(INT((X36*100-DATOS!$C$84+DATOS!$C$80)/DATOS!$C$83)-1)*DATOS!$C$80))/2,X36*100/2))/DATOS!$C$83,1)))</f>
        <v/>
      </c>
      <c r="CT36" s="67" t="str">
        <f>IF(U36&lt;&gt;"SÍ","",IF(CQ36&lt;=CR36,"CUMPLE",IF(CS36&lt;=0,"CUMPLE (basta el macizo de orilla)",IF(CS36*DATOS!$C$83*IF(C36="VOLADO",1,2)&gt;=X36*100-DATOS!$C$84,"NO CUMPLE: no alcanza ni macizando todo","MACIZAR "&amp;CS36&amp;" hilera(s)"))))</f>
        <v/>
      </c>
      <c r="CU36" s="58" t="str">
        <f>IF(U36&lt;&gt;"SÍ","",(DATOS!$C$83*DATOS!$C$81^2/2+AC36*DATOS!$C$79*(DATOS!$C$81+DATOS!$C$79/2))/(DATOS!$C$83*DATOS!$C$81+AC36*DATOS!$C$79))</f>
        <v/>
      </c>
      <c r="CV36" s="68" t="str">
        <f>IF(U36&lt;&gt;"SÍ","",DATOS!$C$83*DATOS!$C$81^3/12+DATOS!$C$83*DATOS!$C$81*(CU36-DATOS!$C$81/2)^2+AC36*DATOS!$C$79^3/12+AC36*DATOS!$C$79*(DATOS!$C$81+DATOS!$C$79/2-CU36)^2)</f>
        <v/>
      </c>
      <c r="CW36" s="58" t="str">
        <f>IF(U36&lt;&gt;"SÍ","",(12*CV36/DATOS!$C$83)^(1/3))</f>
        <v/>
      </c>
      <c r="CX36" s="58" t="str">
        <f>IF(U36&lt;&gt;"SÍ","",IF(C36="PERIMETRAL",IF(ISNUMBER(R36),R36,DATOS!$C$101),0))</f>
        <v/>
      </c>
      <c r="CY36" s="57" t="str">
        <f>IF(U36&lt;&gt;"SÍ","",IF(C36="PERIMETRAL",IF(CX36&gt;2,MAX(9,AB36*(0.8+DATOS!$C$14/14000)/(36+9*(AB36/MAX(AA36,1)))),IF(CX36&gt;0.2,MAX(13,AB36*(0.8+DATOS!$C$14/14000)/(36+5*(AB36/MAX(AA36,1))*(CX36-0.2))),MAX(13,AB36/IF(AR36&gt;0,30,33))))*IF(AND(CX36&gt;0.2,AR36&gt;0,DATOS!$C$102="NO"),1.1,1),X36*100/8))</f>
        <v/>
      </c>
      <c r="CZ36" s="61" t="str">
        <f>IF(U36&lt;&gt;"SÍ","",IF(IF(C36="VOLADO",DATOS!$C$82,CW36)&gt;=CY36,"CUMPLE",IF(C36="VOLADO","NO CUMPLE","CALCULAR FLECHA")))</f>
        <v/>
      </c>
      <c r="DA36" s="55" t="str">
        <f>IF(U36&lt;&gt;"SÍ","",IF(DATOS!$C$81&gt;=IF(IF(C36="VOLADO",X36,Y36)&gt;=6,6,5),"CUMPLE","CAPA ≥ 6 cm"))</f>
        <v/>
      </c>
      <c r="DB36" s="60" t="str">
        <f>IF(U36&lt;&gt;"SÍ","",IF(C36="VOLADO",MIN(CEILING(IF(ISNUMBER(P36),P36,X36)*100,5),CEILING(MAX(IF((0.5*(0.9*DATOS!$C$87*DATOS!$C$83/100/1000)*IF(ISNUMBER(P36),P36,X36)+BG36/IF(ISNUMBER(P36),P36,X36))^2-4*(0.5*(0.9*DATOS!$C$87*DATOS!$C$83/100/1000))*BG36&lt;0,IF(ISNUMBER(P36),P36,X36),MIN(IF(ISNUMBER(P36),P36,X36),((0.5*(0.9*DATOS!$C$87*DATOS!$C$83/100/1000)*IF(ISNUMBER(P36),P36,X36)+BG36/IF(ISNUMBER(P36),P36,X36))-SQRT((0.5*(0.9*DATOS!$C$87*DATOS!$C$83/100/1000)*IF(ISNUMBER(P36),P36,X36)+BG36/IF(ISNUMBER(P36),P36,X36))^2-4*(0.5*(0.9*DATOS!$C$87*DATOS!$C$83/100/1000))*BG36))/(2*(0.5*(0.9*DATOS!$C$87*DATOS!$C$83/100/1000)))))*100+MAX(BW36,12*INDEX(TABLAS!$C$52:$C$58,MATCH(BU36,TABLAS!$B$52:$B$58,0)),IF(ISNUMBER(P36),P36,X36)*100/16),IF(OR(AK36&lt;INDEX(TABLAS!$C$52:$C$58,MATCH(BU36,TABLAS!$B$52:$B$58,0)),AND(BV36&gt;=2,(AC36-2*AK36-BV36*INDEX(TABLAS!$C$52:$C$58,MATCH(BU36,TABLAS!$B$52:$B$58,0)))/MAX(BV36-1,1)&lt;2*INDEX(TABLAS!$C$52:$C$58,MATCH(BU36,TABLAS!$B$52:$B$58,0)))),INDEX(TABLAS!$I$52:$I$58,MATCH(BU36,TABLAS!$B$52:$B$58,0)),INDEX(TABLAS!$F$52:$F$58,MATCH(BU36,TABLAS!$B$52:$B$58,0)))),5)),IF(((4*((BB36*AQ36*X36^2*1E-4*DATOS!$C$83/100/1000)+((MAX(AX36,AZ36)*AQ36*X36^2*1E-4*DATOS!$C$83/100/1000)+(IF(AND(AX36&gt;0,AZ36&gt;0),MIN(AX36,AZ36),MAX(AX36,AZ36))*AQ36*X36^2*1E-4*DATOS!$C$83/100/1000))/2)+BG36-(IF(AND(AX36&gt;0,AZ36&gt;0),MIN(AX36,AZ36),MAX(AX36,AZ36))*AQ36*X36^2*1E-4*DATOS!$C$83/100/1000))^2-16*((BB36*AQ36*X36^2*1E-4*DATOS!$C$83/100/1000)+((MAX(AX36,AZ36)*AQ36*X36^2*1E-4*DATOS!$C$83/100/1000)+(IF(AND(AX36&gt;0,AZ36&gt;0),MIN(AX36,AZ36),MAX(AX36,AZ36))*AQ36*X36^2*1E-4*DATOS!$C$83/100/1000))/2)*BG36)&lt;0,CEILING(AA36,5),CEILING(MAX(AA36*((4*((BB36*AQ36*X36^2*1E-4*DATOS!$C$83/100/1000)+((MAX(AX36,AZ36)*AQ36*X36^2*1E-4*DATOS!$C$83/100/1000)+(IF(AND(AX36&gt;0,AZ36&gt;0),MIN(AX36,AZ36),MAX(AX36,AZ36))*AQ36*X36^2*1E-4*DATOS!$C$83/100/1000))/2)+BG36-(IF(AND(AX36&gt;0,AZ36&gt;0),MIN(AX36,AZ36),MAX(AX36,AZ36))*AQ36*X36^2*1E-4*DATOS!$C$83/100/1000))-SQRT(MAX(0,((4*((BB36*AQ36*X36^2*1E-4*DATOS!$C$83/100/1000)+((MAX(AX36,AZ36)*AQ36*X36^2*1E-4*DATOS!$C$83/100/1000)+(IF(AND(AX36&gt;0,AZ36&gt;0),MIN(AX36,AZ36),MAX(AX36,AZ36))*AQ36*X36^2*1E-4*DATOS!$C$83/100/1000))/2)+BG36-(IF(AND(AX36&gt;0,AZ36&gt;0),MIN(AX36,AZ36),MAX(AX36,AZ36))*AQ36*X36^2*1E-4*DATOS!$C$83/100/1000))^2-16*((BB36*AQ36*X36^2*1E-4*DATOS!$C$83/100/1000)+((MAX(AX36,AZ36)*AQ36*X36^2*1E-4*DATOS!$C$83/100/1000)+(IF(AND(AX36&gt;0,AZ36&gt;0),MIN(AX36,AZ36),MAX(AX36,AZ36))*AQ36*X36^2*1E-4*DATOS!$C$83/100/1000))/2)*BG36))))/(8*MAX(((BB36*AQ36*X36^2*1E-4*DATOS!$C$83/100/1000)+((MAX(AX36,AZ36)*AQ36*X36^2*1E-4*DATOS!$C$83/100/1000)+(IF(AND(AX36&gt;0,AZ36&gt;0),MIN(AX36,AZ36),MAX(AX36,AZ36))*AQ36*X36^2*1E-4*DATOS!$C$83/100/1000))/2),1E-9))+MAX(BW36,12*INDEX(TABLAS!$C$52:$C$58,MATCH(BU36,TABLAS!$B$52:$B$58,0)),AA36/16),IF(OR(AK36&lt;INDEX(TABLAS!$C$52:$C$58,MATCH(BU36,TABLAS!$B$52:$B$58,0)),AND(BV36&gt;=2,(AC36-2*AK36-BV36*INDEX(TABLAS!$C$52:$C$58,MATCH(BU36,TABLAS!$B$52:$B$58,0)))/MAX(BV36-1,1)&lt;2*INDEX(TABLAS!$C$52:$C$58,MATCH(BU36,TABLAS!$B$52:$B$58,0)))),INDEX(TABLAS!$I$52:$I$58,MATCH(BU36,TABLAS!$B$52:$B$58,0)),INDEX(TABLAS!$F$52:$F$58,MATCH(BU36,TABLAS!$B$52:$B$58,0)))),5))))</f>
        <v/>
      </c>
      <c r="DC36" s="60" t="str">
        <f>IF(U36&lt;&gt;"SÍ","",IF(C36="VOLADO",0,IF(((4*((BC36*AQ36*X36^2*1E-4*DATOS!$C$83/100/1000)+((MAX(AY36,BA36)*AQ36*X36^2*1E-4*DATOS!$C$83/100/1000)+(IF(AND(AY36&gt;0,BA36&gt;0),MIN(AY36,BA36),MAX(AY36,BA36))*AQ36*X36^2*1E-4*DATOS!$C$83/100/1000))/2)+BI36-(IF(AND(AY36&gt;0,BA36&gt;0),MIN(AY36,BA36),MAX(AY36,BA36))*AQ36*X36^2*1E-4*DATOS!$C$83/100/1000))^2-16*((BC36*AQ36*X36^2*1E-4*DATOS!$C$83/100/1000)+((MAX(AY36,BA36)*AQ36*X36^2*1E-4*DATOS!$C$83/100/1000)+(IF(AND(AY36&gt;0,BA36&gt;0),MIN(AY36,BA36),MAX(AY36,BA36))*AQ36*X36^2*1E-4*DATOS!$C$83/100/1000))/2)*BI36)&lt;0,CEILING(AB36,5),CEILING(MAX(AB36*((4*((BC36*AQ36*X36^2*1E-4*DATOS!$C$83/100/1000)+((MAX(AY36,BA36)*AQ36*X36^2*1E-4*DATOS!$C$83/100/1000)+(IF(AND(AY36&gt;0,BA36&gt;0),MIN(AY36,BA36),MAX(AY36,BA36))*AQ36*X36^2*1E-4*DATOS!$C$83/100/1000))/2)+BI36-(IF(AND(AY36&gt;0,BA36&gt;0),MIN(AY36,BA36),MAX(AY36,BA36))*AQ36*X36^2*1E-4*DATOS!$C$83/100/1000))-SQRT(MAX(0,((4*((BC36*AQ36*X36^2*1E-4*DATOS!$C$83/100/1000)+((MAX(AY36,BA36)*AQ36*X36^2*1E-4*DATOS!$C$83/100/1000)+(IF(AND(AY36&gt;0,BA36&gt;0),MIN(AY36,BA36),MAX(AY36,BA36))*AQ36*X36^2*1E-4*DATOS!$C$83/100/1000))/2)+BI36-(IF(AND(AY36&gt;0,BA36&gt;0),MIN(AY36,BA36),MAX(AY36,BA36))*AQ36*X36^2*1E-4*DATOS!$C$83/100/1000))^2-16*((BC36*AQ36*X36^2*1E-4*DATOS!$C$83/100/1000)+((MAX(AY36,BA36)*AQ36*X36^2*1E-4*DATOS!$C$83/100/1000)+(IF(AND(AY36&gt;0,BA36&gt;0),MIN(AY36,BA36),MAX(AY36,BA36))*AQ36*X36^2*1E-4*DATOS!$C$83/100/1000))/2)*BI36))))/(8*MAX(((BC36*AQ36*X36^2*1E-4*DATOS!$C$83/100/1000)+((MAX(AY36,BA36)*AQ36*X36^2*1E-4*DATOS!$C$83/100/1000)+(IF(AND(AY36&gt;0,BA36&gt;0),MIN(AY36,BA36),MAX(AY36,BA36))*AQ36*X36^2*1E-4*DATOS!$C$83/100/1000))/2),1E-9))+MAX(CM36,12*INDEX(TABLAS!$C$52:$C$58,MATCH(CK36,TABLAS!$B$52:$B$58,0)),AB36/16),IF(OR(AK36&lt;INDEX(TABLAS!$C$52:$C$58,MATCH(CK36,TABLAS!$B$52:$B$58,0)),AND(CL36&gt;=2,(DATOS!$C$80-2*AK36-CL36*INDEX(TABLAS!$C$52:$C$58,MATCH(CK36,TABLAS!$B$52:$B$58,0)))/MAX(CL36-1,1)&lt;2*INDEX(TABLAS!$C$52:$C$58,MATCH(CK36,TABLAS!$B$52:$B$58,0)))),INDEX(TABLAS!$I$52:$I$58,MATCH(CK36,TABLAS!$B$52:$B$58,0)),INDEX(TABLAS!$F$52:$F$58,MATCH(CK36,TABLAS!$B$52:$B$58,0)))),5))))</f>
        <v/>
      </c>
      <c r="DD36" s="55" t="str">
        <f>IF(U36&lt;&gt;"SÍ","",IF(AND(C36="PERIMETRAL",BV36&gt;=2,AR36-AS36&gt;0,AZ36*AQ36*X36^2*1E-4*DATOS!$C$83/100/1000&gt;DATOS!$C$29*INDEX(TABLAS!$D$52:$D$58,MATCH(BU36,TABLAS!$B$52:$B$58,0))*DATOS!$C$14*(BW36-INDEX(TABLAS!$D$52:$D$58,MATCH(BU36,TABLAS!$B$52:$B$58,0))*DATOS!$C$14/(DATOS!$C$21*AE36)/2)/1E5),"SÍ","NO"))</f>
        <v/>
      </c>
      <c r="DE36" s="55" t="str">
        <f>IF(U36&lt;&gt;"SÍ","",IF(AND(C36="PERIMETRAL",CL36&gt;=2,AS36&gt;0,BA36*AQ36*X36^2*1E-4*DATOS!$C$83/100/1000&gt;DATOS!$C$29*INDEX(TABLAS!$D$52:$D$58,MATCH(CK36,TABLAS!$B$52:$B$58,0))*DATOS!$C$14*(CM36-INDEX(TABLAS!$D$52:$D$58,MATCH(CK36,TABLAS!$B$52:$B$58,0))*DATOS!$C$14/(DATOS!$C$21*AF36)/2)/1E5),"SÍ","NO"))</f>
        <v/>
      </c>
      <c r="DF36" s="63" t="str">
        <f>IF(U36&lt;&gt;"SÍ","",IF(OR(C36="VOLADO",AR36=0),"—",IF(AND(AND(1.25*INDEX(TABLAS!$G$52:$G$58,MATCH(MAX(BM36,CC36),TABLAS!$B$52:$B$58,0))&lt;=(DATOS!$C$72-DATOS!$C$60),(DATOS!$C$72-DATOS!$C$60)&gt;=15,INDEX(TABLAS!$G$52:$G$58,MATCH(MAX(BU36,CK36),TABLAS!$B$52:$B$58,0))&lt;=(DATOS!$C$72-DATOS!$C$60)),8*INDEX(TABLAS!$C$52:$C$58,MATCH(MAX(MAX(BM36,CC36),MAX(BU36,CK36)),TABLAS!$B$52:$B$58,0))&lt;=DATOS!$C$73-2*DATOS!$C$60),"CUMPLE (gancho de 180°)",IF(AND(1.25*INDEX(TABLAS!$G$52:$G$58,MATCH(MAX(BM36,CC36),TABLAS!$B$52:$B$58,0))&lt;=(DATOS!$C$72-DATOS!$C$60),(DATOS!$C$72-DATOS!$C$60)&gt;=15,INDEX(TABLAS!$G$52:$G$58,MATCH(MAX(BU36,CK36),TABLAS!$B$52:$B$58,0))&lt;=(DATOS!$C$72-DATOS!$C$60)),"NO CUMPLE: el gancho de 180° (8·d_b) no cabe en el peralte de la dala de borde","NO CUMPLE: dala de borde ≥ "&amp;TEXT(CEILING(MAX(1.25*INDEX(TABLAS!$G$52:$G$58,MATCH(MAX(BM36,CC36),TABLAS!$B$52:$B$58,0)),15,INDEX(TABLAS!$G$52:$G$58,MATCH(MAX(BU36,CK36),TABLAS!$B$52:$B$58,0)))+DATOS!$C$60,5),"0")&amp;" cm de ancho"&amp;IF(8*INDEX(TABLAS!$C$52:$C$58,MATCH(MAX(MAX(BM36,CC36),MAX(BU36,CK36)),TABLAS!$B$52:$B$58,0))&lt;=DATOS!$C$73-2*DATOS!$C$60,""," y más peralte para el gancho")))))</f>
        <v/>
      </c>
      <c r="DG36" s="59" t="str">
        <f>IF(U36&lt;&gt;"SÍ","",MAX(0,INT((E36*100-DATOS!$C$84+DATOS!$C$83-IF(W36="X",DATOS!$C$78,AD36))/DATOS!$C$83)))</f>
        <v/>
      </c>
      <c r="DH36" s="59" t="str">
        <f>IF(U36&lt;&gt;"SÍ","",MAX(0,INT((F36*100-DATOS!$C$84+DATOS!$C$83-IF(W36="Y",DATOS!$C$78,AD36))/DATOS!$C$83)))</f>
        <v/>
      </c>
      <c r="DI36" s="57" t="str">
        <f>IF(U36&lt;&gt;"SÍ","",IF(DG36&gt;0,(E36*100-DATOS!$C$84-(DG36*IF(W36="X",DATOS!$C$78,AD36)+(DG36-1)*(DATOS!$C$83-IF(W36="X",DATOS!$C$78,AD36))))/2,E36*100/2))</f>
        <v/>
      </c>
      <c r="DJ36" s="57" t="str">
        <f>IF(U36&lt;&gt;"SÍ","",IF(DH36&gt;0,(F36*100-DATOS!$C$84-(DH36*IF(W36="Y",DATOS!$C$78,AD36)+(DH36-1)*(DATOS!$C$83-IF(W36="Y",DATOS!$C$78,AD36))))/2,F36*100/2))</f>
        <v/>
      </c>
      <c r="DK36" s="59" t="str">
        <f>IF(U36&lt;&gt;"SÍ","",IF(NOT(AND(C36="VOLADO",AC36&gt;DATOS!$C$80)),0,IF(INDEX(TABLAS!$C$52:$C$58,MATCH(BU36,TABLAS!$B$52:$B$58,0))&lt;=DATOS!$C$80-2*DATOS!$C$60,1,0)))</f>
        <v/>
      </c>
      <c r="DL36" s="58" t="str">
        <f>IF(U36&lt;&gt;"SÍ","",IF(NOT(AND(C36="VOLADO",AC36&gt;DATOS!$C$80)),0,((DATOS!$C$82-MAX(DATOS!$C$60,(DATOS!$C$81-2*DATOS!$C$94)/2)-2*DATOS!$C$94-INDEX(TABLAS!$C$52:$C$58,MATCH(BU36,TABLAS!$B$52:$B$58,0))/2)-IF(AND((DATOS!$C$82-MAX(DATOS!$C$60,(DATOS!$C$81-2*DATOS!$C$94)/2)-2*DATOS!$C$94-INDEX(TABLAS!$C$52:$C$58,MATCH(BU36,TABLAS!$B$52:$B$58,0))/2)&lt;=20,DATOS!$C$62&lt;&gt;"SÍ"),2,0))))</f>
        <v/>
      </c>
      <c r="DM36" s="56" t="str">
        <f>IF(U36&lt;&gt;"SÍ","",IF(OR(NOT(AND(C36="VOLADO",AC36&gt;DATOS!$C$80)),DK36&lt;1),0,IF(0.003*(DL36-((DK36*INDEX(TABLAS!$D$52:$D$58,MATCH(BU36,TABLAS!$B$52:$B$58,0)))*DATOS!$C$14/(DATOS!$C$21*AF36)/DATOS!$C$22))/((DK36*INDEX(TABLAS!$D$52:$D$58,MATCH(BU36,TABLAS!$B$52:$B$58,0)))*DATOS!$C$14/(DATOS!$C$21*AF36)/DATOS!$C$22)&lt;0.005,0,DATOS!$C$29*(DK36*INDEX(TABLAS!$D$52:$D$58,MATCH(BU36,TABLAS!$B$52:$B$58,0)))*DATOS!$C$14*(DL36-(DK36*INDEX(TABLAS!$D$52:$D$58,MATCH(BU36,TABLAS!$B$52:$B$58,0)))*DATOS!$C$14/(DATOS!$C$21*AF36)/2)/1E5)))</f>
        <v/>
      </c>
      <c r="DN36" s="56" t="str">
        <f>IF(U36&lt;&gt;"SÍ","",IF(OR(NOT(AND(C36="VOLADO",AC36&gt;DATOS!$C$80)),DK36&lt;1),0,DATOS!$C$30*2*MIN(1,SQRT(2/(1+0.04*DL36)))*((DK36*INDEX(TABLAS!$D$52:$D$58,MATCH(BU36,TABLAS!$B$52:$B$58,0)))/(AF36*DL36))^(1/3)*SQRT(DATOS!$C$13)*AF36*DL36/1000))</f>
        <v/>
      </c>
      <c r="DO36" s="56" t="str">
        <f>IF(U36&lt;&gt;"SÍ","",IF(NOT(AND(C36="VOLADO",AC36&gt;DATOS!$C$80)),0,IF((BG36-DM36)&lt;=0,0,IF(DM36&lt;=0,IF(ISNUMBER(P36),P36,X36),IF(((0.9*DATOS!$C$87*DATOS!$C$83/100/1000)*IF(ISNUMBER(P36),P36,X36)/2+BG36/IF(ISNUMBER(P36),P36,X36))^2-4*((0.9*DATOS!$C$87*DATOS!$C$83/100/1000)/2)*(BG36-DM36)&lt;0,IF(ISNUMBER(P36),P36,X36),MIN(IF(ISNUMBER(P36),P36,X36),(((0.9*DATOS!$C$87*DATOS!$C$83/100/1000)*IF(ISNUMBER(P36),P36,X36)/2+BG36/IF(ISNUMBER(P36),P36,X36))-SQRT(((0.9*DATOS!$C$87*DATOS!$C$83/100/1000)*IF(ISNUMBER(P36),P36,X36)/2+BG36/IF(ISNUMBER(P36),P36,X36))^2-4*((0.9*DATOS!$C$87*DATOS!$C$83/100/1000)/2)*(BG36-DM36)))/(2*((0.9*DATOS!$C$87*DATOS!$C$83/100/1000)/2))))))))</f>
        <v/>
      </c>
      <c r="DP36" s="56" t="str">
        <f>IF(U36&lt;&gt;"SÍ","",IF(NOT(AND(C36="VOLADO",AC36&gt;DATOS!$C$80)),0,MIN(IF(ISNUMBER(P36),P36,X36),MAX(0,IF(ISNUMBER(P36),P36,X36)/2+BG36/IF(ISNUMBER(P36),P36,X36)/(AQ36*DATOS!$C$83/100/1000)-DN36/(AQ36*DATOS!$C$83/100/1000)))))</f>
        <v/>
      </c>
      <c r="DQ36" s="56" t="str">
        <f>IF(U36&lt;&gt;"SÍ","",IF(NOT(AND(C36="VOLADO",AC36&gt;DATOS!$C$80)),0,BG36/IF(ISNUMBER(P36),P36,X36)+(AQ36*DATOS!$C$83/100/1000)*MAX(0,IF(ISNUMBER(P36),P36,X36)/2-BW36/100)))</f>
        <v/>
      </c>
      <c r="DR36" s="59" t="str">
        <f>IF(U36&lt;&gt;"SÍ","",IF(NOT(AND(C36="VOLADO",AC36&gt;DATOS!$C$80)),0,CEILING(100*MIN(IF(ISNUMBER(P36),P36,X36),MAX(IF(DO36&gt;0,DO36+IF(BV36&gt;=2,MAX(DL36,12*INDEX(TABLAS!$C$52:$C$58,MATCH(BU36,TABLAS!$B$52:$B$58,0)))/100,0),0),DP36,IF(BV36&gt;=2,INDEX(TABLAS!$F$52:$F$58,MATCH(BU36,TABLAS!$B$52:$B$58,0))/100,0))),5)))</f>
        <v/>
      </c>
      <c r="DS36" s="60" t="str">
        <f>IF(U36&lt;&gt;"SÍ","",IF(NOT(AND(C36="VOLADO",AC36&gt;DATOS!$C$80)),0,IF(DR36&lt;=0,0,CEILING(DR36/DATOS!$C$83,1))))</f>
        <v/>
      </c>
      <c r="DT36" s="61" t="str">
        <f>IF(U36&lt;&gt;"SÍ","",IF(C36&lt;&gt;"VOLADO","—",IF(AC36&lt;=DATOS!$C$80,"— (mismo b_w que el respaldo)",IF(DQ36&gt;CR36,"NO CUMPLE: cortante de la nervadura ancha junto al apoyo ("&amp;TEXT(DQ36,"0.00")&amp;" &gt; "&amp;TEXT(CR36,"0.00")&amp;" t)",IF(DR36&gt;=100*IF(ISNUMBER(P36),P36,X36),"CUMPLE — todas las nervaduras del respaldo ‖ al volado con b_w = "&amp;AC36&amp;" cm","CUMPLE — "&amp;DS36&amp;" hilera(s) del respaldo con nervaduras de b_w = "&amp;AC36&amp;" cm (casetón "&amp;AD36&amp;" cm), hasta "&amp;TEXT(DR36/100,"0.00")&amp;" m del paño")))))</f>
        <v/>
      </c>
      <c r="DU36" s="69" t="str">
        <f>IF(U36&lt;&gt;"SÍ","",IF(BN36=0,"NO ALCANZA",BN36&amp;" No. "&amp;BM36&amp;IF(BN36&gt;1," corridas"," corrida")))</f>
        <v/>
      </c>
      <c r="DV36" s="69" t="str">
        <f>IF(U36&lt;&gt;"SÍ","",IF(BV36=0,"NO ALCANZA",IF(AND(C36="VOLADO",AC36&gt;DATOS!$C$80,BV36&gt;=2),"1 No. "&amp;BU36&amp;" corrida de la orilla al respaldo ("&amp;IF(DB36&gt;=100*IF(ISNUMBER(P36),P36,X36),"hasta su apoyo lejano, con gancho","entra "&amp;TEXT(DB36/100,"0.00")&amp;" m desde el paño")&amp;") + "&amp;(BV36-1)&amp;" bastón No. "&amp;BU36&amp;" hasta "&amp;TEXT(DR36/100,"0.00")&amp;" m del paño (fin de la nervadura ancha)",IF(C36="VOLADO",BV36&amp;" No. "&amp;BU36&amp;" de la orilla al respaldo ("&amp;IF(DB36&gt;=100*IF(ISNUMBER(P36),P36,X36),"hasta su apoyo lejano, con gancho","entran "&amp;TEXT(DB36/100,"0.00")&amp;" m desde el paño")&amp;")","1 No. "&amp;BU36&amp;" corrida"&amp;IF(BV36&gt;1," + "&amp;(BV36-1)&amp;" bastón No. "&amp;BU36&amp;" L = "&amp;TEXT(DB36/100,"0.00")&amp;" m desde el paño","")))))</f>
        <v/>
      </c>
      <c r="DW36" s="69" t="str">
        <f>IF(U36&lt;&gt;"SÍ","",IF(CD36=0,"NO ALCANZA",CD36&amp;" No. "&amp;CC36&amp;IF(CD36&gt;1," corridas"," corrida")))</f>
        <v/>
      </c>
      <c r="DX36" s="69" t="str">
        <f>IF(U36&lt;&gt;"SÍ","",IF(CL36=0,"NO ALCANZA",IF(C36="VOLADO","1 No. "&amp;CK36&amp;" corrida (repartición)","1 No. "&amp;CK36&amp;" corrida"&amp;IF(CL36&gt;1," + "&amp;(CL36-1)&amp;" bastón No. "&amp;CK36&amp;" L = "&amp;TEXT(DC36/100,"0.00")&amp;" m desde el paño",""))))</f>
        <v/>
      </c>
      <c r="DY36" s="67" t="str">
        <f>IF(B36="","",IF(U36&lt;&gt;"SÍ","FALTAN DATOS: tipo, a_x, a_y y destino",IF(L36="NO MONOLÍTICO (caso II)","FUERA DE ALCANCE: caso II no transcrito",IF(AND(C36="VOLADO",V36="?"),"REVISAR: el volado lleva UN solo borde CONTINUO (el empotrado)",IF(AND(MAX(BQ36,BY36,CG36,CO36)&lt;=1,NOT(OR(BN36&gt;MIN(DATOS!$C$70,INT(((AC36-2*AJ36)+MAX(DATOS!$C$67,INDEX(TABLAS!$C$52:$C$58,MATCH(BM36,TABLAS!$B$52:$B$58,0))))/(INDEX(TABLAS!$C$52:$C$58,MATCH(BM36,TABLAS!$B$52:$B$58,0))+MAX(DATOS!$C$67,INDEX(TABLAS!$C$52:$C$58,MATCH(BM36,TABLAS!$B$52:$B$58,0)))))),BV36&gt;MIN(DATOS!$C$70,INT(((AC36-2*AK36)+MAX(DATOS!$C$67,INDEX(TABLAS!$C$52:$C$58,MATCH(BU36,TABLAS!$B$52:$B$58,0))))/(INDEX(TABLAS!$C$52:$C$58,MATCH(BU36,TABLAS!$B$52:$B$58,0))+MAX(DATOS!$C$67,INDEX(TABLAS!$C$52:$C$58,MATCH(BU36,TABLAS!$B$52:$B$58,0)))))),CD36&gt;MIN(DATOS!$C$70,INT(((DATOS!$C$80-2*AJ36)+MAX(DATOS!$C$67,INDEX(TABLAS!$C$52:$C$58,MATCH(CC36,TABLAS!$B$52:$B$58,0))))/(INDEX(TABLAS!$C$52:$C$58,MATCH(CC36,TABLAS!$B$52:$B$58,0))+MAX(DATOS!$C$67,INDEX(TABLAS!$C$52:$C$58,MATCH(CC36,TABLAS!$B$52:$B$58,0)))))),CL36&gt;MIN(DATOS!$C$70,INT(((DATOS!$C$80-2*AK36)+MAX(DATOS!$C$67,INDEX(TABLAS!$C$52:$C$58,MATCH(CK36,TABLAS!$B$52:$B$58,0))))/(INDEX(TABLAS!$C$52:$C$58,MATCH(CK36,TABLAS!$B$52:$B$58,0))+MAX(DATOS!$C$67,INDEX(TABLAS!$C$52:$C$58,MATCH(CK36,TABLAS!$B$52:$B$58,0)))))))),NOT(OR(AND(ISNUMBER(BR36),BR36&lt;0.005),AND(ISNUMBER(BZ36),BZ36&lt;0.005),AND(ISNUMBER(CH36),CH36&lt;0.005),AND(ISNUMBER(CP36),CP36&lt;0.005))),NOT(LEFT(DT36,2)="NO"),CZ36="CUMPLE",DA36="CUMPLE",LEFT(CT36,2)&lt;&gt;"NO"),IF(LEFT(CT36,6)="CUMPLE","CUMPLE","CUMPLE — "&amp;CT36)&amp;IF(LEFT(BJ36,5)="FUERA"," · fuera de 3.4.2.1 c)","")&amp;IF(LEFT(DF36,2)="NO"," · REVISAR anclaje en borde discontinuo","")&amp;IF(DS36&gt;0," · respaldo: "&amp;DS36&amp;" hilera(s) de b_w "&amp;AC36&amp;" cm",""),IF(AND(MAX(BQ36,BY36,CG36,CO36)&lt;=1,NOT(OR(BN36&gt;MIN(DATOS!$C$70,INT(((AC36-2*AJ36)+MAX(DATOS!$C$67,INDEX(TABLAS!$C$52:$C$58,MATCH(BM36,TABLAS!$B$52:$B$58,0))))/(INDEX(TABLAS!$C$52:$C$58,MATCH(BM36,TABLAS!$B$52:$B$58,0))+MAX(DATOS!$C$67,INDEX(TABLAS!$C$52:$C$58,MATCH(BM36,TABLAS!$B$52:$B$58,0)))))),BV36&gt;MIN(DATOS!$C$70,INT(((AC36-2*AK36)+MAX(DATOS!$C$67,INDEX(TABLAS!$C$52:$C$58,MATCH(BU36,TABLAS!$B$52:$B$58,0))))/(INDEX(TABLAS!$C$52:$C$58,MATCH(BU36,TABLAS!$B$52:$B$58,0))+MAX(DATOS!$C$67,INDEX(TABLAS!$C$52:$C$58,MATCH(BU36,TABLAS!$B$52:$B$58,0)))))),CD36&gt;MIN(DATOS!$C$70,INT(((DATOS!$C$80-2*AJ36)+MAX(DATOS!$C$67,INDEX(TABLAS!$C$52:$C$58,MATCH(CC36,TABLAS!$B$52:$B$58,0))))/(INDEX(TABLAS!$C$52:$C$58,MATCH(CC36,TABLAS!$B$52:$B$58,0))+MAX(DATOS!$C$67,INDEX(TABLAS!$C$52:$C$58,MATCH(CC36,TABLAS!$B$52:$B$58,0)))))),CL36&gt;MIN(DATOS!$C$70,INT(((DATOS!$C$80-2*AK36)+MAX(DATOS!$C$67,INDEX(TABLAS!$C$52:$C$58,MATCH(CK36,TABLAS!$B$52:$B$58,0))))/(INDEX(TABLAS!$C$52:$C$58,MATCH(CK36,TABLAS!$B$52:$B$58,0))+MAX(DATOS!$C$67,INDEX(TABLAS!$C$52:$C$58,MATCH(CK36,TABLAS!$B$52:$B$58,0)))))))),NOT(OR(AND(ISNUMBER(BR36),BR36&lt;0.005),AND(ISNUMBER(BZ36),BZ36&lt;0.005),AND(ISNUMBER(CH36),CH36&lt;0.005),AND(ISNUMBER(CP36),CP36&lt;0.005))),NOT(LEFT(DT36,2)="NO"),CZ36="CALCULAR FLECHA",LEFT(CT36,2)&lt;&gt;"NO"),"REVISAR: calcular flecha (h_eq &lt; h mín.)"&amp;IF(LEFT(BJ36,5)="FUERA"," · fuera de 3.4.2.1 c)","")&amp;IF(LEFT(DF36,2)="NO"," · REVISAR anclaje en borde discontinuo","")&amp;IF(DS36&gt;0," · respaldo: "&amp;DS36&amp;" hilera(s) de b_w "&amp;AC36&amp;" cm",""),"NO CUMPLE: "&amp;IF(MAX(BQ36,BY36,CG36,CO36)&gt;1,"flexión ","")&amp;IF(OR(BN36&gt;MIN(DATOS!$C$70,INT(((AC36-2*AJ36)+MAX(DATOS!$C$67,INDEX(TABLAS!$C$52:$C$58,MATCH(BM36,TABLAS!$B$52:$B$58,0))))/(INDEX(TABLAS!$C$52:$C$58,MATCH(BM36,TABLAS!$B$52:$B$58,0))+MAX(DATOS!$C$67,INDEX(TABLAS!$C$52:$C$58,MATCH(BM36,TABLAS!$B$52:$B$58,0)))))),BV36&gt;MIN(DATOS!$C$70,INT(((AC36-2*AK36)+MAX(DATOS!$C$67,INDEX(TABLAS!$C$52:$C$58,MATCH(BU36,TABLAS!$B$52:$B$58,0))))/(INDEX(TABLAS!$C$52:$C$58,MATCH(BU36,TABLAS!$B$52:$B$58,0))+MAX(DATOS!$C$67,INDEX(TABLAS!$C$52:$C$58,MATCH(BU36,TABLAS!$B$52:$B$58,0)))))),CD36&gt;MIN(DATOS!$C$70,INT(((DATOS!$C$80-2*AJ36)+MAX(DATOS!$C$67,INDEX(TABLAS!$C$52:$C$58,MATCH(CC36,TABLAS!$B$52:$B$58,0))))/(INDEX(TABLAS!$C$52:$C$58,MATCH(CC36,TABLAS!$B$52:$B$58,0))+MAX(DATOS!$C$67,INDEX(TABLAS!$C$52:$C$58,MATCH(CC36,TABLAS!$B$52:$B$58,0)))))),CL36&gt;MIN(DATOS!$C$70,INT(((DATOS!$C$80-2*AK36)+MAX(DATOS!$C$67,INDEX(TABLAS!$C$52:$C$58,MATCH(CK36,TABLAS!$B$52:$B$58,0))))/(INDEX(TABLAS!$C$52:$C$58,MATCH(CK36,TABLAS!$B$52:$B$58,0))+MAX(DATOS!$C$67,INDEX(TABLAS!$C$52:$C$58,MATCH(CK36,TABLAS!$B$52:$B$58,0))))))),"no caben ","")&amp;IF(OR(AND(ISNUMBER(BR36),BR36&lt;0.005),AND(ISNUMBER(BZ36),BZ36&lt;0.005),AND(ISNUMBER(CH36),CH36&lt;0.005),AND(ISNUMBER(CP36),CP36&lt;0.005)),"ε_t &lt; 0.005 ","")&amp;IF(LEFT(CT36,2)="NO","cortante ","")&amp;IF(CZ36="NO CUMPLE","peralte ","")&amp;IF(DA36&lt;&gt;"CUMPLE","capa &lt; 6 cm ","")&amp;IF(LEFT(DT36,2)="NO","respaldo del volado","")))))))</f>
        <v/>
      </c>
      <c r="DZ36" s="70" t="str">
        <f>IF(U36&lt;&gt;"SÍ","",IF(LEFT(B36,7)="EJEMPLO","EJEMPLO de la hoja de Casa Rocha: bórralo o sobrescríbelo. ","")&amp;IF(AND(C36="PERIMETRAL",MIN(DG36,DH36)=0),"No cabe un casetón en el claro corto: es un tablero macizo, diséñalo en MACIZAS. ","")&amp;IF(AND(AI36="NO",C36="PERIMETRAL"),"No cumple 6.7.8.1.4 (a_c = "&amp;MAX(DATOS!$C$78,AD36)&amp;" cm &gt; claro corto/6 = "&amp;TEXT(X36*100/6,"0")&amp;" cm): se diseña como losa apoyada en vigas (6.7.8.1.9): r de viga = "&amp;DATOS!$C$60&amp;" cm y V_cR sin ×1.1. Para que cuente como encasetonada: casetón de "&amp;TEXT(FLOOR(MIN(80,X36*100/6),1),"0")&amp;" cm o menor. ","")&amp;IF(C36="VOLADO","Volado de "&amp;TEXT(X36,"0.00")&amp;" m empotrado en el borde "&amp;LOWER(V36)&amp;IF(N(O36)&gt;0,", con "&amp;TEXT(O36,"0.0")&amp;" kg/m en la orilla","")&amp;". Lecho inferior con r_ext. Si la orilla carga pretil u otro elemento frágil, calcula la flecha (13.4). El acero superior entra al respaldo de "&amp;TEXT(IF(ISNUMBER(P36),P36,X36),"0.00")&amp;" m"&amp;IF(ISNUMBER(P36),""," (L_b no capturado: se tomó igual al volado)")&amp;" hasta pasar M = 0 con 0.9·PP sin carga viva; si ahí no se anula, llega al apoyo lejano y se ancla con gancho (NTC-Criterios 3.4.1 c y 5.1.2.2). "&amp;IF(AC36&gt;DATOS!$C$80,"Respaldo: "&amp;DT36&amp;". ",""),"")&amp;IF(LEFT(BJ36,5)="FUERA","El M⁻ del vecino difiere más de 50 % (3.4.2.1 c): distribuye el desequilibrio (3.4.3.1) o confirma con un modelo; se arma con el mayor. ","")&amp;IF(OR(DD36="SÍ",DE36="SÍ"),"El M⁻ del borde discontinuo pide bastón también ahí (con gancho). ","")&amp;IF(LEFT(DF36,2)="NO","Anclaje: "&amp;DF36&amp;" (6.7.8.1.7). ","")&amp;IF(OR(AZ36&gt;0,BA36&gt;0),"Esquinas exteriores sobre muro: refuerzo de esquina arriba y abajo en L_largo/5 (6.7.7.3.1). ",""))</f>
        <v/>
      </c>
    </row>
    <row r="37" ht="33" customHeight="1">
      <c r="A37" s="50">
        <f>IF(B37="",0,1)+A36</f>
        <v>4</v>
      </c>
      <c r="B37" s="29" t="n"/>
      <c r="C37" s="51" t="n"/>
      <c r="D37" s="29" t="n"/>
      <c r="E37" s="52" t="n"/>
      <c r="F37" s="52" t="n"/>
      <c r="G37" s="51" t="n"/>
      <c r="H37" s="51" t="n"/>
      <c r="I37" s="51" t="n"/>
      <c r="J37" s="51" t="n"/>
      <c r="K37" s="51" t="n"/>
      <c r="L37" s="51" t="n"/>
      <c r="M37" s="53" t="n"/>
      <c r="N37" s="53" t="n"/>
      <c r="O37" s="54" t="n"/>
      <c r="P37" s="52" t="n"/>
      <c r="Q37" s="53" t="n"/>
      <c r="R37" s="54" t="n"/>
      <c r="S37" s="52" t="n"/>
      <c r="T37" s="52" t="n"/>
      <c r="U37" s="55" t="str">
        <f>IF(B37="","",IF(AND(OR(C37="PERIMETRAL",C37="VOLADO"),ISNUMBER(E37),ISNUMBER(F37),E37&gt;0,F37&gt;0,OR(ISNUMBER(N37),ISNUMBER(MATCH(D37,DATOS!$B$46:$B$55,0)))),"SÍ","NO"))</f>
        <v/>
      </c>
      <c r="V37" s="55" t="str">
        <f>IF(U37&lt;&gt;"SÍ","",IF(C37&lt;&gt;"VOLADO","—",IF(COUNTIF(G37:J37,"CONTINUO")&lt;&gt;1,"?",IF(G37="CONTINUO","INFERIOR",IF(H37="CONTINUO","SUPERIOR",IF(I37="CONTINUO","IZQUIERDO","DERECHO"))))))</f>
        <v/>
      </c>
      <c r="W37" s="55" t="str">
        <f>IF(U37&lt;&gt;"SÍ","",IF(C37="VOLADO",IF(OR(V37="IZQUIERDO",V37="DERECHO"),"X","Y"),IF(E37&lt;=F37,"X","Y")))</f>
        <v/>
      </c>
      <c r="X37" s="56" t="str">
        <f>IF(U37&lt;&gt;"SÍ","",IF(C37="VOLADO",IF(W37="X",E37,F37),MIN(E37,F37)))</f>
        <v/>
      </c>
      <c r="Y37" s="56" t="str">
        <f>IF(U37&lt;&gt;"SÍ","",IF(C37="VOLADO",IF(W37="X",F37,E37),MAX(E37,F37)))</f>
        <v/>
      </c>
      <c r="Z37" s="56" t="str">
        <f>IF(U37&lt;&gt;"SÍ","",MIN(X37,Y37)/MAX(X37,Y37))</f>
        <v/>
      </c>
      <c r="AA37" s="57" t="str">
        <f>IF(U37&lt;&gt;"SÍ","",MAX(1,X37*100-IF(C37="VOLADO",DATOS!$C$84/2,DATOS!$C$84)))</f>
        <v/>
      </c>
      <c r="AB37" s="57" t="str">
        <f>IF(U37&lt;&gt;"SÍ","",MAX(1,Y37*100-DATOS!$C$84))</f>
        <v/>
      </c>
      <c r="AC37" s="57" t="str">
        <f>IF(U37&lt;&gt;"SÍ","",IF(ISNUMBER(Q37),Q37,DATOS!$C$80))</f>
        <v/>
      </c>
      <c r="AD37" s="57" t="str">
        <f>IF(U37&lt;&gt;"SÍ","",MAX(0,DATOS!$C$83-AC37))</f>
        <v/>
      </c>
      <c r="AE37" s="57" t="str">
        <f>IF(U37&lt;&gt;"SÍ","",IF(OR(DATOS!$C$62="SÍ",AC37&gt;=20),AC37,AC37-2))</f>
        <v/>
      </c>
      <c r="AF37" s="57" t="str">
        <f>IF(U37&lt;&gt;"SÍ","",IF(OR(DATOS!$C$62="SÍ",DATOS!$C$80&gt;=20),DATOS!$C$80,DATOS!$C$80-2))</f>
        <v/>
      </c>
      <c r="AG37" s="57" t="str">
        <f>IF(U37&lt;&gt;"SÍ","",MIN(DATOS!$C$83,AC37+2*MIN(8*DATOS!$C$81,AD37/2,AA37/8)))</f>
        <v/>
      </c>
      <c r="AH37" s="57" t="str">
        <f>IF(U37&lt;&gt;"SÍ","",MIN(DATOS!$C$83,DATOS!$C$80+2*MIN(8*DATOS!$C$81,DATOS!$C$78/2,AB37/8)))</f>
        <v/>
      </c>
      <c r="AI37" s="55" t="str">
        <f>IF(U37&lt;&gt;"SÍ","",IF(AND(C37="PERIMETRAL",X37*100&gt;=6*MAX(DATOS!$C$78,AD37),MAX(DATOS!$C$78,AD37)&lt;=80,MIN(DATOS!$C$80,AC37)&gt;=10,DATOS!$C$82&lt;=3.5*MIN(DATOS!$C$80,AC37),DATOS!$C$81&gt;=MAX(MAX(DATOS!$C$78,AD37)/13,5)),"SÍ","NO"))</f>
        <v/>
      </c>
      <c r="AJ37" s="57" t="str">
        <f>IF(U37&lt;&gt;"SÍ","",IF(C37="VOLADO",DATOS!$C$61,IF(AI37="NO",DATOS!$C$60,DATOS!$C$59)))</f>
        <v/>
      </c>
      <c r="AK37" s="57" t="str">
        <f>IF(U37&lt;&gt;"SÍ","",IF(OR(AND(AM37="SÍ",DATOS!$C$63="SÍ"),AND(C37="VOLADO",DATOS!$C$64="SÍ")),DATOS!$C$61,IF(AI37="NO",DATOS!$C$60,DATOS!$C$59)))</f>
        <v/>
      </c>
      <c r="AL37" s="58" t="str">
        <f>IF(U37&lt;&gt;"SÍ","",MAX(AK37,(DATOS!$C$81-2*DATOS!$C$94)/2))</f>
        <v/>
      </c>
      <c r="AM37" s="55" t="str">
        <f>IF(U37&lt;&gt;"SÍ","",IFERROR(INDEX(DATOS!$D$46:$D$55,MATCH(D37,DATOS!$B$46:$B$55,0)),"NO"))</f>
        <v/>
      </c>
      <c r="AN37" s="59" t="str">
        <f>IF(U37&lt;&gt;"SÍ","",IF(ISNUMBER(N37),N37,IFERROR(INDEX(DATOS!$C$46:$C$55,MATCH(D37,DATOS!$B$46:$B$55,0)),0)))</f>
        <v/>
      </c>
      <c r="AO37" s="59" t="str">
        <f>IF(U37&lt;&gt;"SÍ","",(DATOS!$C$82/100-(AD37*DATOS!$C$78/DATOS!$C$83^2)*DATOS!$C$79/100)*DATOS!$C$16*1000+(AD37*DATOS!$C$78/DATOS!$C$83^2)*DATOS!$C$79/100*DATOS!$C$17*1000+DATOS!$C$37+DATOS!$C$38)</f>
        <v/>
      </c>
      <c r="AP37" s="59" t="str">
        <f>IF(U37&lt;&gt;"SÍ","",AO37+N(M37))</f>
        <v/>
      </c>
      <c r="AQ37" s="60" t="str">
        <f>IF(U37&lt;&gt;"SÍ","",MAX(DATOS!$C$26*AP37+DATOS!$C$27*AN37,IF(AM37="SÍ",DATOS!$C$28*(AP37+DATOS!$C$41),0)))</f>
        <v/>
      </c>
      <c r="AR37" s="59" t="str">
        <f>IF(U37&lt;&gt;"SÍ","",(G37="DISCONTINUO")+(H37="DISCONTINUO")+(I37="DISCONTINUO")+(J37="DISCONTINUO"))</f>
        <v/>
      </c>
      <c r="AS37" s="59" t="str">
        <f>IF(U37&lt;&gt;"SÍ","",IF(W37="X",(G37="DISCONTINUO")+(H37="DISCONTINUO"),(I37="DISCONTINUO")+(J37="DISCONTINUO")))</f>
        <v/>
      </c>
      <c r="AT37" s="55" t="str">
        <f>IF(U37&lt;&gt;"SÍ","",IF(AR37=0,"INTERIOR",IF(AR37=1,IF(AS37=1,"BORDE-CORTO","BORDE-LARGO"),IF(AR37=2,IF(AS37=1,"ESQUINA",IF(AS37=2,"EXTREMO-LARGO","EXTREMO-CORTO")),IF(AR37=3,IF(AS37=2,"EXTREMO-LARGO","EXTREMO-CORTO"),"AISLADO")))))</f>
        <v/>
      </c>
      <c r="AU37" s="61" t="str">
        <f>IF(U37&lt;&gt;"SÍ","",IF(OR(K37="",K37="AUTO"),AT37,K37))</f>
        <v/>
      </c>
      <c r="AV37" s="59" t="str">
        <f>IF(U37&lt;&gt;"SÍ","",MATCH(Z37,TABLAS!$D$5:$J$5,1))</f>
        <v/>
      </c>
      <c r="AW37" s="58" t="str">
        <f>IF(U37&lt;&gt;"SÍ","",IF(AV37&gt;=7,0,(Z37-INDEX(TABLAS!$D$5:$J$5,AV37))/(INDEX(TABLAS!$D$5:$J$5,AV37+1)-INDEX(TABLAS!$D$5:$J$5,AV37))))</f>
        <v/>
      </c>
      <c r="AX37" s="59" t="str">
        <f>IF(U37&lt;&gt;"SÍ","",INDEX(TABLAS!$D$6:$J$47,MATCH(AU37&amp;"|NIC",TABLAS!$B$6:$B$47,0),AV37)+AW37*(INDEX(TABLAS!$D$6:$J$47,MATCH(AU37&amp;"|NIC",TABLAS!$B$6:$B$47,0),MIN(AV37+1,7))-INDEX(TABLAS!$D$6:$J$47,MATCH(AU37&amp;"|NIC",TABLAS!$B$6:$B$47,0),AV37)))</f>
        <v/>
      </c>
      <c r="AY37" s="59" t="str">
        <f>IF(U37&lt;&gt;"SÍ","",INDEX(TABLAS!$D$6:$J$47,MATCH(AU37&amp;"|NIL",TABLAS!$B$6:$B$47,0),AV37)+AW37*(INDEX(TABLAS!$D$6:$J$47,MATCH(AU37&amp;"|NIL",TABLAS!$B$6:$B$47,0),MIN(AV37+1,7))-INDEX(TABLAS!$D$6:$J$47,MATCH(AU37&amp;"|NIL",TABLAS!$B$6:$B$47,0),AV37)))</f>
        <v/>
      </c>
      <c r="AZ37" s="59" t="str">
        <f>IF(U37&lt;&gt;"SÍ","",INDEX(TABLAS!$D$6:$J$47,MATCH(AU37&amp;"|NDC",TABLAS!$B$6:$B$47,0),AV37)+AW37*(INDEX(TABLAS!$D$6:$J$47,MATCH(AU37&amp;"|NDC",TABLAS!$B$6:$B$47,0),MIN(AV37+1,7))-INDEX(TABLAS!$D$6:$J$47,MATCH(AU37&amp;"|NDC",TABLAS!$B$6:$B$47,0),AV37)))</f>
        <v/>
      </c>
      <c r="BA37" s="59" t="str">
        <f>IF(U37&lt;&gt;"SÍ","",INDEX(TABLAS!$D$6:$J$47,MATCH(AU37&amp;"|NDL",TABLAS!$B$6:$B$47,0),AV37)+AW37*(INDEX(TABLAS!$D$6:$J$47,MATCH(AU37&amp;"|NDL",TABLAS!$B$6:$B$47,0),MIN(AV37+1,7))-INDEX(TABLAS!$D$6:$J$47,MATCH(AU37&amp;"|NDL",TABLAS!$B$6:$B$47,0),AV37)))</f>
        <v/>
      </c>
      <c r="BB37" s="59" t="str">
        <f>IF(U37&lt;&gt;"SÍ","",INDEX(TABLAS!$D$6:$J$47,MATCH(AU37&amp;"|PC",TABLAS!$B$6:$B$47,0),AV37)+AW37*(INDEX(TABLAS!$D$6:$J$47,MATCH(AU37&amp;"|PC",TABLAS!$B$6:$B$47,0),MIN(AV37+1,7))-INDEX(TABLAS!$D$6:$J$47,MATCH(AU37&amp;"|PC",TABLAS!$B$6:$B$47,0),AV37)))</f>
        <v/>
      </c>
      <c r="BC37" s="59" t="str">
        <f>IF(U37&lt;&gt;"SÍ","",INDEX(TABLAS!$D$6:$J$47,MATCH(AU37&amp;"|PL",TABLAS!$B$6:$B$47,0),AV37)+AW37*(INDEX(TABLAS!$D$6:$J$47,MATCH(AU37&amp;"|PL",TABLAS!$B$6:$B$47,0),MIN(AV37+1,7))-INDEX(TABLAS!$D$6:$J$47,MATCH(AU37&amp;"|PL",TABLAS!$B$6:$B$47,0),AV37)))</f>
        <v/>
      </c>
      <c r="BD37" s="56" t="str">
        <f>IF(U37&lt;&gt;"SÍ","",IF(C37&lt;&gt;"VOLADO",0,DATOS!$C$26*DATOS!$C$16*DATOS!$C$83/100*(((AD37*DATOS!$C$78/DATOS!$C$83^2)*DATOS!$C$79/100)*(IF(W37="X",DI37,DJ37)+DATOS!$C$84/2)/100*(AA37-(IF(W37="X",DI37,DJ37)+DATOS!$C$84/2)/2)/100+((AD37*DATOS!$C$78/DATOS!$C$83^2)*DATOS!$C$79/100)*IF(W37="X",DI37,DJ37)/100*IF(W37="X",DI37,DJ37)/200)))</f>
        <v/>
      </c>
      <c r="BE37" s="56" t="str">
        <f>IF(U37&lt;&gt;"SÍ","",IF(C37&lt;&gt;"VOLADO",0,DATOS!$C$26*DATOS!$C$16*DATOS!$C$83/100*((AD37*DATOS!$C$78/DATOS!$C$83^2)*DATOS!$C$79/100)*(IF(W37="X",DI37,DJ37)+DATOS!$C$84/2)/100))</f>
        <v/>
      </c>
      <c r="BF37" s="56" t="str">
        <f>IF(U37&lt;&gt;"SÍ","",IF(C37="PERIMETRAL",BB37*AQ37*X37^2*1E-4*DATOS!$C$83/100/1000,0))</f>
        <v/>
      </c>
      <c r="BG37" s="62" t="str">
        <f>IF(U37&lt;&gt;"SÍ","",IF(C37="PERIMETRAL",MAX(MAX(AX37,AZ37)*AQ37*X37^2*1E-4*DATOS!$C$83/100/1000,N(S37)),(AQ37*(AA37/100)^2/2+DATOS!$C$26*N(O37)*AA37/100)*DATOS!$C$83/100/1000+BD37))</f>
        <v/>
      </c>
      <c r="BH37" s="56" t="str">
        <f>IF(U37&lt;&gt;"SÍ","",IF(C37="PERIMETRAL",BC37*AQ37*X37^2*1E-4*DATOS!$C$83/100/1000,0))</f>
        <v/>
      </c>
      <c r="BI37" s="56" t="str">
        <f>IF(U37&lt;&gt;"SÍ","",IF(C37="PERIMETRAL",MAX(MAX(AY37,BA37)*AQ37*X37^2*1E-4*DATOS!$C$83/100/1000,N(T37)),0))</f>
        <v/>
      </c>
      <c r="BJ37" s="63" t="str">
        <f>IF(U37&lt;&gt;"SÍ","",IF(C37&lt;&gt;"PERIMETRAL","—",IF(AND(N(S37)=0,N(T37)=0),"— (sin M⁻ del vecino)",IF(OR(AND(N(S37)&gt;0,ABS(MAX(AX37,AZ37)*AQ37*X37^2*1E-4*DATOS!$C$83/100/1000-N(S37))&gt;0.5*MIN(MAX(AX37,AZ37)*AQ37*X37^2*1E-4*DATOS!$C$83/100/1000,N(S37))),AND(N(T37)&gt;0,ABS(MAX(AY37,BA37)*AQ37*X37^2*1E-4*DATOS!$C$83/100/1000-N(T37))&gt;0.5*MIN(MAX(AY37,BA37)*AQ37*X37^2*1E-4*DATOS!$C$83/100/1000,N(T37)))),"FUERA: difieren &gt; 50 %"&amp;IF(AND(N(S37)&gt;0,ABS(MAX(AX37,AZ37)*AQ37*X37^2*1E-4*DATOS!$C$83/100/1000-N(S37))&gt;0.5*MIN(MAX(AX37,AZ37)*AQ37*X37^2*1E-4*DATOS!$C$83/100/1000,N(S37)))," ‖ corto","")&amp;IF(AND(N(T37)&gt;0,ABS(MAX(AY37,BA37)*AQ37*X37^2*1E-4*DATOS!$C$83/100/1000-N(T37))&gt;0.5*MIN(MAX(AY37,BA37)*AQ37*X37^2*1E-4*DATOS!$C$83/100/1000,N(T37)))," ‖ largo",""),"CUMPLE"))))</f>
        <v/>
      </c>
      <c r="BK37" s="58" t="str">
        <f>IF(U37&lt;&gt;"SÍ","",(DATOS!$C$82-AJ37-INDEX(TABLAS!$C$52:$C$58,MATCH(DATOS!$C$68,TABLAS!$B$52:$B$58,0))/2))</f>
        <v/>
      </c>
      <c r="BL37" s="58" t="str">
        <f>IF(U37&lt;&gt;"SÍ","",IF(IF(BF37&lt;=0,0,IF((1-2*BF37*1E5/(DATOS!$C$29*AG37*BK37^2*DATOS!$C$21))&lt;0,-1,IF((1-SQRT((1-2*BF37*1E5/(DATOS!$C$29*AG37*BK37^2*DATOS!$C$21))))*DATOS!$C$21*AG37*BK37/DATOS!$C$14&gt;DATOS!$C$99*AG37*BK37,-1,(1-SQRT((1-2*BF37*1E5/(DATOS!$C$29*AG37*BK37^2*DATOS!$C$21))))*DATOS!$C$21*AG37*BK37/DATOS!$C$14)))&lt;0,-1,MAX(IF(BF37&lt;=0,0,IF((1-2*BF37*1E5/(DATOS!$C$29*AG37*BK37^2*DATOS!$C$21))&lt;0,-1,IF((1-SQRT((1-2*BF37*1E5/(DATOS!$C$29*AG37*BK37^2*DATOS!$C$21))))*DATOS!$C$21*AG37*BK37/DATOS!$C$14&gt;DATOS!$C$99*AG37*BK37,-1,(1-SQRT((1-2*BF37*1E5/(DATOS!$C$29*AG37*BK37^2*DATOS!$C$21))))*DATOS!$C$21*AG37*BK37/DATOS!$C$14))),MIN(DATOS!$C$100*AC37*BK37,4/3*IF(BF37&lt;=0,0,IF((1-2*BF37*1E5/(DATOS!$C$29*AG37*BK37^2*DATOS!$C$21))&lt;0,-1,IF((1-SQRT((1-2*BF37*1E5/(DATOS!$C$29*AG37*BK37^2*DATOS!$C$21))))*DATOS!$C$21*AG37*BK37/DATOS!$C$14&gt;DATOS!$C$99*AG37*BK37,-1,(1-SQRT((1-2*BF37*1E5/(DATOS!$C$29*AG37*BK37^2*DATOS!$C$21))))*DATOS!$C$21*AG37*BK37/DATOS!$C$14)))))))</f>
        <v/>
      </c>
      <c r="BM37" s="64" t="str">
        <f>IF(U37&lt;&gt;"SÍ","",IF(AND(BL37&gt;=0,IF(MAX(DATOS!$C$71,CEILING(BL37/INDEX(TABLAS!$D$52:$D$58,MIN(MATCH(DATOS!$C$68,TABLAS!$B$52:$B$58,0)+0,7)),1))*INDEX(TABLAS!$D$52:$D$58,MIN(MATCH(DATOS!$C$68,TABLAS!$B$52:$B$58,0)+0,7))&gt;=4/3*IF(BF37&lt;=0,0,IF((1-2*BF37*1E5/(DATOS!$C$29*AG37*BK37^2*DATOS!$C$21))&lt;0,-1,IF((1-SQRT((1-2*BF37*1E5/(DATOS!$C$29*AG37*BK37^2*DATOS!$C$21))))*DATOS!$C$21*AG37*BK37/DATOS!$C$14&gt;DATOS!$C$99*AG37*BK37,-1,(1-SQRT((1-2*BF37*1E5/(DATOS!$C$29*AG37*BK37^2*DATOS!$C$21))))*DATOS!$C$21*AG37*BK37/DATOS!$C$14)))-0.0001,MAX(DATOS!$C$71,CEILING(BL37/INDEX(TABLAS!$D$52:$D$58,MIN(MATCH(DATOS!$C$68,TABLAS!$B$52:$B$58,0)+0,7)),1)),MAX(MAX(DATOS!$C$71,CEILING(BL37/INDEX(TABLAS!$D$52:$D$58,MIN(MATCH(DATOS!$C$68,TABLAS!$B$52:$B$58,0)+0,7)),1)),2))&lt;=MIN(DATOS!$C$70,INT(((AC37-2*AJ37)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37&gt;=0,IF(MAX(DATOS!$C$71,CEILING(BL37/INDEX(TABLAS!$D$52:$D$58,MIN(MATCH(DATOS!$C$68,TABLAS!$B$52:$B$58,0)+1,7)),1))*INDEX(TABLAS!$D$52:$D$58,MIN(MATCH(DATOS!$C$68,TABLAS!$B$52:$B$58,0)+1,7))&gt;=4/3*IF(BF37&lt;=0,0,IF((1-2*BF37*1E5/(DATOS!$C$29*AG37*BK37^2*DATOS!$C$21))&lt;0,-1,IF((1-SQRT((1-2*BF37*1E5/(DATOS!$C$29*AG37*BK37^2*DATOS!$C$21))))*DATOS!$C$21*AG37*BK37/DATOS!$C$14&gt;DATOS!$C$99*AG37*BK37,-1,(1-SQRT((1-2*BF37*1E5/(DATOS!$C$29*AG37*BK37^2*DATOS!$C$21))))*DATOS!$C$21*AG37*BK37/DATOS!$C$14)))-0.0001,MAX(DATOS!$C$71,CEILING(BL37/INDEX(TABLAS!$D$52:$D$58,MIN(MATCH(DATOS!$C$68,TABLAS!$B$52:$B$58,0)+1,7)),1)),MAX(MAX(DATOS!$C$71,CEILING(BL37/INDEX(TABLAS!$D$52:$D$58,MIN(MATCH(DATOS!$C$68,TABLAS!$B$52:$B$58,0)+1,7)),1)),2))&lt;=MIN(DATOS!$C$70,INT(((AC37-2*AJ37)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37&gt;=0,IF(MAX(DATOS!$C$71,CEILING(BL37/INDEX(TABLAS!$D$52:$D$58,MIN(MATCH(DATOS!$C$68,TABLAS!$B$52:$B$58,0)+2,7)),1))*INDEX(TABLAS!$D$52:$D$58,MIN(MATCH(DATOS!$C$68,TABLAS!$B$52:$B$58,0)+2,7))&gt;=4/3*IF(BF37&lt;=0,0,IF((1-2*BF37*1E5/(DATOS!$C$29*AG37*BK37^2*DATOS!$C$21))&lt;0,-1,IF((1-SQRT((1-2*BF37*1E5/(DATOS!$C$29*AG37*BK37^2*DATOS!$C$21))))*DATOS!$C$21*AG37*BK37/DATOS!$C$14&gt;DATOS!$C$99*AG37*BK37,-1,(1-SQRT((1-2*BF37*1E5/(DATOS!$C$29*AG37*BK37^2*DATOS!$C$21))))*DATOS!$C$21*AG37*BK37/DATOS!$C$14)))-0.0001,MAX(DATOS!$C$71,CEILING(BL37/INDEX(TABLAS!$D$52:$D$58,MIN(MATCH(DATOS!$C$68,TABLAS!$B$52:$B$58,0)+2,7)),1)),MAX(MAX(DATOS!$C$71,CEILING(BL37/INDEX(TABLAS!$D$52:$D$58,MIN(MATCH(DATOS!$C$68,TABLAS!$B$52:$B$58,0)+2,7)),1)),2))&lt;=MIN(DATOS!$C$70,INT(((AC37-2*AJ37)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37&gt;=0,IF(MAX(DATOS!$C$71,CEILING(BL37/INDEX(TABLAS!$D$52:$D$58,MIN(MATCH(DATOS!$C$68,TABLAS!$B$52:$B$58,0)+3,7)),1))*INDEX(TABLAS!$D$52:$D$58,MIN(MATCH(DATOS!$C$68,TABLAS!$B$52:$B$58,0)+3,7))&gt;=4/3*IF(BF37&lt;=0,0,IF((1-2*BF37*1E5/(DATOS!$C$29*AG37*BK37^2*DATOS!$C$21))&lt;0,-1,IF((1-SQRT((1-2*BF37*1E5/(DATOS!$C$29*AG37*BK37^2*DATOS!$C$21))))*DATOS!$C$21*AG37*BK37/DATOS!$C$14&gt;DATOS!$C$99*AG37*BK37,-1,(1-SQRT((1-2*BF37*1E5/(DATOS!$C$29*AG37*BK37^2*DATOS!$C$21))))*DATOS!$C$21*AG37*BK37/DATOS!$C$14)))-0.0001,MAX(DATOS!$C$71,CEILING(BL37/INDEX(TABLAS!$D$52:$D$58,MIN(MATCH(DATOS!$C$68,TABLAS!$B$52:$B$58,0)+3,7)),1)),MAX(MAX(DATOS!$C$71,CEILING(BL37/INDEX(TABLAS!$D$52:$D$58,MIN(MATCH(DATOS!$C$68,TABLAS!$B$52:$B$58,0)+3,7)),1)),2))&lt;=MIN(DATOS!$C$70,INT(((AC37-2*AJ37)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37&gt;=0,IF(MAX(DATOS!$C$71,CEILING(BL37/INDEX(TABLAS!$D$52:$D$58,MIN(MATCH(DATOS!$C$68,TABLAS!$B$52:$B$58,0)+4,7)),1))*INDEX(TABLAS!$D$52:$D$58,MIN(MATCH(DATOS!$C$68,TABLAS!$B$52:$B$58,0)+4,7))&gt;=4/3*IF(BF37&lt;=0,0,IF((1-2*BF37*1E5/(DATOS!$C$29*AG37*BK37^2*DATOS!$C$21))&lt;0,-1,IF((1-SQRT((1-2*BF37*1E5/(DATOS!$C$29*AG37*BK37^2*DATOS!$C$21))))*DATOS!$C$21*AG37*BK37/DATOS!$C$14&gt;DATOS!$C$99*AG37*BK37,-1,(1-SQRT((1-2*BF37*1E5/(DATOS!$C$29*AG37*BK37^2*DATOS!$C$21))))*DATOS!$C$21*AG37*BK37/DATOS!$C$14)))-0.0001,MAX(DATOS!$C$71,CEILING(BL37/INDEX(TABLAS!$D$52:$D$58,MIN(MATCH(DATOS!$C$68,TABLAS!$B$52:$B$58,0)+4,7)),1)),MAX(MAX(DATOS!$C$71,CEILING(BL37/INDEX(TABLAS!$D$52:$D$58,MIN(MATCH(DATOS!$C$68,TABLAS!$B$52:$B$58,0)+4,7)),1)),2))&lt;=MIN(DATOS!$C$70,INT(((AC37-2*AJ37)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37" s="59" t="str">
        <f>IF(U37&lt;&gt;"SÍ","",IF(BL37&lt;0,0,IF(MAX(DATOS!$C$71,CEILING(MAX(BL37,0)/INDEX(TABLAS!$D$52:$D$58,MATCH(BM37,TABLAS!$B$52:$B$58,0)),1))*INDEX(TABLAS!$D$52:$D$58,MATCH(BM37,TABLAS!$B$52:$B$58,0))&gt;=4/3*IF(BF37&lt;=0,0,IF((1-2*BF37*1E5/(DATOS!$C$29*AG37*BK37^2*DATOS!$C$21))&lt;0,-1,IF((1-SQRT((1-2*BF37*1E5/(DATOS!$C$29*AG37*BK37^2*DATOS!$C$21))))*DATOS!$C$21*AG37*BK37/DATOS!$C$14&gt;DATOS!$C$99*AG37*BK37,-1,(1-SQRT((1-2*BF37*1E5/(DATOS!$C$29*AG37*BK37^2*DATOS!$C$21))))*DATOS!$C$21*AG37*BK37/DATOS!$C$14)))-0.0001,MAX(DATOS!$C$71,CEILING(MAX(BL37,0)/INDEX(TABLAS!$D$52:$D$58,MATCH(BM37,TABLAS!$B$52:$B$58,0)),1)),MAX(MAX(DATOS!$C$71,CEILING(MAX(BL37,0)/INDEX(TABLAS!$D$52:$D$58,MATCH(BM37,TABLAS!$B$52:$B$58,0)),1)),2))))</f>
        <v/>
      </c>
      <c r="BO37" s="58" t="str">
        <f>IF(U37&lt;&gt;"SÍ","",DATOS!$C$82-AJ37-INDEX(TABLAS!$C$52:$C$58,MATCH(BM37,TABLAS!$B$52:$B$58,0))/2)</f>
        <v/>
      </c>
      <c r="BP37" s="56" t="str">
        <f>IF(U37&lt;&gt;"SÍ","",IF(BN37=0,0,DATOS!$C$29*BN37*INDEX(TABLAS!$D$52:$D$58,MATCH(BM37,TABLAS!$B$52:$B$58,0))*DATOS!$C$14*(BO37-BN37*INDEX(TABLAS!$D$52:$D$58,MATCH(BM37,TABLAS!$B$52:$B$58,0))*DATOS!$C$14/(DATOS!$C$21*AG37)/2)/1E5))</f>
        <v/>
      </c>
      <c r="BQ37" s="65" t="str">
        <f>IF(U37&lt;&gt;"SÍ","",IF(BL37&lt;0,9.99,IF(BP37&gt;0,BF37/BP37,0)))</f>
        <v/>
      </c>
      <c r="BR37" s="66" t="str">
        <f>IF(U37&lt;&gt;"SÍ","",IF(BN37=0,"—",0.003*(BO37-(BN37*INDEX(TABLAS!$D$52:$D$58,MATCH(BM37,TABLAS!$B$52:$B$58,0))*DATOS!$C$14/(DATOS!$C$21*AG37)/DATOS!$C$22))/(BN37*INDEX(TABLAS!$D$52:$D$58,MATCH(BM37,TABLAS!$B$52:$B$58,0))*DATOS!$C$14/(DATOS!$C$21*AG37)/DATOS!$C$22)))</f>
        <v/>
      </c>
      <c r="BS37" s="58" t="str">
        <f>IF(U37&lt;&gt;"SÍ","",((DATOS!$C$82-AL37-2*DATOS!$C$94-INDEX(TABLAS!$C$52:$C$58,MATCH(DATOS!$C$69,TABLAS!$B$52:$B$58,0))/2)-IF(AND((DATOS!$C$82-AL37-2*DATOS!$C$94-INDEX(TABLAS!$C$52:$C$58,MATCH(DATOS!$C$69,TABLAS!$B$52:$B$58,0))/2)&lt;=20,DATOS!$C$62&lt;&gt;"SÍ"),2,0)))</f>
        <v/>
      </c>
      <c r="BT37" s="58" t="str">
        <f>IF(U37&lt;&gt;"SÍ","",IF(IF(BG37&lt;=0,0,IF((1-2*BG37*1E5/(DATOS!$C$29*AE37*BS37^2*DATOS!$C$21))&lt;0,-1,IF((1-SQRT((1-2*BG37*1E5/(DATOS!$C$29*AE37*BS37^2*DATOS!$C$21))))*DATOS!$C$21*AE37*BS37/DATOS!$C$14&gt;DATOS!$C$99*AE37*BS37,-1,(1-SQRT((1-2*BG37*1E5/(DATOS!$C$29*AE37*BS37^2*DATOS!$C$21))))*DATOS!$C$21*AE37*BS37/DATOS!$C$14)))&lt;0,-1,MAX(IF(BG37&lt;=0,0,IF((1-2*BG37*1E5/(DATOS!$C$29*AE37*BS37^2*DATOS!$C$21))&lt;0,-1,IF((1-SQRT((1-2*BG37*1E5/(DATOS!$C$29*AE37*BS37^2*DATOS!$C$21))))*DATOS!$C$21*AE37*BS37/DATOS!$C$14&gt;DATOS!$C$99*AE37*BS37,-1,(1-SQRT((1-2*BG37*1E5/(DATOS!$C$29*AE37*BS37^2*DATOS!$C$21))))*DATOS!$C$21*AE37*BS37/DATOS!$C$14))),MIN(DATOS!$C$100*IF(C37="VOLADO",MIN(AG37,2*AC37),AC37)*BS37,4/3*IF(BG37&lt;=0,0,IF((1-2*BG37*1E5/(DATOS!$C$29*AE37*BS37^2*DATOS!$C$21))&lt;0,-1,IF((1-SQRT((1-2*BG37*1E5/(DATOS!$C$29*AE37*BS37^2*DATOS!$C$21))))*DATOS!$C$21*AE37*BS37/DATOS!$C$14&gt;DATOS!$C$99*AE37*BS37,-1,(1-SQRT((1-2*BG37*1E5/(DATOS!$C$29*AE37*BS37^2*DATOS!$C$21))))*DATOS!$C$21*AE37*BS37/DATOS!$C$14)))))))</f>
        <v/>
      </c>
      <c r="BU37" s="64" t="str">
        <f>IF(U37&lt;&gt;"SÍ","",IF(AND(BT37&gt;=0,IF(MAX(DATOS!$C$71,CEILING(BT37/INDEX(TABLAS!$D$52:$D$58,MIN(MATCH(DATOS!$C$69,TABLAS!$B$52:$B$58,0)+0,7)),1))*INDEX(TABLAS!$D$52:$D$58,MIN(MATCH(DATOS!$C$69,TABLAS!$B$52:$B$58,0)+0,7))&gt;=4/3*IF(BG37&lt;=0,0,IF((1-2*BG37*1E5/(DATOS!$C$29*AE37*BS37^2*DATOS!$C$21))&lt;0,-1,IF((1-SQRT((1-2*BG37*1E5/(DATOS!$C$29*AE37*BS37^2*DATOS!$C$21))))*DATOS!$C$21*AE37*BS37/DATOS!$C$14&gt;DATOS!$C$99*AE37*BS37,-1,(1-SQRT((1-2*BG37*1E5/(DATOS!$C$29*AE37*BS37^2*DATOS!$C$21))))*DATOS!$C$21*AE37*BS37/DATOS!$C$14)))-0.0001,MAX(DATOS!$C$71,CEILING(BT37/INDEX(TABLAS!$D$52:$D$58,MIN(MATCH(DATOS!$C$69,TABLAS!$B$52:$B$58,0)+0,7)),1)),MAX(MAX(DATOS!$C$71,CEILING(BT37/INDEX(TABLAS!$D$52:$D$58,MIN(MATCH(DATOS!$C$69,TABLAS!$B$52:$B$58,0)+0,7)),1)),2))&lt;=MIN(DATOS!$C$70,INT(((AC37-2*AK37)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37&gt;=0,IF(MAX(DATOS!$C$71,CEILING(BT37/INDEX(TABLAS!$D$52:$D$58,MIN(MATCH(DATOS!$C$69,TABLAS!$B$52:$B$58,0)+1,7)),1))*INDEX(TABLAS!$D$52:$D$58,MIN(MATCH(DATOS!$C$69,TABLAS!$B$52:$B$58,0)+1,7))&gt;=4/3*IF(BG37&lt;=0,0,IF((1-2*BG37*1E5/(DATOS!$C$29*AE37*BS37^2*DATOS!$C$21))&lt;0,-1,IF((1-SQRT((1-2*BG37*1E5/(DATOS!$C$29*AE37*BS37^2*DATOS!$C$21))))*DATOS!$C$21*AE37*BS37/DATOS!$C$14&gt;DATOS!$C$99*AE37*BS37,-1,(1-SQRT((1-2*BG37*1E5/(DATOS!$C$29*AE37*BS37^2*DATOS!$C$21))))*DATOS!$C$21*AE37*BS37/DATOS!$C$14)))-0.0001,MAX(DATOS!$C$71,CEILING(BT37/INDEX(TABLAS!$D$52:$D$58,MIN(MATCH(DATOS!$C$69,TABLAS!$B$52:$B$58,0)+1,7)),1)),MAX(MAX(DATOS!$C$71,CEILING(BT37/INDEX(TABLAS!$D$52:$D$58,MIN(MATCH(DATOS!$C$69,TABLAS!$B$52:$B$58,0)+1,7)),1)),2))&lt;=MIN(DATOS!$C$70,INT(((AC37-2*AK37)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37&gt;=0,IF(MAX(DATOS!$C$71,CEILING(BT37/INDEX(TABLAS!$D$52:$D$58,MIN(MATCH(DATOS!$C$69,TABLAS!$B$52:$B$58,0)+2,7)),1))*INDEX(TABLAS!$D$52:$D$58,MIN(MATCH(DATOS!$C$69,TABLAS!$B$52:$B$58,0)+2,7))&gt;=4/3*IF(BG37&lt;=0,0,IF((1-2*BG37*1E5/(DATOS!$C$29*AE37*BS37^2*DATOS!$C$21))&lt;0,-1,IF((1-SQRT((1-2*BG37*1E5/(DATOS!$C$29*AE37*BS37^2*DATOS!$C$21))))*DATOS!$C$21*AE37*BS37/DATOS!$C$14&gt;DATOS!$C$99*AE37*BS37,-1,(1-SQRT((1-2*BG37*1E5/(DATOS!$C$29*AE37*BS37^2*DATOS!$C$21))))*DATOS!$C$21*AE37*BS37/DATOS!$C$14)))-0.0001,MAX(DATOS!$C$71,CEILING(BT37/INDEX(TABLAS!$D$52:$D$58,MIN(MATCH(DATOS!$C$69,TABLAS!$B$52:$B$58,0)+2,7)),1)),MAX(MAX(DATOS!$C$71,CEILING(BT37/INDEX(TABLAS!$D$52:$D$58,MIN(MATCH(DATOS!$C$69,TABLAS!$B$52:$B$58,0)+2,7)),1)),2))&lt;=MIN(DATOS!$C$70,INT(((AC37-2*AK37)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37&gt;=0,IF(MAX(DATOS!$C$71,CEILING(BT37/INDEX(TABLAS!$D$52:$D$58,MIN(MATCH(DATOS!$C$69,TABLAS!$B$52:$B$58,0)+3,7)),1))*INDEX(TABLAS!$D$52:$D$58,MIN(MATCH(DATOS!$C$69,TABLAS!$B$52:$B$58,0)+3,7))&gt;=4/3*IF(BG37&lt;=0,0,IF((1-2*BG37*1E5/(DATOS!$C$29*AE37*BS37^2*DATOS!$C$21))&lt;0,-1,IF((1-SQRT((1-2*BG37*1E5/(DATOS!$C$29*AE37*BS37^2*DATOS!$C$21))))*DATOS!$C$21*AE37*BS37/DATOS!$C$14&gt;DATOS!$C$99*AE37*BS37,-1,(1-SQRT((1-2*BG37*1E5/(DATOS!$C$29*AE37*BS37^2*DATOS!$C$21))))*DATOS!$C$21*AE37*BS37/DATOS!$C$14)))-0.0001,MAX(DATOS!$C$71,CEILING(BT37/INDEX(TABLAS!$D$52:$D$58,MIN(MATCH(DATOS!$C$69,TABLAS!$B$52:$B$58,0)+3,7)),1)),MAX(MAX(DATOS!$C$71,CEILING(BT37/INDEX(TABLAS!$D$52:$D$58,MIN(MATCH(DATOS!$C$69,TABLAS!$B$52:$B$58,0)+3,7)),1)),2))&lt;=MIN(DATOS!$C$70,INT(((AC37-2*AK37)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37&gt;=0,IF(MAX(DATOS!$C$71,CEILING(BT37/INDEX(TABLAS!$D$52:$D$58,MIN(MATCH(DATOS!$C$69,TABLAS!$B$52:$B$58,0)+4,7)),1))*INDEX(TABLAS!$D$52:$D$58,MIN(MATCH(DATOS!$C$69,TABLAS!$B$52:$B$58,0)+4,7))&gt;=4/3*IF(BG37&lt;=0,0,IF((1-2*BG37*1E5/(DATOS!$C$29*AE37*BS37^2*DATOS!$C$21))&lt;0,-1,IF((1-SQRT((1-2*BG37*1E5/(DATOS!$C$29*AE37*BS37^2*DATOS!$C$21))))*DATOS!$C$21*AE37*BS37/DATOS!$C$14&gt;DATOS!$C$99*AE37*BS37,-1,(1-SQRT((1-2*BG37*1E5/(DATOS!$C$29*AE37*BS37^2*DATOS!$C$21))))*DATOS!$C$21*AE37*BS37/DATOS!$C$14)))-0.0001,MAX(DATOS!$C$71,CEILING(BT37/INDEX(TABLAS!$D$52:$D$58,MIN(MATCH(DATOS!$C$69,TABLAS!$B$52:$B$58,0)+4,7)),1)),MAX(MAX(DATOS!$C$71,CEILING(BT37/INDEX(TABLAS!$D$52:$D$58,MIN(MATCH(DATOS!$C$69,TABLAS!$B$52:$B$58,0)+4,7)),1)),2))&lt;=MIN(DATOS!$C$70,INT(((AC37-2*AK37)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37" s="59" t="str">
        <f>IF(U37&lt;&gt;"SÍ","",IF(BT37&lt;0,0,IF(MAX(DATOS!$C$71,CEILING(MAX(BT37,0)/INDEX(TABLAS!$D$52:$D$58,MATCH(BU37,TABLAS!$B$52:$B$58,0)),1))*INDEX(TABLAS!$D$52:$D$58,MATCH(BU37,TABLAS!$B$52:$B$58,0))&gt;=4/3*IF(BG37&lt;=0,0,IF((1-2*BG37*1E5/(DATOS!$C$29*AE37*BS37^2*DATOS!$C$21))&lt;0,-1,IF((1-SQRT((1-2*BG37*1E5/(DATOS!$C$29*AE37*BS37^2*DATOS!$C$21))))*DATOS!$C$21*AE37*BS37/DATOS!$C$14&gt;DATOS!$C$99*AE37*BS37,-1,(1-SQRT((1-2*BG37*1E5/(DATOS!$C$29*AE37*BS37^2*DATOS!$C$21))))*DATOS!$C$21*AE37*BS37/DATOS!$C$14)))-0.0001,MAX(DATOS!$C$71,CEILING(MAX(BT37,0)/INDEX(TABLAS!$D$52:$D$58,MATCH(BU37,TABLAS!$B$52:$B$58,0)),1)),MAX(MAX(DATOS!$C$71,CEILING(MAX(BT37,0)/INDEX(TABLAS!$D$52:$D$58,MATCH(BU37,TABLAS!$B$52:$B$58,0)),1)),2))))</f>
        <v/>
      </c>
      <c r="BW37" s="58" t="str">
        <f>IF(U37&lt;&gt;"SÍ","",((DATOS!$C$82-AL37-2*DATOS!$C$94-INDEX(TABLAS!$C$52:$C$58,MATCH(BU37,TABLAS!$B$52:$B$58,0))/2)-IF(AND((DATOS!$C$82-AL37-2*DATOS!$C$94-INDEX(TABLAS!$C$52:$C$58,MATCH(BU37,TABLAS!$B$52:$B$58,0))/2)&lt;=20,DATOS!$C$62&lt;&gt;"SÍ"),2,0)))</f>
        <v/>
      </c>
      <c r="BX37" s="56" t="str">
        <f>IF(U37&lt;&gt;"SÍ","",IF(BV37=0,0,DATOS!$C$29*BV37*INDEX(TABLAS!$D$52:$D$58,MATCH(BU37,TABLAS!$B$52:$B$58,0))*DATOS!$C$14*(BW37-BV37*INDEX(TABLAS!$D$52:$D$58,MATCH(BU37,TABLAS!$B$52:$B$58,0))*DATOS!$C$14/(DATOS!$C$21*AE37)/2)/1E5))</f>
        <v/>
      </c>
      <c r="BY37" s="65" t="str">
        <f>IF(U37&lt;&gt;"SÍ","",IF(BT37&lt;0,9.99,IF(BX37&gt;0,BG37/BX37,0)))</f>
        <v/>
      </c>
      <c r="BZ37" s="66" t="str">
        <f>IF(U37&lt;&gt;"SÍ","",IF(BV37=0,"—",0.003*(BW37-(BV37*INDEX(TABLAS!$D$52:$D$58,MATCH(BU37,TABLAS!$B$52:$B$58,0))*DATOS!$C$14/(DATOS!$C$21*AE37)/DATOS!$C$22))/(BV37*INDEX(TABLAS!$D$52:$D$58,MATCH(BU37,TABLAS!$B$52:$B$58,0))*DATOS!$C$14/(DATOS!$C$21*AE37)/DATOS!$C$22)))</f>
        <v/>
      </c>
      <c r="CA37" s="58" t="str">
        <f>IF(U37&lt;&gt;"SÍ","",(DATOS!$C$82-AJ37-INDEX(TABLAS!$C$52:$C$58,MATCH(DATOS!$C$68,TABLAS!$B$52:$B$58,0))-INDEX(TABLAS!$C$52:$C$58,MATCH(DATOS!$C$68,TABLAS!$B$52:$B$58,0))/2))</f>
        <v/>
      </c>
      <c r="CB37" s="58" t="str">
        <f>IF(U37&lt;&gt;"SÍ","",IF(IF(BH37&lt;=0,0,IF((1-2*BH37*1E5/(DATOS!$C$29*AH37*CA37^2*DATOS!$C$21))&lt;0,-1,IF((1-SQRT((1-2*BH37*1E5/(DATOS!$C$29*AH37*CA37^2*DATOS!$C$21))))*DATOS!$C$21*AH37*CA37/DATOS!$C$14&gt;DATOS!$C$99*AH37*CA37,-1,(1-SQRT((1-2*BH37*1E5/(DATOS!$C$29*AH37*CA37^2*DATOS!$C$21))))*DATOS!$C$21*AH37*CA37/DATOS!$C$14)))&lt;0,-1,MAX(IF(BH37&lt;=0,0,IF((1-2*BH37*1E5/(DATOS!$C$29*AH37*CA37^2*DATOS!$C$21))&lt;0,-1,IF((1-SQRT((1-2*BH37*1E5/(DATOS!$C$29*AH37*CA37^2*DATOS!$C$21))))*DATOS!$C$21*AH37*CA37/DATOS!$C$14&gt;DATOS!$C$99*AH37*CA37,-1,(1-SQRT((1-2*BH37*1E5/(DATOS!$C$29*AH37*CA37^2*DATOS!$C$21))))*DATOS!$C$21*AH37*CA37/DATOS!$C$14))),MIN(DATOS!$C$100*DATOS!$C$80*CA37,4/3*IF(BH37&lt;=0,0,IF((1-2*BH37*1E5/(DATOS!$C$29*AH37*CA37^2*DATOS!$C$21))&lt;0,-1,IF((1-SQRT((1-2*BH37*1E5/(DATOS!$C$29*AH37*CA37^2*DATOS!$C$21))))*DATOS!$C$21*AH37*CA37/DATOS!$C$14&gt;DATOS!$C$99*AH37*CA37,-1,(1-SQRT((1-2*BH37*1E5/(DATOS!$C$29*AH37*CA37^2*DATOS!$C$21))))*DATOS!$C$21*AH37*CA37/DATOS!$C$14)))))))</f>
        <v/>
      </c>
      <c r="CC37" s="64" t="str">
        <f>IF(U37&lt;&gt;"SÍ","",IF(AND(CB37&gt;=0,IF(MAX(DATOS!$C$71,CEILING(CB37/INDEX(TABLAS!$D$52:$D$58,MIN(MATCH(DATOS!$C$68,TABLAS!$B$52:$B$58,0)+0,7)),1))*INDEX(TABLAS!$D$52:$D$58,MIN(MATCH(DATOS!$C$68,TABLAS!$B$52:$B$58,0)+0,7))&gt;=4/3*IF(BH37&lt;=0,0,IF((1-2*BH37*1E5/(DATOS!$C$29*AH37*CA37^2*DATOS!$C$21))&lt;0,-1,IF((1-SQRT((1-2*BH37*1E5/(DATOS!$C$29*AH37*CA37^2*DATOS!$C$21))))*DATOS!$C$21*AH37*CA37/DATOS!$C$14&gt;DATOS!$C$99*AH37*CA37,-1,(1-SQRT((1-2*BH37*1E5/(DATOS!$C$29*AH37*CA37^2*DATOS!$C$21))))*DATOS!$C$21*AH37*CA37/DATOS!$C$14)))-0.0001,MAX(DATOS!$C$71,CEILING(CB37/INDEX(TABLAS!$D$52:$D$58,MIN(MATCH(DATOS!$C$68,TABLAS!$B$52:$B$58,0)+0,7)),1)),MAX(MAX(DATOS!$C$71,CEILING(CB37/INDEX(TABLAS!$D$52:$D$58,MIN(MATCH(DATOS!$C$68,TABLAS!$B$52:$B$58,0)+0,7)),1)),2))&lt;=MIN(DATOS!$C$70,INT(((DATOS!$C$80-2*AJ37)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37&gt;=0,IF(MAX(DATOS!$C$71,CEILING(CB37/INDEX(TABLAS!$D$52:$D$58,MIN(MATCH(DATOS!$C$68,TABLAS!$B$52:$B$58,0)+1,7)),1))*INDEX(TABLAS!$D$52:$D$58,MIN(MATCH(DATOS!$C$68,TABLAS!$B$52:$B$58,0)+1,7))&gt;=4/3*IF(BH37&lt;=0,0,IF((1-2*BH37*1E5/(DATOS!$C$29*AH37*CA37^2*DATOS!$C$21))&lt;0,-1,IF((1-SQRT((1-2*BH37*1E5/(DATOS!$C$29*AH37*CA37^2*DATOS!$C$21))))*DATOS!$C$21*AH37*CA37/DATOS!$C$14&gt;DATOS!$C$99*AH37*CA37,-1,(1-SQRT((1-2*BH37*1E5/(DATOS!$C$29*AH37*CA37^2*DATOS!$C$21))))*DATOS!$C$21*AH37*CA37/DATOS!$C$14)))-0.0001,MAX(DATOS!$C$71,CEILING(CB37/INDEX(TABLAS!$D$52:$D$58,MIN(MATCH(DATOS!$C$68,TABLAS!$B$52:$B$58,0)+1,7)),1)),MAX(MAX(DATOS!$C$71,CEILING(CB37/INDEX(TABLAS!$D$52:$D$58,MIN(MATCH(DATOS!$C$68,TABLAS!$B$52:$B$58,0)+1,7)),1)),2))&lt;=MIN(DATOS!$C$70,INT(((DATOS!$C$80-2*AJ37)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37&gt;=0,IF(MAX(DATOS!$C$71,CEILING(CB37/INDEX(TABLAS!$D$52:$D$58,MIN(MATCH(DATOS!$C$68,TABLAS!$B$52:$B$58,0)+2,7)),1))*INDEX(TABLAS!$D$52:$D$58,MIN(MATCH(DATOS!$C$68,TABLAS!$B$52:$B$58,0)+2,7))&gt;=4/3*IF(BH37&lt;=0,0,IF((1-2*BH37*1E5/(DATOS!$C$29*AH37*CA37^2*DATOS!$C$21))&lt;0,-1,IF((1-SQRT((1-2*BH37*1E5/(DATOS!$C$29*AH37*CA37^2*DATOS!$C$21))))*DATOS!$C$21*AH37*CA37/DATOS!$C$14&gt;DATOS!$C$99*AH37*CA37,-1,(1-SQRT((1-2*BH37*1E5/(DATOS!$C$29*AH37*CA37^2*DATOS!$C$21))))*DATOS!$C$21*AH37*CA37/DATOS!$C$14)))-0.0001,MAX(DATOS!$C$71,CEILING(CB37/INDEX(TABLAS!$D$52:$D$58,MIN(MATCH(DATOS!$C$68,TABLAS!$B$52:$B$58,0)+2,7)),1)),MAX(MAX(DATOS!$C$71,CEILING(CB37/INDEX(TABLAS!$D$52:$D$58,MIN(MATCH(DATOS!$C$68,TABLAS!$B$52:$B$58,0)+2,7)),1)),2))&lt;=MIN(DATOS!$C$70,INT(((DATOS!$C$80-2*AJ37)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37&gt;=0,IF(MAX(DATOS!$C$71,CEILING(CB37/INDEX(TABLAS!$D$52:$D$58,MIN(MATCH(DATOS!$C$68,TABLAS!$B$52:$B$58,0)+3,7)),1))*INDEX(TABLAS!$D$52:$D$58,MIN(MATCH(DATOS!$C$68,TABLAS!$B$52:$B$58,0)+3,7))&gt;=4/3*IF(BH37&lt;=0,0,IF((1-2*BH37*1E5/(DATOS!$C$29*AH37*CA37^2*DATOS!$C$21))&lt;0,-1,IF((1-SQRT((1-2*BH37*1E5/(DATOS!$C$29*AH37*CA37^2*DATOS!$C$21))))*DATOS!$C$21*AH37*CA37/DATOS!$C$14&gt;DATOS!$C$99*AH37*CA37,-1,(1-SQRT((1-2*BH37*1E5/(DATOS!$C$29*AH37*CA37^2*DATOS!$C$21))))*DATOS!$C$21*AH37*CA37/DATOS!$C$14)))-0.0001,MAX(DATOS!$C$71,CEILING(CB37/INDEX(TABLAS!$D$52:$D$58,MIN(MATCH(DATOS!$C$68,TABLAS!$B$52:$B$58,0)+3,7)),1)),MAX(MAX(DATOS!$C$71,CEILING(CB37/INDEX(TABLAS!$D$52:$D$58,MIN(MATCH(DATOS!$C$68,TABLAS!$B$52:$B$58,0)+3,7)),1)),2))&lt;=MIN(DATOS!$C$70,INT(((DATOS!$C$80-2*AJ37)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37&gt;=0,IF(MAX(DATOS!$C$71,CEILING(CB37/INDEX(TABLAS!$D$52:$D$58,MIN(MATCH(DATOS!$C$68,TABLAS!$B$52:$B$58,0)+4,7)),1))*INDEX(TABLAS!$D$52:$D$58,MIN(MATCH(DATOS!$C$68,TABLAS!$B$52:$B$58,0)+4,7))&gt;=4/3*IF(BH37&lt;=0,0,IF((1-2*BH37*1E5/(DATOS!$C$29*AH37*CA37^2*DATOS!$C$21))&lt;0,-1,IF((1-SQRT((1-2*BH37*1E5/(DATOS!$C$29*AH37*CA37^2*DATOS!$C$21))))*DATOS!$C$21*AH37*CA37/DATOS!$C$14&gt;DATOS!$C$99*AH37*CA37,-1,(1-SQRT((1-2*BH37*1E5/(DATOS!$C$29*AH37*CA37^2*DATOS!$C$21))))*DATOS!$C$21*AH37*CA37/DATOS!$C$14)))-0.0001,MAX(DATOS!$C$71,CEILING(CB37/INDEX(TABLAS!$D$52:$D$58,MIN(MATCH(DATOS!$C$68,TABLAS!$B$52:$B$58,0)+4,7)),1)),MAX(MAX(DATOS!$C$71,CEILING(CB37/INDEX(TABLAS!$D$52:$D$58,MIN(MATCH(DATOS!$C$68,TABLAS!$B$52:$B$58,0)+4,7)),1)),2))&lt;=MIN(DATOS!$C$70,INT(((DATOS!$C$80-2*AJ37)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37" s="59" t="str">
        <f>IF(U37&lt;&gt;"SÍ","",IF(CB37&lt;0,0,IF(MAX(DATOS!$C$71,CEILING(MAX(CB37,0)/INDEX(TABLAS!$D$52:$D$58,MATCH(CC37,TABLAS!$B$52:$B$58,0)),1))*INDEX(TABLAS!$D$52:$D$58,MATCH(CC37,TABLAS!$B$52:$B$58,0))&gt;=4/3*IF(BH37&lt;=0,0,IF((1-2*BH37*1E5/(DATOS!$C$29*AH37*CA37^2*DATOS!$C$21))&lt;0,-1,IF((1-SQRT((1-2*BH37*1E5/(DATOS!$C$29*AH37*CA37^2*DATOS!$C$21))))*DATOS!$C$21*AH37*CA37/DATOS!$C$14&gt;DATOS!$C$99*AH37*CA37,-1,(1-SQRT((1-2*BH37*1E5/(DATOS!$C$29*AH37*CA37^2*DATOS!$C$21))))*DATOS!$C$21*AH37*CA37/DATOS!$C$14)))-0.0001,MAX(DATOS!$C$71,CEILING(MAX(CB37,0)/INDEX(TABLAS!$D$52:$D$58,MATCH(CC37,TABLAS!$B$52:$B$58,0)),1)),MAX(MAX(DATOS!$C$71,CEILING(MAX(CB37,0)/INDEX(TABLAS!$D$52:$D$58,MATCH(CC37,TABLAS!$B$52:$B$58,0)),1)),2))))</f>
        <v/>
      </c>
      <c r="CE37" s="58" t="str">
        <f>IF(U37&lt;&gt;"SÍ","",DATOS!$C$82-AJ37-INDEX(TABLAS!$C$52:$C$58,MATCH(BM37,TABLAS!$B$52:$B$58,0))-INDEX(TABLAS!$C$52:$C$58,MATCH(CC37,TABLAS!$B$52:$B$58,0))/2)</f>
        <v/>
      </c>
      <c r="CF37" s="56" t="str">
        <f>IF(U37&lt;&gt;"SÍ","",IF(CD37=0,0,DATOS!$C$29*CD37*INDEX(TABLAS!$D$52:$D$58,MATCH(CC37,TABLAS!$B$52:$B$58,0))*DATOS!$C$14*(CE37-CD37*INDEX(TABLAS!$D$52:$D$58,MATCH(CC37,TABLAS!$B$52:$B$58,0))*DATOS!$C$14/(DATOS!$C$21*AH37)/2)/1E5))</f>
        <v/>
      </c>
      <c r="CG37" s="65" t="str">
        <f>IF(U37&lt;&gt;"SÍ","",IF(CB37&lt;0,9.99,IF(CF37&gt;0,BH37/CF37,0)))</f>
        <v/>
      </c>
      <c r="CH37" s="66" t="str">
        <f>IF(U37&lt;&gt;"SÍ","",IF(CD37=0,"—",0.003*(CE37-(CD37*INDEX(TABLAS!$D$52:$D$58,MATCH(CC37,TABLAS!$B$52:$B$58,0))*DATOS!$C$14/(DATOS!$C$21*AH37)/DATOS!$C$22))/(CD37*INDEX(TABLAS!$D$52:$D$58,MATCH(CC37,TABLAS!$B$52:$B$58,0))*DATOS!$C$14/(DATOS!$C$21*AH37)/DATOS!$C$22)))</f>
        <v/>
      </c>
      <c r="CI37" s="58" t="str">
        <f>IF(U37&lt;&gt;"SÍ","",((DATOS!$C$82-AL37-2*DATOS!$C$94-INDEX(TABLAS!$C$52:$C$58,MATCH(DATOS!$C$69,TABLAS!$B$52:$B$58,0))-INDEX(TABLAS!$C$52:$C$58,MATCH(DATOS!$C$69,TABLAS!$B$52:$B$58,0))/2)-IF(AND((DATOS!$C$82-AL37-2*DATOS!$C$94-INDEX(TABLAS!$C$52:$C$58,MATCH(DATOS!$C$69,TABLAS!$B$52:$B$58,0))-INDEX(TABLAS!$C$52:$C$58,MATCH(DATOS!$C$69,TABLAS!$B$52:$B$58,0))/2)&lt;=20,DATOS!$C$62&lt;&gt;"SÍ"),2,0)))</f>
        <v/>
      </c>
      <c r="CJ37" s="58" t="str">
        <f>IF(U37&lt;&gt;"SÍ","",IF(IF(BI37&lt;=0,0,IF((1-2*BI37*1E5/(DATOS!$C$29*AF37*CI37^2*DATOS!$C$21))&lt;0,-1,IF((1-SQRT((1-2*BI37*1E5/(DATOS!$C$29*AF37*CI37^2*DATOS!$C$21))))*DATOS!$C$21*AF37*CI37/DATOS!$C$14&gt;DATOS!$C$99*AF37*CI37,-1,(1-SQRT((1-2*BI37*1E5/(DATOS!$C$29*AF37*CI37^2*DATOS!$C$21))))*DATOS!$C$21*AF37*CI37/DATOS!$C$14)))&lt;0,-1,MAX(IF(BI37&lt;=0,0,IF((1-2*BI37*1E5/(DATOS!$C$29*AF37*CI37^2*DATOS!$C$21))&lt;0,-1,IF((1-SQRT((1-2*BI37*1E5/(DATOS!$C$29*AF37*CI37^2*DATOS!$C$21))))*DATOS!$C$21*AF37*CI37/DATOS!$C$14&gt;DATOS!$C$99*AF37*CI37,-1,(1-SQRT((1-2*BI37*1E5/(DATOS!$C$29*AF37*CI37^2*DATOS!$C$21))))*DATOS!$C$21*AF37*CI37/DATOS!$C$14))),MIN(DATOS!$C$100*DATOS!$C$80*CI37,4/3*IF(BI37&lt;=0,0,IF((1-2*BI37*1E5/(DATOS!$C$29*AF37*CI37^2*DATOS!$C$21))&lt;0,-1,IF((1-SQRT((1-2*BI37*1E5/(DATOS!$C$29*AF37*CI37^2*DATOS!$C$21))))*DATOS!$C$21*AF37*CI37/DATOS!$C$14&gt;DATOS!$C$99*AF37*CI37,-1,(1-SQRT((1-2*BI37*1E5/(DATOS!$C$29*AF37*CI37^2*DATOS!$C$21))))*DATOS!$C$21*AF37*CI37/DATOS!$C$14)))))))</f>
        <v/>
      </c>
      <c r="CK37" s="64" t="str">
        <f>IF(U37&lt;&gt;"SÍ","",IF(AND(CJ37&gt;=0,IF(MAX(DATOS!$C$71,CEILING(CJ37/INDEX(TABLAS!$D$52:$D$58,MIN(MATCH(DATOS!$C$69,TABLAS!$B$52:$B$58,0)+0,7)),1))*INDEX(TABLAS!$D$52:$D$58,MIN(MATCH(DATOS!$C$69,TABLAS!$B$52:$B$58,0)+0,7))&gt;=4/3*IF(BI37&lt;=0,0,IF((1-2*BI37*1E5/(DATOS!$C$29*AF37*CI37^2*DATOS!$C$21))&lt;0,-1,IF((1-SQRT((1-2*BI37*1E5/(DATOS!$C$29*AF37*CI37^2*DATOS!$C$21))))*DATOS!$C$21*AF37*CI37/DATOS!$C$14&gt;DATOS!$C$99*AF37*CI37,-1,(1-SQRT((1-2*BI37*1E5/(DATOS!$C$29*AF37*CI37^2*DATOS!$C$21))))*DATOS!$C$21*AF37*CI37/DATOS!$C$14)))-0.0001,MAX(DATOS!$C$71,CEILING(CJ37/INDEX(TABLAS!$D$52:$D$58,MIN(MATCH(DATOS!$C$69,TABLAS!$B$52:$B$58,0)+0,7)),1)),MAX(MAX(DATOS!$C$71,CEILING(CJ37/INDEX(TABLAS!$D$52:$D$58,MIN(MATCH(DATOS!$C$69,TABLAS!$B$52:$B$58,0)+0,7)),1)),2))&lt;=MIN(DATOS!$C$70,INT(((DATOS!$C$80-2*AK37)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37&gt;=0,IF(MAX(DATOS!$C$71,CEILING(CJ37/INDEX(TABLAS!$D$52:$D$58,MIN(MATCH(DATOS!$C$69,TABLAS!$B$52:$B$58,0)+1,7)),1))*INDEX(TABLAS!$D$52:$D$58,MIN(MATCH(DATOS!$C$69,TABLAS!$B$52:$B$58,0)+1,7))&gt;=4/3*IF(BI37&lt;=0,0,IF((1-2*BI37*1E5/(DATOS!$C$29*AF37*CI37^2*DATOS!$C$21))&lt;0,-1,IF((1-SQRT((1-2*BI37*1E5/(DATOS!$C$29*AF37*CI37^2*DATOS!$C$21))))*DATOS!$C$21*AF37*CI37/DATOS!$C$14&gt;DATOS!$C$99*AF37*CI37,-1,(1-SQRT((1-2*BI37*1E5/(DATOS!$C$29*AF37*CI37^2*DATOS!$C$21))))*DATOS!$C$21*AF37*CI37/DATOS!$C$14)))-0.0001,MAX(DATOS!$C$71,CEILING(CJ37/INDEX(TABLAS!$D$52:$D$58,MIN(MATCH(DATOS!$C$69,TABLAS!$B$52:$B$58,0)+1,7)),1)),MAX(MAX(DATOS!$C$71,CEILING(CJ37/INDEX(TABLAS!$D$52:$D$58,MIN(MATCH(DATOS!$C$69,TABLAS!$B$52:$B$58,0)+1,7)),1)),2))&lt;=MIN(DATOS!$C$70,INT(((DATOS!$C$80-2*AK37)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37&gt;=0,IF(MAX(DATOS!$C$71,CEILING(CJ37/INDEX(TABLAS!$D$52:$D$58,MIN(MATCH(DATOS!$C$69,TABLAS!$B$52:$B$58,0)+2,7)),1))*INDEX(TABLAS!$D$52:$D$58,MIN(MATCH(DATOS!$C$69,TABLAS!$B$52:$B$58,0)+2,7))&gt;=4/3*IF(BI37&lt;=0,0,IF((1-2*BI37*1E5/(DATOS!$C$29*AF37*CI37^2*DATOS!$C$21))&lt;0,-1,IF((1-SQRT((1-2*BI37*1E5/(DATOS!$C$29*AF37*CI37^2*DATOS!$C$21))))*DATOS!$C$21*AF37*CI37/DATOS!$C$14&gt;DATOS!$C$99*AF37*CI37,-1,(1-SQRT((1-2*BI37*1E5/(DATOS!$C$29*AF37*CI37^2*DATOS!$C$21))))*DATOS!$C$21*AF37*CI37/DATOS!$C$14)))-0.0001,MAX(DATOS!$C$71,CEILING(CJ37/INDEX(TABLAS!$D$52:$D$58,MIN(MATCH(DATOS!$C$69,TABLAS!$B$52:$B$58,0)+2,7)),1)),MAX(MAX(DATOS!$C$71,CEILING(CJ37/INDEX(TABLAS!$D$52:$D$58,MIN(MATCH(DATOS!$C$69,TABLAS!$B$52:$B$58,0)+2,7)),1)),2))&lt;=MIN(DATOS!$C$70,INT(((DATOS!$C$80-2*AK37)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37&gt;=0,IF(MAX(DATOS!$C$71,CEILING(CJ37/INDEX(TABLAS!$D$52:$D$58,MIN(MATCH(DATOS!$C$69,TABLAS!$B$52:$B$58,0)+3,7)),1))*INDEX(TABLAS!$D$52:$D$58,MIN(MATCH(DATOS!$C$69,TABLAS!$B$52:$B$58,0)+3,7))&gt;=4/3*IF(BI37&lt;=0,0,IF((1-2*BI37*1E5/(DATOS!$C$29*AF37*CI37^2*DATOS!$C$21))&lt;0,-1,IF((1-SQRT((1-2*BI37*1E5/(DATOS!$C$29*AF37*CI37^2*DATOS!$C$21))))*DATOS!$C$21*AF37*CI37/DATOS!$C$14&gt;DATOS!$C$99*AF37*CI37,-1,(1-SQRT((1-2*BI37*1E5/(DATOS!$C$29*AF37*CI37^2*DATOS!$C$21))))*DATOS!$C$21*AF37*CI37/DATOS!$C$14)))-0.0001,MAX(DATOS!$C$71,CEILING(CJ37/INDEX(TABLAS!$D$52:$D$58,MIN(MATCH(DATOS!$C$69,TABLAS!$B$52:$B$58,0)+3,7)),1)),MAX(MAX(DATOS!$C$71,CEILING(CJ37/INDEX(TABLAS!$D$52:$D$58,MIN(MATCH(DATOS!$C$69,TABLAS!$B$52:$B$58,0)+3,7)),1)),2))&lt;=MIN(DATOS!$C$70,INT(((DATOS!$C$80-2*AK37)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37&gt;=0,IF(MAX(DATOS!$C$71,CEILING(CJ37/INDEX(TABLAS!$D$52:$D$58,MIN(MATCH(DATOS!$C$69,TABLAS!$B$52:$B$58,0)+4,7)),1))*INDEX(TABLAS!$D$52:$D$58,MIN(MATCH(DATOS!$C$69,TABLAS!$B$52:$B$58,0)+4,7))&gt;=4/3*IF(BI37&lt;=0,0,IF((1-2*BI37*1E5/(DATOS!$C$29*AF37*CI37^2*DATOS!$C$21))&lt;0,-1,IF((1-SQRT((1-2*BI37*1E5/(DATOS!$C$29*AF37*CI37^2*DATOS!$C$21))))*DATOS!$C$21*AF37*CI37/DATOS!$C$14&gt;DATOS!$C$99*AF37*CI37,-1,(1-SQRT((1-2*BI37*1E5/(DATOS!$C$29*AF37*CI37^2*DATOS!$C$21))))*DATOS!$C$21*AF37*CI37/DATOS!$C$14)))-0.0001,MAX(DATOS!$C$71,CEILING(CJ37/INDEX(TABLAS!$D$52:$D$58,MIN(MATCH(DATOS!$C$69,TABLAS!$B$52:$B$58,0)+4,7)),1)),MAX(MAX(DATOS!$C$71,CEILING(CJ37/INDEX(TABLAS!$D$52:$D$58,MIN(MATCH(DATOS!$C$69,TABLAS!$B$52:$B$58,0)+4,7)),1)),2))&lt;=MIN(DATOS!$C$70,INT(((DATOS!$C$80-2*AK37)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37" s="59" t="str">
        <f>IF(U37&lt;&gt;"SÍ","",IF(CJ37&lt;0,0,IF(MAX(DATOS!$C$71,CEILING(MAX(CJ37,0)/INDEX(TABLAS!$D$52:$D$58,MATCH(CK37,TABLAS!$B$52:$B$58,0)),1))*INDEX(TABLAS!$D$52:$D$58,MATCH(CK37,TABLAS!$B$52:$B$58,0))&gt;=4/3*IF(BI37&lt;=0,0,IF((1-2*BI37*1E5/(DATOS!$C$29*AF37*CI37^2*DATOS!$C$21))&lt;0,-1,IF((1-SQRT((1-2*BI37*1E5/(DATOS!$C$29*AF37*CI37^2*DATOS!$C$21))))*DATOS!$C$21*AF37*CI37/DATOS!$C$14&gt;DATOS!$C$99*AF37*CI37,-1,(1-SQRT((1-2*BI37*1E5/(DATOS!$C$29*AF37*CI37^2*DATOS!$C$21))))*DATOS!$C$21*AF37*CI37/DATOS!$C$14)))-0.0001,MAX(DATOS!$C$71,CEILING(MAX(CJ37,0)/INDEX(TABLAS!$D$52:$D$58,MATCH(CK37,TABLAS!$B$52:$B$58,0)),1)),MAX(MAX(DATOS!$C$71,CEILING(MAX(CJ37,0)/INDEX(TABLAS!$D$52:$D$58,MATCH(CK37,TABLAS!$B$52:$B$58,0)),1)),2))))</f>
        <v/>
      </c>
      <c r="CM37" s="58" t="str">
        <f>IF(U37&lt;&gt;"SÍ","",((DATOS!$C$82-AL37-2*DATOS!$C$94-INDEX(TABLAS!$C$52:$C$58,MATCH(BU37,TABLAS!$B$52:$B$58,0))-INDEX(TABLAS!$C$52:$C$58,MATCH(CK37,TABLAS!$B$52:$B$58,0))/2)-IF(AND((DATOS!$C$82-AL37-2*DATOS!$C$94-INDEX(TABLAS!$C$52:$C$58,MATCH(BU37,TABLAS!$B$52:$B$58,0))-INDEX(TABLAS!$C$52:$C$58,MATCH(CK37,TABLAS!$B$52:$B$58,0))/2)&lt;=20,DATOS!$C$62&lt;&gt;"SÍ"),2,0)))</f>
        <v/>
      </c>
      <c r="CN37" s="56" t="str">
        <f>IF(U37&lt;&gt;"SÍ","",IF(CL37=0,0,DATOS!$C$29*CL37*INDEX(TABLAS!$D$52:$D$58,MATCH(CK37,TABLAS!$B$52:$B$58,0))*DATOS!$C$14*(CM37-CL37*INDEX(TABLAS!$D$52:$D$58,MATCH(CK37,TABLAS!$B$52:$B$58,0))*DATOS!$C$14/(DATOS!$C$21*AF37)/2)/1E5))</f>
        <v/>
      </c>
      <c r="CO37" s="65" t="str">
        <f>IF(U37&lt;&gt;"SÍ","",IF(CJ37&lt;0,9.99,IF(CN37&gt;0,BI37/CN37,0)))</f>
        <v/>
      </c>
      <c r="CP37" s="66" t="str">
        <f>IF(U37&lt;&gt;"SÍ","",IF(CL37=0,"—",0.003*(CM37-(CL37*INDEX(TABLAS!$D$52:$D$58,MATCH(CK37,TABLAS!$B$52:$B$58,0))*DATOS!$C$14/(DATOS!$C$21*AF37)/DATOS!$C$22))/(CL37*INDEX(TABLAS!$D$52:$D$58,MATCH(CK37,TABLAS!$B$52:$B$58,0))*DATOS!$C$14/(DATOS!$C$21*AF37)/DATOS!$C$22)))</f>
        <v/>
      </c>
      <c r="CQ37" s="56" t="str">
        <f>IF(U37&lt;&gt;"SÍ","",IF(C37="PERIMETRAL",MAX(0,(AA37/2-BW37)/100)*(0.95-0.5*Z37)*AQ37*IF(AND(AR37&gt;0,AR37&lt;4),DATOS!$C$33,1)*DATOS!$C$83/100/1000,(AQ37*MAX(0,AA37-BW37)/100+DATOS!$C$26*N(O37))*DATOS!$C$83/100/1000+BE37))</f>
        <v/>
      </c>
      <c r="CR37" s="56" t="str">
        <f>IF(U37&lt;&gt;"SÍ","",DATOS!$C$30*2*MIN(1,SQRT(2/(1+0.04*BW37)))*(BV37*INDEX(TABLAS!$D$52:$D$58,MATCH(BU37,TABLAS!$B$52:$B$58,0))/(AE37*BW37))^(1/3)*SQRT(DATOS!$C$13)*AE37*BW37*IF(AI37="SÍ",DATOS!$C$32,1)/1000)</f>
        <v/>
      </c>
      <c r="CS37" s="59" t="str">
        <f>IF(U37&lt;&gt;"SÍ","",IF(CQ37&lt;=CR37,0,CEILING(MAX(0,IF(C37="VOLADO",(AA37-((CR37-BE37)*1E5/DATOS!$C$83-DATOS!$C$26*N(O37))*100/AQ37),IF(CR37&lt;=0,AA37,AA37/2-CR37/MAX(CQ37,1E-9)*(AA37/2-BW37)))-IF(INT((X37*100-DATOS!$C$84+DATOS!$C$80)/DATOS!$C$83)&gt;0,(X37*100-DATOS!$C$84-(INT((X37*100-DATOS!$C$84+DATOS!$C$80)/DATOS!$C$83)*DATOS!$C$78+(INT((X37*100-DATOS!$C$84+DATOS!$C$80)/DATOS!$C$83)-1)*DATOS!$C$80))/2,X37*100/2))/DATOS!$C$83,1)))</f>
        <v/>
      </c>
      <c r="CT37" s="67" t="str">
        <f>IF(U37&lt;&gt;"SÍ","",IF(CQ37&lt;=CR37,"CUMPLE",IF(CS37&lt;=0,"CUMPLE (basta el macizo de orilla)",IF(CS37*DATOS!$C$83*IF(C37="VOLADO",1,2)&gt;=X37*100-DATOS!$C$84,"NO CUMPLE: no alcanza ni macizando todo","MACIZAR "&amp;CS37&amp;" hilera(s)"))))</f>
        <v/>
      </c>
      <c r="CU37" s="58" t="str">
        <f>IF(U37&lt;&gt;"SÍ","",(DATOS!$C$83*DATOS!$C$81^2/2+AC37*DATOS!$C$79*(DATOS!$C$81+DATOS!$C$79/2))/(DATOS!$C$83*DATOS!$C$81+AC37*DATOS!$C$79))</f>
        <v/>
      </c>
      <c r="CV37" s="68" t="str">
        <f>IF(U37&lt;&gt;"SÍ","",DATOS!$C$83*DATOS!$C$81^3/12+DATOS!$C$83*DATOS!$C$81*(CU37-DATOS!$C$81/2)^2+AC37*DATOS!$C$79^3/12+AC37*DATOS!$C$79*(DATOS!$C$81+DATOS!$C$79/2-CU37)^2)</f>
        <v/>
      </c>
      <c r="CW37" s="58" t="str">
        <f>IF(U37&lt;&gt;"SÍ","",(12*CV37/DATOS!$C$83)^(1/3))</f>
        <v/>
      </c>
      <c r="CX37" s="58" t="str">
        <f>IF(U37&lt;&gt;"SÍ","",IF(C37="PERIMETRAL",IF(ISNUMBER(R37),R37,DATOS!$C$101),0))</f>
        <v/>
      </c>
      <c r="CY37" s="57" t="str">
        <f>IF(U37&lt;&gt;"SÍ","",IF(C37="PERIMETRAL",IF(CX37&gt;2,MAX(9,AB37*(0.8+DATOS!$C$14/14000)/(36+9*(AB37/MAX(AA37,1)))),IF(CX37&gt;0.2,MAX(13,AB37*(0.8+DATOS!$C$14/14000)/(36+5*(AB37/MAX(AA37,1))*(CX37-0.2))),MAX(13,AB37/IF(AR37&gt;0,30,33))))*IF(AND(CX37&gt;0.2,AR37&gt;0,DATOS!$C$102="NO"),1.1,1),X37*100/8))</f>
        <v/>
      </c>
      <c r="CZ37" s="61" t="str">
        <f>IF(U37&lt;&gt;"SÍ","",IF(IF(C37="VOLADO",DATOS!$C$82,CW37)&gt;=CY37,"CUMPLE",IF(C37="VOLADO","NO CUMPLE","CALCULAR FLECHA")))</f>
        <v/>
      </c>
      <c r="DA37" s="55" t="str">
        <f>IF(U37&lt;&gt;"SÍ","",IF(DATOS!$C$81&gt;=IF(IF(C37="VOLADO",X37,Y37)&gt;=6,6,5),"CUMPLE","CAPA ≥ 6 cm"))</f>
        <v/>
      </c>
      <c r="DB37" s="60" t="str">
        <f>IF(U37&lt;&gt;"SÍ","",IF(C37="VOLADO",MIN(CEILING(IF(ISNUMBER(P37),P37,X37)*100,5),CEILING(MAX(IF((0.5*(0.9*DATOS!$C$87*DATOS!$C$83/100/1000)*IF(ISNUMBER(P37),P37,X37)+BG37/IF(ISNUMBER(P37),P37,X37))^2-4*(0.5*(0.9*DATOS!$C$87*DATOS!$C$83/100/1000))*BG37&lt;0,IF(ISNUMBER(P37),P37,X37),MIN(IF(ISNUMBER(P37),P37,X37),((0.5*(0.9*DATOS!$C$87*DATOS!$C$83/100/1000)*IF(ISNUMBER(P37),P37,X37)+BG37/IF(ISNUMBER(P37),P37,X37))-SQRT((0.5*(0.9*DATOS!$C$87*DATOS!$C$83/100/1000)*IF(ISNUMBER(P37),P37,X37)+BG37/IF(ISNUMBER(P37),P37,X37))^2-4*(0.5*(0.9*DATOS!$C$87*DATOS!$C$83/100/1000))*BG37))/(2*(0.5*(0.9*DATOS!$C$87*DATOS!$C$83/100/1000)))))*100+MAX(BW37,12*INDEX(TABLAS!$C$52:$C$58,MATCH(BU37,TABLAS!$B$52:$B$58,0)),IF(ISNUMBER(P37),P37,X37)*100/16),IF(OR(AK37&lt;INDEX(TABLAS!$C$52:$C$58,MATCH(BU37,TABLAS!$B$52:$B$58,0)),AND(BV37&gt;=2,(AC37-2*AK37-BV37*INDEX(TABLAS!$C$52:$C$58,MATCH(BU37,TABLAS!$B$52:$B$58,0)))/MAX(BV37-1,1)&lt;2*INDEX(TABLAS!$C$52:$C$58,MATCH(BU37,TABLAS!$B$52:$B$58,0)))),INDEX(TABLAS!$I$52:$I$58,MATCH(BU37,TABLAS!$B$52:$B$58,0)),INDEX(TABLAS!$F$52:$F$58,MATCH(BU37,TABLAS!$B$52:$B$58,0)))),5)),IF(((4*((BB37*AQ37*X37^2*1E-4*DATOS!$C$83/100/1000)+((MAX(AX37,AZ37)*AQ37*X37^2*1E-4*DATOS!$C$83/100/1000)+(IF(AND(AX37&gt;0,AZ37&gt;0),MIN(AX37,AZ37),MAX(AX37,AZ37))*AQ37*X37^2*1E-4*DATOS!$C$83/100/1000))/2)+BG37-(IF(AND(AX37&gt;0,AZ37&gt;0),MIN(AX37,AZ37),MAX(AX37,AZ37))*AQ37*X37^2*1E-4*DATOS!$C$83/100/1000))^2-16*((BB37*AQ37*X37^2*1E-4*DATOS!$C$83/100/1000)+((MAX(AX37,AZ37)*AQ37*X37^2*1E-4*DATOS!$C$83/100/1000)+(IF(AND(AX37&gt;0,AZ37&gt;0),MIN(AX37,AZ37),MAX(AX37,AZ37))*AQ37*X37^2*1E-4*DATOS!$C$83/100/1000))/2)*BG37)&lt;0,CEILING(AA37,5),CEILING(MAX(AA37*((4*((BB37*AQ37*X37^2*1E-4*DATOS!$C$83/100/1000)+((MAX(AX37,AZ37)*AQ37*X37^2*1E-4*DATOS!$C$83/100/1000)+(IF(AND(AX37&gt;0,AZ37&gt;0),MIN(AX37,AZ37),MAX(AX37,AZ37))*AQ37*X37^2*1E-4*DATOS!$C$83/100/1000))/2)+BG37-(IF(AND(AX37&gt;0,AZ37&gt;0),MIN(AX37,AZ37),MAX(AX37,AZ37))*AQ37*X37^2*1E-4*DATOS!$C$83/100/1000))-SQRT(MAX(0,((4*((BB37*AQ37*X37^2*1E-4*DATOS!$C$83/100/1000)+((MAX(AX37,AZ37)*AQ37*X37^2*1E-4*DATOS!$C$83/100/1000)+(IF(AND(AX37&gt;0,AZ37&gt;0),MIN(AX37,AZ37),MAX(AX37,AZ37))*AQ37*X37^2*1E-4*DATOS!$C$83/100/1000))/2)+BG37-(IF(AND(AX37&gt;0,AZ37&gt;0),MIN(AX37,AZ37),MAX(AX37,AZ37))*AQ37*X37^2*1E-4*DATOS!$C$83/100/1000))^2-16*((BB37*AQ37*X37^2*1E-4*DATOS!$C$83/100/1000)+((MAX(AX37,AZ37)*AQ37*X37^2*1E-4*DATOS!$C$83/100/1000)+(IF(AND(AX37&gt;0,AZ37&gt;0),MIN(AX37,AZ37),MAX(AX37,AZ37))*AQ37*X37^2*1E-4*DATOS!$C$83/100/1000))/2)*BG37))))/(8*MAX(((BB37*AQ37*X37^2*1E-4*DATOS!$C$83/100/1000)+((MAX(AX37,AZ37)*AQ37*X37^2*1E-4*DATOS!$C$83/100/1000)+(IF(AND(AX37&gt;0,AZ37&gt;0),MIN(AX37,AZ37),MAX(AX37,AZ37))*AQ37*X37^2*1E-4*DATOS!$C$83/100/1000))/2),1E-9))+MAX(BW37,12*INDEX(TABLAS!$C$52:$C$58,MATCH(BU37,TABLAS!$B$52:$B$58,0)),AA37/16),IF(OR(AK37&lt;INDEX(TABLAS!$C$52:$C$58,MATCH(BU37,TABLAS!$B$52:$B$58,0)),AND(BV37&gt;=2,(AC37-2*AK37-BV37*INDEX(TABLAS!$C$52:$C$58,MATCH(BU37,TABLAS!$B$52:$B$58,0)))/MAX(BV37-1,1)&lt;2*INDEX(TABLAS!$C$52:$C$58,MATCH(BU37,TABLAS!$B$52:$B$58,0)))),INDEX(TABLAS!$I$52:$I$58,MATCH(BU37,TABLAS!$B$52:$B$58,0)),INDEX(TABLAS!$F$52:$F$58,MATCH(BU37,TABLAS!$B$52:$B$58,0)))),5))))</f>
        <v/>
      </c>
      <c r="DC37" s="60" t="str">
        <f>IF(U37&lt;&gt;"SÍ","",IF(C37="VOLADO",0,IF(((4*((BC37*AQ37*X37^2*1E-4*DATOS!$C$83/100/1000)+((MAX(AY37,BA37)*AQ37*X37^2*1E-4*DATOS!$C$83/100/1000)+(IF(AND(AY37&gt;0,BA37&gt;0),MIN(AY37,BA37),MAX(AY37,BA37))*AQ37*X37^2*1E-4*DATOS!$C$83/100/1000))/2)+BI37-(IF(AND(AY37&gt;0,BA37&gt;0),MIN(AY37,BA37),MAX(AY37,BA37))*AQ37*X37^2*1E-4*DATOS!$C$83/100/1000))^2-16*((BC37*AQ37*X37^2*1E-4*DATOS!$C$83/100/1000)+((MAX(AY37,BA37)*AQ37*X37^2*1E-4*DATOS!$C$83/100/1000)+(IF(AND(AY37&gt;0,BA37&gt;0),MIN(AY37,BA37),MAX(AY37,BA37))*AQ37*X37^2*1E-4*DATOS!$C$83/100/1000))/2)*BI37)&lt;0,CEILING(AB37,5),CEILING(MAX(AB37*((4*((BC37*AQ37*X37^2*1E-4*DATOS!$C$83/100/1000)+((MAX(AY37,BA37)*AQ37*X37^2*1E-4*DATOS!$C$83/100/1000)+(IF(AND(AY37&gt;0,BA37&gt;0),MIN(AY37,BA37),MAX(AY37,BA37))*AQ37*X37^2*1E-4*DATOS!$C$83/100/1000))/2)+BI37-(IF(AND(AY37&gt;0,BA37&gt;0),MIN(AY37,BA37),MAX(AY37,BA37))*AQ37*X37^2*1E-4*DATOS!$C$83/100/1000))-SQRT(MAX(0,((4*((BC37*AQ37*X37^2*1E-4*DATOS!$C$83/100/1000)+((MAX(AY37,BA37)*AQ37*X37^2*1E-4*DATOS!$C$83/100/1000)+(IF(AND(AY37&gt;0,BA37&gt;0),MIN(AY37,BA37),MAX(AY37,BA37))*AQ37*X37^2*1E-4*DATOS!$C$83/100/1000))/2)+BI37-(IF(AND(AY37&gt;0,BA37&gt;0),MIN(AY37,BA37),MAX(AY37,BA37))*AQ37*X37^2*1E-4*DATOS!$C$83/100/1000))^2-16*((BC37*AQ37*X37^2*1E-4*DATOS!$C$83/100/1000)+((MAX(AY37,BA37)*AQ37*X37^2*1E-4*DATOS!$C$83/100/1000)+(IF(AND(AY37&gt;0,BA37&gt;0),MIN(AY37,BA37),MAX(AY37,BA37))*AQ37*X37^2*1E-4*DATOS!$C$83/100/1000))/2)*BI37))))/(8*MAX(((BC37*AQ37*X37^2*1E-4*DATOS!$C$83/100/1000)+((MAX(AY37,BA37)*AQ37*X37^2*1E-4*DATOS!$C$83/100/1000)+(IF(AND(AY37&gt;0,BA37&gt;0),MIN(AY37,BA37),MAX(AY37,BA37))*AQ37*X37^2*1E-4*DATOS!$C$83/100/1000))/2),1E-9))+MAX(CM37,12*INDEX(TABLAS!$C$52:$C$58,MATCH(CK37,TABLAS!$B$52:$B$58,0)),AB37/16),IF(OR(AK37&lt;INDEX(TABLAS!$C$52:$C$58,MATCH(CK37,TABLAS!$B$52:$B$58,0)),AND(CL37&gt;=2,(DATOS!$C$80-2*AK37-CL37*INDEX(TABLAS!$C$52:$C$58,MATCH(CK37,TABLAS!$B$52:$B$58,0)))/MAX(CL37-1,1)&lt;2*INDEX(TABLAS!$C$52:$C$58,MATCH(CK37,TABLAS!$B$52:$B$58,0)))),INDEX(TABLAS!$I$52:$I$58,MATCH(CK37,TABLAS!$B$52:$B$58,0)),INDEX(TABLAS!$F$52:$F$58,MATCH(CK37,TABLAS!$B$52:$B$58,0)))),5))))</f>
        <v/>
      </c>
      <c r="DD37" s="55" t="str">
        <f>IF(U37&lt;&gt;"SÍ","",IF(AND(C37="PERIMETRAL",BV37&gt;=2,AR37-AS37&gt;0,AZ37*AQ37*X37^2*1E-4*DATOS!$C$83/100/1000&gt;DATOS!$C$29*INDEX(TABLAS!$D$52:$D$58,MATCH(BU37,TABLAS!$B$52:$B$58,0))*DATOS!$C$14*(BW37-INDEX(TABLAS!$D$52:$D$58,MATCH(BU37,TABLAS!$B$52:$B$58,0))*DATOS!$C$14/(DATOS!$C$21*AE37)/2)/1E5),"SÍ","NO"))</f>
        <v/>
      </c>
      <c r="DE37" s="55" t="str">
        <f>IF(U37&lt;&gt;"SÍ","",IF(AND(C37="PERIMETRAL",CL37&gt;=2,AS37&gt;0,BA37*AQ37*X37^2*1E-4*DATOS!$C$83/100/1000&gt;DATOS!$C$29*INDEX(TABLAS!$D$52:$D$58,MATCH(CK37,TABLAS!$B$52:$B$58,0))*DATOS!$C$14*(CM37-INDEX(TABLAS!$D$52:$D$58,MATCH(CK37,TABLAS!$B$52:$B$58,0))*DATOS!$C$14/(DATOS!$C$21*AF37)/2)/1E5),"SÍ","NO"))</f>
        <v/>
      </c>
      <c r="DF37" s="63" t="str">
        <f>IF(U37&lt;&gt;"SÍ","",IF(OR(C37="VOLADO",AR37=0),"—",IF(AND(AND(1.25*INDEX(TABLAS!$G$52:$G$58,MATCH(MAX(BM37,CC37),TABLAS!$B$52:$B$58,0))&lt;=(DATOS!$C$72-DATOS!$C$60),(DATOS!$C$72-DATOS!$C$60)&gt;=15,INDEX(TABLAS!$G$52:$G$58,MATCH(MAX(BU37,CK37),TABLAS!$B$52:$B$58,0))&lt;=(DATOS!$C$72-DATOS!$C$60)),8*INDEX(TABLAS!$C$52:$C$58,MATCH(MAX(MAX(BM37,CC37),MAX(BU37,CK37)),TABLAS!$B$52:$B$58,0))&lt;=DATOS!$C$73-2*DATOS!$C$60),"CUMPLE (gancho de 180°)",IF(AND(1.25*INDEX(TABLAS!$G$52:$G$58,MATCH(MAX(BM37,CC37),TABLAS!$B$52:$B$58,0))&lt;=(DATOS!$C$72-DATOS!$C$60),(DATOS!$C$72-DATOS!$C$60)&gt;=15,INDEX(TABLAS!$G$52:$G$58,MATCH(MAX(BU37,CK37),TABLAS!$B$52:$B$58,0))&lt;=(DATOS!$C$72-DATOS!$C$60)),"NO CUMPLE: el gancho de 180° (8·d_b) no cabe en el peralte de la dala de borde","NO CUMPLE: dala de borde ≥ "&amp;TEXT(CEILING(MAX(1.25*INDEX(TABLAS!$G$52:$G$58,MATCH(MAX(BM37,CC37),TABLAS!$B$52:$B$58,0)),15,INDEX(TABLAS!$G$52:$G$58,MATCH(MAX(BU37,CK37),TABLAS!$B$52:$B$58,0)))+DATOS!$C$60,5),"0")&amp;" cm de ancho"&amp;IF(8*INDEX(TABLAS!$C$52:$C$58,MATCH(MAX(MAX(BM37,CC37),MAX(BU37,CK37)),TABLAS!$B$52:$B$58,0))&lt;=DATOS!$C$73-2*DATOS!$C$60,""," y más peralte para el gancho")))))</f>
        <v/>
      </c>
      <c r="DG37" s="59" t="str">
        <f>IF(U37&lt;&gt;"SÍ","",MAX(0,INT((E37*100-DATOS!$C$84+DATOS!$C$83-IF(W37="X",DATOS!$C$78,AD37))/DATOS!$C$83)))</f>
        <v/>
      </c>
      <c r="DH37" s="59" t="str">
        <f>IF(U37&lt;&gt;"SÍ","",MAX(0,INT((F37*100-DATOS!$C$84+DATOS!$C$83-IF(W37="Y",DATOS!$C$78,AD37))/DATOS!$C$83)))</f>
        <v/>
      </c>
      <c r="DI37" s="57" t="str">
        <f>IF(U37&lt;&gt;"SÍ","",IF(DG37&gt;0,(E37*100-DATOS!$C$84-(DG37*IF(W37="X",DATOS!$C$78,AD37)+(DG37-1)*(DATOS!$C$83-IF(W37="X",DATOS!$C$78,AD37))))/2,E37*100/2))</f>
        <v/>
      </c>
      <c r="DJ37" s="57" t="str">
        <f>IF(U37&lt;&gt;"SÍ","",IF(DH37&gt;0,(F37*100-DATOS!$C$84-(DH37*IF(W37="Y",DATOS!$C$78,AD37)+(DH37-1)*(DATOS!$C$83-IF(W37="Y",DATOS!$C$78,AD37))))/2,F37*100/2))</f>
        <v/>
      </c>
      <c r="DK37" s="59" t="str">
        <f>IF(U37&lt;&gt;"SÍ","",IF(NOT(AND(C37="VOLADO",AC37&gt;DATOS!$C$80)),0,IF(INDEX(TABLAS!$C$52:$C$58,MATCH(BU37,TABLAS!$B$52:$B$58,0))&lt;=DATOS!$C$80-2*DATOS!$C$60,1,0)))</f>
        <v/>
      </c>
      <c r="DL37" s="58" t="str">
        <f>IF(U37&lt;&gt;"SÍ","",IF(NOT(AND(C37="VOLADO",AC37&gt;DATOS!$C$80)),0,((DATOS!$C$82-MAX(DATOS!$C$60,(DATOS!$C$81-2*DATOS!$C$94)/2)-2*DATOS!$C$94-INDEX(TABLAS!$C$52:$C$58,MATCH(BU37,TABLAS!$B$52:$B$58,0))/2)-IF(AND((DATOS!$C$82-MAX(DATOS!$C$60,(DATOS!$C$81-2*DATOS!$C$94)/2)-2*DATOS!$C$94-INDEX(TABLAS!$C$52:$C$58,MATCH(BU37,TABLAS!$B$52:$B$58,0))/2)&lt;=20,DATOS!$C$62&lt;&gt;"SÍ"),2,0))))</f>
        <v/>
      </c>
      <c r="DM37" s="56" t="str">
        <f>IF(U37&lt;&gt;"SÍ","",IF(OR(NOT(AND(C37="VOLADO",AC37&gt;DATOS!$C$80)),DK37&lt;1),0,IF(0.003*(DL37-((DK37*INDEX(TABLAS!$D$52:$D$58,MATCH(BU37,TABLAS!$B$52:$B$58,0)))*DATOS!$C$14/(DATOS!$C$21*AF37)/DATOS!$C$22))/((DK37*INDEX(TABLAS!$D$52:$D$58,MATCH(BU37,TABLAS!$B$52:$B$58,0)))*DATOS!$C$14/(DATOS!$C$21*AF37)/DATOS!$C$22)&lt;0.005,0,DATOS!$C$29*(DK37*INDEX(TABLAS!$D$52:$D$58,MATCH(BU37,TABLAS!$B$52:$B$58,0)))*DATOS!$C$14*(DL37-(DK37*INDEX(TABLAS!$D$52:$D$58,MATCH(BU37,TABLAS!$B$52:$B$58,0)))*DATOS!$C$14/(DATOS!$C$21*AF37)/2)/1E5)))</f>
        <v/>
      </c>
      <c r="DN37" s="56" t="str">
        <f>IF(U37&lt;&gt;"SÍ","",IF(OR(NOT(AND(C37="VOLADO",AC37&gt;DATOS!$C$80)),DK37&lt;1),0,DATOS!$C$30*2*MIN(1,SQRT(2/(1+0.04*DL37)))*((DK37*INDEX(TABLAS!$D$52:$D$58,MATCH(BU37,TABLAS!$B$52:$B$58,0)))/(AF37*DL37))^(1/3)*SQRT(DATOS!$C$13)*AF37*DL37/1000))</f>
        <v/>
      </c>
      <c r="DO37" s="56" t="str">
        <f>IF(U37&lt;&gt;"SÍ","",IF(NOT(AND(C37="VOLADO",AC37&gt;DATOS!$C$80)),0,IF((BG37-DM37)&lt;=0,0,IF(DM37&lt;=0,IF(ISNUMBER(P37),P37,X37),IF(((0.9*DATOS!$C$87*DATOS!$C$83/100/1000)*IF(ISNUMBER(P37),P37,X37)/2+BG37/IF(ISNUMBER(P37),P37,X37))^2-4*((0.9*DATOS!$C$87*DATOS!$C$83/100/1000)/2)*(BG37-DM37)&lt;0,IF(ISNUMBER(P37),P37,X37),MIN(IF(ISNUMBER(P37),P37,X37),(((0.9*DATOS!$C$87*DATOS!$C$83/100/1000)*IF(ISNUMBER(P37),P37,X37)/2+BG37/IF(ISNUMBER(P37),P37,X37))-SQRT(((0.9*DATOS!$C$87*DATOS!$C$83/100/1000)*IF(ISNUMBER(P37),P37,X37)/2+BG37/IF(ISNUMBER(P37),P37,X37))^2-4*((0.9*DATOS!$C$87*DATOS!$C$83/100/1000)/2)*(BG37-DM37)))/(2*((0.9*DATOS!$C$87*DATOS!$C$83/100/1000)/2))))))))</f>
        <v/>
      </c>
      <c r="DP37" s="56" t="str">
        <f>IF(U37&lt;&gt;"SÍ","",IF(NOT(AND(C37="VOLADO",AC37&gt;DATOS!$C$80)),0,MIN(IF(ISNUMBER(P37),P37,X37),MAX(0,IF(ISNUMBER(P37),P37,X37)/2+BG37/IF(ISNUMBER(P37),P37,X37)/(AQ37*DATOS!$C$83/100/1000)-DN37/(AQ37*DATOS!$C$83/100/1000)))))</f>
        <v/>
      </c>
      <c r="DQ37" s="56" t="str">
        <f>IF(U37&lt;&gt;"SÍ","",IF(NOT(AND(C37="VOLADO",AC37&gt;DATOS!$C$80)),0,BG37/IF(ISNUMBER(P37),P37,X37)+(AQ37*DATOS!$C$83/100/1000)*MAX(0,IF(ISNUMBER(P37),P37,X37)/2-BW37/100)))</f>
        <v/>
      </c>
      <c r="DR37" s="59" t="str">
        <f>IF(U37&lt;&gt;"SÍ","",IF(NOT(AND(C37="VOLADO",AC37&gt;DATOS!$C$80)),0,CEILING(100*MIN(IF(ISNUMBER(P37),P37,X37),MAX(IF(DO37&gt;0,DO37+IF(BV37&gt;=2,MAX(DL37,12*INDEX(TABLAS!$C$52:$C$58,MATCH(BU37,TABLAS!$B$52:$B$58,0)))/100,0),0),DP37,IF(BV37&gt;=2,INDEX(TABLAS!$F$52:$F$58,MATCH(BU37,TABLAS!$B$52:$B$58,0))/100,0))),5)))</f>
        <v/>
      </c>
      <c r="DS37" s="60" t="str">
        <f>IF(U37&lt;&gt;"SÍ","",IF(NOT(AND(C37="VOLADO",AC37&gt;DATOS!$C$80)),0,IF(DR37&lt;=0,0,CEILING(DR37/DATOS!$C$83,1))))</f>
        <v/>
      </c>
      <c r="DT37" s="61" t="str">
        <f>IF(U37&lt;&gt;"SÍ","",IF(C37&lt;&gt;"VOLADO","—",IF(AC37&lt;=DATOS!$C$80,"— (mismo b_w que el respaldo)",IF(DQ37&gt;CR37,"NO CUMPLE: cortante de la nervadura ancha junto al apoyo ("&amp;TEXT(DQ37,"0.00")&amp;" &gt; "&amp;TEXT(CR37,"0.00")&amp;" t)",IF(DR37&gt;=100*IF(ISNUMBER(P37),P37,X37),"CUMPLE — todas las nervaduras del respaldo ‖ al volado con b_w = "&amp;AC37&amp;" cm","CUMPLE — "&amp;DS37&amp;" hilera(s) del respaldo con nervaduras de b_w = "&amp;AC37&amp;" cm (casetón "&amp;AD37&amp;" cm), hasta "&amp;TEXT(DR37/100,"0.00")&amp;" m del paño")))))</f>
        <v/>
      </c>
      <c r="DU37" s="69" t="str">
        <f>IF(U37&lt;&gt;"SÍ","",IF(BN37=0,"NO ALCANZA",BN37&amp;" No. "&amp;BM37&amp;IF(BN37&gt;1," corridas"," corrida")))</f>
        <v/>
      </c>
      <c r="DV37" s="69" t="str">
        <f>IF(U37&lt;&gt;"SÍ","",IF(BV37=0,"NO ALCANZA",IF(AND(C37="VOLADO",AC37&gt;DATOS!$C$80,BV37&gt;=2),"1 No. "&amp;BU37&amp;" corrida de la orilla al respaldo ("&amp;IF(DB37&gt;=100*IF(ISNUMBER(P37),P37,X37),"hasta su apoyo lejano, con gancho","entra "&amp;TEXT(DB37/100,"0.00")&amp;" m desde el paño")&amp;") + "&amp;(BV37-1)&amp;" bastón No. "&amp;BU37&amp;" hasta "&amp;TEXT(DR37/100,"0.00")&amp;" m del paño (fin de la nervadura ancha)",IF(C37="VOLADO",BV37&amp;" No. "&amp;BU37&amp;" de la orilla al respaldo ("&amp;IF(DB37&gt;=100*IF(ISNUMBER(P37),P37,X37),"hasta su apoyo lejano, con gancho","entran "&amp;TEXT(DB37/100,"0.00")&amp;" m desde el paño")&amp;")","1 No. "&amp;BU37&amp;" corrida"&amp;IF(BV37&gt;1," + "&amp;(BV37-1)&amp;" bastón No. "&amp;BU37&amp;" L = "&amp;TEXT(DB37/100,"0.00")&amp;" m desde el paño","")))))</f>
        <v/>
      </c>
      <c r="DW37" s="69" t="str">
        <f>IF(U37&lt;&gt;"SÍ","",IF(CD37=0,"NO ALCANZA",CD37&amp;" No. "&amp;CC37&amp;IF(CD37&gt;1," corridas"," corrida")))</f>
        <v/>
      </c>
      <c r="DX37" s="69" t="str">
        <f>IF(U37&lt;&gt;"SÍ","",IF(CL37=0,"NO ALCANZA",IF(C37="VOLADO","1 No. "&amp;CK37&amp;" corrida (repartición)","1 No. "&amp;CK37&amp;" corrida"&amp;IF(CL37&gt;1," + "&amp;(CL37-1)&amp;" bastón No. "&amp;CK37&amp;" L = "&amp;TEXT(DC37/100,"0.00")&amp;" m desde el paño",""))))</f>
        <v/>
      </c>
      <c r="DY37" s="67" t="str">
        <f>IF(B37="","",IF(U37&lt;&gt;"SÍ","FALTAN DATOS: tipo, a_x, a_y y destino",IF(L37="NO MONOLÍTICO (caso II)","FUERA DE ALCANCE: caso II no transcrito",IF(AND(C37="VOLADO",V37="?"),"REVISAR: el volado lleva UN solo borde CONTINUO (el empotrado)",IF(AND(MAX(BQ37,BY37,CG37,CO37)&lt;=1,NOT(OR(BN37&gt;MIN(DATOS!$C$70,INT(((AC37-2*AJ37)+MAX(DATOS!$C$67,INDEX(TABLAS!$C$52:$C$58,MATCH(BM37,TABLAS!$B$52:$B$58,0))))/(INDEX(TABLAS!$C$52:$C$58,MATCH(BM37,TABLAS!$B$52:$B$58,0))+MAX(DATOS!$C$67,INDEX(TABLAS!$C$52:$C$58,MATCH(BM37,TABLAS!$B$52:$B$58,0)))))),BV37&gt;MIN(DATOS!$C$70,INT(((AC37-2*AK37)+MAX(DATOS!$C$67,INDEX(TABLAS!$C$52:$C$58,MATCH(BU37,TABLAS!$B$52:$B$58,0))))/(INDEX(TABLAS!$C$52:$C$58,MATCH(BU37,TABLAS!$B$52:$B$58,0))+MAX(DATOS!$C$67,INDEX(TABLAS!$C$52:$C$58,MATCH(BU37,TABLAS!$B$52:$B$58,0)))))),CD37&gt;MIN(DATOS!$C$70,INT(((DATOS!$C$80-2*AJ37)+MAX(DATOS!$C$67,INDEX(TABLAS!$C$52:$C$58,MATCH(CC37,TABLAS!$B$52:$B$58,0))))/(INDEX(TABLAS!$C$52:$C$58,MATCH(CC37,TABLAS!$B$52:$B$58,0))+MAX(DATOS!$C$67,INDEX(TABLAS!$C$52:$C$58,MATCH(CC37,TABLAS!$B$52:$B$58,0)))))),CL37&gt;MIN(DATOS!$C$70,INT(((DATOS!$C$80-2*AK37)+MAX(DATOS!$C$67,INDEX(TABLAS!$C$52:$C$58,MATCH(CK37,TABLAS!$B$52:$B$58,0))))/(INDEX(TABLAS!$C$52:$C$58,MATCH(CK37,TABLAS!$B$52:$B$58,0))+MAX(DATOS!$C$67,INDEX(TABLAS!$C$52:$C$58,MATCH(CK37,TABLAS!$B$52:$B$58,0)))))))),NOT(OR(AND(ISNUMBER(BR37),BR37&lt;0.005),AND(ISNUMBER(BZ37),BZ37&lt;0.005),AND(ISNUMBER(CH37),CH37&lt;0.005),AND(ISNUMBER(CP37),CP37&lt;0.005))),NOT(LEFT(DT37,2)="NO"),CZ37="CUMPLE",DA37="CUMPLE",LEFT(CT37,2)&lt;&gt;"NO"),IF(LEFT(CT37,6)="CUMPLE","CUMPLE","CUMPLE — "&amp;CT37)&amp;IF(LEFT(BJ37,5)="FUERA"," · fuera de 3.4.2.1 c)","")&amp;IF(LEFT(DF37,2)="NO"," · REVISAR anclaje en borde discontinuo","")&amp;IF(DS37&gt;0," · respaldo: "&amp;DS37&amp;" hilera(s) de b_w "&amp;AC37&amp;" cm",""),IF(AND(MAX(BQ37,BY37,CG37,CO37)&lt;=1,NOT(OR(BN37&gt;MIN(DATOS!$C$70,INT(((AC37-2*AJ37)+MAX(DATOS!$C$67,INDEX(TABLAS!$C$52:$C$58,MATCH(BM37,TABLAS!$B$52:$B$58,0))))/(INDEX(TABLAS!$C$52:$C$58,MATCH(BM37,TABLAS!$B$52:$B$58,0))+MAX(DATOS!$C$67,INDEX(TABLAS!$C$52:$C$58,MATCH(BM37,TABLAS!$B$52:$B$58,0)))))),BV37&gt;MIN(DATOS!$C$70,INT(((AC37-2*AK37)+MAX(DATOS!$C$67,INDEX(TABLAS!$C$52:$C$58,MATCH(BU37,TABLAS!$B$52:$B$58,0))))/(INDEX(TABLAS!$C$52:$C$58,MATCH(BU37,TABLAS!$B$52:$B$58,0))+MAX(DATOS!$C$67,INDEX(TABLAS!$C$52:$C$58,MATCH(BU37,TABLAS!$B$52:$B$58,0)))))),CD37&gt;MIN(DATOS!$C$70,INT(((DATOS!$C$80-2*AJ37)+MAX(DATOS!$C$67,INDEX(TABLAS!$C$52:$C$58,MATCH(CC37,TABLAS!$B$52:$B$58,0))))/(INDEX(TABLAS!$C$52:$C$58,MATCH(CC37,TABLAS!$B$52:$B$58,0))+MAX(DATOS!$C$67,INDEX(TABLAS!$C$52:$C$58,MATCH(CC37,TABLAS!$B$52:$B$58,0)))))),CL37&gt;MIN(DATOS!$C$70,INT(((DATOS!$C$80-2*AK37)+MAX(DATOS!$C$67,INDEX(TABLAS!$C$52:$C$58,MATCH(CK37,TABLAS!$B$52:$B$58,0))))/(INDEX(TABLAS!$C$52:$C$58,MATCH(CK37,TABLAS!$B$52:$B$58,0))+MAX(DATOS!$C$67,INDEX(TABLAS!$C$52:$C$58,MATCH(CK37,TABLAS!$B$52:$B$58,0)))))))),NOT(OR(AND(ISNUMBER(BR37),BR37&lt;0.005),AND(ISNUMBER(BZ37),BZ37&lt;0.005),AND(ISNUMBER(CH37),CH37&lt;0.005),AND(ISNUMBER(CP37),CP37&lt;0.005))),NOT(LEFT(DT37,2)="NO"),CZ37="CALCULAR FLECHA",LEFT(CT37,2)&lt;&gt;"NO"),"REVISAR: calcular flecha (h_eq &lt; h mín.)"&amp;IF(LEFT(BJ37,5)="FUERA"," · fuera de 3.4.2.1 c)","")&amp;IF(LEFT(DF37,2)="NO"," · REVISAR anclaje en borde discontinuo","")&amp;IF(DS37&gt;0," · respaldo: "&amp;DS37&amp;" hilera(s) de b_w "&amp;AC37&amp;" cm",""),"NO CUMPLE: "&amp;IF(MAX(BQ37,BY37,CG37,CO37)&gt;1,"flexión ","")&amp;IF(OR(BN37&gt;MIN(DATOS!$C$70,INT(((AC37-2*AJ37)+MAX(DATOS!$C$67,INDEX(TABLAS!$C$52:$C$58,MATCH(BM37,TABLAS!$B$52:$B$58,0))))/(INDEX(TABLAS!$C$52:$C$58,MATCH(BM37,TABLAS!$B$52:$B$58,0))+MAX(DATOS!$C$67,INDEX(TABLAS!$C$52:$C$58,MATCH(BM37,TABLAS!$B$52:$B$58,0)))))),BV37&gt;MIN(DATOS!$C$70,INT(((AC37-2*AK37)+MAX(DATOS!$C$67,INDEX(TABLAS!$C$52:$C$58,MATCH(BU37,TABLAS!$B$52:$B$58,0))))/(INDEX(TABLAS!$C$52:$C$58,MATCH(BU37,TABLAS!$B$52:$B$58,0))+MAX(DATOS!$C$67,INDEX(TABLAS!$C$52:$C$58,MATCH(BU37,TABLAS!$B$52:$B$58,0)))))),CD37&gt;MIN(DATOS!$C$70,INT(((DATOS!$C$80-2*AJ37)+MAX(DATOS!$C$67,INDEX(TABLAS!$C$52:$C$58,MATCH(CC37,TABLAS!$B$52:$B$58,0))))/(INDEX(TABLAS!$C$52:$C$58,MATCH(CC37,TABLAS!$B$52:$B$58,0))+MAX(DATOS!$C$67,INDEX(TABLAS!$C$52:$C$58,MATCH(CC37,TABLAS!$B$52:$B$58,0)))))),CL37&gt;MIN(DATOS!$C$70,INT(((DATOS!$C$80-2*AK37)+MAX(DATOS!$C$67,INDEX(TABLAS!$C$52:$C$58,MATCH(CK37,TABLAS!$B$52:$B$58,0))))/(INDEX(TABLAS!$C$52:$C$58,MATCH(CK37,TABLAS!$B$52:$B$58,0))+MAX(DATOS!$C$67,INDEX(TABLAS!$C$52:$C$58,MATCH(CK37,TABLAS!$B$52:$B$58,0))))))),"no caben ","")&amp;IF(OR(AND(ISNUMBER(BR37),BR37&lt;0.005),AND(ISNUMBER(BZ37),BZ37&lt;0.005),AND(ISNUMBER(CH37),CH37&lt;0.005),AND(ISNUMBER(CP37),CP37&lt;0.005)),"ε_t &lt; 0.005 ","")&amp;IF(LEFT(CT37,2)="NO","cortante ","")&amp;IF(CZ37="NO CUMPLE","peralte ","")&amp;IF(DA37&lt;&gt;"CUMPLE","capa &lt; 6 cm ","")&amp;IF(LEFT(DT37,2)="NO","respaldo del volado","")))))))</f>
        <v/>
      </c>
      <c r="DZ37" s="70" t="str">
        <f>IF(U37&lt;&gt;"SÍ","",IF(LEFT(B37,7)="EJEMPLO","EJEMPLO de la hoja de Casa Rocha: bórralo o sobrescríbelo. ","")&amp;IF(AND(C37="PERIMETRAL",MIN(DG37,DH37)=0),"No cabe un casetón en el claro corto: es un tablero macizo, diséñalo en MACIZAS. ","")&amp;IF(AND(AI37="NO",C37="PERIMETRAL"),"No cumple 6.7.8.1.4 (a_c = "&amp;MAX(DATOS!$C$78,AD37)&amp;" cm &gt; claro corto/6 = "&amp;TEXT(X37*100/6,"0")&amp;" cm): se diseña como losa apoyada en vigas (6.7.8.1.9): r de viga = "&amp;DATOS!$C$60&amp;" cm y V_cR sin ×1.1. Para que cuente como encasetonada: casetón de "&amp;TEXT(FLOOR(MIN(80,X37*100/6),1),"0")&amp;" cm o menor. ","")&amp;IF(C37="VOLADO","Volado de "&amp;TEXT(X37,"0.00")&amp;" m empotrado en el borde "&amp;LOWER(V37)&amp;IF(N(O37)&gt;0,", con "&amp;TEXT(O37,"0.0")&amp;" kg/m en la orilla","")&amp;". Lecho inferior con r_ext. Si la orilla carga pretil u otro elemento frágil, calcula la flecha (13.4). El acero superior entra al respaldo de "&amp;TEXT(IF(ISNUMBER(P37),P37,X37),"0.00")&amp;" m"&amp;IF(ISNUMBER(P37),""," (L_b no capturado: se tomó igual al volado)")&amp;" hasta pasar M = 0 con 0.9·PP sin carga viva; si ahí no se anula, llega al apoyo lejano y se ancla con gancho (NTC-Criterios 3.4.1 c y 5.1.2.2). "&amp;IF(AC37&gt;DATOS!$C$80,"Respaldo: "&amp;DT37&amp;". ",""),"")&amp;IF(LEFT(BJ37,5)="FUERA","El M⁻ del vecino difiere más de 50 % (3.4.2.1 c): distribuye el desequilibrio (3.4.3.1) o confirma con un modelo; se arma con el mayor. ","")&amp;IF(OR(DD37="SÍ",DE37="SÍ"),"El M⁻ del borde discontinuo pide bastón también ahí (con gancho). ","")&amp;IF(LEFT(DF37,2)="NO","Anclaje: "&amp;DF37&amp;" (6.7.8.1.7). ","")&amp;IF(OR(AZ37&gt;0,BA37&gt;0),"Esquinas exteriores sobre muro: refuerzo de esquina arriba y abajo en L_largo/5 (6.7.7.3.1). ",""))</f>
        <v/>
      </c>
    </row>
    <row r="38" ht="33" customHeight="1">
      <c r="A38" s="50">
        <f>IF(B38="",0,1)+A37</f>
        <v>4</v>
      </c>
      <c r="B38" s="29" t="n"/>
      <c r="C38" s="51" t="n"/>
      <c r="D38" s="29" t="n"/>
      <c r="E38" s="52" t="n"/>
      <c r="F38" s="52" t="n"/>
      <c r="G38" s="51" t="n"/>
      <c r="H38" s="51" t="n"/>
      <c r="I38" s="51" t="n"/>
      <c r="J38" s="51" t="n"/>
      <c r="K38" s="51" t="n"/>
      <c r="L38" s="51" t="n"/>
      <c r="M38" s="53" t="n"/>
      <c r="N38" s="53" t="n"/>
      <c r="O38" s="54" t="n"/>
      <c r="P38" s="52" t="n"/>
      <c r="Q38" s="53" t="n"/>
      <c r="R38" s="54" t="n"/>
      <c r="S38" s="52" t="n"/>
      <c r="T38" s="52" t="n"/>
      <c r="U38" s="55" t="str">
        <f>IF(B38="","",IF(AND(OR(C38="PERIMETRAL",C38="VOLADO"),ISNUMBER(E38),ISNUMBER(F38),E38&gt;0,F38&gt;0,OR(ISNUMBER(N38),ISNUMBER(MATCH(D38,DATOS!$B$46:$B$55,0)))),"SÍ","NO"))</f>
        <v/>
      </c>
      <c r="V38" s="55" t="str">
        <f>IF(U38&lt;&gt;"SÍ","",IF(C38&lt;&gt;"VOLADO","—",IF(COUNTIF(G38:J38,"CONTINUO")&lt;&gt;1,"?",IF(G38="CONTINUO","INFERIOR",IF(H38="CONTINUO","SUPERIOR",IF(I38="CONTINUO","IZQUIERDO","DERECHO"))))))</f>
        <v/>
      </c>
      <c r="W38" s="55" t="str">
        <f>IF(U38&lt;&gt;"SÍ","",IF(C38="VOLADO",IF(OR(V38="IZQUIERDO",V38="DERECHO"),"X","Y"),IF(E38&lt;=F38,"X","Y")))</f>
        <v/>
      </c>
      <c r="X38" s="56" t="str">
        <f>IF(U38&lt;&gt;"SÍ","",IF(C38="VOLADO",IF(W38="X",E38,F38),MIN(E38,F38)))</f>
        <v/>
      </c>
      <c r="Y38" s="56" t="str">
        <f>IF(U38&lt;&gt;"SÍ","",IF(C38="VOLADO",IF(W38="X",F38,E38),MAX(E38,F38)))</f>
        <v/>
      </c>
      <c r="Z38" s="56" t="str">
        <f>IF(U38&lt;&gt;"SÍ","",MIN(X38,Y38)/MAX(X38,Y38))</f>
        <v/>
      </c>
      <c r="AA38" s="57" t="str">
        <f>IF(U38&lt;&gt;"SÍ","",MAX(1,X38*100-IF(C38="VOLADO",DATOS!$C$84/2,DATOS!$C$84)))</f>
        <v/>
      </c>
      <c r="AB38" s="57" t="str">
        <f>IF(U38&lt;&gt;"SÍ","",MAX(1,Y38*100-DATOS!$C$84))</f>
        <v/>
      </c>
      <c r="AC38" s="57" t="str">
        <f>IF(U38&lt;&gt;"SÍ","",IF(ISNUMBER(Q38),Q38,DATOS!$C$80))</f>
        <v/>
      </c>
      <c r="AD38" s="57" t="str">
        <f>IF(U38&lt;&gt;"SÍ","",MAX(0,DATOS!$C$83-AC38))</f>
        <v/>
      </c>
      <c r="AE38" s="57" t="str">
        <f>IF(U38&lt;&gt;"SÍ","",IF(OR(DATOS!$C$62="SÍ",AC38&gt;=20),AC38,AC38-2))</f>
        <v/>
      </c>
      <c r="AF38" s="57" t="str">
        <f>IF(U38&lt;&gt;"SÍ","",IF(OR(DATOS!$C$62="SÍ",DATOS!$C$80&gt;=20),DATOS!$C$80,DATOS!$C$80-2))</f>
        <v/>
      </c>
      <c r="AG38" s="57" t="str">
        <f>IF(U38&lt;&gt;"SÍ","",MIN(DATOS!$C$83,AC38+2*MIN(8*DATOS!$C$81,AD38/2,AA38/8)))</f>
        <v/>
      </c>
      <c r="AH38" s="57" t="str">
        <f>IF(U38&lt;&gt;"SÍ","",MIN(DATOS!$C$83,DATOS!$C$80+2*MIN(8*DATOS!$C$81,DATOS!$C$78/2,AB38/8)))</f>
        <v/>
      </c>
      <c r="AI38" s="55" t="str">
        <f>IF(U38&lt;&gt;"SÍ","",IF(AND(C38="PERIMETRAL",X38*100&gt;=6*MAX(DATOS!$C$78,AD38),MAX(DATOS!$C$78,AD38)&lt;=80,MIN(DATOS!$C$80,AC38)&gt;=10,DATOS!$C$82&lt;=3.5*MIN(DATOS!$C$80,AC38),DATOS!$C$81&gt;=MAX(MAX(DATOS!$C$78,AD38)/13,5)),"SÍ","NO"))</f>
        <v/>
      </c>
      <c r="AJ38" s="57" t="str">
        <f>IF(U38&lt;&gt;"SÍ","",IF(C38="VOLADO",DATOS!$C$61,IF(AI38="NO",DATOS!$C$60,DATOS!$C$59)))</f>
        <v/>
      </c>
      <c r="AK38" s="57" t="str">
        <f>IF(U38&lt;&gt;"SÍ","",IF(OR(AND(AM38="SÍ",DATOS!$C$63="SÍ"),AND(C38="VOLADO",DATOS!$C$64="SÍ")),DATOS!$C$61,IF(AI38="NO",DATOS!$C$60,DATOS!$C$59)))</f>
        <v/>
      </c>
      <c r="AL38" s="58" t="str">
        <f>IF(U38&lt;&gt;"SÍ","",MAX(AK38,(DATOS!$C$81-2*DATOS!$C$94)/2))</f>
        <v/>
      </c>
      <c r="AM38" s="55" t="str">
        <f>IF(U38&lt;&gt;"SÍ","",IFERROR(INDEX(DATOS!$D$46:$D$55,MATCH(D38,DATOS!$B$46:$B$55,0)),"NO"))</f>
        <v/>
      </c>
      <c r="AN38" s="59" t="str">
        <f>IF(U38&lt;&gt;"SÍ","",IF(ISNUMBER(N38),N38,IFERROR(INDEX(DATOS!$C$46:$C$55,MATCH(D38,DATOS!$B$46:$B$55,0)),0)))</f>
        <v/>
      </c>
      <c r="AO38" s="59" t="str">
        <f>IF(U38&lt;&gt;"SÍ","",(DATOS!$C$82/100-(AD38*DATOS!$C$78/DATOS!$C$83^2)*DATOS!$C$79/100)*DATOS!$C$16*1000+(AD38*DATOS!$C$78/DATOS!$C$83^2)*DATOS!$C$79/100*DATOS!$C$17*1000+DATOS!$C$37+DATOS!$C$38)</f>
        <v/>
      </c>
      <c r="AP38" s="59" t="str">
        <f>IF(U38&lt;&gt;"SÍ","",AO38+N(M38))</f>
        <v/>
      </c>
      <c r="AQ38" s="60" t="str">
        <f>IF(U38&lt;&gt;"SÍ","",MAX(DATOS!$C$26*AP38+DATOS!$C$27*AN38,IF(AM38="SÍ",DATOS!$C$28*(AP38+DATOS!$C$41),0)))</f>
        <v/>
      </c>
      <c r="AR38" s="59" t="str">
        <f>IF(U38&lt;&gt;"SÍ","",(G38="DISCONTINUO")+(H38="DISCONTINUO")+(I38="DISCONTINUO")+(J38="DISCONTINUO"))</f>
        <v/>
      </c>
      <c r="AS38" s="59" t="str">
        <f>IF(U38&lt;&gt;"SÍ","",IF(W38="X",(G38="DISCONTINUO")+(H38="DISCONTINUO"),(I38="DISCONTINUO")+(J38="DISCONTINUO")))</f>
        <v/>
      </c>
      <c r="AT38" s="55" t="str">
        <f>IF(U38&lt;&gt;"SÍ","",IF(AR38=0,"INTERIOR",IF(AR38=1,IF(AS38=1,"BORDE-CORTO","BORDE-LARGO"),IF(AR38=2,IF(AS38=1,"ESQUINA",IF(AS38=2,"EXTREMO-LARGO","EXTREMO-CORTO")),IF(AR38=3,IF(AS38=2,"EXTREMO-LARGO","EXTREMO-CORTO"),"AISLADO")))))</f>
        <v/>
      </c>
      <c r="AU38" s="61" t="str">
        <f>IF(U38&lt;&gt;"SÍ","",IF(OR(K38="",K38="AUTO"),AT38,K38))</f>
        <v/>
      </c>
      <c r="AV38" s="59" t="str">
        <f>IF(U38&lt;&gt;"SÍ","",MATCH(Z38,TABLAS!$D$5:$J$5,1))</f>
        <v/>
      </c>
      <c r="AW38" s="58" t="str">
        <f>IF(U38&lt;&gt;"SÍ","",IF(AV38&gt;=7,0,(Z38-INDEX(TABLAS!$D$5:$J$5,AV38))/(INDEX(TABLAS!$D$5:$J$5,AV38+1)-INDEX(TABLAS!$D$5:$J$5,AV38))))</f>
        <v/>
      </c>
      <c r="AX38" s="59" t="str">
        <f>IF(U38&lt;&gt;"SÍ","",INDEX(TABLAS!$D$6:$J$47,MATCH(AU38&amp;"|NIC",TABLAS!$B$6:$B$47,0),AV38)+AW38*(INDEX(TABLAS!$D$6:$J$47,MATCH(AU38&amp;"|NIC",TABLAS!$B$6:$B$47,0),MIN(AV38+1,7))-INDEX(TABLAS!$D$6:$J$47,MATCH(AU38&amp;"|NIC",TABLAS!$B$6:$B$47,0),AV38)))</f>
        <v/>
      </c>
      <c r="AY38" s="59" t="str">
        <f>IF(U38&lt;&gt;"SÍ","",INDEX(TABLAS!$D$6:$J$47,MATCH(AU38&amp;"|NIL",TABLAS!$B$6:$B$47,0),AV38)+AW38*(INDEX(TABLAS!$D$6:$J$47,MATCH(AU38&amp;"|NIL",TABLAS!$B$6:$B$47,0),MIN(AV38+1,7))-INDEX(TABLAS!$D$6:$J$47,MATCH(AU38&amp;"|NIL",TABLAS!$B$6:$B$47,0),AV38)))</f>
        <v/>
      </c>
      <c r="AZ38" s="59" t="str">
        <f>IF(U38&lt;&gt;"SÍ","",INDEX(TABLAS!$D$6:$J$47,MATCH(AU38&amp;"|NDC",TABLAS!$B$6:$B$47,0),AV38)+AW38*(INDEX(TABLAS!$D$6:$J$47,MATCH(AU38&amp;"|NDC",TABLAS!$B$6:$B$47,0),MIN(AV38+1,7))-INDEX(TABLAS!$D$6:$J$47,MATCH(AU38&amp;"|NDC",TABLAS!$B$6:$B$47,0),AV38)))</f>
        <v/>
      </c>
      <c r="BA38" s="59" t="str">
        <f>IF(U38&lt;&gt;"SÍ","",INDEX(TABLAS!$D$6:$J$47,MATCH(AU38&amp;"|NDL",TABLAS!$B$6:$B$47,0),AV38)+AW38*(INDEX(TABLAS!$D$6:$J$47,MATCH(AU38&amp;"|NDL",TABLAS!$B$6:$B$47,0),MIN(AV38+1,7))-INDEX(TABLAS!$D$6:$J$47,MATCH(AU38&amp;"|NDL",TABLAS!$B$6:$B$47,0),AV38)))</f>
        <v/>
      </c>
      <c r="BB38" s="59" t="str">
        <f>IF(U38&lt;&gt;"SÍ","",INDEX(TABLAS!$D$6:$J$47,MATCH(AU38&amp;"|PC",TABLAS!$B$6:$B$47,0),AV38)+AW38*(INDEX(TABLAS!$D$6:$J$47,MATCH(AU38&amp;"|PC",TABLAS!$B$6:$B$47,0),MIN(AV38+1,7))-INDEX(TABLAS!$D$6:$J$47,MATCH(AU38&amp;"|PC",TABLAS!$B$6:$B$47,0),AV38)))</f>
        <v/>
      </c>
      <c r="BC38" s="59" t="str">
        <f>IF(U38&lt;&gt;"SÍ","",INDEX(TABLAS!$D$6:$J$47,MATCH(AU38&amp;"|PL",TABLAS!$B$6:$B$47,0),AV38)+AW38*(INDEX(TABLAS!$D$6:$J$47,MATCH(AU38&amp;"|PL",TABLAS!$B$6:$B$47,0),MIN(AV38+1,7))-INDEX(TABLAS!$D$6:$J$47,MATCH(AU38&amp;"|PL",TABLAS!$B$6:$B$47,0),AV38)))</f>
        <v/>
      </c>
      <c r="BD38" s="56" t="str">
        <f>IF(U38&lt;&gt;"SÍ","",IF(C38&lt;&gt;"VOLADO",0,DATOS!$C$26*DATOS!$C$16*DATOS!$C$83/100*(((AD38*DATOS!$C$78/DATOS!$C$83^2)*DATOS!$C$79/100)*(IF(W38="X",DI38,DJ38)+DATOS!$C$84/2)/100*(AA38-(IF(W38="X",DI38,DJ38)+DATOS!$C$84/2)/2)/100+((AD38*DATOS!$C$78/DATOS!$C$83^2)*DATOS!$C$79/100)*IF(W38="X",DI38,DJ38)/100*IF(W38="X",DI38,DJ38)/200)))</f>
        <v/>
      </c>
      <c r="BE38" s="56" t="str">
        <f>IF(U38&lt;&gt;"SÍ","",IF(C38&lt;&gt;"VOLADO",0,DATOS!$C$26*DATOS!$C$16*DATOS!$C$83/100*((AD38*DATOS!$C$78/DATOS!$C$83^2)*DATOS!$C$79/100)*(IF(W38="X",DI38,DJ38)+DATOS!$C$84/2)/100))</f>
        <v/>
      </c>
      <c r="BF38" s="56" t="str">
        <f>IF(U38&lt;&gt;"SÍ","",IF(C38="PERIMETRAL",BB38*AQ38*X38^2*1E-4*DATOS!$C$83/100/1000,0))</f>
        <v/>
      </c>
      <c r="BG38" s="62" t="str">
        <f>IF(U38&lt;&gt;"SÍ","",IF(C38="PERIMETRAL",MAX(MAX(AX38,AZ38)*AQ38*X38^2*1E-4*DATOS!$C$83/100/1000,N(S38)),(AQ38*(AA38/100)^2/2+DATOS!$C$26*N(O38)*AA38/100)*DATOS!$C$83/100/1000+BD38))</f>
        <v/>
      </c>
      <c r="BH38" s="56" t="str">
        <f>IF(U38&lt;&gt;"SÍ","",IF(C38="PERIMETRAL",BC38*AQ38*X38^2*1E-4*DATOS!$C$83/100/1000,0))</f>
        <v/>
      </c>
      <c r="BI38" s="56" t="str">
        <f>IF(U38&lt;&gt;"SÍ","",IF(C38="PERIMETRAL",MAX(MAX(AY38,BA38)*AQ38*X38^2*1E-4*DATOS!$C$83/100/1000,N(T38)),0))</f>
        <v/>
      </c>
      <c r="BJ38" s="63" t="str">
        <f>IF(U38&lt;&gt;"SÍ","",IF(C38&lt;&gt;"PERIMETRAL","—",IF(AND(N(S38)=0,N(T38)=0),"— (sin M⁻ del vecino)",IF(OR(AND(N(S38)&gt;0,ABS(MAX(AX38,AZ38)*AQ38*X38^2*1E-4*DATOS!$C$83/100/1000-N(S38))&gt;0.5*MIN(MAX(AX38,AZ38)*AQ38*X38^2*1E-4*DATOS!$C$83/100/1000,N(S38))),AND(N(T38)&gt;0,ABS(MAX(AY38,BA38)*AQ38*X38^2*1E-4*DATOS!$C$83/100/1000-N(T38))&gt;0.5*MIN(MAX(AY38,BA38)*AQ38*X38^2*1E-4*DATOS!$C$83/100/1000,N(T38)))),"FUERA: difieren &gt; 50 %"&amp;IF(AND(N(S38)&gt;0,ABS(MAX(AX38,AZ38)*AQ38*X38^2*1E-4*DATOS!$C$83/100/1000-N(S38))&gt;0.5*MIN(MAX(AX38,AZ38)*AQ38*X38^2*1E-4*DATOS!$C$83/100/1000,N(S38)))," ‖ corto","")&amp;IF(AND(N(T38)&gt;0,ABS(MAX(AY38,BA38)*AQ38*X38^2*1E-4*DATOS!$C$83/100/1000-N(T38))&gt;0.5*MIN(MAX(AY38,BA38)*AQ38*X38^2*1E-4*DATOS!$C$83/100/1000,N(T38)))," ‖ largo",""),"CUMPLE"))))</f>
        <v/>
      </c>
      <c r="BK38" s="58" t="str">
        <f>IF(U38&lt;&gt;"SÍ","",(DATOS!$C$82-AJ38-INDEX(TABLAS!$C$52:$C$58,MATCH(DATOS!$C$68,TABLAS!$B$52:$B$58,0))/2))</f>
        <v/>
      </c>
      <c r="BL38" s="58" t="str">
        <f>IF(U38&lt;&gt;"SÍ","",IF(IF(BF38&lt;=0,0,IF((1-2*BF38*1E5/(DATOS!$C$29*AG38*BK38^2*DATOS!$C$21))&lt;0,-1,IF((1-SQRT((1-2*BF38*1E5/(DATOS!$C$29*AG38*BK38^2*DATOS!$C$21))))*DATOS!$C$21*AG38*BK38/DATOS!$C$14&gt;DATOS!$C$99*AG38*BK38,-1,(1-SQRT((1-2*BF38*1E5/(DATOS!$C$29*AG38*BK38^2*DATOS!$C$21))))*DATOS!$C$21*AG38*BK38/DATOS!$C$14)))&lt;0,-1,MAX(IF(BF38&lt;=0,0,IF((1-2*BF38*1E5/(DATOS!$C$29*AG38*BK38^2*DATOS!$C$21))&lt;0,-1,IF((1-SQRT((1-2*BF38*1E5/(DATOS!$C$29*AG38*BK38^2*DATOS!$C$21))))*DATOS!$C$21*AG38*BK38/DATOS!$C$14&gt;DATOS!$C$99*AG38*BK38,-1,(1-SQRT((1-2*BF38*1E5/(DATOS!$C$29*AG38*BK38^2*DATOS!$C$21))))*DATOS!$C$21*AG38*BK38/DATOS!$C$14))),MIN(DATOS!$C$100*AC38*BK38,4/3*IF(BF38&lt;=0,0,IF((1-2*BF38*1E5/(DATOS!$C$29*AG38*BK38^2*DATOS!$C$21))&lt;0,-1,IF((1-SQRT((1-2*BF38*1E5/(DATOS!$C$29*AG38*BK38^2*DATOS!$C$21))))*DATOS!$C$21*AG38*BK38/DATOS!$C$14&gt;DATOS!$C$99*AG38*BK38,-1,(1-SQRT((1-2*BF38*1E5/(DATOS!$C$29*AG38*BK38^2*DATOS!$C$21))))*DATOS!$C$21*AG38*BK38/DATOS!$C$14)))))))</f>
        <v/>
      </c>
      <c r="BM38" s="64" t="str">
        <f>IF(U38&lt;&gt;"SÍ","",IF(AND(BL38&gt;=0,IF(MAX(DATOS!$C$71,CEILING(BL38/INDEX(TABLAS!$D$52:$D$58,MIN(MATCH(DATOS!$C$68,TABLAS!$B$52:$B$58,0)+0,7)),1))*INDEX(TABLAS!$D$52:$D$58,MIN(MATCH(DATOS!$C$68,TABLAS!$B$52:$B$58,0)+0,7))&gt;=4/3*IF(BF38&lt;=0,0,IF((1-2*BF38*1E5/(DATOS!$C$29*AG38*BK38^2*DATOS!$C$21))&lt;0,-1,IF((1-SQRT((1-2*BF38*1E5/(DATOS!$C$29*AG38*BK38^2*DATOS!$C$21))))*DATOS!$C$21*AG38*BK38/DATOS!$C$14&gt;DATOS!$C$99*AG38*BK38,-1,(1-SQRT((1-2*BF38*1E5/(DATOS!$C$29*AG38*BK38^2*DATOS!$C$21))))*DATOS!$C$21*AG38*BK38/DATOS!$C$14)))-0.0001,MAX(DATOS!$C$71,CEILING(BL38/INDEX(TABLAS!$D$52:$D$58,MIN(MATCH(DATOS!$C$68,TABLAS!$B$52:$B$58,0)+0,7)),1)),MAX(MAX(DATOS!$C$71,CEILING(BL38/INDEX(TABLAS!$D$52:$D$58,MIN(MATCH(DATOS!$C$68,TABLAS!$B$52:$B$58,0)+0,7)),1)),2))&lt;=MIN(DATOS!$C$70,INT(((AC38-2*AJ38)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38&gt;=0,IF(MAX(DATOS!$C$71,CEILING(BL38/INDEX(TABLAS!$D$52:$D$58,MIN(MATCH(DATOS!$C$68,TABLAS!$B$52:$B$58,0)+1,7)),1))*INDEX(TABLAS!$D$52:$D$58,MIN(MATCH(DATOS!$C$68,TABLAS!$B$52:$B$58,0)+1,7))&gt;=4/3*IF(BF38&lt;=0,0,IF((1-2*BF38*1E5/(DATOS!$C$29*AG38*BK38^2*DATOS!$C$21))&lt;0,-1,IF((1-SQRT((1-2*BF38*1E5/(DATOS!$C$29*AG38*BK38^2*DATOS!$C$21))))*DATOS!$C$21*AG38*BK38/DATOS!$C$14&gt;DATOS!$C$99*AG38*BK38,-1,(1-SQRT((1-2*BF38*1E5/(DATOS!$C$29*AG38*BK38^2*DATOS!$C$21))))*DATOS!$C$21*AG38*BK38/DATOS!$C$14)))-0.0001,MAX(DATOS!$C$71,CEILING(BL38/INDEX(TABLAS!$D$52:$D$58,MIN(MATCH(DATOS!$C$68,TABLAS!$B$52:$B$58,0)+1,7)),1)),MAX(MAX(DATOS!$C$71,CEILING(BL38/INDEX(TABLAS!$D$52:$D$58,MIN(MATCH(DATOS!$C$68,TABLAS!$B$52:$B$58,0)+1,7)),1)),2))&lt;=MIN(DATOS!$C$70,INT(((AC38-2*AJ38)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38&gt;=0,IF(MAX(DATOS!$C$71,CEILING(BL38/INDEX(TABLAS!$D$52:$D$58,MIN(MATCH(DATOS!$C$68,TABLAS!$B$52:$B$58,0)+2,7)),1))*INDEX(TABLAS!$D$52:$D$58,MIN(MATCH(DATOS!$C$68,TABLAS!$B$52:$B$58,0)+2,7))&gt;=4/3*IF(BF38&lt;=0,0,IF((1-2*BF38*1E5/(DATOS!$C$29*AG38*BK38^2*DATOS!$C$21))&lt;0,-1,IF((1-SQRT((1-2*BF38*1E5/(DATOS!$C$29*AG38*BK38^2*DATOS!$C$21))))*DATOS!$C$21*AG38*BK38/DATOS!$C$14&gt;DATOS!$C$99*AG38*BK38,-1,(1-SQRT((1-2*BF38*1E5/(DATOS!$C$29*AG38*BK38^2*DATOS!$C$21))))*DATOS!$C$21*AG38*BK38/DATOS!$C$14)))-0.0001,MAX(DATOS!$C$71,CEILING(BL38/INDEX(TABLAS!$D$52:$D$58,MIN(MATCH(DATOS!$C$68,TABLAS!$B$52:$B$58,0)+2,7)),1)),MAX(MAX(DATOS!$C$71,CEILING(BL38/INDEX(TABLAS!$D$52:$D$58,MIN(MATCH(DATOS!$C$68,TABLAS!$B$52:$B$58,0)+2,7)),1)),2))&lt;=MIN(DATOS!$C$70,INT(((AC38-2*AJ38)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38&gt;=0,IF(MAX(DATOS!$C$71,CEILING(BL38/INDEX(TABLAS!$D$52:$D$58,MIN(MATCH(DATOS!$C$68,TABLAS!$B$52:$B$58,0)+3,7)),1))*INDEX(TABLAS!$D$52:$D$58,MIN(MATCH(DATOS!$C$68,TABLAS!$B$52:$B$58,0)+3,7))&gt;=4/3*IF(BF38&lt;=0,0,IF((1-2*BF38*1E5/(DATOS!$C$29*AG38*BK38^2*DATOS!$C$21))&lt;0,-1,IF((1-SQRT((1-2*BF38*1E5/(DATOS!$C$29*AG38*BK38^2*DATOS!$C$21))))*DATOS!$C$21*AG38*BK38/DATOS!$C$14&gt;DATOS!$C$99*AG38*BK38,-1,(1-SQRT((1-2*BF38*1E5/(DATOS!$C$29*AG38*BK38^2*DATOS!$C$21))))*DATOS!$C$21*AG38*BK38/DATOS!$C$14)))-0.0001,MAX(DATOS!$C$71,CEILING(BL38/INDEX(TABLAS!$D$52:$D$58,MIN(MATCH(DATOS!$C$68,TABLAS!$B$52:$B$58,0)+3,7)),1)),MAX(MAX(DATOS!$C$71,CEILING(BL38/INDEX(TABLAS!$D$52:$D$58,MIN(MATCH(DATOS!$C$68,TABLAS!$B$52:$B$58,0)+3,7)),1)),2))&lt;=MIN(DATOS!$C$70,INT(((AC38-2*AJ38)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38&gt;=0,IF(MAX(DATOS!$C$71,CEILING(BL38/INDEX(TABLAS!$D$52:$D$58,MIN(MATCH(DATOS!$C$68,TABLAS!$B$52:$B$58,0)+4,7)),1))*INDEX(TABLAS!$D$52:$D$58,MIN(MATCH(DATOS!$C$68,TABLAS!$B$52:$B$58,0)+4,7))&gt;=4/3*IF(BF38&lt;=0,0,IF((1-2*BF38*1E5/(DATOS!$C$29*AG38*BK38^2*DATOS!$C$21))&lt;0,-1,IF((1-SQRT((1-2*BF38*1E5/(DATOS!$C$29*AG38*BK38^2*DATOS!$C$21))))*DATOS!$C$21*AG38*BK38/DATOS!$C$14&gt;DATOS!$C$99*AG38*BK38,-1,(1-SQRT((1-2*BF38*1E5/(DATOS!$C$29*AG38*BK38^2*DATOS!$C$21))))*DATOS!$C$21*AG38*BK38/DATOS!$C$14)))-0.0001,MAX(DATOS!$C$71,CEILING(BL38/INDEX(TABLAS!$D$52:$D$58,MIN(MATCH(DATOS!$C$68,TABLAS!$B$52:$B$58,0)+4,7)),1)),MAX(MAX(DATOS!$C$71,CEILING(BL38/INDEX(TABLAS!$D$52:$D$58,MIN(MATCH(DATOS!$C$68,TABLAS!$B$52:$B$58,0)+4,7)),1)),2))&lt;=MIN(DATOS!$C$70,INT(((AC38-2*AJ38)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38" s="59" t="str">
        <f>IF(U38&lt;&gt;"SÍ","",IF(BL38&lt;0,0,IF(MAX(DATOS!$C$71,CEILING(MAX(BL38,0)/INDEX(TABLAS!$D$52:$D$58,MATCH(BM38,TABLAS!$B$52:$B$58,0)),1))*INDEX(TABLAS!$D$52:$D$58,MATCH(BM38,TABLAS!$B$52:$B$58,0))&gt;=4/3*IF(BF38&lt;=0,0,IF((1-2*BF38*1E5/(DATOS!$C$29*AG38*BK38^2*DATOS!$C$21))&lt;0,-1,IF((1-SQRT((1-2*BF38*1E5/(DATOS!$C$29*AG38*BK38^2*DATOS!$C$21))))*DATOS!$C$21*AG38*BK38/DATOS!$C$14&gt;DATOS!$C$99*AG38*BK38,-1,(1-SQRT((1-2*BF38*1E5/(DATOS!$C$29*AG38*BK38^2*DATOS!$C$21))))*DATOS!$C$21*AG38*BK38/DATOS!$C$14)))-0.0001,MAX(DATOS!$C$71,CEILING(MAX(BL38,0)/INDEX(TABLAS!$D$52:$D$58,MATCH(BM38,TABLAS!$B$52:$B$58,0)),1)),MAX(MAX(DATOS!$C$71,CEILING(MAX(BL38,0)/INDEX(TABLAS!$D$52:$D$58,MATCH(BM38,TABLAS!$B$52:$B$58,0)),1)),2))))</f>
        <v/>
      </c>
      <c r="BO38" s="58" t="str">
        <f>IF(U38&lt;&gt;"SÍ","",DATOS!$C$82-AJ38-INDEX(TABLAS!$C$52:$C$58,MATCH(BM38,TABLAS!$B$52:$B$58,0))/2)</f>
        <v/>
      </c>
      <c r="BP38" s="56" t="str">
        <f>IF(U38&lt;&gt;"SÍ","",IF(BN38=0,0,DATOS!$C$29*BN38*INDEX(TABLAS!$D$52:$D$58,MATCH(BM38,TABLAS!$B$52:$B$58,0))*DATOS!$C$14*(BO38-BN38*INDEX(TABLAS!$D$52:$D$58,MATCH(BM38,TABLAS!$B$52:$B$58,0))*DATOS!$C$14/(DATOS!$C$21*AG38)/2)/1E5))</f>
        <v/>
      </c>
      <c r="BQ38" s="65" t="str">
        <f>IF(U38&lt;&gt;"SÍ","",IF(BL38&lt;0,9.99,IF(BP38&gt;0,BF38/BP38,0)))</f>
        <v/>
      </c>
      <c r="BR38" s="66" t="str">
        <f>IF(U38&lt;&gt;"SÍ","",IF(BN38=0,"—",0.003*(BO38-(BN38*INDEX(TABLAS!$D$52:$D$58,MATCH(BM38,TABLAS!$B$52:$B$58,0))*DATOS!$C$14/(DATOS!$C$21*AG38)/DATOS!$C$22))/(BN38*INDEX(TABLAS!$D$52:$D$58,MATCH(BM38,TABLAS!$B$52:$B$58,0))*DATOS!$C$14/(DATOS!$C$21*AG38)/DATOS!$C$22)))</f>
        <v/>
      </c>
      <c r="BS38" s="58" t="str">
        <f>IF(U38&lt;&gt;"SÍ","",((DATOS!$C$82-AL38-2*DATOS!$C$94-INDEX(TABLAS!$C$52:$C$58,MATCH(DATOS!$C$69,TABLAS!$B$52:$B$58,0))/2)-IF(AND((DATOS!$C$82-AL38-2*DATOS!$C$94-INDEX(TABLAS!$C$52:$C$58,MATCH(DATOS!$C$69,TABLAS!$B$52:$B$58,0))/2)&lt;=20,DATOS!$C$62&lt;&gt;"SÍ"),2,0)))</f>
        <v/>
      </c>
      <c r="BT38" s="58" t="str">
        <f>IF(U38&lt;&gt;"SÍ","",IF(IF(BG38&lt;=0,0,IF((1-2*BG38*1E5/(DATOS!$C$29*AE38*BS38^2*DATOS!$C$21))&lt;0,-1,IF((1-SQRT((1-2*BG38*1E5/(DATOS!$C$29*AE38*BS38^2*DATOS!$C$21))))*DATOS!$C$21*AE38*BS38/DATOS!$C$14&gt;DATOS!$C$99*AE38*BS38,-1,(1-SQRT((1-2*BG38*1E5/(DATOS!$C$29*AE38*BS38^2*DATOS!$C$21))))*DATOS!$C$21*AE38*BS38/DATOS!$C$14)))&lt;0,-1,MAX(IF(BG38&lt;=0,0,IF((1-2*BG38*1E5/(DATOS!$C$29*AE38*BS38^2*DATOS!$C$21))&lt;0,-1,IF((1-SQRT((1-2*BG38*1E5/(DATOS!$C$29*AE38*BS38^2*DATOS!$C$21))))*DATOS!$C$21*AE38*BS38/DATOS!$C$14&gt;DATOS!$C$99*AE38*BS38,-1,(1-SQRT((1-2*BG38*1E5/(DATOS!$C$29*AE38*BS38^2*DATOS!$C$21))))*DATOS!$C$21*AE38*BS38/DATOS!$C$14))),MIN(DATOS!$C$100*IF(C38="VOLADO",MIN(AG38,2*AC38),AC38)*BS38,4/3*IF(BG38&lt;=0,0,IF((1-2*BG38*1E5/(DATOS!$C$29*AE38*BS38^2*DATOS!$C$21))&lt;0,-1,IF((1-SQRT((1-2*BG38*1E5/(DATOS!$C$29*AE38*BS38^2*DATOS!$C$21))))*DATOS!$C$21*AE38*BS38/DATOS!$C$14&gt;DATOS!$C$99*AE38*BS38,-1,(1-SQRT((1-2*BG38*1E5/(DATOS!$C$29*AE38*BS38^2*DATOS!$C$21))))*DATOS!$C$21*AE38*BS38/DATOS!$C$14)))))))</f>
        <v/>
      </c>
      <c r="BU38" s="64" t="str">
        <f>IF(U38&lt;&gt;"SÍ","",IF(AND(BT38&gt;=0,IF(MAX(DATOS!$C$71,CEILING(BT38/INDEX(TABLAS!$D$52:$D$58,MIN(MATCH(DATOS!$C$69,TABLAS!$B$52:$B$58,0)+0,7)),1))*INDEX(TABLAS!$D$52:$D$58,MIN(MATCH(DATOS!$C$69,TABLAS!$B$52:$B$58,0)+0,7))&gt;=4/3*IF(BG38&lt;=0,0,IF((1-2*BG38*1E5/(DATOS!$C$29*AE38*BS38^2*DATOS!$C$21))&lt;0,-1,IF((1-SQRT((1-2*BG38*1E5/(DATOS!$C$29*AE38*BS38^2*DATOS!$C$21))))*DATOS!$C$21*AE38*BS38/DATOS!$C$14&gt;DATOS!$C$99*AE38*BS38,-1,(1-SQRT((1-2*BG38*1E5/(DATOS!$C$29*AE38*BS38^2*DATOS!$C$21))))*DATOS!$C$21*AE38*BS38/DATOS!$C$14)))-0.0001,MAX(DATOS!$C$71,CEILING(BT38/INDEX(TABLAS!$D$52:$D$58,MIN(MATCH(DATOS!$C$69,TABLAS!$B$52:$B$58,0)+0,7)),1)),MAX(MAX(DATOS!$C$71,CEILING(BT38/INDEX(TABLAS!$D$52:$D$58,MIN(MATCH(DATOS!$C$69,TABLAS!$B$52:$B$58,0)+0,7)),1)),2))&lt;=MIN(DATOS!$C$70,INT(((AC38-2*AK38)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38&gt;=0,IF(MAX(DATOS!$C$71,CEILING(BT38/INDEX(TABLAS!$D$52:$D$58,MIN(MATCH(DATOS!$C$69,TABLAS!$B$52:$B$58,0)+1,7)),1))*INDEX(TABLAS!$D$52:$D$58,MIN(MATCH(DATOS!$C$69,TABLAS!$B$52:$B$58,0)+1,7))&gt;=4/3*IF(BG38&lt;=0,0,IF((1-2*BG38*1E5/(DATOS!$C$29*AE38*BS38^2*DATOS!$C$21))&lt;0,-1,IF((1-SQRT((1-2*BG38*1E5/(DATOS!$C$29*AE38*BS38^2*DATOS!$C$21))))*DATOS!$C$21*AE38*BS38/DATOS!$C$14&gt;DATOS!$C$99*AE38*BS38,-1,(1-SQRT((1-2*BG38*1E5/(DATOS!$C$29*AE38*BS38^2*DATOS!$C$21))))*DATOS!$C$21*AE38*BS38/DATOS!$C$14)))-0.0001,MAX(DATOS!$C$71,CEILING(BT38/INDEX(TABLAS!$D$52:$D$58,MIN(MATCH(DATOS!$C$69,TABLAS!$B$52:$B$58,0)+1,7)),1)),MAX(MAX(DATOS!$C$71,CEILING(BT38/INDEX(TABLAS!$D$52:$D$58,MIN(MATCH(DATOS!$C$69,TABLAS!$B$52:$B$58,0)+1,7)),1)),2))&lt;=MIN(DATOS!$C$70,INT(((AC38-2*AK38)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38&gt;=0,IF(MAX(DATOS!$C$71,CEILING(BT38/INDEX(TABLAS!$D$52:$D$58,MIN(MATCH(DATOS!$C$69,TABLAS!$B$52:$B$58,0)+2,7)),1))*INDEX(TABLAS!$D$52:$D$58,MIN(MATCH(DATOS!$C$69,TABLAS!$B$52:$B$58,0)+2,7))&gt;=4/3*IF(BG38&lt;=0,0,IF((1-2*BG38*1E5/(DATOS!$C$29*AE38*BS38^2*DATOS!$C$21))&lt;0,-1,IF((1-SQRT((1-2*BG38*1E5/(DATOS!$C$29*AE38*BS38^2*DATOS!$C$21))))*DATOS!$C$21*AE38*BS38/DATOS!$C$14&gt;DATOS!$C$99*AE38*BS38,-1,(1-SQRT((1-2*BG38*1E5/(DATOS!$C$29*AE38*BS38^2*DATOS!$C$21))))*DATOS!$C$21*AE38*BS38/DATOS!$C$14)))-0.0001,MAX(DATOS!$C$71,CEILING(BT38/INDEX(TABLAS!$D$52:$D$58,MIN(MATCH(DATOS!$C$69,TABLAS!$B$52:$B$58,0)+2,7)),1)),MAX(MAX(DATOS!$C$71,CEILING(BT38/INDEX(TABLAS!$D$52:$D$58,MIN(MATCH(DATOS!$C$69,TABLAS!$B$52:$B$58,0)+2,7)),1)),2))&lt;=MIN(DATOS!$C$70,INT(((AC38-2*AK38)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38&gt;=0,IF(MAX(DATOS!$C$71,CEILING(BT38/INDEX(TABLAS!$D$52:$D$58,MIN(MATCH(DATOS!$C$69,TABLAS!$B$52:$B$58,0)+3,7)),1))*INDEX(TABLAS!$D$52:$D$58,MIN(MATCH(DATOS!$C$69,TABLAS!$B$52:$B$58,0)+3,7))&gt;=4/3*IF(BG38&lt;=0,0,IF((1-2*BG38*1E5/(DATOS!$C$29*AE38*BS38^2*DATOS!$C$21))&lt;0,-1,IF((1-SQRT((1-2*BG38*1E5/(DATOS!$C$29*AE38*BS38^2*DATOS!$C$21))))*DATOS!$C$21*AE38*BS38/DATOS!$C$14&gt;DATOS!$C$99*AE38*BS38,-1,(1-SQRT((1-2*BG38*1E5/(DATOS!$C$29*AE38*BS38^2*DATOS!$C$21))))*DATOS!$C$21*AE38*BS38/DATOS!$C$14)))-0.0001,MAX(DATOS!$C$71,CEILING(BT38/INDEX(TABLAS!$D$52:$D$58,MIN(MATCH(DATOS!$C$69,TABLAS!$B$52:$B$58,0)+3,7)),1)),MAX(MAX(DATOS!$C$71,CEILING(BT38/INDEX(TABLAS!$D$52:$D$58,MIN(MATCH(DATOS!$C$69,TABLAS!$B$52:$B$58,0)+3,7)),1)),2))&lt;=MIN(DATOS!$C$70,INT(((AC38-2*AK38)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38&gt;=0,IF(MAX(DATOS!$C$71,CEILING(BT38/INDEX(TABLAS!$D$52:$D$58,MIN(MATCH(DATOS!$C$69,TABLAS!$B$52:$B$58,0)+4,7)),1))*INDEX(TABLAS!$D$52:$D$58,MIN(MATCH(DATOS!$C$69,TABLAS!$B$52:$B$58,0)+4,7))&gt;=4/3*IF(BG38&lt;=0,0,IF((1-2*BG38*1E5/(DATOS!$C$29*AE38*BS38^2*DATOS!$C$21))&lt;0,-1,IF((1-SQRT((1-2*BG38*1E5/(DATOS!$C$29*AE38*BS38^2*DATOS!$C$21))))*DATOS!$C$21*AE38*BS38/DATOS!$C$14&gt;DATOS!$C$99*AE38*BS38,-1,(1-SQRT((1-2*BG38*1E5/(DATOS!$C$29*AE38*BS38^2*DATOS!$C$21))))*DATOS!$C$21*AE38*BS38/DATOS!$C$14)))-0.0001,MAX(DATOS!$C$71,CEILING(BT38/INDEX(TABLAS!$D$52:$D$58,MIN(MATCH(DATOS!$C$69,TABLAS!$B$52:$B$58,0)+4,7)),1)),MAX(MAX(DATOS!$C$71,CEILING(BT38/INDEX(TABLAS!$D$52:$D$58,MIN(MATCH(DATOS!$C$69,TABLAS!$B$52:$B$58,0)+4,7)),1)),2))&lt;=MIN(DATOS!$C$70,INT(((AC38-2*AK38)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38" s="59" t="str">
        <f>IF(U38&lt;&gt;"SÍ","",IF(BT38&lt;0,0,IF(MAX(DATOS!$C$71,CEILING(MAX(BT38,0)/INDEX(TABLAS!$D$52:$D$58,MATCH(BU38,TABLAS!$B$52:$B$58,0)),1))*INDEX(TABLAS!$D$52:$D$58,MATCH(BU38,TABLAS!$B$52:$B$58,0))&gt;=4/3*IF(BG38&lt;=0,0,IF((1-2*BG38*1E5/(DATOS!$C$29*AE38*BS38^2*DATOS!$C$21))&lt;0,-1,IF((1-SQRT((1-2*BG38*1E5/(DATOS!$C$29*AE38*BS38^2*DATOS!$C$21))))*DATOS!$C$21*AE38*BS38/DATOS!$C$14&gt;DATOS!$C$99*AE38*BS38,-1,(1-SQRT((1-2*BG38*1E5/(DATOS!$C$29*AE38*BS38^2*DATOS!$C$21))))*DATOS!$C$21*AE38*BS38/DATOS!$C$14)))-0.0001,MAX(DATOS!$C$71,CEILING(MAX(BT38,0)/INDEX(TABLAS!$D$52:$D$58,MATCH(BU38,TABLAS!$B$52:$B$58,0)),1)),MAX(MAX(DATOS!$C$71,CEILING(MAX(BT38,0)/INDEX(TABLAS!$D$52:$D$58,MATCH(BU38,TABLAS!$B$52:$B$58,0)),1)),2))))</f>
        <v/>
      </c>
      <c r="BW38" s="58" t="str">
        <f>IF(U38&lt;&gt;"SÍ","",((DATOS!$C$82-AL38-2*DATOS!$C$94-INDEX(TABLAS!$C$52:$C$58,MATCH(BU38,TABLAS!$B$52:$B$58,0))/2)-IF(AND((DATOS!$C$82-AL38-2*DATOS!$C$94-INDEX(TABLAS!$C$52:$C$58,MATCH(BU38,TABLAS!$B$52:$B$58,0))/2)&lt;=20,DATOS!$C$62&lt;&gt;"SÍ"),2,0)))</f>
        <v/>
      </c>
      <c r="BX38" s="56" t="str">
        <f>IF(U38&lt;&gt;"SÍ","",IF(BV38=0,0,DATOS!$C$29*BV38*INDEX(TABLAS!$D$52:$D$58,MATCH(BU38,TABLAS!$B$52:$B$58,0))*DATOS!$C$14*(BW38-BV38*INDEX(TABLAS!$D$52:$D$58,MATCH(BU38,TABLAS!$B$52:$B$58,0))*DATOS!$C$14/(DATOS!$C$21*AE38)/2)/1E5))</f>
        <v/>
      </c>
      <c r="BY38" s="65" t="str">
        <f>IF(U38&lt;&gt;"SÍ","",IF(BT38&lt;0,9.99,IF(BX38&gt;0,BG38/BX38,0)))</f>
        <v/>
      </c>
      <c r="BZ38" s="66" t="str">
        <f>IF(U38&lt;&gt;"SÍ","",IF(BV38=0,"—",0.003*(BW38-(BV38*INDEX(TABLAS!$D$52:$D$58,MATCH(BU38,TABLAS!$B$52:$B$58,0))*DATOS!$C$14/(DATOS!$C$21*AE38)/DATOS!$C$22))/(BV38*INDEX(TABLAS!$D$52:$D$58,MATCH(BU38,TABLAS!$B$52:$B$58,0))*DATOS!$C$14/(DATOS!$C$21*AE38)/DATOS!$C$22)))</f>
        <v/>
      </c>
      <c r="CA38" s="58" t="str">
        <f>IF(U38&lt;&gt;"SÍ","",(DATOS!$C$82-AJ38-INDEX(TABLAS!$C$52:$C$58,MATCH(DATOS!$C$68,TABLAS!$B$52:$B$58,0))-INDEX(TABLAS!$C$52:$C$58,MATCH(DATOS!$C$68,TABLAS!$B$52:$B$58,0))/2))</f>
        <v/>
      </c>
      <c r="CB38" s="58" t="str">
        <f>IF(U38&lt;&gt;"SÍ","",IF(IF(BH38&lt;=0,0,IF((1-2*BH38*1E5/(DATOS!$C$29*AH38*CA38^2*DATOS!$C$21))&lt;0,-1,IF((1-SQRT((1-2*BH38*1E5/(DATOS!$C$29*AH38*CA38^2*DATOS!$C$21))))*DATOS!$C$21*AH38*CA38/DATOS!$C$14&gt;DATOS!$C$99*AH38*CA38,-1,(1-SQRT((1-2*BH38*1E5/(DATOS!$C$29*AH38*CA38^2*DATOS!$C$21))))*DATOS!$C$21*AH38*CA38/DATOS!$C$14)))&lt;0,-1,MAX(IF(BH38&lt;=0,0,IF((1-2*BH38*1E5/(DATOS!$C$29*AH38*CA38^2*DATOS!$C$21))&lt;0,-1,IF((1-SQRT((1-2*BH38*1E5/(DATOS!$C$29*AH38*CA38^2*DATOS!$C$21))))*DATOS!$C$21*AH38*CA38/DATOS!$C$14&gt;DATOS!$C$99*AH38*CA38,-1,(1-SQRT((1-2*BH38*1E5/(DATOS!$C$29*AH38*CA38^2*DATOS!$C$21))))*DATOS!$C$21*AH38*CA38/DATOS!$C$14))),MIN(DATOS!$C$100*DATOS!$C$80*CA38,4/3*IF(BH38&lt;=0,0,IF((1-2*BH38*1E5/(DATOS!$C$29*AH38*CA38^2*DATOS!$C$21))&lt;0,-1,IF((1-SQRT((1-2*BH38*1E5/(DATOS!$C$29*AH38*CA38^2*DATOS!$C$21))))*DATOS!$C$21*AH38*CA38/DATOS!$C$14&gt;DATOS!$C$99*AH38*CA38,-1,(1-SQRT((1-2*BH38*1E5/(DATOS!$C$29*AH38*CA38^2*DATOS!$C$21))))*DATOS!$C$21*AH38*CA38/DATOS!$C$14)))))))</f>
        <v/>
      </c>
      <c r="CC38" s="64" t="str">
        <f>IF(U38&lt;&gt;"SÍ","",IF(AND(CB38&gt;=0,IF(MAX(DATOS!$C$71,CEILING(CB38/INDEX(TABLAS!$D$52:$D$58,MIN(MATCH(DATOS!$C$68,TABLAS!$B$52:$B$58,0)+0,7)),1))*INDEX(TABLAS!$D$52:$D$58,MIN(MATCH(DATOS!$C$68,TABLAS!$B$52:$B$58,0)+0,7))&gt;=4/3*IF(BH38&lt;=0,0,IF((1-2*BH38*1E5/(DATOS!$C$29*AH38*CA38^2*DATOS!$C$21))&lt;0,-1,IF((1-SQRT((1-2*BH38*1E5/(DATOS!$C$29*AH38*CA38^2*DATOS!$C$21))))*DATOS!$C$21*AH38*CA38/DATOS!$C$14&gt;DATOS!$C$99*AH38*CA38,-1,(1-SQRT((1-2*BH38*1E5/(DATOS!$C$29*AH38*CA38^2*DATOS!$C$21))))*DATOS!$C$21*AH38*CA38/DATOS!$C$14)))-0.0001,MAX(DATOS!$C$71,CEILING(CB38/INDEX(TABLAS!$D$52:$D$58,MIN(MATCH(DATOS!$C$68,TABLAS!$B$52:$B$58,0)+0,7)),1)),MAX(MAX(DATOS!$C$71,CEILING(CB38/INDEX(TABLAS!$D$52:$D$58,MIN(MATCH(DATOS!$C$68,TABLAS!$B$52:$B$58,0)+0,7)),1)),2))&lt;=MIN(DATOS!$C$70,INT(((DATOS!$C$80-2*AJ38)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38&gt;=0,IF(MAX(DATOS!$C$71,CEILING(CB38/INDEX(TABLAS!$D$52:$D$58,MIN(MATCH(DATOS!$C$68,TABLAS!$B$52:$B$58,0)+1,7)),1))*INDEX(TABLAS!$D$52:$D$58,MIN(MATCH(DATOS!$C$68,TABLAS!$B$52:$B$58,0)+1,7))&gt;=4/3*IF(BH38&lt;=0,0,IF((1-2*BH38*1E5/(DATOS!$C$29*AH38*CA38^2*DATOS!$C$21))&lt;0,-1,IF((1-SQRT((1-2*BH38*1E5/(DATOS!$C$29*AH38*CA38^2*DATOS!$C$21))))*DATOS!$C$21*AH38*CA38/DATOS!$C$14&gt;DATOS!$C$99*AH38*CA38,-1,(1-SQRT((1-2*BH38*1E5/(DATOS!$C$29*AH38*CA38^2*DATOS!$C$21))))*DATOS!$C$21*AH38*CA38/DATOS!$C$14)))-0.0001,MAX(DATOS!$C$71,CEILING(CB38/INDEX(TABLAS!$D$52:$D$58,MIN(MATCH(DATOS!$C$68,TABLAS!$B$52:$B$58,0)+1,7)),1)),MAX(MAX(DATOS!$C$71,CEILING(CB38/INDEX(TABLAS!$D$52:$D$58,MIN(MATCH(DATOS!$C$68,TABLAS!$B$52:$B$58,0)+1,7)),1)),2))&lt;=MIN(DATOS!$C$70,INT(((DATOS!$C$80-2*AJ38)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38&gt;=0,IF(MAX(DATOS!$C$71,CEILING(CB38/INDEX(TABLAS!$D$52:$D$58,MIN(MATCH(DATOS!$C$68,TABLAS!$B$52:$B$58,0)+2,7)),1))*INDEX(TABLAS!$D$52:$D$58,MIN(MATCH(DATOS!$C$68,TABLAS!$B$52:$B$58,0)+2,7))&gt;=4/3*IF(BH38&lt;=0,0,IF((1-2*BH38*1E5/(DATOS!$C$29*AH38*CA38^2*DATOS!$C$21))&lt;0,-1,IF((1-SQRT((1-2*BH38*1E5/(DATOS!$C$29*AH38*CA38^2*DATOS!$C$21))))*DATOS!$C$21*AH38*CA38/DATOS!$C$14&gt;DATOS!$C$99*AH38*CA38,-1,(1-SQRT((1-2*BH38*1E5/(DATOS!$C$29*AH38*CA38^2*DATOS!$C$21))))*DATOS!$C$21*AH38*CA38/DATOS!$C$14)))-0.0001,MAX(DATOS!$C$71,CEILING(CB38/INDEX(TABLAS!$D$52:$D$58,MIN(MATCH(DATOS!$C$68,TABLAS!$B$52:$B$58,0)+2,7)),1)),MAX(MAX(DATOS!$C$71,CEILING(CB38/INDEX(TABLAS!$D$52:$D$58,MIN(MATCH(DATOS!$C$68,TABLAS!$B$52:$B$58,0)+2,7)),1)),2))&lt;=MIN(DATOS!$C$70,INT(((DATOS!$C$80-2*AJ38)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38&gt;=0,IF(MAX(DATOS!$C$71,CEILING(CB38/INDEX(TABLAS!$D$52:$D$58,MIN(MATCH(DATOS!$C$68,TABLAS!$B$52:$B$58,0)+3,7)),1))*INDEX(TABLAS!$D$52:$D$58,MIN(MATCH(DATOS!$C$68,TABLAS!$B$52:$B$58,0)+3,7))&gt;=4/3*IF(BH38&lt;=0,0,IF((1-2*BH38*1E5/(DATOS!$C$29*AH38*CA38^2*DATOS!$C$21))&lt;0,-1,IF((1-SQRT((1-2*BH38*1E5/(DATOS!$C$29*AH38*CA38^2*DATOS!$C$21))))*DATOS!$C$21*AH38*CA38/DATOS!$C$14&gt;DATOS!$C$99*AH38*CA38,-1,(1-SQRT((1-2*BH38*1E5/(DATOS!$C$29*AH38*CA38^2*DATOS!$C$21))))*DATOS!$C$21*AH38*CA38/DATOS!$C$14)))-0.0001,MAX(DATOS!$C$71,CEILING(CB38/INDEX(TABLAS!$D$52:$D$58,MIN(MATCH(DATOS!$C$68,TABLAS!$B$52:$B$58,0)+3,7)),1)),MAX(MAX(DATOS!$C$71,CEILING(CB38/INDEX(TABLAS!$D$52:$D$58,MIN(MATCH(DATOS!$C$68,TABLAS!$B$52:$B$58,0)+3,7)),1)),2))&lt;=MIN(DATOS!$C$70,INT(((DATOS!$C$80-2*AJ38)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38&gt;=0,IF(MAX(DATOS!$C$71,CEILING(CB38/INDEX(TABLAS!$D$52:$D$58,MIN(MATCH(DATOS!$C$68,TABLAS!$B$52:$B$58,0)+4,7)),1))*INDEX(TABLAS!$D$52:$D$58,MIN(MATCH(DATOS!$C$68,TABLAS!$B$52:$B$58,0)+4,7))&gt;=4/3*IF(BH38&lt;=0,0,IF((1-2*BH38*1E5/(DATOS!$C$29*AH38*CA38^2*DATOS!$C$21))&lt;0,-1,IF((1-SQRT((1-2*BH38*1E5/(DATOS!$C$29*AH38*CA38^2*DATOS!$C$21))))*DATOS!$C$21*AH38*CA38/DATOS!$C$14&gt;DATOS!$C$99*AH38*CA38,-1,(1-SQRT((1-2*BH38*1E5/(DATOS!$C$29*AH38*CA38^2*DATOS!$C$21))))*DATOS!$C$21*AH38*CA38/DATOS!$C$14)))-0.0001,MAX(DATOS!$C$71,CEILING(CB38/INDEX(TABLAS!$D$52:$D$58,MIN(MATCH(DATOS!$C$68,TABLAS!$B$52:$B$58,0)+4,7)),1)),MAX(MAX(DATOS!$C$71,CEILING(CB38/INDEX(TABLAS!$D$52:$D$58,MIN(MATCH(DATOS!$C$68,TABLAS!$B$52:$B$58,0)+4,7)),1)),2))&lt;=MIN(DATOS!$C$70,INT(((DATOS!$C$80-2*AJ38)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38" s="59" t="str">
        <f>IF(U38&lt;&gt;"SÍ","",IF(CB38&lt;0,0,IF(MAX(DATOS!$C$71,CEILING(MAX(CB38,0)/INDEX(TABLAS!$D$52:$D$58,MATCH(CC38,TABLAS!$B$52:$B$58,0)),1))*INDEX(TABLAS!$D$52:$D$58,MATCH(CC38,TABLAS!$B$52:$B$58,0))&gt;=4/3*IF(BH38&lt;=0,0,IF((1-2*BH38*1E5/(DATOS!$C$29*AH38*CA38^2*DATOS!$C$21))&lt;0,-1,IF((1-SQRT((1-2*BH38*1E5/(DATOS!$C$29*AH38*CA38^2*DATOS!$C$21))))*DATOS!$C$21*AH38*CA38/DATOS!$C$14&gt;DATOS!$C$99*AH38*CA38,-1,(1-SQRT((1-2*BH38*1E5/(DATOS!$C$29*AH38*CA38^2*DATOS!$C$21))))*DATOS!$C$21*AH38*CA38/DATOS!$C$14)))-0.0001,MAX(DATOS!$C$71,CEILING(MAX(CB38,0)/INDEX(TABLAS!$D$52:$D$58,MATCH(CC38,TABLAS!$B$52:$B$58,0)),1)),MAX(MAX(DATOS!$C$71,CEILING(MAX(CB38,0)/INDEX(TABLAS!$D$52:$D$58,MATCH(CC38,TABLAS!$B$52:$B$58,0)),1)),2))))</f>
        <v/>
      </c>
      <c r="CE38" s="58" t="str">
        <f>IF(U38&lt;&gt;"SÍ","",DATOS!$C$82-AJ38-INDEX(TABLAS!$C$52:$C$58,MATCH(BM38,TABLAS!$B$52:$B$58,0))-INDEX(TABLAS!$C$52:$C$58,MATCH(CC38,TABLAS!$B$52:$B$58,0))/2)</f>
        <v/>
      </c>
      <c r="CF38" s="56" t="str">
        <f>IF(U38&lt;&gt;"SÍ","",IF(CD38=0,0,DATOS!$C$29*CD38*INDEX(TABLAS!$D$52:$D$58,MATCH(CC38,TABLAS!$B$52:$B$58,0))*DATOS!$C$14*(CE38-CD38*INDEX(TABLAS!$D$52:$D$58,MATCH(CC38,TABLAS!$B$52:$B$58,0))*DATOS!$C$14/(DATOS!$C$21*AH38)/2)/1E5))</f>
        <v/>
      </c>
      <c r="CG38" s="65" t="str">
        <f>IF(U38&lt;&gt;"SÍ","",IF(CB38&lt;0,9.99,IF(CF38&gt;0,BH38/CF38,0)))</f>
        <v/>
      </c>
      <c r="CH38" s="66" t="str">
        <f>IF(U38&lt;&gt;"SÍ","",IF(CD38=0,"—",0.003*(CE38-(CD38*INDEX(TABLAS!$D$52:$D$58,MATCH(CC38,TABLAS!$B$52:$B$58,0))*DATOS!$C$14/(DATOS!$C$21*AH38)/DATOS!$C$22))/(CD38*INDEX(TABLAS!$D$52:$D$58,MATCH(CC38,TABLAS!$B$52:$B$58,0))*DATOS!$C$14/(DATOS!$C$21*AH38)/DATOS!$C$22)))</f>
        <v/>
      </c>
      <c r="CI38" s="58" t="str">
        <f>IF(U38&lt;&gt;"SÍ","",((DATOS!$C$82-AL38-2*DATOS!$C$94-INDEX(TABLAS!$C$52:$C$58,MATCH(DATOS!$C$69,TABLAS!$B$52:$B$58,0))-INDEX(TABLAS!$C$52:$C$58,MATCH(DATOS!$C$69,TABLAS!$B$52:$B$58,0))/2)-IF(AND((DATOS!$C$82-AL38-2*DATOS!$C$94-INDEX(TABLAS!$C$52:$C$58,MATCH(DATOS!$C$69,TABLAS!$B$52:$B$58,0))-INDEX(TABLAS!$C$52:$C$58,MATCH(DATOS!$C$69,TABLAS!$B$52:$B$58,0))/2)&lt;=20,DATOS!$C$62&lt;&gt;"SÍ"),2,0)))</f>
        <v/>
      </c>
      <c r="CJ38" s="58" t="str">
        <f>IF(U38&lt;&gt;"SÍ","",IF(IF(BI38&lt;=0,0,IF((1-2*BI38*1E5/(DATOS!$C$29*AF38*CI38^2*DATOS!$C$21))&lt;0,-1,IF((1-SQRT((1-2*BI38*1E5/(DATOS!$C$29*AF38*CI38^2*DATOS!$C$21))))*DATOS!$C$21*AF38*CI38/DATOS!$C$14&gt;DATOS!$C$99*AF38*CI38,-1,(1-SQRT((1-2*BI38*1E5/(DATOS!$C$29*AF38*CI38^2*DATOS!$C$21))))*DATOS!$C$21*AF38*CI38/DATOS!$C$14)))&lt;0,-1,MAX(IF(BI38&lt;=0,0,IF((1-2*BI38*1E5/(DATOS!$C$29*AF38*CI38^2*DATOS!$C$21))&lt;0,-1,IF((1-SQRT((1-2*BI38*1E5/(DATOS!$C$29*AF38*CI38^2*DATOS!$C$21))))*DATOS!$C$21*AF38*CI38/DATOS!$C$14&gt;DATOS!$C$99*AF38*CI38,-1,(1-SQRT((1-2*BI38*1E5/(DATOS!$C$29*AF38*CI38^2*DATOS!$C$21))))*DATOS!$C$21*AF38*CI38/DATOS!$C$14))),MIN(DATOS!$C$100*DATOS!$C$80*CI38,4/3*IF(BI38&lt;=0,0,IF((1-2*BI38*1E5/(DATOS!$C$29*AF38*CI38^2*DATOS!$C$21))&lt;0,-1,IF((1-SQRT((1-2*BI38*1E5/(DATOS!$C$29*AF38*CI38^2*DATOS!$C$21))))*DATOS!$C$21*AF38*CI38/DATOS!$C$14&gt;DATOS!$C$99*AF38*CI38,-1,(1-SQRT((1-2*BI38*1E5/(DATOS!$C$29*AF38*CI38^2*DATOS!$C$21))))*DATOS!$C$21*AF38*CI38/DATOS!$C$14)))))))</f>
        <v/>
      </c>
      <c r="CK38" s="64" t="str">
        <f>IF(U38&lt;&gt;"SÍ","",IF(AND(CJ38&gt;=0,IF(MAX(DATOS!$C$71,CEILING(CJ38/INDEX(TABLAS!$D$52:$D$58,MIN(MATCH(DATOS!$C$69,TABLAS!$B$52:$B$58,0)+0,7)),1))*INDEX(TABLAS!$D$52:$D$58,MIN(MATCH(DATOS!$C$69,TABLAS!$B$52:$B$58,0)+0,7))&gt;=4/3*IF(BI38&lt;=0,0,IF((1-2*BI38*1E5/(DATOS!$C$29*AF38*CI38^2*DATOS!$C$21))&lt;0,-1,IF((1-SQRT((1-2*BI38*1E5/(DATOS!$C$29*AF38*CI38^2*DATOS!$C$21))))*DATOS!$C$21*AF38*CI38/DATOS!$C$14&gt;DATOS!$C$99*AF38*CI38,-1,(1-SQRT((1-2*BI38*1E5/(DATOS!$C$29*AF38*CI38^2*DATOS!$C$21))))*DATOS!$C$21*AF38*CI38/DATOS!$C$14)))-0.0001,MAX(DATOS!$C$71,CEILING(CJ38/INDEX(TABLAS!$D$52:$D$58,MIN(MATCH(DATOS!$C$69,TABLAS!$B$52:$B$58,0)+0,7)),1)),MAX(MAX(DATOS!$C$71,CEILING(CJ38/INDEX(TABLAS!$D$52:$D$58,MIN(MATCH(DATOS!$C$69,TABLAS!$B$52:$B$58,0)+0,7)),1)),2))&lt;=MIN(DATOS!$C$70,INT(((DATOS!$C$80-2*AK38)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38&gt;=0,IF(MAX(DATOS!$C$71,CEILING(CJ38/INDEX(TABLAS!$D$52:$D$58,MIN(MATCH(DATOS!$C$69,TABLAS!$B$52:$B$58,0)+1,7)),1))*INDEX(TABLAS!$D$52:$D$58,MIN(MATCH(DATOS!$C$69,TABLAS!$B$52:$B$58,0)+1,7))&gt;=4/3*IF(BI38&lt;=0,0,IF((1-2*BI38*1E5/(DATOS!$C$29*AF38*CI38^2*DATOS!$C$21))&lt;0,-1,IF((1-SQRT((1-2*BI38*1E5/(DATOS!$C$29*AF38*CI38^2*DATOS!$C$21))))*DATOS!$C$21*AF38*CI38/DATOS!$C$14&gt;DATOS!$C$99*AF38*CI38,-1,(1-SQRT((1-2*BI38*1E5/(DATOS!$C$29*AF38*CI38^2*DATOS!$C$21))))*DATOS!$C$21*AF38*CI38/DATOS!$C$14)))-0.0001,MAX(DATOS!$C$71,CEILING(CJ38/INDEX(TABLAS!$D$52:$D$58,MIN(MATCH(DATOS!$C$69,TABLAS!$B$52:$B$58,0)+1,7)),1)),MAX(MAX(DATOS!$C$71,CEILING(CJ38/INDEX(TABLAS!$D$52:$D$58,MIN(MATCH(DATOS!$C$69,TABLAS!$B$52:$B$58,0)+1,7)),1)),2))&lt;=MIN(DATOS!$C$70,INT(((DATOS!$C$80-2*AK38)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38&gt;=0,IF(MAX(DATOS!$C$71,CEILING(CJ38/INDEX(TABLAS!$D$52:$D$58,MIN(MATCH(DATOS!$C$69,TABLAS!$B$52:$B$58,0)+2,7)),1))*INDEX(TABLAS!$D$52:$D$58,MIN(MATCH(DATOS!$C$69,TABLAS!$B$52:$B$58,0)+2,7))&gt;=4/3*IF(BI38&lt;=0,0,IF((1-2*BI38*1E5/(DATOS!$C$29*AF38*CI38^2*DATOS!$C$21))&lt;0,-1,IF((1-SQRT((1-2*BI38*1E5/(DATOS!$C$29*AF38*CI38^2*DATOS!$C$21))))*DATOS!$C$21*AF38*CI38/DATOS!$C$14&gt;DATOS!$C$99*AF38*CI38,-1,(1-SQRT((1-2*BI38*1E5/(DATOS!$C$29*AF38*CI38^2*DATOS!$C$21))))*DATOS!$C$21*AF38*CI38/DATOS!$C$14)))-0.0001,MAX(DATOS!$C$71,CEILING(CJ38/INDEX(TABLAS!$D$52:$D$58,MIN(MATCH(DATOS!$C$69,TABLAS!$B$52:$B$58,0)+2,7)),1)),MAX(MAX(DATOS!$C$71,CEILING(CJ38/INDEX(TABLAS!$D$52:$D$58,MIN(MATCH(DATOS!$C$69,TABLAS!$B$52:$B$58,0)+2,7)),1)),2))&lt;=MIN(DATOS!$C$70,INT(((DATOS!$C$80-2*AK38)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38&gt;=0,IF(MAX(DATOS!$C$71,CEILING(CJ38/INDEX(TABLAS!$D$52:$D$58,MIN(MATCH(DATOS!$C$69,TABLAS!$B$52:$B$58,0)+3,7)),1))*INDEX(TABLAS!$D$52:$D$58,MIN(MATCH(DATOS!$C$69,TABLAS!$B$52:$B$58,0)+3,7))&gt;=4/3*IF(BI38&lt;=0,0,IF((1-2*BI38*1E5/(DATOS!$C$29*AF38*CI38^2*DATOS!$C$21))&lt;0,-1,IF((1-SQRT((1-2*BI38*1E5/(DATOS!$C$29*AF38*CI38^2*DATOS!$C$21))))*DATOS!$C$21*AF38*CI38/DATOS!$C$14&gt;DATOS!$C$99*AF38*CI38,-1,(1-SQRT((1-2*BI38*1E5/(DATOS!$C$29*AF38*CI38^2*DATOS!$C$21))))*DATOS!$C$21*AF38*CI38/DATOS!$C$14)))-0.0001,MAX(DATOS!$C$71,CEILING(CJ38/INDEX(TABLAS!$D$52:$D$58,MIN(MATCH(DATOS!$C$69,TABLAS!$B$52:$B$58,0)+3,7)),1)),MAX(MAX(DATOS!$C$71,CEILING(CJ38/INDEX(TABLAS!$D$52:$D$58,MIN(MATCH(DATOS!$C$69,TABLAS!$B$52:$B$58,0)+3,7)),1)),2))&lt;=MIN(DATOS!$C$70,INT(((DATOS!$C$80-2*AK38)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38&gt;=0,IF(MAX(DATOS!$C$71,CEILING(CJ38/INDEX(TABLAS!$D$52:$D$58,MIN(MATCH(DATOS!$C$69,TABLAS!$B$52:$B$58,0)+4,7)),1))*INDEX(TABLAS!$D$52:$D$58,MIN(MATCH(DATOS!$C$69,TABLAS!$B$52:$B$58,0)+4,7))&gt;=4/3*IF(BI38&lt;=0,0,IF((1-2*BI38*1E5/(DATOS!$C$29*AF38*CI38^2*DATOS!$C$21))&lt;0,-1,IF((1-SQRT((1-2*BI38*1E5/(DATOS!$C$29*AF38*CI38^2*DATOS!$C$21))))*DATOS!$C$21*AF38*CI38/DATOS!$C$14&gt;DATOS!$C$99*AF38*CI38,-1,(1-SQRT((1-2*BI38*1E5/(DATOS!$C$29*AF38*CI38^2*DATOS!$C$21))))*DATOS!$C$21*AF38*CI38/DATOS!$C$14)))-0.0001,MAX(DATOS!$C$71,CEILING(CJ38/INDEX(TABLAS!$D$52:$D$58,MIN(MATCH(DATOS!$C$69,TABLAS!$B$52:$B$58,0)+4,7)),1)),MAX(MAX(DATOS!$C$71,CEILING(CJ38/INDEX(TABLAS!$D$52:$D$58,MIN(MATCH(DATOS!$C$69,TABLAS!$B$52:$B$58,0)+4,7)),1)),2))&lt;=MIN(DATOS!$C$70,INT(((DATOS!$C$80-2*AK38)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38" s="59" t="str">
        <f>IF(U38&lt;&gt;"SÍ","",IF(CJ38&lt;0,0,IF(MAX(DATOS!$C$71,CEILING(MAX(CJ38,0)/INDEX(TABLAS!$D$52:$D$58,MATCH(CK38,TABLAS!$B$52:$B$58,0)),1))*INDEX(TABLAS!$D$52:$D$58,MATCH(CK38,TABLAS!$B$52:$B$58,0))&gt;=4/3*IF(BI38&lt;=0,0,IF((1-2*BI38*1E5/(DATOS!$C$29*AF38*CI38^2*DATOS!$C$21))&lt;0,-1,IF((1-SQRT((1-2*BI38*1E5/(DATOS!$C$29*AF38*CI38^2*DATOS!$C$21))))*DATOS!$C$21*AF38*CI38/DATOS!$C$14&gt;DATOS!$C$99*AF38*CI38,-1,(1-SQRT((1-2*BI38*1E5/(DATOS!$C$29*AF38*CI38^2*DATOS!$C$21))))*DATOS!$C$21*AF38*CI38/DATOS!$C$14)))-0.0001,MAX(DATOS!$C$71,CEILING(MAX(CJ38,0)/INDEX(TABLAS!$D$52:$D$58,MATCH(CK38,TABLAS!$B$52:$B$58,0)),1)),MAX(MAX(DATOS!$C$71,CEILING(MAX(CJ38,0)/INDEX(TABLAS!$D$52:$D$58,MATCH(CK38,TABLAS!$B$52:$B$58,0)),1)),2))))</f>
        <v/>
      </c>
      <c r="CM38" s="58" t="str">
        <f>IF(U38&lt;&gt;"SÍ","",((DATOS!$C$82-AL38-2*DATOS!$C$94-INDEX(TABLAS!$C$52:$C$58,MATCH(BU38,TABLAS!$B$52:$B$58,0))-INDEX(TABLAS!$C$52:$C$58,MATCH(CK38,TABLAS!$B$52:$B$58,0))/2)-IF(AND((DATOS!$C$82-AL38-2*DATOS!$C$94-INDEX(TABLAS!$C$52:$C$58,MATCH(BU38,TABLAS!$B$52:$B$58,0))-INDEX(TABLAS!$C$52:$C$58,MATCH(CK38,TABLAS!$B$52:$B$58,0))/2)&lt;=20,DATOS!$C$62&lt;&gt;"SÍ"),2,0)))</f>
        <v/>
      </c>
      <c r="CN38" s="56" t="str">
        <f>IF(U38&lt;&gt;"SÍ","",IF(CL38=0,0,DATOS!$C$29*CL38*INDEX(TABLAS!$D$52:$D$58,MATCH(CK38,TABLAS!$B$52:$B$58,0))*DATOS!$C$14*(CM38-CL38*INDEX(TABLAS!$D$52:$D$58,MATCH(CK38,TABLAS!$B$52:$B$58,0))*DATOS!$C$14/(DATOS!$C$21*AF38)/2)/1E5))</f>
        <v/>
      </c>
      <c r="CO38" s="65" t="str">
        <f>IF(U38&lt;&gt;"SÍ","",IF(CJ38&lt;0,9.99,IF(CN38&gt;0,BI38/CN38,0)))</f>
        <v/>
      </c>
      <c r="CP38" s="66" t="str">
        <f>IF(U38&lt;&gt;"SÍ","",IF(CL38=0,"—",0.003*(CM38-(CL38*INDEX(TABLAS!$D$52:$D$58,MATCH(CK38,TABLAS!$B$52:$B$58,0))*DATOS!$C$14/(DATOS!$C$21*AF38)/DATOS!$C$22))/(CL38*INDEX(TABLAS!$D$52:$D$58,MATCH(CK38,TABLAS!$B$52:$B$58,0))*DATOS!$C$14/(DATOS!$C$21*AF38)/DATOS!$C$22)))</f>
        <v/>
      </c>
      <c r="CQ38" s="56" t="str">
        <f>IF(U38&lt;&gt;"SÍ","",IF(C38="PERIMETRAL",MAX(0,(AA38/2-BW38)/100)*(0.95-0.5*Z38)*AQ38*IF(AND(AR38&gt;0,AR38&lt;4),DATOS!$C$33,1)*DATOS!$C$83/100/1000,(AQ38*MAX(0,AA38-BW38)/100+DATOS!$C$26*N(O38))*DATOS!$C$83/100/1000+BE38))</f>
        <v/>
      </c>
      <c r="CR38" s="56" t="str">
        <f>IF(U38&lt;&gt;"SÍ","",DATOS!$C$30*2*MIN(1,SQRT(2/(1+0.04*BW38)))*(BV38*INDEX(TABLAS!$D$52:$D$58,MATCH(BU38,TABLAS!$B$52:$B$58,0))/(AE38*BW38))^(1/3)*SQRT(DATOS!$C$13)*AE38*BW38*IF(AI38="SÍ",DATOS!$C$32,1)/1000)</f>
        <v/>
      </c>
      <c r="CS38" s="59" t="str">
        <f>IF(U38&lt;&gt;"SÍ","",IF(CQ38&lt;=CR38,0,CEILING(MAX(0,IF(C38="VOLADO",(AA38-((CR38-BE38)*1E5/DATOS!$C$83-DATOS!$C$26*N(O38))*100/AQ38),IF(CR38&lt;=0,AA38,AA38/2-CR38/MAX(CQ38,1E-9)*(AA38/2-BW38)))-IF(INT((X38*100-DATOS!$C$84+DATOS!$C$80)/DATOS!$C$83)&gt;0,(X38*100-DATOS!$C$84-(INT((X38*100-DATOS!$C$84+DATOS!$C$80)/DATOS!$C$83)*DATOS!$C$78+(INT((X38*100-DATOS!$C$84+DATOS!$C$80)/DATOS!$C$83)-1)*DATOS!$C$80))/2,X38*100/2))/DATOS!$C$83,1)))</f>
        <v/>
      </c>
      <c r="CT38" s="67" t="str">
        <f>IF(U38&lt;&gt;"SÍ","",IF(CQ38&lt;=CR38,"CUMPLE",IF(CS38&lt;=0,"CUMPLE (basta el macizo de orilla)",IF(CS38*DATOS!$C$83*IF(C38="VOLADO",1,2)&gt;=X38*100-DATOS!$C$84,"NO CUMPLE: no alcanza ni macizando todo","MACIZAR "&amp;CS38&amp;" hilera(s)"))))</f>
        <v/>
      </c>
      <c r="CU38" s="58" t="str">
        <f>IF(U38&lt;&gt;"SÍ","",(DATOS!$C$83*DATOS!$C$81^2/2+AC38*DATOS!$C$79*(DATOS!$C$81+DATOS!$C$79/2))/(DATOS!$C$83*DATOS!$C$81+AC38*DATOS!$C$79))</f>
        <v/>
      </c>
      <c r="CV38" s="68" t="str">
        <f>IF(U38&lt;&gt;"SÍ","",DATOS!$C$83*DATOS!$C$81^3/12+DATOS!$C$83*DATOS!$C$81*(CU38-DATOS!$C$81/2)^2+AC38*DATOS!$C$79^3/12+AC38*DATOS!$C$79*(DATOS!$C$81+DATOS!$C$79/2-CU38)^2)</f>
        <v/>
      </c>
      <c r="CW38" s="58" t="str">
        <f>IF(U38&lt;&gt;"SÍ","",(12*CV38/DATOS!$C$83)^(1/3))</f>
        <v/>
      </c>
      <c r="CX38" s="58" t="str">
        <f>IF(U38&lt;&gt;"SÍ","",IF(C38="PERIMETRAL",IF(ISNUMBER(R38),R38,DATOS!$C$101),0))</f>
        <v/>
      </c>
      <c r="CY38" s="57" t="str">
        <f>IF(U38&lt;&gt;"SÍ","",IF(C38="PERIMETRAL",IF(CX38&gt;2,MAX(9,AB38*(0.8+DATOS!$C$14/14000)/(36+9*(AB38/MAX(AA38,1)))),IF(CX38&gt;0.2,MAX(13,AB38*(0.8+DATOS!$C$14/14000)/(36+5*(AB38/MAX(AA38,1))*(CX38-0.2))),MAX(13,AB38/IF(AR38&gt;0,30,33))))*IF(AND(CX38&gt;0.2,AR38&gt;0,DATOS!$C$102="NO"),1.1,1),X38*100/8))</f>
        <v/>
      </c>
      <c r="CZ38" s="61" t="str">
        <f>IF(U38&lt;&gt;"SÍ","",IF(IF(C38="VOLADO",DATOS!$C$82,CW38)&gt;=CY38,"CUMPLE",IF(C38="VOLADO","NO CUMPLE","CALCULAR FLECHA")))</f>
        <v/>
      </c>
      <c r="DA38" s="55" t="str">
        <f>IF(U38&lt;&gt;"SÍ","",IF(DATOS!$C$81&gt;=IF(IF(C38="VOLADO",X38,Y38)&gt;=6,6,5),"CUMPLE","CAPA ≥ 6 cm"))</f>
        <v/>
      </c>
      <c r="DB38" s="60" t="str">
        <f>IF(U38&lt;&gt;"SÍ","",IF(C38="VOLADO",MIN(CEILING(IF(ISNUMBER(P38),P38,X38)*100,5),CEILING(MAX(IF((0.5*(0.9*DATOS!$C$87*DATOS!$C$83/100/1000)*IF(ISNUMBER(P38),P38,X38)+BG38/IF(ISNUMBER(P38),P38,X38))^2-4*(0.5*(0.9*DATOS!$C$87*DATOS!$C$83/100/1000))*BG38&lt;0,IF(ISNUMBER(P38),P38,X38),MIN(IF(ISNUMBER(P38),P38,X38),((0.5*(0.9*DATOS!$C$87*DATOS!$C$83/100/1000)*IF(ISNUMBER(P38),P38,X38)+BG38/IF(ISNUMBER(P38),P38,X38))-SQRT((0.5*(0.9*DATOS!$C$87*DATOS!$C$83/100/1000)*IF(ISNUMBER(P38),P38,X38)+BG38/IF(ISNUMBER(P38),P38,X38))^2-4*(0.5*(0.9*DATOS!$C$87*DATOS!$C$83/100/1000))*BG38))/(2*(0.5*(0.9*DATOS!$C$87*DATOS!$C$83/100/1000)))))*100+MAX(BW38,12*INDEX(TABLAS!$C$52:$C$58,MATCH(BU38,TABLAS!$B$52:$B$58,0)),IF(ISNUMBER(P38),P38,X38)*100/16),IF(OR(AK38&lt;INDEX(TABLAS!$C$52:$C$58,MATCH(BU38,TABLAS!$B$52:$B$58,0)),AND(BV38&gt;=2,(AC38-2*AK38-BV38*INDEX(TABLAS!$C$52:$C$58,MATCH(BU38,TABLAS!$B$52:$B$58,0)))/MAX(BV38-1,1)&lt;2*INDEX(TABLAS!$C$52:$C$58,MATCH(BU38,TABLAS!$B$52:$B$58,0)))),INDEX(TABLAS!$I$52:$I$58,MATCH(BU38,TABLAS!$B$52:$B$58,0)),INDEX(TABLAS!$F$52:$F$58,MATCH(BU38,TABLAS!$B$52:$B$58,0)))),5)),IF(((4*((BB38*AQ38*X38^2*1E-4*DATOS!$C$83/100/1000)+((MAX(AX38,AZ38)*AQ38*X38^2*1E-4*DATOS!$C$83/100/1000)+(IF(AND(AX38&gt;0,AZ38&gt;0),MIN(AX38,AZ38),MAX(AX38,AZ38))*AQ38*X38^2*1E-4*DATOS!$C$83/100/1000))/2)+BG38-(IF(AND(AX38&gt;0,AZ38&gt;0),MIN(AX38,AZ38),MAX(AX38,AZ38))*AQ38*X38^2*1E-4*DATOS!$C$83/100/1000))^2-16*((BB38*AQ38*X38^2*1E-4*DATOS!$C$83/100/1000)+((MAX(AX38,AZ38)*AQ38*X38^2*1E-4*DATOS!$C$83/100/1000)+(IF(AND(AX38&gt;0,AZ38&gt;0),MIN(AX38,AZ38),MAX(AX38,AZ38))*AQ38*X38^2*1E-4*DATOS!$C$83/100/1000))/2)*BG38)&lt;0,CEILING(AA38,5),CEILING(MAX(AA38*((4*((BB38*AQ38*X38^2*1E-4*DATOS!$C$83/100/1000)+((MAX(AX38,AZ38)*AQ38*X38^2*1E-4*DATOS!$C$83/100/1000)+(IF(AND(AX38&gt;0,AZ38&gt;0),MIN(AX38,AZ38),MAX(AX38,AZ38))*AQ38*X38^2*1E-4*DATOS!$C$83/100/1000))/2)+BG38-(IF(AND(AX38&gt;0,AZ38&gt;0),MIN(AX38,AZ38),MAX(AX38,AZ38))*AQ38*X38^2*1E-4*DATOS!$C$83/100/1000))-SQRT(MAX(0,((4*((BB38*AQ38*X38^2*1E-4*DATOS!$C$83/100/1000)+((MAX(AX38,AZ38)*AQ38*X38^2*1E-4*DATOS!$C$83/100/1000)+(IF(AND(AX38&gt;0,AZ38&gt;0),MIN(AX38,AZ38),MAX(AX38,AZ38))*AQ38*X38^2*1E-4*DATOS!$C$83/100/1000))/2)+BG38-(IF(AND(AX38&gt;0,AZ38&gt;0),MIN(AX38,AZ38),MAX(AX38,AZ38))*AQ38*X38^2*1E-4*DATOS!$C$83/100/1000))^2-16*((BB38*AQ38*X38^2*1E-4*DATOS!$C$83/100/1000)+((MAX(AX38,AZ38)*AQ38*X38^2*1E-4*DATOS!$C$83/100/1000)+(IF(AND(AX38&gt;0,AZ38&gt;0),MIN(AX38,AZ38),MAX(AX38,AZ38))*AQ38*X38^2*1E-4*DATOS!$C$83/100/1000))/2)*BG38))))/(8*MAX(((BB38*AQ38*X38^2*1E-4*DATOS!$C$83/100/1000)+((MAX(AX38,AZ38)*AQ38*X38^2*1E-4*DATOS!$C$83/100/1000)+(IF(AND(AX38&gt;0,AZ38&gt;0),MIN(AX38,AZ38),MAX(AX38,AZ38))*AQ38*X38^2*1E-4*DATOS!$C$83/100/1000))/2),1E-9))+MAX(BW38,12*INDEX(TABLAS!$C$52:$C$58,MATCH(BU38,TABLAS!$B$52:$B$58,0)),AA38/16),IF(OR(AK38&lt;INDEX(TABLAS!$C$52:$C$58,MATCH(BU38,TABLAS!$B$52:$B$58,0)),AND(BV38&gt;=2,(AC38-2*AK38-BV38*INDEX(TABLAS!$C$52:$C$58,MATCH(BU38,TABLAS!$B$52:$B$58,0)))/MAX(BV38-1,1)&lt;2*INDEX(TABLAS!$C$52:$C$58,MATCH(BU38,TABLAS!$B$52:$B$58,0)))),INDEX(TABLAS!$I$52:$I$58,MATCH(BU38,TABLAS!$B$52:$B$58,0)),INDEX(TABLAS!$F$52:$F$58,MATCH(BU38,TABLAS!$B$52:$B$58,0)))),5))))</f>
        <v/>
      </c>
      <c r="DC38" s="60" t="str">
        <f>IF(U38&lt;&gt;"SÍ","",IF(C38="VOLADO",0,IF(((4*((BC38*AQ38*X38^2*1E-4*DATOS!$C$83/100/1000)+((MAX(AY38,BA38)*AQ38*X38^2*1E-4*DATOS!$C$83/100/1000)+(IF(AND(AY38&gt;0,BA38&gt;0),MIN(AY38,BA38),MAX(AY38,BA38))*AQ38*X38^2*1E-4*DATOS!$C$83/100/1000))/2)+BI38-(IF(AND(AY38&gt;0,BA38&gt;0),MIN(AY38,BA38),MAX(AY38,BA38))*AQ38*X38^2*1E-4*DATOS!$C$83/100/1000))^2-16*((BC38*AQ38*X38^2*1E-4*DATOS!$C$83/100/1000)+((MAX(AY38,BA38)*AQ38*X38^2*1E-4*DATOS!$C$83/100/1000)+(IF(AND(AY38&gt;0,BA38&gt;0),MIN(AY38,BA38),MAX(AY38,BA38))*AQ38*X38^2*1E-4*DATOS!$C$83/100/1000))/2)*BI38)&lt;0,CEILING(AB38,5),CEILING(MAX(AB38*((4*((BC38*AQ38*X38^2*1E-4*DATOS!$C$83/100/1000)+((MAX(AY38,BA38)*AQ38*X38^2*1E-4*DATOS!$C$83/100/1000)+(IF(AND(AY38&gt;0,BA38&gt;0),MIN(AY38,BA38),MAX(AY38,BA38))*AQ38*X38^2*1E-4*DATOS!$C$83/100/1000))/2)+BI38-(IF(AND(AY38&gt;0,BA38&gt;0),MIN(AY38,BA38),MAX(AY38,BA38))*AQ38*X38^2*1E-4*DATOS!$C$83/100/1000))-SQRT(MAX(0,((4*((BC38*AQ38*X38^2*1E-4*DATOS!$C$83/100/1000)+((MAX(AY38,BA38)*AQ38*X38^2*1E-4*DATOS!$C$83/100/1000)+(IF(AND(AY38&gt;0,BA38&gt;0),MIN(AY38,BA38),MAX(AY38,BA38))*AQ38*X38^2*1E-4*DATOS!$C$83/100/1000))/2)+BI38-(IF(AND(AY38&gt;0,BA38&gt;0),MIN(AY38,BA38),MAX(AY38,BA38))*AQ38*X38^2*1E-4*DATOS!$C$83/100/1000))^2-16*((BC38*AQ38*X38^2*1E-4*DATOS!$C$83/100/1000)+((MAX(AY38,BA38)*AQ38*X38^2*1E-4*DATOS!$C$83/100/1000)+(IF(AND(AY38&gt;0,BA38&gt;0),MIN(AY38,BA38),MAX(AY38,BA38))*AQ38*X38^2*1E-4*DATOS!$C$83/100/1000))/2)*BI38))))/(8*MAX(((BC38*AQ38*X38^2*1E-4*DATOS!$C$83/100/1000)+((MAX(AY38,BA38)*AQ38*X38^2*1E-4*DATOS!$C$83/100/1000)+(IF(AND(AY38&gt;0,BA38&gt;0),MIN(AY38,BA38),MAX(AY38,BA38))*AQ38*X38^2*1E-4*DATOS!$C$83/100/1000))/2),1E-9))+MAX(CM38,12*INDEX(TABLAS!$C$52:$C$58,MATCH(CK38,TABLAS!$B$52:$B$58,0)),AB38/16),IF(OR(AK38&lt;INDEX(TABLAS!$C$52:$C$58,MATCH(CK38,TABLAS!$B$52:$B$58,0)),AND(CL38&gt;=2,(DATOS!$C$80-2*AK38-CL38*INDEX(TABLAS!$C$52:$C$58,MATCH(CK38,TABLAS!$B$52:$B$58,0)))/MAX(CL38-1,1)&lt;2*INDEX(TABLAS!$C$52:$C$58,MATCH(CK38,TABLAS!$B$52:$B$58,0)))),INDEX(TABLAS!$I$52:$I$58,MATCH(CK38,TABLAS!$B$52:$B$58,0)),INDEX(TABLAS!$F$52:$F$58,MATCH(CK38,TABLAS!$B$52:$B$58,0)))),5))))</f>
        <v/>
      </c>
      <c r="DD38" s="55" t="str">
        <f>IF(U38&lt;&gt;"SÍ","",IF(AND(C38="PERIMETRAL",BV38&gt;=2,AR38-AS38&gt;0,AZ38*AQ38*X38^2*1E-4*DATOS!$C$83/100/1000&gt;DATOS!$C$29*INDEX(TABLAS!$D$52:$D$58,MATCH(BU38,TABLAS!$B$52:$B$58,0))*DATOS!$C$14*(BW38-INDEX(TABLAS!$D$52:$D$58,MATCH(BU38,TABLAS!$B$52:$B$58,0))*DATOS!$C$14/(DATOS!$C$21*AE38)/2)/1E5),"SÍ","NO"))</f>
        <v/>
      </c>
      <c r="DE38" s="55" t="str">
        <f>IF(U38&lt;&gt;"SÍ","",IF(AND(C38="PERIMETRAL",CL38&gt;=2,AS38&gt;0,BA38*AQ38*X38^2*1E-4*DATOS!$C$83/100/1000&gt;DATOS!$C$29*INDEX(TABLAS!$D$52:$D$58,MATCH(CK38,TABLAS!$B$52:$B$58,0))*DATOS!$C$14*(CM38-INDEX(TABLAS!$D$52:$D$58,MATCH(CK38,TABLAS!$B$52:$B$58,0))*DATOS!$C$14/(DATOS!$C$21*AF38)/2)/1E5),"SÍ","NO"))</f>
        <v/>
      </c>
      <c r="DF38" s="63" t="str">
        <f>IF(U38&lt;&gt;"SÍ","",IF(OR(C38="VOLADO",AR38=0),"—",IF(AND(AND(1.25*INDEX(TABLAS!$G$52:$G$58,MATCH(MAX(BM38,CC38),TABLAS!$B$52:$B$58,0))&lt;=(DATOS!$C$72-DATOS!$C$60),(DATOS!$C$72-DATOS!$C$60)&gt;=15,INDEX(TABLAS!$G$52:$G$58,MATCH(MAX(BU38,CK38),TABLAS!$B$52:$B$58,0))&lt;=(DATOS!$C$72-DATOS!$C$60)),8*INDEX(TABLAS!$C$52:$C$58,MATCH(MAX(MAX(BM38,CC38),MAX(BU38,CK38)),TABLAS!$B$52:$B$58,0))&lt;=DATOS!$C$73-2*DATOS!$C$60),"CUMPLE (gancho de 180°)",IF(AND(1.25*INDEX(TABLAS!$G$52:$G$58,MATCH(MAX(BM38,CC38),TABLAS!$B$52:$B$58,0))&lt;=(DATOS!$C$72-DATOS!$C$60),(DATOS!$C$72-DATOS!$C$60)&gt;=15,INDEX(TABLAS!$G$52:$G$58,MATCH(MAX(BU38,CK38),TABLAS!$B$52:$B$58,0))&lt;=(DATOS!$C$72-DATOS!$C$60)),"NO CUMPLE: el gancho de 180° (8·d_b) no cabe en el peralte de la dala de borde","NO CUMPLE: dala de borde ≥ "&amp;TEXT(CEILING(MAX(1.25*INDEX(TABLAS!$G$52:$G$58,MATCH(MAX(BM38,CC38),TABLAS!$B$52:$B$58,0)),15,INDEX(TABLAS!$G$52:$G$58,MATCH(MAX(BU38,CK38),TABLAS!$B$52:$B$58,0)))+DATOS!$C$60,5),"0")&amp;" cm de ancho"&amp;IF(8*INDEX(TABLAS!$C$52:$C$58,MATCH(MAX(MAX(BM38,CC38),MAX(BU38,CK38)),TABLAS!$B$52:$B$58,0))&lt;=DATOS!$C$73-2*DATOS!$C$60,""," y más peralte para el gancho")))))</f>
        <v/>
      </c>
      <c r="DG38" s="59" t="str">
        <f>IF(U38&lt;&gt;"SÍ","",MAX(0,INT((E38*100-DATOS!$C$84+DATOS!$C$83-IF(W38="X",DATOS!$C$78,AD38))/DATOS!$C$83)))</f>
        <v/>
      </c>
      <c r="DH38" s="59" t="str">
        <f>IF(U38&lt;&gt;"SÍ","",MAX(0,INT((F38*100-DATOS!$C$84+DATOS!$C$83-IF(W38="Y",DATOS!$C$78,AD38))/DATOS!$C$83)))</f>
        <v/>
      </c>
      <c r="DI38" s="57" t="str">
        <f>IF(U38&lt;&gt;"SÍ","",IF(DG38&gt;0,(E38*100-DATOS!$C$84-(DG38*IF(W38="X",DATOS!$C$78,AD38)+(DG38-1)*(DATOS!$C$83-IF(W38="X",DATOS!$C$78,AD38))))/2,E38*100/2))</f>
        <v/>
      </c>
      <c r="DJ38" s="57" t="str">
        <f>IF(U38&lt;&gt;"SÍ","",IF(DH38&gt;0,(F38*100-DATOS!$C$84-(DH38*IF(W38="Y",DATOS!$C$78,AD38)+(DH38-1)*(DATOS!$C$83-IF(W38="Y",DATOS!$C$78,AD38))))/2,F38*100/2))</f>
        <v/>
      </c>
      <c r="DK38" s="59" t="str">
        <f>IF(U38&lt;&gt;"SÍ","",IF(NOT(AND(C38="VOLADO",AC38&gt;DATOS!$C$80)),0,IF(INDEX(TABLAS!$C$52:$C$58,MATCH(BU38,TABLAS!$B$52:$B$58,0))&lt;=DATOS!$C$80-2*DATOS!$C$60,1,0)))</f>
        <v/>
      </c>
      <c r="DL38" s="58" t="str">
        <f>IF(U38&lt;&gt;"SÍ","",IF(NOT(AND(C38="VOLADO",AC38&gt;DATOS!$C$80)),0,((DATOS!$C$82-MAX(DATOS!$C$60,(DATOS!$C$81-2*DATOS!$C$94)/2)-2*DATOS!$C$94-INDEX(TABLAS!$C$52:$C$58,MATCH(BU38,TABLAS!$B$52:$B$58,0))/2)-IF(AND((DATOS!$C$82-MAX(DATOS!$C$60,(DATOS!$C$81-2*DATOS!$C$94)/2)-2*DATOS!$C$94-INDEX(TABLAS!$C$52:$C$58,MATCH(BU38,TABLAS!$B$52:$B$58,0))/2)&lt;=20,DATOS!$C$62&lt;&gt;"SÍ"),2,0))))</f>
        <v/>
      </c>
      <c r="DM38" s="56" t="str">
        <f>IF(U38&lt;&gt;"SÍ","",IF(OR(NOT(AND(C38="VOLADO",AC38&gt;DATOS!$C$80)),DK38&lt;1),0,IF(0.003*(DL38-((DK38*INDEX(TABLAS!$D$52:$D$58,MATCH(BU38,TABLAS!$B$52:$B$58,0)))*DATOS!$C$14/(DATOS!$C$21*AF38)/DATOS!$C$22))/((DK38*INDEX(TABLAS!$D$52:$D$58,MATCH(BU38,TABLAS!$B$52:$B$58,0)))*DATOS!$C$14/(DATOS!$C$21*AF38)/DATOS!$C$22)&lt;0.005,0,DATOS!$C$29*(DK38*INDEX(TABLAS!$D$52:$D$58,MATCH(BU38,TABLAS!$B$52:$B$58,0)))*DATOS!$C$14*(DL38-(DK38*INDEX(TABLAS!$D$52:$D$58,MATCH(BU38,TABLAS!$B$52:$B$58,0)))*DATOS!$C$14/(DATOS!$C$21*AF38)/2)/1E5)))</f>
        <v/>
      </c>
      <c r="DN38" s="56" t="str">
        <f>IF(U38&lt;&gt;"SÍ","",IF(OR(NOT(AND(C38="VOLADO",AC38&gt;DATOS!$C$80)),DK38&lt;1),0,DATOS!$C$30*2*MIN(1,SQRT(2/(1+0.04*DL38)))*((DK38*INDEX(TABLAS!$D$52:$D$58,MATCH(BU38,TABLAS!$B$52:$B$58,0)))/(AF38*DL38))^(1/3)*SQRT(DATOS!$C$13)*AF38*DL38/1000))</f>
        <v/>
      </c>
      <c r="DO38" s="56" t="str">
        <f>IF(U38&lt;&gt;"SÍ","",IF(NOT(AND(C38="VOLADO",AC38&gt;DATOS!$C$80)),0,IF((BG38-DM38)&lt;=0,0,IF(DM38&lt;=0,IF(ISNUMBER(P38),P38,X38),IF(((0.9*DATOS!$C$87*DATOS!$C$83/100/1000)*IF(ISNUMBER(P38),P38,X38)/2+BG38/IF(ISNUMBER(P38),P38,X38))^2-4*((0.9*DATOS!$C$87*DATOS!$C$83/100/1000)/2)*(BG38-DM38)&lt;0,IF(ISNUMBER(P38),P38,X38),MIN(IF(ISNUMBER(P38),P38,X38),(((0.9*DATOS!$C$87*DATOS!$C$83/100/1000)*IF(ISNUMBER(P38),P38,X38)/2+BG38/IF(ISNUMBER(P38),P38,X38))-SQRT(((0.9*DATOS!$C$87*DATOS!$C$83/100/1000)*IF(ISNUMBER(P38),P38,X38)/2+BG38/IF(ISNUMBER(P38),P38,X38))^2-4*((0.9*DATOS!$C$87*DATOS!$C$83/100/1000)/2)*(BG38-DM38)))/(2*((0.9*DATOS!$C$87*DATOS!$C$83/100/1000)/2))))))))</f>
        <v/>
      </c>
      <c r="DP38" s="56" t="str">
        <f>IF(U38&lt;&gt;"SÍ","",IF(NOT(AND(C38="VOLADO",AC38&gt;DATOS!$C$80)),0,MIN(IF(ISNUMBER(P38),P38,X38),MAX(0,IF(ISNUMBER(P38),P38,X38)/2+BG38/IF(ISNUMBER(P38),P38,X38)/(AQ38*DATOS!$C$83/100/1000)-DN38/(AQ38*DATOS!$C$83/100/1000)))))</f>
        <v/>
      </c>
      <c r="DQ38" s="56" t="str">
        <f>IF(U38&lt;&gt;"SÍ","",IF(NOT(AND(C38="VOLADO",AC38&gt;DATOS!$C$80)),0,BG38/IF(ISNUMBER(P38),P38,X38)+(AQ38*DATOS!$C$83/100/1000)*MAX(0,IF(ISNUMBER(P38),P38,X38)/2-BW38/100)))</f>
        <v/>
      </c>
      <c r="DR38" s="59" t="str">
        <f>IF(U38&lt;&gt;"SÍ","",IF(NOT(AND(C38="VOLADO",AC38&gt;DATOS!$C$80)),0,CEILING(100*MIN(IF(ISNUMBER(P38),P38,X38),MAX(IF(DO38&gt;0,DO38+IF(BV38&gt;=2,MAX(DL38,12*INDEX(TABLAS!$C$52:$C$58,MATCH(BU38,TABLAS!$B$52:$B$58,0)))/100,0),0),DP38,IF(BV38&gt;=2,INDEX(TABLAS!$F$52:$F$58,MATCH(BU38,TABLAS!$B$52:$B$58,0))/100,0))),5)))</f>
        <v/>
      </c>
      <c r="DS38" s="60" t="str">
        <f>IF(U38&lt;&gt;"SÍ","",IF(NOT(AND(C38="VOLADO",AC38&gt;DATOS!$C$80)),0,IF(DR38&lt;=0,0,CEILING(DR38/DATOS!$C$83,1))))</f>
        <v/>
      </c>
      <c r="DT38" s="61" t="str">
        <f>IF(U38&lt;&gt;"SÍ","",IF(C38&lt;&gt;"VOLADO","—",IF(AC38&lt;=DATOS!$C$80,"— (mismo b_w que el respaldo)",IF(DQ38&gt;CR38,"NO CUMPLE: cortante de la nervadura ancha junto al apoyo ("&amp;TEXT(DQ38,"0.00")&amp;" &gt; "&amp;TEXT(CR38,"0.00")&amp;" t)",IF(DR38&gt;=100*IF(ISNUMBER(P38),P38,X38),"CUMPLE — todas las nervaduras del respaldo ‖ al volado con b_w = "&amp;AC38&amp;" cm","CUMPLE — "&amp;DS38&amp;" hilera(s) del respaldo con nervaduras de b_w = "&amp;AC38&amp;" cm (casetón "&amp;AD38&amp;" cm), hasta "&amp;TEXT(DR38/100,"0.00")&amp;" m del paño")))))</f>
        <v/>
      </c>
      <c r="DU38" s="69" t="str">
        <f>IF(U38&lt;&gt;"SÍ","",IF(BN38=0,"NO ALCANZA",BN38&amp;" No. "&amp;BM38&amp;IF(BN38&gt;1," corridas"," corrida")))</f>
        <v/>
      </c>
      <c r="DV38" s="69" t="str">
        <f>IF(U38&lt;&gt;"SÍ","",IF(BV38=0,"NO ALCANZA",IF(AND(C38="VOLADO",AC38&gt;DATOS!$C$80,BV38&gt;=2),"1 No. "&amp;BU38&amp;" corrida de la orilla al respaldo ("&amp;IF(DB38&gt;=100*IF(ISNUMBER(P38),P38,X38),"hasta su apoyo lejano, con gancho","entra "&amp;TEXT(DB38/100,"0.00")&amp;" m desde el paño")&amp;") + "&amp;(BV38-1)&amp;" bastón No. "&amp;BU38&amp;" hasta "&amp;TEXT(DR38/100,"0.00")&amp;" m del paño (fin de la nervadura ancha)",IF(C38="VOLADO",BV38&amp;" No. "&amp;BU38&amp;" de la orilla al respaldo ("&amp;IF(DB38&gt;=100*IF(ISNUMBER(P38),P38,X38),"hasta su apoyo lejano, con gancho","entran "&amp;TEXT(DB38/100,"0.00")&amp;" m desde el paño")&amp;")","1 No. "&amp;BU38&amp;" corrida"&amp;IF(BV38&gt;1," + "&amp;(BV38-1)&amp;" bastón No. "&amp;BU38&amp;" L = "&amp;TEXT(DB38/100,"0.00")&amp;" m desde el paño","")))))</f>
        <v/>
      </c>
      <c r="DW38" s="69" t="str">
        <f>IF(U38&lt;&gt;"SÍ","",IF(CD38=0,"NO ALCANZA",CD38&amp;" No. "&amp;CC38&amp;IF(CD38&gt;1," corridas"," corrida")))</f>
        <v/>
      </c>
      <c r="DX38" s="69" t="str">
        <f>IF(U38&lt;&gt;"SÍ","",IF(CL38=0,"NO ALCANZA",IF(C38="VOLADO","1 No. "&amp;CK38&amp;" corrida (repartición)","1 No. "&amp;CK38&amp;" corrida"&amp;IF(CL38&gt;1," + "&amp;(CL38-1)&amp;" bastón No. "&amp;CK38&amp;" L = "&amp;TEXT(DC38/100,"0.00")&amp;" m desde el paño",""))))</f>
        <v/>
      </c>
      <c r="DY38" s="67" t="str">
        <f>IF(B38="","",IF(U38&lt;&gt;"SÍ","FALTAN DATOS: tipo, a_x, a_y y destino",IF(L38="NO MONOLÍTICO (caso II)","FUERA DE ALCANCE: caso II no transcrito",IF(AND(C38="VOLADO",V38="?"),"REVISAR: el volado lleva UN solo borde CONTINUO (el empotrado)",IF(AND(MAX(BQ38,BY38,CG38,CO38)&lt;=1,NOT(OR(BN38&gt;MIN(DATOS!$C$70,INT(((AC38-2*AJ38)+MAX(DATOS!$C$67,INDEX(TABLAS!$C$52:$C$58,MATCH(BM38,TABLAS!$B$52:$B$58,0))))/(INDEX(TABLAS!$C$52:$C$58,MATCH(BM38,TABLAS!$B$52:$B$58,0))+MAX(DATOS!$C$67,INDEX(TABLAS!$C$52:$C$58,MATCH(BM38,TABLAS!$B$52:$B$58,0)))))),BV38&gt;MIN(DATOS!$C$70,INT(((AC38-2*AK38)+MAX(DATOS!$C$67,INDEX(TABLAS!$C$52:$C$58,MATCH(BU38,TABLAS!$B$52:$B$58,0))))/(INDEX(TABLAS!$C$52:$C$58,MATCH(BU38,TABLAS!$B$52:$B$58,0))+MAX(DATOS!$C$67,INDEX(TABLAS!$C$52:$C$58,MATCH(BU38,TABLAS!$B$52:$B$58,0)))))),CD38&gt;MIN(DATOS!$C$70,INT(((DATOS!$C$80-2*AJ38)+MAX(DATOS!$C$67,INDEX(TABLAS!$C$52:$C$58,MATCH(CC38,TABLAS!$B$52:$B$58,0))))/(INDEX(TABLAS!$C$52:$C$58,MATCH(CC38,TABLAS!$B$52:$B$58,0))+MAX(DATOS!$C$67,INDEX(TABLAS!$C$52:$C$58,MATCH(CC38,TABLAS!$B$52:$B$58,0)))))),CL38&gt;MIN(DATOS!$C$70,INT(((DATOS!$C$80-2*AK38)+MAX(DATOS!$C$67,INDEX(TABLAS!$C$52:$C$58,MATCH(CK38,TABLAS!$B$52:$B$58,0))))/(INDEX(TABLAS!$C$52:$C$58,MATCH(CK38,TABLAS!$B$52:$B$58,0))+MAX(DATOS!$C$67,INDEX(TABLAS!$C$52:$C$58,MATCH(CK38,TABLAS!$B$52:$B$58,0)))))))),NOT(OR(AND(ISNUMBER(BR38),BR38&lt;0.005),AND(ISNUMBER(BZ38),BZ38&lt;0.005),AND(ISNUMBER(CH38),CH38&lt;0.005),AND(ISNUMBER(CP38),CP38&lt;0.005))),NOT(LEFT(DT38,2)="NO"),CZ38="CUMPLE",DA38="CUMPLE",LEFT(CT38,2)&lt;&gt;"NO"),IF(LEFT(CT38,6)="CUMPLE","CUMPLE","CUMPLE — "&amp;CT38)&amp;IF(LEFT(BJ38,5)="FUERA"," · fuera de 3.4.2.1 c)","")&amp;IF(LEFT(DF38,2)="NO"," · REVISAR anclaje en borde discontinuo","")&amp;IF(DS38&gt;0," · respaldo: "&amp;DS38&amp;" hilera(s) de b_w "&amp;AC38&amp;" cm",""),IF(AND(MAX(BQ38,BY38,CG38,CO38)&lt;=1,NOT(OR(BN38&gt;MIN(DATOS!$C$70,INT(((AC38-2*AJ38)+MAX(DATOS!$C$67,INDEX(TABLAS!$C$52:$C$58,MATCH(BM38,TABLAS!$B$52:$B$58,0))))/(INDEX(TABLAS!$C$52:$C$58,MATCH(BM38,TABLAS!$B$52:$B$58,0))+MAX(DATOS!$C$67,INDEX(TABLAS!$C$52:$C$58,MATCH(BM38,TABLAS!$B$52:$B$58,0)))))),BV38&gt;MIN(DATOS!$C$70,INT(((AC38-2*AK38)+MAX(DATOS!$C$67,INDEX(TABLAS!$C$52:$C$58,MATCH(BU38,TABLAS!$B$52:$B$58,0))))/(INDEX(TABLAS!$C$52:$C$58,MATCH(BU38,TABLAS!$B$52:$B$58,0))+MAX(DATOS!$C$67,INDEX(TABLAS!$C$52:$C$58,MATCH(BU38,TABLAS!$B$52:$B$58,0)))))),CD38&gt;MIN(DATOS!$C$70,INT(((DATOS!$C$80-2*AJ38)+MAX(DATOS!$C$67,INDEX(TABLAS!$C$52:$C$58,MATCH(CC38,TABLAS!$B$52:$B$58,0))))/(INDEX(TABLAS!$C$52:$C$58,MATCH(CC38,TABLAS!$B$52:$B$58,0))+MAX(DATOS!$C$67,INDEX(TABLAS!$C$52:$C$58,MATCH(CC38,TABLAS!$B$52:$B$58,0)))))),CL38&gt;MIN(DATOS!$C$70,INT(((DATOS!$C$80-2*AK38)+MAX(DATOS!$C$67,INDEX(TABLAS!$C$52:$C$58,MATCH(CK38,TABLAS!$B$52:$B$58,0))))/(INDEX(TABLAS!$C$52:$C$58,MATCH(CK38,TABLAS!$B$52:$B$58,0))+MAX(DATOS!$C$67,INDEX(TABLAS!$C$52:$C$58,MATCH(CK38,TABLAS!$B$52:$B$58,0)))))))),NOT(OR(AND(ISNUMBER(BR38),BR38&lt;0.005),AND(ISNUMBER(BZ38),BZ38&lt;0.005),AND(ISNUMBER(CH38),CH38&lt;0.005),AND(ISNUMBER(CP38),CP38&lt;0.005))),NOT(LEFT(DT38,2)="NO"),CZ38="CALCULAR FLECHA",LEFT(CT38,2)&lt;&gt;"NO"),"REVISAR: calcular flecha (h_eq &lt; h mín.)"&amp;IF(LEFT(BJ38,5)="FUERA"," · fuera de 3.4.2.1 c)","")&amp;IF(LEFT(DF38,2)="NO"," · REVISAR anclaje en borde discontinuo","")&amp;IF(DS38&gt;0," · respaldo: "&amp;DS38&amp;" hilera(s) de b_w "&amp;AC38&amp;" cm",""),"NO CUMPLE: "&amp;IF(MAX(BQ38,BY38,CG38,CO38)&gt;1,"flexión ","")&amp;IF(OR(BN38&gt;MIN(DATOS!$C$70,INT(((AC38-2*AJ38)+MAX(DATOS!$C$67,INDEX(TABLAS!$C$52:$C$58,MATCH(BM38,TABLAS!$B$52:$B$58,0))))/(INDEX(TABLAS!$C$52:$C$58,MATCH(BM38,TABLAS!$B$52:$B$58,0))+MAX(DATOS!$C$67,INDEX(TABLAS!$C$52:$C$58,MATCH(BM38,TABLAS!$B$52:$B$58,0)))))),BV38&gt;MIN(DATOS!$C$70,INT(((AC38-2*AK38)+MAX(DATOS!$C$67,INDEX(TABLAS!$C$52:$C$58,MATCH(BU38,TABLAS!$B$52:$B$58,0))))/(INDEX(TABLAS!$C$52:$C$58,MATCH(BU38,TABLAS!$B$52:$B$58,0))+MAX(DATOS!$C$67,INDEX(TABLAS!$C$52:$C$58,MATCH(BU38,TABLAS!$B$52:$B$58,0)))))),CD38&gt;MIN(DATOS!$C$70,INT(((DATOS!$C$80-2*AJ38)+MAX(DATOS!$C$67,INDEX(TABLAS!$C$52:$C$58,MATCH(CC38,TABLAS!$B$52:$B$58,0))))/(INDEX(TABLAS!$C$52:$C$58,MATCH(CC38,TABLAS!$B$52:$B$58,0))+MAX(DATOS!$C$67,INDEX(TABLAS!$C$52:$C$58,MATCH(CC38,TABLAS!$B$52:$B$58,0)))))),CL38&gt;MIN(DATOS!$C$70,INT(((DATOS!$C$80-2*AK38)+MAX(DATOS!$C$67,INDEX(TABLAS!$C$52:$C$58,MATCH(CK38,TABLAS!$B$52:$B$58,0))))/(INDEX(TABLAS!$C$52:$C$58,MATCH(CK38,TABLAS!$B$52:$B$58,0))+MAX(DATOS!$C$67,INDEX(TABLAS!$C$52:$C$58,MATCH(CK38,TABLAS!$B$52:$B$58,0))))))),"no caben ","")&amp;IF(OR(AND(ISNUMBER(BR38),BR38&lt;0.005),AND(ISNUMBER(BZ38),BZ38&lt;0.005),AND(ISNUMBER(CH38),CH38&lt;0.005),AND(ISNUMBER(CP38),CP38&lt;0.005)),"ε_t &lt; 0.005 ","")&amp;IF(LEFT(CT38,2)="NO","cortante ","")&amp;IF(CZ38="NO CUMPLE","peralte ","")&amp;IF(DA38&lt;&gt;"CUMPLE","capa &lt; 6 cm ","")&amp;IF(LEFT(DT38,2)="NO","respaldo del volado","")))))))</f>
        <v/>
      </c>
      <c r="DZ38" s="70" t="str">
        <f>IF(U38&lt;&gt;"SÍ","",IF(LEFT(B38,7)="EJEMPLO","EJEMPLO de la hoja de Casa Rocha: bórralo o sobrescríbelo. ","")&amp;IF(AND(C38="PERIMETRAL",MIN(DG38,DH38)=0),"No cabe un casetón en el claro corto: es un tablero macizo, diséñalo en MACIZAS. ","")&amp;IF(AND(AI38="NO",C38="PERIMETRAL"),"No cumple 6.7.8.1.4 (a_c = "&amp;MAX(DATOS!$C$78,AD38)&amp;" cm &gt; claro corto/6 = "&amp;TEXT(X38*100/6,"0")&amp;" cm): se diseña como losa apoyada en vigas (6.7.8.1.9): r de viga = "&amp;DATOS!$C$60&amp;" cm y V_cR sin ×1.1. Para que cuente como encasetonada: casetón de "&amp;TEXT(FLOOR(MIN(80,X38*100/6),1),"0")&amp;" cm o menor. ","")&amp;IF(C38="VOLADO","Volado de "&amp;TEXT(X38,"0.00")&amp;" m empotrado en el borde "&amp;LOWER(V38)&amp;IF(N(O38)&gt;0,", con "&amp;TEXT(O38,"0.0")&amp;" kg/m en la orilla","")&amp;". Lecho inferior con r_ext. Si la orilla carga pretil u otro elemento frágil, calcula la flecha (13.4). El acero superior entra al respaldo de "&amp;TEXT(IF(ISNUMBER(P38),P38,X38),"0.00")&amp;" m"&amp;IF(ISNUMBER(P38),""," (L_b no capturado: se tomó igual al volado)")&amp;" hasta pasar M = 0 con 0.9·PP sin carga viva; si ahí no se anula, llega al apoyo lejano y se ancla con gancho (NTC-Criterios 3.4.1 c y 5.1.2.2). "&amp;IF(AC38&gt;DATOS!$C$80,"Respaldo: "&amp;DT38&amp;". ",""),"")&amp;IF(LEFT(BJ38,5)="FUERA","El M⁻ del vecino difiere más de 50 % (3.4.2.1 c): distribuye el desequilibrio (3.4.3.1) o confirma con un modelo; se arma con el mayor. ","")&amp;IF(OR(DD38="SÍ",DE38="SÍ"),"El M⁻ del borde discontinuo pide bastón también ahí (con gancho). ","")&amp;IF(LEFT(DF38,2)="NO","Anclaje: "&amp;DF38&amp;" (6.7.8.1.7). ","")&amp;IF(OR(AZ38&gt;0,BA38&gt;0),"Esquinas exteriores sobre muro: refuerzo de esquina arriba y abajo en L_largo/5 (6.7.7.3.1). ",""))</f>
        <v/>
      </c>
    </row>
    <row r="39" ht="33" customHeight="1">
      <c r="A39" s="50">
        <f>IF(B39="",0,1)+A38</f>
        <v>4</v>
      </c>
      <c r="B39" s="29" t="n"/>
      <c r="C39" s="51" t="n"/>
      <c r="D39" s="29" t="n"/>
      <c r="E39" s="52" t="n"/>
      <c r="F39" s="52" t="n"/>
      <c r="G39" s="51" t="n"/>
      <c r="H39" s="51" t="n"/>
      <c r="I39" s="51" t="n"/>
      <c r="J39" s="51" t="n"/>
      <c r="K39" s="51" t="n"/>
      <c r="L39" s="51" t="n"/>
      <c r="M39" s="53" t="n"/>
      <c r="N39" s="53" t="n"/>
      <c r="O39" s="54" t="n"/>
      <c r="P39" s="52" t="n"/>
      <c r="Q39" s="53" t="n"/>
      <c r="R39" s="54" t="n"/>
      <c r="S39" s="52" t="n"/>
      <c r="T39" s="52" t="n"/>
      <c r="U39" s="55" t="str">
        <f>IF(B39="","",IF(AND(OR(C39="PERIMETRAL",C39="VOLADO"),ISNUMBER(E39),ISNUMBER(F39),E39&gt;0,F39&gt;0,OR(ISNUMBER(N39),ISNUMBER(MATCH(D39,DATOS!$B$46:$B$55,0)))),"SÍ","NO"))</f>
        <v/>
      </c>
      <c r="V39" s="55" t="str">
        <f>IF(U39&lt;&gt;"SÍ","",IF(C39&lt;&gt;"VOLADO","—",IF(COUNTIF(G39:J39,"CONTINUO")&lt;&gt;1,"?",IF(G39="CONTINUO","INFERIOR",IF(H39="CONTINUO","SUPERIOR",IF(I39="CONTINUO","IZQUIERDO","DERECHO"))))))</f>
        <v/>
      </c>
      <c r="W39" s="55" t="str">
        <f>IF(U39&lt;&gt;"SÍ","",IF(C39="VOLADO",IF(OR(V39="IZQUIERDO",V39="DERECHO"),"X","Y"),IF(E39&lt;=F39,"X","Y")))</f>
        <v/>
      </c>
      <c r="X39" s="56" t="str">
        <f>IF(U39&lt;&gt;"SÍ","",IF(C39="VOLADO",IF(W39="X",E39,F39),MIN(E39,F39)))</f>
        <v/>
      </c>
      <c r="Y39" s="56" t="str">
        <f>IF(U39&lt;&gt;"SÍ","",IF(C39="VOLADO",IF(W39="X",F39,E39),MAX(E39,F39)))</f>
        <v/>
      </c>
      <c r="Z39" s="56" t="str">
        <f>IF(U39&lt;&gt;"SÍ","",MIN(X39,Y39)/MAX(X39,Y39))</f>
        <v/>
      </c>
      <c r="AA39" s="57" t="str">
        <f>IF(U39&lt;&gt;"SÍ","",MAX(1,X39*100-IF(C39="VOLADO",DATOS!$C$84/2,DATOS!$C$84)))</f>
        <v/>
      </c>
      <c r="AB39" s="57" t="str">
        <f>IF(U39&lt;&gt;"SÍ","",MAX(1,Y39*100-DATOS!$C$84))</f>
        <v/>
      </c>
      <c r="AC39" s="57" t="str">
        <f>IF(U39&lt;&gt;"SÍ","",IF(ISNUMBER(Q39),Q39,DATOS!$C$80))</f>
        <v/>
      </c>
      <c r="AD39" s="57" t="str">
        <f>IF(U39&lt;&gt;"SÍ","",MAX(0,DATOS!$C$83-AC39))</f>
        <v/>
      </c>
      <c r="AE39" s="57" t="str">
        <f>IF(U39&lt;&gt;"SÍ","",IF(OR(DATOS!$C$62="SÍ",AC39&gt;=20),AC39,AC39-2))</f>
        <v/>
      </c>
      <c r="AF39" s="57" t="str">
        <f>IF(U39&lt;&gt;"SÍ","",IF(OR(DATOS!$C$62="SÍ",DATOS!$C$80&gt;=20),DATOS!$C$80,DATOS!$C$80-2))</f>
        <v/>
      </c>
      <c r="AG39" s="57" t="str">
        <f>IF(U39&lt;&gt;"SÍ","",MIN(DATOS!$C$83,AC39+2*MIN(8*DATOS!$C$81,AD39/2,AA39/8)))</f>
        <v/>
      </c>
      <c r="AH39" s="57" t="str">
        <f>IF(U39&lt;&gt;"SÍ","",MIN(DATOS!$C$83,DATOS!$C$80+2*MIN(8*DATOS!$C$81,DATOS!$C$78/2,AB39/8)))</f>
        <v/>
      </c>
      <c r="AI39" s="55" t="str">
        <f>IF(U39&lt;&gt;"SÍ","",IF(AND(C39="PERIMETRAL",X39*100&gt;=6*MAX(DATOS!$C$78,AD39),MAX(DATOS!$C$78,AD39)&lt;=80,MIN(DATOS!$C$80,AC39)&gt;=10,DATOS!$C$82&lt;=3.5*MIN(DATOS!$C$80,AC39),DATOS!$C$81&gt;=MAX(MAX(DATOS!$C$78,AD39)/13,5)),"SÍ","NO"))</f>
        <v/>
      </c>
      <c r="AJ39" s="57" t="str">
        <f>IF(U39&lt;&gt;"SÍ","",IF(C39="VOLADO",DATOS!$C$61,IF(AI39="NO",DATOS!$C$60,DATOS!$C$59)))</f>
        <v/>
      </c>
      <c r="AK39" s="57" t="str">
        <f>IF(U39&lt;&gt;"SÍ","",IF(OR(AND(AM39="SÍ",DATOS!$C$63="SÍ"),AND(C39="VOLADO",DATOS!$C$64="SÍ")),DATOS!$C$61,IF(AI39="NO",DATOS!$C$60,DATOS!$C$59)))</f>
        <v/>
      </c>
      <c r="AL39" s="58" t="str">
        <f>IF(U39&lt;&gt;"SÍ","",MAX(AK39,(DATOS!$C$81-2*DATOS!$C$94)/2))</f>
        <v/>
      </c>
      <c r="AM39" s="55" t="str">
        <f>IF(U39&lt;&gt;"SÍ","",IFERROR(INDEX(DATOS!$D$46:$D$55,MATCH(D39,DATOS!$B$46:$B$55,0)),"NO"))</f>
        <v/>
      </c>
      <c r="AN39" s="59" t="str">
        <f>IF(U39&lt;&gt;"SÍ","",IF(ISNUMBER(N39),N39,IFERROR(INDEX(DATOS!$C$46:$C$55,MATCH(D39,DATOS!$B$46:$B$55,0)),0)))</f>
        <v/>
      </c>
      <c r="AO39" s="59" t="str">
        <f>IF(U39&lt;&gt;"SÍ","",(DATOS!$C$82/100-(AD39*DATOS!$C$78/DATOS!$C$83^2)*DATOS!$C$79/100)*DATOS!$C$16*1000+(AD39*DATOS!$C$78/DATOS!$C$83^2)*DATOS!$C$79/100*DATOS!$C$17*1000+DATOS!$C$37+DATOS!$C$38)</f>
        <v/>
      </c>
      <c r="AP39" s="59" t="str">
        <f>IF(U39&lt;&gt;"SÍ","",AO39+N(M39))</f>
        <v/>
      </c>
      <c r="AQ39" s="60" t="str">
        <f>IF(U39&lt;&gt;"SÍ","",MAX(DATOS!$C$26*AP39+DATOS!$C$27*AN39,IF(AM39="SÍ",DATOS!$C$28*(AP39+DATOS!$C$41),0)))</f>
        <v/>
      </c>
      <c r="AR39" s="59" t="str">
        <f>IF(U39&lt;&gt;"SÍ","",(G39="DISCONTINUO")+(H39="DISCONTINUO")+(I39="DISCONTINUO")+(J39="DISCONTINUO"))</f>
        <v/>
      </c>
      <c r="AS39" s="59" t="str">
        <f>IF(U39&lt;&gt;"SÍ","",IF(W39="X",(G39="DISCONTINUO")+(H39="DISCONTINUO"),(I39="DISCONTINUO")+(J39="DISCONTINUO")))</f>
        <v/>
      </c>
      <c r="AT39" s="55" t="str">
        <f>IF(U39&lt;&gt;"SÍ","",IF(AR39=0,"INTERIOR",IF(AR39=1,IF(AS39=1,"BORDE-CORTO","BORDE-LARGO"),IF(AR39=2,IF(AS39=1,"ESQUINA",IF(AS39=2,"EXTREMO-LARGO","EXTREMO-CORTO")),IF(AR39=3,IF(AS39=2,"EXTREMO-LARGO","EXTREMO-CORTO"),"AISLADO")))))</f>
        <v/>
      </c>
      <c r="AU39" s="61" t="str">
        <f>IF(U39&lt;&gt;"SÍ","",IF(OR(K39="",K39="AUTO"),AT39,K39))</f>
        <v/>
      </c>
      <c r="AV39" s="59" t="str">
        <f>IF(U39&lt;&gt;"SÍ","",MATCH(Z39,TABLAS!$D$5:$J$5,1))</f>
        <v/>
      </c>
      <c r="AW39" s="58" t="str">
        <f>IF(U39&lt;&gt;"SÍ","",IF(AV39&gt;=7,0,(Z39-INDEX(TABLAS!$D$5:$J$5,AV39))/(INDEX(TABLAS!$D$5:$J$5,AV39+1)-INDEX(TABLAS!$D$5:$J$5,AV39))))</f>
        <v/>
      </c>
      <c r="AX39" s="59" t="str">
        <f>IF(U39&lt;&gt;"SÍ","",INDEX(TABLAS!$D$6:$J$47,MATCH(AU39&amp;"|NIC",TABLAS!$B$6:$B$47,0),AV39)+AW39*(INDEX(TABLAS!$D$6:$J$47,MATCH(AU39&amp;"|NIC",TABLAS!$B$6:$B$47,0),MIN(AV39+1,7))-INDEX(TABLAS!$D$6:$J$47,MATCH(AU39&amp;"|NIC",TABLAS!$B$6:$B$47,0),AV39)))</f>
        <v/>
      </c>
      <c r="AY39" s="59" t="str">
        <f>IF(U39&lt;&gt;"SÍ","",INDEX(TABLAS!$D$6:$J$47,MATCH(AU39&amp;"|NIL",TABLAS!$B$6:$B$47,0),AV39)+AW39*(INDEX(TABLAS!$D$6:$J$47,MATCH(AU39&amp;"|NIL",TABLAS!$B$6:$B$47,0),MIN(AV39+1,7))-INDEX(TABLAS!$D$6:$J$47,MATCH(AU39&amp;"|NIL",TABLAS!$B$6:$B$47,0),AV39)))</f>
        <v/>
      </c>
      <c r="AZ39" s="59" t="str">
        <f>IF(U39&lt;&gt;"SÍ","",INDEX(TABLAS!$D$6:$J$47,MATCH(AU39&amp;"|NDC",TABLAS!$B$6:$B$47,0),AV39)+AW39*(INDEX(TABLAS!$D$6:$J$47,MATCH(AU39&amp;"|NDC",TABLAS!$B$6:$B$47,0),MIN(AV39+1,7))-INDEX(TABLAS!$D$6:$J$47,MATCH(AU39&amp;"|NDC",TABLAS!$B$6:$B$47,0),AV39)))</f>
        <v/>
      </c>
      <c r="BA39" s="59" t="str">
        <f>IF(U39&lt;&gt;"SÍ","",INDEX(TABLAS!$D$6:$J$47,MATCH(AU39&amp;"|NDL",TABLAS!$B$6:$B$47,0),AV39)+AW39*(INDEX(TABLAS!$D$6:$J$47,MATCH(AU39&amp;"|NDL",TABLAS!$B$6:$B$47,0),MIN(AV39+1,7))-INDEX(TABLAS!$D$6:$J$47,MATCH(AU39&amp;"|NDL",TABLAS!$B$6:$B$47,0),AV39)))</f>
        <v/>
      </c>
      <c r="BB39" s="59" t="str">
        <f>IF(U39&lt;&gt;"SÍ","",INDEX(TABLAS!$D$6:$J$47,MATCH(AU39&amp;"|PC",TABLAS!$B$6:$B$47,0),AV39)+AW39*(INDEX(TABLAS!$D$6:$J$47,MATCH(AU39&amp;"|PC",TABLAS!$B$6:$B$47,0),MIN(AV39+1,7))-INDEX(TABLAS!$D$6:$J$47,MATCH(AU39&amp;"|PC",TABLAS!$B$6:$B$47,0),AV39)))</f>
        <v/>
      </c>
      <c r="BC39" s="59" t="str">
        <f>IF(U39&lt;&gt;"SÍ","",INDEX(TABLAS!$D$6:$J$47,MATCH(AU39&amp;"|PL",TABLAS!$B$6:$B$47,0),AV39)+AW39*(INDEX(TABLAS!$D$6:$J$47,MATCH(AU39&amp;"|PL",TABLAS!$B$6:$B$47,0),MIN(AV39+1,7))-INDEX(TABLAS!$D$6:$J$47,MATCH(AU39&amp;"|PL",TABLAS!$B$6:$B$47,0),AV39)))</f>
        <v/>
      </c>
      <c r="BD39" s="56" t="str">
        <f>IF(U39&lt;&gt;"SÍ","",IF(C39&lt;&gt;"VOLADO",0,DATOS!$C$26*DATOS!$C$16*DATOS!$C$83/100*(((AD39*DATOS!$C$78/DATOS!$C$83^2)*DATOS!$C$79/100)*(IF(W39="X",DI39,DJ39)+DATOS!$C$84/2)/100*(AA39-(IF(W39="X",DI39,DJ39)+DATOS!$C$84/2)/2)/100+((AD39*DATOS!$C$78/DATOS!$C$83^2)*DATOS!$C$79/100)*IF(W39="X",DI39,DJ39)/100*IF(W39="X",DI39,DJ39)/200)))</f>
        <v/>
      </c>
      <c r="BE39" s="56" t="str">
        <f>IF(U39&lt;&gt;"SÍ","",IF(C39&lt;&gt;"VOLADO",0,DATOS!$C$26*DATOS!$C$16*DATOS!$C$83/100*((AD39*DATOS!$C$78/DATOS!$C$83^2)*DATOS!$C$79/100)*(IF(W39="X",DI39,DJ39)+DATOS!$C$84/2)/100))</f>
        <v/>
      </c>
      <c r="BF39" s="56" t="str">
        <f>IF(U39&lt;&gt;"SÍ","",IF(C39="PERIMETRAL",BB39*AQ39*X39^2*1E-4*DATOS!$C$83/100/1000,0))</f>
        <v/>
      </c>
      <c r="BG39" s="62" t="str">
        <f>IF(U39&lt;&gt;"SÍ","",IF(C39="PERIMETRAL",MAX(MAX(AX39,AZ39)*AQ39*X39^2*1E-4*DATOS!$C$83/100/1000,N(S39)),(AQ39*(AA39/100)^2/2+DATOS!$C$26*N(O39)*AA39/100)*DATOS!$C$83/100/1000+BD39))</f>
        <v/>
      </c>
      <c r="BH39" s="56" t="str">
        <f>IF(U39&lt;&gt;"SÍ","",IF(C39="PERIMETRAL",BC39*AQ39*X39^2*1E-4*DATOS!$C$83/100/1000,0))</f>
        <v/>
      </c>
      <c r="BI39" s="56" t="str">
        <f>IF(U39&lt;&gt;"SÍ","",IF(C39="PERIMETRAL",MAX(MAX(AY39,BA39)*AQ39*X39^2*1E-4*DATOS!$C$83/100/1000,N(T39)),0))</f>
        <v/>
      </c>
      <c r="BJ39" s="63" t="str">
        <f>IF(U39&lt;&gt;"SÍ","",IF(C39&lt;&gt;"PERIMETRAL","—",IF(AND(N(S39)=0,N(T39)=0),"— (sin M⁻ del vecino)",IF(OR(AND(N(S39)&gt;0,ABS(MAX(AX39,AZ39)*AQ39*X39^2*1E-4*DATOS!$C$83/100/1000-N(S39))&gt;0.5*MIN(MAX(AX39,AZ39)*AQ39*X39^2*1E-4*DATOS!$C$83/100/1000,N(S39))),AND(N(T39)&gt;0,ABS(MAX(AY39,BA39)*AQ39*X39^2*1E-4*DATOS!$C$83/100/1000-N(T39))&gt;0.5*MIN(MAX(AY39,BA39)*AQ39*X39^2*1E-4*DATOS!$C$83/100/1000,N(T39)))),"FUERA: difieren &gt; 50 %"&amp;IF(AND(N(S39)&gt;0,ABS(MAX(AX39,AZ39)*AQ39*X39^2*1E-4*DATOS!$C$83/100/1000-N(S39))&gt;0.5*MIN(MAX(AX39,AZ39)*AQ39*X39^2*1E-4*DATOS!$C$83/100/1000,N(S39)))," ‖ corto","")&amp;IF(AND(N(T39)&gt;0,ABS(MAX(AY39,BA39)*AQ39*X39^2*1E-4*DATOS!$C$83/100/1000-N(T39))&gt;0.5*MIN(MAX(AY39,BA39)*AQ39*X39^2*1E-4*DATOS!$C$83/100/1000,N(T39)))," ‖ largo",""),"CUMPLE"))))</f>
        <v/>
      </c>
      <c r="BK39" s="58" t="str">
        <f>IF(U39&lt;&gt;"SÍ","",(DATOS!$C$82-AJ39-INDEX(TABLAS!$C$52:$C$58,MATCH(DATOS!$C$68,TABLAS!$B$52:$B$58,0))/2))</f>
        <v/>
      </c>
      <c r="BL39" s="58" t="str">
        <f>IF(U39&lt;&gt;"SÍ","",IF(IF(BF39&lt;=0,0,IF((1-2*BF39*1E5/(DATOS!$C$29*AG39*BK39^2*DATOS!$C$21))&lt;0,-1,IF((1-SQRT((1-2*BF39*1E5/(DATOS!$C$29*AG39*BK39^2*DATOS!$C$21))))*DATOS!$C$21*AG39*BK39/DATOS!$C$14&gt;DATOS!$C$99*AG39*BK39,-1,(1-SQRT((1-2*BF39*1E5/(DATOS!$C$29*AG39*BK39^2*DATOS!$C$21))))*DATOS!$C$21*AG39*BK39/DATOS!$C$14)))&lt;0,-1,MAX(IF(BF39&lt;=0,0,IF((1-2*BF39*1E5/(DATOS!$C$29*AG39*BK39^2*DATOS!$C$21))&lt;0,-1,IF((1-SQRT((1-2*BF39*1E5/(DATOS!$C$29*AG39*BK39^2*DATOS!$C$21))))*DATOS!$C$21*AG39*BK39/DATOS!$C$14&gt;DATOS!$C$99*AG39*BK39,-1,(1-SQRT((1-2*BF39*1E5/(DATOS!$C$29*AG39*BK39^2*DATOS!$C$21))))*DATOS!$C$21*AG39*BK39/DATOS!$C$14))),MIN(DATOS!$C$100*AC39*BK39,4/3*IF(BF39&lt;=0,0,IF((1-2*BF39*1E5/(DATOS!$C$29*AG39*BK39^2*DATOS!$C$21))&lt;0,-1,IF((1-SQRT((1-2*BF39*1E5/(DATOS!$C$29*AG39*BK39^2*DATOS!$C$21))))*DATOS!$C$21*AG39*BK39/DATOS!$C$14&gt;DATOS!$C$99*AG39*BK39,-1,(1-SQRT((1-2*BF39*1E5/(DATOS!$C$29*AG39*BK39^2*DATOS!$C$21))))*DATOS!$C$21*AG39*BK39/DATOS!$C$14)))))))</f>
        <v/>
      </c>
      <c r="BM39" s="64" t="str">
        <f>IF(U39&lt;&gt;"SÍ","",IF(AND(BL39&gt;=0,IF(MAX(DATOS!$C$71,CEILING(BL39/INDEX(TABLAS!$D$52:$D$58,MIN(MATCH(DATOS!$C$68,TABLAS!$B$52:$B$58,0)+0,7)),1))*INDEX(TABLAS!$D$52:$D$58,MIN(MATCH(DATOS!$C$68,TABLAS!$B$52:$B$58,0)+0,7))&gt;=4/3*IF(BF39&lt;=0,0,IF((1-2*BF39*1E5/(DATOS!$C$29*AG39*BK39^2*DATOS!$C$21))&lt;0,-1,IF((1-SQRT((1-2*BF39*1E5/(DATOS!$C$29*AG39*BK39^2*DATOS!$C$21))))*DATOS!$C$21*AG39*BK39/DATOS!$C$14&gt;DATOS!$C$99*AG39*BK39,-1,(1-SQRT((1-2*BF39*1E5/(DATOS!$C$29*AG39*BK39^2*DATOS!$C$21))))*DATOS!$C$21*AG39*BK39/DATOS!$C$14)))-0.0001,MAX(DATOS!$C$71,CEILING(BL39/INDEX(TABLAS!$D$52:$D$58,MIN(MATCH(DATOS!$C$68,TABLAS!$B$52:$B$58,0)+0,7)),1)),MAX(MAX(DATOS!$C$71,CEILING(BL39/INDEX(TABLAS!$D$52:$D$58,MIN(MATCH(DATOS!$C$68,TABLAS!$B$52:$B$58,0)+0,7)),1)),2))&lt;=MIN(DATOS!$C$70,INT(((AC39-2*AJ39)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39&gt;=0,IF(MAX(DATOS!$C$71,CEILING(BL39/INDEX(TABLAS!$D$52:$D$58,MIN(MATCH(DATOS!$C$68,TABLAS!$B$52:$B$58,0)+1,7)),1))*INDEX(TABLAS!$D$52:$D$58,MIN(MATCH(DATOS!$C$68,TABLAS!$B$52:$B$58,0)+1,7))&gt;=4/3*IF(BF39&lt;=0,0,IF((1-2*BF39*1E5/(DATOS!$C$29*AG39*BK39^2*DATOS!$C$21))&lt;0,-1,IF((1-SQRT((1-2*BF39*1E5/(DATOS!$C$29*AG39*BK39^2*DATOS!$C$21))))*DATOS!$C$21*AG39*BK39/DATOS!$C$14&gt;DATOS!$C$99*AG39*BK39,-1,(1-SQRT((1-2*BF39*1E5/(DATOS!$C$29*AG39*BK39^2*DATOS!$C$21))))*DATOS!$C$21*AG39*BK39/DATOS!$C$14)))-0.0001,MAX(DATOS!$C$71,CEILING(BL39/INDEX(TABLAS!$D$52:$D$58,MIN(MATCH(DATOS!$C$68,TABLAS!$B$52:$B$58,0)+1,7)),1)),MAX(MAX(DATOS!$C$71,CEILING(BL39/INDEX(TABLAS!$D$52:$D$58,MIN(MATCH(DATOS!$C$68,TABLAS!$B$52:$B$58,0)+1,7)),1)),2))&lt;=MIN(DATOS!$C$70,INT(((AC39-2*AJ39)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39&gt;=0,IF(MAX(DATOS!$C$71,CEILING(BL39/INDEX(TABLAS!$D$52:$D$58,MIN(MATCH(DATOS!$C$68,TABLAS!$B$52:$B$58,0)+2,7)),1))*INDEX(TABLAS!$D$52:$D$58,MIN(MATCH(DATOS!$C$68,TABLAS!$B$52:$B$58,0)+2,7))&gt;=4/3*IF(BF39&lt;=0,0,IF((1-2*BF39*1E5/(DATOS!$C$29*AG39*BK39^2*DATOS!$C$21))&lt;0,-1,IF((1-SQRT((1-2*BF39*1E5/(DATOS!$C$29*AG39*BK39^2*DATOS!$C$21))))*DATOS!$C$21*AG39*BK39/DATOS!$C$14&gt;DATOS!$C$99*AG39*BK39,-1,(1-SQRT((1-2*BF39*1E5/(DATOS!$C$29*AG39*BK39^2*DATOS!$C$21))))*DATOS!$C$21*AG39*BK39/DATOS!$C$14)))-0.0001,MAX(DATOS!$C$71,CEILING(BL39/INDEX(TABLAS!$D$52:$D$58,MIN(MATCH(DATOS!$C$68,TABLAS!$B$52:$B$58,0)+2,7)),1)),MAX(MAX(DATOS!$C$71,CEILING(BL39/INDEX(TABLAS!$D$52:$D$58,MIN(MATCH(DATOS!$C$68,TABLAS!$B$52:$B$58,0)+2,7)),1)),2))&lt;=MIN(DATOS!$C$70,INT(((AC39-2*AJ39)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39&gt;=0,IF(MAX(DATOS!$C$71,CEILING(BL39/INDEX(TABLAS!$D$52:$D$58,MIN(MATCH(DATOS!$C$68,TABLAS!$B$52:$B$58,0)+3,7)),1))*INDEX(TABLAS!$D$52:$D$58,MIN(MATCH(DATOS!$C$68,TABLAS!$B$52:$B$58,0)+3,7))&gt;=4/3*IF(BF39&lt;=0,0,IF((1-2*BF39*1E5/(DATOS!$C$29*AG39*BK39^2*DATOS!$C$21))&lt;0,-1,IF((1-SQRT((1-2*BF39*1E5/(DATOS!$C$29*AG39*BK39^2*DATOS!$C$21))))*DATOS!$C$21*AG39*BK39/DATOS!$C$14&gt;DATOS!$C$99*AG39*BK39,-1,(1-SQRT((1-2*BF39*1E5/(DATOS!$C$29*AG39*BK39^2*DATOS!$C$21))))*DATOS!$C$21*AG39*BK39/DATOS!$C$14)))-0.0001,MAX(DATOS!$C$71,CEILING(BL39/INDEX(TABLAS!$D$52:$D$58,MIN(MATCH(DATOS!$C$68,TABLAS!$B$52:$B$58,0)+3,7)),1)),MAX(MAX(DATOS!$C$71,CEILING(BL39/INDEX(TABLAS!$D$52:$D$58,MIN(MATCH(DATOS!$C$68,TABLAS!$B$52:$B$58,0)+3,7)),1)),2))&lt;=MIN(DATOS!$C$70,INT(((AC39-2*AJ39)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39&gt;=0,IF(MAX(DATOS!$C$71,CEILING(BL39/INDEX(TABLAS!$D$52:$D$58,MIN(MATCH(DATOS!$C$68,TABLAS!$B$52:$B$58,0)+4,7)),1))*INDEX(TABLAS!$D$52:$D$58,MIN(MATCH(DATOS!$C$68,TABLAS!$B$52:$B$58,0)+4,7))&gt;=4/3*IF(BF39&lt;=0,0,IF((1-2*BF39*1E5/(DATOS!$C$29*AG39*BK39^2*DATOS!$C$21))&lt;0,-1,IF((1-SQRT((1-2*BF39*1E5/(DATOS!$C$29*AG39*BK39^2*DATOS!$C$21))))*DATOS!$C$21*AG39*BK39/DATOS!$C$14&gt;DATOS!$C$99*AG39*BK39,-1,(1-SQRT((1-2*BF39*1E5/(DATOS!$C$29*AG39*BK39^2*DATOS!$C$21))))*DATOS!$C$21*AG39*BK39/DATOS!$C$14)))-0.0001,MAX(DATOS!$C$71,CEILING(BL39/INDEX(TABLAS!$D$52:$D$58,MIN(MATCH(DATOS!$C$68,TABLAS!$B$52:$B$58,0)+4,7)),1)),MAX(MAX(DATOS!$C$71,CEILING(BL39/INDEX(TABLAS!$D$52:$D$58,MIN(MATCH(DATOS!$C$68,TABLAS!$B$52:$B$58,0)+4,7)),1)),2))&lt;=MIN(DATOS!$C$70,INT(((AC39-2*AJ39)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39" s="59" t="str">
        <f>IF(U39&lt;&gt;"SÍ","",IF(BL39&lt;0,0,IF(MAX(DATOS!$C$71,CEILING(MAX(BL39,0)/INDEX(TABLAS!$D$52:$D$58,MATCH(BM39,TABLAS!$B$52:$B$58,0)),1))*INDEX(TABLAS!$D$52:$D$58,MATCH(BM39,TABLAS!$B$52:$B$58,0))&gt;=4/3*IF(BF39&lt;=0,0,IF((1-2*BF39*1E5/(DATOS!$C$29*AG39*BK39^2*DATOS!$C$21))&lt;0,-1,IF((1-SQRT((1-2*BF39*1E5/(DATOS!$C$29*AG39*BK39^2*DATOS!$C$21))))*DATOS!$C$21*AG39*BK39/DATOS!$C$14&gt;DATOS!$C$99*AG39*BK39,-1,(1-SQRT((1-2*BF39*1E5/(DATOS!$C$29*AG39*BK39^2*DATOS!$C$21))))*DATOS!$C$21*AG39*BK39/DATOS!$C$14)))-0.0001,MAX(DATOS!$C$71,CEILING(MAX(BL39,0)/INDEX(TABLAS!$D$52:$D$58,MATCH(BM39,TABLAS!$B$52:$B$58,0)),1)),MAX(MAX(DATOS!$C$71,CEILING(MAX(BL39,0)/INDEX(TABLAS!$D$52:$D$58,MATCH(BM39,TABLAS!$B$52:$B$58,0)),1)),2))))</f>
        <v/>
      </c>
      <c r="BO39" s="58" t="str">
        <f>IF(U39&lt;&gt;"SÍ","",DATOS!$C$82-AJ39-INDEX(TABLAS!$C$52:$C$58,MATCH(BM39,TABLAS!$B$52:$B$58,0))/2)</f>
        <v/>
      </c>
      <c r="BP39" s="56" t="str">
        <f>IF(U39&lt;&gt;"SÍ","",IF(BN39=0,0,DATOS!$C$29*BN39*INDEX(TABLAS!$D$52:$D$58,MATCH(BM39,TABLAS!$B$52:$B$58,0))*DATOS!$C$14*(BO39-BN39*INDEX(TABLAS!$D$52:$D$58,MATCH(BM39,TABLAS!$B$52:$B$58,0))*DATOS!$C$14/(DATOS!$C$21*AG39)/2)/1E5))</f>
        <v/>
      </c>
      <c r="BQ39" s="65" t="str">
        <f>IF(U39&lt;&gt;"SÍ","",IF(BL39&lt;0,9.99,IF(BP39&gt;0,BF39/BP39,0)))</f>
        <v/>
      </c>
      <c r="BR39" s="66" t="str">
        <f>IF(U39&lt;&gt;"SÍ","",IF(BN39=0,"—",0.003*(BO39-(BN39*INDEX(TABLAS!$D$52:$D$58,MATCH(BM39,TABLAS!$B$52:$B$58,0))*DATOS!$C$14/(DATOS!$C$21*AG39)/DATOS!$C$22))/(BN39*INDEX(TABLAS!$D$52:$D$58,MATCH(BM39,TABLAS!$B$52:$B$58,0))*DATOS!$C$14/(DATOS!$C$21*AG39)/DATOS!$C$22)))</f>
        <v/>
      </c>
      <c r="BS39" s="58" t="str">
        <f>IF(U39&lt;&gt;"SÍ","",((DATOS!$C$82-AL39-2*DATOS!$C$94-INDEX(TABLAS!$C$52:$C$58,MATCH(DATOS!$C$69,TABLAS!$B$52:$B$58,0))/2)-IF(AND((DATOS!$C$82-AL39-2*DATOS!$C$94-INDEX(TABLAS!$C$52:$C$58,MATCH(DATOS!$C$69,TABLAS!$B$52:$B$58,0))/2)&lt;=20,DATOS!$C$62&lt;&gt;"SÍ"),2,0)))</f>
        <v/>
      </c>
      <c r="BT39" s="58" t="str">
        <f>IF(U39&lt;&gt;"SÍ","",IF(IF(BG39&lt;=0,0,IF((1-2*BG39*1E5/(DATOS!$C$29*AE39*BS39^2*DATOS!$C$21))&lt;0,-1,IF((1-SQRT((1-2*BG39*1E5/(DATOS!$C$29*AE39*BS39^2*DATOS!$C$21))))*DATOS!$C$21*AE39*BS39/DATOS!$C$14&gt;DATOS!$C$99*AE39*BS39,-1,(1-SQRT((1-2*BG39*1E5/(DATOS!$C$29*AE39*BS39^2*DATOS!$C$21))))*DATOS!$C$21*AE39*BS39/DATOS!$C$14)))&lt;0,-1,MAX(IF(BG39&lt;=0,0,IF((1-2*BG39*1E5/(DATOS!$C$29*AE39*BS39^2*DATOS!$C$21))&lt;0,-1,IF((1-SQRT((1-2*BG39*1E5/(DATOS!$C$29*AE39*BS39^2*DATOS!$C$21))))*DATOS!$C$21*AE39*BS39/DATOS!$C$14&gt;DATOS!$C$99*AE39*BS39,-1,(1-SQRT((1-2*BG39*1E5/(DATOS!$C$29*AE39*BS39^2*DATOS!$C$21))))*DATOS!$C$21*AE39*BS39/DATOS!$C$14))),MIN(DATOS!$C$100*IF(C39="VOLADO",MIN(AG39,2*AC39),AC39)*BS39,4/3*IF(BG39&lt;=0,0,IF((1-2*BG39*1E5/(DATOS!$C$29*AE39*BS39^2*DATOS!$C$21))&lt;0,-1,IF((1-SQRT((1-2*BG39*1E5/(DATOS!$C$29*AE39*BS39^2*DATOS!$C$21))))*DATOS!$C$21*AE39*BS39/DATOS!$C$14&gt;DATOS!$C$99*AE39*BS39,-1,(1-SQRT((1-2*BG39*1E5/(DATOS!$C$29*AE39*BS39^2*DATOS!$C$21))))*DATOS!$C$21*AE39*BS39/DATOS!$C$14)))))))</f>
        <v/>
      </c>
      <c r="BU39" s="64" t="str">
        <f>IF(U39&lt;&gt;"SÍ","",IF(AND(BT39&gt;=0,IF(MAX(DATOS!$C$71,CEILING(BT39/INDEX(TABLAS!$D$52:$D$58,MIN(MATCH(DATOS!$C$69,TABLAS!$B$52:$B$58,0)+0,7)),1))*INDEX(TABLAS!$D$52:$D$58,MIN(MATCH(DATOS!$C$69,TABLAS!$B$52:$B$58,0)+0,7))&gt;=4/3*IF(BG39&lt;=0,0,IF((1-2*BG39*1E5/(DATOS!$C$29*AE39*BS39^2*DATOS!$C$21))&lt;0,-1,IF((1-SQRT((1-2*BG39*1E5/(DATOS!$C$29*AE39*BS39^2*DATOS!$C$21))))*DATOS!$C$21*AE39*BS39/DATOS!$C$14&gt;DATOS!$C$99*AE39*BS39,-1,(1-SQRT((1-2*BG39*1E5/(DATOS!$C$29*AE39*BS39^2*DATOS!$C$21))))*DATOS!$C$21*AE39*BS39/DATOS!$C$14)))-0.0001,MAX(DATOS!$C$71,CEILING(BT39/INDEX(TABLAS!$D$52:$D$58,MIN(MATCH(DATOS!$C$69,TABLAS!$B$52:$B$58,0)+0,7)),1)),MAX(MAX(DATOS!$C$71,CEILING(BT39/INDEX(TABLAS!$D$52:$D$58,MIN(MATCH(DATOS!$C$69,TABLAS!$B$52:$B$58,0)+0,7)),1)),2))&lt;=MIN(DATOS!$C$70,INT(((AC39-2*AK39)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39&gt;=0,IF(MAX(DATOS!$C$71,CEILING(BT39/INDEX(TABLAS!$D$52:$D$58,MIN(MATCH(DATOS!$C$69,TABLAS!$B$52:$B$58,0)+1,7)),1))*INDEX(TABLAS!$D$52:$D$58,MIN(MATCH(DATOS!$C$69,TABLAS!$B$52:$B$58,0)+1,7))&gt;=4/3*IF(BG39&lt;=0,0,IF((1-2*BG39*1E5/(DATOS!$C$29*AE39*BS39^2*DATOS!$C$21))&lt;0,-1,IF((1-SQRT((1-2*BG39*1E5/(DATOS!$C$29*AE39*BS39^2*DATOS!$C$21))))*DATOS!$C$21*AE39*BS39/DATOS!$C$14&gt;DATOS!$C$99*AE39*BS39,-1,(1-SQRT((1-2*BG39*1E5/(DATOS!$C$29*AE39*BS39^2*DATOS!$C$21))))*DATOS!$C$21*AE39*BS39/DATOS!$C$14)))-0.0001,MAX(DATOS!$C$71,CEILING(BT39/INDEX(TABLAS!$D$52:$D$58,MIN(MATCH(DATOS!$C$69,TABLAS!$B$52:$B$58,0)+1,7)),1)),MAX(MAX(DATOS!$C$71,CEILING(BT39/INDEX(TABLAS!$D$52:$D$58,MIN(MATCH(DATOS!$C$69,TABLAS!$B$52:$B$58,0)+1,7)),1)),2))&lt;=MIN(DATOS!$C$70,INT(((AC39-2*AK39)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39&gt;=0,IF(MAX(DATOS!$C$71,CEILING(BT39/INDEX(TABLAS!$D$52:$D$58,MIN(MATCH(DATOS!$C$69,TABLAS!$B$52:$B$58,0)+2,7)),1))*INDEX(TABLAS!$D$52:$D$58,MIN(MATCH(DATOS!$C$69,TABLAS!$B$52:$B$58,0)+2,7))&gt;=4/3*IF(BG39&lt;=0,0,IF((1-2*BG39*1E5/(DATOS!$C$29*AE39*BS39^2*DATOS!$C$21))&lt;0,-1,IF((1-SQRT((1-2*BG39*1E5/(DATOS!$C$29*AE39*BS39^2*DATOS!$C$21))))*DATOS!$C$21*AE39*BS39/DATOS!$C$14&gt;DATOS!$C$99*AE39*BS39,-1,(1-SQRT((1-2*BG39*1E5/(DATOS!$C$29*AE39*BS39^2*DATOS!$C$21))))*DATOS!$C$21*AE39*BS39/DATOS!$C$14)))-0.0001,MAX(DATOS!$C$71,CEILING(BT39/INDEX(TABLAS!$D$52:$D$58,MIN(MATCH(DATOS!$C$69,TABLAS!$B$52:$B$58,0)+2,7)),1)),MAX(MAX(DATOS!$C$71,CEILING(BT39/INDEX(TABLAS!$D$52:$D$58,MIN(MATCH(DATOS!$C$69,TABLAS!$B$52:$B$58,0)+2,7)),1)),2))&lt;=MIN(DATOS!$C$70,INT(((AC39-2*AK39)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39&gt;=0,IF(MAX(DATOS!$C$71,CEILING(BT39/INDEX(TABLAS!$D$52:$D$58,MIN(MATCH(DATOS!$C$69,TABLAS!$B$52:$B$58,0)+3,7)),1))*INDEX(TABLAS!$D$52:$D$58,MIN(MATCH(DATOS!$C$69,TABLAS!$B$52:$B$58,0)+3,7))&gt;=4/3*IF(BG39&lt;=0,0,IF((1-2*BG39*1E5/(DATOS!$C$29*AE39*BS39^2*DATOS!$C$21))&lt;0,-1,IF((1-SQRT((1-2*BG39*1E5/(DATOS!$C$29*AE39*BS39^2*DATOS!$C$21))))*DATOS!$C$21*AE39*BS39/DATOS!$C$14&gt;DATOS!$C$99*AE39*BS39,-1,(1-SQRT((1-2*BG39*1E5/(DATOS!$C$29*AE39*BS39^2*DATOS!$C$21))))*DATOS!$C$21*AE39*BS39/DATOS!$C$14)))-0.0001,MAX(DATOS!$C$71,CEILING(BT39/INDEX(TABLAS!$D$52:$D$58,MIN(MATCH(DATOS!$C$69,TABLAS!$B$52:$B$58,0)+3,7)),1)),MAX(MAX(DATOS!$C$71,CEILING(BT39/INDEX(TABLAS!$D$52:$D$58,MIN(MATCH(DATOS!$C$69,TABLAS!$B$52:$B$58,0)+3,7)),1)),2))&lt;=MIN(DATOS!$C$70,INT(((AC39-2*AK39)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39&gt;=0,IF(MAX(DATOS!$C$71,CEILING(BT39/INDEX(TABLAS!$D$52:$D$58,MIN(MATCH(DATOS!$C$69,TABLAS!$B$52:$B$58,0)+4,7)),1))*INDEX(TABLAS!$D$52:$D$58,MIN(MATCH(DATOS!$C$69,TABLAS!$B$52:$B$58,0)+4,7))&gt;=4/3*IF(BG39&lt;=0,0,IF((1-2*BG39*1E5/(DATOS!$C$29*AE39*BS39^2*DATOS!$C$21))&lt;0,-1,IF((1-SQRT((1-2*BG39*1E5/(DATOS!$C$29*AE39*BS39^2*DATOS!$C$21))))*DATOS!$C$21*AE39*BS39/DATOS!$C$14&gt;DATOS!$C$99*AE39*BS39,-1,(1-SQRT((1-2*BG39*1E5/(DATOS!$C$29*AE39*BS39^2*DATOS!$C$21))))*DATOS!$C$21*AE39*BS39/DATOS!$C$14)))-0.0001,MAX(DATOS!$C$71,CEILING(BT39/INDEX(TABLAS!$D$52:$D$58,MIN(MATCH(DATOS!$C$69,TABLAS!$B$52:$B$58,0)+4,7)),1)),MAX(MAX(DATOS!$C$71,CEILING(BT39/INDEX(TABLAS!$D$52:$D$58,MIN(MATCH(DATOS!$C$69,TABLAS!$B$52:$B$58,0)+4,7)),1)),2))&lt;=MIN(DATOS!$C$70,INT(((AC39-2*AK39)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39" s="59" t="str">
        <f>IF(U39&lt;&gt;"SÍ","",IF(BT39&lt;0,0,IF(MAX(DATOS!$C$71,CEILING(MAX(BT39,0)/INDEX(TABLAS!$D$52:$D$58,MATCH(BU39,TABLAS!$B$52:$B$58,0)),1))*INDEX(TABLAS!$D$52:$D$58,MATCH(BU39,TABLAS!$B$52:$B$58,0))&gt;=4/3*IF(BG39&lt;=0,0,IF((1-2*BG39*1E5/(DATOS!$C$29*AE39*BS39^2*DATOS!$C$21))&lt;0,-1,IF((1-SQRT((1-2*BG39*1E5/(DATOS!$C$29*AE39*BS39^2*DATOS!$C$21))))*DATOS!$C$21*AE39*BS39/DATOS!$C$14&gt;DATOS!$C$99*AE39*BS39,-1,(1-SQRT((1-2*BG39*1E5/(DATOS!$C$29*AE39*BS39^2*DATOS!$C$21))))*DATOS!$C$21*AE39*BS39/DATOS!$C$14)))-0.0001,MAX(DATOS!$C$71,CEILING(MAX(BT39,0)/INDEX(TABLAS!$D$52:$D$58,MATCH(BU39,TABLAS!$B$52:$B$58,0)),1)),MAX(MAX(DATOS!$C$71,CEILING(MAX(BT39,0)/INDEX(TABLAS!$D$52:$D$58,MATCH(BU39,TABLAS!$B$52:$B$58,0)),1)),2))))</f>
        <v/>
      </c>
      <c r="BW39" s="58" t="str">
        <f>IF(U39&lt;&gt;"SÍ","",((DATOS!$C$82-AL39-2*DATOS!$C$94-INDEX(TABLAS!$C$52:$C$58,MATCH(BU39,TABLAS!$B$52:$B$58,0))/2)-IF(AND((DATOS!$C$82-AL39-2*DATOS!$C$94-INDEX(TABLAS!$C$52:$C$58,MATCH(BU39,TABLAS!$B$52:$B$58,0))/2)&lt;=20,DATOS!$C$62&lt;&gt;"SÍ"),2,0)))</f>
        <v/>
      </c>
      <c r="BX39" s="56" t="str">
        <f>IF(U39&lt;&gt;"SÍ","",IF(BV39=0,0,DATOS!$C$29*BV39*INDEX(TABLAS!$D$52:$D$58,MATCH(BU39,TABLAS!$B$52:$B$58,0))*DATOS!$C$14*(BW39-BV39*INDEX(TABLAS!$D$52:$D$58,MATCH(BU39,TABLAS!$B$52:$B$58,0))*DATOS!$C$14/(DATOS!$C$21*AE39)/2)/1E5))</f>
        <v/>
      </c>
      <c r="BY39" s="65" t="str">
        <f>IF(U39&lt;&gt;"SÍ","",IF(BT39&lt;0,9.99,IF(BX39&gt;0,BG39/BX39,0)))</f>
        <v/>
      </c>
      <c r="BZ39" s="66" t="str">
        <f>IF(U39&lt;&gt;"SÍ","",IF(BV39=0,"—",0.003*(BW39-(BV39*INDEX(TABLAS!$D$52:$D$58,MATCH(BU39,TABLAS!$B$52:$B$58,0))*DATOS!$C$14/(DATOS!$C$21*AE39)/DATOS!$C$22))/(BV39*INDEX(TABLAS!$D$52:$D$58,MATCH(BU39,TABLAS!$B$52:$B$58,0))*DATOS!$C$14/(DATOS!$C$21*AE39)/DATOS!$C$22)))</f>
        <v/>
      </c>
      <c r="CA39" s="58" t="str">
        <f>IF(U39&lt;&gt;"SÍ","",(DATOS!$C$82-AJ39-INDEX(TABLAS!$C$52:$C$58,MATCH(DATOS!$C$68,TABLAS!$B$52:$B$58,0))-INDEX(TABLAS!$C$52:$C$58,MATCH(DATOS!$C$68,TABLAS!$B$52:$B$58,0))/2))</f>
        <v/>
      </c>
      <c r="CB39" s="58" t="str">
        <f>IF(U39&lt;&gt;"SÍ","",IF(IF(BH39&lt;=0,0,IF((1-2*BH39*1E5/(DATOS!$C$29*AH39*CA39^2*DATOS!$C$21))&lt;0,-1,IF((1-SQRT((1-2*BH39*1E5/(DATOS!$C$29*AH39*CA39^2*DATOS!$C$21))))*DATOS!$C$21*AH39*CA39/DATOS!$C$14&gt;DATOS!$C$99*AH39*CA39,-1,(1-SQRT((1-2*BH39*1E5/(DATOS!$C$29*AH39*CA39^2*DATOS!$C$21))))*DATOS!$C$21*AH39*CA39/DATOS!$C$14)))&lt;0,-1,MAX(IF(BH39&lt;=0,0,IF((1-2*BH39*1E5/(DATOS!$C$29*AH39*CA39^2*DATOS!$C$21))&lt;0,-1,IF((1-SQRT((1-2*BH39*1E5/(DATOS!$C$29*AH39*CA39^2*DATOS!$C$21))))*DATOS!$C$21*AH39*CA39/DATOS!$C$14&gt;DATOS!$C$99*AH39*CA39,-1,(1-SQRT((1-2*BH39*1E5/(DATOS!$C$29*AH39*CA39^2*DATOS!$C$21))))*DATOS!$C$21*AH39*CA39/DATOS!$C$14))),MIN(DATOS!$C$100*DATOS!$C$80*CA39,4/3*IF(BH39&lt;=0,0,IF((1-2*BH39*1E5/(DATOS!$C$29*AH39*CA39^2*DATOS!$C$21))&lt;0,-1,IF((1-SQRT((1-2*BH39*1E5/(DATOS!$C$29*AH39*CA39^2*DATOS!$C$21))))*DATOS!$C$21*AH39*CA39/DATOS!$C$14&gt;DATOS!$C$99*AH39*CA39,-1,(1-SQRT((1-2*BH39*1E5/(DATOS!$C$29*AH39*CA39^2*DATOS!$C$21))))*DATOS!$C$21*AH39*CA39/DATOS!$C$14)))))))</f>
        <v/>
      </c>
      <c r="CC39" s="64" t="str">
        <f>IF(U39&lt;&gt;"SÍ","",IF(AND(CB39&gt;=0,IF(MAX(DATOS!$C$71,CEILING(CB39/INDEX(TABLAS!$D$52:$D$58,MIN(MATCH(DATOS!$C$68,TABLAS!$B$52:$B$58,0)+0,7)),1))*INDEX(TABLAS!$D$52:$D$58,MIN(MATCH(DATOS!$C$68,TABLAS!$B$52:$B$58,0)+0,7))&gt;=4/3*IF(BH39&lt;=0,0,IF((1-2*BH39*1E5/(DATOS!$C$29*AH39*CA39^2*DATOS!$C$21))&lt;0,-1,IF((1-SQRT((1-2*BH39*1E5/(DATOS!$C$29*AH39*CA39^2*DATOS!$C$21))))*DATOS!$C$21*AH39*CA39/DATOS!$C$14&gt;DATOS!$C$99*AH39*CA39,-1,(1-SQRT((1-2*BH39*1E5/(DATOS!$C$29*AH39*CA39^2*DATOS!$C$21))))*DATOS!$C$21*AH39*CA39/DATOS!$C$14)))-0.0001,MAX(DATOS!$C$71,CEILING(CB39/INDEX(TABLAS!$D$52:$D$58,MIN(MATCH(DATOS!$C$68,TABLAS!$B$52:$B$58,0)+0,7)),1)),MAX(MAX(DATOS!$C$71,CEILING(CB39/INDEX(TABLAS!$D$52:$D$58,MIN(MATCH(DATOS!$C$68,TABLAS!$B$52:$B$58,0)+0,7)),1)),2))&lt;=MIN(DATOS!$C$70,INT(((DATOS!$C$80-2*AJ39)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39&gt;=0,IF(MAX(DATOS!$C$71,CEILING(CB39/INDEX(TABLAS!$D$52:$D$58,MIN(MATCH(DATOS!$C$68,TABLAS!$B$52:$B$58,0)+1,7)),1))*INDEX(TABLAS!$D$52:$D$58,MIN(MATCH(DATOS!$C$68,TABLAS!$B$52:$B$58,0)+1,7))&gt;=4/3*IF(BH39&lt;=0,0,IF((1-2*BH39*1E5/(DATOS!$C$29*AH39*CA39^2*DATOS!$C$21))&lt;0,-1,IF((1-SQRT((1-2*BH39*1E5/(DATOS!$C$29*AH39*CA39^2*DATOS!$C$21))))*DATOS!$C$21*AH39*CA39/DATOS!$C$14&gt;DATOS!$C$99*AH39*CA39,-1,(1-SQRT((1-2*BH39*1E5/(DATOS!$C$29*AH39*CA39^2*DATOS!$C$21))))*DATOS!$C$21*AH39*CA39/DATOS!$C$14)))-0.0001,MAX(DATOS!$C$71,CEILING(CB39/INDEX(TABLAS!$D$52:$D$58,MIN(MATCH(DATOS!$C$68,TABLAS!$B$52:$B$58,0)+1,7)),1)),MAX(MAX(DATOS!$C$71,CEILING(CB39/INDEX(TABLAS!$D$52:$D$58,MIN(MATCH(DATOS!$C$68,TABLAS!$B$52:$B$58,0)+1,7)),1)),2))&lt;=MIN(DATOS!$C$70,INT(((DATOS!$C$80-2*AJ39)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39&gt;=0,IF(MAX(DATOS!$C$71,CEILING(CB39/INDEX(TABLAS!$D$52:$D$58,MIN(MATCH(DATOS!$C$68,TABLAS!$B$52:$B$58,0)+2,7)),1))*INDEX(TABLAS!$D$52:$D$58,MIN(MATCH(DATOS!$C$68,TABLAS!$B$52:$B$58,0)+2,7))&gt;=4/3*IF(BH39&lt;=0,0,IF((1-2*BH39*1E5/(DATOS!$C$29*AH39*CA39^2*DATOS!$C$21))&lt;0,-1,IF((1-SQRT((1-2*BH39*1E5/(DATOS!$C$29*AH39*CA39^2*DATOS!$C$21))))*DATOS!$C$21*AH39*CA39/DATOS!$C$14&gt;DATOS!$C$99*AH39*CA39,-1,(1-SQRT((1-2*BH39*1E5/(DATOS!$C$29*AH39*CA39^2*DATOS!$C$21))))*DATOS!$C$21*AH39*CA39/DATOS!$C$14)))-0.0001,MAX(DATOS!$C$71,CEILING(CB39/INDEX(TABLAS!$D$52:$D$58,MIN(MATCH(DATOS!$C$68,TABLAS!$B$52:$B$58,0)+2,7)),1)),MAX(MAX(DATOS!$C$71,CEILING(CB39/INDEX(TABLAS!$D$52:$D$58,MIN(MATCH(DATOS!$C$68,TABLAS!$B$52:$B$58,0)+2,7)),1)),2))&lt;=MIN(DATOS!$C$70,INT(((DATOS!$C$80-2*AJ39)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39&gt;=0,IF(MAX(DATOS!$C$71,CEILING(CB39/INDEX(TABLAS!$D$52:$D$58,MIN(MATCH(DATOS!$C$68,TABLAS!$B$52:$B$58,0)+3,7)),1))*INDEX(TABLAS!$D$52:$D$58,MIN(MATCH(DATOS!$C$68,TABLAS!$B$52:$B$58,0)+3,7))&gt;=4/3*IF(BH39&lt;=0,0,IF((1-2*BH39*1E5/(DATOS!$C$29*AH39*CA39^2*DATOS!$C$21))&lt;0,-1,IF((1-SQRT((1-2*BH39*1E5/(DATOS!$C$29*AH39*CA39^2*DATOS!$C$21))))*DATOS!$C$21*AH39*CA39/DATOS!$C$14&gt;DATOS!$C$99*AH39*CA39,-1,(1-SQRT((1-2*BH39*1E5/(DATOS!$C$29*AH39*CA39^2*DATOS!$C$21))))*DATOS!$C$21*AH39*CA39/DATOS!$C$14)))-0.0001,MAX(DATOS!$C$71,CEILING(CB39/INDEX(TABLAS!$D$52:$D$58,MIN(MATCH(DATOS!$C$68,TABLAS!$B$52:$B$58,0)+3,7)),1)),MAX(MAX(DATOS!$C$71,CEILING(CB39/INDEX(TABLAS!$D$52:$D$58,MIN(MATCH(DATOS!$C$68,TABLAS!$B$52:$B$58,0)+3,7)),1)),2))&lt;=MIN(DATOS!$C$70,INT(((DATOS!$C$80-2*AJ39)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39&gt;=0,IF(MAX(DATOS!$C$71,CEILING(CB39/INDEX(TABLAS!$D$52:$D$58,MIN(MATCH(DATOS!$C$68,TABLAS!$B$52:$B$58,0)+4,7)),1))*INDEX(TABLAS!$D$52:$D$58,MIN(MATCH(DATOS!$C$68,TABLAS!$B$52:$B$58,0)+4,7))&gt;=4/3*IF(BH39&lt;=0,0,IF((1-2*BH39*1E5/(DATOS!$C$29*AH39*CA39^2*DATOS!$C$21))&lt;0,-1,IF((1-SQRT((1-2*BH39*1E5/(DATOS!$C$29*AH39*CA39^2*DATOS!$C$21))))*DATOS!$C$21*AH39*CA39/DATOS!$C$14&gt;DATOS!$C$99*AH39*CA39,-1,(1-SQRT((1-2*BH39*1E5/(DATOS!$C$29*AH39*CA39^2*DATOS!$C$21))))*DATOS!$C$21*AH39*CA39/DATOS!$C$14)))-0.0001,MAX(DATOS!$C$71,CEILING(CB39/INDEX(TABLAS!$D$52:$D$58,MIN(MATCH(DATOS!$C$68,TABLAS!$B$52:$B$58,0)+4,7)),1)),MAX(MAX(DATOS!$C$71,CEILING(CB39/INDEX(TABLAS!$D$52:$D$58,MIN(MATCH(DATOS!$C$68,TABLAS!$B$52:$B$58,0)+4,7)),1)),2))&lt;=MIN(DATOS!$C$70,INT(((DATOS!$C$80-2*AJ39)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39" s="59" t="str">
        <f>IF(U39&lt;&gt;"SÍ","",IF(CB39&lt;0,0,IF(MAX(DATOS!$C$71,CEILING(MAX(CB39,0)/INDEX(TABLAS!$D$52:$D$58,MATCH(CC39,TABLAS!$B$52:$B$58,0)),1))*INDEX(TABLAS!$D$52:$D$58,MATCH(CC39,TABLAS!$B$52:$B$58,0))&gt;=4/3*IF(BH39&lt;=0,0,IF((1-2*BH39*1E5/(DATOS!$C$29*AH39*CA39^2*DATOS!$C$21))&lt;0,-1,IF((1-SQRT((1-2*BH39*1E5/(DATOS!$C$29*AH39*CA39^2*DATOS!$C$21))))*DATOS!$C$21*AH39*CA39/DATOS!$C$14&gt;DATOS!$C$99*AH39*CA39,-1,(1-SQRT((1-2*BH39*1E5/(DATOS!$C$29*AH39*CA39^2*DATOS!$C$21))))*DATOS!$C$21*AH39*CA39/DATOS!$C$14)))-0.0001,MAX(DATOS!$C$71,CEILING(MAX(CB39,0)/INDEX(TABLAS!$D$52:$D$58,MATCH(CC39,TABLAS!$B$52:$B$58,0)),1)),MAX(MAX(DATOS!$C$71,CEILING(MAX(CB39,0)/INDEX(TABLAS!$D$52:$D$58,MATCH(CC39,TABLAS!$B$52:$B$58,0)),1)),2))))</f>
        <v/>
      </c>
      <c r="CE39" s="58" t="str">
        <f>IF(U39&lt;&gt;"SÍ","",DATOS!$C$82-AJ39-INDEX(TABLAS!$C$52:$C$58,MATCH(BM39,TABLAS!$B$52:$B$58,0))-INDEX(TABLAS!$C$52:$C$58,MATCH(CC39,TABLAS!$B$52:$B$58,0))/2)</f>
        <v/>
      </c>
      <c r="CF39" s="56" t="str">
        <f>IF(U39&lt;&gt;"SÍ","",IF(CD39=0,0,DATOS!$C$29*CD39*INDEX(TABLAS!$D$52:$D$58,MATCH(CC39,TABLAS!$B$52:$B$58,0))*DATOS!$C$14*(CE39-CD39*INDEX(TABLAS!$D$52:$D$58,MATCH(CC39,TABLAS!$B$52:$B$58,0))*DATOS!$C$14/(DATOS!$C$21*AH39)/2)/1E5))</f>
        <v/>
      </c>
      <c r="CG39" s="65" t="str">
        <f>IF(U39&lt;&gt;"SÍ","",IF(CB39&lt;0,9.99,IF(CF39&gt;0,BH39/CF39,0)))</f>
        <v/>
      </c>
      <c r="CH39" s="66" t="str">
        <f>IF(U39&lt;&gt;"SÍ","",IF(CD39=0,"—",0.003*(CE39-(CD39*INDEX(TABLAS!$D$52:$D$58,MATCH(CC39,TABLAS!$B$52:$B$58,0))*DATOS!$C$14/(DATOS!$C$21*AH39)/DATOS!$C$22))/(CD39*INDEX(TABLAS!$D$52:$D$58,MATCH(CC39,TABLAS!$B$52:$B$58,0))*DATOS!$C$14/(DATOS!$C$21*AH39)/DATOS!$C$22)))</f>
        <v/>
      </c>
      <c r="CI39" s="58" t="str">
        <f>IF(U39&lt;&gt;"SÍ","",((DATOS!$C$82-AL39-2*DATOS!$C$94-INDEX(TABLAS!$C$52:$C$58,MATCH(DATOS!$C$69,TABLAS!$B$52:$B$58,0))-INDEX(TABLAS!$C$52:$C$58,MATCH(DATOS!$C$69,TABLAS!$B$52:$B$58,0))/2)-IF(AND((DATOS!$C$82-AL39-2*DATOS!$C$94-INDEX(TABLAS!$C$52:$C$58,MATCH(DATOS!$C$69,TABLAS!$B$52:$B$58,0))-INDEX(TABLAS!$C$52:$C$58,MATCH(DATOS!$C$69,TABLAS!$B$52:$B$58,0))/2)&lt;=20,DATOS!$C$62&lt;&gt;"SÍ"),2,0)))</f>
        <v/>
      </c>
      <c r="CJ39" s="58" t="str">
        <f>IF(U39&lt;&gt;"SÍ","",IF(IF(BI39&lt;=0,0,IF((1-2*BI39*1E5/(DATOS!$C$29*AF39*CI39^2*DATOS!$C$21))&lt;0,-1,IF((1-SQRT((1-2*BI39*1E5/(DATOS!$C$29*AF39*CI39^2*DATOS!$C$21))))*DATOS!$C$21*AF39*CI39/DATOS!$C$14&gt;DATOS!$C$99*AF39*CI39,-1,(1-SQRT((1-2*BI39*1E5/(DATOS!$C$29*AF39*CI39^2*DATOS!$C$21))))*DATOS!$C$21*AF39*CI39/DATOS!$C$14)))&lt;0,-1,MAX(IF(BI39&lt;=0,0,IF((1-2*BI39*1E5/(DATOS!$C$29*AF39*CI39^2*DATOS!$C$21))&lt;0,-1,IF((1-SQRT((1-2*BI39*1E5/(DATOS!$C$29*AF39*CI39^2*DATOS!$C$21))))*DATOS!$C$21*AF39*CI39/DATOS!$C$14&gt;DATOS!$C$99*AF39*CI39,-1,(1-SQRT((1-2*BI39*1E5/(DATOS!$C$29*AF39*CI39^2*DATOS!$C$21))))*DATOS!$C$21*AF39*CI39/DATOS!$C$14))),MIN(DATOS!$C$100*DATOS!$C$80*CI39,4/3*IF(BI39&lt;=0,0,IF((1-2*BI39*1E5/(DATOS!$C$29*AF39*CI39^2*DATOS!$C$21))&lt;0,-1,IF((1-SQRT((1-2*BI39*1E5/(DATOS!$C$29*AF39*CI39^2*DATOS!$C$21))))*DATOS!$C$21*AF39*CI39/DATOS!$C$14&gt;DATOS!$C$99*AF39*CI39,-1,(1-SQRT((1-2*BI39*1E5/(DATOS!$C$29*AF39*CI39^2*DATOS!$C$21))))*DATOS!$C$21*AF39*CI39/DATOS!$C$14)))))))</f>
        <v/>
      </c>
      <c r="CK39" s="64" t="str">
        <f>IF(U39&lt;&gt;"SÍ","",IF(AND(CJ39&gt;=0,IF(MAX(DATOS!$C$71,CEILING(CJ39/INDEX(TABLAS!$D$52:$D$58,MIN(MATCH(DATOS!$C$69,TABLAS!$B$52:$B$58,0)+0,7)),1))*INDEX(TABLAS!$D$52:$D$58,MIN(MATCH(DATOS!$C$69,TABLAS!$B$52:$B$58,0)+0,7))&gt;=4/3*IF(BI39&lt;=0,0,IF((1-2*BI39*1E5/(DATOS!$C$29*AF39*CI39^2*DATOS!$C$21))&lt;0,-1,IF((1-SQRT((1-2*BI39*1E5/(DATOS!$C$29*AF39*CI39^2*DATOS!$C$21))))*DATOS!$C$21*AF39*CI39/DATOS!$C$14&gt;DATOS!$C$99*AF39*CI39,-1,(1-SQRT((1-2*BI39*1E5/(DATOS!$C$29*AF39*CI39^2*DATOS!$C$21))))*DATOS!$C$21*AF39*CI39/DATOS!$C$14)))-0.0001,MAX(DATOS!$C$71,CEILING(CJ39/INDEX(TABLAS!$D$52:$D$58,MIN(MATCH(DATOS!$C$69,TABLAS!$B$52:$B$58,0)+0,7)),1)),MAX(MAX(DATOS!$C$71,CEILING(CJ39/INDEX(TABLAS!$D$52:$D$58,MIN(MATCH(DATOS!$C$69,TABLAS!$B$52:$B$58,0)+0,7)),1)),2))&lt;=MIN(DATOS!$C$70,INT(((DATOS!$C$80-2*AK39)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39&gt;=0,IF(MAX(DATOS!$C$71,CEILING(CJ39/INDEX(TABLAS!$D$52:$D$58,MIN(MATCH(DATOS!$C$69,TABLAS!$B$52:$B$58,0)+1,7)),1))*INDEX(TABLAS!$D$52:$D$58,MIN(MATCH(DATOS!$C$69,TABLAS!$B$52:$B$58,0)+1,7))&gt;=4/3*IF(BI39&lt;=0,0,IF((1-2*BI39*1E5/(DATOS!$C$29*AF39*CI39^2*DATOS!$C$21))&lt;0,-1,IF((1-SQRT((1-2*BI39*1E5/(DATOS!$C$29*AF39*CI39^2*DATOS!$C$21))))*DATOS!$C$21*AF39*CI39/DATOS!$C$14&gt;DATOS!$C$99*AF39*CI39,-1,(1-SQRT((1-2*BI39*1E5/(DATOS!$C$29*AF39*CI39^2*DATOS!$C$21))))*DATOS!$C$21*AF39*CI39/DATOS!$C$14)))-0.0001,MAX(DATOS!$C$71,CEILING(CJ39/INDEX(TABLAS!$D$52:$D$58,MIN(MATCH(DATOS!$C$69,TABLAS!$B$52:$B$58,0)+1,7)),1)),MAX(MAX(DATOS!$C$71,CEILING(CJ39/INDEX(TABLAS!$D$52:$D$58,MIN(MATCH(DATOS!$C$69,TABLAS!$B$52:$B$58,0)+1,7)),1)),2))&lt;=MIN(DATOS!$C$70,INT(((DATOS!$C$80-2*AK39)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39&gt;=0,IF(MAX(DATOS!$C$71,CEILING(CJ39/INDEX(TABLAS!$D$52:$D$58,MIN(MATCH(DATOS!$C$69,TABLAS!$B$52:$B$58,0)+2,7)),1))*INDEX(TABLAS!$D$52:$D$58,MIN(MATCH(DATOS!$C$69,TABLAS!$B$52:$B$58,0)+2,7))&gt;=4/3*IF(BI39&lt;=0,0,IF((1-2*BI39*1E5/(DATOS!$C$29*AF39*CI39^2*DATOS!$C$21))&lt;0,-1,IF((1-SQRT((1-2*BI39*1E5/(DATOS!$C$29*AF39*CI39^2*DATOS!$C$21))))*DATOS!$C$21*AF39*CI39/DATOS!$C$14&gt;DATOS!$C$99*AF39*CI39,-1,(1-SQRT((1-2*BI39*1E5/(DATOS!$C$29*AF39*CI39^2*DATOS!$C$21))))*DATOS!$C$21*AF39*CI39/DATOS!$C$14)))-0.0001,MAX(DATOS!$C$71,CEILING(CJ39/INDEX(TABLAS!$D$52:$D$58,MIN(MATCH(DATOS!$C$69,TABLAS!$B$52:$B$58,0)+2,7)),1)),MAX(MAX(DATOS!$C$71,CEILING(CJ39/INDEX(TABLAS!$D$52:$D$58,MIN(MATCH(DATOS!$C$69,TABLAS!$B$52:$B$58,0)+2,7)),1)),2))&lt;=MIN(DATOS!$C$70,INT(((DATOS!$C$80-2*AK39)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39&gt;=0,IF(MAX(DATOS!$C$71,CEILING(CJ39/INDEX(TABLAS!$D$52:$D$58,MIN(MATCH(DATOS!$C$69,TABLAS!$B$52:$B$58,0)+3,7)),1))*INDEX(TABLAS!$D$52:$D$58,MIN(MATCH(DATOS!$C$69,TABLAS!$B$52:$B$58,0)+3,7))&gt;=4/3*IF(BI39&lt;=0,0,IF((1-2*BI39*1E5/(DATOS!$C$29*AF39*CI39^2*DATOS!$C$21))&lt;0,-1,IF((1-SQRT((1-2*BI39*1E5/(DATOS!$C$29*AF39*CI39^2*DATOS!$C$21))))*DATOS!$C$21*AF39*CI39/DATOS!$C$14&gt;DATOS!$C$99*AF39*CI39,-1,(1-SQRT((1-2*BI39*1E5/(DATOS!$C$29*AF39*CI39^2*DATOS!$C$21))))*DATOS!$C$21*AF39*CI39/DATOS!$C$14)))-0.0001,MAX(DATOS!$C$71,CEILING(CJ39/INDEX(TABLAS!$D$52:$D$58,MIN(MATCH(DATOS!$C$69,TABLAS!$B$52:$B$58,0)+3,7)),1)),MAX(MAX(DATOS!$C$71,CEILING(CJ39/INDEX(TABLAS!$D$52:$D$58,MIN(MATCH(DATOS!$C$69,TABLAS!$B$52:$B$58,0)+3,7)),1)),2))&lt;=MIN(DATOS!$C$70,INT(((DATOS!$C$80-2*AK39)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39&gt;=0,IF(MAX(DATOS!$C$71,CEILING(CJ39/INDEX(TABLAS!$D$52:$D$58,MIN(MATCH(DATOS!$C$69,TABLAS!$B$52:$B$58,0)+4,7)),1))*INDEX(TABLAS!$D$52:$D$58,MIN(MATCH(DATOS!$C$69,TABLAS!$B$52:$B$58,0)+4,7))&gt;=4/3*IF(BI39&lt;=0,0,IF((1-2*BI39*1E5/(DATOS!$C$29*AF39*CI39^2*DATOS!$C$21))&lt;0,-1,IF((1-SQRT((1-2*BI39*1E5/(DATOS!$C$29*AF39*CI39^2*DATOS!$C$21))))*DATOS!$C$21*AF39*CI39/DATOS!$C$14&gt;DATOS!$C$99*AF39*CI39,-1,(1-SQRT((1-2*BI39*1E5/(DATOS!$C$29*AF39*CI39^2*DATOS!$C$21))))*DATOS!$C$21*AF39*CI39/DATOS!$C$14)))-0.0001,MAX(DATOS!$C$71,CEILING(CJ39/INDEX(TABLAS!$D$52:$D$58,MIN(MATCH(DATOS!$C$69,TABLAS!$B$52:$B$58,0)+4,7)),1)),MAX(MAX(DATOS!$C$71,CEILING(CJ39/INDEX(TABLAS!$D$52:$D$58,MIN(MATCH(DATOS!$C$69,TABLAS!$B$52:$B$58,0)+4,7)),1)),2))&lt;=MIN(DATOS!$C$70,INT(((DATOS!$C$80-2*AK39)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39" s="59" t="str">
        <f>IF(U39&lt;&gt;"SÍ","",IF(CJ39&lt;0,0,IF(MAX(DATOS!$C$71,CEILING(MAX(CJ39,0)/INDEX(TABLAS!$D$52:$D$58,MATCH(CK39,TABLAS!$B$52:$B$58,0)),1))*INDEX(TABLAS!$D$52:$D$58,MATCH(CK39,TABLAS!$B$52:$B$58,0))&gt;=4/3*IF(BI39&lt;=0,0,IF((1-2*BI39*1E5/(DATOS!$C$29*AF39*CI39^2*DATOS!$C$21))&lt;0,-1,IF((1-SQRT((1-2*BI39*1E5/(DATOS!$C$29*AF39*CI39^2*DATOS!$C$21))))*DATOS!$C$21*AF39*CI39/DATOS!$C$14&gt;DATOS!$C$99*AF39*CI39,-1,(1-SQRT((1-2*BI39*1E5/(DATOS!$C$29*AF39*CI39^2*DATOS!$C$21))))*DATOS!$C$21*AF39*CI39/DATOS!$C$14)))-0.0001,MAX(DATOS!$C$71,CEILING(MAX(CJ39,0)/INDEX(TABLAS!$D$52:$D$58,MATCH(CK39,TABLAS!$B$52:$B$58,0)),1)),MAX(MAX(DATOS!$C$71,CEILING(MAX(CJ39,0)/INDEX(TABLAS!$D$52:$D$58,MATCH(CK39,TABLAS!$B$52:$B$58,0)),1)),2))))</f>
        <v/>
      </c>
      <c r="CM39" s="58" t="str">
        <f>IF(U39&lt;&gt;"SÍ","",((DATOS!$C$82-AL39-2*DATOS!$C$94-INDEX(TABLAS!$C$52:$C$58,MATCH(BU39,TABLAS!$B$52:$B$58,0))-INDEX(TABLAS!$C$52:$C$58,MATCH(CK39,TABLAS!$B$52:$B$58,0))/2)-IF(AND((DATOS!$C$82-AL39-2*DATOS!$C$94-INDEX(TABLAS!$C$52:$C$58,MATCH(BU39,TABLAS!$B$52:$B$58,0))-INDEX(TABLAS!$C$52:$C$58,MATCH(CK39,TABLAS!$B$52:$B$58,0))/2)&lt;=20,DATOS!$C$62&lt;&gt;"SÍ"),2,0)))</f>
        <v/>
      </c>
      <c r="CN39" s="56" t="str">
        <f>IF(U39&lt;&gt;"SÍ","",IF(CL39=0,0,DATOS!$C$29*CL39*INDEX(TABLAS!$D$52:$D$58,MATCH(CK39,TABLAS!$B$52:$B$58,0))*DATOS!$C$14*(CM39-CL39*INDEX(TABLAS!$D$52:$D$58,MATCH(CK39,TABLAS!$B$52:$B$58,0))*DATOS!$C$14/(DATOS!$C$21*AF39)/2)/1E5))</f>
        <v/>
      </c>
      <c r="CO39" s="65" t="str">
        <f>IF(U39&lt;&gt;"SÍ","",IF(CJ39&lt;0,9.99,IF(CN39&gt;0,BI39/CN39,0)))</f>
        <v/>
      </c>
      <c r="CP39" s="66" t="str">
        <f>IF(U39&lt;&gt;"SÍ","",IF(CL39=0,"—",0.003*(CM39-(CL39*INDEX(TABLAS!$D$52:$D$58,MATCH(CK39,TABLAS!$B$52:$B$58,0))*DATOS!$C$14/(DATOS!$C$21*AF39)/DATOS!$C$22))/(CL39*INDEX(TABLAS!$D$52:$D$58,MATCH(CK39,TABLAS!$B$52:$B$58,0))*DATOS!$C$14/(DATOS!$C$21*AF39)/DATOS!$C$22)))</f>
        <v/>
      </c>
      <c r="CQ39" s="56" t="str">
        <f>IF(U39&lt;&gt;"SÍ","",IF(C39="PERIMETRAL",MAX(0,(AA39/2-BW39)/100)*(0.95-0.5*Z39)*AQ39*IF(AND(AR39&gt;0,AR39&lt;4),DATOS!$C$33,1)*DATOS!$C$83/100/1000,(AQ39*MAX(0,AA39-BW39)/100+DATOS!$C$26*N(O39))*DATOS!$C$83/100/1000+BE39))</f>
        <v/>
      </c>
      <c r="CR39" s="56" t="str">
        <f>IF(U39&lt;&gt;"SÍ","",DATOS!$C$30*2*MIN(1,SQRT(2/(1+0.04*BW39)))*(BV39*INDEX(TABLAS!$D$52:$D$58,MATCH(BU39,TABLAS!$B$52:$B$58,0))/(AE39*BW39))^(1/3)*SQRT(DATOS!$C$13)*AE39*BW39*IF(AI39="SÍ",DATOS!$C$32,1)/1000)</f>
        <v/>
      </c>
      <c r="CS39" s="59" t="str">
        <f>IF(U39&lt;&gt;"SÍ","",IF(CQ39&lt;=CR39,0,CEILING(MAX(0,IF(C39="VOLADO",(AA39-((CR39-BE39)*1E5/DATOS!$C$83-DATOS!$C$26*N(O39))*100/AQ39),IF(CR39&lt;=0,AA39,AA39/2-CR39/MAX(CQ39,1E-9)*(AA39/2-BW39)))-IF(INT((X39*100-DATOS!$C$84+DATOS!$C$80)/DATOS!$C$83)&gt;0,(X39*100-DATOS!$C$84-(INT((X39*100-DATOS!$C$84+DATOS!$C$80)/DATOS!$C$83)*DATOS!$C$78+(INT((X39*100-DATOS!$C$84+DATOS!$C$80)/DATOS!$C$83)-1)*DATOS!$C$80))/2,X39*100/2))/DATOS!$C$83,1)))</f>
        <v/>
      </c>
      <c r="CT39" s="67" t="str">
        <f>IF(U39&lt;&gt;"SÍ","",IF(CQ39&lt;=CR39,"CUMPLE",IF(CS39&lt;=0,"CUMPLE (basta el macizo de orilla)",IF(CS39*DATOS!$C$83*IF(C39="VOLADO",1,2)&gt;=X39*100-DATOS!$C$84,"NO CUMPLE: no alcanza ni macizando todo","MACIZAR "&amp;CS39&amp;" hilera(s)"))))</f>
        <v/>
      </c>
      <c r="CU39" s="58" t="str">
        <f>IF(U39&lt;&gt;"SÍ","",(DATOS!$C$83*DATOS!$C$81^2/2+AC39*DATOS!$C$79*(DATOS!$C$81+DATOS!$C$79/2))/(DATOS!$C$83*DATOS!$C$81+AC39*DATOS!$C$79))</f>
        <v/>
      </c>
      <c r="CV39" s="68" t="str">
        <f>IF(U39&lt;&gt;"SÍ","",DATOS!$C$83*DATOS!$C$81^3/12+DATOS!$C$83*DATOS!$C$81*(CU39-DATOS!$C$81/2)^2+AC39*DATOS!$C$79^3/12+AC39*DATOS!$C$79*(DATOS!$C$81+DATOS!$C$79/2-CU39)^2)</f>
        <v/>
      </c>
      <c r="CW39" s="58" t="str">
        <f>IF(U39&lt;&gt;"SÍ","",(12*CV39/DATOS!$C$83)^(1/3))</f>
        <v/>
      </c>
      <c r="CX39" s="58" t="str">
        <f>IF(U39&lt;&gt;"SÍ","",IF(C39="PERIMETRAL",IF(ISNUMBER(R39),R39,DATOS!$C$101),0))</f>
        <v/>
      </c>
      <c r="CY39" s="57" t="str">
        <f>IF(U39&lt;&gt;"SÍ","",IF(C39="PERIMETRAL",IF(CX39&gt;2,MAX(9,AB39*(0.8+DATOS!$C$14/14000)/(36+9*(AB39/MAX(AA39,1)))),IF(CX39&gt;0.2,MAX(13,AB39*(0.8+DATOS!$C$14/14000)/(36+5*(AB39/MAX(AA39,1))*(CX39-0.2))),MAX(13,AB39/IF(AR39&gt;0,30,33))))*IF(AND(CX39&gt;0.2,AR39&gt;0,DATOS!$C$102="NO"),1.1,1),X39*100/8))</f>
        <v/>
      </c>
      <c r="CZ39" s="61" t="str">
        <f>IF(U39&lt;&gt;"SÍ","",IF(IF(C39="VOLADO",DATOS!$C$82,CW39)&gt;=CY39,"CUMPLE",IF(C39="VOLADO","NO CUMPLE","CALCULAR FLECHA")))</f>
        <v/>
      </c>
      <c r="DA39" s="55" t="str">
        <f>IF(U39&lt;&gt;"SÍ","",IF(DATOS!$C$81&gt;=IF(IF(C39="VOLADO",X39,Y39)&gt;=6,6,5),"CUMPLE","CAPA ≥ 6 cm"))</f>
        <v/>
      </c>
      <c r="DB39" s="60" t="str">
        <f>IF(U39&lt;&gt;"SÍ","",IF(C39="VOLADO",MIN(CEILING(IF(ISNUMBER(P39),P39,X39)*100,5),CEILING(MAX(IF((0.5*(0.9*DATOS!$C$87*DATOS!$C$83/100/1000)*IF(ISNUMBER(P39),P39,X39)+BG39/IF(ISNUMBER(P39),P39,X39))^2-4*(0.5*(0.9*DATOS!$C$87*DATOS!$C$83/100/1000))*BG39&lt;0,IF(ISNUMBER(P39),P39,X39),MIN(IF(ISNUMBER(P39),P39,X39),((0.5*(0.9*DATOS!$C$87*DATOS!$C$83/100/1000)*IF(ISNUMBER(P39),P39,X39)+BG39/IF(ISNUMBER(P39),P39,X39))-SQRT((0.5*(0.9*DATOS!$C$87*DATOS!$C$83/100/1000)*IF(ISNUMBER(P39),P39,X39)+BG39/IF(ISNUMBER(P39),P39,X39))^2-4*(0.5*(0.9*DATOS!$C$87*DATOS!$C$83/100/1000))*BG39))/(2*(0.5*(0.9*DATOS!$C$87*DATOS!$C$83/100/1000)))))*100+MAX(BW39,12*INDEX(TABLAS!$C$52:$C$58,MATCH(BU39,TABLAS!$B$52:$B$58,0)),IF(ISNUMBER(P39),P39,X39)*100/16),IF(OR(AK39&lt;INDEX(TABLAS!$C$52:$C$58,MATCH(BU39,TABLAS!$B$52:$B$58,0)),AND(BV39&gt;=2,(AC39-2*AK39-BV39*INDEX(TABLAS!$C$52:$C$58,MATCH(BU39,TABLAS!$B$52:$B$58,0)))/MAX(BV39-1,1)&lt;2*INDEX(TABLAS!$C$52:$C$58,MATCH(BU39,TABLAS!$B$52:$B$58,0)))),INDEX(TABLAS!$I$52:$I$58,MATCH(BU39,TABLAS!$B$52:$B$58,0)),INDEX(TABLAS!$F$52:$F$58,MATCH(BU39,TABLAS!$B$52:$B$58,0)))),5)),IF(((4*((BB39*AQ39*X39^2*1E-4*DATOS!$C$83/100/1000)+((MAX(AX39,AZ39)*AQ39*X39^2*1E-4*DATOS!$C$83/100/1000)+(IF(AND(AX39&gt;0,AZ39&gt;0),MIN(AX39,AZ39),MAX(AX39,AZ39))*AQ39*X39^2*1E-4*DATOS!$C$83/100/1000))/2)+BG39-(IF(AND(AX39&gt;0,AZ39&gt;0),MIN(AX39,AZ39),MAX(AX39,AZ39))*AQ39*X39^2*1E-4*DATOS!$C$83/100/1000))^2-16*((BB39*AQ39*X39^2*1E-4*DATOS!$C$83/100/1000)+((MAX(AX39,AZ39)*AQ39*X39^2*1E-4*DATOS!$C$83/100/1000)+(IF(AND(AX39&gt;0,AZ39&gt;0),MIN(AX39,AZ39),MAX(AX39,AZ39))*AQ39*X39^2*1E-4*DATOS!$C$83/100/1000))/2)*BG39)&lt;0,CEILING(AA39,5),CEILING(MAX(AA39*((4*((BB39*AQ39*X39^2*1E-4*DATOS!$C$83/100/1000)+((MAX(AX39,AZ39)*AQ39*X39^2*1E-4*DATOS!$C$83/100/1000)+(IF(AND(AX39&gt;0,AZ39&gt;0),MIN(AX39,AZ39),MAX(AX39,AZ39))*AQ39*X39^2*1E-4*DATOS!$C$83/100/1000))/2)+BG39-(IF(AND(AX39&gt;0,AZ39&gt;0),MIN(AX39,AZ39),MAX(AX39,AZ39))*AQ39*X39^2*1E-4*DATOS!$C$83/100/1000))-SQRT(MAX(0,((4*((BB39*AQ39*X39^2*1E-4*DATOS!$C$83/100/1000)+((MAX(AX39,AZ39)*AQ39*X39^2*1E-4*DATOS!$C$83/100/1000)+(IF(AND(AX39&gt;0,AZ39&gt;0),MIN(AX39,AZ39),MAX(AX39,AZ39))*AQ39*X39^2*1E-4*DATOS!$C$83/100/1000))/2)+BG39-(IF(AND(AX39&gt;0,AZ39&gt;0),MIN(AX39,AZ39),MAX(AX39,AZ39))*AQ39*X39^2*1E-4*DATOS!$C$83/100/1000))^2-16*((BB39*AQ39*X39^2*1E-4*DATOS!$C$83/100/1000)+((MAX(AX39,AZ39)*AQ39*X39^2*1E-4*DATOS!$C$83/100/1000)+(IF(AND(AX39&gt;0,AZ39&gt;0),MIN(AX39,AZ39),MAX(AX39,AZ39))*AQ39*X39^2*1E-4*DATOS!$C$83/100/1000))/2)*BG39))))/(8*MAX(((BB39*AQ39*X39^2*1E-4*DATOS!$C$83/100/1000)+((MAX(AX39,AZ39)*AQ39*X39^2*1E-4*DATOS!$C$83/100/1000)+(IF(AND(AX39&gt;0,AZ39&gt;0),MIN(AX39,AZ39),MAX(AX39,AZ39))*AQ39*X39^2*1E-4*DATOS!$C$83/100/1000))/2),1E-9))+MAX(BW39,12*INDEX(TABLAS!$C$52:$C$58,MATCH(BU39,TABLAS!$B$52:$B$58,0)),AA39/16),IF(OR(AK39&lt;INDEX(TABLAS!$C$52:$C$58,MATCH(BU39,TABLAS!$B$52:$B$58,0)),AND(BV39&gt;=2,(AC39-2*AK39-BV39*INDEX(TABLAS!$C$52:$C$58,MATCH(BU39,TABLAS!$B$52:$B$58,0)))/MAX(BV39-1,1)&lt;2*INDEX(TABLAS!$C$52:$C$58,MATCH(BU39,TABLAS!$B$52:$B$58,0)))),INDEX(TABLAS!$I$52:$I$58,MATCH(BU39,TABLAS!$B$52:$B$58,0)),INDEX(TABLAS!$F$52:$F$58,MATCH(BU39,TABLAS!$B$52:$B$58,0)))),5))))</f>
        <v/>
      </c>
      <c r="DC39" s="60" t="str">
        <f>IF(U39&lt;&gt;"SÍ","",IF(C39="VOLADO",0,IF(((4*((BC39*AQ39*X39^2*1E-4*DATOS!$C$83/100/1000)+((MAX(AY39,BA39)*AQ39*X39^2*1E-4*DATOS!$C$83/100/1000)+(IF(AND(AY39&gt;0,BA39&gt;0),MIN(AY39,BA39),MAX(AY39,BA39))*AQ39*X39^2*1E-4*DATOS!$C$83/100/1000))/2)+BI39-(IF(AND(AY39&gt;0,BA39&gt;0),MIN(AY39,BA39),MAX(AY39,BA39))*AQ39*X39^2*1E-4*DATOS!$C$83/100/1000))^2-16*((BC39*AQ39*X39^2*1E-4*DATOS!$C$83/100/1000)+((MAX(AY39,BA39)*AQ39*X39^2*1E-4*DATOS!$C$83/100/1000)+(IF(AND(AY39&gt;0,BA39&gt;0),MIN(AY39,BA39),MAX(AY39,BA39))*AQ39*X39^2*1E-4*DATOS!$C$83/100/1000))/2)*BI39)&lt;0,CEILING(AB39,5),CEILING(MAX(AB39*((4*((BC39*AQ39*X39^2*1E-4*DATOS!$C$83/100/1000)+((MAX(AY39,BA39)*AQ39*X39^2*1E-4*DATOS!$C$83/100/1000)+(IF(AND(AY39&gt;0,BA39&gt;0),MIN(AY39,BA39),MAX(AY39,BA39))*AQ39*X39^2*1E-4*DATOS!$C$83/100/1000))/2)+BI39-(IF(AND(AY39&gt;0,BA39&gt;0),MIN(AY39,BA39),MAX(AY39,BA39))*AQ39*X39^2*1E-4*DATOS!$C$83/100/1000))-SQRT(MAX(0,((4*((BC39*AQ39*X39^2*1E-4*DATOS!$C$83/100/1000)+((MAX(AY39,BA39)*AQ39*X39^2*1E-4*DATOS!$C$83/100/1000)+(IF(AND(AY39&gt;0,BA39&gt;0),MIN(AY39,BA39),MAX(AY39,BA39))*AQ39*X39^2*1E-4*DATOS!$C$83/100/1000))/2)+BI39-(IF(AND(AY39&gt;0,BA39&gt;0),MIN(AY39,BA39),MAX(AY39,BA39))*AQ39*X39^2*1E-4*DATOS!$C$83/100/1000))^2-16*((BC39*AQ39*X39^2*1E-4*DATOS!$C$83/100/1000)+((MAX(AY39,BA39)*AQ39*X39^2*1E-4*DATOS!$C$83/100/1000)+(IF(AND(AY39&gt;0,BA39&gt;0),MIN(AY39,BA39),MAX(AY39,BA39))*AQ39*X39^2*1E-4*DATOS!$C$83/100/1000))/2)*BI39))))/(8*MAX(((BC39*AQ39*X39^2*1E-4*DATOS!$C$83/100/1000)+((MAX(AY39,BA39)*AQ39*X39^2*1E-4*DATOS!$C$83/100/1000)+(IF(AND(AY39&gt;0,BA39&gt;0),MIN(AY39,BA39),MAX(AY39,BA39))*AQ39*X39^2*1E-4*DATOS!$C$83/100/1000))/2),1E-9))+MAX(CM39,12*INDEX(TABLAS!$C$52:$C$58,MATCH(CK39,TABLAS!$B$52:$B$58,0)),AB39/16),IF(OR(AK39&lt;INDEX(TABLAS!$C$52:$C$58,MATCH(CK39,TABLAS!$B$52:$B$58,0)),AND(CL39&gt;=2,(DATOS!$C$80-2*AK39-CL39*INDEX(TABLAS!$C$52:$C$58,MATCH(CK39,TABLAS!$B$52:$B$58,0)))/MAX(CL39-1,1)&lt;2*INDEX(TABLAS!$C$52:$C$58,MATCH(CK39,TABLAS!$B$52:$B$58,0)))),INDEX(TABLAS!$I$52:$I$58,MATCH(CK39,TABLAS!$B$52:$B$58,0)),INDEX(TABLAS!$F$52:$F$58,MATCH(CK39,TABLAS!$B$52:$B$58,0)))),5))))</f>
        <v/>
      </c>
      <c r="DD39" s="55" t="str">
        <f>IF(U39&lt;&gt;"SÍ","",IF(AND(C39="PERIMETRAL",BV39&gt;=2,AR39-AS39&gt;0,AZ39*AQ39*X39^2*1E-4*DATOS!$C$83/100/1000&gt;DATOS!$C$29*INDEX(TABLAS!$D$52:$D$58,MATCH(BU39,TABLAS!$B$52:$B$58,0))*DATOS!$C$14*(BW39-INDEX(TABLAS!$D$52:$D$58,MATCH(BU39,TABLAS!$B$52:$B$58,0))*DATOS!$C$14/(DATOS!$C$21*AE39)/2)/1E5),"SÍ","NO"))</f>
        <v/>
      </c>
      <c r="DE39" s="55" t="str">
        <f>IF(U39&lt;&gt;"SÍ","",IF(AND(C39="PERIMETRAL",CL39&gt;=2,AS39&gt;0,BA39*AQ39*X39^2*1E-4*DATOS!$C$83/100/1000&gt;DATOS!$C$29*INDEX(TABLAS!$D$52:$D$58,MATCH(CK39,TABLAS!$B$52:$B$58,0))*DATOS!$C$14*(CM39-INDEX(TABLAS!$D$52:$D$58,MATCH(CK39,TABLAS!$B$52:$B$58,0))*DATOS!$C$14/(DATOS!$C$21*AF39)/2)/1E5),"SÍ","NO"))</f>
        <v/>
      </c>
      <c r="DF39" s="63" t="str">
        <f>IF(U39&lt;&gt;"SÍ","",IF(OR(C39="VOLADO",AR39=0),"—",IF(AND(AND(1.25*INDEX(TABLAS!$G$52:$G$58,MATCH(MAX(BM39,CC39),TABLAS!$B$52:$B$58,0))&lt;=(DATOS!$C$72-DATOS!$C$60),(DATOS!$C$72-DATOS!$C$60)&gt;=15,INDEX(TABLAS!$G$52:$G$58,MATCH(MAX(BU39,CK39),TABLAS!$B$52:$B$58,0))&lt;=(DATOS!$C$72-DATOS!$C$60)),8*INDEX(TABLAS!$C$52:$C$58,MATCH(MAX(MAX(BM39,CC39),MAX(BU39,CK39)),TABLAS!$B$52:$B$58,0))&lt;=DATOS!$C$73-2*DATOS!$C$60),"CUMPLE (gancho de 180°)",IF(AND(1.25*INDEX(TABLAS!$G$52:$G$58,MATCH(MAX(BM39,CC39),TABLAS!$B$52:$B$58,0))&lt;=(DATOS!$C$72-DATOS!$C$60),(DATOS!$C$72-DATOS!$C$60)&gt;=15,INDEX(TABLAS!$G$52:$G$58,MATCH(MAX(BU39,CK39),TABLAS!$B$52:$B$58,0))&lt;=(DATOS!$C$72-DATOS!$C$60)),"NO CUMPLE: el gancho de 180° (8·d_b) no cabe en el peralte de la dala de borde","NO CUMPLE: dala de borde ≥ "&amp;TEXT(CEILING(MAX(1.25*INDEX(TABLAS!$G$52:$G$58,MATCH(MAX(BM39,CC39),TABLAS!$B$52:$B$58,0)),15,INDEX(TABLAS!$G$52:$G$58,MATCH(MAX(BU39,CK39),TABLAS!$B$52:$B$58,0)))+DATOS!$C$60,5),"0")&amp;" cm de ancho"&amp;IF(8*INDEX(TABLAS!$C$52:$C$58,MATCH(MAX(MAX(BM39,CC39),MAX(BU39,CK39)),TABLAS!$B$52:$B$58,0))&lt;=DATOS!$C$73-2*DATOS!$C$60,""," y más peralte para el gancho")))))</f>
        <v/>
      </c>
      <c r="DG39" s="59" t="str">
        <f>IF(U39&lt;&gt;"SÍ","",MAX(0,INT((E39*100-DATOS!$C$84+DATOS!$C$83-IF(W39="X",DATOS!$C$78,AD39))/DATOS!$C$83)))</f>
        <v/>
      </c>
      <c r="DH39" s="59" t="str">
        <f>IF(U39&lt;&gt;"SÍ","",MAX(0,INT((F39*100-DATOS!$C$84+DATOS!$C$83-IF(W39="Y",DATOS!$C$78,AD39))/DATOS!$C$83)))</f>
        <v/>
      </c>
      <c r="DI39" s="57" t="str">
        <f>IF(U39&lt;&gt;"SÍ","",IF(DG39&gt;0,(E39*100-DATOS!$C$84-(DG39*IF(W39="X",DATOS!$C$78,AD39)+(DG39-1)*(DATOS!$C$83-IF(W39="X",DATOS!$C$78,AD39))))/2,E39*100/2))</f>
        <v/>
      </c>
      <c r="DJ39" s="57" t="str">
        <f>IF(U39&lt;&gt;"SÍ","",IF(DH39&gt;0,(F39*100-DATOS!$C$84-(DH39*IF(W39="Y",DATOS!$C$78,AD39)+(DH39-1)*(DATOS!$C$83-IF(W39="Y",DATOS!$C$78,AD39))))/2,F39*100/2))</f>
        <v/>
      </c>
      <c r="DK39" s="59" t="str">
        <f>IF(U39&lt;&gt;"SÍ","",IF(NOT(AND(C39="VOLADO",AC39&gt;DATOS!$C$80)),0,IF(INDEX(TABLAS!$C$52:$C$58,MATCH(BU39,TABLAS!$B$52:$B$58,0))&lt;=DATOS!$C$80-2*DATOS!$C$60,1,0)))</f>
        <v/>
      </c>
      <c r="DL39" s="58" t="str">
        <f>IF(U39&lt;&gt;"SÍ","",IF(NOT(AND(C39="VOLADO",AC39&gt;DATOS!$C$80)),0,((DATOS!$C$82-MAX(DATOS!$C$60,(DATOS!$C$81-2*DATOS!$C$94)/2)-2*DATOS!$C$94-INDEX(TABLAS!$C$52:$C$58,MATCH(BU39,TABLAS!$B$52:$B$58,0))/2)-IF(AND((DATOS!$C$82-MAX(DATOS!$C$60,(DATOS!$C$81-2*DATOS!$C$94)/2)-2*DATOS!$C$94-INDEX(TABLAS!$C$52:$C$58,MATCH(BU39,TABLAS!$B$52:$B$58,0))/2)&lt;=20,DATOS!$C$62&lt;&gt;"SÍ"),2,0))))</f>
        <v/>
      </c>
      <c r="DM39" s="56" t="str">
        <f>IF(U39&lt;&gt;"SÍ","",IF(OR(NOT(AND(C39="VOLADO",AC39&gt;DATOS!$C$80)),DK39&lt;1),0,IF(0.003*(DL39-((DK39*INDEX(TABLAS!$D$52:$D$58,MATCH(BU39,TABLAS!$B$52:$B$58,0)))*DATOS!$C$14/(DATOS!$C$21*AF39)/DATOS!$C$22))/((DK39*INDEX(TABLAS!$D$52:$D$58,MATCH(BU39,TABLAS!$B$52:$B$58,0)))*DATOS!$C$14/(DATOS!$C$21*AF39)/DATOS!$C$22)&lt;0.005,0,DATOS!$C$29*(DK39*INDEX(TABLAS!$D$52:$D$58,MATCH(BU39,TABLAS!$B$52:$B$58,0)))*DATOS!$C$14*(DL39-(DK39*INDEX(TABLAS!$D$52:$D$58,MATCH(BU39,TABLAS!$B$52:$B$58,0)))*DATOS!$C$14/(DATOS!$C$21*AF39)/2)/1E5)))</f>
        <v/>
      </c>
      <c r="DN39" s="56" t="str">
        <f>IF(U39&lt;&gt;"SÍ","",IF(OR(NOT(AND(C39="VOLADO",AC39&gt;DATOS!$C$80)),DK39&lt;1),0,DATOS!$C$30*2*MIN(1,SQRT(2/(1+0.04*DL39)))*((DK39*INDEX(TABLAS!$D$52:$D$58,MATCH(BU39,TABLAS!$B$52:$B$58,0)))/(AF39*DL39))^(1/3)*SQRT(DATOS!$C$13)*AF39*DL39/1000))</f>
        <v/>
      </c>
      <c r="DO39" s="56" t="str">
        <f>IF(U39&lt;&gt;"SÍ","",IF(NOT(AND(C39="VOLADO",AC39&gt;DATOS!$C$80)),0,IF((BG39-DM39)&lt;=0,0,IF(DM39&lt;=0,IF(ISNUMBER(P39),P39,X39),IF(((0.9*DATOS!$C$87*DATOS!$C$83/100/1000)*IF(ISNUMBER(P39),P39,X39)/2+BG39/IF(ISNUMBER(P39),P39,X39))^2-4*((0.9*DATOS!$C$87*DATOS!$C$83/100/1000)/2)*(BG39-DM39)&lt;0,IF(ISNUMBER(P39),P39,X39),MIN(IF(ISNUMBER(P39),P39,X39),(((0.9*DATOS!$C$87*DATOS!$C$83/100/1000)*IF(ISNUMBER(P39),P39,X39)/2+BG39/IF(ISNUMBER(P39),P39,X39))-SQRT(((0.9*DATOS!$C$87*DATOS!$C$83/100/1000)*IF(ISNUMBER(P39),P39,X39)/2+BG39/IF(ISNUMBER(P39),P39,X39))^2-4*((0.9*DATOS!$C$87*DATOS!$C$83/100/1000)/2)*(BG39-DM39)))/(2*((0.9*DATOS!$C$87*DATOS!$C$83/100/1000)/2))))))))</f>
        <v/>
      </c>
      <c r="DP39" s="56" t="str">
        <f>IF(U39&lt;&gt;"SÍ","",IF(NOT(AND(C39="VOLADO",AC39&gt;DATOS!$C$80)),0,MIN(IF(ISNUMBER(P39),P39,X39),MAX(0,IF(ISNUMBER(P39),P39,X39)/2+BG39/IF(ISNUMBER(P39),P39,X39)/(AQ39*DATOS!$C$83/100/1000)-DN39/(AQ39*DATOS!$C$83/100/1000)))))</f>
        <v/>
      </c>
      <c r="DQ39" s="56" t="str">
        <f>IF(U39&lt;&gt;"SÍ","",IF(NOT(AND(C39="VOLADO",AC39&gt;DATOS!$C$80)),0,BG39/IF(ISNUMBER(P39),P39,X39)+(AQ39*DATOS!$C$83/100/1000)*MAX(0,IF(ISNUMBER(P39),P39,X39)/2-BW39/100)))</f>
        <v/>
      </c>
      <c r="DR39" s="59" t="str">
        <f>IF(U39&lt;&gt;"SÍ","",IF(NOT(AND(C39="VOLADO",AC39&gt;DATOS!$C$80)),0,CEILING(100*MIN(IF(ISNUMBER(P39),P39,X39),MAX(IF(DO39&gt;0,DO39+IF(BV39&gt;=2,MAX(DL39,12*INDEX(TABLAS!$C$52:$C$58,MATCH(BU39,TABLAS!$B$52:$B$58,0)))/100,0),0),DP39,IF(BV39&gt;=2,INDEX(TABLAS!$F$52:$F$58,MATCH(BU39,TABLAS!$B$52:$B$58,0))/100,0))),5)))</f>
        <v/>
      </c>
      <c r="DS39" s="60" t="str">
        <f>IF(U39&lt;&gt;"SÍ","",IF(NOT(AND(C39="VOLADO",AC39&gt;DATOS!$C$80)),0,IF(DR39&lt;=0,0,CEILING(DR39/DATOS!$C$83,1))))</f>
        <v/>
      </c>
      <c r="DT39" s="61" t="str">
        <f>IF(U39&lt;&gt;"SÍ","",IF(C39&lt;&gt;"VOLADO","—",IF(AC39&lt;=DATOS!$C$80,"— (mismo b_w que el respaldo)",IF(DQ39&gt;CR39,"NO CUMPLE: cortante de la nervadura ancha junto al apoyo ("&amp;TEXT(DQ39,"0.00")&amp;" &gt; "&amp;TEXT(CR39,"0.00")&amp;" t)",IF(DR39&gt;=100*IF(ISNUMBER(P39),P39,X39),"CUMPLE — todas las nervaduras del respaldo ‖ al volado con b_w = "&amp;AC39&amp;" cm","CUMPLE — "&amp;DS39&amp;" hilera(s) del respaldo con nervaduras de b_w = "&amp;AC39&amp;" cm (casetón "&amp;AD39&amp;" cm), hasta "&amp;TEXT(DR39/100,"0.00")&amp;" m del paño")))))</f>
        <v/>
      </c>
      <c r="DU39" s="69" t="str">
        <f>IF(U39&lt;&gt;"SÍ","",IF(BN39=0,"NO ALCANZA",BN39&amp;" No. "&amp;BM39&amp;IF(BN39&gt;1," corridas"," corrida")))</f>
        <v/>
      </c>
      <c r="DV39" s="69" t="str">
        <f>IF(U39&lt;&gt;"SÍ","",IF(BV39=0,"NO ALCANZA",IF(AND(C39="VOLADO",AC39&gt;DATOS!$C$80,BV39&gt;=2),"1 No. "&amp;BU39&amp;" corrida de la orilla al respaldo ("&amp;IF(DB39&gt;=100*IF(ISNUMBER(P39),P39,X39),"hasta su apoyo lejano, con gancho","entra "&amp;TEXT(DB39/100,"0.00")&amp;" m desde el paño")&amp;") + "&amp;(BV39-1)&amp;" bastón No. "&amp;BU39&amp;" hasta "&amp;TEXT(DR39/100,"0.00")&amp;" m del paño (fin de la nervadura ancha)",IF(C39="VOLADO",BV39&amp;" No. "&amp;BU39&amp;" de la orilla al respaldo ("&amp;IF(DB39&gt;=100*IF(ISNUMBER(P39),P39,X39),"hasta su apoyo lejano, con gancho","entran "&amp;TEXT(DB39/100,"0.00")&amp;" m desde el paño")&amp;")","1 No. "&amp;BU39&amp;" corrida"&amp;IF(BV39&gt;1," + "&amp;(BV39-1)&amp;" bastón No. "&amp;BU39&amp;" L = "&amp;TEXT(DB39/100,"0.00")&amp;" m desde el paño","")))))</f>
        <v/>
      </c>
      <c r="DW39" s="69" t="str">
        <f>IF(U39&lt;&gt;"SÍ","",IF(CD39=0,"NO ALCANZA",CD39&amp;" No. "&amp;CC39&amp;IF(CD39&gt;1," corridas"," corrida")))</f>
        <v/>
      </c>
      <c r="DX39" s="69" t="str">
        <f>IF(U39&lt;&gt;"SÍ","",IF(CL39=0,"NO ALCANZA",IF(C39="VOLADO","1 No. "&amp;CK39&amp;" corrida (repartición)","1 No. "&amp;CK39&amp;" corrida"&amp;IF(CL39&gt;1," + "&amp;(CL39-1)&amp;" bastón No. "&amp;CK39&amp;" L = "&amp;TEXT(DC39/100,"0.00")&amp;" m desde el paño",""))))</f>
        <v/>
      </c>
      <c r="DY39" s="67" t="str">
        <f>IF(B39="","",IF(U39&lt;&gt;"SÍ","FALTAN DATOS: tipo, a_x, a_y y destino",IF(L39="NO MONOLÍTICO (caso II)","FUERA DE ALCANCE: caso II no transcrito",IF(AND(C39="VOLADO",V39="?"),"REVISAR: el volado lleva UN solo borde CONTINUO (el empotrado)",IF(AND(MAX(BQ39,BY39,CG39,CO39)&lt;=1,NOT(OR(BN39&gt;MIN(DATOS!$C$70,INT(((AC39-2*AJ39)+MAX(DATOS!$C$67,INDEX(TABLAS!$C$52:$C$58,MATCH(BM39,TABLAS!$B$52:$B$58,0))))/(INDEX(TABLAS!$C$52:$C$58,MATCH(BM39,TABLAS!$B$52:$B$58,0))+MAX(DATOS!$C$67,INDEX(TABLAS!$C$52:$C$58,MATCH(BM39,TABLAS!$B$52:$B$58,0)))))),BV39&gt;MIN(DATOS!$C$70,INT(((AC39-2*AK39)+MAX(DATOS!$C$67,INDEX(TABLAS!$C$52:$C$58,MATCH(BU39,TABLAS!$B$52:$B$58,0))))/(INDEX(TABLAS!$C$52:$C$58,MATCH(BU39,TABLAS!$B$52:$B$58,0))+MAX(DATOS!$C$67,INDEX(TABLAS!$C$52:$C$58,MATCH(BU39,TABLAS!$B$52:$B$58,0)))))),CD39&gt;MIN(DATOS!$C$70,INT(((DATOS!$C$80-2*AJ39)+MAX(DATOS!$C$67,INDEX(TABLAS!$C$52:$C$58,MATCH(CC39,TABLAS!$B$52:$B$58,0))))/(INDEX(TABLAS!$C$52:$C$58,MATCH(CC39,TABLAS!$B$52:$B$58,0))+MAX(DATOS!$C$67,INDEX(TABLAS!$C$52:$C$58,MATCH(CC39,TABLAS!$B$52:$B$58,0)))))),CL39&gt;MIN(DATOS!$C$70,INT(((DATOS!$C$80-2*AK39)+MAX(DATOS!$C$67,INDEX(TABLAS!$C$52:$C$58,MATCH(CK39,TABLAS!$B$52:$B$58,0))))/(INDEX(TABLAS!$C$52:$C$58,MATCH(CK39,TABLAS!$B$52:$B$58,0))+MAX(DATOS!$C$67,INDEX(TABLAS!$C$52:$C$58,MATCH(CK39,TABLAS!$B$52:$B$58,0)))))))),NOT(OR(AND(ISNUMBER(BR39),BR39&lt;0.005),AND(ISNUMBER(BZ39),BZ39&lt;0.005),AND(ISNUMBER(CH39),CH39&lt;0.005),AND(ISNUMBER(CP39),CP39&lt;0.005))),NOT(LEFT(DT39,2)="NO"),CZ39="CUMPLE",DA39="CUMPLE",LEFT(CT39,2)&lt;&gt;"NO"),IF(LEFT(CT39,6)="CUMPLE","CUMPLE","CUMPLE — "&amp;CT39)&amp;IF(LEFT(BJ39,5)="FUERA"," · fuera de 3.4.2.1 c)","")&amp;IF(LEFT(DF39,2)="NO"," · REVISAR anclaje en borde discontinuo","")&amp;IF(DS39&gt;0," · respaldo: "&amp;DS39&amp;" hilera(s) de b_w "&amp;AC39&amp;" cm",""),IF(AND(MAX(BQ39,BY39,CG39,CO39)&lt;=1,NOT(OR(BN39&gt;MIN(DATOS!$C$70,INT(((AC39-2*AJ39)+MAX(DATOS!$C$67,INDEX(TABLAS!$C$52:$C$58,MATCH(BM39,TABLAS!$B$52:$B$58,0))))/(INDEX(TABLAS!$C$52:$C$58,MATCH(BM39,TABLAS!$B$52:$B$58,0))+MAX(DATOS!$C$67,INDEX(TABLAS!$C$52:$C$58,MATCH(BM39,TABLAS!$B$52:$B$58,0)))))),BV39&gt;MIN(DATOS!$C$70,INT(((AC39-2*AK39)+MAX(DATOS!$C$67,INDEX(TABLAS!$C$52:$C$58,MATCH(BU39,TABLAS!$B$52:$B$58,0))))/(INDEX(TABLAS!$C$52:$C$58,MATCH(BU39,TABLAS!$B$52:$B$58,0))+MAX(DATOS!$C$67,INDEX(TABLAS!$C$52:$C$58,MATCH(BU39,TABLAS!$B$52:$B$58,0)))))),CD39&gt;MIN(DATOS!$C$70,INT(((DATOS!$C$80-2*AJ39)+MAX(DATOS!$C$67,INDEX(TABLAS!$C$52:$C$58,MATCH(CC39,TABLAS!$B$52:$B$58,0))))/(INDEX(TABLAS!$C$52:$C$58,MATCH(CC39,TABLAS!$B$52:$B$58,0))+MAX(DATOS!$C$67,INDEX(TABLAS!$C$52:$C$58,MATCH(CC39,TABLAS!$B$52:$B$58,0)))))),CL39&gt;MIN(DATOS!$C$70,INT(((DATOS!$C$80-2*AK39)+MAX(DATOS!$C$67,INDEX(TABLAS!$C$52:$C$58,MATCH(CK39,TABLAS!$B$52:$B$58,0))))/(INDEX(TABLAS!$C$52:$C$58,MATCH(CK39,TABLAS!$B$52:$B$58,0))+MAX(DATOS!$C$67,INDEX(TABLAS!$C$52:$C$58,MATCH(CK39,TABLAS!$B$52:$B$58,0)))))))),NOT(OR(AND(ISNUMBER(BR39),BR39&lt;0.005),AND(ISNUMBER(BZ39),BZ39&lt;0.005),AND(ISNUMBER(CH39),CH39&lt;0.005),AND(ISNUMBER(CP39),CP39&lt;0.005))),NOT(LEFT(DT39,2)="NO"),CZ39="CALCULAR FLECHA",LEFT(CT39,2)&lt;&gt;"NO"),"REVISAR: calcular flecha (h_eq &lt; h mín.)"&amp;IF(LEFT(BJ39,5)="FUERA"," · fuera de 3.4.2.1 c)","")&amp;IF(LEFT(DF39,2)="NO"," · REVISAR anclaje en borde discontinuo","")&amp;IF(DS39&gt;0," · respaldo: "&amp;DS39&amp;" hilera(s) de b_w "&amp;AC39&amp;" cm",""),"NO CUMPLE: "&amp;IF(MAX(BQ39,BY39,CG39,CO39)&gt;1,"flexión ","")&amp;IF(OR(BN39&gt;MIN(DATOS!$C$70,INT(((AC39-2*AJ39)+MAX(DATOS!$C$67,INDEX(TABLAS!$C$52:$C$58,MATCH(BM39,TABLAS!$B$52:$B$58,0))))/(INDEX(TABLAS!$C$52:$C$58,MATCH(BM39,TABLAS!$B$52:$B$58,0))+MAX(DATOS!$C$67,INDEX(TABLAS!$C$52:$C$58,MATCH(BM39,TABLAS!$B$52:$B$58,0)))))),BV39&gt;MIN(DATOS!$C$70,INT(((AC39-2*AK39)+MAX(DATOS!$C$67,INDEX(TABLAS!$C$52:$C$58,MATCH(BU39,TABLAS!$B$52:$B$58,0))))/(INDEX(TABLAS!$C$52:$C$58,MATCH(BU39,TABLAS!$B$52:$B$58,0))+MAX(DATOS!$C$67,INDEX(TABLAS!$C$52:$C$58,MATCH(BU39,TABLAS!$B$52:$B$58,0)))))),CD39&gt;MIN(DATOS!$C$70,INT(((DATOS!$C$80-2*AJ39)+MAX(DATOS!$C$67,INDEX(TABLAS!$C$52:$C$58,MATCH(CC39,TABLAS!$B$52:$B$58,0))))/(INDEX(TABLAS!$C$52:$C$58,MATCH(CC39,TABLAS!$B$52:$B$58,0))+MAX(DATOS!$C$67,INDEX(TABLAS!$C$52:$C$58,MATCH(CC39,TABLAS!$B$52:$B$58,0)))))),CL39&gt;MIN(DATOS!$C$70,INT(((DATOS!$C$80-2*AK39)+MAX(DATOS!$C$67,INDEX(TABLAS!$C$52:$C$58,MATCH(CK39,TABLAS!$B$52:$B$58,0))))/(INDEX(TABLAS!$C$52:$C$58,MATCH(CK39,TABLAS!$B$52:$B$58,0))+MAX(DATOS!$C$67,INDEX(TABLAS!$C$52:$C$58,MATCH(CK39,TABLAS!$B$52:$B$58,0))))))),"no caben ","")&amp;IF(OR(AND(ISNUMBER(BR39),BR39&lt;0.005),AND(ISNUMBER(BZ39),BZ39&lt;0.005),AND(ISNUMBER(CH39),CH39&lt;0.005),AND(ISNUMBER(CP39),CP39&lt;0.005)),"ε_t &lt; 0.005 ","")&amp;IF(LEFT(CT39,2)="NO","cortante ","")&amp;IF(CZ39="NO CUMPLE","peralte ","")&amp;IF(DA39&lt;&gt;"CUMPLE","capa &lt; 6 cm ","")&amp;IF(LEFT(DT39,2)="NO","respaldo del volado","")))))))</f>
        <v/>
      </c>
      <c r="DZ39" s="70" t="str">
        <f>IF(U39&lt;&gt;"SÍ","",IF(LEFT(B39,7)="EJEMPLO","EJEMPLO de la hoja de Casa Rocha: bórralo o sobrescríbelo. ","")&amp;IF(AND(C39="PERIMETRAL",MIN(DG39,DH39)=0),"No cabe un casetón en el claro corto: es un tablero macizo, diséñalo en MACIZAS. ","")&amp;IF(AND(AI39="NO",C39="PERIMETRAL"),"No cumple 6.7.8.1.4 (a_c = "&amp;MAX(DATOS!$C$78,AD39)&amp;" cm &gt; claro corto/6 = "&amp;TEXT(X39*100/6,"0")&amp;" cm): se diseña como losa apoyada en vigas (6.7.8.1.9): r de viga = "&amp;DATOS!$C$60&amp;" cm y V_cR sin ×1.1. Para que cuente como encasetonada: casetón de "&amp;TEXT(FLOOR(MIN(80,X39*100/6),1),"0")&amp;" cm o menor. ","")&amp;IF(C39="VOLADO","Volado de "&amp;TEXT(X39,"0.00")&amp;" m empotrado en el borde "&amp;LOWER(V39)&amp;IF(N(O39)&gt;0,", con "&amp;TEXT(O39,"0.0")&amp;" kg/m en la orilla","")&amp;". Lecho inferior con r_ext. Si la orilla carga pretil u otro elemento frágil, calcula la flecha (13.4). El acero superior entra al respaldo de "&amp;TEXT(IF(ISNUMBER(P39),P39,X39),"0.00")&amp;" m"&amp;IF(ISNUMBER(P39),""," (L_b no capturado: se tomó igual al volado)")&amp;" hasta pasar M = 0 con 0.9·PP sin carga viva; si ahí no se anula, llega al apoyo lejano y se ancla con gancho (NTC-Criterios 3.4.1 c y 5.1.2.2). "&amp;IF(AC39&gt;DATOS!$C$80,"Respaldo: "&amp;DT39&amp;". ",""),"")&amp;IF(LEFT(BJ39,5)="FUERA","El M⁻ del vecino difiere más de 50 % (3.4.2.1 c): distribuye el desequilibrio (3.4.3.1) o confirma con un modelo; se arma con el mayor. ","")&amp;IF(OR(DD39="SÍ",DE39="SÍ"),"El M⁻ del borde discontinuo pide bastón también ahí (con gancho). ","")&amp;IF(LEFT(DF39,2)="NO","Anclaje: "&amp;DF39&amp;" (6.7.8.1.7). ","")&amp;IF(OR(AZ39&gt;0,BA39&gt;0),"Esquinas exteriores sobre muro: refuerzo de esquina arriba y abajo en L_largo/5 (6.7.7.3.1). ",""))</f>
        <v/>
      </c>
    </row>
    <row r="40" ht="33" customHeight="1">
      <c r="A40" s="50">
        <f>IF(B40="",0,1)+A39</f>
        <v>4</v>
      </c>
      <c r="B40" s="29" t="n"/>
      <c r="C40" s="51" t="n"/>
      <c r="D40" s="29" t="n"/>
      <c r="E40" s="52" t="n"/>
      <c r="F40" s="52" t="n"/>
      <c r="G40" s="51" t="n"/>
      <c r="H40" s="51" t="n"/>
      <c r="I40" s="51" t="n"/>
      <c r="J40" s="51" t="n"/>
      <c r="K40" s="51" t="n"/>
      <c r="L40" s="51" t="n"/>
      <c r="M40" s="53" t="n"/>
      <c r="N40" s="53" t="n"/>
      <c r="O40" s="54" t="n"/>
      <c r="P40" s="52" t="n"/>
      <c r="Q40" s="53" t="n"/>
      <c r="R40" s="54" t="n"/>
      <c r="S40" s="52" t="n"/>
      <c r="T40" s="52" t="n"/>
      <c r="U40" s="55" t="str">
        <f>IF(B40="","",IF(AND(OR(C40="PERIMETRAL",C40="VOLADO"),ISNUMBER(E40),ISNUMBER(F40),E40&gt;0,F40&gt;0,OR(ISNUMBER(N40),ISNUMBER(MATCH(D40,DATOS!$B$46:$B$55,0)))),"SÍ","NO"))</f>
        <v/>
      </c>
      <c r="V40" s="55" t="str">
        <f>IF(U40&lt;&gt;"SÍ","",IF(C40&lt;&gt;"VOLADO","—",IF(COUNTIF(G40:J40,"CONTINUO")&lt;&gt;1,"?",IF(G40="CONTINUO","INFERIOR",IF(H40="CONTINUO","SUPERIOR",IF(I40="CONTINUO","IZQUIERDO","DERECHO"))))))</f>
        <v/>
      </c>
      <c r="W40" s="55" t="str">
        <f>IF(U40&lt;&gt;"SÍ","",IF(C40="VOLADO",IF(OR(V40="IZQUIERDO",V40="DERECHO"),"X","Y"),IF(E40&lt;=F40,"X","Y")))</f>
        <v/>
      </c>
      <c r="X40" s="56" t="str">
        <f>IF(U40&lt;&gt;"SÍ","",IF(C40="VOLADO",IF(W40="X",E40,F40),MIN(E40,F40)))</f>
        <v/>
      </c>
      <c r="Y40" s="56" t="str">
        <f>IF(U40&lt;&gt;"SÍ","",IF(C40="VOLADO",IF(W40="X",F40,E40),MAX(E40,F40)))</f>
        <v/>
      </c>
      <c r="Z40" s="56" t="str">
        <f>IF(U40&lt;&gt;"SÍ","",MIN(X40,Y40)/MAX(X40,Y40))</f>
        <v/>
      </c>
      <c r="AA40" s="57" t="str">
        <f>IF(U40&lt;&gt;"SÍ","",MAX(1,X40*100-IF(C40="VOLADO",DATOS!$C$84/2,DATOS!$C$84)))</f>
        <v/>
      </c>
      <c r="AB40" s="57" t="str">
        <f>IF(U40&lt;&gt;"SÍ","",MAX(1,Y40*100-DATOS!$C$84))</f>
        <v/>
      </c>
      <c r="AC40" s="57" t="str">
        <f>IF(U40&lt;&gt;"SÍ","",IF(ISNUMBER(Q40),Q40,DATOS!$C$80))</f>
        <v/>
      </c>
      <c r="AD40" s="57" t="str">
        <f>IF(U40&lt;&gt;"SÍ","",MAX(0,DATOS!$C$83-AC40))</f>
        <v/>
      </c>
      <c r="AE40" s="57" t="str">
        <f>IF(U40&lt;&gt;"SÍ","",IF(OR(DATOS!$C$62="SÍ",AC40&gt;=20),AC40,AC40-2))</f>
        <v/>
      </c>
      <c r="AF40" s="57" t="str">
        <f>IF(U40&lt;&gt;"SÍ","",IF(OR(DATOS!$C$62="SÍ",DATOS!$C$80&gt;=20),DATOS!$C$80,DATOS!$C$80-2))</f>
        <v/>
      </c>
      <c r="AG40" s="57" t="str">
        <f>IF(U40&lt;&gt;"SÍ","",MIN(DATOS!$C$83,AC40+2*MIN(8*DATOS!$C$81,AD40/2,AA40/8)))</f>
        <v/>
      </c>
      <c r="AH40" s="57" t="str">
        <f>IF(U40&lt;&gt;"SÍ","",MIN(DATOS!$C$83,DATOS!$C$80+2*MIN(8*DATOS!$C$81,DATOS!$C$78/2,AB40/8)))</f>
        <v/>
      </c>
      <c r="AI40" s="55" t="str">
        <f>IF(U40&lt;&gt;"SÍ","",IF(AND(C40="PERIMETRAL",X40*100&gt;=6*MAX(DATOS!$C$78,AD40),MAX(DATOS!$C$78,AD40)&lt;=80,MIN(DATOS!$C$80,AC40)&gt;=10,DATOS!$C$82&lt;=3.5*MIN(DATOS!$C$80,AC40),DATOS!$C$81&gt;=MAX(MAX(DATOS!$C$78,AD40)/13,5)),"SÍ","NO"))</f>
        <v/>
      </c>
      <c r="AJ40" s="57" t="str">
        <f>IF(U40&lt;&gt;"SÍ","",IF(C40="VOLADO",DATOS!$C$61,IF(AI40="NO",DATOS!$C$60,DATOS!$C$59)))</f>
        <v/>
      </c>
      <c r="AK40" s="57" t="str">
        <f>IF(U40&lt;&gt;"SÍ","",IF(OR(AND(AM40="SÍ",DATOS!$C$63="SÍ"),AND(C40="VOLADO",DATOS!$C$64="SÍ")),DATOS!$C$61,IF(AI40="NO",DATOS!$C$60,DATOS!$C$59)))</f>
        <v/>
      </c>
      <c r="AL40" s="58" t="str">
        <f>IF(U40&lt;&gt;"SÍ","",MAX(AK40,(DATOS!$C$81-2*DATOS!$C$94)/2))</f>
        <v/>
      </c>
      <c r="AM40" s="55" t="str">
        <f>IF(U40&lt;&gt;"SÍ","",IFERROR(INDEX(DATOS!$D$46:$D$55,MATCH(D40,DATOS!$B$46:$B$55,0)),"NO"))</f>
        <v/>
      </c>
      <c r="AN40" s="59" t="str">
        <f>IF(U40&lt;&gt;"SÍ","",IF(ISNUMBER(N40),N40,IFERROR(INDEX(DATOS!$C$46:$C$55,MATCH(D40,DATOS!$B$46:$B$55,0)),0)))</f>
        <v/>
      </c>
      <c r="AO40" s="59" t="str">
        <f>IF(U40&lt;&gt;"SÍ","",(DATOS!$C$82/100-(AD40*DATOS!$C$78/DATOS!$C$83^2)*DATOS!$C$79/100)*DATOS!$C$16*1000+(AD40*DATOS!$C$78/DATOS!$C$83^2)*DATOS!$C$79/100*DATOS!$C$17*1000+DATOS!$C$37+DATOS!$C$38)</f>
        <v/>
      </c>
      <c r="AP40" s="59" t="str">
        <f>IF(U40&lt;&gt;"SÍ","",AO40+N(M40))</f>
        <v/>
      </c>
      <c r="AQ40" s="60" t="str">
        <f>IF(U40&lt;&gt;"SÍ","",MAX(DATOS!$C$26*AP40+DATOS!$C$27*AN40,IF(AM40="SÍ",DATOS!$C$28*(AP40+DATOS!$C$41),0)))</f>
        <v/>
      </c>
      <c r="AR40" s="59" t="str">
        <f>IF(U40&lt;&gt;"SÍ","",(G40="DISCONTINUO")+(H40="DISCONTINUO")+(I40="DISCONTINUO")+(J40="DISCONTINUO"))</f>
        <v/>
      </c>
      <c r="AS40" s="59" t="str">
        <f>IF(U40&lt;&gt;"SÍ","",IF(W40="X",(G40="DISCONTINUO")+(H40="DISCONTINUO"),(I40="DISCONTINUO")+(J40="DISCONTINUO")))</f>
        <v/>
      </c>
      <c r="AT40" s="55" t="str">
        <f>IF(U40&lt;&gt;"SÍ","",IF(AR40=0,"INTERIOR",IF(AR40=1,IF(AS40=1,"BORDE-CORTO","BORDE-LARGO"),IF(AR40=2,IF(AS40=1,"ESQUINA",IF(AS40=2,"EXTREMO-LARGO","EXTREMO-CORTO")),IF(AR40=3,IF(AS40=2,"EXTREMO-LARGO","EXTREMO-CORTO"),"AISLADO")))))</f>
        <v/>
      </c>
      <c r="AU40" s="61" t="str">
        <f>IF(U40&lt;&gt;"SÍ","",IF(OR(K40="",K40="AUTO"),AT40,K40))</f>
        <v/>
      </c>
      <c r="AV40" s="59" t="str">
        <f>IF(U40&lt;&gt;"SÍ","",MATCH(Z40,TABLAS!$D$5:$J$5,1))</f>
        <v/>
      </c>
      <c r="AW40" s="58" t="str">
        <f>IF(U40&lt;&gt;"SÍ","",IF(AV40&gt;=7,0,(Z40-INDEX(TABLAS!$D$5:$J$5,AV40))/(INDEX(TABLAS!$D$5:$J$5,AV40+1)-INDEX(TABLAS!$D$5:$J$5,AV40))))</f>
        <v/>
      </c>
      <c r="AX40" s="59" t="str">
        <f>IF(U40&lt;&gt;"SÍ","",INDEX(TABLAS!$D$6:$J$47,MATCH(AU40&amp;"|NIC",TABLAS!$B$6:$B$47,0),AV40)+AW40*(INDEX(TABLAS!$D$6:$J$47,MATCH(AU40&amp;"|NIC",TABLAS!$B$6:$B$47,0),MIN(AV40+1,7))-INDEX(TABLAS!$D$6:$J$47,MATCH(AU40&amp;"|NIC",TABLAS!$B$6:$B$47,0),AV40)))</f>
        <v/>
      </c>
      <c r="AY40" s="59" t="str">
        <f>IF(U40&lt;&gt;"SÍ","",INDEX(TABLAS!$D$6:$J$47,MATCH(AU40&amp;"|NIL",TABLAS!$B$6:$B$47,0),AV40)+AW40*(INDEX(TABLAS!$D$6:$J$47,MATCH(AU40&amp;"|NIL",TABLAS!$B$6:$B$47,0),MIN(AV40+1,7))-INDEX(TABLAS!$D$6:$J$47,MATCH(AU40&amp;"|NIL",TABLAS!$B$6:$B$47,0),AV40)))</f>
        <v/>
      </c>
      <c r="AZ40" s="59" t="str">
        <f>IF(U40&lt;&gt;"SÍ","",INDEX(TABLAS!$D$6:$J$47,MATCH(AU40&amp;"|NDC",TABLAS!$B$6:$B$47,0),AV40)+AW40*(INDEX(TABLAS!$D$6:$J$47,MATCH(AU40&amp;"|NDC",TABLAS!$B$6:$B$47,0),MIN(AV40+1,7))-INDEX(TABLAS!$D$6:$J$47,MATCH(AU40&amp;"|NDC",TABLAS!$B$6:$B$47,0),AV40)))</f>
        <v/>
      </c>
      <c r="BA40" s="59" t="str">
        <f>IF(U40&lt;&gt;"SÍ","",INDEX(TABLAS!$D$6:$J$47,MATCH(AU40&amp;"|NDL",TABLAS!$B$6:$B$47,0),AV40)+AW40*(INDEX(TABLAS!$D$6:$J$47,MATCH(AU40&amp;"|NDL",TABLAS!$B$6:$B$47,0),MIN(AV40+1,7))-INDEX(TABLAS!$D$6:$J$47,MATCH(AU40&amp;"|NDL",TABLAS!$B$6:$B$47,0),AV40)))</f>
        <v/>
      </c>
      <c r="BB40" s="59" t="str">
        <f>IF(U40&lt;&gt;"SÍ","",INDEX(TABLAS!$D$6:$J$47,MATCH(AU40&amp;"|PC",TABLAS!$B$6:$B$47,0),AV40)+AW40*(INDEX(TABLAS!$D$6:$J$47,MATCH(AU40&amp;"|PC",TABLAS!$B$6:$B$47,0),MIN(AV40+1,7))-INDEX(TABLAS!$D$6:$J$47,MATCH(AU40&amp;"|PC",TABLAS!$B$6:$B$47,0),AV40)))</f>
        <v/>
      </c>
      <c r="BC40" s="59" t="str">
        <f>IF(U40&lt;&gt;"SÍ","",INDEX(TABLAS!$D$6:$J$47,MATCH(AU40&amp;"|PL",TABLAS!$B$6:$B$47,0),AV40)+AW40*(INDEX(TABLAS!$D$6:$J$47,MATCH(AU40&amp;"|PL",TABLAS!$B$6:$B$47,0),MIN(AV40+1,7))-INDEX(TABLAS!$D$6:$J$47,MATCH(AU40&amp;"|PL",TABLAS!$B$6:$B$47,0),AV40)))</f>
        <v/>
      </c>
      <c r="BD40" s="56" t="str">
        <f>IF(U40&lt;&gt;"SÍ","",IF(C40&lt;&gt;"VOLADO",0,DATOS!$C$26*DATOS!$C$16*DATOS!$C$83/100*(((AD40*DATOS!$C$78/DATOS!$C$83^2)*DATOS!$C$79/100)*(IF(W40="X",DI40,DJ40)+DATOS!$C$84/2)/100*(AA40-(IF(W40="X",DI40,DJ40)+DATOS!$C$84/2)/2)/100+((AD40*DATOS!$C$78/DATOS!$C$83^2)*DATOS!$C$79/100)*IF(W40="X",DI40,DJ40)/100*IF(W40="X",DI40,DJ40)/200)))</f>
        <v/>
      </c>
      <c r="BE40" s="56" t="str">
        <f>IF(U40&lt;&gt;"SÍ","",IF(C40&lt;&gt;"VOLADO",0,DATOS!$C$26*DATOS!$C$16*DATOS!$C$83/100*((AD40*DATOS!$C$78/DATOS!$C$83^2)*DATOS!$C$79/100)*(IF(W40="X",DI40,DJ40)+DATOS!$C$84/2)/100))</f>
        <v/>
      </c>
      <c r="BF40" s="56" t="str">
        <f>IF(U40&lt;&gt;"SÍ","",IF(C40="PERIMETRAL",BB40*AQ40*X40^2*1E-4*DATOS!$C$83/100/1000,0))</f>
        <v/>
      </c>
      <c r="BG40" s="62" t="str">
        <f>IF(U40&lt;&gt;"SÍ","",IF(C40="PERIMETRAL",MAX(MAX(AX40,AZ40)*AQ40*X40^2*1E-4*DATOS!$C$83/100/1000,N(S40)),(AQ40*(AA40/100)^2/2+DATOS!$C$26*N(O40)*AA40/100)*DATOS!$C$83/100/1000+BD40))</f>
        <v/>
      </c>
      <c r="BH40" s="56" t="str">
        <f>IF(U40&lt;&gt;"SÍ","",IF(C40="PERIMETRAL",BC40*AQ40*X40^2*1E-4*DATOS!$C$83/100/1000,0))</f>
        <v/>
      </c>
      <c r="BI40" s="56" t="str">
        <f>IF(U40&lt;&gt;"SÍ","",IF(C40="PERIMETRAL",MAX(MAX(AY40,BA40)*AQ40*X40^2*1E-4*DATOS!$C$83/100/1000,N(T40)),0))</f>
        <v/>
      </c>
      <c r="BJ40" s="63" t="str">
        <f>IF(U40&lt;&gt;"SÍ","",IF(C40&lt;&gt;"PERIMETRAL","—",IF(AND(N(S40)=0,N(T40)=0),"— (sin M⁻ del vecino)",IF(OR(AND(N(S40)&gt;0,ABS(MAX(AX40,AZ40)*AQ40*X40^2*1E-4*DATOS!$C$83/100/1000-N(S40))&gt;0.5*MIN(MAX(AX40,AZ40)*AQ40*X40^2*1E-4*DATOS!$C$83/100/1000,N(S40))),AND(N(T40)&gt;0,ABS(MAX(AY40,BA40)*AQ40*X40^2*1E-4*DATOS!$C$83/100/1000-N(T40))&gt;0.5*MIN(MAX(AY40,BA40)*AQ40*X40^2*1E-4*DATOS!$C$83/100/1000,N(T40)))),"FUERA: difieren &gt; 50 %"&amp;IF(AND(N(S40)&gt;0,ABS(MAX(AX40,AZ40)*AQ40*X40^2*1E-4*DATOS!$C$83/100/1000-N(S40))&gt;0.5*MIN(MAX(AX40,AZ40)*AQ40*X40^2*1E-4*DATOS!$C$83/100/1000,N(S40)))," ‖ corto","")&amp;IF(AND(N(T40)&gt;0,ABS(MAX(AY40,BA40)*AQ40*X40^2*1E-4*DATOS!$C$83/100/1000-N(T40))&gt;0.5*MIN(MAX(AY40,BA40)*AQ40*X40^2*1E-4*DATOS!$C$83/100/1000,N(T40)))," ‖ largo",""),"CUMPLE"))))</f>
        <v/>
      </c>
      <c r="BK40" s="58" t="str">
        <f>IF(U40&lt;&gt;"SÍ","",(DATOS!$C$82-AJ40-INDEX(TABLAS!$C$52:$C$58,MATCH(DATOS!$C$68,TABLAS!$B$52:$B$58,0))/2))</f>
        <v/>
      </c>
      <c r="BL40" s="58" t="str">
        <f>IF(U40&lt;&gt;"SÍ","",IF(IF(BF40&lt;=0,0,IF((1-2*BF40*1E5/(DATOS!$C$29*AG40*BK40^2*DATOS!$C$21))&lt;0,-1,IF((1-SQRT((1-2*BF40*1E5/(DATOS!$C$29*AG40*BK40^2*DATOS!$C$21))))*DATOS!$C$21*AG40*BK40/DATOS!$C$14&gt;DATOS!$C$99*AG40*BK40,-1,(1-SQRT((1-2*BF40*1E5/(DATOS!$C$29*AG40*BK40^2*DATOS!$C$21))))*DATOS!$C$21*AG40*BK40/DATOS!$C$14)))&lt;0,-1,MAX(IF(BF40&lt;=0,0,IF((1-2*BF40*1E5/(DATOS!$C$29*AG40*BK40^2*DATOS!$C$21))&lt;0,-1,IF((1-SQRT((1-2*BF40*1E5/(DATOS!$C$29*AG40*BK40^2*DATOS!$C$21))))*DATOS!$C$21*AG40*BK40/DATOS!$C$14&gt;DATOS!$C$99*AG40*BK40,-1,(1-SQRT((1-2*BF40*1E5/(DATOS!$C$29*AG40*BK40^2*DATOS!$C$21))))*DATOS!$C$21*AG40*BK40/DATOS!$C$14))),MIN(DATOS!$C$100*AC40*BK40,4/3*IF(BF40&lt;=0,0,IF((1-2*BF40*1E5/(DATOS!$C$29*AG40*BK40^2*DATOS!$C$21))&lt;0,-1,IF((1-SQRT((1-2*BF40*1E5/(DATOS!$C$29*AG40*BK40^2*DATOS!$C$21))))*DATOS!$C$21*AG40*BK40/DATOS!$C$14&gt;DATOS!$C$99*AG40*BK40,-1,(1-SQRT((1-2*BF40*1E5/(DATOS!$C$29*AG40*BK40^2*DATOS!$C$21))))*DATOS!$C$21*AG40*BK40/DATOS!$C$14)))))))</f>
        <v/>
      </c>
      <c r="BM40" s="64" t="str">
        <f>IF(U40&lt;&gt;"SÍ","",IF(AND(BL40&gt;=0,IF(MAX(DATOS!$C$71,CEILING(BL40/INDEX(TABLAS!$D$52:$D$58,MIN(MATCH(DATOS!$C$68,TABLAS!$B$52:$B$58,0)+0,7)),1))*INDEX(TABLAS!$D$52:$D$58,MIN(MATCH(DATOS!$C$68,TABLAS!$B$52:$B$58,0)+0,7))&gt;=4/3*IF(BF40&lt;=0,0,IF((1-2*BF40*1E5/(DATOS!$C$29*AG40*BK40^2*DATOS!$C$21))&lt;0,-1,IF((1-SQRT((1-2*BF40*1E5/(DATOS!$C$29*AG40*BK40^2*DATOS!$C$21))))*DATOS!$C$21*AG40*BK40/DATOS!$C$14&gt;DATOS!$C$99*AG40*BK40,-1,(1-SQRT((1-2*BF40*1E5/(DATOS!$C$29*AG40*BK40^2*DATOS!$C$21))))*DATOS!$C$21*AG40*BK40/DATOS!$C$14)))-0.0001,MAX(DATOS!$C$71,CEILING(BL40/INDEX(TABLAS!$D$52:$D$58,MIN(MATCH(DATOS!$C$68,TABLAS!$B$52:$B$58,0)+0,7)),1)),MAX(MAX(DATOS!$C$71,CEILING(BL40/INDEX(TABLAS!$D$52:$D$58,MIN(MATCH(DATOS!$C$68,TABLAS!$B$52:$B$58,0)+0,7)),1)),2))&lt;=MIN(DATOS!$C$70,INT(((AC40-2*AJ40)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40&gt;=0,IF(MAX(DATOS!$C$71,CEILING(BL40/INDEX(TABLAS!$D$52:$D$58,MIN(MATCH(DATOS!$C$68,TABLAS!$B$52:$B$58,0)+1,7)),1))*INDEX(TABLAS!$D$52:$D$58,MIN(MATCH(DATOS!$C$68,TABLAS!$B$52:$B$58,0)+1,7))&gt;=4/3*IF(BF40&lt;=0,0,IF((1-2*BF40*1E5/(DATOS!$C$29*AG40*BK40^2*DATOS!$C$21))&lt;0,-1,IF((1-SQRT((1-2*BF40*1E5/(DATOS!$C$29*AG40*BK40^2*DATOS!$C$21))))*DATOS!$C$21*AG40*BK40/DATOS!$C$14&gt;DATOS!$C$99*AG40*BK40,-1,(1-SQRT((1-2*BF40*1E5/(DATOS!$C$29*AG40*BK40^2*DATOS!$C$21))))*DATOS!$C$21*AG40*BK40/DATOS!$C$14)))-0.0001,MAX(DATOS!$C$71,CEILING(BL40/INDEX(TABLAS!$D$52:$D$58,MIN(MATCH(DATOS!$C$68,TABLAS!$B$52:$B$58,0)+1,7)),1)),MAX(MAX(DATOS!$C$71,CEILING(BL40/INDEX(TABLAS!$D$52:$D$58,MIN(MATCH(DATOS!$C$68,TABLAS!$B$52:$B$58,0)+1,7)),1)),2))&lt;=MIN(DATOS!$C$70,INT(((AC40-2*AJ40)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40&gt;=0,IF(MAX(DATOS!$C$71,CEILING(BL40/INDEX(TABLAS!$D$52:$D$58,MIN(MATCH(DATOS!$C$68,TABLAS!$B$52:$B$58,0)+2,7)),1))*INDEX(TABLAS!$D$52:$D$58,MIN(MATCH(DATOS!$C$68,TABLAS!$B$52:$B$58,0)+2,7))&gt;=4/3*IF(BF40&lt;=0,0,IF((1-2*BF40*1E5/(DATOS!$C$29*AG40*BK40^2*DATOS!$C$21))&lt;0,-1,IF((1-SQRT((1-2*BF40*1E5/(DATOS!$C$29*AG40*BK40^2*DATOS!$C$21))))*DATOS!$C$21*AG40*BK40/DATOS!$C$14&gt;DATOS!$C$99*AG40*BK40,-1,(1-SQRT((1-2*BF40*1E5/(DATOS!$C$29*AG40*BK40^2*DATOS!$C$21))))*DATOS!$C$21*AG40*BK40/DATOS!$C$14)))-0.0001,MAX(DATOS!$C$71,CEILING(BL40/INDEX(TABLAS!$D$52:$D$58,MIN(MATCH(DATOS!$C$68,TABLAS!$B$52:$B$58,0)+2,7)),1)),MAX(MAX(DATOS!$C$71,CEILING(BL40/INDEX(TABLAS!$D$52:$D$58,MIN(MATCH(DATOS!$C$68,TABLAS!$B$52:$B$58,0)+2,7)),1)),2))&lt;=MIN(DATOS!$C$70,INT(((AC40-2*AJ40)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40&gt;=0,IF(MAX(DATOS!$C$71,CEILING(BL40/INDEX(TABLAS!$D$52:$D$58,MIN(MATCH(DATOS!$C$68,TABLAS!$B$52:$B$58,0)+3,7)),1))*INDEX(TABLAS!$D$52:$D$58,MIN(MATCH(DATOS!$C$68,TABLAS!$B$52:$B$58,0)+3,7))&gt;=4/3*IF(BF40&lt;=0,0,IF((1-2*BF40*1E5/(DATOS!$C$29*AG40*BK40^2*DATOS!$C$21))&lt;0,-1,IF((1-SQRT((1-2*BF40*1E5/(DATOS!$C$29*AG40*BK40^2*DATOS!$C$21))))*DATOS!$C$21*AG40*BK40/DATOS!$C$14&gt;DATOS!$C$99*AG40*BK40,-1,(1-SQRT((1-2*BF40*1E5/(DATOS!$C$29*AG40*BK40^2*DATOS!$C$21))))*DATOS!$C$21*AG40*BK40/DATOS!$C$14)))-0.0001,MAX(DATOS!$C$71,CEILING(BL40/INDEX(TABLAS!$D$52:$D$58,MIN(MATCH(DATOS!$C$68,TABLAS!$B$52:$B$58,0)+3,7)),1)),MAX(MAX(DATOS!$C$71,CEILING(BL40/INDEX(TABLAS!$D$52:$D$58,MIN(MATCH(DATOS!$C$68,TABLAS!$B$52:$B$58,0)+3,7)),1)),2))&lt;=MIN(DATOS!$C$70,INT(((AC40-2*AJ40)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40&gt;=0,IF(MAX(DATOS!$C$71,CEILING(BL40/INDEX(TABLAS!$D$52:$D$58,MIN(MATCH(DATOS!$C$68,TABLAS!$B$52:$B$58,0)+4,7)),1))*INDEX(TABLAS!$D$52:$D$58,MIN(MATCH(DATOS!$C$68,TABLAS!$B$52:$B$58,0)+4,7))&gt;=4/3*IF(BF40&lt;=0,0,IF((1-2*BF40*1E5/(DATOS!$C$29*AG40*BK40^2*DATOS!$C$21))&lt;0,-1,IF((1-SQRT((1-2*BF40*1E5/(DATOS!$C$29*AG40*BK40^2*DATOS!$C$21))))*DATOS!$C$21*AG40*BK40/DATOS!$C$14&gt;DATOS!$C$99*AG40*BK40,-1,(1-SQRT((1-2*BF40*1E5/(DATOS!$C$29*AG40*BK40^2*DATOS!$C$21))))*DATOS!$C$21*AG40*BK40/DATOS!$C$14)))-0.0001,MAX(DATOS!$C$71,CEILING(BL40/INDEX(TABLAS!$D$52:$D$58,MIN(MATCH(DATOS!$C$68,TABLAS!$B$52:$B$58,0)+4,7)),1)),MAX(MAX(DATOS!$C$71,CEILING(BL40/INDEX(TABLAS!$D$52:$D$58,MIN(MATCH(DATOS!$C$68,TABLAS!$B$52:$B$58,0)+4,7)),1)),2))&lt;=MIN(DATOS!$C$70,INT(((AC40-2*AJ40)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40" s="59" t="str">
        <f>IF(U40&lt;&gt;"SÍ","",IF(BL40&lt;0,0,IF(MAX(DATOS!$C$71,CEILING(MAX(BL40,0)/INDEX(TABLAS!$D$52:$D$58,MATCH(BM40,TABLAS!$B$52:$B$58,0)),1))*INDEX(TABLAS!$D$52:$D$58,MATCH(BM40,TABLAS!$B$52:$B$58,0))&gt;=4/3*IF(BF40&lt;=0,0,IF((1-2*BF40*1E5/(DATOS!$C$29*AG40*BK40^2*DATOS!$C$21))&lt;0,-1,IF((1-SQRT((1-2*BF40*1E5/(DATOS!$C$29*AG40*BK40^2*DATOS!$C$21))))*DATOS!$C$21*AG40*BK40/DATOS!$C$14&gt;DATOS!$C$99*AG40*BK40,-1,(1-SQRT((1-2*BF40*1E5/(DATOS!$C$29*AG40*BK40^2*DATOS!$C$21))))*DATOS!$C$21*AG40*BK40/DATOS!$C$14)))-0.0001,MAX(DATOS!$C$71,CEILING(MAX(BL40,0)/INDEX(TABLAS!$D$52:$D$58,MATCH(BM40,TABLAS!$B$52:$B$58,0)),1)),MAX(MAX(DATOS!$C$71,CEILING(MAX(BL40,0)/INDEX(TABLAS!$D$52:$D$58,MATCH(BM40,TABLAS!$B$52:$B$58,0)),1)),2))))</f>
        <v/>
      </c>
      <c r="BO40" s="58" t="str">
        <f>IF(U40&lt;&gt;"SÍ","",DATOS!$C$82-AJ40-INDEX(TABLAS!$C$52:$C$58,MATCH(BM40,TABLAS!$B$52:$B$58,0))/2)</f>
        <v/>
      </c>
      <c r="BP40" s="56" t="str">
        <f>IF(U40&lt;&gt;"SÍ","",IF(BN40=0,0,DATOS!$C$29*BN40*INDEX(TABLAS!$D$52:$D$58,MATCH(BM40,TABLAS!$B$52:$B$58,0))*DATOS!$C$14*(BO40-BN40*INDEX(TABLAS!$D$52:$D$58,MATCH(BM40,TABLAS!$B$52:$B$58,0))*DATOS!$C$14/(DATOS!$C$21*AG40)/2)/1E5))</f>
        <v/>
      </c>
      <c r="BQ40" s="65" t="str">
        <f>IF(U40&lt;&gt;"SÍ","",IF(BL40&lt;0,9.99,IF(BP40&gt;0,BF40/BP40,0)))</f>
        <v/>
      </c>
      <c r="BR40" s="66" t="str">
        <f>IF(U40&lt;&gt;"SÍ","",IF(BN40=0,"—",0.003*(BO40-(BN40*INDEX(TABLAS!$D$52:$D$58,MATCH(BM40,TABLAS!$B$52:$B$58,0))*DATOS!$C$14/(DATOS!$C$21*AG40)/DATOS!$C$22))/(BN40*INDEX(TABLAS!$D$52:$D$58,MATCH(BM40,TABLAS!$B$52:$B$58,0))*DATOS!$C$14/(DATOS!$C$21*AG40)/DATOS!$C$22)))</f>
        <v/>
      </c>
      <c r="BS40" s="58" t="str">
        <f>IF(U40&lt;&gt;"SÍ","",((DATOS!$C$82-AL40-2*DATOS!$C$94-INDEX(TABLAS!$C$52:$C$58,MATCH(DATOS!$C$69,TABLAS!$B$52:$B$58,0))/2)-IF(AND((DATOS!$C$82-AL40-2*DATOS!$C$94-INDEX(TABLAS!$C$52:$C$58,MATCH(DATOS!$C$69,TABLAS!$B$52:$B$58,0))/2)&lt;=20,DATOS!$C$62&lt;&gt;"SÍ"),2,0)))</f>
        <v/>
      </c>
      <c r="BT40" s="58" t="str">
        <f>IF(U40&lt;&gt;"SÍ","",IF(IF(BG40&lt;=0,0,IF((1-2*BG40*1E5/(DATOS!$C$29*AE40*BS40^2*DATOS!$C$21))&lt;0,-1,IF((1-SQRT((1-2*BG40*1E5/(DATOS!$C$29*AE40*BS40^2*DATOS!$C$21))))*DATOS!$C$21*AE40*BS40/DATOS!$C$14&gt;DATOS!$C$99*AE40*BS40,-1,(1-SQRT((1-2*BG40*1E5/(DATOS!$C$29*AE40*BS40^2*DATOS!$C$21))))*DATOS!$C$21*AE40*BS40/DATOS!$C$14)))&lt;0,-1,MAX(IF(BG40&lt;=0,0,IF((1-2*BG40*1E5/(DATOS!$C$29*AE40*BS40^2*DATOS!$C$21))&lt;0,-1,IF((1-SQRT((1-2*BG40*1E5/(DATOS!$C$29*AE40*BS40^2*DATOS!$C$21))))*DATOS!$C$21*AE40*BS40/DATOS!$C$14&gt;DATOS!$C$99*AE40*BS40,-1,(1-SQRT((1-2*BG40*1E5/(DATOS!$C$29*AE40*BS40^2*DATOS!$C$21))))*DATOS!$C$21*AE40*BS40/DATOS!$C$14))),MIN(DATOS!$C$100*IF(C40="VOLADO",MIN(AG40,2*AC40),AC40)*BS40,4/3*IF(BG40&lt;=0,0,IF((1-2*BG40*1E5/(DATOS!$C$29*AE40*BS40^2*DATOS!$C$21))&lt;0,-1,IF((1-SQRT((1-2*BG40*1E5/(DATOS!$C$29*AE40*BS40^2*DATOS!$C$21))))*DATOS!$C$21*AE40*BS40/DATOS!$C$14&gt;DATOS!$C$99*AE40*BS40,-1,(1-SQRT((1-2*BG40*1E5/(DATOS!$C$29*AE40*BS40^2*DATOS!$C$21))))*DATOS!$C$21*AE40*BS40/DATOS!$C$14)))))))</f>
        <v/>
      </c>
      <c r="BU40" s="64" t="str">
        <f>IF(U40&lt;&gt;"SÍ","",IF(AND(BT40&gt;=0,IF(MAX(DATOS!$C$71,CEILING(BT40/INDEX(TABLAS!$D$52:$D$58,MIN(MATCH(DATOS!$C$69,TABLAS!$B$52:$B$58,0)+0,7)),1))*INDEX(TABLAS!$D$52:$D$58,MIN(MATCH(DATOS!$C$69,TABLAS!$B$52:$B$58,0)+0,7))&gt;=4/3*IF(BG40&lt;=0,0,IF((1-2*BG40*1E5/(DATOS!$C$29*AE40*BS40^2*DATOS!$C$21))&lt;0,-1,IF((1-SQRT((1-2*BG40*1E5/(DATOS!$C$29*AE40*BS40^2*DATOS!$C$21))))*DATOS!$C$21*AE40*BS40/DATOS!$C$14&gt;DATOS!$C$99*AE40*BS40,-1,(1-SQRT((1-2*BG40*1E5/(DATOS!$C$29*AE40*BS40^2*DATOS!$C$21))))*DATOS!$C$21*AE40*BS40/DATOS!$C$14)))-0.0001,MAX(DATOS!$C$71,CEILING(BT40/INDEX(TABLAS!$D$52:$D$58,MIN(MATCH(DATOS!$C$69,TABLAS!$B$52:$B$58,0)+0,7)),1)),MAX(MAX(DATOS!$C$71,CEILING(BT40/INDEX(TABLAS!$D$52:$D$58,MIN(MATCH(DATOS!$C$69,TABLAS!$B$52:$B$58,0)+0,7)),1)),2))&lt;=MIN(DATOS!$C$70,INT(((AC40-2*AK40)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40&gt;=0,IF(MAX(DATOS!$C$71,CEILING(BT40/INDEX(TABLAS!$D$52:$D$58,MIN(MATCH(DATOS!$C$69,TABLAS!$B$52:$B$58,0)+1,7)),1))*INDEX(TABLAS!$D$52:$D$58,MIN(MATCH(DATOS!$C$69,TABLAS!$B$52:$B$58,0)+1,7))&gt;=4/3*IF(BG40&lt;=0,0,IF((1-2*BG40*1E5/(DATOS!$C$29*AE40*BS40^2*DATOS!$C$21))&lt;0,-1,IF((1-SQRT((1-2*BG40*1E5/(DATOS!$C$29*AE40*BS40^2*DATOS!$C$21))))*DATOS!$C$21*AE40*BS40/DATOS!$C$14&gt;DATOS!$C$99*AE40*BS40,-1,(1-SQRT((1-2*BG40*1E5/(DATOS!$C$29*AE40*BS40^2*DATOS!$C$21))))*DATOS!$C$21*AE40*BS40/DATOS!$C$14)))-0.0001,MAX(DATOS!$C$71,CEILING(BT40/INDEX(TABLAS!$D$52:$D$58,MIN(MATCH(DATOS!$C$69,TABLAS!$B$52:$B$58,0)+1,7)),1)),MAX(MAX(DATOS!$C$71,CEILING(BT40/INDEX(TABLAS!$D$52:$D$58,MIN(MATCH(DATOS!$C$69,TABLAS!$B$52:$B$58,0)+1,7)),1)),2))&lt;=MIN(DATOS!$C$70,INT(((AC40-2*AK40)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40&gt;=0,IF(MAX(DATOS!$C$71,CEILING(BT40/INDEX(TABLAS!$D$52:$D$58,MIN(MATCH(DATOS!$C$69,TABLAS!$B$52:$B$58,0)+2,7)),1))*INDEX(TABLAS!$D$52:$D$58,MIN(MATCH(DATOS!$C$69,TABLAS!$B$52:$B$58,0)+2,7))&gt;=4/3*IF(BG40&lt;=0,0,IF((1-2*BG40*1E5/(DATOS!$C$29*AE40*BS40^2*DATOS!$C$21))&lt;0,-1,IF((1-SQRT((1-2*BG40*1E5/(DATOS!$C$29*AE40*BS40^2*DATOS!$C$21))))*DATOS!$C$21*AE40*BS40/DATOS!$C$14&gt;DATOS!$C$99*AE40*BS40,-1,(1-SQRT((1-2*BG40*1E5/(DATOS!$C$29*AE40*BS40^2*DATOS!$C$21))))*DATOS!$C$21*AE40*BS40/DATOS!$C$14)))-0.0001,MAX(DATOS!$C$71,CEILING(BT40/INDEX(TABLAS!$D$52:$D$58,MIN(MATCH(DATOS!$C$69,TABLAS!$B$52:$B$58,0)+2,7)),1)),MAX(MAX(DATOS!$C$71,CEILING(BT40/INDEX(TABLAS!$D$52:$D$58,MIN(MATCH(DATOS!$C$69,TABLAS!$B$52:$B$58,0)+2,7)),1)),2))&lt;=MIN(DATOS!$C$70,INT(((AC40-2*AK40)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40&gt;=0,IF(MAX(DATOS!$C$71,CEILING(BT40/INDEX(TABLAS!$D$52:$D$58,MIN(MATCH(DATOS!$C$69,TABLAS!$B$52:$B$58,0)+3,7)),1))*INDEX(TABLAS!$D$52:$D$58,MIN(MATCH(DATOS!$C$69,TABLAS!$B$52:$B$58,0)+3,7))&gt;=4/3*IF(BG40&lt;=0,0,IF((1-2*BG40*1E5/(DATOS!$C$29*AE40*BS40^2*DATOS!$C$21))&lt;0,-1,IF((1-SQRT((1-2*BG40*1E5/(DATOS!$C$29*AE40*BS40^2*DATOS!$C$21))))*DATOS!$C$21*AE40*BS40/DATOS!$C$14&gt;DATOS!$C$99*AE40*BS40,-1,(1-SQRT((1-2*BG40*1E5/(DATOS!$C$29*AE40*BS40^2*DATOS!$C$21))))*DATOS!$C$21*AE40*BS40/DATOS!$C$14)))-0.0001,MAX(DATOS!$C$71,CEILING(BT40/INDEX(TABLAS!$D$52:$D$58,MIN(MATCH(DATOS!$C$69,TABLAS!$B$52:$B$58,0)+3,7)),1)),MAX(MAX(DATOS!$C$71,CEILING(BT40/INDEX(TABLAS!$D$52:$D$58,MIN(MATCH(DATOS!$C$69,TABLAS!$B$52:$B$58,0)+3,7)),1)),2))&lt;=MIN(DATOS!$C$70,INT(((AC40-2*AK40)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40&gt;=0,IF(MAX(DATOS!$C$71,CEILING(BT40/INDEX(TABLAS!$D$52:$D$58,MIN(MATCH(DATOS!$C$69,TABLAS!$B$52:$B$58,0)+4,7)),1))*INDEX(TABLAS!$D$52:$D$58,MIN(MATCH(DATOS!$C$69,TABLAS!$B$52:$B$58,0)+4,7))&gt;=4/3*IF(BG40&lt;=0,0,IF((1-2*BG40*1E5/(DATOS!$C$29*AE40*BS40^2*DATOS!$C$21))&lt;0,-1,IF((1-SQRT((1-2*BG40*1E5/(DATOS!$C$29*AE40*BS40^2*DATOS!$C$21))))*DATOS!$C$21*AE40*BS40/DATOS!$C$14&gt;DATOS!$C$99*AE40*BS40,-1,(1-SQRT((1-2*BG40*1E5/(DATOS!$C$29*AE40*BS40^2*DATOS!$C$21))))*DATOS!$C$21*AE40*BS40/DATOS!$C$14)))-0.0001,MAX(DATOS!$C$71,CEILING(BT40/INDEX(TABLAS!$D$52:$D$58,MIN(MATCH(DATOS!$C$69,TABLAS!$B$52:$B$58,0)+4,7)),1)),MAX(MAX(DATOS!$C$71,CEILING(BT40/INDEX(TABLAS!$D$52:$D$58,MIN(MATCH(DATOS!$C$69,TABLAS!$B$52:$B$58,0)+4,7)),1)),2))&lt;=MIN(DATOS!$C$70,INT(((AC40-2*AK40)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40" s="59" t="str">
        <f>IF(U40&lt;&gt;"SÍ","",IF(BT40&lt;0,0,IF(MAX(DATOS!$C$71,CEILING(MAX(BT40,0)/INDEX(TABLAS!$D$52:$D$58,MATCH(BU40,TABLAS!$B$52:$B$58,0)),1))*INDEX(TABLAS!$D$52:$D$58,MATCH(BU40,TABLAS!$B$52:$B$58,0))&gt;=4/3*IF(BG40&lt;=0,0,IF((1-2*BG40*1E5/(DATOS!$C$29*AE40*BS40^2*DATOS!$C$21))&lt;0,-1,IF((1-SQRT((1-2*BG40*1E5/(DATOS!$C$29*AE40*BS40^2*DATOS!$C$21))))*DATOS!$C$21*AE40*BS40/DATOS!$C$14&gt;DATOS!$C$99*AE40*BS40,-1,(1-SQRT((1-2*BG40*1E5/(DATOS!$C$29*AE40*BS40^2*DATOS!$C$21))))*DATOS!$C$21*AE40*BS40/DATOS!$C$14)))-0.0001,MAX(DATOS!$C$71,CEILING(MAX(BT40,0)/INDEX(TABLAS!$D$52:$D$58,MATCH(BU40,TABLAS!$B$52:$B$58,0)),1)),MAX(MAX(DATOS!$C$71,CEILING(MAX(BT40,0)/INDEX(TABLAS!$D$52:$D$58,MATCH(BU40,TABLAS!$B$52:$B$58,0)),1)),2))))</f>
        <v/>
      </c>
      <c r="BW40" s="58" t="str">
        <f>IF(U40&lt;&gt;"SÍ","",((DATOS!$C$82-AL40-2*DATOS!$C$94-INDEX(TABLAS!$C$52:$C$58,MATCH(BU40,TABLAS!$B$52:$B$58,0))/2)-IF(AND((DATOS!$C$82-AL40-2*DATOS!$C$94-INDEX(TABLAS!$C$52:$C$58,MATCH(BU40,TABLAS!$B$52:$B$58,0))/2)&lt;=20,DATOS!$C$62&lt;&gt;"SÍ"),2,0)))</f>
        <v/>
      </c>
      <c r="BX40" s="56" t="str">
        <f>IF(U40&lt;&gt;"SÍ","",IF(BV40=0,0,DATOS!$C$29*BV40*INDEX(TABLAS!$D$52:$D$58,MATCH(BU40,TABLAS!$B$52:$B$58,0))*DATOS!$C$14*(BW40-BV40*INDEX(TABLAS!$D$52:$D$58,MATCH(BU40,TABLAS!$B$52:$B$58,0))*DATOS!$C$14/(DATOS!$C$21*AE40)/2)/1E5))</f>
        <v/>
      </c>
      <c r="BY40" s="65" t="str">
        <f>IF(U40&lt;&gt;"SÍ","",IF(BT40&lt;0,9.99,IF(BX40&gt;0,BG40/BX40,0)))</f>
        <v/>
      </c>
      <c r="BZ40" s="66" t="str">
        <f>IF(U40&lt;&gt;"SÍ","",IF(BV40=0,"—",0.003*(BW40-(BV40*INDEX(TABLAS!$D$52:$D$58,MATCH(BU40,TABLAS!$B$52:$B$58,0))*DATOS!$C$14/(DATOS!$C$21*AE40)/DATOS!$C$22))/(BV40*INDEX(TABLAS!$D$52:$D$58,MATCH(BU40,TABLAS!$B$52:$B$58,0))*DATOS!$C$14/(DATOS!$C$21*AE40)/DATOS!$C$22)))</f>
        <v/>
      </c>
      <c r="CA40" s="58" t="str">
        <f>IF(U40&lt;&gt;"SÍ","",(DATOS!$C$82-AJ40-INDEX(TABLAS!$C$52:$C$58,MATCH(DATOS!$C$68,TABLAS!$B$52:$B$58,0))-INDEX(TABLAS!$C$52:$C$58,MATCH(DATOS!$C$68,TABLAS!$B$52:$B$58,0))/2))</f>
        <v/>
      </c>
      <c r="CB40" s="58" t="str">
        <f>IF(U40&lt;&gt;"SÍ","",IF(IF(BH40&lt;=0,0,IF((1-2*BH40*1E5/(DATOS!$C$29*AH40*CA40^2*DATOS!$C$21))&lt;0,-1,IF((1-SQRT((1-2*BH40*1E5/(DATOS!$C$29*AH40*CA40^2*DATOS!$C$21))))*DATOS!$C$21*AH40*CA40/DATOS!$C$14&gt;DATOS!$C$99*AH40*CA40,-1,(1-SQRT((1-2*BH40*1E5/(DATOS!$C$29*AH40*CA40^2*DATOS!$C$21))))*DATOS!$C$21*AH40*CA40/DATOS!$C$14)))&lt;0,-1,MAX(IF(BH40&lt;=0,0,IF((1-2*BH40*1E5/(DATOS!$C$29*AH40*CA40^2*DATOS!$C$21))&lt;0,-1,IF((1-SQRT((1-2*BH40*1E5/(DATOS!$C$29*AH40*CA40^2*DATOS!$C$21))))*DATOS!$C$21*AH40*CA40/DATOS!$C$14&gt;DATOS!$C$99*AH40*CA40,-1,(1-SQRT((1-2*BH40*1E5/(DATOS!$C$29*AH40*CA40^2*DATOS!$C$21))))*DATOS!$C$21*AH40*CA40/DATOS!$C$14))),MIN(DATOS!$C$100*DATOS!$C$80*CA40,4/3*IF(BH40&lt;=0,0,IF((1-2*BH40*1E5/(DATOS!$C$29*AH40*CA40^2*DATOS!$C$21))&lt;0,-1,IF((1-SQRT((1-2*BH40*1E5/(DATOS!$C$29*AH40*CA40^2*DATOS!$C$21))))*DATOS!$C$21*AH40*CA40/DATOS!$C$14&gt;DATOS!$C$99*AH40*CA40,-1,(1-SQRT((1-2*BH40*1E5/(DATOS!$C$29*AH40*CA40^2*DATOS!$C$21))))*DATOS!$C$21*AH40*CA40/DATOS!$C$14)))))))</f>
        <v/>
      </c>
      <c r="CC40" s="64" t="str">
        <f>IF(U40&lt;&gt;"SÍ","",IF(AND(CB40&gt;=0,IF(MAX(DATOS!$C$71,CEILING(CB40/INDEX(TABLAS!$D$52:$D$58,MIN(MATCH(DATOS!$C$68,TABLAS!$B$52:$B$58,0)+0,7)),1))*INDEX(TABLAS!$D$52:$D$58,MIN(MATCH(DATOS!$C$68,TABLAS!$B$52:$B$58,0)+0,7))&gt;=4/3*IF(BH40&lt;=0,0,IF((1-2*BH40*1E5/(DATOS!$C$29*AH40*CA40^2*DATOS!$C$21))&lt;0,-1,IF((1-SQRT((1-2*BH40*1E5/(DATOS!$C$29*AH40*CA40^2*DATOS!$C$21))))*DATOS!$C$21*AH40*CA40/DATOS!$C$14&gt;DATOS!$C$99*AH40*CA40,-1,(1-SQRT((1-2*BH40*1E5/(DATOS!$C$29*AH40*CA40^2*DATOS!$C$21))))*DATOS!$C$21*AH40*CA40/DATOS!$C$14)))-0.0001,MAX(DATOS!$C$71,CEILING(CB40/INDEX(TABLAS!$D$52:$D$58,MIN(MATCH(DATOS!$C$68,TABLAS!$B$52:$B$58,0)+0,7)),1)),MAX(MAX(DATOS!$C$71,CEILING(CB40/INDEX(TABLAS!$D$52:$D$58,MIN(MATCH(DATOS!$C$68,TABLAS!$B$52:$B$58,0)+0,7)),1)),2))&lt;=MIN(DATOS!$C$70,INT(((DATOS!$C$80-2*AJ40)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40&gt;=0,IF(MAX(DATOS!$C$71,CEILING(CB40/INDEX(TABLAS!$D$52:$D$58,MIN(MATCH(DATOS!$C$68,TABLAS!$B$52:$B$58,0)+1,7)),1))*INDEX(TABLAS!$D$52:$D$58,MIN(MATCH(DATOS!$C$68,TABLAS!$B$52:$B$58,0)+1,7))&gt;=4/3*IF(BH40&lt;=0,0,IF((1-2*BH40*1E5/(DATOS!$C$29*AH40*CA40^2*DATOS!$C$21))&lt;0,-1,IF((1-SQRT((1-2*BH40*1E5/(DATOS!$C$29*AH40*CA40^2*DATOS!$C$21))))*DATOS!$C$21*AH40*CA40/DATOS!$C$14&gt;DATOS!$C$99*AH40*CA40,-1,(1-SQRT((1-2*BH40*1E5/(DATOS!$C$29*AH40*CA40^2*DATOS!$C$21))))*DATOS!$C$21*AH40*CA40/DATOS!$C$14)))-0.0001,MAX(DATOS!$C$71,CEILING(CB40/INDEX(TABLAS!$D$52:$D$58,MIN(MATCH(DATOS!$C$68,TABLAS!$B$52:$B$58,0)+1,7)),1)),MAX(MAX(DATOS!$C$71,CEILING(CB40/INDEX(TABLAS!$D$52:$D$58,MIN(MATCH(DATOS!$C$68,TABLAS!$B$52:$B$58,0)+1,7)),1)),2))&lt;=MIN(DATOS!$C$70,INT(((DATOS!$C$80-2*AJ40)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40&gt;=0,IF(MAX(DATOS!$C$71,CEILING(CB40/INDEX(TABLAS!$D$52:$D$58,MIN(MATCH(DATOS!$C$68,TABLAS!$B$52:$B$58,0)+2,7)),1))*INDEX(TABLAS!$D$52:$D$58,MIN(MATCH(DATOS!$C$68,TABLAS!$B$52:$B$58,0)+2,7))&gt;=4/3*IF(BH40&lt;=0,0,IF((1-2*BH40*1E5/(DATOS!$C$29*AH40*CA40^2*DATOS!$C$21))&lt;0,-1,IF((1-SQRT((1-2*BH40*1E5/(DATOS!$C$29*AH40*CA40^2*DATOS!$C$21))))*DATOS!$C$21*AH40*CA40/DATOS!$C$14&gt;DATOS!$C$99*AH40*CA40,-1,(1-SQRT((1-2*BH40*1E5/(DATOS!$C$29*AH40*CA40^2*DATOS!$C$21))))*DATOS!$C$21*AH40*CA40/DATOS!$C$14)))-0.0001,MAX(DATOS!$C$71,CEILING(CB40/INDEX(TABLAS!$D$52:$D$58,MIN(MATCH(DATOS!$C$68,TABLAS!$B$52:$B$58,0)+2,7)),1)),MAX(MAX(DATOS!$C$71,CEILING(CB40/INDEX(TABLAS!$D$52:$D$58,MIN(MATCH(DATOS!$C$68,TABLAS!$B$52:$B$58,0)+2,7)),1)),2))&lt;=MIN(DATOS!$C$70,INT(((DATOS!$C$80-2*AJ40)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40&gt;=0,IF(MAX(DATOS!$C$71,CEILING(CB40/INDEX(TABLAS!$D$52:$D$58,MIN(MATCH(DATOS!$C$68,TABLAS!$B$52:$B$58,0)+3,7)),1))*INDEX(TABLAS!$D$52:$D$58,MIN(MATCH(DATOS!$C$68,TABLAS!$B$52:$B$58,0)+3,7))&gt;=4/3*IF(BH40&lt;=0,0,IF((1-2*BH40*1E5/(DATOS!$C$29*AH40*CA40^2*DATOS!$C$21))&lt;0,-1,IF((1-SQRT((1-2*BH40*1E5/(DATOS!$C$29*AH40*CA40^2*DATOS!$C$21))))*DATOS!$C$21*AH40*CA40/DATOS!$C$14&gt;DATOS!$C$99*AH40*CA40,-1,(1-SQRT((1-2*BH40*1E5/(DATOS!$C$29*AH40*CA40^2*DATOS!$C$21))))*DATOS!$C$21*AH40*CA40/DATOS!$C$14)))-0.0001,MAX(DATOS!$C$71,CEILING(CB40/INDEX(TABLAS!$D$52:$D$58,MIN(MATCH(DATOS!$C$68,TABLAS!$B$52:$B$58,0)+3,7)),1)),MAX(MAX(DATOS!$C$71,CEILING(CB40/INDEX(TABLAS!$D$52:$D$58,MIN(MATCH(DATOS!$C$68,TABLAS!$B$52:$B$58,0)+3,7)),1)),2))&lt;=MIN(DATOS!$C$70,INT(((DATOS!$C$80-2*AJ40)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40&gt;=0,IF(MAX(DATOS!$C$71,CEILING(CB40/INDEX(TABLAS!$D$52:$D$58,MIN(MATCH(DATOS!$C$68,TABLAS!$B$52:$B$58,0)+4,7)),1))*INDEX(TABLAS!$D$52:$D$58,MIN(MATCH(DATOS!$C$68,TABLAS!$B$52:$B$58,0)+4,7))&gt;=4/3*IF(BH40&lt;=0,0,IF((1-2*BH40*1E5/(DATOS!$C$29*AH40*CA40^2*DATOS!$C$21))&lt;0,-1,IF((1-SQRT((1-2*BH40*1E5/(DATOS!$C$29*AH40*CA40^2*DATOS!$C$21))))*DATOS!$C$21*AH40*CA40/DATOS!$C$14&gt;DATOS!$C$99*AH40*CA40,-1,(1-SQRT((1-2*BH40*1E5/(DATOS!$C$29*AH40*CA40^2*DATOS!$C$21))))*DATOS!$C$21*AH40*CA40/DATOS!$C$14)))-0.0001,MAX(DATOS!$C$71,CEILING(CB40/INDEX(TABLAS!$D$52:$D$58,MIN(MATCH(DATOS!$C$68,TABLAS!$B$52:$B$58,0)+4,7)),1)),MAX(MAX(DATOS!$C$71,CEILING(CB40/INDEX(TABLAS!$D$52:$D$58,MIN(MATCH(DATOS!$C$68,TABLAS!$B$52:$B$58,0)+4,7)),1)),2))&lt;=MIN(DATOS!$C$70,INT(((DATOS!$C$80-2*AJ40)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40" s="59" t="str">
        <f>IF(U40&lt;&gt;"SÍ","",IF(CB40&lt;0,0,IF(MAX(DATOS!$C$71,CEILING(MAX(CB40,0)/INDEX(TABLAS!$D$52:$D$58,MATCH(CC40,TABLAS!$B$52:$B$58,0)),1))*INDEX(TABLAS!$D$52:$D$58,MATCH(CC40,TABLAS!$B$52:$B$58,0))&gt;=4/3*IF(BH40&lt;=0,0,IF((1-2*BH40*1E5/(DATOS!$C$29*AH40*CA40^2*DATOS!$C$21))&lt;0,-1,IF((1-SQRT((1-2*BH40*1E5/(DATOS!$C$29*AH40*CA40^2*DATOS!$C$21))))*DATOS!$C$21*AH40*CA40/DATOS!$C$14&gt;DATOS!$C$99*AH40*CA40,-1,(1-SQRT((1-2*BH40*1E5/(DATOS!$C$29*AH40*CA40^2*DATOS!$C$21))))*DATOS!$C$21*AH40*CA40/DATOS!$C$14)))-0.0001,MAX(DATOS!$C$71,CEILING(MAX(CB40,0)/INDEX(TABLAS!$D$52:$D$58,MATCH(CC40,TABLAS!$B$52:$B$58,0)),1)),MAX(MAX(DATOS!$C$71,CEILING(MAX(CB40,0)/INDEX(TABLAS!$D$52:$D$58,MATCH(CC40,TABLAS!$B$52:$B$58,0)),1)),2))))</f>
        <v/>
      </c>
      <c r="CE40" s="58" t="str">
        <f>IF(U40&lt;&gt;"SÍ","",DATOS!$C$82-AJ40-INDEX(TABLAS!$C$52:$C$58,MATCH(BM40,TABLAS!$B$52:$B$58,0))-INDEX(TABLAS!$C$52:$C$58,MATCH(CC40,TABLAS!$B$52:$B$58,0))/2)</f>
        <v/>
      </c>
      <c r="CF40" s="56" t="str">
        <f>IF(U40&lt;&gt;"SÍ","",IF(CD40=0,0,DATOS!$C$29*CD40*INDEX(TABLAS!$D$52:$D$58,MATCH(CC40,TABLAS!$B$52:$B$58,0))*DATOS!$C$14*(CE40-CD40*INDEX(TABLAS!$D$52:$D$58,MATCH(CC40,TABLAS!$B$52:$B$58,0))*DATOS!$C$14/(DATOS!$C$21*AH40)/2)/1E5))</f>
        <v/>
      </c>
      <c r="CG40" s="65" t="str">
        <f>IF(U40&lt;&gt;"SÍ","",IF(CB40&lt;0,9.99,IF(CF40&gt;0,BH40/CF40,0)))</f>
        <v/>
      </c>
      <c r="CH40" s="66" t="str">
        <f>IF(U40&lt;&gt;"SÍ","",IF(CD40=0,"—",0.003*(CE40-(CD40*INDEX(TABLAS!$D$52:$D$58,MATCH(CC40,TABLAS!$B$52:$B$58,0))*DATOS!$C$14/(DATOS!$C$21*AH40)/DATOS!$C$22))/(CD40*INDEX(TABLAS!$D$52:$D$58,MATCH(CC40,TABLAS!$B$52:$B$58,0))*DATOS!$C$14/(DATOS!$C$21*AH40)/DATOS!$C$22)))</f>
        <v/>
      </c>
      <c r="CI40" s="58" t="str">
        <f>IF(U40&lt;&gt;"SÍ","",((DATOS!$C$82-AL40-2*DATOS!$C$94-INDEX(TABLAS!$C$52:$C$58,MATCH(DATOS!$C$69,TABLAS!$B$52:$B$58,0))-INDEX(TABLAS!$C$52:$C$58,MATCH(DATOS!$C$69,TABLAS!$B$52:$B$58,0))/2)-IF(AND((DATOS!$C$82-AL40-2*DATOS!$C$94-INDEX(TABLAS!$C$52:$C$58,MATCH(DATOS!$C$69,TABLAS!$B$52:$B$58,0))-INDEX(TABLAS!$C$52:$C$58,MATCH(DATOS!$C$69,TABLAS!$B$52:$B$58,0))/2)&lt;=20,DATOS!$C$62&lt;&gt;"SÍ"),2,0)))</f>
        <v/>
      </c>
      <c r="CJ40" s="58" t="str">
        <f>IF(U40&lt;&gt;"SÍ","",IF(IF(BI40&lt;=0,0,IF((1-2*BI40*1E5/(DATOS!$C$29*AF40*CI40^2*DATOS!$C$21))&lt;0,-1,IF((1-SQRT((1-2*BI40*1E5/(DATOS!$C$29*AF40*CI40^2*DATOS!$C$21))))*DATOS!$C$21*AF40*CI40/DATOS!$C$14&gt;DATOS!$C$99*AF40*CI40,-1,(1-SQRT((1-2*BI40*1E5/(DATOS!$C$29*AF40*CI40^2*DATOS!$C$21))))*DATOS!$C$21*AF40*CI40/DATOS!$C$14)))&lt;0,-1,MAX(IF(BI40&lt;=0,0,IF((1-2*BI40*1E5/(DATOS!$C$29*AF40*CI40^2*DATOS!$C$21))&lt;0,-1,IF((1-SQRT((1-2*BI40*1E5/(DATOS!$C$29*AF40*CI40^2*DATOS!$C$21))))*DATOS!$C$21*AF40*CI40/DATOS!$C$14&gt;DATOS!$C$99*AF40*CI40,-1,(1-SQRT((1-2*BI40*1E5/(DATOS!$C$29*AF40*CI40^2*DATOS!$C$21))))*DATOS!$C$21*AF40*CI40/DATOS!$C$14))),MIN(DATOS!$C$100*DATOS!$C$80*CI40,4/3*IF(BI40&lt;=0,0,IF((1-2*BI40*1E5/(DATOS!$C$29*AF40*CI40^2*DATOS!$C$21))&lt;0,-1,IF((1-SQRT((1-2*BI40*1E5/(DATOS!$C$29*AF40*CI40^2*DATOS!$C$21))))*DATOS!$C$21*AF40*CI40/DATOS!$C$14&gt;DATOS!$C$99*AF40*CI40,-1,(1-SQRT((1-2*BI40*1E5/(DATOS!$C$29*AF40*CI40^2*DATOS!$C$21))))*DATOS!$C$21*AF40*CI40/DATOS!$C$14)))))))</f>
        <v/>
      </c>
      <c r="CK40" s="64" t="str">
        <f>IF(U40&lt;&gt;"SÍ","",IF(AND(CJ40&gt;=0,IF(MAX(DATOS!$C$71,CEILING(CJ40/INDEX(TABLAS!$D$52:$D$58,MIN(MATCH(DATOS!$C$69,TABLAS!$B$52:$B$58,0)+0,7)),1))*INDEX(TABLAS!$D$52:$D$58,MIN(MATCH(DATOS!$C$69,TABLAS!$B$52:$B$58,0)+0,7))&gt;=4/3*IF(BI40&lt;=0,0,IF((1-2*BI40*1E5/(DATOS!$C$29*AF40*CI40^2*DATOS!$C$21))&lt;0,-1,IF((1-SQRT((1-2*BI40*1E5/(DATOS!$C$29*AF40*CI40^2*DATOS!$C$21))))*DATOS!$C$21*AF40*CI40/DATOS!$C$14&gt;DATOS!$C$99*AF40*CI40,-1,(1-SQRT((1-2*BI40*1E5/(DATOS!$C$29*AF40*CI40^2*DATOS!$C$21))))*DATOS!$C$21*AF40*CI40/DATOS!$C$14)))-0.0001,MAX(DATOS!$C$71,CEILING(CJ40/INDEX(TABLAS!$D$52:$D$58,MIN(MATCH(DATOS!$C$69,TABLAS!$B$52:$B$58,0)+0,7)),1)),MAX(MAX(DATOS!$C$71,CEILING(CJ40/INDEX(TABLAS!$D$52:$D$58,MIN(MATCH(DATOS!$C$69,TABLAS!$B$52:$B$58,0)+0,7)),1)),2))&lt;=MIN(DATOS!$C$70,INT(((DATOS!$C$80-2*AK40)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40&gt;=0,IF(MAX(DATOS!$C$71,CEILING(CJ40/INDEX(TABLAS!$D$52:$D$58,MIN(MATCH(DATOS!$C$69,TABLAS!$B$52:$B$58,0)+1,7)),1))*INDEX(TABLAS!$D$52:$D$58,MIN(MATCH(DATOS!$C$69,TABLAS!$B$52:$B$58,0)+1,7))&gt;=4/3*IF(BI40&lt;=0,0,IF((1-2*BI40*1E5/(DATOS!$C$29*AF40*CI40^2*DATOS!$C$21))&lt;0,-1,IF((1-SQRT((1-2*BI40*1E5/(DATOS!$C$29*AF40*CI40^2*DATOS!$C$21))))*DATOS!$C$21*AF40*CI40/DATOS!$C$14&gt;DATOS!$C$99*AF40*CI40,-1,(1-SQRT((1-2*BI40*1E5/(DATOS!$C$29*AF40*CI40^2*DATOS!$C$21))))*DATOS!$C$21*AF40*CI40/DATOS!$C$14)))-0.0001,MAX(DATOS!$C$71,CEILING(CJ40/INDEX(TABLAS!$D$52:$D$58,MIN(MATCH(DATOS!$C$69,TABLAS!$B$52:$B$58,0)+1,7)),1)),MAX(MAX(DATOS!$C$71,CEILING(CJ40/INDEX(TABLAS!$D$52:$D$58,MIN(MATCH(DATOS!$C$69,TABLAS!$B$52:$B$58,0)+1,7)),1)),2))&lt;=MIN(DATOS!$C$70,INT(((DATOS!$C$80-2*AK40)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40&gt;=0,IF(MAX(DATOS!$C$71,CEILING(CJ40/INDEX(TABLAS!$D$52:$D$58,MIN(MATCH(DATOS!$C$69,TABLAS!$B$52:$B$58,0)+2,7)),1))*INDEX(TABLAS!$D$52:$D$58,MIN(MATCH(DATOS!$C$69,TABLAS!$B$52:$B$58,0)+2,7))&gt;=4/3*IF(BI40&lt;=0,0,IF((1-2*BI40*1E5/(DATOS!$C$29*AF40*CI40^2*DATOS!$C$21))&lt;0,-1,IF((1-SQRT((1-2*BI40*1E5/(DATOS!$C$29*AF40*CI40^2*DATOS!$C$21))))*DATOS!$C$21*AF40*CI40/DATOS!$C$14&gt;DATOS!$C$99*AF40*CI40,-1,(1-SQRT((1-2*BI40*1E5/(DATOS!$C$29*AF40*CI40^2*DATOS!$C$21))))*DATOS!$C$21*AF40*CI40/DATOS!$C$14)))-0.0001,MAX(DATOS!$C$71,CEILING(CJ40/INDEX(TABLAS!$D$52:$D$58,MIN(MATCH(DATOS!$C$69,TABLAS!$B$52:$B$58,0)+2,7)),1)),MAX(MAX(DATOS!$C$71,CEILING(CJ40/INDEX(TABLAS!$D$52:$D$58,MIN(MATCH(DATOS!$C$69,TABLAS!$B$52:$B$58,0)+2,7)),1)),2))&lt;=MIN(DATOS!$C$70,INT(((DATOS!$C$80-2*AK40)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40&gt;=0,IF(MAX(DATOS!$C$71,CEILING(CJ40/INDEX(TABLAS!$D$52:$D$58,MIN(MATCH(DATOS!$C$69,TABLAS!$B$52:$B$58,0)+3,7)),1))*INDEX(TABLAS!$D$52:$D$58,MIN(MATCH(DATOS!$C$69,TABLAS!$B$52:$B$58,0)+3,7))&gt;=4/3*IF(BI40&lt;=0,0,IF((1-2*BI40*1E5/(DATOS!$C$29*AF40*CI40^2*DATOS!$C$21))&lt;0,-1,IF((1-SQRT((1-2*BI40*1E5/(DATOS!$C$29*AF40*CI40^2*DATOS!$C$21))))*DATOS!$C$21*AF40*CI40/DATOS!$C$14&gt;DATOS!$C$99*AF40*CI40,-1,(1-SQRT((1-2*BI40*1E5/(DATOS!$C$29*AF40*CI40^2*DATOS!$C$21))))*DATOS!$C$21*AF40*CI40/DATOS!$C$14)))-0.0001,MAX(DATOS!$C$71,CEILING(CJ40/INDEX(TABLAS!$D$52:$D$58,MIN(MATCH(DATOS!$C$69,TABLAS!$B$52:$B$58,0)+3,7)),1)),MAX(MAX(DATOS!$C$71,CEILING(CJ40/INDEX(TABLAS!$D$52:$D$58,MIN(MATCH(DATOS!$C$69,TABLAS!$B$52:$B$58,0)+3,7)),1)),2))&lt;=MIN(DATOS!$C$70,INT(((DATOS!$C$80-2*AK40)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40&gt;=0,IF(MAX(DATOS!$C$71,CEILING(CJ40/INDEX(TABLAS!$D$52:$D$58,MIN(MATCH(DATOS!$C$69,TABLAS!$B$52:$B$58,0)+4,7)),1))*INDEX(TABLAS!$D$52:$D$58,MIN(MATCH(DATOS!$C$69,TABLAS!$B$52:$B$58,0)+4,7))&gt;=4/3*IF(BI40&lt;=0,0,IF((1-2*BI40*1E5/(DATOS!$C$29*AF40*CI40^2*DATOS!$C$21))&lt;0,-1,IF((1-SQRT((1-2*BI40*1E5/(DATOS!$C$29*AF40*CI40^2*DATOS!$C$21))))*DATOS!$C$21*AF40*CI40/DATOS!$C$14&gt;DATOS!$C$99*AF40*CI40,-1,(1-SQRT((1-2*BI40*1E5/(DATOS!$C$29*AF40*CI40^2*DATOS!$C$21))))*DATOS!$C$21*AF40*CI40/DATOS!$C$14)))-0.0001,MAX(DATOS!$C$71,CEILING(CJ40/INDEX(TABLAS!$D$52:$D$58,MIN(MATCH(DATOS!$C$69,TABLAS!$B$52:$B$58,0)+4,7)),1)),MAX(MAX(DATOS!$C$71,CEILING(CJ40/INDEX(TABLAS!$D$52:$D$58,MIN(MATCH(DATOS!$C$69,TABLAS!$B$52:$B$58,0)+4,7)),1)),2))&lt;=MIN(DATOS!$C$70,INT(((DATOS!$C$80-2*AK40)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40" s="59" t="str">
        <f>IF(U40&lt;&gt;"SÍ","",IF(CJ40&lt;0,0,IF(MAX(DATOS!$C$71,CEILING(MAX(CJ40,0)/INDEX(TABLAS!$D$52:$D$58,MATCH(CK40,TABLAS!$B$52:$B$58,0)),1))*INDEX(TABLAS!$D$52:$D$58,MATCH(CK40,TABLAS!$B$52:$B$58,0))&gt;=4/3*IF(BI40&lt;=0,0,IF((1-2*BI40*1E5/(DATOS!$C$29*AF40*CI40^2*DATOS!$C$21))&lt;0,-1,IF((1-SQRT((1-2*BI40*1E5/(DATOS!$C$29*AF40*CI40^2*DATOS!$C$21))))*DATOS!$C$21*AF40*CI40/DATOS!$C$14&gt;DATOS!$C$99*AF40*CI40,-1,(1-SQRT((1-2*BI40*1E5/(DATOS!$C$29*AF40*CI40^2*DATOS!$C$21))))*DATOS!$C$21*AF40*CI40/DATOS!$C$14)))-0.0001,MAX(DATOS!$C$71,CEILING(MAX(CJ40,0)/INDEX(TABLAS!$D$52:$D$58,MATCH(CK40,TABLAS!$B$52:$B$58,0)),1)),MAX(MAX(DATOS!$C$71,CEILING(MAX(CJ40,0)/INDEX(TABLAS!$D$52:$D$58,MATCH(CK40,TABLAS!$B$52:$B$58,0)),1)),2))))</f>
        <v/>
      </c>
      <c r="CM40" s="58" t="str">
        <f>IF(U40&lt;&gt;"SÍ","",((DATOS!$C$82-AL40-2*DATOS!$C$94-INDEX(TABLAS!$C$52:$C$58,MATCH(BU40,TABLAS!$B$52:$B$58,0))-INDEX(TABLAS!$C$52:$C$58,MATCH(CK40,TABLAS!$B$52:$B$58,0))/2)-IF(AND((DATOS!$C$82-AL40-2*DATOS!$C$94-INDEX(TABLAS!$C$52:$C$58,MATCH(BU40,TABLAS!$B$52:$B$58,0))-INDEX(TABLAS!$C$52:$C$58,MATCH(CK40,TABLAS!$B$52:$B$58,0))/2)&lt;=20,DATOS!$C$62&lt;&gt;"SÍ"),2,0)))</f>
        <v/>
      </c>
      <c r="CN40" s="56" t="str">
        <f>IF(U40&lt;&gt;"SÍ","",IF(CL40=0,0,DATOS!$C$29*CL40*INDEX(TABLAS!$D$52:$D$58,MATCH(CK40,TABLAS!$B$52:$B$58,0))*DATOS!$C$14*(CM40-CL40*INDEX(TABLAS!$D$52:$D$58,MATCH(CK40,TABLAS!$B$52:$B$58,0))*DATOS!$C$14/(DATOS!$C$21*AF40)/2)/1E5))</f>
        <v/>
      </c>
      <c r="CO40" s="65" t="str">
        <f>IF(U40&lt;&gt;"SÍ","",IF(CJ40&lt;0,9.99,IF(CN40&gt;0,BI40/CN40,0)))</f>
        <v/>
      </c>
      <c r="CP40" s="66" t="str">
        <f>IF(U40&lt;&gt;"SÍ","",IF(CL40=0,"—",0.003*(CM40-(CL40*INDEX(TABLAS!$D$52:$D$58,MATCH(CK40,TABLAS!$B$52:$B$58,0))*DATOS!$C$14/(DATOS!$C$21*AF40)/DATOS!$C$22))/(CL40*INDEX(TABLAS!$D$52:$D$58,MATCH(CK40,TABLAS!$B$52:$B$58,0))*DATOS!$C$14/(DATOS!$C$21*AF40)/DATOS!$C$22)))</f>
        <v/>
      </c>
      <c r="CQ40" s="56" t="str">
        <f>IF(U40&lt;&gt;"SÍ","",IF(C40="PERIMETRAL",MAX(0,(AA40/2-BW40)/100)*(0.95-0.5*Z40)*AQ40*IF(AND(AR40&gt;0,AR40&lt;4),DATOS!$C$33,1)*DATOS!$C$83/100/1000,(AQ40*MAX(0,AA40-BW40)/100+DATOS!$C$26*N(O40))*DATOS!$C$83/100/1000+BE40))</f>
        <v/>
      </c>
      <c r="CR40" s="56" t="str">
        <f>IF(U40&lt;&gt;"SÍ","",DATOS!$C$30*2*MIN(1,SQRT(2/(1+0.04*BW40)))*(BV40*INDEX(TABLAS!$D$52:$D$58,MATCH(BU40,TABLAS!$B$52:$B$58,0))/(AE40*BW40))^(1/3)*SQRT(DATOS!$C$13)*AE40*BW40*IF(AI40="SÍ",DATOS!$C$32,1)/1000)</f>
        <v/>
      </c>
      <c r="CS40" s="59" t="str">
        <f>IF(U40&lt;&gt;"SÍ","",IF(CQ40&lt;=CR40,0,CEILING(MAX(0,IF(C40="VOLADO",(AA40-((CR40-BE40)*1E5/DATOS!$C$83-DATOS!$C$26*N(O40))*100/AQ40),IF(CR40&lt;=0,AA40,AA40/2-CR40/MAX(CQ40,1E-9)*(AA40/2-BW40)))-IF(INT((X40*100-DATOS!$C$84+DATOS!$C$80)/DATOS!$C$83)&gt;0,(X40*100-DATOS!$C$84-(INT((X40*100-DATOS!$C$84+DATOS!$C$80)/DATOS!$C$83)*DATOS!$C$78+(INT((X40*100-DATOS!$C$84+DATOS!$C$80)/DATOS!$C$83)-1)*DATOS!$C$80))/2,X40*100/2))/DATOS!$C$83,1)))</f>
        <v/>
      </c>
      <c r="CT40" s="67" t="str">
        <f>IF(U40&lt;&gt;"SÍ","",IF(CQ40&lt;=CR40,"CUMPLE",IF(CS40&lt;=0,"CUMPLE (basta el macizo de orilla)",IF(CS40*DATOS!$C$83*IF(C40="VOLADO",1,2)&gt;=X40*100-DATOS!$C$84,"NO CUMPLE: no alcanza ni macizando todo","MACIZAR "&amp;CS40&amp;" hilera(s)"))))</f>
        <v/>
      </c>
      <c r="CU40" s="58" t="str">
        <f>IF(U40&lt;&gt;"SÍ","",(DATOS!$C$83*DATOS!$C$81^2/2+AC40*DATOS!$C$79*(DATOS!$C$81+DATOS!$C$79/2))/(DATOS!$C$83*DATOS!$C$81+AC40*DATOS!$C$79))</f>
        <v/>
      </c>
      <c r="CV40" s="68" t="str">
        <f>IF(U40&lt;&gt;"SÍ","",DATOS!$C$83*DATOS!$C$81^3/12+DATOS!$C$83*DATOS!$C$81*(CU40-DATOS!$C$81/2)^2+AC40*DATOS!$C$79^3/12+AC40*DATOS!$C$79*(DATOS!$C$81+DATOS!$C$79/2-CU40)^2)</f>
        <v/>
      </c>
      <c r="CW40" s="58" t="str">
        <f>IF(U40&lt;&gt;"SÍ","",(12*CV40/DATOS!$C$83)^(1/3))</f>
        <v/>
      </c>
      <c r="CX40" s="58" t="str">
        <f>IF(U40&lt;&gt;"SÍ","",IF(C40="PERIMETRAL",IF(ISNUMBER(R40),R40,DATOS!$C$101),0))</f>
        <v/>
      </c>
      <c r="CY40" s="57" t="str">
        <f>IF(U40&lt;&gt;"SÍ","",IF(C40="PERIMETRAL",IF(CX40&gt;2,MAX(9,AB40*(0.8+DATOS!$C$14/14000)/(36+9*(AB40/MAX(AA40,1)))),IF(CX40&gt;0.2,MAX(13,AB40*(0.8+DATOS!$C$14/14000)/(36+5*(AB40/MAX(AA40,1))*(CX40-0.2))),MAX(13,AB40/IF(AR40&gt;0,30,33))))*IF(AND(CX40&gt;0.2,AR40&gt;0,DATOS!$C$102="NO"),1.1,1),X40*100/8))</f>
        <v/>
      </c>
      <c r="CZ40" s="61" t="str">
        <f>IF(U40&lt;&gt;"SÍ","",IF(IF(C40="VOLADO",DATOS!$C$82,CW40)&gt;=CY40,"CUMPLE",IF(C40="VOLADO","NO CUMPLE","CALCULAR FLECHA")))</f>
        <v/>
      </c>
      <c r="DA40" s="55" t="str">
        <f>IF(U40&lt;&gt;"SÍ","",IF(DATOS!$C$81&gt;=IF(IF(C40="VOLADO",X40,Y40)&gt;=6,6,5),"CUMPLE","CAPA ≥ 6 cm"))</f>
        <v/>
      </c>
      <c r="DB40" s="60" t="str">
        <f>IF(U40&lt;&gt;"SÍ","",IF(C40="VOLADO",MIN(CEILING(IF(ISNUMBER(P40),P40,X40)*100,5),CEILING(MAX(IF((0.5*(0.9*DATOS!$C$87*DATOS!$C$83/100/1000)*IF(ISNUMBER(P40),P40,X40)+BG40/IF(ISNUMBER(P40),P40,X40))^2-4*(0.5*(0.9*DATOS!$C$87*DATOS!$C$83/100/1000))*BG40&lt;0,IF(ISNUMBER(P40),P40,X40),MIN(IF(ISNUMBER(P40),P40,X40),((0.5*(0.9*DATOS!$C$87*DATOS!$C$83/100/1000)*IF(ISNUMBER(P40),P40,X40)+BG40/IF(ISNUMBER(P40),P40,X40))-SQRT((0.5*(0.9*DATOS!$C$87*DATOS!$C$83/100/1000)*IF(ISNUMBER(P40),P40,X40)+BG40/IF(ISNUMBER(P40),P40,X40))^2-4*(0.5*(0.9*DATOS!$C$87*DATOS!$C$83/100/1000))*BG40))/(2*(0.5*(0.9*DATOS!$C$87*DATOS!$C$83/100/1000)))))*100+MAX(BW40,12*INDEX(TABLAS!$C$52:$C$58,MATCH(BU40,TABLAS!$B$52:$B$58,0)),IF(ISNUMBER(P40),P40,X40)*100/16),IF(OR(AK40&lt;INDEX(TABLAS!$C$52:$C$58,MATCH(BU40,TABLAS!$B$52:$B$58,0)),AND(BV40&gt;=2,(AC40-2*AK40-BV40*INDEX(TABLAS!$C$52:$C$58,MATCH(BU40,TABLAS!$B$52:$B$58,0)))/MAX(BV40-1,1)&lt;2*INDEX(TABLAS!$C$52:$C$58,MATCH(BU40,TABLAS!$B$52:$B$58,0)))),INDEX(TABLAS!$I$52:$I$58,MATCH(BU40,TABLAS!$B$52:$B$58,0)),INDEX(TABLAS!$F$52:$F$58,MATCH(BU40,TABLAS!$B$52:$B$58,0)))),5)),IF(((4*((BB40*AQ40*X40^2*1E-4*DATOS!$C$83/100/1000)+((MAX(AX40,AZ40)*AQ40*X40^2*1E-4*DATOS!$C$83/100/1000)+(IF(AND(AX40&gt;0,AZ40&gt;0),MIN(AX40,AZ40),MAX(AX40,AZ40))*AQ40*X40^2*1E-4*DATOS!$C$83/100/1000))/2)+BG40-(IF(AND(AX40&gt;0,AZ40&gt;0),MIN(AX40,AZ40),MAX(AX40,AZ40))*AQ40*X40^2*1E-4*DATOS!$C$83/100/1000))^2-16*((BB40*AQ40*X40^2*1E-4*DATOS!$C$83/100/1000)+((MAX(AX40,AZ40)*AQ40*X40^2*1E-4*DATOS!$C$83/100/1000)+(IF(AND(AX40&gt;0,AZ40&gt;0),MIN(AX40,AZ40),MAX(AX40,AZ40))*AQ40*X40^2*1E-4*DATOS!$C$83/100/1000))/2)*BG40)&lt;0,CEILING(AA40,5),CEILING(MAX(AA40*((4*((BB40*AQ40*X40^2*1E-4*DATOS!$C$83/100/1000)+((MAX(AX40,AZ40)*AQ40*X40^2*1E-4*DATOS!$C$83/100/1000)+(IF(AND(AX40&gt;0,AZ40&gt;0),MIN(AX40,AZ40),MAX(AX40,AZ40))*AQ40*X40^2*1E-4*DATOS!$C$83/100/1000))/2)+BG40-(IF(AND(AX40&gt;0,AZ40&gt;0),MIN(AX40,AZ40),MAX(AX40,AZ40))*AQ40*X40^2*1E-4*DATOS!$C$83/100/1000))-SQRT(MAX(0,((4*((BB40*AQ40*X40^2*1E-4*DATOS!$C$83/100/1000)+((MAX(AX40,AZ40)*AQ40*X40^2*1E-4*DATOS!$C$83/100/1000)+(IF(AND(AX40&gt;0,AZ40&gt;0),MIN(AX40,AZ40),MAX(AX40,AZ40))*AQ40*X40^2*1E-4*DATOS!$C$83/100/1000))/2)+BG40-(IF(AND(AX40&gt;0,AZ40&gt;0),MIN(AX40,AZ40),MAX(AX40,AZ40))*AQ40*X40^2*1E-4*DATOS!$C$83/100/1000))^2-16*((BB40*AQ40*X40^2*1E-4*DATOS!$C$83/100/1000)+((MAX(AX40,AZ40)*AQ40*X40^2*1E-4*DATOS!$C$83/100/1000)+(IF(AND(AX40&gt;0,AZ40&gt;0),MIN(AX40,AZ40),MAX(AX40,AZ40))*AQ40*X40^2*1E-4*DATOS!$C$83/100/1000))/2)*BG40))))/(8*MAX(((BB40*AQ40*X40^2*1E-4*DATOS!$C$83/100/1000)+((MAX(AX40,AZ40)*AQ40*X40^2*1E-4*DATOS!$C$83/100/1000)+(IF(AND(AX40&gt;0,AZ40&gt;0),MIN(AX40,AZ40),MAX(AX40,AZ40))*AQ40*X40^2*1E-4*DATOS!$C$83/100/1000))/2),1E-9))+MAX(BW40,12*INDEX(TABLAS!$C$52:$C$58,MATCH(BU40,TABLAS!$B$52:$B$58,0)),AA40/16),IF(OR(AK40&lt;INDEX(TABLAS!$C$52:$C$58,MATCH(BU40,TABLAS!$B$52:$B$58,0)),AND(BV40&gt;=2,(AC40-2*AK40-BV40*INDEX(TABLAS!$C$52:$C$58,MATCH(BU40,TABLAS!$B$52:$B$58,0)))/MAX(BV40-1,1)&lt;2*INDEX(TABLAS!$C$52:$C$58,MATCH(BU40,TABLAS!$B$52:$B$58,0)))),INDEX(TABLAS!$I$52:$I$58,MATCH(BU40,TABLAS!$B$52:$B$58,0)),INDEX(TABLAS!$F$52:$F$58,MATCH(BU40,TABLAS!$B$52:$B$58,0)))),5))))</f>
        <v/>
      </c>
      <c r="DC40" s="60" t="str">
        <f>IF(U40&lt;&gt;"SÍ","",IF(C40="VOLADO",0,IF(((4*((BC40*AQ40*X40^2*1E-4*DATOS!$C$83/100/1000)+((MAX(AY40,BA40)*AQ40*X40^2*1E-4*DATOS!$C$83/100/1000)+(IF(AND(AY40&gt;0,BA40&gt;0),MIN(AY40,BA40),MAX(AY40,BA40))*AQ40*X40^2*1E-4*DATOS!$C$83/100/1000))/2)+BI40-(IF(AND(AY40&gt;0,BA40&gt;0),MIN(AY40,BA40),MAX(AY40,BA40))*AQ40*X40^2*1E-4*DATOS!$C$83/100/1000))^2-16*((BC40*AQ40*X40^2*1E-4*DATOS!$C$83/100/1000)+((MAX(AY40,BA40)*AQ40*X40^2*1E-4*DATOS!$C$83/100/1000)+(IF(AND(AY40&gt;0,BA40&gt;0),MIN(AY40,BA40),MAX(AY40,BA40))*AQ40*X40^2*1E-4*DATOS!$C$83/100/1000))/2)*BI40)&lt;0,CEILING(AB40,5),CEILING(MAX(AB40*((4*((BC40*AQ40*X40^2*1E-4*DATOS!$C$83/100/1000)+((MAX(AY40,BA40)*AQ40*X40^2*1E-4*DATOS!$C$83/100/1000)+(IF(AND(AY40&gt;0,BA40&gt;0),MIN(AY40,BA40),MAX(AY40,BA40))*AQ40*X40^2*1E-4*DATOS!$C$83/100/1000))/2)+BI40-(IF(AND(AY40&gt;0,BA40&gt;0),MIN(AY40,BA40),MAX(AY40,BA40))*AQ40*X40^2*1E-4*DATOS!$C$83/100/1000))-SQRT(MAX(0,((4*((BC40*AQ40*X40^2*1E-4*DATOS!$C$83/100/1000)+((MAX(AY40,BA40)*AQ40*X40^2*1E-4*DATOS!$C$83/100/1000)+(IF(AND(AY40&gt;0,BA40&gt;0),MIN(AY40,BA40),MAX(AY40,BA40))*AQ40*X40^2*1E-4*DATOS!$C$83/100/1000))/2)+BI40-(IF(AND(AY40&gt;0,BA40&gt;0),MIN(AY40,BA40),MAX(AY40,BA40))*AQ40*X40^2*1E-4*DATOS!$C$83/100/1000))^2-16*((BC40*AQ40*X40^2*1E-4*DATOS!$C$83/100/1000)+((MAX(AY40,BA40)*AQ40*X40^2*1E-4*DATOS!$C$83/100/1000)+(IF(AND(AY40&gt;0,BA40&gt;0),MIN(AY40,BA40),MAX(AY40,BA40))*AQ40*X40^2*1E-4*DATOS!$C$83/100/1000))/2)*BI40))))/(8*MAX(((BC40*AQ40*X40^2*1E-4*DATOS!$C$83/100/1000)+((MAX(AY40,BA40)*AQ40*X40^2*1E-4*DATOS!$C$83/100/1000)+(IF(AND(AY40&gt;0,BA40&gt;0),MIN(AY40,BA40),MAX(AY40,BA40))*AQ40*X40^2*1E-4*DATOS!$C$83/100/1000))/2),1E-9))+MAX(CM40,12*INDEX(TABLAS!$C$52:$C$58,MATCH(CK40,TABLAS!$B$52:$B$58,0)),AB40/16),IF(OR(AK40&lt;INDEX(TABLAS!$C$52:$C$58,MATCH(CK40,TABLAS!$B$52:$B$58,0)),AND(CL40&gt;=2,(DATOS!$C$80-2*AK40-CL40*INDEX(TABLAS!$C$52:$C$58,MATCH(CK40,TABLAS!$B$52:$B$58,0)))/MAX(CL40-1,1)&lt;2*INDEX(TABLAS!$C$52:$C$58,MATCH(CK40,TABLAS!$B$52:$B$58,0)))),INDEX(TABLAS!$I$52:$I$58,MATCH(CK40,TABLAS!$B$52:$B$58,0)),INDEX(TABLAS!$F$52:$F$58,MATCH(CK40,TABLAS!$B$52:$B$58,0)))),5))))</f>
        <v/>
      </c>
      <c r="DD40" s="55" t="str">
        <f>IF(U40&lt;&gt;"SÍ","",IF(AND(C40="PERIMETRAL",BV40&gt;=2,AR40-AS40&gt;0,AZ40*AQ40*X40^2*1E-4*DATOS!$C$83/100/1000&gt;DATOS!$C$29*INDEX(TABLAS!$D$52:$D$58,MATCH(BU40,TABLAS!$B$52:$B$58,0))*DATOS!$C$14*(BW40-INDEX(TABLAS!$D$52:$D$58,MATCH(BU40,TABLAS!$B$52:$B$58,0))*DATOS!$C$14/(DATOS!$C$21*AE40)/2)/1E5),"SÍ","NO"))</f>
        <v/>
      </c>
      <c r="DE40" s="55" t="str">
        <f>IF(U40&lt;&gt;"SÍ","",IF(AND(C40="PERIMETRAL",CL40&gt;=2,AS40&gt;0,BA40*AQ40*X40^2*1E-4*DATOS!$C$83/100/1000&gt;DATOS!$C$29*INDEX(TABLAS!$D$52:$D$58,MATCH(CK40,TABLAS!$B$52:$B$58,0))*DATOS!$C$14*(CM40-INDEX(TABLAS!$D$52:$D$58,MATCH(CK40,TABLAS!$B$52:$B$58,0))*DATOS!$C$14/(DATOS!$C$21*AF40)/2)/1E5),"SÍ","NO"))</f>
        <v/>
      </c>
      <c r="DF40" s="63" t="str">
        <f>IF(U40&lt;&gt;"SÍ","",IF(OR(C40="VOLADO",AR40=0),"—",IF(AND(AND(1.25*INDEX(TABLAS!$G$52:$G$58,MATCH(MAX(BM40,CC40),TABLAS!$B$52:$B$58,0))&lt;=(DATOS!$C$72-DATOS!$C$60),(DATOS!$C$72-DATOS!$C$60)&gt;=15,INDEX(TABLAS!$G$52:$G$58,MATCH(MAX(BU40,CK40),TABLAS!$B$52:$B$58,0))&lt;=(DATOS!$C$72-DATOS!$C$60)),8*INDEX(TABLAS!$C$52:$C$58,MATCH(MAX(MAX(BM40,CC40),MAX(BU40,CK40)),TABLAS!$B$52:$B$58,0))&lt;=DATOS!$C$73-2*DATOS!$C$60),"CUMPLE (gancho de 180°)",IF(AND(1.25*INDEX(TABLAS!$G$52:$G$58,MATCH(MAX(BM40,CC40),TABLAS!$B$52:$B$58,0))&lt;=(DATOS!$C$72-DATOS!$C$60),(DATOS!$C$72-DATOS!$C$60)&gt;=15,INDEX(TABLAS!$G$52:$G$58,MATCH(MAX(BU40,CK40),TABLAS!$B$52:$B$58,0))&lt;=(DATOS!$C$72-DATOS!$C$60)),"NO CUMPLE: el gancho de 180° (8·d_b) no cabe en el peralte de la dala de borde","NO CUMPLE: dala de borde ≥ "&amp;TEXT(CEILING(MAX(1.25*INDEX(TABLAS!$G$52:$G$58,MATCH(MAX(BM40,CC40),TABLAS!$B$52:$B$58,0)),15,INDEX(TABLAS!$G$52:$G$58,MATCH(MAX(BU40,CK40),TABLAS!$B$52:$B$58,0)))+DATOS!$C$60,5),"0")&amp;" cm de ancho"&amp;IF(8*INDEX(TABLAS!$C$52:$C$58,MATCH(MAX(MAX(BM40,CC40),MAX(BU40,CK40)),TABLAS!$B$52:$B$58,0))&lt;=DATOS!$C$73-2*DATOS!$C$60,""," y más peralte para el gancho")))))</f>
        <v/>
      </c>
      <c r="DG40" s="59" t="str">
        <f>IF(U40&lt;&gt;"SÍ","",MAX(0,INT((E40*100-DATOS!$C$84+DATOS!$C$83-IF(W40="X",DATOS!$C$78,AD40))/DATOS!$C$83)))</f>
        <v/>
      </c>
      <c r="DH40" s="59" t="str">
        <f>IF(U40&lt;&gt;"SÍ","",MAX(0,INT((F40*100-DATOS!$C$84+DATOS!$C$83-IF(W40="Y",DATOS!$C$78,AD40))/DATOS!$C$83)))</f>
        <v/>
      </c>
      <c r="DI40" s="57" t="str">
        <f>IF(U40&lt;&gt;"SÍ","",IF(DG40&gt;0,(E40*100-DATOS!$C$84-(DG40*IF(W40="X",DATOS!$C$78,AD40)+(DG40-1)*(DATOS!$C$83-IF(W40="X",DATOS!$C$78,AD40))))/2,E40*100/2))</f>
        <v/>
      </c>
      <c r="DJ40" s="57" t="str">
        <f>IF(U40&lt;&gt;"SÍ","",IF(DH40&gt;0,(F40*100-DATOS!$C$84-(DH40*IF(W40="Y",DATOS!$C$78,AD40)+(DH40-1)*(DATOS!$C$83-IF(W40="Y",DATOS!$C$78,AD40))))/2,F40*100/2))</f>
        <v/>
      </c>
      <c r="DK40" s="59" t="str">
        <f>IF(U40&lt;&gt;"SÍ","",IF(NOT(AND(C40="VOLADO",AC40&gt;DATOS!$C$80)),0,IF(INDEX(TABLAS!$C$52:$C$58,MATCH(BU40,TABLAS!$B$52:$B$58,0))&lt;=DATOS!$C$80-2*DATOS!$C$60,1,0)))</f>
        <v/>
      </c>
      <c r="DL40" s="58" t="str">
        <f>IF(U40&lt;&gt;"SÍ","",IF(NOT(AND(C40="VOLADO",AC40&gt;DATOS!$C$80)),0,((DATOS!$C$82-MAX(DATOS!$C$60,(DATOS!$C$81-2*DATOS!$C$94)/2)-2*DATOS!$C$94-INDEX(TABLAS!$C$52:$C$58,MATCH(BU40,TABLAS!$B$52:$B$58,0))/2)-IF(AND((DATOS!$C$82-MAX(DATOS!$C$60,(DATOS!$C$81-2*DATOS!$C$94)/2)-2*DATOS!$C$94-INDEX(TABLAS!$C$52:$C$58,MATCH(BU40,TABLAS!$B$52:$B$58,0))/2)&lt;=20,DATOS!$C$62&lt;&gt;"SÍ"),2,0))))</f>
        <v/>
      </c>
      <c r="DM40" s="56" t="str">
        <f>IF(U40&lt;&gt;"SÍ","",IF(OR(NOT(AND(C40="VOLADO",AC40&gt;DATOS!$C$80)),DK40&lt;1),0,IF(0.003*(DL40-((DK40*INDEX(TABLAS!$D$52:$D$58,MATCH(BU40,TABLAS!$B$52:$B$58,0)))*DATOS!$C$14/(DATOS!$C$21*AF40)/DATOS!$C$22))/((DK40*INDEX(TABLAS!$D$52:$D$58,MATCH(BU40,TABLAS!$B$52:$B$58,0)))*DATOS!$C$14/(DATOS!$C$21*AF40)/DATOS!$C$22)&lt;0.005,0,DATOS!$C$29*(DK40*INDEX(TABLAS!$D$52:$D$58,MATCH(BU40,TABLAS!$B$52:$B$58,0)))*DATOS!$C$14*(DL40-(DK40*INDEX(TABLAS!$D$52:$D$58,MATCH(BU40,TABLAS!$B$52:$B$58,0)))*DATOS!$C$14/(DATOS!$C$21*AF40)/2)/1E5)))</f>
        <v/>
      </c>
      <c r="DN40" s="56" t="str">
        <f>IF(U40&lt;&gt;"SÍ","",IF(OR(NOT(AND(C40="VOLADO",AC40&gt;DATOS!$C$80)),DK40&lt;1),0,DATOS!$C$30*2*MIN(1,SQRT(2/(1+0.04*DL40)))*((DK40*INDEX(TABLAS!$D$52:$D$58,MATCH(BU40,TABLAS!$B$52:$B$58,0)))/(AF40*DL40))^(1/3)*SQRT(DATOS!$C$13)*AF40*DL40/1000))</f>
        <v/>
      </c>
      <c r="DO40" s="56" t="str">
        <f>IF(U40&lt;&gt;"SÍ","",IF(NOT(AND(C40="VOLADO",AC40&gt;DATOS!$C$80)),0,IF((BG40-DM40)&lt;=0,0,IF(DM40&lt;=0,IF(ISNUMBER(P40),P40,X40),IF(((0.9*DATOS!$C$87*DATOS!$C$83/100/1000)*IF(ISNUMBER(P40),P40,X40)/2+BG40/IF(ISNUMBER(P40),P40,X40))^2-4*((0.9*DATOS!$C$87*DATOS!$C$83/100/1000)/2)*(BG40-DM40)&lt;0,IF(ISNUMBER(P40),P40,X40),MIN(IF(ISNUMBER(P40),P40,X40),(((0.9*DATOS!$C$87*DATOS!$C$83/100/1000)*IF(ISNUMBER(P40),P40,X40)/2+BG40/IF(ISNUMBER(P40),P40,X40))-SQRT(((0.9*DATOS!$C$87*DATOS!$C$83/100/1000)*IF(ISNUMBER(P40),P40,X40)/2+BG40/IF(ISNUMBER(P40),P40,X40))^2-4*((0.9*DATOS!$C$87*DATOS!$C$83/100/1000)/2)*(BG40-DM40)))/(2*((0.9*DATOS!$C$87*DATOS!$C$83/100/1000)/2))))))))</f>
        <v/>
      </c>
      <c r="DP40" s="56" t="str">
        <f>IF(U40&lt;&gt;"SÍ","",IF(NOT(AND(C40="VOLADO",AC40&gt;DATOS!$C$80)),0,MIN(IF(ISNUMBER(P40),P40,X40),MAX(0,IF(ISNUMBER(P40),P40,X40)/2+BG40/IF(ISNUMBER(P40),P40,X40)/(AQ40*DATOS!$C$83/100/1000)-DN40/(AQ40*DATOS!$C$83/100/1000)))))</f>
        <v/>
      </c>
      <c r="DQ40" s="56" t="str">
        <f>IF(U40&lt;&gt;"SÍ","",IF(NOT(AND(C40="VOLADO",AC40&gt;DATOS!$C$80)),0,BG40/IF(ISNUMBER(P40),P40,X40)+(AQ40*DATOS!$C$83/100/1000)*MAX(0,IF(ISNUMBER(P40),P40,X40)/2-BW40/100)))</f>
        <v/>
      </c>
      <c r="DR40" s="59" t="str">
        <f>IF(U40&lt;&gt;"SÍ","",IF(NOT(AND(C40="VOLADO",AC40&gt;DATOS!$C$80)),0,CEILING(100*MIN(IF(ISNUMBER(P40),P40,X40),MAX(IF(DO40&gt;0,DO40+IF(BV40&gt;=2,MAX(DL40,12*INDEX(TABLAS!$C$52:$C$58,MATCH(BU40,TABLAS!$B$52:$B$58,0)))/100,0),0),DP40,IF(BV40&gt;=2,INDEX(TABLAS!$F$52:$F$58,MATCH(BU40,TABLAS!$B$52:$B$58,0))/100,0))),5)))</f>
        <v/>
      </c>
      <c r="DS40" s="60" t="str">
        <f>IF(U40&lt;&gt;"SÍ","",IF(NOT(AND(C40="VOLADO",AC40&gt;DATOS!$C$80)),0,IF(DR40&lt;=0,0,CEILING(DR40/DATOS!$C$83,1))))</f>
        <v/>
      </c>
      <c r="DT40" s="61" t="str">
        <f>IF(U40&lt;&gt;"SÍ","",IF(C40&lt;&gt;"VOLADO","—",IF(AC40&lt;=DATOS!$C$80,"— (mismo b_w que el respaldo)",IF(DQ40&gt;CR40,"NO CUMPLE: cortante de la nervadura ancha junto al apoyo ("&amp;TEXT(DQ40,"0.00")&amp;" &gt; "&amp;TEXT(CR40,"0.00")&amp;" t)",IF(DR40&gt;=100*IF(ISNUMBER(P40),P40,X40),"CUMPLE — todas las nervaduras del respaldo ‖ al volado con b_w = "&amp;AC40&amp;" cm","CUMPLE — "&amp;DS40&amp;" hilera(s) del respaldo con nervaduras de b_w = "&amp;AC40&amp;" cm (casetón "&amp;AD40&amp;" cm), hasta "&amp;TEXT(DR40/100,"0.00")&amp;" m del paño")))))</f>
        <v/>
      </c>
      <c r="DU40" s="69" t="str">
        <f>IF(U40&lt;&gt;"SÍ","",IF(BN40=0,"NO ALCANZA",BN40&amp;" No. "&amp;BM40&amp;IF(BN40&gt;1," corridas"," corrida")))</f>
        <v/>
      </c>
      <c r="DV40" s="69" t="str">
        <f>IF(U40&lt;&gt;"SÍ","",IF(BV40=0,"NO ALCANZA",IF(AND(C40="VOLADO",AC40&gt;DATOS!$C$80,BV40&gt;=2),"1 No. "&amp;BU40&amp;" corrida de la orilla al respaldo ("&amp;IF(DB40&gt;=100*IF(ISNUMBER(P40),P40,X40),"hasta su apoyo lejano, con gancho","entra "&amp;TEXT(DB40/100,"0.00")&amp;" m desde el paño")&amp;") + "&amp;(BV40-1)&amp;" bastón No. "&amp;BU40&amp;" hasta "&amp;TEXT(DR40/100,"0.00")&amp;" m del paño (fin de la nervadura ancha)",IF(C40="VOLADO",BV40&amp;" No. "&amp;BU40&amp;" de la orilla al respaldo ("&amp;IF(DB40&gt;=100*IF(ISNUMBER(P40),P40,X40),"hasta su apoyo lejano, con gancho","entran "&amp;TEXT(DB40/100,"0.00")&amp;" m desde el paño")&amp;")","1 No. "&amp;BU40&amp;" corrida"&amp;IF(BV40&gt;1," + "&amp;(BV40-1)&amp;" bastón No. "&amp;BU40&amp;" L = "&amp;TEXT(DB40/100,"0.00")&amp;" m desde el paño","")))))</f>
        <v/>
      </c>
      <c r="DW40" s="69" t="str">
        <f>IF(U40&lt;&gt;"SÍ","",IF(CD40=0,"NO ALCANZA",CD40&amp;" No. "&amp;CC40&amp;IF(CD40&gt;1," corridas"," corrida")))</f>
        <v/>
      </c>
      <c r="DX40" s="69" t="str">
        <f>IF(U40&lt;&gt;"SÍ","",IF(CL40=0,"NO ALCANZA",IF(C40="VOLADO","1 No. "&amp;CK40&amp;" corrida (repartición)","1 No. "&amp;CK40&amp;" corrida"&amp;IF(CL40&gt;1," + "&amp;(CL40-1)&amp;" bastón No. "&amp;CK40&amp;" L = "&amp;TEXT(DC40/100,"0.00")&amp;" m desde el paño",""))))</f>
        <v/>
      </c>
      <c r="DY40" s="67" t="str">
        <f>IF(B40="","",IF(U40&lt;&gt;"SÍ","FALTAN DATOS: tipo, a_x, a_y y destino",IF(L40="NO MONOLÍTICO (caso II)","FUERA DE ALCANCE: caso II no transcrito",IF(AND(C40="VOLADO",V40="?"),"REVISAR: el volado lleva UN solo borde CONTINUO (el empotrado)",IF(AND(MAX(BQ40,BY40,CG40,CO40)&lt;=1,NOT(OR(BN40&gt;MIN(DATOS!$C$70,INT(((AC40-2*AJ40)+MAX(DATOS!$C$67,INDEX(TABLAS!$C$52:$C$58,MATCH(BM40,TABLAS!$B$52:$B$58,0))))/(INDEX(TABLAS!$C$52:$C$58,MATCH(BM40,TABLAS!$B$52:$B$58,0))+MAX(DATOS!$C$67,INDEX(TABLAS!$C$52:$C$58,MATCH(BM40,TABLAS!$B$52:$B$58,0)))))),BV40&gt;MIN(DATOS!$C$70,INT(((AC40-2*AK40)+MAX(DATOS!$C$67,INDEX(TABLAS!$C$52:$C$58,MATCH(BU40,TABLAS!$B$52:$B$58,0))))/(INDEX(TABLAS!$C$52:$C$58,MATCH(BU40,TABLAS!$B$52:$B$58,0))+MAX(DATOS!$C$67,INDEX(TABLAS!$C$52:$C$58,MATCH(BU40,TABLAS!$B$52:$B$58,0)))))),CD40&gt;MIN(DATOS!$C$70,INT(((DATOS!$C$80-2*AJ40)+MAX(DATOS!$C$67,INDEX(TABLAS!$C$52:$C$58,MATCH(CC40,TABLAS!$B$52:$B$58,0))))/(INDEX(TABLAS!$C$52:$C$58,MATCH(CC40,TABLAS!$B$52:$B$58,0))+MAX(DATOS!$C$67,INDEX(TABLAS!$C$52:$C$58,MATCH(CC40,TABLAS!$B$52:$B$58,0)))))),CL40&gt;MIN(DATOS!$C$70,INT(((DATOS!$C$80-2*AK40)+MAX(DATOS!$C$67,INDEX(TABLAS!$C$52:$C$58,MATCH(CK40,TABLAS!$B$52:$B$58,0))))/(INDEX(TABLAS!$C$52:$C$58,MATCH(CK40,TABLAS!$B$52:$B$58,0))+MAX(DATOS!$C$67,INDEX(TABLAS!$C$52:$C$58,MATCH(CK40,TABLAS!$B$52:$B$58,0)))))))),NOT(OR(AND(ISNUMBER(BR40),BR40&lt;0.005),AND(ISNUMBER(BZ40),BZ40&lt;0.005),AND(ISNUMBER(CH40),CH40&lt;0.005),AND(ISNUMBER(CP40),CP40&lt;0.005))),NOT(LEFT(DT40,2)="NO"),CZ40="CUMPLE",DA40="CUMPLE",LEFT(CT40,2)&lt;&gt;"NO"),IF(LEFT(CT40,6)="CUMPLE","CUMPLE","CUMPLE — "&amp;CT40)&amp;IF(LEFT(BJ40,5)="FUERA"," · fuera de 3.4.2.1 c)","")&amp;IF(LEFT(DF40,2)="NO"," · REVISAR anclaje en borde discontinuo","")&amp;IF(DS40&gt;0," · respaldo: "&amp;DS40&amp;" hilera(s) de b_w "&amp;AC40&amp;" cm",""),IF(AND(MAX(BQ40,BY40,CG40,CO40)&lt;=1,NOT(OR(BN40&gt;MIN(DATOS!$C$70,INT(((AC40-2*AJ40)+MAX(DATOS!$C$67,INDEX(TABLAS!$C$52:$C$58,MATCH(BM40,TABLAS!$B$52:$B$58,0))))/(INDEX(TABLAS!$C$52:$C$58,MATCH(BM40,TABLAS!$B$52:$B$58,0))+MAX(DATOS!$C$67,INDEX(TABLAS!$C$52:$C$58,MATCH(BM40,TABLAS!$B$52:$B$58,0)))))),BV40&gt;MIN(DATOS!$C$70,INT(((AC40-2*AK40)+MAX(DATOS!$C$67,INDEX(TABLAS!$C$52:$C$58,MATCH(BU40,TABLAS!$B$52:$B$58,0))))/(INDEX(TABLAS!$C$52:$C$58,MATCH(BU40,TABLAS!$B$52:$B$58,0))+MAX(DATOS!$C$67,INDEX(TABLAS!$C$52:$C$58,MATCH(BU40,TABLAS!$B$52:$B$58,0)))))),CD40&gt;MIN(DATOS!$C$70,INT(((DATOS!$C$80-2*AJ40)+MAX(DATOS!$C$67,INDEX(TABLAS!$C$52:$C$58,MATCH(CC40,TABLAS!$B$52:$B$58,0))))/(INDEX(TABLAS!$C$52:$C$58,MATCH(CC40,TABLAS!$B$52:$B$58,0))+MAX(DATOS!$C$67,INDEX(TABLAS!$C$52:$C$58,MATCH(CC40,TABLAS!$B$52:$B$58,0)))))),CL40&gt;MIN(DATOS!$C$70,INT(((DATOS!$C$80-2*AK40)+MAX(DATOS!$C$67,INDEX(TABLAS!$C$52:$C$58,MATCH(CK40,TABLAS!$B$52:$B$58,0))))/(INDEX(TABLAS!$C$52:$C$58,MATCH(CK40,TABLAS!$B$52:$B$58,0))+MAX(DATOS!$C$67,INDEX(TABLAS!$C$52:$C$58,MATCH(CK40,TABLAS!$B$52:$B$58,0)))))))),NOT(OR(AND(ISNUMBER(BR40),BR40&lt;0.005),AND(ISNUMBER(BZ40),BZ40&lt;0.005),AND(ISNUMBER(CH40),CH40&lt;0.005),AND(ISNUMBER(CP40),CP40&lt;0.005))),NOT(LEFT(DT40,2)="NO"),CZ40="CALCULAR FLECHA",LEFT(CT40,2)&lt;&gt;"NO"),"REVISAR: calcular flecha (h_eq &lt; h mín.)"&amp;IF(LEFT(BJ40,5)="FUERA"," · fuera de 3.4.2.1 c)","")&amp;IF(LEFT(DF40,2)="NO"," · REVISAR anclaje en borde discontinuo","")&amp;IF(DS40&gt;0," · respaldo: "&amp;DS40&amp;" hilera(s) de b_w "&amp;AC40&amp;" cm",""),"NO CUMPLE: "&amp;IF(MAX(BQ40,BY40,CG40,CO40)&gt;1,"flexión ","")&amp;IF(OR(BN40&gt;MIN(DATOS!$C$70,INT(((AC40-2*AJ40)+MAX(DATOS!$C$67,INDEX(TABLAS!$C$52:$C$58,MATCH(BM40,TABLAS!$B$52:$B$58,0))))/(INDEX(TABLAS!$C$52:$C$58,MATCH(BM40,TABLAS!$B$52:$B$58,0))+MAX(DATOS!$C$67,INDEX(TABLAS!$C$52:$C$58,MATCH(BM40,TABLAS!$B$52:$B$58,0)))))),BV40&gt;MIN(DATOS!$C$70,INT(((AC40-2*AK40)+MAX(DATOS!$C$67,INDEX(TABLAS!$C$52:$C$58,MATCH(BU40,TABLAS!$B$52:$B$58,0))))/(INDEX(TABLAS!$C$52:$C$58,MATCH(BU40,TABLAS!$B$52:$B$58,0))+MAX(DATOS!$C$67,INDEX(TABLAS!$C$52:$C$58,MATCH(BU40,TABLAS!$B$52:$B$58,0)))))),CD40&gt;MIN(DATOS!$C$70,INT(((DATOS!$C$80-2*AJ40)+MAX(DATOS!$C$67,INDEX(TABLAS!$C$52:$C$58,MATCH(CC40,TABLAS!$B$52:$B$58,0))))/(INDEX(TABLAS!$C$52:$C$58,MATCH(CC40,TABLAS!$B$52:$B$58,0))+MAX(DATOS!$C$67,INDEX(TABLAS!$C$52:$C$58,MATCH(CC40,TABLAS!$B$52:$B$58,0)))))),CL40&gt;MIN(DATOS!$C$70,INT(((DATOS!$C$80-2*AK40)+MAX(DATOS!$C$67,INDEX(TABLAS!$C$52:$C$58,MATCH(CK40,TABLAS!$B$52:$B$58,0))))/(INDEX(TABLAS!$C$52:$C$58,MATCH(CK40,TABLAS!$B$52:$B$58,0))+MAX(DATOS!$C$67,INDEX(TABLAS!$C$52:$C$58,MATCH(CK40,TABLAS!$B$52:$B$58,0))))))),"no caben ","")&amp;IF(OR(AND(ISNUMBER(BR40),BR40&lt;0.005),AND(ISNUMBER(BZ40),BZ40&lt;0.005),AND(ISNUMBER(CH40),CH40&lt;0.005),AND(ISNUMBER(CP40),CP40&lt;0.005)),"ε_t &lt; 0.005 ","")&amp;IF(LEFT(CT40,2)="NO","cortante ","")&amp;IF(CZ40="NO CUMPLE","peralte ","")&amp;IF(DA40&lt;&gt;"CUMPLE","capa &lt; 6 cm ","")&amp;IF(LEFT(DT40,2)="NO","respaldo del volado","")))))))</f>
        <v/>
      </c>
      <c r="DZ40" s="70" t="str">
        <f>IF(U40&lt;&gt;"SÍ","",IF(LEFT(B40,7)="EJEMPLO","EJEMPLO de la hoja de Casa Rocha: bórralo o sobrescríbelo. ","")&amp;IF(AND(C40="PERIMETRAL",MIN(DG40,DH40)=0),"No cabe un casetón en el claro corto: es un tablero macizo, diséñalo en MACIZAS. ","")&amp;IF(AND(AI40="NO",C40="PERIMETRAL"),"No cumple 6.7.8.1.4 (a_c = "&amp;MAX(DATOS!$C$78,AD40)&amp;" cm &gt; claro corto/6 = "&amp;TEXT(X40*100/6,"0")&amp;" cm): se diseña como losa apoyada en vigas (6.7.8.1.9): r de viga = "&amp;DATOS!$C$60&amp;" cm y V_cR sin ×1.1. Para que cuente como encasetonada: casetón de "&amp;TEXT(FLOOR(MIN(80,X40*100/6),1),"0")&amp;" cm o menor. ","")&amp;IF(C40="VOLADO","Volado de "&amp;TEXT(X40,"0.00")&amp;" m empotrado en el borde "&amp;LOWER(V40)&amp;IF(N(O40)&gt;0,", con "&amp;TEXT(O40,"0.0")&amp;" kg/m en la orilla","")&amp;". Lecho inferior con r_ext. Si la orilla carga pretil u otro elemento frágil, calcula la flecha (13.4). El acero superior entra al respaldo de "&amp;TEXT(IF(ISNUMBER(P40),P40,X40),"0.00")&amp;" m"&amp;IF(ISNUMBER(P40),""," (L_b no capturado: se tomó igual al volado)")&amp;" hasta pasar M = 0 con 0.9·PP sin carga viva; si ahí no se anula, llega al apoyo lejano y se ancla con gancho (NTC-Criterios 3.4.1 c y 5.1.2.2). "&amp;IF(AC40&gt;DATOS!$C$80,"Respaldo: "&amp;DT40&amp;". ",""),"")&amp;IF(LEFT(BJ40,5)="FUERA","El M⁻ del vecino difiere más de 50 % (3.4.2.1 c): distribuye el desequilibrio (3.4.3.1) o confirma con un modelo; se arma con el mayor. ","")&amp;IF(OR(DD40="SÍ",DE40="SÍ"),"El M⁻ del borde discontinuo pide bastón también ahí (con gancho). ","")&amp;IF(LEFT(DF40,2)="NO","Anclaje: "&amp;DF40&amp;" (6.7.8.1.7). ","")&amp;IF(OR(AZ40&gt;0,BA40&gt;0),"Esquinas exteriores sobre muro: refuerzo de esquina arriba y abajo en L_largo/5 (6.7.7.3.1). ",""))</f>
        <v/>
      </c>
    </row>
    <row r="41" ht="33" customHeight="1">
      <c r="A41" s="50">
        <f>IF(B41="",0,1)+A40</f>
        <v>4</v>
      </c>
      <c r="B41" s="29" t="n"/>
      <c r="C41" s="51" t="n"/>
      <c r="D41" s="29" t="n"/>
      <c r="E41" s="52" t="n"/>
      <c r="F41" s="52" t="n"/>
      <c r="G41" s="51" t="n"/>
      <c r="H41" s="51" t="n"/>
      <c r="I41" s="51" t="n"/>
      <c r="J41" s="51" t="n"/>
      <c r="K41" s="51" t="n"/>
      <c r="L41" s="51" t="n"/>
      <c r="M41" s="53" t="n"/>
      <c r="N41" s="53" t="n"/>
      <c r="O41" s="54" t="n"/>
      <c r="P41" s="52" t="n"/>
      <c r="Q41" s="53" t="n"/>
      <c r="R41" s="54" t="n"/>
      <c r="S41" s="52" t="n"/>
      <c r="T41" s="52" t="n"/>
      <c r="U41" s="55" t="str">
        <f>IF(B41="","",IF(AND(OR(C41="PERIMETRAL",C41="VOLADO"),ISNUMBER(E41),ISNUMBER(F41),E41&gt;0,F41&gt;0,OR(ISNUMBER(N41),ISNUMBER(MATCH(D41,DATOS!$B$46:$B$55,0)))),"SÍ","NO"))</f>
        <v/>
      </c>
      <c r="V41" s="55" t="str">
        <f>IF(U41&lt;&gt;"SÍ","",IF(C41&lt;&gt;"VOLADO","—",IF(COUNTIF(G41:J41,"CONTINUO")&lt;&gt;1,"?",IF(G41="CONTINUO","INFERIOR",IF(H41="CONTINUO","SUPERIOR",IF(I41="CONTINUO","IZQUIERDO","DERECHO"))))))</f>
        <v/>
      </c>
      <c r="W41" s="55" t="str">
        <f>IF(U41&lt;&gt;"SÍ","",IF(C41="VOLADO",IF(OR(V41="IZQUIERDO",V41="DERECHO"),"X","Y"),IF(E41&lt;=F41,"X","Y")))</f>
        <v/>
      </c>
      <c r="X41" s="56" t="str">
        <f>IF(U41&lt;&gt;"SÍ","",IF(C41="VOLADO",IF(W41="X",E41,F41),MIN(E41,F41)))</f>
        <v/>
      </c>
      <c r="Y41" s="56" t="str">
        <f>IF(U41&lt;&gt;"SÍ","",IF(C41="VOLADO",IF(W41="X",F41,E41),MAX(E41,F41)))</f>
        <v/>
      </c>
      <c r="Z41" s="56" t="str">
        <f>IF(U41&lt;&gt;"SÍ","",MIN(X41,Y41)/MAX(X41,Y41))</f>
        <v/>
      </c>
      <c r="AA41" s="57" t="str">
        <f>IF(U41&lt;&gt;"SÍ","",MAX(1,X41*100-IF(C41="VOLADO",DATOS!$C$84/2,DATOS!$C$84)))</f>
        <v/>
      </c>
      <c r="AB41" s="57" t="str">
        <f>IF(U41&lt;&gt;"SÍ","",MAX(1,Y41*100-DATOS!$C$84))</f>
        <v/>
      </c>
      <c r="AC41" s="57" t="str">
        <f>IF(U41&lt;&gt;"SÍ","",IF(ISNUMBER(Q41),Q41,DATOS!$C$80))</f>
        <v/>
      </c>
      <c r="AD41" s="57" t="str">
        <f>IF(U41&lt;&gt;"SÍ","",MAX(0,DATOS!$C$83-AC41))</f>
        <v/>
      </c>
      <c r="AE41" s="57" t="str">
        <f>IF(U41&lt;&gt;"SÍ","",IF(OR(DATOS!$C$62="SÍ",AC41&gt;=20),AC41,AC41-2))</f>
        <v/>
      </c>
      <c r="AF41" s="57" t="str">
        <f>IF(U41&lt;&gt;"SÍ","",IF(OR(DATOS!$C$62="SÍ",DATOS!$C$80&gt;=20),DATOS!$C$80,DATOS!$C$80-2))</f>
        <v/>
      </c>
      <c r="AG41" s="57" t="str">
        <f>IF(U41&lt;&gt;"SÍ","",MIN(DATOS!$C$83,AC41+2*MIN(8*DATOS!$C$81,AD41/2,AA41/8)))</f>
        <v/>
      </c>
      <c r="AH41" s="57" t="str">
        <f>IF(U41&lt;&gt;"SÍ","",MIN(DATOS!$C$83,DATOS!$C$80+2*MIN(8*DATOS!$C$81,DATOS!$C$78/2,AB41/8)))</f>
        <v/>
      </c>
      <c r="AI41" s="55" t="str">
        <f>IF(U41&lt;&gt;"SÍ","",IF(AND(C41="PERIMETRAL",X41*100&gt;=6*MAX(DATOS!$C$78,AD41),MAX(DATOS!$C$78,AD41)&lt;=80,MIN(DATOS!$C$80,AC41)&gt;=10,DATOS!$C$82&lt;=3.5*MIN(DATOS!$C$80,AC41),DATOS!$C$81&gt;=MAX(MAX(DATOS!$C$78,AD41)/13,5)),"SÍ","NO"))</f>
        <v/>
      </c>
      <c r="AJ41" s="57" t="str">
        <f>IF(U41&lt;&gt;"SÍ","",IF(C41="VOLADO",DATOS!$C$61,IF(AI41="NO",DATOS!$C$60,DATOS!$C$59)))</f>
        <v/>
      </c>
      <c r="AK41" s="57" t="str">
        <f>IF(U41&lt;&gt;"SÍ","",IF(OR(AND(AM41="SÍ",DATOS!$C$63="SÍ"),AND(C41="VOLADO",DATOS!$C$64="SÍ")),DATOS!$C$61,IF(AI41="NO",DATOS!$C$60,DATOS!$C$59)))</f>
        <v/>
      </c>
      <c r="AL41" s="58" t="str">
        <f>IF(U41&lt;&gt;"SÍ","",MAX(AK41,(DATOS!$C$81-2*DATOS!$C$94)/2))</f>
        <v/>
      </c>
      <c r="AM41" s="55" t="str">
        <f>IF(U41&lt;&gt;"SÍ","",IFERROR(INDEX(DATOS!$D$46:$D$55,MATCH(D41,DATOS!$B$46:$B$55,0)),"NO"))</f>
        <v/>
      </c>
      <c r="AN41" s="59" t="str">
        <f>IF(U41&lt;&gt;"SÍ","",IF(ISNUMBER(N41),N41,IFERROR(INDEX(DATOS!$C$46:$C$55,MATCH(D41,DATOS!$B$46:$B$55,0)),0)))</f>
        <v/>
      </c>
      <c r="AO41" s="59" t="str">
        <f>IF(U41&lt;&gt;"SÍ","",(DATOS!$C$82/100-(AD41*DATOS!$C$78/DATOS!$C$83^2)*DATOS!$C$79/100)*DATOS!$C$16*1000+(AD41*DATOS!$C$78/DATOS!$C$83^2)*DATOS!$C$79/100*DATOS!$C$17*1000+DATOS!$C$37+DATOS!$C$38)</f>
        <v/>
      </c>
      <c r="AP41" s="59" t="str">
        <f>IF(U41&lt;&gt;"SÍ","",AO41+N(M41))</f>
        <v/>
      </c>
      <c r="AQ41" s="60" t="str">
        <f>IF(U41&lt;&gt;"SÍ","",MAX(DATOS!$C$26*AP41+DATOS!$C$27*AN41,IF(AM41="SÍ",DATOS!$C$28*(AP41+DATOS!$C$41),0)))</f>
        <v/>
      </c>
      <c r="AR41" s="59" t="str">
        <f>IF(U41&lt;&gt;"SÍ","",(G41="DISCONTINUO")+(H41="DISCONTINUO")+(I41="DISCONTINUO")+(J41="DISCONTINUO"))</f>
        <v/>
      </c>
      <c r="AS41" s="59" t="str">
        <f>IF(U41&lt;&gt;"SÍ","",IF(W41="X",(G41="DISCONTINUO")+(H41="DISCONTINUO"),(I41="DISCONTINUO")+(J41="DISCONTINUO")))</f>
        <v/>
      </c>
      <c r="AT41" s="55" t="str">
        <f>IF(U41&lt;&gt;"SÍ","",IF(AR41=0,"INTERIOR",IF(AR41=1,IF(AS41=1,"BORDE-CORTO","BORDE-LARGO"),IF(AR41=2,IF(AS41=1,"ESQUINA",IF(AS41=2,"EXTREMO-LARGO","EXTREMO-CORTO")),IF(AR41=3,IF(AS41=2,"EXTREMO-LARGO","EXTREMO-CORTO"),"AISLADO")))))</f>
        <v/>
      </c>
      <c r="AU41" s="61" t="str">
        <f>IF(U41&lt;&gt;"SÍ","",IF(OR(K41="",K41="AUTO"),AT41,K41))</f>
        <v/>
      </c>
      <c r="AV41" s="59" t="str">
        <f>IF(U41&lt;&gt;"SÍ","",MATCH(Z41,TABLAS!$D$5:$J$5,1))</f>
        <v/>
      </c>
      <c r="AW41" s="58" t="str">
        <f>IF(U41&lt;&gt;"SÍ","",IF(AV41&gt;=7,0,(Z41-INDEX(TABLAS!$D$5:$J$5,AV41))/(INDEX(TABLAS!$D$5:$J$5,AV41+1)-INDEX(TABLAS!$D$5:$J$5,AV41))))</f>
        <v/>
      </c>
      <c r="AX41" s="59" t="str">
        <f>IF(U41&lt;&gt;"SÍ","",INDEX(TABLAS!$D$6:$J$47,MATCH(AU41&amp;"|NIC",TABLAS!$B$6:$B$47,0),AV41)+AW41*(INDEX(TABLAS!$D$6:$J$47,MATCH(AU41&amp;"|NIC",TABLAS!$B$6:$B$47,0),MIN(AV41+1,7))-INDEX(TABLAS!$D$6:$J$47,MATCH(AU41&amp;"|NIC",TABLAS!$B$6:$B$47,0),AV41)))</f>
        <v/>
      </c>
      <c r="AY41" s="59" t="str">
        <f>IF(U41&lt;&gt;"SÍ","",INDEX(TABLAS!$D$6:$J$47,MATCH(AU41&amp;"|NIL",TABLAS!$B$6:$B$47,0),AV41)+AW41*(INDEX(TABLAS!$D$6:$J$47,MATCH(AU41&amp;"|NIL",TABLAS!$B$6:$B$47,0),MIN(AV41+1,7))-INDEX(TABLAS!$D$6:$J$47,MATCH(AU41&amp;"|NIL",TABLAS!$B$6:$B$47,0),AV41)))</f>
        <v/>
      </c>
      <c r="AZ41" s="59" t="str">
        <f>IF(U41&lt;&gt;"SÍ","",INDEX(TABLAS!$D$6:$J$47,MATCH(AU41&amp;"|NDC",TABLAS!$B$6:$B$47,0),AV41)+AW41*(INDEX(TABLAS!$D$6:$J$47,MATCH(AU41&amp;"|NDC",TABLAS!$B$6:$B$47,0),MIN(AV41+1,7))-INDEX(TABLAS!$D$6:$J$47,MATCH(AU41&amp;"|NDC",TABLAS!$B$6:$B$47,0),AV41)))</f>
        <v/>
      </c>
      <c r="BA41" s="59" t="str">
        <f>IF(U41&lt;&gt;"SÍ","",INDEX(TABLAS!$D$6:$J$47,MATCH(AU41&amp;"|NDL",TABLAS!$B$6:$B$47,0),AV41)+AW41*(INDEX(TABLAS!$D$6:$J$47,MATCH(AU41&amp;"|NDL",TABLAS!$B$6:$B$47,0),MIN(AV41+1,7))-INDEX(TABLAS!$D$6:$J$47,MATCH(AU41&amp;"|NDL",TABLAS!$B$6:$B$47,0),AV41)))</f>
        <v/>
      </c>
      <c r="BB41" s="59" t="str">
        <f>IF(U41&lt;&gt;"SÍ","",INDEX(TABLAS!$D$6:$J$47,MATCH(AU41&amp;"|PC",TABLAS!$B$6:$B$47,0),AV41)+AW41*(INDEX(TABLAS!$D$6:$J$47,MATCH(AU41&amp;"|PC",TABLAS!$B$6:$B$47,0),MIN(AV41+1,7))-INDEX(TABLAS!$D$6:$J$47,MATCH(AU41&amp;"|PC",TABLAS!$B$6:$B$47,0),AV41)))</f>
        <v/>
      </c>
      <c r="BC41" s="59" t="str">
        <f>IF(U41&lt;&gt;"SÍ","",INDEX(TABLAS!$D$6:$J$47,MATCH(AU41&amp;"|PL",TABLAS!$B$6:$B$47,0),AV41)+AW41*(INDEX(TABLAS!$D$6:$J$47,MATCH(AU41&amp;"|PL",TABLAS!$B$6:$B$47,0),MIN(AV41+1,7))-INDEX(TABLAS!$D$6:$J$47,MATCH(AU41&amp;"|PL",TABLAS!$B$6:$B$47,0),AV41)))</f>
        <v/>
      </c>
      <c r="BD41" s="56" t="str">
        <f>IF(U41&lt;&gt;"SÍ","",IF(C41&lt;&gt;"VOLADO",0,DATOS!$C$26*DATOS!$C$16*DATOS!$C$83/100*(((AD41*DATOS!$C$78/DATOS!$C$83^2)*DATOS!$C$79/100)*(IF(W41="X",DI41,DJ41)+DATOS!$C$84/2)/100*(AA41-(IF(W41="X",DI41,DJ41)+DATOS!$C$84/2)/2)/100+((AD41*DATOS!$C$78/DATOS!$C$83^2)*DATOS!$C$79/100)*IF(W41="X",DI41,DJ41)/100*IF(W41="X",DI41,DJ41)/200)))</f>
        <v/>
      </c>
      <c r="BE41" s="56" t="str">
        <f>IF(U41&lt;&gt;"SÍ","",IF(C41&lt;&gt;"VOLADO",0,DATOS!$C$26*DATOS!$C$16*DATOS!$C$83/100*((AD41*DATOS!$C$78/DATOS!$C$83^2)*DATOS!$C$79/100)*(IF(W41="X",DI41,DJ41)+DATOS!$C$84/2)/100))</f>
        <v/>
      </c>
      <c r="BF41" s="56" t="str">
        <f>IF(U41&lt;&gt;"SÍ","",IF(C41="PERIMETRAL",BB41*AQ41*X41^2*1E-4*DATOS!$C$83/100/1000,0))</f>
        <v/>
      </c>
      <c r="BG41" s="62" t="str">
        <f>IF(U41&lt;&gt;"SÍ","",IF(C41="PERIMETRAL",MAX(MAX(AX41,AZ41)*AQ41*X41^2*1E-4*DATOS!$C$83/100/1000,N(S41)),(AQ41*(AA41/100)^2/2+DATOS!$C$26*N(O41)*AA41/100)*DATOS!$C$83/100/1000+BD41))</f>
        <v/>
      </c>
      <c r="BH41" s="56" t="str">
        <f>IF(U41&lt;&gt;"SÍ","",IF(C41="PERIMETRAL",BC41*AQ41*X41^2*1E-4*DATOS!$C$83/100/1000,0))</f>
        <v/>
      </c>
      <c r="BI41" s="56" t="str">
        <f>IF(U41&lt;&gt;"SÍ","",IF(C41="PERIMETRAL",MAX(MAX(AY41,BA41)*AQ41*X41^2*1E-4*DATOS!$C$83/100/1000,N(T41)),0))</f>
        <v/>
      </c>
      <c r="BJ41" s="63" t="str">
        <f>IF(U41&lt;&gt;"SÍ","",IF(C41&lt;&gt;"PERIMETRAL","—",IF(AND(N(S41)=0,N(T41)=0),"— (sin M⁻ del vecino)",IF(OR(AND(N(S41)&gt;0,ABS(MAX(AX41,AZ41)*AQ41*X41^2*1E-4*DATOS!$C$83/100/1000-N(S41))&gt;0.5*MIN(MAX(AX41,AZ41)*AQ41*X41^2*1E-4*DATOS!$C$83/100/1000,N(S41))),AND(N(T41)&gt;0,ABS(MAX(AY41,BA41)*AQ41*X41^2*1E-4*DATOS!$C$83/100/1000-N(T41))&gt;0.5*MIN(MAX(AY41,BA41)*AQ41*X41^2*1E-4*DATOS!$C$83/100/1000,N(T41)))),"FUERA: difieren &gt; 50 %"&amp;IF(AND(N(S41)&gt;0,ABS(MAX(AX41,AZ41)*AQ41*X41^2*1E-4*DATOS!$C$83/100/1000-N(S41))&gt;0.5*MIN(MAX(AX41,AZ41)*AQ41*X41^2*1E-4*DATOS!$C$83/100/1000,N(S41)))," ‖ corto","")&amp;IF(AND(N(T41)&gt;0,ABS(MAX(AY41,BA41)*AQ41*X41^2*1E-4*DATOS!$C$83/100/1000-N(T41))&gt;0.5*MIN(MAX(AY41,BA41)*AQ41*X41^2*1E-4*DATOS!$C$83/100/1000,N(T41)))," ‖ largo",""),"CUMPLE"))))</f>
        <v/>
      </c>
      <c r="BK41" s="58" t="str">
        <f>IF(U41&lt;&gt;"SÍ","",(DATOS!$C$82-AJ41-INDEX(TABLAS!$C$52:$C$58,MATCH(DATOS!$C$68,TABLAS!$B$52:$B$58,0))/2))</f>
        <v/>
      </c>
      <c r="BL41" s="58" t="str">
        <f>IF(U41&lt;&gt;"SÍ","",IF(IF(BF41&lt;=0,0,IF((1-2*BF41*1E5/(DATOS!$C$29*AG41*BK41^2*DATOS!$C$21))&lt;0,-1,IF((1-SQRT((1-2*BF41*1E5/(DATOS!$C$29*AG41*BK41^2*DATOS!$C$21))))*DATOS!$C$21*AG41*BK41/DATOS!$C$14&gt;DATOS!$C$99*AG41*BK41,-1,(1-SQRT((1-2*BF41*1E5/(DATOS!$C$29*AG41*BK41^2*DATOS!$C$21))))*DATOS!$C$21*AG41*BK41/DATOS!$C$14)))&lt;0,-1,MAX(IF(BF41&lt;=0,0,IF((1-2*BF41*1E5/(DATOS!$C$29*AG41*BK41^2*DATOS!$C$21))&lt;0,-1,IF((1-SQRT((1-2*BF41*1E5/(DATOS!$C$29*AG41*BK41^2*DATOS!$C$21))))*DATOS!$C$21*AG41*BK41/DATOS!$C$14&gt;DATOS!$C$99*AG41*BK41,-1,(1-SQRT((1-2*BF41*1E5/(DATOS!$C$29*AG41*BK41^2*DATOS!$C$21))))*DATOS!$C$21*AG41*BK41/DATOS!$C$14))),MIN(DATOS!$C$100*AC41*BK41,4/3*IF(BF41&lt;=0,0,IF((1-2*BF41*1E5/(DATOS!$C$29*AG41*BK41^2*DATOS!$C$21))&lt;0,-1,IF((1-SQRT((1-2*BF41*1E5/(DATOS!$C$29*AG41*BK41^2*DATOS!$C$21))))*DATOS!$C$21*AG41*BK41/DATOS!$C$14&gt;DATOS!$C$99*AG41*BK41,-1,(1-SQRT((1-2*BF41*1E5/(DATOS!$C$29*AG41*BK41^2*DATOS!$C$21))))*DATOS!$C$21*AG41*BK41/DATOS!$C$14)))))))</f>
        <v/>
      </c>
      <c r="BM41" s="64" t="str">
        <f>IF(U41&lt;&gt;"SÍ","",IF(AND(BL41&gt;=0,IF(MAX(DATOS!$C$71,CEILING(BL41/INDEX(TABLAS!$D$52:$D$58,MIN(MATCH(DATOS!$C$68,TABLAS!$B$52:$B$58,0)+0,7)),1))*INDEX(TABLAS!$D$52:$D$58,MIN(MATCH(DATOS!$C$68,TABLAS!$B$52:$B$58,0)+0,7))&gt;=4/3*IF(BF41&lt;=0,0,IF((1-2*BF41*1E5/(DATOS!$C$29*AG41*BK41^2*DATOS!$C$21))&lt;0,-1,IF((1-SQRT((1-2*BF41*1E5/(DATOS!$C$29*AG41*BK41^2*DATOS!$C$21))))*DATOS!$C$21*AG41*BK41/DATOS!$C$14&gt;DATOS!$C$99*AG41*BK41,-1,(1-SQRT((1-2*BF41*1E5/(DATOS!$C$29*AG41*BK41^2*DATOS!$C$21))))*DATOS!$C$21*AG41*BK41/DATOS!$C$14)))-0.0001,MAX(DATOS!$C$71,CEILING(BL41/INDEX(TABLAS!$D$52:$D$58,MIN(MATCH(DATOS!$C$68,TABLAS!$B$52:$B$58,0)+0,7)),1)),MAX(MAX(DATOS!$C$71,CEILING(BL41/INDEX(TABLAS!$D$52:$D$58,MIN(MATCH(DATOS!$C$68,TABLAS!$B$52:$B$58,0)+0,7)),1)),2))&lt;=MIN(DATOS!$C$70,INT(((AC41-2*AJ41)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41&gt;=0,IF(MAX(DATOS!$C$71,CEILING(BL41/INDEX(TABLAS!$D$52:$D$58,MIN(MATCH(DATOS!$C$68,TABLAS!$B$52:$B$58,0)+1,7)),1))*INDEX(TABLAS!$D$52:$D$58,MIN(MATCH(DATOS!$C$68,TABLAS!$B$52:$B$58,0)+1,7))&gt;=4/3*IF(BF41&lt;=0,0,IF((1-2*BF41*1E5/(DATOS!$C$29*AG41*BK41^2*DATOS!$C$21))&lt;0,-1,IF((1-SQRT((1-2*BF41*1E5/(DATOS!$C$29*AG41*BK41^2*DATOS!$C$21))))*DATOS!$C$21*AG41*BK41/DATOS!$C$14&gt;DATOS!$C$99*AG41*BK41,-1,(1-SQRT((1-2*BF41*1E5/(DATOS!$C$29*AG41*BK41^2*DATOS!$C$21))))*DATOS!$C$21*AG41*BK41/DATOS!$C$14)))-0.0001,MAX(DATOS!$C$71,CEILING(BL41/INDEX(TABLAS!$D$52:$D$58,MIN(MATCH(DATOS!$C$68,TABLAS!$B$52:$B$58,0)+1,7)),1)),MAX(MAX(DATOS!$C$71,CEILING(BL41/INDEX(TABLAS!$D$52:$D$58,MIN(MATCH(DATOS!$C$68,TABLAS!$B$52:$B$58,0)+1,7)),1)),2))&lt;=MIN(DATOS!$C$70,INT(((AC41-2*AJ41)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41&gt;=0,IF(MAX(DATOS!$C$71,CEILING(BL41/INDEX(TABLAS!$D$52:$D$58,MIN(MATCH(DATOS!$C$68,TABLAS!$B$52:$B$58,0)+2,7)),1))*INDEX(TABLAS!$D$52:$D$58,MIN(MATCH(DATOS!$C$68,TABLAS!$B$52:$B$58,0)+2,7))&gt;=4/3*IF(BF41&lt;=0,0,IF((1-2*BF41*1E5/(DATOS!$C$29*AG41*BK41^2*DATOS!$C$21))&lt;0,-1,IF((1-SQRT((1-2*BF41*1E5/(DATOS!$C$29*AG41*BK41^2*DATOS!$C$21))))*DATOS!$C$21*AG41*BK41/DATOS!$C$14&gt;DATOS!$C$99*AG41*BK41,-1,(1-SQRT((1-2*BF41*1E5/(DATOS!$C$29*AG41*BK41^2*DATOS!$C$21))))*DATOS!$C$21*AG41*BK41/DATOS!$C$14)))-0.0001,MAX(DATOS!$C$71,CEILING(BL41/INDEX(TABLAS!$D$52:$D$58,MIN(MATCH(DATOS!$C$68,TABLAS!$B$52:$B$58,0)+2,7)),1)),MAX(MAX(DATOS!$C$71,CEILING(BL41/INDEX(TABLAS!$D$52:$D$58,MIN(MATCH(DATOS!$C$68,TABLAS!$B$52:$B$58,0)+2,7)),1)),2))&lt;=MIN(DATOS!$C$70,INT(((AC41-2*AJ41)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41&gt;=0,IF(MAX(DATOS!$C$71,CEILING(BL41/INDEX(TABLAS!$D$52:$D$58,MIN(MATCH(DATOS!$C$68,TABLAS!$B$52:$B$58,0)+3,7)),1))*INDEX(TABLAS!$D$52:$D$58,MIN(MATCH(DATOS!$C$68,TABLAS!$B$52:$B$58,0)+3,7))&gt;=4/3*IF(BF41&lt;=0,0,IF((1-2*BF41*1E5/(DATOS!$C$29*AG41*BK41^2*DATOS!$C$21))&lt;0,-1,IF((1-SQRT((1-2*BF41*1E5/(DATOS!$C$29*AG41*BK41^2*DATOS!$C$21))))*DATOS!$C$21*AG41*BK41/DATOS!$C$14&gt;DATOS!$C$99*AG41*BK41,-1,(1-SQRT((1-2*BF41*1E5/(DATOS!$C$29*AG41*BK41^2*DATOS!$C$21))))*DATOS!$C$21*AG41*BK41/DATOS!$C$14)))-0.0001,MAX(DATOS!$C$71,CEILING(BL41/INDEX(TABLAS!$D$52:$D$58,MIN(MATCH(DATOS!$C$68,TABLAS!$B$52:$B$58,0)+3,7)),1)),MAX(MAX(DATOS!$C$71,CEILING(BL41/INDEX(TABLAS!$D$52:$D$58,MIN(MATCH(DATOS!$C$68,TABLAS!$B$52:$B$58,0)+3,7)),1)),2))&lt;=MIN(DATOS!$C$70,INT(((AC41-2*AJ41)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41&gt;=0,IF(MAX(DATOS!$C$71,CEILING(BL41/INDEX(TABLAS!$D$52:$D$58,MIN(MATCH(DATOS!$C$68,TABLAS!$B$52:$B$58,0)+4,7)),1))*INDEX(TABLAS!$D$52:$D$58,MIN(MATCH(DATOS!$C$68,TABLAS!$B$52:$B$58,0)+4,7))&gt;=4/3*IF(BF41&lt;=0,0,IF((1-2*BF41*1E5/(DATOS!$C$29*AG41*BK41^2*DATOS!$C$21))&lt;0,-1,IF((1-SQRT((1-2*BF41*1E5/(DATOS!$C$29*AG41*BK41^2*DATOS!$C$21))))*DATOS!$C$21*AG41*BK41/DATOS!$C$14&gt;DATOS!$C$99*AG41*BK41,-1,(1-SQRT((1-2*BF41*1E5/(DATOS!$C$29*AG41*BK41^2*DATOS!$C$21))))*DATOS!$C$21*AG41*BK41/DATOS!$C$14)))-0.0001,MAX(DATOS!$C$71,CEILING(BL41/INDEX(TABLAS!$D$52:$D$58,MIN(MATCH(DATOS!$C$68,TABLAS!$B$52:$B$58,0)+4,7)),1)),MAX(MAX(DATOS!$C$71,CEILING(BL41/INDEX(TABLAS!$D$52:$D$58,MIN(MATCH(DATOS!$C$68,TABLAS!$B$52:$B$58,0)+4,7)),1)),2))&lt;=MIN(DATOS!$C$70,INT(((AC41-2*AJ41)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41" s="59" t="str">
        <f>IF(U41&lt;&gt;"SÍ","",IF(BL41&lt;0,0,IF(MAX(DATOS!$C$71,CEILING(MAX(BL41,0)/INDEX(TABLAS!$D$52:$D$58,MATCH(BM41,TABLAS!$B$52:$B$58,0)),1))*INDEX(TABLAS!$D$52:$D$58,MATCH(BM41,TABLAS!$B$52:$B$58,0))&gt;=4/3*IF(BF41&lt;=0,0,IF((1-2*BF41*1E5/(DATOS!$C$29*AG41*BK41^2*DATOS!$C$21))&lt;0,-1,IF((1-SQRT((1-2*BF41*1E5/(DATOS!$C$29*AG41*BK41^2*DATOS!$C$21))))*DATOS!$C$21*AG41*BK41/DATOS!$C$14&gt;DATOS!$C$99*AG41*BK41,-1,(1-SQRT((1-2*BF41*1E5/(DATOS!$C$29*AG41*BK41^2*DATOS!$C$21))))*DATOS!$C$21*AG41*BK41/DATOS!$C$14)))-0.0001,MAX(DATOS!$C$71,CEILING(MAX(BL41,0)/INDEX(TABLAS!$D$52:$D$58,MATCH(BM41,TABLAS!$B$52:$B$58,0)),1)),MAX(MAX(DATOS!$C$71,CEILING(MAX(BL41,0)/INDEX(TABLAS!$D$52:$D$58,MATCH(BM41,TABLAS!$B$52:$B$58,0)),1)),2))))</f>
        <v/>
      </c>
      <c r="BO41" s="58" t="str">
        <f>IF(U41&lt;&gt;"SÍ","",DATOS!$C$82-AJ41-INDEX(TABLAS!$C$52:$C$58,MATCH(BM41,TABLAS!$B$52:$B$58,0))/2)</f>
        <v/>
      </c>
      <c r="BP41" s="56" t="str">
        <f>IF(U41&lt;&gt;"SÍ","",IF(BN41=0,0,DATOS!$C$29*BN41*INDEX(TABLAS!$D$52:$D$58,MATCH(BM41,TABLAS!$B$52:$B$58,0))*DATOS!$C$14*(BO41-BN41*INDEX(TABLAS!$D$52:$D$58,MATCH(BM41,TABLAS!$B$52:$B$58,0))*DATOS!$C$14/(DATOS!$C$21*AG41)/2)/1E5))</f>
        <v/>
      </c>
      <c r="BQ41" s="65" t="str">
        <f>IF(U41&lt;&gt;"SÍ","",IF(BL41&lt;0,9.99,IF(BP41&gt;0,BF41/BP41,0)))</f>
        <v/>
      </c>
      <c r="BR41" s="66" t="str">
        <f>IF(U41&lt;&gt;"SÍ","",IF(BN41=0,"—",0.003*(BO41-(BN41*INDEX(TABLAS!$D$52:$D$58,MATCH(BM41,TABLAS!$B$52:$B$58,0))*DATOS!$C$14/(DATOS!$C$21*AG41)/DATOS!$C$22))/(BN41*INDEX(TABLAS!$D$52:$D$58,MATCH(BM41,TABLAS!$B$52:$B$58,0))*DATOS!$C$14/(DATOS!$C$21*AG41)/DATOS!$C$22)))</f>
        <v/>
      </c>
      <c r="BS41" s="58" t="str">
        <f>IF(U41&lt;&gt;"SÍ","",((DATOS!$C$82-AL41-2*DATOS!$C$94-INDEX(TABLAS!$C$52:$C$58,MATCH(DATOS!$C$69,TABLAS!$B$52:$B$58,0))/2)-IF(AND((DATOS!$C$82-AL41-2*DATOS!$C$94-INDEX(TABLAS!$C$52:$C$58,MATCH(DATOS!$C$69,TABLAS!$B$52:$B$58,0))/2)&lt;=20,DATOS!$C$62&lt;&gt;"SÍ"),2,0)))</f>
        <v/>
      </c>
      <c r="BT41" s="58" t="str">
        <f>IF(U41&lt;&gt;"SÍ","",IF(IF(BG41&lt;=0,0,IF((1-2*BG41*1E5/(DATOS!$C$29*AE41*BS41^2*DATOS!$C$21))&lt;0,-1,IF((1-SQRT((1-2*BG41*1E5/(DATOS!$C$29*AE41*BS41^2*DATOS!$C$21))))*DATOS!$C$21*AE41*BS41/DATOS!$C$14&gt;DATOS!$C$99*AE41*BS41,-1,(1-SQRT((1-2*BG41*1E5/(DATOS!$C$29*AE41*BS41^2*DATOS!$C$21))))*DATOS!$C$21*AE41*BS41/DATOS!$C$14)))&lt;0,-1,MAX(IF(BG41&lt;=0,0,IF((1-2*BG41*1E5/(DATOS!$C$29*AE41*BS41^2*DATOS!$C$21))&lt;0,-1,IF((1-SQRT((1-2*BG41*1E5/(DATOS!$C$29*AE41*BS41^2*DATOS!$C$21))))*DATOS!$C$21*AE41*BS41/DATOS!$C$14&gt;DATOS!$C$99*AE41*BS41,-1,(1-SQRT((1-2*BG41*1E5/(DATOS!$C$29*AE41*BS41^2*DATOS!$C$21))))*DATOS!$C$21*AE41*BS41/DATOS!$C$14))),MIN(DATOS!$C$100*IF(C41="VOLADO",MIN(AG41,2*AC41),AC41)*BS41,4/3*IF(BG41&lt;=0,0,IF((1-2*BG41*1E5/(DATOS!$C$29*AE41*BS41^2*DATOS!$C$21))&lt;0,-1,IF((1-SQRT((1-2*BG41*1E5/(DATOS!$C$29*AE41*BS41^2*DATOS!$C$21))))*DATOS!$C$21*AE41*BS41/DATOS!$C$14&gt;DATOS!$C$99*AE41*BS41,-1,(1-SQRT((1-2*BG41*1E5/(DATOS!$C$29*AE41*BS41^2*DATOS!$C$21))))*DATOS!$C$21*AE41*BS41/DATOS!$C$14)))))))</f>
        <v/>
      </c>
      <c r="BU41" s="64" t="str">
        <f>IF(U41&lt;&gt;"SÍ","",IF(AND(BT41&gt;=0,IF(MAX(DATOS!$C$71,CEILING(BT41/INDEX(TABLAS!$D$52:$D$58,MIN(MATCH(DATOS!$C$69,TABLAS!$B$52:$B$58,0)+0,7)),1))*INDEX(TABLAS!$D$52:$D$58,MIN(MATCH(DATOS!$C$69,TABLAS!$B$52:$B$58,0)+0,7))&gt;=4/3*IF(BG41&lt;=0,0,IF((1-2*BG41*1E5/(DATOS!$C$29*AE41*BS41^2*DATOS!$C$21))&lt;0,-1,IF((1-SQRT((1-2*BG41*1E5/(DATOS!$C$29*AE41*BS41^2*DATOS!$C$21))))*DATOS!$C$21*AE41*BS41/DATOS!$C$14&gt;DATOS!$C$99*AE41*BS41,-1,(1-SQRT((1-2*BG41*1E5/(DATOS!$C$29*AE41*BS41^2*DATOS!$C$21))))*DATOS!$C$21*AE41*BS41/DATOS!$C$14)))-0.0001,MAX(DATOS!$C$71,CEILING(BT41/INDEX(TABLAS!$D$52:$D$58,MIN(MATCH(DATOS!$C$69,TABLAS!$B$52:$B$58,0)+0,7)),1)),MAX(MAX(DATOS!$C$71,CEILING(BT41/INDEX(TABLAS!$D$52:$D$58,MIN(MATCH(DATOS!$C$69,TABLAS!$B$52:$B$58,0)+0,7)),1)),2))&lt;=MIN(DATOS!$C$70,INT(((AC41-2*AK41)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41&gt;=0,IF(MAX(DATOS!$C$71,CEILING(BT41/INDEX(TABLAS!$D$52:$D$58,MIN(MATCH(DATOS!$C$69,TABLAS!$B$52:$B$58,0)+1,7)),1))*INDEX(TABLAS!$D$52:$D$58,MIN(MATCH(DATOS!$C$69,TABLAS!$B$52:$B$58,0)+1,7))&gt;=4/3*IF(BG41&lt;=0,0,IF((1-2*BG41*1E5/(DATOS!$C$29*AE41*BS41^2*DATOS!$C$21))&lt;0,-1,IF((1-SQRT((1-2*BG41*1E5/(DATOS!$C$29*AE41*BS41^2*DATOS!$C$21))))*DATOS!$C$21*AE41*BS41/DATOS!$C$14&gt;DATOS!$C$99*AE41*BS41,-1,(1-SQRT((1-2*BG41*1E5/(DATOS!$C$29*AE41*BS41^2*DATOS!$C$21))))*DATOS!$C$21*AE41*BS41/DATOS!$C$14)))-0.0001,MAX(DATOS!$C$71,CEILING(BT41/INDEX(TABLAS!$D$52:$D$58,MIN(MATCH(DATOS!$C$69,TABLAS!$B$52:$B$58,0)+1,7)),1)),MAX(MAX(DATOS!$C$71,CEILING(BT41/INDEX(TABLAS!$D$52:$D$58,MIN(MATCH(DATOS!$C$69,TABLAS!$B$52:$B$58,0)+1,7)),1)),2))&lt;=MIN(DATOS!$C$70,INT(((AC41-2*AK41)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41&gt;=0,IF(MAX(DATOS!$C$71,CEILING(BT41/INDEX(TABLAS!$D$52:$D$58,MIN(MATCH(DATOS!$C$69,TABLAS!$B$52:$B$58,0)+2,7)),1))*INDEX(TABLAS!$D$52:$D$58,MIN(MATCH(DATOS!$C$69,TABLAS!$B$52:$B$58,0)+2,7))&gt;=4/3*IF(BG41&lt;=0,0,IF((1-2*BG41*1E5/(DATOS!$C$29*AE41*BS41^2*DATOS!$C$21))&lt;0,-1,IF((1-SQRT((1-2*BG41*1E5/(DATOS!$C$29*AE41*BS41^2*DATOS!$C$21))))*DATOS!$C$21*AE41*BS41/DATOS!$C$14&gt;DATOS!$C$99*AE41*BS41,-1,(1-SQRT((1-2*BG41*1E5/(DATOS!$C$29*AE41*BS41^2*DATOS!$C$21))))*DATOS!$C$21*AE41*BS41/DATOS!$C$14)))-0.0001,MAX(DATOS!$C$71,CEILING(BT41/INDEX(TABLAS!$D$52:$D$58,MIN(MATCH(DATOS!$C$69,TABLAS!$B$52:$B$58,0)+2,7)),1)),MAX(MAX(DATOS!$C$71,CEILING(BT41/INDEX(TABLAS!$D$52:$D$58,MIN(MATCH(DATOS!$C$69,TABLAS!$B$52:$B$58,0)+2,7)),1)),2))&lt;=MIN(DATOS!$C$70,INT(((AC41-2*AK41)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41&gt;=0,IF(MAX(DATOS!$C$71,CEILING(BT41/INDEX(TABLAS!$D$52:$D$58,MIN(MATCH(DATOS!$C$69,TABLAS!$B$52:$B$58,0)+3,7)),1))*INDEX(TABLAS!$D$52:$D$58,MIN(MATCH(DATOS!$C$69,TABLAS!$B$52:$B$58,0)+3,7))&gt;=4/3*IF(BG41&lt;=0,0,IF((1-2*BG41*1E5/(DATOS!$C$29*AE41*BS41^2*DATOS!$C$21))&lt;0,-1,IF((1-SQRT((1-2*BG41*1E5/(DATOS!$C$29*AE41*BS41^2*DATOS!$C$21))))*DATOS!$C$21*AE41*BS41/DATOS!$C$14&gt;DATOS!$C$99*AE41*BS41,-1,(1-SQRT((1-2*BG41*1E5/(DATOS!$C$29*AE41*BS41^2*DATOS!$C$21))))*DATOS!$C$21*AE41*BS41/DATOS!$C$14)))-0.0001,MAX(DATOS!$C$71,CEILING(BT41/INDEX(TABLAS!$D$52:$D$58,MIN(MATCH(DATOS!$C$69,TABLAS!$B$52:$B$58,0)+3,7)),1)),MAX(MAX(DATOS!$C$71,CEILING(BT41/INDEX(TABLAS!$D$52:$D$58,MIN(MATCH(DATOS!$C$69,TABLAS!$B$52:$B$58,0)+3,7)),1)),2))&lt;=MIN(DATOS!$C$70,INT(((AC41-2*AK41)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41&gt;=0,IF(MAX(DATOS!$C$71,CEILING(BT41/INDEX(TABLAS!$D$52:$D$58,MIN(MATCH(DATOS!$C$69,TABLAS!$B$52:$B$58,0)+4,7)),1))*INDEX(TABLAS!$D$52:$D$58,MIN(MATCH(DATOS!$C$69,TABLAS!$B$52:$B$58,0)+4,7))&gt;=4/3*IF(BG41&lt;=0,0,IF((1-2*BG41*1E5/(DATOS!$C$29*AE41*BS41^2*DATOS!$C$21))&lt;0,-1,IF((1-SQRT((1-2*BG41*1E5/(DATOS!$C$29*AE41*BS41^2*DATOS!$C$21))))*DATOS!$C$21*AE41*BS41/DATOS!$C$14&gt;DATOS!$C$99*AE41*BS41,-1,(1-SQRT((1-2*BG41*1E5/(DATOS!$C$29*AE41*BS41^2*DATOS!$C$21))))*DATOS!$C$21*AE41*BS41/DATOS!$C$14)))-0.0001,MAX(DATOS!$C$71,CEILING(BT41/INDEX(TABLAS!$D$52:$D$58,MIN(MATCH(DATOS!$C$69,TABLAS!$B$52:$B$58,0)+4,7)),1)),MAX(MAX(DATOS!$C$71,CEILING(BT41/INDEX(TABLAS!$D$52:$D$58,MIN(MATCH(DATOS!$C$69,TABLAS!$B$52:$B$58,0)+4,7)),1)),2))&lt;=MIN(DATOS!$C$70,INT(((AC41-2*AK41)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41" s="59" t="str">
        <f>IF(U41&lt;&gt;"SÍ","",IF(BT41&lt;0,0,IF(MAX(DATOS!$C$71,CEILING(MAX(BT41,0)/INDEX(TABLAS!$D$52:$D$58,MATCH(BU41,TABLAS!$B$52:$B$58,0)),1))*INDEX(TABLAS!$D$52:$D$58,MATCH(BU41,TABLAS!$B$52:$B$58,0))&gt;=4/3*IF(BG41&lt;=0,0,IF((1-2*BG41*1E5/(DATOS!$C$29*AE41*BS41^2*DATOS!$C$21))&lt;0,-1,IF((1-SQRT((1-2*BG41*1E5/(DATOS!$C$29*AE41*BS41^2*DATOS!$C$21))))*DATOS!$C$21*AE41*BS41/DATOS!$C$14&gt;DATOS!$C$99*AE41*BS41,-1,(1-SQRT((1-2*BG41*1E5/(DATOS!$C$29*AE41*BS41^2*DATOS!$C$21))))*DATOS!$C$21*AE41*BS41/DATOS!$C$14)))-0.0001,MAX(DATOS!$C$71,CEILING(MAX(BT41,0)/INDEX(TABLAS!$D$52:$D$58,MATCH(BU41,TABLAS!$B$52:$B$58,0)),1)),MAX(MAX(DATOS!$C$71,CEILING(MAX(BT41,0)/INDEX(TABLAS!$D$52:$D$58,MATCH(BU41,TABLAS!$B$52:$B$58,0)),1)),2))))</f>
        <v/>
      </c>
      <c r="BW41" s="58" t="str">
        <f>IF(U41&lt;&gt;"SÍ","",((DATOS!$C$82-AL41-2*DATOS!$C$94-INDEX(TABLAS!$C$52:$C$58,MATCH(BU41,TABLAS!$B$52:$B$58,0))/2)-IF(AND((DATOS!$C$82-AL41-2*DATOS!$C$94-INDEX(TABLAS!$C$52:$C$58,MATCH(BU41,TABLAS!$B$52:$B$58,0))/2)&lt;=20,DATOS!$C$62&lt;&gt;"SÍ"),2,0)))</f>
        <v/>
      </c>
      <c r="BX41" s="56" t="str">
        <f>IF(U41&lt;&gt;"SÍ","",IF(BV41=0,0,DATOS!$C$29*BV41*INDEX(TABLAS!$D$52:$D$58,MATCH(BU41,TABLAS!$B$52:$B$58,0))*DATOS!$C$14*(BW41-BV41*INDEX(TABLAS!$D$52:$D$58,MATCH(BU41,TABLAS!$B$52:$B$58,0))*DATOS!$C$14/(DATOS!$C$21*AE41)/2)/1E5))</f>
        <v/>
      </c>
      <c r="BY41" s="65" t="str">
        <f>IF(U41&lt;&gt;"SÍ","",IF(BT41&lt;0,9.99,IF(BX41&gt;0,BG41/BX41,0)))</f>
        <v/>
      </c>
      <c r="BZ41" s="66" t="str">
        <f>IF(U41&lt;&gt;"SÍ","",IF(BV41=0,"—",0.003*(BW41-(BV41*INDEX(TABLAS!$D$52:$D$58,MATCH(BU41,TABLAS!$B$52:$B$58,0))*DATOS!$C$14/(DATOS!$C$21*AE41)/DATOS!$C$22))/(BV41*INDEX(TABLAS!$D$52:$D$58,MATCH(BU41,TABLAS!$B$52:$B$58,0))*DATOS!$C$14/(DATOS!$C$21*AE41)/DATOS!$C$22)))</f>
        <v/>
      </c>
      <c r="CA41" s="58" t="str">
        <f>IF(U41&lt;&gt;"SÍ","",(DATOS!$C$82-AJ41-INDEX(TABLAS!$C$52:$C$58,MATCH(DATOS!$C$68,TABLAS!$B$52:$B$58,0))-INDEX(TABLAS!$C$52:$C$58,MATCH(DATOS!$C$68,TABLAS!$B$52:$B$58,0))/2))</f>
        <v/>
      </c>
      <c r="CB41" s="58" t="str">
        <f>IF(U41&lt;&gt;"SÍ","",IF(IF(BH41&lt;=0,0,IF((1-2*BH41*1E5/(DATOS!$C$29*AH41*CA41^2*DATOS!$C$21))&lt;0,-1,IF((1-SQRT((1-2*BH41*1E5/(DATOS!$C$29*AH41*CA41^2*DATOS!$C$21))))*DATOS!$C$21*AH41*CA41/DATOS!$C$14&gt;DATOS!$C$99*AH41*CA41,-1,(1-SQRT((1-2*BH41*1E5/(DATOS!$C$29*AH41*CA41^2*DATOS!$C$21))))*DATOS!$C$21*AH41*CA41/DATOS!$C$14)))&lt;0,-1,MAX(IF(BH41&lt;=0,0,IF((1-2*BH41*1E5/(DATOS!$C$29*AH41*CA41^2*DATOS!$C$21))&lt;0,-1,IF((1-SQRT((1-2*BH41*1E5/(DATOS!$C$29*AH41*CA41^2*DATOS!$C$21))))*DATOS!$C$21*AH41*CA41/DATOS!$C$14&gt;DATOS!$C$99*AH41*CA41,-1,(1-SQRT((1-2*BH41*1E5/(DATOS!$C$29*AH41*CA41^2*DATOS!$C$21))))*DATOS!$C$21*AH41*CA41/DATOS!$C$14))),MIN(DATOS!$C$100*DATOS!$C$80*CA41,4/3*IF(BH41&lt;=0,0,IF((1-2*BH41*1E5/(DATOS!$C$29*AH41*CA41^2*DATOS!$C$21))&lt;0,-1,IF((1-SQRT((1-2*BH41*1E5/(DATOS!$C$29*AH41*CA41^2*DATOS!$C$21))))*DATOS!$C$21*AH41*CA41/DATOS!$C$14&gt;DATOS!$C$99*AH41*CA41,-1,(1-SQRT((1-2*BH41*1E5/(DATOS!$C$29*AH41*CA41^2*DATOS!$C$21))))*DATOS!$C$21*AH41*CA41/DATOS!$C$14)))))))</f>
        <v/>
      </c>
      <c r="CC41" s="64" t="str">
        <f>IF(U41&lt;&gt;"SÍ","",IF(AND(CB41&gt;=0,IF(MAX(DATOS!$C$71,CEILING(CB41/INDEX(TABLAS!$D$52:$D$58,MIN(MATCH(DATOS!$C$68,TABLAS!$B$52:$B$58,0)+0,7)),1))*INDEX(TABLAS!$D$52:$D$58,MIN(MATCH(DATOS!$C$68,TABLAS!$B$52:$B$58,0)+0,7))&gt;=4/3*IF(BH41&lt;=0,0,IF((1-2*BH41*1E5/(DATOS!$C$29*AH41*CA41^2*DATOS!$C$21))&lt;0,-1,IF((1-SQRT((1-2*BH41*1E5/(DATOS!$C$29*AH41*CA41^2*DATOS!$C$21))))*DATOS!$C$21*AH41*CA41/DATOS!$C$14&gt;DATOS!$C$99*AH41*CA41,-1,(1-SQRT((1-2*BH41*1E5/(DATOS!$C$29*AH41*CA41^2*DATOS!$C$21))))*DATOS!$C$21*AH41*CA41/DATOS!$C$14)))-0.0001,MAX(DATOS!$C$71,CEILING(CB41/INDEX(TABLAS!$D$52:$D$58,MIN(MATCH(DATOS!$C$68,TABLAS!$B$52:$B$58,0)+0,7)),1)),MAX(MAX(DATOS!$C$71,CEILING(CB41/INDEX(TABLAS!$D$52:$D$58,MIN(MATCH(DATOS!$C$68,TABLAS!$B$52:$B$58,0)+0,7)),1)),2))&lt;=MIN(DATOS!$C$70,INT(((DATOS!$C$80-2*AJ41)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41&gt;=0,IF(MAX(DATOS!$C$71,CEILING(CB41/INDEX(TABLAS!$D$52:$D$58,MIN(MATCH(DATOS!$C$68,TABLAS!$B$52:$B$58,0)+1,7)),1))*INDEX(TABLAS!$D$52:$D$58,MIN(MATCH(DATOS!$C$68,TABLAS!$B$52:$B$58,0)+1,7))&gt;=4/3*IF(BH41&lt;=0,0,IF((1-2*BH41*1E5/(DATOS!$C$29*AH41*CA41^2*DATOS!$C$21))&lt;0,-1,IF((1-SQRT((1-2*BH41*1E5/(DATOS!$C$29*AH41*CA41^2*DATOS!$C$21))))*DATOS!$C$21*AH41*CA41/DATOS!$C$14&gt;DATOS!$C$99*AH41*CA41,-1,(1-SQRT((1-2*BH41*1E5/(DATOS!$C$29*AH41*CA41^2*DATOS!$C$21))))*DATOS!$C$21*AH41*CA41/DATOS!$C$14)))-0.0001,MAX(DATOS!$C$71,CEILING(CB41/INDEX(TABLAS!$D$52:$D$58,MIN(MATCH(DATOS!$C$68,TABLAS!$B$52:$B$58,0)+1,7)),1)),MAX(MAX(DATOS!$C$71,CEILING(CB41/INDEX(TABLAS!$D$52:$D$58,MIN(MATCH(DATOS!$C$68,TABLAS!$B$52:$B$58,0)+1,7)),1)),2))&lt;=MIN(DATOS!$C$70,INT(((DATOS!$C$80-2*AJ41)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41&gt;=0,IF(MAX(DATOS!$C$71,CEILING(CB41/INDEX(TABLAS!$D$52:$D$58,MIN(MATCH(DATOS!$C$68,TABLAS!$B$52:$B$58,0)+2,7)),1))*INDEX(TABLAS!$D$52:$D$58,MIN(MATCH(DATOS!$C$68,TABLAS!$B$52:$B$58,0)+2,7))&gt;=4/3*IF(BH41&lt;=0,0,IF((1-2*BH41*1E5/(DATOS!$C$29*AH41*CA41^2*DATOS!$C$21))&lt;0,-1,IF((1-SQRT((1-2*BH41*1E5/(DATOS!$C$29*AH41*CA41^2*DATOS!$C$21))))*DATOS!$C$21*AH41*CA41/DATOS!$C$14&gt;DATOS!$C$99*AH41*CA41,-1,(1-SQRT((1-2*BH41*1E5/(DATOS!$C$29*AH41*CA41^2*DATOS!$C$21))))*DATOS!$C$21*AH41*CA41/DATOS!$C$14)))-0.0001,MAX(DATOS!$C$71,CEILING(CB41/INDEX(TABLAS!$D$52:$D$58,MIN(MATCH(DATOS!$C$68,TABLAS!$B$52:$B$58,0)+2,7)),1)),MAX(MAX(DATOS!$C$71,CEILING(CB41/INDEX(TABLAS!$D$52:$D$58,MIN(MATCH(DATOS!$C$68,TABLAS!$B$52:$B$58,0)+2,7)),1)),2))&lt;=MIN(DATOS!$C$70,INT(((DATOS!$C$80-2*AJ41)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41&gt;=0,IF(MAX(DATOS!$C$71,CEILING(CB41/INDEX(TABLAS!$D$52:$D$58,MIN(MATCH(DATOS!$C$68,TABLAS!$B$52:$B$58,0)+3,7)),1))*INDEX(TABLAS!$D$52:$D$58,MIN(MATCH(DATOS!$C$68,TABLAS!$B$52:$B$58,0)+3,7))&gt;=4/3*IF(BH41&lt;=0,0,IF((1-2*BH41*1E5/(DATOS!$C$29*AH41*CA41^2*DATOS!$C$21))&lt;0,-1,IF((1-SQRT((1-2*BH41*1E5/(DATOS!$C$29*AH41*CA41^2*DATOS!$C$21))))*DATOS!$C$21*AH41*CA41/DATOS!$C$14&gt;DATOS!$C$99*AH41*CA41,-1,(1-SQRT((1-2*BH41*1E5/(DATOS!$C$29*AH41*CA41^2*DATOS!$C$21))))*DATOS!$C$21*AH41*CA41/DATOS!$C$14)))-0.0001,MAX(DATOS!$C$71,CEILING(CB41/INDEX(TABLAS!$D$52:$D$58,MIN(MATCH(DATOS!$C$68,TABLAS!$B$52:$B$58,0)+3,7)),1)),MAX(MAX(DATOS!$C$71,CEILING(CB41/INDEX(TABLAS!$D$52:$D$58,MIN(MATCH(DATOS!$C$68,TABLAS!$B$52:$B$58,0)+3,7)),1)),2))&lt;=MIN(DATOS!$C$70,INT(((DATOS!$C$80-2*AJ41)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41&gt;=0,IF(MAX(DATOS!$C$71,CEILING(CB41/INDEX(TABLAS!$D$52:$D$58,MIN(MATCH(DATOS!$C$68,TABLAS!$B$52:$B$58,0)+4,7)),1))*INDEX(TABLAS!$D$52:$D$58,MIN(MATCH(DATOS!$C$68,TABLAS!$B$52:$B$58,0)+4,7))&gt;=4/3*IF(BH41&lt;=0,0,IF((1-2*BH41*1E5/(DATOS!$C$29*AH41*CA41^2*DATOS!$C$21))&lt;0,-1,IF((1-SQRT((1-2*BH41*1E5/(DATOS!$C$29*AH41*CA41^2*DATOS!$C$21))))*DATOS!$C$21*AH41*CA41/DATOS!$C$14&gt;DATOS!$C$99*AH41*CA41,-1,(1-SQRT((1-2*BH41*1E5/(DATOS!$C$29*AH41*CA41^2*DATOS!$C$21))))*DATOS!$C$21*AH41*CA41/DATOS!$C$14)))-0.0001,MAX(DATOS!$C$71,CEILING(CB41/INDEX(TABLAS!$D$52:$D$58,MIN(MATCH(DATOS!$C$68,TABLAS!$B$52:$B$58,0)+4,7)),1)),MAX(MAX(DATOS!$C$71,CEILING(CB41/INDEX(TABLAS!$D$52:$D$58,MIN(MATCH(DATOS!$C$68,TABLAS!$B$52:$B$58,0)+4,7)),1)),2))&lt;=MIN(DATOS!$C$70,INT(((DATOS!$C$80-2*AJ41)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41" s="59" t="str">
        <f>IF(U41&lt;&gt;"SÍ","",IF(CB41&lt;0,0,IF(MAX(DATOS!$C$71,CEILING(MAX(CB41,0)/INDEX(TABLAS!$D$52:$D$58,MATCH(CC41,TABLAS!$B$52:$B$58,0)),1))*INDEX(TABLAS!$D$52:$D$58,MATCH(CC41,TABLAS!$B$52:$B$58,0))&gt;=4/3*IF(BH41&lt;=0,0,IF((1-2*BH41*1E5/(DATOS!$C$29*AH41*CA41^2*DATOS!$C$21))&lt;0,-1,IF((1-SQRT((1-2*BH41*1E5/(DATOS!$C$29*AH41*CA41^2*DATOS!$C$21))))*DATOS!$C$21*AH41*CA41/DATOS!$C$14&gt;DATOS!$C$99*AH41*CA41,-1,(1-SQRT((1-2*BH41*1E5/(DATOS!$C$29*AH41*CA41^2*DATOS!$C$21))))*DATOS!$C$21*AH41*CA41/DATOS!$C$14)))-0.0001,MAX(DATOS!$C$71,CEILING(MAX(CB41,0)/INDEX(TABLAS!$D$52:$D$58,MATCH(CC41,TABLAS!$B$52:$B$58,0)),1)),MAX(MAX(DATOS!$C$71,CEILING(MAX(CB41,0)/INDEX(TABLAS!$D$52:$D$58,MATCH(CC41,TABLAS!$B$52:$B$58,0)),1)),2))))</f>
        <v/>
      </c>
      <c r="CE41" s="58" t="str">
        <f>IF(U41&lt;&gt;"SÍ","",DATOS!$C$82-AJ41-INDEX(TABLAS!$C$52:$C$58,MATCH(BM41,TABLAS!$B$52:$B$58,0))-INDEX(TABLAS!$C$52:$C$58,MATCH(CC41,TABLAS!$B$52:$B$58,0))/2)</f>
        <v/>
      </c>
      <c r="CF41" s="56" t="str">
        <f>IF(U41&lt;&gt;"SÍ","",IF(CD41=0,0,DATOS!$C$29*CD41*INDEX(TABLAS!$D$52:$D$58,MATCH(CC41,TABLAS!$B$52:$B$58,0))*DATOS!$C$14*(CE41-CD41*INDEX(TABLAS!$D$52:$D$58,MATCH(CC41,TABLAS!$B$52:$B$58,0))*DATOS!$C$14/(DATOS!$C$21*AH41)/2)/1E5))</f>
        <v/>
      </c>
      <c r="CG41" s="65" t="str">
        <f>IF(U41&lt;&gt;"SÍ","",IF(CB41&lt;0,9.99,IF(CF41&gt;0,BH41/CF41,0)))</f>
        <v/>
      </c>
      <c r="CH41" s="66" t="str">
        <f>IF(U41&lt;&gt;"SÍ","",IF(CD41=0,"—",0.003*(CE41-(CD41*INDEX(TABLAS!$D$52:$D$58,MATCH(CC41,TABLAS!$B$52:$B$58,0))*DATOS!$C$14/(DATOS!$C$21*AH41)/DATOS!$C$22))/(CD41*INDEX(TABLAS!$D$52:$D$58,MATCH(CC41,TABLAS!$B$52:$B$58,0))*DATOS!$C$14/(DATOS!$C$21*AH41)/DATOS!$C$22)))</f>
        <v/>
      </c>
      <c r="CI41" s="58" t="str">
        <f>IF(U41&lt;&gt;"SÍ","",((DATOS!$C$82-AL41-2*DATOS!$C$94-INDEX(TABLAS!$C$52:$C$58,MATCH(DATOS!$C$69,TABLAS!$B$52:$B$58,0))-INDEX(TABLAS!$C$52:$C$58,MATCH(DATOS!$C$69,TABLAS!$B$52:$B$58,0))/2)-IF(AND((DATOS!$C$82-AL41-2*DATOS!$C$94-INDEX(TABLAS!$C$52:$C$58,MATCH(DATOS!$C$69,TABLAS!$B$52:$B$58,0))-INDEX(TABLAS!$C$52:$C$58,MATCH(DATOS!$C$69,TABLAS!$B$52:$B$58,0))/2)&lt;=20,DATOS!$C$62&lt;&gt;"SÍ"),2,0)))</f>
        <v/>
      </c>
      <c r="CJ41" s="58" t="str">
        <f>IF(U41&lt;&gt;"SÍ","",IF(IF(BI41&lt;=0,0,IF((1-2*BI41*1E5/(DATOS!$C$29*AF41*CI41^2*DATOS!$C$21))&lt;0,-1,IF((1-SQRT((1-2*BI41*1E5/(DATOS!$C$29*AF41*CI41^2*DATOS!$C$21))))*DATOS!$C$21*AF41*CI41/DATOS!$C$14&gt;DATOS!$C$99*AF41*CI41,-1,(1-SQRT((1-2*BI41*1E5/(DATOS!$C$29*AF41*CI41^2*DATOS!$C$21))))*DATOS!$C$21*AF41*CI41/DATOS!$C$14)))&lt;0,-1,MAX(IF(BI41&lt;=0,0,IF((1-2*BI41*1E5/(DATOS!$C$29*AF41*CI41^2*DATOS!$C$21))&lt;0,-1,IF((1-SQRT((1-2*BI41*1E5/(DATOS!$C$29*AF41*CI41^2*DATOS!$C$21))))*DATOS!$C$21*AF41*CI41/DATOS!$C$14&gt;DATOS!$C$99*AF41*CI41,-1,(1-SQRT((1-2*BI41*1E5/(DATOS!$C$29*AF41*CI41^2*DATOS!$C$21))))*DATOS!$C$21*AF41*CI41/DATOS!$C$14))),MIN(DATOS!$C$100*DATOS!$C$80*CI41,4/3*IF(BI41&lt;=0,0,IF((1-2*BI41*1E5/(DATOS!$C$29*AF41*CI41^2*DATOS!$C$21))&lt;0,-1,IF((1-SQRT((1-2*BI41*1E5/(DATOS!$C$29*AF41*CI41^2*DATOS!$C$21))))*DATOS!$C$21*AF41*CI41/DATOS!$C$14&gt;DATOS!$C$99*AF41*CI41,-1,(1-SQRT((1-2*BI41*1E5/(DATOS!$C$29*AF41*CI41^2*DATOS!$C$21))))*DATOS!$C$21*AF41*CI41/DATOS!$C$14)))))))</f>
        <v/>
      </c>
      <c r="CK41" s="64" t="str">
        <f>IF(U41&lt;&gt;"SÍ","",IF(AND(CJ41&gt;=0,IF(MAX(DATOS!$C$71,CEILING(CJ41/INDEX(TABLAS!$D$52:$D$58,MIN(MATCH(DATOS!$C$69,TABLAS!$B$52:$B$58,0)+0,7)),1))*INDEX(TABLAS!$D$52:$D$58,MIN(MATCH(DATOS!$C$69,TABLAS!$B$52:$B$58,0)+0,7))&gt;=4/3*IF(BI41&lt;=0,0,IF((1-2*BI41*1E5/(DATOS!$C$29*AF41*CI41^2*DATOS!$C$21))&lt;0,-1,IF((1-SQRT((1-2*BI41*1E5/(DATOS!$C$29*AF41*CI41^2*DATOS!$C$21))))*DATOS!$C$21*AF41*CI41/DATOS!$C$14&gt;DATOS!$C$99*AF41*CI41,-1,(1-SQRT((1-2*BI41*1E5/(DATOS!$C$29*AF41*CI41^2*DATOS!$C$21))))*DATOS!$C$21*AF41*CI41/DATOS!$C$14)))-0.0001,MAX(DATOS!$C$71,CEILING(CJ41/INDEX(TABLAS!$D$52:$D$58,MIN(MATCH(DATOS!$C$69,TABLAS!$B$52:$B$58,0)+0,7)),1)),MAX(MAX(DATOS!$C$71,CEILING(CJ41/INDEX(TABLAS!$D$52:$D$58,MIN(MATCH(DATOS!$C$69,TABLAS!$B$52:$B$58,0)+0,7)),1)),2))&lt;=MIN(DATOS!$C$70,INT(((DATOS!$C$80-2*AK41)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41&gt;=0,IF(MAX(DATOS!$C$71,CEILING(CJ41/INDEX(TABLAS!$D$52:$D$58,MIN(MATCH(DATOS!$C$69,TABLAS!$B$52:$B$58,0)+1,7)),1))*INDEX(TABLAS!$D$52:$D$58,MIN(MATCH(DATOS!$C$69,TABLAS!$B$52:$B$58,0)+1,7))&gt;=4/3*IF(BI41&lt;=0,0,IF((1-2*BI41*1E5/(DATOS!$C$29*AF41*CI41^2*DATOS!$C$21))&lt;0,-1,IF((1-SQRT((1-2*BI41*1E5/(DATOS!$C$29*AF41*CI41^2*DATOS!$C$21))))*DATOS!$C$21*AF41*CI41/DATOS!$C$14&gt;DATOS!$C$99*AF41*CI41,-1,(1-SQRT((1-2*BI41*1E5/(DATOS!$C$29*AF41*CI41^2*DATOS!$C$21))))*DATOS!$C$21*AF41*CI41/DATOS!$C$14)))-0.0001,MAX(DATOS!$C$71,CEILING(CJ41/INDEX(TABLAS!$D$52:$D$58,MIN(MATCH(DATOS!$C$69,TABLAS!$B$52:$B$58,0)+1,7)),1)),MAX(MAX(DATOS!$C$71,CEILING(CJ41/INDEX(TABLAS!$D$52:$D$58,MIN(MATCH(DATOS!$C$69,TABLAS!$B$52:$B$58,0)+1,7)),1)),2))&lt;=MIN(DATOS!$C$70,INT(((DATOS!$C$80-2*AK41)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41&gt;=0,IF(MAX(DATOS!$C$71,CEILING(CJ41/INDEX(TABLAS!$D$52:$D$58,MIN(MATCH(DATOS!$C$69,TABLAS!$B$52:$B$58,0)+2,7)),1))*INDEX(TABLAS!$D$52:$D$58,MIN(MATCH(DATOS!$C$69,TABLAS!$B$52:$B$58,0)+2,7))&gt;=4/3*IF(BI41&lt;=0,0,IF((1-2*BI41*1E5/(DATOS!$C$29*AF41*CI41^2*DATOS!$C$21))&lt;0,-1,IF((1-SQRT((1-2*BI41*1E5/(DATOS!$C$29*AF41*CI41^2*DATOS!$C$21))))*DATOS!$C$21*AF41*CI41/DATOS!$C$14&gt;DATOS!$C$99*AF41*CI41,-1,(1-SQRT((1-2*BI41*1E5/(DATOS!$C$29*AF41*CI41^2*DATOS!$C$21))))*DATOS!$C$21*AF41*CI41/DATOS!$C$14)))-0.0001,MAX(DATOS!$C$71,CEILING(CJ41/INDEX(TABLAS!$D$52:$D$58,MIN(MATCH(DATOS!$C$69,TABLAS!$B$52:$B$58,0)+2,7)),1)),MAX(MAX(DATOS!$C$71,CEILING(CJ41/INDEX(TABLAS!$D$52:$D$58,MIN(MATCH(DATOS!$C$69,TABLAS!$B$52:$B$58,0)+2,7)),1)),2))&lt;=MIN(DATOS!$C$70,INT(((DATOS!$C$80-2*AK41)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41&gt;=0,IF(MAX(DATOS!$C$71,CEILING(CJ41/INDEX(TABLAS!$D$52:$D$58,MIN(MATCH(DATOS!$C$69,TABLAS!$B$52:$B$58,0)+3,7)),1))*INDEX(TABLAS!$D$52:$D$58,MIN(MATCH(DATOS!$C$69,TABLAS!$B$52:$B$58,0)+3,7))&gt;=4/3*IF(BI41&lt;=0,0,IF((1-2*BI41*1E5/(DATOS!$C$29*AF41*CI41^2*DATOS!$C$21))&lt;0,-1,IF((1-SQRT((1-2*BI41*1E5/(DATOS!$C$29*AF41*CI41^2*DATOS!$C$21))))*DATOS!$C$21*AF41*CI41/DATOS!$C$14&gt;DATOS!$C$99*AF41*CI41,-1,(1-SQRT((1-2*BI41*1E5/(DATOS!$C$29*AF41*CI41^2*DATOS!$C$21))))*DATOS!$C$21*AF41*CI41/DATOS!$C$14)))-0.0001,MAX(DATOS!$C$71,CEILING(CJ41/INDEX(TABLAS!$D$52:$D$58,MIN(MATCH(DATOS!$C$69,TABLAS!$B$52:$B$58,0)+3,7)),1)),MAX(MAX(DATOS!$C$71,CEILING(CJ41/INDEX(TABLAS!$D$52:$D$58,MIN(MATCH(DATOS!$C$69,TABLAS!$B$52:$B$58,0)+3,7)),1)),2))&lt;=MIN(DATOS!$C$70,INT(((DATOS!$C$80-2*AK41)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41&gt;=0,IF(MAX(DATOS!$C$71,CEILING(CJ41/INDEX(TABLAS!$D$52:$D$58,MIN(MATCH(DATOS!$C$69,TABLAS!$B$52:$B$58,0)+4,7)),1))*INDEX(TABLAS!$D$52:$D$58,MIN(MATCH(DATOS!$C$69,TABLAS!$B$52:$B$58,0)+4,7))&gt;=4/3*IF(BI41&lt;=0,0,IF((1-2*BI41*1E5/(DATOS!$C$29*AF41*CI41^2*DATOS!$C$21))&lt;0,-1,IF((1-SQRT((1-2*BI41*1E5/(DATOS!$C$29*AF41*CI41^2*DATOS!$C$21))))*DATOS!$C$21*AF41*CI41/DATOS!$C$14&gt;DATOS!$C$99*AF41*CI41,-1,(1-SQRT((1-2*BI41*1E5/(DATOS!$C$29*AF41*CI41^2*DATOS!$C$21))))*DATOS!$C$21*AF41*CI41/DATOS!$C$14)))-0.0001,MAX(DATOS!$C$71,CEILING(CJ41/INDEX(TABLAS!$D$52:$D$58,MIN(MATCH(DATOS!$C$69,TABLAS!$B$52:$B$58,0)+4,7)),1)),MAX(MAX(DATOS!$C$71,CEILING(CJ41/INDEX(TABLAS!$D$52:$D$58,MIN(MATCH(DATOS!$C$69,TABLAS!$B$52:$B$58,0)+4,7)),1)),2))&lt;=MIN(DATOS!$C$70,INT(((DATOS!$C$80-2*AK41)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41" s="59" t="str">
        <f>IF(U41&lt;&gt;"SÍ","",IF(CJ41&lt;0,0,IF(MAX(DATOS!$C$71,CEILING(MAX(CJ41,0)/INDEX(TABLAS!$D$52:$D$58,MATCH(CK41,TABLAS!$B$52:$B$58,0)),1))*INDEX(TABLAS!$D$52:$D$58,MATCH(CK41,TABLAS!$B$52:$B$58,0))&gt;=4/3*IF(BI41&lt;=0,0,IF((1-2*BI41*1E5/(DATOS!$C$29*AF41*CI41^2*DATOS!$C$21))&lt;0,-1,IF((1-SQRT((1-2*BI41*1E5/(DATOS!$C$29*AF41*CI41^2*DATOS!$C$21))))*DATOS!$C$21*AF41*CI41/DATOS!$C$14&gt;DATOS!$C$99*AF41*CI41,-1,(1-SQRT((1-2*BI41*1E5/(DATOS!$C$29*AF41*CI41^2*DATOS!$C$21))))*DATOS!$C$21*AF41*CI41/DATOS!$C$14)))-0.0001,MAX(DATOS!$C$71,CEILING(MAX(CJ41,0)/INDEX(TABLAS!$D$52:$D$58,MATCH(CK41,TABLAS!$B$52:$B$58,0)),1)),MAX(MAX(DATOS!$C$71,CEILING(MAX(CJ41,0)/INDEX(TABLAS!$D$52:$D$58,MATCH(CK41,TABLAS!$B$52:$B$58,0)),1)),2))))</f>
        <v/>
      </c>
      <c r="CM41" s="58" t="str">
        <f>IF(U41&lt;&gt;"SÍ","",((DATOS!$C$82-AL41-2*DATOS!$C$94-INDEX(TABLAS!$C$52:$C$58,MATCH(BU41,TABLAS!$B$52:$B$58,0))-INDEX(TABLAS!$C$52:$C$58,MATCH(CK41,TABLAS!$B$52:$B$58,0))/2)-IF(AND((DATOS!$C$82-AL41-2*DATOS!$C$94-INDEX(TABLAS!$C$52:$C$58,MATCH(BU41,TABLAS!$B$52:$B$58,0))-INDEX(TABLAS!$C$52:$C$58,MATCH(CK41,TABLAS!$B$52:$B$58,0))/2)&lt;=20,DATOS!$C$62&lt;&gt;"SÍ"),2,0)))</f>
        <v/>
      </c>
      <c r="CN41" s="56" t="str">
        <f>IF(U41&lt;&gt;"SÍ","",IF(CL41=0,0,DATOS!$C$29*CL41*INDEX(TABLAS!$D$52:$D$58,MATCH(CK41,TABLAS!$B$52:$B$58,0))*DATOS!$C$14*(CM41-CL41*INDEX(TABLAS!$D$52:$D$58,MATCH(CK41,TABLAS!$B$52:$B$58,0))*DATOS!$C$14/(DATOS!$C$21*AF41)/2)/1E5))</f>
        <v/>
      </c>
      <c r="CO41" s="65" t="str">
        <f>IF(U41&lt;&gt;"SÍ","",IF(CJ41&lt;0,9.99,IF(CN41&gt;0,BI41/CN41,0)))</f>
        <v/>
      </c>
      <c r="CP41" s="66" t="str">
        <f>IF(U41&lt;&gt;"SÍ","",IF(CL41=0,"—",0.003*(CM41-(CL41*INDEX(TABLAS!$D$52:$D$58,MATCH(CK41,TABLAS!$B$52:$B$58,0))*DATOS!$C$14/(DATOS!$C$21*AF41)/DATOS!$C$22))/(CL41*INDEX(TABLAS!$D$52:$D$58,MATCH(CK41,TABLAS!$B$52:$B$58,0))*DATOS!$C$14/(DATOS!$C$21*AF41)/DATOS!$C$22)))</f>
        <v/>
      </c>
      <c r="CQ41" s="56" t="str">
        <f>IF(U41&lt;&gt;"SÍ","",IF(C41="PERIMETRAL",MAX(0,(AA41/2-BW41)/100)*(0.95-0.5*Z41)*AQ41*IF(AND(AR41&gt;0,AR41&lt;4),DATOS!$C$33,1)*DATOS!$C$83/100/1000,(AQ41*MAX(0,AA41-BW41)/100+DATOS!$C$26*N(O41))*DATOS!$C$83/100/1000+BE41))</f>
        <v/>
      </c>
      <c r="CR41" s="56" t="str">
        <f>IF(U41&lt;&gt;"SÍ","",DATOS!$C$30*2*MIN(1,SQRT(2/(1+0.04*BW41)))*(BV41*INDEX(TABLAS!$D$52:$D$58,MATCH(BU41,TABLAS!$B$52:$B$58,0))/(AE41*BW41))^(1/3)*SQRT(DATOS!$C$13)*AE41*BW41*IF(AI41="SÍ",DATOS!$C$32,1)/1000)</f>
        <v/>
      </c>
      <c r="CS41" s="59" t="str">
        <f>IF(U41&lt;&gt;"SÍ","",IF(CQ41&lt;=CR41,0,CEILING(MAX(0,IF(C41="VOLADO",(AA41-((CR41-BE41)*1E5/DATOS!$C$83-DATOS!$C$26*N(O41))*100/AQ41),IF(CR41&lt;=0,AA41,AA41/2-CR41/MAX(CQ41,1E-9)*(AA41/2-BW41)))-IF(INT((X41*100-DATOS!$C$84+DATOS!$C$80)/DATOS!$C$83)&gt;0,(X41*100-DATOS!$C$84-(INT((X41*100-DATOS!$C$84+DATOS!$C$80)/DATOS!$C$83)*DATOS!$C$78+(INT((X41*100-DATOS!$C$84+DATOS!$C$80)/DATOS!$C$83)-1)*DATOS!$C$80))/2,X41*100/2))/DATOS!$C$83,1)))</f>
        <v/>
      </c>
      <c r="CT41" s="67" t="str">
        <f>IF(U41&lt;&gt;"SÍ","",IF(CQ41&lt;=CR41,"CUMPLE",IF(CS41&lt;=0,"CUMPLE (basta el macizo de orilla)",IF(CS41*DATOS!$C$83*IF(C41="VOLADO",1,2)&gt;=X41*100-DATOS!$C$84,"NO CUMPLE: no alcanza ni macizando todo","MACIZAR "&amp;CS41&amp;" hilera(s)"))))</f>
        <v/>
      </c>
      <c r="CU41" s="58" t="str">
        <f>IF(U41&lt;&gt;"SÍ","",(DATOS!$C$83*DATOS!$C$81^2/2+AC41*DATOS!$C$79*(DATOS!$C$81+DATOS!$C$79/2))/(DATOS!$C$83*DATOS!$C$81+AC41*DATOS!$C$79))</f>
        <v/>
      </c>
      <c r="CV41" s="68" t="str">
        <f>IF(U41&lt;&gt;"SÍ","",DATOS!$C$83*DATOS!$C$81^3/12+DATOS!$C$83*DATOS!$C$81*(CU41-DATOS!$C$81/2)^2+AC41*DATOS!$C$79^3/12+AC41*DATOS!$C$79*(DATOS!$C$81+DATOS!$C$79/2-CU41)^2)</f>
        <v/>
      </c>
      <c r="CW41" s="58" t="str">
        <f>IF(U41&lt;&gt;"SÍ","",(12*CV41/DATOS!$C$83)^(1/3))</f>
        <v/>
      </c>
      <c r="CX41" s="58" t="str">
        <f>IF(U41&lt;&gt;"SÍ","",IF(C41="PERIMETRAL",IF(ISNUMBER(R41),R41,DATOS!$C$101),0))</f>
        <v/>
      </c>
      <c r="CY41" s="57" t="str">
        <f>IF(U41&lt;&gt;"SÍ","",IF(C41="PERIMETRAL",IF(CX41&gt;2,MAX(9,AB41*(0.8+DATOS!$C$14/14000)/(36+9*(AB41/MAX(AA41,1)))),IF(CX41&gt;0.2,MAX(13,AB41*(0.8+DATOS!$C$14/14000)/(36+5*(AB41/MAX(AA41,1))*(CX41-0.2))),MAX(13,AB41/IF(AR41&gt;0,30,33))))*IF(AND(CX41&gt;0.2,AR41&gt;0,DATOS!$C$102="NO"),1.1,1),X41*100/8))</f>
        <v/>
      </c>
      <c r="CZ41" s="61" t="str">
        <f>IF(U41&lt;&gt;"SÍ","",IF(IF(C41="VOLADO",DATOS!$C$82,CW41)&gt;=CY41,"CUMPLE",IF(C41="VOLADO","NO CUMPLE","CALCULAR FLECHA")))</f>
        <v/>
      </c>
      <c r="DA41" s="55" t="str">
        <f>IF(U41&lt;&gt;"SÍ","",IF(DATOS!$C$81&gt;=IF(IF(C41="VOLADO",X41,Y41)&gt;=6,6,5),"CUMPLE","CAPA ≥ 6 cm"))</f>
        <v/>
      </c>
      <c r="DB41" s="60" t="str">
        <f>IF(U41&lt;&gt;"SÍ","",IF(C41="VOLADO",MIN(CEILING(IF(ISNUMBER(P41),P41,X41)*100,5),CEILING(MAX(IF((0.5*(0.9*DATOS!$C$87*DATOS!$C$83/100/1000)*IF(ISNUMBER(P41),P41,X41)+BG41/IF(ISNUMBER(P41),P41,X41))^2-4*(0.5*(0.9*DATOS!$C$87*DATOS!$C$83/100/1000))*BG41&lt;0,IF(ISNUMBER(P41),P41,X41),MIN(IF(ISNUMBER(P41),P41,X41),((0.5*(0.9*DATOS!$C$87*DATOS!$C$83/100/1000)*IF(ISNUMBER(P41),P41,X41)+BG41/IF(ISNUMBER(P41),P41,X41))-SQRT((0.5*(0.9*DATOS!$C$87*DATOS!$C$83/100/1000)*IF(ISNUMBER(P41),P41,X41)+BG41/IF(ISNUMBER(P41),P41,X41))^2-4*(0.5*(0.9*DATOS!$C$87*DATOS!$C$83/100/1000))*BG41))/(2*(0.5*(0.9*DATOS!$C$87*DATOS!$C$83/100/1000)))))*100+MAX(BW41,12*INDEX(TABLAS!$C$52:$C$58,MATCH(BU41,TABLAS!$B$52:$B$58,0)),IF(ISNUMBER(P41),P41,X41)*100/16),IF(OR(AK41&lt;INDEX(TABLAS!$C$52:$C$58,MATCH(BU41,TABLAS!$B$52:$B$58,0)),AND(BV41&gt;=2,(AC41-2*AK41-BV41*INDEX(TABLAS!$C$52:$C$58,MATCH(BU41,TABLAS!$B$52:$B$58,0)))/MAX(BV41-1,1)&lt;2*INDEX(TABLAS!$C$52:$C$58,MATCH(BU41,TABLAS!$B$52:$B$58,0)))),INDEX(TABLAS!$I$52:$I$58,MATCH(BU41,TABLAS!$B$52:$B$58,0)),INDEX(TABLAS!$F$52:$F$58,MATCH(BU41,TABLAS!$B$52:$B$58,0)))),5)),IF(((4*((BB41*AQ41*X41^2*1E-4*DATOS!$C$83/100/1000)+((MAX(AX41,AZ41)*AQ41*X41^2*1E-4*DATOS!$C$83/100/1000)+(IF(AND(AX41&gt;0,AZ41&gt;0),MIN(AX41,AZ41),MAX(AX41,AZ41))*AQ41*X41^2*1E-4*DATOS!$C$83/100/1000))/2)+BG41-(IF(AND(AX41&gt;0,AZ41&gt;0),MIN(AX41,AZ41),MAX(AX41,AZ41))*AQ41*X41^2*1E-4*DATOS!$C$83/100/1000))^2-16*((BB41*AQ41*X41^2*1E-4*DATOS!$C$83/100/1000)+((MAX(AX41,AZ41)*AQ41*X41^2*1E-4*DATOS!$C$83/100/1000)+(IF(AND(AX41&gt;0,AZ41&gt;0),MIN(AX41,AZ41),MAX(AX41,AZ41))*AQ41*X41^2*1E-4*DATOS!$C$83/100/1000))/2)*BG41)&lt;0,CEILING(AA41,5),CEILING(MAX(AA41*((4*((BB41*AQ41*X41^2*1E-4*DATOS!$C$83/100/1000)+((MAX(AX41,AZ41)*AQ41*X41^2*1E-4*DATOS!$C$83/100/1000)+(IF(AND(AX41&gt;0,AZ41&gt;0),MIN(AX41,AZ41),MAX(AX41,AZ41))*AQ41*X41^2*1E-4*DATOS!$C$83/100/1000))/2)+BG41-(IF(AND(AX41&gt;0,AZ41&gt;0),MIN(AX41,AZ41),MAX(AX41,AZ41))*AQ41*X41^2*1E-4*DATOS!$C$83/100/1000))-SQRT(MAX(0,((4*((BB41*AQ41*X41^2*1E-4*DATOS!$C$83/100/1000)+((MAX(AX41,AZ41)*AQ41*X41^2*1E-4*DATOS!$C$83/100/1000)+(IF(AND(AX41&gt;0,AZ41&gt;0),MIN(AX41,AZ41),MAX(AX41,AZ41))*AQ41*X41^2*1E-4*DATOS!$C$83/100/1000))/2)+BG41-(IF(AND(AX41&gt;0,AZ41&gt;0),MIN(AX41,AZ41),MAX(AX41,AZ41))*AQ41*X41^2*1E-4*DATOS!$C$83/100/1000))^2-16*((BB41*AQ41*X41^2*1E-4*DATOS!$C$83/100/1000)+((MAX(AX41,AZ41)*AQ41*X41^2*1E-4*DATOS!$C$83/100/1000)+(IF(AND(AX41&gt;0,AZ41&gt;0),MIN(AX41,AZ41),MAX(AX41,AZ41))*AQ41*X41^2*1E-4*DATOS!$C$83/100/1000))/2)*BG41))))/(8*MAX(((BB41*AQ41*X41^2*1E-4*DATOS!$C$83/100/1000)+((MAX(AX41,AZ41)*AQ41*X41^2*1E-4*DATOS!$C$83/100/1000)+(IF(AND(AX41&gt;0,AZ41&gt;0),MIN(AX41,AZ41),MAX(AX41,AZ41))*AQ41*X41^2*1E-4*DATOS!$C$83/100/1000))/2),1E-9))+MAX(BW41,12*INDEX(TABLAS!$C$52:$C$58,MATCH(BU41,TABLAS!$B$52:$B$58,0)),AA41/16),IF(OR(AK41&lt;INDEX(TABLAS!$C$52:$C$58,MATCH(BU41,TABLAS!$B$52:$B$58,0)),AND(BV41&gt;=2,(AC41-2*AK41-BV41*INDEX(TABLAS!$C$52:$C$58,MATCH(BU41,TABLAS!$B$52:$B$58,0)))/MAX(BV41-1,1)&lt;2*INDEX(TABLAS!$C$52:$C$58,MATCH(BU41,TABLAS!$B$52:$B$58,0)))),INDEX(TABLAS!$I$52:$I$58,MATCH(BU41,TABLAS!$B$52:$B$58,0)),INDEX(TABLAS!$F$52:$F$58,MATCH(BU41,TABLAS!$B$52:$B$58,0)))),5))))</f>
        <v/>
      </c>
      <c r="DC41" s="60" t="str">
        <f>IF(U41&lt;&gt;"SÍ","",IF(C41="VOLADO",0,IF(((4*((BC41*AQ41*X41^2*1E-4*DATOS!$C$83/100/1000)+((MAX(AY41,BA41)*AQ41*X41^2*1E-4*DATOS!$C$83/100/1000)+(IF(AND(AY41&gt;0,BA41&gt;0),MIN(AY41,BA41),MAX(AY41,BA41))*AQ41*X41^2*1E-4*DATOS!$C$83/100/1000))/2)+BI41-(IF(AND(AY41&gt;0,BA41&gt;0),MIN(AY41,BA41),MAX(AY41,BA41))*AQ41*X41^2*1E-4*DATOS!$C$83/100/1000))^2-16*((BC41*AQ41*X41^2*1E-4*DATOS!$C$83/100/1000)+((MAX(AY41,BA41)*AQ41*X41^2*1E-4*DATOS!$C$83/100/1000)+(IF(AND(AY41&gt;0,BA41&gt;0),MIN(AY41,BA41),MAX(AY41,BA41))*AQ41*X41^2*1E-4*DATOS!$C$83/100/1000))/2)*BI41)&lt;0,CEILING(AB41,5),CEILING(MAX(AB41*((4*((BC41*AQ41*X41^2*1E-4*DATOS!$C$83/100/1000)+((MAX(AY41,BA41)*AQ41*X41^2*1E-4*DATOS!$C$83/100/1000)+(IF(AND(AY41&gt;0,BA41&gt;0),MIN(AY41,BA41),MAX(AY41,BA41))*AQ41*X41^2*1E-4*DATOS!$C$83/100/1000))/2)+BI41-(IF(AND(AY41&gt;0,BA41&gt;0),MIN(AY41,BA41),MAX(AY41,BA41))*AQ41*X41^2*1E-4*DATOS!$C$83/100/1000))-SQRT(MAX(0,((4*((BC41*AQ41*X41^2*1E-4*DATOS!$C$83/100/1000)+((MAX(AY41,BA41)*AQ41*X41^2*1E-4*DATOS!$C$83/100/1000)+(IF(AND(AY41&gt;0,BA41&gt;0),MIN(AY41,BA41),MAX(AY41,BA41))*AQ41*X41^2*1E-4*DATOS!$C$83/100/1000))/2)+BI41-(IF(AND(AY41&gt;0,BA41&gt;0),MIN(AY41,BA41),MAX(AY41,BA41))*AQ41*X41^2*1E-4*DATOS!$C$83/100/1000))^2-16*((BC41*AQ41*X41^2*1E-4*DATOS!$C$83/100/1000)+((MAX(AY41,BA41)*AQ41*X41^2*1E-4*DATOS!$C$83/100/1000)+(IF(AND(AY41&gt;0,BA41&gt;0),MIN(AY41,BA41),MAX(AY41,BA41))*AQ41*X41^2*1E-4*DATOS!$C$83/100/1000))/2)*BI41))))/(8*MAX(((BC41*AQ41*X41^2*1E-4*DATOS!$C$83/100/1000)+((MAX(AY41,BA41)*AQ41*X41^2*1E-4*DATOS!$C$83/100/1000)+(IF(AND(AY41&gt;0,BA41&gt;0),MIN(AY41,BA41),MAX(AY41,BA41))*AQ41*X41^2*1E-4*DATOS!$C$83/100/1000))/2),1E-9))+MAX(CM41,12*INDEX(TABLAS!$C$52:$C$58,MATCH(CK41,TABLAS!$B$52:$B$58,0)),AB41/16),IF(OR(AK41&lt;INDEX(TABLAS!$C$52:$C$58,MATCH(CK41,TABLAS!$B$52:$B$58,0)),AND(CL41&gt;=2,(DATOS!$C$80-2*AK41-CL41*INDEX(TABLAS!$C$52:$C$58,MATCH(CK41,TABLAS!$B$52:$B$58,0)))/MAX(CL41-1,1)&lt;2*INDEX(TABLAS!$C$52:$C$58,MATCH(CK41,TABLAS!$B$52:$B$58,0)))),INDEX(TABLAS!$I$52:$I$58,MATCH(CK41,TABLAS!$B$52:$B$58,0)),INDEX(TABLAS!$F$52:$F$58,MATCH(CK41,TABLAS!$B$52:$B$58,0)))),5))))</f>
        <v/>
      </c>
      <c r="DD41" s="55" t="str">
        <f>IF(U41&lt;&gt;"SÍ","",IF(AND(C41="PERIMETRAL",BV41&gt;=2,AR41-AS41&gt;0,AZ41*AQ41*X41^2*1E-4*DATOS!$C$83/100/1000&gt;DATOS!$C$29*INDEX(TABLAS!$D$52:$D$58,MATCH(BU41,TABLAS!$B$52:$B$58,0))*DATOS!$C$14*(BW41-INDEX(TABLAS!$D$52:$D$58,MATCH(BU41,TABLAS!$B$52:$B$58,0))*DATOS!$C$14/(DATOS!$C$21*AE41)/2)/1E5),"SÍ","NO"))</f>
        <v/>
      </c>
      <c r="DE41" s="55" t="str">
        <f>IF(U41&lt;&gt;"SÍ","",IF(AND(C41="PERIMETRAL",CL41&gt;=2,AS41&gt;0,BA41*AQ41*X41^2*1E-4*DATOS!$C$83/100/1000&gt;DATOS!$C$29*INDEX(TABLAS!$D$52:$D$58,MATCH(CK41,TABLAS!$B$52:$B$58,0))*DATOS!$C$14*(CM41-INDEX(TABLAS!$D$52:$D$58,MATCH(CK41,TABLAS!$B$52:$B$58,0))*DATOS!$C$14/(DATOS!$C$21*AF41)/2)/1E5),"SÍ","NO"))</f>
        <v/>
      </c>
      <c r="DF41" s="63" t="str">
        <f>IF(U41&lt;&gt;"SÍ","",IF(OR(C41="VOLADO",AR41=0),"—",IF(AND(AND(1.25*INDEX(TABLAS!$G$52:$G$58,MATCH(MAX(BM41,CC41),TABLAS!$B$52:$B$58,0))&lt;=(DATOS!$C$72-DATOS!$C$60),(DATOS!$C$72-DATOS!$C$60)&gt;=15,INDEX(TABLAS!$G$52:$G$58,MATCH(MAX(BU41,CK41),TABLAS!$B$52:$B$58,0))&lt;=(DATOS!$C$72-DATOS!$C$60)),8*INDEX(TABLAS!$C$52:$C$58,MATCH(MAX(MAX(BM41,CC41),MAX(BU41,CK41)),TABLAS!$B$52:$B$58,0))&lt;=DATOS!$C$73-2*DATOS!$C$60),"CUMPLE (gancho de 180°)",IF(AND(1.25*INDEX(TABLAS!$G$52:$G$58,MATCH(MAX(BM41,CC41),TABLAS!$B$52:$B$58,0))&lt;=(DATOS!$C$72-DATOS!$C$60),(DATOS!$C$72-DATOS!$C$60)&gt;=15,INDEX(TABLAS!$G$52:$G$58,MATCH(MAX(BU41,CK41),TABLAS!$B$52:$B$58,0))&lt;=(DATOS!$C$72-DATOS!$C$60)),"NO CUMPLE: el gancho de 180° (8·d_b) no cabe en el peralte de la dala de borde","NO CUMPLE: dala de borde ≥ "&amp;TEXT(CEILING(MAX(1.25*INDEX(TABLAS!$G$52:$G$58,MATCH(MAX(BM41,CC41),TABLAS!$B$52:$B$58,0)),15,INDEX(TABLAS!$G$52:$G$58,MATCH(MAX(BU41,CK41),TABLAS!$B$52:$B$58,0)))+DATOS!$C$60,5),"0")&amp;" cm de ancho"&amp;IF(8*INDEX(TABLAS!$C$52:$C$58,MATCH(MAX(MAX(BM41,CC41),MAX(BU41,CK41)),TABLAS!$B$52:$B$58,0))&lt;=DATOS!$C$73-2*DATOS!$C$60,""," y más peralte para el gancho")))))</f>
        <v/>
      </c>
      <c r="DG41" s="59" t="str">
        <f>IF(U41&lt;&gt;"SÍ","",MAX(0,INT((E41*100-DATOS!$C$84+DATOS!$C$83-IF(W41="X",DATOS!$C$78,AD41))/DATOS!$C$83)))</f>
        <v/>
      </c>
      <c r="DH41" s="59" t="str">
        <f>IF(U41&lt;&gt;"SÍ","",MAX(0,INT((F41*100-DATOS!$C$84+DATOS!$C$83-IF(W41="Y",DATOS!$C$78,AD41))/DATOS!$C$83)))</f>
        <v/>
      </c>
      <c r="DI41" s="57" t="str">
        <f>IF(U41&lt;&gt;"SÍ","",IF(DG41&gt;0,(E41*100-DATOS!$C$84-(DG41*IF(W41="X",DATOS!$C$78,AD41)+(DG41-1)*(DATOS!$C$83-IF(W41="X",DATOS!$C$78,AD41))))/2,E41*100/2))</f>
        <v/>
      </c>
      <c r="DJ41" s="57" t="str">
        <f>IF(U41&lt;&gt;"SÍ","",IF(DH41&gt;0,(F41*100-DATOS!$C$84-(DH41*IF(W41="Y",DATOS!$C$78,AD41)+(DH41-1)*(DATOS!$C$83-IF(W41="Y",DATOS!$C$78,AD41))))/2,F41*100/2))</f>
        <v/>
      </c>
      <c r="DK41" s="59" t="str">
        <f>IF(U41&lt;&gt;"SÍ","",IF(NOT(AND(C41="VOLADO",AC41&gt;DATOS!$C$80)),0,IF(INDEX(TABLAS!$C$52:$C$58,MATCH(BU41,TABLAS!$B$52:$B$58,0))&lt;=DATOS!$C$80-2*DATOS!$C$60,1,0)))</f>
        <v/>
      </c>
      <c r="DL41" s="58" t="str">
        <f>IF(U41&lt;&gt;"SÍ","",IF(NOT(AND(C41="VOLADO",AC41&gt;DATOS!$C$80)),0,((DATOS!$C$82-MAX(DATOS!$C$60,(DATOS!$C$81-2*DATOS!$C$94)/2)-2*DATOS!$C$94-INDEX(TABLAS!$C$52:$C$58,MATCH(BU41,TABLAS!$B$52:$B$58,0))/2)-IF(AND((DATOS!$C$82-MAX(DATOS!$C$60,(DATOS!$C$81-2*DATOS!$C$94)/2)-2*DATOS!$C$94-INDEX(TABLAS!$C$52:$C$58,MATCH(BU41,TABLAS!$B$52:$B$58,0))/2)&lt;=20,DATOS!$C$62&lt;&gt;"SÍ"),2,0))))</f>
        <v/>
      </c>
      <c r="DM41" s="56" t="str">
        <f>IF(U41&lt;&gt;"SÍ","",IF(OR(NOT(AND(C41="VOLADO",AC41&gt;DATOS!$C$80)),DK41&lt;1),0,IF(0.003*(DL41-((DK41*INDEX(TABLAS!$D$52:$D$58,MATCH(BU41,TABLAS!$B$52:$B$58,0)))*DATOS!$C$14/(DATOS!$C$21*AF41)/DATOS!$C$22))/((DK41*INDEX(TABLAS!$D$52:$D$58,MATCH(BU41,TABLAS!$B$52:$B$58,0)))*DATOS!$C$14/(DATOS!$C$21*AF41)/DATOS!$C$22)&lt;0.005,0,DATOS!$C$29*(DK41*INDEX(TABLAS!$D$52:$D$58,MATCH(BU41,TABLAS!$B$52:$B$58,0)))*DATOS!$C$14*(DL41-(DK41*INDEX(TABLAS!$D$52:$D$58,MATCH(BU41,TABLAS!$B$52:$B$58,0)))*DATOS!$C$14/(DATOS!$C$21*AF41)/2)/1E5)))</f>
        <v/>
      </c>
      <c r="DN41" s="56" t="str">
        <f>IF(U41&lt;&gt;"SÍ","",IF(OR(NOT(AND(C41="VOLADO",AC41&gt;DATOS!$C$80)),DK41&lt;1),0,DATOS!$C$30*2*MIN(1,SQRT(2/(1+0.04*DL41)))*((DK41*INDEX(TABLAS!$D$52:$D$58,MATCH(BU41,TABLAS!$B$52:$B$58,0)))/(AF41*DL41))^(1/3)*SQRT(DATOS!$C$13)*AF41*DL41/1000))</f>
        <v/>
      </c>
      <c r="DO41" s="56" t="str">
        <f>IF(U41&lt;&gt;"SÍ","",IF(NOT(AND(C41="VOLADO",AC41&gt;DATOS!$C$80)),0,IF((BG41-DM41)&lt;=0,0,IF(DM41&lt;=0,IF(ISNUMBER(P41),P41,X41),IF(((0.9*DATOS!$C$87*DATOS!$C$83/100/1000)*IF(ISNUMBER(P41),P41,X41)/2+BG41/IF(ISNUMBER(P41),P41,X41))^2-4*((0.9*DATOS!$C$87*DATOS!$C$83/100/1000)/2)*(BG41-DM41)&lt;0,IF(ISNUMBER(P41),P41,X41),MIN(IF(ISNUMBER(P41),P41,X41),(((0.9*DATOS!$C$87*DATOS!$C$83/100/1000)*IF(ISNUMBER(P41),P41,X41)/2+BG41/IF(ISNUMBER(P41),P41,X41))-SQRT(((0.9*DATOS!$C$87*DATOS!$C$83/100/1000)*IF(ISNUMBER(P41),P41,X41)/2+BG41/IF(ISNUMBER(P41),P41,X41))^2-4*((0.9*DATOS!$C$87*DATOS!$C$83/100/1000)/2)*(BG41-DM41)))/(2*((0.9*DATOS!$C$87*DATOS!$C$83/100/1000)/2))))))))</f>
        <v/>
      </c>
      <c r="DP41" s="56" t="str">
        <f>IF(U41&lt;&gt;"SÍ","",IF(NOT(AND(C41="VOLADO",AC41&gt;DATOS!$C$80)),0,MIN(IF(ISNUMBER(P41),P41,X41),MAX(0,IF(ISNUMBER(P41),P41,X41)/2+BG41/IF(ISNUMBER(P41),P41,X41)/(AQ41*DATOS!$C$83/100/1000)-DN41/(AQ41*DATOS!$C$83/100/1000)))))</f>
        <v/>
      </c>
      <c r="DQ41" s="56" t="str">
        <f>IF(U41&lt;&gt;"SÍ","",IF(NOT(AND(C41="VOLADO",AC41&gt;DATOS!$C$80)),0,BG41/IF(ISNUMBER(P41),P41,X41)+(AQ41*DATOS!$C$83/100/1000)*MAX(0,IF(ISNUMBER(P41),P41,X41)/2-BW41/100)))</f>
        <v/>
      </c>
      <c r="DR41" s="59" t="str">
        <f>IF(U41&lt;&gt;"SÍ","",IF(NOT(AND(C41="VOLADO",AC41&gt;DATOS!$C$80)),0,CEILING(100*MIN(IF(ISNUMBER(P41),P41,X41),MAX(IF(DO41&gt;0,DO41+IF(BV41&gt;=2,MAX(DL41,12*INDEX(TABLAS!$C$52:$C$58,MATCH(BU41,TABLAS!$B$52:$B$58,0)))/100,0),0),DP41,IF(BV41&gt;=2,INDEX(TABLAS!$F$52:$F$58,MATCH(BU41,TABLAS!$B$52:$B$58,0))/100,0))),5)))</f>
        <v/>
      </c>
      <c r="DS41" s="60" t="str">
        <f>IF(U41&lt;&gt;"SÍ","",IF(NOT(AND(C41="VOLADO",AC41&gt;DATOS!$C$80)),0,IF(DR41&lt;=0,0,CEILING(DR41/DATOS!$C$83,1))))</f>
        <v/>
      </c>
      <c r="DT41" s="61" t="str">
        <f>IF(U41&lt;&gt;"SÍ","",IF(C41&lt;&gt;"VOLADO","—",IF(AC41&lt;=DATOS!$C$80,"— (mismo b_w que el respaldo)",IF(DQ41&gt;CR41,"NO CUMPLE: cortante de la nervadura ancha junto al apoyo ("&amp;TEXT(DQ41,"0.00")&amp;" &gt; "&amp;TEXT(CR41,"0.00")&amp;" t)",IF(DR41&gt;=100*IF(ISNUMBER(P41),P41,X41),"CUMPLE — todas las nervaduras del respaldo ‖ al volado con b_w = "&amp;AC41&amp;" cm","CUMPLE — "&amp;DS41&amp;" hilera(s) del respaldo con nervaduras de b_w = "&amp;AC41&amp;" cm (casetón "&amp;AD41&amp;" cm), hasta "&amp;TEXT(DR41/100,"0.00")&amp;" m del paño")))))</f>
        <v/>
      </c>
      <c r="DU41" s="69" t="str">
        <f>IF(U41&lt;&gt;"SÍ","",IF(BN41=0,"NO ALCANZA",BN41&amp;" No. "&amp;BM41&amp;IF(BN41&gt;1," corridas"," corrida")))</f>
        <v/>
      </c>
      <c r="DV41" s="69" t="str">
        <f>IF(U41&lt;&gt;"SÍ","",IF(BV41=0,"NO ALCANZA",IF(AND(C41="VOLADO",AC41&gt;DATOS!$C$80,BV41&gt;=2),"1 No. "&amp;BU41&amp;" corrida de la orilla al respaldo ("&amp;IF(DB41&gt;=100*IF(ISNUMBER(P41),P41,X41),"hasta su apoyo lejano, con gancho","entra "&amp;TEXT(DB41/100,"0.00")&amp;" m desde el paño")&amp;") + "&amp;(BV41-1)&amp;" bastón No. "&amp;BU41&amp;" hasta "&amp;TEXT(DR41/100,"0.00")&amp;" m del paño (fin de la nervadura ancha)",IF(C41="VOLADO",BV41&amp;" No. "&amp;BU41&amp;" de la orilla al respaldo ("&amp;IF(DB41&gt;=100*IF(ISNUMBER(P41),P41,X41),"hasta su apoyo lejano, con gancho","entran "&amp;TEXT(DB41/100,"0.00")&amp;" m desde el paño")&amp;")","1 No. "&amp;BU41&amp;" corrida"&amp;IF(BV41&gt;1," + "&amp;(BV41-1)&amp;" bastón No. "&amp;BU41&amp;" L = "&amp;TEXT(DB41/100,"0.00")&amp;" m desde el paño","")))))</f>
        <v/>
      </c>
      <c r="DW41" s="69" t="str">
        <f>IF(U41&lt;&gt;"SÍ","",IF(CD41=0,"NO ALCANZA",CD41&amp;" No. "&amp;CC41&amp;IF(CD41&gt;1," corridas"," corrida")))</f>
        <v/>
      </c>
      <c r="DX41" s="69" t="str">
        <f>IF(U41&lt;&gt;"SÍ","",IF(CL41=0,"NO ALCANZA",IF(C41="VOLADO","1 No. "&amp;CK41&amp;" corrida (repartición)","1 No. "&amp;CK41&amp;" corrida"&amp;IF(CL41&gt;1," + "&amp;(CL41-1)&amp;" bastón No. "&amp;CK41&amp;" L = "&amp;TEXT(DC41/100,"0.00")&amp;" m desde el paño",""))))</f>
        <v/>
      </c>
      <c r="DY41" s="67" t="str">
        <f>IF(B41="","",IF(U41&lt;&gt;"SÍ","FALTAN DATOS: tipo, a_x, a_y y destino",IF(L41="NO MONOLÍTICO (caso II)","FUERA DE ALCANCE: caso II no transcrito",IF(AND(C41="VOLADO",V41="?"),"REVISAR: el volado lleva UN solo borde CONTINUO (el empotrado)",IF(AND(MAX(BQ41,BY41,CG41,CO41)&lt;=1,NOT(OR(BN41&gt;MIN(DATOS!$C$70,INT(((AC41-2*AJ41)+MAX(DATOS!$C$67,INDEX(TABLAS!$C$52:$C$58,MATCH(BM41,TABLAS!$B$52:$B$58,0))))/(INDEX(TABLAS!$C$52:$C$58,MATCH(BM41,TABLAS!$B$52:$B$58,0))+MAX(DATOS!$C$67,INDEX(TABLAS!$C$52:$C$58,MATCH(BM41,TABLAS!$B$52:$B$58,0)))))),BV41&gt;MIN(DATOS!$C$70,INT(((AC41-2*AK41)+MAX(DATOS!$C$67,INDEX(TABLAS!$C$52:$C$58,MATCH(BU41,TABLAS!$B$52:$B$58,0))))/(INDEX(TABLAS!$C$52:$C$58,MATCH(BU41,TABLAS!$B$52:$B$58,0))+MAX(DATOS!$C$67,INDEX(TABLAS!$C$52:$C$58,MATCH(BU41,TABLAS!$B$52:$B$58,0)))))),CD41&gt;MIN(DATOS!$C$70,INT(((DATOS!$C$80-2*AJ41)+MAX(DATOS!$C$67,INDEX(TABLAS!$C$52:$C$58,MATCH(CC41,TABLAS!$B$52:$B$58,0))))/(INDEX(TABLAS!$C$52:$C$58,MATCH(CC41,TABLAS!$B$52:$B$58,0))+MAX(DATOS!$C$67,INDEX(TABLAS!$C$52:$C$58,MATCH(CC41,TABLAS!$B$52:$B$58,0)))))),CL41&gt;MIN(DATOS!$C$70,INT(((DATOS!$C$80-2*AK41)+MAX(DATOS!$C$67,INDEX(TABLAS!$C$52:$C$58,MATCH(CK41,TABLAS!$B$52:$B$58,0))))/(INDEX(TABLAS!$C$52:$C$58,MATCH(CK41,TABLAS!$B$52:$B$58,0))+MAX(DATOS!$C$67,INDEX(TABLAS!$C$52:$C$58,MATCH(CK41,TABLAS!$B$52:$B$58,0)))))))),NOT(OR(AND(ISNUMBER(BR41),BR41&lt;0.005),AND(ISNUMBER(BZ41),BZ41&lt;0.005),AND(ISNUMBER(CH41),CH41&lt;0.005),AND(ISNUMBER(CP41),CP41&lt;0.005))),NOT(LEFT(DT41,2)="NO"),CZ41="CUMPLE",DA41="CUMPLE",LEFT(CT41,2)&lt;&gt;"NO"),IF(LEFT(CT41,6)="CUMPLE","CUMPLE","CUMPLE — "&amp;CT41)&amp;IF(LEFT(BJ41,5)="FUERA"," · fuera de 3.4.2.1 c)","")&amp;IF(LEFT(DF41,2)="NO"," · REVISAR anclaje en borde discontinuo","")&amp;IF(DS41&gt;0," · respaldo: "&amp;DS41&amp;" hilera(s) de b_w "&amp;AC41&amp;" cm",""),IF(AND(MAX(BQ41,BY41,CG41,CO41)&lt;=1,NOT(OR(BN41&gt;MIN(DATOS!$C$70,INT(((AC41-2*AJ41)+MAX(DATOS!$C$67,INDEX(TABLAS!$C$52:$C$58,MATCH(BM41,TABLAS!$B$52:$B$58,0))))/(INDEX(TABLAS!$C$52:$C$58,MATCH(BM41,TABLAS!$B$52:$B$58,0))+MAX(DATOS!$C$67,INDEX(TABLAS!$C$52:$C$58,MATCH(BM41,TABLAS!$B$52:$B$58,0)))))),BV41&gt;MIN(DATOS!$C$70,INT(((AC41-2*AK41)+MAX(DATOS!$C$67,INDEX(TABLAS!$C$52:$C$58,MATCH(BU41,TABLAS!$B$52:$B$58,0))))/(INDEX(TABLAS!$C$52:$C$58,MATCH(BU41,TABLAS!$B$52:$B$58,0))+MAX(DATOS!$C$67,INDEX(TABLAS!$C$52:$C$58,MATCH(BU41,TABLAS!$B$52:$B$58,0)))))),CD41&gt;MIN(DATOS!$C$70,INT(((DATOS!$C$80-2*AJ41)+MAX(DATOS!$C$67,INDEX(TABLAS!$C$52:$C$58,MATCH(CC41,TABLAS!$B$52:$B$58,0))))/(INDEX(TABLAS!$C$52:$C$58,MATCH(CC41,TABLAS!$B$52:$B$58,0))+MAX(DATOS!$C$67,INDEX(TABLAS!$C$52:$C$58,MATCH(CC41,TABLAS!$B$52:$B$58,0)))))),CL41&gt;MIN(DATOS!$C$70,INT(((DATOS!$C$80-2*AK41)+MAX(DATOS!$C$67,INDEX(TABLAS!$C$52:$C$58,MATCH(CK41,TABLAS!$B$52:$B$58,0))))/(INDEX(TABLAS!$C$52:$C$58,MATCH(CK41,TABLAS!$B$52:$B$58,0))+MAX(DATOS!$C$67,INDEX(TABLAS!$C$52:$C$58,MATCH(CK41,TABLAS!$B$52:$B$58,0)))))))),NOT(OR(AND(ISNUMBER(BR41),BR41&lt;0.005),AND(ISNUMBER(BZ41),BZ41&lt;0.005),AND(ISNUMBER(CH41),CH41&lt;0.005),AND(ISNUMBER(CP41),CP41&lt;0.005))),NOT(LEFT(DT41,2)="NO"),CZ41="CALCULAR FLECHA",LEFT(CT41,2)&lt;&gt;"NO"),"REVISAR: calcular flecha (h_eq &lt; h mín.)"&amp;IF(LEFT(BJ41,5)="FUERA"," · fuera de 3.4.2.1 c)","")&amp;IF(LEFT(DF41,2)="NO"," · REVISAR anclaje en borde discontinuo","")&amp;IF(DS41&gt;0," · respaldo: "&amp;DS41&amp;" hilera(s) de b_w "&amp;AC41&amp;" cm",""),"NO CUMPLE: "&amp;IF(MAX(BQ41,BY41,CG41,CO41)&gt;1,"flexión ","")&amp;IF(OR(BN41&gt;MIN(DATOS!$C$70,INT(((AC41-2*AJ41)+MAX(DATOS!$C$67,INDEX(TABLAS!$C$52:$C$58,MATCH(BM41,TABLAS!$B$52:$B$58,0))))/(INDEX(TABLAS!$C$52:$C$58,MATCH(BM41,TABLAS!$B$52:$B$58,0))+MAX(DATOS!$C$67,INDEX(TABLAS!$C$52:$C$58,MATCH(BM41,TABLAS!$B$52:$B$58,0)))))),BV41&gt;MIN(DATOS!$C$70,INT(((AC41-2*AK41)+MAX(DATOS!$C$67,INDEX(TABLAS!$C$52:$C$58,MATCH(BU41,TABLAS!$B$52:$B$58,0))))/(INDEX(TABLAS!$C$52:$C$58,MATCH(BU41,TABLAS!$B$52:$B$58,0))+MAX(DATOS!$C$67,INDEX(TABLAS!$C$52:$C$58,MATCH(BU41,TABLAS!$B$52:$B$58,0)))))),CD41&gt;MIN(DATOS!$C$70,INT(((DATOS!$C$80-2*AJ41)+MAX(DATOS!$C$67,INDEX(TABLAS!$C$52:$C$58,MATCH(CC41,TABLAS!$B$52:$B$58,0))))/(INDEX(TABLAS!$C$52:$C$58,MATCH(CC41,TABLAS!$B$52:$B$58,0))+MAX(DATOS!$C$67,INDEX(TABLAS!$C$52:$C$58,MATCH(CC41,TABLAS!$B$52:$B$58,0)))))),CL41&gt;MIN(DATOS!$C$70,INT(((DATOS!$C$80-2*AK41)+MAX(DATOS!$C$67,INDEX(TABLAS!$C$52:$C$58,MATCH(CK41,TABLAS!$B$52:$B$58,0))))/(INDEX(TABLAS!$C$52:$C$58,MATCH(CK41,TABLAS!$B$52:$B$58,0))+MAX(DATOS!$C$67,INDEX(TABLAS!$C$52:$C$58,MATCH(CK41,TABLAS!$B$52:$B$58,0))))))),"no caben ","")&amp;IF(OR(AND(ISNUMBER(BR41),BR41&lt;0.005),AND(ISNUMBER(BZ41),BZ41&lt;0.005),AND(ISNUMBER(CH41),CH41&lt;0.005),AND(ISNUMBER(CP41),CP41&lt;0.005)),"ε_t &lt; 0.005 ","")&amp;IF(LEFT(CT41,2)="NO","cortante ","")&amp;IF(CZ41="NO CUMPLE","peralte ","")&amp;IF(DA41&lt;&gt;"CUMPLE","capa &lt; 6 cm ","")&amp;IF(LEFT(DT41,2)="NO","respaldo del volado","")))))))</f>
        <v/>
      </c>
      <c r="DZ41" s="70" t="str">
        <f>IF(U41&lt;&gt;"SÍ","",IF(LEFT(B41,7)="EJEMPLO","EJEMPLO de la hoja de Casa Rocha: bórralo o sobrescríbelo. ","")&amp;IF(AND(C41="PERIMETRAL",MIN(DG41,DH41)=0),"No cabe un casetón en el claro corto: es un tablero macizo, diséñalo en MACIZAS. ","")&amp;IF(AND(AI41="NO",C41="PERIMETRAL"),"No cumple 6.7.8.1.4 (a_c = "&amp;MAX(DATOS!$C$78,AD41)&amp;" cm &gt; claro corto/6 = "&amp;TEXT(X41*100/6,"0")&amp;" cm): se diseña como losa apoyada en vigas (6.7.8.1.9): r de viga = "&amp;DATOS!$C$60&amp;" cm y V_cR sin ×1.1. Para que cuente como encasetonada: casetón de "&amp;TEXT(FLOOR(MIN(80,X41*100/6),1),"0")&amp;" cm o menor. ","")&amp;IF(C41="VOLADO","Volado de "&amp;TEXT(X41,"0.00")&amp;" m empotrado en el borde "&amp;LOWER(V41)&amp;IF(N(O41)&gt;0,", con "&amp;TEXT(O41,"0.0")&amp;" kg/m en la orilla","")&amp;". Lecho inferior con r_ext. Si la orilla carga pretil u otro elemento frágil, calcula la flecha (13.4). El acero superior entra al respaldo de "&amp;TEXT(IF(ISNUMBER(P41),P41,X41),"0.00")&amp;" m"&amp;IF(ISNUMBER(P41),""," (L_b no capturado: se tomó igual al volado)")&amp;" hasta pasar M = 0 con 0.9·PP sin carga viva; si ahí no se anula, llega al apoyo lejano y se ancla con gancho (NTC-Criterios 3.4.1 c y 5.1.2.2). "&amp;IF(AC41&gt;DATOS!$C$80,"Respaldo: "&amp;DT41&amp;". ",""),"")&amp;IF(LEFT(BJ41,5)="FUERA","El M⁻ del vecino difiere más de 50 % (3.4.2.1 c): distribuye el desequilibrio (3.4.3.1) o confirma con un modelo; se arma con el mayor. ","")&amp;IF(OR(DD41="SÍ",DE41="SÍ"),"El M⁻ del borde discontinuo pide bastón también ahí (con gancho). ","")&amp;IF(LEFT(DF41,2)="NO","Anclaje: "&amp;DF41&amp;" (6.7.8.1.7). ","")&amp;IF(OR(AZ41&gt;0,BA41&gt;0),"Esquinas exteriores sobre muro: refuerzo de esquina arriba y abajo en L_largo/5 (6.7.7.3.1). ",""))</f>
        <v/>
      </c>
    </row>
    <row r="42" ht="33" customHeight="1">
      <c r="A42" s="50">
        <f>IF(B42="",0,1)+A41</f>
        <v>4</v>
      </c>
      <c r="B42" s="29" t="n"/>
      <c r="C42" s="51" t="n"/>
      <c r="D42" s="29" t="n"/>
      <c r="E42" s="52" t="n"/>
      <c r="F42" s="52" t="n"/>
      <c r="G42" s="51" t="n"/>
      <c r="H42" s="51" t="n"/>
      <c r="I42" s="51" t="n"/>
      <c r="J42" s="51" t="n"/>
      <c r="K42" s="51" t="n"/>
      <c r="L42" s="51" t="n"/>
      <c r="M42" s="53" t="n"/>
      <c r="N42" s="53" t="n"/>
      <c r="O42" s="54" t="n"/>
      <c r="P42" s="52" t="n"/>
      <c r="Q42" s="53" t="n"/>
      <c r="R42" s="54" t="n"/>
      <c r="S42" s="52" t="n"/>
      <c r="T42" s="52" t="n"/>
      <c r="U42" s="55" t="str">
        <f>IF(B42="","",IF(AND(OR(C42="PERIMETRAL",C42="VOLADO"),ISNUMBER(E42),ISNUMBER(F42),E42&gt;0,F42&gt;0,OR(ISNUMBER(N42),ISNUMBER(MATCH(D42,DATOS!$B$46:$B$55,0)))),"SÍ","NO"))</f>
        <v/>
      </c>
      <c r="V42" s="55" t="str">
        <f>IF(U42&lt;&gt;"SÍ","",IF(C42&lt;&gt;"VOLADO","—",IF(COUNTIF(G42:J42,"CONTINUO")&lt;&gt;1,"?",IF(G42="CONTINUO","INFERIOR",IF(H42="CONTINUO","SUPERIOR",IF(I42="CONTINUO","IZQUIERDO","DERECHO"))))))</f>
        <v/>
      </c>
      <c r="W42" s="55" t="str">
        <f>IF(U42&lt;&gt;"SÍ","",IF(C42="VOLADO",IF(OR(V42="IZQUIERDO",V42="DERECHO"),"X","Y"),IF(E42&lt;=F42,"X","Y")))</f>
        <v/>
      </c>
      <c r="X42" s="56" t="str">
        <f>IF(U42&lt;&gt;"SÍ","",IF(C42="VOLADO",IF(W42="X",E42,F42),MIN(E42,F42)))</f>
        <v/>
      </c>
      <c r="Y42" s="56" t="str">
        <f>IF(U42&lt;&gt;"SÍ","",IF(C42="VOLADO",IF(W42="X",F42,E42),MAX(E42,F42)))</f>
        <v/>
      </c>
      <c r="Z42" s="56" t="str">
        <f>IF(U42&lt;&gt;"SÍ","",MIN(X42,Y42)/MAX(X42,Y42))</f>
        <v/>
      </c>
      <c r="AA42" s="57" t="str">
        <f>IF(U42&lt;&gt;"SÍ","",MAX(1,X42*100-IF(C42="VOLADO",DATOS!$C$84/2,DATOS!$C$84)))</f>
        <v/>
      </c>
      <c r="AB42" s="57" t="str">
        <f>IF(U42&lt;&gt;"SÍ","",MAX(1,Y42*100-DATOS!$C$84))</f>
        <v/>
      </c>
      <c r="AC42" s="57" t="str">
        <f>IF(U42&lt;&gt;"SÍ","",IF(ISNUMBER(Q42),Q42,DATOS!$C$80))</f>
        <v/>
      </c>
      <c r="AD42" s="57" t="str">
        <f>IF(U42&lt;&gt;"SÍ","",MAX(0,DATOS!$C$83-AC42))</f>
        <v/>
      </c>
      <c r="AE42" s="57" t="str">
        <f>IF(U42&lt;&gt;"SÍ","",IF(OR(DATOS!$C$62="SÍ",AC42&gt;=20),AC42,AC42-2))</f>
        <v/>
      </c>
      <c r="AF42" s="57" t="str">
        <f>IF(U42&lt;&gt;"SÍ","",IF(OR(DATOS!$C$62="SÍ",DATOS!$C$80&gt;=20),DATOS!$C$80,DATOS!$C$80-2))</f>
        <v/>
      </c>
      <c r="AG42" s="57" t="str">
        <f>IF(U42&lt;&gt;"SÍ","",MIN(DATOS!$C$83,AC42+2*MIN(8*DATOS!$C$81,AD42/2,AA42/8)))</f>
        <v/>
      </c>
      <c r="AH42" s="57" t="str">
        <f>IF(U42&lt;&gt;"SÍ","",MIN(DATOS!$C$83,DATOS!$C$80+2*MIN(8*DATOS!$C$81,DATOS!$C$78/2,AB42/8)))</f>
        <v/>
      </c>
      <c r="AI42" s="55" t="str">
        <f>IF(U42&lt;&gt;"SÍ","",IF(AND(C42="PERIMETRAL",X42*100&gt;=6*MAX(DATOS!$C$78,AD42),MAX(DATOS!$C$78,AD42)&lt;=80,MIN(DATOS!$C$80,AC42)&gt;=10,DATOS!$C$82&lt;=3.5*MIN(DATOS!$C$80,AC42),DATOS!$C$81&gt;=MAX(MAX(DATOS!$C$78,AD42)/13,5)),"SÍ","NO"))</f>
        <v/>
      </c>
      <c r="AJ42" s="57" t="str">
        <f>IF(U42&lt;&gt;"SÍ","",IF(C42="VOLADO",DATOS!$C$61,IF(AI42="NO",DATOS!$C$60,DATOS!$C$59)))</f>
        <v/>
      </c>
      <c r="AK42" s="57" t="str">
        <f>IF(U42&lt;&gt;"SÍ","",IF(OR(AND(AM42="SÍ",DATOS!$C$63="SÍ"),AND(C42="VOLADO",DATOS!$C$64="SÍ")),DATOS!$C$61,IF(AI42="NO",DATOS!$C$60,DATOS!$C$59)))</f>
        <v/>
      </c>
      <c r="AL42" s="58" t="str">
        <f>IF(U42&lt;&gt;"SÍ","",MAX(AK42,(DATOS!$C$81-2*DATOS!$C$94)/2))</f>
        <v/>
      </c>
      <c r="AM42" s="55" t="str">
        <f>IF(U42&lt;&gt;"SÍ","",IFERROR(INDEX(DATOS!$D$46:$D$55,MATCH(D42,DATOS!$B$46:$B$55,0)),"NO"))</f>
        <v/>
      </c>
      <c r="AN42" s="59" t="str">
        <f>IF(U42&lt;&gt;"SÍ","",IF(ISNUMBER(N42),N42,IFERROR(INDEX(DATOS!$C$46:$C$55,MATCH(D42,DATOS!$B$46:$B$55,0)),0)))</f>
        <v/>
      </c>
      <c r="AO42" s="59" t="str">
        <f>IF(U42&lt;&gt;"SÍ","",(DATOS!$C$82/100-(AD42*DATOS!$C$78/DATOS!$C$83^2)*DATOS!$C$79/100)*DATOS!$C$16*1000+(AD42*DATOS!$C$78/DATOS!$C$83^2)*DATOS!$C$79/100*DATOS!$C$17*1000+DATOS!$C$37+DATOS!$C$38)</f>
        <v/>
      </c>
      <c r="AP42" s="59" t="str">
        <f>IF(U42&lt;&gt;"SÍ","",AO42+N(M42))</f>
        <v/>
      </c>
      <c r="AQ42" s="60" t="str">
        <f>IF(U42&lt;&gt;"SÍ","",MAX(DATOS!$C$26*AP42+DATOS!$C$27*AN42,IF(AM42="SÍ",DATOS!$C$28*(AP42+DATOS!$C$41),0)))</f>
        <v/>
      </c>
      <c r="AR42" s="59" t="str">
        <f>IF(U42&lt;&gt;"SÍ","",(G42="DISCONTINUO")+(H42="DISCONTINUO")+(I42="DISCONTINUO")+(J42="DISCONTINUO"))</f>
        <v/>
      </c>
      <c r="AS42" s="59" t="str">
        <f>IF(U42&lt;&gt;"SÍ","",IF(W42="X",(G42="DISCONTINUO")+(H42="DISCONTINUO"),(I42="DISCONTINUO")+(J42="DISCONTINUO")))</f>
        <v/>
      </c>
      <c r="AT42" s="55" t="str">
        <f>IF(U42&lt;&gt;"SÍ","",IF(AR42=0,"INTERIOR",IF(AR42=1,IF(AS42=1,"BORDE-CORTO","BORDE-LARGO"),IF(AR42=2,IF(AS42=1,"ESQUINA",IF(AS42=2,"EXTREMO-LARGO","EXTREMO-CORTO")),IF(AR42=3,IF(AS42=2,"EXTREMO-LARGO","EXTREMO-CORTO"),"AISLADO")))))</f>
        <v/>
      </c>
      <c r="AU42" s="61" t="str">
        <f>IF(U42&lt;&gt;"SÍ","",IF(OR(K42="",K42="AUTO"),AT42,K42))</f>
        <v/>
      </c>
      <c r="AV42" s="59" t="str">
        <f>IF(U42&lt;&gt;"SÍ","",MATCH(Z42,TABLAS!$D$5:$J$5,1))</f>
        <v/>
      </c>
      <c r="AW42" s="58" t="str">
        <f>IF(U42&lt;&gt;"SÍ","",IF(AV42&gt;=7,0,(Z42-INDEX(TABLAS!$D$5:$J$5,AV42))/(INDEX(TABLAS!$D$5:$J$5,AV42+1)-INDEX(TABLAS!$D$5:$J$5,AV42))))</f>
        <v/>
      </c>
      <c r="AX42" s="59" t="str">
        <f>IF(U42&lt;&gt;"SÍ","",INDEX(TABLAS!$D$6:$J$47,MATCH(AU42&amp;"|NIC",TABLAS!$B$6:$B$47,0),AV42)+AW42*(INDEX(TABLAS!$D$6:$J$47,MATCH(AU42&amp;"|NIC",TABLAS!$B$6:$B$47,0),MIN(AV42+1,7))-INDEX(TABLAS!$D$6:$J$47,MATCH(AU42&amp;"|NIC",TABLAS!$B$6:$B$47,0),AV42)))</f>
        <v/>
      </c>
      <c r="AY42" s="59" t="str">
        <f>IF(U42&lt;&gt;"SÍ","",INDEX(TABLAS!$D$6:$J$47,MATCH(AU42&amp;"|NIL",TABLAS!$B$6:$B$47,0),AV42)+AW42*(INDEX(TABLAS!$D$6:$J$47,MATCH(AU42&amp;"|NIL",TABLAS!$B$6:$B$47,0),MIN(AV42+1,7))-INDEX(TABLAS!$D$6:$J$47,MATCH(AU42&amp;"|NIL",TABLAS!$B$6:$B$47,0),AV42)))</f>
        <v/>
      </c>
      <c r="AZ42" s="59" t="str">
        <f>IF(U42&lt;&gt;"SÍ","",INDEX(TABLAS!$D$6:$J$47,MATCH(AU42&amp;"|NDC",TABLAS!$B$6:$B$47,0),AV42)+AW42*(INDEX(TABLAS!$D$6:$J$47,MATCH(AU42&amp;"|NDC",TABLAS!$B$6:$B$47,0),MIN(AV42+1,7))-INDEX(TABLAS!$D$6:$J$47,MATCH(AU42&amp;"|NDC",TABLAS!$B$6:$B$47,0),AV42)))</f>
        <v/>
      </c>
      <c r="BA42" s="59" t="str">
        <f>IF(U42&lt;&gt;"SÍ","",INDEX(TABLAS!$D$6:$J$47,MATCH(AU42&amp;"|NDL",TABLAS!$B$6:$B$47,0),AV42)+AW42*(INDEX(TABLAS!$D$6:$J$47,MATCH(AU42&amp;"|NDL",TABLAS!$B$6:$B$47,0),MIN(AV42+1,7))-INDEX(TABLAS!$D$6:$J$47,MATCH(AU42&amp;"|NDL",TABLAS!$B$6:$B$47,0),AV42)))</f>
        <v/>
      </c>
      <c r="BB42" s="59" t="str">
        <f>IF(U42&lt;&gt;"SÍ","",INDEX(TABLAS!$D$6:$J$47,MATCH(AU42&amp;"|PC",TABLAS!$B$6:$B$47,0),AV42)+AW42*(INDEX(TABLAS!$D$6:$J$47,MATCH(AU42&amp;"|PC",TABLAS!$B$6:$B$47,0),MIN(AV42+1,7))-INDEX(TABLAS!$D$6:$J$47,MATCH(AU42&amp;"|PC",TABLAS!$B$6:$B$47,0),AV42)))</f>
        <v/>
      </c>
      <c r="BC42" s="59" t="str">
        <f>IF(U42&lt;&gt;"SÍ","",INDEX(TABLAS!$D$6:$J$47,MATCH(AU42&amp;"|PL",TABLAS!$B$6:$B$47,0),AV42)+AW42*(INDEX(TABLAS!$D$6:$J$47,MATCH(AU42&amp;"|PL",TABLAS!$B$6:$B$47,0),MIN(AV42+1,7))-INDEX(TABLAS!$D$6:$J$47,MATCH(AU42&amp;"|PL",TABLAS!$B$6:$B$47,0),AV42)))</f>
        <v/>
      </c>
      <c r="BD42" s="56" t="str">
        <f>IF(U42&lt;&gt;"SÍ","",IF(C42&lt;&gt;"VOLADO",0,DATOS!$C$26*DATOS!$C$16*DATOS!$C$83/100*(((AD42*DATOS!$C$78/DATOS!$C$83^2)*DATOS!$C$79/100)*(IF(W42="X",DI42,DJ42)+DATOS!$C$84/2)/100*(AA42-(IF(W42="X",DI42,DJ42)+DATOS!$C$84/2)/2)/100+((AD42*DATOS!$C$78/DATOS!$C$83^2)*DATOS!$C$79/100)*IF(W42="X",DI42,DJ42)/100*IF(W42="X",DI42,DJ42)/200)))</f>
        <v/>
      </c>
      <c r="BE42" s="56" t="str">
        <f>IF(U42&lt;&gt;"SÍ","",IF(C42&lt;&gt;"VOLADO",0,DATOS!$C$26*DATOS!$C$16*DATOS!$C$83/100*((AD42*DATOS!$C$78/DATOS!$C$83^2)*DATOS!$C$79/100)*(IF(W42="X",DI42,DJ42)+DATOS!$C$84/2)/100))</f>
        <v/>
      </c>
      <c r="BF42" s="56" t="str">
        <f>IF(U42&lt;&gt;"SÍ","",IF(C42="PERIMETRAL",BB42*AQ42*X42^2*1E-4*DATOS!$C$83/100/1000,0))</f>
        <v/>
      </c>
      <c r="BG42" s="62" t="str">
        <f>IF(U42&lt;&gt;"SÍ","",IF(C42="PERIMETRAL",MAX(MAX(AX42,AZ42)*AQ42*X42^2*1E-4*DATOS!$C$83/100/1000,N(S42)),(AQ42*(AA42/100)^2/2+DATOS!$C$26*N(O42)*AA42/100)*DATOS!$C$83/100/1000+BD42))</f>
        <v/>
      </c>
      <c r="BH42" s="56" t="str">
        <f>IF(U42&lt;&gt;"SÍ","",IF(C42="PERIMETRAL",BC42*AQ42*X42^2*1E-4*DATOS!$C$83/100/1000,0))</f>
        <v/>
      </c>
      <c r="BI42" s="56" t="str">
        <f>IF(U42&lt;&gt;"SÍ","",IF(C42="PERIMETRAL",MAX(MAX(AY42,BA42)*AQ42*X42^2*1E-4*DATOS!$C$83/100/1000,N(T42)),0))</f>
        <v/>
      </c>
      <c r="BJ42" s="63" t="str">
        <f>IF(U42&lt;&gt;"SÍ","",IF(C42&lt;&gt;"PERIMETRAL","—",IF(AND(N(S42)=0,N(T42)=0),"— (sin M⁻ del vecino)",IF(OR(AND(N(S42)&gt;0,ABS(MAX(AX42,AZ42)*AQ42*X42^2*1E-4*DATOS!$C$83/100/1000-N(S42))&gt;0.5*MIN(MAX(AX42,AZ42)*AQ42*X42^2*1E-4*DATOS!$C$83/100/1000,N(S42))),AND(N(T42)&gt;0,ABS(MAX(AY42,BA42)*AQ42*X42^2*1E-4*DATOS!$C$83/100/1000-N(T42))&gt;0.5*MIN(MAX(AY42,BA42)*AQ42*X42^2*1E-4*DATOS!$C$83/100/1000,N(T42)))),"FUERA: difieren &gt; 50 %"&amp;IF(AND(N(S42)&gt;0,ABS(MAX(AX42,AZ42)*AQ42*X42^2*1E-4*DATOS!$C$83/100/1000-N(S42))&gt;0.5*MIN(MAX(AX42,AZ42)*AQ42*X42^2*1E-4*DATOS!$C$83/100/1000,N(S42)))," ‖ corto","")&amp;IF(AND(N(T42)&gt;0,ABS(MAX(AY42,BA42)*AQ42*X42^2*1E-4*DATOS!$C$83/100/1000-N(T42))&gt;0.5*MIN(MAX(AY42,BA42)*AQ42*X42^2*1E-4*DATOS!$C$83/100/1000,N(T42)))," ‖ largo",""),"CUMPLE"))))</f>
        <v/>
      </c>
      <c r="BK42" s="58" t="str">
        <f>IF(U42&lt;&gt;"SÍ","",(DATOS!$C$82-AJ42-INDEX(TABLAS!$C$52:$C$58,MATCH(DATOS!$C$68,TABLAS!$B$52:$B$58,0))/2))</f>
        <v/>
      </c>
      <c r="BL42" s="58" t="str">
        <f>IF(U42&lt;&gt;"SÍ","",IF(IF(BF42&lt;=0,0,IF((1-2*BF42*1E5/(DATOS!$C$29*AG42*BK42^2*DATOS!$C$21))&lt;0,-1,IF((1-SQRT((1-2*BF42*1E5/(DATOS!$C$29*AG42*BK42^2*DATOS!$C$21))))*DATOS!$C$21*AG42*BK42/DATOS!$C$14&gt;DATOS!$C$99*AG42*BK42,-1,(1-SQRT((1-2*BF42*1E5/(DATOS!$C$29*AG42*BK42^2*DATOS!$C$21))))*DATOS!$C$21*AG42*BK42/DATOS!$C$14)))&lt;0,-1,MAX(IF(BF42&lt;=0,0,IF((1-2*BF42*1E5/(DATOS!$C$29*AG42*BK42^2*DATOS!$C$21))&lt;0,-1,IF((1-SQRT((1-2*BF42*1E5/(DATOS!$C$29*AG42*BK42^2*DATOS!$C$21))))*DATOS!$C$21*AG42*BK42/DATOS!$C$14&gt;DATOS!$C$99*AG42*BK42,-1,(1-SQRT((1-2*BF42*1E5/(DATOS!$C$29*AG42*BK42^2*DATOS!$C$21))))*DATOS!$C$21*AG42*BK42/DATOS!$C$14))),MIN(DATOS!$C$100*AC42*BK42,4/3*IF(BF42&lt;=0,0,IF((1-2*BF42*1E5/(DATOS!$C$29*AG42*BK42^2*DATOS!$C$21))&lt;0,-1,IF((1-SQRT((1-2*BF42*1E5/(DATOS!$C$29*AG42*BK42^2*DATOS!$C$21))))*DATOS!$C$21*AG42*BK42/DATOS!$C$14&gt;DATOS!$C$99*AG42*BK42,-1,(1-SQRT((1-2*BF42*1E5/(DATOS!$C$29*AG42*BK42^2*DATOS!$C$21))))*DATOS!$C$21*AG42*BK42/DATOS!$C$14)))))))</f>
        <v/>
      </c>
      <c r="BM42" s="64" t="str">
        <f>IF(U42&lt;&gt;"SÍ","",IF(AND(BL42&gt;=0,IF(MAX(DATOS!$C$71,CEILING(BL42/INDEX(TABLAS!$D$52:$D$58,MIN(MATCH(DATOS!$C$68,TABLAS!$B$52:$B$58,0)+0,7)),1))*INDEX(TABLAS!$D$52:$D$58,MIN(MATCH(DATOS!$C$68,TABLAS!$B$52:$B$58,0)+0,7))&gt;=4/3*IF(BF42&lt;=0,0,IF((1-2*BF42*1E5/(DATOS!$C$29*AG42*BK42^2*DATOS!$C$21))&lt;0,-1,IF((1-SQRT((1-2*BF42*1E5/(DATOS!$C$29*AG42*BK42^2*DATOS!$C$21))))*DATOS!$C$21*AG42*BK42/DATOS!$C$14&gt;DATOS!$C$99*AG42*BK42,-1,(1-SQRT((1-2*BF42*1E5/(DATOS!$C$29*AG42*BK42^2*DATOS!$C$21))))*DATOS!$C$21*AG42*BK42/DATOS!$C$14)))-0.0001,MAX(DATOS!$C$71,CEILING(BL42/INDEX(TABLAS!$D$52:$D$58,MIN(MATCH(DATOS!$C$68,TABLAS!$B$52:$B$58,0)+0,7)),1)),MAX(MAX(DATOS!$C$71,CEILING(BL42/INDEX(TABLAS!$D$52:$D$58,MIN(MATCH(DATOS!$C$68,TABLAS!$B$52:$B$58,0)+0,7)),1)),2))&lt;=MIN(DATOS!$C$70,INT(((AC42-2*AJ42)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42&gt;=0,IF(MAX(DATOS!$C$71,CEILING(BL42/INDEX(TABLAS!$D$52:$D$58,MIN(MATCH(DATOS!$C$68,TABLAS!$B$52:$B$58,0)+1,7)),1))*INDEX(TABLAS!$D$52:$D$58,MIN(MATCH(DATOS!$C$68,TABLAS!$B$52:$B$58,0)+1,7))&gt;=4/3*IF(BF42&lt;=0,0,IF((1-2*BF42*1E5/(DATOS!$C$29*AG42*BK42^2*DATOS!$C$21))&lt;0,-1,IF((1-SQRT((1-2*BF42*1E5/(DATOS!$C$29*AG42*BK42^2*DATOS!$C$21))))*DATOS!$C$21*AG42*BK42/DATOS!$C$14&gt;DATOS!$C$99*AG42*BK42,-1,(1-SQRT((1-2*BF42*1E5/(DATOS!$C$29*AG42*BK42^2*DATOS!$C$21))))*DATOS!$C$21*AG42*BK42/DATOS!$C$14)))-0.0001,MAX(DATOS!$C$71,CEILING(BL42/INDEX(TABLAS!$D$52:$D$58,MIN(MATCH(DATOS!$C$68,TABLAS!$B$52:$B$58,0)+1,7)),1)),MAX(MAX(DATOS!$C$71,CEILING(BL42/INDEX(TABLAS!$D$52:$D$58,MIN(MATCH(DATOS!$C$68,TABLAS!$B$52:$B$58,0)+1,7)),1)),2))&lt;=MIN(DATOS!$C$70,INT(((AC42-2*AJ42)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42&gt;=0,IF(MAX(DATOS!$C$71,CEILING(BL42/INDEX(TABLAS!$D$52:$D$58,MIN(MATCH(DATOS!$C$68,TABLAS!$B$52:$B$58,0)+2,7)),1))*INDEX(TABLAS!$D$52:$D$58,MIN(MATCH(DATOS!$C$68,TABLAS!$B$52:$B$58,0)+2,7))&gt;=4/3*IF(BF42&lt;=0,0,IF((1-2*BF42*1E5/(DATOS!$C$29*AG42*BK42^2*DATOS!$C$21))&lt;0,-1,IF((1-SQRT((1-2*BF42*1E5/(DATOS!$C$29*AG42*BK42^2*DATOS!$C$21))))*DATOS!$C$21*AG42*BK42/DATOS!$C$14&gt;DATOS!$C$99*AG42*BK42,-1,(1-SQRT((1-2*BF42*1E5/(DATOS!$C$29*AG42*BK42^2*DATOS!$C$21))))*DATOS!$C$21*AG42*BK42/DATOS!$C$14)))-0.0001,MAX(DATOS!$C$71,CEILING(BL42/INDEX(TABLAS!$D$52:$D$58,MIN(MATCH(DATOS!$C$68,TABLAS!$B$52:$B$58,0)+2,7)),1)),MAX(MAX(DATOS!$C$71,CEILING(BL42/INDEX(TABLAS!$D$52:$D$58,MIN(MATCH(DATOS!$C$68,TABLAS!$B$52:$B$58,0)+2,7)),1)),2))&lt;=MIN(DATOS!$C$70,INT(((AC42-2*AJ42)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42&gt;=0,IF(MAX(DATOS!$C$71,CEILING(BL42/INDEX(TABLAS!$D$52:$D$58,MIN(MATCH(DATOS!$C$68,TABLAS!$B$52:$B$58,0)+3,7)),1))*INDEX(TABLAS!$D$52:$D$58,MIN(MATCH(DATOS!$C$68,TABLAS!$B$52:$B$58,0)+3,7))&gt;=4/3*IF(BF42&lt;=0,0,IF((1-2*BF42*1E5/(DATOS!$C$29*AG42*BK42^2*DATOS!$C$21))&lt;0,-1,IF((1-SQRT((1-2*BF42*1E5/(DATOS!$C$29*AG42*BK42^2*DATOS!$C$21))))*DATOS!$C$21*AG42*BK42/DATOS!$C$14&gt;DATOS!$C$99*AG42*BK42,-1,(1-SQRT((1-2*BF42*1E5/(DATOS!$C$29*AG42*BK42^2*DATOS!$C$21))))*DATOS!$C$21*AG42*BK42/DATOS!$C$14)))-0.0001,MAX(DATOS!$C$71,CEILING(BL42/INDEX(TABLAS!$D$52:$D$58,MIN(MATCH(DATOS!$C$68,TABLAS!$B$52:$B$58,0)+3,7)),1)),MAX(MAX(DATOS!$C$71,CEILING(BL42/INDEX(TABLAS!$D$52:$D$58,MIN(MATCH(DATOS!$C$68,TABLAS!$B$52:$B$58,0)+3,7)),1)),2))&lt;=MIN(DATOS!$C$70,INT(((AC42-2*AJ42)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42&gt;=0,IF(MAX(DATOS!$C$71,CEILING(BL42/INDEX(TABLAS!$D$52:$D$58,MIN(MATCH(DATOS!$C$68,TABLAS!$B$52:$B$58,0)+4,7)),1))*INDEX(TABLAS!$D$52:$D$58,MIN(MATCH(DATOS!$C$68,TABLAS!$B$52:$B$58,0)+4,7))&gt;=4/3*IF(BF42&lt;=0,0,IF((1-2*BF42*1E5/(DATOS!$C$29*AG42*BK42^2*DATOS!$C$21))&lt;0,-1,IF((1-SQRT((1-2*BF42*1E5/(DATOS!$C$29*AG42*BK42^2*DATOS!$C$21))))*DATOS!$C$21*AG42*BK42/DATOS!$C$14&gt;DATOS!$C$99*AG42*BK42,-1,(1-SQRT((1-2*BF42*1E5/(DATOS!$C$29*AG42*BK42^2*DATOS!$C$21))))*DATOS!$C$21*AG42*BK42/DATOS!$C$14)))-0.0001,MAX(DATOS!$C$71,CEILING(BL42/INDEX(TABLAS!$D$52:$D$58,MIN(MATCH(DATOS!$C$68,TABLAS!$B$52:$B$58,0)+4,7)),1)),MAX(MAX(DATOS!$C$71,CEILING(BL42/INDEX(TABLAS!$D$52:$D$58,MIN(MATCH(DATOS!$C$68,TABLAS!$B$52:$B$58,0)+4,7)),1)),2))&lt;=MIN(DATOS!$C$70,INT(((AC42-2*AJ42)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42" s="59" t="str">
        <f>IF(U42&lt;&gt;"SÍ","",IF(BL42&lt;0,0,IF(MAX(DATOS!$C$71,CEILING(MAX(BL42,0)/INDEX(TABLAS!$D$52:$D$58,MATCH(BM42,TABLAS!$B$52:$B$58,0)),1))*INDEX(TABLAS!$D$52:$D$58,MATCH(BM42,TABLAS!$B$52:$B$58,0))&gt;=4/3*IF(BF42&lt;=0,0,IF((1-2*BF42*1E5/(DATOS!$C$29*AG42*BK42^2*DATOS!$C$21))&lt;0,-1,IF((1-SQRT((1-2*BF42*1E5/(DATOS!$C$29*AG42*BK42^2*DATOS!$C$21))))*DATOS!$C$21*AG42*BK42/DATOS!$C$14&gt;DATOS!$C$99*AG42*BK42,-1,(1-SQRT((1-2*BF42*1E5/(DATOS!$C$29*AG42*BK42^2*DATOS!$C$21))))*DATOS!$C$21*AG42*BK42/DATOS!$C$14)))-0.0001,MAX(DATOS!$C$71,CEILING(MAX(BL42,0)/INDEX(TABLAS!$D$52:$D$58,MATCH(BM42,TABLAS!$B$52:$B$58,0)),1)),MAX(MAX(DATOS!$C$71,CEILING(MAX(BL42,0)/INDEX(TABLAS!$D$52:$D$58,MATCH(BM42,TABLAS!$B$52:$B$58,0)),1)),2))))</f>
        <v/>
      </c>
      <c r="BO42" s="58" t="str">
        <f>IF(U42&lt;&gt;"SÍ","",DATOS!$C$82-AJ42-INDEX(TABLAS!$C$52:$C$58,MATCH(BM42,TABLAS!$B$52:$B$58,0))/2)</f>
        <v/>
      </c>
      <c r="BP42" s="56" t="str">
        <f>IF(U42&lt;&gt;"SÍ","",IF(BN42=0,0,DATOS!$C$29*BN42*INDEX(TABLAS!$D$52:$D$58,MATCH(BM42,TABLAS!$B$52:$B$58,0))*DATOS!$C$14*(BO42-BN42*INDEX(TABLAS!$D$52:$D$58,MATCH(BM42,TABLAS!$B$52:$B$58,0))*DATOS!$C$14/(DATOS!$C$21*AG42)/2)/1E5))</f>
        <v/>
      </c>
      <c r="BQ42" s="65" t="str">
        <f>IF(U42&lt;&gt;"SÍ","",IF(BL42&lt;0,9.99,IF(BP42&gt;0,BF42/BP42,0)))</f>
        <v/>
      </c>
      <c r="BR42" s="66" t="str">
        <f>IF(U42&lt;&gt;"SÍ","",IF(BN42=0,"—",0.003*(BO42-(BN42*INDEX(TABLAS!$D$52:$D$58,MATCH(BM42,TABLAS!$B$52:$B$58,0))*DATOS!$C$14/(DATOS!$C$21*AG42)/DATOS!$C$22))/(BN42*INDEX(TABLAS!$D$52:$D$58,MATCH(BM42,TABLAS!$B$52:$B$58,0))*DATOS!$C$14/(DATOS!$C$21*AG42)/DATOS!$C$22)))</f>
        <v/>
      </c>
      <c r="BS42" s="58" t="str">
        <f>IF(U42&lt;&gt;"SÍ","",((DATOS!$C$82-AL42-2*DATOS!$C$94-INDEX(TABLAS!$C$52:$C$58,MATCH(DATOS!$C$69,TABLAS!$B$52:$B$58,0))/2)-IF(AND((DATOS!$C$82-AL42-2*DATOS!$C$94-INDEX(TABLAS!$C$52:$C$58,MATCH(DATOS!$C$69,TABLAS!$B$52:$B$58,0))/2)&lt;=20,DATOS!$C$62&lt;&gt;"SÍ"),2,0)))</f>
        <v/>
      </c>
      <c r="BT42" s="58" t="str">
        <f>IF(U42&lt;&gt;"SÍ","",IF(IF(BG42&lt;=0,0,IF((1-2*BG42*1E5/(DATOS!$C$29*AE42*BS42^2*DATOS!$C$21))&lt;0,-1,IF((1-SQRT((1-2*BG42*1E5/(DATOS!$C$29*AE42*BS42^2*DATOS!$C$21))))*DATOS!$C$21*AE42*BS42/DATOS!$C$14&gt;DATOS!$C$99*AE42*BS42,-1,(1-SQRT((1-2*BG42*1E5/(DATOS!$C$29*AE42*BS42^2*DATOS!$C$21))))*DATOS!$C$21*AE42*BS42/DATOS!$C$14)))&lt;0,-1,MAX(IF(BG42&lt;=0,0,IF((1-2*BG42*1E5/(DATOS!$C$29*AE42*BS42^2*DATOS!$C$21))&lt;0,-1,IF((1-SQRT((1-2*BG42*1E5/(DATOS!$C$29*AE42*BS42^2*DATOS!$C$21))))*DATOS!$C$21*AE42*BS42/DATOS!$C$14&gt;DATOS!$C$99*AE42*BS42,-1,(1-SQRT((1-2*BG42*1E5/(DATOS!$C$29*AE42*BS42^2*DATOS!$C$21))))*DATOS!$C$21*AE42*BS42/DATOS!$C$14))),MIN(DATOS!$C$100*IF(C42="VOLADO",MIN(AG42,2*AC42),AC42)*BS42,4/3*IF(BG42&lt;=0,0,IF((1-2*BG42*1E5/(DATOS!$C$29*AE42*BS42^2*DATOS!$C$21))&lt;0,-1,IF((1-SQRT((1-2*BG42*1E5/(DATOS!$C$29*AE42*BS42^2*DATOS!$C$21))))*DATOS!$C$21*AE42*BS42/DATOS!$C$14&gt;DATOS!$C$99*AE42*BS42,-1,(1-SQRT((1-2*BG42*1E5/(DATOS!$C$29*AE42*BS42^2*DATOS!$C$21))))*DATOS!$C$21*AE42*BS42/DATOS!$C$14)))))))</f>
        <v/>
      </c>
      <c r="BU42" s="64" t="str">
        <f>IF(U42&lt;&gt;"SÍ","",IF(AND(BT42&gt;=0,IF(MAX(DATOS!$C$71,CEILING(BT42/INDEX(TABLAS!$D$52:$D$58,MIN(MATCH(DATOS!$C$69,TABLAS!$B$52:$B$58,0)+0,7)),1))*INDEX(TABLAS!$D$52:$D$58,MIN(MATCH(DATOS!$C$69,TABLAS!$B$52:$B$58,0)+0,7))&gt;=4/3*IF(BG42&lt;=0,0,IF((1-2*BG42*1E5/(DATOS!$C$29*AE42*BS42^2*DATOS!$C$21))&lt;0,-1,IF((1-SQRT((1-2*BG42*1E5/(DATOS!$C$29*AE42*BS42^2*DATOS!$C$21))))*DATOS!$C$21*AE42*BS42/DATOS!$C$14&gt;DATOS!$C$99*AE42*BS42,-1,(1-SQRT((1-2*BG42*1E5/(DATOS!$C$29*AE42*BS42^2*DATOS!$C$21))))*DATOS!$C$21*AE42*BS42/DATOS!$C$14)))-0.0001,MAX(DATOS!$C$71,CEILING(BT42/INDEX(TABLAS!$D$52:$D$58,MIN(MATCH(DATOS!$C$69,TABLAS!$B$52:$B$58,0)+0,7)),1)),MAX(MAX(DATOS!$C$71,CEILING(BT42/INDEX(TABLAS!$D$52:$D$58,MIN(MATCH(DATOS!$C$69,TABLAS!$B$52:$B$58,0)+0,7)),1)),2))&lt;=MIN(DATOS!$C$70,INT(((AC42-2*AK42)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42&gt;=0,IF(MAX(DATOS!$C$71,CEILING(BT42/INDEX(TABLAS!$D$52:$D$58,MIN(MATCH(DATOS!$C$69,TABLAS!$B$52:$B$58,0)+1,7)),1))*INDEX(TABLAS!$D$52:$D$58,MIN(MATCH(DATOS!$C$69,TABLAS!$B$52:$B$58,0)+1,7))&gt;=4/3*IF(BG42&lt;=0,0,IF((1-2*BG42*1E5/(DATOS!$C$29*AE42*BS42^2*DATOS!$C$21))&lt;0,-1,IF((1-SQRT((1-2*BG42*1E5/(DATOS!$C$29*AE42*BS42^2*DATOS!$C$21))))*DATOS!$C$21*AE42*BS42/DATOS!$C$14&gt;DATOS!$C$99*AE42*BS42,-1,(1-SQRT((1-2*BG42*1E5/(DATOS!$C$29*AE42*BS42^2*DATOS!$C$21))))*DATOS!$C$21*AE42*BS42/DATOS!$C$14)))-0.0001,MAX(DATOS!$C$71,CEILING(BT42/INDEX(TABLAS!$D$52:$D$58,MIN(MATCH(DATOS!$C$69,TABLAS!$B$52:$B$58,0)+1,7)),1)),MAX(MAX(DATOS!$C$71,CEILING(BT42/INDEX(TABLAS!$D$52:$D$58,MIN(MATCH(DATOS!$C$69,TABLAS!$B$52:$B$58,0)+1,7)),1)),2))&lt;=MIN(DATOS!$C$70,INT(((AC42-2*AK42)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42&gt;=0,IF(MAX(DATOS!$C$71,CEILING(BT42/INDEX(TABLAS!$D$52:$D$58,MIN(MATCH(DATOS!$C$69,TABLAS!$B$52:$B$58,0)+2,7)),1))*INDEX(TABLAS!$D$52:$D$58,MIN(MATCH(DATOS!$C$69,TABLAS!$B$52:$B$58,0)+2,7))&gt;=4/3*IF(BG42&lt;=0,0,IF((1-2*BG42*1E5/(DATOS!$C$29*AE42*BS42^2*DATOS!$C$21))&lt;0,-1,IF((1-SQRT((1-2*BG42*1E5/(DATOS!$C$29*AE42*BS42^2*DATOS!$C$21))))*DATOS!$C$21*AE42*BS42/DATOS!$C$14&gt;DATOS!$C$99*AE42*BS42,-1,(1-SQRT((1-2*BG42*1E5/(DATOS!$C$29*AE42*BS42^2*DATOS!$C$21))))*DATOS!$C$21*AE42*BS42/DATOS!$C$14)))-0.0001,MAX(DATOS!$C$71,CEILING(BT42/INDEX(TABLAS!$D$52:$D$58,MIN(MATCH(DATOS!$C$69,TABLAS!$B$52:$B$58,0)+2,7)),1)),MAX(MAX(DATOS!$C$71,CEILING(BT42/INDEX(TABLAS!$D$52:$D$58,MIN(MATCH(DATOS!$C$69,TABLAS!$B$52:$B$58,0)+2,7)),1)),2))&lt;=MIN(DATOS!$C$70,INT(((AC42-2*AK42)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42&gt;=0,IF(MAX(DATOS!$C$71,CEILING(BT42/INDEX(TABLAS!$D$52:$D$58,MIN(MATCH(DATOS!$C$69,TABLAS!$B$52:$B$58,0)+3,7)),1))*INDEX(TABLAS!$D$52:$D$58,MIN(MATCH(DATOS!$C$69,TABLAS!$B$52:$B$58,0)+3,7))&gt;=4/3*IF(BG42&lt;=0,0,IF((1-2*BG42*1E5/(DATOS!$C$29*AE42*BS42^2*DATOS!$C$21))&lt;0,-1,IF((1-SQRT((1-2*BG42*1E5/(DATOS!$C$29*AE42*BS42^2*DATOS!$C$21))))*DATOS!$C$21*AE42*BS42/DATOS!$C$14&gt;DATOS!$C$99*AE42*BS42,-1,(1-SQRT((1-2*BG42*1E5/(DATOS!$C$29*AE42*BS42^2*DATOS!$C$21))))*DATOS!$C$21*AE42*BS42/DATOS!$C$14)))-0.0001,MAX(DATOS!$C$71,CEILING(BT42/INDEX(TABLAS!$D$52:$D$58,MIN(MATCH(DATOS!$C$69,TABLAS!$B$52:$B$58,0)+3,7)),1)),MAX(MAX(DATOS!$C$71,CEILING(BT42/INDEX(TABLAS!$D$52:$D$58,MIN(MATCH(DATOS!$C$69,TABLAS!$B$52:$B$58,0)+3,7)),1)),2))&lt;=MIN(DATOS!$C$70,INT(((AC42-2*AK42)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42&gt;=0,IF(MAX(DATOS!$C$71,CEILING(BT42/INDEX(TABLAS!$D$52:$D$58,MIN(MATCH(DATOS!$C$69,TABLAS!$B$52:$B$58,0)+4,7)),1))*INDEX(TABLAS!$D$52:$D$58,MIN(MATCH(DATOS!$C$69,TABLAS!$B$52:$B$58,0)+4,7))&gt;=4/3*IF(BG42&lt;=0,0,IF((1-2*BG42*1E5/(DATOS!$C$29*AE42*BS42^2*DATOS!$C$21))&lt;0,-1,IF((1-SQRT((1-2*BG42*1E5/(DATOS!$C$29*AE42*BS42^2*DATOS!$C$21))))*DATOS!$C$21*AE42*BS42/DATOS!$C$14&gt;DATOS!$C$99*AE42*BS42,-1,(1-SQRT((1-2*BG42*1E5/(DATOS!$C$29*AE42*BS42^2*DATOS!$C$21))))*DATOS!$C$21*AE42*BS42/DATOS!$C$14)))-0.0001,MAX(DATOS!$C$71,CEILING(BT42/INDEX(TABLAS!$D$52:$D$58,MIN(MATCH(DATOS!$C$69,TABLAS!$B$52:$B$58,0)+4,7)),1)),MAX(MAX(DATOS!$C$71,CEILING(BT42/INDEX(TABLAS!$D$52:$D$58,MIN(MATCH(DATOS!$C$69,TABLAS!$B$52:$B$58,0)+4,7)),1)),2))&lt;=MIN(DATOS!$C$70,INT(((AC42-2*AK42)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42" s="59" t="str">
        <f>IF(U42&lt;&gt;"SÍ","",IF(BT42&lt;0,0,IF(MAX(DATOS!$C$71,CEILING(MAX(BT42,0)/INDEX(TABLAS!$D$52:$D$58,MATCH(BU42,TABLAS!$B$52:$B$58,0)),1))*INDEX(TABLAS!$D$52:$D$58,MATCH(BU42,TABLAS!$B$52:$B$58,0))&gt;=4/3*IF(BG42&lt;=0,0,IF((1-2*BG42*1E5/(DATOS!$C$29*AE42*BS42^2*DATOS!$C$21))&lt;0,-1,IF((1-SQRT((1-2*BG42*1E5/(DATOS!$C$29*AE42*BS42^2*DATOS!$C$21))))*DATOS!$C$21*AE42*BS42/DATOS!$C$14&gt;DATOS!$C$99*AE42*BS42,-1,(1-SQRT((1-2*BG42*1E5/(DATOS!$C$29*AE42*BS42^2*DATOS!$C$21))))*DATOS!$C$21*AE42*BS42/DATOS!$C$14)))-0.0001,MAX(DATOS!$C$71,CEILING(MAX(BT42,0)/INDEX(TABLAS!$D$52:$D$58,MATCH(BU42,TABLAS!$B$52:$B$58,0)),1)),MAX(MAX(DATOS!$C$71,CEILING(MAX(BT42,0)/INDEX(TABLAS!$D$52:$D$58,MATCH(BU42,TABLAS!$B$52:$B$58,0)),1)),2))))</f>
        <v/>
      </c>
      <c r="BW42" s="58" t="str">
        <f>IF(U42&lt;&gt;"SÍ","",((DATOS!$C$82-AL42-2*DATOS!$C$94-INDEX(TABLAS!$C$52:$C$58,MATCH(BU42,TABLAS!$B$52:$B$58,0))/2)-IF(AND((DATOS!$C$82-AL42-2*DATOS!$C$94-INDEX(TABLAS!$C$52:$C$58,MATCH(BU42,TABLAS!$B$52:$B$58,0))/2)&lt;=20,DATOS!$C$62&lt;&gt;"SÍ"),2,0)))</f>
        <v/>
      </c>
      <c r="BX42" s="56" t="str">
        <f>IF(U42&lt;&gt;"SÍ","",IF(BV42=0,0,DATOS!$C$29*BV42*INDEX(TABLAS!$D$52:$D$58,MATCH(BU42,TABLAS!$B$52:$B$58,0))*DATOS!$C$14*(BW42-BV42*INDEX(TABLAS!$D$52:$D$58,MATCH(BU42,TABLAS!$B$52:$B$58,0))*DATOS!$C$14/(DATOS!$C$21*AE42)/2)/1E5))</f>
        <v/>
      </c>
      <c r="BY42" s="65" t="str">
        <f>IF(U42&lt;&gt;"SÍ","",IF(BT42&lt;0,9.99,IF(BX42&gt;0,BG42/BX42,0)))</f>
        <v/>
      </c>
      <c r="BZ42" s="66" t="str">
        <f>IF(U42&lt;&gt;"SÍ","",IF(BV42=0,"—",0.003*(BW42-(BV42*INDEX(TABLAS!$D$52:$D$58,MATCH(BU42,TABLAS!$B$52:$B$58,0))*DATOS!$C$14/(DATOS!$C$21*AE42)/DATOS!$C$22))/(BV42*INDEX(TABLAS!$D$52:$D$58,MATCH(BU42,TABLAS!$B$52:$B$58,0))*DATOS!$C$14/(DATOS!$C$21*AE42)/DATOS!$C$22)))</f>
        <v/>
      </c>
      <c r="CA42" s="58" t="str">
        <f>IF(U42&lt;&gt;"SÍ","",(DATOS!$C$82-AJ42-INDEX(TABLAS!$C$52:$C$58,MATCH(DATOS!$C$68,TABLAS!$B$52:$B$58,0))-INDEX(TABLAS!$C$52:$C$58,MATCH(DATOS!$C$68,TABLAS!$B$52:$B$58,0))/2))</f>
        <v/>
      </c>
      <c r="CB42" s="58" t="str">
        <f>IF(U42&lt;&gt;"SÍ","",IF(IF(BH42&lt;=0,0,IF((1-2*BH42*1E5/(DATOS!$C$29*AH42*CA42^2*DATOS!$C$21))&lt;0,-1,IF((1-SQRT((1-2*BH42*1E5/(DATOS!$C$29*AH42*CA42^2*DATOS!$C$21))))*DATOS!$C$21*AH42*CA42/DATOS!$C$14&gt;DATOS!$C$99*AH42*CA42,-1,(1-SQRT((1-2*BH42*1E5/(DATOS!$C$29*AH42*CA42^2*DATOS!$C$21))))*DATOS!$C$21*AH42*CA42/DATOS!$C$14)))&lt;0,-1,MAX(IF(BH42&lt;=0,0,IF((1-2*BH42*1E5/(DATOS!$C$29*AH42*CA42^2*DATOS!$C$21))&lt;0,-1,IF((1-SQRT((1-2*BH42*1E5/(DATOS!$C$29*AH42*CA42^2*DATOS!$C$21))))*DATOS!$C$21*AH42*CA42/DATOS!$C$14&gt;DATOS!$C$99*AH42*CA42,-1,(1-SQRT((1-2*BH42*1E5/(DATOS!$C$29*AH42*CA42^2*DATOS!$C$21))))*DATOS!$C$21*AH42*CA42/DATOS!$C$14))),MIN(DATOS!$C$100*DATOS!$C$80*CA42,4/3*IF(BH42&lt;=0,0,IF((1-2*BH42*1E5/(DATOS!$C$29*AH42*CA42^2*DATOS!$C$21))&lt;0,-1,IF((1-SQRT((1-2*BH42*1E5/(DATOS!$C$29*AH42*CA42^2*DATOS!$C$21))))*DATOS!$C$21*AH42*CA42/DATOS!$C$14&gt;DATOS!$C$99*AH42*CA42,-1,(1-SQRT((1-2*BH42*1E5/(DATOS!$C$29*AH42*CA42^2*DATOS!$C$21))))*DATOS!$C$21*AH42*CA42/DATOS!$C$14)))))))</f>
        <v/>
      </c>
      <c r="CC42" s="64" t="str">
        <f>IF(U42&lt;&gt;"SÍ","",IF(AND(CB42&gt;=0,IF(MAX(DATOS!$C$71,CEILING(CB42/INDEX(TABLAS!$D$52:$D$58,MIN(MATCH(DATOS!$C$68,TABLAS!$B$52:$B$58,0)+0,7)),1))*INDEX(TABLAS!$D$52:$D$58,MIN(MATCH(DATOS!$C$68,TABLAS!$B$52:$B$58,0)+0,7))&gt;=4/3*IF(BH42&lt;=0,0,IF((1-2*BH42*1E5/(DATOS!$C$29*AH42*CA42^2*DATOS!$C$21))&lt;0,-1,IF((1-SQRT((1-2*BH42*1E5/(DATOS!$C$29*AH42*CA42^2*DATOS!$C$21))))*DATOS!$C$21*AH42*CA42/DATOS!$C$14&gt;DATOS!$C$99*AH42*CA42,-1,(1-SQRT((1-2*BH42*1E5/(DATOS!$C$29*AH42*CA42^2*DATOS!$C$21))))*DATOS!$C$21*AH42*CA42/DATOS!$C$14)))-0.0001,MAX(DATOS!$C$71,CEILING(CB42/INDEX(TABLAS!$D$52:$D$58,MIN(MATCH(DATOS!$C$68,TABLAS!$B$52:$B$58,0)+0,7)),1)),MAX(MAX(DATOS!$C$71,CEILING(CB42/INDEX(TABLAS!$D$52:$D$58,MIN(MATCH(DATOS!$C$68,TABLAS!$B$52:$B$58,0)+0,7)),1)),2))&lt;=MIN(DATOS!$C$70,INT(((DATOS!$C$80-2*AJ42)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42&gt;=0,IF(MAX(DATOS!$C$71,CEILING(CB42/INDEX(TABLAS!$D$52:$D$58,MIN(MATCH(DATOS!$C$68,TABLAS!$B$52:$B$58,0)+1,7)),1))*INDEX(TABLAS!$D$52:$D$58,MIN(MATCH(DATOS!$C$68,TABLAS!$B$52:$B$58,0)+1,7))&gt;=4/3*IF(BH42&lt;=0,0,IF((1-2*BH42*1E5/(DATOS!$C$29*AH42*CA42^2*DATOS!$C$21))&lt;0,-1,IF((1-SQRT((1-2*BH42*1E5/(DATOS!$C$29*AH42*CA42^2*DATOS!$C$21))))*DATOS!$C$21*AH42*CA42/DATOS!$C$14&gt;DATOS!$C$99*AH42*CA42,-1,(1-SQRT((1-2*BH42*1E5/(DATOS!$C$29*AH42*CA42^2*DATOS!$C$21))))*DATOS!$C$21*AH42*CA42/DATOS!$C$14)))-0.0001,MAX(DATOS!$C$71,CEILING(CB42/INDEX(TABLAS!$D$52:$D$58,MIN(MATCH(DATOS!$C$68,TABLAS!$B$52:$B$58,0)+1,7)),1)),MAX(MAX(DATOS!$C$71,CEILING(CB42/INDEX(TABLAS!$D$52:$D$58,MIN(MATCH(DATOS!$C$68,TABLAS!$B$52:$B$58,0)+1,7)),1)),2))&lt;=MIN(DATOS!$C$70,INT(((DATOS!$C$80-2*AJ42)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42&gt;=0,IF(MAX(DATOS!$C$71,CEILING(CB42/INDEX(TABLAS!$D$52:$D$58,MIN(MATCH(DATOS!$C$68,TABLAS!$B$52:$B$58,0)+2,7)),1))*INDEX(TABLAS!$D$52:$D$58,MIN(MATCH(DATOS!$C$68,TABLAS!$B$52:$B$58,0)+2,7))&gt;=4/3*IF(BH42&lt;=0,0,IF((1-2*BH42*1E5/(DATOS!$C$29*AH42*CA42^2*DATOS!$C$21))&lt;0,-1,IF((1-SQRT((1-2*BH42*1E5/(DATOS!$C$29*AH42*CA42^2*DATOS!$C$21))))*DATOS!$C$21*AH42*CA42/DATOS!$C$14&gt;DATOS!$C$99*AH42*CA42,-1,(1-SQRT((1-2*BH42*1E5/(DATOS!$C$29*AH42*CA42^2*DATOS!$C$21))))*DATOS!$C$21*AH42*CA42/DATOS!$C$14)))-0.0001,MAX(DATOS!$C$71,CEILING(CB42/INDEX(TABLAS!$D$52:$D$58,MIN(MATCH(DATOS!$C$68,TABLAS!$B$52:$B$58,0)+2,7)),1)),MAX(MAX(DATOS!$C$71,CEILING(CB42/INDEX(TABLAS!$D$52:$D$58,MIN(MATCH(DATOS!$C$68,TABLAS!$B$52:$B$58,0)+2,7)),1)),2))&lt;=MIN(DATOS!$C$70,INT(((DATOS!$C$80-2*AJ42)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42&gt;=0,IF(MAX(DATOS!$C$71,CEILING(CB42/INDEX(TABLAS!$D$52:$D$58,MIN(MATCH(DATOS!$C$68,TABLAS!$B$52:$B$58,0)+3,7)),1))*INDEX(TABLAS!$D$52:$D$58,MIN(MATCH(DATOS!$C$68,TABLAS!$B$52:$B$58,0)+3,7))&gt;=4/3*IF(BH42&lt;=0,0,IF((1-2*BH42*1E5/(DATOS!$C$29*AH42*CA42^2*DATOS!$C$21))&lt;0,-1,IF((1-SQRT((1-2*BH42*1E5/(DATOS!$C$29*AH42*CA42^2*DATOS!$C$21))))*DATOS!$C$21*AH42*CA42/DATOS!$C$14&gt;DATOS!$C$99*AH42*CA42,-1,(1-SQRT((1-2*BH42*1E5/(DATOS!$C$29*AH42*CA42^2*DATOS!$C$21))))*DATOS!$C$21*AH42*CA42/DATOS!$C$14)))-0.0001,MAX(DATOS!$C$71,CEILING(CB42/INDEX(TABLAS!$D$52:$D$58,MIN(MATCH(DATOS!$C$68,TABLAS!$B$52:$B$58,0)+3,7)),1)),MAX(MAX(DATOS!$C$71,CEILING(CB42/INDEX(TABLAS!$D$52:$D$58,MIN(MATCH(DATOS!$C$68,TABLAS!$B$52:$B$58,0)+3,7)),1)),2))&lt;=MIN(DATOS!$C$70,INT(((DATOS!$C$80-2*AJ42)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42&gt;=0,IF(MAX(DATOS!$C$71,CEILING(CB42/INDEX(TABLAS!$D$52:$D$58,MIN(MATCH(DATOS!$C$68,TABLAS!$B$52:$B$58,0)+4,7)),1))*INDEX(TABLAS!$D$52:$D$58,MIN(MATCH(DATOS!$C$68,TABLAS!$B$52:$B$58,0)+4,7))&gt;=4/3*IF(BH42&lt;=0,0,IF((1-2*BH42*1E5/(DATOS!$C$29*AH42*CA42^2*DATOS!$C$21))&lt;0,-1,IF((1-SQRT((1-2*BH42*1E5/(DATOS!$C$29*AH42*CA42^2*DATOS!$C$21))))*DATOS!$C$21*AH42*CA42/DATOS!$C$14&gt;DATOS!$C$99*AH42*CA42,-1,(1-SQRT((1-2*BH42*1E5/(DATOS!$C$29*AH42*CA42^2*DATOS!$C$21))))*DATOS!$C$21*AH42*CA42/DATOS!$C$14)))-0.0001,MAX(DATOS!$C$71,CEILING(CB42/INDEX(TABLAS!$D$52:$D$58,MIN(MATCH(DATOS!$C$68,TABLAS!$B$52:$B$58,0)+4,7)),1)),MAX(MAX(DATOS!$C$71,CEILING(CB42/INDEX(TABLAS!$D$52:$D$58,MIN(MATCH(DATOS!$C$68,TABLAS!$B$52:$B$58,0)+4,7)),1)),2))&lt;=MIN(DATOS!$C$70,INT(((DATOS!$C$80-2*AJ42)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42" s="59" t="str">
        <f>IF(U42&lt;&gt;"SÍ","",IF(CB42&lt;0,0,IF(MAX(DATOS!$C$71,CEILING(MAX(CB42,0)/INDEX(TABLAS!$D$52:$D$58,MATCH(CC42,TABLAS!$B$52:$B$58,0)),1))*INDEX(TABLAS!$D$52:$D$58,MATCH(CC42,TABLAS!$B$52:$B$58,0))&gt;=4/3*IF(BH42&lt;=0,0,IF((1-2*BH42*1E5/(DATOS!$C$29*AH42*CA42^2*DATOS!$C$21))&lt;0,-1,IF((1-SQRT((1-2*BH42*1E5/(DATOS!$C$29*AH42*CA42^2*DATOS!$C$21))))*DATOS!$C$21*AH42*CA42/DATOS!$C$14&gt;DATOS!$C$99*AH42*CA42,-1,(1-SQRT((1-2*BH42*1E5/(DATOS!$C$29*AH42*CA42^2*DATOS!$C$21))))*DATOS!$C$21*AH42*CA42/DATOS!$C$14)))-0.0001,MAX(DATOS!$C$71,CEILING(MAX(CB42,0)/INDEX(TABLAS!$D$52:$D$58,MATCH(CC42,TABLAS!$B$52:$B$58,0)),1)),MAX(MAX(DATOS!$C$71,CEILING(MAX(CB42,0)/INDEX(TABLAS!$D$52:$D$58,MATCH(CC42,TABLAS!$B$52:$B$58,0)),1)),2))))</f>
        <v/>
      </c>
      <c r="CE42" s="58" t="str">
        <f>IF(U42&lt;&gt;"SÍ","",DATOS!$C$82-AJ42-INDEX(TABLAS!$C$52:$C$58,MATCH(BM42,TABLAS!$B$52:$B$58,0))-INDEX(TABLAS!$C$52:$C$58,MATCH(CC42,TABLAS!$B$52:$B$58,0))/2)</f>
        <v/>
      </c>
      <c r="CF42" s="56" t="str">
        <f>IF(U42&lt;&gt;"SÍ","",IF(CD42=0,0,DATOS!$C$29*CD42*INDEX(TABLAS!$D$52:$D$58,MATCH(CC42,TABLAS!$B$52:$B$58,0))*DATOS!$C$14*(CE42-CD42*INDEX(TABLAS!$D$52:$D$58,MATCH(CC42,TABLAS!$B$52:$B$58,0))*DATOS!$C$14/(DATOS!$C$21*AH42)/2)/1E5))</f>
        <v/>
      </c>
      <c r="CG42" s="65" t="str">
        <f>IF(U42&lt;&gt;"SÍ","",IF(CB42&lt;0,9.99,IF(CF42&gt;0,BH42/CF42,0)))</f>
        <v/>
      </c>
      <c r="CH42" s="66" t="str">
        <f>IF(U42&lt;&gt;"SÍ","",IF(CD42=0,"—",0.003*(CE42-(CD42*INDEX(TABLAS!$D$52:$D$58,MATCH(CC42,TABLAS!$B$52:$B$58,0))*DATOS!$C$14/(DATOS!$C$21*AH42)/DATOS!$C$22))/(CD42*INDEX(TABLAS!$D$52:$D$58,MATCH(CC42,TABLAS!$B$52:$B$58,0))*DATOS!$C$14/(DATOS!$C$21*AH42)/DATOS!$C$22)))</f>
        <v/>
      </c>
      <c r="CI42" s="58" t="str">
        <f>IF(U42&lt;&gt;"SÍ","",((DATOS!$C$82-AL42-2*DATOS!$C$94-INDEX(TABLAS!$C$52:$C$58,MATCH(DATOS!$C$69,TABLAS!$B$52:$B$58,0))-INDEX(TABLAS!$C$52:$C$58,MATCH(DATOS!$C$69,TABLAS!$B$52:$B$58,0))/2)-IF(AND((DATOS!$C$82-AL42-2*DATOS!$C$94-INDEX(TABLAS!$C$52:$C$58,MATCH(DATOS!$C$69,TABLAS!$B$52:$B$58,0))-INDEX(TABLAS!$C$52:$C$58,MATCH(DATOS!$C$69,TABLAS!$B$52:$B$58,0))/2)&lt;=20,DATOS!$C$62&lt;&gt;"SÍ"),2,0)))</f>
        <v/>
      </c>
      <c r="CJ42" s="58" t="str">
        <f>IF(U42&lt;&gt;"SÍ","",IF(IF(BI42&lt;=0,0,IF((1-2*BI42*1E5/(DATOS!$C$29*AF42*CI42^2*DATOS!$C$21))&lt;0,-1,IF((1-SQRT((1-2*BI42*1E5/(DATOS!$C$29*AF42*CI42^2*DATOS!$C$21))))*DATOS!$C$21*AF42*CI42/DATOS!$C$14&gt;DATOS!$C$99*AF42*CI42,-1,(1-SQRT((1-2*BI42*1E5/(DATOS!$C$29*AF42*CI42^2*DATOS!$C$21))))*DATOS!$C$21*AF42*CI42/DATOS!$C$14)))&lt;0,-1,MAX(IF(BI42&lt;=0,0,IF((1-2*BI42*1E5/(DATOS!$C$29*AF42*CI42^2*DATOS!$C$21))&lt;0,-1,IF((1-SQRT((1-2*BI42*1E5/(DATOS!$C$29*AF42*CI42^2*DATOS!$C$21))))*DATOS!$C$21*AF42*CI42/DATOS!$C$14&gt;DATOS!$C$99*AF42*CI42,-1,(1-SQRT((1-2*BI42*1E5/(DATOS!$C$29*AF42*CI42^2*DATOS!$C$21))))*DATOS!$C$21*AF42*CI42/DATOS!$C$14))),MIN(DATOS!$C$100*DATOS!$C$80*CI42,4/3*IF(BI42&lt;=0,0,IF((1-2*BI42*1E5/(DATOS!$C$29*AF42*CI42^2*DATOS!$C$21))&lt;0,-1,IF((1-SQRT((1-2*BI42*1E5/(DATOS!$C$29*AF42*CI42^2*DATOS!$C$21))))*DATOS!$C$21*AF42*CI42/DATOS!$C$14&gt;DATOS!$C$99*AF42*CI42,-1,(1-SQRT((1-2*BI42*1E5/(DATOS!$C$29*AF42*CI42^2*DATOS!$C$21))))*DATOS!$C$21*AF42*CI42/DATOS!$C$14)))))))</f>
        <v/>
      </c>
      <c r="CK42" s="64" t="str">
        <f>IF(U42&lt;&gt;"SÍ","",IF(AND(CJ42&gt;=0,IF(MAX(DATOS!$C$71,CEILING(CJ42/INDEX(TABLAS!$D$52:$D$58,MIN(MATCH(DATOS!$C$69,TABLAS!$B$52:$B$58,0)+0,7)),1))*INDEX(TABLAS!$D$52:$D$58,MIN(MATCH(DATOS!$C$69,TABLAS!$B$52:$B$58,0)+0,7))&gt;=4/3*IF(BI42&lt;=0,0,IF((1-2*BI42*1E5/(DATOS!$C$29*AF42*CI42^2*DATOS!$C$21))&lt;0,-1,IF((1-SQRT((1-2*BI42*1E5/(DATOS!$C$29*AF42*CI42^2*DATOS!$C$21))))*DATOS!$C$21*AF42*CI42/DATOS!$C$14&gt;DATOS!$C$99*AF42*CI42,-1,(1-SQRT((1-2*BI42*1E5/(DATOS!$C$29*AF42*CI42^2*DATOS!$C$21))))*DATOS!$C$21*AF42*CI42/DATOS!$C$14)))-0.0001,MAX(DATOS!$C$71,CEILING(CJ42/INDEX(TABLAS!$D$52:$D$58,MIN(MATCH(DATOS!$C$69,TABLAS!$B$52:$B$58,0)+0,7)),1)),MAX(MAX(DATOS!$C$71,CEILING(CJ42/INDEX(TABLAS!$D$52:$D$58,MIN(MATCH(DATOS!$C$69,TABLAS!$B$52:$B$58,0)+0,7)),1)),2))&lt;=MIN(DATOS!$C$70,INT(((DATOS!$C$80-2*AK42)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42&gt;=0,IF(MAX(DATOS!$C$71,CEILING(CJ42/INDEX(TABLAS!$D$52:$D$58,MIN(MATCH(DATOS!$C$69,TABLAS!$B$52:$B$58,0)+1,7)),1))*INDEX(TABLAS!$D$52:$D$58,MIN(MATCH(DATOS!$C$69,TABLAS!$B$52:$B$58,0)+1,7))&gt;=4/3*IF(BI42&lt;=0,0,IF((1-2*BI42*1E5/(DATOS!$C$29*AF42*CI42^2*DATOS!$C$21))&lt;0,-1,IF((1-SQRT((1-2*BI42*1E5/(DATOS!$C$29*AF42*CI42^2*DATOS!$C$21))))*DATOS!$C$21*AF42*CI42/DATOS!$C$14&gt;DATOS!$C$99*AF42*CI42,-1,(1-SQRT((1-2*BI42*1E5/(DATOS!$C$29*AF42*CI42^2*DATOS!$C$21))))*DATOS!$C$21*AF42*CI42/DATOS!$C$14)))-0.0001,MAX(DATOS!$C$71,CEILING(CJ42/INDEX(TABLAS!$D$52:$D$58,MIN(MATCH(DATOS!$C$69,TABLAS!$B$52:$B$58,0)+1,7)),1)),MAX(MAX(DATOS!$C$71,CEILING(CJ42/INDEX(TABLAS!$D$52:$D$58,MIN(MATCH(DATOS!$C$69,TABLAS!$B$52:$B$58,0)+1,7)),1)),2))&lt;=MIN(DATOS!$C$70,INT(((DATOS!$C$80-2*AK42)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42&gt;=0,IF(MAX(DATOS!$C$71,CEILING(CJ42/INDEX(TABLAS!$D$52:$D$58,MIN(MATCH(DATOS!$C$69,TABLAS!$B$52:$B$58,0)+2,7)),1))*INDEX(TABLAS!$D$52:$D$58,MIN(MATCH(DATOS!$C$69,TABLAS!$B$52:$B$58,0)+2,7))&gt;=4/3*IF(BI42&lt;=0,0,IF((1-2*BI42*1E5/(DATOS!$C$29*AF42*CI42^2*DATOS!$C$21))&lt;0,-1,IF((1-SQRT((1-2*BI42*1E5/(DATOS!$C$29*AF42*CI42^2*DATOS!$C$21))))*DATOS!$C$21*AF42*CI42/DATOS!$C$14&gt;DATOS!$C$99*AF42*CI42,-1,(1-SQRT((1-2*BI42*1E5/(DATOS!$C$29*AF42*CI42^2*DATOS!$C$21))))*DATOS!$C$21*AF42*CI42/DATOS!$C$14)))-0.0001,MAX(DATOS!$C$71,CEILING(CJ42/INDEX(TABLAS!$D$52:$D$58,MIN(MATCH(DATOS!$C$69,TABLAS!$B$52:$B$58,0)+2,7)),1)),MAX(MAX(DATOS!$C$71,CEILING(CJ42/INDEX(TABLAS!$D$52:$D$58,MIN(MATCH(DATOS!$C$69,TABLAS!$B$52:$B$58,0)+2,7)),1)),2))&lt;=MIN(DATOS!$C$70,INT(((DATOS!$C$80-2*AK42)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42&gt;=0,IF(MAX(DATOS!$C$71,CEILING(CJ42/INDEX(TABLAS!$D$52:$D$58,MIN(MATCH(DATOS!$C$69,TABLAS!$B$52:$B$58,0)+3,7)),1))*INDEX(TABLAS!$D$52:$D$58,MIN(MATCH(DATOS!$C$69,TABLAS!$B$52:$B$58,0)+3,7))&gt;=4/3*IF(BI42&lt;=0,0,IF((1-2*BI42*1E5/(DATOS!$C$29*AF42*CI42^2*DATOS!$C$21))&lt;0,-1,IF((1-SQRT((1-2*BI42*1E5/(DATOS!$C$29*AF42*CI42^2*DATOS!$C$21))))*DATOS!$C$21*AF42*CI42/DATOS!$C$14&gt;DATOS!$C$99*AF42*CI42,-1,(1-SQRT((1-2*BI42*1E5/(DATOS!$C$29*AF42*CI42^2*DATOS!$C$21))))*DATOS!$C$21*AF42*CI42/DATOS!$C$14)))-0.0001,MAX(DATOS!$C$71,CEILING(CJ42/INDEX(TABLAS!$D$52:$D$58,MIN(MATCH(DATOS!$C$69,TABLAS!$B$52:$B$58,0)+3,7)),1)),MAX(MAX(DATOS!$C$71,CEILING(CJ42/INDEX(TABLAS!$D$52:$D$58,MIN(MATCH(DATOS!$C$69,TABLAS!$B$52:$B$58,0)+3,7)),1)),2))&lt;=MIN(DATOS!$C$70,INT(((DATOS!$C$80-2*AK42)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42&gt;=0,IF(MAX(DATOS!$C$71,CEILING(CJ42/INDEX(TABLAS!$D$52:$D$58,MIN(MATCH(DATOS!$C$69,TABLAS!$B$52:$B$58,0)+4,7)),1))*INDEX(TABLAS!$D$52:$D$58,MIN(MATCH(DATOS!$C$69,TABLAS!$B$52:$B$58,0)+4,7))&gt;=4/3*IF(BI42&lt;=0,0,IF((1-2*BI42*1E5/(DATOS!$C$29*AF42*CI42^2*DATOS!$C$21))&lt;0,-1,IF((1-SQRT((1-2*BI42*1E5/(DATOS!$C$29*AF42*CI42^2*DATOS!$C$21))))*DATOS!$C$21*AF42*CI42/DATOS!$C$14&gt;DATOS!$C$99*AF42*CI42,-1,(1-SQRT((1-2*BI42*1E5/(DATOS!$C$29*AF42*CI42^2*DATOS!$C$21))))*DATOS!$C$21*AF42*CI42/DATOS!$C$14)))-0.0001,MAX(DATOS!$C$71,CEILING(CJ42/INDEX(TABLAS!$D$52:$D$58,MIN(MATCH(DATOS!$C$69,TABLAS!$B$52:$B$58,0)+4,7)),1)),MAX(MAX(DATOS!$C$71,CEILING(CJ42/INDEX(TABLAS!$D$52:$D$58,MIN(MATCH(DATOS!$C$69,TABLAS!$B$52:$B$58,0)+4,7)),1)),2))&lt;=MIN(DATOS!$C$70,INT(((DATOS!$C$80-2*AK42)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42" s="59" t="str">
        <f>IF(U42&lt;&gt;"SÍ","",IF(CJ42&lt;0,0,IF(MAX(DATOS!$C$71,CEILING(MAX(CJ42,0)/INDEX(TABLAS!$D$52:$D$58,MATCH(CK42,TABLAS!$B$52:$B$58,0)),1))*INDEX(TABLAS!$D$52:$D$58,MATCH(CK42,TABLAS!$B$52:$B$58,0))&gt;=4/3*IF(BI42&lt;=0,0,IF((1-2*BI42*1E5/(DATOS!$C$29*AF42*CI42^2*DATOS!$C$21))&lt;0,-1,IF((1-SQRT((1-2*BI42*1E5/(DATOS!$C$29*AF42*CI42^2*DATOS!$C$21))))*DATOS!$C$21*AF42*CI42/DATOS!$C$14&gt;DATOS!$C$99*AF42*CI42,-1,(1-SQRT((1-2*BI42*1E5/(DATOS!$C$29*AF42*CI42^2*DATOS!$C$21))))*DATOS!$C$21*AF42*CI42/DATOS!$C$14)))-0.0001,MAX(DATOS!$C$71,CEILING(MAX(CJ42,0)/INDEX(TABLAS!$D$52:$D$58,MATCH(CK42,TABLAS!$B$52:$B$58,0)),1)),MAX(MAX(DATOS!$C$71,CEILING(MAX(CJ42,0)/INDEX(TABLAS!$D$52:$D$58,MATCH(CK42,TABLAS!$B$52:$B$58,0)),1)),2))))</f>
        <v/>
      </c>
      <c r="CM42" s="58" t="str">
        <f>IF(U42&lt;&gt;"SÍ","",((DATOS!$C$82-AL42-2*DATOS!$C$94-INDEX(TABLAS!$C$52:$C$58,MATCH(BU42,TABLAS!$B$52:$B$58,0))-INDEX(TABLAS!$C$52:$C$58,MATCH(CK42,TABLAS!$B$52:$B$58,0))/2)-IF(AND((DATOS!$C$82-AL42-2*DATOS!$C$94-INDEX(TABLAS!$C$52:$C$58,MATCH(BU42,TABLAS!$B$52:$B$58,0))-INDEX(TABLAS!$C$52:$C$58,MATCH(CK42,TABLAS!$B$52:$B$58,0))/2)&lt;=20,DATOS!$C$62&lt;&gt;"SÍ"),2,0)))</f>
        <v/>
      </c>
      <c r="CN42" s="56" t="str">
        <f>IF(U42&lt;&gt;"SÍ","",IF(CL42=0,0,DATOS!$C$29*CL42*INDEX(TABLAS!$D$52:$D$58,MATCH(CK42,TABLAS!$B$52:$B$58,0))*DATOS!$C$14*(CM42-CL42*INDEX(TABLAS!$D$52:$D$58,MATCH(CK42,TABLAS!$B$52:$B$58,0))*DATOS!$C$14/(DATOS!$C$21*AF42)/2)/1E5))</f>
        <v/>
      </c>
      <c r="CO42" s="65" t="str">
        <f>IF(U42&lt;&gt;"SÍ","",IF(CJ42&lt;0,9.99,IF(CN42&gt;0,BI42/CN42,0)))</f>
        <v/>
      </c>
      <c r="CP42" s="66" t="str">
        <f>IF(U42&lt;&gt;"SÍ","",IF(CL42=0,"—",0.003*(CM42-(CL42*INDEX(TABLAS!$D$52:$D$58,MATCH(CK42,TABLAS!$B$52:$B$58,0))*DATOS!$C$14/(DATOS!$C$21*AF42)/DATOS!$C$22))/(CL42*INDEX(TABLAS!$D$52:$D$58,MATCH(CK42,TABLAS!$B$52:$B$58,0))*DATOS!$C$14/(DATOS!$C$21*AF42)/DATOS!$C$22)))</f>
        <v/>
      </c>
      <c r="CQ42" s="56" t="str">
        <f>IF(U42&lt;&gt;"SÍ","",IF(C42="PERIMETRAL",MAX(0,(AA42/2-BW42)/100)*(0.95-0.5*Z42)*AQ42*IF(AND(AR42&gt;0,AR42&lt;4),DATOS!$C$33,1)*DATOS!$C$83/100/1000,(AQ42*MAX(0,AA42-BW42)/100+DATOS!$C$26*N(O42))*DATOS!$C$83/100/1000+BE42))</f>
        <v/>
      </c>
      <c r="CR42" s="56" t="str">
        <f>IF(U42&lt;&gt;"SÍ","",DATOS!$C$30*2*MIN(1,SQRT(2/(1+0.04*BW42)))*(BV42*INDEX(TABLAS!$D$52:$D$58,MATCH(BU42,TABLAS!$B$52:$B$58,0))/(AE42*BW42))^(1/3)*SQRT(DATOS!$C$13)*AE42*BW42*IF(AI42="SÍ",DATOS!$C$32,1)/1000)</f>
        <v/>
      </c>
      <c r="CS42" s="59" t="str">
        <f>IF(U42&lt;&gt;"SÍ","",IF(CQ42&lt;=CR42,0,CEILING(MAX(0,IF(C42="VOLADO",(AA42-((CR42-BE42)*1E5/DATOS!$C$83-DATOS!$C$26*N(O42))*100/AQ42),IF(CR42&lt;=0,AA42,AA42/2-CR42/MAX(CQ42,1E-9)*(AA42/2-BW42)))-IF(INT((X42*100-DATOS!$C$84+DATOS!$C$80)/DATOS!$C$83)&gt;0,(X42*100-DATOS!$C$84-(INT((X42*100-DATOS!$C$84+DATOS!$C$80)/DATOS!$C$83)*DATOS!$C$78+(INT((X42*100-DATOS!$C$84+DATOS!$C$80)/DATOS!$C$83)-1)*DATOS!$C$80))/2,X42*100/2))/DATOS!$C$83,1)))</f>
        <v/>
      </c>
      <c r="CT42" s="67" t="str">
        <f>IF(U42&lt;&gt;"SÍ","",IF(CQ42&lt;=CR42,"CUMPLE",IF(CS42&lt;=0,"CUMPLE (basta el macizo de orilla)",IF(CS42*DATOS!$C$83*IF(C42="VOLADO",1,2)&gt;=X42*100-DATOS!$C$84,"NO CUMPLE: no alcanza ni macizando todo","MACIZAR "&amp;CS42&amp;" hilera(s)"))))</f>
        <v/>
      </c>
      <c r="CU42" s="58" t="str">
        <f>IF(U42&lt;&gt;"SÍ","",(DATOS!$C$83*DATOS!$C$81^2/2+AC42*DATOS!$C$79*(DATOS!$C$81+DATOS!$C$79/2))/(DATOS!$C$83*DATOS!$C$81+AC42*DATOS!$C$79))</f>
        <v/>
      </c>
      <c r="CV42" s="68" t="str">
        <f>IF(U42&lt;&gt;"SÍ","",DATOS!$C$83*DATOS!$C$81^3/12+DATOS!$C$83*DATOS!$C$81*(CU42-DATOS!$C$81/2)^2+AC42*DATOS!$C$79^3/12+AC42*DATOS!$C$79*(DATOS!$C$81+DATOS!$C$79/2-CU42)^2)</f>
        <v/>
      </c>
      <c r="CW42" s="58" t="str">
        <f>IF(U42&lt;&gt;"SÍ","",(12*CV42/DATOS!$C$83)^(1/3))</f>
        <v/>
      </c>
      <c r="CX42" s="58" t="str">
        <f>IF(U42&lt;&gt;"SÍ","",IF(C42="PERIMETRAL",IF(ISNUMBER(R42),R42,DATOS!$C$101),0))</f>
        <v/>
      </c>
      <c r="CY42" s="57" t="str">
        <f>IF(U42&lt;&gt;"SÍ","",IF(C42="PERIMETRAL",IF(CX42&gt;2,MAX(9,AB42*(0.8+DATOS!$C$14/14000)/(36+9*(AB42/MAX(AA42,1)))),IF(CX42&gt;0.2,MAX(13,AB42*(0.8+DATOS!$C$14/14000)/(36+5*(AB42/MAX(AA42,1))*(CX42-0.2))),MAX(13,AB42/IF(AR42&gt;0,30,33))))*IF(AND(CX42&gt;0.2,AR42&gt;0,DATOS!$C$102="NO"),1.1,1),X42*100/8))</f>
        <v/>
      </c>
      <c r="CZ42" s="61" t="str">
        <f>IF(U42&lt;&gt;"SÍ","",IF(IF(C42="VOLADO",DATOS!$C$82,CW42)&gt;=CY42,"CUMPLE",IF(C42="VOLADO","NO CUMPLE","CALCULAR FLECHA")))</f>
        <v/>
      </c>
      <c r="DA42" s="55" t="str">
        <f>IF(U42&lt;&gt;"SÍ","",IF(DATOS!$C$81&gt;=IF(IF(C42="VOLADO",X42,Y42)&gt;=6,6,5),"CUMPLE","CAPA ≥ 6 cm"))</f>
        <v/>
      </c>
      <c r="DB42" s="60" t="str">
        <f>IF(U42&lt;&gt;"SÍ","",IF(C42="VOLADO",MIN(CEILING(IF(ISNUMBER(P42),P42,X42)*100,5),CEILING(MAX(IF((0.5*(0.9*DATOS!$C$87*DATOS!$C$83/100/1000)*IF(ISNUMBER(P42),P42,X42)+BG42/IF(ISNUMBER(P42),P42,X42))^2-4*(0.5*(0.9*DATOS!$C$87*DATOS!$C$83/100/1000))*BG42&lt;0,IF(ISNUMBER(P42),P42,X42),MIN(IF(ISNUMBER(P42),P42,X42),((0.5*(0.9*DATOS!$C$87*DATOS!$C$83/100/1000)*IF(ISNUMBER(P42),P42,X42)+BG42/IF(ISNUMBER(P42),P42,X42))-SQRT((0.5*(0.9*DATOS!$C$87*DATOS!$C$83/100/1000)*IF(ISNUMBER(P42),P42,X42)+BG42/IF(ISNUMBER(P42),P42,X42))^2-4*(0.5*(0.9*DATOS!$C$87*DATOS!$C$83/100/1000))*BG42))/(2*(0.5*(0.9*DATOS!$C$87*DATOS!$C$83/100/1000)))))*100+MAX(BW42,12*INDEX(TABLAS!$C$52:$C$58,MATCH(BU42,TABLAS!$B$52:$B$58,0)),IF(ISNUMBER(P42),P42,X42)*100/16),IF(OR(AK42&lt;INDEX(TABLAS!$C$52:$C$58,MATCH(BU42,TABLAS!$B$52:$B$58,0)),AND(BV42&gt;=2,(AC42-2*AK42-BV42*INDEX(TABLAS!$C$52:$C$58,MATCH(BU42,TABLAS!$B$52:$B$58,0)))/MAX(BV42-1,1)&lt;2*INDEX(TABLAS!$C$52:$C$58,MATCH(BU42,TABLAS!$B$52:$B$58,0)))),INDEX(TABLAS!$I$52:$I$58,MATCH(BU42,TABLAS!$B$52:$B$58,0)),INDEX(TABLAS!$F$52:$F$58,MATCH(BU42,TABLAS!$B$52:$B$58,0)))),5)),IF(((4*((BB42*AQ42*X42^2*1E-4*DATOS!$C$83/100/1000)+((MAX(AX42,AZ42)*AQ42*X42^2*1E-4*DATOS!$C$83/100/1000)+(IF(AND(AX42&gt;0,AZ42&gt;0),MIN(AX42,AZ42),MAX(AX42,AZ42))*AQ42*X42^2*1E-4*DATOS!$C$83/100/1000))/2)+BG42-(IF(AND(AX42&gt;0,AZ42&gt;0),MIN(AX42,AZ42),MAX(AX42,AZ42))*AQ42*X42^2*1E-4*DATOS!$C$83/100/1000))^2-16*((BB42*AQ42*X42^2*1E-4*DATOS!$C$83/100/1000)+((MAX(AX42,AZ42)*AQ42*X42^2*1E-4*DATOS!$C$83/100/1000)+(IF(AND(AX42&gt;0,AZ42&gt;0),MIN(AX42,AZ42),MAX(AX42,AZ42))*AQ42*X42^2*1E-4*DATOS!$C$83/100/1000))/2)*BG42)&lt;0,CEILING(AA42,5),CEILING(MAX(AA42*((4*((BB42*AQ42*X42^2*1E-4*DATOS!$C$83/100/1000)+((MAX(AX42,AZ42)*AQ42*X42^2*1E-4*DATOS!$C$83/100/1000)+(IF(AND(AX42&gt;0,AZ42&gt;0),MIN(AX42,AZ42),MAX(AX42,AZ42))*AQ42*X42^2*1E-4*DATOS!$C$83/100/1000))/2)+BG42-(IF(AND(AX42&gt;0,AZ42&gt;0),MIN(AX42,AZ42),MAX(AX42,AZ42))*AQ42*X42^2*1E-4*DATOS!$C$83/100/1000))-SQRT(MAX(0,((4*((BB42*AQ42*X42^2*1E-4*DATOS!$C$83/100/1000)+((MAX(AX42,AZ42)*AQ42*X42^2*1E-4*DATOS!$C$83/100/1000)+(IF(AND(AX42&gt;0,AZ42&gt;0),MIN(AX42,AZ42),MAX(AX42,AZ42))*AQ42*X42^2*1E-4*DATOS!$C$83/100/1000))/2)+BG42-(IF(AND(AX42&gt;0,AZ42&gt;0),MIN(AX42,AZ42),MAX(AX42,AZ42))*AQ42*X42^2*1E-4*DATOS!$C$83/100/1000))^2-16*((BB42*AQ42*X42^2*1E-4*DATOS!$C$83/100/1000)+((MAX(AX42,AZ42)*AQ42*X42^2*1E-4*DATOS!$C$83/100/1000)+(IF(AND(AX42&gt;0,AZ42&gt;0),MIN(AX42,AZ42),MAX(AX42,AZ42))*AQ42*X42^2*1E-4*DATOS!$C$83/100/1000))/2)*BG42))))/(8*MAX(((BB42*AQ42*X42^2*1E-4*DATOS!$C$83/100/1000)+((MAX(AX42,AZ42)*AQ42*X42^2*1E-4*DATOS!$C$83/100/1000)+(IF(AND(AX42&gt;0,AZ42&gt;0),MIN(AX42,AZ42),MAX(AX42,AZ42))*AQ42*X42^2*1E-4*DATOS!$C$83/100/1000))/2),1E-9))+MAX(BW42,12*INDEX(TABLAS!$C$52:$C$58,MATCH(BU42,TABLAS!$B$52:$B$58,0)),AA42/16),IF(OR(AK42&lt;INDEX(TABLAS!$C$52:$C$58,MATCH(BU42,TABLAS!$B$52:$B$58,0)),AND(BV42&gt;=2,(AC42-2*AK42-BV42*INDEX(TABLAS!$C$52:$C$58,MATCH(BU42,TABLAS!$B$52:$B$58,0)))/MAX(BV42-1,1)&lt;2*INDEX(TABLAS!$C$52:$C$58,MATCH(BU42,TABLAS!$B$52:$B$58,0)))),INDEX(TABLAS!$I$52:$I$58,MATCH(BU42,TABLAS!$B$52:$B$58,0)),INDEX(TABLAS!$F$52:$F$58,MATCH(BU42,TABLAS!$B$52:$B$58,0)))),5))))</f>
        <v/>
      </c>
      <c r="DC42" s="60" t="str">
        <f>IF(U42&lt;&gt;"SÍ","",IF(C42="VOLADO",0,IF(((4*((BC42*AQ42*X42^2*1E-4*DATOS!$C$83/100/1000)+((MAX(AY42,BA42)*AQ42*X42^2*1E-4*DATOS!$C$83/100/1000)+(IF(AND(AY42&gt;0,BA42&gt;0),MIN(AY42,BA42),MAX(AY42,BA42))*AQ42*X42^2*1E-4*DATOS!$C$83/100/1000))/2)+BI42-(IF(AND(AY42&gt;0,BA42&gt;0),MIN(AY42,BA42),MAX(AY42,BA42))*AQ42*X42^2*1E-4*DATOS!$C$83/100/1000))^2-16*((BC42*AQ42*X42^2*1E-4*DATOS!$C$83/100/1000)+((MAX(AY42,BA42)*AQ42*X42^2*1E-4*DATOS!$C$83/100/1000)+(IF(AND(AY42&gt;0,BA42&gt;0),MIN(AY42,BA42),MAX(AY42,BA42))*AQ42*X42^2*1E-4*DATOS!$C$83/100/1000))/2)*BI42)&lt;0,CEILING(AB42,5),CEILING(MAX(AB42*((4*((BC42*AQ42*X42^2*1E-4*DATOS!$C$83/100/1000)+((MAX(AY42,BA42)*AQ42*X42^2*1E-4*DATOS!$C$83/100/1000)+(IF(AND(AY42&gt;0,BA42&gt;0),MIN(AY42,BA42),MAX(AY42,BA42))*AQ42*X42^2*1E-4*DATOS!$C$83/100/1000))/2)+BI42-(IF(AND(AY42&gt;0,BA42&gt;0),MIN(AY42,BA42),MAX(AY42,BA42))*AQ42*X42^2*1E-4*DATOS!$C$83/100/1000))-SQRT(MAX(0,((4*((BC42*AQ42*X42^2*1E-4*DATOS!$C$83/100/1000)+((MAX(AY42,BA42)*AQ42*X42^2*1E-4*DATOS!$C$83/100/1000)+(IF(AND(AY42&gt;0,BA42&gt;0),MIN(AY42,BA42),MAX(AY42,BA42))*AQ42*X42^2*1E-4*DATOS!$C$83/100/1000))/2)+BI42-(IF(AND(AY42&gt;0,BA42&gt;0),MIN(AY42,BA42),MAX(AY42,BA42))*AQ42*X42^2*1E-4*DATOS!$C$83/100/1000))^2-16*((BC42*AQ42*X42^2*1E-4*DATOS!$C$83/100/1000)+((MAX(AY42,BA42)*AQ42*X42^2*1E-4*DATOS!$C$83/100/1000)+(IF(AND(AY42&gt;0,BA42&gt;0),MIN(AY42,BA42),MAX(AY42,BA42))*AQ42*X42^2*1E-4*DATOS!$C$83/100/1000))/2)*BI42))))/(8*MAX(((BC42*AQ42*X42^2*1E-4*DATOS!$C$83/100/1000)+((MAX(AY42,BA42)*AQ42*X42^2*1E-4*DATOS!$C$83/100/1000)+(IF(AND(AY42&gt;0,BA42&gt;0),MIN(AY42,BA42),MAX(AY42,BA42))*AQ42*X42^2*1E-4*DATOS!$C$83/100/1000))/2),1E-9))+MAX(CM42,12*INDEX(TABLAS!$C$52:$C$58,MATCH(CK42,TABLAS!$B$52:$B$58,0)),AB42/16),IF(OR(AK42&lt;INDEX(TABLAS!$C$52:$C$58,MATCH(CK42,TABLAS!$B$52:$B$58,0)),AND(CL42&gt;=2,(DATOS!$C$80-2*AK42-CL42*INDEX(TABLAS!$C$52:$C$58,MATCH(CK42,TABLAS!$B$52:$B$58,0)))/MAX(CL42-1,1)&lt;2*INDEX(TABLAS!$C$52:$C$58,MATCH(CK42,TABLAS!$B$52:$B$58,0)))),INDEX(TABLAS!$I$52:$I$58,MATCH(CK42,TABLAS!$B$52:$B$58,0)),INDEX(TABLAS!$F$52:$F$58,MATCH(CK42,TABLAS!$B$52:$B$58,0)))),5))))</f>
        <v/>
      </c>
      <c r="DD42" s="55" t="str">
        <f>IF(U42&lt;&gt;"SÍ","",IF(AND(C42="PERIMETRAL",BV42&gt;=2,AR42-AS42&gt;0,AZ42*AQ42*X42^2*1E-4*DATOS!$C$83/100/1000&gt;DATOS!$C$29*INDEX(TABLAS!$D$52:$D$58,MATCH(BU42,TABLAS!$B$52:$B$58,0))*DATOS!$C$14*(BW42-INDEX(TABLAS!$D$52:$D$58,MATCH(BU42,TABLAS!$B$52:$B$58,0))*DATOS!$C$14/(DATOS!$C$21*AE42)/2)/1E5),"SÍ","NO"))</f>
        <v/>
      </c>
      <c r="DE42" s="55" t="str">
        <f>IF(U42&lt;&gt;"SÍ","",IF(AND(C42="PERIMETRAL",CL42&gt;=2,AS42&gt;0,BA42*AQ42*X42^2*1E-4*DATOS!$C$83/100/1000&gt;DATOS!$C$29*INDEX(TABLAS!$D$52:$D$58,MATCH(CK42,TABLAS!$B$52:$B$58,0))*DATOS!$C$14*(CM42-INDEX(TABLAS!$D$52:$D$58,MATCH(CK42,TABLAS!$B$52:$B$58,0))*DATOS!$C$14/(DATOS!$C$21*AF42)/2)/1E5),"SÍ","NO"))</f>
        <v/>
      </c>
      <c r="DF42" s="63" t="str">
        <f>IF(U42&lt;&gt;"SÍ","",IF(OR(C42="VOLADO",AR42=0),"—",IF(AND(AND(1.25*INDEX(TABLAS!$G$52:$G$58,MATCH(MAX(BM42,CC42),TABLAS!$B$52:$B$58,0))&lt;=(DATOS!$C$72-DATOS!$C$60),(DATOS!$C$72-DATOS!$C$60)&gt;=15,INDEX(TABLAS!$G$52:$G$58,MATCH(MAX(BU42,CK42),TABLAS!$B$52:$B$58,0))&lt;=(DATOS!$C$72-DATOS!$C$60)),8*INDEX(TABLAS!$C$52:$C$58,MATCH(MAX(MAX(BM42,CC42),MAX(BU42,CK42)),TABLAS!$B$52:$B$58,0))&lt;=DATOS!$C$73-2*DATOS!$C$60),"CUMPLE (gancho de 180°)",IF(AND(1.25*INDEX(TABLAS!$G$52:$G$58,MATCH(MAX(BM42,CC42),TABLAS!$B$52:$B$58,0))&lt;=(DATOS!$C$72-DATOS!$C$60),(DATOS!$C$72-DATOS!$C$60)&gt;=15,INDEX(TABLAS!$G$52:$G$58,MATCH(MAX(BU42,CK42),TABLAS!$B$52:$B$58,0))&lt;=(DATOS!$C$72-DATOS!$C$60)),"NO CUMPLE: el gancho de 180° (8·d_b) no cabe en el peralte de la dala de borde","NO CUMPLE: dala de borde ≥ "&amp;TEXT(CEILING(MAX(1.25*INDEX(TABLAS!$G$52:$G$58,MATCH(MAX(BM42,CC42),TABLAS!$B$52:$B$58,0)),15,INDEX(TABLAS!$G$52:$G$58,MATCH(MAX(BU42,CK42),TABLAS!$B$52:$B$58,0)))+DATOS!$C$60,5),"0")&amp;" cm de ancho"&amp;IF(8*INDEX(TABLAS!$C$52:$C$58,MATCH(MAX(MAX(BM42,CC42),MAX(BU42,CK42)),TABLAS!$B$52:$B$58,0))&lt;=DATOS!$C$73-2*DATOS!$C$60,""," y más peralte para el gancho")))))</f>
        <v/>
      </c>
      <c r="DG42" s="59" t="str">
        <f>IF(U42&lt;&gt;"SÍ","",MAX(0,INT((E42*100-DATOS!$C$84+DATOS!$C$83-IF(W42="X",DATOS!$C$78,AD42))/DATOS!$C$83)))</f>
        <v/>
      </c>
      <c r="DH42" s="59" t="str">
        <f>IF(U42&lt;&gt;"SÍ","",MAX(0,INT((F42*100-DATOS!$C$84+DATOS!$C$83-IF(W42="Y",DATOS!$C$78,AD42))/DATOS!$C$83)))</f>
        <v/>
      </c>
      <c r="DI42" s="57" t="str">
        <f>IF(U42&lt;&gt;"SÍ","",IF(DG42&gt;0,(E42*100-DATOS!$C$84-(DG42*IF(W42="X",DATOS!$C$78,AD42)+(DG42-1)*(DATOS!$C$83-IF(W42="X",DATOS!$C$78,AD42))))/2,E42*100/2))</f>
        <v/>
      </c>
      <c r="DJ42" s="57" t="str">
        <f>IF(U42&lt;&gt;"SÍ","",IF(DH42&gt;0,(F42*100-DATOS!$C$84-(DH42*IF(W42="Y",DATOS!$C$78,AD42)+(DH42-1)*(DATOS!$C$83-IF(W42="Y",DATOS!$C$78,AD42))))/2,F42*100/2))</f>
        <v/>
      </c>
      <c r="DK42" s="59" t="str">
        <f>IF(U42&lt;&gt;"SÍ","",IF(NOT(AND(C42="VOLADO",AC42&gt;DATOS!$C$80)),0,IF(INDEX(TABLAS!$C$52:$C$58,MATCH(BU42,TABLAS!$B$52:$B$58,0))&lt;=DATOS!$C$80-2*DATOS!$C$60,1,0)))</f>
        <v/>
      </c>
      <c r="DL42" s="58" t="str">
        <f>IF(U42&lt;&gt;"SÍ","",IF(NOT(AND(C42="VOLADO",AC42&gt;DATOS!$C$80)),0,((DATOS!$C$82-MAX(DATOS!$C$60,(DATOS!$C$81-2*DATOS!$C$94)/2)-2*DATOS!$C$94-INDEX(TABLAS!$C$52:$C$58,MATCH(BU42,TABLAS!$B$52:$B$58,0))/2)-IF(AND((DATOS!$C$82-MAX(DATOS!$C$60,(DATOS!$C$81-2*DATOS!$C$94)/2)-2*DATOS!$C$94-INDEX(TABLAS!$C$52:$C$58,MATCH(BU42,TABLAS!$B$52:$B$58,0))/2)&lt;=20,DATOS!$C$62&lt;&gt;"SÍ"),2,0))))</f>
        <v/>
      </c>
      <c r="DM42" s="56" t="str">
        <f>IF(U42&lt;&gt;"SÍ","",IF(OR(NOT(AND(C42="VOLADO",AC42&gt;DATOS!$C$80)),DK42&lt;1),0,IF(0.003*(DL42-((DK42*INDEX(TABLAS!$D$52:$D$58,MATCH(BU42,TABLAS!$B$52:$B$58,0)))*DATOS!$C$14/(DATOS!$C$21*AF42)/DATOS!$C$22))/((DK42*INDEX(TABLAS!$D$52:$D$58,MATCH(BU42,TABLAS!$B$52:$B$58,0)))*DATOS!$C$14/(DATOS!$C$21*AF42)/DATOS!$C$22)&lt;0.005,0,DATOS!$C$29*(DK42*INDEX(TABLAS!$D$52:$D$58,MATCH(BU42,TABLAS!$B$52:$B$58,0)))*DATOS!$C$14*(DL42-(DK42*INDEX(TABLAS!$D$52:$D$58,MATCH(BU42,TABLAS!$B$52:$B$58,0)))*DATOS!$C$14/(DATOS!$C$21*AF42)/2)/1E5)))</f>
        <v/>
      </c>
      <c r="DN42" s="56" t="str">
        <f>IF(U42&lt;&gt;"SÍ","",IF(OR(NOT(AND(C42="VOLADO",AC42&gt;DATOS!$C$80)),DK42&lt;1),0,DATOS!$C$30*2*MIN(1,SQRT(2/(1+0.04*DL42)))*((DK42*INDEX(TABLAS!$D$52:$D$58,MATCH(BU42,TABLAS!$B$52:$B$58,0)))/(AF42*DL42))^(1/3)*SQRT(DATOS!$C$13)*AF42*DL42/1000))</f>
        <v/>
      </c>
      <c r="DO42" s="56" t="str">
        <f>IF(U42&lt;&gt;"SÍ","",IF(NOT(AND(C42="VOLADO",AC42&gt;DATOS!$C$80)),0,IF((BG42-DM42)&lt;=0,0,IF(DM42&lt;=0,IF(ISNUMBER(P42),P42,X42),IF(((0.9*DATOS!$C$87*DATOS!$C$83/100/1000)*IF(ISNUMBER(P42),P42,X42)/2+BG42/IF(ISNUMBER(P42),P42,X42))^2-4*((0.9*DATOS!$C$87*DATOS!$C$83/100/1000)/2)*(BG42-DM42)&lt;0,IF(ISNUMBER(P42),P42,X42),MIN(IF(ISNUMBER(P42),P42,X42),(((0.9*DATOS!$C$87*DATOS!$C$83/100/1000)*IF(ISNUMBER(P42),P42,X42)/2+BG42/IF(ISNUMBER(P42),P42,X42))-SQRT(((0.9*DATOS!$C$87*DATOS!$C$83/100/1000)*IF(ISNUMBER(P42),P42,X42)/2+BG42/IF(ISNUMBER(P42),P42,X42))^2-4*((0.9*DATOS!$C$87*DATOS!$C$83/100/1000)/2)*(BG42-DM42)))/(2*((0.9*DATOS!$C$87*DATOS!$C$83/100/1000)/2))))))))</f>
        <v/>
      </c>
      <c r="DP42" s="56" t="str">
        <f>IF(U42&lt;&gt;"SÍ","",IF(NOT(AND(C42="VOLADO",AC42&gt;DATOS!$C$80)),0,MIN(IF(ISNUMBER(P42),P42,X42),MAX(0,IF(ISNUMBER(P42),P42,X42)/2+BG42/IF(ISNUMBER(P42),P42,X42)/(AQ42*DATOS!$C$83/100/1000)-DN42/(AQ42*DATOS!$C$83/100/1000)))))</f>
        <v/>
      </c>
      <c r="DQ42" s="56" t="str">
        <f>IF(U42&lt;&gt;"SÍ","",IF(NOT(AND(C42="VOLADO",AC42&gt;DATOS!$C$80)),0,BG42/IF(ISNUMBER(P42),P42,X42)+(AQ42*DATOS!$C$83/100/1000)*MAX(0,IF(ISNUMBER(P42),P42,X42)/2-BW42/100)))</f>
        <v/>
      </c>
      <c r="DR42" s="59" t="str">
        <f>IF(U42&lt;&gt;"SÍ","",IF(NOT(AND(C42="VOLADO",AC42&gt;DATOS!$C$80)),0,CEILING(100*MIN(IF(ISNUMBER(P42),P42,X42),MAX(IF(DO42&gt;0,DO42+IF(BV42&gt;=2,MAX(DL42,12*INDEX(TABLAS!$C$52:$C$58,MATCH(BU42,TABLAS!$B$52:$B$58,0)))/100,0),0),DP42,IF(BV42&gt;=2,INDEX(TABLAS!$F$52:$F$58,MATCH(BU42,TABLAS!$B$52:$B$58,0))/100,0))),5)))</f>
        <v/>
      </c>
      <c r="DS42" s="60" t="str">
        <f>IF(U42&lt;&gt;"SÍ","",IF(NOT(AND(C42="VOLADO",AC42&gt;DATOS!$C$80)),0,IF(DR42&lt;=0,0,CEILING(DR42/DATOS!$C$83,1))))</f>
        <v/>
      </c>
      <c r="DT42" s="61" t="str">
        <f>IF(U42&lt;&gt;"SÍ","",IF(C42&lt;&gt;"VOLADO","—",IF(AC42&lt;=DATOS!$C$80,"— (mismo b_w que el respaldo)",IF(DQ42&gt;CR42,"NO CUMPLE: cortante de la nervadura ancha junto al apoyo ("&amp;TEXT(DQ42,"0.00")&amp;" &gt; "&amp;TEXT(CR42,"0.00")&amp;" t)",IF(DR42&gt;=100*IF(ISNUMBER(P42),P42,X42),"CUMPLE — todas las nervaduras del respaldo ‖ al volado con b_w = "&amp;AC42&amp;" cm","CUMPLE — "&amp;DS42&amp;" hilera(s) del respaldo con nervaduras de b_w = "&amp;AC42&amp;" cm (casetón "&amp;AD42&amp;" cm), hasta "&amp;TEXT(DR42/100,"0.00")&amp;" m del paño")))))</f>
        <v/>
      </c>
      <c r="DU42" s="69" t="str">
        <f>IF(U42&lt;&gt;"SÍ","",IF(BN42=0,"NO ALCANZA",BN42&amp;" No. "&amp;BM42&amp;IF(BN42&gt;1," corridas"," corrida")))</f>
        <v/>
      </c>
      <c r="DV42" s="69" t="str">
        <f>IF(U42&lt;&gt;"SÍ","",IF(BV42=0,"NO ALCANZA",IF(AND(C42="VOLADO",AC42&gt;DATOS!$C$80,BV42&gt;=2),"1 No. "&amp;BU42&amp;" corrida de la orilla al respaldo ("&amp;IF(DB42&gt;=100*IF(ISNUMBER(P42),P42,X42),"hasta su apoyo lejano, con gancho","entra "&amp;TEXT(DB42/100,"0.00")&amp;" m desde el paño")&amp;") + "&amp;(BV42-1)&amp;" bastón No. "&amp;BU42&amp;" hasta "&amp;TEXT(DR42/100,"0.00")&amp;" m del paño (fin de la nervadura ancha)",IF(C42="VOLADO",BV42&amp;" No. "&amp;BU42&amp;" de la orilla al respaldo ("&amp;IF(DB42&gt;=100*IF(ISNUMBER(P42),P42,X42),"hasta su apoyo lejano, con gancho","entran "&amp;TEXT(DB42/100,"0.00")&amp;" m desde el paño")&amp;")","1 No. "&amp;BU42&amp;" corrida"&amp;IF(BV42&gt;1," + "&amp;(BV42-1)&amp;" bastón No. "&amp;BU42&amp;" L = "&amp;TEXT(DB42/100,"0.00")&amp;" m desde el paño","")))))</f>
        <v/>
      </c>
      <c r="DW42" s="69" t="str">
        <f>IF(U42&lt;&gt;"SÍ","",IF(CD42=0,"NO ALCANZA",CD42&amp;" No. "&amp;CC42&amp;IF(CD42&gt;1," corridas"," corrida")))</f>
        <v/>
      </c>
      <c r="DX42" s="69" t="str">
        <f>IF(U42&lt;&gt;"SÍ","",IF(CL42=0,"NO ALCANZA",IF(C42="VOLADO","1 No. "&amp;CK42&amp;" corrida (repartición)","1 No. "&amp;CK42&amp;" corrida"&amp;IF(CL42&gt;1," + "&amp;(CL42-1)&amp;" bastón No. "&amp;CK42&amp;" L = "&amp;TEXT(DC42/100,"0.00")&amp;" m desde el paño",""))))</f>
        <v/>
      </c>
      <c r="DY42" s="67" t="str">
        <f>IF(B42="","",IF(U42&lt;&gt;"SÍ","FALTAN DATOS: tipo, a_x, a_y y destino",IF(L42="NO MONOLÍTICO (caso II)","FUERA DE ALCANCE: caso II no transcrito",IF(AND(C42="VOLADO",V42="?"),"REVISAR: el volado lleva UN solo borde CONTINUO (el empotrado)",IF(AND(MAX(BQ42,BY42,CG42,CO42)&lt;=1,NOT(OR(BN42&gt;MIN(DATOS!$C$70,INT(((AC42-2*AJ42)+MAX(DATOS!$C$67,INDEX(TABLAS!$C$52:$C$58,MATCH(BM42,TABLAS!$B$52:$B$58,0))))/(INDEX(TABLAS!$C$52:$C$58,MATCH(BM42,TABLAS!$B$52:$B$58,0))+MAX(DATOS!$C$67,INDEX(TABLAS!$C$52:$C$58,MATCH(BM42,TABLAS!$B$52:$B$58,0)))))),BV42&gt;MIN(DATOS!$C$70,INT(((AC42-2*AK42)+MAX(DATOS!$C$67,INDEX(TABLAS!$C$52:$C$58,MATCH(BU42,TABLAS!$B$52:$B$58,0))))/(INDEX(TABLAS!$C$52:$C$58,MATCH(BU42,TABLAS!$B$52:$B$58,0))+MAX(DATOS!$C$67,INDEX(TABLAS!$C$52:$C$58,MATCH(BU42,TABLAS!$B$52:$B$58,0)))))),CD42&gt;MIN(DATOS!$C$70,INT(((DATOS!$C$80-2*AJ42)+MAX(DATOS!$C$67,INDEX(TABLAS!$C$52:$C$58,MATCH(CC42,TABLAS!$B$52:$B$58,0))))/(INDEX(TABLAS!$C$52:$C$58,MATCH(CC42,TABLAS!$B$52:$B$58,0))+MAX(DATOS!$C$67,INDEX(TABLAS!$C$52:$C$58,MATCH(CC42,TABLAS!$B$52:$B$58,0)))))),CL42&gt;MIN(DATOS!$C$70,INT(((DATOS!$C$80-2*AK42)+MAX(DATOS!$C$67,INDEX(TABLAS!$C$52:$C$58,MATCH(CK42,TABLAS!$B$52:$B$58,0))))/(INDEX(TABLAS!$C$52:$C$58,MATCH(CK42,TABLAS!$B$52:$B$58,0))+MAX(DATOS!$C$67,INDEX(TABLAS!$C$52:$C$58,MATCH(CK42,TABLAS!$B$52:$B$58,0)))))))),NOT(OR(AND(ISNUMBER(BR42),BR42&lt;0.005),AND(ISNUMBER(BZ42),BZ42&lt;0.005),AND(ISNUMBER(CH42),CH42&lt;0.005),AND(ISNUMBER(CP42),CP42&lt;0.005))),NOT(LEFT(DT42,2)="NO"),CZ42="CUMPLE",DA42="CUMPLE",LEFT(CT42,2)&lt;&gt;"NO"),IF(LEFT(CT42,6)="CUMPLE","CUMPLE","CUMPLE — "&amp;CT42)&amp;IF(LEFT(BJ42,5)="FUERA"," · fuera de 3.4.2.1 c)","")&amp;IF(LEFT(DF42,2)="NO"," · REVISAR anclaje en borde discontinuo","")&amp;IF(DS42&gt;0," · respaldo: "&amp;DS42&amp;" hilera(s) de b_w "&amp;AC42&amp;" cm",""),IF(AND(MAX(BQ42,BY42,CG42,CO42)&lt;=1,NOT(OR(BN42&gt;MIN(DATOS!$C$70,INT(((AC42-2*AJ42)+MAX(DATOS!$C$67,INDEX(TABLAS!$C$52:$C$58,MATCH(BM42,TABLAS!$B$52:$B$58,0))))/(INDEX(TABLAS!$C$52:$C$58,MATCH(BM42,TABLAS!$B$52:$B$58,0))+MAX(DATOS!$C$67,INDEX(TABLAS!$C$52:$C$58,MATCH(BM42,TABLAS!$B$52:$B$58,0)))))),BV42&gt;MIN(DATOS!$C$70,INT(((AC42-2*AK42)+MAX(DATOS!$C$67,INDEX(TABLAS!$C$52:$C$58,MATCH(BU42,TABLAS!$B$52:$B$58,0))))/(INDEX(TABLAS!$C$52:$C$58,MATCH(BU42,TABLAS!$B$52:$B$58,0))+MAX(DATOS!$C$67,INDEX(TABLAS!$C$52:$C$58,MATCH(BU42,TABLAS!$B$52:$B$58,0)))))),CD42&gt;MIN(DATOS!$C$70,INT(((DATOS!$C$80-2*AJ42)+MAX(DATOS!$C$67,INDEX(TABLAS!$C$52:$C$58,MATCH(CC42,TABLAS!$B$52:$B$58,0))))/(INDEX(TABLAS!$C$52:$C$58,MATCH(CC42,TABLAS!$B$52:$B$58,0))+MAX(DATOS!$C$67,INDEX(TABLAS!$C$52:$C$58,MATCH(CC42,TABLAS!$B$52:$B$58,0)))))),CL42&gt;MIN(DATOS!$C$70,INT(((DATOS!$C$80-2*AK42)+MAX(DATOS!$C$67,INDEX(TABLAS!$C$52:$C$58,MATCH(CK42,TABLAS!$B$52:$B$58,0))))/(INDEX(TABLAS!$C$52:$C$58,MATCH(CK42,TABLAS!$B$52:$B$58,0))+MAX(DATOS!$C$67,INDEX(TABLAS!$C$52:$C$58,MATCH(CK42,TABLAS!$B$52:$B$58,0)))))))),NOT(OR(AND(ISNUMBER(BR42),BR42&lt;0.005),AND(ISNUMBER(BZ42),BZ42&lt;0.005),AND(ISNUMBER(CH42),CH42&lt;0.005),AND(ISNUMBER(CP42),CP42&lt;0.005))),NOT(LEFT(DT42,2)="NO"),CZ42="CALCULAR FLECHA",LEFT(CT42,2)&lt;&gt;"NO"),"REVISAR: calcular flecha (h_eq &lt; h mín.)"&amp;IF(LEFT(BJ42,5)="FUERA"," · fuera de 3.4.2.1 c)","")&amp;IF(LEFT(DF42,2)="NO"," · REVISAR anclaje en borde discontinuo","")&amp;IF(DS42&gt;0," · respaldo: "&amp;DS42&amp;" hilera(s) de b_w "&amp;AC42&amp;" cm",""),"NO CUMPLE: "&amp;IF(MAX(BQ42,BY42,CG42,CO42)&gt;1,"flexión ","")&amp;IF(OR(BN42&gt;MIN(DATOS!$C$70,INT(((AC42-2*AJ42)+MAX(DATOS!$C$67,INDEX(TABLAS!$C$52:$C$58,MATCH(BM42,TABLAS!$B$52:$B$58,0))))/(INDEX(TABLAS!$C$52:$C$58,MATCH(BM42,TABLAS!$B$52:$B$58,0))+MAX(DATOS!$C$67,INDEX(TABLAS!$C$52:$C$58,MATCH(BM42,TABLAS!$B$52:$B$58,0)))))),BV42&gt;MIN(DATOS!$C$70,INT(((AC42-2*AK42)+MAX(DATOS!$C$67,INDEX(TABLAS!$C$52:$C$58,MATCH(BU42,TABLAS!$B$52:$B$58,0))))/(INDEX(TABLAS!$C$52:$C$58,MATCH(BU42,TABLAS!$B$52:$B$58,0))+MAX(DATOS!$C$67,INDEX(TABLAS!$C$52:$C$58,MATCH(BU42,TABLAS!$B$52:$B$58,0)))))),CD42&gt;MIN(DATOS!$C$70,INT(((DATOS!$C$80-2*AJ42)+MAX(DATOS!$C$67,INDEX(TABLAS!$C$52:$C$58,MATCH(CC42,TABLAS!$B$52:$B$58,0))))/(INDEX(TABLAS!$C$52:$C$58,MATCH(CC42,TABLAS!$B$52:$B$58,0))+MAX(DATOS!$C$67,INDEX(TABLAS!$C$52:$C$58,MATCH(CC42,TABLAS!$B$52:$B$58,0)))))),CL42&gt;MIN(DATOS!$C$70,INT(((DATOS!$C$80-2*AK42)+MAX(DATOS!$C$67,INDEX(TABLAS!$C$52:$C$58,MATCH(CK42,TABLAS!$B$52:$B$58,0))))/(INDEX(TABLAS!$C$52:$C$58,MATCH(CK42,TABLAS!$B$52:$B$58,0))+MAX(DATOS!$C$67,INDEX(TABLAS!$C$52:$C$58,MATCH(CK42,TABLAS!$B$52:$B$58,0))))))),"no caben ","")&amp;IF(OR(AND(ISNUMBER(BR42),BR42&lt;0.005),AND(ISNUMBER(BZ42),BZ42&lt;0.005),AND(ISNUMBER(CH42),CH42&lt;0.005),AND(ISNUMBER(CP42),CP42&lt;0.005)),"ε_t &lt; 0.005 ","")&amp;IF(LEFT(CT42,2)="NO","cortante ","")&amp;IF(CZ42="NO CUMPLE","peralte ","")&amp;IF(DA42&lt;&gt;"CUMPLE","capa &lt; 6 cm ","")&amp;IF(LEFT(DT42,2)="NO","respaldo del volado","")))))))</f>
        <v/>
      </c>
      <c r="DZ42" s="70" t="str">
        <f>IF(U42&lt;&gt;"SÍ","",IF(LEFT(B42,7)="EJEMPLO","EJEMPLO de la hoja de Casa Rocha: bórralo o sobrescríbelo. ","")&amp;IF(AND(C42="PERIMETRAL",MIN(DG42,DH42)=0),"No cabe un casetón en el claro corto: es un tablero macizo, diséñalo en MACIZAS. ","")&amp;IF(AND(AI42="NO",C42="PERIMETRAL"),"No cumple 6.7.8.1.4 (a_c = "&amp;MAX(DATOS!$C$78,AD42)&amp;" cm &gt; claro corto/6 = "&amp;TEXT(X42*100/6,"0")&amp;" cm): se diseña como losa apoyada en vigas (6.7.8.1.9): r de viga = "&amp;DATOS!$C$60&amp;" cm y V_cR sin ×1.1. Para que cuente como encasetonada: casetón de "&amp;TEXT(FLOOR(MIN(80,X42*100/6),1),"0")&amp;" cm o menor. ","")&amp;IF(C42="VOLADO","Volado de "&amp;TEXT(X42,"0.00")&amp;" m empotrado en el borde "&amp;LOWER(V42)&amp;IF(N(O42)&gt;0,", con "&amp;TEXT(O42,"0.0")&amp;" kg/m en la orilla","")&amp;". Lecho inferior con r_ext. Si la orilla carga pretil u otro elemento frágil, calcula la flecha (13.4). El acero superior entra al respaldo de "&amp;TEXT(IF(ISNUMBER(P42),P42,X42),"0.00")&amp;" m"&amp;IF(ISNUMBER(P42),""," (L_b no capturado: se tomó igual al volado)")&amp;" hasta pasar M = 0 con 0.9·PP sin carga viva; si ahí no se anula, llega al apoyo lejano y se ancla con gancho (NTC-Criterios 3.4.1 c y 5.1.2.2). "&amp;IF(AC42&gt;DATOS!$C$80,"Respaldo: "&amp;DT42&amp;". ",""),"")&amp;IF(LEFT(BJ42,5)="FUERA","El M⁻ del vecino difiere más de 50 % (3.4.2.1 c): distribuye el desequilibrio (3.4.3.1) o confirma con un modelo; se arma con el mayor. ","")&amp;IF(OR(DD42="SÍ",DE42="SÍ"),"El M⁻ del borde discontinuo pide bastón también ahí (con gancho). ","")&amp;IF(LEFT(DF42,2)="NO","Anclaje: "&amp;DF42&amp;" (6.7.8.1.7). ","")&amp;IF(OR(AZ42&gt;0,BA42&gt;0),"Esquinas exteriores sobre muro: refuerzo de esquina arriba y abajo en L_largo/5 (6.7.7.3.1). ",""))</f>
        <v/>
      </c>
    </row>
    <row r="43" ht="33" customHeight="1">
      <c r="A43" s="50">
        <f>IF(B43="",0,1)+A42</f>
        <v>4</v>
      </c>
      <c r="B43" s="29" t="n"/>
      <c r="C43" s="51" t="n"/>
      <c r="D43" s="29" t="n"/>
      <c r="E43" s="52" t="n"/>
      <c r="F43" s="52" t="n"/>
      <c r="G43" s="51" t="n"/>
      <c r="H43" s="51" t="n"/>
      <c r="I43" s="51" t="n"/>
      <c r="J43" s="51" t="n"/>
      <c r="K43" s="51" t="n"/>
      <c r="L43" s="51" t="n"/>
      <c r="M43" s="53" t="n"/>
      <c r="N43" s="53" t="n"/>
      <c r="O43" s="54" t="n"/>
      <c r="P43" s="52" t="n"/>
      <c r="Q43" s="53" t="n"/>
      <c r="R43" s="54" t="n"/>
      <c r="S43" s="52" t="n"/>
      <c r="T43" s="52" t="n"/>
      <c r="U43" s="55" t="str">
        <f>IF(B43="","",IF(AND(OR(C43="PERIMETRAL",C43="VOLADO"),ISNUMBER(E43),ISNUMBER(F43),E43&gt;0,F43&gt;0,OR(ISNUMBER(N43),ISNUMBER(MATCH(D43,DATOS!$B$46:$B$55,0)))),"SÍ","NO"))</f>
        <v/>
      </c>
      <c r="V43" s="55" t="str">
        <f>IF(U43&lt;&gt;"SÍ","",IF(C43&lt;&gt;"VOLADO","—",IF(COUNTIF(G43:J43,"CONTINUO")&lt;&gt;1,"?",IF(G43="CONTINUO","INFERIOR",IF(H43="CONTINUO","SUPERIOR",IF(I43="CONTINUO","IZQUIERDO","DERECHO"))))))</f>
        <v/>
      </c>
      <c r="W43" s="55" t="str">
        <f>IF(U43&lt;&gt;"SÍ","",IF(C43="VOLADO",IF(OR(V43="IZQUIERDO",V43="DERECHO"),"X","Y"),IF(E43&lt;=F43,"X","Y")))</f>
        <v/>
      </c>
      <c r="X43" s="56" t="str">
        <f>IF(U43&lt;&gt;"SÍ","",IF(C43="VOLADO",IF(W43="X",E43,F43),MIN(E43,F43)))</f>
        <v/>
      </c>
      <c r="Y43" s="56" t="str">
        <f>IF(U43&lt;&gt;"SÍ","",IF(C43="VOLADO",IF(W43="X",F43,E43),MAX(E43,F43)))</f>
        <v/>
      </c>
      <c r="Z43" s="56" t="str">
        <f>IF(U43&lt;&gt;"SÍ","",MIN(X43,Y43)/MAX(X43,Y43))</f>
        <v/>
      </c>
      <c r="AA43" s="57" t="str">
        <f>IF(U43&lt;&gt;"SÍ","",MAX(1,X43*100-IF(C43="VOLADO",DATOS!$C$84/2,DATOS!$C$84)))</f>
        <v/>
      </c>
      <c r="AB43" s="57" t="str">
        <f>IF(U43&lt;&gt;"SÍ","",MAX(1,Y43*100-DATOS!$C$84))</f>
        <v/>
      </c>
      <c r="AC43" s="57" t="str">
        <f>IF(U43&lt;&gt;"SÍ","",IF(ISNUMBER(Q43),Q43,DATOS!$C$80))</f>
        <v/>
      </c>
      <c r="AD43" s="57" t="str">
        <f>IF(U43&lt;&gt;"SÍ","",MAX(0,DATOS!$C$83-AC43))</f>
        <v/>
      </c>
      <c r="AE43" s="57" t="str">
        <f>IF(U43&lt;&gt;"SÍ","",IF(OR(DATOS!$C$62="SÍ",AC43&gt;=20),AC43,AC43-2))</f>
        <v/>
      </c>
      <c r="AF43" s="57" t="str">
        <f>IF(U43&lt;&gt;"SÍ","",IF(OR(DATOS!$C$62="SÍ",DATOS!$C$80&gt;=20),DATOS!$C$80,DATOS!$C$80-2))</f>
        <v/>
      </c>
      <c r="AG43" s="57" t="str">
        <f>IF(U43&lt;&gt;"SÍ","",MIN(DATOS!$C$83,AC43+2*MIN(8*DATOS!$C$81,AD43/2,AA43/8)))</f>
        <v/>
      </c>
      <c r="AH43" s="57" t="str">
        <f>IF(U43&lt;&gt;"SÍ","",MIN(DATOS!$C$83,DATOS!$C$80+2*MIN(8*DATOS!$C$81,DATOS!$C$78/2,AB43/8)))</f>
        <v/>
      </c>
      <c r="AI43" s="55" t="str">
        <f>IF(U43&lt;&gt;"SÍ","",IF(AND(C43="PERIMETRAL",X43*100&gt;=6*MAX(DATOS!$C$78,AD43),MAX(DATOS!$C$78,AD43)&lt;=80,MIN(DATOS!$C$80,AC43)&gt;=10,DATOS!$C$82&lt;=3.5*MIN(DATOS!$C$80,AC43),DATOS!$C$81&gt;=MAX(MAX(DATOS!$C$78,AD43)/13,5)),"SÍ","NO"))</f>
        <v/>
      </c>
      <c r="AJ43" s="57" t="str">
        <f>IF(U43&lt;&gt;"SÍ","",IF(C43="VOLADO",DATOS!$C$61,IF(AI43="NO",DATOS!$C$60,DATOS!$C$59)))</f>
        <v/>
      </c>
      <c r="AK43" s="57" t="str">
        <f>IF(U43&lt;&gt;"SÍ","",IF(OR(AND(AM43="SÍ",DATOS!$C$63="SÍ"),AND(C43="VOLADO",DATOS!$C$64="SÍ")),DATOS!$C$61,IF(AI43="NO",DATOS!$C$60,DATOS!$C$59)))</f>
        <v/>
      </c>
      <c r="AL43" s="58" t="str">
        <f>IF(U43&lt;&gt;"SÍ","",MAX(AK43,(DATOS!$C$81-2*DATOS!$C$94)/2))</f>
        <v/>
      </c>
      <c r="AM43" s="55" t="str">
        <f>IF(U43&lt;&gt;"SÍ","",IFERROR(INDEX(DATOS!$D$46:$D$55,MATCH(D43,DATOS!$B$46:$B$55,0)),"NO"))</f>
        <v/>
      </c>
      <c r="AN43" s="59" t="str">
        <f>IF(U43&lt;&gt;"SÍ","",IF(ISNUMBER(N43),N43,IFERROR(INDEX(DATOS!$C$46:$C$55,MATCH(D43,DATOS!$B$46:$B$55,0)),0)))</f>
        <v/>
      </c>
      <c r="AO43" s="59" t="str">
        <f>IF(U43&lt;&gt;"SÍ","",(DATOS!$C$82/100-(AD43*DATOS!$C$78/DATOS!$C$83^2)*DATOS!$C$79/100)*DATOS!$C$16*1000+(AD43*DATOS!$C$78/DATOS!$C$83^2)*DATOS!$C$79/100*DATOS!$C$17*1000+DATOS!$C$37+DATOS!$C$38)</f>
        <v/>
      </c>
      <c r="AP43" s="59" t="str">
        <f>IF(U43&lt;&gt;"SÍ","",AO43+N(M43))</f>
        <v/>
      </c>
      <c r="AQ43" s="60" t="str">
        <f>IF(U43&lt;&gt;"SÍ","",MAX(DATOS!$C$26*AP43+DATOS!$C$27*AN43,IF(AM43="SÍ",DATOS!$C$28*(AP43+DATOS!$C$41),0)))</f>
        <v/>
      </c>
      <c r="AR43" s="59" t="str">
        <f>IF(U43&lt;&gt;"SÍ","",(G43="DISCONTINUO")+(H43="DISCONTINUO")+(I43="DISCONTINUO")+(J43="DISCONTINUO"))</f>
        <v/>
      </c>
      <c r="AS43" s="59" t="str">
        <f>IF(U43&lt;&gt;"SÍ","",IF(W43="X",(G43="DISCONTINUO")+(H43="DISCONTINUO"),(I43="DISCONTINUO")+(J43="DISCONTINUO")))</f>
        <v/>
      </c>
      <c r="AT43" s="55" t="str">
        <f>IF(U43&lt;&gt;"SÍ","",IF(AR43=0,"INTERIOR",IF(AR43=1,IF(AS43=1,"BORDE-CORTO","BORDE-LARGO"),IF(AR43=2,IF(AS43=1,"ESQUINA",IF(AS43=2,"EXTREMO-LARGO","EXTREMO-CORTO")),IF(AR43=3,IF(AS43=2,"EXTREMO-LARGO","EXTREMO-CORTO"),"AISLADO")))))</f>
        <v/>
      </c>
      <c r="AU43" s="61" t="str">
        <f>IF(U43&lt;&gt;"SÍ","",IF(OR(K43="",K43="AUTO"),AT43,K43))</f>
        <v/>
      </c>
      <c r="AV43" s="59" t="str">
        <f>IF(U43&lt;&gt;"SÍ","",MATCH(Z43,TABLAS!$D$5:$J$5,1))</f>
        <v/>
      </c>
      <c r="AW43" s="58" t="str">
        <f>IF(U43&lt;&gt;"SÍ","",IF(AV43&gt;=7,0,(Z43-INDEX(TABLAS!$D$5:$J$5,AV43))/(INDEX(TABLAS!$D$5:$J$5,AV43+1)-INDEX(TABLAS!$D$5:$J$5,AV43))))</f>
        <v/>
      </c>
      <c r="AX43" s="59" t="str">
        <f>IF(U43&lt;&gt;"SÍ","",INDEX(TABLAS!$D$6:$J$47,MATCH(AU43&amp;"|NIC",TABLAS!$B$6:$B$47,0),AV43)+AW43*(INDEX(TABLAS!$D$6:$J$47,MATCH(AU43&amp;"|NIC",TABLAS!$B$6:$B$47,0),MIN(AV43+1,7))-INDEX(TABLAS!$D$6:$J$47,MATCH(AU43&amp;"|NIC",TABLAS!$B$6:$B$47,0),AV43)))</f>
        <v/>
      </c>
      <c r="AY43" s="59" t="str">
        <f>IF(U43&lt;&gt;"SÍ","",INDEX(TABLAS!$D$6:$J$47,MATCH(AU43&amp;"|NIL",TABLAS!$B$6:$B$47,0),AV43)+AW43*(INDEX(TABLAS!$D$6:$J$47,MATCH(AU43&amp;"|NIL",TABLAS!$B$6:$B$47,0),MIN(AV43+1,7))-INDEX(TABLAS!$D$6:$J$47,MATCH(AU43&amp;"|NIL",TABLAS!$B$6:$B$47,0),AV43)))</f>
        <v/>
      </c>
      <c r="AZ43" s="59" t="str">
        <f>IF(U43&lt;&gt;"SÍ","",INDEX(TABLAS!$D$6:$J$47,MATCH(AU43&amp;"|NDC",TABLAS!$B$6:$B$47,0),AV43)+AW43*(INDEX(TABLAS!$D$6:$J$47,MATCH(AU43&amp;"|NDC",TABLAS!$B$6:$B$47,0),MIN(AV43+1,7))-INDEX(TABLAS!$D$6:$J$47,MATCH(AU43&amp;"|NDC",TABLAS!$B$6:$B$47,0),AV43)))</f>
        <v/>
      </c>
      <c r="BA43" s="59" t="str">
        <f>IF(U43&lt;&gt;"SÍ","",INDEX(TABLAS!$D$6:$J$47,MATCH(AU43&amp;"|NDL",TABLAS!$B$6:$B$47,0),AV43)+AW43*(INDEX(TABLAS!$D$6:$J$47,MATCH(AU43&amp;"|NDL",TABLAS!$B$6:$B$47,0),MIN(AV43+1,7))-INDEX(TABLAS!$D$6:$J$47,MATCH(AU43&amp;"|NDL",TABLAS!$B$6:$B$47,0),AV43)))</f>
        <v/>
      </c>
      <c r="BB43" s="59" t="str">
        <f>IF(U43&lt;&gt;"SÍ","",INDEX(TABLAS!$D$6:$J$47,MATCH(AU43&amp;"|PC",TABLAS!$B$6:$B$47,0),AV43)+AW43*(INDEX(TABLAS!$D$6:$J$47,MATCH(AU43&amp;"|PC",TABLAS!$B$6:$B$47,0),MIN(AV43+1,7))-INDEX(TABLAS!$D$6:$J$47,MATCH(AU43&amp;"|PC",TABLAS!$B$6:$B$47,0),AV43)))</f>
        <v/>
      </c>
      <c r="BC43" s="59" t="str">
        <f>IF(U43&lt;&gt;"SÍ","",INDEX(TABLAS!$D$6:$J$47,MATCH(AU43&amp;"|PL",TABLAS!$B$6:$B$47,0),AV43)+AW43*(INDEX(TABLAS!$D$6:$J$47,MATCH(AU43&amp;"|PL",TABLAS!$B$6:$B$47,0),MIN(AV43+1,7))-INDEX(TABLAS!$D$6:$J$47,MATCH(AU43&amp;"|PL",TABLAS!$B$6:$B$47,0),AV43)))</f>
        <v/>
      </c>
      <c r="BD43" s="56" t="str">
        <f>IF(U43&lt;&gt;"SÍ","",IF(C43&lt;&gt;"VOLADO",0,DATOS!$C$26*DATOS!$C$16*DATOS!$C$83/100*(((AD43*DATOS!$C$78/DATOS!$C$83^2)*DATOS!$C$79/100)*(IF(W43="X",DI43,DJ43)+DATOS!$C$84/2)/100*(AA43-(IF(W43="X",DI43,DJ43)+DATOS!$C$84/2)/2)/100+((AD43*DATOS!$C$78/DATOS!$C$83^2)*DATOS!$C$79/100)*IF(W43="X",DI43,DJ43)/100*IF(W43="X",DI43,DJ43)/200)))</f>
        <v/>
      </c>
      <c r="BE43" s="56" t="str">
        <f>IF(U43&lt;&gt;"SÍ","",IF(C43&lt;&gt;"VOLADO",0,DATOS!$C$26*DATOS!$C$16*DATOS!$C$83/100*((AD43*DATOS!$C$78/DATOS!$C$83^2)*DATOS!$C$79/100)*(IF(W43="X",DI43,DJ43)+DATOS!$C$84/2)/100))</f>
        <v/>
      </c>
      <c r="BF43" s="56" t="str">
        <f>IF(U43&lt;&gt;"SÍ","",IF(C43="PERIMETRAL",BB43*AQ43*X43^2*1E-4*DATOS!$C$83/100/1000,0))</f>
        <v/>
      </c>
      <c r="BG43" s="62" t="str">
        <f>IF(U43&lt;&gt;"SÍ","",IF(C43="PERIMETRAL",MAX(MAX(AX43,AZ43)*AQ43*X43^2*1E-4*DATOS!$C$83/100/1000,N(S43)),(AQ43*(AA43/100)^2/2+DATOS!$C$26*N(O43)*AA43/100)*DATOS!$C$83/100/1000+BD43))</f>
        <v/>
      </c>
      <c r="BH43" s="56" t="str">
        <f>IF(U43&lt;&gt;"SÍ","",IF(C43="PERIMETRAL",BC43*AQ43*X43^2*1E-4*DATOS!$C$83/100/1000,0))</f>
        <v/>
      </c>
      <c r="BI43" s="56" t="str">
        <f>IF(U43&lt;&gt;"SÍ","",IF(C43="PERIMETRAL",MAX(MAX(AY43,BA43)*AQ43*X43^2*1E-4*DATOS!$C$83/100/1000,N(T43)),0))</f>
        <v/>
      </c>
      <c r="BJ43" s="63" t="str">
        <f>IF(U43&lt;&gt;"SÍ","",IF(C43&lt;&gt;"PERIMETRAL","—",IF(AND(N(S43)=0,N(T43)=0),"— (sin M⁻ del vecino)",IF(OR(AND(N(S43)&gt;0,ABS(MAX(AX43,AZ43)*AQ43*X43^2*1E-4*DATOS!$C$83/100/1000-N(S43))&gt;0.5*MIN(MAX(AX43,AZ43)*AQ43*X43^2*1E-4*DATOS!$C$83/100/1000,N(S43))),AND(N(T43)&gt;0,ABS(MAX(AY43,BA43)*AQ43*X43^2*1E-4*DATOS!$C$83/100/1000-N(T43))&gt;0.5*MIN(MAX(AY43,BA43)*AQ43*X43^2*1E-4*DATOS!$C$83/100/1000,N(T43)))),"FUERA: difieren &gt; 50 %"&amp;IF(AND(N(S43)&gt;0,ABS(MAX(AX43,AZ43)*AQ43*X43^2*1E-4*DATOS!$C$83/100/1000-N(S43))&gt;0.5*MIN(MAX(AX43,AZ43)*AQ43*X43^2*1E-4*DATOS!$C$83/100/1000,N(S43)))," ‖ corto","")&amp;IF(AND(N(T43)&gt;0,ABS(MAX(AY43,BA43)*AQ43*X43^2*1E-4*DATOS!$C$83/100/1000-N(T43))&gt;0.5*MIN(MAX(AY43,BA43)*AQ43*X43^2*1E-4*DATOS!$C$83/100/1000,N(T43)))," ‖ largo",""),"CUMPLE"))))</f>
        <v/>
      </c>
      <c r="BK43" s="58" t="str">
        <f>IF(U43&lt;&gt;"SÍ","",(DATOS!$C$82-AJ43-INDEX(TABLAS!$C$52:$C$58,MATCH(DATOS!$C$68,TABLAS!$B$52:$B$58,0))/2))</f>
        <v/>
      </c>
      <c r="BL43" s="58" t="str">
        <f>IF(U43&lt;&gt;"SÍ","",IF(IF(BF43&lt;=0,0,IF((1-2*BF43*1E5/(DATOS!$C$29*AG43*BK43^2*DATOS!$C$21))&lt;0,-1,IF((1-SQRT((1-2*BF43*1E5/(DATOS!$C$29*AG43*BK43^2*DATOS!$C$21))))*DATOS!$C$21*AG43*BK43/DATOS!$C$14&gt;DATOS!$C$99*AG43*BK43,-1,(1-SQRT((1-2*BF43*1E5/(DATOS!$C$29*AG43*BK43^2*DATOS!$C$21))))*DATOS!$C$21*AG43*BK43/DATOS!$C$14)))&lt;0,-1,MAX(IF(BF43&lt;=0,0,IF((1-2*BF43*1E5/(DATOS!$C$29*AG43*BK43^2*DATOS!$C$21))&lt;0,-1,IF((1-SQRT((1-2*BF43*1E5/(DATOS!$C$29*AG43*BK43^2*DATOS!$C$21))))*DATOS!$C$21*AG43*BK43/DATOS!$C$14&gt;DATOS!$C$99*AG43*BK43,-1,(1-SQRT((1-2*BF43*1E5/(DATOS!$C$29*AG43*BK43^2*DATOS!$C$21))))*DATOS!$C$21*AG43*BK43/DATOS!$C$14))),MIN(DATOS!$C$100*AC43*BK43,4/3*IF(BF43&lt;=0,0,IF((1-2*BF43*1E5/(DATOS!$C$29*AG43*BK43^2*DATOS!$C$21))&lt;0,-1,IF((1-SQRT((1-2*BF43*1E5/(DATOS!$C$29*AG43*BK43^2*DATOS!$C$21))))*DATOS!$C$21*AG43*BK43/DATOS!$C$14&gt;DATOS!$C$99*AG43*BK43,-1,(1-SQRT((1-2*BF43*1E5/(DATOS!$C$29*AG43*BK43^2*DATOS!$C$21))))*DATOS!$C$21*AG43*BK43/DATOS!$C$14)))))))</f>
        <v/>
      </c>
      <c r="BM43" s="64" t="str">
        <f>IF(U43&lt;&gt;"SÍ","",IF(AND(BL43&gt;=0,IF(MAX(DATOS!$C$71,CEILING(BL43/INDEX(TABLAS!$D$52:$D$58,MIN(MATCH(DATOS!$C$68,TABLAS!$B$52:$B$58,0)+0,7)),1))*INDEX(TABLAS!$D$52:$D$58,MIN(MATCH(DATOS!$C$68,TABLAS!$B$52:$B$58,0)+0,7))&gt;=4/3*IF(BF43&lt;=0,0,IF((1-2*BF43*1E5/(DATOS!$C$29*AG43*BK43^2*DATOS!$C$21))&lt;0,-1,IF((1-SQRT((1-2*BF43*1E5/(DATOS!$C$29*AG43*BK43^2*DATOS!$C$21))))*DATOS!$C$21*AG43*BK43/DATOS!$C$14&gt;DATOS!$C$99*AG43*BK43,-1,(1-SQRT((1-2*BF43*1E5/(DATOS!$C$29*AG43*BK43^2*DATOS!$C$21))))*DATOS!$C$21*AG43*BK43/DATOS!$C$14)))-0.0001,MAX(DATOS!$C$71,CEILING(BL43/INDEX(TABLAS!$D$52:$D$58,MIN(MATCH(DATOS!$C$68,TABLAS!$B$52:$B$58,0)+0,7)),1)),MAX(MAX(DATOS!$C$71,CEILING(BL43/INDEX(TABLAS!$D$52:$D$58,MIN(MATCH(DATOS!$C$68,TABLAS!$B$52:$B$58,0)+0,7)),1)),2))&lt;=MIN(DATOS!$C$70,INT(((AC43-2*AJ43)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43&gt;=0,IF(MAX(DATOS!$C$71,CEILING(BL43/INDEX(TABLAS!$D$52:$D$58,MIN(MATCH(DATOS!$C$68,TABLAS!$B$52:$B$58,0)+1,7)),1))*INDEX(TABLAS!$D$52:$D$58,MIN(MATCH(DATOS!$C$68,TABLAS!$B$52:$B$58,0)+1,7))&gt;=4/3*IF(BF43&lt;=0,0,IF((1-2*BF43*1E5/(DATOS!$C$29*AG43*BK43^2*DATOS!$C$21))&lt;0,-1,IF((1-SQRT((1-2*BF43*1E5/(DATOS!$C$29*AG43*BK43^2*DATOS!$C$21))))*DATOS!$C$21*AG43*BK43/DATOS!$C$14&gt;DATOS!$C$99*AG43*BK43,-1,(1-SQRT((1-2*BF43*1E5/(DATOS!$C$29*AG43*BK43^2*DATOS!$C$21))))*DATOS!$C$21*AG43*BK43/DATOS!$C$14)))-0.0001,MAX(DATOS!$C$71,CEILING(BL43/INDEX(TABLAS!$D$52:$D$58,MIN(MATCH(DATOS!$C$68,TABLAS!$B$52:$B$58,0)+1,7)),1)),MAX(MAX(DATOS!$C$71,CEILING(BL43/INDEX(TABLAS!$D$52:$D$58,MIN(MATCH(DATOS!$C$68,TABLAS!$B$52:$B$58,0)+1,7)),1)),2))&lt;=MIN(DATOS!$C$70,INT(((AC43-2*AJ43)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43&gt;=0,IF(MAX(DATOS!$C$71,CEILING(BL43/INDEX(TABLAS!$D$52:$D$58,MIN(MATCH(DATOS!$C$68,TABLAS!$B$52:$B$58,0)+2,7)),1))*INDEX(TABLAS!$D$52:$D$58,MIN(MATCH(DATOS!$C$68,TABLAS!$B$52:$B$58,0)+2,7))&gt;=4/3*IF(BF43&lt;=0,0,IF((1-2*BF43*1E5/(DATOS!$C$29*AG43*BK43^2*DATOS!$C$21))&lt;0,-1,IF((1-SQRT((1-2*BF43*1E5/(DATOS!$C$29*AG43*BK43^2*DATOS!$C$21))))*DATOS!$C$21*AG43*BK43/DATOS!$C$14&gt;DATOS!$C$99*AG43*BK43,-1,(1-SQRT((1-2*BF43*1E5/(DATOS!$C$29*AG43*BK43^2*DATOS!$C$21))))*DATOS!$C$21*AG43*BK43/DATOS!$C$14)))-0.0001,MAX(DATOS!$C$71,CEILING(BL43/INDEX(TABLAS!$D$52:$D$58,MIN(MATCH(DATOS!$C$68,TABLAS!$B$52:$B$58,0)+2,7)),1)),MAX(MAX(DATOS!$C$71,CEILING(BL43/INDEX(TABLAS!$D$52:$D$58,MIN(MATCH(DATOS!$C$68,TABLAS!$B$52:$B$58,0)+2,7)),1)),2))&lt;=MIN(DATOS!$C$70,INT(((AC43-2*AJ43)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43&gt;=0,IF(MAX(DATOS!$C$71,CEILING(BL43/INDEX(TABLAS!$D$52:$D$58,MIN(MATCH(DATOS!$C$68,TABLAS!$B$52:$B$58,0)+3,7)),1))*INDEX(TABLAS!$D$52:$D$58,MIN(MATCH(DATOS!$C$68,TABLAS!$B$52:$B$58,0)+3,7))&gt;=4/3*IF(BF43&lt;=0,0,IF((1-2*BF43*1E5/(DATOS!$C$29*AG43*BK43^2*DATOS!$C$21))&lt;0,-1,IF((1-SQRT((1-2*BF43*1E5/(DATOS!$C$29*AG43*BK43^2*DATOS!$C$21))))*DATOS!$C$21*AG43*BK43/DATOS!$C$14&gt;DATOS!$C$99*AG43*BK43,-1,(1-SQRT((1-2*BF43*1E5/(DATOS!$C$29*AG43*BK43^2*DATOS!$C$21))))*DATOS!$C$21*AG43*BK43/DATOS!$C$14)))-0.0001,MAX(DATOS!$C$71,CEILING(BL43/INDEX(TABLAS!$D$52:$D$58,MIN(MATCH(DATOS!$C$68,TABLAS!$B$52:$B$58,0)+3,7)),1)),MAX(MAX(DATOS!$C$71,CEILING(BL43/INDEX(TABLAS!$D$52:$D$58,MIN(MATCH(DATOS!$C$68,TABLAS!$B$52:$B$58,0)+3,7)),1)),2))&lt;=MIN(DATOS!$C$70,INT(((AC43-2*AJ43)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43&gt;=0,IF(MAX(DATOS!$C$71,CEILING(BL43/INDEX(TABLAS!$D$52:$D$58,MIN(MATCH(DATOS!$C$68,TABLAS!$B$52:$B$58,0)+4,7)),1))*INDEX(TABLAS!$D$52:$D$58,MIN(MATCH(DATOS!$C$68,TABLAS!$B$52:$B$58,0)+4,7))&gt;=4/3*IF(BF43&lt;=0,0,IF((1-2*BF43*1E5/(DATOS!$C$29*AG43*BK43^2*DATOS!$C$21))&lt;0,-1,IF((1-SQRT((1-2*BF43*1E5/(DATOS!$C$29*AG43*BK43^2*DATOS!$C$21))))*DATOS!$C$21*AG43*BK43/DATOS!$C$14&gt;DATOS!$C$99*AG43*BK43,-1,(1-SQRT((1-2*BF43*1E5/(DATOS!$C$29*AG43*BK43^2*DATOS!$C$21))))*DATOS!$C$21*AG43*BK43/DATOS!$C$14)))-0.0001,MAX(DATOS!$C$71,CEILING(BL43/INDEX(TABLAS!$D$52:$D$58,MIN(MATCH(DATOS!$C$68,TABLAS!$B$52:$B$58,0)+4,7)),1)),MAX(MAX(DATOS!$C$71,CEILING(BL43/INDEX(TABLAS!$D$52:$D$58,MIN(MATCH(DATOS!$C$68,TABLAS!$B$52:$B$58,0)+4,7)),1)),2))&lt;=MIN(DATOS!$C$70,INT(((AC43-2*AJ43)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43" s="59" t="str">
        <f>IF(U43&lt;&gt;"SÍ","",IF(BL43&lt;0,0,IF(MAX(DATOS!$C$71,CEILING(MAX(BL43,0)/INDEX(TABLAS!$D$52:$D$58,MATCH(BM43,TABLAS!$B$52:$B$58,0)),1))*INDEX(TABLAS!$D$52:$D$58,MATCH(BM43,TABLAS!$B$52:$B$58,0))&gt;=4/3*IF(BF43&lt;=0,0,IF((1-2*BF43*1E5/(DATOS!$C$29*AG43*BK43^2*DATOS!$C$21))&lt;0,-1,IF((1-SQRT((1-2*BF43*1E5/(DATOS!$C$29*AG43*BK43^2*DATOS!$C$21))))*DATOS!$C$21*AG43*BK43/DATOS!$C$14&gt;DATOS!$C$99*AG43*BK43,-1,(1-SQRT((1-2*BF43*1E5/(DATOS!$C$29*AG43*BK43^2*DATOS!$C$21))))*DATOS!$C$21*AG43*BK43/DATOS!$C$14)))-0.0001,MAX(DATOS!$C$71,CEILING(MAX(BL43,0)/INDEX(TABLAS!$D$52:$D$58,MATCH(BM43,TABLAS!$B$52:$B$58,0)),1)),MAX(MAX(DATOS!$C$71,CEILING(MAX(BL43,0)/INDEX(TABLAS!$D$52:$D$58,MATCH(BM43,TABLAS!$B$52:$B$58,0)),1)),2))))</f>
        <v/>
      </c>
      <c r="BO43" s="58" t="str">
        <f>IF(U43&lt;&gt;"SÍ","",DATOS!$C$82-AJ43-INDEX(TABLAS!$C$52:$C$58,MATCH(BM43,TABLAS!$B$52:$B$58,0))/2)</f>
        <v/>
      </c>
      <c r="BP43" s="56" t="str">
        <f>IF(U43&lt;&gt;"SÍ","",IF(BN43=0,0,DATOS!$C$29*BN43*INDEX(TABLAS!$D$52:$D$58,MATCH(BM43,TABLAS!$B$52:$B$58,0))*DATOS!$C$14*(BO43-BN43*INDEX(TABLAS!$D$52:$D$58,MATCH(BM43,TABLAS!$B$52:$B$58,0))*DATOS!$C$14/(DATOS!$C$21*AG43)/2)/1E5))</f>
        <v/>
      </c>
      <c r="BQ43" s="65" t="str">
        <f>IF(U43&lt;&gt;"SÍ","",IF(BL43&lt;0,9.99,IF(BP43&gt;0,BF43/BP43,0)))</f>
        <v/>
      </c>
      <c r="BR43" s="66" t="str">
        <f>IF(U43&lt;&gt;"SÍ","",IF(BN43=0,"—",0.003*(BO43-(BN43*INDEX(TABLAS!$D$52:$D$58,MATCH(BM43,TABLAS!$B$52:$B$58,0))*DATOS!$C$14/(DATOS!$C$21*AG43)/DATOS!$C$22))/(BN43*INDEX(TABLAS!$D$52:$D$58,MATCH(BM43,TABLAS!$B$52:$B$58,0))*DATOS!$C$14/(DATOS!$C$21*AG43)/DATOS!$C$22)))</f>
        <v/>
      </c>
      <c r="BS43" s="58" t="str">
        <f>IF(U43&lt;&gt;"SÍ","",((DATOS!$C$82-AL43-2*DATOS!$C$94-INDEX(TABLAS!$C$52:$C$58,MATCH(DATOS!$C$69,TABLAS!$B$52:$B$58,0))/2)-IF(AND((DATOS!$C$82-AL43-2*DATOS!$C$94-INDEX(TABLAS!$C$52:$C$58,MATCH(DATOS!$C$69,TABLAS!$B$52:$B$58,0))/2)&lt;=20,DATOS!$C$62&lt;&gt;"SÍ"),2,0)))</f>
        <v/>
      </c>
      <c r="BT43" s="58" t="str">
        <f>IF(U43&lt;&gt;"SÍ","",IF(IF(BG43&lt;=0,0,IF((1-2*BG43*1E5/(DATOS!$C$29*AE43*BS43^2*DATOS!$C$21))&lt;0,-1,IF((1-SQRT((1-2*BG43*1E5/(DATOS!$C$29*AE43*BS43^2*DATOS!$C$21))))*DATOS!$C$21*AE43*BS43/DATOS!$C$14&gt;DATOS!$C$99*AE43*BS43,-1,(1-SQRT((1-2*BG43*1E5/(DATOS!$C$29*AE43*BS43^2*DATOS!$C$21))))*DATOS!$C$21*AE43*BS43/DATOS!$C$14)))&lt;0,-1,MAX(IF(BG43&lt;=0,0,IF((1-2*BG43*1E5/(DATOS!$C$29*AE43*BS43^2*DATOS!$C$21))&lt;0,-1,IF((1-SQRT((1-2*BG43*1E5/(DATOS!$C$29*AE43*BS43^2*DATOS!$C$21))))*DATOS!$C$21*AE43*BS43/DATOS!$C$14&gt;DATOS!$C$99*AE43*BS43,-1,(1-SQRT((1-2*BG43*1E5/(DATOS!$C$29*AE43*BS43^2*DATOS!$C$21))))*DATOS!$C$21*AE43*BS43/DATOS!$C$14))),MIN(DATOS!$C$100*IF(C43="VOLADO",MIN(AG43,2*AC43),AC43)*BS43,4/3*IF(BG43&lt;=0,0,IF((1-2*BG43*1E5/(DATOS!$C$29*AE43*BS43^2*DATOS!$C$21))&lt;0,-1,IF((1-SQRT((1-2*BG43*1E5/(DATOS!$C$29*AE43*BS43^2*DATOS!$C$21))))*DATOS!$C$21*AE43*BS43/DATOS!$C$14&gt;DATOS!$C$99*AE43*BS43,-1,(1-SQRT((1-2*BG43*1E5/(DATOS!$C$29*AE43*BS43^2*DATOS!$C$21))))*DATOS!$C$21*AE43*BS43/DATOS!$C$14)))))))</f>
        <v/>
      </c>
      <c r="BU43" s="64" t="str">
        <f>IF(U43&lt;&gt;"SÍ","",IF(AND(BT43&gt;=0,IF(MAX(DATOS!$C$71,CEILING(BT43/INDEX(TABLAS!$D$52:$D$58,MIN(MATCH(DATOS!$C$69,TABLAS!$B$52:$B$58,0)+0,7)),1))*INDEX(TABLAS!$D$52:$D$58,MIN(MATCH(DATOS!$C$69,TABLAS!$B$52:$B$58,0)+0,7))&gt;=4/3*IF(BG43&lt;=0,0,IF((1-2*BG43*1E5/(DATOS!$C$29*AE43*BS43^2*DATOS!$C$21))&lt;0,-1,IF((1-SQRT((1-2*BG43*1E5/(DATOS!$C$29*AE43*BS43^2*DATOS!$C$21))))*DATOS!$C$21*AE43*BS43/DATOS!$C$14&gt;DATOS!$C$99*AE43*BS43,-1,(1-SQRT((1-2*BG43*1E5/(DATOS!$C$29*AE43*BS43^2*DATOS!$C$21))))*DATOS!$C$21*AE43*BS43/DATOS!$C$14)))-0.0001,MAX(DATOS!$C$71,CEILING(BT43/INDEX(TABLAS!$D$52:$D$58,MIN(MATCH(DATOS!$C$69,TABLAS!$B$52:$B$58,0)+0,7)),1)),MAX(MAX(DATOS!$C$71,CEILING(BT43/INDEX(TABLAS!$D$52:$D$58,MIN(MATCH(DATOS!$C$69,TABLAS!$B$52:$B$58,0)+0,7)),1)),2))&lt;=MIN(DATOS!$C$70,INT(((AC43-2*AK43)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43&gt;=0,IF(MAX(DATOS!$C$71,CEILING(BT43/INDEX(TABLAS!$D$52:$D$58,MIN(MATCH(DATOS!$C$69,TABLAS!$B$52:$B$58,0)+1,7)),1))*INDEX(TABLAS!$D$52:$D$58,MIN(MATCH(DATOS!$C$69,TABLAS!$B$52:$B$58,0)+1,7))&gt;=4/3*IF(BG43&lt;=0,0,IF((1-2*BG43*1E5/(DATOS!$C$29*AE43*BS43^2*DATOS!$C$21))&lt;0,-1,IF((1-SQRT((1-2*BG43*1E5/(DATOS!$C$29*AE43*BS43^2*DATOS!$C$21))))*DATOS!$C$21*AE43*BS43/DATOS!$C$14&gt;DATOS!$C$99*AE43*BS43,-1,(1-SQRT((1-2*BG43*1E5/(DATOS!$C$29*AE43*BS43^2*DATOS!$C$21))))*DATOS!$C$21*AE43*BS43/DATOS!$C$14)))-0.0001,MAX(DATOS!$C$71,CEILING(BT43/INDEX(TABLAS!$D$52:$D$58,MIN(MATCH(DATOS!$C$69,TABLAS!$B$52:$B$58,0)+1,7)),1)),MAX(MAX(DATOS!$C$71,CEILING(BT43/INDEX(TABLAS!$D$52:$D$58,MIN(MATCH(DATOS!$C$69,TABLAS!$B$52:$B$58,0)+1,7)),1)),2))&lt;=MIN(DATOS!$C$70,INT(((AC43-2*AK43)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43&gt;=0,IF(MAX(DATOS!$C$71,CEILING(BT43/INDEX(TABLAS!$D$52:$D$58,MIN(MATCH(DATOS!$C$69,TABLAS!$B$52:$B$58,0)+2,7)),1))*INDEX(TABLAS!$D$52:$D$58,MIN(MATCH(DATOS!$C$69,TABLAS!$B$52:$B$58,0)+2,7))&gt;=4/3*IF(BG43&lt;=0,0,IF((1-2*BG43*1E5/(DATOS!$C$29*AE43*BS43^2*DATOS!$C$21))&lt;0,-1,IF((1-SQRT((1-2*BG43*1E5/(DATOS!$C$29*AE43*BS43^2*DATOS!$C$21))))*DATOS!$C$21*AE43*BS43/DATOS!$C$14&gt;DATOS!$C$99*AE43*BS43,-1,(1-SQRT((1-2*BG43*1E5/(DATOS!$C$29*AE43*BS43^2*DATOS!$C$21))))*DATOS!$C$21*AE43*BS43/DATOS!$C$14)))-0.0001,MAX(DATOS!$C$71,CEILING(BT43/INDEX(TABLAS!$D$52:$D$58,MIN(MATCH(DATOS!$C$69,TABLAS!$B$52:$B$58,0)+2,7)),1)),MAX(MAX(DATOS!$C$71,CEILING(BT43/INDEX(TABLAS!$D$52:$D$58,MIN(MATCH(DATOS!$C$69,TABLAS!$B$52:$B$58,0)+2,7)),1)),2))&lt;=MIN(DATOS!$C$70,INT(((AC43-2*AK43)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43&gt;=0,IF(MAX(DATOS!$C$71,CEILING(BT43/INDEX(TABLAS!$D$52:$D$58,MIN(MATCH(DATOS!$C$69,TABLAS!$B$52:$B$58,0)+3,7)),1))*INDEX(TABLAS!$D$52:$D$58,MIN(MATCH(DATOS!$C$69,TABLAS!$B$52:$B$58,0)+3,7))&gt;=4/3*IF(BG43&lt;=0,0,IF((1-2*BG43*1E5/(DATOS!$C$29*AE43*BS43^2*DATOS!$C$21))&lt;0,-1,IF((1-SQRT((1-2*BG43*1E5/(DATOS!$C$29*AE43*BS43^2*DATOS!$C$21))))*DATOS!$C$21*AE43*BS43/DATOS!$C$14&gt;DATOS!$C$99*AE43*BS43,-1,(1-SQRT((1-2*BG43*1E5/(DATOS!$C$29*AE43*BS43^2*DATOS!$C$21))))*DATOS!$C$21*AE43*BS43/DATOS!$C$14)))-0.0001,MAX(DATOS!$C$71,CEILING(BT43/INDEX(TABLAS!$D$52:$D$58,MIN(MATCH(DATOS!$C$69,TABLAS!$B$52:$B$58,0)+3,7)),1)),MAX(MAX(DATOS!$C$71,CEILING(BT43/INDEX(TABLAS!$D$52:$D$58,MIN(MATCH(DATOS!$C$69,TABLAS!$B$52:$B$58,0)+3,7)),1)),2))&lt;=MIN(DATOS!$C$70,INT(((AC43-2*AK43)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43&gt;=0,IF(MAX(DATOS!$C$71,CEILING(BT43/INDEX(TABLAS!$D$52:$D$58,MIN(MATCH(DATOS!$C$69,TABLAS!$B$52:$B$58,0)+4,7)),1))*INDEX(TABLAS!$D$52:$D$58,MIN(MATCH(DATOS!$C$69,TABLAS!$B$52:$B$58,0)+4,7))&gt;=4/3*IF(BG43&lt;=0,0,IF((1-2*BG43*1E5/(DATOS!$C$29*AE43*BS43^2*DATOS!$C$21))&lt;0,-1,IF((1-SQRT((1-2*BG43*1E5/(DATOS!$C$29*AE43*BS43^2*DATOS!$C$21))))*DATOS!$C$21*AE43*BS43/DATOS!$C$14&gt;DATOS!$C$99*AE43*BS43,-1,(1-SQRT((1-2*BG43*1E5/(DATOS!$C$29*AE43*BS43^2*DATOS!$C$21))))*DATOS!$C$21*AE43*BS43/DATOS!$C$14)))-0.0001,MAX(DATOS!$C$71,CEILING(BT43/INDEX(TABLAS!$D$52:$D$58,MIN(MATCH(DATOS!$C$69,TABLAS!$B$52:$B$58,0)+4,7)),1)),MAX(MAX(DATOS!$C$71,CEILING(BT43/INDEX(TABLAS!$D$52:$D$58,MIN(MATCH(DATOS!$C$69,TABLAS!$B$52:$B$58,0)+4,7)),1)),2))&lt;=MIN(DATOS!$C$70,INT(((AC43-2*AK43)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43" s="59" t="str">
        <f>IF(U43&lt;&gt;"SÍ","",IF(BT43&lt;0,0,IF(MAX(DATOS!$C$71,CEILING(MAX(BT43,0)/INDEX(TABLAS!$D$52:$D$58,MATCH(BU43,TABLAS!$B$52:$B$58,0)),1))*INDEX(TABLAS!$D$52:$D$58,MATCH(BU43,TABLAS!$B$52:$B$58,0))&gt;=4/3*IF(BG43&lt;=0,0,IF((1-2*BG43*1E5/(DATOS!$C$29*AE43*BS43^2*DATOS!$C$21))&lt;0,-1,IF((1-SQRT((1-2*BG43*1E5/(DATOS!$C$29*AE43*BS43^2*DATOS!$C$21))))*DATOS!$C$21*AE43*BS43/DATOS!$C$14&gt;DATOS!$C$99*AE43*BS43,-1,(1-SQRT((1-2*BG43*1E5/(DATOS!$C$29*AE43*BS43^2*DATOS!$C$21))))*DATOS!$C$21*AE43*BS43/DATOS!$C$14)))-0.0001,MAX(DATOS!$C$71,CEILING(MAX(BT43,0)/INDEX(TABLAS!$D$52:$D$58,MATCH(BU43,TABLAS!$B$52:$B$58,0)),1)),MAX(MAX(DATOS!$C$71,CEILING(MAX(BT43,0)/INDEX(TABLAS!$D$52:$D$58,MATCH(BU43,TABLAS!$B$52:$B$58,0)),1)),2))))</f>
        <v/>
      </c>
      <c r="BW43" s="58" t="str">
        <f>IF(U43&lt;&gt;"SÍ","",((DATOS!$C$82-AL43-2*DATOS!$C$94-INDEX(TABLAS!$C$52:$C$58,MATCH(BU43,TABLAS!$B$52:$B$58,0))/2)-IF(AND((DATOS!$C$82-AL43-2*DATOS!$C$94-INDEX(TABLAS!$C$52:$C$58,MATCH(BU43,TABLAS!$B$52:$B$58,0))/2)&lt;=20,DATOS!$C$62&lt;&gt;"SÍ"),2,0)))</f>
        <v/>
      </c>
      <c r="BX43" s="56" t="str">
        <f>IF(U43&lt;&gt;"SÍ","",IF(BV43=0,0,DATOS!$C$29*BV43*INDEX(TABLAS!$D$52:$D$58,MATCH(BU43,TABLAS!$B$52:$B$58,0))*DATOS!$C$14*(BW43-BV43*INDEX(TABLAS!$D$52:$D$58,MATCH(BU43,TABLAS!$B$52:$B$58,0))*DATOS!$C$14/(DATOS!$C$21*AE43)/2)/1E5))</f>
        <v/>
      </c>
      <c r="BY43" s="65" t="str">
        <f>IF(U43&lt;&gt;"SÍ","",IF(BT43&lt;0,9.99,IF(BX43&gt;0,BG43/BX43,0)))</f>
        <v/>
      </c>
      <c r="BZ43" s="66" t="str">
        <f>IF(U43&lt;&gt;"SÍ","",IF(BV43=0,"—",0.003*(BW43-(BV43*INDEX(TABLAS!$D$52:$D$58,MATCH(BU43,TABLAS!$B$52:$B$58,0))*DATOS!$C$14/(DATOS!$C$21*AE43)/DATOS!$C$22))/(BV43*INDEX(TABLAS!$D$52:$D$58,MATCH(BU43,TABLAS!$B$52:$B$58,0))*DATOS!$C$14/(DATOS!$C$21*AE43)/DATOS!$C$22)))</f>
        <v/>
      </c>
      <c r="CA43" s="58" t="str">
        <f>IF(U43&lt;&gt;"SÍ","",(DATOS!$C$82-AJ43-INDEX(TABLAS!$C$52:$C$58,MATCH(DATOS!$C$68,TABLAS!$B$52:$B$58,0))-INDEX(TABLAS!$C$52:$C$58,MATCH(DATOS!$C$68,TABLAS!$B$52:$B$58,0))/2))</f>
        <v/>
      </c>
      <c r="CB43" s="58" t="str">
        <f>IF(U43&lt;&gt;"SÍ","",IF(IF(BH43&lt;=0,0,IF((1-2*BH43*1E5/(DATOS!$C$29*AH43*CA43^2*DATOS!$C$21))&lt;0,-1,IF((1-SQRT((1-2*BH43*1E5/(DATOS!$C$29*AH43*CA43^2*DATOS!$C$21))))*DATOS!$C$21*AH43*CA43/DATOS!$C$14&gt;DATOS!$C$99*AH43*CA43,-1,(1-SQRT((1-2*BH43*1E5/(DATOS!$C$29*AH43*CA43^2*DATOS!$C$21))))*DATOS!$C$21*AH43*CA43/DATOS!$C$14)))&lt;0,-1,MAX(IF(BH43&lt;=0,0,IF((1-2*BH43*1E5/(DATOS!$C$29*AH43*CA43^2*DATOS!$C$21))&lt;0,-1,IF((1-SQRT((1-2*BH43*1E5/(DATOS!$C$29*AH43*CA43^2*DATOS!$C$21))))*DATOS!$C$21*AH43*CA43/DATOS!$C$14&gt;DATOS!$C$99*AH43*CA43,-1,(1-SQRT((1-2*BH43*1E5/(DATOS!$C$29*AH43*CA43^2*DATOS!$C$21))))*DATOS!$C$21*AH43*CA43/DATOS!$C$14))),MIN(DATOS!$C$100*DATOS!$C$80*CA43,4/3*IF(BH43&lt;=0,0,IF((1-2*BH43*1E5/(DATOS!$C$29*AH43*CA43^2*DATOS!$C$21))&lt;0,-1,IF((1-SQRT((1-2*BH43*1E5/(DATOS!$C$29*AH43*CA43^2*DATOS!$C$21))))*DATOS!$C$21*AH43*CA43/DATOS!$C$14&gt;DATOS!$C$99*AH43*CA43,-1,(1-SQRT((1-2*BH43*1E5/(DATOS!$C$29*AH43*CA43^2*DATOS!$C$21))))*DATOS!$C$21*AH43*CA43/DATOS!$C$14)))))))</f>
        <v/>
      </c>
      <c r="CC43" s="64" t="str">
        <f>IF(U43&lt;&gt;"SÍ","",IF(AND(CB43&gt;=0,IF(MAX(DATOS!$C$71,CEILING(CB43/INDEX(TABLAS!$D$52:$D$58,MIN(MATCH(DATOS!$C$68,TABLAS!$B$52:$B$58,0)+0,7)),1))*INDEX(TABLAS!$D$52:$D$58,MIN(MATCH(DATOS!$C$68,TABLAS!$B$52:$B$58,0)+0,7))&gt;=4/3*IF(BH43&lt;=0,0,IF((1-2*BH43*1E5/(DATOS!$C$29*AH43*CA43^2*DATOS!$C$21))&lt;0,-1,IF((1-SQRT((1-2*BH43*1E5/(DATOS!$C$29*AH43*CA43^2*DATOS!$C$21))))*DATOS!$C$21*AH43*CA43/DATOS!$C$14&gt;DATOS!$C$99*AH43*CA43,-1,(1-SQRT((1-2*BH43*1E5/(DATOS!$C$29*AH43*CA43^2*DATOS!$C$21))))*DATOS!$C$21*AH43*CA43/DATOS!$C$14)))-0.0001,MAX(DATOS!$C$71,CEILING(CB43/INDEX(TABLAS!$D$52:$D$58,MIN(MATCH(DATOS!$C$68,TABLAS!$B$52:$B$58,0)+0,7)),1)),MAX(MAX(DATOS!$C$71,CEILING(CB43/INDEX(TABLAS!$D$52:$D$58,MIN(MATCH(DATOS!$C$68,TABLAS!$B$52:$B$58,0)+0,7)),1)),2))&lt;=MIN(DATOS!$C$70,INT(((DATOS!$C$80-2*AJ43)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43&gt;=0,IF(MAX(DATOS!$C$71,CEILING(CB43/INDEX(TABLAS!$D$52:$D$58,MIN(MATCH(DATOS!$C$68,TABLAS!$B$52:$B$58,0)+1,7)),1))*INDEX(TABLAS!$D$52:$D$58,MIN(MATCH(DATOS!$C$68,TABLAS!$B$52:$B$58,0)+1,7))&gt;=4/3*IF(BH43&lt;=0,0,IF((1-2*BH43*1E5/(DATOS!$C$29*AH43*CA43^2*DATOS!$C$21))&lt;0,-1,IF((1-SQRT((1-2*BH43*1E5/(DATOS!$C$29*AH43*CA43^2*DATOS!$C$21))))*DATOS!$C$21*AH43*CA43/DATOS!$C$14&gt;DATOS!$C$99*AH43*CA43,-1,(1-SQRT((1-2*BH43*1E5/(DATOS!$C$29*AH43*CA43^2*DATOS!$C$21))))*DATOS!$C$21*AH43*CA43/DATOS!$C$14)))-0.0001,MAX(DATOS!$C$71,CEILING(CB43/INDEX(TABLAS!$D$52:$D$58,MIN(MATCH(DATOS!$C$68,TABLAS!$B$52:$B$58,0)+1,7)),1)),MAX(MAX(DATOS!$C$71,CEILING(CB43/INDEX(TABLAS!$D$52:$D$58,MIN(MATCH(DATOS!$C$68,TABLAS!$B$52:$B$58,0)+1,7)),1)),2))&lt;=MIN(DATOS!$C$70,INT(((DATOS!$C$80-2*AJ43)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43&gt;=0,IF(MAX(DATOS!$C$71,CEILING(CB43/INDEX(TABLAS!$D$52:$D$58,MIN(MATCH(DATOS!$C$68,TABLAS!$B$52:$B$58,0)+2,7)),1))*INDEX(TABLAS!$D$52:$D$58,MIN(MATCH(DATOS!$C$68,TABLAS!$B$52:$B$58,0)+2,7))&gt;=4/3*IF(BH43&lt;=0,0,IF((1-2*BH43*1E5/(DATOS!$C$29*AH43*CA43^2*DATOS!$C$21))&lt;0,-1,IF((1-SQRT((1-2*BH43*1E5/(DATOS!$C$29*AH43*CA43^2*DATOS!$C$21))))*DATOS!$C$21*AH43*CA43/DATOS!$C$14&gt;DATOS!$C$99*AH43*CA43,-1,(1-SQRT((1-2*BH43*1E5/(DATOS!$C$29*AH43*CA43^2*DATOS!$C$21))))*DATOS!$C$21*AH43*CA43/DATOS!$C$14)))-0.0001,MAX(DATOS!$C$71,CEILING(CB43/INDEX(TABLAS!$D$52:$D$58,MIN(MATCH(DATOS!$C$68,TABLAS!$B$52:$B$58,0)+2,7)),1)),MAX(MAX(DATOS!$C$71,CEILING(CB43/INDEX(TABLAS!$D$52:$D$58,MIN(MATCH(DATOS!$C$68,TABLAS!$B$52:$B$58,0)+2,7)),1)),2))&lt;=MIN(DATOS!$C$70,INT(((DATOS!$C$80-2*AJ43)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43&gt;=0,IF(MAX(DATOS!$C$71,CEILING(CB43/INDEX(TABLAS!$D$52:$D$58,MIN(MATCH(DATOS!$C$68,TABLAS!$B$52:$B$58,0)+3,7)),1))*INDEX(TABLAS!$D$52:$D$58,MIN(MATCH(DATOS!$C$68,TABLAS!$B$52:$B$58,0)+3,7))&gt;=4/3*IF(BH43&lt;=0,0,IF((1-2*BH43*1E5/(DATOS!$C$29*AH43*CA43^2*DATOS!$C$21))&lt;0,-1,IF((1-SQRT((1-2*BH43*1E5/(DATOS!$C$29*AH43*CA43^2*DATOS!$C$21))))*DATOS!$C$21*AH43*CA43/DATOS!$C$14&gt;DATOS!$C$99*AH43*CA43,-1,(1-SQRT((1-2*BH43*1E5/(DATOS!$C$29*AH43*CA43^2*DATOS!$C$21))))*DATOS!$C$21*AH43*CA43/DATOS!$C$14)))-0.0001,MAX(DATOS!$C$71,CEILING(CB43/INDEX(TABLAS!$D$52:$D$58,MIN(MATCH(DATOS!$C$68,TABLAS!$B$52:$B$58,0)+3,7)),1)),MAX(MAX(DATOS!$C$71,CEILING(CB43/INDEX(TABLAS!$D$52:$D$58,MIN(MATCH(DATOS!$C$68,TABLAS!$B$52:$B$58,0)+3,7)),1)),2))&lt;=MIN(DATOS!$C$70,INT(((DATOS!$C$80-2*AJ43)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43&gt;=0,IF(MAX(DATOS!$C$71,CEILING(CB43/INDEX(TABLAS!$D$52:$D$58,MIN(MATCH(DATOS!$C$68,TABLAS!$B$52:$B$58,0)+4,7)),1))*INDEX(TABLAS!$D$52:$D$58,MIN(MATCH(DATOS!$C$68,TABLAS!$B$52:$B$58,0)+4,7))&gt;=4/3*IF(BH43&lt;=0,0,IF((1-2*BH43*1E5/(DATOS!$C$29*AH43*CA43^2*DATOS!$C$21))&lt;0,-1,IF((1-SQRT((1-2*BH43*1E5/(DATOS!$C$29*AH43*CA43^2*DATOS!$C$21))))*DATOS!$C$21*AH43*CA43/DATOS!$C$14&gt;DATOS!$C$99*AH43*CA43,-1,(1-SQRT((1-2*BH43*1E5/(DATOS!$C$29*AH43*CA43^2*DATOS!$C$21))))*DATOS!$C$21*AH43*CA43/DATOS!$C$14)))-0.0001,MAX(DATOS!$C$71,CEILING(CB43/INDEX(TABLAS!$D$52:$D$58,MIN(MATCH(DATOS!$C$68,TABLAS!$B$52:$B$58,0)+4,7)),1)),MAX(MAX(DATOS!$C$71,CEILING(CB43/INDEX(TABLAS!$D$52:$D$58,MIN(MATCH(DATOS!$C$68,TABLAS!$B$52:$B$58,0)+4,7)),1)),2))&lt;=MIN(DATOS!$C$70,INT(((DATOS!$C$80-2*AJ43)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43" s="59" t="str">
        <f>IF(U43&lt;&gt;"SÍ","",IF(CB43&lt;0,0,IF(MAX(DATOS!$C$71,CEILING(MAX(CB43,0)/INDEX(TABLAS!$D$52:$D$58,MATCH(CC43,TABLAS!$B$52:$B$58,0)),1))*INDEX(TABLAS!$D$52:$D$58,MATCH(CC43,TABLAS!$B$52:$B$58,0))&gt;=4/3*IF(BH43&lt;=0,0,IF((1-2*BH43*1E5/(DATOS!$C$29*AH43*CA43^2*DATOS!$C$21))&lt;0,-1,IF((1-SQRT((1-2*BH43*1E5/(DATOS!$C$29*AH43*CA43^2*DATOS!$C$21))))*DATOS!$C$21*AH43*CA43/DATOS!$C$14&gt;DATOS!$C$99*AH43*CA43,-1,(1-SQRT((1-2*BH43*1E5/(DATOS!$C$29*AH43*CA43^2*DATOS!$C$21))))*DATOS!$C$21*AH43*CA43/DATOS!$C$14)))-0.0001,MAX(DATOS!$C$71,CEILING(MAX(CB43,0)/INDEX(TABLAS!$D$52:$D$58,MATCH(CC43,TABLAS!$B$52:$B$58,0)),1)),MAX(MAX(DATOS!$C$71,CEILING(MAX(CB43,0)/INDEX(TABLAS!$D$52:$D$58,MATCH(CC43,TABLAS!$B$52:$B$58,0)),1)),2))))</f>
        <v/>
      </c>
      <c r="CE43" s="58" t="str">
        <f>IF(U43&lt;&gt;"SÍ","",DATOS!$C$82-AJ43-INDEX(TABLAS!$C$52:$C$58,MATCH(BM43,TABLAS!$B$52:$B$58,0))-INDEX(TABLAS!$C$52:$C$58,MATCH(CC43,TABLAS!$B$52:$B$58,0))/2)</f>
        <v/>
      </c>
      <c r="CF43" s="56" t="str">
        <f>IF(U43&lt;&gt;"SÍ","",IF(CD43=0,0,DATOS!$C$29*CD43*INDEX(TABLAS!$D$52:$D$58,MATCH(CC43,TABLAS!$B$52:$B$58,0))*DATOS!$C$14*(CE43-CD43*INDEX(TABLAS!$D$52:$D$58,MATCH(CC43,TABLAS!$B$52:$B$58,0))*DATOS!$C$14/(DATOS!$C$21*AH43)/2)/1E5))</f>
        <v/>
      </c>
      <c r="CG43" s="65" t="str">
        <f>IF(U43&lt;&gt;"SÍ","",IF(CB43&lt;0,9.99,IF(CF43&gt;0,BH43/CF43,0)))</f>
        <v/>
      </c>
      <c r="CH43" s="66" t="str">
        <f>IF(U43&lt;&gt;"SÍ","",IF(CD43=0,"—",0.003*(CE43-(CD43*INDEX(TABLAS!$D$52:$D$58,MATCH(CC43,TABLAS!$B$52:$B$58,0))*DATOS!$C$14/(DATOS!$C$21*AH43)/DATOS!$C$22))/(CD43*INDEX(TABLAS!$D$52:$D$58,MATCH(CC43,TABLAS!$B$52:$B$58,0))*DATOS!$C$14/(DATOS!$C$21*AH43)/DATOS!$C$22)))</f>
        <v/>
      </c>
      <c r="CI43" s="58" t="str">
        <f>IF(U43&lt;&gt;"SÍ","",((DATOS!$C$82-AL43-2*DATOS!$C$94-INDEX(TABLAS!$C$52:$C$58,MATCH(DATOS!$C$69,TABLAS!$B$52:$B$58,0))-INDEX(TABLAS!$C$52:$C$58,MATCH(DATOS!$C$69,TABLAS!$B$52:$B$58,0))/2)-IF(AND((DATOS!$C$82-AL43-2*DATOS!$C$94-INDEX(TABLAS!$C$52:$C$58,MATCH(DATOS!$C$69,TABLAS!$B$52:$B$58,0))-INDEX(TABLAS!$C$52:$C$58,MATCH(DATOS!$C$69,TABLAS!$B$52:$B$58,0))/2)&lt;=20,DATOS!$C$62&lt;&gt;"SÍ"),2,0)))</f>
        <v/>
      </c>
      <c r="CJ43" s="58" t="str">
        <f>IF(U43&lt;&gt;"SÍ","",IF(IF(BI43&lt;=0,0,IF((1-2*BI43*1E5/(DATOS!$C$29*AF43*CI43^2*DATOS!$C$21))&lt;0,-1,IF((1-SQRT((1-2*BI43*1E5/(DATOS!$C$29*AF43*CI43^2*DATOS!$C$21))))*DATOS!$C$21*AF43*CI43/DATOS!$C$14&gt;DATOS!$C$99*AF43*CI43,-1,(1-SQRT((1-2*BI43*1E5/(DATOS!$C$29*AF43*CI43^2*DATOS!$C$21))))*DATOS!$C$21*AF43*CI43/DATOS!$C$14)))&lt;0,-1,MAX(IF(BI43&lt;=0,0,IF((1-2*BI43*1E5/(DATOS!$C$29*AF43*CI43^2*DATOS!$C$21))&lt;0,-1,IF((1-SQRT((1-2*BI43*1E5/(DATOS!$C$29*AF43*CI43^2*DATOS!$C$21))))*DATOS!$C$21*AF43*CI43/DATOS!$C$14&gt;DATOS!$C$99*AF43*CI43,-1,(1-SQRT((1-2*BI43*1E5/(DATOS!$C$29*AF43*CI43^2*DATOS!$C$21))))*DATOS!$C$21*AF43*CI43/DATOS!$C$14))),MIN(DATOS!$C$100*DATOS!$C$80*CI43,4/3*IF(BI43&lt;=0,0,IF((1-2*BI43*1E5/(DATOS!$C$29*AF43*CI43^2*DATOS!$C$21))&lt;0,-1,IF((1-SQRT((1-2*BI43*1E5/(DATOS!$C$29*AF43*CI43^2*DATOS!$C$21))))*DATOS!$C$21*AF43*CI43/DATOS!$C$14&gt;DATOS!$C$99*AF43*CI43,-1,(1-SQRT((1-2*BI43*1E5/(DATOS!$C$29*AF43*CI43^2*DATOS!$C$21))))*DATOS!$C$21*AF43*CI43/DATOS!$C$14)))))))</f>
        <v/>
      </c>
      <c r="CK43" s="64" t="str">
        <f>IF(U43&lt;&gt;"SÍ","",IF(AND(CJ43&gt;=0,IF(MAX(DATOS!$C$71,CEILING(CJ43/INDEX(TABLAS!$D$52:$D$58,MIN(MATCH(DATOS!$C$69,TABLAS!$B$52:$B$58,0)+0,7)),1))*INDEX(TABLAS!$D$52:$D$58,MIN(MATCH(DATOS!$C$69,TABLAS!$B$52:$B$58,0)+0,7))&gt;=4/3*IF(BI43&lt;=0,0,IF((1-2*BI43*1E5/(DATOS!$C$29*AF43*CI43^2*DATOS!$C$21))&lt;0,-1,IF((1-SQRT((1-2*BI43*1E5/(DATOS!$C$29*AF43*CI43^2*DATOS!$C$21))))*DATOS!$C$21*AF43*CI43/DATOS!$C$14&gt;DATOS!$C$99*AF43*CI43,-1,(1-SQRT((1-2*BI43*1E5/(DATOS!$C$29*AF43*CI43^2*DATOS!$C$21))))*DATOS!$C$21*AF43*CI43/DATOS!$C$14)))-0.0001,MAX(DATOS!$C$71,CEILING(CJ43/INDEX(TABLAS!$D$52:$D$58,MIN(MATCH(DATOS!$C$69,TABLAS!$B$52:$B$58,0)+0,7)),1)),MAX(MAX(DATOS!$C$71,CEILING(CJ43/INDEX(TABLAS!$D$52:$D$58,MIN(MATCH(DATOS!$C$69,TABLAS!$B$52:$B$58,0)+0,7)),1)),2))&lt;=MIN(DATOS!$C$70,INT(((DATOS!$C$80-2*AK43)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43&gt;=0,IF(MAX(DATOS!$C$71,CEILING(CJ43/INDEX(TABLAS!$D$52:$D$58,MIN(MATCH(DATOS!$C$69,TABLAS!$B$52:$B$58,0)+1,7)),1))*INDEX(TABLAS!$D$52:$D$58,MIN(MATCH(DATOS!$C$69,TABLAS!$B$52:$B$58,0)+1,7))&gt;=4/3*IF(BI43&lt;=0,0,IF((1-2*BI43*1E5/(DATOS!$C$29*AF43*CI43^2*DATOS!$C$21))&lt;0,-1,IF((1-SQRT((1-2*BI43*1E5/(DATOS!$C$29*AF43*CI43^2*DATOS!$C$21))))*DATOS!$C$21*AF43*CI43/DATOS!$C$14&gt;DATOS!$C$99*AF43*CI43,-1,(1-SQRT((1-2*BI43*1E5/(DATOS!$C$29*AF43*CI43^2*DATOS!$C$21))))*DATOS!$C$21*AF43*CI43/DATOS!$C$14)))-0.0001,MAX(DATOS!$C$71,CEILING(CJ43/INDEX(TABLAS!$D$52:$D$58,MIN(MATCH(DATOS!$C$69,TABLAS!$B$52:$B$58,0)+1,7)),1)),MAX(MAX(DATOS!$C$71,CEILING(CJ43/INDEX(TABLAS!$D$52:$D$58,MIN(MATCH(DATOS!$C$69,TABLAS!$B$52:$B$58,0)+1,7)),1)),2))&lt;=MIN(DATOS!$C$70,INT(((DATOS!$C$80-2*AK43)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43&gt;=0,IF(MAX(DATOS!$C$71,CEILING(CJ43/INDEX(TABLAS!$D$52:$D$58,MIN(MATCH(DATOS!$C$69,TABLAS!$B$52:$B$58,0)+2,7)),1))*INDEX(TABLAS!$D$52:$D$58,MIN(MATCH(DATOS!$C$69,TABLAS!$B$52:$B$58,0)+2,7))&gt;=4/3*IF(BI43&lt;=0,0,IF((1-2*BI43*1E5/(DATOS!$C$29*AF43*CI43^2*DATOS!$C$21))&lt;0,-1,IF((1-SQRT((1-2*BI43*1E5/(DATOS!$C$29*AF43*CI43^2*DATOS!$C$21))))*DATOS!$C$21*AF43*CI43/DATOS!$C$14&gt;DATOS!$C$99*AF43*CI43,-1,(1-SQRT((1-2*BI43*1E5/(DATOS!$C$29*AF43*CI43^2*DATOS!$C$21))))*DATOS!$C$21*AF43*CI43/DATOS!$C$14)))-0.0001,MAX(DATOS!$C$71,CEILING(CJ43/INDEX(TABLAS!$D$52:$D$58,MIN(MATCH(DATOS!$C$69,TABLAS!$B$52:$B$58,0)+2,7)),1)),MAX(MAX(DATOS!$C$71,CEILING(CJ43/INDEX(TABLAS!$D$52:$D$58,MIN(MATCH(DATOS!$C$69,TABLAS!$B$52:$B$58,0)+2,7)),1)),2))&lt;=MIN(DATOS!$C$70,INT(((DATOS!$C$80-2*AK43)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43&gt;=0,IF(MAX(DATOS!$C$71,CEILING(CJ43/INDEX(TABLAS!$D$52:$D$58,MIN(MATCH(DATOS!$C$69,TABLAS!$B$52:$B$58,0)+3,7)),1))*INDEX(TABLAS!$D$52:$D$58,MIN(MATCH(DATOS!$C$69,TABLAS!$B$52:$B$58,0)+3,7))&gt;=4/3*IF(BI43&lt;=0,0,IF((1-2*BI43*1E5/(DATOS!$C$29*AF43*CI43^2*DATOS!$C$21))&lt;0,-1,IF((1-SQRT((1-2*BI43*1E5/(DATOS!$C$29*AF43*CI43^2*DATOS!$C$21))))*DATOS!$C$21*AF43*CI43/DATOS!$C$14&gt;DATOS!$C$99*AF43*CI43,-1,(1-SQRT((1-2*BI43*1E5/(DATOS!$C$29*AF43*CI43^2*DATOS!$C$21))))*DATOS!$C$21*AF43*CI43/DATOS!$C$14)))-0.0001,MAX(DATOS!$C$71,CEILING(CJ43/INDEX(TABLAS!$D$52:$D$58,MIN(MATCH(DATOS!$C$69,TABLAS!$B$52:$B$58,0)+3,7)),1)),MAX(MAX(DATOS!$C$71,CEILING(CJ43/INDEX(TABLAS!$D$52:$D$58,MIN(MATCH(DATOS!$C$69,TABLAS!$B$52:$B$58,0)+3,7)),1)),2))&lt;=MIN(DATOS!$C$70,INT(((DATOS!$C$80-2*AK43)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43&gt;=0,IF(MAX(DATOS!$C$71,CEILING(CJ43/INDEX(TABLAS!$D$52:$D$58,MIN(MATCH(DATOS!$C$69,TABLAS!$B$52:$B$58,0)+4,7)),1))*INDEX(TABLAS!$D$52:$D$58,MIN(MATCH(DATOS!$C$69,TABLAS!$B$52:$B$58,0)+4,7))&gt;=4/3*IF(BI43&lt;=0,0,IF((1-2*BI43*1E5/(DATOS!$C$29*AF43*CI43^2*DATOS!$C$21))&lt;0,-1,IF((1-SQRT((1-2*BI43*1E5/(DATOS!$C$29*AF43*CI43^2*DATOS!$C$21))))*DATOS!$C$21*AF43*CI43/DATOS!$C$14&gt;DATOS!$C$99*AF43*CI43,-1,(1-SQRT((1-2*BI43*1E5/(DATOS!$C$29*AF43*CI43^2*DATOS!$C$21))))*DATOS!$C$21*AF43*CI43/DATOS!$C$14)))-0.0001,MAX(DATOS!$C$71,CEILING(CJ43/INDEX(TABLAS!$D$52:$D$58,MIN(MATCH(DATOS!$C$69,TABLAS!$B$52:$B$58,0)+4,7)),1)),MAX(MAX(DATOS!$C$71,CEILING(CJ43/INDEX(TABLAS!$D$52:$D$58,MIN(MATCH(DATOS!$C$69,TABLAS!$B$52:$B$58,0)+4,7)),1)),2))&lt;=MIN(DATOS!$C$70,INT(((DATOS!$C$80-2*AK43)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43" s="59" t="str">
        <f>IF(U43&lt;&gt;"SÍ","",IF(CJ43&lt;0,0,IF(MAX(DATOS!$C$71,CEILING(MAX(CJ43,0)/INDEX(TABLAS!$D$52:$D$58,MATCH(CK43,TABLAS!$B$52:$B$58,0)),1))*INDEX(TABLAS!$D$52:$D$58,MATCH(CK43,TABLAS!$B$52:$B$58,0))&gt;=4/3*IF(BI43&lt;=0,0,IF((1-2*BI43*1E5/(DATOS!$C$29*AF43*CI43^2*DATOS!$C$21))&lt;0,-1,IF((1-SQRT((1-2*BI43*1E5/(DATOS!$C$29*AF43*CI43^2*DATOS!$C$21))))*DATOS!$C$21*AF43*CI43/DATOS!$C$14&gt;DATOS!$C$99*AF43*CI43,-1,(1-SQRT((1-2*BI43*1E5/(DATOS!$C$29*AF43*CI43^2*DATOS!$C$21))))*DATOS!$C$21*AF43*CI43/DATOS!$C$14)))-0.0001,MAX(DATOS!$C$71,CEILING(MAX(CJ43,0)/INDEX(TABLAS!$D$52:$D$58,MATCH(CK43,TABLAS!$B$52:$B$58,0)),1)),MAX(MAX(DATOS!$C$71,CEILING(MAX(CJ43,0)/INDEX(TABLAS!$D$52:$D$58,MATCH(CK43,TABLAS!$B$52:$B$58,0)),1)),2))))</f>
        <v/>
      </c>
      <c r="CM43" s="58" t="str">
        <f>IF(U43&lt;&gt;"SÍ","",((DATOS!$C$82-AL43-2*DATOS!$C$94-INDEX(TABLAS!$C$52:$C$58,MATCH(BU43,TABLAS!$B$52:$B$58,0))-INDEX(TABLAS!$C$52:$C$58,MATCH(CK43,TABLAS!$B$52:$B$58,0))/2)-IF(AND((DATOS!$C$82-AL43-2*DATOS!$C$94-INDEX(TABLAS!$C$52:$C$58,MATCH(BU43,TABLAS!$B$52:$B$58,0))-INDEX(TABLAS!$C$52:$C$58,MATCH(CK43,TABLAS!$B$52:$B$58,0))/2)&lt;=20,DATOS!$C$62&lt;&gt;"SÍ"),2,0)))</f>
        <v/>
      </c>
      <c r="CN43" s="56" t="str">
        <f>IF(U43&lt;&gt;"SÍ","",IF(CL43=0,0,DATOS!$C$29*CL43*INDEX(TABLAS!$D$52:$D$58,MATCH(CK43,TABLAS!$B$52:$B$58,0))*DATOS!$C$14*(CM43-CL43*INDEX(TABLAS!$D$52:$D$58,MATCH(CK43,TABLAS!$B$52:$B$58,0))*DATOS!$C$14/(DATOS!$C$21*AF43)/2)/1E5))</f>
        <v/>
      </c>
      <c r="CO43" s="65" t="str">
        <f>IF(U43&lt;&gt;"SÍ","",IF(CJ43&lt;0,9.99,IF(CN43&gt;0,BI43/CN43,0)))</f>
        <v/>
      </c>
      <c r="CP43" s="66" t="str">
        <f>IF(U43&lt;&gt;"SÍ","",IF(CL43=0,"—",0.003*(CM43-(CL43*INDEX(TABLAS!$D$52:$D$58,MATCH(CK43,TABLAS!$B$52:$B$58,0))*DATOS!$C$14/(DATOS!$C$21*AF43)/DATOS!$C$22))/(CL43*INDEX(TABLAS!$D$52:$D$58,MATCH(CK43,TABLAS!$B$52:$B$58,0))*DATOS!$C$14/(DATOS!$C$21*AF43)/DATOS!$C$22)))</f>
        <v/>
      </c>
      <c r="CQ43" s="56" t="str">
        <f>IF(U43&lt;&gt;"SÍ","",IF(C43="PERIMETRAL",MAX(0,(AA43/2-BW43)/100)*(0.95-0.5*Z43)*AQ43*IF(AND(AR43&gt;0,AR43&lt;4),DATOS!$C$33,1)*DATOS!$C$83/100/1000,(AQ43*MAX(0,AA43-BW43)/100+DATOS!$C$26*N(O43))*DATOS!$C$83/100/1000+BE43))</f>
        <v/>
      </c>
      <c r="CR43" s="56" t="str">
        <f>IF(U43&lt;&gt;"SÍ","",DATOS!$C$30*2*MIN(1,SQRT(2/(1+0.04*BW43)))*(BV43*INDEX(TABLAS!$D$52:$D$58,MATCH(BU43,TABLAS!$B$52:$B$58,0))/(AE43*BW43))^(1/3)*SQRT(DATOS!$C$13)*AE43*BW43*IF(AI43="SÍ",DATOS!$C$32,1)/1000)</f>
        <v/>
      </c>
      <c r="CS43" s="59" t="str">
        <f>IF(U43&lt;&gt;"SÍ","",IF(CQ43&lt;=CR43,0,CEILING(MAX(0,IF(C43="VOLADO",(AA43-((CR43-BE43)*1E5/DATOS!$C$83-DATOS!$C$26*N(O43))*100/AQ43),IF(CR43&lt;=0,AA43,AA43/2-CR43/MAX(CQ43,1E-9)*(AA43/2-BW43)))-IF(INT((X43*100-DATOS!$C$84+DATOS!$C$80)/DATOS!$C$83)&gt;0,(X43*100-DATOS!$C$84-(INT((X43*100-DATOS!$C$84+DATOS!$C$80)/DATOS!$C$83)*DATOS!$C$78+(INT((X43*100-DATOS!$C$84+DATOS!$C$80)/DATOS!$C$83)-1)*DATOS!$C$80))/2,X43*100/2))/DATOS!$C$83,1)))</f>
        <v/>
      </c>
      <c r="CT43" s="67" t="str">
        <f>IF(U43&lt;&gt;"SÍ","",IF(CQ43&lt;=CR43,"CUMPLE",IF(CS43&lt;=0,"CUMPLE (basta el macizo de orilla)",IF(CS43*DATOS!$C$83*IF(C43="VOLADO",1,2)&gt;=X43*100-DATOS!$C$84,"NO CUMPLE: no alcanza ni macizando todo","MACIZAR "&amp;CS43&amp;" hilera(s)"))))</f>
        <v/>
      </c>
      <c r="CU43" s="58" t="str">
        <f>IF(U43&lt;&gt;"SÍ","",(DATOS!$C$83*DATOS!$C$81^2/2+AC43*DATOS!$C$79*(DATOS!$C$81+DATOS!$C$79/2))/(DATOS!$C$83*DATOS!$C$81+AC43*DATOS!$C$79))</f>
        <v/>
      </c>
      <c r="CV43" s="68" t="str">
        <f>IF(U43&lt;&gt;"SÍ","",DATOS!$C$83*DATOS!$C$81^3/12+DATOS!$C$83*DATOS!$C$81*(CU43-DATOS!$C$81/2)^2+AC43*DATOS!$C$79^3/12+AC43*DATOS!$C$79*(DATOS!$C$81+DATOS!$C$79/2-CU43)^2)</f>
        <v/>
      </c>
      <c r="CW43" s="58" t="str">
        <f>IF(U43&lt;&gt;"SÍ","",(12*CV43/DATOS!$C$83)^(1/3))</f>
        <v/>
      </c>
      <c r="CX43" s="58" t="str">
        <f>IF(U43&lt;&gt;"SÍ","",IF(C43="PERIMETRAL",IF(ISNUMBER(R43),R43,DATOS!$C$101),0))</f>
        <v/>
      </c>
      <c r="CY43" s="57" t="str">
        <f>IF(U43&lt;&gt;"SÍ","",IF(C43="PERIMETRAL",IF(CX43&gt;2,MAX(9,AB43*(0.8+DATOS!$C$14/14000)/(36+9*(AB43/MAX(AA43,1)))),IF(CX43&gt;0.2,MAX(13,AB43*(0.8+DATOS!$C$14/14000)/(36+5*(AB43/MAX(AA43,1))*(CX43-0.2))),MAX(13,AB43/IF(AR43&gt;0,30,33))))*IF(AND(CX43&gt;0.2,AR43&gt;0,DATOS!$C$102="NO"),1.1,1),X43*100/8))</f>
        <v/>
      </c>
      <c r="CZ43" s="61" t="str">
        <f>IF(U43&lt;&gt;"SÍ","",IF(IF(C43="VOLADO",DATOS!$C$82,CW43)&gt;=CY43,"CUMPLE",IF(C43="VOLADO","NO CUMPLE","CALCULAR FLECHA")))</f>
        <v/>
      </c>
      <c r="DA43" s="55" t="str">
        <f>IF(U43&lt;&gt;"SÍ","",IF(DATOS!$C$81&gt;=IF(IF(C43="VOLADO",X43,Y43)&gt;=6,6,5),"CUMPLE","CAPA ≥ 6 cm"))</f>
        <v/>
      </c>
      <c r="DB43" s="60" t="str">
        <f>IF(U43&lt;&gt;"SÍ","",IF(C43="VOLADO",MIN(CEILING(IF(ISNUMBER(P43),P43,X43)*100,5),CEILING(MAX(IF((0.5*(0.9*DATOS!$C$87*DATOS!$C$83/100/1000)*IF(ISNUMBER(P43),P43,X43)+BG43/IF(ISNUMBER(P43),P43,X43))^2-4*(0.5*(0.9*DATOS!$C$87*DATOS!$C$83/100/1000))*BG43&lt;0,IF(ISNUMBER(P43),P43,X43),MIN(IF(ISNUMBER(P43),P43,X43),((0.5*(0.9*DATOS!$C$87*DATOS!$C$83/100/1000)*IF(ISNUMBER(P43),P43,X43)+BG43/IF(ISNUMBER(P43),P43,X43))-SQRT((0.5*(0.9*DATOS!$C$87*DATOS!$C$83/100/1000)*IF(ISNUMBER(P43),P43,X43)+BG43/IF(ISNUMBER(P43),P43,X43))^2-4*(0.5*(0.9*DATOS!$C$87*DATOS!$C$83/100/1000))*BG43))/(2*(0.5*(0.9*DATOS!$C$87*DATOS!$C$83/100/1000)))))*100+MAX(BW43,12*INDEX(TABLAS!$C$52:$C$58,MATCH(BU43,TABLAS!$B$52:$B$58,0)),IF(ISNUMBER(P43),P43,X43)*100/16),IF(OR(AK43&lt;INDEX(TABLAS!$C$52:$C$58,MATCH(BU43,TABLAS!$B$52:$B$58,0)),AND(BV43&gt;=2,(AC43-2*AK43-BV43*INDEX(TABLAS!$C$52:$C$58,MATCH(BU43,TABLAS!$B$52:$B$58,0)))/MAX(BV43-1,1)&lt;2*INDEX(TABLAS!$C$52:$C$58,MATCH(BU43,TABLAS!$B$52:$B$58,0)))),INDEX(TABLAS!$I$52:$I$58,MATCH(BU43,TABLAS!$B$52:$B$58,0)),INDEX(TABLAS!$F$52:$F$58,MATCH(BU43,TABLAS!$B$52:$B$58,0)))),5)),IF(((4*((BB43*AQ43*X43^2*1E-4*DATOS!$C$83/100/1000)+((MAX(AX43,AZ43)*AQ43*X43^2*1E-4*DATOS!$C$83/100/1000)+(IF(AND(AX43&gt;0,AZ43&gt;0),MIN(AX43,AZ43),MAX(AX43,AZ43))*AQ43*X43^2*1E-4*DATOS!$C$83/100/1000))/2)+BG43-(IF(AND(AX43&gt;0,AZ43&gt;0),MIN(AX43,AZ43),MAX(AX43,AZ43))*AQ43*X43^2*1E-4*DATOS!$C$83/100/1000))^2-16*((BB43*AQ43*X43^2*1E-4*DATOS!$C$83/100/1000)+((MAX(AX43,AZ43)*AQ43*X43^2*1E-4*DATOS!$C$83/100/1000)+(IF(AND(AX43&gt;0,AZ43&gt;0),MIN(AX43,AZ43),MAX(AX43,AZ43))*AQ43*X43^2*1E-4*DATOS!$C$83/100/1000))/2)*BG43)&lt;0,CEILING(AA43,5),CEILING(MAX(AA43*((4*((BB43*AQ43*X43^2*1E-4*DATOS!$C$83/100/1000)+((MAX(AX43,AZ43)*AQ43*X43^2*1E-4*DATOS!$C$83/100/1000)+(IF(AND(AX43&gt;0,AZ43&gt;0),MIN(AX43,AZ43),MAX(AX43,AZ43))*AQ43*X43^2*1E-4*DATOS!$C$83/100/1000))/2)+BG43-(IF(AND(AX43&gt;0,AZ43&gt;0),MIN(AX43,AZ43),MAX(AX43,AZ43))*AQ43*X43^2*1E-4*DATOS!$C$83/100/1000))-SQRT(MAX(0,((4*((BB43*AQ43*X43^2*1E-4*DATOS!$C$83/100/1000)+((MAX(AX43,AZ43)*AQ43*X43^2*1E-4*DATOS!$C$83/100/1000)+(IF(AND(AX43&gt;0,AZ43&gt;0),MIN(AX43,AZ43),MAX(AX43,AZ43))*AQ43*X43^2*1E-4*DATOS!$C$83/100/1000))/2)+BG43-(IF(AND(AX43&gt;0,AZ43&gt;0),MIN(AX43,AZ43),MAX(AX43,AZ43))*AQ43*X43^2*1E-4*DATOS!$C$83/100/1000))^2-16*((BB43*AQ43*X43^2*1E-4*DATOS!$C$83/100/1000)+((MAX(AX43,AZ43)*AQ43*X43^2*1E-4*DATOS!$C$83/100/1000)+(IF(AND(AX43&gt;0,AZ43&gt;0),MIN(AX43,AZ43),MAX(AX43,AZ43))*AQ43*X43^2*1E-4*DATOS!$C$83/100/1000))/2)*BG43))))/(8*MAX(((BB43*AQ43*X43^2*1E-4*DATOS!$C$83/100/1000)+((MAX(AX43,AZ43)*AQ43*X43^2*1E-4*DATOS!$C$83/100/1000)+(IF(AND(AX43&gt;0,AZ43&gt;0),MIN(AX43,AZ43),MAX(AX43,AZ43))*AQ43*X43^2*1E-4*DATOS!$C$83/100/1000))/2),1E-9))+MAX(BW43,12*INDEX(TABLAS!$C$52:$C$58,MATCH(BU43,TABLAS!$B$52:$B$58,0)),AA43/16),IF(OR(AK43&lt;INDEX(TABLAS!$C$52:$C$58,MATCH(BU43,TABLAS!$B$52:$B$58,0)),AND(BV43&gt;=2,(AC43-2*AK43-BV43*INDEX(TABLAS!$C$52:$C$58,MATCH(BU43,TABLAS!$B$52:$B$58,0)))/MAX(BV43-1,1)&lt;2*INDEX(TABLAS!$C$52:$C$58,MATCH(BU43,TABLAS!$B$52:$B$58,0)))),INDEX(TABLAS!$I$52:$I$58,MATCH(BU43,TABLAS!$B$52:$B$58,0)),INDEX(TABLAS!$F$52:$F$58,MATCH(BU43,TABLAS!$B$52:$B$58,0)))),5))))</f>
        <v/>
      </c>
      <c r="DC43" s="60" t="str">
        <f>IF(U43&lt;&gt;"SÍ","",IF(C43="VOLADO",0,IF(((4*((BC43*AQ43*X43^2*1E-4*DATOS!$C$83/100/1000)+((MAX(AY43,BA43)*AQ43*X43^2*1E-4*DATOS!$C$83/100/1000)+(IF(AND(AY43&gt;0,BA43&gt;0),MIN(AY43,BA43),MAX(AY43,BA43))*AQ43*X43^2*1E-4*DATOS!$C$83/100/1000))/2)+BI43-(IF(AND(AY43&gt;0,BA43&gt;0),MIN(AY43,BA43),MAX(AY43,BA43))*AQ43*X43^2*1E-4*DATOS!$C$83/100/1000))^2-16*((BC43*AQ43*X43^2*1E-4*DATOS!$C$83/100/1000)+((MAX(AY43,BA43)*AQ43*X43^2*1E-4*DATOS!$C$83/100/1000)+(IF(AND(AY43&gt;0,BA43&gt;0),MIN(AY43,BA43),MAX(AY43,BA43))*AQ43*X43^2*1E-4*DATOS!$C$83/100/1000))/2)*BI43)&lt;0,CEILING(AB43,5),CEILING(MAX(AB43*((4*((BC43*AQ43*X43^2*1E-4*DATOS!$C$83/100/1000)+((MAX(AY43,BA43)*AQ43*X43^2*1E-4*DATOS!$C$83/100/1000)+(IF(AND(AY43&gt;0,BA43&gt;0),MIN(AY43,BA43),MAX(AY43,BA43))*AQ43*X43^2*1E-4*DATOS!$C$83/100/1000))/2)+BI43-(IF(AND(AY43&gt;0,BA43&gt;0),MIN(AY43,BA43),MAX(AY43,BA43))*AQ43*X43^2*1E-4*DATOS!$C$83/100/1000))-SQRT(MAX(0,((4*((BC43*AQ43*X43^2*1E-4*DATOS!$C$83/100/1000)+((MAX(AY43,BA43)*AQ43*X43^2*1E-4*DATOS!$C$83/100/1000)+(IF(AND(AY43&gt;0,BA43&gt;0),MIN(AY43,BA43),MAX(AY43,BA43))*AQ43*X43^2*1E-4*DATOS!$C$83/100/1000))/2)+BI43-(IF(AND(AY43&gt;0,BA43&gt;0),MIN(AY43,BA43),MAX(AY43,BA43))*AQ43*X43^2*1E-4*DATOS!$C$83/100/1000))^2-16*((BC43*AQ43*X43^2*1E-4*DATOS!$C$83/100/1000)+((MAX(AY43,BA43)*AQ43*X43^2*1E-4*DATOS!$C$83/100/1000)+(IF(AND(AY43&gt;0,BA43&gt;0),MIN(AY43,BA43),MAX(AY43,BA43))*AQ43*X43^2*1E-4*DATOS!$C$83/100/1000))/2)*BI43))))/(8*MAX(((BC43*AQ43*X43^2*1E-4*DATOS!$C$83/100/1000)+((MAX(AY43,BA43)*AQ43*X43^2*1E-4*DATOS!$C$83/100/1000)+(IF(AND(AY43&gt;0,BA43&gt;0),MIN(AY43,BA43),MAX(AY43,BA43))*AQ43*X43^2*1E-4*DATOS!$C$83/100/1000))/2),1E-9))+MAX(CM43,12*INDEX(TABLAS!$C$52:$C$58,MATCH(CK43,TABLAS!$B$52:$B$58,0)),AB43/16),IF(OR(AK43&lt;INDEX(TABLAS!$C$52:$C$58,MATCH(CK43,TABLAS!$B$52:$B$58,0)),AND(CL43&gt;=2,(DATOS!$C$80-2*AK43-CL43*INDEX(TABLAS!$C$52:$C$58,MATCH(CK43,TABLAS!$B$52:$B$58,0)))/MAX(CL43-1,1)&lt;2*INDEX(TABLAS!$C$52:$C$58,MATCH(CK43,TABLAS!$B$52:$B$58,0)))),INDEX(TABLAS!$I$52:$I$58,MATCH(CK43,TABLAS!$B$52:$B$58,0)),INDEX(TABLAS!$F$52:$F$58,MATCH(CK43,TABLAS!$B$52:$B$58,0)))),5))))</f>
        <v/>
      </c>
      <c r="DD43" s="55" t="str">
        <f>IF(U43&lt;&gt;"SÍ","",IF(AND(C43="PERIMETRAL",BV43&gt;=2,AR43-AS43&gt;0,AZ43*AQ43*X43^2*1E-4*DATOS!$C$83/100/1000&gt;DATOS!$C$29*INDEX(TABLAS!$D$52:$D$58,MATCH(BU43,TABLAS!$B$52:$B$58,0))*DATOS!$C$14*(BW43-INDEX(TABLAS!$D$52:$D$58,MATCH(BU43,TABLAS!$B$52:$B$58,0))*DATOS!$C$14/(DATOS!$C$21*AE43)/2)/1E5),"SÍ","NO"))</f>
        <v/>
      </c>
      <c r="DE43" s="55" t="str">
        <f>IF(U43&lt;&gt;"SÍ","",IF(AND(C43="PERIMETRAL",CL43&gt;=2,AS43&gt;0,BA43*AQ43*X43^2*1E-4*DATOS!$C$83/100/1000&gt;DATOS!$C$29*INDEX(TABLAS!$D$52:$D$58,MATCH(CK43,TABLAS!$B$52:$B$58,0))*DATOS!$C$14*(CM43-INDEX(TABLAS!$D$52:$D$58,MATCH(CK43,TABLAS!$B$52:$B$58,0))*DATOS!$C$14/(DATOS!$C$21*AF43)/2)/1E5),"SÍ","NO"))</f>
        <v/>
      </c>
      <c r="DF43" s="63" t="str">
        <f>IF(U43&lt;&gt;"SÍ","",IF(OR(C43="VOLADO",AR43=0),"—",IF(AND(AND(1.25*INDEX(TABLAS!$G$52:$G$58,MATCH(MAX(BM43,CC43),TABLAS!$B$52:$B$58,0))&lt;=(DATOS!$C$72-DATOS!$C$60),(DATOS!$C$72-DATOS!$C$60)&gt;=15,INDEX(TABLAS!$G$52:$G$58,MATCH(MAX(BU43,CK43),TABLAS!$B$52:$B$58,0))&lt;=(DATOS!$C$72-DATOS!$C$60)),8*INDEX(TABLAS!$C$52:$C$58,MATCH(MAX(MAX(BM43,CC43),MAX(BU43,CK43)),TABLAS!$B$52:$B$58,0))&lt;=DATOS!$C$73-2*DATOS!$C$60),"CUMPLE (gancho de 180°)",IF(AND(1.25*INDEX(TABLAS!$G$52:$G$58,MATCH(MAX(BM43,CC43),TABLAS!$B$52:$B$58,0))&lt;=(DATOS!$C$72-DATOS!$C$60),(DATOS!$C$72-DATOS!$C$60)&gt;=15,INDEX(TABLAS!$G$52:$G$58,MATCH(MAX(BU43,CK43),TABLAS!$B$52:$B$58,0))&lt;=(DATOS!$C$72-DATOS!$C$60)),"NO CUMPLE: el gancho de 180° (8·d_b) no cabe en el peralte de la dala de borde","NO CUMPLE: dala de borde ≥ "&amp;TEXT(CEILING(MAX(1.25*INDEX(TABLAS!$G$52:$G$58,MATCH(MAX(BM43,CC43),TABLAS!$B$52:$B$58,0)),15,INDEX(TABLAS!$G$52:$G$58,MATCH(MAX(BU43,CK43),TABLAS!$B$52:$B$58,0)))+DATOS!$C$60,5),"0")&amp;" cm de ancho"&amp;IF(8*INDEX(TABLAS!$C$52:$C$58,MATCH(MAX(MAX(BM43,CC43),MAX(BU43,CK43)),TABLAS!$B$52:$B$58,0))&lt;=DATOS!$C$73-2*DATOS!$C$60,""," y más peralte para el gancho")))))</f>
        <v/>
      </c>
      <c r="DG43" s="59" t="str">
        <f>IF(U43&lt;&gt;"SÍ","",MAX(0,INT((E43*100-DATOS!$C$84+DATOS!$C$83-IF(W43="X",DATOS!$C$78,AD43))/DATOS!$C$83)))</f>
        <v/>
      </c>
      <c r="DH43" s="59" t="str">
        <f>IF(U43&lt;&gt;"SÍ","",MAX(0,INT((F43*100-DATOS!$C$84+DATOS!$C$83-IF(W43="Y",DATOS!$C$78,AD43))/DATOS!$C$83)))</f>
        <v/>
      </c>
      <c r="DI43" s="57" t="str">
        <f>IF(U43&lt;&gt;"SÍ","",IF(DG43&gt;0,(E43*100-DATOS!$C$84-(DG43*IF(W43="X",DATOS!$C$78,AD43)+(DG43-1)*(DATOS!$C$83-IF(W43="X",DATOS!$C$78,AD43))))/2,E43*100/2))</f>
        <v/>
      </c>
      <c r="DJ43" s="57" t="str">
        <f>IF(U43&lt;&gt;"SÍ","",IF(DH43&gt;0,(F43*100-DATOS!$C$84-(DH43*IF(W43="Y",DATOS!$C$78,AD43)+(DH43-1)*(DATOS!$C$83-IF(W43="Y",DATOS!$C$78,AD43))))/2,F43*100/2))</f>
        <v/>
      </c>
      <c r="DK43" s="59" t="str">
        <f>IF(U43&lt;&gt;"SÍ","",IF(NOT(AND(C43="VOLADO",AC43&gt;DATOS!$C$80)),0,IF(INDEX(TABLAS!$C$52:$C$58,MATCH(BU43,TABLAS!$B$52:$B$58,0))&lt;=DATOS!$C$80-2*DATOS!$C$60,1,0)))</f>
        <v/>
      </c>
      <c r="DL43" s="58" t="str">
        <f>IF(U43&lt;&gt;"SÍ","",IF(NOT(AND(C43="VOLADO",AC43&gt;DATOS!$C$80)),0,((DATOS!$C$82-MAX(DATOS!$C$60,(DATOS!$C$81-2*DATOS!$C$94)/2)-2*DATOS!$C$94-INDEX(TABLAS!$C$52:$C$58,MATCH(BU43,TABLAS!$B$52:$B$58,0))/2)-IF(AND((DATOS!$C$82-MAX(DATOS!$C$60,(DATOS!$C$81-2*DATOS!$C$94)/2)-2*DATOS!$C$94-INDEX(TABLAS!$C$52:$C$58,MATCH(BU43,TABLAS!$B$52:$B$58,0))/2)&lt;=20,DATOS!$C$62&lt;&gt;"SÍ"),2,0))))</f>
        <v/>
      </c>
      <c r="DM43" s="56" t="str">
        <f>IF(U43&lt;&gt;"SÍ","",IF(OR(NOT(AND(C43="VOLADO",AC43&gt;DATOS!$C$80)),DK43&lt;1),0,IF(0.003*(DL43-((DK43*INDEX(TABLAS!$D$52:$D$58,MATCH(BU43,TABLAS!$B$52:$B$58,0)))*DATOS!$C$14/(DATOS!$C$21*AF43)/DATOS!$C$22))/((DK43*INDEX(TABLAS!$D$52:$D$58,MATCH(BU43,TABLAS!$B$52:$B$58,0)))*DATOS!$C$14/(DATOS!$C$21*AF43)/DATOS!$C$22)&lt;0.005,0,DATOS!$C$29*(DK43*INDEX(TABLAS!$D$52:$D$58,MATCH(BU43,TABLAS!$B$52:$B$58,0)))*DATOS!$C$14*(DL43-(DK43*INDEX(TABLAS!$D$52:$D$58,MATCH(BU43,TABLAS!$B$52:$B$58,0)))*DATOS!$C$14/(DATOS!$C$21*AF43)/2)/1E5)))</f>
        <v/>
      </c>
      <c r="DN43" s="56" t="str">
        <f>IF(U43&lt;&gt;"SÍ","",IF(OR(NOT(AND(C43="VOLADO",AC43&gt;DATOS!$C$80)),DK43&lt;1),0,DATOS!$C$30*2*MIN(1,SQRT(2/(1+0.04*DL43)))*((DK43*INDEX(TABLAS!$D$52:$D$58,MATCH(BU43,TABLAS!$B$52:$B$58,0)))/(AF43*DL43))^(1/3)*SQRT(DATOS!$C$13)*AF43*DL43/1000))</f>
        <v/>
      </c>
      <c r="DO43" s="56" t="str">
        <f>IF(U43&lt;&gt;"SÍ","",IF(NOT(AND(C43="VOLADO",AC43&gt;DATOS!$C$80)),0,IF((BG43-DM43)&lt;=0,0,IF(DM43&lt;=0,IF(ISNUMBER(P43),P43,X43),IF(((0.9*DATOS!$C$87*DATOS!$C$83/100/1000)*IF(ISNUMBER(P43),P43,X43)/2+BG43/IF(ISNUMBER(P43),P43,X43))^2-4*((0.9*DATOS!$C$87*DATOS!$C$83/100/1000)/2)*(BG43-DM43)&lt;0,IF(ISNUMBER(P43),P43,X43),MIN(IF(ISNUMBER(P43),P43,X43),(((0.9*DATOS!$C$87*DATOS!$C$83/100/1000)*IF(ISNUMBER(P43),P43,X43)/2+BG43/IF(ISNUMBER(P43),P43,X43))-SQRT(((0.9*DATOS!$C$87*DATOS!$C$83/100/1000)*IF(ISNUMBER(P43),P43,X43)/2+BG43/IF(ISNUMBER(P43),P43,X43))^2-4*((0.9*DATOS!$C$87*DATOS!$C$83/100/1000)/2)*(BG43-DM43)))/(2*((0.9*DATOS!$C$87*DATOS!$C$83/100/1000)/2))))))))</f>
        <v/>
      </c>
      <c r="DP43" s="56" t="str">
        <f>IF(U43&lt;&gt;"SÍ","",IF(NOT(AND(C43="VOLADO",AC43&gt;DATOS!$C$80)),0,MIN(IF(ISNUMBER(P43),P43,X43),MAX(0,IF(ISNUMBER(P43),P43,X43)/2+BG43/IF(ISNUMBER(P43),P43,X43)/(AQ43*DATOS!$C$83/100/1000)-DN43/(AQ43*DATOS!$C$83/100/1000)))))</f>
        <v/>
      </c>
      <c r="DQ43" s="56" t="str">
        <f>IF(U43&lt;&gt;"SÍ","",IF(NOT(AND(C43="VOLADO",AC43&gt;DATOS!$C$80)),0,BG43/IF(ISNUMBER(P43),P43,X43)+(AQ43*DATOS!$C$83/100/1000)*MAX(0,IF(ISNUMBER(P43),P43,X43)/2-BW43/100)))</f>
        <v/>
      </c>
      <c r="DR43" s="59" t="str">
        <f>IF(U43&lt;&gt;"SÍ","",IF(NOT(AND(C43="VOLADO",AC43&gt;DATOS!$C$80)),0,CEILING(100*MIN(IF(ISNUMBER(P43),P43,X43),MAX(IF(DO43&gt;0,DO43+IF(BV43&gt;=2,MAX(DL43,12*INDEX(TABLAS!$C$52:$C$58,MATCH(BU43,TABLAS!$B$52:$B$58,0)))/100,0),0),DP43,IF(BV43&gt;=2,INDEX(TABLAS!$F$52:$F$58,MATCH(BU43,TABLAS!$B$52:$B$58,0))/100,0))),5)))</f>
        <v/>
      </c>
      <c r="DS43" s="60" t="str">
        <f>IF(U43&lt;&gt;"SÍ","",IF(NOT(AND(C43="VOLADO",AC43&gt;DATOS!$C$80)),0,IF(DR43&lt;=0,0,CEILING(DR43/DATOS!$C$83,1))))</f>
        <v/>
      </c>
      <c r="DT43" s="61" t="str">
        <f>IF(U43&lt;&gt;"SÍ","",IF(C43&lt;&gt;"VOLADO","—",IF(AC43&lt;=DATOS!$C$80,"— (mismo b_w que el respaldo)",IF(DQ43&gt;CR43,"NO CUMPLE: cortante de la nervadura ancha junto al apoyo ("&amp;TEXT(DQ43,"0.00")&amp;" &gt; "&amp;TEXT(CR43,"0.00")&amp;" t)",IF(DR43&gt;=100*IF(ISNUMBER(P43),P43,X43),"CUMPLE — todas las nervaduras del respaldo ‖ al volado con b_w = "&amp;AC43&amp;" cm","CUMPLE — "&amp;DS43&amp;" hilera(s) del respaldo con nervaduras de b_w = "&amp;AC43&amp;" cm (casetón "&amp;AD43&amp;" cm), hasta "&amp;TEXT(DR43/100,"0.00")&amp;" m del paño")))))</f>
        <v/>
      </c>
      <c r="DU43" s="69" t="str">
        <f>IF(U43&lt;&gt;"SÍ","",IF(BN43=0,"NO ALCANZA",BN43&amp;" No. "&amp;BM43&amp;IF(BN43&gt;1," corridas"," corrida")))</f>
        <v/>
      </c>
      <c r="DV43" s="69" t="str">
        <f>IF(U43&lt;&gt;"SÍ","",IF(BV43=0,"NO ALCANZA",IF(AND(C43="VOLADO",AC43&gt;DATOS!$C$80,BV43&gt;=2),"1 No. "&amp;BU43&amp;" corrida de la orilla al respaldo ("&amp;IF(DB43&gt;=100*IF(ISNUMBER(P43),P43,X43),"hasta su apoyo lejano, con gancho","entra "&amp;TEXT(DB43/100,"0.00")&amp;" m desde el paño")&amp;") + "&amp;(BV43-1)&amp;" bastón No. "&amp;BU43&amp;" hasta "&amp;TEXT(DR43/100,"0.00")&amp;" m del paño (fin de la nervadura ancha)",IF(C43="VOLADO",BV43&amp;" No. "&amp;BU43&amp;" de la orilla al respaldo ("&amp;IF(DB43&gt;=100*IF(ISNUMBER(P43),P43,X43),"hasta su apoyo lejano, con gancho","entran "&amp;TEXT(DB43/100,"0.00")&amp;" m desde el paño")&amp;")","1 No. "&amp;BU43&amp;" corrida"&amp;IF(BV43&gt;1," + "&amp;(BV43-1)&amp;" bastón No. "&amp;BU43&amp;" L = "&amp;TEXT(DB43/100,"0.00")&amp;" m desde el paño","")))))</f>
        <v/>
      </c>
      <c r="DW43" s="69" t="str">
        <f>IF(U43&lt;&gt;"SÍ","",IF(CD43=0,"NO ALCANZA",CD43&amp;" No. "&amp;CC43&amp;IF(CD43&gt;1," corridas"," corrida")))</f>
        <v/>
      </c>
      <c r="DX43" s="69" t="str">
        <f>IF(U43&lt;&gt;"SÍ","",IF(CL43=0,"NO ALCANZA",IF(C43="VOLADO","1 No. "&amp;CK43&amp;" corrida (repartición)","1 No. "&amp;CK43&amp;" corrida"&amp;IF(CL43&gt;1," + "&amp;(CL43-1)&amp;" bastón No. "&amp;CK43&amp;" L = "&amp;TEXT(DC43/100,"0.00")&amp;" m desde el paño",""))))</f>
        <v/>
      </c>
      <c r="DY43" s="67" t="str">
        <f>IF(B43="","",IF(U43&lt;&gt;"SÍ","FALTAN DATOS: tipo, a_x, a_y y destino",IF(L43="NO MONOLÍTICO (caso II)","FUERA DE ALCANCE: caso II no transcrito",IF(AND(C43="VOLADO",V43="?"),"REVISAR: el volado lleva UN solo borde CONTINUO (el empotrado)",IF(AND(MAX(BQ43,BY43,CG43,CO43)&lt;=1,NOT(OR(BN43&gt;MIN(DATOS!$C$70,INT(((AC43-2*AJ43)+MAX(DATOS!$C$67,INDEX(TABLAS!$C$52:$C$58,MATCH(BM43,TABLAS!$B$52:$B$58,0))))/(INDEX(TABLAS!$C$52:$C$58,MATCH(BM43,TABLAS!$B$52:$B$58,0))+MAX(DATOS!$C$67,INDEX(TABLAS!$C$52:$C$58,MATCH(BM43,TABLAS!$B$52:$B$58,0)))))),BV43&gt;MIN(DATOS!$C$70,INT(((AC43-2*AK43)+MAX(DATOS!$C$67,INDEX(TABLAS!$C$52:$C$58,MATCH(BU43,TABLAS!$B$52:$B$58,0))))/(INDEX(TABLAS!$C$52:$C$58,MATCH(BU43,TABLAS!$B$52:$B$58,0))+MAX(DATOS!$C$67,INDEX(TABLAS!$C$52:$C$58,MATCH(BU43,TABLAS!$B$52:$B$58,0)))))),CD43&gt;MIN(DATOS!$C$70,INT(((DATOS!$C$80-2*AJ43)+MAX(DATOS!$C$67,INDEX(TABLAS!$C$52:$C$58,MATCH(CC43,TABLAS!$B$52:$B$58,0))))/(INDEX(TABLAS!$C$52:$C$58,MATCH(CC43,TABLAS!$B$52:$B$58,0))+MAX(DATOS!$C$67,INDEX(TABLAS!$C$52:$C$58,MATCH(CC43,TABLAS!$B$52:$B$58,0)))))),CL43&gt;MIN(DATOS!$C$70,INT(((DATOS!$C$80-2*AK43)+MAX(DATOS!$C$67,INDEX(TABLAS!$C$52:$C$58,MATCH(CK43,TABLAS!$B$52:$B$58,0))))/(INDEX(TABLAS!$C$52:$C$58,MATCH(CK43,TABLAS!$B$52:$B$58,0))+MAX(DATOS!$C$67,INDEX(TABLAS!$C$52:$C$58,MATCH(CK43,TABLAS!$B$52:$B$58,0)))))))),NOT(OR(AND(ISNUMBER(BR43),BR43&lt;0.005),AND(ISNUMBER(BZ43),BZ43&lt;0.005),AND(ISNUMBER(CH43),CH43&lt;0.005),AND(ISNUMBER(CP43),CP43&lt;0.005))),NOT(LEFT(DT43,2)="NO"),CZ43="CUMPLE",DA43="CUMPLE",LEFT(CT43,2)&lt;&gt;"NO"),IF(LEFT(CT43,6)="CUMPLE","CUMPLE","CUMPLE — "&amp;CT43)&amp;IF(LEFT(BJ43,5)="FUERA"," · fuera de 3.4.2.1 c)","")&amp;IF(LEFT(DF43,2)="NO"," · REVISAR anclaje en borde discontinuo","")&amp;IF(DS43&gt;0," · respaldo: "&amp;DS43&amp;" hilera(s) de b_w "&amp;AC43&amp;" cm",""),IF(AND(MAX(BQ43,BY43,CG43,CO43)&lt;=1,NOT(OR(BN43&gt;MIN(DATOS!$C$70,INT(((AC43-2*AJ43)+MAX(DATOS!$C$67,INDEX(TABLAS!$C$52:$C$58,MATCH(BM43,TABLAS!$B$52:$B$58,0))))/(INDEX(TABLAS!$C$52:$C$58,MATCH(BM43,TABLAS!$B$52:$B$58,0))+MAX(DATOS!$C$67,INDEX(TABLAS!$C$52:$C$58,MATCH(BM43,TABLAS!$B$52:$B$58,0)))))),BV43&gt;MIN(DATOS!$C$70,INT(((AC43-2*AK43)+MAX(DATOS!$C$67,INDEX(TABLAS!$C$52:$C$58,MATCH(BU43,TABLAS!$B$52:$B$58,0))))/(INDEX(TABLAS!$C$52:$C$58,MATCH(BU43,TABLAS!$B$52:$B$58,0))+MAX(DATOS!$C$67,INDEX(TABLAS!$C$52:$C$58,MATCH(BU43,TABLAS!$B$52:$B$58,0)))))),CD43&gt;MIN(DATOS!$C$70,INT(((DATOS!$C$80-2*AJ43)+MAX(DATOS!$C$67,INDEX(TABLAS!$C$52:$C$58,MATCH(CC43,TABLAS!$B$52:$B$58,0))))/(INDEX(TABLAS!$C$52:$C$58,MATCH(CC43,TABLAS!$B$52:$B$58,0))+MAX(DATOS!$C$67,INDEX(TABLAS!$C$52:$C$58,MATCH(CC43,TABLAS!$B$52:$B$58,0)))))),CL43&gt;MIN(DATOS!$C$70,INT(((DATOS!$C$80-2*AK43)+MAX(DATOS!$C$67,INDEX(TABLAS!$C$52:$C$58,MATCH(CK43,TABLAS!$B$52:$B$58,0))))/(INDEX(TABLAS!$C$52:$C$58,MATCH(CK43,TABLAS!$B$52:$B$58,0))+MAX(DATOS!$C$67,INDEX(TABLAS!$C$52:$C$58,MATCH(CK43,TABLAS!$B$52:$B$58,0)))))))),NOT(OR(AND(ISNUMBER(BR43),BR43&lt;0.005),AND(ISNUMBER(BZ43),BZ43&lt;0.005),AND(ISNUMBER(CH43),CH43&lt;0.005),AND(ISNUMBER(CP43),CP43&lt;0.005))),NOT(LEFT(DT43,2)="NO"),CZ43="CALCULAR FLECHA",LEFT(CT43,2)&lt;&gt;"NO"),"REVISAR: calcular flecha (h_eq &lt; h mín.)"&amp;IF(LEFT(BJ43,5)="FUERA"," · fuera de 3.4.2.1 c)","")&amp;IF(LEFT(DF43,2)="NO"," · REVISAR anclaje en borde discontinuo","")&amp;IF(DS43&gt;0," · respaldo: "&amp;DS43&amp;" hilera(s) de b_w "&amp;AC43&amp;" cm",""),"NO CUMPLE: "&amp;IF(MAX(BQ43,BY43,CG43,CO43)&gt;1,"flexión ","")&amp;IF(OR(BN43&gt;MIN(DATOS!$C$70,INT(((AC43-2*AJ43)+MAX(DATOS!$C$67,INDEX(TABLAS!$C$52:$C$58,MATCH(BM43,TABLAS!$B$52:$B$58,0))))/(INDEX(TABLAS!$C$52:$C$58,MATCH(BM43,TABLAS!$B$52:$B$58,0))+MAX(DATOS!$C$67,INDEX(TABLAS!$C$52:$C$58,MATCH(BM43,TABLAS!$B$52:$B$58,0)))))),BV43&gt;MIN(DATOS!$C$70,INT(((AC43-2*AK43)+MAX(DATOS!$C$67,INDEX(TABLAS!$C$52:$C$58,MATCH(BU43,TABLAS!$B$52:$B$58,0))))/(INDEX(TABLAS!$C$52:$C$58,MATCH(BU43,TABLAS!$B$52:$B$58,0))+MAX(DATOS!$C$67,INDEX(TABLAS!$C$52:$C$58,MATCH(BU43,TABLAS!$B$52:$B$58,0)))))),CD43&gt;MIN(DATOS!$C$70,INT(((DATOS!$C$80-2*AJ43)+MAX(DATOS!$C$67,INDEX(TABLAS!$C$52:$C$58,MATCH(CC43,TABLAS!$B$52:$B$58,0))))/(INDEX(TABLAS!$C$52:$C$58,MATCH(CC43,TABLAS!$B$52:$B$58,0))+MAX(DATOS!$C$67,INDEX(TABLAS!$C$52:$C$58,MATCH(CC43,TABLAS!$B$52:$B$58,0)))))),CL43&gt;MIN(DATOS!$C$70,INT(((DATOS!$C$80-2*AK43)+MAX(DATOS!$C$67,INDEX(TABLAS!$C$52:$C$58,MATCH(CK43,TABLAS!$B$52:$B$58,0))))/(INDEX(TABLAS!$C$52:$C$58,MATCH(CK43,TABLAS!$B$52:$B$58,0))+MAX(DATOS!$C$67,INDEX(TABLAS!$C$52:$C$58,MATCH(CK43,TABLAS!$B$52:$B$58,0))))))),"no caben ","")&amp;IF(OR(AND(ISNUMBER(BR43),BR43&lt;0.005),AND(ISNUMBER(BZ43),BZ43&lt;0.005),AND(ISNUMBER(CH43),CH43&lt;0.005),AND(ISNUMBER(CP43),CP43&lt;0.005)),"ε_t &lt; 0.005 ","")&amp;IF(LEFT(CT43,2)="NO","cortante ","")&amp;IF(CZ43="NO CUMPLE","peralte ","")&amp;IF(DA43&lt;&gt;"CUMPLE","capa &lt; 6 cm ","")&amp;IF(LEFT(DT43,2)="NO","respaldo del volado","")))))))</f>
        <v/>
      </c>
      <c r="DZ43" s="70" t="str">
        <f>IF(U43&lt;&gt;"SÍ","",IF(LEFT(B43,7)="EJEMPLO","EJEMPLO de la hoja de Casa Rocha: bórralo o sobrescríbelo. ","")&amp;IF(AND(C43="PERIMETRAL",MIN(DG43,DH43)=0),"No cabe un casetón en el claro corto: es un tablero macizo, diséñalo en MACIZAS. ","")&amp;IF(AND(AI43="NO",C43="PERIMETRAL"),"No cumple 6.7.8.1.4 (a_c = "&amp;MAX(DATOS!$C$78,AD43)&amp;" cm &gt; claro corto/6 = "&amp;TEXT(X43*100/6,"0")&amp;" cm): se diseña como losa apoyada en vigas (6.7.8.1.9): r de viga = "&amp;DATOS!$C$60&amp;" cm y V_cR sin ×1.1. Para que cuente como encasetonada: casetón de "&amp;TEXT(FLOOR(MIN(80,X43*100/6),1),"0")&amp;" cm o menor. ","")&amp;IF(C43="VOLADO","Volado de "&amp;TEXT(X43,"0.00")&amp;" m empotrado en el borde "&amp;LOWER(V43)&amp;IF(N(O43)&gt;0,", con "&amp;TEXT(O43,"0.0")&amp;" kg/m en la orilla","")&amp;". Lecho inferior con r_ext. Si la orilla carga pretil u otro elemento frágil, calcula la flecha (13.4). El acero superior entra al respaldo de "&amp;TEXT(IF(ISNUMBER(P43),P43,X43),"0.00")&amp;" m"&amp;IF(ISNUMBER(P43),""," (L_b no capturado: se tomó igual al volado)")&amp;" hasta pasar M = 0 con 0.9·PP sin carga viva; si ahí no se anula, llega al apoyo lejano y se ancla con gancho (NTC-Criterios 3.4.1 c y 5.1.2.2). "&amp;IF(AC43&gt;DATOS!$C$80,"Respaldo: "&amp;DT43&amp;". ",""),"")&amp;IF(LEFT(BJ43,5)="FUERA","El M⁻ del vecino difiere más de 50 % (3.4.2.1 c): distribuye el desequilibrio (3.4.3.1) o confirma con un modelo; se arma con el mayor. ","")&amp;IF(OR(DD43="SÍ",DE43="SÍ"),"El M⁻ del borde discontinuo pide bastón también ahí (con gancho). ","")&amp;IF(LEFT(DF43,2)="NO","Anclaje: "&amp;DF43&amp;" (6.7.8.1.7). ","")&amp;IF(OR(AZ43&gt;0,BA43&gt;0),"Esquinas exteriores sobre muro: refuerzo de esquina arriba y abajo en L_largo/5 (6.7.7.3.1). ",""))</f>
        <v/>
      </c>
    </row>
    <row r="44" ht="33" customHeight="1">
      <c r="A44" s="50">
        <f>IF(B44="",0,1)+A43</f>
        <v>4</v>
      </c>
      <c r="B44" s="29" t="n"/>
      <c r="C44" s="51" t="n"/>
      <c r="D44" s="29" t="n"/>
      <c r="E44" s="52" t="n"/>
      <c r="F44" s="52" t="n"/>
      <c r="G44" s="51" t="n"/>
      <c r="H44" s="51" t="n"/>
      <c r="I44" s="51" t="n"/>
      <c r="J44" s="51" t="n"/>
      <c r="K44" s="51" t="n"/>
      <c r="L44" s="51" t="n"/>
      <c r="M44" s="53" t="n"/>
      <c r="N44" s="53" t="n"/>
      <c r="O44" s="54" t="n"/>
      <c r="P44" s="52" t="n"/>
      <c r="Q44" s="53" t="n"/>
      <c r="R44" s="54" t="n"/>
      <c r="S44" s="52" t="n"/>
      <c r="T44" s="52" t="n"/>
      <c r="U44" s="55" t="str">
        <f>IF(B44="","",IF(AND(OR(C44="PERIMETRAL",C44="VOLADO"),ISNUMBER(E44),ISNUMBER(F44),E44&gt;0,F44&gt;0,OR(ISNUMBER(N44),ISNUMBER(MATCH(D44,DATOS!$B$46:$B$55,0)))),"SÍ","NO"))</f>
        <v/>
      </c>
      <c r="V44" s="55" t="str">
        <f>IF(U44&lt;&gt;"SÍ","",IF(C44&lt;&gt;"VOLADO","—",IF(COUNTIF(G44:J44,"CONTINUO")&lt;&gt;1,"?",IF(G44="CONTINUO","INFERIOR",IF(H44="CONTINUO","SUPERIOR",IF(I44="CONTINUO","IZQUIERDO","DERECHO"))))))</f>
        <v/>
      </c>
      <c r="W44" s="55" t="str">
        <f>IF(U44&lt;&gt;"SÍ","",IF(C44="VOLADO",IF(OR(V44="IZQUIERDO",V44="DERECHO"),"X","Y"),IF(E44&lt;=F44,"X","Y")))</f>
        <v/>
      </c>
      <c r="X44" s="56" t="str">
        <f>IF(U44&lt;&gt;"SÍ","",IF(C44="VOLADO",IF(W44="X",E44,F44),MIN(E44,F44)))</f>
        <v/>
      </c>
      <c r="Y44" s="56" t="str">
        <f>IF(U44&lt;&gt;"SÍ","",IF(C44="VOLADO",IF(W44="X",F44,E44),MAX(E44,F44)))</f>
        <v/>
      </c>
      <c r="Z44" s="56" t="str">
        <f>IF(U44&lt;&gt;"SÍ","",MIN(X44,Y44)/MAX(X44,Y44))</f>
        <v/>
      </c>
      <c r="AA44" s="57" t="str">
        <f>IF(U44&lt;&gt;"SÍ","",MAX(1,X44*100-IF(C44="VOLADO",DATOS!$C$84/2,DATOS!$C$84)))</f>
        <v/>
      </c>
      <c r="AB44" s="57" t="str">
        <f>IF(U44&lt;&gt;"SÍ","",MAX(1,Y44*100-DATOS!$C$84))</f>
        <v/>
      </c>
      <c r="AC44" s="57" t="str">
        <f>IF(U44&lt;&gt;"SÍ","",IF(ISNUMBER(Q44),Q44,DATOS!$C$80))</f>
        <v/>
      </c>
      <c r="AD44" s="57" t="str">
        <f>IF(U44&lt;&gt;"SÍ","",MAX(0,DATOS!$C$83-AC44))</f>
        <v/>
      </c>
      <c r="AE44" s="57" t="str">
        <f>IF(U44&lt;&gt;"SÍ","",IF(OR(DATOS!$C$62="SÍ",AC44&gt;=20),AC44,AC44-2))</f>
        <v/>
      </c>
      <c r="AF44" s="57" t="str">
        <f>IF(U44&lt;&gt;"SÍ","",IF(OR(DATOS!$C$62="SÍ",DATOS!$C$80&gt;=20),DATOS!$C$80,DATOS!$C$80-2))</f>
        <v/>
      </c>
      <c r="AG44" s="57" t="str">
        <f>IF(U44&lt;&gt;"SÍ","",MIN(DATOS!$C$83,AC44+2*MIN(8*DATOS!$C$81,AD44/2,AA44/8)))</f>
        <v/>
      </c>
      <c r="AH44" s="57" t="str">
        <f>IF(U44&lt;&gt;"SÍ","",MIN(DATOS!$C$83,DATOS!$C$80+2*MIN(8*DATOS!$C$81,DATOS!$C$78/2,AB44/8)))</f>
        <v/>
      </c>
      <c r="AI44" s="55" t="str">
        <f>IF(U44&lt;&gt;"SÍ","",IF(AND(C44="PERIMETRAL",X44*100&gt;=6*MAX(DATOS!$C$78,AD44),MAX(DATOS!$C$78,AD44)&lt;=80,MIN(DATOS!$C$80,AC44)&gt;=10,DATOS!$C$82&lt;=3.5*MIN(DATOS!$C$80,AC44),DATOS!$C$81&gt;=MAX(MAX(DATOS!$C$78,AD44)/13,5)),"SÍ","NO"))</f>
        <v/>
      </c>
      <c r="AJ44" s="57" t="str">
        <f>IF(U44&lt;&gt;"SÍ","",IF(C44="VOLADO",DATOS!$C$61,IF(AI44="NO",DATOS!$C$60,DATOS!$C$59)))</f>
        <v/>
      </c>
      <c r="AK44" s="57" t="str">
        <f>IF(U44&lt;&gt;"SÍ","",IF(OR(AND(AM44="SÍ",DATOS!$C$63="SÍ"),AND(C44="VOLADO",DATOS!$C$64="SÍ")),DATOS!$C$61,IF(AI44="NO",DATOS!$C$60,DATOS!$C$59)))</f>
        <v/>
      </c>
      <c r="AL44" s="58" t="str">
        <f>IF(U44&lt;&gt;"SÍ","",MAX(AK44,(DATOS!$C$81-2*DATOS!$C$94)/2))</f>
        <v/>
      </c>
      <c r="AM44" s="55" t="str">
        <f>IF(U44&lt;&gt;"SÍ","",IFERROR(INDEX(DATOS!$D$46:$D$55,MATCH(D44,DATOS!$B$46:$B$55,0)),"NO"))</f>
        <v/>
      </c>
      <c r="AN44" s="59" t="str">
        <f>IF(U44&lt;&gt;"SÍ","",IF(ISNUMBER(N44),N44,IFERROR(INDEX(DATOS!$C$46:$C$55,MATCH(D44,DATOS!$B$46:$B$55,0)),0)))</f>
        <v/>
      </c>
      <c r="AO44" s="59" t="str">
        <f>IF(U44&lt;&gt;"SÍ","",(DATOS!$C$82/100-(AD44*DATOS!$C$78/DATOS!$C$83^2)*DATOS!$C$79/100)*DATOS!$C$16*1000+(AD44*DATOS!$C$78/DATOS!$C$83^2)*DATOS!$C$79/100*DATOS!$C$17*1000+DATOS!$C$37+DATOS!$C$38)</f>
        <v/>
      </c>
      <c r="AP44" s="59" t="str">
        <f>IF(U44&lt;&gt;"SÍ","",AO44+N(M44))</f>
        <v/>
      </c>
      <c r="AQ44" s="60" t="str">
        <f>IF(U44&lt;&gt;"SÍ","",MAX(DATOS!$C$26*AP44+DATOS!$C$27*AN44,IF(AM44="SÍ",DATOS!$C$28*(AP44+DATOS!$C$41),0)))</f>
        <v/>
      </c>
      <c r="AR44" s="59" t="str">
        <f>IF(U44&lt;&gt;"SÍ","",(G44="DISCONTINUO")+(H44="DISCONTINUO")+(I44="DISCONTINUO")+(J44="DISCONTINUO"))</f>
        <v/>
      </c>
      <c r="AS44" s="59" t="str">
        <f>IF(U44&lt;&gt;"SÍ","",IF(W44="X",(G44="DISCONTINUO")+(H44="DISCONTINUO"),(I44="DISCONTINUO")+(J44="DISCONTINUO")))</f>
        <v/>
      </c>
      <c r="AT44" s="55" t="str">
        <f>IF(U44&lt;&gt;"SÍ","",IF(AR44=0,"INTERIOR",IF(AR44=1,IF(AS44=1,"BORDE-CORTO","BORDE-LARGO"),IF(AR44=2,IF(AS44=1,"ESQUINA",IF(AS44=2,"EXTREMO-LARGO","EXTREMO-CORTO")),IF(AR44=3,IF(AS44=2,"EXTREMO-LARGO","EXTREMO-CORTO"),"AISLADO")))))</f>
        <v/>
      </c>
      <c r="AU44" s="61" t="str">
        <f>IF(U44&lt;&gt;"SÍ","",IF(OR(K44="",K44="AUTO"),AT44,K44))</f>
        <v/>
      </c>
      <c r="AV44" s="59" t="str">
        <f>IF(U44&lt;&gt;"SÍ","",MATCH(Z44,TABLAS!$D$5:$J$5,1))</f>
        <v/>
      </c>
      <c r="AW44" s="58" t="str">
        <f>IF(U44&lt;&gt;"SÍ","",IF(AV44&gt;=7,0,(Z44-INDEX(TABLAS!$D$5:$J$5,AV44))/(INDEX(TABLAS!$D$5:$J$5,AV44+1)-INDEX(TABLAS!$D$5:$J$5,AV44))))</f>
        <v/>
      </c>
      <c r="AX44" s="59" t="str">
        <f>IF(U44&lt;&gt;"SÍ","",INDEX(TABLAS!$D$6:$J$47,MATCH(AU44&amp;"|NIC",TABLAS!$B$6:$B$47,0),AV44)+AW44*(INDEX(TABLAS!$D$6:$J$47,MATCH(AU44&amp;"|NIC",TABLAS!$B$6:$B$47,0),MIN(AV44+1,7))-INDEX(TABLAS!$D$6:$J$47,MATCH(AU44&amp;"|NIC",TABLAS!$B$6:$B$47,0),AV44)))</f>
        <v/>
      </c>
      <c r="AY44" s="59" t="str">
        <f>IF(U44&lt;&gt;"SÍ","",INDEX(TABLAS!$D$6:$J$47,MATCH(AU44&amp;"|NIL",TABLAS!$B$6:$B$47,0),AV44)+AW44*(INDEX(TABLAS!$D$6:$J$47,MATCH(AU44&amp;"|NIL",TABLAS!$B$6:$B$47,0),MIN(AV44+1,7))-INDEX(TABLAS!$D$6:$J$47,MATCH(AU44&amp;"|NIL",TABLAS!$B$6:$B$47,0),AV44)))</f>
        <v/>
      </c>
      <c r="AZ44" s="59" t="str">
        <f>IF(U44&lt;&gt;"SÍ","",INDEX(TABLAS!$D$6:$J$47,MATCH(AU44&amp;"|NDC",TABLAS!$B$6:$B$47,0),AV44)+AW44*(INDEX(TABLAS!$D$6:$J$47,MATCH(AU44&amp;"|NDC",TABLAS!$B$6:$B$47,0),MIN(AV44+1,7))-INDEX(TABLAS!$D$6:$J$47,MATCH(AU44&amp;"|NDC",TABLAS!$B$6:$B$47,0),AV44)))</f>
        <v/>
      </c>
      <c r="BA44" s="59" t="str">
        <f>IF(U44&lt;&gt;"SÍ","",INDEX(TABLAS!$D$6:$J$47,MATCH(AU44&amp;"|NDL",TABLAS!$B$6:$B$47,0),AV44)+AW44*(INDEX(TABLAS!$D$6:$J$47,MATCH(AU44&amp;"|NDL",TABLAS!$B$6:$B$47,0),MIN(AV44+1,7))-INDEX(TABLAS!$D$6:$J$47,MATCH(AU44&amp;"|NDL",TABLAS!$B$6:$B$47,0),AV44)))</f>
        <v/>
      </c>
      <c r="BB44" s="59" t="str">
        <f>IF(U44&lt;&gt;"SÍ","",INDEX(TABLAS!$D$6:$J$47,MATCH(AU44&amp;"|PC",TABLAS!$B$6:$B$47,0),AV44)+AW44*(INDEX(TABLAS!$D$6:$J$47,MATCH(AU44&amp;"|PC",TABLAS!$B$6:$B$47,0),MIN(AV44+1,7))-INDEX(TABLAS!$D$6:$J$47,MATCH(AU44&amp;"|PC",TABLAS!$B$6:$B$47,0),AV44)))</f>
        <v/>
      </c>
      <c r="BC44" s="59" t="str">
        <f>IF(U44&lt;&gt;"SÍ","",INDEX(TABLAS!$D$6:$J$47,MATCH(AU44&amp;"|PL",TABLAS!$B$6:$B$47,0),AV44)+AW44*(INDEX(TABLAS!$D$6:$J$47,MATCH(AU44&amp;"|PL",TABLAS!$B$6:$B$47,0),MIN(AV44+1,7))-INDEX(TABLAS!$D$6:$J$47,MATCH(AU44&amp;"|PL",TABLAS!$B$6:$B$47,0),AV44)))</f>
        <v/>
      </c>
      <c r="BD44" s="56" t="str">
        <f>IF(U44&lt;&gt;"SÍ","",IF(C44&lt;&gt;"VOLADO",0,DATOS!$C$26*DATOS!$C$16*DATOS!$C$83/100*(((AD44*DATOS!$C$78/DATOS!$C$83^2)*DATOS!$C$79/100)*(IF(W44="X",DI44,DJ44)+DATOS!$C$84/2)/100*(AA44-(IF(W44="X",DI44,DJ44)+DATOS!$C$84/2)/2)/100+((AD44*DATOS!$C$78/DATOS!$C$83^2)*DATOS!$C$79/100)*IF(W44="X",DI44,DJ44)/100*IF(W44="X",DI44,DJ44)/200)))</f>
        <v/>
      </c>
      <c r="BE44" s="56" t="str">
        <f>IF(U44&lt;&gt;"SÍ","",IF(C44&lt;&gt;"VOLADO",0,DATOS!$C$26*DATOS!$C$16*DATOS!$C$83/100*((AD44*DATOS!$C$78/DATOS!$C$83^2)*DATOS!$C$79/100)*(IF(W44="X",DI44,DJ44)+DATOS!$C$84/2)/100))</f>
        <v/>
      </c>
      <c r="BF44" s="56" t="str">
        <f>IF(U44&lt;&gt;"SÍ","",IF(C44="PERIMETRAL",BB44*AQ44*X44^2*1E-4*DATOS!$C$83/100/1000,0))</f>
        <v/>
      </c>
      <c r="BG44" s="62" t="str">
        <f>IF(U44&lt;&gt;"SÍ","",IF(C44="PERIMETRAL",MAX(MAX(AX44,AZ44)*AQ44*X44^2*1E-4*DATOS!$C$83/100/1000,N(S44)),(AQ44*(AA44/100)^2/2+DATOS!$C$26*N(O44)*AA44/100)*DATOS!$C$83/100/1000+BD44))</f>
        <v/>
      </c>
      <c r="BH44" s="56" t="str">
        <f>IF(U44&lt;&gt;"SÍ","",IF(C44="PERIMETRAL",BC44*AQ44*X44^2*1E-4*DATOS!$C$83/100/1000,0))</f>
        <v/>
      </c>
      <c r="BI44" s="56" t="str">
        <f>IF(U44&lt;&gt;"SÍ","",IF(C44="PERIMETRAL",MAX(MAX(AY44,BA44)*AQ44*X44^2*1E-4*DATOS!$C$83/100/1000,N(T44)),0))</f>
        <v/>
      </c>
      <c r="BJ44" s="63" t="str">
        <f>IF(U44&lt;&gt;"SÍ","",IF(C44&lt;&gt;"PERIMETRAL","—",IF(AND(N(S44)=0,N(T44)=0),"— (sin M⁻ del vecino)",IF(OR(AND(N(S44)&gt;0,ABS(MAX(AX44,AZ44)*AQ44*X44^2*1E-4*DATOS!$C$83/100/1000-N(S44))&gt;0.5*MIN(MAX(AX44,AZ44)*AQ44*X44^2*1E-4*DATOS!$C$83/100/1000,N(S44))),AND(N(T44)&gt;0,ABS(MAX(AY44,BA44)*AQ44*X44^2*1E-4*DATOS!$C$83/100/1000-N(T44))&gt;0.5*MIN(MAX(AY44,BA44)*AQ44*X44^2*1E-4*DATOS!$C$83/100/1000,N(T44)))),"FUERA: difieren &gt; 50 %"&amp;IF(AND(N(S44)&gt;0,ABS(MAX(AX44,AZ44)*AQ44*X44^2*1E-4*DATOS!$C$83/100/1000-N(S44))&gt;0.5*MIN(MAX(AX44,AZ44)*AQ44*X44^2*1E-4*DATOS!$C$83/100/1000,N(S44)))," ‖ corto","")&amp;IF(AND(N(T44)&gt;0,ABS(MAX(AY44,BA44)*AQ44*X44^2*1E-4*DATOS!$C$83/100/1000-N(T44))&gt;0.5*MIN(MAX(AY44,BA44)*AQ44*X44^2*1E-4*DATOS!$C$83/100/1000,N(T44)))," ‖ largo",""),"CUMPLE"))))</f>
        <v/>
      </c>
      <c r="BK44" s="58" t="str">
        <f>IF(U44&lt;&gt;"SÍ","",(DATOS!$C$82-AJ44-INDEX(TABLAS!$C$52:$C$58,MATCH(DATOS!$C$68,TABLAS!$B$52:$B$58,0))/2))</f>
        <v/>
      </c>
      <c r="BL44" s="58" t="str">
        <f>IF(U44&lt;&gt;"SÍ","",IF(IF(BF44&lt;=0,0,IF((1-2*BF44*1E5/(DATOS!$C$29*AG44*BK44^2*DATOS!$C$21))&lt;0,-1,IF((1-SQRT((1-2*BF44*1E5/(DATOS!$C$29*AG44*BK44^2*DATOS!$C$21))))*DATOS!$C$21*AG44*BK44/DATOS!$C$14&gt;DATOS!$C$99*AG44*BK44,-1,(1-SQRT((1-2*BF44*1E5/(DATOS!$C$29*AG44*BK44^2*DATOS!$C$21))))*DATOS!$C$21*AG44*BK44/DATOS!$C$14)))&lt;0,-1,MAX(IF(BF44&lt;=0,0,IF((1-2*BF44*1E5/(DATOS!$C$29*AG44*BK44^2*DATOS!$C$21))&lt;0,-1,IF((1-SQRT((1-2*BF44*1E5/(DATOS!$C$29*AG44*BK44^2*DATOS!$C$21))))*DATOS!$C$21*AG44*BK44/DATOS!$C$14&gt;DATOS!$C$99*AG44*BK44,-1,(1-SQRT((1-2*BF44*1E5/(DATOS!$C$29*AG44*BK44^2*DATOS!$C$21))))*DATOS!$C$21*AG44*BK44/DATOS!$C$14))),MIN(DATOS!$C$100*AC44*BK44,4/3*IF(BF44&lt;=0,0,IF((1-2*BF44*1E5/(DATOS!$C$29*AG44*BK44^2*DATOS!$C$21))&lt;0,-1,IF((1-SQRT((1-2*BF44*1E5/(DATOS!$C$29*AG44*BK44^2*DATOS!$C$21))))*DATOS!$C$21*AG44*BK44/DATOS!$C$14&gt;DATOS!$C$99*AG44*BK44,-1,(1-SQRT((1-2*BF44*1E5/(DATOS!$C$29*AG44*BK44^2*DATOS!$C$21))))*DATOS!$C$21*AG44*BK44/DATOS!$C$14)))))))</f>
        <v/>
      </c>
      <c r="BM44" s="64" t="str">
        <f>IF(U44&lt;&gt;"SÍ","",IF(AND(BL44&gt;=0,IF(MAX(DATOS!$C$71,CEILING(BL44/INDEX(TABLAS!$D$52:$D$58,MIN(MATCH(DATOS!$C$68,TABLAS!$B$52:$B$58,0)+0,7)),1))*INDEX(TABLAS!$D$52:$D$58,MIN(MATCH(DATOS!$C$68,TABLAS!$B$52:$B$58,0)+0,7))&gt;=4/3*IF(BF44&lt;=0,0,IF((1-2*BF44*1E5/(DATOS!$C$29*AG44*BK44^2*DATOS!$C$21))&lt;0,-1,IF((1-SQRT((1-2*BF44*1E5/(DATOS!$C$29*AG44*BK44^2*DATOS!$C$21))))*DATOS!$C$21*AG44*BK44/DATOS!$C$14&gt;DATOS!$C$99*AG44*BK44,-1,(1-SQRT((1-2*BF44*1E5/(DATOS!$C$29*AG44*BK44^2*DATOS!$C$21))))*DATOS!$C$21*AG44*BK44/DATOS!$C$14)))-0.0001,MAX(DATOS!$C$71,CEILING(BL44/INDEX(TABLAS!$D$52:$D$58,MIN(MATCH(DATOS!$C$68,TABLAS!$B$52:$B$58,0)+0,7)),1)),MAX(MAX(DATOS!$C$71,CEILING(BL44/INDEX(TABLAS!$D$52:$D$58,MIN(MATCH(DATOS!$C$68,TABLAS!$B$52:$B$58,0)+0,7)),1)),2))&lt;=MIN(DATOS!$C$70,INT(((AC44-2*AJ44)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44&gt;=0,IF(MAX(DATOS!$C$71,CEILING(BL44/INDEX(TABLAS!$D$52:$D$58,MIN(MATCH(DATOS!$C$68,TABLAS!$B$52:$B$58,0)+1,7)),1))*INDEX(TABLAS!$D$52:$D$58,MIN(MATCH(DATOS!$C$68,TABLAS!$B$52:$B$58,0)+1,7))&gt;=4/3*IF(BF44&lt;=0,0,IF((1-2*BF44*1E5/(DATOS!$C$29*AG44*BK44^2*DATOS!$C$21))&lt;0,-1,IF((1-SQRT((1-2*BF44*1E5/(DATOS!$C$29*AG44*BK44^2*DATOS!$C$21))))*DATOS!$C$21*AG44*BK44/DATOS!$C$14&gt;DATOS!$C$99*AG44*BK44,-1,(1-SQRT((1-2*BF44*1E5/(DATOS!$C$29*AG44*BK44^2*DATOS!$C$21))))*DATOS!$C$21*AG44*BK44/DATOS!$C$14)))-0.0001,MAX(DATOS!$C$71,CEILING(BL44/INDEX(TABLAS!$D$52:$D$58,MIN(MATCH(DATOS!$C$68,TABLAS!$B$52:$B$58,0)+1,7)),1)),MAX(MAX(DATOS!$C$71,CEILING(BL44/INDEX(TABLAS!$D$52:$D$58,MIN(MATCH(DATOS!$C$68,TABLAS!$B$52:$B$58,0)+1,7)),1)),2))&lt;=MIN(DATOS!$C$70,INT(((AC44-2*AJ44)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44&gt;=0,IF(MAX(DATOS!$C$71,CEILING(BL44/INDEX(TABLAS!$D$52:$D$58,MIN(MATCH(DATOS!$C$68,TABLAS!$B$52:$B$58,0)+2,7)),1))*INDEX(TABLAS!$D$52:$D$58,MIN(MATCH(DATOS!$C$68,TABLAS!$B$52:$B$58,0)+2,7))&gt;=4/3*IF(BF44&lt;=0,0,IF((1-2*BF44*1E5/(DATOS!$C$29*AG44*BK44^2*DATOS!$C$21))&lt;0,-1,IF((1-SQRT((1-2*BF44*1E5/(DATOS!$C$29*AG44*BK44^2*DATOS!$C$21))))*DATOS!$C$21*AG44*BK44/DATOS!$C$14&gt;DATOS!$C$99*AG44*BK44,-1,(1-SQRT((1-2*BF44*1E5/(DATOS!$C$29*AG44*BK44^2*DATOS!$C$21))))*DATOS!$C$21*AG44*BK44/DATOS!$C$14)))-0.0001,MAX(DATOS!$C$71,CEILING(BL44/INDEX(TABLAS!$D$52:$D$58,MIN(MATCH(DATOS!$C$68,TABLAS!$B$52:$B$58,0)+2,7)),1)),MAX(MAX(DATOS!$C$71,CEILING(BL44/INDEX(TABLAS!$D$52:$D$58,MIN(MATCH(DATOS!$C$68,TABLAS!$B$52:$B$58,0)+2,7)),1)),2))&lt;=MIN(DATOS!$C$70,INT(((AC44-2*AJ44)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44&gt;=0,IF(MAX(DATOS!$C$71,CEILING(BL44/INDEX(TABLAS!$D$52:$D$58,MIN(MATCH(DATOS!$C$68,TABLAS!$B$52:$B$58,0)+3,7)),1))*INDEX(TABLAS!$D$52:$D$58,MIN(MATCH(DATOS!$C$68,TABLAS!$B$52:$B$58,0)+3,7))&gt;=4/3*IF(BF44&lt;=0,0,IF((1-2*BF44*1E5/(DATOS!$C$29*AG44*BK44^2*DATOS!$C$21))&lt;0,-1,IF((1-SQRT((1-2*BF44*1E5/(DATOS!$C$29*AG44*BK44^2*DATOS!$C$21))))*DATOS!$C$21*AG44*BK44/DATOS!$C$14&gt;DATOS!$C$99*AG44*BK44,-1,(1-SQRT((1-2*BF44*1E5/(DATOS!$C$29*AG44*BK44^2*DATOS!$C$21))))*DATOS!$C$21*AG44*BK44/DATOS!$C$14)))-0.0001,MAX(DATOS!$C$71,CEILING(BL44/INDEX(TABLAS!$D$52:$D$58,MIN(MATCH(DATOS!$C$68,TABLAS!$B$52:$B$58,0)+3,7)),1)),MAX(MAX(DATOS!$C$71,CEILING(BL44/INDEX(TABLAS!$D$52:$D$58,MIN(MATCH(DATOS!$C$68,TABLAS!$B$52:$B$58,0)+3,7)),1)),2))&lt;=MIN(DATOS!$C$70,INT(((AC44-2*AJ44)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44&gt;=0,IF(MAX(DATOS!$C$71,CEILING(BL44/INDEX(TABLAS!$D$52:$D$58,MIN(MATCH(DATOS!$C$68,TABLAS!$B$52:$B$58,0)+4,7)),1))*INDEX(TABLAS!$D$52:$D$58,MIN(MATCH(DATOS!$C$68,TABLAS!$B$52:$B$58,0)+4,7))&gt;=4/3*IF(BF44&lt;=0,0,IF((1-2*BF44*1E5/(DATOS!$C$29*AG44*BK44^2*DATOS!$C$21))&lt;0,-1,IF((1-SQRT((1-2*BF44*1E5/(DATOS!$C$29*AG44*BK44^2*DATOS!$C$21))))*DATOS!$C$21*AG44*BK44/DATOS!$C$14&gt;DATOS!$C$99*AG44*BK44,-1,(1-SQRT((1-2*BF44*1E5/(DATOS!$C$29*AG44*BK44^2*DATOS!$C$21))))*DATOS!$C$21*AG44*BK44/DATOS!$C$14)))-0.0001,MAX(DATOS!$C$71,CEILING(BL44/INDEX(TABLAS!$D$52:$D$58,MIN(MATCH(DATOS!$C$68,TABLAS!$B$52:$B$58,0)+4,7)),1)),MAX(MAX(DATOS!$C$71,CEILING(BL44/INDEX(TABLAS!$D$52:$D$58,MIN(MATCH(DATOS!$C$68,TABLAS!$B$52:$B$58,0)+4,7)),1)),2))&lt;=MIN(DATOS!$C$70,INT(((AC44-2*AJ44)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44" s="59" t="str">
        <f>IF(U44&lt;&gt;"SÍ","",IF(BL44&lt;0,0,IF(MAX(DATOS!$C$71,CEILING(MAX(BL44,0)/INDEX(TABLAS!$D$52:$D$58,MATCH(BM44,TABLAS!$B$52:$B$58,0)),1))*INDEX(TABLAS!$D$52:$D$58,MATCH(BM44,TABLAS!$B$52:$B$58,0))&gt;=4/3*IF(BF44&lt;=0,0,IF((1-2*BF44*1E5/(DATOS!$C$29*AG44*BK44^2*DATOS!$C$21))&lt;0,-1,IF((1-SQRT((1-2*BF44*1E5/(DATOS!$C$29*AG44*BK44^2*DATOS!$C$21))))*DATOS!$C$21*AG44*BK44/DATOS!$C$14&gt;DATOS!$C$99*AG44*BK44,-1,(1-SQRT((1-2*BF44*1E5/(DATOS!$C$29*AG44*BK44^2*DATOS!$C$21))))*DATOS!$C$21*AG44*BK44/DATOS!$C$14)))-0.0001,MAX(DATOS!$C$71,CEILING(MAX(BL44,0)/INDEX(TABLAS!$D$52:$D$58,MATCH(BM44,TABLAS!$B$52:$B$58,0)),1)),MAX(MAX(DATOS!$C$71,CEILING(MAX(BL44,0)/INDEX(TABLAS!$D$52:$D$58,MATCH(BM44,TABLAS!$B$52:$B$58,0)),1)),2))))</f>
        <v/>
      </c>
      <c r="BO44" s="58" t="str">
        <f>IF(U44&lt;&gt;"SÍ","",DATOS!$C$82-AJ44-INDEX(TABLAS!$C$52:$C$58,MATCH(BM44,TABLAS!$B$52:$B$58,0))/2)</f>
        <v/>
      </c>
      <c r="BP44" s="56" t="str">
        <f>IF(U44&lt;&gt;"SÍ","",IF(BN44=0,0,DATOS!$C$29*BN44*INDEX(TABLAS!$D$52:$D$58,MATCH(BM44,TABLAS!$B$52:$B$58,0))*DATOS!$C$14*(BO44-BN44*INDEX(TABLAS!$D$52:$D$58,MATCH(BM44,TABLAS!$B$52:$B$58,0))*DATOS!$C$14/(DATOS!$C$21*AG44)/2)/1E5))</f>
        <v/>
      </c>
      <c r="BQ44" s="65" t="str">
        <f>IF(U44&lt;&gt;"SÍ","",IF(BL44&lt;0,9.99,IF(BP44&gt;0,BF44/BP44,0)))</f>
        <v/>
      </c>
      <c r="BR44" s="66" t="str">
        <f>IF(U44&lt;&gt;"SÍ","",IF(BN44=0,"—",0.003*(BO44-(BN44*INDEX(TABLAS!$D$52:$D$58,MATCH(BM44,TABLAS!$B$52:$B$58,0))*DATOS!$C$14/(DATOS!$C$21*AG44)/DATOS!$C$22))/(BN44*INDEX(TABLAS!$D$52:$D$58,MATCH(BM44,TABLAS!$B$52:$B$58,0))*DATOS!$C$14/(DATOS!$C$21*AG44)/DATOS!$C$22)))</f>
        <v/>
      </c>
      <c r="BS44" s="58" t="str">
        <f>IF(U44&lt;&gt;"SÍ","",((DATOS!$C$82-AL44-2*DATOS!$C$94-INDEX(TABLAS!$C$52:$C$58,MATCH(DATOS!$C$69,TABLAS!$B$52:$B$58,0))/2)-IF(AND((DATOS!$C$82-AL44-2*DATOS!$C$94-INDEX(TABLAS!$C$52:$C$58,MATCH(DATOS!$C$69,TABLAS!$B$52:$B$58,0))/2)&lt;=20,DATOS!$C$62&lt;&gt;"SÍ"),2,0)))</f>
        <v/>
      </c>
      <c r="BT44" s="58" t="str">
        <f>IF(U44&lt;&gt;"SÍ","",IF(IF(BG44&lt;=0,0,IF((1-2*BG44*1E5/(DATOS!$C$29*AE44*BS44^2*DATOS!$C$21))&lt;0,-1,IF((1-SQRT((1-2*BG44*1E5/(DATOS!$C$29*AE44*BS44^2*DATOS!$C$21))))*DATOS!$C$21*AE44*BS44/DATOS!$C$14&gt;DATOS!$C$99*AE44*BS44,-1,(1-SQRT((1-2*BG44*1E5/(DATOS!$C$29*AE44*BS44^2*DATOS!$C$21))))*DATOS!$C$21*AE44*BS44/DATOS!$C$14)))&lt;0,-1,MAX(IF(BG44&lt;=0,0,IF((1-2*BG44*1E5/(DATOS!$C$29*AE44*BS44^2*DATOS!$C$21))&lt;0,-1,IF((1-SQRT((1-2*BG44*1E5/(DATOS!$C$29*AE44*BS44^2*DATOS!$C$21))))*DATOS!$C$21*AE44*BS44/DATOS!$C$14&gt;DATOS!$C$99*AE44*BS44,-1,(1-SQRT((1-2*BG44*1E5/(DATOS!$C$29*AE44*BS44^2*DATOS!$C$21))))*DATOS!$C$21*AE44*BS44/DATOS!$C$14))),MIN(DATOS!$C$100*IF(C44="VOLADO",MIN(AG44,2*AC44),AC44)*BS44,4/3*IF(BG44&lt;=0,0,IF((1-2*BG44*1E5/(DATOS!$C$29*AE44*BS44^2*DATOS!$C$21))&lt;0,-1,IF((1-SQRT((1-2*BG44*1E5/(DATOS!$C$29*AE44*BS44^2*DATOS!$C$21))))*DATOS!$C$21*AE44*BS44/DATOS!$C$14&gt;DATOS!$C$99*AE44*BS44,-1,(1-SQRT((1-2*BG44*1E5/(DATOS!$C$29*AE44*BS44^2*DATOS!$C$21))))*DATOS!$C$21*AE44*BS44/DATOS!$C$14)))))))</f>
        <v/>
      </c>
      <c r="BU44" s="64" t="str">
        <f>IF(U44&lt;&gt;"SÍ","",IF(AND(BT44&gt;=0,IF(MAX(DATOS!$C$71,CEILING(BT44/INDEX(TABLAS!$D$52:$D$58,MIN(MATCH(DATOS!$C$69,TABLAS!$B$52:$B$58,0)+0,7)),1))*INDEX(TABLAS!$D$52:$D$58,MIN(MATCH(DATOS!$C$69,TABLAS!$B$52:$B$58,0)+0,7))&gt;=4/3*IF(BG44&lt;=0,0,IF((1-2*BG44*1E5/(DATOS!$C$29*AE44*BS44^2*DATOS!$C$21))&lt;0,-1,IF((1-SQRT((1-2*BG44*1E5/(DATOS!$C$29*AE44*BS44^2*DATOS!$C$21))))*DATOS!$C$21*AE44*BS44/DATOS!$C$14&gt;DATOS!$C$99*AE44*BS44,-1,(1-SQRT((1-2*BG44*1E5/(DATOS!$C$29*AE44*BS44^2*DATOS!$C$21))))*DATOS!$C$21*AE44*BS44/DATOS!$C$14)))-0.0001,MAX(DATOS!$C$71,CEILING(BT44/INDEX(TABLAS!$D$52:$D$58,MIN(MATCH(DATOS!$C$69,TABLAS!$B$52:$B$58,0)+0,7)),1)),MAX(MAX(DATOS!$C$71,CEILING(BT44/INDEX(TABLAS!$D$52:$D$58,MIN(MATCH(DATOS!$C$69,TABLAS!$B$52:$B$58,0)+0,7)),1)),2))&lt;=MIN(DATOS!$C$70,INT(((AC44-2*AK44)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44&gt;=0,IF(MAX(DATOS!$C$71,CEILING(BT44/INDEX(TABLAS!$D$52:$D$58,MIN(MATCH(DATOS!$C$69,TABLAS!$B$52:$B$58,0)+1,7)),1))*INDEX(TABLAS!$D$52:$D$58,MIN(MATCH(DATOS!$C$69,TABLAS!$B$52:$B$58,0)+1,7))&gt;=4/3*IF(BG44&lt;=0,0,IF((1-2*BG44*1E5/(DATOS!$C$29*AE44*BS44^2*DATOS!$C$21))&lt;0,-1,IF((1-SQRT((1-2*BG44*1E5/(DATOS!$C$29*AE44*BS44^2*DATOS!$C$21))))*DATOS!$C$21*AE44*BS44/DATOS!$C$14&gt;DATOS!$C$99*AE44*BS44,-1,(1-SQRT((1-2*BG44*1E5/(DATOS!$C$29*AE44*BS44^2*DATOS!$C$21))))*DATOS!$C$21*AE44*BS44/DATOS!$C$14)))-0.0001,MAX(DATOS!$C$71,CEILING(BT44/INDEX(TABLAS!$D$52:$D$58,MIN(MATCH(DATOS!$C$69,TABLAS!$B$52:$B$58,0)+1,7)),1)),MAX(MAX(DATOS!$C$71,CEILING(BT44/INDEX(TABLAS!$D$52:$D$58,MIN(MATCH(DATOS!$C$69,TABLAS!$B$52:$B$58,0)+1,7)),1)),2))&lt;=MIN(DATOS!$C$70,INT(((AC44-2*AK44)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44&gt;=0,IF(MAX(DATOS!$C$71,CEILING(BT44/INDEX(TABLAS!$D$52:$D$58,MIN(MATCH(DATOS!$C$69,TABLAS!$B$52:$B$58,0)+2,7)),1))*INDEX(TABLAS!$D$52:$D$58,MIN(MATCH(DATOS!$C$69,TABLAS!$B$52:$B$58,0)+2,7))&gt;=4/3*IF(BG44&lt;=0,0,IF((1-2*BG44*1E5/(DATOS!$C$29*AE44*BS44^2*DATOS!$C$21))&lt;0,-1,IF((1-SQRT((1-2*BG44*1E5/(DATOS!$C$29*AE44*BS44^2*DATOS!$C$21))))*DATOS!$C$21*AE44*BS44/DATOS!$C$14&gt;DATOS!$C$99*AE44*BS44,-1,(1-SQRT((1-2*BG44*1E5/(DATOS!$C$29*AE44*BS44^2*DATOS!$C$21))))*DATOS!$C$21*AE44*BS44/DATOS!$C$14)))-0.0001,MAX(DATOS!$C$71,CEILING(BT44/INDEX(TABLAS!$D$52:$D$58,MIN(MATCH(DATOS!$C$69,TABLAS!$B$52:$B$58,0)+2,7)),1)),MAX(MAX(DATOS!$C$71,CEILING(BT44/INDEX(TABLAS!$D$52:$D$58,MIN(MATCH(DATOS!$C$69,TABLAS!$B$52:$B$58,0)+2,7)),1)),2))&lt;=MIN(DATOS!$C$70,INT(((AC44-2*AK44)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44&gt;=0,IF(MAX(DATOS!$C$71,CEILING(BT44/INDEX(TABLAS!$D$52:$D$58,MIN(MATCH(DATOS!$C$69,TABLAS!$B$52:$B$58,0)+3,7)),1))*INDEX(TABLAS!$D$52:$D$58,MIN(MATCH(DATOS!$C$69,TABLAS!$B$52:$B$58,0)+3,7))&gt;=4/3*IF(BG44&lt;=0,0,IF((1-2*BG44*1E5/(DATOS!$C$29*AE44*BS44^2*DATOS!$C$21))&lt;0,-1,IF((1-SQRT((1-2*BG44*1E5/(DATOS!$C$29*AE44*BS44^2*DATOS!$C$21))))*DATOS!$C$21*AE44*BS44/DATOS!$C$14&gt;DATOS!$C$99*AE44*BS44,-1,(1-SQRT((1-2*BG44*1E5/(DATOS!$C$29*AE44*BS44^2*DATOS!$C$21))))*DATOS!$C$21*AE44*BS44/DATOS!$C$14)))-0.0001,MAX(DATOS!$C$71,CEILING(BT44/INDEX(TABLAS!$D$52:$D$58,MIN(MATCH(DATOS!$C$69,TABLAS!$B$52:$B$58,0)+3,7)),1)),MAX(MAX(DATOS!$C$71,CEILING(BT44/INDEX(TABLAS!$D$52:$D$58,MIN(MATCH(DATOS!$C$69,TABLAS!$B$52:$B$58,0)+3,7)),1)),2))&lt;=MIN(DATOS!$C$70,INT(((AC44-2*AK44)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44&gt;=0,IF(MAX(DATOS!$C$71,CEILING(BT44/INDEX(TABLAS!$D$52:$D$58,MIN(MATCH(DATOS!$C$69,TABLAS!$B$52:$B$58,0)+4,7)),1))*INDEX(TABLAS!$D$52:$D$58,MIN(MATCH(DATOS!$C$69,TABLAS!$B$52:$B$58,0)+4,7))&gt;=4/3*IF(BG44&lt;=0,0,IF((1-2*BG44*1E5/(DATOS!$C$29*AE44*BS44^2*DATOS!$C$21))&lt;0,-1,IF((1-SQRT((1-2*BG44*1E5/(DATOS!$C$29*AE44*BS44^2*DATOS!$C$21))))*DATOS!$C$21*AE44*BS44/DATOS!$C$14&gt;DATOS!$C$99*AE44*BS44,-1,(1-SQRT((1-2*BG44*1E5/(DATOS!$C$29*AE44*BS44^2*DATOS!$C$21))))*DATOS!$C$21*AE44*BS44/DATOS!$C$14)))-0.0001,MAX(DATOS!$C$71,CEILING(BT44/INDEX(TABLAS!$D$52:$D$58,MIN(MATCH(DATOS!$C$69,TABLAS!$B$52:$B$58,0)+4,7)),1)),MAX(MAX(DATOS!$C$71,CEILING(BT44/INDEX(TABLAS!$D$52:$D$58,MIN(MATCH(DATOS!$C$69,TABLAS!$B$52:$B$58,0)+4,7)),1)),2))&lt;=MIN(DATOS!$C$70,INT(((AC44-2*AK44)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44" s="59" t="str">
        <f>IF(U44&lt;&gt;"SÍ","",IF(BT44&lt;0,0,IF(MAX(DATOS!$C$71,CEILING(MAX(BT44,0)/INDEX(TABLAS!$D$52:$D$58,MATCH(BU44,TABLAS!$B$52:$B$58,0)),1))*INDEX(TABLAS!$D$52:$D$58,MATCH(BU44,TABLAS!$B$52:$B$58,0))&gt;=4/3*IF(BG44&lt;=0,0,IF((1-2*BG44*1E5/(DATOS!$C$29*AE44*BS44^2*DATOS!$C$21))&lt;0,-1,IF((1-SQRT((1-2*BG44*1E5/(DATOS!$C$29*AE44*BS44^2*DATOS!$C$21))))*DATOS!$C$21*AE44*BS44/DATOS!$C$14&gt;DATOS!$C$99*AE44*BS44,-1,(1-SQRT((1-2*BG44*1E5/(DATOS!$C$29*AE44*BS44^2*DATOS!$C$21))))*DATOS!$C$21*AE44*BS44/DATOS!$C$14)))-0.0001,MAX(DATOS!$C$71,CEILING(MAX(BT44,0)/INDEX(TABLAS!$D$52:$D$58,MATCH(BU44,TABLAS!$B$52:$B$58,0)),1)),MAX(MAX(DATOS!$C$71,CEILING(MAX(BT44,0)/INDEX(TABLAS!$D$52:$D$58,MATCH(BU44,TABLAS!$B$52:$B$58,0)),1)),2))))</f>
        <v/>
      </c>
      <c r="BW44" s="58" t="str">
        <f>IF(U44&lt;&gt;"SÍ","",((DATOS!$C$82-AL44-2*DATOS!$C$94-INDEX(TABLAS!$C$52:$C$58,MATCH(BU44,TABLAS!$B$52:$B$58,0))/2)-IF(AND((DATOS!$C$82-AL44-2*DATOS!$C$94-INDEX(TABLAS!$C$52:$C$58,MATCH(BU44,TABLAS!$B$52:$B$58,0))/2)&lt;=20,DATOS!$C$62&lt;&gt;"SÍ"),2,0)))</f>
        <v/>
      </c>
      <c r="BX44" s="56" t="str">
        <f>IF(U44&lt;&gt;"SÍ","",IF(BV44=0,0,DATOS!$C$29*BV44*INDEX(TABLAS!$D$52:$D$58,MATCH(BU44,TABLAS!$B$52:$B$58,0))*DATOS!$C$14*(BW44-BV44*INDEX(TABLAS!$D$52:$D$58,MATCH(BU44,TABLAS!$B$52:$B$58,0))*DATOS!$C$14/(DATOS!$C$21*AE44)/2)/1E5))</f>
        <v/>
      </c>
      <c r="BY44" s="65" t="str">
        <f>IF(U44&lt;&gt;"SÍ","",IF(BT44&lt;0,9.99,IF(BX44&gt;0,BG44/BX44,0)))</f>
        <v/>
      </c>
      <c r="BZ44" s="66" t="str">
        <f>IF(U44&lt;&gt;"SÍ","",IF(BV44=0,"—",0.003*(BW44-(BV44*INDEX(TABLAS!$D$52:$D$58,MATCH(BU44,TABLAS!$B$52:$B$58,0))*DATOS!$C$14/(DATOS!$C$21*AE44)/DATOS!$C$22))/(BV44*INDEX(TABLAS!$D$52:$D$58,MATCH(BU44,TABLAS!$B$52:$B$58,0))*DATOS!$C$14/(DATOS!$C$21*AE44)/DATOS!$C$22)))</f>
        <v/>
      </c>
      <c r="CA44" s="58" t="str">
        <f>IF(U44&lt;&gt;"SÍ","",(DATOS!$C$82-AJ44-INDEX(TABLAS!$C$52:$C$58,MATCH(DATOS!$C$68,TABLAS!$B$52:$B$58,0))-INDEX(TABLAS!$C$52:$C$58,MATCH(DATOS!$C$68,TABLAS!$B$52:$B$58,0))/2))</f>
        <v/>
      </c>
      <c r="CB44" s="58" t="str">
        <f>IF(U44&lt;&gt;"SÍ","",IF(IF(BH44&lt;=0,0,IF((1-2*BH44*1E5/(DATOS!$C$29*AH44*CA44^2*DATOS!$C$21))&lt;0,-1,IF((1-SQRT((1-2*BH44*1E5/(DATOS!$C$29*AH44*CA44^2*DATOS!$C$21))))*DATOS!$C$21*AH44*CA44/DATOS!$C$14&gt;DATOS!$C$99*AH44*CA44,-1,(1-SQRT((1-2*BH44*1E5/(DATOS!$C$29*AH44*CA44^2*DATOS!$C$21))))*DATOS!$C$21*AH44*CA44/DATOS!$C$14)))&lt;0,-1,MAX(IF(BH44&lt;=0,0,IF((1-2*BH44*1E5/(DATOS!$C$29*AH44*CA44^2*DATOS!$C$21))&lt;0,-1,IF((1-SQRT((1-2*BH44*1E5/(DATOS!$C$29*AH44*CA44^2*DATOS!$C$21))))*DATOS!$C$21*AH44*CA44/DATOS!$C$14&gt;DATOS!$C$99*AH44*CA44,-1,(1-SQRT((1-2*BH44*1E5/(DATOS!$C$29*AH44*CA44^2*DATOS!$C$21))))*DATOS!$C$21*AH44*CA44/DATOS!$C$14))),MIN(DATOS!$C$100*DATOS!$C$80*CA44,4/3*IF(BH44&lt;=0,0,IF((1-2*BH44*1E5/(DATOS!$C$29*AH44*CA44^2*DATOS!$C$21))&lt;0,-1,IF((1-SQRT((1-2*BH44*1E5/(DATOS!$C$29*AH44*CA44^2*DATOS!$C$21))))*DATOS!$C$21*AH44*CA44/DATOS!$C$14&gt;DATOS!$C$99*AH44*CA44,-1,(1-SQRT((1-2*BH44*1E5/(DATOS!$C$29*AH44*CA44^2*DATOS!$C$21))))*DATOS!$C$21*AH44*CA44/DATOS!$C$14)))))))</f>
        <v/>
      </c>
      <c r="CC44" s="64" t="str">
        <f>IF(U44&lt;&gt;"SÍ","",IF(AND(CB44&gt;=0,IF(MAX(DATOS!$C$71,CEILING(CB44/INDEX(TABLAS!$D$52:$D$58,MIN(MATCH(DATOS!$C$68,TABLAS!$B$52:$B$58,0)+0,7)),1))*INDEX(TABLAS!$D$52:$D$58,MIN(MATCH(DATOS!$C$68,TABLAS!$B$52:$B$58,0)+0,7))&gt;=4/3*IF(BH44&lt;=0,0,IF((1-2*BH44*1E5/(DATOS!$C$29*AH44*CA44^2*DATOS!$C$21))&lt;0,-1,IF((1-SQRT((1-2*BH44*1E5/(DATOS!$C$29*AH44*CA44^2*DATOS!$C$21))))*DATOS!$C$21*AH44*CA44/DATOS!$C$14&gt;DATOS!$C$99*AH44*CA44,-1,(1-SQRT((1-2*BH44*1E5/(DATOS!$C$29*AH44*CA44^2*DATOS!$C$21))))*DATOS!$C$21*AH44*CA44/DATOS!$C$14)))-0.0001,MAX(DATOS!$C$71,CEILING(CB44/INDEX(TABLAS!$D$52:$D$58,MIN(MATCH(DATOS!$C$68,TABLAS!$B$52:$B$58,0)+0,7)),1)),MAX(MAX(DATOS!$C$71,CEILING(CB44/INDEX(TABLAS!$D$52:$D$58,MIN(MATCH(DATOS!$C$68,TABLAS!$B$52:$B$58,0)+0,7)),1)),2))&lt;=MIN(DATOS!$C$70,INT(((DATOS!$C$80-2*AJ44)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44&gt;=0,IF(MAX(DATOS!$C$71,CEILING(CB44/INDEX(TABLAS!$D$52:$D$58,MIN(MATCH(DATOS!$C$68,TABLAS!$B$52:$B$58,0)+1,7)),1))*INDEX(TABLAS!$D$52:$D$58,MIN(MATCH(DATOS!$C$68,TABLAS!$B$52:$B$58,0)+1,7))&gt;=4/3*IF(BH44&lt;=0,0,IF((1-2*BH44*1E5/(DATOS!$C$29*AH44*CA44^2*DATOS!$C$21))&lt;0,-1,IF((1-SQRT((1-2*BH44*1E5/(DATOS!$C$29*AH44*CA44^2*DATOS!$C$21))))*DATOS!$C$21*AH44*CA44/DATOS!$C$14&gt;DATOS!$C$99*AH44*CA44,-1,(1-SQRT((1-2*BH44*1E5/(DATOS!$C$29*AH44*CA44^2*DATOS!$C$21))))*DATOS!$C$21*AH44*CA44/DATOS!$C$14)))-0.0001,MAX(DATOS!$C$71,CEILING(CB44/INDEX(TABLAS!$D$52:$D$58,MIN(MATCH(DATOS!$C$68,TABLAS!$B$52:$B$58,0)+1,7)),1)),MAX(MAX(DATOS!$C$71,CEILING(CB44/INDEX(TABLAS!$D$52:$D$58,MIN(MATCH(DATOS!$C$68,TABLAS!$B$52:$B$58,0)+1,7)),1)),2))&lt;=MIN(DATOS!$C$70,INT(((DATOS!$C$80-2*AJ44)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44&gt;=0,IF(MAX(DATOS!$C$71,CEILING(CB44/INDEX(TABLAS!$D$52:$D$58,MIN(MATCH(DATOS!$C$68,TABLAS!$B$52:$B$58,0)+2,7)),1))*INDEX(TABLAS!$D$52:$D$58,MIN(MATCH(DATOS!$C$68,TABLAS!$B$52:$B$58,0)+2,7))&gt;=4/3*IF(BH44&lt;=0,0,IF((1-2*BH44*1E5/(DATOS!$C$29*AH44*CA44^2*DATOS!$C$21))&lt;0,-1,IF((1-SQRT((1-2*BH44*1E5/(DATOS!$C$29*AH44*CA44^2*DATOS!$C$21))))*DATOS!$C$21*AH44*CA44/DATOS!$C$14&gt;DATOS!$C$99*AH44*CA44,-1,(1-SQRT((1-2*BH44*1E5/(DATOS!$C$29*AH44*CA44^2*DATOS!$C$21))))*DATOS!$C$21*AH44*CA44/DATOS!$C$14)))-0.0001,MAX(DATOS!$C$71,CEILING(CB44/INDEX(TABLAS!$D$52:$D$58,MIN(MATCH(DATOS!$C$68,TABLAS!$B$52:$B$58,0)+2,7)),1)),MAX(MAX(DATOS!$C$71,CEILING(CB44/INDEX(TABLAS!$D$52:$D$58,MIN(MATCH(DATOS!$C$68,TABLAS!$B$52:$B$58,0)+2,7)),1)),2))&lt;=MIN(DATOS!$C$70,INT(((DATOS!$C$80-2*AJ44)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44&gt;=0,IF(MAX(DATOS!$C$71,CEILING(CB44/INDEX(TABLAS!$D$52:$D$58,MIN(MATCH(DATOS!$C$68,TABLAS!$B$52:$B$58,0)+3,7)),1))*INDEX(TABLAS!$D$52:$D$58,MIN(MATCH(DATOS!$C$68,TABLAS!$B$52:$B$58,0)+3,7))&gt;=4/3*IF(BH44&lt;=0,0,IF((1-2*BH44*1E5/(DATOS!$C$29*AH44*CA44^2*DATOS!$C$21))&lt;0,-1,IF((1-SQRT((1-2*BH44*1E5/(DATOS!$C$29*AH44*CA44^2*DATOS!$C$21))))*DATOS!$C$21*AH44*CA44/DATOS!$C$14&gt;DATOS!$C$99*AH44*CA44,-1,(1-SQRT((1-2*BH44*1E5/(DATOS!$C$29*AH44*CA44^2*DATOS!$C$21))))*DATOS!$C$21*AH44*CA44/DATOS!$C$14)))-0.0001,MAX(DATOS!$C$71,CEILING(CB44/INDEX(TABLAS!$D$52:$D$58,MIN(MATCH(DATOS!$C$68,TABLAS!$B$52:$B$58,0)+3,7)),1)),MAX(MAX(DATOS!$C$71,CEILING(CB44/INDEX(TABLAS!$D$52:$D$58,MIN(MATCH(DATOS!$C$68,TABLAS!$B$52:$B$58,0)+3,7)),1)),2))&lt;=MIN(DATOS!$C$70,INT(((DATOS!$C$80-2*AJ44)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44&gt;=0,IF(MAX(DATOS!$C$71,CEILING(CB44/INDEX(TABLAS!$D$52:$D$58,MIN(MATCH(DATOS!$C$68,TABLAS!$B$52:$B$58,0)+4,7)),1))*INDEX(TABLAS!$D$52:$D$58,MIN(MATCH(DATOS!$C$68,TABLAS!$B$52:$B$58,0)+4,7))&gt;=4/3*IF(BH44&lt;=0,0,IF((1-2*BH44*1E5/(DATOS!$C$29*AH44*CA44^2*DATOS!$C$21))&lt;0,-1,IF((1-SQRT((1-2*BH44*1E5/(DATOS!$C$29*AH44*CA44^2*DATOS!$C$21))))*DATOS!$C$21*AH44*CA44/DATOS!$C$14&gt;DATOS!$C$99*AH44*CA44,-1,(1-SQRT((1-2*BH44*1E5/(DATOS!$C$29*AH44*CA44^2*DATOS!$C$21))))*DATOS!$C$21*AH44*CA44/DATOS!$C$14)))-0.0001,MAX(DATOS!$C$71,CEILING(CB44/INDEX(TABLAS!$D$52:$D$58,MIN(MATCH(DATOS!$C$68,TABLAS!$B$52:$B$58,0)+4,7)),1)),MAX(MAX(DATOS!$C$71,CEILING(CB44/INDEX(TABLAS!$D$52:$D$58,MIN(MATCH(DATOS!$C$68,TABLAS!$B$52:$B$58,0)+4,7)),1)),2))&lt;=MIN(DATOS!$C$70,INT(((DATOS!$C$80-2*AJ44)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44" s="59" t="str">
        <f>IF(U44&lt;&gt;"SÍ","",IF(CB44&lt;0,0,IF(MAX(DATOS!$C$71,CEILING(MAX(CB44,0)/INDEX(TABLAS!$D$52:$D$58,MATCH(CC44,TABLAS!$B$52:$B$58,0)),1))*INDEX(TABLAS!$D$52:$D$58,MATCH(CC44,TABLAS!$B$52:$B$58,0))&gt;=4/3*IF(BH44&lt;=0,0,IF((1-2*BH44*1E5/(DATOS!$C$29*AH44*CA44^2*DATOS!$C$21))&lt;0,-1,IF((1-SQRT((1-2*BH44*1E5/(DATOS!$C$29*AH44*CA44^2*DATOS!$C$21))))*DATOS!$C$21*AH44*CA44/DATOS!$C$14&gt;DATOS!$C$99*AH44*CA44,-1,(1-SQRT((1-2*BH44*1E5/(DATOS!$C$29*AH44*CA44^2*DATOS!$C$21))))*DATOS!$C$21*AH44*CA44/DATOS!$C$14)))-0.0001,MAX(DATOS!$C$71,CEILING(MAX(CB44,0)/INDEX(TABLAS!$D$52:$D$58,MATCH(CC44,TABLAS!$B$52:$B$58,0)),1)),MAX(MAX(DATOS!$C$71,CEILING(MAX(CB44,0)/INDEX(TABLAS!$D$52:$D$58,MATCH(CC44,TABLAS!$B$52:$B$58,0)),1)),2))))</f>
        <v/>
      </c>
      <c r="CE44" s="58" t="str">
        <f>IF(U44&lt;&gt;"SÍ","",DATOS!$C$82-AJ44-INDEX(TABLAS!$C$52:$C$58,MATCH(BM44,TABLAS!$B$52:$B$58,0))-INDEX(TABLAS!$C$52:$C$58,MATCH(CC44,TABLAS!$B$52:$B$58,0))/2)</f>
        <v/>
      </c>
      <c r="CF44" s="56" t="str">
        <f>IF(U44&lt;&gt;"SÍ","",IF(CD44=0,0,DATOS!$C$29*CD44*INDEX(TABLAS!$D$52:$D$58,MATCH(CC44,TABLAS!$B$52:$B$58,0))*DATOS!$C$14*(CE44-CD44*INDEX(TABLAS!$D$52:$D$58,MATCH(CC44,TABLAS!$B$52:$B$58,0))*DATOS!$C$14/(DATOS!$C$21*AH44)/2)/1E5))</f>
        <v/>
      </c>
      <c r="CG44" s="65" t="str">
        <f>IF(U44&lt;&gt;"SÍ","",IF(CB44&lt;0,9.99,IF(CF44&gt;0,BH44/CF44,0)))</f>
        <v/>
      </c>
      <c r="CH44" s="66" t="str">
        <f>IF(U44&lt;&gt;"SÍ","",IF(CD44=0,"—",0.003*(CE44-(CD44*INDEX(TABLAS!$D$52:$D$58,MATCH(CC44,TABLAS!$B$52:$B$58,0))*DATOS!$C$14/(DATOS!$C$21*AH44)/DATOS!$C$22))/(CD44*INDEX(TABLAS!$D$52:$D$58,MATCH(CC44,TABLAS!$B$52:$B$58,0))*DATOS!$C$14/(DATOS!$C$21*AH44)/DATOS!$C$22)))</f>
        <v/>
      </c>
      <c r="CI44" s="58" t="str">
        <f>IF(U44&lt;&gt;"SÍ","",((DATOS!$C$82-AL44-2*DATOS!$C$94-INDEX(TABLAS!$C$52:$C$58,MATCH(DATOS!$C$69,TABLAS!$B$52:$B$58,0))-INDEX(TABLAS!$C$52:$C$58,MATCH(DATOS!$C$69,TABLAS!$B$52:$B$58,0))/2)-IF(AND((DATOS!$C$82-AL44-2*DATOS!$C$94-INDEX(TABLAS!$C$52:$C$58,MATCH(DATOS!$C$69,TABLAS!$B$52:$B$58,0))-INDEX(TABLAS!$C$52:$C$58,MATCH(DATOS!$C$69,TABLAS!$B$52:$B$58,0))/2)&lt;=20,DATOS!$C$62&lt;&gt;"SÍ"),2,0)))</f>
        <v/>
      </c>
      <c r="CJ44" s="58" t="str">
        <f>IF(U44&lt;&gt;"SÍ","",IF(IF(BI44&lt;=0,0,IF((1-2*BI44*1E5/(DATOS!$C$29*AF44*CI44^2*DATOS!$C$21))&lt;0,-1,IF((1-SQRT((1-2*BI44*1E5/(DATOS!$C$29*AF44*CI44^2*DATOS!$C$21))))*DATOS!$C$21*AF44*CI44/DATOS!$C$14&gt;DATOS!$C$99*AF44*CI44,-1,(1-SQRT((1-2*BI44*1E5/(DATOS!$C$29*AF44*CI44^2*DATOS!$C$21))))*DATOS!$C$21*AF44*CI44/DATOS!$C$14)))&lt;0,-1,MAX(IF(BI44&lt;=0,0,IF((1-2*BI44*1E5/(DATOS!$C$29*AF44*CI44^2*DATOS!$C$21))&lt;0,-1,IF((1-SQRT((1-2*BI44*1E5/(DATOS!$C$29*AF44*CI44^2*DATOS!$C$21))))*DATOS!$C$21*AF44*CI44/DATOS!$C$14&gt;DATOS!$C$99*AF44*CI44,-1,(1-SQRT((1-2*BI44*1E5/(DATOS!$C$29*AF44*CI44^2*DATOS!$C$21))))*DATOS!$C$21*AF44*CI44/DATOS!$C$14))),MIN(DATOS!$C$100*DATOS!$C$80*CI44,4/3*IF(BI44&lt;=0,0,IF((1-2*BI44*1E5/(DATOS!$C$29*AF44*CI44^2*DATOS!$C$21))&lt;0,-1,IF((1-SQRT((1-2*BI44*1E5/(DATOS!$C$29*AF44*CI44^2*DATOS!$C$21))))*DATOS!$C$21*AF44*CI44/DATOS!$C$14&gt;DATOS!$C$99*AF44*CI44,-1,(1-SQRT((1-2*BI44*1E5/(DATOS!$C$29*AF44*CI44^2*DATOS!$C$21))))*DATOS!$C$21*AF44*CI44/DATOS!$C$14)))))))</f>
        <v/>
      </c>
      <c r="CK44" s="64" t="str">
        <f>IF(U44&lt;&gt;"SÍ","",IF(AND(CJ44&gt;=0,IF(MAX(DATOS!$C$71,CEILING(CJ44/INDEX(TABLAS!$D$52:$D$58,MIN(MATCH(DATOS!$C$69,TABLAS!$B$52:$B$58,0)+0,7)),1))*INDEX(TABLAS!$D$52:$D$58,MIN(MATCH(DATOS!$C$69,TABLAS!$B$52:$B$58,0)+0,7))&gt;=4/3*IF(BI44&lt;=0,0,IF((1-2*BI44*1E5/(DATOS!$C$29*AF44*CI44^2*DATOS!$C$21))&lt;0,-1,IF((1-SQRT((1-2*BI44*1E5/(DATOS!$C$29*AF44*CI44^2*DATOS!$C$21))))*DATOS!$C$21*AF44*CI44/DATOS!$C$14&gt;DATOS!$C$99*AF44*CI44,-1,(1-SQRT((1-2*BI44*1E5/(DATOS!$C$29*AF44*CI44^2*DATOS!$C$21))))*DATOS!$C$21*AF44*CI44/DATOS!$C$14)))-0.0001,MAX(DATOS!$C$71,CEILING(CJ44/INDEX(TABLAS!$D$52:$D$58,MIN(MATCH(DATOS!$C$69,TABLAS!$B$52:$B$58,0)+0,7)),1)),MAX(MAX(DATOS!$C$71,CEILING(CJ44/INDEX(TABLAS!$D$52:$D$58,MIN(MATCH(DATOS!$C$69,TABLAS!$B$52:$B$58,0)+0,7)),1)),2))&lt;=MIN(DATOS!$C$70,INT(((DATOS!$C$80-2*AK44)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44&gt;=0,IF(MAX(DATOS!$C$71,CEILING(CJ44/INDEX(TABLAS!$D$52:$D$58,MIN(MATCH(DATOS!$C$69,TABLAS!$B$52:$B$58,0)+1,7)),1))*INDEX(TABLAS!$D$52:$D$58,MIN(MATCH(DATOS!$C$69,TABLAS!$B$52:$B$58,0)+1,7))&gt;=4/3*IF(BI44&lt;=0,0,IF((1-2*BI44*1E5/(DATOS!$C$29*AF44*CI44^2*DATOS!$C$21))&lt;0,-1,IF((1-SQRT((1-2*BI44*1E5/(DATOS!$C$29*AF44*CI44^2*DATOS!$C$21))))*DATOS!$C$21*AF44*CI44/DATOS!$C$14&gt;DATOS!$C$99*AF44*CI44,-1,(1-SQRT((1-2*BI44*1E5/(DATOS!$C$29*AF44*CI44^2*DATOS!$C$21))))*DATOS!$C$21*AF44*CI44/DATOS!$C$14)))-0.0001,MAX(DATOS!$C$71,CEILING(CJ44/INDEX(TABLAS!$D$52:$D$58,MIN(MATCH(DATOS!$C$69,TABLAS!$B$52:$B$58,0)+1,7)),1)),MAX(MAX(DATOS!$C$71,CEILING(CJ44/INDEX(TABLAS!$D$52:$D$58,MIN(MATCH(DATOS!$C$69,TABLAS!$B$52:$B$58,0)+1,7)),1)),2))&lt;=MIN(DATOS!$C$70,INT(((DATOS!$C$80-2*AK44)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44&gt;=0,IF(MAX(DATOS!$C$71,CEILING(CJ44/INDEX(TABLAS!$D$52:$D$58,MIN(MATCH(DATOS!$C$69,TABLAS!$B$52:$B$58,0)+2,7)),1))*INDEX(TABLAS!$D$52:$D$58,MIN(MATCH(DATOS!$C$69,TABLAS!$B$52:$B$58,0)+2,7))&gt;=4/3*IF(BI44&lt;=0,0,IF((1-2*BI44*1E5/(DATOS!$C$29*AF44*CI44^2*DATOS!$C$21))&lt;0,-1,IF((1-SQRT((1-2*BI44*1E5/(DATOS!$C$29*AF44*CI44^2*DATOS!$C$21))))*DATOS!$C$21*AF44*CI44/DATOS!$C$14&gt;DATOS!$C$99*AF44*CI44,-1,(1-SQRT((1-2*BI44*1E5/(DATOS!$C$29*AF44*CI44^2*DATOS!$C$21))))*DATOS!$C$21*AF44*CI44/DATOS!$C$14)))-0.0001,MAX(DATOS!$C$71,CEILING(CJ44/INDEX(TABLAS!$D$52:$D$58,MIN(MATCH(DATOS!$C$69,TABLAS!$B$52:$B$58,0)+2,7)),1)),MAX(MAX(DATOS!$C$71,CEILING(CJ44/INDEX(TABLAS!$D$52:$D$58,MIN(MATCH(DATOS!$C$69,TABLAS!$B$52:$B$58,0)+2,7)),1)),2))&lt;=MIN(DATOS!$C$70,INT(((DATOS!$C$80-2*AK44)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44&gt;=0,IF(MAX(DATOS!$C$71,CEILING(CJ44/INDEX(TABLAS!$D$52:$D$58,MIN(MATCH(DATOS!$C$69,TABLAS!$B$52:$B$58,0)+3,7)),1))*INDEX(TABLAS!$D$52:$D$58,MIN(MATCH(DATOS!$C$69,TABLAS!$B$52:$B$58,0)+3,7))&gt;=4/3*IF(BI44&lt;=0,0,IF((1-2*BI44*1E5/(DATOS!$C$29*AF44*CI44^2*DATOS!$C$21))&lt;0,-1,IF((1-SQRT((1-2*BI44*1E5/(DATOS!$C$29*AF44*CI44^2*DATOS!$C$21))))*DATOS!$C$21*AF44*CI44/DATOS!$C$14&gt;DATOS!$C$99*AF44*CI44,-1,(1-SQRT((1-2*BI44*1E5/(DATOS!$C$29*AF44*CI44^2*DATOS!$C$21))))*DATOS!$C$21*AF44*CI44/DATOS!$C$14)))-0.0001,MAX(DATOS!$C$71,CEILING(CJ44/INDEX(TABLAS!$D$52:$D$58,MIN(MATCH(DATOS!$C$69,TABLAS!$B$52:$B$58,0)+3,7)),1)),MAX(MAX(DATOS!$C$71,CEILING(CJ44/INDEX(TABLAS!$D$52:$D$58,MIN(MATCH(DATOS!$C$69,TABLAS!$B$52:$B$58,0)+3,7)),1)),2))&lt;=MIN(DATOS!$C$70,INT(((DATOS!$C$80-2*AK44)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44&gt;=0,IF(MAX(DATOS!$C$71,CEILING(CJ44/INDEX(TABLAS!$D$52:$D$58,MIN(MATCH(DATOS!$C$69,TABLAS!$B$52:$B$58,0)+4,7)),1))*INDEX(TABLAS!$D$52:$D$58,MIN(MATCH(DATOS!$C$69,TABLAS!$B$52:$B$58,0)+4,7))&gt;=4/3*IF(BI44&lt;=0,0,IF((1-2*BI44*1E5/(DATOS!$C$29*AF44*CI44^2*DATOS!$C$21))&lt;0,-1,IF((1-SQRT((1-2*BI44*1E5/(DATOS!$C$29*AF44*CI44^2*DATOS!$C$21))))*DATOS!$C$21*AF44*CI44/DATOS!$C$14&gt;DATOS!$C$99*AF44*CI44,-1,(1-SQRT((1-2*BI44*1E5/(DATOS!$C$29*AF44*CI44^2*DATOS!$C$21))))*DATOS!$C$21*AF44*CI44/DATOS!$C$14)))-0.0001,MAX(DATOS!$C$71,CEILING(CJ44/INDEX(TABLAS!$D$52:$D$58,MIN(MATCH(DATOS!$C$69,TABLAS!$B$52:$B$58,0)+4,7)),1)),MAX(MAX(DATOS!$C$71,CEILING(CJ44/INDEX(TABLAS!$D$52:$D$58,MIN(MATCH(DATOS!$C$69,TABLAS!$B$52:$B$58,0)+4,7)),1)),2))&lt;=MIN(DATOS!$C$70,INT(((DATOS!$C$80-2*AK44)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44" s="59" t="str">
        <f>IF(U44&lt;&gt;"SÍ","",IF(CJ44&lt;0,0,IF(MAX(DATOS!$C$71,CEILING(MAX(CJ44,0)/INDEX(TABLAS!$D$52:$D$58,MATCH(CK44,TABLAS!$B$52:$B$58,0)),1))*INDEX(TABLAS!$D$52:$D$58,MATCH(CK44,TABLAS!$B$52:$B$58,0))&gt;=4/3*IF(BI44&lt;=0,0,IF((1-2*BI44*1E5/(DATOS!$C$29*AF44*CI44^2*DATOS!$C$21))&lt;0,-1,IF((1-SQRT((1-2*BI44*1E5/(DATOS!$C$29*AF44*CI44^2*DATOS!$C$21))))*DATOS!$C$21*AF44*CI44/DATOS!$C$14&gt;DATOS!$C$99*AF44*CI44,-1,(1-SQRT((1-2*BI44*1E5/(DATOS!$C$29*AF44*CI44^2*DATOS!$C$21))))*DATOS!$C$21*AF44*CI44/DATOS!$C$14)))-0.0001,MAX(DATOS!$C$71,CEILING(MAX(CJ44,0)/INDEX(TABLAS!$D$52:$D$58,MATCH(CK44,TABLAS!$B$52:$B$58,0)),1)),MAX(MAX(DATOS!$C$71,CEILING(MAX(CJ44,0)/INDEX(TABLAS!$D$52:$D$58,MATCH(CK44,TABLAS!$B$52:$B$58,0)),1)),2))))</f>
        <v/>
      </c>
      <c r="CM44" s="58" t="str">
        <f>IF(U44&lt;&gt;"SÍ","",((DATOS!$C$82-AL44-2*DATOS!$C$94-INDEX(TABLAS!$C$52:$C$58,MATCH(BU44,TABLAS!$B$52:$B$58,0))-INDEX(TABLAS!$C$52:$C$58,MATCH(CK44,TABLAS!$B$52:$B$58,0))/2)-IF(AND((DATOS!$C$82-AL44-2*DATOS!$C$94-INDEX(TABLAS!$C$52:$C$58,MATCH(BU44,TABLAS!$B$52:$B$58,0))-INDEX(TABLAS!$C$52:$C$58,MATCH(CK44,TABLAS!$B$52:$B$58,0))/2)&lt;=20,DATOS!$C$62&lt;&gt;"SÍ"),2,0)))</f>
        <v/>
      </c>
      <c r="CN44" s="56" t="str">
        <f>IF(U44&lt;&gt;"SÍ","",IF(CL44=0,0,DATOS!$C$29*CL44*INDEX(TABLAS!$D$52:$D$58,MATCH(CK44,TABLAS!$B$52:$B$58,0))*DATOS!$C$14*(CM44-CL44*INDEX(TABLAS!$D$52:$D$58,MATCH(CK44,TABLAS!$B$52:$B$58,0))*DATOS!$C$14/(DATOS!$C$21*AF44)/2)/1E5))</f>
        <v/>
      </c>
      <c r="CO44" s="65" t="str">
        <f>IF(U44&lt;&gt;"SÍ","",IF(CJ44&lt;0,9.99,IF(CN44&gt;0,BI44/CN44,0)))</f>
        <v/>
      </c>
      <c r="CP44" s="66" t="str">
        <f>IF(U44&lt;&gt;"SÍ","",IF(CL44=0,"—",0.003*(CM44-(CL44*INDEX(TABLAS!$D$52:$D$58,MATCH(CK44,TABLAS!$B$52:$B$58,0))*DATOS!$C$14/(DATOS!$C$21*AF44)/DATOS!$C$22))/(CL44*INDEX(TABLAS!$D$52:$D$58,MATCH(CK44,TABLAS!$B$52:$B$58,0))*DATOS!$C$14/(DATOS!$C$21*AF44)/DATOS!$C$22)))</f>
        <v/>
      </c>
      <c r="CQ44" s="56" t="str">
        <f>IF(U44&lt;&gt;"SÍ","",IF(C44="PERIMETRAL",MAX(0,(AA44/2-BW44)/100)*(0.95-0.5*Z44)*AQ44*IF(AND(AR44&gt;0,AR44&lt;4),DATOS!$C$33,1)*DATOS!$C$83/100/1000,(AQ44*MAX(0,AA44-BW44)/100+DATOS!$C$26*N(O44))*DATOS!$C$83/100/1000+BE44))</f>
        <v/>
      </c>
      <c r="CR44" s="56" t="str">
        <f>IF(U44&lt;&gt;"SÍ","",DATOS!$C$30*2*MIN(1,SQRT(2/(1+0.04*BW44)))*(BV44*INDEX(TABLAS!$D$52:$D$58,MATCH(BU44,TABLAS!$B$52:$B$58,0))/(AE44*BW44))^(1/3)*SQRT(DATOS!$C$13)*AE44*BW44*IF(AI44="SÍ",DATOS!$C$32,1)/1000)</f>
        <v/>
      </c>
      <c r="CS44" s="59" t="str">
        <f>IF(U44&lt;&gt;"SÍ","",IF(CQ44&lt;=CR44,0,CEILING(MAX(0,IF(C44="VOLADO",(AA44-((CR44-BE44)*1E5/DATOS!$C$83-DATOS!$C$26*N(O44))*100/AQ44),IF(CR44&lt;=0,AA44,AA44/2-CR44/MAX(CQ44,1E-9)*(AA44/2-BW44)))-IF(INT((X44*100-DATOS!$C$84+DATOS!$C$80)/DATOS!$C$83)&gt;0,(X44*100-DATOS!$C$84-(INT((X44*100-DATOS!$C$84+DATOS!$C$80)/DATOS!$C$83)*DATOS!$C$78+(INT((X44*100-DATOS!$C$84+DATOS!$C$80)/DATOS!$C$83)-1)*DATOS!$C$80))/2,X44*100/2))/DATOS!$C$83,1)))</f>
        <v/>
      </c>
      <c r="CT44" s="67" t="str">
        <f>IF(U44&lt;&gt;"SÍ","",IF(CQ44&lt;=CR44,"CUMPLE",IF(CS44&lt;=0,"CUMPLE (basta el macizo de orilla)",IF(CS44*DATOS!$C$83*IF(C44="VOLADO",1,2)&gt;=X44*100-DATOS!$C$84,"NO CUMPLE: no alcanza ni macizando todo","MACIZAR "&amp;CS44&amp;" hilera(s)"))))</f>
        <v/>
      </c>
      <c r="CU44" s="58" t="str">
        <f>IF(U44&lt;&gt;"SÍ","",(DATOS!$C$83*DATOS!$C$81^2/2+AC44*DATOS!$C$79*(DATOS!$C$81+DATOS!$C$79/2))/(DATOS!$C$83*DATOS!$C$81+AC44*DATOS!$C$79))</f>
        <v/>
      </c>
      <c r="CV44" s="68" t="str">
        <f>IF(U44&lt;&gt;"SÍ","",DATOS!$C$83*DATOS!$C$81^3/12+DATOS!$C$83*DATOS!$C$81*(CU44-DATOS!$C$81/2)^2+AC44*DATOS!$C$79^3/12+AC44*DATOS!$C$79*(DATOS!$C$81+DATOS!$C$79/2-CU44)^2)</f>
        <v/>
      </c>
      <c r="CW44" s="58" t="str">
        <f>IF(U44&lt;&gt;"SÍ","",(12*CV44/DATOS!$C$83)^(1/3))</f>
        <v/>
      </c>
      <c r="CX44" s="58" t="str">
        <f>IF(U44&lt;&gt;"SÍ","",IF(C44="PERIMETRAL",IF(ISNUMBER(R44),R44,DATOS!$C$101),0))</f>
        <v/>
      </c>
      <c r="CY44" s="57" t="str">
        <f>IF(U44&lt;&gt;"SÍ","",IF(C44="PERIMETRAL",IF(CX44&gt;2,MAX(9,AB44*(0.8+DATOS!$C$14/14000)/(36+9*(AB44/MAX(AA44,1)))),IF(CX44&gt;0.2,MAX(13,AB44*(0.8+DATOS!$C$14/14000)/(36+5*(AB44/MAX(AA44,1))*(CX44-0.2))),MAX(13,AB44/IF(AR44&gt;0,30,33))))*IF(AND(CX44&gt;0.2,AR44&gt;0,DATOS!$C$102="NO"),1.1,1),X44*100/8))</f>
        <v/>
      </c>
      <c r="CZ44" s="61" t="str">
        <f>IF(U44&lt;&gt;"SÍ","",IF(IF(C44="VOLADO",DATOS!$C$82,CW44)&gt;=CY44,"CUMPLE",IF(C44="VOLADO","NO CUMPLE","CALCULAR FLECHA")))</f>
        <v/>
      </c>
      <c r="DA44" s="55" t="str">
        <f>IF(U44&lt;&gt;"SÍ","",IF(DATOS!$C$81&gt;=IF(IF(C44="VOLADO",X44,Y44)&gt;=6,6,5),"CUMPLE","CAPA ≥ 6 cm"))</f>
        <v/>
      </c>
      <c r="DB44" s="60" t="str">
        <f>IF(U44&lt;&gt;"SÍ","",IF(C44="VOLADO",MIN(CEILING(IF(ISNUMBER(P44),P44,X44)*100,5),CEILING(MAX(IF((0.5*(0.9*DATOS!$C$87*DATOS!$C$83/100/1000)*IF(ISNUMBER(P44),P44,X44)+BG44/IF(ISNUMBER(P44),P44,X44))^2-4*(0.5*(0.9*DATOS!$C$87*DATOS!$C$83/100/1000))*BG44&lt;0,IF(ISNUMBER(P44),P44,X44),MIN(IF(ISNUMBER(P44),P44,X44),((0.5*(0.9*DATOS!$C$87*DATOS!$C$83/100/1000)*IF(ISNUMBER(P44),P44,X44)+BG44/IF(ISNUMBER(P44),P44,X44))-SQRT((0.5*(0.9*DATOS!$C$87*DATOS!$C$83/100/1000)*IF(ISNUMBER(P44),P44,X44)+BG44/IF(ISNUMBER(P44),P44,X44))^2-4*(0.5*(0.9*DATOS!$C$87*DATOS!$C$83/100/1000))*BG44))/(2*(0.5*(0.9*DATOS!$C$87*DATOS!$C$83/100/1000)))))*100+MAX(BW44,12*INDEX(TABLAS!$C$52:$C$58,MATCH(BU44,TABLAS!$B$52:$B$58,0)),IF(ISNUMBER(P44),P44,X44)*100/16),IF(OR(AK44&lt;INDEX(TABLAS!$C$52:$C$58,MATCH(BU44,TABLAS!$B$52:$B$58,0)),AND(BV44&gt;=2,(AC44-2*AK44-BV44*INDEX(TABLAS!$C$52:$C$58,MATCH(BU44,TABLAS!$B$52:$B$58,0)))/MAX(BV44-1,1)&lt;2*INDEX(TABLAS!$C$52:$C$58,MATCH(BU44,TABLAS!$B$52:$B$58,0)))),INDEX(TABLAS!$I$52:$I$58,MATCH(BU44,TABLAS!$B$52:$B$58,0)),INDEX(TABLAS!$F$52:$F$58,MATCH(BU44,TABLAS!$B$52:$B$58,0)))),5)),IF(((4*((BB44*AQ44*X44^2*1E-4*DATOS!$C$83/100/1000)+((MAX(AX44,AZ44)*AQ44*X44^2*1E-4*DATOS!$C$83/100/1000)+(IF(AND(AX44&gt;0,AZ44&gt;0),MIN(AX44,AZ44),MAX(AX44,AZ44))*AQ44*X44^2*1E-4*DATOS!$C$83/100/1000))/2)+BG44-(IF(AND(AX44&gt;0,AZ44&gt;0),MIN(AX44,AZ44),MAX(AX44,AZ44))*AQ44*X44^2*1E-4*DATOS!$C$83/100/1000))^2-16*((BB44*AQ44*X44^2*1E-4*DATOS!$C$83/100/1000)+((MAX(AX44,AZ44)*AQ44*X44^2*1E-4*DATOS!$C$83/100/1000)+(IF(AND(AX44&gt;0,AZ44&gt;0),MIN(AX44,AZ44),MAX(AX44,AZ44))*AQ44*X44^2*1E-4*DATOS!$C$83/100/1000))/2)*BG44)&lt;0,CEILING(AA44,5),CEILING(MAX(AA44*((4*((BB44*AQ44*X44^2*1E-4*DATOS!$C$83/100/1000)+((MAX(AX44,AZ44)*AQ44*X44^2*1E-4*DATOS!$C$83/100/1000)+(IF(AND(AX44&gt;0,AZ44&gt;0),MIN(AX44,AZ44),MAX(AX44,AZ44))*AQ44*X44^2*1E-4*DATOS!$C$83/100/1000))/2)+BG44-(IF(AND(AX44&gt;0,AZ44&gt;0),MIN(AX44,AZ44),MAX(AX44,AZ44))*AQ44*X44^2*1E-4*DATOS!$C$83/100/1000))-SQRT(MAX(0,((4*((BB44*AQ44*X44^2*1E-4*DATOS!$C$83/100/1000)+((MAX(AX44,AZ44)*AQ44*X44^2*1E-4*DATOS!$C$83/100/1000)+(IF(AND(AX44&gt;0,AZ44&gt;0),MIN(AX44,AZ44),MAX(AX44,AZ44))*AQ44*X44^2*1E-4*DATOS!$C$83/100/1000))/2)+BG44-(IF(AND(AX44&gt;0,AZ44&gt;0),MIN(AX44,AZ44),MAX(AX44,AZ44))*AQ44*X44^2*1E-4*DATOS!$C$83/100/1000))^2-16*((BB44*AQ44*X44^2*1E-4*DATOS!$C$83/100/1000)+((MAX(AX44,AZ44)*AQ44*X44^2*1E-4*DATOS!$C$83/100/1000)+(IF(AND(AX44&gt;0,AZ44&gt;0),MIN(AX44,AZ44),MAX(AX44,AZ44))*AQ44*X44^2*1E-4*DATOS!$C$83/100/1000))/2)*BG44))))/(8*MAX(((BB44*AQ44*X44^2*1E-4*DATOS!$C$83/100/1000)+((MAX(AX44,AZ44)*AQ44*X44^2*1E-4*DATOS!$C$83/100/1000)+(IF(AND(AX44&gt;0,AZ44&gt;0),MIN(AX44,AZ44),MAX(AX44,AZ44))*AQ44*X44^2*1E-4*DATOS!$C$83/100/1000))/2),1E-9))+MAX(BW44,12*INDEX(TABLAS!$C$52:$C$58,MATCH(BU44,TABLAS!$B$52:$B$58,0)),AA44/16),IF(OR(AK44&lt;INDEX(TABLAS!$C$52:$C$58,MATCH(BU44,TABLAS!$B$52:$B$58,0)),AND(BV44&gt;=2,(AC44-2*AK44-BV44*INDEX(TABLAS!$C$52:$C$58,MATCH(BU44,TABLAS!$B$52:$B$58,0)))/MAX(BV44-1,1)&lt;2*INDEX(TABLAS!$C$52:$C$58,MATCH(BU44,TABLAS!$B$52:$B$58,0)))),INDEX(TABLAS!$I$52:$I$58,MATCH(BU44,TABLAS!$B$52:$B$58,0)),INDEX(TABLAS!$F$52:$F$58,MATCH(BU44,TABLAS!$B$52:$B$58,0)))),5))))</f>
        <v/>
      </c>
      <c r="DC44" s="60" t="str">
        <f>IF(U44&lt;&gt;"SÍ","",IF(C44="VOLADO",0,IF(((4*((BC44*AQ44*X44^2*1E-4*DATOS!$C$83/100/1000)+((MAX(AY44,BA44)*AQ44*X44^2*1E-4*DATOS!$C$83/100/1000)+(IF(AND(AY44&gt;0,BA44&gt;0),MIN(AY44,BA44),MAX(AY44,BA44))*AQ44*X44^2*1E-4*DATOS!$C$83/100/1000))/2)+BI44-(IF(AND(AY44&gt;0,BA44&gt;0),MIN(AY44,BA44),MAX(AY44,BA44))*AQ44*X44^2*1E-4*DATOS!$C$83/100/1000))^2-16*((BC44*AQ44*X44^2*1E-4*DATOS!$C$83/100/1000)+((MAX(AY44,BA44)*AQ44*X44^2*1E-4*DATOS!$C$83/100/1000)+(IF(AND(AY44&gt;0,BA44&gt;0),MIN(AY44,BA44),MAX(AY44,BA44))*AQ44*X44^2*1E-4*DATOS!$C$83/100/1000))/2)*BI44)&lt;0,CEILING(AB44,5),CEILING(MAX(AB44*((4*((BC44*AQ44*X44^2*1E-4*DATOS!$C$83/100/1000)+((MAX(AY44,BA44)*AQ44*X44^2*1E-4*DATOS!$C$83/100/1000)+(IF(AND(AY44&gt;0,BA44&gt;0),MIN(AY44,BA44),MAX(AY44,BA44))*AQ44*X44^2*1E-4*DATOS!$C$83/100/1000))/2)+BI44-(IF(AND(AY44&gt;0,BA44&gt;0),MIN(AY44,BA44),MAX(AY44,BA44))*AQ44*X44^2*1E-4*DATOS!$C$83/100/1000))-SQRT(MAX(0,((4*((BC44*AQ44*X44^2*1E-4*DATOS!$C$83/100/1000)+((MAX(AY44,BA44)*AQ44*X44^2*1E-4*DATOS!$C$83/100/1000)+(IF(AND(AY44&gt;0,BA44&gt;0),MIN(AY44,BA44),MAX(AY44,BA44))*AQ44*X44^2*1E-4*DATOS!$C$83/100/1000))/2)+BI44-(IF(AND(AY44&gt;0,BA44&gt;0),MIN(AY44,BA44),MAX(AY44,BA44))*AQ44*X44^2*1E-4*DATOS!$C$83/100/1000))^2-16*((BC44*AQ44*X44^2*1E-4*DATOS!$C$83/100/1000)+((MAX(AY44,BA44)*AQ44*X44^2*1E-4*DATOS!$C$83/100/1000)+(IF(AND(AY44&gt;0,BA44&gt;0),MIN(AY44,BA44),MAX(AY44,BA44))*AQ44*X44^2*1E-4*DATOS!$C$83/100/1000))/2)*BI44))))/(8*MAX(((BC44*AQ44*X44^2*1E-4*DATOS!$C$83/100/1000)+((MAX(AY44,BA44)*AQ44*X44^2*1E-4*DATOS!$C$83/100/1000)+(IF(AND(AY44&gt;0,BA44&gt;0),MIN(AY44,BA44),MAX(AY44,BA44))*AQ44*X44^2*1E-4*DATOS!$C$83/100/1000))/2),1E-9))+MAX(CM44,12*INDEX(TABLAS!$C$52:$C$58,MATCH(CK44,TABLAS!$B$52:$B$58,0)),AB44/16),IF(OR(AK44&lt;INDEX(TABLAS!$C$52:$C$58,MATCH(CK44,TABLAS!$B$52:$B$58,0)),AND(CL44&gt;=2,(DATOS!$C$80-2*AK44-CL44*INDEX(TABLAS!$C$52:$C$58,MATCH(CK44,TABLAS!$B$52:$B$58,0)))/MAX(CL44-1,1)&lt;2*INDEX(TABLAS!$C$52:$C$58,MATCH(CK44,TABLAS!$B$52:$B$58,0)))),INDEX(TABLAS!$I$52:$I$58,MATCH(CK44,TABLAS!$B$52:$B$58,0)),INDEX(TABLAS!$F$52:$F$58,MATCH(CK44,TABLAS!$B$52:$B$58,0)))),5))))</f>
        <v/>
      </c>
      <c r="DD44" s="55" t="str">
        <f>IF(U44&lt;&gt;"SÍ","",IF(AND(C44="PERIMETRAL",BV44&gt;=2,AR44-AS44&gt;0,AZ44*AQ44*X44^2*1E-4*DATOS!$C$83/100/1000&gt;DATOS!$C$29*INDEX(TABLAS!$D$52:$D$58,MATCH(BU44,TABLAS!$B$52:$B$58,0))*DATOS!$C$14*(BW44-INDEX(TABLAS!$D$52:$D$58,MATCH(BU44,TABLAS!$B$52:$B$58,0))*DATOS!$C$14/(DATOS!$C$21*AE44)/2)/1E5),"SÍ","NO"))</f>
        <v/>
      </c>
      <c r="DE44" s="55" t="str">
        <f>IF(U44&lt;&gt;"SÍ","",IF(AND(C44="PERIMETRAL",CL44&gt;=2,AS44&gt;0,BA44*AQ44*X44^2*1E-4*DATOS!$C$83/100/1000&gt;DATOS!$C$29*INDEX(TABLAS!$D$52:$D$58,MATCH(CK44,TABLAS!$B$52:$B$58,0))*DATOS!$C$14*(CM44-INDEX(TABLAS!$D$52:$D$58,MATCH(CK44,TABLAS!$B$52:$B$58,0))*DATOS!$C$14/(DATOS!$C$21*AF44)/2)/1E5),"SÍ","NO"))</f>
        <v/>
      </c>
      <c r="DF44" s="63" t="str">
        <f>IF(U44&lt;&gt;"SÍ","",IF(OR(C44="VOLADO",AR44=0),"—",IF(AND(AND(1.25*INDEX(TABLAS!$G$52:$G$58,MATCH(MAX(BM44,CC44),TABLAS!$B$52:$B$58,0))&lt;=(DATOS!$C$72-DATOS!$C$60),(DATOS!$C$72-DATOS!$C$60)&gt;=15,INDEX(TABLAS!$G$52:$G$58,MATCH(MAX(BU44,CK44),TABLAS!$B$52:$B$58,0))&lt;=(DATOS!$C$72-DATOS!$C$60)),8*INDEX(TABLAS!$C$52:$C$58,MATCH(MAX(MAX(BM44,CC44),MAX(BU44,CK44)),TABLAS!$B$52:$B$58,0))&lt;=DATOS!$C$73-2*DATOS!$C$60),"CUMPLE (gancho de 180°)",IF(AND(1.25*INDEX(TABLAS!$G$52:$G$58,MATCH(MAX(BM44,CC44),TABLAS!$B$52:$B$58,0))&lt;=(DATOS!$C$72-DATOS!$C$60),(DATOS!$C$72-DATOS!$C$60)&gt;=15,INDEX(TABLAS!$G$52:$G$58,MATCH(MAX(BU44,CK44),TABLAS!$B$52:$B$58,0))&lt;=(DATOS!$C$72-DATOS!$C$60)),"NO CUMPLE: el gancho de 180° (8·d_b) no cabe en el peralte de la dala de borde","NO CUMPLE: dala de borde ≥ "&amp;TEXT(CEILING(MAX(1.25*INDEX(TABLAS!$G$52:$G$58,MATCH(MAX(BM44,CC44),TABLAS!$B$52:$B$58,0)),15,INDEX(TABLAS!$G$52:$G$58,MATCH(MAX(BU44,CK44),TABLAS!$B$52:$B$58,0)))+DATOS!$C$60,5),"0")&amp;" cm de ancho"&amp;IF(8*INDEX(TABLAS!$C$52:$C$58,MATCH(MAX(MAX(BM44,CC44),MAX(BU44,CK44)),TABLAS!$B$52:$B$58,0))&lt;=DATOS!$C$73-2*DATOS!$C$60,""," y más peralte para el gancho")))))</f>
        <v/>
      </c>
      <c r="DG44" s="59" t="str">
        <f>IF(U44&lt;&gt;"SÍ","",MAX(0,INT((E44*100-DATOS!$C$84+DATOS!$C$83-IF(W44="X",DATOS!$C$78,AD44))/DATOS!$C$83)))</f>
        <v/>
      </c>
      <c r="DH44" s="59" t="str">
        <f>IF(U44&lt;&gt;"SÍ","",MAX(0,INT((F44*100-DATOS!$C$84+DATOS!$C$83-IF(W44="Y",DATOS!$C$78,AD44))/DATOS!$C$83)))</f>
        <v/>
      </c>
      <c r="DI44" s="57" t="str">
        <f>IF(U44&lt;&gt;"SÍ","",IF(DG44&gt;0,(E44*100-DATOS!$C$84-(DG44*IF(W44="X",DATOS!$C$78,AD44)+(DG44-1)*(DATOS!$C$83-IF(W44="X",DATOS!$C$78,AD44))))/2,E44*100/2))</f>
        <v/>
      </c>
      <c r="DJ44" s="57" t="str">
        <f>IF(U44&lt;&gt;"SÍ","",IF(DH44&gt;0,(F44*100-DATOS!$C$84-(DH44*IF(W44="Y",DATOS!$C$78,AD44)+(DH44-1)*(DATOS!$C$83-IF(W44="Y",DATOS!$C$78,AD44))))/2,F44*100/2))</f>
        <v/>
      </c>
      <c r="DK44" s="59" t="str">
        <f>IF(U44&lt;&gt;"SÍ","",IF(NOT(AND(C44="VOLADO",AC44&gt;DATOS!$C$80)),0,IF(INDEX(TABLAS!$C$52:$C$58,MATCH(BU44,TABLAS!$B$52:$B$58,0))&lt;=DATOS!$C$80-2*DATOS!$C$60,1,0)))</f>
        <v/>
      </c>
      <c r="DL44" s="58" t="str">
        <f>IF(U44&lt;&gt;"SÍ","",IF(NOT(AND(C44="VOLADO",AC44&gt;DATOS!$C$80)),0,((DATOS!$C$82-MAX(DATOS!$C$60,(DATOS!$C$81-2*DATOS!$C$94)/2)-2*DATOS!$C$94-INDEX(TABLAS!$C$52:$C$58,MATCH(BU44,TABLAS!$B$52:$B$58,0))/2)-IF(AND((DATOS!$C$82-MAX(DATOS!$C$60,(DATOS!$C$81-2*DATOS!$C$94)/2)-2*DATOS!$C$94-INDEX(TABLAS!$C$52:$C$58,MATCH(BU44,TABLAS!$B$52:$B$58,0))/2)&lt;=20,DATOS!$C$62&lt;&gt;"SÍ"),2,0))))</f>
        <v/>
      </c>
      <c r="DM44" s="56" t="str">
        <f>IF(U44&lt;&gt;"SÍ","",IF(OR(NOT(AND(C44="VOLADO",AC44&gt;DATOS!$C$80)),DK44&lt;1),0,IF(0.003*(DL44-((DK44*INDEX(TABLAS!$D$52:$D$58,MATCH(BU44,TABLAS!$B$52:$B$58,0)))*DATOS!$C$14/(DATOS!$C$21*AF44)/DATOS!$C$22))/((DK44*INDEX(TABLAS!$D$52:$D$58,MATCH(BU44,TABLAS!$B$52:$B$58,0)))*DATOS!$C$14/(DATOS!$C$21*AF44)/DATOS!$C$22)&lt;0.005,0,DATOS!$C$29*(DK44*INDEX(TABLAS!$D$52:$D$58,MATCH(BU44,TABLAS!$B$52:$B$58,0)))*DATOS!$C$14*(DL44-(DK44*INDEX(TABLAS!$D$52:$D$58,MATCH(BU44,TABLAS!$B$52:$B$58,0)))*DATOS!$C$14/(DATOS!$C$21*AF44)/2)/1E5)))</f>
        <v/>
      </c>
      <c r="DN44" s="56" t="str">
        <f>IF(U44&lt;&gt;"SÍ","",IF(OR(NOT(AND(C44="VOLADO",AC44&gt;DATOS!$C$80)),DK44&lt;1),0,DATOS!$C$30*2*MIN(1,SQRT(2/(1+0.04*DL44)))*((DK44*INDEX(TABLAS!$D$52:$D$58,MATCH(BU44,TABLAS!$B$52:$B$58,0)))/(AF44*DL44))^(1/3)*SQRT(DATOS!$C$13)*AF44*DL44/1000))</f>
        <v/>
      </c>
      <c r="DO44" s="56" t="str">
        <f>IF(U44&lt;&gt;"SÍ","",IF(NOT(AND(C44="VOLADO",AC44&gt;DATOS!$C$80)),0,IF((BG44-DM44)&lt;=0,0,IF(DM44&lt;=0,IF(ISNUMBER(P44),P44,X44),IF(((0.9*DATOS!$C$87*DATOS!$C$83/100/1000)*IF(ISNUMBER(P44),P44,X44)/2+BG44/IF(ISNUMBER(P44),P44,X44))^2-4*((0.9*DATOS!$C$87*DATOS!$C$83/100/1000)/2)*(BG44-DM44)&lt;0,IF(ISNUMBER(P44),P44,X44),MIN(IF(ISNUMBER(P44),P44,X44),(((0.9*DATOS!$C$87*DATOS!$C$83/100/1000)*IF(ISNUMBER(P44),P44,X44)/2+BG44/IF(ISNUMBER(P44),P44,X44))-SQRT(((0.9*DATOS!$C$87*DATOS!$C$83/100/1000)*IF(ISNUMBER(P44),P44,X44)/2+BG44/IF(ISNUMBER(P44),P44,X44))^2-4*((0.9*DATOS!$C$87*DATOS!$C$83/100/1000)/2)*(BG44-DM44)))/(2*((0.9*DATOS!$C$87*DATOS!$C$83/100/1000)/2))))))))</f>
        <v/>
      </c>
      <c r="DP44" s="56" t="str">
        <f>IF(U44&lt;&gt;"SÍ","",IF(NOT(AND(C44="VOLADO",AC44&gt;DATOS!$C$80)),0,MIN(IF(ISNUMBER(P44),P44,X44),MAX(0,IF(ISNUMBER(P44),P44,X44)/2+BG44/IF(ISNUMBER(P44),P44,X44)/(AQ44*DATOS!$C$83/100/1000)-DN44/(AQ44*DATOS!$C$83/100/1000)))))</f>
        <v/>
      </c>
      <c r="DQ44" s="56" t="str">
        <f>IF(U44&lt;&gt;"SÍ","",IF(NOT(AND(C44="VOLADO",AC44&gt;DATOS!$C$80)),0,BG44/IF(ISNUMBER(P44),P44,X44)+(AQ44*DATOS!$C$83/100/1000)*MAX(0,IF(ISNUMBER(P44),P44,X44)/2-BW44/100)))</f>
        <v/>
      </c>
      <c r="DR44" s="59" t="str">
        <f>IF(U44&lt;&gt;"SÍ","",IF(NOT(AND(C44="VOLADO",AC44&gt;DATOS!$C$80)),0,CEILING(100*MIN(IF(ISNUMBER(P44),P44,X44),MAX(IF(DO44&gt;0,DO44+IF(BV44&gt;=2,MAX(DL44,12*INDEX(TABLAS!$C$52:$C$58,MATCH(BU44,TABLAS!$B$52:$B$58,0)))/100,0),0),DP44,IF(BV44&gt;=2,INDEX(TABLAS!$F$52:$F$58,MATCH(BU44,TABLAS!$B$52:$B$58,0))/100,0))),5)))</f>
        <v/>
      </c>
      <c r="DS44" s="60" t="str">
        <f>IF(U44&lt;&gt;"SÍ","",IF(NOT(AND(C44="VOLADO",AC44&gt;DATOS!$C$80)),0,IF(DR44&lt;=0,0,CEILING(DR44/DATOS!$C$83,1))))</f>
        <v/>
      </c>
      <c r="DT44" s="61" t="str">
        <f>IF(U44&lt;&gt;"SÍ","",IF(C44&lt;&gt;"VOLADO","—",IF(AC44&lt;=DATOS!$C$80,"— (mismo b_w que el respaldo)",IF(DQ44&gt;CR44,"NO CUMPLE: cortante de la nervadura ancha junto al apoyo ("&amp;TEXT(DQ44,"0.00")&amp;" &gt; "&amp;TEXT(CR44,"0.00")&amp;" t)",IF(DR44&gt;=100*IF(ISNUMBER(P44),P44,X44),"CUMPLE — todas las nervaduras del respaldo ‖ al volado con b_w = "&amp;AC44&amp;" cm","CUMPLE — "&amp;DS44&amp;" hilera(s) del respaldo con nervaduras de b_w = "&amp;AC44&amp;" cm (casetón "&amp;AD44&amp;" cm), hasta "&amp;TEXT(DR44/100,"0.00")&amp;" m del paño")))))</f>
        <v/>
      </c>
      <c r="DU44" s="69" t="str">
        <f>IF(U44&lt;&gt;"SÍ","",IF(BN44=0,"NO ALCANZA",BN44&amp;" No. "&amp;BM44&amp;IF(BN44&gt;1," corridas"," corrida")))</f>
        <v/>
      </c>
      <c r="DV44" s="69" t="str">
        <f>IF(U44&lt;&gt;"SÍ","",IF(BV44=0,"NO ALCANZA",IF(AND(C44="VOLADO",AC44&gt;DATOS!$C$80,BV44&gt;=2),"1 No. "&amp;BU44&amp;" corrida de la orilla al respaldo ("&amp;IF(DB44&gt;=100*IF(ISNUMBER(P44),P44,X44),"hasta su apoyo lejano, con gancho","entra "&amp;TEXT(DB44/100,"0.00")&amp;" m desde el paño")&amp;") + "&amp;(BV44-1)&amp;" bastón No. "&amp;BU44&amp;" hasta "&amp;TEXT(DR44/100,"0.00")&amp;" m del paño (fin de la nervadura ancha)",IF(C44="VOLADO",BV44&amp;" No. "&amp;BU44&amp;" de la orilla al respaldo ("&amp;IF(DB44&gt;=100*IF(ISNUMBER(P44),P44,X44),"hasta su apoyo lejano, con gancho","entran "&amp;TEXT(DB44/100,"0.00")&amp;" m desde el paño")&amp;")","1 No. "&amp;BU44&amp;" corrida"&amp;IF(BV44&gt;1," + "&amp;(BV44-1)&amp;" bastón No. "&amp;BU44&amp;" L = "&amp;TEXT(DB44/100,"0.00")&amp;" m desde el paño","")))))</f>
        <v/>
      </c>
      <c r="DW44" s="69" t="str">
        <f>IF(U44&lt;&gt;"SÍ","",IF(CD44=0,"NO ALCANZA",CD44&amp;" No. "&amp;CC44&amp;IF(CD44&gt;1," corridas"," corrida")))</f>
        <v/>
      </c>
      <c r="DX44" s="69" t="str">
        <f>IF(U44&lt;&gt;"SÍ","",IF(CL44=0,"NO ALCANZA",IF(C44="VOLADO","1 No. "&amp;CK44&amp;" corrida (repartición)","1 No. "&amp;CK44&amp;" corrida"&amp;IF(CL44&gt;1," + "&amp;(CL44-1)&amp;" bastón No. "&amp;CK44&amp;" L = "&amp;TEXT(DC44/100,"0.00")&amp;" m desde el paño",""))))</f>
        <v/>
      </c>
      <c r="DY44" s="67" t="str">
        <f>IF(B44="","",IF(U44&lt;&gt;"SÍ","FALTAN DATOS: tipo, a_x, a_y y destino",IF(L44="NO MONOLÍTICO (caso II)","FUERA DE ALCANCE: caso II no transcrito",IF(AND(C44="VOLADO",V44="?"),"REVISAR: el volado lleva UN solo borde CONTINUO (el empotrado)",IF(AND(MAX(BQ44,BY44,CG44,CO44)&lt;=1,NOT(OR(BN44&gt;MIN(DATOS!$C$70,INT(((AC44-2*AJ44)+MAX(DATOS!$C$67,INDEX(TABLAS!$C$52:$C$58,MATCH(BM44,TABLAS!$B$52:$B$58,0))))/(INDEX(TABLAS!$C$52:$C$58,MATCH(BM44,TABLAS!$B$52:$B$58,0))+MAX(DATOS!$C$67,INDEX(TABLAS!$C$52:$C$58,MATCH(BM44,TABLAS!$B$52:$B$58,0)))))),BV44&gt;MIN(DATOS!$C$70,INT(((AC44-2*AK44)+MAX(DATOS!$C$67,INDEX(TABLAS!$C$52:$C$58,MATCH(BU44,TABLAS!$B$52:$B$58,0))))/(INDEX(TABLAS!$C$52:$C$58,MATCH(BU44,TABLAS!$B$52:$B$58,0))+MAX(DATOS!$C$67,INDEX(TABLAS!$C$52:$C$58,MATCH(BU44,TABLAS!$B$52:$B$58,0)))))),CD44&gt;MIN(DATOS!$C$70,INT(((DATOS!$C$80-2*AJ44)+MAX(DATOS!$C$67,INDEX(TABLAS!$C$52:$C$58,MATCH(CC44,TABLAS!$B$52:$B$58,0))))/(INDEX(TABLAS!$C$52:$C$58,MATCH(CC44,TABLAS!$B$52:$B$58,0))+MAX(DATOS!$C$67,INDEX(TABLAS!$C$52:$C$58,MATCH(CC44,TABLAS!$B$52:$B$58,0)))))),CL44&gt;MIN(DATOS!$C$70,INT(((DATOS!$C$80-2*AK44)+MAX(DATOS!$C$67,INDEX(TABLAS!$C$52:$C$58,MATCH(CK44,TABLAS!$B$52:$B$58,0))))/(INDEX(TABLAS!$C$52:$C$58,MATCH(CK44,TABLAS!$B$52:$B$58,0))+MAX(DATOS!$C$67,INDEX(TABLAS!$C$52:$C$58,MATCH(CK44,TABLAS!$B$52:$B$58,0)))))))),NOT(OR(AND(ISNUMBER(BR44),BR44&lt;0.005),AND(ISNUMBER(BZ44),BZ44&lt;0.005),AND(ISNUMBER(CH44),CH44&lt;0.005),AND(ISNUMBER(CP44),CP44&lt;0.005))),NOT(LEFT(DT44,2)="NO"),CZ44="CUMPLE",DA44="CUMPLE",LEFT(CT44,2)&lt;&gt;"NO"),IF(LEFT(CT44,6)="CUMPLE","CUMPLE","CUMPLE — "&amp;CT44)&amp;IF(LEFT(BJ44,5)="FUERA"," · fuera de 3.4.2.1 c)","")&amp;IF(LEFT(DF44,2)="NO"," · REVISAR anclaje en borde discontinuo","")&amp;IF(DS44&gt;0," · respaldo: "&amp;DS44&amp;" hilera(s) de b_w "&amp;AC44&amp;" cm",""),IF(AND(MAX(BQ44,BY44,CG44,CO44)&lt;=1,NOT(OR(BN44&gt;MIN(DATOS!$C$70,INT(((AC44-2*AJ44)+MAX(DATOS!$C$67,INDEX(TABLAS!$C$52:$C$58,MATCH(BM44,TABLAS!$B$52:$B$58,0))))/(INDEX(TABLAS!$C$52:$C$58,MATCH(BM44,TABLAS!$B$52:$B$58,0))+MAX(DATOS!$C$67,INDEX(TABLAS!$C$52:$C$58,MATCH(BM44,TABLAS!$B$52:$B$58,0)))))),BV44&gt;MIN(DATOS!$C$70,INT(((AC44-2*AK44)+MAX(DATOS!$C$67,INDEX(TABLAS!$C$52:$C$58,MATCH(BU44,TABLAS!$B$52:$B$58,0))))/(INDEX(TABLAS!$C$52:$C$58,MATCH(BU44,TABLAS!$B$52:$B$58,0))+MAX(DATOS!$C$67,INDEX(TABLAS!$C$52:$C$58,MATCH(BU44,TABLAS!$B$52:$B$58,0)))))),CD44&gt;MIN(DATOS!$C$70,INT(((DATOS!$C$80-2*AJ44)+MAX(DATOS!$C$67,INDEX(TABLAS!$C$52:$C$58,MATCH(CC44,TABLAS!$B$52:$B$58,0))))/(INDEX(TABLAS!$C$52:$C$58,MATCH(CC44,TABLAS!$B$52:$B$58,0))+MAX(DATOS!$C$67,INDEX(TABLAS!$C$52:$C$58,MATCH(CC44,TABLAS!$B$52:$B$58,0)))))),CL44&gt;MIN(DATOS!$C$70,INT(((DATOS!$C$80-2*AK44)+MAX(DATOS!$C$67,INDEX(TABLAS!$C$52:$C$58,MATCH(CK44,TABLAS!$B$52:$B$58,0))))/(INDEX(TABLAS!$C$52:$C$58,MATCH(CK44,TABLAS!$B$52:$B$58,0))+MAX(DATOS!$C$67,INDEX(TABLAS!$C$52:$C$58,MATCH(CK44,TABLAS!$B$52:$B$58,0)))))))),NOT(OR(AND(ISNUMBER(BR44),BR44&lt;0.005),AND(ISNUMBER(BZ44),BZ44&lt;0.005),AND(ISNUMBER(CH44),CH44&lt;0.005),AND(ISNUMBER(CP44),CP44&lt;0.005))),NOT(LEFT(DT44,2)="NO"),CZ44="CALCULAR FLECHA",LEFT(CT44,2)&lt;&gt;"NO"),"REVISAR: calcular flecha (h_eq &lt; h mín.)"&amp;IF(LEFT(BJ44,5)="FUERA"," · fuera de 3.4.2.1 c)","")&amp;IF(LEFT(DF44,2)="NO"," · REVISAR anclaje en borde discontinuo","")&amp;IF(DS44&gt;0," · respaldo: "&amp;DS44&amp;" hilera(s) de b_w "&amp;AC44&amp;" cm",""),"NO CUMPLE: "&amp;IF(MAX(BQ44,BY44,CG44,CO44)&gt;1,"flexión ","")&amp;IF(OR(BN44&gt;MIN(DATOS!$C$70,INT(((AC44-2*AJ44)+MAX(DATOS!$C$67,INDEX(TABLAS!$C$52:$C$58,MATCH(BM44,TABLAS!$B$52:$B$58,0))))/(INDEX(TABLAS!$C$52:$C$58,MATCH(BM44,TABLAS!$B$52:$B$58,0))+MAX(DATOS!$C$67,INDEX(TABLAS!$C$52:$C$58,MATCH(BM44,TABLAS!$B$52:$B$58,0)))))),BV44&gt;MIN(DATOS!$C$70,INT(((AC44-2*AK44)+MAX(DATOS!$C$67,INDEX(TABLAS!$C$52:$C$58,MATCH(BU44,TABLAS!$B$52:$B$58,0))))/(INDEX(TABLAS!$C$52:$C$58,MATCH(BU44,TABLAS!$B$52:$B$58,0))+MAX(DATOS!$C$67,INDEX(TABLAS!$C$52:$C$58,MATCH(BU44,TABLAS!$B$52:$B$58,0)))))),CD44&gt;MIN(DATOS!$C$70,INT(((DATOS!$C$80-2*AJ44)+MAX(DATOS!$C$67,INDEX(TABLAS!$C$52:$C$58,MATCH(CC44,TABLAS!$B$52:$B$58,0))))/(INDEX(TABLAS!$C$52:$C$58,MATCH(CC44,TABLAS!$B$52:$B$58,0))+MAX(DATOS!$C$67,INDEX(TABLAS!$C$52:$C$58,MATCH(CC44,TABLAS!$B$52:$B$58,0)))))),CL44&gt;MIN(DATOS!$C$70,INT(((DATOS!$C$80-2*AK44)+MAX(DATOS!$C$67,INDEX(TABLAS!$C$52:$C$58,MATCH(CK44,TABLAS!$B$52:$B$58,0))))/(INDEX(TABLAS!$C$52:$C$58,MATCH(CK44,TABLAS!$B$52:$B$58,0))+MAX(DATOS!$C$67,INDEX(TABLAS!$C$52:$C$58,MATCH(CK44,TABLAS!$B$52:$B$58,0))))))),"no caben ","")&amp;IF(OR(AND(ISNUMBER(BR44),BR44&lt;0.005),AND(ISNUMBER(BZ44),BZ44&lt;0.005),AND(ISNUMBER(CH44),CH44&lt;0.005),AND(ISNUMBER(CP44),CP44&lt;0.005)),"ε_t &lt; 0.005 ","")&amp;IF(LEFT(CT44,2)="NO","cortante ","")&amp;IF(CZ44="NO CUMPLE","peralte ","")&amp;IF(DA44&lt;&gt;"CUMPLE","capa &lt; 6 cm ","")&amp;IF(LEFT(DT44,2)="NO","respaldo del volado","")))))))</f>
        <v/>
      </c>
      <c r="DZ44" s="70" t="str">
        <f>IF(U44&lt;&gt;"SÍ","",IF(LEFT(B44,7)="EJEMPLO","EJEMPLO de la hoja de Casa Rocha: bórralo o sobrescríbelo. ","")&amp;IF(AND(C44="PERIMETRAL",MIN(DG44,DH44)=0),"No cabe un casetón en el claro corto: es un tablero macizo, diséñalo en MACIZAS. ","")&amp;IF(AND(AI44="NO",C44="PERIMETRAL"),"No cumple 6.7.8.1.4 (a_c = "&amp;MAX(DATOS!$C$78,AD44)&amp;" cm &gt; claro corto/6 = "&amp;TEXT(X44*100/6,"0")&amp;" cm): se diseña como losa apoyada en vigas (6.7.8.1.9): r de viga = "&amp;DATOS!$C$60&amp;" cm y V_cR sin ×1.1. Para que cuente como encasetonada: casetón de "&amp;TEXT(FLOOR(MIN(80,X44*100/6),1),"0")&amp;" cm o menor. ","")&amp;IF(C44="VOLADO","Volado de "&amp;TEXT(X44,"0.00")&amp;" m empotrado en el borde "&amp;LOWER(V44)&amp;IF(N(O44)&gt;0,", con "&amp;TEXT(O44,"0.0")&amp;" kg/m en la orilla","")&amp;". Lecho inferior con r_ext. Si la orilla carga pretil u otro elemento frágil, calcula la flecha (13.4). El acero superior entra al respaldo de "&amp;TEXT(IF(ISNUMBER(P44),P44,X44),"0.00")&amp;" m"&amp;IF(ISNUMBER(P44),""," (L_b no capturado: se tomó igual al volado)")&amp;" hasta pasar M = 0 con 0.9·PP sin carga viva; si ahí no se anula, llega al apoyo lejano y se ancla con gancho (NTC-Criterios 3.4.1 c y 5.1.2.2). "&amp;IF(AC44&gt;DATOS!$C$80,"Respaldo: "&amp;DT44&amp;". ",""),"")&amp;IF(LEFT(BJ44,5)="FUERA","El M⁻ del vecino difiere más de 50 % (3.4.2.1 c): distribuye el desequilibrio (3.4.3.1) o confirma con un modelo; se arma con el mayor. ","")&amp;IF(OR(DD44="SÍ",DE44="SÍ"),"El M⁻ del borde discontinuo pide bastón también ahí (con gancho). ","")&amp;IF(LEFT(DF44,2)="NO","Anclaje: "&amp;DF44&amp;" (6.7.8.1.7). ","")&amp;IF(OR(AZ44&gt;0,BA44&gt;0),"Esquinas exteriores sobre muro: refuerzo de esquina arriba y abajo en L_largo/5 (6.7.7.3.1). ",""))</f>
        <v/>
      </c>
    </row>
    <row r="45" ht="33" customHeight="1">
      <c r="A45" s="50">
        <f>IF(B45="",0,1)+A44</f>
        <v>4</v>
      </c>
      <c r="B45" s="29" t="n"/>
      <c r="C45" s="51" t="n"/>
      <c r="D45" s="29" t="n"/>
      <c r="E45" s="52" t="n"/>
      <c r="F45" s="52" t="n"/>
      <c r="G45" s="51" t="n"/>
      <c r="H45" s="51" t="n"/>
      <c r="I45" s="51" t="n"/>
      <c r="J45" s="51" t="n"/>
      <c r="K45" s="51" t="n"/>
      <c r="L45" s="51" t="n"/>
      <c r="M45" s="53" t="n"/>
      <c r="N45" s="53" t="n"/>
      <c r="O45" s="54" t="n"/>
      <c r="P45" s="52" t="n"/>
      <c r="Q45" s="53" t="n"/>
      <c r="R45" s="54" t="n"/>
      <c r="S45" s="52" t="n"/>
      <c r="T45" s="52" t="n"/>
      <c r="U45" s="55" t="str">
        <f>IF(B45="","",IF(AND(OR(C45="PERIMETRAL",C45="VOLADO"),ISNUMBER(E45),ISNUMBER(F45),E45&gt;0,F45&gt;0,OR(ISNUMBER(N45),ISNUMBER(MATCH(D45,DATOS!$B$46:$B$55,0)))),"SÍ","NO"))</f>
        <v/>
      </c>
      <c r="V45" s="55" t="str">
        <f>IF(U45&lt;&gt;"SÍ","",IF(C45&lt;&gt;"VOLADO","—",IF(COUNTIF(G45:J45,"CONTINUO")&lt;&gt;1,"?",IF(G45="CONTINUO","INFERIOR",IF(H45="CONTINUO","SUPERIOR",IF(I45="CONTINUO","IZQUIERDO","DERECHO"))))))</f>
        <v/>
      </c>
      <c r="W45" s="55" t="str">
        <f>IF(U45&lt;&gt;"SÍ","",IF(C45="VOLADO",IF(OR(V45="IZQUIERDO",V45="DERECHO"),"X","Y"),IF(E45&lt;=F45,"X","Y")))</f>
        <v/>
      </c>
      <c r="X45" s="56" t="str">
        <f>IF(U45&lt;&gt;"SÍ","",IF(C45="VOLADO",IF(W45="X",E45,F45),MIN(E45,F45)))</f>
        <v/>
      </c>
      <c r="Y45" s="56" t="str">
        <f>IF(U45&lt;&gt;"SÍ","",IF(C45="VOLADO",IF(W45="X",F45,E45),MAX(E45,F45)))</f>
        <v/>
      </c>
      <c r="Z45" s="56" t="str">
        <f>IF(U45&lt;&gt;"SÍ","",MIN(X45,Y45)/MAX(X45,Y45))</f>
        <v/>
      </c>
      <c r="AA45" s="57" t="str">
        <f>IF(U45&lt;&gt;"SÍ","",MAX(1,X45*100-IF(C45="VOLADO",DATOS!$C$84/2,DATOS!$C$84)))</f>
        <v/>
      </c>
      <c r="AB45" s="57" t="str">
        <f>IF(U45&lt;&gt;"SÍ","",MAX(1,Y45*100-DATOS!$C$84))</f>
        <v/>
      </c>
      <c r="AC45" s="57" t="str">
        <f>IF(U45&lt;&gt;"SÍ","",IF(ISNUMBER(Q45),Q45,DATOS!$C$80))</f>
        <v/>
      </c>
      <c r="AD45" s="57" t="str">
        <f>IF(U45&lt;&gt;"SÍ","",MAX(0,DATOS!$C$83-AC45))</f>
        <v/>
      </c>
      <c r="AE45" s="57" t="str">
        <f>IF(U45&lt;&gt;"SÍ","",IF(OR(DATOS!$C$62="SÍ",AC45&gt;=20),AC45,AC45-2))</f>
        <v/>
      </c>
      <c r="AF45" s="57" t="str">
        <f>IF(U45&lt;&gt;"SÍ","",IF(OR(DATOS!$C$62="SÍ",DATOS!$C$80&gt;=20),DATOS!$C$80,DATOS!$C$80-2))</f>
        <v/>
      </c>
      <c r="AG45" s="57" t="str">
        <f>IF(U45&lt;&gt;"SÍ","",MIN(DATOS!$C$83,AC45+2*MIN(8*DATOS!$C$81,AD45/2,AA45/8)))</f>
        <v/>
      </c>
      <c r="AH45" s="57" t="str">
        <f>IF(U45&lt;&gt;"SÍ","",MIN(DATOS!$C$83,DATOS!$C$80+2*MIN(8*DATOS!$C$81,DATOS!$C$78/2,AB45/8)))</f>
        <v/>
      </c>
      <c r="AI45" s="55" t="str">
        <f>IF(U45&lt;&gt;"SÍ","",IF(AND(C45="PERIMETRAL",X45*100&gt;=6*MAX(DATOS!$C$78,AD45),MAX(DATOS!$C$78,AD45)&lt;=80,MIN(DATOS!$C$80,AC45)&gt;=10,DATOS!$C$82&lt;=3.5*MIN(DATOS!$C$80,AC45),DATOS!$C$81&gt;=MAX(MAX(DATOS!$C$78,AD45)/13,5)),"SÍ","NO"))</f>
        <v/>
      </c>
      <c r="AJ45" s="57" t="str">
        <f>IF(U45&lt;&gt;"SÍ","",IF(C45="VOLADO",DATOS!$C$61,IF(AI45="NO",DATOS!$C$60,DATOS!$C$59)))</f>
        <v/>
      </c>
      <c r="AK45" s="57" t="str">
        <f>IF(U45&lt;&gt;"SÍ","",IF(OR(AND(AM45="SÍ",DATOS!$C$63="SÍ"),AND(C45="VOLADO",DATOS!$C$64="SÍ")),DATOS!$C$61,IF(AI45="NO",DATOS!$C$60,DATOS!$C$59)))</f>
        <v/>
      </c>
      <c r="AL45" s="58" t="str">
        <f>IF(U45&lt;&gt;"SÍ","",MAX(AK45,(DATOS!$C$81-2*DATOS!$C$94)/2))</f>
        <v/>
      </c>
      <c r="AM45" s="55" t="str">
        <f>IF(U45&lt;&gt;"SÍ","",IFERROR(INDEX(DATOS!$D$46:$D$55,MATCH(D45,DATOS!$B$46:$B$55,0)),"NO"))</f>
        <v/>
      </c>
      <c r="AN45" s="59" t="str">
        <f>IF(U45&lt;&gt;"SÍ","",IF(ISNUMBER(N45),N45,IFERROR(INDEX(DATOS!$C$46:$C$55,MATCH(D45,DATOS!$B$46:$B$55,0)),0)))</f>
        <v/>
      </c>
      <c r="AO45" s="59" t="str">
        <f>IF(U45&lt;&gt;"SÍ","",(DATOS!$C$82/100-(AD45*DATOS!$C$78/DATOS!$C$83^2)*DATOS!$C$79/100)*DATOS!$C$16*1000+(AD45*DATOS!$C$78/DATOS!$C$83^2)*DATOS!$C$79/100*DATOS!$C$17*1000+DATOS!$C$37+DATOS!$C$38)</f>
        <v/>
      </c>
      <c r="AP45" s="59" t="str">
        <f>IF(U45&lt;&gt;"SÍ","",AO45+N(M45))</f>
        <v/>
      </c>
      <c r="AQ45" s="60" t="str">
        <f>IF(U45&lt;&gt;"SÍ","",MAX(DATOS!$C$26*AP45+DATOS!$C$27*AN45,IF(AM45="SÍ",DATOS!$C$28*(AP45+DATOS!$C$41),0)))</f>
        <v/>
      </c>
      <c r="AR45" s="59" t="str">
        <f>IF(U45&lt;&gt;"SÍ","",(G45="DISCONTINUO")+(H45="DISCONTINUO")+(I45="DISCONTINUO")+(J45="DISCONTINUO"))</f>
        <v/>
      </c>
      <c r="AS45" s="59" t="str">
        <f>IF(U45&lt;&gt;"SÍ","",IF(W45="X",(G45="DISCONTINUO")+(H45="DISCONTINUO"),(I45="DISCONTINUO")+(J45="DISCONTINUO")))</f>
        <v/>
      </c>
      <c r="AT45" s="55" t="str">
        <f>IF(U45&lt;&gt;"SÍ","",IF(AR45=0,"INTERIOR",IF(AR45=1,IF(AS45=1,"BORDE-CORTO","BORDE-LARGO"),IF(AR45=2,IF(AS45=1,"ESQUINA",IF(AS45=2,"EXTREMO-LARGO","EXTREMO-CORTO")),IF(AR45=3,IF(AS45=2,"EXTREMO-LARGO","EXTREMO-CORTO"),"AISLADO")))))</f>
        <v/>
      </c>
      <c r="AU45" s="61" t="str">
        <f>IF(U45&lt;&gt;"SÍ","",IF(OR(K45="",K45="AUTO"),AT45,K45))</f>
        <v/>
      </c>
      <c r="AV45" s="59" t="str">
        <f>IF(U45&lt;&gt;"SÍ","",MATCH(Z45,TABLAS!$D$5:$J$5,1))</f>
        <v/>
      </c>
      <c r="AW45" s="58" t="str">
        <f>IF(U45&lt;&gt;"SÍ","",IF(AV45&gt;=7,0,(Z45-INDEX(TABLAS!$D$5:$J$5,AV45))/(INDEX(TABLAS!$D$5:$J$5,AV45+1)-INDEX(TABLAS!$D$5:$J$5,AV45))))</f>
        <v/>
      </c>
      <c r="AX45" s="59" t="str">
        <f>IF(U45&lt;&gt;"SÍ","",INDEX(TABLAS!$D$6:$J$47,MATCH(AU45&amp;"|NIC",TABLAS!$B$6:$B$47,0),AV45)+AW45*(INDEX(TABLAS!$D$6:$J$47,MATCH(AU45&amp;"|NIC",TABLAS!$B$6:$B$47,0),MIN(AV45+1,7))-INDEX(TABLAS!$D$6:$J$47,MATCH(AU45&amp;"|NIC",TABLAS!$B$6:$B$47,0),AV45)))</f>
        <v/>
      </c>
      <c r="AY45" s="59" t="str">
        <f>IF(U45&lt;&gt;"SÍ","",INDEX(TABLAS!$D$6:$J$47,MATCH(AU45&amp;"|NIL",TABLAS!$B$6:$B$47,0),AV45)+AW45*(INDEX(TABLAS!$D$6:$J$47,MATCH(AU45&amp;"|NIL",TABLAS!$B$6:$B$47,0),MIN(AV45+1,7))-INDEX(TABLAS!$D$6:$J$47,MATCH(AU45&amp;"|NIL",TABLAS!$B$6:$B$47,0),AV45)))</f>
        <v/>
      </c>
      <c r="AZ45" s="59" t="str">
        <f>IF(U45&lt;&gt;"SÍ","",INDEX(TABLAS!$D$6:$J$47,MATCH(AU45&amp;"|NDC",TABLAS!$B$6:$B$47,0),AV45)+AW45*(INDEX(TABLAS!$D$6:$J$47,MATCH(AU45&amp;"|NDC",TABLAS!$B$6:$B$47,0),MIN(AV45+1,7))-INDEX(TABLAS!$D$6:$J$47,MATCH(AU45&amp;"|NDC",TABLAS!$B$6:$B$47,0),AV45)))</f>
        <v/>
      </c>
      <c r="BA45" s="59" t="str">
        <f>IF(U45&lt;&gt;"SÍ","",INDEX(TABLAS!$D$6:$J$47,MATCH(AU45&amp;"|NDL",TABLAS!$B$6:$B$47,0),AV45)+AW45*(INDEX(TABLAS!$D$6:$J$47,MATCH(AU45&amp;"|NDL",TABLAS!$B$6:$B$47,0),MIN(AV45+1,7))-INDEX(TABLAS!$D$6:$J$47,MATCH(AU45&amp;"|NDL",TABLAS!$B$6:$B$47,0),AV45)))</f>
        <v/>
      </c>
      <c r="BB45" s="59" t="str">
        <f>IF(U45&lt;&gt;"SÍ","",INDEX(TABLAS!$D$6:$J$47,MATCH(AU45&amp;"|PC",TABLAS!$B$6:$B$47,0),AV45)+AW45*(INDEX(TABLAS!$D$6:$J$47,MATCH(AU45&amp;"|PC",TABLAS!$B$6:$B$47,0),MIN(AV45+1,7))-INDEX(TABLAS!$D$6:$J$47,MATCH(AU45&amp;"|PC",TABLAS!$B$6:$B$47,0),AV45)))</f>
        <v/>
      </c>
      <c r="BC45" s="59" t="str">
        <f>IF(U45&lt;&gt;"SÍ","",INDEX(TABLAS!$D$6:$J$47,MATCH(AU45&amp;"|PL",TABLAS!$B$6:$B$47,0),AV45)+AW45*(INDEX(TABLAS!$D$6:$J$47,MATCH(AU45&amp;"|PL",TABLAS!$B$6:$B$47,0),MIN(AV45+1,7))-INDEX(TABLAS!$D$6:$J$47,MATCH(AU45&amp;"|PL",TABLAS!$B$6:$B$47,0),AV45)))</f>
        <v/>
      </c>
      <c r="BD45" s="56" t="str">
        <f>IF(U45&lt;&gt;"SÍ","",IF(C45&lt;&gt;"VOLADO",0,DATOS!$C$26*DATOS!$C$16*DATOS!$C$83/100*(((AD45*DATOS!$C$78/DATOS!$C$83^2)*DATOS!$C$79/100)*(IF(W45="X",DI45,DJ45)+DATOS!$C$84/2)/100*(AA45-(IF(W45="X",DI45,DJ45)+DATOS!$C$84/2)/2)/100+((AD45*DATOS!$C$78/DATOS!$C$83^2)*DATOS!$C$79/100)*IF(W45="X",DI45,DJ45)/100*IF(W45="X",DI45,DJ45)/200)))</f>
        <v/>
      </c>
      <c r="BE45" s="56" t="str">
        <f>IF(U45&lt;&gt;"SÍ","",IF(C45&lt;&gt;"VOLADO",0,DATOS!$C$26*DATOS!$C$16*DATOS!$C$83/100*((AD45*DATOS!$C$78/DATOS!$C$83^2)*DATOS!$C$79/100)*(IF(W45="X",DI45,DJ45)+DATOS!$C$84/2)/100))</f>
        <v/>
      </c>
      <c r="BF45" s="56" t="str">
        <f>IF(U45&lt;&gt;"SÍ","",IF(C45="PERIMETRAL",BB45*AQ45*X45^2*1E-4*DATOS!$C$83/100/1000,0))</f>
        <v/>
      </c>
      <c r="BG45" s="62" t="str">
        <f>IF(U45&lt;&gt;"SÍ","",IF(C45="PERIMETRAL",MAX(MAX(AX45,AZ45)*AQ45*X45^2*1E-4*DATOS!$C$83/100/1000,N(S45)),(AQ45*(AA45/100)^2/2+DATOS!$C$26*N(O45)*AA45/100)*DATOS!$C$83/100/1000+BD45))</f>
        <v/>
      </c>
      <c r="BH45" s="56" t="str">
        <f>IF(U45&lt;&gt;"SÍ","",IF(C45="PERIMETRAL",BC45*AQ45*X45^2*1E-4*DATOS!$C$83/100/1000,0))</f>
        <v/>
      </c>
      <c r="BI45" s="56" t="str">
        <f>IF(U45&lt;&gt;"SÍ","",IF(C45="PERIMETRAL",MAX(MAX(AY45,BA45)*AQ45*X45^2*1E-4*DATOS!$C$83/100/1000,N(T45)),0))</f>
        <v/>
      </c>
      <c r="BJ45" s="63" t="str">
        <f>IF(U45&lt;&gt;"SÍ","",IF(C45&lt;&gt;"PERIMETRAL","—",IF(AND(N(S45)=0,N(T45)=0),"— (sin M⁻ del vecino)",IF(OR(AND(N(S45)&gt;0,ABS(MAX(AX45,AZ45)*AQ45*X45^2*1E-4*DATOS!$C$83/100/1000-N(S45))&gt;0.5*MIN(MAX(AX45,AZ45)*AQ45*X45^2*1E-4*DATOS!$C$83/100/1000,N(S45))),AND(N(T45)&gt;0,ABS(MAX(AY45,BA45)*AQ45*X45^2*1E-4*DATOS!$C$83/100/1000-N(T45))&gt;0.5*MIN(MAX(AY45,BA45)*AQ45*X45^2*1E-4*DATOS!$C$83/100/1000,N(T45)))),"FUERA: difieren &gt; 50 %"&amp;IF(AND(N(S45)&gt;0,ABS(MAX(AX45,AZ45)*AQ45*X45^2*1E-4*DATOS!$C$83/100/1000-N(S45))&gt;0.5*MIN(MAX(AX45,AZ45)*AQ45*X45^2*1E-4*DATOS!$C$83/100/1000,N(S45)))," ‖ corto","")&amp;IF(AND(N(T45)&gt;0,ABS(MAX(AY45,BA45)*AQ45*X45^2*1E-4*DATOS!$C$83/100/1000-N(T45))&gt;0.5*MIN(MAX(AY45,BA45)*AQ45*X45^2*1E-4*DATOS!$C$83/100/1000,N(T45)))," ‖ largo",""),"CUMPLE"))))</f>
        <v/>
      </c>
      <c r="BK45" s="58" t="str">
        <f>IF(U45&lt;&gt;"SÍ","",(DATOS!$C$82-AJ45-INDEX(TABLAS!$C$52:$C$58,MATCH(DATOS!$C$68,TABLAS!$B$52:$B$58,0))/2))</f>
        <v/>
      </c>
      <c r="BL45" s="58" t="str">
        <f>IF(U45&lt;&gt;"SÍ","",IF(IF(BF45&lt;=0,0,IF((1-2*BF45*1E5/(DATOS!$C$29*AG45*BK45^2*DATOS!$C$21))&lt;0,-1,IF((1-SQRT((1-2*BF45*1E5/(DATOS!$C$29*AG45*BK45^2*DATOS!$C$21))))*DATOS!$C$21*AG45*BK45/DATOS!$C$14&gt;DATOS!$C$99*AG45*BK45,-1,(1-SQRT((1-2*BF45*1E5/(DATOS!$C$29*AG45*BK45^2*DATOS!$C$21))))*DATOS!$C$21*AG45*BK45/DATOS!$C$14)))&lt;0,-1,MAX(IF(BF45&lt;=0,0,IF((1-2*BF45*1E5/(DATOS!$C$29*AG45*BK45^2*DATOS!$C$21))&lt;0,-1,IF((1-SQRT((1-2*BF45*1E5/(DATOS!$C$29*AG45*BK45^2*DATOS!$C$21))))*DATOS!$C$21*AG45*BK45/DATOS!$C$14&gt;DATOS!$C$99*AG45*BK45,-1,(1-SQRT((1-2*BF45*1E5/(DATOS!$C$29*AG45*BK45^2*DATOS!$C$21))))*DATOS!$C$21*AG45*BK45/DATOS!$C$14))),MIN(DATOS!$C$100*AC45*BK45,4/3*IF(BF45&lt;=0,0,IF((1-2*BF45*1E5/(DATOS!$C$29*AG45*BK45^2*DATOS!$C$21))&lt;0,-1,IF((1-SQRT((1-2*BF45*1E5/(DATOS!$C$29*AG45*BK45^2*DATOS!$C$21))))*DATOS!$C$21*AG45*BK45/DATOS!$C$14&gt;DATOS!$C$99*AG45*BK45,-1,(1-SQRT((1-2*BF45*1E5/(DATOS!$C$29*AG45*BK45^2*DATOS!$C$21))))*DATOS!$C$21*AG45*BK45/DATOS!$C$14)))))))</f>
        <v/>
      </c>
      <c r="BM45" s="64" t="str">
        <f>IF(U45&lt;&gt;"SÍ","",IF(AND(BL45&gt;=0,IF(MAX(DATOS!$C$71,CEILING(BL45/INDEX(TABLAS!$D$52:$D$58,MIN(MATCH(DATOS!$C$68,TABLAS!$B$52:$B$58,0)+0,7)),1))*INDEX(TABLAS!$D$52:$D$58,MIN(MATCH(DATOS!$C$68,TABLAS!$B$52:$B$58,0)+0,7))&gt;=4/3*IF(BF45&lt;=0,0,IF((1-2*BF45*1E5/(DATOS!$C$29*AG45*BK45^2*DATOS!$C$21))&lt;0,-1,IF((1-SQRT((1-2*BF45*1E5/(DATOS!$C$29*AG45*BK45^2*DATOS!$C$21))))*DATOS!$C$21*AG45*BK45/DATOS!$C$14&gt;DATOS!$C$99*AG45*BK45,-1,(1-SQRT((1-2*BF45*1E5/(DATOS!$C$29*AG45*BK45^2*DATOS!$C$21))))*DATOS!$C$21*AG45*BK45/DATOS!$C$14)))-0.0001,MAX(DATOS!$C$71,CEILING(BL45/INDEX(TABLAS!$D$52:$D$58,MIN(MATCH(DATOS!$C$68,TABLAS!$B$52:$B$58,0)+0,7)),1)),MAX(MAX(DATOS!$C$71,CEILING(BL45/INDEX(TABLAS!$D$52:$D$58,MIN(MATCH(DATOS!$C$68,TABLAS!$B$52:$B$58,0)+0,7)),1)),2))&lt;=MIN(DATOS!$C$70,INT(((AC45-2*AJ45)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45&gt;=0,IF(MAX(DATOS!$C$71,CEILING(BL45/INDEX(TABLAS!$D$52:$D$58,MIN(MATCH(DATOS!$C$68,TABLAS!$B$52:$B$58,0)+1,7)),1))*INDEX(TABLAS!$D$52:$D$58,MIN(MATCH(DATOS!$C$68,TABLAS!$B$52:$B$58,0)+1,7))&gt;=4/3*IF(BF45&lt;=0,0,IF((1-2*BF45*1E5/(DATOS!$C$29*AG45*BK45^2*DATOS!$C$21))&lt;0,-1,IF((1-SQRT((1-2*BF45*1E5/(DATOS!$C$29*AG45*BK45^2*DATOS!$C$21))))*DATOS!$C$21*AG45*BK45/DATOS!$C$14&gt;DATOS!$C$99*AG45*BK45,-1,(1-SQRT((1-2*BF45*1E5/(DATOS!$C$29*AG45*BK45^2*DATOS!$C$21))))*DATOS!$C$21*AG45*BK45/DATOS!$C$14)))-0.0001,MAX(DATOS!$C$71,CEILING(BL45/INDEX(TABLAS!$D$52:$D$58,MIN(MATCH(DATOS!$C$68,TABLAS!$B$52:$B$58,0)+1,7)),1)),MAX(MAX(DATOS!$C$71,CEILING(BL45/INDEX(TABLAS!$D$52:$D$58,MIN(MATCH(DATOS!$C$68,TABLAS!$B$52:$B$58,0)+1,7)),1)),2))&lt;=MIN(DATOS!$C$70,INT(((AC45-2*AJ45)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45&gt;=0,IF(MAX(DATOS!$C$71,CEILING(BL45/INDEX(TABLAS!$D$52:$D$58,MIN(MATCH(DATOS!$C$68,TABLAS!$B$52:$B$58,0)+2,7)),1))*INDEX(TABLAS!$D$52:$D$58,MIN(MATCH(DATOS!$C$68,TABLAS!$B$52:$B$58,0)+2,7))&gt;=4/3*IF(BF45&lt;=0,0,IF((1-2*BF45*1E5/(DATOS!$C$29*AG45*BK45^2*DATOS!$C$21))&lt;0,-1,IF((1-SQRT((1-2*BF45*1E5/(DATOS!$C$29*AG45*BK45^2*DATOS!$C$21))))*DATOS!$C$21*AG45*BK45/DATOS!$C$14&gt;DATOS!$C$99*AG45*BK45,-1,(1-SQRT((1-2*BF45*1E5/(DATOS!$C$29*AG45*BK45^2*DATOS!$C$21))))*DATOS!$C$21*AG45*BK45/DATOS!$C$14)))-0.0001,MAX(DATOS!$C$71,CEILING(BL45/INDEX(TABLAS!$D$52:$D$58,MIN(MATCH(DATOS!$C$68,TABLAS!$B$52:$B$58,0)+2,7)),1)),MAX(MAX(DATOS!$C$71,CEILING(BL45/INDEX(TABLAS!$D$52:$D$58,MIN(MATCH(DATOS!$C$68,TABLAS!$B$52:$B$58,0)+2,7)),1)),2))&lt;=MIN(DATOS!$C$70,INT(((AC45-2*AJ45)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45&gt;=0,IF(MAX(DATOS!$C$71,CEILING(BL45/INDEX(TABLAS!$D$52:$D$58,MIN(MATCH(DATOS!$C$68,TABLAS!$B$52:$B$58,0)+3,7)),1))*INDEX(TABLAS!$D$52:$D$58,MIN(MATCH(DATOS!$C$68,TABLAS!$B$52:$B$58,0)+3,7))&gt;=4/3*IF(BF45&lt;=0,0,IF((1-2*BF45*1E5/(DATOS!$C$29*AG45*BK45^2*DATOS!$C$21))&lt;0,-1,IF((1-SQRT((1-2*BF45*1E5/(DATOS!$C$29*AG45*BK45^2*DATOS!$C$21))))*DATOS!$C$21*AG45*BK45/DATOS!$C$14&gt;DATOS!$C$99*AG45*BK45,-1,(1-SQRT((1-2*BF45*1E5/(DATOS!$C$29*AG45*BK45^2*DATOS!$C$21))))*DATOS!$C$21*AG45*BK45/DATOS!$C$14)))-0.0001,MAX(DATOS!$C$71,CEILING(BL45/INDEX(TABLAS!$D$52:$D$58,MIN(MATCH(DATOS!$C$68,TABLAS!$B$52:$B$58,0)+3,7)),1)),MAX(MAX(DATOS!$C$71,CEILING(BL45/INDEX(TABLAS!$D$52:$D$58,MIN(MATCH(DATOS!$C$68,TABLAS!$B$52:$B$58,0)+3,7)),1)),2))&lt;=MIN(DATOS!$C$70,INT(((AC45-2*AJ45)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45&gt;=0,IF(MAX(DATOS!$C$71,CEILING(BL45/INDEX(TABLAS!$D$52:$D$58,MIN(MATCH(DATOS!$C$68,TABLAS!$B$52:$B$58,0)+4,7)),1))*INDEX(TABLAS!$D$52:$D$58,MIN(MATCH(DATOS!$C$68,TABLAS!$B$52:$B$58,0)+4,7))&gt;=4/3*IF(BF45&lt;=0,0,IF((1-2*BF45*1E5/(DATOS!$C$29*AG45*BK45^2*DATOS!$C$21))&lt;0,-1,IF((1-SQRT((1-2*BF45*1E5/(DATOS!$C$29*AG45*BK45^2*DATOS!$C$21))))*DATOS!$C$21*AG45*BK45/DATOS!$C$14&gt;DATOS!$C$99*AG45*BK45,-1,(1-SQRT((1-2*BF45*1E5/(DATOS!$C$29*AG45*BK45^2*DATOS!$C$21))))*DATOS!$C$21*AG45*BK45/DATOS!$C$14)))-0.0001,MAX(DATOS!$C$71,CEILING(BL45/INDEX(TABLAS!$D$52:$D$58,MIN(MATCH(DATOS!$C$68,TABLAS!$B$52:$B$58,0)+4,7)),1)),MAX(MAX(DATOS!$C$71,CEILING(BL45/INDEX(TABLAS!$D$52:$D$58,MIN(MATCH(DATOS!$C$68,TABLAS!$B$52:$B$58,0)+4,7)),1)),2))&lt;=MIN(DATOS!$C$70,INT(((AC45-2*AJ45)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45" s="59" t="str">
        <f>IF(U45&lt;&gt;"SÍ","",IF(BL45&lt;0,0,IF(MAX(DATOS!$C$71,CEILING(MAX(BL45,0)/INDEX(TABLAS!$D$52:$D$58,MATCH(BM45,TABLAS!$B$52:$B$58,0)),1))*INDEX(TABLAS!$D$52:$D$58,MATCH(BM45,TABLAS!$B$52:$B$58,0))&gt;=4/3*IF(BF45&lt;=0,0,IF((1-2*BF45*1E5/(DATOS!$C$29*AG45*BK45^2*DATOS!$C$21))&lt;0,-1,IF((1-SQRT((1-2*BF45*1E5/(DATOS!$C$29*AG45*BK45^2*DATOS!$C$21))))*DATOS!$C$21*AG45*BK45/DATOS!$C$14&gt;DATOS!$C$99*AG45*BK45,-1,(1-SQRT((1-2*BF45*1E5/(DATOS!$C$29*AG45*BK45^2*DATOS!$C$21))))*DATOS!$C$21*AG45*BK45/DATOS!$C$14)))-0.0001,MAX(DATOS!$C$71,CEILING(MAX(BL45,0)/INDEX(TABLAS!$D$52:$D$58,MATCH(BM45,TABLAS!$B$52:$B$58,0)),1)),MAX(MAX(DATOS!$C$71,CEILING(MAX(BL45,0)/INDEX(TABLAS!$D$52:$D$58,MATCH(BM45,TABLAS!$B$52:$B$58,0)),1)),2))))</f>
        <v/>
      </c>
      <c r="BO45" s="58" t="str">
        <f>IF(U45&lt;&gt;"SÍ","",DATOS!$C$82-AJ45-INDEX(TABLAS!$C$52:$C$58,MATCH(BM45,TABLAS!$B$52:$B$58,0))/2)</f>
        <v/>
      </c>
      <c r="BP45" s="56" t="str">
        <f>IF(U45&lt;&gt;"SÍ","",IF(BN45=0,0,DATOS!$C$29*BN45*INDEX(TABLAS!$D$52:$D$58,MATCH(BM45,TABLAS!$B$52:$B$58,0))*DATOS!$C$14*(BO45-BN45*INDEX(TABLAS!$D$52:$D$58,MATCH(BM45,TABLAS!$B$52:$B$58,0))*DATOS!$C$14/(DATOS!$C$21*AG45)/2)/1E5))</f>
        <v/>
      </c>
      <c r="BQ45" s="65" t="str">
        <f>IF(U45&lt;&gt;"SÍ","",IF(BL45&lt;0,9.99,IF(BP45&gt;0,BF45/BP45,0)))</f>
        <v/>
      </c>
      <c r="BR45" s="66" t="str">
        <f>IF(U45&lt;&gt;"SÍ","",IF(BN45=0,"—",0.003*(BO45-(BN45*INDEX(TABLAS!$D$52:$D$58,MATCH(BM45,TABLAS!$B$52:$B$58,0))*DATOS!$C$14/(DATOS!$C$21*AG45)/DATOS!$C$22))/(BN45*INDEX(TABLAS!$D$52:$D$58,MATCH(BM45,TABLAS!$B$52:$B$58,0))*DATOS!$C$14/(DATOS!$C$21*AG45)/DATOS!$C$22)))</f>
        <v/>
      </c>
      <c r="BS45" s="58" t="str">
        <f>IF(U45&lt;&gt;"SÍ","",((DATOS!$C$82-AL45-2*DATOS!$C$94-INDEX(TABLAS!$C$52:$C$58,MATCH(DATOS!$C$69,TABLAS!$B$52:$B$58,0))/2)-IF(AND((DATOS!$C$82-AL45-2*DATOS!$C$94-INDEX(TABLAS!$C$52:$C$58,MATCH(DATOS!$C$69,TABLAS!$B$52:$B$58,0))/2)&lt;=20,DATOS!$C$62&lt;&gt;"SÍ"),2,0)))</f>
        <v/>
      </c>
      <c r="BT45" s="58" t="str">
        <f>IF(U45&lt;&gt;"SÍ","",IF(IF(BG45&lt;=0,0,IF((1-2*BG45*1E5/(DATOS!$C$29*AE45*BS45^2*DATOS!$C$21))&lt;0,-1,IF((1-SQRT((1-2*BG45*1E5/(DATOS!$C$29*AE45*BS45^2*DATOS!$C$21))))*DATOS!$C$21*AE45*BS45/DATOS!$C$14&gt;DATOS!$C$99*AE45*BS45,-1,(1-SQRT((1-2*BG45*1E5/(DATOS!$C$29*AE45*BS45^2*DATOS!$C$21))))*DATOS!$C$21*AE45*BS45/DATOS!$C$14)))&lt;0,-1,MAX(IF(BG45&lt;=0,0,IF((1-2*BG45*1E5/(DATOS!$C$29*AE45*BS45^2*DATOS!$C$21))&lt;0,-1,IF((1-SQRT((1-2*BG45*1E5/(DATOS!$C$29*AE45*BS45^2*DATOS!$C$21))))*DATOS!$C$21*AE45*BS45/DATOS!$C$14&gt;DATOS!$C$99*AE45*BS45,-1,(1-SQRT((1-2*BG45*1E5/(DATOS!$C$29*AE45*BS45^2*DATOS!$C$21))))*DATOS!$C$21*AE45*BS45/DATOS!$C$14))),MIN(DATOS!$C$100*IF(C45="VOLADO",MIN(AG45,2*AC45),AC45)*BS45,4/3*IF(BG45&lt;=0,0,IF((1-2*BG45*1E5/(DATOS!$C$29*AE45*BS45^2*DATOS!$C$21))&lt;0,-1,IF((1-SQRT((1-2*BG45*1E5/(DATOS!$C$29*AE45*BS45^2*DATOS!$C$21))))*DATOS!$C$21*AE45*BS45/DATOS!$C$14&gt;DATOS!$C$99*AE45*BS45,-1,(1-SQRT((1-2*BG45*1E5/(DATOS!$C$29*AE45*BS45^2*DATOS!$C$21))))*DATOS!$C$21*AE45*BS45/DATOS!$C$14)))))))</f>
        <v/>
      </c>
      <c r="BU45" s="64" t="str">
        <f>IF(U45&lt;&gt;"SÍ","",IF(AND(BT45&gt;=0,IF(MAX(DATOS!$C$71,CEILING(BT45/INDEX(TABLAS!$D$52:$D$58,MIN(MATCH(DATOS!$C$69,TABLAS!$B$52:$B$58,0)+0,7)),1))*INDEX(TABLAS!$D$52:$D$58,MIN(MATCH(DATOS!$C$69,TABLAS!$B$52:$B$58,0)+0,7))&gt;=4/3*IF(BG45&lt;=0,0,IF((1-2*BG45*1E5/(DATOS!$C$29*AE45*BS45^2*DATOS!$C$21))&lt;0,-1,IF((1-SQRT((1-2*BG45*1E5/(DATOS!$C$29*AE45*BS45^2*DATOS!$C$21))))*DATOS!$C$21*AE45*BS45/DATOS!$C$14&gt;DATOS!$C$99*AE45*BS45,-1,(1-SQRT((1-2*BG45*1E5/(DATOS!$C$29*AE45*BS45^2*DATOS!$C$21))))*DATOS!$C$21*AE45*BS45/DATOS!$C$14)))-0.0001,MAX(DATOS!$C$71,CEILING(BT45/INDEX(TABLAS!$D$52:$D$58,MIN(MATCH(DATOS!$C$69,TABLAS!$B$52:$B$58,0)+0,7)),1)),MAX(MAX(DATOS!$C$71,CEILING(BT45/INDEX(TABLAS!$D$52:$D$58,MIN(MATCH(DATOS!$C$69,TABLAS!$B$52:$B$58,0)+0,7)),1)),2))&lt;=MIN(DATOS!$C$70,INT(((AC45-2*AK45)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45&gt;=0,IF(MAX(DATOS!$C$71,CEILING(BT45/INDEX(TABLAS!$D$52:$D$58,MIN(MATCH(DATOS!$C$69,TABLAS!$B$52:$B$58,0)+1,7)),1))*INDEX(TABLAS!$D$52:$D$58,MIN(MATCH(DATOS!$C$69,TABLAS!$B$52:$B$58,0)+1,7))&gt;=4/3*IF(BG45&lt;=0,0,IF((1-2*BG45*1E5/(DATOS!$C$29*AE45*BS45^2*DATOS!$C$21))&lt;0,-1,IF((1-SQRT((1-2*BG45*1E5/(DATOS!$C$29*AE45*BS45^2*DATOS!$C$21))))*DATOS!$C$21*AE45*BS45/DATOS!$C$14&gt;DATOS!$C$99*AE45*BS45,-1,(1-SQRT((1-2*BG45*1E5/(DATOS!$C$29*AE45*BS45^2*DATOS!$C$21))))*DATOS!$C$21*AE45*BS45/DATOS!$C$14)))-0.0001,MAX(DATOS!$C$71,CEILING(BT45/INDEX(TABLAS!$D$52:$D$58,MIN(MATCH(DATOS!$C$69,TABLAS!$B$52:$B$58,0)+1,7)),1)),MAX(MAX(DATOS!$C$71,CEILING(BT45/INDEX(TABLAS!$D$52:$D$58,MIN(MATCH(DATOS!$C$69,TABLAS!$B$52:$B$58,0)+1,7)),1)),2))&lt;=MIN(DATOS!$C$70,INT(((AC45-2*AK45)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45&gt;=0,IF(MAX(DATOS!$C$71,CEILING(BT45/INDEX(TABLAS!$D$52:$D$58,MIN(MATCH(DATOS!$C$69,TABLAS!$B$52:$B$58,0)+2,7)),1))*INDEX(TABLAS!$D$52:$D$58,MIN(MATCH(DATOS!$C$69,TABLAS!$B$52:$B$58,0)+2,7))&gt;=4/3*IF(BG45&lt;=0,0,IF((1-2*BG45*1E5/(DATOS!$C$29*AE45*BS45^2*DATOS!$C$21))&lt;0,-1,IF((1-SQRT((1-2*BG45*1E5/(DATOS!$C$29*AE45*BS45^2*DATOS!$C$21))))*DATOS!$C$21*AE45*BS45/DATOS!$C$14&gt;DATOS!$C$99*AE45*BS45,-1,(1-SQRT((1-2*BG45*1E5/(DATOS!$C$29*AE45*BS45^2*DATOS!$C$21))))*DATOS!$C$21*AE45*BS45/DATOS!$C$14)))-0.0001,MAX(DATOS!$C$71,CEILING(BT45/INDEX(TABLAS!$D$52:$D$58,MIN(MATCH(DATOS!$C$69,TABLAS!$B$52:$B$58,0)+2,7)),1)),MAX(MAX(DATOS!$C$71,CEILING(BT45/INDEX(TABLAS!$D$52:$D$58,MIN(MATCH(DATOS!$C$69,TABLAS!$B$52:$B$58,0)+2,7)),1)),2))&lt;=MIN(DATOS!$C$70,INT(((AC45-2*AK45)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45&gt;=0,IF(MAX(DATOS!$C$71,CEILING(BT45/INDEX(TABLAS!$D$52:$D$58,MIN(MATCH(DATOS!$C$69,TABLAS!$B$52:$B$58,0)+3,7)),1))*INDEX(TABLAS!$D$52:$D$58,MIN(MATCH(DATOS!$C$69,TABLAS!$B$52:$B$58,0)+3,7))&gt;=4/3*IF(BG45&lt;=0,0,IF((1-2*BG45*1E5/(DATOS!$C$29*AE45*BS45^2*DATOS!$C$21))&lt;0,-1,IF((1-SQRT((1-2*BG45*1E5/(DATOS!$C$29*AE45*BS45^2*DATOS!$C$21))))*DATOS!$C$21*AE45*BS45/DATOS!$C$14&gt;DATOS!$C$99*AE45*BS45,-1,(1-SQRT((1-2*BG45*1E5/(DATOS!$C$29*AE45*BS45^2*DATOS!$C$21))))*DATOS!$C$21*AE45*BS45/DATOS!$C$14)))-0.0001,MAX(DATOS!$C$71,CEILING(BT45/INDEX(TABLAS!$D$52:$D$58,MIN(MATCH(DATOS!$C$69,TABLAS!$B$52:$B$58,0)+3,7)),1)),MAX(MAX(DATOS!$C$71,CEILING(BT45/INDEX(TABLAS!$D$52:$D$58,MIN(MATCH(DATOS!$C$69,TABLAS!$B$52:$B$58,0)+3,7)),1)),2))&lt;=MIN(DATOS!$C$70,INT(((AC45-2*AK45)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45&gt;=0,IF(MAX(DATOS!$C$71,CEILING(BT45/INDEX(TABLAS!$D$52:$D$58,MIN(MATCH(DATOS!$C$69,TABLAS!$B$52:$B$58,0)+4,7)),1))*INDEX(TABLAS!$D$52:$D$58,MIN(MATCH(DATOS!$C$69,TABLAS!$B$52:$B$58,0)+4,7))&gt;=4/3*IF(BG45&lt;=0,0,IF((1-2*BG45*1E5/(DATOS!$C$29*AE45*BS45^2*DATOS!$C$21))&lt;0,-1,IF((1-SQRT((1-2*BG45*1E5/(DATOS!$C$29*AE45*BS45^2*DATOS!$C$21))))*DATOS!$C$21*AE45*BS45/DATOS!$C$14&gt;DATOS!$C$99*AE45*BS45,-1,(1-SQRT((1-2*BG45*1E5/(DATOS!$C$29*AE45*BS45^2*DATOS!$C$21))))*DATOS!$C$21*AE45*BS45/DATOS!$C$14)))-0.0001,MAX(DATOS!$C$71,CEILING(BT45/INDEX(TABLAS!$D$52:$D$58,MIN(MATCH(DATOS!$C$69,TABLAS!$B$52:$B$58,0)+4,7)),1)),MAX(MAX(DATOS!$C$71,CEILING(BT45/INDEX(TABLAS!$D$52:$D$58,MIN(MATCH(DATOS!$C$69,TABLAS!$B$52:$B$58,0)+4,7)),1)),2))&lt;=MIN(DATOS!$C$70,INT(((AC45-2*AK45)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45" s="59" t="str">
        <f>IF(U45&lt;&gt;"SÍ","",IF(BT45&lt;0,0,IF(MAX(DATOS!$C$71,CEILING(MAX(BT45,0)/INDEX(TABLAS!$D$52:$D$58,MATCH(BU45,TABLAS!$B$52:$B$58,0)),1))*INDEX(TABLAS!$D$52:$D$58,MATCH(BU45,TABLAS!$B$52:$B$58,0))&gt;=4/3*IF(BG45&lt;=0,0,IF((1-2*BG45*1E5/(DATOS!$C$29*AE45*BS45^2*DATOS!$C$21))&lt;0,-1,IF((1-SQRT((1-2*BG45*1E5/(DATOS!$C$29*AE45*BS45^2*DATOS!$C$21))))*DATOS!$C$21*AE45*BS45/DATOS!$C$14&gt;DATOS!$C$99*AE45*BS45,-1,(1-SQRT((1-2*BG45*1E5/(DATOS!$C$29*AE45*BS45^2*DATOS!$C$21))))*DATOS!$C$21*AE45*BS45/DATOS!$C$14)))-0.0001,MAX(DATOS!$C$71,CEILING(MAX(BT45,0)/INDEX(TABLAS!$D$52:$D$58,MATCH(BU45,TABLAS!$B$52:$B$58,0)),1)),MAX(MAX(DATOS!$C$71,CEILING(MAX(BT45,0)/INDEX(TABLAS!$D$52:$D$58,MATCH(BU45,TABLAS!$B$52:$B$58,0)),1)),2))))</f>
        <v/>
      </c>
      <c r="BW45" s="58" t="str">
        <f>IF(U45&lt;&gt;"SÍ","",((DATOS!$C$82-AL45-2*DATOS!$C$94-INDEX(TABLAS!$C$52:$C$58,MATCH(BU45,TABLAS!$B$52:$B$58,0))/2)-IF(AND((DATOS!$C$82-AL45-2*DATOS!$C$94-INDEX(TABLAS!$C$52:$C$58,MATCH(BU45,TABLAS!$B$52:$B$58,0))/2)&lt;=20,DATOS!$C$62&lt;&gt;"SÍ"),2,0)))</f>
        <v/>
      </c>
      <c r="BX45" s="56" t="str">
        <f>IF(U45&lt;&gt;"SÍ","",IF(BV45=0,0,DATOS!$C$29*BV45*INDEX(TABLAS!$D$52:$D$58,MATCH(BU45,TABLAS!$B$52:$B$58,0))*DATOS!$C$14*(BW45-BV45*INDEX(TABLAS!$D$52:$D$58,MATCH(BU45,TABLAS!$B$52:$B$58,0))*DATOS!$C$14/(DATOS!$C$21*AE45)/2)/1E5))</f>
        <v/>
      </c>
      <c r="BY45" s="65" t="str">
        <f>IF(U45&lt;&gt;"SÍ","",IF(BT45&lt;0,9.99,IF(BX45&gt;0,BG45/BX45,0)))</f>
        <v/>
      </c>
      <c r="BZ45" s="66" t="str">
        <f>IF(U45&lt;&gt;"SÍ","",IF(BV45=0,"—",0.003*(BW45-(BV45*INDEX(TABLAS!$D$52:$D$58,MATCH(BU45,TABLAS!$B$52:$B$58,0))*DATOS!$C$14/(DATOS!$C$21*AE45)/DATOS!$C$22))/(BV45*INDEX(TABLAS!$D$52:$D$58,MATCH(BU45,TABLAS!$B$52:$B$58,0))*DATOS!$C$14/(DATOS!$C$21*AE45)/DATOS!$C$22)))</f>
        <v/>
      </c>
      <c r="CA45" s="58" t="str">
        <f>IF(U45&lt;&gt;"SÍ","",(DATOS!$C$82-AJ45-INDEX(TABLAS!$C$52:$C$58,MATCH(DATOS!$C$68,TABLAS!$B$52:$B$58,0))-INDEX(TABLAS!$C$52:$C$58,MATCH(DATOS!$C$68,TABLAS!$B$52:$B$58,0))/2))</f>
        <v/>
      </c>
      <c r="CB45" s="58" t="str">
        <f>IF(U45&lt;&gt;"SÍ","",IF(IF(BH45&lt;=0,0,IF((1-2*BH45*1E5/(DATOS!$C$29*AH45*CA45^2*DATOS!$C$21))&lt;0,-1,IF((1-SQRT((1-2*BH45*1E5/(DATOS!$C$29*AH45*CA45^2*DATOS!$C$21))))*DATOS!$C$21*AH45*CA45/DATOS!$C$14&gt;DATOS!$C$99*AH45*CA45,-1,(1-SQRT((1-2*BH45*1E5/(DATOS!$C$29*AH45*CA45^2*DATOS!$C$21))))*DATOS!$C$21*AH45*CA45/DATOS!$C$14)))&lt;0,-1,MAX(IF(BH45&lt;=0,0,IF((1-2*BH45*1E5/(DATOS!$C$29*AH45*CA45^2*DATOS!$C$21))&lt;0,-1,IF((1-SQRT((1-2*BH45*1E5/(DATOS!$C$29*AH45*CA45^2*DATOS!$C$21))))*DATOS!$C$21*AH45*CA45/DATOS!$C$14&gt;DATOS!$C$99*AH45*CA45,-1,(1-SQRT((1-2*BH45*1E5/(DATOS!$C$29*AH45*CA45^2*DATOS!$C$21))))*DATOS!$C$21*AH45*CA45/DATOS!$C$14))),MIN(DATOS!$C$100*DATOS!$C$80*CA45,4/3*IF(BH45&lt;=0,0,IF((1-2*BH45*1E5/(DATOS!$C$29*AH45*CA45^2*DATOS!$C$21))&lt;0,-1,IF((1-SQRT((1-2*BH45*1E5/(DATOS!$C$29*AH45*CA45^2*DATOS!$C$21))))*DATOS!$C$21*AH45*CA45/DATOS!$C$14&gt;DATOS!$C$99*AH45*CA45,-1,(1-SQRT((1-2*BH45*1E5/(DATOS!$C$29*AH45*CA45^2*DATOS!$C$21))))*DATOS!$C$21*AH45*CA45/DATOS!$C$14)))))))</f>
        <v/>
      </c>
      <c r="CC45" s="64" t="str">
        <f>IF(U45&lt;&gt;"SÍ","",IF(AND(CB45&gt;=0,IF(MAX(DATOS!$C$71,CEILING(CB45/INDEX(TABLAS!$D$52:$D$58,MIN(MATCH(DATOS!$C$68,TABLAS!$B$52:$B$58,0)+0,7)),1))*INDEX(TABLAS!$D$52:$D$58,MIN(MATCH(DATOS!$C$68,TABLAS!$B$52:$B$58,0)+0,7))&gt;=4/3*IF(BH45&lt;=0,0,IF((1-2*BH45*1E5/(DATOS!$C$29*AH45*CA45^2*DATOS!$C$21))&lt;0,-1,IF((1-SQRT((1-2*BH45*1E5/(DATOS!$C$29*AH45*CA45^2*DATOS!$C$21))))*DATOS!$C$21*AH45*CA45/DATOS!$C$14&gt;DATOS!$C$99*AH45*CA45,-1,(1-SQRT((1-2*BH45*1E5/(DATOS!$C$29*AH45*CA45^2*DATOS!$C$21))))*DATOS!$C$21*AH45*CA45/DATOS!$C$14)))-0.0001,MAX(DATOS!$C$71,CEILING(CB45/INDEX(TABLAS!$D$52:$D$58,MIN(MATCH(DATOS!$C$68,TABLAS!$B$52:$B$58,0)+0,7)),1)),MAX(MAX(DATOS!$C$71,CEILING(CB45/INDEX(TABLAS!$D$52:$D$58,MIN(MATCH(DATOS!$C$68,TABLAS!$B$52:$B$58,0)+0,7)),1)),2))&lt;=MIN(DATOS!$C$70,INT(((DATOS!$C$80-2*AJ45)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45&gt;=0,IF(MAX(DATOS!$C$71,CEILING(CB45/INDEX(TABLAS!$D$52:$D$58,MIN(MATCH(DATOS!$C$68,TABLAS!$B$52:$B$58,0)+1,7)),1))*INDEX(TABLAS!$D$52:$D$58,MIN(MATCH(DATOS!$C$68,TABLAS!$B$52:$B$58,0)+1,7))&gt;=4/3*IF(BH45&lt;=0,0,IF((1-2*BH45*1E5/(DATOS!$C$29*AH45*CA45^2*DATOS!$C$21))&lt;0,-1,IF((1-SQRT((1-2*BH45*1E5/(DATOS!$C$29*AH45*CA45^2*DATOS!$C$21))))*DATOS!$C$21*AH45*CA45/DATOS!$C$14&gt;DATOS!$C$99*AH45*CA45,-1,(1-SQRT((1-2*BH45*1E5/(DATOS!$C$29*AH45*CA45^2*DATOS!$C$21))))*DATOS!$C$21*AH45*CA45/DATOS!$C$14)))-0.0001,MAX(DATOS!$C$71,CEILING(CB45/INDEX(TABLAS!$D$52:$D$58,MIN(MATCH(DATOS!$C$68,TABLAS!$B$52:$B$58,0)+1,7)),1)),MAX(MAX(DATOS!$C$71,CEILING(CB45/INDEX(TABLAS!$D$52:$D$58,MIN(MATCH(DATOS!$C$68,TABLAS!$B$52:$B$58,0)+1,7)),1)),2))&lt;=MIN(DATOS!$C$70,INT(((DATOS!$C$80-2*AJ45)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45&gt;=0,IF(MAX(DATOS!$C$71,CEILING(CB45/INDEX(TABLAS!$D$52:$D$58,MIN(MATCH(DATOS!$C$68,TABLAS!$B$52:$B$58,0)+2,7)),1))*INDEX(TABLAS!$D$52:$D$58,MIN(MATCH(DATOS!$C$68,TABLAS!$B$52:$B$58,0)+2,7))&gt;=4/3*IF(BH45&lt;=0,0,IF((1-2*BH45*1E5/(DATOS!$C$29*AH45*CA45^2*DATOS!$C$21))&lt;0,-1,IF((1-SQRT((1-2*BH45*1E5/(DATOS!$C$29*AH45*CA45^2*DATOS!$C$21))))*DATOS!$C$21*AH45*CA45/DATOS!$C$14&gt;DATOS!$C$99*AH45*CA45,-1,(1-SQRT((1-2*BH45*1E5/(DATOS!$C$29*AH45*CA45^2*DATOS!$C$21))))*DATOS!$C$21*AH45*CA45/DATOS!$C$14)))-0.0001,MAX(DATOS!$C$71,CEILING(CB45/INDEX(TABLAS!$D$52:$D$58,MIN(MATCH(DATOS!$C$68,TABLAS!$B$52:$B$58,0)+2,7)),1)),MAX(MAX(DATOS!$C$71,CEILING(CB45/INDEX(TABLAS!$D$52:$D$58,MIN(MATCH(DATOS!$C$68,TABLAS!$B$52:$B$58,0)+2,7)),1)),2))&lt;=MIN(DATOS!$C$70,INT(((DATOS!$C$80-2*AJ45)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45&gt;=0,IF(MAX(DATOS!$C$71,CEILING(CB45/INDEX(TABLAS!$D$52:$D$58,MIN(MATCH(DATOS!$C$68,TABLAS!$B$52:$B$58,0)+3,7)),1))*INDEX(TABLAS!$D$52:$D$58,MIN(MATCH(DATOS!$C$68,TABLAS!$B$52:$B$58,0)+3,7))&gt;=4/3*IF(BH45&lt;=0,0,IF((1-2*BH45*1E5/(DATOS!$C$29*AH45*CA45^2*DATOS!$C$21))&lt;0,-1,IF((1-SQRT((1-2*BH45*1E5/(DATOS!$C$29*AH45*CA45^2*DATOS!$C$21))))*DATOS!$C$21*AH45*CA45/DATOS!$C$14&gt;DATOS!$C$99*AH45*CA45,-1,(1-SQRT((1-2*BH45*1E5/(DATOS!$C$29*AH45*CA45^2*DATOS!$C$21))))*DATOS!$C$21*AH45*CA45/DATOS!$C$14)))-0.0001,MAX(DATOS!$C$71,CEILING(CB45/INDEX(TABLAS!$D$52:$D$58,MIN(MATCH(DATOS!$C$68,TABLAS!$B$52:$B$58,0)+3,7)),1)),MAX(MAX(DATOS!$C$71,CEILING(CB45/INDEX(TABLAS!$D$52:$D$58,MIN(MATCH(DATOS!$C$68,TABLAS!$B$52:$B$58,0)+3,7)),1)),2))&lt;=MIN(DATOS!$C$70,INT(((DATOS!$C$80-2*AJ45)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45&gt;=0,IF(MAX(DATOS!$C$71,CEILING(CB45/INDEX(TABLAS!$D$52:$D$58,MIN(MATCH(DATOS!$C$68,TABLAS!$B$52:$B$58,0)+4,7)),1))*INDEX(TABLAS!$D$52:$D$58,MIN(MATCH(DATOS!$C$68,TABLAS!$B$52:$B$58,0)+4,7))&gt;=4/3*IF(BH45&lt;=0,0,IF((1-2*BH45*1E5/(DATOS!$C$29*AH45*CA45^2*DATOS!$C$21))&lt;0,-1,IF((1-SQRT((1-2*BH45*1E5/(DATOS!$C$29*AH45*CA45^2*DATOS!$C$21))))*DATOS!$C$21*AH45*CA45/DATOS!$C$14&gt;DATOS!$C$99*AH45*CA45,-1,(1-SQRT((1-2*BH45*1E5/(DATOS!$C$29*AH45*CA45^2*DATOS!$C$21))))*DATOS!$C$21*AH45*CA45/DATOS!$C$14)))-0.0001,MAX(DATOS!$C$71,CEILING(CB45/INDEX(TABLAS!$D$52:$D$58,MIN(MATCH(DATOS!$C$68,TABLAS!$B$52:$B$58,0)+4,7)),1)),MAX(MAX(DATOS!$C$71,CEILING(CB45/INDEX(TABLAS!$D$52:$D$58,MIN(MATCH(DATOS!$C$68,TABLAS!$B$52:$B$58,0)+4,7)),1)),2))&lt;=MIN(DATOS!$C$70,INT(((DATOS!$C$80-2*AJ45)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45" s="59" t="str">
        <f>IF(U45&lt;&gt;"SÍ","",IF(CB45&lt;0,0,IF(MAX(DATOS!$C$71,CEILING(MAX(CB45,0)/INDEX(TABLAS!$D$52:$D$58,MATCH(CC45,TABLAS!$B$52:$B$58,0)),1))*INDEX(TABLAS!$D$52:$D$58,MATCH(CC45,TABLAS!$B$52:$B$58,0))&gt;=4/3*IF(BH45&lt;=0,0,IF((1-2*BH45*1E5/(DATOS!$C$29*AH45*CA45^2*DATOS!$C$21))&lt;0,-1,IF((1-SQRT((1-2*BH45*1E5/(DATOS!$C$29*AH45*CA45^2*DATOS!$C$21))))*DATOS!$C$21*AH45*CA45/DATOS!$C$14&gt;DATOS!$C$99*AH45*CA45,-1,(1-SQRT((1-2*BH45*1E5/(DATOS!$C$29*AH45*CA45^2*DATOS!$C$21))))*DATOS!$C$21*AH45*CA45/DATOS!$C$14)))-0.0001,MAX(DATOS!$C$71,CEILING(MAX(CB45,0)/INDEX(TABLAS!$D$52:$D$58,MATCH(CC45,TABLAS!$B$52:$B$58,0)),1)),MAX(MAX(DATOS!$C$71,CEILING(MAX(CB45,0)/INDEX(TABLAS!$D$52:$D$58,MATCH(CC45,TABLAS!$B$52:$B$58,0)),1)),2))))</f>
        <v/>
      </c>
      <c r="CE45" s="58" t="str">
        <f>IF(U45&lt;&gt;"SÍ","",DATOS!$C$82-AJ45-INDEX(TABLAS!$C$52:$C$58,MATCH(BM45,TABLAS!$B$52:$B$58,0))-INDEX(TABLAS!$C$52:$C$58,MATCH(CC45,TABLAS!$B$52:$B$58,0))/2)</f>
        <v/>
      </c>
      <c r="CF45" s="56" t="str">
        <f>IF(U45&lt;&gt;"SÍ","",IF(CD45=0,0,DATOS!$C$29*CD45*INDEX(TABLAS!$D$52:$D$58,MATCH(CC45,TABLAS!$B$52:$B$58,0))*DATOS!$C$14*(CE45-CD45*INDEX(TABLAS!$D$52:$D$58,MATCH(CC45,TABLAS!$B$52:$B$58,0))*DATOS!$C$14/(DATOS!$C$21*AH45)/2)/1E5))</f>
        <v/>
      </c>
      <c r="CG45" s="65" t="str">
        <f>IF(U45&lt;&gt;"SÍ","",IF(CB45&lt;0,9.99,IF(CF45&gt;0,BH45/CF45,0)))</f>
        <v/>
      </c>
      <c r="CH45" s="66" t="str">
        <f>IF(U45&lt;&gt;"SÍ","",IF(CD45=0,"—",0.003*(CE45-(CD45*INDEX(TABLAS!$D$52:$D$58,MATCH(CC45,TABLAS!$B$52:$B$58,0))*DATOS!$C$14/(DATOS!$C$21*AH45)/DATOS!$C$22))/(CD45*INDEX(TABLAS!$D$52:$D$58,MATCH(CC45,TABLAS!$B$52:$B$58,0))*DATOS!$C$14/(DATOS!$C$21*AH45)/DATOS!$C$22)))</f>
        <v/>
      </c>
      <c r="CI45" s="58" t="str">
        <f>IF(U45&lt;&gt;"SÍ","",((DATOS!$C$82-AL45-2*DATOS!$C$94-INDEX(TABLAS!$C$52:$C$58,MATCH(DATOS!$C$69,TABLAS!$B$52:$B$58,0))-INDEX(TABLAS!$C$52:$C$58,MATCH(DATOS!$C$69,TABLAS!$B$52:$B$58,0))/2)-IF(AND((DATOS!$C$82-AL45-2*DATOS!$C$94-INDEX(TABLAS!$C$52:$C$58,MATCH(DATOS!$C$69,TABLAS!$B$52:$B$58,0))-INDEX(TABLAS!$C$52:$C$58,MATCH(DATOS!$C$69,TABLAS!$B$52:$B$58,0))/2)&lt;=20,DATOS!$C$62&lt;&gt;"SÍ"),2,0)))</f>
        <v/>
      </c>
      <c r="CJ45" s="58" t="str">
        <f>IF(U45&lt;&gt;"SÍ","",IF(IF(BI45&lt;=0,0,IF((1-2*BI45*1E5/(DATOS!$C$29*AF45*CI45^2*DATOS!$C$21))&lt;0,-1,IF((1-SQRT((1-2*BI45*1E5/(DATOS!$C$29*AF45*CI45^2*DATOS!$C$21))))*DATOS!$C$21*AF45*CI45/DATOS!$C$14&gt;DATOS!$C$99*AF45*CI45,-1,(1-SQRT((1-2*BI45*1E5/(DATOS!$C$29*AF45*CI45^2*DATOS!$C$21))))*DATOS!$C$21*AF45*CI45/DATOS!$C$14)))&lt;0,-1,MAX(IF(BI45&lt;=0,0,IF((1-2*BI45*1E5/(DATOS!$C$29*AF45*CI45^2*DATOS!$C$21))&lt;0,-1,IF((1-SQRT((1-2*BI45*1E5/(DATOS!$C$29*AF45*CI45^2*DATOS!$C$21))))*DATOS!$C$21*AF45*CI45/DATOS!$C$14&gt;DATOS!$C$99*AF45*CI45,-1,(1-SQRT((1-2*BI45*1E5/(DATOS!$C$29*AF45*CI45^2*DATOS!$C$21))))*DATOS!$C$21*AF45*CI45/DATOS!$C$14))),MIN(DATOS!$C$100*DATOS!$C$80*CI45,4/3*IF(BI45&lt;=0,0,IF((1-2*BI45*1E5/(DATOS!$C$29*AF45*CI45^2*DATOS!$C$21))&lt;0,-1,IF((1-SQRT((1-2*BI45*1E5/(DATOS!$C$29*AF45*CI45^2*DATOS!$C$21))))*DATOS!$C$21*AF45*CI45/DATOS!$C$14&gt;DATOS!$C$99*AF45*CI45,-1,(1-SQRT((1-2*BI45*1E5/(DATOS!$C$29*AF45*CI45^2*DATOS!$C$21))))*DATOS!$C$21*AF45*CI45/DATOS!$C$14)))))))</f>
        <v/>
      </c>
      <c r="CK45" s="64" t="str">
        <f>IF(U45&lt;&gt;"SÍ","",IF(AND(CJ45&gt;=0,IF(MAX(DATOS!$C$71,CEILING(CJ45/INDEX(TABLAS!$D$52:$D$58,MIN(MATCH(DATOS!$C$69,TABLAS!$B$52:$B$58,0)+0,7)),1))*INDEX(TABLAS!$D$52:$D$58,MIN(MATCH(DATOS!$C$69,TABLAS!$B$52:$B$58,0)+0,7))&gt;=4/3*IF(BI45&lt;=0,0,IF((1-2*BI45*1E5/(DATOS!$C$29*AF45*CI45^2*DATOS!$C$21))&lt;0,-1,IF((1-SQRT((1-2*BI45*1E5/(DATOS!$C$29*AF45*CI45^2*DATOS!$C$21))))*DATOS!$C$21*AF45*CI45/DATOS!$C$14&gt;DATOS!$C$99*AF45*CI45,-1,(1-SQRT((1-2*BI45*1E5/(DATOS!$C$29*AF45*CI45^2*DATOS!$C$21))))*DATOS!$C$21*AF45*CI45/DATOS!$C$14)))-0.0001,MAX(DATOS!$C$71,CEILING(CJ45/INDEX(TABLAS!$D$52:$D$58,MIN(MATCH(DATOS!$C$69,TABLAS!$B$52:$B$58,0)+0,7)),1)),MAX(MAX(DATOS!$C$71,CEILING(CJ45/INDEX(TABLAS!$D$52:$D$58,MIN(MATCH(DATOS!$C$69,TABLAS!$B$52:$B$58,0)+0,7)),1)),2))&lt;=MIN(DATOS!$C$70,INT(((DATOS!$C$80-2*AK45)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45&gt;=0,IF(MAX(DATOS!$C$71,CEILING(CJ45/INDEX(TABLAS!$D$52:$D$58,MIN(MATCH(DATOS!$C$69,TABLAS!$B$52:$B$58,0)+1,7)),1))*INDEX(TABLAS!$D$52:$D$58,MIN(MATCH(DATOS!$C$69,TABLAS!$B$52:$B$58,0)+1,7))&gt;=4/3*IF(BI45&lt;=0,0,IF((1-2*BI45*1E5/(DATOS!$C$29*AF45*CI45^2*DATOS!$C$21))&lt;0,-1,IF((1-SQRT((1-2*BI45*1E5/(DATOS!$C$29*AF45*CI45^2*DATOS!$C$21))))*DATOS!$C$21*AF45*CI45/DATOS!$C$14&gt;DATOS!$C$99*AF45*CI45,-1,(1-SQRT((1-2*BI45*1E5/(DATOS!$C$29*AF45*CI45^2*DATOS!$C$21))))*DATOS!$C$21*AF45*CI45/DATOS!$C$14)))-0.0001,MAX(DATOS!$C$71,CEILING(CJ45/INDEX(TABLAS!$D$52:$D$58,MIN(MATCH(DATOS!$C$69,TABLAS!$B$52:$B$58,0)+1,7)),1)),MAX(MAX(DATOS!$C$71,CEILING(CJ45/INDEX(TABLAS!$D$52:$D$58,MIN(MATCH(DATOS!$C$69,TABLAS!$B$52:$B$58,0)+1,7)),1)),2))&lt;=MIN(DATOS!$C$70,INT(((DATOS!$C$80-2*AK45)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45&gt;=0,IF(MAX(DATOS!$C$71,CEILING(CJ45/INDEX(TABLAS!$D$52:$D$58,MIN(MATCH(DATOS!$C$69,TABLAS!$B$52:$B$58,0)+2,7)),1))*INDEX(TABLAS!$D$52:$D$58,MIN(MATCH(DATOS!$C$69,TABLAS!$B$52:$B$58,0)+2,7))&gt;=4/3*IF(BI45&lt;=0,0,IF((1-2*BI45*1E5/(DATOS!$C$29*AF45*CI45^2*DATOS!$C$21))&lt;0,-1,IF((1-SQRT((1-2*BI45*1E5/(DATOS!$C$29*AF45*CI45^2*DATOS!$C$21))))*DATOS!$C$21*AF45*CI45/DATOS!$C$14&gt;DATOS!$C$99*AF45*CI45,-1,(1-SQRT((1-2*BI45*1E5/(DATOS!$C$29*AF45*CI45^2*DATOS!$C$21))))*DATOS!$C$21*AF45*CI45/DATOS!$C$14)))-0.0001,MAX(DATOS!$C$71,CEILING(CJ45/INDEX(TABLAS!$D$52:$D$58,MIN(MATCH(DATOS!$C$69,TABLAS!$B$52:$B$58,0)+2,7)),1)),MAX(MAX(DATOS!$C$71,CEILING(CJ45/INDEX(TABLAS!$D$52:$D$58,MIN(MATCH(DATOS!$C$69,TABLAS!$B$52:$B$58,0)+2,7)),1)),2))&lt;=MIN(DATOS!$C$70,INT(((DATOS!$C$80-2*AK45)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45&gt;=0,IF(MAX(DATOS!$C$71,CEILING(CJ45/INDEX(TABLAS!$D$52:$D$58,MIN(MATCH(DATOS!$C$69,TABLAS!$B$52:$B$58,0)+3,7)),1))*INDEX(TABLAS!$D$52:$D$58,MIN(MATCH(DATOS!$C$69,TABLAS!$B$52:$B$58,0)+3,7))&gt;=4/3*IF(BI45&lt;=0,0,IF((1-2*BI45*1E5/(DATOS!$C$29*AF45*CI45^2*DATOS!$C$21))&lt;0,-1,IF((1-SQRT((1-2*BI45*1E5/(DATOS!$C$29*AF45*CI45^2*DATOS!$C$21))))*DATOS!$C$21*AF45*CI45/DATOS!$C$14&gt;DATOS!$C$99*AF45*CI45,-1,(1-SQRT((1-2*BI45*1E5/(DATOS!$C$29*AF45*CI45^2*DATOS!$C$21))))*DATOS!$C$21*AF45*CI45/DATOS!$C$14)))-0.0001,MAX(DATOS!$C$71,CEILING(CJ45/INDEX(TABLAS!$D$52:$D$58,MIN(MATCH(DATOS!$C$69,TABLAS!$B$52:$B$58,0)+3,7)),1)),MAX(MAX(DATOS!$C$71,CEILING(CJ45/INDEX(TABLAS!$D$52:$D$58,MIN(MATCH(DATOS!$C$69,TABLAS!$B$52:$B$58,0)+3,7)),1)),2))&lt;=MIN(DATOS!$C$70,INT(((DATOS!$C$80-2*AK45)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45&gt;=0,IF(MAX(DATOS!$C$71,CEILING(CJ45/INDEX(TABLAS!$D$52:$D$58,MIN(MATCH(DATOS!$C$69,TABLAS!$B$52:$B$58,0)+4,7)),1))*INDEX(TABLAS!$D$52:$D$58,MIN(MATCH(DATOS!$C$69,TABLAS!$B$52:$B$58,0)+4,7))&gt;=4/3*IF(BI45&lt;=0,0,IF((1-2*BI45*1E5/(DATOS!$C$29*AF45*CI45^2*DATOS!$C$21))&lt;0,-1,IF((1-SQRT((1-2*BI45*1E5/(DATOS!$C$29*AF45*CI45^2*DATOS!$C$21))))*DATOS!$C$21*AF45*CI45/DATOS!$C$14&gt;DATOS!$C$99*AF45*CI45,-1,(1-SQRT((1-2*BI45*1E5/(DATOS!$C$29*AF45*CI45^2*DATOS!$C$21))))*DATOS!$C$21*AF45*CI45/DATOS!$C$14)))-0.0001,MAX(DATOS!$C$71,CEILING(CJ45/INDEX(TABLAS!$D$52:$D$58,MIN(MATCH(DATOS!$C$69,TABLAS!$B$52:$B$58,0)+4,7)),1)),MAX(MAX(DATOS!$C$71,CEILING(CJ45/INDEX(TABLAS!$D$52:$D$58,MIN(MATCH(DATOS!$C$69,TABLAS!$B$52:$B$58,0)+4,7)),1)),2))&lt;=MIN(DATOS!$C$70,INT(((DATOS!$C$80-2*AK45)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45" s="59" t="str">
        <f>IF(U45&lt;&gt;"SÍ","",IF(CJ45&lt;0,0,IF(MAX(DATOS!$C$71,CEILING(MAX(CJ45,0)/INDEX(TABLAS!$D$52:$D$58,MATCH(CK45,TABLAS!$B$52:$B$58,0)),1))*INDEX(TABLAS!$D$52:$D$58,MATCH(CK45,TABLAS!$B$52:$B$58,0))&gt;=4/3*IF(BI45&lt;=0,0,IF((1-2*BI45*1E5/(DATOS!$C$29*AF45*CI45^2*DATOS!$C$21))&lt;0,-1,IF((1-SQRT((1-2*BI45*1E5/(DATOS!$C$29*AF45*CI45^2*DATOS!$C$21))))*DATOS!$C$21*AF45*CI45/DATOS!$C$14&gt;DATOS!$C$99*AF45*CI45,-1,(1-SQRT((1-2*BI45*1E5/(DATOS!$C$29*AF45*CI45^2*DATOS!$C$21))))*DATOS!$C$21*AF45*CI45/DATOS!$C$14)))-0.0001,MAX(DATOS!$C$71,CEILING(MAX(CJ45,0)/INDEX(TABLAS!$D$52:$D$58,MATCH(CK45,TABLAS!$B$52:$B$58,0)),1)),MAX(MAX(DATOS!$C$71,CEILING(MAX(CJ45,0)/INDEX(TABLAS!$D$52:$D$58,MATCH(CK45,TABLAS!$B$52:$B$58,0)),1)),2))))</f>
        <v/>
      </c>
      <c r="CM45" s="58" t="str">
        <f>IF(U45&lt;&gt;"SÍ","",((DATOS!$C$82-AL45-2*DATOS!$C$94-INDEX(TABLAS!$C$52:$C$58,MATCH(BU45,TABLAS!$B$52:$B$58,0))-INDEX(TABLAS!$C$52:$C$58,MATCH(CK45,TABLAS!$B$52:$B$58,0))/2)-IF(AND((DATOS!$C$82-AL45-2*DATOS!$C$94-INDEX(TABLAS!$C$52:$C$58,MATCH(BU45,TABLAS!$B$52:$B$58,0))-INDEX(TABLAS!$C$52:$C$58,MATCH(CK45,TABLAS!$B$52:$B$58,0))/2)&lt;=20,DATOS!$C$62&lt;&gt;"SÍ"),2,0)))</f>
        <v/>
      </c>
      <c r="CN45" s="56" t="str">
        <f>IF(U45&lt;&gt;"SÍ","",IF(CL45=0,0,DATOS!$C$29*CL45*INDEX(TABLAS!$D$52:$D$58,MATCH(CK45,TABLAS!$B$52:$B$58,0))*DATOS!$C$14*(CM45-CL45*INDEX(TABLAS!$D$52:$D$58,MATCH(CK45,TABLAS!$B$52:$B$58,0))*DATOS!$C$14/(DATOS!$C$21*AF45)/2)/1E5))</f>
        <v/>
      </c>
      <c r="CO45" s="65" t="str">
        <f>IF(U45&lt;&gt;"SÍ","",IF(CJ45&lt;0,9.99,IF(CN45&gt;0,BI45/CN45,0)))</f>
        <v/>
      </c>
      <c r="CP45" s="66" t="str">
        <f>IF(U45&lt;&gt;"SÍ","",IF(CL45=0,"—",0.003*(CM45-(CL45*INDEX(TABLAS!$D$52:$D$58,MATCH(CK45,TABLAS!$B$52:$B$58,0))*DATOS!$C$14/(DATOS!$C$21*AF45)/DATOS!$C$22))/(CL45*INDEX(TABLAS!$D$52:$D$58,MATCH(CK45,TABLAS!$B$52:$B$58,0))*DATOS!$C$14/(DATOS!$C$21*AF45)/DATOS!$C$22)))</f>
        <v/>
      </c>
      <c r="CQ45" s="56" t="str">
        <f>IF(U45&lt;&gt;"SÍ","",IF(C45="PERIMETRAL",MAX(0,(AA45/2-BW45)/100)*(0.95-0.5*Z45)*AQ45*IF(AND(AR45&gt;0,AR45&lt;4),DATOS!$C$33,1)*DATOS!$C$83/100/1000,(AQ45*MAX(0,AA45-BW45)/100+DATOS!$C$26*N(O45))*DATOS!$C$83/100/1000+BE45))</f>
        <v/>
      </c>
      <c r="CR45" s="56" t="str">
        <f>IF(U45&lt;&gt;"SÍ","",DATOS!$C$30*2*MIN(1,SQRT(2/(1+0.04*BW45)))*(BV45*INDEX(TABLAS!$D$52:$D$58,MATCH(BU45,TABLAS!$B$52:$B$58,0))/(AE45*BW45))^(1/3)*SQRT(DATOS!$C$13)*AE45*BW45*IF(AI45="SÍ",DATOS!$C$32,1)/1000)</f>
        <v/>
      </c>
      <c r="CS45" s="59" t="str">
        <f>IF(U45&lt;&gt;"SÍ","",IF(CQ45&lt;=CR45,0,CEILING(MAX(0,IF(C45="VOLADO",(AA45-((CR45-BE45)*1E5/DATOS!$C$83-DATOS!$C$26*N(O45))*100/AQ45),IF(CR45&lt;=0,AA45,AA45/2-CR45/MAX(CQ45,1E-9)*(AA45/2-BW45)))-IF(INT((X45*100-DATOS!$C$84+DATOS!$C$80)/DATOS!$C$83)&gt;0,(X45*100-DATOS!$C$84-(INT((X45*100-DATOS!$C$84+DATOS!$C$80)/DATOS!$C$83)*DATOS!$C$78+(INT((X45*100-DATOS!$C$84+DATOS!$C$80)/DATOS!$C$83)-1)*DATOS!$C$80))/2,X45*100/2))/DATOS!$C$83,1)))</f>
        <v/>
      </c>
      <c r="CT45" s="67" t="str">
        <f>IF(U45&lt;&gt;"SÍ","",IF(CQ45&lt;=CR45,"CUMPLE",IF(CS45&lt;=0,"CUMPLE (basta el macizo de orilla)",IF(CS45*DATOS!$C$83*IF(C45="VOLADO",1,2)&gt;=X45*100-DATOS!$C$84,"NO CUMPLE: no alcanza ni macizando todo","MACIZAR "&amp;CS45&amp;" hilera(s)"))))</f>
        <v/>
      </c>
      <c r="CU45" s="58" t="str">
        <f>IF(U45&lt;&gt;"SÍ","",(DATOS!$C$83*DATOS!$C$81^2/2+AC45*DATOS!$C$79*(DATOS!$C$81+DATOS!$C$79/2))/(DATOS!$C$83*DATOS!$C$81+AC45*DATOS!$C$79))</f>
        <v/>
      </c>
      <c r="CV45" s="68" t="str">
        <f>IF(U45&lt;&gt;"SÍ","",DATOS!$C$83*DATOS!$C$81^3/12+DATOS!$C$83*DATOS!$C$81*(CU45-DATOS!$C$81/2)^2+AC45*DATOS!$C$79^3/12+AC45*DATOS!$C$79*(DATOS!$C$81+DATOS!$C$79/2-CU45)^2)</f>
        <v/>
      </c>
      <c r="CW45" s="58" t="str">
        <f>IF(U45&lt;&gt;"SÍ","",(12*CV45/DATOS!$C$83)^(1/3))</f>
        <v/>
      </c>
      <c r="CX45" s="58" t="str">
        <f>IF(U45&lt;&gt;"SÍ","",IF(C45="PERIMETRAL",IF(ISNUMBER(R45),R45,DATOS!$C$101),0))</f>
        <v/>
      </c>
      <c r="CY45" s="57" t="str">
        <f>IF(U45&lt;&gt;"SÍ","",IF(C45="PERIMETRAL",IF(CX45&gt;2,MAX(9,AB45*(0.8+DATOS!$C$14/14000)/(36+9*(AB45/MAX(AA45,1)))),IF(CX45&gt;0.2,MAX(13,AB45*(0.8+DATOS!$C$14/14000)/(36+5*(AB45/MAX(AA45,1))*(CX45-0.2))),MAX(13,AB45/IF(AR45&gt;0,30,33))))*IF(AND(CX45&gt;0.2,AR45&gt;0,DATOS!$C$102="NO"),1.1,1),X45*100/8))</f>
        <v/>
      </c>
      <c r="CZ45" s="61" t="str">
        <f>IF(U45&lt;&gt;"SÍ","",IF(IF(C45="VOLADO",DATOS!$C$82,CW45)&gt;=CY45,"CUMPLE",IF(C45="VOLADO","NO CUMPLE","CALCULAR FLECHA")))</f>
        <v/>
      </c>
      <c r="DA45" s="55" t="str">
        <f>IF(U45&lt;&gt;"SÍ","",IF(DATOS!$C$81&gt;=IF(IF(C45="VOLADO",X45,Y45)&gt;=6,6,5),"CUMPLE","CAPA ≥ 6 cm"))</f>
        <v/>
      </c>
      <c r="DB45" s="60" t="str">
        <f>IF(U45&lt;&gt;"SÍ","",IF(C45="VOLADO",MIN(CEILING(IF(ISNUMBER(P45),P45,X45)*100,5),CEILING(MAX(IF((0.5*(0.9*DATOS!$C$87*DATOS!$C$83/100/1000)*IF(ISNUMBER(P45),P45,X45)+BG45/IF(ISNUMBER(P45),P45,X45))^2-4*(0.5*(0.9*DATOS!$C$87*DATOS!$C$83/100/1000))*BG45&lt;0,IF(ISNUMBER(P45),P45,X45),MIN(IF(ISNUMBER(P45),P45,X45),((0.5*(0.9*DATOS!$C$87*DATOS!$C$83/100/1000)*IF(ISNUMBER(P45),P45,X45)+BG45/IF(ISNUMBER(P45),P45,X45))-SQRT((0.5*(0.9*DATOS!$C$87*DATOS!$C$83/100/1000)*IF(ISNUMBER(P45),P45,X45)+BG45/IF(ISNUMBER(P45),P45,X45))^2-4*(0.5*(0.9*DATOS!$C$87*DATOS!$C$83/100/1000))*BG45))/(2*(0.5*(0.9*DATOS!$C$87*DATOS!$C$83/100/1000)))))*100+MAX(BW45,12*INDEX(TABLAS!$C$52:$C$58,MATCH(BU45,TABLAS!$B$52:$B$58,0)),IF(ISNUMBER(P45),P45,X45)*100/16),IF(OR(AK45&lt;INDEX(TABLAS!$C$52:$C$58,MATCH(BU45,TABLAS!$B$52:$B$58,0)),AND(BV45&gt;=2,(AC45-2*AK45-BV45*INDEX(TABLAS!$C$52:$C$58,MATCH(BU45,TABLAS!$B$52:$B$58,0)))/MAX(BV45-1,1)&lt;2*INDEX(TABLAS!$C$52:$C$58,MATCH(BU45,TABLAS!$B$52:$B$58,0)))),INDEX(TABLAS!$I$52:$I$58,MATCH(BU45,TABLAS!$B$52:$B$58,0)),INDEX(TABLAS!$F$52:$F$58,MATCH(BU45,TABLAS!$B$52:$B$58,0)))),5)),IF(((4*((BB45*AQ45*X45^2*1E-4*DATOS!$C$83/100/1000)+((MAX(AX45,AZ45)*AQ45*X45^2*1E-4*DATOS!$C$83/100/1000)+(IF(AND(AX45&gt;0,AZ45&gt;0),MIN(AX45,AZ45),MAX(AX45,AZ45))*AQ45*X45^2*1E-4*DATOS!$C$83/100/1000))/2)+BG45-(IF(AND(AX45&gt;0,AZ45&gt;0),MIN(AX45,AZ45),MAX(AX45,AZ45))*AQ45*X45^2*1E-4*DATOS!$C$83/100/1000))^2-16*((BB45*AQ45*X45^2*1E-4*DATOS!$C$83/100/1000)+((MAX(AX45,AZ45)*AQ45*X45^2*1E-4*DATOS!$C$83/100/1000)+(IF(AND(AX45&gt;0,AZ45&gt;0),MIN(AX45,AZ45),MAX(AX45,AZ45))*AQ45*X45^2*1E-4*DATOS!$C$83/100/1000))/2)*BG45)&lt;0,CEILING(AA45,5),CEILING(MAX(AA45*((4*((BB45*AQ45*X45^2*1E-4*DATOS!$C$83/100/1000)+((MAX(AX45,AZ45)*AQ45*X45^2*1E-4*DATOS!$C$83/100/1000)+(IF(AND(AX45&gt;0,AZ45&gt;0),MIN(AX45,AZ45),MAX(AX45,AZ45))*AQ45*X45^2*1E-4*DATOS!$C$83/100/1000))/2)+BG45-(IF(AND(AX45&gt;0,AZ45&gt;0),MIN(AX45,AZ45),MAX(AX45,AZ45))*AQ45*X45^2*1E-4*DATOS!$C$83/100/1000))-SQRT(MAX(0,((4*((BB45*AQ45*X45^2*1E-4*DATOS!$C$83/100/1000)+((MAX(AX45,AZ45)*AQ45*X45^2*1E-4*DATOS!$C$83/100/1000)+(IF(AND(AX45&gt;0,AZ45&gt;0),MIN(AX45,AZ45),MAX(AX45,AZ45))*AQ45*X45^2*1E-4*DATOS!$C$83/100/1000))/2)+BG45-(IF(AND(AX45&gt;0,AZ45&gt;0),MIN(AX45,AZ45),MAX(AX45,AZ45))*AQ45*X45^2*1E-4*DATOS!$C$83/100/1000))^2-16*((BB45*AQ45*X45^2*1E-4*DATOS!$C$83/100/1000)+((MAX(AX45,AZ45)*AQ45*X45^2*1E-4*DATOS!$C$83/100/1000)+(IF(AND(AX45&gt;0,AZ45&gt;0),MIN(AX45,AZ45),MAX(AX45,AZ45))*AQ45*X45^2*1E-4*DATOS!$C$83/100/1000))/2)*BG45))))/(8*MAX(((BB45*AQ45*X45^2*1E-4*DATOS!$C$83/100/1000)+((MAX(AX45,AZ45)*AQ45*X45^2*1E-4*DATOS!$C$83/100/1000)+(IF(AND(AX45&gt;0,AZ45&gt;0),MIN(AX45,AZ45),MAX(AX45,AZ45))*AQ45*X45^2*1E-4*DATOS!$C$83/100/1000))/2),1E-9))+MAX(BW45,12*INDEX(TABLAS!$C$52:$C$58,MATCH(BU45,TABLAS!$B$52:$B$58,0)),AA45/16),IF(OR(AK45&lt;INDEX(TABLAS!$C$52:$C$58,MATCH(BU45,TABLAS!$B$52:$B$58,0)),AND(BV45&gt;=2,(AC45-2*AK45-BV45*INDEX(TABLAS!$C$52:$C$58,MATCH(BU45,TABLAS!$B$52:$B$58,0)))/MAX(BV45-1,1)&lt;2*INDEX(TABLAS!$C$52:$C$58,MATCH(BU45,TABLAS!$B$52:$B$58,0)))),INDEX(TABLAS!$I$52:$I$58,MATCH(BU45,TABLAS!$B$52:$B$58,0)),INDEX(TABLAS!$F$52:$F$58,MATCH(BU45,TABLAS!$B$52:$B$58,0)))),5))))</f>
        <v/>
      </c>
      <c r="DC45" s="60" t="str">
        <f>IF(U45&lt;&gt;"SÍ","",IF(C45="VOLADO",0,IF(((4*((BC45*AQ45*X45^2*1E-4*DATOS!$C$83/100/1000)+((MAX(AY45,BA45)*AQ45*X45^2*1E-4*DATOS!$C$83/100/1000)+(IF(AND(AY45&gt;0,BA45&gt;0),MIN(AY45,BA45),MAX(AY45,BA45))*AQ45*X45^2*1E-4*DATOS!$C$83/100/1000))/2)+BI45-(IF(AND(AY45&gt;0,BA45&gt;0),MIN(AY45,BA45),MAX(AY45,BA45))*AQ45*X45^2*1E-4*DATOS!$C$83/100/1000))^2-16*((BC45*AQ45*X45^2*1E-4*DATOS!$C$83/100/1000)+((MAX(AY45,BA45)*AQ45*X45^2*1E-4*DATOS!$C$83/100/1000)+(IF(AND(AY45&gt;0,BA45&gt;0),MIN(AY45,BA45),MAX(AY45,BA45))*AQ45*X45^2*1E-4*DATOS!$C$83/100/1000))/2)*BI45)&lt;0,CEILING(AB45,5),CEILING(MAX(AB45*((4*((BC45*AQ45*X45^2*1E-4*DATOS!$C$83/100/1000)+((MAX(AY45,BA45)*AQ45*X45^2*1E-4*DATOS!$C$83/100/1000)+(IF(AND(AY45&gt;0,BA45&gt;0),MIN(AY45,BA45),MAX(AY45,BA45))*AQ45*X45^2*1E-4*DATOS!$C$83/100/1000))/2)+BI45-(IF(AND(AY45&gt;0,BA45&gt;0),MIN(AY45,BA45),MAX(AY45,BA45))*AQ45*X45^2*1E-4*DATOS!$C$83/100/1000))-SQRT(MAX(0,((4*((BC45*AQ45*X45^2*1E-4*DATOS!$C$83/100/1000)+((MAX(AY45,BA45)*AQ45*X45^2*1E-4*DATOS!$C$83/100/1000)+(IF(AND(AY45&gt;0,BA45&gt;0),MIN(AY45,BA45),MAX(AY45,BA45))*AQ45*X45^2*1E-4*DATOS!$C$83/100/1000))/2)+BI45-(IF(AND(AY45&gt;0,BA45&gt;0),MIN(AY45,BA45),MAX(AY45,BA45))*AQ45*X45^2*1E-4*DATOS!$C$83/100/1000))^2-16*((BC45*AQ45*X45^2*1E-4*DATOS!$C$83/100/1000)+((MAX(AY45,BA45)*AQ45*X45^2*1E-4*DATOS!$C$83/100/1000)+(IF(AND(AY45&gt;0,BA45&gt;0),MIN(AY45,BA45),MAX(AY45,BA45))*AQ45*X45^2*1E-4*DATOS!$C$83/100/1000))/2)*BI45))))/(8*MAX(((BC45*AQ45*X45^2*1E-4*DATOS!$C$83/100/1000)+((MAX(AY45,BA45)*AQ45*X45^2*1E-4*DATOS!$C$83/100/1000)+(IF(AND(AY45&gt;0,BA45&gt;0),MIN(AY45,BA45),MAX(AY45,BA45))*AQ45*X45^2*1E-4*DATOS!$C$83/100/1000))/2),1E-9))+MAX(CM45,12*INDEX(TABLAS!$C$52:$C$58,MATCH(CK45,TABLAS!$B$52:$B$58,0)),AB45/16),IF(OR(AK45&lt;INDEX(TABLAS!$C$52:$C$58,MATCH(CK45,TABLAS!$B$52:$B$58,0)),AND(CL45&gt;=2,(DATOS!$C$80-2*AK45-CL45*INDEX(TABLAS!$C$52:$C$58,MATCH(CK45,TABLAS!$B$52:$B$58,0)))/MAX(CL45-1,1)&lt;2*INDEX(TABLAS!$C$52:$C$58,MATCH(CK45,TABLAS!$B$52:$B$58,0)))),INDEX(TABLAS!$I$52:$I$58,MATCH(CK45,TABLAS!$B$52:$B$58,0)),INDEX(TABLAS!$F$52:$F$58,MATCH(CK45,TABLAS!$B$52:$B$58,0)))),5))))</f>
        <v/>
      </c>
      <c r="DD45" s="55" t="str">
        <f>IF(U45&lt;&gt;"SÍ","",IF(AND(C45="PERIMETRAL",BV45&gt;=2,AR45-AS45&gt;0,AZ45*AQ45*X45^2*1E-4*DATOS!$C$83/100/1000&gt;DATOS!$C$29*INDEX(TABLAS!$D$52:$D$58,MATCH(BU45,TABLAS!$B$52:$B$58,0))*DATOS!$C$14*(BW45-INDEX(TABLAS!$D$52:$D$58,MATCH(BU45,TABLAS!$B$52:$B$58,0))*DATOS!$C$14/(DATOS!$C$21*AE45)/2)/1E5),"SÍ","NO"))</f>
        <v/>
      </c>
      <c r="DE45" s="55" t="str">
        <f>IF(U45&lt;&gt;"SÍ","",IF(AND(C45="PERIMETRAL",CL45&gt;=2,AS45&gt;0,BA45*AQ45*X45^2*1E-4*DATOS!$C$83/100/1000&gt;DATOS!$C$29*INDEX(TABLAS!$D$52:$D$58,MATCH(CK45,TABLAS!$B$52:$B$58,0))*DATOS!$C$14*(CM45-INDEX(TABLAS!$D$52:$D$58,MATCH(CK45,TABLAS!$B$52:$B$58,0))*DATOS!$C$14/(DATOS!$C$21*AF45)/2)/1E5),"SÍ","NO"))</f>
        <v/>
      </c>
      <c r="DF45" s="63" t="str">
        <f>IF(U45&lt;&gt;"SÍ","",IF(OR(C45="VOLADO",AR45=0),"—",IF(AND(AND(1.25*INDEX(TABLAS!$G$52:$G$58,MATCH(MAX(BM45,CC45),TABLAS!$B$52:$B$58,0))&lt;=(DATOS!$C$72-DATOS!$C$60),(DATOS!$C$72-DATOS!$C$60)&gt;=15,INDEX(TABLAS!$G$52:$G$58,MATCH(MAX(BU45,CK45),TABLAS!$B$52:$B$58,0))&lt;=(DATOS!$C$72-DATOS!$C$60)),8*INDEX(TABLAS!$C$52:$C$58,MATCH(MAX(MAX(BM45,CC45),MAX(BU45,CK45)),TABLAS!$B$52:$B$58,0))&lt;=DATOS!$C$73-2*DATOS!$C$60),"CUMPLE (gancho de 180°)",IF(AND(1.25*INDEX(TABLAS!$G$52:$G$58,MATCH(MAX(BM45,CC45),TABLAS!$B$52:$B$58,0))&lt;=(DATOS!$C$72-DATOS!$C$60),(DATOS!$C$72-DATOS!$C$60)&gt;=15,INDEX(TABLAS!$G$52:$G$58,MATCH(MAX(BU45,CK45),TABLAS!$B$52:$B$58,0))&lt;=(DATOS!$C$72-DATOS!$C$60)),"NO CUMPLE: el gancho de 180° (8·d_b) no cabe en el peralte de la dala de borde","NO CUMPLE: dala de borde ≥ "&amp;TEXT(CEILING(MAX(1.25*INDEX(TABLAS!$G$52:$G$58,MATCH(MAX(BM45,CC45),TABLAS!$B$52:$B$58,0)),15,INDEX(TABLAS!$G$52:$G$58,MATCH(MAX(BU45,CK45),TABLAS!$B$52:$B$58,0)))+DATOS!$C$60,5),"0")&amp;" cm de ancho"&amp;IF(8*INDEX(TABLAS!$C$52:$C$58,MATCH(MAX(MAX(BM45,CC45),MAX(BU45,CK45)),TABLAS!$B$52:$B$58,0))&lt;=DATOS!$C$73-2*DATOS!$C$60,""," y más peralte para el gancho")))))</f>
        <v/>
      </c>
      <c r="DG45" s="59" t="str">
        <f>IF(U45&lt;&gt;"SÍ","",MAX(0,INT((E45*100-DATOS!$C$84+DATOS!$C$83-IF(W45="X",DATOS!$C$78,AD45))/DATOS!$C$83)))</f>
        <v/>
      </c>
      <c r="DH45" s="59" t="str">
        <f>IF(U45&lt;&gt;"SÍ","",MAX(0,INT((F45*100-DATOS!$C$84+DATOS!$C$83-IF(W45="Y",DATOS!$C$78,AD45))/DATOS!$C$83)))</f>
        <v/>
      </c>
      <c r="DI45" s="57" t="str">
        <f>IF(U45&lt;&gt;"SÍ","",IF(DG45&gt;0,(E45*100-DATOS!$C$84-(DG45*IF(W45="X",DATOS!$C$78,AD45)+(DG45-1)*(DATOS!$C$83-IF(W45="X",DATOS!$C$78,AD45))))/2,E45*100/2))</f>
        <v/>
      </c>
      <c r="DJ45" s="57" t="str">
        <f>IF(U45&lt;&gt;"SÍ","",IF(DH45&gt;0,(F45*100-DATOS!$C$84-(DH45*IF(W45="Y",DATOS!$C$78,AD45)+(DH45-1)*(DATOS!$C$83-IF(W45="Y",DATOS!$C$78,AD45))))/2,F45*100/2))</f>
        <v/>
      </c>
      <c r="DK45" s="59" t="str">
        <f>IF(U45&lt;&gt;"SÍ","",IF(NOT(AND(C45="VOLADO",AC45&gt;DATOS!$C$80)),0,IF(INDEX(TABLAS!$C$52:$C$58,MATCH(BU45,TABLAS!$B$52:$B$58,0))&lt;=DATOS!$C$80-2*DATOS!$C$60,1,0)))</f>
        <v/>
      </c>
      <c r="DL45" s="58" t="str">
        <f>IF(U45&lt;&gt;"SÍ","",IF(NOT(AND(C45="VOLADO",AC45&gt;DATOS!$C$80)),0,((DATOS!$C$82-MAX(DATOS!$C$60,(DATOS!$C$81-2*DATOS!$C$94)/2)-2*DATOS!$C$94-INDEX(TABLAS!$C$52:$C$58,MATCH(BU45,TABLAS!$B$52:$B$58,0))/2)-IF(AND((DATOS!$C$82-MAX(DATOS!$C$60,(DATOS!$C$81-2*DATOS!$C$94)/2)-2*DATOS!$C$94-INDEX(TABLAS!$C$52:$C$58,MATCH(BU45,TABLAS!$B$52:$B$58,0))/2)&lt;=20,DATOS!$C$62&lt;&gt;"SÍ"),2,0))))</f>
        <v/>
      </c>
      <c r="DM45" s="56" t="str">
        <f>IF(U45&lt;&gt;"SÍ","",IF(OR(NOT(AND(C45="VOLADO",AC45&gt;DATOS!$C$80)),DK45&lt;1),0,IF(0.003*(DL45-((DK45*INDEX(TABLAS!$D$52:$D$58,MATCH(BU45,TABLAS!$B$52:$B$58,0)))*DATOS!$C$14/(DATOS!$C$21*AF45)/DATOS!$C$22))/((DK45*INDEX(TABLAS!$D$52:$D$58,MATCH(BU45,TABLAS!$B$52:$B$58,0)))*DATOS!$C$14/(DATOS!$C$21*AF45)/DATOS!$C$22)&lt;0.005,0,DATOS!$C$29*(DK45*INDEX(TABLAS!$D$52:$D$58,MATCH(BU45,TABLAS!$B$52:$B$58,0)))*DATOS!$C$14*(DL45-(DK45*INDEX(TABLAS!$D$52:$D$58,MATCH(BU45,TABLAS!$B$52:$B$58,0)))*DATOS!$C$14/(DATOS!$C$21*AF45)/2)/1E5)))</f>
        <v/>
      </c>
      <c r="DN45" s="56" t="str">
        <f>IF(U45&lt;&gt;"SÍ","",IF(OR(NOT(AND(C45="VOLADO",AC45&gt;DATOS!$C$80)),DK45&lt;1),0,DATOS!$C$30*2*MIN(1,SQRT(2/(1+0.04*DL45)))*((DK45*INDEX(TABLAS!$D$52:$D$58,MATCH(BU45,TABLAS!$B$52:$B$58,0)))/(AF45*DL45))^(1/3)*SQRT(DATOS!$C$13)*AF45*DL45/1000))</f>
        <v/>
      </c>
      <c r="DO45" s="56" t="str">
        <f>IF(U45&lt;&gt;"SÍ","",IF(NOT(AND(C45="VOLADO",AC45&gt;DATOS!$C$80)),0,IF((BG45-DM45)&lt;=0,0,IF(DM45&lt;=0,IF(ISNUMBER(P45),P45,X45),IF(((0.9*DATOS!$C$87*DATOS!$C$83/100/1000)*IF(ISNUMBER(P45),P45,X45)/2+BG45/IF(ISNUMBER(P45),P45,X45))^2-4*((0.9*DATOS!$C$87*DATOS!$C$83/100/1000)/2)*(BG45-DM45)&lt;0,IF(ISNUMBER(P45),P45,X45),MIN(IF(ISNUMBER(P45),P45,X45),(((0.9*DATOS!$C$87*DATOS!$C$83/100/1000)*IF(ISNUMBER(P45),P45,X45)/2+BG45/IF(ISNUMBER(P45),P45,X45))-SQRT(((0.9*DATOS!$C$87*DATOS!$C$83/100/1000)*IF(ISNUMBER(P45),P45,X45)/2+BG45/IF(ISNUMBER(P45),P45,X45))^2-4*((0.9*DATOS!$C$87*DATOS!$C$83/100/1000)/2)*(BG45-DM45)))/(2*((0.9*DATOS!$C$87*DATOS!$C$83/100/1000)/2))))))))</f>
        <v/>
      </c>
      <c r="DP45" s="56" t="str">
        <f>IF(U45&lt;&gt;"SÍ","",IF(NOT(AND(C45="VOLADO",AC45&gt;DATOS!$C$80)),0,MIN(IF(ISNUMBER(P45),P45,X45),MAX(0,IF(ISNUMBER(P45),P45,X45)/2+BG45/IF(ISNUMBER(P45),P45,X45)/(AQ45*DATOS!$C$83/100/1000)-DN45/(AQ45*DATOS!$C$83/100/1000)))))</f>
        <v/>
      </c>
      <c r="DQ45" s="56" t="str">
        <f>IF(U45&lt;&gt;"SÍ","",IF(NOT(AND(C45="VOLADO",AC45&gt;DATOS!$C$80)),0,BG45/IF(ISNUMBER(P45),P45,X45)+(AQ45*DATOS!$C$83/100/1000)*MAX(0,IF(ISNUMBER(P45),P45,X45)/2-BW45/100)))</f>
        <v/>
      </c>
      <c r="DR45" s="59" t="str">
        <f>IF(U45&lt;&gt;"SÍ","",IF(NOT(AND(C45="VOLADO",AC45&gt;DATOS!$C$80)),0,CEILING(100*MIN(IF(ISNUMBER(P45),P45,X45),MAX(IF(DO45&gt;0,DO45+IF(BV45&gt;=2,MAX(DL45,12*INDEX(TABLAS!$C$52:$C$58,MATCH(BU45,TABLAS!$B$52:$B$58,0)))/100,0),0),DP45,IF(BV45&gt;=2,INDEX(TABLAS!$F$52:$F$58,MATCH(BU45,TABLAS!$B$52:$B$58,0))/100,0))),5)))</f>
        <v/>
      </c>
      <c r="DS45" s="60" t="str">
        <f>IF(U45&lt;&gt;"SÍ","",IF(NOT(AND(C45="VOLADO",AC45&gt;DATOS!$C$80)),0,IF(DR45&lt;=0,0,CEILING(DR45/DATOS!$C$83,1))))</f>
        <v/>
      </c>
      <c r="DT45" s="61" t="str">
        <f>IF(U45&lt;&gt;"SÍ","",IF(C45&lt;&gt;"VOLADO","—",IF(AC45&lt;=DATOS!$C$80,"— (mismo b_w que el respaldo)",IF(DQ45&gt;CR45,"NO CUMPLE: cortante de la nervadura ancha junto al apoyo ("&amp;TEXT(DQ45,"0.00")&amp;" &gt; "&amp;TEXT(CR45,"0.00")&amp;" t)",IF(DR45&gt;=100*IF(ISNUMBER(P45),P45,X45),"CUMPLE — todas las nervaduras del respaldo ‖ al volado con b_w = "&amp;AC45&amp;" cm","CUMPLE — "&amp;DS45&amp;" hilera(s) del respaldo con nervaduras de b_w = "&amp;AC45&amp;" cm (casetón "&amp;AD45&amp;" cm), hasta "&amp;TEXT(DR45/100,"0.00")&amp;" m del paño")))))</f>
        <v/>
      </c>
      <c r="DU45" s="69" t="str">
        <f>IF(U45&lt;&gt;"SÍ","",IF(BN45=0,"NO ALCANZA",BN45&amp;" No. "&amp;BM45&amp;IF(BN45&gt;1," corridas"," corrida")))</f>
        <v/>
      </c>
      <c r="DV45" s="69" t="str">
        <f>IF(U45&lt;&gt;"SÍ","",IF(BV45=0,"NO ALCANZA",IF(AND(C45="VOLADO",AC45&gt;DATOS!$C$80,BV45&gt;=2),"1 No. "&amp;BU45&amp;" corrida de la orilla al respaldo ("&amp;IF(DB45&gt;=100*IF(ISNUMBER(P45),P45,X45),"hasta su apoyo lejano, con gancho","entra "&amp;TEXT(DB45/100,"0.00")&amp;" m desde el paño")&amp;") + "&amp;(BV45-1)&amp;" bastón No. "&amp;BU45&amp;" hasta "&amp;TEXT(DR45/100,"0.00")&amp;" m del paño (fin de la nervadura ancha)",IF(C45="VOLADO",BV45&amp;" No. "&amp;BU45&amp;" de la orilla al respaldo ("&amp;IF(DB45&gt;=100*IF(ISNUMBER(P45),P45,X45),"hasta su apoyo lejano, con gancho","entran "&amp;TEXT(DB45/100,"0.00")&amp;" m desde el paño")&amp;")","1 No. "&amp;BU45&amp;" corrida"&amp;IF(BV45&gt;1," + "&amp;(BV45-1)&amp;" bastón No. "&amp;BU45&amp;" L = "&amp;TEXT(DB45/100,"0.00")&amp;" m desde el paño","")))))</f>
        <v/>
      </c>
      <c r="DW45" s="69" t="str">
        <f>IF(U45&lt;&gt;"SÍ","",IF(CD45=0,"NO ALCANZA",CD45&amp;" No. "&amp;CC45&amp;IF(CD45&gt;1," corridas"," corrida")))</f>
        <v/>
      </c>
      <c r="DX45" s="69" t="str">
        <f>IF(U45&lt;&gt;"SÍ","",IF(CL45=0,"NO ALCANZA",IF(C45="VOLADO","1 No. "&amp;CK45&amp;" corrida (repartición)","1 No. "&amp;CK45&amp;" corrida"&amp;IF(CL45&gt;1," + "&amp;(CL45-1)&amp;" bastón No. "&amp;CK45&amp;" L = "&amp;TEXT(DC45/100,"0.00")&amp;" m desde el paño",""))))</f>
        <v/>
      </c>
      <c r="DY45" s="67" t="str">
        <f>IF(B45="","",IF(U45&lt;&gt;"SÍ","FALTAN DATOS: tipo, a_x, a_y y destino",IF(L45="NO MONOLÍTICO (caso II)","FUERA DE ALCANCE: caso II no transcrito",IF(AND(C45="VOLADO",V45="?"),"REVISAR: el volado lleva UN solo borde CONTINUO (el empotrado)",IF(AND(MAX(BQ45,BY45,CG45,CO45)&lt;=1,NOT(OR(BN45&gt;MIN(DATOS!$C$70,INT(((AC45-2*AJ45)+MAX(DATOS!$C$67,INDEX(TABLAS!$C$52:$C$58,MATCH(BM45,TABLAS!$B$52:$B$58,0))))/(INDEX(TABLAS!$C$52:$C$58,MATCH(BM45,TABLAS!$B$52:$B$58,0))+MAX(DATOS!$C$67,INDEX(TABLAS!$C$52:$C$58,MATCH(BM45,TABLAS!$B$52:$B$58,0)))))),BV45&gt;MIN(DATOS!$C$70,INT(((AC45-2*AK45)+MAX(DATOS!$C$67,INDEX(TABLAS!$C$52:$C$58,MATCH(BU45,TABLAS!$B$52:$B$58,0))))/(INDEX(TABLAS!$C$52:$C$58,MATCH(BU45,TABLAS!$B$52:$B$58,0))+MAX(DATOS!$C$67,INDEX(TABLAS!$C$52:$C$58,MATCH(BU45,TABLAS!$B$52:$B$58,0)))))),CD45&gt;MIN(DATOS!$C$70,INT(((DATOS!$C$80-2*AJ45)+MAX(DATOS!$C$67,INDEX(TABLAS!$C$52:$C$58,MATCH(CC45,TABLAS!$B$52:$B$58,0))))/(INDEX(TABLAS!$C$52:$C$58,MATCH(CC45,TABLAS!$B$52:$B$58,0))+MAX(DATOS!$C$67,INDEX(TABLAS!$C$52:$C$58,MATCH(CC45,TABLAS!$B$52:$B$58,0)))))),CL45&gt;MIN(DATOS!$C$70,INT(((DATOS!$C$80-2*AK45)+MAX(DATOS!$C$67,INDEX(TABLAS!$C$52:$C$58,MATCH(CK45,TABLAS!$B$52:$B$58,0))))/(INDEX(TABLAS!$C$52:$C$58,MATCH(CK45,TABLAS!$B$52:$B$58,0))+MAX(DATOS!$C$67,INDEX(TABLAS!$C$52:$C$58,MATCH(CK45,TABLAS!$B$52:$B$58,0)))))))),NOT(OR(AND(ISNUMBER(BR45),BR45&lt;0.005),AND(ISNUMBER(BZ45),BZ45&lt;0.005),AND(ISNUMBER(CH45),CH45&lt;0.005),AND(ISNUMBER(CP45),CP45&lt;0.005))),NOT(LEFT(DT45,2)="NO"),CZ45="CUMPLE",DA45="CUMPLE",LEFT(CT45,2)&lt;&gt;"NO"),IF(LEFT(CT45,6)="CUMPLE","CUMPLE","CUMPLE — "&amp;CT45)&amp;IF(LEFT(BJ45,5)="FUERA"," · fuera de 3.4.2.1 c)","")&amp;IF(LEFT(DF45,2)="NO"," · REVISAR anclaje en borde discontinuo","")&amp;IF(DS45&gt;0," · respaldo: "&amp;DS45&amp;" hilera(s) de b_w "&amp;AC45&amp;" cm",""),IF(AND(MAX(BQ45,BY45,CG45,CO45)&lt;=1,NOT(OR(BN45&gt;MIN(DATOS!$C$70,INT(((AC45-2*AJ45)+MAX(DATOS!$C$67,INDEX(TABLAS!$C$52:$C$58,MATCH(BM45,TABLAS!$B$52:$B$58,0))))/(INDEX(TABLAS!$C$52:$C$58,MATCH(BM45,TABLAS!$B$52:$B$58,0))+MAX(DATOS!$C$67,INDEX(TABLAS!$C$52:$C$58,MATCH(BM45,TABLAS!$B$52:$B$58,0)))))),BV45&gt;MIN(DATOS!$C$70,INT(((AC45-2*AK45)+MAX(DATOS!$C$67,INDEX(TABLAS!$C$52:$C$58,MATCH(BU45,TABLAS!$B$52:$B$58,0))))/(INDEX(TABLAS!$C$52:$C$58,MATCH(BU45,TABLAS!$B$52:$B$58,0))+MAX(DATOS!$C$67,INDEX(TABLAS!$C$52:$C$58,MATCH(BU45,TABLAS!$B$52:$B$58,0)))))),CD45&gt;MIN(DATOS!$C$70,INT(((DATOS!$C$80-2*AJ45)+MAX(DATOS!$C$67,INDEX(TABLAS!$C$52:$C$58,MATCH(CC45,TABLAS!$B$52:$B$58,0))))/(INDEX(TABLAS!$C$52:$C$58,MATCH(CC45,TABLAS!$B$52:$B$58,0))+MAX(DATOS!$C$67,INDEX(TABLAS!$C$52:$C$58,MATCH(CC45,TABLAS!$B$52:$B$58,0)))))),CL45&gt;MIN(DATOS!$C$70,INT(((DATOS!$C$80-2*AK45)+MAX(DATOS!$C$67,INDEX(TABLAS!$C$52:$C$58,MATCH(CK45,TABLAS!$B$52:$B$58,0))))/(INDEX(TABLAS!$C$52:$C$58,MATCH(CK45,TABLAS!$B$52:$B$58,0))+MAX(DATOS!$C$67,INDEX(TABLAS!$C$52:$C$58,MATCH(CK45,TABLAS!$B$52:$B$58,0)))))))),NOT(OR(AND(ISNUMBER(BR45),BR45&lt;0.005),AND(ISNUMBER(BZ45),BZ45&lt;0.005),AND(ISNUMBER(CH45),CH45&lt;0.005),AND(ISNUMBER(CP45),CP45&lt;0.005))),NOT(LEFT(DT45,2)="NO"),CZ45="CALCULAR FLECHA",LEFT(CT45,2)&lt;&gt;"NO"),"REVISAR: calcular flecha (h_eq &lt; h mín.)"&amp;IF(LEFT(BJ45,5)="FUERA"," · fuera de 3.4.2.1 c)","")&amp;IF(LEFT(DF45,2)="NO"," · REVISAR anclaje en borde discontinuo","")&amp;IF(DS45&gt;0," · respaldo: "&amp;DS45&amp;" hilera(s) de b_w "&amp;AC45&amp;" cm",""),"NO CUMPLE: "&amp;IF(MAX(BQ45,BY45,CG45,CO45)&gt;1,"flexión ","")&amp;IF(OR(BN45&gt;MIN(DATOS!$C$70,INT(((AC45-2*AJ45)+MAX(DATOS!$C$67,INDEX(TABLAS!$C$52:$C$58,MATCH(BM45,TABLAS!$B$52:$B$58,0))))/(INDEX(TABLAS!$C$52:$C$58,MATCH(BM45,TABLAS!$B$52:$B$58,0))+MAX(DATOS!$C$67,INDEX(TABLAS!$C$52:$C$58,MATCH(BM45,TABLAS!$B$52:$B$58,0)))))),BV45&gt;MIN(DATOS!$C$70,INT(((AC45-2*AK45)+MAX(DATOS!$C$67,INDEX(TABLAS!$C$52:$C$58,MATCH(BU45,TABLAS!$B$52:$B$58,0))))/(INDEX(TABLAS!$C$52:$C$58,MATCH(BU45,TABLAS!$B$52:$B$58,0))+MAX(DATOS!$C$67,INDEX(TABLAS!$C$52:$C$58,MATCH(BU45,TABLAS!$B$52:$B$58,0)))))),CD45&gt;MIN(DATOS!$C$70,INT(((DATOS!$C$80-2*AJ45)+MAX(DATOS!$C$67,INDEX(TABLAS!$C$52:$C$58,MATCH(CC45,TABLAS!$B$52:$B$58,0))))/(INDEX(TABLAS!$C$52:$C$58,MATCH(CC45,TABLAS!$B$52:$B$58,0))+MAX(DATOS!$C$67,INDEX(TABLAS!$C$52:$C$58,MATCH(CC45,TABLAS!$B$52:$B$58,0)))))),CL45&gt;MIN(DATOS!$C$70,INT(((DATOS!$C$80-2*AK45)+MAX(DATOS!$C$67,INDEX(TABLAS!$C$52:$C$58,MATCH(CK45,TABLAS!$B$52:$B$58,0))))/(INDEX(TABLAS!$C$52:$C$58,MATCH(CK45,TABLAS!$B$52:$B$58,0))+MAX(DATOS!$C$67,INDEX(TABLAS!$C$52:$C$58,MATCH(CK45,TABLAS!$B$52:$B$58,0))))))),"no caben ","")&amp;IF(OR(AND(ISNUMBER(BR45),BR45&lt;0.005),AND(ISNUMBER(BZ45),BZ45&lt;0.005),AND(ISNUMBER(CH45),CH45&lt;0.005),AND(ISNUMBER(CP45),CP45&lt;0.005)),"ε_t &lt; 0.005 ","")&amp;IF(LEFT(CT45,2)="NO","cortante ","")&amp;IF(CZ45="NO CUMPLE","peralte ","")&amp;IF(DA45&lt;&gt;"CUMPLE","capa &lt; 6 cm ","")&amp;IF(LEFT(DT45,2)="NO","respaldo del volado","")))))))</f>
        <v/>
      </c>
      <c r="DZ45" s="70" t="str">
        <f>IF(U45&lt;&gt;"SÍ","",IF(LEFT(B45,7)="EJEMPLO","EJEMPLO de la hoja de Casa Rocha: bórralo o sobrescríbelo. ","")&amp;IF(AND(C45="PERIMETRAL",MIN(DG45,DH45)=0),"No cabe un casetón en el claro corto: es un tablero macizo, diséñalo en MACIZAS. ","")&amp;IF(AND(AI45="NO",C45="PERIMETRAL"),"No cumple 6.7.8.1.4 (a_c = "&amp;MAX(DATOS!$C$78,AD45)&amp;" cm &gt; claro corto/6 = "&amp;TEXT(X45*100/6,"0")&amp;" cm): se diseña como losa apoyada en vigas (6.7.8.1.9): r de viga = "&amp;DATOS!$C$60&amp;" cm y V_cR sin ×1.1. Para que cuente como encasetonada: casetón de "&amp;TEXT(FLOOR(MIN(80,X45*100/6),1),"0")&amp;" cm o menor. ","")&amp;IF(C45="VOLADO","Volado de "&amp;TEXT(X45,"0.00")&amp;" m empotrado en el borde "&amp;LOWER(V45)&amp;IF(N(O45)&gt;0,", con "&amp;TEXT(O45,"0.0")&amp;" kg/m en la orilla","")&amp;". Lecho inferior con r_ext. Si la orilla carga pretil u otro elemento frágil, calcula la flecha (13.4). El acero superior entra al respaldo de "&amp;TEXT(IF(ISNUMBER(P45),P45,X45),"0.00")&amp;" m"&amp;IF(ISNUMBER(P45),""," (L_b no capturado: se tomó igual al volado)")&amp;" hasta pasar M = 0 con 0.9·PP sin carga viva; si ahí no se anula, llega al apoyo lejano y se ancla con gancho (NTC-Criterios 3.4.1 c y 5.1.2.2). "&amp;IF(AC45&gt;DATOS!$C$80,"Respaldo: "&amp;DT45&amp;". ",""),"")&amp;IF(LEFT(BJ45,5)="FUERA","El M⁻ del vecino difiere más de 50 % (3.4.2.1 c): distribuye el desequilibrio (3.4.3.1) o confirma con un modelo; se arma con el mayor. ","")&amp;IF(OR(DD45="SÍ",DE45="SÍ"),"El M⁻ del borde discontinuo pide bastón también ahí (con gancho). ","")&amp;IF(LEFT(DF45,2)="NO","Anclaje: "&amp;DF45&amp;" (6.7.8.1.7). ","")&amp;IF(OR(AZ45&gt;0,BA45&gt;0),"Esquinas exteriores sobre muro: refuerzo de esquina arriba y abajo en L_largo/5 (6.7.7.3.1). ",""))</f>
        <v/>
      </c>
    </row>
    <row r="46" ht="33" customHeight="1">
      <c r="A46" s="50">
        <f>IF(B46="",0,1)+A45</f>
        <v>4</v>
      </c>
      <c r="B46" s="29" t="n"/>
      <c r="C46" s="51" t="n"/>
      <c r="D46" s="29" t="n"/>
      <c r="E46" s="52" t="n"/>
      <c r="F46" s="52" t="n"/>
      <c r="G46" s="51" t="n"/>
      <c r="H46" s="51" t="n"/>
      <c r="I46" s="51" t="n"/>
      <c r="J46" s="51" t="n"/>
      <c r="K46" s="51" t="n"/>
      <c r="L46" s="51" t="n"/>
      <c r="M46" s="53" t="n"/>
      <c r="N46" s="53" t="n"/>
      <c r="O46" s="54" t="n"/>
      <c r="P46" s="52" t="n"/>
      <c r="Q46" s="53" t="n"/>
      <c r="R46" s="54" t="n"/>
      <c r="S46" s="52" t="n"/>
      <c r="T46" s="52" t="n"/>
      <c r="U46" s="55" t="str">
        <f>IF(B46="","",IF(AND(OR(C46="PERIMETRAL",C46="VOLADO"),ISNUMBER(E46),ISNUMBER(F46),E46&gt;0,F46&gt;0,OR(ISNUMBER(N46),ISNUMBER(MATCH(D46,DATOS!$B$46:$B$55,0)))),"SÍ","NO"))</f>
        <v/>
      </c>
      <c r="V46" s="55" t="str">
        <f>IF(U46&lt;&gt;"SÍ","",IF(C46&lt;&gt;"VOLADO","—",IF(COUNTIF(G46:J46,"CONTINUO")&lt;&gt;1,"?",IF(G46="CONTINUO","INFERIOR",IF(H46="CONTINUO","SUPERIOR",IF(I46="CONTINUO","IZQUIERDO","DERECHO"))))))</f>
        <v/>
      </c>
      <c r="W46" s="55" t="str">
        <f>IF(U46&lt;&gt;"SÍ","",IF(C46="VOLADO",IF(OR(V46="IZQUIERDO",V46="DERECHO"),"X","Y"),IF(E46&lt;=F46,"X","Y")))</f>
        <v/>
      </c>
      <c r="X46" s="56" t="str">
        <f>IF(U46&lt;&gt;"SÍ","",IF(C46="VOLADO",IF(W46="X",E46,F46),MIN(E46,F46)))</f>
        <v/>
      </c>
      <c r="Y46" s="56" t="str">
        <f>IF(U46&lt;&gt;"SÍ","",IF(C46="VOLADO",IF(W46="X",F46,E46),MAX(E46,F46)))</f>
        <v/>
      </c>
      <c r="Z46" s="56" t="str">
        <f>IF(U46&lt;&gt;"SÍ","",MIN(X46,Y46)/MAX(X46,Y46))</f>
        <v/>
      </c>
      <c r="AA46" s="57" t="str">
        <f>IF(U46&lt;&gt;"SÍ","",MAX(1,X46*100-IF(C46="VOLADO",DATOS!$C$84/2,DATOS!$C$84)))</f>
        <v/>
      </c>
      <c r="AB46" s="57" t="str">
        <f>IF(U46&lt;&gt;"SÍ","",MAX(1,Y46*100-DATOS!$C$84))</f>
        <v/>
      </c>
      <c r="AC46" s="57" t="str">
        <f>IF(U46&lt;&gt;"SÍ","",IF(ISNUMBER(Q46),Q46,DATOS!$C$80))</f>
        <v/>
      </c>
      <c r="AD46" s="57" t="str">
        <f>IF(U46&lt;&gt;"SÍ","",MAX(0,DATOS!$C$83-AC46))</f>
        <v/>
      </c>
      <c r="AE46" s="57" t="str">
        <f>IF(U46&lt;&gt;"SÍ","",IF(OR(DATOS!$C$62="SÍ",AC46&gt;=20),AC46,AC46-2))</f>
        <v/>
      </c>
      <c r="AF46" s="57" t="str">
        <f>IF(U46&lt;&gt;"SÍ","",IF(OR(DATOS!$C$62="SÍ",DATOS!$C$80&gt;=20),DATOS!$C$80,DATOS!$C$80-2))</f>
        <v/>
      </c>
      <c r="AG46" s="57" t="str">
        <f>IF(U46&lt;&gt;"SÍ","",MIN(DATOS!$C$83,AC46+2*MIN(8*DATOS!$C$81,AD46/2,AA46/8)))</f>
        <v/>
      </c>
      <c r="AH46" s="57" t="str">
        <f>IF(U46&lt;&gt;"SÍ","",MIN(DATOS!$C$83,DATOS!$C$80+2*MIN(8*DATOS!$C$81,DATOS!$C$78/2,AB46/8)))</f>
        <v/>
      </c>
      <c r="AI46" s="55" t="str">
        <f>IF(U46&lt;&gt;"SÍ","",IF(AND(C46="PERIMETRAL",X46*100&gt;=6*MAX(DATOS!$C$78,AD46),MAX(DATOS!$C$78,AD46)&lt;=80,MIN(DATOS!$C$80,AC46)&gt;=10,DATOS!$C$82&lt;=3.5*MIN(DATOS!$C$80,AC46),DATOS!$C$81&gt;=MAX(MAX(DATOS!$C$78,AD46)/13,5)),"SÍ","NO"))</f>
        <v/>
      </c>
      <c r="AJ46" s="57" t="str">
        <f>IF(U46&lt;&gt;"SÍ","",IF(C46="VOLADO",DATOS!$C$61,IF(AI46="NO",DATOS!$C$60,DATOS!$C$59)))</f>
        <v/>
      </c>
      <c r="AK46" s="57" t="str">
        <f>IF(U46&lt;&gt;"SÍ","",IF(OR(AND(AM46="SÍ",DATOS!$C$63="SÍ"),AND(C46="VOLADO",DATOS!$C$64="SÍ")),DATOS!$C$61,IF(AI46="NO",DATOS!$C$60,DATOS!$C$59)))</f>
        <v/>
      </c>
      <c r="AL46" s="58" t="str">
        <f>IF(U46&lt;&gt;"SÍ","",MAX(AK46,(DATOS!$C$81-2*DATOS!$C$94)/2))</f>
        <v/>
      </c>
      <c r="AM46" s="55" t="str">
        <f>IF(U46&lt;&gt;"SÍ","",IFERROR(INDEX(DATOS!$D$46:$D$55,MATCH(D46,DATOS!$B$46:$B$55,0)),"NO"))</f>
        <v/>
      </c>
      <c r="AN46" s="59" t="str">
        <f>IF(U46&lt;&gt;"SÍ","",IF(ISNUMBER(N46),N46,IFERROR(INDEX(DATOS!$C$46:$C$55,MATCH(D46,DATOS!$B$46:$B$55,0)),0)))</f>
        <v/>
      </c>
      <c r="AO46" s="59" t="str">
        <f>IF(U46&lt;&gt;"SÍ","",(DATOS!$C$82/100-(AD46*DATOS!$C$78/DATOS!$C$83^2)*DATOS!$C$79/100)*DATOS!$C$16*1000+(AD46*DATOS!$C$78/DATOS!$C$83^2)*DATOS!$C$79/100*DATOS!$C$17*1000+DATOS!$C$37+DATOS!$C$38)</f>
        <v/>
      </c>
      <c r="AP46" s="59" t="str">
        <f>IF(U46&lt;&gt;"SÍ","",AO46+N(M46))</f>
        <v/>
      </c>
      <c r="AQ46" s="60" t="str">
        <f>IF(U46&lt;&gt;"SÍ","",MAX(DATOS!$C$26*AP46+DATOS!$C$27*AN46,IF(AM46="SÍ",DATOS!$C$28*(AP46+DATOS!$C$41),0)))</f>
        <v/>
      </c>
      <c r="AR46" s="59" t="str">
        <f>IF(U46&lt;&gt;"SÍ","",(G46="DISCONTINUO")+(H46="DISCONTINUO")+(I46="DISCONTINUO")+(J46="DISCONTINUO"))</f>
        <v/>
      </c>
      <c r="AS46" s="59" t="str">
        <f>IF(U46&lt;&gt;"SÍ","",IF(W46="X",(G46="DISCONTINUO")+(H46="DISCONTINUO"),(I46="DISCONTINUO")+(J46="DISCONTINUO")))</f>
        <v/>
      </c>
      <c r="AT46" s="55" t="str">
        <f>IF(U46&lt;&gt;"SÍ","",IF(AR46=0,"INTERIOR",IF(AR46=1,IF(AS46=1,"BORDE-CORTO","BORDE-LARGO"),IF(AR46=2,IF(AS46=1,"ESQUINA",IF(AS46=2,"EXTREMO-LARGO","EXTREMO-CORTO")),IF(AR46=3,IF(AS46=2,"EXTREMO-LARGO","EXTREMO-CORTO"),"AISLADO")))))</f>
        <v/>
      </c>
      <c r="AU46" s="61" t="str">
        <f>IF(U46&lt;&gt;"SÍ","",IF(OR(K46="",K46="AUTO"),AT46,K46))</f>
        <v/>
      </c>
      <c r="AV46" s="59" t="str">
        <f>IF(U46&lt;&gt;"SÍ","",MATCH(Z46,TABLAS!$D$5:$J$5,1))</f>
        <v/>
      </c>
      <c r="AW46" s="58" t="str">
        <f>IF(U46&lt;&gt;"SÍ","",IF(AV46&gt;=7,0,(Z46-INDEX(TABLAS!$D$5:$J$5,AV46))/(INDEX(TABLAS!$D$5:$J$5,AV46+1)-INDEX(TABLAS!$D$5:$J$5,AV46))))</f>
        <v/>
      </c>
      <c r="AX46" s="59" t="str">
        <f>IF(U46&lt;&gt;"SÍ","",INDEX(TABLAS!$D$6:$J$47,MATCH(AU46&amp;"|NIC",TABLAS!$B$6:$B$47,0),AV46)+AW46*(INDEX(TABLAS!$D$6:$J$47,MATCH(AU46&amp;"|NIC",TABLAS!$B$6:$B$47,0),MIN(AV46+1,7))-INDEX(TABLAS!$D$6:$J$47,MATCH(AU46&amp;"|NIC",TABLAS!$B$6:$B$47,0),AV46)))</f>
        <v/>
      </c>
      <c r="AY46" s="59" t="str">
        <f>IF(U46&lt;&gt;"SÍ","",INDEX(TABLAS!$D$6:$J$47,MATCH(AU46&amp;"|NIL",TABLAS!$B$6:$B$47,0),AV46)+AW46*(INDEX(TABLAS!$D$6:$J$47,MATCH(AU46&amp;"|NIL",TABLAS!$B$6:$B$47,0),MIN(AV46+1,7))-INDEX(TABLAS!$D$6:$J$47,MATCH(AU46&amp;"|NIL",TABLAS!$B$6:$B$47,0),AV46)))</f>
        <v/>
      </c>
      <c r="AZ46" s="59" t="str">
        <f>IF(U46&lt;&gt;"SÍ","",INDEX(TABLAS!$D$6:$J$47,MATCH(AU46&amp;"|NDC",TABLAS!$B$6:$B$47,0),AV46)+AW46*(INDEX(TABLAS!$D$6:$J$47,MATCH(AU46&amp;"|NDC",TABLAS!$B$6:$B$47,0),MIN(AV46+1,7))-INDEX(TABLAS!$D$6:$J$47,MATCH(AU46&amp;"|NDC",TABLAS!$B$6:$B$47,0),AV46)))</f>
        <v/>
      </c>
      <c r="BA46" s="59" t="str">
        <f>IF(U46&lt;&gt;"SÍ","",INDEX(TABLAS!$D$6:$J$47,MATCH(AU46&amp;"|NDL",TABLAS!$B$6:$B$47,0),AV46)+AW46*(INDEX(TABLAS!$D$6:$J$47,MATCH(AU46&amp;"|NDL",TABLAS!$B$6:$B$47,0),MIN(AV46+1,7))-INDEX(TABLAS!$D$6:$J$47,MATCH(AU46&amp;"|NDL",TABLAS!$B$6:$B$47,0),AV46)))</f>
        <v/>
      </c>
      <c r="BB46" s="59" t="str">
        <f>IF(U46&lt;&gt;"SÍ","",INDEX(TABLAS!$D$6:$J$47,MATCH(AU46&amp;"|PC",TABLAS!$B$6:$B$47,0),AV46)+AW46*(INDEX(TABLAS!$D$6:$J$47,MATCH(AU46&amp;"|PC",TABLAS!$B$6:$B$47,0),MIN(AV46+1,7))-INDEX(TABLAS!$D$6:$J$47,MATCH(AU46&amp;"|PC",TABLAS!$B$6:$B$47,0),AV46)))</f>
        <v/>
      </c>
      <c r="BC46" s="59" t="str">
        <f>IF(U46&lt;&gt;"SÍ","",INDEX(TABLAS!$D$6:$J$47,MATCH(AU46&amp;"|PL",TABLAS!$B$6:$B$47,0),AV46)+AW46*(INDEX(TABLAS!$D$6:$J$47,MATCH(AU46&amp;"|PL",TABLAS!$B$6:$B$47,0),MIN(AV46+1,7))-INDEX(TABLAS!$D$6:$J$47,MATCH(AU46&amp;"|PL",TABLAS!$B$6:$B$47,0),AV46)))</f>
        <v/>
      </c>
      <c r="BD46" s="56" t="str">
        <f>IF(U46&lt;&gt;"SÍ","",IF(C46&lt;&gt;"VOLADO",0,DATOS!$C$26*DATOS!$C$16*DATOS!$C$83/100*(((AD46*DATOS!$C$78/DATOS!$C$83^2)*DATOS!$C$79/100)*(IF(W46="X",DI46,DJ46)+DATOS!$C$84/2)/100*(AA46-(IF(W46="X",DI46,DJ46)+DATOS!$C$84/2)/2)/100+((AD46*DATOS!$C$78/DATOS!$C$83^2)*DATOS!$C$79/100)*IF(W46="X",DI46,DJ46)/100*IF(W46="X",DI46,DJ46)/200)))</f>
        <v/>
      </c>
      <c r="BE46" s="56" t="str">
        <f>IF(U46&lt;&gt;"SÍ","",IF(C46&lt;&gt;"VOLADO",0,DATOS!$C$26*DATOS!$C$16*DATOS!$C$83/100*((AD46*DATOS!$C$78/DATOS!$C$83^2)*DATOS!$C$79/100)*(IF(W46="X",DI46,DJ46)+DATOS!$C$84/2)/100))</f>
        <v/>
      </c>
      <c r="BF46" s="56" t="str">
        <f>IF(U46&lt;&gt;"SÍ","",IF(C46="PERIMETRAL",BB46*AQ46*X46^2*1E-4*DATOS!$C$83/100/1000,0))</f>
        <v/>
      </c>
      <c r="BG46" s="62" t="str">
        <f>IF(U46&lt;&gt;"SÍ","",IF(C46="PERIMETRAL",MAX(MAX(AX46,AZ46)*AQ46*X46^2*1E-4*DATOS!$C$83/100/1000,N(S46)),(AQ46*(AA46/100)^2/2+DATOS!$C$26*N(O46)*AA46/100)*DATOS!$C$83/100/1000+BD46))</f>
        <v/>
      </c>
      <c r="BH46" s="56" t="str">
        <f>IF(U46&lt;&gt;"SÍ","",IF(C46="PERIMETRAL",BC46*AQ46*X46^2*1E-4*DATOS!$C$83/100/1000,0))</f>
        <v/>
      </c>
      <c r="BI46" s="56" t="str">
        <f>IF(U46&lt;&gt;"SÍ","",IF(C46="PERIMETRAL",MAX(MAX(AY46,BA46)*AQ46*X46^2*1E-4*DATOS!$C$83/100/1000,N(T46)),0))</f>
        <v/>
      </c>
      <c r="BJ46" s="63" t="str">
        <f>IF(U46&lt;&gt;"SÍ","",IF(C46&lt;&gt;"PERIMETRAL","—",IF(AND(N(S46)=0,N(T46)=0),"— (sin M⁻ del vecino)",IF(OR(AND(N(S46)&gt;0,ABS(MAX(AX46,AZ46)*AQ46*X46^2*1E-4*DATOS!$C$83/100/1000-N(S46))&gt;0.5*MIN(MAX(AX46,AZ46)*AQ46*X46^2*1E-4*DATOS!$C$83/100/1000,N(S46))),AND(N(T46)&gt;0,ABS(MAX(AY46,BA46)*AQ46*X46^2*1E-4*DATOS!$C$83/100/1000-N(T46))&gt;0.5*MIN(MAX(AY46,BA46)*AQ46*X46^2*1E-4*DATOS!$C$83/100/1000,N(T46)))),"FUERA: difieren &gt; 50 %"&amp;IF(AND(N(S46)&gt;0,ABS(MAX(AX46,AZ46)*AQ46*X46^2*1E-4*DATOS!$C$83/100/1000-N(S46))&gt;0.5*MIN(MAX(AX46,AZ46)*AQ46*X46^2*1E-4*DATOS!$C$83/100/1000,N(S46)))," ‖ corto","")&amp;IF(AND(N(T46)&gt;0,ABS(MAX(AY46,BA46)*AQ46*X46^2*1E-4*DATOS!$C$83/100/1000-N(T46))&gt;0.5*MIN(MAX(AY46,BA46)*AQ46*X46^2*1E-4*DATOS!$C$83/100/1000,N(T46)))," ‖ largo",""),"CUMPLE"))))</f>
        <v/>
      </c>
      <c r="BK46" s="58" t="str">
        <f>IF(U46&lt;&gt;"SÍ","",(DATOS!$C$82-AJ46-INDEX(TABLAS!$C$52:$C$58,MATCH(DATOS!$C$68,TABLAS!$B$52:$B$58,0))/2))</f>
        <v/>
      </c>
      <c r="BL46" s="58" t="str">
        <f>IF(U46&lt;&gt;"SÍ","",IF(IF(BF46&lt;=0,0,IF((1-2*BF46*1E5/(DATOS!$C$29*AG46*BK46^2*DATOS!$C$21))&lt;0,-1,IF((1-SQRT((1-2*BF46*1E5/(DATOS!$C$29*AG46*BK46^2*DATOS!$C$21))))*DATOS!$C$21*AG46*BK46/DATOS!$C$14&gt;DATOS!$C$99*AG46*BK46,-1,(1-SQRT((1-2*BF46*1E5/(DATOS!$C$29*AG46*BK46^2*DATOS!$C$21))))*DATOS!$C$21*AG46*BK46/DATOS!$C$14)))&lt;0,-1,MAX(IF(BF46&lt;=0,0,IF((1-2*BF46*1E5/(DATOS!$C$29*AG46*BK46^2*DATOS!$C$21))&lt;0,-1,IF((1-SQRT((1-2*BF46*1E5/(DATOS!$C$29*AG46*BK46^2*DATOS!$C$21))))*DATOS!$C$21*AG46*BK46/DATOS!$C$14&gt;DATOS!$C$99*AG46*BK46,-1,(1-SQRT((1-2*BF46*1E5/(DATOS!$C$29*AG46*BK46^2*DATOS!$C$21))))*DATOS!$C$21*AG46*BK46/DATOS!$C$14))),MIN(DATOS!$C$100*AC46*BK46,4/3*IF(BF46&lt;=0,0,IF((1-2*BF46*1E5/(DATOS!$C$29*AG46*BK46^2*DATOS!$C$21))&lt;0,-1,IF((1-SQRT((1-2*BF46*1E5/(DATOS!$C$29*AG46*BK46^2*DATOS!$C$21))))*DATOS!$C$21*AG46*BK46/DATOS!$C$14&gt;DATOS!$C$99*AG46*BK46,-1,(1-SQRT((1-2*BF46*1E5/(DATOS!$C$29*AG46*BK46^2*DATOS!$C$21))))*DATOS!$C$21*AG46*BK46/DATOS!$C$14)))))))</f>
        <v/>
      </c>
      <c r="BM46" s="64" t="str">
        <f>IF(U46&lt;&gt;"SÍ","",IF(AND(BL46&gt;=0,IF(MAX(DATOS!$C$71,CEILING(BL46/INDEX(TABLAS!$D$52:$D$58,MIN(MATCH(DATOS!$C$68,TABLAS!$B$52:$B$58,0)+0,7)),1))*INDEX(TABLAS!$D$52:$D$58,MIN(MATCH(DATOS!$C$68,TABLAS!$B$52:$B$58,0)+0,7))&gt;=4/3*IF(BF46&lt;=0,0,IF((1-2*BF46*1E5/(DATOS!$C$29*AG46*BK46^2*DATOS!$C$21))&lt;0,-1,IF((1-SQRT((1-2*BF46*1E5/(DATOS!$C$29*AG46*BK46^2*DATOS!$C$21))))*DATOS!$C$21*AG46*BK46/DATOS!$C$14&gt;DATOS!$C$99*AG46*BK46,-1,(1-SQRT((1-2*BF46*1E5/(DATOS!$C$29*AG46*BK46^2*DATOS!$C$21))))*DATOS!$C$21*AG46*BK46/DATOS!$C$14)))-0.0001,MAX(DATOS!$C$71,CEILING(BL46/INDEX(TABLAS!$D$52:$D$58,MIN(MATCH(DATOS!$C$68,TABLAS!$B$52:$B$58,0)+0,7)),1)),MAX(MAX(DATOS!$C$71,CEILING(BL46/INDEX(TABLAS!$D$52:$D$58,MIN(MATCH(DATOS!$C$68,TABLAS!$B$52:$B$58,0)+0,7)),1)),2))&lt;=MIN(DATOS!$C$70,INT(((AC46-2*AJ46)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46&gt;=0,IF(MAX(DATOS!$C$71,CEILING(BL46/INDEX(TABLAS!$D$52:$D$58,MIN(MATCH(DATOS!$C$68,TABLAS!$B$52:$B$58,0)+1,7)),1))*INDEX(TABLAS!$D$52:$D$58,MIN(MATCH(DATOS!$C$68,TABLAS!$B$52:$B$58,0)+1,7))&gt;=4/3*IF(BF46&lt;=0,0,IF((1-2*BF46*1E5/(DATOS!$C$29*AG46*BK46^2*DATOS!$C$21))&lt;0,-1,IF((1-SQRT((1-2*BF46*1E5/(DATOS!$C$29*AG46*BK46^2*DATOS!$C$21))))*DATOS!$C$21*AG46*BK46/DATOS!$C$14&gt;DATOS!$C$99*AG46*BK46,-1,(1-SQRT((1-2*BF46*1E5/(DATOS!$C$29*AG46*BK46^2*DATOS!$C$21))))*DATOS!$C$21*AG46*BK46/DATOS!$C$14)))-0.0001,MAX(DATOS!$C$71,CEILING(BL46/INDEX(TABLAS!$D$52:$D$58,MIN(MATCH(DATOS!$C$68,TABLAS!$B$52:$B$58,0)+1,7)),1)),MAX(MAX(DATOS!$C$71,CEILING(BL46/INDEX(TABLAS!$D$52:$D$58,MIN(MATCH(DATOS!$C$68,TABLAS!$B$52:$B$58,0)+1,7)),1)),2))&lt;=MIN(DATOS!$C$70,INT(((AC46-2*AJ46)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46&gt;=0,IF(MAX(DATOS!$C$71,CEILING(BL46/INDEX(TABLAS!$D$52:$D$58,MIN(MATCH(DATOS!$C$68,TABLAS!$B$52:$B$58,0)+2,7)),1))*INDEX(TABLAS!$D$52:$D$58,MIN(MATCH(DATOS!$C$68,TABLAS!$B$52:$B$58,0)+2,7))&gt;=4/3*IF(BF46&lt;=0,0,IF((1-2*BF46*1E5/(DATOS!$C$29*AG46*BK46^2*DATOS!$C$21))&lt;0,-1,IF((1-SQRT((1-2*BF46*1E5/(DATOS!$C$29*AG46*BK46^2*DATOS!$C$21))))*DATOS!$C$21*AG46*BK46/DATOS!$C$14&gt;DATOS!$C$99*AG46*BK46,-1,(1-SQRT((1-2*BF46*1E5/(DATOS!$C$29*AG46*BK46^2*DATOS!$C$21))))*DATOS!$C$21*AG46*BK46/DATOS!$C$14)))-0.0001,MAX(DATOS!$C$71,CEILING(BL46/INDEX(TABLAS!$D$52:$D$58,MIN(MATCH(DATOS!$C$68,TABLAS!$B$52:$B$58,0)+2,7)),1)),MAX(MAX(DATOS!$C$71,CEILING(BL46/INDEX(TABLAS!$D$52:$D$58,MIN(MATCH(DATOS!$C$68,TABLAS!$B$52:$B$58,0)+2,7)),1)),2))&lt;=MIN(DATOS!$C$70,INT(((AC46-2*AJ46)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46&gt;=0,IF(MAX(DATOS!$C$71,CEILING(BL46/INDEX(TABLAS!$D$52:$D$58,MIN(MATCH(DATOS!$C$68,TABLAS!$B$52:$B$58,0)+3,7)),1))*INDEX(TABLAS!$D$52:$D$58,MIN(MATCH(DATOS!$C$68,TABLAS!$B$52:$B$58,0)+3,7))&gt;=4/3*IF(BF46&lt;=0,0,IF((1-2*BF46*1E5/(DATOS!$C$29*AG46*BK46^2*DATOS!$C$21))&lt;0,-1,IF((1-SQRT((1-2*BF46*1E5/(DATOS!$C$29*AG46*BK46^2*DATOS!$C$21))))*DATOS!$C$21*AG46*BK46/DATOS!$C$14&gt;DATOS!$C$99*AG46*BK46,-1,(1-SQRT((1-2*BF46*1E5/(DATOS!$C$29*AG46*BK46^2*DATOS!$C$21))))*DATOS!$C$21*AG46*BK46/DATOS!$C$14)))-0.0001,MAX(DATOS!$C$71,CEILING(BL46/INDEX(TABLAS!$D$52:$D$58,MIN(MATCH(DATOS!$C$68,TABLAS!$B$52:$B$58,0)+3,7)),1)),MAX(MAX(DATOS!$C$71,CEILING(BL46/INDEX(TABLAS!$D$52:$D$58,MIN(MATCH(DATOS!$C$68,TABLAS!$B$52:$B$58,0)+3,7)),1)),2))&lt;=MIN(DATOS!$C$70,INT(((AC46-2*AJ46)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46&gt;=0,IF(MAX(DATOS!$C$71,CEILING(BL46/INDEX(TABLAS!$D$52:$D$58,MIN(MATCH(DATOS!$C$68,TABLAS!$B$52:$B$58,0)+4,7)),1))*INDEX(TABLAS!$D$52:$D$58,MIN(MATCH(DATOS!$C$68,TABLAS!$B$52:$B$58,0)+4,7))&gt;=4/3*IF(BF46&lt;=0,0,IF((1-2*BF46*1E5/(DATOS!$C$29*AG46*BK46^2*DATOS!$C$21))&lt;0,-1,IF((1-SQRT((1-2*BF46*1E5/(DATOS!$C$29*AG46*BK46^2*DATOS!$C$21))))*DATOS!$C$21*AG46*BK46/DATOS!$C$14&gt;DATOS!$C$99*AG46*BK46,-1,(1-SQRT((1-2*BF46*1E5/(DATOS!$C$29*AG46*BK46^2*DATOS!$C$21))))*DATOS!$C$21*AG46*BK46/DATOS!$C$14)))-0.0001,MAX(DATOS!$C$71,CEILING(BL46/INDEX(TABLAS!$D$52:$D$58,MIN(MATCH(DATOS!$C$68,TABLAS!$B$52:$B$58,0)+4,7)),1)),MAX(MAX(DATOS!$C$71,CEILING(BL46/INDEX(TABLAS!$D$52:$D$58,MIN(MATCH(DATOS!$C$68,TABLAS!$B$52:$B$58,0)+4,7)),1)),2))&lt;=MIN(DATOS!$C$70,INT(((AC46-2*AJ46)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46" s="59" t="str">
        <f>IF(U46&lt;&gt;"SÍ","",IF(BL46&lt;0,0,IF(MAX(DATOS!$C$71,CEILING(MAX(BL46,0)/INDEX(TABLAS!$D$52:$D$58,MATCH(BM46,TABLAS!$B$52:$B$58,0)),1))*INDEX(TABLAS!$D$52:$D$58,MATCH(BM46,TABLAS!$B$52:$B$58,0))&gt;=4/3*IF(BF46&lt;=0,0,IF((1-2*BF46*1E5/(DATOS!$C$29*AG46*BK46^2*DATOS!$C$21))&lt;0,-1,IF((1-SQRT((1-2*BF46*1E5/(DATOS!$C$29*AG46*BK46^2*DATOS!$C$21))))*DATOS!$C$21*AG46*BK46/DATOS!$C$14&gt;DATOS!$C$99*AG46*BK46,-1,(1-SQRT((1-2*BF46*1E5/(DATOS!$C$29*AG46*BK46^2*DATOS!$C$21))))*DATOS!$C$21*AG46*BK46/DATOS!$C$14)))-0.0001,MAX(DATOS!$C$71,CEILING(MAX(BL46,0)/INDEX(TABLAS!$D$52:$D$58,MATCH(BM46,TABLAS!$B$52:$B$58,0)),1)),MAX(MAX(DATOS!$C$71,CEILING(MAX(BL46,0)/INDEX(TABLAS!$D$52:$D$58,MATCH(BM46,TABLAS!$B$52:$B$58,0)),1)),2))))</f>
        <v/>
      </c>
      <c r="BO46" s="58" t="str">
        <f>IF(U46&lt;&gt;"SÍ","",DATOS!$C$82-AJ46-INDEX(TABLAS!$C$52:$C$58,MATCH(BM46,TABLAS!$B$52:$B$58,0))/2)</f>
        <v/>
      </c>
      <c r="BP46" s="56" t="str">
        <f>IF(U46&lt;&gt;"SÍ","",IF(BN46=0,0,DATOS!$C$29*BN46*INDEX(TABLAS!$D$52:$D$58,MATCH(BM46,TABLAS!$B$52:$B$58,0))*DATOS!$C$14*(BO46-BN46*INDEX(TABLAS!$D$52:$D$58,MATCH(BM46,TABLAS!$B$52:$B$58,0))*DATOS!$C$14/(DATOS!$C$21*AG46)/2)/1E5))</f>
        <v/>
      </c>
      <c r="BQ46" s="65" t="str">
        <f>IF(U46&lt;&gt;"SÍ","",IF(BL46&lt;0,9.99,IF(BP46&gt;0,BF46/BP46,0)))</f>
        <v/>
      </c>
      <c r="BR46" s="66" t="str">
        <f>IF(U46&lt;&gt;"SÍ","",IF(BN46=0,"—",0.003*(BO46-(BN46*INDEX(TABLAS!$D$52:$D$58,MATCH(BM46,TABLAS!$B$52:$B$58,0))*DATOS!$C$14/(DATOS!$C$21*AG46)/DATOS!$C$22))/(BN46*INDEX(TABLAS!$D$52:$D$58,MATCH(BM46,TABLAS!$B$52:$B$58,0))*DATOS!$C$14/(DATOS!$C$21*AG46)/DATOS!$C$22)))</f>
        <v/>
      </c>
      <c r="BS46" s="58" t="str">
        <f>IF(U46&lt;&gt;"SÍ","",((DATOS!$C$82-AL46-2*DATOS!$C$94-INDEX(TABLAS!$C$52:$C$58,MATCH(DATOS!$C$69,TABLAS!$B$52:$B$58,0))/2)-IF(AND((DATOS!$C$82-AL46-2*DATOS!$C$94-INDEX(TABLAS!$C$52:$C$58,MATCH(DATOS!$C$69,TABLAS!$B$52:$B$58,0))/2)&lt;=20,DATOS!$C$62&lt;&gt;"SÍ"),2,0)))</f>
        <v/>
      </c>
      <c r="BT46" s="58" t="str">
        <f>IF(U46&lt;&gt;"SÍ","",IF(IF(BG46&lt;=0,0,IF((1-2*BG46*1E5/(DATOS!$C$29*AE46*BS46^2*DATOS!$C$21))&lt;0,-1,IF((1-SQRT((1-2*BG46*1E5/(DATOS!$C$29*AE46*BS46^2*DATOS!$C$21))))*DATOS!$C$21*AE46*BS46/DATOS!$C$14&gt;DATOS!$C$99*AE46*BS46,-1,(1-SQRT((1-2*BG46*1E5/(DATOS!$C$29*AE46*BS46^2*DATOS!$C$21))))*DATOS!$C$21*AE46*BS46/DATOS!$C$14)))&lt;0,-1,MAX(IF(BG46&lt;=0,0,IF((1-2*BG46*1E5/(DATOS!$C$29*AE46*BS46^2*DATOS!$C$21))&lt;0,-1,IF((1-SQRT((1-2*BG46*1E5/(DATOS!$C$29*AE46*BS46^2*DATOS!$C$21))))*DATOS!$C$21*AE46*BS46/DATOS!$C$14&gt;DATOS!$C$99*AE46*BS46,-1,(1-SQRT((1-2*BG46*1E5/(DATOS!$C$29*AE46*BS46^2*DATOS!$C$21))))*DATOS!$C$21*AE46*BS46/DATOS!$C$14))),MIN(DATOS!$C$100*IF(C46="VOLADO",MIN(AG46,2*AC46),AC46)*BS46,4/3*IF(BG46&lt;=0,0,IF((1-2*BG46*1E5/(DATOS!$C$29*AE46*BS46^2*DATOS!$C$21))&lt;0,-1,IF((1-SQRT((1-2*BG46*1E5/(DATOS!$C$29*AE46*BS46^2*DATOS!$C$21))))*DATOS!$C$21*AE46*BS46/DATOS!$C$14&gt;DATOS!$C$99*AE46*BS46,-1,(1-SQRT((1-2*BG46*1E5/(DATOS!$C$29*AE46*BS46^2*DATOS!$C$21))))*DATOS!$C$21*AE46*BS46/DATOS!$C$14)))))))</f>
        <v/>
      </c>
      <c r="BU46" s="64" t="str">
        <f>IF(U46&lt;&gt;"SÍ","",IF(AND(BT46&gt;=0,IF(MAX(DATOS!$C$71,CEILING(BT46/INDEX(TABLAS!$D$52:$D$58,MIN(MATCH(DATOS!$C$69,TABLAS!$B$52:$B$58,0)+0,7)),1))*INDEX(TABLAS!$D$52:$D$58,MIN(MATCH(DATOS!$C$69,TABLAS!$B$52:$B$58,0)+0,7))&gt;=4/3*IF(BG46&lt;=0,0,IF((1-2*BG46*1E5/(DATOS!$C$29*AE46*BS46^2*DATOS!$C$21))&lt;0,-1,IF((1-SQRT((1-2*BG46*1E5/(DATOS!$C$29*AE46*BS46^2*DATOS!$C$21))))*DATOS!$C$21*AE46*BS46/DATOS!$C$14&gt;DATOS!$C$99*AE46*BS46,-1,(1-SQRT((1-2*BG46*1E5/(DATOS!$C$29*AE46*BS46^2*DATOS!$C$21))))*DATOS!$C$21*AE46*BS46/DATOS!$C$14)))-0.0001,MAX(DATOS!$C$71,CEILING(BT46/INDEX(TABLAS!$D$52:$D$58,MIN(MATCH(DATOS!$C$69,TABLAS!$B$52:$B$58,0)+0,7)),1)),MAX(MAX(DATOS!$C$71,CEILING(BT46/INDEX(TABLAS!$D$52:$D$58,MIN(MATCH(DATOS!$C$69,TABLAS!$B$52:$B$58,0)+0,7)),1)),2))&lt;=MIN(DATOS!$C$70,INT(((AC46-2*AK46)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46&gt;=0,IF(MAX(DATOS!$C$71,CEILING(BT46/INDEX(TABLAS!$D$52:$D$58,MIN(MATCH(DATOS!$C$69,TABLAS!$B$52:$B$58,0)+1,7)),1))*INDEX(TABLAS!$D$52:$D$58,MIN(MATCH(DATOS!$C$69,TABLAS!$B$52:$B$58,0)+1,7))&gt;=4/3*IF(BG46&lt;=0,0,IF((1-2*BG46*1E5/(DATOS!$C$29*AE46*BS46^2*DATOS!$C$21))&lt;0,-1,IF((1-SQRT((1-2*BG46*1E5/(DATOS!$C$29*AE46*BS46^2*DATOS!$C$21))))*DATOS!$C$21*AE46*BS46/DATOS!$C$14&gt;DATOS!$C$99*AE46*BS46,-1,(1-SQRT((1-2*BG46*1E5/(DATOS!$C$29*AE46*BS46^2*DATOS!$C$21))))*DATOS!$C$21*AE46*BS46/DATOS!$C$14)))-0.0001,MAX(DATOS!$C$71,CEILING(BT46/INDEX(TABLAS!$D$52:$D$58,MIN(MATCH(DATOS!$C$69,TABLAS!$B$52:$B$58,0)+1,7)),1)),MAX(MAX(DATOS!$C$71,CEILING(BT46/INDEX(TABLAS!$D$52:$D$58,MIN(MATCH(DATOS!$C$69,TABLAS!$B$52:$B$58,0)+1,7)),1)),2))&lt;=MIN(DATOS!$C$70,INT(((AC46-2*AK46)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46&gt;=0,IF(MAX(DATOS!$C$71,CEILING(BT46/INDEX(TABLAS!$D$52:$D$58,MIN(MATCH(DATOS!$C$69,TABLAS!$B$52:$B$58,0)+2,7)),1))*INDEX(TABLAS!$D$52:$D$58,MIN(MATCH(DATOS!$C$69,TABLAS!$B$52:$B$58,0)+2,7))&gt;=4/3*IF(BG46&lt;=0,0,IF((1-2*BG46*1E5/(DATOS!$C$29*AE46*BS46^2*DATOS!$C$21))&lt;0,-1,IF((1-SQRT((1-2*BG46*1E5/(DATOS!$C$29*AE46*BS46^2*DATOS!$C$21))))*DATOS!$C$21*AE46*BS46/DATOS!$C$14&gt;DATOS!$C$99*AE46*BS46,-1,(1-SQRT((1-2*BG46*1E5/(DATOS!$C$29*AE46*BS46^2*DATOS!$C$21))))*DATOS!$C$21*AE46*BS46/DATOS!$C$14)))-0.0001,MAX(DATOS!$C$71,CEILING(BT46/INDEX(TABLAS!$D$52:$D$58,MIN(MATCH(DATOS!$C$69,TABLAS!$B$52:$B$58,0)+2,7)),1)),MAX(MAX(DATOS!$C$71,CEILING(BT46/INDEX(TABLAS!$D$52:$D$58,MIN(MATCH(DATOS!$C$69,TABLAS!$B$52:$B$58,0)+2,7)),1)),2))&lt;=MIN(DATOS!$C$70,INT(((AC46-2*AK46)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46&gt;=0,IF(MAX(DATOS!$C$71,CEILING(BT46/INDEX(TABLAS!$D$52:$D$58,MIN(MATCH(DATOS!$C$69,TABLAS!$B$52:$B$58,0)+3,7)),1))*INDEX(TABLAS!$D$52:$D$58,MIN(MATCH(DATOS!$C$69,TABLAS!$B$52:$B$58,0)+3,7))&gt;=4/3*IF(BG46&lt;=0,0,IF((1-2*BG46*1E5/(DATOS!$C$29*AE46*BS46^2*DATOS!$C$21))&lt;0,-1,IF((1-SQRT((1-2*BG46*1E5/(DATOS!$C$29*AE46*BS46^2*DATOS!$C$21))))*DATOS!$C$21*AE46*BS46/DATOS!$C$14&gt;DATOS!$C$99*AE46*BS46,-1,(1-SQRT((1-2*BG46*1E5/(DATOS!$C$29*AE46*BS46^2*DATOS!$C$21))))*DATOS!$C$21*AE46*BS46/DATOS!$C$14)))-0.0001,MAX(DATOS!$C$71,CEILING(BT46/INDEX(TABLAS!$D$52:$D$58,MIN(MATCH(DATOS!$C$69,TABLAS!$B$52:$B$58,0)+3,7)),1)),MAX(MAX(DATOS!$C$71,CEILING(BT46/INDEX(TABLAS!$D$52:$D$58,MIN(MATCH(DATOS!$C$69,TABLAS!$B$52:$B$58,0)+3,7)),1)),2))&lt;=MIN(DATOS!$C$70,INT(((AC46-2*AK46)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46&gt;=0,IF(MAX(DATOS!$C$71,CEILING(BT46/INDEX(TABLAS!$D$52:$D$58,MIN(MATCH(DATOS!$C$69,TABLAS!$B$52:$B$58,0)+4,7)),1))*INDEX(TABLAS!$D$52:$D$58,MIN(MATCH(DATOS!$C$69,TABLAS!$B$52:$B$58,0)+4,7))&gt;=4/3*IF(BG46&lt;=0,0,IF((1-2*BG46*1E5/(DATOS!$C$29*AE46*BS46^2*DATOS!$C$21))&lt;0,-1,IF((1-SQRT((1-2*BG46*1E5/(DATOS!$C$29*AE46*BS46^2*DATOS!$C$21))))*DATOS!$C$21*AE46*BS46/DATOS!$C$14&gt;DATOS!$C$99*AE46*BS46,-1,(1-SQRT((1-2*BG46*1E5/(DATOS!$C$29*AE46*BS46^2*DATOS!$C$21))))*DATOS!$C$21*AE46*BS46/DATOS!$C$14)))-0.0001,MAX(DATOS!$C$71,CEILING(BT46/INDEX(TABLAS!$D$52:$D$58,MIN(MATCH(DATOS!$C$69,TABLAS!$B$52:$B$58,0)+4,7)),1)),MAX(MAX(DATOS!$C$71,CEILING(BT46/INDEX(TABLAS!$D$52:$D$58,MIN(MATCH(DATOS!$C$69,TABLAS!$B$52:$B$58,0)+4,7)),1)),2))&lt;=MIN(DATOS!$C$70,INT(((AC46-2*AK46)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46" s="59" t="str">
        <f>IF(U46&lt;&gt;"SÍ","",IF(BT46&lt;0,0,IF(MAX(DATOS!$C$71,CEILING(MAX(BT46,0)/INDEX(TABLAS!$D$52:$D$58,MATCH(BU46,TABLAS!$B$52:$B$58,0)),1))*INDEX(TABLAS!$D$52:$D$58,MATCH(BU46,TABLAS!$B$52:$B$58,0))&gt;=4/3*IF(BG46&lt;=0,0,IF((1-2*BG46*1E5/(DATOS!$C$29*AE46*BS46^2*DATOS!$C$21))&lt;0,-1,IF((1-SQRT((1-2*BG46*1E5/(DATOS!$C$29*AE46*BS46^2*DATOS!$C$21))))*DATOS!$C$21*AE46*BS46/DATOS!$C$14&gt;DATOS!$C$99*AE46*BS46,-1,(1-SQRT((1-2*BG46*1E5/(DATOS!$C$29*AE46*BS46^2*DATOS!$C$21))))*DATOS!$C$21*AE46*BS46/DATOS!$C$14)))-0.0001,MAX(DATOS!$C$71,CEILING(MAX(BT46,0)/INDEX(TABLAS!$D$52:$D$58,MATCH(BU46,TABLAS!$B$52:$B$58,0)),1)),MAX(MAX(DATOS!$C$71,CEILING(MAX(BT46,0)/INDEX(TABLAS!$D$52:$D$58,MATCH(BU46,TABLAS!$B$52:$B$58,0)),1)),2))))</f>
        <v/>
      </c>
      <c r="BW46" s="58" t="str">
        <f>IF(U46&lt;&gt;"SÍ","",((DATOS!$C$82-AL46-2*DATOS!$C$94-INDEX(TABLAS!$C$52:$C$58,MATCH(BU46,TABLAS!$B$52:$B$58,0))/2)-IF(AND((DATOS!$C$82-AL46-2*DATOS!$C$94-INDEX(TABLAS!$C$52:$C$58,MATCH(BU46,TABLAS!$B$52:$B$58,0))/2)&lt;=20,DATOS!$C$62&lt;&gt;"SÍ"),2,0)))</f>
        <v/>
      </c>
      <c r="BX46" s="56" t="str">
        <f>IF(U46&lt;&gt;"SÍ","",IF(BV46=0,0,DATOS!$C$29*BV46*INDEX(TABLAS!$D$52:$D$58,MATCH(BU46,TABLAS!$B$52:$B$58,0))*DATOS!$C$14*(BW46-BV46*INDEX(TABLAS!$D$52:$D$58,MATCH(BU46,TABLAS!$B$52:$B$58,0))*DATOS!$C$14/(DATOS!$C$21*AE46)/2)/1E5))</f>
        <v/>
      </c>
      <c r="BY46" s="65" t="str">
        <f>IF(U46&lt;&gt;"SÍ","",IF(BT46&lt;0,9.99,IF(BX46&gt;0,BG46/BX46,0)))</f>
        <v/>
      </c>
      <c r="BZ46" s="66" t="str">
        <f>IF(U46&lt;&gt;"SÍ","",IF(BV46=0,"—",0.003*(BW46-(BV46*INDEX(TABLAS!$D$52:$D$58,MATCH(BU46,TABLAS!$B$52:$B$58,0))*DATOS!$C$14/(DATOS!$C$21*AE46)/DATOS!$C$22))/(BV46*INDEX(TABLAS!$D$52:$D$58,MATCH(BU46,TABLAS!$B$52:$B$58,0))*DATOS!$C$14/(DATOS!$C$21*AE46)/DATOS!$C$22)))</f>
        <v/>
      </c>
      <c r="CA46" s="58" t="str">
        <f>IF(U46&lt;&gt;"SÍ","",(DATOS!$C$82-AJ46-INDEX(TABLAS!$C$52:$C$58,MATCH(DATOS!$C$68,TABLAS!$B$52:$B$58,0))-INDEX(TABLAS!$C$52:$C$58,MATCH(DATOS!$C$68,TABLAS!$B$52:$B$58,0))/2))</f>
        <v/>
      </c>
      <c r="CB46" s="58" t="str">
        <f>IF(U46&lt;&gt;"SÍ","",IF(IF(BH46&lt;=0,0,IF((1-2*BH46*1E5/(DATOS!$C$29*AH46*CA46^2*DATOS!$C$21))&lt;0,-1,IF((1-SQRT((1-2*BH46*1E5/(DATOS!$C$29*AH46*CA46^2*DATOS!$C$21))))*DATOS!$C$21*AH46*CA46/DATOS!$C$14&gt;DATOS!$C$99*AH46*CA46,-1,(1-SQRT((1-2*BH46*1E5/(DATOS!$C$29*AH46*CA46^2*DATOS!$C$21))))*DATOS!$C$21*AH46*CA46/DATOS!$C$14)))&lt;0,-1,MAX(IF(BH46&lt;=0,0,IF((1-2*BH46*1E5/(DATOS!$C$29*AH46*CA46^2*DATOS!$C$21))&lt;0,-1,IF((1-SQRT((1-2*BH46*1E5/(DATOS!$C$29*AH46*CA46^2*DATOS!$C$21))))*DATOS!$C$21*AH46*CA46/DATOS!$C$14&gt;DATOS!$C$99*AH46*CA46,-1,(1-SQRT((1-2*BH46*1E5/(DATOS!$C$29*AH46*CA46^2*DATOS!$C$21))))*DATOS!$C$21*AH46*CA46/DATOS!$C$14))),MIN(DATOS!$C$100*DATOS!$C$80*CA46,4/3*IF(BH46&lt;=0,0,IF((1-2*BH46*1E5/(DATOS!$C$29*AH46*CA46^2*DATOS!$C$21))&lt;0,-1,IF((1-SQRT((1-2*BH46*1E5/(DATOS!$C$29*AH46*CA46^2*DATOS!$C$21))))*DATOS!$C$21*AH46*CA46/DATOS!$C$14&gt;DATOS!$C$99*AH46*CA46,-1,(1-SQRT((1-2*BH46*1E5/(DATOS!$C$29*AH46*CA46^2*DATOS!$C$21))))*DATOS!$C$21*AH46*CA46/DATOS!$C$14)))))))</f>
        <v/>
      </c>
      <c r="CC46" s="64" t="str">
        <f>IF(U46&lt;&gt;"SÍ","",IF(AND(CB46&gt;=0,IF(MAX(DATOS!$C$71,CEILING(CB46/INDEX(TABLAS!$D$52:$D$58,MIN(MATCH(DATOS!$C$68,TABLAS!$B$52:$B$58,0)+0,7)),1))*INDEX(TABLAS!$D$52:$D$58,MIN(MATCH(DATOS!$C$68,TABLAS!$B$52:$B$58,0)+0,7))&gt;=4/3*IF(BH46&lt;=0,0,IF((1-2*BH46*1E5/(DATOS!$C$29*AH46*CA46^2*DATOS!$C$21))&lt;0,-1,IF((1-SQRT((1-2*BH46*1E5/(DATOS!$C$29*AH46*CA46^2*DATOS!$C$21))))*DATOS!$C$21*AH46*CA46/DATOS!$C$14&gt;DATOS!$C$99*AH46*CA46,-1,(1-SQRT((1-2*BH46*1E5/(DATOS!$C$29*AH46*CA46^2*DATOS!$C$21))))*DATOS!$C$21*AH46*CA46/DATOS!$C$14)))-0.0001,MAX(DATOS!$C$71,CEILING(CB46/INDEX(TABLAS!$D$52:$D$58,MIN(MATCH(DATOS!$C$68,TABLAS!$B$52:$B$58,0)+0,7)),1)),MAX(MAX(DATOS!$C$71,CEILING(CB46/INDEX(TABLAS!$D$52:$D$58,MIN(MATCH(DATOS!$C$68,TABLAS!$B$52:$B$58,0)+0,7)),1)),2))&lt;=MIN(DATOS!$C$70,INT(((DATOS!$C$80-2*AJ46)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46&gt;=0,IF(MAX(DATOS!$C$71,CEILING(CB46/INDEX(TABLAS!$D$52:$D$58,MIN(MATCH(DATOS!$C$68,TABLAS!$B$52:$B$58,0)+1,7)),1))*INDEX(TABLAS!$D$52:$D$58,MIN(MATCH(DATOS!$C$68,TABLAS!$B$52:$B$58,0)+1,7))&gt;=4/3*IF(BH46&lt;=0,0,IF((1-2*BH46*1E5/(DATOS!$C$29*AH46*CA46^2*DATOS!$C$21))&lt;0,-1,IF((1-SQRT((1-2*BH46*1E5/(DATOS!$C$29*AH46*CA46^2*DATOS!$C$21))))*DATOS!$C$21*AH46*CA46/DATOS!$C$14&gt;DATOS!$C$99*AH46*CA46,-1,(1-SQRT((1-2*BH46*1E5/(DATOS!$C$29*AH46*CA46^2*DATOS!$C$21))))*DATOS!$C$21*AH46*CA46/DATOS!$C$14)))-0.0001,MAX(DATOS!$C$71,CEILING(CB46/INDEX(TABLAS!$D$52:$D$58,MIN(MATCH(DATOS!$C$68,TABLAS!$B$52:$B$58,0)+1,7)),1)),MAX(MAX(DATOS!$C$71,CEILING(CB46/INDEX(TABLAS!$D$52:$D$58,MIN(MATCH(DATOS!$C$68,TABLAS!$B$52:$B$58,0)+1,7)),1)),2))&lt;=MIN(DATOS!$C$70,INT(((DATOS!$C$80-2*AJ46)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46&gt;=0,IF(MAX(DATOS!$C$71,CEILING(CB46/INDEX(TABLAS!$D$52:$D$58,MIN(MATCH(DATOS!$C$68,TABLAS!$B$52:$B$58,0)+2,7)),1))*INDEX(TABLAS!$D$52:$D$58,MIN(MATCH(DATOS!$C$68,TABLAS!$B$52:$B$58,0)+2,7))&gt;=4/3*IF(BH46&lt;=0,0,IF((1-2*BH46*1E5/(DATOS!$C$29*AH46*CA46^2*DATOS!$C$21))&lt;0,-1,IF((1-SQRT((1-2*BH46*1E5/(DATOS!$C$29*AH46*CA46^2*DATOS!$C$21))))*DATOS!$C$21*AH46*CA46/DATOS!$C$14&gt;DATOS!$C$99*AH46*CA46,-1,(1-SQRT((1-2*BH46*1E5/(DATOS!$C$29*AH46*CA46^2*DATOS!$C$21))))*DATOS!$C$21*AH46*CA46/DATOS!$C$14)))-0.0001,MAX(DATOS!$C$71,CEILING(CB46/INDEX(TABLAS!$D$52:$D$58,MIN(MATCH(DATOS!$C$68,TABLAS!$B$52:$B$58,0)+2,7)),1)),MAX(MAX(DATOS!$C$71,CEILING(CB46/INDEX(TABLAS!$D$52:$D$58,MIN(MATCH(DATOS!$C$68,TABLAS!$B$52:$B$58,0)+2,7)),1)),2))&lt;=MIN(DATOS!$C$70,INT(((DATOS!$C$80-2*AJ46)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46&gt;=0,IF(MAX(DATOS!$C$71,CEILING(CB46/INDEX(TABLAS!$D$52:$D$58,MIN(MATCH(DATOS!$C$68,TABLAS!$B$52:$B$58,0)+3,7)),1))*INDEX(TABLAS!$D$52:$D$58,MIN(MATCH(DATOS!$C$68,TABLAS!$B$52:$B$58,0)+3,7))&gt;=4/3*IF(BH46&lt;=0,0,IF((1-2*BH46*1E5/(DATOS!$C$29*AH46*CA46^2*DATOS!$C$21))&lt;0,-1,IF((1-SQRT((1-2*BH46*1E5/(DATOS!$C$29*AH46*CA46^2*DATOS!$C$21))))*DATOS!$C$21*AH46*CA46/DATOS!$C$14&gt;DATOS!$C$99*AH46*CA46,-1,(1-SQRT((1-2*BH46*1E5/(DATOS!$C$29*AH46*CA46^2*DATOS!$C$21))))*DATOS!$C$21*AH46*CA46/DATOS!$C$14)))-0.0001,MAX(DATOS!$C$71,CEILING(CB46/INDEX(TABLAS!$D$52:$D$58,MIN(MATCH(DATOS!$C$68,TABLAS!$B$52:$B$58,0)+3,7)),1)),MAX(MAX(DATOS!$C$71,CEILING(CB46/INDEX(TABLAS!$D$52:$D$58,MIN(MATCH(DATOS!$C$68,TABLAS!$B$52:$B$58,0)+3,7)),1)),2))&lt;=MIN(DATOS!$C$70,INT(((DATOS!$C$80-2*AJ46)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46&gt;=0,IF(MAX(DATOS!$C$71,CEILING(CB46/INDEX(TABLAS!$D$52:$D$58,MIN(MATCH(DATOS!$C$68,TABLAS!$B$52:$B$58,0)+4,7)),1))*INDEX(TABLAS!$D$52:$D$58,MIN(MATCH(DATOS!$C$68,TABLAS!$B$52:$B$58,0)+4,7))&gt;=4/3*IF(BH46&lt;=0,0,IF((1-2*BH46*1E5/(DATOS!$C$29*AH46*CA46^2*DATOS!$C$21))&lt;0,-1,IF((1-SQRT((1-2*BH46*1E5/(DATOS!$C$29*AH46*CA46^2*DATOS!$C$21))))*DATOS!$C$21*AH46*CA46/DATOS!$C$14&gt;DATOS!$C$99*AH46*CA46,-1,(1-SQRT((1-2*BH46*1E5/(DATOS!$C$29*AH46*CA46^2*DATOS!$C$21))))*DATOS!$C$21*AH46*CA46/DATOS!$C$14)))-0.0001,MAX(DATOS!$C$71,CEILING(CB46/INDEX(TABLAS!$D$52:$D$58,MIN(MATCH(DATOS!$C$68,TABLAS!$B$52:$B$58,0)+4,7)),1)),MAX(MAX(DATOS!$C$71,CEILING(CB46/INDEX(TABLAS!$D$52:$D$58,MIN(MATCH(DATOS!$C$68,TABLAS!$B$52:$B$58,0)+4,7)),1)),2))&lt;=MIN(DATOS!$C$70,INT(((DATOS!$C$80-2*AJ46)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46" s="59" t="str">
        <f>IF(U46&lt;&gt;"SÍ","",IF(CB46&lt;0,0,IF(MAX(DATOS!$C$71,CEILING(MAX(CB46,0)/INDEX(TABLAS!$D$52:$D$58,MATCH(CC46,TABLAS!$B$52:$B$58,0)),1))*INDEX(TABLAS!$D$52:$D$58,MATCH(CC46,TABLAS!$B$52:$B$58,0))&gt;=4/3*IF(BH46&lt;=0,0,IF((1-2*BH46*1E5/(DATOS!$C$29*AH46*CA46^2*DATOS!$C$21))&lt;0,-1,IF((1-SQRT((1-2*BH46*1E5/(DATOS!$C$29*AH46*CA46^2*DATOS!$C$21))))*DATOS!$C$21*AH46*CA46/DATOS!$C$14&gt;DATOS!$C$99*AH46*CA46,-1,(1-SQRT((1-2*BH46*1E5/(DATOS!$C$29*AH46*CA46^2*DATOS!$C$21))))*DATOS!$C$21*AH46*CA46/DATOS!$C$14)))-0.0001,MAX(DATOS!$C$71,CEILING(MAX(CB46,0)/INDEX(TABLAS!$D$52:$D$58,MATCH(CC46,TABLAS!$B$52:$B$58,0)),1)),MAX(MAX(DATOS!$C$71,CEILING(MAX(CB46,0)/INDEX(TABLAS!$D$52:$D$58,MATCH(CC46,TABLAS!$B$52:$B$58,0)),1)),2))))</f>
        <v/>
      </c>
      <c r="CE46" s="58" t="str">
        <f>IF(U46&lt;&gt;"SÍ","",DATOS!$C$82-AJ46-INDEX(TABLAS!$C$52:$C$58,MATCH(BM46,TABLAS!$B$52:$B$58,0))-INDEX(TABLAS!$C$52:$C$58,MATCH(CC46,TABLAS!$B$52:$B$58,0))/2)</f>
        <v/>
      </c>
      <c r="CF46" s="56" t="str">
        <f>IF(U46&lt;&gt;"SÍ","",IF(CD46=0,0,DATOS!$C$29*CD46*INDEX(TABLAS!$D$52:$D$58,MATCH(CC46,TABLAS!$B$52:$B$58,0))*DATOS!$C$14*(CE46-CD46*INDEX(TABLAS!$D$52:$D$58,MATCH(CC46,TABLAS!$B$52:$B$58,0))*DATOS!$C$14/(DATOS!$C$21*AH46)/2)/1E5))</f>
        <v/>
      </c>
      <c r="CG46" s="65" t="str">
        <f>IF(U46&lt;&gt;"SÍ","",IF(CB46&lt;0,9.99,IF(CF46&gt;0,BH46/CF46,0)))</f>
        <v/>
      </c>
      <c r="CH46" s="66" t="str">
        <f>IF(U46&lt;&gt;"SÍ","",IF(CD46=0,"—",0.003*(CE46-(CD46*INDEX(TABLAS!$D$52:$D$58,MATCH(CC46,TABLAS!$B$52:$B$58,0))*DATOS!$C$14/(DATOS!$C$21*AH46)/DATOS!$C$22))/(CD46*INDEX(TABLAS!$D$52:$D$58,MATCH(CC46,TABLAS!$B$52:$B$58,0))*DATOS!$C$14/(DATOS!$C$21*AH46)/DATOS!$C$22)))</f>
        <v/>
      </c>
      <c r="CI46" s="58" t="str">
        <f>IF(U46&lt;&gt;"SÍ","",((DATOS!$C$82-AL46-2*DATOS!$C$94-INDEX(TABLAS!$C$52:$C$58,MATCH(DATOS!$C$69,TABLAS!$B$52:$B$58,0))-INDEX(TABLAS!$C$52:$C$58,MATCH(DATOS!$C$69,TABLAS!$B$52:$B$58,0))/2)-IF(AND((DATOS!$C$82-AL46-2*DATOS!$C$94-INDEX(TABLAS!$C$52:$C$58,MATCH(DATOS!$C$69,TABLAS!$B$52:$B$58,0))-INDEX(TABLAS!$C$52:$C$58,MATCH(DATOS!$C$69,TABLAS!$B$52:$B$58,0))/2)&lt;=20,DATOS!$C$62&lt;&gt;"SÍ"),2,0)))</f>
        <v/>
      </c>
      <c r="CJ46" s="58" t="str">
        <f>IF(U46&lt;&gt;"SÍ","",IF(IF(BI46&lt;=0,0,IF((1-2*BI46*1E5/(DATOS!$C$29*AF46*CI46^2*DATOS!$C$21))&lt;0,-1,IF((1-SQRT((1-2*BI46*1E5/(DATOS!$C$29*AF46*CI46^2*DATOS!$C$21))))*DATOS!$C$21*AF46*CI46/DATOS!$C$14&gt;DATOS!$C$99*AF46*CI46,-1,(1-SQRT((1-2*BI46*1E5/(DATOS!$C$29*AF46*CI46^2*DATOS!$C$21))))*DATOS!$C$21*AF46*CI46/DATOS!$C$14)))&lt;0,-1,MAX(IF(BI46&lt;=0,0,IF((1-2*BI46*1E5/(DATOS!$C$29*AF46*CI46^2*DATOS!$C$21))&lt;0,-1,IF((1-SQRT((1-2*BI46*1E5/(DATOS!$C$29*AF46*CI46^2*DATOS!$C$21))))*DATOS!$C$21*AF46*CI46/DATOS!$C$14&gt;DATOS!$C$99*AF46*CI46,-1,(1-SQRT((1-2*BI46*1E5/(DATOS!$C$29*AF46*CI46^2*DATOS!$C$21))))*DATOS!$C$21*AF46*CI46/DATOS!$C$14))),MIN(DATOS!$C$100*DATOS!$C$80*CI46,4/3*IF(BI46&lt;=0,0,IF((1-2*BI46*1E5/(DATOS!$C$29*AF46*CI46^2*DATOS!$C$21))&lt;0,-1,IF((1-SQRT((1-2*BI46*1E5/(DATOS!$C$29*AF46*CI46^2*DATOS!$C$21))))*DATOS!$C$21*AF46*CI46/DATOS!$C$14&gt;DATOS!$C$99*AF46*CI46,-1,(1-SQRT((1-2*BI46*1E5/(DATOS!$C$29*AF46*CI46^2*DATOS!$C$21))))*DATOS!$C$21*AF46*CI46/DATOS!$C$14)))))))</f>
        <v/>
      </c>
      <c r="CK46" s="64" t="str">
        <f>IF(U46&lt;&gt;"SÍ","",IF(AND(CJ46&gt;=0,IF(MAX(DATOS!$C$71,CEILING(CJ46/INDEX(TABLAS!$D$52:$D$58,MIN(MATCH(DATOS!$C$69,TABLAS!$B$52:$B$58,0)+0,7)),1))*INDEX(TABLAS!$D$52:$D$58,MIN(MATCH(DATOS!$C$69,TABLAS!$B$52:$B$58,0)+0,7))&gt;=4/3*IF(BI46&lt;=0,0,IF((1-2*BI46*1E5/(DATOS!$C$29*AF46*CI46^2*DATOS!$C$21))&lt;0,-1,IF((1-SQRT((1-2*BI46*1E5/(DATOS!$C$29*AF46*CI46^2*DATOS!$C$21))))*DATOS!$C$21*AF46*CI46/DATOS!$C$14&gt;DATOS!$C$99*AF46*CI46,-1,(1-SQRT((1-2*BI46*1E5/(DATOS!$C$29*AF46*CI46^2*DATOS!$C$21))))*DATOS!$C$21*AF46*CI46/DATOS!$C$14)))-0.0001,MAX(DATOS!$C$71,CEILING(CJ46/INDEX(TABLAS!$D$52:$D$58,MIN(MATCH(DATOS!$C$69,TABLAS!$B$52:$B$58,0)+0,7)),1)),MAX(MAX(DATOS!$C$71,CEILING(CJ46/INDEX(TABLAS!$D$52:$D$58,MIN(MATCH(DATOS!$C$69,TABLAS!$B$52:$B$58,0)+0,7)),1)),2))&lt;=MIN(DATOS!$C$70,INT(((DATOS!$C$80-2*AK46)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46&gt;=0,IF(MAX(DATOS!$C$71,CEILING(CJ46/INDEX(TABLAS!$D$52:$D$58,MIN(MATCH(DATOS!$C$69,TABLAS!$B$52:$B$58,0)+1,7)),1))*INDEX(TABLAS!$D$52:$D$58,MIN(MATCH(DATOS!$C$69,TABLAS!$B$52:$B$58,0)+1,7))&gt;=4/3*IF(BI46&lt;=0,0,IF((1-2*BI46*1E5/(DATOS!$C$29*AF46*CI46^2*DATOS!$C$21))&lt;0,-1,IF((1-SQRT((1-2*BI46*1E5/(DATOS!$C$29*AF46*CI46^2*DATOS!$C$21))))*DATOS!$C$21*AF46*CI46/DATOS!$C$14&gt;DATOS!$C$99*AF46*CI46,-1,(1-SQRT((1-2*BI46*1E5/(DATOS!$C$29*AF46*CI46^2*DATOS!$C$21))))*DATOS!$C$21*AF46*CI46/DATOS!$C$14)))-0.0001,MAX(DATOS!$C$71,CEILING(CJ46/INDEX(TABLAS!$D$52:$D$58,MIN(MATCH(DATOS!$C$69,TABLAS!$B$52:$B$58,0)+1,7)),1)),MAX(MAX(DATOS!$C$71,CEILING(CJ46/INDEX(TABLAS!$D$52:$D$58,MIN(MATCH(DATOS!$C$69,TABLAS!$B$52:$B$58,0)+1,7)),1)),2))&lt;=MIN(DATOS!$C$70,INT(((DATOS!$C$80-2*AK46)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46&gt;=0,IF(MAX(DATOS!$C$71,CEILING(CJ46/INDEX(TABLAS!$D$52:$D$58,MIN(MATCH(DATOS!$C$69,TABLAS!$B$52:$B$58,0)+2,7)),1))*INDEX(TABLAS!$D$52:$D$58,MIN(MATCH(DATOS!$C$69,TABLAS!$B$52:$B$58,0)+2,7))&gt;=4/3*IF(BI46&lt;=0,0,IF((1-2*BI46*1E5/(DATOS!$C$29*AF46*CI46^2*DATOS!$C$21))&lt;0,-1,IF((1-SQRT((1-2*BI46*1E5/(DATOS!$C$29*AF46*CI46^2*DATOS!$C$21))))*DATOS!$C$21*AF46*CI46/DATOS!$C$14&gt;DATOS!$C$99*AF46*CI46,-1,(1-SQRT((1-2*BI46*1E5/(DATOS!$C$29*AF46*CI46^2*DATOS!$C$21))))*DATOS!$C$21*AF46*CI46/DATOS!$C$14)))-0.0001,MAX(DATOS!$C$71,CEILING(CJ46/INDEX(TABLAS!$D$52:$D$58,MIN(MATCH(DATOS!$C$69,TABLAS!$B$52:$B$58,0)+2,7)),1)),MAX(MAX(DATOS!$C$71,CEILING(CJ46/INDEX(TABLAS!$D$52:$D$58,MIN(MATCH(DATOS!$C$69,TABLAS!$B$52:$B$58,0)+2,7)),1)),2))&lt;=MIN(DATOS!$C$70,INT(((DATOS!$C$80-2*AK46)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46&gt;=0,IF(MAX(DATOS!$C$71,CEILING(CJ46/INDEX(TABLAS!$D$52:$D$58,MIN(MATCH(DATOS!$C$69,TABLAS!$B$52:$B$58,0)+3,7)),1))*INDEX(TABLAS!$D$52:$D$58,MIN(MATCH(DATOS!$C$69,TABLAS!$B$52:$B$58,0)+3,7))&gt;=4/3*IF(BI46&lt;=0,0,IF((1-2*BI46*1E5/(DATOS!$C$29*AF46*CI46^2*DATOS!$C$21))&lt;0,-1,IF((1-SQRT((1-2*BI46*1E5/(DATOS!$C$29*AF46*CI46^2*DATOS!$C$21))))*DATOS!$C$21*AF46*CI46/DATOS!$C$14&gt;DATOS!$C$99*AF46*CI46,-1,(1-SQRT((1-2*BI46*1E5/(DATOS!$C$29*AF46*CI46^2*DATOS!$C$21))))*DATOS!$C$21*AF46*CI46/DATOS!$C$14)))-0.0001,MAX(DATOS!$C$71,CEILING(CJ46/INDEX(TABLAS!$D$52:$D$58,MIN(MATCH(DATOS!$C$69,TABLAS!$B$52:$B$58,0)+3,7)),1)),MAX(MAX(DATOS!$C$71,CEILING(CJ46/INDEX(TABLAS!$D$52:$D$58,MIN(MATCH(DATOS!$C$69,TABLAS!$B$52:$B$58,0)+3,7)),1)),2))&lt;=MIN(DATOS!$C$70,INT(((DATOS!$C$80-2*AK46)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46&gt;=0,IF(MAX(DATOS!$C$71,CEILING(CJ46/INDEX(TABLAS!$D$52:$D$58,MIN(MATCH(DATOS!$C$69,TABLAS!$B$52:$B$58,0)+4,7)),1))*INDEX(TABLAS!$D$52:$D$58,MIN(MATCH(DATOS!$C$69,TABLAS!$B$52:$B$58,0)+4,7))&gt;=4/3*IF(BI46&lt;=0,0,IF((1-2*BI46*1E5/(DATOS!$C$29*AF46*CI46^2*DATOS!$C$21))&lt;0,-1,IF((1-SQRT((1-2*BI46*1E5/(DATOS!$C$29*AF46*CI46^2*DATOS!$C$21))))*DATOS!$C$21*AF46*CI46/DATOS!$C$14&gt;DATOS!$C$99*AF46*CI46,-1,(1-SQRT((1-2*BI46*1E5/(DATOS!$C$29*AF46*CI46^2*DATOS!$C$21))))*DATOS!$C$21*AF46*CI46/DATOS!$C$14)))-0.0001,MAX(DATOS!$C$71,CEILING(CJ46/INDEX(TABLAS!$D$52:$D$58,MIN(MATCH(DATOS!$C$69,TABLAS!$B$52:$B$58,0)+4,7)),1)),MAX(MAX(DATOS!$C$71,CEILING(CJ46/INDEX(TABLAS!$D$52:$D$58,MIN(MATCH(DATOS!$C$69,TABLAS!$B$52:$B$58,0)+4,7)),1)),2))&lt;=MIN(DATOS!$C$70,INT(((DATOS!$C$80-2*AK46)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46" s="59" t="str">
        <f>IF(U46&lt;&gt;"SÍ","",IF(CJ46&lt;0,0,IF(MAX(DATOS!$C$71,CEILING(MAX(CJ46,0)/INDEX(TABLAS!$D$52:$D$58,MATCH(CK46,TABLAS!$B$52:$B$58,0)),1))*INDEX(TABLAS!$D$52:$D$58,MATCH(CK46,TABLAS!$B$52:$B$58,0))&gt;=4/3*IF(BI46&lt;=0,0,IF((1-2*BI46*1E5/(DATOS!$C$29*AF46*CI46^2*DATOS!$C$21))&lt;0,-1,IF((1-SQRT((1-2*BI46*1E5/(DATOS!$C$29*AF46*CI46^2*DATOS!$C$21))))*DATOS!$C$21*AF46*CI46/DATOS!$C$14&gt;DATOS!$C$99*AF46*CI46,-1,(1-SQRT((1-2*BI46*1E5/(DATOS!$C$29*AF46*CI46^2*DATOS!$C$21))))*DATOS!$C$21*AF46*CI46/DATOS!$C$14)))-0.0001,MAX(DATOS!$C$71,CEILING(MAX(CJ46,0)/INDEX(TABLAS!$D$52:$D$58,MATCH(CK46,TABLAS!$B$52:$B$58,0)),1)),MAX(MAX(DATOS!$C$71,CEILING(MAX(CJ46,0)/INDEX(TABLAS!$D$52:$D$58,MATCH(CK46,TABLAS!$B$52:$B$58,0)),1)),2))))</f>
        <v/>
      </c>
      <c r="CM46" s="58" t="str">
        <f>IF(U46&lt;&gt;"SÍ","",((DATOS!$C$82-AL46-2*DATOS!$C$94-INDEX(TABLAS!$C$52:$C$58,MATCH(BU46,TABLAS!$B$52:$B$58,0))-INDEX(TABLAS!$C$52:$C$58,MATCH(CK46,TABLAS!$B$52:$B$58,0))/2)-IF(AND((DATOS!$C$82-AL46-2*DATOS!$C$94-INDEX(TABLAS!$C$52:$C$58,MATCH(BU46,TABLAS!$B$52:$B$58,0))-INDEX(TABLAS!$C$52:$C$58,MATCH(CK46,TABLAS!$B$52:$B$58,0))/2)&lt;=20,DATOS!$C$62&lt;&gt;"SÍ"),2,0)))</f>
        <v/>
      </c>
      <c r="CN46" s="56" t="str">
        <f>IF(U46&lt;&gt;"SÍ","",IF(CL46=0,0,DATOS!$C$29*CL46*INDEX(TABLAS!$D$52:$D$58,MATCH(CK46,TABLAS!$B$52:$B$58,0))*DATOS!$C$14*(CM46-CL46*INDEX(TABLAS!$D$52:$D$58,MATCH(CK46,TABLAS!$B$52:$B$58,0))*DATOS!$C$14/(DATOS!$C$21*AF46)/2)/1E5))</f>
        <v/>
      </c>
      <c r="CO46" s="65" t="str">
        <f>IF(U46&lt;&gt;"SÍ","",IF(CJ46&lt;0,9.99,IF(CN46&gt;0,BI46/CN46,0)))</f>
        <v/>
      </c>
      <c r="CP46" s="66" t="str">
        <f>IF(U46&lt;&gt;"SÍ","",IF(CL46=0,"—",0.003*(CM46-(CL46*INDEX(TABLAS!$D$52:$D$58,MATCH(CK46,TABLAS!$B$52:$B$58,0))*DATOS!$C$14/(DATOS!$C$21*AF46)/DATOS!$C$22))/(CL46*INDEX(TABLAS!$D$52:$D$58,MATCH(CK46,TABLAS!$B$52:$B$58,0))*DATOS!$C$14/(DATOS!$C$21*AF46)/DATOS!$C$22)))</f>
        <v/>
      </c>
      <c r="CQ46" s="56" t="str">
        <f>IF(U46&lt;&gt;"SÍ","",IF(C46="PERIMETRAL",MAX(0,(AA46/2-BW46)/100)*(0.95-0.5*Z46)*AQ46*IF(AND(AR46&gt;0,AR46&lt;4),DATOS!$C$33,1)*DATOS!$C$83/100/1000,(AQ46*MAX(0,AA46-BW46)/100+DATOS!$C$26*N(O46))*DATOS!$C$83/100/1000+BE46))</f>
        <v/>
      </c>
      <c r="CR46" s="56" t="str">
        <f>IF(U46&lt;&gt;"SÍ","",DATOS!$C$30*2*MIN(1,SQRT(2/(1+0.04*BW46)))*(BV46*INDEX(TABLAS!$D$52:$D$58,MATCH(BU46,TABLAS!$B$52:$B$58,0))/(AE46*BW46))^(1/3)*SQRT(DATOS!$C$13)*AE46*BW46*IF(AI46="SÍ",DATOS!$C$32,1)/1000)</f>
        <v/>
      </c>
      <c r="CS46" s="59" t="str">
        <f>IF(U46&lt;&gt;"SÍ","",IF(CQ46&lt;=CR46,0,CEILING(MAX(0,IF(C46="VOLADO",(AA46-((CR46-BE46)*1E5/DATOS!$C$83-DATOS!$C$26*N(O46))*100/AQ46),IF(CR46&lt;=0,AA46,AA46/2-CR46/MAX(CQ46,1E-9)*(AA46/2-BW46)))-IF(INT((X46*100-DATOS!$C$84+DATOS!$C$80)/DATOS!$C$83)&gt;0,(X46*100-DATOS!$C$84-(INT((X46*100-DATOS!$C$84+DATOS!$C$80)/DATOS!$C$83)*DATOS!$C$78+(INT((X46*100-DATOS!$C$84+DATOS!$C$80)/DATOS!$C$83)-1)*DATOS!$C$80))/2,X46*100/2))/DATOS!$C$83,1)))</f>
        <v/>
      </c>
      <c r="CT46" s="67" t="str">
        <f>IF(U46&lt;&gt;"SÍ","",IF(CQ46&lt;=CR46,"CUMPLE",IF(CS46&lt;=0,"CUMPLE (basta el macizo de orilla)",IF(CS46*DATOS!$C$83*IF(C46="VOLADO",1,2)&gt;=X46*100-DATOS!$C$84,"NO CUMPLE: no alcanza ni macizando todo","MACIZAR "&amp;CS46&amp;" hilera(s)"))))</f>
        <v/>
      </c>
      <c r="CU46" s="58" t="str">
        <f>IF(U46&lt;&gt;"SÍ","",(DATOS!$C$83*DATOS!$C$81^2/2+AC46*DATOS!$C$79*(DATOS!$C$81+DATOS!$C$79/2))/(DATOS!$C$83*DATOS!$C$81+AC46*DATOS!$C$79))</f>
        <v/>
      </c>
      <c r="CV46" s="68" t="str">
        <f>IF(U46&lt;&gt;"SÍ","",DATOS!$C$83*DATOS!$C$81^3/12+DATOS!$C$83*DATOS!$C$81*(CU46-DATOS!$C$81/2)^2+AC46*DATOS!$C$79^3/12+AC46*DATOS!$C$79*(DATOS!$C$81+DATOS!$C$79/2-CU46)^2)</f>
        <v/>
      </c>
      <c r="CW46" s="58" t="str">
        <f>IF(U46&lt;&gt;"SÍ","",(12*CV46/DATOS!$C$83)^(1/3))</f>
        <v/>
      </c>
      <c r="CX46" s="58" t="str">
        <f>IF(U46&lt;&gt;"SÍ","",IF(C46="PERIMETRAL",IF(ISNUMBER(R46),R46,DATOS!$C$101),0))</f>
        <v/>
      </c>
      <c r="CY46" s="57" t="str">
        <f>IF(U46&lt;&gt;"SÍ","",IF(C46="PERIMETRAL",IF(CX46&gt;2,MAX(9,AB46*(0.8+DATOS!$C$14/14000)/(36+9*(AB46/MAX(AA46,1)))),IF(CX46&gt;0.2,MAX(13,AB46*(0.8+DATOS!$C$14/14000)/(36+5*(AB46/MAX(AA46,1))*(CX46-0.2))),MAX(13,AB46/IF(AR46&gt;0,30,33))))*IF(AND(CX46&gt;0.2,AR46&gt;0,DATOS!$C$102="NO"),1.1,1),X46*100/8))</f>
        <v/>
      </c>
      <c r="CZ46" s="61" t="str">
        <f>IF(U46&lt;&gt;"SÍ","",IF(IF(C46="VOLADO",DATOS!$C$82,CW46)&gt;=CY46,"CUMPLE",IF(C46="VOLADO","NO CUMPLE","CALCULAR FLECHA")))</f>
        <v/>
      </c>
      <c r="DA46" s="55" t="str">
        <f>IF(U46&lt;&gt;"SÍ","",IF(DATOS!$C$81&gt;=IF(IF(C46="VOLADO",X46,Y46)&gt;=6,6,5),"CUMPLE","CAPA ≥ 6 cm"))</f>
        <v/>
      </c>
      <c r="DB46" s="60" t="str">
        <f>IF(U46&lt;&gt;"SÍ","",IF(C46="VOLADO",MIN(CEILING(IF(ISNUMBER(P46),P46,X46)*100,5),CEILING(MAX(IF((0.5*(0.9*DATOS!$C$87*DATOS!$C$83/100/1000)*IF(ISNUMBER(P46),P46,X46)+BG46/IF(ISNUMBER(P46),P46,X46))^2-4*(0.5*(0.9*DATOS!$C$87*DATOS!$C$83/100/1000))*BG46&lt;0,IF(ISNUMBER(P46),P46,X46),MIN(IF(ISNUMBER(P46),P46,X46),((0.5*(0.9*DATOS!$C$87*DATOS!$C$83/100/1000)*IF(ISNUMBER(P46),P46,X46)+BG46/IF(ISNUMBER(P46),P46,X46))-SQRT((0.5*(0.9*DATOS!$C$87*DATOS!$C$83/100/1000)*IF(ISNUMBER(P46),P46,X46)+BG46/IF(ISNUMBER(P46),P46,X46))^2-4*(0.5*(0.9*DATOS!$C$87*DATOS!$C$83/100/1000))*BG46))/(2*(0.5*(0.9*DATOS!$C$87*DATOS!$C$83/100/1000)))))*100+MAX(BW46,12*INDEX(TABLAS!$C$52:$C$58,MATCH(BU46,TABLAS!$B$52:$B$58,0)),IF(ISNUMBER(P46),P46,X46)*100/16),IF(OR(AK46&lt;INDEX(TABLAS!$C$52:$C$58,MATCH(BU46,TABLAS!$B$52:$B$58,0)),AND(BV46&gt;=2,(AC46-2*AK46-BV46*INDEX(TABLAS!$C$52:$C$58,MATCH(BU46,TABLAS!$B$52:$B$58,0)))/MAX(BV46-1,1)&lt;2*INDEX(TABLAS!$C$52:$C$58,MATCH(BU46,TABLAS!$B$52:$B$58,0)))),INDEX(TABLAS!$I$52:$I$58,MATCH(BU46,TABLAS!$B$52:$B$58,0)),INDEX(TABLAS!$F$52:$F$58,MATCH(BU46,TABLAS!$B$52:$B$58,0)))),5)),IF(((4*((BB46*AQ46*X46^2*1E-4*DATOS!$C$83/100/1000)+((MAX(AX46,AZ46)*AQ46*X46^2*1E-4*DATOS!$C$83/100/1000)+(IF(AND(AX46&gt;0,AZ46&gt;0),MIN(AX46,AZ46),MAX(AX46,AZ46))*AQ46*X46^2*1E-4*DATOS!$C$83/100/1000))/2)+BG46-(IF(AND(AX46&gt;0,AZ46&gt;0),MIN(AX46,AZ46),MAX(AX46,AZ46))*AQ46*X46^2*1E-4*DATOS!$C$83/100/1000))^2-16*((BB46*AQ46*X46^2*1E-4*DATOS!$C$83/100/1000)+((MAX(AX46,AZ46)*AQ46*X46^2*1E-4*DATOS!$C$83/100/1000)+(IF(AND(AX46&gt;0,AZ46&gt;0),MIN(AX46,AZ46),MAX(AX46,AZ46))*AQ46*X46^2*1E-4*DATOS!$C$83/100/1000))/2)*BG46)&lt;0,CEILING(AA46,5),CEILING(MAX(AA46*((4*((BB46*AQ46*X46^2*1E-4*DATOS!$C$83/100/1000)+((MAX(AX46,AZ46)*AQ46*X46^2*1E-4*DATOS!$C$83/100/1000)+(IF(AND(AX46&gt;0,AZ46&gt;0),MIN(AX46,AZ46),MAX(AX46,AZ46))*AQ46*X46^2*1E-4*DATOS!$C$83/100/1000))/2)+BG46-(IF(AND(AX46&gt;0,AZ46&gt;0),MIN(AX46,AZ46),MAX(AX46,AZ46))*AQ46*X46^2*1E-4*DATOS!$C$83/100/1000))-SQRT(MAX(0,((4*((BB46*AQ46*X46^2*1E-4*DATOS!$C$83/100/1000)+((MAX(AX46,AZ46)*AQ46*X46^2*1E-4*DATOS!$C$83/100/1000)+(IF(AND(AX46&gt;0,AZ46&gt;0),MIN(AX46,AZ46),MAX(AX46,AZ46))*AQ46*X46^2*1E-4*DATOS!$C$83/100/1000))/2)+BG46-(IF(AND(AX46&gt;0,AZ46&gt;0),MIN(AX46,AZ46),MAX(AX46,AZ46))*AQ46*X46^2*1E-4*DATOS!$C$83/100/1000))^2-16*((BB46*AQ46*X46^2*1E-4*DATOS!$C$83/100/1000)+((MAX(AX46,AZ46)*AQ46*X46^2*1E-4*DATOS!$C$83/100/1000)+(IF(AND(AX46&gt;0,AZ46&gt;0),MIN(AX46,AZ46),MAX(AX46,AZ46))*AQ46*X46^2*1E-4*DATOS!$C$83/100/1000))/2)*BG46))))/(8*MAX(((BB46*AQ46*X46^2*1E-4*DATOS!$C$83/100/1000)+((MAX(AX46,AZ46)*AQ46*X46^2*1E-4*DATOS!$C$83/100/1000)+(IF(AND(AX46&gt;0,AZ46&gt;0),MIN(AX46,AZ46),MAX(AX46,AZ46))*AQ46*X46^2*1E-4*DATOS!$C$83/100/1000))/2),1E-9))+MAX(BW46,12*INDEX(TABLAS!$C$52:$C$58,MATCH(BU46,TABLAS!$B$52:$B$58,0)),AA46/16),IF(OR(AK46&lt;INDEX(TABLAS!$C$52:$C$58,MATCH(BU46,TABLAS!$B$52:$B$58,0)),AND(BV46&gt;=2,(AC46-2*AK46-BV46*INDEX(TABLAS!$C$52:$C$58,MATCH(BU46,TABLAS!$B$52:$B$58,0)))/MAX(BV46-1,1)&lt;2*INDEX(TABLAS!$C$52:$C$58,MATCH(BU46,TABLAS!$B$52:$B$58,0)))),INDEX(TABLAS!$I$52:$I$58,MATCH(BU46,TABLAS!$B$52:$B$58,0)),INDEX(TABLAS!$F$52:$F$58,MATCH(BU46,TABLAS!$B$52:$B$58,0)))),5))))</f>
        <v/>
      </c>
      <c r="DC46" s="60" t="str">
        <f>IF(U46&lt;&gt;"SÍ","",IF(C46="VOLADO",0,IF(((4*((BC46*AQ46*X46^2*1E-4*DATOS!$C$83/100/1000)+((MAX(AY46,BA46)*AQ46*X46^2*1E-4*DATOS!$C$83/100/1000)+(IF(AND(AY46&gt;0,BA46&gt;0),MIN(AY46,BA46),MAX(AY46,BA46))*AQ46*X46^2*1E-4*DATOS!$C$83/100/1000))/2)+BI46-(IF(AND(AY46&gt;0,BA46&gt;0),MIN(AY46,BA46),MAX(AY46,BA46))*AQ46*X46^2*1E-4*DATOS!$C$83/100/1000))^2-16*((BC46*AQ46*X46^2*1E-4*DATOS!$C$83/100/1000)+((MAX(AY46,BA46)*AQ46*X46^2*1E-4*DATOS!$C$83/100/1000)+(IF(AND(AY46&gt;0,BA46&gt;0),MIN(AY46,BA46),MAX(AY46,BA46))*AQ46*X46^2*1E-4*DATOS!$C$83/100/1000))/2)*BI46)&lt;0,CEILING(AB46,5),CEILING(MAX(AB46*((4*((BC46*AQ46*X46^2*1E-4*DATOS!$C$83/100/1000)+((MAX(AY46,BA46)*AQ46*X46^2*1E-4*DATOS!$C$83/100/1000)+(IF(AND(AY46&gt;0,BA46&gt;0),MIN(AY46,BA46),MAX(AY46,BA46))*AQ46*X46^2*1E-4*DATOS!$C$83/100/1000))/2)+BI46-(IF(AND(AY46&gt;0,BA46&gt;0),MIN(AY46,BA46),MAX(AY46,BA46))*AQ46*X46^2*1E-4*DATOS!$C$83/100/1000))-SQRT(MAX(0,((4*((BC46*AQ46*X46^2*1E-4*DATOS!$C$83/100/1000)+((MAX(AY46,BA46)*AQ46*X46^2*1E-4*DATOS!$C$83/100/1000)+(IF(AND(AY46&gt;0,BA46&gt;0),MIN(AY46,BA46),MAX(AY46,BA46))*AQ46*X46^2*1E-4*DATOS!$C$83/100/1000))/2)+BI46-(IF(AND(AY46&gt;0,BA46&gt;0),MIN(AY46,BA46),MAX(AY46,BA46))*AQ46*X46^2*1E-4*DATOS!$C$83/100/1000))^2-16*((BC46*AQ46*X46^2*1E-4*DATOS!$C$83/100/1000)+((MAX(AY46,BA46)*AQ46*X46^2*1E-4*DATOS!$C$83/100/1000)+(IF(AND(AY46&gt;0,BA46&gt;0),MIN(AY46,BA46),MAX(AY46,BA46))*AQ46*X46^2*1E-4*DATOS!$C$83/100/1000))/2)*BI46))))/(8*MAX(((BC46*AQ46*X46^2*1E-4*DATOS!$C$83/100/1000)+((MAX(AY46,BA46)*AQ46*X46^2*1E-4*DATOS!$C$83/100/1000)+(IF(AND(AY46&gt;0,BA46&gt;0),MIN(AY46,BA46),MAX(AY46,BA46))*AQ46*X46^2*1E-4*DATOS!$C$83/100/1000))/2),1E-9))+MAX(CM46,12*INDEX(TABLAS!$C$52:$C$58,MATCH(CK46,TABLAS!$B$52:$B$58,0)),AB46/16),IF(OR(AK46&lt;INDEX(TABLAS!$C$52:$C$58,MATCH(CK46,TABLAS!$B$52:$B$58,0)),AND(CL46&gt;=2,(DATOS!$C$80-2*AK46-CL46*INDEX(TABLAS!$C$52:$C$58,MATCH(CK46,TABLAS!$B$52:$B$58,0)))/MAX(CL46-1,1)&lt;2*INDEX(TABLAS!$C$52:$C$58,MATCH(CK46,TABLAS!$B$52:$B$58,0)))),INDEX(TABLAS!$I$52:$I$58,MATCH(CK46,TABLAS!$B$52:$B$58,0)),INDEX(TABLAS!$F$52:$F$58,MATCH(CK46,TABLAS!$B$52:$B$58,0)))),5))))</f>
        <v/>
      </c>
      <c r="DD46" s="55" t="str">
        <f>IF(U46&lt;&gt;"SÍ","",IF(AND(C46="PERIMETRAL",BV46&gt;=2,AR46-AS46&gt;0,AZ46*AQ46*X46^2*1E-4*DATOS!$C$83/100/1000&gt;DATOS!$C$29*INDEX(TABLAS!$D$52:$D$58,MATCH(BU46,TABLAS!$B$52:$B$58,0))*DATOS!$C$14*(BW46-INDEX(TABLAS!$D$52:$D$58,MATCH(BU46,TABLAS!$B$52:$B$58,0))*DATOS!$C$14/(DATOS!$C$21*AE46)/2)/1E5),"SÍ","NO"))</f>
        <v/>
      </c>
      <c r="DE46" s="55" t="str">
        <f>IF(U46&lt;&gt;"SÍ","",IF(AND(C46="PERIMETRAL",CL46&gt;=2,AS46&gt;0,BA46*AQ46*X46^2*1E-4*DATOS!$C$83/100/1000&gt;DATOS!$C$29*INDEX(TABLAS!$D$52:$D$58,MATCH(CK46,TABLAS!$B$52:$B$58,0))*DATOS!$C$14*(CM46-INDEX(TABLAS!$D$52:$D$58,MATCH(CK46,TABLAS!$B$52:$B$58,0))*DATOS!$C$14/(DATOS!$C$21*AF46)/2)/1E5),"SÍ","NO"))</f>
        <v/>
      </c>
      <c r="DF46" s="63" t="str">
        <f>IF(U46&lt;&gt;"SÍ","",IF(OR(C46="VOLADO",AR46=0),"—",IF(AND(AND(1.25*INDEX(TABLAS!$G$52:$G$58,MATCH(MAX(BM46,CC46),TABLAS!$B$52:$B$58,0))&lt;=(DATOS!$C$72-DATOS!$C$60),(DATOS!$C$72-DATOS!$C$60)&gt;=15,INDEX(TABLAS!$G$52:$G$58,MATCH(MAX(BU46,CK46),TABLAS!$B$52:$B$58,0))&lt;=(DATOS!$C$72-DATOS!$C$60)),8*INDEX(TABLAS!$C$52:$C$58,MATCH(MAX(MAX(BM46,CC46),MAX(BU46,CK46)),TABLAS!$B$52:$B$58,0))&lt;=DATOS!$C$73-2*DATOS!$C$60),"CUMPLE (gancho de 180°)",IF(AND(1.25*INDEX(TABLAS!$G$52:$G$58,MATCH(MAX(BM46,CC46),TABLAS!$B$52:$B$58,0))&lt;=(DATOS!$C$72-DATOS!$C$60),(DATOS!$C$72-DATOS!$C$60)&gt;=15,INDEX(TABLAS!$G$52:$G$58,MATCH(MAX(BU46,CK46),TABLAS!$B$52:$B$58,0))&lt;=(DATOS!$C$72-DATOS!$C$60)),"NO CUMPLE: el gancho de 180° (8·d_b) no cabe en el peralte de la dala de borde","NO CUMPLE: dala de borde ≥ "&amp;TEXT(CEILING(MAX(1.25*INDEX(TABLAS!$G$52:$G$58,MATCH(MAX(BM46,CC46),TABLAS!$B$52:$B$58,0)),15,INDEX(TABLAS!$G$52:$G$58,MATCH(MAX(BU46,CK46),TABLAS!$B$52:$B$58,0)))+DATOS!$C$60,5),"0")&amp;" cm de ancho"&amp;IF(8*INDEX(TABLAS!$C$52:$C$58,MATCH(MAX(MAX(BM46,CC46),MAX(BU46,CK46)),TABLAS!$B$52:$B$58,0))&lt;=DATOS!$C$73-2*DATOS!$C$60,""," y más peralte para el gancho")))))</f>
        <v/>
      </c>
      <c r="DG46" s="59" t="str">
        <f>IF(U46&lt;&gt;"SÍ","",MAX(0,INT((E46*100-DATOS!$C$84+DATOS!$C$83-IF(W46="X",DATOS!$C$78,AD46))/DATOS!$C$83)))</f>
        <v/>
      </c>
      <c r="DH46" s="59" t="str">
        <f>IF(U46&lt;&gt;"SÍ","",MAX(0,INT((F46*100-DATOS!$C$84+DATOS!$C$83-IF(W46="Y",DATOS!$C$78,AD46))/DATOS!$C$83)))</f>
        <v/>
      </c>
      <c r="DI46" s="57" t="str">
        <f>IF(U46&lt;&gt;"SÍ","",IF(DG46&gt;0,(E46*100-DATOS!$C$84-(DG46*IF(W46="X",DATOS!$C$78,AD46)+(DG46-1)*(DATOS!$C$83-IF(W46="X",DATOS!$C$78,AD46))))/2,E46*100/2))</f>
        <v/>
      </c>
      <c r="DJ46" s="57" t="str">
        <f>IF(U46&lt;&gt;"SÍ","",IF(DH46&gt;0,(F46*100-DATOS!$C$84-(DH46*IF(W46="Y",DATOS!$C$78,AD46)+(DH46-1)*(DATOS!$C$83-IF(W46="Y",DATOS!$C$78,AD46))))/2,F46*100/2))</f>
        <v/>
      </c>
      <c r="DK46" s="59" t="str">
        <f>IF(U46&lt;&gt;"SÍ","",IF(NOT(AND(C46="VOLADO",AC46&gt;DATOS!$C$80)),0,IF(INDEX(TABLAS!$C$52:$C$58,MATCH(BU46,TABLAS!$B$52:$B$58,0))&lt;=DATOS!$C$80-2*DATOS!$C$60,1,0)))</f>
        <v/>
      </c>
      <c r="DL46" s="58" t="str">
        <f>IF(U46&lt;&gt;"SÍ","",IF(NOT(AND(C46="VOLADO",AC46&gt;DATOS!$C$80)),0,((DATOS!$C$82-MAX(DATOS!$C$60,(DATOS!$C$81-2*DATOS!$C$94)/2)-2*DATOS!$C$94-INDEX(TABLAS!$C$52:$C$58,MATCH(BU46,TABLAS!$B$52:$B$58,0))/2)-IF(AND((DATOS!$C$82-MAX(DATOS!$C$60,(DATOS!$C$81-2*DATOS!$C$94)/2)-2*DATOS!$C$94-INDEX(TABLAS!$C$52:$C$58,MATCH(BU46,TABLAS!$B$52:$B$58,0))/2)&lt;=20,DATOS!$C$62&lt;&gt;"SÍ"),2,0))))</f>
        <v/>
      </c>
      <c r="DM46" s="56" t="str">
        <f>IF(U46&lt;&gt;"SÍ","",IF(OR(NOT(AND(C46="VOLADO",AC46&gt;DATOS!$C$80)),DK46&lt;1),0,IF(0.003*(DL46-((DK46*INDEX(TABLAS!$D$52:$D$58,MATCH(BU46,TABLAS!$B$52:$B$58,0)))*DATOS!$C$14/(DATOS!$C$21*AF46)/DATOS!$C$22))/((DK46*INDEX(TABLAS!$D$52:$D$58,MATCH(BU46,TABLAS!$B$52:$B$58,0)))*DATOS!$C$14/(DATOS!$C$21*AF46)/DATOS!$C$22)&lt;0.005,0,DATOS!$C$29*(DK46*INDEX(TABLAS!$D$52:$D$58,MATCH(BU46,TABLAS!$B$52:$B$58,0)))*DATOS!$C$14*(DL46-(DK46*INDEX(TABLAS!$D$52:$D$58,MATCH(BU46,TABLAS!$B$52:$B$58,0)))*DATOS!$C$14/(DATOS!$C$21*AF46)/2)/1E5)))</f>
        <v/>
      </c>
      <c r="DN46" s="56" t="str">
        <f>IF(U46&lt;&gt;"SÍ","",IF(OR(NOT(AND(C46="VOLADO",AC46&gt;DATOS!$C$80)),DK46&lt;1),0,DATOS!$C$30*2*MIN(1,SQRT(2/(1+0.04*DL46)))*((DK46*INDEX(TABLAS!$D$52:$D$58,MATCH(BU46,TABLAS!$B$52:$B$58,0)))/(AF46*DL46))^(1/3)*SQRT(DATOS!$C$13)*AF46*DL46/1000))</f>
        <v/>
      </c>
      <c r="DO46" s="56" t="str">
        <f>IF(U46&lt;&gt;"SÍ","",IF(NOT(AND(C46="VOLADO",AC46&gt;DATOS!$C$80)),0,IF((BG46-DM46)&lt;=0,0,IF(DM46&lt;=0,IF(ISNUMBER(P46),P46,X46),IF(((0.9*DATOS!$C$87*DATOS!$C$83/100/1000)*IF(ISNUMBER(P46),P46,X46)/2+BG46/IF(ISNUMBER(P46),P46,X46))^2-4*((0.9*DATOS!$C$87*DATOS!$C$83/100/1000)/2)*(BG46-DM46)&lt;0,IF(ISNUMBER(P46),P46,X46),MIN(IF(ISNUMBER(P46),P46,X46),(((0.9*DATOS!$C$87*DATOS!$C$83/100/1000)*IF(ISNUMBER(P46),P46,X46)/2+BG46/IF(ISNUMBER(P46),P46,X46))-SQRT(((0.9*DATOS!$C$87*DATOS!$C$83/100/1000)*IF(ISNUMBER(P46),P46,X46)/2+BG46/IF(ISNUMBER(P46),P46,X46))^2-4*((0.9*DATOS!$C$87*DATOS!$C$83/100/1000)/2)*(BG46-DM46)))/(2*((0.9*DATOS!$C$87*DATOS!$C$83/100/1000)/2))))))))</f>
        <v/>
      </c>
      <c r="DP46" s="56" t="str">
        <f>IF(U46&lt;&gt;"SÍ","",IF(NOT(AND(C46="VOLADO",AC46&gt;DATOS!$C$80)),0,MIN(IF(ISNUMBER(P46),P46,X46),MAX(0,IF(ISNUMBER(P46),P46,X46)/2+BG46/IF(ISNUMBER(P46),P46,X46)/(AQ46*DATOS!$C$83/100/1000)-DN46/(AQ46*DATOS!$C$83/100/1000)))))</f>
        <v/>
      </c>
      <c r="DQ46" s="56" t="str">
        <f>IF(U46&lt;&gt;"SÍ","",IF(NOT(AND(C46="VOLADO",AC46&gt;DATOS!$C$80)),0,BG46/IF(ISNUMBER(P46),P46,X46)+(AQ46*DATOS!$C$83/100/1000)*MAX(0,IF(ISNUMBER(P46),P46,X46)/2-BW46/100)))</f>
        <v/>
      </c>
      <c r="DR46" s="59" t="str">
        <f>IF(U46&lt;&gt;"SÍ","",IF(NOT(AND(C46="VOLADO",AC46&gt;DATOS!$C$80)),0,CEILING(100*MIN(IF(ISNUMBER(P46),P46,X46),MAX(IF(DO46&gt;0,DO46+IF(BV46&gt;=2,MAX(DL46,12*INDEX(TABLAS!$C$52:$C$58,MATCH(BU46,TABLAS!$B$52:$B$58,0)))/100,0),0),DP46,IF(BV46&gt;=2,INDEX(TABLAS!$F$52:$F$58,MATCH(BU46,TABLAS!$B$52:$B$58,0))/100,0))),5)))</f>
        <v/>
      </c>
      <c r="DS46" s="60" t="str">
        <f>IF(U46&lt;&gt;"SÍ","",IF(NOT(AND(C46="VOLADO",AC46&gt;DATOS!$C$80)),0,IF(DR46&lt;=0,0,CEILING(DR46/DATOS!$C$83,1))))</f>
        <v/>
      </c>
      <c r="DT46" s="61" t="str">
        <f>IF(U46&lt;&gt;"SÍ","",IF(C46&lt;&gt;"VOLADO","—",IF(AC46&lt;=DATOS!$C$80,"— (mismo b_w que el respaldo)",IF(DQ46&gt;CR46,"NO CUMPLE: cortante de la nervadura ancha junto al apoyo ("&amp;TEXT(DQ46,"0.00")&amp;" &gt; "&amp;TEXT(CR46,"0.00")&amp;" t)",IF(DR46&gt;=100*IF(ISNUMBER(P46),P46,X46),"CUMPLE — todas las nervaduras del respaldo ‖ al volado con b_w = "&amp;AC46&amp;" cm","CUMPLE — "&amp;DS46&amp;" hilera(s) del respaldo con nervaduras de b_w = "&amp;AC46&amp;" cm (casetón "&amp;AD46&amp;" cm), hasta "&amp;TEXT(DR46/100,"0.00")&amp;" m del paño")))))</f>
        <v/>
      </c>
      <c r="DU46" s="69" t="str">
        <f>IF(U46&lt;&gt;"SÍ","",IF(BN46=0,"NO ALCANZA",BN46&amp;" No. "&amp;BM46&amp;IF(BN46&gt;1," corridas"," corrida")))</f>
        <v/>
      </c>
      <c r="DV46" s="69" t="str">
        <f>IF(U46&lt;&gt;"SÍ","",IF(BV46=0,"NO ALCANZA",IF(AND(C46="VOLADO",AC46&gt;DATOS!$C$80,BV46&gt;=2),"1 No. "&amp;BU46&amp;" corrida de la orilla al respaldo ("&amp;IF(DB46&gt;=100*IF(ISNUMBER(P46),P46,X46),"hasta su apoyo lejano, con gancho","entra "&amp;TEXT(DB46/100,"0.00")&amp;" m desde el paño")&amp;") + "&amp;(BV46-1)&amp;" bastón No. "&amp;BU46&amp;" hasta "&amp;TEXT(DR46/100,"0.00")&amp;" m del paño (fin de la nervadura ancha)",IF(C46="VOLADO",BV46&amp;" No. "&amp;BU46&amp;" de la orilla al respaldo ("&amp;IF(DB46&gt;=100*IF(ISNUMBER(P46),P46,X46),"hasta su apoyo lejano, con gancho","entran "&amp;TEXT(DB46/100,"0.00")&amp;" m desde el paño")&amp;")","1 No. "&amp;BU46&amp;" corrida"&amp;IF(BV46&gt;1," + "&amp;(BV46-1)&amp;" bastón No. "&amp;BU46&amp;" L = "&amp;TEXT(DB46/100,"0.00")&amp;" m desde el paño","")))))</f>
        <v/>
      </c>
      <c r="DW46" s="69" t="str">
        <f>IF(U46&lt;&gt;"SÍ","",IF(CD46=0,"NO ALCANZA",CD46&amp;" No. "&amp;CC46&amp;IF(CD46&gt;1," corridas"," corrida")))</f>
        <v/>
      </c>
      <c r="DX46" s="69" t="str">
        <f>IF(U46&lt;&gt;"SÍ","",IF(CL46=0,"NO ALCANZA",IF(C46="VOLADO","1 No. "&amp;CK46&amp;" corrida (repartición)","1 No. "&amp;CK46&amp;" corrida"&amp;IF(CL46&gt;1," + "&amp;(CL46-1)&amp;" bastón No. "&amp;CK46&amp;" L = "&amp;TEXT(DC46/100,"0.00")&amp;" m desde el paño",""))))</f>
        <v/>
      </c>
      <c r="DY46" s="67" t="str">
        <f>IF(B46="","",IF(U46&lt;&gt;"SÍ","FALTAN DATOS: tipo, a_x, a_y y destino",IF(L46="NO MONOLÍTICO (caso II)","FUERA DE ALCANCE: caso II no transcrito",IF(AND(C46="VOLADO",V46="?"),"REVISAR: el volado lleva UN solo borde CONTINUO (el empotrado)",IF(AND(MAX(BQ46,BY46,CG46,CO46)&lt;=1,NOT(OR(BN46&gt;MIN(DATOS!$C$70,INT(((AC46-2*AJ46)+MAX(DATOS!$C$67,INDEX(TABLAS!$C$52:$C$58,MATCH(BM46,TABLAS!$B$52:$B$58,0))))/(INDEX(TABLAS!$C$52:$C$58,MATCH(BM46,TABLAS!$B$52:$B$58,0))+MAX(DATOS!$C$67,INDEX(TABLAS!$C$52:$C$58,MATCH(BM46,TABLAS!$B$52:$B$58,0)))))),BV46&gt;MIN(DATOS!$C$70,INT(((AC46-2*AK46)+MAX(DATOS!$C$67,INDEX(TABLAS!$C$52:$C$58,MATCH(BU46,TABLAS!$B$52:$B$58,0))))/(INDEX(TABLAS!$C$52:$C$58,MATCH(BU46,TABLAS!$B$52:$B$58,0))+MAX(DATOS!$C$67,INDEX(TABLAS!$C$52:$C$58,MATCH(BU46,TABLAS!$B$52:$B$58,0)))))),CD46&gt;MIN(DATOS!$C$70,INT(((DATOS!$C$80-2*AJ46)+MAX(DATOS!$C$67,INDEX(TABLAS!$C$52:$C$58,MATCH(CC46,TABLAS!$B$52:$B$58,0))))/(INDEX(TABLAS!$C$52:$C$58,MATCH(CC46,TABLAS!$B$52:$B$58,0))+MAX(DATOS!$C$67,INDEX(TABLAS!$C$52:$C$58,MATCH(CC46,TABLAS!$B$52:$B$58,0)))))),CL46&gt;MIN(DATOS!$C$70,INT(((DATOS!$C$80-2*AK46)+MAX(DATOS!$C$67,INDEX(TABLAS!$C$52:$C$58,MATCH(CK46,TABLAS!$B$52:$B$58,0))))/(INDEX(TABLAS!$C$52:$C$58,MATCH(CK46,TABLAS!$B$52:$B$58,0))+MAX(DATOS!$C$67,INDEX(TABLAS!$C$52:$C$58,MATCH(CK46,TABLAS!$B$52:$B$58,0)))))))),NOT(OR(AND(ISNUMBER(BR46),BR46&lt;0.005),AND(ISNUMBER(BZ46),BZ46&lt;0.005),AND(ISNUMBER(CH46),CH46&lt;0.005),AND(ISNUMBER(CP46),CP46&lt;0.005))),NOT(LEFT(DT46,2)="NO"),CZ46="CUMPLE",DA46="CUMPLE",LEFT(CT46,2)&lt;&gt;"NO"),IF(LEFT(CT46,6)="CUMPLE","CUMPLE","CUMPLE — "&amp;CT46)&amp;IF(LEFT(BJ46,5)="FUERA"," · fuera de 3.4.2.1 c)","")&amp;IF(LEFT(DF46,2)="NO"," · REVISAR anclaje en borde discontinuo","")&amp;IF(DS46&gt;0," · respaldo: "&amp;DS46&amp;" hilera(s) de b_w "&amp;AC46&amp;" cm",""),IF(AND(MAX(BQ46,BY46,CG46,CO46)&lt;=1,NOT(OR(BN46&gt;MIN(DATOS!$C$70,INT(((AC46-2*AJ46)+MAX(DATOS!$C$67,INDEX(TABLAS!$C$52:$C$58,MATCH(BM46,TABLAS!$B$52:$B$58,0))))/(INDEX(TABLAS!$C$52:$C$58,MATCH(BM46,TABLAS!$B$52:$B$58,0))+MAX(DATOS!$C$67,INDEX(TABLAS!$C$52:$C$58,MATCH(BM46,TABLAS!$B$52:$B$58,0)))))),BV46&gt;MIN(DATOS!$C$70,INT(((AC46-2*AK46)+MAX(DATOS!$C$67,INDEX(TABLAS!$C$52:$C$58,MATCH(BU46,TABLAS!$B$52:$B$58,0))))/(INDEX(TABLAS!$C$52:$C$58,MATCH(BU46,TABLAS!$B$52:$B$58,0))+MAX(DATOS!$C$67,INDEX(TABLAS!$C$52:$C$58,MATCH(BU46,TABLAS!$B$52:$B$58,0)))))),CD46&gt;MIN(DATOS!$C$70,INT(((DATOS!$C$80-2*AJ46)+MAX(DATOS!$C$67,INDEX(TABLAS!$C$52:$C$58,MATCH(CC46,TABLAS!$B$52:$B$58,0))))/(INDEX(TABLAS!$C$52:$C$58,MATCH(CC46,TABLAS!$B$52:$B$58,0))+MAX(DATOS!$C$67,INDEX(TABLAS!$C$52:$C$58,MATCH(CC46,TABLAS!$B$52:$B$58,0)))))),CL46&gt;MIN(DATOS!$C$70,INT(((DATOS!$C$80-2*AK46)+MAX(DATOS!$C$67,INDEX(TABLAS!$C$52:$C$58,MATCH(CK46,TABLAS!$B$52:$B$58,0))))/(INDEX(TABLAS!$C$52:$C$58,MATCH(CK46,TABLAS!$B$52:$B$58,0))+MAX(DATOS!$C$67,INDEX(TABLAS!$C$52:$C$58,MATCH(CK46,TABLAS!$B$52:$B$58,0)))))))),NOT(OR(AND(ISNUMBER(BR46),BR46&lt;0.005),AND(ISNUMBER(BZ46),BZ46&lt;0.005),AND(ISNUMBER(CH46),CH46&lt;0.005),AND(ISNUMBER(CP46),CP46&lt;0.005))),NOT(LEFT(DT46,2)="NO"),CZ46="CALCULAR FLECHA",LEFT(CT46,2)&lt;&gt;"NO"),"REVISAR: calcular flecha (h_eq &lt; h mín.)"&amp;IF(LEFT(BJ46,5)="FUERA"," · fuera de 3.4.2.1 c)","")&amp;IF(LEFT(DF46,2)="NO"," · REVISAR anclaje en borde discontinuo","")&amp;IF(DS46&gt;0," · respaldo: "&amp;DS46&amp;" hilera(s) de b_w "&amp;AC46&amp;" cm",""),"NO CUMPLE: "&amp;IF(MAX(BQ46,BY46,CG46,CO46)&gt;1,"flexión ","")&amp;IF(OR(BN46&gt;MIN(DATOS!$C$70,INT(((AC46-2*AJ46)+MAX(DATOS!$C$67,INDEX(TABLAS!$C$52:$C$58,MATCH(BM46,TABLAS!$B$52:$B$58,0))))/(INDEX(TABLAS!$C$52:$C$58,MATCH(BM46,TABLAS!$B$52:$B$58,0))+MAX(DATOS!$C$67,INDEX(TABLAS!$C$52:$C$58,MATCH(BM46,TABLAS!$B$52:$B$58,0)))))),BV46&gt;MIN(DATOS!$C$70,INT(((AC46-2*AK46)+MAX(DATOS!$C$67,INDEX(TABLAS!$C$52:$C$58,MATCH(BU46,TABLAS!$B$52:$B$58,0))))/(INDEX(TABLAS!$C$52:$C$58,MATCH(BU46,TABLAS!$B$52:$B$58,0))+MAX(DATOS!$C$67,INDEX(TABLAS!$C$52:$C$58,MATCH(BU46,TABLAS!$B$52:$B$58,0)))))),CD46&gt;MIN(DATOS!$C$70,INT(((DATOS!$C$80-2*AJ46)+MAX(DATOS!$C$67,INDEX(TABLAS!$C$52:$C$58,MATCH(CC46,TABLAS!$B$52:$B$58,0))))/(INDEX(TABLAS!$C$52:$C$58,MATCH(CC46,TABLAS!$B$52:$B$58,0))+MAX(DATOS!$C$67,INDEX(TABLAS!$C$52:$C$58,MATCH(CC46,TABLAS!$B$52:$B$58,0)))))),CL46&gt;MIN(DATOS!$C$70,INT(((DATOS!$C$80-2*AK46)+MAX(DATOS!$C$67,INDEX(TABLAS!$C$52:$C$58,MATCH(CK46,TABLAS!$B$52:$B$58,0))))/(INDEX(TABLAS!$C$52:$C$58,MATCH(CK46,TABLAS!$B$52:$B$58,0))+MAX(DATOS!$C$67,INDEX(TABLAS!$C$52:$C$58,MATCH(CK46,TABLAS!$B$52:$B$58,0))))))),"no caben ","")&amp;IF(OR(AND(ISNUMBER(BR46),BR46&lt;0.005),AND(ISNUMBER(BZ46),BZ46&lt;0.005),AND(ISNUMBER(CH46),CH46&lt;0.005),AND(ISNUMBER(CP46),CP46&lt;0.005)),"ε_t &lt; 0.005 ","")&amp;IF(LEFT(CT46,2)="NO","cortante ","")&amp;IF(CZ46="NO CUMPLE","peralte ","")&amp;IF(DA46&lt;&gt;"CUMPLE","capa &lt; 6 cm ","")&amp;IF(LEFT(DT46,2)="NO","respaldo del volado","")))))))</f>
        <v/>
      </c>
      <c r="DZ46" s="70" t="str">
        <f>IF(U46&lt;&gt;"SÍ","",IF(LEFT(B46,7)="EJEMPLO","EJEMPLO de la hoja de Casa Rocha: bórralo o sobrescríbelo. ","")&amp;IF(AND(C46="PERIMETRAL",MIN(DG46,DH46)=0),"No cabe un casetón en el claro corto: es un tablero macizo, diséñalo en MACIZAS. ","")&amp;IF(AND(AI46="NO",C46="PERIMETRAL"),"No cumple 6.7.8.1.4 (a_c = "&amp;MAX(DATOS!$C$78,AD46)&amp;" cm &gt; claro corto/6 = "&amp;TEXT(X46*100/6,"0")&amp;" cm): se diseña como losa apoyada en vigas (6.7.8.1.9): r de viga = "&amp;DATOS!$C$60&amp;" cm y V_cR sin ×1.1. Para que cuente como encasetonada: casetón de "&amp;TEXT(FLOOR(MIN(80,X46*100/6),1),"0")&amp;" cm o menor. ","")&amp;IF(C46="VOLADO","Volado de "&amp;TEXT(X46,"0.00")&amp;" m empotrado en el borde "&amp;LOWER(V46)&amp;IF(N(O46)&gt;0,", con "&amp;TEXT(O46,"0.0")&amp;" kg/m en la orilla","")&amp;". Lecho inferior con r_ext. Si la orilla carga pretil u otro elemento frágil, calcula la flecha (13.4). El acero superior entra al respaldo de "&amp;TEXT(IF(ISNUMBER(P46),P46,X46),"0.00")&amp;" m"&amp;IF(ISNUMBER(P46),""," (L_b no capturado: se tomó igual al volado)")&amp;" hasta pasar M = 0 con 0.9·PP sin carga viva; si ahí no se anula, llega al apoyo lejano y se ancla con gancho (NTC-Criterios 3.4.1 c y 5.1.2.2). "&amp;IF(AC46&gt;DATOS!$C$80,"Respaldo: "&amp;DT46&amp;". ",""),"")&amp;IF(LEFT(BJ46,5)="FUERA","El M⁻ del vecino difiere más de 50 % (3.4.2.1 c): distribuye el desequilibrio (3.4.3.1) o confirma con un modelo; se arma con el mayor. ","")&amp;IF(OR(DD46="SÍ",DE46="SÍ"),"El M⁻ del borde discontinuo pide bastón también ahí (con gancho). ","")&amp;IF(LEFT(DF46,2)="NO","Anclaje: "&amp;DF46&amp;" (6.7.8.1.7). ","")&amp;IF(OR(AZ46&gt;0,BA46&gt;0),"Esquinas exteriores sobre muro: refuerzo de esquina arriba y abajo en L_largo/5 (6.7.7.3.1). ",""))</f>
        <v/>
      </c>
    </row>
    <row r="47" ht="33" customHeight="1">
      <c r="A47" s="50">
        <f>IF(B47="",0,1)+A46</f>
        <v>4</v>
      </c>
      <c r="B47" s="29" t="n"/>
      <c r="C47" s="51" t="n"/>
      <c r="D47" s="29" t="n"/>
      <c r="E47" s="52" t="n"/>
      <c r="F47" s="52" t="n"/>
      <c r="G47" s="51" t="n"/>
      <c r="H47" s="51" t="n"/>
      <c r="I47" s="51" t="n"/>
      <c r="J47" s="51" t="n"/>
      <c r="K47" s="51" t="n"/>
      <c r="L47" s="51" t="n"/>
      <c r="M47" s="53" t="n"/>
      <c r="N47" s="53" t="n"/>
      <c r="O47" s="54" t="n"/>
      <c r="P47" s="52" t="n"/>
      <c r="Q47" s="53" t="n"/>
      <c r="R47" s="54" t="n"/>
      <c r="S47" s="52" t="n"/>
      <c r="T47" s="52" t="n"/>
      <c r="U47" s="55" t="str">
        <f>IF(B47="","",IF(AND(OR(C47="PERIMETRAL",C47="VOLADO"),ISNUMBER(E47),ISNUMBER(F47),E47&gt;0,F47&gt;0,OR(ISNUMBER(N47),ISNUMBER(MATCH(D47,DATOS!$B$46:$B$55,0)))),"SÍ","NO"))</f>
        <v/>
      </c>
      <c r="V47" s="55" t="str">
        <f>IF(U47&lt;&gt;"SÍ","",IF(C47&lt;&gt;"VOLADO","—",IF(COUNTIF(G47:J47,"CONTINUO")&lt;&gt;1,"?",IF(G47="CONTINUO","INFERIOR",IF(H47="CONTINUO","SUPERIOR",IF(I47="CONTINUO","IZQUIERDO","DERECHO"))))))</f>
        <v/>
      </c>
      <c r="W47" s="55" t="str">
        <f>IF(U47&lt;&gt;"SÍ","",IF(C47="VOLADO",IF(OR(V47="IZQUIERDO",V47="DERECHO"),"X","Y"),IF(E47&lt;=F47,"X","Y")))</f>
        <v/>
      </c>
      <c r="X47" s="56" t="str">
        <f>IF(U47&lt;&gt;"SÍ","",IF(C47="VOLADO",IF(W47="X",E47,F47),MIN(E47,F47)))</f>
        <v/>
      </c>
      <c r="Y47" s="56" t="str">
        <f>IF(U47&lt;&gt;"SÍ","",IF(C47="VOLADO",IF(W47="X",F47,E47),MAX(E47,F47)))</f>
        <v/>
      </c>
      <c r="Z47" s="56" t="str">
        <f>IF(U47&lt;&gt;"SÍ","",MIN(X47,Y47)/MAX(X47,Y47))</f>
        <v/>
      </c>
      <c r="AA47" s="57" t="str">
        <f>IF(U47&lt;&gt;"SÍ","",MAX(1,X47*100-IF(C47="VOLADO",DATOS!$C$84/2,DATOS!$C$84)))</f>
        <v/>
      </c>
      <c r="AB47" s="57" t="str">
        <f>IF(U47&lt;&gt;"SÍ","",MAX(1,Y47*100-DATOS!$C$84))</f>
        <v/>
      </c>
      <c r="AC47" s="57" t="str">
        <f>IF(U47&lt;&gt;"SÍ","",IF(ISNUMBER(Q47),Q47,DATOS!$C$80))</f>
        <v/>
      </c>
      <c r="AD47" s="57" t="str">
        <f>IF(U47&lt;&gt;"SÍ","",MAX(0,DATOS!$C$83-AC47))</f>
        <v/>
      </c>
      <c r="AE47" s="57" t="str">
        <f>IF(U47&lt;&gt;"SÍ","",IF(OR(DATOS!$C$62="SÍ",AC47&gt;=20),AC47,AC47-2))</f>
        <v/>
      </c>
      <c r="AF47" s="57" t="str">
        <f>IF(U47&lt;&gt;"SÍ","",IF(OR(DATOS!$C$62="SÍ",DATOS!$C$80&gt;=20),DATOS!$C$80,DATOS!$C$80-2))</f>
        <v/>
      </c>
      <c r="AG47" s="57" t="str">
        <f>IF(U47&lt;&gt;"SÍ","",MIN(DATOS!$C$83,AC47+2*MIN(8*DATOS!$C$81,AD47/2,AA47/8)))</f>
        <v/>
      </c>
      <c r="AH47" s="57" t="str">
        <f>IF(U47&lt;&gt;"SÍ","",MIN(DATOS!$C$83,DATOS!$C$80+2*MIN(8*DATOS!$C$81,DATOS!$C$78/2,AB47/8)))</f>
        <v/>
      </c>
      <c r="AI47" s="55" t="str">
        <f>IF(U47&lt;&gt;"SÍ","",IF(AND(C47="PERIMETRAL",X47*100&gt;=6*MAX(DATOS!$C$78,AD47),MAX(DATOS!$C$78,AD47)&lt;=80,MIN(DATOS!$C$80,AC47)&gt;=10,DATOS!$C$82&lt;=3.5*MIN(DATOS!$C$80,AC47),DATOS!$C$81&gt;=MAX(MAX(DATOS!$C$78,AD47)/13,5)),"SÍ","NO"))</f>
        <v/>
      </c>
      <c r="AJ47" s="57" t="str">
        <f>IF(U47&lt;&gt;"SÍ","",IF(C47="VOLADO",DATOS!$C$61,IF(AI47="NO",DATOS!$C$60,DATOS!$C$59)))</f>
        <v/>
      </c>
      <c r="AK47" s="57" t="str">
        <f>IF(U47&lt;&gt;"SÍ","",IF(OR(AND(AM47="SÍ",DATOS!$C$63="SÍ"),AND(C47="VOLADO",DATOS!$C$64="SÍ")),DATOS!$C$61,IF(AI47="NO",DATOS!$C$60,DATOS!$C$59)))</f>
        <v/>
      </c>
      <c r="AL47" s="58" t="str">
        <f>IF(U47&lt;&gt;"SÍ","",MAX(AK47,(DATOS!$C$81-2*DATOS!$C$94)/2))</f>
        <v/>
      </c>
      <c r="AM47" s="55" t="str">
        <f>IF(U47&lt;&gt;"SÍ","",IFERROR(INDEX(DATOS!$D$46:$D$55,MATCH(D47,DATOS!$B$46:$B$55,0)),"NO"))</f>
        <v/>
      </c>
      <c r="AN47" s="59" t="str">
        <f>IF(U47&lt;&gt;"SÍ","",IF(ISNUMBER(N47),N47,IFERROR(INDEX(DATOS!$C$46:$C$55,MATCH(D47,DATOS!$B$46:$B$55,0)),0)))</f>
        <v/>
      </c>
      <c r="AO47" s="59" t="str">
        <f>IF(U47&lt;&gt;"SÍ","",(DATOS!$C$82/100-(AD47*DATOS!$C$78/DATOS!$C$83^2)*DATOS!$C$79/100)*DATOS!$C$16*1000+(AD47*DATOS!$C$78/DATOS!$C$83^2)*DATOS!$C$79/100*DATOS!$C$17*1000+DATOS!$C$37+DATOS!$C$38)</f>
        <v/>
      </c>
      <c r="AP47" s="59" t="str">
        <f>IF(U47&lt;&gt;"SÍ","",AO47+N(M47))</f>
        <v/>
      </c>
      <c r="AQ47" s="60" t="str">
        <f>IF(U47&lt;&gt;"SÍ","",MAX(DATOS!$C$26*AP47+DATOS!$C$27*AN47,IF(AM47="SÍ",DATOS!$C$28*(AP47+DATOS!$C$41),0)))</f>
        <v/>
      </c>
      <c r="AR47" s="59" t="str">
        <f>IF(U47&lt;&gt;"SÍ","",(G47="DISCONTINUO")+(H47="DISCONTINUO")+(I47="DISCONTINUO")+(J47="DISCONTINUO"))</f>
        <v/>
      </c>
      <c r="AS47" s="59" t="str">
        <f>IF(U47&lt;&gt;"SÍ","",IF(W47="X",(G47="DISCONTINUO")+(H47="DISCONTINUO"),(I47="DISCONTINUO")+(J47="DISCONTINUO")))</f>
        <v/>
      </c>
      <c r="AT47" s="55" t="str">
        <f>IF(U47&lt;&gt;"SÍ","",IF(AR47=0,"INTERIOR",IF(AR47=1,IF(AS47=1,"BORDE-CORTO","BORDE-LARGO"),IF(AR47=2,IF(AS47=1,"ESQUINA",IF(AS47=2,"EXTREMO-LARGO","EXTREMO-CORTO")),IF(AR47=3,IF(AS47=2,"EXTREMO-LARGO","EXTREMO-CORTO"),"AISLADO")))))</f>
        <v/>
      </c>
      <c r="AU47" s="61" t="str">
        <f>IF(U47&lt;&gt;"SÍ","",IF(OR(K47="",K47="AUTO"),AT47,K47))</f>
        <v/>
      </c>
      <c r="AV47" s="59" t="str">
        <f>IF(U47&lt;&gt;"SÍ","",MATCH(Z47,TABLAS!$D$5:$J$5,1))</f>
        <v/>
      </c>
      <c r="AW47" s="58" t="str">
        <f>IF(U47&lt;&gt;"SÍ","",IF(AV47&gt;=7,0,(Z47-INDEX(TABLAS!$D$5:$J$5,AV47))/(INDEX(TABLAS!$D$5:$J$5,AV47+1)-INDEX(TABLAS!$D$5:$J$5,AV47))))</f>
        <v/>
      </c>
      <c r="AX47" s="59" t="str">
        <f>IF(U47&lt;&gt;"SÍ","",INDEX(TABLAS!$D$6:$J$47,MATCH(AU47&amp;"|NIC",TABLAS!$B$6:$B$47,0),AV47)+AW47*(INDEX(TABLAS!$D$6:$J$47,MATCH(AU47&amp;"|NIC",TABLAS!$B$6:$B$47,0),MIN(AV47+1,7))-INDEX(TABLAS!$D$6:$J$47,MATCH(AU47&amp;"|NIC",TABLAS!$B$6:$B$47,0),AV47)))</f>
        <v/>
      </c>
      <c r="AY47" s="59" t="str">
        <f>IF(U47&lt;&gt;"SÍ","",INDEX(TABLAS!$D$6:$J$47,MATCH(AU47&amp;"|NIL",TABLAS!$B$6:$B$47,0),AV47)+AW47*(INDEX(TABLAS!$D$6:$J$47,MATCH(AU47&amp;"|NIL",TABLAS!$B$6:$B$47,0),MIN(AV47+1,7))-INDEX(TABLAS!$D$6:$J$47,MATCH(AU47&amp;"|NIL",TABLAS!$B$6:$B$47,0),AV47)))</f>
        <v/>
      </c>
      <c r="AZ47" s="59" t="str">
        <f>IF(U47&lt;&gt;"SÍ","",INDEX(TABLAS!$D$6:$J$47,MATCH(AU47&amp;"|NDC",TABLAS!$B$6:$B$47,0),AV47)+AW47*(INDEX(TABLAS!$D$6:$J$47,MATCH(AU47&amp;"|NDC",TABLAS!$B$6:$B$47,0),MIN(AV47+1,7))-INDEX(TABLAS!$D$6:$J$47,MATCH(AU47&amp;"|NDC",TABLAS!$B$6:$B$47,0),AV47)))</f>
        <v/>
      </c>
      <c r="BA47" s="59" t="str">
        <f>IF(U47&lt;&gt;"SÍ","",INDEX(TABLAS!$D$6:$J$47,MATCH(AU47&amp;"|NDL",TABLAS!$B$6:$B$47,0),AV47)+AW47*(INDEX(TABLAS!$D$6:$J$47,MATCH(AU47&amp;"|NDL",TABLAS!$B$6:$B$47,0),MIN(AV47+1,7))-INDEX(TABLAS!$D$6:$J$47,MATCH(AU47&amp;"|NDL",TABLAS!$B$6:$B$47,0),AV47)))</f>
        <v/>
      </c>
      <c r="BB47" s="59" t="str">
        <f>IF(U47&lt;&gt;"SÍ","",INDEX(TABLAS!$D$6:$J$47,MATCH(AU47&amp;"|PC",TABLAS!$B$6:$B$47,0),AV47)+AW47*(INDEX(TABLAS!$D$6:$J$47,MATCH(AU47&amp;"|PC",TABLAS!$B$6:$B$47,0),MIN(AV47+1,7))-INDEX(TABLAS!$D$6:$J$47,MATCH(AU47&amp;"|PC",TABLAS!$B$6:$B$47,0),AV47)))</f>
        <v/>
      </c>
      <c r="BC47" s="59" t="str">
        <f>IF(U47&lt;&gt;"SÍ","",INDEX(TABLAS!$D$6:$J$47,MATCH(AU47&amp;"|PL",TABLAS!$B$6:$B$47,0),AV47)+AW47*(INDEX(TABLAS!$D$6:$J$47,MATCH(AU47&amp;"|PL",TABLAS!$B$6:$B$47,0),MIN(AV47+1,7))-INDEX(TABLAS!$D$6:$J$47,MATCH(AU47&amp;"|PL",TABLAS!$B$6:$B$47,0),AV47)))</f>
        <v/>
      </c>
      <c r="BD47" s="56" t="str">
        <f>IF(U47&lt;&gt;"SÍ","",IF(C47&lt;&gt;"VOLADO",0,DATOS!$C$26*DATOS!$C$16*DATOS!$C$83/100*(((AD47*DATOS!$C$78/DATOS!$C$83^2)*DATOS!$C$79/100)*(IF(W47="X",DI47,DJ47)+DATOS!$C$84/2)/100*(AA47-(IF(W47="X",DI47,DJ47)+DATOS!$C$84/2)/2)/100+((AD47*DATOS!$C$78/DATOS!$C$83^2)*DATOS!$C$79/100)*IF(W47="X",DI47,DJ47)/100*IF(W47="X",DI47,DJ47)/200)))</f>
        <v/>
      </c>
      <c r="BE47" s="56" t="str">
        <f>IF(U47&lt;&gt;"SÍ","",IF(C47&lt;&gt;"VOLADO",0,DATOS!$C$26*DATOS!$C$16*DATOS!$C$83/100*((AD47*DATOS!$C$78/DATOS!$C$83^2)*DATOS!$C$79/100)*(IF(W47="X",DI47,DJ47)+DATOS!$C$84/2)/100))</f>
        <v/>
      </c>
      <c r="BF47" s="56" t="str">
        <f>IF(U47&lt;&gt;"SÍ","",IF(C47="PERIMETRAL",BB47*AQ47*X47^2*1E-4*DATOS!$C$83/100/1000,0))</f>
        <v/>
      </c>
      <c r="BG47" s="62" t="str">
        <f>IF(U47&lt;&gt;"SÍ","",IF(C47="PERIMETRAL",MAX(MAX(AX47,AZ47)*AQ47*X47^2*1E-4*DATOS!$C$83/100/1000,N(S47)),(AQ47*(AA47/100)^2/2+DATOS!$C$26*N(O47)*AA47/100)*DATOS!$C$83/100/1000+BD47))</f>
        <v/>
      </c>
      <c r="BH47" s="56" t="str">
        <f>IF(U47&lt;&gt;"SÍ","",IF(C47="PERIMETRAL",BC47*AQ47*X47^2*1E-4*DATOS!$C$83/100/1000,0))</f>
        <v/>
      </c>
      <c r="BI47" s="56" t="str">
        <f>IF(U47&lt;&gt;"SÍ","",IF(C47="PERIMETRAL",MAX(MAX(AY47,BA47)*AQ47*X47^2*1E-4*DATOS!$C$83/100/1000,N(T47)),0))</f>
        <v/>
      </c>
      <c r="BJ47" s="63" t="str">
        <f>IF(U47&lt;&gt;"SÍ","",IF(C47&lt;&gt;"PERIMETRAL","—",IF(AND(N(S47)=0,N(T47)=0),"— (sin M⁻ del vecino)",IF(OR(AND(N(S47)&gt;0,ABS(MAX(AX47,AZ47)*AQ47*X47^2*1E-4*DATOS!$C$83/100/1000-N(S47))&gt;0.5*MIN(MAX(AX47,AZ47)*AQ47*X47^2*1E-4*DATOS!$C$83/100/1000,N(S47))),AND(N(T47)&gt;0,ABS(MAX(AY47,BA47)*AQ47*X47^2*1E-4*DATOS!$C$83/100/1000-N(T47))&gt;0.5*MIN(MAX(AY47,BA47)*AQ47*X47^2*1E-4*DATOS!$C$83/100/1000,N(T47)))),"FUERA: difieren &gt; 50 %"&amp;IF(AND(N(S47)&gt;0,ABS(MAX(AX47,AZ47)*AQ47*X47^2*1E-4*DATOS!$C$83/100/1000-N(S47))&gt;0.5*MIN(MAX(AX47,AZ47)*AQ47*X47^2*1E-4*DATOS!$C$83/100/1000,N(S47)))," ‖ corto","")&amp;IF(AND(N(T47)&gt;0,ABS(MAX(AY47,BA47)*AQ47*X47^2*1E-4*DATOS!$C$83/100/1000-N(T47))&gt;0.5*MIN(MAX(AY47,BA47)*AQ47*X47^2*1E-4*DATOS!$C$83/100/1000,N(T47)))," ‖ largo",""),"CUMPLE"))))</f>
        <v/>
      </c>
      <c r="BK47" s="58" t="str">
        <f>IF(U47&lt;&gt;"SÍ","",(DATOS!$C$82-AJ47-INDEX(TABLAS!$C$52:$C$58,MATCH(DATOS!$C$68,TABLAS!$B$52:$B$58,0))/2))</f>
        <v/>
      </c>
      <c r="BL47" s="58" t="str">
        <f>IF(U47&lt;&gt;"SÍ","",IF(IF(BF47&lt;=0,0,IF((1-2*BF47*1E5/(DATOS!$C$29*AG47*BK47^2*DATOS!$C$21))&lt;0,-1,IF((1-SQRT((1-2*BF47*1E5/(DATOS!$C$29*AG47*BK47^2*DATOS!$C$21))))*DATOS!$C$21*AG47*BK47/DATOS!$C$14&gt;DATOS!$C$99*AG47*BK47,-1,(1-SQRT((1-2*BF47*1E5/(DATOS!$C$29*AG47*BK47^2*DATOS!$C$21))))*DATOS!$C$21*AG47*BK47/DATOS!$C$14)))&lt;0,-1,MAX(IF(BF47&lt;=0,0,IF((1-2*BF47*1E5/(DATOS!$C$29*AG47*BK47^2*DATOS!$C$21))&lt;0,-1,IF((1-SQRT((1-2*BF47*1E5/(DATOS!$C$29*AG47*BK47^2*DATOS!$C$21))))*DATOS!$C$21*AG47*BK47/DATOS!$C$14&gt;DATOS!$C$99*AG47*BK47,-1,(1-SQRT((1-2*BF47*1E5/(DATOS!$C$29*AG47*BK47^2*DATOS!$C$21))))*DATOS!$C$21*AG47*BK47/DATOS!$C$14))),MIN(DATOS!$C$100*AC47*BK47,4/3*IF(BF47&lt;=0,0,IF((1-2*BF47*1E5/(DATOS!$C$29*AG47*BK47^2*DATOS!$C$21))&lt;0,-1,IF((1-SQRT((1-2*BF47*1E5/(DATOS!$C$29*AG47*BK47^2*DATOS!$C$21))))*DATOS!$C$21*AG47*BK47/DATOS!$C$14&gt;DATOS!$C$99*AG47*BK47,-1,(1-SQRT((1-2*BF47*1E5/(DATOS!$C$29*AG47*BK47^2*DATOS!$C$21))))*DATOS!$C$21*AG47*BK47/DATOS!$C$14)))))))</f>
        <v/>
      </c>
      <c r="BM47" s="64" t="str">
        <f>IF(U47&lt;&gt;"SÍ","",IF(AND(BL47&gt;=0,IF(MAX(DATOS!$C$71,CEILING(BL47/INDEX(TABLAS!$D$52:$D$58,MIN(MATCH(DATOS!$C$68,TABLAS!$B$52:$B$58,0)+0,7)),1))*INDEX(TABLAS!$D$52:$D$58,MIN(MATCH(DATOS!$C$68,TABLAS!$B$52:$B$58,0)+0,7))&gt;=4/3*IF(BF47&lt;=0,0,IF((1-2*BF47*1E5/(DATOS!$C$29*AG47*BK47^2*DATOS!$C$21))&lt;0,-1,IF((1-SQRT((1-2*BF47*1E5/(DATOS!$C$29*AG47*BK47^2*DATOS!$C$21))))*DATOS!$C$21*AG47*BK47/DATOS!$C$14&gt;DATOS!$C$99*AG47*BK47,-1,(1-SQRT((1-2*BF47*1E5/(DATOS!$C$29*AG47*BK47^2*DATOS!$C$21))))*DATOS!$C$21*AG47*BK47/DATOS!$C$14)))-0.0001,MAX(DATOS!$C$71,CEILING(BL47/INDEX(TABLAS!$D$52:$D$58,MIN(MATCH(DATOS!$C$68,TABLAS!$B$52:$B$58,0)+0,7)),1)),MAX(MAX(DATOS!$C$71,CEILING(BL47/INDEX(TABLAS!$D$52:$D$58,MIN(MATCH(DATOS!$C$68,TABLAS!$B$52:$B$58,0)+0,7)),1)),2))&lt;=MIN(DATOS!$C$70,INT(((AC47-2*AJ47)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47&gt;=0,IF(MAX(DATOS!$C$71,CEILING(BL47/INDEX(TABLAS!$D$52:$D$58,MIN(MATCH(DATOS!$C$68,TABLAS!$B$52:$B$58,0)+1,7)),1))*INDEX(TABLAS!$D$52:$D$58,MIN(MATCH(DATOS!$C$68,TABLAS!$B$52:$B$58,0)+1,7))&gt;=4/3*IF(BF47&lt;=0,0,IF((1-2*BF47*1E5/(DATOS!$C$29*AG47*BK47^2*DATOS!$C$21))&lt;0,-1,IF((1-SQRT((1-2*BF47*1E5/(DATOS!$C$29*AG47*BK47^2*DATOS!$C$21))))*DATOS!$C$21*AG47*BK47/DATOS!$C$14&gt;DATOS!$C$99*AG47*BK47,-1,(1-SQRT((1-2*BF47*1E5/(DATOS!$C$29*AG47*BK47^2*DATOS!$C$21))))*DATOS!$C$21*AG47*BK47/DATOS!$C$14)))-0.0001,MAX(DATOS!$C$71,CEILING(BL47/INDEX(TABLAS!$D$52:$D$58,MIN(MATCH(DATOS!$C$68,TABLAS!$B$52:$B$58,0)+1,7)),1)),MAX(MAX(DATOS!$C$71,CEILING(BL47/INDEX(TABLAS!$D$52:$D$58,MIN(MATCH(DATOS!$C$68,TABLAS!$B$52:$B$58,0)+1,7)),1)),2))&lt;=MIN(DATOS!$C$70,INT(((AC47-2*AJ47)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47&gt;=0,IF(MAX(DATOS!$C$71,CEILING(BL47/INDEX(TABLAS!$D$52:$D$58,MIN(MATCH(DATOS!$C$68,TABLAS!$B$52:$B$58,0)+2,7)),1))*INDEX(TABLAS!$D$52:$D$58,MIN(MATCH(DATOS!$C$68,TABLAS!$B$52:$B$58,0)+2,7))&gt;=4/3*IF(BF47&lt;=0,0,IF((1-2*BF47*1E5/(DATOS!$C$29*AG47*BK47^2*DATOS!$C$21))&lt;0,-1,IF((1-SQRT((1-2*BF47*1E5/(DATOS!$C$29*AG47*BK47^2*DATOS!$C$21))))*DATOS!$C$21*AG47*BK47/DATOS!$C$14&gt;DATOS!$C$99*AG47*BK47,-1,(1-SQRT((1-2*BF47*1E5/(DATOS!$C$29*AG47*BK47^2*DATOS!$C$21))))*DATOS!$C$21*AG47*BK47/DATOS!$C$14)))-0.0001,MAX(DATOS!$C$71,CEILING(BL47/INDEX(TABLAS!$D$52:$D$58,MIN(MATCH(DATOS!$C$68,TABLAS!$B$52:$B$58,0)+2,7)),1)),MAX(MAX(DATOS!$C$71,CEILING(BL47/INDEX(TABLAS!$D$52:$D$58,MIN(MATCH(DATOS!$C$68,TABLAS!$B$52:$B$58,0)+2,7)),1)),2))&lt;=MIN(DATOS!$C$70,INT(((AC47-2*AJ47)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47&gt;=0,IF(MAX(DATOS!$C$71,CEILING(BL47/INDEX(TABLAS!$D$52:$D$58,MIN(MATCH(DATOS!$C$68,TABLAS!$B$52:$B$58,0)+3,7)),1))*INDEX(TABLAS!$D$52:$D$58,MIN(MATCH(DATOS!$C$68,TABLAS!$B$52:$B$58,0)+3,7))&gt;=4/3*IF(BF47&lt;=0,0,IF((1-2*BF47*1E5/(DATOS!$C$29*AG47*BK47^2*DATOS!$C$21))&lt;0,-1,IF((1-SQRT((1-2*BF47*1E5/(DATOS!$C$29*AG47*BK47^2*DATOS!$C$21))))*DATOS!$C$21*AG47*BK47/DATOS!$C$14&gt;DATOS!$C$99*AG47*BK47,-1,(1-SQRT((1-2*BF47*1E5/(DATOS!$C$29*AG47*BK47^2*DATOS!$C$21))))*DATOS!$C$21*AG47*BK47/DATOS!$C$14)))-0.0001,MAX(DATOS!$C$71,CEILING(BL47/INDEX(TABLAS!$D$52:$D$58,MIN(MATCH(DATOS!$C$68,TABLAS!$B$52:$B$58,0)+3,7)),1)),MAX(MAX(DATOS!$C$71,CEILING(BL47/INDEX(TABLAS!$D$52:$D$58,MIN(MATCH(DATOS!$C$68,TABLAS!$B$52:$B$58,0)+3,7)),1)),2))&lt;=MIN(DATOS!$C$70,INT(((AC47-2*AJ47)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47&gt;=0,IF(MAX(DATOS!$C$71,CEILING(BL47/INDEX(TABLAS!$D$52:$D$58,MIN(MATCH(DATOS!$C$68,TABLAS!$B$52:$B$58,0)+4,7)),1))*INDEX(TABLAS!$D$52:$D$58,MIN(MATCH(DATOS!$C$68,TABLAS!$B$52:$B$58,0)+4,7))&gt;=4/3*IF(BF47&lt;=0,0,IF((1-2*BF47*1E5/(DATOS!$C$29*AG47*BK47^2*DATOS!$C$21))&lt;0,-1,IF((1-SQRT((1-2*BF47*1E5/(DATOS!$C$29*AG47*BK47^2*DATOS!$C$21))))*DATOS!$C$21*AG47*BK47/DATOS!$C$14&gt;DATOS!$C$99*AG47*BK47,-1,(1-SQRT((1-2*BF47*1E5/(DATOS!$C$29*AG47*BK47^2*DATOS!$C$21))))*DATOS!$C$21*AG47*BK47/DATOS!$C$14)))-0.0001,MAX(DATOS!$C$71,CEILING(BL47/INDEX(TABLAS!$D$52:$D$58,MIN(MATCH(DATOS!$C$68,TABLAS!$B$52:$B$58,0)+4,7)),1)),MAX(MAX(DATOS!$C$71,CEILING(BL47/INDEX(TABLAS!$D$52:$D$58,MIN(MATCH(DATOS!$C$68,TABLAS!$B$52:$B$58,0)+4,7)),1)),2))&lt;=MIN(DATOS!$C$70,INT(((AC47-2*AJ47)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47" s="59" t="str">
        <f>IF(U47&lt;&gt;"SÍ","",IF(BL47&lt;0,0,IF(MAX(DATOS!$C$71,CEILING(MAX(BL47,0)/INDEX(TABLAS!$D$52:$D$58,MATCH(BM47,TABLAS!$B$52:$B$58,0)),1))*INDEX(TABLAS!$D$52:$D$58,MATCH(BM47,TABLAS!$B$52:$B$58,0))&gt;=4/3*IF(BF47&lt;=0,0,IF((1-2*BF47*1E5/(DATOS!$C$29*AG47*BK47^2*DATOS!$C$21))&lt;0,-1,IF((1-SQRT((1-2*BF47*1E5/(DATOS!$C$29*AG47*BK47^2*DATOS!$C$21))))*DATOS!$C$21*AG47*BK47/DATOS!$C$14&gt;DATOS!$C$99*AG47*BK47,-1,(1-SQRT((1-2*BF47*1E5/(DATOS!$C$29*AG47*BK47^2*DATOS!$C$21))))*DATOS!$C$21*AG47*BK47/DATOS!$C$14)))-0.0001,MAX(DATOS!$C$71,CEILING(MAX(BL47,0)/INDEX(TABLAS!$D$52:$D$58,MATCH(BM47,TABLAS!$B$52:$B$58,0)),1)),MAX(MAX(DATOS!$C$71,CEILING(MAX(BL47,0)/INDEX(TABLAS!$D$52:$D$58,MATCH(BM47,TABLAS!$B$52:$B$58,0)),1)),2))))</f>
        <v/>
      </c>
      <c r="BO47" s="58" t="str">
        <f>IF(U47&lt;&gt;"SÍ","",DATOS!$C$82-AJ47-INDEX(TABLAS!$C$52:$C$58,MATCH(BM47,TABLAS!$B$52:$B$58,0))/2)</f>
        <v/>
      </c>
      <c r="BP47" s="56" t="str">
        <f>IF(U47&lt;&gt;"SÍ","",IF(BN47=0,0,DATOS!$C$29*BN47*INDEX(TABLAS!$D$52:$D$58,MATCH(BM47,TABLAS!$B$52:$B$58,0))*DATOS!$C$14*(BO47-BN47*INDEX(TABLAS!$D$52:$D$58,MATCH(BM47,TABLAS!$B$52:$B$58,0))*DATOS!$C$14/(DATOS!$C$21*AG47)/2)/1E5))</f>
        <v/>
      </c>
      <c r="BQ47" s="65" t="str">
        <f>IF(U47&lt;&gt;"SÍ","",IF(BL47&lt;0,9.99,IF(BP47&gt;0,BF47/BP47,0)))</f>
        <v/>
      </c>
      <c r="BR47" s="66" t="str">
        <f>IF(U47&lt;&gt;"SÍ","",IF(BN47=0,"—",0.003*(BO47-(BN47*INDEX(TABLAS!$D$52:$D$58,MATCH(BM47,TABLAS!$B$52:$B$58,0))*DATOS!$C$14/(DATOS!$C$21*AG47)/DATOS!$C$22))/(BN47*INDEX(TABLAS!$D$52:$D$58,MATCH(BM47,TABLAS!$B$52:$B$58,0))*DATOS!$C$14/(DATOS!$C$21*AG47)/DATOS!$C$22)))</f>
        <v/>
      </c>
      <c r="BS47" s="58" t="str">
        <f>IF(U47&lt;&gt;"SÍ","",((DATOS!$C$82-AL47-2*DATOS!$C$94-INDEX(TABLAS!$C$52:$C$58,MATCH(DATOS!$C$69,TABLAS!$B$52:$B$58,0))/2)-IF(AND((DATOS!$C$82-AL47-2*DATOS!$C$94-INDEX(TABLAS!$C$52:$C$58,MATCH(DATOS!$C$69,TABLAS!$B$52:$B$58,0))/2)&lt;=20,DATOS!$C$62&lt;&gt;"SÍ"),2,0)))</f>
        <v/>
      </c>
      <c r="BT47" s="58" t="str">
        <f>IF(U47&lt;&gt;"SÍ","",IF(IF(BG47&lt;=0,0,IF((1-2*BG47*1E5/(DATOS!$C$29*AE47*BS47^2*DATOS!$C$21))&lt;0,-1,IF((1-SQRT((1-2*BG47*1E5/(DATOS!$C$29*AE47*BS47^2*DATOS!$C$21))))*DATOS!$C$21*AE47*BS47/DATOS!$C$14&gt;DATOS!$C$99*AE47*BS47,-1,(1-SQRT((1-2*BG47*1E5/(DATOS!$C$29*AE47*BS47^2*DATOS!$C$21))))*DATOS!$C$21*AE47*BS47/DATOS!$C$14)))&lt;0,-1,MAX(IF(BG47&lt;=0,0,IF((1-2*BG47*1E5/(DATOS!$C$29*AE47*BS47^2*DATOS!$C$21))&lt;0,-1,IF((1-SQRT((1-2*BG47*1E5/(DATOS!$C$29*AE47*BS47^2*DATOS!$C$21))))*DATOS!$C$21*AE47*BS47/DATOS!$C$14&gt;DATOS!$C$99*AE47*BS47,-1,(1-SQRT((1-2*BG47*1E5/(DATOS!$C$29*AE47*BS47^2*DATOS!$C$21))))*DATOS!$C$21*AE47*BS47/DATOS!$C$14))),MIN(DATOS!$C$100*IF(C47="VOLADO",MIN(AG47,2*AC47),AC47)*BS47,4/3*IF(BG47&lt;=0,0,IF((1-2*BG47*1E5/(DATOS!$C$29*AE47*BS47^2*DATOS!$C$21))&lt;0,-1,IF((1-SQRT((1-2*BG47*1E5/(DATOS!$C$29*AE47*BS47^2*DATOS!$C$21))))*DATOS!$C$21*AE47*BS47/DATOS!$C$14&gt;DATOS!$C$99*AE47*BS47,-1,(1-SQRT((1-2*BG47*1E5/(DATOS!$C$29*AE47*BS47^2*DATOS!$C$21))))*DATOS!$C$21*AE47*BS47/DATOS!$C$14)))))))</f>
        <v/>
      </c>
      <c r="BU47" s="64" t="str">
        <f>IF(U47&lt;&gt;"SÍ","",IF(AND(BT47&gt;=0,IF(MAX(DATOS!$C$71,CEILING(BT47/INDEX(TABLAS!$D$52:$D$58,MIN(MATCH(DATOS!$C$69,TABLAS!$B$52:$B$58,0)+0,7)),1))*INDEX(TABLAS!$D$52:$D$58,MIN(MATCH(DATOS!$C$69,TABLAS!$B$52:$B$58,0)+0,7))&gt;=4/3*IF(BG47&lt;=0,0,IF((1-2*BG47*1E5/(DATOS!$C$29*AE47*BS47^2*DATOS!$C$21))&lt;0,-1,IF((1-SQRT((1-2*BG47*1E5/(DATOS!$C$29*AE47*BS47^2*DATOS!$C$21))))*DATOS!$C$21*AE47*BS47/DATOS!$C$14&gt;DATOS!$C$99*AE47*BS47,-1,(1-SQRT((1-2*BG47*1E5/(DATOS!$C$29*AE47*BS47^2*DATOS!$C$21))))*DATOS!$C$21*AE47*BS47/DATOS!$C$14)))-0.0001,MAX(DATOS!$C$71,CEILING(BT47/INDEX(TABLAS!$D$52:$D$58,MIN(MATCH(DATOS!$C$69,TABLAS!$B$52:$B$58,0)+0,7)),1)),MAX(MAX(DATOS!$C$71,CEILING(BT47/INDEX(TABLAS!$D$52:$D$58,MIN(MATCH(DATOS!$C$69,TABLAS!$B$52:$B$58,0)+0,7)),1)),2))&lt;=MIN(DATOS!$C$70,INT(((AC47-2*AK47)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47&gt;=0,IF(MAX(DATOS!$C$71,CEILING(BT47/INDEX(TABLAS!$D$52:$D$58,MIN(MATCH(DATOS!$C$69,TABLAS!$B$52:$B$58,0)+1,7)),1))*INDEX(TABLAS!$D$52:$D$58,MIN(MATCH(DATOS!$C$69,TABLAS!$B$52:$B$58,0)+1,7))&gt;=4/3*IF(BG47&lt;=0,0,IF((1-2*BG47*1E5/(DATOS!$C$29*AE47*BS47^2*DATOS!$C$21))&lt;0,-1,IF((1-SQRT((1-2*BG47*1E5/(DATOS!$C$29*AE47*BS47^2*DATOS!$C$21))))*DATOS!$C$21*AE47*BS47/DATOS!$C$14&gt;DATOS!$C$99*AE47*BS47,-1,(1-SQRT((1-2*BG47*1E5/(DATOS!$C$29*AE47*BS47^2*DATOS!$C$21))))*DATOS!$C$21*AE47*BS47/DATOS!$C$14)))-0.0001,MAX(DATOS!$C$71,CEILING(BT47/INDEX(TABLAS!$D$52:$D$58,MIN(MATCH(DATOS!$C$69,TABLAS!$B$52:$B$58,0)+1,7)),1)),MAX(MAX(DATOS!$C$71,CEILING(BT47/INDEX(TABLAS!$D$52:$D$58,MIN(MATCH(DATOS!$C$69,TABLAS!$B$52:$B$58,0)+1,7)),1)),2))&lt;=MIN(DATOS!$C$70,INT(((AC47-2*AK47)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47&gt;=0,IF(MAX(DATOS!$C$71,CEILING(BT47/INDEX(TABLAS!$D$52:$D$58,MIN(MATCH(DATOS!$C$69,TABLAS!$B$52:$B$58,0)+2,7)),1))*INDEX(TABLAS!$D$52:$D$58,MIN(MATCH(DATOS!$C$69,TABLAS!$B$52:$B$58,0)+2,7))&gt;=4/3*IF(BG47&lt;=0,0,IF((1-2*BG47*1E5/(DATOS!$C$29*AE47*BS47^2*DATOS!$C$21))&lt;0,-1,IF((1-SQRT((1-2*BG47*1E5/(DATOS!$C$29*AE47*BS47^2*DATOS!$C$21))))*DATOS!$C$21*AE47*BS47/DATOS!$C$14&gt;DATOS!$C$99*AE47*BS47,-1,(1-SQRT((1-2*BG47*1E5/(DATOS!$C$29*AE47*BS47^2*DATOS!$C$21))))*DATOS!$C$21*AE47*BS47/DATOS!$C$14)))-0.0001,MAX(DATOS!$C$71,CEILING(BT47/INDEX(TABLAS!$D$52:$D$58,MIN(MATCH(DATOS!$C$69,TABLAS!$B$52:$B$58,0)+2,7)),1)),MAX(MAX(DATOS!$C$71,CEILING(BT47/INDEX(TABLAS!$D$52:$D$58,MIN(MATCH(DATOS!$C$69,TABLAS!$B$52:$B$58,0)+2,7)),1)),2))&lt;=MIN(DATOS!$C$70,INT(((AC47-2*AK47)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47&gt;=0,IF(MAX(DATOS!$C$71,CEILING(BT47/INDEX(TABLAS!$D$52:$D$58,MIN(MATCH(DATOS!$C$69,TABLAS!$B$52:$B$58,0)+3,7)),1))*INDEX(TABLAS!$D$52:$D$58,MIN(MATCH(DATOS!$C$69,TABLAS!$B$52:$B$58,0)+3,7))&gt;=4/3*IF(BG47&lt;=0,0,IF((1-2*BG47*1E5/(DATOS!$C$29*AE47*BS47^2*DATOS!$C$21))&lt;0,-1,IF((1-SQRT((1-2*BG47*1E5/(DATOS!$C$29*AE47*BS47^2*DATOS!$C$21))))*DATOS!$C$21*AE47*BS47/DATOS!$C$14&gt;DATOS!$C$99*AE47*BS47,-1,(1-SQRT((1-2*BG47*1E5/(DATOS!$C$29*AE47*BS47^2*DATOS!$C$21))))*DATOS!$C$21*AE47*BS47/DATOS!$C$14)))-0.0001,MAX(DATOS!$C$71,CEILING(BT47/INDEX(TABLAS!$D$52:$D$58,MIN(MATCH(DATOS!$C$69,TABLAS!$B$52:$B$58,0)+3,7)),1)),MAX(MAX(DATOS!$C$71,CEILING(BT47/INDEX(TABLAS!$D$52:$D$58,MIN(MATCH(DATOS!$C$69,TABLAS!$B$52:$B$58,0)+3,7)),1)),2))&lt;=MIN(DATOS!$C$70,INT(((AC47-2*AK47)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47&gt;=0,IF(MAX(DATOS!$C$71,CEILING(BT47/INDEX(TABLAS!$D$52:$D$58,MIN(MATCH(DATOS!$C$69,TABLAS!$B$52:$B$58,0)+4,7)),1))*INDEX(TABLAS!$D$52:$D$58,MIN(MATCH(DATOS!$C$69,TABLAS!$B$52:$B$58,0)+4,7))&gt;=4/3*IF(BG47&lt;=0,0,IF((1-2*BG47*1E5/(DATOS!$C$29*AE47*BS47^2*DATOS!$C$21))&lt;0,-1,IF((1-SQRT((1-2*BG47*1E5/(DATOS!$C$29*AE47*BS47^2*DATOS!$C$21))))*DATOS!$C$21*AE47*BS47/DATOS!$C$14&gt;DATOS!$C$99*AE47*BS47,-1,(1-SQRT((1-2*BG47*1E5/(DATOS!$C$29*AE47*BS47^2*DATOS!$C$21))))*DATOS!$C$21*AE47*BS47/DATOS!$C$14)))-0.0001,MAX(DATOS!$C$71,CEILING(BT47/INDEX(TABLAS!$D$52:$D$58,MIN(MATCH(DATOS!$C$69,TABLAS!$B$52:$B$58,0)+4,7)),1)),MAX(MAX(DATOS!$C$71,CEILING(BT47/INDEX(TABLAS!$D$52:$D$58,MIN(MATCH(DATOS!$C$69,TABLAS!$B$52:$B$58,0)+4,7)),1)),2))&lt;=MIN(DATOS!$C$70,INT(((AC47-2*AK47)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47" s="59" t="str">
        <f>IF(U47&lt;&gt;"SÍ","",IF(BT47&lt;0,0,IF(MAX(DATOS!$C$71,CEILING(MAX(BT47,0)/INDEX(TABLAS!$D$52:$D$58,MATCH(BU47,TABLAS!$B$52:$B$58,0)),1))*INDEX(TABLAS!$D$52:$D$58,MATCH(BU47,TABLAS!$B$52:$B$58,0))&gt;=4/3*IF(BG47&lt;=0,0,IF((1-2*BG47*1E5/(DATOS!$C$29*AE47*BS47^2*DATOS!$C$21))&lt;0,-1,IF((1-SQRT((1-2*BG47*1E5/(DATOS!$C$29*AE47*BS47^2*DATOS!$C$21))))*DATOS!$C$21*AE47*BS47/DATOS!$C$14&gt;DATOS!$C$99*AE47*BS47,-1,(1-SQRT((1-2*BG47*1E5/(DATOS!$C$29*AE47*BS47^2*DATOS!$C$21))))*DATOS!$C$21*AE47*BS47/DATOS!$C$14)))-0.0001,MAX(DATOS!$C$71,CEILING(MAX(BT47,0)/INDEX(TABLAS!$D$52:$D$58,MATCH(BU47,TABLAS!$B$52:$B$58,0)),1)),MAX(MAX(DATOS!$C$71,CEILING(MAX(BT47,0)/INDEX(TABLAS!$D$52:$D$58,MATCH(BU47,TABLAS!$B$52:$B$58,0)),1)),2))))</f>
        <v/>
      </c>
      <c r="BW47" s="58" t="str">
        <f>IF(U47&lt;&gt;"SÍ","",((DATOS!$C$82-AL47-2*DATOS!$C$94-INDEX(TABLAS!$C$52:$C$58,MATCH(BU47,TABLAS!$B$52:$B$58,0))/2)-IF(AND((DATOS!$C$82-AL47-2*DATOS!$C$94-INDEX(TABLAS!$C$52:$C$58,MATCH(BU47,TABLAS!$B$52:$B$58,0))/2)&lt;=20,DATOS!$C$62&lt;&gt;"SÍ"),2,0)))</f>
        <v/>
      </c>
      <c r="BX47" s="56" t="str">
        <f>IF(U47&lt;&gt;"SÍ","",IF(BV47=0,0,DATOS!$C$29*BV47*INDEX(TABLAS!$D$52:$D$58,MATCH(BU47,TABLAS!$B$52:$B$58,0))*DATOS!$C$14*(BW47-BV47*INDEX(TABLAS!$D$52:$D$58,MATCH(BU47,TABLAS!$B$52:$B$58,0))*DATOS!$C$14/(DATOS!$C$21*AE47)/2)/1E5))</f>
        <v/>
      </c>
      <c r="BY47" s="65" t="str">
        <f>IF(U47&lt;&gt;"SÍ","",IF(BT47&lt;0,9.99,IF(BX47&gt;0,BG47/BX47,0)))</f>
        <v/>
      </c>
      <c r="BZ47" s="66" t="str">
        <f>IF(U47&lt;&gt;"SÍ","",IF(BV47=0,"—",0.003*(BW47-(BV47*INDEX(TABLAS!$D$52:$D$58,MATCH(BU47,TABLAS!$B$52:$B$58,0))*DATOS!$C$14/(DATOS!$C$21*AE47)/DATOS!$C$22))/(BV47*INDEX(TABLAS!$D$52:$D$58,MATCH(BU47,TABLAS!$B$52:$B$58,0))*DATOS!$C$14/(DATOS!$C$21*AE47)/DATOS!$C$22)))</f>
        <v/>
      </c>
      <c r="CA47" s="58" t="str">
        <f>IF(U47&lt;&gt;"SÍ","",(DATOS!$C$82-AJ47-INDEX(TABLAS!$C$52:$C$58,MATCH(DATOS!$C$68,TABLAS!$B$52:$B$58,0))-INDEX(TABLAS!$C$52:$C$58,MATCH(DATOS!$C$68,TABLAS!$B$52:$B$58,0))/2))</f>
        <v/>
      </c>
      <c r="CB47" s="58" t="str">
        <f>IF(U47&lt;&gt;"SÍ","",IF(IF(BH47&lt;=0,0,IF((1-2*BH47*1E5/(DATOS!$C$29*AH47*CA47^2*DATOS!$C$21))&lt;0,-1,IF((1-SQRT((1-2*BH47*1E5/(DATOS!$C$29*AH47*CA47^2*DATOS!$C$21))))*DATOS!$C$21*AH47*CA47/DATOS!$C$14&gt;DATOS!$C$99*AH47*CA47,-1,(1-SQRT((1-2*BH47*1E5/(DATOS!$C$29*AH47*CA47^2*DATOS!$C$21))))*DATOS!$C$21*AH47*CA47/DATOS!$C$14)))&lt;0,-1,MAX(IF(BH47&lt;=0,0,IF((1-2*BH47*1E5/(DATOS!$C$29*AH47*CA47^2*DATOS!$C$21))&lt;0,-1,IF((1-SQRT((1-2*BH47*1E5/(DATOS!$C$29*AH47*CA47^2*DATOS!$C$21))))*DATOS!$C$21*AH47*CA47/DATOS!$C$14&gt;DATOS!$C$99*AH47*CA47,-1,(1-SQRT((1-2*BH47*1E5/(DATOS!$C$29*AH47*CA47^2*DATOS!$C$21))))*DATOS!$C$21*AH47*CA47/DATOS!$C$14))),MIN(DATOS!$C$100*DATOS!$C$80*CA47,4/3*IF(BH47&lt;=0,0,IF((1-2*BH47*1E5/(DATOS!$C$29*AH47*CA47^2*DATOS!$C$21))&lt;0,-1,IF((1-SQRT((1-2*BH47*1E5/(DATOS!$C$29*AH47*CA47^2*DATOS!$C$21))))*DATOS!$C$21*AH47*CA47/DATOS!$C$14&gt;DATOS!$C$99*AH47*CA47,-1,(1-SQRT((1-2*BH47*1E5/(DATOS!$C$29*AH47*CA47^2*DATOS!$C$21))))*DATOS!$C$21*AH47*CA47/DATOS!$C$14)))))))</f>
        <v/>
      </c>
      <c r="CC47" s="64" t="str">
        <f>IF(U47&lt;&gt;"SÍ","",IF(AND(CB47&gt;=0,IF(MAX(DATOS!$C$71,CEILING(CB47/INDEX(TABLAS!$D$52:$D$58,MIN(MATCH(DATOS!$C$68,TABLAS!$B$52:$B$58,0)+0,7)),1))*INDEX(TABLAS!$D$52:$D$58,MIN(MATCH(DATOS!$C$68,TABLAS!$B$52:$B$58,0)+0,7))&gt;=4/3*IF(BH47&lt;=0,0,IF((1-2*BH47*1E5/(DATOS!$C$29*AH47*CA47^2*DATOS!$C$21))&lt;0,-1,IF((1-SQRT((1-2*BH47*1E5/(DATOS!$C$29*AH47*CA47^2*DATOS!$C$21))))*DATOS!$C$21*AH47*CA47/DATOS!$C$14&gt;DATOS!$C$99*AH47*CA47,-1,(1-SQRT((1-2*BH47*1E5/(DATOS!$C$29*AH47*CA47^2*DATOS!$C$21))))*DATOS!$C$21*AH47*CA47/DATOS!$C$14)))-0.0001,MAX(DATOS!$C$71,CEILING(CB47/INDEX(TABLAS!$D$52:$D$58,MIN(MATCH(DATOS!$C$68,TABLAS!$B$52:$B$58,0)+0,7)),1)),MAX(MAX(DATOS!$C$71,CEILING(CB47/INDEX(TABLAS!$D$52:$D$58,MIN(MATCH(DATOS!$C$68,TABLAS!$B$52:$B$58,0)+0,7)),1)),2))&lt;=MIN(DATOS!$C$70,INT(((DATOS!$C$80-2*AJ47)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47&gt;=0,IF(MAX(DATOS!$C$71,CEILING(CB47/INDEX(TABLAS!$D$52:$D$58,MIN(MATCH(DATOS!$C$68,TABLAS!$B$52:$B$58,0)+1,7)),1))*INDEX(TABLAS!$D$52:$D$58,MIN(MATCH(DATOS!$C$68,TABLAS!$B$52:$B$58,0)+1,7))&gt;=4/3*IF(BH47&lt;=0,0,IF((1-2*BH47*1E5/(DATOS!$C$29*AH47*CA47^2*DATOS!$C$21))&lt;0,-1,IF((1-SQRT((1-2*BH47*1E5/(DATOS!$C$29*AH47*CA47^2*DATOS!$C$21))))*DATOS!$C$21*AH47*CA47/DATOS!$C$14&gt;DATOS!$C$99*AH47*CA47,-1,(1-SQRT((1-2*BH47*1E5/(DATOS!$C$29*AH47*CA47^2*DATOS!$C$21))))*DATOS!$C$21*AH47*CA47/DATOS!$C$14)))-0.0001,MAX(DATOS!$C$71,CEILING(CB47/INDEX(TABLAS!$D$52:$D$58,MIN(MATCH(DATOS!$C$68,TABLAS!$B$52:$B$58,0)+1,7)),1)),MAX(MAX(DATOS!$C$71,CEILING(CB47/INDEX(TABLAS!$D$52:$D$58,MIN(MATCH(DATOS!$C$68,TABLAS!$B$52:$B$58,0)+1,7)),1)),2))&lt;=MIN(DATOS!$C$70,INT(((DATOS!$C$80-2*AJ47)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47&gt;=0,IF(MAX(DATOS!$C$71,CEILING(CB47/INDEX(TABLAS!$D$52:$D$58,MIN(MATCH(DATOS!$C$68,TABLAS!$B$52:$B$58,0)+2,7)),1))*INDEX(TABLAS!$D$52:$D$58,MIN(MATCH(DATOS!$C$68,TABLAS!$B$52:$B$58,0)+2,7))&gt;=4/3*IF(BH47&lt;=0,0,IF((1-2*BH47*1E5/(DATOS!$C$29*AH47*CA47^2*DATOS!$C$21))&lt;0,-1,IF((1-SQRT((1-2*BH47*1E5/(DATOS!$C$29*AH47*CA47^2*DATOS!$C$21))))*DATOS!$C$21*AH47*CA47/DATOS!$C$14&gt;DATOS!$C$99*AH47*CA47,-1,(1-SQRT((1-2*BH47*1E5/(DATOS!$C$29*AH47*CA47^2*DATOS!$C$21))))*DATOS!$C$21*AH47*CA47/DATOS!$C$14)))-0.0001,MAX(DATOS!$C$71,CEILING(CB47/INDEX(TABLAS!$D$52:$D$58,MIN(MATCH(DATOS!$C$68,TABLAS!$B$52:$B$58,0)+2,7)),1)),MAX(MAX(DATOS!$C$71,CEILING(CB47/INDEX(TABLAS!$D$52:$D$58,MIN(MATCH(DATOS!$C$68,TABLAS!$B$52:$B$58,0)+2,7)),1)),2))&lt;=MIN(DATOS!$C$70,INT(((DATOS!$C$80-2*AJ47)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47&gt;=0,IF(MAX(DATOS!$C$71,CEILING(CB47/INDEX(TABLAS!$D$52:$D$58,MIN(MATCH(DATOS!$C$68,TABLAS!$B$52:$B$58,0)+3,7)),1))*INDEX(TABLAS!$D$52:$D$58,MIN(MATCH(DATOS!$C$68,TABLAS!$B$52:$B$58,0)+3,7))&gt;=4/3*IF(BH47&lt;=0,0,IF((1-2*BH47*1E5/(DATOS!$C$29*AH47*CA47^2*DATOS!$C$21))&lt;0,-1,IF((1-SQRT((1-2*BH47*1E5/(DATOS!$C$29*AH47*CA47^2*DATOS!$C$21))))*DATOS!$C$21*AH47*CA47/DATOS!$C$14&gt;DATOS!$C$99*AH47*CA47,-1,(1-SQRT((1-2*BH47*1E5/(DATOS!$C$29*AH47*CA47^2*DATOS!$C$21))))*DATOS!$C$21*AH47*CA47/DATOS!$C$14)))-0.0001,MAX(DATOS!$C$71,CEILING(CB47/INDEX(TABLAS!$D$52:$D$58,MIN(MATCH(DATOS!$C$68,TABLAS!$B$52:$B$58,0)+3,7)),1)),MAX(MAX(DATOS!$C$71,CEILING(CB47/INDEX(TABLAS!$D$52:$D$58,MIN(MATCH(DATOS!$C$68,TABLAS!$B$52:$B$58,0)+3,7)),1)),2))&lt;=MIN(DATOS!$C$70,INT(((DATOS!$C$80-2*AJ47)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47&gt;=0,IF(MAX(DATOS!$C$71,CEILING(CB47/INDEX(TABLAS!$D$52:$D$58,MIN(MATCH(DATOS!$C$68,TABLAS!$B$52:$B$58,0)+4,7)),1))*INDEX(TABLAS!$D$52:$D$58,MIN(MATCH(DATOS!$C$68,TABLAS!$B$52:$B$58,0)+4,7))&gt;=4/3*IF(BH47&lt;=0,0,IF((1-2*BH47*1E5/(DATOS!$C$29*AH47*CA47^2*DATOS!$C$21))&lt;0,-1,IF((1-SQRT((1-2*BH47*1E5/(DATOS!$C$29*AH47*CA47^2*DATOS!$C$21))))*DATOS!$C$21*AH47*CA47/DATOS!$C$14&gt;DATOS!$C$99*AH47*CA47,-1,(1-SQRT((1-2*BH47*1E5/(DATOS!$C$29*AH47*CA47^2*DATOS!$C$21))))*DATOS!$C$21*AH47*CA47/DATOS!$C$14)))-0.0001,MAX(DATOS!$C$71,CEILING(CB47/INDEX(TABLAS!$D$52:$D$58,MIN(MATCH(DATOS!$C$68,TABLAS!$B$52:$B$58,0)+4,7)),1)),MAX(MAX(DATOS!$C$71,CEILING(CB47/INDEX(TABLAS!$D$52:$D$58,MIN(MATCH(DATOS!$C$68,TABLAS!$B$52:$B$58,0)+4,7)),1)),2))&lt;=MIN(DATOS!$C$70,INT(((DATOS!$C$80-2*AJ47)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47" s="59" t="str">
        <f>IF(U47&lt;&gt;"SÍ","",IF(CB47&lt;0,0,IF(MAX(DATOS!$C$71,CEILING(MAX(CB47,0)/INDEX(TABLAS!$D$52:$D$58,MATCH(CC47,TABLAS!$B$52:$B$58,0)),1))*INDEX(TABLAS!$D$52:$D$58,MATCH(CC47,TABLAS!$B$52:$B$58,0))&gt;=4/3*IF(BH47&lt;=0,0,IF((1-2*BH47*1E5/(DATOS!$C$29*AH47*CA47^2*DATOS!$C$21))&lt;0,-1,IF((1-SQRT((1-2*BH47*1E5/(DATOS!$C$29*AH47*CA47^2*DATOS!$C$21))))*DATOS!$C$21*AH47*CA47/DATOS!$C$14&gt;DATOS!$C$99*AH47*CA47,-1,(1-SQRT((1-2*BH47*1E5/(DATOS!$C$29*AH47*CA47^2*DATOS!$C$21))))*DATOS!$C$21*AH47*CA47/DATOS!$C$14)))-0.0001,MAX(DATOS!$C$71,CEILING(MAX(CB47,0)/INDEX(TABLAS!$D$52:$D$58,MATCH(CC47,TABLAS!$B$52:$B$58,0)),1)),MAX(MAX(DATOS!$C$71,CEILING(MAX(CB47,0)/INDEX(TABLAS!$D$52:$D$58,MATCH(CC47,TABLAS!$B$52:$B$58,0)),1)),2))))</f>
        <v/>
      </c>
      <c r="CE47" s="58" t="str">
        <f>IF(U47&lt;&gt;"SÍ","",DATOS!$C$82-AJ47-INDEX(TABLAS!$C$52:$C$58,MATCH(BM47,TABLAS!$B$52:$B$58,0))-INDEX(TABLAS!$C$52:$C$58,MATCH(CC47,TABLAS!$B$52:$B$58,0))/2)</f>
        <v/>
      </c>
      <c r="CF47" s="56" t="str">
        <f>IF(U47&lt;&gt;"SÍ","",IF(CD47=0,0,DATOS!$C$29*CD47*INDEX(TABLAS!$D$52:$D$58,MATCH(CC47,TABLAS!$B$52:$B$58,0))*DATOS!$C$14*(CE47-CD47*INDEX(TABLAS!$D$52:$D$58,MATCH(CC47,TABLAS!$B$52:$B$58,0))*DATOS!$C$14/(DATOS!$C$21*AH47)/2)/1E5))</f>
        <v/>
      </c>
      <c r="CG47" s="65" t="str">
        <f>IF(U47&lt;&gt;"SÍ","",IF(CB47&lt;0,9.99,IF(CF47&gt;0,BH47/CF47,0)))</f>
        <v/>
      </c>
      <c r="CH47" s="66" t="str">
        <f>IF(U47&lt;&gt;"SÍ","",IF(CD47=0,"—",0.003*(CE47-(CD47*INDEX(TABLAS!$D$52:$D$58,MATCH(CC47,TABLAS!$B$52:$B$58,0))*DATOS!$C$14/(DATOS!$C$21*AH47)/DATOS!$C$22))/(CD47*INDEX(TABLAS!$D$52:$D$58,MATCH(CC47,TABLAS!$B$52:$B$58,0))*DATOS!$C$14/(DATOS!$C$21*AH47)/DATOS!$C$22)))</f>
        <v/>
      </c>
      <c r="CI47" s="58" t="str">
        <f>IF(U47&lt;&gt;"SÍ","",((DATOS!$C$82-AL47-2*DATOS!$C$94-INDEX(TABLAS!$C$52:$C$58,MATCH(DATOS!$C$69,TABLAS!$B$52:$B$58,0))-INDEX(TABLAS!$C$52:$C$58,MATCH(DATOS!$C$69,TABLAS!$B$52:$B$58,0))/2)-IF(AND((DATOS!$C$82-AL47-2*DATOS!$C$94-INDEX(TABLAS!$C$52:$C$58,MATCH(DATOS!$C$69,TABLAS!$B$52:$B$58,0))-INDEX(TABLAS!$C$52:$C$58,MATCH(DATOS!$C$69,TABLAS!$B$52:$B$58,0))/2)&lt;=20,DATOS!$C$62&lt;&gt;"SÍ"),2,0)))</f>
        <v/>
      </c>
      <c r="CJ47" s="58" t="str">
        <f>IF(U47&lt;&gt;"SÍ","",IF(IF(BI47&lt;=0,0,IF((1-2*BI47*1E5/(DATOS!$C$29*AF47*CI47^2*DATOS!$C$21))&lt;0,-1,IF((1-SQRT((1-2*BI47*1E5/(DATOS!$C$29*AF47*CI47^2*DATOS!$C$21))))*DATOS!$C$21*AF47*CI47/DATOS!$C$14&gt;DATOS!$C$99*AF47*CI47,-1,(1-SQRT((1-2*BI47*1E5/(DATOS!$C$29*AF47*CI47^2*DATOS!$C$21))))*DATOS!$C$21*AF47*CI47/DATOS!$C$14)))&lt;0,-1,MAX(IF(BI47&lt;=0,0,IF((1-2*BI47*1E5/(DATOS!$C$29*AF47*CI47^2*DATOS!$C$21))&lt;0,-1,IF((1-SQRT((1-2*BI47*1E5/(DATOS!$C$29*AF47*CI47^2*DATOS!$C$21))))*DATOS!$C$21*AF47*CI47/DATOS!$C$14&gt;DATOS!$C$99*AF47*CI47,-1,(1-SQRT((1-2*BI47*1E5/(DATOS!$C$29*AF47*CI47^2*DATOS!$C$21))))*DATOS!$C$21*AF47*CI47/DATOS!$C$14))),MIN(DATOS!$C$100*DATOS!$C$80*CI47,4/3*IF(BI47&lt;=0,0,IF((1-2*BI47*1E5/(DATOS!$C$29*AF47*CI47^2*DATOS!$C$21))&lt;0,-1,IF((1-SQRT((1-2*BI47*1E5/(DATOS!$C$29*AF47*CI47^2*DATOS!$C$21))))*DATOS!$C$21*AF47*CI47/DATOS!$C$14&gt;DATOS!$C$99*AF47*CI47,-1,(1-SQRT((1-2*BI47*1E5/(DATOS!$C$29*AF47*CI47^2*DATOS!$C$21))))*DATOS!$C$21*AF47*CI47/DATOS!$C$14)))))))</f>
        <v/>
      </c>
      <c r="CK47" s="64" t="str">
        <f>IF(U47&lt;&gt;"SÍ","",IF(AND(CJ47&gt;=0,IF(MAX(DATOS!$C$71,CEILING(CJ47/INDEX(TABLAS!$D$52:$D$58,MIN(MATCH(DATOS!$C$69,TABLAS!$B$52:$B$58,0)+0,7)),1))*INDEX(TABLAS!$D$52:$D$58,MIN(MATCH(DATOS!$C$69,TABLAS!$B$52:$B$58,0)+0,7))&gt;=4/3*IF(BI47&lt;=0,0,IF((1-2*BI47*1E5/(DATOS!$C$29*AF47*CI47^2*DATOS!$C$21))&lt;0,-1,IF((1-SQRT((1-2*BI47*1E5/(DATOS!$C$29*AF47*CI47^2*DATOS!$C$21))))*DATOS!$C$21*AF47*CI47/DATOS!$C$14&gt;DATOS!$C$99*AF47*CI47,-1,(1-SQRT((1-2*BI47*1E5/(DATOS!$C$29*AF47*CI47^2*DATOS!$C$21))))*DATOS!$C$21*AF47*CI47/DATOS!$C$14)))-0.0001,MAX(DATOS!$C$71,CEILING(CJ47/INDEX(TABLAS!$D$52:$D$58,MIN(MATCH(DATOS!$C$69,TABLAS!$B$52:$B$58,0)+0,7)),1)),MAX(MAX(DATOS!$C$71,CEILING(CJ47/INDEX(TABLAS!$D$52:$D$58,MIN(MATCH(DATOS!$C$69,TABLAS!$B$52:$B$58,0)+0,7)),1)),2))&lt;=MIN(DATOS!$C$70,INT(((DATOS!$C$80-2*AK47)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47&gt;=0,IF(MAX(DATOS!$C$71,CEILING(CJ47/INDEX(TABLAS!$D$52:$D$58,MIN(MATCH(DATOS!$C$69,TABLAS!$B$52:$B$58,0)+1,7)),1))*INDEX(TABLAS!$D$52:$D$58,MIN(MATCH(DATOS!$C$69,TABLAS!$B$52:$B$58,0)+1,7))&gt;=4/3*IF(BI47&lt;=0,0,IF((1-2*BI47*1E5/(DATOS!$C$29*AF47*CI47^2*DATOS!$C$21))&lt;0,-1,IF((1-SQRT((1-2*BI47*1E5/(DATOS!$C$29*AF47*CI47^2*DATOS!$C$21))))*DATOS!$C$21*AF47*CI47/DATOS!$C$14&gt;DATOS!$C$99*AF47*CI47,-1,(1-SQRT((1-2*BI47*1E5/(DATOS!$C$29*AF47*CI47^2*DATOS!$C$21))))*DATOS!$C$21*AF47*CI47/DATOS!$C$14)))-0.0001,MAX(DATOS!$C$71,CEILING(CJ47/INDEX(TABLAS!$D$52:$D$58,MIN(MATCH(DATOS!$C$69,TABLAS!$B$52:$B$58,0)+1,7)),1)),MAX(MAX(DATOS!$C$71,CEILING(CJ47/INDEX(TABLAS!$D$52:$D$58,MIN(MATCH(DATOS!$C$69,TABLAS!$B$52:$B$58,0)+1,7)),1)),2))&lt;=MIN(DATOS!$C$70,INT(((DATOS!$C$80-2*AK47)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47&gt;=0,IF(MAX(DATOS!$C$71,CEILING(CJ47/INDEX(TABLAS!$D$52:$D$58,MIN(MATCH(DATOS!$C$69,TABLAS!$B$52:$B$58,0)+2,7)),1))*INDEX(TABLAS!$D$52:$D$58,MIN(MATCH(DATOS!$C$69,TABLAS!$B$52:$B$58,0)+2,7))&gt;=4/3*IF(BI47&lt;=0,0,IF((1-2*BI47*1E5/(DATOS!$C$29*AF47*CI47^2*DATOS!$C$21))&lt;0,-1,IF((1-SQRT((1-2*BI47*1E5/(DATOS!$C$29*AF47*CI47^2*DATOS!$C$21))))*DATOS!$C$21*AF47*CI47/DATOS!$C$14&gt;DATOS!$C$99*AF47*CI47,-1,(1-SQRT((1-2*BI47*1E5/(DATOS!$C$29*AF47*CI47^2*DATOS!$C$21))))*DATOS!$C$21*AF47*CI47/DATOS!$C$14)))-0.0001,MAX(DATOS!$C$71,CEILING(CJ47/INDEX(TABLAS!$D$52:$D$58,MIN(MATCH(DATOS!$C$69,TABLAS!$B$52:$B$58,0)+2,7)),1)),MAX(MAX(DATOS!$C$71,CEILING(CJ47/INDEX(TABLAS!$D$52:$D$58,MIN(MATCH(DATOS!$C$69,TABLAS!$B$52:$B$58,0)+2,7)),1)),2))&lt;=MIN(DATOS!$C$70,INT(((DATOS!$C$80-2*AK47)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47&gt;=0,IF(MAX(DATOS!$C$71,CEILING(CJ47/INDEX(TABLAS!$D$52:$D$58,MIN(MATCH(DATOS!$C$69,TABLAS!$B$52:$B$58,0)+3,7)),1))*INDEX(TABLAS!$D$52:$D$58,MIN(MATCH(DATOS!$C$69,TABLAS!$B$52:$B$58,0)+3,7))&gt;=4/3*IF(BI47&lt;=0,0,IF((1-2*BI47*1E5/(DATOS!$C$29*AF47*CI47^2*DATOS!$C$21))&lt;0,-1,IF((1-SQRT((1-2*BI47*1E5/(DATOS!$C$29*AF47*CI47^2*DATOS!$C$21))))*DATOS!$C$21*AF47*CI47/DATOS!$C$14&gt;DATOS!$C$99*AF47*CI47,-1,(1-SQRT((1-2*BI47*1E5/(DATOS!$C$29*AF47*CI47^2*DATOS!$C$21))))*DATOS!$C$21*AF47*CI47/DATOS!$C$14)))-0.0001,MAX(DATOS!$C$71,CEILING(CJ47/INDEX(TABLAS!$D$52:$D$58,MIN(MATCH(DATOS!$C$69,TABLAS!$B$52:$B$58,0)+3,7)),1)),MAX(MAX(DATOS!$C$71,CEILING(CJ47/INDEX(TABLAS!$D$52:$D$58,MIN(MATCH(DATOS!$C$69,TABLAS!$B$52:$B$58,0)+3,7)),1)),2))&lt;=MIN(DATOS!$C$70,INT(((DATOS!$C$80-2*AK47)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47&gt;=0,IF(MAX(DATOS!$C$71,CEILING(CJ47/INDEX(TABLAS!$D$52:$D$58,MIN(MATCH(DATOS!$C$69,TABLAS!$B$52:$B$58,0)+4,7)),1))*INDEX(TABLAS!$D$52:$D$58,MIN(MATCH(DATOS!$C$69,TABLAS!$B$52:$B$58,0)+4,7))&gt;=4/3*IF(BI47&lt;=0,0,IF((1-2*BI47*1E5/(DATOS!$C$29*AF47*CI47^2*DATOS!$C$21))&lt;0,-1,IF((1-SQRT((1-2*BI47*1E5/(DATOS!$C$29*AF47*CI47^2*DATOS!$C$21))))*DATOS!$C$21*AF47*CI47/DATOS!$C$14&gt;DATOS!$C$99*AF47*CI47,-1,(1-SQRT((1-2*BI47*1E5/(DATOS!$C$29*AF47*CI47^2*DATOS!$C$21))))*DATOS!$C$21*AF47*CI47/DATOS!$C$14)))-0.0001,MAX(DATOS!$C$71,CEILING(CJ47/INDEX(TABLAS!$D$52:$D$58,MIN(MATCH(DATOS!$C$69,TABLAS!$B$52:$B$58,0)+4,7)),1)),MAX(MAX(DATOS!$C$71,CEILING(CJ47/INDEX(TABLAS!$D$52:$D$58,MIN(MATCH(DATOS!$C$69,TABLAS!$B$52:$B$58,0)+4,7)),1)),2))&lt;=MIN(DATOS!$C$70,INT(((DATOS!$C$80-2*AK47)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47" s="59" t="str">
        <f>IF(U47&lt;&gt;"SÍ","",IF(CJ47&lt;0,0,IF(MAX(DATOS!$C$71,CEILING(MAX(CJ47,0)/INDEX(TABLAS!$D$52:$D$58,MATCH(CK47,TABLAS!$B$52:$B$58,0)),1))*INDEX(TABLAS!$D$52:$D$58,MATCH(CK47,TABLAS!$B$52:$B$58,0))&gt;=4/3*IF(BI47&lt;=0,0,IF((1-2*BI47*1E5/(DATOS!$C$29*AF47*CI47^2*DATOS!$C$21))&lt;0,-1,IF((1-SQRT((1-2*BI47*1E5/(DATOS!$C$29*AF47*CI47^2*DATOS!$C$21))))*DATOS!$C$21*AF47*CI47/DATOS!$C$14&gt;DATOS!$C$99*AF47*CI47,-1,(1-SQRT((1-2*BI47*1E5/(DATOS!$C$29*AF47*CI47^2*DATOS!$C$21))))*DATOS!$C$21*AF47*CI47/DATOS!$C$14)))-0.0001,MAX(DATOS!$C$71,CEILING(MAX(CJ47,0)/INDEX(TABLAS!$D$52:$D$58,MATCH(CK47,TABLAS!$B$52:$B$58,0)),1)),MAX(MAX(DATOS!$C$71,CEILING(MAX(CJ47,0)/INDEX(TABLAS!$D$52:$D$58,MATCH(CK47,TABLAS!$B$52:$B$58,0)),1)),2))))</f>
        <v/>
      </c>
      <c r="CM47" s="58" t="str">
        <f>IF(U47&lt;&gt;"SÍ","",((DATOS!$C$82-AL47-2*DATOS!$C$94-INDEX(TABLAS!$C$52:$C$58,MATCH(BU47,TABLAS!$B$52:$B$58,0))-INDEX(TABLAS!$C$52:$C$58,MATCH(CK47,TABLAS!$B$52:$B$58,0))/2)-IF(AND((DATOS!$C$82-AL47-2*DATOS!$C$94-INDEX(TABLAS!$C$52:$C$58,MATCH(BU47,TABLAS!$B$52:$B$58,0))-INDEX(TABLAS!$C$52:$C$58,MATCH(CK47,TABLAS!$B$52:$B$58,0))/2)&lt;=20,DATOS!$C$62&lt;&gt;"SÍ"),2,0)))</f>
        <v/>
      </c>
      <c r="CN47" s="56" t="str">
        <f>IF(U47&lt;&gt;"SÍ","",IF(CL47=0,0,DATOS!$C$29*CL47*INDEX(TABLAS!$D$52:$D$58,MATCH(CK47,TABLAS!$B$52:$B$58,0))*DATOS!$C$14*(CM47-CL47*INDEX(TABLAS!$D$52:$D$58,MATCH(CK47,TABLAS!$B$52:$B$58,0))*DATOS!$C$14/(DATOS!$C$21*AF47)/2)/1E5))</f>
        <v/>
      </c>
      <c r="CO47" s="65" t="str">
        <f>IF(U47&lt;&gt;"SÍ","",IF(CJ47&lt;0,9.99,IF(CN47&gt;0,BI47/CN47,0)))</f>
        <v/>
      </c>
      <c r="CP47" s="66" t="str">
        <f>IF(U47&lt;&gt;"SÍ","",IF(CL47=0,"—",0.003*(CM47-(CL47*INDEX(TABLAS!$D$52:$D$58,MATCH(CK47,TABLAS!$B$52:$B$58,0))*DATOS!$C$14/(DATOS!$C$21*AF47)/DATOS!$C$22))/(CL47*INDEX(TABLAS!$D$52:$D$58,MATCH(CK47,TABLAS!$B$52:$B$58,0))*DATOS!$C$14/(DATOS!$C$21*AF47)/DATOS!$C$22)))</f>
        <v/>
      </c>
      <c r="CQ47" s="56" t="str">
        <f>IF(U47&lt;&gt;"SÍ","",IF(C47="PERIMETRAL",MAX(0,(AA47/2-BW47)/100)*(0.95-0.5*Z47)*AQ47*IF(AND(AR47&gt;0,AR47&lt;4),DATOS!$C$33,1)*DATOS!$C$83/100/1000,(AQ47*MAX(0,AA47-BW47)/100+DATOS!$C$26*N(O47))*DATOS!$C$83/100/1000+BE47))</f>
        <v/>
      </c>
      <c r="CR47" s="56" t="str">
        <f>IF(U47&lt;&gt;"SÍ","",DATOS!$C$30*2*MIN(1,SQRT(2/(1+0.04*BW47)))*(BV47*INDEX(TABLAS!$D$52:$D$58,MATCH(BU47,TABLAS!$B$52:$B$58,0))/(AE47*BW47))^(1/3)*SQRT(DATOS!$C$13)*AE47*BW47*IF(AI47="SÍ",DATOS!$C$32,1)/1000)</f>
        <v/>
      </c>
      <c r="CS47" s="59" t="str">
        <f>IF(U47&lt;&gt;"SÍ","",IF(CQ47&lt;=CR47,0,CEILING(MAX(0,IF(C47="VOLADO",(AA47-((CR47-BE47)*1E5/DATOS!$C$83-DATOS!$C$26*N(O47))*100/AQ47),IF(CR47&lt;=0,AA47,AA47/2-CR47/MAX(CQ47,1E-9)*(AA47/2-BW47)))-IF(INT((X47*100-DATOS!$C$84+DATOS!$C$80)/DATOS!$C$83)&gt;0,(X47*100-DATOS!$C$84-(INT((X47*100-DATOS!$C$84+DATOS!$C$80)/DATOS!$C$83)*DATOS!$C$78+(INT((X47*100-DATOS!$C$84+DATOS!$C$80)/DATOS!$C$83)-1)*DATOS!$C$80))/2,X47*100/2))/DATOS!$C$83,1)))</f>
        <v/>
      </c>
      <c r="CT47" s="67" t="str">
        <f>IF(U47&lt;&gt;"SÍ","",IF(CQ47&lt;=CR47,"CUMPLE",IF(CS47&lt;=0,"CUMPLE (basta el macizo de orilla)",IF(CS47*DATOS!$C$83*IF(C47="VOLADO",1,2)&gt;=X47*100-DATOS!$C$84,"NO CUMPLE: no alcanza ni macizando todo","MACIZAR "&amp;CS47&amp;" hilera(s)"))))</f>
        <v/>
      </c>
      <c r="CU47" s="58" t="str">
        <f>IF(U47&lt;&gt;"SÍ","",(DATOS!$C$83*DATOS!$C$81^2/2+AC47*DATOS!$C$79*(DATOS!$C$81+DATOS!$C$79/2))/(DATOS!$C$83*DATOS!$C$81+AC47*DATOS!$C$79))</f>
        <v/>
      </c>
      <c r="CV47" s="68" t="str">
        <f>IF(U47&lt;&gt;"SÍ","",DATOS!$C$83*DATOS!$C$81^3/12+DATOS!$C$83*DATOS!$C$81*(CU47-DATOS!$C$81/2)^2+AC47*DATOS!$C$79^3/12+AC47*DATOS!$C$79*(DATOS!$C$81+DATOS!$C$79/2-CU47)^2)</f>
        <v/>
      </c>
      <c r="CW47" s="58" t="str">
        <f>IF(U47&lt;&gt;"SÍ","",(12*CV47/DATOS!$C$83)^(1/3))</f>
        <v/>
      </c>
      <c r="CX47" s="58" t="str">
        <f>IF(U47&lt;&gt;"SÍ","",IF(C47="PERIMETRAL",IF(ISNUMBER(R47),R47,DATOS!$C$101),0))</f>
        <v/>
      </c>
      <c r="CY47" s="57" t="str">
        <f>IF(U47&lt;&gt;"SÍ","",IF(C47="PERIMETRAL",IF(CX47&gt;2,MAX(9,AB47*(0.8+DATOS!$C$14/14000)/(36+9*(AB47/MAX(AA47,1)))),IF(CX47&gt;0.2,MAX(13,AB47*(0.8+DATOS!$C$14/14000)/(36+5*(AB47/MAX(AA47,1))*(CX47-0.2))),MAX(13,AB47/IF(AR47&gt;0,30,33))))*IF(AND(CX47&gt;0.2,AR47&gt;0,DATOS!$C$102="NO"),1.1,1),X47*100/8))</f>
        <v/>
      </c>
      <c r="CZ47" s="61" t="str">
        <f>IF(U47&lt;&gt;"SÍ","",IF(IF(C47="VOLADO",DATOS!$C$82,CW47)&gt;=CY47,"CUMPLE",IF(C47="VOLADO","NO CUMPLE","CALCULAR FLECHA")))</f>
        <v/>
      </c>
      <c r="DA47" s="55" t="str">
        <f>IF(U47&lt;&gt;"SÍ","",IF(DATOS!$C$81&gt;=IF(IF(C47="VOLADO",X47,Y47)&gt;=6,6,5),"CUMPLE","CAPA ≥ 6 cm"))</f>
        <v/>
      </c>
      <c r="DB47" s="60" t="str">
        <f>IF(U47&lt;&gt;"SÍ","",IF(C47="VOLADO",MIN(CEILING(IF(ISNUMBER(P47),P47,X47)*100,5),CEILING(MAX(IF((0.5*(0.9*DATOS!$C$87*DATOS!$C$83/100/1000)*IF(ISNUMBER(P47),P47,X47)+BG47/IF(ISNUMBER(P47),P47,X47))^2-4*(0.5*(0.9*DATOS!$C$87*DATOS!$C$83/100/1000))*BG47&lt;0,IF(ISNUMBER(P47),P47,X47),MIN(IF(ISNUMBER(P47),P47,X47),((0.5*(0.9*DATOS!$C$87*DATOS!$C$83/100/1000)*IF(ISNUMBER(P47),P47,X47)+BG47/IF(ISNUMBER(P47),P47,X47))-SQRT((0.5*(0.9*DATOS!$C$87*DATOS!$C$83/100/1000)*IF(ISNUMBER(P47),P47,X47)+BG47/IF(ISNUMBER(P47),P47,X47))^2-4*(0.5*(0.9*DATOS!$C$87*DATOS!$C$83/100/1000))*BG47))/(2*(0.5*(0.9*DATOS!$C$87*DATOS!$C$83/100/1000)))))*100+MAX(BW47,12*INDEX(TABLAS!$C$52:$C$58,MATCH(BU47,TABLAS!$B$52:$B$58,0)),IF(ISNUMBER(P47),P47,X47)*100/16),IF(OR(AK47&lt;INDEX(TABLAS!$C$52:$C$58,MATCH(BU47,TABLAS!$B$52:$B$58,0)),AND(BV47&gt;=2,(AC47-2*AK47-BV47*INDEX(TABLAS!$C$52:$C$58,MATCH(BU47,TABLAS!$B$52:$B$58,0)))/MAX(BV47-1,1)&lt;2*INDEX(TABLAS!$C$52:$C$58,MATCH(BU47,TABLAS!$B$52:$B$58,0)))),INDEX(TABLAS!$I$52:$I$58,MATCH(BU47,TABLAS!$B$52:$B$58,0)),INDEX(TABLAS!$F$52:$F$58,MATCH(BU47,TABLAS!$B$52:$B$58,0)))),5)),IF(((4*((BB47*AQ47*X47^2*1E-4*DATOS!$C$83/100/1000)+((MAX(AX47,AZ47)*AQ47*X47^2*1E-4*DATOS!$C$83/100/1000)+(IF(AND(AX47&gt;0,AZ47&gt;0),MIN(AX47,AZ47),MAX(AX47,AZ47))*AQ47*X47^2*1E-4*DATOS!$C$83/100/1000))/2)+BG47-(IF(AND(AX47&gt;0,AZ47&gt;0),MIN(AX47,AZ47),MAX(AX47,AZ47))*AQ47*X47^2*1E-4*DATOS!$C$83/100/1000))^2-16*((BB47*AQ47*X47^2*1E-4*DATOS!$C$83/100/1000)+((MAX(AX47,AZ47)*AQ47*X47^2*1E-4*DATOS!$C$83/100/1000)+(IF(AND(AX47&gt;0,AZ47&gt;0),MIN(AX47,AZ47),MAX(AX47,AZ47))*AQ47*X47^2*1E-4*DATOS!$C$83/100/1000))/2)*BG47)&lt;0,CEILING(AA47,5),CEILING(MAX(AA47*((4*((BB47*AQ47*X47^2*1E-4*DATOS!$C$83/100/1000)+((MAX(AX47,AZ47)*AQ47*X47^2*1E-4*DATOS!$C$83/100/1000)+(IF(AND(AX47&gt;0,AZ47&gt;0),MIN(AX47,AZ47),MAX(AX47,AZ47))*AQ47*X47^2*1E-4*DATOS!$C$83/100/1000))/2)+BG47-(IF(AND(AX47&gt;0,AZ47&gt;0),MIN(AX47,AZ47),MAX(AX47,AZ47))*AQ47*X47^2*1E-4*DATOS!$C$83/100/1000))-SQRT(MAX(0,((4*((BB47*AQ47*X47^2*1E-4*DATOS!$C$83/100/1000)+((MAX(AX47,AZ47)*AQ47*X47^2*1E-4*DATOS!$C$83/100/1000)+(IF(AND(AX47&gt;0,AZ47&gt;0),MIN(AX47,AZ47),MAX(AX47,AZ47))*AQ47*X47^2*1E-4*DATOS!$C$83/100/1000))/2)+BG47-(IF(AND(AX47&gt;0,AZ47&gt;0),MIN(AX47,AZ47),MAX(AX47,AZ47))*AQ47*X47^2*1E-4*DATOS!$C$83/100/1000))^2-16*((BB47*AQ47*X47^2*1E-4*DATOS!$C$83/100/1000)+((MAX(AX47,AZ47)*AQ47*X47^2*1E-4*DATOS!$C$83/100/1000)+(IF(AND(AX47&gt;0,AZ47&gt;0),MIN(AX47,AZ47),MAX(AX47,AZ47))*AQ47*X47^2*1E-4*DATOS!$C$83/100/1000))/2)*BG47))))/(8*MAX(((BB47*AQ47*X47^2*1E-4*DATOS!$C$83/100/1000)+((MAX(AX47,AZ47)*AQ47*X47^2*1E-4*DATOS!$C$83/100/1000)+(IF(AND(AX47&gt;0,AZ47&gt;0),MIN(AX47,AZ47),MAX(AX47,AZ47))*AQ47*X47^2*1E-4*DATOS!$C$83/100/1000))/2),1E-9))+MAX(BW47,12*INDEX(TABLAS!$C$52:$C$58,MATCH(BU47,TABLAS!$B$52:$B$58,0)),AA47/16),IF(OR(AK47&lt;INDEX(TABLAS!$C$52:$C$58,MATCH(BU47,TABLAS!$B$52:$B$58,0)),AND(BV47&gt;=2,(AC47-2*AK47-BV47*INDEX(TABLAS!$C$52:$C$58,MATCH(BU47,TABLAS!$B$52:$B$58,0)))/MAX(BV47-1,1)&lt;2*INDEX(TABLAS!$C$52:$C$58,MATCH(BU47,TABLAS!$B$52:$B$58,0)))),INDEX(TABLAS!$I$52:$I$58,MATCH(BU47,TABLAS!$B$52:$B$58,0)),INDEX(TABLAS!$F$52:$F$58,MATCH(BU47,TABLAS!$B$52:$B$58,0)))),5))))</f>
        <v/>
      </c>
      <c r="DC47" s="60" t="str">
        <f>IF(U47&lt;&gt;"SÍ","",IF(C47="VOLADO",0,IF(((4*((BC47*AQ47*X47^2*1E-4*DATOS!$C$83/100/1000)+((MAX(AY47,BA47)*AQ47*X47^2*1E-4*DATOS!$C$83/100/1000)+(IF(AND(AY47&gt;0,BA47&gt;0),MIN(AY47,BA47),MAX(AY47,BA47))*AQ47*X47^2*1E-4*DATOS!$C$83/100/1000))/2)+BI47-(IF(AND(AY47&gt;0,BA47&gt;0),MIN(AY47,BA47),MAX(AY47,BA47))*AQ47*X47^2*1E-4*DATOS!$C$83/100/1000))^2-16*((BC47*AQ47*X47^2*1E-4*DATOS!$C$83/100/1000)+((MAX(AY47,BA47)*AQ47*X47^2*1E-4*DATOS!$C$83/100/1000)+(IF(AND(AY47&gt;0,BA47&gt;0),MIN(AY47,BA47),MAX(AY47,BA47))*AQ47*X47^2*1E-4*DATOS!$C$83/100/1000))/2)*BI47)&lt;0,CEILING(AB47,5),CEILING(MAX(AB47*((4*((BC47*AQ47*X47^2*1E-4*DATOS!$C$83/100/1000)+((MAX(AY47,BA47)*AQ47*X47^2*1E-4*DATOS!$C$83/100/1000)+(IF(AND(AY47&gt;0,BA47&gt;0),MIN(AY47,BA47),MAX(AY47,BA47))*AQ47*X47^2*1E-4*DATOS!$C$83/100/1000))/2)+BI47-(IF(AND(AY47&gt;0,BA47&gt;0),MIN(AY47,BA47),MAX(AY47,BA47))*AQ47*X47^2*1E-4*DATOS!$C$83/100/1000))-SQRT(MAX(0,((4*((BC47*AQ47*X47^2*1E-4*DATOS!$C$83/100/1000)+((MAX(AY47,BA47)*AQ47*X47^2*1E-4*DATOS!$C$83/100/1000)+(IF(AND(AY47&gt;0,BA47&gt;0),MIN(AY47,BA47),MAX(AY47,BA47))*AQ47*X47^2*1E-4*DATOS!$C$83/100/1000))/2)+BI47-(IF(AND(AY47&gt;0,BA47&gt;0),MIN(AY47,BA47),MAX(AY47,BA47))*AQ47*X47^2*1E-4*DATOS!$C$83/100/1000))^2-16*((BC47*AQ47*X47^2*1E-4*DATOS!$C$83/100/1000)+((MAX(AY47,BA47)*AQ47*X47^2*1E-4*DATOS!$C$83/100/1000)+(IF(AND(AY47&gt;0,BA47&gt;0),MIN(AY47,BA47),MAX(AY47,BA47))*AQ47*X47^2*1E-4*DATOS!$C$83/100/1000))/2)*BI47))))/(8*MAX(((BC47*AQ47*X47^2*1E-4*DATOS!$C$83/100/1000)+((MAX(AY47,BA47)*AQ47*X47^2*1E-4*DATOS!$C$83/100/1000)+(IF(AND(AY47&gt;0,BA47&gt;0),MIN(AY47,BA47),MAX(AY47,BA47))*AQ47*X47^2*1E-4*DATOS!$C$83/100/1000))/2),1E-9))+MAX(CM47,12*INDEX(TABLAS!$C$52:$C$58,MATCH(CK47,TABLAS!$B$52:$B$58,0)),AB47/16),IF(OR(AK47&lt;INDEX(TABLAS!$C$52:$C$58,MATCH(CK47,TABLAS!$B$52:$B$58,0)),AND(CL47&gt;=2,(DATOS!$C$80-2*AK47-CL47*INDEX(TABLAS!$C$52:$C$58,MATCH(CK47,TABLAS!$B$52:$B$58,0)))/MAX(CL47-1,1)&lt;2*INDEX(TABLAS!$C$52:$C$58,MATCH(CK47,TABLAS!$B$52:$B$58,0)))),INDEX(TABLAS!$I$52:$I$58,MATCH(CK47,TABLAS!$B$52:$B$58,0)),INDEX(TABLAS!$F$52:$F$58,MATCH(CK47,TABLAS!$B$52:$B$58,0)))),5))))</f>
        <v/>
      </c>
      <c r="DD47" s="55" t="str">
        <f>IF(U47&lt;&gt;"SÍ","",IF(AND(C47="PERIMETRAL",BV47&gt;=2,AR47-AS47&gt;0,AZ47*AQ47*X47^2*1E-4*DATOS!$C$83/100/1000&gt;DATOS!$C$29*INDEX(TABLAS!$D$52:$D$58,MATCH(BU47,TABLAS!$B$52:$B$58,0))*DATOS!$C$14*(BW47-INDEX(TABLAS!$D$52:$D$58,MATCH(BU47,TABLAS!$B$52:$B$58,0))*DATOS!$C$14/(DATOS!$C$21*AE47)/2)/1E5),"SÍ","NO"))</f>
        <v/>
      </c>
      <c r="DE47" s="55" t="str">
        <f>IF(U47&lt;&gt;"SÍ","",IF(AND(C47="PERIMETRAL",CL47&gt;=2,AS47&gt;0,BA47*AQ47*X47^2*1E-4*DATOS!$C$83/100/1000&gt;DATOS!$C$29*INDEX(TABLAS!$D$52:$D$58,MATCH(CK47,TABLAS!$B$52:$B$58,0))*DATOS!$C$14*(CM47-INDEX(TABLAS!$D$52:$D$58,MATCH(CK47,TABLAS!$B$52:$B$58,0))*DATOS!$C$14/(DATOS!$C$21*AF47)/2)/1E5),"SÍ","NO"))</f>
        <v/>
      </c>
      <c r="DF47" s="63" t="str">
        <f>IF(U47&lt;&gt;"SÍ","",IF(OR(C47="VOLADO",AR47=0),"—",IF(AND(AND(1.25*INDEX(TABLAS!$G$52:$G$58,MATCH(MAX(BM47,CC47),TABLAS!$B$52:$B$58,0))&lt;=(DATOS!$C$72-DATOS!$C$60),(DATOS!$C$72-DATOS!$C$60)&gt;=15,INDEX(TABLAS!$G$52:$G$58,MATCH(MAX(BU47,CK47),TABLAS!$B$52:$B$58,0))&lt;=(DATOS!$C$72-DATOS!$C$60)),8*INDEX(TABLAS!$C$52:$C$58,MATCH(MAX(MAX(BM47,CC47),MAX(BU47,CK47)),TABLAS!$B$52:$B$58,0))&lt;=DATOS!$C$73-2*DATOS!$C$60),"CUMPLE (gancho de 180°)",IF(AND(1.25*INDEX(TABLAS!$G$52:$G$58,MATCH(MAX(BM47,CC47),TABLAS!$B$52:$B$58,0))&lt;=(DATOS!$C$72-DATOS!$C$60),(DATOS!$C$72-DATOS!$C$60)&gt;=15,INDEX(TABLAS!$G$52:$G$58,MATCH(MAX(BU47,CK47),TABLAS!$B$52:$B$58,0))&lt;=(DATOS!$C$72-DATOS!$C$60)),"NO CUMPLE: el gancho de 180° (8·d_b) no cabe en el peralte de la dala de borde","NO CUMPLE: dala de borde ≥ "&amp;TEXT(CEILING(MAX(1.25*INDEX(TABLAS!$G$52:$G$58,MATCH(MAX(BM47,CC47),TABLAS!$B$52:$B$58,0)),15,INDEX(TABLAS!$G$52:$G$58,MATCH(MAX(BU47,CK47),TABLAS!$B$52:$B$58,0)))+DATOS!$C$60,5),"0")&amp;" cm de ancho"&amp;IF(8*INDEX(TABLAS!$C$52:$C$58,MATCH(MAX(MAX(BM47,CC47),MAX(BU47,CK47)),TABLAS!$B$52:$B$58,0))&lt;=DATOS!$C$73-2*DATOS!$C$60,""," y más peralte para el gancho")))))</f>
        <v/>
      </c>
      <c r="DG47" s="59" t="str">
        <f>IF(U47&lt;&gt;"SÍ","",MAX(0,INT((E47*100-DATOS!$C$84+DATOS!$C$83-IF(W47="X",DATOS!$C$78,AD47))/DATOS!$C$83)))</f>
        <v/>
      </c>
      <c r="DH47" s="59" t="str">
        <f>IF(U47&lt;&gt;"SÍ","",MAX(0,INT((F47*100-DATOS!$C$84+DATOS!$C$83-IF(W47="Y",DATOS!$C$78,AD47))/DATOS!$C$83)))</f>
        <v/>
      </c>
      <c r="DI47" s="57" t="str">
        <f>IF(U47&lt;&gt;"SÍ","",IF(DG47&gt;0,(E47*100-DATOS!$C$84-(DG47*IF(W47="X",DATOS!$C$78,AD47)+(DG47-1)*(DATOS!$C$83-IF(W47="X",DATOS!$C$78,AD47))))/2,E47*100/2))</f>
        <v/>
      </c>
      <c r="DJ47" s="57" t="str">
        <f>IF(U47&lt;&gt;"SÍ","",IF(DH47&gt;0,(F47*100-DATOS!$C$84-(DH47*IF(W47="Y",DATOS!$C$78,AD47)+(DH47-1)*(DATOS!$C$83-IF(W47="Y",DATOS!$C$78,AD47))))/2,F47*100/2))</f>
        <v/>
      </c>
      <c r="DK47" s="59" t="str">
        <f>IF(U47&lt;&gt;"SÍ","",IF(NOT(AND(C47="VOLADO",AC47&gt;DATOS!$C$80)),0,IF(INDEX(TABLAS!$C$52:$C$58,MATCH(BU47,TABLAS!$B$52:$B$58,0))&lt;=DATOS!$C$80-2*DATOS!$C$60,1,0)))</f>
        <v/>
      </c>
      <c r="DL47" s="58" t="str">
        <f>IF(U47&lt;&gt;"SÍ","",IF(NOT(AND(C47="VOLADO",AC47&gt;DATOS!$C$80)),0,((DATOS!$C$82-MAX(DATOS!$C$60,(DATOS!$C$81-2*DATOS!$C$94)/2)-2*DATOS!$C$94-INDEX(TABLAS!$C$52:$C$58,MATCH(BU47,TABLAS!$B$52:$B$58,0))/2)-IF(AND((DATOS!$C$82-MAX(DATOS!$C$60,(DATOS!$C$81-2*DATOS!$C$94)/2)-2*DATOS!$C$94-INDEX(TABLAS!$C$52:$C$58,MATCH(BU47,TABLAS!$B$52:$B$58,0))/2)&lt;=20,DATOS!$C$62&lt;&gt;"SÍ"),2,0))))</f>
        <v/>
      </c>
      <c r="DM47" s="56" t="str">
        <f>IF(U47&lt;&gt;"SÍ","",IF(OR(NOT(AND(C47="VOLADO",AC47&gt;DATOS!$C$80)),DK47&lt;1),0,IF(0.003*(DL47-((DK47*INDEX(TABLAS!$D$52:$D$58,MATCH(BU47,TABLAS!$B$52:$B$58,0)))*DATOS!$C$14/(DATOS!$C$21*AF47)/DATOS!$C$22))/((DK47*INDEX(TABLAS!$D$52:$D$58,MATCH(BU47,TABLAS!$B$52:$B$58,0)))*DATOS!$C$14/(DATOS!$C$21*AF47)/DATOS!$C$22)&lt;0.005,0,DATOS!$C$29*(DK47*INDEX(TABLAS!$D$52:$D$58,MATCH(BU47,TABLAS!$B$52:$B$58,0)))*DATOS!$C$14*(DL47-(DK47*INDEX(TABLAS!$D$52:$D$58,MATCH(BU47,TABLAS!$B$52:$B$58,0)))*DATOS!$C$14/(DATOS!$C$21*AF47)/2)/1E5)))</f>
        <v/>
      </c>
      <c r="DN47" s="56" t="str">
        <f>IF(U47&lt;&gt;"SÍ","",IF(OR(NOT(AND(C47="VOLADO",AC47&gt;DATOS!$C$80)),DK47&lt;1),0,DATOS!$C$30*2*MIN(1,SQRT(2/(1+0.04*DL47)))*((DK47*INDEX(TABLAS!$D$52:$D$58,MATCH(BU47,TABLAS!$B$52:$B$58,0)))/(AF47*DL47))^(1/3)*SQRT(DATOS!$C$13)*AF47*DL47/1000))</f>
        <v/>
      </c>
      <c r="DO47" s="56" t="str">
        <f>IF(U47&lt;&gt;"SÍ","",IF(NOT(AND(C47="VOLADO",AC47&gt;DATOS!$C$80)),0,IF((BG47-DM47)&lt;=0,0,IF(DM47&lt;=0,IF(ISNUMBER(P47),P47,X47),IF(((0.9*DATOS!$C$87*DATOS!$C$83/100/1000)*IF(ISNUMBER(P47),P47,X47)/2+BG47/IF(ISNUMBER(P47),P47,X47))^2-4*((0.9*DATOS!$C$87*DATOS!$C$83/100/1000)/2)*(BG47-DM47)&lt;0,IF(ISNUMBER(P47),P47,X47),MIN(IF(ISNUMBER(P47),P47,X47),(((0.9*DATOS!$C$87*DATOS!$C$83/100/1000)*IF(ISNUMBER(P47),P47,X47)/2+BG47/IF(ISNUMBER(P47),P47,X47))-SQRT(((0.9*DATOS!$C$87*DATOS!$C$83/100/1000)*IF(ISNUMBER(P47),P47,X47)/2+BG47/IF(ISNUMBER(P47),P47,X47))^2-4*((0.9*DATOS!$C$87*DATOS!$C$83/100/1000)/2)*(BG47-DM47)))/(2*((0.9*DATOS!$C$87*DATOS!$C$83/100/1000)/2))))))))</f>
        <v/>
      </c>
      <c r="DP47" s="56" t="str">
        <f>IF(U47&lt;&gt;"SÍ","",IF(NOT(AND(C47="VOLADO",AC47&gt;DATOS!$C$80)),0,MIN(IF(ISNUMBER(P47),P47,X47),MAX(0,IF(ISNUMBER(P47),P47,X47)/2+BG47/IF(ISNUMBER(P47),P47,X47)/(AQ47*DATOS!$C$83/100/1000)-DN47/(AQ47*DATOS!$C$83/100/1000)))))</f>
        <v/>
      </c>
      <c r="DQ47" s="56" t="str">
        <f>IF(U47&lt;&gt;"SÍ","",IF(NOT(AND(C47="VOLADO",AC47&gt;DATOS!$C$80)),0,BG47/IF(ISNUMBER(P47),P47,X47)+(AQ47*DATOS!$C$83/100/1000)*MAX(0,IF(ISNUMBER(P47),P47,X47)/2-BW47/100)))</f>
        <v/>
      </c>
      <c r="DR47" s="59" t="str">
        <f>IF(U47&lt;&gt;"SÍ","",IF(NOT(AND(C47="VOLADO",AC47&gt;DATOS!$C$80)),0,CEILING(100*MIN(IF(ISNUMBER(P47),P47,X47),MAX(IF(DO47&gt;0,DO47+IF(BV47&gt;=2,MAX(DL47,12*INDEX(TABLAS!$C$52:$C$58,MATCH(BU47,TABLAS!$B$52:$B$58,0)))/100,0),0),DP47,IF(BV47&gt;=2,INDEX(TABLAS!$F$52:$F$58,MATCH(BU47,TABLAS!$B$52:$B$58,0))/100,0))),5)))</f>
        <v/>
      </c>
      <c r="DS47" s="60" t="str">
        <f>IF(U47&lt;&gt;"SÍ","",IF(NOT(AND(C47="VOLADO",AC47&gt;DATOS!$C$80)),0,IF(DR47&lt;=0,0,CEILING(DR47/DATOS!$C$83,1))))</f>
        <v/>
      </c>
      <c r="DT47" s="61" t="str">
        <f>IF(U47&lt;&gt;"SÍ","",IF(C47&lt;&gt;"VOLADO","—",IF(AC47&lt;=DATOS!$C$80,"— (mismo b_w que el respaldo)",IF(DQ47&gt;CR47,"NO CUMPLE: cortante de la nervadura ancha junto al apoyo ("&amp;TEXT(DQ47,"0.00")&amp;" &gt; "&amp;TEXT(CR47,"0.00")&amp;" t)",IF(DR47&gt;=100*IF(ISNUMBER(P47),P47,X47),"CUMPLE — todas las nervaduras del respaldo ‖ al volado con b_w = "&amp;AC47&amp;" cm","CUMPLE — "&amp;DS47&amp;" hilera(s) del respaldo con nervaduras de b_w = "&amp;AC47&amp;" cm (casetón "&amp;AD47&amp;" cm), hasta "&amp;TEXT(DR47/100,"0.00")&amp;" m del paño")))))</f>
        <v/>
      </c>
      <c r="DU47" s="69" t="str">
        <f>IF(U47&lt;&gt;"SÍ","",IF(BN47=0,"NO ALCANZA",BN47&amp;" No. "&amp;BM47&amp;IF(BN47&gt;1," corridas"," corrida")))</f>
        <v/>
      </c>
      <c r="DV47" s="69" t="str">
        <f>IF(U47&lt;&gt;"SÍ","",IF(BV47=0,"NO ALCANZA",IF(AND(C47="VOLADO",AC47&gt;DATOS!$C$80,BV47&gt;=2),"1 No. "&amp;BU47&amp;" corrida de la orilla al respaldo ("&amp;IF(DB47&gt;=100*IF(ISNUMBER(P47),P47,X47),"hasta su apoyo lejano, con gancho","entra "&amp;TEXT(DB47/100,"0.00")&amp;" m desde el paño")&amp;") + "&amp;(BV47-1)&amp;" bastón No. "&amp;BU47&amp;" hasta "&amp;TEXT(DR47/100,"0.00")&amp;" m del paño (fin de la nervadura ancha)",IF(C47="VOLADO",BV47&amp;" No. "&amp;BU47&amp;" de la orilla al respaldo ("&amp;IF(DB47&gt;=100*IF(ISNUMBER(P47),P47,X47),"hasta su apoyo lejano, con gancho","entran "&amp;TEXT(DB47/100,"0.00")&amp;" m desde el paño")&amp;")","1 No. "&amp;BU47&amp;" corrida"&amp;IF(BV47&gt;1," + "&amp;(BV47-1)&amp;" bastón No. "&amp;BU47&amp;" L = "&amp;TEXT(DB47/100,"0.00")&amp;" m desde el paño","")))))</f>
        <v/>
      </c>
      <c r="DW47" s="69" t="str">
        <f>IF(U47&lt;&gt;"SÍ","",IF(CD47=0,"NO ALCANZA",CD47&amp;" No. "&amp;CC47&amp;IF(CD47&gt;1," corridas"," corrida")))</f>
        <v/>
      </c>
      <c r="DX47" s="69" t="str">
        <f>IF(U47&lt;&gt;"SÍ","",IF(CL47=0,"NO ALCANZA",IF(C47="VOLADO","1 No. "&amp;CK47&amp;" corrida (repartición)","1 No. "&amp;CK47&amp;" corrida"&amp;IF(CL47&gt;1," + "&amp;(CL47-1)&amp;" bastón No. "&amp;CK47&amp;" L = "&amp;TEXT(DC47/100,"0.00")&amp;" m desde el paño",""))))</f>
        <v/>
      </c>
      <c r="DY47" s="67" t="str">
        <f>IF(B47="","",IF(U47&lt;&gt;"SÍ","FALTAN DATOS: tipo, a_x, a_y y destino",IF(L47="NO MONOLÍTICO (caso II)","FUERA DE ALCANCE: caso II no transcrito",IF(AND(C47="VOLADO",V47="?"),"REVISAR: el volado lleva UN solo borde CONTINUO (el empotrado)",IF(AND(MAX(BQ47,BY47,CG47,CO47)&lt;=1,NOT(OR(BN47&gt;MIN(DATOS!$C$70,INT(((AC47-2*AJ47)+MAX(DATOS!$C$67,INDEX(TABLAS!$C$52:$C$58,MATCH(BM47,TABLAS!$B$52:$B$58,0))))/(INDEX(TABLAS!$C$52:$C$58,MATCH(BM47,TABLAS!$B$52:$B$58,0))+MAX(DATOS!$C$67,INDEX(TABLAS!$C$52:$C$58,MATCH(BM47,TABLAS!$B$52:$B$58,0)))))),BV47&gt;MIN(DATOS!$C$70,INT(((AC47-2*AK47)+MAX(DATOS!$C$67,INDEX(TABLAS!$C$52:$C$58,MATCH(BU47,TABLAS!$B$52:$B$58,0))))/(INDEX(TABLAS!$C$52:$C$58,MATCH(BU47,TABLAS!$B$52:$B$58,0))+MAX(DATOS!$C$67,INDEX(TABLAS!$C$52:$C$58,MATCH(BU47,TABLAS!$B$52:$B$58,0)))))),CD47&gt;MIN(DATOS!$C$70,INT(((DATOS!$C$80-2*AJ47)+MAX(DATOS!$C$67,INDEX(TABLAS!$C$52:$C$58,MATCH(CC47,TABLAS!$B$52:$B$58,0))))/(INDEX(TABLAS!$C$52:$C$58,MATCH(CC47,TABLAS!$B$52:$B$58,0))+MAX(DATOS!$C$67,INDEX(TABLAS!$C$52:$C$58,MATCH(CC47,TABLAS!$B$52:$B$58,0)))))),CL47&gt;MIN(DATOS!$C$70,INT(((DATOS!$C$80-2*AK47)+MAX(DATOS!$C$67,INDEX(TABLAS!$C$52:$C$58,MATCH(CK47,TABLAS!$B$52:$B$58,0))))/(INDEX(TABLAS!$C$52:$C$58,MATCH(CK47,TABLAS!$B$52:$B$58,0))+MAX(DATOS!$C$67,INDEX(TABLAS!$C$52:$C$58,MATCH(CK47,TABLAS!$B$52:$B$58,0)))))))),NOT(OR(AND(ISNUMBER(BR47),BR47&lt;0.005),AND(ISNUMBER(BZ47),BZ47&lt;0.005),AND(ISNUMBER(CH47),CH47&lt;0.005),AND(ISNUMBER(CP47),CP47&lt;0.005))),NOT(LEFT(DT47,2)="NO"),CZ47="CUMPLE",DA47="CUMPLE",LEFT(CT47,2)&lt;&gt;"NO"),IF(LEFT(CT47,6)="CUMPLE","CUMPLE","CUMPLE — "&amp;CT47)&amp;IF(LEFT(BJ47,5)="FUERA"," · fuera de 3.4.2.1 c)","")&amp;IF(LEFT(DF47,2)="NO"," · REVISAR anclaje en borde discontinuo","")&amp;IF(DS47&gt;0," · respaldo: "&amp;DS47&amp;" hilera(s) de b_w "&amp;AC47&amp;" cm",""),IF(AND(MAX(BQ47,BY47,CG47,CO47)&lt;=1,NOT(OR(BN47&gt;MIN(DATOS!$C$70,INT(((AC47-2*AJ47)+MAX(DATOS!$C$67,INDEX(TABLAS!$C$52:$C$58,MATCH(BM47,TABLAS!$B$52:$B$58,0))))/(INDEX(TABLAS!$C$52:$C$58,MATCH(BM47,TABLAS!$B$52:$B$58,0))+MAX(DATOS!$C$67,INDEX(TABLAS!$C$52:$C$58,MATCH(BM47,TABLAS!$B$52:$B$58,0)))))),BV47&gt;MIN(DATOS!$C$70,INT(((AC47-2*AK47)+MAX(DATOS!$C$67,INDEX(TABLAS!$C$52:$C$58,MATCH(BU47,TABLAS!$B$52:$B$58,0))))/(INDEX(TABLAS!$C$52:$C$58,MATCH(BU47,TABLAS!$B$52:$B$58,0))+MAX(DATOS!$C$67,INDEX(TABLAS!$C$52:$C$58,MATCH(BU47,TABLAS!$B$52:$B$58,0)))))),CD47&gt;MIN(DATOS!$C$70,INT(((DATOS!$C$80-2*AJ47)+MAX(DATOS!$C$67,INDEX(TABLAS!$C$52:$C$58,MATCH(CC47,TABLAS!$B$52:$B$58,0))))/(INDEX(TABLAS!$C$52:$C$58,MATCH(CC47,TABLAS!$B$52:$B$58,0))+MAX(DATOS!$C$67,INDEX(TABLAS!$C$52:$C$58,MATCH(CC47,TABLAS!$B$52:$B$58,0)))))),CL47&gt;MIN(DATOS!$C$70,INT(((DATOS!$C$80-2*AK47)+MAX(DATOS!$C$67,INDEX(TABLAS!$C$52:$C$58,MATCH(CK47,TABLAS!$B$52:$B$58,0))))/(INDEX(TABLAS!$C$52:$C$58,MATCH(CK47,TABLAS!$B$52:$B$58,0))+MAX(DATOS!$C$67,INDEX(TABLAS!$C$52:$C$58,MATCH(CK47,TABLAS!$B$52:$B$58,0)))))))),NOT(OR(AND(ISNUMBER(BR47),BR47&lt;0.005),AND(ISNUMBER(BZ47),BZ47&lt;0.005),AND(ISNUMBER(CH47),CH47&lt;0.005),AND(ISNUMBER(CP47),CP47&lt;0.005))),NOT(LEFT(DT47,2)="NO"),CZ47="CALCULAR FLECHA",LEFT(CT47,2)&lt;&gt;"NO"),"REVISAR: calcular flecha (h_eq &lt; h mín.)"&amp;IF(LEFT(BJ47,5)="FUERA"," · fuera de 3.4.2.1 c)","")&amp;IF(LEFT(DF47,2)="NO"," · REVISAR anclaje en borde discontinuo","")&amp;IF(DS47&gt;0," · respaldo: "&amp;DS47&amp;" hilera(s) de b_w "&amp;AC47&amp;" cm",""),"NO CUMPLE: "&amp;IF(MAX(BQ47,BY47,CG47,CO47)&gt;1,"flexión ","")&amp;IF(OR(BN47&gt;MIN(DATOS!$C$70,INT(((AC47-2*AJ47)+MAX(DATOS!$C$67,INDEX(TABLAS!$C$52:$C$58,MATCH(BM47,TABLAS!$B$52:$B$58,0))))/(INDEX(TABLAS!$C$52:$C$58,MATCH(BM47,TABLAS!$B$52:$B$58,0))+MAX(DATOS!$C$67,INDEX(TABLAS!$C$52:$C$58,MATCH(BM47,TABLAS!$B$52:$B$58,0)))))),BV47&gt;MIN(DATOS!$C$70,INT(((AC47-2*AK47)+MAX(DATOS!$C$67,INDEX(TABLAS!$C$52:$C$58,MATCH(BU47,TABLAS!$B$52:$B$58,0))))/(INDEX(TABLAS!$C$52:$C$58,MATCH(BU47,TABLAS!$B$52:$B$58,0))+MAX(DATOS!$C$67,INDEX(TABLAS!$C$52:$C$58,MATCH(BU47,TABLAS!$B$52:$B$58,0)))))),CD47&gt;MIN(DATOS!$C$70,INT(((DATOS!$C$80-2*AJ47)+MAX(DATOS!$C$67,INDEX(TABLAS!$C$52:$C$58,MATCH(CC47,TABLAS!$B$52:$B$58,0))))/(INDEX(TABLAS!$C$52:$C$58,MATCH(CC47,TABLAS!$B$52:$B$58,0))+MAX(DATOS!$C$67,INDEX(TABLAS!$C$52:$C$58,MATCH(CC47,TABLAS!$B$52:$B$58,0)))))),CL47&gt;MIN(DATOS!$C$70,INT(((DATOS!$C$80-2*AK47)+MAX(DATOS!$C$67,INDEX(TABLAS!$C$52:$C$58,MATCH(CK47,TABLAS!$B$52:$B$58,0))))/(INDEX(TABLAS!$C$52:$C$58,MATCH(CK47,TABLAS!$B$52:$B$58,0))+MAX(DATOS!$C$67,INDEX(TABLAS!$C$52:$C$58,MATCH(CK47,TABLAS!$B$52:$B$58,0))))))),"no caben ","")&amp;IF(OR(AND(ISNUMBER(BR47),BR47&lt;0.005),AND(ISNUMBER(BZ47),BZ47&lt;0.005),AND(ISNUMBER(CH47),CH47&lt;0.005),AND(ISNUMBER(CP47),CP47&lt;0.005)),"ε_t &lt; 0.005 ","")&amp;IF(LEFT(CT47,2)="NO","cortante ","")&amp;IF(CZ47="NO CUMPLE","peralte ","")&amp;IF(DA47&lt;&gt;"CUMPLE","capa &lt; 6 cm ","")&amp;IF(LEFT(DT47,2)="NO","respaldo del volado","")))))))</f>
        <v/>
      </c>
      <c r="DZ47" s="70" t="str">
        <f>IF(U47&lt;&gt;"SÍ","",IF(LEFT(B47,7)="EJEMPLO","EJEMPLO de la hoja de Casa Rocha: bórralo o sobrescríbelo. ","")&amp;IF(AND(C47="PERIMETRAL",MIN(DG47,DH47)=0),"No cabe un casetón en el claro corto: es un tablero macizo, diséñalo en MACIZAS. ","")&amp;IF(AND(AI47="NO",C47="PERIMETRAL"),"No cumple 6.7.8.1.4 (a_c = "&amp;MAX(DATOS!$C$78,AD47)&amp;" cm &gt; claro corto/6 = "&amp;TEXT(X47*100/6,"0")&amp;" cm): se diseña como losa apoyada en vigas (6.7.8.1.9): r de viga = "&amp;DATOS!$C$60&amp;" cm y V_cR sin ×1.1. Para que cuente como encasetonada: casetón de "&amp;TEXT(FLOOR(MIN(80,X47*100/6),1),"0")&amp;" cm o menor. ","")&amp;IF(C47="VOLADO","Volado de "&amp;TEXT(X47,"0.00")&amp;" m empotrado en el borde "&amp;LOWER(V47)&amp;IF(N(O47)&gt;0,", con "&amp;TEXT(O47,"0.0")&amp;" kg/m en la orilla","")&amp;". Lecho inferior con r_ext. Si la orilla carga pretil u otro elemento frágil, calcula la flecha (13.4). El acero superior entra al respaldo de "&amp;TEXT(IF(ISNUMBER(P47),P47,X47),"0.00")&amp;" m"&amp;IF(ISNUMBER(P47),""," (L_b no capturado: se tomó igual al volado)")&amp;" hasta pasar M = 0 con 0.9·PP sin carga viva; si ahí no se anula, llega al apoyo lejano y se ancla con gancho (NTC-Criterios 3.4.1 c y 5.1.2.2). "&amp;IF(AC47&gt;DATOS!$C$80,"Respaldo: "&amp;DT47&amp;". ",""),"")&amp;IF(LEFT(BJ47,5)="FUERA","El M⁻ del vecino difiere más de 50 % (3.4.2.1 c): distribuye el desequilibrio (3.4.3.1) o confirma con un modelo; se arma con el mayor. ","")&amp;IF(OR(DD47="SÍ",DE47="SÍ"),"El M⁻ del borde discontinuo pide bastón también ahí (con gancho). ","")&amp;IF(LEFT(DF47,2)="NO","Anclaje: "&amp;DF47&amp;" (6.7.8.1.7). ","")&amp;IF(OR(AZ47&gt;0,BA47&gt;0),"Esquinas exteriores sobre muro: refuerzo de esquina arriba y abajo en L_largo/5 (6.7.7.3.1). ",""))</f>
        <v/>
      </c>
    </row>
    <row r="48" ht="33" customHeight="1">
      <c r="A48" s="50">
        <f>IF(B48="",0,1)+A47</f>
        <v>4</v>
      </c>
      <c r="B48" s="29" t="n"/>
      <c r="C48" s="51" t="n"/>
      <c r="D48" s="29" t="n"/>
      <c r="E48" s="52" t="n"/>
      <c r="F48" s="52" t="n"/>
      <c r="G48" s="51" t="n"/>
      <c r="H48" s="51" t="n"/>
      <c r="I48" s="51" t="n"/>
      <c r="J48" s="51" t="n"/>
      <c r="K48" s="51" t="n"/>
      <c r="L48" s="51" t="n"/>
      <c r="M48" s="53" t="n"/>
      <c r="N48" s="53" t="n"/>
      <c r="O48" s="54" t="n"/>
      <c r="P48" s="52" t="n"/>
      <c r="Q48" s="53" t="n"/>
      <c r="R48" s="54" t="n"/>
      <c r="S48" s="52" t="n"/>
      <c r="T48" s="52" t="n"/>
      <c r="U48" s="55" t="str">
        <f>IF(B48="","",IF(AND(OR(C48="PERIMETRAL",C48="VOLADO"),ISNUMBER(E48),ISNUMBER(F48),E48&gt;0,F48&gt;0,OR(ISNUMBER(N48),ISNUMBER(MATCH(D48,DATOS!$B$46:$B$55,0)))),"SÍ","NO"))</f>
        <v/>
      </c>
      <c r="V48" s="55" t="str">
        <f>IF(U48&lt;&gt;"SÍ","",IF(C48&lt;&gt;"VOLADO","—",IF(COUNTIF(G48:J48,"CONTINUO")&lt;&gt;1,"?",IF(G48="CONTINUO","INFERIOR",IF(H48="CONTINUO","SUPERIOR",IF(I48="CONTINUO","IZQUIERDO","DERECHO"))))))</f>
        <v/>
      </c>
      <c r="W48" s="55" t="str">
        <f>IF(U48&lt;&gt;"SÍ","",IF(C48="VOLADO",IF(OR(V48="IZQUIERDO",V48="DERECHO"),"X","Y"),IF(E48&lt;=F48,"X","Y")))</f>
        <v/>
      </c>
      <c r="X48" s="56" t="str">
        <f>IF(U48&lt;&gt;"SÍ","",IF(C48="VOLADO",IF(W48="X",E48,F48),MIN(E48,F48)))</f>
        <v/>
      </c>
      <c r="Y48" s="56" t="str">
        <f>IF(U48&lt;&gt;"SÍ","",IF(C48="VOLADO",IF(W48="X",F48,E48),MAX(E48,F48)))</f>
        <v/>
      </c>
      <c r="Z48" s="56" t="str">
        <f>IF(U48&lt;&gt;"SÍ","",MIN(X48,Y48)/MAX(X48,Y48))</f>
        <v/>
      </c>
      <c r="AA48" s="57" t="str">
        <f>IF(U48&lt;&gt;"SÍ","",MAX(1,X48*100-IF(C48="VOLADO",DATOS!$C$84/2,DATOS!$C$84)))</f>
        <v/>
      </c>
      <c r="AB48" s="57" t="str">
        <f>IF(U48&lt;&gt;"SÍ","",MAX(1,Y48*100-DATOS!$C$84))</f>
        <v/>
      </c>
      <c r="AC48" s="57" t="str">
        <f>IF(U48&lt;&gt;"SÍ","",IF(ISNUMBER(Q48),Q48,DATOS!$C$80))</f>
        <v/>
      </c>
      <c r="AD48" s="57" t="str">
        <f>IF(U48&lt;&gt;"SÍ","",MAX(0,DATOS!$C$83-AC48))</f>
        <v/>
      </c>
      <c r="AE48" s="57" t="str">
        <f>IF(U48&lt;&gt;"SÍ","",IF(OR(DATOS!$C$62="SÍ",AC48&gt;=20),AC48,AC48-2))</f>
        <v/>
      </c>
      <c r="AF48" s="57" t="str">
        <f>IF(U48&lt;&gt;"SÍ","",IF(OR(DATOS!$C$62="SÍ",DATOS!$C$80&gt;=20),DATOS!$C$80,DATOS!$C$80-2))</f>
        <v/>
      </c>
      <c r="AG48" s="57" t="str">
        <f>IF(U48&lt;&gt;"SÍ","",MIN(DATOS!$C$83,AC48+2*MIN(8*DATOS!$C$81,AD48/2,AA48/8)))</f>
        <v/>
      </c>
      <c r="AH48" s="57" t="str">
        <f>IF(U48&lt;&gt;"SÍ","",MIN(DATOS!$C$83,DATOS!$C$80+2*MIN(8*DATOS!$C$81,DATOS!$C$78/2,AB48/8)))</f>
        <v/>
      </c>
      <c r="AI48" s="55" t="str">
        <f>IF(U48&lt;&gt;"SÍ","",IF(AND(C48="PERIMETRAL",X48*100&gt;=6*MAX(DATOS!$C$78,AD48),MAX(DATOS!$C$78,AD48)&lt;=80,MIN(DATOS!$C$80,AC48)&gt;=10,DATOS!$C$82&lt;=3.5*MIN(DATOS!$C$80,AC48),DATOS!$C$81&gt;=MAX(MAX(DATOS!$C$78,AD48)/13,5)),"SÍ","NO"))</f>
        <v/>
      </c>
      <c r="AJ48" s="57" t="str">
        <f>IF(U48&lt;&gt;"SÍ","",IF(C48="VOLADO",DATOS!$C$61,IF(AI48="NO",DATOS!$C$60,DATOS!$C$59)))</f>
        <v/>
      </c>
      <c r="AK48" s="57" t="str">
        <f>IF(U48&lt;&gt;"SÍ","",IF(OR(AND(AM48="SÍ",DATOS!$C$63="SÍ"),AND(C48="VOLADO",DATOS!$C$64="SÍ")),DATOS!$C$61,IF(AI48="NO",DATOS!$C$60,DATOS!$C$59)))</f>
        <v/>
      </c>
      <c r="AL48" s="58" t="str">
        <f>IF(U48&lt;&gt;"SÍ","",MAX(AK48,(DATOS!$C$81-2*DATOS!$C$94)/2))</f>
        <v/>
      </c>
      <c r="AM48" s="55" t="str">
        <f>IF(U48&lt;&gt;"SÍ","",IFERROR(INDEX(DATOS!$D$46:$D$55,MATCH(D48,DATOS!$B$46:$B$55,0)),"NO"))</f>
        <v/>
      </c>
      <c r="AN48" s="59" t="str">
        <f>IF(U48&lt;&gt;"SÍ","",IF(ISNUMBER(N48),N48,IFERROR(INDEX(DATOS!$C$46:$C$55,MATCH(D48,DATOS!$B$46:$B$55,0)),0)))</f>
        <v/>
      </c>
      <c r="AO48" s="59" t="str">
        <f>IF(U48&lt;&gt;"SÍ","",(DATOS!$C$82/100-(AD48*DATOS!$C$78/DATOS!$C$83^2)*DATOS!$C$79/100)*DATOS!$C$16*1000+(AD48*DATOS!$C$78/DATOS!$C$83^2)*DATOS!$C$79/100*DATOS!$C$17*1000+DATOS!$C$37+DATOS!$C$38)</f>
        <v/>
      </c>
      <c r="AP48" s="59" t="str">
        <f>IF(U48&lt;&gt;"SÍ","",AO48+N(M48))</f>
        <v/>
      </c>
      <c r="AQ48" s="60" t="str">
        <f>IF(U48&lt;&gt;"SÍ","",MAX(DATOS!$C$26*AP48+DATOS!$C$27*AN48,IF(AM48="SÍ",DATOS!$C$28*(AP48+DATOS!$C$41),0)))</f>
        <v/>
      </c>
      <c r="AR48" s="59" t="str">
        <f>IF(U48&lt;&gt;"SÍ","",(G48="DISCONTINUO")+(H48="DISCONTINUO")+(I48="DISCONTINUO")+(J48="DISCONTINUO"))</f>
        <v/>
      </c>
      <c r="AS48" s="59" t="str">
        <f>IF(U48&lt;&gt;"SÍ","",IF(W48="X",(G48="DISCONTINUO")+(H48="DISCONTINUO"),(I48="DISCONTINUO")+(J48="DISCONTINUO")))</f>
        <v/>
      </c>
      <c r="AT48" s="55" t="str">
        <f>IF(U48&lt;&gt;"SÍ","",IF(AR48=0,"INTERIOR",IF(AR48=1,IF(AS48=1,"BORDE-CORTO","BORDE-LARGO"),IF(AR48=2,IF(AS48=1,"ESQUINA",IF(AS48=2,"EXTREMO-LARGO","EXTREMO-CORTO")),IF(AR48=3,IF(AS48=2,"EXTREMO-LARGO","EXTREMO-CORTO"),"AISLADO")))))</f>
        <v/>
      </c>
      <c r="AU48" s="61" t="str">
        <f>IF(U48&lt;&gt;"SÍ","",IF(OR(K48="",K48="AUTO"),AT48,K48))</f>
        <v/>
      </c>
      <c r="AV48" s="59" t="str">
        <f>IF(U48&lt;&gt;"SÍ","",MATCH(Z48,TABLAS!$D$5:$J$5,1))</f>
        <v/>
      </c>
      <c r="AW48" s="58" t="str">
        <f>IF(U48&lt;&gt;"SÍ","",IF(AV48&gt;=7,0,(Z48-INDEX(TABLAS!$D$5:$J$5,AV48))/(INDEX(TABLAS!$D$5:$J$5,AV48+1)-INDEX(TABLAS!$D$5:$J$5,AV48))))</f>
        <v/>
      </c>
      <c r="AX48" s="59" t="str">
        <f>IF(U48&lt;&gt;"SÍ","",INDEX(TABLAS!$D$6:$J$47,MATCH(AU48&amp;"|NIC",TABLAS!$B$6:$B$47,0),AV48)+AW48*(INDEX(TABLAS!$D$6:$J$47,MATCH(AU48&amp;"|NIC",TABLAS!$B$6:$B$47,0),MIN(AV48+1,7))-INDEX(TABLAS!$D$6:$J$47,MATCH(AU48&amp;"|NIC",TABLAS!$B$6:$B$47,0),AV48)))</f>
        <v/>
      </c>
      <c r="AY48" s="59" t="str">
        <f>IF(U48&lt;&gt;"SÍ","",INDEX(TABLAS!$D$6:$J$47,MATCH(AU48&amp;"|NIL",TABLAS!$B$6:$B$47,0),AV48)+AW48*(INDEX(TABLAS!$D$6:$J$47,MATCH(AU48&amp;"|NIL",TABLAS!$B$6:$B$47,0),MIN(AV48+1,7))-INDEX(TABLAS!$D$6:$J$47,MATCH(AU48&amp;"|NIL",TABLAS!$B$6:$B$47,0),AV48)))</f>
        <v/>
      </c>
      <c r="AZ48" s="59" t="str">
        <f>IF(U48&lt;&gt;"SÍ","",INDEX(TABLAS!$D$6:$J$47,MATCH(AU48&amp;"|NDC",TABLAS!$B$6:$B$47,0),AV48)+AW48*(INDEX(TABLAS!$D$6:$J$47,MATCH(AU48&amp;"|NDC",TABLAS!$B$6:$B$47,0),MIN(AV48+1,7))-INDEX(TABLAS!$D$6:$J$47,MATCH(AU48&amp;"|NDC",TABLAS!$B$6:$B$47,0),AV48)))</f>
        <v/>
      </c>
      <c r="BA48" s="59" t="str">
        <f>IF(U48&lt;&gt;"SÍ","",INDEX(TABLAS!$D$6:$J$47,MATCH(AU48&amp;"|NDL",TABLAS!$B$6:$B$47,0),AV48)+AW48*(INDEX(TABLAS!$D$6:$J$47,MATCH(AU48&amp;"|NDL",TABLAS!$B$6:$B$47,0),MIN(AV48+1,7))-INDEX(TABLAS!$D$6:$J$47,MATCH(AU48&amp;"|NDL",TABLAS!$B$6:$B$47,0),AV48)))</f>
        <v/>
      </c>
      <c r="BB48" s="59" t="str">
        <f>IF(U48&lt;&gt;"SÍ","",INDEX(TABLAS!$D$6:$J$47,MATCH(AU48&amp;"|PC",TABLAS!$B$6:$B$47,0),AV48)+AW48*(INDEX(TABLAS!$D$6:$J$47,MATCH(AU48&amp;"|PC",TABLAS!$B$6:$B$47,0),MIN(AV48+1,7))-INDEX(TABLAS!$D$6:$J$47,MATCH(AU48&amp;"|PC",TABLAS!$B$6:$B$47,0),AV48)))</f>
        <v/>
      </c>
      <c r="BC48" s="59" t="str">
        <f>IF(U48&lt;&gt;"SÍ","",INDEX(TABLAS!$D$6:$J$47,MATCH(AU48&amp;"|PL",TABLAS!$B$6:$B$47,0),AV48)+AW48*(INDEX(TABLAS!$D$6:$J$47,MATCH(AU48&amp;"|PL",TABLAS!$B$6:$B$47,0),MIN(AV48+1,7))-INDEX(TABLAS!$D$6:$J$47,MATCH(AU48&amp;"|PL",TABLAS!$B$6:$B$47,0),AV48)))</f>
        <v/>
      </c>
      <c r="BD48" s="56" t="str">
        <f>IF(U48&lt;&gt;"SÍ","",IF(C48&lt;&gt;"VOLADO",0,DATOS!$C$26*DATOS!$C$16*DATOS!$C$83/100*(((AD48*DATOS!$C$78/DATOS!$C$83^2)*DATOS!$C$79/100)*(IF(W48="X",DI48,DJ48)+DATOS!$C$84/2)/100*(AA48-(IF(W48="X",DI48,DJ48)+DATOS!$C$84/2)/2)/100+((AD48*DATOS!$C$78/DATOS!$C$83^2)*DATOS!$C$79/100)*IF(W48="X",DI48,DJ48)/100*IF(W48="X",DI48,DJ48)/200)))</f>
        <v/>
      </c>
      <c r="BE48" s="56" t="str">
        <f>IF(U48&lt;&gt;"SÍ","",IF(C48&lt;&gt;"VOLADO",0,DATOS!$C$26*DATOS!$C$16*DATOS!$C$83/100*((AD48*DATOS!$C$78/DATOS!$C$83^2)*DATOS!$C$79/100)*(IF(W48="X",DI48,DJ48)+DATOS!$C$84/2)/100))</f>
        <v/>
      </c>
      <c r="BF48" s="56" t="str">
        <f>IF(U48&lt;&gt;"SÍ","",IF(C48="PERIMETRAL",BB48*AQ48*X48^2*1E-4*DATOS!$C$83/100/1000,0))</f>
        <v/>
      </c>
      <c r="BG48" s="62" t="str">
        <f>IF(U48&lt;&gt;"SÍ","",IF(C48="PERIMETRAL",MAX(MAX(AX48,AZ48)*AQ48*X48^2*1E-4*DATOS!$C$83/100/1000,N(S48)),(AQ48*(AA48/100)^2/2+DATOS!$C$26*N(O48)*AA48/100)*DATOS!$C$83/100/1000+BD48))</f>
        <v/>
      </c>
      <c r="BH48" s="56" t="str">
        <f>IF(U48&lt;&gt;"SÍ","",IF(C48="PERIMETRAL",BC48*AQ48*X48^2*1E-4*DATOS!$C$83/100/1000,0))</f>
        <v/>
      </c>
      <c r="BI48" s="56" t="str">
        <f>IF(U48&lt;&gt;"SÍ","",IF(C48="PERIMETRAL",MAX(MAX(AY48,BA48)*AQ48*X48^2*1E-4*DATOS!$C$83/100/1000,N(T48)),0))</f>
        <v/>
      </c>
      <c r="BJ48" s="63" t="str">
        <f>IF(U48&lt;&gt;"SÍ","",IF(C48&lt;&gt;"PERIMETRAL","—",IF(AND(N(S48)=0,N(T48)=0),"— (sin M⁻ del vecino)",IF(OR(AND(N(S48)&gt;0,ABS(MAX(AX48,AZ48)*AQ48*X48^2*1E-4*DATOS!$C$83/100/1000-N(S48))&gt;0.5*MIN(MAX(AX48,AZ48)*AQ48*X48^2*1E-4*DATOS!$C$83/100/1000,N(S48))),AND(N(T48)&gt;0,ABS(MAX(AY48,BA48)*AQ48*X48^2*1E-4*DATOS!$C$83/100/1000-N(T48))&gt;0.5*MIN(MAX(AY48,BA48)*AQ48*X48^2*1E-4*DATOS!$C$83/100/1000,N(T48)))),"FUERA: difieren &gt; 50 %"&amp;IF(AND(N(S48)&gt;0,ABS(MAX(AX48,AZ48)*AQ48*X48^2*1E-4*DATOS!$C$83/100/1000-N(S48))&gt;0.5*MIN(MAX(AX48,AZ48)*AQ48*X48^2*1E-4*DATOS!$C$83/100/1000,N(S48)))," ‖ corto","")&amp;IF(AND(N(T48)&gt;0,ABS(MAX(AY48,BA48)*AQ48*X48^2*1E-4*DATOS!$C$83/100/1000-N(T48))&gt;0.5*MIN(MAX(AY48,BA48)*AQ48*X48^2*1E-4*DATOS!$C$83/100/1000,N(T48)))," ‖ largo",""),"CUMPLE"))))</f>
        <v/>
      </c>
      <c r="BK48" s="58" t="str">
        <f>IF(U48&lt;&gt;"SÍ","",(DATOS!$C$82-AJ48-INDEX(TABLAS!$C$52:$C$58,MATCH(DATOS!$C$68,TABLAS!$B$52:$B$58,0))/2))</f>
        <v/>
      </c>
      <c r="BL48" s="58" t="str">
        <f>IF(U48&lt;&gt;"SÍ","",IF(IF(BF48&lt;=0,0,IF((1-2*BF48*1E5/(DATOS!$C$29*AG48*BK48^2*DATOS!$C$21))&lt;0,-1,IF((1-SQRT((1-2*BF48*1E5/(DATOS!$C$29*AG48*BK48^2*DATOS!$C$21))))*DATOS!$C$21*AG48*BK48/DATOS!$C$14&gt;DATOS!$C$99*AG48*BK48,-1,(1-SQRT((1-2*BF48*1E5/(DATOS!$C$29*AG48*BK48^2*DATOS!$C$21))))*DATOS!$C$21*AG48*BK48/DATOS!$C$14)))&lt;0,-1,MAX(IF(BF48&lt;=0,0,IF((1-2*BF48*1E5/(DATOS!$C$29*AG48*BK48^2*DATOS!$C$21))&lt;0,-1,IF((1-SQRT((1-2*BF48*1E5/(DATOS!$C$29*AG48*BK48^2*DATOS!$C$21))))*DATOS!$C$21*AG48*BK48/DATOS!$C$14&gt;DATOS!$C$99*AG48*BK48,-1,(1-SQRT((1-2*BF48*1E5/(DATOS!$C$29*AG48*BK48^2*DATOS!$C$21))))*DATOS!$C$21*AG48*BK48/DATOS!$C$14))),MIN(DATOS!$C$100*AC48*BK48,4/3*IF(BF48&lt;=0,0,IF((1-2*BF48*1E5/(DATOS!$C$29*AG48*BK48^2*DATOS!$C$21))&lt;0,-1,IF((1-SQRT((1-2*BF48*1E5/(DATOS!$C$29*AG48*BK48^2*DATOS!$C$21))))*DATOS!$C$21*AG48*BK48/DATOS!$C$14&gt;DATOS!$C$99*AG48*BK48,-1,(1-SQRT((1-2*BF48*1E5/(DATOS!$C$29*AG48*BK48^2*DATOS!$C$21))))*DATOS!$C$21*AG48*BK48/DATOS!$C$14)))))))</f>
        <v/>
      </c>
      <c r="BM48" s="64" t="str">
        <f>IF(U48&lt;&gt;"SÍ","",IF(AND(BL48&gt;=0,IF(MAX(DATOS!$C$71,CEILING(BL48/INDEX(TABLAS!$D$52:$D$58,MIN(MATCH(DATOS!$C$68,TABLAS!$B$52:$B$58,0)+0,7)),1))*INDEX(TABLAS!$D$52:$D$58,MIN(MATCH(DATOS!$C$68,TABLAS!$B$52:$B$58,0)+0,7))&gt;=4/3*IF(BF48&lt;=0,0,IF((1-2*BF48*1E5/(DATOS!$C$29*AG48*BK48^2*DATOS!$C$21))&lt;0,-1,IF((1-SQRT((1-2*BF48*1E5/(DATOS!$C$29*AG48*BK48^2*DATOS!$C$21))))*DATOS!$C$21*AG48*BK48/DATOS!$C$14&gt;DATOS!$C$99*AG48*BK48,-1,(1-SQRT((1-2*BF48*1E5/(DATOS!$C$29*AG48*BK48^2*DATOS!$C$21))))*DATOS!$C$21*AG48*BK48/DATOS!$C$14)))-0.0001,MAX(DATOS!$C$71,CEILING(BL48/INDEX(TABLAS!$D$52:$D$58,MIN(MATCH(DATOS!$C$68,TABLAS!$B$52:$B$58,0)+0,7)),1)),MAX(MAX(DATOS!$C$71,CEILING(BL48/INDEX(TABLAS!$D$52:$D$58,MIN(MATCH(DATOS!$C$68,TABLAS!$B$52:$B$58,0)+0,7)),1)),2))&lt;=MIN(DATOS!$C$70,INT(((AC48-2*AJ48)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BL48&gt;=0,IF(MAX(DATOS!$C$71,CEILING(BL48/INDEX(TABLAS!$D$52:$D$58,MIN(MATCH(DATOS!$C$68,TABLAS!$B$52:$B$58,0)+1,7)),1))*INDEX(TABLAS!$D$52:$D$58,MIN(MATCH(DATOS!$C$68,TABLAS!$B$52:$B$58,0)+1,7))&gt;=4/3*IF(BF48&lt;=0,0,IF((1-2*BF48*1E5/(DATOS!$C$29*AG48*BK48^2*DATOS!$C$21))&lt;0,-1,IF((1-SQRT((1-2*BF48*1E5/(DATOS!$C$29*AG48*BK48^2*DATOS!$C$21))))*DATOS!$C$21*AG48*BK48/DATOS!$C$14&gt;DATOS!$C$99*AG48*BK48,-1,(1-SQRT((1-2*BF48*1E5/(DATOS!$C$29*AG48*BK48^2*DATOS!$C$21))))*DATOS!$C$21*AG48*BK48/DATOS!$C$14)))-0.0001,MAX(DATOS!$C$71,CEILING(BL48/INDEX(TABLAS!$D$52:$D$58,MIN(MATCH(DATOS!$C$68,TABLAS!$B$52:$B$58,0)+1,7)),1)),MAX(MAX(DATOS!$C$71,CEILING(BL48/INDEX(TABLAS!$D$52:$D$58,MIN(MATCH(DATOS!$C$68,TABLAS!$B$52:$B$58,0)+1,7)),1)),2))&lt;=MIN(DATOS!$C$70,INT(((AC48-2*AJ48)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BL48&gt;=0,IF(MAX(DATOS!$C$71,CEILING(BL48/INDEX(TABLAS!$D$52:$D$58,MIN(MATCH(DATOS!$C$68,TABLAS!$B$52:$B$58,0)+2,7)),1))*INDEX(TABLAS!$D$52:$D$58,MIN(MATCH(DATOS!$C$68,TABLAS!$B$52:$B$58,0)+2,7))&gt;=4/3*IF(BF48&lt;=0,0,IF((1-2*BF48*1E5/(DATOS!$C$29*AG48*BK48^2*DATOS!$C$21))&lt;0,-1,IF((1-SQRT((1-2*BF48*1E5/(DATOS!$C$29*AG48*BK48^2*DATOS!$C$21))))*DATOS!$C$21*AG48*BK48/DATOS!$C$14&gt;DATOS!$C$99*AG48*BK48,-1,(1-SQRT((1-2*BF48*1E5/(DATOS!$C$29*AG48*BK48^2*DATOS!$C$21))))*DATOS!$C$21*AG48*BK48/DATOS!$C$14)))-0.0001,MAX(DATOS!$C$71,CEILING(BL48/INDEX(TABLAS!$D$52:$D$58,MIN(MATCH(DATOS!$C$68,TABLAS!$B$52:$B$58,0)+2,7)),1)),MAX(MAX(DATOS!$C$71,CEILING(BL48/INDEX(TABLAS!$D$52:$D$58,MIN(MATCH(DATOS!$C$68,TABLAS!$B$52:$B$58,0)+2,7)),1)),2))&lt;=MIN(DATOS!$C$70,INT(((AC48-2*AJ48)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BL48&gt;=0,IF(MAX(DATOS!$C$71,CEILING(BL48/INDEX(TABLAS!$D$52:$D$58,MIN(MATCH(DATOS!$C$68,TABLAS!$B$52:$B$58,0)+3,7)),1))*INDEX(TABLAS!$D$52:$D$58,MIN(MATCH(DATOS!$C$68,TABLAS!$B$52:$B$58,0)+3,7))&gt;=4/3*IF(BF48&lt;=0,0,IF((1-2*BF48*1E5/(DATOS!$C$29*AG48*BK48^2*DATOS!$C$21))&lt;0,-1,IF((1-SQRT((1-2*BF48*1E5/(DATOS!$C$29*AG48*BK48^2*DATOS!$C$21))))*DATOS!$C$21*AG48*BK48/DATOS!$C$14&gt;DATOS!$C$99*AG48*BK48,-1,(1-SQRT((1-2*BF48*1E5/(DATOS!$C$29*AG48*BK48^2*DATOS!$C$21))))*DATOS!$C$21*AG48*BK48/DATOS!$C$14)))-0.0001,MAX(DATOS!$C$71,CEILING(BL48/INDEX(TABLAS!$D$52:$D$58,MIN(MATCH(DATOS!$C$68,TABLAS!$B$52:$B$58,0)+3,7)),1)),MAX(MAX(DATOS!$C$71,CEILING(BL48/INDEX(TABLAS!$D$52:$D$58,MIN(MATCH(DATOS!$C$68,TABLAS!$B$52:$B$58,0)+3,7)),1)),2))&lt;=MIN(DATOS!$C$70,INT(((AC48-2*AJ48)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BL48&gt;=0,IF(MAX(DATOS!$C$71,CEILING(BL48/INDEX(TABLAS!$D$52:$D$58,MIN(MATCH(DATOS!$C$68,TABLAS!$B$52:$B$58,0)+4,7)),1))*INDEX(TABLAS!$D$52:$D$58,MIN(MATCH(DATOS!$C$68,TABLAS!$B$52:$B$58,0)+4,7))&gt;=4/3*IF(BF48&lt;=0,0,IF((1-2*BF48*1E5/(DATOS!$C$29*AG48*BK48^2*DATOS!$C$21))&lt;0,-1,IF((1-SQRT((1-2*BF48*1E5/(DATOS!$C$29*AG48*BK48^2*DATOS!$C$21))))*DATOS!$C$21*AG48*BK48/DATOS!$C$14&gt;DATOS!$C$99*AG48*BK48,-1,(1-SQRT((1-2*BF48*1E5/(DATOS!$C$29*AG48*BK48^2*DATOS!$C$21))))*DATOS!$C$21*AG48*BK48/DATOS!$C$14)))-0.0001,MAX(DATOS!$C$71,CEILING(BL48/INDEX(TABLAS!$D$52:$D$58,MIN(MATCH(DATOS!$C$68,TABLAS!$B$52:$B$58,0)+4,7)),1)),MAX(MAX(DATOS!$C$71,CEILING(BL48/INDEX(TABLAS!$D$52:$D$58,MIN(MATCH(DATOS!$C$68,TABLAS!$B$52:$B$58,0)+4,7)),1)),2))&lt;=MIN(DATOS!$C$70,INT(((AC48-2*AJ48)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BN48" s="59" t="str">
        <f>IF(U48&lt;&gt;"SÍ","",IF(BL48&lt;0,0,IF(MAX(DATOS!$C$71,CEILING(MAX(BL48,0)/INDEX(TABLAS!$D$52:$D$58,MATCH(BM48,TABLAS!$B$52:$B$58,0)),1))*INDEX(TABLAS!$D$52:$D$58,MATCH(BM48,TABLAS!$B$52:$B$58,0))&gt;=4/3*IF(BF48&lt;=0,0,IF((1-2*BF48*1E5/(DATOS!$C$29*AG48*BK48^2*DATOS!$C$21))&lt;0,-1,IF((1-SQRT((1-2*BF48*1E5/(DATOS!$C$29*AG48*BK48^2*DATOS!$C$21))))*DATOS!$C$21*AG48*BK48/DATOS!$C$14&gt;DATOS!$C$99*AG48*BK48,-1,(1-SQRT((1-2*BF48*1E5/(DATOS!$C$29*AG48*BK48^2*DATOS!$C$21))))*DATOS!$C$21*AG48*BK48/DATOS!$C$14)))-0.0001,MAX(DATOS!$C$71,CEILING(MAX(BL48,0)/INDEX(TABLAS!$D$52:$D$58,MATCH(BM48,TABLAS!$B$52:$B$58,0)),1)),MAX(MAX(DATOS!$C$71,CEILING(MAX(BL48,0)/INDEX(TABLAS!$D$52:$D$58,MATCH(BM48,TABLAS!$B$52:$B$58,0)),1)),2))))</f>
        <v/>
      </c>
      <c r="BO48" s="58" t="str">
        <f>IF(U48&lt;&gt;"SÍ","",DATOS!$C$82-AJ48-INDEX(TABLAS!$C$52:$C$58,MATCH(BM48,TABLAS!$B$52:$B$58,0))/2)</f>
        <v/>
      </c>
      <c r="BP48" s="56" t="str">
        <f>IF(U48&lt;&gt;"SÍ","",IF(BN48=0,0,DATOS!$C$29*BN48*INDEX(TABLAS!$D$52:$D$58,MATCH(BM48,TABLAS!$B$52:$B$58,0))*DATOS!$C$14*(BO48-BN48*INDEX(TABLAS!$D$52:$D$58,MATCH(BM48,TABLAS!$B$52:$B$58,0))*DATOS!$C$14/(DATOS!$C$21*AG48)/2)/1E5))</f>
        <v/>
      </c>
      <c r="BQ48" s="65" t="str">
        <f>IF(U48&lt;&gt;"SÍ","",IF(BL48&lt;0,9.99,IF(BP48&gt;0,BF48/BP48,0)))</f>
        <v/>
      </c>
      <c r="BR48" s="66" t="str">
        <f>IF(U48&lt;&gt;"SÍ","",IF(BN48=0,"—",0.003*(BO48-(BN48*INDEX(TABLAS!$D$52:$D$58,MATCH(BM48,TABLAS!$B$52:$B$58,0))*DATOS!$C$14/(DATOS!$C$21*AG48)/DATOS!$C$22))/(BN48*INDEX(TABLAS!$D$52:$D$58,MATCH(BM48,TABLAS!$B$52:$B$58,0))*DATOS!$C$14/(DATOS!$C$21*AG48)/DATOS!$C$22)))</f>
        <v/>
      </c>
      <c r="BS48" s="58" t="str">
        <f>IF(U48&lt;&gt;"SÍ","",((DATOS!$C$82-AL48-2*DATOS!$C$94-INDEX(TABLAS!$C$52:$C$58,MATCH(DATOS!$C$69,TABLAS!$B$52:$B$58,0))/2)-IF(AND((DATOS!$C$82-AL48-2*DATOS!$C$94-INDEX(TABLAS!$C$52:$C$58,MATCH(DATOS!$C$69,TABLAS!$B$52:$B$58,0))/2)&lt;=20,DATOS!$C$62&lt;&gt;"SÍ"),2,0)))</f>
        <v/>
      </c>
      <c r="BT48" s="58" t="str">
        <f>IF(U48&lt;&gt;"SÍ","",IF(IF(BG48&lt;=0,0,IF((1-2*BG48*1E5/(DATOS!$C$29*AE48*BS48^2*DATOS!$C$21))&lt;0,-1,IF((1-SQRT((1-2*BG48*1E5/(DATOS!$C$29*AE48*BS48^2*DATOS!$C$21))))*DATOS!$C$21*AE48*BS48/DATOS!$C$14&gt;DATOS!$C$99*AE48*BS48,-1,(1-SQRT((1-2*BG48*1E5/(DATOS!$C$29*AE48*BS48^2*DATOS!$C$21))))*DATOS!$C$21*AE48*BS48/DATOS!$C$14)))&lt;0,-1,MAX(IF(BG48&lt;=0,0,IF((1-2*BG48*1E5/(DATOS!$C$29*AE48*BS48^2*DATOS!$C$21))&lt;0,-1,IF((1-SQRT((1-2*BG48*1E5/(DATOS!$C$29*AE48*BS48^2*DATOS!$C$21))))*DATOS!$C$21*AE48*BS48/DATOS!$C$14&gt;DATOS!$C$99*AE48*BS48,-1,(1-SQRT((1-2*BG48*1E5/(DATOS!$C$29*AE48*BS48^2*DATOS!$C$21))))*DATOS!$C$21*AE48*BS48/DATOS!$C$14))),MIN(DATOS!$C$100*IF(C48="VOLADO",MIN(AG48,2*AC48),AC48)*BS48,4/3*IF(BG48&lt;=0,0,IF((1-2*BG48*1E5/(DATOS!$C$29*AE48*BS48^2*DATOS!$C$21))&lt;0,-1,IF((1-SQRT((1-2*BG48*1E5/(DATOS!$C$29*AE48*BS48^2*DATOS!$C$21))))*DATOS!$C$21*AE48*BS48/DATOS!$C$14&gt;DATOS!$C$99*AE48*BS48,-1,(1-SQRT((1-2*BG48*1E5/(DATOS!$C$29*AE48*BS48^2*DATOS!$C$21))))*DATOS!$C$21*AE48*BS48/DATOS!$C$14)))))))</f>
        <v/>
      </c>
      <c r="BU48" s="64" t="str">
        <f>IF(U48&lt;&gt;"SÍ","",IF(AND(BT48&gt;=0,IF(MAX(DATOS!$C$71,CEILING(BT48/INDEX(TABLAS!$D$52:$D$58,MIN(MATCH(DATOS!$C$69,TABLAS!$B$52:$B$58,0)+0,7)),1))*INDEX(TABLAS!$D$52:$D$58,MIN(MATCH(DATOS!$C$69,TABLAS!$B$52:$B$58,0)+0,7))&gt;=4/3*IF(BG48&lt;=0,0,IF((1-2*BG48*1E5/(DATOS!$C$29*AE48*BS48^2*DATOS!$C$21))&lt;0,-1,IF((1-SQRT((1-2*BG48*1E5/(DATOS!$C$29*AE48*BS48^2*DATOS!$C$21))))*DATOS!$C$21*AE48*BS48/DATOS!$C$14&gt;DATOS!$C$99*AE48*BS48,-1,(1-SQRT((1-2*BG48*1E5/(DATOS!$C$29*AE48*BS48^2*DATOS!$C$21))))*DATOS!$C$21*AE48*BS48/DATOS!$C$14)))-0.0001,MAX(DATOS!$C$71,CEILING(BT48/INDEX(TABLAS!$D$52:$D$58,MIN(MATCH(DATOS!$C$69,TABLAS!$B$52:$B$58,0)+0,7)),1)),MAX(MAX(DATOS!$C$71,CEILING(BT48/INDEX(TABLAS!$D$52:$D$58,MIN(MATCH(DATOS!$C$69,TABLAS!$B$52:$B$58,0)+0,7)),1)),2))&lt;=MIN(DATOS!$C$70,INT(((AC48-2*AK48)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BT48&gt;=0,IF(MAX(DATOS!$C$71,CEILING(BT48/INDEX(TABLAS!$D$52:$D$58,MIN(MATCH(DATOS!$C$69,TABLAS!$B$52:$B$58,0)+1,7)),1))*INDEX(TABLAS!$D$52:$D$58,MIN(MATCH(DATOS!$C$69,TABLAS!$B$52:$B$58,0)+1,7))&gt;=4/3*IF(BG48&lt;=0,0,IF((1-2*BG48*1E5/(DATOS!$C$29*AE48*BS48^2*DATOS!$C$21))&lt;0,-1,IF((1-SQRT((1-2*BG48*1E5/(DATOS!$C$29*AE48*BS48^2*DATOS!$C$21))))*DATOS!$C$21*AE48*BS48/DATOS!$C$14&gt;DATOS!$C$99*AE48*BS48,-1,(1-SQRT((1-2*BG48*1E5/(DATOS!$C$29*AE48*BS48^2*DATOS!$C$21))))*DATOS!$C$21*AE48*BS48/DATOS!$C$14)))-0.0001,MAX(DATOS!$C$71,CEILING(BT48/INDEX(TABLAS!$D$52:$D$58,MIN(MATCH(DATOS!$C$69,TABLAS!$B$52:$B$58,0)+1,7)),1)),MAX(MAX(DATOS!$C$71,CEILING(BT48/INDEX(TABLAS!$D$52:$D$58,MIN(MATCH(DATOS!$C$69,TABLAS!$B$52:$B$58,0)+1,7)),1)),2))&lt;=MIN(DATOS!$C$70,INT(((AC48-2*AK48)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BT48&gt;=0,IF(MAX(DATOS!$C$71,CEILING(BT48/INDEX(TABLAS!$D$52:$D$58,MIN(MATCH(DATOS!$C$69,TABLAS!$B$52:$B$58,0)+2,7)),1))*INDEX(TABLAS!$D$52:$D$58,MIN(MATCH(DATOS!$C$69,TABLAS!$B$52:$B$58,0)+2,7))&gt;=4/3*IF(BG48&lt;=0,0,IF((1-2*BG48*1E5/(DATOS!$C$29*AE48*BS48^2*DATOS!$C$21))&lt;0,-1,IF((1-SQRT((1-2*BG48*1E5/(DATOS!$C$29*AE48*BS48^2*DATOS!$C$21))))*DATOS!$C$21*AE48*BS48/DATOS!$C$14&gt;DATOS!$C$99*AE48*BS48,-1,(1-SQRT((1-2*BG48*1E5/(DATOS!$C$29*AE48*BS48^2*DATOS!$C$21))))*DATOS!$C$21*AE48*BS48/DATOS!$C$14)))-0.0001,MAX(DATOS!$C$71,CEILING(BT48/INDEX(TABLAS!$D$52:$D$58,MIN(MATCH(DATOS!$C$69,TABLAS!$B$52:$B$58,0)+2,7)),1)),MAX(MAX(DATOS!$C$71,CEILING(BT48/INDEX(TABLAS!$D$52:$D$58,MIN(MATCH(DATOS!$C$69,TABLAS!$B$52:$B$58,0)+2,7)),1)),2))&lt;=MIN(DATOS!$C$70,INT(((AC48-2*AK48)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BT48&gt;=0,IF(MAX(DATOS!$C$71,CEILING(BT48/INDEX(TABLAS!$D$52:$D$58,MIN(MATCH(DATOS!$C$69,TABLAS!$B$52:$B$58,0)+3,7)),1))*INDEX(TABLAS!$D$52:$D$58,MIN(MATCH(DATOS!$C$69,TABLAS!$B$52:$B$58,0)+3,7))&gt;=4/3*IF(BG48&lt;=0,0,IF((1-2*BG48*1E5/(DATOS!$C$29*AE48*BS48^2*DATOS!$C$21))&lt;0,-1,IF((1-SQRT((1-2*BG48*1E5/(DATOS!$C$29*AE48*BS48^2*DATOS!$C$21))))*DATOS!$C$21*AE48*BS48/DATOS!$C$14&gt;DATOS!$C$99*AE48*BS48,-1,(1-SQRT((1-2*BG48*1E5/(DATOS!$C$29*AE48*BS48^2*DATOS!$C$21))))*DATOS!$C$21*AE48*BS48/DATOS!$C$14)))-0.0001,MAX(DATOS!$C$71,CEILING(BT48/INDEX(TABLAS!$D$52:$D$58,MIN(MATCH(DATOS!$C$69,TABLAS!$B$52:$B$58,0)+3,7)),1)),MAX(MAX(DATOS!$C$71,CEILING(BT48/INDEX(TABLAS!$D$52:$D$58,MIN(MATCH(DATOS!$C$69,TABLAS!$B$52:$B$58,0)+3,7)),1)),2))&lt;=MIN(DATOS!$C$70,INT(((AC48-2*AK48)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BT48&gt;=0,IF(MAX(DATOS!$C$71,CEILING(BT48/INDEX(TABLAS!$D$52:$D$58,MIN(MATCH(DATOS!$C$69,TABLAS!$B$52:$B$58,0)+4,7)),1))*INDEX(TABLAS!$D$52:$D$58,MIN(MATCH(DATOS!$C$69,TABLAS!$B$52:$B$58,0)+4,7))&gt;=4/3*IF(BG48&lt;=0,0,IF((1-2*BG48*1E5/(DATOS!$C$29*AE48*BS48^2*DATOS!$C$21))&lt;0,-1,IF((1-SQRT((1-2*BG48*1E5/(DATOS!$C$29*AE48*BS48^2*DATOS!$C$21))))*DATOS!$C$21*AE48*BS48/DATOS!$C$14&gt;DATOS!$C$99*AE48*BS48,-1,(1-SQRT((1-2*BG48*1E5/(DATOS!$C$29*AE48*BS48^2*DATOS!$C$21))))*DATOS!$C$21*AE48*BS48/DATOS!$C$14)))-0.0001,MAX(DATOS!$C$71,CEILING(BT48/INDEX(TABLAS!$D$52:$D$58,MIN(MATCH(DATOS!$C$69,TABLAS!$B$52:$B$58,0)+4,7)),1)),MAX(MAX(DATOS!$C$71,CEILING(BT48/INDEX(TABLAS!$D$52:$D$58,MIN(MATCH(DATOS!$C$69,TABLAS!$B$52:$B$58,0)+4,7)),1)),2))&lt;=MIN(DATOS!$C$70,INT(((AC48-2*AK48)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BV48" s="59" t="str">
        <f>IF(U48&lt;&gt;"SÍ","",IF(BT48&lt;0,0,IF(MAX(DATOS!$C$71,CEILING(MAX(BT48,0)/INDEX(TABLAS!$D$52:$D$58,MATCH(BU48,TABLAS!$B$52:$B$58,0)),1))*INDEX(TABLAS!$D$52:$D$58,MATCH(BU48,TABLAS!$B$52:$B$58,0))&gt;=4/3*IF(BG48&lt;=0,0,IF((1-2*BG48*1E5/(DATOS!$C$29*AE48*BS48^2*DATOS!$C$21))&lt;0,-1,IF((1-SQRT((1-2*BG48*1E5/(DATOS!$C$29*AE48*BS48^2*DATOS!$C$21))))*DATOS!$C$21*AE48*BS48/DATOS!$C$14&gt;DATOS!$C$99*AE48*BS48,-1,(1-SQRT((1-2*BG48*1E5/(DATOS!$C$29*AE48*BS48^2*DATOS!$C$21))))*DATOS!$C$21*AE48*BS48/DATOS!$C$14)))-0.0001,MAX(DATOS!$C$71,CEILING(MAX(BT48,0)/INDEX(TABLAS!$D$52:$D$58,MATCH(BU48,TABLAS!$B$52:$B$58,0)),1)),MAX(MAX(DATOS!$C$71,CEILING(MAX(BT48,0)/INDEX(TABLAS!$D$52:$D$58,MATCH(BU48,TABLAS!$B$52:$B$58,0)),1)),2))))</f>
        <v/>
      </c>
      <c r="BW48" s="58" t="str">
        <f>IF(U48&lt;&gt;"SÍ","",((DATOS!$C$82-AL48-2*DATOS!$C$94-INDEX(TABLAS!$C$52:$C$58,MATCH(BU48,TABLAS!$B$52:$B$58,0))/2)-IF(AND((DATOS!$C$82-AL48-2*DATOS!$C$94-INDEX(TABLAS!$C$52:$C$58,MATCH(BU48,TABLAS!$B$52:$B$58,0))/2)&lt;=20,DATOS!$C$62&lt;&gt;"SÍ"),2,0)))</f>
        <v/>
      </c>
      <c r="BX48" s="56" t="str">
        <f>IF(U48&lt;&gt;"SÍ","",IF(BV48=0,0,DATOS!$C$29*BV48*INDEX(TABLAS!$D$52:$D$58,MATCH(BU48,TABLAS!$B$52:$B$58,0))*DATOS!$C$14*(BW48-BV48*INDEX(TABLAS!$D$52:$D$58,MATCH(BU48,TABLAS!$B$52:$B$58,0))*DATOS!$C$14/(DATOS!$C$21*AE48)/2)/1E5))</f>
        <v/>
      </c>
      <c r="BY48" s="65" t="str">
        <f>IF(U48&lt;&gt;"SÍ","",IF(BT48&lt;0,9.99,IF(BX48&gt;0,BG48/BX48,0)))</f>
        <v/>
      </c>
      <c r="BZ48" s="66" t="str">
        <f>IF(U48&lt;&gt;"SÍ","",IF(BV48=0,"—",0.003*(BW48-(BV48*INDEX(TABLAS!$D$52:$D$58,MATCH(BU48,TABLAS!$B$52:$B$58,0))*DATOS!$C$14/(DATOS!$C$21*AE48)/DATOS!$C$22))/(BV48*INDEX(TABLAS!$D$52:$D$58,MATCH(BU48,TABLAS!$B$52:$B$58,0))*DATOS!$C$14/(DATOS!$C$21*AE48)/DATOS!$C$22)))</f>
        <v/>
      </c>
      <c r="CA48" s="58" t="str">
        <f>IF(U48&lt;&gt;"SÍ","",(DATOS!$C$82-AJ48-INDEX(TABLAS!$C$52:$C$58,MATCH(DATOS!$C$68,TABLAS!$B$52:$B$58,0))-INDEX(TABLAS!$C$52:$C$58,MATCH(DATOS!$C$68,TABLAS!$B$52:$B$58,0))/2))</f>
        <v/>
      </c>
      <c r="CB48" s="58" t="str">
        <f>IF(U48&lt;&gt;"SÍ","",IF(IF(BH48&lt;=0,0,IF((1-2*BH48*1E5/(DATOS!$C$29*AH48*CA48^2*DATOS!$C$21))&lt;0,-1,IF((1-SQRT((1-2*BH48*1E5/(DATOS!$C$29*AH48*CA48^2*DATOS!$C$21))))*DATOS!$C$21*AH48*CA48/DATOS!$C$14&gt;DATOS!$C$99*AH48*CA48,-1,(1-SQRT((1-2*BH48*1E5/(DATOS!$C$29*AH48*CA48^2*DATOS!$C$21))))*DATOS!$C$21*AH48*CA48/DATOS!$C$14)))&lt;0,-1,MAX(IF(BH48&lt;=0,0,IF((1-2*BH48*1E5/(DATOS!$C$29*AH48*CA48^2*DATOS!$C$21))&lt;0,-1,IF((1-SQRT((1-2*BH48*1E5/(DATOS!$C$29*AH48*CA48^2*DATOS!$C$21))))*DATOS!$C$21*AH48*CA48/DATOS!$C$14&gt;DATOS!$C$99*AH48*CA48,-1,(1-SQRT((1-2*BH48*1E5/(DATOS!$C$29*AH48*CA48^2*DATOS!$C$21))))*DATOS!$C$21*AH48*CA48/DATOS!$C$14))),MIN(DATOS!$C$100*DATOS!$C$80*CA48,4/3*IF(BH48&lt;=0,0,IF((1-2*BH48*1E5/(DATOS!$C$29*AH48*CA48^2*DATOS!$C$21))&lt;0,-1,IF((1-SQRT((1-2*BH48*1E5/(DATOS!$C$29*AH48*CA48^2*DATOS!$C$21))))*DATOS!$C$21*AH48*CA48/DATOS!$C$14&gt;DATOS!$C$99*AH48*CA48,-1,(1-SQRT((1-2*BH48*1E5/(DATOS!$C$29*AH48*CA48^2*DATOS!$C$21))))*DATOS!$C$21*AH48*CA48/DATOS!$C$14)))))))</f>
        <v/>
      </c>
      <c r="CC48" s="64" t="str">
        <f>IF(U48&lt;&gt;"SÍ","",IF(AND(CB48&gt;=0,IF(MAX(DATOS!$C$71,CEILING(CB48/INDEX(TABLAS!$D$52:$D$58,MIN(MATCH(DATOS!$C$68,TABLAS!$B$52:$B$58,0)+0,7)),1))*INDEX(TABLAS!$D$52:$D$58,MIN(MATCH(DATOS!$C$68,TABLAS!$B$52:$B$58,0)+0,7))&gt;=4/3*IF(BH48&lt;=0,0,IF((1-2*BH48*1E5/(DATOS!$C$29*AH48*CA48^2*DATOS!$C$21))&lt;0,-1,IF((1-SQRT((1-2*BH48*1E5/(DATOS!$C$29*AH48*CA48^2*DATOS!$C$21))))*DATOS!$C$21*AH48*CA48/DATOS!$C$14&gt;DATOS!$C$99*AH48*CA48,-1,(1-SQRT((1-2*BH48*1E5/(DATOS!$C$29*AH48*CA48^2*DATOS!$C$21))))*DATOS!$C$21*AH48*CA48/DATOS!$C$14)))-0.0001,MAX(DATOS!$C$71,CEILING(CB48/INDEX(TABLAS!$D$52:$D$58,MIN(MATCH(DATOS!$C$68,TABLAS!$B$52:$B$58,0)+0,7)),1)),MAX(MAX(DATOS!$C$71,CEILING(CB48/INDEX(TABLAS!$D$52:$D$58,MIN(MATCH(DATOS!$C$68,TABLAS!$B$52:$B$58,0)+0,7)),1)),2))&lt;=MIN(DATOS!$C$70,INT(((DATOS!$C$80-2*AJ48)+MAX(DATOS!$C$67,INDEX(TABLAS!$C$52:$C$58,MIN(MATCH(DATOS!$C$68,TABLAS!$B$52:$B$58,0)+0,7))))/(INDEX(TABLAS!$C$52:$C$58,MIN(MATCH(DATOS!$C$68,TABLAS!$B$52:$B$58,0)+0,7))+MAX(DATOS!$C$67,INDEX(TABLAS!$C$52:$C$58,MIN(MATCH(DATOS!$C$68,TABLAS!$B$52:$B$58,0)+0,7))))))),INDEX(TABLAS!$B$52:$B$58,MIN(MATCH(DATOS!$C$68,TABLAS!$B$52:$B$58,0)+0,7)),IF(AND(CB48&gt;=0,IF(MAX(DATOS!$C$71,CEILING(CB48/INDEX(TABLAS!$D$52:$D$58,MIN(MATCH(DATOS!$C$68,TABLAS!$B$52:$B$58,0)+1,7)),1))*INDEX(TABLAS!$D$52:$D$58,MIN(MATCH(DATOS!$C$68,TABLAS!$B$52:$B$58,0)+1,7))&gt;=4/3*IF(BH48&lt;=0,0,IF((1-2*BH48*1E5/(DATOS!$C$29*AH48*CA48^2*DATOS!$C$21))&lt;0,-1,IF((1-SQRT((1-2*BH48*1E5/(DATOS!$C$29*AH48*CA48^2*DATOS!$C$21))))*DATOS!$C$21*AH48*CA48/DATOS!$C$14&gt;DATOS!$C$99*AH48*CA48,-1,(1-SQRT((1-2*BH48*1E5/(DATOS!$C$29*AH48*CA48^2*DATOS!$C$21))))*DATOS!$C$21*AH48*CA48/DATOS!$C$14)))-0.0001,MAX(DATOS!$C$71,CEILING(CB48/INDEX(TABLAS!$D$52:$D$58,MIN(MATCH(DATOS!$C$68,TABLAS!$B$52:$B$58,0)+1,7)),1)),MAX(MAX(DATOS!$C$71,CEILING(CB48/INDEX(TABLAS!$D$52:$D$58,MIN(MATCH(DATOS!$C$68,TABLAS!$B$52:$B$58,0)+1,7)),1)),2))&lt;=MIN(DATOS!$C$70,INT(((DATOS!$C$80-2*AJ48)+MAX(DATOS!$C$67,INDEX(TABLAS!$C$52:$C$58,MIN(MATCH(DATOS!$C$68,TABLAS!$B$52:$B$58,0)+1,7))))/(INDEX(TABLAS!$C$52:$C$58,MIN(MATCH(DATOS!$C$68,TABLAS!$B$52:$B$58,0)+1,7))+MAX(DATOS!$C$67,INDEX(TABLAS!$C$52:$C$58,MIN(MATCH(DATOS!$C$68,TABLAS!$B$52:$B$58,0)+1,7))))))),INDEX(TABLAS!$B$52:$B$58,MIN(MATCH(DATOS!$C$68,TABLAS!$B$52:$B$58,0)+1,7)),IF(AND(CB48&gt;=0,IF(MAX(DATOS!$C$71,CEILING(CB48/INDEX(TABLAS!$D$52:$D$58,MIN(MATCH(DATOS!$C$68,TABLAS!$B$52:$B$58,0)+2,7)),1))*INDEX(TABLAS!$D$52:$D$58,MIN(MATCH(DATOS!$C$68,TABLAS!$B$52:$B$58,0)+2,7))&gt;=4/3*IF(BH48&lt;=0,0,IF((1-2*BH48*1E5/(DATOS!$C$29*AH48*CA48^2*DATOS!$C$21))&lt;0,-1,IF((1-SQRT((1-2*BH48*1E5/(DATOS!$C$29*AH48*CA48^2*DATOS!$C$21))))*DATOS!$C$21*AH48*CA48/DATOS!$C$14&gt;DATOS!$C$99*AH48*CA48,-1,(1-SQRT((1-2*BH48*1E5/(DATOS!$C$29*AH48*CA48^2*DATOS!$C$21))))*DATOS!$C$21*AH48*CA48/DATOS!$C$14)))-0.0001,MAX(DATOS!$C$71,CEILING(CB48/INDEX(TABLAS!$D$52:$D$58,MIN(MATCH(DATOS!$C$68,TABLAS!$B$52:$B$58,0)+2,7)),1)),MAX(MAX(DATOS!$C$71,CEILING(CB48/INDEX(TABLAS!$D$52:$D$58,MIN(MATCH(DATOS!$C$68,TABLAS!$B$52:$B$58,0)+2,7)),1)),2))&lt;=MIN(DATOS!$C$70,INT(((DATOS!$C$80-2*AJ48)+MAX(DATOS!$C$67,INDEX(TABLAS!$C$52:$C$58,MIN(MATCH(DATOS!$C$68,TABLAS!$B$52:$B$58,0)+2,7))))/(INDEX(TABLAS!$C$52:$C$58,MIN(MATCH(DATOS!$C$68,TABLAS!$B$52:$B$58,0)+2,7))+MAX(DATOS!$C$67,INDEX(TABLAS!$C$52:$C$58,MIN(MATCH(DATOS!$C$68,TABLAS!$B$52:$B$58,0)+2,7))))))),INDEX(TABLAS!$B$52:$B$58,MIN(MATCH(DATOS!$C$68,TABLAS!$B$52:$B$58,0)+2,7)),IF(AND(CB48&gt;=0,IF(MAX(DATOS!$C$71,CEILING(CB48/INDEX(TABLAS!$D$52:$D$58,MIN(MATCH(DATOS!$C$68,TABLAS!$B$52:$B$58,0)+3,7)),1))*INDEX(TABLAS!$D$52:$D$58,MIN(MATCH(DATOS!$C$68,TABLAS!$B$52:$B$58,0)+3,7))&gt;=4/3*IF(BH48&lt;=0,0,IF((1-2*BH48*1E5/(DATOS!$C$29*AH48*CA48^2*DATOS!$C$21))&lt;0,-1,IF((1-SQRT((1-2*BH48*1E5/(DATOS!$C$29*AH48*CA48^2*DATOS!$C$21))))*DATOS!$C$21*AH48*CA48/DATOS!$C$14&gt;DATOS!$C$99*AH48*CA48,-1,(1-SQRT((1-2*BH48*1E5/(DATOS!$C$29*AH48*CA48^2*DATOS!$C$21))))*DATOS!$C$21*AH48*CA48/DATOS!$C$14)))-0.0001,MAX(DATOS!$C$71,CEILING(CB48/INDEX(TABLAS!$D$52:$D$58,MIN(MATCH(DATOS!$C$68,TABLAS!$B$52:$B$58,0)+3,7)),1)),MAX(MAX(DATOS!$C$71,CEILING(CB48/INDEX(TABLAS!$D$52:$D$58,MIN(MATCH(DATOS!$C$68,TABLAS!$B$52:$B$58,0)+3,7)),1)),2))&lt;=MIN(DATOS!$C$70,INT(((DATOS!$C$80-2*AJ48)+MAX(DATOS!$C$67,INDEX(TABLAS!$C$52:$C$58,MIN(MATCH(DATOS!$C$68,TABLAS!$B$52:$B$58,0)+3,7))))/(INDEX(TABLAS!$C$52:$C$58,MIN(MATCH(DATOS!$C$68,TABLAS!$B$52:$B$58,0)+3,7))+MAX(DATOS!$C$67,INDEX(TABLAS!$C$52:$C$58,MIN(MATCH(DATOS!$C$68,TABLAS!$B$52:$B$58,0)+3,7))))))),INDEX(TABLAS!$B$52:$B$58,MIN(MATCH(DATOS!$C$68,TABLAS!$B$52:$B$58,0)+3,7)),IF(AND(CB48&gt;=0,IF(MAX(DATOS!$C$71,CEILING(CB48/INDEX(TABLAS!$D$52:$D$58,MIN(MATCH(DATOS!$C$68,TABLAS!$B$52:$B$58,0)+4,7)),1))*INDEX(TABLAS!$D$52:$D$58,MIN(MATCH(DATOS!$C$68,TABLAS!$B$52:$B$58,0)+4,7))&gt;=4/3*IF(BH48&lt;=0,0,IF((1-2*BH48*1E5/(DATOS!$C$29*AH48*CA48^2*DATOS!$C$21))&lt;0,-1,IF((1-SQRT((1-2*BH48*1E5/(DATOS!$C$29*AH48*CA48^2*DATOS!$C$21))))*DATOS!$C$21*AH48*CA48/DATOS!$C$14&gt;DATOS!$C$99*AH48*CA48,-1,(1-SQRT((1-2*BH48*1E5/(DATOS!$C$29*AH48*CA48^2*DATOS!$C$21))))*DATOS!$C$21*AH48*CA48/DATOS!$C$14)))-0.0001,MAX(DATOS!$C$71,CEILING(CB48/INDEX(TABLAS!$D$52:$D$58,MIN(MATCH(DATOS!$C$68,TABLAS!$B$52:$B$58,0)+4,7)),1)),MAX(MAX(DATOS!$C$71,CEILING(CB48/INDEX(TABLAS!$D$52:$D$58,MIN(MATCH(DATOS!$C$68,TABLAS!$B$52:$B$58,0)+4,7)),1)),2))&lt;=MIN(DATOS!$C$70,INT(((DATOS!$C$80-2*AJ48)+MAX(DATOS!$C$67,INDEX(TABLAS!$C$52:$C$58,MIN(MATCH(DATOS!$C$68,TABLAS!$B$52:$B$58,0)+4,7))))/(INDEX(TABLAS!$C$52:$C$58,MIN(MATCH(DATOS!$C$68,TABLAS!$B$52:$B$58,0)+4,7))+MAX(DATOS!$C$67,INDEX(TABLAS!$C$52:$C$58,MIN(MATCH(DATOS!$C$68,TABLAS!$B$52:$B$58,0)+4,7))))))),INDEX(TABLAS!$B$52:$B$58,MIN(MATCH(DATOS!$C$68,TABLAS!$B$52:$B$58,0)+4,7)),INDEX(TABLAS!$B$52:$B$58,7)))))))</f>
        <v/>
      </c>
      <c r="CD48" s="59" t="str">
        <f>IF(U48&lt;&gt;"SÍ","",IF(CB48&lt;0,0,IF(MAX(DATOS!$C$71,CEILING(MAX(CB48,0)/INDEX(TABLAS!$D$52:$D$58,MATCH(CC48,TABLAS!$B$52:$B$58,0)),1))*INDEX(TABLAS!$D$52:$D$58,MATCH(CC48,TABLAS!$B$52:$B$58,0))&gt;=4/3*IF(BH48&lt;=0,0,IF((1-2*BH48*1E5/(DATOS!$C$29*AH48*CA48^2*DATOS!$C$21))&lt;0,-1,IF((1-SQRT((1-2*BH48*1E5/(DATOS!$C$29*AH48*CA48^2*DATOS!$C$21))))*DATOS!$C$21*AH48*CA48/DATOS!$C$14&gt;DATOS!$C$99*AH48*CA48,-1,(1-SQRT((1-2*BH48*1E5/(DATOS!$C$29*AH48*CA48^2*DATOS!$C$21))))*DATOS!$C$21*AH48*CA48/DATOS!$C$14)))-0.0001,MAX(DATOS!$C$71,CEILING(MAX(CB48,0)/INDEX(TABLAS!$D$52:$D$58,MATCH(CC48,TABLAS!$B$52:$B$58,0)),1)),MAX(MAX(DATOS!$C$71,CEILING(MAX(CB48,0)/INDEX(TABLAS!$D$52:$D$58,MATCH(CC48,TABLAS!$B$52:$B$58,0)),1)),2))))</f>
        <v/>
      </c>
      <c r="CE48" s="58" t="str">
        <f>IF(U48&lt;&gt;"SÍ","",DATOS!$C$82-AJ48-INDEX(TABLAS!$C$52:$C$58,MATCH(BM48,TABLAS!$B$52:$B$58,0))-INDEX(TABLAS!$C$52:$C$58,MATCH(CC48,TABLAS!$B$52:$B$58,0))/2)</f>
        <v/>
      </c>
      <c r="CF48" s="56" t="str">
        <f>IF(U48&lt;&gt;"SÍ","",IF(CD48=0,0,DATOS!$C$29*CD48*INDEX(TABLAS!$D$52:$D$58,MATCH(CC48,TABLAS!$B$52:$B$58,0))*DATOS!$C$14*(CE48-CD48*INDEX(TABLAS!$D$52:$D$58,MATCH(CC48,TABLAS!$B$52:$B$58,0))*DATOS!$C$14/(DATOS!$C$21*AH48)/2)/1E5))</f>
        <v/>
      </c>
      <c r="CG48" s="65" t="str">
        <f>IF(U48&lt;&gt;"SÍ","",IF(CB48&lt;0,9.99,IF(CF48&gt;0,BH48/CF48,0)))</f>
        <v/>
      </c>
      <c r="CH48" s="66" t="str">
        <f>IF(U48&lt;&gt;"SÍ","",IF(CD48=0,"—",0.003*(CE48-(CD48*INDEX(TABLAS!$D$52:$D$58,MATCH(CC48,TABLAS!$B$52:$B$58,0))*DATOS!$C$14/(DATOS!$C$21*AH48)/DATOS!$C$22))/(CD48*INDEX(TABLAS!$D$52:$D$58,MATCH(CC48,TABLAS!$B$52:$B$58,0))*DATOS!$C$14/(DATOS!$C$21*AH48)/DATOS!$C$22)))</f>
        <v/>
      </c>
      <c r="CI48" s="58" t="str">
        <f>IF(U48&lt;&gt;"SÍ","",((DATOS!$C$82-AL48-2*DATOS!$C$94-INDEX(TABLAS!$C$52:$C$58,MATCH(DATOS!$C$69,TABLAS!$B$52:$B$58,0))-INDEX(TABLAS!$C$52:$C$58,MATCH(DATOS!$C$69,TABLAS!$B$52:$B$58,0))/2)-IF(AND((DATOS!$C$82-AL48-2*DATOS!$C$94-INDEX(TABLAS!$C$52:$C$58,MATCH(DATOS!$C$69,TABLAS!$B$52:$B$58,0))-INDEX(TABLAS!$C$52:$C$58,MATCH(DATOS!$C$69,TABLAS!$B$52:$B$58,0))/2)&lt;=20,DATOS!$C$62&lt;&gt;"SÍ"),2,0)))</f>
        <v/>
      </c>
      <c r="CJ48" s="58" t="str">
        <f>IF(U48&lt;&gt;"SÍ","",IF(IF(BI48&lt;=0,0,IF((1-2*BI48*1E5/(DATOS!$C$29*AF48*CI48^2*DATOS!$C$21))&lt;0,-1,IF((1-SQRT((1-2*BI48*1E5/(DATOS!$C$29*AF48*CI48^2*DATOS!$C$21))))*DATOS!$C$21*AF48*CI48/DATOS!$C$14&gt;DATOS!$C$99*AF48*CI48,-1,(1-SQRT((1-2*BI48*1E5/(DATOS!$C$29*AF48*CI48^2*DATOS!$C$21))))*DATOS!$C$21*AF48*CI48/DATOS!$C$14)))&lt;0,-1,MAX(IF(BI48&lt;=0,0,IF((1-2*BI48*1E5/(DATOS!$C$29*AF48*CI48^2*DATOS!$C$21))&lt;0,-1,IF((1-SQRT((1-2*BI48*1E5/(DATOS!$C$29*AF48*CI48^2*DATOS!$C$21))))*DATOS!$C$21*AF48*CI48/DATOS!$C$14&gt;DATOS!$C$99*AF48*CI48,-1,(1-SQRT((1-2*BI48*1E5/(DATOS!$C$29*AF48*CI48^2*DATOS!$C$21))))*DATOS!$C$21*AF48*CI48/DATOS!$C$14))),MIN(DATOS!$C$100*DATOS!$C$80*CI48,4/3*IF(BI48&lt;=0,0,IF((1-2*BI48*1E5/(DATOS!$C$29*AF48*CI48^2*DATOS!$C$21))&lt;0,-1,IF((1-SQRT((1-2*BI48*1E5/(DATOS!$C$29*AF48*CI48^2*DATOS!$C$21))))*DATOS!$C$21*AF48*CI48/DATOS!$C$14&gt;DATOS!$C$99*AF48*CI48,-1,(1-SQRT((1-2*BI48*1E5/(DATOS!$C$29*AF48*CI48^2*DATOS!$C$21))))*DATOS!$C$21*AF48*CI48/DATOS!$C$14)))))))</f>
        <v/>
      </c>
      <c r="CK48" s="64" t="str">
        <f>IF(U48&lt;&gt;"SÍ","",IF(AND(CJ48&gt;=0,IF(MAX(DATOS!$C$71,CEILING(CJ48/INDEX(TABLAS!$D$52:$D$58,MIN(MATCH(DATOS!$C$69,TABLAS!$B$52:$B$58,0)+0,7)),1))*INDEX(TABLAS!$D$52:$D$58,MIN(MATCH(DATOS!$C$69,TABLAS!$B$52:$B$58,0)+0,7))&gt;=4/3*IF(BI48&lt;=0,0,IF((1-2*BI48*1E5/(DATOS!$C$29*AF48*CI48^2*DATOS!$C$21))&lt;0,-1,IF((1-SQRT((1-2*BI48*1E5/(DATOS!$C$29*AF48*CI48^2*DATOS!$C$21))))*DATOS!$C$21*AF48*CI48/DATOS!$C$14&gt;DATOS!$C$99*AF48*CI48,-1,(1-SQRT((1-2*BI48*1E5/(DATOS!$C$29*AF48*CI48^2*DATOS!$C$21))))*DATOS!$C$21*AF48*CI48/DATOS!$C$14)))-0.0001,MAX(DATOS!$C$71,CEILING(CJ48/INDEX(TABLAS!$D$52:$D$58,MIN(MATCH(DATOS!$C$69,TABLAS!$B$52:$B$58,0)+0,7)),1)),MAX(MAX(DATOS!$C$71,CEILING(CJ48/INDEX(TABLAS!$D$52:$D$58,MIN(MATCH(DATOS!$C$69,TABLAS!$B$52:$B$58,0)+0,7)),1)),2))&lt;=MIN(DATOS!$C$70,INT(((DATOS!$C$80-2*AK48)+MAX(DATOS!$C$67,INDEX(TABLAS!$C$52:$C$58,MIN(MATCH(DATOS!$C$69,TABLAS!$B$52:$B$58,0)+0,7))))/(INDEX(TABLAS!$C$52:$C$58,MIN(MATCH(DATOS!$C$69,TABLAS!$B$52:$B$58,0)+0,7))+MAX(DATOS!$C$67,INDEX(TABLAS!$C$52:$C$58,MIN(MATCH(DATOS!$C$69,TABLAS!$B$52:$B$58,0)+0,7))))))),INDEX(TABLAS!$B$52:$B$58,MIN(MATCH(DATOS!$C$69,TABLAS!$B$52:$B$58,0)+0,7)),IF(AND(CJ48&gt;=0,IF(MAX(DATOS!$C$71,CEILING(CJ48/INDEX(TABLAS!$D$52:$D$58,MIN(MATCH(DATOS!$C$69,TABLAS!$B$52:$B$58,0)+1,7)),1))*INDEX(TABLAS!$D$52:$D$58,MIN(MATCH(DATOS!$C$69,TABLAS!$B$52:$B$58,0)+1,7))&gt;=4/3*IF(BI48&lt;=0,0,IF((1-2*BI48*1E5/(DATOS!$C$29*AF48*CI48^2*DATOS!$C$21))&lt;0,-1,IF((1-SQRT((1-2*BI48*1E5/(DATOS!$C$29*AF48*CI48^2*DATOS!$C$21))))*DATOS!$C$21*AF48*CI48/DATOS!$C$14&gt;DATOS!$C$99*AF48*CI48,-1,(1-SQRT((1-2*BI48*1E5/(DATOS!$C$29*AF48*CI48^2*DATOS!$C$21))))*DATOS!$C$21*AF48*CI48/DATOS!$C$14)))-0.0001,MAX(DATOS!$C$71,CEILING(CJ48/INDEX(TABLAS!$D$52:$D$58,MIN(MATCH(DATOS!$C$69,TABLAS!$B$52:$B$58,0)+1,7)),1)),MAX(MAX(DATOS!$C$71,CEILING(CJ48/INDEX(TABLAS!$D$52:$D$58,MIN(MATCH(DATOS!$C$69,TABLAS!$B$52:$B$58,0)+1,7)),1)),2))&lt;=MIN(DATOS!$C$70,INT(((DATOS!$C$80-2*AK48)+MAX(DATOS!$C$67,INDEX(TABLAS!$C$52:$C$58,MIN(MATCH(DATOS!$C$69,TABLAS!$B$52:$B$58,0)+1,7))))/(INDEX(TABLAS!$C$52:$C$58,MIN(MATCH(DATOS!$C$69,TABLAS!$B$52:$B$58,0)+1,7))+MAX(DATOS!$C$67,INDEX(TABLAS!$C$52:$C$58,MIN(MATCH(DATOS!$C$69,TABLAS!$B$52:$B$58,0)+1,7))))))),INDEX(TABLAS!$B$52:$B$58,MIN(MATCH(DATOS!$C$69,TABLAS!$B$52:$B$58,0)+1,7)),IF(AND(CJ48&gt;=0,IF(MAX(DATOS!$C$71,CEILING(CJ48/INDEX(TABLAS!$D$52:$D$58,MIN(MATCH(DATOS!$C$69,TABLAS!$B$52:$B$58,0)+2,7)),1))*INDEX(TABLAS!$D$52:$D$58,MIN(MATCH(DATOS!$C$69,TABLAS!$B$52:$B$58,0)+2,7))&gt;=4/3*IF(BI48&lt;=0,0,IF((1-2*BI48*1E5/(DATOS!$C$29*AF48*CI48^2*DATOS!$C$21))&lt;0,-1,IF((1-SQRT((1-2*BI48*1E5/(DATOS!$C$29*AF48*CI48^2*DATOS!$C$21))))*DATOS!$C$21*AF48*CI48/DATOS!$C$14&gt;DATOS!$C$99*AF48*CI48,-1,(1-SQRT((1-2*BI48*1E5/(DATOS!$C$29*AF48*CI48^2*DATOS!$C$21))))*DATOS!$C$21*AF48*CI48/DATOS!$C$14)))-0.0001,MAX(DATOS!$C$71,CEILING(CJ48/INDEX(TABLAS!$D$52:$D$58,MIN(MATCH(DATOS!$C$69,TABLAS!$B$52:$B$58,0)+2,7)),1)),MAX(MAX(DATOS!$C$71,CEILING(CJ48/INDEX(TABLAS!$D$52:$D$58,MIN(MATCH(DATOS!$C$69,TABLAS!$B$52:$B$58,0)+2,7)),1)),2))&lt;=MIN(DATOS!$C$70,INT(((DATOS!$C$80-2*AK48)+MAX(DATOS!$C$67,INDEX(TABLAS!$C$52:$C$58,MIN(MATCH(DATOS!$C$69,TABLAS!$B$52:$B$58,0)+2,7))))/(INDEX(TABLAS!$C$52:$C$58,MIN(MATCH(DATOS!$C$69,TABLAS!$B$52:$B$58,0)+2,7))+MAX(DATOS!$C$67,INDEX(TABLAS!$C$52:$C$58,MIN(MATCH(DATOS!$C$69,TABLAS!$B$52:$B$58,0)+2,7))))))),INDEX(TABLAS!$B$52:$B$58,MIN(MATCH(DATOS!$C$69,TABLAS!$B$52:$B$58,0)+2,7)),IF(AND(CJ48&gt;=0,IF(MAX(DATOS!$C$71,CEILING(CJ48/INDEX(TABLAS!$D$52:$D$58,MIN(MATCH(DATOS!$C$69,TABLAS!$B$52:$B$58,0)+3,7)),1))*INDEX(TABLAS!$D$52:$D$58,MIN(MATCH(DATOS!$C$69,TABLAS!$B$52:$B$58,0)+3,7))&gt;=4/3*IF(BI48&lt;=0,0,IF((1-2*BI48*1E5/(DATOS!$C$29*AF48*CI48^2*DATOS!$C$21))&lt;0,-1,IF((1-SQRT((1-2*BI48*1E5/(DATOS!$C$29*AF48*CI48^2*DATOS!$C$21))))*DATOS!$C$21*AF48*CI48/DATOS!$C$14&gt;DATOS!$C$99*AF48*CI48,-1,(1-SQRT((1-2*BI48*1E5/(DATOS!$C$29*AF48*CI48^2*DATOS!$C$21))))*DATOS!$C$21*AF48*CI48/DATOS!$C$14)))-0.0001,MAX(DATOS!$C$71,CEILING(CJ48/INDEX(TABLAS!$D$52:$D$58,MIN(MATCH(DATOS!$C$69,TABLAS!$B$52:$B$58,0)+3,7)),1)),MAX(MAX(DATOS!$C$71,CEILING(CJ48/INDEX(TABLAS!$D$52:$D$58,MIN(MATCH(DATOS!$C$69,TABLAS!$B$52:$B$58,0)+3,7)),1)),2))&lt;=MIN(DATOS!$C$70,INT(((DATOS!$C$80-2*AK48)+MAX(DATOS!$C$67,INDEX(TABLAS!$C$52:$C$58,MIN(MATCH(DATOS!$C$69,TABLAS!$B$52:$B$58,0)+3,7))))/(INDEX(TABLAS!$C$52:$C$58,MIN(MATCH(DATOS!$C$69,TABLAS!$B$52:$B$58,0)+3,7))+MAX(DATOS!$C$67,INDEX(TABLAS!$C$52:$C$58,MIN(MATCH(DATOS!$C$69,TABLAS!$B$52:$B$58,0)+3,7))))))),INDEX(TABLAS!$B$52:$B$58,MIN(MATCH(DATOS!$C$69,TABLAS!$B$52:$B$58,0)+3,7)),IF(AND(CJ48&gt;=0,IF(MAX(DATOS!$C$71,CEILING(CJ48/INDEX(TABLAS!$D$52:$D$58,MIN(MATCH(DATOS!$C$69,TABLAS!$B$52:$B$58,0)+4,7)),1))*INDEX(TABLAS!$D$52:$D$58,MIN(MATCH(DATOS!$C$69,TABLAS!$B$52:$B$58,0)+4,7))&gt;=4/3*IF(BI48&lt;=0,0,IF((1-2*BI48*1E5/(DATOS!$C$29*AF48*CI48^2*DATOS!$C$21))&lt;0,-1,IF((1-SQRT((1-2*BI48*1E5/(DATOS!$C$29*AF48*CI48^2*DATOS!$C$21))))*DATOS!$C$21*AF48*CI48/DATOS!$C$14&gt;DATOS!$C$99*AF48*CI48,-1,(1-SQRT((1-2*BI48*1E5/(DATOS!$C$29*AF48*CI48^2*DATOS!$C$21))))*DATOS!$C$21*AF48*CI48/DATOS!$C$14)))-0.0001,MAX(DATOS!$C$71,CEILING(CJ48/INDEX(TABLAS!$D$52:$D$58,MIN(MATCH(DATOS!$C$69,TABLAS!$B$52:$B$58,0)+4,7)),1)),MAX(MAX(DATOS!$C$71,CEILING(CJ48/INDEX(TABLAS!$D$52:$D$58,MIN(MATCH(DATOS!$C$69,TABLAS!$B$52:$B$58,0)+4,7)),1)),2))&lt;=MIN(DATOS!$C$70,INT(((DATOS!$C$80-2*AK48)+MAX(DATOS!$C$67,INDEX(TABLAS!$C$52:$C$58,MIN(MATCH(DATOS!$C$69,TABLAS!$B$52:$B$58,0)+4,7))))/(INDEX(TABLAS!$C$52:$C$58,MIN(MATCH(DATOS!$C$69,TABLAS!$B$52:$B$58,0)+4,7))+MAX(DATOS!$C$67,INDEX(TABLAS!$C$52:$C$58,MIN(MATCH(DATOS!$C$69,TABLAS!$B$52:$B$58,0)+4,7))))))),INDEX(TABLAS!$B$52:$B$58,MIN(MATCH(DATOS!$C$69,TABLAS!$B$52:$B$58,0)+4,7)),INDEX(TABLAS!$B$52:$B$58,7)))))))</f>
        <v/>
      </c>
      <c r="CL48" s="59" t="str">
        <f>IF(U48&lt;&gt;"SÍ","",IF(CJ48&lt;0,0,IF(MAX(DATOS!$C$71,CEILING(MAX(CJ48,0)/INDEX(TABLAS!$D$52:$D$58,MATCH(CK48,TABLAS!$B$52:$B$58,0)),1))*INDEX(TABLAS!$D$52:$D$58,MATCH(CK48,TABLAS!$B$52:$B$58,0))&gt;=4/3*IF(BI48&lt;=0,0,IF((1-2*BI48*1E5/(DATOS!$C$29*AF48*CI48^2*DATOS!$C$21))&lt;0,-1,IF((1-SQRT((1-2*BI48*1E5/(DATOS!$C$29*AF48*CI48^2*DATOS!$C$21))))*DATOS!$C$21*AF48*CI48/DATOS!$C$14&gt;DATOS!$C$99*AF48*CI48,-1,(1-SQRT((1-2*BI48*1E5/(DATOS!$C$29*AF48*CI48^2*DATOS!$C$21))))*DATOS!$C$21*AF48*CI48/DATOS!$C$14)))-0.0001,MAX(DATOS!$C$71,CEILING(MAX(CJ48,0)/INDEX(TABLAS!$D$52:$D$58,MATCH(CK48,TABLAS!$B$52:$B$58,0)),1)),MAX(MAX(DATOS!$C$71,CEILING(MAX(CJ48,0)/INDEX(TABLAS!$D$52:$D$58,MATCH(CK48,TABLAS!$B$52:$B$58,0)),1)),2))))</f>
        <v/>
      </c>
      <c r="CM48" s="58" t="str">
        <f>IF(U48&lt;&gt;"SÍ","",((DATOS!$C$82-AL48-2*DATOS!$C$94-INDEX(TABLAS!$C$52:$C$58,MATCH(BU48,TABLAS!$B$52:$B$58,0))-INDEX(TABLAS!$C$52:$C$58,MATCH(CK48,TABLAS!$B$52:$B$58,0))/2)-IF(AND((DATOS!$C$82-AL48-2*DATOS!$C$94-INDEX(TABLAS!$C$52:$C$58,MATCH(BU48,TABLAS!$B$52:$B$58,0))-INDEX(TABLAS!$C$52:$C$58,MATCH(CK48,TABLAS!$B$52:$B$58,0))/2)&lt;=20,DATOS!$C$62&lt;&gt;"SÍ"),2,0)))</f>
        <v/>
      </c>
      <c r="CN48" s="56" t="str">
        <f>IF(U48&lt;&gt;"SÍ","",IF(CL48=0,0,DATOS!$C$29*CL48*INDEX(TABLAS!$D$52:$D$58,MATCH(CK48,TABLAS!$B$52:$B$58,0))*DATOS!$C$14*(CM48-CL48*INDEX(TABLAS!$D$52:$D$58,MATCH(CK48,TABLAS!$B$52:$B$58,0))*DATOS!$C$14/(DATOS!$C$21*AF48)/2)/1E5))</f>
        <v/>
      </c>
      <c r="CO48" s="65" t="str">
        <f>IF(U48&lt;&gt;"SÍ","",IF(CJ48&lt;0,9.99,IF(CN48&gt;0,BI48/CN48,0)))</f>
        <v/>
      </c>
      <c r="CP48" s="66" t="str">
        <f>IF(U48&lt;&gt;"SÍ","",IF(CL48=0,"—",0.003*(CM48-(CL48*INDEX(TABLAS!$D$52:$D$58,MATCH(CK48,TABLAS!$B$52:$B$58,0))*DATOS!$C$14/(DATOS!$C$21*AF48)/DATOS!$C$22))/(CL48*INDEX(TABLAS!$D$52:$D$58,MATCH(CK48,TABLAS!$B$52:$B$58,0))*DATOS!$C$14/(DATOS!$C$21*AF48)/DATOS!$C$22)))</f>
        <v/>
      </c>
      <c r="CQ48" s="56" t="str">
        <f>IF(U48&lt;&gt;"SÍ","",IF(C48="PERIMETRAL",MAX(0,(AA48/2-BW48)/100)*(0.95-0.5*Z48)*AQ48*IF(AND(AR48&gt;0,AR48&lt;4),DATOS!$C$33,1)*DATOS!$C$83/100/1000,(AQ48*MAX(0,AA48-BW48)/100+DATOS!$C$26*N(O48))*DATOS!$C$83/100/1000+BE48))</f>
        <v/>
      </c>
      <c r="CR48" s="56" t="str">
        <f>IF(U48&lt;&gt;"SÍ","",DATOS!$C$30*2*MIN(1,SQRT(2/(1+0.04*BW48)))*(BV48*INDEX(TABLAS!$D$52:$D$58,MATCH(BU48,TABLAS!$B$52:$B$58,0))/(AE48*BW48))^(1/3)*SQRT(DATOS!$C$13)*AE48*BW48*IF(AI48="SÍ",DATOS!$C$32,1)/1000)</f>
        <v/>
      </c>
      <c r="CS48" s="59" t="str">
        <f>IF(U48&lt;&gt;"SÍ","",IF(CQ48&lt;=CR48,0,CEILING(MAX(0,IF(C48="VOLADO",(AA48-((CR48-BE48)*1E5/DATOS!$C$83-DATOS!$C$26*N(O48))*100/AQ48),IF(CR48&lt;=0,AA48,AA48/2-CR48/MAX(CQ48,1E-9)*(AA48/2-BW48)))-IF(INT((X48*100-DATOS!$C$84+DATOS!$C$80)/DATOS!$C$83)&gt;0,(X48*100-DATOS!$C$84-(INT((X48*100-DATOS!$C$84+DATOS!$C$80)/DATOS!$C$83)*DATOS!$C$78+(INT((X48*100-DATOS!$C$84+DATOS!$C$80)/DATOS!$C$83)-1)*DATOS!$C$80))/2,X48*100/2))/DATOS!$C$83,1)))</f>
        <v/>
      </c>
      <c r="CT48" s="67" t="str">
        <f>IF(U48&lt;&gt;"SÍ","",IF(CQ48&lt;=CR48,"CUMPLE",IF(CS48&lt;=0,"CUMPLE (basta el macizo de orilla)",IF(CS48*DATOS!$C$83*IF(C48="VOLADO",1,2)&gt;=X48*100-DATOS!$C$84,"NO CUMPLE: no alcanza ni macizando todo","MACIZAR "&amp;CS48&amp;" hilera(s)"))))</f>
        <v/>
      </c>
      <c r="CU48" s="58" t="str">
        <f>IF(U48&lt;&gt;"SÍ","",(DATOS!$C$83*DATOS!$C$81^2/2+AC48*DATOS!$C$79*(DATOS!$C$81+DATOS!$C$79/2))/(DATOS!$C$83*DATOS!$C$81+AC48*DATOS!$C$79))</f>
        <v/>
      </c>
      <c r="CV48" s="68" t="str">
        <f>IF(U48&lt;&gt;"SÍ","",DATOS!$C$83*DATOS!$C$81^3/12+DATOS!$C$83*DATOS!$C$81*(CU48-DATOS!$C$81/2)^2+AC48*DATOS!$C$79^3/12+AC48*DATOS!$C$79*(DATOS!$C$81+DATOS!$C$79/2-CU48)^2)</f>
        <v/>
      </c>
      <c r="CW48" s="58" t="str">
        <f>IF(U48&lt;&gt;"SÍ","",(12*CV48/DATOS!$C$83)^(1/3))</f>
        <v/>
      </c>
      <c r="CX48" s="58" t="str">
        <f>IF(U48&lt;&gt;"SÍ","",IF(C48="PERIMETRAL",IF(ISNUMBER(R48),R48,DATOS!$C$101),0))</f>
        <v/>
      </c>
      <c r="CY48" s="57" t="str">
        <f>IF(U48&lt;&gt;"SÍ","",IF(C48="PERIMETRAL",IF(CX48&gt;2,MAX(9,AB48*(0.8+DATOS!$C$14/14000)/(36+9*(AB48/MAX(AA48,1)))),IF(CX48&gt;0.2,MAX(13,AB48*(0.8+DATOS!$C$14/14000)/(36+5*(AB48/MAX(AA48,1))*(CX48-0.2))),MAX(13,AB48/IF(AR48&gt;0,30,33))))*IF(AND(CX48&gt;0.2,AR48&gt;0,DATOS!$C$102="NO"),1.1,1),X48*100/8))</f>
        <v/>
      </c>
      <c r="CZ48" s="61" t="str">
        <f>IF(U48&lt;&gt;"SÍ","",IF(IF(C48="VOLADO",DATOS!$C$82,CW48)&gt;=CY48,"CUMPLE",IF(C48="VOLADO","NO CUMPLE","CALCULAR FLECHA")))</f>
        <v/>
      </c>
      <c r="DA48" s="55" t="str">
        <f>IF(U48&lt;&gt;"SÍ","",IF(DATOS!$C$81&gt;=IF(IF(C48="VOLADO",X48,Y48)&gt;=6,6,5),"CUMPLE","CAPA ≥ 6 cm"))</f>
        <v/>
      </c>
      <c r="DB48" s="60" t="str">
        <f>IF(U48&lt;&gt;"SÍ","",IF(C48="VOLADO",MIN(CEILING(IF(ISNUMBER(P48),P48,X48)*100,5),CEILING(MAX(IF((0.5*(0.9*DATOS!$C$87*DATOS!$C$83/100/1000)*IF(ISNUMBER(P48),P48,X48)+BG48/IF(ISNUMBER(P48),P48,X48))^2-4*(0.5*(0.9*DATOS!$C$87*DATOS!$C$83/100/1000))*BG48&lt;0,IF(ISNUMBER(P48),P48,X48),MIN(IF(ISNUMBER(P48),P48,X48),((0.5*(0.9*DATOS!$C$87*DATOS!$C$83/100/1000)*IF(ISNUMBER(P48),P48,X48)+BG48/IF(ISNUMBER(P48),P48,X48))-SQRT((0.5*(0.9*DATOS!$C$87*DATOS!$C$83/100/1000)*IF(ISNUMBER(P48),P48,X48)+BG48/IF(ISNUMBER(P48),P48,X48))^2-4*(0.5*(0.9*DATOS!$C$87*DATOS!$C$83/100/1000))*BG48))/(2*(0.5*(0.9*DATOS!$C$87*DATOS!$C$83/100/1000)))))*100+MAX(BW48,12*INDEX(TABLAS!$C$52:$C$58,MATCH(BU48,TABLAS!$B$52:$B$58,0)),IF(ISNUMBER(P48),P48,X48)*100/16),IF(OR(AK48&lt;INDEX(TABLAS!$C$52:$C$58,MATCH(BU48,TABLAS!$B$52:$B$58,0)),AND(BV48&gt;=2,(AC48-2*AK48-BV48*INDEX(TABLAS!$C$52:$C$58,MATCH(BU48,TABLAS!$B$52:$B$58,0)))/MAX(BV48-1,1)&lt;2*INDEX(TABLAS!$C$52:$C$58,MATCH(BU48,TABLAS!$B$52:$B$58,0)))),INDEX(TABLAS!$I$52:$I$58,MATCH(BU48,TABLAS!$B$52:$B$58,0)),INDEX(TABLAS!$F$52:$F$58,MATCH(BU48,TABLAS!$B$52:$B$58,0)))),5)),IF(((4*((BB48*AQ48*X48^2*1E-4*DATOS!$C$83/100/1000)+((MAX(AX48,AZ48)*AQ48*X48^2*1E-4*DATOS!$C$83/100/1000)+(IF(AND(AX48&gt;0,AZ48&gt;0),MIN(AX48,AZ48),MAX(AX48,AZ48))*AQ48*X48^2*1E-4*DATOS!$C$83/100/1000))/2)+BG48-(IF(AND(AX48&gt;0,AZ48&gt;0),MIN(AX48,AZ48),MAX(AX48,AZ48))*AQ48*X48^2*1E-4*DATOS!$C$83/100/1000))^2-16*((BB48*AQ48*X48^2*1E-4*DATOS!$C$83/100/1000)+((MAX(AX48,AZ48)*AQ48*X48^2*1E-4*DATOS!$C$83/100/1000)+(IF(AND(AX48&gt;0,AZ48&gt;0),MIN(AX48,AZ48),MAX(AX48,AZ48))*AQ48*X48^2*1E-4*DATOS!$C$83/100/1000))/2)*BG48)&lt;0,CEILING(AA48,5),CEILING(MAX(AA48*((4*((BB48*AQ48*X48^2*1E-4*DATOS!$C$83/100/1000)+((MAX(AX48,AZ48)*AQ48*X48^2*1E-4*DATOS!$C$83/100/1000)+(IF(AND(AX48&gt;0,AZ48&gt;0),MIN(AX48,AZ48),MAX(AX48,AZ48))*AQ48*X48^2*1E-4*DATOS!$C$83/100/1000))/2)+BG48-(IF(AND(AX48&gt;0,AZ48&gt;0),MIN(AX48,AZ48),MAX(AX48,AZ48))*AQ48*X48^2*1E-4*DATOS!$C$83/100/1000))-SQRT(MAX(0,((4*((BB48*AQ48*X48^2*1E-4*DATOS!$C$83/100/1000)+((MAX(AX48,AZ48)*AQ48*X48^2*1E-4*DATOS!$C$83/100/1000)+(IF(AND(AX48&gt;0,AZ48&gt;0),MIN(AX48,AZ48),MAX(AX48,AZ48))*AQ48*X48^2*1E-4*DATOS!$C$83/100/1000))/2)+BG48-(IF(AND(AX48&gt;0,AZ48&gt;0),MIN(AX48,AZ48),MAX(AX48,AZ48))*AQ48*X48^2*1E-4*DATOS!$C$83/100/1000))^2-16*((BB48*AQ48*X48^2*1E-4*DATOS!$C$83/100/1000)+((MAX(AX48,AZ48)*AQ48*X48^2*1E-4*DATOS!$C$83/100/1000)+(IF(AND(AX48&gt;0,AZ48&gt;0),MIN(AX48,AZ48),MAX(AX48,AZ48))*AQ48*X48^2*1E-4*DATOS!$C$83/100/1000))/2)*BG48))))/(8*MAX(((BB48*AQ48*X48^2*1E-4*DATOS!$C$83/100/1000)+((MAX(AX48,AZ48)*AQ48*X48^2*1E-4*DATOS!$C$83/100/1000)+(IF(AND(AX48&gt;0,AZ48&gt;0),MIN(AX48,AZ48),MAX(AX48,AZ48))*AQ48*X48^2*1E-4*DATOS!$C$83/100/1000))/2),1E-9))+MAX(BW48,12*INDEX(TABLAS!$C$52:$C$58,MATCH(BU48,TABLAS!$B$52:$B$58,0)),AA48/16),IF(OR(AK48&lt;INDEX(TABLAS!$C$52:$C$58,MATCH(BU48,TABLAS!$B$52:$B$58,0)),AND(BV48&gt;=2,(AC48-2*AK48-BV48*INDEX(TABLAS!$C$52:$C$58,MATCH(BU48,TABLAS!$B$52:$B$58,0)))/MAX(BV48-1,1)&lt;2*INDEX(TABLAS!$C$52:$C$58,MATCH(BU48,TABLAS!$B$52:$B$58,0)))),INDEX(TABLAS!$I$52:$I$58,MATCH(BU48,TABLAS!$B$52:$B$58,0)),INDEX(TABLAS!$F$52:$F$58,MATCH(BU48,TABLAS!$B$52:$B$58,0)))),5))))</f>
        <v/>
      </c>
      <c r="DC48" s="60" t="str">
        <f>IF(U48&lt;&gt;"SÍ","",IF(C48="VOLADO",0,IF(((4*((BC48*AQ48*X48^2*1E-4*DATOS!$C$83/100/1000)+((MAX(AY48,BA48)*AQ48*X48^2*1E-4*DATOS!$C$83/100/1000)+(IF(AND(AY48&gt;0,BA48&gt;0),MIN(AY48,BA48),MAX(AY48,BA48))*AQ48*X48^2*1E-4*DATOS!$C$83/100/1000))/2)+BI48-(IF(AND(AY48&gt;0,BA48&gt;0),MIN(AY48,BA48),MAX(AY48,BA48))*AQ48*X48^2*1E-4*DATOS!$C$83/100/1000))^2-16*((BC48*AQ48*X48^2*1E-4*DATOS!$C$83/100/1000)+((MAX(AY48,BA48)*AQ48*X48^2*1E-4*DATOS!$C$83/100/1000)+(IF(AND(AY48&gt;0,BA48&gt;0),MIN(AY48,BA48),MAX(AY48,BA48))*AQ48*X48^2*1E-4*DATOS!$C$83/100/1000))/2)*BI48)&lt;0,CEILING(AB48,5),CEILING(MAX(AB48*((4*((BC48*AQ48*X48^2*1E-4*DATOS!$C$83/100/1000)+((MAX(AY48,BA48)*AQ48*X48^2*1E-4*DATOS!$C$83/100/1000)+(IF(AND(AY48&gt;0,BA48&gt;0),MIN(AY48,BA48),MAX(AY48,BA48))*AQ48*X48^2*1E-4*DATOS!$C$83/100/1000))/2)+BI48-(IF(AND(AY48&gt;0,BA48&gt;0),MIN(AY48,BA48),MAX(AY48,BA48))*AQ48*X48^2*1E-4*DATOS!$C$83/100/1000))-SQRT(MAX(0,((4*((BC48*AQ48*X48^2*1E-4*DATOS!$C$83/100/1000)+((MAX(AY48,BA48)*AQ48*X48^2*1E-4*DATOS!$C$83/100/1000)+(IF(AND(AY48&gt;0,BA48&gt;0),MIN(AY48,BA48),MAX(AY48,BA48))*AQ48*X48^2*1E-4*DATOS!$C$83/100/1000))/2)+BI48-(IF(AND(AY48&gt;0,BA48&gt;0),MIN(AY48,BA48),MAX(AY48,BA48))*AQ48*X48^2*1E-4*DATOS!$C$83/100/1000))^2-16*((BC48*AQ48*X48^2*1E-4*DATOS!$C$83/100/1000)+((MAX(AY48,BA48)*AQ48*X48^2*1E-4*DATOS!$C$83/100/1000)+(IF(AND(AY48&gt;0,BA48&gt;0),MIN(AY48,BA48),MAX(AY48,BA48))*AQ48*X48^2*1E-4*DATOS!$C$83/100/1000))/2)*BI48))))/(8*MAX(((BC48*AQ48*X48^2*1E-4*DATOS!$C$83/100/1000)+((MAX(AY48,BA48)*AQ48*X48^2*1E-4*DATOS!$C$83/100/1000)+(IF(AND(AY48&gt;0,BA48&gt;0),MIN(AY48,BA48),MAX(AY48,BA48))*AQ48*X48^2*1E-4*DATOS!$C$83/100/1000))/2),1E-9))+MAX(CM48,12*INDEX(TABLAS!$C$52:$C$58,MATCH(CK48,TABLAS!$B$52:$B$58,0)),AB48/16),IF(OR(AK48&lt;INDEX(TABLAS!$C$52:$C$58,MATCH(CK48,TABLAS!$B$52:$B$58,0)),AND(CL48&gt;=2,(DATOS!$C$80-2*AK48-CL48*INDEX(TABLAS!$C$52:$C$58,MATCH(CK48,TABLAS!$B$52:$B$58,0)))/MAX(CL48-1,1)&lt;2*INDEX(TABLAS!$C$52:$C$58,MATCH(CK48,TABLAS!$B$52:$B$58,0)))),INDEX(TABLAS!$I$52:$I$58,MATCH(CK48,TABLAS!$B$52:$B$58,0)),INDEX(TABLAS!$F$52:$F$58,MATCH(CK48,TABLAS!$B$52:$B$58,0)))),5))))</f>
        <v/>
      </c>
      <c r="DD48" s="55" t="str">
        <f>IF(U48&lt;&gt;"SÍ","",IF(AND(C48="PERIMETRAL",BV48&gt;=2,AR48-AS48&gt;0,AZ48*AQ48*X48^2*1E-4*DATOS!$C$83/100/1000&gt;DATOS!$C$29*INDEX(TABLAS!$D$52:$D$58,MATCH(BU48,TABLAS!$B$52:$B$58,0))*DATOS!$C$14*(BW48-INDEX(TABLAS!$D$52:$D$58,MATCH(BU48,TABLAS!$B$52:$B$58,0))*DATOS!$C$14/(DATOS!$C$21*AE48)/2)/1E5),"SÍ","NO"))</f>
        <v/>
      </c>
      <c r="DE48" s="55" t="str">
        <f>IF(U48&lt;&gt;"SÍ","",IF(AND(C48="PERIMETRAL",CL48&gt;=2,AS48&gt;0,BA48*AQ48*X48^2*1E-4*DATOS!$C$83/100/1000&gt;DATOS!$C$29*INDEX(TABLAS!$D$52:$D$58,MATCH(CK48,TABLAS!$B$52:$B$58,0))*DATOS!$C$14*(CM48-INDEX(TABLAS!$D$52:$D$58,MATCH(CK48,TABLAS!$B$52:$B$58,0))*DATOS!$C$14/(DATOS!$C$21*AF48)/2)/1E5),"SÍ","NO"))</f>
        <v/>
      </c>
      <c r="DF48" s="63" t="str">
        <f>IF(U48&lt;&gt;"SÍ","",IF(OR(C48="VOLADO",AR48=0),"—",IF(AND(AND(1.25*INDEX(TABLAS!$G$52:$G$58,MATCH(MAX(BM48,CC48),TABLAS!$B$52:$B$58,0))&lt;=(DATOS!$C$72-DATOS!$C$60),(DATOS!$C$72-DATOS!$C$60)&gt;=15,INDEX(TABLAS!$G$52:$G$58,MATCH(MAX(BU48,CK48),TABLAS!$B$52:$B$58,0))&lt;=(DATOS!$C$72-DATOS!$C$60)),8*INDEX(TABLAS!$C$52:$C$58,MATCH(MAX(MAX(BM48,CC48),MAX(BU48,CK48)),TABLAS!$B$52:$B$58,0))&lt;=DATOS!$C$73-2*DATOS!$C$60),"CUMPLE (gancho de 180°)",IF(AND(1.25*INDEX(TABLAS!$G$52:$G$58,MATCH(MAX(BM48,CC48),TABLAS!$B$52:$B$58,0))&lt;=(DATOS!$C$72-DATOS!$C$60),(DATOS!$C$72-DATOS!$C$60)&gt;=15,INDEX(TABLAS!$G$52:$G$58,MATCH(MAX(BU48,CK48),TABLAS!$B$52:$B$58,0))&lt;=(DATOS!$C$72-DATOS!$C$60)),"NO CUMPLE: el gancho de 180° (8·d_b) no cabe en el peralte de la dala de borde","NO CUMPLE: dala de borde ≥ "&amp;TEXT(CEILING(MAX(1.25*INDEX(TABLAS!$G$52:$G$58,MATCH(MAX(BM48,CC48),TABLAS!$B$52:$B$58,0)),15,INDEX(TABLAS!$G$52:$G$58,MATCH(MAX(BU48,CK48),TABLAS!$B$52:$B$58,0)))+DATOS!$C$60,5),"0")&amp;" cm de ancho"&amp;IF(8*INDEX(TABLAS!$C$52:$C$58,MATCH(MAX(MAX(BM48,CC48),MAX(BU48,CK48)),TABLAS!$B$52:$B$58,0))&lt;=DATOS!$C$73-2*DATOS!$C$60,""," y más peralte para el gancho")))))</f>
        <v/>
      </c>
      <c r="DG48" s="59" t="str">
        <f>IF(U48&lt;&gt;"SÍ","",MAX(0,INT((E48*100-DATOS!$C$84+DATOS!$C$83-IF(W48="X",DATOS!$C$78,AD48))/DATOS!$C$83)))</f>
        <v/>
      </c>
      <c r="DH48" s="59" t="str">
        <f>IF(U48&lt;&gt;"SÍ","",MAX(0,INT((F48*100-DATOS!$C$84+DATOS!$C$83-IF(W48="Y",DATOS!$C$78,AD48))/DATOS!$C$83)))</f>
        <v/>
      </c>
      <c r="DI48" s="57" t="str">
        <f>IF(U48&lt;&gt;"SÍ","",IF(DG48&gt;0,(E48*100-DATOS!$C$84-(DG48*IF(W48="X",DATOS!$C$78,AD48)+(DG48-1)*(DATOS!$C$83-IF(W48="X",DATOS!$C$78,AD48))))/2,E48*100/2))</f>
        <v/>
      </c>
      <c r="DJ48" s="57" t="str">
        <f>IF(U48&lt;&gt;"SÍ","",IF(DH48&gt;0,(F48*100-DATOS!$C$84-(DH48*IF(W48="Y",DATOS!$C$78,AD48)+(DH48-1)*(DATOS!$C$83-IF(W48="Y",DATOS!$C$78,AD48))))/2,F48*100/2))</f>
        <v/>
      </c>
      <c r="DK48" s="59" t="str">
        <f>IF(U48&lt;&gt;"SÍ","",IF(NOT(AND(C48="VOLADO",AC48&gt;DATOS!$C$80)),0,IF(INDEX(TABLAS!$C$52:$C$58,MATCH(BU48,TABLAS!$B$52:$B$58,0))&lt;=DATOS!$C$80-2*DATOS!$C$60,1,0)))</f>
        <v/>
      </c>
      <c r="DL48" s="58" t="str">
        <f>IF(U48&lt;&gt;"SÍ","",IF(NOT(AND(C48="VOLADO",AC48&gt;DATOS!$C$80)),0,((DATOS!$C$82-MAX(DATOS!$C$60,(DATOS!$C$81-2*DATOS!$C$94)/2)-2*DATOS!$C$94-INDEX(TABLAS!$C$52:$C$58,MATCH(BU48,TABLAS!$B$52:$B$58,0))/2)-IF(AND((DATOS!$C$82-MAX(DATOS!$C$60,(DATOS!$C$81-2*DATOS!$C$94)/2)-2*DATOS!$C$94-INDEX(TABLAS!$C$52:$C$58,MATCH(BU48,TABLAS!$B$52:$B$58,0))/2)&lt;=20,DATOS!$C$62&lt;&gt;"SÍ"),2,0))))</f>
        <v/>
      </c>
      <c r="DM48" s="56" t="str">
        <f>IF(U48&lt;&gt;"SÍ","",IF(OR(NOT(AND(C48="VOLADO",AC48&gt;DATOS!$C$80)),DK48&lt;1),0,IF(0.003*(DL48-((DK48*INDEX(TABLAS!$D$52:$D$58,MATCH(BU48,TABLAS!$B$52:$B$58,0)))*DATOS!$C$14/(DATOS!$C$21*AF48)/DATOS!$C$22))/((DK48*INDEX(TABLAS!$D$52:$D$58,MATCH(BU48,TABLAS!$B$52:$B$58,0)))*DATOS!$C$14/(DATOS!$C$21*AF48)/DATOS!$C$22)&lt;0.005,0,DATOS!$C$29*(DK48*INDEX(TABLAS!$D$52:$D$58,MATCH(BU48,TABLAS!$B$52:$B$58,0)))*DATOS!$C$14*(DL48-(DK48*INDEX(TABLAS!$D$52:$D$58,MATCH(BU48,TABLAS!$B$52:$B$58,0)))*DATOS!$C$14/(DATOS!$C$21*AF48)/2)/1E5)))</f>
        <v/>
      </c>
      <c r="DN48" s="56" t="str">
        <f>IF(U48&lt;&gt;"SÍ","",IF(OR(NOT(AND(C48="VOLADO",AC48&gt;DATOS!$C$80)),DK48&lt;1),0,DATOS!$C$30*2*MIN(1,SQRT(2/(1+0.04*DL48)))*((DK48*INDEX(TABLAS!$D$52:$D$58,MATCH(BU48,TABLAS!$B$52:$B$58,0)))/(AF48*DL48))^(1/3)*SQRT(DATOS!$C$13)*AF48*DL48/1000))</f>
        <v/>
      </c>
      <c r="DO48" s="56" t="str">
        <f>IF(U48&lt;&gt;"SÍ","",IF(NOT(AND(C48="VOLADO",AC48&gt;DATOS!$C$80)),0,IF((BG48-DM48)&lt;=0,0,IF(DM48&lt;=0,IF(ISNUMBER(P48),P48,X48),IF(((0.9*DATOS!$C$87*DATOS!$C$83/100/1000)*IF(ISNUMBER(P48),P48,X48)/2+BG48/IF(ISNUMBER(P48),P48,X48))^2-4*((0.9*DATOS!$C$87*DATOS!$C$83/100/1000)/2)*(BG48-DM48)&lt;0,IF(ISNUMBER(P48),P48,X48),MIN(IF(ISNUMBER(P48),P48,X48),(((0.9*DATOS!$C$87*DATOS!$C$83/100/1000)*IF(ISNUMBER(P48),P48,X48)/2+BG48/IF(ISNUMBER(P48),P48,X48))-SQRT(((0.9*DATOS!$C$87*DATOS!$C$83/100/1000)*IF(ISNUMBER(P48),P48,X48)/2+BG48/IF(ISNUMBER(P48),P48,X48))^2-4*((0.9*DATOS!$C$87*DATOS!$C$83/100/1000)/2)*(BG48-DM48)))/(2*((0.9*DATOS!$C$87*DATOS!$C$83/100/1000)/2))))))))</f>
        <v/>
      </c>
      <c r="DP48" s="56" t="str">
        <f>IF(U48&lt;&gt;"SÍ","",IF(NOT(AND(C48="VOLADO",AC48&gt;DATOS!$C$80)),0,MIN(IF(ISNUMBER(P48),P48,X48),MAX(0,IF(ISNUMBER(P48),P48,X48)/2+BG48/IF(ISNUMBER(P48),P48,X48)/(AQ48*DATOS!$C$83/100/1000)-DN48/(AQ48*DATOS!$C$83/100/1000)))))</f>
        <v/>
      </c>
      <c r="DQ48" s="56" t="str">
        <f>IF(U48&lt;&gt;"SÍ","",IF(NOT(AND(C48="VOLADO",AC48&gt;DATOS!$C$80)),0,BG48/IF(ISNUMBER(P48),P48,X48)+(AQ48*DATOS!$C$83/100/1000)*MAX(0,IF(ISNUMBER(P48),P48,X48)/2-BW48/100)))</f>
        <v/>
      </c>
      <c r="DR48" s="59" t="str">
        <f>IF(U48&lt;&gt;"SÍ","",IF(NOT(AND(C48="VOLADO",AC48&gt;DATOS!$C$80)),0,CEILING(100*MIN(IF(ISNUMBER(P48),P48,X48),MAX(IF(DO48&gt;0,DO48+IF(BV48&gt;=2,MAX(DL48,12*INDEX(TABLAS!$C$52:$C$58,MATCH(BU48,TABLAS!$B$52:$B$58,0)))/100,0),0),DP48,IF(BV48&gt;=2,INDEX(TABLAS!$F$52:$F$58,MATCH(BU48,TABLAS!$B$52:$B$58,0))/100,0))),5)))</f>
        <v/>
      </c>
      <c r="DS48" s="60" t="str">
        <f>IF(U48&lt;&gt;"SÍ","",IF(NOT(AND(C48="VOLADO",AC48&gt;DATOS!$C$80)),0,IF(DR48&lt;=0,0,CEILING(DR48/DATOS!$C$83,1))))</f>
        <v/>
      </c>
      <c r="DT48" s="61" t="str">
        <f>IF(U48&lt;&gt;"SÍ","",IF(C48&lt;&gt;"VOLADO","—",IF(AC48&lt;=DATOS!$C$80,"— (mismo b_w que el respaldo)",IF(DQ48&gt;CR48,"NO CUMPLE: cortante de la nervadura ancha junto al apoyo ("&amp;TEXT(DQ48,"0.00")&amp;" &gt; "&amp;TEXT(CR48,"0.00")&amp;" t)",IF(DR48&gt;=100*IF(ISNUMBER(P48),P48,X48),"CUMPLE — todas las nervaduras del respaldo ‖ al volado con b_w = "&amp;AC48&amp;" cm","CUMPLE — "&amp;DS48&amp;" hilera(s) del respaldo con nervaduras de b_w = "&amp;AC48&amp;" cm (casetón "&amp;AD48&amp;" cm), hasta "&amp;TEXT(DR48/100,"0.00")&amp;" m del paño")))))</f>
        <v/>
      </c>
      <c r="DU48" s="69" t="str">
        <f>IF(U48&lt;&gt;"SÍ","",IF(BN48=0,"NO ALCANZA",BN48&amp;" No. "&amp;BM48&amp;IF(BN48&gt;1," corridas"," corrida")))</f>
        <v/>
      </c>
      <c r="DV48" s="69" t="str">
        <f>IF(U48&lt;&gt;"SÍ","",IF(BV48=0,"NO ALCANZA",IF(AND(C48="VOLADO",AC48&gt;DATOS!$C$80,BV48&gt;=2),"1 No. "&amp;BU48&amp;" corrida de la orilla al respaldo ("&amp;IF(DB48&gt;=100*IF(ISNUMBER(P48),P48,X48),"hasta su apoyo lejano, con gancho","entra "&amp;TEXT(DB48/100,"0.00")&amp;" m desde el paño")&amp;") + "&amp;(BV48-1)&amp;" bastón No. "&amp;BU48&amp;" hasta "&amp;TEXT(DR48/100,"0.00")&amp;" m del paño (fin de la nervadura ancha)",IF(C48="VOLADO",BV48&amp;" No. "&amp;BU48&amp;" de la orilla al respaldo ("&amp;IF(DB48&gt;=100*IF(ISNUMBER(P48),P48,X48),"hasta su apoyo lejano, con gancho","entran "&amp;TEXT(DB48/100,"0.00")&amp;" m desde el paño")&amp;")","1 No. "&amp;BU48&amp;" corrida"&amp;IF(BV48&gt;1," + "&amp;(BV48-1)&amp;" bastón No. "&amp;BU48&amp;" L = "&amp;TEXT(DB48/100,"0.00")&amp;" m desde el paño","")))))</f>
        <v/>
      </c>
      <c r="DW48" s="69" t="str">
        <f>IF(U48&lt;&gt;"SÍ","",IF(CD48=0,"NO ALCANZA",CD48&amp;" No. "&amp;CC48&amp;IF(CD48&gt;1," corridas"," corrida")))</f>
        <v/>
      </c>
      <c r="DX48" s="69" t="str">
        <f>IF(U48&lt;&gt;"SÍ","",IF(CL48=0,"NO ALCANZA",IF(C48="VOLADO","1 No. "&amp;CK48&amp;" corrida (repartición)","1 No. "&amp;CK48&amp;" corrida"&amp;IF(CL48&gt;1," + "&amp;(CL48-1)&amp;" bastón No. "&amp;CK48&amp;" L = "&amp;TEXT(DC48/100,"0.00")&amp;" m desde el paño",""))))</f>
        <v/>
      </c>
      <c r="DY48" s="67" t="str">
        <f>IF(B48="","",IF(U48&lt;&gt;"SÍ","FALTAN DATOS: tipo, a_x, a_y y destino",IF(L48="NO MONOLÍTICO (caso II)","FUERA DE ALCANCE: caso II no transcrito",IF(AND(C48="VOLADO",V48="?"),"REVISAR: el volado lleva UN solo borde CONTINUO (el empotrado)",IF(AND(MAX(BQ48,BY48,CG48,CO48)&lt;=1,NOT(OR(BN48&gt;MIN(DATOS!$C$70,INT(((AC48-2*AJ48)+MAX(DATOS!$C$67,INDEX(TABLAS!$C$52:$C$58,MATCH(BM48,TABLAS!$B$52:$B$58,0))))/(INDEX(TABLAS!$C$52:$C$58,MATCH(BM48,TABLAS!$B$52:$B$58,0))+MAX(DATOS!$C$67,INDEX(TABLAS!$C$52:$C$58,MATCH(BM48,TABLAS!$B$52:$B$58,0)))))),BV48&gt;MIN(DATOS!$C$70,INT(((AC48-2*AK48)+MAX(DATOS!$C$67,INDEX(TABLAS!$C$52:$C$58,MATCH(BU48,TABLAS!$B$52:$B$58,0))))/(INDEX(TABLAS!$C$52:$C$58,MATCH(BU48,TABLAS!$B$52:$B$58,0))+MAX(DATOS!$C$67,INDEX(TABLAS!$C$52:$C$58,MATCH(BU48,TABLAS!$B$52:$B$58,0)))))),CD48&gt;MIN(DATOS!$C$70,INT(((DATOS!$C$80-2*AJ48)+MAX(DATOS!$C$67,INDEX(TABLAS!$C$52:$C$58,MATCH(CC48,TABLAS!$B$52:$B$58,0))))/(INDEX(TABLAS!$C$52:$C$58,MATCH(CC48,TABLAS!$B$52:$B$58,0))+MAX(DATOS!$C$67,INDEX(TABLAS!$C$52:$C$58,MATCH(CC48,TABLAS!$B$52:$B$58,0)))))),CL48&gt;MIN(DATOS!$C$70,INT(((DATOS!$C$80-2*AK48)+MAX(DATOS!$C$67,INDEX(TABLAS!$C$52:$C$58,MATCH(CK48,TABLAS!$B$52:$B$58,0))))/(INDEX(TABLAS!$C$52:$C$58,MATCH(CK48,TABLAS!$B$52:$B$58,0))+MAX(DATOS!$C$67,INDEX(TABLAS!$C$52:$C$58,MATCH(CK48,TABLAS!$B$52:$B$58,0)))))))),NOT(OR(AND(ISNUMBER(BR48),BR48&lt;0.005),AND(ISNUMBER(BZ48),BZ48&lt;0.005),AND(ISNUMBER(CH48),CH48&lt;0.005),AND(ISNUMBER(CP48),CP48&lt;0.005))),NOT(LEFT(DT48,2)="NO"),CZ48="CUMPLE",DA48="CUMPLE",LEFT(CT48,2)&lt;&gt;"NO"),IF(LEFT(CT48,6)="CUMPLE","CUMPLE","CUMPLE — "&amp;CT48)&amp;IF(LEFT(BJ48,5)="FUERA"," · fuera de 3.4.2.1 c)","")&amp;IF(LEFT(DF48,2)="NO"," · REVISAR anclaje en borde discontinuo","")&amp;IF(DS48&gt;0," · respaldo: "&amp;DS48&amp;" hilera(s) de b_w "&amp;AC48&amp;" cm",""),IF(AND(MAX(BQ48,BY48,CG48,CO48)&lt;=1,NOT(OR(BN48&gt;MIN(DATOS!$C$70,INT(((AC48-2*AJ48)+MAX(DATOS!$C$67,INDEX(TABLAS!$C$52:$C$58,MATCH(BM48,TABLAS!$B$52:$B$58,0))))/(INDEX(TABLAS!$C$52:$C$58,MATCH(BM48,TABLAS!$B$52:$B$58,0))+MAX(DATOS!$C$67,INDEX(TABLAS!$C$52:$C$58,MATCH(BM48,TABLAS!$B$52:$B$58,0)))))),BV48&gt;MIN(DATOS!$C$70,INT(((AC48-2*AK48)+MAX(DATOS!$C$67,INDEX(TABLAS!$C$52:$C$58,MATCH(BU48,TABLAS!$B$52:$B$58,0))))/(INDEX(TABLAS!$C$52:$C$58,MATCH(BU48,TABLAS!$B$52:$B$58,0))+MAX(DATOS!$C$67,INDEX(TABLAS!$C$52:$C$58,MATCH(BU48,TABLAS!$B$52:$B$58,0)))))),CD48&gt;MIN(DATOS!$C$70,INT(((DATOS!$C$80-2*AJ48)+MAX(DATOS!$C$67,INDEX(TABLAS!$C$52:$C$58,MATCH(CC48,TABLAS!$B$52:$B$58,0))))/(INDEX(TABLAS!$C$52:$C$58,MATCH(CC48,TABLAS!$B$52:$B$58,0))+MAX(DATOS!$C$67,INDEX(TABLAS!$C$52:$C$58,MATCH(CC48,TABLAS!$B$52:$B$58,0)))))),CL48&gt;MIN(DATOS!$C$70,INT(((DATOS!$C$80-2*AK48)+MAX(DATOS!$C$67,INDEX(TABLAS!$C$52:$C$58,MATCH(CK48,TABLAS!$B$52:$B$58,0))))/(INDEX(TABLAS!$C$52:$C$58,MATCH(CK48,TABLAS!$B$52:$B$58,0))+MAX(DATOS!$C$67,INDEX(TABLAS!$C$52:$C$58,MATCH(CK48,TABLAS!$B$52:$B$58,0)))))))),NOT(OR(AND(ISNUMBER(BR48),BR48&lt;0.005),AND(ISNUMBER(BZ48),BZ48&lt;0.005),AND(ISNUMBER(CH48),CH48&lt;0.005),AND(ISNUMBER(CP48),CP48&lt;0.005))),NOT(LEFT(DT48,2)="NO"),CZ48="CALCULAR FLECHA",LEFT(CT48,2)&lt;&gt;"NO"),"REVISAR: calcular flecha (h_eq &lt; h mín.)"&amp;IF(LEFT(BJ48,5)="FUERA"," · fuera de 3.4.2.1 c)","")&amp;IF(LEFT(DF48,2)="NO"," · REVISAR anclaje en borde discontinuo","")&amp;IF(DS48&gt;0," · respaldo: "&amp;DS48&amp;" hilera(s) de b_w "&amp;AC48&amp;" cm",""),"NO CUMPLE: "&amp;IF(MAX(BQ48,BY48,CG48,CO48)&gt;1,"flexión ","")&amp;IF(OR(BN48&gt;MIN(DATOS!$C$70,INT(((AC48-2*AJ48)+MAX(DATOS!$C$67,INDEX(TABLAS!$C$52:$C$58,MATCH(BM48,TABLAS!$B$52:$B$58,0))))/(INDEX(TABLAS!$C$52:$C$58,MATCH(BM48,TABLAS!$B$52:$B$58,0))+MAX(DATOS!$C$67,INDEX(TABLAS!$C$52:$C$58,MATCH(BM48,TABLAS!$B$52:$B$58,0)))))),BV48&gt;MIN(DATOS!$C$70,INT(((AC48-2*AK48)+MAX(DATOS!$C$67,INDEX(TABLAS!$C$52:$C$58,MATCH(BU48,TABLAS!$B$52:$B$58,0))))/(INDEX(TABLAS!$C$52:$C$58,MATCH(BU48,TABLAS!$B$52:$B$58,0))+MAX(DATOS!$C$67,INDEX(TABLAS!$C$52:$C$58,MATCH(BU48,TABLAS!$B$52:$B$58,0)))))),CD48&gt;MIN(DATOS!$C$70,INT(((DATOS!$C$80-2*AJ48)+MAX(DATOS!$C$67,INDEX(TABLAS!$C$52:$C$58,MATCH(CC48,TABLAS!$B$52:$B$58,0))))/(INDEX(TABLAS!$C$52:$C$58,MATCH(CC48,TABLAS!$B$52:$B$58,0))+MAX(DATOS!$C$67,INDEX(TABLAS!$C$52:$C$58,MATCH(CC48,TABLAS!$B$52:$B$58,0)))))),CL48&gt;MIN(DATOS!$C$70,INT(((DATOS!$C$80-2*AK48)+MAX(DATOS!$C$67,INDEX(TABLAS!$C$52:$C$58,MATCH(CK48,TABLAS!$B$52:$B$58,0))))/(INDEX(TABLAS!$C$52:$C$58,MATCH(CK48,TABLAS!$B$52:$B$58,0))+MAX(DATOS!$C$67,INDEX(TABLAS!$C$52:$C$58,MATCH(CK48,TABLAS!$B$52:$B$58,0))))))),"no caben ","")&amp;IF(OR(AND(ISNUMBER(BR48),BR48&lt;0.005),AND(ISNUMBER(BZ48),BZ48&lt;0.005),AND(ISNUMBER(CH48),CH48&lt;0.005),AND(ISNUMBER(CP48),CP48&lt;0.005)),"ε_t &lt; 0.005 ","")&amp;IF(LEFT(CT48,2)="NO","cortante ","")&amp;IF(CZ48="NO CUMPLE","peralte ","")&amp;IF(DA48&lt;&gt;"CUMPLE","capa &lt; 6 cm ","")&amp;IF(LEFT(DT48,2)="NO","respaldo del volado","")))))))</f>
        <v/>
      </c>
      <c r="DZ48" s="70" t="str">
        <f>IF(U48&lt;&gt;"SÍ","",IF(LEFT(B48,7)="EJEMPLO","EJEMPLO de la hoja de Casa Rocha: bórralo o sobrescríbelo. ","")&amp;IF(AND(C48="PERIMETRAL",MIN(DG48,DH48)=0),"No cabe un casetón en el claro corto: es un tablero macizo, diséñalo en MACIZAS. ","")&amp;IF(AND(AI48="NO",C48="PERIMETRAL"),"No cumple 6.7.8.1.4 (a_c = "&amp;MAX(DATOS!$C$78,AD48)&amp;" cm &gt; claro corto/6 = "&amp;TEXT(X48*100/6,"0")&amp;" cm): se diseña como losa apoyada en vigas (6.7.8.1.9): r de viga = "&amp;DATOS!$C$60&amp;" cm y V_cR sin ×1.1. Para que cuente como encasetonada: casetón de "&amp;TEXT(FLOOR(MIN(80,X48*100/6),1),"0")&amp;" cm o menor. ","")&amp;IF(C48="VOLADO","Volado de "&amp;TEXT(X48,"0.00")&amp;" m empotrado en el borde "&amp;LOWER(V48)&amp;IF(N(O48)&gt;0,", con "&amp;TEXT(O48,"0.0")&amp;" kg/m en la orilla","")&amp;". Lecho inferior con r_ext. Si la orilla carga pretil u otro elemento frágil, calcula la flecha (13.4). El acero superior entra al respaldo de "&amp;TEXT(IF(ISNUMBER(P48),P48,X48),"0.00")&amp;" m"&amp;IF(ISNUMBER(P48),""," (L_b no capturado: se tomó igual al volado)")&amp;" hasta pasar M = 0 con 0.9·PP sin carga viva; si ahí no se anula, llega al apoyo lejano y se ancla con gancho (NTC-Criterios 3.4.1 c y 5.1.2.2). "&amp;IF(AC48&gt;DATOS!$C$80,"Respaldo: "&amp;DT48&amp;". ",""),"")&amp;IF(LEFT(BJ48,5)="FUERA","El M⁻ del vecino difiere más de 50 % (3.4.2.1 c): distribuye el desequilibrio (3.4.3.1) o confirma con un modelo; se arma con el mayor. ","")&amp;IF(OR(DD48="SÍ",DE48="SÍ"),"El M⁻ del borde discontinuo pide bastón también ahí (con gancho). ","")&amp;IF(LEFT(DF48,2)="NO","Anclaje: "&amp;DF48&amp;" (6.7.8.1.7). ","")&amp;IF(OR(AZ48&gt;0,BA48&gt;0),"Esquinas exteriores sobre muro: refuerzo de esquina arriba y abajo en L_largo/5 (6.7.7.3.1). ",""))</f>
        <v/>
      </c>
    </row>
  </sheetData>
  <mergeCells count="33">
    <mergeCell ref="CA5:CH5"/>
    <mergeCell ref="BD6:BJ6"/>
    <mergeCell ref="AR5:AU5"/>
    <mergeCell ref="DK5:DT5"/>
    <mergeCell ref="BK6:BR6"/>
    <mergeCell ref="B6:T6"/>
    <mergeCell ref="CI6:CP6"/>
    <mergeCell ref="BS5:BZ5"/>
    <mergeCell ref="B5:T5"/>
    <mergeCell ref="CU6:DA6"/>
    <mergeCell ref="CA6:CH6"/>
    <mergeCell ref="CU5:DA5"/>
    <mergeCell ref="DU6:DZ6"/>
    <mergeCell ref="AM5:AQ5"/>
    <mergeCell ref="B3:DZ3"/>
    <mergeCell ref="U5:AL5"/>
    <mergeCell ref="BS6:BZ6"/>
    <mergeCell ref="B2:DZ2"/>
    <mergeCell ref="DB5:DJ5"/>
    <mergeCell ref="BK5:BR5"/>
    <mergeCell ref="BD5:BJ5"/>
    <mergeCell ref="B1:DZ1"/>
    <mergeCell ref="CQ6:CT6"/>
    <mergeCell ref="AM6:AQ6"/>
    <mergeCell ref="AV6:BC6"/>
    <mergeCell ref="U6:AL6"/>
    <mergeCell ref="CQ5:CT5"/>
    <mergeCell ref="DB6:DJ6"/>
    <mergeCell ref="AV5:BC5"/>
    <mergeCell ref="DK6:DT6"/>
    <mergeCell ref="DU5:DZ5"/>
    <mergeCell ref="CI5:CP5"/>
    <mergeCell ref="AR6:AU6"/>
  </mergeCells>
  <conditionalFormatting sqref="U9:U48">
    <cfRule type="expression" priority="1" dxfId="0" stopIfTrue="1">
      <formula>OR(ISNUMBER(FIND("NO CUMPLE",U9)),ISNUMBER(FIND("REVISAR",U9)),ISNUMBER(FIND("NO CABE",U9)),ISNUMBER(FIND("FUERA",U9)),ISNUMBER(FIND("FALTA",U9)),ISNUMBER(FIND("INSUFICIENTE",U9)),ISNUMBER(FIND("PENDIENTE",U9)))</formula>
    </cfRule>
    <cfRule type="expression" priority="2" dxfId="1" stopIfTrue="1">
      <formula>OR(ISNUMBER(FIND("CUMPLE",U9)),ISNUMBER(FIND("SÍ aplica",U9)),ISNUMBER(FIND("MANDA",U9)))</formula>
    </cfRule>
    <cfRule type="expression" priority="3" dxfId="2" stopIfTrue="1">
      <formula>OR(ISNUMBER(FIND("MACIZAR",U9)),ISNUMBER(FIND("CALCULAR",U9)),ISNUMBER(FIND("PROPUESTO",U9)),ISNUMBER(FIND("VER ",U9)))</formula>
    </cfRule>
  </conditionalFormatting>
  <conditionalFormatting sqref="DY9:DY48">
    <cfRule type="expression" priority="4" dxfId="0" stopIfTrue="1">
      <formula>OR(ISNUMBER(FIND("NO CUMPLE",DY9)),ISNUMBER(FIND("REVISAR",DY9)),ISNUMBER(FIND("NO CABE",DY9)),ISNUMBER(FIND("FUERA",DY9)),ISNUMBER(FIND("FALTA",DY9)),ISNUMBER(FIND("INSUFICIENTE",DY9)),ISNUMBER(FIND("PENDIENTE",DY9)))</formula>
    </cfRule>
    <cfRule type="expression" priority="5" dxfId="1" stopIfTrue="1">
      <formula>OR(ISNUMBER(FIND("CUMPLE",DY9)),ISNUMBER(FIND("SÍ aplica",DY9)),ISNUMBER(FIND("MANDA",DY9)))</formula>
    </cfRule>
    <cfRule type="expression" priority="6" dxfId="2" stopIfTrue="1">
      <formula>OR(ISNUMBER(FIND("MACIZAR",DY9)),ISNUMBER(FIND("CALCULAR",DY9)),ISNUMBER(FIND("PROPUESTO",DY9)),ISNUMBER(FIND("VER ",DY9)))</formula>
    </cfRule>
  </conditionalFormatting>
  <conditionalFormatting sqref="CT9:CT48">
    <cfRule type="expression" priority="7" dxfId="0" stopIfTrue="1">
      <formula>OR(ISNUMBER(FIND("NO CUMPLE",CT9)),ISNUMBER(FIND("REVISAR",CT9)),ISNUMBER(FIND("NO CABE",CT9)),ISNUMBER(FIND("FUERA",CT9)),ISNUMBER(FIND("FALTA",CT9)),ISNUMBER(FIND("INSUFICIENTE",CT9)),ISNUMBER(FIND("PENDIENTE",CT9)))</formula>
    </cfRule>
    <cfRule type="expression" priority="8" dxfId="1" stopIfTrue="1">
      <formula>OR(ISNUMBER(FIND("CUMPLE",CT9)),ISNUMBER(FIND("SÍ aplica",CT9)),ISNUMBER(FIND("MANDA",CT9)))</formula>
    </cfRule>
    <cfRule type="expression" priority="9" dxfId="2" stopIfTrue="1">
      <formula>OR(ISNUMBER(FIND("MACIZAR",CT9)),ISNUMBER(FIND("CALCULAR",CT9)),ISNUMBER(FIND("PROPUESTO",CT9)),ISNUMBER(FIND("VER ",CT9)))</formula>
    </cfRule>
  </conditionalFormatting>
  <conditionalFormatting sqref="CZ9:CZ48">
    <cfRule type="expression" priority="10" dxfId="0" stopIfTrue="1">
      <formula>OR(ISNUMBER(FIND("NO CUMPLE",CZ9)),ISNUMBER(FIND("REVISAR",CZ9)),ISNUMBER(FIND("NO CABE",CZ9)),ISNUMBER(FIND("FUERA",CZ9)),ISNUMBER(FIND("FALTA",CZ9)),ISNUMBER(FIND("INSUFICIENTE",CZ9)),ISNUMBER(FIND("PENDIENTE",CZ9)))</formula>
    </cfRule>
    <cfRule type="expression" priority="11" dxfId="1" stopIfTrue="1">
      <formula>OR(ISNUMBER(FIND("CUMPLE",CZ9)),ISNUMBER(FIND("SÍ aplica",CZ9)),ISNUMBER(FIND("MANDA",CZ9)))</formula>
    </cfRule>
    <cfRule type="expression" priority="12" dxfId="2" stopIfTrue="1">
      <formula>OR(ISNUMBER(FIND("MACIZAR",CZ9)),ISNUMBER(FIND("CALCULAR",CZ9)),ISNUMBER(FIND("PROPUESTO",CZ9)),ISNUMBER(FIND("VER ",CZ9)))</formula>
    </cfRule>
  </conditionalFormatting>
  <conditionalFormatting sqref="BJ9:BJ48">
    <cfRule type="expression" priority="13" dxfId="0" stopIfTrue="1">
      <formula>OR(ISNUMBER(FIND("NO CUMPLE",BJ9)),ISNUMBER(FIND("REVISAR",BJ9)),ISNUMBER(FIND("NO CABE",BJ9)),ISNUMBER(FIND("FUERA",BJ9)),ISNUMBER(FIND("FALTA",BJ9)),ISNUMBER(FIND("INSUFICIENTE",BJ9)),ISNUMBER(FIND("PENDIENTE",BJ9)))</formula>
    </cfRule>
    <cfRule type="expression" priority="14" dxfId="1" stopIfTrue="1">
      <formula>OR(ISNUMBER(FIND("CUMPLE",BJ9)),ISNUMBER(FIND("SÍ aplica",BJ9)),ISNUMBER(FIND("MANDA",BJ9)))</formula>
    </cfRule>
    <cfRule type="expression" priority="15" dxfId="2" stopIfTrue="1">
      <formula>OR(ISNUMBER(FIND("MACIZAR",BJ9)),ISNUMBER(FIND("CALCULAR",BJ9)),ISNUMBER(FIND("PROPUESTO",BJ9)),ISNUMBER(FIND("VER ",BJ9)))</formula>
    </cfRule>
  </conditionalFormatting>
  <conditionalFormatting sqref="DF9:DF48">
    <cfRule type="expression" priority="16" dxfId="0" stopIfTrue="1">
      <formula>OR(ISNUMBER(FIND("NO CUMPLE",DF9)),ISNUMBER(FIND("REVISAR",DF9)),ISNUMBER(FIND("NO CABE",DF9)),ISNUMBER(FIND("FUERA",DF9)),ISNUMBER(FIND("FALTA",DF9)),ISNUMBER(FIND("INSUFICIENTE",DF9)),ISNUMBER(FIND("PENDIENTE",DF9)))</formula>
    </cfRule>
    <cfRule type="expression" priority="17" dxfId="1" stopIfTrue="1">
      <formula>OR(ISNUMBER(FIND("CUMPLE",DF9)),ISNUMBER(FIND("SÍ aplica",DF9)),ISNUMBER(FIND("MANDA",DF9)))</formula>
    </cfRule>
    <cfRule type="expression" priority="18" dxfId="2" stopIfTrue="1">
      <formula>OR(ISNUMBER(FIND("MACIZAR",DF9)),ISNUMBER(FIND("CALCULAR",DF9)),ISNUMBER(FIND("PROPUESTO",DF9)),ISNUMBER(FIND("VER ",DF9)))</formula>
    </cfRule>
  </conditionalFormatting>
  <conditionalFormatting sqref="AI9:AI48">
    <cfRule type="expression" priority="19" dxfId="0" stopIfTrue="1">
      <formula>OR(ISNUMBER(FIND("NO CUMPLE",AI9)),ISNUMBER(FIND("REVISAR",AI9)),ISNUMBER(FIND("NO CABE",AI9)),ISNUMBER(FIND("FUERA",AI9)),ISNUMBER(FIND("FALTA",AI9)),ISNUMBER(FIND("INSUFICIENTE",AI9)),ISNUMBER(FIND("PENDIENTE",AI9)))</formula>
    </cfRule>
    <cfRule type="expression" priority="20" dxfId="1" stopIfTrue="1">
      <formula>OR(ISNUMBER(FIND("CUMPLE",AI9)),ISNUMBER(FIND("SÍ aplica",AI9)),ISNUMBER(FIND("MANDA",AI9)))</formula>
    </cfRule>
    <cfRule type="expression" priority="21" dxfId="2" stopIfTrue="1">
      <formula>OR(ISNUMBER(FIND("MACIZAR",AI9)),ISNUMBER(FIND("CALCULAR",AI9)),ISNUMBER(FIND("PROPUESTO",AI9)),ISNUMBER(FIND("VER ",AI9)))</formula>
    </cfRule>
  </conditionalFormatting>
  <conditionalFormatting sqref="DA9:DA48">
    <cfRule type="expression" priority="22" dxfId="0" stopIfTrue="1">
      <formula>OR(ISNUMBER(FIND("NO CUMPLE",DA9)),ISNUMBER(FIND("REVISAR",DA9)),ISNUMBER(FIND("NO CABE",DA9)),ISNUMBER(FIND("FUERA",DA9)),ISNUMBER(FIND("FALTA",DA9)),ISNUMBER(FIND("INSUFICIENTE",DA9)),ISNUMBER(FIND("PENDIENTE",DA9)))</formula>
    </cfRule>
    <cfRule type="expression" priority="23" dxfId="1" stopIfTrue="1">
      <formula>OR(ISNUMBER(FIND("CUMPLE",DA9)),ISNUMBER(FIND("SÍ aplica",DA9)),ISNUMBER(FIND("MANDA",DA9)))</formula>
    </cfRule>
    <cfRule type="expression" priority="24" dxfId="2" stopIfTrue="1">
      <formula>OR(ISNUMBER(FIND("MACIZAR",DA9)),ISNUMBER(FIND("CALCULAR",DA9)),ISNUMBER(FIND("PROPUESTO",DA9)),ISNUMBER(FIND("VER ",DA9)))</formula>
    </cfRule>
  </conditionalFormatting>
  <conditionalFormatting sqref="DT9:DT48">
    <cfRule type="expression" priority="25" dxfId="0" stopIfTrue="1">
      <formula>OR(ISNUMBER(FIND("NO CUMPLE",DT9)),ISNUMBER(FIND("REVISAR",DT9)),ISNUMBER(FIND("NO CABE",DT9)),ISNUMBER(FIND("FUERA",DT9)),ISNUMBER(FIND("FALTA",DT9)),ISNUMBER(FIND("INSUFICIENTE",DT9)),ISNUMBER(FIND("PENDIENTE",DT9)))</formula>
    </cfRule>
    <cfRule type="expression" priority="26" dxfId="1" stopIfTrue="1">
      <formula>OR(ISNUMBER(FIND("CUMPLE",DT9)),ISNUMBER(FIND("SÍ aplica",DT9)),ISNUMBER(FIND("MANDA",DT9)))</formula>
    </cfRule>
    <cfRule type="expression" priority="27" dxfId="2" stopIfTrue="1">
      <formula>OR(ISNUMBER(FIND("MACIZAR",DT9)),ISNUMBER(FIND("CALCULAR",DT9)),ISNUMBER(FIND("PROPUESTO",DT9)),ISNUMBER(FIND("VER ",DT9)))</formula>
    </cfRule>
  </conditionalFormatting>
  <dataValidations count="5">
    <dataValidation sqref="C9:C48" showDropDown="0" showInputMessage="0" showErrorMessage="1" allowBlank="1" errorTitle="Valor no válido" error="Escoge un valor de la lista" type="list">
      <formula1>LST_TIPO</formula1>
    </dataValidation>
    <dataValidation sqref="D9:D48" showDropDown="0" showInputMessage="0" showErrorMessage="1" allowBlank="1" errorTitle="Valor no válido" error="Escoge un valor de la lista" type="list">
      <formula1>LST_DEST</formula1>
    </dataValidation>
    <dataValidation sqref="K9:K48" showDropDown="0" showInputMessage="0" showErrorMessage="1" allowBlank="1" errorTitle="Valor no válido" error="Escoge un valor de la lista" type="list">
      <formula1>LST_CASO</formula1>
    </dataValidation>
    <dataValidation sqref="L9:L48" showDropDown="0" showInputMessage="0" showErrorMessage="1" allowBlank="1" errorTitle="Valor no válido" error="Escoge un valor de la lista" type="list">
      <formula1>LST_COLADO</formula1>
    </dataValidation>
    <dataValidation sqref="G9:J48" showDropDown="0" showInputMessage="0" showErrorMessage="1" allowBlank="1" errorTitle="Valor no válido" error="Escoge un valor de la lista" type="list">
      <formula1>LST_BORDE</formula1>
    </dataValidation>
  </dataValidations>
  <printOptions horizontalCentered="1"/>
  <pageMargins left="0.4" right="0.4" top="0.5" bottom="0.5" header="0.5" footer="0.5"/>
  <pageSetup orientation="landscape" paperSize="3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J48"/>
  <sheetViews>
    <sheetView showGridLines="0" zoomScale="8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22" customWidth="1" min="2" max="2"/>
    <col width="11.5" customWidth="1" min="3" max="3"/>
    <col width="19" customWidth="1" min="4" max="4"/>
    <col width="7.5" customWidth="1" min="5" max="5"/>
    <col width="7.5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3" customWidth="1" min="12" max="12"/>
    <col width="7" customWidth="1" min="13" max="13"/>
    <col width="7.5" customWidth="1" min="14" max="14"/>
    <col width="7.5" customWidth="1" min="15" max="15"/>
    <col width="8" customWidth="1" min="16" max="16"/>
    <col width="8" customWidth="1" min="17" max="17"/>
    <col width="7" customWidth="1" min="18" max="18"/>
    <col width="7" customWidth="1" min="19" max="19"/>
    <col width="8.5" customWidth="1" min="20" max="20"/>
    <col width="8.5" customWidth="1" min="21" max="21"/>
    <col width="7.5" customWidth="1" min="22" max="22"/>
    <col width="6" customWidth="1" min="23" max="23"/>
    <col width="10" customWidth="1" min="24" max="24"/>
    <col width="5.5" customWidth="1" min="25" max="25"/>
    <col width="7" customWidth="1" min="26" max="26"/>
    <col width="7" customWidth="1" min="27" max="27"/>
    <col width="6.5" customWidth="1" min="28" max="28"/>
    <col width="6.5" customWidth="1" min="29" max="29"/>
    <col width="6.5" customWidth="1" min="30" max="30"/>
    <col width="6" customWidth="1" min="31" max="31"/>
    <col width="6" customWidth="1" min="32" max="32"/>
    <col width="6.5" customWidth="1" min="33" max="33"/>
    <col width="6.5" customWidth="1" min="34" max="34"/>
    <col width="7" customWidth="1" min="35" max="35"/>
    <col width="6.5" customWidth="1" min="36" max="36"/>
    <col width="7" customWidth="1" min="37" max="37"/>
    <col width="6.5" customWidth="1" min="38" max="38"/>
    <col width="6" customWidth="1" min="39" max="39"/>
    <col width="14" customWidth="1" min="40" max="40"/>
    <col width="14" customWidth="1" min="41" max="41"/>
    <col width="5" customWidth="1" min="42" max="42"/>
    <col width="5.5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15" customWidth="1" min="54" max="54"/>
    <col width="7" customWidth="1" min="55" max="55"/>
    <col width="6.5" customWidth="1" min="56" max="56"/>
    <col width="7" customWidth="1" min="57" max="57"/>
    <col width="6.5" customWidth="1" min="58" max="58"/>
    <col width="6.5" customWidth="1" min="59" max="59"/>
    <col width="5.5" customWidth="1" min="60" max="60"/>
    <col width="6.5" customWidth="1" min="61" max="61"/>
    <col width="6.5" customWidth="1" min="62" max="62"/>
    <col width="6" customWidth="1" min="63" max="63"/>
    <col width="6.5" customWidth="1" min="64" max="64"/>
    <col width="6.5" customWidth="1" min="65" max="65"/>
    <col width="6.5" customWidth="1" min="66" max="66"/>
    <col width="7" customWidth="1" min="67" max="67"/>
    <col width="6.5" customWidth="1" min="68" max="68"/>
    <col width="6.5" customWidth="1" min="69" max="69"/>
    <col width="5.5" customWidth="1" min="70" max="70"/>
    <col width="6.5" customWidth="1" min="71" max="71"/>
    <col width="6.5" customWidth="1" min="72" max="72"/>
    <col width="6" customWidth="1" min="73" max="73"/>
    <col width="6.5" customWidth="1" min="74" max="74"/>
    <col width="6.5" customWidth="1" min="75" max="75"/>
    <col width="6.5" customWidth="1" min="76" max="76"/>
    <col width="7" customWidth="1" min="77" max="77"/>
    <col width="6.5" customWidth="1" min="78" max="78"/>
    <col width="6.5" customWidth="1" min="79" max="79"/>
    <col width="5.5" customWidth="1" min="80" max="80"/>
    <col width="6.5" customWidth="1" min="81" max="81"/>
    <col width="6.5" customWidth="1" min="82" max="82"/>
    <col width="6" customWidth="1" min="83" max="83"/>
    <col width="6.5" customWidth="1" min="84" max="84"/>
    <col width="6.5" customWidth="1" min="85" max="85"/>
    <col width="6.5" customWidth="1" min="86" max="86"/>
    <col width="7" customWidth="1" min="87" max="87"/>
    <col width="6.5" customWidth="1" min="88" max="88"/>
    <col width="6.5" customWidth="1" min="89" max="89"/>
    <col width="5.5" customWidth="1" min="90" max="90"/>
    <col width="6.5" customWidth="1" min="91" max="91"/>
    <col width="6.5" customWidth="1" min="92" max="92"/>
    <col width="6" customWidth="1" min="93" max="93"/>
    <col width="6.5" customWidth="1" min="94" max="94"/>
    <col width="6.5" customWidth="1" min="95" max="95"/>
    <col width="6.5" customWidth="1" min="96" max="96"/>
    <col width="7" customWidth="1" min="97" max="97"/>
    <col width="7" customWidth="1" min="98" max="98"/>
    <col width="7" customWidth="1" min="99" max="99"/>
    <col width="15" customWidth="1" min="100" max="100"/>
    <col width="6" customWidth="1" min="101" max="101"/>
    <col width="8.5" customWidth="1" min="102" max="102"/>
    <col width="13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16" customWidth="1" min="108" max="108"/>
    <col width="16" customWidth="1" min="109" max="109"/>
    <col width="28" customWidth="1" min="110" max="110"/>
    <col width="16" customWidth="1" min="111" max="111"/>
    <col width="28" customWidth="1" min="112" max="112"/>
    <col width="30" customWidth="1" min="113" max="113"/>
    <col width="70" customWidth="1" min="114" max="114"/>
  </cols>
  <sheetData>
    <row r="1" ht="26" customHeight="1">
      <c r="B1" s="43" t="inlineStr">
        <is>
          <t>MACIZAS — LOSA MACIZA, UN RENGLÓN POR TABLERO (FRANJA DE 1 m) · MÉTODO DE COEFICIENTES NTC-CONCRETO 2023, TABLA 3.4.2.1 (CASO I)</t>
        </is>
      </c>
    </row>
    <row r="2" ht="30" customHeight="1">
      <c r="B2" s="44" t="inlineStr">
        <is>
          <t>Momentos por metro = coef·10⁻⁴·w_u·a1². Cada lecho lleva al menos As mín = 0.0018·b·h. La varilla sube de número si la separación baja de la mínima práctica; la separación no pasa de la máxima (DATOS sección 8). Sólo se captura lo AMARILLO; los renglones vacíos quedan en blanco. Memoria en DETALLE y dibujo en CROQUIS.</t>
        </is>
      </c>
    </row>
    <row r="3" ht="42" customHeight="1">
      <c r="B3" s="45" t="inlineStr">
        <is>
          <t>ESTADO: «CUMPLE» = flexión, separación, ε_t ≥ 0.005, cortante y peralte bien. «REVISAR: calcular flecha» = h menor que el mínimo de la Tabla 6.7.3.1.2. «NO CUMPLE: cortante» = sube h (la losa no lleva estribos). «FUERA de 3.4.2.1 c)» = el M⁻ del vecino capturado difiere más de 50 %.</t>
        </is>
      </c>
    </row>
    <row r="4" ht="6" customHeight="1"/>
    <row r="5" ht="118" customHeight="1">
      <c r="B5" s="46" t="inlineStr">
        <is>
          <t>CAPTURA. Claros A EJES. Borde CONTINUO = sigue losa del otro lado; DISCONTINUO = orilla, hueco o losa que no sigue. VOLADO: marca CONTINUO sólo el borde empotrado. h propio, CV propia, α_fm y No. de varilla: vacío = el de DATOS. M⁻ del vecino por metro, en el borde común; la hoja arma con el mayor.</t>
        </is>
      </c>
      <c r="V5" s="46" t="inlineStr">
        <is>
          <t>Franja de 1 m. a1 = claro corto, a2 = largo (volado: a1 = largo perpendicular al borde empotrado). L_n = a − b_p (volado a − b_p/2). r inferior: r (r_ext en volados); r superior: r_ext si la cara queda expuesta (DATOS).</t>
        </is>
      </c>
      <c r="AG5" s="46" t="inlineStr">
        <is>
          <t>PP = h·γc + 20 + 20 (NTC-Criterios 5.1.2.1, p. 9). CM = PP + SCM. w_u = máx(1.3·CM + 1.5·W_m; azotea: 1.1·(CM + W_g)) (NTC-Criterios 3.4.1 a) y b), p. 7; ec. 7.3.2.1, p. 17).</t>
        </is>
      </c>
      <c r="AL5" s="46" t="inlineStr">
        <is>
          <t>Se cuentan los bordes DISCONTINUOS; «corto» = borde de largo a1. Tabla 3.4.2.1, p. 65 (mismo criterio que nervadas).</t>
        </is>
      </c>
      <c r="AP5" s="46" t="inlineStr">
        <is>
          <t>Interpolación lineal en m entre las columnas de la Tabla 3.4.2.1, caso I (TABLAS sección A).</t>
        </is>
      </c>
      <c r="AX5" s="46" t="inlineStr">
        <is>
          <t>M = coef·10⁻⁴·w_u·a1² por metro (NTC-Concreto 3.4.2.1, p. 64). M⁻ = el mayor de borde continuo, discontinuo y el del vecino capturado. Volado: M⁻ = w_u·L_n²/2 + 1.3·P·L_n. As mín = 0.0018·100·h en cada lecho (6.7.6.1.1, p. 175; 13.8.2.1.1, p. 345). Separación máx. = criterio de esta hoja (DATOS sección 8).</t>
        </is>
      </c>
      <c r="BE5" s="46" t="inlineStr">
        <is>
          <t>b = 100 cm. d = h − r − d_b/2 (preferida para As, real para M_R). As = q·f''c·b·d/fy (ecs. 5.2.2.1.1.1, p. 89), ≥ As mín; −1 = no alcanza o rebasa p_max (ε_t ≥ 0.005). Varilla: la preferida o la siguiente cuya separación (redondeada hacia abajo) no baje de la mínima; separación ≤ máx. ε_t ≥ 0.005 (Tabla 3.8.2.2, p. 70).</t>
        </is>
      </c>
      <c r="BO5" s="46" t="inlineStr">
        <is>
          <t>d = h − r − d_b/2, − 2 cm si d ≤ 20 cm sin la precaución de 3.9.2 (3.9.1 d), p. 74). Perimetral: bastones en los bordes; volado: acero principal de la orilla al respaldo.</t>
        </is>
      </c>
      <c r="BY5" s="46" t="inlineStr">
        <is>
          <t>El lecho del claro largo va encima del corto: d = h − r − d_b,corto − d_b/2.</t>
        </is>
      </c>
      <c r="CI5" s="46" t="inlineStr">
        <is>
          <t>Va debajo del lecho superior corto. En volados es el acero de repartición (As mín).</t>
        </is>
      </c>
      <c r="CS5" s="46" t="inlineStr">
        <is>
          <t>V_u a d del paño = (L_n/2 − d)(0.95 − 0.5m)·w_u, ×1.15 con bordes continuos y discontinuos (3.4.1.1, p. 64; 6.7.4.3.2, p. 172). Volado: w_u(L_n − d) + 1.3P. V_cR = F_R·2·λs·p^⅓·√f'c·b·d con b = 100 cm y p del acero superior (ec. 5.5.3.2.1, p. 95). Losa sin estribos: si no alcanza, sube h.</t>
        </is>
      </c>
      <c r="CW5" s="46" t="inlineStr">
        <is>
          <t>Tabla 6.7.3.1.2 (p. 168) con α_fm (igual que nervadas), contra h. Volado: L/10 (criterio de esta hoja, DATOS sección 8).</t>
        </is>
      </c>
      <c r="CZ5" s="46" t="inlineStr">
        <is>
          <t>Bastón desde el paño = punto de inflexión + máx(d, 12d_b, L_n/16), ≥ L_d (6.3.7.3.4, p. 127; 6.3.7.3.10.4, p. 129; Tabla 14.4.2.4, p. 353). Volado: entra al respaldo hasta M = 0 con 0.9·PP y sin CV. Anclaje en bordes discontinuos (dala de borde armada): L_dh del bastón ≤ ancho − r_np y ≥ 15 cm para la varilla inferior (6.7.7.4.1.1, p. 179); gancho de 180° con alto 8·d_b ≤ peralte de la dala − 2·r_np (Tabla 14.3.1, p. 349).</t>
        </is>
      </c>
      <c r="DE5" s="46" t="inlineStr">
        <is>
          <t>Armado por metro: «No. 3 @ 20 cm». Superior perimetral: bastones en los bordes continuos (y en los discontinuos con M⁻ de tabla, con gancho). ESTADO junta flexión, separación, ε_t, cortante y peralte.</t>
        </is>
      </c>
    </row>
    <row r="6" ht="18" customHeight="1">
      <c r="B6" s="47" t="inlineStr">
        <is>
          <t>DATOS DEL TABLERO — CAPTURA (amarillo)</t>
        </is>
      </c>
      <c r="V6" s="48" t="inlineStr">
        <is>
          <t>GEOMETRÍA</t>
        </is>
      </c>
      <c r="AG6" s="48" t="inlineStr">
        <is>
          <t>CARGAS</t>
        </is>
      </c>
      <c r="AL6" s="48" t="inlineStr">
        <is>
          <t>CASO DE LA TABLA</t>
        </is>
      </c>
      <c r="AP6" s="48" t="inlineStr">
        <is>
          <t>COEFICIENTES ×10⁻⁴ (Tabla 3.4.2.1)</t>
        </is>
      </c>
      <c r="AX6" s="48" t="inlineStr">
        <is>
          <t>MOMENTOS POR METRO Y ACERO MÍNIMO</t>
        </is>
      </c>
      <c r="BE6" s="48" t="inlineStr">
        <is>
          <t>LECHO INFERIOR ‖ CLARO CORTO</t>
        </is>
      </c>
      <c r="BO6" s="48" t="inlineStr">
        <is>
          <t>LECHO SUPERIOR ‖ CLARO CORTO</t>
        </is>
      </c>
      <c r="BY6" s="48" t="inlineStr">
        <is>
          <t>LECHO INFERIOR ‖ CLARO LARGO</t>
        </is>
      </c>
      <c r="CI6" s="48" t="inlineStr">
        <is>
          <t>LECHO SUPERIOR ‖ CLARO LARGO</t>
        </is>
      </c>
      <c r="CS6" s="48" t="inlineStr">
        <is>
          <t>CORTANTE</t>
        </is>
      </c>
      <c r="CW6" s="48" t="inlineStr">
        <is>
          <t>ESPESOR MÍNIMO</t>
        </is>
      </c>
      <c r="CZ6" s="48" t="inlineStr">
        <is>
          <t>BASTONES Y ANCLAJE</t>
        </is>
      </c>
      <c r="DE6" s="48" t="inlineStr">
        <is>
          <t>RESULTADO</t>
        </is>
      </c>
    </row>
    <row r="7" ht="54" customHeight="1">
      <c r="A7" s="11" t="inlineStr">
        <is>
          <t>#</t>
        </is>
      </c>
      <c r="B7" s="11" t="inlineStr">
        <is>
          <t>Tablero</t>
        </is>
      </c>
      <c r="C7" s="11" t="inlineStr">
        <is>
          <t>Tipo</t>
        </is>
      </c>
      <c r="D7" s="11" t="inlineStr">
        <is>
          <t>Destino (lista de DATOS)</t>
        </is>
      </c>
      <c r="E7" s="11" t="inlineStr">
        <is>
          <t>a_x — claro en X a ejes</t>
        </is>
      </c>
      <c r="F7" s="11" t="inlineStr">
        <is>
          <t>a_y — claro en Y a ejes</t>
        </is>
      </c>
      <c r="G7" s="11" t="inlineStr">
        <is>
          <t>Borde inferior (‖ X)</t>
        </is>
      </c>
      <c r="H7" s="11" t="inlineStr">
        <is>
          <t>Borde superior (‖ X)</t>
        </is>
      </c>
      <c r="I7" s="11" t="inlineStr">
        <is>
          <t>Borde izquierdo (‖ Y)</t>
        </is>
      </c>
      <c r="J7" s="11" t="inlineStr">
        <is>
          <t>Borde derecho (‖ Y)</t>
        </is>
      </c>
      <c r="K7" s="11" t="inlineStr">
        <is>
          <t>Forzar caso</t>
        </is>
      </c>
      <c r="L7" s="11" t="inlineStr">
        <is>
          <t>Colado con los apoyos</t>
        </is>
      </c>
      <c r="M7" s="11" t="inlineStr">
        <is>
          <t>h propio (vacío = DATOS)</t>
        </is>
      </c>
      <c r="N7" s="11" t="inlineStr">
        <is>
          <t>SCM — sobrecarga muerta</t>
        </is>
      </c>
      <c r="O7" s="11" t="inlineStr">
        <is>
          <t>CV propia (opcional)</t>
        </is>
      </c>
      <c r="P7" s="11" t="inlineStr">
        <is>
          <t>Carga en la orilla del volado</t>
        </is>
      </c>
      <c r="Q7" s="11" t="inlineStr">
        <is>
          <t>L_b — claro de respaldo (volado)</t>
        </is>
      </c>
      <c r="R7" s="11" t="inlineStr">
        <is>
          <t>α_fm propio (opcional)</t>
        </is>
      </c>
      <c r="S7" s="11" t="inlineStr">
        <is>
          <t>No. de varilla preferido (opcional)</t>
        </is>
      </c>
      <c r="T7" s="11" t="inlineStr">
        <is>
          <t>M⁻ del vecino ‖ corto (opcional)</t>
        </is>
      </c>
      <c r="U7" s="11" t="inlineStr">
        <is>
          <t>M⁻ del vecino ‖ largo (opcional)</t>
        </is>
      </c>
      <c r="V7" s="11" t="inlineStr">
        <is>
          <t>¿Datos completos?</t>
        </is>
      </c>
      <c r="W7" s="11" t="inlineStr">
        <is>
          <t>h usado</t>
        </is>
      </c>
      <c r="X7" s="11" t="inlineStr">
        <is>
          <t>Borde empotrado (volado)</t>
        </is>
      </c>
      <c r="Y7" s="11" t="inlineStr">
        <is>
          <t>Claro corto ‖</t>
        </is>
      </c>
      <c r="Z7" s="11" t="inlineStr">
        <is>
          <t>a1 corto (volado: largo)</t>
        </is>
      </c>
      <c r="AA7" s="11" t="inlineStr">
        <is>
          <t>a2 largo</t>
        </is>
      </c>
      <c r="AB7" s="11" t="inlineStr">
        <is>
          <t>m = a1/a2</t>
        </is>
      </c>
      <c r="AC7" s="11" t="inlineStr">
        <is>
          <t>L_n corto</t>
        </is>
      </c>
      <c r="AD7" s="11" t="inlineStr">
        <is>
          <t>L_n largo</t>
        </is>
      </c>
      <c r="AE7" s="11" t="inlineStr">
        <is>
          <t>r inferior</t>
        </is>
      </c>
      <c r="AF7" s="11" t="inlineStr">
        <is>
          <t>r superior</t>
        </is>
      </c>
      <c r="AG7" s="11" t="inlineStr">
        <is>
          <t>¿Azotea?</t>
        </is>
      </c>
      <c r="AH7" s="11" t="inlineStr">
        <is>
          <t>CV W_m</t>
        </is>
      </c>
      <c r="AI7" s="11" t="inlineStr">
        <is>
          <t>PP de diseño</t>
        </is>
      </c>
      <c r="AJ7" s="11" t="inlineStr">
        <is>
          <t>CM</t>
        </is>
      </c>
      <c r="AK7" s="11" t="inlineStr">
        <is>
          <t>w_u</t>
        </is>
      </c>
      <c r="AL7" s="11" t="inlineStr">
        <is>
          <t>Bordes discont.</t>
        </is>
      </c>
      <c r="AM7" s="11" t="inlineStr">
        <is>
          <t>… cortos</t>
        </is>
      </c>
      <c r="AN7" s="11" t="inlineStr">
        <is>
          <t>Caso automático</t>
        </is>
      </c>
      <c r="AO7" s="11" t="inlineStr">
        <is>
          <t>Caso usado</t>
        </is>
      </c>
      <c r="AP7" s="11" t="inlineStr">
        <is>
          <t>col. m</t>
        </is>
      </c>
      <c r="AQ7" s="11" t="inlineStr">
        <is>
          <t>interp.</t>
        </is>
      </c>
      <c r="AR7" s="11" t="inlineStr">
        <is>
          <t>M⁻ cont. corto</t>
        </is>
      </c>
      <c r="AS7" s="11" t="inlineStr">
        <is>
          <t>M⁻ cont. largo</t>
        </is>
      </c>
      <c r="AT7" s="11" t="inlineStr">
        <is>
          <t>M⁻ disc. corto</t>
        </is>
      </c>
      <c r="AU7" s="11" t="inlineStr">
        <is>
          <t>M⁻ disc. largo</t>
        </is>
      </c>
      <c r="AV7" s="11" t="inlineStr">
        <is>
          <t>M⁺ corto</t>
        </is>
      </c>
      <c r="AW7" s="11" t="inlineStr">
        <is>
          <t>M⁺ largo</t>
        </is>
      </c>
      <c r="AX7" s="11" t="inlineStr">
        <is>
          <t>M⁺ corto</t>
        </is>
      </c>
      <c r="AY7" s="11" t="inlineStr">
        <is>
          <t>M⁻ corto</t>
        </is>
      </c>
      <c r="AZ7" s="11" t="inlineStr">
        <is>
          <t>M⁺ largo</t>
        </is>
      </c>
      <c r="BA7" s="11" t="inlineStr">
        <is>
          <t>M⁻ largo</t>
        </is>
      </c>
      <c r="BB7" s="11" t="inlineStr">
        <is>
          <t>3.4.2.1 c) con el vecino</t>
        </is>
      </c>
      <c r="BC7" s="11" t="inlineStr">
        <is>
          <t>As mín = 0.0018·b·h</t>
        </is>
      </c>
      <c r="BD7" s="11" t="inlineStr">
        <is>
          <t>Separación máx.</t>
        </is>
      </c>
      <c r="BE7" s="11" t="inlineStr">
        <is>
          <t>d para As (var. preferida)</t>
        </is>
      </c>
      <c r="BF7" s="11" t="inlineStr">
        <is>
          <t>As flexión</t>
        </is>
      </c>
      <c r="BG7" s="11" t="inlineStr">
        <is>
          <t>As req. (≥ mín.)</t>
        </is>
      </c>
      <c r="BH7" s="11" t="inlineStr">
        <is>
          <t>Var. No.</t>
        </is>
      </c>
      <c r="BI7" s="11" t="inlineStr">
        <is>
          <t>Separación</t>
        </is>
      </c>
      <c r="BJ7" s="11" t="inlineStr">
        <is>
          <t>As colocada</t>
        </is>
      </c>
      <c r="BK7" s="11" t="inlineStr">
        <is>
          <t>d real</t>
        </is>
      </c>
      <c r="BL7" s="11" t="inlineStr">
        <is>
          <t>M_R</t>
        </is>
      </c>
      <c r="BM7" s="11" t="inlineStr">
        <is>
          <t>Mu/M_R</t>
        </is>
      </c>
      <c r="BN7" s="11" t="inlineStr">
        <is>
          <t>ε_t</t>
        </is>
      </c>
      <c r="BO7" s="11" t="inlineStr">
        <is>
          <t>d para As (var. preferida)</t>
        </is>
      </c>
      <c r="BP7" s="11" t="inlineStr">
        <is>
          <t>As flexión</t>
        </is>
      </c>
      <c r="BQ7" s="11" t="inlineStr">
        <is>
          <t>As req. (≥ mín.)</t>
        </is>
      </c>
      <c r="BR7" s="11" t="inlineStr">
        <is>
          <t>Var. No.</t>
        </is>
      </c>
      <c r="BS7" s="11" t="inlineStr">
        <is>
          <t>Separación</t>
        </is>
      </c>
      <c r="BT7" s="11" t="inlineStr">
        <is>
          <t>As colocada</t>
        </is>
      </c>
      <c r="BU7" s="11" t="inlineStr">
        <is>
          <t>d real</t>
        </is>
      </c>
      <c r="BV7" s="11" t="inlineStr">
        <is>
          <t>M_R</t>
        </is>
      </c>
      <c r="BW7" s="11" t="inlineStr">
        <is>
          <t>Mu/M_R</t>
        </is>
      </c>
      <c r="BX7" s="11" t="inlineStr">
        <is>
          <t>ε_t</t>
        </is>
      </c>
      <c r="BY7" s="11" t="inlineStr">
        <is>
          <t>d para As (var. preferida)</t>
        </is>
      </c>
      <c r="BZ7" s="11" t="inlineStr">
        <is>
          <t>As flexión</t>
        </is>
      </c>
      <c r="CA7" s="11" t="inlineStr">
        <is>
          <t>As req. (≥ mín.)</t>
        </is>
      </c>
      <c r="CB7" s="11" t="inlineStr">
        <is>
          <t>Var. No.</t>
        </is>
      </c>
      <c r="CC7" s="11" t="inlineStr">
        <is>
          <t>Separación</t>
        </is>
      </c>
      <c r="CD7" s="11" t="inlineStr">
        <is>
          <t>As colocada</t>
        </is>
      </c>
      <c r="CE7" s="11" t="inlineStr">
        <is>
          <t>d real</t>
        </is>
      </c>
      <c r="CF7" s="11" t="inlineStr">
        <is>
          <t>M_R</t>
        </is>
      </c>
      <c r="CG7" s="11" t="inlineStr">
        <is>
          <t>Mu/M_R</t>
        </is>
      </c>
      <c r="CH7" s="11" t="inlineStr">
        <is>
          <t>ε_t</t>
        </is>
      </c>
      <c r="CI7" s="11" t="inlineStr">
        <is>
          <t>d para As (var. preferida)</t>
        </is>
      </c>
      <c r="CJ7" s="11" t="inlineStr">
        <is>
          <t>As flexión</t>
        </is>
      </c>
      <c r="CK7" s="11" t="inlineStr">
        <is>
          <t>As req. (≥ mín.)</t>
        </is>
      </c>
      <c r="CL7" s="11" t="inlineStr">
        <is>
          <t>Var. No.</t>
        </is>
      </c>
      <c r="CM7" s="11" t="inlineStr">
        <is>
          <t>Separación</t>
        </is>
      </c>
      <c r="CN7" s="11" t="inlineStr">
        <is>
          <t>As colocada</t>
        </is>
      </c>
      <c r="CO7" s="11" t="inlineStr">
        <is>
          <t>d real</t>
        </is>
      </c>
      <c r="CP7" s="11" t="inlineStr">
        <is>
          <t>M_R</t>
        </is>
      </c>
      <c r="CQ7" s="11" t="inlineStr">
        <is>
          <t>Mu/M_R</t>
        </is>
      </c>
      <c r="CR7" s="11" t="inlineStr">
        <is>
          <t>ε_t</t>
        </is>
      </c>
      <c r="CS7" s="11" t="inlineStr">
        <is>
          <t>V_u</t>
        </is>
      </c>
      <c r="CT7" s="11" t="inlineStr">
        <is>
          <t>p superior en el apoyo</t>
        </is>
      </c>
      <c r="CU7" s="11" t="inlineStr">
        <is>
          <t>V_cR</t>
        </is>
      </c>
      <c r="CV7" s="11" t="inlineStr">
        <is>
          <t>Estado cortante</t>
        </is>
      </c>
      <c r="CW7" s="11" t="inlineStr">
        <is>
          <t>α_fm</t>
        </is>
      </c>
      <c r="CX7" s="11" t="inlineStr">
        <is>
          <t>h mín. (Tabla 6.7.3.1.2 / volado L/10)</t>
        </is>
      </c>
      <c r="CY7" s="11" t="inlineStr">
        <is>
          <t>Estado peralte</t>
        </is>
      </c>
      <c r="CZ7" s="11" t="inlineStr">
        <is>
          <t>Bastón ‖ corto desde el paño</t>
        </is>
      </c>
      <c r="DA7" s="11" t="inlineStr">
        <is>
          <t>Bastón ‖ largo desde el paño</t>
        </is>
      </c>
      <c r="DB7" s="11" t="inlineStr">
        <is>
          <t>Bastón también en borde disc. ‖ corto</t>
        </is>
      </c>
      <c r="DC7" s="11" t="inlineStr">
        <is>
          <t>Bastón también en borde disc. ‖ largo</t>
        </is>
      </c>
      <c r="DD7" s="11" t="inlineStr">
        <is>
          <t>Anclaje del bastón en bordes discontinuos</t>
        </is>
      </c>
      <c r="DE7" s="11" t="inlineStr">
        <is>
          <t>ARMADO inferior ‖ corto</t>
        </is>
      </c>
      <c r="DF7" s="11" t="inlineStr">
        <is>
          <t>ARMADO superior ‖ corto</t>
        </is>
      </c>
      <c r="DG7" s="11" t="inlineStr">
        <is>
          <t>ARMADO inferior ‖ largo</t>
        </is>
      </c>
      <c r="DH7" s="11" t="inlineStr">
        <is>
          <t>ARMADO superior ‖ largo</t>
        </is>
      </c>
      <c r="DI7" s="11" t="inlineStr">
        <is>
          <t>ESTADO</t>
        </is>
      </c>
      <c r="DJ7" s="11" t="inlineStr">
        <is>
          <t>NOTA</t>
        </is>
      </c>
    </row>
    <row r="8">
      <c r="A8" s="49" t="inlineStr">
        <is>
          <t>cuenta</t>
        </is>
      </c>
      <c r="B8" s="49" t="inlineStr"/>
      <c r="C8" s="49" t="inlineStr"/>
      <c r="D8" s="49" t="inlineStr"/>
      <c r="E8" s="49" t="inlineStr">
        <is>
          <t>m</t>
        </is>
      </c>
      <c r="F8" s="49" t="inlineStr">
        <is>
          <t>m</t>
        </is>
      </c>
      <c r="G8" s="49" t="inlineStr">
        <is>
          <t>CONT./DISC.</t>
        </is>
      </c>
      <c r="H8" s="49" t="inlineStr">
        <is>
          <t>CONT./DISC.</t>
        </is>
      </c>
      <c r="I8" s="49" t="inlineStr">
        <is>
          <t>CONT./DISC.</t>
        </is>
      </c>
      <c r="J8" s="49" t="inlineStr">
        <is>
          <t>CONT./DISC.</t>
        </is>
      </c>
      <c r="K8" s="49" t="inlineStr">
        <is>
          <t>AUTO = sale solo</t>
        </is>
      </c>
      <c r="L8" s="49" t="inlineStr">
        <is>
          <t>caso I / II</t>
        </is>
      </c>
      <c r="M8" s="49" t="inlineStr">
        <is>
          <t>cm</t>
        </is>
      </c>
      <c r="N8" s="49" t="inlineStr">
        <is>
          <t>kg/m²</t>
        </is>
      </c>
      <c r="O8" s="49" t="inlineStr">
        <is>
          <t>kg/m²</t>
        </is>
      </c>
      <c r="P8" s="49" t="inlineStr">
        <is>
          <t>kg/m serv.</t>
        </is>
      </c>
      <c r="Q8" s="49" t="inlineStr">
        <is>
          <t>m</t>
        </is>
      </c>
      <c r="R8" s="49" t="inlineStr">
        <is>
          <t>—</t>
        </is>
      </c>
      <c r="S8" s="49" t="inlineStr">
        <is>
          <t>No.</t>
        </is>
      </c>
      <c r="T8" s="49" t="inlineStr">
        <is>
          <t>t·m/m</t>
        </is>
      </c>
      <c r="U8" s="49" t="inlineStr">
        <is>
          <t>t·m/m</t>
        </is>
      </c>
      <c r="V8" s="49" t="inlineStr"/>
      <c r="W8" s="49" t="inlineStr">
        <is>
          <t>cm</t>
        </is>
      </c>
      <c r="X8" s="49" t="inlineStr"/>
      <c r="Y8" s="49" t="inlineStr"/>
      <c r="Z8" s="49" t="inlineStr">
        <is>
          <t>m</t>
        </is>
      </c>
      <c r="AA8" s="49" t="inlineStr">
        <is>
          <t>m</t>
        </is>
      </c>
      <c r="AB8" s="49" t="inlineStr"/>
      <c r="AC8" s="49" t="inlineStr">
        <is>
          <t>cm</t>
        </is>
      </c>
      <c r="AD8" s="49" t="inlineStr">
        <is>
          <t>cm</t>
        </is>
      </c>
      <c r="AE8" s="49" t="inlineStr">
        <is>
          <t>cm</t>
        </is>
      </c>
      <c r="AF8" s="49" t="inlineStr">
        <is>
          <t>cm</t>
        </is>
      </c>
      <c r="AG8" s="49" t="inlineStr"/>
      <c r="AH8" s="49" t="inlineStr">
        <is>
          <t>kg/m²</t>
        </is>
      </c>
      <c r="AI8" s="49" t="inlineStr">
        <is>
          <t>kg/m²</t>
        </is>
      </c>
      <c r="AJ8" s="49" t="inlineStr">
        <is>
          <t>kg/m²</t>
        </is>
      </c>
      <c r="AK8" s="49" t="inlineStr">
        <is>
          <t>kg/m²</t>
        </is>
      </c>
      <c r="AL8" s="49" t="inlineStr"/>
      <c r="AM8" s="49" t="inlineStr"/>
      <c r="AN8" s="49" t="inlineStr"/>
      <c r="AO8" s="49" t="inlineStr"/>
      <c r="AP8" s="49" t="inlineStr"/>
      <c r="AQ8" s="49" t="inlineStr"/>
      <c r="AR8" s="49" t="inlineStr">
        <is>
          <t>×10⁻⁴</t>
        </is>
      </c>
      <c r="AS8" s="49" t="inlineStr">
        <is>
          <t>×10⁻⁴</t>
        </is>
      </c>
      <c r="AT8" s="49" t="inlineStr">
        <is>
          <t>×10⁻⁴</t>
        </is>
      </c>
      <c r="AU8" s="49" t="inlineStr">
        <is>
          <t>×10⁻⁴</t>
        </is>
      </c>
      <c r="AV8" s="49" t="inlineStr">
        <is>
          <t>×10⁻⁴</t>
        </is>
      </c>
      <c r="AW8" s="49" t="inlineStr">
        <is>
          <t>×10⁻⁴</t>
        </is>
      </c>
      <c r="AX8" s="49" t="inlineStr">
        <is>
          <t>t·m/m</t>
        </is>
      </c>
      <c r="AY8" s="49" t="inlineStr">
        <is>
          <t>t·m/m</t>
        </is>
      </c>
      <c r="AZ8" s="49" t="inlineStr">
        <is>
          <t>t·m/m</t>
        </is>
      </c>
      <c r="BA8" s="49" t="inlineStr">
        <is>
          <t>t·m/m</t>
        </is>
      </c>
      <c r="BB8" s="49" t="inlineStr"/>
      <c r="BC8" s="49" t="inlineStr">
        <is>
          <t>cm²/m</t>
        </is>
      </c>
      <c r="BD8" s="49" t="inlineStr">
        <is>
          <t>cm</t>
        </is>
      </c>
      <c r="BE8" s="49" t="inlineStr">
        <is>
          <t>cm</t>
        </is>
      </c>
      <c r="BF8" s="49" t="inlineStr">
        <is>
          <t>cm²/m</t>
        </is>
      </c>
      <c r="BG8" s="49" t="inlineStr">
        <is>
          <t>cm²/m</t>
        </is>
      </c>
      <c r="BH8" s="49" t="inlineStr"/>
      <c r="BI8" s="49" t="inlineStr">
        <is>
          <t>cm</t>
        </is>
      </c>
      <c r="BJ8" s="49" t="inlineStr">
        <is>
          <t>cm²/m</t>
        </is>
      </c>
      <c r="BK8" s="49" t="inlineStr">
        <is>
          <t>cm</t>
        </is>
      </c>
      <c r="BL8" s="49" t="inlineStr">
        <is>
          <t>t·m/m</t>
        </is>
      </c>
      <c r="BM8" s="49" t="inlineStr">
        <is>
          <t>≤ 1</t>
        </is>
      </c>
      <c r="BN8" s="49" t="inlineStr">
        <is>
          <t>≥ 0.005</t>
        </is>
      </c>
      <c r="BO8" s="49" t="inlineStr">
        <is>
          <t>cm</t>
        </is>
      </c>
      <c r="BP8" s="49" t="inlineStr">
        <is>
          <t>cm²/m</t>
        </is>
      </c>
      <c r="BQ8" s="49" t="inlineStr">
        <is>
          <t>cm²/m</t>
        </is>
      </c>
      <c r="BR8" s="49" t="inlineStr"/>
      <c r="BS8" s="49" t="inlineStr">
        <is>
          <t>cm</t>
        </is>
      </c>
      <c r="BT8" s="49" t="inlineStr">
        <is>
          <t>cm²/m</t>
        </is>
      </c>
      <c r="BU8" s="49" t="inlineStr">
        <is>
          <t>cm</t>
        </is>
      </c>
      <c r="BV8" s="49" t="inlineStr">
        <is>
          <t>t·m/m</t>
        </is>
      </c>
      <c r="BW8" s="49" t="inlineStr">
        <is>
          <t>≤ 1</t>
        </is>
      </c>
      <c r="BX8" s="49" t="inlineStr">
        <is>
          <t>≥ 0.005</t>
        </is>
      </c>
      <c r="BY8" s="49" t="inlineStr">
        <is>
          <t>cm</t>
        </is>
      </c>
      <c r="BZ8" s="49" t="inlineStr">
        <is>
          <t>cm²/m</t>
        </is>
      </c>
      <c r="CA8" s="49" t="inlineStr">
        <is>
          <t>cm²/m</t>
        </is>
      </c>
      <c r="CB8" s="49" t="inlineStr"/>
      <c r="CC8" s="49" t="inlineStr">
        <is>
          <t>cm</t>
        </is>
      </c>
      <c r="CD8" s="49" t="inlineStr">
        <is>
          <t>cm²/m</t>
        </is>
      </c>
      <c r="CE8" s="49" t="inlineStr">
        <is>
          <t>cm</t>
        </is>
      </c>
      <c r="CF8" s="49" t="inlineStr">
        <is>
          <t>t·m/m</t>
        </is>
      </c>
      <c r="CG8" s="49" t="inlineStr">
        <is>
          <t>≤ 1</t>
        </is>
      </c>
      <c r="CH8" s="49" t="inlineStr">
        <is>
          <t>≥ 0.005</t>
        </is>
      </c>
      <c r="CI8" s="49" t="inlineStr">
        <is>
          <t>cm</t>
        </is>
      </c>
      <c r="CJ8" s="49" t="inlineStr">
        <is>
          <t>cm²/m</t>
        </is>
      </c>
      <c r="CK8" s="49" t="inlineStr">
        <is>
          <t>cm²/m</t>
        </is>
      </c>
      <c r="CL8" s="49" t="inlineStr"/>
      <c r="CM8" s="49" t="inlineStr">
        <is>
          <t>cm</t>
        </is>
      </c>
      <c r="CN8" s="49" t="inlineStr">
        <is>
          <t>cm²/m</t>
        </is>
      </c>
      <c r="CO8" s="49" t="inlineStr">
        <is>
          <t>cm</t>
        </is>
      </c>
      <c r="CP8" s="49" t="inlineStr">
        <is>
          <t>t·m/m</t>
        </is>
      </c>
      <c r="CQ8" s="49" t="inlineStr">
        <is>
          <t>≤ 1</t>
        </is>
      </c>
      <c r="CR8" s="49" t="inlineStr">
        <is>
          <t>≥ 0.005</t>
        </is>
      </c>
      <c r="CS8" s="49" t="inlineStr">
        <is>
          <t>t/m</t>
        </is>
      </c>
      <c r="CT8" s="49" t="inlineStr"/>
      <c r="CU8" s="49" t="inlineStr">
        <is>
          <t>t/m</t>
        </is>
      </c>
      <c r="CV8" s="49" t="inlineStr"/>
      <c r="CW8" s="49" t="inlineStr"/>
      <c r="CX8" s="49" t="inlineStr">
        <is>
          <t>cm</t>
        </is>
      </c>
      <c r="CY8" s="49" t="inlineStr"/>
      <c r="CZ8" s="49" t="inlineStr">
        <is>
          <t>cm</t>
        </is>
      </c>
      <c r="DA8" s="49" t="inlineStr">
        <is>
          <t>cm</t>
        </is>
      </c>
      <c r="DB8" s="49" t="inlineStr"/>
      <c r="DC8" s="49" t="inlineStr"/>
      <c r="DD8" s="49" t="inlineStr"/>
      <c r="DE8" s="49" t="inlineStr"/>
      <c r="DF8" s="49" t="inlineStr"/>
      <c r="DG8" s="49" t="inlineStr"/>
      <c r="DH8" s="49" t="inlineStr"/>
      <c r="DI8" s="49" t="inlineStr"/>
      <c r="DJ8" s="49" t="inlineStr"/>
    </row>
    <row r="9" ht="33" customHeight="1">
      <c r="A9" s="50">
        <f>IF(B9="",0,1)</f>
        <v>1</v>
      </c>
      <c r="B9" s="29" t="inlineStr">
        <is>
          <t>EJEMPLO M-1 (interior 3.0 × 4.0)</t>
        </is>
      </c>
      <c r="C9" s="51" t="inlineStr">
        <is>
          <t>PERIMETRAL</t>
        </is>
      </c>
      <c r="D9" s="29" t="inlineStr">
        <is>
          <t>HABITACIÓN</t>
        </is>
      </c>
      <c r="E9" s="52" t="n">
        <v>3</v>
      </c>
      <c r="F9" s="52" t="n">
        <v>4</v>
      </c>
      <c r="G9" s="51" t="inlineStr">
        <is>
          <t>CONTINUO</t>
        </is>
      </c>
      <c r="H9" s="51" t="inlineStr">
        <is>
          <t>CONTINUO</t>
        </is>
      </c>
      <c r="I9" s="51" t="inlineStr">
        <is>
          <t>CONTINUO</t>
        </is>
      </c>
      <c r="J9" s="51" t="inlineStr">
        <is>
          <t>CONTINUO</t>
        </is>
      </c>
      <c r="K9" s="51" t="inlineStr">
        <is>
          <t>AUTO</t>
        </is>
      </c>
      <c r="L9" s="51" t="inlineStr">
        <is>
          <t>MONOLÍTICO (caso I)</t>
        </is>
      </c>
      <c r="M9" s="54" t="n">
        <v>12</v>
      </c>
      <c r="N9" s="53" t="n">
        <v>160</v>
      </c>
      <c r="O9" s="53" t="n"/>
      <c r="P9" s="54" t="n"/>
      <c r="Q9" s="52" t="n"/>
      <c r="R9" s="54" t="n"/>
      <c r="S9" s="53" t="n"/>
      <c r="T9" s="52" t="n"/>
      <c r="U9" s="52" t="n"/>
      <c r="V9" s="55" t="str">
        <f>IF(B9="","",IF(AND(OR(C9="PERIMETRAL",C9="VOLADO"),ISNUMBER(E9),ISNUMBER(F9),E9&gt;0,F9&gt;0,OR(ISNUMBER(O9),ISNUMBER(MATCH(D9,DATOS!$B$46:$B$55,0)))),"SÍ","NO"))</f>
        <v>SÍ</v>
      </c>
      <c r="W9" s="57">
        <f>IF(V9&lt;&gt;"SÍ","",IF(ISNUMBER(M9),M9,DATOS!$C$134))</f>
        <v>12</v>
      </c>
      <c r="X9" s="55" t="str">
        <f>IF(V9&lt;&gt;"SÍ","",IF(C9&lt;&gt;"VOLADO","—",IF(COUNTIF(G9:J9,"CONTINUO")&lt;&gt;1,"?",IF(G9="CONTINUO","INFERIOR",IF(H9="CONTINUO","SUPERIOR",IF(I9="CONTINUO","IZQUIERDO","DERECHO"))))))</f>
        <v>—</v>
      </c>
      <c r="Y9" s="55" t="str">
        <f>IF(V9&lt;&gt;"SÍ","",IF(C9="VOLADO",IF(OR(X9="IZQUIERDO",X9="DERECHO"),"X","Y"),IF(E9&lt;=F9,"X","Y")))</f>
        <v>X</v>
      </c>
      <c r="Z9" s="56">
        <f>IF(V9&lt;&gt;"SÍ","",IF(C9="VOLADO",IF(Y9="X",E9,F9),MIN(E9,F9)))</f>
        <v>3</v>
      </c>
      <c r="AA9" s="56">
        <f>IF(V9&lt;&gt;"SÍ","",IF(C9="VOLADO",IF(Y9="X",F9,E9),MAX(E9,F9)))</f>
        <v>4</v>
      </c>
      <c r="AB9" s="56">
        <f>IF(V9&lt;&gt;"SÍ","",MIN(Z9,AA9)/MAX(Z9,AA9))</f>
        <v>0.75</v>
      </c>
      <c r="AC9" s="57">
        <f>IF(V9&lt;&gt;"SÍ","",MAX(1,Z9*100-IF(C9="VOLADO",DATOS!$C$84/2,DATOS!$C$84)))</f>
        <v>285</v>
      </c>
      <c r="AD9" s="57">
        <f>IF(V9&lt;&gt;"SÍ","",MAX(1,AA9*100-DATOS!$C$84))</f>
        <v>385</v>
      </c>
      <c r="AE9" s="57">
        <f>IF(V9&lt;&gt;"SÍ","",IF(C9="VOLADO",DATOS!$C$61,DATOS!$C$59))</f>
        <v>2</v>
      </c>
      <c r="AF9" s="57">
        <f>IF(V9&lt;&gt;"SÍ","",IF(OR(AND(AG9="SÍ",DATOS!$C$63="SÍ"),AND(C9="VOLADO",DATOS!$C$64="SÍ")),DATOS!$C$61,DATOS!$C$59))</f>
        <v>2</v>
      </c>
      <c r="AG9" s="55" t="str">
        <f>IF(V9&lt;&gt;"SÍ","",IFERROR(INDEX(DATOS!$D$46:$D$55,MATCH(D9,DATOS!$B$46:$B$55,0)),"NO"))</f>
        <v>NO</v>
      </c>
      <c r="AH9" s="59">
        <f>IF(V9&lt;&gt;"SÍ","",IF(ISNUMBER(O9),O9,IFERROR(INDEX(DATOS!$C$46:$C$55,MATCH(D9,DATOS!$B$46:$B$55,0)),0)))</f>
        <v>190</v>
      </c>
      <c r="AI9" s="59">
        <f>IF(V9&lt;&gt;"SÍ","",W9/100*DATOS!$C$16*1000+DATOS!$C$37+DATOS!$C$38)</f>
        <v>328</v>
      </c>
      <c r="AJ9" s="59">
        <f>IF(V9&lt;&gt;"SÍ","",AI9+N(N9))</f>
        <v>488</v>
      </c>
      <c r="AK9" s="60">
        <f>IF(V9&lt;&gt;"SÍ","",MAX(DATOS!$C$26*AJ9+DATOS!$C$27*AH9,IF(AG9="SÍ",DATOS!$C$28*(AJ9+DATOS!$C$41),0)))</f>
        <v>919.4</v>
      </c>
      <c r="AL9" s="59">
        <f>IF(V9&lt;&gt;"SÍ","",(G9="DISCONTINUO")+(H9="DISCONTINUO")+(I9="DISCONTINUO")+(J9="DISCONTINUO"))</f>
        <v>0</v>
      </c>
      <c r="AM9" s="59">
        <f>IF(V9&lt;&gt;"SÍ","",IF(Y9="X",(G9="DISCONTINUO")+(H9="DISCONTINUO"),(I9="DISCONTINUO")+(J9="DISCONTINUO")))</f>
        <v>0</v>
      </c>
      <c r="AN9" s="55" t="str">
        <f>IF(V9&lt;&gt;"SÍ","",IF(AL9=0,"INTERIOR",IF(AL9=1,IF(AM9=1,"BORDE-CORTO","BORDE-LARGO"),IF(AL9=2,IF(AM9=1,"ESQUINA",IF(AM9=2,"EXTREMO-LARGO","EXTREMO-CORTO")),IF(AL9=3,IF(AM9=2,"EXTREMO-LARGO","EXTREMO-CORTO"),"AISLADO")))))</f>
        <v>INTERIOR</v>
      </c>
      <c r="AO9" s="61" t="str">
        <f>IF(V9&lt;&gt;"SÍ","",IF(OR(K9="",K9="AUTO"),AN9,K9))</f>
        <v>INTERIOR</v>
      </c>
      <c r="AP9" s="59">
        <f>IF(V9&lt;&gt;"SÍ","",MATCH(AB9,TABLAS!$D$5:$J$5,1))</f>
        <v>4</v>
      </c>
      <c r="AQ9" s="58">
        <f>IF(V9&lt;&gt;"SÍ","",IF(AP9&gt;=7,0,(AB9-INDEX(TABLAS!$D$5:$J$5,AP9))/(INDEX(TABLAS!$D$5:$J$5,AP9+1)-INDEX(TABLAS!$D$5:$J$5,AP9))))</f>
        <v>0.5</v>
      </c>
      <c r="AR9" s="59">
        <f>IF(V9&lt;&gt;"SÍ","",INDEX(TABLAS!$D$6:$J$47,MATCH(AO9&amp;"|NIC",TABLAS!$B$6:$B$47,0),AP9)+AQ9*(INDEX(TABLAS!$D$6:$J$47,MATCH(AO9&amp;"|NIC",TABLAS!$B$6:$B$47,0),MIN(AP9+1,7))-INDEX(TABLAS!$D$6:$J$47,MATCH(AO9&amp;"|NIC",TABLAS!$B$6:$B$47,0),AP9)))</f>
        <v>671.5</v>
      </c>
      <c r="AS9" s="59">
        <f>IF(V9&lt;&gt;"SÍ","",INDEX(TABLAS!$D$6:$J$47,MATCH(AO9&amp;"|NIL",TABLAS!$B$6:$B$47,0),AP9)+AQ9*(INDEX(TABLAS!$D$6:$J$47,MATCH(AO9&amp;"|NIL",TABLAS!$B$6:$B$47,0),MIN(AP9+1,7))-INDEX(TABLAS!$D$6:$J$47,MATCH(AO9&amp;"|NIL",TABLAS!$B$6:$B$47,0),AP9)))</f>
        <v>479</v>
      </c>
      <c r="AT9" s="59">
        <f>IF(V9&lt;&gt;"SÍ","",INDEX(TABLAS!$D$6:$J$47,MATCH(AO9&amp;"|NDC",TABLAS!$B$6:$B$47,0),AP9)+AQ9*(INDEX(TABLAS!$D$6:$J$47,MATCH(AO9&amp;"|NDC",TABLAS!$B$6:$B$47,0),MIN(AP9+1,7))-INDEX(TABLAS!$D$6:$J$47,MATCH(AO9&amp;"|NDC",TABLAS!$B$6:$B$47,0),AP9)))</f>
        <v>0</v>
      </c>
      <c r="AU9" s="59">
        <f>IF(V9&lt;&gt;"SÍ","",INDEX(TABLAS!$D$6:$J$47,MATCH(AO9&amp;"|NDL",TABLAS!$B$6:$B$47,0),AP9)+AQ9*(INDEX(TABLAS!$D$6:$J$47,MATCH(AO9&amp;"|NDL",TABLAS!$B$6:$B$47,0),MIN(AP9+1,7))-INDEX(TABLAS!$D$6:$J$47,MATCH(AO9&amp;"|NDL",TABLAS!$B$6:$B$47,0),AP9)))</f>
        <v>0</v>
      </c>
      <c r="AV9" s="59">
        <f>IF(V9&lt;&gt;"SÍ","",INDEX(TABLAS!$D$6:$J$47,MATCH(AO9&amp;"|PC",TABLAS!$B$6:$B$47,0),AP9)+AQ9*(INDEX(TABLAS!$D$6:$J$47,MATCH(AO9&amp;"|PC",TABLAS!$B$6:$B$47,0),MIN(AP9+1,7))-INDEX(TABLAS!$D$6:$J$47,MATCH(AO9&amp;"|PC",TABLAS!$B$6:$B$47,0),AP9)))</f>
        <v>314</v>
      </c>
      <c r="AW9" s="59">
        <f>IF(V9&lt;&gt;"SÍ","",INDEX(TABLAS!$D$6:$J$47,MATCH(AO9&amp;"|PL",TABLAS!$B$6:$B$47,0),AP9)+AQ9*(INDEX(TABLAS!$D$6:$J$47,MATCH(AO9&amp;"|PL",TABLAS!$B$6:$B$47,0),MIN(AP9+1,7))-INDEX(TABLAS!$D$6:$J$47,MATCH(AO9&amp;"|PL",TABLAS!$B$6:$B$47,0),AP9)))</f>
        <v>206.5</v>
      </c>
      <c r="AX9" s="56">
        <f>IF(V9&lt;&gt;"SÍ","",IF(C9="PERIMETRAL",AV9*AK9*Z9^2*1E-4/1000,0))</f>
        <v>0.25982244</v>
      </c>
      <c r="AY9" s="62">
        <f>IF(V9&lt;&gt;"SÍ","",IF(C9="PERIMETRAL",MAX(MAX(AR9,AT9)*AK9*Z9^2*1E-4/1000,N(T9)),(AK9*(AC9/100)^2/2+DATOS!$C$26*N(P9)*AC9/100)/1000))</f>
        <v>0.55563939</v>
      </c>
      <c r="AZ9" s="56">
        <f>IF(V9&lt;&gt;"SÍ","",IF(C9="PERIMETRAL",AW9*AK9*Z9^2*1E-4/1000,0))</f>
        <v>0.17087049</v>
      </c>
      <c r="BA9" s="56">
        <f>IF(V9&lt;&gt;"SÍ","",IF(C9="PERIMETRAL",MAX(MAX(AS9,AU9)*AK9*Z9^2*1E-4/1000,N(U9)),0))</f>
        <v>0.39635334</v>
      </c>
      <c r="BB9" s="63" t="str">
        <f>IF(V9&lt;&gt;"SÍ","",IF(C9&lt;&gt;"PERIMETRAL","—",IF(AND(N(T9)=0,N(U9)=0),"— (sin M⁻ del vecino)",IF(OR(AND(N(T9)&gt;0,ABS(MAX(AR9,AT9)*AK9*Z9^2*1E-4/1000-N(T9))&gt;0.5*MIN(MAX(AR9,AT9)*AK9*Z9^2*1E-4/1000,N(T9))),AND(N(U9)&gt;0,ABS(MAX(AS9,AU9)*AK9*Z9^2*1E-4/1000-N(U9))&gt;0.5*MIN(MAX(AS9,AU9)*AK9*Z9^2*1E-4/1000,N(U9)))),"FUERA: difieren &gt; 50 %"&amp;IF(AND(N(T9)&gt;0,ABS(MAX(AR9,AT9)*AK9*Z9^2*1E-4/1000-N(T9))&gt;0.5*MIN(MAX(AR9,AT9)*AK9*Z9^2*1E-4/1000,N(T9)))," ‖ corto","")&amp;IF(AND(N(U9)&gt;0,ABS(MAX(AS9,AU9)*AK9*Z9^2*1E-4/1000-N(U9))&gt;0.5*MIN(MAX(AS9,AU9)*AK9*Z9^2*1E-4/1000,N(U9)))," ‖ largo",""),"CUMPLE"))))</f>
        <v>— (sin M⁻ del vecino)</v>
      </c>
      <c r="BC9" s="58">
        <f>IF(V9&lt;&gt;"SÍ","",DATOS!$C$136*100*W9)</f>
        <v>2.16</v>
      </c>
      <c r="BD9" s="57">
        <f>IF(V9&lt;&gt;"SÍ","",MIN(IF(C9="VOLADO",DATOS!$C$138,DATOS!$C$137)*W9,DATOS!$C$139))</f>
        <v>24</v>
      </c>
      <c r="BE9" s="58">
        <f>IF(V9&lt;&gt;"SÍ","",(W9-AE9-INDEX(TABLAS!$C$52:$C$58,MATCH(IF(ISNUMBER(S9),S9,DATOS!$C$135),TABLAS!$B$52:$B$58,0))/2))</f>
        <v>9.525</v>
      </c>
      <c r="BF9" s="58">
        <f>IF(V9&lt;&gt;"SÍ","",IF(AX9&lt;=0,0,IF((1-2*AX9*1E5/(DATOS!$C$29*100*BE9^2*DATOS!$C$21))&lt;0,-1,IF((1-SQRT((1-2*AX9*1E5/(DATOS!$C$29*100*BE9^2*DATOS!$C$21))))*DATOS!$C$21*100*BE9/DATOS!$C$14&gt;DATOS!$C$99*100*BE9,-1,(1-SQRT((1-2*AX9*1E5/(DATOS!$C$29*100*BE9^2*DATOS!$C$21))))*DATOS!$C$21*100*BE9/DATOS!$C$14))))</f>
        <v>0.72712424985834</v>
      </c>
      <c r="BG9" s="58">
        <f>IF(V9&lt;&gt;"SÍ","",IF(BF9&lt;0,-1,MAX(BF9,BC9)))</f>
        <v>2.16</v>
      </c>
      <c r="BH9" s="64">
        <f>IF(V9&lt;&gt;"SÍ","",IF(AND(BG9&gt;0,FLOOR(MIN(BD9,100*INDEX(TABLAS!$D$52:$D$58,MIN(MATCH(IF(ISNUMBER(S9),S9,DATOS!$C$135),TABLAS!$B$52:$B$58,0)+0,7))/MAX(BG9,0.0001)),DATOS!$C$141)&gt;=DATOS!$C$140),INDEX(TABLAS!$B$52:$B$58,MIN(MATCH(IF(ISNUMBER(S9),S9,DATOS!$C$135),TABLAS!$B$52:$B$58,0)+0,7)),IF(AND(BG9&gt;0,FLOOR(MIN(BD9,100*INDEX(TABLAS!$D$52:$D$58,MIN(MATCH(IF(ISNUMBER(S9),S9,DATOS!$C$135),TABLAS!$B$52:$B$58,0)+1,7))/MAX(BG9,0.0001)),DATOS!$C$141)&gt;=DATOS!$C$140),INDEX(TABLAS!$B$52:$B$58,MIN(MATCH(IF(ISNUMBER(S9),S9,DATOS!$C$135),TABLAS!$B$52:$B$58,0)+1,7)),IF(AND(BG9&gt;0,FLOOR(MIN(BD9,100*INDEX(TABLAS!$D$52:$D$58,MIN(MATCH(IF(ISNUMBER(S9),S9,DATOS!$C$135),TABLAS!$B$52:$B$58,0)+2,7))/MAX(BG9,0.0001)),DATOS!$C$141)&gt;=DATOS!$C$140),INDEX(TABLAS!$B$52:$B$58,MIN(MATCH(IF(ISNUMBER(S9),S9,DATOS!$C$135),TABLAS!$B$52:$B$58,0)+2,7)),IF(AND(BG9&gt;0,FLOOR(MIN(BD9,100*INDEX(TABLAS!$D$52:$D$58,MIN(MATCH(IF(ISNUMBER(S9),S9,DATOS!$C$135),TABLAS!$B$52:$B$58,0)+3,7))/MAX(BG9,0.0001)),DATOS!$C$141)&gt;=DATOS!$C$140),INDEX(TABLAS!$B$52:$B$58,MIN(MATCH(IF(ISNUMBER(S9),S9,DATOS!$C$135),TABLAS!$B$52:$B$58,0)+3,7)),IF(AND(BG9&gt;0,FLOOR(MIN(BD9,100*INDEX(TABLAS!$D$52:$D$58,MIN(MATCH(IF(ISNUMBER(S9),S9,DATOS!$C$135),TABLAS!$B$52:$B$58,0)+4,7))/MAX(BG9,0.0001)),DATOS!$C$141)&gt;=DATOS!$C$140),INDEX(TABLAS!$B$52:$B$58,MIN(MATCH(IF(ISNUMBER(S9),S9,DATOS!$C$135),TABLAS!$B$52:$B$58,0)+4,7)),INDEX(TABLAS!$B$52:$B$58,7)))))))</f>
        <v>3</v>
      </c>
      <c r="BI9" s="71">
        <f>IF(V9&lt;&gt;"SÍ","",IF(BG9&lt;=0,0,FLOOR(MIN(BD9,100*INDEX(TABLAS!$D$52:$D$58,MATCH(BH9,TABLAS!$B$52:$B$58,0))/BG9),DATOS!$C$141)))</f>
        <v>22.5</v>
      </c>
      <c r="BJ9" s="58">
        <f>IF(V9&lt;&gt;"SÍ","",IF(BI9&lt;=0,0,INDEX(TABLAS!$D$52:$D$58,MATCH(BH9,TABLAS!$B$52:$B$58,0))*100/BI9))</f>
        <v>3.15555555555556</v>
      </c>
      <c r="BK9" s="58">
        <f>IF(V9&lt;&gt;"SÍ","",W9-AE9-INDEX(TABLAS!$C$52:$C$58,MATCH(BH9,TABLAS!$B$52:$B$58,0))/2)</f>
        <v>9.525</v>
      </c>
      <c r="BL9" s="56">
        <f>IF(V9&lt;&gt;"SÍ","",IF(BJ9=0,0,DATOS!$C$29*BJ9*DATOS!$C$14*(BK9-BJ9*DATOS!$C$14/(DATOS!$C$21*100)/2)/1E5))</f>
        <v>1.09894535058824</v>
      </c>
      <c r="BM9" s="65">
        <f>IF(V9&lt;&gt;"SÍ","",IF(BG9&lt;0,9.99,IF(BL9&gt;0,AX9/BL9,0)))</f>
        <v>0.236428899636296</v>
      </c>
      <c r="BN9" s="66">
        <f>IF(V9&lt;&gt;"SÍ","",IF(BJ9=0,"—",0.003*(BK9-(BJ9*DATOS!$C$14/(DATOS!$C$21*100)/DATOS!$C$22))/(BJ9*DATOS!$C$14/(DATOS!$C$21*100)/DATOS!$C$22)))</f>
        <v>0.0359438584632797</v>
      </c>
      <c r="BO9" s="58">
        <f>IF(V9&lt;&gt;"SÍ","",((W9-AF9-INDEX(TABLAS!$C$52:$C$58,MATCH(IF(ISNUMBER(S9),S9,DATOS!$C$135),TABLAS!$B$52:$B$58,0))/2)-IF(AND((W9-AF9-INDEX(TABLAS!$C$52:$C$58,MATCH(IF(ISNUMBER(S9),S9,DATOS!$C$135),TABLAS!$B$52:$B$58,0))/2)&lt;=20,DATOS!$C$62&lt;&gt;"SÍ"),2,0)))</f>
        <v>9.525</v>
      </c>
      <c r="BP9" s="58">
        <f>IF(V9&lt;&gt;"SÍ","",IF(AY9&lt;=0,0,IF((1-2*AY9*1E5/(DATOS!$C$29*100*BO9^2*DATOS!$C$21))&lt;0,-1,IF((1-SQRT((1-2*AY9*1E5/(DATOS!$C$29*100*BO9^2*DATOS!$C$21))))*DATOS!$C$21*100*BO9/DATOS!$C$14&gt;DATOS!$C$99*100*BO9,-1,(1-SQRT((1-2*AY9*1E5/(DATOS!$C$29*100*BO9^2*DATOS!$C$21))))*DATOS!$C$21*100*BO9/DATOS!$C$14))))</f>
        <v>1.56878401017098</v>
      </c>
      <c r="BQ9" s="58">
        <f>IF(V9&lt;&gt;"SÍ","",IF(BP9&lt;0,-1,MAX(BP9,BC9)))</f>
        <v>2.16</v>
      </c>
      <c r="BR9" s="64">
        <f>IF(V9&lt;&gt;"SÍ","",IF(AND(BQ9&gt;0,FLOOR(MIN(BD9,100*INDEX(TABLAS!$D$52:$D$58,MIN(MATCH(IF(ISNUMBER(S9),S9,DATOS!$C$135),TABLAS!$B$52:$B$58,0)+0,7))/MAX(BQ9,0.0001)),DATOS!$C$141)&gt;=DATOS!$C$140),INDEX(TABLAS!$B$52:$B$58,MIN(MATCH(IF(ISNUMBER(S9),S9,DATOS!$C$135),TABLAS!$B$52:$B$58,0)+0,7)),IF(AND(BQ9&gt;0,FLOOR(MIN(BD9,100*INDEX(TABLAS!$D$52:$D$58,MIN(MATCH(IF(ISNUMBER(S9),S9,DATOS!$C$135),TABLAS!$B$52:$B$58,0)+1,7))/MAX(BQ9,0.0001)),DATOS!$C$141)&gt;=DATOS!$C$140),INDEX(TABLAS!$B$52:$B$58,MIN(MATCH(IF(ISNUMBER(S9),S9,DATOS!$C$135),TABLAS!$B$52:$B$58,0)+1,7)),IF(AND(BQ9&gt;0,FLOOR(MIN(BD9,100*INDEX(TABLAS!$D$52:$D$58,MIN(MATCH(IF(ISNUMBER(S9),S9,DATOS!$C$135),TABLAS!$B$52:$B$58,0)+2,7))/MAX(BQ9,0.0001)),DATOS!$C$141)&gt;=DATOS!$C$140),INDEX(TABLAS!$B$52:$B$58,MIN(MATCH(IF(ISNUMBER(S9),S9,DATOS!$C$135),TABLAS!$B$52:$B$58,0)+2,7)),IF(AND(BQ9&gt;0,FLOOR(MIN(BD9,100*INDEX(TABLAS!$D$52:$D$58,MIN(MATCH(IF(ISNUMBER(S9),S9,DATOS!$C$135),TABLAS!$B$52:$B$58,0)+3,7))/MAX(BQ9,0.0001)),DATOS!$C$141)&gt;=DATOS!$C$140),INDEX(TABLAS!$B$52:$B$58,MIN(MATCH(IF(ISNUMBER(S9),S9,DATOS!$C$135),TABLAS!$B$52:$B$58,0)+3,7)),IF(AND(BQ9&gt;0,FLOOR(MIN(BD9,100*INDEX(TABLAS!$D$52:$D$58,MIN(MATCH(IF(ISNUMBER(S9),S9,DATOS!$C$135),TABLAS!$B$52:$B$58,0)+4,7))/MAX(BQ9,0.0001)),DATOS!$C$141)&gt;=DATOS!$C$140),INDEX(TABLAS!$B$52:$B$58,MIN(MATCH(IF(ISNUMBER(S9),S9,DATOS!$C$135),TABLAS!$B$52:$B$58,0)+4,7)),INDEX(TABLAS!$B$52:$B$58,7)))))))</f>
        <v>3</v>
      </c>
      <c r="BS9" s="71">
        <f>IF(V9&lt;&gt;"SÍ","",IF(BQ9&lt;=0,0,FLOOR(MIN(BD9,100*INDEX(TABLAS!$D$52:$D$58,MATCH(BR9,TABLAS!$B$52:$B$58,0))/BQ9),DATOS!$C$141)))</f>
        <v>22.5</v>
      </c>
      <c r="BT9" s="58">
        <f>IF(V9&lt;&gt;"SÍ","",IF(BS9&lt;=0,0,INDEX(TABLAS!$D$52:$D$58,MATCH(BR9,TABLAS!$B$52:$B$58,0))*100/BS9))</f>
        <v>3.15555555555556</v>
      </c>
      <c r="BU9" s="58">
        <f>IF(V9&lt;&gt;"SÍ","",((W9-AF9-INDEX(TABLAS!$C$52:$C$58,MATCH(BR9,TABLAS!$B$52:$B$58,0))/2)-IF(AND((W9-AF9-INDEX(TABLAS!$C$52:$C$58,MATCH(BR9,TABLAS!$B$52:$B$58,0))/2)&lt;=20,DATOS!$C$62&lt;&gt;"SÍ"),2,0)))</f>
        <v>9.525</v>
      </c>
      <c r="BV9" s="56">
        <f>IF(V9&lt;&gt;"SÍ","",IF(BT9=0,0,DATOS!$C$29*BT9*DATOS!$C$14*(BU9-BT9*DATOS!$C$14/(DATOS!$C$21*100)/2)/1E5))</f>
        <v>1.09894535058824</v>
      </c>
      <c r="BW9" s="65">
        <f>IF(V9&lt;&gt;"SÍ","",IF(BQ9&lt;0,9.99,IF(BV9&gt;0,AY9/BV9,0)))</f>
        <v>0.505611484413289</v>
      </c>
      <c r="BX9" s="66">
        <f>IF(V9&lt;&gt;"SÍ","",IF(BT9=0,"—",0.003*(BU9-(BT9*DATOS!$C$14/(DATOS!$C$21*100)/DATOS!$C$22))/(BT9*DATOS!$C$14/(DATOS!$C$21*100)/DATOS!$C$22)))</f>
        <v>0.0359438584632797</v>
      </c>
      <c r="BY9" s="58">
        <f>IF(V9&lt;&gt;"SÍ","",(W9-AE9-1.5*INDEX(TABLAS!$C$52:$C$58,MATCH(IF(ISNUMBER(S9),S9,DATOS!$C$135),TABLAS!$B$52:$B$58,0))))</f>
        <v>8.575</v>
      </c>
      <c r="BZ9" s="58">
        <f>IF(V9&lt;&gt;"SÍ","",IF(AZ9&lt;=0,0,IF((1-2*AZ9*1E5/(DATOS!$C$29*100*BY9^2*DATOS!$C$21))&lt;0,-1,IF((1-SQRT((1-2*AZ9*1E5/(DATOS!$C$29*100*BY9^2*DATOS!$C$21))))*DATOS!$C$21*100*BY9/DATOS!$C$14&gt;DATOS!$C$99*100*BY9,-1,(1-SQRT((1-2*AZ9*1E5/(DATOS!$C$29*100*BY9^2*DATOS!$C$21))))*DATOS!$C$21*100*BY9/DATOS!$C$14))))</f>
        <v>0.530400564302075</v>
      </c>
      <c r="CA9" s="58">
        <f>IF(V9&lt;&gt;"SÍ","",IF(BZ9&lt;0,-1,MAX(BZ9,BC9)))</f>
        <v>2.16</v>
      </c>
      <c r="CB9" s="64">
        <f>IF(V9&lt;&gt;"SÍ","",IF(AND(CA9&gt;0,FLOOR(MIN(BD9,100*INDEX(TABLAS!$D$52:$D$58,MIN(MATCH(IF(ISNUMBER(S9),S9,DATOS!$C$135),TABLAS!$B$52:$B$58,0)+0,7))/MAX(CA9,0.0001)),DATOS!$C$141)&gt;=DATOS!$C$140),INDEX(TABLAS!$B$52:$B$58,MIN(MATCH(IF(ISNUMBER(S9),S9,DATOS!$C$135),TABLAS!$B$52:$B$58,0)+0,7)),IF(AND(CA9&gt;0,FLOOR(MIN(BD9,100*INDEX(TABLAS!$D$52:$D$58,MIN(MATCH(IF(ISNUMBER(S9),S9,DATOS!$C$135),TABLAS!$B$52:$B$58,0)+1,7))/MAX(CA9,0.0001)),DATOS!$C$141)&gt;=DATOS!$C$140),INDEX(TABLAS!$B$52:$B$58,MIN(MATCH(IF(ISNUMBER(S9),S9,DATOS!$C$135),TABLAS!$B$52:$B$58,0)+1,7)),IF(AND(CA9&gt;0,FLOOR(MIN(BD9,100*INDEX(TABLAS!$D$52:$D$58,MIN(MATCH(IF(ISNUMBER(S9),S9,DATOS!$C$135),TABLAS!$B$52:$B$58,0)+2,7))/MAX(CA9,0.0001)),DATOS!$C$141)&gt;=DATOS!$C$140),INDEX(TABLAS!$B$52:$B$58,MIN(MATCH(IF(ISNUMBER(S9),S9,DATOS!$C$135),TABLAS!$B$52:$B$58,0)+2,7)),IF(AND(CA9&gt;0,FLOOR(MIN(BD9,100*INDEX(TABLAS!$D$52:$D$58,MIN(MATCH(IF(ISNUMBER(S9),S9,DATOS!$C$135),TABLAS!$B$52:$B$58,0)+3,7))/MAX(CA9,0.0001)),DATOS!$C$141)&gt;=DATOS!$C$140),INDEX(TABLAS!$B$52:$B$58,MIN(MATCH(IF(ISNUMBER(S9),S9,DATOS!$C$135),TABLAS!$B$52:$B$58,0)+3,7)),IF(AND(CA9&gt;0,FLOOR(MIN(BD9,100*INDEX(TABLAS!$D$52:$D$58,MIN(MATCH(IF(ISNUMBER(S9),S9,DATOS!$C$135),TABLAS!$B$52:$B$58,0)+4,7))/MAX(CA9,0.0001)),DATOS!$C$141)&gt;=DATOS!$C$140),INDEX(TABLAS!$B$52:$B$58,MIN(MATCH(IF(ISNUMBER(S9),S9,DATOS!$C$135),TABLAS!$B$52:$B$58,0)+4,7)),INDEX(TABLAS!$B$52:$B$58,7)))))))</f>
        <v>3</v>
      </c>
      <c r="CC9" s="71">
        <f>IF(V9&lt;&gt;"SÍ","",IF(CA9&lt;=0,0,FLOOR(MIN(BD9,100*INDEX(TABLAS!$D$52:$D$58,MATCH(CB9,TABLAS!$B$52:$B$58,0))/CA9),DATOS!$C$141)))</f>
        <v>22.5</v>
      </c>
      <c r="CD9" s="58">
        <f>IF(V9&lt;&gt;"SÍ","",IF(CC9&lt;=0,0,INDEX(TABLAS!$D$52:$D$58,MATCH(CB9,TABLAS!$B$52:$B$58,0))*100/CC9))</f>
        <v>3.15555555555556</v>
      </c>
      <c r="CE9" s="58">
        <f>IF(V9&lt;&gt;"SÍ","",W9-AE9-INDEX(TABLAS!$C$52:$C$58,MATCH(BH9,TABLAS!$B$52:$B$58,0))-INDEX(TABLAS!$C$52:$C$58,MATCH(CB9,TABLAS!$B$52:$B$58,0))/2)</f>
        <v>8.575</v>
      </c>
      <c r="CF9" s="56">
        <f>IF(V9&lt;&gt;"SÍ","",IF(CD9=0,0,DATOS!$C$29*CD9*DATOS!$C$14*(CE9-CD9*DATOS!$C$14/(DATOS!$C$21*100)/2)/1E5))</f>
        <v>0.985629350588235</v>
      </c>
      <c r="CG9" s="65">
        <f>IF(V9&lt;&gt;"SÍ","",IF(CA9&lt;0,9.99,IF(CF9&gt;0,AZ9/CF9,0)))</f>
        <v>0.17336181181904</v>
      </c>
      <c r="CH9" s="66">
        <f>IF(V9&lt;&gt;"SÍ","",IF(CD9=0,"—",0.003*(CE9-(CD9*DATOS!$C$14/(DATOS!$C$21*100)/DATOS!$C$22))/(CD9*DATOS!$C$14/(DATOS!$C$21*100)/DATOS!$C$22)))</f>
        <v>0.0320596941021127</v>
      </c>
      <c r="CI9" s="58">
        <f>IF(V9&lt;&gt;"SÍ","",((W9-AF9-1.5*INDEX(TABLAS!$C$52:$C$58,MATCH(IF(ISNUMBER(S9),S9,DATOS!$C$135),TABLAS!$B$52:$B$58,0)))-IF(AND((W9-AF9-1.5*INDEX(TABLAS!$C$52:$C$58,MATCH(IF(ISNUMBER(S9),S9,DATOS!$C$135),TABLAS!$B$52:$B$58,0)))&lt;=20,DATOS!$C$62&lt;&gt;"SÍ"),2,0)))</f>
        <v>8.575</v>
      </c>
      <c r="CJ9" s="58">
        <f>IF(V9&lt;&gt;"SÍ","",IF(BA9&lt;=0,0,IF((1-2*BA9*1E5/(DATOS!$C$29*100*CI9^2*DATOS!$C$21))&lt;0,-1,IF((1-SQRT((1-2*BA9*1E5/(DATOS!$C$29*100*CI9^2*DATOS!$C$21))))*DATOS!$C$21*100*CI9/DATOS!$C$14&gt;DATOS!$C$99*100*CI9,-1,(1-SQRT((1-2*BA9*1E5/(DATOS!$C$29*100*CI9^2*DATOS!$C$21))))*DATOS!$C$21*100*CI9/DATOS!$C$14))))</f>
        <v>1.2405389228266</v>
      </c>
      <c r="CK9" s="58">
        <f>IF(V9&lt;&gt;"SÍ","",IF(CJ9&lt;0,-1,MAX(CJ9,BC9)))</f>
        <v>2.16</v>
      </c>
      <c r="CL9" s="64">
        <f>IF(V9&lt;&gt;"SÍ","",IF(AND(CK9&gt;0,FLOOR(MIN(BD9,100*INDEX(TABLAS!$D$52:$D$58,MIN(MATCH(IF(ISNUMBER(S9),S9,DATOS!$C$135),TABLAS!$B$52:$B$58,0)+0,7))/MAX(CK9,0.0001)),DATOS!$C$141)&gt;=DATOS!$C$140),INDEX(TABLAS!$B$52:$B$58,MIN(MATCH(IF(ISNUMBER(S9),S9,DATOS!$C$135),TABLAS!$B$52:$B$58,0)+0,7)),IF(AND(CK9&gt;0,FLOOR(MIN(BD9,100*INDEX(TABLAS!$D$52:$D$58,MIN(MATCH(IF(ISNUMBER(S9),S9,DATOS!$C$135),TABLAS!$B$52:$B$58,0)+1,7))/MAX(CK9,0.0001)),DATOS!$C$141)&gt;=DATOS!$C$140),INDEX(TABLAS!$B$52:$B$58,MIN(MATCH(IF(ISNUMBER(S9),S9,DATOS!$C$135),TABLAS!$B$52:$B$58,0)+1,7)),IF(AND(CK9&gt;0,FLOOR(MIN(BD9,100*INDEX(TABLAS!$D$52:$D$58,MIN(MATCH(IF(ISNUMBER(S9),S9,DATOS!$C$135),TABLAS!$B$52:$B$58,0)+2,7))/MAX(CK9,0.0001)),DATOS!$C$141)&gt;=DATOS!$C$140),INDEX(TABLAS!$B$52:$B$58,MIN(MATCH(IF(ISNUMBER(S9),S9,DATOS!$C$135),TABLAS!$B$52:$B$58,0)+2,7)),IF(AND(CK9&gt;0,FLOOR(MIN(BD9,100*INDEX(TABLAS!$D$52:$D$58,MIN(MATCH(IF(ISNUMBER(S9),S9,DATOS!$C$135),TABLAS!$B$52:$B$58,0)+3,7))/MAX(CK9,0.0001)),DATOS!$C$141)&gt;=DATOS!$C$140),INDEX(TABLAS!$B$52:$B$58,MIN(MATCH(IF(ISNUMBER(S9),S9,DATOS!$C$135),TABLAS!$B$52:$B$58,0)+3,7)),IF(AND(CK9&gt;0,FLOOR(MIN(BD9,100*INDEX(TABLAS!$D$52:$D$58,MIN(MATCH(IF(ISNUMBER(S9),S9,DATOS!$C$135),TABLAS!$B$52:$B$58,0)+4,7))/MAX(CK9,0.0001)),DATOS!$C$141)&gt;=DATOS!$C$140),INDEX(TABLAS!$B$52:$B$58,MIN(MATCH(IF(ISNUMBER(S9),S9,DATOS!$C$135),TABLAS!$B$52:$B$58,0)+4,7)),INDEX(TABLAS!$B$52:$B$58,7)))))))</f>
        <v>3</v>
      </c>
      <c r="CM9" s="71">
        <f>IF(V9&lt;&gt;"SÍ","",IF(CK9&lt;=0,0,FLOOR(MIN(BD9,100*INDEX(TABLAS!$D$52:$D$58,MATCH(CL9,TABLAS!$B$52:$B$58,0))/CK9),DATOS!$C$141)))</f>
        <v>22.5</v>
      </c>
      <c r="CN9" s="58">
        <f>IF(V9&lt;&gt;"SÍ","",IF(CM9&lt;=0,0,INDEX(TABLAS!$D$52:$D$58,MATCH(CL9,TABLAS!$B$52:$B$58,0))*100/CM9))</f>
        <v>3.15555555555556</v>
      </c>
      <c r="CO9" s="58">
        <f>IF(V9&lt;&gt;"SÍ","",((W9-AF9-INDEX(TABLAS!$C$52:$C$58,MATCH(BR9,TABLAS!$B$52:$B$58,0))-INDEX(TABLAS!$C$52:$C$58,MATCH(CL9,TABLAS!$B$52:$B$58,0))/2)-IF(AND((W9-AF9-INDEX(TABLAS!$C$52:$C$58,MATCH(BR9,TABLAS!$B$52:$B$58,0))-INDEX(TABLAS!$C$52:$C$58,MATCH(CL9,TABLAS!$B$52:$B$58,0))/2)&lt;=20,DATOS!$C$62&lt;&gt;"SÍ"),2,0)))</f>
        <v>8.575</v>
      </c>
      <c r="CP9" s="56">
        <f>IF(V9&lt;&gt;"SÍ","",IF(CN9=0,0,DATOS!$C$29*CN9*DATOS!$C$14*(CO9-CN9*DATOS!$C$14/(DATOS!$C$21*100)/2)/1E5))</f>
        <v>0.985629350588235</v>
      </c>
      <c r="CQ9" s="65">
        <f>IF(V9&lt;&gt;"SÍ","",IF(CK9&lt;0,9.99,IF(CP9&gt;0,BA9/CP9,0)))</f>
        <v>0.402132241459177</v>
      </c>
      <c r="CR9" s="66">
        <f>IF(V9&lt;&gt;"SÍ","",IF(CN9=0,"—",0.003*(CO9-(CN9*DATOS!$C$14/(DATOS!$C$21*100)/DATOS!$C$22))/(CN9*DATOS!$C$14/(DATOS!$C$21*100)/DATOS!$C$22)))</f>
        <v>0.0320596941021127</v>
      </c>
      <c r="CS9" s="56">
        <f>IF(V9&lt;&gt;"SÍ","",IF(C9="PERIMETRAL",MAX(0,(AC9/2-BU9)/100)*(0.95-0.5*AB9)*AK9*IF(AND(AL9&gt;0,AL9&lt;4),DATOS!$C$33,1)/1000,(AK9*MAX(0,AC9-BU9)/100+DATOS!$C$26*N(P9))/1000))</f>
        <v>0.70297898625</v>
      </c>
      <c r="CT9" s="66">
        <f>IF(V9&lt;&gt;"SÍ","",BT9/(100*BU9))</f>
        <v>0.00331291921843103</v>
      </c>
      <c r="CU9" s="56">
        <f>IF(V9&lt;&gt;"SÍ","",DATOS!$C$30*2*MIN(1,SQRT(2/(1+0.04*BU9)))*CT9^(1/3)*SQRT(DATOS!$C$13)*100*BU9/1000)</f>
        <v>3.36767259788685</v>
      </c>
      <c r="CV9" s="67" t="str">
        <f>IF(V9&lt;&gt;"SÍ","",IF(CS9&lt;=CU9,"CUMPLE","NO CUMPLE: sube h"))</f>
        <v>CUMPLE</v>
      </c>
      <c r="CW9" s="58">
        <f>IF(V9&lt;&gt;"SÍ","",IF(C9="PERIMETRAL",IF(ISNUMBER(R9),R9,DATOS!$C$101),0))</f>
        <v>99</v>
      </c>
      <c r="CX9" s="57">
        <f>IF(V9&lt;&gt;"SÍ","",IF(C9="PERIMETRAL",IF(CW9&gt;2,MAX(9,AD9*(0.8+DATOS!$C$14/14000)/(36+9*(AD9/MAX(AC9,1)))),IF(CW9&gt;0.2,MAX(13,AD9*(0.8+DATOS!$C$14/14000)/(36+5*(AD9/MAX(AC9,1))*(CW9-0.2))),MAX(13,AD9/IF(AL9&gt;0,30,33))))*IF(AND(CW9&gt;0.2,AL9&gt;0,DATOS!$C$102="NO"),1.1,1),Z9*100/DATOS!$C$142))</f>
        <v>9</v>
      </c>
      <c r="CY9" s="61" t="str">
        <f>IF(V9&lt;&gt;"SÍ","",IF(W9&gt;=CX9-0.001,"CUMPLE",IF(C9="VOLADO","NO CUMPLE","CALCULAR FLECHA")))</f>
        <v>CUMPLE</v>
      </c>
      <c r="CZ9" s="60">
        <f>IF(V9&lt;&gt;"SÍ","",IF(C9="VOLADO",MIN(CEILING(IF(ISNUMBER(Q9),Q9,Z9)*100,5),CEILING(MAX(IF((0.5*(0.9*W9/100*DATOS!$C$16)*IF(ISNUMBER(Q9),Q9,Z9)+AY9/IF(ISNUMBER(Q9),Q9,Z9))^2-4*(0.5*(0.9*W9/100*DATOS!$C$16))*AY9&lt;0,IF(ISNUMBER(Q9),Q9,Z9),MIN(IF(ISNUMBER(Q9),Q9,Z9),((0.5*(0.9*W9/100*DATOS!$C$16)*IF(ISNUMBER(Q9),Q9,Z9)+AY9/IF(ISNUMBER(Q9),Q9,Z9))-SQRT((0.5*(0.9*W9/100*DATOS!$C$16)*IF(ISNUMBER(Q9),Q9,Z9)+AY9/IF(ISNUMBER(Q9),Q9,Z9))^2-4*(0.5*(0.9*W9/100*DATOS!$C$16))*AY9))/(2*(0.5*(0.9*W9/100*DATOS!$C$16)))))*100+MAX(BU9,12*INDEX(TABLAS!$C$52:$C$58,MATCH(BR9,TABLAS!$B$52:$B$58,0)),IF(ISNUMBER(Q9),Q9,Z9)*100/16),IF(OR(AF9&lt;INDEX(TABLAS!$C$52:$C$58,MATCH(BR9,TABLAS!$B$52:$B$58,0)),BS9-INDEX(TABLAS!$C$52:$C$58,MATCH(BR9,TABLAS!$B$52:$B$58,0))&lt;2*INDEX(TABLAS!$C$52:$C$58,MATCH(BR9,TABLAS!$B$52:$B$58,0))),INDEX(TABLAS!$I$52:$I$58,MATCH(BR9,TABLAS!$B$52:$B$58,0)),INDEX(TABLAS!$F$52:$F$58,MATCH(BR9,TABLAS!$B$52:$B$58,0)))),5)),IF(((4*((AV9*AK9*Z9^2*1E-4/1000)+((MAX(AR9,AT9)*AK9*Z9^2*1E-4/1000)+(IF(AND(AR9&gt;0,AT9&gt;0),MIN(AR9,AT9),MAX(AR9,AT9))*AK9*Z9^2*1E-4/1000))/2)+AY9-(IF(AND(AR9&gt;0,AT9&gt;0),MIN(AR9,AT9),MAX(AR9,AT9))*AK9*Z9^2*1E-4/1000))^2-16*((AV9*AK9*Z9^2*1E-4/1000)+((MAX(AR9,AT9)*AK9*Z9^2*1E-4/1000)+(IF(AND(AR9&gt;0,AT9&gt;0),MIN(AR9,AT9),MAX(AR9,AT9))*AK9*Z9^2*1E-4/1000))/2)*AY9)&lt;0,CEILING(AC9,5),CEILING(MAX(AC9*((4*((AV9*AK9*Z9^2*1E-4/1000)+((MAX(AR9,AT9)*AK9*Z9^2*1E-4/1000)+(IF(AND(AR9&gt;0,AT9&gt;0),MIN(AR9,AT9),MAX(AR9,AT9))*AK9*Z9^2*1E-4/1000))/2)+AY9-(IF(AND(AR9&gt;0,AT9&gt;0),MIN(AR9,AT9),MAX(AR9,AT9))*AK9*Z9^2*1E-4/1000))-SQRT(MAX(0,((4*((AV9*AK9*Z9^2*1E-4/1000)+((MAX(AR9,AT9)*AK9*Z9^2*1E-4/1000)+(IF(AND(AR9&gt;0,AT9&gt;0),MIN(AR9,AT9),MAX(AR9,AT9))*AK9*Z9^2*1E-4/1000))/2)+AY9-(IF(AND(AR9&gt;0,AT9&gt;0),MIN(AR9,AT9),MAX(AR9,AT9))*AK9*Z9^2*1E-4/1000))^2-16*((AV9*AK9*Z9^2*1E-4/1000)+((MAX(AR9,AT9)*AK9*Z9^2*1E-4/1000)+(IF(AND(AR9&gt;0,AT9&gt;0),MIN(AR9,AT9),MAX(AR9,AT9))*AK9*Z9^2*1E-4/1000))/2)*AY9))))/(8*MAX(((AV9*AK9*Z9^2*1E-4/1000)+((MAX(AR9,AT9)*AK9*Z9^2*1E-4/1000)+(IF(AND(AR9&gt;0,AT9&gt;0),MIN(AR9,AT9),MAX(AR9,AT9))*AK9*Z9^2*1E-4/1000))/2),1E-9))+MAX(BU9,12*INDEX(TABLAS!$C$52:$C$58,MATCH(BR9,TABLAS!$B$52:$B$58,0)),AC9/16),IF(OR(AF9&lt;INDEX(TABLAS!$C$52:$C$58,MATCH(BR9,TABLAS!$B$52:$B$58,0)),BS9-INDEX(TABLAS!$C$52:$C$58,MATCH(BR9,TABLAS!$B$52:$B$58,0))&lt;2*INDEX(TABLAS!$C$52:$C$58,MATCH(BR9,TABLAS!$B$52:$B$58,0))),INDEX(TABLAS!$I$52:$I$58,MATCH(BR9,TABLAS!$B$52:$B$58,0)),INDEX(TABLAS!$F$52:$F$58,MATCH(BR9,TABLAS!$B$52:$B$58,0)))),5))))</f>
        <v>80</v>
      </c>
      <c r="DA9" s="60">
        <f>IF(V9&lt;&gt;"SÍ","",IF(C9="VOLADO",0,IF(((4*((AW9*AK9*Z9^2*1E-4/1000)+((MAX(AS9,AU9)*AK9*Z9^2*1E-4/1000)+(IF(AND(AS9&gt;0,AU9&gt;0),MIN(AS9,AU9),MAX(AS9,AU9))*AK9*Z9^2*1E-4/1000))/2)+BA9-(IF(AND(AS9&gt;0,AU9&gt;0),MIN(AS9,AU9),MAX(AS9,AU9))*AK9*Z9^2*1E-4/1000))^2-16*((AW9*AK9*Z9^2*1E-4/1000)+((MAX(AS9,AU9)*AK9*Z9^2*1E-4/1000)+(IF(AND(AS9&gt;0,AU9&gt;0),MIN(AS9,AU9),MAX(AS9,AU9))*AK9*Z9^2*1E-4/1000))/2)*BA9)&lt;0,CEILING(AD9,5),CEILING(MAX(AD9*((4*((AW9*AK9*Z9^2*1E-4/1000)+((MAX(AS9,AU9)*AK9*Z9^2*1E-4/1000)+(IF(AND(AS9&gt;0,AU9&gt;0),MIN(AS9,AU9),MAX(AS9,AU9))*AK9*Z9^2*1E-4/1000))/2)+BA9-(IF(AND(AS9&gt;0,AU9&gt;0),MIN(AS9,AU9),MAX(AS9,AU9))*AK9*Z9^2*1E-4/1000))-SQRT(MAX(0,((4*((AW9*AK9*Z9^2*1E-4/1000)+((MAX(AS9,AU9)*AK9*Z9^2*1E-4/1000)+(IF(AND(AS9&gt;0,AU9&gt;0),MIN(AS9,AU9),MAX(AS9,AU9))*AK9*Z9^2*1E-4/1000))/2)+BA9-(IF(AND(AS9&gt;0,AU9&gt;0),MIN(AS9,AU9),MAX(AS9,AU9))*AK9*Z9^2*1E-4/1000))^2-16*((AW9*AK9*Z9^2*1E-4/1000)+((MAX(AS9,AU9)*AK9*Z9^2*1E-4/1000)+(IF(AND(AS9&gt;0,AU9&gt;0),MIN(AS9,AU9),MAX(AS9,AU9))*AK9*Z9^2*1E-4/1000))/2)*BA9))))/(8*MAX(((AW9*AK9*Z9^2*1E-4/1000)+((MAX(AS9,AU9)*AK9*Z9^2*1E-4/1000)+(IF(AND(AS9&gt;0,AU9&gt;0),MIN(AS9,AU9),MAX(AS9,AU9))*AK9*Z9^2*1E-4/1000))/2),1E-9))+MAX(CO9,12*INDEX(TABLAS!$C$52:$C$58,MATCH(CL9,TABLAS!$B$52:$B$58,0)),AD9/16),IF(OR(AF9&lt;INDEX(TABLAS!$C$52:$C$58,MATCH(CL9,TABLAS!$B$52:$B$58,0)),CM9-INDEX(TABLAS!$C$52:$C$58,MATCH(CL9,TABLAS!$B$52:$B$58,0))&lt;2*INDEX(TABLAS!$C$52:$C$58,MATCH(CL9,TABLAS!$B$52:$B$58,0))),INDEX(TABLAS!$I$52:$I$58,MATCH(CL9,TABLAS!$B$52:$B$58,0)),INDEX(TABLAS!$F$52:$F$58,MATCH(CL9,TABLAS!$B$52:$B$58,0)))),5))))</f>
        <v>115</v>
      </c>
      <c r="DB9" s="55" t="str">
        <f>IF(V9&lt;&gt;"SÍ","",IF(AND(C9="PERIMETRAL",AL9-AM9&gt;0,AT9&gt;0),"SÍ","NO"))</f>
        <v>NO</v>
      </c>
      <c r="DC9" s="55" t="str">
        <f>IF(V9&lt;&gt;"SÍ","",IF(AND(C9="PERIMETRAL",AM9&gt;0,AU9&gt;0),"SÍ","NO"))</f>
        <v>NO</v>
      </c>
      <c r="DD9" s="63" t="str">
        <f>IF(V9&lt;&gt;"SÍ","",IF(OR(C9="VOLADO",AL9=0),"—",IF(AND(AND(INDEX(TABLAS!$G$52:$G$58,MATCH(MAX(BR9,CL9),TABLAS!$B$52:$B$58,0))&lt;=(DATOS!$C$72-DATOS!$C$60),(DATOS!$C$72-DATOS!$C$60)&gt;=15),8*INDEX(TABLAS!$C$52:$C$58,MATCH(MAX(BH9,CB9,BR9,CL9),TABLAS!$B$52:$B$58,0))&lt;=DATOS!$C$73-2*DATOS!$C$60),"CUMPLE (gancho de 180°)",IF(AND(INDEX(TABLAS!$G$52:$G$58,MATCH(MAX(BR9,CL9),TABLAS!$B$52:$B$58,0))&lt;=(DATOS!$C$72-DATOS!$C$60),(DATOS!$C$72-DATOS!$C$60)&gt;=15),"NO CUMPLE: el gancho de 180° (8·d_b) no cabe en el peralte de la dala de borde","NO CUMPLE: dala de borde ≥ "&amp;TEXT(CEILING(MAX(INDEX(TABLAS!$G$52:$G$58,MATCH(MAX(BR9,CL9),TABLAS!$B$52:$B$58,0)),15)+DATOS!$C$60,5),"0")&amp;" cm de ancho"&amp;IF(8*INDEX(TABLAS!$C$52:$C$58,MATCH(MAX(BH9,CB9,BR9,CL9),TABLAS!$B$52:$B$58,0))&lt;=DATOS!$C$73-2*DATOS!$C$60,""," y más peralte para el gancho")))))</f>
        <v>—</v>
      </c>
      <c r="DE9" s="69" t="str">
        <f>IF(V9&lt;&gt;"SÍ","",IF(BI9=0,"NO ALCANZA","No. "&amp;BH9&amp;" @ "&amp;BI9&amp;" cm"&amp;IF(C9="VOLADO"," (temperatura)","")))</f>
        <v>No. 3 @ 22.5 cm</v>
      </c>
      <c r="DF9" s="69" t="str">
        <f>IF(V9&lt;&gt;"SÍ","",IF(BS9=0,"NO ALCANZA",IF(C9="VOLADO","No. "&amp;BR9&amp;" @ "&amp;BS9&amp;" cm"&amp;" de la orilla al respaldo ("&amp;IF(CZ9&gt;=100*IF(ISNUMBER(Q9),Q9,Z9),"hasta su apoyo lejano, con gancho","entran "&amp;TEXT(CZ9/100,"0.00")&amp;" m desde el paño")&amp;")","Bastones "&amp;"No. "&amp;BR9&amp;" @ "&amp;BS9&amp;" cm"&amp;", L = "&amp;TEXT(CZ9/100,"0.00")&amp;" m desde el paño")))</f>
        <v>Bastones No. 3 @ 22.5 cm, L = 0.80 m desde el paño</v>
      </c>
      <c r="DG9" s="69" t="str">
        <f>IF(V9&lt;&gt;"SÍ","",IF(CC9=0,"NO ALCANZA","No. "&amp;CB9&amp;" @ "&amp;CC9&amp;" cm"&amp;IF(C9="VOLADO"," (repartición)","")))</f>
        <v>No. 3 @ 22.5 cm</v>
      </c>
      <c r="DH9" s="69" t="str">
        <f>IF(V9&lt;&gt;"SÍ","",IF(CM9=0,"NO ALCANZA",IF(C9="VOLADO","No. "&amp;CL9&amp;" @ "&amp;CM9&amp;" cm"&amp;" (repartición)","Bastones "&amp;"No. "&amp;CL9&amp;" @ "&amp;CM9&amp;" cm"&amp;", L = "&amp;TEXT(DA9/100,"0.00")&amp;" m desde el paño")))</f>
        <v>Bastones No. 3 @ 22.5 cm, L = 1.15 m desde el paño</v>
      </c>
      <c r="DI9" s="67" t="str">
        <f>IF(B9="","",IF(V9&lt;&gt;"SÍ","FALTAN DATOS: tipo, a_x, a_y y destino",IF(L9="NO MONOLÍTICO (caso II)","FUERA DE ALCANCE: caso II no transcrito",IF(AND(C9="VOLADO",X9="?"),"REVISAR: el volado lleva UN solo borde CONTINUO (el empotrado)",IF(AND(MAX(BM9,BW9,CG9,CQ9)&lt;=1,NOT(OR(BI9&lt;DATOS!$C$140,BS9&lt;DATOS!$C$140,CC9&lt;DATOS!$C$140,CM9&lt;DATOS!$C$140)),NOT(OR(AND(ISNUMBER(BN9),BN9&lt;0.005),AND(ISNUMBER(BX9),BX9&lt;0.005),AND(ISNUMBER(CH9),CH9&lt;0.005),AND(ISNUMBER(CR9),CR9&lt;0.005))),CV9="CUMPLE",CY9="CUMPLE"),"CUMPLE"&amp;IF(LEFT(BB9,5)="FUERA"," · fuera de 3.4.2.1 c)","")&amp;IF(LEFT(DD9,2)="NO"," · REVISAR anclaje en borde discontinuo",""),IF(AND(MAX(BM9,BW9,CG9,CQ9)&lt;=1,NOT(OR(BI9&lt;DATOS!$C$140,BS9&lt;DATOS!$C$140,CC9&lt;DATOS!$C$140,CM9&lt;DATOS!$C$140)),NOT(OR(AND(ISNUMBER(BN9),BN9&lt;0.005),AND(ISNUMBER(BX9),BX9&lt;0.005),AND(ISNUMBER(CH9),CH9&lt;0.005),AND(ISNUMBER(CR9),CR9&lt;0.005))),CV9="CUMPLE",CY9="CALCULAR FLECHA"),"REVISAR: calcular flecha (h &lt; h mín.)"&amp;IF(LEFT(BB9,5)="FUERA"," · fuera de 3.4.2.1 c)","")&amp;IF(LEFT(DD9,2)="NO"," · REVISAR anclaje en borde discontinuo",""),"NO CUMPLE: "&amp;IF(MAX(BM9,BW9,CG9,CQ9)&gt;1,"flexión ","")&amp;IF(OR(BI9&lt;DATOS!$C$140,BS9&lt;DATOS!$C$140,CC9&lt;DATOS!$C$140,CM9&lt;DATOS!$C$140),"separación &lt; mínima ","")&amp;IF(OR(AND(ISNUMBER(BN9),BN9&lt;0.005),AND(ISNUMBER(BX9),BX9&lt;0.005),AND(ISNUMBER(CH9),CH9&lt;0.005),AND(ISNUMBER(CR9),CR9&lt;0.005)),"ε_t &lt; 0.005 ","")&amp;IF(CV9&lt;&gt;"CUMPLE","cortante ","")&amp;IF(CY9="NO CUMPLE","peralte","")))))))</f>
        <v>CUMPLE</v>
      </c>
      <c r="DJ9" s="70" t="str">
        <f>IF(V9&lt;&gt;"SÍ","",IF(LEFT(B9,7)="EJEMPLO","EJEMPLO de tablero típico: bórralo o sobrescríbelo. ","")&amp;IF(C9="VOLADO","Volado de "&amp;TEXT(Z9,"0.00")&amp;" m empotrado en el borde "&amp;LOWER(X9)&amp;IF(N(P9)&gt;0,", con "&amp;TEXT(P9,"0.0")&amp;" kg/m en la orilla","")&amp;". Lecho inferior con r_ext. Si la orilla carga pretil u otro elemento frágil, calcula la flecha (13.4). El acero superior entra al respaldo de "&amp;TEXT(IF(ISNUMBER(Q9),Q9,Z9),"0.00")&amp;" m"&amp;IF(ISNUMBER(Q9),""," (L_b no capturado: se tomó igual al volado)")&amp;" hasta pasar M = 0 con 0.9·PP sin carga viva; si ahí no se anula, llega al apoyo lejano y se ancla con gancho. ","")&amp;IF(LEFT(BB9,5)="FUERA","El M⁻ del vecino difiere más de 50 % (3.4.2.1 c): distribuye el desequilibrio (3.4.3.1) o confirma con un modelo; se arma con el mayor. ","")&amp;IF(OR(DB9="SÍ",DC9="SÍ"),"Bastones también en los bordes discontinuos (M⁻ de tabla), con gancho. ","")&amp;IF(LEFT(DD9,2)="NO","Anclaje: "&amp;DD9&amp;" (6.7.7.4.1.1). ","")&amp;IF(OR(AT9&gt;0,AU9&gt;0),"Esquinas exteriores sobre muro: refuerzo de esquina arriba y abajo en L_largo/5 (6.7.7.3.1). ",""))</f>
        <v>EJEMPLO de tablero típico: bórralo o sobrescríbelo. </v>
      </c>
    </row>
    <row r="10" ht="33" customHeight="1">
      <c r="A10" s="50">
        <f>IF(B10="",0,1)+A9</f>
        <v>2</v>
      </c>
      <c r="B10" s="29" t="inlineStr">
        <is>
          <t>EJEMPLO M-2 (esquina 2.0 × 3.4)</t>
        </is>
      </c>
      <c r="C10" s="51" t="inlineStr">
        <is>
          <t>PERIMETRAL</t>
        </is>
      </c>
      <c r="D10" s="29" t="inlineStr">
        <is>
          <t>HABITACIÓN</t>
        </is>
      </c>
      <c r="E10" s="52" t="n">
        <v>2</v>
      </c>
      <c r="F10" s="52" t="n">
        <v>3.4</v>
      </c>
      <c r="G10" s="51" t="inlineStr">
        <is>
          <t>DISCONTINUO</t>
        </is>
      </c>
      <c r="H10" s="51" t="inlineStr">
        <is>
          <t>CONTINUO</t>
        </is>
      </c>
      <c r="I10" s="51" t="inlineStr">
        <is>
          <t>DISCONTINUO</t>
        </is>
      </c>
      <c r="J10" s="51" t="inlineStr">
        <is>
          <t>CONTINUO</t>
        </is>
      </c>
      <c r="K10" s="51" t="inlineStr">
        <is>
          <t>AUTO</t>
        </is>
      </c>
      <c r="L10" s="51" t="inlineStr">
        <is>
          <t>MONOLÍTICO (caso I)</t>
        </is>
      </c>
      <c r="M10" s="54" t="n">
        <v>12</v>
      </c>
      <c r="N10" s="53" t="n">
        <v>160</v>
      </c>
      <c r="O10" s="53" t="n"/>
      <c r="P10" s="54" t="n"/>
      <c r="Q10" s="52" t="n"/>
      <c r="R10" s="54" t="n"/>
      <c r="S10" s="53" t="n"/>
      <c r="T10" s="52" t="n"/>
      <c r="U10" s="52" t="n"/>
      <c r="V10" s="55" t="str">
        <f>IF(B10="","",IF(AND(OR(C10="PERIMETRAL",C10="VOLADO"),ISNUMBER(E10),ISNUMBER(F10),E10&gt;0,F10&gt;0,OR(ISNUMBER(O10),ISNUMBER(MATCH(D10,DATOS!$B$46:$B$55,0)))),"SÍ","NO"))</f>
        <v>SÍ</v>
      </c>
      <c r="W10" s="57">
        <f>IF(V10&lt;&gt;"SÍ","",IF(ISNUMBER(M10),M10,DATOS!$C$134))</f>
        <v>12</v>
      </c>
      <c r="X10" s="55" t="str">
        <f>IF(V10&lt;&gt;"SÍ","",IF(C10&lt;&gt;"VOLADO","—",IF(COUNTIF(G10:J10,"CONTINUO")&lt;&gt;1,"?",IF(G10="CONTINUO","INFERIOR",IF(H10="CONTINUO","SUPERIOR",IF(I10="CONTINUO","IZQUIERDO","DERECHO"))))))</f>
        <v>—</v>
      </c>
      <c r="Y10" s="55" t="str">
        <f>IF(V10&lt;&gt;"SÍ","",IF(C10="VOLADO",IF(OR(X10="IZQUIERDO",X10="DERECHO"),"X","Y"),IF(E10&lt;=F10,"X","Y")))</f>
        <v>X</v>
      </c>
      <c r="Z10" s="56">
        <f>IF(V10&lt;&gt;"SÍ","",IF(C10="VOLADO",IF(Y10="X",E10,F10),MIN(E10,F10)))</f>
        <v>2</v>
      </c>
      <c r="AA10" s="56">
        <f>IF(V10&lt;&gt;"SÍ","",IF(C10="VOLADO",IF(Y10="X",F10,E10),MAX(E10,F10)))</f>
        <v>3.4</v>
      </c>
      <c r="AB10" s="56">
        <f>IF(V10&lt;&gt;"SÍ","",MIN(Z10,AA10)/MAX(Z10,AA10))</f>
        <v>0.588235294117647</v>
      </c>
      <c r="AC10" s="57">
        <f>IF(V10&lt;&gt;"SÍ","",MAX(1,Z10*100-IF(C10="VOLADO",DATOS!$C$84/2,DATOS!$C$84)))</f>
        <v>185</v>
      </c>
      <c r="AD10" s="57">
        <f>IF(V10&lt;&gt;"SÍ","",MAX(1,AA10*100-DATOS!$C$84))</f>
        <v>325</v>
      </c>
      <c r="AE10" s="57">
        <f>IF(V10&lt;&gt;"SÍ","",IF(C10="VOLADO",DATOS!$C$61,DATOS!$C$59))</f>
        <v>2</v>
      </c>
      <c r="AF10" s="57">
        <f>IF(V10&lt;&gt;"SÍ","",IF(OR(AND(AG10="SÍ",DATOS!$C$63="SÍ"),AND(C10="VOLADO",DATOS!$C$64="SÍ")),DATOS!$C$61,DATOS!$C$59))</f>
        <v>2</v>
      </c>
      <c r="AG10" s="55" t="str">
        <f>IF(V10&lt;&gt;"SÍ","",IFERROR(INDEX(DATOS!$D$46:$D$55,MATCH(D10,DATOS!$B$46:$B$55,0)),"NO"))</f>
        <v>NO</v>
      </c>
      <c r="AH10" s="59">
        <f>IF(V10&lt;&gt;"SÍ","",IF(ISNUMBER(O10),O10,IFERROR(INDEX(DATOS!$C$46:$C$55,MATCH(D10,DATOS!$B$46:$B$55,0)),0)))</f>
        <v>190</v>
      </c>
      <c r="AI10" s="59">
        <f>IF(V10&lt;&gt;"SÍ","",W10/100*DATOS!$C$16*1000+DATOS!$C$37+DATOS!$C$38)</f>
        <v>328</v>
      </c>
      <c r="AJ10" s="59">
        <f>IF(V10&lt;&gt;"SÍ","",AI10+N(N10))</f>
        <v>488</v>
      </c>
      <c r="AK10" s="60">
        <f>IF(V10&lt;&gt;"SÍ","",MAX(DATOS!$C$26*AJ10+DATOS!$C$27*AH10,IF(AG10="SÍ",DATOS!$C$28*(AJ10+DATOS!$C$41),0)))</f>
        <v>919.4</v>
      </c>
      <c r="AL10" s="59">
        <f>IF(V10&lt;&gt;"SÍ","",(G10="DISCONTINUO")+(H10="DISCONTINUO")+(I10="DISCONTINUO")+(J10="DISCONTINUO"))</f>
        <v>2</v>
      </c>
      <c r="AM10" s="59">
        <f>IF(V10&lt;&gt;"SÍ","",IF(Y10="X",(G10="DISCONTINUO")+(H10="DISCONTINUO"),(I10="DISCONTINUO")+(J10="DISCONTINUO")))</f>
        <v>1</v>
      </c>
      <c r="AN10" s="55" t="str">
        <f>IF(V10&lt;&gt;"SÍ","",IF(AL10=0,"INTERIOR",IF(AL10=1,IF(AM10=1,"BORDE-CORTO","BORDE-LARGO"),IF(AL10=2,IF(AM10=1,"ESQUINA",IF(AM10=2,"EXTREMO-LARGO","EXTREMO-CORTO")),IF(AL10=3,IF(AM10=2,"EXTREMO-LARGO","EXTREMO-CORTO"),"AISLADO")))))</f>
        <v>ESQUINA</v>
      </c>
      <c r="AO10" s="61" t="str">
        <f>IF(V10&lt;&gt;"SÍ","",IF(OR(K10="",K10="AUTO"),AN10,K10))</f>
        <v>ESQUINA</v>
      </c>
      <c r="AP10" s="59">
        <f>IF(V10&lt;&gt;"SÍ","",MATCH(AB10,TABLAS!$D$5:$J$5,1))</f>
        <v>2</v>
      </c>
      <c r="AQ10" s="58">
        <f>IF(V10&lt;&gt;"SÍ","",IF(AP10&gt;=7,0,(AB10-INDEX(TABLAS!$D$5:$J$5,AP10))/(INDEX(TABLAS!$D$5:$J$5,AP10+1)-INDEX(TABLAS!$D$5:$J$5,AP10))))</f>
        <v>0.882352941176471</v>
      </c>
      <c r="AR10" s="59">
        <f>IF(V10&lt;&gt;"SÍ","",INDEX(TABLAS!$D$6:$J$47,MATCH(AO10&amp;"|NIC",TABLAS!$B$6:$B$47,0),AP10)+AQ10*(INDEX(TABLAS!$D$6:$J$47,MATCH(AO10&amp;"|NIC",TABLAS!$B$6:$B$47,0),MIN(AP10+1,7))-INDEX(TABLAS!$D$6:$J$47,MATCH(AO10&amp;"|NIC",TABLAS!$B$6:$B$47,0),AP10)))</f>
        <v>1085.52941176471</v>
      </c>
      <c r="AS10" s="59">
        <f>IF(V10&lt;&gt;"SÍ","",INDEX(TABLAS!$D$6:$J$47,MATCH(AO10&amp;"|NIL",TABLAS!$B$6:$B$47,0),AP10)+AQ10*(INDEX(TABLAS!$D$6:$J$47,MATCH(AO10&amp;"|NIL",TABLAS!$B$6:$B$47,0),MIN(AP10+1,7))-INDEX(TABLAS!$D$6:$J$47,MATCH(AO10&amp;"|NIL",TABLAS!$B$6:$B$47,0),AP10)))</f>
        <v>549.117647058824</v>
      </c>
      <c r="AT10" s="59">
        <f>IF(V10&lt;&gt;"SÍ","",INDEX(TABLAS!$D$6:$J$47,MATCH(AO10&amp;"|NDC",TABLAS!$B$6:$B$47,0),AP10)+AQ10*(INDEX(TABLAS!$D$6:$J$47,MATCH(AO10&amp;"|NDC",TABLAS!$B$6:$B$47,0),MIN(AP10+1,7))-INDEX(TABLAS!$D$6:$J$47,MATCH(AO10&amp;"|NDC",TABLAS!$B$6:$B$47,0),AP10)))</f>
        <v>325.823529411765</v>
      </c>
      <c r="AU10" s="59">
        <f>IF(V10&lt;&gt;"SÍ","",INDEX(TABLAS!$D$6:$J$47,MATCH(AO10&amp;"|NDL",TABLAS!$B$6:$B$47,0),AP10)+AQ10*(INDEX(TABLAS!$D$6:$J$47,MATCH(AO10&amp;"|NDL",TABLAS!$B$6:$B$47,0),MIN(AP10+1,7))-INDEX(TABLAS!$D$6:$J$47,MATCH(AO10&amp;"|NDL",TABLAS!$B$6:$B$47,0),AP10)))</f>
        <v>321.529411764706</v>
      </c>
      <c r="AV10" s="59">
        <f>IF(V10&lt;&gt;"SÍ","",INDEX(TABLAS!$D$6:$J$47,MATCH(AO10&amp;"|PC",TABLAS!$B$6:$B$47,0),AP10)+AQ10*(INDEX(TABLAS!$D$6:$J$47,MATCH(AO10&amp;"|PC",TABLAS!$B$6:$B$47,0),MIN(AP10+1,7))-INDEX(TABLAS!$D$6:$J$47,MATCH(AO10&amp;"|PC",TABLAS!$B$6:$B$47,0),AP10)))</f>
        <v>438.764705882353</v>
      </c>
      <c r="AW10" s="59">
        <f>IF(V10&lt;&gt;"SÍ","",INDEX(TABLAS!$D$6:$J$47,MATCH(AO10&amp;"|PL",TABLAS!$B$6:$B$47,0),AP10)+AQ10*(INDEX(TABLAS!$D$6:$J$47,MATCH(AO10&amp;"|PL",TABLAS!$B$6:$B$47,0),MIN(AP10+1,7))-INDEX(TABLAS!$D$6:$J$47,MATCH(AO10&amp;"|PL",TABLAS!$B$6:$B$47,0),AP10)))</f>
        <v>294.470588235294</v>
      </c>
      <c r="AX10" s="56">
        <f>IF(V10&lt;&gt;"SÍ","",IF(C10="PERIMETRAL",AV10*AK10*Z10^2*1E-4/1000,0))</f>
        <v>0.161360108235294</v>
      </c>
      <c r="AY10" s="62">
        <f>IF(V10&lt;&gt;"SÍ","",IF(C10="PERIMETRAL",MAX(MAX(AR10,AT10)*AK10*Z10^2*1E-4/1000,N(T10)),(AK10*(AC10/100)^2/2+DATOS!$C$26*N(P10)*AC10/100)/1000))</f>
        <v>0.399214296470588</v>
      </c>
      <c r="AZ10" s="56">
        <f>IF(V10&lt;&gt;"SÍ","",IF(C10="PERIMETRAL",AW10*AK10*Z10^2*1E-4/1000,0))</f>
        <v>0.108294503529412</v>
      </c>
      <c r="BA10" s="56">
        <f>IF(V10&lt;&gt;"SÍ","",IF(C10="PERIMETRAL",MAX(MAX(AS10,AU10)*AK10*Z10^2*1E-4/1000,N(U10)),0))</f>
        <v>0.201943505882353</v>
      </c>
      <c r="BB10" s="63" t="str">
        <f>IF(V10&lt;&gt;"SÍ","",IF(C10&lt;&gt;"PERIMETRAL","—",IF(AND(N(T10)=0,N(U10)=0),"— (sin M⁻ del vecino)",IF(OR(AND(N(T10)&gt;0,ABS(MAX(AR10,AT10)*AK10*Z10^2*1E-4/1000-N(T10))&gt;0.5*MIN(MAX(AR10,AT10)*AK10*Z10^2*1E-4/1000,N(T10))),AND(N(U10)&gt;0,ABS(MAX(AS10,AU10)*AK10*Z10^2*1E-4/1000-N(U10))&gt;0.5*MIN(MAX(AS10,AU10)*AK10*Z10^2*1E-4/1000,N(U10)))),"FUERA: difieren &gt; 50 %"&amp;IF(AND(N(T10)&gt;0,ABS(MAX(AR10,AT10)*AK10*Z10^2*1E-4/1000-N(T10))&gt;0.5*MIN(MAX(AR10,AT10)*AK10*Z10^2*1E-4/1000,N(T10)))," ‖ corto","")&amp;IF(AND(N(U10)&gt;0,ABS(MAX(AS10,AU10)*AK10*Z10^2*1E-4/1000-N(U10))&gt;0.5*MIN(MAX(AS10,AU10)*AK10*Z10^2*1E-4/1000,N(U10)))," ‖ largo",""),"CUMPLE"))))</f>
        <v>— (sin M⁻ del vecino)</v>
      </c>
      <c r="BC10" s="58">
        <f>IF(V10&lt;&gt;"SÍ","",DATOS!$C$136*100*W10)</f>
        <v>2.16</v>
      </c>
      <c r="BD10" s="57">
        <f>IF(V10&lt;&gt;"SÍ","",MIN(IF(C10="VOLADO",DATOS!$C$138,DATOS!$C$137)*W10,DATOS!$C$139))</f>
        <v>24</v>
      </c>
      <c r="BE10" s="58">
        <f>IF(V10&lt;&gt;"SÍ","",(W10-AE10-INDEX(TABLAS!$C$52:$C$58,MATCH(IF(ISNUMBER(S10),S10,DATOS!$C$135),TABLAS!$B$52:$B$58,0))/2))</f>
        <v>9.525</v>
      </c>
      <c r="BF10" s="58">
        <f>IF(V10&lt;&gt;"SÍ","",IF(AX10&lt;=0,0,IF((1-2*AX10*1E5/(DATOS!$C$29*100*BE10^2*DATOS!$C$21))&lt;0,-1,IF((1-SQRT((1-2*AX10*1E5/(DATOS!$C$29*100*BE10^2*DATOS!$C$21))))*DATOS!$C$21*100*BE10/DATOS!$C$14&gt;DATOS!$C$99*100*BE10,-1,(1-SQRT((1-2*AX10*1E5/(DATOS!$C$29*100*BE10^2*DATOS!$C$21))))*DATOS!$C$21*100*BE10/DATOS!$C$14))))</f>
        <v>0.45026999662764</v>
      </c>
      <c r="BG10" s="58">
        <f>IF(V10&lt;&gt;"SÍ","",IF(BF10&lt;0,-1,MAX(BF10,BC10)))</f>
        <v>2.16</v>
      </c>
      <c r="BH10" s="64">
        <f>IF(V10&lt;&gt;"SÍ","",IF(AND(BG10&gt;0,FLOOR(MIN(BD10,100*INDEX(TABLAS!$D$52:$D$58,MIN(MATCH(IF(ISNUMBER(S10),S10,DATOS!$C$135),TABLAS!$B$52:$B$58,0)+0,7))/MAX(BG10,0.0001)),DATOS!$C$141)&gt;=DATOS!$C$140),INDEX(TABLAS!$B$52:$B$58,MIN(MATCH(IF(ISNUMBER(S10),S10,DATOS!$C$135),TABLAS!$B$52:$B$58,0)+0,7)),IF(AND(BG10&gt;0,FLOOR(MIN(BD10,100*INDEX(TABLAS!$D$52:$D$58,MIN(MATCH(IF(ISNUMBER(S10),S10,DATOS!$C$135),TABLAS!$B$52:$B$58,0)+1,7))/MAX(BG10,0.0001)),DATOS!$C$141)&gt;=DATOS!$C$140),INDEX(TABLAS!$B$52:$B$58,MIN(MATCH(IF(ISNUMBER(S10),S10,DATOS!$C$135),TABLAS!$B$52:$B$58,0)+1,7)),IF(AND(BG10&gt;0,FLOOR(MIN(BD10,100*INDEX(TABLAS!$D$52:$D$58,MIN(MATCH(IF(ISNUMBER(S10),S10,DATOS!$C$135),TABLAS!$B$52:$B$58,0)+2,7))/MAX(BG10,0.0001)),DATOS!$C$141)&gt;=DATOS!$C$140),INDEX(TABLAS!$B$52:$B$58,MIN(MATCH(IF(ISNUMBER(S10),S10,DATOS!$C$135),TABLAS!$B$52:$B$58,0)+2,7)),IF(AND(BG10&gt;0,FLOOR(MIN(BD10,100*INDEX(TABLAS!$D$52:$D$58,MIN(MATCH(IF(ISNUMBER(S10),S10,DATOS!$C$135),TABLAS!$B$52:$B$58,0)+3,7))/MAX(BG10,0.0001)),DATOS!$C$141)&gt;=DATOS!$C$140),INDEX(TABLAS!$B$52:$B$58,MIN(MATCH(IF(ISNUMBER(S10),S10,DATOS!$C$135),TABLAS!$B$52:$B$58,0)+3,7)),IF(AND(BG10&gt;0,FLOOR(MIN(BD10,100*INDEX(TABLAS!$D$52:$D$58,MIN(MATCH(IF(ISNUMBER(S10),S10,DATOS!$C$135),TABLAS!$B$52:$B$58,0)+4,7))/MAX(BG10,0.0001)),DATOS!$C$141)&gt;=DATOS!$C$140),INDEX(TABLAS!$B$52:$B$58,MIN(MATCH(IF(ISNUMBER(S10),S10,DATOS!$C$135),TABLAS!$B$52:$B$58,0)+4,7)),INDEX(TABLAS!$B$52:$B$58,7)))))))</f>
        <v>3</v>
      </c>
      <c r="BI10" s="71">
        <f>IF(V10&lt;&gt;"SÍ","",IF(BG10&lt;=0,0,FLOOR(MIN(BD10,100*INDEX(TABLAS!$D$52:$D$58,MATCH(BH10,TABLAS!$B$52:$B$58,0))/BG10),DATOS!$C$141)))</f>
        <v>22.5</v>
      </c>
      <c r="BJ10" s="58">
        <f>IF(V10&lt;&gt;"SÍ","",IF(BI10&lt;=0,0,INDEX(TABLAS!$D$52:$D$58,MATCH(BH10,TABLAS!$B$52:$B$58,0))*100/BI10))</f>
        <v>3.15555555555556</v>
      </c>
      <c r="BK10" s="58">
        <f>IF(V10&lt;&gt;"SÍ","",W10-AE10-INDEX(TABLAS!$C$52:$C$58,MATCH(BH10,TABLAS!$B$52:$B$58,0))/2)</f>
        <v>9.525</v>
      </c>
      <c r="BL10" s="56">
        <f>IF(V10&lt;&gt;"SÍ","",IF(BJ10=0,0,DATOS!$C$29*BJ10*DATOS!$C$14*(BK10-BJ10*DATOS!$C$14/(DATOS!$C$21*100)/2)/1E5))</f>
        <v>1.09894535058824</v>
      </c>
      <c r="BM10" s="65">
        <f>IF(V10&lt;&gt;"SÍ","",IF(BG10&lt;0,9.99,IF(BL10&gt;0,AX10/BL10,0)))</f>
        <v>0.146831785719756</v>
      </c>
      <c r="BN10" s="66">
        <f>IF(V10&lt;&gt;"SÍ","",IF(BJ10=0,"—",0.003*(BK10-(BJ10*DATOS!$C$14/(DATOS!$C$21*100)/DATOS!$C$22))/(BJ10*DATOS!$C$14/(DATOS!$C$21*100)/DATOS!$C$22)))</f>
        <v>0.0359438584632797</v>
      </c>
      <c r="BO10" s="58">
        <f>IF(V10&lt;&gt;"SÍ","",((W10-AF10-INDEX(TABLAS!$C$52:$C$58,MATCH(IF(ISNUMBER(S10),S10,DATOS!$C$135),TABLAS!$B$52:$B$58,0))/2)-IF(AND((W10-AF10-INDEX(TABLAS!$C$52:$C$58,MATCH(IF(ISNUMBER(S10),S10,DATOS!$C$135),TABLAS!$B$52:$B$58,0))/2)&lt;=20,DATOS!$C$62&lt;&gt;"SÍ"),2,0)))</f>
        <v>9.525</v>
      </c>
      <c r="BP10" s="58">
        <f>IF(V10&lt;&gt;"SÍ","",IF(AY10&lt;=0,0,IF((1-2*AY10*1E5/(DATOS!$C$29*100*BO10^2*DATOS!$C$21))&lt;0,-1,IF((1-SQRT((1-2*AY10*1E5/(DATOS!$C$29*100*BO10^2*DATOS!$C$21))))*DATOS!$C$21*100*BO10/DATOS!$C$14&gt;DATOS!$C$99*100*BO10,-1,(1-SQRT((1-2*AY10*1E5/(DATOS!$C$29*100*BO10^2*DATOS!$C$21))))*DATOS!$C$21*100*BO10/DATOS!$C$14))))</f>
        <v>1.12184759467128</v>
      </c>
      <c r="BQ10" s="58">
        <f>IF(V10&lt;&gt;"SÍ","",IF(BP10&lt;0,-1,MAX(BP10,BC10)))</f>
        <v>2.16</v>
      </c>
      <c r="BR10" s="64">
        <f>IF(V10&lt;&gt;"SÍ","",IF(AND(BQ10&gt;0,FLOOR(MIN(BD10,100*INDEX(TABLAS!$D$52:$D$58,MIN(MATCH(IF(ISNUMBER(S10),S10,DATOS!$C$135),TABLAS!$B$52:$B$58,0)+0,7))/MAX(BQ10,0.0001)),DATOS!$C$141)&gt;=DATOS!$C$140),INDEX(TABLAS!$B$52:$B$58,MIN(MATCH(IF(ISNUMBER(S10),S10,DATOS!$C$135),TABLAS!$B$52:$B$58,0)+0,7)),IF(AND(BQ10&gt;0,FLOOR(MIN(BD10,100*INDEX(TABLAS!$D$52:$D$58,MIN(MATCH(IF(ISNUMBER(S10),S10,DATOS!$C$135),TABLAS!$B$52:$B$58,0)+1,7))/MAX(BQ10,0.0001)),DATOS!$C$141)&gt;=DATOS!$C$140),INDEX(TABLAS!$B$52:$B$58,MIN(MATCH(IF(ISNUMBER(S10),S10,DATOS!$C$135),TABLAS!$B$52:$B$58,0)+1,7)),IF(AND(BQ10&gt;0,FLOOR(MIN(BD10,100*INDEX(TABLAS!$D$52:$D$58,MIN(MATCH(IF(ISNUMBER(S10),S10,DATOS!$C$135),TABLAS!$B$52:$B$58,0)+2,7))/MAX(BQ10,0.0001)),DATOS!$C$141)&gt;=DATOS!$C$140),INDEX(TABLAS!$B$52:$B$58,MIN(MATCH(IF(ISNUMBER(S10),S10,DATOS!$C$135),TABLAS!$B$52:$B$58,0)+2,7)),IF(AND(BQ10&gt;0,FLOOR(MIN(BD10,100*INDEX(TABLAS!$D$52:$D$58,MIN(MATCH(IF(ISNUMBER(S10),S10,DATOS!$C$135),TABLAS!$B$52:$B$58,0)+3,7))/MAX(BQ10,0.0001)),DATOS!$C$141)&gt;=DATOS!$C$140),INDEX(TABLAS!$B$52:$B$58,MIN(MATCH(IF(ISNUMBER(S10),S10,DATOS!$C$135),TABLAS!$B$52:$B$58,0)+3,7)),IF(AND(BQ10&gt;0,FLOOR(MIN(BD10,100*INDEX(TABLAS!$D$52:$D$58,MIN(MATCH(IF(ISNUMBER(S10),S10,DATOS!$C$135),TABLAS!$B$52:$B$58,0)+4,7))/MAX(BQ10,0.0001)),DATOS!$C$141)&gt;=DATOS!$C$140),INDEX(TABLAS!$B$52:$B$58,MIN(MATCH(IF(ISNUMBER(S10),S10,DATOS!$C$135),TABLAS!$B$52:$B$58,0)+4,7)),INDEX(TABLAS!$B$52:$B$58,7)))))))</f>
        <v>3</v>
      </c>
      <c r="BS10" s="71">
        <f>IF(V10&lt;&gt;"SÍ","",IF(BQ10&lt;=0,0,FLOOR(MIN(BD10,100*INDEX(TABLAS!$D$52:$D$58,MATCH(BR10,TABLAS!$B$52:$B$58,0))/BQ10),DATOS!$C$141)))</f>
        <v>22.5</v>
      </c>
      <c r="BT10" s="58">
        <f>IF(V10&lt;&gt;"SÍ","",IF(BS10&lt;=0,0,INDEX(TABLAS!$D$52:$D$58,MATCH(BR10,TABLAS!$B$52:$B$58,0))*100/BS10))</f>
        <v>3.15555555555556</v>
      </c>
      <c r="BU10" s="58">
        <f>IF(V10&lt;&gt;"SÍ","",((W10-AF10-INDEX(TABLAS!$C$52:$C$58,MATCH(BR10,TABLAS!$B$52:$B$58,0))/2)-IF(AND((W10-AF10-INDEX(TABLAS!$C$52:$C$58,MATCH(BR10,TABLAS!$B$52:$B$58,0))/2)&lt;=20,DATOS!$C$62&lt;&gt;"SÍ"),2,0)))</f>
        <v>9.525</v>
      </c>
      <c r="BV10" s="56">
        <f>IF(V10&lt;&gt;"SÍ","",IF(BT10=0,0,DATOS!$C$29*BT10*DATOS!$C$14*(BU10-BT10*DATOS!$C$14/(DATOS!$C$21*100)/2)/1E5))</f>
        <v>1.09894535058824</v>
      </c>
      <c r="BW10" s="65">
        <f>IF(V10&lt;&gt;"SÍ","",IF(BQ10&lt;0,9.99,IF(BV10&gt;0,AY10/BV10,0)))</f>
        <v>0.363270381240432</v>
      </c>
      <c r="BX10" s="66">
        <f>IF(V10&lt;&gt;"SÍ","",IF(BT10=0,"—",0.003*(BU10-(BT10*DATOS!$C$14/(DATOS!$C$21*100)/DATOS!$C$22))/(BT10*DATOS!$C$14/(DATOS!$C$21*100)/DATOS!$C$22)))</f>
        <v>0.0359438584632797</v>
      </c>
      <c r="BY10" s="58">
        <f>IF(V10&lt;&gt;"SÍ","",(W10-AE10-1.5*INDEX(TABLAS!$C$52:$C$58,MATCH(IF(ISNUMBER(S10),S10,DATOS!$C$135),TABLAS!$B$52:$B$58,0))))</f>
        <v>8.575</v>
      </c>
      <c r="BZ10" s="58">
        <f>IF(V10&lt;&gt;"SÍ","",IF(AZ10&lt;=0,0,IF((1-2*AZ10*1E5/(DATOS!$C$29*100*BY10^2*DATOS!$C$21))&lt;0,-1,IF((1-SQRT((1-2*AZ10*1E5/(DATOS!$C$29*100*BY10^2*DATOS!$C$21))))*DATOS!$C$21*100*BY10/DATOS!$C$14&gt;DATOS!$C$99*100*BY10,-1,(1-SQRT((1-2*AZ10*1E5/(DATOS!$C$29*100*BY10^2*DATOS!$C$21))))*DATOS!$C$21*100*BY10/DATOS!$C$14))))</f>
        <v>0.335399521303471</v>
      </c>
      <c r="CA10" s="58">
        <f>IF(V10&lt;&gt;"SÍ","",IF(BZ10&lt;0,-1,MAX(BZ10,BC10)))</f>
        <v>2.16</v>
      </c>
      <c r="CB10" s="64">
        <f>IF(V10&lt;&gt;"SÍ","",IF(AND(CA10&gt;0,FLOOR(MIN(BD10,100*INDEX(TABLAS!$D$52:$D$58,MIN(MATCH(IF(ISNUMBER(S10),S10,DATOS!$C$135),TABLAS!$B$52:$B$58,0)+0,7))/MAX(CA10,0.0001)),DATOS!$C$141)&gt;=DATOS!$C$140),INDEX(TABLAS!$B$52:$B$58,MIN(MATCH(IF(ISNUMBER(S10),S10,DATOS!$C$135),TABLAS!$B$52:$B$58,0)+0,7)),IF(AND(CA10&gt;0,FLOOR(MIN(BD10,100*INDEX(TABLAS!$D$52:$D$58,MIN(MATCH(IF(ISNUMBER(S10),S10,DATOS!$C$135),TABLAS!$B$52:$B$58,0)+1,7))/MAX(CA10,0.0001)),DATOS!$C$141)&gt;=DATOS!$C$140),INDEX(TABLAS!$B$52:$B$58,MIN(MATCH(IF(ISNUMBER(S10),S10,DATOS!$C$135),TABLAS!$B$52:$B$58,0)+1,7)),IF(AND(CA10&gt;0,FLOOR(MIN(BD10,100*INDEX(TABLAS!$D$52:$D$58,MIN(MATCH(IF(ISNUMBER(S10),S10,DATOS!$C$135),TABLAS!$B$52:$B$58,0)+2,7))/MAX(CA10,0.0001)),DATOS!$C$141)&gt;=DATOS!$C$140),INDEX(TABLAS!$B$52:$B$58,MIN(MATCH(IF(ISNUMBER(S10),S10,DATOS!$C$135),TABLAS!$B$52:$B$58,0)+2,7)),IF(AND(CA10&gt;0,FLOOR(MIN(BD10,100*INDEX(TABLAS!$D$52:$D$58,MIN(MATCH(IF(ISNUMBER(S10),S10,DATOS!$C$135),TABLAS!$B$52:$B$58,0)+3,7))/MAX(CA10,0.0001)),DATOS!$C$141)&gt;=DATOS!$C$140),INDEX(TABLAS!$B$52:$B$58,MIN(MATCH(IF(ISNUMBER(S10),S10,DATOS!$C$135),TABLAS!$B$52:$B$58,0)+3,7)),IF(AND(CA10&gt;0,FLOOR(MIN(BD10,100*INDEX(TABLAS!$D$52:$D$58,MIN(MATCH(IF(ISNUMBER(S10),S10,DATOS!$C$135),TABLAS!$B$52:$B$58,0)+4,7))/MAX(CA10,0.0001)),DATOS!$C$141)&gt;=DATOS!$C$140),INDEX(TABLAS!$B$52:$B$58,MIN(MATCH(IF(ISNUMBER(S10),S10,DATOS!$C$135),TABLAS!$B$52:$B$58,0)+4,7)),INDEX(TABLAS!$B$52:$B$58,7)))))))</f>
        <v>3</v>
      </c>
      <c r="CC10" s="71">
        <f>IF(V10&lt;&gt;"SÍ","",IF(CA10&lt;=0,0,FLOOR(MIN(BD10,100*INDEX(TABLAS!$D$52:$D$58,MATCH(CB10,TABLAS!$B$52:$B$58,0))/CA10),DATOS!$C$141)))</f>
        <v>22.5</v>
      </c>
      <c r="CD10" s="58">
        <f>IF(V10&lt;&gt;"SÍ","",IF(CC10&lt;=0,0,INDEX(TABLAS!$D$52:$D$58,MATCH(CB10,TABLAS!$B$52:$B$58,0))*100/CC10))</f>
        <v>3.15555555555556</v>
      </c>
      <c r="CE10" s="58">
        <f>IF(V10&lt;&gt;"SÍ","",W10-AE10-INDEX(TABLAS!$C$52:$C$58,MATCH(BH10,TABLAS!$B$52:$B$58,0))-INDEX(TABLAS!$C$52:$C$58,MATCH(CB10,TABLAS!$B$52:$B$58,0))/2)</f>
        <v>8.575</v>
      </c>
      <c r="CF10" s="56">
        <f>IF(V10&lt;&gt;"SÍ","",IF(CD10=0,0,DATOS!$C$29*CD10*DATOS!$C$14*(CE10-CD10*DATOS!$C$14/(DATOS!$C$21*100)/2)/1E5))</f>
        <v>0.985629350588235</v>
      </c>
      <c r="CG10" s="65">
        <f>IF(V10&lt;&gt;"SÍ","",IF(CA10&lt;0,9.99,IF(CF10&gt;0,AZ10/CF10,0)))</f>
        <v>0.109873456451738</v>
      </c>
      <c r="CH10" s="66">
        <f>IF(V10&lt;&gt;"SÍ","",IF(CD10=0,"—",0.003*(CE10-(CD10*DATOS!$C$14/(DATOS!$C$21*100)/DATOS!$C$22))/(CD10*DATOS!$C$14/(DATOS!$C$21*100)/DATOS!$C$22)))</f>
        <v>0.0320596941021127</v>
      </c>
      <c r="CI10" s="58">
        <f>IF(V10&lt;&gt;"SÍ","",((W10-AF10-1.5*INDEX(TABLAS!$C$52:$C$58,MATCH(IF(ISNUMBER(S10),S10,DATOS!$C$135),TABLAS!$B$52:$B$58,0)))-IF(AND((W10-AF10-1.5*INDEX(TABLAS!$C$52:$C$58,MATCH(IF(ISNUMBER(S10),S10,DATOS!$C$135),TABLAS!$B$52:$B$58,0)))&lt;=20,DATOS!$C$62&lt;&gt;"SÍ"),2,0)))</f>
        <v>8.575</v>
      </c>
      <c r="CJ10" s="58">
        <f>IF(V10&lt;&gt;"SÍ","",IF(BA10&lt;=0,0,IF((1-2*BA10*1E5/(DATOS!$C$29*100*CI10^2*DATOS!$C$21))&lt;0,-1,IF((1-SQRT((1-2*BA10*1E5/(DATOS!$C$29*100*CI10^2*DATOS!$C$21))))*DATOS!$C$21*100*CI10/DATOS!$C$14&gt;DATOS!$C$99*100*CI10,-1,(1-SQRT((1-2*BA10*1E5/(DATOS!$C$29*100*CI10^2*DATOS!$C$21))))*DATOS!$C$21*100*CI10/DATOS!$C$14))))</f>
        <v>0.62756161101836</v>
      </c>
      <c r="CK10" s="58">
        <f>IF(V10&lt;&gt;"SÍ","",IF(CJ10&lt;0,-1,MAX(CJ10,BC10)))</f>
        <v>2.16</v>
      </c>
      <c r="CL10" s="64">
        <f>IF(V10&lt;&gt;"SÍ","",IF(AND(CK10&gt;0,FLOOR(MIN(BD10,100*INDEX(TABLAS!$D$52:$D$58,MIN(MATCH(IF(ISNUMBER(S10),S10,DATOS!$C$135),TABLAS!$B$52:$B$58,0)+0,7))/MAX(CK10,0.0001)),DATOS!$C$141)&gt;=DATOS!$C$140),INDEX(TABLAS!$B$52:$B$58,MIN(MATCH(IF(ISNUMBER(S10),S10,DATOS!$C$135),TABLAS!$B$52:$B$58,0)+0,7)),IF(AND(CK10&gt;0,FLOOR(MIN(BD10,100*INDEX(TABLAS!$D$52:$D$58,MIN(MATCH(IF(ISNUMBER(S10),S10,DATOS!$C$135),TABLAS!$B$52:$B$58,0)+1,7))/MAX(CK10,0.0001)),DATOS!$C$141)&gt;=DATOS!$C$140),INDEX(TABLAS!$B$52:$B$58,MIN(MATCH(IF(ISNUMBER(S10),S10,DATOS!$C$135),TABLAS!$B$52:$B$58,0)+1,7)),IF(AND(CK10&gt;0,FLOOR(MIN(BD10,100*INDEX(TABLAS!$D$52:$D$58,MIN(MATCH(IF(ISNUMBER(S10),S10,DATOS!$C$135),TABLAS!$B$52:$B$58,0)+2,7))/MAX(CK10,0.0001)),DATOS!$C$141)&gt;=DATOS!$C$140),INDEX(TABLAS!$B$52:$B$58,MIN(MATCH(IF(ISNUMBER(S10),S10,DATOS!$C$135),TABLAS!$B$52:$B$58,0)+2,7)),IF(AND(CK10&gt;0,FLOOR(MIN(BD10,100*INDEX(TABLAS!$D$52:$D$58,MIN(MATCH(IF(ISNUMBER(S10),S10,DATOS!$C$135),TABLAS!$B$52:$B$58,0)+3,7))/MAX(CK10,0.0001)),DATOS!$C$141)&gt;=DATOS!$C$140),INDEX(TABLAS!$B$52:$B$58,MIN(MATCH(IF(ISNUMBER(S10),S10,DATOS!$C$135),TABLAS!$B$52:$B$58,0)+3,7)),IF(AND(CK10&gt;0,FLOOR(MIN(BD10,100*INDEX(TABLAS!$D$52:$D$58,MIN(MATCH(IF(ISNUMBER(S10),S10,DATOS!$C$135),TABLAS!$B$52:$B$58,0)+4,7))/MAX(CK10,0.0001)),DATOS!$C$141)&gt;=DATOS!$C$140),INDEX(TABLAS!$B$52:$B$58,MIN(MATCH(IF(ISNUMBER(S10),S10,DATOS!$C$135),TABLAS!$B$52:$B$58,0)+4,7)),INDEX(TABLAS!$B$52:$B$58,7)))))))</f>
        <v>3</v>
      </c>
      <c r="CM10" s="71">
        <f>IF(V10&lt;&gt;"SÍ","",IF(CK10&lt;=0,0,FLOOR(MIN(BD10,100*INDEX(TABLAS!$D$52:$D$58,MATCH(CL10,TABLAS!$B$52:$B$58,0))/CK10),DATOS!$C$141)))</f>
        <v>22.5</v>
      </c>
      <c r="CN10" s="58">
        <f>IF(V10&lt;&gt;"SÍ","",IF(CM10&lt;=0,0,INDEX(TABLAS!$D$52:$D$58,MATCH(CL10,TABLAS!$B$52:$B$58,0))*100/CM10))</f>
        <v>3.15555555555556</v>
      </c>
      <c r="CO10" s="58">
        <f>IF(V10&lt;&gt;"SÍ","",((W10-AF10-INDEX(TABLAS!$C$52:$C$58,MATCH(BR10,TABLAS!$B$52:$B$58,0))-INDEX(TABLAS!$C$52:$C$58,MATCH(CL10,TABLAS!$B$52:$B$58,0))/2)-IF(AND((W10-AF10-INDEX(TABLAS!$C$52:$C$58,MATCH(BR10,TABLAS!$B$52:$B$58,0))-INDEX(TABLAS!$C$52:$C$58,MATCH(CL10,TABLAS!$B$52:$B$58,0))/2)&lt;=20,DATOS!$C$62&lt;&gt;"SÍ"),2,0)))</f>
        <v>8.575</v>
      </c>
      <c r="CP10" s="56">
        <f>IF(V10&lt;&gt;"SÍ","",IF(CN10=0,0,DATOS!$C$29*CN10*DATOS!$C$14*(CO10-CN10*DATOS!$C$14/(DATOS!$C$21*100)/2)/1E5))</f>
        <v>0.985629350588235</v>
      </c>
      <c r="CQ10" s="65">
        <f>IF(V10&lt;&gt;"SÍ","",IF(CK10&lt;0,9.99,IF(CP10&gt;0,BA10/CP10,0)))</f>
        <v>0.204887877742105</v>
      </c>
      <c r="CR10" s="66">
        <f>IF(V10&lt;&gt;"SÍ","",IF(CN10=0,"—",0.003*(CO10-(CN10*DATOS!$C$14/(DATOS!$C$21*100)/DATOS!$C$22))/(CN10*DATOS!$C$14/(DATOS!$C$21*100)/DATOS!$C$22)))</f>
        <v>0.0320596941021127</v>
      </c>
      <c r="CS10" s="56">
        <f>IF(V10&lt;&gt;"SÍ","",IF(C10="PERIMETRAL",MAX(0,(AC10/2-BU10)/100)*(0.95-0.5*AB10)*AK10*IF(AND(AL10&gt;0,AL10&lt;4),DATOS!$C$33,1)/1000,(AK10*MAX(0,AC10-BU10)/100+DATOS!$C$26*N(P10))/1000))</f>
        <v>0.575407537845588</v>
      </c>
      <c r="CT10" s="66">
        <f>IF(V10&lt;&gt;"SÍ","",BT10/(100*BU10))</f>
        <v>0.00331291921843103</v>
      </c>
      <c r="CU10" s="56">
        <f>IF(V10&lt;&gt;"SÍ","",DATOS!$C$30*2*MIN(1,SQRT(2/(1+0.04*BU10)))*CT10^(1/3)*SQRT(DATOS!$C$13)*100*BU10/1000)</f>
        <v>3.36767259788685</v>
      </c>
      <c r="CV10" s="67" t="str">
        <f>IF(V10&lt;&gt;"SÍ","",IF(CS10&lt;=CU10,"CUMPLE","NO CUMPLE: sube h"))</f>
        <v>CUMPLE</v>
      </c>
      <c r="CW10" s="58">
        <f>IF(V10&lt;&gt;"SÍ","",IF(C10="PERIMETRAL",IF(ISNUMBER(R10),R10,DATOS!$C$101),0))</f>
        <v>99</v>
      </c>
      <c r="CX10" s="57">
        <f>IF(V10&lt;&gt;"SÍ","",IF(C10="PERIMETRAL",IF(CW10&gt;2,MAX(9,AD10*(0.8+DATOS!$C$14/14000)/(36+9*(AD10/MAX(AC10,1)))),IF(CW10&gt;0.2,MAX(13,AD10*(0.8+DATOS!$C$14/14000)/(36+5*(AD10/MAX(AC10,1))*(CW10-0.2))),MAX(13,AD10/IF(AL10&gt;0,30,33))))*IF(AND(CW10&gt;0.2,AL10&gt;0,DATOS!$C$102="NO"),1.1,1),Z10*100/DATOS!$C$142))</f>
        <v>9</v>
      </c>
      <c r="CY10" s="61" t="str">
        <f>IF(V10&lt;&gt;"SÍ","",IF(W10&gt;=CX10-0.001,"CUMPLE",IF(C10="VOLADO","NO CUMPLE","CALCULAR FLECHA")))</f>
        <v>CUMPLE</v>
      </c>
      <c r="CZ10" s="60">
        <f>IF(V10&lt;&gt;"SÍ","",IF(C10="VOLADO",MIN(CEILING(IF(ISNUMBER(Q10),Q10,Z10)*100,5),CEILING(MAX(IF((0.5*(0.9*W10/100*DATOS!$C$16)*IF(ISNUMBER(Q10),Q10,Z10)+AY10/IF(ISNUMBER(Q10),Q10,Z10))^2-4*(0.5*(0.9*W10/100*DATOS!$C$16))*AY10&lt;0,IF(ISNUMBER(Q10),Q10,Z10),MIN(IF(ISNUMBER(Q10),Q10,Z10),((0.5*(0.9*W10/100*DATOS!$C$16)*IF(ISNUMBER(Q10),Q10,Z10)+AY10/IF(ISNUMBER(Q10),Q10,Z10))-SQRT((0.5*(0.9*W10/100*DATOS!$C$16)*IF(ISNUMBER(Q10),Q10,Z10)+AY10/IF(ISNUMBER(Q10),Q10,Z10))^2-4*(0.5*(0.9*W10/100*DATOS!$C$16))*AY10))/(2*(0.5*(0.9*W10/100*DATOS!$C$16)))))*100+MAX(BU10,12*INDEX(TABLAS!$C$52:$C$58,MATCH(BR10,TABLAS!$B$52:$B$58,0)),IF(ISNUMBER(Q10),Q10,Z10)*100/16),IF(OR(AF10&lt;INDEX(TABLAS!$C$52:$C$58,MATCH(BR10,TABLAS!$B$52:$B$58,0)),BS10-INDEX(TABLAS!$C$52:$C$58,MATCH(BR10,TABLAS!$B$52:$B$58,0))&lt;2*INDEX(TABLAS!$C$52:$C$58,MATCH(BR10,TABLAS!$B$52:$B$58,0))),INDEX(TABLAS!$I$52:$I$58,MATCH(BR10,TABLAS!$B$52:$B$58,0)),INDEX(TABLAS!$F$52:$F$58,MATCH(BR10,TABLAS!$B$52:$B$58,0)))),5)),IF(((4*((AV10*AK10*Z10^2*1E-4/1000)+((MAX(AR10,AT10)*AK10*Z10^2*1E-4/1000)+(IF(AND(AR10&gt;0,AT10&gt;0),MIN(AR10,AT10),MAX(AR10,AT10))*AK10*Z10^2*1E-4/1000))/2)+AY10-(IF(AND(AR10&gt;0,AT10&gt;0),MIN(AR10,AT10),MAX(AR10,AT10))*AK10*Z10^2*1E-4/1000))^2-16*((AV10*AK10*Z10^2*1E-4/1000)+((MAX(AR10,AT10)*AK10*Z10^2*1E-4/1000)+(IF(AND(AR10&gt;0,AT10&gt;0),MIN(AR10,AT10),MAX(AR10,AT10))*AK10*Z10^2*1E-4/1000))/2)*AY10)&lt;0,CEILING(AC10,5),CEILING(MAX(AC10*((4*((AV10*AK10*Z10^2*1E-4/1000)+((MAX(AR10,AT10)*AK10*Z10^2*1E-4/1000)+(IF(AND(AR10&gt;0,AT10&gt;0),MIN(AR10,AT10),MAX(AR10,AT10))*AK10*Z10^2*1E-4/1000))/2)+AY10-(IF(AND(AR10&gt;0,AT10&gt;0),MIN(AR10,AT10),MAX(AR10,AT10))*AK10*Z10^2*1E-4/1000))-SQRT(MAX(0,((4*((AV10*AK10*Z10^2*1E-4/1000)+((MAX(AR10,AT10)*AK10*Z10^2*1E-4/1000)+(IF(AND(AR10&gt;0,AT10&gt;0),MIN(AR10,AT10),MAX(AR10,AT10))*AK10*Z10^2*1E-4/1000))/2)+AY10-(IF(AND(AR10&gt;0,AT10&gt;0),MIN(AR10,AT10),MAX(AR10,AT10))*AK10*Z10^2*1E-4/1000))^2-16*((AV10*AK10*Z10^2*1E-4/1000)+((MAX(AR10,AT10)*AK10*Z10^2*1E-4/1000)+(IF(AND(AR10&gt;0,AT10&gt;0),MIN(AR10,AT10),MAX(AR10,AT10))*AK10*Z10^2*1E-4/1000))/2)*AY10))))/(8*MAX(((AV10*AK10*Z10^2*1E-4/1000)+((MAX(AR10,AT10)*AK10*Z10^2*1E-4/1000)+(IF(AND(AR10&gt;0,AT10&gt;0),MIN(AR10,AT10),MAX(AR10,AT10))*AK10*Z10^2*1E-4/1000))/2),1E-9))+MAX(BU10,12*INDEX(TABLAS!$C$52:$C$58,MATCH(BR10,TABLAS!$B$52:$B$58,0)),AC10/16),IF(OR(AF10&lt;INDEX(TABLAS!$C$52:$C$58,MATCH(BR10,TABLAS!$B$52:$B$58,0)),BS10-INDEX(TABLAS!$C$52:$C$58,MATCH(BR10,TABLAS!$B$52:$B$58,0))&lt;2*INDEX(TABLAS!$C$52:$C$58,MATCH(BR10,TABLAS!$B$52:$B$58,0))),INDEX(TABLAS!$I$52:$I$58,MATCH(BR10,TABLAS!$B$52:$B$58,0)),INDEX(TABLAS!$F$52:$F$58,MATCH(BR10,TABLAS!$B$52:$B$58,0)))),5))))</f>
        <v>65</v>
      </c>
      <c r="DA10" s="60">
        <f>IF(V10&lt;&gt;"SÍ","",IF(C10="VOLADO",0,IF(((4*((AW10*AK10*Z10^2*1E-4/1000)+((MAX(AS10,AU10)*AK10*Z10^2*1E-4/1000)+(IF(AND(AS10&gt;0,AU10&gt;0),MIN(AS10,AU10),MAX(AS10,AU10))*AK10*Z10^2*1E-4/1000))/2)+BA10-(IF(AND(AS10&gt;0,AU10&gt;0),MIN(AS10,AU10),MAX(AS10,AU10))*AK10*Z10^2*1E-4/1000))^2-16*((AW10*AK10*Z10^2*1E-4/1000)+((MAX(AS10,AU10)*AK10*Z10^2*1E-4/1000)+(IF(AND(AS10&gt;0,AU10&gt;0),MIN(AS10,AU10),MAX(AS10,AU10))*AK10*Z10^2*1E-4/1000))/2)*BA10)&lt;0,CEILING(AD10,5),CEILING(MAX(AD10*((4*((AW10*AK10*Z10^2*1E-4/1000)+((MAX(AS10,AU10)*AK10*Z10^2*1E-4/1000)+(IF(AND(AS10&gt;0,AU10&gt;0),MIN(AS10,AU10),MAX(AS10,AU10))*AK10*Z10^2*1E-4/1000))/2)+BA10-(IF(AND(AS10&gt;0,AU10&gt;0),MIN(AS10,AU10),MAX(AS10,AU10))*AK10*Z10^2*1E-4/1000))-SQRT(MAX(0,((4*((AW10*AK10*Z10^2*1E-4/1000)+((MAX(AS10,AU10)*AK10*Z10^2*1E-4/1000)+(IF(AND(AS10&gt;0,AU10&gt;0),MIN(AS10,AU10),MAX(AS10,AU10))*AK10*Z10^2*1E-4/1000))/2)+BA10-(IF(AND(AS10&gt;0,AU10&gt;0),MIN(AS10,AU10),MAX(AS10,AU10))*AK10*Z10^2*1E-4/1000))^2-16*((AW10*AK10*Z10^2*1E-4/1000)+((MAX(AS10,AU10)*AK10*Z10^2*1E-4/1000)+(IF(AND(AS10&gt;0,AU10&gt;0),MIN(AS10,AU10),MAX(AS10,AU10))*AK10*Z10^2*1E-4/1000))/2)*BA10))))/(8*MAX(((AW10*AK10*Z10^2*1E-4/1000)+((MAX(AS10,AU10)*AK10*Z10^2*1E-4/1000)+(IF(AND(AS10&gt;0,AU10&gt;0),MIN(AS10,AU10),MAX(AS10,AU10))*AK10*Z10^2*1E-4/1000))/2),1E-9))+MAX(CO10,12*INDEX(TABLAS!$C$52:$C$58,MATCH(CL10,TABLAS!$B$52:$B$58,0)),AD10/16),IF(OR(AF10&lt;INDEX(TABLAS!$C$52:$C$58,MATCH(CL10,TABLAS!$B$52:$B$58,0)),CM10-INDEX(TABLAS!$C$52:$C$58,MATCH(CL10,TABLAS!$B$52:$B$58,0))&lt;2*INDEX(TABLAS!$C$52:$C$58,MATCH(CL10,TABLAS!$B$52:$B$58,0))),INDEX(TABLAS!$I$52:$I$58,MATCH(CL10,TABLAS!$B$52:$B$58,0)),INDEX(TABLAS!$F$52:$F$58,MATCH(CL10,TABLAS!$B$52:$B$58,0)))),5))))</f>
        <v>95</v>
      </c>
      <c r="DB10" s="55" t="str">
        <f>IF(V10&lt;&gt;"SÍ","",IF(AND(C10="PERIMETRAL",AL10-AM10&gt;0,AT10&gt;0),"SÍ","NO"))</f>
        <v>SÍ</v>
      </c>
      <c r="DC10" s="55" t="str">
        <f>IF(V10&lt;&gt;"SÍ","",IF(AND(C10="PERIMETRAL",AM10&gt;0,AU10&gt;0),"SÍ","NO"))</f>
        <v>SÍ</v>
      </c>
      <c r="DD10" s="63" t="str">
        <f>IF(V10&lt;&gt;"SÍ","",IF(OR(C10="VOLADO",AL10=0),"—",IF(AND(AND(INDEX(TABLAS!$G$52:$G$58,MATCH(MAX(BR10,CL10),TABLAS!$B$52:$B$58,0))&lt;=(DATOS!$C$72-DATOS!$C$60),(DATOS!$C$72-DATOS!$C$60)&gt;=15),8*INDEX(TABLAS!$C$52:$C$58,MATCH(MAX(BH10,CB10,BR10,CL10),TABLAS!$B$52:$B$58,0))&lt;=DATOS!$C$73-2*DATOS!$C$60),"CUMPLE (gancho de 180°)",IF(AND(INDEX(TABLAS!$G$52:$G$58,MATCH(MAX(BR10,CL10),TABLAS!$B$52:$B$58,0))&lt;=(DATOS!$C$72-DATOS!$C$60),(DATOS!$C$72-DATOS!$C$60)&gt;=15),"NO CUMPLE: el gancho de 180° (8·d_b) no cabe en el peralte de la dala de borde","NO CUMPLE: dala de borde ≥ "&amp;TEXT(CEILING(MAX(INDEX(TABLAS!$G$52:$G$58,MATCH(MAX(BR10,CL10),TABLAS!$B$52:$B$58,0)),15)+DATOS!$C$60,5),"0")&amp;" cm de ancho"&amp;IF(8*INDEX(TABLAS!$C$52:$C$58,MATCH(MAX(BH10,CB10,BR10,CL10),TABLAS!$B$52:$B$58,0))&lt;=DATOS!$C$73-2*DATOS!$C$60,""," y más peralte para el gancho")))))</f>
        <v>CUMPLE (gancho de 180°)</v>
      </c>
      <c r="DE10" s="69" t="str">
        <f>IF(V10&lt;&gt;"SÍ","",IF(BI10=0,"NO ALCANZA","No. "&amp;BH10&amp;" @ "&amp;BI10&amp;" cm"&amp;IF(C10="VOLADO"," (temperatura)","")))</f>
        <v>No. 3 @ 22.5 cm</v>
      </c>
      <c r="DF10" s="69" t="str">
        <f>IF(V10&lt;&gt;"SÍ","",IF(BS10=0,"NO ALCANZA",IF(C10="VOLADO","No. "&amp;BR10&amp;" @ "&amp;BS10&amp;" cm"&amp;" de la orilla al respaldo ("&amp;IF(CZ10&gt;=100*IF(ISNUMBER(Q10),Q10,Z10),"hasta su apoyo lejano, con gancho","entran "&amp;TEXT(CZ10/100,"0.00")&amp;" m desde el paño")&amp;")","Bastones "&amp;"No. "&amp;BR10&amp;" @ "&amp;BS10&amp;" cm"&amp;", L = "&amp;TEXT(CZ10/100,"0.00")&amp;" m desde el paño")))</f>
        <v>Bastones No. 3 @ 22.5 cm, L = 0.65 m desde el paño</v>
      </c>
      <c r="DG10" s="69" t="str">
        <f>IF(V10&lt;&gt;"SÍ","",IF(CC10=0,"NO ALCANZA","No. "&amp;CB10&amp;" @ "&amp;CC10&amp;" cm"&amp;IF(C10="VOLADO"," (repartición)","")))</f>
        <v>No. 3 @ 22.5 cm</v>
      </c>
      <c r="DH10" s="69" t="str">
        <f>IF(V10&lt;&gt;"SÍ","",IF(CM10=0,"NO ALCANZA",IF(C10="VOLADO","No. "&amp;CL10&amp;" @ "&amp;CM10&amp;" cm"&amp;" (repartición)","Bastones "&amp;"No. "&amp;CL10&amp;" @ "&amp;CM10&amp;" cm"&amp;", L = "&amp;TEXT(DA10/100,"0.00")&amp;" m desde el paño")))</f>
        <v>Bastones No. 3 @ 22.5 cm, L = 0.95 m desde el paño</v>
      </c>
      <c r="DI10" s="67" t="str">
        <f>IF(B10="","",IF(V10&lt;&gt;"SÍ","FALTAN DATOS: tipo, a_x, a_y y destino",IF(L10="NO MONOLÍTICO (caso II)","FUERA DE ALCANCE: caso II no transcrito",IF(AND(C10="VOLADO",X10="?"),"REVISAR: el volado lleva UN solo borde CONTINUO (el empotrado)",IF(AND(MAX(BM10,BW10,CG10,CQ10)&lt;=1,NOT(OR(BI10&lt;DATOS!$C$140,BS10&lt;DATOS!$C$140,CC10&lt;DATOS!$C$140,CM10&lt;DATOS!$C$140)),NOT(OR(AND(ISNUMBER(BN10),BN10&lt;0.005),AND(ISNUMBER(BX10),BX10&lt;0.005),AND(ISNUMBER(CH10),CH10&lt;0.005),AND(ISNUMBER(CR10),CR10&lt;0.005))),CV10="CUMPLE",CY10="CUMPLE"),"CUMPLE"&amp;IF(LEFT(BB10,5)="FUERA"," · fuera de 3.4.2.1 c)","")&amp;IF(LEFT(DD10,2)="NO"," · REVISAR anclaje en borde discontinuo",""),IF(AND(MAX(BM10,BW10,CG10,CQ10)&lt;=1,NOT(OR(BI10&lt;DATOS!$C$140,BS10&lt;DATOS!$C$140,CC10&lt;DATOS!$C$140,CM10&lt;DATOS!$C$140)),NOT(OR(AND(ISNUMBER(BN10),BN10&lt;0.005),AND(ISNUMBER(BX10),BX10&lt;0.005),AND(ISNUMBER(CH10),CH10&lt;0.005),AND(ISNUMBER(CR10),CR10&lt;0.005))),CV10="CUMPLE",CY10="CALCULAR FLECHA"),"REVISAR: calcular flecha (h &lt; h mín.)"&amp;IF(LEFT(BB10,5)="FUERA"," · fuera de 3.4.2.1 c)","")&amp;IF(LEFT(DD10,2)="NO"," · REVISAR anclaje en borde discontinuo",""),"NO CUMPLE: "&amp;IF(MAX(BM10,BW10,CG10,CQ10)&gt;1,"flexión ","")&amp;IF(OR(BI10&lt;DATOS!$C$140,BS10&lt;DATOS!$C$140,CC10&lt;DATOS!$C$140,CM10&lt;DATOS!$C$140),"separación &lt; mínima ","")&amp;IF(OR(AND(ISNUMBER(BN10),BN10&lt;0.005),AND(ISNUMBER(BX10),BX10&lt;0.005),AND(ISNUMBER(CH10),CH10&lt;0.005),AND(ISNUMBER(CR10),CR10&lt;0.005)),"ε_t &lt; 0.005 ","")&amp;IF(CV10&lt;&gt;"CUMPLE","cortante ","")&amp;IF(CY10="NO CUMPLE","peralte","")))))))</f>
        <v>CUMPLE</v>
      </c>
      <c r="DJ10" s="70" t="str">
        <f>IF(V10&lt;&gt;"SÍ","",IF(LEFT(B10,7)="EJEMPLO","EJEMPLO de tablero típico: bórralo o sobrescríbelo. ","")&amp;IF(C10="VOLADO","Volado de "&amp;TEXT(Z10,"0.00")&amp;" m empotrado en el borde "&amp;LOWER(X10)&amp;IF(N(P10)&gt;0,", con "&amp;TEXT(P10,"0.0")&amp;" kg/m en la orilla","")&amp;". Lecho inferior con r_ext. Si la orilla carga pretil u otro elemento frágil, calcula la flecha (13.4). El acero superior entra al respaldo de "&amp;TEXT(IF(ISNUMBER(Q10),Q10,Z10),"0.00")&amp;" m"&amp;IF(ISNUMBER(Q10),""," (L_b no capturado: se tomó igual al volado)")&amp;" hasta pasar M = 0 con 0.9·PP sin carga viva; si ahí no se anula, llega al apoyo lejano y se ancla con gancho. ","")&amp;IF(LEFT(BB10,5)="FUERA","El M⁻ del vecino difiere más de 50 % (3.4.2.1 c): distribuye el desequilibrio (3.4.3.1) o confirma con un modelo; se arma con el mayor. ","")&amp;IF(OR(DB10="SÍ",DC10="SÍ"),"Bastones también en los bordes discontinuos (M⁻ de tabla), con gancho. ","")&amp;IF(LEFT(DD10,2)="NO","Anclaje: "&amp;DD10&amp;" (6.7.7.4.1.1). ","")&amp;IF(OR(AT10&gt;0,AU10&gt;0),"Esquinas exteriores sobre muro: refuerzo de esquina arriba y abajo en L_largo/5 (6.7.7.3.1). ",""))</f>
        <v>EJEMPLO de tablero típico: bórralo o sobrescríbelo. Bastones también en los bordes discontinuos (M⁻ de tabla), con gancho. Esquinas exteriores sobre muro: refuerzo de esquina arriba y abajo en L_largo/5 (6.7.7.3.1). </v>
      </c>
    </row>
    <row r="11" ht="33" customHeight="1">
      <c r="A11" s="50">
        <f>IF(B11="",0,1)+A10</f>
        <v>3</v>
      </c>
      <c r="B11" s="29" t="inlineStr">
        <is>
          <t>EJEMPLO M-3 (volado 1.2 m)</t>
        </is>
      </c>
      <c r="C11" s="51" t="inlineStr">
        <is>
          <t>VOLADO</t>
        </is>
      </c>
      <c r="D11" s="29" t="inlineStr">
        <is>
          <t>HABITACIÓN</t>
        </is>
      </c>
      <c r="E11" s="52" t="n">
        <v>1.2</v>
      </c>
      <c r="F11" s="52" t="n">
        <v>3</v>
      </c>
      <c r="G11" s="51" t="inlineStr">
        <is>
          <t>DISCONTINUO</t>
        </is>
      </c>
      <c r="H11" s="51" t="inlineStr">
        <is>
          <t>DISCONTINUO</t>
        </is>
      </c>
      <c r="I11" s="51" t="inlineStr">
        <is>
          <t>CONTINUO</t>
        </is>
      </c>
      <c r="J11" s="51" t="inlineStr">
        <is>
          <t>DISCONTINUO</t>
        </is>
      </c>
      <c r="K11" s="51" t="inlineStr">
        <is>
          <t>AUTO</t>
        </is>
      </c>
      <c r="L11" s="51" t="inlineStr">
        <is>
          <t>MONOLÍTICO (caso I)</t>
        </is>
      </c>
      <c r="M11" s="54" t="n">
        <v>12</v>
      </c>
      <c r="N11" s="53" t="n">
        <v>160</v>
      </c>
      <c r="O11" s="53" t="n"/>
      <c r="P11" s="54" t="n">
        <v>100</v>
      </c>
      <c r="Q11" s="52" t="n">
        <v>3</v>
      </c>
      <c r="R11" s="54" t="n"/>
      <c r="S11" s="53" t="n"/>
      <c r="T11" s="52" t="n"/>
      <c r="U11" s="52" t="n"/>
      <c r="V11" s="55" t="str">
        <f>IF(B11="","",IF(AND(OR(C11="PERIMETRAL",C11="VOLADO"),ISNUMBER(E11),ISNUMBER(F11),E11&gt;0,F11&gt;0,OR(ISNUMBER(O11),ISNUMBER(MATCH(D11,DATOS!$B$46:$B$55,0)))),"SÍ","NO"))</f>
        <v>SÍ</v>
      </c>
      <c r="W11" s="57">
        <f>IF(V11&lt;&gt;"SÍ","",IF(ISNUMBER(M11),M11,DATOS!$C$134))</f>
        <v>12</v>
      </c>
      <c r="X11" s="55" t="str">
        <f>IF(V11&lt;&gt;"SÍ","",IF(C11&lt;&gt;"VOLADO","—",IF(COUNTIF(G11:J11,"CONTINUO")&lt;&gt;1,"?",IF(G11="CONTINUO","INFERIOR",IF(H11="CONTINUO","SUPERIOR",IF(I11="CONTINUO","IZQUIERDO","DERECHO"))))))</f>
        <v>IZQUIERDO</v>
      </c>
      <c r="Y11" s="55" t="str">
        <f>IF(V11&lt;&gt;"SÍ","",IF(C11="VOLADO",IF(OR(X11="IZQUIERDO",X11="DERECHO"),"X","Y"),IF(E11&lt;=F11,"X","Y")))</f>
        <v>X</v>
      </c>
      <c r="Z11" s="56">
        <f>IF(V11&lt;&gt;"SÍ","",IF(C11="VOLADO",IF(Y11="X",E11,F11),MIN(E11,F11)))</f>
        <v>1.2</v>
      </c>
      <c r="AA11" s="56">
        <f>IF(V11&lt;&gt;"SÍ","",IF(C11="VOLADO",IF(Y11="X",F11,E11),MAX(E11,F11)))</f>
        <v>3</v>
      </c>
      <c r="AB11" s="56">
        <f>IF(V11&lt;&gt;"SÍ","",MIN(Z11,AA11)/MAX(Z11,AA11))</f>
        <v>0.4</v>
      </c>
      <c r="AC11" s="57">
        <f>IF(V11&lt;&gt;"SÍ","",MAX(1,Z11*100-IF(C11="VOLADO",DATOS!$C$84/2,DATOS!$C$84)))</f>
        <v>112.5</v>
      </c>
      <c r="AD11" s="57">
        <f>IF(V11&lt;&gt;"SÍ","",MAX(1,AA11*100-DATOS!$C$84))</f>
        <v>285</v>
      </c>
      <c r="AE11" s="57">
        <f>IF(V11&lt;&gt;"SÍ","",IF(C11="VOLADO",DATOS!$C$61,DATOS!$C$59))</f>
        <v>4</v>
      </c>
      <c r="AF11" s="57">
        <f>IF(V11&lt;&gt;"SÍ","",IF(OR(AND(AG11="SÍ",DATOS!$C$63="SÍ"),AND(C11="VOLADO",DATOS!$C$64="SÍ")),DATOS!$C$61,DATOS!$C$59))</f>
        <v>2</v>
      </c>
      <c r="AG11" s="55" t="str">
        <f>IF(V11&lt;&gt;"SÍ","",IFERROR(INDEX(DATOS!$D$46:$D$55,MATCH(D11,DATOS!$B$46:$B$55,0)),"NO"))</f>
        <v>NO</v>
      </c>
      <c r="AH11" s="59">
        <f>IF(V11&lt;&gt;"SÍ","",IF(ISNUMBER(O11),O11,IFERROR(INDEX(DATOS!$C$46:$C$55,MATCH(D11,DATOS!$B$46:$B$55,0)),0)))</f>
        <v>190</v>
      </c>
      <c r="AI11" s="59">
        <f>IF(V11&lt;&gt;"SÍ","",W11/100*DATOS!$C$16*1000+DATOS!$C$37+DATOS!$C$38)</f>
        <v>328</v>
      </c>
      <c r="AJ11" s="59">
        <f>IF(V11&lt;&gt;"SÍ","",AI11+N(N11))</f>
        <v>488</v>
      </c>
      <c r="AK11" s="60">
        <f>IF(V11&lt;&gt;"SÍ","",MAX(DATOS!$C$26*AJ11+DATOS!$C$27*AH11,IF(AG11="SÍ",DATOS!$C$28*(AJ11+DATOS!$C$41),0)))</f>
        <v>919.4</v>
      </c>
      <c r="AL11" s="59">
        <f>IF(V11&lt;&gt;"SÍ","",(G11="DISCONTINUO")+(H11="DISCONTINUO")+(I11="DISCONTINUO")+(J11="DISCONTINUO"))</f>
        <v>3</v>
      </c>
      <c r="AM11" s="59">
        <f>IF(V11&lt;&gt;"SÍ","",IF(Y11="X",(G11="DISCONTINUO")+(H11="DISCONTINUO"),(I11="DISCONTINUO")+(J11="DISCONTINUO")))</f>
        <v>2</v>
      </c>
      <c r="AN11" s="55" t="str">
        <f>IF(V11&lt;&gt;"SÍ","",IF(AL11=0,"INTERIOR",IF(AL11=1,IF(AM11=1,"BORDE-CORTO","BORDE-LARGO"),IF(AL11=2,IF(AM11=1,"ESQUINA",IF(AM11=2,"EXTREMO-LARGO","EXTREMO-CORTO")),IF(AL11=3,IF(AM11=2,"EXTREMO-LARGO","EXTREMO-CORTO"),"AISLADO")))))</f>
        <v>EXTREMO-LARGO</v>
      </c>
      <c r="AO11" s="61" t="str">
        <f>IF(V11&lt;&gt;"SÍ","",IF(OR(K11="",K11="AUTO"),AN11,K11))</f>
        <v>EXTREMO-LARGO</v>
      </c>
      <c r="AP11" s="59">
        <f>IF(V11&lt;&gt;"SÍ","",MATCH(AB11,TABLAS!$D$5:$J$5,1))</f>
        <v>1</v>
      </c>
      <c r="AQ11" s="58">
        <f>IF(V11&lt;&gt;"SÍ","",IF(AP11&gt;=7,0,(AB11-INDEX(TABLAS!$D$5:$J$5,AP11))/(INDEX(TABLAS!$D$5:$J$5,AP11+1)-INDEX(TABLAS!$D$5:$J$5,AP11))))</f>
        <v>0.8</v>
      </c>
      <c r="AR11" s="59">
        <f>IF(V11&lt;&gt;"SÍ","",INDEX(TABLAS!$D$6:$J$47,MATCH(AO11&amp;"|NIC",TABLAS!$B$6:$B$47,0),AP11)+AQ11*(INDEX(TABLAS!$D$6:$J$47,MATCH(AO11&amp;"|NIC",TABLAS!$B$6:$B$47,0),MIN(AP11+1,7))-INDEX(TABLAS!$D$6:$J$47,MATCH(AO11&amp;"|NIC",TABLAS!$B$6:$B$47,0),AP11)))</f>
        <v>1388</v>
      </c>
      <c r="AS11" s="59">
        <f>IF(V11&lt;&gt;"SÍ","",INDEX(TABLAS!$D$6:$J$47,MATCH(AO11&amp;"|NIL",TABLAS!$B$6:$B$47,0),AP11)+AQ11*(INDEX(TABLAS!$D$6:$J$47,MATCH(AO11&amp;"|NIL",TABLAS!$B$6:$B$47,0),MIN(AP11+1,7))-INDEX(TABLAS!$D$6:$J$47,MATCH(AO11&amp;"|NIL",TABLAS!$B$6:$B$47,0),AP11)))</f>
        <v>0</v>
      </c>
      <c r="AT11" s="59">
        <f>IF(V11&lt;&gt;"SÍ","",INDEX(TABLAS!$D$6:$J$47,MATCH(AO11&amp;"|NDC",TABLAS!$B$6:$B$47,0),AP11)+AQ11*(INDEX(TABLAS!$D$6:$J$47,MATCH(AO11&amp;"|NDC",TABLAS!$B$6:$B$47,0),MIN(AP11+1,7))-INDEX(TABLAS!$D$6:$J$47,MATCH(AO11&amp;"|NDC",TABLAS!$B$6:$B$47,0),AP11)))</f>
        <v>426.2</v>
      </c>
      <c r="AU11" s="59">
        <f>IF(V11&lt;&gt;"SÍ","",INDEX(TABLAS!$D$6:$J$47,MATCH(AO11&amp;"|NDL",TABLAS!$B$6:$B$47,0),AP11)+AQ11*(INDEX(TABLAS!$D$6:$J$47,MATCH(AO11&amp;"|NDL",TABLAS!$B$6:$B$47,0),MIN(AP11+1,7))-INDEX(TABLAS!$D$6:$J$47,MATCH(AO11&amp;"|NDL",TABLAS!$B$6:$B$47,0),AP11)))</f>
        <v>332.8</v>
      </c>
      <c r="AV11" s="59">
        <f>IF(V11&lt;&gt;"SÍ","",INDEX(TABLAS!$D$6:$J$47,MATCH(AO11&amp;"|PC",TABLAS!$B$6:$B$47,0),AP11)+AQ11*(INDEX(TABLAS!$D$6:$J$47,MATCH(AO11&amp;"|PC",TABLAS!$B$6:$B$47,0),MIN(AP11+1,7))-INDEX(TABLAS!$D$6:$J$47,MATCH(AO11&amp;"|PC",TABLAS!$B$6:$B$47,0),AP11)))</f>
        <v>734.2</v>
      </c>
      <c r="AW11" s="59">
        <f>IF(V11&lt;&gt;"SÍ","",INDEX(TABLAS!$D$6:$J$47,MATCH(AO11&amp;"|PL",TABLAS!$B$6:$B$47,0),AP11)+AQ11*(INDEX(TABLAS!$D$6:$J$47,MATCH(AO11&amp;"|PL",TABLAS!$B$6:$B$47,0),MIN(AP11+1,7))-INDEX(TABLAS!$D$6:$J$47,MATCH(AO11&amp;"|PL",TABLAS!$B$6:$B$47,0),AP11)))</f>
        <v>381</v>
      </c>
      <c r="AX11" s="56">
        <f>IF(V11&lt;&gt;"SÍ","",IF(C11="PERIMETRAL",AV11*AK11*Z11^2*1E-4/1000,0))</f>
        <v>0</v>
      </c>
      <c r="AY11" s="62">
        <f>IF(V11&lt;&gt;"SÍ","",IF(C11="PERIMETRAL",MAX(MAX(AR11,AT11)*AK11*Z11^2*1E-4/1000,N(T11)),(AK11*(AC11/100)^2/2+DATOS!$C$26*N(P11)*AC11/100)/1000))</f>
        <v>0.7280578125</v>
      </c>
      <c r="AZ11" s="56">
        <f>IF(V11&lt;&gt;"SÍ","",IF(C11="PERIMETRAL",AW11*AK11*Z11^2*1E-4/1000,0))</f>
        <v>0</v>
      </c>
      <c r="BA11" s="56">
        <f>IF(V11&lt;&gt;"SÍ","",IF(C11="PERIMETRAL",MAX(MAX(AS11,AU11)*AK11*Z11^2*1E-4/1000,N(U11)),0))</f>
        <v>0</v>
      </c>
      <c r="BB11" s="63" t="str">
        <f>IF(V11&lt;&gt;"SÍ","",IF(C11&lt;&gt;"PERIMETRAL","—",IF(AND(N(T11)=0,N(U11)=0),"— (sin M⁻ del vecino)",IF(OR(AND(N(T11)&gt;0,ABS(MAX(AR11,AT11)*AK11*Z11^2*1E-4/1000-N(T11))&gt;0.5*MIN(MAX(AR11,AT11)*AK11*Z11^2*1E-4/1000,N(T11))),AND(N(U11)&gt;0,ABS(MAX(AS11,AU11)*AK11*Z11^2*1E-4/1000-N(U11))&gt;0.5*MIN(MAX(AS11,AU11)*AK11*Z11^2*1E-4/1000,N(U11)))),"FUERA: difieren &gt; 50 %"&amp;IF(AND(N(T11)&gt;0,ABS(MAX(AR11,AT11)*AK11*Z11^2*1E-4/1000-N(T11))&gt;0.5*MIN(MAX(AR11,AT11)*AK11*Z11^2*1E-4/1000,N(T11)))," ‖ corto","")&amp;IF(AND(N(U11)&gt;0,ABS(MAX(AS11,AU11)*AK11*Z11^2*1E-4/1000-N(U11))&gt;0.5*MIN(MAX(AS11,AU11)*AK11*Z11^2*1E-4/1000,N(U11)))," ‖ largo",""),"CUMPLE"))))</f>
        <v>—</v>
      </c>
      <c r="BC11" s="58">
        <f>IF(V11&lt;&gt;"SÍ","",DATOS!$C$136*100*W11)</f>
        <v>2.16</v>
      </c>
      <c r="BD11" s="57">
        <f>IF(V11&lt;&gt;"SÍ","",MIN(IF(C11="VOLADO",DATOS!$C$138,DATOS!$C$137)*W11,DATOS!$C$139))</f>
        <v>36</v>
      </c>
      <c r="BE11" s="58">
        <f>IF(V11&lt;&gt;"SÍ","",(W11-AE11-INDEX(TABLAS!$C$52:$C$58,MATCH(IF(ISNUMBER(S11),S11,DATOS!$C$135),TABLAS!$B$52:$B$58,0))/2))</f>
        <v>7.525</v>
      </c>
      <c r="BF11" s="58">
        <f>IF(V11&lt;&gt;"SÍ","",IF(AX11&lt;=0,0,IF((1-2*AX11*1E5/(DATOS!$C$29*100*BE11^2*DATOS!$C$21))&lt;0,-1,IF((1-SQRT((1-2*AX11*1E5/(DATOS!$C$29*100*BE11^2*DATOS!$C$21))))*DATOS!$C$21*100*BE11/DATOS!$C$14&gt;DATOS!$C$99*100*BE11,-1,(1-SQRT((1-2*AX11*1E5/(DATOS!$C$29*100*BE11^2*DATOS!$C$21))))*DATOS!$C$21*100*BE11/DATOS!$C$14))))</f>
        <v>0</v>
      </c>
      <c r="BG11" s="58">
        <f>IF(V11&lt;&gt;"SÍ","",IF(BF11&lt;0,-1,MAX(BF11,BC11)))</f>
        <v>2.16</v>
      </c>
      <c r="BH11" s="64">
        <f>IF(V11&lt;&gt;"SÍ","",IF(AND(BG11&gt;0,FLOOR(MIN(BD11,100*INDEX(TABLAS!$D$52:$D$58,MIN(MATCH(IF(ISNUMBER(S11),S11,DATOS!$C$135),TABLAS!$B$52:$B$58,0)+0,7))/MAX(BG11,0.0001)),DATOS!$C$141)&gt;=DATOS!$C$140),INDEX(TABLAS!$B$52:$B$58,MIN(MATCH(IF(ISNUMBER(S11),S11,DATOS!$C$135),TABLAS!$B$52:$B$58,0)+0,7)),IF(AND(BG11&gt;0,FLOOR(MIN(BD11,100*INDEX(TABLAS!$D$52:$D$58,MIN(MATCH(IF(ISNUMBER(S11),S11,DATOS!$C$135),TABLAS!$B$52:$B$58,0)+1,7))/MAX(BG11,0.0001)),DATOS!$C$141)&gt;=DATOS!$C$140),INDEX(TABLAS!$B$52:$B$58,MIN(MATCH(IF(ISNUMBER(S11),S11,DATOS!$C$135),TABLAS!$B$52:$B$58,0)+1,7)),IF(AND(BG11&gt;0,FLOOR(MIN(BD11,100*INDEX(TABLAS!$D$52:$D$58,MIN(MATCH(IF(ISNUMBER(S11),S11,DATOS!$C$135),TABLAS!$B$52:$B$58,0)+2,7))/MAX(BG11,0.0001)),DATOS!$C$141)&gt;=DATOS!$C$140),INDEX(TABLAS!$B$52:$B$58,MIN(MATCH(IF(ISNUMBER(S11),S11,DATOS!$C$135),TABLAS!$B$52:$B$58,0)+2,7)),IF(AND(BG11&gt;0,FLOOR(MIN(BD11,100*INDEX(TABLAS!$D$52:$D$58,MIN(MATCH(IF(ISNUMBER(S11),S11,DATOS!$C$135),TABLAS!$B$52:$B$58,0)+3,7))/MAX(BG11,0.0001)),DATOS!$C$141)&gt;=DATOS!$C$140),INDEX(TABLAS!$B$52:$B$58,MIN(MATCH(IF(ISNUMBER(S11),S11,DATOS!$C$135),TABLAS!$B$52:$B$58,0)+3,7)),IF(AND(BG11&gt;0,FLOOR(MIN(BD11,100*INDEX(TABLAS!$D$52:$D$58,MIN(MATCH(IF(ISNUMBER(S11),S11,DATOS!$C$135),TABLAS!$B$52:$B$58,0)+4,7))/MAX(BG11,0.0001)),DATOS!$C$141)&gt;=DATOS!$C$140),INDEX(TABLAS!$B$52:$B$58,MIN(MATCH(IF(ISNUMBER(S11),S11,DATOS!$C$135),TABLAS!$B$52:$B$58,0)+4,7)),INDEX(TABLAS!$B$52:$B$58,7)))))))</f>
        <v>3</v>
      </c>
      <c r="BI11" s="71">
        <f>IF(V11&lt;&gt;"SÍ","",IF(BG11&lt;=0,0,FLOOR(MIN(BD11,100*INDEX(TABLAS!$D$52:$D$58,MATCH(BH11,TABLAS!$B$52:$B$58,0))/BG11),DATOS!$C$141)))</f>
        <v>32.5</v>
      </c>
      <c r="BJ11" s="58">
        <f>IF(V11&lt;&gt;"SÍ","",IF(BI11&lt;=0,0,INDEX(TABLAS!$D$52:$D$58,MATCH(BH11,TABLAS!$B$52:$B$58,0))*100/BI11))</f>
        <v>2.18461538461538</v>
      </c>
      <c r="BK11" s="58">
        <f>IF(V11&lt;&gt;"SÍ","",W11-AE11-INDEX(TABLAS!$C$52:$C$58,MATCH(BH11,TABLAS!$B$52:$B$58,0))/2)</f>
        <v>7.525</v>
      </c>
      <c r="BL11" s="56">
        <f>IF(V11&lt;&gt;"SÍ","",IF(BJ11=0,0,DATOS!$C$29*BJ11*DATOS!$C$14*(BK11-BJ11*DATOS!$C$14/(DATOS!$C$21*100)/2)/1E5))</f>
        <v>0.603574943181343</v>
      </c>
      <c r="BM11" s="65">
        <f>IF(V11&lt;&gt;"SÍ","",IF(BG11&lt;0,9.99,IF(BL11&gt;0,AX11/BL11,0)))</f>
        <v>0</v>
      </c>
      <c r="BN11" s="66">
        <f>IF(V11&lt;&gt;"SÍ","",IF(BJ11=0,"—",0.003*(BK11-(BJ11*DATOS!$C$14/(DATOS!$C$21*100)/DATOS!$C$22))/(BJ11*DATOS!$C$14/(DATOS!$C$21*100)/DATOS!$C$22)))</f>
        <v>0.0414407460387324</v>
      </c>
      <c r="BO11" s="58">
        <f>IF(V11&lt;&gt;"SÍ","",((W11-AF11-INDEX(TABLAS!$C$52:$C$58,MATCH(IF(ISNUMBER(S11),S11,DATOS!$C$135),TABLAS!$B$52:$B$58,0))/2)-IF(AND((W11-AF11-INDEX(TABLAS!$C$52:$C$58,MATCH(IF(ISNUMBER(S11),S11,DATOS!$C$135),TABLAS!$B$52:$B$58,0))/2)&lt;=20,DATOS!$C$62&lt;&gt;"SÍ"),2,0)))</f>
        <v>9.525</v>
      </c>
      <c r="BP11" s="58">
        <f>IF(V11&lt;&gt;"SÍ","",IF(AY11&lt;=0,0,IF((1-2*AY11*1E5/(DATOS!$C$29*100*BO11^2*DATOS!$C$21))&lt;0,-1,IF((1-SQRT((1-2*AY11*1E5/(DATOS!$C$29*100*BO11^2*DATOS!$C$21))))*DATOS!$C$21*100*BO11/DATOS!$C$14&gt;DATOS!$C$99*100*BO11,-1,(1-SQRT((1-2*AY11*1E5/(DATOS!$C$29*100*BO11^2*DATOS!$C$21))))*DATOS!$C$21*100*BO11/DATOS!$C$14))))</f>
        <v>2.0664335703261</v>
      </c>
      <c r="BQ11" s="58">
        <f>IF(V11&lt;&gt;"SÍ","",IF(BP11&lt;0,-1,MAX(BP11,BC11)))</f>
        <v>2.16</v>
      </c>
      <c r="BR11" s="64">
        <f>IF(V11&lt;&gt;"SÍ","",IF(AND(BQ11&gt;0,FLOOR(MIN(BD11,100*INDEX(TABLAS!$D$52:$D$58,MIN(MATCH(IF(ISNUMBER(S11),S11,DATOS!$C$135),TABLAS!$B$52:$B$58,0)+0,7))/MAX(BQ11,0.0001)),DATOS!$C$141)&gt;=DATOS!$C$140),INDEX(TABLAS!$B$52:$B$58,MIN(MATCH(IF(ISNUMBER(S11),S11,DATOS!$C$135),TABLAS!$B$52:$B$58,0)+0,7)),IF(AND(BQ11&gt;0,FLOOR(MIN(BD11,100*INDEX(TABLAS!$D$52:$D$58,MIN(MATCH(IF(ISNUMBER(S11),S11,DATOS!$C$135),TABLAS!$B$52:$B$58,0)+1,7))/MAX(BQ11,0.0001)),DATOS!$C$141)&gt;=DATOS!$C$140),INDEX(TABLAS!$B$52:$B$58,MIN(MATCH(IF(ISNUMBER(S11),S11,DATOS!$C$135),TABLAS!$B$52:$B$58,0)+1,7)),IF(AND(BQ11&gt;0,FLOOR(MIN(BD11,100*INDEX(TABLAS!$D$52:$D$58,MIN(MATCH(IF(ISNUMBER(S11),S11,DATOS!$C$135),TABLAS!$B$52:$B$58,0)+2,7))/MAX(BQ11,0.0001)),DATOS!$C$141)&gt;=DATOS!$C$140),INDEX(TABLAS!$B$52:$B$58,MIN(MATCH(IF(ISNUMBER(S11),S11,DATOS!$C$135),TABLAS!$B$52:$B$58,0)+2,7)),IF(AND(BQ11&gt;0,FLOOR(MIN(BD11,100*INDEX(TABLAS!$D$52:$D$58,MIN(MATCH(IF(ISNUMBER(S11),S11,DATOS!$C$135),TABLAS!$B$52:$B$58,0)+3,7))/MAX(BQ11,0.0001)),DATOS!$C$141)&gt;=DATOS!$C$140),INDEX(TABLAS!$B$52:$B$58,MIN(MATCH(IF(ISNUMBER(S11),S11,DATOS!$C$135),TABLAS!$B$52:$B$58,0)+3,7)),IF(AND(BQ11&gt;0,FLOOR(MIN(BD11,100*INDEX(TABLAS!$D$52:$D$58,MIN(MATCH(IF(ISNUMBER(S11),S11,DATOS!$C$135),TABLAS!$B$52:$B$58,0)+4,7))/MAX(BQ11,0.0001)),DATOS!$C$141)&gt;=DATOS!$C$140),INDEX(TABLAS!$B$52:$B$58,MIN(MATCH(IF(ISNUMBER(S11),S11,DATOS!$C$135),TABLAS!$B$52:$B$58,0)+4,7)),INDEX(TABLAS!$B$52:$B$58,7)))))))</f>
        <v>3</v>
      </c>
      <c r="BS11" s="71">
        <f>IF(V11&lt;&gt;"SÍ","",IF(BQ11&lt;=0,0,FLOOR(MIN(BD11,100*INDEX(TABLAS!$D$52:$D$58,MATCH(BR11,TABLAS!$B$52:$B$58,0))/BQ11),DATOS!$C$141)))</f>
        <v>32.5</v>
      </c>
      <c r="BT11" s="58">
        <f>IF(V11&lt;&gt;"SÍ","",IF(BS11&lt;=0,0,INDEX(TABLAS!$D$52:$D$58,MATCH(BR11,TABLAS!$B$52:$B$58,0))*100/BS11))</f>
        <v>2.18461538461538</v>
      </c>
      <c r="BU11" s="58">
        <f>IF(V11&lt;&gt;"SÍ","",((W11-AF11-INDEX(TABLAS!$C$52:$C$58,MATCH(BR11,TABLAS!$B$52:$B$58,0))/2)-IF(AND((W11-AF11-INDEX(TABLAS!$C$52:$C$58,MATCH(BR11,TABLAS!$B$52:$B$58,0))/2)&lt;=20,DATOS!$C$62&lt;&gt;"SÍ"),2,0)))</f>
        <v>9.525</v>
      </c>
      <c r="BV11" s="56">
        <f>IF(V11&lt;&gt;"SÍ","",IF(BT11=0,0,DATOS!$C$29*BT11*DATOS!$C$14*(BU11-BT11*DATOS!$C$14/(DATOS!$C$21*100)/2)/1E5))</f>
        <v>0.768731866258267</v>
      </c>
      <c r="BW11" s="65">
        <f>IF(V11&lt;&gt;"SÍ","",IF(BQ11&lt;0,9.99,IF(BV11&gt;0,AY11/BV11,0)))</f>
        <v>0.947089413690831</v>
      </c>
      <c r="BX11" s="66">
        <f>IF(V11&lt;&gt;"SÍ","",IF(BT11=0,"—",0.003*(BU11-(BT11*DATOS!$C$14/(DATOS!$C$21*100)/DATOS!$C$22))/(BT11*DATOS!$C$14/(DATOS!$C$21*100)/DATOS!$C$22)))</f>
        <v>0.0532522400025151</v>
      </c>
      <c r="BY11" s="58">
        <f>IF(V11&lt;&gt;"SÍ","",(W11-AE11-1.5*INDEX(TABLAS!$C$52:$C$58,MATCH(IF(ISNUMBER(S11),S11,DATOS!$C$135),TABLAS!$B$52:$B$58,0))))</f>
        <v>6.575</v>
      </c>
      <c r="BZ11" s="58">
        <f>IF(V11&lt;&gt;"SÍ","",IF(AZ11&lt;=0,0,IF((1-2*AZ11*1E5/(DATOS!$C$29*100*BY11^2*DATOS!$C$21))&lt;0,-1,IF((1-SQRT((1-2*AZ11*1E5/(DATOS!$C$29*100*BY11^2*DATOS!$C$21))))*DATOS!$C$21*100*BY11/DATOS!$C$14&gt;DATOS!$C$99*100*BY11,-1,(1-SQRT((1-2*AZ11*1E5/(DATOS!$C$29*100*BY11^2*DATOS!$C$21))))*DATOS!$C$21*100*BY11/DATOS!$C$14))))</f>
        <v>0</v>
      </c>
      <c r="CA11" s="58">
        <f>IF(V11&lt;&gt;"SÍ","",IF(BZ11&lt;0,-1,MAX(BZ11,BC11)))</f>
        <v>2.16</v>
      </c>
      <c r="CB11" s="64">
        <f>IF(V11&lt;&gt;"SÍ","",IF(AND(CA11&gt;0,FLOOR(MIN(BD11,100*INDEX(TABLAS!$D$52:$D$58,MIN(MATCH(IF(ISNUMBER(S11),S11,DATOS!$C$135),TABLAS!$B$52:$B$58,0)+0,7))/MAX(CA11,0.0001)),DATOS!$C$141)&gt;=DATOS!$C$140),INDEX(TABLAS!$B$52:$B$58,MIN(MATCH(IF(ISNUMBER(S11),S11,DATOS!$C$135),TABLAS!$B$52:$B$58,0)+0,7)),IF(AND(CA11&gt;0,FLOOR(MIN(BD11,100*INDEX(TABLAS!$D$52:$D$58,MIN(MATCH(IF(ISNUMBER(S11),S11,DATOS!$C$135),TABLAS!$B$52:$B$58,0)+1,7))/MAX(CA11,0.0001)),DATOS!$C$141)&gt;=DATOS!$C$140),INDEX(TABLAS!$B$52:$B$58,MIN(MATCH(IF(ISNUMBER(S11),S11,DATOS!$C$135),TABLAS!$B$52:$B$58,0)+1,7)),IF(AND(CA11&gt;0,FLOOR(MIN(BD11,100*INDEX(TABLAS!$D$52:$D$58,MIN(MATCH(IF(ISNUMBER(S11),S11,DATOS!$C$135),TABLAS!$B$52:$B$58,0)+2,7))/MAX(CA11,0.0001)),DATOS!$C$141)&gt;=DATOS!$C$140),INDEX(TABLAS!$B$52:$B$58,MIN(MATCH(IF(ISNUMBER(S11),S11,DATOS!$C$135),TABLAS!$B$52:$B$58,0)+2,7)),IF(AND(CA11&gt;0,FLOOR(MIN(BD11,100*INDEX(TABLAS!$D$52:$D$58,MIN(MATCH(IF(ISNUMBER(S11),S11,DATOS!$C$135),TABLAS!$B$52:$B$58,0)+3,7))/MAX(CA11,0.0001)),DATOS!$C$141)&gt;=DATOS!$C$140),INDEX(TABLAS!$B$52:$B$58,MIN(MATCH(IF(ISNUMBER(S11),S11,DATOS!$C$135),TABLAS!$B$52:$B$58,0)+3,7)),IF(AND(CA11&gt;0,FLOOR(MIN(BD11,100*INDEX(TABLAS!$D$52:$D$58,MIN(MATCH(IF(ISNUMBER(S11),S11,DATOS!$C$135),TABLAS!$B$52:$B$58,0)+4,7))/MAX(CA11,0.0001)),DATOS!$C$141)&gt;=DATOS!$C$140),INDEX(TABLAS!$B$52:$B$58,MIN(MATCH(IF(ISNUMBER(S11),S11,DATOS!$C$135),TABLAS!$B$52:$B$58,0)+4,7)),INDEX(TABLAS!$B$52:$B$58,7)))))))</f>
        <v>3</v>
      </c>
      <c r="CC11" s="71">
        <f>IF(V11&lt;&gt;"SÍ","",IF(CA11&lt;=0,0,FLOOR(MIN(BD11,100*INDEX(TABLAS!$D$52:$D$58,MATCH(CB11,TABLAS!$B$52:$B$58,0))/CA11),DATOS!$C$141)))</f>
        <v>32.5</v>
      </c>
      <c r="CD11" s="58">
        <f>IF(V11&lt;&gt;"SÍ","",IF(CC11&lt;=0,0,INDEX(TABLAS!$D$52:$D$58,MATCH(CB11,TABLAS!$B$52:$B$58,0))*100/CC11))</f>
        <v>2.18461538461538</v>
      </c>
      <c r="CE11" s="58">
        <f>IF(V11&lt;&gt;"SÍ","",W11-AE11-INDEX(TABLAS!$C$52:$C$58,MATCH(BH11,TABLAS!$B$52:$B$58,0))-INDEX(TABLAS!$C$52:$C$58,MATCH(CB11,TABLAS!$B$52:$B$58,0))/2)</f>
        <v>6.575</v>
      </c>
      <c r="CF11" s="56">
        <f>IF(V11&lt;&gt;"SÍ","",IF(CD11=0,0,DATOS!$C$29*CD11*DATOS!$C$14*(CE11-CD11*DATOS!$C$14/(DATOS!$C$21*100)/2)/1E5))</f>
        <v>0.525125404719805</v>
      </c>
      <c r="CG11" s="65">
        <f>IF(V11&lt;&gt;"SÍ","",IF(CA11&lt;0,9.99,IF(CF11&gt;0,AZ11/CF11,0)))</f>
        <v>0</v>
      </c>
      <c r="CH11" s="66">
        <f>IF(V11&lt;&gt;"SÍ","",IF(CD11=0,"—",0.003*(CE11-(CD11*DATOS!$C$14/(DATOS!$C$21*100)/DATOS!$C$22))/(CD11*DATOS!$C$14/(DATOS!$C$21*100)/DATOS!$C$22)))</f>
        <v>0.0358302864059356</v>
      </c>
      <c r="CI11" s="58">
        <f>IF(V11&lt;&gt;"SÍ","",((W11-AF11-1.5*INDEX(TABLAS!$C$52:$C$58,MATCH(IF(ISNUMBER(S11),S11,DATOS!$C$135),TABLAS!$B$52:$B$58,0)))-IF(AND((W11-AF11-1.5*INDEX(TABLAS!$C$52:$C$58,MATCH(IF(ISNUMBER(S11),S11,DATOS!$C$135),TABLAS!$B$52:$B$58,0)))&lt;=20,DATOS!$C$62&lt;&gt;"SÍ"),2,0)))</f>
        <v>8.575</v>
      </c>
      <c r="CJ11" s="58">
        <f>IF(V11&lt;&gt;"SÍ","",IF(BA11&lt;=0,0,IF((1-2*BA11*1E5/(DATOS!$C$29*100*CI11^2*DATOS!$C$21))&lt;0,-1,IF((1-SQRT((1-2*BA11*1E5/(DATOS!$C$29*100*CI11^2*DATOS!$C$21))))*DATOS!$C$21*100*CI11/DATOS!$C$14&gt;DATOS!$C$99*100*CI11,-1,(1-SQRT((1-2*BA11*1E5/(DATOS!$C$29*100*CI11^2*DATOS!$C$21))))*DATOS!$C$21*100*CI11/DATOS!$C$14))))</f>
        <v>0</v>
      </c>
      <c r="CK11" s="58">
        <f>IF(V11&lt;&gt;"SÍ","",IF(CJ11&lt;0,-1,MAX(CJ11,BC11)))</f>
        <v>2.16</v>
      </c>
      <c r="CL11" s="64">
        <f>IF(V11&lt;&gt;"SÍ","",IF(AND(CK11&gt;0,FLOOR(MIN(BD11,100*INDEX(TABLAS!$D$52:$D$58,MIN(MATCH(IF(ISNUMBER(S11),S11,DATOS!$C$135),TABLAS!$B$52:$B$58,0)+0,7))/MAX(CK11,0.0001)),DATOS!$C$141)&gt;=DATOS!$C$140),INDEX(TABLAS!$B$52:$B$58,MIN(MATCH(IF(ISNUMBER(S11),S11,DATOS!$C$135),TABLAS!$B$52:$B$58,0)+0,7)),IF(AND(CK11&gt;0,FLOOR(MIN(BD11,100*INDEX(TABLAS!$D$52:$D$58,MIN(MATCH(IF(ISNUMBER(S11),S11,DATOS!$C$135),TABLAS!$B$52:$B$58,0)+1,7))/MAX(CK11,0.0001)),DATOS!$C$141)&gt;=DATOS!$C$140),INDEX(TABLAS!$B$52:$B$58,MIN(MATCH(IF(ISNUMBER(S11),S11,DATOS!$C$135),TABLAS!$B$52:$B$58,0)+1,7)),IF(AND(CK11&gt;0,FLOOR(MIN(BD11,100*INDEX(TABLAS!$D$52:$D$58,MIN(MATCH(IF(ISNUMBER(S11),S11,DATOS!$C$135),TABLAS!$B$52:$B$58,0)+2,7))/MAX(CK11,0.0001)),DATOS!$C$141)&gt;=DATOS!$C$140),INDEX(TABLAS!$B$52:$B$58,MIN(MATCH(IF(ISNUMBER(S11),S11,DATOS!$C$135),TABLAS!$B$52:$B$58,0)+2,7)),IF(AND(CK11&gt;0,FLOOR(MIN(BD11,100*INDEX(TABLAS!$D$52:$D$58,MIN(MATCH(IF(ISNUMBER(S11),S11,DATOS!$C$135),TABLAS!$B$52:$B$58,0)+3,7))/MAX(CK11,0.0001)),DATOS!$C$141)&gt;=DATOS!$C$140),INDEX(TABLAS!$B$52:$B$58,MIN(MATCH(IF(ISNUMBER(S11),S11,DATOS!$C$135),TABLAS!$B$52:$B$58,0)+3,7)),IF(AND(CK11&gt;0,FLOOR(MIN(BD11,100*INDEX(TABLAS!$D$52:$D$58,MIN(MATCH(IF(ISNUMBER(S11),S11,DATOS!$C$135),TABLAS!$B$52:$B$58,0)+4,7))/MAX(CK11,0.0001)),DATOS!$C$141)&gt;=DATOS!$C$140),INDEX(TABLAS!$B$52:$B$58,MIN(MATCH(IF(ISNUMBER(S11),S11,DATOS!$C$135),TABLAS!$B$52:$B$58,0)+4,7)),INDEX(TABLAS!$B$52:$B$58,7)))))))</f>
        <v>3</v>
      </c>
      <c r="CM11" s="71">
        <f>IF(V11&lt;&gt;"SÍ","",IF(CK11&lt;=0,0,FLOOR(MIN(BD11,100*INDEX(TABLAS!$D$52:$D$58,MATCH(CL11,TABLAS!$B$52:$B$58,0))/CK11),DATOS!$C$141)))</f>
        <v>32.5</v>
      </c>
      <c r="CN11" s="58">
        <f>IF(V11&lt;&gt;"SÍ","",IF(CM11&lt;=0,0,INDEX(TABLAS!$D$52:$D$58,MATCH(CL11,TABLAS!$B$52:$B$58,0))*100/CM11))</f>
        <v>2.18461538461538</v>
      </c>
      <c r="CO11" s="58">
        <f>IF(V11&lt;&gt;"SÍ","",((W11-AF11-INDEX(TABLAS!$C$52:$C$58,MATCH(BR11,TABLAS!$B$52:$B$58,0))-INDEX(TABLAS!$C$52:$C$58,MATCH(CL11,TABLAS!$B$52:$B$58,0))/2)-IF(AND((W11-AF11-INDEX(TABLAS!$C$52:$C$58,MATCH(BR11,TABLAS!$B$52:$B$58,0))-INDEX(TABLAS!$C$52:$C$58,MATCH(CL11,TABLAS!$B$52:$B$58,0))/2)&lt;=20,DATOS!$C$62&lt;&gt;"SÍ"),2,0)))</f>
        <v>8.575</v>
      </c>
      <c r="CP11" s="56">
        <f>IF(V11&lt;&gt;"SÍ","",IF(CN11=0,0,DATOS!$C$29*CN11*DATOS!$C$14*(CO11-CN11*DATOS!$C$14/(DATOS!$C$21*100)/2)/1E5))</f>
        <v>0.690282327796728</v>
      </c>
      <c r="CQ11" s="65">
        <f>IF(V11&lt;&gt;"SÍ","",IF(CK11&lt;0,9.99,IF(CP11&gt;0,BA11/CP11,0)))</f>
        <v>0</v>
      </c>
      <c r="CR11" s="66">
        <f>IF(V11&lt;&gt;"SÍ","",IF(CN11=0,"—",0.003*(CO11-(CN11*DATOS!$C$14/(DATOS!$C$21*100)/DATOS!$C$22))/(CN11*DATOS!$C$14/(DATOS!$C$21*100)/DATOS!$C$22)))</f>
        <v>0.0476417803697183</v>
      </c>
      <c r="CS11" s="56">
        <f>IF(V11&lt;&gt;"SÍ","",IF(C11="PERIMETRAL",MAX(0,(AC11/2-BU11)/100)*(0.95-0.5*AB11)*AK11*IF(AND(AL11&gt;0,AL11&lt;4),DATOS!$C$33,1)/1000,(AK11*MAX(0,AC11-BU11)/100+DATOS!$C$26*N(P11))/1000))</f>
        <v>1.07675215</v>
      </c>
      <c r="CT11" s="66">
        <f>IF(V11&lt;&gt;"SÍ","",BT11/(100*BU11))</f>
        <v>0.00229355945891379</v>
      </c>
      <c r="CU11" s="56">
        <f>IF(V11&lt;&gt;"SÍ","",DATOS!$C$30*2*MIN(1,SQRT(2/(1+0.04*BU11)))*CT11^(1/3)*SQRT(DATOS!$C$13)*100*BU11/1000)</f>
        <v>2.97917660500721</v>
      </c>
      <c r="CV11" s="67" t="str">
        <f>IF(V11&lt;&gt;"SÍ","",IF(CS11&lt;=CU11,"CUMPLE","NO CUMPLE: sube h"))</f>
        <v>CUMPLE</v>
      </c>
      <c r="CW11" s="58">
        <f>IF(V11&lt;&gt;"SÍ","",IF(C11="PERIMETRAL",IF(ISNUMBER(R11),R11,DATOS!$C$101),0))</f>
        <v>0</v>
      </c>
      <c r="CX11" s="57">
        <f>IF(V11&lt;&gt;"SÍ","",IF(C11="PERIMETRAL",IF(CW11&gt;2,MAX(9,AD11*(0.8+DATOS!$C$14/14000)/(36+9*(AD11/MAX(AC11,1)))),IF(CW11&gt;0.2,MAX(13,AD11*(0.8+DATOS!$C$14/14000)/(36+5*(AD11/MAX(AC11,1))*(CW11-0.2))),MAX(13,AD11/IF(AL11&gt;0,30,33))))*IF(AND(CW11&gt;0.2,AL11&gt;0,DATOS!$C$102="NO"),1.1,1),Z11*100/DATOS!$C$142))</f>
        <v>12</v>
      </c>
      <c r="CY11" s="61" t="str">
        <f>IF(V11&lt;&gt;"SÍ","",IF(W11&gt;=CX11-0.001,"CUMPLE",IF(C11="VOLADO","NO CUMPLE","CALCULAR FLECHA")))</f>
        <v>CUMPLE</v>
      </c>
      <c r="CZ11" s="60">
        <f>IF(V11&lt;&gt;"SÍ","",IF(C11="VOLADO",MIN(CEILING(IF(ISNUMBER(Q11),Q11,Z11)*100,5),CEILING(MAX(IF((0.5*(0.9*W11/100*DATOS!$C$16)*IF(ISNUMBER(Q11),Q11,Z11)+AY11/IF(ISNUMBER(Q11),Q11,Z11))^2-4*(0.5*(0.9*W11/100*DATOS!$C$16))*AY11&lt;0,IF(ISNUMBER(Q11),Q11,Z11),MIN(IF(ISNUMBER(Q11),Q11,Z11),((0.5*(0.9*W11/100*DATOS!$C$16)*IF(ISNUMBER(Q11),Q11,Z11)+AY11/IF(ISNUMBER(Q11),Q11,Z11))-SQRT((0.5*(0.9*W11/100*DATOS!$C$16)*IF(ISNUMBER(Q11),Q11,Z11)+AY11/IF(ISNUMBER(Q11),Q11,Z11))^2-4*(0.5*(0.9*W11/100*DATOS!$C$16))*AY11))/(2*(0.5*(0.9*W11/100*DATOS!$C$16)))))*100+MAX(BU11,12*INDEX(TABLAS!$C$52:$C$58,MATCH(BR11,TABLAS!$B$52:$B$58,0)),IF(ISNUMBER(Q11),Q11,Z11)*100/16),IF(OR(AF11&lt;INDEX(TABLAS!$C$52:$C$58,MATCH(BR11,TABLAS!$B$52:$B$58,0)),BS11-INDEX(TABLAS!$C$52:$C$58,MATCH(BR11,TABLAS!$B$52:$B$58,0))&lt;2*INDEX(TABLAS!$C$52:$C$58,MATCH(BR11,TABLAS!$B$52:$B$58,0))),INDEX(TABLAS!$I$52:$I$58,MATCH(BR11,TABLAS!$B$52:$B$58,0)),INDEX(TABLAS!$F$52:$F$58,MATCH(BR11,TABLAS!$B$52:$B$58,0)))),5)),IF(((4*((AV11*AK11*Z11^2*1E-4/1000)+((MAX(AR11,AT11)*AK11*Z11^2*1E-4/1000)+(IF(AND(AR11&gt;0,AT11&gt;0),MIN(AR11,AT11),MAX(AR11,AT11))*AK11*Z11^2*1E-4/1000))/2)+AY11-(IF(AND(AR11&gt;0,AT11&gt;0),MIN(AR11,AT11),MAX(AR11,AT11))*AK11*Z11^2*1E-4/1000))^2-16*((AV11*AK11*Z11^2*1E-4/1000)+((MAX(AR11,AT11)*AK11*Z11^2*1E-4/1000)+(IF(AND(AR11&gt;0,AT11&gt;0),MIN(AR11,AT11),MAX(AR11,AT11))*AK11*Z11^2*1E-4/1000))/2)*AY11)&lt;0,CEILING(AC11,5),CEILING(MAX(AC11*((4*((AV11*AK11*Z11^2*1E-4/1000)+((MAX(AR11,AT11)*AK11*Z11^2*1E-4/1000)+(IF(AND(AR11&gt;0,AT11&gt;0),MIN(AR11,AT11),MAX(AR11,AT11))*AK11*Z11^2*1E-4/1000))/2)+AY11-(IF(AND(AR11&gt;0,AT11&gt;0),MIN(AR11,AT11),MAX(AR11,AT11))*AK11*Z11^2*1E-4/1000))-SQRT(MAX(0,((4*((AV11*AK11*Z11^2*1E-4/1000)+((MAX(AR11,AT11)*AK11*Z11^2*1E-4/1000)+(IF(AND(AR11&gt;0,AT11&gt;0),MIN(AR11,AT11),MAX(AR11,AT11))*AK11*Z11^2*1E-4/1000))/2)+AY11-(IF(AND(AR11&gt;0,AT11&gt;0),MIN(AR11,AT11),MAX(AR11,AT11))*AK11*Z11^2*1E-4/1000))^2-16*((AV11*AK11*Z11^2*1E-4/1000)+((MAX(AR11,AT11)*AK11*Z11^2*1E-4/1000)+(IF(AND(AR11&gt;0,AT11&gt;0),MIN(AR11,AT11),MAX(AR11,AT11))*AK11*Z11^2*1E-4/1000))/2)*AY11))))/(8*MAX(((AV11*AK11*Z11^2*1E-4/1000)+((MAX(AR11,AT11)*AK11*Z11^2*1E-4/1000)+(IF(AND(AR11&gt;0,AT11&gt;0),MIN(AR11,AT11),MAX(AR11,AT11))*AK11*Z11^2*1E-4/1000))/2),1E-9))+MAX(BU11,12*INDEX(TABLAS!$C$52:$C$58,MATCH(BR11,TABLAS!$B$52:$B$58,0)),AC11/16),IF(OR(AF11&lt;INDEX(TABLAS!$C$52:$C$58,MATCH(BR11,TABLAS!$B$52:$B$58,0)),BS11-INDEX(TABLAS!$C$52:$C$58,MATCH(BR11,TABLAS!$B$52:$B$58,0))&lt;2*INDEX(TABLAS!$C$52:$C$58,MATCH(BR11,TABLAS!$B$52:$B$58,0))),INDEX(TABLAS!$I$52:$I$58,MATCH(BR11,TABLAS!$B$52:$B$58,0)),INDEX(TABLAS!$F$52:$F$58,MATCH(BR11,TABLAS!$B$52:$B$58,0)))),5))))</f>
        <v>210</v>
      </c>
      <c r="DA11" s="60">
        <f>IF(V11&lt;&gt;"SÍ","",IF(C11="VOLADO",0,IF(((4*((AW11*AK11*Z11^2*1E-4/1000)+((MAX(AS11,AU11)*AK11*Z11^2*1E-4/1000)+(IF(AND(AS11&gt;0,AU11&gt;0),MIN(AS11,AU11),MAX(AS11,AU11))*AK11*Z11^2*1E-4/1000))/2)+BA11-(IF(AND(AS11&gt;0,AU11&gt;0),MIN(AS11,AU11),MAX(AS11,AU11))*AK11*Z11^2*1E-4/1000))^2-16*((AW11*AK11*Z11^2*1E-4/1000)+((MAX(AS11,AU11)*AK11*Z11^2*1E-4/1000)+(IF(AND(AS11&gt;0,AU11&gt;0),MIN(AS11,AU11),MAX(AS11,AU11))*AK11*Z11^2*1E-4/1000))/2)*BA11)&lt;0,CEILING(AD11,5),CEILING(MAX(AD11*((4*((AW11*AK11*Z11^2*1E-4/1000)+((MAX(AS11,AU11)*AK11*Z11^2*1E-4/1000)+(IF(AND(AS11&gt;0,AU11&gt;0),MIN(AS11,AU11),MAX(AS11,AU11))*AK11*Z11^2*1E-4/1000))/2)+BA11-(IF(AND(AS11&gt;0,AU11&gt;0),MIN(AS11,AU11),MAX(AS11,AU11))*AK11*Z11^2*1E-4/1000))-SQRT(MAX(0,((4*((AW11*AK11*Z11^2*1E-4/1000)+((MAX(AS11,AU11)*AK11*Z11^2*1E-4/1000)+(IF(AND(AS11&gt;0,AU11&gt;0),MIN(AS11,AU11),MAX(AS11,AU11))*AK11*Z11^2*1E-4/1000))/2)+BA11-(IF(AND(AS11&gt;0,AU11&gt;0),MIN(AS11,AU11),MAX(AS11,AU11))*AK11*Z11^2*1E-4/1000))^2-16*((AW11*AK11*Z11^2*1E-4/1000)+((MAX(AS11,AU11)*AK11*Z11^2*1E-4/1000)+(IF(AND(AS11&gt;0,AU11&gt;0),MIN(AS11,AU11),MAX(AS11,AU11))*AK11*Z11^2*1E-4/1000))/2)*BA11))))/(8*MAX(((AW11*AK11*Z11^2*1E-4/1000)+((MAX(AS11,AU11)*AK11*Z11^2*1E-4/1000)+(IF(AND(AS11&gt;0,AU11&gt;0),MIN(AS11,AU11),MAX(AS11,AU11))*AK11*Z11^2*1E-4/1000))/2),1E-9))+MAX(CO11,12*INDEX(TABLAS!$C$52:$C$58,MATCH(CL11,TABLAS!$B$52:$B$58,0)),AD11/16),IF(OR(AF11&lt;INDEX(TABLAS!$C$52:$C$58,MATCH(CL11,TABLAS!$B$52:$B$58,0)),CM11-INDEX(TABLAS!$C$52:$C$58,MATCH(CL11,TABLAS!$B$52:$B$58,0))&lt;2*INDEX(TABLAS!$C$52:$C$58,MATCH(CL11,TABLAS!$B$52:$B$58,0))),INDEX(TABLAS!$I$52:$I$58,MATCH(CL11,TABLAS!$B$52:$B$58,0)),INDEX(TABLAS!$F$52:$F$58,MATCH(CL11,TABLAS!$B$52:$B$58,0)))),5))))</f>
        <v>0</v>
      </c>
      <c r="DB11" s="55" t="str">
        <f>IF(V11&lt;&gt;"SÍ","",IF(AND(C11="PERIMETRAL",AL11-AM11&gt;0,AT11&gt;0),"SÍ","NO"))</f>
        <v>NO</v>
      </c>
      <c r="DC11" s="55" t="str">
        <f>IF(V11&lt;&gt;"SÍ","",IF(AND(C11="PERIMETRAL",AM11&gt;0,AU11&gt;0),"SÍ","NO"))</f>
        <v>NO</v>
      </c>
      <c r="DD11" s="63" t="str">
        <f>IF(V11&lt;&gt;"SÍ","",IF(OR(C11="VOLADO",AL11=0),"—",IF(AND(AND(INDEX(TABLAS!$G$52:$G$58,MATCH(MAX(BR11,CL11),TABLAS!$B$52:$B$58,0))&lt;=(DATOS!$C$72-DATOS!$C$60),(DATOS!$C$72-DATOS!$C$60)&gt;=15),8*INDEX(TABLAS!$C$52:$C$58,MATCH(MAX(BH11,CB11,BR11,CL11),TABLAS!$B$52:$B$58,0))&lt;=DATOS!$C$73-2*DATOS!$C$60),"CUMPLE (gancho de 180°)",IF(AND(INDEX(TABLAS!$G$52:$G$58,MATCH(MAX(BR11,CL11),TABLAS!$B$52:$B$58,0))&lt;=(DATOS!$C$72-DATOS!$C$60),(DATOS!$C$72-DATOS!$C$60)&gt;=15),"NO CUMPLE: el gancho de 180° (8·d_b) no cabe en el peralte de la dala de borde","NO CUMPLE: dala de borde ≥ "&amp;TEXT(CEILING(MAX(INDEX(TABLAS!$G$52:$G$58,MATCH(MAX(BR11,CL11),TABLAS!$B$52:$B$58,0)),15)+DATOS!$C$60,5),"0")&amp;" cm de ancho"&amp;IF(8*INDEX(TABLAS!$C$52:$C$58,MATCH(MAX(BH11,CB11,BR11,CL11),TABLAS!$B$52:$B$58,0))&lt;=DATOS!$C$73-2*DATOS!$C$60,""," y más peralte para el gancho")))))</f>
        <v>—</v>
      </c>
      <c r="DE11" s="69" t="str">
        <f>IF(V11&lt;&gt;"SÍ","",IF(BI11=0,"NO ALCANZA","No. "&amp;BH11&amp;" @ "&amp;BI11&amp;" cm"&amp;IF(C11="VOLADO"," (temperatura)","")))</f>
        <v>No. 3 @ 32.5 cm (temperatura)</v>
      </c>
      <c r="DF11" s="69" t="str">
        <f>IF(V11&lt;&gt;"SÍ","",IF(BS11=0,"NO ALCANZA",IF(C11="VOLADO","No. "&amp;BR11&amp;" @ "&amp;BS11&amp;" cm"&amp;" de la orilla al respaldo ("&amp;IF(CZ11&gt;=100*IF(ISNUMBER(Q11),Q11,Z11),"hasta su apoyo lejano, con gancho","entran "&amp;TEXT(CZ11/100,"0.00")&amp;" m desde el paño")&amp;")","Bastones "&amp;"No. "&amp;BR11&amp;" @ "&amp;BS11&amp;" cm"&amp;", L = "&amp;TEXT(CZ11/100,"0.00")&amp;" m desde el paño")))</f>
        <v>No. 3 @ 32.5 cm de la orilla al respaldo (entran 2.10 m desde el paño)</v>
      </c>
      <c r="DG11" s="69" t="str">
        <f>IF(V11&lt;&gt;"SÍ","",IF(CC11=0,"NO ALCANZA","No. "&amp;CB11&amp;" @ "&amp;CC11&amp;" cm"&amp;IF(C11="VOLADO"," (repartición)","")))</f>
        <v>No. 3 @ 32.5 cm (repartición)</v>
      </c>
      <c r="DH11" s="69" t="str">
        <f>IF(V11&lt;&gt;"SÍ","",IF(CM11=0,"NO ALCANZA",IF(C11="VOLADO","No. "&amp;CL11&amp;" @ "&amp;CM11&amp;" cm"&amp;" (repartición)","Bastones "&amp;"No. "&amp;CL11&amp;" @ "&amp;CM11&amp;" cm"&amp;", L = "&amp;TEXT(DA11/100,"0.00")&amp;" m desde el paño")))</f>
        <v>No. 3 @ 32.5 cm (repartición)</v>
      </c>
      <c r="DI11" s="67" t="str">
        <f>IF(B11="","",IF(V11&lt;&gt;"SÍ","FALTAN DATOS: tipo, a_x, a_y y destino",IF(L11="NO MONOLÍTICO (caso II)","FUERA DE ALCANCE: caso II no transcrito",IF(AND(C11="VOLADO",X11="?"),"REVISAR: el volado lleva UN solo borde CONTINUO (el empotrado)",IF(AND(MAX(BM11,BW11,CG11,CQ11)&lt;=1,NOT(OR(BI11&lt;DATOS!$C$140,BS11&lt;DATOS!$C$140,CC11&lt;DATOS!$C$140,CM11&lt;DATOS!$C$140)),NOT(OR(AND(ISNUMBER(BN11),BN11&lt;0.005),AND(ISNUMBER(BX11),BX11&lt;0.005),AND(ISNUMBER(CH11),CH11&lt;0.005),AND(ISNUMBER(CR11),CR11&lt;0.005))),CV11="CUMPLE",CY11="CUMPLE"),"CUMPLE"&amp;IF(LEFT(BB11,5)="FUERA"," · fuera de 3.4.2.1 c)","")&amp;IF(LEFT(DD11,2)="NO"," · REVISAR anclaje en borde discontinuo",""),IF(AND(MAX(BM11,BW11,CG11,CQ11)&lt;=1,NOT(OR(BI11&lt;DATOS!$C$140,BS11&lt;DATOS!$C$140,CC11&lt;DATOS!$C$140,CM11&lt;DATOS!$C$140)),NOT(OR(AND(ISNUMBER(BN11),BN11&lt;0.005),AND(ISNUMBER(BX11),BX11&lt;0.005),AND(ISNUMBER(CH11),CH11&lt;0.005),AND(ISNUMBER(CR11),CR11&lt;0.005))),CV11="CUMPLE",CY11="CALCULAR FLECHA"),"REVISAR: calcular flecha (h &lt; h mín.)"&amp;IF(LEFT(BB11,5)="FUERA"," · fuera de 3.4.2.1 c)","")&amp;IF(LEFT(DD11,2)="NO"," · REVISAR anclaje en borde discontinuo",""),"NO CUMPLE: "&amp;IF(MAX(BM11,BW11,CG11,CQ11)&gt;1,"flexión ","")&amp;IF(OR(BI11&lt;DATOS!$C$140,BS11&lt;DATOS!$C$140,CC11&lt;DATOS!$C$140,CM11&lt;DATOS!$C$140),"separación &lt; mínima ","")&amp;IF(OR(AND(ISNUMBER(BN11),BN11&lt;0.005),AND(ISNUMBER(BX11),BX11&lt;0.005),AND(ISNUMBER(CH11),CH11&lt;0.005),AND(ISNUMBER(CR11),CR11&lt;0.005)),"ε_t &lt; 0.005 ","")&amp;IF(CV11&lt;&gt;"CUMPLE","cortante ","")&amp;IF(CY11="NO CUMPLE","peralte","")))))))</f>
        <v>CUMPLE</v>
      </c>
      <c r="DJ11" s="70" t="str">
        <f>IF(V11&lt;&gt;"SÍ","",IF(LEFT(B11,7)="EJEMPLO","EJEMPLO de tablero típico: bórralo o sobrescríbelo. ","")&amp;IF(C11="VOLADO","Volado de "&amp;TEXT(Z11,"0.00")&amp;" m empotrado en el borde "&amp;LOWER(X11)&amp;IF(N(P11)&gt;0,", con "&amp;TEXT(P11,"0.0")&amp;" kg/m en la orilla","")&amp;". Lecho inferior con r_ext. Si la orilla carga pretil u otro elemento frágil, calcula la flecha (13.4). El acero superior entra al respaldo de "&amp;TEXT(IF(ISNUMBER(Q11),Q11,Z11),"0.00")&amp;" m"&amp;IF(ISNUMBER(Q11),""," (L_b no capturado: se tomó igual al volado)")&amp;" hasta pasar M = 0 con 0.9·PP sin carga viva; si ahí no se anula, llega al apoyo lejano y se ancla con gancho. ","")&amp;IF(LEFT(BB11,5)="FUERA","El M⁻ del vecino difiere más de 50 % (3.4.2.1 c): distribuye el desequilibrio (3.4.3.1) o confirma con un modelo; se arma con el mayor. ","")&amp;IF(OR(DB11="SÍ",DC11="SÍ"),"Bastones también en los bordes discontinuos (M⁻ de tabla), con gancho. ","")&amp;IF(LEFT(DD11,2)="NO","Anclaje: "&amp;DD11&amp;" (6.7.7.4.1.1). ","")&amp;IF(OR(AT11&gt;0,AU11&gt;0),"Esquinas exteriores sobre muro: refuerzo de esquina arriba y abajo en L_largo/5 (6.7.7.3.1). ",""))</f>
        <v>EJEMPLO de tablero típico: bórralo o sobrescríbelo. Volado de 1.20 m empotrado en el borde izquierdo, con 100.0 kg/m en la orilla. Lecho inferior con r_ext. Si la orilla carga pretil u otro elemento frágil, calcula la flecha (13.4). El acero superior entra al respaldo de 3.00 m hasta pasar M = 0 con 0.9·PP sin carga viva; si ahí no se anula, llega al apoyo lejano y se ancla con gancho. Esquinas exteriores sobre muro: refuerzo de esquina arriba y abajo en L_largo/5 (6.7.7.3.1). </v>
      </c>
    </row>
    <row r="12" ht="33" customHeight="1">
      <c r="A12" s="50">
        <f>IF(B12="",0,1)+A11</f>
        <v>3</v>
      </c>
      <c r="B12" s="29" t="n"/>
      <c r="C12" s="51" t="n"/>
      <c r="D12" s="29" t="n"/>
      <c r="E12" s="52" t="n"/>
      <c r="F12" s="52" t="n"/>
      <c r="G12" s="51" t="n"/>
      <c r="H12" s="51" t="n"/>
      <c r="I12" s="51" t="n"/>
      <c r="J12" s="51" t="n"/>
      <c r="K12" s="51" t="n"/>
      <c r="L12" s="51" t="n"/>
      <c r="M12" s="54" t="n"/>
      <c r="N12" s="53" t="n"/>
      <c r="O12" s="53" t="n"/>
      <c r="P12" s="54" t="n"/>
      <c r="Q12" s="52" t="n"/>
      <c r="R12" s="54" t="n"/>
      <c r="S12" s="53" t="n"/>
      <c r="T12" s="52" t="n"/>
      <c r="U12" s="52" t="n"/>
      <c r="V12" s="55" t="str">
        <f>IF(B12="","",IF(AND(OR(C12="PERIMETRAL",C12="VOLADO"),ISNUMBER(E12),ISNUMBER(F12),E12&gt;0,F12&gt;0,OR(ISNUMBER(O12),ISNUMBER(MATCH(D12,DATOS!$B$46:$B$55,0)))),"SÍ","NO"))</f>
        <v/>
      </c>
      <c r="W12" s="57" t="str">
        <f>IF(V12&lt;&gt;"SÍ","",IF(ISNUMBER(M12),M12,DATOS!$C$134))</f>
        <v/>
      </c>
      <c r="X12" s="55" t="str">
        <f>IF(V12&lt;&gt;"SÍ","",IF(C12&lt;&gt;"VOLADO","—",IF(COUNTIF(G12:J12,"CONTINUO")&lt;&gt;1,"?",IF(G12="CONTINUO","INFERIOR",IF(H12="CONTINUO","SUPERIOR",IF(I12="CONTINUO","IZQUIERDO","DERECHO"))))))</f>
        <v/>
      </c>
      <c r="Y12" s="55" t="str">
        <f>IF(V12&lt;&gt;"SÍ","",IF(C12="VOLADO",IF(OR(X12="IZQUIERDO",X12="DERECHO"),"X","Y"),IF(E12&lt;=F12,"X","Y")))</f>
        <v/>
      </c>
      <c r="Z12" s="56" t="str">
        <f>IF(V12&lt;&gt;"SÍ","",IF(C12="VOLADO",IF(Y12="X",E12,F12),MIN(E12,F12)))</f>
        <v/>
      </c>
      <c r="AA12" s="56" t="str">
        <f>IF(V12&lt;&gt;"SÍ","",IF(C12="VOLADO",IF(Y12="X",F12,E12),MAX(E12,F12)))</f>
        <v/>
      </c>
      <c r="AB12" s="56" t="str">
        <f>IF(V12&lt;&gt;"SÍ","",MIN(Z12,AA12)/MAX(Z12,AA12))</f>
        <v/>
      </c>
      <c r="AC12" s="57" t="str">
        <f>IF(V12&lt;&gt;"SÍ","",MAX(1,Z12*100-IF(C12="VOLADO",DATOS!$C$84/2,DATOS!$C$84)))</f>
        <v/>
      </c>
      <c r="AD12" s="57" t="str">
        <f>IF(V12&lt;&gt;"SÍ","",MAX(1,AA12*100-DATOS!$C$84))</f>
        <v/>
      </c>
      <c r="AE12" s="57" t="str">
        <f>IF(V12&lt;&gt;"SÍ","",IF(C12="VOLADO",DATOS!$C$61,DATOS!$C$59))</f>
        <v/>
      </c>
      <c r="AF12" s="57" t="str">
        <f>IF(V12&lt;&gt;"SÍ","",IF(OR(AND(AG12="SÍ",DATOS!$C$63="SÍ"),AND(C12="VOLADO",DATOS!$C$64="SÍ")),DATOS!$C$61,DATOS!$C$59))</f>
        <v/>
      </c>
      <c r="AG12" s="55" t="str">
        <f>IF(V12&lt;&gt;"SÍ","",IFERROR(INDEX(DATOS!$D$46:$D$55,MATCH(D12,DATOS!$B$46:$B$55,0)),"NO"))</f>
        <v/>
      </c>
      <c r="AH12" s="59" t="str">
        <f>IF(V12&lt;&gt;"SÍ","",IF(ISNUMBER(O12),O12,IFERROR(INDEX(DATOS!$C$46:$C$55,MATCH(D12,DATOS!$B$46:$B$55,0)),0)))</f>
        <v/>
      </c>
      <c r="AI12" s="59" t="str">
        <f>IF(V12&lt;&gt;"SÍ","",W12/100*DATOS!$C$16*1000+DATOS!$C$37+DATOS!$C$38)</f>
        <v/>
      </c>
      <c r="AJ12" s="59" t="str">
        <f>IF(V12&lt;&gt;"SÍ","",AI12+N(N12))</f>
        <v/>
      </c>
      <c r="AK12" s="60" t="str">
        <f>IF(V12&lt;&gt;"SÍ","",MAX(DATOS!$C$26*AJ12+DATOS!$C$27*AH12,IF(AG12="SÍ",DATOS!$C$28*(AJ12+DATOS!$C$41),0)))</f>
        <v/>
      </c>
      <c r="AL12" s="59" t="str">
        <f>IF(V12&lt;&gt;"SÍ","",(G12="DISCONTINUO")+(H12="DISCONTINUO")+(I12="DISCONTINUO")+(J12="DISCONTINUO"))</f>
        <v/>
      </c>
      <c r="AM12" s="59" t="str">
        <f>IF(V12&lt;&gt;"SÍ","",IF(Y12="X",(G12="DISCONTINUO")+(H12="DISCONTINUO"),(I12="DISCONTINUO")+(J12="DISCONTINUO")))</f>
        <v/>
      </c>
      <c r="AN12" s="55" t="str">
        <f>IF(V12&lt;&gt;"SÍ","",IF(AL12=0,"INTERIOR",IF(AL12=1,IF(AM12=1,"BORDE-CORTO","BORDE-LARGO"),IF(AL12=2,IF(AM12=1,"ESQUINA",IF(AM12=2,"EXTREMO-LARGO","EXTREMO-CORTO")),IF(AL12=3,IF(AM12=2,"EXTREMO-LARGO","EXTREMO-CORTO"),"AISLADO")))))</f>
        <v/>
      </c>
      <c r="AO12" s="61" t="str">
        <f>IF(V12&lt;&gt;"SÍ","",IF(OR(K12="",K12="AUTO"),AN12,K12))</f>
        <v/>
      </c>
      <c r="AP12" s="59" t="str">
        <f>IF(V12&lt;&gt;"SÍ","",MATCH(AB12,TABLAS!$D$5:$J$5,1))</f>
        <v/>
      </c>
      <c r="AQ12" s="58" t="str">
        <f>IF(V12&lt;&gt;"SÍ","",IF(AP12&gt;=7,0,(AB12-INDEX(TABLAS!$D$5:$J$5,AP12))/(INDEX(TABLAS!$D$5:$J$5,AP12+1)-INDEX(TABLAS!$D$5:$J$5,AP12))))</f>
        <v/>
      </c>
      <c r="AR12" s="59" t="str">
        <f>IF(V12&lt;&gt;"SÍ","",INDEX(TABLAS!$D$6:$J$47,MATCH(AO12&amp;"|NIC",TABLAS!$B$6:$B$47,0),AP12)+AQ12*(INDEX(TABLAS!$D$6:$J$47,MATCH(AO12&amp;"|NIC",TABLAS!$B$6:$B$47,0),MIN(AP12+1,7))-INDEX(TABLAS!$D$6:$J$47,MATCH(AO12&amp;"|NIC",TABLAS!$B$6:$B$47,0),AP12)))</f>
        <v/>
      </c>
      <c r="AS12" s="59" t="str">
        <f>IF(V12&lt;&gt;"SÍ","",INDEX(TABLAS!$D$6:$J$47,MATCH(AO12&amp;"|NIL",TABLAS!$B$6:$B$47,0),AP12)+AQ12*(INDEX(TABLAS!$D$6:$J$47,MATCH(AO12&amp;"|NIL",TABLAS!$B$6:$B$47,0),MIN(AP12+1,7))-INDEX(TABLAS!$D$6:$J$47,MATCH(AO12&amp;"|NIL",TABLAS!$B$6:$B$47,0),AP12)))</f>
        <v/>
      </c>
      <c r="AT12" s="59" t="str">
        <f>IF(V12&lt;&gt;"SÍ","",INDEX(TABLAS!$D$6:$J$47,MATCH(AO12&amp;"|NDC",TABLAS!$B$6:$B$47,0),AP12)+AQ12*(INDEX(TABLAS!$D$6:$J$47,MATCH(AO12&amp;"|NDC",TABLAS!$B$6:$B$47,0),MIN(AP12+1,7))-INDEX(TABLAS!$D$6:$J$47,MATCH(AO12&amp;"|NDC",TABLAS!$B$6:$B$47,0),AP12)))</f>
        <v/>
      </c>
      <c r="AU12" s="59" t="str">
        <f>IF(V12&lt;&gt;"SÍ","",INDEX(TABLAS!$D$6:$J$47,MATCH(AO12&amp;"|NDL",TABLAS!$B$6:$B$47,0),AP12)+AQ12*(INDEX(TABLAS!$D$6:$J$47,MATCH(AO12&amp;"|NDL",TABLAS!$B$6:$B$47,0),MIN(AP12+1,7))-INDEX(TABLAS!$D$6:$J$47,MATCH(AO12&amp;"|NDL",TABLAS!$B$6:$B$47,0),AP12)))</f>
        <v/>
      </c>
      <c r="AV12" s="59" t="str">
        <f>IF(V12&lt;&gt;"SÍ","",INDEX(TABLAS!$D$6:$J$47,MATCH(AO12&amp;"|PC",TABLAS!$B$6:$B$47,0),AP12)+AQ12*(INDEX(TABLAS!$D$6:$J$47,MATCH(AO12&amp;"|PC",TABLAS!$B$6:$B$47,0),MIN(AP12+1,7))-INDEX(TABLAS!$D$6:$J$47,MATCH(AO12&amp;"|PC",TABLAS!$B$6:$B$47,0),AP12)))</f>
        <v/>
      </c>
      <c r="AW12" s="59" t="str">
        <f>IF(V12&lt;&gt;"SÍ","",INDEX(TABLAS!$D$6:$J$47,MATCH(AO12&amp;"|PL",TABLAS!$B$6:$B$47,0),AP12)+AQ12*(INDEX(TABLAS!$D$6:$J$47,MATCH(AO12&amp;"|PL",TABLAS!$B$6:$B$47,0),MIN(AP12+1,7))-INDEX(TABLAS!$D$6:$J$47,MATCH(AO12&amp;"|PL",TABLAS!$B$6:$B$47,0),AP12)))</f>
        <v/>
      </c>
      <c r="AX12" s="56" t="str">
        <f>IF(V12&lt;&gt;"SÍ","",IF(C12="PERIMETRAL",AV12*AK12*Z12^2*1E-4/1000,0))</f>
        <v/>
      </c>
      <c r="AY12" s="62" t="str">
        <f>IF(V12&lt;&gt;"SÍ","",IF(C12="PERIMETRAL",MAX(MAX(AR12,AT12)*AK12*Z12^2*1E-4/1000,N(T12)),(AK12*(AC12/100)^2/2+DATOS!$C$26*N(P12)*AC12/100)/1000))</f>
        <v/>
      </c>
      <c r="AZ12" s="56" t="str">
        <f>IF(V12&lt;&gt;"SÍ","",IF(C12="PERIMETRAL",AW12*AK12*Z12^2*1E-4/1000,0))</f>
        <v/>
      </c>
      <c r="BA12" s="56" t="str">
        <f>IF(V12&lt;&gt;"SÍ","",IF(C12="PERIMETRAL",MAX(MAX(AS12,AU12)*AK12*Z12^2*1E-4/1000,N(U12)),0))</f>
        <v/>
      </c>
      <c r="BB12" s="63" t="str">
        <f>IF(V12&lt;&gt;"SÍ","",IF(C12&lt;&gt;"PERIMETRAL","—",IF(AND(N(T12)=0,N(U12)=0),"— (sin M⁻ del vecino)",IF(OR(AND(N(T12)&gt;0,ABS(MAX(AR12,AT12)*AK12*Z12^2*1E-4/1000-N(T12))&gt;0.5*MIN(MAX(AR12,AT12)*AK12*Z12^2*1E-4/1000,N(T12))),AND(N(U12)&gt;0,ABS(MAX(AS12,AU12)*AK12*Z12^2*1E-4/1000-N(U12))&gt;0.5*MIN(MAX(AS12,AU12)*AK12*Z12^2*1E-4/1000,N(U12)))),"FUERA: difieren &gt; 50 %"&amp;IF(AND(N(T12)&gt;0,ABS(MAX(AR12,AT12)*AK12*Z12^2*1E-4/1000-N(T12))&gt;0.5*MIN(MAX(AR12,AT12)*AK12*Z12^2*1E-4/1000,N(T12)))," ‖ corto","")&amp;IF(AND(N(U12)&gt;0,ABS(MAX(AS12,AU12)*AK12*Z12^2*1E-4/1000-N(U12))&gt;0.5*MIN(MAX(AS12,AU12)*AK12*Z12^2*1E-4/1000,N(U12)))," ‖ largo",""),"CUMPLE"))))</f>
        <v/>
      </c>
      <c r="BC12" s="58" t="str">
        <f>IF(V12&lt;&gt;"SÍ","",DATOS!$C$136*100*W12)</f>
        <v/>
      </c>
      <c r="BD12" s="57" t="str">
        <f>IF(V12&lt;&gt;"SÍ","",MIN(IF(C12="VOLADO",DATOS!$C$138,DATOS!$C$137)*W12,DATOS!$C$139))</f>
        <v/>
      </c>
      <c r="BE12" s="58" t="str">
        <f>IF(V12&lt;&gt;"SÍ","",(W12-AE12-INDEX(TABLAS!$C$52:$C$58,MATCH(IF(ISNUMBER(S12),S12,DATOS!$C$135),TABLAS!$B$52:$B$58,0))/2))</f>
        <v/>
      </c>
      <c r="BF12" s="58" t="str">
        <f>IF(V12&lt;&gt;"SÍ","",IF(AX12&lt;=0,0,IF((1-2*AX12*1E5/(DATOS!$C$29*100*BE12^2*DATOS!$C$21))&lt;0,-1,IF((1-SQRT((1-2*AX12*1E5/(DATOS!$C$29*100*BE12^2*DATOS!$C$21))))*DATOS!$C$21*100*BE12/DATOS!$C$14&gt;DATOS!$C$99*100*BE12,-1,(1-SQRT((1-2*AX12*1E5/(DATOS!$C$29*100*BE12^2*DATOS!$C$21))))*DATOS!$C$21*100*BE12/DATOS!$C$14))))</f>
        <v/>
      </c>
      <c r="BG12" s="58" t="str">
        <f>IF(V12&lt;&gt;"SÍ","",IF(BF12&lt;0,-1,MAX(BF12,BC12)))</f>
        <v/>
      </c>
      <c r="BH12" s="64" t="str">
        <f>IF(V12&lt;&gt;"SÍ","",IF(AND(BG12&gt;0,FLOOR(MIN(BD12,100*INDEX(TABLAS!$D$52:$D$58,MIN(MATCH(IF(ISNUMBER(S12),S12,DATOS!$C$135),TABLAS!$B$52:$B$58,0)+0,7))/MAX(BG12,0.0001)),DATOS!$C$141)&gt;=DATOS!$C$140),INDEX(TABLAS!$B$52:$B$58,MIN(MATCH(IF(ISNUMBER(S12),S12,DATOS!$C$135),TABLAS!$B$52:$B$58,0)+0,7)),IF(AND(BG12&gt;0,FLOOR(MIN(BD12,100*INDEX(TABLAS!$D$52:$D$58,MIN(MATCH(IF(ISNUMBER(S12),S12,DATOS!$C$135),TABLAS!$B$52:$B$58,0)+1,7))/MAX(BG12,0.0001)),DATOS!$C$141)&gt;=DATOS!$C$140),INDEX(TABLAS!$B$52:$B$58,MIN(MATCH(IF(ISNUMBER(S12),S12,DATOS!$C$135),TABLAS!$B$52:$B$58,0)+1,7)),IF(AND(BG12&gt;0,FLOOR(MIN(BD12,100*INDEX(TABLAS!$D$52:$D$58,MIN(MATCH(IF(ISNUMBER(S12),S12,DATOS!$C$135),TABLAS!$B$52:$B$58,0)+2,7))/MAX(BG12,0.0001)),DATOS!$C$141)&gt;=DATOS!$C$140),INDEX(TABLAS!$B$52:$B$58,MIN(MATCH(IF(ISNUMBER(S12),S12,DATOS!$C$135),TABLAS!$B$52:$B$58,0)+2,7)),IF(AND(BG12&gt;0,FLOOR(MIN(BD12,100*INDEX(TABLAS!$D$52:$D$58,MIN(MATCH(IF(ISNUMBER(S12),S12,DATOS!$C$135),TABLAS!$B$52:$B$58,0)+3,7))/MAX(BG12,0.0001)),DATOS!$C$141)&gt;=DATOS!$C$140),INDEX(TABLAS!$B$52:$B$58,MIN(MATCH(IF(ISNUMBER(S12),S12,DATOS!$C$135),TABLAS!$B$52:$B$58,0)+3,7)),IF(AND(BG12&gt;0,FLOOR(MIN(BD12,100*INDEX(TABLAS!$D$52:$D$58,MIN(MATCH(IF(ISNUMBER(S12),S12,DATOS!$C$135),TABLAS!$B$52:$B$58,0)+4,7))/MAX(BG12,0.0001)),DATOS!$C$141)&gt;=DATOS!$C$140),INDEX(TABLAS!$B$52:$B$58,MIN(MATCH(IF(ISNUMBER(S12),S12,DATOS!$C$135),TABLAS!$B$52:$B$58,0)+4,7)),INDEX(TABLAS!$B$52:$B$58,7)))))))</f>
        <v/>
      </c>
      <c r="BI12" s="71" t="str">
        <f>IF(V12&lt;&gt;"SÍ","",IF(BG12&lt;=0,0,FLOOR(MIN(BD12,100*INDEX(TABLAS!$D$52:$D$58,MATCH(BH12,TABLAS!$B$52:$B$58,0))/BG12),DATOS!$C$141)))</f>
        <v/>
      </c>
      <c r="BJ12" s="58" t="str">
        <f>IF(V12&lt;&gt;"SÍ","",IF(BI12&lt;=0,0,INDEX(TABLAS!$D$52:$D$58,MATCH(BH12,TABLAS!$B$52:$B$58,0))*100/BI12))</f>
        <v/>
      </c>
      <c r="BK12" s="58" t="str">
        <f>IF(V12&lt;&gt;"SÍ","",W12-AE12-INDEX(TABLAS!$C$52:$C$58,MATCH(BH12,TABLAS!$B$52:$B$58,0))/2)</f>
        <v/>
      </c>
      <c r="BL12" s="56" t="str">
        <f>IF(V12&lt;&gt;"SÍ","",IF(BJ12=0,0,DATOS!$C$29*BJ12*DATOS!$C$14*(BK12-BJ12*DATOS!$C$14/(DATOS!$C$21*100)/2)/1E5))</f>
        <v/>
      </c>
      <c r="BM12" s="65" t="str">
        <f>IF(V12&lt;&gt;"SÍ","",IF(BG12&lt;0,9.99,IF(BL12&gt;0,AX12/BL12,0)))</f>
        <v/>
      </c>
      <c r="BN12" s="66" t="str">
        <f>IF(V12&lt;&gt;"SÍ","",IF(BJ12=0,"—",0.003*(BK12-(BJ12*DATOS!$C$14/(DATOS!$C$21*100)/DATOS!$C$22))/(BJ12*DATOS!$C$14/(DATOS!$C$21*100)/DATOS!$C$22)))</f>
        <v/>
      </c>
      <c r="BO12" s="58" t="str">
        <f>IF(V12&lt;&gt;"SÍ","",((W12-AF12-INDEX(TABLAS!$C$52:$C$58,MATCH(IF(ISNUMBER(S12),S12,DATOS!$C$135),TABLAS!$B$52:$B$58,0))/2)-IF(AND((W12-AF12-INDEX(TABLAS!$C$52:$C$58,MATCH(IF(ISNUMBER(S12),S12,DATOS!$C$135),TABLAS!$B$52:$B$58,0))/2)&lt;=20,DATOS!$C$62&lt;&gt;"SÍ"),2,0)))</f>
        <v/>
      </c>
      <c r="BP12" s="58" t="str">
        <f>IF(V12&lt;&gt;"SÍ","",IF(AY12&lt;=0,0,IF((1-2*AY12*1E5/(DATOS!$C$29*100*BO12^2*DATOS!$C$21))&lt;0,-1,IF((1-SQRT((1-2*AY12*1E5/(DATOS!$C$29*100*BO12^2*DATOS!$C$21))))*DATOS!$C$21*100*BO12/DATOS!$C$14&gt;DATOS!$C$99*100*BO12,-1,(1-SQRT((1-2*AY12*1E5/(DATOS!$C$29*100*BO12^2*DATOS!$C$21))))*DATOS!$C$21*100*BO12/DATOS!$C$14))))</f>
        <v/>
      </c>
      <c r="BQ12" s="58" t="str">
        <f>IF(V12&lt;&gt;"SÍ","",IF(BP12&lt;0,-1,MAX(BP12,BC12)))</f>
        <v/>
      </c>
      <c r="BR12" s="64" t="str">
        <f>IF(V12&lt;&gt;"SÍ","",IF(AND(BQ12&gt;0,FLOOR(MIN(BD12,100*INDEX(TABLAS!$D$52:$D$58,MIN(MATCH(IF(ISNUMBER(S12),S12,DATOS!$C$135),TABLAS!$B$52:$B$58,0)+0,7))/MAX(BQ12,0.0001)),DATOS!$C$141)&gt;=DATOS!$C$140),INDEX(TABLAS!$B$52:$B$58,MIN(MATCH(IF(ISNUMBER(S12),S12,DATOS!$C$135),TABLAS!$B$52:$B$58,0)+0,7)),IF(AND(BQ12&gt;0,FLOOR(MIN(BD12,100*INDEX(TABLAS!$D$52:$D$58,MIN(MATCH(IF(ISNUMBER(S12),S12,DATOS!$C$135),TABLAS!$B$52:$B$58,0)+1,7))/MAX(BQ12,0.0001)),DATOS!$C$141)&gt;=DATOS!$C$140),INDEX(TABLAS!$B$52:$B$58,MIN(MATCH(IF(ISNUMBER(S12),S12,DATOS!$C$135),TABLAS!$B$52:$B$58,0)+1,7)),IF(AND(BQ12&gt;0,FLOOR(MIN(BD12,100*INDEX(TABLAS!$D$52:$D$58,MIN(MATCH(IF(ISNUMBER(S12),S12,DATOS!$C$135),TABLAS!$B$52:$B$58,0)+2,7))/MAX(BQ12,0.0001)),DATOS!$C$141)&gt;=DATOS!$C$140),INDEX(TABLAS!$B$52:$B$58,MIN(MATCH(IF(ISNUMBER(S12),S12,DATOS!$C$135),TABLAS!$B$52:$B$58,0)+2,7)),IF(AND(BQ12&gt;0,FLOOR(MIN(BD12,100*INDEX(TABLAS!$D$52:$D$58,MIN(MATCH(IF(ISNUMBER(S12),S12,DATOS!$C$135),TABLAS!$B$52:$B$58,0)+3,7))/MAX(BQ12,0.0001)),DATOS!$C$141)&gt;=DATOS!$C$140),INDEX(TABLAS!$B$52:$B$58,MIN(MATCH(IF(ISNUMBER(S12),S12,DATOS!$C$135),TABLAS!$B$52:$B$58,0)+3,7)),IF(AND(BQ12&gt;0,FLOOR(MIN(BD12,100*INDEX(TABLAS!$D$52:$D$58,MIN(MATCH(IF(ISNUMBER(S12),S12,DATOS!$C$135),TABLAS!$B$52:$B$58,0)+4,7))/MAX(BQ12,0.0001)),DATOS!$C$141)&gt;=DATOS!$C$140),INDEX(TABLAS!$B$52:$B$58,MIN(MATCH(IF(ISNUMBER(S12),S12,DATOS!$C$135),TABLAS!$B$52:$B$58,0)+4,7)),INDEX(TABLAS!$B$52:$B$58,7)))))))</f>
        <v/>
      </c>
      <c r="BS12" s="71" t="str">
        <f>IF(V12&lt;&gt;"SÍ","",IF(BQ12&lt;=0,0,FLOOR(MIN(BD12,100*INDEX(TABLAS!$D$52:$D$58,MATCH(BR12,TABLAS!$B$52:$B$58,0))/BQ12),DATOS!$C$141)))</f>
        <v/>
      </c>
      <c r="BT12" s="58" t="str">
        <f>IF(V12&lt;&gt;"SÍ","",IF(BS12&lt;=0,0,INDEX(TABLAS!$D$52:$D$58,MATCH(BR12,TABLAS!$B$52:$B$58,0))*100/BS12))</f>
        <v/>
      </c>
      <c r="BU12" s="58" t="str">
        <f>IF(V12&lt;&gt;"SÍ","",((W12-AF12-INDEX(TABLAS!$C$52:$C$58,MATCH(BR12,TABLAS!$B$52:$B$58,0))/2)-IF(AND((W12-AF12-INDEX(TABLAS!$C$52:$C$58,MATCH(BR12,TABLAS!$B$52:$B$58,0))/2)&lt;=20,DATOS!$C$62&lt;&gt;"SÍ"),2,0)))</f>
        <v/>
      </c>
      <c r="BV12" s="56" t="str">
        <f>IF(V12&lt;&gt;"SÍ","",IF(BT12=0,0,DATOS!$C$29*BT12*DATOS!$C$14*(BU12-BT12*DATOS!$C$14/(DATOS!$C$21*100)/2)/1E5))</f>
        <v/>
      </c>
      <c r="BW12" s="65" t="str">
        <f>IF(V12&lt;&gt;"SÍ","",IF(BQ12&lt;0,9.99,IF(BV12&gt;0,AY12/BV12,0)))</f>
        <v/>
      </c>
      <c r="BX12" s="66" t="str">
        <f>IF(V12&lt;&gt;"SÍ","",IF(BT12=0,"—",0.003*(BU12-(BT12*DATOS!$C$14/(DATOS!$C$21*100)/DATOS!$C$22))/(BT12*DATOS!$C$14/(DATOS!$C$21*100)/DATOS!$C$22)))</f>
        <v/>
      </c>
      <c r="BY12" s="58" t="str">
        <f>IF(V12&lt;&gt;"SÍ","",(W12-AE12-1.5*INDEX(TABLAS!$C$52:$C$58,MATCH(IF(ISNUMBER(S12),S12,DATOS!$C$135),TABLAS!$B$52:$B$58,0))))</f>
        <v/>
      </c>
      <c r="BZ12" s="58" t="str">
        <f>IF(V12&lt;&gt;"SÍ","",IF(AZ12&lt;=0,0,IF((1-2*AZ12*1E5/(DATOS!$C$29*100*BY12^2*DATOS!$C$21))&lt;0,-1,IF((1-SQRT((1-2*AZ12*1E5/(DATOS!$C$29*100*BY12^2*DATOS!$C$21))))*DATOS!$C$21*100*BY12/DATOS!$C$14&gt;DATOS!$C$99*100*BY12,-1,(1-SQRT((1-2*AZ12*1E5/(DATOS!$C$29*100*BY12^2*DATOS!$C$21))))*DATOS!$C$21*100*BY12/DATOS!$C$14))))</f>
        <v/>
      </c>
      <c r="CA12" s="58" t="str">
        <f>IF(V12&lt;&gt;"SÍ","",IF(BZ12&lt;0,-1,MAX(BZ12,BC12)))</f>
        <v/>
      </c>
      <c r="CB12" s="64" t="str">
        <f>IF(V12&lt;&gt;"SÍ","",IF(AND(CA12&gt;0,FLOOR(MIN(BD12,100*INDEX(TABLAS!$D$52:$D$58,MIN(MATCH(IF(ISNUMBER(S12),S12,DATOS!$C$135),TABLAS!$B$52:$B$58,0)+0,7))/MAX(CA12,0.0001)),DATOS!$C$141)&gt;=DATOS!$C$140),INDEX(TABLAS!$B$52:$B$58,MIN(MATCH(IF(ISNUMBER(S12),S12,DATOS!$C$135),TABLAS!$B$52:$B$58,0)+0,7)),IF(AND(CA12&gt;0,FLOOR(MIN(BD12,100*INDEX(TABLAS!$D$52:$D$58,MIN(MATCH(IF(ISNUMBER(S12),S12,DATOS!$C$135),TABLAS!$B$52:$B$58,0)+1,7))/MAX(CA12,0.0001)),DATOS!$C$141)&gt;=DATOS!$C$140),INDEX(TABLAS!$B$52:$B$58,MIN(MATCH(IF(ISNUMBER(S12),S12,DATOS!$C$135),TABLAS!$B$52:$B$58,0)+1,7)),IF(AND(CA12&gt;0,FLOOR(MIN(BD12,100*INDEX(TABLAS!$D$52:$D$58,MIN(MATCH(IF(ISNUMBER(S12),S12,DATOS!$C$135),TABLAS!$B$52:$B$58,0)+2,7))/MAX(CA12,0.0001)),DATOS!$C$141)&gt;=DATOS!$C$140),INDEX(TABLAS!$B$52:$B$58,MIN(MATCH(IF(ISNUMBER(S12),S12,DATOS!$C$135),TABLAS!$B$52:$B$58,0)+2,7)),IF(AND(CA12&gt;0,FLOOR(MIN(BD12,100*INDEX(TABLAS!$D$52:$D$58,MIN(MATCH(IF(ISNUMBER(S12),S12,DATOS!$C$135),TABLAS!$B$52:$B$58,0)+3,7))/MAX(CA12,0.0001)),DATOS!$C$141)&gt;=DATOS!$C$140),INDEX(TABLAS!$B$52:$B$58,MIN(MATCH(IF(ISNUMBER(S12),S12,DATOS!$C$135),TABLAS!$B$52:$B$58,0)+3,7)),IF(AND(CA12&gt;0,FLOOR(MIN(BD12,100*INDEX(TABLAS!$D$52:$D$58,MIN(MATCH(IF(ISNUMBER(S12),S12,DATOS!$C$135),TABLAS!$B$52:$B$58,0)+4,7))/MAX(CA12,0.0001)),DATOS!$C$141)&gt;=DATOS!$C$140),INDEX(TABLAS!$B$52:$B$58,MIN(MATCH(IF(ISNUMBER(S12),S12,DATOS!$C$135),TABLAS!$B$52:$B$58,0)+4,7)),INDEX(TABLAS!$B$52:$B$58,7)))))))</f>
        <v/>
      </c>
      <c r="CC12" s="71" t="str">
        <f>IF(V12&lt;&gt;"SÍ","",IF(CA12&lt;=0,0,FLOOR(MIN(BD12,100*INDEX(TABLAS!$D$52:$D$58,MATCH(CB12,TABLAS!$B$52:$B$58,0))/CA12),DATOS!$C$141)))</f>
        <v/>
      </c>
      <c r="CD12" s="58" t="str">
        <f>IF(V12&lt;&gt;"SÍ","",IF(CC12&lt;=0,0,INDEX(TABLAS!$D$52:$D$58,MATCH(CB12,TABLAS!$B$52:$B$58,0))*100/CC12))</f>
        <v/>
      </c>
      <c r="CE12" s="58" t="str">
        <f>IF(V12&lt;&gt;"SÍ","",W12-AE12-INDEX(TABLAS!$C$52:$C$58,MATCH(BH12,TABLAS!$B$52:$B$58,0))-INDEX(TABLAS!$C$52:$C$58,MATCH(CB12,TABLAS!$B$52:$B$58,0))/2)</f>
        <v/>
      </c>
      <c r="CF12" s="56" t="str">
        <f>IF(V12&lt;&gt;"SÍ","",IF(CD12=0,0,DATOS!$C$29*CD12*DATOS!$C$14*(CE12-CD12*DATOS!$C$14/(DATOS!$C$21*100)/2)/1E5))</f>
        <v/>
      </c>
      <c r="CG12" s="65" t="str">
        <f>IF(V12&lt;&gt;"SÍ","",IF(CA12&lt;0,9.99,IF(CF12&gt;0,AZ12/CF12,0)))</f>
        <v/>
      </c>
      <c r="CH12" s="66" t="str">
        <f>IF(V12&lt;&gt;"SÍ","",IF(CD12=0,"—",0.003*(CE12-(CD12*DATOS!$C$14/(DATOS!$C$21*100)/DATOS!$C$22))/(CD12*DATOS!$C$14/(DATOS!$C$21*100)/DATOS!$C$22)))</f>
        <v/>
      </c>
      <c r="CI12" s="58" t="str">
        <f>IF(V12&lt;&gt;"SÍ","",((W12-AF12-1.5*INDEX(TABLAS!$C$52:$C$58,MATCH(IF(ISNUMBER(S12),S12,DATOS!$C$135),TABLAS!$B$52:$B$58,0)))-IF(AND((W12-AF12-1.5*INDEX(TABLAS!$C$52:$C$58,MATCH(IF(ISNUMBER(S12),S12,DATOS!$C$135),TABLAS!$B$52:$B$58,0)))&lt;=20,DATOS!$C$62&lt;&gt;"SÍ"),2,0)))</f>
        <v/>
      </c>
      <c r="CJ12" s="58" t="str">
        <f>IF(V12&lt;&gt;"SÍ","",IF(BA12&lt;=0,0,IF((1-2*BA12*1E5/(DATOS!$C$29*100*CI12^2*DATOS!$C$21))&lt;0,-1,IF((1-SQRT((1-2*BA12*1E5/(DATOS!$C$29*100*CI12^2*DATOS!$C$21))))*DATOS!$C$21*100*CI12/DATOS!$C$14&gt;DATOS!$C$99*100*CI12,-1,(1-SQRT((1-2*BA12*1E5/(DATOS!$C$29*100*CI12^2*DATOS!$C$21))))*DATOS!$C$21*100*CI12/DATOS!$C$14))))</f>
        <v/>
      </c>
      <c r="CK12" s="58" t="str">
        <f>IF(V12&lt;&gt;"SÍ","",IF(CJ12&lt;0,-1,MAX(CJ12,BC12)))</f>
        <v/>
      </c>
      <c r="CL12" s="64" t="str">
        <f>IF(V12&lt;&gt;"SÍ","",IF(AND(CK12&gt;0,FLOOR(MIN(BD12,100*INDEX(TABLAS!$D$52:$D$58,MIN(MATCH(IF(ISNUMBER(S12),S12,DATOS!$C$135),TABLAS!$B$52:$B$58,0)+0,7))/MAX(CK12,0.0001)),DATOS!$C$141)&gt;=DATOS!$C$140),INDEX(TABLAS!$B$52:$B$58,MIN(MATCH(IF(ISNUMBER(S12),S12,DATOS!$C$135),TABLAS!$B$52:$B$58,0)+0,7)),IF(AND(CK12&gt;0,FLOOR(MIN(BD12,100*INDEX(TABLAS!$D$52:$D$58,MIN(MATCH(IF(ISNUMBER(S12),S12,DATOS!$C$135),TABLAS!$B$52:$B$58,0)+1,7))/MAX(CK12,0.0001)),DATOS!$C$141)&gt;=DATOS!$C$140),INDEX(TABLAS!$B$52:$B$58,MIN(MATCH(IF(ISNUMBER(S12),S12,DATOS!$C$135),TABLAS!$B$52:$B$58,0)+1,7)),IF(AND(CK12&gt;0,FLOOR(MIN(BD12,100*INDEX(TABLAS!$D$52:$D$58,MIN(MATCH(IF(ISNUMBER(S12),S12,DATOS!$C$135),TABLAS!$B$52:$B$58,0)+2,7))/MAX(CK12,0.0001)),DATOS!$C$141)&gt;=DATOS!$C$140),INDEX(TABLAS!$B$52:$B$58,MIN(MATCH(IF(ISNUMBER(S12),S12,DATOS!$C$135),TABLAS!$B$52:$B$58,0)+2,7)),IF(AND(CK12&gt;0,FLOOR(MIN(BD12,100*INDEX(TABLAS!$D$52:$D$58,MIN(MATCH(IF(ISNUMBER(S12),S12,DATOS!$C$135),TABLAS!$B$52:$B$58,0)+3,7))/MAX(CK12,0.0001)),DATOS!$C$141)&gt;=DATOS!$C$140),INDEX(TABLAS!$B$52:$B$58,MIN(MATCH(IF(ISNUMBER(S12),S12,DATOS!$C$135),TABLAS!$B$52:$B$58,0)+3,7)),IF(AND(CK12&gt;0,FLOOR(MIN(BD12,100*INDEX(TABLAS!$D$52:$D$58,MIN(MATCH(IF(ISNUMBER(S12),S12,DATOS!$C$135),TABLAS!$B$52:$B$58,0)+4,7))/MAX(CK12,0.0001)),DATOS!$C$141)&gt;=DATOS!$C$140),INDEX(TABLAS!$B$52:$B$58,MIN(MATCH(IF(ISNUMBER(S12),S12,DATOS!$C$135),TABLAS!$B$52:$B$58,0)+4,7)),INDEX(TABLAS!$B$52:$B$58,7)))))))</f>
        <v/>
      </c>
      <c r="CM12" s="71" t="str">
        <f>IF(V12&lt;&gt;"SÍ","",IF(CK12&lt;=0,0,FLOOR(MIN(BD12,100*INDEX(TABLAS!$D$52:$D$58,MATCH(CL12,TABLAS!$B$52:$B$58,0))/CK12),DATOS!$C$141)))</f>
        <v/>
      </c>
      <c r="CN12" s="58" t="str">
        <f>IF(V12&lt;&gt;"SÍ","",IF(CM12&lt;=0,0,INDEX(TABLAS!$D$52:$D$58,MATCH(CL12,TABLAS!$B$52:$B$58,0))*100/CM12))</f>
        <v/>
      </c>
      <c r="CO12" s="58" t="str">
        <f>IF(V12&lt;&gt;"SÍ","",((W12-AF12-INDEX(TABLAS!$C$52:$C$58,MATCH(BR12,TABLAS!$B$52:$B$58,0))-INDEX(TABLAS!$C$52:$C$58,MATCH(CL12,TABLAS!$B$52:$B$58,0))/2)-IF(AND((W12-AF12-INDEX(TABLAS!$C$52:$C$58,MATCH(BR12,TABLAS!$B$52:$B$58,0))-INDEX(TABLAS!$C$52:$C$58,MATCH(CL12,TABLAS!$B$52:$B$58,0))/2)&lt;=20,DATOS!$C$62&lt;&gt;"SÍ"),2,0)))</f>
        <v/>
      </c>
      <c r="CP12" s="56" t="str">
        <f>IF(V12&lt;&gt;"SÍ","",IF(CN12=0,0,DATOS!$C$29*CN12*DATOS!$C$14*(CO12-CN12*DATOS!$C$14/(DATOS!$C$21*100)/2)/1E5))</f>
        <v/>
      </c>
      <c r="CQ12" s="65" t="str">
        <f>IF(V12&lt;&gt;"SÍ","",IF(CK12&lt;0,9.99,IF(CP12&gt;0,BA12/CP12,0)))</f>
        <v/>
      </c>
      <c r="CR12" s="66" t="str">
        <f>IF(V12&lt;&gt;"SÍ","",IF(CN12=0,"—",0.003*(CO12-(CN12*DATOS!$C$14/(DATOS!$C$21*100)/DATOS!$C$22))/(CN12*DATOS!$C$14/(DATOS!$C$21*100)/DATOS!$C$22)))</f>
        <v/>
      </c>
      <c r="CS12" s="56" t="str">
        <f>IF(V12&lt;&gt;"SÍ","",IF(C12="PERIMETRAL",MAX(0,(AC12/2-BU12)/100)*(0.95-0.5*AB12)*AK12*IF(AND(AL12&gt;0,AL12&lt;4),DATOS!$C$33,1)/1000,(AK12*MAX(0,AC12-BU12)/100+DATOS!$C$26*N(P12))/1000))</f>
        <v/>
      </c>
      <c r="CT12" s="66" t="str">
        <f>IF(V12&lt;&gt;"SÍ","",BT12/(100*BU12))</f>
        <v/>
      </c>
      <c r="CU12" s="56" t="str">
        <f>IF(V12&lt;&gt;"SÍ","",DATOS!$C$30*2*MIN(1,SQRT(2/(1+0.04*BU12)))*CT12^(1/3)*SQRT(DATOS!$C$13)*100*BU12/1000)</f>
        <v/>
      </c>
      <c r="CV12" s="67" t="str">
        <f>IF(V12&lt;&gt;"SÍ","",IF(CS12&lt;=CU12,"CUMPLE","NO CUMPLE: sube h"))</f>
        <v/>
      </c>
      <c r="CW12" s="58" t="str">
        <f>IF(V12&lt;&gt;"SÍ","",IF(C12="PERIMETRAL",IF(ISNUMBER(R12),R12,DATOS!$C$101),0))</f>
        <v/>
      </c>
      <c r="CX12" s="57" t="str">
        <f>IF(V12&lt;&gt;"SÍ","",IF(C12="PERIMETRAL",IF(CW12&gt;2,MAX(9,AD12*(0.8+DATOS!$C$14/14000)/(36+9*(AD12/MAX(AC12,1)))),IF(CW12&gt;0.2,MAX(13,AD12*(0.8+DATOS!$C$14/14000)/(36+5*(AD12/MAX(AC12,1))*(CW12-0.2))),MAX(13,AD12/IF(AL12&gt;0,30,33))))*IF(AND(CW12&gt;0.2,AL12&gt;0,DATOS!$C$102="NO"),1.1,1),Z12*100/DATOS!$C$142))</f>
        <v/>
      </c>
      <c r="CY12" s="61" t="str">
        <f>IF(V12&lt;&gt;"SÍ","",IF(W12&gt;=CX12-0.001,"CUMPLE",IF(C12="VOLADO","NO CUMPLE","CALCULAR FLECHA")))</f>
        <v/>
      </c>
      <c r="CZ12" s="60" t="str">
        <f>IF(V12&lt;&gt;"SÍ","",IF(C12="VOLADO",MIN(CEILING(IF(ISNUMBER(Q12),Q12,Z12)*100,5),CEILING(MAX(IF((0.5*(0.9*W12/100*DATOS!$C$16)*IF(ISNUMBER(Q12),Q12,Z12)+AY12/IF(ISNUMBER(Q12),Q12,Z12))^2-4*(0.5*(0.9*W12/100*DATOS!$C$16))*AY12&lt;0,IF(ISNUMBER(Q12),Q12,Z12),MIN(IF(ISNUMBER(Q12),Q12,Z12),((0.5*(0.9*W12/100*DATOS!$C$16)*IF(ISNUMBER(Q12),Q12,Z12)+AY12/IF(ISNUMBER(Q12),Q12,Z12))-SQRT((0.5*(0.9*W12/100*DATOS!$C$16)*IF(ISNUMBER(Q12),Q12,Z12)+AY12/IF(ISNUMBER(Q12),Q12,Z12))^2-4*(0.5*(0.9*W12/100*DATOS!$C$16))*AY12))/(2*(0.5*(0.9*W12/100*DATOS!$C$16)))))*100+MAX(BU12,12*INDEX(TABLAS!$C$52:$C$58,MATCH(BR12,TABLAS!$B$52:$B$58,0)),IF(ISNUMBER(Q12),Q12,Z12)*100/16),IF(OR(AF12&lt;INDEX(TABLAS!$C$52:$C$58,MATCH(BR12,TABLAS!$B$52:$B$58,0)),BS12-INDEX(TABLAS!$C$52:$C$58,MATCH(BR12,TABLAS!$B$52:$B$58,0))&lt;2*INDEX(TABLAS!$C$52:$C$58,MATCH(BR12,TABLAS!$B$52:$B$58,0))),INDEX(TABLAS!$I$52:$I$58,MATCH(BR12,TABLAS!$B$52:$B$58,0)),INDEX(TABLAS!$F$52:$F$58,MATCH(BR12,TABLAS!$B$52:$B$58,0)))),5)),IF(((4*((AV12*AK12*Z12^2*1E-4/1000)+((MAX(AR12,AT12)*AK12*Z12^2*1E-4/1000)+(IF(AND(AR12&gt;0,AT12&gt;0),MIN(AR12,AT12),MAX(AR12,AT12))*AK12*Z12^2*1E-4/1000))/2)+AY12-(IF(AND(AR12&gt;0,AT12&gt;0),MIN(AR12,AT12),MAX(AR12,AT12))*AK12*Z12^2*1E-4/1000))^2-16*((AV12*AK12*Z12^2*1E-4/1000)+((MAX(AR12,AT12)*AK12*Z12^2*1E-4/1000)+(IF(AND(AR12&gt;0,AT12&gt;0),MIN(AR12,AT12),MAX(AR12,AT12))*AK12*Z12^2*1E-4/1000))/2)*AY12)&lt;0,CEILING(AC12,5),CEILING(MAX(AC12*((4*((AV12*AK12*Z12^2*1E-4/1000)+((MAX(AR12,AT12)*AK12*Z12^2*1E-4/1000)+(IF(AND(AR12&gt;0,AT12&gt;0),MIN(AR12,AT12),MAX(AR12,AT12))*AK12*Z12^2*1E-4/1000))/2)+AY12-(IF(AND(AR12&gt;0,AT12&gt;0),MIN(AR12,AT12),MAX(AR12,AT12))*AK12*Z12^2*1E-4/1000))-SQRT(MAX(0,((4*((AV12*AK12*Z12^2*1E-4/1000)+((MAX(AR12,AT12)*AK12*Z12^2*1E-4/1000)+(IF(AND(AR12&gt;0,AT12&gt;0),MIN(AR12,AT12),MAX(AR12,AT12))*AK12*Z12^2*1E-4/1000))/2)+AY12-(IF(AND(AR12&gt;0,AT12&gt;0),MIN(AR12,AT12),MAX(AR12,AT12))*AK12*Z12^2*1E-4/1000))^2-16*((AV12*AK12*Z12^2*1E-4/1000)+((MAX(AR12,AT12)*AK12*Z12^2*1E-4/1000)+(IF(AND(AR12&gt;0,AT12&gt;0),MIN(AR12,AT12),MAX(AR12,AT12))*AK12*Z12^2*1E-4/1000))/2)*AY12))))/(8*MAX(((AV12*AK12*Z12^2*1E-4/1000)+((MAX(AR12,AT12)*AK12*Z12^2*1E-4/1000)+(IF(AND(AR12&gt;0,AT12&gt;0),MIN(AR12,AT12),MAX(AR12,AT12))*AK12*Z12^2*1E-4/1000))/2),1E-9))+MAX(BU12,12*INDEX(TABLAS!$C$52:$C$58,MATCH(BR12,TABLAS!$B$52:$B$58,0)),AC12/16),IF(OR(AF12&lt;INDEX(TABLAS!$C$52:$C$58,MATCH(BR12,TABLAS!$B$52:$B$58,0)),BS12-INDEX(TABLAS!$C$52:$C$58,MATCH(BR12,TABLAS!$B$52:$B$58,0))&lt;2*INDEX(TABLAS!$C$52:$C$58,MATCH(BR12,TABLAS!$B$52:$B$58,0))),INDEX(TABLAS!$I$52:$I$58,MATCH(BR12,TABLAS!$B$52:$B$58,0)),INDEX(TABLAS!$F$52:$F$58,MATCH(BR12,TABLAS!$B$52:$B$58,0)))),5))))</f>
        <v/>
      </c>
      <c r="DA12" s="60" t="str">
        <f>IF(V12&lt;&gt;"SÍ","",IF(C12="VOLADO",0,IF(((4*((AW12*AK12*Z12^2*1E-4/1000)+((MAX(AS12,AU12)*AK12*Z12^2*1E-4/1000)+(IF(AND(AS12&gt;0,AU12&gt;0),MIN(AS12,AU12),MAX(AS12,AU12))*AK12*Z12^2*1E-4/1000))/2)+BA12-(IF(AND(AS12&gt;0,AU12&gt;0),MIN(AS12,AU12),MAX(AS12,AU12))*AK12*Z12^2*1E-4/1000))^2-16*((AW12*AK12*Z12^2*1E-4/1000)+((MAX(AS12,AU12)*AK12*Z12^2*1E-4/1000)+(IF(AND(AS12&gt;0,AU12&gt;0),MIN(AS12,AU12),MAX(AS12,AU12))*AK12*Z12^2*1E-4/1000))/2)*BA12)&lt;0,CEILING(AD12,5),CEILING(MAX(AD12*((4*((AW12*AK12*Z12^2*1E-4/1000)+((MAX(AS12,AU12)*AK12*Z12^2*1E-4/1000)+(IF(AND(AS12&gt;0,AU12&gt;0),MIN(AS12,AU12),MAX(AS12,AU12))*AK12*Z12^2*1E-4/1000))/2)+BA12-(IF(AND(AS12&gt;0,AU12&gt;0),MIN(AS12,AU12),MAX(AS12,AU12))*AK12*Z12^2*1E-4/1000))-SQRT(MAX(0,((4*((AW12*AK12*Z12^2*1E-4/1000)+((MAX(AS12,AU12)*AK12*Z12^2*1E-4/1000)+(IF(AND(AS12&gt;0,AU12&gt;0),MIN(AS12,AU12),MAX(AS12,AU12))*AK12*Z12^2*1E-4/1000))/2)+BA12-(IF(AND(AS12&gt;0,AU12&gt;0),MIN(AS12,AU12),MAX(AS12,AU12))*AK12*Z12^2*1E-4/1000))^2-16*((AW12*AK12*Z12^2*1E-4/1000)+((MAX(AS12,AU12)*AK12*Z12^2*1E-4/1000)+(IF(AND(AS12&gt;0,AU12&gt;0),MIN(AS12,AU12),MAX(AS12,AU12))*AK12*Z12^2*1E-4/1000))/2)*BA12))))/(8*MAX(((AW12*AK12*Z12^2*1E-4/1000)+((MAX(AS12,AU12)*AK12*Z12^2*1E-4/1000)+(IF(AND(AS12&gt;0,AU12&gt;0),MIN(AS12,AU12),MAX(AS12,AU12))*AK12*Z12^2*1E-4/1000))/2),1E-9))+MAX(CO12,12*INDEX(TABLAS!$C$52:$C$58,MATCH(CL12,TABLAS!$B$52:$B$58,0)),AD12/16),IF(OR(AF12&lt;INDEX(TABLAS!$C$52:$C$58,MATCH(CL12,TABLAS!$B$52:$B$58,0)),CM12-INDEX(TABLAS!$C$52:$C$58,MATCH(CL12,TABLAS!$B$52:$B$58,0))&lt;2*INDEX(TABLAS!$C$52:$C$58,MATCH(CL12,TABLAS!$B$52:$B$58,0))),INDEX(TABLAS!$I$52:$I$58,MATCH(CL12,TABLAS!$B$52:$B$58,0)),INDEX(TABLAS!$F$52:$F$58,MATCH(CL12,TABLAS!$B$52:$B$58,0)))),5))))</f>
        <v/>
      </c>
      <c r="DB12" s="55" t="str">
        <f>IF(V12&lt;&gt;"SÍ","",IF(AND(C12="PERIMETRAL",AL12-AM12&gt;0,AT12&gt;0),"SÍ","NO"))</f>
        <v/>
      </c>
      <c r="DC12" s="55" t="str">
        <f>IF(V12&lt;&gt;"SÍ","",IF(AND(C12="PERIMETRAL",AM12&gt;0,AU12&gt;0),"SÍ","NO"))</f>
        <v/>
      </c>
      <c r="DD12" s="63" t="str">
        <f>IF(V12&lt;&gt;"SÍ","",IF(OR(C12="VOLADO",AL12=0),"—",IF(AND(AND(INDEX(TABLAS!$G$52:$G$58,MATCH(MAX(BR12,CL12),TABLAS!$B$52:$B$58,0))&lt;=(DATOS!$C$72-DATOS!$C$60),(DATOS!$C$72-DATOS!$C$60)&gt;=15),8*INDEX(TABLAS!$C$52:$C$58,MATCH(MAX(BH12,CB12,BR12,CL12),TABLAS!$B$52:$B$58,0))&lt;=DATOS!$C$73-2*DATOS!$C$60),"CUMPLE (gancho de 180°)",IF(AND(INDEX(TABLAS!$G$52:$G$58,MATCH(MAX(BR12,CL12),TABLAS!$B$52:$B$58,0))&lt;=(DATOS!$C$72-DATOS!$C$60),(DATOS!$C$72-DATOS!$C$60)&gt;=15),"NO CUMPLE: el gancho de 180° (8·d_b) no cabe en el peralte de la dala de borde","NO CUMPLE: dala de borde ≥ "&amp;TEXT(CEILING(MAX(INDEX(TABLAS!$G$52:$G$58,MATCH(MAX(BR12,CL12),TABLAS!$B$52:$B$58,0)),15)+DATOS!$C$60,5),"0")&amp;" cm de ancho"&amp;IF(8*INDEX(TABLAS!$C$52:$C$58,MATCH(MAX(BH12,CB12,BR12,CL12),TABLAS!$B$52:$B$58,0))&lt;=DATOS!$C$73-2*DATOS!$C$60,""," y más peralte para el gancho")))))</f>
        <v/>
      </c>
      <c r="DE12" s="69" t="str">
        <f>IF(V12&lt;&gt;"SÍ","",IF(BI12=0,"NO ALCANZA","No. "&amp;BH12&amp;" @ "&amp;BI12&amp;" cm"&amp;IF(C12="VOLADO"," (temperatura)","")))</f>
        <v/>
      </c>
      <c r="DF12" s="69" t="str">
        <f>IF(V12&lt;&gt;"SÍ","",IF(BS12=0,"NO ALCANZA",IF(C12="VOLADO","No. "&amp;BR12&amp;" @ "&amp;BS12&amp;" cm"&amp;" de la orilla al respaldo ("&amp;IF(CZ12&gt;=100*IF(ISNUMBER(Q12),Q12,Z12),"hasta su apoyo lejano, con gancho","entran "&amp;TEXT(CZ12/100,"0.00")&amp;" m desde el paño")&amp;")","Bastones "&amp;"No. "&amp;BR12&amp;" @ "&amp;BS12&amp;" cm"&amp;", L = "&amp;TEXT(CZ12/100,"0.00")&amp;" m desde el paño")))</f>
        <v/>
      </c>
      <c r="DG12" s="69" t="str">
        <f>IF(V12&lt;&gt;"SÍ","",IF(CC12=0,"NO ALCANZA","No. "&amp;CB12&amp;" @ "&amp;CC12&amp;" cm"&amp;IF(C12="VOLADO"," (repartición)","")))</f>
        <v/>
      </c>
      <c r="DH12" s="69" t="str">
        <f>IF(V12&lt;&gt;"SÍ","",IF(CM12=0,"NO ALCANZA",IF(C12="VOLADO","No. "&amp;CL12&amp;" @ "&amp;CM12&amp;" cm"&amp;" (repartición)","Bastones "&amp;"No. "&amp;CL12&amp;" @ "&amp;CM12&amp;" cm"&amp;", L = "&amp;TEXT(DA12/100,"0.00")&amp;" m desde el paño")))</f>
        <v/>
      </c>
      <c r="DI12" s="67" t="str">
        <f>IF(B12="","",IF(V12&lt;&gt;"SÍ","FALTAN DATOS: tipo, a_x, a_y y destino",IF(L12="NO MONOLÍTICO (caso II)","FUERA DE ALCANCE: caso II no transcrito",IF(AND(C12="VOLADO",X12="?"),"REVISAR: el volado lleva UN solo borde CONTINUO (el empotrado)",IF(AND(MAX(BM12,BW12,CG12,CQ12)&lt;=1,NOT(OR(BI12&lt;DATOS!$C$140,BS12&lt;DATOS!$C$140,CC12&lt;DATOS!$C$140,CM12&lt;DATOS!$C$140)),NOT(OR(AND(ISNUMBER(BN12),BN12&lt;0.005),AND(ISNUMBER(BX12),BX12&lt;0.005),AND(ISNUMBER(CH12),CH12&lt;0.005),AND(ISNUMBER(CR12),CR12&lt;0.005))),CV12="CUMPLE",CY12="CUMPLE"),"CUMPLE"&amp;IF(LEFT(BB12,5)="FUERA"," · fuera de 3.4.2.1 c)","")&amp;IF(LEFT(DD12,2)="NO"," · REVISAR anclaje en borde discontinuo",""),IF(AND(MAX(BM12,BW12,CG12,CQ12)&lt;=1,NOT(OR(BI12&lt;DATOS!$C$140,BS12&lt;DATOS!$C$140,CC12&lt;DATOS!$C$140,CM12&lt;DATOS!$C$140)),NOT(OR(AND(ISNUMBER(BN12),BN12&lt;0.005),AND(ISNUMBER(BX12),BX12&lt;0.005),AND(ISNUMBER(CH12),CH12&lt;0.005),AND(ISNUMBER(CR12),CR12&lt;0.005))),CV12="CUMPLE",CY12="CALCULAR FLECHA"),"REVISAR: calcular flecha (h &lt; h mín.)"&amp;IF(LEFT(BB12,5)="FUERA"," · fuera de 3.4.2.1 c)","")&amp;IF(LEFT(DD12,2)="NO"," · REVISAR anclaje en borde discontinuo",""),"NO CUMPLE: "&amp;IF(MAX(BM12,BW12,CG12,CQ12)&gt;1,"flexión ","")&amp;IF(OR(BI12&lt;DATOS!$C$140,BS12&lt;DATOS!$C$140,CC12&lt;DATOS!$C$140,CM12&lt;DATOS!$C$140),"separación &lt; mínima ","")&amp;IF(OR(AND(ISNUMBER(BN12),BN12&lt;0.005),AND(ISNUMBER(BX12),BX12&lt;0.005),AND(ISNUMBER(CH12),CH12&lt;0.005),AND(ISNUMBER(CR12),CR12&lt;0.005)),"ε_t &lt; 0.005 ","")&amp;IF(CV12&lt;&gt;"CUMPLE","cortante ","")&amp;IF(CY12="NO CUMPLE","peralte","")))))))</f>
        <v/>
      </c>
      <c r="DJ12" s="70" t="str">
        <f>IF(V12&lt;&gt;"SÍ","",IF(LEFT(B12,7)="EJEMPLO","EJEMPLO de tablero típico: bórralo o sobrescríbelo. ","")&amp;IF(C12="VOLADO","Volado de "&amp;TEXT(Z12,"0.00")&amp;" m empotrado en el borde "&amp;LOWER(X12)&amp;IF(N(P12)&gt;0,", con "&amp;TEXT(P12,"0.0")&amp;" kg/m en la orilla","")&amp;". Lecho inferior con r_ext. Si la orilla carga pretil u otro elemento frágil, calcula la flecha (13.4). El acero superior entra al respaldo de "&amp;TEXT(IF(ISNUMBER(Q12),Q12,Z12),"0.00")&amp;" m"&amp;IF(ISNUMBER(Q12),""," (L_b no capturado: se tomó igual al volado)")&amp;" hasta pasar M = 0 con 0.9·PP sin carga viva; si ahí no se anula, llega al apoyo lejano y se ancla con gancho. ","")&amp;IF(LEFT(BB12,5)="FUERA","El M⁻ del vecino difiere más de 50 % (3.4.2.1 c): distribuye el desequilibrio (3.4.3.1) o confirma con un modelo; se arma con el mayor. ","")&amp;IF(OR(DB12="SÍ",DC12="SÍ"),"Bastones también en los bordes discontinuos (M⁻ de tabla), con gancho. ","")&amp;IF(LEFT(DD12,2)="NO","Anclaje: "&amp;DD12&amp;" (6.7.7.4.1.1). ","")&amp;IF(OR(AT12&gt;0,AU12&gt;0),"Esquinas exteriores sobre muro: refuerzo de esquina arriba y abajo en L_largo/5 (6.7.7.3.1). ",""))</f>
        <v/>
      </c>
    </row>
    <row r="13" ht="33" customHeight="1">
      <c r="A13" s="50">
        <f>IF(B13="",0,1)+A12</f>
        <v>3</v>
      </c>
      <c r="B13" s="29" t="n"/>
      <c r="C13" s="51" t="n"/>
      <c r="D13" s="29" t="n"/>
      <c r="E13" s="52" t="n"/>
      <c r="F13" s="52" t="n"/>
      <c r="G13" s="51" t="n"/>
      <c r="H13" s="51" t="n"/>
      <c r="I13" s="51" t="n"/>
      <c r="J13" s="51" t="n"/>
      <c r="K13" s="51" t="n"/>
      <c r="L13" s="51" t="n"/>
      <c r="M13" s="54" t="n"/>
      <c r="N13" s="53" t="n"/>
      <c r="O13" s="53" t="n"/>
      <c r="P13" s="54" t="n"/>
      <c r="Q13" s="52" t="n"/>
      <c r="R13" s="54" t="n"/>
      <c r="S13" s="53" t="n"/>
      <c r="T13" s="52" t="n"/>
      <c r="U13" s="52" t="n"/>
      <c r="V13" s="55" t="str">
        <f>IF(B13="","",IF(AND(OR(C13="PERIMETRAL",C13="VOLADO"),ISNUMBER(E13),ISNUMBER(F13),E13&gt;0,F13&gt;0,OR(ISNUMBER(O13),ISNUMBER(MATCH(D13,DATOS!$B$46:$B$55,0)))),"SÍ","NO"))</f>
        <v/>
      </c>
      <c r="W13" s="57" t="str">
        <f>IF(V13&lt;&gt;"SÍ","",IF(ISNUMBER(M13),M13,DATOS!$C$134))</f>
        <v/>
      </c>
      <c r="X13" s="55" t="str">
        <f>IF(V13&lt;&gt;"SÍ","",IF(C13&lt;&gt;"VOLADO","—",IF(COUNTIF(G13:J13,"CONTINUO")&lt;&gt;1,"?",IF(G13="CONTINUO","INFERIOR",IF(H13="CONTINUO","SUPERIOR",IF(I13="CONTINUO","IZQUIERDO","DERECHO"))))))</f>
        <v/>
      </c>
      <c r="Y13" s="55" t="str">
        <f>IF(V13&lt;&gt;"SÍ","",IF(C13="VOLADO",IF(OR(X13="IZQUIERDO",X13="DERECHO"),"X","Y"),IF(E13&lt;=F13,"X","Y")))</f>
        <v/>
      </c>
      <c r="Z13" s="56" t="str">
        <f>IF(V13&lt;&gt;"SÍ","",IF(C13="VOLADO",IF(Y13="X",E13,F13),MIN(E13,F13)))</f>
        <v/>
      </c>
      <c r="AA13" s="56" t="str">
        <f>IF(V13&lt;&gt;"SÍ","",IF(C13="VOLADO",IF(Y13="X",F13,E13),MAX(E13,F13)))</f>
        <v/>
      </c>
      <c r="AB13" s="56" t="str">
        <f>IF(V13&lt;&gt;"SÍ","",MIN(Z13,AA13)/MAX(Z13,AA13))</f>
        <v/>
      </c>
      <c r="AC13" s="57" t="str">
        <f>IF(V13&lt;&gt;"SÍ","",MAX(1,Z13*100-IF(C13="VOLADO",DATOS!$C$84/2,DATOS!$C$84)))</f>
        <v/>
      </c>
      <c r="AD13" s="57" t="str">
        <f>IF(V13&lt;&gt;"SÍ","",MAX(1,AA13*100-DATOS!$C$84))</f>
        <v/>
      </c>
      <c r="AE13" s="57" t="str">
        <f>IF(V13&lt;&gt;"SÍ","",IF(C13="VOLADO",DATOS!$C$61,DATOS!$C$59))</f>
        <v/>
      </c>
      <c r="AF13" s="57" t="str">
        <f>IF(V13&lt;&gt;"SÍ","",IF(OR(AND(AG13="SÍ",DATOS!$C$63="SÍ"),AND(C13="VOLADO",DATOS!$C$64="SÍ")),DATOS!$C$61,DATOS!$C$59))</f>
        <v/>
      </c>
      <c r="AG13" s="55" t="str">
        <f>IF(V13&lt;&gt;"SÍ","",IFERROR(INDEX(DATOS!$D$46:$D$55,MATCH(D13,DATOS!$B$46:$B$55,0)),"NO"))</f>
        <v/>
      </c>
      <c r="AH13" s="59" t="str">
        <f>IF(V13&lt;&gt;"SÍ","",IF(ISNUMBER(O13),O13,IFERROR(INDEX(DATOS!$C$46:$C$55,MATCH(D13,DATOS!$B$46:$B$55,0)),0)))</f>
        <v/>
      </c>
      <c r="AI13" s="59" t="str">
        <f>IF(V13&lt;&gt;"SÍ","",W13/100*DATOS!$C$16*1000+DATOS!$C$37+DATOS!$C$38)</f>
        <v/>
      </c>
      <c r="AJ13" s="59" t="str">
        <f>IF(V13&lt;&gt;"SÍ","",AI13+N(N13))</f>
        <v/>
      </c>
      <c r="AK13" s="60" t="str">
        <f>IF(V13&lt;&gt;"SÍ","",MAX(DATOS!$C$26*AJ13+DATOS!$C$27*AH13,IF(AG13="SÍ",DATOS!$C$28*(AJ13+DATOS!$C$41),0)))</f>
        <v/>
      </c>
      <c r="AL13" s="59" t="str">
        <f>IF(V13&lt;&gt;"SÍ","",(G13="DISCONTINUO")+(H13="DISCONTINUO")+(I13="DISCONTINUO")+(J13="DISCONTINUO"))</f>
        <v/>
      </c>
      <c r="AM13" s="59" t="str">
        <f>IF(V13&lt;&gt;"SÍ","",IF(Y13="X",(G13="DISCONTINUO")+(H13="DISCONTINUO"),(I13="DISCONTINUO")+(J13="DISCONTINUO")))</f>
        <v/>
      </c>
      <c r="AN13" s="55" t="str">
        <f>IF(V13&lt;&gt;"SÍ","",IF(AL13=0,"INTERIOR",IF(AL13=1,IF(AM13=1,"BORDE-CORTO","BORDE-LARGO"),IF(AL13=2,IF(AM13=1,"ESQUINA",IF(AM13=2,"EXTREMO-LARGO","EXTREMO-CORTO")),IF(AL13=3,IF(AM13=2,"EXTREMO-LARGO","EXTREMO-CORTO"),"AISLADO")))))</f>
        <v/>
      </c>
      <c r="AO13" s="61" t="str">
        <f>IF(V13&lt;&gt;"SÍ","",IF(OR(K13="",K13="AUTO"),AN13,K13))</f>
        <v/>
      </c>
      <c r="AP13" s="59" t="str">
        <f>IF(V13&lt;&gt;"SÍ","",MATCH(AB13,TABLAS!$D$5:$J$5,1))</f>
        <v/>
      </c>
      <c r="AQ13" s="58" t="str">
        <f>IF(V13&lt;&gt;"SÍ","",IF(AP13&gt;=7,0,(AB13-INDEX(TABLAS!$D$5:$J$5,AP13))/(INDEX(TABLAS!$D$5:$J$5,AP13+1)-INDEX(TABLAS!$D$5:$J$5,AP13))))</f>
        <v/>
      </c>
      <c r="AR13" s="59" t="str">
        <f>IF(V13&lt;&gt;"SÍ","",INDEX(TABLAS!$D$6:$J$47,MATCH(AO13&amp;"|NIC",TABLAS!$B$6:$B$47,0),AP13)+AQ13*(INDEX(TABLAS!$D$6:$J$47,MATCH(AO13&amp;"|NIC",TABLAS!$B$6:$B$47,0),MIN(AP13+1,7))-INDEX(TABLAS!$D$6:$J$47,MATCH(AO13&amp;"|NIC",TABLAS!$B$6:$B$47,0),AP13)))</f>
        <v/>
      </c>
      <c r="AS13" s="59" t="str">
        <f>IF(V13&lt;&gt;"SÍ","",INDEX(TABLAS!$D$6:$J$47,MATCH(AO13&amp;"|NIL",TABLAS!$B$6:$B$47,0),AP13)+AQ13*(INDEX(TABLAS!$D$6:$J$47,MATCH(AO13&amp;"|NIL",TABLAS!$B$6:$B$47,0),MIN(AP13+1,7))-INDEX(TABLAS!$D$6:$J$47,MATCH(AO13&amp;"|NIL",TABLAS!$B$6:$B$47,0),AP13)))</f>
        <v/>
      </c>
      <c r="AT13" s="59" t="str">
        <f>IF(V13&lt;&gt;"SÍ","",INDEX(TABLAS!$D$6:$J$47,MATCH(AO13&amp;"|NDC",TABLAS!$B$6:$B$47,0),AP13)+AQ13*(INDEX(TABLAS!$D$6:$J$47,MATCH(AO13&amp;"|NDC",TABLAS!$B$6:$B$47,0),MIN(AP13+1,7))-INDEX(TABLAS!$D$6:$J$47,MATCH(AO13&amp;"|NDC",TABLAS!$B$6:$B$47,0),AP13)))</f>
        <v/>
      </c>
      <c r="AU13" s="59" t="str">
        <f>IF(V13&lt;&gt;"SÍ","",INDEX(TABLAS!$D$6:$J$47,MATCH(AO13&amp;"|NDL",TABLAS!$B$6:$B$47,0),AP13)+AQ13*(INDEX(TABLAS!$D$6:$J$47,MATCH(AO13&amp;"|NDL",TABLAS!$B$6:$B$47,0),MIN(AP13+1,7))-INDEX(TABLAS!$D$6:$J$47,MATCH(AO13&amp;"|NDL",TABLAS!$B$6:$B$47,0),AP13)))</f>
        <v/>
      </c>
      <c r="AV13" s="59" t="str">
        <f>IF(V13&lt;&gt;"SÍ","",INDEX(TABLAS!$D$6:$J$47,MATCH(AO13&amp;"|PC",TABLAS!$B$6:$B$47,0),AP13)+AQ13*(INDEX(TABLAS!$D$6:$J$47,MATCH(AO13&amp;"|PC",TABLAS!$B$6:$B$47,0),MIN(AP13+1,7))-INDEX(TABLAS!$D$6:$J$47,MATCH(AO13&amp;"|PC",TABLAS!$B$6:$B$47,0),AP13)))</f>
        <v/>
      </c>
      <c r="AW13" s="59" t="str">
        <f>IF(V13&lt;&gt;"SÍ","",INDEX(TABLAS!$D$6:$J$47,MATCH(AO13&amp;"|PL",TABLAS!$B$6:$B$47,0),AP13)+AQ13*(INDEX(TABLAS!$D$6:$J$47,MATCH(AO13&amp;"|PL",TABLAS!$B$6:$B$47,0),MIN(AP13+1,7))-INDEX(TABLAS!$D$6:$J$47,MATCH(AO13&amp;"|PL",TABLAS!$B$6:$B$47,0),AP13)))</f>
        <v/>
      </c>
      <c r="AX13" s="56" t="str">
        <f>IF(V13&lt;&gt;"SÍ","",IF(C13="PERIMETRAL",AV13*AK13*Z13^2*1E-4/1000,0))</f>
        <v/>
      </c>
      <c r="AY13" s="62" t="str">
        <f>IF(V13&lt;&gt;"SÍ","",IF(C13="PERIMETRAL",MAX(MAX(AR13,AT13)*AK13*Z13^2*1E-4/1000,N(T13)),(AK13*(AC13/100)^2/2+DATOS!$C$26*N(P13)*AC13/100)/1000))</f>
        <v/>
      </c>
      <c r="AZ13" s="56" t="str">
        <f>IF(V13&lt;&gt;"SÍ","",IF(C13="PERIMETRAL",AW13*AK13*Z13^2*1E-4/1000,0))</f>
        <v/>
      </c>
      <c r="BA13" s="56" t="str">
        <f>IF(V13&lt;&gt;"SÍ","",IF(C13="PERIMETRAL",MAX(MAX(AS13,AU13)*AK13*Z13^2*1E-4/1000,N(U13)),0))</f>
        <v/>
      </c>
      <c r="BB13" s="63" t="str">
        <f>IF(V13&lt;&gt;"SÍ","",IF(C13&lt;&gt;"PERIMETRAL","—",IF(AND(N(T13)=0,N(U13)=0),"— (sin M⁻ del vecino)",IF(OR(AND(N(T13)&gt;0,ABS(MAX(AR13,AT13)*AK13*Z13^2*1E-4/1000-N(T13))&gt;0.5*MIN(MAX(AR13,AT13)*AK13*Z13^2*1E-4/1000,N(T13))),AND(N(U13)&gt;0,ABS(MAX(AS13,AU13)*AK13*Z13^2*1E-4/1000-N(U13))&gt;0.5*MIN(MAX(AS13,AU13)*AK13*Z13^2*1E-4/1000,N(U13)))),"FUERA: difieren &gt; 50 %"&amp;IF(AND(N(T13)&gt;0,ABS(MAX(AR13,AT13)*AK13*Z13^2*1E-4/1000-N(T13))&gt;0.5*MIN(MAX(AR13,AT13)*AK13*Z13^2*1E-4/1000,N(T13)))," ‖ corto","")&amp;IF(AND(N(U13)&gt;0,ABS(MAX(AS13,AU13)*AK13*Z13^2*1E-4/1000-N(U13))&gt;0.5*MIN(MAX(AS13,AU13)*AK13*Z13^2*1E-4/1000,N(U13)))," ‖ largo",""),"CUMPLE"))))</f>
        <v/>
      </c>
      <c r="BC13" s="58" t="str">
        <f>IF(V13&lt;&gt;"SÍ","",DATOS!$C$136*100*W13)</f>
        <v/>
      </c>
      <c r="BD13" s="57" t="str">
        <f>IF(V13&lt;&gt;"SÍ","",MIN(IF(C13="VOLADO",DATOS!$C$138,DATOS!$C$137)*W13,DATOS!$C$139))</f>
        <v/>
      </c>
      <c r="BE13" s="58" t="str">
        <f>IF(V13&lt;&gt;"SÍ","",(W13-AE13-INDEX(TABLAS!$C$52:$C$58,MATCH(IF(ISNUMBER(S13),S13,DATOS!$C$135),TABLAS!$B$52:$B$58,0))/2))</f>
        <v/>
      </c>
      <c r="BF13" s="58" t="str">
        <f>IF(V13&lt;&gt;"SÍ","",IF(AX13&lt;=0,0,IF((1-2*AX13*1E5/(DATOS!$C$29*100*BE13^2*DATOS!$C$21))&lt;0,-1,IF((1-SQRT((1-2*AX13*1E5/(DATOS!$C$29*100*BE13^2*DATOS!$C$21))))*DATOS!$C$21*100*BE13/DATOS!$C$14&gt;DATOS!$C$99*100*BE13,-1,(1-SQRT((1-2*AX13*1E5/(DATOS!$C$29*100*BE13^2*DATOS!$C$21))))*DATOS!$C$21*100*BE13/DATOS!$C$14))))</f>
        <v/>
      </c>
      <c r="BG13" s="58" t="str">
        <f>IF(V13&lt;&gt;"SÍ","",IF(BF13&lt;0,-1,MAX(BF13,BC13)))</f>
        <v/>
      </c>
      <c r="BH13" s="64" t="str">
        <f>IF(V13&lt;&gt;"SÍ","",IF(AND(BG13&gt;0,FLOOR(MIN(BD13,100*INDEX(TABLAS!$D$52:$D$58,MIN(MATCH(IF(ISNUMBER(S13),S13,DATOS!$C$135),TABLAS!$B$52:$B$58,0)+0,7))/MAX(BG13,0.0001)),DATOS!$C$141)&gt;=DATOS!$C$140),INDEX(TABLAS!$B$52:$B$58,MIN(MATCH(IF(ISNUMBER(S13),S13,DATOS!$C$135),TABLAS!$B$52:$B$58,0)+0,7)),IF(AND(BG13&gt;0,FLOOR(MIN(BD13,100*INDEX(TABLAS!$D$52:$D$58,MIN(MATCH(IF(ISNUMBER(S13),S13,DATOS!$C$135),TABLAS!$B$52:$B$58,0)+1,7))/MAX(BG13,0.0001)),DATOS!$C$141)&gt;=DATOS!$C$140),INDEX(TABLAS!$B$52:$B$58,MIN(MATCH(IF(ISNUMBER(S13),S13,DATOS!$C$135),TABLAS!$B$52:$B$58,0)+1,7)),IF(AND(BG13&gt;0,FLOOR(MIN(BD13,100*INDEX(TABLAS!$D$52:$D$58,MIN(MATCH(IF(ISNUMBER(S13),S13,DATOS!$C$135),TABLAS!$B$52:$B$58,0)+2,7))/MAX(BG13,0.0001)),DATOS!$C$141)&gt;=DATOS!$C$140),INDEX(TABLAS!$B$52:$B$58,MIN(MATCH(IF(ISNUMBER(S13),S13,DATOS!$C$135),TABLAS!$B$52:$B$58,0)+2,7)),IF(AND(BG13&gt;0,FLOOR(MIN(BD13,100*INDEX(TABLAS!$D$52:$D$58,MIN(MATCH(IF(ISNUMBER(S13),S13,DATOS!$C$135),TABLAS!$B$52:$B$58,0)+3,7))/MAX(BG13,0.0001)),DATOS!$C$141)&gt;=DATOS!$C$140),INDEX(TABLAS!$B$52:$B$58,MIN(MATCH(IF(ISNUMBER(S13),S13,DATOS!$C$135),TABLAS!$B$52:$B$58,0)+3,7)),IF(AND(BG13&gt;0,FLOOR(MIN(BD13,100*INDEX(TABLAS!$D$52:$D$58,MIN(MATCH(IF(ISNUMBER(S13),S13,DATOS!$C$135),TABLAS!$B$52:$B$58,0)+4,7))/MAX(BG13,0.0001)),DATOS!$C$141)&gt;=DATOS!$C$140),INDEX(TABLAS!$B$52:$B$58,MIN(MATCH(IF(ISNUMBER(S13),S13,DATOS!$C$135),TABLAS!$B$52:$B$58,0)+4,7)),INDEX(TABLAS!$B$52:$B$58,7)))))))</f>
        <v/>
      </c>
      <c r="BI13" s="71" t="str">
        <f>IF(V13&lt;&gt;"SÍ","",IF(BG13&lt;=0,0,FLOOR(MIN(BD13,100*INDEX(TABLAS!$D$52:$D$58,MATCH(BH13,TABLAS!$B$52:$B$58,0))/BG13),DATOS!$C$141)))</f>
        <v/>
      </c>
      <c r="BJ13" s="58" t="str">
        <f>IF(V13&lt;&gt;"SÍ","",IF(BI13&lt;=0,0,INDEX(TABLAS!$D$52:$D$58,MATCH(BH13,TABLAS!$B$52:$B$58,0))*100/BI13))</f>
        <v/>
      </c>
      <c r="BK13" s="58" t="str">
        <f>IF(V13&lt;&gt;"SÍ","",W13-AE13-INDEX(TABLAS!$C$52:$C$58,MATCH(BH13,TABLAS!$B$52:$B$58,0))/2)</f>
        <v/>
      </c>
      <c r="BL13" s="56" t="str">
        <f>IF(V13&lt;&gt;"SÍ","",IF(BJ13=0,0,DATOS!$C$29*BJ13*DATOS!$C$14*(BK13-BJ13*DATOS!$C$14/(DATOS!$C$21*100)/2)/1E5))</f>
        <v/>
      </c>
      <c r="BM13" s="65" t="str">
        <f>IF(V13&lt;&gt;"SÍ","",IF(BG13&lt;0,9.99,IF(BL13&gt;0,AX13/BL13,0)))</f>
        <v/>
      </c>
      <c r="BN13" s="66" t="str">
        <f>IF(V13&lt;&gt;"SÍ","",IF(BJ13=0,"—",0.003*(BK13-(BJ13*DATOS!$C$14/(DATOS!$C$21*100)/DATOS!$C$22))/(BJ13*DATOS!$C$14/(DATOS!$C$21*100)/DATOS!$C$22)))</f>
        <v/>
      </c>
      <c r="BO13" s="58" t="str">
        <f>IF(V13&lt;&gt;"SÍ","",((W13-AF13-INDEX(TABLAS!$C$52:$C$58,MATCH(IF(ISNUMBER(S13),S13,DATOS!$C$135),TABLAS!$B$52:$B$58,0))/2)-IF(AND((W13-AF13-INDEX(TABLAS!$C$52:$C$58,MATCH(IF(ISNUMBER(S13),S13,DATOS!$C$135),TABLAS!$B$52:$B$58,0))/2)&lt;=20,DATOS!$C$62&lt;&gt;"SÍ"),2,0)))</f>
        <v/>
      </c>
      <c r="BP13" s="58" t="str">
        <f>IF(V13&lt;&gt;"SÍ","",IF(AY13&lt;=0,0,IF((1-2*AY13*1E5/(DATOS!$C$29*100*BO13^2*DATOS!$C$21))&lt;0,-1,IF((1-SQRT((1-2*AY13*1E5/(DATOS!$C$29*100*BO13^2*DATOS!$C$21))))*DATOS!$C$21*100*BO13/DATOS!$C$14&gt;DATOS!$C$99*100*BO13,-1,(1-SQRT((1-2*AY13*1E5/(DATOS!$C$29*100*BO13^2*DATOS!$C$21))))*DATOS!$C$21*100*BO13/DATOS!$C$14))))</f>
        <v/>
      </c>
      <c r="BQ13" s="58" t="str">
        <f>IF(V13&lt;&gt;"SÍ","",IF(BP13&lt;0,-1,MAX(BP13,BC13)))</f>
        <v/>
      </c>
      <c r="BR13" s="64" t="str">
        <f>IF(V13&lt;&gt;"SÍ","",IF(AND(BQ13&gt;0,FLOOR(MIN(BD13,100*INDEX(TABLAS!$D$52:$D$58,MIN(MATCH(IF(ISNUMBER(S13),S13,DATOS!$C$135),TABLAS!$B$52:$B$58,0)+0,7))/MAX(BQ13,0.0001)),DATOS!$C$141)&gt;=DATOS!$C$140),INDEX(TABLAS!$B$52:$B$58,MIN(MATCH(IF(ISNUMBER(S13),S13,DATOS!$C$135),TABLAS!$B$52:$B$58,0)+0,7)),IF(AND(BQ13&gt;0,FLOOR(MIN(BD13,100*INDEX(TABLAS!$D$52:$D$58,MIN(MATCH(IF(ISNUMBER(S13),S13,DATOS!$C$135),TABLAS!$B$52:$B$58,0)+1,7))/MAX(BQ13,0.0001)),DATOS!$C$141)&gt;=DATOS!$C$140),INDEX(TABLAS!$B$52:$B$58,MIN(MATCH(IF(ISNUMBER(S13),S13,DATOS!$C$135),TABLAS!$B$52:$B$58,0)+1,7)),IF(AND(BQ13&gt;0,FLOOR(MIN(BD13,100*INDEX(TABLAS!$D$52:$D$58,MIN(MATCH(IF(ISNUMBER(S13),S13,DATOS!$C$135),TABLAS!$B$52:$B$58,0)+2,7))/MAX(BQ13,0.0001)),DATOS!$C$141)&gt;=DATOS!$C$140),INDEX(TABLAS!$B$52:$B$58,MIN(MATCH(IF(ISNUMBER(S13),S13,DATOS!$C$135),TABLAS!$B$52:$B$58,0)+2,7)),IF(AND(BQ13&gt;0,FLOOR(MIN(BD13,100*INDEX(TABLAS!$D$52:$D$58,MIN(MATCH(IF(ISNUMBER(S13),S13,DATOS!$C$135),TABLAS!$B$52:$B$58,0)+3,7))/MAX(BQ13,0.0001)),DATOS!$C$141)&gt;=DATOS!$C$140),INDEX(TABLAS!$B$52:$B$58,MIN(MATCH(IF(ISNUMBER(S13),S13,DATOS!$C$135),TABLAS!$B$52:$B$58,0)+3,7)),IF(AND(BQ13&gt;0,FLOOR(MIN(BD13,100*INDEX(TABLAS!$D$52:$D$58,MIN(MATCH(IF(ISNUMBER(S13),S13,DATOS!$C$135),TABLAS!$B$52:$B$58,0)+4,7))/MAX(BQ13,0.0001)),DATOS!$C$141)&gt;=DATOS!$C$140),INDEX(TABLAS!$B$52:$B$58,MIN(MATCH(IF(ISNUMBER(S13),S13,DATOS!$C$135),TABLAS!$B$52:$B$58,0)+4,7)),INDEX(TABLAS!$B$52:$B$58,7)))))))</f>
        <v/>
      </c>
      <c r="BS13" s="71" t="str">
        <f>IF(V13&lt;&gt;"SÍ","",IF(BQ13&lt;=0,0,FLOOR(MIN(BD13,100*INDEX(TABLAS!$D$52:$D$58,MATCH(BR13,TABLAS!$B$52:$B$58,0))/BQ13),DATOS!$C$141)))</f>
        <v/>
      </c>
      <c r="BT13" s="58" t="str">
        <f>IF(V13&lt;&gt;"SÍ","",IF(BS13&lt;=0,0,INDEX(TABLAS!$D$52:$D$58,MATCH(BR13,TABLAS!$B$52:$B$58,0))*100/BS13))</f>
        <v/>
      </c>
      <c r="BU13" s="58" t="str">
        <f>IF(V13&lt;&gt;"SÍ","",((W13-AF13-INDEX(TABLAS!$C$52:$C$58,MATCH(BR13,TABLAS!$B$52:$B$58,0))/2)-IF(AND((W13-AF13-INDEX(TABLAS!$C$52:$C$58,MATCH(BR13,TABLAS!$B$52:$B$58,0))/2)&lt;=20,DATOS!$C$62&lt;&gt;"SÍ"),2,0)))</f>
        <v/>
      </c>
      <c r="BV13" s="56" t="str">
        <f>IF(V13&lt;&gt;"SÍ","",IF(BT13=0,0,DATOS!$C$29*BT13*DATOS!$C$14*(BU13-BT13*DATOS!$C$14/(DATOS!$C$21*100)/2)/1E5))</f>
        <v/>
      </c>
      <c r="BW13" s="65" t="str">
        <f>IF(V13&lt;&gt;"SÍ","",IF(BQ13&lt;0,9.99,IF(BV13&gt;0,AY13/BV13,0)))</f>
        <v/>
      </c>
      <c r="BX13" s="66" t="str">
        <f>IF(V13&lt;&gt;"SÍ","",IF(BT13=0,"—",0.003*(BU13-(BT13*DATOS!$C$14/(DATOS!$C$21*100)/DATOS!$C$22))/(BT13*DATOS!$C$14/(DATOS!$C$21*100)/DATOS!$C$22)))</f>
        <v/>
      </c>
      <c r="BY13" s="58" t="str">
        <f>IF(V13&lt;&gt;"SÍ","",(W13-AE13-1.5*INDEX(TABLAS!$C$52:$C$58,MATCH(IF(ISNUMBER(S13),S13,DATOS!$C$135),TABLAS!$B$52:$B$58,0))))</f>
        <v/>
      </c>
      <c r="BZ13" s="58" t="str">
        <f>IF(V13&lt;&gt;"SÍ","",IF(AZ13&lt;=0,0,IF((1-2*AZ13*1E5/(DATOS!$C$29*100*BY13^2*DATOS!$C$21))&lt;0,-1,IF((1-SQRT((1-2*AZ13*1E5/(DATOS!$C$29*100*BY13^2*DATOS!$C$21))))*DATOS!$C$21*100*BY13/DATOS!$C$14&gt;DATOS!$C$99*100*BY13,-1,(1-SQRT((1-2*AZ13*1E5/(DATOS!$C$29*100*BY13^2*DATOS!$C$21))))*DATOS!$C$21*100*BY13/DATOS!$C$14))))</f>
        <v/>
      </c>
      <c r="CA13" s="58" t="str">
        <f>IF(V13&lt;&gt;"SÍ","",IF(BZ13&lt;0,-1,MAX(BZ13,BC13)))</f>
        <v/>
      </c>
      <c r="CB13" s="64" t="str">
        <f>IF(V13&lt;&gt;"SÍ","",IF(AND(CA13&gt;0,FLOOR(MIN(BD13,100*INDEX(TABLAS!$D$52:$D$58,MIN(MATCH(IF(ISNUMBER(S13),S13,DATOS!$C$135),TABLAS!$B$52:$B$58,0)+0,7))/MAX(CA13,0.0001)),DATOS!$C$141)&gt;=DATOS!$C$140),INDEX(TABLAS!$B$52:$B$58,MIN(MATCH(IF(ISNUMBER(S13),S13,DATOS!$C$135),TABLAS!$B$52:$B$58,0)+0,7)),IF(AND(CA13&gt;0,FLOOR(MIN(BD13,100*INDEX(TABLAS!$D$52:$D$58,MIN(MATCH(IF(ISNUMBER(S13),S13,DATOS!$C$135),TABLAS!$B$52:$B$58,0)+1,7))/MAX(CA13,0.0001)),DATOS!$C$141)&gt;=DATOS!$C$140),INDEX(TABLAS!$B$52:$B$58,MIN(MATCH(IF(ISNUMBER(S13),S13,DATOS!$C$135),TABLAS!$B$52:$B$58,0)+1,7)),IF(AND(CA13&gt;0,FLOOR(MIN(BD13,100*INDEX(TABLAS!$D$52:$D$58,MIN(MATCH(IF(ISNUMBER(S13),S13,DATOS!$C$135),TABLAS!$B$52:$B$58,0)+2,7))/MAX(CA13,0.0001)),DATOS!$C$141)&gt;=DATOS!$C$140),INDEX(TABLAS!$B$52:$B$58,MIN(MATCH(IF(ISNUMBER(S13),S13,DATOS!$C$135),TABLAS!$B$52:$B$58,0)+2,7)),IF(AND(CA13&gt;0,FLOOR(MIN(BD13,100*INDEX(TABLAS!$D$52:$D$58,MIN(MATCH(IF(ISNUMBER(S13),S13,DATOS!$C$135),TABLAS!$B$52:$B$58,0)+3,7))/MAX(CA13,0.0001)),DATOS!$C$141)&gt;=DATOS!$C$140),INDEX(TABLAS!$B$52:$B$58,MIN(MATCH(IF(ISNUMBER(S13),S13,DATOS!$C$135),TABLAS!$B$52:$B$58,0)+3,7)),IF(AND(CA13&gt;0,FLOOR(MIN(BD13,100*INDEX(TABLAS!$D$52:$D$58,MIN(MATCH(IF(ISNUMBER(S13),S13,DATOS!$C$135),TABLAS!$B$52:$B$58,0)+4,7))/MAX(CA13,0.0001)),DATOS!$C$141)&gt;=DATOS!$C$140),INDEX(TABLAS!$B$52:$B$58,MIN(MATCH(IF(ISNUMBER(S13),S13,DATOS!$C$135),TABLAS!$B$52:$B$58,0)+4,7)),INDEX(TABLAS!$B$52:$B$58,7)))))))</f>
        <v/>
      </c>
      <c r="CC13" s="71" t="str">
        <f>IF(V13&lt;&gt;"SÍ","",IF(CA13&lt;=0,0,FLOOR(MIN(BD13,100*INDEX(TABLAS!$D$52:$D$58,MATCH(CB13,TABLAS!$B$52:$B$58,0))/CA13),DATOS!$C$141)))</f>
        <v/>
      </c>
      <c r="CD13" s="58" t="str">
        <f>IF(V13&lt;&gt;"SÍ","",IF(CC13&lt;=0,0,INDEX(TABLAS!$D$52:$D$58,MATCH(CB13,TABLAS!$B$52:$B$58,0))*100/CC13))</f>
        <v/>
      </c>
      <c r="CE13" s="58" t="str">
        <f>IF(V13&lt;&gt;"SÍ","",W13-AE13-INDEX(TABLAS!$C$52:$C$58,MATCH(BH13,TABLAS!$B$52:$B$58,0))-INDEX(TABLAS!$C$52:$C$58,MATCH(CB13,TABLAS!$B$52:$B$58,0))/2)</f>
        <v/>
      </c>
      <c r="CF13" s="56" t="str">
        <f>IF(V13&lt;&gt;"SÍ","",IF(CD13=0,0,DATOS!$C$29*CD13*DATOS!$C$14*(CE13-CD13*DATOS!$C$14/(DATOS!$C$21*100)/2)/1E5))</f>
        <v/>
      </c>
      <c r="CG13" s="65" t="str">
        <f>IF(V13&lt;&gt;"SÍ","",IF(CA13&lt;0,9.99,IF(CF13&gt;0,AZ13/CF13,0)))</f>
        <v/>
      </c>
      <c r="CH13" s="66" t="str">
        <f>IF(V13&lt;&gt;"SÍ","",IF(CD13=0,"—",0.003*(CE13-(CD13*DATOS!$C$14/(DATOS!$C$21*100)/DATOS!$C$22))/(CD13*DATOS!$C$14/(DATOS!$C$21*100)/DATOS!$C$22)))</f>
        <v/>
      </c>
      <c r="CI13" s="58" t="str">
        <f>IF(V13&lt;&gt;"SÍ","",((W13-AF13-1.5*INDEX(TABLAS!$C$52:$C$58,MATCH(IF(ISNUMBER(S13),S13,DATOS!$C$135),TABLAS!$B$52:$B$58,0)))-IF(AND((W13-AF13-1.5*INDEX(TABLAS!$C$52:$C$58,MATCH(IF(ISNUMBER(S13),S13,DATOS!$C$135),TABLAS!$B$52:$B$58,0)))&lt;=20,DATOS!$C$62&lt;&gt;"SÍ"),2,0)))</f>
        <v/>
      </c>
      <c r="CJ13" s="58" t="str">
        <f>IF(V13&lt;&gt;"SÍ","",IF(BA13&lt;=0,0,IF((1-2*BA13*1E5/(DATOS!$C$29*100*CI13^2*DATOS!$C$21))&lt;0,-1,IF((1-SQRT((1-2*BA13*1E5/(DATOS!$C$29*100*CI13^2*DATOS!$C$21))))*DATOS!$C$21*100*CI13/DATOS!$C$14&gt;DATOS!$C$99*100*CI13,-1,(1-SQRT((1-2*BA13*1E5/(DATOS!$C$29*100*CI13^2*DATOS!$C$21))))*DATOS!$C$21*100*CI13/DATOS!$C$14))))</f>
        <v/>
      </c>
      <c r="CK13" s="58" t="str">
        <f>IF(V13&lt;&gt;"SÍ","",IF(CJ13&lt;0,-1,MAX(CJ13,BC13)))</f>
        <v/>
      </c>
      <c r="CL13" s="64" t="str">
        <f>IF(V13&lt;&gt;"SÍ","",IF(AND(CK13&gt;0,FLOOR(MIN(BD13,100*INDEX(TABLAS!$D$52:$D$58,MIN(MATCH(IF(ISNUMBER(S13),S13,DATOS!$C$135),TABLAS!$B$52:$B$58,0)+0,7))/MAX(CK13,0.0001)),DATOS!$C$141)&gt;=DATOS!$C$140),INDEX(TABLAS!$B$52:$B$58,MIN(MATCH(IF(ISNUMBER(S13),S13,DATOS!$C$135),TABLAS!$B$52:$B$58,0)+0,7)),IF(AND(CK13&gt;0,FLOOR(MIN(BD13,100*INDEX(TABLAS!$D$52:$D$58,MIN(MATCH(IF(ISNUMBER(S13),S13,DATOS!$C$135),TABLAS!$B$52:$B$58,0)+1,7))/MAX(CK13,0.0001)),DATOS!$C$141)&gt;=DATOS!$C$140),INDEX(TABLAS!$B$52:$B$58,MIN(MATCH(IF(ISNUMBER(S13),S13,DATOS!$C$135),TABLAS!$B$52:$B$58,0)+1,7)),IF(AND(CK13&gt;0,FLOOR(MIN(BD13,100*INDEX(TABLAS!$D$52:$D$58,MIN(MATCH(IF(ISNUMBER(S13),S13,DATOS!$C$135),TABLAS!$B$52:$B$58,0)+2,7))/MAX(CK13,0.0001)),DATOS!$C$141)&gt;=DATOS!$C$140),INDEX(TABLAS!$B$52:$B$58,MIN(MATCH(IF(ISNUMBER(S13),S13,DATOS!$C$135),TABLAS!$B$52:$B$58,0)+2,7)),IF(AND(CK13&gt;0,FLOOR(MIN(BD13,100*INDEX(TABLAS!$D$52:$D$58,MIN(MATCH(IF(ISNUMBER(S13),S13,DATOS!$C$135),TABLAS!$B$52:$B$58,0)+3,7))/MAX(CK13,0.0001)),DATOS!$C$141)&gt;=DATOS!$C$140),INDEX(TABLAS!$B$52:$B$58,MIN(MATCH(IF(ISNUMBER(S13),S13,DATOS!$C$135),TABLAS!$B$52:$B$58,0)+3,7)),IF(AND(CK13&gt;0,FLOOR(MIN(BD13,100*INDEX(TABLAS!$D$52:$D$58,MIN(MATCH(IF(ISNUMBER(S13),S13,DATOS!$C$135),TABLAS!$B$52:$B$58,0)+4,7))/MAX(CK13,0.0001)),DATOS!$C$141)&gt;=DATOS!$C$140),INDEX(TABLAS!$B$52:$B$58,MIN(MATCH(IF(ISNUMBER(S13),S13,DATOS!$C$135),TABLAS!$B$52:$B$58,0)+4,7)),INDEX(TABLAS!$B$52:$B$58,7)))))))</f>
        <v/>
      </c>
      <c r="CM13" s="71" t="str">
        <f>IF(V13&lt;&gt;"SÍ","",IF(CK13&lt;=0,0,FLOOR(MIN(BD13,100*INDEX(TABLAS!$D$52:$D$58,MATCH(CL13,TABLAS!$B$52:$B$58,0))/CK13),DATOS!$C$141)))</f>
        <v/>
      </c>
      <c r="CN13" s="58" t="str">
        <f>IF(V13&lt;&gt;"SÍ","",IF(CM13&lt;=0,0,INDEX(TABLAS!$D$52:$D$58,MATCH(CL13,TABLAS!$B$52:$B$58,0))*100/CM13))</f>
        <v/>
      </c>
      <c r="CO13" s="58" t="str">
        <f>IF(V13&lt;&gt;"SÍ","",((W13-AF13-INDEX(TABLAS!$C$52:$C$58,MATCH(BR13,TABLAS!$B$52:$B$58,0))-INDEX(TABLAS!$C$52:$C$58,MATCH(CL13,TABLAS!$B$52:$B$58,0))/2)-IF(AND((W13-AF13-INDEX(TABLAS!$C$52:$C$58,MATCH(BR13,TABLAS!$B$52:$B$58,0))-INDEX(TABLAS!$C$52:$C$58,MATCH(CL13,TABLAS!$B$52:$B$58,0))/2)&lt;=20,DATOS!$C$62&lt;&gt;"SÍ"),2,0)))</f>
        <v/>
      </c>
      <c r="CP13" s="56" t="str">
        <f>IF(V13&lt;&gt;"SÍ","",IF(CN13=0,0,DATOS!$C$29*CN13*DATOS!$C$14*(CO13-CN13*DATOS!$C$14/(DATOS!$C$21*100)/2)/1E5))</f>
        <v/>
      </c>
      <c r="CQ13" s="65" t="str">
        <f>IF(V13&lt;&gt;"SÍ","",IF(CK13&lt;0,9.99,IF(CP13&gt;0,BA13/CP13,0)))</f>
        <v/>
      </c>
      <c r="CR13" s="66" t="str">
        <f>IF(V13&lt;&gt;"SÍ","",IF(CN13=0,"—",0.003*(CO13-(CN13*DATOS!$C$14/(DATOS!$C$21*100)/DATOS!$C$22))/(CN13*DATOS!$C$14/(DATOS!$C$21*100)/DATOS!$C$22)))</f>
        <v/>
      </c>
      <c r="CS13" s="56" t="str">
        <f>IF(V13&lt;&gt;"SÍ","",IF(C13="PERIMETRAL",MAX(0,(AC13/2-BU13)/100)*(0.95-0.5*AB13)*AK13*IF(AND(AL13&gt;0,AL13&lt;4),DATOS!$C$33,1)/1000,(AK13*MAX(0,AC13-BU13)/100+DATOS!$C$26*N(P13))/1000))</f>
        <v/>
      </c>
      <c r="CT13" s="66" t="str">
        <f>IF(V13&lt;&gt;"SÍ","",BT13/(100*BU13))</f>
        <v/>
      </c>
      <c r="CU13" s="56" t="str">
        <f>IF(V13&lt;&gt;"SÍ","",DATOS!$C$30*2*MIN(1,SQRT(2/(1+0.04*BU13)))*CT13^(1/3)*SQRT(DATOS!$C$13)*100*BU13/1000)</f>
        <v/>
      </c>
      <c r="CV13" s="67" t="str">
        <f>IF(V13&lt;&gt;"SÍ","",IF(CS13&lt;=CU13,"CUMPLE","NO CUMPLE: sube h"))</f>
        <v/>
      </c>
      <c r="CW13" s="58" t="str">
        <f>IF(V13&lt;&gt;"SÍ","",IF(C13="PERIMETRAL",IF(ISNUMBER(R13),R13,DATOS!$C$101),0))</f>
        <v/>
      </c>
      <c r="CX13" s="57" t="str">
        <f>IF(V13&lt;&gt;"SÍ","",IF(C13="PERIMETRAL",IF(CW13&gt;2,MAX(9,AD13*(0.8+DATOS!$C$14/14000)/(36+9*(AD13/MAX(AC13,1)))),IF(CW13&gt;0.2,MAX(13,AD13*(0.8+DATOS!$C$14/14000)/(36+5*(AD13/MAX(AC13,1))*(CW13-0.2))),MAX(13,AD13/IF(AL13&gt;0,30,33))))*IF(AND(CW13&gt;0.2,AL13&gt;0,DATOS!$C$102="NO"),1.1,1),Z13*100/DATOS!$C$142))</f>
        <v/>
      </c>
      <c r="CY13" s="61" t="str">
        <f>IF(V13&lt;&gt;"SÍ","",IF(W13&gt;=CX13-0.001,"CUMPLE",IF(C13="VOLADO","NO CUMPLE","CALCULAR FLECHA")))</f>
        <v/>
      </c>
      <c r="CZ13" s="60" t="str">
        <f>IF(V13&lt;&gt;"SÍ","",IF(C13="VOLADO",MIN(CEILING(IF(ISNUMBER(Q13),Q13,Z13)*100,5),CEILING(MAX(IF((0.5*(0.9*W13/100*DATOS!$C$16)*IF(ISNUMBER(Q13),Q13,Z13)+AY13/IF(ISNUMBER(Q13),Q13,Z13))^2-4*(0.5*(0.9*W13/100*DATOS!$C$16))*AY13&lt;0,IF(ISNUMBER(Q13),Q13,Z13),MIN(IF(ISNUMBER(Q13),Q13,Z13),((0.5*(0.9*W13/100*DATOS!$C$16)*IF(ISNUMBER(Q13),Q13,Z13)+AY13/IF(ISNUMBER(Q13),Q13,Z13))-SQRT((0.5*(0.9*W13/100*DATOS!$C$16)*IF(ISNUMBER(Q13),Q13,Z13)+AY13/IF(ISNUMBER(Q13),Q13,Z13))^2-4*(0.5*(0.9*W13/100*DATOS!$C$16))*AY13))/(2*(0.5*(0.9*W13/100*DATOS!$C$16)))))*100+MAX(BU13,12*INDEX(TABLAS!$C$52:$C$58,MATCH(BR13,TABLAS!$B$52:$B$58,0)),IF(ISNUMBER(Q13),Q13,Z13)*100/16),IF(OR(AF13&lt;INDEX(TABLAS!$C$52:$C$58,MATCH(BR13,TABLAS!$B$52:$B$58,0)),BS13-INDEX(TABLAS!$C$52:$C$58,MATCH(BR13,TABLAS!$B$52:$B$58,0))&lt;2*INDEX(TABLAS!$C$52:$C$58,MATCH(BR13,TABLAS!$B$52:$B$58,0))),INDEX(TABLAS!$I$52:$I$58,MATCH(BR13,TABLAS!$B$52:$B$58,0)),INDEX(TABLAS!$F$52:$F$58,MATCH(BR13,TABLAS!$B$52:$B$58,0)))),5)),IF(((4*((AV13*AK13*Z13^2*1E-4/1000)+((MAX(AR13,AT13)*AK13*Z13^2*1E-4/1000)+(IF(AND(AR13&gt;0,AT13&gt;0),MIN(AR13,AT13),MAX(AR13,AT13))*AK13*Z13^2*1E-4/1000))/2)+AY13-(IF(AND(AR13&gt;0,AT13&gt;0),MIN(AR13,AT13),MAX(AR13,AT13))*AK13*Z13^2*1E-4/1000))^2-16*((AV13*AK13*Z13^2*1E-4/1000)+((MAX(AR13,AT13)*AK13*Z13^2*1E-4/1000)+(IF(AND(AR13&gt;0,AT13&gt;0),MIN(AR13,AT13),MAX(AR13,AT13))*AK13*Z13^2*1E-4/1000))/2)*AY13)&lt;0,CEILING(AC13,5),CEILING(MAX(AC13*((4*((AV13*AK13*Z13^2*1E-4/1000)+((MAX(AR13,AT13)*AK13*Z13^2*1E-4/1000)+(IF(AND(AR13&gt;0,AT13&gt;0),MIN(AR13,AT13),MAX(AR13,AT13))*AK13*Z13^2*1E-4/1000))/2)+AY13-(IF(AND(AR13&gt;0,AT13&gt;0),MIN(AR13,AT13),MAX(AR13,AT13))*AK13*Z13^2*1E-4/1000))-SQRT(MAX(0,((4*((AV13*AK13*Z13^2*1E-4/1000)+((MAX(AR13,AT13)*AK13*Z13^2*1E-4/1000)+(IF(AND(AR13&gt;0,AT13&gt;0),MIN(AR13,AT13),MAX(AR13,AT13))*AK13*Z13^2*1E-4/1000))/2)+AY13-(IF(AND(AR13&gt;0,AT13&gt;0),MIN(AR13,AT13),MAX(AR13,AT13))*AK13*Z13^2*1E-4/1000))^2-16*((AV13*AK13*Z13^2*1E-4/1000)+((MAX(AR13,AT13)*AK13*Z13^2*1E-4/1000)+(IF(AND(AR13&gt;0,AT13&gt;0),MIN(AR13,AT13),MAX(AR13,AT13))*AK13*Z13^2*1E-4/1000))/2)*AY13))))/(8*MAX(((AV13*AK13*Z13^2*1E-4/1000)+((MAX(AR13,AT13)*AK13*Z13^2*1E-4/1000)+(IF(AND(AR13&gt;0,AT13&gt;0),MIN(AR13,AT13),MAX(AR13,AT13))*AK13*Z13^2*1E-4/1000))/2),1E-9))+MAX(BU13,12*INDEX(TABLAS!$C$52:$C$58,MATCH(BR13,TABLAS!$B$52:$B$58,0)),AC13/16),IF(OR(AF13&lt;INDEX(TABLAS!$C$52:$C$58,MATCH(BR13,TABLAS!$B$52:$B$58,0)),BS13-INDEX(TABLAS!$C$52:$C$58,MATCH(BR13,TABLAS!$B$52:$B$58,0))&lt;2*INDEX(TABLAS!$C$52:$C$58,MATCH(BR13,TABLAS!$B$52:$B$58,0))),INDEX(TABLAS!$I$52:$I$58,MATCH(BR13,TABLAS!$B$52:$B$58,0)),INDEX(TABLAS!$F$52:$F$58,MATCH(BR13,TABLAS!$B$52:$B$58,0)))),5))))</f>
        <v/>
      </c>
      <c r="DA13" s="60" t="str">
        <f>IF(V13&lt;&gt;"SÍ","",IF(C13="VOLADO",0,IF(((4*((AW13*AK13*Z13^2*1E-4/1000)+((MAX(AS13,AU13)*AK13*Z13^2*1E-4/1000)+(IF(AND(AS13&gt;0,AU13&gt;0),MIN(AS13,AU13),MAX(AS13,AU13))*AK13*Z13^2*1E-4/1000))/2)+BA13-(IF(AND(AS13&gt;0,AU13&gt;0),MIN(AS13,AU13),MAX(AS13,AU13))*AK13*Z13^2*1E-4/1000))^2-16*((AW13*AK13*Z13^2*1E-4/1000)+((MAX(AS13,AU13)*AK13*Z13^2*1E-4/1000)+(IF(AND(AS13&gt;0,AU13&gt;0),MIN(AS13,AU13),MAX(AS13,AU13))*AK13*Z13^2*1E-4/1000))/2)*BA13)&lt;0,CEILING(AD13,5),CEILING(MAX(AD13*((4*((AW13*AK13*Z13^2*1E-4/1000)+((MAX(AS13,AU13)*AK13*Z13^2*1E-4/1000)+(IF(AND(AS13&gt;0,AU13&gt;0),MIN(AS13,AU13),MAX(AS13,AU13))*AK13*Z13^2*1E-4/1000))/2)+BA13-(IF(AND(AS13&gt;0,AU13&gt;0),MIN(AS13,AU13),MAX(AS13,AU13))*AK13*Z13^2*1E-4/1000))-SQRT(MAX(0,((4*((AW13*AK13*Z13^2*1E-4/1000)+((MAX(AS13,AU13)*AK13*Z13^2*1E-4/1000)+(IF(AND(AS13&gt;0,AU13&gt;0),MIN(AS13,AU13),MAX(AS13,AU13))*AK13*Z13^2*1E-4/1000))/2)+BA13-(IF(AND(AS13&gt;0,AU13&gt;0),MIN(AS13,AU13),MAX(AS13,AU13))*AK13*Z13^2*1E-4/1000))^2-16*((AW13*AK13*Z13^2*1E-4/1000)+((MAX(AS13,AU13)*AK13*Z13^2*1E-4/1000)+(IF(AND(AS13&gt;0,AU13&gt;0),MIN(AS13,AU13),MAX(AS13,AU13))*AK13*Z13^2*1E-4/1000))/2)*BA13))))/(8*MAX(((AW13*AK13*Z13^2*1E-4/1000)+((MAX(AS13,AU13)*AK13*Z13^2*1E-4/1000)+(IF(AND(AS13&gt;0,AU13&gt;0),MIN(AS13,AU13),MAX(AS13,AU13))*AK13*Z13^2*1E-4/1000))/2),1E-9))+MAX(CO13,12*INDEX(TABLAS!$C$52:$C$58,MATCH(CL13,TABLAS!$B$52:$B$58,0)),AD13/16),IF(OR(AF13&lt;INDEX(TABLAS!$C$52:$C$58,MATCH(CL13,TABLAS!$B$52:$B$58,0)),CM13-INDEX(TABLAS!$C$52:$C$58,MATCH(CL13,TABLAS!$B$52:$B$58,0))&lt;2*INDEX(TABLAS!$C$52:$C$58,MATCH(CL13,TABLAS!$B$52:$B$58,0))),INDEX(TABLAS!$I$52:$I$58,MATCH(CL13,TABLAS!$B$52:$B$58,0)),INDEX(TABLAS!$F$52:$F$58,MATCH(CL13,TABLAS!$B$52:$B$58,0)))),5))))</f>
        <v/>
      </c>
      <c r="DB13" s="55" t="str">
        <f>IF(V13&lt;&gt;"SÍ","",IF(AND(C13="PERIMETRAL",AL13-AM13&gt;0,AT13&gt;0),"SÍ","NO"))</f>
        <v/>
      </c>
      <c r="DC13" s="55" t="str">
        <f>IF(V13&lt;&gt;"SÍ","",IF(AND(C13="PERIMETRAL",AM13&gt;0,AU13&gt;0),"SÍ","NO"))</f>
        <v/>
      </c>
      <c r="DD13" s="63" t="str">
        <f>IF(V13&lt;&gt;"SÍ","",IF(OR(C13="VOLADO",AL13=0),"—",IF(AND(AND(INDEX(TABLAS!$G$52:$G$58,MATCH(MAX(BR13,CL13),TABLAS!$B$52:$B$58,0))&lt;=(DATOS!$C$72-DATOS!$C$60),(DATOS!$C$72-DATOS!$C$60)&gt;=15),8*INDEX(TABLAS!$C$52:$C$58,MATCH(MAX(BH13,CB13,BR13,CL13),TABLAS!$B$52:$B$58,0))&lt;=DATOS!$C$73-2*DATOS!$C$60),"CUMPLE (gancho de 180°)",IF(AND(INDEX(TABLAS!$G$52:$G$58,MATCH(MAX(BR13,CL13),TABLAS!$B$52:$B$58,0))&lt;=(DATOS!$C$72-DATOS!$C$60),(DATOS!$C$72-DATOS!$C$60)&gt;=15),"NO CUMPLE: el gancho de 180° (8·d_b) no cabe en el peralte de la dala de borde","NO CUMPLE: dala de borde ≥ "&amp;TEXT(CEILING(MAX(INDEX(TABLAS!$G$52:$G$58,MATCH(MAX(BR13,CL13),TABLAS!$B$52:$B$58,0)),15)+DATOS!$C$60,5),"0")&amp;" cm de ancho"&amp;IF(8*INDEX(TABLAS!$C$52:$C$58,MATCH(MAX(BH13,CB13,BR13,CL13),TABLAS!$B$52:$B$58,0))&lt;=DATOS!$C$73-2*DATOS!$C$60,""," y más peralte para el gancho")))))</f>
        <v/>
      </c>
      <c r="DE13" s="69" t="str">
        <f>IF(V13&lt;&gt;"SÍ","",IF(BI13=0,"NO ALCANZA","No. "&amp;BH13&amp;" @ "&amp;BI13&amp;" cm"&amp;IF(C13="VOLADO"," (temperatura)","")))</f>
        <v/>
      </c>
      <c r="DF13" s="69" t="str">
        <f>IF(V13&lt;&gt;"SÍ","",IF(BS13=0,"NO ALCANZA",IF(C13="VOLADO","No. "&amp;BR13&amp;" @ "&amp;BS13&amp;" cm"&amp;" de la orilla al respaldo ("&amp;IF(CZ13&gt;=100*IF(ISNUMBER(Q13),Q13,Z13),"hasta su apoyo lejano, con gancho","entran "&amp;TEXT(CZ13/100,"0.00")&amp;" m desde el paño")&amp;")","Bastones "&amp;"No. "&amp;BR13&amp;" @ "&amp;BS13&amp;" cm"&amp;", L = "&amp;TEXT(CZ13/100,"0.00")&amp;" m desde el paño")))</f>
        <v/>
      </c>
      <c r="DG13" s="69" t="str">
        <f>IF(V13&lt;&gt;"SÍ","",IF(CC13=0,"NO ALCANZA","No. "&amp;CB13&amp;" @ "&amp;CC13&amp;" cm"&amp;IF(C13="VOLADO"," (repartición)","")))</f>
        <v/>
      </c>
      <c r="DH13" s="69" t="str">
        <f>IF(V13&lt;&gt;"SÍ","",IF(CM13=0,"NO ALCANZA",IF(C13="VOLADO","No. "&amp;CL13&amp;" @ "&amp;CM13&amp;" cm"&amp;" (repartición)","Bastones "&amp;"No. "&amp;CL13&amp;" @ "&amp;CM13&amp;" cm"&amp;", L = "&amp;TEXT(DA13/100,"0.00")&amp;" m desde el paño")))</f>
        <v/>
      </c>
      <c r="DI13" s="67" t="str">
        <f>IF(B13="","",IF(V13&lt;&gt;"SÍ","FALTAN DATOS: tipo, a_x, a_y y destino",IF(L13="NO MONOLÍTICO (caso II)","FUERA DE ALCANCE: caso II no transcrito",IF(AND(C13="VOLADO",X13="?"),"REVISAR: el volado lleva UN solo borde CONTINUO (el empotrado)",IF(AND(MAX(BM13,BW13,CG13,CQ13)&lt;=1,NOT(OR(BI13&lt;DATOS!$C$140,BS13&lt;DATOS!$C$140,CC13&lt;DATOS!$C$140,CM13&lt;DATOS!$C$140)),NOT(OR(AND(ISNUMBER(BN13),BN13&lt;0.005),AND(ISNUMBER(BX13),BX13&lt;0.005),AND(ISNUMBER(CH13),CH13&lt;0.005),AND(ISNUMBER(CR13),CR13&lt;0.005))),CV13="CUMPLE",CY13="CUMPLE"),"CUMPLE"&amp;IF(LEFT(BB13,5)="FUERA"," · fuera de 3.4.2.1 c)","")&amp;IF(LEFT(DD13,2)="NO"," · REVISAR anclaje en borde discontinuo",""),IF(AND(MAX(BM13,BW13,CG13,CQ13)&lt;=1,NOT(OR(BI13&lt;DATOS!$C$140,BS13&lt;DATOS!$C$140,CC13&lt;DATOS!$C$140,CM13&lt;DATOS!$C$140)),NOT(OR(AND(ISNUMBER(BN13),BN13&lt;0.005),AND(ISNUMBER(BX13),BX13&lt;0.005),AND(ISNUMBER(CH13),CH13&lt;0.005),AND(ISNUMBER(CR13),CR13&lt;0.005))),CV13="CUMPLE",CY13="CALCULAR FLECHA"),"REVISAR: calcular flecha (h &lt; h mín.)"&amp;IF(LEFT(BB13,5)="FUERA"," · fuera de 3.4.2.1 c)","")&amp;IF(LEFT(DD13,2)="NO"," · REVISAR anclaje en borde discontinuo",""),"NO CUMPLE: "&amp;IF(MAX(BM13,BW13,CG13,CQ13)&gt;1,"flexión ","")&amp;IF(OR(BI13&lt;DATOS!$C$140,BS13&lt;DATOS!$C$140,CC13&lt;DATOS!$C$140,CM13&lt;DATOS!$C$140),"separación &lt; mínima ","")&amp;IF(OR(AND(ISNUMBER(BN13),BN13&lt;0.005),AND(ISNUMBER(BX13),BX13&lt;0.005),AND(ISNUMBER(CH13),CH13&lt;0.005),AND(ISNUMBER(CR13),CR13&lt;0.005)),"ε_t &lt; 0.005 ","")&amp;IF(CV13&lt;&gt;"CUMPLE","cortante ","")&amp;IF(CY13="NO CUMPLE","peralte","")))))))</f>
        <v/>
      </c>
      <c r="DJ13" s="70" t="str">
        <f>IF(V13&lt;&gt;"SÍ","",IF(LEFT(B13,7)="EJEMPLO","EJEMPLO de tablero típico: bórralo o sobrescríbelo. ","")&amp;IF(C13="VOLADO","Volado de "&amp;TEXT(Z13,"0.00")&amp;" m empotrado en el borde "&amp;LOWER(X13)&amp;IF(N(P13)&gt;0,", con "&amp;TEXT(P13,"0.0")&amp;" kg/m en la orilla","")&amp;". Lecho inferior con r_ext. Si la orilla carga pretil u otro elemento frágil, calcula la flecha (13.4). El acero superior entra al respaldo de "&amp;TEXT(IF(ISNUMBER(Q13),Q13,Z13),"0.00")&amp;" m"&amp;IF(ISNUMBER(Q13),""," (L_b no capturado: se tomó igual al volado)")&amp;" hasta pasar M = 0 con 0.9·PP sin carga viva; si ahí no se anula, llega al apoyo lejano y se ancla con gancho. ","")&amp;IF(LEFT(BB13,5)="FUERA","El M⁻ del vecino difiere más de 50 % (3.4.2.1 c): distribuye el desequilibrio (3.4.3.1) o confirma con un modelo; se arma con el mayor. ","")&amp;IF(OR(DB13="SÍ",DC13="SÍ"),"Bastones también en los bordes discontinuos (M⁻ de tabla), con gancho. ","")&amp;IF(LEFT(DD13,2)="NO","Anclaje: "&amp;DD13&amp;" (6.7.7.4.1.1). ","")&amp;IF(OR(AT13&gt;0,AU13&gt;0),"Esquinas exteriores sobre muro: refuerzo de esquina arriba y abajo en L_largo/5 (6.7.7.3.1). ",""))</f>
        <v/>
      </c>
    </row>
    <row r="14" ht="33" customHeight="1">
      <c r="A14" s="50">
        <f>IF(B14="",0,1)+A13</f>
        <v>3</v>
      </c>
      <c r="B14" s="29" t="n"/>
      <c r="C14" s="51" t="n"/>
      <c r="D14" s="29" t="n"/>
      <c r="E14" s="52" t="n"/>
      <c r="F14" s="52" t="n"/>
      <c r="G14" s="51" t="n"/>
      <c r="H14" s="51" t="n"/>
      <c r="I14" s="51" t="n"/>
      <c r="J14" s="51" t="n"/>
      <c r="K14" s="51" t="n"/>
      <c r="L14" s="51" t="n"/>
      <c r="M14" s="54" t="n"/>
      <c r="N14" s="53" t="n"/>
      <c r="O14" s="53" t="n"/>
      <c r="P14" s="54" t="n"/>
      <c r="Q14" s="52" t="n"/>
      <c r="R14" s="54" t="n"/>
      <c r="S14" s="53" t="n"/>
      <c r="T14" s="52" t="n"/>
      <c r="U14" s="52" t="n"/>
      <c r="V14" s="55" t="str">
        <f>IF(B14="","",IF(AND(OR(C14="PERIMETRAL",C14="VOLADO"),ISNUMBER(E14),ISNUMBER(F14),E14&gt;0,F14&gt;0,OR(ISNUMBER(O14),ISNUMBER(MATCH(D14,DATOS!$B$46:$B$55,0)))),"SÍ","NO"))</f>
        <v/>
      </c>
      <c r="W14" s="57" t="str">
        <f>IF(V14&lt;&gt;"SÍ","",IF(ISNUMBER(M14),M14,DATOS!$C$134))</f>
        <v/>
      </c>
      <c r="X14" s="55" t="str">
        <f>IF(V14&lt;&gt;"SÍ","",IF(C14&lt;&gt;"VOLADO","—",IF(COUNTIF(G14:J14,"CONTINUO")&lt;&gt;1,"?",IF(G14="CONTINUO","INFERIOR",IF(H14="CONTINUO","SUPERIOR",IF(I14="CONTINUO","IZQUIERDO","DERECHO"))))))</f>
        <v/>
      </c>
      <c r="Y14" s="55" t="str">
        <f>IF(V14&lt;&gt;"SÍ","",IF(C14="VOLADO",IF(OR(X14="IZQUIERDO",X14="DERECHO"),"X","Y"),IF(E14&lt;=F14,"X","Y")))</f>
        <v/>
      </c>
      <c r="Z14" s="56" t="str">
        <f>IF(V14&lt;&gt;"SÍ","",IF(C14="VOLADO",IF(Y14="X",E14,F14),MIN(E14,F14)))</f>
        <v/>
      </c>
      <c r="AA14" s="56" t="str">
        <f>IF(V14&lt;&gt;"SÍ","",IF(C14="VOLADO",IF(Y14="X",F14,E14),MAX(E14,F14)))</f>
        <v/>
      </c>
      <c r="AB14" s="56" t="str">
        <f>IF(V14&lt;&gt;"SÍ","",MIN(Z14,AA14)/MAX(Z14,AA14))</f>
        <v/>
      </c>
      <c r="AC14" s="57" t="str">
        <f>IF(V14&lt;&gt;"SÍ","",MAX(1,Z14*100-IF(C14="VOLADO",DATOS!$C$84/2,DATOS!$C$84)))</f>
        <v/>
      </c>
      <c r="AD14" s="57" t="str">
        <f>IF(V14&lt;&gt;"SÍ","",MAX(1,AA14*100-DATOS!$C$84))</f>
        <v/>
      </c>
      <c r="AE14" s="57" t="str">
        <f>IF(V14&lt;&gt;"SÍ","",IF(C14="VOLADO",DATOS!$C$61,DATOS!$C$59))</f>
        <v/>
      </c>
      <c r="AF14" s="57" t="str">
        <f>IF(V14&lt;&gt;"SÍ","",IF(OR(AND(AG14="SÍ",DATOS!$C$63="SÍ"),AND(C14="VOLADO",DATOS!$C$64="SÍ")),DATOS!$C$61,DATOS!$C$59))</f>
        <v/>
      </c>
      <c r="AG14" s="55" t="str">
        <f>IF(V14&lt;&gt;"SÍ","",IFERROR(INDEX(DATOS!$D$46:$D$55,MATCH(D14,DATOS!$B$46:$B$55,0)),"NO"))</f>
        <v/>
      </c>
      <c r="AH14" s="59" t="str">
        <f>IF(V14&lt;&gt;"SÍ","",IF(ISNUMBER(O14),O14,IFERROR(INDEX(DATOS!$C$46:$C$55,MATCH(D14,DATOS!$B$46:$B$55,0)),0)))</f>
        <v/>
      </c>
      <c r="AI14" s="59" t="str">
        <f>IF(V14&lt;&gt;"SÍ","",W14/100*DATOS!$C$16*1000+DATOS!$C$37+DATOS!$C$38)</f>
        <v/>
      </c>
      <c r="AJ14" s="59" t="str">
        <f>IF(V14&lt;&gt;"SÍ","",AI14+N(N14))</f>
        <v/>
      </c>
      <c r="AK14" s="60" t="str">
        <f>IF(V14&lt;&gt;"SÍ","",MAX(DATOS!$C$26*AJ14+DATOS!$C$27*AH14,IF(AG14="SÍ",DATOS!$C$28*(AJ14+DATOS!$C$41),0)))</f>
        <v/>
      </c>
      <c r="AL14" s="59" t="str">
        <f>IF(V14&lt;&gt;"SÍ","",(G14="DISCONTINUO")+(H14="DISCONTINUO")+(I14="DISCONTINUO")+(J14="DISCONTINUO"))</f>
        <v/>
      </c>
      <c r="AM14" s="59" t="str">
        <f>IF(V14&lt;&gt;"SÍ","",IF(Y14="X",(G14="DISCONTINUO")+(H14="DISCONTINUO"),(I14="DISCONTINUO")+(J14="DISCONTINUO")))</f>
        <v/>
      </c>
      <c r="AN14" s="55" t="str">
        <f>IF(V14&lt;&gt;"SÍ","",IF(AL14=0,"INTERIOR",IF(AL14=1,IF(AM14=1,"BORDE-CORTO","BORDE-LARGO"),IF(AL14=2,IF(AM14=1,"ESQUINA",IF(AM14=2,"EXTREMO-LARGO","EXTREMO-CORTO")),IF(AL14=3,IF(AM14=2,"EXTREMO-LARGO","EXTREMO-CORTO"),"AISLADO")))))</f>
        <v/>
      </c>
      <c r="AO14" s="61" t="str">
        <f>IF(V14&lt;&gt;"SÍ","",IF(OR(K14="",K14="AUTO"),AN14,K14))</f>
        <v/>
      </c>
      <c r="AP14" s="59" t="str">
        <f>IF(V14&lt;&gt;"SÍ","",MATCH(AB14,TABLAS!$D$5:$J$5,1))</f>
        <v/>
      </c>
      <c r="AQ14" s="58" t="str">
        <f>IF(V14&lt;&gt;"SÍ","",IF(AP14&gt;=7,0,(AB14-INDEX(TABLAS!$D$5:$J$5,AP14))/(INDEX(TABLAS!$D$5:$J$5,AP14+1)-INDEX(TABLAS!$D$5:$J$5,AP14))))</f>
        <v/>
      </c>
      <c r="AR14" s="59" t="str">
        <f>IF(V14&lt;&gt;"SÍ","",INDEX(TABLAS!$D$6:$J$47,MATCH(AO14&amp;"|NIC",TABLAS!$B$6:$B$47,0),AP14)+AQ14*(INDEX(TABLAS!$D$6:$J$47,MATCH(AO14&amp;"|NIC",TABLAS!$B$6:$B$47,0),MIN(AP14+1,7))-INDEX(TABLAS!$D$6:$J$47,MATCH(AO14&amp;"|NIC",TABLAS!$B$6:$B$47,0),AP14)))</f>
        <v/>
      </c>
      <c r="AS14" s="59" t="str">
        <f>IF(V14&lt;&gt;"SÍ","",INDEX(TABLAS!$D$6:$J$47,MATCH(AO14&amp;"|NIL",TABLAS!$B$6:$B$47,0),AP14)+AQ14*(INDEX(TABLAS!$D$6:$J$47,MATCH(AO14&amp;"|NIL",TABLAS!$B$6:$B$47,0),MIN(AP14+1,7))-INDEX(TABLAS!$D$6:$J$47,MATCH(AO14&amp;"|NIL",TABLAS!$B$6:$B$47,0),AP14)))</f>
        <v/>
      </c>
      <c r="AT14" s="59" t="str">
        <f>IF(V14&lt;&gt;"SÍ","",INDEX(TABLAS!$D$6:$J$47,MATCH(AO14&amp;"|NDC",TABLAS!$B$6:$B$47,0),AP14)+AQ14*(INDEX(TABLAS!$D$6:$J$47,MATCH(AO14&amp;"|NDC",TABLAS!$B$6:$B$47,0),MIN(AP14+1,7))-INDEX(TABLAS!$D$6:$J$47,MATCH(AO14&amp;"|NDC",TABLAS!$B$6:$B$47,0),AP14)))</f>
        <v/>
      </c>
      <c r="AU14" s="59" t="str">
        <f>IF(V14&lt;&gt;"SÍ","",INDEX(TABLAS!$D$6:$J$47,MATCH(AO14&amp;"|NDL",TABLAS!$B$6:$B$47,0),AP14)+AQ14*(INDEX(TABLAS!$D$6:$J$47,MATCH(AO14&amp;"|NDL",TABLAS!$B$6:$B$47,0),MIN(AP14+1,7))-INDEX(TABLAS!$D$6:$J$47,MATCH(AO14&amp;"|NDL",TABLAS!$B$6:$B$47,0),AP14)))</f>
        <v/>
      </c>
      <c r="AV14" s="59" t="str">
        <f>IF(V14&lt;&gt;"SÍ","",INDEX(TABLAS!$D$6:$J$47,MATCH(AO14&amp;"|PC",TABLAS!$B$6:$B$47,0),AP14)+AQ14*(INDEX(TABLAS!$D$6:$J$47,MATCH(AO14&amp;"|PC",TABLAS!$B$6:$B$47,0),MIN(AP14+1,7))-INDEX(TABLAS!$D$6:$J$47,MATCH(AO14&amp;"|PC",TABLAS!$B$6:$B$47,0),AP14)))</f>
        <v/>
      </c>
      <c r="AW14" s="59" t="str">
        <f>IF(V14&lt;&gt;"SÍ","",INDEX(TABLAS!$D$6:$J$47,MATCH(AO14&amp;"|PL",TABLAS!$B$6:$B$47,0),AP14)+AQ14*(INDEX(TABLAS!$D$6:$J$47,MATCH(AO14&amp;"|PL",TABLAS!$B$6:$B$47,0),MIN(AP14+1,7))-INDEX(TABLAS!$D$6:$J$47,MATCH(AO14&amp;"|PL",TABLAS!$B$6:$B$47,0),AP14)))</f>
        <v/>
      </c>
      <c r="AX14" s="56" t="str">
        <f>IF(V14&lt;&gt;"SÍ","",IF(C14="PERIMETRAL",AV14*AK14*Z14^2*1E-4/1000,0))</f>
        <v/>
      </c>
      <c r="AY14" s="62" t="str">
        <f>IF(V14&lt;&gt;"SÍ","",IF(C14="PERIMETRAL",MAX(MAX(AR14,AT14)*AK14*Z14^2*1E-4/1000,N(T14)),(AK14*(AC14/100)^2/2+DATOS!$C$26*N(P14)*AC14/100)/1000))</f>
        <v/>
      </c>
      <c r="AZ14" s="56" t="str">
        <f>IF(V14&lt;&gt;"SÍ","",IF(C14="PERIMETRAL",AW14*AK14*Z14^2*1E-4/1000,0))</f>
        <v/>
      </c>
      <c r="BA14" s="56" t="str">
        <f>IF(V14&lt;&gt;"SÍ","",IF(C14="PERIMETRAL",MAX(MAX(AS14,AU14)*AK14*Z14^2*1E-4/1000,N(U14)),0))</f>
        <v/>
      </c>
      <c r="BB14" s="63" t="str">
        <f>IF(V14&lt;&gt;"SÍ","",IF(C14&lt;&gt;"PERIMETRAL","—",IF(AND(N(T14)=0,N(U14)=0),"— (sin M⁻ del vecino)",IF(OR(AND(N(T14)&gt;0,ABS(MAX(AR14,AT14)*AK14*Z14^2*1E-4/1000-N(T14))&gt;0.5*MIN(MAX(AR14,AT14)*AK14*Z14^2*1E-4/1000,N(T14))),AND(N(U14)&gt;0,ABS(MAX(AS14,AU14)*AK14*Z14^2*1E-4/1000-N(U14))&gt;0.5*MIN(MAX(AS14,AU14)*AK14*Z14^2*1E-4/1000,N(U14)))),"FUERA: difieren &gt; 50 %"&amp;IF(AND(N(T14)&gt;0,ABS(MAX(AR14,AT14)*AK14*Z14^2*1E-4/1000-N(T14))&gt;0.5*MIN(MAX(AR14,AT14)*AK14*Z14^2*1E-4/1000,N(T14)))," ‖ corto","")&amp;IF(AND(N(U14)&gt;0,ABS(MAX(AS14,AU14)*AK14*Z14^2*1E-4/1000-N(U14))&gt;0.5*MIN(MAX(AS14,AU14)*AK14*Z14^2*1E-4/1000,N(U14)))," ‖ largo",""),"CUMPLE"))))</f>
        <v/>
      </c>
      <c r="BC14" s="58" t="str">
        <f>IF(V14&lt;&gt;"SÍ","",DATOS!$C$136*100*W14)</f>
        <v/>
      </c>
      <c r="BD14" s="57" t="str">
        <f>IF(V14&lt;&gt;"SÍ","",MIN(IF(C14="VOLADO",DATOS!$C$138,DATOS!$C$137)*W14,DATOS!$C$139))</f>
        <v/>
      </c>
      <c r="BE14" s="58" t="str">
        <f>IF(V14&lt;&gt;"SÍ","",(W14-AE14-INDEX(TABLAS!$C$52:$C$58,MATCH(IF(ISNUMBER(S14),S14,DATOS!$C$135),TABLAS!$B$52:$B$58,0))/2))</f>
        <v/>
      </c>
      <c r="BF14" s="58" t="str">
        <f>IF(V14&lt;&gt;"SÍ","",IF(AX14&lt;=0,0,IF((1-2*AX14*1E5/(DATOS!$C$29*100*BE14^2*DATOS!$C$21))&lt;0,-1,IF((1-SQRT((1-2*AX14*1E5/(DATOS!$C$29*100*BE14^2*DATOS!$C$21))))*DATOS!$C$21*100*BE14/DATOS!$C$14&gt;DATOS!$C$99*100*BE14,-1,(1-SQRT((1-2*AX14*1E5/(DATOS!$C$29*100*BE14^2*DATOS!$C$21))))*DATOS!$C$21*100*BE14/DATOS!$C$14))))</f>
        <v/>
      </c>
      <c r="BG14" s="58" t="str">
        <f>IF(V14&lt;&gt;"SÍ","",IF(BF14&lt;0,-1,MAX(BF14,BC14)))</f>
        <v/>
      </c>
      <c r="BH14" s="64" t="str">
        <f>IF(V14&lt;&gt;"SÍ","",IF(AND(BG14&gt;0,FLOOR(MIN(BD14,100*INDEX(TABLAS!$D$52:$D$58,MIN(MATCH(IF(ISNUMBER(S14),S14,DATOS!$C$135),TABLAS!$B$52:$B$58,0)+0,7))/MAX(BG14,0.0001)),DATOS!$C$141)&gt;=DATOS!$C$140),INDEX(TABLAS!$B$52:$B$58,MIN(MATCH(IF(ISNUMBER(S14),S14,DATOS!$C$135),TABLAS!$B$52:$B$58,0)+0,7)),IF(AND(BG14&gt;0,FLOOR(MIN(BD14,100*INDEX(TABLAS!$D$52:$D$58,MIN(MATCH(IF(ISNUMBER(S14),S14,DATOS!$C$135),TABLAS!$B$52:$B$58,0)+1,7))/MAX(BG14,0.0001)),DATOS!$C$141)&gt;=DATOS!$C$140),INDEX(TABLAS!$B$52:$B$58,MIN(MATCH(IF(ISNUMBER(S14),S14,DATOS!$C$135),TABLAS!$B$52:$B$58,0)+1,7)),IF(AND(BG14&gt;0,FLOOR(MIN(BD14,100*INDEX(TABLAS!$D$52:$D$58,MIN(MATCH(IF(ISNUMBER(S14),S14,DATOS!$C$135),TABLAS!$B$52:$B$58,0)+2,7))/MAX(BG14,0.0001)),DATOS!$C$141)&gt;=DATOS!$C$140),INDEX(TABLAS!$B$52:$B$58,MIN(MATCH(IF(ISNUMBER(S14),S14,DATOS!$C$135),TABLAS!$B$52:$B$58,0)+2,7)),IF(AND(BG14&gt;0,FLOOR(MIN(BD14,100*INDEX(TABLAS!$D$52:$D$58,MIN(MATCH(IF(ISNUMBER(S14),S14,DATOS!$C$135),TABLAS!$B$52:$B$58,0)+3,7))/MAX(BG14,0.0001)),DATOS!$C$141)&gt;=DATOS!$C$140),INDEX(TABLAS!$B$52:$B$58,MIN(MATCH(IF(ISNUMBER(S14),S14,DATOS!$C$135),TABLAS!$B$52:$B$58,0)+3,7)),IF(AND(BG14&gt;0,FLOOR(MIN(BD14,100*INDEX(TABLAS!$D$52:$D$58,MIN(MATCH(IF(ISNUMBER(S14),S14,DATOS!$C$135),TABLAS!$B$52:$B$58,0)+4,7))/MAX(BG14,0.0001)),DATOS!$C$141)&gt;=DATOS!$C$140),INDEX(TABLAS!$B$52:$B$58,MIN(MATCH(IF(ISNUMBER(S14),S14,DATOS!$C$135),TABLAS!$B$52:$B$58,0)+4,7)),INDEX(TABLAS!$B$52:$B$58,7)))))))</f>
        <v/>
      </c>
      <c r="BI14" s="71" t="str">
        <f>IF(V14&lt;&gt;"SÍ","",IF(BG14&lt;=0,0,FLOOR(MIN(BD14,100*INDEX(TABLAS!$D$52:$D$58,MATCH(BH14,TABLAS!$B$52:$B$58,0))/BG14),DATOS!$C$141)))</f>
        <v/>
      </c>
      <c r="BJ14" s="58" t="str">
        <f>IF(V14&lt;&gt;"SÍ","",IF(BI14&lt;=0,0,INDEX(TABLAS!$D$52:$D$58,MATCH(BH14,TABLAS!$B$52:$B$58,0))*100/BI14))</f>
        <v/>
      </c>
      <c r="BK14" s="58" t="str">
        <f>IF(V14&lt;&gt;"SÍ","",W14-AE14-INDEX(TABLAS!$C$52:$C$58,MATCH(BH14,TABLAS!$B$52:$B$58,0))/2)</f>
        <v/>
      </c>
      <c r="BL14" s="56" t="str">
        <f>IF(V14&lt;&gt;"SÍ","",IF(BJ14=0,0,DATOS!$C$29*BJ14*DATOS!$C$14*(BK14-BJ14*DATOS!$C$14/(DATOS!$C$21*100)/2)/1E5))</f>
        <v/>
      </c>
      <c r="BM14" s="65" t="str">
        <f>IF(V14&lt;&gt;"SÍ","",IF(BG14&lt;0,9.99,IF(BL14&gt;0,AX14/BL14,0)))</f>
        <v/>
      </c>
      <c r="BN14" s="66" t="str">
        <f>IF(V14&lt;&gt;"SÍ","",IF(BJ14=0,"—",0.003*(BK14-(BJ14*DATOS!$C$14/(DATOS!$C$21*100)/DATOS!$C$22))/(BJ14*DATOS!$C$14/(DATOS!$C$21*100)/DATOS!$C$22)))</f>
        <v/>
      </c>
      <c r="BO14" s="58" t="str">
        <f>IF(V14&lt;&gt;"SÍ","",((W14-AF14-INDEX(TABLAS!$C$52:$C$58,MATCH(IF(ISNUMBER(S14),S14,DATOS!$C$135),TABLAS!$B$52:$B$58,0))/2)-IF(AND((W14-AF14-INDEX(TABLAS!$C$52:$C$58,MATCH(IF(ISNUMBER(S14),S14,DATOS!$C$135),TABLAS!$B$52:$B$58,0))/2)&lt;=20,DATOS!$C$62&lt;&gt;"SÍ"),2,0)))</f>
        <v/>
      </c>
      <c r="BP14" s="58" t="str">
        <f>IF(V14&lt;&gt;"SÍ","",IF(AY14&lt;=0,0,IF((1-2*AY14*1E5/(DATOS!$C$29*100*BO14^2*DATOS!$C$21))&lt;0,-1,IF((1-SQRT((1-2*AY14*1E5/(DATOS!$C$29*100*BO14^2*DATOS!$C$21))))*DATOS!$C$21*100*BO14/DATOS!$C$14&gt;DATOS!$C$99*100*BO14,-1,(1-SQRT((1-2*AY14*1E5/(DATOS!$C$29*100*BO14^2*DATOS!$C$21))))*DATOS!$C$21*100*BO14/DATOS!$C$14))))</f>
        <v/>
      </c>
      <c r="BQ14" s="58" t="str">
        <f>IF(V14&lt;&gt;"SÍ","",IF(BP14&lt;0,-1,MAX(BP14,BC14)))</f>
        <v/>
      </c>
      <c r="BR14" s="64" t="str">
        <f>IF(V14&lt;&gt;"SÍ","",IF(AND(BQ14&gt;0,FLOOR(MIN(BD14,100*INDEX(TABLAS!$D$52:$D$58,MIN(MATCH(IF(ISNUMBER(S14),S14,DATOS!$C$135),TABLAS!$B$52:$B$58,0)+0,7))/MAX(BQ14,0.0001)),DATOS!$C$141)&gt;=DATOS!$C$140),INDEX(TABLAS!$B$52:$B$58,MIN(MATCH(IF(ISNUMBER(S14),S14,DATOS!$C$135),TABLAS!$B$52:$B$58,0)+0,7)),IF(AND(BQ14&gt;0,FLOOR(MIN(BD14,100*INDEX(TABLAS!$D$52:$D$58,MIN(MATCH(IF(ISNUMBER(S14),S14,DATOS!$C$135),TABLAS!$B$52:$B$58,0)+1,7))/MAX(BQ14,0.0001)),DATOS!$C$141)&gt;=DATOS!$C$140),INDEX(TABLAS!$B$52:$B$58,MIN(MATCH(IF(ISNUMBER(S14),S14,DATOS!$C$135),TABLAS!$B$52:$B$58,0)+1,7)),IF(AND(BQ14&gt;0,FLOOR(MIN(BD14,100*INDEX(TABLAS!$D$52:$D$58,MIN(MATCH(IF(ISNUMBER(S14),S14,DATOS!$C$135),TABLAS!$B$52:$B$58,0)+2,7))/MAX(BQ14,0.0001)),DATOS!$C$141)&gt;=DATOS!$C$140),INDEX(TABLAS!$B$52:$B$58,MIN(MATCH(IF(ISNUMBER(S14),S14,DATOS!$C$135),TABLAS!$B$52:$B$58,0)+2,7)),IF(AND(BQ14&gt;0,FLOOR(MIN(BD14,100*INDEX(TABLAS!$D$52:$D$58,MIN(MATCH(IF(ISNUMBER(S14),S14,DATOS!$C$135),TABLAS!$B$52:$B$58,0)+3,7))/MAX(BQ14,0.0001)),DATOS!$C$141)&gt;=DATOS!$C$140),INDEX(TABLAS!$B$52:$B$58,MIN(MATCH(IF(ISNUMBER(S14),S14,DATOS!$C$135),TABLAS!$B$52:$B$58,0)+3,7)),IF(AND(BQ14&gt;0,FLOOR(MIN(BD14,100*INDEX(TABLAS!$D$52:$D$58,MIN(MATCH(IF(ISNUMBER(S14),S14,DATOS!$C$135),TABLAS!$B$52:$B$58,0)+4,7))/MAX(BQ14,0.0001)),DATOS!$C$141)&gt;=DATOS!$C$140),INDEX(TABLAS!$B$52:$B$58,MIN(MATCH(IF(ISNUMBER(S14),S14,DATOS!$C$135),TABLAS!$B$52:$B$58,0)+4,7)),INDEX(TABLAS!$B$52:$B$58,7)))))))</f>
        <v/>
      </c>
      <c r="BS14" s="71" t="str">
        <f>IF(V14&lt;&gt;"SÍ","",IF(BQ14&lt;=0,0,FLOOR(MIN(BD14,100*INDEX(TABLAS!$D$52:$D$58,MATCH(BR14,TABLAS!$B$52:$B$58,0))/BQ14),DATOS!$C$141)))</f>
        <v/>
      </c>
      <c r="BT14" s="58" t="str">
        <f>IF(V14&lt;&gt;"SÍ","",IF(BS14&lt;=0,0,INDEX(TABLAS!$D$52:$D$58,MATCH(BR14,TABLAS!$B$52:$B$58,0))*100/BS14))</f>
        <v/>
      </c>
      <c r="BU14" s="58" t="str">
        <f>IF(V14&lt;&gt;"SÍ","",((W14-AF14-INDEX(TABLAS!$C$52:$C$58,MATCH(BR14,TABLAS!$B$52:$B$58,0))/2)-IF(AND((W14-AF14-INDEX(TABLAS!$C$52:$C$58,MATCH(BR14,TABLAS!$B$52:$B$58,0))/2)&lt;=20,DATOS!$C$62&lt;&gt;"SÍ"),2,0)))</f>
        <v/>
      </c>
      <c r="BV14" s="56" t="str">
        <f>IF(V14&lt;&gt;"SÍ","",IF(BT14=0,0,DATOS!$C$29*BT14*DATOS!$C$14*(BU14-BT14*DATOS!$C$14/(DATOS!$C$21*100)/2)/1E5))</f>
        <v/>
      </c>
      <c r="BW14" s="65" t="str">
        <f>IF(V14&lt;&gt;"SÍ","",IF(BQ14&lt;0,9.99,IF(BV14&gt;0,AY14/BV14,0)))</f>
        <v/>
      </c>
      <c r="BX14" s="66" t="str">
        <f>IF(V14&lt;&gt;"SÍ","",IF(BT14=0,"—",0.003*(BU14-(BT14*DATOS!$C$14/(DATOS!$C$21*100)/DATOS!$C$22))/(BT14*DATOS!$C$14/(DATOS!$C$21*100)/DATOS!$C$22)))</f>
        <v/>
      </c>
      <c r="BY14" s="58" t="str">
        <f>IF(V14&lt;&gt;"SÍ","",(W14-AE14-1.5*INDEX(TABLAS!$C$52:$C$58,MATCH(IF(ISNUMBER(S14),S14,DATOS!$C$135),TABLAS!$B$52:$B$58,0))))</f>
        <v/>
      </c>
      <c r="BZ14" s="58" t="str">
        <f>IF(V14&lt;&gt;"SÍ","",IF(AZ14&lt;=0,0,IF((1-2*AZ14*1E5/(DATOS!$C$29*100*BY14^2*DATOS!$C$21))&lt;0,-1,IF((1-SQRT((1-2*AZ14*1E5/(DATOS!$C$29*100*BY14^2*DATOS!$C$21))))*DATOS!$C$21*100*BY14/DATOS!$C$14&gt;DATOS!$C$99*100*BY14,-1,(1-SQRT((1-2*AZ14*1E5/(DATOS!$C$29*100*BY14^2*DATOS!$C$21))))*DATOS!$C$21*100*BY14/DATOS!$C$14))))</f>
        <v/>
      </c>
      <c r="CA14" s="58" t="str">
        <f>IF(V14&lt;&gt;"SÍ","",IF(BZ14&lt;0,-1,MAX(BZ14,BC14)))</f>
        <v/>
      </c>
      <c r="CB14" s="64" t="str">
        <f>IF(V14&lt;&gt;"SÍ","",IF(AND(CA14&gt;0,FLOOR(MIN(BD14,100*INDEX(TABLAS!$D$52:$D$58,MIN(MATCH(IF(ISNUMBER(S14),S14,DATOS!$C$135),TABLAS!$B$52:$B$58,0)+0,7))/MAX(CA14,0.0001)),DATOS!$C$141)&gt;=DATOS!$C$140),INDEX(TABLAS!$B$52:$B$58,MIN(MATCH(IF(ISNUMBER(S14),S14,DATOS!$C$135),TABLAS!$B$52:$B$58,0)+0,7)),IF(AND(CA14&gt;0,FLOOR(MIN(BD14,100*INDEX(TABLAS!$D$52:$D$58,MIN(MATCH(IF(ISNUMBER(S14),S14,DATOS!$C$135),TABLAS!$B$52:$B$58,0)+1,7))/MAX(CA14,0.0001)),DATOS!$C$141)&gt;=DATOS!$C$140),INDEX(TABLAS!$B$52:$B$58,MIN(MATCH(IF(ISNUMBER(S14),S14,DATOS!$C$135),TABLAS!$B$52:$B$58,0)+1,7)),IF(AND(CA14&gt;0,FLOOR(MIN(BD14,100*INDEX(TABLAS!$D$52:$D$58,MIN(MATCH(IF(ISNUMBER(S14),S14,DATOS!$C$135),TABLAS!$B$52:$B$58,0)+2,7))/MAX(CA14,0.0001)),DATOS!$C$141)&gt;=DATOS!$C$140),INDEX(TABLAS!$B$52:$B$58,MIN(MATCH(IF(ISNUMBER(S14),S14,DATOS!$C$135),TABLAS!$B$52:$B$58,0)+2,7)),IF(AND(CA14&gt;0,FLOOR(MIN(BD14,100*INDEX(TABLAS!$D$52:$D$58,MIN(MATCH(IF(ISNUMBER(S14),S14,DATOS!$C$135),TABLAS!$B$52:$B$58,0)+3,7))/MAX(CA14,0.0001)),DATOS!$C$141)&gt;=DATOS!$C$140),INDEX(TABLAS!$B$52:$B$58,MIN(MATCH(IF(ISNUMBER(S14),S14,DATOS!$C$135),TABLAS!$B$52:$B$58,0)+3,7)),IF(AND(CA14&gt;0,FLOOR(MIN(BD14,100*INDEX(TABLAS!$D$52:$D$58,MIN(MATCH(IF(ISNUMBER(S14),S14,DATOS!$C$135),TABLAS!$B$52:$B$58,0)+4,7))/MAX(CA14,0.0001)),DATOS!$C$141)&gt;=DATOS!$C$140),INDEX(TABLAS!$B$52:$B$58,MIN(MATCH(IF(ISNUMBER(S14),S14,DATOS!$C$135),TABLAS!$B$52:$B$58,0)+4,7)),INDEX(TABLAS!$B$52:$B$58,7)))))))</f>
        <v/>
      </c>
      <c r="CC14" s="71" t="str">
        <f>IF(V14&lt;&gt;"SÍ","",IF(CA14&lt;=0,0,FLOOR(MIN(BD14,100*INDEX(TABLAS!$D$52:$D$58,MATCH(CB14,TABLAS!$B$52:$B$58,0))/CA14),DATOS!$C$141)))</f>
        <v/>
      </c>
      <c r="CD14" s="58" t="str">
        <f>IF(V14&lt;&gt;"SÍ","",IF(CC14&lt;=0,0,INDEX(TABLAS!$D$52:$D$58,MATCH(CB14,TABLAS!$B$52:$B$58,0))*100/CC14))</f>
        <v/>
      </c>
      <c r="CE14" s="58" t="str">
        <f>IF(V14&lt;&gt;"SÍ","",W14-AE14-INDEX(TABLAS!$C$52:$C$58,MATCH(BH14,TABLAS!$B$52:$B$58,0))-INDEX(TABLAS!$C$52:$C$58,MATCH(CB14,TABLAS!$B$52:$B$58,0))/2)</f>
        <v/>
      </c>
      <c r="CF14" s="56" t="str">
        <f>IF(V14&lt;&gt;"SÍ","",IF(CD14=0,0,DATOS!$C$29*CD14*DATOS!$C$14*(CE14-CD14*DATOS!$C$14/(DATOS!$C$21*100)/2)/1E5))</f>
        <v/>
      </c>
      <c r="CG14" s="65" t="str">
        <f>IF(V14&lt;&gt;"SÍ","",IF(CA14&lt;0,9.99,IF(CF14&gt;0,AZ14/CF14,0)))</f>
        <v/>
      </c>
      <c r="CH14" s="66" t="str">
        <f>IF(V14&lt;&gt;"SÍ","",IF(CD14=0,"—",0.003*(CE14-(CD14*DATOS!$C$14/(DATOS!$C$21*100)/DATOS!$C$22))/(CD14*DATOS!$C$14/(DATOS!$C$21*100)/DATOS!$C$22)))</f>
        <v/>
      </c>
      <c r="CI14" s="58" t="str">
        <f>IF(V14&lt;&gt;"SÍ","",((W14-AF14-1.5*INDEX(TABLAS!$C$52:$C$58,MATCH(IF(ISNUMBER(S14),S14,DATOS!$C$135),TABLAS!$B$52:$B$58,0)))-IF(AND((W14-AF14-1.5*INDEX(TABLAS!$C$52:$C$58,MATCH(IF(ISNUMBER(S14),S14,DATOS!$C$135),TABLAS!$B$52:$B$58,0)))&lt;=20,DATOS!$C$62&lt;&gt;"SÍ"),2,0)))</f>
        <v/>
      </c>
      <c r="CJ14" s="58" t="str">
        <f>IF(V14&lt;&gt;"SÍ","",IF(BA14&lt;=0,0,IF((1-2*BA14*1E5/(DATOS!$C$29*100*CI14^2*DATOS!$C$21))&lt;0,-1,IF((1-SQRT((1-2*BA14*1E5/(DATOS!$C$29*100*CI14^2*DATOS!$C$21))))*DATOS!$C$21*100*CI14/DATOS!$C$14&gt;DATOS!$C$99*100*CI14,-1,(1-SQRT((1-2*BA14*1E5/(DATOS!$C$29*100*CI14^2*DATOS!$C$21))))*DATOS!$C$21*100*CI14/DATOS!$C$14))))</f>
        <v/>
      </c>
      <c r="CK14" s="58" t="str">
        <f>IF(V14&lt;&gt;"SÍ","",IF(CJ14&lt;0,-1,MAX(CJ14,BC14)))</f>
        <v/>
      </c>
      <c r="CL14" s="64" t="str">
        <f>IF(V14&lt;&gt;"SÍ","",IF(AND(CK14&gt;0,FLOOR(MIN(BD14,100*INDEX(TABLAS!$D$52:$D$58,MIN(MATCH(IF(ISNUMBER(S14),S14,DATOS!$C$135),TABLAS!$B$52:$B$58,0)+0,7))/MAX(CK14,0.0001)),DATOS!$C$141)&gt;=DATOS!$C$140),INDEX(TABLAS!$B$52:$B$58,MIN(MATCH(IF(ISNUMBER(S14),S14,DATOS!$C$135),TABLAS!$B$52:$B$58,0)+0,7)),IF(AND(CK14&gt;0,FLOOR(MIN(BD14,100*INDEX(TABLAS!$D$52:$D$58,MIN(MATCH(IF(ISNUMBER(S14),S14,DATOS!$C$135),TABLAS!$B$52:$B$58,0)+1,7))/MAX(CK14,0.0001)),DATOS!$C$141)&gt;=DATOS!$C$140),INDEX(TABLAS!$B$52:$B$58,MIN(MATCH(IF(ISNUMBER(S14),S14,DATOS!$C$135),TABLAS!$B$52:$B$58,0)+1,7)),IF(AND(CK14&gt;0,FLOOR(MIN(BD14,100*INDEX(TABLAS!$D$52:$D$58,MIN(MATCH(IF(ISNUMBER(S14),S14,DATOS!$C$135),TABLAS!$B$52:$B$58,0)+2,7))/MAX(CK14,0.0001)),DATOS!$C$141)&gt;=DATOS!$C$140),INDEX(TABLAS!$B$52:$B$58,MIN(MATCH(IF(ISNUMBER(S14),S14,DATOS!$C$135),TABLAS!$B$52:$B$58,0)+2,7)),IF(AND(CK14&gt;0,FLOOR(MIN(BD14,100*INDEX(TABLAS!$D$52:$D$58,MIN(MATCH(IF(ISNUMBER(S14),S14,DATOS!$C$135),TABLAS!$B$52:$B$58,0)+3,7))/MAX(CK14,0.0001)),DATOS!$C$141)&gt;=DATOS!$C$140),INDEX(TABLAS!$B$52:$B$58,MIN(MATCH(IF(ISNUMBER(S14),S14,DATOS!$C$135),TABLAS!$B$52:$B$58,0)+3,7)),IF(AND(CK14&gt;0,FLOOR(MIN(BD14,100*INDEX(TABLAS!$D$52:$D$58,MIN(MATCH(IF(ISNUMBER(S14),S14,DATOS!$C$135),TABLAS!$B$52:$B$58,0)+4,7))/MAX(CK14,0.0001)),DATOS!$C$141)&gt;=DATOS!$C$140),INDEX(TABLAS!$B$52:$B$58,MIN(MATCH(IF(ISNUMBER(S14),S14,DATOS!$C$135),TABLAS!$B$52:$B$58,0)+4,7)),INDEX(TABLAS!$B$52:$B$58,7)))))))</f>
        <v/>
      </c>
      <c r="CM14" s="71" t="str">
        <f>IF(V14&lt;&gt;"SÍ","",IF(CK14&lt;=0,0,FLOOR(MIN(BD14,100*INDEX(TABLAS!$D$52:$D$58,MATCH(CL14,TABLAS!$B$52:$B$58,0))/CK14),DATOS!$C$141)))</f>
        <v/>
      </c>
      <c r="CN14" s="58" t="str">
        <f>IF(V14&lt;&gt;"SÍ","",IF(CM14&lt;=0,0,INDEX(TABLAS!$D$52:$D$58,MATCH(CL14,TABLAS!$B$52:$B$58,0))*100/CM14))</f>
        <v/>
      </c>
      <c r="CO14" s="58" t="str">
        <f>IF(V14&lt;&gt;"SÍ","",((W14-AF14-INDEX(TABLAS!$C$52:$C$58,MATCH(BR14,TABLAS!$B$52:$B$58,0))-INDEX(TABLAS!$C$52:$C$58,MATCH(CL14,TABLAS!$B$52:$B$58,0))/2)-IF(AND((W14-AF14-INDEX(TABLAS!$C$52:$C$58,MATCH(BR14,TABLAS!$B$52:$B$58,0))-INDEX(TABLAS!$C$52:$C$58,MATCH(CL14,TABLAS!$B$52:$B$58,0))/2)&lt;=20,DATOS!$C$62&lt;&gt;"SÍ"),2,0)))</f>
        <v/>
      </c>
      <c r="CP14" s="56" t="str">
        <f>IF(V14&lt;&gt;"SÍ","",IF(CN14=0,0,DATOS!$C$29*CN14*DATOS!$C$14*(CO14-CN14*DATOS!$C$14/(DATOS!$C$21*100)/2)/1E5))</f>
        <v/>
      </c>
      <c r="CQ14" s="65" t="str">
        <f>IF(V14&lt;&gt;"SÍ","",IF(CK14&lt;0,9.99,IF(CP14&gt;0,BA14/CP14,0)))</f>
        <v/>
      </c>
      <c r="CR14" s="66" t="str">
        <f>IF(V14&lt;&gt;"SÍ","",IF(CN14=0,"—",0.003*(CO14-(CN14*DATOS!$C$14/(DATOS!$C$21*100)/DATOS!$C$22))/(CN14*DATOS!$C$14/(DATOS!$C$21*100)/DATOS!$C$22)))</f>
        <v/>
      </c>
      <c r="CS14" s="56" t="str">
        <f>IF(V14&lt;&gt;"SÍ","",IF(C14="PERIMETRAL",MAX(0,(AC14/2-BU14)/100)*(0.95-0.5*AB14)*AK14*IF(AND(AL14&gt;0,AL14&lt;4),DATOS!$C$33,1)/1000,(AK14*MAX(0,AC14-BU14)/100+DATOS!$C$26*N(P14))/1000))</f>
        <v/>
      </c>
      <c r="CT14" s="66" t="str">
        <f>IF(V14&lt;&gt;"SÍ","",BT14/(100*BU14))</f>
        <v/>
      </c>
      <c r="CU14" s="56" t="str">
        <f>IF(V14&lt;&gt;"SÍ","",DATOS!$C$30*2*MIN(1,SQRT(2/(1+0.04*BU14)))*CT14^(1/3)*SQRT(DATOS!$C$13)*100*BU14/1000)</f>
        <v/>
      </c>
      <c r="CV14" s="67" t="str">
        <f>IF(V14&lt;&gt;"SÍ","",IF(CS14&lt;=CU14,"CUMPLE","NO CUMPLE: sube h"))</f>
        <v/>
      </c>
      <c r="CW14" s="58" t="str">
        <f>IF(V14&lt;&gt;"SÍ","",IF(C14="PERIMETRAL",IF(ISNUMBER(R14),R14,DATOS!$C$101),0))</f>
        <v/>
      </c>
      <c r="CX14" s="57" t="str">
        <f>IF(V14&lt;&gt;"SÍ","",IF(C14="PERIMETRAL",IF(CW14&gt;2,MAX(9,AD14*(0.8+DATOS!$C$14/14000)/(36+9*(AD14/MAX(AC14,1)))),IF(CW14&gt;0.2,MAX(13,AD14*(0.8+DATOS!$C$14/14000)/(36+5*(AD14/MAX(AC14,1))*(CW14-0.2))),MAX(13,AD14/IF(AL14&gt;0,30,33))))*IF(AND(CW14&gt;0.2,AL14&gt;0,DATOS!$C$102="NO"),1.1,1),Z14*100/DATOS!$C$142))</f>
        <v/>
      </c>
      <c r="CY14" s="61" t="str">
        <f>IF(V14&lt;&gt;"SÍ","",IF(W14&gt;=CX14-0.001,"CUMPLE",IF(C14="VOLADO","NO CUMPLE","CALCULAR FLECHA")))</f>
        <v/>
      </c>
      <c r="CZ14" s="60" t="str">
        <f>IF(V14&lt;&gt;"SÍ","",IF(C14="VOLADO",MIN(CEILING(IF(ISNUMBER(Q14),Q14,Z14)*100,5),CEILING(MAX(IF((0.5*(0.9*W14/100*DATOS!$C$16)*IF(ISNUMBER(Q14),Q14,Z14)+AY14/IF(ISNUMBER(Q14),Q14,Z14))^2-4*(0.5*(0.9*W14/100*DATOS!$C$16))*AY14&lt;0,IF(ISNUMBER(Q14),Q14,Z14),MIN(IF(ISNUMBER(Q14),Q14,Z14),((0.5*(0.9*W14/100*DATOS!$C$16)*IF(ISNUMBER(Q14),Q14,Z14)+AY14/IF(ISNUMBER(Q14),Q14,Z14))-SQRT((0.5*(0.9*W14/100*DATOS!$C$16)*IF(ISNUMBER(Q14),Q14,Z14)+AY14/IF(ISNUMBER(Q14),Q14,Z14))^2-4*(0.5*(0.9*W14/100*DATOS!$C$16))*AY14))/(2*(0.5*(0.9*W14/100*DATOS!$C$16)))))*100+MAX(BU14,12*INDEX(TABLAS!$C$52:$C$58,MATCH(BR14,TABLAS!$B$52:$B$58,0)),IF(ISNUMBER(Q14),Q14,Z14)*100/16),IF(OR(AF14&lt;INDEX(TABLAS!$C$52:$C$58,MATCH(BR14,TABLAS!$B$52:$B$58,0)),BS14-INDEX(TABLAS!$C$52:$C$58,MATCH(BR14,TABLAS!$B$52:$B$58,0))&lt;2*INDEX(TABLAS!$C$52:$C$58,MATCH(BR14,TABLAS!$B$52:$B$58,0))),INDEX(TABLAS!$I$52:$I$58,MATCH(BR14,TABLAS!$B$52:$B$58,0)),INDEX(TABLAS!$F$52:$F$58,MATCH(BR14,TABLAS!$B$52:$B$58,0)))),5)),IF(((4*((AV14*AK14*Z14^2*1E-4/1000)+((MAX(AR14,AT14)*AK14*Z14^2*1E-4/1000)+(IF(AND(AR14&gt;0,AT14&gt;0),MIN(AR14,AT14),MAX(AR14,AT14))*AK14*Z14^2*1E-4/1000))/2)+AY14-(IF(AND(AR14&gt;0,AT14&gt;0),MIN(AR14,AT14),MAX(AR14,AT14))*AK14*Z14^2*1E-4/1000))^2-16*((AV14*AK14*Z14^2*1E-4/1000)+((MAX(AR14,AT14)*AK14*Z14^2*1E-4/1000)+(IF(AND(AR14&gt;0,AT14&gt;0),MIN(AR14,AT14),MAX(AR14,AT14))*AK14*Z14^2*1E-4/1000))/2)*AY14)&lt;0,CEILING(AC14,5),CEILING(MAX(AC14*((4*((AV14*AK14*Z14^2*1E-4/1000)+((MAX(AR14,AT14)*AK14*Z14^2*1E-4/1000)+(IF(AND(AR14&gt;0,AT14&gt;0),MIN(AR14,AT14),MAX(AR14,AT14))*AK14*Z14^2*1E-4/1000))/2)+AY14-(IF(AND(AR14&gt;0,AT14&gt;0),MIN(AR14,AT14),MAX(AR14,AT14))*AK14*Z14^2*1E-4/1000))-SQRT(MAX(0,((4*((AV14*AK14*Z14^2*1E-4/1000)+((MAX(AR14,AT14)*AK14*Z14^2*1E-4/1000)+(IF(AND(AR14&gt;0,AT14&gt;0),MIN(AR14,AT14),MAX(AR14,AT14))*AK14*Z14^2*1E-4/1000))/2)+AY14-(IF(AND(AR14&gt;0,AT14&gt;0),MIN(AR14,AT14),MAX(AR14,AT14))*AK14*Z14^2*1E-4/1000))^2-16*((AV14*AK14*Z14^2*1E-4/1000)+((MAX(AR14,AT14)*AK14*Z14^2*1E-4/1000)+(IF(AND(AR14&gt;0,AT14&gt;0),MIN(AR14,AT14),MAX(AR14,AT14))*AK14*Z14^2*1E-4/1000))/2)*AY14))))/(8*MAX(((AV14*AK14*Z14^2*1E-4/1000)+((MAX(AR14,AT14)*AK14*Z14^2*1E-4/1000)+(IF(AND(AR14&gt;0,AT14&gt;0),MIN(AR14,AT14),MAX(AR14,AT14))*AK14*Z14^2*1E-4/1000))/2),1E-9))+MAX(BU14,12*INDEX(TABLAS!$C$52:$C$58,MATCH(BR14,TABLAS!$B$52:$B$58,0)),AC14/16),IF(OR(AF14&lt;INDEX(TABLAS!$C$52:$C$58,MATCH(BR14,TABLAS!$B$52:$B$58,0)),BS14-INDEX(TABLAS!$C$52:$C$58,MATCH(BR14,TABLAS!$B$52:$B$58,0))&lt;2*INDEX(TABLAS!$C$52:$C$58,MATCH(BR14,TABLAS!$B$52:$B$58,0))),INDEX(TABLAS!$I$52:$I$58,MATCH(BR14,TABLAS!$B$52:$B$58,0)),INDEX(TABLAS!$F$52:$F$58,MATCH(BR14,TABLAS!$B$52:$B$58,0)))),5))))</f>
        <v/>
      </c>
      <c r="DA14" s="60" t="str">
        <f>IF(V14&lt;&gt;"SÍ","",IF(C14="VOLADO",0,IF(((4*((AW14*AK14*Z14^2*1E-4/1000)+((MAX(AS14,AU14)*AK14*Z14^2*1E-4/1000)+(IF(AND(AS14&gt;0,AU14&gt;0),MIN(AS14,AU14),MAX(AS14,AU14))*AK14*Z14^2*1E-4/1000))/2)+BA14-(IF(AND(AS14&gt;0,AU14&gt;0),MIN(AS14,AU14),MAX(AS14,AU14))*AK14*Z14^2*1E-4/1000))^2-16*((AW14*AK14*Z14^2*1E-4/1000)+((MAX(AS14,AU14)*AK14*Z14^2*1E-4/1000)+(IF(AND(AS14&gt;0,AU14&gt;0),MIN(AS14,AU14),MAX(AS14,AU14))*AK14*Z14^2*1E-4/1000))/2)*BA14)&lt;0,CEILING(AD14,5),CEILING(MAX(AD14*((4*((AW14*AK14*Z14^2*1E-4/1000)+((MAX(AS14,AU14)*AK14*Z14^2*1E-4/1000)+(IF(AND(AS14&gt;0,AU14&gt;0),MIN(AS14,AU14),MAX(AS14,AU14))*AK14*Z14^2*1E-4/1000))/2)+BA14-(IF(AND(AS14&gt;0,AU14&gt;0),MIN(AS14,AU14),MAX(AS14,AU14))*AK14*Z14^2*1E-4/1000))-SQRT(MAX(0,((4*((AW14*AK14*Z14^2*1E-4/1000)+((MAX(AS14,AU14)*AK14*Z14^2*1E-4/1000)+(IF(AND(AS14&gt;0,AU14&gt;0),MIN(AS14,AU14),MAX(AS14,AU14))*AK14*Z14^2*1E-4/1000))/2)+BA14-(IF(AND(AS14&gt;0,AU14&gt;0),MIN(AS14,AU14),MAX(AS14,AU14))*AK14*Z14^2*1E-4/1000))^2-16*((AW14*AK14*Z14^2*1E-4/1000)+((MAX(AS14,AU14)*AK14*Z14^2*1E-4/1000)+(IF(AND(AS14&gt;0,AU14&gt;0),MIN(AS14,AU14),MAX(AS14,AU14))*AK14*Z14^2*1E-4/1000))/2)*BA14))))/(8*MAX(((AW14*AK14*Z14^2*1E-4/1000)+((MAX(AS14,AU14)*AK14*Z14^2*1E-4/1000)+(IF(AND(AS14&gt;0,AU14&gt;0),MIN(AS14,AU14),MAX(AS14,AU14))*AK14*Z14^2*1E-4/1000))/2),1E-9))+MAX(CO14,12*INDEX(TABLAS!$C$52:$C$58,MATCH(CL14,TABLAS!$B$52:$B$58,0)),AD14/16),IF(OR(AF14&lt;INDEX(TABLAS!$C$52:$C$58,MATCH(CL14,TABLAS!$B$52:$B$58,0)),CM14-INDEX(TABLAS!$C$52:$C$58,MATCH(CL14,TABLAS!$B$52:$B$58,0))&lt;2*INDEX(TABLAS!$C$52:$C$58,MATCH(CL14,TABLAS!$B$52:$B$58,0))),INDEX(TABLAS!$I$52:$I$58,MATCH(CL14,TABLAS!$B$52:$B$58,0)),INDEX(TABLAS!$F$52:$F$58,MATCH(CL14,TABLAS!$B$52:$B$58,0)))),5))))</f>
        <v/>
      </c>
      <c r="DB14" s="55" t="str">
        <f>IF(V14&lt;&gt;"SÍ","",IF(AND(C14="PERIMETRAL",AL14-AM14&gt;0,AT14&gt;0),"SÍ","NO"))</f>
        <v/>
      </c>
      <c r="DC14" s="55" t="str">
        <f>IF(V14&lt;&gt;"SÍ","",IF(AND(C14="PERIMETRAL",AM14&gt;0,AU14&gt;0),"SÍ","NO"))</f>
        <v/>
      </c>
      <c r="DD14" s="63" t="str">
        <f>IF(V14&lt;&gt;"SÍ","",IF(OR(C14="VOLADO",AL14=0),"—",IF(AND(AND(INDEX(TABLAS!$G$52:$G$58,MATCH(MAX(BR14,CL14),TABLAS!$B$52:$B$58,0))&lt;=(DATOS!$C$72-DATOS!$C$60),(DATOS!$C$72-DATOS!$C$60)&gt;=15),8*INDEX(TABLAS!$C$52:$C$58,MATCH(MAX(BH14,CB14,BR14,CL14),TABLAS!$B$52:$B$58,0))&lt;=DATOS!$C$73-2*DATOS!$C$60),"CUMPLE (gancho de 180°)",IF(AND(INDEX(TABLAS!$G$52:$G$58,MATCH(MAX(BR14,CL14),TABLAS!$B$52:$B$58,0))&lt;=(DATOS!$C$72-DATOS!$C$60),(DATOS!$C$72-DATOS!$C$60)&gt;=15),"NO CUMPLE: el gancho de 180° (8·d_b) no cabe en el peralte de la dala de borde","NO CUMPLE: dala de borde ≥ "&amp;TEXT(CEILING(MAX(INDEX(TABLAS!$G$52:$G$58,MATCH(MAX(BR14,CL14),TABLAS!$B$52:$B$58,0)),15)+DATOS!$C$60,5),"0")&amp;" cm de ancho"&amp;IF(8*INDEX(TABLAS!$C$52:$C$58,MATCH(MAX(BH14,CB14,BR14,CL14),TABLAS!$B$52:$B$58,0))&lt;=DATOS!$C$73-2*DATOS!$C$60,""," y más peralte para el gancho")))))</f>
        <v/>
      </c>
      <c r="DE14" s="69" t="str">
        <f>IF(V14&lt;&gt;"SÍ","",IF(BI14=0,"NO ALCANZA","No. "&amp;BH14&amp;" @ "&amp;BI14&amp;" cm"&amp;IF(C14="VOLADO"," (temperatura)","")))</f>
        <v/>
      </c>
      <c r="DF14" s="69" t="str">
        <f>IF(V14&lt;&gt;"SÍ","",IF(BS14=0,"NO ALCANZA",IF(C14="VOLADO","No. "&amp;BR14&amp;" @ "&amp;BS14&amp;" cm"&amp;" de la orilla al respaldo ("&amp;IF(CZ14&gt;=100*IF(ISNUMBER(Q14),Q14,Z14),"hasta su apoyo lejano, con gancho","entran "&amp;TEXT(CZ14/100,"0.00")&amp;" m desde el paño")&amp;")","Bastones "&amp;"No. "&amp;BR14&amp;" @ "&amp;BS14&amp;" cm"&amp;", L = "&amp;TEXT(CZ14/100,"0.00")&amp;" m desde el paño")))</f>
        <v/>
      </c>
      <c r="DG14" s="69" t="str">
        <f>IF(V14&lt;&gt;"SÍ","",IF(CC14=0,"NO ALCANZA","No. "&amp;CB14&amp;" @ "&amp;CC14&amp;" cm"&amp;IF(C14="VOLADO"," (repartición)","")))</f>
        <v/>
      </c>
      <c r="DH14" s="69" t="str">
        <f>IF(V14&lt;&gt;"SÍ","",IF(CM14=0,"NO ALCANZA",IF(C14="VOLADO","No. "&amp;CL14&amp;" @ "&amp;CM14&amp;" cm"&amp;" (repartición)","Bastones "&amp;"No. "&amp;CL14&amp;" @ "&amp;CM14&amp;" cm"&amp;", L = "&amp;TEXT(DA14/100,"0.00")&amp;" m desde el paño")))</f>
        <v/>
      </c>
      <c r="DI14" s="67" t="str">
        <f>IF(B14="","",IF(V14&lt;&gt;"SÍ","FALTAN DATOS: tipo, a_x, a_y y destino",IF(L14="NO MONOLÍTICO (caso II)","FUERA DE ALCANCE: caso II no transcrito",IF(AND(C14="VOLADO",X14="?"),"REVISAR: el volado lleva UN solo borde CONTINUO (el empotrado)",IF(AND(MAX(BM14,BW14,CG14,CQ14)&lt;=1,NOT(OR(BI14&lt;DATOS!$C$140,BS14&lt;DATOS!$C$140,CC14&lt;DATOS!$C$140,CM14&lt;DATOS!$C$140)),NOT(OR(AND(ISNUMBER(BN14),BN14&lt;0.005),AND(ISNUMBER(BX14),BX14&lt;0.005),AND(ISNUMBER(CH14),CH14&lt;0.005),AND(ISNUMBER(CR14),CR14&lt;0.005))),CV14="CUMPLE",CY14="CUMPLE"),"CUMPLE"&amp;IF(LEFT(BB14,5)="FUERA"," · fuera de 3.4.2.1 c)","")&amp;IF(LEFT(DD14,2)="NO"," · REVISAR anclaje en borde discontinuo",""),IF(AND(MAX(BM14,BW14,CG14,CQ14)&lt;=1,NOT(OR(BI14&lt;DATOS!$C$140,BS14&lt;DATOS!$C$140,CC14&lt;DATOS!$C$140,CM14&lt;DATOS!$C$140)),NOT(OR(AND(ISNUMBER(BN14),BN14&lt;0.005),AND(ISNUMBER(BX14),BX14&lt;0.005),AND(ISNUMBER(CH14),CH14&lt;0.005),AND(ISNUMBER(CR14),CR14&lt;0.005))),CV14="CUMPLE",CY14="CALCULAR FLECHA"),"REVISAR: calcular flecha (h &lt; h mín.)"&amp;IF(LEFT(BB14,5)="FUERA"," · fuera de 3.4.2.1 c)","")&amp;IF(LEFT(DD14,2)="NO"," · REVISAR anclaje en borde discontinuo",""),"NO CUMPLE: "&amp;IF(MAX(BM14,BW14,CG14,CQ14)&gt;1,"flexión ","")&amp;IF(OR(BI14&lt;DATOS!$C$140,BS14&lt;DATOS!$C$140,CC14&lt;DATOS!$C$140,CM14&lt;DATOS!$C$140),"separación &lt; mínima ","")&amp;IF(OR(AND(ISNUMBER(BN14),BN14&lt;0.005),AND(ISNUMBER(BX14),BX14&lt;0.005),AND(ISNUMBER(CH14),CH14&lt;0.005),AND(ISNUMBER(CR14),CR14&lt;0.005)),"ε_t &lt; 0.005 ","")&amp;IF(CV14&lt;&gt;"CUMPLE","cortante ","")&amp;IF(CY14="NO CUMPLE","peralte","")))))))</f>
        <v/>
      </c>
      <c r="DJ14" s="70" t="str">
        <f>IF(V14&lt;&gt;"SÍ","",IF(LEFT(B14,7)="EJEMPLO","EJEMPLO de tablero típico: bórralo o sobrescríbelo. ","")&amp;IF(C14="VOLADO","Volado de "&amp;TEXT(Z14,"0.00")&amp;" m empotrado en el borde "&amp;LOWER(X14)&amp;IF(N(P14)&gt;0,", con "&amp;TEXT(P14,"0.0")&amp;" kg/m en la orilla","")&amp;". Lecho inferior con r_ext. Si la orilla carga pretil u otro elemento frágil, calcula la flecha (13.4). El acero superior entra al respaldo de "&amp;TEXT(IF(ISNUMBER(Q14),Q14,Z14),"0.00")&amp;" m"&amp;IF(ISNUMBER(Q14),""," (L_b no capturado: se tomó igual al volado)")&amp;" hasta pasar M = 0 con 0.9·PP sin carga viva; si ahí no se anula, llega al apoyo lejano y se ancla con gancho. ","")&amp;IF(LEFT(BB14,5)="FUERA","El M⁻ del vecino difiere más de 50 % (3.4.2.1 c): distribuye el desequilibrio (3.4.3.1) o confirma con un modelo; se arma con el mayor. ","")&amp;IF(OR(DB14="SÍ",DC14="SÍ"),"Bastones también en los bordes discontinuos (M⁻ de tabla), con gancho. ","")&amp;IF(LEFT(DD14,2)="NO","Anclaje: "&amp;DD14&amp;" (6.7.7.4.1.1). ","")&amp;IF(OR(AT14&gt;0,AU14&gt;0),"Esquinas exteriores sobre muro: refuerzo de esquina arriba y abajo en L_largo/5 (6.7.7.3.1). ",""))</f>
        <v/>
      </c>
    </row>
    <row r="15" ht="33" customHeight="1">
      <c r="A15" s="50">
        <f>IF(B15="",0,1)+A14</f>
        <v>3</v>
      </c>
      <c r="B15" s="29" t="n"/>
      <c r="C15" s="51" t="n"/>
      <c r="D15" s="29" t="n"/>
      <c r="E15" s="52" t="n"/>
      <c r="F15" s="52" t="n"/>
      <c r="G15" s="51" t="n"/>
      <c r="H15" s="51" t="n"/>
      <c r="I15" s="51" t="n"/>
      <c r="J15" s="51" t="n"/>
      <c r="K15" s="51" t="n"/>
      <c r="L15" s="51" t="n"/>
      <c r="M15" s="54" t="n"/>
      <c r="N15" s="53" t="n"/>
      <c r="O15" s="53" t="n"/>
      <c r="P15" s="54" t="n"/>
      <c r="Q15" s="52" t="n"/>
      <c r="R15" s="54" t="n"/>
      <c r="S15" s="53" t="n"/>
      <c r="T15" s="52" t="n"/>
      <c r="U15" s="52" t="n"/>
      <c r="V15" s="55" t="str">
        <f>IF(B15="","",IF(AND(OR(C15="PERIMETRAL",C15="VOLADO"),ISNUMBER(E15),ISNUMBER(F15),E15&gt;0,F15&gt;0,OR(ISNUMBER(O15),ISNUMBER(MATCH(D15,DATOS!$B$46:$B$55,0)))),"SÍ","NO"))</f>
        <v/>
      </c>
      <c r="W15" s="57" t="str">
        <f>IF(V15&lt;&gt;"SÍ","",IF(ISNUMBER(M15),M15,DATOS!$C$134))</f>
        <v/>
      </c>
      <c r="X15" s="55" t="str">
        <f>IF(V15&lt;&gt;"SÍ","",IF(C15&lt;&gt;"VOLADO","—",IF(COUNTIF(G15:J15,"CONTINUO")&lt;&gt;1,"?",IF(G15="CONTINUO","INFERIOR",IF(H15="CONTINUO","SUPERIOR",IF(I15="CONTINUO","IZQUIERDO","DERECHO"))))))</f>
        <v/>
      </c>
      <c r="Y15" s="55" t="str">
        <f>IF(V15&lt;&gt;"SÍ","",IF(C15="VOLADO",IF(OR(X15="IZQUIERDO",X15="DERECHO"),"X","Y"),IF(E15&lt;=F15,"X","Y")))</f>
        <v/>
      </c>
      <c r="Z15" s="56" t="str">
        <f>IF(V15&lt;&gt;"SÍ","",IF(C15="VOLADO",IF(Y15="X",E15,F15),MIN(E15,F15)))</f>
        <v/>
      </c>
      <c r="AA15" s="56" t="str">
        <f>IF(V15&lt;&gt;"SÍ","",IF(C15="VOLADO",IF(Y15="X",F15,E15),MAX(E15,F15)))</f>
        <v/>
      </c>
      <c r="AB15" s="56" t="str">
        <f>IF(V15&lt;&gt;"SÍ","",MIN(Z15,AA15)/MAX(Z15,AA15))</f>
        <v/>
      </c>
      <c r="AC15" s="57" t="str">
        <f>IF(V15&lt;&gt;"SÍ","",MAX(1,Z15*100-IF(C15="VOLADO",DATOS!$C$84/2,DATOS!$C$84)))</f>
        <v/>
      </c>
      <c r="AD15" s="57" t="str">
        <f>IF(V15&lt;&gt;"SÍ","",MAX(1,AA15*100-DATOS!$C$84))</f>
        <v/>
      </c>
      <c r="AE15" s="57" t="str">
        <f>IF(V15&lt;&gt;"SÍ","",IF(C15="VOLADO",DATOS!$C$61,DATOS!$C$59))</f>
        <v/>
      </c>
      <c r="AF15" s="57" t="str">
        <f>IF(V15&lt;&gt;"SÍ","",IF(OR(AND(AG15="SÍ",DATOS!$C$63="SÍ"),AND(C15="VOLADO",DATOS!$C$64="SÍ")),DATOS!$C$61,DATOS!$C$59))</f>
        <v/>
      </c>
      <c r="AG15" s="55" t="str">
        <f>IF(V15&lt;&gt;"SÍ","",IFERROR(INDEX(DATOS!$D$46:$D$55,MATCH(D15,DATOS!$B$46:$B$55,0)),"NO"))</f>
        <v/>
      </c>
      <c r="AH15" s="59" t="str">
        <f>IF(V15&lt;&gt;"SÍ","",IF(ISNUMBER(O15),O15,IFERROR(INDEX(DATOS!$C$46:$C$55,MATCH(D15,DATOS!$B$46:$B$55,0)),0)))</f>
        <v/>
      </c>
      <c r="AI15" s="59" t="str">
        <f>IF(V15&lt;&gt;"SÍ","",W15/100*DATOS!$C$16*1000+DATOS!$C$37+DATOS!$C$38)</f>
        <v/>
      </c>
      <c r="AJ15" s="59" t="str">
        <f>IF(V15&lt;&gt;"SÍ","",AI15+N(N15))</f>
        <v/>
      </c>
      <c r="AK15" s="60" t="str">
        <f>IF(V15&lt;&gt;"SÍ","",MAX(DATOS!$C$26*AJ15+DATOS!$C$27*AH15,IF(AG15="SÍ",DATOS!$C$28*(AJ15+DATOS!$C$41),0)))</f>
        <v/>
      </c>
      <c r="AL15" s="59" t="str">
        <f>IF(V15&lt;&gt;"SÍ","",(G15="DISCONTINUO")+(H15="DISCONTINUO")+(I15="DISCONTINUO")+(J15="DISCONTINUO"))</f>
        <v/>
      </c>
      <c r="AM15" s="59" t="str">
        <f>IF(V15&lt;&gt;"SÍ","",IF(Y15="X",(G15="DISCONTINUO")+(H15="DISCONTINUO"),(I15="DISCONTINUO")+(J15="DISCONTINUO")))</f>
        <v/>
      </c>
      <c r="AN15" s="55" t="str">
        <f>IF(V15&lt;&gt;"SÍ","",IF(AL15=0,"INTERIOR",IF(AL15=1,IF(AM15=1,"BORDE-CORTO","BORDE-LARGO"),IF(AL15=2,IF(AM15=1,"ESQUINA",IF(AM15=2,"EXTREMO-LARGO","EXTREMO-CORTO")),IF(AL15=3,IF(AM15=2,"EXTREMO-LARGO","EXTREMO-CORTO"),"AISLADO")))))</f>
        <v/>
      </c>
      <c r="AO15" s="61" t="str">
        <f>IF(V15&lt;&gt;"SÍ","",IF(OR(K15="",K15="AUTO"),AN15,K15))</f>
        <v/>
      </c>
      <c r="AP15" s="59" t="str">
        <f>IF(V15&lt;&gt;"SÍ","",MATCH(AB15,TABLAS!$D$5:$J$5,1))</f>
        <v/>
      </c>
      <c r="AQ15" s="58" t="str">
        <f>IF(V15&lt;&gt;"SÍ","",IF(AP15&gt;=7,0,(AB15-INDEX(TABLAS!$D$5:$J$5,AP15))/(INDEX(TABLAS!$D$5:$J$5,AP15+1)-INDEX(TABLAS!$D$5:$J$5,AP15))))</f>
        <v/>
      </c>
      <c r="AR15" s="59" t="str">
        <f>IF(V15&lt;&gt;"SÍ","",INDEX(TABLAS!$D$6:$J$47,MATCH(AO15&amp;"|NIC",TABLAS!$B$6:$B$47,0),AP15)+AQ15*(INDEX(TABLAS!$D$6:$J$47,MATCH(AO15&amp;"|NIC",TABLAS!$B$6:$B$47,0),MIN(AP15+1,7))-INDEX(TABLAS!$D$6:$J$47,MATCH(AO15&amp;"|NIC",TABLAS!$B$6:$B$47,0),AP15)))</f>
        <v/>
      </c>
      <c r="AS15" s="59" t="str">
        <f>IF(V15&lt;&gt;"SÍ","",INDEX(TABLAS!$D$6:$J$47,MATCH(AO15&amp;"|NIL",TABLAS!$B$6:$B$47,0),AP15)+AQ15*(INDEX(TABLAS!$D$6:$J$47,MATCH(AO15&amp;"|NIL",TABLAS!$B$6:$B$47,0),MIN(AP15+1,7))-INDEX(TABLAS!$D$6:$J$47,MATCH(AO15&amp;"|NIL",TABLAS!$B$6:$B$47,0),AP15)))</f>
        <v/>
      </c>
      <c r="AT15" s="59" t="str">
        <f>IF(V15&lt;&gt;"SÍ","",INDEX(TABLAS!$D$6:$J$47,MATCH(AO15&amp;"|NDC",TABLAS!$B$6:$B$47,0),AP15)+AQ15*(INDEX(TABLAS!$D$6:$J$47,MATCH(AO15&amp;"|NDC",TABLAS!$B$6:$B$47,0),MIN(AP15+1,7))-INDEX(TABLAS!$D$6:$J$47,MATCH(AO15&amp;"|NDC",TABLAS!$B$6:$B$47,0),AP15)))</f>
        <v/>
      </c>
      <c r="AU15" s="59" t="str">
        <f>IF(V15&lt;&gt;"SÍ","",INDEX(TABLAS!$D$6:$J$47,MATCH(AO15&amp;"|NDL",TABLAS!$B$6:$B$47,0),AP15)+AQ15*(INDEX(TABLAS!$D$6:$J$47,MATCH(AO15&amp;"|NDL",TABLAS!$B$6:$B$47,0),MIN(AP15+1,7))-INDEX(TABLAS!$D$6:$J$47,MATCH(AO15&amp;"|NDL",TABLAS!$B$6:$B$47,0),AP15)))</f>
        <v/>
      </c>
      <c r="AV15" s="59" t="str">
        <f>IF(V15&lt;&gt;"SÍ","",INDEX(TABLAS!$D$6:$J$47,MATCH(AO15&amp;"|PC",TABLAS!$B$6:$B$47,0),AP15)+AQ15*(INDEX(TABLAS!$D$6:$J$47,MATCH(AO15&amp;"|PC",TABLAS!$B$6:$B$47,0),MIN(AP15+1,7))-INDEX(TABLAS!$D$6:$J$47,MATCH(AO15&amp;"|PC",TABLAS!$B$6:$B$47,0),AP15)))</f>
        <v/>
      </c>
      <c r="AW15" s="59" t="str">
        <f>IF(V15&lt;&gt;"SÍ","",INDEX(TABLAS!$D$6:$J$47,MATCH(AO15&amp;"|PL",TABLAS!$B$6:$B$47,0),AP15)+AQ15*(INDEX(TABLAS!$D$6:$J$47,MATCH(AO15&amp;"|PL",TABLAS!$B$6:$B$47,0),MIN(AP15+1,7))-INDEX(TABLAS!$D$6:$J$47,MATCH(AO15&amp;"|PL",TABLAS!$B$6:$B$47,0),AP15)))</f>
        <v/>
      </c>
      <c r="AX15" s="56" t="str">
        <f>IF(V15&lt;&gt;"SÍ","",IF(C15="PERIMETRAL",AV15*AK15*Z15^2*1E-4/1000,0))</f>
        <v/>
      </c>
      <c r="AY15" s="62" t="str">
        <f>IF(V15&lt;&gt;"SÍ","",IF(C15="PERIMETRAL",MAX(MAX(AR15,AT15)*AK15*Z15^2*1E-4/1000,N(T15)),(AK15*(AC15/100)^2/2+DATOS!$C$26*N(P15)*AC15/100)/1000))</f>
        <v/>
      </c>
      <c r="AZ15" s="56" t="str">
        <f>IF(V15&lt;&gt;"SÍ","",IF(C15="PERIMETRAL",AW15*AK15*Z15^2*1E-4/1000,0))</f>
        <v/>
      </c>
      <c r="BA15" s="56" t="str">
        <f>IF(V15&lt;&gt;"SÍ","",IF(C15="PERIMETRAL",MAX(MAX(AS15,AU15)*AK15*Z15^2*1E-4/1000,N(U15)),0))</f>
        <v/>
      </c>
      <c r="BB15" s="63" t="str">
        <f>IF(V15&lt;&gt;"SÍ","",IF(C15&lt;&gt;"PERIMETRAL","—",IF(AND(N(T15)=0,N(U15)=0),"— (sin M⁻ del vecino)",IF(OR(AND(N(T15)&gt;0,ABS(MAX(AR15,AT15)*AK15*Z15^2*1E-4/1000-N(T15))&gt;0.5*MIN(MAX(AR15,AT15)*AK15*Z15^2*1E-4/1000,N(T15))),AND(N(U15)&gt;0,ABS(MAX(AS15,AU15)*AK15*Z15^2*1E-4/1000-N(U15))&gt;0.5*MIN(MAX(AS15,AU15)*AK15*Z15^2*1E-4/1000,N(U15)))),"FUERA: difieren &gt; 50 %"&amp;IF(AND(N(T15)&gt;0,ABS(MAX(AR15,AT15)*AK15*Z15^2*1E-4/1000-N(T15))&gt;0.5*MIN(MAX(AR15,AT15)*AK15*Z15^2*1E-4/1000,N(T15)))," ‖ corto","")&amp;IF(AND(N(U15)&gt;0,ABS(MAX(AS15,AU15)*AK15*Z15^2*1E-4/1000-N(U15))&gt;0.5*MIN(MAX(AS15,AU15)*AK15*Z15^2*1E-4/1000,N(U15)))," ‖ largo",""),"CUMPLE"))))</f>
        <v/>
      </c>
      <c r="BC15" s="58" t="str">
        <f>IF(V15&lt;&gt;"SÍ","",DATOS!$C$136*100*W15)</f>
        <v/>
      </c>
      <c r="BD15" s="57" t="str">
        <f>IF(V15&lt;&gt;"SÍ","",MIN(IF(C15="VOLADO",DATOS!$C$138,DATOS!$C$137)*W15,DATOS!$C$139))</f>
        <v/>
      </c>
      <c r="BE15" s="58" t="str">
        <f>IF(V15&lt;&gt;"SÍ","",(W15-AE15-INDEX(TABLAS!$C$52:$C$58,MATCH(IF(ISNUMBER(S15),S15,DATOS!$C$135),TABLAS!$B$52:$B$58,0))/2))</f>
        <v/>
      </c>
      <c r="BF15" s="58" t="str">
        <f>IF(V15&lt;&gt;"SÍ","",IF(AX15&lt;=0,0,IF((1-2*AX15*1E5/(DATOS!$C$29*100*BE15^2*DATOS!$C$21))&lt;0,-1,IF((1-SQRT((1-2*AX15*1E5/(DATOS!$C$29*100*BE15^2*DATOS!$C$21))))*DATOS!$C$21*100*BE15/DATOS!$C$14&gt;DATOS!$C$99*100*BE15,-1,(1-SQRT((1-2*AX15*1E5/(DATOS!$C$29*100*BE15^2*DATOS!$C$21))))*DATOS!$C$21*100*BE15/DATOS!$C$14))))</f>
        <v/>
      </c>
      <c r="BG15" s="58" t="str">
        <f>IF(V15&lt;&gt;"SÍ","",IF(BF15&lt;0,-1,MAX(BF15,BC15)))</f>
        <v/>
      </c>
      <c r="BH15" s="64" t="str">
        <f>IF(V15&lt;&gt;"SÍ","",IF(AND(BG15&gt;0,FLOOR(MIN(BD15,100*INDEX(TABLAS!$D$52:$D$58,MIN(MATCH(IF(ISNUMBER(S15),S15,DATOS!$C$135),TABLAS!$B$52:$B$58,0)+0,7))/MAX(BG15,0.0001)),DATOS!$C$141)&gt;=DATOS!$C$140),INDEX(TABLAS!$B$52:$B$58,MIN(MATCH(IF(ISNUMBER(S15),S15,DATOS!$C$135),TABLAS!$B$52:$B$58,0)+0,7)),IF(AND(BG15&gt;0,FLOOR(MIN(BD15,100*INDEX(TABLAS!$D$52:$D$58,MIN(MATCH(IF(ISNUMBER(S15),S15,DATOS!$C$135),TABLAS!$B$52:$B$58,0)+1,7))/MAX(BG15,0.0001)),DATOS!$C$141)&gt;=DATOS!$C$140),INDEX(TABLAS!$B$52:$B$58,MIN(MATCH(IF(ISNUMBER(S15),S15,DATOS!$C$135),TABLAS!$B$52:$B$58,0)+1,7)),IF(AND(BG15&gt;0,FLOOR(MIN(BD15,100*INDEX(TABLAS!$D$52:$D$58,MIN(MATCH(IF(ISNUMBER(S15),S15,DATOS!$C$135),TABLAS!$B$52:$B$58,0)+2,7))/MAX(BG15,0.0001)),DATOS!$C$141)&gt;=DATOS!$C$140),INDEX(TABLAS!$B$52:$B$58,MIN(MATCH(IF(ISNUMBER(S15),S15,DATOS!$C$135),TABLAS!$B$52:$B$58,0)+2,7)),IF(AND(BG15&gt;0,FLOOR(MIN(BD15,100*INDEX(TABLAS!$D$52:$D$58,MIN(MATCH(IF(ISNUMBER(S15),S15,DATOS!$C$135),TABLAS!$B$52:$B$58,0)+3,7))/MAX(BG15,0.0001)),DATOS!$C$141)&gt;=DATOS!$C$140),INDEX(TABLAS!$B$52:$B$58,MIN(MATCH(IF(ISNUMBER(S15),S15,DATOS!$C$135),TABLAS!$B$52:$B$58,0)+3,7)),IF(AND(BG15&gt;0,FLOOR(MIN(BD15,100*INDEX(TABLAS!$D$52:$D$58,MIN(MATCH(IF(ISNUMBER(S15),S15,DATOS!$C$135),TABLAS!$B$52:$B$58,0)+4,7))/MAX(BG15,0.0001)),DATOS!$C$141)&gt;=DATOS!$C$140),INDEX(TABLAS!$B$52:$B$58,MIN(MATCH(IF(ISNUMBER(S15),S15,DATOS!$C$135),TABLAS!$B$52:$B$58,0)+4,7)),INDEX(TABLAS!$B$52:$B$58,7)))))))</f>
        <v/>
      </c>
      <c r="BI15" s="71" t="str">
        <f>IF(V15&lt;&gt;"SÍ","",IF(BG15&lt;=0,0,FLOOR(MIN(BD15,100*INDEX(TABLAS!$D$52:$D$58,MATCH(BH15,TABLAS!$B$52:$B$58,0))/BG15),DATOS!$C$141)))</f>
        <v/>
      </c>
      <c r="BJ15" s="58" t="str">
        <f>IF(V15&lt;&gt;"SÍ","",IF(BI15&lt;=0,0,INDEX(TABLAS!$D$52:$D$58,MATCH(BH15,TABLAS!$B$52:$B$58,0))*100/BI15))</f>
        <v/>
      </c>
      <c r="BK15" s="58" t="str">
        <f>IF(V15&lt;&gt;"SÍ","",W15-AE15-INDEX(TABLAS!$C$52:$C$58,MATCH(BH15,TABLAS!$B$52:$B$58,0))/2)</f>
        <v/>
      </c>
      <c r="BL15" s="56" t="str">
        <f>IF(V15&lt;&gt;"SÍ","",IF(BJ15=0,0,DATOS!$C$29*BJ15*DATOS!$C$14*(BK15-BJ15*DATOS!$C$14/(DATOS!$C$21*100)/2)/1E5))</f>
        <v/>
      </c>
      <c r="BM15" s="65" t="str">
        <f>IF(V15&lt;&gt;"SÍ","",IF(BG15&lt;0,9.99,IF(BL15&gt;0,AX15/BL15,0)))</f>
        <v/>
      </c>
      <c r="BN15" s="66" t="str">
        <f>IF(V15&lt;&gt;"SÍ","",IF(BJ15=0,"—",0.003*(BK15-(BJ15*DATOS!$C$14/(DATOS!$C$21*100)/DATOS!$C$22))/(BJ15*DATOS!$C$14/(DATOS!$C$21*100)/DATOS!$C$22)))</f>
        <v/>
      </c>
      <c r="BO15" s="58" t="str">
        <f>IF(V15&lt;&gt;"SÍ","",((W15-AF15-INDEX(TABLAS!$C$52:$C$58,MATCH(IF(ISNUMBER(S15),S15,DATOS!$C$135),TABLAS!$B$52:$B$58,0))/2)-IF(AND((W15-AF15-INDEX(TABLAS!$C$52:$C$58,MATCH(IF(ISNUMBER(S15),S15,DATOS!$C$135),TABLAS!$B$52:$B$58,0))/2)&lt;=20,DATOS!$C$62&lt;&gt;"SÍ"),2,0)))</f>
        <v/>
      </c>
      <c r="BP15" s="58" t="str">
        <f>IF(V15&lt;&gt;"SÍ","",IF(AY15&lt;=0,0,IF((1-2*AY15*1E5/(DATOS!$C$29*100*BO15^2*DATOS!$C$21))&lt;0,-1,IF((1-SQRT((1-2*AY15*1E5/(DATOS!$C$29*100*BO15^2*DATOS!$C$21))))*DATOS!$C$21*100*BO15/DATOS!$C$14&gt;DATOS!$C$99*100*BO15,-1,(1-SQRT((1-2*AY15*1E5/(DATOS!$C$29*100*BO15^2*DATOS!$C$21))))*DATOS!$C$21*100*BO15/DATOS!$C$14))))</f>
        <v/>
      </c>
      <c r="BQ15" s="58" t="str">
        <f>IF(V15&lt;&gt;"SÍ","",IF(BP15&lt;0,-1,MAX(BP15,BC15)))</f>
        <v/>
      </c>
      <c r="BR15" s="64" t="str">
        <f>IF(V15&lt;&gt;"SÍ","",IF(AND(BQ15&gt;0,FLOOR(MIN(BD15,100*INDEX(TABLAS!$D$52:$D$58,MIN(MATCH(IF(ISNUMBER(S15),S15,DATOS!$C$135),TABLAS!$B$52:$B$58,0)+0,7))/MAX(BQ15,0.0001)),DATOS!$C$141)&gt;=DATOS!$C$140),INDEX(TABLAS!$B$52:$B$58,MIN(MATCH(IF(ISNUMBER(S15),S15,DATOS!$C$135),TABLAS!$B$52:$B$58,0)+0,7)),IF(AND(BQ15&gt;0,FLOOR(MIN(BD15,100*INDEX(TABLAS!$D$52:$D$58,MIN(MATCH(IF(ISNUMBER(S15),S15,DATOS!$C$135),TABLAS!$B$52:$B$58,0)+1,7))/MAX(BQ15,0.0001)),DATOS!$C$141)&gt;=DATOS!$C$140),INDEX(TABLAS!$B$52:$B$58,MIN(MATCH(IF(ISNUMBER(S15),S15,DATOS!$C$135),TABLAS!$B$52:$B$58,0)+1,7)),IF(AND(BQ15&gt;0,FLOOR(MIN(BD15,100*INDEX(TABLAS!$D$52:$D$58,MIN(MATCH(IF(ISNUMBER(S15),S15,DATOS!$C$135),TABLAS!$B$52:$B$58,0)+2,7))/MAX(BQ15,0.0001)),DATOS!$C$141)&gt;=DATOS!$C$140),INDEX(TABLAS!$B$52:$B$58,MIN(MATCH(IF(ISNUMBER(S15),S15,DATOS!$C$135),TABLAS!$B$52:$B$58,0)+2,7)),IF(AND(BQ15&gt;0,FLOOR(MIN(BD15,100*INDEX(TABLAS!$D$52:$D$58,MIN(MATCH(IF(ISNUMBER(S15),S15,DATOS!$C$135),TABLAS!$B$52:$B$58,0)+3,7))/MAX(BQ15,0.0001)),DATOS!$C$141)&gt;=DATOS!$C$140),INDEX(TABLAS!$B$52:$B$58,MIN(MATCH(IF(ISNUMBER(S15),S15,DATOS!$C$135),TABLAS!$B$52:$B$58,0)+3,7)),IF(AND(BQ15&gt;0,FLOOR(MIN(BD15,100*INDEX(TABLAS!$D$52:$D$58,MIN(MATCH(IF(ISNUMBER(S15),S15,DATOS!$C$135),TABLAS!$B$52:$B$58,0)+4,7))/MAX(BQ15,0.0001)),DATOS!$C$141)&gt;=DATOS!$C$140),INDEX(TABLAS!$B$52:$B$58,MIN(MATCH(IF(ISNUMBER(S15),S15,DATOS!$C$135),TABLAS!$B$52:$B$58,0)+4,7)),INDEX(TABLAS!$B$52:$B$58,7)))))))</f>
        <v/>
      </c>
      <c r="BS15" s="71" t="str">
        <f>IF(V15&lt;&gt;"SÍ","",IF(BQ15&lt;=0,0,FLOOR(MIN(BD15,100*INDEX(TABLAS!$D$52:$D$58,MATCH(BR15,TABLAS!$B$52:$B$58,0))/BQ15),DATOS!$C$141)))</f>
        <v/>
      </c>
      <c r="BT15" s="58" t="str">
        <f>IF(V15&lt;&gt;"SÍ","",IF(BS15&lt;=0,0,INDEX(TABLAS!$D$52:$D$58,MATCH(BR15,TABLAS!$B$52:$B$58,0))*100/BS15))</f>
        <v/>
      </c>
      <c r="BU15" s="58" t="str">
        <f>IF(V15&lt;&gt;"SÍ","",((W15-AF15-INDEX(TABLAS!$C$52:$C$58,MATCH(BR15,TABLAS!$B$52:$B$58,0))/2)-IF(AND((W15-AF15-INDEX(TABLAS!$C$52:$C$58,MATCH(BR15,TABLAS!$B$52:$B$58,0))/2)&lt;=20,DATOS!$C$62&lt;&gt;"SÍ"),2,0)))</f>
        <v/>
      </c>
      <c r="BV15" s="56" t="str">
        <f>IF(V15&lt;&gt;"SÍ","",IF(BT15=0,0,DATOS!$C$29*BT15*DATOS!$C$14*(BU15-BT15*DATOS!$C$14/(DATOS!$C$21*100)/2)/1E5))</f>
        <v/>
      </c>
      <c r="BW15" s="65" t="str">
        <f>IF(V15&lt;&gt;"SÍ","",IF(BQ15&lt;0,9.99,IF(BV15&gt;0,AY15/BV15,0)))</f>
        <v/>
      </c>
      <c r="BX15" s="66" t="str">
        <f>IF(V15&lt;&gt;"SÍ","",IF(BT15=0,"—",0.003*(BU15-(BT15*DATOS!$C$14/(DATOS!$C$21*100)/DATOS!$C$22))/(BT15*DATOS!$C$14/(DATOS!$C$21*100)/DATOS!$C$22)))</f>
        <v/>
      </c>
      <c r="BY15" s="58" t="str">
        <f>IF(V15&lt;&gt;"SÍ","",(W15-AE15-1.5*INDEX(TABLAS!$C$52:$C$58,MATCH(IF(ISNUMBER(S15),S15,DATOS!$C$135),TABLAS!$B$52:$B$58,0))))</f>
        <v/>
      </c>
      <c r="BZ15" s="58" t="str">
        <f>IF(V15&lt;&gt;"SÍ","",IF(AZ15&lt;=0,0,IF((1-2*AZ15*1E5/(DATOS!$C$29*100*BY15^2*DATOS!$C$21))&lt;0,-1,IF((1-SQRT((1-2*AZ15*1E5/(DATOS!$C$29*100*BY15^2*DATOS!$C$21))))*DATOS!$C$21*100*BY15/DATOS!$C$14&gt;DATOS!$C$99*100*BY15,-1,(1-SQRT((1-2*AZ15*1E5/(DATOS!$C$29*100*BY15^2*DATOS!$C$21))))*DATOS!$C$21*100*BY15/DATOS!$C$14))))</f>
        <v/>
      </c>
      <c r="CA15" s="58" t="str">
        <f>IF(V15&lt;&gt;"SÍ","",IF(BZ15&lt;0,-1,MAX(BZ15,BC15)))</f>
        <v/>
      </c>
      <c r="CB15" s="64" t="str">
        <f>IF(V15&lt;&gt;"SÍ","",IF(AND(CA15&gt;0,FLOOR(MIN(BD15,100*INDEX(TABLAS!$D$52:$D$58,MIN(MATCH(IF(ISNUMBER(S15),S15,DATOS!$C$135),TABLAS!$B$52:$B$58,0)+0,7))/MAX(CA15,0.0001)),DATOS!$C$141)&gt;=DATOS!$C$140),INDEX(TABLAS!$B$52:$B$58,MIN(MATCH(IF(ISNUMBER(S15),S15,DATOS!$C$135),TABLAS!$B$52:$B$58,0)+0,7)),IF(AND(CA15&gt;0,FLOOR(MIN(BD15,100*INDEX(TABLAS!$D$52:$D$58,MIN(MATCH(IF(ISNUMBER(S15),S15,DATOS!$C$135),TABLAS!$B$52:$B$58,0)+1,7))/MAX(CA15,0.0001)),DATOS!$C$141)&gt;=DATOS!$C$140),INDEX(TABLAS!$B$52:$B$58,MIN(MATCH(IF(ISNUMBER(S15),S15,DATOS!$C$135),TABLAS!$B$52:$B$58,0)+1,7)),IF(AND(CA15&gt;0,FLOOR(MIN(BD15,100*INDEX(TABLAS!$D$52:$D$58,MIN(MATCH(IF(ISNUMBER(S15),S15,DATOS!$C$135),TABLAS!$B$52:$B$58,0)+2,7))/MAX(CA15,0.0001)),DATOS!$C$141)&gt;=DATOS!$C$140),INDEX(TABLAS!$B$52:$B$58,MIN(MATCH(IF(ISNUMBER(S15),S15,DATOS!$C$135),TABLAS!$B$52:$B$58,0)+2,7)),IF(AND(CA15&gt;0,FLOOR(MIN(BD15,100*INDEX(TABLAS!$D$52:$D$58,MIN(MATCH(IF(ISNUMBER(S15),S15,DATOS!$C$135),TABLAS!$B$52:$B$58,0)+3,7))/MAX(CA15,0.0001)),DATOS!$C$141)&gt;=DATOS!$C$140),INDEX(TABLAS!$B$52:$B$58,MIN(MATCH(IF(ISNUMBER(S15),S15,DATOS!$C$135),TABLAS!$B$52:$B$58,0)+3,7)),IF(AND(CA15&gt;0,FLOOR(MIN(BD15,100*INDEX(TABLAS!$D$52:$D$58,MIN(MATCH(IF(ISNUMBER(S15),S15,DATOS!$C$135),TABLAS!$B$52:$B$58,0)+4,7))/MAX(CA15,0.0001)),DATOS!$C$141)&gt;=DATOS!$C$140),INDEX(TABLAS!$B$52:$B$58,MIN(MATCH(IF(ISNUMBER(S15),S15,DATOS!$C$135),TABLAS!$B$52:$B$58,0)+4,7)),INDEX(TABLAS!$B$52:$B$58,7)))))))</f>
        <v/>
      </c>
      <c r="CC15" s="71" t="str">
        <f>IF(V15&lt;&gt;"SÍ","",IF(CA15&lt;=0,0,FLOOR(MIN(BD15,100*INDEX(TABLAS!$D$52:$D$58,MATCH(CB15,TABLAS!$B$52:$B$58,0))/CA15),DATOS!$C$141)))</f>
        <v/>
      </c>
      <c r="CD15" s="58" t="str">
        <f>IF(V15&lt;&gt;"SÍ","",IF(CC15&lt;=0,0,INDEX(TABLAS!$D$52:$D$58,MATCH(CB15,TABLAS!$B$52:$B$58,0))*100/CC15))</f>
        <v/>
      </c>
      <c r="CE15" s="58" t="str">
        <f>IF(V15&lt;&gt;"SÍ","",W15-AE15-INDEX(TABLAS!$C$52:$C$58,MATCH(BH15,TABLAS!$B$52:$B$58,0))-INDEX(TABLAS!$C$52:$C$58,MATCH(CB15,TABLAS!$B$52:$B$58,0))/2)</f>
        <v/>
      </c>
      <c r="CF15" s="56" t="str">
        <f>IF(V15&lt;&gt;"SÍ","",IF(CD15=0,0,DATOS!$C$29*CD15*DATOS!$C$14*(CE15-CD15*DATOS!$C$14/(DATOS!$C$21*100)/2)/1E5))</f>
        <v/>
      </c>
      <c r="CG15" s="65" t="str">
        <f>IF(V15&lt;&gt;"SÍ","",IF(CA15&lt;0,9.99,IF(CF15&gt;0,AZ15/CF15,0)))</f>
        <v/>
      </c>
      <c r="CH15" s="66" t="str">
        <f>IF(V15&lt;&gt;"SÍ","",IF(CD15=0,"—",0.003*(CE15-(CD15*DATOS!$C$14/(DATOS!$C$21*100)/DATOS!$C$22))/(CD15*DATOS!$C$14/(DATOS!$C$21*100)/DATOS!$C$22)))</f>
        <v/>
      </c>
      <c r="CI15" s="58" t="str">
        <f>IF(V15&lt;&gt;"SÍ","",((W15-AF15-1.5*INDEX(TABLAS!$C$52:$C$58,MATCH(IF(ISNUMBER(S15),S15,DATOS!$C$135),TABLAS!$B$52:$B$58,0)))-IF(AND((W15-AF15-1.5*INDEX(TABLAS!$C$52:$C$58,MATCH(IF(ISNUMBER(S15),S15,DATOS!$C$135),TABLAS!$B$52:$B$58,0)))&lt;=20,DATOS!$C$62&lt;&gt;"SÍ"),2,0)))</f>
        <v/>
      </c>
      <c r="CJ15" s="58" t="str">
        <f>IF(V15&lt;&gt;"SÍ","",IF(BA15&lt;=0,0,IF((1-2*BA15*1E5/(DATOS!$C$29*100*CI15^2*DATOS!$C$21))&lt;0,-1,IF((1-SQRT((1-2*BA15*1E5/(DATOS!$C$29*100*CI15^2*DATOS!$C$21))))*DATOS!$C$21*100*CI15/DATOS!$C$14&gt;DATOS!$C$99*100*CI15,-1,(1-SQRT((1-2*BA15*1E5/(DATOS!$C$29*100*CI15^2*DATOS!$C$21))))*DATOS!$C$21*100*CI15/DATOS!$C$14))))</f>
        <v/>
      </c>
      <c r="CK15" s="58" t="str">
        <f>IF(V15&lt;&gt;"SÍ","",IF(CJ15&lt;0,-1,MAX(CJ15,BC15)))</f>
        <v/>
      </c>
      <c r="CL15" s="64" t="str">
        <f>IF(V15&lt;&gt;"SÍ","",IF(AND(CK15&gt;0,FLOOR(MIN(BD15,100*INDEX(TABLAS!$D$52:$D$58,MIN(MATCH(IF(ISNUMBER(S15),S15,DATOS!$C$135),TABLAS!$B$52:$B$58,0)+0,7))/MAX(CK15,0.0001)),DATOS!$C$141)&gt;=DATOS!$C$140),INDEX(TABLAS!$B$52:$B$58,MIN(MATCH(IF(ISNUMBER(S15),S15,DATOS!$C$135),TABLAS!$B$52:$B$58,0)+0,7)),IF(AND(CK15&gt;0,FLOOR(MIN(BD15,100*INDEX(TABLAS!$D$52:$D$58,MIN(MATCH(IF(ISNUMBER(S15),S15,DATOS!$C$135),TABLAS!$B$52:$B$58,0)+1,7))/MAX(CK15,0.0001)),DATOS!$C$141)&gt;=DATOS!$C$140),INDEX(TABLAS!$B$52:$B$58,MIN(MATCH(IF(ISNUMBER(S15),S15,DATOS!$C$135),TABLAS!$B$52:$B$58,0)+1,7)),IF(AND(CK15&gt;0,FLOOR(MIN(BD15,100*INDEX(TABLAS!$D$52:$D$58,MIN(MATCH(IF(ISNUMBER(S15),S15,DATOS!$C$135),TABLAS!$B$52:$B$58,0)+2,7))/MAX(CK15,0.0001)),DATOS!$C$141)&gt;=DATOS!$C$140),INDEX(TABLAS!$B$52:$B$58,MIN(MATCH(IF(ISNUMBER(S15),S15,DATOS!$C$135),TABLAS!$B$52:$B$58,0)+2,7)),IF(AND(CK15&gt;0,FLOOR(MIN(BD15,100*INDEX(TABLAS!$D$52:$D$58,MIN(MATCH(IF(ISNUMBER(S15),S15,DATOS!$C$135),TABLAS!$B$52:$B$58,0)+3,7))/MAX(CK15,0.0001)),DATOS!$C$141)&gt;=DATOS!$C$140),INDEX(TABLAS!$B$52:$B$58,MIN(MATCH(IF(ISNUMBER(S15),S15,DATOS!$C$135),TABLAS!$B$52:$B$58,0)+3,7)),IF(AND(CK15&gt;0,FLOOR(MIN(BD15,100*INDEX(TABLAS!$D$52:$D$58,MIN(MATCH(IF(ISNUMBER(S15),S15,DATOS!$C$135),TABLAS!$B$52:$B$58,0)+4,7))/MAX(CK15,0.0001)),DATOS!$C$141)&gt;=DATOS!$C$140),INDEX(TABLAS!$B$52:$B$58,MIN(MATCH(IF(ISNUMBER(S15),S15,DATOS!$C$135),TABLAS!$B$52:$B$58,0)+4,7)),INDEX(TABLAS!$B$52:$B$58,7)))))))</f>
        <v/>
      </c>
      <c r="CM15" s="71" t="str">
        <f>IF(V15&lt;&gt;"SÍ","",IF(CK15&lt;=0,0,FLOOR(MIN(BD15,100*INDEX(TABLAS!$D$52:$D$58,MATCH(CL15,TABLAS!$B$52:$B$58,0))/CK15),DATOS!$C$141)))</f>
        <v/>
      </c>
      <c r="CN15" s="58" t="str">
        <f>IF(V15&lt;&gt;"SÍ","",IF(CM15&lt;=0,0,INDEX(TABLAS!$D$52:$D$58,MATCH(CL15,TABLAS!$B$52:$B$58,0))*100/CM15))</f>
        <v/>
      </c>
      <c r="CO15" s="58" t="str">
        <f>IF(V15&lt;&gt;"SÍ","",((W15-AF15-INDEX(TABLAS!$C$52:$C$58,MATCH(BR15,TABLAS!$B$52:$B$58,0))-INDEX(TABLAS!$C$52:$C$58,MATCH(CL15,TABLAS!$B$52:$B$58,0))/2)-IF(AND((W15-AF15-INDEX(TABLAS!$C$52:$C$58,MATCH(BR15,TABLAS!$B$52:$B$58,0))-INDEX(TABLAS!$C$52:$C$58,MATCH(CL15,TABLAS!$B$52:$B$58,0))/2)&lt;=20,DATOS!$C$62&lt;&gt;"SÍ"),2,0)))</f>
        <v/>
      </c>
      <c r="CP15" s="56" t="str">
        <f>IF(V15&lt;&gt;"SÍ","",IF(CN15=0,0,DATOS!$C$29*CN15*DATOS!$C$14*(CO15-CN15*DATOS!$C$14/(DATOS!$C$21*100)/2)/1E5))</f>
        <v/>
      </c>
      <c r="CQ15" s="65" t="str">
        <f>IF(V15&lt;&gt;"SÍ","",IF(CK15&lt;0,9.99,IF(CP15&gt;0,BA15/CP15,0)))</f>
        <v/>
      </c>
      <c r="CR15" s="66" t="str">
        <f>IF(V15&lt;&gt;"SÍ","",IF(CN15=0,"—",0.003*(CO15-(CN15*DATOS!$C$14/(DATOS!$C$21*100)/DATOS!$C$22))/(CN15*DATOS!$C$14/(DATOS!$C$21*100)/DATOS!$C$22)))</f>
        <v/>
      </c>
      <c r="CS15" s="56" t="str">
        <f>IF(V15&lt;&gt;"SÍ","",IF(C15="PERIMETRAL",MAX(0,(AC15/2-BU15)/100)*(0.95-0.5*AB15)*AK15*IF(AND(AL15&gt;0,AL15&lt;4),DATOS!$C$33,1)/1000,(AK15*MAX(0,AC15-BU15)/100+DATOS!$C$26*N(P15))/1000))</f>
        <v/>
      </c>
      <c r="CT15" s="66" t="str">
        <f>IF(V15&lt;&gt;"SÍ","",BT15/(100*BU15))</f>
        <v/>
      </c>
      <c r="CU15" s="56" t="str">
        <f>IF(V15&lt;&gt;"SÍ","",DATOS!$C$30*2*MIN(1,SQRT(2/(1+0.04*BU15)))*CT15^(1/3)*SQRT(DATOS!$C$13)*100*BU15/1000)</f>
        <v/>
      </c>
      <c r="CV15" s="67" t="str">
        <f>IF(V15&lt;&gt;"SÍ","",IF(CS15&lt;=CU15,"CUMPLE","NO CUMPLE: sube h"))</f>
        <v/>
      </c>
      <c r="CW15" s="58" t="str">
        <f>IF(V15&lt;&gt;"SÍ","",IF(C15="PERIMETRAL",IF(ISNUMBER(R15),R15,DATOS!$C$101),0))</f>
        <v/>
      </c>
      <c r="CX15" s="57" t="str">
        <f>IF(V15&lt;&gt;"SÍ","",IF(C15="PERIMETRAL",IF(CW15&gt;2,MAX(9,AD15*(0.8+DATOS!$C$14/14000)/(36+9*(AD15/MAX(AC15,1)))),IF(CW15&gt;0.2,MAX(13,AD15*(0.8+DATOS!$C$14/14000)/(36+5*(AD15/MAX(AC15,1))*(CW15-0.2))),MAX(13,AD15/IF(AL15&gt;0,30,33))))*IF(AND(CW15&gt;0.2,AL15&gt;0,DATOS!$C$102="NO"),1.1,1),Z15*100/DATOS!$C$142))</f>
        <v/>
      </c>
      <c r="CY15" s="61" t="str">
        <f>IF(V15&lt;&gt;"SÍ","",IF(W15&gt;=CX15-0.001,"CUMPLE",IF(C15="VOLADO","NO CUMPLE","CALCULAR FLECHA")))</f>
        <v/>
      </c>
      <c r="CZ15" s="60" t="str">
        <f>IF(V15&lt;&gt;"SÍ","",IF(C15="VOLADO",MIN(CEILING(IF(ISNUMBER(Q15),Q15,Z15)*100,5),CEILING(MAX(IF((0.5*(0.9*W15/100*DATOS!$C$16)*IF(ISNUMBER(Q15),Q15,Z15)+AY15/IF(ISNUMBER(Q15),Q15,Z15))^2-4*(0.5*(0.9*W15/100*DATOS!$C$16))*AY15&lt;0,IF(ISNUMBER(Q15),Q15,Z15),MIN(IF(ISNUMBER(Q15),Q15,Z15),((0.5*(0.9*W15/100*DATOS!$C$16)*IF(ISNUMBER(Q15),Q15,Z15)+AY15/IF(ISNUMBER(Q15),Q15,Z15))-SQRT((0.5*(0.9*W15/100*DATOS!$C$16)*IF(ISNUMBER(Q15),Q15,Z15)+AY15/IF(ISNUMBER(Q15),Q15,Z15))^2-4*(0.5*(0.9*W15/100*DATOS!$C$16))*AY15))/(2*(0.5*(0.9*W15/100*DATOS!$C$16)))))*100+MAX(BU15,12*INDEX(TABLAS!$C$52:$C$58,MATCH(BR15,TABLAS!$B$52:$B$58,0)),IF(ISNUMBER(Q15),Q15,Z15)*100/16),IF(OR(AF15&lt;INDEX(TABLAS!$C$52:$C$58,MATCH(BR15,TABLAS!$B$52:$B$58,0)),BS15-INDEX(TABLAS!$C$52:$C$58,MATCH(BR15,TABLAS!$B$52:$B$58,0))&lt;2*INDEX(TABLAS!$C$52:$C$58,MATCH(BR15,TABLAS!$B$52:$B$58,0))),INDEX(TABLAS!$I$52:$I$58,MATCH(BR15,TABLAS!$B$52:$B$58,0)),INDEX(TABLAS!$F$52:$F$58,MATCH(BR15,TABLAS!$B$52:$B$58,0)))),5)),IF(((4*((AV15*AK15*Z15^2*1E-4/1000)+((MAX(AR15,AT15)*AK15*Z15^2*1E-4/1000)+(IF(AND(AR15&gt;0,AT15&gt;0),MIN(AR15,AT15),MAX(AR15,AT15))*AK15*Z15^2*1E-4/1000))/2)+AY15-(IF(AND(AR15&gt;0,AT15&gt;0),MIN(AR15,AT15),MAX(AR15,AT15))*AK15*Z15^2*1E-4/1000))^2-16*((AV15*AK15*Z15^2*1E-4/1000)+((MAX(AR15,AT15)*AK15*Z15^2*1E-4/1000)+(IF(AND(AR15&gt;0,AT15&gt;0),MIN(AR15,AT15),MAX(AR15,AT15))*AK15*Z15^2*1E-4/1000))/2)*AY15)&lt;0,CEILING(AC15,5),CEILING(MAX(AC15*((4*((AV15*AK15*Z15^2*1E-4/1000)+((MAX(AR15,AT15)*AK15*Z15^2*1E-4/1000)+(IF(AND(AR15&gt;0,AT15&gt;0),MIN(AR15,AT15),MAX(AR15,AT15))*AK15*Z15^2*1E-4/1000))/2)+AY15-(IF(AND(AR15&gt;0,AT15&gt;0),MIN(AR15,AT15),MAX(AR15,AT15))*AK15*Z15^2*1E-4/1000))-SQRT(MAX(0,((4*((AV15*AK15*Z15^2*1E-4/1000)+((MAX(AR15,AT15)*AK15*Z15^2*1E-4/1000)+(IF(AND(AR15&gt;0,AT15&gt;0),MIN(AR15,AT15),MAX(AR15,AT15))*AK15*Z15^2*1E-4/1000))/2)+AY15-(IF(AND(AR15&gt;0,AT15&gt;0),MIN(AR15,AT15),MAX(AR15,AT15))*AK15*Z15^2*1E-4/1000))^2-16*((AV15*AK15*Z15^2*1E-4/1000)+((MAX(AR15,AT15)*AK15*Z15^2*1E-4/1000)+(IF(AND(AR15&gt;0,AT15&gt;0),MIN(AR15,AT15),MAX(AR15,AT15))*AK15*Z15^2*1E-4/1000))/2)*AY15))))/(8*MAX(((AV15*AK15*Z15^2*1E-4/1000)+((MAX(AR15,AT15)*AK15*Z15^2*1E-4/1000)+(IF(AND(AR15&gt;0,AT15&gt;0),MIN(AR15,AT15),MAX(AR15,AT15))*AK15*Z15^2*1E-4/1000))/2),1E-9))+MAX(BU15,12*INDEX(TABLAS!$C$52:$C$58,MATCH(BR15,TABLAS!$B$52:$B$58,0)),AC15/16),IF(OR(AF15&lt;INDEX(TABLAS!$C$52:$C$58,MATCH(BR15,TABLAS!$B$52:$B$58,0)),BS15-INDEX(TABLAS!$C$52:$C$58,MATCH(BR15,TABLAS!$B$52:$B$58,0))&lt;2*INDEX(TABLAS!$C$52:$C$58,MATCH(BR15,TABLAS!$B$52:$B$58,0))),INDEX(TABLAS!$I$52:$I$58,MATCH(BR15,TABLAS!$B$52:$B$58,0)),INDEX(TABLAS!$F$52:$F$58,MATCH(BR15,TABLAS!$B$52:$B$58,0)))),5))))</f>
        <v/>
      </c>
      <c r="DA15" s="60" t="str">
        <f>IF(V15&lt;&gt;"SÍ","",IF(C15="VOLADO",0,IF(((4*((AW15*AK15*Z15^2*1E-4/1000)+((MAX(AS15,AU15)*AK15*Z15^2*1E-4/1000)+(IF(AND(AS15&gt;0,AU15&gt;0),MIN(AS15,AU15),MAX(AS15,AU15))*AK15*Z15^2*1E-4/1000))/2)+BA15-(IF(AND(AS15&gt;0,AU15&gt;0),MIN(AS15,AU15),MAX(AS15,AU15))*AK15*Z15^2*1E-4/1000))^2-16*((AW15*AK15*Z15^2*1E-4/1000)+((MAX(AS15,AU15)*AK15*Z15^2*1E-4/1000)+(IF(AND(AS15&gt;0,AU15&gt;0),MIN(AS15,AU15),MAX(AS15,AU15))*AK15*Z15^2*1E-4/1000))/2)*BA15)&lt;0,CEILING(AD15,5),CEILING(MAX(AD15*((4*((AW15*AK15*Z15^2*1E-4/1000)+((MAX(AS15,AU15)*AK15*Z15^2*1E-4/1000)+(IF(AND(AS15&gt;0,AU15&gt;0),MIN(AS15,AU15),MAX(AS15,AU15))*AK15*Z15^2*1E-4/1000))/2)+BA15-(IF(AND(AS15&gt;0,AU15&gt;0),MIN(AS15,AU15),MAX(AS15,AU15))*AK15*Z15^2*1E-4/1000))-SQRT(MAX(0,((4*((AW15*AK15*Z15^2*1E-4/1000)+((MAX(AS15,AU15)*AK15*Z15^2*1E-4/1000)+(IF(AND(AS15&gt;0,AU15&gt;0),MIN(AS15,AU15),MAX(AS15,AU15))*AK15*Z15^2*1E-4/1000))/2)+BA15-(IF(AND(AS15&gt;0,AU15&gt;0),MIN(AS15,AU15),MAX(AS15,AU15))*AK15*Z15^2*1E-4/1000))^2-16*((AW15*AK15*Z15^2*1E-4/1000)+((MAX(AS15,AU15)*AK15*Z15^2*1E-4/1000)+(IF(AND(AS15&gt;0,AU15&gt;0),MIN(AS15,AU15),MAX(AS15,AU15))*AK15*Z15^2*1E-4/1000))/2)*BA15))))/(8*MAX(((AW15*AK15*Z15^2*1E-4/1000)+((MAX(AS15,AU15)*AK15*Z15^2*1E-4/1000)+(IF(AND(AS15&gt;0,AU15&gt;0),MIN(AS15,AU15),MAX(AS15,AU15))*AK15*Z15^2*1E-4/1000))/2),1E-9))+MAX(CO15,12*INDEX(TABLAS!$C$52:$C$58,MATCH(CL15,TABLAS!$B$52:$B$58,0)),AD15/16),IF(OR(AF15&lt;INDEX(TABLAS!$C$52:$C$58,MATCH(CL15,TABLAS!$B$52:$B$58,0)),CM15-INDEX(TABLAS!$C$52:$C$58,MATCH(CL15,TABLAS!$B$52:$B$58,0))&lt;2*INDEX(TABLAS!$C$52:$C$58,MATCH(CL15,TABLAS!$B$52:$B$58,0))),INDEX(TABLAS!$I$52:$I$58,MATCH(CL15,TABLAS!$B$52:$B$58,0)),INDEX(TABLAS!$F$52:$F$58,MATCH(CL15,TABLAS!$B$52:$B$58,0)))),5))))</f>
        <v/>
      </c>
      <c r="DB15" s="55" t="str">
        <f>IF(V15&lt;&gt;"SÍ","",IF(AND(C15="PERIMETRAL",AL15-AM15&gt;0,AT15&gt;0),"SÍ","NO"))</f>
        <v/>
      </c>
      <c r="DC15" s="55" t="str">
        <f>IF(V15&lt;&gt;"SÍ","",IF(AND(C15="PERIMETRAL",AM15&gt;0,AU15&gt;0),"SÍ","NO"))</f>
        <v/>
      </c>
      <c r="DD15" s="63" t="str">
        <f>IF(V15&lt;&gt;"SÍ","",IF(OR(C15="VOLADO",AL15=0),"—",IF(AND(AND(INDEX(TABLAS!$G$52:$G$58,MATCH(MAX(BR15,CL15),TABLAS!$B$52:$B$58,0))&lt;=(DATOS!$C$72-DATOS!$C$60),(DATOS!$C$72-DATOS!$C$60)&gt;=15),8*INDEX(TABLAS!$C$52:$C$58,MATCH(MAX(BH15,CB15,BR15,CL15),TABLAS!$B$52:$B$58,0))&lt;=DATOS!$C$73-2*DATOS!$C$60),"CUMPLE (gancho de 180°)",IF(AND(INDEX(TABLAS!$G$52:$G$58,MATCH(MAX(BR15,CL15),TABLAS!$B$52:$B$58,0))&lt;=(DATOS!$C$72-DATOS!$C$60),(DATOS!$C$72-DATOS!$C$60)&gt;=15),"NO CUMPLE: el gancho de 180° (8·d_b) no cabe en el peralte de la dala de borde","NO CUMPLE: dala de borde ≥ "&amp;TEXT(CEILING(MAX(INDEX(TABLAS!$G$52:$G$58,MATCH(MAX(BR15,CL15),TABLAS!$B$52:$B$58,0)),15)+DATOS!$C$60,5),"0")&amp;" cm de ancho"&amp;IF(8*INDEX(TABLAS!$C$52:$C$58,MATCH(MAX(BH15,CB15,BR15,CL15),TABLAS!$B$52:$B$58,0))&lt;=DATOS!$C$73-2*DATOS!$C$60,""," y más peralte para el gancho")))))</f>
        <v/>
      </c>
      <c r="DE15" s="69" t="str">
        <f>IF(V15&lt;&gt;"SÍ","",IF(BI15=0,"NO ALCANZA","No. "&amp;BH15&amp;" @ "&amp;BI15&amp;" cm"&amp;IF(C15="VOLADO"," (temperatura)","")))</f>
        <v/>
      </c>
      <c r="DF15" s="69" t="str">
        <f>IF(V15&lt;&gt;"SÍ","",IF(BS15=0,"NO ALCANZA",IF(C15="VOLADO","No. "&amp;BR15&amp;" @ "&amp;BS15&amp;" cm"&amp;" de la orilla al respaldo ("&amp;IF(CZ15&gt;=100*IF(ISNUMBER(Q15),Q15,Z15),"hasta su apoyo lejano, con gancho","entran "&amp;TEXT(CZ15/100,"0.00")&amp;" m desde el paño")&amp;")","Bastones "&amp;"No. "&amp;BR15&amp;" @ "&amp;BS15&amp;" cm"&amp;", L = "&amp;TEXT(CZ15/100,"0.00")&amp;" m desde el paño")))</f>
        <v/>
      </c>
      <c r="DG15" s="69" t="str">
        <f>IF(V15&lt;&gt;"SÍ","",IF(CC15=0,"NO ALCANZA","No. "&amp;CB15&amp;" @ "&amp;CC15&amp;" cm"&amp;IF(C15="VOLADO"," (repartición)","")))</f>
        <v/>
      </c>
      <c r="DH15" s="69" t="str">
        <f>IF(V15&lt;&gt;"SÍ","",IF(CM15=0,"NO ALCANZA",IF(C15="VOLADO","No. "&amp;CL15&amp;" @ "&amp;CM15&amp;" cm"&amp;" (repartición)","Bastones "&amp;"No. "&amp;CL15&amp;" @ "&amp;CM15&amp;" cm"&amp;", L = "&amp;TEXT(DA15/100,"0.00")&amp;" m desde el paño")))</f>
        <v/>
      </c>
      <c r="DI15" s="67" t="str">
        <f>IF(B15="","",IF(V15&lt;&gt;"SÍ","FALTAN DATOS: tipo, a_x, a_y y destino",IF(L15="NO MONOLÍTICO (caso II)","FUERA DE ALCANCE: caso II no transcrito",IF(AND(C15="VOLADO",X15="?"),"REVISAR: el volado lleva UN solo borde CONTINUO (el empotrado)",IF(AND(MAX(BM15,BW15,CG15,CQ15)&lt;=1,NOT(OR(BI15&lt;DATOS!$C$140,BS15&lt;DATOS!$C$140,CC15&lt;DATOS!$C$140,CM15&lt;DATOS!$C$140)),NOT(OR(AND(ISNUMBER(BN15),BN15&lt;0.005),AND(ISNUMBER(BX15),BX15&lt;0.005),AND(ISNUMBER(CH15),CH15&lt;0.005),AND(ISNUMBER(CR15),CR15&lt;0.005))),CV15="CUMPLE",CY15="CUMPLE"),"CUMPLE"&amp;IF(LEFT(BB15,5)="FUERA"," · fuera de 3.4.2.1 c)","")&amp;IF(LEFT(DD15,2)="NO"," · REVISAR anclaje en borde discontinuo",""),IF(AND(MAX(BM15,BW15,CG15,CQ15)&lt;=1,NOT(OR(BI15&lt;DATOS!$C$140,BS15&lt;DATOS!$C$140,CC15&lt;DATOS!$C$140,CM15&lt;DATOS!$C$140)),NOT(OR(AND(ISNUMBER(BN15),BN15&lt;0.005),AND(ISNUMBER(BX15),BX15&lt;0.005),AND(ISNUMBER(CH15),CH15&lt;0.005),AND(ISNUMBER(CR15),CR15&lt;0.005))),CV15="CUMPLE",CY15="CALCULAR FLECHA"),"REVISAR: calcular flecha (h &lt; h mín.)"&amp;IF(LEFT(BB15,5)="FUERA"," · fuera de 3.4.2.1 c)","")&amp;IF(LEFT(DD15,2)="NO"," · REVISAR anclaje en borde discontinuo",""),"NO CUMPLE: "&amp;IF(MAX(BM15,BW15,CG15,CQ15)&gt;1,"flexión ","")&amp;IF(OR(BI15&lt;DATOS!$C$140,BS15&lt;DATOS!$C$140,CC15&lt;DATOS!$C$140,CM15&lt;DATOS!$C$140),"separación &lt; mínima ","")&amp;IF(OR(AND(ISNUMBER(BN15),BN15&lt;0.005),AND(ISNUMBER(BX15),BX15&lt;0.005),AND(ISNUMBER(CH15),CH15&lt;0.005),AND(ISNUMBER(CR15),CR15&lt;0.005)),"ε_t &lt; 0.005 ","")&amp;IF(CV15&lt;&gt;"CUMPLE","cortante ","")&amp;IF(CY15="NO CUMPLE","peralte","")))))))</f>
        <v/>
      </c>
      <c r="DJ15" s="70" t="str">
        <f>IF(V15&lt;&gt;"SÍ","",IF(LEFT(B15,7)="EJEMPLO","EJEMPLO de tablero típico: bórralo o sobrescríbelo. ","")&amp;IF(C15="VOLADO","Volado de "&amp;TEXT(Z15,"0.00")&amp;" m empotrado en el borde "&amp;LOWER(X15)&amp;IF(N(P15)&gt;0,", con "&amp;TEXT(P15,"0.0")&amp;" kg/m en la orilla","")&amp;". Lecho inferior con r_ext. Si la orilla carga pretil u otro elemento frágil, calcula la flecha (13.4). El acero superior entra al respaldo de "&amp;TEXT(IF(ISNUMBER(Q15),Q15,Z15),"0.00")&amp;" m"&amp;IF(ISNUMBER(Q15),""," (L_b no capturado: se tomó igual al volado)")&amp;" hasta pasar M = 0 con 0.9·PP sin carga viva; si ahí no se anula, llega al apoyo lejano y se ancla con gancho. ","")&amp;IF(LEFT(BB15,5)="FUERA","El M⁻ del vecino difiere más de 50 % (3.4.2.1 c): distribuye el desequilibrio (3.4.3.1) o confirma con un modelo; se arma con el mayor. ","")&amp;IF(OR(DB15="SÍ",DC15="SÍ"),"Bastones también en los bordes discontinuos (M⁻ de tabla), con gancho. ","")&amp;IF(LEFT(DD15,2)="NO","Anclaje: "&amp;DD15&amp;" (6.7.7.4.1.1). ","")&amp;IF(OR(AT15&gt;0,AU15&gt;0),"Esquinas exteriores sobre muro: refuerzo de esquina arriba y abajo en L_largo/5 (6.7.7.3.1). ",""))</f>
        <v/>
      </c>
    </row>
    <row r="16" ht="33" customHeight="1">
      <c r="A16" s="50">
        <f>IF(B16="",0,1)+A15</f>
        <v>3</v>
      </c>
      <c r="B16" s="29" t="n"/>
      <c r="C16" s="51" t="n"/>
      <c r="D16" s="29" t="n"/>
      <c r="E16" s="52" t="n"/>
      <c r="F16" s="52" t="n"/>
      <c r="G16" s="51" t="n"/>
      <c r="H16" s="51" t="n"/>
      <c r="I16" s="51" t="n"/>
      <c r="J16" s="51" t="n"/>
      <c r="K16" s="51" t="n"/>
      <c r="L16" s="51" t="n"/>
      <c r="M16" s="54" t="n"/>
      <c r="N16" s="53" t="n"/>
      <c r="O16" s="53" t="n"/>
      <c r="P16" s="54" t="n"/>
      <c r="Q16" s="52" t="n"/>
      <c r="R16" s="54" t="n"/>
      <c r="S16" s="53" t="n"/>
      <c r="T16" s="52" t="n"/>
      <c r="U16" s="52" t="n"/>
      <c r="V16" s="55" t="str">
        <f>IF(B16="","",IF(AND(OR(C16="PERIMETRAL",C16="VOLADO"),ISNUMBER(E16),ISNUMBER(F16),E16&gt;0,F16&gt;0,OR(ISNUMBER(O16),ISNUMBER(MATCH(D16,DATOS!$B$46:$B$55,0)))),"SÍ","NO"))</f>
        <v/>
      </c>
      <c r="W16" s="57" t="str">
        <f>IF(V16&lt;&gt;"SÍ","",IF(ISNUMBER(M16),M16,DATOS!$C$134))</f>
        <v/>
      </c>
      <c r="X16" s="55" t="str">
        <f>IF(V16&lt;&gt;"SÍ","",IF(C16&lt;&gt;"VOLADO","—",IF(COUNTIF(G16:J16,"CONTINUO")&lt;&gt;1,"?",IF(G16="CONTINUO","INFERIOR",IF(H16="CONTINUO","SUPERIOR",IF(I16="CONTINUO","IZQUIERDO","DERECHO"))))))</f>
        <v/>
      </c>
      <c r="Y16" s="55" t="str">
        <f>IF(V16&lt;&gt;"SÍ","",IF(C16="VOLADO",IF(OR(X16="IZQUIERDO",X16="DERECHO"),"X","Y"),IF(E16&lt;=F16,"X","Y")))</f>
        <v/>
      </c>
      <c r="Z16" s="56" t="str">
        <f>IF(V16&lt;&gt;"SÍ","",IF(C16="VOLADO",IF(Y16="X",E16,F16),MIN(E16,F16)))</f>
        <v/>
      </c>
      <c r="AA16" s="56" t="str">
        <f>IF(V16&lt;&gt;"SÍ","",IF(C16="VOLADO",IF(Y16="X",F16,E16),MAX(E16,F16)))</f>
        <v/>
      </c>
      <c r="AB16" s="56" t="str">
        <f>IF(V16&lt;&gt;"SÍ","",MIN(Z16,AA16)/MAX(Z16,AA16))</f>
        <v/>
      </c>
      <c r="AC16" s="57" t="str">
        <f>IF(V16&lt;&gt;"SÍ","",MAX(1,Z16*100-IF(C16="VOLADO",DATOS!$C$84/2,DATOS!$C$84)))</f>
        <v/>
      </c>
      <c r="AD16" s="57" t="str">
        <f>IF(V16&lt;&gt;"SÍ","",MAX(1,AA16*100-DATOS!$C$84))</f>
        <v/>
      </c>
      <c r="AE16" s="57" t="str">
        <f>IF(V16&lt;&gt;"SÍ","",IF(C16="VOLADO",DATOS!$C$61,DATOS!$C$59))</f>
        <v/>
      </c>
      <c r="AF16" s="57" t="str">
        <f>IF(V16&lt;&gt;"SÍ","",IF(OR(AND(AG16="SÍ",DATOS!$C$63="SÍ"),AND(C16="VOLADO",DATOS!$C$64="SÍ")),DATOS!$C$61,DATOS!$C$59))</f>
        <v/>
      </c>
      <c r="AG16" s="55" t="str">
        <f>IF(V16&lt;&gt;"SÍ","",IFERROR(INDEX(DATOS!$D$46:$D$55,MATCH(D16,DATOS!$B$46:$B$55,0)),"NO"))</f>
        <v/>
      </c>
      <c r="AH16" s="59" t="str">
        <f>IF(V16&lt;&gt;"SÍ","",IF(ISNUMBER(O16),O16,IFERROR(INDEX(DATOS!$C$46:$C$55,MATCH(D16,DATOS!$B$46:$B$55,0)),0)))</f>
        <v/>
      </c>
      <c r="AI16" s="59" t="str">
        <f>IF(V16&lt;&gt;"SÍ","",W16/100*DATOS!$C$16*1000+DATOS!$C$37+DATOS!$C$38)</f>
        <v/>
      </c>
      <c r="AJ16" s="59" t="str">
        <f>IF(V16&lt;&gt;"SÍ","",AI16+N(N16))</f>
        <v/>
      </c>
      <c r="AK16" s="60" t="str">
        <f>IF(V16&lt;&gt;"SÍ","",MAX(DATOS!$C$26*AJ16+DATOS!$C$27*AH16,IF(AG16="SÍ",DATOS!$C$28*(AJ16+DATOS!$C$41),0)))</f>
        <v/>
      </c>
      <c r="AL16" s="59" t="str">
        <f>IF(V16&lt;&gt;"SÍ","",(G16="DISCONTINUO")+(H16="DISCONTINUO")+(I16="DISCONTINUO")+(J16="DISCONTINUO"))</f>
        <v/>
      </c>
      <c r="AM16" s="59" t="str">
        <f>IF(V16&lt;&gt;"SÍ","",IF(Y16="X",(G16="DISCONTINUO")+(H16="DISCONTINUO"),(I16="DISCONTINUO")+(J16="DISCONTINUO")))</f>
        <v/>
      </c>
      <c r="AN16" s="55" t="str">
        <f>IF(V16&lt;&gt;"SÍ","",IF(AL16=0,"INTERIOR",IF(AL16=1,IF(AM16=1,"BORDE-CORTO","BORDE-LARGO"),IF(AL16=2,IF(AM16=1,"ESQUINA",IF(AM16=2,"EXTREMO-LARGO","EXTREMO-CORTO")),IF(AL16=3,IF(AM16=2,"EXTREMO-LARGO","EXTREMO-CORTO"),"AISLADO")))))</f>
        <v/>
      </c>
      <c r="AO16" s="61" t="str">
        <f>IF(V16&lt;&gt;"SÍ","",IF(OR(K16="",K16="AUTO"),AN16,K16))</f>
        <v/>
      </c>
      <c r="AP16" s="59" t="str">
        <f>IF(V16&lt;&gt;"SÍ","",MATCH(AB16,TABLAS!$D$5:$J$5,1))</f>
        <v/>
      </c>
      <c r="AQ16" s="58" t="str">
        <f>IF(V16&lt;&gt;"SÍ","",IF(AP16&gt;=7,0,(AB16-INDEX(TABLAS!$D$5:$J$5,AP16))/(INDEX(TABLAS!$D$5:$J$5,AP16+1)-INDEX(TABLAS!$D$5:$J$5,AP16))))</f>
        <v/>
      </c>
      <c r="AR16" s="59" t="str">
        <f>IF(V16&lt;&gt;"SÍ","",INDEX(TABLAS!$D$6:$J$47,MATCH(AO16&amp;"|NIC",TABLAS!$B$6:$B$47,0),AP16)+AQ16*(INDEX(TABLAS!$D$6:$J$47,MATCH(AO16&amp;"|NIC",TABLAS!$B$6:$B$47,0),MIN(AP16+1,7))-INDEX(TABLAS!$D$6:$J$47,MATCH(AO16&amp;"|NIC",TABLAS!$B$6:$B$47,0),AP16)))</f>
        <v/>
      </c>
      <c r="AS16" s="59" t="str">
        <f>IF(V16&lt;&gt;"SÍ","",INDEX(TABLAS!$D$6:$J$47,MATCH(AO16&amp;"|NIL",TABLAS!$B$6:$B$47,0),AP16)+AQ16*(INDEX(TABLAS!$D$6:$J$47,MATCH(AO16&amp;"|NIL",TABLAS!$B$6:$B$47,0),MIN(AP16+1,7))-INDEX(TABLAS!$D$6:$J$47,MATCH(AO16&amp;"|NIL",TABLAS!$B$6:$B$47,0),AP16)))</f>
        <v/>
      </c>
      <c r="AT16" s="59" t="str">
        <f>IF(V16&lt;&gt;"SÍ","",INDEX(TABLAS!$D$6:$J$47,MATCH(AO16&amp;"|NDC",TABLAS!$B$6:$B$47,0),AP16)+AQ16*(INDEX(TABLAS!$D$6:$J$47,MATCH(AO16&amp;"|NDC",TABLAS!$B$6:$B$47,0),MIN(AP16+1,7))-INDEX(TABLAS!$D$6:$J$47,MATCH(AO16&amp;"|NDC",TABLAS!$B$6:$B$47,0),AP16)))</f>
        <v/>
      </c>
      <c r="AU16" s="59" t="str">
        <f>IF(V16&lt;&gt;"SÍ","",INDEX(TABLAS!$D$6:$J$47,MATCH(AO16&amp;"|NDL",TABLAS!$B$6:$B$47,0),AP16)+AQ16*(INDEX(TABLAS!$D$6:$J$47,MATCH(AO16&amp;"|NDL",TABLAS!$B$6:$B$47,0),MIN(AP16+1,7))-INDEX(TABLAS!$D$6:$J$47,MATCH(AO16&amp;"|NDL",TABLAS!$B$6:$B$47,0),AP16)))</f>
        <v/>
      </c>
      <c r="AV16" s="59" t="str">
        <f>IF(V16&lt;&gt;"SÍ","",INDEX(TABLAS!$D$6:$J$47,MATCH(AO16&amp;"|PC",TABLAS!$B$6:$B$47,0),AP16)+AQ16*(INDEX(TABLAS!$D$6:$J$47,MATCH(AO16&amp;"|PC",TABLAS!$B$6:$B$47,0),MIN(AP16+1,7))-INDEX(TABLAS!$D$6:$J$47,MATCH(AO16&amp;"|PC",TABLAS!$B$6:$B$47,0),AP16)))</f>
        <v/>
      </c>
      <c r="AW16" s="59" t="str">
        <f>IF(V16&lt;&gt;"SÍ","",INDEX(TABLAS!$D$6:$J$47,MATCH(AO16&amp;"|PL",TABLAS!$B$6:$B$47,0),AP16)+AQ16*(INDEX(TABLAS!$D$6:$J$47,MATCH(AO16&amp;"|PL",TABLAS!$B$6:$B$47,0),MIN(AP16+1,7))-INDEX(TABLAS!$D$6:$J$47,MATCH(AO16&amp;"|PL",TABLAS!$B$6:$B$47,0),AP16)))</f>
        <v/>
      </c>
      <c r="AX16" s="56" t="str">
        <f>IF(V16&lt;&gt;"SÍ","",IF(C16="PERIMETRAL",AV16*AK16*Z16^2*1E-4/1000,0))</f>
        <v/>
      </c>
      <c r="AY16" s="62" t="str">
        <f>IF(V16&lt;&gt;"SÍ","",IF(C16="PERIMETRAL",MAX(MAX(AR16,AT16)*AK16*Z16^2*1E-4/1000,N(T16)),(AK16*(AC16/100)^2/2+DATOS!$C$26*N(P16)*AC16/100)/1000))</f>
        <v/>
      </c>
      <c r="AZ16" s="56" t="str">
        <f>IF(V16&lt;&gt;"SÍ","",IF(C16="PERIMETRAL",AW16*AK16*Z16^2*1E-4/1000,0))</f>
        <v/>
      </c>
      <c r="BA16" s="56" t="str">
        <f>IF(V16&lt;&gt;"SÍ","",IF(C16="PERIMETRAL",MAX(MAX(AS16,AU16)*AK16*Z16^2*1E-4/1000,N(U16)),0))</f>
        <v/>
      </c>
      <c r="BB16" s="63" t="str">
        <f>IF(V16&lt;&gt;"SÍ","",IF(C16&lt;&gt;"PERIMETRAL","—",IF(AND(N(T16)=0,N(U16)=0),"— (sin M⁻ del vecino)",IF(OR(AND(N(T16)&gt;0,ABS(MAX(AR16,AT16)*AK16*Z16^2*1E-4/1000-N(T16))&gt;0.5*MIN(MAX(AR16,AT16)*AK16*Z16^2*1E-4/1000,N(T16))),AND(N(U16)&gt;0,ABS(MAX(AS16,AU16)*AK16*Z16^2*1E-4/1000-N(U16))&gt;0.5*MIN(MAX(AS16,AU16)*AK16*Z16^2*1E-4/1000,N(U16)))),"FUERA: difieren &gt; 50 %"&amp;IF(AND(N(T16)&gt;0,ABS(MAX(AR16,AT16)*AK16*Z16^2*1E-4/1000-N(T16))&gt;0.5*MIN(MAX(AR16,AT16)*AK16*Z16^2*1E-4/1000,N(T16)))," ‖ corto","")&amp;IF(AND(N(U16)&gt;0,ABS(MAX(AS16,AU16)*AK16*Z16^2*1E-4/1000-N(U16))&gt;0.5*MIN(MAX(AS16,AU16)*AK16*Z16^2*1E-4/1000,N(U16)))," ‖ largo",""),"CUMPLE"))))</f>
        <v/>
      </c>
      <c r="BC16" s="58" t="str">
        <f>IF(V16&lt;&gt;"SÍ","",DATOS!$C$136*100*W16)</f>
        <v/>
      </c>
      <c r="BD16" s="57" t="str">
        <f>IF(V16&lt;&gt;"SÍ","",MIN(IF(C16="VOLADO",DATOS!$C$138,DATOS!$C$137)*W16,DATOS!$C$139))</f>
        <v/>
      </c>
      <c r="BE16" s="58" t="str">
        <f>IF(V16&lt;&gt;"SÍ","",(W16-AE16-INDEX(TABLAS!$C$52:$C$58,MATCH(IF(ISNUMBER(S16),S16,DATOS!$C$135),TABLAS!$B$52:$B$58,0))/2))</f>
        <v/>
      </c>
      <c r="BF16" s="58" t="str">
        <f>IF(V16&lt;&gt;"SÍ","",IF(AX16&lt;=0,0,IF((1-2*AX16*1E5/(DATOS!$C$29*100*BE16^2*DATOS!$C$21))&lt;0,-1,IF((1-SQRT((1-2*AX16*1E5/(DATOS!$C$29*100*BE16^2*DATOS!$C$21))))*DATOS!$C$21*100*BE16/DATOS!$C$14&gt;DATOS!$C$99*100*BE16,-1,(1-SQRT((1-2*AX16*1E5/(DATOS!$C$29*100*BE16^2*DATOS!$C$21))))*DATOS!$C$21*100*BE16/DATOS!$C$14))))</f>
        <v/>
      </c>
      <c r="BG16" s="58" t="str">
        <f>IF(V16&lt;&gt;"SÍ","",IF(BF16&lt;0,-1,MAX(BF16,BC16)))</f>
        <v/>
      </c>
      <c r="BH16" s="64" t="str">
        <f>IF(V16&lt;&gt;"SÍ","",IF(AND(BG16&gt;0,FLOOR(MIN(BD16,100*INDEX(TABLAS!$D$52:$D$58,MIN(MATCH(IF(ISNUMBER(S16),S16,DATOS!$C$135),TABLAS!$B$52:$B$58,0)+0,7))/MAX(BG16,0.0001)),DATOS!$C$141)&gt;=DATOS!$C$140),INDEX(TABLAS!$B$52:$B$58,MIN(MATCH(IF(ISNUMBER(S16),S16,DATOS!$C$135),TABLAS!$B$52:$B$58,0)+0,7)),IF(AND(BG16&gt;0,FLOOR(MIN(BD16,100*INDEX(TABLAS!$D$52:$D$58,MIN(MATCH(IF(ISNUMBER(S16),S16,DATOS!$C$135),TABLAS!$B$52:$B$58,0)+1,7))/MAX(BG16,0.0001)),DATOS!$C$141)&gt;=DATOS!$C$140),INDEX(TABLAS!$B$52:$B$58,MIN(MATCH(IF(ISNUMBER(S16),S16,DATOS!$C$135),TABLAS!$B$52:$B$58,0)+1,7)),IF(AND(BG16&gt;0,FLOOR(MIN(BD16,100*INDEX(TABLAS!$D$52:$D$58,MIN(MATCH(IF(ISNUMBER(S16),S16,DATOS!$C$135),TABLAS!$B$52:$B$58,0)+2,7))/MAX(BG16,0.0001)),DATOS!$C$141)&gt;=DATOS!$C$140),INDEX(TABLAS!$B$52:$B$58,MIN(MATCH(IF(ISNUMBER(S16),S16,DATOS!$C$135),TABLAS!$B$52:$B$58,0)+2,7)),IF(AND(BG16&gt;0,FLOOR(MIN(BD16,100*INDEX(TABLAS!$D$52:$D$58,MIN(MATCH(IF(ISNUMBER(S16),S16,DATOS!$C$135),TABLAS!$B$52:$B$58,0)+3,7))/MAX(BG16,0.0001)),DATOS!$C$141)&gt;=DATOS!$C$140),INDEX(TABLAS!$B$52:$B$58,MIN(MATCH(IF(ISNUMBER(S16),S16,DATOS!$C$135),TABLAS!$B$52:$B$58,0)+3,7)),IF(AND(BG16&gt;0,FLOOR(MIN(BD16,100*INDEX(TABLAS!$D$52:$D$58,MIN(MATCH(IF(ISNUMBER(S16),S16,DATOS!$C$135),TABLAS!$B$52:$B$58,0)+4,7))/MAX(BG16,0.0001)),DATOS!$C$141)&gt;=DATOS!$C$140),INDEX(TABLAS!$B$52:$B$58,MIN(MATCH(IF(ISNUMBER(S16),S16,DATOS!$C$135),TABLAS!$B$52:$B$58,0)+4,7)),INDEX(TABLAS!$B$52:$B$58,7)))))))</f>
        <v/>
      </c>
      <c r="BI16" s="71" t="str">
        <f>IF(V16&lt;&gt;"SÍ","",IF(BG16&lt;=0,0,FLOOR(MIN(BD16,100*INDEX(TABLAS!$D$52:$D$58,MATCH(BH16,TABLAS!$B$52:$B$58,0))/BG16),DATOS!$C$141)))</f>
        <v/>
      </c>
      <c r="BJ16" s="58" t="str">
        <f>IF(V16&lt;&gt;"SÍ","",IF(BI16&lt;=0,0,INDEX(TABLAS!$D$52:$D$58,MATCH(BH16,TABLAS!$B$52:$B$58,0))*100/BI16))</f>
        <v/>
      </c>
      <c r="BK16" s="58" t="str">
        <f>IF(V16&lt;&gt;"SÍ","",W16-AE16-INDEX(TABLAS!$C$52:$C$58,MATCH(BH16,TABLAS!$B$52:$B$58,0))/2)</f>
        <v/>
      </c>
      <c r="BL16" s="56" t="str">
        <f>IF(V16&lt;&gt;"SÍ","",IF(BJ16=0,0,DATOS!$C$29*BJ16*DATOS!$C$14*(BK16-BJ16*DATOS!$C$14/(DATOS!$C$21*100)/2)/1E5))</f>
        <v/>
      </c>
      <c r="BM16" s="65" t="str">
        <f>IF(V16&lt;&gt;"SÍ","",IF(BG16&lt;0,9.99,IF(BL16&gt;0,AX16/BL16,0)))</f>
        <v/>
      </c>
      <c r="BN16" s="66" t="str">
        <f>IF(V16&lt;&gt;"SÍ","",IF(BJ16=0,"—",0.003*(BK16-(BJ16*DATOS!$C$14/(DATOS!$C$21*100)/DATOS!$C$22))/(BJ16*DATOS!$C$14/(DATOS!$C$21*100)/DATOS!$C$22)))</f>
        <v/>
      </c>
      <c r="BO16" s="58" t="str">
        <f>IF(V16&lt;&gt;"SÍ","",((W16-AF16-INDEX(TABLAS!$C$52:$C$58,MATCH(IF(ISNUMBER(S16),S16,DATOS!$C$135),TABLAS!$B$52:$B$58,0))/2)-IF(AND((W16-AF16-INDEX(TABLAS!$C$52:$C$58,MATCH(IF(ISNUMBER(S16),S16,DATOS!$C$135),TABLAS!$B$52:$B$58,0))/2)&lt;=20,DATOS!$C$62&lt;&gt;"SÍ"),2,0)))</f>
        <v/>
      </c>
      <c r="BP16" s="58" t="str">
        <f>IF(V16&lt;&gt;"SÍ","",IF(AY16&lt;=0,0,IF((1-2*AY16*1E5/(DATOS!$C$29*100*BO16^2*DATOS!$C$21))&lt;0,-1,IF((1-SQRT((1-2*AY16*1E5/(DATOS!$C$29*100*BO16^2*DATOS!$C$21))))*DATOS!$C$21*100*BO16/DATOS!$C$14&gt;DATOS!$C$99*100*BO16,-1,(1-SQRT((1-2*AY16*1E5/(DATOS!$C$29*100*BO16^2*DATOS!$C$21))))*DATOS!$C$21*100*BO16/DATOS!$C$14))))</f>
        <v/>
      </c>
      <c r="BQ16" s="58" t="str">
        <f>IF(V16&lt;&gt;"SÍ","",IF(BP16&lt;0,-1,MAX(BP16,BC16)))</f>
        <v/>
      </c>
      <c r="BR16" s="64" t="str">
        <f>IF(V16&lt;&gt;"SÍ","",IF(AND(BQ16&gt;0,FLOOR(MIN(BD16,100*INDEX(TABLAS!$D$52:$D$58,MIN(MATCH(IF(ISNUMBER(S16),S16,DATOS!$C$135),TABLAS!$B$52:$B$58,0)+0,7))/MAX(BQ16,0.0001)),DATOS!$C$141)&gt;=DATOS!$C$140),INDEX(TABLAS!$B$52:$B$58,MIN(MATCH(IF(ISNUMBER(S16),S16,DATOS!$C$135),TABLAS!$B$52:$B$58,0)+0,7)),IF(AND(BQ16&gt;0,FLOOR(MIN(BD16,100*INDEX(TABLAS!$D$52:$D$58,MIN(MATCH(IF(ISNUMBER(S16),S16,DATOS!$C$135),TABLAS!$B$52:$B$58,0)+1,7))/MAX(BQ16,0.0001)),DATOS!$C$141)&gt;=DATOS!$C$140),INDEX(TABLAS!$B$52:$B$58,MIN(MATCH(IF(ISNUMBER(S16),S16,DATOS!$C$135),TABLAS!$B$52:$B$58,0)+1,7)),IF(AND(BQ16&gt;0,FLOOR(MIN(BD16,100*INDEX(TABLAS!$D$52:$D$58,MIN(MATCH(IF(ISNUMBER(S16),S16,DATOS!$C$135),TABLAS!$B$52:$B$58,0)+2,7))/MAX(BQ16,0.0001)),DATOS!$C$141)&gt;=DATOS!$C$140),INDEX(TABLAS!$B$52:$B$58,MIN(MATCH(IF(ISNUMBER(S16),S16,DATOS!$C$135),TABLAS!$B$52:$B$58,0)+2,7)),IF(AND(BQ16&gt;0,FLOOR(MIN(BD16,100*INDEX(TABLAS!$D$52:$D$58,MIN(MATCH(IF(ISNUMBER(S16),S16,DATOS!$C$135),TABLAS!$B$52:$B$58,0)+3,7))/MAX(BQ16,0.0001)),DATOS!$C$141)&gt;=DATOS!$C$140),INDEX(TABLAS!$B$52:$B$58,MIN(MATCH(IF(ISNUMBER(S16),S16,DATOS!$C$135),TABLAS!$B$52:$B$58,0)+3,7)),IF(AND(BQ16&gt;0,FLOOR(MIN(BD16,100*INDEX(TABLAS!$D$52:$D$58,MIN(MATCH(IF(ISNUMBER(S16),S16,DATOS!$C$135),TABLAS!$B$52:$B$58,0)+4,7))/MAX(BQ16,0.0001)),DATOS!$C$141)&gt;=DATOS!$C$140),INDEX(TABLAS!$B$52:$B$58,MIN(MATCH(IF(ISNUMBER(S16),S16,DATOS!$C$135),TABLAS!$B$52:$B$58,0)+4,7)),INDEX(TABLAS!$B$52:$B$58,7)))))))</f>
        <v/>
      </c>
      <c r="BS16" s="71" t="str">
        <f>IF(V16&lt;&gt;"SÍ","",IF(BQ16&lt;=0,0,FLOOR(MIN(BD16,100*INDEX(TABLAS!$D$52:$D$58,MATCH(BR16,TABLAS!$B$52:$B$58,0))/BQ16),DATOS!$C$141)))</f>
        <v/>
      </c>
      <c r="BT16" s="58" t="str">
        <f>IF(V16&lt;&gt;"SÍ","",IF(BS16&lt;=0,0,INDEX(TABLAS!$D$52:$D$58,MATCH(BR16,TABLAS!$B$52:$B$58,0))*100/BS16))</f>
        <v/>
      </c>
      <c r="BU16" s="58" t="str">
        <f>IF(V16&lt;&gt;"SÍ","",((W16-AF16-INDEX(TABLAS!$C$52:$C$58,MATCH(BR16,TABLAS!$B$52:$B$58,0))/2)-IF(AND((W16-AF16-INDEX(TABLAS!$C$52:$C$58,MATCH(BR16,TABLAS!$B$52:$B$58,0))/2)&lt;=20,DATOS!$C$62&lt;&gt;"SÍ"),2,0)))</f>
        <v/>
      </c>
      <c r="BV16" s="56" t="str">
        <f>IF(V16&lt;&gt;"SÍ","",IF(BT16=0,0,DATOS!$C$29*BT16*DATOS!$C$14*(BU16-BT16*DATOS!$C$14/(DATOS!$C$21*100)/2)/1E5))</f>
        <v/>
      </c>
      <c r="BW16" s="65" t="str">
        <f>IF(V16&lt;&gt;"SÍ","",IF(BQ16&lt;0,9.99,IF(BV16&gt;0,AY16/BV16,0)))</f>
        <v/>
      </c>
      <c r="BX16" s="66" t="str">
        <f>IF(V16&lt;&gt;"SÍ","",IF(BT16=0,"—",0.003*(BU16-(BT16*DATOS!$C$14/(DATOS!$C$21*100)/DATOS!$C$22))/(BT16*DATOS!$C$14/(DATOS!$C$21*100)/DATOS!$C$22)))</f>
        <v/>
      </c>
      <c r="BY16" s="58" t="str">
        <f>IF(V16&lt;&gt;"SÍ","",(W16-AE16-1.5*INDEX(TABLAS!$C$52:$C$58,MATCH(IF(ISNUMBER(S16),S16,DATOS!$C$135),TABLAS!$B$52:$B$58,0))))</f>
        <v/>
      </c>
      <c r="BZ16" s="58" t="str">
        <f>IF(V16&lt;&gt;"SÍ","",IF(AZ16&lt;=0,0,IF((1-2*AZ16*1E5/(DATOS!$C$29*100*BY16^2*DATOS!$C$21))&lt;0,-1,IF((1-SQRT((1-2*AZ16*1E5/(DATOS!$C$29*100*BY16^2*DATOS!$C$21))))*DATOS!$C$21*100*BY16/DATOS!$C$14&gt;DATOS!$C$99*100*BY16,-1,(1-SQRT((1-2*AZ16*1E5/(DATOS!$C$29*100*BY16^2*DATOS!$C$21))))*DATOS!$C$21*100*BY16/DATOS!$C$14))))</f>
        <v/>
      </c>
      <c r="CA16" s="58" t="str">
        <f>IF(V16&lt;&gt;"SÍ","",IF(BZ16&lt;0,-1,MAX(BZ16,BC16)))</f>
        <v/>
      </c>
      <c r="CB16" s="64" t="str">
        <f>IF(V16&lt;&gt;"SÍ","",IF(AND(CA16&gt;0,FLOOR(MIN(BD16,100*INDEX(TABLAS!$D$52:$D$58,MIN(MATCH(IF(ISNUMBER(S16),S16,DATOS!$C$135),TABLAS!$B$52:$B$58,0)+0,7))/MAX(CA16,0.0001)),DATOS!$C$141)&gt;=DATOS!$C$140),INDEX(TABLAS!$B$52:$B$58,MIN(MATCH(IF(ISNUMBER(S16),S16,DATOS!$C$135),TABLAS!$B$52:$B$58,0)+0,7)),IF(AND(CA16&gt;0,FLOOR(MIN(BD16,100*INDEX(TABLAS!$D$52:$D$58,MIN(MATCH(IF(ISNUMBER(S16),S16,DATOS!$C$135),TABLAS!$B$52:$B$58,0)+1,7))/MAX(CA16,0.0001)),DATOS!$C$141)&gt;=DATOS!$C$140),INDEX(TABLAS!$B$52:$B$58,MIN(MATCH(IF(ISNUMBER(S16),S16,DATOS!$C$135),TABLAS!$B$52:$B$58,0)+1,7)),IF(AND(CA16&gt;0,FLOOR(MIN(BD16,100*INDEX(TABLAS!$D$52:$D$58,MIN(MATCH(IF(ISNUMBER(S16),S16,DATOS!$C$135),TABLAS!$B$52:$B$58,0)+2,7))/MAX(CA16,0.0001)),DATOS!$C$141)&gt;=DATOS!$C$140),INDEX(TABLAS!$B$52:$B$58,MIN(MATCH(IF(ISNUMBER(S16),S16,DATOS!$C$135),TABLAS!$B$52:$B$58,0)+2,7)),IF(AND(CA16&gt;0,FLOOR(MIN(BD16,100*INDEX(TABLAS!$D$52:$D$58,MIN(MATCH(IF(ISNUMBER(S16),S16,DATOS!$C$135),TABLAS!$B$52:$B$58,0)+3,7))/MAX(CA16,0.0001)),DATOS!$C$141)&gt;=DATOS!$C$140),INDEX(TABLAS!$B$52:$B$58,MIN(MATCH(IF(ISNUMBER(S16),S16,DATOS!$C$135),TABLAS!$B$52:$B$58,0)+3,7)),IF(AND(CA16&gt;0,FLOOR(MIN(BD16,100*INDEX(TABLAS!$D$52:$D$58,MIN(MATCH(IF(ISNUMBER(S16),S16,DATOS!$C$135),TABLAS!$B$52:$B$58,0)+4,7))/MAX(CA16,0.0001)),DATOS!$C$141)&gt;=DATOS!$C$140),INDEX(TABLAS!$B$52:$B$58,MIN(MATCH(IF(ISNUMBER(S16),S16,DATOS!$C$135),TABLAS!$B$52:$B$58,0)+4,7)),INDEX(TABLAS!$B$52:$B$58,7)))))))</f>
        <v/>
      </c>
      <c r="CC16" s="71" t="str">
        <f>IF(V16&lt;&gt;"SÍ","",IF(CA16&lt;=0,0,FLOOR(MIN(BD16,100*INDEX(TABLAS!$D$52:$D$58,MATCH(CB16,TABLAS!$B$52:$B$58,0))/CA16),DATOS!$C$141)))</f>
        <v/>
      </c>
      <c r="CD16" s="58" t="str">
        <f>IF(V16&lt;&gt;"SÍ","",IF(CC16&lt;=0,0,INDEX(TABLAS!$D$52:$D$58,MATCH(CB16,TABLAS!$B$52:$B$58,0))*100/CC16))</f>
        <v/>
      </c>
      <c r="CE16" s="58" t="str">
        <f>IF(V16&lt;&gt;"SÍ","",W16-AE16-INDEX(TABLAS!$C$52:$C$58,MATCH(BH16,TABLAS!$B$52:$B$58,0))-INDEX(TABLAS!$C$52:$C$58,MATCH(CB16,TABLAS!$B$52:$B$58,0))/2)</f>
        <v/>
      </c>
      <c r="CF16" s="56" t="str">
        <f>IF(V16&lt;&gt;"SÍ","",IF(CD16=0,0,DATOS!$C$29*CD16*DATOS!$C$14*(CE16-CD16*DATOS!$C$14/(DATOS!$C$21*100)/2)/1E5))</f>
        <v/>
      </c>
      <c r="CG16" s="65" t="str">
        <f>IF(V16&lt;&gt;"SÍ","",IF(CA16&lt;0,9.99,IF(CF16&gt;0,AZ16/CF16,0)))</f>
        <v/>
      </c>
      <c r="CH16" s="66" t="str">
        <f>IF(V16&lt;&gt;"SÍ","",IF(CD16=0,"—",0.003*(CE16-(CD16*DATOS!$C$14/(DATOS!$C$21*100)/DATOS!$C$22))/(CD16*DATOS!$C$14/(DATOS!$C$21*100)/DATOS!$C$22)))</f>
        <v/>
      </c>
      <c r="CI16" s="58" t="str">
        <f>IF(V16&lt;&gt;"SÍ","",((W16-AF16-1.5*INDEX(TABLAS!$C$52:$C$58,MATCH(IF(ISNUMBER(S16),S16,DATOS!$C$135),TABLAS!$B$52:$B$58,0)))-IF(AND((W16-AF16-1.5*INDEX(TABLAS!$C$52:$C$58,MATCH(IF(ISNUMBER(S16),S16,DATOS!$C$135),TABLAS!$B$52:$B$58,0)))&lt;=20,DATOS!$C$62&lt;&gt;"SÍ"),2,0)))</f>
        <v/>
      </c>
      <c r="CJ16" s="58" t="str">
        <f>IF(V16&lt;&gt;"SÍ","",IF(BA16&lt;=0,0,IF((1-2*BA16*1E5/(DATOS!$C$29*100*CI16^2*DATOS!$C$21))&lt;0,-1,IF((1-SQRT((1-2*BA16*1E5/(DATOS!$C$29*100*CI16^2*DATOS!$C$21))))*DATOS!$C$21*100*CI16/DATOS!$C$14&gt;DATOS!$C$99*100*CI16,-1,(1-SQRT((1-2*BA16*1E5/(DATOS!$C$29*100*CI16^2*DATOS!$C$21))))*DATOS!$C$21*100*CI16/DATOS!$C$14))))</f>
        <v/>
      </c>
      <c r="CK16" s="58" t="str">
        <f>IF(V16&lt;&gt;"SÍ","",IF(CJ16&lt;0,-1,MAX(CJ16,BC16)))</f>
        <v/>
      </c>
      <c r="CL16" s="64" t="str">
        <f>IF(V16&lt;&gt;"SÍ","",IF(AND(CK16&gt;0,FLOOR(MIN(BD16,100*INDEX(TABLAS!$D$52:$D$58,MIN(MATCH(IF(ISNUMBER(S16),S16,DATOS!$C$135),TABLAS!$B$52:$B$58,0)+0,7))/MAX(CK16,0.0001)),DATOS!$C$141)&gt;=DATOS!$C$140),INDEX(TABLAS!$B$52:$B$58,MIN(MATCH(IF(ISNUMBER(S16),S16,DATOS!$C$135),TABLAS!$B$52:$B$58,0)+0,7)),IF(AND(CK16&gt;0,FLOOR(MIN(BD16,100*INDEX(TABLAS!$D$52:$D$58,MIN(MATCH(IF(ISNUMBER(S16),S16,DATOS!$C$135),TABLAS!$B$52:$B$58,0)+1,7))/MAX(CK16,0.0001)),DATOS!$C$141)&gt;=DATOS!$C$140),INDEX(TABLAS!$B$52:$B$58,MIN(MATCH(IF(ISNUMBER(S16),S16,DATOS!$C$135),TABLAS!$B$52:$B$58,0)+1,7)),IF(AND(CK16&gt;0,FLOOR(MIN(BD16,100*INDEX(TABLAS!$D$52:$D$58,MIN(MATCH(IF(ISNUMBER(S16),S16,DATOS!$C$135),TABLAS!$B$52:$B$58,0)+2,7))/MAX(CK16,0.0001)),DATOS!$C$141)&gt;=DATOS!$C$140),INDEX(TABLAS!$B$52:$B$58,MIN(MATCH(IF(ISNUMBER(S16),S16,DATOS!$C$135),TABLAS!$B$52:$B$58,0)+2,7)),IF(AND(CK16&gt;0,FLOOR(MIN(BD16,100*INDEX(TABLAS!$D$52:$D$58,MIN(MATCH(IF(ISNUMBER(S16),S16,DATOS!$C$135),TABLAS!$B$52:$B$58,0)+3,7))/MAX(CK16,0.0001)),DATOS!$C$141)&gt;=DATOS!$C$140),INDEX(TABLAS!$B$52:$B$58,MIN(MATCH(IF(ISNUMBER(S16),S16,DATOS!$C$135),TABLAS!$B$52:$B$58,0)+3,7)),IF(AND(CK16&gt;0,FLOOR(MIN(BD16,100*INDEX(TABLAS!$D$52:$D$58,MIN(MATCH(IF(ISNUMBER(S16),S16,DATOS!$C$135),TABLAS!$B$52:$B$58,0)+4,7))/MAX(CK16,0.0001)),DATOS!$C$141)&gt;=DATOS!$C$140),INDEX(TABLAS!$B$52:$B$58,MIN(MATCH(IF(ISNUMBER(S16),S16,DATOS!$C$135),TABLAS!$B$52:$B$58,0)+4,7)),INDEX(TABLAS!$B$52:$B$58,7)))))))</f>
        <v/>
      </c>
      <c r="CM16" s="71" t="str">
        <f>IF(V16&lt;&gt;"SÍ","",IF(CK16&lt;=0,0,FLOOR(MIN(BD16,100*INDEX(TABLAS!$D$52:$D$58,MATCH(CL16,TABLAS!$B$52:$B$58,0))/CK16),DATOS!$C$141)))</f>
        <v/>
      </c>
      <c r="CN16" s="58" t="str">
        <f>IF(V16&lt;&gt;"SÍ","",IF(CM16&lt;=0,0,INDEX(TABLAS!$D$52:$D$58,MATCH(CL16,TABLAS!$B$52:$B$58,0))*100/CM16))</f>
        <v/>
      </c>
      <c r="CO16" s="58" t="str">
        <f>IF(V16&lt;&gt;"SÍ","",((W16-AF16-INDEX(TABLAS!$C$52:$C$58,MATCH(BR16,TABLAS!$B$52:$B$58,0))-INDEX(TABLAS!$C$52:$C$58,MATCH(CL16,TABLAS!$B$52:$B$58,0))/2)-IF(AND((W16-AF16-INDEX(TABLAS!$C$52:$C$58,MATCH(BR16,TABLAS!$B$52:$B$58,0))-INDEX(TABLAS!$C$52:$C$58,MATCH(CL16,TABLAS!$B$52:$B$58,0))/2)&lt;=20,DATOS!$C$62&lt;&gt;"SÍ"),2,0)))</f>
        <v/>
      </c>
      <c r="CP16" s="56" t="str">
        <f>IF(V16&lt;&gt;"SÍ","",IF(CN16=0,0,DATOS!$C$29*CN16*DATOS!$C$14*(CO16-CN16*DATOS!$C$14/(DATOS!$C$21*100)/2)/1E5))</f>
        <v/>
      </c>
      <c r="CQ16" s="65" t="str">
        <f>IF(V16&lt;&gt;"SÍ","",IF(CK16&lt;0,9.99,IF(CP16&gt;0,BA16/CP16,0)))</f>
        <v/>
      </c>
      <c r="CR16" s="66" t="str">
        <f>IF(V16&lt;&gt;"SÍ","",IF(CN16=0,"—",0.003*(CO16-(CN16*DATOS!$C$14/(DATOS!$C$21*100)/DATOS!$C$22))/(CN16*DATOS!$C$14/(DATOS!$C$21*100)/DATOS!$C$22)))</f>
        <v/>
      </c>
      <c r="CS16" s="56" t="str">
        <f>IF(V16&lt;&gt;"SÍ","",IF(C16="PERIMETRAL",MAX(0,(AC16/2-BU16)/100)*(0.95-0.5*AB16)*AK16*IF(AND(AL16&gt;0,AL16&lt;4),DATOS!$C$33,1)/1000,(AK16*MAX(0,AC16-BU16)/100+DATOS!$C$26*N(P16))/1000))</f>
        <v/>
      </c>
      <c r="CT16" s="66" t="str">
        <f>IF(V16&lt;&gt;"SÍ","",BT16/(100*BU16))</f>
        <v/>
      </c>
      <c r="CU16" s="56" t="str">
        <f>IF(V16&lt;&gt;"SÍ","",DATOS!$C$30*2*MIN(1,SQRT(2/(1+0.04*BU16)))*CT16^(1/3)*SQRT(DATOS!$C$13)*100*BU16/1000)</f>
        <v/>
      </c>
      <c r="CV16" s="67" t="str">
        <f>IF(V16&lt;&gt;"SÍ","",IF(CS16&lt;=CU16,"CUMPLE","NO CUMPLE: sube h"))</f>
        <v/>
      </c>
      <c r="CW16" s="58" t="str">
        <f>IF(V16&lt;&gt;"SÍ","",IF(C16="PERIMETRAL",IF(ISNUMBER(R16),R16,DATOS!$C$101),0))</f>
        <v/>
      </c>
      <c r="CX16" s="57" t="str">
        <f>IF(V16&lt;&gt;"SÍ","",IF(C16="PERIMETRAL",IF(CW16&gt;2,MAX(9,AD16*(0.8+DATOS!$C$14/14000)/(36+9*(AD16/MAX(AC16,1)))),IF(CW16&gt;0.2,MAX(13,AD16*(0.8+DATOS!$C$14/14000)/(36+5*(AD16/MAX(AC16,1))*(CW16-0.2))),MAX(13,AD16/IF(AL16&gt;0,30,33))))*IF(AND(CW16&gt;0.2,AL16&gt;0,DATOS!$C$102="NO"),1.1,1),Z16*100/DATOS!$C$142))</f>
        <v/>
      </c>
      <c r="CY16" s="61" t="str">
        <f>IF(V16&lt;&gt;"SÍ","",IF(W16&gt;=CX16-0.001,"CUMPLE",IF(C16="VOLADO","NO CUMPLE","CALCULAR FLECHA")))</f>
        <v/>
      </c>
      <c r="CZ16" s="60" t="str">
        <f>IF(V16&lt;&gt;"SÍ","",IF(C16="VOLADO",MIN(CEILING(IF(ISNUMBER(Q16),Q16,Z16)*100,5),CEILING(MAX(IF((0.5*(0.9*W16/100*DATOS!$C$16)*IF(ISNUMBER(Q16),Q16,Z16)+AY16/IF(ISNUMBER(Q16),Q16,Z16))^2-4*(0.5*(0.9*W16/100*DATOS!$C$16))*AY16&lt;0,IF(ISNUMBER(Q16),Q16,Z16),MIN(IF(ISNUMBER(Q16),Q16,Z16),((0.5*(0.9*W16/100*DATOS!$C$16)*IF(ISNUMBER(Q16),Q16,Z16)+AY16/IF(ISNUMBER(Q16),Q16,Z16))-SQRT((0.5*(0.9*W16/100*DATOS!$C$16)*IF(ISNUMBER(Q16),Q16,Z16)+AY16/IF(ISNUMBER(Q16),Q16,Z16))^2-4*(0.5*(0.9*W16/100*DATOS!$C$16))*AY16))/(2*(0.5*(0.9*W16/100*DATOS!$C$16)))))*100+MAX(BU16,12*INDEX(TABLAS!$C$52:$C$58,MATCH(BR16,TABLAS!$B$52:$B$58,0)),IF(ISNUMBER(Q16),Q16,Z16)*100/16),IF(OR(AF16&lt;INDEX(TABLAS!$C$52:$C$58,MATCH(BR16,TABLAS!$B$52:$B$58,0)),BS16-INDEX(TABLAS!$C$52:$C$58,MATCH(BR16,TABLAS!$B$52:$B$58,0))&lt;2*INDEX(TABLAS!$C$52:$C$58,MATCH(BR16,TABLAS!$B$52:$B$58,0))),INDEX(TABLAS!$I$52:$I$58,MATCH(BR16,TABLAS!$B$52:$B$58,0)),INDEX(TABLAS!$F$52:$F$58,MATCH(BR16,TABLAS!$B$52:$B$58,0)))),5)),IF(((4*((AV16*AK16*Z16^2*1E-4/1000)+((MAX(AR16,AT16)*AK16*Z16^2*1E-4/1000)+(IF(AND(AR16&gt;0,AT16&gt;0),MIN(AR16,AT16),MAX(AR16,AT16))*AK16*Z16^2*1E-4/1000))/2)+AY16-(IF(AND(AR16&gt;0,AT16&gt;0),MIN(AR16,AT16),MAX(AR16,AT16))*AK16*Z16^2*1E-4/1000))^2-16*((AV16*AK16*Z16^2*1E-4/1000)+((MAX(AR16,AT16)*AK16*Z16^2*1E-4/1000)+(IF(AND(AR16&gt;0,AT16&gt;0),MIN(AR16,AT16),MAX(AR16,AT16))*AK16*Z16^2*1E-4/1000))/2)*AY16)&lt;0,CEILING(AC16,5),CEILING(MAX(AC16*((4*((AV16*AK16*Z16^2*1E-4/1000)+((MAX(AR16,AT16)*AK16*Z16^2*1E-4/1000)+(IF(AND(AR16&gt;0,AT16&gt;0),MIN(AR16,AT16),MAX(AR16,AT16))*AK16*Z16^2*1E-4/1000))/2)+AY16-(IF(AND(AR16&gt;0,AT16&gt;0),MIN(AR16,AT16),MAX(AR16,AT16))*AK16*Z16^2*1E-4/1000))-SQRT(MAX(0,((4*((AV16*AK16*Z16^2*1E-4/1000)+((MAX(AR16,AT16)*AK16*Z16^2*1E-4/1000)+(IF(AND(AR16&gt;0,AT16&gt;0),MIN(AR16,AT16),MAX(AR16,AT16))*AK16*Z16^2*1E-4/1000))/2)+AY16-(IF(AND(AR16&gt;0,AT16&gt;0),MIN(AR16,AT16),MAX(AR16,AT16))*AK16*Z16^2*1E-4/1000))^2-16*((AV16*AK16*Z16^2*1E-4/1000)+((MAX(AR16,AT16)*AK16*Z16^2*1E-4/1000)+(IF(AND(AR16&gt;0,AT16&gt;0),MIN(AR16,AT16),MAX(AR16,AT16))*AK16*Z16^2*1E-4/1000))/2)*AY16))))/(8*MAX(((AV16*AK16*Z16^2*1E-4/1000)+((MAX(AR16,AT16)*AK16*Z16^2*1E-4/1000)+(IF(AND(AR16&gt;0,AT16&gt;0),MIN(AR16,AT16),MAX(AR16,AT16))*AK16*Z16^2*1E-4/1000))/2),1E-9))+MAX(BU16,12*INDEX(TABLAS!$C$52:$C$58,MATCH(BR16,TABLAS!$B$52:$B$58,0)),AC16/16),IF(OR(AF16&lt;INDEX(TABLAS!$C$52:$C$58,MATCH(BR16,TABLAS!$B$52:$B$58,0)),BS16-INDEX(TABLAS!$C$52:$C$58,MATCH(BR16,TABLAS!$B$52:$B$58,0))&lt;2*INDEX(TABLAS!$C$52:$C$58,MATCH(BR16,TABLAS!$B$52:$B$58,0))),INDEX(TABLAS!$I$52:$I$58,MATCH(BR16,TABLAS!$B$52:$B$58,0)),INDEX(TABLAS!$F$52:$F$58,MATCH(BR16,TABLAS!$B$52:$B$58,0)))),5))))</f>
        <v/>
      </c>
      <c r="DA16" s="60" t="str">
        <f>IF(V16&lt;&gt;"SÍ","",IF(C16="VOLADO",0,IF(((4*((AW16*AK16*Z16^2*1E-4/1000)+((MAX(AS16,AU16)*AK16*Z16^2*1E-4/1000)+(IF(AND(AS16&gt;0,AU16&gt;0),MIN(AS16,AU16),MAX(AS16,AU16))*AK16*Z16^2*1E-4/1000))/2)+BA16-(IF(AND(AS16&gt;0,AU16&gt;0),MIN(AS16,AU16),MAX(AS16,AU16))*AK16*Z16^2*1E-4/1000))^2-16*((AW16*AK16*Z16^2*1E-4/1000)+((MAX(AS16,AU16)*AK16*Z16^2*1E-4/1000)+(IF(AND(AS16&gt;0,AU16&gt;0),MIN(AS16,AU16),MAX(AS16,AU16))*AK16*Z16^2*1E-4/1000))/2)*BA16)&lt;0,CEILING(AD16,5),CEILING(MAX(AD16*((4*((AW16*AK16*Z16^2*1E-4/1000)+((MAX(AS16,AU16)*AK16*Z16^2*1E-4/1000)+(IF(AND(AS16&gt;0,AU16&gt;0),MIN(AS16,AU16),MAX(AS16,AU16))*AK16*Z16^2*1E-4/1000))/2)+BA16-(IF(AND(AS16&gt;0,AU16&gt;0),MIN(AS16,AU16),MAX(AS16,AU16))*AK16*Z16^2*1E-4/1000))-SQRT(MAX(0,((4*((AW16*AK16*Z16^2*1E-4/1000)+((MAX(AS16,AU16)*AK16*Z16^2*1E-4/1000)+(IF(AND(AS16&gt;0,AU16&gt;0),MIN(AS16,AU16),MAX(AS16,AU16))*AK16*Z16^2*1E-4/1000))/2)+BA16-(IF(AND(AS16&gt;0,AU16&gt;0),MIN(AS16,AU16),MAX(AS16,AU16))*AK16*Z16^2*1E-4/1000))^2-16*((AW16*AK16*Z16^2*1E-4/1000)+((MAX(AS16,AU16)*AK16*Z16^2*1E-4/1000)+(IF(AND(AS16&gt;0,AU16&gt;0),MIN(AS16,AU16),MAX(AS16,AU16))*AK16*Z16^2*1E-4/1000))/2)*BA16))))/(8*MAX(((AW16*AK16*Z16^2*1E-4/1000)+((MAX(AS16,AU16)*AK16*Z16^2*1E-4/1000)+(IF(AND(AS16&gt;0,AU16&gt;0),MIN(AS16,AU16),MAX(AS16,AU16))*AK16*Z16^2*1E-4/1000))/2),1E-9))+MAX(CO16,12*INDEX(TABLAS!$C$52:$C$58,MATCH(CL16,TABLAS!$B$52:$B$58,0)),AD16/16),IF(OR(AF16&lt;INDEX(TABLAS!$C$52:$C$58,MATCH(CL16,TABLAS!$B$52:$B$58,0)),CM16-INDEX(TABLAS!$C$52:$C$58,MATCH(CL16,TABLAS!$B$52:$B$58,0))&lt;2*INDEX(TABLAS!$C$52:$C$58,MATCH(CL16,TABLAS!$B$52:$B$58,0))),INDEX(TABLAS!$I$52:$I$58,MATCH(CL16,TABLAS!$B$52:$B$58,0)),INDEX(TABLAS!$F$52:$F$58,MATCH(CL16,TABLAS!$B$52:$B$58,0)))),5))))</f>
        <v/>
      </c>
      <c r="DB16" s="55" t="str">
        <f>IF(V16&lt;&gt;"SÍ","",IF(AND(C16="PERIMETRAL",AL16-AM16&gt;0,AT16&gt;0),"SÍ","NO"))</f>
        <v/>
      </c>
      <c r="DC16" s="55" t="str">
        <f>IF(V16&lt;&gt;"SÍ","",IF(AND(C16="PERIMETRAL",AM16&gt;0,AU16&gt;0),"SÍ","NO"))</f>
        <v/>
      </c>
      <c r="DD16" s="63" t="str">
        <f>IF(V16&lt;&gt;"SÍ","",IF(OR(C16="VOLADO",AL16=0),"—",IF(AND(AND(INDEX(TABLAS!$G$52:$G$58,MATCH(MAX(BR16,CL16),TABLAS!$B$52:$B$58,0))&lt;=(DATOS!$C$72-DATOS!$C$60),(DATOS!$C$72-DATOS!$C$60)&gt;=15),8*INDEX(TABLAS!$C$52:$C$58,MATCH(MAX(BH16,CB16,BR16,CL16),TABLAS!$B$52:$B$58,0))&lt;=DATOS!$C$73-2*DATOS!$C$60),"CUMPLE (gancho de 180°)",IF(AND(INDEX(TABLAS!$G$52:$G$58,MATCH(MAX(BR16,CL16),TABLAS!$B$52:$B$58,0))&lt;=(DATOS!$C$72-DATOS!$C$60),(DATOS!$C$72-DATOS!$C$60)&gt;=15),"NO CUMPLE: el gancho de 180° (8·d_b) no cabe en el peralte de la dala de borde","NO CUMPLE: dala de borde ≥ "&amp;TEXT(CEILING(MAX(INDEX(TABLAS!$G$52:$G$58,MATCH(MAX(BR16,CL16),TABLAS!$B$52:$B$58,0)),15)+DATOS!$C$60,5),"0")&amp;" cm de ancho"&amp;IF(8*INDEX(TABLAS!$C$52:$C$58,MATCH(MAX(BH16,CB16,BR16,CL16),TABLAS!$B$52:$B$58,0))&lt;=DATOS!$C$73-2*DATOS!$C$60,""," y más peralte para el gancho")))))</f>
        <v/>
      </c>
      <c r="DE16" s="69" t="str">
        <f>IF(V16&lt;&gt;"SÍ","",IF(BI16=0,"NO ALCANZA","No. "&amp;BH16&amp;" @ "&amp;BI16&amp;" cm"&amp;IF(C16="VOLADO"," (temperatura)","")))</f>
        <v/>
      </c>
      <c r="DF16" s="69" t="str">
        <f>IF(V16&lt;&gt;"SÍ","",IF(BS16=0,"NO ALCANZA",IF(C16="VOLADO","No. "&amp;BR16&amp;" @ "&amp;BS16&amp;" cm"&amp;" de la orilla al respaldo ("&amp;IF(CZ16&gt;=100*IF(ISNUMBER(Q16),Q16,Z16),"hasta su apoyo lejano, con gancho","entran "&amp;TEXT(CZ16/100,"0.00")&amp;" m desde el paño")&amp;")","Bastones "&amp;"No. "&amp;BR16&amp;" @ "&amp;BS16&amp;" cm"&amp;", L = "&amp;TEXT(CZ16/100,"0.00")&amp;" m desde el paño")))</f>
        <v/>
      </c>
      <c r="DG16" s="69" t="str">
        <f>IF(V16&lt;&gt;"SÍ","",IF(CC16=0,"NO ALCANZA","No. "&amp;CB16&amp;" @ "&amp;CC16&amp;" cm"&amp;IF(C16="VOLADO"," (repartición)","")))</f>
        <v/>
      </c>
      <c r="DH16" s="69" t="str">
        <f>IF(V16&lt;&gt;"SÍ","",IF(CM16=0,"NO ALCANZA",IF(C16="VOLADO","No. "&amp;CL16&amp;" @ "&amp;CM16&amp;" cm"&amp;" (repartición)","Bastones "&amp;"No. "&amp;CL16&amp;" @ "&amp;CM16&amp;" cm"&amp;", L = "&amp;TEXT(DA16/100,"0.00")&amp;" m desde el paño")))</f>
        <v/>
      </c>
      <c r="DI16" s="67" t="str">
        <f>IF(B16="","",IF(V16&lt;&gt;"SÍ","FALTAN DATOS: tipo, a_x, a_y y destino",IF(L16="NO MONOLÍTICO (caso II)","FUERA DE ALCANCE: caso II no transcrito",IF(AND(C16="VOLADO",X16="?"),"REVISAR: el volado lleva UN solo borde CONTINUO (el empotrado)",IF(AND(MAX(BM16,BW16,CG16,CQ16)&lt;=1,NOT(OR(BI16&lt;DATOS!$C$140,BS16&lt;DATOS!$C$140,CC16&lt;DATOS!$C$140,CM16&lt;DATOS!$C$140)),NOT(OR(AND(ISNUMBER(BN16),BN16&lt;0.005),AND(ISNUMBER(BX16),BX16&lt;0.005),AND(ISNUMBER(CH16),CH16&lt;0.005),AND(ISNUMBER(CR16),CR16&lt;0.005))),CV16="CUMPLE",CY16="CUMPLE"),"CUMPLE"&amp;IF(LEFT(BB16,5)="FUERA"," · fuera de 3.4.2.1 c)","")&amp;IF(LEFT(DD16,2)="NO"," · REVISAR anclaje en borde discontinuo",""),IF(AND(MAX(BM16,BW16,CG16,CQ16)&lt;=1,NOT(OR(BI16&lt;DATOS!$C$140,BS16&lt;DATOS!$C$140,CC16&lt;DATOS!$C$140,CM16&lt;DATOS!$C$140)),NOT(OR(AND(ISNUMBER(BN16),BN16&lt;0.005),AND(ISNUMBER(BX16),BX16&lt;0.005),AND(ISNUMBER(CH16),CH16&lt;0.005),AND(ISNUMBER(CR16),CR16&lt;0.005))),CV16="CUMPLE",CY16="CALCULAR FLECHA"),"REVISAR: calcular flecha (h &lt; h mín.)"&amp;IF(LEFT(BB16,5)="FUERA"," · fuera de 3.4.2.1 c)","")&amp;IF(LEFT(DD16,2)="NO"," · REVISAR anclaje en borde discontinuo",""),"NO CUMPLE: "&amp;IF(MAX(BM16,BW16,CG16,CQ16)&gt;1,"flexión ","")&amp;IF(OR(BI16&lt;DATOS!$C$140,BS16&lt;DATOS!$C$140,CC16&lt;DATOS!$C$140,CM16&lt;DATOS!$C$140),"separación &lt; mínima ","")&amp;IF(OR(AND(ISNUMBER(BN16),BN16&lt;0.005),AND(ISNUMBER(BX16),BX16&lt;0.005),AND(ISNUMBER(CH16),CH16&lt;0.005),AND(ISNUMBER(CR16),CR16&lt;0.005)),"ε_t &lt; 0.005 ","")&amp;IF(CV16&lt;&gt;"CUMPLE","cortante ","")&amp;IF(CY16="NO CUMPLE","peralte","")))))))</f>
        <v/>
      </c>
      <c r="DJ16" s="70" t="str">
        <f>IF(V16&lt;&gt;"SÍ","",IF(LEFT(B16,7)="EJEMPLO","EJEMPLO de tablero típico: bórralo o sobrescríbelo. ","")&amp;IF(C16="VOLADO","Volado de "&amp;TEXT(Z16,"0.00")&amp;" m empotrado en el borde "&amp;LOWER(X16)&amp;IF(N(P16)&gt;0,", con "&amp;TEXT(P16,"0.0")&amp;" kg/m en la orilla","")&amp;". Lecho inferior con r_ext. Si la orilla carga pretil u otro elemento frágil, calcula la flecha (13.4). El acero superior entra al respaldo de "&amp;TEXT(IF(ISNUMBER(Q16),Q16,Z16),"0.00")&amp;" m"&amp;IF(ISNUMBER(Q16),""," (L_b no capturado: se tomó igual al volado)")&amp;" hasta pasar M = 0 con 0.9·PP sin carga viva; si ahí no se anula, llega al apoyo lejano y se ancla con gancho. ","")&amp;IF(LEFT(BB16,5)="FUERA","El M⁻ del vecino difiere más de 50 % (3.4.2.1 c): distribuye el desequilibrio (3.4.3.1) o confirma con un modelo; se arma con el mayor. ","")&amp;IF(OR(DB16="SÍ",DC16="SÍ"),"Bastones también en los bordes discontinuos (M⁻ de tabla), con gancho. ","")&amp;IF(LEFT(DD16,2)="NO","Anclaje: "&amp;DD16&amp;" (6.7.7.4.1.1). ","")&amp;IF(OR(AT16&gt;0,AU16&gt;0),"Esquinas exteriores sobre muro: refuerzo de esquina arriba y abajo en L_largo/5 (6.7.7.3.1). ",""))</f>
        <v/>
      </c>
    </row>
    <row r="17" ht="33" customHeight="1">
      <c r="A17" s="50">
        <f>IF(B17="",0,1)+A16</f>
        <v>3</v>
      </c>
      <c r="B17" s="29" t="n"/>
      <c r="C17" s="51" t="n"/>
      <c r="D17" s="29" t="n"/>
      <c r="E17" s="52" t="n"/>
      <c r="F17" s="52" t="n"/>
      <c r="G17" s="51" t="n"/>
      <c r="H17" s="51" t="n"/>
      <c r="I17" s="51" t="n"/>
      <c r="J17" s="51" t="n"/>
      <c r="K17" s="51" t="n"/>
      <c r="L17" s="51" t="n"/>
      <c r="M17" s="54" t="n"/>
      <c r="N17" s="53" t="n"/>
      <c r="O17" s="53" t="n"/>
      <c r="P17" s="54" t="n"/>
      <c r="Q17" s="52" t="n"/>
      <c r="R17" s="54" t="n"/>
      <c r="S17" s="53" t="n"/>
      <c r="T17" s="52" t="n"/>
      <c r="U17" s="52" t="n"/>
      <c r="V17" s="55" t="str">
        <f>IF(B17="","",IF(AND(OR(C17="PERIMETRAL",C17="VOLADO"),ISNUMBER(E17),ISNUMBER(F17),E17&gt;0,F17&gt;0,OR(ISNUMBER(O17),ISNUMBER(MATCH(D17,DATOS!$B$46:$B$55,0)))),"SÍ","NO"))</f>
        <v/>
      </c>
      <c r="W17" s="57" t="str">
        <f>IF(V17&lt;&gt;"SÍ","",IF(ISNUMBER(M17),M17,DATOS!$C$134))</f>
        <v/>
      </c>
      <c r="X17" s="55" t="str">
        <f>IF(V17&lt;&gt;"SÍ","",IF(C17&lt;&gt;"VOLADO","—",IF(COUNTIF(G17:J17,"CONTINUO")&lt;&gt;1,"?",IF(G17="CONTINUO","INFERIOR",IF(H17="CONTINUO","SUPERIOR",IF(I17="CONTINUO","IZQUIERDO","DERECHO"))))))</f>
        <v/>
      </c>
      <c r="Y17" s="55" t="str">
        <f>IF(V17&lt;&gt;"SÍ","",IF(C17="VOLADO",IF(OR(X17="IZQUIERDO",X17="DERECHO"),"X","Y"),IF(E17&lt;=F17,"X","Y")))</f>
        <v/>
      </c>
      <c r="Z17" s="56" t="str">
        <f>IF(V17&lt;&gt;"SÍ","",IF(C17="VOLADO",IF(Y17="X",E17,F17),MIN(E17,F17)))</f>
        <v/>
      </c>
      <c r="AA17" s="56" t="str">
        <f>IF(V17&lt;&gt;"SÍ","",IF(C17="VOLADO",IF(Y17="X",F17,E17),MAX(E17,F17)))</f>
        <v/>
      </c>
      <c r="AB17" s="56" t="str">
        <f>IF(V17&lt;&gt;"SÍ","",MIN(Z17,AA17)/MAX(Z17,AA17))</f>
        <v/>
      </c>
      <c r="AC17" s="57" t="str">
        <f>IF(V17&lt;&gt;"SÍ","",MAX(1,Z17*100-IF(C17="VOLADO",DATOS!$C$84/2,DATOS!$C$84)))</f>
        <v/>
      </c>
      <c r="AD17" s="57" t="str">
        <f>IF(V17&lt;&gt;"SÍ","",MAX(1,AA17*100-DATOS!$C$84))</f>
        <v/>
      </c>
      <c r="AE17" s="57" t="str">
        <f>IF(V17&lt;&gt;"SÍ","",IF(C17="VOLADO",DATOS!$C$61,DATOS!$C$59))</f>
        <v/>
      </c>
      <c r="AF17" s="57" t="str">
        <f>IF(V17&lt;&gt;"SÍ","",IF(OR(AND(AG17="SÍ",DATOS!$C$63="SÍ"),AND(C17="VOLADO",DATOS!$C$64="SÍ")),DATOS!$C$61,DATOS!$C$59))</f>
        <v/>
      </c>
      <c r="AG17" s="55" t="str">
        <f>IF(V17&lt;&gt;"SÍ","",IFERROR(INDEX(DATOS!$D$46:$D$55,MATCH(D17,DATOS!$B$46:$B$55,0)),"NO"))</f>
        <v/>
      </c>
      <c r="AH17" s="59" t="str">
        <f>IF(V17&lt;&gt;"SÍ","",IF(ISNUMBER(O17),O17,IFERROR(INDEX(DATOS!$C$46:$C$55,MATCH(D17,DATOS!$B$46:$B$55,0)),0)))</f>
        <v/>
      </c>
      <c r="AI17" s="59" t="str">
        <f>IF(V17&lt;&gt;"SÍ","",W17/100*DATOS!$C$16*1000+DATOS!$C$37+DATOS!$C$38)</f>
        <v/>
      </c>
      <c r="AJ17" s="59" t="str">
        <f>IF(V17&lt;&gt;"SÍ","",AI17+N(N17))</f>
        <v/>
      </c>
      <c r="AK17" s="60" t="str">
        <f>IF(V17&lt;&gt;"SÍ","",MAX(DATOS!$C$26*AJ17+DATOS!$C$27*AH17,IF(AG17="SÍ",DATOS!$C$28*(AJ17+DATOS!$C$41),0)))</f>
        <v/>
      </c>
      <c r="AL17" s="59" t="str">
        <f>IF(V17&lt;&gt;"SÍ","",(G17="DISCONTINUO")+(H17="DISCONTINUO")+(I17="DISCONTINUO")+(J17="DISCONTINUO"))</f>
        <v/>
      </c>
      <c r="AM17" s="59" t="str">
        <f>IF(V17&lt;&gt;"SÍ","",IF(Y17="X",(G17="DISCONTINUO")+(H17="DISCONTINUO"),(I17="DISCONTINUO")+(J17="DISCONTINUO")))</f>
        <v/>
      </c>
      <c r="AN17" s="55" t="str">
        <f>IF(V17&lt;&gt;"SÍ","",IF(AL17=0,"INTERIOR",IF(AL17=1,IF(AM17=1,"BORDE-CORTO","BORDE-LARGO"),IF(AL17=2,IF(AM17=1,"ESQUINA",IF(AM17=2,"EXTREMO-LARGO","EXTREMO-CORTO")),IF(AL17=3,IF(AM17=2,"EXTREMO-LARGO","EXTREMO-CORTO"),"AISLADO")))))</f>
        <v/>
      </c>
      <c r="AO17" s="61" t="str">
        <f>IF(V17&lt;&gt;"SÍ","",IF(OR(K17="",K17="AUTO"),AN17,K17))</f>
        <v/>
      </c>
      <c r="AP17" s="59" t="str">
        <f>IF(V17&lt;&gt;"SÍ","",MATCH(AB17,TABLAS!$D$5:$J$5,1))</f>
        <v/>
      </c>
      <c r="AQ17" s="58" t="str">
        <f>IF(V17&lt;&gt;"SÍ","",IF(AP17&gt;=7,0,(AB17-INDEX(TABLAS!$D$5:$J$5,AP17))/(INDEX(TABLAS!$D$5:$J$5,AP17+1)-INDEX(TABLAS!$D$5:$J$5,AP17))))</f>
        <v/>
      </c>
      <c r="AR17" s="59" t="str">
        <f>IF(V17&lt;&gt;"SÍ","",INDEX(TABLAS!$D$6:$J$47,MATCH(AO17&amp;"|NIC",TABLAS!$B$6:$B$47,0),AP17)+AQ17*(INDEX(TABLAS!$D$6:$J$47,MATCH(AO17&amp;"|NIC",TABLAS!$B$6:$B$47,0),MIN(AP17+1,7))-INDEX(TABLAS!$D$6:$J$47,MATCH(AO17&amp;"|NIC",TABLAS!$B$6:$B$47,0),AP17)))</f>
        <v/>
      </c>
      <c r="AS17" s="59" t="str">
        <f>IF(V17&lt;&gt;"SÍ","",INDEX(TABLAS!$D$6:$J$47,MATCH(AO17&amp;"|NIL",TABLAS!$B$6:$B$47,0),AP17)+AQ17*(INDEX(TABLAS!$D$6:$J$47,MATCH(AO17&amp;"|NIL",TABLAS!$B$6:$B$47,0),MIN(AP17+1,7))-INDEX(TABLAS!$D$6:$J$47,MATCH(AO17&amp;"|NIL",TABLAS!$B$6:$B$47,0),AP17)))</f>
        <v/>
      </c>
      <c r="AT17" s="59" t="str">
        <f>IF(V17&lt;&gt;"SÍ","",INDEX(TABLAS!$D$6:$J$47,MATCH(AO17&amp;"|NDC",TABLAS!$B$6:$B$47,0),AP17)+AQ17*(INDEX(TABLAS!$D$6:$J$47,MATCH(AO17&amp;"|NDC",TABLAS!$B$6:$B$47,0),MIN(AP17+1,7))-INDEX(TABLAS!$D$6:$J$47,MATCH(AO17&amp;"|NDC",TABLAS!$B$6:$B$47,0),AP17)))</f>
        <v/>
      </c>
      <c r="AU17" s="59" t="str">
        <f>IF(V17&lt;&gt;"SÍ","",INDEX(TABLAS!$D$6:$J$47,MATCH(AO17&amp;"|NDL",TABLAS!$B$6:$B$47,0),AP17)+AQ17*(INDEX(TABLAS!$D$6:$J$47,MATCH(AO17&amp;"|NDL",TABLAS!$B$6:$B$47,0),MIN(AP17+1,7))-INDEX(TABLAS!$D$6:$J$47,MATCH(AO17&amp;"|NDL",TABLAS!$B$6:$B$47,0),AP17)))</f>
        <v/>
      </c>
      <c r="AV17" s="59" t="str">
        <f>IF(V17&lt;&gt;"SÍ","",INDEX(TABLAS!$D$6:$J$47,MATCH(AO17&amp;"|PC",TABLAS!$B$6:$B$47,0),AP17)+AQ17*(INDEX(TABLAS!$D$6:$J$47,MATCH(AO17&amp;"|PC",TABLAS!$B$6:$B$47,0),MIN(AP17+1,7))-INDEX(TABLAS!$D$6:$J$47,MATCH(AO17&amp;"|PC",TABLAS!$B$6:$B$47,0),AP17)))</f>
        <v/>
      </c>
      <c r="AW17" s="59" t="str">
        <f>IF(V17&lt;&gt;"SÍ","",INDEX(TABLAS!$D$6:$J$47,MATCH(AO17&amp;"|PL",TABLAS!$B$6:$B$47,0),AP17)+AQ17*(INDEX(TABLAS!$D$6:$J$47,MATCH(AO17&amp;"|PL",TABLAS!$B$6:$B$47,0),MIN(AP17+1,7))-INDEX(TABLAS!$D$6:$J$47,MATCH(AO17&amp;"|PL",TABLAS!$B$6:$B$47,0),AP17)))</f>
        <v/>
      </c>
      <c r="AX17" s="56" t="str">
        <f>IF(V17&lt;&gt;"SÍ","",IF(C17="PERIMETRAL",AV17*AK17*Z17^2*1E-4/1000,0))</f>
        <v/>
      </c>
      <c r="AY17" s="62" t="str">
        <f>IF(V17&lt;&gt;"SÍ","",IF(C17="PERIMETRAL",MAX(MAX(AR17,AT17)*AK17*Z17^2*1E-4/1000,N(T17)),(AK17*(AC17/100)^2/2+DATOS!$C$26*N(P17)*AC17/100)/1000))</f>
        <v/>
      </c>
      <c r="AZ17" s="56" t="str">
        <f>IF(V17&lt;&gt;"SÍ","",IF(C17="PERIMETRAL",AW17*AK17*Z17^2*1E-4/1000,0))</f>
        <v/>
      </c>
      <c r="BA17" s="56" t="str">
        <f>IF(V17&lt;&gt;"SÍ","",IF(C17="PERIMETRAL",MAX(MAX(AS17,AU17)*AK17*Z17^2*1E-4/1000,N(U17)),0))</f>
        <v/>
      </c>
      <c r="BB17" s="63" t="str">
        <f>IF(V17&lt;&gt;"SÍ","",IF(C17&lt;&gt;"PERIMETRAL","—",IF(AND(N(T17)=0,N(U17)=0),"— (sin M⁻ del vecino)",IF(OR(AND(N(T17)&gt;0,ABS(MAX(AR17,AT17)*AK17*Z17^2*1E-4/1000-N(T17))&gt;0.5*MIN(MAX(AR17,AT17)*AK17*Z17^2*1E-4/1000,N(T17))),AND(N(U17)&gt;0,ABS(MAX(AS17,AU17)*AK17*Z17^2*1E-4/1000-N(U17))&gt;0.5*MIN(MAX(AS17,AU17)*AK17*Z17^2*1E-4/1000,N(U17)))),"FUERA: difieren &gt; 50 %"&amp;IF(AND(N(T17)&gt;0,ABS(MAX(AR17,AT17)*AK17*Z17^2*1E-4/1000-N(T17))&gt;0.5*MIN(MAX(AR17,AT17)*AK17*Z17^2*1E-4/1000,N(T17)))," ‖ corto","")&amp;IF(AND(N(U17)&gt;0,ABS(MAX(AS17,AU17)*AK17*Z17^2*1E-4/1000-N(U17))&gt;0.5*MIN(MAX(AS17,AU17)*AK17*Z17^2*1E-4/1000,N(U17)))," ‖ largo",""),"CUMPLE"))))</f>
        <v/>
      </c>
      <c r="BC17" s="58" t="str">
        <f>IF(V17&lt;&gt;"SÍ","",DATOS!$C$136*100*W17)</f>
        <v/>
      </c>
      <c r="BD17" s="57" t="str">
        <f>IF(V17&lt;&gt;"SÍ","",MIN(IF(C17="VOLADO",DATOS!$C$138,DATOS!$C$137)*W17,DATOS!$C$139))</f>
        <v/>
      </c>
      <c r="BE17" s="58" t="str">
        <f>IF(V17&lt;&gt;"SÍ","",(W17-AE17-INDEX(TABLAS!$C$52:$C$58,MATCH(IF(ISNUMBER(S17),S17,DATOS!$C$135),TABLAS!$B$52:$B$58,0))/2))</f>
        <v/>
      </c>
      <c r="BF17" s="58" t="str">
        <f>IF(V17&lt;&gt;"SÍ","",IF(AX17&lt;=0,0,IF((1-2*AX17*1E5/(DATOS!$C$29*100*BE17^2*DATOS!$C$21))&lt;0,-1,IF((1-SQRT((1-2*AX17*1E5/(DATOS!$C$29*100*BE17^2*DATOS!$C$21))))*DATOS!$C$21*100*BE17/DATOS!$C$14&gt;DATOS!$C$99*100*BE17,-1,(1-SQRT((1-2*AX17*1E5/(DATOS!$C$29*100*BE17^2*DATOS!$C$21))))*DATOS!$C$21*100*BE17/DATOS!$C$14))))</f>
        <v/>
      </c>
      <c r="BG17" s="58" t="str">
        <f>IF(V17&lt;&gt;"SÍ","",IF(BF17&lt;0,-1,MAX(BF17,BC17)))</f>
        <v/>
      </c>
      <c r="BH17" s="64" t="str">
        <f>IF(V17&lt;&gt;"SÍ","",IF(AND(BG17&gt;0,FLOOR(MIN(BD17,100*INDEX(TABLAS!$D$52:$D$58,MIN(MATCH(IF(ISNUMBER(S17),S17,DATOS!$C$135),TABLAS!$B$52:$B$58,0)+0,7))/MAX(BG17,0.0001)),DATOS!$C$141)&gt;=DATOS!$C$140),INDEX(TABLAS!$B$52:$B$58,MIN(MATCH(IF(ISNUMBER(S17),S17,DATOS!$C$135),TABLAS!$B$52:$B$58,0)+0,7)),IF(AND(BG17&gt;0,FLOOR(MIN(BD17,100*INDEX(TABLAS!$D$52:$D$58,MIN(MATCH(IF(ISNUMBER(S17),S17,DATOS!$C$135),TABLAS!$B$52:$B$58,0)+1,7))/MAX(BG17,0.0001)),DATOS!$C$141)&gt;=DATOS!$C$140),INDEX(TABLAS!$B$52:$B$58,MIN(MATCH(IF(ISNUMBER(S17),S17,DATOS!$C$135),TABLAS!$B$52:$B$58,0)+1,7)),IF(AND(BG17&gt;0,FLOOR(MIN(BD17,100*INDEX(TABLAS!$D$52:$D$58,MIN(MATCH(IF(ISNUMBER(S17),S17,DATOS!$C$135),TABLAS!$B$52:$B$58,0)+2,7))/MAX(BG17,0.0001)),DATOS!$C$141)&gt;=DATOS!$C$140),INDEX(TABLAS!$B$52:$B$58,MIN(MATCH(IF(ISNUMBER(S17),S17,DATOS!$C$135),TABLAS!$B$52:$B$58,0)+2,7)),IF(AND(BG17&gt;0,FLOOR(MIN(BD17,100*INDEX(TABLAS!$D$52:$D$58,MIN(MATCH(IF(ISNUMBER(S17),S17,DATOS!$C$135),TABLAS!$B$52:$B$58,0)+3,7))/MAX(BG17,0.0001)),DATOS!$C$141)&gt;=DATOS!$C$140),INDEX(TABLAS!$B$52:$B$58,MIN(MATCH(IF(ISNUMBER(S17),S17,DATOS!$C$135),TABLAS!$B$52:$B$58,0)+3,7)),IF(AND(BG17&gt;0,FLOOR(MIN(BD17,100*INDEX(TABLAS!$D$52:$D$58,MIN(MATCH(IF(ISNUMBER(S17),S17,DATOS!$C$135),TABLAS!$B$52:$B$58,0)+4,7))/MAX(BG17,0.0001)),DATOS!$C$141)&gt;=DATOS!$C$140),INDEX(TABLAS!$B$52:$B$58,MIN(MATCH(IF(ISNUMBER(S17),S17,DATOS!$C$135),TABLAS!$B$52:$B$58,0)+4,7)),INDEX(TABLAS!$B$52:$B$58,7)))))))</f>
        <v/>
      </c>
      <c r="BI17" s="71" t="str">
        <f>IF(V17&lt;&gt;"SÍ","",IF(BG17&lt;=0,0,FLOOR(MIN(BD17,100*INDEX(TABLAS!$D$52:$D$58,MATCH(BH17,TABLAS!$B$52:$B$58,0))/BG17),DATOS!$C$141)))</f>
        <v/>
      </c>
      <c r="BJ17" s="58" t="str">
        <f>IF(V17&lt;&gt;"SÍ","",IF(BI17&lt;=0,0,INDEX(TABLAS!$D$52:$D$58,MATCH(BH17,TABLAS!$B$52:$B$58,0))*100/BI17))</f>
        <v/>
      </c>
      <c r="BK17" s="58" t="str">
        <f>IF(V17&lt;&gt;"SÍ","",W17-AE17-INDEX(TABLAS!$C$52:$C$58,MATCH(BH17,TABLAS!$B$52:$B$58,0))/2)</f>
        <v/>
      </c>
      <c r="BL17" s="56" t="str">
        <f>IF(V17&lt;&gt;"SÍ","",IF(BJ17=0,0,DATOS!$C$29*BJ17*DATOS!$C$14*(BK17-BJ17*DATOS!$C$14/(DATOS!$C$21*100)/2)/1E5))</f>
        <v/>
      </c>
      <c r="BM17" s="65" t="str">
        <f>IF(V17&lt;&gt;"SÍ","",IF(BG17&lt;0,9.99,IF(BL17&gt;0,AX17/BL17,0)))</f>
        <v/>
      </c>
      <c r="BN17" s="66" t="str">
        <f>IF(V17&lt;&gt;"SÍ","",IF(BJ17=0,"—",0.003*(BK17-(BJ17*DATOS!$C$14/(DATOS!$C$21*100)/DATOS!$C$22))/(BJ17*DATOS!$C$14/(DATOS!$C$21*100)/DATOS!$C$22)))</f>
        <v/>
      </c>
      <c r="BO17" s="58" t="str">
        <f>IF(V17&lt;&gt;"SÍ","",((W17-AF17-INDEX(TABLAS!$C$52:$C$58,MATCH(IF(ISNUMBER(S17),S17,DATOS!$C$135),TABLAS!$B$52:$B$58,0))/2)-IF(AND((W17-AF17-INDEX(TABLAS!$C$52:$C$58,MATCH(IF(ISNUMBER(S17),S17,DATOS!$C$135),TABLAS!$B$52:$B$58,0))/2)&lt;=20,DATOS!$C$62&lt;&gt;"SÍ"),2,0)))</f>
        <v/>
      </c>
      <c r="BP17" s="58" t="str">
        <f>IF(V17&lt;&gt;"SÍ","",IF(AY17&lt;=0,0,IF((1-2*AY17*1E5/(DATOS!$C$29*100*BO17^2*DATOS!$C$21))&lt;0,-1,IF((1-SQRT((1-2*AY17*1E5/(DATOS!$C$29*100*BO17^2*DATOS!$C$21))))*DATOS!$C$21*100*BO17/DATOS!$C$14&gt;DATOS!$C$99*100*BO17,-1,(1-SQRT((1-2*AY17*1E5/(DATOS!$C$29*100*BO17^2*DATOS!$C$21))))*DATOS!$C$21*100*BO17/DATOS!$C$14))))</f>
        <v/>
      </c>
      <c r="BQ17" s="58" t="str">
        <f>IF(V17&lt;&gt;"SÍ","",IF(BP17&lt;0,-1,MAX(BP17,BC17)))</f>
        <v/>
      </c>
      <c r="BR17" s="64" t="str">
        <f>IF(V17&lt;&gt;"SÍ","",IF(AND(BQ17&gt;0,FLOOR(MIN(BD17,100*INDEX(TABLAS!$D$52:$D$58,MIN(MATCH(IF(ISNUMBER(S17),S17,DATOS!$C$135),TABLAS!$B$52:$B$58,0)+0,7))/MAX(BQ17,0.0001)),DATOS!$C$141)&gt;=DATOS!$C$140),INDEX(TABLAS!$B$52:$B$58,MIN(MATCH(IF(ISNUMBER(S17),S17,DATOS!$C$135),TABLAS!$B$52:$B$58,0)+0,7)),IF(AND(BQ17&gt;0,FLOOR(MIN(BD17,100*INDEX(TABLAS!$D$52:$D$58,MIN(MATCH(IF(ISNUMBER(S17),S17,DATOS!$C$135),TABLAS!$B$52:$B$58,0)+1,7))/MAX(BQ17,0.0001)),DATOS!$C$141)&gt;=DATOS!$C$140),INDEX(TABLAS!$B$52:$B$58,MIN(MATCH(IF(ISNUMBER(S17),S17,DATOS!$C$135),TABLAS!$B$52:$B$58,0)+1,7)),IF(AND(BQ17&gt;0,FLOOR(MIN(BD17,100*INDEX(TABLAS!$D$52:$D$58,MIN(MATCH(IF(ISNUMBER(S17),S17,DATOS!$C$135),TABLAS!$B$52:$B$58,0)+2,7))/MAX(BQ17,0.0001)),DATOS!$C$141)&gt;=DATOS!$C$140),INDEX(TABLAS!$B$52:$B$58,MIN(MATCH(IF(ISNUMBER(S17),S17,DATOS!$C$135),TABLAS!$B$52:$B$58,0)+2,7)),IF(AND(BQ17&gt;0,FLOOR(MIN(BD17,100*INDEX(TABLAS!$D$52:$D$58,MIN(MATCH(IF(ISNUMBER(S17),S17,DATOS!$C$135),TABLAS!$B$52:$B$58,0)+3,7))/MAX(BQ17,0.0001)),DATOS!$C$141)&gt;=DATOS!$C$140),INDEX(TABLAS!$B$52:$B$58,MIN(MATCH(IF(ISNUMBER(S17),S17,DATOS!$C$135),TABLAS!$B$52:$B$58,0)+3,7)),IF(AND(BQ17&gt;0,FLOOR(MIN(BD17,100*INDEX(TABLAS!$D$52:$D$58,MIN(MATCH(IF(ISNUMBER(S17),S17,DATOS!$C$135),TABLAS!$B$52:$B$58,0)+4,7))/MAX(BQ17,0.0001)),DATOS!$C$141)&gt;=DATOS!$C$140),INDEX(TABLAS!$B$52:$B$58,MIN(MATCH(IF(ISNUMBER(S17),S17,DATOS!$C$135),TABLAS!$B$52:$B$58,0)+4,7)),INDEX(TABLAS!$B$52:$B$58,7)))))))</f>
        <v/>
      </c>
      <c r="BS17" s="71" t="str">
        <f>IF(V17&lt;&gt;"SÍ","",IF(BQ17&lt;=0,0,FLOOR(MIN(BD17,100*INDEX(TABLAS!$D$52:$D$58,MATCH(BR17,TABLAS!$B$52:$B$58,0))/BQ17),DATOS!$C$141)))</f>
        <v/>
      </c>
      <c r="BT17" s="58" t="str">
        <f>IF(V17&lt;&gt;"SÍ","",IF(BS17&lt;=0,0,INDEX(TABLAS!$D$52:$D$58,MATCH(BR17,TABLAS!$B$52:$B$58,0))*100/BS17))</f>
        <v/>
      </c>
      <c r="BU17" s="58" t="str">
        <f>IF(V17&lt;&gt;"SÍ","",((W17-AF17-INDEX(TABLAS!$C$52:$C$58,MATCH(BR17,TABLAS!$B$52:$B$58,0))/2)-IF(AND((W17-AF17-INDEX(TABLAS!$C$52:$C$58,MATCH(BR17,TABLAS!$B$52:$B$58,0))/2)&lt;=20,DATOS!$C$62&lt;&gt;"SÍ"),2,0)))</f>
        <v/>
      </c>
      <c r="BV17" s="56" t="str">
        <f>IF(V17&lt;&gt;"SÍ","",IF(BT17=0,0,DATOS!$C$29*BT17*DATOS!$C$14*(BU17-BT17*DATOS!$C$14/(DATOS!$C$21*100)/2)/1E5))</f>
        <v/>
      </c>
      <c r="BW17" s="65" t="str">
        <f>IF(V17&lt;&gt;"SÍ","",IF(BQ17&lt;0,9.99,IF(BV17&gt;0,AY17/BV17,0)))</f>
        <v/>
      </c>
      <c r="BX17" s="66" t="str">
        <f>IF(V17&lt;&gt;"SÍ","",IF(BT17=0,"—",0.003*(BU17-(BT17*DATOS!$C$14/(DATOS!$C$21*100)/DATOS!$C$22))/(BT17*DATOS!$C$14/(DATOS!$C$21*100)/DATOS!$C$22)))</f>
        <v/>
      </c>
      <c r="BY17" s="58" t="str">
        <f>IF(V17&lt;&gt;"SÍ","",(W17-AE17-1.5*INDEX(TABLAS!$C$52:$C$58,MATCH(IF(ISNUMBER(S17),S17,DATOS!$C$135),TABLAS!$B$52:$B$58,0))))</f>
        <v/>
      </c>
      <c r="BZ17" s="58" t="str">
        <f>IF(V17&lt;&gt;"SÍ","",IF(AZ17&lt;=0,0,IF((1-2*AZ17*1E5/(DATOS!$C$29*100*BY17^2*DATOS!$C$21))&lt;0,-1,IF((1-SQRT((1-2*AZ17*1E5/(DATOS!$C$29*100*BY17^2*DATOS!$C$21))))*DATOS!$C$21*100*BY17/DATOS!$C$14&gt;DATOS!$C$99*100*BY17,-1,(1-SQRT((1-2*AZ17*1E5/(DATOS!$C$29*100*BY17^2*DATOS!$C$21))))*DATOS!$C$21*100*BY17/DATOS!$C$14))))</f>
        <v/>
      </c>
      <c r="CA17" s="58" t="str">
        <f>IF(V17&lt;&gt;"SÍ","",IF(BZ17&lt;0,-1,MAX(BZ17,BC17)))</f>
        <v/>
      </c>
      <c r="CB17" s="64" t="str">
        <f>IF(V17&lt;&gt;"SÍ","",IF(AND(CA17&gt;0,FLOOR(MIN(BD17,100*INDEX(TABLAS!$D$52:$D$58,MIN(MATCH(IF(ISNUMBER(S17),S17,DATOS!$C$135),TABLAS!$B$52:$B$58,0)+0,7))/MAX(CA17,0.0001)),DATOS!$C$141)&gt;=DATOS!$C$140),INDEX(TABLAS!$B$52:$B$58,MIN(MATCH(IF(ISNUMBER(S17),S17,DATOS!$C$135),TABLAS!$B$52:$B$58,0)+0,7)),IF(AND(CA17&gt;0,FLOOR(MIN(BD17,100*INDEX(TABLAS!$D$52:$D$58,MIN(MATCH(IF(ISNUMBER(S17),S17,DATOS!$C$135),TABLAS!$B$52:$B$58,0)+1,7))/MAX(CA17,0.0001)),DATOS!$C$141)&gt;=DATOS!$C$140),INDEX(TABLAS!$B$52:$B$58,MIN(MATCH(IF(ISNUMBER(S17),S17,DATOS!$C$135),TABLAS!$B$52:$B$58,0)+1,7)),IF(AND(CA17&gt;0,FLOOR(MIN(BD17,100*INDEX(TABLAS!$D$52:$D$58,MIN(MATCH(IF(ISNUMBER(S17),S17,DATOS!$C$135),TABLAS!$B$52:$B$58,0)+2,7))/MAX(CA17,0.0001)),DATOS!$C$141)&gt;=DATOS!$C$140),INDEX(TABLAS!$B$52:$B$58,MIN(MATCH(IF(ISNUMBER(S17),S17,DATOS!$C$135),TABLAS!$B$52:$B$58,0)+2,7)),IF(AND(CA17&gt;0,FLOOR(MIN(BD17,100*INDEX(TABLAS!$D$52:$D$58,MIN(MATCH(IF(ISNUMBER(S17),S17,DATOS!$C$135),TABLAS!$B$52:$B$58,0)+3,7))/MAX(CA17,0.0001)),DATOS!$C$141)&gt;=DATOS!$C$140),INDEX(TABLAS!$B$52:$B$58,MIN(MATCH(IF(ISNUMBER(S17),S17,DATOS!$C$135),TABLAS!$B$52:$B$58,0)+3,7)),IF(AND(CA17&gt;0,FLOOR(MIN(BD17,100*INDEX(TABLAS!$D$52:$D$58,MIN(MATCH(IF(ISNUMBER(S17),S17,DATOS!$C$135),TABLAS!$B$52:$B$58,0)+4,7))/MAX(CA17,0.0001)),DATOS!$C$141)&gt;=DATOS!$C$140),INDEX(TABLAS!$B$52:$B$58,MIN(MATCH(IF(ISNUMBER(S17),S17,DATOS!$C$135),TABLAS!$B$52:$B$58,0)+4,7)),INDEX(TABLAS!$B$52:$B$58,7)))))))</f>
        <v/>
      </c>
      <c r="CC17" s="71" t="str">
        <f>IF(V17&lt;&gt;"SÍ","",IF(CA17&lt;=0,0,FLOOR(MIN(BD17,100*INDEX(TABLAS!$D$52:$D$58,MATCH(CB17,TABLAS!$B$52:$B$58,0))/CA17),DATOS!$C$141)))</f>
        <v/>
      </c>
      <c r="CD17" s="58" t="str">
        <f>IF(V17&lt;&gt;"SÍ","",IF(CC17&lt;=0,0,INDEX(TABLAS!$D$52:$D$58,MATCH(CB17,TABLAS!$B$52:$B$58,0))*100/CC17))</f>
        <v/>
      </c>
      <c r="CE17" s="58" t="str">
        <f>IF(V17&lt;&gt;"SÍ","",W17-AE17-INDEX(TABLAS!$C$52:$C$58,MATCH(BH17,TABLAS!$B$52:$B$58,0))-INDEX(TABLAS!$C$52:$C$58,MATCH(CB17,TABLAS!$B$52:$B$58,0))/2)</f>
        <v/>
      </c>
      <c r="CF17" s="56" t="str">
        <f>IF(V17&lt;&gt;"SÍ","",IF(CD17=0,0,DATOS!$C$29*CD17*DATOS!$C$14*(CE17-CD17*DATOS!$C$14/(DATOS!$C$21*100)/2)/1E5))</f>
        <v/>
      </c>
      <c r="CG17" s="65" t="str">
        <f>IF(V17&lt;&gt;"SÍ","",IF(CA17&lt;0,9.99,IF(CF17&gt;0,AZ17/CF17,0)))</f>
        <v/>
      </c>
      <c r="CH17" s="66" t="str">
        <f>IF(V17&lt;&gt;"SÍ","",IF(CD17=0,"—",0.003*(CE17-(CD17*DATOS!$C$14/(DATOS!$C$21*100)/DATOS!$C$22))/(CD17*DATOS!$C$14/(DATOS!$C$21*100)/DATOS!$C$22)))</f>
        <v/>
      </c>
      <c r="CI17" s="58" t="str">
        <f>IF(V17&lt;&gt;"SÍ","",((W17-AF17-1.5*INDEX(TABLAS!$C$52:$C$58,MATCH(IF(ISNUMBER(S17),S17,DATOS!$C$135),TABLAS!$B$52:$B$58,0)))-IF(AND((W17-AF17-1.5*INDEX(TABLAS!$C$52:$C$58,MATCH(IF(ISNUMBER(S17),S17,DATOS!$C$135),TABLAS!$B$52:$B$58,0)))&lt;=20,DATOS!$C$62&lt;&gt;"SÍ"),2,0)))</f>
        <v/>
      </c>
      <c r="CJ17" s="58" t="str">
        <f>IF(V17&lt;&gt;"SÍ","",IF(BA17&lt;=0,0,IF((1-2*BA17*1E5/(DATOS!$C$29*100*CI17^2*DATOS!$C$21))&lt;0,-1,IF((1-SQRT((1-2*BA17*1E5/(DATOS!$C$29*100*CI17^2*DATOS!$C$21))))*DATOS!$C$21*100*CI17/DATOS!$C$14&gt;DATOS!$C$99*100*CI17,-1,(1-SQRT((1-2*BA17*1E5/(DATOS!$C$29*100*CI17^2*DATOS!$C$21))))*DATOS!$C$21*100*CI17/DATOS!$C$14))))</f>
        <v/>
      </c>
      <c r="CK17" s="58" t="str">
        <f>IF(V17&lt;&gt;"SÍ","",IF(CJ17&lt;0,-1,MAX(CJ17,BC17)))</f>
        <v/>
      </c>
      <c r="CL17" s="64" t="str">
        <f>IF(V17&lt;&gt;"SÍ","",IF(AND(CK17&gt;0,FLOOR(MIN(BD17,100*INDEX(TABLAS!$D$52:$D$58,MIN(MATCH(IF(ISNUMBER(S17),S17,DATOS!$C$135),TABLAS!$B$52:$B$58,0)+0,7))/MAX(CK17,0.0001)),DATOS!$C$141)&gt;=DATOS!$C$140),INDEX(TABLAS!$B$52:$B$58,MIN(MATCH(IF(ISNUMBER(S17),S17,DATOS!$C$135),TABLAS!$B$52:$B$58,0)+0,7)),IF(AND(CK17&gt;0,FLOOR(MIN(BD17,100*INDEX(TABLAS!$D$52:$D$58,MIN(MATCH(IF(ISNUMBER(S17),S17,DATOS!$C$135),TABLAS!$B$52:$B$58,0)+1,7))/MAX(CK17,0.0001)),DATOS!$C$141)&gt;=DATOS!$C$140),INDEX(TABLAS!$B$52:$B$58,MIN(MATCH(IF(ISNUMBER(S17),S17,DATOS!$C$135),TABLAS!$B$52:$B$58,0)+1,7)),IF(AND(CK17&gt;0,FLOOR(MIN(BD17,100*INDEX(TABLAS!$D$52:$D$58,MIN(MATCH(IF(ISNUMBER(S17),S17,DATOS!$C$135),TABLAS!$B$52:$B$58,0)+2,7))/MAX(CK17,0.0001)),DATOS!$C$141)&gt;=DATOS!$C$140),INDEX(TABLAS!$B$52:$B$58,MIN(MATCH(IF(ISNUMBER(S17),S17,DATOS!$C$135),TABLAS!$B$52:$B$58,0)+2,7)),IF(AND(CK17&gt;0,FLOOR(MIN(BD17,100*INDEX(TABLAS!$D$52:$D$58,MIN(MATCH(IF(ISNUMBER(S17),S17,DATOS!$C$135),TABLAS!$B$52:$B$58,0)+3,7))/MAX(CK17,0.0001)),DATOS!$C$141)&gt;=DATOS!$C$140),INDEX(TABLAS!$B$52:$B$58,MIN(MATCH(IF(ISNUMBER(S17),S17,DATOS!$C$135),TABLAS!$B$52:$B$58,0)+3,7)),IF(AND(CK17&gt;0,FLOOR(MIN(BD17,100*INDEX(TABLAS!$D$52:$D$58,MIN(MATCH(IF(ISNUMBER(S17),S17,DATOS!$C$135),TABLAS!$B$52:$B$58,0)+4,7))/MAX(CK17,0.0001)),DATOS!$C$141)&gt;=DATOS!$C$140),INDEX(TABLAS!$B$52:$B$58,MIN(MATCH(IF(ISNUMBER(S17),S17,DATOS!$C$135),TABLAS!$B$52:$B$58,0)+4,7)),INDEX(TABLAS!$B$52:$B$58,7)))))))</f>
        <v/>
      </c>
      <c r="CM17" s="71" t="str">
        <f>IF(V17&lt;&gt;"SÍ","",IF(CK17&lt;=0,0,FLOOR(MIN(BD17,100*INDEX(TABLAS!$D$52:$D$58,MATCH(CL17,TABLAS!$B$52:$B$58,0))/CK17),DATOS!$C$141)))</f>
        <v/>
      </c>
      <c r="CN17" s="58" t="str">
        <f>IF(V17&lt;&gt;"SÍ","",IF(CM17&lt;=0,0,INDEX(TABLAS!$D$52:$D$58,MATCH(CL17,TABLAS!$B$52:$B$58,0))*100/CM17))</f>
        <v/>
      </c>
      <c r="CO17" s="58" t="str">
        <f>IF(V17&lt;&gt;"SÍ","",((W17-AF17-INDEX(TABLAS!$C$52:$C$58,MATCH(BR17,TABLAS!$B$52:$B$58,0))-INDEX(TABLAS!$C$52:$C$58,MATCH(CL17,TABLAS!$B$52:$B$58,0))/2)-IF(AND((W17-AF17-INDEX(TABLAS!$C$52:$C$58,MATCH(BR17,TABLAS!$B$52:$B$58,0))-INDEX(TABLAS!$C$52:$C$58,MATCH(CL17,TABLAS!$B$52:$B$58,0))/2)&lt;=20,DATOS!$C$62&lt;&gt;"SÍ"),2,0)))</f>
        <v/>
      </c>
      <c r="CP17" s="56" t="str">
        <f>IF(V17&lt;&gt;"SÍ","",IF(CN17=0,0,DATOS!$C$29*CN17*DATOS!$C$14*(CO17-CN17*DATOS!$C$14/(DATOS!$C$21*100)/2)/1E5))</f>
        <v/>
      </c>
      <c r="CQ17" s="65" t="str">
        <f>IF(V17&lt;&gt;"SÍ","",IF(CK17&lt;0,9.99,IF(CP17&gt;0,BA17/CP17,0)))</f>
        <v/>
      </c>
      <c r="CR17" s="66" t="str">
        <f>IF(V17&lt;&gt;"SÍ","",IF(CN17=0,"—",0.003*(CO17-(CN17*DATOS!$C$14/(DATOS!$C$21*100)/DATOS!$C$22))/(CN17*DATOS!$C$14/(DATOS!$C$21*100)/DATOS!$C$22)))</f>
        <v/>
      </c>
      <c r="CS17" s="56" t="str">
        <f>IF(V17&lt;&gt;"SÍ","",IF(C17="PERIMETRAL",MAX(0,(AC17/2-BU17)/100)*(0.95-0.5*AB17)*AK17*IF(AND(AL17&gt;0,AL17&lt;4),DATOS!$C$33,1)/1000,(AK17*MAX(0,AC17-BU17)/100+DATOS!$C$26*N(P17))/1000))</f>
        <v/>
      </c>
      <c r="CT17" s="66" t="str">
        <f>IF(V17&lt;&gt;"SÍ","",BT17/(100*BU17))</f>
        <v/>
      </c>
      <c r="CU17" s="56" t="str">
        <f>IF(V17&lt;&gt;"SÍ","",DATOS!$C$30*2*MIN(1,SQRT(2/(1+0.04*BU17)))*CT17^(1/3)*SQRT(DATOS!$C$13)*100*BU17/1000)</f>
        <v/>
      </c>
      <c r="CV17" s="67" t="str">
        <f>IF(V17&lt;&gt;"SÍ","",IF(CS17&lt;=CU17,"CUMPLE","NO CUMPLE: sube h"))</f>
        <v/>
      </c>
      <c r="CW17" s="58" t="str">
        <f>IF(V17&lt;&gt;"SÍ","",IF(C17="PERIMETRAL",IF(ISNUMBER(R17),R17,DATOS!$C$101),0))</f>
        <v/>
      </c>
      <c r="CX17" s="57" t="str">
        <f>IF(V17&lt;&gt;"SÍ","",IF(C17="PERIMETRAL",IF(CW17&gt;2,MAX(9,AD17*(0.8+DATOS!$C$14/14000)/(36+9*(AD17/MAX(AC17,1)))),IF(CW17&gt;0.2,MAX(13,AD17*(0.8+DATOS!$C$14/14000)/(36+5*(AD17/MAX(AC17,1))*(CW17-0.2))),MAX(13,AD17/IF(AL17&gt;0,30,33))))*IF(AND(CW17&gt;0.2,AL17&gt;0,DATOS!$C$102="NO"),1.1,1),Z17*100/DATOS!$C$142))</f>
        <v/>
      </c>
      <c r="CY17" s="61" t="str">
        <f>IF(V17&lt;&gt;"SÍ","",IF(W17&gt;=CX17-0.001,"CUMPLE",IF(C17="VOLADO","NO CUMPLE","CALCULAR FLECHA")))</f>
        <v/>
      </c>
      <c r="CZ17" s="60" t="str">
        <f>IF(V17&lt;&gt;"SÍ","",IF(C17="VOLADO",MIN(CEILING(IF(ISNUMBER(Q17),Q17,Z17)*100,5),CEILING(MAX(IF((0.5*(0.9*W17/100*DATOS!$C$16)*IF(ISNUMBER(Q17),Q17,Z17)+AY17/IF(ISNUMBER(Q17),Q17,Z17))^2-4*(0.5*(0.9*W17/100*DATOS!$C$16))*AY17&lt;0,IF(ISNUMBER(Q17),Q17,Z17),MIN(IF(ISNUMBER(Q17),Q17,Z17),((0.5*(0.9*W17/100*DATOS!$C$16)*IF(ISNUMBER(Q17),Q17,Z17)+AY17/IF(ISNUMBER(Q17),Q17,Z17))-SQRT((0.5*(0.9*W17/100*DATOS!$C$16)*IF(ISNUMBER(Q17),Q17,Z17)+AY17/IF(ISNUMBER(Q17),Q17,Z17))^2-4*(0.5*(0.9*W17/100*DATOS!$C$16))*AY17))/(2*(0.5*(0.9*W17/100*DATOS!$C$16)))))*100+MAX(BU17,12*INDEX(TABLAS!$C$52:$C$58,MATCH(BR17,TABLAS!$B$52:$B$58,0)),IF(ISNUMBER(Q17),Q17,Z17)*100/16),IF(OR(AF17&lt;INDEX(TABLAS!$C$52:$C$58,MATCH(BR17,TABLAS!$B$52:$B$58,0)),BS17-INDEX(TABLAS!$C$52:$C$58,MATCH(BR17,TABLAS!$B$52:$B$58,0))&lt;2*INDEX(TABLAS!$C$52:$C$58,MATCH(BR17,TABLAS!$B$52:$B$58,0))),INDEX(TABLAS!$I$52:$I$58,MATCH(BR17,TABLAS!$B$52:$B$58,0)),INDEX(TABLAS!$F$52:$F$58,MATCH(BR17,TABLAS!$B$52:$B$58,0)))),5)),IF(((4*((AV17*AK17*Z17^2*1E-4/1000)+((MAX(AR17,AT17)*AK17*Z17^2*1E-4/1000)+(IF(AND(AR17&gt;0,AT17&gt;0),MIN(AR17,AT17),MAX(AR17,AT17))*AK17*Z17^2*1E-4/1000))/2)+AY17-(IF(AND(AR17&gt;0,AT17&gt;0),MIN(AR17,AT17),MAX(AR17,AT17))*AK17*Z17^2*1E-4/1000))^2-16*((AV17*AK17*Z17^2*1E-4/1000)+((MAX(AR17,AT17)*AK17*Z17^2*1E-4/1000)+(IF(AND(AR17&gt;0,AT17&gt;0),MIN(AR17,AT17),MAX(AR17,AT17))*AK17*Z17^2*1E-4/1000))/2)*AY17)&lt;0,CEILING(AC17,5),CEILING(MAX(AC17*((4*((AV17*AK17*Z17^2*1E-4/1000)+((MAX(AR17,AT17)*AK17*Z17^2*1E-4/1000)+(IF(AND(AR17&gt;0,AT17&gt;0),MIN(AR17,AT17),MAX(AR17,AT17))*AK17*Z17^2*1E-4/1000))/2)+AY17-(IF(AND(AR17&gt;0,AT17&gt;0),MIN(AR17,AT17),MAX(AR17,AT17))*AK17*Z17^2*1E-4/1000))-SQRT(MAX(0,((4*((AV17*AK17*Z17^2*1E-4/1000)+((MAX(AR17,AT17)*AK17*Z17^2*1E-4/1000)+(IF(AND(AR17&gt;0,AT17&gt;0),MIN(AR17,AT17),MAX(AR17,AT17))*AK17*Z17^2*1E-4/1000))/2)+AY17-(IF(AND(AR17&gt;0,AT17&gt;0),MIN(AR17,AT17),MAX(AR17,AT17))*AK17*Z17^2*1E-4/1000))^2-16*((AV17*AK17*Z17^2*1E-4/1000)+((MAX(AR17,AT17)*AK17*Z17^2*1E-4/1000)+(IF(AND(AR17&gt;0,AT17&gt;0),MIN(AR17,AT17),MAX(AR17,AT17))*AK17*Z17^2*1E-4/1000))/2)*AY17))))/(8*MAX(((AV17*AK17*Z17^2*1E-4/1000)+((MAX(AR17,AT17)*AK17*Z17^2*1E-4/1000)+(IF(AND(AR17&gt;0,AT17&gt;0),MIN(AR17,AT17),MAX(AR17,AT17))*AK17*Z17^2*1E-4/1000))/2),1E-9))+MAX(BU17,12*INDEX(TABLAS!$C$52:$C$58,MATCH(BR17,TABLAS!$B$52:$B$58,0)),AC17/16),IF(OR(AF17&lt;INDEX(TABLAS!$C$52:$C$58,MATCH(BR17,TABLAS!$B$52:$B$58,0)),BS17-INDEX(TABLAS!$C$52:$C$58,MATCH(BR17,TABLAS!$B$52:$B$58,0))&lt;2*INDEX(TABLAS!$C$52:$C$58,MATCH(BR17,TABLAS!$B$52:$B$58,0))),INDEX(TABLAS!$I$52:$I$58,MATCH(BR17,TABLAS!$B$52:$B$58,0)),INDEX(TABLAS!$F$52:$F$58,MATCH(BR17,TABLAS!$B$52:$B$58,0)))),5))))</f>
        <v/>
      </c>
      <c r="DA17" s="60" t="str">
        <f>IF(V17&lt;&gt;"SÍ","",IF(C17="VOLADO",0,IF(((4*((AW17*AK17*Z17^2*1E-4/1000)+((MAX(AS17,AU17)*AK17*Z17^2*1E-4/1000)+(IF(AND(AS17&gt;0,AU17&gt;0),MIN(AS17,AU17),MAX(AS17,AU17))*AK17*Z17^2*1E-4/1000))/2)+BA17-(IF(AND(AS17&gt;0,AU17&gt;0),MIN(AS17,AU17),MAX(AS17,AU17))*AK17*Z17^2*1E-4/1000))^2-16*((AW17*AK17*Z17^2*1E-4/1000)+((MAX(AS17,AU17)*AK17*Z17^2*1E-4/1000)+(IF(AND(AS17&gt;0,AU17&gt;0),MIN(AS17,AU17),MAX(AS17,AU17))*AK17*Z17^2*1E-4/1000))/2)*BA17)&lt;0,CEILING(AD17,5),CEILING(MAX(AD17*((4*((AW17*AK17*Z17^2*1E-4/1000)+((MAX(AS17,AU17)*AK17*Z17^2*1E-4/1000)+(IF(AND(AS17&gt;0,AU17&gt;0),MIN(AS17,AU17),MAX(AS17,AU17))*AK17*Z17^2*1E-4/1000))/2)+BA17-(IF(AND(AS17&gt;0,AU17&gt;0),MIN(AS17,AU17),MAX(AS17,AU17))*AK17*Z17^2*1E-4/1000))-SQRT(MAX(0,((4*((AW17*AK17*Z17^2*1E-4/1000)+((MAX(AS17,AU17)*AK17*Z17^2*1E-4/1000)+(IF(AND(AS17&gt;0,AU17&gt;0),MIN(AS17,AU17),MAX(AS17,AU17))*AK17*Z17^2*1E-4/1000))/2)+BA17-(IF(AND(AS17&gt;0,AU17&gt;0),MIN(AS17,AU17),MAX(AS17,AU17))*AK17*Z17^2*1E-4/1000))^2-16*((AW17*AK17*Z17^2*1E-4/1000)+((MAX(AS17,AU17)*AK17*Z17^2*1E-4/1000)+(IF(AND(AS17&gt;0,AU17&gt;0),MIN(AS17,AU17),MAX(AS17,AU17))*AK17*Z17^2*1E-4/1000))/2)*BA17))))/(8*MAX(((AW17*AK17*Z17^2*1E-4/1000)+((MAX(AS17,AU17)*AK17*Z17^2*1E-4/1000)+(IF(AND(AS17&gt;0,AU17&gt;0),MIN(AS17,AU17),MAX(AS17,AU17))*AK17*Z17^2*1E-4/1000))/2),1E-9))+MAX(CO17,12*INDEX(TABLAS!$C$52:$C$58,MATCH(CL17,TABLAS!$B$52:$B$58,0)),AD17/16),IF(OR(AF17&lt;INDEX(TABLAS!$C$52:$C$58,MATCH(CL17,TABLAS!$B$52:$B$58,0)),CM17-INDEX(TABLAS!$C$52:$C$58,MATCH(CL17,TABLAS!$B$52:$B$58,0))&lt;2*INDEX(TABLAS!$C$52:$C$58,MATCH(CL17,TABLAS!$B$52:$B$58,0))),INDEX(TABLAS!$I$52:$I$58,MATCH(CL17,TABLAS!$B$52:$B$58,0)),INDEX(TABLAS!$F$52:$F$58,MATCH(CL17,TABLAS!$B$52:$B$58,0)))),5))))</f>
        <v/>
      </c>
      <c r="DB17" s="55" t="str">
        <f>IF(V17&lt;&gt;"SÍ","",IF(AND(C17="PERIMETRAL",AL17-AM17&gt;0,AT17&gt;0),"SÍ","NO"))</f>
        <v/>
      </c>
      <c r="DC17" s="55" t="str">
        <f>IF(V17&lt;&gt;"SÍ","",IF(AND(C17="PERIMETRAL",AM17&gt;0,AU17&gt;0),"SÍ","NO"))</f>
        <v/>
      </c>
      <c r="DD17" s="63" t="str">
        <f>IF(V17&lt;&gt;"SÍ","",IF(OR(C17="VOLADO",AL17=0),"—",IF(AND(AND(INDEX(TABLAS!$G$52:$G$58,MATCH(MAX(BR17,CL17),TABLAS!$B$52:$B$58,0))&lt;=(DATOS!$C$72-DATOS!$C$60),(DATOS!$C$72-DATOS!$C$60)&gt;=15),8*INDEX(TABLAS!$C$52:$C$58,MATCH(MAX(BH17,CB17,BR17,CL17),TABLAS!$B$52:$B$58,0))&lt;=DATOS!$C$73-2*DATOS!$C$60),"CUMPLE (gancho de 180°)",IF(AND(INDEX(TABLAS!$G$52:$G$58,MATCH(MAX(BR17,CL17),TABLAS!$B$52:$B$58,0))&lt;=(DATOS!$C$72-DATOS!$C$60),(DATOS!$C$72-DATOS!$C$60)&gt;=15),"NO CUMPLE: el gancho de 180° (8·d_b) no cabe en el peralte de la dala de borde","NO CUMPLE: dala de borde ≥ "&amp;TEXT(CEILING(MAX(INDEX(TABLAS!$G$52:$G$58,MATCH(MAX(BR17,CL17),TABLAS!$B$52:$B$58,0)),15)+DATOS!$C$60,5),"0")&amp;" cm de ancho"&amp;IF(8*INDEX(TABLAS!$C$52:$C$58,MATCH(MAX(BH17,CB17,BR17,CL17),TABLAS!$B$52:$B$58,0))&lt;=DATOS!$C$73-2*DATOS!$C$60,""," y más peralte para el gancho")))))</f>
        <v/>
      </c>
      <c r="DE17" s="69" t="str">
        <f>IF(V17&lt;&gt;"SÍ","",IF(BI17=0,"NO ALCANZA","No. "&amp;BH17&amp;" @ "&amp;BI17&amp;" cm"&amp;IF(C17="VOLADO"," (temperatura)","")))</f>
        <v/>
      </c>
      <c r="DF17" s="69" t="str">
        <f>IF(V17&lt;&gt;"SÍ","",IF(BS17=0,"NO ALCANZA",IF(C17="VOLADO","No. "&amp;BR17&amp;" @ "&amp;BS17&amp;" cm"&amp;" de la orilla al respaldo ("&amp;IF(CZ17&gt;=100*IF(ISNUMBER(Q17),Q17,Z17),"hasta su apoyo lejano, con gancho","entran "&amp;TEXT(CZ17/100,"0.00")&amp;" m desde el paño")&amp;")","Bastones "&amp;"No. "&amp;BR17&amp;" @ "&amp;BS17&amp;" cm"&amp;", L = "&amp;TEXT(CZ17/100,"0.00")&amp;" m desde el paño")))</f>
        <v/>
      </c>
      <c r="DG17" s="69" t="str">
        <f>IF(V17&lt;&gt;"SÍ","",IF(CC17=0,"NO ALCANZA","No. "&amp;CB17&amp;" @ "&amp;CC17&amp;" cm"&amp;IF(C17="VOLADO"," (repartición)","")))</f>
        <v/>
      </c>
      <c r="DH17" s="69" t="str">
        <f>IF(V17&lt;&gt;"SÍ","",IF(CM17=0,"NO ALCANZA",IF(C17="VOLADO","No. "&amp;CL17&amp;" @ "&amp;CM17&amp;" cm"&amp;" (repartición)","Bastones "&amp;"No. "&amp;CL17&amp;" @ "&amp;CM17&amp;" cm"&amp;", L = "&amp;TEXT(DA17/100,"0.00")&amp;" m desde el paño")))</f>
        <v/>
      </c>
      <c r="DI17" s="67" t="str">
        <f>IF(B17="","",IF(V17&lt;&gt;"SÍ","FALTAN DATOS: tipo, a_x, a_y y destino",IF(L17="NO MONOLÍTICO (caso II)","FUERA DE ALCANCE: caso II no transcrito",IF(AND(C17="VOLADO",X17="?"),"REVISAR: el volado lleva UN solo borde CONTINUO (el empotrado)",IF(AND(MAX(BM17,BW17,CG17,CQ17)&lt;=1,NOT(OR(BI17&lt;DATOS!$C$140,BS17&lt;DATOS!$C$140,CC17&lt;DATOS!$C$140,CM17&lt;DATOS!$C$140)),NOT(OR(AND(ISNUMBER(BN17),BN17&lt;0.005),AND(ISNUMBER(BX17),BX17&lt;0.005),AND(ISNUMBER(CH17),CH17&lt;0.005),AND(ISNUMBER(CR17),CR17&lt;0.005))),CV17="CUMPLE",CY17="CUMPLE"),"CUMPLE"&amp;IF(LEFT(BB17,5)="FUERA"," · fuera de 3.4.2.1 c)","")&amp;IF(LEFT(DD17,2)="NO"," · REVISAR anclaje en borde discontinuo",""),IF(AND(MAX(BM17,BW17,CG17,CQ17)&lt;=1,NOT(OR(BI17&lt;DATOS!$C$140,BS17&lt;DATOS!$C$140,CC17&lt;DATOS!$C$140,CM17&lt;DATOS!$C$140)),NOT(OR(AND(ISNUMBER(BN17),BN17&lt;0.005),AND(ISNUMBER(BX17),BX17&lt;0.005),AND(ISNUMBER(CH17),CH17&lt;0.005),AND(ISNUMBER(CR17),CR17&lt;0.005))),CV17="CUMPLE",CY17="CALCULAR FLECHA"),"REVISAR: calcular flecha (h &lt; h mín.)"&amp;IF(LEFT(BB17,5)="FUERA"," · fuera de 3.4.2.1 c)","")&amp;IF(LEFT(DD17,2)="NO"," · REVISAR anclaje en borde discontinuo",""),"NO CUMPLE: "&amp;IF(MAX(BM17,BW17,CG17,CQ17)&gt;1,"flexión ","")&amp;IF(OR(BI17&lt;DATOS!$C$140,BS17&lt;DATOS!$C$140,CC17&lt;DATOS!$C$140,CM17&lt;DATOS!$C$140),"separación &lt; mínima ","")&amp;IF(OR(AND(ISNUMBER(BN17),BN17&lt;0.005),AND(ISNUMBER(BX17),BX17&lt;0.005),AND(ISNUMBER(CH17),CH17&lt;0.005),AND(ISNUMBER(CR17),CR17&lt;0.005)),"ε_t &lt; 0.005 ","")&amp;IF(CV17&lt;&gt;"CUMPLE","cortante ","")&amp;IF(CY17="NO CUMPLE","peralte","")))))))</f>
        <v/>
      </c>
      <c r="DJ17" s="70" t="str">
        <f>IF(V17&lt;&gt;"SÍ","",IF(LEFT(B17,7)="EJEMPLO","EJEMPLO de tablero típico: bórralo o sobrescríbelo. ","")&amp;IF(C17="VOLADO","Volado de "&amp;TEXT(Z17,"0.00")&amp;" m empotrado en el borde "&amp;LOWER(X17)&amp;IF(N(P17)&gt;0,", con "&amp;TEXT(P17,"0.0")&amp;" kg/m en la orilla","")&amp;". Lecho inferior con r_ext. Si la orilla carga pretil u otro elemento frágil, calcula la flecha (13.4). El acero superior entra al respaldo de "&amp;TEXT(IF(ISNUMBER(Q17),Q17,Z17),"0.00")&amp;" m"&amp;IF(ISNUMBER(Q17),""," (L_b no capturado: se tomó igual al volado)")&amp;" hasta pasar M = 0 con 0.9·PP sin carga viva; si ahí no se anula, llega al apoyo lejano y se ancla con gancho. ","")&amp;IF(LEFT(BB17,5)="FUERA","El M⁻ del vecino difiere más de 50 % (3.4.2.1 c): distribuye el desequilibrio (3.4.3.1) o confirma con un modelo; se arma con el mayor. ","")&amp;IF(OR(DB17="SÍ",DC17="SÍ"),"Bastones también en los bordes discontinuos (M⁻ de tabla), con gancho. ","")&amp;IF(LEFT(DD17,2)="NO","Anclaje: "&amp;DD17&amp;" (6.7.7.4.1.1). ","")&amp;IF(OR(AT17&gt;0,AU17&gt;0),"Esquinas exteriores sobre muro: refuerzo de esquina arriba y abajo en L_largo/5 (6.7.7.3.1). ",""))</f>
        <v/>
      </c>
    </row>
    <row r="18" ht="33" customHeight="1">
      <c r="A18" s="50">
        <f>IF(B18="",0,1)+A17</f>
        <v>3</v>
      </c>
      <c r="B18" s="29" t="n"/>
      <c r="C18" s="51" t="n"/>
      <c r="D18" s="29" t="n"/>
      <c r="E18" s="52" t="n"/>
      <c r="F18" s="52" t="n"/>
      <c r="G18" s="51" t="n"/>
      <c r="H18" s="51" t="n"/>
      <c r="I18" s="51" t="n"/>
      <c r="J18" s="51" t="n"/>
      <c r="K18" s="51" t="n"/>
      <c r="L18" s="51" t="n"/>
      <c r="M18" s="54" t="n"/>
      <c r="N18" s="53" t="n"/>
      <c r="O18" s="53" t="n"/>
      <c r="P18" s="54" t="n"/>
      <c r="Q18" s="52" t="n"/>
      <c r="R18" s="54" t="n"/>
      <c r="S18" s="53" t="n"/>
      <c r="T18" s="52" t="n"/>
      <c r="U18" s="52" t="n"/>
      <c r="V18" s="55" t="str">
        <f>IF(B18="","",IF(AND(OR(C18="PERIMETRAL",C18="VOLADO"),ISNUMBER(E18),ISNUMBER(F18),E18&gt;0,F18&gt;0,OR(ISNUMBER(O18),ISNUMBER(MATCH(D18,DATOS!$B$46:$B$55,0)))),"SÍ","NO"))</f>
        <v/>
      </c>
      <c r="W18" s="57" t="str">
        <f>IF(V18&lt;&gt;"SÍ","",IF(ISNUMBER(M18),M18,DATOS!$C$134))</f>
        <v/>
      </c>
      <c r="X18" s="55" t="str">
        <f>IF(V18&lt;&gt;"SÍ","",IF(C18&lt;&gt;"VOLADO","—",IF(COUNTIF(G18:J18,"CONTINUO")&lt;&gt;1,"?",IF(G18="CONTINUO","INFERIOR",IF(H18="CONTINUO","SUPERIOR",IF(I18="CONTINUO","IZQUIERDO","DERECHO"))))))</f>
        <v/>
      </c>
      <c r="Y18" s="55" t="str">
        <f>IF(V18&lt;&gt;"SÍ","",IF(C18="VOLADO",IF(OR(X18="IZQUIERDO",X18="DERECHO"),"X","Y"),IF(E18&lt;=F18,"X","Y")))</f>
        <v/>
      </c>
      <c r="Z18" s="56" t="str">
        <f>IF(V18&lt;&gt;"SÍ","",IF(C18="VOLADO",IF(Y18="X",E18,F18),MIN(E18,F18)))</f>
        <v/>
      </c>
      <c r="AA18" s="56" t="str">
        <f>IF(V18&lt;&gt;"SÍ","",IF(C18="VOLADO",IF(Y18="X",F18,E18),MAX(E18,F18)))</f>
        <v/>
      </c>
      <c r="AB18" s="56" t="str">
        <f>IF(V18&lt;&gt;"SÍ","",MIN(Z18,AA18)/MAX(Z18,AA18))</f>
        <v/>
      </c>
      <c r="AC18" s="57" t="str">
        <f>IF(V18&lt;&gt;"SÍ","",MAX(1,Z18*100-IF(C18="VOLADO",DATOS!$C$84/2,DATOS!$C$84)))</f>
        <v/>
      </c>
      <c r="AD18" s="57" t="str">
        <f>IF(V18&lt;&gt;"SÍ","",MAX(1,AA18*100-DATOS!$C$84))</f>
        <v/>
      </c>
      <c r="AE18" s="57" t="str">
        <f>IF(V18&lt;&gt;"SÍ","",IF(C18="VOLADO",DATOS!$C$61,DATOS!$C$59))</f>
        <v/>
      </c>
      <c r="AF18" s="57" t="str">
        <f>IF(V18&lt;&gt;"SÍ","",IF(OR(AND(AG18="SÍ",DATOS!$C$63="SÍ"),AND(C18="VOLADO",DATOS!$C$64="SÍ")),DATOS!$C$61,DATOS!$C$59))</f>
        <v/>
      </c>
      <c r="AG18" s="55" t="str">
        <f>IF(V18&lt;&gt;"SÍ","",IFERROR(INDEX(DATOS!$D$46:$D$55,MATCH(D18,DATOS!$B$46:$B$55,0)),"NO"))</f>
        <v/>
      </c>
      <c r="AH18" s="59" t="str">
        <f>IF(V18&lt;&gt;"SÍ","",IF(ISNUMBER(O18),O18,IFERROR(INDEX(DATOS!$C$46:$C$55,MATCH(D18,DATOS!$B$46:$B$55,0)),0)))</f>
        <v/>
      </c>
      <c r="AI18" s="59" t="str">
        <f>IF(V18&lt;&gt;"SÍ","",W18/100*DATOS!$C$16*1000+DATOS!$C$37+DATOS!$C$38)</f>
        <v/>
      </c>
      <c r="AJ18" s="59" t="str">
        <f>IF(V18&lt;&gt;"SÍ","",AI18+N(N18))</f>
        <v/>
      </c>
      <c r="AK18" s="60" t="str">
        <f>IF(V18&lt;&gt;"SÍ","",MAX(DATOS!$C$26*AJ18+DATOS!$C$27*AH18,IF(AG18="SÍ",DATOS!$C$28*(AJ18+DATOS!$C$41),0)))</f>
        <v/>
      </c>
      <c r="AL18" s="59" t="str">
        <f>IF(V18&lt;&gt;"SÍ","",(G18="DISCONTINUO")+(H18="DISCONTINUO")+(I18="DISCONTINUO")+(J18="DISCONTINUO"))</f>
        <v/>
      </c>
      <c r="AM18" s="59" t="str">
        <f>IF(V18&lt;&gt;"SÍ","",IF(Y18="X",(G18="DISCONTINUO")+(H18="DISCONTINUO"),(I18="DISCONTINUO")+(J18="DISCONTINUO")))</f>
        <v/>
      </c>
      <c r="AN18" s="55" t="str">
        <f>IF(V18&lt;&gt;"SÍ","",IF(AL18=0,"INTERIOR",IF(AL18=1,IF(AM18=1,"BORDE-CORTO","BORDE-LARGO"),IF(AL18=2,IF(AM18=1,"ESQUINA",IF(AM18=2,"EXTREMO-LARGO","EXTREMO-CORTO")),IF(AL18=3,IF(AM18=2,"EXTREMO-LARGO","EXTREMO-CORTO"),"AISLADO")))))</f>
        <v/>
      </c>
      <c r="AO18" s="61" t="str">
        <f>IF(V18&lt;&gt;"SÍ","",IF(OR(K18="",K18="AUTO"),AN18,K18))</f>
        <v/>
      </c>
      <c r="AP18" s="59" t="str">
        <f>IF(V18&lt;&gt;"SÍ","",MATCH(AB18,TABLAS!$D$5:$J$5,1))</f>
        <v/>
      </c>
      <c r="AQ18" s="58" t="str">
        <f>IF(V18&lt;&gt;"SÍ","",IF(AP18&gt;=7,0,(AB18-INDEX(TABLAS!$D$5:$J$5,AP18))/(INDEX(TABLAS!$D$5:$J$5,AP18+1)-INDEX(TABLAS!$D$5:$J$5,AP18))))</f>
        <v/>
      </c>
      <c r="AR18" s="59" t="str">
        <f>IF(V18&lt;&gt;"SÍ","",INDEX(TABLAS!$D$6:$J$47,MATCH(AO18&amp;"|NIC",TABLAS!$B$6:$B$47,0),AP18)+AQ18*(INDEX(TABLAS!$D$6:$J$47,MATCH(AO18&amp;"|NIC",TABLAS!$B$6:$B$47,0),MIN(AP18+1,7))-INDEX(TABLAS!$D$6:$J$47,MATCH(AO18&amp;"|NIC",TABLAS!$B$6:$B$47,0),AP18)))</f>
        <v/>
      </c>
      <c r="AS18" s="59" t="str">
        <f>IF(V18&lt;&gt;"SÍ","",INDEX(TABLAS!$D$6:$J$47,MATCH(AO18&amp;"|NIL",TABLAS!$B$6:$B$47,0),AP18)+AQ18*(INDEX(TABLAS!$D$6:$J$47,MATCH(AO18&amp;"|NIL",TABLAS!$B$6:$B$47,0),MIN(AP18+1,7))-INDEX(TABLAS!$D$6:$J$47,MATCH(AO18&amp;"|NIL",TABLAS!$B$6:$B$47,0),AP18)))</f>
        <v/>
      </c>
      <c r="AT18" s="59" t="str">
        <f>IF(V18&lt;&gt;"SÍ","",INDEX(TABLAS!$D$6:$J$47,MATCH(AO18&amp;"|NDC",TABLAS!$B$6:$B$47,0),AP18)+AQ18*(INDEX(TABLAS!$D$6:$J$47,MATCH(AO18&amp;"|NDC",TABLAS!$B$6:$B$47,0),MIN(AP18+1,7))-INDEX(TABLAS!$D$6:$J$47,MATCH(AO18&amp;"|NDC",TABLAS!$B$6:$B$47,0),AP18)))</f>
        <v/>
      </c>
      <c r="AU18" s="59" t="str">
        <f>IF(V18&lt;&gt;"SÍ","",INDEX(TABLAS!$D$6:$J$47,MATCH(AO18&amp;"|NDL",TABLAS!$B$6:$B$47,0),AP18)+AQ18*(INDEX(TABLAS!$D$6:$J$47,MATCH(AO18&amp;"|NDL",TABLAS!$B$6:$B$47,0),MIN(AP18+1,7))-INDEX(TABLAS!$D$6:$J$47,MATCH(AO18&amp;"|NDL",TABLAS!$B$6:$B$47,0),AP18)))</f>
        <v/>
      </c>
      <c r="AV18" s="59" t="str">
        <f>IF(V18&lt;&gt;"SÍ","",INDEX(TABLAS!$D$6:$J$47,MATCH(AO18&amp;"|PC",TABLAS!$B$6:$B$47,0),AP18)+AQ18*(INDEX(TABLAS!$D$6:$J$47,MATCH(AO18&amp;"|PC",TABLAS!$B$6:$B$47,0),MIN(AP18+1,7))-INDEX(TABLAS!$D$6:$J$47,MATCH(AO18&amp;"|PC",TABLAS!$B$6:$B$47,0),AP18)))</f>
        <v/>
      </c>
      <c r="AW18" s="59" t="str">
        <f>IF(V18&lt;&gt;"SÍ","",INDEX(TABLAS!$D$6:$J$47,MATCH(AO18&amp;"|PL",TABLAS!$B$6:$B$47,0),AP18)+AQ18*(INDEX(TABLAS!$D$6:$J$47,MATCH(AO18&amp;"|PL",TABLAS!$B$6:$B$47,0),MIN(AP18+1,7))-INDEX(TABLAS!$D$6:$J$47,MATCH(AO18&amp;"|PL",TABLAS!$B$6:$B$47,0),AP18)))</f>
        <v/>
      </c>
      <c r="AX18" s="56" t="str">
        <f>IF(V18&lt;&gt;"SÍ","",IF(C18="PERIMETRAL",AV18*AK18*Z18^2*1E-4/1000,0))</f>
        <v/>
      </c>
      <c r="AY18" s="62" t="str">
        <f>IF(V18&lt;&gt;"SÍ","",IF(C18="PERIMETRAL",MAX(MAX(AR18,AT18)*AK18*Z18^2*1E-4/1000,N(T18)),(AK18*(AC18/100)^2/2+DATOS!$C$26*N(P18)*AC18/100)/1000))</f>
        <v/>
      </c>
      <c r="AZ18" s="56" t="str">
        <f>IF(V18&lt;&gt;"SÍ","",IF(C18="PERIMETRAL",AW18*AK18*Z18^2*1E-4/1000,0))</f>
        <v/>
      </c>
      <c r="BA18" s="56" t="str">
        <f>IF(V18&lt;&gt;"SÍ","",IF(C18="PERIMETRAL",MAX(MAX(AS18,AU18)*AK18*Z18^2*1E-4/1000,N(U18)),0))</f>
        <v/>
      </c>
      <c r="BB18" s="63" t="str">
        <f>IF(V18&lt;&gt;"SÍ","",IF(C18&lt;&gt;"PERIMETRAL","—",IF(AND(N(T18)=0,N(U18)=0),"— (sin M⁻ del vecino)",IF(OR(AND(N(T18)&gt;0,ABS(MAX(AR18,AT18)*AK18*Z18^2*1E-4/1000-N(T18))&gt;0.5*MIN(MAX(AR18,AT18)*AK18*Z18^2*1E-4/1000,N(T18))),AND(N(U18)&gt;0,ABS(MAX(AS18,AU18)*AK18*Z18^2*1E-4/1000-N(U18))&gt;0.5*MIN(MAX(AS18,AU18)*AK18*Z18^2*1E-4/1000,N(U18)))),"FUERA: difieren &gt; 50 %"&amp;IF(AND(N(T18)&gt;0,ABS(MAX(AR18,AT18)*AK18*Z18^2*1E-4/1000-N(T18))&gt;0.5*MIN(MAX(AR18,AT18)*AK18*Z18^2*1E-4/1000,N(T18)))," ‖ corto","")&amp;IF(AND(N(U18)&gt;0,ABS(MAX(AS18,AU18)*AK18*Z18^2*1E-4/1000-N(U18))&gt;0.5*MIN(MAX(AS18,AU18)*AK18*Z18^2*1E-4/1000,N(U18)))," ‖ largo",""),"CUMPLE"))))</f>
        <v/>
      </c>
      <c r="BC18" s="58" t="str">
        <f>IF(V18&lt;&gt;"SÍ","",DATOS!$C$136*100*W18)</f>
        <v/>
      </c>
      <c r="BD18" s="57" t="str">
        <f>IF(V18&lt;&gt;"SÍ","",MIN(IF(C18="VOLADO",DATOS!$C$138,DATOS!$C$137)*W18,DATOS!$C$139))</f>
        <v/>
      </c>
      <c r="BE18" s="58" t="str">
        <f>IF(V18&lt;&gt;"SÍ","",(W18-AE18-INDEX(TABLAS!$C$52:$C$58,MATCH(IF(ISNUMBER(S18),S18,DATOS!$C$135),TABLAS!$B$52:$B$58,0))/2))</f>
        <v/>
      </c>
      <c r="BF18" s="58" t="str">
        <f>IF(V18&lt;&gt;"SÍ","",IF(AX18&lt;=0,0,IF((1-2*AX18*1E5/(DATOS!$C$29*100*BE18^2*DATOS!$C$21))&lt;0,-1,IF((1-SQRT((1-2*AX18*1E5/(DATOS!$C$29*100*BE18^2*DATOS!$C$21))))*DATOS!$C$21*100*BE18/DATOS!$C$14&gt;DATOS!$C$99*100*BE18,-1,(1-SQRT((1-2*AX18*1E5/(DATOS!$C$29*100*BE18^2*DATOS!$C$21))))*DATOS!$C$21*100*BE18/DATOS!$C$14))))</f>
        <v/>
      </c>
      <c r="BG18" s="58" t="str">
        <f>IF(V18&lt;&gt;"SÍ","",IF(BF18&lt;0,-1,MAX(BF18,BC18)))</f>
        <v/>
      </c>
      <c r="BH18" s="64" t="str">
        <f>IF(V18&lt;&gt;"SÍ","",IF(AND(BG18&gt;0,FLOOR(MIN(BD18,100*INDEX(TABLAS!$D$52:$D$58,MIN(MATCH(IF(ISNUMBER(S18),S18,DATOS!$C$135),TABLAS!$B$52:$B$58,0)+0,7))/MAX(BG18,0.0001)),DATOS!$C$141)&gt;=DATOS!$C$140),INDEX(TABLAS!$B$52:$B$58,MIN(MATCH(IF(ISNUMBER(S18),S18,DATOS!$C$135),TABLAS!$B$52:$B$58,0)+0,7)),IF(AND(BG18&gt;0,FLOOR(MIN(BD18,100*INDEX(TABLAS!$D$52:$D$58,MIN(MATCH(IF(ISNUMBER(S18),S18,DATOS!$C$135),TABLAS!$B$52:$B$58,0)+1,7))/MAX(BG18,0.0001)),DATOS!$C$141)&gt;=DATOS!$C$140),INDEX(TABLAS!$B$52:$B$58,MIN(MATCH(IF(ISNUMBER(S18),S18,DATOS!$C$135),TABLAS!$B$52:$B$58,0)+1,7)),IF(AND(BG18&gt;0,FLOOR(MIN(BD18,100*INDEX(TABLAS!$D$52:$D$58,MIN(MATCH(IF(ISNUMBER(S18),S18,DATOS!$C$135),TABLAS!$B$52:$B$58,0)+2,7))/MAX(BG18,0.0001)),DATOS!$C$141)&gt;=DATOS!$C$140),INDEX(TABLAS!$B$52:$B$58,MIN(MATCH(IF(ISNUMBER(S18),S18,DATOS!$C$135),TABLAS!$B$52:$B$58,0)+2,7)),IF(AND(BG18&gt;0,FLOOR(MIN(BD18,100*INDEX(TABLAS!$D$52:$D$58,MIN(MATCH(IF(ISNUMBER(S18),S18,DATOS!$C$135),TABLAS!$B$52:$B$58,0)+3,7))/MAX(BG18,0.0001)),DATOS!$C$141)&gt;=DATOS!$C$140),INDEX(TABLAS!$B$52:$B$58,MIN(MATCH(IF(ISNUMBER(S18),S18,DATOS!$C$135),TABLAS!$B$52:$B$58,0)+3,7)),IF(AND(BG18&gt;0,FLOOR(MIN(BD18,100*INDEX(TABLAS!$D$52:$D$58,MIN(MATCH(IF(ISNUMBER(S18),S18,DATOS!$C$135),TABLAS!$B$52:$B$58,0)+4,7))/MAX(BG18,0.0001)),DATOS!$C$141)&gt;=DATOS!$C$140),INDEX(TABLAS!$B$52:$B$58,MIN(MATCH(IF(ISNUMBER(S18),S18,DATOS!$C$135),TABLAS!$B$52:$B$58,0)+4,7)),INDEX(TABLAS!$B$52:$B$58,7)))))))</f>
        <v/>
      </c>
      <c r="BI18" s="71" t="str">
        <f>IF(V18&lt;&gt;"SÍ","",IF(BG18&lt;=0,0,FLOOR(MIN(BD18,100*INDEX(TABLAS!$D$52:$D$58,MATCH(BH18,TABLAS!$B$52:$B$58,0))/BG18),DATOS!$C$141)))</f>
        <v/>
      </c>
      <c r="BJ18" s="58" t="str">
        <f>IF(V18&lt;&gt;"SÍ","",IF(BI18&lt;=0,0,INDEX(TABLAS!$D$52:$D$58,MATCH(BH18,TABLAS!$B$52:$B$58,0))*100/BI18))</f>
        <v/>
      </c>
      <c r="BK18" s="58" t="str">
        <f>IF(V18&lt;&gt;"SÍ","",W18-AE18-INDEX(TABLAS!$C$52:$C$58,MATCH(BH18,TABLAS!$B$52:$B$58,0))/2)</f>
        <v/>
      </c>
      <c r="BL18" s="56" t="str">
        <f>IF(V18&lt;&gt;"SÍ","",IF(BJ18=0,0,DATOS!$C$29*BJ18*DATOS!$C$14*(BK18-BJ18*DATOS!$C$14/(DATOS!$C$21*100)/2)/1E5))</f>
        <v/>
      </c>
      <c r="BM18" s="65" t="str">
        <f>IF(V18&lt;&gt;"SÍ","",IF(BG18&lt;0,9.99,IF(BL18&gt;0,AX18/BL18,0)))</f>
        <v/>
      </c>
      <c r="BN18" s="66" t="str">
        <f>IF(V18&lt;&gt;"SÍ","",IF(BJ18=0,"—",0.003*(BK18-(BJ18*DATOS!$C$14/(DATOS!$C$21*100)/DATOS!$C$22))/(BJ18*DATOS!$C$14/(DATOS!$C$21*100)/DATOS!$C$22)))</f>
        <v/>
      </c>
      <c r="BO18" s="58" t="str">
        <f>IF(V18&lt;&gt;"SÍ","",((W18-AF18-INDEX(TABLAS!$C$52:$C$58,MATCH(IF(ISNUMBER(S18),S18,DATOS!$C$135),TABLAS!$B$52:$B$58,0))/2)-IF(AND((W18-AF18-INDEX(TABLAS!$C$52:$C$58,MATCH(IF(ISNUMBER(S18),S18,DATOS!$C$135),TABLAS!$B$52:$B$58,0))/2)&lt;=20,DATOS!$C$62&lt;&gt;"SÍ"),2,0)))</f>
        <v/>
      </c>
      <c r="BP18" s="58" t="str">
        <f>IF(V18&lt;&gt;"SÍ","",IF(AY18&lt;=0,0,IF((1-2*AY18*1E5/(DATOS!$C$29*100*BO18^2*DATOS!$C$21))&lt;0,-1,IF((1-SQRT((1-2*AY18*1E5/(DATOS!$C$29*100*BO18^2*DATOS!$C$21))))*DATOS!$C$21*100*BO18/DATOS!$C$14&gt;DATOS!$C$99*100*BO18,-1,(1-SQRT((1-2*AY18*1E5/(DATOS!$C$29*100*BO18^2*DATOS!$C$21))))*DATOS!$C$21*100*BO18/DATOS!$C$14))))</f>
        <v/>
      </c>
      <c r="BQ18" s="58" t="str">
        <f>IF(V18&lt;&gt;"SÍ","",IF(BP18&lt;0,-1,MAX(BP18,BC18)))</f>
        <v/>
      </c>
      <c r="BR18" s="64" t="str">
        <f>IF(V18&lt;&gt;"SÍ","",IF(AND(BQ18&gt;0,FLOOR(MIN(BD18,100*INDEX(TABLAS!$D$52:$D$58,MIN(MATCH(IF(ISNUMBER(S18),S18,DATOS!$C$135),TABLAS!$B$52:$B$58,0)+0,7))/MAX(BQ18,0.0001)),DATOS!$C$141)&gt;=DATOS!$C$140),INDEX(TABLAS!$B$52:$B$58,MIN(MATCH(IF(ISNUMBER(S18),S18,DATOS!$C$135),TABLAS!$B$52:$B$58,0)+0,7)),IF(AND(BQ18&gt;0,FLOOR(MIN(BD18,100*INDEX(TABLAS!$D$52:$D$58,MIN(MATCH(IF(ISNUMBER(S18),S18,DATOS!$C$135),TABLAS!$B$52:$B$58,0)+1,7))/MAX(BQ18,0.0001)),DATOS!$C$141)&gt;=DATOS!$C$140),INDEX(TABLAS!$B$52:$B$58,MIN(MATCH(IF(ISNUMBER(S18),S18,DATOS!$C$135),TABLAS!$B$52:$B$58,0)+1,7)),IF(AND(BQ18&gt;0,FLOOR(MIN(BD18,100*INDEX(TABLAS!$D$52:$D$58,MIN(MATCH(IF(ISNUMBER(S18),S18,DATOS!$C$135),TABLAS!$B$52:$B$58,0)+2,7))/MAX(BQ18,0.0001)),DATOS!$C$141)&gt;=DATOS!$C$140),INDEX(TABLAS!$B$52:$B$58,MIN(MATCH(IF(ISNUMBER(S18),S18,DATOS!$C$135),TABLAS!$B$52:$B$58,0)+2,7)),IF(AND(BQ18&gt;0,FLOOR(MIN(BD18,100*INDEX(TABLAS!$D$52:$D$58,MIN(MATCH(IF(ISNUMBER(S18),S18,DATOS!$C$135),TABLAS!$B$52:$B$58,0)+3,7))/MAX(BQ18,0.0001)),DATOS!$C$141)&gt;=DATOS!$C$140),INDEX(TABLAS!$B$52:$B$58,MIN(MATCH(IF(ISNUMBER(S18),S18,DATOS!$C$135),TABLAS!$B$52:$B$58,0)+3,7)),IF(AND(BQ18&gt;0,FLOOR(MIN(BD18,100*INDEX(TABLAS!$D$52:$D$58,MIN(MATCH(IF(ISNUMBER(S18),S18,DATOS!$C$135),TABLAS!$B$52:$B$58,0)+4,7))/MAX(BQ18,0.0001)),DATOS!$C$141)&gt;=DATOS!$C$140),INDEX(TABLAS!$B$52:$B$58,MIN(MATCH(IF(ISNUMBER(S18),S18,DATOS!$C$135),TABLAS!$B$52:$B$58,0)+4,7)),INDEX(TABLAS!$B$52:$B$58,7)))))))</f>
        <v/>
      </c>
      <c r="BS18" s="71" t="str">
        <f>IF(V18&lt;&gt;"SÍ","",IF(BQ18&lt;=0,0,FLOOR(MIN(BD18,100*INDEX(TABLAS!$D$52:$D$58,MATCH(BR18,TABLAS!$B$52:$B$58,0))/BQ18),DATOS!$C$141)))</f>
        <v/>
      </c>
      <c r="BT18" s="58" t="str">
        <f>IF(V18&lt;&gt;"SÍ","",IF(BS18&lt;=0,0,INDEX(TABLAS!$D$52:$D$58,MATCH(BR18,TABLAS!$B$52:$B$58,0))*100/BS18))</f>
        <v/>
      </c>
      <c r="BU18" s="58" t="str">
        <f>IF(V18&lt;&gt;"SÍ","",((W18-AF18-INDEX(TABLAS!$C$52:$C$58,MATCH(BR18,TABLAS!$B$52:$B$58,0))/2)-IF(AND((W18-AF18-INDEX(TABLAS!$C$52:$C$58,MATCH(BR18,TABLAS!$B$52:$B$58,0))/2)&lt;=20,DATOS!$C$62&lt;&gt;"SÍ"),2,0)))</f>
        <v/>
      </c>
      <c r="BV18" s="56" t="str">
        <f>IF(V18&lt;&gt;"SÍ","",IF(BT18=0,0,DATOS!$C$29*BT18*DATOS!$C$14*(BU18-BT18*DATOS!$C$14/(DATOS!$C$21*100)/2)/1E5))</f>
        <v/>
      </c>
      <c r="BW18" s="65" t="str">
        <f>IF(V18&lt;&gt;"SÍ","",IF(BQ18&lt;0,9.99,IF(BV18&gt;0,AY18/BV18,0)))</f>
        <v/>
      </c>
      <c r="BX18" s="66" t="str">
        <f>IF(V18&lt;&gt;"SÍ","",IF(BT18=0,"—",0.003*(BU18-(BT18*DATOS!$C$14/(DATOS!$C$21*100)/DATOS!$C$22))/(BT18*DATOS!$C$14/(DATOS!$C$21*100)/DATOS!$C$22)))</f>
        <v/>
      </c>
      <c r="BY18" s="58" t="str">
        <f>IF(V18&lt;&gt;"SÍ","",(W18-AE18-1.5*INDEX(TABLAS!$C$52:$C$58,MATCH(IF(ISNUMBER(S18),S18,DATOS!$C$135),TABLAS!$B$52:$B$58,0))))</f>
        <v/>
      </c>
      <c r="BZ18" s="58" t="str">
        <f>IF(V18&lt;&gt;"SÍ","",IF(AZ18&lt;=0,0,IF((1-2*AZ18*1E5/(DATOS!$C$29*100*BY18^2*DATOS!$C$21))&lt;0,-1,IF((1-SQRT((1-2*AZ18*1E5/(DATOS!$C$29*100*BY18^2*DATOS!$C$21))))*DATOS!$C$21*100*BY18/DATOS!$C$14&gt;DATOS!$C$99*100*BY18,-1,(1-SQRT((1-2*AZ18*1E5/(DATOS!$C$29*100*BY18^2*DATOS!$C$21))))*DATOS!$C$21*100*BY18/DATOS!$C$14))))</f>
        <v/>
      </c>
      <c r="CA18" s="58" t="str">
        <f>IF(V18&lt;&gt;"SÍ","",IF(BZ18&lt;0,-1,MAX(BZ18,BC18)))</f>
        <v/>
      </c>
      <c r="CB18" s="64" t="str">
        <f>IF(V18&lt;&gt;"SÍ","",IF(AND(CA18&gt;0,FLOOR(MIN(BD18,100*INDEX(TABLAS!$D$52:$D$58,MIN(MATCH(IF(ISNUMBER(S18),S18,DATOS!$C$135),TABLAS!$B$52:$B$58,0)+0,7))/MAX(CA18,0.0001)),DATOS!$C$141)&gt;=DATOS!$C$140),INDEX(TABLAS!$B$52:$B$58,MIN(MATCH(IF(ISNUMBER(S18),S18,DATOS!$C$135),TABLAS!$B$52:$B$58,0)+0,7)),IF(AND(CA18&gt;0,FLOOR(MIN(BD18,100*INDEX(TABLAS!$D$52:$D$58,MIN(MATCH(IF(ISNUMBER(S18),S18,DATOS!$C$135),TABLAS!$B$52:$B$58,0)+1,7))/MAX(CA18,0.0001)),DATOS!$C$141)&gt;=DATOS!$C$140),INDEX(TABLAS!$B$52:$B$58,MIN(MATCH(IF(ISNUMBER(S18),S18,DATOS!$C$135),TABLAS!$B$52:$B$58,0)+1,7)),IF(AND(CA18&gt;0,FLOOR(MIN(BD18,100*INDEX(TABLAS!$D$52:$D$58,MIN(MATCH(IF(ISNUMBER(S18),S18,DATOS!$C$135),TABLAS!$B$52:$B$58,0)+2,7))/MAX(CA18,0.0001)),DATOS!$C$141)&gt;=DATOS!$C$140),INDEX(TABLAS!$B$52:$B$58,MIN(MATCH(IF(ISNUMBER(S18),S18,DATOS!$C$135),TABLAS!$B$52:$B$58,0)+2,7)),IF(AND(CA18&gt;0,FLOOR(MIN(BD18,100*INDEX(TABLAS!$D$52:$D$58,MIN(MATCH(IF(ISNUMBER(S18),S18,DATOS!$C$135),TABLAS!$B$52:$B$58,0)+3,7))/MAX(CA18,0.0001)),DATOS!$C$141)&gt;=DATOS!$C$140),INDEX(TABLAS!$B$52:$B$58,MIN(MATCH(IF(ISNUMBER(S18),S18,DATOS!$C$135),TABLAS!$B$52:$B$58,0)+3,7)),IF(AND(CA18&gt;0,FLOOR(MIN(BD18,100*INDEX(TABLAS!$D$52:$D$58,MIN(MATCH(IF(ISNUMBER(S18),S18,DATOS!$C$135),TABLAS!$B$52:$B$58,0)+4,7))/MAX(CA18,0.0001)),DATOS!$C$141)&gt;=DATOS!$C$140),INDEX(TABLAS!$B$52:$B$58,MIN(MATCH(IF(ISNUMBER(S18),S18,DATOS!$C$135),TABLAS!$B$52:$B$58,0)+4,7)),INDEX(TABLAS!$B$52:$B$58,7)))))))</f>
        <v/>
      </c>
      <c r="CC18" s="71" t="str">
        <f>IF(V18&lt;&gt;"SÍ","",IF(CA18&lt;=0,0,FLOOR(MIN(BD18,100*INDEX(TABLAS!$D$52:$D$58,MATCH(CB18,TABLAS!$B$52:$B$58,0))/CA18),DATOS!$C$141)))</f>
        <v/>
      </c>
      <c r="CD18" s="58" t="str">
        <f>IF(V18&lt;&gt;"SÍ","",IF(CC18&lt;=0,0,INDEX(TABLAS!$D$52:$D$58,MATCH(CB18,TABLAS!$B$52:$B$58,0))*100/CC18))</f>
        <v/>
      </c>
      <c r="CE18" s="58" t="str">
        <f>IF(V18&lt;&gt;"SÍ","",W18-AE18-INDEX(TABLAS!$C$52:$C$58,MATCH(BH18,TABLAS!$B$52:$B$58,0))-INDEX(TABLAS!$C$52:$C$58,MATCH(CB18,TABLAS!$B$52:$B$58,0))/2)</f>
        <v/>
      </c>
      <c r="CF18" s="56" t="str">
        <f>IF(V18&lt;&gt;"SÍ","",IF(CD18=0,0,DATOS!$C$29*CD18*DATOS!$C$14*(CE18-CD18*DATOS!$C$14/(DATOS!$C$21*100)/2)/1E5))</f>
        <v/>
      </c>
      <c r="CG18" s="65" t="str">
        <f>IF(V18&lt;&gt;"SÍ","",IF(CA18&lt;0,9.99,IF(CF18&gt;0,AZ18/CF18,0)))</f>
        <v/>
      </c>
      <c r="CH18" s="66" t="str">
        <f>IF(V18&lt;&gt;"SÍ","",IF(CD18=0,"—",0.003*(CE18-(CD18*DATOS!$C$14/(DATOS!$C$21*100)/DATOS!$C$22))/(CD18*DATOS!$C$14/(DATOS!$C$21*100)/DATOS!$C$22)))</f>
        <v/>
      </c>
      <c r="CI18" s="58" t="str">
        <f>IF(V18&lt;&gt;"SÍ","",((W18-AF18-1.5*INDEX(TABLAS!$C$52:$C$58,MATCH(IF(ISNUMBER(S18),S18,DATOS!$C$135),TABLAS!$B$52:$B$58,0)))-IF(AND((W18-AF18-1.5*INDEX(TABLAS!$C$52:$C$58,MATCH(IF(ISNUMBER(S18),S18,DATOS!$C$135),TABLAS!$B$52:$B$58,0)))&lt;=20,DATOS!$C$62&lt;&gt;"SÍ"),2,0)))</f>
        <v/>
      </c>
      <c r="CJ18" s="58" t="str">
        <f>IF(V18&lt;&gt;"SÍ","",IF(BA18&lt;=0,0,IF((1-2*BA18*1E5/(DATOS!$C$29*100*CI18^2*DATOS!$C$21))&lt;0,-1,IF((1-SQRT((1-2*BA18*1E5/(DATOS!$C$29*100*CI18^2*DATOS!$C$21))))*DATOS!$C$21*100*CI18/DATOS!$C$14&gt;DATOS!$C$99*100*CI18,-1,(1-SQRT((1-2*BA18*1E5/(DATOS!$C$29*100*CI18^2*DATOS!$C$21))))*DATOS!$C$21*100*CI18/DATOS!$C$14))))</f>
        <v/>
      </c>
      <c r="CK18" s="58" t="str">
        <f>IF(V18&lt;&gt;"SÍ","",IF(CJ18&lt;0,-1,MAX(CJ18,BC18)))</f>
        <v/>
      </c>
      <c r="CL18" s="64" t="str">
        <f>IF(V18&lt;&gt;"SÍ","",IF(AND(CK18&gt;0,FLOOR(MIN(BD18,100*INDEX(TABLAS!$D$52:$D$58,MIN(MATCH(IF(ISNUMBER(S18),S18,DATOS!$C$135),TABLAS!$B$52:$B$58,0)+0,7))/MAX(CK18,0.0001)),DATOS!$C$141)&gt;=DATOS!$C$140),INDEX(TABLAS!$B$52:$B$58,MIN(MATCH(IF(ISNUMBER(S18),S18,DATOS!$C$135),TABLAS!$B$52:$B$58,0)+0,7)),IF(AND(CK18&gt;0,FLOOR(MIN(BD18,100*INDEX(TABLAS!$D$52:$D$58,MIN(MATCH(IF(ISNUMBER(S18),S18,DATOS!$C$135),TABLAS!$B$52:$B$58,0)+1,7))/MAX(CK18,0.0001)),DATOS!$C$141)&gt;=DATOS!$C$140),INDEX(TABLAS!$B$52:$B$58,MIN(MATCH(IF(ISNUMBER(S18),S18,DATOS!$C$135),TABLAS!$B$52:$B$58,0)+1,7)),IF(AND(CK18&gt;0,FLOOR(MIN(BD18,100*INDEX(TABLAS!$D$52:$D$58,MIN(MATCH(IF(ISNUMBER(S18),S18,DATOS!$C$135),TABLAS!$B$52:$B$58,0)+2,7))/MAX(CK18,0.0001)),DATOS!$C$141)&gt;=DATOS!$C$140),INDEX(TABLAS!$B$52:$B$58,MIN(MATCH(IF(ISNUMBER(S18),S18,DATOS!$C$135),TABLAS!$B$52:$B$58,0)+2,7)),IF(AND(CK18&gt;0,FLOOR(MIN(BD18,100*INDEX(TABLAS!$D$52:$D$58,MIN(MATCH(IF(ISNUMBER(S18),S18,DATOS!$C$135),TABLAS!$B$52:$B$58,0)+3,7))/MAX(CK18,0.0001)),DATOS!$C$141)&gt;=DATOS!$C$140),INDEX(TABLAS!$B$52:$B$58,MIN(MATCH(IF(ISNUMBER(S18),S18,DATOS!$C$135),TABLAS!$B$52:$B$58,0)+3,7)),IF(AND(CK18&gt;0,FLOOR(MIN(BD18,100*INDEX(TABLAS!$D$52:$D$58,MIN(MATCH(IF(ISNUMBER(S18),S18,DATOS!$C$135),TABLAS!$B$52:$B$58,0)+4,7))/MAX(CK18,0.0001)),DATOS!$C$141)&gt;=DATOS!$C$140),INDEX(TABLAS!$B$52:$B$58,MIN(MATCH(IF(ISNUMBER(S18),S18,DATOS!$C$135),TABLAS!$B$52:$B$58,0)+4,7)),INDEX(TABLAS!$B$52:$B$58,7)))))))</f>
        <v/>
      </c>
      <c r="CM18" s="71" t="str">
        <f>IF(V18&lt;&gt;"SÍ","",IF(CK18&lt;=0,0,FLOOR(MIN(BD18,100*INDEX(TABLAS!$D$52:$D$58,MATCH(CL18,TABLAS!$B$52:$B$58,0))/CK18),DATOS!$C$141)))</f>
        <v/>
      </c>
      <c r="CN18" s="58" t="str">
        <f>IF(V18&lt;&gt;"SÍ","",IF(CM18&lt;=0,0,INDEX(TABLAS!$D$52:$D$58,MATCH(CL18,TABLAS!$B$52:$B$58,0))*100/CM18))</f>
        <v/>
      </c>
      <c r="CO18" s="58" t="str">
        <f>IF(V18&lt;&gt;"SÍ","",((W18-AF18-INDEX(TABLAS!$C$52:$C$58,MATCH(BR18,TABLAS!$B$52:$B$58,0))-INDEX(TABLAS!$C$52:$C$58,MATCH(CL18,TABLAS!$B$52:$B$58,0))/2)-IF(AND((W18-AF18-INDEX(TABLAS!$C$52:$C$58,MATCH(BR18,TABLAS!$B$52:$B$58,0))-INDEX(TABLAS!$C$52:$C$58,MATCH(CL18,TABLAS!$B$52:$B$58,0))/2)&lt;=20,DATOS!$C$62&lt;&gt;"SÍ"),2,0)))</f>
        <v/>
      </c>
      <c r="CP18" s="56" t="str">
        <f>IF(V18&lt;&gt;"SÍ","",IF(CN18=0,0,DATOS!$C$29*CN18*DATOS!$C$14*(CO18-CN18*DATOS!$C$14/(DATOS!$C$21*100)/2)/1E5))</f>
        <v/>
      </c>
      <c r="CQ18" s="65" t="str">
        <f>IF(V18&lt;&gt;"SÍ","",IF(CK18&lt;0,9.99,IF(CP18&gt;0,BA18/CP18,0)))</f>
        <v/>
      </c>
      <c r="CR18" s="66" t="str">
        <f>IF(V18&lt;&gt;"SÍ","",IF(CN18=0,"—",0.003*(CO18-(CN18*DATOS!$C$14/(DATOS!$C$21*100)/DATOS!$C$22))/(CN18*DATOS!$C$14/(DATOS!$C$21*100)/DATOS!$C$22)))</f>
        <v/>
      </c>
      <c r="CS18" s="56" t="str">
        <f>IF(V18&lt;&gt;"SÍ","",IF(C18="PERIMETRAL",MAX(0,(AC18/2-BU18)/100)*(0.95-0.5*AB18)*AK18*IF(AND(AL18&gt;0,AL18&lt;4),DATOS!$C$33,1)/1000,(AK18*MAX(0,AC18-BU18)/100+DATOS!$C$26*N(P18))/1000))</f>
        <v/>
      </c>
      <c r="CT18" s="66" t="str">
        <f>IF(V18&lt;&gt;"SÍ","",BT18/(100*BU18))</f>
        <v/>
      </c>
      <c r="CU18" s="56" t="str">
        <f>IF(V18&lt;&gt;"SÍ","",DATOS!$C$30*2*MIN(1,SQRT(2/(1+0.04*BU18)))*CT18^(1/3)*SQRT(DATOS!$C$13)*100*BU18/1000)</f>
        <v/>
      </c>
      <c r="CV18" s="67" t="str">
        <f>IF(V18&lt;&gt;"SÍ","",IF(CS18&lt;=CU18,"CUMPLE","NO CUMPLE: sube h"))</f>
        <v/>
      </c>
      <c r="CW18" s="58" t="str">
        <f>IF(V18&lt;&gt;"SÍ","",IF(C18="PERIMETRAL",IF(ISNUMBER(R18),R18,DATOS!$C$101),0))</f>
        <v/>
      </c>
      <c r="CX18" s="57" t="str">
        <f>IF(V18&lt;&gt;"SÍ","",IF(C18="PERIMETRAL",IF(CW18&gt;2,MAX(9,AD18*(0.8+DATOS!$C$14/14000)/(36+9*(AD18/MAX(AC18,1)))),IF(CW18&gt;0.2,MAX(13,AD18*(0.8+DATOS!$C$14/14000)/(36+5*(AD18/MAX(AC18,1))*(CW18-0.2))),MAX(13,AD18/IF(AL18&gt;0,30,33))))*IF(AND(CW18&gt;0.2,AL18&gt;0,DATOS!$C$102="NO"),1.1,1),Z18*100/DATOS!$C$142))</f>
        <v/>
      </c>
      <c r="CY18" s="61" t="str">
        <f>IF(V18&lt;&gt;"SÍ","",IF(W18&gt;=CX18-0.001,"CUMPLE",IF(C18="VOLADO","NO CUMPLE","CALCULAR FLECHA")))</f>
        <v/>
      </c>
      <c r="CZ18" s="60" t="str">
        <f>IF(V18&lt;&gt;"SÍ","",IF(C18="VOLADO",MIN(CEILING(IF(ISNUMBER(Q18),Q18,Z18)*100,5),CEILING(MAX(IF((0.5*(0.9*W18/100*DATOS!$C$16)*IF(ISNUMBER(Q18),Q18,Z18)+AY18/IF(ISNUMBER(Q18),Q18,Z18))^2-4*(0.5*(0.9*W18/100*DATOS!$C$16))*AY18&lt;0,IF(ISNUMBER(Q18),Q18,Z18),MIN(IF(ISNUMBER(Q18),Q18,Z18),((0.5*(0.9*W18/100*DATOS!$C$16)*IF(ISNUMBER(Q18),Q18,Z18)+AY18/IF(ISNUMBER(Q18),Q18,Z18))-SQRT((0.5*(0.9*W18/100*DATOS!$C$16)*IF(ISNUMBER(Q18),Q18,Z18)+AY18/IF(ISNUMBER(Q18),Q18,Z18))^2-4*(0.5*(0.9*W18/100*DATOS!$C$16))*AY18))/(2*(0.5*(0.9*W18/100*DATOS!$C$16)))))*100+MAX(BU18,12*INDEX(TABLAS!$C$52:$C$58,MATCH(BR18,TABLAS!$B$52:$B$58,0)),IF(ISNUMBER(Q18),Q18,Z18)*100/16),IF(OR(AF18&lt;INDEX(TABLAS!$C$52:$C$58,MATCH(BR18,TABLAS!$B$52:$B$58,0)),BS18-INDEX(TABLAS!$C$52:$C$58,MATCH(BR18,TABLAS!$B$52:$B$58,0))&lt;2*INDEX(TABLAS!$C$52:$C$58,MATCH(BR18,TABLAS!$B$52:$B$58,0))),INDEX(TABLAS!$I$52:$I$58,MATCH(BR18,TABLAS!$B$52:$B$58,0)),INDEX(TABLAS!$F$52:$F$58,MATCH(BR18,TABLAS!$B$52:$B$58,0)))),5)),IF(((4*((AV18*AK18*Z18^2*1E-4/1000)+((MAX(AR18,AT18)*AK18*Z18^2*1E-4/1000)+(IF(AND(AR18&gt;0,AT18&gt;0),MIN(AR18,AT18),MAX(AR18,AT18))*AK18*Z18^2*1E-4/1000))/2)+AY18-(IF(AND(AR18&gt;0,AT18&gt;0),MIN(AR18,AT18),MAX(AR18,AT18))*AK18*Z18^2*1E-4/1000))^2-16*((AV18*AK18*Z18^2*1E-4/1000)+((MAX(AR18,AT18)*AK18*Z18^2*1E-4/1000)+(IF(AND(AR18&gt;0,AT18&gt;0),MIN(AR18,AT18),MAX(AR18,AT18))*AK18*Z18^2*1E-4/1000))/2)*AY18)&lt;0,CEILING(AC18,5),CEILING(MAX(AC18*((4*((AV18*AK18*Z18^2*1E-4/1000)+((MAX(AR18,AT18)*AK18*Z18^2*1E-4/1000)+(IF(AND(AR18&gt;0,AT18&gt;0),MIN(AR18,AT18),MAX(AR18,AT18))*AK18*Z18^2*1E-4/1000))/2)+AY18-(IF(AND(AR18&gt;0,AT18&gt;0),MIN(AR18,AT18),MAX(AR18,AT18))*AK18*Z18^2*1E-4/1000))-SQRT(MAX(0,((4*((AV18*AK18*Z18^2*1E-4/1000)+((MAX(AR18,AT18)*AK18*Z18^2*1E-4/1000)+(IF(AND(AR18&gt;0,AT18&gt;0),MIN(AR18,AT18),MAX(AR18,AT18))*AK18*Z18^2*1E-4/1000))/2)+AY18-(IF(AND(AR18&gt;0,AT18&gt;0),MIN(AR18,AT18),MAX(AR18,AT18))*AK18*Z18^2*1E-4/1000))^2-16*((AV18*AK18*Z18^2*1E-4/1000)+((MAX(AR18,AT18)*AK18*Z18^2*1E-4/1000)+(IF(AND(AR18&gt;0,AT18&gt;0),MIN(AR18,AT18),MAX(AR18,AT18))*AK18*Z18^2*1E-4/1000))/2)*AY18))))/(8*MAX(((AV18*AK18*Z18^2*1E-4/1000)+((MAX(AR18,AT18)*AK18*Z18^2*1E-4/1000)+(IF(AND(AR18&gt;0,AT18&gt;0),MIN(AR18,AT18),MAX(AR18,AT18))*AK18*Z18^2*1E-4/1000))/2),1E-9))+MAX(BU18,12*INDEX(TABLAS!$C$52:$C$58,MATCH(BR18,TABLAS!$B$52:$B$58,0)),AC18/16),IF(OR(AF18&lt;INDEX(TABLAS!$C$52:$C$58,MATCH(BR18,TABLAS!$B$52:$B$58,0)),BS18-INDEX(TABLAS!$C$52:$C$58,MATCH(BR18,TABLAS!$B$52:$B$58,0))&lt;2*INDEX(TABLAS!$C$52:$C$58,MATCH(BR18,TABLAS!$B$52:$B$58,0))),INDEX(TABLAS!$I$52:$I$58,MATCH(BR18,TABLAS!$B$52:$B$58,0)),INDEX(TABLAS!$F$52:$F$58,MATCH(BR18,TABLAS!$B$52:$B$58,0)))),5))))</f>
        <v/>
      </c>
      <c r="DA18" s="60" t="str">
        <f>IF(V18&lt;&gt;"SÍ","",IF(C18="VOLADO",0,IF(((4*((AW18*AK18*Z18^2*1E-4/1000)+((MAX(AS18,AU18)*AK18*Z18^2*1E-4/1000)+(IF(AND(AS18&gt;0,AU18&gt;0),MIN(AS18,AU18),MAX(AS18,AU18))*AK18*Z18^2*1E-4/1000))/2)+BA18-(IF(AND(AS18&gt;0,AU18&gt;0),MIN(AS18,AU18),MAX(AS18,AU18))*AK18*Z18^2*1E-4/1000))^2-16*((AW18*AK18*Z18^2*1E-4/1000)+((MAX(AS18,AU18)*AK18*Z18^2*1E-4/1000)+(IF(AND(AS18&gt;0,AU18&gt;0),MIN(AS18,AU18),MAX(AS18,AU18))*AK18*Z18^2*1E-4/1000))/2)*BA18)&lt;0,CEILING(AD18,5),CEILING(MAX(AD18*((4*((AW18*AK18*Z18^2*1E-4/1000)+((MAX(AS18,AU18)*AK18*Z18^2*1E-4/1000)+(IF(AND(AS18&gt;0,AU18&gt;0),MIN(AS18,AU18),MAX(AS18,AU18))*AK18*Z18^2*1E-4/1000))/2)+BA18-(IF(AND(AS18&gt;0,AU18&gt;0),MIN(AS18,AU18),MAX(AS18,AU18))*AK18*Z18^2*1E-4/1000))-SQRT(MAX(0,((4*((AW18*AK18*Z18^2*1E-4/1000)+((MAX(AS18,AU18)*AK18*Z18^2*1E-4/1000)+(IF(AND(AS18&gt;0,AU18&gt;0),MIN(AS18,AU18),MAX(AS18,AU18))*AK18*Z18^2*1E-4/1000))/2)+BA18-(IF(AND(AS18&gt;0,AU18&gt;0),MIN(AS18,AU18),MAX(AS18,AU18))*AK18*Z18^2*1E-4/1000))^2-16*((AW18*AK18*Z18^2*1E-4/1000)+((MAX(AS18,AU18)*AK18*Z18^2*1E-4/1000)+(IF(AND(AS18&gt;0,AU18&gt;0),MIN(AS18,AU18),MAX(AS18,AU18))*AK18*Z18^2*1E-4/1000))/2)*BA18))))/(8*MAX(((AW18*AK18*Z18^2*1E-4/1000)+((MAX(AS18,AU18)*AK18*Z18^2*1E-4/1000)+(IF(AND(AS18&gt;0,AU18&gt;0),MIN(AS18,AU18),MAX(AS18,AU18))*AK18*Z18^2*1E-4/1000))/2),1E-9))+MAX(CO18,12*INDEX(TABLAS!$C$52:$C$58,MATCH(CL18,TABLAS!$B$52:$B$58,0)),AD18/16),IF(OR(AF18&lt;INDEX(TABLAS!$C$52:$C$58,MATCH(CL18,TABLAS!$B$52:$B$58,0)),CM18-INDEX(TABLAS!$C$52:$C$58,MATCH(CL18,TABLAS!$B$52:$B$58,0))&lt;2*INDEX(TABLAS!$C$52:$C$58,MATCH(CL18,TABLAS!$B$52:$B$58,0))),INDEX(TABLAS!$I$52:$I$58,MATCH(CL18,TABLAS!$B$52:$B$58,0)),INDEX(TABLAS!$F$52:$F$58,MATCH(CL18,TABLAS!$B$52:$B$58,0)))),5))))</f>
        <v/>
      </c>
      <c r="DB18" s="55" t="str">
        <f>IF(V18&lt;&gt;"SÍ","",IF(AND(C18="PERIMETRAL",AL18-AM18&gt;0,AT18&gt;0),"SÍ","NO"))</f>
        <v/>
      </c>
      <c r="DC18" s="55" t="str">
        <f>IF(V18&lt;&gt;"SÍ","",IF(AND(C18="PERIMETRAL",AM18&gt;0,AU18&gt;0),"SÍ","NO"))</f>
        <v/>
      </c>
      <c r="DD18" s="63" t="str">
        <f>IF(V18&lt;&gt;"SÍ","",IF(OR(C18="VOLADO",AL18=0),"—",IF(AND(AND(INDEX(TABLAS!$G$52:$G$58,MATCH(MAX(BR18,CL18),TABLAS!$B$52:$B$58,0))&lt;=(DATOS!$C$72-DATOS!$C$60),(DATOS!$C$72-DATOS!$C$60)&gt;=15),8*INDEX(TABLAS!$C$52:$C$58,MATCH(MAX(BH18,CB18,BR18,CL18),TABLAS!$B$52:$B$58,0))&lt;=DATOS!$C$73-2*DATOS!$C$60),"CUMPLE (gancho de 180°)",IF(AND(INDEX(TABLAS!$G$52:$G$58,MATCH(MAX(BR18,CL18),TABLAS!$B$52:$B$58,0))&lt;=(DATOS!$C$72-DATOS!$C$60),(DATOS!$C$72-DATOS!$C$60)&gt;=15),"NO CUMPLE: el gancho de 180° (8·d_b) no cabe en el peralte de la dala de borde","NO CUMPLE: dala de borde ≥ "&amp;TEXT(CEILING(MAX(INDEX(TABLAS!$G$52:$G$58,MATCH(MAX(BR18,CL18),TABLAS!$B$52:$B$58,0)),15)+DATOS!$C$60,5),"0")&amp;" cm de ancho"&amp;IF(8*INDEX(TABLAS!$C$52:$C$58,MATCH(MAX(BH18,CB18,BR18,CL18),TABLAS!$B$52:$B$58,0))&lt;=DATOS!$C$73-2*DATOS!$C$60,""," y más peralte para el gancho")))))</f>
        <v/>
      </c>
      <c r="DE18" s="69" t="str">
        <f>IF(V18&lt;&gt;"SÍ","",IF(BI18=0,"NO ALCANZA","No. "&amp;BH18&amp;" @ "&amp;BI18&amp;" cm"&amp;IF(C18="VOLADO"," (temperatura)","")))</f>
        <v/>
      </c>
      <c r="DF18" s="69" t="str">
        <f>IF(V18&lt;&gt;"SÍ","",IF(BS18=0,"NO ALCANZA",IF(C18="VOLADO","No. "&amp;BR18&amp;" @ "&amp;BS18&amp;" cm"&amp;" de la orilla al respaldo ("&amp;IF(CZ18&gt;=100*IF(ISNUMBER(Q18),Q18,Z18),"hasta su apoyo lejano, con gancho","entran "&amp;TEXT(CZ18/100,"0.00")&amp;" m desde el paño")&amp;")","Bastones "&amp;"No. "&amp;BR18&amp;" @ "&amp;BS18&amp;" cm"&amp;", L = "&amp;TEXT(CZ18/100,"0.00")&amp;" m desde el paño")))</f>
        <v/>
      </c>
      <c r="DG18" s="69" t="str">
        <f>IF(V18&lt;&gt;"SÍ","",IF(CC18=0,"NO ALCANZA","No. "&amp;CB18&amp;" @ "&amp;CC18&amp;" cm"&amp;IF(C18="VOLADO"," (repartición)","")))</f>
        <v/>
      </c>
      <c r="DH18" s="69" t="str">
        <f>IF(V18&lt;&gt;"SÍ","",IF(CM18=0,"NO ALCANZA",IF(C18="VOLADO","No. "&amp;CL18&amp;" @ "&amp;CM18&amp;" cm"&amp;" (repartición)","Bastones "&amp;"No. "&amp;CL18&amp;" @ "&amp;CM18&amp;" cm"&amp;", L = "&amp;TEXT(DA18/100,"0.00")&amp;" m desde el paño")))</f>
        <v/>
      </c>
      <c r="DI18" s="67" t="str">
        <f>IF(B18="","",IF(V18&lt;&gt;"SÍ","FALTAN DATOS: tipo, a_x, a_y y destino",IF(L18="NO MONOLÍTICO (caso II)","FUERA DE ALCANCE: caso II no transcrito",IF(AND(C18="VOLADO",X18="?"),"REVISAR: el volado lleva UN solo borde CONTINUO (el empotrado)",IF(AND(MAX(BM18,BW18,CG18,CQ18)&lt;=1,NOT(OR(BI18&lt;DATOS!$C$140,BS18&lt;DATOS!$C$140,CC18&lt;DATOS!$C$140,CM18&lt;DATOS!$C$140)),NOT(OR(AND(ISNUMBER(BN18),BN18&lt;0.005),AND(ISNUMBER(BX18),BX18&lt;0.005),AND(ISNUMBER(CH18),CH18&lt;0.005),AND(ISNUMBER(CR18),CR18&lt;0.005))),CV18="CUMPLE",CY18="CUMPLE"),"CUMPLE"&amp;IF(LEFT(BB18,5)="FUERA"," · fuera de 3.4.2.1 c)","")&amp;IF(LEFT(DD18,2)="NO"," · REVISAR anclaje en borde discontinuo",""),IF(AND(MAX(BM18,BW18,CG18,CQ18)&lt;=1,NOT(OR(BI18&lt;DATOS!$C$140,BS18&lt;DATOS!$C$140,CC18&lt;DATOS!$C$140,CM18&lt;DATOS!$C$140)),NOT(OR(AND(ISNUMBER(BN18),BN18&lt;0.005),AND(ISNUMBER(BX18),BX18&lt;0.005),AND(ISNUMBER(CH18),CH18&lt;0.005),AND(ISNUMBER(CR18),CR18&lt;0.005))),CV18="CUMPLE",CY18="CALCULAR FLECHA"),"REVISAR: calcular flecha (h &lt; h mín.)"&amp;IF(LEFT(BB18,5)="FUERA"," · fuera de 3.4.2.1 c)","")&amp;IF(LEFT(DD18,2)="NO"," · REVISAR anclaje en borde discontinuo",""),"NO CUMPLE: "&amp;IF(MAX(BM18,BW18,CG18,CQ18)&gt;1,"flexión ","")&amp;IF(OR(BI18&lt;DATOS!$C$140,BS18&lt;DATOS!$C$140,CC18&lt;DATOS!$C$140,CM18&lt;DATOS!$C$140),"separación &lt; mínima ","")&amp;IF(OR(AND(ISNUMBER(BN18),BN18&lt;0.005),AND(ISNUMBER(BX18),BX18&lt;0.005),AND(ISNUMBER(CH18),CH18&lt;0.005),AND(ISNUMBER(CR18),CR18&lt;0.005)),"ε_t &lt; 0.005 ","")&amp;IF(CV18&lt;&gt;"CUMPLE","cortante ","")&amp;IF(CY18="NO CUMPLE","peralte","")))))))</f>
        <v/>
      </c>
      <c r="DJ18" s="70" t="str">
        <f>IF(V18&lt;&gt;"SÍ","",IF(LEFT(B18,7)="EJEMPLO","EJEMPLO de tablero típico: bórralo o sobrescríbelo. ","")&amp;IF(C18="VOLADO","Volado de "&amp;TEXT(Z18,"0.00")&amp;" m empotrado en el borde "&amp;LOWER(X18)&amp;IF(N(P18)&gt;0,", con "&amp;TEXT(P18,"0.0")&amp;" kg/m en la orilla","")&amp;". Lecho inferior con r_ext. Si la orilla carga pretil u otro elemento frágil, calcula la flecha (13.4). El acero superior entra al respaldo de "&amp;TEXT(IF(ISNUMBER(Q18),Q18,Z18),"0.00")&amp;" m"&amp;IF(ISNUMBER(Q18),""," (L_b no capturado: se tomó igual al volado)")&amp;" hasta pasar M = 0 con 0.9·PP sin carga viva; si ahí no se anula, llega al apoyo lejano y se ancla con gancho. ","")&amp;IF(LEFT(BB18,5)="FUERA","El M⁻ del vecino difiere más de 50 % (3.4.2.1 c): distribuye el desequilibrio (3.4.3.1) o confirma con un modelo; se arma con el mayor. ","")&amp;IF(OR(DB18="SÍ",DC18="SÍ"),"Bastones también en los bordes discontinuos (M⁻ de tabla), con gancho. ","")&amp;IF(LEFT(DD18,2)="NO","Anclaje: "&amp;DD18&amp;" (6.7.7.4.1.1). ","")&amp;IF(OR(AT18&gt;0,AU18&gt;0),"Esquinas exteriores sobre muro: refuerzo de esquina arriba y abajo en L_largo/5 (6.7.7.3.1). ",""))</f>
        <v/>
      </c>
    </row>
    <row r="19" ht="33" customHeight="1">
      <c r="A19" s="50">
        <f>IF(B19="",0,1)+A18</f>
        <v>3</v>
      </c>
      <c r="B19" s="29" t="n"/>
      <c r="C19" s="51" t="n"/>
      <c r="D19" s="29" t="n"/>
      <c r="E19" s="52" t="n"/>
      <c r="F19" s="52" t="n"/>
      <c r="G19" s="51" t="n"/>
      <c r="H19" s="51" t="n"/>
      <c r="I19" s="51" t="n"/>
      <c r="J19" s="51" t="n"/>
      <c r="K19" s="51" t="n"/>
      <c r="L19" s="51" t="n"/>
      <c r="M19" s="54" t="n"/>
      <c r="N19" s="53" t="n"/>
      <c r="O19" s="53" t="n"/>
      <c r="P19" s="54" t="n"/>
      <c r="Q19" s="52" t="n"/>
      <c r="R19" s="54" t="n"/>
      <c r="S19" s="53" t="n"/>
      <c r="T19" s="52" t="n"/>
      <c r="U19" s="52" t="n"/>
      <c r="V19" s="55" t="str">
        <f>IF(B19="","",IF(AND(OR(C19="PERIMETRAL",C19="VOLADO"),ISNUMBER(E19),ISNUMBER(F19),E19&gt;0,F19&gt;0,OR(ISNUMBER(O19),ISNUMBER(MATCH(D19,DATOS!$B$46:$B$55,0)))),"SÍ","NO"))</f>
        <v/>
      </c>
      <c r="W19" s="57" t="str">
        <f>IF(V19&lt;&gt;"SÍ","",IF(ISNUMBER(M19),M19,DATOS!$C$134))</f>
        <v/>
      </c>
      <c r="X19" s="55" t="str">
        <f>IF(V19&lt;&gt;"SÍ","",IF(C19&lt;&gt;"VOLADO","—",IF(COUNTIF(G19:J19,"CONTINUO")&lt;&gt;1,"?",IF(G19="CONTINUO","INFERIOR",IF(H19="CONTINUO","SUPERIOR",IF(I19="CONTINUO","IZQUIERDO","DERECHO"))))))</f>
        <v/>
      </c>
      <c r="Y19" s="55" t="str">
        <f>IF(V19&lt;&gt;"SÍ","",IF(C19="VOLADO",IF(OR(X19="IZQUIERDO",X19="DERECHO"),"X","Y"),IF(E19&lt;=F19,"X","Y")))</f>
        <v/>
      </c>
      <c r="Z19" s="56" t="str">
        <f>IF(V19&lt;&gt;"SÍ","",IF(C19="VOLADO",IF(Y19="X",E19,F19),MIN(E19,F19)))</f>
        <v/>
      </c>
      <c r="AA19" s="56" t="str">
        <f>IF(V19&lt;&gt;"SÍ","",IF(C19="VOLADO",IF(Y19="X",F19,E19),MAX(E19,F19)))</f>
        <v/>
      </c>
      <c r="AB19" s="56" t="str">
        <f>IF(V19&lt;&gt;"SÍ","",MIN(Z19,AA19)/MAX(Z19,AA19))</f>
        <v/>
      </c>
      <c r="AC19" s="57" t="str">
        <f>IF(V19&lt;&gt;"SÍ","",MAX(1,Z19*100-IF(C19="VOLADO",DATOS!$C$84/2,DATOS!$C$84)))</f>
        <v/>
      </c>
      <c r="AD19" s="57" t="str">
        <f>IF(V19&lt;&gt;"SÍ","",MAX(1,AA19*100-DATOS!$C$84))</f>
        <v/>
      </c>
      <c r="AE19" s="57" t="str">
        <f>IF(V19&lt;&gt;"SÍ","",IF(C19="VOLADO",DATOS!$C$61,DATOS!$C$59))</f>
        <v/>
      </c>
      <c r="AF19" s="57" t="str">
        <f>IF(V19&lt;&gt;"SÍ","",IF(OR(AND(AG19="SÍ",DATOS!$C$63="SÍ"),AND(C19="VOLADO",DATOS!$C$64="SÍ")),DATOS!$C$61,DATOS!$C$59))</f>
        <v/>
      </c>
      <c r="AG19" s="55" t="str">
        <f>IF(V19&lt;&gt;"SÍ","",IFERROR(INDEX(DATOS!$D$46:$D$55,MATCH(D19,DATOS!$B$46:$B$55,0)),"NO"))</f>
        <v/>
      </c>
      <c r="AH19" s="59" t="str">
        <f>IF(V19&lt;&gt;"SÍ","",IF(ISNUMBER(O19),O19,IFERROR(INDEX(DATOS!$C$46:$C$55,MATCH(D19,DATOS!$B$46:$B$55,0)),0)))</f>
        <v/>
      </c>
      <c r="AI19" s="59" t="str">
        <f>IF(V19&lt;&gt;"SÍ","",W19/100*DATOS!$C$16*1000+DATOS!$C$37+DATOS!$C$38)</f>
        <v/>
      </c>
      <c r="AJ19" s="59" t="str">
        <f>IF(V19&lt;&gt;"SÍ","",AI19+N(N19))</f>
        <v/>
      </c>
      <c r="AK19" s="60" t="str">
        <f>IF(V19&lt;&gt;"SÍ","",MAX(DATOS!$C$26*AJ19+DATOS!$C$27*AH19,IF(AG19="SÍ",DATOS!$C$28*(AJ19+DATOS!$C$41),0)))</f>
        <v/>
      </c>
      <c r="AL19" s="59" t="str">
        <f>IF(V19&lt;&gt;"SÍ","",(G19="DISCONTINUO")+(H19="DISCONTINUO")+(I19="DISCONTINUO")+(J19="DISCONTINUO"))</f>
        <v/>
      </c>
      <c r="AM19" s="59" t="str">
        <f>IF(V19&lt;&gt;"SÍ","",IF(Y19="X",(G19="DISCONTINUO")+(H19="DISCONTINUO"),(I19="DISCONTINUO")+(J19="DISCONTINUO")))</f>
        <v/>
      </c>
      <c r="AN19" s="55" t="str">
        <f>IF(V19&lt;&gt;"SÍ","",IF(AL19=0,"INTERIOR",IF(AL19=1,IF(AM19=1,"BORDE-CORTO","BORDE-LARGO"),IF(AL19=2,IF(AM19=1,"ESQUINA",IF(AM19=2,"EXTREMO-LARGO","EXTREMO-CORTO")),IF(AL19=3,IF(AM19=2,"EXTREMO-LARGO","EXTREMO-CORTO"),"AISLADO")))))</f>
        <v/>
      </c>
      <c r="AO19" s="61" t="str">
        <f>IF(V19&lt;&gt;"SÍ","",IF(OR(K19="",K19="AUTO"),AN19,K19))</f>
        <v/>
      </c>
      <c r="AP19" s="59" t="str">
        <f>IF(V19&lt;&gt;"SÍ","",MATCH(AB19,TABLAS!$D$5:$J$5,1))</f>
        <v/>
      </c>
      <c r="AQ19" s="58" t="str">
        <f>IF(V19&lt;&gt;"SÍ","",IF(AP19&gt;=7,0,(AB19-INDEX(TABLAS!$D$5:$J$5,AP19))/(INDEX(TABLAS!$D$5:$J$5,AP19+1)-INDEX(TABLAS!$D$5:$J$5,AP19))))</f>
        <v/>
      </c>
      <c r="AR19" s="59" t="str">
        <f>IF(V19&lt;&gt;"SÍ","",INDEX(TABLAS!$D$6:$J$47,MATCH(AO19&amp;"|NIC",TABLAS!$B$6:$B$47,0),AP19)+AQ19*(INDEX(TABLAS!$D$6:$J$47,MATCH(AO19&amp;"|NIC",TABLAS!$B$6:$B$47,0),MIN(AP19+1,7))-INDEX(TABLAS!$D$6:$J$47,MATCH(AO19&amp;"|NIC",TABLAS!$B$6:$B$47,0),AP19)))</f>
        <v/>
      </c>
      <c r="AS19" s="59" t="str">
        <f>IF(V19&lt;&gt;"SÍ","",INDEX(TABLAS!$D$6:$J$47,MATCH(AO19&amp;"|NIL",TABLAS!$B$6:$B$47,0),AP19)+AQ19*(INDEX(TABLAS!$D$6:$J$47,MATCH(AO19&amp;"|NIL",TABLAS!$B$6:$B$47,0),MIN(AP19+1,7))-INDEX(TABLAS!$D$6:$J$47,MATCH(AO19&amp;"|NIL",TABLAS!$B$6:$B$47,0),AP19)))</f>
        <v/>
      </c>
      <c r="AT19" s="59" t="str">
        <f>IF(V19&lt;&gt;"SÍ","",INDEX(TABLAS!$D$6:$J$47,MATCH(AO19&amp;"|NDC",TABLAS!$B$6:$B$47,0),AP19)+AQ19*(INDEX(TABLAS!$D$6:$J$47,MATCH(AO19&amp;"|NDC",TABLAS!$B$6:$B$47,0),MIN(AP19+1,7))-INDEX(TABLAS!$D$6:$J$47,MATCH(AO19&amp;"|NDC",TABLAS!$B$6:$B$47,0),AP19)))</f>
        <v/>
      </c>
      <c r="AU19" s="59" t="str">
        <f>IF(V19&lt;&gt;"SÍ","",INDEX(TABLAS!$D$6:$J$47,MATCH(AO19&amp;"|NDL",TABLAS!$B$6:$B$47,0),AP19)+AQ19*(INDEX(TABLAS!$D$6:$J$47,MATCH(AO19&amp;"|NDL",TABLAS!$B$6:$B$47,0),MIN(AP19+1,7))-INDEX(TABLAS!$D$6:$J$47,MATCH(AO19&amp;"|NDL",TABLAS!$B$6:$B$47,0),AP19)))</f>
        <v/>
      </c>
      <c r="AV19" s="59" t="str">
        <f>IF(V19&lt;&gt;"SÍ","",INDEX(TABLAS!$D$6:$J$47,MATCH(AO19&amp;"|PC",TABLAS!$B$6:$B$47,0),AP19)+AQ19*(INDEX(TABLAS!$D$6:$J$47,MATCH(AO19&amp;"|PC",TABLAS!$B$6:$B$47,0),MIN(AP19+1,7))-INDEX(TABLAS!$D$6:$J$47,MATCH(AO19&amp;"|PC",TABLAS!$B$6:$B$47,0),AP19)))</f>
        <v/>
      </c>
      <c r="AW19" s="59" t="str">
        <f>IF(V19&lt;&gt;"SÍ","",INDEX(TABLAS!$D$6:$J$47,MATCH(AO19&amp;"|PL",TABLAS!$B$6:$B$47,0),AP19)+AQ19*(INDEX(TABLAS!$D$6:$J$47,MATCH(AO19&amp;"|PL",TABLAS!$B$6:$B$47,0),MIN(AP19+1,7))-INDEX(TABLAS!$D$6:$J$47,MATCH(AO19&amp;"|PL",TABLAS!$B$6:$B$47,0),AP19)))</f>
        <v/>
      </c>
      <c r="AX19" s="56" t="str">
        <f>IF(V19&lt;&gt;"SÍ","",IF(C19="PERIMETRAL",AV19*AK19*Z19^2*1E-4/1000,0))</f>
        <v/>
      </c>
      <c r="AY19" s="62" t="str">
        <f>IF(V19&lt;&gt;"SÍ","",IF(C19="PERIMETRAL",MAX(MAX(AR19,AT19)*AK19*Z19^2*1E-4/1000,N(T19)),(AK19*(AC19/100)^2/2+DATOS!$C$26*N(P19)*AC19/100)/1000))</f>
        <v/>
      </c>
      <c r="AZ19" s="56" t="str">
        <f>IF(V19&lt;&gt;"SÍ","",IF(C19="PERIMETRAL",AW19*AK19*Z19^2*1E-4/1000,0))</f>
        <v/>
      </c>
      <c r="BA19" s="56" t="str">
        <f>IF(V19&lt;&gt;"SÍ","",IF(C19="PERIMETRAL",MAX(MAX(AS19,AU19)*AK19*Z19^2*1E-4/1000,N(U19)),0))</f>
        <v/>
      </c>
      <c r="BB19" s="63" t="str">
        <f>IF(V19&lt;&gt;"SÍ","",IF(C19&lt;&gt;"PERIMETRAL","—",IF(AND(N(T19)=0,N(U19)=0),"— (sin M⁻ del vecino)",IF(OR(AND(N(T19)&gt;0,ABS(MAX(AR19,AT19)*AK19*Z19^2*1E-4/1000-N(T19))&gt;0.5*MIN(MAX(AR19,AT19)*AK19*Z19^2*1E-4/1000,N(T19))),AND(N(U19)&gt;0,ABS(MAX(AS19,AU19)*AK19*Z19^2*1E-4/1000-N(U19))&gt;0.5*MIN(MAX(AS19,AU19)*AK19*Z19^2*1E-4/1000,N(U19)))),"FUERA: difieren &gt; 50 %"&amp;IF(AND(N(T19)&gt;0,ABS(MAX(AR19,AT19)*AK19*Z19^2*1E-4/1000-N(T19))&gt;0.5*MIN(MAX(AR19,AT19)*AK19*Z19^2*1E-4/1000,N(T19)))," ‖ corto","")&amp;IF(AND(N(U19)&gt;0,ABS(MAX(AS19,AU19)*AK19*Z19^2*1E-4/1000-N(U19))&gt;0.5*MIN(MAX(AS19,AU19)*AK19*Z19^2*1E-4/1000,N(U19)))," ‖ largo",""),"CUMPLE"))))</f>
        <v/>
      </c>
      <c r="BC19" s="58" t="str">
        <f>IF(V19&lt;&gt;"SÍ","",DATOS!$C$136*100*W19)</f>
        <v/>
      </c>
      <c r="BD19" s="57" t="str">
        <f>IF(V19&lt;&gt;"SÍ","",MIN(IF(C19="VOLADO",DATOS!$C$138,DATOS!$C$137)*W19,DATOS!$C$139))</f>
        <v/>
      </c>
      <c r="BE19" s="58" t="str">
        <f>IF(V19&lt;&gt;"SÍ","",(W19-AE19-INDEX(TABLAS!$C$52:$C$58,MATCH(IF(ISNUMBER(S19),S19,DATOS!$C$135),TABLAS!$B$52:$B$58,0))/2))</f>
        <v/>
      </c>
      <c r="BF19" s="58" t="str">
        <f>IF(V19&lt;&gt;"SÍ","",IF(AX19&lt;=0,0,IF((1-2*AX19*1E5/(DATOS!$C$29*100*BE19^2*DATOS!$C$21))&lt;0,-1,IF((1-SQRT((1-2*AX19*1E5/(DATOS!$C$29*100*BE19^2*DATOS!$C$21))))*DATOS!$C$21*100*BE19/DATOS!$C$14&gt;DATOS!$C$99*100*BE19,-1,(1-SQRT((1-2*AX19*1E5/(DATOS!$C$29*100*BE19^2*DATOS!$C$21))))*DATOS!$C$21*100*BE19/DATOS!$C$14))))</f>
        <v/>
      </c>
      <c r="BG19" s="58" t="str">
        <f>IF(V19&lt;&gt;"SÍ","",IF(BF19&lt;0,-1,MAX(BF19,BC19)))</f>
        <v/>
      </c>
      <c r="BH19" s="64" t="str">
        <f>IF(V19&lt;&gt;"SÍ","",IF(AND(BG19&gt;0,FLOOR(MIN(BD19,100*INDEX(TABLAS!$D$52:$D$58,MIN(MATCH(IF(ISNUMBER(S19),S19,DATOS!$C$135),TABLAS!$B$52:$B$58,0)+0,7))/MAX(BG19,0.0001)),DATOS!$C$141)&gt;=DATOS!$C$140),INDEX(TABLAS!$B$52:$B$58,MIN(MATCH(IF(ISNUMBER(S19),S19,DATOS!$C$135),TABLAS!$B$52:$B$58,0)+0,7)),IF(AND(BG19&gt;0,FLOOR(MIN(BD19,100*INDEX(TABLAS!$D$52:$D$58,MIN(MATCH(IF(ISNUMBER(S19),S19,DATOS!$C$135),TABLAS!$B$52:$B$58,0)+1,7))/MAX(BG19,0.0001)),DATOS!$C$141)&gt;=DATOS!$C$140),INDEX(TABLAS!$B$52:$B$58,MIN(MATCH(IF(ISNUMBER(S19),S19,DATOS!$C$135),TABLAS!$B$52:$B$58,0)+1,7)),IF(AND(BG19&gt;0,FLOOR(MIN(BD19,100*INDEX(TABLAS!$D$52:$D$58,MIN(MATCH(IF(ISNUMBER(S19),S19,DATOS!$C$135),TABLAS!$B$52:$B$58,0)+2,7))/MAX(BG19,0.0001)),DATOS!$C$141)&gt;=DATOS!$C$140),INDEX(TABLAS!$B$52:$B$58,MIN(MATCH(IF(ISNUMBER(S19),S19,DATOS!$C$135),TABLAS!$B$52:$B$58,0)+2,7)),IF(AND(BG19&gt;0,FLOOR(MIN(BD19,100*INDEX(TABLAS!$D$52:$D$58,MIN(MATCH(IF(ISNUMBER(S19),S19,DATOS!$C$135),TABLAS!$B$52:$B$58,0)+3,7))/MAX(BG19,0.0001)),DATOS!$C$141)&gt;=DATOS!$C$140),INDEX(TABLAS!$B$52:$B$58,MIN(MATCH(IF(ISNUMBER(S19),S19,DATOS!$C$135),TABLAS!$B$52:$B$58,0)+3,7)),IF(AND(BG19&gt;0,FLOOR(MIN(BD19,100*INDEX(TABLAS!$D$52:$D$58,MIN(MATCH(IF(ISNUMBER(S19),S19,DATOS!$C$135),TABLAS!$B$52:$B$58,0)+4,7))/MAX(BG19,0.0001)),DATOS!$C$141)&gt;=DATOS!$C$140),INDEX(TABLAS!$B$52:$B$58,MIN(MATCH(IF(ISNUMBER(S19),S19,DATOS!$C$135),TABLAS!$B$52:$B$58,0)+4,7)),INDEX(TABLAS!$B$52:$B$58,7)))))))</f>
        <v/>
      </c>
      <c r="BI19" s="71" t="str">
        <f>IF(V19&lt;&gt;"SÍ","",IF(BG19&lt;=0,0,FLOOR(MIN(BD19,100*INDEX(TABLAS!$D$52:$D$58,MATCH(BH19,TABLAS!$B$52:$B$58,0))/BG19),DATOS!$C$141)))</f>
        <v/>
      </c>
      <c r="BJ19" s="58" t="str">
        <f>IF(V19&lt;&gt;"SÍ","",IF(BI19&lt;=0,0,INDEX(TABLAS!$D$52:$D$58,MATCH(BH19,TABLAS!$B$52:$B$58,0))*100/BI19))</f>
        <v/>
      </c>
      <c r="BK19" s="58" t="str">
        <f>IF(V19&lt;&gt;"SÍ","",W19-AE19-INDEX(TABLAS!$C$52:$C$58,MATCH(BH19,TABLAS!$B$52:$B$58,0))/2)</f>
        <v/>
      </c>
      <c r="BL19" s="56" t="str">
        <f>IF(V19&lt;&gt;"SÍ","",IF(BJ19=0,0,DATOS!$C$29*BJ19*DATOS!$C$14*(BK19-BJ19*DATOS!$C$14/(DATOS!$C$21*100)/2)/1E5))</f>
        <v/>
      </c>
      <c r="BM19" s="65" t="str">
        <f>IF(V19&lt;&gt;"SÍ","",IF(BG19&lt;0,9.99,IF(BL19&gt;0,AX19/BL19,0)))</f>
        <v/>
      </c>
      <c r="BN19" s="66" t="str">
        <f>IF(V19&lt;&gt;"SÍ","",IF(BJ19=0,"—",0.003*(BK19-(BJ19*DATOS!$C$14/(DATOS!$C$21*100)/DATOS!$C$22))/(BJ19*DATOS!$C$14/(DATOS!$C$21*100)/DATOS!$C$22)))</f>
        <v/>
      </c>
      <c r="BO19" s="58" t="str">
        <f>IF(V19&lt;&gt;"SÍ","",((W19-AF19-INDEX(TABLAS!$C$52:$C$58,MATCH(IF(ISNUMBER(S19),S19,DATOS!$C$135),TABLAS!$B$52:$B$58,0))/2)-IF(AND((W19-AF19-INDEX(TABLAS!$C$52:$C$58,MATCH(IF(ISNUMBER(S19),S19,DATOS!$C$135),TABLAS!$B$52:$B$58,0))/2)&lt;=20,DATOS!$C$62&lt;&gt;"SÍ"),2,0)))</f>
        <v/>
      </c>
      <c r="BP19" s="58" t="str">
        <f>IF(V19&lt;&gt;"SÍ","",IF(AY19&lt;=0,0,IF((1-2*AY19*1E5/(DATOS!$C$29*100*BO19^2*DATOS!$C$21))&lt;0,-1,IF((1-SQRT((1-2*AY19*1E5/(DATOS!$C$29*100*BO19^2*DATOS!$C$21))))*DATOS!$C$21*100*BO19/DATOS!$C$14&gt;DATOS!$C$99*100*BO19,-1,(1-SQRT((1-2*AY19*1E5/(DATOS!$C$29*100*BO19^2*DATOS!$C$21))))*DATOS!$C$21*100*BO19/DATOS!$C$14))))</f>
        <v/>
      </c>
      <c r="BQ19" s="58" t="str">
        <f>IF(V19&lt;&gt;"SÍ","",IF(BP19&lt;0,-1,MAX(BP19,BC19)))</f>
        <v/>
      </c>
      <c r="BR19" s="64" t="str">
        <f>IF(V19&lt;&gt;"SÍ","",IF(AND(BQ19&gt;0,FLOOR(MIN(BD19,100*INDEX(TABLAS!$D$52:$D$58,MIN(MATCH(IF(ISNUMBER(S19),S19,DATOS!$C$135),TABLAS!$B$52:$B$58,0)+0,7))/MAX(BQ19,0.0001)),DATOS!$C$141)&gt;=DATOS!$C$140),INDEX(TABLAS!$B$52:$B$58,MIN(MATCH(IF(ISNUMBER(S19),S19,DATOS!$C$135),TABLAS!$B$52:$B$58,0)+0,7)),IF(AND(BQ19&gt;0,FLOOR(MIN(BD19,100*INDEX(TABLAS!$D$52:$D$58,MIN(MATCH(IF(ISNUMBER(S19),S19,DATOS!$C$135),TABLAS!$B$52:$B$58,0)+1,7))/MAX(BQ19,0.0001)),DATOS!$C$141)&gt;=DATOS!$C$140),INDEX(TABLAS!$B$52:$B$58,MIN(MATCH(IF(ISNUMBER(S19),S19,DATOS!$C$135),TABLAS!$B$52:$B$58,0)+1,7)),IF(AND(BQ19&gt;0,FLOOR(MIN(BD19,100*INDEX(TABLAS!$D$52:$D$58,MIN(MATCH(IF(ISNUMBER(S19),S19,DATOS!$C$135),TABLAS!$B$52:$B$58,0)+2,7))/MAX(BQ19,0.0001)),DATOS!$C$141)&gt;=DATOS!$C$140),INDEX(TABLAS!$B$52:$B$58,MIN(MATCH(IF(ISNUMBER(S19),S19,DATOS!$C$135),TABLAS!$B$52:$B$58,0)+2,7)),IF(AND(BQ19&gt;0,FLOOR(MIN(BD19,100*INDEX(TABLAS!$D$52:$D$58,MIN(MATCH(IF(ISNUMBER(S19),S19,DATOS!$C$135),TABLAS!$B$52:$B$58,0)+3,7))/MAX(BQ19,0.0001)),DATOS!$C$141)&gt;=DATOS!$C$140),INDEX(TABLAS!$B$52:$B$58,MIN(MATCH(IF(ISNUMBER(S19),S19,DATOS!$C$135),TABLAS!$B$52:$B$58,0)+3,7)),IF(AND(BQ19&gt;0,FLOOR(MIN(BD19,100*INDEX(TABLAS!$D$52:$D$58,MIN(MATCH(IF(ISNUMBER(S19),S19,DATOS!$C$135),TABLAS!$B$52:$B$58,0)+4,7))/MAX(BQ19,0.0001)),DATOS!$C$141)&gt;=DATOS!$C$140),INDEX(TABLAS!$B$52:$B$58,MIN(MATCH(IF(ISNUMBER(S19),S19,DATOS!$C$135),TABLAS!$B$52:$B$58,0)+4,7)),INDEX(TABLAS!$B$52:$B$58,7)))))))</f>
        <v/>
      </c>
      <c r="BS19" s="71" t="str">
        <f>IF(V19&lt;&gt;"SÍ","",IF(BQ19&lt;=0,0,FLOOR(MIN(BD19,100*INDEX(TABLAS!$D$52:$D$58,MATCH(BR19,TABLAS!$B$52:$B$58,0))/BQ19),DATOS!$C$141)))</f>
        <v/>
      </c>
      <c r="BT19" s="58" t="str">
        <f>IF(V19&lt;&gt;"SÍ","",IF(BS19&lt;=0,0,INDEX(TABLAS!$D$52:$D$58,MATCH(BR19,TABLAS!$B$52:$B$58,0))*100/BS19))</f>
        <v/>
      </c>
      <c r="BU19" s="58" t="str">
        <f>IF(V19&lt;&gt;"SÍ","",((W19-AF19-INDEX(TABLAS!$C$52:$C$58,MATCH(BR19,TABLAS!$B$52:$B$58,0))/2)-IF(AND((W19-AF19-INDEX(TABLAS!$C$52:$C$58,MATCH(BR19,TABLAS!$B$52:$B$58,0))/2)&lt;=20,DATOS!$C$62&lt;&gt;"SÍ"),2,0)))</f>
        <v/>
      </c>
      <c r="BV19" s="56" t="str">
        <f>IF(V19&lt;&gt;"SÍ","",IF(BT19=0,0,DATOS!$C$29*BT19*DATOS!$C$14*(BU19-BT19*DATOS!$C$14/(DATOS!$C$21*100)/2)/1E5))</f>
        <v/>
      </c>
      <c r="BW19" s="65" t="str">
        <f>IF(V19&lt;&gt;"SÍ","",IF(BQ19&lt;0,9.99,IF(BV19&gt;0,AY19/BV19,0)))</f>
        <v/>
      </c>
      <c r="BX19" s="66" t="str">
        <f>IF(V19&lt;&gt;"SÍ","",IF(BT19=0,"—",0.003*(BU19-(BT19*DATOS!$C$14/(DATOS!$C$21*100)/DATOS!$C$22))/(BT19*DATOS!$C$14/(DATOS!$C$21*100)/DATOS!$C$22)))</f>
        <v/>
      </c>
      <c r="BY19" s="58" t="str">
        <f>IF(V19&lt;&gt;"SÍ","",(W19-AE19-1.5*INDEX(TABLAS!$C$52:$C$58,MATCH(IF(ISNUMBER(S19),S19,DATOS!$C$135),TABLAS!$B$52:$B$58,0))))</f>
        <v/>
      </c>
      <c r="BZ19" s="58" t="str">
        <f>IF(V19&lt;&gt;"SÍ","",IF(AZ19&lt;=0,0,IF((1-2*AZ19*1E5/(DATOS!$C$29*100*BY19^2*DATOS!$C$21))&lt;0,-1,IF((1-SQRT((1-2*AZ19*1E5/(DATOS!$C$29*100*BY19^2*DATOS!$C$21))))*DATOS!$C$21*100*BY19/DATOS!$C$14&gt;DATOS!$C$99*100*BY19,-1,(1-SQRT((1-2*AZ19*1E5/(DATOS!$C$29*100*BY19^2*DATOS!$C$21))))*DATOS!$C$21*100*BY19/DATOS!$C$14))))</f>
        <v/>
      </c>
      <c r="CA19" s="58" t="str">
        <f>IF(V19&lt;&gt;"SÍ","",IF(BZ19&lt;0,-1,MAX(BZ19,BC19)))</f>
        <v/>
      </c>
      <c r="CB19" s="64" t="str">
        <f>IF(V19&lt;&gt;"SÍ","",IF(AND(CA19&gt;0,FLOOR(MIN(BD19,100*INDEX(TABLAS!$D$52:$D$58,MIN(MATCH(IF(ISNUMBER(S19),S19,DATOS!$C$135),TABLAS!$B$52:$B$58,0)+0,7))/MAX(CA19,0.0001)),DATOS!$C$141)&gt;=DATOS!$C$140),INDEX(TABLAS!$B$52:$B$58,MIN(MATCH(IF(ISNUMBER(S19),S19,DATOS!$C$135),TABLAS!$B$52:$B$58,0)+0,7)),IF(AND(CA19&gt;0,FLOOR(MIN(BD19,100*INDEX(TABLAS!$D$52:$D$58,MIN(MATCH(IF(ISNUMBER(S19),S19,DATOS!$C$135),TABLAS!$B$52:$B$58,0)+1,7))/MAX(CA19,0.0001)),DATOS!$C$141)&gt;=DATOS!$C$140),INDEX(TABLAS!$B$52:$B$58,MIN(MATCH(IF(ISNUMBER(S19),S19,DATOS!$C$135),TABLAS!$B$52:$B$58,0)+1,7)),IF(AND(CA19&gt;0,FLOOR(MIN(BD19,100*INDEX(TABLAS!$D$52:$D$58,MIN(MATCH(IF(ISNUMBER(S19),S19,DATOS!$C$135),TABLAS!$B$52:$B$58,0)+2,7))/MAX(CA19,0.0001)),DATOS!$C$141)&gt;=DATOS!$C$140),INDEX(TABLAS!$B$52:$B$58,MIN(MATCH(IF(ISNUMBER(S19),S19,DATOS!$C$135),TABLAS!$B$52:$B$58,0)+2,7)),IF(AND(CA19&gt;0,FLOOR(MIN(BD19,100*INDEX(TABLAS!$D$52:$D$58,MIN(MATCH(IF(ISNUMBER(S19),S19,DATOS!$C$135),TABLAS!$B$52:$B$58,0)+3,7))/MAX(CA19,0.0001)),DATOS!$C$141)&gt;=DATOS!$C$140),INDEX(TABLAS!$B$52:$B$58,MIN(MATCH(IF(ISNUMBER(S19),S19,DATOS!$C$135),TABLAS!$B$52:$B$58,0)+3,7)),IF(AND(CA19&gt;0,FLOOR(MIN(BD19,100*INDEX(TABLAS!$D$52:$D$58,MIN(MATCH(IF(ISNUMBER(S19),S19,DATOS!$C$135),TABLAS!$B$52:$B$58,0)+4,7))/MAX(CA19,0.0001)),DATOS!$C$141)&gt;=DATOS!$C$140),INDEX(TABLAS!$B$52:$B$58,MIN(MATCH(IF(ISNUMBER(S19),S19,DATOS!$C$135),TABLAS!$B$52:$B$58,0)+4,7)),INDEX(TABLAS!$B$52:$B$58,7)))))))</f>
        <v/>
      </c>
      <c r="CC19" s="71" t="str">
        <f>IF(V19&lt;&gt;"SÍ","",IF(CA19&lt;=0,0,FLOOR(MIN(BD19,100*INDEX(TABLAS!$D$52:$D$58,MATCH(CB19,TABLAS!$B$52:$B$58,0))/CA19),DATOS!$C$141)))</f>
        <v/>
      </c>
      <c r="CD19" s="58" t="str">
        <f>IF(V19&lt;&gt;"SÍ","",IF(CC19&lt;=0,0,INDEX(TABLAS!$D$52:$D$58,MATCH(CB19,TABLAS!$B$52:$B$58,0))*100/CC19))</f>
        <v/>
      </c>
      <c r="CE19" s="58" t="str">
        <f>IF(V19&lt;&gt;"SÍ","",W19-AE19-INDEX(TABLAS!$C$52:$C$58,MATCH(BH19,TABLAS!$B$52:$B$58,0))-INDEX(TABLAS!$C$52:$C$58,MATCH(CB19,TABLAS!$B$52:$B$58,0))/2)</f>
        <v/>
      </c>
      <c r="CF19" s="56" t="str">
        <f>IF(V19&lt;&gt;"SÍ","",IF(CD19=0,0,DATOS!$C$29*CD19*DATOS!$C$14*(CE19-CD19*DATOS!$C$14/(DATOS!$C$21*100)/2)/1E5))</f>
        <v/>
      </c>
      <c r="CG19" s="65" t="str">
        <f>IF(V19&lt;&gt;"SÍ","",IF(CA19&lt;0,9.99,IF(CF19&gt;0,AZ19/CF19,0)))</f>
        <v/>
      </c>
      <c r="CH19" s="66" t="str">
        <f>IF(V19&lt;&gt;"SÍ","",IF(CD19=0,"—",0.003*(CE19-(CD19*DATOS!$C$14/(DATOS!$C$21*100)/DATOS!$C$22))/(CD19*DATOS!$C$14/(DATOS!$C$21*100)/DATOS!$C$22)))</f>
        <v/>
      </c>
      <c r="CI19" s="58" t="str">
        <f>IF(V19&lt;&gt;"SÍ","",((W19-AF19-1.5*INDEX(TABLAS!$C$52:$C$58,MATCH(IF(ISNUMBER(S19),S19,DATOS!$C$135),TABLAS!$B$52:$B$58,0)))-IF(AND((W19-AF19-1.5*INDEX(TABLAS!$C$52:$C$58,MATCH(IF(ISNUMBER(S19),S19,DATOS!$C$135),TABLAS!$B$52:$B$58,0)))&lt;=20,DATOS!$C$62&lt;&gt;"SÍ"),2,0)))</f>
        <v/>
      </c>
      <c r="CJ19" s="58" t="str">
        <f>IF(V19&lt;&gt;"SÍ","",IF(BA19&lt;=0,0,IF((1-2*BA19*1E5/(DATOS!$C$29*100*CI19^2*DATOS!$C$21))&lt;0,-1,IF((1-SQRT((1-2*BA19*1E5/(DATOS!$C$29*100*CI19^2*DATOS!$C$21))))*DATOS!$C$21*100*CI19/DATOS!$C$14&gt;DATOS!$C$99*100*CI19,-1,(1-SQRT((1-2*BA19*1E5/(DATOS!$C$29*100*CI19^2*DATOS!$C$21))))*DATOS!$C$21*100*CI19/DATOS!$C$14))))</f>
        <v/>
      </c>
      <c r="CK19" s="58" t="str">
        <f>IF(V19&lt;&gt;"SÍ","",IF(CJ19&lt;0,-1,MAX(CJ19,BC19)))</f>
        <v/>
      </c>
      <c r="CL19" s="64" t="str">
        <f>IF(V19&lt;&gt;"SÍ","",IF(AND(CK19&gt;0,FLOOR(MIN(BD19,100*INDEX(TABLAS!$D$52:$D$58,MIN(MATCH(IF(ISNUMBER(S19),S19,DATOS!$C$135),TABLAS!$B$52:$B$58,0)+0,7))/MAX(CK19,0.0001)),DATOS!$C$141)&gt;=DATOS!$C$140),INDEX(TABLAS!$B$52:$B$58,MIN(MATCH(IF(ISNUMBER(S19),S19,DATOS!$C$135),TABLAS!$B$52:$B$58,0)+0,7)),IF(AND(CK19&gt;0,FLOOR(MIN(BD19,100*INDEX(TABLAS!$D$52:$D$58,MIN(MATCH(IF(ISNUMBER(S19),S19,DATOS!$C$135),TABLAS!$B$52:$B$58,0)+1,7))/MAX(CK19,0.0001)),DATOS!$C$141)&gt;=DATOS!$C$140),INDEX(TABLAS!$B$52:$B$58,MIN(MATCH(IF(ISNUMBER(S19),S19,DATOS!$C$135),TABLAS!$B$52:$B$58,0)+1,7)),IF(AND(CK19&gt;0,FLOOR(MIN(BD19,100*INDEX(TABLAS!$D$52:$D$58,MIN(MATCH(IF(ISNUMBER(S19),S19,DATOS!$C$135),TABLAS!$B$52:$B$58,0)+2,7))/MAX(CK19,0.0001)),DATOS!$C$141)&gt;=DATOS!$C$140),INDEX(TABLAS!$B$52:$B$58,MIN(MATCH(IF(ISNUMBER(S19),S19,DATOS!$C$135),TABLAS!$B$52:$B$58,0)+2,7)),IF(AND(CK19&gt;0,FLOOR(MIN(BD19,100*INDEX(TABLAS!$D$52:$D$58,MIN(MATCH(IF(ISNUMBER(S19),S19,DATOS!$C$135),TABLAS!$B$52:$B$58,0)+3,7))/MAX(CK19,0.0001)),DATOS!$C$141)&gt;=DATOS!$C$140),INDEX(TABLAS!$B$52:$B$58,MIN(MATCH(IF(ISNUMBER(S19),S19,DATOS!$C$135),TABLAS!$B$52:$B$58,0)+3,7)),IF(AND(CK19&gt;0,FLOOR(MIN(BD19,100*INDEX(TABLAS!$D$52:$D$58,MIN(MATCH(IF(ISNUMBER(S19),S19,DATOS!$C$135),TABLAS!$B$52:$B$58,0)+4,7))/MAX(CK19,0.0001)),DATOS!$C$141)&gt;=DATOS!$C$140),INDEX(TABLAS!$B$52:$B$58,MIN(MATCH(IF(ISNUMBER(S19),S19,DATOS!$C$135),TABLAS!$B$52:$B$58,0)+4,7)),INDEX(TABLAS!$B$52:$B$58,7)))))))</f>
        <v/>
      </c>
      <c r="CM19" s="71" t="str">
        <f>IF(V19&lt;&gt;"SÍ","",IF(CK19&lt;=0,0,FLOOR(MIN(BD19,100*INDEX(TABLAS!$D$52:$D$58,MATCH(CL19,TABLAS!$B$52:$B$58,0))/CK19),DATOS!$C$141)))</f>
        <v/>
      </c>
      <c r="CN19" s="58" t="str">
        <f>IF(V19&lt;&gt;"SÍ","",IF(CM19&lt;=0,0,INDEX(TABLAS!$D$52:$D$58,MATCH(CL19,TABLAS!$B$52:$B$58,0))*100/CM19))</f>
        <v/>
      </c>
      <c r="CO19" s="58" t="str">
        <f>IF(V19&lt;&gt;"SÍ","",((W19-AF19-INDEX(TABLAS!$C$52:$C$58,MATCH(BR19,TABLAS!$B$52:$B$58,0))-INDEX(TABLAS!$C$52:$C$58,MATCH(CL19,TABLAS!$B$52:$B$58,0))/2)-IF(AND((W19-AF19-INDEX(TABLAS!$C$52:$C$58,MATCH(BR19,TABLAS!$B$52:$B$58,0))-INDEX(TABLAS!$C$52:$C$58,MATCH(CL19,TABLAS!$B$52:$B$58,0))/2)&lt;=20,DATOS!$C$62&lt;&gt;"SÍ"),2,0)))</f>
        <v/>
      </c>
      <c r="CP19" s="56" t="str">
        <f>IF(V19&lt;&gt;"SÍ","",IF(CN19=0,0,DATOS!$C$29*CN19*DATOS!$C$14*(CO19-CN19*DATOS!$C$14/(DATOS!$C$21*100)/2)/1E5))</f>
        <v/>
      </c>
      <c r="CQ19" s="65" t="str">
        <f>IF(V19&lt;&gt;"SÍ","",IF(CK19&lt;0,9.99,IF(CP19&gt;0,BA19/CP19,0)))</f>
        <v/>
      </c>
      <c r="CR19" s="66" t="str">
        <f>IF(V19&lt;&gt;"SÍ","",IF(CN19=0,"—",0.003*(CO19-(CN19*DATOS!$C$14/(DATOS!$C$21*100)/DATOS!$C$22))/(CN19*DATOS!$C$14/(DATOS!$C$21*100)/DATOS!$C$22)))</f>
        <v/>
      </c>
      <c r="CS19" s="56" t="str">
        <f>IF(V19&lt;&gt;"SÍ","",IF(C19="PERIMETRAL",MAX(0,(AC19/2-BU19)/100)*(0.95-0.5*AB19)*AK19*IF(AND(AL19&gt;0,AL19&lt;4),DATOS!$C$33,1)/1000,(AK19*MAX(0,AC19-BU19)/100+DATOS!$C$26*N(P19))/1000))</f>
        <v/>
      </c>
      <c r="CT19" s="66" t="str">
        <f>IF(V19&lt;&gt;"SÍ","",BT19/(100*BU19))</f>
        <v/>
      </c>
      <c r="CU19" s="56" t="str">
        <f>IF(V19&lt;&gt;"SÍ","",DATOS!$C$30*2*MIN(1,SQRT(2/(1+0.04*BU19)))*CT19^(1/3)*SQRT(DATOS!$C$13)*100*BU19/1000)</f>
        <v/>
      </c>
      <c r="CV19" s="67" t="str">
        <f>IF(V19&lt;&gt;"SÍ","",IF(CS19&lt;=CU19,"CUMPLE","NO CUMPLE: sube h"))</f>
        <v/>
      </c>
      <c r="CW19" s="58" t="str">
        <f>IF(V19&lt;&gt;"SÍ","",IF(C19="PERIMETRAL",IF(ISNUMBER(R19),R19,DATOS!$C$101),0))</f>
        <v/>
      </c>
      <c r="CX19" s="57" t="str">
        <f>IF(V19&lt;&gt;"SÍ","",IF(C19="PERIMETRAL",IF(CW19&gt;2,MAX(9,AD19*(0.8+DATOS!$C$14/14000)/(36+9*(AD19/MAX(AC19,1)))),IF(CW19&gt;0.2,MAX(13,AD19*(0.8+DATOS!$C$14/14000)/(36+5*(AD19/MAX(AC19,1))*(CW19-0.2))),MAX(13,AD19/IF(AL19&gt;0,30,33))))*IF(AND(CW19&gt;0.2,AL19&gt;0,DATOS!$C$102="NO"),1.1,1),Z19*100/DATOS!$C$142))</f>
        <v/>
      </c>
      <c r="CY19" s="61" t="str">
        <f>IF(V19&lt;&gt;"SÍ","",IF(W19&gt;=CX19-0.001,"CUMPLE",IF(C19="VOLADO","NO CUMPLE","CALCULAR FLECHA")))</f>
        <v/>
      </c>
      <c r="CZ19" s="60" t="str">
        <f>IF(V19&lt;&gt;"SÍ","",IF(C19="VOLADO",MIN(CEILING(IF(ISNUMBER(Q19),Q19,Z19)*100,5),CEILING(MAX(IF((0.5*(0.9*W19/100*DATOS!$C$16)*IF(ISNUMBER(Q19),Q19,Z19)+AY19/IF(ISNUMBER(Q19),Q19,Z19))^2-4*(0.5*(0.9*W19/100*DATOS!$C$16))*AY19&lt;0,IF(ISNUMBER(Q19),Q19,Z19),MIN(IF(ISNUMBER(Q19),Q19,Z19),((0.5*(0.9*W19/100*DATOS!$C$16)*IF(ISNUMBER(Q19),Q19,Z19)+AY19/IF(ISNUMBER(Q19),Q19,Z19))-SQRT((0.5*(0.9*W19/100*DATOS!$C$16)*IF(ISNUMBER(Q19),Q19,Z19)+AY19/IF(ISNUMBER(Q19),Q19,Z19))^2-4*(0.5*(0.9*W19/100*DATOS!$C$16))*AY19))/(2*(0.5*(0.9*W19/100*DATOS!$C$16)))))*100+MAX(BU19,12*INDEX(TABLAS!$C$52:$C$58,MATCH(BR19,TABLAS!$B$52:$B$58,0)),IF(ISNUMBER(Q19),Q19,Z19)*100/16),IF(OR(AF19&lt;INDEX(TABLAS!$C$52:$C$58,MATCH(BR19,TABLAS!$B$52:$B$58,0)),BS19-INDEX(TABLAS!$C$52:$C$58,MATCH(BR19,TABLAS!$B$52:$B$58,0))&lt;2*INDEX(TABLAS!$C$52:$C$58,MATCH(BR19,TABLAS!$B$52:$B$58,0))),INDEX(TABLAS!$I$52:$I$58,MATCH(BR19,TABLAS!$B$52:$B$58,0)),INDEX(TABLAS!$F$52:$F$58,MATCH(BR19,TABLAS!$B$52:$B$58,0)))),5)),IF(((4*((AV19*AK19*Z19^2*1E-4/1000)+((MAX(AR19,AT19)*AK19*Z19^2*1E-4/1000)+(IF(AND(AR19&gt;0,AT19&gt;0),MIN(AR19,AT19),MAX(AR19,AT19))*AK19*Z19^2*1E-4/1000))/2)+AY19-(IF(AND(AR19&gt;0,AT19&gt;0),MIN(AR19,AT19),MAX(AR19,AT19))*AK19*Z19^2*1E-4/1000))^2-16*((AV19*AK19*Z19^2*1E-4/1000)+((MAX(AR19,AT19)*AK19*Z19^2*1E-4/1000)+(IF(AND(AR19&gt;0,AT19&gt;0),MIN(AR19,AT19),MAX(AR19,AT19))*AK19*Z19^2*1E-4/1000))/2)*AY19)&lt;0,CEILING(AC19,5),CEILING(MAX(AC19*((4*((AV19*AK19*Z19^2*1E-4/1000)+((MAX(AR19,AT19)*AK19*Z19^2*1E-4/1000)+(IF(AND(AR19&gt;0,AT19&gt;0),MIN(AR19,AT19),MAX(AR19,AT19))*AK19*Z19^2*1E-4/1000))/2)+AY19-(IF(AND(AR19&gt;0,AT19&gt;0),MIN(AR19,AT19),MAX(AR19,AT19))*AK19*Z19^2*1E-4/1000))-SQRT(MAX(0,((4*((AV19*AK19*Z19^2*1E-4/1000)+((MAX(AR19,AT19)*AK19*Z19^2*1E-4/1000)+(IF(AND(AR19&gt;0,AT19&gt;0),MIN(AR19,AT19),MAX(AR19,AT19))*AK19*Z19^2*1E-4/1000))/2)+AY19-(IF(AND(AR19&gt;0,AT19&gt;0),MIN(AR19,AT19),MAX(AR19,AT19))*AK19*Z19^2*1E-4/1000))^2-16*((AV19*AK19*Z19^2*1E-4/1000)+((MAX(AR19,AT19)*AK19*Z19^2*1E-4/1000)+(IF(AND(AR19&gt;0,AT19&gt;0),MIN(AR19,AT19),MAX(AR19,AT19))*AK19*Z19^2*1E-4/1000))/2)*AY19))))/(8*MAX(((AV19*AK19*Z19^2*1E-4/1000)+((MAX(AR19,AT19)*AK19*Z19^2*1E-4/1000)+(IF(AND(AR19&gt;0,AT19&gt;0),MIN(AR19,AT19),MAX(AR19,AT19))*AK19*Z19^2*1E-4/1000))/2),1E-9))+MAX(BU19,12*INDEX(TABLAS!$C$52:$C$58,MATCH(BR19,TABLAS!$B$52:$B$58,0)),AC19/16),IF(OR(AF19&lt;INDEX(TABLAS!$C$52:$C$58,MATCH(BR19,TABLAS!$B$52:$B$58,0)),BS19-INDEX(TABLAS!$C$52:$C$58,MATCH(BR19,TABLAS!$B$52:$B$58,0))&lt;2*INDEX(TABLAS!$C$52:$C$58,MATCH(BR19,TABLAS!$B$52:$B$58,0))),INDEX(TABLAS!$I$52:$I$58,MATCH(BR19,TABLAS!$B$52:$B$58,0)),INDEX(TABLAS!$F$52:$F$58,MATCH(BR19,TABLAS!$B$52:$B$58,0)))),5))))</f>
        <v/>
      </c>
      <c r="DA19" s="60" t="str">
        <f>IF(V19&lt;&gt;"SÍ","",IF(C19="VOLADO",0,IF(((4*((AW19*AK19*Z19^2*1E-4/1000)+((MAX(AS19,AU19)*AK19*Z19^2*1E-4/1000)+(IF(AND(AS19&gt;0,AU19&gt;0),MIN(AS19,AU19),MAX(AS19,AU19))*AK19*Z19^2*1E-4/1000))/2)+BA19-(IF(AND(AS19&gt;0,AU19&gt;0),MIN(AS19,AU19),MAX(AS19,AU19))*AK19*Z19^2*1E-4/1000))^2-16*((AW19*AK19*Z19^2*1E-4/1000)+((MAX(AS19,AU19)*AK19*Z19^2*1E-4/1000)+(IF(AND(AS19&gt;0,AU19&gt;0),MIN(AS19,AU19),MAX(AS19,AU19))*AK19*Z19^2*1E-4/1000))/2)*BA19)&lt;0,CEILING(AD19,5),CEILING(MAX(AD19*((4*((AW19*AK19*Z19^2*1E-4/1000)+((MAX(AS19,AU19)*AK19*Z19^2*1E-4/1000)+(IF(AND(AS19&gt;0,AU19&gt;0),MIN(AS19,AU19),MAX(AS19,AU19))*AK19*Z19^2*1E-4/1000))/2)+BA19-(IF(AND(AS19&gt;0,AU19&gt;0),MIN(AS19,AU19),MAX(AS19,AU19))*AK19*Z19^2*1E-4/1000))-SQRT(MAX(0,((4*((AW19*AK19*Z19^2*1E-4/1000)+((MAX(AS19,AU19)*AK19*Z19^2*1E-4/1000)+(IF(AND(AS19&gt;0,AU19&gt;0),MIN(AS19,AU19),MAX(AS19,AU19))*AK19*Z19^2*1E-4/1000))/2)+BA19-(IF(AND(AS19&gt;0,AU19&gt;0),MIN(AS19,AU19),MAX(AS19,AU19))*AK19*Z19^2*1E-4/1000))^2-16*((AW19*AK19*Z19^2*1E-4/1000)+((MAX(AS19,AU19)*AK19*Z19^2*1E-4/1000)+(IF(AND(AS19&gt;0,AU19&gt;0),MIN(AS19,AU19),MAX(AS19,AU19))*AK19*Z19^2*1E-4/1000))/2)*BA19))))/(8*MAX(((AW19*AK19*Z19^2*1E-4/1000)+((MAX(AS19,AU19)*AK19*Z19^2*1E-4/1000)+(IF(AND(AS19&gt;0,AU19&gt;0),MIN(AS19,AU19),MAX(AS19,AU19))*AK19*Z19^2*1E-4/1000))/2),1E-9))+MAX(CO19,12*INDEX(TABLAS!$C$52:$C$58,MATCH(CL19,TABLAS!$B$52:$B$58,0)),AD19/16),IF(OR(AF19&lt;INDEX(TABLAS!$C$52:$C$58,MATCH(CL19,TABLAS!$B$52:$B$58,0)),CM19-INDEX(TABLAS!$C$52:$C$58,MATCH(CL19,TABLAS!$B$52:$B$58,0))&lt;2*INDEX(TABLAS!$C$52:$C$58,MATCH(CL19,TABLAS!$B$52:$B$58,0))),INDEX(TABLAS!$I$52:$I$58,MATCH(CL19,TABLAS!$B$52:$B$58,0)),INDEX(TABLAS!$F$52:$F$58,MATCH(CL19,TABLAS!$B$52:$B$58,0)))),5))))</f>
        <v/>
      </c>
      <c r="DB19" s="55" t="str">
        <f>IF(V19&lt;&gt;"SÍ","",IF(AND(C19="PERIMETRAL",AL19-AM19&gt;0,AT19&gt;0),"SÍ","NO"))</f>
        <v/>
      </c>
      <c r="DC19" s="55" t="str">
        <f>IF(V19&lt;&gt;"SÍ","",IF(AND(C19="PERIMETRAL",AM19&gt;0,AU19&gt;0),"SÍ","NO"))</f>
        <v/>
      </c>
      <c r="DD19" s="63" t="str">
        <f>IF(V19&lt;&gt;"SÍ","",IF(OR(C19="VOLADO",AL19=0),"—",IF(AND(AND(INDEX(TABLAS!$G$52:$G$58,MATCH(MAX(BR19,CL19),TABLAS!$B$52:$B$58,0))&lt;=(DATOS!$C$72-DATOS!$C$60),(DATOS!$C$72-DATOS!$C$60)&gt;=15),8*INDEX(TABLAS!$C$52:$C$58,MATCH(MAX(BH19,CB19,BR19,CL19),TABLAS!$B$52:$B$58,0))&lt;=DATOS!$C$73-2*DATOS!$C$60),"CUMPLE (gancho de 180°)",IF(AND(INDEX(TABLAS!$G$52:$G$58,MATCH(MAX(BR19,CL19),TABLAS!$B$52:$B$58,0))&lt;=(DATOS!$C$72-DATOS!$C$60),(DATOS!$C$72-DATOS!$C$60)&gt;=15),"NO CUMPLE: el gancho de 180° (8·d_b) no cabe en el peralte de la dala de borde","NO CUMPLE: dala de borde ≥ "&amp;TEXT(CEILING(MAX(INDEX(TABLAS!$G$52:$G$58,MATCH(MAX(BR19,CL19),TABLAS!$B$52:$B$58,0)),15)+DATOS!$C$60,5),"0")&amp;" cm de ancho"&amp;IF(8*INDEX(TABLAS!$C$52:$C$58,MATCH(MAX(BH19,CB19,BR19,CL19),TABLAS!$B$52:$B$58,0))&lt;=DATOS!$C$73-2*DATOS!$C$60,""," y más peralte para el gancho")))))</f>
        <v/>
      </c>
      <c r="DE19" s="69" t="str">
        <f>IF(V19&lt;&gt;"SÍ","",IF(BI19=0,"NO ALCANZA","No. "&amp;BH19&amp;" @ "&amp;BI19&amp;" cm"&amp;IF(C19="VOLADO"," (temperatura)","")))</f>
        <v/>
      </c>
      <c r="DF19" s="69" t="str">
        <f>IF(V19&lt;&gt;"SÍ","",IF(BS19=0,"NO ALCANZA",IF(C19="VOLADO","No. "&amp;BR19&amp;" @ "&amp;BS19&amp;" cm"&amp;" de la orilla al respaldo ("&amp;IF(CZ19&gt;=100*IF(ISNUMBER(Q19),Q19,Z19),"hasta su apoyo lejano, con gancho","entran "&amp;TEXT(CZ19/100,"0.00")&amp;" m desde el paño")&amp;")","Bastones "&amp;"No. "&amp;BR19&amp;" @ "&amp;BS19&amp;" cm"&amp;", L = "&amp;TEXT(CZ19/100,"0.00")&amp;" m desde el paño")))</f>
        <v/>
      </c>
      <c r="DG19" s="69" t="str">
        <f>IF(V19&lt;&gt;"SÍ","",IF(CC19=0,"NO ALCANZA","No. "&amp;CB19&amp;" @ "&amp;CC19&amp;" cm"&amp;IF(C19="VOLADO"," (repartición)","")))</f>
        <v/>
      </c>
      <c r="DH19" s="69" t="str">
        <f>IF(V19&lt;&gt;"SÍ","",IF(CM19=0,"NO ALCANZA",IF(C19="VOLADO","No. "&amp;CL19&amp;" @ "&amp;CM19&amp;" cm"&amp;" (repartición)","Bastones "&amp;"No. "&amp;CL19&amp;" @ "&amp;CM19&amp;" cm"&amp;", L = "&amp;TEXT(DA19/100,"0.00")&amp;" m desde el paño")))</f>
        <v/>
      </c>
      <c r="DI19" s="67" t="str">
        <f>IF(B19="","",IF(V19&lt;&gt;"SÍ","FALTAN DATOS: tipo, a_x, a_y y destino",IF(L19="NO MONOLÍTICO (caso II)","FUERA DE ALCANCE: caso II no transcrito",IF(AND(C19="VOLADO",X19="?"),"REVISAR: el volado lleva UN solo borde CONTINUO (el empotrado)",IF(AND(MAX(BM19,BW19,CG19,CQ19)&lt;=1,NOT(OR(BI19&lt;DATOS!$C$140,BS19&lt;DATOS!$C$140,CC19&lt;DATOS!$C$140,CM19&lt;DATOS!$C$140)),NOT(OR(AND(ISNUMBER(BN19),BN19&lt;0.005),AND(ISNUMBER(BX19),BX19&lt;0.005),AND(ISNUMBER(CH19),CH19&lt;0.005),AND(ISNUMBER(CR19),CR19&lt;0.005))),CV19="CUMPLE",CY19="CUMPLE"),"CUMPLE"&amp;IF(LEFT(BB19,5)="FUERA"," · fuera de 3.4.2.1 c)","")&amp;IF(LEFT(DD19,2)="NO"," · REVISAR anclaje en borde discontinuo",""),IF(AND(MAX(BM19,BW19,CG19,CQ19)&lt;=1,NOT(OR(BI19&lt;DATOS!$C$140,BS19&lt;DATOS!$C$140,CC19&lt;DATOS!$C$140,CM19&lt;DATOS!$C$140)),NOT(OR(AND(ISNUMBER(BN19),BN19&lt;0.005),AND(ISNUMBER(BX19),BX19&lt;0.005),AND(ISNUMBER(CH19),CH19&lt;0.005),AND(ISNUMBER(CR19),CR19&lt;0.005))),CV19="CUMPLE",CY19="CALCULAR FLECHA"),"REVISAR: calcular flecha (h &lt; h mín.)"&amp;IF(LEFT(BB19,5)="FUERA"," · fuera de 3.4.2.1 c)","")&amp;IF(LEFT(DD19,2)="NO"," · REVISAR anclaje en borde discontinuo",""),"NO CUMPLE: "&amp;IF(MAX(BM19,BW19,CG19,CQ19)&gt;1,"flexión ","")&amp;IF(OR(BI19&lt;DATOS!$C$140,BS19&lt;DATOS!$C$140,CC19&lt;DATOS!$C$140,CM19&lt;DATOS!$C$140),"separación &lt; mínima ","")&amp;IF(OR(AND(ISNUMBER(BN19),BN19&lt;0.005),AND(ISNUMBER(BX19),BX19&lt;0.005),AND(ISNUMBER(CH19),CH19&lt;0.005),AND(ISNUMBER(CR19),CR19&lt;0.005)),"ε_t &lt; 0.005 ","")&amp;IF(CV19&lt;&gt;"CUMPLE","cortante ","")&amp;IF(CY19="NO CUMPLE","peralte","")))))))</f>
        <v/>
      </c>
      <c r="DJ19" s="70" t="str">
        <f>IF(V19&lt;&gt;"SÍ","",IF(LEFT(B19,7)="EJEMPLO","EJEMPLO de tablero típico: bórralo o sobrescríbelo. ","")&amp;IF(C19="VOLADO","Volado de "&amp;TEXT(Z19,"0.00")&amp;" m empotrado en el borde "&amp;LOWER(X19)&amp;IF(N(P19)&gt;0,", con "&amp;TEXT(P19,"0.0")&amp;" kg/m en la orilla","")&amp;". Lecho inferior con r_ext. Si la orilla carga pretil u otro elemento frágil, calcula la flecha (13.4). El acero superior entra al respaldo de "&amp;TEXT(IF(ISNUMBER(Q19),Q19,Z19),"0.00")&amp;" m"&amp;IF(ISNUMBER(Q19),""," (L_b no capturado: se tomó igual al volado)")&amp;" hasta pasar M = 0 con 0.9·PP sin carga viva; si ahí no se anula, llega al apoyo lejano y se ancla con gancho. ","")&amp;IF(LEFT(BB19,5)="FUERA","El M⁻ del vecino difiere más de 50 % (3.4.2.1 c): distribuye el desequilibrio (3.4.3.1) o confirma con un modelo; se arma con el mayor. ","")&amp;IF(OR(DB19="SÍ",DC19="SÍ"),"Bastones también en los bordes discontinuos (M⁻ de tabla), con gancho. ","")&amp;IF(LEFT(DD19,2)="NO","Anclaje: "&amp;DD19&amp;" (6.7.7.4.1.1). ","")&amp;IF(OR(AT19&gt;0,AU19&gt;0),"Esquinas exteriores sobre muro: refuerzo de esquina arriba y abajo en L_largo/5 (6.7.7.3.1). ",""))</f>
        <v/>
      </c>
    </row>
    <row r="20" ht="33" customHeight="1">
      <c r="A20" s="50">
        <f>IF(B20="",0,1)+A19</f>
        <v>3</v>
      </c>
      <c r="B20" s="29" t="n"/>
      <c r="C20" s="51" t="n"/>
      <c r="D20" s="29" t="n"/>
      <c r="E20" s="52" t="n"/>
      <c r="F20" s="52" t="n"/>
      <c r="G20" s="51" t="n"/>
      <c r="H20" s="51" t="n"/>
      <c r="I20" s="51" t="n"/>
      <c r="J20" s="51" t="n"/>
      <c r="K20" s="51" t="n"/>
      <c r="L20" s="51" t="n"/>
      <c r="M20" s="54" t="n"/>
      <c r="N20" s="53" t="n"/>
      <c r="O20" s="53" t="n"/>
      <c r="P20" s="54" t="n"/>
      <c r="Q20" s="52" t="n"/>
      <c r="R20" s="54" t="n"/>
      <c r="S20" s="53" t="n"/>
      <c r="T20" s="52" t="n"/>
      <c r="U20" s="52" t="n"/>
      <c r="V20" s="55" t="str">
        <f>IF(B20="","",IF(AND(OR(C20="PERIMETRAL",C20="VOLADO"),ISNUMBER(E20),ISNUMBER(F20),E20&gt;0,F20&gt;0,OR(ISNUMBER(O20),ISNUMBER(MATCH(D20,DATOS!$B$46:$B$55,0)))),"SÍ","NO"))</f>
        <v/>
      </c>
      <c r="W20" s="57" t="str">
        <f>IF(V20&lt;&gt;"SÍ","",IF(ISNUMBER(M20),M20,DATOS!$C$134))</f>
        <v/>
      </c>
      <c r="X20" s="55" t="str">
        <f>IF(V20&lt;&gt;"SÍ","",IF(C20&lt;&gt;"VOLADO","—",IF(COUNTIF(G20:J20,"CONTINUO")&lt;&gt;1,"?",IF(G20="CONTINUO","INFERIOR",IF(H20="CONTINUO","SUPERIOR",IF(I20="CONTINUO","IZQUIERDO","DERECHO"))))))</f>
        <v/>
      </c>
      <c r="Y20" s="55" t="str">
        <f>IF(V20&lt;&gt;"SÍ","",IF(C20="VOLADO",IF(OR(X20="IZQUIERDO",X20="DERECHO"),"X","Y"),IF(E20&lt;=F20,"X","Y")))</f>
        <v/>
      </c>
      <c r="Z20" s="56" t="str">
        <f>IF(V20&lt;&gt;"SÍ","",IF(C20="VOLADO",IF(Y20="X",E20,F20),MIN(E20,F20)))</f>
        <v/>
      </c>
      <c r="AA20" s="56" t="str">
        <f>IF(V20&lt;&gt;"SÍ","",IF(C20="VOLADO",IF(Y20="X",F20,E20),MAX(E20,F20)))</f>
        <v/>
      </c>
      <c r="AB20" s="56" t="str">
        <f>IF(V20&lt;&gt;"SÍ","",MIN(Z20,AA20)/MAX(Z20,AA20))</f>
        <v/>
      </c>
      <c r="AC20" s="57" t="str">
        <f>IF(V20&lt;&gt;"SÍ","",MAX(1,Z20*100-IF(C20="VOLADO",DATOS!$C$84/2,DATOS!$C$84)))</f>
        <v/>
      </c>
      <c r="AD20" s="57" t="str">
        <f>IF(V20&lt;&gt;"SÍ","",MAX(1,AA20*100-DATOS!$C$84))</f>
        <v/>
      </c>
      <c r="AE20" s="57" t="str">
        <f>IF(V20&lt;&gt;"SÍ","",IF(C20="VOLADO",DATOS!$C$61,DATOS!$C$59))</f>
        <v/>
      </c>
      <c r="AF20" s="57" t="str">
        <f>IF(V20&lt;&gt;"SÍ","",IF(OR(AND(AG20="SÍ",DATOS!$C$63="SÍ"),AND(C20="VOLADO",DATOS!$C$64="SÍ")),DATOS!$C$61,DATOS!$C$59))</f>
        <v/>
      </c>
      <c r="AG20" s="55" t="str">
        <f>IF(V20&lt;&gt;"SÍ","",IFERROR(INDEX(DATOS!$D$46:$D$55,MATCH(D20,DATOS!$B$46:$B$55,0)),"NO"))</f>
        <v/>
      </c>
      <c r="AH20" s="59" t="str">
        <f>IF(V20&lt;&gt;"SÍ","",IF(ISNUMBER(O20),O20,IFERROR(INDEX(DATOS!$C$46:$C$55,MATCH(D20,DATOS!$B$46:$B$55,0)),0)))</f>
        <v/>
      </c>
      <c r="AI20" s="59" t="str">
        <f>IF(V20&lt;&gt;"SÍ","",W20/100*DATOS!$C$16*1000+DATOS!$C$37+DATOS!$C$38)</f>
        <v/>
      </c>
      <c r="AJ20" s="59" t="str">
        <f>IF(V20&lt;&gt;"SÍ","",AI20+N(N20))</f>
        <v/>
      </c>
      <c r="AK20" s="60" t="str">
        <f>IF(V20&lt;&gt;"SÍ","",MAX(DATOS!$C$26*AJ20+DATOS!$C$27*AH20,IF(AG20="SÍ",DATOS!$C$28*(AJ20+DATOS!$C$41),0)))</f>
        <v/>
      </c>
      <c r="AL20" s="59" t="str">
        <f>IF(V20&lt;&gt;"SÍ","",(G20="DISCONTINUO")+(H20="DISCONTINUO")+(I20="DISCONTINUO")+(J20="DISCONTINUO"))</f>
        <v/>
      </c>
      <c r="AM20" s="59" t="str">
        <f>IF(V20&lt;&gt;"SÍ","",IF(Y20="X",(G20="DISCONTINUO")+(H20="DISCONTINUO"),(I20="DISCONTINUO")+(J20="DISCONTINUO")))</f>
        <v/>
      </c>
      <c r="AN20" s="55" t="str">
        <f>IF(V20&lt;&gt;"SÍ","",IF(AL20=0,"INTERIOR",IF(AL20=1,IF(AM20=1,"BORDE-CORTO","BORDE-LARGO"),IF(AL20=2,IF(AM20=1,"ESQUINA",IF(AM20=2,"EXTREMO-LARGO","EXTREMO-CORTO")),IF(AL20=3,IF(AM20=2,"EXTREMO-LARGO","EXTREMO-CORTO"),"AISLADO")))))</f>
        <v/>
      </c>
      <c r="AO20" s="61" t="str">
        <f>IF(V20&lt;&gt;"SÍ","",IF(OR(K20="",K20="AUTO"),AN20,K20))</f>
        <v/>
      </c>
      <c r="AP20" s="59" t="str">
        <f>IF(V20&lt;&gt;"SÍ","",MATCH(AB20,TABLAS!$D$5:$J$5,1))</f>
        <v/>
      </c>
      <c r="AQ20" s="58" t="str">
        <f>IF(V20&lt;&gt;"SÍ","",IF(AP20&gt;=7,0,(AB20-INDEX(TABLAS!$D$5:$J$5,AP20))/(INDEX(TABLAS!$D$5:$J$5,AP20+1)-INDEX(TABLAS!$D$5:$J$5,AP20))))</f>
        <v/>
      </c>
      <c r="AR20" s="59" t="str">
        <f>IF(V20&lt;&gt;"SÍ","",INDEX(TABLAS!$D$6:$J$47,MATCH(AO20&amp;"|NIC",TABLAS!$B$6:$B$47,0),AP20)+AQ20*(INDEX(TABLAS!$D$6:$J$47,MATCH(AO20&amp;"|NIC",TABLAS!$B$6:$B$47,0),MIN(AP20+1,7))-INDEX(TABLAS!$D$6:$J$47,MATCH(AO20&amp;"|NIC",TABLAS!$B$6:$B$47,0),AP20)))</f>
        <v/>
      </c>
      <c r="AS20" s="59" t="str">
        <f>IF(V20&lt;&gt;"SÍ","",INDEX(TABLAS!$D$6:$J$47,MATCH(AO20&amp;"|NIL",TABLAS!$B$6:$B$47,0),AP20)+AQ20*(INDEX(TABLAS!$D$6:$J$47,MATCH(AO20&amp;"|NIL",TABLAS!$B$6:$B$47,0),MIN(AP20+1,7))-INDEX(TABLAS!$D$6:$J$47,MATCH(AO20&amp;"|NIL",TABLAS!$B$6:$B$47,0),AP20)))</f>
        <v/>
      </c>
      <c r="AT20" s="59" t="str">
        <f>IF(V20&lt;&gt;"SÍ","",INDEX(TABLAS!$D$6:$J$47,MATCH(AO20&amp;"|NDC",TABLAS!$B$6:$B$47,0),AP20)+AQ20*(INDEX(TABLAS!$D$6:$J$47,MATCH(AO20&amp;"|NDC",TABLAS!$B$6:$B$47,0),MIN(AP20+1,7))-INDEX(TABLAS!$D$6:$J$47,MATCH(AO20&amp;"|NDC",TABLAS!$B$6:$B$47,0),AP20)))</f>
        <v/>
      </c>
      <c r="AU20" s="59" t="str">
        <f>IF(V20&lt;&gt;"SÍ","",INDEX(TABLAS!$D$6:$J$47,MATCH(AO20&amp;"|NDL",TABLAS!$B$6:$B$47,0),AP20)+AQ20*(INDEX(TABLAS!$D$6:$J$47,MATCH(AO20&amp;"|NDL",TABLAS!$B$6:$B$47,0),MIN(AP20+1,7))-INDEX(TABLAS!$D$6:$J$47,MATCH(AO20&amp;"|NDL",TABLAS!$B$6:$B$47,0),AP20)))</f>
        <v/>
      </c>
      <c r="AV20" s="59" t="str">
        <f>IF(V20&lt;&gt;"SÍ","",INDEX(TABLAS!$D$6:$J$47,MATCH(AO20&amp;"|PC",TABLAS!$B$6:$B$47,0),AP20)+AQ20*(INDEX(TABLAS!$D$6:$J$47,MATCH(AO20&amp;"|PC",TABLAS!$B$6:$B$47,0),MIN(AP20+1,7))-INDEX(TABLAS!$D$6:$J$47,MATCH(AO20&amp;"|PC",TABLAS!$B$6:$B$47,0),AP20)))</f>
        <v/>
      </c>
      <c r="AW20" s="59" t="str">
        <f>IF(V20&lt;&gt;"SÍ","",INDEX(TABLAS!$D$6:$J$47,MATCH(AO20&amp;"|PL",TABLAS!$B$6:$B$47,0),AP20)+AQ20*(INDEX(TABLAS!$D$6:$J$47,MATCH(AO20&amp;"|PL",TABLAS!$B$6:$B$47,0),MIN(AP20+1,7))-INDEX(TABLAS!$D$6:$J$47,MATCH(AO20&amp;"|PL",TABLAS!$B$6:$B$47,0),AP20)))</f>
        <v/>
      </c>
      <c r="AX20" s="56" t="str">
        <f>IF(V20&lt;&gt;"SÍ","",IF(C20="PERIMETRAL",AV20*AK20*Z20^2*1E-4/1000,0))</f>
        <v/>
      </c>
      <c r="AY20" s="62" t="str">
        <f>IF(V20&lt;&gt;"SÍ","",IF(C20="PERIMETRAL",MAX(MAX(AR20,AT20)*AK20*Z20^2*1E-4/1000,N(T20)),(AK20*(AC20/100)^2/2+DATOS!$C$26*N(P20)*AC20/100)/1000))</f>
        <v/>
      </c>
      <c r="AZ20" s="56" t="str">
        <f>IF(V20&lt;&gt;"SÍ","",IF(C20="PERIMETRAL",AW20*AK20*Z20^2*1E-4/1000,0))</f>
        <v/>
      </c>
      <c r="BA20" s="56" t="str">
        <f>IF(V20&lt;&gt;"SÍ","",IF(C20="PERIMETRAL",MAX(MAX(AS20,AU20)*AK20*Z20^2*1E-4/1000,N(U20)),0))</f>
        <v/>
      </c>
      <c r="BB20" s="63" t="str">
        <f>IF(V20&lt;&gt;"SÍ","",IF(C20&lt;&gt;"PERIMETRAL","—",IF(AND(N(T20)=0,N(U20)=0),"— (sin M⁻ del vecino)",IF(OR(AND(N(T20)&gt;0,ABS(MAX(AR20,AT20)*AK20*Z20^2*1E-4/1000-N(T20))&gt;0.5*MIN(MAX(AR20,AT20)*AK20*Z20^2*1E-4/1000,N(T20))),AND(N(U20)&gt;0,ABS(MAX(AS20,AU20)*AK20*Z20^2*1E-4/1000-N(U20))&gt;0.5*MIN(MAX(AS20,AU20)*AK20*Z20^2*1E-4/1000,N(U20)))),"FUERA: difieren &gt; 50 %"&amp;IF(AND(N(T20)&gt;0,ABS(MAX(AR20,AT20)*AK20*Z20^2*1E-4/1000-N(T20))&gt;0.5*MIN(MAX(AR20,AT20)*AK20*Z20^2*1E-4/1000,N(T20)))," ‖ corto","")&amp;IF(AND(N(U20)&gt;0,ABS(MAX(AS20,AU20)*AK20*Z20^2*1E-4/1000-N(U20))&gt;0.5*MIN(MAX(AS20,AU20)*AK20*Z20^2*1E-4/1000,N(U20)))," ‖ largo",""),"CUMPLE"))))</f>
        <v/>
      </c>
      <c r="BC20" s="58" t="str">
        <f>IF(V20&lt;&gt;"SÍ","",DATOS!$C$136*100*W20)</f>
        <v/>
      </c>
      <c r="BD20" s="57" t="str">
        <f>IF(V20&lt;&gt;"SÍ","",MIN(IF(C20="VOLADO",DATOS!$C$138,DATOS!$C$137)*W20,DATOS!$C$139))</f>
        <v/>
      </c>
      <c r="BE20" s="58" t="str">
        <f>IF(V20&lt;&gt;"SÍ","",(W20-AE20-INDEX(TABLAS!$C$52:$C$58,MATCH(IF(ISNUMBER(S20),S20,DATOS!$C$135),TABLAS!$B$52:$B$58,0))/2))</f>
        <v/>
      </c>
      <c r="BF20" s="58" t="str">
        <f>IF(V20&lt;&gt;"SÍ","",IF(AX20&lt;=0,0,IF((1-2*AX20*1E5/(DATOS!$C$29*100*BE20^2*DATOS!$C$21))&lt;0,-1,IF((1-SQRT((1-2*AX20*1E5/(DATOS!$C$29*100*BE20^2*DATOS!$C$21))))*DATOS!$C$21*100*BE20/DATOS!$C$14&gt;DATOS!$C$99*100*BE20,-1,(1-SQRT((1-2*AX20*1E5/(DATOS!$C$29*100*BE20^2*DATOS!$C$21))))*DATOS!$C$21*100*BE20/DATOS!$C$14))))</f>
        <v/>
      </c>
      <c r="BG20" s="58" t="str">
        <f>IF(V20&lt;&gt;"SÍ","",IF(BF20&lt;0,-1,MAX(BF20,BC20)))</f>
        <v/>
      </c>
      <c r="BH20" s="64" t="str">
        <f>IF(V20&lt;&gt;"SÍ","",IF(AND(BG20&gt;0,FLOOR(MIN(BD20,100*INDEX(TABLAS!$D$52:$D$58,MIN(MATCH(IF(ISNUMBER(S20),S20,DATOS!$C$135),TABLAS!$B$52:$B$58,0)+0,7))/MAX(BG20,0.0001)),DATOS!$C$141)&gt;=DATOS!$C$140),INDEX(TABLAS!$B$52:$B$58,MIN(MATCH(IF(ISNUMBER(S20),S20,DATOS!$C$135),TABLAS!$B$52:$B$58,0)+0,7)),IF(AND(BG20&gt;0,FLOOR(MIN(BD20,100*INDEX(TABLAS!$D$52:$D$58,MIN(MATCH(IF(ISNUMBER(S20),S20,DATOS!$C$135),TABLAS!$B$52:$B$58,0)+1,7))/MAX(BG20,0.0001)),DATOS!$C$141)&gt;=DATOS!$C$140),INDEX(TABLAS!$B$52:$B$58,MIN(MATCH(IF(ISNUMBER(S20),S20,DATOS!$C$135),TABLAS!$B$52:$B$58,0)+1,7)),IF(AND(BG20&gt;0,FLOOR(MIN(BD20,100*INDEX(TABLAS!$D$52:$D$58,MIN(MATCH(IF(ISNUMBER(S20),S20,DATOS!$C$135),TABLAS!$B$52:$B$58,0)+2,7))/MAX(BG20,0.0001)),DATOS!$C$141)&gt;=DATOS!$C$140),INDEX(TABLAS!$B$52:$B$58,MIN(MATCH(IF(ISNUMBER(S20),S20,DATOS!$C$135),TABLAS!$B$52:$B$58,0)+2,7)),IF(AND(BG20&gt;0,FLOOR(MIN(BD20,100*INDEX(TABLAS!$D$52:$D$58,MIN(MATCH(IF(ISNUMBER(S20),S20,DATOS!$C$135),TABLAS!$B$52:$B$58,0)+3,7))/MAX(BG20,0.0001)),DATOS!$C$141)&gt;=DATOS!$C$140),INDEX(TABLAS!$B$52:$B$58,MIN(MATCH(IF(ISNUMBER(S20),S20,DATOS!$C$135),TABLAS!$B$52:$B$58,0)+3,7)),IF(AND(BG20&gt;0,FLOOR(MIN(BD20,100*INDEX(TABLAS!$D$52:$D$58,MIN(MATCH(IF(ISNUMBER(S20),S20,DATOS!$C$135),TABLAS!$B$52:$B$58,0)+4,7))/MAX(BG20,0.0001)),DATOS!$C$141)&gt;=DATOS!$C$140),INDEX(TABLAS!$B$52:$B$58,MIN(MATCH(IF(ISNUMBER(S20),S20,DATOS!$C$135),TABLAS!$B$52:$B$58,0)+4,7)),INDEX(TABLAS!$B$52:$B$58,7)))))))</f>
        <v/>
      </c>
      <c r="BI20" s="71" t="str">
        <f>IF(V20&lt;&gt;"SÍ","",IF(BG20&lt;=0,0,FLOOR(MIN(BD20,100*INDEX(TABLAS!$D$52:$D$58,MATCH(BH20,TABLAS!$B$52:$B$58,0))/BG20),DATOS!$C$141)))</f>
        <v/>
      </c>
      <c r="BJ20" s="58" t="str">
        <f>IF(V20&lt;&gt;"SÍ","",IF(BI20&lt;=0,0,INDEX(TABLAS!$D$52:$D$58,MATCH(BH20,TABLAS!$B$52:$B$58,0))*100/BI20))</f>
        <v/>
      </c>
      <c r="BK20" s="58" t="str">
        <f>IF(V20&lt;&gt;"SÍ","",W20-AE20-INDEX(TABLAS!$C$52:$C$58,MATCH(BH20,TABLAS!$B$52:$B$58,0))/2)</f>
        <v/>
      </c>
      <c r="BL20" s="56" t="str">
        <f>IF(V20&lt;&gt;"SÍ","",IF(BJ20=0,0,DATOS!$C$29*BJ20*DATOS!$C$14*(BK20-BJ20*DATOS!$C$14/(DATOS!$C$21*100)/2)/1E5))</f>
        <v/>
      </c>
      <c r="BM20" s="65" t="str">
        <f>IF(V20&lt;&gt;"SÍ","",IF(BG20&lt;0,9.99,IF(BL20&gt;0,AX20/BL20,0)))</f>
        <v/>
      </c>
      <c r="BN20" s="66" t="str">
        <f>IF(V20&lt;&gt;"SÍ","",IF(BJ20=0,"—",0.003*(BK20-(BJ20*DATOS!$C$14/(DATOS!$C$21*100)/DATOS!$C$22))/(BJ20*DATOS!$C$14/(DATOS!$C$21*100)/DATOS!$C$22)))</f>
        <v/>
      </c>
      <c r="BO20" s="58" t="str">
        <f>IF(V20&lt;&gt;"SÍ","",((W20-AF20-INDEX(TABLAS!$C$52:$C$58,MATCH(IF(ISNUMBER(S20),S20,DATOS!$C$135),TABLAS!$B$52:$B$58,0))/2)-IF(AND((W20-AF20-INDEX(TABLAS!$C$52:$C$58,MATCH(IF(ISNUMBER(S20),S20,DATOS!$C$135),TABLAS!$B$52:$B$58,0))/2)&lt;=20,DATOS!$C$62&lt;&gt;"SÍ"),2,0)))</f>
        <v/>
      </c>
      <c r="BP20" s="58" t="str">
        <f>IF(V20&lt;&gt;"SÍ","",IF(AY20&lt;=0,0,IF((1-2*AY20*1E5/(DATOS!$C$29*100*BO20^2*DATOS!$C$21))&lt;0,-1,IF((1-SQRT((1-2*AY20*1E5/(DATOS!$C$29*100*BO20^2*DATOS!$C$21))))*DATOS!$C$21*100*BO20/DATOS!$C$14&gt;DATOS!$C$99*100*BO20,-1,(1-SQRT((1-2*AY20*1E5/(DATOS!$C$29*100*BO20^2*DATOS!$C$21))))*DATOS!$C$21*100*BO20/DATOS!$C$14))))</f>
        <v/>
      </c>
      <c r="BQ20" s="58" t="str">
        <f>IF(V20&lt;&gt;"SÍ","",IF(BP20&lt;0,-1,MAX(BP20,BC20)))</f>
        <v/>
      </c>
      <c r="BR20" s="64" t="str">
        <f>IF(V20&lt;&gt;"SÍ","",IF(AND(BQ20&gt;0,FLOOR(MIN(BD20,100*INDEX(TABLAS!$D$52:$D$58,MIN(MATCH(IF(ISNUMBER(S20),S20,DATOS!$C$135),TABLAS!$B$52:$B$58,0)+0,7))/MAX(BQ20,0.0001)),DATOS!$C$141)&gt;=DATOS!$C$140),INDEX(TABLAS!$B$52:$B$58,MIN(MATCH(IF(ISNUMBER(S20),S20,DATOS!$C$135),TABLAS!$B$52:$B$58,0)+0,7)),IF(AND(BQ20&gt;0,FLOOR(MIN(BD20,100*INDEX(TABLAS!$D$52:$D$58,MIN(MATCH(IF(ISNUMBER(S20),S20,DATOS!$C$135),TABLAS!$B$52:$B$58,0)+1,7))/MAX(BQ20,0.0001)),DATOS!$C$141)&gt;=DATOS!$C$140),INDEX(TABLAS!$B$52:$B$58,MIN(MATCH(IF(ISNUMBER(S20),S20,DATOS!$C$135),TABLAS!$B$52:$B$58,0)+1,7)),IF(AND(BQ20&gt;0,FLOOR(MIN(BD20,100*INDEX(TABLAS!$D$52:$D$58,MIN(MATCH(IF(ISNUMBER(S20),S20,DATOS!$C$135),TABLAS!$B$52:$B$58,0)+2,7))/MAX(BQ20,0.0001)),DATOS!$C$141)&gt;=DATOS!$C$140),INDEX(TABLAS!$B$52:$B$58,MIN(MATCH(IF(ISNUMBER(S20),S20,DATOS!$C$135),TABLAS!$B$52:$B$58,0)+2,7)),IF(AND(BQ20&gt;0,FLOOR(MIN(BD20,100*INDEX(TABLAS!$D$52:$D$58,MIN(MATCH(IF(ISNUMBER(S20),S20,DATOS!$C$135),TABLAS!$B$52:$B$58,0)+3,7))/MAX(BQ20,0.0001)),DATOS!$C$141)&gt;=DATOS!$C$140),INDEX(TABLAS!$B$52:$B$58,MIN(MATCH(IF(ISNUMBER(S20),S20,DATOS!$C$135),TABLAS!$B$52:$B$58,0)+3,7)),IF(AND(BQ20&gt;0,FLOOR(MIN(BD20,100*INDEX(TABLAS!$D$52:$D$58,MIN(MATCH(IF(ISNUMBER(S20),S20,DATOS!$C$135),TABLAS!$B$52:$B$58,0)+4,7))/MAX(BQ20,0.0001)),DATOS!$C$141)&gt;=DATOS!$C$140),INDEX(TABLAS!$B$52:$B$58,MIN(MATCH(IF(ISNUMBER(S20),S20,DATOS!$C$135),TABLAS!$B$52:$B$58,0)+4,7)),INDEX(TABLAS!$B$52:$B$58,7)))))))</f>
        <v/>
      </c>
      <c r="BS20" s="71" t="str">
        <f>IF(V20&lt;&gt;"SÍ","",IF(BQ20&lt;=0,0,FLOOR(MIN(BD20,100*INDEX(TABLAS!$D$52:$D$58,MATCH(BR20,TABLAS!$B$52:$B$58,0))/BQ20),DATOS!$C$141)))</f>
        <v/>
      </c>
      <c r="BT20" s="58" t="str">
        <f>IF(V20&lt;&gt;"SÍ","",IF(BS20&lt;=0,0,INDEX(TABLAS!$D$52:$D$58,MATCH(BR20,TABLAS!$B$52:$B$58,0))*100/BS20))</f>
        <v/>
      </c>
      <c r="BU20" s="58" t="str">
        <f>IF(V20&lt;&gt;"SÍ","",((W20-AF20-INDEX(TABLAS!$C$52:$C$58,MATCH(BR20,TABLAS!$B$52:$B$58,0))/2)-IF(AND((W20-AF20-INDEX(TABLAS!$C$52:$C$58,MATCH(BR20,TABLAS!$B$52:$B$58,0))/2)&lt;=20,DATOS!$C$62&lt;&gt;"SÍ"),2,0)))</f>
        <v/>
      </c>
      <c r="BV20" s="56" t="str">
        <f>IF(V20&lt;&gt;"SÍ","",IF(BT20=0,0,DATOS!$C$29*BT20*DATOS!$C$14*(BU20-BT20*DATOS!$C$14/(DATOS!$C$21*100)/2)/1E5))</f>
        <v/>
      </c>
      <c r="BW20" s="65" t="str">
        <f>IF(V20&lt;&gt;"SÍ","",IF(BQ20&lt;0,9.99,IF(BV20&gt;0,AY20/BV20,0)))</f>
        <v/>
      </c>
      <c r="BX20" s="66" t="str">
        <f>IF(V20&lt;&gt;"SÍ","",IF(BT20=0,"—",0.003*(BU20-(BT20*DATOS!$C$14/(DATOS!$C$21*100)/DATOS!$C$22))/(BT20*DATOS!$C$14/(DATOS!$C$21*100)/DATOS!$C$22)))</f>
        <v/>
      </c>
      <c r="BY20" s="58" t="str">
        <f>IF(V20&lt;&gt;"SÍ","",(W20-AE20-1.5*INDEX(TABLAS!$C$52:$C$58,MATCH(IF(ISNUMBER(S20),S20,DATOS!$C$135),TABLAS!$B$52:$B$58,0))))</f>
        <v/>
      </c>
      <c r="BZ20" s="58" t="str">
        <f>IF(V20&lt;&gt;"SÍ","",IF(AZ20&lt;=0,0,IF((1-2*AZ20*1E5/(DATOS!$C$29*100*BY20^2*DATOS!$C$21))&lt;0,-1,IF((1-SQRT((1-2*AZ20*1E5/(DATOS!$C$29*100*BY20^2*DATOS!$C$21))))*DATOS!$C$21*100*BY20/DATOS!$C$14&gt;DATOS!$C$99*100*BY20,-1,(1-SQRT((1-2*AZ20*1E5/(DATOS!$C$29*100*BY20^2*DATOS!$C$21))))*DATOS!$C$21*100*BY20/DATOS!$C$14))))</f>
        <v/>
      </c>
      <c r="CA20" s="58" t="str">
        <f>IF(V20&lt;&gt;"SÍ","",IF(BZ20&lt;0,-1,MAX(BZ20,BC20)))</f>
        <v/>
      </c>
      <c r="CB20" s="64" t="str">
        <f>IF(V20&lt;&gt;"SÍ","",IF(AND(CA20&gt;0,FLOOR(MIN(BD20,100*INDEX(TABLAS!$D$52:$D$58,MIN(MATCH(IF(ISNUMBER(S20),S20,DATOS!$C$135),TABLAS!$B$52:$B$58,0)+0,7))/MAX(CA20,0.0001)),DATOS!$C$141)&gt;=DATOS!$C$140),INDEX(TABLAS!$B$52:$B$58,MIN(MATCH(IF(ISNUMBER(S20),S20,DATOS!$C$135),TABLAS!$B$52:$B$58,0)+0,7)),IF(AND(CA20&gt;0,FLOOR(MIN(BD20,100*INDEX(TABLAS!$D$52:$D$58,MIN(MATCH(IF(ISNUMBER(S20),S20,DATOS!$C$135),TABLAS!$B$52:$B$58,0)+1,7))/MAX(CA20,0.0001)),DATOS!$C$141)&gt;=DATOS!$C$140),INDEX(TABLAS!$B$52:$B$58,MIN(MATCH(IF(ISNUMBER(S20),S20,DATOS!$C$135),TABLAS!$B$52:$B$58,0)+1,7)),IF(AND(CA20&gt;0,FLOOR(MIN(BD20,100*INDEX(TABLAS!$D$52:$D$58,MIN(MATCH(IF(ISNUMBER(S20),S20,DATOS!$C$135),TABLAS!$B$52:$B$58,0)+2,7))/MAX(CA20,0.0001)),DATOS!$C$141)&gt;=DATOS!$C$140),INDEX(TABLAS!$B$52:$B$58,MIN(MATCH(IF(ISNUMBER(S20),S20,DATOS!$C$135),TABLAS!$B$52:$B$58,0)+2,7)),IF(AND(CA20&gt;0,FLOOR(MIN(BD20,100*INDEX(TABLAS!$D$52:$D$58,MIN(MATCH(IF(ISNUMBER(S20),S20,DATOS!$C$135),TABLAS!$B$52:$B$58,0)+3,7))/MAX(CA20,0.0001)),DATOS!$C$141)&gt;=DATOS!$C$140),INDEX(TABLAS!$B$52:$B$58,MIN(MATCH(IF(ISNUMBER(S20),S20,DATOS!$C$135),TABLAS!$B$52:$B$58,0)+3,7)),IF(AND(CA20&gt;0,FLOOR(MIN(BD20,100*INDEX(TABLAS!$D$52:$D$58,MIN(MATCH(IF(ISNUMBER(S20),S20,DATOS!$C$135),TABLAS!$B$52:$B$58,0)+4,7))/MAX(CA20,0.0001)),DATOS!$C$141)&gt;=DATOS!$C$140),INDEX(TABLAS!$B$52:$B$58,MIN(MATCH(IF(ISNUMBER(S20),S20,DATOS!$C$135),TABLAS!$B$52:$B$58,0)+4,7)),INDEX(TABLAS!$B$52:$B$58,7)))))))</f>
        <v/>
      </c>
      <c r="CC20" s="71" t="str">
        <f>IF(V20&lt;&gt;"SÍ","",IF(CA20&lt;=0,0,FLOOR(MIN(BD20,100*INDEX(TABLAS!$D$52:$D$58,MATCH(CB20,TABLAS!$B$52:$B$58,0))/CA20),DATOS!$C$141)))</f>
        <v/>
      </c>
      <c r="CD20" s="58" t="str">
        <f>IF(V20&lt;&gt;"SÍ","",IF(CC20&lt;=0,0,INDEX(TABLAS!$D$52:$D$58,MATCH(CB20,TABLAS!$B$52:$B$58,0))*100/CC20))</f>
        <v/>
      </c>
      <c r="CE20" s="58" t="str">
        <f>IF(V20&lt;&gt;"SÍ","",W20-AE20-INDEX(TABLAS!$C$52:$C$58,MATCH(BH20,TABLAS!$B$52:$B$58,0))-INDEX(TABLAS!$C$52:$C$58,MATCH(CB20,TABLAS!$B$52:$B$58,0))/2)</f>
        <v/>
      </c>
      <c r="CF20" s="56" t="str">
        <f>IF(V20&lt;&gt;"SÍ","",IF(CD20=0,0,DATOS!$C$29*CD20*DATOS!$C$14*(CE20-CD20*DATOS!$C$14/(DATOS!$C$21*100)/2)/1E5))</f>
        <v/>
      </c>
      <c r="CG20" s="65" t="str">
        <f>IF(V20&lt;&gt;"SÍ","",IF(CA20&lt;0,9.99,IF(CF20&gt;0,AZ20/CF20,0)))</f>
        <v/>
      </c>
      <c r="CH20" s="66" t="str">
        <f>IF(V20&lt;&gt;"SÍ","",IF(CD20=0,"—",0.003*(CE20-(CD20*DATOS!$C$14/(DATOS!$C$21*100)/DATOS!$C$22))/(CD20*DATOS!$C$14/(DATOS!$C$21*100)/DATOS!$C$22)))</f>
        <v/>
      </c>
      <c r="CI20" s="58" t="str">
        <f>IF(V20&lt;&gt;"SÍ","",((W20-AF20-1.5*INDEX(TABLAS!$C$52:$C$58,MATCH(IF(ISNUMBER(S20),S20,DATOS!$C$135),TABLAS!$B$52:$B$58,0)))-IF(AND((W20-AF20-1.5*INDEX(TABLAS!$C$52:$C$58,MATCH(IF(ISNUMBER(S20),S20,DATOS!$C$135),TABLAS!$B$52:$B$58,0)))&lt;=20,DATOS!$C$62&lt;&gt;"SÍ"),2,0)))</f>
        <v/>
      </c>
      <c r="CJ20" s="58" t="str">
        <f>IF(V20&lt;&gt;"SÍ","",IF(BA20&lt;=0,0,IF((1-2*BA20*1E5/(DATOS!$C$29*100*CI20^2*DATOS!$C$21))&lt;0,-1,IF((1-SQRT((1-2*BA20*1E5/(DATOS!$C$29*100*CI20^2*DATOS!$C$21))))*DATOS!$C$21*100*CI20/DATOS!$C$14&gt;DATOS!$C$99*100*CI20,-1,(1-SQRT((1-2*BA20*1E5/(DATOS!$C$29*100*CI20^2*DATOS!$C$21))))*DATOS!$C$21*100*CI20/DATOS!$C$14))))</f>
        <v/>
      </c>
      <c r="CK20" s="58" t="str">
        <f>IF(V20&lt;&gt;"SÍ","",IF(CJ20&lt;0,-1,MAX(CJ20,BC20)))</f>
        <v/>
      </c>
      <c r="CL20" s="64" t="str">
        <f>IF(V20&lt;&gt;"SÍ","",IF(AND(CK20&gt;0,FLOOR(MIN(BD20,100*INDEX(TABLAS!$D$52:$D$58,MIN(MATCH(IF(ISNUMBER(S20),S20,DATOS!$C$135),TABLAS!$B$52:$B$58,0)+0,7))/MAX(CK20,0.0001)),DATOS!$C$141)&gt;=DATOS!$C$140),INDEX(TABLAS!$B$52:$B$58,MIN(MATCH(IF(ISNUMBER(S20),S20,DATOS!$C$135),TABLAS!$B$52:$B$58,0)+0,7)),IF(AND(CK20&gt;0,FLOOR(MIN(BD20,100*INDEX(TABLAS!$D$52:$D$58,MIN(MATCH(IF(ISNUMBER(S20),S20,DATOS!$C$135),TABLAS!$B$52:$B$58,0)+1,7))/MAX(CK20,0.0001)),DATOS!$C$141)&gt;=DATOS!$C$140),INDEX(TABLAS!$B$52:$B$58,MIN(MATCH(IF(ISNUMBER(S20),S20,DATOS!$C$135),TABLAS!$B$52:$B$58,0)+1,7)),IF(AND(CK20&gt;0,FLOOR(MIN(BD20,100*INDEX(TABLAS!$D$52:$D$58,MIN(MATCH(IF(ISNUMBER(S20),S20,DATOS!$C$135),TABLAS!$B$52:$B$58,0)+2,7))/MAX(CK20,0.0001)),DATOS!$C$141)&gt;=DATOS!$C$140),INDEX(TABLAS!$B$52:$B$58,MIN(MATCH(IF(ISNUMBER(S20),S20,DATOS!$C$135),TABLAS!$B$52:$B$58,0)+2,7)),IF(AND(CK20&gt;0,FLOOR(MIN(BD20,100*INDEX(TABLAS!$D$52:$D$58,MIN(MATCH(IF(ISNUMBER(S20),S20,DATOS!$C$135),TABLAS!$B$52:$B$58,0)+3,7))/MAX(CK20,0.0001)),DATOS!$C$141)&gt;=DATOS!$C$140),INDEX(TABLAS!$B$52:$B$58,MIN(MATCH(IF(ISNUMBER(S20),S20,DATOS!$C$135),TABLAS!$B$52:$B$58,0)+3,7)),IF(AND(CK20&gt;0,FLOOR(MIN(BD20,100*INDEX(TABLAS!$D$52:$D$58,MIN(MATCH(IF(ISNUMBER(S20),S20,DATOS!$C$135),TABLAS!$B$52:$B$58,0)+4,7))/MAX(CK20,0.0001)),DATOS!$C$141)&gt;=DATOS!$C$140),INDEX(TABLAS!$B$52:$B$58,MIN(MATCH(IF(ISNUMBER(S20),S20,DATOS!$C$135),TABLAS!$B$52:$B$58,0)+4,7)),INDEX(TABLAS!$B$52:$B$58,7)))))))</f>
        <v/>
      </c>
      <c r="CM20" s="71" t="str">
        <f>IF(V20&lt;&gt;"SÍ","",IF(CK20&lt;=0,0,FLOOR(MIN(BD20,100*INDEX(TABLAS!$D$52:$D$58,MATCH(CL20,TABLAS!$B$52:$B$58,0))/CK20),DATOS!$C$141)))</f>
        <v/>
      </c>
      <c r="CN20" s="58" t="str">
        <f>IF(V20&lt;&gt;"SÍ","",IF(CM20&lt;=0,0,INDEX(TABLAS!$D$52:$D$58,MATCH(CL20,TABLAS!$B$52:$B$58,0))*100/CM20))</f>
        <v/>
      </c>
      <c r="CO20" s="58" t="str">
        <f>IF(V20&lt;&gt;"SÍ","",((W20-AF20-INDEX(TABLAS!$C$52:$C$58,MATCH(BR20,TABLAS!$B$52:$B$58,0))-INDEX(TABLAS!$C$52:$C$58,MATCH(CL20,TABLAS!$B$52:$B$58,0))/2)-IF(AND((W20-AF20-INDEX(TABLAS!$C$52:$C$58,MATCH(BR20,TABLAS!$B$52:$B$58,0))-INDEX(TABLAS!$C$52:$C$58,MATCH(CL20,TABLAS!$B$52:$B$58,0))/2)&lt;=20,DATOS!$C$62&lt;&gt;"SÍ"),2,0)))</f>
        <v/>
      </c>
      <c r="CP20" s="56" t="str">
        <f>IF(V20&lt;&gt;"SÍ","",IF(CN20=0,0,DATOS!$C$29*CN20*DATOS!$C$14*(CO20-CN20*DATOS!$C$14/(DATOS!$C$21*100)/2)/1E5))</f>
        <v/>
      </c>
      <c r="CQ20" s="65" t="str">
        <f>IF(V20&lt;&gt;"SÍ","",IF(CK20&lt;0,9.99,IF(CP20&gt;0,BA20/CP20,0)))</f>
        <v/>
      </c>
      <c r="CR20" s="66" t="str">
        <f>IF(V20&lt;&gt;"SÍ","",IF(CN20=0,"—",0.003*(CO20-(CN20*DATOS!$C$14/(DATOS!$C$21*100)/DATOS!$C$22))/(CN20*DATOS!$C$14/(DATOS!$C$21*100)/DATOS!$C$22)))</f>
        <v/>
      </c>
      <c r="CS20" s="56" t="str">
        <f>IF(V20&lt;&gt;"SÍ","",IF(C20="PERIMETRAL",MAX(0,(AC20/2-BU20)/100)*(0.95-0.5*AB20)*AK20*IF(AND(AL20&gt;0,AL20&lt;4),DATOS!$C$33,1)/1000,(AK20*MAX(0,AC20-BU20)/100+DATOS!$C$26*N(P20))/1000))</f>
        <v/>
      </c>
      <c r="CT20" s="66" t="str">
        <f>IF(V20&lt;&gt;"SÍ","",BT20/(100*BU20))</f>
        <v/>
      </c>
      <c r="CU20" s="56" t="str">
        <f>IF(V20&lt;&gt;"SÍ","",DATOS!$C$30*2*MIN(1,SQRT(2/(1+0.04*BU20)))*CT20^(1/3)*SQRT(DATOS!$C$13)*100*BU20/1000)</f>
        <v/>
      </c>
      <c r="CV20" s="67" t="str">
        <f>IF(V20&lt;&gt;"SÍ","",IF(CS20&lt;=CU20,"CUMPLE","NO CUMPLE: sube h"))</f>
        <v/>
      </c>
      <c r="CW20" s="58" t="str">
        <f>IF(V20&lt;&gt;"SÍ","",IF(C20="PERIMETRAL",IF(ISNUMBER(R20),R20,DATOS!$C$101),0))</f>
        <v/>
      </c>
      <c r="CX20" s="57" t="str">
        <f>IF(V20&lt;&gt;"SÍ","",IF(C20="PERIMETRAL",IF(CW20&gt;2,MAX(9,AD20*(0.8+DATOS!$C$14/14000)/(36+9*(AD20/MAX(AC20,1)))),IF(CW20&gt;0.2,MAX(13,AD20*(0.8+DATOS!$C$14/14000)/(36+5*(AD20/MAX(AC20,1))*(CW20-0.2))),MAX(13,AD20/IF(AL20&gt;0,30,33))))*IF(AND(CW20&gt;0.2,AL20&gt;0,DATOS!$C$102="NO"),1.1,1),Z20*100/DATOS!$C$142))</f>
        <v/>
      </c>
      <c r="CY20" s="61" t="str">
        <f>IF(V20&lt;&gt;"SÍ","",IF(W20&gt;=CX20-0.001,"CUMPLE",IF(C20="VOLADO","NO CUMPLE","CALCULAR FLECHA")))</f>
        <v/>
      </c>
      <c r="CZ20" s="60" t="str">
        <f>IF(V20&lt;&gt;"SÍ","",IF(C20="VOLADO",MIN(CEILING(IF(ISNUMBER(Q20),Q20,Z20)*100,5),CEILING(MAX(IF((0.5*(0.9*W20/100*DATOS!$C$16)*IF(ISNUMBER(Q20),Q20,Z20)+AY20/IF(ISNUMBER(Q20),Q20,Z20))^2-4*(0.5*(0.9*W20/100*DATOS!$C$16))*AY20&lt;0,IF(ISNUMBER(Q20),Q20,Z20),MIN(IF(ISNUMBER(Q20),Q20,Z20),((0.5*(0.9*W20/100*DATOS!$C$16)*IF(ISNUMBER(Q20),Q20,Z20)+AY20/IF(ISNUMBER(Q20),Q20,Z20))-SQRT((0.5*(0.9*W20/100*DATOS!$C$16)*IF(ISNUMBER(Q20),Q20,Z20)+AY20/IF(ISNUMBER(Q20),Q20,Z20))^2-4*(0.5*(0.9*W20/100*DATOS!$C$16))*AY20))/(2*(0.5*(0.9*W20/100*DATOS!$C$16)))))*100+MAX(BU20,12*INDEX(TABLAS!$C$52:$C$58,MATCH(BR20,TABLAS!$B$52:$B$58,0)),IF(ISNUMBER(Q20),Q20,Z20)*100/16),IF(OR(AF20&lt;INDEX(TABLAS!$C$52:$C$58,MATCH(BR20,TABLAS!$B$52:$B$58,0)),BS20-INDEX(TABLAS!$C$52:$C$58,MATCH(BR20,TABLAS!$B$52:$B$58,0))&lt;2*INDEX(TABLAS!$C$52:$C$58,MATCH(BR20,TABLAS!$B$52:$B$58,0))),INDEX(TABLAS!$I$52:$I$58,MATCH(BR20,TABLAS!$B$52:$B$58,0)),INDEX(TABLAS!$F$52:$F$58,MATCH(BR20,TABLAS!$B$52:$B$58,0)))),5)),IF(((4*((AV20*AK20*Z20^2*1E-4/1000)+((MAX(AR20,AT20)*AK20*Z20^2*1E-4/1000)+(IF(AND(AR20&gt;0,AT20&gt;0),MIN(AR20,AT20),MAX(AR20,AT20))*AK20*Z20^2*1E-4/1000))/2)+AY20-(IF(AND(AR20&gt;0,AT20&gt;0),MIN(AR20,AT20),MAX(AR20,AT20))*AK20*Z20^2*1E-4/1000))^2-16*((AV20*AK20*Z20^2*1E-4/1000)+((MAX(AR20,AT20)*AK20*Z20^2*1E-4/1000)+(IF(AND(AR20&gt;0,AT20&gt;0),MIN(AR20,AT20),MAX(AR20,AT20))*AK20*Z20^2*1E-4/1000))/2)*AY20)&lt;0,CEILING(AC20,5),CEILING(MAX(AC20*((4*((AV20*AK20*Z20^2*1E-4/1000)+((MAX(AR20,AT20)*AK20*Z20^2*1E-4/1000)+(IF(AND(AR20&gt;0,AT20&gt;0),MIN(AR20,AT20),MAX(AR20,AT20))*AK20*Z20^2*1E-4/1000))/2)+AY20-(IF(AND(AR20&gt;0,AT20&gt;0),MIN(AR20,AT20),MAX(AR20,AT20))*AK20*Z20^2*1E-4/1000))-SQRT(MAX(0,((4*((AV20*AK20*Z20^2*1E-4/1000)+((MAX(AR20,AT20)*AK20*Z20^2*1E-4/1000)+(IF(AND(AR20&gt;0,AT20&gt;0),MIN(AR20,AT20),MAX(AR20,AT20))*AK20*Z20^2*1E-4/1000))/2)+AY20-(IF(AND(AR20&gt;0,AT20&gt;0),MIN(AR20,AT20),MAX(AR20,AT20))*AK20*Z20^2*1E-4/1000))^2-16*((AV20*AK20*Z20^2*1E-4/1000)+((MAX(AR20,AT20)*AK20*Z20^2*1E-4/1000)+(IF(AND(AR20&gt;0,AT20&gt;0),MIN(AR20,AT20),MAX(AR20,AT20))*AK20*Z20^2*1E-4/1000))/2)*AY20))))/(8*MAX(((AV20*AK20*Z20^2*1E-4/1000)+((MAX(AR20,AT20)*AK20*Z20^2*1E-4/1000)+(IF(AND(AR20&gt;0,AT20&gt;0),MIN(AR20,AT20),MAX(AR20,AT20))*AK20*Z20^2*1E-4/1000))/2),1E-9))+MAX(BU20,12*INDEX(TABLAS!$C$52:$C$58,MATCH(BR20,TABLAS!$B$52:$B$58,0)),AC20/16),IF(OR(AF20&lt;INDEX(TABLAS!$C$52:$C$58,MATCH(BR20,TABLAS!$B$52:$B$58,0)),BS20-INDEX(TABLAS!$C$52:$C$58,MATCH(BR20,TABLAS!$B$52:$B$58,0))&lt;2*INDEX(TABLAS!$C$52:$C$58,MATCH(BR20,TABLAS!$B$52:$B$58,0))),INDEX(TABLAS!$I$52:$I$58,MATCH(BR20,TABLAS!$B$52:$B$58,0)),INDEX(TABLAS!$F$52:$F$58,MATCH(BR20,TABLAS!$B$52:$B$58,0)))),5))))</f>
        <v/>
      </c>
      <c r="DA20" s="60" t="str">
        <f>IF(V20&lt;&gt;"SÍ","",IF(C20="VOLADO",0,IF(((4*((AW20*AK20*Z20^2*1E-4/1000)+((MAX(AS20,AU20)*AK20*Z20^2*1E-4/1000)+(IF(AND(AS20&gt;0,AU20&gt;0),MIN(AS20,AU20),MAX(AS20,AU20))*AK20*Z20^2*1E-4/1000))/2)+BA20-(IF(AND(AS20&gt;0,AU20&gt;0),MIN(AS20,AU20),MAX(AS20,AU20))*AK20*Z20^2*1E-4/1000))^2-16*((AW20*AK20*Z20^2*1E-4/1000)+((MAX(AS20,AU20)*AK20*Z20^2*1E-4/1000)+(IF(AND(AS20&gt;0,AU20&gt;0),MIN(AS20,AU20),MAX(AS20,AU20))*AK20*Z20^2*1E-4/1000))/2)*BA20)&lt;0,CEILING(AD20,5),CEILING(MAX(AD20*((4*((AW20*AK20*Z20^2*1E-4/1000)+((MAX(AS20,AU20)*AK20*Z20^2*1E-4/1000)+(IF(AND(AS20&gt;0,AU20&gt;0),MIN(AS20,AU20),MAX(AS20,AU20))*AK20*Z20^2*1E-4/1000))/2)+BA20-(IF(AND(AS20&gt;0,AU20&gt;0),MIN(AS20,AU20),MAX(AS20,AU20))*AK20*Z20^2*1E-4/1000))-SQRT(MAX(0,((4*((AW20*AK20*Z20^2*1E-4/1000)+((MAX(AS20,AU20)*AK20*Z20^2*1E-4/1000)+(IF(AND(AS20&gt;0,AU20&gt;0),MIN(AS20,AU20),MAX(AS20,AU20))*AK20*Z20^2*1E-4/1000))/2)+BA20-(IF(AND(AS20&gt;0,AU20&gt;0),MIN(AS20,AU20),MAX(AS20,AU20))*AK20*Z20^2*1E-4/1000))^2-16*((AW20*AK20*Z20^2*1E-4/1000)+((MAX(AS20,AU20)*AK20*Z20^2*1E-4/1000)+(IF(AND(AS20&gt;0,AU20&gt;0),MIN(AS20,AU20),MAX(AS20,AU20))*AK20*Z20^2*1E-4/1000))/2)*BA20))))/(8*MAX(((AW20*AK20*Z20^2*1E-4/1000)+((MAX(AS20,AU20)*AK20*Z20^2*1E-4/1000)+(IF(AND(AS20&gt;0,AU20&gt;0),MIN(AS20,AU20),MAX(AS20,AU20))*AK20*Z20^2*1E-4/1000))/2),1E-9))+MAX(CO20,12*INDEX(TABLAS!$C$52:$C$58,MATCH(CL20,TABLAS!$B$52:$B$58,0)),AD20/16),IF(OR(AF20&lt;INDEX(TABLAS!$C$52:$C$58,MATCH(CL20,TABLAS!$B$52:$B$58,0)),CM20-INDEX(TABLAS!$C$52:$C$58,MATCH(CL20,TABLAS!$B$52:$B$58,0))&lt;2*INDEX(TABLAS!$C$52:$C$58,MATCH(CL20,TABLAS!$B$52:$B$58,0))),INDEX(TABLAS!$I$52:$I$58,MATCH(CL20,TABLAS!$B$52:$B$58,0)),INDEX(TABLAS!$F$52:$F$58,MATCH(CL20,TABLAS!$B$52:$B$58,0)))),5))))</f>
        <v/>
      </c>
      <c r="DB20" s="55" t="str">
        <f>IF(V20&lt;&gt;"SÍ","",IF(AND(C20="PERIMETRAL",AL20-AM20&gt;0,AT20&gt;0),"SÍ","NO"))</f>
        <v/>
      </c>
      <c r="DC20" s="55" t="str">
        <f>IF(V20&lt;&gt;"SÍ","",IF(AND(C20="PERIMETRAL",AM20&gt;0,AU20&gt;0),"SÍ","NO"))</f>
        <v/>
      </c>
      <c r="DD20" s="63" t="str">
        <f>IF(V20&lt;&gt;"SÍ","",IF(OR(C20="VOLADO",AL20=0),"—",IF(AND(AND(INDEX(TABLAS!$G$52:$G$58,MATCH(MAX(BR20,CL20),TABLAS!$B$52:$B$58,0))&lt;=(DATOS!$C$72-DATOS!$C$60),(DATOS!$C$72-DATOS!$C$60)&gt;=15),8*INDEX(TABLAS!$C$52:$C$58,MATCH(MAX(BH20,CB20,BR20,CL20),TABLAS!$B$52:$B$58,0))&lt;=DATOS!$C$73-2*DATOS!$C$60),"CUMPLE (gancho de 180°)",IF(AND(INDEX(TABLAS!$G$52:$G$58,MATCH(MAX(BR20,CL20),TABLAS!$B$52:$B$58,0))&lt;=(DATOS!$C$72-DATOS!$C$60),(DATOS!$C$72-DATOS!$C$60)&gt;=15),"NO CUMPLE: el gancho de 180° (8·d_b) no cabe en el peralte de la dala de borde","NO CUMPLE: dala de borde ≥ "&amp;TEXT(CEILING(MAX(INDEX(TABLAS!$G$52:$G$58,MATCH(MAX(BR20,CL20),TABLAS!$B$52:$B$58,0)),15)+DATOS!$C$60,5),"0")&amp;" cm de ancho"&amp;IF(8*INDEX(TABLAS!$C$52:$C$58,MATCH(MAX(BH20,CB20,BR20,CL20),TABLAS!$B$52:$B$58,0))&lt;=DATOS!$C$73-2*DATOS!$C$60,""," y más peralte para el gancho")))))</f>
        <v/>
      </c>
      <c r="DE20" s="69" t="str">
        <f>IF(V20&lt;&gt;"SÍ","",IF(BI20=0,"NO ALCANZA","No. "&amp;BH20&amp;" @ "&amp;BI20&amp;" cm"&amp;IF(C20="VOLADO"," (temperatura)","")))</f>
        <v/>
      </c>
      <c r="DF20" s="69" t="str">
        <f>IF(V20&lt;&gt;"SÍ","",IF(BS20=0,"NO ALCANZA",IF(C20="VOLADO","No. "&amp;BR20&amp;" @ "&amp;BS20&amp;" cm"&amp;" de la orilla al respaldo ("&amp;IF(CZ20&gt;=100*IF(ISNUMBER(Q20),Q20,Z20),"hasta su apoyo lejano, con gancho","entran "&amp;TEXT(CZ20/100,"0.00")&amp;" m desde el paño")&amp;")","Bastones "&amp;"No. "&amp;BR20&amp;" @ "&amp;BS20&amp;" cm"&amp;", L = "&amp;TEXT(CZ20/100,"0.00")&amp;" m desde el paño")))</f>
        <v/>
      </c>
      <c r="DG20" s="69" t="str">
        <f>IF(V20&lt;&gt;"SÍ","",IF(CC20=0,"NO ALCANZA","No. "&amp;CB20&amp;" @ "&amp;CC20&amp;" cm"&amp;IF(C20="VOLADO"," (repartición)","")))</f>
        <v/>
      </c>
      <c r="DH20" s="69" t="str">
        <f>IF(V20&lt;&gt;"SÍ","",IF(CM20=0,"NO ALCANZA",IF(C20="VOLADO","No. "&amp;CL20&amp;" @ "&amp;CM20&amp;" cm"&amp;" (repartición)","Bastones "&amp;"No. "&amp;CL20&amp;" @ "&amp;CM20&amp;" cm"&amp;", L = "&amp;TEXT(DA20/100,"0.00")&amp;" m desde el paño")))</f>
        <v/>
      </c>
      <c r="DI20" s="67" t="str">
        <f>IF(B20="","",IF(V20&lt;&gt;"SÍ","FALTAN DATOS: tipo, a_x, a_y y destino",IF(L20="NO MONOLÍTICO (caso II)","FUERA DE ALCANCE: caso II no transcrito",IF(AND(C20="VOLADO",X20="?"),"REVISAR: el volado lleva UN solo borde CONTINUO (el empotrado)",IF(AND(MAX(BM20,BW20,CG20,CQ20)&lt;=1,NOT(OR(BI20&lt;DATOS!$C$140,BS20&lt;DATOS!$C$140,CC20&lt;DATOS!$C$140,CM20&lt;DATOS!$C$140)),NOT(OR(AND(ISNUMBER(BN20),BN20&lt;0.005),AND(ISNUMBER(BX20),BX20&lt;0.005),AND(ISNUMBER(CH20),CH20&lt;0.005),AND(ISNUMBER(CR20),CR20&lt;0.005))),CV20="CUMPLE",CY20="CUMPLE"),"CUMPLE"&amp;IF(LEFT(BB20,5)="FUERA"," · fuera de 3.4.2.1 c)","")&amp;IF(LEFT(DD20,2)="NO"," · REVISAR anclaje en borde discontinuo",""),IF(AND(MAX(BM20,BW20,CG20,CQ20)&lt;=1,NOT(OR(BI20&lt;DATOS!$C$140,BS20&lt;DATOS!$C$140,CC20&lt;DATOS!$C$140,CM20&lt;DATOS!$C$140)),NOT(OR(AND(ISNUMBER(BN20),BN20&lt;0.005),AND(ISNUMBER(BX20),BX20&lt;0.005),AND(ISNUMBER(CH20),CH20&lt;0.005),AND(ISNUMBER(CR20),CR20&lt;0.005))),CV20="CUMPLE",CY20="CALCULAR FLECHA"),"REVISAR: calcular flecha (h &lt; h mín.)"&amp;IF(LEFT(BB20,5)="FUERA"," · fuera de 3.4.2.1 c)","")&amp;IF(LEFT(DD20,2)="NO"," · REVISAR anclaje en borde discontinuo",""),"NO CUMPLE: "&amp;IF(MAX(BM20,BW20,CG20,CQ20)&gt;1,"flexión ","")&amp;IF(OR(BI20&lt;DATOS!$C$140,BS20&lt;DATOS!$C$140,CC20&lt;DATOS!$C$140,CM20&lt;DATOS!$C$140),"separación &lt; mínima ","")&amp;IF(OR(AND(ISNUMBER(BN20),BN20&lt;0.005),AND(ISNUMBER(BX20),BX20&lt;0.005),AND(ISNUMBER(CH20),CH20&lt;0.005),AND(ISNUMBER(CR20),CR20&lt;0.005)),"ε_t &lt; 0.005 ","")&amp;IF(CV20&lt;&gt;"CUMPLE","cortante ","")&amp;IF(CY20="NO CUMPLE","peralte","")))))))</f>
        <v/>
      </c>
      <c r="DJ20" s="70" t="str">
        <f>IF(V20&lt;&gt;"SÍ","",IF(LEFT(B20,7)="EJEMPLO","EJEMPLO de tablero típico: bórralo o sobrescríbelo. ","")&amp;IF(C20="VOLADO","Volado de "&amp;TEXT(Z20,"0.00")&amp;" m empotrado en el borde "&amp;LOWER(X20)&amp;IF(N(P20)&gt;0,", con "&amp;TEXT(P20,"0.0")&amp;" kg/m en la orilla","")&amp;". Lecho inferior con r_ext. Si la orilla carga pretil u otro elemento frágil, calcula la flecha (13.4). El acero superior entra al respaldo de "&amp;TEXT(IF(ISNUMBER(Q20),Q20,Z20),"0.00")&amp;" m"&amp;IF(ISNUMBER(Q20),""," (L_b no capturado: se tomó igual al volado)")&amp;" hasta pasar M = 0 con 0.9·PP sin carga viva; si ahí no se anula, llega al apoyo lejano y se ancla con gancho. ","")&amp;IF(LEFT(BB20,5)="FUERA","El M⁻ del vecino difiere más de 50 % (3.4.2.1 c): distribuye el desequilibrio (3.4.3.1) o confirma con un modelo; se arma con el mayor. ","")&amp;IF(OR(DB20="SÍ",DC20="SÍ"),"Bastones también en los bordes discontinuos (M⁻ de tabla), con gancho. ","")&amp;IF(LEFT(DD20,2)="NO","Anclaje: "&amp;DD20&amp;" (6.7.7.4.1.1). ","")&amp;IF(OR(AT20&gt;0,AU20&gt;0),"Esquinas exteriores sobre muro: refuerzo de esquina arriba y abajo en L_largo/5 (6.7.7.3.1). ",""))</f>
        <v/>
      </c>
    </row>
    <row r="21" ht="33" customHeight="1">
      <c r="A21" s="50">
        <f>IF(B21="",0,1)+A20</f>
        <v>3</v>
      </c>
      <c r="B21" s="29" t="n"/>
      <c r="C21" s="51" t="n"/>
      <c r="D21" s="29" t="n"/>
      <c r="E21" s="52" t="n"/>
      <c r="F21" s="52" t="n"/>
      <c r="G21" s="51" t="n"/>
      <c r="H21" s="51" t="n"/>
      <c r="I21" s="51" t="n"/>
      <c r="J21" s="51" t="n"/>
      <c r="K21" s="51" t="n"/>
      <c r="L21" s="51" t="n"/>
      <c r="M21" s="54" t="n"/>
      <c r="N21" s="53" t="n"/>
      <c r="O21" s="53" t="n"/>
      <c r="P21" s="54" t="n"/>
      <c r="Q21" s="52" t="n"/>
      <c r="R21" s="54" t="n"/>
      <c r="S21" s="53" t="n"/>
      <c r="T21" s="52" t="n"/>
      <c r="U21" s="52" t="n"/>
      <c r="V21" s="55" t="str">
        <f>IF(B21="","",IF(AND(OR(C21="PERIMETRAL",C21="VOLADO"),ISNUMBER(E21),ISNUMBER(F21),E21&gt;0,F21&gt;0,OR(ISNUMBER(O21),ISNUMBER(MATCH(D21,DATOS!$B$46:$B$55,0)))),"SÍ","NO"))</f>
        <v/>
      </c>
      <c r="W21" s="57" t="str">
        <f>IF(V21&lt;&gt;"SÍ","",IF(ISNUMBER(M21),M21,DATOS!$C$134))</f>
        <v/>
      </c>
      <c r="X21" s="55" t="str">
        <f>IF(V21&lt;&gt;"SÍ","",IF(C21&lt;&gt;"VOLADO","—",IF(COUNTIF(G21:J21,"CONTINUO")&lt;&gt;1,"?",IF(G21="CONTINUO","INFERIOR",IF(H21="CONTINUO","SUPERIOR",IF(I21="CONTINUO","IZQUIERDO","DERECHO"))))))</f>
        <v/>
      </c>
      <c r="Y21" s="55" t="str">
        <f>IF(V21&lt;&gt;"SÍ","",IF(C21="VOLADO",IF(OR(X21="IZQUIERDO",X21="DERECHO"),"X","Y"),IF(E21&lt;=F21,"X","Y")))</f>
        <v/>
      </c>
      <c r="Z21" s="56" t="str">
        <f>IF(V21&lt;&gt;"SÍ","",IF(C21="VOLADO",IF(Y21="X",E21,F21),MIN(E21,F21)))</f>
        <v/>
      </c>
      <c r="AA21" s="56" t="str">
        <f>IF(V21&lt;&gt;"SÍ","",IF(C21="VOLADO",IF(Y21="X",F21,E21),MAX(E21,F21)))</f>
        <v/>
      </c>
      <c r="AB21" s="56" t="str">
        <f>IF(V21&lt;&gt;"SÍ","",MIN(Z21,AA21)/MAX(Z21,AA21))</f>
        <v/>
      </c>
      <c r="AC21" s="57" t="str">
        <f>IF(V21&lt;&gt;"SÍ","",MAX(1,Z21*100-IF(C21="VOLADO",DATOS!$C$84/2,DATOS!$C$84)))</f>
        <v/>
      </c>
      <c r="AD21" s="57" t="str">
        <f>IF(V21&lt;&gt;"SÍ","",MAX(1,AA21*100-DATOS!$C$84))</f>
        <v/>
      </c>
      <c r="AE21" s="57" t="str">
        <f>IF(V21&lt;&gt;"SÍ","",IF(C21="VOLADO",DATOS!$C$61,DATOS!$C$59))</f>
        <v/>
      </c>
      <c r="AF21" s="57" t="str">
        <f>IF(V21&lt;&gt;"SÍ","",IF(OR(AND(AG21="SÍ",DATOS!$C$63="SÍ"),AND(C21="VOLADO",DATOS!$C$64="SÍ")),DATOS!$C$61,DATOS!$C$59))</f>
        <v/>
      </c>
      <c r="AG21" s="55" t="str">
        <f>IF(V21&lt;&gt;"SÍ","",IFERROR(INDEX(DATOS!$D$46:$D$55,MATCH(D21,DATOS!$B$46:$B$55,0)),"NO"))</f>
        <v/>
      </c>
      <c r="AH21" s="59" t="str">
        <f>IF(V21&lt;&gt;"SÍ","",IF(ISNUMBER(O21),O21,IFERROR(INDEX(DATOS!$C$46:$C$55,MATCH(D21,DATOS!$B$46:$B$55,0)),0)))</f>
        <v/>
      </c>
      <c r="AI21" s="59" t="str">
        <f>IF(V21&lt;&gt;"SÍ","",W21/100*DATOS!$C$16*1000+DATOS!$C$37+DATOS!$C$38)</f>
        <v/>
      </c>
      <c r="AJ21" s="59" t="str">
        <f>IF(V21&lt;&gt;"SÍ","",AI21+N(N21))</f>
        <v/>
      </c>
      <c r="AK21" s="60" t="str">
        <f>IF(V21&lt;&gt;"SÍ","",MAX(DATOS!$C$26*AJ21+DATOS!$C$27*AH21,IF(AG21="SÍ",DATOS!$C$28*(AJ21+DATOS!$C$41),0)))</f>
        <v/>
      </c>
      <c r="AL21" s="59" t="str">
        <f>IF(V21&lt;&gt;"SÍ","",(G21="DISCONTINUO")+(H21="DISCONTINUO")+(I21="DISCONTINUO")+(J21="DISCONTINUO"))</f>
        <v/>
      </c>
      <c r="AM21" s="59" t="str">
        <f>IF(V21&lt;&gt;"SÍ","",IF(Y21="X",(G21="DISCONTINUO")+(H21="DISCONTINUO"),(I21="DISCONTINUO")+(J21="DISCONTINUO")))</f>
        <v/>
      </c>
      <c r="AN21" s="55" t="str">
        <f>IF(V21&lt;&gt;"SÍ","",IF(AL21=0,"INTERIOR",IF(AL21=1,IF(AM21=1,"BORDE-CORTO","BORDE-LARGO"),IF(AL21=2,IF(AM21=1,"ESQUINA",IF(AM21=2,"EXTREMO-LARGO","EXTREMO-CORTO")),IF(AL21=3,IF(AM21=2,"EXTREMO-LARGO","EXTREMO-CORTO"),"AISLADO")))))</f>
        <v/>
      </c>
      <c r="AO21" s="61" t="str">
        <f>IF(V21&lt;&gt;"SÍ","",IF(OR(K21="",K21="AUTO"),AN21,K21))</f>
        <v/>
      </c>
      <c r="AP21" s="59" t="str">
        <f>IF(V21&lt;&gt;"SÍ","",MATCH(AB21,TABLAS!$D$5:$J$5,1))</f>
        <v/>
      </c>
      <c r="AQ21" s="58" t="str">
        <f>IF(V21&lt;&gt;"SÍ","",IF(AP21&gt;=7,0,(AB21-INDEX(TABLAS!$D$5:$J$5,AP21))/(INDEX(TABLAS!$D$5:$J$5,AP21+1)-INDEX(TABLAS!$D$5:$J$5,AP21))))</f>
        <v/>
      </c>
      <c r="AR21" s="59" t="str">
        <f>IF(V21&lt;&gt;"SÍ","",INDEX(TABLAS!$D$6:$J$47,MATCH(AO21&amp;"|NIC",TABLAS!$B$6:$B$47,0),AP21)+AQ21*(INDEX(TABLAS!$D$6:$J$47,MATCH(AO21&amp;"|NIC",TABLAS!$B$6:$B$47,0),MIN(AP21+1,7))-INDEX(TABLAS!$D$6:$J$47,MATCH(AO21&amp;"|NIC",TABLAS!$B$6:$B$47,0),AP21)))</f>
        <v/>
      </c>
      <c r="AS21" s="59" t="str">
        <f>IF(V21&lt;&gt;"SÍ","",INDEX(TABLAS!$D$6:$J$47,MATCH(AO21&amp;"|NIL",TABLAS!$B$6:$B$47,0),AP21)+AQ21*(INDEX(TABLAS!$D$6:$J$47,MATCH(AO21&amp;"|NIL",TABLAS!$B$6:$B$47,0),MIN(AP21+1,7))-INDEX(TABLAS!$D$6:$J$47,MATCH(AO21&amp;"|NIL",TABLAS!$B$6:$B$47,0),AP21)))</f>
        <v/>
      </c>
      <c r="AT21" s="59" t="str">
        <f>IF(V21&lt;&gt;"SÍ","",INDEX(TABLAS!$D$6:$J$47,MATCH(AO21&amp;"|NDC",TABLAS!$B$6:$B$47,0),AP21)+AQ21*(INDEX(TABLAS!$D$6:$J$47,MATCH(AO21&amp;"|NDC",TABLAS!$B$6:$B$47,0),MIN(AP21+1,7))-INDEX(TABLAS!$D$6:$J$47,MATCH(AO21&amp;"|NDC",TABLAS!$B$6:$B$47,0),AP21)))</f>
        <v/>
      </c>
      <c r="AU21" s="59" t="str">
        <f>IF(V21&lt;&gt;"SÍ","",INDEX(TABLAS!$D$6:$J$47,MATCH(AO21&amp;"|NDL",TABLAS!$B$6:$B$47,0),AP21)+AQ21*(INDEX(TABLAS!$D$6:$J$47,MATCH(AO21&amp;"|NDL",TABLAS!$B$6:$B$47,0),MIN(AP21+1,7))-INDEX(TABLAS!$D$6:$J$47,MATCH(AO21&amp;"|NDL",TABLAS!$B$6:$B$47,0),AP21)))</f>
        <v/>
      </c>
      <c r="AV21" s="59" t="str">
        <f>IF(V21&lt;&gt;"SÍ","",INDEX(TABLAS!$D$6:$J$47,MATCH(AO21&amp;"|PC",TABLAS!$B$6:$B$47,0),AP21)+AQ21*(INDEX(TABLAS!$D$6:$J$47,MATCH(AO21&amp;"|PC",TABLAS!$B$6:$B$47,0),MIN(AP21+1,7))-INDEX(TABLAS!$D$6:$J$47,MATCH(AO21&amp;"|PC",TABLAS!$B$6:$B$47,0),AP21)))</f>
        <v/>
      </c>
      <c r="AW21" s="59" t="str">
        <f>IF(V21&lt;&gt;"SÍ","",INDEX(TABLAS!$D$6:$J$47,MATCH(AO21&amp;"|PL",TABLAS!$B$6:$B$47,0),AP21)+AQ21*(INDEX(TABLAS!$D$6:$J$47,MATCH(AO21&amp;"|PL",TABLAS!$B$6:$B$47,0),MIN(AP21+1,7))-INDEX(TABLAS!$D$6:$J$47,MATCH(AO21&amp;"|PL",TABLAS!$B$6:$B$47,0),AP21)))</f>
        <v/>
      </c>
      <c r="AX21" s="56" t="str">
        <f>IF(V21&lt;&gt;"SÍ","",IF(C21="PERIMETRAL",AV21*AK21*Z21^2*1E-4/1000,0))</f>
        <v/>
      </c>
      <c r="AY21" s="62" t="str">
        <f>IF(V21&lt;&gt;"SÍ","",IF(C21="PERIMETRAL",MAX(MAX(AR21,AT21)*AK21*Z21^2*1E-4/1000,N(T21)),(AK21*(AC21/100)^2/2+DATOS!$C$26*N(P21)*AC21/100)/1000))</f>
        <v/>
      </c>
      <c r="AZ21" s="56" t="str">
        <f>IF(V21&lt;&gt;"SÍ","",IF(C21="PERIMETRAL",AW21*AK21*Z21^2*1E-4/1000,0))</f>
        <v/>
      </c>
      <c r="BA21" s="56" t="str">
        <f>IF(V21&lt;&gt;"SÍ","",IF(C21="PERIMETRAL",MAX(MAX(AS21,AU21)*AK21*Z21^2*1E-4/1000,N(U21)),0))</f>
        <v/>
      </c>
      <c r="BB21" s="63" t="str">
        <f>IF(V21&lt;&gt;"SÍ","",IF(C21&lt;&gt;"PERIMETRAL","—",IF(AND(N(T21)=0,N(U21)=0),"— (sin M⁻ del vecino)",IF(OR(AND(N(T21)&gt;0,ABS(MAX(AR21,AT21)*AK21*Z21^2*1E-4/1000-N(T21))&gt;0.5*MIN(MAX(AR21,AT21)*AK21*Z21^2*1E-4/1000,N(T21))),AND(N(U21)&gt;0,ABS(MAX(AS21,AU21)*AK21*Z21^2*1E-4/1000-N(U21))&gt;0.5*MIN(MAX(AS21,AU21)*AK21*Z21^2*1E-4/1000,N(U21)))),"FUERA: difieren &gt; 50 %"&amp;IF(AND(N(T21)&gt;0,ABS(MAX(AR21,AT21)*AK21*Z21^2*1E-4/1000-N(T21))&gt;0.5*MIN(MAX(AR21,AT21)*AK21*Z21^2*1E-4/1000,N(T21)))," ‖ corto","")&amp;IF(AND(N(U21)&gt;0,ABS(MAX(AS21,AU21)*AK21*Z21^2*1E-4/1000-N(U21))&gt;0.5*MIN(MAX(AS21,AU21)*AK21*Z21^2*1E-4/1000,N(U21)))," ‖ largo",""),"CUMPLE"))))</f>
        <v/>
      </c>
      <c r="BC21" s="58" t="str">
        <f>IF(V21&lt;&gt;"SÍ","",DATOS!$C$136*100*W21)</f>
        <v/>
      </c>
      <c r="BD21" s="57" t="str">
        <f>IF(V21&lt;&gt;"SÍ","",MIN(IF(C21="VOLADO",DATOS!$C$138,DATOS!$C$137)*W21,DATOS!$C$139))</f>
        <v/>
      </c>
      <c r="BE21" s="58" t="str">
        <f>IF(V21&lt;&gt;"SÍ","",(W21-AE21-INDEX(TABLAS!$C$52:$C$58,MATCH(IF(ISNUMBER(S21),S21,DATOS!$C$135),TABLAS!$B$52:$B$58,0))/2))</f>
        <v/>
      </c>
      <c r="BF21" s="58" t="str">
        <f>IF(V21&lt;&gt;"SÍ","",IF(AX21&lt;=0,0,IF((1-2*AX21*1E5/(DATOS!$C$29*100*BE21^2*DATOS!$C$21))&lt;0,-1,IF((1-SQRT((1-2*AX21*1E5/(DATOS!$C$29*100*BE21^2*DATOS!$C$21))))*DATOS!$C$21*100*BE21/DATOS!$C$14&gt;DATOS!$C$99*100*BE21,-1,(1-SQRT((1-2*AX21*1E5/(DATOS!$C$29*100*BE21^2*DATOS!$C$21))))*DATOS!$C$21*100*BE21/DATOS!$C$14))))</f>
        <v/>
      </c>
      <c r="BG21" s="58" t="str">
        <f>IF(V21&lt;&gt;"SÍ","",IF(BF21&lt;0,-1,MAX(BF21,BC21)))</f>
        <v/>
      </c>
      <c r="BH21" s="64" t="str">
        <f>IF(V21&lt;&gt;"SÍ","",IF(AND(BG21&gt;0,FLOOR(MIN(BD21,100*INDEX(TABLAS!$D$52:$D$58,MIN(MATCH(IF(ISNUMBER(S21),S21,DATOS!$C$135),TABLAS!$B$52:$B$58,0)+0,7))/MAX(BG21,0.0001)),DATOS!$C$141)&gt;=DATOS!$C$140),INDEX(TABLAS!$B$52:$B$58,MIN(MATCH(IF(ISNUMBER(S21),S21,DATOS!$C$135),TABLAS!$B$52:$B$58,0)+0,7)),IF(AND(BG21&gt;0,FLOOR(MIN(BD21,100*INDEX(TABLAS!$D$52:$D$58,MIN(MATCH(IF(ISNUMBER(S21),S21,DATOS!$C$135),TABLAS!$B$52:$B$58,0)+1,7))/MAX(BG21,0.0001)),DATOS!$C$141)&gt;=DATOS!$C$140),INDEX(TABLAS!$B$52:$B$58,MIN(MATCH(IF(ISNUMBER(S21),S21,DATOS!$C$135),TABLAS!$B$52:$B$58,0)+1,7)),IF(AND(BG21&gt;0,FLOOR(MIN(BD21,100*INDEX(TABLAS!$D$52:$D$58,MIN(MATCH(IF(ISNUMBER(S21),S21,DATOS!$C$135),TABLAS!$B$52:$B$58,0)+2,7))/MAX(BG21,0.0001)),DATOS!$C$141)&gt;=DATOS!$C$140),INDEX(TABLAS!$B$52:$B$58,MIN(MATCH(IF(ISNUMBER(S21),S21,DATOS!$C$135),TABLAS!$B$52:$B$58,0)+2,7)),IF(AND(BG21&gt;0,FLOOR(MIN(BD21,100*INDEX(TABLAS!$D$52:$D$58,MIN(MATCH(IF(ISNUMBER(S21),S21,DATOS!$C$135),TABLAS!$B$52:$B$58,0)+3,7))/MAX(BG21,0.0001)),DATOS!$C$141)&gt;=DATOS!$C$140),INDEX(TABLAS!$B$52:$B$58,MIN(MATCH(IF(ISNUMBER(S21),S21,DATOS!$C$135),TABLAS!$B$52:$B$58,0)+3,7)),IF(AND(BG21&gt;0,FLOOR(MIN(BD21,100*INDEX(TABLAS!$D$52:$D$58,MIN(MATCH(IF(ISNUMBER(S21),S21,DATOS!$C$135),TABLAS!$B$52:$B$58,0)+4,7))/MAX(BG21,0.0001)),DATOS!$C$141)&gt;=DATOS!$C$140),INDEX(TABLAS!$B$52:$B$58,MIN(MATCH(IF(ISNUMBER(S21),S21,DATOS!$C$135),TABLAS!$B$52:$B$58,0)+4,7)),INDEX(TABLAS!$B$52:$B$58,7)))))))</f>
        <v/>
      </c>
      <c r="BI21" s="71" t="str">
        <f>IF(V21&lt;&gt;"SÍ","",IF(BG21&lt;=0,0,FLOOR(MIN(BD21,100*INDEX(TABLAS!$D$52:$D$58,MATCH(BH21,TABLAS!$B$52:$B$58,0))/BG21),DATOS!$C$141)))</f>
        <v/>
      </c>
      <c r="BJ21" s="58" t="str">
        <f>IF(V21&lt;&gt;"SÍ","",IF(BI21&lt;=0,0,INDEX(TABLAS!$D$52:$D$58,MATCH(BH21,TABLAS!$B$52:$B$58,0))*100/BI21))</f>
        <v/>
      </c>
      <c r="BK21" s="58" t="str">
        <f>IF(V21&lt;&gt;"SÍ","",W21-AE21-INDEX(TABLAS!$C$52:$C$58,MATCH(BH21,TABLAS!$B$52:$B$58,0))/2)</f>
        <v/>
      </c>
      <c r="BL21" s="56" t="str">
        <f>IF(V21&lt;&gt;"SÍ","",IF(BJ21=0,0,DATOS!$C$29*BJ21*DATOS!$C$14*(BK21-BJ21*DATOS!$C$14/(DATOS!$C$21*100)/2)/1E5))</f>
        <v/>
      </c>
      <c r="BM21" s="65" t="str">
        <f>IF(V21&lt;&gt;"SÍ","",IF(BG21&lt;0,9.99,IF(BL21&gt;0,AX21/BL21,0)))</f>
        <v/>
      </c>
      <c r="BN21" s="66" t="str">
        <f>IF(V21&lt;&gt;"SÍ","",IF(BJ21=0,"—",0.003*(BK21-(BJ21*DATOS!$C$14/(DATOS!$C$21*100)/DATOS!$C$22))/(BJ21*DATOS!$C$14/(DATOS!$C$21*100)/DATOS!$C$22)))</f>
        <v/>
      </c>
      <c r="BO21" s="58" t="str">
        <f>IF(V21&lt;&gt;"SÍ","",((W21-AF21-INDEX(TABLAS!$C$52:$C$58,MATCH(IF(ISNUMBER(S21),S21,DATOS!$C$135),TABLAS!$B$52:$B$58,0))/2)-IF(AND((W21-AF21-INDEX(TABLAS!$C$52:$C$58,MATCH(IF(ISNUMBER(S21),S21,DATOS!$C$135),TABLAS!$B$52:$B$58,0))/2)&lt;=20,DATOS!$C$62&lt;&gt;"SÍ"),2,0)))</f>
        <v/>
      </c>
      <c r="BP21" s="58" t="str">
        <f>IF(V21&lt;&gt;"SÍ","",IF(AY21&lt;=0,0,IF((1-2*AY21*1E5/(DATOS!$C$29*100*BO21^2*DATOS!$C$21))&lt;0,-1,IF((1-SQRT((1-2*AY21*1E5/(DATOS!$C$29*100*BO21^2*DATOS!$C$21))))*DATOS!$C$21*100*BO21/DATOS!$C$14&gt;DATOS!$C$99*100*BO21,-1,(1-SQRT((1-2*AY21*1E5/(DATOS!$C$29*100*BO21^2*DATOS!$C$21))))*DATOS!$C$21*100*BO21/DATOS!$C$14))))</f>
        <v/>
      </c>
      <c r="BQ21" s="58" t="str">
        <f>IF(V21&lt;&gt;"SÍ","",IF(BP21&lt;0,-1,MAX(BP21,BC21)))</f>
        <v/>
      </c>
      <c r="BR21" s="64" t="str">
        <f>IF(V21&lt;&gt;"SÍ","",IF(AND(BQ21&gt;0,FLOOR(MIN(BD21,100*INDEX(TABLAS!$D$52:$D$58,MIN(MATCH(IF(ISNUMBER(S21),S21,DATOS!$C$135),TABLAS!$B$52:$B$58,0)+0,7))/MAX(BQ21,0.0001)),DATOS!$C$141)&gt;=DATOS!$C$140),INDEX(TABLAS!$B$52:$B$58,MIN(MATCH(IF(ISNUMBER(S21),S21,DATOS!$C$135),TABLAS!$B$52:$B$58,0)+0,7)),IF(AND(BQ21&gt;0,FLOOR(MIN(BD21,100*INDEX(TABLAS!$D$52:$D$58,MIN(MATCH(IF(ISNUMBER(S21),S21,DATOS!$C$135),TABLAS!$B$52:$B$58,0)+1,7))/MAX(BQ21,0.0001)),DATOS!$C$141)&gt;=DATOS!$C$140),INDEX(TABLAS!$B$52:$B$58,MIN(MATCH(IF(ISNUMBER(S21),S21,DATOS!$C$135),TABLAS!$B$52:$B$58,0)+1,7)),IF(AND(BQ21&gt;0,FLOOR(MIN(BD21,100*INDEX(TABLAS!$D$52:$D$58,MIN(MATCH(IF(ISNUMBER(S21),S21,DATOS!$C$135),TABLAS!$B$52:$B$58,0)+2,7))/MAX(BQ21,0.0001)),DATOS!$C$141)&gt;=DATOS!$C$140),INDEX(TABLAS!$B$52:$B$58,MIN(MATCH(IF(ISNUMBER(S21),S21,DATOS!$C$135),TABLAS!$B$52:$B$58,0)+2,7)),IF(AND(BQ21&gt;0,FLOOR(MIN(BD21,100*INDEX(TABLAS!$D$52:$D$58,MIN(MATCH(IF(ISNUMBER(S21),S21,DATOS!$C$135),TABLAS!$B$52:$B$58,0)+3,7))/MAX(BQ21,0.0001)),DATOS!$C$141)&gt;=DATOS!$C$140),INDEX(TABLAS!$B$52:$B$58,MIN(MATCH(IF(ISNUMBER(S21),S21,DATOS!$C$135),TABLAS!$B$52:$B$58,0)+3,7)),IF(AND(BQ21&gt;0,FLOOR(MIN(BD21,100*INDEX(TABLAS!$D$52:$D$58,MIN(MATCH(IF(ISNUMBER(S21),S21,DATOS!$C$135),TABLAS!$B$52:$B$58,0)+4,7))/MAX(BQ21,0.0001)),DATOS!$C$141)&gt;=DATOS!$C$140),INDEX(TABLAS!$B$52:$B$58,MIN(MATCH(IF(ISNUMBER(S21),S21,DATOS!$C$135),TABLAS!$B$52:$B$58,0)+4,7)),INDEX(TABLAS!$B$52:$B$58,7)))))))</f>
        <v/>
      </c>
      <c r="BS21" s="71" t="str">
        <f>IF(V21&lt;&gt;"SÍ","",IF(BQ21&lt;=0,0,FLOOR(MIN(BD21,100*INDEX(TABLAS!$D$52:$D$58,MATCH(BR21,TABLAS!$B$52:$B$58,0))/BQ21),DATOS!$C$141)))</f>
        <v/>
      </c>
      <c r="BT21" s="58" t="str">
        <f>IF(V21&lt;&gt;"SÍ","",IF(BS21&lt;=0,0,INDEX(TABLAS!$D$52:$D$58,MATCH(BR21,TABLAS!$B$52:$B$58,0))*100/BS21))</f>
        <v/>
      </c>
      <c r="BU21" s="58" t="str">
        <f>IF(V21&lt;&gt;"SÍ","",((W21-AF21-INDEX(TABLAS!$C$52:$C$58,MATCH(BR21,TABLAS!$B$52:$B$58,0))/2)-IF(AND((W21-AF21-INDEX(TABLAS!$C$52:$C$58,MATCH(BR21,TABLAS!$B$52:$B$58,0))/2)&lt;=20,DATOS!$C$62&lt;&gt;"SÍ"),2,0)))</f>
        <v/>
      </c>
      <c r="BV21" s="56" t="str">
        <f>IF(V21&lt;&gt;"SÍ","",IF(BT21=0,0,DATOS!$C$29*BT21*DATOS!$C$14*(BU21-BT21*DATOS!$C$14/(DATOS!$C$21*100)/2)/1E5))</f>
        <v/>
      </c>
      <c r="BW21" s="65" t="str">
        <f>IF(V21&lt;&gt;"SÍ","",IF(BQ21&lt;0,9.99,IF(BV21&gt;0,AY21/BV21,0)))</f>
        <v/>
      </c>
      <c r="BX21" s="66" t="str">
        <f>IF(V21&lt;&gt;"SÍ","",IF(BT21=0,"—",0.003*(BU21-(BT21*DATOS!$C$14/(DATOS!$C$21*100)/DATOS!$C$22))/(BT21*DATOS!$C$14/(DATOS!$C$21*100)/DATOS!$C$22)))</f>
        <v/>
      </c>
      <c r="BY21" s="58" t="str">
        <f>IF(V21&lt;&gt;"SÍ","",(W21-AE21-1.5*INDEX(TABLAS!$C$52:$C$58,MATCH(IF(ISNUMBER(S21),S21,DATOS!$C$135),TABLAS!$B$52:$B$58,0))))</f>
        <v/>
      </c>
      <c r="BZ21" s="58" t="str">
        <f>IF(V21&lt;&gt;"SÍ","",IF(AZ21&lt;=0,0,IF((1-2*AZ21*1E5/(DATOS!$C$29*100*BY21^2*DATOS!$C$21))&lt;0,-1,IF((1-SQRT((1-2*AZ21*1E5/(DATOS!$C$29*100*BY21^2*DATOS!$C$21))))*DATOS!$C$21*100*BY21/DATOS!$C$14&gt;DATOS!$C$99*100*BY21,-1,(1-SQRT((1-2*AZ21*1E5/(DATOS!$C$29*100*BY21^2*DATOS!$C$21))))*DATOS!$C$21*100*BY21/DATOS!$C$14))))</f>
        <v/>
      </c>
      <c r="CA21" s="58" t="str">
        <f>IF(V21&lt;&gt;"SÍ","",IF(BZ21&lt;0,-1,MAX(BZ21,BC21)))</f>
        <v/>
      </c>
      <c r="CB21" s="64" t="str">
        <f>IF(V21&lt;&gt;"SÍ","",IF(AND(CA21&gt;0,FLOOR(MIN(BD21,100*INDEX(TABLAS!$D$52:$D$58,MIN(MATCH(IF(ISNUMBER(S21),S21,DATOS!$C$135),TABLAS!$B$52:$B$58,0)+0,7))/MAX(CA21,0.0001)),DATOS!$C$141)&gt;=DATOS!$C$140),INDEX(TABLAS!$B$52:$B$58,MIN(MATCH(IF(ISNUMBER(S21),S21,DATOS!$C$135),TABLAS!$B$52:$B$58,0)+0,7)),IF(AND(CA21&gt;0,FLOOR(MIN(BD21,100*INDEX(TABLAS!$D$52:$D$58,MIN(MATCH(IF(ISNUMBER(S21),S21,DATOS!$C$135),TABLAS!$B$52:$B$58,0)+1,7))/MAX(CA21,0.0001)),DATOS!$C$141)&gt;=DATOS!$C$140),INDEX(TABLAS!$B$52:$B$58,MIN(MATCH(IF(ISNUMBER(S21),S21,DATOS!$C$135),TABLAS!$B$52:$B$58,0)+1,7)),IF(AND(CA21&gt;0,FLOOR(MIN(BD21,100*INDEX(TABLAS!$D$52:$D$58,MIN(MATCH(IF(ISNUMBER(S21),S21,DATOS!$C$135),TABLAS!$B$52:$B$58,0)+2,7))/MAX(CA21,0.0001)),DATOS!$C$141)&gt;=DATOS!$C$140),INDEX(TABLAS!$B$52:$B$58,MIN(MATCH(IF(ISNUMBER(S21),S21,DATOS!$C$135),TABLAS!$B$52:$B$58,0)+2,7)),IF(AND(CA21&gt;0,FLOOR(MIN(BD21,100*INDEX(TABLAS!$D$52:$D$58,MIN(MATCH(IF(ISNUMBER(S21),S21,DATOS!$C$135),TABLAS!$B$52:$B$58,0)+3,7))/MAX(CA21,0.0001)),DATOS!$C$141)&gt;=DATOS!$C$140),INDEX(TABLAS!$B$52:$B$58,MIN(MATCH(IF(ISNUMBER(S21),S21,DATOS!$C$135),TABLAS!$B$52:$B$58,0)+3,7)),IF(AND(CA21&gt;0,FLOOR(MIN(BD21,100*INDEX(TABLAS!$D$52:$D$58,MIN(MATCH(IF(ISNUMBER(S21),S21,DATOS!$C$135),TABLAS!$B$52:$B$58,0)+4,7))/MAX(CA21,0.0001)),DATOS!$C$141)&gt;=DATOS!$C$140),INDEX(TABLAS!$B$52:$B$58,MIN(MATCH(IF(ISNUMBER(S21),S21,DATOS!$C$135),TABLAS!$B$52:$B$58,0)+4,7)),INDEX(TABLAS!$B$52:$B$58,7)))))))</f>
        <v/>
      </c>
      <c r="CC21" s="71" t="str">
        <f>IF(V21&lt;&gt;"SÍ","",IF(CA21&lt;=0,0,FLOOR(MIN(BD21,100*INDEX(TABLAS!$D$52:$D$58,MATCH(CB21,TABLAS!$B$52:$B$58,0))/CA21),DATOS!$C$141)))</f>
        <v/>
      </c>
      <c r="CD21" s="58" t="str">
        <f>IF(V21&lt;&gt;"SÍ","",IF(CC21&lt;=0,0,INDEX(TABLAS!$D$52:$D$58,MATCH(CB21,TABLAS!$B$52:$B$58,0))*100/CC21))</f>
        <v/>
      </c>
      <c r="CE21" s="58" t="str">
        <f>IF(V21&lt;&gt;"SÍ","",W21-AE21-INDEX(TABLAS!$C$52:$C$58,MATCH(BH21,TABLAS!$B$52:$B$58,0))-INDEX(TABLAS!$C$52:$C$58,MATCH(CB21,TABLAS!$B$52:$B$58,0))/2)</f>
        <v/>
      </c>
      <c r="CF21" s="56" t="str">
        <f>IF(V21&lt;&gt;"SÍ","",IF(CD21=0,0,DATOS!$C$29*CD21*DATOS!$C$14*(CE21-CD21*DATOS!$C$14/(DATOS!$C$21*100)/2)/1E5))</f>
        <v/>
      </c>
      <c r="CG21" s="65" t="str">
        <f>IF(V21&lt;&gt;"SÍ","",IF(CA21&lt;0,9.99,IF(CF21&gt;0,AZ21/CF21,0)))</f>
        <v/>
      </c>
      <c r="CH21" s="66" t="str">
        <f>IF(V21&lt;&gt;"SÍ","",IF(CD21=0,"—",0.003*(CE21-(CD21*DATOS!$C$14/(DATOS!$C$21*100)/DATOS!$C$22))/(CD21*DATOS!$C$14/(DATOS!$C$21*100)/DATOS!$C$22)))</f>
        <v/>
      </c>
      <c r="CI21" s="58" t="str">
        <f>IF(V21&lt;&gt;"SÍ","",((W21-AF21-1.5*INDEX(TABLAS!$C$52:$C$58,MATCH(IF(ISNUMBER(S21),S21,DATOS!$C$135),TABLAS!$B$52:$B$58,0)))-IF(AND((W21-AF21-1.5*INDEX(TABLAS!$C$52:$C$58,MATCH(IF(ISNUMBER(S21),S21,DATOS!$C$135),TABLAS!$B$52:$B$58,0)))&lt;=20,DATOS!$C$62&lt;&gt;"SÍ"),2,0)))</f>
        <v/>
      </c>
      <c r="CJ21" s="58" t="str">
        <f>IF(V21&lt;&gt;"SÍ","",IF(BA21&lt;=0,0,IF((1-2*BA21*1E5/(DATOS!$C$29*100*CI21^2*DATOS!$C$21))&lt;0,-1,IF((1-SQRT((1-2*BA21*1E5/(DATOS!$C$29*100*CI21^2*DATOS!$C$21))))*DATOS!$C$21*100*CI21/DATOS!$C$14&gt;DATOS!$C$99*100*CI21,-1,(1-SQRT((1-2*BA21*1E5/(DATOS!$C$29*100*CI21^2*DATOS!$C$21))))*DATOS!$C$21*100*CI21/DATOS!$C$14))))</f>
        <v/>
      </c>
      <c r="CK21" s="58" t="str">
        <f>IF(V21&lt;&gt;"SÍ","",IF(CJ21&lt;0,-1,MAX(CJ21,BC21)))</f>
        <v/>
      </c>
      <c r="CL21" s="64" t="str">
        <f>IF(V21&lt;&gt;"SÍ","",IF(AND(CK21&gt;0,FLOOR(MIN(BD21,100*INDEX(TABLAS!$D$52:$D$58,MIN(MATCH(IF(ISNUMBER(S21),S21,DATOS!$C$135),TABLAS!$B$52:$B$58,0)+0,7))/MAX(CK21,0.0001)),DATOS!$C$141)&gt;=DATOS!$C$140),INDEX(TABLAS!$B$52:$B$58,MIN(MATCH(IF(ISNUMBER(S21),S21,DATOS!$C$135),TABLAS!$B$52:$B$58,0)+0,7)),IF(AND(CK21&gt;0,FLOOR(MIN(BD21,100*INDEX(TABLAS!$D$52:$D$58,MIN(MATCH(IF(ISNUMBER(S21),S21,DATOS!$C$135),TABLAS!$B$52:$B$58,0)+1,7))/MAX(CK21,0.0001)),DATOS!$C$141)&gt;=DATOS!$C$140),INDEX(TABLAS!$B$52:$B$58,MIN(MATCH(IF(ISNUMBER(S21),S21,DATOS!$C$135),TABLAS!$B$52:$B$58,0)+1,7)),IF(AND(CK21&gt;0,FLOOR(MIN(BD21,100*INDEX(TABLAS!$D$52:$D$58,MIN(MATCH(IF(ISNUMBER(S21),S21,DATOS!$C$135),TABLAS!$B$52:$B$58,0)+2,7))/MAX(CK21,0.0001)),DATOS!$C$141)&gt;=DATOS!$C$140),INDEX(TABLAS!$B$52:$B$58,MIN(MATCH(IF(ISNUMBER(S21),S21,DATOS!$C$135),TABLAS!$B$52:$B$58,0)+2,7)),IF(AND(CK21&gt;0,FLOOR(MIN(BD21,100*INDEX(TABLAS!$D$52:$D$58,MIN(MATCH(IF(ISNUMBER(S21),S21,DATOS!$C$135),TABLAS!$B$52:$B$58,0)+3,7))/MAX(CK21,0.0001)),DATOS!$C$141)&gt;=DATOS!$C$140),INDEX(TABLAS!$B$52:$B$58,MIN(MATCH(IF(ISNUMBER(S21),S21,DATOS!$C$135),TABLAS!$B$52:$B$58,0)+3,7)),IF(AND(CK21&gt;0,FLOOR(MIN(BD21,100*INDEX(TABLAS!$D$52:$D$58,MIN(MATCH(IF(ISNUMBER(S21),S21,DATOS!$C$135),TABLAS!$B$52:$B$58,0)+4,7))/MAX(CK21,0.0001)),DATOS!$C$141)&gt;=DATOS!$C$140),INDEX(TABLAS!$B$52:$B$58,MIN(MATCH(IF(ISNUMBER(S21),S21,DATOS!$C$135),TABLAS!$B$52:$B$58,0)+4,7)),INDEX(TABLAS!$B$52:$B$58,7)))))))</f>
        <v/>
      </c>
      <c r="CM21" s="71" t="str">
        <f>IF(V21&lt;&gt;"SÍ","",IF(CK21&lt;=0,0,FLOOR(MIN(BD21,100*INDEX(TABLAS!$D$52:$D$58,MATCH(CL21,TABLAS!$B$52:$B$58,0))/CK21),DATOS!$C$141)))</f>
        <v/>
      </c>
      <c r="CN21" s="58" t="str">
        <f>IF(V21&lt;&gt;"SÍ","",IF(CM21&lt;=0,0,INDEX(TABLAS!$D$52:$D$58,MATCH(CL21,TABLAS!$B$52:$B$58,0))*100/CM21))</f>
        <v/>
      </c>
      <c r="CO21" s="58" t="str">
        <f>IF(V21&lt;&gt;"SÍ","",((W21-AF21-INDEX(TABLAS!$C$52:$C$58,MATCH(BR21,TABLAS!$B$52:$B$58,0))-INDEX(TABLAS!$C$52:$C$58,MATCH(CL21,TABLAS!$B$52:$B$58,0))/2)-IF(AND((W21-AF21-INDEX(TABLAS!$C$52:$C$58,MATCH(BR21,TABLAS!$B$52:$B$58,0))-INDEX(TABLAS!$C$52:$C$58,MATCH(CL21,TABLAS!$B$52:$B$58,0))/2)&lt;=20,DATOS!$C$62&lt;&gt;"SÍ"),2,0)))</f>
        <v/>
      </c>
      <c r="CP21" s="56" t="str">
        <f>IF(V21&lt;&gt;"SÍ","",IF(CN21=0,0,DATOS!$C$29*CN21*DATOS!$C$14*(CO21-CN21*DATOS!$C$14/(DATOS!$C$21*100)/2)/1E5))</f>
        <v/>
      </c>
      <c r="CQ21" s="65" t="str">
        <f>IF(V21&lt;&gt;"SÍ","",IF(CK21&lt;0,9.99,IF(CP21&gt;0,BA21/CP21,0)))</f>
        <v/>
      </c>
      <c r="CR21" s="66" t="str">
        <f>IF(V21&lt;&gt;"SÍ","",IF(CN21=0,"—",0.003*(CO21-(CN21*DATOS!$C$14/(DATOS!$C$21*100)/DATOS!$C$22))/(CN21*DATOS!$C$14/(DATOS!$C$21*100)/DATOS!$C$22)))</f>
        <v/>
      </c>
      <c r="CS21" s="56" t="str">
        <f>IF(V21&lt;&gt;"SÍ","",IF(C21="PERIMETRAL",MAX(0,(AC21/2-BU21)/100)*(0.95-0.5*AB21)*AK21*IF(AND(AL21&gt;0,AL21&lt;4),DATOS!$C$33,1)/1000,(AK21*MAX(0,AC21-BU21)/100+DATOS!$C$26*N(P21))/1000))</f>
        <v/>
      </c>
      <c r="CT21" s="66" t="str">
        <f>IF(V21&lt;&gt;"SÍ","",BT21/(100*BU21))</f>
        <v/>
      </c>
      <c r="CU21" s="56" t="str">
        <f>IF(V21&lt;&gt;"SÍ","",DATOS!$C$30*2*MIN(1,SQRT(2/(1+0.04*BU21)))*CT21^(1/3)*SQRT(DATOS!$C$13)*100*BU21/1000)</f>
        <v/>
      </c>
      <c r="CV21" s="67" t="str">
        <f>IF(V21&lt;&gt;"SÍ","",IF(CS21&lt;=CU21,"CUMPLE","NO CUMPLE: sube h"))</f>
        <v/>
      </c>
      <c r="CW21" s="58" t="str">
        <f>IF(V21&lt;&gt;"SÍ","",IF(C21="PERIMETRAL",IF(ISNUMBER(R21),R21,DATOS!$C$101),0))</f>
        <v/>
      </c>
      <c r="CX21" s="57" t="str">
        <f>IF(V21&lt;&gt;"SÍ","",IF(C21="PERIMETRAL",IF(CW21&gt;2,MAX(9,AD21*(0.8+DATOS!$C$14/14000)/(36+9*(AD21/MAX(AC21,1)))),IF(CW21&gt;0.2,MAX(13,AD21*(0.8+DATOS!$C$14/14000)/(36+5*(AD21/MAX(AC21,1))*(CW21-0.2))),MAX(13,AD21/IF(AL21&gt;0,30,33))))*IF(AND(CW21&gt;0.2,AL21&gt;0,DATOS!$C$102="NO"),1.1,1),Z21*100/DATOS!$C$142))</f>
        <v/>
      </c>
      <c r="CY21" s="61" t="str">
        <f>IF(V21&lt;&gt;"SÍ","",IF(W21&gt;=CX21-0.001,"CUMPLE",IF(C21="VOLADO","NO CUMPLE","CALCULAR FLECHA")))</f>
        <v/>
      </c>
      <c r="CZ21" s="60" t="str">
        <f>IF(V21&lt;&gt;"SÍ","",IF(C21="VOLADO",MIN(CEILING(IF(ISNUMBER(Q21),Q21,Z21)*100,5),CEILING(MAX(IF((0.5*(0.9*W21/100*DATOS!$C$16)*IF(ISNUMBER(Q21),Q21,Z21)+AY21/IF(ISNUMBER(Q21),Q21,Z21))^2-4*(0.5*(0.9*W21/100*DATOS!$C$16))*AY21&lt;0,IF(ISNUMBER(Q21),Q21,Z21),MIN(IF(ISNUMBER(Q21),Q21,Z21),((0.5*(0.9*W21/100*DATOS!$C$16)*IF(ISNUMBER(Q21),Q21,Z21)+AY21/IF(ISNUMBER(Q21),Q21,Z21))-SQRT((0.5*(0.9*W21/100*DATOS!$C$16)*IF(ISNUMBER(Q21),Q21,Z21)+AY21/IF(ISNUMBER(Q21),Q21,Z21))^2-4*(0.5*(0.9*W21/100*DATOS!$C$16))*AY21))/(2*(0.5*(0.9*W21/100*DATOS!$C$16)))))*100+MAX(BU21,12*INDEX(TABLAS!$C$52:$C$58,MATCH(BR21,TABLAS!$B$52:$B$58,0)),IF(ISNUMBER(Q21),Q21,Z21)*100/16),IF(OR(AF21&lt;INDEX(TABLAS!$C$52:$C$58,MATCH(BR21,TABLAS!$B$52:$B$58,0)),BS21-INDEX(TABLAS!$C$52:$C$58,MATCH(BR21,TABLAS!$B$52:$B$58,0))&lt;2*INDEX(TABLAS!$C$52:$C$58,MATCH(BR21,TABLAS!$B$52:$B$58,0))),INDEX(TABLAS!$I$52:$I$58,MATCH(BR21,TABLAS!$B$52:$B$58,0)),INDEX(TABLAS!$F$52:$F$58,MATCH(BR21,TABLAS!$B$52:$B$58,0)))),5)),IF(((4*((AV21*AK21*Z21^2*1E-4/1000)+((MAX(AR21,AT21)*AK21*Z21^2*1E-4/1000)+(IF(AND(AR21&gt;0,AT21&gt;0),MIN(AR21,AT21),MAX(AR21,AT21))*AK21*Z21^2*1E-4/1000))/2)+AY21-(IF(AND(AR21&gt;0,AT21&gt;0),MIN(AR21,AT21),MAX(AR21,AT21))*AK21*Z21^2*1E-4/1000))^2-16*((AV21*AK21*Z21^2*1E-4/1000)+((MAX(AR21,AT21)*AK21*Z21^2*1E-4/1000)+(IF(AND(AR21&gt;0,AT21&gt;0),MIN(AR21,AT21),MAX(AR21,AT21))*AK21*Z21^2*1E-4/1000))/2)*AY21)&lt;0,CEILING(AC21,5),CEILING(MAX(AC21*((4*((AV21*AK21*Z21^2*1E-4/1000)+((MAX(AR21,AT21)*AK21*Z21^2*1E-4/1000)+(IF(AND(AR21&gt;0,AT21&gt;0),MIN(AR21,AT21),MAX(AR21,AT21))*AK21*Z21^2*1E-4/1000))/2)+AY21-(IF(AND(AR21&gt;0,AT21&gt;0),MIN(AR21,AT21),MAX(AR21,AT21))*AK21*Z21^2*1E-4/1000))-SQRT(MAX(0,((4*((AV21*AK21*Z21^2*1E-4/1000)+((MAX(AR21,AT21)*AK21*Z21^2*1E-4/1000)+(IF(AND(AR21&gt;0,AT21&gt;0),MIN(AR21,AT21),MAX(AR21,AT21))*AK21*Z21^2*1E-4/1000))/2)+AY21-(IF(AND(AR21&gt;0,AT21&gt;0),MIN(AR21,AT21),MAX(AR21,AT21))*AK21*Z21^2*1E-4/1000))^2-16*((AV21*AK21*Z21^2*1E-4/1000)+((MAX(AR21,AT21)*AK21*Z21^2*1E-4/1000)+(IF(AND(AR21&gt;0,AT21&gt;0),MIN(AR21,AT21),MAX(AR21,AT21))*AK21*Z21^2*1E-4/1000))/2)*AY21))))/(8*MAX(((AV21*AK21*Z21^2*1E-4/1000)+((MAX(AR21,AT21)*AK21*Z21^2*1E-4/1000)+(IF(AND(AR21&gt;0,AT21&gt;0),MIN(AR21,AT21),MAX(AR21,AT21))*AK21*Z21^2*1E-4/1000))/2),1E-9))+MAX(BU21,12*INDEX(TABLAS!$C$52:$C$58,MATCH(BR21,TABLAS!$B$52:$B$58,0)),AC21/16),IF(OR(AF21&lt;INDEX(TABLAS!$C$52:$C$58,MATCH(BR21,TABLAS!$B$52:$B$58,0)),BS21-INDEX(TABLAS!$C$52:$C$58,MATCH(BR21,TABLAS!$B$52:$B$58,0))&lt;2*INDEX(TABLAS!$C$52:$C$58,MATCH(BR21,TABLAS!$B$52:$B$58,0))),INDEX(TABLAS!$I$52:$I$58,MATCH(BR21,TABLAS!$B$52:$B$58,0)),INDEX(TABLAS!$F$52:$F$58,MATCH(BR21,TABLAS!$B$52:$B$58,0)))),5))))</f>
        <v/>
      </c>
      <c r="DA21" s="60" t="str">
        <f>IF(V21&lt;&gt;"SÍ","",IF(C21="VOLADO",0,IF(((4*((AW21*AK21*Z21^2*1E-4/1000)+((MAX(AS21,AU21)*AK21*Z21^2*1E-4/1000)+(IF(AND(AS21&gt;0,AU21&gt;0),MIN(AS21,AU21),MAX(AS21,AU21))*AK21*Z21^2*1E-4/1000))/2)+BA21-(IF(AND(AS21&gt;0,AU21&gt;0),MIN(AS21,AU21),MAX(AS21,AU21))*AK21*Z21^2*1E-4/1000))^2-16*((AW21*AK21*Z21^2*1E-4/1000)+((MAX(AS21,AU21)*AK21*Z21^2*1E-4/1000)+(IF(AND(AS21&gt;0,AU21&gt;0),MIN(AS21,AU21),MAX(AS21,AU21))*AK21*Z21^2*1E-4/1000))/2)*BA21)&lt;0,CEILING(AD21,5),CEILING(MAX(AD21*((4*((AW21*AK21*Z21^2*1E-4/1000)+((MAX(AS21,AU21)*AK21*Z21^2*1E-4/1000)+(IF(AND(AS21&gt;0,AU21&gt;0),MIN(AS21,AU21),MAX(AS21,AU21))*AK21*Z21^2*1E-4/1000))/2)+BA21-(IF(AND(AS21&gt;0,AU21&gt;0),MIN(AS21,AU21),MAX(AS21,AU21))*AK21*Z21^2*1E-4/1000))-SQRT(MAX(0,((4*((AW21*AK21*Z21^2*1E-4/1000)+((MAX(AS21,AU21)*AK21*Z21^2*1E-4/1000)+(IF(AND(AS21&gt;0,AU21&gt;0),MIN(AS21,AU21),MAX(AS21,AU21))*AK21*Z21^2*1E-4/1000))/2)+BA21-(IF(AND(AS21&gt;0,AU21&gt;0),MIN(AS21,AU21),MAX(AS21,AU21))*AK21*Z21^2*1E-4/1000))^2-16*((AW21*AK21*Z21^2*1E-4/1000)+((MAX(AS21,AU21)*AK21*Z21^2*1E-4/1000)+(IF(AND(AS21&gt;0,AU21&gt;0),MIN(AS21,AU21),MAX(AS21,AU21))*AK21*Z21^2*1E-4/1000))/2)*BA21))))/(8*MAX(((AW21*AK21*Z21^2*1E-4/1000)+((MAX(AS21,AU21)*AK21*Z21^2*1E-4/1000)+(IF(AND(AS21&gt;0,AU21&gt;0),MIN(AS21,AU21),MAX(AS21,AU21))*AK21*Z21^2*1E-4/1000))/2),1E-9))+MAX(CO21,12*INDEX(TABLAS!$C$52:$C$58,MATCH(CL21,TABLAS!$B$52:$B$58,0)),AD21/16),IF(OR(AF21&lt;INDEX(TABLAS!$C$52:$C$58,MATCH(CL21,TABLAS!$B$52:$B$58,0)),CM21-INDEX(TABLAS!$C$52:$C$58,MATCH(CL21,TABLAS!$B$52:$B$58,0))&lt;2*INDEX(TABLAS!$C$52:$C$58,MATCH(CL21,TABLAS!$B$52:$B$58,0))),INDEX(TABLAS!$I$52:$I$58,MATCH(CL21,TABLAS!$B$52:$B$58,0)),INDEX(TABLAS!$F$52:$F$58,MATCH(CL21,TABLAS!$B$52:$B$58,0)))),5))))</f>
        <v/>
      </c>
      <c r="DB21" s="55" t="str">
        <f>IF(V21&lt;&gt;"SÍ","",IF(AND(C21="PERIMETRAL",AL21-AM21&gt;0,AT21&gt;0),"SÍ","NO"))</f>
        <v/>
      </c>
      <c r="DC21" s="55" t="str">
        <f>IF(V21&lt;&gt;"SÍ","",IF(AND(C21="PERIMETRAL",AM21&gt;0,AU21&gt;0),"SÍ","NO"))</f>
        <v/>
      </c>
      <c r="DD21" s="63" t="str">
        <f>IF(V21&lt;&gt;"SÍ","",IF(OR(C21="VOLADO",AL21=0),"—",IF(AND(AND(INDEX(TABLAS!$G$52:$G$58,MATCH(MAX(BR21,CL21),TABLAS!$B$52:$B$58,0))&lt;=(DATOS!$C$72-DATOS!$C$60),(DATOS!$C$72-DATOS!$C$60)&gt;=15),8*INDEX(TABLAS!$C$52:$C$58,MATCH(MAX(BH21,CB21,BR21,CL21),TABLAS!$B$52:$B$58,0))&lt;=DATOS!$C$73-2*DATOS!$C$60),"CUMPLE (gancho de 180°)",IF(AND(INDEX(TABLAS!$G$52:$G$58,MATCH(MAX(BR21,CL21),TABLAS!$B$52:$B$58,0))&lt;=(DATOS!$C$72-DATOS!$C$60),(DATOS!$C$72-DATOS!$C$60)&gt;=15),"NO CUMPLE: el gancho de 180° (8·d_b) no cabe en el peralte de la dala de borde","NO CUMPLE: dala de borde ≥ "&amp;TEXT(CEILING(MAX(INDEX(TABLAS!$G$52:$G$58,MATCH(MAX(BR21,CL21),TABLAS!$B$52:$B$58,0)),15)+DATOS!$C$60,5),"0")&amp;" cm de ancho"&amp;IF(8*INDEX(TABLAS!$C$52:$C$58,MATCH(MAX(BH21,CB21,BR21,CL21),TABLAS!$B$52:$B$58,0))&lt;=DATOS!$C$73-2*DATOS!$C$60,""," y más peralte para el gancho")))))</f>
        <v/>
      </c>
      <c r="DE21" s="69" t="str">
        <f>IF(V21&lt;&gt;"SÍ","",IF(BI21=0,"NO ALCANZA","No. "&amp;BH21&amp;" @ "&amp;BI21&amp;" cm"&amp;IF(C21="VOLADO"," (temperatura)","")))</f>
        <v/>
      </c>
      <c r="DF21" s="69" t="str">
        <f>IF(V21&lt;&gt;"SÍ","",IF(BS21=0,"NO ALCANZA",IF(C21="VOLADO","No. "&amp;BR21&amp;" @ "&amp;BS21&amp;" cm"&amp;" de la orilla al respaldo ("&amp;IF(CZ21&gt;=100*IF(ISNUMBER(Q21),Q21,Z21),"hasta su apoyo lejano, con gancho","entran "&amp;TEXT(CZ21/100,"0.00")&amp;" m desde el paño")&amp;")","Bastones "&amp;"No. "&amp;BR21&amp;" @ "&amp;BS21&amp;" cm"&amp;", L = "&amp;TEXT(CZ21/100,"0.00")&amp;" m desde el paño")))</f>
        <v/>
      </c>
      <c r="DG21" s="69" t="str">
        <f>IF(V21&lt;&gt;"SÍ","",IF(CC21=0,"NO ALCANZA","No. "&amp;CB21&amp;" @ "&amp;CC21&amp;" cm"&amp;IF(C21="VOLADO"," (repartición)","")))</f>
        <v/>
      </c>
      <c r="DH21" s="69" t="str">
        <f>IF(V21&lt;&gt;"SÍ","",IF(CM21=0,"NO ALCANZA",IF(C21="VOLADO","No. "&amp;CL21&amp;" @ "&amp;CM21&amp;" cm"&amp;" (repartición)","Bastones "&amp;"No. "&amp;CL21&amp;" @ "&amp;CM21&amp;" cm"&amp;", L = "&amp;TEXT(DA21/100,"0.00")&amp;" m desde el paño")))</f>
        <v/>
      </c>
      <c r="DI21" s="67" t="str">
        <f>IF(B21="","",IF(V21&lt;&gt;"SÍ","FALTAN DATOS: tipo, a_x, a_y y destino",IF(L21="NO MONOLÍTICO (caso II)","FUERA DE ALCANCE: caso II no transcrito",IF(AND(C21="VOLADO",X21="?"),"REVISAR: el volado lleva UN solo borde CONTINUO (el empotrado)",IF(AND(MAX(BM21,BW21,CG21,CQ21)&lt;=1,NOT(OR(BI21&lt;DATOS!$C$140,BS21&lt;DATOS!$C$140,CC21&lt;DATOS!$C$140,CM21&lt;DATOS!$C$140)),NOT(OR(AND(ISNUMBER(BN21),BN21&lt;0.005),AND(ISNUMBER(BX21),BX21&lt;0.005),AND(ISNUMBER(CH21),CH21&lt;0.005),AND(ISNUMBER(CR21),CR21&lt;0.005))),CV21="CUMPLE",CY21="CUMPLE"),"CUMPLE"&amp;IF(LEFT(BB21,5)="FUERA"," · fuera de 3.4.2.1 c)","")&amp;IF(LEFT(DD21,2)="NO"," · REVISAR anclaje en borde discontinuo",""),IF(AND(MAX(BM21,BW21,CG21,CQ21)&lt;=1,NOT(OR(BI21&lt;DATOS!$C$140,BS21&lt;DATOS!$C$140,CC21&lt;DATOS!$C$140,CM21&lt;DATOS!$C$140)),NOT(OR(AND(ISNUMBER(BN21),BN21&lt;0.005),AND(ISNUMBER(BX21),BX21&lt;0.005),AND(ISNUMBER(CH21),CH21&lt;0.005),AND(ISNUMBER(CR21),CR21&lt;0.005))),CV21="CUMPLE",CY21="CALCULAR FLECHA"),"REVISAR: calcular flecha (h &lt; h mín.)"&amp;IF(LEFT(BB21,5)="FUERA"," · fuera de 3.4.2.1 c)","")&amp;IF(LEFT(DD21,2)="NO"," · REVISAR anclaje en borde discontinuo",""),"NO CUMPLE: "&amp;IF(MAX(BM21,BW21,CG21,CQ21)&gt;1,"flexión ","")&amp;IF(OR(BI21&lt;DATOS!$C$140,BS21&lt;DATOS!$C$140,CC21&lt;DATOS!$C$140,CM21&lt;DATOS!$C$140),"separación &lt; mínima ","")&amp;IF(OR(AND(ISNUMBER(BN21),BN21&lt;0.005),AND(ISNUMBER(BX21),BX21&lt;0.005),AND(ISNUMBER(CH21),CH21&lt;0.005),AND(ISNUMBER(CR21),CR21&lt;0.005)),"ε_t &lt; 0.005 ","")&amp;IF(CV21&lt;&gt;"CUMPLE","cortante ","")&amp;IF(CY21="NO CUMPLE","peralte","")))))))</f>
        <v/>
      </c>
      <c r="DJ21" s="70" t="str">
        <f>IF(V21&lt;&gt;"SÍ","",IF(LEFT(B21,7)="EJEMPLO","EJEMPLO de tablero típico: bórralo o sobrescríbelo. ","")&amp;IF(C21="VOLADO","Volado de "&amp;TEXT(Z21,"0.00")&amp;" m empotrado en el borde "&amp;LOWER(X21)&amp;IF(N(P21)&gt;0,", con "&amp;TEXT(P21,"0.0")&amp;" kg/m en la orilla","")&amp;". Lecho inferior con r_ext. Si la orilla carga pretil u otro elemento frágil, calcula la flecha (13.4). El acero superior entra al respaldo de "&amp;TEXT(IF(ISNUMBER(Q21),Q21,Z21),"0.00")&amp;" m"&amp;IF(ISNUMBER(Q21),""," (L_b no capturado: se tomó igual al volado)")&amp;" hasta pasar M = 0 con 0.9·PP sin carga viva; si ahí no se anula, llega al apoyo lejano y se ancla con gancho. ","")&amp;IF(LEFT(BB21,5)="FUERA","El M⁻ del vecino difiere más de 50 % (3.4.2.1 c): distribuye el desequilibrio (3.4.3.1) o confirma con un modelo; se arma con el mayor. ","")&amp;IF(OR(DB21="SÍ",DC21="SÍ"),"Bastones también en los bordes discontinuos (M⁻ de tabla), con gancho. ","")&amp;IF(LEFT(DD21,2)="NO","Anclaje: "&amp;DD21&amp;" (6.7.7.4.1.1). ","")&amp;IF(OR(AT21&gt;0,AU21&gt;0),"Esquinas exteriores sobre muro: refuerzo de esquina arriba y abajo en L_largo/5 (6.7.7.3.1). ",""))</f>
        <v/>
      </c>
    </row>
    <row r="22" ht="33" customHeight="1">
      <c r="A22" s="50">
        <f>IF(B22="",0,1)+A21</f>
        <v>3</v>
      </c>
      <c r="B22" s="29" t="n"/>
      <c r="C22" s="51" t="n"/>
      <c r="D22" s="29" t="n"/>
      <c r="E22" s="52" t="n"/>
      <c r="F22" s="52" t="n"/>
      <c r="G22" s="51" t="n"/>
      <c r="H22" s="51" t="n"/>
      <c r="I22" s="51" t="n"/>
      <c r="J22" s="51" t="n"/>
      <c r="K22" s="51" t="n"/>
      <c r="L22" s="51" t="n"/>
      <c r="M22" s="54" t="n"/>
      <c r="N22" s="53" t="n"/>
      <c r="O22" s="53" t="n"/>
      <c r="P22" s="54" t="n"/>
      <c r="Q22" s="52" t="n"/>
      <c r="R22" s="54" t="n"/>
      <c r="S22" s="53" t="n"/>
      <c r="T22" s="52" t="n"/>
      <c r="U22" s="52" t="n"/>
      <c r="V22" s="55" t="str">
        <f>IF(B22="","",IF(AND(OR(C22="PERIMETRAL",C22="VOLADO"),ISNUMBER(E22),ISNUMBER(F22),E22&gt;0,F22&gt;0,OR(ISNUMBER(O22),ISNUMBER(MATCH(D22,DATOS!$B$46:$B$55,0)))),"SÍ","NO"))</f>
        <v/>
      </c>
      <c r="W22" s="57" t="str">
        <f>IF(V22&lt;&gt;"SÍ","",IF(ISNUMBER(M22),M22,DATOS!$C$134))</f>
        <v/>
      </c>
      <c r="X22" s="55" t="str">
        <f>IF(V22&lt;&gt;"SÍ","",IF(C22&lt;&gt;"VOLADO","—",IF(COUNTIF(G22:J22,"CONTINUO")&lt;&gt;1,"?",IF(G22="CONTINUO","INFERIOR",IF(H22="CONTINUO","SUPERIOR",IF(I22="CONTINUO","IZQUIERDO","DERECHO"))))))</f>
        <v/>
      </c>
      <c r="Y22" s="55" t="str">
        <f>IF(V22&lt;&gt;"SÍ","",IF(C22="VOLADO",IF(OR(X22="IZQUIERDO",X22="DERECHO"),"X","Y"),IF(E22&lt;=F22,"X","Y")))</f>
        <v/>
      </c>
      <c r="Z22" s="56" t="str">
        <f>IF(V22&lt;&gt;"SÍ","",IF(C22="VOLADO",IF(Y22="X",E22,F22),MIN(E22,F22)))</f>
        <v/>
      </c>
      <c r="AA22" s="56" t="str">
        <f>IF(V22&lt;&gt;"SÍ","",IF(C22="VOLADO",IF(Y22="X",F22,E22),MAX(E22,F22)))</f>
        <v/>
      </c>
      <c r="AB22" s="56" t="str">
        <f>IF(V22&lt;&gt;"SÍ","",MIN(Z22,AA22)/MAX(Z22,AA22))</f>
        <v/>
      </c>
      <c r="AC22" s="57" t="str">
        <f>IF(V22&lt;&gt;"SÍ","",MAX(1,Z22*100-IF(C22="VOLADO",DATOS!$C$84/2,DATOS!$C$84)))</f>
        <v/>
      </c>
      <c r="AD22" s="57" t="str">
        <f>IF(V22&lt;&gt;"SÍ","",MAX(1,AA22*100-DATOS!$C$84))</f>
        <v/>
      </c>
      <c r="AE22" s="57" t="str">
        <f>IF(V22&lt;&gt;"SÍ","",IF(C22="VOLADO",DATOS!$C$61,DATOS!$C$59))</f>
        <v/>
      </c>
      <c r="AF22" s="57" t="str">
        <f>IF(V22&lt;&gt;"SÍ","",IF(OR(AND(AG22="SÍ",DATOS!$C$63="SÍ"),AND(C22="VOLADO",DATOS!$C$64="SÍ")),DATOS!$C$61,DATOS!$C$59))</f>
        <v/>
      </c>
      <c r="AG22" s="55" t="str">
        <f>IF(V22&lt;&gt;"SÍ","",IFERROR(INDEX(DATOS!$D$46:$D$55,MATCH(D22,DATOS!$B$46:$B$55,0)),"NO"))</f>
        <v/>
      </c>
      <c r="AH22" s="59" t="str">
        <f>IF(V22&lt;&gt;"SÍ","",IF(ISNUMBER(O22),O22,IFERROR(INDEX(DATOS!$C$46:$C$55,MATCH(D22,DATOS!$B$46:$B$55,0)),0)))</f>
        <v/>
      </c>
      <c r="AI22" s="59" t="str">
        <f>IF(V22&lt;&gt;"SÍ","",W22/100*DATOS!$C$16*1000+DATOS!$C$37+DATOS!$C$38)</f>
        <v/>
      </c>
      <c r="AJ22" s="59" t="str">
        <f>IF(V22&lt;&gt;"SÍ","",AI22+N(N22))</f>
        <v/>
      </c>
      <c r="AK22" s="60" t="str">
        <f>IF(V22&lt;&gt;"SÍ","",MAX(DATOS!$C$26*AJ22+DATOS!$C$27*AH22,IF(AG22="SÍ",DATOS!$C$28*(AJ22+DATOS!$C$41),0)))</f>
        <v/>
      </c>
      <c r="AL22" s="59" t="str">
        <f>IF(V22&lt;&gt;"SÍ","",(G22="DISCONTINUO")+(H22="DISCONTINUO")+(I22="DISCONTINUO")+(J22="DISCONTINUO"))</f>
        <v/>
      </c>
      <c r="AM22" s="59" t="str">
        <f>IF(V22&lt;&gt;"SÍ","",IF(Y22="X",(G22="DISCONTINUO")+(H22="DISCONTINUO"),(I22="DISCONTINUO")+(J22="DISCONTINUO")))</f>
        <v/>
      </c>
      <c r="AN22" s="55" t="str">
        <f>IF(V22&lt;&gt;"SÍ","",IF(AL22=0,"INTERIOR",IF(AL22=1,IF(AM22=1,"BORDE-CORTO","BORDE-LARGO"),IF(AL22=2,IF(AM22=1,"ESQUINA",IF(AM22=2,"EXTREMO-LARGO","EXTREMO-CORTO")),IF(AL22=3,IF(AM22=2,"EXTREMO-LARGO","EXTREMO-CORTO"),"AISLADO")))))</f>
        <v/>
      </c>
      <c r="AO22" s="61" t="str">
        <f>IF(V22&lt;&gt;"SÍ","",IF(OR(K22="",K22="AUTO"),AN22,K22))</f>
        <v/>
      </c>
      <c r="AP22" s="59" t="str">
        <f>IF(V22&lt;&gt;"SÍ","",MATCH(AB22,TABLAS!$D$5:$J$5,1))</f>
        <v/>
      </c>
      <c r="AQ22" s="58" t="str">
        <f>IF(V22&lt;&gt;"SÍ","",IF(AP22&gt;=7,0,(AB22-INDEX(TABLAS!$D$5:$J$5,AP22))/(INDEX(TABLAS!$D$5:$J$5,AP22+1)-INDEX(TABLAS!$D$5:$J$5,AP22))))</f>
        <v/>
      </c>
      <c r="AR22" s="59" t="str">
        <f>IF(V22&lt;&gt;"SÍ","",INDEX(TABLAS!$D$6:$J$47,MATCH(AO22&amp;"|NIC",TABLAS!$B$6:$B$47,0),AP22)+AQ22*(INDEX(TABLAS!$D$6:$J$47,MATCH(AO22&amp;"|NIC",TABLAS!$B$6:$B$47,0),MIN(AP22+1,7))-INDEX(TABLAS!$D$6:$J$47,MATCH(AO22&amp;"|NIC",TABLAS!$B$6:$B$47,0),AP22)))</f>
        <v/>
      </c>
      <c r="AS22" s="59" t="str">
        <f>IF(V22&lt;&gt;"SÍ","",INDEX(TABLAS!$D$6:$J$47,MATCH(AO22&amp;"|NIL",TABLAS!$B$6:$B$47,0),AP22)+AQ22*(INDEX(TABLAS!$D$6:$J$47,MATCH(AO22&amp;"|NIL",TABLAS!$B$6:$B$47,0),MIN(AP22+1,7))-INDEX(TABLAS!$D$6:$J$47,MATCH(AO22&amp;"|NIL",TABLAS!$B$6:$B$47,0),AP22)))</f>
        <v/>
      </c>
      <c r="AT22" s="59" t="str">
        <f>IF(V22&lt;&gt;"SÍ","",INDEX(TABLAS!$D$6:$J$47,MATCH(AO22&amp;"|NDC",TABLAS!$B$6:$B$47,0),AP22)+AQ22*(INDEX(TABLAS!$D$6:$J$47,MATCH(AO22&amp;"|NDC",TABLAS!$B$6:$B$47,0),MIN(AP22+1,7))-INDEX(TABLAS!$D$6:$J$47,MATCH(AO22&amp;"|NDC",TABLAS!$B$6:$B$47,0),AP22)))</f>
        <v/>
      </c>
      <c r="AU22" s="59" t="str">
        <f>IF(V22&lt;&gt;"SÍ","",INDEX(TABLAS!$D$6:$J$47,MATCH(AO22&amp;"|NDL",TABLAS!$B$6:$B$47,0),AP22)+AQ22*(INDEX(TABLAS!$D$6:$J$47,MATCH(AO22&amp;"|NDL",TABLAS!$B$6:$B$47,0),MIN(AP22+1,7))-INDEX(TABLAS!$D$6:$J$47,MATCH(AO22&amp;"|NDL",TABLAS!$B$6:$B$47,0),AP22)))</f>
        <v/>
      </c>
      <c r="AV22" s="59" t="str">
        <f>IF(V22&lt;&gt;"SÍ","",INDEX(TABLAS!$D$6:$J$47,MATCH(AO22&amp;"|PC",TABLAS!$B$6:$B$47,0),AP22)+AQ22*(INDEX(TABLAS!$D$6:$J$47,MATCH(AO22&amp;"|PC",TABLAS!$B$6:$B$47,0),MIN(AP22+1,7))-INDEX(TABLAS!$D$6:$J$47,MATCH(AO22&amp;"|PC",TABLAS!$B$6:$B$47,0),AP22)))</f>
        <v/>
      </c>
      <c r="AW22" s="59" t="str">
        <f>IF(V22&lt;&gt;"SÍ","",INDEX(TABLAS!$D$6:$J$47,MATCH(AO22&amp;"|PL",TABLAS!$B$6:$B$47,0),AP22)+AQ22*(INDEX(TABLAS!$D$6:$J$47,MATCH(AO22&amp;"|PL",TABLAS!$B$6:$B$47,0),MIN(AP22+1,7))-INDEX(TABLAS!$D$6:$J$47,MATCH(AO22&amp;"|PL",TABLAS!$B$6:$B$47,0),AP22)))</f>
        <v/>
      </c>
      <c r="AX22" s="56" t="str">
        <f>IF(V22&lt;&gt;"SÍ","",IF(C22="PERIMETRAL",AV22*AK22*Z22^2*1E-4/1000,0))</f>
        <v/>
      </c>
      <c r="AY22" s="62" t="str">
        <f>IF(V22&lt;&gt;"SÍ","",IF(C22="PERIMETRAL",MAX(MAX(AR22,AT22)*AK22*Z22^2*1E-4/1000,N(T22)),(AK22*(AC22/100)^2/2+DATOS!$C$26*N(P22)*AC22/100)/1000))</f>
        <v/>
      </c>
      <c r="AZ22" s="56" t="str">
        <f>IF(V22&lt;&gt;"SÍ","",IF(C22="PERIMETRAL",AW22*AK22*Z22^2*1E-4/1000,0))</f>
        <v/>
      </c>
      <c r="BA22" s="56" t="str">
        <f>IF(V22&lt;&gt;"SÍ","",IF(C22="PERIMETRAL",MAX(MAX(AS22,AU22)*AK22*Z22^2*1E-4/1000,N(U22)),0))</f>
        <v/>
      </c>
      <c r="BB22" s="63" t="str">
        <f>IF(V22&lt;&gt;"SÍ","",IF(C22&lt;&gt;"PERIMETRAL","—",IF(AND(N(T22)=0,N(U22)=0),"— (sin M⁻ del vecino)",IF(OR(AND(N(T22)&gt;0,ABS(MAX(AR22,AT22)*AK22*Z22^2*1E-4/1000-N(T22))&gt;0.5*MIN(MAX(AR22,AT22)*AK22*Z22^2*1E-4/1000,N(T22))),AND(N(U22)&gt;0,ABS(MAX(AS22,AU22)*AK22*Z22^2*1E-4/1000-N(U22))&gt;0.5*MIN(MAX(AS22,AU22)*AK22*Z22^2*1E-4/1000,N(U22)))),"FUERA: difieren &gt; 50 %"&amp;IF(AND(N(T22)&gt;0,ABS(MAX(AR22,AT22)*AK22*Z22^2*1E-4/1000-N(T22))&gt;0.5*MIN(MAX(AR22,AT22)*AK22*Z22^2*1E-4/1000,N(T22)))," ‖ corto","")&amp;IF(AND(N(U22)&gt;0,ABS(MAX(AS22,AU22)*AK22*Z22^2*1E-4/1000-N(U22))&gt;0.5*MIN(MAX(AS22,AU22)*AK22*Z22^2*1E-4/1000,N(U22)))," ‖ largo",""),"CUMPLE"))))</f>
        <v/>
      </c>
      <c r="BC22" s="58" t="str">
        <f>IF(V22&lt;&gt;"SÍ","",DATOS!$C$136*100*W22)</f>
        <v/>
      </c>
      <c r="BD22" s="57" t="str">
        <f>IF(V22&lt;&gt;"SÍ","",MIN(IF(C22="VOLADO",DATOS!$C$138,DATOS!$C$137)*W22,DATOS!$C$139))</f>
        <v/>
      </c>
      <c r="BE22" s="58" t="str">
        <f>IF(V22&lt;&gt;"SÍ","",(W22-AE22-INDEX(TABLAS!$C$52:$C$58,MATCH(IF(ISNUMBER(S22),S22,DATOS!$C$135),TABLAS!$B$52:$B$58,0))/2))</f>
        <v/>
      </c>
      <c r="BF22" s="58" t="str">
        <f>IF(V22&lt;&gt;"SÍ","",IF(AX22&lt;=0,0,IF((1-2*AX22*1E5/(DATOS!$C$29*100*BE22^2*DATOS!$C$21))&lt;0,-1,IF((1-SQRT((1-2*AX22*1E5/(DATOS!$C$29*100*BE22^2*DATOS!$C$21))))*DATOS!$C$21*100*BE22/DATOS!$C$14&gt;DATOS!$C$99*100*BE22,-1,(1-SQRT((1-2*AX22*1E5/(DATOS!$C$29*100*BE22^2*DATOS!$C$21))))*DATOS!$C$21*100*BE22/DATOS!$C$14))))</f>
        <v/>
      </c>
      <c r="BG22" s="58" t="str">
        <f>IF(V22&lt;&gt;"SÍ","",IF(BF22&lt;0,-1,MAX(BF22,BC22)))</f>
        <v/>
      </c>
      <c r="BH22" s="64" t="str">
        <f>IF(V22&lt;&gt;"SÍ","",IF(AND(BG22&gt;0,FLOOR(MIN(BD22,100*INDEX(TABLAS!$D$52:$D$58,MIN(MATCH(IF(ISNUMBER(S22),S22,DATOS!$C$135),TABLAS!$B$52:$B$58,0)+0,7))/MAX(BG22,0.0001)),DATOS!$C$141)&gt;=DATOS!$C$140),INDEX(TABLAS!$B$52:$B$58,MIN(MATCH(IF(ISNUMBER(S22),S22,DATOS!$C$135),TABLAS!$B$52:$B$58,0)+0,7)),IF(AND(BG22&gt;0,FLOOR(MIN(BD22,100*INDEX(TABLAS!$D$52:$D$58,MIN(MATCH(IF(ISNUMBER(S22),S22,DATOS!$C$135),TABLAS!$B$52:$B$58,0)+1,7))/MAX(BG22,0.0001)),DATOS!$C$141)&gt;=DATOS!$C$140),INDEX(TABLAS!$B$52:$B$58,MIN(MATCH(IF(ISNUMBER(S22),S22,DATOS!$C$135),TABLAS!$B$52:$B$58,0)+1,7)),IF(AND(BG22&gt;0,FLOOR(MIN(BD22,100*INDEX(TABLAS!$D$52:$D$58,MIN(MATCH(IF(ISNUMBER(S22),S22,DATOS!$C$135),TABLAS!$B$52:$B$58,0)+2,7))/MAX(BG22,0.0001)),DATOS!$C$141)&gt;=DATOS!$C$140),INDEX(TABLAS!$B$52:$B$58,MIN(MATCH(IF(ISNUMBER(S22),S22,DATOS!$C$135),TABLAS!$B$52:$B$58,0)+2,7)),IF(AND(BG22&gt;0,FLOOR(MIN(BD22,100*INDEX(TABLAS!$D$52:$D$58,MIN(MATCH(IF(ISNUMBER(S22),S22,DATOS!$C$135),TABLAS!$B$52:$B$58,0)+3,7))/MAX(BG22,0.0001)),DATOS!$C$141)&gt;=DATOS!$C$140),INDEX(TABLAS!$B$52:$B$58,MIN(MATCH(IF(ISNUMBER(S22),S22,DATOS!$C$135),TABLAS!$B$52:$B$58,0)+3,7)),IF(AND(BG22&gt;0,FLOOR(MIN(BD22,100*INDEX(TABLAS!$D$52:$D$58,MIN(MATCH(IF(ISNUMBER(S22),S22,DATOS!$C$135),TABLAS!$B$52:$B$58,0)+4,7))/MAX(BG22,0.0001)),DATOS!$C$141)&gt;=DATOS!$C$140),INDEX(TABLAS!$B$52:$B$58,MIN(MATCH(IF(ISNUMBER(S22),S22,DATOS!$C$135),TABLAS!$B$52:$B$58,0)+4,7)),INDEX(TABLAS!$B$52:$B$58,7)))))))</f>
        <v/>
      </c>
      <c r="BI22" s="71" t="str">
        <f>IF(V22&lt;&gt;"SÍ","",IF(BG22&lt;=0,0,FLOOR(MIN(BD22,100*INDEX(TABLAS!$D$52:$D$58,MATCH(BH22,TABLAS!$B$52:$B$58,0))/BG22),DATOS!$C$141)))</f>
        <v/>
      </c>
      <c r="BJ22" s="58" t="str">
        <f>IF(V22&lt;&gt;"SÍ","",IF(BI22&lt;=0,0,INDEX(TABLAS!$D$52:$D$58,MATCH(BH22,TABLAS!$B$52:$B$58,0))*100/BI22))</f>
        <v/>
      </c>
      <c r="BK22" s="58" t="str">
        <f>IF(V22&lt;&gt;"SÍ","",W22-AE22-INDEX(TABLAS!$C$52:$C$58,MATCH(BH22,TABLAS!$B$52:$B$58,0))/2)</f>
        <v/>
      </c>
      <c r="BL22" s="56" t="str">
        <f>IF(V22&lt;&gt;"SÍ","",IF(BJ22=0,0,DATOS!$C$29*BJ22*DATOS!$C$14*(BK22-BJ22*DATOS!$C$14/(DATOS!$C$21*100)/2)/1E5))</f>
        <v/>
      </c>
      <c r="BM22" s="65" t="str">
        <f>IF(V22&lt;&gt;"SÍ","",IF(BG22&lt;0,9.99,IF(BL22&gt;0,AX22/BL22,0)))</f>
        <v/>
      </c>
      <c r="BN22" s="66" t="str">
        <f>IF(V22&lt;&gt;"SÍ","",IF(BJ22=0,"—",0.003*(BK22-(BJ22*DATOS!$C$14/(DATOS!$C$21*100)/DATOS!$C$22))/(BJ22*DATOS!$C$14/(DATOS!$C$21*100)/DATOS!$C$22)))</f>
        <v/>
      </c>
      <c r="BO22" s="58" t="str">
        <f>IF(V22&lt;&gt;"SÍ","",((W22-AF22-INDEX(TABLAS!$C$52:$C$58,MATCH(IF(ISNUMBER(S22),S22,DATOS!$C$135),TABLAS!$B$52:$B$58,0))/2)-IF(AND((W22-AF22-INDEX(TABLAS!$C$52:$C$58,MATCH(IF(ISNUMBER(S22),S22,DATOS!$C$135),TABLAS!$B$52:$B$58,0))/2)&lt;=20,DATOS!$C$62&lt;&gt;"SÍ"),2,0)))</f>
        <v/>
      </c>
      <c r="BP22" s="58" t="str">
        <f>IF(V22&lt;&gt;"SÍ","",IF(AY22&lt;=0,0,IF((1-2*AY22*1E5/(DATOS!$C$29*100*BO22^2*DATOS!$C$21))&lt;0,-1,IF((1-SQRT((1-2*AY22*1E5/(DATOS!$C$29*100*BO22^2*DATOS!$C$21))))*DATOS!$C$21*100*BO22/DATOS!$C$14&gt;DATOS!$C$99*100*BO22,-1,(1-SQRT((1-2*AY22*1E5/(DATOS!$C$29*100*BO22^2*DATOS!$C$21))))*DATOS!$C$21*100*BO22/DATOS!$C$14))))</f>
        <v/>
      </c>
      <c r="BQ22" s="58" t="str">
        <f>IF(V22&lt;&gt;"SÍ","",IF(BP22&lt;0,-1,MAX(BP22,BC22)))</f>
        <v/>
      </c>
      <c r="BR22" s="64" t="str">
        <f>IF(V22&lt;&gt;"SÍ","",IF(AND(BQ22&gt;0,FLOOR(MIN(BD22,100*INDEX(TABLAS!$D$52:$D$58,MIN(MATCH(IF(ISNUMBER(S22),S22,DATOS!$C$135),TABLAS!$B$52:$B$58,0)+0,7))/MAX(BQ22,0.0001)),DATOS!$C$141)&gt;=DATOS!$C$140),INDEX(TABLAS!$B$52:$B$58,MIN(MATCH(IF(ISNUMBER(S22),S22,DATOS!$C$135),TABLAS!$B$52:$B$58,0)+0,7)),IF(AND(BQ22&gt;0,FLOOR(MIN(BD22,100*INDEX(TABLAS!$D$52:$D$58,MIN(MATCH(IF(ISNUMBER(S22),S22,DATOS!$C$135),TABLAS!$B$52:$B$58,0)+1,7))/MAX(BQ22,0.0001)),DATOS!$C$141)&gt;=DATOS!$C$140),INDEX(TABLAS!$B$52:$B$58,MIN(MATCH(IF(ISNUMBER(S22),S22,DATOS!$C$135),TABLAS!$B$52:$B$58,0)+1,7)),IF(AND(BQ22&gt;0,FLOOR(MIN(BD22,100*INDEX(TABLAS!$D$52:$D$58,MIN(MATCH(IF(ISNUMBER(S22),S22,DATOS!$C$135),TABLAS!$B$52:$B$58,0)+2,7))/MAX(BQ22,0.0001)),DATOS!$C$141)&gt;=DATOS!$C$140),INDEX(TABLAS!$B$52:$B$58,MIN(MATCH(IF(ISNUMBER(S22),S22,DATOS!$C$135),TABLAS!$B$52:$B$58,0)+2,7)),IF(AND(BQ22&gt;0,FLOOR(MIN(BD22,100*INDEX(TABLAS!$D$52:$D$58,MIN(MATCH(IF(ISNUMBER(S22),S22,DATOS!$C$135),TABLAS!$B$52:$B$58,0)+3,7))/MAX(BQ22,0.0001)),DATOS!$C$141)&gt;=DATOS!$C$140),INDEX(TABLAS!$B$52:$B$58,MIN(MATCH(IF(ISNUMBER(S22),S22,DATOS!$C$135),TABLAS!$B$52:$B$58,0)+3,7)),IF(AND(BQ22&gt;0,FLOOR(MIN(BD22,100*INDEX(TABLAS!$D$52:$D$58,MIN(MATCH(IF(ISNUMBER(S22),S22,DATOS!$C$135),TABLAS!$B$52:$B$58,0)+4,7))/MAX(BQ22,0.0001)),DATOS!$C$141)&gt;=DATOS!$C$140),INDEX(TABLAS!$B$52:$B$58,MIN(MATCH(IF(ISNUMBER(S22),S22,DATOS!$C$135),TABLAS!$B$52:$B$58,0)+4,7)),INDEX(TABLAS!$B$52:$B$58,7)))))))</f>
        <v/>
      </c>
      <c r="BS22" s="71" t="str">
        <f>IF(V22&lt;&gt;"SÍ","",IF(BQ22&lt;=0,0,FLOOR(MIN(BD22,100*INDEX(TABLAS!$D$52:$D$58,MATCH(BR22,TABLAS!$B$52:$B$58,0))/BQ22),DATOS!$C$141)))</f>
        <v/>
      </c>
      <c r="BT22" s="58" t="str">
        <f>IF(V22&lt;&gt;"SÍ","",IF(BS22&lt;=0,0,INDEX(TABLAS!$D$52:$D$58,MATCH(BR22,TABLAS!$B$52:$B$58,0))*100/BS22))</f>
        <v/>
      </c>
      <c r="BU22" s="58" t="str">
        <f>IF(V22&lt;&gt;"SÍ","",((W22-AF22-INDEX(TABLAS!$C$52:$C$58,MATCH(BR22,TABLAS!$B$52:$B$58,0))/2)-IF(AND((W22-AF22-INDEX(TABLAS!$C$52:$C$58,MATCH(BR22,TABLAS!$B$52:$B$58,0))/2)&lt;=20,DATOS!$C$62&lt;&gt;"SÍ"),2,0)))</f>
        <v/>
      </c>
      <c r="BV22" s="56" t="str">
        <f>IF(V22&lt;&gt;"SÍ","",IF(BT22=0,0,DATOS!$C$29*BT22*DATOS!$C$14*(BU22-BT22*DATOS!$C$14/(DATOS!$C$21*100)/2)/1E5))</f>
        <v/>
      </c>
      <c r="BW22" s="65" t="str">
        <f>IF(V22&lt;&gt;"SÍ","",IF(BQ22&lt;0,9.99,IF(BV22&gt;0,AY22/BV22,0)))</f>
        <v/>
      </c>
      <c r="BX22" s="66" t="str">
        <f>IF(V22&lt;&gt;"SÍ","",IF(BT22=0,"—",0.003*(BU22-(BT22*DATOS!$C$14/(DATOS!$C$21*100)/DATOS!$C$22))/(BT22*DATOS!$C$14/(DATOS!$C$21*100)/DATOS!$C$22)))</f>
        <v/>
      </c>
      <c r="BY22" s="58" t="str">
        <f>IF(V22&lt;&gt;"SÍ","",(W22-AE22-1.5*INDEX(TABLAS!$C$52:$C$58,MATCH(IF(ISNUMBER(S22),S22,DATOS!$C$135),TABLAS!$B$52:$B$58,0))))</f>
        <v/>
      </c>
      <c r="BZ22" s="58" t="str">
        <f>IF(V22&lt;&gt;"SÍ","",IF(AZ22&lt;=0,0,IF((1-2*AZ22*1E5/(DATOS!$C$29*100*BY22^2*DATOS!$C$21))&lt;0,-1,IF((1-SQRT((1-2*AZ22*1E5/(DATOS!$C$29*100*BY22^2*DATOS!$C$21))))*DATOS!$C$21*100*BY22/DATOS!$C$14&gt;DATOS!$C$99*100*BY22,-1,(1-SQRT((1-2*AZ22*1E5/(DATOS!$C$29*100*BY22^2*DATOS!$C$21))))*DATOS!$C$21*100*BY22/DATOS!$C$14))))</f>
        <v/>
      </c>
      <c r="CA22" s="58" t="str">
        <f>IF(V22&lt;&gt;"SÍ","",IF(BZ22&lt;0,-1,MAX(BZ22,BC22)))</f>
        <v/>
      </c>
      <c r="CB22" s="64" t="str">
        <f>IF(V22&lt;&gt;"SÍ","",IF(AND(CA22&gt;0,FLOOR(MIN(BD22,100*INDEX(TABLAS!$D$52:$D$58,MIN(MATCH(IF(ISNUMBER(S22),S22,DATOS!$C$135),TABLAS!$B$52:$B$58,0)+0,7))/MAX(CA22,0.0001)),DATOS!$C$141)&gt;=DATOS!$C$140),INDEX(TABLAS!$B$52:$B$58,MIN(MATCH(IF(ISNUMBER(S22),S22,DATOS!$C$135),TABLAS!$B$52:$B$58,0)+0,7)),IF(AND(CA22&gt;0,FLOOR(MIN(BD22,100*INDEX(TABLAS!$D$52:$D$58,MIN(MATCH(IF(ISNUMBER(S22),S22,DATOS!$C$135),TABLAS!$B$52:$B$58,0)+1,7))/MAX(CA22,0.0001)),DATOS!$C$141)&gt;=DATOS!$C$140),INDEX(TABLAS!$B$52:$B$58,MIN(MATCH(IF(ISNUMBER(S22),S22,DATOS!$C$135),TABLAS!$B$52:$B$58,0)+1,7)),IF(AND(CA22&gt;0,FLOOR(MIN(BD22,100*INDEX(TABLAS!$D$52:$D$58,MIN(MATCH(IF(ISNUMBER(S22),S22,DATOS!$C$135),TABLAS!$B$52:$B$58,0)+2,7))/MAX(CA22,0.0001)),DATOS!$C$141)&gt;=DATOS!$C$140),INDEX(TABLAS!$B$52:$B$58,MIN(MATCH(IF(ISNUMBER(S22),S22,DATOS!$C$135),TABLAS!$B$52:$B$58,0)+2,7)),IF(AND(CA22&gt;0,FLOOR(MIN(BD22,100*INDEX(TABLAS!$D$52:$D$58,MIN(MATCH(IF(ISNUMBER(S22),S22,DATOS!$C$135),TABLAS!$B$52:$B$58,0)+3,7))/MAX(CA22,0.0001)),DATOS!$C$141)&gt;=DATOS!$C$140),INDEX(TABLAS!$B$52:$B$58,MIN(MATCH(IF(ISNUMBER(S22),S22,DATOS!$C$135),TABLAS!$B$52:$B$58,0)+3,7)),IF(AND(CA22&gt;0,FLOOR(MIN(BD22,100*INDEX(TABLAS!$D$52:$D$58,MIN(MATCH(IF(ISNUMBER(S22),S22,DATOS!$C$135),TABLAS!$B$52:$B$58,0)+4,7))/MAX(CA22,0.0001)),DATOS!$C$141)&gt;=DATOS!$C$140),INDEX(TABLAS!$B$52:$B$58,MIN(MATCH(IF(ISNUMBER(S22),S22,DATOS!$C$135),TABLAS!$B$52:$B$58,0)+4,7)),INDEX(TABLAS!$B$52:$B$58,7)))))))</f>
        <v/>
      </c>
      <c r="CC22" s="71" t="str">
        <f>IF(V22&lt;&gt;"SÍ","",IF(CA22&lt;=0,0,FLOOR(MIN(BD22,100*INDEX(TABLAS!$D$52:$D$58,MATCH(CB22,TABLAS!$B$52:$B$58,0))/CA22),DATOS!$C$141)))</f>
        <v/>
      </c>
      <c r="CD22" s="58" t="str">
        <f>IF(V22&lt;&gt;"SÍ","",IF(CC22&lt;=0,0,INDEX(TABLAS!$D$52:$D$58,MATCH(CB22,TABLAS!$B$52:$B$58,0))*100/CC22))</f>
        <v/>
      </c>
      <c r="CE22" s="58" t="str">
        <f>IF(V22&lt;&gt;"SÍ","",W22-AE22-INDEX(TABLAS!$C$52:$C$58,MATCH(BH22,TABLAS!$B$52:$B$58,0))-INDEX(TABLAS!$C$52:$C$58,MATCH(CB22,TABLAS!$B$52:$B$58,0))/2)</f>
        <v/>
      </c>
      <c r="CF22" s="56" t="str">
        <f>IF(V22&lt;&gt;"SÍ","",IF(CD22=0,0,DATOS!$C$29*CD22*DATOS!$C$14*(CE22-CD22*DATOS!$C$14/(DATOS!$C$21*100)/2)/1E5))</f>
        <v/>
      </c>
      <c r="CG22" s="65" t="str">
        <f>IF(V22&lt;&gt;"SÍ","",IF(CA22&lt;0,9.99,IF(CF22&gt;0,AZ22/CF22,0)))</f>
        <v/>
      </c>
      <c r="CH22" s="66" t="str">
        <f>IF(V22&lt;&gt;"SÍ","",IF(CD22=0,"—",0.003*(CE22-(CD22*DATOS!$C$14/(DATOS!$C$21*100)/DATOS!$C$22))/(CD22*DATOS!$C$14/(DATOS!$C$21*100)/DATOS!$C$22)))</f>
        <v/>
      </c>
      <c r="CI22" s="58" t="str">
        <f>IF(V22&lt;&gt;"SÍ","",((W22-AF22-1.5*INDEX(TABLAS!$C$52:$C$58,MATCH(IF(ISNUMBER(S22),S22,DATOS!$C$135),TABLAS!$B$52:$B$58,0)))-IF(AND((W22-AF22-1.5*INDEX(TABLAS!$C$52:$C$58,MATCH(IF(ISNUMBER(S22),S22,DATOS!$C$135),TABLAS!$B$52:$B$58,0)))&lt;=20,DATOS!$C$62&lt;&gt;"SÍ"),2,0)))</f>
        <v/>
      </c>
      <c r="CJ22" s="58" t="str">
        <f>IF(V22&lt;&gt;"SÍ","",IF(BA22&lt;=0,0,IF((1-2*BA22*1E5/(DATOS!$C$29*100*CI22^2*DATOS!$C$21))&lt;0,-1,IF((1-SQRT((1-2*BA22*1E5/(DATOS!$C$29*100*CI22^2*DATOS!$C$21))))*DATOS!$C$21*100*CI22/DATOS!$C$14&gt;DATOS!$C$99*100*CI22,-1,(1-SQRT((1-2*BA22*1E5/(DATOS!$C$29*100*CI22^2*DATOS!$C$21))))*DATOS!$C$21*100*CI22/DATOS!$C$14))))</f>
        <v/>
      </c>
      <c r="CK22" s="58" t="str">
        <f>IF(V22&lt;&gt;"SÍ","",IF(CJ22&lt;0,-1,MAX(CJ22,BC22)))</f>
        <v/>
      </c>
      <c r="CL22" s="64" t="str">
        <f>IF(V22&lt;&gt;"SÍ","",IF(AND(CK22&gt;0,FLOOR(MIN(BD22,100*INDEX(TABLAS!$D$52:$D$58,MIN(MATCH(IF(ISNUMBER(S22),S22,DATOS!$C$135),TABLAS!$B$52:$B$58,0)+0,7))/MAX(CK22,0.0001)),DATOS!$C$141)&gt;=DATOS!$C$140),INDEX(TABLAS!$B$52:$B$58,MIN(MATCH(IF(ISNUMBER(S22),S22,DATOS!$C$135),TABLAS!$B$52:$B$58,0)+0,7)),IF(AND(CK22&gt;0,FLOOR(MIN(BD22,100*INDEX(TABLAS!$D$52:$D$58,MIN(MATCH(IF(ISNUMBER(S22),S22,DATOS!$C$135),TABLAS!$B$52:$B$58,0)+1,7))/MAX(CK22,0.0001)),DATOS!$C$141)&gt;=DATOS!$C$140),INDEX(TABLAS!$B$52:$B$58,MIN(MATCH(IF(ISNUMBER(S22),S22,DATOS!$C$135),TABLAS!$B$52:$B$58,0)+1,7)),IF(AND(CK22&gt;0,FLOOR(MIN(BD22,100*INDEX(TABLAS!$D$52:$D$58,MIN(MATCH(IF(ISNUMBER(S22),S22,DATOS!$C$135),TABLAS!$B$52:$B$58,0)+2,7))/MAX(CK22,0.0001)),DATOS!$C$141)&gt;=DATOS!$C$140),INDEX(TABLAS!$B$52:$B$58,MIN(MATCH(IF(ISNUMBER(S22),S22,DATOS!$C$135),TABLAS!$B$52:$B$58,0)+2,7)),IF(AND(CK22&gt;0,FLOOR(MIN(BD22,100*INDEX(TABLAS!$D$52:$D$58,MIN(MATCH(IF(ISNUMBER(S22),S22,DATOS!$C$135),TABLAS!$B$52:$B$58,0)+3,7))/MAX(CK22,0.0001)),DATOS!$C$141)&gt;=DATOS!$C$140),INDEX(TABLAS!$B$52:$B$58,MIN(MATCH(IF(ISNUMBER(S22),S22,DATOS!$C$135),TABLAS!$B$52:$B$58,0)+3,7)),IF(AND(CK22&gt;0,FLOOR(MIN(BD22,100*INDEX(TABLAS!$D$52:$D$58,MIN(MATCH(IF(ISNUMBER(S22),S22,DATOS!$C$135),TABLAS!$B$52:$B$58,0)+4,7))/MAX(CK22,0.0001)),DATOS!$C$141)&gt;=DATOS!$C$140),INDEX(TABLAS!$B$52:$B$58,MIN(MATCH(IF(ISNUMBER(S22),S22,DATOS!$C$135),TABLAS!$B$52:$B$58,0)+4,7)),INDEX(TABLAS!$B$52:$B$58,7)))))))</f>
        <v/>
      </c>
      <c r="CM22" s="71" t="str">
        <f>IF(V22&lt;&gt;"SÍ","",IF(CK22&lt;=0,0,FLOOR(MIN(BD22,100*INDEX(TABLAS!$D$52:$D$58,MATCH(CL22,TABLAS!$B$52:$B$58,0))/CK22),DATOS!$C$141)))</f>
        <v/>
      </c>
      <c r="CN22" s="58" t="str">
        <f>IF(V22&lt;&gt;"SÍ","",IF(CM22&lt;=0,0,INDEX(TABLAS!$D$52:$D$58,MATCH(CL22,TABLAS!$B$52:$B$58,0))*100/CM22))</f>
        <v/>
      </c>
      <c r="CO22" s="58" t="str">
        <f>IF(V22&lt;&gt;"SÍ","",((W22-AF22-INDEX(TABLAS!$C$52:$C$58,MATCH(BR22,TABLAS!$B$52:$B$58,0))-INDEX(TABLAS!$C$52:$C$58,MATCH(CL22,TABLAS!$B$52:$B$58,0))/2)-IF(AND((W22-AF22-INDEX(TABLAS!$C$52:$C$58,MATCH(BR22,TABLAS!$B$52:$B$58,0))-INDEX(TABLAS!$C$52:$C$58,MATCH(CL22,TABLAS!$B$52:$B$58,0))/2)&lt;=20,DATOS!$C$62&lt;&gt;"SÍ"),2,0)))</f>
        <v/>
      </c>
      <c r="CP22" s="56" t="str">
        <f>IF(V22&lt;&gt;"SÍ","",IF(CN22=0,0,DATOS!$C$29*CN22*DATOS!$C$14*(CO22-CN22*DATOS!$C$14/(DATOS!$C$21*100)/2)/1E5))</f>
        <v/>
      </c>
      <c r="CQ22" s="65" t="str">
        <f>IF(V22&lt;&gt;"SÍ","",IF(CK22&lt;0,9.99,IF(CP22&gt;0,BA22/CP22,0)))</f>
        <v/>
      </c>
      <c r="CR22" s="66" t="str">
        <f>IF(V22&lt;&gt;"SÍ","",IF(CN22=0,"—",0.003*(CO22-(CN22*DATOS!$C$14/(DATOS!$C$21*100)/DATOS!$C$22))/(CN22*DATOS!$C$14/(DATOS!$C$21*100)/DATOS!$C$22)))</f>
        <v/>
      </c>
      <c r="CS22" s="56" t="str">
        <f>IF(V22&lt;&gt;"SÍ","",IF(C22="PERIMETRAL",MAX(0,(AC22/2-BU22)/100)*(0.95-0.5*AB22)*AK22*IF(AND(AL22&gt;0,AL22&lt;4),DATOS!$C$33,1)/1000,(AK22*MAX(0,AC22-BU22)/100+DATOS!$C$26*N(P22))/1000))</f>
        <v/>
      </c>
      <c r="CT22" s="66" t="str">
        <f>IF(V22&lt;&gt;"SÍ","",BT22/(100*BU22))</f>
        <v/>
      </c>
      <c r="CU22" s="56" t="str">
        <f>IF(V22&lt;&gt;"SÍ","",DATOS!$C$30*2*MIN(1,SQRT(2/(1+0.04*BU22)))*CT22^(1/3)*SQRT(DATOS!$C$13)*100*BU22/1000)</f>
        <v/>
      </c>
      <c r="CV22" s="67" t="str">
        <f>IF(V22&lt;&gt;"SÍ","",IF(CS22&lt;=CU22,"CUMPLE","NO CUMPLE: sube h"))</f>
        <v/>
      </c>
      <c r="CW22" s="58" t="str">
        <f>IF(V22&lt;&gt;"SÍ","",IF(C22="PERIMETRAL",IF(ISNUMBER(R22),R22,DATOS!$C$101),0))</f>
        <v/>
      </c>
      <c r="CX22" s="57" t="str">
        <f>IF(V22&lt;&gt;"SÍ","",IF(C22="PERIMETRAL",IF(CW22&gt;2,MAX(9,AD22*(0.8+DATOS!$C$14/14000)/(36+9*(AD22/MAX(AC22,1)))),IF(CW22&gt;0.2,MAX(13,AD22*(0.8+DATOS!$C$14/14000)/(36+5*(AD22/MAX(AC22,1))*(CW22-0.2))),MAX(13,AD22/IF(AL22&gt;0,30,33))))*IF(AND(CW22&gt;0.2,AL22&gt;0,DATOS!$C$102="NO"),1.1,1),Z22*100/DATOS!$C$142))</f>
        <v/>
      </c>
      <c r="CY22" s="61" t="str">
        <f>IF(V22&lt;&gt;"SÍ","",IF(W22&gt;=CX22-0.001,"CUMPLE",IF(C22="VOLADO","NO CUMPLE","CALCULAR FLECHA")))</f>
        <v/>
      </c>
      <c r="CZ22" s="60" t="str">
        <f>IF(V22&lt;&gt;"SÍ","",IF(C22="VOLADO",MIN(CEILING(IF(ISNUMBER(Q22),Q22,Z22)*100,5),CEILING(MAX(IF((0.5*(0.9*W22/100*DATOS!$C$16)*IF(ISNUMBER(Q22),Q22,Z22)+AY22/IF(ISNUMBER(Q22),Q22,Z22))^2-4*(0.5*(0.9*W22/100*DATOS!$C$16))*AY22&lt;0,IF(ISNUMBER(Q22),Q22,Z22),MIN(IF(ISNUMBER(Q22),Q22,Z22),((0.5*(0.9*W22/100*DATOS!$C$16)*IF(ISNUMBER(Q22),Q22,Z22)+AY22/IF(ISNUMBER(Q22),Q22,Z22))-SQRT((0.5*(0.9*W22/100*DATOS!$C$16)*IF(ISNUMBER(Q22),Q22,Z22)+AY22/IF(ISNUMBER(Q22),Q22,Z22))^2-4*(0.5*(0.9*W22/100*DATOS!$C$16))*AY22))/(2*(0.5*(0.9*W22/100*DATOS!$C$16)))))*100+MAX(BU22,12*INDEX(TABLAS!$C$52:$C$58,MATCH(BR22,TABLAS!$B$52:$B$58,0)),IF(ISNUMBER(Q22),Q22,Z22)*100/16),IF(OR(AF22&lt;INDEX(TABLAS!$C$52:$C$58,MATCH(BR22,TABLAS!$B$52:$B$58,0)),BS22-INDEX(TABLAS!$C$52:$C$58,MATCH(BR22,TABLAS!$B$52:$B$58,0))&lt;2*INDEX(TABLAS!$C$52:$C$58,MATCH(BR22,TABLAS!$B$52:$B$58,0))),INDEX(TABLAS!$I$52:$I$58,MATCH(BR22,TABLAS!$B$52:$B$58,0)),INDEX(TABLAS!$F$52:$F$58,MATCH(BR22,TABLAS!$B$52:$B$58,0)))),5)),IF(((4*((AV22*AK22*Z22^2*1E-4/1000)+((MAX(AR22,AT22)*AK22*Z22^2*1E-4/1000)+(IF(AND(AR22&gt;0,AT22&gt;0),MIN(AR22,AT22),MAX(AR22,AT22))*AK22*Z22^2*1E-4/1000))/2)+AY22-(IF(AND(AR22&gt;0,AT22&gt;0),MIN(AR22,AT22),MAX(AR22,AT22))*AK22*Z22^2*1E-4/1000))^2-16*((AV22*AK22*Z22^2*1E-4/1000)+((MAX(AR22,AT22)*AK22*Z22^2*1E-4/1000)+(IF(AND(AR22&gt;0,AT22&gt;0),MIN(AR22,AT22),MAX(AR22,AT22))*AK22*Z22^2*1E-4/1000))/2)*AY22)&lt;0,CEILING(AC22,5),CEILING(MAX(AC22*((4*((AV22*AK22*Z22^2*1E-4/1000)+((MAX(AR22,AT22)*AK22*Z22^2*1E-4/1000)+(IF(AND(AR22&gt;0,AT22&gt;0),MIN(AR22,AT22),MAX(AR22,AT22))*AK22*Z22^2*1E-4/1000))/2)+AY22-(IF(AND(AR22&gt;0,AT22&gt;0),MIN(AR22,AT22),MAX(AR22,AT22))*AK22*Z22^2*1E-4/1000))-SQRT(MAX(0,((4*((AV22*AK22*Z22^2*1E-4/1000)+((MAX(AR22,AT22)*AK22*Z22^2*1E-4/1000)+(IF(AND(AR22&gt;0,AT22&gt;0),MIN(AR22,AT22),MAX(AR22,AT22))*AK22*Z22^2*1E-4/1000))/2)+AY22-(IF(AND(AR22&gt;0,AT22&gt;0),MIN(AR22,AT22),MAX(AR22,AT22))*AK22*Z22^2*1E-4/1000))^2-16*((AV22*AK22*Z22^2*1E-4/1000)+((MAX(AR22,AT22)*AK22*Z22^2*1E-4/1000)+(IF(AND(AR22&gt;0,AT22&gt;0),MIN(AR22,AT22),MAX(AR22,AT22))*AK22*Z22^2*1E-4/1000))/2)*AY22))))/(8*MAX(((AV22*AK22*Z22^2*1E-4/1000)+((MAX(AR22,AT22)*AK22*Z22^2*1E-4/1000)+(IF(AND(AR22&gt;0,AT22&gt;0),MIN(AR22,AT22),MAX(AR22,AT22))*AK22*Z22^2*1E-4/1000))/2),1E-9))+MAX(BU22,12*INDEX(TABLAS!$C$52:$C$58,MATCH(BR22,TABLAS!$B$52:$B$58,0)),AC22/16),IF(OR(AF22&lt;INDEX(TABLAS!$C$52:$C$58,MATCH(BR22,TABLAS!$B$52:$B$58,0)),BS22-INDEX(TABLAS!$C$52:$C$58,MATCH(BR22,TABLAS!$B$52:$B$58,0))&lt;2*INDEX(TABLAS!$C$52:$C$58,MATCH(BR22,TABLAS!$B$52:$B$58,0))),INDEX(TABLAS!$I$52:$I$58,MATCH(BR22,TABLAS!$B$52:$B$58,0)),INDEX(TABLAS!$F$52:$F$58,MATCH(BR22,TABLAS!$B$52:$B$58,0)))),5))))</f>
        <v/>
      </c>
      <c r="DA22" s="60" t="str">
        <f>IF(V22&lt;&gt;"SÍ","",IF(C22="VOLADO",0,IF(((4*((AW22*AK22*Z22^2*1E-4/1000)+((MAX(AS22,AU22)*AK22*Z22^2*1E-4/1000)+(IF(AND(AS22&gt;0,AU22&gt;0),MIN(AS22,AU22),MAX(AS22,AU22))*AK22*Z22^2*1E-4/1000))/2)+BA22-(IF(AND(AS22&gt;0,AU22&gt;0),MIN(AS22,AU22),MAX(AS22,AU22))*AK22*Z22^2*1E-4/1000))^2-16*((AW22*AK22*Z22^2*1E-4/1000)+((MAX(AS22,AU22)*AK22*Z22^2*1E-4/1000)+(IF(AND(AS22&gt;0,AU22&gt;0),MIN(AS22,AU22),MAX(AS22,AU22))*AK22*Z22^2*1E-4/1000))/2)*BA22)&lt;0,CEILING(AD22,5),CEILING(MAX(AD22*((4*((AW22*AK22*Z22^2*1E-4/1000)+((MAX(AS22,AU22)*AK22*Z22^2*1E-4/1000)+(IF(AND(AS22&gt;0,AU22&gt;0),MIN(AS22,AU22),MAX(AS22,AU22))*AK22*Z22^2*1E-4/1000))/2)+BA22-(IF(AND(AS22&gt;0,AU22&gt;0),MIN(AS22,AU22),MAX(AS22,AU22))*AK22*Z22^2*1E-4/1000))-SQRT(MAX(0,((4*((AW22*AK22*Z22^2*1E-4/1000)+((MAX(AS22,AU22)*AK22*Z22^2*1E-4/1000)+(IF(AND(AS22&gt;0,AU22&gt;0),MIN(AS22,AU22),MAX(AS22,AU22))*AK22*Z22^2*1E-4/1000))/2)+BA22-(IF(AND(AS22&gt;0,AU22&gt;0),MIN(AS22,AU22),MAX(AS22,AU22))*AK22*Z22^2*1E-4/1000))^2-16*((AW22*AK22*Z22^2*1E-4/1000)+((MAX(AS22,AU22)*AK22*Z22^2*1E-4/1000)+(IF(AND(AS22&gt;0,AU22&gt;0),MIN(AS22,AU22),MAX(AS22,AU22))*AK22*Z22^2*1E-4/1000))/2)*BA22))))/(8*MAX(((AW22*AK22*Z22^2*1E-4/1000)+((MAX(AS22,AU22)*AK22*Z22^2*1E-4/1000)+(IF(AND(AS22&gt;0,AU22&gt;0),MIN(AS22,AU22),MAX(AS22,AU22))*AK22*Z22^2*1E-4/1000))/2),1E-9))+MAX(CO22,12*INDEX(TABLAS!$C$52:$C$58,MATCH(CL22,TABLAS!$B$52:$B$58,0)),AD22/16),IF(OR(AF22&lt;INDEX(TABLAS!$C$52:$C$58,MATCH(CL22,TABLAS!$B$52:$B$58,0)),CM22-INDEX(TABLAS!$C$52:$C$58,MATCH(CL22,TABLAS!$B$52:$B$58,0))&lt;2*INDEX(TABLAS!$C$52:$C$58,MATCH(CL22,TABLAS!$B$52:$B$58,0))),INDEX(TABLAS!$I$52:$I$58,MATCH(CL22,TABLAS!$B$52:$B$58,0)),INDEX(TABLAS!$F$52:$F$58,MATCH(CL22,TABLAS!$B$52:$B$58,0)))),5))))</f>
        <v/>
      </c>
      <c r="DB22" s="55" t="str">
        <f>IF(V22&lt;&gt;"SÍ","",IF(AND(C22="PERIMETRAL",AL22-AM22&gt;0,AT22&gt;0),"SÍ","NO"))</f>
        <v/>
      </c>
      <c r="DC22" s="55" t="str">
        <f>IF(V22&lt;&gt;"SÍ","",IF(AND(C22="PERIMETRAL",AM22&gt;0,AU22&gt;0),"SÍ","NO"))</f>
        <v/>
      </c>
      <c r="DD22" s="63" t="str">
        <f>IF(V22&lt;&gt;"SÍ","",IF(OR(C22="VOLADO",AL22=0),"—",IF(AND(AND(INDEX(TABLAS!$G$52:$G$58,MATCH(MAX(BR22,CL22),TABLAS!$B$52:$B$58,0))&lt;=(DATOS!$C$72-DATOS!$C$60),(DATOS!$C$72-DATOS!$C$60)&gt;=15),8*INDEX(TABLAS!$C$52:$C$58,MATCH(MAX(BH22,CB22,BR22,CL22),TABLAS!$B$52:$B$58,0))&lt;=DATOS!$C$73-2*DATOS!$C$60),"CUMPLE (gancho de 180°)",IF(AND(INDEX(TABLAS!$G$52:$G$58,MATCH(MAX(BR22,CL22),TABLAS!$B$52:$B$58,0))&lt;=(DATOS!$C$72-DATOS!$C$60),(DATOS!$C$72-DATOS!$C$60)&gt;=15),"NO CUMPLE: el gancho de 180° (8·d_b) no cabe en el peralte de la dala de borde","NO CUMPLE: dala de borde ≥ "&amp;TEXT(CEILING(MAX(INDEX(TABLAS!$G$52:$G$58,MATCH(MAX(BR22,CL22),TABLAS!$B$52:$B$58,0)),15)+DATOS!$C$60,5),"0")&amp;" cm de ancho"&amp;IF(8*INDEX(TABLAS!$C$52:$C$58,MATCH(MAX(BH22,CB22,BR22,CL22),TABLAS!$B$52:$B$58,0))&lt;=DATOS!$C$73-2*DATOS!$C$60,""," y más peralte para el gancho")))))</f>
        <v/>
      </c>
      <c r="DE22" s="69" t="str">
        <f>IF(V22&lt;&gt;"SÍ","",IF(BI22=0,"NO ALCANZA","No. "&amp;BH22&amp;" @ "&amp;BI22&amp;" cm"&amp;IF(C22="VOLADO"," (temperatura)","")))</f>
        <v/>
      </c>
      <c r="DF22" s="69" t="str">
        <f>IF(V22&lt;&gt;"SÍ","",IF(BS22=0,"NO ALCANZA",IF(C22="VOLADO","No. "&amp;BR22&amp;" @ "&amp;BS22&amp;" cm"&amp;" de la orilla al respaldo ("&amp;IF(CZ22&gt;=100*IF(ISNUMBER(Q22),Q22,Z22),"hasta su apoyo lejano, con gancho","entran "&amp;TEXT(CZ22/100,"0.00")&amp;" m desde el paño")&amp;")","Bastones "&amp;"No. "&amp;BR22&amp;" @ "&amp;BS22&amp;" cm"&amp;", L = "&amp;TEXT(CZ22/100,"0.00")&amp;" m desde el paño")))</f>
        <v/>
      </c>
      <c r="DG22" s="69" t="str">
        <f>IF(V22&lt;&gt;"SÍ","",IF(CC22=0,"NO ALCANZA","No. "&amp;CB22&amp;" @ "&amp;CC22&amp;" cm"&amp;IF(C22="VOLADO"," (repartición)","")))</f>
        <v/>
      </c>
      <c r="DH22" s="69" t="str">
        <f>IF(V22&lt;&gt;"SÍ","",IF(CM22=0,"NO ALCANZA",IF(C22="VOLADO","No. "&amp;CL22&amp;" @ "&amp;CM22&amp;" cm"&amp;" (repartición)","Bastones "&amp;"No. "&amp;CL22&amp;" @ "&amp;CM22&amp;" cm"&amp;", L = "&amp;TEXT(DA22/100,"0.00")&amp;" m desde el paño")))</f>
        <v/>
      </c>
      <c r="DI22" s="67" t="str">
        <f>IF(B22="","",IF(V22&lt;&gt;"SÍ","FALTAN DATOS: tipo, a_x, a_y y destino",IF(L22="NO MONOLÍTICO (caso II)","FUERA DE ALCANCE: caso II no transcrito",IF(AND(C22="VOLADO",X22="?"),"REVISAR: el volado lleva UN solo borde CONTINUO (el empotrado)",IF(AND(MAX(BM22,BW22,CG22,CQ22)&lt;=1,NOT(OR(BI22&lt;DATOS!$C$140,BS22&lt;DATOS!$C$140,CC22&lt;DATOS!$C$140,CM22&lt;DATOS!$C$140)),NOT(OR(AND(ISNUMBER(BN22),BN22&lt;0.005),AND(ISNUMBER(BX22),BX22&lt;0.005),AND(ISNUMBER(CH22),CH22&lt;0.005),AND(ISNUMBER(CR22),CR22&lt;0.005))),CV22="CUMPLE",CY22="CUMPLE"),"CUMPLE"&amp;IF(LEFT(BB22,5)="FUERA"," · fuera de 3.4.2.1 c)","")&amp;IF(LEFT(DD22,2)="NO"," · REVISAR anclaje en borde discontinuo",""),IF(AND(MAX(BM22,BW22,CG22,CQ22)&lt;=1,NOT(OR(BI22&lt;DATOS!$C$140,BS22&lt;DATOS!$C$140,CC22&lt;DATOS!$C$140,CM22&lt;DATOS!$C$140)),NOT(OR(AND(ISNUMBER(BN22),BN22&lt;0.005),AND(ISNUMBER(BX22),BX22&lt;0.005),AND(ISNUMBER(CH22),CH22&lt;0.005),AND(ISNUMBER(CR22),CR22&lt;0.005))),CV22="CUMPLE",CY22="CALCULAR FLECHA"),"REVISAR: calcular flecha (h &lt; h mín.)"&amp;IF(LEFT(BB22,5)="FUERA"," · fuera de 3.4.2.1 c)","")&amp;IF(LEFT(DD22,2)="NO"," · REVISAR anclaje en borde discontinuo",""),"NO CUMPLE: "&amp;IF(MAX(BM22,BW22,CG22,CQ22)&gt;1,"flexión ","")&amp;IF(OR(BI22&lt;DATOS!$C$140,BS22&lt;DATOS!$C$140,CC22&lt;DATOS!$C$140,CM22&lt;DATOS!$C$140),"separación &lt; mínima ","")&amp;IF(OR(AND(ISNUMBER(BN22),BN22&lt;0.005),AND(ISNUMBER(BX22),BX22&lt;0.005),AND(ISNUMBER(CH22),CH22&lt;0.005),AND(ISNUMBER(CR22),CR22&lt;0.005)),"ε_t &lt; 0.005 ","")&amp;IF(CV22&lt;&gt;"CUMPLE","cortante ","")&amp;IF(CY22="NO CUMPLE","peralte","")))))))</f>
        <v/>
      </c>
      <c r="DJ22" s="70" t="str">
        <f>IF(V22&lt;&gt;"SÍ","",IF(LEFT(B22,7)="EJEMPLO","EJEMPLO de tablero típico: bórralo o sobrescríbelo. ","")&amp;IF(C22="VOLADO","Volado de "&amp;TEXT(Z22,"0.00")&amp;" m empotrado en el borde "&amp;LOWER(X22)&amp;IF(N(P22)&gt;0,", con "&amp;TEXT(P22,"0.0")&amp;" kg/m en la orilla","")&amp;". Lecho inferior con r_ext. Si la orilla carga pretil u otro elemento frágil, calcula la flecha (13.4). El acero superior entra al respaldo de "&amp;TEXT(IF(ISNUMBER(Q22),Q22,Z22),"0.00")&amp;" m"&amp;IF(ISNUMBER(Q22),""," (L_b no capturado: se tomó igual al volado)")&amp;" hasta pasar M = 0 con 0.9·PP sin carga viva; si ahí no se anula, llega al apoyo lejano y se ancla con gancho. ","")&amp;IF(LEFT(BB22,5)="FUERA","El M⁻ del vecino difiere más de 50 % (3.4.2.1 c): distribuye el desequilibrio (3.4.3.1) o confirma con un modelo; se arma con el mayor. ","")&amp;IF(OR(DB22="SÍ",DC22="SÍ"),"Bastones también en los bordes discontinuos (M⁻ de tabla), con gancho. ","")&amp;IF(LEFT(DD22,2)="NO","Anclaje: "&amp;DD22&amp;" (6.7.7.4.1.1). ","")&amp;IF(OR(AT22&gt;0,AU22&gt;0),"Esquinas exteriores sobre muro: refuerzo de esquina arriba y abajo en L_largo/5 (6.7.7.3.1). ",""))</f>
        <v/>
      </c>
    </row>
    <row r="23" ht="33" customHeight="1">
      <c r="A23" s="50">
        <f>IF(B23="",0,1)+A22</f>
        <v>3</v>
      </c>
      <c r="B23" s="29" t="n"/>
      <c r="C23" s="51" t="n"/>
      <c r="D23" s="29" t="n"/>
      <c r="E23" s="52" t="n"/>
      <c r="F23" s="52" t="n"/>
      <c r="G23" s="51" t="n"/>
      <c r="H23" s="51" t="n"/>
      <c r="I23" s="51" t="n"/>
      <c r="J23" s="51" t="n"/>
      <c r="K23" s="51" t="n"/>
      <c r="L23" s="51" t="n"/>
      <c r="M23" s="54" t="n"/>
      <c r="N23" s="53" t="n"/>
      <c r="O23" s="53" t="n"/>
      <c r="P23" s="54" t="n"/>
      <c r="Q23" s="52" t="n"/>
      <c r="R23" s="54" t="n"/>
      <c r="S23" s="53" t="n"/>
      <c r="T23" s="52" t="n"/>
      <c r="U23" s="52" t="n"/>
      <c r="V23" s="55" t="str">
        <f>IF(B23="","",IF(AND(OR(C23="PERIMETRAL",C23="VOLADO"),ISNUMBER(E23),ISNUMBER(F23),E23&gt;0,F23&gt;0,OR(ISNUMBER(O23),ISNUMBER(MATCH(D23,DATOS!$B$46:$B$55,0)))),"SÍ","NO"))</f>
        <v/>
      </c>
      <c r="W23" s="57" t="str">
        <f>IF(V23&lt;&gt;"SÍ","",IF(ISNUMBER(M23),M23,DATOS!$C$134))</f>
        <v/>
      </c>
      <c r="X23" s="55" t="str">
        <f>IF(V23&lt;&gt;"SÍ","",IF(C23&lt;&gt;"VOLADO","—",IF(COUNTIF(G23:J23,"CONTINUO")&lt;&gt;1,"?",IF(G23="CONTINUO","INFERIOR",IF(H23="CONTINUO","SUPERIOR",IF(I23="CONTINUO","IZQUIERDO","DERECHO"))))))</f>
        <v/>
      </c>
      <c r="Y23" s="55" t="str">
        <f>IF(V23&lt;&gt;"SÍ","",IF(C23="VOLADO",IF(OR(X23="IZQUIERDO",X23="DERECHO"),"X","Y"),IF(E23&lt;=F23,"X","Y")))</f>
        <v/>
      </c>
      <c r="Z23" s="56" t="str">
        <f>IF(V23&lt;&gt;"SÍ","",IF(C23="VOLADO",IF(Y23="X",E23,F23),MIN(E23,F23)))</f>
        <v/>
      </c>
      <c r="AA23" s="56" t="str">
        <f>IF(V23&lt;&gt;"SÍ","",IF(C23="VOLADO",IF(Y23="X",F23,E23),MAX(E23,F23)))</f>
        <v/>
      </c>
      <c r="AB23" s="56" t="str">
        <f>IF(V23&lt;&gt;"SÍ","",MIN(Z23,AA23)/MAX(Z23,AA23))</f>
        <v/>
      </c>
      <c r="AC23" s="57" t="str">
        <f>IF(V23&lt;&gt;"SÍ","",MAX(1,Z23*100-IF(C23="VOLADO",DATOS!$C$84/2,DATOS!$C$84)))</f>
        <v/>
      </c>
      <c r="AD23" s="57" t="str">
        <f>IF(V23&lt;&gt;"SÍ","",MAX(1,AA23*100-DATOS!$C$84))</f>
        <v/>
      </c>
      <c r="AE23" s="57" t="str">
        <f>IF(V23&lt;&gt;"SÍ","",IF(C23="VOLADO",DATOS!$C$61,DATOS!$C$59))</f>
        <v/>
      </c>
      <c r="AF23" s="57" t="str">
        <f>IF(V23&lt;&gt;"SÍ","",IF(OR(AND(AG23="SÍ",DATOS!$C$63="SÍ"),AND(C23="VOLADO",DATOS!$C$64="SÍ")),DATOS!$C$61,DATOS!$C$59))</f>
        <v/>
      </c>
      <c r="AG23" s="55" t="str">
        <f>IF(V23&lt;&gt;"SÍ","",IFERROR(INDEX(DATOS!$D$46:$D$55,MATCH(D23,DATOS!$B$46:$B$55,0)),"NO"))</f>
        <v/>
      </c>
      <c r="AH23" s="59" t="str">
        <f>IF(V23&lt;&gt;"SÍ","",IF(ISNUMBER(O23),O23,IFERROR(INDEX(DATOS!$C$46:$C$55,MATCH(D23,DATOS!$B$46:$B$55,0)),0)))</f>
        <v/>
      </c>
      <c r="AI23" s="59" t="str">
        <f>IF(V23&lt;&gt;"SÍ","",W23/100*DATOS!$C$16*1000+DATOS!$C$37+DATOS!$C$38)</f>
        <v/>
      </c>
      <c r="AJ23" s="59" t="str">
        <f>IF(V23&lt;&gt;"SÍ","",AI23+N(N23))</f>
        <v/>
      </c>
      <c r="AK23" s="60" t="str">
        <f>IF(V23&lt;&gt;"SÍ","",MAX(DATOS!$C$26*AJ23+DATOS!$C$27*AH23,IF(AG23="SÍ",DATOS!$C$28*(AJ23+DATOS!$C$41),0)))</f>
        <v/>
      </c>
      <c r="AL23" s="59" t="str">
        <f>IF(V23&lt;&gt;"SÍ","",(G23="DISCONTINUO")+(H23="DISCONTINUO")+(I23="DISCONTINUO")+(J23="DISCONTINUO"))</f>
        <v/>
      </c>
      <c r="AM23" s="59" t="str">
        <f>IF(V23&lt;&gt;"SÍ","",IF(Y23="X",(G23="DISCONTINUO")+(H23="DISCONTINUO"),(I23="DISCONTINUO")+(J23="DISCONTINUO")))</f>
        <v/>
      </c>
      <c r="AN23" s="55" t="str">
        <f>IF(V23&lt;&gt;"SÍ","",IF(AL23=0,"INTERIOR",IF(AL23=1,IF(AM23=1,"BORDE-CORTO","BORDE-LARGO"),IF(AL23=2,IF(AM23=1,"ESQUINA",IF(AM23=2,"EXTREMO-LARGO","EXTREMO-CORTO")),IF(AL23=3,IF(AM23=2,"EXTREMO-LARGO","EXTREMO-CORTO"),"AISLADO")))))</f>
        <v/>
      </c>
      <c r="AO23" s="61" t="str">
        <f>IF(V23&lt;&gt;"SÍ","",IF(OR(K23="",K23="AUTO"),AN23,K23))</f>
        <v/>
      </c>
      <c r="AP23" s="59" t="str">
        <f>IF(V23&lt;&gt;"SÍ","",MATCH(AB23,TABLAS!$D$5:$J$5,1))</f>
        <v/>
      </c>
      <c r="AQ23" s="58" t="str">
        <f>IF(V23&lt;&gt;"SÍ","",IF(AP23&gt;=7,0,(AB23-INDEX(TABLAS!$D$5:$J$5,AP23))/(INDEX(TABLAS!$D$5:$J$5,AP23+1)-INDEX(TABLAS!$D$5:$J$5,AP23))))</f>
        <v/>
      </c>
      <c r="AR23" s="59" t="str">
        <f>IF(V23&lt;&gt;"SÍ","",INDEX(TABLAS!$D$6:$J$47,MATCH(AO23&amp;"|NIC",TABLAS!$B$6:$B$47,0),AP23)+AQ23*(INDEX(TABLAS!$D$6:$J$47,MATCH(AO23&amp;"|NIC",TABLAS!$B$6:$B$47,0),MIN(AP23+1,7))-INDEX(TABLAS!$D$6:$J$47,MATCH(AO23&amp;"|NIC",TABLAS!$B$6:$B$47,0),AP23)))</f>
        <v/>
      </c>
      <c r="AS23" s="59" t="str">
        <f>IF(V23&lt;&gt;"SÍ","",INDEX(TABLAS!$D$6:$J$47,MATCH(AO23&amp;"|NIL",TABLAS!$B$6:$B$47,0),AP23)+AQ23*(INDEX(TABLAS!$D$6:$J$47,MATCH(AO23&amp;"|NIL",TABLAS!$B$6:$B$47,0),MIN(AP23+1,7))-INDEX(TABLAS!$D$6:$J$47,MATCH(AO23&amp;"|NIL",TABLAS!$B$6:$B$47,0),AP23)))</f>
        <v/>
      </c>
      <c r="AT23" s="59" t="str">
        <f>IF(V23&lt;&gt;"SÍ","",INDEX(TABLAS!$D$6:$J$47,MATCH(AO23&amp;"|NDC",TABLAS!$B$6:$B$47,0),AP23)+AQ23*(INDEX(TABLAS!$D$6:$J$47,MATCH(AO23&amp;"|NDC",TABLAS!$B$6:$B$47,0),MIN(AP23+1,7))-INDEX(TABLAS!$D$6:$J$47,MATCH(AO23&amp;"|NDC",TABLAS!$B$6:$B$47,0),AP23)))</f>
        <v/>
      </c>
      <c r="AU23" s="59" t="str">
        <f>IF(V23&lt;&gt;"SÍ","",INDEX(TABLAS!$D$6:$J$47,MATCH(AO23&amp;"|NDL",TABLAS!$B$6:$B$47,0),AP23)+AQ23*(INDEX(TABLAS!$D$6:$J$47,MATCH(AO23&amp;"|NDL",TABLAS!$B$6:$B$47,0),MIN(AP23+1,7))-INDEX(TABLAS!$D$6:$J$47,MATCH(AO23&amp;"|NDL",TABLAS!$B$6:$B$47,0),AP23)))</f>
        <v/>
      </c>
      <c r="AV23" s="59" t="str">
        <f>IF(V23&lt;&gt;"SÍ","",INDEX(TABLAS!$D$6:$J$47,MATCH(AO23&amp;"|PC",TABLAS!$B$6:$B$47,0),AP23)+AQ23*(INDEX(TABLAS!$D$6:$J$47,MATCH(AO23&amp;"|PC",TABLAS!$B$6:$B$47,0),MIN(AP23+1,7))-INDEX(TABLAS!$D$6:$J$47,MATCH(AO23&amp;"|PC",TABLAS!$B$6:$B$47,0),AP23)))</f>
        <v/>
      </c>
      <c r="AW23" s="59" t="str">
        <f>IF(V23&lt;&gt;"SÍ","",INDEX(TABLAS!$D$6:$J$47,MATCH(AO23&amp;"|PL",TABLAS!$B$6:$B$47,0),AP23)+AQ23*(INDEX(TABLAS!$D$6:$J$47,MATCH(AO23&amp;"|PL",TABLAS!$B$6:$B$47,0),MIN(AP23+1,7))-INDEX(TABLAS!$D$6:$J$47,MATCH(AO23&amp;"|PL",TABLAS!$B$6:$B$47,0),AP23)))</f>
        <v/>
      </c>
      <c r="AX23" s="56" t="str">
        <f>IF(V23&lt;&gt;"SÍ","",IF(C23="PERIMETRAL",AV23*AK23*Z23^2*1E-4/1000,0))</f>
        <v/>
      </c>
      <c r="AY23" s="62" t="str">
        <f>IF(V23&lt;&gt;"SÍ","",IF(C23="PERIMETRAL",MAX(MAX(AR23,AT23)*AK23*Z23^2*1E-4/1000,N(T23)),(AK23*(AC23/100)^2/2+DATOS!$C$26*N(P23)*AC23/100)/1000))</f>
        <v/>
      </c>
      <c r="AZ23" s="56" t="str">
        <f>IF(V23&lt;&gt;"SÍ","",IF(C23="PERIMETRAL",AW23*AK23*Z23^2*1E-4/1000,0))</f>
        <v/>
      </c>
      <c r="BA23" s="56" t="str">
        <f>IF(V23&lt;&gt;"SÍ","",IF(C23="PERIMETRAL",MAX(MAX(AS23,AU23)*AK23*Z23^2*1E-4/1000,N(U23)),0))</f>
        <v/>
      </c>
      <c r="BB23" s="63" t="str">
        <f>IF(V23&lt;&gt;"SÍ","",IF(C23&lt;&gt;"PERIMETRAL","—",IF(AND(N(T23)=0,N(U23)=0),"— (sin M⁻ del vecino)",IF(OR(AND(N(T23)&gt;0,ABS(MAX(AR23,AT23)*AK23*Z23^2*1E-4/1000-N(T23))&gt;0.5*MIN(MAX(AR23,AT23)*AK23*Z23^2*1E-4/1000,N(T23))),AND(N(U23)&gt;0,ABS(MAX(AS23,AU23)*AK23*Z23^2*1E-4/1000-N(U23))&gt;0.5*MIN(MAX(AS23,AU23)*AK23*Z23^2*1E-4/1000,N(U23)))),"FUERA: difieren &gt; 50 %"&amp;IF(AND(N(T23)&gt;0,ABS(MAX(AR23,AT23)*AK23*Z23^2*1E-4/1000-N(T23))&gt;0.5*MIN(MAX(AR23,AT23)*AK23*Z23^2*1E-4/1000,N(T23)))," ‖ corto","")&amp;IF(AND(N(U23)&gt;0,ABS(MAX(AS23,AU23)*AK23*Z23^2*1E-4/1000-N(U23))&gt;0.5*MIN(MAX(AS23,AU23)*AK23*Z23^2*1E-4/1000,N(U23)))," ‖ largo",""),"CUMPLE"))))</f>
        <v/>
      </c>
      <c r="BC23" s="58" t="str">
        <f>IF(V23&lt;&gt;"SÍ","",DATOS!$C$136*100*W23)</f>
        <v/>
      </c>
      <c r="BD23" s="57" t="str">
        <f>IF(V23&lt;&gt;"SÍ","",MIN(IF(C23="VOLADO",DATOS!$C$138,DATOS!$C$137)*W23,DATOS!$C$139))</f>
        <v/>
      </c>
      <c r="BE23" s="58" t="str">
        <f>IF(V23&lt;&gt;"SÍ","",(W23-AE23-INDEX(TABLAS!$C$52:$C$58,MATCH(IF(ISNUMBER(S23),S23,DATOS!$C$135),TABLAS!$B$52:$B$58,0))/2))</f>
        <v/>
      </c>
      <c r="BF23" s="58" t="str">
        <f>IF(V23&lt;&gt;"SÍ","",IF(AX23&lt;=0,0,IF((1-2*AX23*1E5/(DATOS!$C$29*100*BE23^2*DATOS!$C$21))&lt;0,-1,IF((1-SQRT((1-2*AX23*1E5/(DATOS!$C$29*100*BE23^2*DATOS!$C$21))))*DATOS!$C$21*100*BE23/DATOS!$C$14&gt;DATOS!$C$99*100*BE23,-1,(1-SQRT((1-2*AX23*1E5/(DATOS!$C$29*100*BE23^2*DATOS!$C$21))))*DATOS!$C$21*100*BE23/DATOS!$C$14))))</f>
        <v/>
      </c>
      <c r="BG23" s="58" t="str">
        <f>IF(V23&lt;&gt;"SÍ","",IF(BF23&lt;0,-1,MAX(BF23,BC23)))</f>
        <v/>
      </c>
      <c r="BH23" s="64" t="str">
        <f>IF(V23&lt;&gt;"SÍ","",IF(AND(BG23&gt;0,FLOOR(MIN(BD23,100*INDEX(TABLAS!$D$52:$D$58,MIN(MATCH(IF(ISNUMBER(S23),S23,DATOS!$C$135),TABLAS!$B$52:$B$58,0)+0,7))/MAX(BG23,0.0001)),DATOS!$C$141)&gt;=DATOS!$C$140),INDEX(TABLAS!$B$52:$B$58,MIN(MATCH(IF(ISNUMBER(S23),S23,DATOS!$C$135),TABLAS!$B$52:$B$58,0)+0,7)),IF(AND(BG23&gt;0,FLOOR(MIN(BD23,100*INDEX(TABLAS!$D$52:$D$58,MIN(MATCH(IF(ISNUMBER(S23),S23,DATOS!$C$135),TABLAS!$B$52:$B$58,0)+1,7))/MAX(BG23,0.0001)),DATOS!$C$141)&gt;=DATOS!$C$140),INDEX(TABLAS!$B$52:$B$58,MIN(MATCH(IF(ISNUMBER(S23),S23,DATOS!$C$135),TABLAS!$B$52:$B$58,0)+1,7)),IF(AND(BG23&gt;0,FLOOR(MIN(BD23,100*INDEX(TABLAS!$D$52:$D$58,MIN(MATCH(IF(ISNUMBER(S23),S23,DATOS!$C$135),TABLAS!$B$52:$B$58,0)+2,7))/MAX(BG23,0.0001)),DATOS!$C$141)&gt;=DATOS!$C$140),INDEX(TABLAS!$B$52:$B$58,MIN(MATCH(IF(ISNUMBER(S23),S23,DATOS!$C$135),TABLAS!$B$52:$B$58,0)+2,7)),IF(AND(BG23&gt;0,FLOOR(MIN(BD23,100*INDEX(TABLAS!$D$52:$D$58,MIN(MATCH(IF(ISNUMBER(S23),S23,DATOS!$C$135),TABLAS!$B$52:$B$58,0)+3,7))/MAX(BG23,0.0001)),DATOS!$C$141)&gt;=DATOS!$C$140),INDEX(TABLAS!$B$52:$B$58,MIN(MATCH(IF(ISNUMBER(S23),S23,DATOS!$C$135),TABLAS!$B$52:$B$58,0)+3,7)),IF(AND(BG23&gt;0,FLOOR(MIN(BD23,100*INDEX(TABLAS!$D$52:$D$58,MIN(MATCH(IF(ISNUMBER(S23),S23,DATOS!$C$135),TABLAS!$B$52:$B$58,0)+4,7))/MAX(BG23,0.0001)),DATOS!$C$141)&gt;=DATOS!$C$140),INDEX(TABLAS!$B$52:$B$58,MIN(MATCH(IF(ISNUMBER(S23),S23,DATOS!$C$135),TABLAS!$B$52:$B$58,0)+4,7)),INDEX(TABLAS!$B$52:$B$58,7)))))))</f>
        <v/>
      </c>
      <c r="BI23" s="71" t="str">
        <f>IF(V23&lt;&gt;"SÍ","",IF(BG23&lt;=0,0,FLOOR(MIN(BD23,100*INDEX(TABLAS!$D$52:$D$58,MATCH(BH23,TABLAS!$B$52:$B$58,0))/BG23),DATOS!$C$141)))</f>
        <v/>
      </c>
      <c r="BJ23" s="58" t="str">
        <f>IF(V23&lt;&gt;"SÍ","",IF(BI23&lt;=0,0,INDEX(TABLAS!$D$52:$D$58,MATCH(BH23,TABLAS!$B$52:$B$58,0))*100/BI23))</f>
        <v/>
      </c>
      <c r="BK23" s="58" t="str">
        <f>IF(V23&lt;&gt;"SÍ","",W23-AE23-INDEX(TABLAS!$C$52:$C$58,MATCH(BH23,TABLAS!$B$52:$B$58,0))/2)</f>
        <v/>
      </c>
      <c r="BL23" s="56" t="str">
        <f>IF(V23&lt;&gt;"SÍ","",IF(BJ23=0,0,DATOS!$C$29*BJ23*DATOS!$C$14*(BK23-BJ23*DATOS!$C$14/(DATOS!$C$21*100)/2)/1E5))</f>
        <v/>
      </c>
      <c r="BM23" s="65" t="str">
        <f>IF(V23&lt;&gt;"SÍ","",IF(BG23&lt;0,9.99,IF(BL23&gt;0,AX23/BL23,0)))</f>
        <v/>
      </c>
      <c r="BN23" s="66" t="str">
        <f>IF(V23&lt;&gt;"SÍ","",IF(BJ23=0,"—",0.003*(BK23-(BJ23*DATOS!$C$14/(DATOS!$C$21*100)/DATOS!$C$22))/(BJ23*DATOS!$C$14/(DATOS!$C$21*100)/DATOS!$C$22)))</f>
        <v/>
      </c>
      <c r="BO23" s="58" t="str">
        <f>IF(V23&lt;&gt;"SÍ","",((W23-AF23-INDEX(TABLAS!$C$52:$C$58,MATCH(IF(ISNUMBER(S23),S23,DATOS!$C$135),TABLAS!$B$52:$B$58,0))/2)-IF(AND((W23-AF23-INDEX(TABLAS!$C$52:$C$58,MATCH(IF(ISNUMBER(S23),S23,DATOS!$C$135),TABLAS!$B$52:$B$58,0))/2)&lt;=20,DATOS!$C$62&lt;&gt;"SÍ"),2,0)))</f>
        <v/>
      </c>
      <c r="BP23" s="58" t="str">
        <f>IF(V23&lt;&gt;"SÍ","",IF(AY23&lt;=0,0,IF((1-2*AY23*1E5/(DATOS!$C$29*100*BO23^2*DATOS!$C$21))&lt;0,-1,IF((1-SQRT((1-2*AY23*1E5/(DATOS!$C$29*100*BO23^2*DATOS!$C$21))))*DATOS!$C$21*100*BO23/DATOS!$C$14&gt;DATOS!$C$99*100*BO23,-1,(1-SQRT((1-2*AY23*1E5/(DATOS!$C$29*100*BO23^2*DATOS!$C$21))))*DATOS!$C$21*100*BO23/DATOS!$C$14))))</f>
        <v/>
      </c>
      <c r="BQ23" s="58" t="str">
        <f>IF(V23&lt;&gt;"SÍ","",IF(BP23&lt;0,-1,MAX(BP23,BC23)))</f>
        <v/>
      </c>
      <c r="BR23" s="64" t="str">
        <f>IF(V23&lt;&gt;"SÍ","",IF(AND(BQ23&gt;0,FLOOR(MIN(BD23,100*INDEX(TABLAS!$D$52:$D$58,MIN(MATCH(IF(ISNUMBER(S23),S23,DATOS!$C$135),TABLAS!$B$52:$B$58,0)+0,7))/MAX(BQ23,0.0001)),DATOS!$C$141)&gt;=DATOS!$C$140),INDEX(TABLAS!$B$52:$B$58,MIN(MATCH(IF(ISNUMBER(S23),S23,DATOS!$C$135),TABLAS!$B$52:$B$58,0)+0,7)),IF(AND(BQ23&gt;0,FLOOR(MIN(BD23,100*INDEX(TABLAS!$D$52:$D$58,MIN(MATCH(IF(ISNUMBER(S23),S23,DATOS!$C$135),TABLAS!$B$52:$B$58,0)+1,7))/MAX(BQ23,0.0001)),DATOS!$C$141)&gt;=DATOS!$C$140),INDEX(TABLAS!$B$52:$B$58,MIN(MATCH(IF(ISNUMBER(S23),S23,DATOS!$C$135),TABLAS!$B$52:$B$58,0)+1,7)),IF(AND(BQ23&gt;0,FLOOR(MIN(BD23,100*INDEX(TABLAS!$D$52:$D$58,MIN(MATCH(IF(ISNUMBER(S23),S23,DATOS!$C$135),TABLAS!$B$52:$B$58,0)+2,7))/MAX(BQ23,0.0001)),DATOS!$C$141)&gt;=DATOS!$C$140),INDEX(TABLAS!$B$52:$B$58,MIN(MATCH(IF(ISNUMBER(S23),S23,DATOS!$C$135),TABLAS!$B$52:$B$58,0)+2,7)),IF(AND(BQ23&gt;0,FLOOR(MIN(BD23,100*INDEX(TABLAS!$D$52:$D$58,MIN(MATCH(IF(ISNUMBER(S23),S23,DATOS!$C$135),TABLAS!$B$52:$B$58,0)+3,7))/MAX(BQ23,0.0001)),DATOS!$C$141)&gt;=DATOS!$C$140),INDEX(TABLAS!$B$52:$B$58,MIN(MATCH(IF(ISNUMBER(S23),S23,DATOS!$C$135),TABLAS!$B$52:$B$58,0)+3,7)),IF(AND(BQ23&gt;0,FLOOR(MIN(BD23,100*INDEX(TABLAS!$D$52:$D$58,MIN(MATCH(IF(ISNUMBER(S23),S23,DATOS!$C$135),TABLAS!$B$52:$B$58,0)+4,7))/MAX(BQ23,0.0001)),DATOS!$C$141)&gt;=DATOS!$C$140),INDEX(TABLAS!$B$52:$B$58,MIN(MATCH(IF(ISNUMBER(S23),S23,DATOS!$C$135),TABLAS!$B$52:$B$58,0)+4,7)),INDEX(TABLAS!$B$52:$B$58,7)))))))</f>
        <v/>
      </c>
      <c r="BS23" s="71" t="str">
        <f>IF(V23&lt;&gt;"SÍ","",IF(BQ23&lt;=0,0,FLOOR(MIN(BD23,100*INDEX(TABLAS!$D$52:$D$58,MATCH(BR23,TABLAS!$B$52:$B$58,0))/BQ23),DATOS!$C$141)))</f>
        <v/>
      </c>
      <c r="BT23" s="58" t="str">
        <f>IF(V23&lt;&gt;"SÍ","",IF(BS23&lt;=0,0,INDEX(TABLAS!$D$52:$D$58,MATCH(BR23,TABLAS!$B$52:$B$58,0))*100/BS23))</f>
        <v/>
      </c>
      <c r="BU23" s="58" t="str">
        <f>IF(V23&lt;&gt;"SÍ","",((W23-AF23-INDEX(TABLAS!$C$52:$C$58,MATCH(BR23,TABLAS!$B$52:$B$58,0))/2)-IF(AND((W23-AF23-INDEX(TABLAS!$C$52:$C$58,MATCH(BR23,TABLAS!$B$52:$B$58,0))/2)&lt;=20,DATOS!$C$62&lt;&gt;"SÍ"),2,0)))</f>
        <v/>
      </c>
      <c r="BV23" s="56" t="str">
        <f>IF(V23&lt;&gt;"SÍ","",IF(BT23=0,0,DATOS!$C$29*BT23*DATOS!$C$14*(BU23-BT23*DATOS!$C$14/(DATOS!$C$21*100)/2)/1E5))</f>
        <v/>
      </c>
      <c r="BW23" s="65" t="str">
        <f>IF(V23&lt;&gt;"SÍ","",IF(BQ23&lt;0,9.99,IF(BV23&gt;0,AY23/BV23,0)))</f>
        <v/>
      </c>
      <c r="BX23" s="66" t="str">
        <f>IF(V23&lt;&gt;"SÍ","",IF(BT23=0,"—",0.003*(BU23-(BT23*DATOS!$C$14/(DATOS!$C$21*100)/DATOS!$C$22))/(BT23*DATOS!$C$14/(DATOS!$C$21*100)/DATOS!$C$22)))</f>
        <v/>
      </c>
      <c r="BY23" s="58" t="str">
        <f>IF(V23&lt;&gt;"SÍ","",(W23-AE23-1.5*INDEX(TABLAS!$C$52:$C$58,MATCH(IF(ISNUMBER(S23),S23,DATOS!$C$135),TABLAS!$B$52:$B$58,0))))</f>
        <v/>
      </c>
      <c r="BZ23" s="58" t="str">
        <f>IF(V23&lt;&gt;"SÍ","",IF(AZ23&lt;=0,0,IF((1-2*AZ23*1E5/(DATOS!$C$29*100*BY23^2*DATOS!$C$21))&lt;0,-1,IF((1-SQRT((1-2*AZ23*1E5/(DATOS!$C$29*100*BY23^2*DATOS!$C$21))))*DATOS!$C$21*100*BY23/DATOS!$C$14&gt;DATOS!$C$99*100*BY23,-1,(1-SQRT((1-2*AZ23*1E5/(DATOS!$C$29*100*BY23^2*DATOS!$C$21))))*DATOS!$C$21*100*BY23/DATOS!$C$14))))</f>
        <v/>
      </c>
      <c r="CA23" s="58" t="str">
        <f>IF(V23&lt;&gt;"SÍ","",IF(BZ23&lt;0,-1,MAX(BZ23,BC23)))</f>
        <v/>
      </c>
      <c r="CB23" s="64" t="str">
        <f>IF(V23&lt;&gt;"SÍ","",IF(AND(CA23&gt;0,FLOOR(MIN(BD23,100*INDEX(TABLAS!$D$52:$D$58,MIN(MATCH(IF(ISNUMBER(S23),S23,DATOS!$C$135),TABLAS!$B$52:$B$58,0)+0,7))/MAX(CA23,0.0001)),DATOS!$C$141)&gt;=DATOS!$C$140),INDEX(TABLAS!$B$52:$B$58,MIN(MATCH(IF(ISNUMBER(S23),S23,DATOS!$C$135),TABLAS!$B$52:$B$58,0)+0,7)),IF(AND(CA23&gt;0,FLOOR(MIN(BD23,100*INDEX(TABLAS!$D$52:$D$58,MIN(MATCH(IF(ISNUMBER(S23),S23,DATOS!$C$135),TABLAS!$B$52:$B$58,0)+1,7))/MAX(CA23,0.0001)),DATOS!$C$141)&gt;=DATOS!$C$140),INDEX(TABLAS!$B$52:$B$58,MIN(MATCH(IF(ISNUMBER(S23),S23,DATOS!$C$135),TABLAS!$B$52:$B$58,0)+1,7)),IF(AND(CA23&gt;0,FLOOR(MIN(BD23,100*INDEX(TABLAS!$D$52:$D$58,MIN(MATCH(IF(ISNUMBER(S23),S23,DATOS!$C$135),TABLAS!$B$52:$B$58,0)+2,7))/MAX(CA23,0.0001)),DATOS!$C$141)&gt;=DATOS!$C$140),INDEX(TABLAS!$B$52:$B$58,MIN(MATCH(IF(ISNUMBER(S23),S23,DATOS!$C$135),TABLAS!$B$52:$B$58,0)+2,7)),IF(AND(CA23&gt;0,FLOOR(MIN(BD23,100*INDEX(TABLAS!$D$52:$D$58,MIN(MATCH(IF(ISNUMBER(S23),S23,DATOS!$C$135),TABLAS!$B$52:$B$58,0)+3,7))/MAX(CA23,0.0001)),DATOS!$C$141)&gt;=DATOS!$C$140),INDEX(TABLAS!$B$52:$B$58,MIN(MATCH(IF(ISNUMBER(S23),S23,DATOS!$C$135),TABLAS!$B$52:$B$58,0)+3,7)),IF(AND(CA23&gt;0,FLOOR(MIN(BD23,100*INDEX(TABLAS!$D$52:$D$58,MIN(MATCH(IF(ISNUMBER(S23),S23,DATOS!$C$135),TABLAS!$B$52:$B$58,0)+4,7))/MAX(CA23,0.0001)),DATOS!$C$141)&gt;=DATOS!$C$140),INDEX(TABLAS!$B$52:$B$58,MIN(MATCH(IF(ISNUMBER(S23),S23,DATOS!$C$135),TABLAS!$B$52:$B$58,0)+4,7)),INDEX(TABLAS!$B$52:$B$58,7)))))))</f>
        <v/>
      </c>
      <c r="CC23" s="71" t="str">
        <f>IF(V23&lt;&gt;"SÍ","",IF(CA23&lt;=0,0,FLOOR(MIN(BD23,100*INDEX(TABLAS!$D$52:$D$58,MATCH(CB23,TABLAS!$B$52:$B$58,0))/CA23),DATOS!$C$141)))</f>
        <v/>
      </c>
      <c r="CD23" s="58" t="str">
        <f>IF(V23&lt;&gt;"SÍ","",IF(CC23&lt;=0,0,INDEX(TABLAS!$D$52:$D$58,MATCH(CB23,TABLAS!$B$52:$B$58,0))*100/CC23))</f>
        <v/>
      </c>
      <c r="CE23" s="58" t="str">
        <f>IF(V23&lt;&gt;"SÍ","",W23-AE23-INDEX(TABLAS!$C$52:$C$58,MATCH(BH23,TABLAS!$B$52:$B$58,0))-INDEX(TABLAS!$C$52:$C$58,MATCH(CB23,TABLAS!$B$52:$B$58,0))/2)</f>
        <v/>
      </c>
      <c r="CF23" s="56" t="str">
        <f>IF(V23&lt;&gt;"SÍ","",IF(CD23=0,0,DATOS!$C$29*CD23*DATOS!$C$14*(CE23-CD23*DATOS!$C$14/(DATOS!$C$21*100)/2)/1E5))</f>
        <v/>
      </c>
      <c r="CG23" s="65" t="str">
        <f>IF(V23&lt;&gt;"SÍ","",IF(CA23&lt;0,9.99,IF(CF23&gt;0,AZ23/CF23,0)))</f>
        <v/>
      </c>
      <c r="CH23" s="66" t="str">
        <f>IF(V23&lt;&gt;"SÍ","",IF(CD23=0,"—",0.003*(CE23-(CD23*DATOS!$C$14/(DATOS!$C$21*100)/DATOS!$C$22))/(CD23*DATOS!$C$14/(DATOS!$C$21*100)/DATOS!$C$22)))</f>
        <v/>
      </c>
      <c r="CI23" s="58" t="str">
        <f>IF(V23&lt;&gt;"SÍ","",((W23-AF23-1.5*INDEX(TABLAS!$C$52:$C$58,MATCH(IF(ISNUMBER(S23),S23,DATOS!$C$135),TABLAS!$B$52:$B$58,0)))-IF(AND((W23-AF23-1.5*INDEX(TABLAS!$C$52:$C$58,MATCH(IF(ISNUMBER(S23),S23,DATOS!$C$135),TABLAS!$B$52:$B$58,0)))&lt;=20,DATOS!$C$62&lt;&gt;"SÍ"),2,0)))</f>
        <v/>
      </c>
      <c r="CJ23" s="58" t="str">
        <f>IF(V23&lt;&gt;"SÍ","",IF(BA23&lt;=0,0,IF((1-2*BA23*1E5/(DATOS!$C$29*100*CI23^2*DATOS!$C$21))&lt;0,-1,IF((1-SQRT((1-2*BA23*1E5/(DATOS!$C$29*100*CI23^2*DATOS!$C$21))))*DATOS!$C$21*100*CI23/DATOS!$C$14&gt;DATOS!$C$99*100*CI23,-1,(1-SQRT((1-2*BA23*1E5/(DATOS!$C$29*100*CI23^2*DATOS!$C$21))))*DATOS!$C$21*100*CI23/DATOS!$C$14))))</f>
        <v/>
      </c>
      <c r="CK23" s="58" t="str">
        <f>IF(V23&lt;&gt;"SÍ","",IF(CJ23&lt;0,-1,MAX(CJ23,BC23)))</f>
        <v/>
      </c>
      <c r="CL23" s="64" t="str">
        <f>IF(V23&lt;&gt;"SÍ","",IF(AND(CK23&gt;0,FLOOR(MIN(BD23,100*INDEX(TABLAS!$D$52:$D$58,MIN(MATCH(IF(ISNUMBER(S23),S23,DATOS!$C$135),TABLAS!$B$52:$B$58,0)+0,7))/MAX(CK23,0.0001)),DATOS!$C$141)&gt;=DATOS!$C$140),INDEX(TABLAS!$B$52:$B$58,MIN(MATCH(IF(ISNUMBER(S23),S23,DATOS!$C$135),TABLAS!$B$52:$B$58,0)+0,7)),IF(AND(CK23&gt;0,FLOOR(MIN(BD23,100*INDEX(TABLAS!$D$52:$D$58,MIN(MATCH(IF(ISNUMBER(S23),S23,DATOS!$C$135),TABLAS!$B$52:$B$58,0)+1,7))/MAX(CK23,0.0001)),DATOS!$C$141)&gt;=DATOS!$C$140),INDEX(TABLAS!$B$52:$B$58,MIN(MATCH(IF(ISNUMBER(S23),S23,DATOS!$C$135),TABLAS!$B$52:$B$58,0)+1,7)),IF(AND(CK23&gt;0,FLOOR(MIN(BD23,100*INDEX(TABLAS!$D$52:$D$58,MIN(MATCH(IF(ISNUMBER(S23),S23,DATOS!$C$135),TABLAS!$B$52:$B$58,0)+2,7))/MAX(CK23,0.0001)),DATOS!$C$141)&gt;=DATOS!$C$140),INDEX(TABLAS!$B$52:$B$58,MIN(MATCH(IF(ISNUMBER(S23),S23,DATOS!$C$135),TABLAS!$B$52:$B$58,0)+2,7)),IF(AND(CK23&gt;0,FLOOR(MIN(BD23,100*INDEX(TABLAS!$D$52:$D$58,MIN(MATCH(IF(ISNUMBER(S23),S23,DATOS!$C$135),TABLAS!$B$52:$B$58,0)+3,7))/MAX(CK23,0.0001)),DATOS!$C$141)&gt;=DATOS!$C$140),INDEX(TABLAS!$B$52:$B$58,MIN(MATCH(IF(ISNUMBER(S23),S23,DATOS!$C$135),TABLAS!$B$52:$B$58,0)+3,7)),IF(AND(CK23&gt;0,FLOOR(MIN(BD23,100*INDEX(TABLAS!$D$52:$D$58,MIN(MATCH(IF(ISNUMBER(S23),S23,DATOS!$C$135),TABLAS!$B$52:$B$58,0)+4,7))/MAX(CK23,0.0001)),DATOS!$C$141)&gt;=DATOS!$C$140),INDEX(TABLAS!$B$52:$B$58,MIN(MATCH(IF(ISNUMBER(S23),S23,DATOS!$C$135),TABLAS!$B$52:$B$58,0)+4,7)),INDEX(TABLAS!$B$52:$B$58,7)))))))</f>
        <v/>
      </c>
      <c r="CM23" s="71" t="str">
        <f>IF(V23&lt;&gt;"SÍ","",IF(CK23&lt;=0,0,FLOOR(MIN(BD23,100*INDEX(TABLAS!$D$52:$D$58,MATCH(CL23,TABLAS!$B$52:$B$58,0))/CK23),DATOS!$C$141)))</f>
        <v/>
      </c>
      <c r="CN23" s="58" t="str">
        <f>IF(V23&lt;&gt;"SÍ","",IF(CM23&lt;=0,0,INDEX(TABLAS!$D$52:$D$58,MATCH(CL23,TABLAS!$B$52:$B$58,0))*100/CM23))</f>
        <v/>
      </c>
      <c r="CO23" s="58" t="str">
        <f>IF(V23&lt;&gt;"SÍ","",((W23-AF23-INDEX(TABLAS!$C$52:$C$58,MATCH(BR23,TABLAS!$B$52:$B$58,0))-INDEX(TABLAS!$C$52:$C$58,MATCH(CL23,TABLAS!$B$52:$B$58,0))/2)-IF(AND((W23-AF23-INDEX(TABLAS!$C$52:$C$58,MATCH(BR23,TABLAS!$B$52:$B$58,0))-INDEX(TABLAS!$C$52:$C$58,MATCH(CL23,TABLAS!$B$52:$B$58,0))/2)&lt;=20,DATOS!$C$62&lt;&gt;"SÍ"),2,0)))</f>
        <v/>
      </c>
      <c r="CP23" s="56" t="str">
        <f>IF(V23&lt;&gt;"SÍ","",IF(CN23=0,0,DATOS!$C$29*CN23*DATOS!$C$14*(CO23-CN23*DATOS!$C$14/(DATOS!$C$21*100)/2)/1E5))</f>
        <v/>
      </c>
      <c r="CQ23" s="65" t="str">
        <f>IF(V23&lt;&gt;"SÍ","",IF(CK23&lt;0,9.99,IF(CP23&gt;0,BA23/CP23,0)))</f>
        <v/>
      </c>
      <c r="CR23" s="66" t="str">
        <f>IF(V23&lt;&gt;"SÍ","",IF(CN23=0,"—",0.003*(CO23-(CN23*DATOS!$C$14/(DATOS!$C$21*100)/DATOS!$C$22))/(CN23*DATOS!$C$14/(DATOS!$C$21*100)/DATOS!$C$22)))</f>
        <v/>
      </c>
      <c r="CS23" s="56" t="str">
        <f>IF(V23&lt;&gt;"SÍ","",IF(C23="PERIMETRAL",MAX(0,(AC23/2-BU23)/100)*(0.95-0.5*AB23)*AK23*IF(AND(AL23&gt;0,AL23&lt;4),DATOS!$C$33,1)/1000,(AK23*MAX(0,AC23-BU23)/100+DATOS!$C$26*N(P23))/1000))</f>
        <v/>
      </c>
      <c r="CT23" s="66" t="str">
        <f>IF(V23&lt;&gt;"SÍ","",BT23/(100*BU23))</f>
        <v/>
      </c>
      <c r="CU23" s="56" t="str">
        <f>IF(V23&lt;&gt;"SÍ","",DATOS!$C$30*2*MIN(1,SQRT(2/(1+0.04*BU23)))*CT23^(1/3)*SQRT(DATOS!$C$13)*100*BU23/1000)</f>
        <v/>
      </c>
      <c r="CV23" s="67" t="str">
        <f>IF(V23&lt;&gt;"SÍ","",IF(CS23&lt;=CU23,"CUMPLE","NO CUMPLE: sube h"))</f>
        <v/>
      </c>
      <c r="CW23" s="58" t="str">
        <f>IF(V23&lt;&gt;"SÍ","",IF(C23="PERIMETRAL",IF(ISNUMBER(R23),R23,DATOS!$C$101),0))</f>
        <v/>
      </c>
      <c r="CX23" s="57" t="str">
        <f>IF(V23&lt;&gt;"SÍ","",IF(C23="PERIMETRAL",IF(CW23&gt;2,MAX(9,AD23*(0.8+DATOS!$C$14/14000)/(36+9*(AD23/MAX(AC23,1)))),IF(CW23&gt;0.2,MAX(13,AD23*(0.8+DATOS!$C$14/14000)/(36+5*(AD23/MAX(AC23,1))*(CW23-0.2))),MAX(13,AD23/IF(AL23&gt;0,30,33))))*IF(AND(CW23&gt;0.2,AL23&gt;0,DATOS!$C$102="NO"),1.1,1),Z23*100/DATOS!$C$142))</f>
        <v/>
      </c>
      <c r="CY23" s="61" t="str">
        <f>IF(V23&lt;&gt;"SÍ","",IF(W23&gt;=CX23-0.001,"CUMPLE",IF(C23="VOLADO","NO CUMPLE","CALCULAR FLECHA")))</f>
        <v/>
      </c>
      <c r="CZ23" s="60" t="str">
        <f>IF(V23&lt;&gt;"SÍ","",IF(C23="VOLADO",MIN(CEILING(IF(ISNUMBER(Q23),Q23,Z23)*100,5),CEILING(MAX(IF((0.5*(0.9*W23/100*DATOS!$C$16)*IF(ISNUMBER(Q23),Q23,Z23)+AY23/IF(ISNUMBER(Q23),Q23,Z23))^2-4*(0.5*(0.9*W23/100*DATOS!$C$16))*AY23&lt;0,IF(ISNUMBER(Q23),Q23,Z23),MIN(IF(ISNUMBER(Q23),Q23,Z23),((0.5*(0.9*W23/100*DATOS!$C$16)*IF(ISNUMBER(Q23),Q23,Z23)+AY23/IF(ISNUMBER(Q23),Q23,Z23))-SQRT((0.5*(0.9*W23/100*DATOS!$C$16)*IF(ISNUMBER(Q23),Q23,Z23)+AY23/IF(ISNUMBER(Q23),Q23,Z23))^2-4*(0.5*(0.9*W23/100*DATOS!$C$16))*AY23))/(2*(0.5*(0.9*W23/100*DATOS!$C$16)))))*100+MAX(BU23,12*INDEX(TABLAS!$C$52:$C$58,MATCH(BR23,TABLAS!$B$52:$B$58,0)),IF(ISNUMBER(Q23),Q23,Z23)*100/16),IF(OR(AF23&lt;INDEX(TABLAS!$C$52:$C$58,MATCH(BR23,TABLAS!$B$52:$B$58,0)),BS23-INDEX(TABLAS!$C$52:$C$58,MATCH(BR23,TABLAS!$B$52:$B$58,0))&lt;2*INDEX(TABLAS!$C$52:$C$58,MATCH(BR23,TABLAS!$B$52:$B$58,0))),INDEX(TABLAS!$I$52:$I$58,MATCH(BR23,TABLAS!$B$52:$B$58,0)),INDEX(TABLAS!$F$52:$F$58,MATCH(BR23,TABLAS!$B$52:$B$58,0)))),5)),IF(((4*((AV23*AK23*Z23^2*1E-4/1000)+((MAX(AR23,AT23)*AK23*Z23^2*1E-4/1000)+(IF(AND(AR23&gt;0,AT23&gt;0),MIN(AR23,AT23),MAX(AR23,AT23))*AK23*Z23^2*1E-4/1000))/2)+AY23-(IF(AND(AR23&gt;0,AT23&gt;0),MIN(AR23,AT23),MAX(AR23,AT23))*AK23*Z23^2*1E-4/1000))^2-16*((AV23*AK23*Z23^2*1E-4/1000)+((MAX(AR23,AT23)*AK23*Z23^2*1E-4/1000)+(IF(AND(AR23&gt;0,AT23&gt;0),MIN(AR23,AT23),MAX(AR23,AT23))*AK23*Z23^2*1E-4/1000))/2)*AY23)&lt;0,CEILING(AC23,5),CEILING(MAX(AC23*((4*((AV23*AK23*Z23^2*1E-4/1000)+((MAX(AR23,AT23)*AK23*Z23^2*1E-4/1000)+(IF(AND(AR23&gt;0,AT23&gt;0),MIN(AR23,AT23),MAX(AR23,AT23))*AK23*Z23^2*1E-4/1000))/2)+AY23-(IF(AND(AR23&gt;0,AT23&gt;0),MIN(AR23,AT23),MAX(AR23,AT23))*AK23*Z23^2*1E-4/1000))-SQRT(MAX(0,((4*((AV23*AK23*Z23^2*1E-4/1000)+((MAX(AR23,AT23)*AK23*Z23^2*1E-4/1000)+(IF(AND(AR23&gt;0,AT23&gt;0),MIN(AR23,AT23),MAX(AR23,AT23))*AK23*Z23^2*1E-4/1000))/2)+AY23-(IF(AND(AR23&gt;0,AT23&gt;0),MIN(AR23,AT23),MAX(AR23,AT23))*AK23*Z23^2*1E-4/1000))^2-16*((AV23*AK23*Z23^2*1E-4/1000)+((MAX(AR23,AT23)*AK23*Z23^2*1E-4/1000)+(IF(AND(AR23&gt;0,AT23&gt;0),MIN(AR23,AT23),MAX(AR23,AT23))*AK23*Z23^2*1E-4/1000))/2)*AY23))))/(8*MAX(((AV23*AK23*Z23^2*1E-4/1000)+((MAX(AR23,AT23)*AK23*Z23^2*1E-4/1000)+(IF(AND(AR23&gt;0,AT23&gt;0),MIN(AR23,AT23),MAX(AR23,AT23))*AK23*Z23^2*1E-4/1000))/2),1E-9))+MAX(BU23,12*INDEX(TABLAS!$C$52:$C$58,MATCH(BR23,TABLAS!$B$52:$B$58,0)),AC23/16),IF(OR(AF23&lt;INDEX(TABLAS!$C$52:$C$58,MATCH(BR23,TABLAS!$B$52:$B$58,0)),BS23-INDEX(TABLAS!$C$52:$C$58,MATCH(BR23,TABLAS!$B$52:$B$58,0))&lt;2*INDEX(TABLAS!$C$52:$C$58,MATCH(BR23,TABLAS!$B$52:$B$58,0))),INDEX(TABLAS!$I$52:$I$58,MATCH(BR23,TABLAS!$B$52:$B$58,0)),INDEX(TABLAS!$F$52:$F$58,MATCH(BR23,TABLAS!$B$52:$B$58,0)))),5))))</f>
        <v/>
      </c>
      <c r="DA23" s="60" t="str">
        <f>IF(V23&lt;&gt;"SÍ","",IF(C23="VOLADO",0,IF(((4*((AW23*AK23*Z23^2*1E-4/1000)+((MAX(AS23,AU23)*AK23*Z23^2*1E-4/1000)+(IF(AND(AS23&gt;0,AU23&gt;0),MIN(AS23,AU23),MAX(AS23,AU23))*AK23*Z23^2*1E-4/1000))/2)+BA23-(IF(AND(AS23&gt;0,AU23&gt;0),MIN(AS23,AU23),MAX(AS23,AU23))*AK23*Z23^2*1E-4/1000))^2-16*((AW23*AK23*Z23^2*1E-4/1000)+((MAX(AS23,AU23)*AK23*Z23^2*1E-4/1000)+(IF(AND(AS23&gt;0,AU23&gt;0),MIN(AS23,AU23),MAX(AS23,AU23))*AK23*Z23^2*1E-4/1000))/2)*BA23)&lt;0,CEILING(AD23,5),CEILING(MAX(AD23*((4*((AW23*AK23*Z23^2*1E-4/1000)+((MAX(AS23,AU23)*AK23*Z23^2*1E-4/1000)+(IF(AND(AS23&gt;0,AU23&gt;0),MIN(AS23,AU23),MAX(AS23,AU23))*AK23*Z23^2*1E-4/1000))/2)+BA23-(IF(AND(AS23&gt;0,AU23&gt;0),MIN(AS23,AU23),MAX(AS23,AU23))*AK23*Z23^2*1E-4/1000))-SQRT(MAX(0,((4*((AW23*AK23*Z23^2*1E-4/1000)+((MAX(AS23,AU23)*AK23*Z23^2*1E-4/1000)+(IF(AND(AS23&gt;0,AU23&gt;0),MIN(AS23,AU23),MAX(AS23,AU23))*AK23*Z23^2*1E-4/1000))/2)+BA23-(IF(AND(AS23&gt;0,AU23&gt;0),MIN(AS23,AU23),MAX(AS23,AU23))*AK23*Z23^2*1E-4/1000))^2-16*((AW23*AK23*Z23^2*1E-4/1000)+((MAX(AS23,AU23)*AK23*Z23^2*1E-4/1000)+(IF(AND(AS23&gt;0,AU23&gt;0),MIN(AS23,AU23),MAX(AS23,AU23))*AK23*Z23^2*1E-4/1000))/2)*BA23))))/(8*MAX(((AW23*AK23*Z23^2*1E-4/1000)+((MAX(AS23,AU23)*AK23*Z23^2*1E-4/1000)+(IF(AND(AS23&gt;0,AU23&gt;0),MIN(AS23,AU23),MAX(AS23,AU23))*AK23*Z23^2*1E-4/1000))/2),1E-9))+MAX(CO23,12*INDEX(TABLAS!$C$52:$C$58,MATCH(CL23,TABLAS!$B$52:$B$58,0)),AD23/16),IF(OR(AF23&lt;INDEX(TABLAS!$C$52:$C$58,MATCH(CL23,TABLAS!$B$52:$B$58,0)),CM23-INDEX(TABLAS!$C$52:$C$58,MATCH(CL23,TABLAS!$B$52:$B$58,0))&lt;2*INDEX(TABLAS!$C$52:$C$58,MATCH(CL23,TABLAS!$B$52:$B$58,0))),INDEX(TABLAS!$I$52:$I$58,MATCH(CL23,TABLAS!$B$52:$B$58,0)),INDEX(TABLAS!$F$52:$F$58,MATCH(CL23,TABLAS!$B$52:$B$58,0)))),5))))</f>
        <v/>
      </c>
      <c r="DB23" s="55" t="str">
        <f>IF(V23&lt;&gt;"SÍ","",IF(AND(C23="PERIMETRAL",AL23-AM23&gt;0,AT23&gt;0),"SÍ","NO"))</f>
        <v/>
      </c>
      <c r="DC23" s="55" t="str">
        <f>IF(V23&lt;&gt;"SÍ","",IF(AND(C23="PERIMETRAL",AM23&gt;0,AU23&gt;0),"SÍ","NO"))</f>
        <v/>
      </c>
      <c r="DD23" s="63" t="str">
        <f>IF(V23&lt;&gt;"SÍ","",IF(OR(C23="VOLADO",AL23=0),"—",IF(AND(AND(INDEX(TABLAS!$G$52:$G$58,MATCH(MAX(BR23,CL23),TABLAS!$B$52:$B$58,0))&lt;=(DATOS!$C$72-DATOS!$C$60),(DATOS!$C$72-DATOS!$C$60)&gt;=15),8*INDEX(TABLAS!$C$52:$C$58,MATCH(MAX(BH23,CB23,BR23,CL23),TABLAS!$B$52:$B$58,0))&lt;=DATOS!$C$73-2*DATOS!$C$60),"CUMPLE (gancho de 180°)",IF(AND(INDEX(TABLAS!$G$52:$G$58,MATCH(MAX(BR23,CL23),TABLAS!$B$52:$B$58,0))&lt;=(DATOS!$C$72-DATOS!$C$60),(DATOS!$C$72-DATOS!$C$60)&gt;=15),"NO CUMPLE: el gancho de 180° (8·d_b) no cabe en el peralte de la dala de borde","NO CUMPLE: dala de borde ≥ "&amp;TEXT(CEILING(MAX(INDEX(TABLAS!$G$52:$G$58,MATCH(MAX(BR23,CL23),TABLAS!$B$52:$B$58,0)),15)+DATOS!$C$60,5),"0")&amp;" cm de ancho"&amp;IF(8*INDEX(TABLAS!$C$52:$C$58,MATCH(MAX(BH23,CB23,BR23,CL23),TABLAS!$B$52:$B$58,0))&lt;=DATOS!$C$73-2*DATOS!$C$60,""," y más peralte para el gancho")))))</f>
        <v/>
      </c>
      <c r="DE23" s="69" t="str">
        <f>IF(V23&lt;&gt;"SÍ","",IF(BI23=0,"NO ALCANZA","No. "&amp;BH23&amp;" @ "&amp;BI23&amp;" cm"&amp;IF(C23="VOLADO"," (temperatura)","")))</f>
        <v/>
      </c>
      <c r="DF23" s="69" t="str">
        <f>IF(V23&lt;&gt;"SÍ","",IF(BS23=0,"NO ALCANZA",IF(C23="VOLADO","No. "&amp;BR23&amp;" @ "&amp;BS23&amp;" cm"&amp;" de la orilla al respaldo ("&amp;IF(CZ23&gt;=100*IF(ISNUMBER(Q23),Q23,Z23),"hasta su apoyo lejano, con gancho","entran "&amp;TEXT(CZ23/100,"0.00")&amp;" m desde el paño")&amp;")","Bastones "&amp;"No. "&amp;BR23&amp;" @ "&amp;BS23&amp;" cm"&amp;", L = "&amp;TEXT(CZ23/100,"0.00")&amp;" m desde el paño")))</f>
        <v/>
      </c>
      <c r="DG23" s="69" t="str">
        <f>IF(V23&lt;&gt;"SÍ","",IF(CC23=0,"NO ALCANZA","No. "&amp;CB23&amp;" @ "&amp;CC23&amp;" cm"&amp;IF(C23="VOLADO"," (repartición)","")))</f>
        <v/>
      </c>
      <c r="DH23" s="69" t="str">
        <f>IF(V23&lt;&gt;"SÍ","",IF(CM23=0,"NO ALCANZA",IF(C23="VOLADO","No. "&amp;CL23&amp;" @ "&amp;CM23&amp;" cm"&amp;" (repartición)","Bastones "&amp;"No. "&amp;CL23&amp;" @ "&amp;CM23&amp;" cm"&amp;", L = "&amp;TEXT(DA23/100,"0.00")&amp;" m desde el paño")))</f>
        <v/>
      </c>
      <c r="DI23" s="67" t="str">
        <f>IF(B23="","",IF(V23&lt;&gt;"SÍ","FALTAN DATOS: tipo, a_x, a_y y destino",IF(L23="NO MONOLÍTICO (caso II)","FUERA DE ALCANCE: caso II no transcrito",IF(AND(C23="VOLADO",X23="?"),"REVISAR: el volado lleva UN solo borde CONTINUO (el empotrado)",IF(AND(MAX(BM23,BW23,CG23,CQ23)&lt;=1,NOT(OR(BI23&lt;DATOS!$C$140,BS23&lt;DATOS!$C$140,CC23&lt;DATOS!$C$140,CM23&lt;DATOS!$C$140)),NOT(OR(AND(ISNUMBER(BN23),BN23&lt;0.005),AND(ISNUMBER(BX23),BX23&lt;0.005),AND(ISNUMBER(CH23),CH23&lt;0.005),AND(ISNUMBER(CR23),CR23&lt;0.005))),CV23="CUMPLE",CY23="CUMPLE"),"CUMPLE"&amp;IF(LEFT(BB23,5)="FUERA"," · fuera de 3.4.2.1 c)","")&amp;IF(LEFT(DD23,2)="NO"," · REVISAR anclaje en borde discontinuo",""),IF(AND(MAX(BM23,BW23,CG23,CQ23)&lt;=1,NOT(OR(BI23&lt;DATOS!$C$140,BS23&lt;DATOS!$C$140,CC23&lt;DATOS!$C$140,CM23&lt;DATOS!$C$140)),NOT(OR(AND(ISNUMBER(BN23),BN23&lt;0.005),AND(ISNUMBER(BX23),BX23&lt;0.005),AND(ISNUMBER(CH23),CH23&lt;0.005),AND(ISNUMBER(CR23),CR23&lt;0.005))),CV23="CUMPLE",CY23="CALCULAR FLECHA"),"REVISAR: calcular flecha (h &lt; h mín.)"&amp;IF(LEFT(BB23,5)="FUERA"," · fuera de 3.4.2.1 c)","")&amp;IF(LEFT(DD23,2)="NO"," · REVISAR anclaje en borde discontinuo",""),"NO CUMPLE: "&amp;IF(MAX(BM23,BW23,CG23,CQ23)&gt;1,"flexión ","")&amp;IF(OR(BI23&lt;DATOS!$C$140,BS23&lt;DATOS!$C$140,CC23&lt;DATOS!$C$140,CM23&lt;DATOS!$C$140),"separación &lt; mínima ","")&amp;IF(OR(AND(ISNUMBER(BN23),BN23&lt;0.005),AND(ISNUMBER(BX23),BX23&lt;0.005),AND(ISNUMBER(CH23),CH23&lt;0.005),AND(ISNUMBER(CR23),CR23&lt;0.005)),"ε_t &lt; 0.005 ","")&amp;IF(CV23&lt;&gt;"CUMPLE","cortante ","")&amp;IF(CY23="NO CUMPLE","peralte","")))))))</f>
        <v/>
      </c>
      <c r="DJ23" s="70" t="str">
        <f>IF(V23&lt;&gt;"SÍ","",IF(LEFT(B23,7)="EJEMPLO","EJEMPLO de tablero típico: bórralo o sobrescríbelo. ","")&amp;IF(C23="VOLADO","Volado de "&amp;TEXT(Z23,"0.00")&amp;" m empotrado en el borde "&amp;LOWER(X23)&amp;IF(N(P23)&gt;0,", con "&amp;TEXT(P23,"0.0")&amp;" kg/m en la orilla","")&amp;". Lecho inferior con r_ext. Si la orilla carga pretil u otro elemento frágil, calcula la flecha (13.4). El acero superior entra al respaldo de "&amp;TEXT(IF(ISNUMBER(Q23),Q23,Z23),"0.00")&amp;" m"&amp;IF(ISNUMBER(Q23),""," (L_b no capturado: se tomó igual al volado)")&amp;" hasta pasar M = 0 con 0.9·PP sin carga viva; si ahí no se anula, llega al apoyo lejano y se ancla con gancho. ","")&amp;IF(LEFT(BB23,5)="FUERA","El M⁻ del vecino difiere más de 50 % (3.4.2.1 c): distribuye el desequilibrio (3.4.3.1) o confirma con un modelo; se arma con el mayor. ","")&amp;IF(OR(DB23="SÍ",DC23="SÍ"),"Bastones también en los bordes discontinuos (M⁻ de tabla), con gancho. ","")&amp;IF(LEFT(DD23,2)="NO","Anclaje: "&amp;DD23&amp;" (6.7.7.4.1.1). ","")&amp;IF(OR(AT23&gt;0,AU23&gt;0),"Esquinas exteriores sobre muro: refuerzo de esquina arriba y abajo en L_largo/5 (6.7.7.3.1). ",""))</f>
        <v/>
      </c>
    </row>
    <row r="24" ht="33" customHeight="1">
      <c r="A24" s="50">
        <f>IF(B24="",0,1)+A23</f>
        <v>3</v>
      </c>
      <c r="B24" s="29" t="n"/>
      <c r="C24" s="51" t="n"/>
      <c r="D24" s="29" t="n"/>
      <c r="E24" s="52" t="n"/>
      <c r="F24" s="52" t="n"/>
      <c r="G24" s="51" t="n"/>
      <c r="H24" s="51" t="n"/>
      <c r="I24" s="51" t="n"/>
      <c r="J24" s="51" t="n"/>
      <c r="K24" s="51" t="n"/>
      <c r="L24" s="51" t="n"/>
      <c r="M24" s="54" t="n"/>
      <c r="N24" s="53" t="n"/>
      <c r="O24" s="53" t="n"/>
      <c r="P24" s="54" t="n"/>
      <c r="Q24" s="52" t="n"/>
      <c r="R24" s="54" t="n"/>
      <c r="S24" s="53" t="n"/>
      <c r="T24" s="52" t="n"/>
      <c r="U24" s="52" t="n"/>
      <c r="V24" s="55" t="str">
        <f>IF(B24="","",IF(AND(OR(C24="PERIMETRAL",C24="VOLADO"),ISNUMBER(E24),ISNUMBER(F24),E24&gt;0,F24&gt;0,OR(ISNUMBER(O24),ISNUMBER(MATCH(D24,DATOS!$B$46:$B$55,0)))),"SÍ","NO"))</f>
        <v/>
      </c>
      <c r="W24" s="57" t="str">
        <f>IF(V24&lt;&gt;"SÍ","",IF(ISNUMBER(M24),M24,DATOS!$C$134))</f>
        <v/>
      </c>
      <c r="X24" s="55" t="str">
        <f>IF(V24&lt;&gt;"SÍ","",IF(C24&lt;&gt;"VOLADO","—",IF(COUNTIF(G24:J24,"CONTINUO")&lt;&gt;1,"?",IF(G24="CONTINUO","INFERIOR",IF(H24="CONTINUO","SUPERIOR",IF(I24="CONTINUO","IZQUIERDO","DERECHO"))))))</f>
        <v/>
      </c>
      <c r="Y24" s="55" t="str">
        <f>IF(V24&lt;&gt;"SÍ","",IF(C24="VOLADO",IF(OR(X24="IZQUIERDO",X24="DERECHO"),"X","Y"),IF(E24&lt;=F24,"X","Y")))</f>
        <v/>
      </c>
      <c r="Z24" s="56" t="str">
        <f>IF(V24&lt;&gt;"SÍ","",IF(C24="VOLADO",IF(Y24="X",E24,F24),MIN(E24,F24)))</f>
        <v/>
      </c>
      <c r="AA24" s="56" t="str">
        <f>IF(V24&lt;&gt;"SÍ","",IF(C24="VOLADO",IF(Y24="X",F24,E24),MAX(E24,F24)))</f>
        <v/>
      </c>
      <c r="AB24" s="56" t="str">
        <f>IF(V24&lt;&gt;"SÍ","",MIN(Z24,AA24)/MAX(Z24,AA24))</f>
        <v/>
      </c>
      <c r="AC24" s="57" t="str">
        <f>IF(V24&lt;&gt;"SÍ","",MAX(1,Z24*100-IF(C24="VOLADO",DATOS!$C$84/2,DATOS!$C$84)))</f>
        <v/>
      </c>
      <c r="AD24" s="57" t="str">
        <f>IF(V24&lt;&gt;"SÍ","",MAX(1,AA24*100-DATOS!$C$84))</f>
        <v/>
      </c>
      <c r="AE24" s="57" t="str">
        <f>IF(V24&lt;&gt;"SÍ","",IF(C24="VOLADO",DATOS!$C$61,DATOS!$C$59))</f>
        <v/>
      </c>
      <c r="AF24" s="57" t="str">
        <f>IF(V24&lt;&gt;"SÍ","",IF(OR(AND(AG24="SÍ",DATOS!$C$63="SÍ"),AND(C24="VOLADO",DATOS!$C$64="SÍ")),DATOS!$C$61,DATOS!$C$59))</f>
        <v/>
      </c>
      <c r="AG24" s="55" t="str">
        <f>IF(V24&lt;&gt;"SÍ","",IFERROR(INDEX(DATOS!$D$46:$D$55,MATCH(D24,DATOS!$B$46:$B$55,0)),"NO"))</f>
        <v/>
      </c>
      <c r="AH24" s="59" t="str">
        <f>IF(V24&lt;&gt;"SÍ","",IF(ISNUMBER(O24),O24,IFERROR(INDEX(DATOS!$C$46:$C$55,MATCH(D24,DATOS!$B$46:$B$55,0)),0)))</f>
        <v/>
      </c>
      <c r="AI24" s="59" t="str">
        <f>IF(V24&lt;&gt;"SÍ","",W24/100*DATOS!$C$16*1000+DATOS!$C$37+DATOS!$C$38)</f>
        <v/>
      </c>
      <c r="AJ24" s="59" t="str">
        <f>IF(V24&lt;&gt;"SÍ","",AI24+N(N24))</f>
        <v/>
      </c>
      <c r="AK24" s="60" t="str">
        <f>IF(V24&lt;&gt;"SÍ","",MAX(DATOS!$C$26*AJ24+DATOS!$C$27*AH24,IF(AG24="SÍ",DATOS!$C$28*(AJ24+DATOS!$C$41),0)))</f>
        <v/>
      </c>
      <c r="AL24" s="59" t="str">
        <f>IF(V24&lt;&gt;"SÍ","",(G24="DISCONTINUO")+(H24="DISCONTINUO")+(I24="DISCONTINUO")+(J24="DISCONTINUO"))</f>
        <v/>
      </c>
      <c r="AM24" s="59" t="str">
        <f>IF(V24&lt;&gt;"SÍ","",IF(Y24="X",(G24="DISCONTINUO")+(H24="DISCONTINUO"),(I24="DISCONTINUO")+(J24="DISCONTINUO")))</f>
        <v/>
      </c>
      <c r="AN24" s="55" t="str">
        <f>IF(V24&lt;&gt;"SÍ","",IF(AL24=0,"INTERIOR",IF(AL24=1,IF(AM24=1,"BORDE-CORTO","BORDE-LARGO"),IF(AL24=2,IF(AM24=1,"ESQUINA",IF(AM24=2,"EXTREMO-LARGO","EXTREMO-CORTO")),IF(AL24=3,IF(AM24=2,"EXTREMO-LARGO","EXTREMO-CORTO"),"AISLADO")))))</f>
        <v/>
      </c>
      <c r="AO24" s="61" t="str">
        <f>IF(V24&lt;&gt;"SÍ","",IF(OR(K24="",K24="AUTO"),AN24,K24))</f>
        <v/>
      </c>
      <c r="AP24" s="59" t="str">
        <f>IF(V24&lt;&gt;"SÍ","",MATCH(AB24,TABLAS!$D$5:$J$5,1))</f>
        <v/>
      </c>
      <c r="AQ24" s="58" t="str">
        <f>IF(V24&lt;&gt;"SÍ","",IF(AP24&gt;=7,0,(AB24-INDEX(TABLAS!$D$5:$J$5,AP24))/(INDEX(TABLAS!$D$5:$J$5,AP24+1)-INDEX(TABLAS!$D$5:$J$5,AP24))))</f>
        <v/>
      </c>
      <c r="AR24" s="59" t="str">
        <f>IF(V24&lt;&gt;"SÍ","",INDEX(TABLAS!$D$6:$J$47,MATCH(AO24&amp;"|NIC",TABLAS!$B$6:$B$47,0),AP24)+AQ24*(INDEX(TABLAS!$D$6:$J$47,MATCH(AO24&amp;"|NIC",TABLAS!$B$6:$B$47,0),MIN(AP24+1,7))-INDEX(TABLAS!$D$6:$J$47,MATCH(AO24&amp;"|NIC",TABLAS!$B$6:$B$47,0),AP24)))</f>
        <v/>
      </c>
      <c r="AS24" s="59" t="str">
        <f>IF(V24&lt;&gt;"SÍ","",INDEX(TABLAS!$D$6:$J$47,MATCH(AO24&amp;"|NIL",TABLAS!$B$6:$B$47,0),AP24)+AQ24*(INDEX(TABLAS!$D$6:$J$47,MATCH(AO24&amp;"|NIL",TABLAS!$B$6:$B$47,0),MIN(AP24+1,7))-INDEX(TABLAS!$D$6:$J$47,MATCH(AO24&amp;"|NIL",TABLAS!$B$6:$B$47,0),AP24)))</f>
        <v/>
      </c>
      <c r="AT24" s="59" t="str">
        <f>IF(V24&lt;&gt;"SÍ","",INDEX(TABLAS!$D$6:$J$47,MATCH(AO24&amp;"|NDC",TABLAS!$B$6:$B$47,0),AP24)+AQ24*(INDEX(TABLAS!$D$6:$J$47,MATCH(AO24&amp;"|NDC",TABLAS!$B$6:$B$47,0),MIN(AP24+1,7))-INDEX(TABLAS!$D$6:$J$47,MATCH(AO24&amp;"|NDC",TABLAS!$B$6:$B$47,0),AP24)))</f>
        <v/>
      </c>
      <c r="AU24" s="59" t="str">
        <f>IF(V24&lt;&gt;"SÍ","",INDEX(TABLAS!$D$6:$J$47,MATCH(AO24&amp;"|NDL",TABLAS!$B$6:$B$47,0),AP24)+AQ24*(INDEX(TABLAS!$D$6:$J$47,MATCH(AO24&amp;"|NDL",TABLAS!$B$6:$B$47,0),MIN(AP24+1,7))-INDEX(TABLAS!$D$6:$J$47,MATCH(AO24&amp;"|NDL",TABLAS!$B$6:$B$47,0),AP24)))</f>
        <v/>
      </c>
      <c r="AV24" s="59" t="str">
        <f>IF(V24&lt;&gt;"SÍ","",INDEX(TABLAS!$D$6:$J$47,MATCH(AO24&amp;"|PC",TABLAS!$B$6:$B$47,0),AP24)+AQ24*(INDEX(TABLAS!$D$6:$J$47,MATCH(AO24&amp;"|PC",TABLAS!$B$6:$B$47,0),MIN(AP24+1,7))-INDEX(TABLAS!$D$6:$J$47,MATCH(AO24&amp;"|PC",TABLAS!$B$6:$B$47,0),AP24)))</f>
        <v/>
      </c>
      <c r="AW24" s="59" t="str">
        <f>IF(V24&lt;&gt;"SÍ","",INDEX(TABLAS!$D$6:$J$47,MATCH(AO24&amp;"|PL",TABLAS!$B$6:$B$47,0),AP24)+AQ24*(INDEX(TABLAS!$D$6:$J$47,MATCH(AO24&amp;"|PL",TABLAS!$B$6:$B$47,0),MIN(AP24+1,7))-INDEX(TABLAS!$D$6:$J$47,MATCH(AO24&amp;"|PL",TABLAS!$B$6:$B$47,0),AP24)))</f>
        <v/>
      </c>
      <c r="AX24" s="56" t="str">
        <f>IF(V24&lt;&gt;"SÍ","",IF(C24="PERIMETRAL",AV24*AK24*Z24^2*1E-4/1000,0))</f>
        <v/>
      </c>
      <c r="AY24" s="62" t="str">
        <f>IF(V24&lt;&gt;"SÍ","",IF(C24="PERIMETRAL",MAX(MAX(AR24,AT24)*AK24*Z24^2*1E-4/1000,N(T24)),(AK24*(AC24/100)^2/2+DATOS!$C$26*N(P24)*AC24/100)/1000))</f>
        <v/>
      </c>
      <c r="AZ24" s="56" t="str">
        <f>IF(V24&lt;&gt;"SÍ","",IF(C24="PERIMETRAL",AW24*AK24*Z24^2*1E-4/1000,0))</f>
        <v/>
      </c>
      <c r="BA24" s="56" t="str">
        <f>IF(V24&lt;&gt;"SÍ","",IF(C24="PERIMETRAL",MAX(MAX(AS24,AU24)*AK24*Z24^2*1E-4/1000,N(U24)),0))</f>
        <v/>
      </c>
      <c r="BB24" s="63" t="str">
        <f>IF(V24&lt;&gt;"SÍ","",IF(C24&lt;&gt;"PERIMETRAL","—",IF(AND(N(T24)=0,N(U24)=0),"— (sin M⁻ del vecino)",IF(OR(AND(N(T24)&gt;0,ABS(MAX(AR24,AT24)*AK24*Z24^2*1E-4/1000-N(T24))&gt;0.5*MIN(MAX(AR24,AT24)*AK24*Z24^2*1E-4/1000,N(T24))),AND(N(U24)&gt;0,ABS(MAX(AS24,AU24)*AK24*Z24^2*1E-4/1000-N(U24))&gt;0.5*MIN(MAX(AS24,AU24)*AK24*Z24^2*1E-4/1000,N(U24)))),"FUERA: difieren &gt; 50 %"&amp;IF(AND(N(T24)&gt;0,ABS(MAX(AR24,AT24)*AK24*Z24^2*1E-4/1000-N(T24))&gt;0.5*MIN(MAX(AR24,AT24)*AK24*Z24^2*1E-4/1000,N(T24)))," ‖ corto","")&amp;IF(AND(N(U24)&gt;0,ABS(MAX(AS24,AU24)*AK24*Z24^2*1E-4/1000-N(U24))&gt;0.5*MIN(MAX(AS24,AU24)*AK24*Z24^2*1E-4/1000,N(U24)))," ‖ largo",""),"CUMPLE"))))</f>
        <v/>
      </c>
      <c r="BC24" s="58" t="str">
        <f>IF(V24&lt;&gt;"SÍ","",DATOS!$C$136*100*W24)</f>
        <v/>
      </c>
      <c r="BD24" s="57" t="str">
        <f>IF(V24&lt;&gt;"SÍ","",MIN(IF(C24="VOLADO",DATOS!$C$138,DATOS!$C$137)*W24,DATOS!$C$139))</f>
        <v/>
      </c>
      <c r="BE24" s="58" t="str">
        <f>IF(V24&lt;&gt;"SÍ","",(W24-AE24-INDEX(TABLAS!$C$52:$C$58,MATCH(IF(ISNUMBER(S24),S24,DATOS!$C$135),TABLAS!$B$52:$B$58,0))/2))</f>
        <v/>
      </c>
      <c r="BF24" s="58" t="str">
        <f>IF(V24&lt;&gt;"SÍ","",IF(AX24&lt;=0,0,IF((1-2*AX24*1E5/(DATOS!$C$29*100*BE24^2*DATOS!$C$21))&lt;0,-1,IF((1-SQRT((1-2*AX24*1E5/(DATOS!$C$29*100*BE24^2*DATOS!$C$21))))*DATOS!$C$21*100*BE24/DATOS!$C$14&gt;DATOS!$C$99*100*BE24,-1,(1-SQRT((1-2*AX24*1E5/(DATOS!$C$29*100*BE24^2*DATOS!$C$21))))*DATOS!$C$21*100*BE24/DATOS!$C$14))))</f>
        <v/>
      </c>
      <c r="BG24" s="58" t="str">
        <f>IF(V24&lt;&gt;"SÍ","",IF(BF24&lt;0,-1,MAX(BF24,BC24)))</f>
        <v/>
      </c>
      <c r="BH24" s="64" t="str">
        <f>IF(V24&lt;&gt;"SÍ","",IF(AND(BG24&gt;0,FLOOR(MIN(BD24,100*INDEX(TABLAS!$D$52:$D$58,MIN(MATCH(IF(ISNUMBER(S24),S24,DATOS!$C$135),TABLAS!$B$52:$B$58,0)+0,7))/MAX(BG24,0.0001)),DATOS!$C$141)&gt;=DATOS!$C$140),INDEX(TABLAS!$B$52:$B$58,MIN(MATCH(IF(ISNUMBER(S24),S24,DATOS!$C$135),TABLAS!$B$52:$B$58,0)+0,7)),IF(AND(BG24&gt;0,FLOOR(MIN(BD24,100*INDEX(TABLAS!$D$52:$D$58,MIN(MATCH(IF(ISNUMBER(S24),S24,DATOS!$C$135),TABLAS!$B$52:$B$58,0)+1,7))/MAX(BG24,0.0001)),DATOS!$C$141)&gt;=DATOS!$C$140),INDEX(TABLAS!$B$52:$B$58,MIN(MATCH(IF(ISNUMBER(S24),S24,DATOS!$C$135),TABLAS!$B$52:$B$58,0)+1,7)),IF(AND(BG24&gt;0,FLOOR(MIN(BD24,100*INDEX(TABLAS!$D$52:$D$58,MIN(MATCH(IF(ISNUMBER(S24),S24,DATOS!$C$135),TABLAS!$B$52:$B$58,0)+2,7))/MAX(BG24,0.0001)),DATOS!$C$141)&gt;=DATOS!$C$140),INDEX(TABLAS!$B$52:$B$58,MIN(MATCH(IF(ISNUMBER(S24),S24,DATOS!$C$135),TABLAS!$B$52:$B$58,0)+2,7)),IF(AND(BG24&gt;0,FLOOR(MIN(BD24,100*INDEX(TABLAS!$D$52:$D$58,MIN(MATCH(IF(ISNUMBER(S24),S24,DATOS!$C$135),TABLAS!$B$52:$B$58,0)+3,7))/MAX(BG24,0.0001)),DATOS!$C$141)&gt;=DATOS!$C$140),INDEX(TABLAS!$B$52:$B$58,MIN(MATCH(IF(ISNUMBER(S24),S24,DATOS!$C$135),TABLAS!$B$52:$B$58,0)+3,7)),IF(AND(BG24&gt;0,FLOOR(MIN(BD24,100*INDEX(TABLAS!$D$52:$D$58,MIN(MATCH(IF(ISNUMBER(S24),S24,DATOS!$C$135),TABLAS!$B$52:$B$58,0)+4,7))/MAX(BG24,0.0001)),DATOS!$C$141)&gt;=DATOS!$C$140),INDEX(TABLAS!$B$52:$B$58,MIN(MATCH(IF(ISNUMBER(S24),S24,DATOS!$C$135),TABLAS!$B$52:$B$58,0)+4,7)),INDEX(TABLAS!$B$52:$B$58,7)))))))</f>
        <v/>
      </c>
      <c r="BI24" s="71" t="str">
        <f>IF(V24&lt;&gt;"SÍ","",IF(BG24&lt;=0,0,FLOOR(MIN(BD24,100*INDEX(TABLAS!$D$52:$D$58,MATCH(BH24,TABLAS!$B$52:$B$58,0))/BG24),DATOS!$C$141)))</f>
        <v/>
      </c>
      <c r="BJ24" s="58" t="str">
        <f>IF(V24&lt;&gt;"SÍ","",IF(BI24&lt;=0,0,INDEX(TABLAS!$D$52:$D$58,MATCH(BH24,TABLAS!$B$52:$B$58,0))*100/BI24))</f>
        <v/>
      </c>
      <c r="BK24" s="58" t="str">
        <f>IF(V24&lt;&gt;"SÍ","",W24-AE24-INDEX(TABLAS!$C$52:$C$58,MATCH(BH24,TABLAS!$B$52:$B$58,0))/2)</f>
        <v/>
      </c>
      <c r="BL24" s="56" t="str">
        <f>IF(V24&lt;&gt;"SÍ","",IF(BJ24=0,0,DATOS!$C$29*BJ24*DATOS!$C$14*(BK24-BJ24*DATOS!$C$14/(DATOS!$C$21*100)/2)/1E5))</f>
        <v/>
      </c>
      <c r="BM24" s="65" t="str">
        <f>IF(V24&lt;&gt;"SÍ","",IF(BG24&lt;0,9.99,IF(BL24&gt;0,AX24/BL24,0)))</f>
        <v/>
      </c>
      <c r="BN24" s="66" t="str">
        <f>IF(V24&lt;&gt;"SÍ","",IF(BJ24=0,"—",0.003*(BK24-(BJ24*DATOS!$C$14/(DATOS!$C$21*100)/DATOS!$C$22))/(BJ24*DATOS!$C$14/(DATOS!$C$21*100)/DATOS!$C$22)))</f>
        <v/>
      </c>
      <c r="BO24" s="58" t="str">
        <f>IF(V24&lt;&gt;"SÍ","",((W24-AF24-INDEX(TABLAS!$C$52:$C$58,MATCH(IF(ISNUMBER(S24),S24,DATOS!$C$135),TABLAS!$B$52:$B$58,0))/2)-IF(AND((W24-AF24-INDEX(TABLAS!$C$52:$C$58,MATCH(IF(ISNUMBER(S24),S24,DATOS!$C$135),TABLAS!$B$52:$B$58,0))/2)&lt;=20,DATOS!$C$62&lt;&gt;"SÍ"),2,0)))</f>
        <v/>
      </c>
      <c r="BP24" s="58" t="str">
        <f>IF(V24&lt;&gt;"SÍ","",IF(AY24&lt;=0,0,IF((1-2*AY24*1E5/(DATOS!$C$29*100*BO24^2*DATOS!$C$21))&lt;0,-1,IF((1-SQRT((1-2*AY24*1E5/(DATOS!$C$29*100*BO24^2*DATOS!$C$21))))*DATOS!$C$21*100*BO24/DATOS!$C$14&gt;DATOS!$C$99*100*BO24,-1,(1-SQRT((1-2*AY24*1E5/(DATOS!$C$29*100*BO24^2*DATOS!$C$21))))*DATOS!$C$21*100*BO24/DATOS!$C$14))))</f>
        <v/>
      </c>
      <c r="BQ24" s="58" t="str">
        <f>IF(V24&lt;&gt;"SÍ","",IF(BP24&lt;0,-1,MAX(BP24,BC24)))</f>
        <v/>
      </c>
      <c r="BR24" s="64" t="str">
        <f>IF(V24&lt;&gt;"SÍ","",IF(AND(BQ24&gt;0,FLOOR(MIN(BD24,100*INDEX(TABLAS!$D$52:$D$58,MIN(MATCH(IF(ISNUMBER(S24),S24,DATOS!$C$135),TABLAS!$B$52:$B$58,0)+0,7))/MAX(BQ24,0.0001)),DATOS!$C$141)&gt;=DATOS!$C$140),INDEX(TABLAS!$B$52:$B$58,MIN(MATCH(IF(ISNUMBER(S24),S24,DATOS!$C$135),TABLAS!$B$52:$B$58,0)+0,7)),IF(AND(BQ24&gt;0,FLOOR(MIN(BD24,100*INDEX(TABLAS!$D$52:$D$58,MIN(MATCH(IF(ISNUMBER(S24),S24,DATOS!$C$135),TABLAS!$B$52:$B$58,0)+1,7))/MAX(BQ24,0.0001)),DATOS!$C$141)&gt;=DATOS!$C$140),INDEX(TABLAS!$B$52:$B$58,MIN(MATCH(IF(ISNUMBER(S24),S24,DATOS!$C$135),TABLAS!$B$52:$B$58,0)+1,7)),IF(AND(BQ24&gt;0,FLOOR(MIN(BD24,100*INDEX(TABLAS!$D$52:$D$58,MIN(MATCH(IF(ISNUMBER(S24),S24,DATOS!$C$135),TABLAS!$B$52:$B$58,0)+2,7))/MAX(BQ24,0.0001)),DATOS!$C$141)&gt;=DATOS!$C$140),INDEX(TABLAS!$B$52:$B$58,MIN(MATCH(IF(ISNUMBER(S24),S24,DATOS!$C$135),TABLAS!$B$52:$B$58,0)+2,7)),IF(AND(BQ24&gt;0,FLOOR(MIN(BD24,100*INDEX(TABLAS!$D$52:$D$58,MIN(MATCH(IF(ISNUMBER(S24),S24,DATOS!$C$135),TABLAS!$B$52:$B$58,0)+3,7))/MAX(BQ24,0.0001)),DATOS!$C$141)&gt;=DATOS!$C$140),INDEX(TABLAS!$B$52:$B$58,MIN(MATCH(IF(ISNUMBER(S24),S24,DATOS!$C$135),TABLAS!$B$52:$B$58,0)+3,7)),IF(AND(BQ24&gt;0,FLOOR(MIN(BD24,100*INDEX(TABLAS!$D$52:$D$58,MIN(MATCH(IF(ISNUMBER(S24),S24,DATOS!$C$135),TABLAS!$B$52:$B$58,0)+4,7))/MAX(BQ24,0.0001)),DATOS!$C$141)&gt;=DATOS!$C$140),INDEX(TABLAS!$B$52:$B$58,MIN(MATCH(IF(ISNUMBER(S24),S24,DATOS!$C$135),TABLAS!$B$52:$B$58,0)+4,7)),INDEX(TABLAS!$B$52:$B$58,7)))))))</f>
        <v/>
      </c>
      <c r="BS24" s="71" t="str">
        <f>IF(V24&lt;&gt;"SÍ","",IF(BQ24&lt;=0,0,FLOOR(MIN(BD24,100*INDEX(TABLAS!$D$52:$D$58,MATCH(BR24,TABLAS!$B$52:$B$58,0))/BQ24),DATOS!$C$141)))</f>
        <v/>
      </c>
      <c r="BT24" s="58" t="str">
        <f>IF(V24&lt;&gt;"SÍ","",IF(BS24&lt;=0,0,INDEX(TABLAS!$D$52:$D$58,MATCH(BR24,TABLAS!$B$52:$B$58,0))*100/BS24))</f>
        <v/>
      </c>
      <c r="BU24" s="58" t="str">
        <f>IF(V24&lt;&gt;"SÍ","",((W24-AF24-INDEX(TABLAS!$C$52:$C$58,MATCH(BR24,TABLAS!$B$52:$B$58,0))/2)-IF(AND((W24-AF24-INDEX(TABLAS!$C$52:$C$58,MATCH(BR24,TABLAS!$B$52:$B$58,0))/2)&lt;=20,DATOS!$C$62&lt;&gt;"SÍ"),2,0)))</f>
        <v/>
      </c>
      <c r="BV24" s="56" t="str">
        <f>IF(V24&lt;&gt;"SÍ","",IF(BT24=0,0,DATOS!$C$29*BT24*DATOS!$C$14*(BU24-BT24*DATOS!$C$14/(DATOS!$C$21*100)/2)/1E5))</f>
        <v/>
      </c>
      <c r="BW24" s="65" t="str">
        <f>IF(V24&lt;&gt;"SÍ","",IF(BQ24&lt;0,9.99,IF(BV24&gt;0,AY24/BV24,0)))</f>
        <v/>
      </c>
      <c r="BX24" s="66" t="str">
        <f>IF(V24&lt;&gt;"SÍ","",IF(BT24=0,"—",0.003*(BU24-(BT24*DATOS!$C$14/(DATOS!$C$21*100)/DATOS!$C$22))/(BT24*DATOS!$C$14/(DATOS!$C$21*100)/DATOS!$C$22)))</f>
        <v/>
      </c>
      <c r="BY24" s="58" t="str">
        <f>IF(V24&lt;&gt;"SÍ","",(W24-AE24-1.5*INDEX(TABLAS!$C$52:$C$58,MATCH(IF(ISNUMBER(S24),S24,DATOS!$C$135),TABLAS!$B$52:$B$58,0))))</f>
        <v/>
      </c>
      <c r="BZ24" s="58" t="str">
        <f>IF(V24&lt;&gt;"SÍ","",IF(AZ24&lt;=0,0,IF((1-2*AZ24*1E5/(DATOS!$C$29*100*BY24^2*DATOS!$C$21))&lt;0,-1,IF((1-SQRT((1-2*AZ24*1E5/(DATOS!$C$29*100*BY24^2*DATOS!$C$21))))*DATOS!$C$21*100*BY24/DATOS!$C$14&gt;DATOS!$C$99*100*BY24,-1,(1-SQRT((1-2*AZ24*1E5/(DATOS!$C$29*100*BY24^2*DATOS!$C$21))))*DATOS!$C$21*100*BY24/DATOS!$C$14))))</f>
        <v/>
      </c>
      <c r="CA24" s="58" t="str">
        <f>IF(V24&lt;&gt;"SÍ","",IF(BZ24&lt;0,-1,MAX(BZ24,BC24)))</f>
        <v/>
      </c>
      <c r="CB24" s="64" t="str">
        <f>IF(V24&lt;&gt;"SÍ","",IF(AND(CA24&gt;0,FLOOR(MIN(BD24,100*INDEX(TABLAS!$D$52:$D$58,MIN(MATCH(IF(ISNUMBER(S24),S24,DATOS!$C$135),TABLAS!$B$52:$B$58,0)+0,7))/MAX(CA24,0.0001)),DATOS!$C$141)&gt;=DATOS!$C$140),INDEX(TABLAS!$B$52:$B$58,MIN(MATCH(IF(ISNUMBER(S24),S24,DATOS!$C$135),TABLAS!$B$52:$B$58,0)+0,7)),IF(AND(CA24&gt;0,FLOOR(MIN(BD24,100*INDEX(TABLAS!$D$52:$D$58,MIN(MATCH(IF(ISNUMBER(S24),S24,DATOS!$C$135),TABLAS!$B$52:$B$58,0)+1,7))/MAX(CA24,0.0001)),DATOS!$C$141)&gt;=DATOS!$C$140),INDEX(TABLAS!$B$52:$B$58,MIN(MATCH(IF(ISNUMBER(S24),S24,DATOS!$C$135),TABLAS!$B$52:$B$58,0)+1,7)),IF(AND(CA24&gt;0,FLOOR(MIN(BD24,100*INDEX(TABLAS!$D$52:$D$58,MIN(MATCH(IF(ISNUMBER(S24),S24,DATOS!$C$135),TABLAS!$B$52:$B$58,0)+2,7))/MAX(CA24,0.0001)),DATOS!$C$141)&gt;=DATOS!$C$140),INDEX(TABLAS!$B$52:$B$58,MIN(MATCH(IF(ISNUMBER(S24),S24,DATOS!$C$135),TABLAS!$B$52:$B$58,0)+2,7)),IF(AND(CA24&gt;0,FLOOR(MIN(BD24,100*INDEX(TABLAS!$D$52:$D$58,MIN(MATCH(IF(ISNUMBER(S24),S24,DATOS!$C$135),TABLAS!$B$52:$B$58,0)+3,7))/MAX(CA24,0.0001)),DATOS!$C$141)&gt;=DATOS!$C$140),INDEX(TABLAS!$B$52:$B$58,MIN(MATCH(IF(ISNUMBER(S24),S24,DATOS!$C$135),TABLAS!$B$52:$B$58,0)+3,7)),IF(AND(CA24&gt;0,FLOOR(MIN(BD24,100*INDEX(TABLAS!$D$52:$D$58,MIN(MATCH(IF(ISNUMBER(S24),S24,DATOS!$C$135),TABLAS!$B$52:$B$58,0)+4,7))/MAX(CA24,0.0001)),DATOS!$C$141)&gt;=DATOS!$C$140),INDEX(TABLAS!$B$52:$B$58,MIN(MATCH(IF(ISNUMBER(S24),S24,DATOS!$C$135),TABLAS!$B$52:$B$58,0)+4,7)),INDEX(TABLAS!$B$52:$B$58,7)))))))</f>
        <v/>
      </c>
      <c r="CC24" s="71" t="str">
        <f>IF(V24&lt;&gt;"SÍ","",IF(CA24&lt;=0,0,FLOOR(MIN(BD24,100*INDEX(TABLAS!$D$52:$D$58,MATCH(CB24,TABLAS!$B$52:$B$58,0))/CA24),DATOS!$C$141)))</f>
        <v/>
      </c>
      <c r="CD24" s="58" t="str">
        <f>IF(V24&lt;&gt;"SÍ","",IF(CC24&lt;=0,0,INDEX(TABLAS!$D$52:$D$58,MATCH(CB24,TABLAS!$B$52:$B$58,0))*100/CC24))</f>
        <v/>
      </c>
      <c r="CE24" s="58" t="str">
        <f>IF(V24&lt;&gt;"SÍ","",W24-AE24-INDEX(TABLAS!$C$52:$C$58,MATCH(BH24,TABLAS!$B$52:$B$58,0))-INDEX(TABLAS!$C$52:$C$58,MATCH(CB24,TABLAS!$B$52:$B$58,0))/2)</f>
        <v/>
      </c>
      <c r="CF24" s="56" t="str">
        <f>IF(V24&lt;&gt;"SÍ","",IF(CD24=0,0,DATOS!$C$29*CD24*DATOS!$C$14*(CE24-CD24*DATOS!$C$14/(DATOS!$C$21*100)/2)/1E5))</f>
        <v/>
      </c>
      <c r="CG24" s="65" t="str">
        <f>IF(V24&lt;&gt;"SÍ","",IF(CA24&lt;0,9.99,IF(CF24&gt;0,AZ24/CF24,0)))</f>
        <v/>
      </c>
      <c r="CH24" s="66" t="str">
        <f>IF(V24&lt;&gt;"SÍ","",IF(CD24=0,"—",0.003*(CE24-(CD24*DATOS!$C$14/(DATOS!$C$21*100)/DATOS!$C$22))/(CD24*DATOS!$C$14/(DATOS!$C$21*100)/DATOS!$C$22)))</f>
        <v/>
      </c>
      <c r="CI24" s="58" t="str">
        <f>IF(V24&lt;&gt;"SÍ","",((W24-AF24-1.5*INDEX(TABLAS!$C$52:$C$58,MATCH(IF(ISNUMBER(S24),S24,DATOS!$C$135),TABLAS!$B$52:$B$58,0)))-IF(AND((W24-AF24-1.5*INDEX(TABLAS!$C$52:$C$58,MATCH(IF(ISNUMBER(S24),S24,DATOS!$C$135),TABLAS!$B$52:$B$58,0)))&lt;=20,DATOS!$C$62&lt;&gt;"SÍ"),2,0)))</f>
        <v/>
      </c>
      <c r="CJ24" s="58" t="str">
        <f>IF(V24&lt;&gt;"SÍ","",IF(BA24&lt;=0,0,IF((1-2*BA24*1E5/(DATOS!$C$29*100*CI24^2*DATOS!$C$21))&lt;0,-1,IF((1-SQRT((1-2*BA24*1E5/(DATOS!$C$29*100*CI24^2*DATOS!$C$21))))*DATOS!$C$21*100*CI24/DATOS!$C$14&gt;DATOS!$C$99*100*CI24,-1,(1-SQRT((1-2*BA24*1E5/(DATOS!$C$29*100*CI24^2*DATOS!$C$21))))*DATOS!$C$21*100*CI24/DATOS!$C$14))))</f>
        <v/>
      </c>
      <c r="CK24" s="58" t="str">
        <f>IF(V24&lt;&gt;"SÍ","",IF(CJ24&lt;0,-1,MAX(CJ24,BC24)))</f>
        <v/>
      </c>
      <c r="CL24" s="64" t="str">
        <f>IF(V24&lt;&gt;"SÍ","",IF(AND(CK24&gt;0,FLOOR(MIN(BD24,100*INDEX(TABLAS!$D$52:$D$58,MIN(MATCH(IF(ISNUMBER(S24),S24,DATOS!$C$135),TABLAS!$B$52:$B$58,0)+0,7))/MAX(CK24,0.0001)),DATOS!$C$141)&gt;=DATOS!$C$140),INDEX(TABLAS!$B$52:$B$58,MIN(MATCH(IF(ISNUMBER(S24),S24,DATOS!$C$135),TABLAS!$B$52:$B$58,0)+0,7)),IF(AND(CK24&gt;0,FLOOR(MIN(BD24,100*INDEX(TABLAS!$D$52:$D$58,MIN(MATCH(IF(ISNUMBER(S24),S24,DATOS!$C$135),TABLAS!$B$52:$B$58,0)+1,7))/MAX(CK24,0.0001)),DATOS!$C$141)&gt;=DATOS!$C$140),INDEX(TABLAS!$B$52:$B$58,MIN(MATCH(IF(ISNUMBER(S24),S24,DATOS!$C$135),TABLAS!$B$52:$B$58,0)+1,7)),IF(AND(CK24&gt;0,FLOOR(MIN(BD24,100*INDEX(TABLAS!$D$52:$D$58,MIN(MATCH(IF(ISNUMBER(S24),S24,DATOS!$C$135),TABLAS!$B$52:$B$58,0)+2,7))/MAX(CK24,0.0001)),DATOS!$C$141)&gt;=DATOS!$C$140),INDEX(TABLAS!$B$52:$B$58,MIN(MATCH(IF(ISNUMBER(S24),S24,DATOS!$C$135),TABLAS!$B$52:$B$58,0)+2,7)),IF(AND(CK24&gt;0,FLOOR(MIN(BD24,100*INDEX(TABLAS!$D$52:$D$58,MIN(MATCH(IF(ISNUMBER(S24),S24,DATOS!$C$135),TABLAS!$B$52:$B$58,0)+3,7))/MAX(CK24,0.0001)),DATOS!$C$141)&gt;=DATOS!$C$140),INDEX(TABLAS!$B$52:$B$58,MIN(MATCH(IF(ISNUMBER(S24),S24,DATOS!$C$135),TABLAS!$B$52:$B$58,0)+3,7)),IF(AND(CK24&gt;0,FLOOR(MIN(BD24,100*INDEX(TABLAS!$D$52:$D$58,MIN(MATCH(IF(ISNUMBER(S24),S24,DATOS!$C$135),TABLAS!$B$52:$B$58,0)+4,7))/MAX(CK24,0.0001)),DATOS!$C$141)&gt;=DATOS!$C$140),INDEX(TABLAS!$B$52:$B$58,MIN(MATCH(IF(ISNUMBER(S24),S24,DATOS!$C$135),TABLAS!$B$52:$B$58,0)+4,7)),INDEX(TABLAS!$B$52:$B$58,7)))))))</f>
        <v/>
      </c>
      <c r="CM24" s="71" t="str">
        <f>IF(V24&lt;&gt;"SÍ","",IF(CK24&lt;=0,0,FLOOR(MIN(BD24,100*INDEX(TABLAS!$D$52:$D$58,MATCH(CL24,TABLAS!$B$52:$B$58,0))/CK24),DATOS!$C$141)))</f>
        <v/>
      </c>
      <c r="CN24" s="58" t="str">
        <f>IF(V24&lt;&gt;"SÍ","",IF(CM24&lt;=0,0,INDEX(TABLAS!$D$52:$D$58,MATCH(CL24,TABLAS!$B$52:$B$58,0))*100/CM24))</f>
        <v/>
      </c>
      <c r="CO24" s="58" t="str">
        <f>IF(V24&lt;&gt;"SÍ","",((W24-AF24-INDEX(TABLAS!$C$52:$C$58,MATCH(BR24,TABLAS!$B$52:$B$58,0))-INDEX(TABLAS!$C$52:$C$58,MATCH(CL24,TABLAS!$B$52:$B$58,0))/2)-IF(AND((W24-AF24-INDEX(TABLAS!$C$52:$C$58,MATCH(BR24,TABLAS!$B$52:$B$58,0))-INDEX(TABLAS!$C$52:$C$58,MATCH(CL24,TABLAS!$B$52:$B$58,0))/2)&lt;=20,DATOS!$C$62&lt;&gt;"SÍ"),2,0)))</f>
        <v/>
      </c>
      <c r="CP24" s="56" t="str">
        <f>IF(V24&lt;&gt;"SÍ","",IF(CN24=0,0,DATOS!$C$29*CN24*DATOS!$C$14*(CO24-CN24*DATOS!$C$14/(DATOS!$C$21*100)/2)/1E5))</f>
        <v/>
      </c>
      <c r="CQ24" s="65" t="str">
        <f>IF(V24&lt;&gt;"SÍ","",IF(CK24&lt;0,9.99,IF(CP24&gt;0,BA24/CP24,0)))</f>
        <v/>
      </c>
      <c r="CR24" s="66" t="str">
        <f>IF(V24&lt;&gt;"SÍ","",IF(CN24=0,"—",0.003*(CO24-(CN24*DATOS!$C$14/(DATOS!$C$21*100)/DATOS!$C$22))/(CN24*DATOS!$C$14/(DATOS!$C$21*100)/DATOS!$C$22)))</f>
        <v/>
      </c>
      <c r="CS24" s="56" t="str">
        <f>IF(V24&lt;&gt;"SÍ","",IF(C24="PERIMETRAL",MAX(0,(AC24/2-BU24)/100)*(0.95-0.5*AB24)*AK24*IF(AND(AL24&gt;0,AL24&lt;4),DATOS!$C$33,1)/1000,(AK24*MAX(0,AC24-BU24)/100+DATOS!$C$26*N(P24))/1000))</f>
        <v/>
      </c>
      <c r="CT24" s="66" t="str">
        <f>IF(V24&lt;&gt;"SÍ","",BT24/(100*BU24))</f>
        <v/>
      </c>
      <c r="CU24" s="56" t="str">
        <f>IF(V24&lt;&gt;"SÍ","",DATOS!$C$30*2*MIN(1,SQRT(2/(1+0.04*BU24)))*CT24^(1/3)*SQRT(DATOS!$C$13)*100*BU24/1000)</f>
        <v/>
      </c>
      <c r="CV24" s="67" t="str">
        <f>IF(V24&lt;&gt;"SÍ","",IF(CS24&lt;=CU24,"CUMPLE","NO CUMPLE: sube h"))</f>
        <v/>
      </c>
      <c r="CW24" s="58" t="str">
        <f>IF(V24&lt;&gt;"SÍ","",IF(C24="PERIMETRAL",IF(ISNUMBER(R24),R24,DATOS!$C$101),0))</f>
        <v/>
      </c>
      <c r="CX24" s="57" t="str">
        <f>IF(V24&lt;&gt;"SÍ","",IF(C24="PERIMETRAL",IF(CW24&gt;2,MAX(9,AD24*(0.8+DATOS!$C$14/14000)/(36+9*(AD24/MAX(AC24,1)))),IF(CW24&gt;0.2,MAX(13,AD24*(0.8+DATOS!$C$14/14000)/(36+5*(AD24/MAX(AC24,1))*(CW24-0.2))),MAX(13,AD24/IF(AL24&gt;0,30,33))))*IF(AND(CW24&gt;0.2,AL24&gt;0,DATOS!$C$102="NO"),1.1,1),Z24*100/DATOS!$C$142))</f>
        <v/>
      </c>
      <c r="CY24" s="61" t="str">
        <f>IF(V24&lt;&gt;"SÍ","",IF(W24&gt;=CX24-0.001,"CUMPLE",IF(C24="VOLADO","NO CUMPLE","CALCULAR FLECHA")))</f>
        <v/>
      </c>
      <c r="CZ24" s="60" t="str">
        <f>IF(V24&lt;&gt;"SÍ","",IF(C24="VOLADO",MIN(CEILING(IF(ISNUMBER(Q24),Q24,Z24)*100,5),CEILING(MAX(IF((0.5*(0.9*W24/100*DATOS!$C$16)*IF(ISNUMBER(Q24),Q24,Z24)+AY24/IF(ISNUMBER(Q24),Q24,Z24))^2-4*(0.5*(0.9*W24/100*DATOS!$C$16))*AY24&lt;0,IF(ISNUMBER(Q24),Q24,Z24),MIN(IF(ISNUMBER(Q24),Q24,Z24),((0.5*(0.9*W24/100*DATOS!$C$16)*IF(ISNUMBER(Q24),Q24,Z24)+AY24/IF(ISNUMBER(Q24),Q24,Z24))-SQRT((0.5*(0.9*W24/100*DATOS!$C$16)*IF(ISNUMBER(Q24),Q24,Z24)+AY24/IF(ISNUMBER(Q24),Q24,Z24))^2-4*(0.5*(0.9*W24/100*DATOS!$C$16))*AY24))/(2*(0.5*(0.9*W24/100*DATOS!$C$16)))))*100+MAX(BU24,12*INDEX(TABLAS!$C$52:$C$58,MATCH(BR24,TABLAS!$B$52:$B$58,0)),IF(ISNUMBER(Q24),Q24,Z24)*100/16),IF(OR(AF24&lt;INDEX(TABLAS!$C$52:$C$58,MATCH(BR24,TABLAS!$B$52:$B$58,0)),BS24-INDEX(TABLAS!$C$52:$C$58,MATCH(BR24,TABLAS!$B$52:$B$58,0))&lt;2*INDEX(TABLAS!$C$52:$C$58,MATCH(BR24,TABLAS!$B$52:$B$58,0))),INDEX(TABLAS!$I$52:$I$58,MATCH(BR24,TABLAS!$B$52:$B$58,0)),INDEX(TABLAS!$F$52:$F$58,MATCH(BR24,TABLAS!$B$52:$B$58,0)))),5)),IF(((4*((AV24*AK24*Z24^2*1E-4/1000)+((MAX(AR24,AT24)*AK24*Z24^2*1E-4/1000)+(IF(AND(AR24&gt;0,AT24&gt;0),MIN(AR24,AT24),MAX(AR24,AT24))*AK24*Z24^2*1E-4/1000))/2)+AY24-(IF(AND(AR24&gt;0,AT24&gt;0),MIN(AR24,AT24),MAX(AR24,AT24))*AK24*Z24^2*1E-4/1000))^2-16*((AV24*AK24*Z24^2*1E-4/1000)+((MAX(AR24,AT24)*AK24*Z24^2*1E-4/1000)+(IF(AND(AR24&gt;0,AT24&gt;0),MIN(AR24,AT24),MAX(AR24,AT24))*AK24*Z24^2*1E-4/1000))/2)*AY24)&lt;0,CEILING(AC24,5),CEILING(MAX(AC24*((4*((AV24*AK24*Z24^2*1E-4/1000)+((MAX(AR24,AT24)*AK24*Z24^2*1E-4/1000)+(IF(AND(AR24&gt;0,AT24&gt;0),MIN(AR24,AT24),MAX(AR24,AT24))*AK24*Z24^2*1E-4/1000))/2)+AY24-(IF(AND(AR24&gt;0,AT24&gt;0),MIN(AR24,AT24),MAX(AR24,AT24))*AK24*Z24^2*1E-4/1000))-SQRT(MAX(0,((4*((AV24*AK24*Z24^2*1E-4/1000)+((MAX(AR24,AT24)*AK24*Z24^2*1E-4/1000)+(IF(AND(AR24&gt;0,AT24&gt;0),MIN(AR24,AT24),MAX(AR24,AT24))*AK24*Z24^2*1E-4/1000))/2)+AY24-(IF(AND(AR24&gt;0,AT24&gt;0),MIN(AR24,AT24),MAX(AR24,AT24))*AK24*Z24^2*1E-4/1000))^2-16*((AV24*AK24*Z24^2*1E-4/1000)+((MAX(AR24,AT24)*AK24*Z24^2*1E-4/1000)+(IF(AND(AR24&gt;0,AT24&gt;0),MIN(AR24,AT24),MAX(AR24,AT24))*AK24*Z24^2*1E-4/1000))/2)*AY24))))/(8*MAX(((AV24*AK24*Z24^2*1E-4/1000)+((MAX(AR24,AT24)*AK24*Z24^2*1E-4/1000)+(IF(AND(AR24&gt;0,AT24&gt;0),MIN(AR24,AT24),MAX(AR24,AT24))*AK24*Z24^2*1E-4/1000))/2),1E-9))+MAX(BU24,12*INDEX(TABLAS!$C$52:$C$58,MATCH(BR24,TABLAS!$B$52:$B$58,0)),AC24/16),IF(OR(AF24&lt;INDEX(TABLAS!$C$52:$C$58,MATCH(BR24,TABLAS!$B$52:$B$58,0)),BS24-INDEX(TABLAS!$C$52:$C$58,MATCH(BR24,TABLAS!$B$52:$B$58,0))&lt;2*INDEX(TABLAS!$C$52:$C$58,MATCH(BR24,TABLAS!$B$52:$B$58,0))),INDEX(TABLAS!$I$52:$I$58,MATCH(BR24,TABLAS!$B$52:$B$58,0)),INDEX(TABLAS!$F$52:$F$58,MATCH(BR24,TABLAS!$B$52:$B$58,0)))),5))))</f>
        <v/>
      </c>
      <c r="DA24" s="60" t="str">
        <f>IF(V24&lt;&gt;"SÍ","",IF(C24="VOLADO",0,IF(((4*((AW24*AK24*Z24^2*1E-4/1000)+((MAX(AS24,AU24)*AK24*Z24^2*1E-4/1000)+(IF(AND(AS24&gt;0,AU24&gt;0),MIN(AS24,AU24),MAX(AS24,AU24))*AK24*Z24^2*1E-4/1000))/2)+BA24-(IF(AND(AS24&gt;0,AU24&gt;0),MIN(AS24,AU24),MAX(AS24,AU24))*AK24*Z24^2*1E-4/1000))^2-16*((AW24*AK24*Z24^2*1E-4/1000)+((MAX(AS24,AU24)*AK24*Z24^2*1E-4/1000)+(IF(AND(AS24&gt;0,AU24&gt;0),MIN(AS24,AU24),MAX(AS24,AU24))*AK24*Z24^2*1E-4/1000))/2)*BA24)&lt;0,CEILING(AD24,5),CEILING(MAX(AD24*((4*((AW24*AK24*Z24^2*1E-4/1000)+((MAX(AS24,AU24)*AK24*Z24^2*1E-4/1000)+(IF(AND(AS24&gt;0,AU24&gt;0),MIN(AS24,AU24),MAX(AS24,AU24))*AK24*Z24^2*1E-4/1000))/2)+BA24-(IF(AND(AS24&gt;0,AU24&gt;0),MIN(AS24,AU24),MAX(AS24,AU24))*AK24*Z24^2*1E-4/1000))-SQRT(MAX(0,((4*((AW24*AK24*Z24^2*1E-4/1000)+((MAX(AS24,AU24)*AK24*Z24^2*1E-4/1000)+(IF(AND(AS24&gt;0,AU24&gt;0),MIN(AS24,AU24),MAX(AS24,AU24))*AK24*Z24^2*1E-4/1000))/2)+BA24-(IF(AND(AS24&gt;0,AU24&gt;0),MIN(AS24,AU24),MAX(AS24,AU24))*AK24*Z24^2*1E-4/1000))^2-16*((AW24*AK24*Z24^2*1E-4/1000)+((MAX(AS24,AU24)*AK24*Z24^2*1E-4/1000)+(IF(AND(AS24&gt;0,AU24&gt;0),MIN(AS24,AU24),MAX(AS24,AU24))*AK24*Z24^2*1E-4/1000))/2)*BA24))))/(8*MAX(((AW24*AK24*Z24^2*1E-4/1000)+((MAX(AS24,AU24)*AK24*Z24^2*1E-4/1000)+(IF(AND(AS24&gt;0,AU24&gt;0),MIN(AS24,AU24),MAX(AS24,AU24))*AK24*Z24^2*1E-4/1000))/2),1E-9))+MAX(CO24,12*INDEX(TABLAS!$C$52:$C$58,MATCH(CL24,TABLAS!$B$52:$B$58,0)),AD24/16),IF(OR(AF24&lt;INDEX(TABLAS!$C$52:$C$58,MATCH(CL24,TABLAS!$B$52:$B$58,0)),CM24-INDEX(TABLAS!$C$52:$C$58,MATCH(CL24,TABLAS!$B$52:$B$58,0))&lt;2*INDEX(TABLAS!$C$52:$C$58,MATCH(CL24,TABLAS!$B$52:$B$58,0))),INDEX(TABLAS!$I$52:$I$58,MATCH(CL24,TABLAS!$B$52:$B$58,0)),INDEX(TABLAS!$F$52:$F$58,MATCH(CL24,TABLAS!$B$52:$B$58,0)))),5))))</f>
        <v/>
      </c>
      <c r="DB24" s="55" t="str">
        <f>IF(V24&lt;&gt;"SÍ","",IF(AND(C24="PERIMETRAL",AL24-AM24&gt;0,AT24&gt;0),"SÍ","NO"))</f>
        <v/>
      </c>
      <c r="DC24" s="55" t="str">
        <f>IF(V24&lt;&gt;"SÍ","",IF(AND(C24="PERIMETRAL",AM24&gt;0,AU24&gt;0),"SÍ","NO"))</f>
        <v/>
      </c>
      <c r="DD24" s="63" t="str">
        <f>IF(V24&lt;&gt;"SÍ","",IF(OR(C24="VOLADO",AL24=0),"—",IF(AND(AND(INDEX(TABLAS!$G$52:$G$58,MATCH(MAX(BR24,CL24),TABLAS!$B$52:$B$58,0))&lt;=(DATOS!$C$72-DATOS!$C$60),(DATOS!$C$72-DATOS!$C$60)&gt;=15),8*INDEX(TABLAS!$C$52:$C$58,MATCH(MAX(BH24,CB24,BR24,CL24),TABLAS!$B$52:$B$58,0))&lt;=DATOS!$C$73-2*DATOS!$C$60),"CUMPLE (gancho de 180°)",IF(AND(INDEX(TABLAS!$G$52:$G$58,MATCH(MAX(BR24,CL24),TABLAS!$B$52:$B$58,0))&lt;=(DATOS!$C$72-DATOS!$C$60),(DATOS!$C$72-DATOS!$C$60)&gt;=15),"NO CUMPLE: el gancho de 180° (8·d_b) no cabe en el peralte de la dala de borde","NO CUMPLE: dala de borde ≥ "&amp;TEXT(CEILING(MAX(INDEX(TABLAS!$G$52:$G$58,MATCH(MAX(BR24,CL24),TABLAS!$B$52:$B$58,0)),15)+DATOS!$C$60,5),"0")&amp;" cm de ancho"&amp;IF(8*INDEX(TABLAS!$C$52:$C$58,MATCH(MAX(BH24,CB24,BR24,CL24),TABLAS!$B$52:$B$58,0))&lt;=DATOS!$C$73-2*DATOS!$C$60,""," y más peralte para el gancho")))))</f>
        <v/>
      </c>
      <c r="DE24" s="69" t="str">
        <f>IF(V24&lt;&gt;"SÍ","",IF(BI24=0,"NO ALCANZA","No. "&amp;BH24&amp;" @ "&amp;BI24&amp;" cm"&amp;IF(C24="VOLADO"," (temperatura)","")))</f>
        <v/>
      </c>
      <c r="DF24" s="69" t="str">
        <f>IF(V24&lt;&gt;"SÍ","",IF(BS24=0,"NO ALCANZA",IF(C24="VOLADO","No. "&amp;BR24&amp;" @ "&amp;BS24&amp;" cm"&amp;" de la orilla al respaldo ("&amp;IF(CZ24&gt;=100*IF(ISNUMBER(Q24),Q24,Z24),"hasta su apoyo lejano, con gancho","entran "&amp;TEXT(CZ24/100,"0.00")&amp;" m desde el paño")&amp;")","Bastones "&amp;"No. "&amp;BR24&amp;" @ "&amp;BS24&amp;" cm"&amp;", L = "&amp;TEXT(CZ24/100,"0.00")&amp;" m desde el paño")))</f>
        <v/>
      </c>
      <c r="DG24" s="69" t="str">
        <f>IF(V24&lt;&gt;"SÍ","",IF(CC24=0,"NO ALCANZA","No. "&amp;CB24&amp;" @ "&amp;CC24&amp;" cm"&amp;IF(C24="VOLADO"," (repartición)","")))</f>
        <v/>
      </c>
      <c r="DH24" s="69" t="str">
        <f>IF(V24&lt;&gt;"SÍ","",IF(CM24=0,"NO ALCANZA",IF(C24="VOLADO","No. "&amp;CL24&amp;" @ "&amp;CM24&amp;" cm"&amp;" (repartición)","Bastones "&amp;"No. "&amp;CL24&amp;" @ "&amp;CM24&amp;" cm"&amp;", L = "&amp;TEXT(DA24/100,"0.00")&amp;" m desde el paño")))</f>
        <v/>
      </c>
      <c r="DI24" s="67" t="str">
        <f>IF(B24="","",IF(V24&lt;&gt;"SÍ","FALTAN DATOS: tipo, a_x, a_y y destino",IF(L24="NO MONOLÍTICO (caso II)","FUERA DE ALCANCE: caso II no transcrito",IF(AND(C24="VOLADO",X24="?"),"REVISAR: el volado lleva UN solo borde CONTINUO (el empotrado)",IF(AND(MAX(BM24,BW24,CG24,CQ24)&lt;=1,NOT(OR(BI24&lt;DATOS!$C$140,BS24&lt;DATOS!$C$140,CC24&lt;DATOS!$C$140,CM24&lt;DATOS!$C$140)),NOT(OR(AND(ISNUMBER(BN24),BN24&lt;0.005),AND(ISNUMBER(BX24),BX24&lt;0.005),AND(ISNUMBER(CH24),CH24&lt;0.005),AND(ISNUMBER(CR24),CR24&lt;0.005))),CV24="CUMPLE",CY24="CUMPLE"),"CUMPLE"&amp;IF(LEFT(BB24,5)="FUERA"," · fuera de 3.4.2.1 c)","")&amp;IF(LEFT(DD24,2)="NO"," · REVISAR anclaje en borde discontinuo",""),IF(AND(MAX(BM24,BW24,CG24,CQ24)&lt;=1,NOT(OR(BI24&lt;DATOS!$C$140,BS24&lt;DATOS!$C$140,CC24&lt;DATOS!$C$140,CM24&lt;DATOS!$C$140)),NOT(OR(AND(ISNUMBER(BN24),BN24&lt;0.005),AND(ISNUMBER(BX24),BX24&lt;0.005),AND(ISNUMBER(CH24),CH24&lt;0.005),AND(ISNUMBER(CR24),CR24&lt;0.005))),CV24="CUMPLE",CY24="CALCULAR FLECHA"),"REVISAR: calcular flecha (h &lt; h mín.)"&amp;IF(LEFT(BB24,5)="FUERA"," · fuera de 3.4.2.1 c)","")&amp;IF(LEFT(DD24,2)="NO"," · REVISAR anclaje en borde discontinuo",""),"NO CUMPLE: "&amp;IF(MAX(BM24,BW24,CG24,CQ24)&gt;1,"flexión ","")&amp;IF(OR(BI24&lt;DATOS!$C$140,BS24&lt;DATOS!$C$140,CC24&lt;DATOS!$C$140,CM24&lt;DATOS!$C$140),"separación &lt; mínima ","")&amp;IF(OR(AND(ISNUMBER(BN24),BN24&lt;0.005),AND(ISNUMBER(BX24),BX24&lt;0.005),AND(ISNUMBER(CH24),CH24&lt;0.005),AND(ISNUMBER(CR24),CR24&lt;0.005)),"ε_t &lt; 0.005 ","")&amp;IF(CV24&lt;&gt;"CUMPLE","cortante ","")&amp;IF(CY24="NO CUMPLE","peralte","")))))))</f>
        <v/>
      </c>
      <c r="DJ24" s="70" t="str">
        <f>IF(V24&lt;&gt;"SÍ","",IF(LEFT(B24,7)="EJEMPLO","EJEMPLO de tablero típico: bórralo o sobrescríbelo. ","")&amp;IF(C24="VOLADO","Volado de "&amp;TEXT(Z24,"0.00")&amp;" m empotrado en el borde "&amp;LOWER(X24)&amp;IF(N(P24)&gt;0,", con "&amp;TEXT(P24,"0.0")&amp;" kg/m en la orilla","")&amp;". Lecho inferior con r_ext. Si la orilla carga pretil u otro elemento frágil, calcula la flecha (13.4). El acero superior entra al respaldo de "&amp;TEXT(IF(ISNUMBER(Q24),Q24,Z24),"0.00")&amp;" m"&amp;IF(ISNUMBER(Q24),""," (L_b no capturado: se tomó igual al volado)")&amp;" hasta pasar M = 0 con 0.9·PP sin carga viva; si ahí no se anula, llega al apoyo lejano y se ancla con gancho. ","")&amp;IF(LEFT(BB24,5)="FUERA","El M⁻ del vecino difiere más de 50 % (3.4.2.1 c): distribuye el desequilibrio (3.4.3.1) o confirma con un modelo; se arma con el mayor. ","")&amp;IF(OR(DB24="SÍ",DC24="SÍ"),"Bastones también en los bordes discontinuos (M⁻ de tabla), con gancho. ","")&amp;IF(LEFT(DD24,2)="NO","Anclaje: "&amp;DD24&amp;" (6.7.7.4.1.1). ","")&amp;IF(OR(AT24&gt;0,AU24&gt;0),"Esquinas exteriores sobre muro: refuerzo de esquina arriba y abajo en L_largo/5 (6.7.7.3.1). ",""))</f>
        <v/>
      </c>
    </row>
    <row r="25" ht="33" customHeight="1">
      <c r="A25" s="50">
        <f>IF(B25="",0,1)+A24</f>
        <v>3</v>
      </c>
      <c r="B25" s="29" t="n"/>
      <c r="C25" s="51" t="n"/>
      <c r="D25" s="29" t="n"/>
      <c r="E25" s="52" t="n"/>
      <c r="F25" s="52" t="n"/>
      <c r="G25" s="51" t="n"/>
      <c r="H25" s="51" t="n"/>
      <c r="I25" s="51" t="n"/>
      <c r="J25" s="51" t="n"/>
      <c r="K25" s="51" t="n"/>
      <c r="L25" s="51" t="n"/>
      <c r="M25" s="54" t="n"/>
      <c r="N25" s="53" t="n"/>
      <c r="O25" s="53" t="n"/>
      <c r="P25" s="54" t="n"/>
      <c r="Q25" s="52" t="n"/>
      <c r="R25" s="54" t="n"/>
      <c r="S25" s="53" t="n"/>
      <c r="T25" s="52" t="n"/>
      <c r="U25" s="52" t="n"/>
      <c r="V25" s="55" t="str">
        <f>IF(B25="","",IF(AND(OR(C25="PERIMETRAL",C25="VOLADO"),ISNUMBER(E25),ISNUMBER(F25),E25&gt;0,F25&gt;0,OR(ISNUMBER(O25),ISNUMBER(MATCH(D25,DATOS!$B$46:$B$55,0)))),"SÍ","NO"))</f>
        <v/>
      </c>
      <c r="W25" s="57" t="str">
        <f>IF(V25&lt;&gt;"SÍ","",IF(ISNUMBER(M25),M25,DATOS!$C$134))</f>
        <v/>
      </c>
      <c r="X25" s="55" t="str">
        <f>IF(V25&lt;&gt;"SÍ","",IF(C25&lt;&gt;"VOLADO","—",IF(COUNTIF(G25:J25,"CONTINUO")&lt;&gt;1,"?",IF(G25="CONTINUO","INFERIOR",IF(H25="CONTINUO","SUPERIOR",IF(I25="CONTINUO","IZQUIERDO","DERECHO"))))))</f>
        <v/>
      </c>
      <c r="Y25" s="55" t="str">
        <f>IF(V25&lt;&gt;"SÍ","",IF(C25="VOLADO",IF(OR(X25="IZQUIERDO",X25="DERECHO"),"X","Y"),IF(E25&lt;=F25,"X","Y")))</f>
        <v/>
      </c>
      <c r="Z25" s="56" t="str">
        <f>IF(V25&lt;&gt;"SÍ","",IF(C25="VOLADO",IF(Y25="X",E25,F25),MIN(E25,F25)))</f>
        <v/>
      </c>
      <c r="AA25" s="56" t="str">
        <f>IF(V25&lt;&gt;"SÍ","",IF(C25="VOLADO",IF(Y25="X",F25,E25),MAX(E25,F25)))</f>
        <v/>
      </c>
      <c r="AB25" s="56" t="str">
        <f>IF(V25&lt;&gt;"SÍ","",MIN(Z25,AA25)/MAX(Z25,AA25))</f>
        <v/>
      </c>
      <c r="AC25" s="57" t="str">
        <f>IF(V25&lt;&gt;"SÍ","",MAX(1,Z25*100-IF(C25="VOLADO",DATOS!$C$84/2,DATOS!$C$84)))</f>
        <v/>
      </c>
      <c r="AD25" s="57" t="str">
        <f>IF(V25&lt;&gt;"SÍ","",MAX(1,AA25*100-DATOS!$C$84))</f>
        <v/>
      </c>
      <c r="AE25" s="57" t="str">
        <f>IF(V25&lt;&gt;"SÍ","",IF(C25="VOLADO",DATOS!$C$61,DATOS!$C$59))</f>
        <v/>
      </c>
      <c r="AF25" s="57" t="str">
        <f>IF(V25&lt;&gt;"SÍ","",IF(OR(AND(AG25="SÍ",DATOS!$C$63="SÍ"),AND(C25="VOLADO",DATOS!$C$64="SÍ")),DATOS!$C$61,DATOS!$C$59))</f>
        <v/>
      </c>
      <c r="AG25" s="55" t="str">
        <f>IF(V25&lt;&gt;"SÍ","",IFERROR(INDEX(DATOS!$D$46:$D$55,MATCH(D25,DATOS!$B$46:$B$55,0)),"NO"))</f>
        <v/>
      </c>
      <c r="AH25" s="59" t="str">
        <f>IF(V25&lt;&gt;"SÍ","",IF(ISNUMBER(O25),O25,IFERROR(INDEX(DATOS!$C$46:$C$55,MATCH(D25,DATOS!$B$46:$B$55,0)),0)))</f>
        <v/>
      </c>
      <c r="AI25" s="59" t="str">
        <f>IF(V25&lt;&gt;"SÍ","",W25/100*DATOS!$C$16*1000+DATOS!$C$37+DATOS!$C$38)</f>
        <v/>
      </c>
      <c r="AJ25" s="59" t="str">
        <f>IF(V25&lt;&gt;"SÍ","",AI25+N(N25))</f>
        <v/>
      </c>
      <c r="AK25" s="60" t="str">
        <f>IF(V25&lt;&gt;"SÍ","",MAX(DATOS!$C$26*AJ25+DATOS!$C$27*AH25,IF(AG25="SÍ",DATOS!$C$28*(AJ25+DATOS!$C$41),0)))</f>
        <v/>
      </c>
      <c r="AL25" s="59" t="str">
        <f>IF(V25&lt;&gt;"SÍ","",(G25="DISCONTINUO")+(H25="DISCONTINUO")+(I25="DISCONTINUO")+(J25="DISCONTINUO"))</f>
        <v/>
      </c>
      <c r="AM25" s="59" t="str">
        <f>IF(V25&lt;&gt;"SÍ","",IF(Y25="X",(G25="DISCONTINUO")+(H25="DISCONTINUO"),(I25="DISCONTINUO")+(J25="DISCONTINUO")))</f>
        <v/>
      </c>
      <c r="AN25" s="55" t="str">
        <f>IF(V25&lt;&gt;"SÍ","",IF(AL25=0,"INTERIOR",IF(AL25=1,IF(AM25=1,"BORDE-CORTO","BORDE-LARGO"),IF(AL25=2,IF(AM25=1,"ESQUINA",IF(AM25=2,"EXTREMO-LARGO","EXTREMO-CORTO")),IF(AL25=3,IF(AM25=2,"EXTREMO-LARGO","EXTREMO-CORTO"),"AISLADO")))))</f>
        <v/>
      </c>
      <c r="AO25" s="61" t="str">
        <f>IF(V25&lt;&gt;"SÍ","",IF(OR(K25="",K25="AUTO"),AN25,K25))</f>
        <v/>
      </c>
      <c r="AP25" s="59" t="str">
        <f>IF(V25&lt;&gt;"SÍ","",MATCH(AB25,TABLAS!$D$5:$J$5,1))</f>
        <v/>
      </c>
      <c r="AQ25" s="58" t="str">
        <f>IF(V25&lt;&gt;"SÍ","",IF(AP25&gt;=7,0,(AB25-INDEX(TABLAS!$D$5:$J$5,AP25))/(INDEX(TABLAS!$D$5:$J$5,AP25+1)-INDEX(TABLAS!$D$5:$J$5,AP25))))</f>
        <v/>
      </c>
      <c r="AR25" s="59" t="str">
        <f>IF(V25&lt;&gt;"SÍ","",INDEX(TABLAS!$D$6:$J$47,MATCH(AO25&amp;"|NIC",TABLAS!$B$6:$B$47,0),AP25)+AQ25*(INDEX(TABLAS!$D$6:$J$47,MATCH(AO25&amp;"|NIC",TABLAS!$B$6:$B$47,0),MIN(AP25+1,7))-INDEX(TABLAS!$D$6:$J$47,MATCH(AO25&amp;"|NIC",TABLAS!$B$6:$B$47,0),AP25)))</f>
        <v/>
      </c>
      <c r="AS25" s="59" t="str">
        <f>IF(V25&lt;&gt;"SÍ","",INDEX(TABLAS!$D$6:$J$47,MATCH(AO25&amp;"|NIL",TABLAS!$B$6:$B$47,0),AP25)+AQ25*(INDEX(TABLAS!$D$6:$J$47,MATCH(AO25&amp;"|NIL",TABLAS!$B$6:$B$47,0),MIN(AP25+1,7))-INDEX(TABLAS!$D$6:$J$47,MATCH(AO25&amp;"|NIL",TABLAS!$B$6:$B$47,0),AP25)))</f>
        <v/>
      </c>
      <c r="AT25" s="59" t="str">
        <f>IF(V25&lt;&gt;"SÍ","",INDEX(TABLAS!$D$6:$J$47,MATCH(AO25&amp;"|NDC",TABLAS!$B$6:$B$47,0),AP25)+AQ25*(INDEX(TABLAS!$D$6:$J$47,MATCH(AO25&amp;"|NDC",TABLAS!$B$6:$B$47,0),MIN(AP25+1,7))-INDEX(TABLAS!$D$6:$J$47,MATCH(AO25&amp;"|NDC",TABLAS!$B$6:$B$47,0),AP25)))</f>
        <v/>
      </c>
      <c r="AU25" s="59" t="str">
        <f>IF(V25&lt;&gt;"SÍ","",INDEX(TABLAS!$D$6:$J$47,MATCH(AO25&amp;"|NDL",TABLAS!$B$6:$B$47,0),AP25)+AQ25*(INDEX(TABLAS!$D$6:$J$47,MATCH(AO25&amp;"|NDL",TABLAS!$B$6:$B$47,0),MIN(AP25+1,7))-INDEX(TABLAS!$D$6:$J$47,MATCH(AO25&amp;"|NDL",TABLAS!$B$6:$B$47,0),AP25)))</f>
        <v/>
      </c>
      <c r="AV25" s="59" t="str">
        <f>IF(V25&lt;&gt;"SÍ","",INDEX(TABLAS!$D$6:$J$47,MATCH(AO25&amp;"|PC",TABLAS!$B$6:$B$47,0),AP25)+AQ25*(INDEX(TABLAS!$D$6:$J$47,MATCH(AO25&amp;"|PC",TABLAS!$B$6:$B$47,0),MIN(AP25+1,7))-INDEX(TABLAS!$D$6:$J$47,MATCH(AO25&amp;"|PC",TABLAS!$B$6:$B$47,0),AP25)))</f>
        <v/>
      </c>
      <c r="AW25" s="59" t="str">
        <f>IF(V25&lt;&gt;"SÍ","",INDEX(TABLAS!$D$6:$J$47,MATCH(AO25&amp;"|PL",TABLAS!$B$6:$B$47,0),AP25)+AQ25*(INDEX(TABLAS!$D$6:$J$47,MATCH(AO25&amp;"|PL",TABLAS!$B$6:$B$47,0),MIN(AP25+1,7))-INDEX(TABLAS!$D$6:$J$47,MATCH(AO25&amp;"|PL",TABLAS!$B$6:$B$47,0),AP25)))</f>
        <v/>
      </c>
      <c r="AX25" s="56" t="str">
        <f>IF(V25&lt;&gt;"SÍ","",IF(C25="PERIMETRAL",AV25*AK25*Z25^2*1E-4/1000,0))</f>
        <v/>
      </c>
      <c r="AY25" s="62" t="str">
        <f>IF(V25&lt;&gt;"SÍ","",IF(C25="PERIMETRAL",MAX(MAX(AR25,AT25)*AK25*Z25^2*1E-4/1000,N(T25)),(AK25*(AC25/100)^2/2+DATOS!$C$26*N(P25)*AC25/100)/1000))</f>
        <v/>
      </c>
      <c r="AZ25" s="56" t="str">
        <f>IF(V25&lt;&gt;"SÍ","",IF(C25="PERIMETRAL",AW25*AK25*Z25^2*1E-4/1000,0))</f>
        <v/>
      </c>
      <c r="BA25" s="56" t="str">
        <f>IF(V25&lt;&gt;"SÍ","",IF(C25="PERIMETRAL",MAX(MAX(AS25,AU25)*AK25*Z25^2*1E-4/1000,N(U25)),0))</f>
        <v/>
      </c>
      <c r="BB25" s="63" t="str">
        <f>IF(V25&lt;&gt;"SÍ","",IF(C25&lt;&gt;"PERIMETRAL","—",IF(AND(N(T25)=0,N(U25)=0),"— (sin M⁻ del vecino)",IF(OR(AND(N(T25)&gt;0,ABS(MAX(AR25,AT25)*AK25*Z25^2*1E-4/1000-N(T25))&gt;0.5*MIN(MAX(AR25,AT25)*AK25*Z25^2*1E-4/1000,N(T25))),AND(N(U25)&gt;0,ABS(MAX(AS25,AU25)*AK25*Z25^2*1E-4/1000-N(U25))&gt;0.5*MIN(MAX(AS25,AU25)*AK25*Z25^2*1E-4/1000,N(U25)))),"FUERA: difieren &gt; 50 %"&amp;IF(AND(N(T25)&gt;0,ABS(MAX(AR25,AT25)*AK25*Z25^2*1E-4/1000-N(T25))&gt;0.5*MIN(MAX(AR25,AT25)*AK25*Z25^2*1E-4/1000,N(T25)))," ‖ corto","")&amp;IF(AND(N(U25)&gt;0,ABS(MAX(AS25,AU25)*AK25*Z25^2*1E-4/1000-N(U25))&gt;0.5*MIN(MAX(AS25,AU25)*AK25*Z25^2*1E-4/1000,N(U25)))," ‖ largo",""),"CUMPLE"))))</f>
        <v/>
      </c>
      <c r="BC25" s="58" t="str">
        <f>IF(V25&lt;&gt;"SÍ","",DATOS!$C$136*100*W25)</f>
        <v/>
      </c>
      <c r="BD25" s="57" t="str">
        <f>IF(V25&lt;&gt;"SÍ","",MIN(IF(C25="VOLADO",DATOS!$C$138,DATOS!$C$137)*W25,DATOS!$C$139))</f>
        <v/>
      </c>
      <c r="BE25" s="58" t="str">
        <f>IF(V25&lt;&gt;"SÍ","",(W25-AE25-INDEX(TABLAS!$C$52:$C$58,MATCH(IF(ISNUMBER(S25),S25,DATOS!$C$135),TABLAS!$B$52:$B$58,0))/2))</f>
        <v/>
      </c>
      <c r="BF25" s="58" t="str">
        <f>IF(V25&lt;&gt;"SÍ","",IF(AX25&lt;=0,0,IF((1-2*AX25*1E5/(DATOS!$C$29*100*BE25^2*DATOS!$C$21))&lt;0,-1,IF((1-SQRT((1-2*AX25*1E5/(DATOS!$C$29*100*BE25^2*DATOS!$C$21))))*DATOS!$C$21*100*BE25/DATOS!$C$14&gt;DATOS!$C$99*100*BE25,-1,(1-SQRT((1-2*AX25*1E5/(DATOS!$C$29*100*BE25^2*DATOS!$C$21))))*DATOS!$C$21*100*BE25/DATOS!$C$14))))</f>
        <v/>
      </c>
      <c r="BG25" s="58" t="str">
        <f>IF(V25&lt;&gt;"SÍ","",IF(BF25&lt;0,-1,MAX(BF25,BC25)))</f>
        <v/>
      </c>
      <c r="BH25" s="64" t="str">
        <f>IF(V25&lt;&gt;"SÍ","",IF(AND(BG25&gt;0,FLOOR(MIN(BD25,100*INDEX(TABLAS!$D$52:$D$58,MIN(MATCH(IF(ISNUMBER(S25),S25,DATOS!$C$135),TABLAS!$B$52:$B$58,0)+0,7))/MAX(BG25,0.0001)),DATOS!$C$141)&gt;=DATOS!$C$140),INDEX(TABLAS!$B$52:$B$58,MIN(MATCH(IF(ISNUMBER(S25),S25,DATOS!$C$135),TABLAS!$B$52:$B$58,0)+0,7)),IF(AND(BG25&gt;0,FLOOR(MIN(BD25,100*INDEX(TABLAS!$D$52:$D$58,MIN(MATCH(IF(ISNUMBER(S25),S25,DATOS!$C$135),TABLAS!$B$52:$B$58,0)+1,7))/MAX(BG25,0.0001)),DATOS!$C$141)&gt;=DATOS!$C$140),INDEX(TABLAS!$B$52:$B$58,MIN(MATCH(IF(ISNUMBER(S25),S25,DATOS!$C$135),TABLAS!$B$52:$B$58,0)+1,7)),IF(AND(BG25&gt;0,FLOOR(MIN(BD25,100*INDEX(TABLAS!$D$52:$D$58,MIN(MATCH(IF(ISNUMBER(S25),S25,DATOS!$C$135),TABLAS!$B$52:$B$58,0)+2,7))/MAX(BG25,0.0001)),DATOS!$C$141)&gt;=DATOS!$C$140),INDEX(TABLAS!$B$52:$B$58,MIN(MATCH(IF(ISNUMBER(S25),S25,DATOS!$C$135),TABLAS!$B$52:$B$58,0)+2,7)),IF(AND(BG25&gt;0,FLOOR(MIN(BD25,100*INDEX(TABLAS!$D$52:$D$58,MIN(MATCH(IF(ISNUMBER(S25),S25,DATOS!$C$135),TABLAS!$B$52:$B$58,0)+3,7))/MAX(BG25,0.0001)),DATOS!$C$141)&gt;=DATOS!$C$140),INDEX(TABLAS!$B$52:$B$58,MIN(MATCH(IF(ISNUMBER(S25),S25,DATOS!$C$135),TABLAS!$B$52:$B$58,0)+3,7)),IF(AND(BG25&gt;0,FLOOR(MIN(BD25,100*INDEX(TABLAS!$D$52:$D$58,MIN(MATCH(IF(ISNUMBER(S25),S25,DATOS!$C$135),TABLAS!$B$52:$B$58,0)+4,7))/MAX(BG25,0.0001)),DATOS!$C$141)&gt;=DATOS!$C$140),INDEX(TABLAS!$B$52:$B$58,MIN(MATCH(IF(ISNUMBER(S25),S25,DATOS!$C$135),TABLAS!$B$52:$B$58,0)+4,7)),INDEX(TABLAS!$B$52:$B$58,7)))))))</f>
        <v/>
      </c>
      <c r="BI25" s="71" t="str">
        <f>IF(V25&lt;&gt;"SÍ","",IF(BG25&lt;=0,0,FLOOR(MIN(BD25,100*INDEX(TABLAS!$D$52:$D$58,MATCH(BH25,TABLAS!$B$52:$B$58,0))/BG25),DATOS!$C$141)))</f>
        <v/>
      </c>
      <c r="BJ25" s="58" t="str">
        <f>IF(V25&lt;&gt;"SÍ","",IF(BI25&lt;=0,0,INDEX(TABLAS!$D$52:$D$58,MATCH(BH25,TABLAS!$B$52:$B$58,0))*100/BI25))</f>
        <v/>
      </c>
      <c r="BK25" s="58" t="str">
        <f>IF(V25&lt;&gt;"SÍ","",W25-AE25-INDEX(TABLAS!$C$52:$C$58,MATCH(BH25,TABLAS!$B$52:$B$58,0))/2)</f>
        <v/>
      </c>
      <c r="BL25" s="56" t="str">
        <f>IF(V25&lt;&gt;"SÍ","",IF(BJ25=0,0,DATOS!$C$29*BJ25*DATOS!$C$14*(BK25-BJ25*DATOS!$C$14/(DATOS!$C$21*100)/2)/1E5))</f>
        <v/>
      </c>
      <c r="BM25" s="65" t="str">
        <f>IF(V25&lt;&gt;"SÍ","",IF(BG25&lt;0,9.99,IF(BL25&gt;0,AX25/BL25,0)))</f>
        <v/>
      </c>
      <c r="BN25" s="66" t="str">
        <f>IF(V25&lt;&gt;"SÍ","",IF(BJ25=0,"—",0.003*(BK25-(BJ25*DATOS!$C$14/(DATOS!$C$21*100)/DATOS!$C$22))/(BJ25*DATOS!$C$14/(DATOS!$C$21*100)/DATOS!$C$22)))</f>
        <v/>
      </c>
      <c r="BO25" s="58" t="str">
        <f>IF(V25&lt;&gt;"SÍ","",((W25-AF25-INDEX(TABLAS!$C$52:$C$58,MATCH(IF(ISNUMBER(S25),S25,DATOS!$C$135),TABLAS!$B$52:$B$58,0))/2)-IF(AND((W25-AF25-INDEX(TABLAS!$C$52:$C$58,MATCH(IF(ISNUMBER(S25),S25,DATOS!$C$135),TABLAS!$B$52:$B$58,0))/2)&lt;=20,DATOS!$C$62&lt;&gt;"SÍ"),2,0)))</f>
        <v/>
      </c>
      <c r="BP25" s="58" t="str">
        <f>IF(V25&lt;&gt;"SÍ","",IF(AY25&lt;=0,0,IF((1-2*AY25*1E5/(DATOS!$C$29*100*BO25^2*DATOS!$C$21))&lt;0,-1,IF((1-SQRT((1-2*AY25*1E5/(DATOS!$C$29*100*BO25^2*DATOS!$C$21))))*DATOS!$C$21*100*BO25/DATOS!$C$14&gt;DATOS!$C$99*100*BO25,-1,(1-SQRT((1-2*AY25*1E5/(DATOS!$C$29*100*BO25^2*DATOS!$C$21))))*DATOS!$C$21*100*BO25/DATOS!$C$14))))</f>
        <v/>
      </c>
      <c r="BQ25" s="58" t="str">
        <f>IF(V25&lt;&gt;"SÍ","",IF(BP25&lt;0,-1,MAX(BP25,BC25)))</f>
        <v/>
      </c>
      <c r="BR25" s="64" t="str">
        <f>IF(V25&lt;&gt;"SÍ","",IF(AND(BQ25&gt;0,FLOOR(MIN(BD25,100*INDEX(TABLAS!$D$52:$D$58,MIN(MATCH(IF(ISNUMBER(S25),S25,DATOS!$C$135),TABLAS!$B$52:$B$58,0)+0,7))/MAX(BQ25,0.0001)),DATOS!$C$141)&gt;=DATOS!$C$140),INDEX(TABLAS!$B$52:$B$58,MIN(MATCH(IF(ISNUMBER(S25),S25,DATOS!$C$135),TABLAS!$B$52:$B$58,0)+0,7)),IF(AND(BQ25&gt;0,FLOOR(MIN(BD25,100*INDEX(TABLAS!$D$52:$D$58,MIN(MATCH(IF(ISNUMBER(S25),S25,DATOS!$C$135),TABLAS!$B$52:$B$58,0)+1,7))/MAX(BQ25,0.0001)),DATOS!$C$141)&gt;=DATOS!$C$140),INDEX(TABLAS!$B$52:$B$58,MIN(MATCH(IF(ISNUMBER(S25),S25,DATOS!$C$135),TABLAS!$B$52:$B$58,0)+1,7)),IF(AND(BQ25&gt;0,FLOOR(MIN(BD25,100*INDEX(TABLAS!$D$52:$D$58,MIN(MATCH(IF(ISNUMBER(S25),S25,DATOS!$C$135),TABLAS!$B$52:$B$58,0)+2,7))/MAX(BQ25,0.0001)),DATOS!$C$141)&gt;=DATOS!$C$140),INDEX(TABLAS!$B$52:$B$58,MIN(MATCH(IF(ISNUMBER(S25),S25,DATOS!$C$135),TABLAS!$B$52:$B$58,0)+2,7)),IF(AND(BQ25&gt;0,FLOOR(MIN(BD25,100*INDEX(TABLAS!$D$52:$D$58,MIN(MATCH(IF(ISNUMBER(S25),S25,DATOS!$C$135),TABLAS!$B$52:$B$58,0)+3,7))/MAX(BQ25,0.0001)),DATOS!$C$141)&gt;=DATOS!$C$140),INDEX(TABLAS!$B$52:$B$58,MIN(MATCH(IF(ISNUMBER(S25),S25,DATOS!$C$135),TABLAS!$B$52:$B$58,0)+3,7)),IF(AND(BQ25&gt;0,FLOOR(MIN(BD25,100*INDEX(TABLAS!$D$52:$D$58,MIN(MATCH(IF(ISNUMBER(S25),S25,DATOS!$C$135),TABLAS!$B$52:$B$58,0)+4,7))/MAX(BQ25,0.0001)),DATOS!$C$141)&gt;=DATOS!$C$140),INDEX(TABLAS!$B$52:$B$58,MIN(MATCH(IF(ISNUMBER(S25),S25,DATOS!$C$135),TABLAS!$B$52:$B$58,0)+4,7)),INDEX(TABLAS!$B$52:$B$58,7)))))))</f>
        <v/>
      </c>
      <c r="BS25" s="71" t="str">
        <f>IF(V25&lt;&gt;"SÍ","",IF(BQ25&lt;=0,0,FLOOR(MIN(BD25,100*INDEX(TABLAS!$D$52:$D$58,MATCH(BR25,TABLAS!$B$52:$B$58,0))/BQ25),DATOS!$C$141)))</f>
        <v/>
      </c>
      <c r="BT25" s="58" t="str">
        <f>IF(V25&lt;&gt;"SÍ","",IF(BS25&lt;=0,0,INDEX(TABLAS!$D$52:$D$58,MATCH(BR25,TABLAS!$B$52:$B$58,0))*100/BS25))</f>
        <v/>
      </c>
      <c r="BU25" s="58" t="str">
        <f>IF(V25&lt;&gt;"SÍ","",((W25-AF25-INDEX(TABLAS!$C$52:$C$58,MATCH(BR25,TABLAS!$B$52:$B$58,0))/2)-IF(AND((W25-AF25-INDEX(TABLAS!$C$52:$C$58,MATCH(BR25,TABLAS!$B$52:$B$58,0))/2)&lt;=20,DATOS!$C$62&lt;&gt;"SÍ"),2,0)))</f>
        <v/>
      </c>
      <c r="BV25" s="56" t="str">
        <f>IF(V25&lt;&gt;"SÍ","",IF(BT25=0,0,DATOS!$C$29*BT25*DATOS!$C$14*(BU25-BT25*DATOS!$C$14/(DATOS!$C$21*100)/2)/1E5))</f>
        <v/>
      </c>
      <c r="BW25" s="65" t="str">
        <f>IF(V25&lt;&gt;"SÍ","",IF(BQ25&lt;0,9.99,IF(BV25&gt;0,AY25/BV25,0)))</f>
        <v/>
      </c>
      <c r="BX25" s="66" t="str">
        <f>IF(V25&lt;&gt;"SÍ","",IF(BT25=0,"—",0.003*(BU25-(BT25*DATOS!$C$14/(DATOS!$C$21*100)/DATOS!$C$22))/(BT25*DATOS!$C$14/(DATOS!$C$21*100)/DATOS!$C$22)))</f>
        <v/>
      </c>
      <c r="BY25" s="58" t="str">
        <f>IF(V25&lt;&gt;"SÍ","",(W25-AE25-1.5*INDEX(TABLAS!$C$52:$C$58,MATCH(IF(ISNUMBER(S25),S25,DATOS!$C$135),TABLAS!$B$52:$B$58,0))))</f>
        <v/>
      </c>
      <c r="BZ25" s="58" t="str">
        <f>IF(V25&lt;&gt;"SÍ","",IF(AZ25&lt;=0,0,IF((1-2*AZ25*1E5/(DATOS!$C$29*100*BY25^2*DATOS!$C$21))&lt;0,-1,IF((1-SQRT((1-2*AZ25*1E5/(DATOS!$C$29*100*BY25^2*DATOS!$C$21))))*DATOS!$C$21*100*BY25/DATOS!$C$14&gt;DATOS!$C$99*100*BY25,-1,(1-SQRT((1-2*AZ25*1E5/(DATOS!$C$29*100*BY25^2*DATOS!$C$21))))*DATOS!$C$21*100*BY25/DATOS!$C$14))))</f>
        <v/>
      </c>
      <c r="CA25" s="58" t="str">
        <f>IF(V25&lt;&gt;"SÍ","",IF(BZ25&lt;0,-1,MAX(BZ25,BC25)))</f>
        <v/>
      </c>
      <c r="CB25" s="64" t="str">
        <f>IF(V25&lt;&gt;"SÍ","",IF(AND(CA25&gt;0,FLOOR(MIN(BD25,100*INDEX(TABLAS!$D$52:$D$58,MIN(MATCH(IF(ISNUMBER(S25),S25,DATOS!$C$135),TABLAS!$B$52:$B$58,0)+0,7))/MAX(CA25,0.0001)),DATOS!$C$141)&gt;=DATOS!$C$140),INDEX(TABLAS!$B$52:$B$58,MIN(MATCH(IF(ISNUMBER(S25),S25,DATOS!$C$135),TABLAS!$B$52:$B$58,0)+0,7)),IF(AND(CA25&gt;0,FLOOR(MIN(BD25,100*INDEX(TABLAS!$D$52:$D$58,MIN(MATCH(IF(ISNUMBER(S25),S25,DATOS!$C$135),TABLAS!$B$52:$B$58,0)+1,7))/MAX(CA25,0.0001)),DATOS!$C$141)&gt;=DATOS!$C$140),INDEX(TABLAS!$B$52:$B$58,MIN(MATCH(IF(ISNUMBER(S25),S25,DATOS!$C$135),TABLAS!$B$52:$B$58,0)+1,7)),IF(AND(CA25&gt;0,FLOOR(MIN(BD25,100*INDEX(TABLAS!$D$52:$D$58,MIN(MATCH(IF(ISNUMBER(S25),S25,DATOS!$C$135),TABLAS!$B$52:$B$58,0)+2,7))/MAX(CA25,0.0001)),DATOS!$C$141)&gt;=DATOS!$C$140),INDEX(TABLAS!$B$52:$B$58,MIN(MATCH(IF(ISNUMBER(S25),S25,DATOS!$C$135),TABLAS!$B$52:$B$58,0)+2,7)),IF(AND(CA25&gt;0,FLOOR(MIN(BD25,100*INDEX(TABLAS!$D$52:$D$58,MIN(MATCH(IF(ISNUMBER(S25),S25,DATOS!$C$135),TABLAS!$B$52:$B$58,0)+3,7))/MAX(CA25,0.0001)),DATOS!$C$141)&gt;=DATOS!$C$140),INDEX(TABLAS!$B$52:$B$58,MIN(MATCH(IF(ISNUMBER(S25),S25,DATOS!$C$135),TABLAS!$B$52:$B$58,0)+3,7)),IF(AND(CA25&gt;0,FLOOR(MIN(BD25,100*INDEX(TABLAS!$D$52:$D$58,MIN(MATCH(IF(ISNUMBER(S25),S25,DATOS!$C$135),TABLAS!$B$52:$B$58,0)+4,7))/MAX(CA25,0.0001)),DATOS!$C$141)&gt;=DATOS!$C$140),INDEX(TABLAS!$B$52:$B$58,MIN(MATCH(IF(ISNUMBER(S25),S25,DATOS!$C$135),TABLAS!$B$52:$B$58,0)+4,7)),INDEX(TABLAS!$B$52:$B$58,7)))))))</f>
        <v/>
      </c>
      <c r="CC25" s="71" t="str">
        <f>IF(V25&lt;&gt;"SÍ","",IF(CA25&lt;=0,0,FLOOR(MIN(BD25,100*INDEX(TABLAS!$D$52:$D$58,MATCH(CB25,TABLAS!$B$52:$B$58,0))/CA25),DATOS!$C$141)))</f>
        <v/>
      </c>
      <c r="CD25" s="58" t="str">
        <f>IF(V25&lt;&gt;"SÍ","",IF(CC25&lt;=0,0,INDEX(TABLAS!$D$52:$D$58,MATCH(CB25,TABLAS!$B$52:$B$58,0))*100/CC25))</f>
        <v/>
      </c>
      <c r="CE25" s="58" t="str">
        <f>IF(V25&lt;&gt;"SÍ","",W25-AE25-INDEX(TABLAS!$C$52:$C$58,MATCH(BH25,TABLAS!$B$52:$B$58,0))-INDEX(TABLAS!$C$52:$C$58,MATCH(CB25,TABLAS!$B$52:$B$58,0))/2)</f>
        <v/>
      </c>
      <c r="CF25" s="56" t="str">
        <f>IF(V25&lt;&gt;"SÍ","",IF(CD25=0,0,DATOS!$C$29*CD25*DATOS!$C$14*(CE25-CD25*DATOS!$C$14/(DATOS!$C$21*100)/2)/1E5))</f>
        <v/>
      </c>
      <c r="CG25" s="65" t="str">
        <f>IF(V25&lt;&gt;"SÍ","",IF(CA25&lt;0,9.99,IF(CF25&gt;0,AZ25/CF25,0)))</f>
        <v/>
      </c>
      <c r="CH25" s="66" t="str">
        <f>IF(V25&lt;&gt;"SÍ","",IF(CD25=0,"—",0.003*(CE25-(CD25*DATOS!$C$14/(DATOS!$C$21*100)/DATOS!$C$22))/(CD25*DATOS!$C$14/(DATOS!$C$21*100)/DATOS!$C$22)))</f>
        <v/>
      </c>
      <c r="CI25" s="58" t="str">
        <f>IF(V25&lt;&gt;"SÍ","",((W25-AF25-1.5*INDEX(TABLAS!$C$52:$C$58,MATCH(IF(ISNUMBER(S25),S25,DATOS!$C$135),TABLAS!$B$52:$B$58,0)))-IF(AND((W25-AF25-1.5*INDEX(TABLAS!$C$52:$C$58,MATCH(IF(ISNUMBER(S25),S25,DATOS!$C$135),TABLAS!$B$52:$B$58,0)))&lt;=20,DATOS!$C$62&lt;&gt;"SÍ"),2,0)))</f>
        <v/>
      </c>
      <c r="CJ25" s="58" t="str">
        <f>IF(V25&lt;&gt;"SÍ","",IF(BA25&lt;=0,0,IF((1-2*BA25*1E5/(DATOS!$C$29*100*CI25^2*DATOS!$C$21))&lt;0,-1,IF((1-SQRT((1-2*BA25*1E5/(DATOS!$C$29*100*CI25^2*DATOS!$C$21))))*DATOS!$C$21*100*CI25/DATOS!$C$14&gt;DATOS!$C$99*100*CI25,-1,(1-SQRT((1-2*BA25*1E5/(DATOS!$C$29*100*CI25^2*DATOS!$C$21))))*DATOS!$C$21*100*CI25/DATOS!$C$14))))</f>
        <v/>
      </c>
      <c r="CK25" s="58" t="str">
        <f>IF(V25&lt;&gt;"SÍ","",IF(CJ25&lt;0,-1,MAX(CJ25,BC25)))</f>
        <v/>
      </c>
      <c r="CL25" s="64" t="str">
        <f>IF(V25&lt;&gt;"SÍ","",IF(AND(CK25&gt;0,FLOOR(MIN(BD25,100*INDEX(TABLAS!$D$52:$D$58,MIN(MATCH(IF(ISNUMBER(S25),S25,DATOS!$C$135),TABLAS!$B$52:$B$58,0)+0,7))/MAX(CK25,0.0001)),DATOS!$C$141)&gt;=DATOS!$C$140),INDEX(TABLAS!$B$52:$B$58,MIN(MATCH(IF(ISNUMBER(S25),S25,DATOS!$C$135),TABLAS!$B$52:$B$58,0)+0,7)),IF(AND(CK25&gt;0,FLOOR(MIN(BD25,100*INDEX(TABLAS!$D$52:$D$58,MIN(MATCH(IF(ISNUMBER(S25),S25,DATOS!$C$135),TABLAS!$B$52:$B$58,0)+1,7))/MAX(CK25,0.0001)),DATOS!$C$141)&gt;=DATOS!$C$140),INDEX(TABLAS!$B$52:$B$58,MIN(MATCH(IF(ISNUMBER(S25),S25,DATOS!$C$135),TABLAS!$B$52:$B$58,0)+1,7)),IF(AND(CK25&gt;0,FLOOR(MIN(BD25,100*INDEX(TABLAS!$D$52:$D$58,MIN(MATCH(IF(ISNUMBER(S25),S25,DATOS!$C$135),TABLAS!$B$52:$B$58,0)+2,7))/MAX(CK25,0.0001)),DATOS!$C$141)&gt;=DATOS!$C$140),INDEX(TABLAS!$B$52:$B$58,MIN(MATCH(IF(ISNUMBER(S25),S25,DATOS!$C$135),TABLAS!$B$52:$B$58,0)+2,7)),IF(AND(CK25&gt;0,FLOOR(MIN(BD25,100*INDEX(TABLAS!$D$52:$D$58,MIN(MATCH(IF(ISNUMBER(S25),S25,DATOS!$C$135),TABLAS!$B$52:$B$58,0)+3,7))/MAX(CK25,0.0001)),DATOS!$C$141)&gt;=DATOS!$C$140),INDEX(TABLAS!$B$52:$B$58,MIN(MATCH(IF(ISNUMBER(S25),S25,DATOS!$C$135),TABLAS!$B$52:$B$58,0)+3,7)),IF(AND(CK25&gt;0,FLOOR(MIN(BD25,100*INDEX(TABLAS!$D$52:$D$58,MIN(MATCH(IF(ISNUMBER(S25),S25,DATOS!$C$135),TABLAS!$B$52:$B$58,0)+4,7))/MAX(CK25,0.0001)),DATOS!$C$141)&gt;=DATOS!$C$140),INDEX(TABLAS!$B$52:$B$58,MIN(MATCH(IF(ISNUMBER(S25),S25,DATOS!$C$135),TABLAS!$B$52:$B$58,0)+4,7)),INDEX(TABLAS!$B$52:$B$58,7)))))))</f>
        <v/>
      </c>
      <c r="CM25" s="71" t="str">
        <f>IF(V25&lt;&gt;"SÍ","",IF(CK25&lt;=0,0,FLOOR(MIN(BD25,100*INDEX(TABLAS!$D$52:$D$58,MATCH(CL25,TABLAS!$B$52:$B$58,0))/CK25),DATOS!$C$141)))</f>
        <v/>
      </c>
      <c r="CN25" s="58" t="str">
        <f>IF(V25&lt;&gt;"SÍ","",IF(CM25&lt;=0,0,INDEX(TABLAS!$D$52:$D$58,MATCH(CL25,TABLAS!$B$52:$B$58,0))*100/CM25))</f>
        <v/>
      </c>
      <c r="CO25" s="58" t="str">
        <f>IF(V25&lt;&gt;"SÍ","",((W25-AF25-INDEX(TABLAS!$C$52:$C$58,MATCH(BR25,TABLAS!$B$52:$B$58,0))-INDEX(TABLAS!$C$52:$C$58,MATCH(CL25,TABLAS!$B$52:$B$58,0))/2)-IF(AND((W25-AF25-INDEX(TABLAS!$C$52:$C$58,MATCH(BR25,TABLAS!$B$52:$B$58,0))-INDEX(TABLAS!$C$52:$C$58,MATCH(CL25,TABLAS!$B$52:$B$58,0))/2)&lt;=20,DATOS!$C$62&lt;&gt;"SÍ"),2,0)))</f>
        <v/>
      </c>
      <c r="CP25" s="56" t="str">
        <f>IF(V25&lt;&gt;"SÍ","",IF(CN25=0,0,DATOS!$C$29*CN25*DATOS!$C$14*(CO25-CN25*DATOS!$C$14/(DATOS!$C$21*100)/2)/1E5))</f>
        <v/>
      </c>
      <c r="CQ25" s="65" t="str">
        <f>IF(V25&lt;&gt;"SÍ","",IF(CK25&lt;0,9.99,IF(CP25&gt;0,BA25/CP25,0)))</f>
        <v/>
      </c>
      <c r="CR25" s="66" t="str">
        <f>IF(V25&lt;&gt;"SÍ","",IF(CN25=0,"—",0.003*(CO25-(CN25*DATOS!$C$14/(DATOS!$C$21*100)/DATOS!$C$22))/(CN25*DATOS!$C$14/(DATOS!$C$21*100)/DATOS!$C$22)))</f>
        <v/>
      </c>
      <c r="CS25" s="56" t="str">
        <f>IF(V25&lt;&gt;"SÍ","",IF(C25="PERIMETRAL",MAX(0,(AC25/2-BU25)/100)*(0.95-0.5*AB25)*AK25*IF(AND(AL25&gt;0,AL25&lt;4),DATOS!$C$33,1)/1000,(AK25*MAX(0,AC25-BU25)/100+DATOS!$C$26*N(P25))/1000))</f>
        <v/>
      </c>
      <c r="CT25" s="66" t="str">
        <f>IF(V25&lt;&gt;"SÍ","",BT25/(100*BU25))</f>
        <v/>
      </c>
      <c r="CU25" s="56" t="str">
        <f>IF(V25&lt;&gt;"SÍ","",DATOS!$C$30*2*MIN(1,SQRT(2/(1+0.04*BU25)))*CT25^(1/3)*SQRT(DATOS!$C$13)*100*BU25/1000)</f>
        <v/>
      </c>
      <c r="CV25" s="67" t="str">
        <f>IF(V25&lt;&gt;"SÍ","",IF(CS25&lt;=CU25,"CUMPLE","NO CUMPLE: sube h"))</f>
        <v/>
      </c>
      <c r="CW25" s="58" t="str">
        <f>IF(V25&lt;&gt;"SÍ","",IF(C25="PERIMETRAL",IF(ISNUMBER(R25),R25,DATOS!$C$101),0))</f>
        <v/>
      </c>
      <c r="CX25" s="57" t="str">
        <f>IF(V25&lt;&gt;"SÍ","",IF(C25="PERIMETRAL",IF(CW25&gt;2,MAX(9,AD25*(0.8+DATOS!$C$14/14000)/(36+9*(AD25/MAX(AC25,1)))),IF(CW25&gt;0.2,MAX(13,AD25*(0.8+DATOS!$C$14/14000)/(36+5*(AD25/MAX(AC25,1))*(CW25-0.2))),MAX(13,AD25/IF(AL25&gt;0,30,33))))*IF(AND(CW25&gt;0.2,AL25&gt;0,DATOS!$C$102="NO"),1.1,1),Z25*100/DATOS!$C$142))</f>
        <v/>
      </c>
      <c r="CY25" s="61" t="str">
        <f>IF(V25&lt;&gt;"SÍ","",IF(W25&gt;=CX25-0.001,"CUMPLE",IF(C25="VOLADO","NO CUMPLE","CALCULAR FLECHA")))</f>
        <v/>
      </c>
      <c r="CZ25" s="60" t="str">
        <f>IF(V25&lt;&gt;"SÍ","",IF(C25="VOLADO",MIN(CEILING(IF(ISNUMBER(Q25),Q25,Z25)*100,5),CEILING(MAX(IF((0.5*(0.9*W25/100*DATOS!$C$16)*IF(ISNUMBER(Q25),Q25,Z25)+AY25/IF(ISNUMBER(Q25),Q25,Z25))^2-4*(0.5*(0.9*W25/100*DATOS!$C$16))*AY25&lt;0,IF(ISNUMBER(Q25),Q25,Z25),MIN(IF(ISNUMBER(Q25),Q25,Z25),((0.5*(0.9*W25/100*DATOS!$C$16)*IF(ISNUMBER(Q25),Q25,Z25)+AY25/IF(ISNUMBER(Q25),Q25,Z25))-SQRT((0.5*(0.9*W25/100*DATOS!$C$16)*IF(ISNUMBER(Q25),Q25,Z25)+AY25/IF(ISNUMBER(Q25),Q25,Z25))^2-4*(0.5*(0.9*W25/100*DATOS!$C$16))*AY25))/(2*(0.5*(0.9*W25/100*DATOS!$C$16)))))*100+MAX(BU25,12*INDEX(TABLAS!$C$52:$C$58,MATCH(BR25,TABLAS!$B$52:$B$58,0)),IF(ISNUMBER(Q25),Q25,Z25)*100/16),IF(OR(AF25&lt;INDEX(TABLAS!$C$52:$C$58,MATCH(BR25,TABLAS!$B$52:$B$58,0)),BS25-INDEX(TABLAS!$C$52:$C$58,MATCH(BR25,TABLAS!$B$52:$B$58,0))&lt;2*INDEX(TABLAS!$C$52:$C$58,MATCH(BR25,TABLAS!$B$52:$B$58,0))),INDEX(TABLAS!$I$52:$I$58,MATCH(BR25,TABLAS!$B$52:$B$58,0)),INDEX(TABLAS!$F$52:$F$58,MATCH(BR25,TABLAS!$B$52:$B$58,0)))),5)),IF(((4*((AV25*AK25*Z25^2*1E-4/1000)+((MAX(AR25,AT25)*AK25*Z25^2*1E-4/1000)+(IF(AND(AR25&gt;0,AT25&gt;0),MIN(AR25,AT25),MAX(AR25,AT25))*AK25*Z25^2*1E-4/1000))/2)+AY25-(IF(AND(AR25&gt;0,AT25&gt;0),MIN(AR25,AT25),MAX(AR25,AT25))*AK25*Z25^2*1E-4/1000))^2-16*((AV25*AK25*Z25^2*1E-4/1000)+((MAX(AR25,AT25)*AK25*Z25^2*1E-4/1000)+(IF(AND(AR25&gt;0,AT25&gt;0),MIN(AR25,AT25),MAX(AR25,AT25))*AK25*Z25^2*1E-4/1000))/2)*AY25)&lt;0,CEILING(AC25,5),CEILING(MAX(AC25*((4*((AV25*AK25*Z25^2*1E-4/1000)+((MAX(AR25,AT25)*AK25*Z25^2*1E-4/1000)+(IF(AND(AR25&gt;0,AT25&gt;0),MIN(AR25,AT25),MAX(AR25,AT25))*AK25*Z25^2*1E-4/1000))/2)+AY25-(IF(AND(AR25&gt;0,AT25&gt;0),MIN(AR25,AT25),MAX(AR25,AT25))*AK25*Z25^2*1E-4/1000))-SQRT(MAX(0,((4*((AV25*AK25*Z25^2*1E-4/1000)+((MAX(AR25,AT25)*AK25*Z25^2*1E-4/1000)+(IF(AND(AR25&gt;0,AT25&gt;0),MIN(AR25,AT25),MAX(AR25,AT25))*AK25*Z25^2*1E-4/1000))/2)+AY25-(IF(AND(AR25&gt;0,AT25&gt;0),MIN(AR25,AT25),MAX(AR25,AT25))*AK25*Z25^2*1E-4/1000))^2-16*((AV25*AK25*Z25^2*1E-4/1000)+((MAX(AR25,AT25)*AK25*Z25^2*1E-4/1000)+(IF(AND(AR25&gt;0,AT25&gt;0),MIN(AR25,AT25),MAX(AR25,AT25))*AK25*Z25^2*1E-4/1000))/2)*AY25))))/(8*MAX(((AV25*AK25*Z25^2*1E-4/1000)+((MAX(AR25,AT25)*AK25*Z25^2*1E-4/1000)+(IF(AND(AR25&gt;0,AT25&gt;0),MIN(AR25,AT25),MAX(AR25,AT25))*AK25*Z25^2*1E-4/1000))/2),1E-9))+MAX(BU25,12*INDEX(TABLAS!$C$52:$C$58,MATCH(BR25,TABLAS!$B$52:$B$58,0)),AC25/16),IF(OR(AF25&lt;INDEX(TABLAS!$C$52:$C$58,MATCH(BR25,TABLAS!$B$52:$B$58,0)),BS25-INDEX(TABLAS!$C$52:$C$58,MATCH(BR25,TABLAS!$B$52:$B$58,0))&lt;2*INDEX(TABLAS!$C$52:$C$58,MATCH(BR25,TABLAS!$B$52:$B$58,0))),INDEX(TABLAS!$I$52:$I$58,MATCH(BR25,TABLAS!$B$52:$B$58,0)),INDEX(TABLAS!$F$52:$F$58,MATCH(BR25,TABLAS!$B$52:$B$58,0)))),5))))</f>
        <v/>
      </c>
      <c r="DA25" s="60" t="str">
        <f>IF(V25&lt;&gt;"SÍ","",IF(C25="VOLADO",0,IF(((4*((AW25*AK25*Z25^2*1E-4/1000)+((MAX(AS25,AU25)*AK25*Z25^2*1E-4/1000)+(IF(AND(AS25&gt;0,AU25&gt;0),MIN(AS25,AU25),MAX(AS25,AU25))*AK25*Z25^2*1E-4/1000))/2)+BA25-(IF(AND(AS25&gt;0,AU25&gt;0),MIN(AS25,AU25),MAX(AS25,AU25))*AK25*Z25^2*1E-4/1000))^2-16*((AW25*AK25*Z25^2*1E-4/1000)+((MAX(AS25,AU25)*AK25*Z25^2*1E-4/1000)+(IF(AND(AS25&gt;0,AU25&gt;0),MIN(AS25,AU25),MAX(AS25,AU25))*AK25*Z25^2*1E-4/1000))/2)*BA25)&lt;0,CEILING(AD25,5),CEILING(MAX(AD25*((4*((AW25*AK25*Z25^2*1E-4/1000)+((MAX(AS25,AU25)*AK25*Z25^2*1E-4/1000)+(IF(AND(AS25&gt;0,AU25&gt;0),MIN(AS25,AU25),MAX(AS25,AU25))*AK25*Z25^2*1E-4/1000))/2)+BA25-(IF(AND(AS25&gt;0,AU25&gt;0),MIN(AS25,AU25),MAX(AS25,AU25))*AK25*Z25^2*1E-4/1000))-SQRT(MAX(0,((4*((AW25*AK25*Z25^2*1E-4/1000)+((MAX(AS25,AU25)*AK25*Z25^2*1E-4/1000)+(IF(AND(AS25&gt;0,AU25&gt;0),MIN(AS25,AU25),MAX(AS25,AU25))*AK25*Z25^2*1E-4/1000))/2)+BA25-(IF(AND(AS25&gt;0,AU25&gt;0),MIN(AS25,AU25),MAX(AS25,AU25))*AK25*Z25^2*1E-4/1000))^2-16*((AW25*AK25*Z25^2*1E-4/1000)+((MAX(AS25,AU25)*AK25*Z25^2*1E-4/1000)+(IF(AND(AS25&gt;0,AU25&gt;0),MIN(AS25,AU25),MAX(AS25,AU25))*AK25*Z25^2*1E-4/1000))/2)*BA25))))/(8*MAX(((AW25*AK25*Z25^2*1E-4/1000)+((MAX(AS25,AU25)*AK25*Z25^2*1E-4/1000)+(IF(AND(AS25&gt;0,AU25&gt;0),MIN(AS25,AU25),MAX(AS25,AU25))*AK25*Z25^2*1E-4/1000))/2),1E-9))+MAX(CO25,12*INDEX(TABLAS!$C$52:$C$58,MATCH(CL25,TABLAS!$B$52:$B$58,0)),AD25/16),IF(OR(AF25&lt;INDEX(TABLAS!$C$52:$C$58,MATCH(CL25,TABLAS!$B$52:$B$58,0)),CM25-INDEX(TABLAS!$C$52:$C$58,MATCH(CL25,TABLAS!$B$52:$B$58,0))&lt;2*INDEX(TABLAS!$C$52:$C$58,MATCH(CL25,TABLAS!$B$52:$B$58,0))),INDEX(TABLAS!$I$52:$I$58,MATCH(CL25,TABLAS!$B$52:$B$58,0)),INDEX(TABLAS!$F$52:$F$58,MATCH(CL25,TABLAS!$B$52:$B$58,0)))),5))))</f>
        <v/>
      </c>
      <c r="DB25" s="55" t="str">
        <f>IF(V25&lt;&gt;"SÍ","",IF(AND(C25="PERIMETRAL",AL25-AM25&gt;0,AT25&gt;0),"SÍ","NO"))</f>
        <v/>
      </c>
      <c r="DC25" s="55" t="str">
        <f>IF(V25&lt;&gt;"SÍ","",IF(AND(C25="PERIMETRAL",AM25&gt;0,AU25&gt;0),"SÍ","NO"))</f>
        <v/>
      </c>
      <c r="DD25" s="63" t="str">
        <f>IF(V25&lt;&gt;"SÍ","",IF(OR(C25="VOLADO",AL25=0),"—",IF(AND(AND(INDEX(TABLAS!$G$52:$G$58,MATCH(MAX(BR25,CL25),TABLAS!$B$52:$B$58,0))&lt;=(DATOS!$C$72-DATOS!$C$60),(DATOS!$C$72-DATOS!$C$60)&gt;=15),8*INDEX(TABLAS!$C$52:$C$58,MATCH(MAX(BH25,CB25,BR25,CL25),TABLAS!$B$52:$B$58,0))&lt;=DATOS!$C$73-2*DATOS!$C$60),"CUMPLE (gancho de 180°)",IF(AND(INDEX(TABLAS!$G$52:$G$58,MATCH(MAX(BR25,CL25),TABLAS!$B$52:$B$58,0))&lt;=(DATOS!$C$72-DATOS!$C$60),(DATOS!$C$72-DATOS!$C$60)&gt;=15),"NO CUMPLE: el gancho de 180° (8·d_b) no cabe en el peralte de la dala de borde","NO CUMPLE: dala de borde ≥ "&amp;TEXT(CEILING(MAX(INDEX(TABLAS!$G$52:$G$58,MATCH(MAX(BR25,CL25),TABLAS!$B$52:$B$58,0)),15)+DATOS!$C$60,5),"0")&amp;" cm de ancho"&amp;IF(8*INDEX(TABLAS!$C$52:$C$58,MATCH(MAX(BH25,CB25,BR25,CL25),TABLAS!$B$52:$B$58,0))&lt;=DATOS!$C$73-2*DATOS!$C$60,""," y más peralte para el gancho")))))</f>
        <v/>
      </c>
      <c r="DE25" s="69" t="str">
        <f>IF(V25&lt;&gt;"SÍ","",IF(BI25=0,"NO ALCANZA","No. "&amp;BH25&amp;" @ "&amp;BI25&amp;" cm"&amp;IF(C25="VOLADO"," (temperatura)","")))</f>
        <v/>
      </c>
      <c r="DF25" s="69" t="str">
        <f>IF(V25&lt;&gt;"SÍ","",IF(BS25=0,"NO ALCANZA",IF(C25="VOLADO","No. "&amp;BR25&amp;" @ "&amp;BS25&amp;" cm"&amp;" de la orilla al respaldo ("&amp;IF(CZ25&gt;=100*IF(ISNUMBER(Q25),Q25,Z25),"hasta su apoyo lejano, con gancho","entran "&amp;TEXT(CZ25/100,"0.00")&amp;" m desde el paño")&amp;")","Bastones "&amp;"No. "&amp;BR25&amp;" @ "&amp;BS25&amp;" cm"&amp;", L = "&amp;TEXT(CZ25/100,"0.00")&amp;" m desde el paño")))</f>
        <v/>
      </c>
      <c r="DG25" s="69" t="str">
        <f>IF(V25&lt;&gt;"SÍ","",IF(CC25=0,"NO ALCANZA","No. "&amp;CB25&amp;" @ "&amp;CC25&amp;" cm"&amp;IF(C25="VOLADO"," (repartición)","")))</f>
        <v/>
      </c>
      <c r="DH25" s="69" t="str">
        <f>IF(V25&lt;&gt;"SÍ","",IF(CM25=0,"NO ALCANZA",IF(C25="VOLADO","No. "&amp;CL25&amp;" @ "&amp;CM25&amp;" cm"&amp;" (repartición)","Bastones "&amp;"No. "&amp;CL25&amp;" @ "&amp;CM25&amp;" cm"&amp;", L = "&amp;TEXT(DA25/100,"0.00")&amp;" m desde el paño")))</f>
        <v/>
      </c>
      <c r="DI25" s="67" t="str">
        <f>IF(B25="","",IF(V25&lt;&gt;"SÍ","FALTAN DATOS: tipo, a_x, a_y y destino",IF(L25="NO MONOLÍTICO (caso II)","FUERA DE ALCANCE: caso II no transcrito",IF(AND(C25="VOLADO",X25="?"),"REVISAR: el volado lleva UN solo borde CONTINUO (el empotrado)",IF(AND(MAX(BM25,BW25,CG25,CQ25)&lt;=1,NOT(OR(BI25&lt;DATOS!$C$140,BS25&lt;DATOS!$C$140,CC25&lt;DATOS!$C$140,CM25&lt;DATOS!$C$140)),NOT(OR(AND(ISNUMBER(BN25),BN25&lt;0.005),AND(ISNUMBER(BX25),BX25&lt;0.005),AND(ISNUMBER(CH25),CH25&lt;0.005),AND(ISNUMBER(CR25),CR25&lt;0.005))),CV25="CUMPLE",CY25="CUMPLE"),"CUMPLE"&amp;IF(LEFT(BB25,5)="FUERA"," · fuera de 3.4.2.1 c)","")&amp;IF(LEFT(DD25,2)="NO"," · REVISAR anclaje en borde discontinuo",""),IF(AND(MAX(BM25,BW25,CG25,CQ25)&lt;=1,NOT(OR(BI25&lt;DATOS!$C$140,BS25&lt;DATOS!$C$140,CC25&lt;DATOS!$C$140,CM25&lt;DATOS!$C$140)),NOT(OR(AND(ISNUMBER(BN25),BN25&lt;0.005),AND(ISNUMBER(BX25),BX25&lt;0.005),AND(ISNUMBER(CH25),CH25&lt;0.005),AND(ISNUMBER(CR25),CR25&lt;0.005))),CV25="CUMPLE",CY25="CALCULAR FLECHA"),"REVISAR: calcular flecha (h &lt; h mín.)"&amp;IF(LEFT(BB25,5)="FUERA"," · fuera de 3.4.2.1 c)","")&amp;IF(LEFT(DD25,2)="NO"," · REVISAR anclaje en borde discontinuo",""),"NO CUMPLE: "&amp;IF(MAX(BM25,BW25,CG25,CQ25)&gt;1,"flexión ","")&amp;IF(OR(BI25&lt;DATOS!$C$140,BS25&lt;DATOS!$C$140,CC25&lt;DATOS!$C$140,CM25&lt;DATOS!$C$140),"separación &lt; mínima ","")&amp;IF(OR(AND(ISNUMBER(BN25),BN25&lt;0.005),AND(ISNUMBER(BX25),BX25&lt;0.005),AND(ISNUMBER(CH25),CH25&lt;0.005),AND(ISNUMBER(CR25),CR25&lt;0.005)),"ε_t &lt; 0.005 ","")&amp;IF(CV25&lt;&gt;"CUMPLE","cortante ","")&amp;IF(CY25="NO CUMPLE","peralte","")))))))</f>
        <v/>
      </c>
      <c r="DJ25" s="70" t="str">
        <f>IF(V25&lt;&gt;"SÍ","",IF(LEFT(B25,7)="EJEMPLO","EJEMPLO de tablero típico: bórralo o sobrescríbelo. ","")&amp;IF(C25="VOLADO","Volado de "&amp;TEXT(Z25,"0.00")&amp;" m empotrado en el borde "&amp;LOWER(X25)&amp;IF(N(P25)&gt;0,", con "&amp;TEXT(P25,"0.0")&amp;" kg/m en la orilla","")&amp;". Lecho inferior con r_ext. Si la orilla carga pretil u otro elemento frágil, calcula la flecha (13.4). El acero superior entra al respaldo de "&amp;TEXT(IF(ISNUMBER(Q25),Q25,Z25),"0.00")&amp;" m"&amp;IF(ISNUMBER(Q25),""," (L_b no capturado: se tomó igual al volado)")&amp;" hasta pasar M = 0 con 0.9·PP sin carga viva; si ahí no se anula, llega al apoyo lejano y se ancla con gancho. ","")&amp;IF(LEFT(BB25,5)="FUERA","El M⁻ del vecino difiere más de 50 % (3.4.2.1 c): distribuye el desequilibrio (3.4.3.1) o confirma con un modelo; se arma con el mayor. ","")&amp;IF(OR(DB25="SÍ",DC25="SÍ"),"Bastones también en los bordes discontinuos (M⁻ de tabla), con gancho. ","")&amp;IF(LEFT(DD25,2)="NO","Anclaje: "&amp;DD25&amp;" (6.7.7.4.1.1). ","")&amp;IF(OR(AT25&gt;0,AU25&gt;0),"Esquinas exteriores sobre muro: refuerzo de esquina arriba y abajo en L_largo/5 (6.7.7.3.1). ",""))</f>
        <v/>
      </c>
    </row>
    <row r="26" ht="33" customHeight="1">
      <c r="A26" s="50">
        <f>IF(B26="",0,1)+A25</f>
        <v>3</v>
      </c>
      <c r="B26" s="29" t="n"/>
      <c r="C26" s="51" t="n"/>
      <c r="D26" s="29" t="n"/>
      <c r="E26" s="52" t="n"/>
      <c r="F26" s="52" t="n"/>
      <c r="G26" s="51" t="n"/>
      <c r="H26" s="51" t="n"/>
      <c r="I26" s="51" t="n"/>
      <c r="J26" s="51" t="n"/>
      <c r="K26" s="51" t="n"/>
      <c r="L26" s="51" t="n"/>
      <c r="M26" s="54" t="n"/>
      <c r="N26" s="53" t="n"/>
      <c r="O26" s="53" t="n"/>
      <c r="P26" s="54" t="n"/>
      <c r="Q26" s="52" t="n"/>
      <c r="R26" s="54" t="n"/>
      <c r="S26" s="53" t="n"/>
      <c r="T26" s="52" t="n"/>
      <c r="U26" s="52" t="n"/>
      <c r="V26" s="55" t="str">
        <f>IF(B26="","",IF(AND(OR(C26="PERIMETRAL",C26="VOLADO"),ISNUMBER(E26),ISNUMBER(F26),E26&gt;0,F26&gt;0,OR(ISNUMBER(O26),ISNUMBER(MATCH(D26,DATOS!$B$46:$B$55,0)))),"SÍ","NO"))</f>
        <v/>
      </c>
      <c r="W26" s="57" t="str">
        <f>IF(V26&lt;&gt;"SÍ","",IF(ISNUMBER(M26),M26,DATOS!$C$134))</f>
        <v/>
      </c>
      <c r="X26" s="55" t="str">
        <f>IF(V26&lt;&gt;"SÍ","",IF(C26&lt;&gt;"VOLADO","—",IF(COUNTIF(G26:J26,"CONTINUO")&lt;&gt;1,"?",IF(G26="CONTINUO","INFERIOR",IF(H26="CONTINUO","SUPERIOR",IF(I26="CONTINUO","IZQUIERDO","DERECHO"))))))</f>
        <v/>
      </c>
      <c r="Y26" s="55" t="str">
        <f>IF(V26&lt;&gt;"SÍ","",IF(C26="VOLADO",IF(OR(X26="IZQUIERDO",X26="DERECHO"),"X","Y"),IF(E26&lt;=F26,"X","Y")))</f>
        <v/>
      </c>
      <c r="Z26" s="56" t="str">
        <f>IF(V26&lt;&gt;"SÍ","",IF(C26="VOLADO",IF(Y26="X",E26,F26),MIN(E26,F26)))</f>
        <v/>
      </c>
      <c r="AA26" s="56" t="str">
        <f>IF(V26&lt;&gt;"SÍ","",IF(C26="VOLADO",IF(Y26="X",F26,E26),MAX(E26,F26)))</f>
        <v/>
      </c>
      <c r="AB26" s="56" t="str">
        <f>IF(V26&lt;&gt;"SÍ","",MIN(Z26,AA26)/MAX(Z26,AA26))</f>
        <v/>
      </c>
      <c r="AC26" s="57" t="str">
        <f>IF(V26&lt;&gt;"SÍ","",MAX(1,Z26*100-IF(C26="VOLADO",DATOS!$C$84/2,DATOS!$C$84)))</f>
        <v/>
      </c>
      <c r="AD26" s="57" t="str">
        <f>IF(V26&lt;&gt;"SÍ","",MAX(1,AA26*100-DATOS!$C$84))</f>
        <v/>
      </c>
      <c r="AE26" s="57" t="str">
        <f>IF(V26&lt;&gt;"SÍ","",IF(C26="VOLADO",DATOS!$C$61,DATOS!$C$59))</f>
        <v/>
      </c>
      <c r="AF26" s="57" t="str">
        <f>IF(V26&lt;&gt;"SÍ","",IF(OR(AND(AG26="SÍ",DATOS!$C$63="SÍ"),AND(C26="VOLADO",DATOS!$C$64="SÍ")),DATOS!$C$61,DATOS!$C$59))</f>
        <v/>
      </c>
      <c r="AG26" s="55" t="str">
        <f>IF(V26&lt;&gt;"SÍ","",IFERROR(INDEX(DATOS!$D$46:$D$55,MATCH(D26,DATOS!$B$46:$B$55,0)),"NO"))</f>
        <v/>
      </c>
      <c r="AH26" s="59" t="str">
        <f>IF(V26&lt;&gt;"SÍ","",IF(ISNUMBER(O26),O26,IFERROR(INDEX(DATOS!$C$46:$C$55,MATCH(D26,DATOS!$B$46:$B$55,0)),0)))</f>
        <v/>
      </c>
      <c r="AI26" s="59" t="str">
        <f>IF(V26&lt;&gt;"SÍ","",W26/100*DATOS!$C$16*1000+DATOS!$C$37+DATOS!$C$38)</f>
        <v/>
      </c>
      <c r="AJ26" s="59" t="str">
        <f>IF(V26&lt;&gt;"SÍ","",AI26+N(N26))</f>
        <v/>
      </c>
      <c r="AK26" s="60" t="str">
        <f>IF(V26&lt;&gt;"SÍ","",MAX(DATOS!$C$26*AJ26+DATOS!$C$27*AH26,IF(AG26="SÍ",DATOS!$C$28*(AJ26+DATOS!$C$41),0)))</f>
        <v/>
      </c>
      <c r="AL26" s="59" t="str">
        <f>IF(V26&lt;&gt;"SÍ","",(G26="DISCONTINUO")+(H26="DISCONTINUO")+(I26="DISCONTINUO")+(J26="DISCONTINUO"))</f>
        <v/>
      </c>
      <c r="AM26" s="59" t="str">
        <f>IF(V26&lt;&gt;"SÍ","",IF(Y26="X",(G26="DISCONTINUO")+(H26="DISCONTINUO"),(I26="DISCONTINUO")+(J26="DISCONTINUO")))</f>
        <v/>
      </c>
      <c r="AN26" s="55" t="str">
        <f>IF(V26&lt;&gt;"SÍ","",IF(AL26=0,"INTERIOR",IF(AL26=1,IF(AM26=1,"BORDE-CORTO","BORDE-LARGO"),IF(AL26=2,IF(AM26=1,"ESQUINA",IF(AM26=2,"EXTREMO-LARGO","EXTREMO-CORTO")),IF(AL26=3,IF(AM26=2,"EXTREMO-LARGO","EXTREMO-CORTO"),"AISLADO")))))</f>
        <v/>
      </c>
      <c r="AO26" s="61" t="str">
        <f>IF(V26&lt;&gt;"SÍ","",IF(OR(K26="",K26="AUTO"),AN26,K26))</f>
        <v/>
      </c>
      <c r="AP26" s="59" t="str">
        <f>IF(V26&lt;&gt;"SÍ","",MATCH(AB26,TABLAS!$D$5:$J$5,1))</f>
        <v/>
      </c>
      <c r="AQ26" s="58" t="str">
        <f>IF(V26&lt;&gt;"SÍ","",IF(AP26&gt;=7,0,(AB26-INDEX(TABLAS!$D$5:$J$5,AP26))/(INDEX(TABLAS!$D$5:$J$5,AP26+1)-INDEX(TABLAS!$D$5:$J$5,AP26))))</f>
        <v/>
      </c>
      <c r="AR26" s="59" t="str">
        <f>IF(V26&lt;&gt;"SÍ","",INDEX(TABLAS!$D$6:$J$47,MATCH(AO26&amp;"|NIC",TABLAS!$B$6:$B$47,0),AP26)+AQ26*(INDEX(TABLAS!$D$6:$J$47,MATCH(AO26&amp;"|NIC",TABLAS!$B$6:$B$47,0),MIN(AP26+1,7))-INDEX(TABLAS!$D$6:$J$47,MATCH(AO26&amp;"|NIC",TABLAS!$B$6:$B$47,0),AP26)))</f>
        <v/>
      </c>
      <c r="AS26" s="59" t="str">
        <f>IF(V26&lt;&gt;"SÍ","",INDEX(TABLAS!$D$6:$J$47,MATCH(AO26&amp;"|NIL",TABLAS!$B$6:$B$47,0),AP26)+AQ26*(INDEX(TABLAS!$D$6:$J$47,MATCH(AO26&amp;"|NIL",TABLAS!$B$6:$B$47,0),MIN(AP26+1,7))-INDEX(TABLAS!$D$6:$J$47,MATCH(AO26&amp;"|NIL",TABLAS!$B$6:$B$47,0),AP26)))</f>
        <v/>
      </c>
      <c r="AT26" s="59" t="str">
        <f>IF(V26&lt;&gt;"SÍ","",INDEX(TABLAS!$D$6:$J$47,MATCH(AO26&amp;"|NDC",TABLAS!$B$6:$B$47,0),AP26)+AQ26*(INDEX(TABLAS!$D$6:$J$47,MATCH(AO26&amp;"|NDC",TABLAS!$B$6:$B$47,0),MIN(AP26+1,7))-INDEX(TABLAS!$D$6:$J$47,MATCH(AO26&amp;"|NDC",TABLAS!$B$6:$B$47,0),AP26)))</f>
        <v/>
      </c>
      <c r="AU26" s="59" t="str">
        <f>IF(V26&lt;&gt;"SÍ","",INDEX(TABLAS!$D$6:$J$47,MATCH(AO26&amp;"|NDL",TABLAS!$B$6:$B$47,0),AP26)+AQ26*(INDEX(TABLAS!$D$6:$J$47,MATCH(AO26&amp;"|NDL",TABLAS!$B$6:$B$47,0),MIN(AP26+1,7))-INDEX(TABLAS!$D$6:$J$47,MATCH(AO26&amp;"|NDL",TABLAS!$B$6:$B$47,0),AP26)))</f>
        <v/>
      </c>
      <c r="AV26" s="59" t="str">
        <f>IF(V26&lt;&gt;"SÍ","",INDEX(TABLAS!$D$6:$J$47,MATCH(AO26&amp;"|PC",TABLAS!$B$6:$B$47,0),AP26)+AQ26*(INDEX(TABLAS!$D$6:$J$47,MATCH(AO26&amp;"|PC",TABLAS!$B$6:$B$47,0),MIN(AP26+1,7))-INDEX(TABLAS!$D$6:$J$47,MATCH(AO26&amp;"|PC",TABLAS!$B$6:$B$47,0),AP26)))</f>
        <v/>
      </c>
      <c r="AW26" s="59" t="str">
        <f>IF(V26&lt;&gt;"SÍ","",INDEX(TABLAS!$D$6:$J$47,MATCH(AO26&amp;"|PL",TABLAS!$B$6:$B$47,0),AP26)+AQ26*(INDEX(TABLAS!$D$6:$J$47,MATCH(AO26&amp;"|PL",TABLAS!$B$6:$B$47,0),MIN(AP26+1,7))-INDEX(TABLAS!$D$6:$J$47,MATCH(AO26&amp;"|PL",TABLAS!$B$6:$B$47,0),AP26)))</f>
        <v/>
      </c>
      <c r="AX26" s="56" t="str">
        <f>IF(V26&lt;&gt;"SÍ","",IF(C26="PERIMETRAL",AV26*AK26*Z26^2*1E-4/1000,0))</f>
        <v/>
      </c>
      <c r="AY26" s="62" t="str">
        <f>IF(V26&lt;&gt;"SÍ","",IF(C26="PERIMETRAL",MAX(MAX(AR26,AT26)*AK26*Z26^2*1E-4/1000,N(T26)),(AK26*(AC26/100)^2/2+DATOS!$C$26*N(P26)*AC26/100)/1000))</f>
        <v/>
      </c>
      <c r="AZ26" s="56" t="str">
        <f>IF(V26&lt;&gt;"SÍ","",IF(C26="PERIMETRAL",AW26*AK26*Z26^2*1E-4/1000,0))</f>
        <v/>
      </c>
      <c r="BA26" s="56" t="str">
        <f>IF(V26&lt;&gt;"SÍ","",IF(C26="PERIMETRAL",MAX(MAX(AS26,AU26)*AK26*Z26^2*1E-4/1000,N(U26)),0))</f>
        <v/>
      </c>
      <c r="BB26" s="63" t="str">
        <f>IF(V26&lt;&gt;"SÍ","",IF(C26&lt;&gt;"PERIMETRAL","—",IF(AND(N(T26)=0,N(U26)=0),"— (sin M⁻ del vecino)",IF(OR(AND(N(T26)&gt;0,ABS(MAX(AR26,AT26)*AK26*Z26^2*1E-4/1000-N(T26))&gt;0.5*MIN(MAX(AR26,AT26)*AK26*Z26^2*1E-4/1000,N(T26))),AND(N(U26)&gt;0,ABS(MAX(AS26,AU26)*AK26*Z26^2*1E-4/1000-N(U26))&gt;0.5*MIN(MAX(AS26,AU26)*AK26*Z26^2*1E-4/1000,N(U26)))),"FUERA: difieren &gt; 50 %"&amp;IF(AND(N(T26)&gt;0,ABS(MAX(AR26,AT26)*AK26*Z26^2*1E-4/1000-N(T26))&gt;0.5*MIN(MAX(AR26,AT26)*AK26*Z26^2*1E-4/1000,N(T26)))," ‖ corto","")&amp;IF(AND(N(U26)&gt;0,ABS(MAX(AS26,AU26)*AK26*Z26^2*1E-4/1000-N(U26))&gt;0.5*MIN(MAX(AS26,AU26)*AK26*Z26^2*1E-4/1000,N(U26)))," ‖ largo",""),"CUMPLE"))))</f>
        <v/>
      </c>
      <c r="BC26" s="58" t="str">
        <f>IF(V26&lt;&gt;"SÍ","",DATOS!$C$136*100*W26)</f>
        <v/>
      </c>
      <c r="BD26" s="57" t="str">
        <f>IF(V26&lt;&gt;"SÍ","",MIN(IF(C26="VOLADO",DATOS!$C$138,DATOS!$C$137)*W26,DATOS!$C$139))</f>
        <v/>
      </c>
      <c r="BE26" s="58" t="str">
        <f>IF(V26&lt;&gt;"SÍ","",(W26-AE26-INDEX(TABLAS!$C$52:$C$58,MATCH(IF(ISNUMBER(S26),S26,DATOS!$C$135),TABLAS!$B$52:$B$58,0))/2))</f>
        <v/>
      </c>
      <c r="BF26" s="58" t="str">
        <f>IF(V26&lt;&gt;"SÍ","",IF(AX26&lt;=0,0,IF((1-2*AX26*1E5/(DATOS!$C$29*100*BE26^2*DATOS!$C$21))&lt;0,-1,IF((1-SQRT((1-2*AX26*1E5/(DATOS!$C$29*100*BE26^2*DATOS!$C$21))))*DATOS!$C$21*100*BE26/DATOS!$C$14&gt;DATOS!$C$99*100*BE26,-1,(1-SQRT((1-2*AX26*1E5/(DATOS!$C$29*100*BE26^2*DATOS!$C$21))))*DATOS!$C$21*100*BE26/DATOS!$C$14))))</f>
        <v/>
      </c>
      <c r="BG26" s="58" t="str">
        <f>IF(V26&lt;&gt;"SÍ","",IF(BF26&lt;0,-1,MAX(BF26,BC26)))</f>
        <v/>
      </c>
      <c r="BH26" s="64" t="str">
        <f>IF(V26&lt;&gt;"SÍ","",IF(AND(BG26&gt;0,FLOOR(MIN(BD26,100*INDEX(TABLAS!$D$52:$D$58,MIN(MATCH(IF(ISNUMBER(S26),S26,DATOS!$C$135),TABLAS!$B$52:$B$58,0)+0,7))/MAX(BG26,0.0001)),DATOS!$C$141)&gt;=DATOS!$C$140),INDEX(TABLAS!$B$52:$B$58,MIN(MATCH(IF(ISNUMBER(S26),S26,DATOS!$C$135),TABLAS!$B$52:$B$58,0)+0,7)),IF(AND(BG26&gt;0,FLOOR(MIN(BD26,100*INDEX(TABLAS!$D$52:$D$58,MIN(MATCH(IF(ISNUMBER(S26),S26,DATOS!$C$135),TABLAS!$B$52:$B$58,0)+1,7))/MAX(BG26,0.0001)),DATOS!$C$141)&gt;=DATOS!$C$140),INDEX(TABLAS!$B$52:$B$58,MIN(MATCH(IF(ISNUMBER(S26),S26,DATOS!$C$135),TABLAS!$B$52:$B$58,0)+1,7)),IF(AND(BG26&gt;0,FLOOR(MIN(BD26,100*INDEX(TABLAS!$D$52:$D$58,MIN(MATCH(IF(ISNUMBER(S26),S26,DATOS!$C$135),TABLAS!$B$52:$B$58,0)+2,7))/MAX(BG26,0.0001)),DATOS!$C$141)&gt;=DATOS!$C$140),INDEX(TABLAS!$B$52:$B$58,MIN(MATCH(IF(ISNUMBER(S26),S26,DATOS!$C$135),TABLAS!$B$52:$B$58,0)+2,7)),IF(AND(BG26&gt;0,FLOOR(MIN(BD26,100*INDEX(TABLAS!$D$52:$D$58,MIN(MATCH(IF(ISNUMBER(S26),S26,DATOS!$C$135),TABLAS!$B$52:$B$58,0)+3,7))/MAX(BG26,0.0001)),DATOS!$C$141)&gt;=DATOS!$C$140),INDEX(TABLAS!$B$52:$B$58,MIN(MATCH(IF(ISNUMBER(S26),S26,DATOS!$C$135),TABLAS!$B$52:$B$58,0)+3,7)),IF(AND(BG26&gt;0,FLOOR(MIN(BD26,100*INDEX(TABLAS!$D$52:$D$58,MIN(MATCH(IF(ISNUMBER(S26),S26,DATOS!$C$135),TABLAS!$B$52:$B$58,0)+4,7))/MAX(BG26,0.0001)),DATOS!$C$141)&gt;=DATOS!$C$140),INDEX(TABLAS!$B$52:$B$58,MIN(MATCH(IF(ISNUMBER(S26),S26,DATOS!$C$135),TABLAS!$B$52:$B$58,0)+4,7)),INDEX(TABLAS!$B$52:$B$58,7)))))))</f>
        <v/>
      </c>
      <c r="BI26" s="71" t="str">
        <f>IF(V26&lt;&gt;"SÍ","",IF(BG26&lt;=0,0,FLOOR(MIN(BD26,100*INDEX(TABLAS!$D$52:$D$58,MATCH(BH26,TABLAS!$B$52:$B$58,0))/BG26),DATOS!$C$141)))</f>
        <v/>
      </c>
      <c r="BJ26" s="58" t="str">
        <f>IF(V26&lt;&gt;"SÍ","",IF(BI26&lt;=0,0,INDEX(TABLAS!$D$52:$D$58,MATCH(BH26,TABLAS!$B$52:$B$58,0))*100/BI26))</f>
        <v/>
      </c>
      <c r="BK26" s="58" t="str">
        <f>IF(V26&lt;&gt;"SÍ","",W26-AE26-INDEX(TABLAS!$C$52:$C$58,MATCH(BH26,TABLAS!$B$52:$B$58,0))/2)</f>
        <v/>
      </c>
      <c r="BL26" s="56" t="str">
        <f>IF(V26&lt;&gt;"SÍ","",IF(BJ26=0,0,DATOS!$C$29*BJ26*DATOS!$C$14*(BK26-BJ26*DATOS!$C$14/(DATOS!$C$21*100)/2)/1E5))</f>
        <v/>
      </c>
      <c r="BM26" s="65" t="str">
        <f>IF(V26&lt;&gt;"SÍ","",IF(BG26&lt;0,9.99,IF(BL26&gt;0,AX26/BL26,0)))</f>
        <v/>
      </c>
      <c r="BN26" s="66" t="str">
        <f>IF(V26&lt;&gt;"SÍ","",IF(BJ26=0,"—",0.003*(BK26-(BJ26*DATOS!$C$14/(DATOS!$C$21*100)/DATOS!$C$22))/(BJ26*DATOS!$C$14/(DATOS!$C$21*100)/DATOS!$C$22)))</f>
        <v/>
      </c>
      <c r="BO26" s="58" t="str">
        <f>IF(V26&lt;&gt;"SÍ","",((W26-AF26-INDEX(TABLAS!$C$52:$C$58,MATCH(IF(ISNUMBER(S26),S26,DATOS!$C$135),TABLAS!$B$52:$B$58,0))/2)-IF(AND((W26-AF26-INDEX(TABLAS!$C$52:$C$58,MATCH(IF(ISNUMBER(S26),S26,DATOS!$C$135),TABLAS!$B$52:$B$58,0))/2)&lt;=20,DATOS!$C$62&lt;&gt;"SÍ"),2,0)))</f>
        <v/>
      </c>
      <c r="BP26" s="58" t="str">
        <f>IF(V26&lt;&gt;"SÍ","",IF(AY26&lt;=0,0,IF((1-2*AY26*1E5/(DATOS!$C$29*100*BO26^2*DATOS!$C$21))&lt;0,-1,IF((1-SQRT((1-2*AY26*1E5/(DATOS!$C$29*100*BO26^2*DATOS!$C$21))))*DATOS!$C$21*100*BO26/DATOS!$C$14&gt;DATOS!$C$99*100*BO26,-1,(1-SQRT((1-2*AY26*1E5/(DATOS!$C$29*100*BO26^2*DATOS!$C$21))))*DATOS!$C$21*100*BO26/DATOS!$C$14))))</f>
        <v/>
      </c>
      <c r="BQ26" s="58" t="str">
        <f>IF(V26&lt;&gt;"SÍ","",IF(BP26&lt;0,-1,MAX(BP26,BC26)))</f>
        <v/>
      </c>
      <c r="BR26" s="64" t="str">
        <f>IF(V26&lt;&gt;"SÍ","",IF(AND(BQ26&gt;0,FLOOR(MIN(BD26,100*INDEX(TABLAS!$D$52:$D$58,MIN(MATCH(IF(ISNUMBER(S26),S26,DATOS!$C$135),TABLAS!$B$52:$B$58,0)+0,7))/MAX(BQ26,0.0001)),DATOS!$C$141)&gt;=DATOS!$C$140),INDEX(TABLAS!$B$52:$B$58,MIN(MATCH(IF(ISNUMBER(S26),S26,DATOS!$C$135),TABLAS!$B$52:$B$58,0)+0,7)),IF(AND(BQ26&gt;0,FLOOR(MIN(BD26,100*INDEX(TABLAS!$D$52:$D$58,MIN(MATCH(IF(ISNUMBER(S26),S26,DATOS!$C$135),TABLAS!$B$52:$B$58,0)+1,7))/MAX(BQ26,0.0001)),DATOS!$C$141)&gt;=DATOS!$C$140),INDEX(TABLAS!$B$52:$B$58,MIN(MATCH(IF(ISNUMBER(S26),S26,DATOS!$C$135),TABLAS!$B$52:$B$58,0)+1,7)),IF(AND(BQ26&gt;0,FLOOR(MIN(BD26,100*INDEX(TABLAS!$D$52:$D$58,MIN(MATCH(IF(ISNUMBER(S26),S26,DATOS!$C$135),TABLAS!$B$52:$B$58,0)+2,7))/MAX(BQ26,0.0001)),DATOS!$C$141)&gt;=DATOS!$C$140),INDEX(TABLAS!$B$52:$B$58,MIN(MATCH(IF(ISNUMBER(S26),S26,DATOS!$C$135),TABLAS!$B$52:$B$58,0)+2,7)),IF(AND(BQ26&gt;0,FLOOR(MIN(BD26,100*INDEX(TABLAS!$D$52:$D$58,MIN(MATCH(IF(ISNUMBER(S26),S26,DATOS!$C$135),TABLAS!$B$52:$B$58,0)+3,7))/MAX(BQ26,0.0001)),DATOS!$C$141)&gt;=DATOS!$C$140),INDEX(TABLAS!$B$52:$B$58,MIN(MATCH(IF(ISNUMBER(S26),S26,DATOS!$C$135),TABLAS!$B$52:$B$58,0)+3,7)),IF(AND(BQ26&gt;0,FLOOR(MIN(BD26,100*INDEX(TABLAS!$D$52:$D$58,MIN(MATCH(IF(ISNUMBER(S26),S26,DATOS!$C$135),TABLAS!$B$52:$B$58,0)+4,7))/MAX(BQ26,0.0001)),DATOS!$C$141)&gt;=DATOS!$C$140),INDEX(TABLAS!$B$52:$B$58,MIN(MATCH(IF(ISNUMBER(S26),S26,DATOS!$C$135),TABLAS!$B$52:$B$58,0)+4,7)),INDEX(TABLAS!$B$52:$B$58,7)))))))</f>
        <v/>
      </c>
      <c r="BS26" s="71" t="str">
        <f>IF(V26&lt;&gt;"SÍ","",IF(BQ26&lt;=0,0,FLOOR(MIN(BD26,100*INDEX(TABLAS!$D$52:$D$58,MATCH(BR26,TABLAS!$B$52:$B$58,0))/BQ26),DATOS!$C$141)))</f>
        <v/>
      </c>
      <c r="BT26" s="58" t="str">
        <f>IF(V26&lt;&gt;"SÍ","",IF(BS26&lt;=0,0,INDEX(TABLAS!$D$52:$D$58,MATCH(BR26,TABLAS!$B$52:$B$58,0))*100/BS26))</f>
        <v/>
      </c>
      <c r="BU26" s="58" t="str">
        <f>IF(V26&lt;&gt;"SÍ","",((W26-AF26-INDEX(TABLAS!$C$52:$C$58,MATCH(BR26,TABLAS!$B$52:$B$58,0))/2)-IF(AND((W26-AF26-INDEX(TABLAS!$C$52:$C$58,MATCH(BR26,TABLAS!$B$52:$B$58,0))/2)&lt;=20,DATOS!$C$62&lt;&gt;"SÍ"),2,0)))</f>
        <v/>
      </c>
      <c r="BV26" s="56" t="str">
        <f>IF(V26&lt;&gt;"SÍ","",IF(BT26=0,0,DATOS!$C$29*BT26*DATOS!$C$14*(BU26-BT26*DATOS!$C$14/(DATOS!$C$21*100)/2)/1E5))</f>
        <v/>
      </c>
      <c r="BW26" s="65" t="str">
        <f>IF(V26&lt;&gt;"SÍ","",IF(BQ26&lt;0,9.99,IF(BV26&gt;0,AY26/BV26,0)))</f>
        <v/>
      </c>
      <c r="BX26" s="66" t="str">
        <f>IF(V26&lt;&gt;"SÍ","",IF(BT26=0,"—",0.003*(BU26-(BT26*DATOS!$C$14/(DATOS!$C$21*100)/DATOS!$C$22))/(BT26*DATOS!$C$14/(DATOS!$C$21*100)/DATOS!$C$22)))</f>
        <v/>
      </c>
      <c r="BY26" s="58" t="str">
        <f>IF(V26&lt;&gt;"SÍ","",(W26-AE26-1.5*INDEX(TABLAS!$C$52:$C$58,MATCH(IF(ISNUMBER(S26),S26,DATOS!$C$135),TABLAS!$B$52:$B$58,0))))</f>
        <v/>
      </c>
      <c r="BZ26" s="58" t="str">
        <f>IF(V26&lt;&gt;"SÍ","",IF(AZ26&lt;=0,0,IF((1-2*AZ26*1E5/(DATOS!$C$29*100*BY26^2*DATOS!$C$21))&lt;0,-1,IF((1-SQRT((1-2*AZ26*1E5/(DATOS!$C$29*100*BY26^2*DATOS!$C$21))))*DATOS!$C$21*100*BY26/DATOS!$C$14&gt;DATOS!$C$99*100*BY26,-1,(1-SQRT((1-2*AZ26*1E5/(DATOS!$C$29*100*BY26^2*DATOS!$C$21))))*DATOS!$C$21*100*BY26/DATOS!$C$14))))</f>
        <v/>
      </c>
      <c r="CA26" s="58" t="str">
        <f>IF(V26&lt;&gt;"SÍ","",IF(BZ26&lt;0,-1,MAX(BZ26,BC26)))</f>
        <v/>
      </c>
      <c r="CB26" s="64" t="str">
        <f>IF(V26&lt;&gt;"SÍ","",IF(AND(CA26&gt;0,FLOOR(MIN(BD26,100*INDEX(TABLAS!$D$52:$D$58,MIN(MATCH(IF(ISNUMBER(S26),S26,DATOS!$C$135),TABLAS!$B$52:$B$58,0)+0,7))/MAX(CA26,0.0001)),DATOS!$C$141)&gt;=DATOS!$C$140),INDEX(TABLAS!$B$52:$B$58,MIN(MATCH(IF(ISNUMBER(S26),S26,DATOS!$C$135),TABLAS!$B$52:$B$58,0)+0,7)),IF(AND(CA26&gt;0,FLOOR(MIN(BD26,100*INDEX(TABLAS!$D$52:$D$58,MIN(MATCH(IF(ISNUMBER(S26),S26,DATOS!$C$135),TABLAS!$B$52:$B$58,0)+1,7))/MAX(CA26,0.0001)),DATOS!$C$141)&gt;=DATOS!$C$140),INDEX(TABLAS!$B$52:$B$58,MIN(MATCH(IF(ISNUMBER(S26),S26,DATOS!$C$135),TABLAS!$B$52:$B$58,0)+1,7)),IF(AND(CA26&gt;0,FLOOR(MIN(BD26,100*INDEX(TABLAS!$D$52:$D$58,MIN(MATCH(IF(ISNUMBER(S26),S26,DATOS!$C$135),TABLAS!$B$52:$B$58,0)+2,7))/MAX(CA26,0.0001)),DATOS!$C$141)&gt;=DATOS!$C$140),INDEX(TABLAS!$B$52:$B$58,MIN(MATCH(IF(ISNUMBER(S26),S26,DATOS!$C$135),TABLAS!$B$52:$B$58,0)+2,7)),IF(AND(CA26&gt;0,FLOOR(MIN(BD26,100*INDEX(TABLAS!$D$52:$D$58,MIN(MATCH(IF(ISNUMBER(S26),S26,DATOS!$C$135),TABLAS!$B$52:$B$58,0)+3,7))/MAX(CA26,0.0001)),DATOS!$C$141)&gt;=DATOS!$C$140),INDEX(TABLAS!$B$52:$B$58,MIN(MATCH(IF(ISNUMBER(S26),S26,DATOS!$C$135),TABLAS!$B$52:$B$58,0)+3,7)),IF(AND(CA26&gt;0,FLOOR(MIN(BD26,100*INDEX(TABLAS!$D$52:$D$58,MIN(MATCH(IF(ISNUMBER(S26),S26,DATOS!$C$135),TABLAS!$B$52:$B$58,0)+4,7))/MAX(CA26,0.0001)),DATOS!$C$141)&gt;=DATOS!$C$140),INDEX(TABLAS!$B$52:$B$58,MIN(MATCH(IF(ISNUMBER(S26),S26,DATOS!$C$135),TABLAS!$B$52:$B$58,0)+4,7)),INDEX(TABLAS!$B$52:$B$58,7)))))))</f>
        <v/>
      </c>
      <c r="CC26" s="71" t="str">
        <f>IF(V26&lt;&gt;"SÍ","",IF(CA26&lt;=0,0,FLOOR(MIN(BD26,100*INDEX(TABLAS!$D$52:$D$58,MATCH(CB26,TABLAS!$B$52:$B$58,0))/CA26),DATOS!$C$141)))</f>
        <v/>
      </c>
      <c r="CD26" s="58" t="str">
        <f>IF(V26&lt;&gt;"SÍ","",IF(CC26&lt;=0,0,INDEX(TABLAS!$D$52:$D$58,MATCH(CB26,TABLAS!$B$52:$B$58,0))*100/CC26))</f>
        <v/>
      </c>
      <c r="CE26" s="58" t="str">
        <f>IF(V26&lt;&gt;"SÍ","",W26-AE26-INDEX(TABLAS!$C$52:$C$58,MATCH(BH26,TABLAS!$B$52:$B$58,0))-INDEX(TABLAS!$C$52:$C$58,MATCH(CB26,TABLAS!$B$52:$B$58,0))/2)</f>
        <v/>
      </c>
      <c r="CF26" s="56" t="str">
        <f>IF(V26&lt;&gt;"SÍ","",IF(CD26=0,0,DATOS!$C$29*CD26*DATOS!$C$14*(CE26-CD26*DATOS!$C$14/(DATOS!$C$21*100)/2)/1E5))</f>
        <v/>
      </c>
      <c r="CG26" s="65" t="str">
        <f>IF(V26&lt;&gt;"SÍ","",IF(CA26&lt;0,9.99,IF(CF26&gt;0,AZ26/CF26,0)))</f>
        <v/>
      </c>
      <c r="CH26" s="66" t="str">
        <f>IF(V26&lt;&gt;"SÍ","",IF(CD26=0,"—",0.003*(CE26-(CD26*DATOS!$C$14/(DATOS!$C$21*100)/DATOS!$C$22))/(CD26*DATOS!$C$14/(DATOS!$C$21*100)/DATOS!$C$22)))</f>
        <v/>
      </c>
      <c r="CI26" s="58" t="str">
        <f>IF(V26&lt;&gt;"SÍ","",((W26-AF26-1.5*INDEX(TABLAS!$C$52:$C$58,MATCH(IF(ISNUMBER(S26),S26,DATOS!$C$135),TABLAS!$B$52:$B$58,0)))-IF(AND((W26-AF26-1.5*INDEX(TABLAS!$C$52:$C$58,MATCH(IF(ISNUMBER(S26),S26,DATOS!$C$135),TABLAS!$B$52:$B$58,0)))&lt;=20,DATOS!$C$62&lt;&gt;"SÍ"),2,0)))</f>
        <v/>
      </c>
      <c r="CJ26" s="58" t="str">
        <f>IF(V26&lt;&gt;"SÍ","",IF(BA26&lt;=0,0,IF((1-2*BA26*1E5/(DATOS!$C$29*100*CI26^2*DATOS!$C$21))&lt;0,-1,IF((1-SQRT((1-2*BA26*1E5/(DATOS!$C$29*100*CI26^2*DATOS!$C$21))))*DATOS!$C$21*100*CI26/DATOS!$C$14&gt;DATOS!$C$99*100*CI26,-1,(1-SQRT((1-2*BA26*1E5/(DATOS!$C$29*100*CI26^2*DATOS!$C$21))))*DATOS!$C$21*100*CI26/DATOS!$C$14))))</f>
        <v/>
      </c>
      <c r="CK26" s="58" t="str">
        <f>IF(V26&lt;&gt;"SÍ","",IF(CJ26&lt;0,-1,MAX(CJ26,BC26)))</f>
        <v/>
      </c>
      <c r="CL26" s="64" t="str">
        <f>IF(V26&lt;&gt;"SÍ","",IF(AND(CK26&gt;0,FLOOR(MIN(BD26,100*INDEX(TABLAS!$D$52:$D$58,MIN(MATCH(IF(ISNUMBER(S26),S26,DATOS!$C$135),TABLAS!$B$52:$B$58,0)+0,7))/MAX(CK26,0.0001)),DATOS!$C$141)&gt;=DATOS!$C$140),INDEX(TABLAS!$B$52:$B$58,MIN(MATCH(IF(ISNUMBER(S26),S26,DATOS!$C$135),TABLAS!$B$52:$B$58,0)+0,7)),IF(AND(CK26&gt;0,FLOOR(MIN(BD26,100*INDEX(TABLAS!$D$52:$D$58,MIN(MATCH(IF(ISNUMBER(S26),S26,DATOS!$C$135),TABLAS!$B$52:$B$58,0)+1,7))/MAX(CK26,0.0001)),DATOS!$C$141)&gt;=DATOS!$C$140),INDEX(TABLAS!$B$52:$B$58,MIN(MATCH(IF(ISNUMBER(S26),S26,DATOS!$C$135),TABLAS!$B$52:$B$58,0)+1,7)),IF(AND(CK26&gt;0,FLOOR(MIN(BD26,100*INDEX(TABLAS!$D$52:$D$58,MIN(MATCH(IF(ISNUMBER(S26),S26,DATOS!$C$135),TABLAS!$B$52:$B$58,0)+2,7))/MAX(CK26,0.0001)),DATOS!$C$141)&gt;=DATOS!$C$140),INDEX(TABLAS!$B$52:$B$58,MIN(MATCH(IF(ISNUMBER(S26),S26,DATOS!$C$135),TABLAS!$B$52:$B$58,0)+2,7)),IF(AND(CK26&gt;0,FLOOR(MIN(BD26,100*INDEX(TABLAS!$D$52:$D$58,MIN(MATCH(IF(ISNUMBER(S26),S26,DATOS!$C$135),TABLAS!$B$52:$B$58,0)+3,7))/MAX(CK26,0.0001)),DATOS!$C$141)&gt;=DATOS!$C$140),INDEX(TABLAS!$B$52:$B$58,MIN(MATCH(IF(ISNUMBER(S26),S26,DATOS!$C$135),TABLAS!$B$52:$B$58,0)+3,7)),IF(AND(CK26&gt;0,FLOOR(MIN(BD26,100*INDEX(TABLAS!$D$52:$D$58,MIN(MATCH(IF(ISNUMBER(S26),S26,DATOS!$C$135),TABLAS!$B$52:$B$58,0)+4,7))/MAX(CK26,0.0001)),DATOS!$C$141)&gt;=DATOS!$C$140),INDEX(TABLAS!$B$52:$B$58,MIN(MATCH(IF(ISNUMBER(S26),S26,DATOS!$C$135),TABLAS!$B$52:$B$58,0)+4,7)),INDEX(TABLAS!$B$52:$B$58,7)))))))</f>
        <v/>
      </c>
      <c r="CM26" s="71" t="str">
        <f>IF(V26&lt;&gt;"SÍ","",IF(CK26&lt;=0,0,FLOOR(MIN(BD26,100*INDEX(TABLAS!$D$52:$D$58,MATCH(CL26,TABLAS!$B$52:$B$58,0))/CK26),DATOS!$C$141)))</f>
        <v/>
      </c>
      <c r="CN26" s="58" t="str">
        <f>IF(V26&lt;&gt;"SÍ","",IF(CM26&lt;=0,0,INDEX(TABLAS!$D$52:$D$58,MATCH(CL26,TABLAS!$B$52:$B$58,0))*100/CM26))</f>
        <v/>
      </c>
      <c r="CO26" s="58" t="str">
        <f>IF(V26&lt;&gt;"SÍ","",((W26-AF26-INDEX(TABLAS!$C$52:$C$58,MATCH(BR26,TABLAS!$B$52:$B$58,0))-INDEX(TABLAS!$C$52:$C$58,MATCH(CL26,TABLAS!$B$52:$B$58,0))/2)-IF(AND((W26-AF26-INDEX(TABLAS!$C$52:$C$58,MATCH(BR26,TABLAS!$B$52:$B$58,0))-INDEX(TABLAS!$C$52:$C$58,MATCH(CL26,TABLAS!$B$52:$B$58,0))/2)&lt;=20,DATOS!$C$62&lt;&gt;"SÍ"),2,0)))</f>
        <v/>
      </c>
      <c r="CP26" s="56" t="str">
        <f>IF(V26&lt;&gt;"SÍ","",IF(CN26=0,0,DATOS!$C$29*CN26*DATOS!$C$14*(CO26-CN26*DATOS!$C$14/(DATOS!$C$21*100)/2)/1E5))</f>
        <v/>
      </c>
      <c r="CQ26" s="65" t="str">
        <f>IF(V26&lt;&gt;"SÍ","",IF(CK26&lt;0,9.99,IF(CP26&gt;0,BA26/CP26,0)))</f>
        <v/>
      </c>
      <c r="CR26" s="66" t="str">
        <f>IF(V26&lt;&gt;"SÍ","",IF(CN26=0,"—",0.003*(CO26-(CN26*DATOS!$C$14/(DATOS!$C$21*100)/DATOS!$C$22))/(CN26*DATOS!$C$14/(DATOS!$C$21*100)/DATOS!$C$22)))</f>
        <v/>
      </c>
      <c r="CS26" s="56" t="str">
        <f>IF(V26&lt;&gt;"SÍ","",IF(C26="PERIMETRAL",MAX(0,(AC26/2-BU26)/100)*(0.95-0.5*AB26)*AK26*IF(AND(AL26&gt;0,AL26&lt;4),DATOS!$C$33,1)/1000,(AK26*MAX(0,AC26-BU26)/100+DATOS!$C$26*N(P26))/1000))</f>
        <v/>
      </c>
      <c r="CT26" s="66" t="str">
        <f>IF(V26&lt;&gt;"SÍ","",BT26/(100*BU26))</f>
        <v/>
      </c>
      <c r="CU26" s="56" t="str">
        <f>IF(V26&lt;&gt;"SÍ","",DATOS!$C$30*2*MIN(1,SQRT(2/(1+0.04*BU26)))*CT26^(1/3)*SQRT(DATOS!$C$13)*100*BU26/1000)</f>
        <v/>
      </c>
      <c r="CV26" s="67" t="str">
        <f>IF(V26&lt;&gt;"SÍ","",IF(CS26&lt;=CU26,"CUMPLE","NO CUMPLE: sube h"))</f>
        <v/>
      </c>
      <c r="CW26" s="58" t="str">
        <f>IF(V26&lt;&gt;"SÍ","",IF(C26="PERIMETRAL",IF(ISNUMBER(R26),R26,DATOS!$C$101),0))</f>
        <v/>
      </c>
      <c r="CX26" s="57" t="str">
        <f>IF(V26&lt;&gt;"SÍ","",IF(C26="PERIMETRAL",IF(CW26&gt;2,MAX(9,AD26*(0.8+DATOS!$C$14/14000)/(36+9*(AD26/MAX(AC26,1)))),IF(CW26&gt;0.2,MAX(13,AD26*(0.8+DATOS!$C$14/14000)/(36+5*(AD26/MAX(AC26,1))*(CW26-0.2))),MAX(13,AD26/IF(AL26&gt;0,30,33))))*IF(AND(CW26&gt;0.2,AL26&gt;0,DATOS!$C$102="NO"),1.1,1),Z26*100/DATOS!$C$142))</f>
        <v/>
      </c>
      <c r="CY26" s="61" t="str">
        <f>IF(V26&lt;&gt;"SÍ","",IF(W26&gt;=CX26-0.001,"CUMPLE",IF(C26="VOLADO","NO CUMPLE","CALCULAR FLECHA")))</f>
        <v/>
      </c>
      <c r="CZ26" s="60" t="str">
        <f>IF(V26&lt;&gt;"SÍ","",IF(C26="VOLADO",MIN(CEILING(IF(ISNUMBER(Q26),Q26,Z26)*100,5),CEILING(MAX(IF((0.5*(0.9*W26/100*DATOS!$C$16)*IF(ISNUMBER(Q26),Q26,Z26)+AY26/IF(ISNUMBER(Q26),Q26,Z26))^2-4*(0.5*(0.9*W26/100*DATOS!$C$16))*AY26&lt;0,IF(ISNUMBER(Q26),Q26,Z26),MIN(IF(ISNUMBER(Q26),Q26,Z26),((0.5*(0.9*W26/100*DATOS!$C$16)*IF(ISNUMBER(Q26),Q26,Z26)+AY26/IF(ISNUMBER(Q26),Q26,Z26))-SQRT((0.5*(0.9*W26/100*DATOS!$C$16)*IF(ISNUMBER(Q26),Q26,Z26)+AY26/IF(ISNUMBER(Q26),Q26,Z26))^2-4*(0.5*(0.9*W26/100*DATOS!$C$16))*AY26))/(2*(0.5*(0.9*W26/100*DATOS!$C$16)))))*100+MAX(BU26,12*INDEX(TABLAS!$C$52:$C$58,MATCH(BR26,TABLAS!$B$52:$B$58,0)),IF(ISNUMBER(Q26),Q26,Z26)*100/16),IF(OR(AF26&lt;INDEX(TABLAS!$C$52:$C$58,MATCH(BR26,TABLAS!$B$52:$B$58,0)),BS26-INDEX(TABLAS!$C$52:$C$58,MATCH(BR26,TABLAS!$B$52:$B$58,0))&lt;2*INDEX(TABLAS!$C$52:$C$58,MATCH(BR26,TABLAS!$B$52:$B$58,0))),INDEX(TABLAS!$I$52:$I$58,MATCH(BR26,TABLAS!$B$52:$B$58,0)),INDEX(TABLAS!$F$52:$F$58,MATCH(BR26,TABLAS!$B$52:$B$58,0)))),5)),IF(((4*((AV26*AK26*Z26^2*1E-4/1000)+((MAX(AR26,AT26)*AK26*Z26^2*1E-4/1000)+(IF(AND(AR26&gt;0,AT26&gt;0),MIN(AR26,AT26),MAX(AR26,AT26))*AK26*Z26^2*1E-4/1000))/2)+AY26-(IF(AND(AR26&gt;0,AT26&gt;0),MIN(AR26,AT26),MAX(AR26,AT26))*AK26*Z26^2*1E-4/1000))^2-16*((AV26*AK26*Z26^2*1E-4/1000)+((MAX(AR26,AT26)*AK26*Z26^2*1E-4/1000)+(IF(AND(AR26&gt;0,AT26&gt;0),MIN(AR26,AT26),MAX(AR26,AT26))*AK26*Z26^2*1E-4/1000))/2)*AY26)&lt;0,CEILING(AC26,5),CEILING(MAX(AC26*((4*((AV26*AK26*Z26^2*1E-4/1000)+((MAX(AR26,AT26)*AK26*Z26^2*1E-4/1000)+(IF(AND(AR26&gt;0,AT26&gt;0),MIN(AR26,AT26),MAX(AR26,AT26))*AK26*Z26^2*1E-4/1000))/2)+AY26-(IF(AND(AR26&gt;0,AT26&gt;0),MIN(AR26,AT26),MAX(AR26,AT26))*AK26*Z26^2*1E-4/1000))-SQRT(MAX(0,((4*((AV26*AK26*Z26^2*1E-4/1000)+((MAX(AR26,AT26)*AK26*Z26^2*1E-4/1000)+(IF(AND(AR26&gt;0,AT26&gt;0),MIN(AR26,AT26),MAX(AR26,AT26))*AK26*Z26^2*1E-4/1000))/2)+AY26-(IF(AND(AR26&gt;0,AT26&gt;0),MIN(AR26,AT26),MAX(AR26,AT26))*AK26*Z26^2*1E-4/1000))^2-16*((AV26*AK26*Z26^2*1E-4/1000)+((MAX(AR26,AT26)*AK26*Z26^2*1E-4/1000)+(IF(AND(AR26&gt;0,AT26&gt;0),MIN(AR26,AT26),MAX(AR26,AT26))*AK26*Z26^2*1E-4/1000))/2)*AY26))))/(8*MAX(((AV26*AK26*Z26^2*1E-4/1000)+((MAX(AR26,AT26)*AK26*Z26^2*1E-4/1000)+(IF(AND(AR26&gt;0,AT26&gt;0),MIN(AR26,AT26),MAX(AR26,AT26))*AK26*Z26^2*1E-4/1000))/2),1E-9))+MAX(BU26,12*INDEX(TABLAS!$C$52:$C$58,MATCH(BR26,TABLAS!$B$52:$B$58,0)),AC26/16),IF(OR(AF26&lt;INDEX(TABLAS!$C$52:$C$58,MATCH(BR26,TABLAS!$B$52:$B$58,0)),BS26-INDEX(TABLAS!$C$52:$C$58,MATCH(BR26,TABLAS!$B$52:$B$58,0))&lt;2*INDEX(TABLAS!$C$52:$C$58,MATCH(BR26,TABLAS!$B$52:$B$58,0))),INDEX(TABLAS!$I$52:$I$58,MATCH(BR26,TABLAS!$B$52:$B$58,0)),INDEX(TABLAS!$F$52:$F$58,MATCH(BR26,TABLAS!$B$52:$B$58,0)))),5))))</f>
        <v/>
      </c>
      <c r="DA26" s="60" t="str">
        <f>IF(V26&lt;&gt;"SÍ","",IF(C26="VOLADO",0,IF(((4*((AW26*AK26*Z26^2*1E-4/1000)+((MAX(AS26,AU26)*AK26*Z26^2*1E-4/1000)+(IF(AND(AS26&gt;0,AU26&gt;0),MIN(AS26,AU26),MAX(AS26,AU26))*AK26*Z26^2*1E-4/1000))/2)+BA26-(IF(AND(AS26&gt;0,AU26&gt;0),MIN(AS26,AU26),MAX(AS26,AU26))*AK26*Z26^2*1E-4/1000))^2-16*((AW26*AK26*Z26^2*1E-4/1000)+((MAX(AS26,AU26)*AK26*Z26^2*1E-4/1000)+(IF(AND(AS26&gt;0,AU26&gt;0),MIN(AS26,AU26),MAX(AS26,AU26))*AK26*Z26^2*1E-4/1000))/2)*BA26)&lt;0,CEILING(AD26,5),CEILING(MAX(AD26*((4*((AW26*AK26*Z26^2*1E-4/1000)+((MAX(AS26,AU26)*AK26*Z26^2*1E-4/1000)+(IF(AND(AS26&gt;0,AU26&gt;0),MIN(AS26,AU26),MAX(AS26,AU26))*AK26*Z26^2*1E-4/1000))/2)+BA26-(IF(AND(AS26&gt;0,AU26&gt;0),MIN(AS26,AU26),MAX(AS26,AU26))*AK26*Z26^2*1E-4/1000))-SQRT(MAX(0,((4*((AW26*AK26*Z26^2*1E-4/1000)+((MAX(AS26,AU26)*AK26*Z26^2*1E-4/1000)+(IF(AND(AS26&gt;0,AU26&gt;0),MIN(AS26,AU26),MAX(AS26,AU26))*AK26*Z26^2*1E-4/1000))/2)+BA26-(IF(AND(AS26&gt;0,AU26&gt;0),MIN(AS26,AU26),MAX(AS26,AU26))*AK26*Z26^2*1E-4/1000))^2-16*((AW26*AK26*Z26^2*1E-4/1000)+((MAX(AS26,AU26)*AK26*Z26^2*1E-4/1000)+(IF(AND(AS26&gt;0,AU26&gt;0),MIN(AS26,AU26),MAX(AS26,AU26))*AK26*Z26^2*1E-4/1000))/2)*BA26))))/(8*MAX(((AW26*AK26*Z26^2*1E-4/1000)+((MAX(AS26,AU26)*AK26*Z26^2*1E-4/1000)+(IF(AND(AS26&gt;0,AU26&gt;0),MIN(AS26,AU26),MAX(AS26,AU26))*AK26*Z26^2*1E-4/1000))/2),1E-9))+MAX(CO26,12*INDEX(TABLAS!$C$52:$C$58,MATCH(CL26,TABLAS!$B$52:$B$58,0)),AD26/16),IF(OR(AF26&lt;INDEX(TABLAS!$C$52:$C$58,MATCH(CL26,TABLAS!$B$52:$B$58,0)),CM26-INDEX(TABLAS!$C$52:$C$58,MATCH(CL26,TABLAS!$B$52:$B$58,0))&lt;2*INDEX(TABLAS!$C$52:$C$58,MATCH(CL26,TABLAS!$B$52:$B$58,0))),INDEX(TABLAS!$I$52:$I$58,MATCH(CL26,TABLAS!$B$52:$B$58,0)),INDEX(TABLAS!$F$52:$F$58,MATCH(CL26,TABLAS!$B$52:$B$58,0)))),5))))</f>
        <v/>
      </c>
      <c r="DB26" s="55" t="str">
        <f>IF(V26&lt;&gt;"SÍ","",IF(AND(C26="PERIMETRAL",AL26-AM26&gt;0,AT26&gt;0),"SÍ","NO"))</f>
        <v/>
      </c>
      <c r="DC26" s="55" t="str">
        <f>IF(V26&lt;&gt;"SÍ","",IF(AND(C26="PERIMETRAL",AM26&gt;0,AU26&gt;0),"SÍ","NO"))</f>
        <v/>
      </c>
      <c r="DD26" s="63" t="str">
        <f>IF(V26&lt;&gt;"SÍ","",IF(OR(C26="VOLADO",AL26=0),"—",IF(AND(AND(INDEX(TABLAS!$G$52:$G$58,MATCH(MAX(BR26,CL26),TABLAS!$B$52:$B$58,0))&lt;=(DATOS!$C$72-DATOS!$C$60),(DATOS!$C$72-DATOS!$C$60)&gt;=15),8*INDEX(TABLAS!$C$52:$C$58,MATCH(MAX(BH26,CB26,BR26,CL26),TABLAS!$B$52:$B$58,0))&lt;=DATOS!$C$73-2*DATOS!$C$60),"CUMPLE (gancho de 180°)",IF(AND(INDEX(TABLAS!$G$52:$G$58,MATCH(MAX(BR26,CL26),TABLAS!$B$52:$B$58,0))&lt;=(DATOS!$C$72-DATOS!$C$60),(DATOS!$C$72-DATOS!$C$60)&gt;=15),"NO CUMPLE: el gancho de 180° (8·d_b) no cabe en el peralte de la dala de borde","NO CUMPLE: dala de borde ≥ "&amp;TEXT(CEILING(MAX(INDEX(TABLAS!$G$52:$G$58,MATCH(MAX(BR26,CL26),TABLAS!$B$52:$B$58,0)),15)+DATOS!$C$60,5),"0")&amp;" cm de ancho"&amp;IF(8*INDEX(TABLAS!$C$52:$C$58,MATCH(MAX(BH26,CB26,BR26,CL26),TABLAS!$B$52:$B$58,0))&lt;=DATOS!$C$73-2*DATOS!$C$60,""," y más peralte para el gancho")))))</f>
        <v/>
      </c>
      <c r="DE26" s="69" t="str">
        <f>IF(V26&lt;&gt;"SÍ","",IF(BI26=0,"NO ALCANZA","No. "&amp;BH26&amp;" @ "&amp;BI26&amp;" cm"&amp;IF(C26="VOLADO"," (temperatura)","")))</f>
        <v/>
      </c>
      <c r="DF26" s="69" t="str">
        <f>IF(V26&lt;&gt;"SÍ","",IF(BS26=0,"NO ALCANZA",IF(C26="VOLADO","No. "&amp;BR26&amp;" @ "&amp;BS26&amp;" cm"&amp;" de la orilla al respaldo ("&amp;IF(CZ26&gt;=100*IF(ISNUMBER(Q26),Q26,Z26),"hasta su apoyo lejano, con gancho","entran "&amp;TEXT(CZ26/100,"0.00")&amp;" m desde el paño")&amp;")","Bastones "&amp;"No. "&amp;BR26&amp;" @ "&amp;BS26&amp;" cm"&amp;", L = "&amp;TEXT(CZ26/100,"0.00")&amp;" m desde el paño")))</f>
        <v/>
      </c>
      <c r="DG26" s="69" t="str">
        <f>IF(V26&lt;&gt;"SÍ","",IF(CC26=0,"NO ALCANZA","No. "&amp;CB26&amp;" @ "&amp;CC26&amp;" cm"&amp;IF(C26="VOLADO"," (repartición)","")))</f>
        <v/>
      </c>
      <c r="DH26" s="69" t="str">
        <f>IF(V26&lt;&gt;"SÍ","",IF(CM26=0,"NO ALCANZA",IF(C26="VOLADO","No. "&amp;CL26&amp;" @ "&amp;CM26&amp;" cm"&amp;" (repartición)","Bastones "&amp;"No. "&amp;CL26&amp;" @ "&amp;CM26&amp;" cm"&amp;", L = "&amp;TEXT(DA26/100,"0.00")&amp;" m desde el paño")))</f>
        <v/>
      </c>
      <c r="DI26" s="67" t="str">
        <f>IF(B26="","",IF(V26&lt;&gt;"SÍ","FALTAN DATOS: tipo, a_x, a_y y destino",IF(L26="NO MONOLÍTICO (caso II)","FUERA DE ALCANCE: caso II no transcrito",IF(AND(C26="VOLADO",X26="?"),"REVISAR: el volado lleva UN solo borde CONTINUO (el empotrado)",IF(AND(MAX(BM26,BW26,CG26,CQ26)&lt;=1,NOT(OR(BI26&lt;DATOS!$C$140,BS26&lt;DATOS!$C$140,CC26&lt;DATOS!$C$140,CM26&lt;DATOS!$C$140)),NOT(OR(AND(ISNUMBER(BN26),BN26&lt;0.005),AND(ISNUMBER(BX26),BX26&lt;0.005),AND(ISNUMBER(CH26),CH26&lt;0.005),AND(ISNUMBER(CR26),CR26&lt;0.005))),CV26="CUMPLE",CY26="CUMPLE"),"CUMPLE"&amp;IF(LEFT(BB26,5)="FUERA"," · fuera de 3.4.2.1 c)","")&amp;IF(LEFT(DD26,2)="NO"," · REVISAR anclaje en borde discontinuo",""),IF(AND(MAX(BM26,BW26,CG26,CQ26)&lt;=1,NOT(OR(BI26&lt;DATOS!$C$140,BS26&lt;DATOS!$C$140,CC26&lt;DATOS!$C$140,CM26&lt;DATOS!$C$140)),NOT(OR(AND(ISNUMBER(BN26),BN26&lt;0.005),AND(ISNUMBER(BX26),BX26&lt;0.005),AND(ISNUMBER(CH26),CH26&lt;0.005),AND(ISNUMBER(CR26),CR26&lt;0.005))),CV26="CUMPLE",CY26="CALCULAR FLECHA"),"REVISAR: calcular flecha (h &lt; h mín.)"&amp;IF(LEFT(BB26,5)="FUERA"," · fuera de 3.4.2.1 c)","")&amp;IF(LEFT(DD26,2)="NO"," · REVISAR anclaje en borde discontinuo",""),"NO CUMPLE: "&amp;IF(MAX(BM26,BW26,CG26,CQ26)&gt;1,"flexión ","")&amp;IF(OR(BI26&lt;DATOS!$C$140,BS26&lt;DATOS!$C$140,CC26&lt;DATOS!$C$140,CM26&lt;DATOS!$C$140),"separación &lt; mínima ","")&amp;IF(OR(AND(ISNUMBER(BN26),BN26&lt;0.005),AND(ISNUMBER(BX26),BX26&lt;0.005),AND(ISNUMBER(CH26),CH26&lt;0.005),AND(ISNUMBER(CR26),CR26&lt;0.005)),"ε_t &lt; 0.005 ","")&amp;IF(CV26&lt;&gt;"CUMPLE","cortante ","")&amp;IF(CY26="NO CUMPLE","peralte","")))))))</f>
        <v/>
      </c>
      <c r="DJ26" s="70" t="str">
        <f>IF(V26&lt;&gt;"SÍ","",IF(LEFT(B26,7)="EJEMPLO","EJEMPLO de tablero típico: bórralo o sobrescríbelo. ","")&amp;IF(C26="VOLADO","Volado de "&amp;TEXT(Z26,"0.00")&amp;" m empotrado en el borde "&amp;LOWER(X26)&amp;IF(N(P26)&gt;0,", con "&amp;TEXT(P26,"0.0")&amp;" kg/m en la orilla","")&amp;". Lecho inferior con r_ext. Si la orilla carga pretil u otro elemento frágil, calcula la flecha (13.4). El acero superior entra al respaldo de "&amp;TEXT(IF(ISNUMBER(Q26),Q26,Z26),"0.00")&amp;" m"&amp;IF(ISNUMBER(Q26),""," (L_b no capturado: se tomó igual al volado)")&amp;" hasta pasar M = 0 con 0.9·PP sin carga viva; si ahí no se anula, llega al apoyo lejano y se ancla con gancho. ","")&amp;IF(LEFT(BB26,5)="FUERA","El M⁻ del vecino difiere más de 50 % (3.4.2.1 c): distribuye el desequilibrio (3.4.3.1) o confirma con un modelo; se arma con el mayor. ","")&amp;IF(OR(DB26="SÍ",DC26="SÍ"),"Bastones también en los bordes discontinuos (M⁻ de tabla), con gancho. ","")&amp;IF(LEFT(DD26,2)="NO","Anclaje: "&amp;DD26&amp;" (6.7.7.4.1.1). ","")&amp;IF(OR(AT26&gt;0,AU26&gt;0),"Esquinas exteriores sobre muro: refuerzo de esquina arriba y abajo en L_largo/5 (6.7.7.3.1). ",""))</f>
        <v/>
      </c>
    </row>
    <row r="27" ht="33" customHeight="1">
      <c r="A27" s="50">
        <f>IF(B27="",0,1)+A26</f>
        <v>3</v>
      </c>
      <c r="B27" s="29" t="n"/>
      <c r="C27" s="51" t="n"/>
      <c r="D27" s="29" t="n"/>
      <c r="E27" s="52" t="n"/>
      <c r="F27" s="52" t="n"/>
      <c r="G27" s="51" t="n"/>
      <c r="H27" s="51" t="n"/>
      <c r="I27" s="51" t="n"/>
      <c r="J27" s="51" t="n"/>
      <c r="K27" s="51" t="n"/>
      <c r="L27" s="51" t="n"/>
      <c r="M27" s="54" t="n"/>
      <c r="N27" s="53" t="n"/>
      <c r="O27" s="53" t="n"/>
      <c r="P27" s="54" t="n"/>
      <c r="Q27" s="52" t="n"/>
      <c r="R27" s="54" t="n"/>
      <c r="S27" s="53" t="n"/>
      <c r="T27" s="52" t="n"/>
      <c r="U27" s="52" t="n"/>
      <c r="V27" s="55" t="str">
        <f>IF(B27="","",IF(AND(OR(C27="PERIMETRAL",C27="VOLADO"),ISNUMBER(E27),ISNUMBER(F27),E27&gt;0,F27&gt;0,OR(ISNUMBER(O27),ISNUMBER(MATCH(D27,DATOS!$B$46:$B$55,0)))),"SÍ","NO"))</f>
        <v/>
      </c>
      <c r="W27" s="57" t="str">
        <f>IF(V27&lt;&gt;"SÍ","",IF(ISNUMBER(M27),M27,DATOS!$C$134))</f>
        <v/>
      </c>
      <c r="X27" s="55" t="str">
        <f>IF(V27&lt;&gt;"SÍ","",IF(C27&lt;&gt;"VOLADO","—",IF(COUNTIF(G27:J27,"CONTINUO")&lt;&gt;1,"?",IF(G27="CONTINUO","INFERIOR",IF(H27="CONTINUO","SUPERIOR",IF(I27="CONTINUO","IZQUIERDO","DERECHO"))))))</f>
        <v/>
      </c>
      <c r="Y27" s="55" t="str">
        <f>IF(V27&lt;&gt;"SÍ","",IF(C27="VOLADO",IF(OR(X27="IZQUIERDO",X27="DERECHO"),"X","Y"),IF(E27&lt;=F27,"X","Y")))</f>
        <v/>
      </c>
      <c r="Z27" s="56" t="str">
        <f>IF(V27&lt;&gt;"SÍ","",IF(C27="VOLADO",IF(Y27="X",E27,F27),MIN(E27,F27)))</f>
        <v/>
      </c>
      <c r="AA27" s="56" t="str">
        <f>IF(V27&lt;&gt;"SÍ","",IF(C27="VOLADO",IF(Y27="X",F27,E27),MAX(E27,F27)))</f>
        <v/>
      </c>
      <c r="AB27" s="56" t="str">
        <f>IF(V27&lt;&gt;"SÍ","",MIN(Z27,AA27)/MAX(Z27,AA27))</f>
        <v/>
      </c>
      <c r="AC27" s="57" t="str">
        <f>IF(V27&lt;&gt;"SÍ","",MAX(1,Z27*100-IF(C27="VOLADO",DATOS!$C$84/2,DATOS!$C$84)))</f>
        <v/>
      </c>
      <c r="AD27" s="57" t="str">
        <f>IF(V27&lt;&gt;"SÍ","",MAX(1,AA27*100-DATOS!$C$84))</f>
        <v/>
      </c>
      <c r="AE27" s="57" t="str">
        <f>IF(V27&lt;&gt;"SÍ","",IF(C27="VOLADO",DATOS!$C$61,DATOS!$C$59))</f>
        <v/>
      </c>
      <c r="AF27" s="57" t="str">
        <f>IF(V27&lt;&gt;"SÍ","",IF(OR(AND(AG27="SÍ",DATOS!$C$63="SÍ"),AND(C27="VOLADO",DATOS!$C$64="SÍ")),DATOS!$C$61,DATOS!$C$59))</f>
        <v/>
      </c>
      <c r="AG27" s="55" t="str">
        <f>IF(V27&lt;&gt;"SÍ","",IFERROR(INDEX(DATOS!$D$46:$D$55,MATCH(D27,DATOS!$B$46:$B$55,0)),"NO"))</f>
        <v/>
      </c>
      <c r="AH27" s="59" t="str">
        <f>IF(V27&lt;&gt;"SÍ","",IF(ISNUMBER(O27),O27,IFERROR(INDEX(DATOS!$C$46:$C$55,MATCH(D27,DATOS!$B$46:$B$55,0)),0)))</f>
        <v/>
      </c>
      <c r="AI27" s="59" t="str">
        <f>IF(V27&lt;&gt;"SÍ","",W27/100*DATOS!$C$16*1000+DATOS!$C$37+DATOS!$C$38)</f>
        <v/>
      </c>
      <c r="AJ27" s="59" t="str">
        <f>IF(V27&lt;&gt;"SÍ","",AI27+N(N27))</f>
        <v/>
      </c>
      <c r="AK27" s="60" t="str">
        <f>IF(V27&lt;&gt;"SÍ","",MAX(DATOS!$C$26*AJ27+DATOS!$C$27*AH27,IF(AG27="SÍ",DATOS!$C$28*(AJ27+DATOS!$C$41),0)))</f>
        <v/>
      </c>
      <c r="AL27" s="59" t="str">
        <f>IF(V27&lt;&gt;"SÍ","",(G27="DISCONTINUO")+(H27="DISCONTINUO")+(I27="DISCONTINUO")+(J27="DISCONTINUO"))</f>
        <v/>
      </c>
      <c r="AM27" s="59" t="str">
        <f>IF(V27&lt;&gt;"SÍ","",IF(Y27="X",(G27="DISCONTINUO")+(H27="DISCONTINUO"),(I27="DISCONTINUO")+(J27="DISCONTINUO")))</f>
        <v/>
      </c>
      <c r="AN27" s="55" t="str">
        <f>IF(V27&lt;&gt;"SÍ","",IF(AL27=0,"INTERIOR",IF(AL27=1,IF(AM27=1,"BORDE-CORTO","BORDE-LARGO"),IF(AL27=2,IF(AM27=1,"ESQUINA",IF(AM27=2,"EXTREMO-LARGO","EXTREMO-CORTO")),IF(AL27=3,IF(AM27=2,"EXTREMO-LARGO","EXTREMO-CORTO"),"AISLADO")))))</f>
        <v/>
      </c>
      <c r="AO27" s="61" t="str">
        <f>IF(V27&lt;&gt;"SÍ","",IF(OR(K27="",K27="AUTO"),AN27,K27))</f>
        <v/>
      </c>
      <c r="AP27" s="59" t="str">
        <f>IF(V27&lt;&gt;"SÍ","",MATCH(AB27,TABLAS!$D$5:$J$5,1))</f>
        <v/>
      </c>
      <c r="AQ27" s="58" t="str">
        <f>IF(V27&lt;&gt;"SÍ","",IF(AP27&gt;=7,0,(AB27-INDEX(TABLAS!$D$5:$J$5,AP27))/(INDEX(TABLAS!$D$5:$J$5,AP27+1)-INDEX(TABLAS!$D$5:$J$5,AP27))))</f>
        <v/>
      </c>
      <c r="AR27" s="59" t="str">
        <f>IF(V27&lt;&gt;"SÍ","",INDEX(TABLAS!$D$6:$J$47,MATCH(AO27&amp;"|NIC",TABLAS!$B$6:$B$47,0),AP27)+AQ27*(INDEX(TABLAS!$D$6:$J$47,MATCH(AO27&amp;"|NIC",TABLAS!$B$6:$B$47,0),MIN(AP27+1,7))-INDEX(TABLAS!$D$6:$J$47,MATCH(AO27&amp;"|NIC",TABLAS!$B$6:$B$47,0),AP27)))</f>
        <v/>
      </c>
      <c r="AS27" s="59" t="str">
        <f>IF(V27&lt;&gt;"SÍ","",INDEX(TABLAS!$D$6:$J$47,MATCH(AO27&amp;"|NIL",TABLAS!$B$6:$B$47,0),AP27)+AQ27*(INDEX(TABLAS!$D$6:$J$47,MATCH(AO27&amp;"|NIL",TABLAS!$B$6:$B$47,0),MIN(AP27+1,7))-INDEX(TABLAS!$D$6:$J$47,MATCH(AO27&amp;"|NIL",TABLAS!$B$6:$B$47,0),AP27)))</f>
        <v/>
      </c>
      <c r="AT27" s="59" t="str">
        <f>IF(V27&lt;&gt;"SÍ","",INDEX(TABLAS!$D$6:$J$47,MATCH(AO27&amp;"|NDC",TABLAS!$B$6:$B$47,0),AP27)+AQ27*(INDEX(TABLAS!$D$6:$J$47,MATCH(AO27&amp;"|NDC",TABLAS!$B$6:$B$47,0),MIN(AP27+1,7))-INDEX(TABLAS!$D$6:$J$47,MATCH(AO27&amp;"|NDC",TABLAS!$B$6:$B$47,0),AP27)))</f>
        <v/>
      </c>
      <c r="AU27" s="59" t="str">
        <f>IF(V27&lt;&gt;"SÍ","",INDEX(TABLAS!$D$6:$J$47,MATCH(AO27&amp;"|NDL",TABLAS!$B$6:$B$47,0),AP27)+AQ27*(INDEX(TABLAS!$D$6:$J$47,MATCH(AO27&amp;"|NDL",TABLAS!$B$6:$B$47,0),MIN(AP27+1,7))-INDEX(TABLAS!$D$6:$J$47,MATCH(AO27&amp;"|NDL",TABLAS!$B$6:$B$47,0),AP27)))</f>
        <v/>
      </c>
      <c r="AV27" s="59" t="str">
        <f>IF(V27&lt;&gt;"SÍ","",INDEX(TABLAS!$D$6:$J$47,MATCH(AO27&amp;"|PC",TABLAS!$B$6:$B$47,0),AP27)+AQ27*(INDEX(TABLAS!$D$6:$J$47,MATCH(AO27&amp;"|PC",TABLAS!$B$6:$B$47,0),MIN(AP27+1,7))-INDEX(TABLAS!$D$6:$J$47,MATCH(AO27&amp;"|PC",TABLAS!$B$6:$B$47,0),AP27)))</f>
        <v/>
      </c>
      <c r="AW27" s="59" t="str">
        <f>IF(V27&lt;&gt;"SÍ","",INDEX(TABLAS!$D$6:$J$47,MATCH(AO27&amp;"|PL",TABLAS!$B$6:$B$47,0),AP27)+AQ27*(INDEX(TABLAS!$D$6:$J$47,MATCH(AO27&amp;"|PL",TABLAS!$B$6:$B$47,0),MIN(AP27+1,7))-INDEX(TABLAS!$D$6:$J$47,MATCH(AO27&amp;"|PL",TABLAS!$B$6:$B$47,0),AP27)))</f>
        <v/>
      </c>
      <c r="AX27" s="56" t="str">
        <f>IF(V27&lt;&gt;"SÍ","",IF(C27="PERIMETRAL",AV27*AK27*Z27^2*1E-4/1000,0))</f>
        <v/>
      </c>
      <c r="AY27" s="62" t="str">
        <f>IF(V27&lt;&gt;"SÍ","",IF(C27="PERIMETRAL",MAX(MAX(AR27,AT27)*AK27*Z27^2*1E-4/1000,N(T27)),(AK27*(AC27/100)^2/2+DATOS!$C$26*N(P27)*AC27/100)/1000))</f>
        <v/>
      </c>
      <c r="AZ27" s="56" t="str">
        <f>IF(V27&lt;&gt;"SÍ","",IF(C27="PERIMETRAL",AW27*AK27*Z27^2*1E-4/1000,0))</f>
        <v/>
      </c>
      <c r="BA27" s="56" t="str">
        <f>IF(V27&lt;&gt;"SÍ","",IF(C27="PERIMETRAL",MAX(MAX(AS27,AU27)*AK27*Z27^2*1E-4/1000,N(U27)),0))</f>
        <v/>
      </c>
      <c r="BB27" s="63" t="str">
        <f>IF(V27&lt;&gt;"SÍ","",IF(C27&lt;&gt;"PERIMETRAL","—",IF(AND(N(T27)=0,N(U27)=0),"— (sin M⁻ del vecino)",IF(OR(AND(N(T27)&gt;0,ABS(MAX(AR27,AT27)*AK27*Z27^2*1E-4/1000-N(T27))&gt;0.5*MIN(MAX(AR27,AT27)*AK27*Z27^2*1E-4/1000,N(T27))),AND(N(U27)&gt;0,ABS(MAX(AS27,AU27)*AK27*Z27^2*1E-4/1000-N(U27))&gt;0.5*MIN(MAX(AS27,AU27)*AK27*Z27^2*1E-4/1000,N(U27)))),"FUERA: difieren &gt; 50 %"&amp;IF(AND(N(T27)&gt;0,ABS(MAX(AR27,AT27)*AK27*Z27^2*1E-4/1000-N(T27))&gt;0.5*MIN(MAX(AR27,AT27)*AK27*Z27^2*1E-4/1000,N(T27)))," ‖ corto","")&amp;IF(AND(N(U27)&gt;0,ABS(MAX(AS27,AU27)*AK27*Z27^2*1E-4/1000-N(U27))&gt;0.5*MIN(MAX(AS27,AU27)*AK27*Z27^2*1E-4/1000,N(U27)))," ‖ largo",""),"CUMPLE"))))</f>
        <v/>
      </c>
      <c r="BC27" s="58" t="str">
        <f>IF(V27&lt;&gt;"SÍ","",DATOS!$C$136*100*W27)</f>
        <v/>
      </c>
      <c r="BD27" s="57" t="str">
        <f>IF(V27&lt;&gt;"SÍ","",MIN(IF(C27="VOLADO",DATOS!$C$138,DATOS!$C$137)*W27,DATOS!$C$139))</f>
        <v/>
      </c>
      <c r="BE27" s="58" t="str">
        <f>IF(V27&lt;&gt;"SÍ","",(W27-AE27-INDEX(TABLAS!$C$52:$C$58,MATCH(IF(ISNUMBER(S27),S27,DATOS!$C$135),TABLAS!$B$52:$B$58,0))/2))</f>
        <v/>
      </c>
      <c r="BF27" s="58" t="str">
        <f>IF(V27&lt;&gt;"SÍ","",IF(AX27&lt;=0,0,IF((1-2*AX27*1E5/(DATOS!$C$29*100*BE27^2*DATOS!$C$21))&lt;0,-1,IF((1-SQRT((1-2*AX27*1E5/(DATOS!$C$29*100*BE27^2*DATOS!$C$21))))*DATOS!$C$21*100*BE27/DATOS!$C$14&gt;DATOS!$C$99*100*BE27,-1,(1-SQRT((1-2*AX27*1E5/(DATOS!$C$29*100*BE27^2*DATOS!$C$21))))*DATOS!$C$21*100*BE27/DATOS!$C$14))))</f>
        <v/>
      </c>
      <c r="BG27" s="58" t="str">
        <f>IF(V27&lt;&gt;"SÍ","",IF(BF27&lt;0,-1,MAX(BF27,BC27)))</f>
        <v/>
      </c>
      <c r="BH27" s="64" t="str">
        <f>IF(V27&lt;&gt;"SÍ","",IF(AND(BG27&gt;0,FLOOR(MIN(BD27,100*INDEX(TABLAS!$D$52:$D$58,MIN(MATCH(IF(ISNUMBER(S27),S27,DATOS!$C$135),TABLAS!$B$52:$B$58,0)+0,7))/MAX(BG27,0.0001)),DATOS!$C$141)&gt;=DATOS!$C$140),INDEX(TABLAS!$B$52:$B$58,MIN(MATCH(IF(ISNUMBER(S27),S27,DATOS!$C$135),TABLAS!$B$52:$B$58,0)+0,7)),IF(AND(BG27&gt;0,FLOOR(MIN(BD27,100*INDEX(TABLAS!$D$52:$D$58,MIN(MATCH(IF(ISNUMBER(S27),S27,DATOS!$C$135),TABLAS!$B$52:$B$58,0)+1,7))/MAX(BG27,0.0001)),DATOS!$C$141)&gt;=DATOS!$C$140),INDEX(TABLAS!$B$52:$B$58,MIN(MATCH(IF(ISNUMBER(S27),S27,DATOS!$C$135),TABLAS!$B$52:$B$58,0)+1,7)),IF(AND(BG27&gt;0,FLOOR(MIN(BD27,100*INDEX(TABLAS!$D$52:$D$58,MIN(MATCH(IF(ISNUMBER(S27),S27,DATOS!$C$135),TABLAS!$B$52:$B$58,0)+2,7))/MAX(BG27,0.0001)),DATOS!$C$141)&gt;=DATOS!$C$140),INDEX(TABLAS!$B$52:$B$58,MIN(MATCH(IF(ISNUMBER(S27),S27,DATOS!$C$135),TABLAS!$B$52:$B$58,0)+2,7)),IF(AND(BG27&gt;0,FLOOR(MIN(BD27,100*INDEX(TABLAS!$D$52:$D$58,MIN(MATCH(IF(ISNUMBER(S27),S27,DATOS!$C$135),TABLAS!$B$52:$B$58,0)+3,7))/MAX(BG27,0.0001)),DATOS!$C$141)&gt;=DATOS!$C$140),INDEX(TABLAS!$B$52:$B$58,MIN(MATCH(IF(ISNUMBER(S27),S27,DATOS!$C$135),TABLAS!$B$52:$B$58,0)+3,7)),IF(AND(BG27&gt;0,FLOOR(MIN(BD27,100*INDEX(TABLAS!$D$52:$D$58,MIN(MATCH(IF(ISNUMBER(S27),S27,DATOS!$C$135),TABLAS!$B$52:$B$58,0)+4,7))/MAX(BG27,0.0001)),DATOS!$C$141)&gt;=DATOS!$C$140),INDEX(TABLAS!$B$52:$B$58,MIN(MATCH(IF(ISNUMBER(S27),S27,DATOS!$C$135),TABLAS!$B$52:$B$58,0)+4,7)),INDEX(TABLAS!$B$52:$B$58,7)))))))</f>
        <v/>
      </c>
      <c r="BI27" s="71" t="str">
        <f>IF(V27&lt;&gt;"SÍ","",IF(BG27&lt;=0,0,FLOOR(MIN(BD27,100*INDEX(TABLAS!$D$52:$D$58,MATCH(BH27,TABLAS!$B$52:$B$58,0))/BG27),DATOS!$C$141)))</f>
        <v/>
      </c>
      <c r="BJ27" s="58" t="str">
        <f>IF(V27&lt;&gt;"SÍ","",IF(BI27&lt;=0,0,INDEX(TABLAS!$D$52:$D$58,MATCH(BH27,TABLAS!$B$52:$B$58,0))*100/BI27))</f>
        <v/>
      </c>
      <c r="BK27" s="58" t="str">
        <f>IF(V27&lt;&gt;"SÍ","",W27-AE27-INDEX(TABLAS!$C$52:$C$58,MATCH(BH27,TABLAS!$B$52:$B$58,0))/2)</f>
        <v/>
      </c>
      <c r="BL27" s="56" t="str">
        <f>IF(V27&lt;&gt;"SÍ","",IF(BJ27=0,0,DATOS!$C$29*BJ27*DATOS!$C$14*(BK27-BJ27*DATOS!$C$14/(DATOS!$C$21*100)/2)/1E5))</f>
        <v/>
      </c>
      <c r="BM27" s="65" t="str">
        <f>IF(V27&lt;&gt;"SÍ","",IF(BG27&lt;0,9.99,IF(BL27&gt;0,AX27/BL27,0)))</f>
        <v/>
      </c>
      <c r="BN27" s="66" t="str">
        <f>IF(V27&lt;&gt;"SÍ","",IF(BJ27=0,"—",0.003*(BK27-(BJ27*DATOS!$C$14/(DATOS!$C$21*100)/DATOS!$C$22))/(BJ27*DATOS!$C$14/(DATOS!$C$21*100)/DATOS!$C$22)))</f>
        <v/>
      </c>
      <c r="BO27" s="58" t="str">
        <f>IF(V27&lt;&gt;"SÍ","",((W27-AF27-INDEX(TABLAS!$C$52:$C$58,MATCH(IF(ISNUMBER(S27),S27,DATOS!$C$135),TABLAS!$B$52:$B$58,0))/2)-IF(AND((W27-AF27-INDEX(TABLAS!$C$52:$C$58,MATCH(IF(ISNUMBER(S27),S27,DATOS!$C$135),TABLAS!$B$52:$B$58,0))/2)&lt;=20,DATOS!$C$62&lt;&gt;"SÍ"),2,0)))</f>
        <v/>
      </c>
      <c r="BP27" s="58" t="str">
        <f>IF(V27&lt;&gt;"SÍ","",IF(AY27&lt;=0,0,IF((1-2*AY27*1E5/(DATOS!$C$29*100*BO27^2*DATOS!$C$21))&lt;0,-1,IF((1-SQRT((1-2*AY27*1E5/(DATOS!$C$29*100*BO27^2*DATOS!$C$21))))*DATOS!$C$21*100*BO27/DATOS!$C$14&gt;DATOS!$C$99*100*BO27,-1,(1-SQRT((1-2*AY27*1E5/(DATOS!$C$29*100*BO27^2*DATOS!$C$21))))*DATOS!$C$21*100*BO27/DATOS!$C$14))))</f>
        <v/>
      </c>
      <c r="BQ27" s="58" t="str">
        <f>IF(V27&lt;&gt;"SÍ","",IF(BP27&lt;0,-1,MAX(BP27,BC27)))</f>
        <v/>
      </c>
      <c r="BR27" s="64" t="str">
        <f>IF(V27&lt;&gt;"SÍ","",IF(AND(BQ27&gt;0,FLOOR(MIN(BD27,100*INDEX(TABLAS!$D$52:$D$58,MIN(MATCH(IF(ISNUMBER(S27),S27,DATOS!$C$135),TABLAS!$B$52:$B$58,0)+0,7))/MAX(BQ27,0.0001)),DATOS!$C$141)&gt;=DATOS!$C$140),INDEX(TABLAS!$B$52:$B$58,MIN(MATCH(IF(ISNUMBER(S27),S27,DATOS!$C$135),TABLAS!$B$52:$B$58,0)+0,7)),IF(AND(BQ27&gt;0,FLOOR(MIN(BD27,100*INDEX(TABLAS!$D$52:$D$58,MIN(MATCH(IF(ISNUMBER(S27),S27,DATOS!$C$135),TABLAS!$B$52:$B$58,0)+1,7))/MAX(BQ27,0.0001)),DATOS!$C$141)&gt;=DATOS!$C$140),INDEX(TABLAS!$B$52:$B$58,MIN(MATCH(IF(ISNUMBER(S27),S27,DATOS!$C$135),TABLAS!$B$52:$B$58,0)+1,7)),IF(AND(BQ27&gt;0,FLOOR(MIN(BD27,100*INDEX(TABLAS!$D$52:$D$58,MIN(MATCH(IF(ISNUMBER(S27),S27,DATOS!$C$135),TABLAS!$B$52:$B$58,0)+2,7))/MAX(BQ27,0.0001)),DATOS!$C$141)&gt;=DATOS!$C$140),INDEX(TABLAS!$B$52:$B$58,MIN(MATCH(IF(ISNUMBER(S27),S27,DATOS!$C$135),TABLAS!$B$52:$B$58,0)+2,7)),IF(AND(BQ27&gt;0,FLOOR(MIN(BD27,100*INDEX(TABLAS!$D$52:$D$58,MIN(MATCH(IF(ISNUMBER(S27),S27,DATOS!$C$135),TABLAS!$B$52:$B$58,0)+3,7))/MAX(BQ27,0.0001)),DATOS!$C$141)&gt;=DATOS!$C$140),INDEX(TABLAS!$B$52:$B$58,MIN(MATCH(IF(ISNUMBER(S27),S27,DATOS!$C$135),TABLAS!$B$52:$B$58,0)+3,7)),IF(AND(BQ27&gt;0,FLOOR(MIN(BD27,100*INDEX(TABLAS!$D$52:$D$58,MIN(MATCH(IF(ISNUMBER(S27),S27,DATOS!$C$135),TABLAS!$B$52:$B$58,0)+4,7))/MAX(BQ27,0.0001)),DATOS!$C$141)&gt;=DATOS!$C$140),INDEX(TABLAS!$B$52:$B$58,MIN(MATCH(IF(ISNUMBER(S27),S27,DATOS!$C$135),TABLAS!$B$52:$B$58,0)+4,7)),INDEX(TABLAS!$B$52:$B$58,7)))))))</f>
        <v/>
      </c>
      <c r="BS27" s="71" t="str">
        <f>IF(V27&lt;&gt;"SÍ","",IF(BQ27&lt;=0,0,FLOOR(MIN(BD27,100*INDEX(TABLAS!$D$52:$D$58,MATCH(BR27,TABLAS!$B$52:$B$58,0))/BQ27),DATOS!$C$141)))</f>
        <v/>
      </c>
      <c r="BT27" s="58" t="str">
        <f>IF(V27&lt;&gt;"SÍ","",IF(BS27&lt;=0,0,INDEX(TABLAS!$D$52:$D$58,MATCH(BR27,TABLAS!$B$52:$B$58,0))*100/BS27))</f>
        <v/>
      </c>
      <c r="BU27" s="58" t="str">
        <f>IF(V27&lt;&gt;"SÍ","",((W27-AF27-INDEX(TABLAS!$C$52:$C$58,MATCH(BR27,TABLAS!$B$52:$B$58,0))/2)-IF(AND((W27-AF27-INDEX(TABLAS!$C$52:$C$58,MATCH(BR27,TABLAS!$B$52:$B$58,0))/2)&lt;=20,DATOS!$C$62&lt;&gt;"SÍ"),2,0)))</f>
        <v/>
      </c>
      <c r="BV27" s="56" t="str">
        <f>IF(V27&lt;&gt;"SÍ","",IF(BT27=0,0,DATOS!$C$29*BT27*DATOS!$C$14*(BU27-BT27*DATOS!$C$14/(DATOS!$C$21*100)/2)/1E5))</f>
        <v/>
      </c>
      <c r="BW27" s="65" t="str">
        <f>IF(V27&lt;&gt;"SÍ","",IF(BQ27&lt;0,9.99,IF(BV27&gt;0,AY27/BV27,0)))</f>
        <v/>
      </c>
      <c r="BX27" s="66" t="str">
        <f>IF(V27&lt;&gt;"SÍ","",IF(BT27=0,"—",0.003*(BU27-(BT27*DATOS!$C$14/(DATOS!$C$21*100)/DATOS!$C$22))/(BT27*DATOS!$C$14/(DATOS!$C$21*100)/DATOS!$C$22)))</f>
        <v/>
      </c>
      <c r="BY27" s="58" t="str">
        <f>IF(V27&lt;&gt;"SÍ","",(W27-AE27-1.5*INDEX(TABLAS!$C$52:$C$58,MATCH(IF(ISNUMBER(S27),S27,DATOS!$C$135),TABLAS!$B$52:$B$58,0))))</f>
        <v/>
      </c>
      <c r="BZ27" s="58" t="str">
        <f>IF(V27&lt;&gt;"SÍ","",IF(AZ27&lt;=0,0,IF((1-2*AZ27*1E5/(DATOS!$C$29*100*BY27^2*DATOS!$C$21))&lt;0,-1,IF((1-SQRT((1-2*AZ27*1E5/(DATOS!$C$29*100*BY27^2*DATOS!$C$21))))*DATOS!$C$21*100*BY27/DATOS!$C$14&gt;DATOS!$C$99*100*BY27,-1,(1-SQRT((1-2*AZ27*1E5/(DATOS!$C$29*100*BY27^2*DATOS!$C$21))))*DATOS!$C$21*100*BY27/DATOS!$C$14))))</f>
        <v/>
      </c>
      <c r="CA27" s="58" t="str">
        <f>IF(V27&lt;&gt;"SÍ","",IF(BZ27&lt;0,-1,MAX(BZ27,BC27)))</f>
        <v/>
      </c>
      <c r="CB27" s="64" t="str">
        <f>IF(V27&lt;&gt;"SÍ","",IF(AND(CA27&gt;0,FLOOR(MIN(BD27,100*INDEX(TABLAS!$D$52:$D$58,MIN(MATCH(IF(ISNUMBER(S27),S27,DATOS!$C$135),TABLAS!$B$52:$B$58,0)+0,7))/MAX(CA27,0.0001)),DATOS!$C$141)&gt;=DATOS!$C$140),INDEX(TABLAS!$B$52:$B$58,MIN(MATCH(IF(ISNUMBER(S27),S27,DATOS!$C$135),TABLAS!$B$52:$B$58,0)+0,7)),IF(AND(CA27&gt;0,FLOOR(MIN(BD27,100*INDEX(TABLAS!$D$52:$D$58,MIN(MATCH(IF(ISNUMBER(S27),S27,DATOS!$C$135),TABLAS!$B$52:$B$58,0)+1,7))/MAX(CA27,0.0001)),DATOS!$C$141)&gt;=DATOS!$C$140),INDEX(TABLAS!$B$52:$B$58,MIN(MATCH(IF(ISNUMBER(S27),S27,DATOS!$C$135),TABLAS!$B$52:$B$58,0)+1,7)),IF(AND(CA27&gt;0,FLOOR(MIN(BD27,100*INDEX(TABLAS!$D$52:$D$58,MIN(MATCH(IF(ISNUMBER(S27),S27,DATOS!$C$135),TABLAS!$B$52:$B$58,0)+2,7))/MAX(CA27,0.0001)),DATOS!$C$141)&gt;=DATOS!$C$140),INDEX(TABLAS!$B$52:$B$58,MIN(MATCH(IF(ISNUMBER(S27),S27,DATOS!$C$135),TABLAS!$B$52:$B$58,0)+2,7)),IF(AND(CA27&gt;0,FLOOR(MIN(BD27,100*INDEX(TABLAS!$D$52:$D$58,MIN(MATCH(IF(ISNUMBER(S27),S27,DATOS!$C$135),TABLAS!$B$52:$B$58,0)+3,7))/MAX(CA27,0.0001)),DATOS!$C$141)&gt;=DATOS!$C$140),INDEX(TABLAS!$B$52:$B$58,MIN(MATCH(IF(ISNUMBER(S27),S27,DATOS!$C$135),TABLAS!$B$52:$B$58,0)+3,7)),IF(AND(CA27&gt;0,FLOOR(MIN(BD27,100*INDEX(TABLAS!$D$52:$D$58,MIN(MATCH(IF(ISNUMBER(S27),S27,DATOS!$C$135),TABLAS!$B$52:$B$58,0)+4,7))/MAX(CA27,0.0001)),DATOS!$C$141)&gt;=DATOS!$C$140),INDEX(TABLAS!$B$52:$B$58,MIN(MATCH(IF(ISNUMBER(S27),S27,DATOS!$C$135),TABLAS!$B$52:$B$58,0)+4,7)),INDEX(TABLAS!$B$52:$B$58,7)))))))</f>
        <v/>
      </c>
      <c r="CC27" s="71" t="str">
        <f>IF(V27&lt;&gt;"SÍ","",IF(CA27&lt;=0,0,FLOOR(MIN(BD27,100*INDEX(TABLAS!$D$52:$D$58,MATCH(CB27,TABLAS!$B$52:$B$58,0))/CA27),DATOS!$C$141)))</f>
        <v/>
      </c>
      <c r="CD27" s="58" t="str">
        <f>IF(V27&lt;&gt;"SÍ","",IF(CC27&lt;=0,0,INDEX(TABLAS!$D$52:$D$58,MATCH(CB27,TABLAS!$B$52:$B$58,0))*100/CC27))</f>
        <v/>
      </c>
      <c r="CE27" s="58" t="str">
        <f>IF(V27&lt;&gt;"SÍ","",W27-AE27-INDEX(TABLAS!$C$52:$C$58,MATCH(BH27,TABLAS!$B$52:$B$58,0))-INDEX(TABLAS!$C$52:$C$58,MATCH(CB27,TABLAS!$B$52:$B$58,0))/2)</f>
        <v/>
      </c>
      <c r="CF27" s="56" t="str">
        <f>IF(V27&lt;&gt;"SÍ","",IF(CD27=0,0,DATOS!$C$29*CD27*DATOS!$C$14*(CE27-CD27*DATOS!$C$14/(DATOS!$C$21*100)/2)/1E5))</f>
        <v/>
      </c>
      <c r="CG27" s="65" t="str">
        <f>IF(V27&lt;&gt;"SÍ","",IF(CA27&lt;0,9.99,IF(CF27&gt;0,AZ27/CF27,0)))</f>
        <v/>
      </c>
      <c r="CH27" s="66" t="str">
        <f>IF(V27&lt;&gt;"SÍ","",IF(CD27=0,"—",0.003*(CE27-(CD27*DATOS!$C$14/(DATOS!$C$21*100)/DATOS!$C$22))/(CD27*DATOS!$C$14/(DATOS!$C$21*100)/DATOS!$C$22)))</f>
        <v/>
      </c>
      <c r="CI27" s="58" t="str">
        <f>IF(V27&lt;&gt;"SÍ","",((W27-AF27-1.5*INDEX(TABLAS!$C$52:$C$58,MATCH(IF(ISNUMBER(S27),S27,DATOS!$C$135),TABLAS!$B$52:$B$58,0)))-IF(AND((W27-AF27-1.5*INDEX(TABLAS!$C$52:$C$58,MATCH(IF(ISNUMBER(S27),S27,DATOS!$C$135),TABLAS!$B$52:$B$58,0)))&lt;=20,DATOS!$C$62&lt;&gt;"SÍ"),2,0)))</f>
        <v/>
      </c>
      <c r="CJ27" s="58" t="str">
        <f>IF(V27&lt;&gt;"SÍ","",IF(BA27&lt;=0,0,IF((1-2*BA27*1E5/(DATOS!$C$29*100*CI27^2*DATOS!$C$21))&lt;0,-1,IF((1-SQRT((1-2*BA27*1E5/(DATOS!$C$29*100*CI27^2*DATOS!$C$21))))*DATOS!$C$21*100*CI27/DATOS!$C$14&gt;DATOS!$C$99*100*CI27,-1,(1-SQRT((1-2*BA27*1E5/(DATOS!$C$29*100*CI27^2*DATOS!$C$21))))*DATOS!$C$21*100*CI27/DATOS!$C$14))))</f>
        <v/>
      </c>
      <c r="CK27" s="58" t="str">
        <f>IF(V27&lt;&gt;"SÍ","",IF(CJ27&lt;0,-1,MAX(CJ27,BC27)))</f>
        <v/>
      </c>
      <c r="CL27" s="64" t="str">
        <f>IF(V27&lt;&gt;"SÍ","",IF(AND(CK27&gt;0,FLOOR(MIN(BD27,100*INDEX(TABLAS!$D$52:$D$58,MIN(MATCH(IF(ISNUMBER(S27),S27,DATOS!$C$135),TABLAS!$B$52:$B$58,0)+0,7))/MAX(CK27,0.0001)),DATOS!$C$141)&gt;=DATOS!$C$140),INDEX(TABLAS!$B$52:$B$58,MIN(MATCH(IF(ISNUMBER(S27),S27,DATOS!$C$135),TABLAS!$B$52:$B$58,0)+0,7)),IF(AND(CK27&gt;0,FLOOR(MIN(BD27,100*INDEX(TABLAS!$D$52:$D$58,MIN(MATCH(IF(ISNUMBER(S27),S27,DATOS!$C$135),TABLAS!$B$52:$B$58,0)+1,7))/MAX(CK27,0.0001)),DATOS!$C$141)&gt;=DATOS!$C$140),INDEX(TABLAS!$B$52:$B$58,MIN(MATCH(IF(ISNUMBER(S27),S27,DATOS!$C$135),TABLAS!$B$52:$B$58,0)+1,7)),IF(AND(CK27&gt;0,FLOOR(MIN(BD27,100*INDEX(TABLAS!$D$52:$D$58,MIN(MATCH(IF(ISNUMBER(S27),S27,DATOS!$C$135),TABLAS!$B$52:$B$58,0)+2,7))/MAX(CK27,0.0001)),DATOS!$C$141)&gt;=DATOS!$C$140),INDEX(TABLAS!$B$52:$B$58,MIN(MATCH(IF(ISNUMBER(S27),S27,DATOS!$C$135),TABLAS!$B$52:$B$58,0)+2,7)),IF(AND(CK27&gt;0,FLOOR(MIN(BD27,100*INDEX(TABLAS!$D$52:$D$58,MIN(MATCH(IF(ISNUMBER(S27),S27,DATOS!$C$135),TABLAS!$B$52:$B$58,0)+3,7))/MAX(CK27,0.0001)),DATOS!$C$141)&gt;=DATOS!$C$140),INDEX(TABLAS!$B$52:$B$58,MIN(MATCH(IF(ISNUMBER(S27),S27,DATOS!$C$135),TABLAS!$B$52:$B$58,0)+3,7)),IF(AND(CK27&gt;0,FLOOR(MIN(BD27,100*INDEX(TABLAS!$D$52:$D$58,MIN(MATCH(IF(ISNUMBER(S27),S27,DATOS!$C$135),TABLAS!$B$52:$B$58,0)+4,7))/MAX(CK27,0.0001)),DATOS!$C$141)&gt;=DATOS!$C$140),INDEX(TABLAS!$B$52:$B$58,MIN(MATCH(IF(ISNUMBER(S27),S27,DATOS!$C$135),TABLAS!$B$52:$B$58,0)+4,7)),INDEX(TABLAS!$B$52:$B$58,7)))))))</f>
        <v/>
      </c>
      <c r="CM27" s="71" t="str">
        <f>IF(V27&lt;&gt;"SÍ","",IF(CK27&lt;=0,0,FLOOR(MIN(BD27,100*INDEX(TABLAS!$D$52:$D$58,MATCH(CL27,TABLAS!$B$52:$B$58,0))/CK27),DATOS!$C$141)))</f>
        <v/>
      </c>
      <c r="CN27" s="58" t="str">
        <f>IF(V27&lt;&gt;"SÍ","",IF(CM27&lt;=0,0,INDEX(TABLAS!$D$52:$D$58,MATCH(CL27,TABLAS!$B$52:$B$58,0))*100/CM27))</f>
        <v/>
      </c>
      <c r="CO27" s="58" t="str">
        <f>IF(V27&lt;&gt;"SÍ","",((W27-AF27-INDEX(TABLAS!$C$52:$C$58,MATCH(BR27,TABLAS!$B$52:$B$58,0))-INDEX(TABLAS!$C$52:$C$58,MATCH(CL27,TABLAS!$B$52:$B$58,0))/2)-IF(AND((W27-AF27-INDEX(TABLAS!$C$52:$C$58,MATCH(BR27,TABLAS!$B$52:$B$58,0))-INDEX(TABLAS!$C$52:$C$58,MATCH(CL27,TABLAS!$B$52:$B$58,0))/2)&lt;=20,DATOS!$C$62&lt;&gt;"SÍ"),2,0)))</f>
        <v/>
      </c>
      <c r="CP27" s="56" t="str">
        <f>IF(V27&lt;&gt;"SÍ","",IF(CN27=0,0,DATOS!$C$29*CN27*DATOS!$C$14*(CO27-CN27*DATOS!$C$14/(DATOS!$C$21*100)/2)/1E5))</f>
        <v/>
      </c>
      <c r="CQ27" s="65" t="str">
        <f>IF(V27&lt;&gt;"SÍ","",IF(CK27&lt;0,9.99,IF(CP27&gt;0,BA27/CP27,0)))</f>
        <v/>
      </c>
      <c r="CR27" s="66" t="str">
        <f>IF(V27&lt;&gt;"SÍ","",IF(CN27=0,"—",0.003*(CO27-(CN27*DATOS!$C$14/(DATOS!$C$21*100)/DATOS!$C$22))/(CN27*DATOS!$C$14/(DATOS!$C$21*100)/DATOS!$C$22)))</f>
        <v/>
      </c>
      <c r="CS27" s="56" t="str">
        <f>IF(V27&lt;&gt;"SÍ","",IF(C27="PERIMETRAL",MAX(0,(AC27/2-BU27)/100)*(0.95-0.5*AB27)*AK27*IF(AND(AL27&gt;0,AL27&lt;4),DATOS!$C$33,1)/1000,(AK27*MAX(0,AC27-BU27)/100+DATOS!$C$26*N(P27))/1000))</f>
        <v/>
      </c>
      <c r="CT27" s="66" t="str">
        <f>IF(V27&lt;&gt;"SÍ","",BT27/(100*BU27))</f>
        <v/>
      </c>
      <c r="CU27" s="56" t="str">
        <f>IF(V27&lt;&gt;"SÍ","",DATOS!$C$30*2*MIN(1,SQRT(2/(1+0.04*BU27)))*CT27^(1/3)*SQRT(DATOS!$C$13)*100*BU27/1000)</f>
        <v/>
      </c>
      <c r="CV27" s="67" t="str">
        <f>IF(V27&lt;&gt;"SÍ","",IF(CS27&lt;=CU27,"CUMPLE","NO CUMPLE: sube h"))</f>
        <v/>
      </c>
      <c r="CW27" s="58" t="str">
        <f>IF(V27&lt;&gt;"SÍ","",IF(C27="PERIMETRAL",IF(ISNUMBER(R27),R27,DATOS!$C$101),0))</f>
        <v/>
      </c>
      <c r="CX27" s="57" t="str">
        <f>IF(V27&lt;&gt;"SÍ","",IF(C27="PERIMETRAL",IF(CW27&gt;2,MAX(9,AD27*(0.8+DATOS!$C$14/14000)/(36+9*(AD27/MAX(AC27,1)))),IF(CW27&gt;0.2,MAX(13,AD27*(0.8+DATOS!$C$14/14000)/(36+5*(AD27/MAX(AC27,1))*(CW27-0.2))),MAX(13,AD27/IF(AL27&gt;0,30,33))))*IF(AND(CW27&gt;0.2,AL27&gt;0,DATOS!$C$102="NO"),1.1,1),Z27*100/DATOS!$C$142))</f>
        <v/>
      </c>
      <c r="CY27" s="61" t="str">
        <f>IF(V27&lt;&gt;"SÍ","",IF(W27&gt;=CX27-0.001,"CUMPLE",IF(C27="VOLADO","NO CUMPLE","CALCULAR FLECHA")))</f>
        <v/>
      </c>
      <c r="CZ27" s="60" t="str">
        <f>IF(V27&lt;&gt;"SÍ","",IF(C27="VOLADO",MIN(CEILING(IF(ISNUMBER(Q27),Q27,Z27)*100,5),CEILING(MAX(IF((0.5*(0.9*W27/100*DATOS!$C$16)*IF(ISNUMBER(Q27),Q27,Z27)+AY27/IF(ISNUMBER(Q27),Q27,Z27))^2-4*(0.5*(0.9*W27/100*DATOS!$C$16))*AY27&lt;0,IF(ISNUMBER(Q27),Q27,Z27),MIN(IF(ISNUMBER(Q27),Q27,Z27),((0.5*(0.9*W27/100*DATOS!$C$16)*IF(ISNUMBER(Q27),Q27,Z27)+AY27/IF(ISNUMBER(Q27),Q27,Z27))-SQRT((0.5*(0.9*W27/100*DATOS!$C$16)*IF(ISNUMBER(Q27),Q27,Z27)+AY27/IF(ISNUMBER(Q27),Q27,Z27))^2-4*(0.5*(0.9*W27/100*DATOS!$C$16))*AY27))/(2*(0.5*(0.9*W27/100*DATOS!$C$16)))))*100+MAX(BU27,12*INDEX(TABLAS!$C$52:$C$58,MATCH(BR27,TABLAS!$B$52:$B$58,0)),IF(ISNUMBER(Q27),Q27,Z27)*100/16),IF(OR(AF27&lt;INDEX(TABLAS!$C$52:$C$58,MATCH(BR27,TABLAS!$B$52:$B$58,0)),BS27-INDEX(TABLAS!$C$52:$C$58,MATCH(BR27,TABLAS!$B$52:$B$58,0))&lt;2*INDEX(TABLAS!$C$52:$C$58,MATCH(BR27,TABLAS!$B$52:$B$58,0))),INDEX(TABLAS!$I$52:$I$58,MATCH(BR27,TABLAS!$B$52:$B$58,0)),INDEX(TABLAS!$F$52:$F$58,MATCH(BR27,TABLAS!$B$52:$B$58,0)))),5)),IF(((4*((AV27*AK27*Z27^2*1E-4/1000)+((MAX(AR27,AT27)*AK27*Z27^2*1E-4/1000)+(IF(AND(AR27&gt;0,AT27&gt;0),MIN(AR27,AT27),MAX(AR27,AT27))*AK27*Z27^2*1E-4/1000))/2)+AY27-(IF(AND(AR27&gt;0,AT27&gt;0),MIN(AR27,AT27),MAX(AR27,AT27))*AK27*Z27^2*1E-4/1000))^2-16*((AV27*AK27*Z27^2*1E-4/1000)+((MAX(AR27,AT27)*AK27*Z27^2*1E-4/1000)+(IF(AND(AR27&gt;0,AT27&gt;0),MIN(AR27,AT27),MAX(AR27,AT27))*AK27*Z27^2*1E-4/1000))/2)*AY27)&lt;0,CEILING(AC27,5),CEILING(MAX(AC27*((4*((AV27*AK27*Z27^2*1E-4/1000)+((MAX(AR27,AT27)*AK27*Z27^2*1E-4/1000)+(IF(AND(AR27&gt;0,AT27&gt;0),MIN(AR27,AT27),MAX(AR27,AT27))*AK27*Z27^2*1E-4/1000))/2)+AY27-(IF(AND(AR27&gt;0,AT27&gt;0),MIN(AR27,AT27),MAX(AR27,AT27))*AK27*Z27^2*1E-4/1000))-SQRT(MAX(0,((4*((AV27*AK27*Z27^2*1E-4/1000)+((MAX(AR27,AT27)*AK27*Z27^2*1E-4/1000)+(IF(AND(AR27&gt;0,AT27&gt;0),MIN(AR27,AT27),MAX(AR27,AT27))*AK27*Z27^2*1E-4/1000))/2)+AY27-(IF(AND(AR27&gt;0,AT27&gt;0),MIN(AR27,AT27),MAX(AR27,AT27))*AK27*Z27^2*1E-4/1000))^2-16*((AV27*AK27*Z27^2*1E-4/1000)+((MAX(AR27,AT27)*AK27*Z27^2*1E-4/1000)+(IF(AND(AR27&gt;0,AT27&gt;0),MIN(AR27,AT27),MAX(AR27,AT27))*AK27*Z27^2*1E-4/1000))/2)*AY27))))/(8*MAX(((AV27*AK27*Z27^2*1E-4/1000)+((MAX(AR27,AT27)*AK27*Z27^2*1E-4/1000)+(IF(AND(AR27&gt;0,AT27&gt;0),MIN(AR27,AT27),MAX(AR27,AT27))*AK27*Z27^2*1E-4/1000))/2),1E-9))+MAX(BU27,12*INDEX(TABLAS!$C$52:$C$58,MATCH(BR27,TABLAS!$B$52:$B$58,0)),AC27/16),IF(OR(AF27&lt;INDEX(TABLAS!$C$52:$C$58,MATCH(BR27,TABLAS!$B$52:$B$58,0)),BS27-INDEX(TABLAS!$C$52:$C$58,MATCH(BR27,TABLAS!$B$52:$B$58,0))&lt;2*INDEX(TABLAS!$C$52:$C$58,MATCH(BR27,TABLAS!$B$52:$B$58,0))),INDEX(TABLAS!$I$52:$I$58,MATCH(BR27,TABLAS!$B$52:$B$58,0)),INDEX(TABLAS!$F$52:$F$58,MATCH(BR27,TABLAS!$B$52:$B$58,0)))),5))))</f>
        <v/>
      </c>
      <c r="DA27" s="60" t="str">
        <f>IF(V27&lt;&gt;"SÍ","",IF(C27="VOLADO",0,IF(((4*((AW27*AK27*Z27^2*1E-4/1000)+((MAX(AS27,AU27)*AK27*Z27^2*1E-4/1000)+(IF(AND(AS27&gt;0,AU27&gt;0),MIN(AS27,AU27),MAX(AS27,AU27))*AK27*Z27^2*1E-4/1000))/2)+BA27-(IF(AND(AS27&gt;0,AU27&gt;0),MIN(AS27,AU27),MAX(AS27,AU27))*AK27*Z27^2*1E-4/1000))^2-16*((AW27*AK27*Z27^2*1E-4/1000)+((MAX(AS27,AU27)*AK27*Z27^2*1E-4/1000)+(IF(AND(AS27&gt;0,AU27&gt;0),MIN(AS27,AU27),MAX(AS27,AU27))*AK27*Z27^2*1E-4/1000))/2)*BA27)&lt;0,CEILING(AD27,5),CEILING(MAX(AD27*((4*((AW27*AK27*Z27^2*1E-4/1000)+((MAX(AS27,AU27)*AK27*Z27^2*1E-4/1000)+(IF(AND(AS27&gt;0,AU27&gt;0),MIN(AS27,AU27),MAX(AS27,AU27))*AK27*Z27^2*1E-4/1000))/2)+BA27-(IF(AND(AS27&gt;0,AU27&gt;0),MIN(AS27,AU27),MAX(AS27,AU27))*AK27*Z27^2*1E-4/1000))-SQRT(MAX(0,((4*((AW27*AK27*Z27^2*1E-4/1000)+((MAX(AS27,AU27)*AK27*Z27^2*1E-4/1000)+(IF(AND(AS27&gt;0,AU27&gt;0),MIN(AS27,AU27),MAX(AS27,AU27))*AK27*Z27^2*1E-4/1000))/2)+BA27-(IF(AND(AS27&gt;0,AU27&gt;0),MIN(AS27,AU27),MAX(AS27,AU27))*AK27*Z27^2*1E-4/1000))^2-16*((AW27*AK27*Z27^2*1E-4/1000)+((MAX(AS27,AU27)*AK27*Z27^2*1E-4/1000)+(IF(AND(AS27&gt;0,AU27&gt;0),MIN(AS27,AU27),MAX(AS27,AU27))*AK27*Z27^2*1E-4/1000))/2)*BA27))))/(8*MAX(((AW27*AK27*Z27^2*1E-4/1000)+((MAX(AS27,AU27)*AK27*Z27^2*1E-4/1000)+(IF(AND(AS27&gt;0,AU27&gt;0),MIN(AS27,AU27),MAX(AS27,AU27))*AK27*Z27^2*1E-4/1000))/2),1E-9))+MAX(CO27,12*INDEX(TABLAS!$C$52:$C$58,MATCH(CL27,TABLAS!$B$52:$B$58,0)),AD27/16),IF(OR(AF27&lt;INDEX(TABLAS!$C$52:$C$58,MATCH(CL27,TABLAS!$B$52:$B$58,0)),CM27-INDEX(TABLAS!$C$52:$C$58,MATCH(CL27,TABLAS!$B$52:$B$58,0))&lt;2*INDEX(TABLAS!$C$52:$C$58,MATCH(CL27,TABLAS!$B$52:$B$58,0))),INDEX(TABLAS!$I$52:$I$58,MATCH(CL27,TABLAS!$B$52:$B$58,0)),INDEX(TABLAS!$F$52:$F$58,MATCH(CL27,TABLAS!$B$52:$B$58,0)))),5))))</f>
        <v/>
      </c>
      <c r="DB27" s="55" t="str">
        <f>IF(V27&lt;&gt;"SÍ","",IF(AND(C27="PERIMETRAL",AL27-AM27&gt;0,AT27&gt;0),"SÍ","NO"))</f>
        <v/>
      </c>
      <c r="DC27" s="55" t="str">
        <f>IF(V27&lt;&gt;"SÍ","",IF(AND(C27="PERIMETRAL",AM27&gt;0,AU27&gt;0),"SÍ","NO"))</f>
        <v/>
      </c>
      <c r="DD27" s="63" t="str">
        <f>IF(V27&lt;&gt;"SÍ","",IF(OR(C27="VOLADO",AL27=0),"—",IF(AND(AND(INDEX(TABLAS!$G$52:$G$58,MATCH(MAX(BR27,CL27),TABLAS!$B$52:$B$58,0))&lt;=(DATOS!$C$72-DATOS!$C$60),(DATOS!$C$72-DATOS!$C$60)&gt;=15),8*INDEX(TABLAS!$C$52:$C$58,MATCH(MAX(BH27,CB27,BR27,CL27),TABLAS!$B$52:$B$58,0))&lt;=DATOS!$C$73-2*DATOS!$C$60),"CUMPLE (gancho de 180°)",IF(AND(INDEX(TABLAS!$G$52:$G$58,MATCH(MAX(BR27,CL27),TABLAS!$B$52:$B$58,0))&lt;=(DATOS!$C$72-DATOS!$C$60),(DATOS!$C$72-DATOS!$C$60)&gt;=15),"NO CUMPLE: el gancho de 180° (8·d_b) no cabe en el peralte de la dala de borde","NO CUMPLE: dala de borde ≥ "&amp;TEXT(CEILING(MAX(INDEX(TABLAS!$G$52:$G$58,MATCH(MAX(BR27,CL27),TABLAS!$B$52:$B$58,0)),15)+DATOS!$C$60,5),"0")&amp;" cm de ancho"&amp;IF(8*INDEX(TABLAS!$C$52:$C$58,MATCH(MAX(BH27,CB27,BR27,CL27),TABLAS!$B$52:$B$58,0))&lt;=DATOS!$C$73-2*DATOS!$C$60,""," y más peralte para el gancho")))))</f>
        <v/>
      </c>
      <c r="DE27" s="69" t="str">
        <f>IF(V27&lt;&gt;"SÍ","",IF(BI27=0,"NO ALCANZA","No. "&amp;BH27&amp;" @ "&amp;BI27&amp;" cm"&amp;IF(C27="VOLADO"," (temperatura)","")))</f>
        <v/>
      </c>
      <c r="DF27" s="69" t="str">
        <f>IF(V27&lt;&gt;"SÍ","",IF(BS27=0,"NO ALCANZA",IF(C27="VOLADO","No. "&amp;BR27&amp;" @ "&amp;BS27&amp;" cm"&amp;" de la orilla al respaldo ("&amp;IF(CZ27&gt;=100*IF(ISNUMBER(Q27),Q27,Z27),"hasta su apoyo lejano, con gancho","entran "&amp;TEXT(CZ27/100,"0.00")&amp;" m desde el paño")&amp;")","Bastones "&amp;"No. "&amp;BR27&amp;" @ "&amp;BS27&amp;" cm"&amp;", L = "&amp;TEXT(CZ27/100,"0.00")&amp;" m desde el paño")))</f>
        <v/>
      </c>
      <c r="DG27" s="69" t="str">
        <f>IF(V27&lt;&gt;"SÍ","",IF(CC27=0,"NO ALCANZA","No. "&amp;CB27&amp;" @ "&amp;CC27&amp;" cm"&amp;IF(C27="VOLADO"," (repartición)","")))</f>
        <v/>
      </c>
      <c r="DH27" s="69" t="str">
        <f>IF(V27&lt;&gt;"SÍ","",IF(CM27=0,"NO ALCANZA",IF(C27="VOLADO","No. "&amp;CL27&amp;" @ "&amp;CM27&amp;" cm"&amp;" (repartición)","Bastones "&amp;"No. "&amp;CL27&amp;" @ "&amp;CM27&amp;" cm"&amp;", L = "&amp;TEXT(DA27/100,"0.00")&amp;" m desde el paño")))</f>
        <v/>
      </c>
      <c r="DI27" s="67" t="str">
        <f>IF(B27="","",IF(V27&lt;&gt;"SÍ","FALTAN DATOS: tipo, a_x, a_y y destino",IF(L27="NO MONOLÍTICO (caso II)","FUERA DE ALCANCE: caso II no transcrito",IF(AND(C27="VOLADO",X27="?"),"REVISAR: el volado lleva UN solo borde CONTINUO (el empotrado)",IF(AND(MAX(BM27,BW27,CG27,CQ27)&lt;=1,NOT(OR(BI27&lt;DATOS!$C$140,BS27&lt;DATOS!$C$140,CC27&lt;DATOS!$C$140,CM27&lt;DATOS!$C$140)),NOT(OR(AND(ISNUMBER(BN27),BN27&lt;0.005),AND(ISNUMBER(BX27),BX27&lt;0.005),AND(ISNUMBER(CH27),CH27&lt;0.005),AND(ISNUMBER(CR27),CR27&lt;0.005))),CV27="CUMPLE",CY27="CUMPLE"),"CUMPLE"&amp;IF(LEFT(BB27,5)="FUERA"," · fuera de 3.4.2.1 c)","")&amp;IF(LEFT(DD27,2)="NO"," · REVISAR anclaje en borde discontinuo",""),IF(AND(MAX(BM27,BW27,CG27,CQ27)&lt;=1,NOT(OR(BI27&lt;DATOS!$C$140,BS27&lt;DATOS!$C$140,CC27&lt;DATOS!$C$140,CM27&lt;DATOS!$C$140)),NOT(OR(AND(ISNUMBER(BN27),BN27&lt;0.005),AND(ISNUMBER(BX27),BX27&lt;0.005),AND(ISNUMBER(CH27),CH27&lt;0.005),AND(ISNUMBER(CR27),CR27&lt;0.005))),CV27="CUMPLE",CY27="CALCULAR FLECHA"),"REVISAR: calcular flecha (h &lt; h mín.)"&amp;IF(LEFT(BB27,5)="FUERA"," · fuera de 3.4.2.1 c)","")&amp;IF(LEFT(DD27,2)="NO"," · REVISAR anclaje en borde discontinuo",""),"NO CUMPLE: "&amp;IF(MAX(BM27,BW27,CG27,CQ27)&gt;1,"flexión ","")&amp;IF(OR(BI27&lt;DATOS!$C$140,BS27&lt;DATOS!$C$140,CC27&lt;DATOS!$C$140,CM27&lt;DATOS!$C$140),"separación &lt; mínima ","")&amp;IF(OR(AND(ISNUMBER(BN27),BN27&lt;0.005),AND(ISNUMBER(BX27),BX27&lt;0.005),AND(ISNUMBER(CH27),CH27&lt;0.005),AND(ISNUMBER(CR27),CR27&lt;0.005)),"ε_t &lt; 0.005 ","")&amp;IF(CV27&lt;&gt;"CUMPLE","cortante ","")&amp;IF(CY27="NO CUMPLE","peralte","")))))))</f>
        <v/>
      </c>
      <c r="DJ27" s="70" t="str">
        <f>IF(V27&lt;&gt;"SÍ","",IF(LEFT(B27,7)="EJEMPLO","EJEMPLO de tablero típico: bórralo o sobrescríbelo. ","")&amp;IF(C27="VOLADO","Volado de "&amp;TEXT(Z27,"0.00")&amp;" m empotrado en el borde "&amp;LOWER(X27)&amp;IF(N(P27)&gt;0,", con "&amp;TEXT(P27,"0.0")&amp;" kg/m en la orilla","")&amp;". Lecho inferior con r_ext. Si la orilla carga pretil u otro elemento frágil, calcula la flecha (13.4). El acero superior entra al respaldo de "&amp;TEXT(IF(ISNUMBER(Q27),Q27,Z27),"0.00")&amp;" m"&amp;IF(ISNUMBER(Q27),""," (L_b no capturado: se tomó igual al volado)")&amp;" hasta pasar M = 0 con 0.9·PP sin carga viva; si ahí no se anula, llega al apoyo lejano y se ancla con gancho. ","")&amp;IF(LEFT(BB27,5)="FUERA","El M⁻ del vecino difiere más de 50 % (3.4.2.1 c): distribuye el desequilibrio (3.4.3.1) o confirma con un modelo; se arma con el mayor. ","")&amp;IF(OR(DB27="SÍ",DC27="SÍ"),"Bastones también en los bordes discontinuos (M⁻ de tabla), con gancho. ","")&amp;IF(LEFT(DD27,2)="NO","Anclaje: "&amp;DD27&amp;" (6.7.7.4.1.1). ","")&amp;IF(OR(AT27&gt;0,AU27&gt;0),"Esquinas exteriores sobre muro: refuerzo de esquina arriba y abajo en L_largo/5 (6.7.7.3.1). ",""))</f>
        <v/>
      </c>
    </row>
    <row r="28" ht="33" customHeight="1">
      <c r="A28" s="50">
        <f>IF(B28="",0,1)+A27</f>
        <v>3</v>
      </c>
      <c r="B28" s="29" t="n"/>
      <c r="C28" s="51" t="n"/>
      <c r="D28" s="29" t="n"/>
      <c r="E28" s="52" t="n"/>
      <c r="F28" s="52" t="n"/>
      <c r="G28" s="51" t="n"/>
      <c r="H28" s="51" t="n"/>
      <c r="I28" s="51" t="n"/>
      <c r="J28" s="51" t="n"/>
      <c r="K28" s="51" t="n"/>
      <c r="L28" s="51" t="n"/>
      <c r="M28" s="54" t="n"/>
      <c r="N28" s="53" t="n"/>
      <c r="O28" s="53" t="n"/>
      <c r="P28" s="54" t="n"/>
      <c r="Q28" s="52" t="n"/>
      <c r="R28" s="54" t="n"/>
      <c r="S28" s="53" t="n"/>
      <c r="T28" s="52" t="n"/>
      <c r="U28" s="52" t="n"/>
      <c r="V28" s="55" t="str">
        <f>IF(B28="","",IF(AND(OR(C28="PERIMETRAL",C28="VOLADO"),ISNUMBER(E28),ISNUMBER(F28),E28&gt;0,F28&gt;0,OR(ISNUMBER(O28),ISNUMBER(MATCH(D28,DATOS!$B$46:$B$55,0)))),"SÍ","NO"))</f>
        <v/>
      </c>
      <c r="W28" s="57" t="str">
        <f>IF(V28&lt;&gt;"SÍ","",IF(ISNUMBER(M28),M28,DATOS!$C$134))</f>
        <v/>
      </c>
      <c r="X28" s="55" t="str">
        <f>IF(V28&lt;&gt;"SÍ","",IF(C28&lt;&gt;"VOLADO","—",IF(COUNTIF(G28:J28,"CONTINUO")&lt;&gt;1,"?",IF(G28="CONTINUO","INFERIOR",IF(H28="CONTINUO","SUPERIOR",IF(I28="CONTINUO","IZQUIERDO","DERECHO"))))))</f>
        <v/>
      </c>
      <c r="Y28" s="55" t="str">
        <f>IF(V28&lt;&gt;"SÍ","",IF(C28="VOLADO",IF(OR(X28="IZQUIERDO",X28="DERECHO"),"X","Y"),IF(E28&lt;=F28,"X","Y")))</f>
        <v/>
      </c>
      <c r="Z28" s="56" t="str">
        <f>IF(V28&lt;&gt;"SÍ","",IF(C28="VOLADO",IF(Y28="X",E28,F28),MIN(E28,F28)))</f>
        <v/>
      </c>
      <c r="AA28" s="56" t="str">
        <f>IF(V28&lt;&gt;"SÍ","",IF(C28="VOLADO",IF(Y28="X",F28,E28),MAX(E28,F28)))</f>
        <v/>
      </c>
      <c r="AB28" s="56" t="str">
        <f>IF(V28&lt;&gt;"SÍ","",MIN(Z28,AA28)/MAX(Z28,AA28))</f>
        <v/>
      </c>
      <c r="AC28" s="57" t="str">
        <f>IF(V28&lt;&gt;"SÍ","",MAX(1,Z28*100-IF(C28="VOLADO",DATOS!$C$84/2,DATOS!$C$84)))</f>
        <v/>
      </c>
      <c r="AD28" s="57" t="str">
        <f>IF(V28&lt;&gt;"SÍ","",MAX(1,AA28*100-DATOS!$C$84))</f>
        <v/>
      </c>
      <c r="AE28" s="57" t="str">
        <f>IF(V28&lt;&gt;"SÍ","",IF(C28="VOLADO",DATOS!$C$61,DATOS!$C$59))</f>
        <v/>
      </c>
      <c r="AF28" s="57" t="str">
        <f>IF(V28&lt;&gt;"SÍ","",IF(OR(AND(AG28="SÍ",DATOS!$C$63="SÍ"),AND(C28="VOLADO",DATOS!$C$64="SÍ")),DATOS!$C$61,DATOS!$C$59))</f>
        <v/>
      </c>
      <c r="AG28" s="55" t="str">
        <f>IF(V28&lt;&gt;"SÍ","",IFERROR(INDEX(DATOS!$D$46:$D$55,MATCH(D28,DATOS!$B$46:$B$55,0)),"NO"))</f>
        <v/>
      </c>
      <c r="AH28" s="59" t="str">
        <f>IF(V28&lt;&gt;"SÍ","",IF(ISNUMBER(O28),O28,IFERROR(INDEX(DATOS!$C$46:$C$55,MATCH(D28,DATOS!$B$46:$B$55,0)),0)))</f>
        <v/>
      </c>
      <c r="AI28" s="59" t="str">
        <f>IF(V28&lt;&gt;"SÍ","",W28/100*DATOS!$C$16*1000+DATOS!$C$37+DATOS!$C$38)</f>
        <v/>
      </c>
      <c r="AJ28" s="59" t="str">
        <f>IF(V28&lt;&gt;"SÍ","",AI28+N(N28))</f>
        <v/>
      </c>
      <c r="AK28" s="60" t="str">
        <f>IF(V28&lt;&gt;"SÍ","",MAX(DATOS!$C$26*AJ28+DATOS!$C$27*AH28,IF(AG28="SÍ",DATOS!$C$28*(AJ28+DATOS!$C$41),0)))</f>
        <v/>
      </c>
      <c r="AL28" s="59" t="str">
        <f>IF(V28&lt;&gt;"SÍ","",(G28="DISCONTINUO")+(H28="DISCONTINUO")+(I28="DISCONTINUO")+(J28="DISCONTINUO"))</f>
        <v/>
      </c>
      <c r="AM28" s="59" t="str">
        <f>IF(V28&lt;&gt;"SÍ","",IF(Y28="X",(G28="DISCONTINUO")+(H28="DISCONTINUO"),(I28="DISCONTINUO")+(J28="DISCONTINUO")))</f>
        <v/>
      </c>
      <c r="AN28" s="55" t="str">
        <f>IF(V28&lt;&gt;"SÍ","",IF(AL28=0,"INTERIOR",IF(AL28=1,IF(AM28=1,"BORDE-CORTO","BORDE-LARGO"),IF(AL28=2,IF(AM28=1,"ESQUINA",IF(AM28=2,"EXTREMO-LARGO","EXTREMO-CORTO")),IF(AL28=3,IF(AM28=2,"EXTREMO-LARGO","EXTREMO-CORTO"),"AISLADO")))))</f>
        <v/>
      </c>
      <c r="AO28" s="61" t="str">
        <f>IF(V28&lt;&gt;"SÍ","",IF(OR(K28="",K28="AUTO"),AN28,K28))</f>
        <v/>
      </c>
      <c r="AP28" s="59" t="str">
        <f>IF(V28&lt;&gt;"SÍ","",MATCH(AB28,TABLAS!$D$5:$J$5,1))</f>
        <v/>
      </c>
      <c r="AQ28" s="58" t="str">
        <f>IF(V28&lt;&gt;"SÍ","",IF(AP28&gt;=7,0,(AB28-INDEX(TABLAS!$D$5:$J$5,AP28))/(INDEX(TABLAS!$D$5:$J$5,AP28+1)-INDEX(TABLAS!$D$5:$J$5,AP28))))</f>
        <v/>
      </c>
      <c r="AR28" s="59" t="str">
        <f>IF(V28&lt;&gt;"SÍ","",INDEX(TABLAS!$D$6:$J$47,MATCH(AO28&amp;"|NIC",TABLAS!$B$6:$B$47,0),AP28)+AQ28*(INDEX(TABLAS!$D$6:$J$47,MATCH(AO28&amp;"|NIC",TABLAS!$B$6:$B$47,0),MIN(AP28+1,7))-INDEX(TABLAS!$D$6:$J$47,MATCH(AO28&amp;"|NIC",TABLAS!$B$6:$B$47,0),AP28)))</f>
        <v/>
      </c>
      <c r="AS28" s="59" t="str">
        <f>IF(V28&lt;&gt;"SÍ","",INDEX(TABLAS!$D$6:$J$47,MATCH(AO28&amp;"|NIL",TABLAS!$B$6:$B$47,0),AP28)+AQ28*(INDEX(TABLAS!$D$6:$J$47,MATCH(AO28&amp;"|NIL",TABLAS!$B$6:$B$47,0),MIN(AP28+1,7))-INDEX(TABLAS!$D$6:$J$47,MATCH(AO28&amp;"|NIL",TABLAS!$B$6:$B$47,0),AP28)))</f>
        <v/>
      </c>
      <c r="AT28" s="59" t="str">
        <f>IF(V28&lt;&gt;"SÍ","",INDEX(TABLAS!$D$6:$J$47,MATCH(AO28&amp;"|NDC",TABLAS!$B$6:$B$47,0),AP28)+AQ28*(INDEX(TABLAS!$D$6:$J$47,MATCH(AO28&amp;"|NDC",TABLAS!$B$6:$B$47,0),MIN(AP28+1,7))-INDEX(TABLAS!$D$6:$J$47,MATCH(AO28&amp;"|NDC",TABLAS!$B$6:$B$47,0),AP28)))</f>
        <v/>
      </c>
      <c r="AU28" s="59" t="str">
        <f>IF(V28&lt;&gt;"SÍ","",INDEX(TABLAS!$D$6:$J$47,MATCH(AO28&amp;"|NDL",TABLAS!$B$6:$B$47,0),AP28)+AQ28*(INDEX(TABLAS!$D$6:$J$47,MATCH(AO28&amp;"|NDL",TABLAS!$B$6:$B$47,0),MIN(AP28+1,7))-INDEX(TABLAS!$D$6:$J$47,MATCH(AO28&amp;"|NDL",TABLAS!$B$6:$B$47,0),AP28)))</f>
        <v/>
      </c>
      <c r="AV28" s="59" t="str">
        <f>IF(V28&lt;&gt;"SÍ","",INDEX(TABLAS!$D$6:$J$47,MATCH(AO28&amp;"|PC",TABLAS!$B$6:$B$47,0),AP28)+AQ28*(INDEX(TABLAS!$D$6:$J$47,MATCH(AO28&amp;"|PC",TABLAS!$B$6:$B$47,0),MIN(AP28+1,7))-INDEX(TABLAS!$D$6:$J$47,MATCH(AO28&amp;"|PC",TABLAS!$B$6:$B$47,0),AP28)))</f>
        <v/>
      </c>
      <c r="AW28" s="59" t="str">
        <f>IF(V28&lt;&gt;"SÍ","",INDEX(TABLAS!$D$6:$J$47,MATCH(AO28&amp;"|PL",TABLAS!$B$6:$B$47,0),AP28)+AQ28*(INDEX(TABLAS!$D$6:$J$47,MATCH(AO28&amp;"|PL",TABLAS!$B$6:$B$47,0),MIN(AP28+1,7))-INDEX(TABLAS!$D$6:$J$47,MATCH(AO28&amp;"|PL",TABLAS!$B$6:$B$47,0),AP28)))</f>
        <v/>
      </c>
      <c r="AX28" s="56" t="str">
        <f>IF(V28&lt;&gt;"SÍ","",IF(C28="PERIMETRAL",AV28*AK28*Z28^2*1E-4/1000,0))</f>
        <v/>
      </c>
      <c r="AY28" s="62" t="str">
        <f>IF(V28&lt;&gt;"SÍ","",IF(C28="PERIMETRAL",MAX(MAX(AR28,AT28)*AK28*Z28^2*1E-4/1000,N(T28)),(AK28*(AC28/100)^2/2+DATOS!$C$26*N(P28)*AC28/100)/1000))</f>
        <v/>
      </c>
      <c r="AZ28" s="56" t="str">
        <f>IF(V28&lt;&gt;"SÍ","",IF(C28="PERIMETRAL",AW28*AK28*Z28^2*1E-4/1000,0))</f>
        <v/>
      </c>
      <c r="BA28" s="56" t="str">
        <f>IF(V28&lt;&gt;"SÍ","",IF(C28="PERIMETRAL",MAX(MAX(AS28,AU28)*AK28*Z28^2*1E-4/1000,N(U28)),0))</f>
        <v/>
      </c>
      <c r="BB28" s="63" t="str">
        <f>IF(V28&lt;&gt;"SÍ","",IF(C28&lt;&gt;"PERIMETRAL","—",IF(AND(N(T28)=0,N(U28)=0),"— (sin M⁻ del vecino)",IF(OR(AND(N(T28)&gt;0,ABS(MAX(AR28,AT28)*AK28*Z28^2*1E-4/1000-N(T28))&gt;0.5*MIN(MAX(AR28,AT28)*AK28*Z28^2*1E-4/1000,N(T28))),AND(N(U28)&gt;0,ABS(MAX(AS28,AU28)*AK28*Z28^2*1E-4/1000-N(U28))&gt;0.5*MIN(MAX(AS28,AU28)*AK28*Z28^2*1E-4/1000,N(U28)))),"FUERA: difieren &gt; 50 %"&amp;IF(AND(N(T28)&gt;0,ABS(MAX(AR28,AT28)*AK28*Z28^2*1E-4/1000-N(T28))&gt;0.5*MIN(MAX(AR28,AT28)*AK28*Z28^2*1E-4/1000,N(T28)))," ‖ corto","")&amp;IF(AND(N(U28)&gt;0,ABS(MAX(AS28,AU28)*AK28*Z28^2*1E-4/1000-N(U28))&gt;0.5*MIN(MAX(AS28,AU28)*AK28*Z28^2*1E-4/1000,N(U28)))," ‖ largo",""),"CUMPLE"))))</f>
        <v/>
      </c>
      <c r="BC28" s="58" t="str">
        <f>IF(V28&lt;&gt;"SÍ","",DATOS!$C$136*100*W28)</f>
        <v/>
      </c>
      <c r="BD28" s="57" t="str">
        <f>IF(V28&lt;&gt;"SÍ","",MIN(IF(C28="VOLADO",DATOS!$C$138,DATOS!$C$137)*W28,DATOS!$C$139))</f>
        <v/>
      </c>
      <c r="BE28" s="58" t="str">
        <f>IF(V28&lt;&gt;"SÍ","",(W28-AE28-INDEX(TABLAS!$C$52:$C$58,MATCH(IF(ISNUMBER(S28),S28,DATOS!$C$135),TABLAS!$B$52:$B$58,0))/2))</f>
        <v/>
      </c>
      <c r="BF28" s="58" t="str">
        <f>IF(V28&lt;&gt;"SÍ","",IF(AX28&lt;=0,0,IF((1-2*AX28*1E5/(DATOS!$C$29*100*BE28^2*DATOS!$C$21))&lt;0,-1,IF((1-SQRT((1-2*AX28*1E5/(DATOS!$C$29*100*BE28^2*DATOS!$C$21))))*DATOS!$C$21*100*BE28/DATOS!$C$14&gt;DATOS!$C$99*100*BE28,-1,(1-SQRT((1-2*AX28*1E5/(DATOS!$C$29*100*BE28^2*DATOS!$C$21))))*DATOS!$C$21*100*BE28/DATOS!$C$14))))</f>
        <v/>
      </c>
      <c r="BG28" s="58" t="str">
        <f>IF(V28&lt;&gt;"SÍ","",IF(BF28&lt;0,-1,MAX(BF28,BC28)))</f>
        <v/>
      </c>
      <c r="BH28" s="64" t="str">
        <f>IF(V28&lt;&gt;"SÍ","",IF(AND(BG28&gt;0,FLOOR(MIN(BD28,100*INDEX(TABLAS!$D$52:$D$58,MIN(MATCH(IF(ISNUMBER(S28),S28,DATOS!$C$135),TABLAS!$B$52:$B$58,0)+0,7))/MAX(BG28,0.0001)),DATOS!$C$141)&gt;=DATOS!$C$140),INDEX(TABLAS!$B$52:$B$58,MIN(MATCH(IF(ISNUMBER(S28),S28,DATOS!$C$135),TABLAS!$B$52:$B$58,0)+0,7)),IF(AND(BG28&gt;0,FLOOR(MIN(BD28,100*INDEX(TABLAS!$D$52:$D$58,MIN(MATCH(IF(ISNUMBER(S28),S28,DATOS!$C$135),TABLAS!$B$52:$B$58,0)+1,7))/MAX(BG28,0.0001)),DATOS!$C$141)&gt;=DATOS!$C$140),INDEX(TABLAS!$B$52:$B$58,MIN(MATCH(IF(ISNUMBER(S28),S28,DATOS!$C$135),TABLAS!$B$52:$B$58,0)+1,7)),IF(AND(BG28&gt;0,FLOOR(MIN(BD28,100*INDEX(TABLAS!$D$52:$D$58,MIN(MATCH(IF(ISNUMBER(S28),S28,DATOS!$C$135),TABLAS!$B$52:$B$58,0)+2,7))/MAX(BG28,0.0001)),DATOS!$C$141)&gt;=DATOS!$C$140),INDEX(TABLAS!$B$52:$B$58,MIN(MATCH(IF(ISNUMBER(S28),S28,DATOS!$C$135),TABLAS!$B$52:$B$58,0)+2,7)),IF(AND(BG28&gt;0,FLOOR(MIN(BD28,100*INDEX(TABLAS!$D$52:$D$58,MIN(MATCH(IF(ISNUMBER(S28),S28,DATOS!$C$135),TABLAS!$B$52:$B$58,0)+3,7))/MAX(BG28,0.0001)),DATOS!$C$141)&gt;=DATOS!$C$140),INDEX(TABLAS!$B$52:$B$58,MIN(MATCH(IF(ISNUMBER(S28),S28,DATOS!$C$135),TABLAS!$B$52:$B$58,0)+3,7)),IF(AND(BG28&gt;0,FLOOR(MIN(BD28,100*INDEX(TABLAS!$D$52:$D$58,MIN(MATCH(IF(ISNUMBER(S28),S28,DATOS!$C$135),TABLAS!$B$52:$B$58,0)+4,7))/MAX(BG28,0.0001)),DATOS!$C$141)&gt;=DATOS!$C$140),INDEX(TABLAS!$B$52:$B$58,MIN(MATCH(IF(ISNUMBER(S28),S28,DATOS!$C$135),TABLAS!$B$52:$B$58,0)+4,7)),INDEX(TABLAS!$B$52:$B$58,7)))))))</f>
        <v/>
      </c>
      <c r="BI28" s="71" t="str">
        <f>IF(V28&lt;&gt;"SÍ","",IF(BG28&lt;=0,0,FLOOR(MIN(BD28,100*INDEX(TABLAS!$D$52:$D$58,MATCH(BH28,TABLAS!$B$52:$B$58,0))/BG28),DATOS!$C$141)))</f>
        <v/>
      </c>
      <c r="BJ28" s="58" t="str">
        <f>IF(V28&lt;&gt;"SÍ","",IF(BI28&lt;=0,0,INDEX(TABLAS!$D$52:$D$58,MATCH(BH28,TABLAS!$B$52:$B$58,0))*100/BI28))</f>
        <v/>
      </c>
      <c r="BK28" s="58" t="str">
        <f>IF(V28&lt;&gt;"SÍ","",W28-AE28-INDEX(TABLAS!$C$52:$C$58,MATCH(BH28,TABLAS!$B$52:$B$58,0))/2)</f>
        <v/>
      </c>
      <c r="BL28" s="56" t="str">
        <f>IF(V28&lt;&gt;"SÍ","",IF(BJ28=0,0,DATOS!$C$29*BJ28*DATOS!$C$14*(BK28-BJ28*DATOS!$C$14/(DATOS!$C$21*100)/2)/1E5))</f>
        <v/>
      </c>
      <c r="BM28" s="65" t="str">
        <f>IF(V28&lt;&gt;"SÍ","",IF(BG28&lt;0,9.99,IF(BL28&gt;0,AX28/BL28,0)))</f>
        <v/>
      </c>
      <c r="BN28" s="66" t="str">
        <f>IF(V28&lt;&gt;"SÍ","",IF(BJ28=0,"—",0.003*(BK28-(BJ28*DATOS!$C$14/(DATOS!$C$21*100)/DATOS!$C$22))/(BJ28*DATOS!$C$14/(DATOS!$C$21*100)/DATOS!$C$22)))</f>
        <v/>
      </c>
      <c r="BO28" s="58" t="str">
        <f>IF(V28&lt;&gt;"SÍ","",((W28-AF28-INDEX(TABLAS!$C$52:$C$58,MATCH(IF(ISNUMBER(S28),S28,DATOS!$C$135),TABLAS!$B$52:$B$58,0))/2)-IF(AND((W28-AF28-INDEX(TABLAS!$C$52:$C$58,MATCH(IF(ISNUMBER(S28),S28,DATOS!$C$135),TABLAS!$B$52:$B$58,0))/2)&lt;=20,DATOS!$C$62&lt;&gt;"SÍ"),2,0)))</f>
        <v/>
      </c>
      <c r="BP28" s="58" t="str">
        <f>IF(V28&lt;&gt;"SÍ","",IF(AY28&lt;=0,0,IF((1-2*AY28*1E5/(DATOS!$C$29*100*BO28^2*DATOS!$C$21))&lt;0,-1,IF((1-SQRT((1-2*AY28*1E5/(DATOS!$C$29*100*BO28^2*DATOS!$C$21))))*DATOS!$C$21*100*BO28/DATOS!$C$14&gt;DATOS!$C$99*100*BO28,-1,(1-SQRT((1-2*AY28*1E5/(DATOS!$C$29*100*BO28^2*DATOS!$C$21))))*DATOS!$C$21*100*BO28/DATOS!$C$14))))</f>
        <v/>
      </c>
      <c r="BQ28" s="58" t="str">
        <f>IF(V28&lt;&gt;"SÍ","",IF(BP28&lt;0,-1,MAX(BP28,BC28)))</f>
        <v/>
      </c>
      <c r="BR28" s="64" t="str">
        <f>IF(V28&lt;&gt;"SÍ","",IF(AND(BQ28&gt;0,FLOOR(MIN(BD28,100*INDEX(TABLAS!$D$52:$D$58,MIN(MATCH(IF(ISNUMBER(S28),S28,DATOS!$C$135),TABLAS!$B$52:$B$58,0)+0,7))/MAX(BQ28,0.0001)),DATOS!$C$141)&gt;=DATOS!$C$140),INDEX(TABLAS!$B$52:$B$58,MIN(MATCH(IF(ISNUMBER(S28),S28,DATOS!$C$135),TABLAS!$B$52:$B$58,0)+0,7)),IF(AND(BQ28&gt;0,FLOOR(MIN(BD28,100*INDEX(TABLAS!$D$52:$D$58,MIN(MATCH(IF(ISNUMBER(S28),S28,DATOS!$C$135),TABLAS!$B$52:$B$58,0)+1,7))/MAX(BQ28,0.0001)),DATOS!$C$141)&gt;=DATOS!$C$140),INDEX(TABLAS!$B$52:$B$58,MIN(MATCH(IF(ISNUMBER(S28),S28,DATOS!$C$135),TABLAS!$B$52:$B$58,0)+1,7)),IF(AND(BQ28&gt;0,FLOOR(MIN(BD28,100*INDEX(TABLAS!$D$52:$D$58,MIN(MATCH(IF(ISNUMBER(S28),S28,DATOS!$C$135),TABLAS!$B$52:$B$58,0)+2,7))/MAX(BQ28,0.0001)),DATOS!$C$141)&gt;=DATOS!$C$140),INDEX(TABLAS!$B$52:$B$58,MIN(MATCH(IF(ISNUMBER(S28),S28,DATOS!$C$135),TABLAS!$B$52:$B$58,0)+2,7)),IF(AND(BQ28&gt;0,FLOOR(MIN(BD28,100*INDEX(TABLAS!$D$52:$D$58,MIN(MATCH(IF(ISNUMBER(S28),S28,DATOS!$C$135),TABLAS!$B$52:$B$58,0)+3,7))/MAX(BQ28,0.0001)),DATOS!$C$141)&gt;=DATOS!$C$140),INDEX(TABLAS!$B$52:$B$58,MIN(MATCH(IF(ISNUMBER(S28),S28,DATOS!$C$135),TABLAS!$B$52:$B$58,0)+3,7)),IF(AND(BQ28&gt;0,FLOOR(MIN(BD28,100*INDEX(TABLAS!$D$52:$D$58,MIN(MATCH(IF(ISNUMBER(S28),S28,DATOS!$C$135),TABLAS!$B$52:$B$58,0)+4,7))/MAX(BQ28,0.0001)),DATOS!$C$141)&gt;=DATOS!$C$140),INDEX(TABLAS!$B$52:$B$58,MIN(MATCH(IF(ISNUMBER(S28),S28,DATOS!$C$135),TABLAS!$B$52:$B$58,0)+4,7)),INDEX(TABLAS!$B$52:$B$58,7)))))))</f>
        <v/>
      </c>
      <c r="BS28" s="71" t="str">
        <f>IF(V28&lt;&gt;"SÍ","",IF(BQ28&lt;=0,0,FLOOR(MIN(BD28,100*INDEX(TABLAS!$D$52:$D$58,MATCH(BR28,TABLAS!$B$52:$B$58,0))/BQ28),DATOS!$C$141)))</f>
        <v/>
      </c>
      <c r="BT28" s="58" t="str">
        <f>IF(V28&lt;&gt;"SÍ","",IF(BS28&lt;=0,0,INDEX(TABLAS!$D$52:$D$58,MATCH(BR28,TABLAS!$B$52:$B$58,0))*100/BS28))</f>
        <v/>
      </c>
      <c r="BU28" s="58" t="str">
        <f>IF(V28&lt;&gt;"SÍ","",((W28-AF28-INDEX(TABLAS!$C$52:$C$58,MATCH(BR28,TABLAS!$B$52:$B$58,0))/2)-IF(AND((W28-AF28-INDEX(TABLAS!$C$52:$C$58,MATCH(BR28,TABLAS!$B$52:$B$58,0))/2)&lt;=20,DATOS!$C$62&lt;&gt;"SÍ"),2,0)))</f>
        <v/>
      </c>
      <c r="BV28" s="56" t="str">
        <f>IF(V28&lt;&gt;"SÍ","",IF(BT28=0,0,DATOS!$C$29*BT28*DATOS!$C$14*(BU28-BT28*DATOS!$C$14/(DATOS!$C$21*100)/2)/1E5))</f>
        <v/>
      </c>
      <c r="BW28" s="65" t="str">
        <f>IF(V28&lt;&gt;"SÍ","",IF(BQ28&lt;0,9.99,IF(BV28&gt;0,AY28/BV28,0)))</f>
        <v/>
      </c>
      <c r="BX28" s="66" t="str">
        <f>IF(V28&lt;&gt;"SÍ","",IF(BT28=0,"—",0.003*(BU28-(BT28*DATOS!$C$14/(DATOS!$C$21*100)/DATOS!$C$22))/(BT28*DATOS!$C$14/(DATOS!$C$21*100)/DATOS!$C$22)))</f>
        <v/>
      </c>
      <c r="BY28" s="58" t="str">
        <f>IF(V28&lt;&gt;"SÍ","",(W28-AE28-1.5*INDEX(TABLAS!$C$52:$C$58,MATCH(IF(ISNUMBER(S28),S28,DATOS!$C$135),TABLAS!$B$52:$B$58,0))))</f>
        <v/>
      </c>
      <c r="BZ28" s="58" t="str">
        <f>IF(V28&lt;&gt;"SÍ","",IF(AZ28&lt;=0,0,IF((1-2*AZ28*1E5/(DATOS!$C$29*100*BY28^2*DATOS!$C$21))&lt;0,-1,IF((1-SQRT((1-2*AZ28*1E5/(DATOS!$C$29*100*BY28^2*DATOS!$C$21))))*DATOS!$C$21*100*BY28/DATOS!$C$14&gt;DATOS!$C$99*100*BY28,-1,(1-SQRT((1-2*AZ28*1E5/(DATOS!$C$29*100*BY28^2*DATOS!$C$21))))*DATOS!$C$21*100*BY28/DATOS!$C$14))))</f>
        <v/>
      </c>
      <c r="CA28" s="58" t="str">
        <f>IF(V28&lt;&gt;"SÍ","",IF(BZ28&lt;0,-1,MAX(BZ28,BC28)))</f>
        <v/>
      </c>
      <c r="CB28" s="64" t="str">
        <f>IF(V28&lt;&gt;"SÍ","",IF(AND(CA28&gt;0,FLOOR(MIN(BD28,100*INDEX(TABLAS!$D$52:$D$58,MIN(MATCH(IF(ISNUMBER(S28),S28,DATOS!$C$135),TABLAS!$B$52:$B$58,0)+0,7))/MAX(CA28,0.0001)),DATOS!$C$141)&gt;=DATOS!$C$140),INDEX(TABLAS!$B$52:$B$58,MIN(MATCH(IF(ISNUMBER(S28),S28,DATOS!$C$135),TABLAS!$B$52:$B$58,0)+0,7)),IF(AND(CA28&gt;0,FLOOR(MIN(BD28,100*INDEX(TABLAS!$D$52:$D$58,MIN(MATCH(IF(ISNUMBER(S28),S28,DATOS!$C$135),TABLAS!$B$52:$B$58,0)+1,7))/MAX(CA28,0.0001)),DATOS!$C$141)&gt;=DATOS!$C$140),INDEX(TABLAS!$B$52:$B$58,MIN(MATCH(IF(ISNUMBER(S28),S28,DATOS!$C$135),TABLAS!$B$52:$B$58,0)+1,7)),IF(AND(CA28&gt;0,FLOOR(MIN(BD28,100*INDEX(TABLAS!$D$52:$D$58,MIN(MATCH(IF(ISNUMBER(S28),S28,DATOS!$C$135),TABLAS!$B$52:$B$58,0)+2,7))/MAX(CA28,0.0001)),DATOS!$C$141)&gt;=DATOS!$C$140),INDEX(TABLAS!$B$52:$B$58,MIN(MATCH(IF(ISNUMBER(S28),S28,DATOS!$C$135),TABLAS!$B$52:$B$58,0)+2,7)),IF(AND(CA28&gt;0,FLOOR(MIN(BD28,100*INDEX(TABLAS!$D$52:$D$58,MIN(MATCH(IF(ISNUMBER(S28),S28,DATOS!$C$135),TABLAS!$B$52:$B$58,0)+3,7))/MAX(CA28,0.0001)),DATOS!$C$141)&gt;=DATOS!$C$140),INDEX(TABLAS!$B$52:$B$58,MIN(MATCH(IF(ISNUMBER(S28),S28,DATOS!$C$135),TABLAS!$B$52:$B$58,0)+3,7)),IF(AND(CA28&gt;0,FLOOR(MIN(BD28,100*INDEX(TABLAS!$D$52:$D$58,MIN(MATCH(IF(ISNUMBER(S28),S28,DATOS!$C$135),TABLAS!$B$52:$B$58,0)+4,7))/MAX(CA28,0.0001)),DATOS!$C$141)&gt;=DATOS!$C$140),INDEX(TABLAS!$B$52:$B$58,MIN(MATCH(IF(ISNUMBER(S28),S28,DATOS!$C$135),TABLAS!$B$52:$B$58,0)+4,7)),INDEX(TABLAS!$B$52:$B$58,7)))))))</f>
        <v/>
      </c>
      <c r="CC28" s="71" t="str">
        <f>IF(V28&lt;&gt;"SÍ","",IF(CA28&lt;=0,0,FLOOR(MIN(BD28,100*INDEX(TABLAS!$D$52:$D$58,MATCH(CB28,TABLAS!$B$52:$B$58,0))/CA28),DATOS!$C$141)))</f>
        <v/>
      </c>
      <c r="CD28" s="58" t="str">
        <f>IF(V28&lt;&gt;"SÍ","",IF(CC28&lt;=0,0,INDEX(TABLAS!$D$52:$D$58,MATCH(CB28,TABLAS!$B$52:$B$58,0))*100/CC28))</f>
        <v/>
      </c>
      <c r="CE28" s="58" t="str">
        <f>IF(V28&lt;&gt;"SÍ","",W28-AE28-INDEX(TABLAS!$C$52:$C$58,MATCH(BH28,TABLAS!$B$52:$B$58,0))-INDEX(TABLAS!$C$52:$C$58,MATCH(CB28,TABLAS!$B$52:$B$58,0))/2)</f>
        <v/>
      </c>
      <c r="CF28" s="56" t="str">
        <f>IF(V28&lt;&gt;"SÍ","",IF(CD28=0,0,DATOS!$C$29*CD28*DATOS!$C$14*(CE28-CD28*DATOS!$C$14/(DATOS!$C$21*100)/2)/1E5))</f>
        <v/>
      </c>
      <c r="CG28" s="65" t="str">
        <f>IF(V28&lt;&gt;"SÍ","",IF(CA28&lt;0,9.99,IF(CF28&gt;0,AZ28/CF28,0)))</f>
        <v/>
      </c>
      <c r="CH28" s="66" t="str">
        <f>IF(V28&lt;&gt;"SÍ","",IF(CD28=0,"—",0.003*(CE28-(CD28*DATOS!$C$14/(DATOS!$C$21*100)/DATOS!$C$22))/(CD28*DATOS!$C$14/(DATOS!$C$21*100)/DATOS!$C$22)))</f>
        <v/>
      </c>
      <c r="CI28" s="58" t="str">
        <f>IF(V28&lt;&gt;"SÍ","",((W28-AF28-1.5*INDEX(TABLAS!$C$52:$C$58,MATCH(IF(ISNUMBER(S28),S28,DATOS!$C$135),TABLAS!$B$52:$B$58,0)))-IF(AND((W28-AF28-1.5*INDEX(TABLAS!$C$52:$C$58,MATCH(IF(ISNUMBER(S28),S28,DATOS!$C$135),TABLAS!$B$52:$B$58,0)))&lt;=20,DATOS!$C$62&lt;&gt;"SÍ"),2,0)))</f>
        <v/>
      </c>
      <c r="CJ28" s="58" t="str">
        <f>IF(V28&lt;&gt;"SÍ","",IF(BA28&lt;=0,0,IF((1-2*BA28*1E5/(DATOS!$C$29*100*CI28^2*DATOS!$C$21))&lt;0,-1,IF((1-SQRT((1-2*BA28*1E5/(DATOS!$C$29*100*CI28^2*DATOS!$C$21))))*DATOS!$C$21*100*CI28/DATOS!$C$14&gt;DATOS!$C$99*100*CI28,-1,(1-SQRT((1-2*BA28*1E5/(DATOS!$C$29*100*CI28^2*DATOS!$C$21))))*DATOS!$C$21*100*CI28/DATOS!$C$14))))</f>
        <v/>
      </c>
      <c r="CK28" s="58" t="str">
        <f>IF(V28&lt;&gt;"SÍ","",IF(CJ28&lt;0,-1,MAX(CJ28,BC28)))</f>
        <v/>
      </c>
      <c r="CL28" s="64" t="str">
        <f>IF(V28&lt;&gt;"SÍ","",IF(AND(CK28&gt;0,FLOOR(MIN(BD28,100*INDEX(TABLAS!$D$52:$D$58,MIN(MATCH(IF(ISNUMBER(S28),S28,DATOS!$C$135),TABLAS!$B$52:$B$58,0)+0,7))/MAX(CK28,0.0001)),DATOS!$C$141)&gt;=DATOS!$C$140),INDEX(TABLAS!$B$52:$B$58,MIN(MATCH(IF(ISNUMBER(S28),S28,DATOS!$C$135),TABLAS!$B$52:$B$58,0)+0,7)),IF(AND(CK28&gt;0,FLOOR(MIN(BD28,100*INDEX(TABLAS!$D$52:$D$58,MIN(MATCH(IF(ISNUMBER(S28),S28,DATOS!$C$135),TABLAS!$B$52:$B$58,0)+1,7))/MAX(CK28,0.0001)),DATOS!$C$141)&gt;=DATOS!$C$140),INDEX(TABLAS!$B$52:$B$58,MIN(MATCH(IF(ISNUMBER(S28),S28,DATOS!$C$135),TABLAS!$B$52:$B$58,0)+1,7)),IF(AND(CK28&gt;0,FLOOR(MIN(BD28,100*INDEX(TABLAS!$D$52:$D$58,MIN(MATCH(IF(ISNUMBER(S28),S28,DATOS!$C$135),TABLAS!$B$52:$B$58,0)+2,7))/MAX(CK28,0.0001)),DATOS!$C$141)&gt;=DATOS!$C$140),INDEX(TABLAS!$B$52:$B$58,MIN(MATCH(IF(ISNUMBER(S28),S28,DATOS!$C$135),TABLAS!$B$52:$B$58,0)+2,7)),IF(AND(CK28&gt;0,FLOOR(MIN(BD28,100*INDEX(TABLAS!$D$52:$D$58,MIN(MATCH(IF(ISNUMBER(S28),S28,DATOS!$C$135),TABLAS!$B$52:$B$58,0)+3,7))/MAX(CK28,0.0001)),DATOS!$C$141)&gt;=DATOS!$C$140),INDEX(TABLAS!$B$52:$B$58,MIN(MATCH(IF(ISNUMBER(S28),S28,DATOS!$C$135),TABLAS!$B$52:$B$58,0)+3,7)),IF(AND(CK28&gt;0,FLOOR(MIN(BD28,100*INDEX(TABLAS!$D$52:$D$58,MIN(MATCH(IF(ISNUMBER(S28),S28,DATOS!$C$135),TABLAS!$B$52:$B$58,0)+4,7))/MAX(CK28,0.0001)),DATOS!$C$141)&gt;=DATOS!$C$140),INDEX(TABLAS!$B$52:$B$58,MIN(MATCH(IF(ISNUMBER(S28),S28,DATOS!$C$135),TABLAS!$B$52:$B$58,0)+4,7)),INDEX(TABLAS!$B$52:$B$58,7)))))))</f>
        <v/>
      </c>
      <c r="CM28" s="71" t="str">
        <f>IF(V28&lt;&gt;"SÍ","",IF(CK28&lt;=0,0,FLOOR(MIN(BD28,100*INDEX(TABLAS!$D$52:$D$58,MATCH(CL28,TABLAS!$B$52:$B$58,0))/CK28),DATOS!$C$141)))</f>
        <v/>
      </c>
      <c r="CN28" s="58" t="str">
        <f>IF(V28&lt;&gt;"SÍ","",IF(CM28&lt;=0,0,INDEX(TABLAS!$D$52:$D$58,MATCH(CL28,TABLAS!$B$52:$B$58,0))*100/CM28))</f>
        <v/>
      </c>
      <c r="CO28" s="58" t="str">
        <f>IF(V28&lt;&gt;"SÍ","",((W28-AF28-INDEX(TABLAS!$C$52:$C$58,MATCH(BR28,TABLAS!$B$52:$B$58,0))-INDEX(TABLAS!$C$52:$C$58,MATCH(CL28,TABLAS!$B$52:$B$58,0))/2)-IF(AND((W28-AF28-INDEX(TABLAS!$C$52:$C$58,MATCH(BR28,TABLAS!$B$52:$B$58,0))-INDEX(TABLAS!$C$52:$C$58,MATCH(CL28,TABLAS!$B$52:$B$58,0))/2)&lt;=20,DATOS!$C$62&lt;&gt;"SÍ"),2,0)))</f>
        <v/>
      </c>
      <c r="CP28" s="56" t="str">
        <f>IF(V28&lt;&gt;"SÍ","",IF(CN28=0,0,DATOS!$C$29*CN28*DATOS!$C$14*(CO28-CN28*DATOS!$C$14/(DATOS!$C$21*100)/2)/1E5))</f>
        <v/>
      </c>
      <c r="CQ28" s="65" t="str">
        <f>IF(V28&lt;&gt;"SÍ","",IF(CK28&lt;0,9.99,IF(CP28&gt;0,BA28/CP28,0)))</f>
        <v/>
      </c>
      <c r="CR28" s="66" t="str">
        <f>IF(V28&lt;&gt;"SÍ","",IF(CN28=0,"—",0.003*(CO28-(CN28*DATOS!$C$14/(DATOS!$C$21*100)/DATOS!$C$22))/(CN28*DATOS!$C$14/(DATOS!$C$21*100)/DATOS!$C$22)))</f>
        <v/>
      </c>
      <c r="CS28" s="56" t="str">
        <f>IF(V28&lt;&gt;"SÍ","",IF(C28="PERIMETRAL",MAX(0,(AC28/2-BU28)/100)*(0.95-0.5*AB28)*AK28*IF(AND(AL28&gt;0,AL28&lt;4),DATOS!$C$33,1)/1000,(AK28*MAX(0,AC28-BU28)/100+DATOS!$C$26*N(P28))/1000))</f>
        <v/>
      </c>
      <c r="CT28" s="66" t="str">
        <f>IF(V28&lt;&gt;"SÍ","",BT28/(100*BU28))</f>
        <v/>
      </c>
      <c r="CU28" s="56" t="str">
        <f>IF(V28&lt;&gt;"SÍ","",DATOS!$C$30*2*MIN(1,SQRT(2/(1+0.04*BU28)))*CT28^(1/3)*SQRT(DATOS!$C$13)*100*BU28/1000)</f>
        <v/>
      </c>
      <c r="CV28" s="67" t="str">
        <f>IF(V28&lt;&gt;"SÍ","",IF(CS28&lt;=CU28,"CUMPLE","NO CUMPLE: sube h"))</f>
        <v/>
      </c>
      <c r="CW28" s="58" t="str">
        <f>IF(V28&lt;&gt;"SÍ","",IF(C28="PERIMETRAL",IF(ISNUMBER(R28),R28,DATOS!$C$101),0))</f>
        <v/>
      </c>
      <c r="CX28" s="57" t="str">
        <f>IF(V28&lt;&gt;"SÍ","",IF(C28="PERIMETRAL",IF(CW28&gt;2,MAX(9,AD28*(0.8+DATOS!$C$14/14000)/(36+9*(AD28/MAX(AC28,1)))),IF(CW28&gt;0.2,MAX(13,AD28*(0.8+DATOS!$C$14/14000)/(36+5*(AD28/MAX(AC28,1))*(CW28-0.2))),MAX(13,AD28/IF(AL28&gt;0,30,33))))*IF(AND(CW28&gt;0.2,AL28&gt;0,DATOS!$C$102="NO"),1.1,1),Z28*100/DATOS!$C$142))</f>
        <v/>
      </c>
      <c r="CY28" s="61" t="str">
        <f>IF(V28&lt;&gt;"SÍ","",IF(W28&gt;=CX28-0.001,"CUMPLE",IF(C28="VOLADO","NO CUMPLE","CALCULAR FLECHA")))</f>
        <v/>
      </c>
      <c r="CZ28" s="60" t="str">
        <f>IF(V28&lt;&gt;"SÍ","",IF(C28="VOLADO",MIN(CEILING(IF(ISNUMBER(Q28),Q28,Z28)*100,5),CEILING(MAX(IF((0.5*(0.9*W28/100*DATOS!$C$16)*IF(ISNUMBER(Q28),Q28,Z28)+AY28/IF(ISNUMBER(Q28),Q28,Z28))^2-4*(0.5*(0.9*W28/100*DATOS!$C$16))*AY28&lt;0,IF(ISNUMBER(Q28),Q28,Z28),MIN(IF(ISNUMBER(Q28),Q28,Z28),((0.5*(0.9*W28/100*DATOS!$C$16)*IF(ISNUMBER(Q28),Q28,Z28)+AY28/IF(ISNUMBER(Q28),Q28,Z28))-SQRT((0.5*(0.9*W28/100*DATOS!$C$16)*IF(ISNUMBER(Q28),Q28,Z28)+AY28/IF(ISNUMBER(Q28),Q28,Z28))^2-4*(0.5*(0.9*W28/100*DATOS!$C$16))*AY28))/(2*(0.5*(0.9*W28/100*DATOS!$C$16)))))*100+MAX(BU28,12*INDEX(TABLAS!$C$52:$C$58,MATCH(BR28,TABLAS!$B$52:$B$58,0)),IF(ISNUMBER(Q28),Q28,Z28)*100/16),IF(OR(AF28&lt;INDEX(TABLAS!$C$52:$C$58,MATCH(BR28,TABLAS!$B$52:$B$58,0)),BS28-INDEX(TABLAS!$C$52:$C$58,MATCH(BR28,TABLAS!$B$52:$B$58,0))&lt;2*INDEX(TABLAS!$C$52:$C$58,MATCH(BR28,TABLAS!$B$52:$B$58,0))),INDEX(TABLAS!$I$52:$I$58,MATCH(BR28,TABLAS!$B$52:$B$58,0)),INDEX(TABLAS!$F$52:$F$58,MATCH(BR28,TABLAS!$B$52:$B$58,0)))),5)),IF(((4*((AV28*AK28*Z28^2*1E-4/1000)+((MAX(AR28,AT28)*AK28*Z28^2*1E-4/1000)+(IF(AND(AR28&gt;0,AT28&gt;0),MIN(AR28,AT28),MAX(AR28,AT28))*AK28*Z28^2*1E-4/1000))/2)+AY28-(IF(AND(AR28&gt;0,AT28&gt;0),MIN(AR28,AT28),MAX(AR28,AT28))*AK28*Z28^2*1E-4/1000))^2-16*((AV28*AK28*Z28^2*1E-4/1000)+((MAX(AR28,AT28)*AK28*Z28^2*1E-4/1000)+(IF(AND(AR28&gt;0,AT28&gt;0),MIN(AR28,AT28),MAX(AR28,AT28))*AK28*Z28^2*1E-4/1000))/2)*AY28)&lt;0,CEILING(AC28,5),CEILING(MAX(AC28*((4*((AV28*AK28*Z28^2*1E-4/1000)+((MAX(AR28,AT28)*AK28*Z28^2*1E-4/1000)+(IF(AND(AR28&gt;0,AT28&gt;0),MIN(AR28,AT28),MAX(AR28,AT28))*AK28*Z28^2*1E-4/1000))/2)+AY28-(IF(AND(AR28&gt;0,AT28&gt;0),MIN(AR28,AT28),MAX(AR28,AT28))*AK28*Z28^2*1E-4/1000))-SQRT(MAX(0,((4*((AV28*AK28*Z28^2*1E-4/1000)+((MAX(AR28,AT28)*AK28*Z28^2*1E-4/1000)+(IF(AND(AR28&gt;0,AT28&gt;0),MIN(AR28,AT28),MAX(AR28,AT28))*AK28*Z28^2*1E-4/1000))/2)+AY28-(IF(AND(AR28&gt;0,AT28&gt;0),MIN(AR28,AT28),MAX(AR28,AT28))*AK28*Z28^2*1E-4/1000))^2-16*((AV28*AK28*Z28^2*1E-4/1000)+((MAX(AR28,AT28)*AK28*Z28^2*1E-4/1000)+(IF(AND(AR28&gt;0,AT28&gt;0),MIN(AR28,AT28),MAX(AR28,AT28))*AK28*Z28^2*1E-4/1000))/2)*AY28))))/(8*MAX(((AV28*AK28*Z28^2*1E-4/1000)+((MAX(AR28,AT28)*AK28*Z28^2*1E-4/1000)+(IF(AND(AR28&gt;0,AT28&gt;0),MIN(AR28,AT28),MAX(AR28,AT28))*AK28*Z28^2*1E-4/1000))/2),1E-9))+MAX(BU28,12*INDEX(TABLAS!$C$52:$C$58,MATCH(BR28,TABLAS!$B$52:$B$58,0)),AC28/16),IF(OR(AF28&lt;INDEX(TABLAS!$C$52:$C$58,MATCH(BR28,TABLAS!$B$52:$B$58,0)),BS28-INDEX(TABLAS!$C$52:$C$58,MATCH(BR28,TABLAS!$B$52:$B$58,0))&lt;2*INDEX(TABLAS!$C$52:$C$58,MATCH(BR28,TABLAS!$B$52:$B$58,0))),INDEX(TABLAS!$I$52:$I$58,MATCH(BR28,TABLAS!$B$52:$B$58,0)),INDEX(TABLAS!$F$52:$F$58,MATCH(BR28,TABLAS!$B$52:$B$58,0)))),5))))</f>
        <v/>
      </c>
      <c r="DA28" s="60" t="str">
        <f>IF(V28&lt;&gt;"SÍ","",IF(C28="VOLADO",0,IF(((4*((AW28*AK28*Z28^2*1E-4/1000)+((MAX(AS28,AU28)*AK28*Z28^2*1E-4/1000)+(IF(AND(AS28&gt;0,AU28&gt;0),MIN(AS28,AU28),MAX(AS28,AU28))*AK28*Z28^2*1E-4/1000))/2)+BA28-(IF(AND(AS28&gt;0,AU28&gt;0),MIN(AS28,AU28),MAX(AS28,AU28))*AK28*Z28^2*1E-4/1000))^2-16*((AW28*AK28*Z28^2*1E-4/1000)+((MAX(AS28,AU28)*AK28*Z28^2*1E-4/1000)+(IF(AND(AS28&gt;0,AU28&gt;0),MIN(AS28,AU28),MAX(AS28,AU28))*AK28*Z28^2*1E-4/1000))/2)*BA28)&lt;0,CEILING(AD28,5),CEILING(MAX(AD28*((4*((AW28*AK28*Z28^2*1E-4/1000)+((MAX(AS28,AU28)*AK28*Z28^2*1E-4/1000)+(IF(AND(AS28&gt;0,AU28&gt;0),MIN(AS28,AU28),MAX(AS28,AU28))*AK28*Z28^2*1E-4/1000))/2)+BA28-(IF(AND(AS28&gt;0,AU28&gt;0),MIN(AS28,AU28),MAX(AS28,AU28))*AK28*Z28^2*1E-4/1000))-SQRT(MAX(0,((4*((AW28*AK28*Z28^2*1E-4/1000)+((MAX(AS28,AU28)*AK28*Z28^2*1E-4/1000)+(IF(AND(AS28&gt;0,AU28&gt;0),MIN(AS28,AU28),MAX(AS28,AU28))*AK28*Z28^2*1E-4/1000))/2)+BA28-(IF(AND(AS28&gt;0,AU28&gt;0),MIN(AS28,AU28),MAX(AS28,AU28))*AK28*Z28^2*1E-4/1000))^2-16*((AW28*AK28*Z28^2*1E-4/1000)+((MAX(AS28,AU28)*AK28*Z28^2*1E-4/1000)+(IF(AND(AS28&gt;0,AU28&gt;0),MIN(AS28,AU28),MAX(AS28,AU28))*AK28*Z28^2*1E-4/1000))/2)*BA28))))/(8*MAX(((AW28*AK28*Z28^2*1E-4/1000)+((MAX(AS28,AU28)*AK28*Z28^2*1E-4/1000)+(IF(AND(AS28&gt;0,AU28&gt;0),MIN(AS28,AU28),MAX(AS28,AU28))*AK28*Z28^2*1E-4/1000))/2),1E-9))+MAX(CO28,12*INDEX(TABLAS!$C$52:$C$58,MATCH(CL28,TABLAS!$B$52:$B$58,0)),AD28/16),IF(OR(AF28&lt;INDEX(TABLAS!$C$52:$C$58,MATCH(CL28,TABLAS!$B$52:$B$58,0)),CM28-INDEX(TABLAS!$C$52:$C$58,MATCH(CL28,TABLAS!$B$52:$B$58,0))&lt;2*INDEX(TABLAS!$C$52:$C$58,MATCH(CL28,TABLAS!$B$52:$B$58,0))),INDEX(TABLAS!$I$52:$I$58,MATCH(CL28,TABLAS!$B$52:$B$58,0)),INDEX(TABLAS!$F$52:$F$58,MATCH(CL28,TABLAS!$B$52:$B$58,0)))),5))))</f>
        <v/>
      </c>
      <c r="DB28" s="55" t="str">
        <f>IF(V28&lt;&gt;"SÍ","",IF(AND(C28="PERIMETRAL",AL28-AM28&gt;0,AT28&gt;0),"SÍ","NO"))</f>
        <v/>
      </c>
      <c r="DC28" s="55" t="str">
        <f>IF(V28&lt;&gt;"SÍ","",IF(AND(C28="PERIMETRAL",AM28&gt;0,AU28&gt;0),"SÍ","NO"))</f>
        <v/>
      </c>
      <c r="DD28" s="63" t="str">
        <f>IF(V28&lt;&gt;"SÍ","",IF(OR(C28="VOLADO",AL28=0),"—",IF(AND(AND(INDEX(TABLAS!$G$52:$G$58,MATCH(MAX(BR28,CL28),TABLAS!$B$52:$B$58,0))&lt;=(DATOS!$C$72-DATOS!$C$60),(DATOS!$C$72-DATOS!$C$60)&gt;=15),8*INDEX(TABLAS!$C$52:$C$58,MATCH(MAX(BH28,CB28,BR28,CL28),TABLAS!$B$52:$B$58,0))&lt;=DATOS!$C$73-2*DATOS!$C$60),"CUMPLE (gancho de 180°)",IF(AND(INDEX(TABLAS!$G$52:$G$58,MATCH(MAX(BR28,CL28),TABLAS!$B$52:$B$58,0))&lt;=(DATOS!$C$72-DATOS!$C$60),(DATOS!$C$72-DATOS!$C$60)&gt;=15),"NO CUMPLE: el gancho de 180° (8·d_b) no cabe en el peralte de la dala de borde","NO CUMPLE: dala de borde ≥ "&amp;TEXT(CEILING(MAX(INDEX(TABLAS!$G$52:$G$58,MATCH(MAX(BR28,CL28),TABLAS!$B$52:$B$58,0)),15)+DATOS!$C$60,5),"0")&amp;" cm de ancho"&amp;IF(8*INDEX(TABLAS!$C$52:$C$58,MATCH(MAX(BH28,CB28,BR28,CL28),TABLAS!$B$52:$B$58,0))&lt;=DATOS!$C$73-2*DATOS!$C$60,""," y más peralte para el gancho")))))</f>
        <v/>
      </c>
      <c r="DE28" s="69" t="str">
        <f>IF(V28&lt;&gt;"SÍ","",IF(BI28=0,"NO ALCANZA","No. "&amp;BH28&amp;" @ "&amp;BI28&amp;" cm"&amp;IF(C28="VOLADO"," (temperatura)","")))</f>
        <v/>
      </c>
      <c r="DF28" s="69" t="str">
        <f>IF(V28&lt;&gt;"SÍ","",IF(BS28=0,"NO ALCANZA",IF(C28="VOLADO","No. "&amp;BR28&amp;" @ "&amp;BS28&amp;" cm"&amp;" de la orilla al respaldo ("&amp;IF(CZ28&gt;=100*IF(ISNUMBER(Q28),Q28,Z28),"hasta su apoyo lejano, con gancho","entran "&amp;TEXT(CZ28/100,"0.00")&amp;" m desde el paño")&amp;")","Bastones "&amp;"No. "&amp;BR28&amp;" @ "&amp;BS28&amp;" cm"&amp;", L = "&amp;TEXT(CZ28/100,"0.00")&amp;" m desde el paño")))</f>
        <v/>
      </c>
      <c r="DG28" s="69" t="str">
        <f>IF(V28&lt;&gt;"SÍ","",IF(CC28=0,"NO ALCANZA","No. "&amp;CB28&amp;" @ "&amp;CC28&amp;" cm"&amp;IF(C28="VOLADO"," (repartición)","")))</f>
        <v/>
      </c>
      <c r="DH28" s="69" t="str">
        <f>IF(V28&lt;&gt;"SÍ","",IF(CM28=0,"NO ALCANZA",IF(C28="VOLADO","No. "&amp;CL28&amp;" @ "&amp;CM28&amp;" cm"&amp;" (repartición)","Bastones "&amp;"No. "&amp;CL28&amp;" @ "&amp;CM28&amp;" cm"&amp;", L = "&amp;TEXT(DA28/100,"0.00")&amp;" m desde el paño")))</f>
        <v/>
      </c>
      <c r="DI28" s="67" t="str">
        <f>IF(B28="","",IF(V28&lt;&gt;"SÍ","FALTAN DATOS: tipo, a_x, a_y y destino",IF(L28="NO MONOLÍTICO (caso II)","FUERA DE ALCANCE: caso II no transcrito",IF(AND(C28="VOLADO",X28="?"),"REVISAR: el volado lleva UN solo borde CONTINUO (el empotrado)",IF(AND(MAX(BM28,BW28,CG28,CQ28)&lt;=1,NOT(OR(BI28&lt;DATOS!$C$140,BS28&lt;DATOS!$C$140,CC28&lt;DATOS!$C$140,CM28&lt;DATOS!$C$140)),NOT(OR(AND(ISNUMBER(BN28),BN28&lt;0.005),AND(ISNUMBER(BX28),BX28&lt;0.005),AND(ISNUMBER(CH28),CH28&lt;0.005),AND(ISNUMBER(CR28),CR28&lt;0.005))),CV28="CUMPLE",CY28="CUMPLE"),"CUMPLE"&amp;IF(LEFT(BB28,5)="FUERA"," · fuera de 3.4.2.1 c)","")&amp;IF(LEFT(DD28,2)="NO"," · REVISAR anclaje en borde discontinuo",""),IF(AND(MAX(BM28,BW28,CG28,CQ28)&lt;=1,NOT(OR(BI28&lt;DATOS!$C$140,BS28&lt;DATOS!$C$140,CC28&lt;DATOS!$C$140,CM28&lt;DATOS!$C$140)),NOT(OR(AND(ISNUMBER(BN28),BN28&lt;0.005),AND(ISNUMBER(BX28),BX28&lt;0.005),AND(ISNUMBER(CH28),CH28&lt;0.005),AND(ISNUMBER(CR28),CR28&lt;0.005))),CV28="CUMPLE",CY28="CALCULAR FLECHA"),"REVISAR: calcular flecha (h &lt; h mín.)"&amp;IF(LEFT(BB28,5)="FUERA"," · fuera de 3.4.2.1 c)","")&amp;IF(LEFT(DD28,2)="NO"," · REVISAR anclaje en borde discontinuo",""),"NO CUMPLE: "&amp;IF(MAX(BM28,BW28,CG28,CQ28)&gt;1,"flexión ","")&amp;IF(OR(BI28&lt;DATOS!$C$140,BS28&lt;DATOS!$C$140,CC28&lt;DATOS!$C$140,CM28&lt;DATOS!$C$140),"separación &lt; mínima ","")&amp;IF(OR(AND(ISNUMBER(BN28),BN28&lt;0.005),AND(ISNUMBER(BX28),BX28&lt;0.005),AND(ISNUMBER(CH28),CH28&lt;0.005),AND(ISNUMBER(CR28),CR28&lt;0.005)),"ε_t &lt; 0.005 ","")&amp;IF(CV28&lt;&gt;"CUMPLE","cortante ","")&amp;IF(CY28="NO CUMPLE","peralte","")))))))</f>
        <v/>
      </c>
      <c r="DJ28" s="70" t="str">
        <f>IF(V28&lt;&gt;"SÍ","",IF(LEFT(B28,7)="EJEMPLO","EJEMPLO de tablero típico: bórralo o sobrescríbelo. ","")&amp;IF(C28="VOLADO","Volado de "&amp;TEXT(Z28,"0.00")&amp;" m empotrado en el borde "&amp;LOWER(X28)&amp;IF(N(P28)&gt;0,", con "&amp;TEXT(P28,"0.0")&amp;" kg/m en la orilla","")&amp;". Lecho inferior con r_ext. Si la orilla carga pretil u otro elemento frágil, calcula la flecha (13.4). El acero superior entra al respaldo de "&amp;TEXT(IF(ISNUMBER(Q28),Q28,Z28),"0.00")&amp;" m"&amp;IF(ISNUMBER(Q28),""," (L_b no capturado: se tomó igual al volado)")&amp;" hasta pasar M = 0 con 0.9·PP sin carga viva; si ahí no se anula, llega al apoyo lejano y se ancla con gancho. ","")&amp;IF(LEFT(BB28,5)="FUERA","El M⁻ del vecino difiere más de 50 % (3.4.2.1 c): distribuye el desequilibrio (3.4.3.1) o confirma con un modelo; se arma con el mayor. ","")&amp;IF(OR(DB28="SÍ",DC28="SÍ"),"Bastones también en los bordes discontinuos (M⁻ de tabla), con gancho. ","")&amp;IF(LEFT(DD28,2)="NO","Anclaje: "&amp;DD28&amp;" (6.7.7.4.1.1). ","")&amp;IF(OR(AT28&gt;0,AU28&gt;0),"Esquinas exteriores sobre muro: refuerzo de esquina arriba y abajo en L_largo/5 (6.7.7.3.1). ",""))</f>
        <v/>
      </c>
    </row>
    <row r="29" ht="33" customHeight="1">
      <c r="A29" s="50">
        <f>IF(B29="",0,1)+A28</f>
        <v>3</v>
      </c>
      <c r="B29" s="29" t="n"/>
      <c r="C29" s="51" t="n"/>
      <c r="D29" s="29" t="n"/>
      <c r="E29" s="52" t="n"/>
      <c r="F29" s="52" t="n"/>
      <c r="G29" s="51" t="n"/>
      <c r="H29" s="51" t="n"/>
      <c r="I29" s="51" t="n"/>
      <c r="J29" s="51" t="n"/>
      <c r="K29" s="51" t="n"/>
      <c r="L29" s="51" t="n"/>
      <c r="M29" s="54" t="n"/>
      <c r="N29" s="53" t="n"/>
      <c r="O29" s="53" t="n"/>
      <c r="P29" s="54" t="n"/>
      <c r="Q29" s="52" t="n"/>
      <c r="R29" s="54" t="n"/>
      <c r="S29" s="53" t="n"/>
      <c r="T29" s="52" t="n"/>
      <c r="U29" s="52" t="n"/>
      <c r="V29" s="55" t="str">
        <f>IF(B29="","",IF(AND(OR(C29="PERIMETRAL",C29="VOLADO"),ISNUMBER(E29),ISNUMBER(F29),E29&gt;0,F29&gt;0,OR(ISNUMBER(O29),ISNUMBER(MATCH(D29,DATOS!$B$46:$B$55,0)))),"SÍ","NO"))</f>
        <v/>
      </c>
      <c r="W29" s="57" t="str">
        <f>IF(V29&lt;&gt;"SÍ","",IF(ISNUMBER(M29),M29,DATOS!$C$134))</f>
        <v/>
      </c>
      <c r="X29" s="55" t="str">
        <f>IF(V29&lt;&gt;"SÍ","",IF(C29&lt;&gt;"VOLADO","—",IF(COUNTIF(G29:J29,"CONTINUO")&lt;&gt;1,"?",IF(G29="CONTINUO","INFERIOR",IF(H29="CONTINUO","SUPERIOR",IF(I29="CONTINUO","IZQUIERDO","DERECHO"))))))</f>
        <v/>
      </c>
      <c r="Y29" s="55" t="str">
        <f>IF(V29&lt;&gt;"SÍ","",IF(C29="VOLADO",IF(OR(X29="IZQUIERDO",X29="DERECHO"),"X","Y"),IF(E29&lt;=F29,"X","Y")))</f>
        <v/>
      </c>
      <c r="Z29" s="56" t="str">
        <f>IF(V29&lt;&gt;"SÍ","",IF(C29="VOLADO",IF(Y29="X",E29,F29),MIN(E29,F29)))</f>
        <v/>
      </c>
      <c r="AA29" s="56" t="str">
        <f>IF(V29&lt;&gt;"SÍ","",IF(C29="VOLADO",IF(Y29="X",F29,E29),MAX(E29,F29)))</f>
        <v/>
      </c>
      <c r="AB29" s="56" t="str">
        <f>IF(V29&lt;&gt;"SÍ","",MIN(Z29,AA29)/MAX(Z29,AA29))</f>
        <v/>
      </c>
      <c r="AC29" s="57" t="str">
        <f>IF(V29&lt;&gt;"SÍ","",MAX(1,Z29*100-IF(C29="VOLADO",DATOS!$C$84/2,DATOS!$C$84)))</f>
        <v/>
      </c>
      <c r="AD29" s="57" t="str">
        <f>IF(V29&lt;&gt;"SÍ","",MAX(1,AA29*100-DATOS!$C$84))</f>
        <v/>
      </c>
      <c r="AE29" s="57" t="str">
        <f>IF(V29&lt;&gt;"SÍ","",IF(C29="VOLADO",DATOS!$C$61,DATOS!$C$59))</f>
        <v/>
      </c>
      <c r="AF29" s="57" t="str">
        <f>IF(V29&lt;&gt;"SÍ","",IF(OR(AND(AG29="SÍ",DATOS!$C$63="SÍ"),AND(C29="VOLADO",DATOS!$C$64="SÍ")),DATOS!$C$61,DATOS!$C$59))</f>
        <v/>
      </c>
      <c r="AG29" s="55" t="str">
        <f>IF(V29&lt;&gt;"SÍ","",IFERROR(INDEX(DATOS!$D$46:$D$55,MATCH(D29,DATOS!$B$46:$B$55,0)),"NO"))</f>
        <v/>
      </c>
      <c r="AH29" s="59" t="str">
        <f>IF(V29&lt;&gt;"SÍ","",IF(ISNUMBER(O29),O29,IFERROR(INDEX(DATOS!$C$46:$C$55,MATCH(D29,DATOS!$B$46:$B$55,0)),0)))</f>
        <v/>
      </c>
      <c r="AI29" s="59" t="str">
        <f>IF(V29&lt;&gt;"SÍ","",W29/100*DATOS!$C$16*1000+DATOS!$C$37+DATOS!$C$38)</f>
        <v/>
      </c>
      <c r="AJ29" s="59" t="str">
        <f>IF(V29&lt;&gt;"SÍ","",AI29+N(N29))</f>
        <v/>
      </c>
      <c r="AK29" s="60" t="str">
        <f>IF(V29&lt;&gt;"SÍ","",MAX(DATOS!$C$26*AJ29+DATOS!$C$27*AH29,IF(AG29="SÍ",DATOS!$C$28*(AJ29+DATOS!$C$41),0)))</f>
        <v/>
      </c>
      <c r="AL29" s="59" t="str">
        <f>IF(V29&lt;&gt;"SÍ","",(G29="DISCONTINUO")+(H29="DISCONTINUO")+(I29="DISCONTINUO")+(J29="DISCONTINUO"))</f>
        <v/>
      </c>
      <c r="AM29" s="59" t="str">
        <f>IF(V29&lt;&gt;"SÍ","",IF(Y29="X",(G29="DISCONTINUO")+(H29="DISCONTINUO"),(I29="DISCONTINUO")+(J29="DISCONTINUO")))</f>
        <v/>
      </c>
      <c r="AN29" s="55" t="str">
        <f>IF(V29&lt;&gt;"SÍ","",IF(AL29=0,"INTERIOR",IF(AL29=1,IF(AM29=1,"BORDE-CORTO","BORDE-LARGO"),IF(AL29=2,IF(AM29=1,"ESQUINA",IF(AM29=2,"EXTREMO-LARGO","EXTREMO-CORTO")),IF(AL29=3,IF(AM29=2,"EXTREMO-LARGO","EXTREMO-CORTO"),"AISLADO")))))</f>
        <v/>
      </c>
      <c r="AO29" s="61" t="str">
        <f>IF(V29&lt;&gt;"SÍ","",IF(OR(K29="",K29="AUTO"),AN29,K29))</f>
        <v/>
      </c>
      <c r="AP29" s="59" t="str">
        <f>IF(V29&lt;&gt;"SÍ","",MATCH(AB29,TABLAS!$D$5:$J$5,1))</f>
        <v/>
      </c>
      <c r="AQ29" s="58" t="str">
        <f>IF(V29&lt;&gt;"SÍ","",IF(AP29&gt;=7,0,(AB29-INDEX(TABLAS!$D$5:$J$5,AP29))/(INDEX(TABLAS!$D$5:$J$5,AP29+1)-INDEX(TABLAS!$D$5:$J$5,AP29))))</f>
        <v/>
      </c>
      <c r="AR29" s="59" t="str">
        <f>IF(V29&lt;&gt;"SÍ","",INDEX(TABLAS!$D$6:$J$47,MATCH(AO29&amp;"|NIC",TABLAS!$B$6:$B$47,0),AP29)+AQ29*(INDEX(TABLAS!$D$6:$J$47,MATCH(AO29&amp;"|NIC",TABLAS!$B$6:$B$47,0),MIN(AP29+1,7))-INDEX(TABLAS!$D$6:$J$47,MATCH(AO29&amp;"|NIC",TABLAS!$B$6:$B$47,0),AP29)))</f>
        <v/>
      </c>
      <c r="AS29" s="59" t="str">
        <f>IF(V29&lt;&gt;"SÍ","",INDEX(TABLAS!$D$6:$J$47,MATCH(AO29&amp;"|NIL",TABLAS!$B$6:$B$47,0),AP29)+AQ29*(INDEX(TABLAS!$D$6:$J$47,MATCH(AO29&amp;"|NIL",TABLAS!$B$6:$B$47,0),MIN(AP29+1,7))-INDEX(TABLAS!$D$6:$J$47,MATCH(AO29&amp;"|NIL",TABLAS!$B$6:$B$47,0),AP29)))</f>
        <v/>
      </c>
      <c r="AT29" s="59" t="str">
        <f>IF(V29&lt;&gt;"SÍ","",INDEX(TABLAS!$D$6:$J$47,MATCH(AO29&amp;"|NDC",TABLAS!$B$6:$B$47,0),AP29)+AQ29*(INDEX(TABLAS!$D$6:$J$47,MATCH(AO29&amp;"|NDC",TABLAS!$B$6:$B$47,0),MIN(AP29+1,7))-INDEX(TABLAS!$D$6:$J$47,MATCH(AO29&amp;"|NDC",TABLAS!$B$6:$B$47,0),AP29)))</f>
        <v/>
      </c>
      <c r="AU29" s="59" t="str">
        <f>IF(V29&lt;&gt;"SÍ","",INDEX(TABLAS!$D$6:$J$47,MATCH(AO29&amp;"|NDL",TABLAS!$B$6:$B$47,0),AP29)+AQ29*(INDEX(TABLAS!$D$6:$J$47,MATCH(AO29&amp;"|NDL",TABLAS!$B$6:$B$47,0),MIN(AP29+1,7))-INDEX(TABLAS!$D$6:$J$47,MATCH(AO29&amp;"|NDL",TABLAS!$B$6:$B$47,0),AP29)))</f>
        <v/>
      </c>
      <c r="AV29" s="59" t="str">
        <f>IF(V29&lt;&gt;"SÍ","",INDEX(TABLAS!$D$6:$J$47,MATCH(AO29&amp;"|PC",TABLAS!$B$6:$B$47,0),AP29)+AQ29*(INDEX(TABLAS!$D$6:$J$47,MATCH(AO29&amp;"|PC",TABLAS!$B$6:$B$47,0),MIN(AP29+1,7))-INDEX(TABLAS!$D$6:$J$47,MATCH(AO29&amp;"|PC",TABLAS!$B$6:$B$47,0),AP29)))</f>
        <v/>
      </c>
      <c r="AW29" s="59" t="str">
        <f>IF(V29&lt;&gt;"SÍ","",INDEX(TABLAS!$D$6:$J$47,MATCH(AO29&amp;"|PL",TABLAS!$B$6:$B$47,0),AP29)+AQ29*(INDEX(TABLAS!$D$6:$J$47,MATCH(AO29&amp;"|PL",TABLAS!$B$6:$B$47,0),MIN(AP29+1,7))-INDEX(TABLAS!$D$6:$J$47,MATCH(AO29&amp;"|PL",TABLAS!$B$6:$B$47,0),AP29)))</f>
        <v/>
      </c>
      <c r="AX29" s="56" t="str">
        <f>IF(V29&lt;&gt;"SÍ","",IF(C29="PERIMETRAL",AV29*AK29*Z29^2*1E-4/1000,0))</f>
        <v/>
      </c>
      <c r="AY29" s="62" t="str">
        <f>IF(V29&lt;&gt;"SÍ","",IF(C29="PERIMETRAL",MAX(MAX(AR29,AT29)*AK29*Z29^2*1E-4/1000,N(T29)),(AK29*(AC29/100)^2/2+DATOS!$C$26*N(P29)*AC29/100)/1000))</f>
        <v/>
      </c>
      <c r="AZ29" s="56" t="str">
        <f>IF(V29&lt;&gt;"SÍ","",IF(C29="PERIMETRAL",AW29*AK29*Z29^2*1E-4/1000,0))</f>
        <v/>
      </c>
      <c r="BA29" s="56" t="str">
        <f>IF(V29&lt;&gt;"SÍ","",IF(C29="PERIMETRAL",MAX(MAX(AS29,AU29)*AK29*Z29^2*1E-4/1000,N(U29)),0))</f>
        <v/>
      </c>
      <c r="BB29" s="63" t="str">
        <f>IF(V29&lt;&gt;"SÍ","",IF(C29&lt;&gt;"PERIMETRAL","—",IF(AND(N(T29)=0,N(U29)=0),"— (sin M⁻ del vecino)",IF(OR(AND(N(T29)&gt;0,ABS(MAX(AR29,AT29)*AK29*Z29^2*1E-4/1000-N(T29))&gt;0.5*MIN(MAX(AR29,AT29)*AK29*Z29^2*1E-4/1000,N(T29))),AND(N(U29)&gt;0,ABS(MAX(AS29,AU29)*AK29*Z29^2*1E-4/1000-N(U29))&gt;0.5*MIN(MAX(AS29,AU29)*AK29*Z29^2*1E-4/1000,N(U29)))),"FUERA: difieren &gt; 50 %"&amp;IF(AND(N(T29)&gt;0,ABS(MAX(AR29,AT29)*AK29*Z29^2*1E-4/1000-N(T29))&gt;0.5*MIN(MAX(AR29,AT29)*AK29*Z29^2*1E-4/1000,N(T29)))," ‖ corto","")&amp;IF(AND(N(U29)&gt;0,ABS(MAX(AS29,AU29)*AK29*Z29^2*1E-4/1000-N(U29))&gt;0.5*MIN(MAX(AS29,AU29)*AK29*Z29^2*1E-4/1000,N(U29)))," ‖ largo",""),"CUMPLE"))))</f>
        <v/>
      </c>
      <c r="BC29" s="58" t="str">
        <f>IF(V29&lt;&gt;"SÍ","",DATOS!$C$136*100*W29)</f>
        <v/>
      </c>
      <c r="BD29" s="57" t="str">
        <f>IF(V29&lt;&gt;"SÍ","",MIN(IF(C29="VOLADO",DATOS!$C$138,DATOS!$C$137)*W29,DATOS!$C$139))</f>
        <v/>
      </c>
      <c r="BE29" s="58" t="str">
        <f>IF(V29&lt;&gt;"SÍ","",(W29-AE29-INDEX(TABLAS!$C$52:$C$58,MATCH(IF(ISNUMBER(S29),S29,DATOS!$C$135),TABLAS!$B$52:$B$58,0))/2))</f>
        <v/>
      </c>
      <c r="BF29" s="58" t="str">
        <f>IF(V29&lt;&gt;"SÍ","",IF(AX29&lt;=0,0,IF((1-2*AX29*1E5/(DATOS!$C$29*100*BE29^2*DATOS!$C$21))&lt;0,-1,IF((1-SQRT((1-2*AX29*1E5/(DATOS!$C$29*100*BE29^2*DATOS!$C$21))))*DATOS!$C$21*100*BE29/DATOS!$C$14&gt;DATOS!$C$99*100*BE29,-1,(1-SQRT((1-2*AX29*1E5/(DATOS!$C$29*100*BE29^2*DATOS!$C$21))))*DATOS!$C$21*100*BE29/DATOS!$C$14))))</f>
        <v/>
      </c>
      <c r="BG29" s="58" t="str">
        <f>IF(V29&lt;&gt;"SÍ","",IF(BF29&lt;0,-1,MAX(BF29,BC29)))</f>
        <v/>
      </c>
      <c r="BH29" s="64" t="str">
        <f>IF(V29&lt;&gt;"SÍ","",IF(AND(BG29&gt;0,FLOOR(MIN(BD29,100*INDEX(TABLAS!$D$52:$D$58,MIN(MATCH(IF(ISNUMBER(S29),S29,DATOS!$C$135),TABLAS!$B$52:$B$58,0)+0,7))/MAX(BG29,0.0001)),DATOS!$C$141)&gt;=DATOS!$C$140),INDEX(TABLAS!$B$52:$B$58,MIN(MATCH(IF(ISNUMBER(S29),S29,DATOS!$C$135),TABLAS!$B$52:$B$58,0)+0,7)),IF(AND(BG29&gt;0,FLOOR(MIN(BD29,100*INDEX(TABLAS!$D$52:$D$58,MIN(MATCH(IF(ISNUMBER(S29),S29,DATOS!$C$135),TABLAS!$B$52:$B$58,0)+1,7))/MAX(BG29,0.0001)),DATOS!$C$141)&gt;=DATOS!$C$140),INDEX(TABLAS!$B$52:$B$58,MIN(MATCH(IF(ISNUMBER(S29),S29,DATOS!$C$135),TABLAS!$B$52:$B$58,0)+1,7)),IF(AND(BG29&gt;0,FLOOR(MIN(BD29,100*INDEX(TABLAS!$D$52:$D$58,MIN(MATCH(IF(ISNUMBER(S29),S29,DATOS!$C$135),TABLAS!$B$52:$B$58,0)+2,7))/MAX(BG29,0.0001)),DATOS!$C$141)&gt;=DATOS!$C$140),INDEX(TABLAS!$B$52:$B$58,MIN(MATCH(IF(ISNUMBER(S29),S29,DATOS!$C$135),TABLAS!$B$52:$B$58,0)+2,7)),IF(AND(BG29&gt;0,FLOOR(MIN(BD29,100*INDEX(TABLAS!$D$52:$D$58,MIN(MATCH(IF(ISNUMBER(S29),S29,DATOS!$C$135),TABLAS!$B$52:$B$58,0)+3,7))/MAX(BG29,0.0001)),DATOS!$C$141)&gt;=DATOS!$C$140),INDEX(TABLAS!$B$52:$B$58,MIN(MATCH(IF(ISNUMBER(S29),S29,DATOS!$C$135),TABLAS!$B$52:$B$58,0)+3,7)),IF(AND(BG29&gt;0,FLOOR(MIN(BD29,100*INDEX(TABLAS!$D$52:$D$58,MIN(MATCH(IF(ISNUMBER(S29),S29,DATOS!$C$135),TABLAS!$B$52:$B$58,0)+4,7))/MAX(BG29,0.0001)),DATOS!$C$141)&gt;=DATOS!$C$140),INDEX(TABLAS!$B$52:$B$58,MIN(MATCH(IF(ISNUMBER(S29),S29,DATOS!$C$135),TABLAS!$B$52:$B$58,0)+4,7)),INDEX(TABLAS!$B$52:$B$58,7)))))))</f>
        <v/>
      </c>
      <c r="BI29" s="71" t="str">
        <f>IF(V29&lt;&gt;"SÍ","",IF(BG29&lt;=0,0,FLOOR(MIN(BD29,100*INDEX(TABLAS!$D$52:$D$58,MATCH(BH29,TABLAS!$B$52:$B$58,0))/BG29),DATOS!$C$141)))</f>
        <v/>
      </c>
      <c r="BJ29" s="58" t="str">
        <f>IF(V29&lt;&gt;"SÍ","",IF(BI29&lt;=0,0,INDEX(TABLAS!$D$52:$D$58,MATCH(BH29,TABLAS!$B$52:$B$58,0))*100/BI29))</f>
        <v/>
      </c>
      <c r="BK29" s="58" t="str">
        <f>IF(V29&lt;&gt;"SÍ","",W29-AE29-INDEX(TABLAS!$C$52:$C$58,MATCH(BH29,TABLAS!$B$52:$B$58,0))/2)</f>
        <v/>
      </c>
      <c r="BL29" s="56" t="str">
        <f>IF(V29&lt;&gt;"SÍ","",IF(BJ29=0,0,DATOS!$C$29*BJ29*DATOS!$C$14*(BK29-BJ29*DATOS!$C$14/(DATOS!$C$21*100)/2)/1E5))</f>
        <v/>
      </c>
      <c r="BM29" s="65" t="str">
        <f>IF(V29&lt;&gt;"SÍ","",IF(BG29&lt;0,9.99,IF(BL29&gt;0,AX29/BL29,0)))</f>
        <v/>
      </c>
      <c r="BN29" s="66" t="str">
        <f>IF(V29&lt;&gt;"SÍ","",IF(BJ29=0,"—",0.003*(BK29-(BJ29*DATOS!$C$14/(DATOS!$C$21*100)/DATOS!$C$22))/(BJ29*DATOS!$C$14/(DATOS!$C$21*100)/DATOS!$C$22)))</f>
        <v/>
      </c>
      <c r="BO29" s="58" t="str">
        <f>IF(V29&lt;&gt;"SÍ","",((W29-AF29-INDEX(TABLAS!$C$52:$C$58,MATCH(IF(ISNUMBER(S29),S29,DATOS!$C$135),TABLAS!$B$52:$B$58,0))/2)-IF(AND((W29-AF29-INDEX(TABLAS!$C$52:$C$58,MATCH(IF(ISNUMBER(S29),S29,DATOS!$C$135),TABLAS!$B$52:$B$58,0))/2)&lt;=20,DATOS!$C$62&lt;&gt;"SÍ"),2,0)))</f>
        <v/>
      </c>
      <c r="BP29" s="58" t="str">
        <f>IF(V29&lt;&gt;"SÍ","",IF(AY29&lt;=0,0,IF((1-2*AY29*1E5/(DATOS!$C$29*100*BO29^2*DATOS!$C$21))&lt;0,-1,IF((1-SQRT((1-2*AY29*1E5/(DATOS!$C$29*100*BO29^2*DATOS!$C$21))))*DATOS!$C$21*100*BO29/DATOS!$C$14&gt;DATOS!$C$99*100*BO29,-1,(1-SQRT((1-2*AY29*1E5/(DATOS!$C$29*100*BO29^2*DATOS!$C$21))))*DATOS!$C$21*100*BO29/DATOS!$C$14))))</f>
        <v/>
      </c>
      <c r="BQ29" s="58" t="str">
        <f>IF(V29&lt;&gt;"SÍ","",IF(BP29&lt;0,-1,MAX(BP29,BC29)))</f>
        <v/>
      </c>
      <c r="BR29" s="64" t="str">
        <f>IF(V29&lt;&gt;"SÍ","",IF(AND(BQ29&gt;0,FLOOR(MIN(BD29,100*INDEX(TABLAS!$D$52:$D$58,MIN(MATCH(IF(ISNUMBER(S29),S29,DATOS!$C$135),TABLAS!$B$52:$B$58,0)+0,7))/MAX(BQ29,0.0001)),DATOS!$C$141)&gt;=DATOS!$C$140),INDEX(TABLAS!$B$52:$B$58,MIN(MATCH(IF(ISNUMBER(S29),S29,DATOS!$C$135),TABLAS!$B$52:$B$58,0)+0,7)),IF(AND(BQ29&gt;0,FLOOR(MIN(BD29,100*INDEX(TABLAS!$D$52:$D$58,MIN(MATCH(IF(ISNUMBER(S29),S29,DATOS!$C$135),TABLAS!$B$52:$B$58,0)+1,7))/MAX(BQ29,0.0001)),DATOS!$C$141)&gt;=DATOS!$C$140),INDEX(TABLAS!$B$52:$B$58,MIN(MATCH(IF(ISNUMBER(S29),S29,DATOS!$C$135),TABLAS!$B$52:$B$58,0)+1,7)),IF(AND(BQ29&gt;0,FLOOR(MIN(BD29,100*INDEX(TABLAS!$D$52:$D$58,MIN(MATCH(IF(ISNUMBER(S29),S29,DATOS!$C$135),TABLAS!$B$52:$B$58,0)+2,7))/MAX(BQ29,0.0001)),DATOS!$C$141)&gt;=DATOS!$C$140),INDEX(TABLAS!$B$52:$B$58,MIN(MATCH(IF(ISNUMBER(S29),S29,DATOS!$C$135),TABLAS!$B$52:$B$58,0)+2,7)),IF(AND(BQ29&gt;0,FLOOR(MIN(BD29,100*INDEX(TABLAS!$D$52:$D$58,MIN(MATCH(IF(ISNUMBER(S29),S29,DATOS!$C$135),TABLAS!$B$52:$B$58,0)+3,7))/MAX(BQ29,0.0001)),DATOS!$C$141)&gt;=DATOS!$C$140),INDEX(TABLAS!$B$52:$B$58,MIN(MATCH(IF(ISNUMBER(S29),S29,DATOS!$C$135),TABLAS!$B$52:$B$58,0)+3,7)),IF(AND(BQ29&gt;0,FLOOR(MIN(BD29,100*INDEX(TABLAS!$D$52:$D$58,MIN(MATCH(IF(ISNUMBER(S29),S29,DATOS!$C$135),TABLAS!$B$52:$B$58,0)+4,7))/MAX(BQ29,0.0001)),DATOS!$C$141)&gt;=DATOS!$C$140),INDEX(TABLAS!$B$52:$B$58,MIN(MATCH(IF(ISNUMBER(S29),S29,DATOS!$C$135),TABLAS!$B$52:$B$58,0)+4,7)),INDEX(TABLAS!$B$52:$B$58,7)))))))</f>
        <v/>
      </c>
      <c r="BS29" s="71" t="str">
        <f>IF(V29&lt;&gt;"SÍ","",IF(BQ29&lt;=0,0,FLOOR(MIN(BD29,100*INDEX(TABLAS!$D$52:$D$58,MATCH(BR29,TABLAS!$B$52:$B$58,0))/BQ29),DATOS!$C$141)))</f>
        <v/>
      </c>
      <c r="BT29" s="58" t="str">
        <f>IF(V29&lt;&gt;"SÍ","",IF(BS29&lt;=0,0,INDEX(TABLAS!$D$52:$D$58,MATCH(BR29,TABLAS!$B$52:$B$58,0))*100/BS29))</f>
        <v/>
      </c>
      <c r="BU29" s="58" t="str">
        <f>IF(V29&lt;&gt;"SÍ","",((W29-AF29-INDEX(TABLAS!$C$52:$C$58,MATCH(BR29,TABLAS!$B$52:$B$58,0))/2)-IF(AND((W29-AF29-INDEX(TABLAS!$C$52:$C$58,MATCH(BR29,TABLAS!$B$52:$B$58,0))/2)&lt;=20,DATOS!$C$62&lt;&gt;"SÍ"),2,0)))</f>
        <v/>
      </c>
      <c r="BV29" s="56" t="str">
        <f>IF(V29&lt;&gt;"SÍ","",IF(BT29=0,0,DATOS!$C$29*BT29*DATOS!$C$14*(BU29-BT29*DATOS!$C$14/(DATOS!$C$21*100)/2)/1E5))</f>
        <v/>
      </c>
      <c r="BW29" s="65" t="str">
        <f>IF(V29&lt;&gt;"SÍ","",IF(BQ29&lt;0,9.99,IF(BV29&gt;0,AY29/BV29,0)))</f>
        <v/>
      </c>
      <c r="BX29" s="66" t="str">
        <f>IF(V29&lt;&gt;"SÍ","",IF(BT29=0,"—",0.003*(BU29-(BT29*DATOS!$C$14/(DATOS!$C$21*100)/DATOS!$C$22))/(BT29*DATOS!$C$14/(DATOS!$C$21*100)/DATOS!$C$22)))</f>
        <v/>
      </c>
      <c r="BY29" s="58" t="str">
        <f>IF(V29&lt;&gt;"SÍ","",(W29-AE29-1.5*INDEX(TABLAS!$C$52:$C$58,MATCH(IF(ISNUMBER(S29),S29,DATOS!$C$135),TABLAS!$B$52:$B$58,0))))</f>
        <v/>
      </c>
      <c r="BZ29" s="58" t="str">
        <f>IF(V29&lt;&gt;"SÍ","",IF(AZ29&lt;=0,0,IF((1-2*AZ29*1E5/(DATOS!$C$29*100*BY29^2*DATOS!$C$21))&lt;0,-1,IF((1-SQRT((1-2*AZ29*1E5/(DATOS!$C$29*100*BY29^2*DATOS!$C$21))))*DATOS!$C$21*100*BY29/DATOS!$C$14&gt;DATOS!$C$99*100*BY29,-1,(1-SQRT((1-2*AZ29*1E5/(DATOS!$C$29*100*BY29^2*DATOS!$C$21))))*DATOS!$C$21*100*BY29/DATOS!$C$14))))</f>
        <v/>
      </c>
      <c r="CA29" s="58" t="str">
        <f>IF(V29&lt;&gt;"SÍ","",IF(BZ29&lt;0,-1,MAX(BZ29,BC29)))</f>
        <v/>
      </c>
      <c r="CB29" s="64" t="str">
        <f>IF(V29&lt;&gt;"SÍ","",IF(AND(CA29&gt;0,FLOOR(MIN(BD29,100*INDEX(TABLAS!$D$52:$D$58,MIN(MATCH(IF(ISNUMBER(S29),S29,DATOS!$C$135),TABLAS!$B$52:$B$58,0)+0,7))/MAX(CA29,0.0001)),DATOS!$C$141)&gt;=DATOS!$C$140),INDEX(TABLAS!$B$52:$B$58,MIN(MATCH(IF(ISNUMBER(S29),S29,DATOS!$C$135),TABLAS!$B$52:$B$58,0)+0,7)),IF(AND(CA29&gt;0,FLOOR(MIN(BD29,100*INDEX(TABLAS!$D$52:$D$58,MIN(MATCH(IF(ISNUMBER(S29),S29,DATOS!$C$135),TABLAS!$B$52:$B$58,0)+1,7))/MAX(CA29,0.0001)),DATOS!$C$141)&gt;=DATOS!$C$140),INDEX(TABLAS!$B$52:$B$58,MIN(MATCH(IF(ISNUMBER(S29),S29,DATOS!$C$135),TABLAS!$B$52:$B$58,0)+1,7)),IF(AND(CA29&gt;0,FLOOR(MIN(BD29,100*INDEX(TABLAS!$D$52:$D$58,MIN(MATCH(IF(ISNUMBER(S29),S29,DATOS!$C$135),TABLAS!$B$52:$B$58,0)+2,7))/MAX(CA29,0.0001)),DATOS!$C$141)&gt;=DATOS!$C$140),INDEX(TABLAS!$B$52:$B$58,MIN(MATCH(IF(ISNUMBER(S29),S29,DATOS!$C$135),TABLAS!$B$52:$B$58,0)+2,7)),IF(AND(CA29&gt;0,FLOOR(MIN(BD29,100*INDEX(TABLAS!$D$52:$D$58,MIN(MATCH(IF(ISNUMBER(S29),S29,DATOS!$C$135),TABLAS!$B$52:$B$58,0)+3,7))/MAX(CA29,0.0001)),DATOS!$C$141)&gt;=DATOS!$C$140),INDEX(TABLAS!$B$52:$B$58,MIN(MATCH(IF(ISNUMBER(S29),S29,DATOS!$C$135),TABLAS!$B$52:$B$58,0)+3,7)),IF(AND(CA29&gt;0,FLOOR(MIN(BD29,100*INDEX(TABLAS!$D$52:$D$58,MIN(MATCH(IF(ISNUMBER(S29),S29,DATOS!$C$135),TABLAS!$B$52:$B$58,0)+4,7))/MAX(CA29,0.0001)),DATOS!$C$141)&gt;=DATOS!$C$140),INDEX(TABLAS!$B$52:$B$58,MIN(MATCH(IF(ISNUMBER(S29),S29,DATOS!$C$135),TABLAS!$B$52:$B$58,0)+4,7)),INDEX(TABLAS!$B$52:$B$58,7)))))))</f>
        <v/>
      </c>
      <c r="CC29" s="71" t="str">
        <f>IF(V29&lt;&gt;"SÍ","",IF(CA29&lt;=0,0,FLOOR(MIN(BD29,100*INDEX(TABLAS!$D$52:$D$58,MATCH(CB29,TABLAS!$B$52:$B$58,0))/CA29),DATOS!$C$141)))</f>
        <v/>
      </c>
      <c r="CD29" s="58" t="str">
        <f>IF(V29&lt;&gt;"SÍ","",IF(CC29&lt;=0,0,INDEX(TABLAS!$D$52:$D$58,MATCH(CB29,TABLAS!$B$52:$B$58,0))*100/CC29))</f>
        <v/>
      </c>
      <c r="CE29" s="58" t="str">
        <f>IF(V29&lt;&gt;"SÍ","",W29-AE29-INDEX(TABLAS!$C$52:$C$58,MATCH(BH29,TABLAS!$B$52:$B$58,0))-INDEX(TABLAS!$C$52:$C$58,MATCH(CB29,TABLAS!$B$52:$B$58,0))/2)</f>
        <v/>
      </c>
      <c r="CF29" s="56" t="str">
        <f>IF(V29&lt;&gt;"SÍ","",IF(CD29=0,0,DATOS!$C$29*CD29*DATOS!$C$14*(CE29-CD29*DATOS!$C$14/(DATOS!$C$21*100)/2)/1E5))</f>
        <v/>
      </c>
      <c r="CG29" s="65" t="str">
        <f>IF(V29&lt;&gt;"SÍ","",IF(CA29&lt;0,9.99,IF(CF29&gt;0,AZ29/CF29,0)))</f>
        <v/>
      </c>
      <c r="CH29" s="66" t="str">
        <f>IF(V29&lt;&gt;"SÍ","",IF(CD29=0,"—",0.003*(CE29-(CD29*DATOS!$C$14/(DATOS!$C$21*100)/DATOS!$C$22))/(CD29*DATOS!$C$14/(DATOS!$C$21*100)/DATOS!$C$22)))</f>
        <v/>
      </c>
      <c r="CI29" s="58" t="str">
        <f>IF(V29&lt;&gt;"SÍ","",((W29-AF29-1.5*INDEX(TABLAS!$C$52:$C$58,MATCH(IF(ISNUMBER(S29),S29,DATOS!$C$135),TABLAS!$B$52:$B$58,0)))-IF(AND((W29-AF29-1.5*INDEX(TABLAS!$C$52:$C$58,MATCH(IF(ISNUMBER(S29),S29,DATOS!$C$135),TABLAS!$B$52:$B$58,0)))&lt;=20,DATOS!$C$62&lt;&gt;"SÍ"),2,0)))</f>
        <v/>
      </c>
      <c r="CJ29" s="58" t="str">
        <f>IF(V29&lt;&gt;"SÍ","",IF(BA29&lt;=0,0,IF((1-2*BA29*1E5/(DATOS!$C$29*100*CI29^2*DATOS!$C$21))&lt;0,-1,IF((1-SQRT((1-2*BA29*1E5/(DATOS!$C$29*100*CI29^2*DATOS!$C$21))))*DATOS!$C$21*100*CI29/DATOS!$C$14&gt;DATOS!$C$99*100*CI29,-1,(1-SQRT((1-2*BA29*1E5/(DATOS!$C$29*100*CI29^2*DATOS!$C$21))))*DATOS!$C$21*100*CI29/DATOS!$C$14))))</f>
        <v/>
      </c>
      <c r="CK29" s="58" t="str">
        <f>IF(V29&lt;&gt;"SÍ","",IF(CJ29&lt;0,-1,MAX(CJ29,BC29)))</f>
        <v/>
      </c>
      <c r="CL29" s="64" t="str">
        <f>IF(V29&lt;&gt;"SÍ","",IF(AND(CK29&gt;0,FLOOR(MIN(BD29,100*INDEX(TABLAS!$D$52:$D$58,MIN(MATCH(IF(ISNUMBER(S29),S29,DATOS!$C$135),TABLAS!$B$52:$B$58,0)+0,7))/MAX(CK29,0.0001)),DATOS!$C$141)&gt;=DATOS!$C$140),INDEX(TABLAS!$B$52:$B$58,MIN(MATCH(IF(ISNUMBER(S29),S29,DATOS!$C$135),TABLAS!$B$52:$B$58,0)+0,7)),IF(AND(CK29&gt;0,FLOOR(MIN(BD29,100*INDEX(TABLAS!$D$52:$D$58,MIN(MATCH(IF(ISNUMBER(S29),S29,DATOS!$C$135),TABLAS!$B$52:$B$58,0)+1,7))/MAX(CK29,0.0001)),DATOS!$C$141)&gt;=DATOS!$C$140),INDEX(TABLAS!$B$52:$B$58,MIN(MATCH(IF(ISNUMBER(S29),S29,DATOS!$C$135),TABLAS!$B$52:$B$58,0)+1,7)),IF(AND(CK29&gt;0,FLOOR(MIN(BD29,100*INDEX(TABLAS!$D$52:$D$58,MIN(MATCH(IF(ISNUMBER(S29),S29,DATOS!$C$135),TABLAS!$B$52:$B$58,0)+2,7))/MAX(CK29,0.0001)),DATOS!$C$141)&gt;=DATOS!$C$140),INDEX(TABLAS!$B$52:$B$58,MIN(MATCH(IF(ISNUMBER(S29),S29,DATOS!$C$135),TABLAS!$B$52:$B$58,0)+2,7)),IF(AND(CK29&gt;0,FLOOR(MIN(BD29,100*INDEX(TABLAS!$D$52:$D$58,MIN(MATCH(IF(ISNUMBER(S29),S29,DATOS!$C$135),TABLAS!$B$52:$B$58,0)+3,7))/MAX(CK29,0.0001)),DATOS!$C$141)&gt;=DATOS!$C$140),INDEX(TABLAS!$B$52:$B$58,MIN(MATCH(IF(ISNUMBER(S29),S29,DATOS!$C$135),TABLAS!$B$52:$B$58,0)+3,7)),IF(AND(CK29&gt;0,FLOOR(MIN(BD29,100*INDEX(TABLAS!$D$52:$D$58,MIN(MATCH(IF(ISNUMBER(S29),S29,DATOS!$C$135),TABLAS!$B$52:$B$58,0)+4,7))/MAX(CK29,0.0001)),DATOS!$C$141)&gt;=DATOS!$C$140),INDEX(TABLAS!$B$52:$B$58,MIN(MATCH(IF(ISNUMBER(S29),S29,DATOS!$C$135),TABLAS!$B$52:$B$58,0)+4,7)),INDEX(TABLAS!$B$52:$B$58,7)))))))</f>
        <v/>
      </c>
      <c r="CM29" s="71" t="str">
        <f>IF(V29&lt;&gt;"SÍ","",IF(CK29&lt;=0,0,FLOOR(MIN(BD29,100*INDEX(TABLAS!$D$52:$D$58,MATCH(CL29,TABLAS!$B$52:$B$58,0))/CK29),DATOS!$C$141)))</f>
        <v/>
      </c>
      <c r="CN29" s="58" t="str">
        <f>IF(V29&lt;&gt;"SÍ","",IF(CM29&lt;=0,0,INDEX(TABLAS!$D$52:$D$58,MATCH(CL29,TABLAS!$B$52:$B$58,0))*100/CM29))</f>
        <v/>
      </c>
      <c r="CO29" s="58" t="str">
        <f>IF(V29&lt;&gt;"SÍ","",((W29-AF29-INDEX(TABLAS!$C$52:$C$58,MATCH(BR29,TABLAS!$B$52:$B$58,0))-INDEX(TABLAS!$C$52:$C$58,MATCH(CL29,TABLAS!$B$52:$B$58,0))/2)-IF(AND((W29-AF29-INDEX(TABLAS!$C$52:$C$58,MATCH(BR29,TABLAS!$B$52:$B$58,0))-INDEX(TABLAS!$C$52:$C$58,MATCH(CL29,TABLAS!$B$52:$B$58,0))/2)&lt;=20,DATOS!$C$62&lt;&gt;"SÍ"),2,0)))</f>
        <v/>
      </c>
      <c r="CP29" s="56" t="str">
        <f>IF(V29&lt;&gt;"SÍ","",IF(CN29=0,0,DATOS!$C$29*CN29*DATOS!$C$14*(CO29-CN29*DATOS!$C$14/(DATOS!$C$21*100)/2)/1E5))</f>
        <v/>
      </c>
      <c r="CQ29" s="65" t="str">
        <f>IF(V29&lt;&gt;"SÍ","",IF(CK29&lt;0,9.99,IF(CP29&gt;0,BA29/CP29,0)))</f>
        <v/>
      </c>
      <c r="CR29" s="66" t="str">
        <f>IF(V29&lt;&gt;"SÍ","",IF(CN29=0,"—",0.003*(CO29-(CN29*DATOS!$C$14/(DATOS!$C$21*100)/DATOS!$C$22))/(CN29*DATOS!$C$14/(DATOS!$C$21*100)/DATOS!$C$22)))</f>
        <v/>
      </c>
      <c r="CS29" s="56" t="str">
        <f>IF(V29&lt;&gt;"SÍ","",IF(C29="PERIMETRAL",MAX(0,(AC29/2-BU29)/100)*(0.95-0.5*AB29)*AK29*IF(AND(AL29&gt;0,AL29&lt;4),DATOS!$C$33,1)/1000,(AK29*MAX(0,AC29-BU29)/100+DATOS!$C$26*N(P29))/1000))</f>
        <v/>
      </c>
      <c r="CT29" s="66" t="str">
        <f>IF(V29&lt;&gt;"SÍ","",BT29/(100*BU29))</f>
        <v/>
      </c>
      <c r="CU29" s="56" t="str">
        <f>IF(V29&lt;&gt;"SÍ","",DATOS!$C$30*2*MIN(1,SQRT(2/(1+0.04*BU29)))*CT29^(1/3)*SQRT(DATOS!$C$13)*100*BU29/1000)</f>
        <v/>
      </c>
      <c r="CV29" s="67" t="str">
        <f>IF(V29&lt;&gt;"SÍ","",IF(CS29&lt;=CU29,"CUMPLE","NO CUMPLE: sube h"))</f>
        <v/>
      </c>
      <c r="CW29" s="58" t="str">
        <f>IF(V29&lt;&gt;"SÍ","",IF(C29="PERIMETRAL",IF(ISNUMBER(R29),R29,DATOS!$C$101),0))</f>
        <v/>
      </c>
      <c r="CX29" s="57" t="str">
        <f>IF(V29&lt;&gt;"SÍ","",IF(C29="PERIMETRAL",IF(CW29&gt;2,MAX(9,AD29*(0.8+DATOS!$C$14/14000)/(36+9*(AD29/MAX(AC29,1)))),IF(CW29&gt;0.2,MAX(13,AD29*(0.8+DATOS!$C$14/14000)/(36+5*(AD29/MAX(AC29,1))*(CW29-0.2))),MAX(13,AD29/IF(AL29&gt;0,30,33))))*IF(AND(CW29&gt;0.2,AL29&gt;0,DATOS!$C$102="NO"),1.1,1),Z29*100/DATOS!$C$142))</f>
        <v/>
      </c>
      <c r="CY29" s="61" t="str">
        <f>IF(V29&lt;&gt;"SÍ","",IF(W29&gt;=CX29-0.001,"CUMPLE",IF(C29="VOLADO","NO CUMPLE","CALCULAR FLECHA")))</f>
        <v/>
      </c>
      <c r="CZ29" s="60" t="str">
        <f>IF(V29&lt;&gt;"SÍ","",IF(C29="VOLADO",MIN(CEILING(IF(ISNUMBER(Q29),Q29,Z29)*100,5),CEILING(MAX(IF((0.5*(0.9*W29/100*DATOS!$C$16)*IF(ISNUMBER(Q29),Q29,Z29)+AY29/IF(ISNUMBER(Q29),Q29,Z29))^2-4*(0.5*(0.9*W29/100*DATOS!$C$16))*AY29&lt;0,IF(ISNUMBER(Q29),Q29,Z29),MIN(IF(ISNUMBER(Q29),Q29,Z29),((0.5*(0.9*W29/100*DATOS!$C$16)*IF(ISNUMBER(Q29),Q29,Z29)+AY29/IF(ISNUMBER(Q29),Q29,Z29))-SQRT((0.5*(0.9*W29/100*DATOS!$C$16)*IF(ISNUMBER(Q29),Q29,Z29)+AY29/IF(ISNUMBER(Q29),Q29,Z29))^2-4*(0.5*(0.9*W29/100*DATOS!$C$16))*AY29))/(2*(0.5*(0.9*W29/100*DATOS!$C$16)))))*100+MAX(BU29,12*INDEX(TABLAS!$C$52:$C$58,MATCH(BR29,TABLAS!$B$52:$B$58,0)),IF(ISNUMBER(Q29),Q29,Z29)*100/16),IF(OR(AF29&lt;INDEX(TABLAS!$C$52:$C$58,MATCH(BR29,TABLAS!$B$52:$B$58,0)),BS29-INDEX(TABLAS!$C$52:$C$58,MATCH(BR29,TABLAS!$B$52:$B$58,0))&lt;2*INDEX(TABLAS!$C$52:$C$58,MATCH(BR29,TABLAS!$B$52:$B$58,0))),INDEX(TABLAS!$I$52:$I$58,MATCH(BR29,TABLAS!$B$52:$B$58,0)),INDEX(TABLAS!$F$52:$F$58,MATCH(BR29,TABLAS!$B$52:$B$58,0)))),5)),IF(((4*((AV29*AK29*Z29^2*1E-4/1000)+((MAX(AR29,AT29)*AK29*Z29^2*1E-4/1000)+(IF(AND(AR29&gt;0,AT29&gt;0),MIN(AR29,AT29),MAX(AR29,AT29))*AK29*Z29^2*1E-4/1000))/2)+AY29-(IF(AND(AR29&gt;0,AT29&gt;0),MIN(AR29,AT29),MAX(AR29,AT29))*AK29*Z29^2*1E-4/1000))^2-16*((AV29*AK29*Z29^2*1E-4/1000)+((MAX(AR29,AT29)*AK29*Z29^2*1E-4/1000)+(IF(AND(AR29&gt;0,AT29&gt;0),MIN(AR29,AT29),MAX(AR29,AT29))*AK29*Z29^2*1E-4/1000))/2)*AY29)&lt;0,CEILING(AC29,5),CEILING(MAX(AC29*((4*((AV29*AK29*Z29^2*1E-4/1000)+((MAX(AR29,AT29)*AK29*Z29^2*1E-4/1000)+(IF(AND(AR29&gt;0,AT29&gt;0),MIN(AR29,AT29),MAX(AR29,AT29))*AK29*Z29^2*1E-4/1000))/2)+AY29-(IF(AND(AR29&gt;0,AT29&gt;0),MIN(AR29,AT29),MAX(AR29,AT29))*AK29*Z29^2*1E-4/1000))-SQRT(MAX(0,((4*((AV29*AK29*Z29^2*1E-4/1000)+((MAX(AR29,AT29)*AK29*Z29^2*1E-4/1000)+(IF(AND(AR29&gt;0,AT29&gt;0),MIN(AR29,AT29),MAX(AR29,AT29))*AK29*Z29^2*1E-4/1000))/2)+AY29-(IF(AND(AR29&gt;0,AT29&gt;0),MIN(AR29,AT29),MAX(AR29,AT29))*AK29*Z29^2*1E-4/1000))^2-16*((AV29*AK29*Z29^2*1E-4/1000)+((MAX(AR29,AT29)*AK29*Z29^2*1E-4/1000)+(IF(AND(AR29&gt;0,AT29&gt;0),MIN(AR29,AT29),MAX(AR29,AT29))*AK29*Z29^2*1E-4/1000))/2)*AY29))))/(8*MAX(((AV29*AK29*Z29^2*1E-4/1000)+((MAX(AR29,AT29)*AK29*Z29^2*1E-4/1000)+(IF(AND(AR29&gt;0,AT29&gt;0),MIN(AR29,AT29),MAX(AR29,AT29))*AK29*Z29^2*1E-4/1000))/2),1E-9))+MAX(BU29,12*INDEX(TABLAS!$C$52:$C$58,MATCH(BR29,TABLAS!$B$52:$B$58,0)),AC29/16),IF(OR(AF29&lt;INDEX(TABLAS!$C$52:$C$58,MATCH(BR29,TABLAS!$B$52:$B$58,0)),BS29-INDEX(TABLAS!$C$52:$C$58,MATCH(BR29,TABLAS!$B$52:$B$58,0))&lt;2*INDEX(TABLAS!$C$52:$C$58,MATCH(BR29,TABLAS!$B$52:$B$58,0))),INDEX(TABLAS!$I$52:$I$58,MATCH(BR29,TABLAS!$B$52:$B$58,0)),INDEX(TABLAS!$F$52:$F$58,MATCH(BR29,TABLAS!$B$52:$B$58,0)))),5))))</f>
        <v/>
      </c>
      <c r="DA29" s="60" t="str">
        <f>IF(V29&lt;&gt;"SÍ","",IF(C29="VOLADO",0,IF(((4*((AW29*AK29*Z29^2*1E-4/1000)+((MAX(AS29,AU29)*AK29*Z29^2*1E-4/1000)+(IF(AND(AS29&gt;0,AU29&gt;0),MIN(AS29,AU29),MAX(AS29,AU29))*AK29*Z29^2*1E-4/1000))/2)+BA29-(IF(AND(AS29&gt;0,AU29&gt;0),MIN(AS29,AU29),MAX(AS29,AU29))*AK29*Z29^2*1E-4/1000))^2-16*((AW29*AK29*Z29^2*1E-4/1000)+((MAX(AS29,AU29)*AK29*Z29^2*1E-4/1000)+(IF(AND(AS29&gt;0,AU29&gt;0),MIN(AS29,AU29),MAX(AS29,AU29))*AK29*Z29^2*1E-4/1000))/2)*BA29)&lt;0,CEILING(AD29,5),CEILING(MAX(AD29*((4*((AW29*AK29*Z29^2*1E-4/1000)+((MAX(AS29,AU29)*AK29*Z29^2*1E-4/1000)+(IF(AND(AS29&gt;0,AU29&gt;0),MIN(AS29,AU29),MAX(AS29,AU29))*AK29*Z29^2*1E-4/1000))/2)+BA29-(IF(AND(AS29&gt;0,AU29&gt;0),MIN(AS29,AU29),MAX(AS29,AU29))*AK29*Z29^2*1E-4/1000))-SQRT(MAX(0,((4*((AW29*AK29*Z29^2*1E-4/1000)+((MAX(AS29,AU29)*AK29*Z29^2*1E-4/1000)+(IF(AND(AS29&gt;0,AU29&gt;0),MIN(AS29,AU29),MAX(AS29,AU29))*AK29*Z29^2*1E-4/1000))/2)+BA29-(IF(AND(AS29&gt;0,AU29&gt;0),MIN(AS29,AU29),MAX(AS29,AU29))*AK29*Z29^2*1E-4/1000))^2-16*((AW29*AK29*Z29^2*1E-4/1000)+((MAX(AS29,AU29)*AK29*Z29^2*1E-4/1000)+(IF(AND(AS29&gt;0,AU29&gt;0),MIN(AS29,AU29),MAX(AS29,AU29))*AK29*Z29^2*1E-4/1000))/2)*BA29))))/(8*MAX(((AW29*AK29*Z29^2*1E-4/1000)+((MAX(AS29,AU29)*AK29*Z29^2*1E-4/1000)+(IF(AND(AS29&gt;0,AU29&gt;0),MIN(AS29,AU29),MAX(AS29,AU29))*AK29*Z29^2*1E-4/1000))/2),1E-9))+MAX(CO29,12*INDEX(TABLAS!$C$52:$C$58,MATCH(CL29,TABLAS!$B$52:$B$58,0)),AD29/16),IF(OR(AF29&lt;INDEX(TABLAS!$C$52:$C$58,MATCH(CL29,TABLAS!$B$52:$B$58,0)),CM29-INDEX(TABLAS!$C$52:$C$58,MATCH(CL29,TABLAS!$B$52:$B$58,0))&lt;2*INDEX(TABLAS!$C$52:$C$58,MATCH(CL29,TABLAS!$B$52:$B$58,0))),INDEX(TABLAS!$I$52:$I$58,MATCH(CL29,TABLAS!$B$52:$B$58,0)),INDEX(TABLAS!$F$52:$F$58,MATCH(CL29,TABLAS!$B$52:$B$58,0)))),5))))</f>
        <v/>
      </c>
      <c r="DB29" s="55" t="str">
        <f>IF(V29&lt;&gt;"SÍ","",IF(AND(C29="PERIMETRAL",AL29-AM29&gt;0,AT29&gt;0),"SÍ","NO"))</f>
        <v/>
      </c>
      <c r="DC29" s="55" t="str">
        <f>IF(V29&lt;&gt;"SÍ","",IF(AND(C29="PERIMETRAL",AM29&gt;0,AU29&gt;0),"SÍ","NO"))</f>
        <v/>
      </c>
      <c r="DD29" s="63" t="str">
        <f>IF(V29&lt;&gt;"SÍ","",IF(OR(C29="VOLADO",AL29=0),"—",IF(AND(AND(INDEX(TABLAS!$G$52:$G$58,MATCH(MAX(BR29,CL29),TABLAS!$B$52:$B$58,0))&lt;=(DATOS!$C$72-DATOS!$C$60),(DATOS!$C$72-DATOS!$C$60)&gt;=15),8*INDEX(TABLAS!$C$52:$C$58,MATCH(MAX(BH29,CB29,BR29,CL29),TABLAS!$B$52:$B$58,0))&lt;=DATOS!$C$73-2*DATOS!$C$60),"CUMPLE (gancho de 180°)",IF(AND(INDEX(TABLAS!$G$52:$G$58,MATCH(MAX(BR29,CL29),TABLAS!$B$52:$B$58,0))&lt;=(DATOS!$C$72-DATOS!$C$60),(DATOS!$C$72-DATOS!$C$60)&gt;=15),"NO CUMPLE: el gancho de 180° (8·d_b) no cabe en el peralte de la dala de borde","NO CUMPLE: dala de borde ≥ "&amp;TEXT(CEILING(MAX(INDEX(TABLAS!$G$52:$G$58,MATCH(MAX(BR29,CL29),TABLAS!$B$52:$B$58,0)),15)+DATOS!$C$60,5),"0")&amp;" cm de ancho"&amp;IF(8*INDEX(TABLAS!$C$52:$C$58,MATCH(MAX(BH29,CB29,BR29,CL29),TABLAS!$B$52:$B$58,0))&lt;=DATOS!$C$73-2*DATOS!$C$60,""," y más peralte para el gancho")))))</f>
        <v/>
      </c>
      <c r="DE29" s="69" t="str">
        <f>IF(V29&lt;&gt;"SÍ","",IF(BI29=0,"NO ALCANZA","No. "&amp;BH29&amp;" @ "&amp;BI29&amp;" cm"&amp;IF(C29="VOLADO"," (temperatura)","")))</f>
        <v/>
      </c>
      <c r="DF29" s="69" t="str">
        <f>IF(V29&lt;&gt;"SÍ","",IF(BS29=0,"NO ALCANZA",IF(C29="VOLADO","No. "&amp;BR29&amp;" @ "&amp;BS29&amp;" cm"&amp;" de la orilla al respaldo ("&amp;IF(CZ29&gt;=100*IF(ISNUMBER(Q29),Q29,Z29),"hasta su apoyo lejano, con gancho","entran "&amp;TEXT(CZ29/100,"0.00")&amp;" m desde el paño")&amp;")","Bastones "&amp;"No. "&amp;BR29&amp;" @ "&amp;BS29&amp;" cm"&amp;", L = "&amp;TEXT(CZ29/100,"0.00")&amp;" m desde el paño")))</f>
        <v/>
      </c>
      <c r="DG29" s="69" t="str">
        <f>IF(V29&lt;&gt;"SÍ","",IF(CC29=0,"NO ALCANZA","No. "&amp;CB29&amp;" @ "&amp;CC29&amp;" cm"&amp;IF(C29="VOLADO"," (repartición)","")))</f>
        <v/>
      </c>
      <c r="DH29" s="69" t="str">
        <f>IF(V29&lt;&gt;"SÍ","",IF(CM29=0,"NO ALCANZA",IF(C29="VOLADO","No. "&amp;CL29&amp;" @ "&amp;CM29&amp;" cm"&amp;" (repartición)","Bastones "&amp;"No. "&amp;CL29&amp;" @ "&amp;CM29&amp;" cm"&amp;", L = "&amp;TEXT(DA29/100,"0.00")&amp;" m desde el paño")))</f>
        <v/>
      </c>
      <c r="DI29" s="67" t="str">
        <f>IF(B29="","",IF(V29&lt;&gt;"SÍ","FALTAN DATOS: tipo, a_x, a_y y destino",IF(L29="NO MONOLÍTICO (caso II)","FUERA DE ALCANCE: caso II no transcrito",IF(AND(C29="VOLADO",X29="?"),"REVISAR: el volado lleva UN solo borde CONTINUO (el empotrado)",IF(AND(MAX(BM29,BW29,CG29,CQ29)&lt;=1,NOT(OR(BI29&lt;DATOS!$C$140,BS29&lt;DATOS!$C$140,CC29&lt;DATOS!$C$140,CM29&lt;DATOS!$C$140)),NOT(OR(AND(ISNUMBER(BN29),BN29&lt;0.005),AND(ISNUMBER(BX29),BX29&lt;0.005),AND(ISNUMBER(CH29),CH29&lt;0.005),AND(ISNUMBER(CR29),CR29&lt;0.005))),CV29="CUMPLE",CY29="CUMPLE"),"CUMPLE"&amp;IF(LEFT(BB29,5)="FUERA"," · fuera de 3.4.2.1 c)","")&amp;IF(LEFT(DD29,2)="NO"," · REVISAR anclaje en borde discontinuo",""),IF(AND(MAX(BM29,BW29,CG29,CQ29)&lt;=1,NOT(OR(BI29&lt;DATOS!$C$140,BS29&lt;DATOS!$C$140,CC29&lt;DATOS!$C$140,CM29&lt;DATOS!$C$140)),NOT(OR(AND(ISNUMBER(BN29),BN29&lt;0.005),AND(ISNUMBER(BX29),BX29&lt;0.005),AND(ISNUMBER(CH29),CH29&lt;0.005),AND(ISNUMBER(CR29),CR29&lt;0.005))),CV29="CUMPLE",CY29="CALCULAR FLECHA"),"REVISAR: calcular flecha (h &lt; h mín.)"&amp;IF(LEFT(BB29,5)="FUERA"," · fuera de 3.4.2.1 c)","")&amp;IF(LEFT(DD29,2)="NO"," · REVISAR anclaje en borde discontinuo",""),"NO CUMPLE: "&amp;IF(MAX(BM29,BW29,CG29,CQ29)&gt;1,"flexión ","")&amp;IF(OR(BI29&lt;DATOS!$C$140,BS29&lt;DATOS!$C$140,CC29&lt;DATOS!$C$140,CM29&lt;DATOS!$C$140),"separación &lt; mínima ","")&amp;IF(OR(AND(ISNUMBER(BN29),BN29&lt;0.005),AND(ISNUMBER(BX29),BX29&lt;0.005),AND(ISNUMBER(CH29),CH29&lt;0.005),AND(ISNUMBER(CR29),CR29&lt;0.005)),"ε_t &lt; 0.005 ","")&amp;IF(CV29&lt;&gt;"CUMPLE","cortante ","")&amp;IF(CY29="NO CUMPLE","peralte","")))))))</f>
        <v/>
      </c>
      <c r="DJ29" s="70" t="str">
        <f>IF(V29&lt;&gt;"SÍ","",IF(LEFT(B29,7)="EJEMPLO","EJEMPLO de tablero típico: bórralo o sobrescríbelo. ","")&amp;IF(C29="VOLADO","Volado de "&amp;TEXT(Z29,"0.00")&amp;" m empotrado en el borde "&amp;LOWER(X29)&amp;IF(N(P29)&gt;0,", con "&amp;TEXT(P29,"0.0")&amp;" kg/m en la orilla","")&amp;". Lecho inferior con r_ext. Si la orilla carga pretil u otro elemento frágil, calcula la flecha (13.4). El acero superior entra al respaldo de "&amp;TEXT(IF(ISNUMBER(Q29),Q29,Z29),"0.00")&amp;" m"&amp;IF(ISNUMBER(Q29),""," (L_b no capturado: se tomó igual al volado)")&amp;" hasta pasar M = 0 con 0.9·PP sin carga viva; si ahí no se anula, llega al apoyo lejano y se ancla con gancho. ","")&amp;IF(LEFT(BB29,5)="FUERA","El M⁻ del vecino difiere más de 50 % (3.4.2.1 c): distribuye el desequilibrio (3.4.3.1) o confirma con un modelo; se arma con el mayor. ","")&amp;IF(OR(DB29="SÍ",DC29="SÍ"),"Bastones también en los bordes discontinuos (M⁻ de tabla), con gancho. ","")&amp;IF(LEFT(DD29,2)="NO","Anclaje: "&amp;DD29&amp;" (6.7.7.4.1.1). ","")&amp;IF(OR(AT29&gt;0,AU29&gt;0),"Esquinas exteriores sobre muro: refuerzo de esquina arriba y abajo en L_largo/5 (6.7.7.3.1). ",""))</f>
        <v/>
      </c>
    </row>
    <row r="30" ht="33" customHeight="1">
      <c r="A30" s="50">
        <f>IF(B30="",0,1)+A29</f>
        <v>3</v>
      </c>
      <c r="B30" s="29" t="n"/>
      <c r="C30" s="51" t="n"/>
      <c r="D30" s="29" t="n"/>
      <c r="E30" s="52" t="n"/>
      <c r="F30" s="52" t="n"/>
      <c r="G30" s="51" t="n"/>
      <c r="H30" s="51" t="n"/>
      <c r="I30" s="51" t="n"/>
      <c r="J30" s="51" t="n"/>
      <c r="K30" s="51" t="n"/>
      <c r="L30" s="51" t="n"/>
      <c r="M30" s="54" t="n"/>
      <c r="N30" s="53" t="n"/>
      <c r="O30" s="53" t="n"/>
      <c r="P30" s="54" t="n"/>
      <c r="Q30" s="52" t="n"/>
      <c r="R30" s="54" t="n"/>
      <c r="S30" s="53" t="n"/>
      <c r="T30" s="52" t="n"/>
      <c r="U30" s="52" t="n"/>
      <c r="V30" s="55" t="str">
        <f>IF(B30="","",IF(AND(OR(C30="PERIMETRAL",C30="VOLADO"),ISNUMBER(E30),ISNUMBER(F30),E30&gt;0,F30&gt;0,OR(ISNUMBER(O30),ISNUMBER(MATCH(D30,DATOS!$B$46:$B$55,0)))),"SÍ","NO"))</f>
        <v/>
      </c>
      <c r="W30" s="57" t="str">
        <f>IF(V30&lt;&gt;"SÍ","",IF(ISNUMBER(M30),M30,DATOS!$C$134))</f>
        <v/>
      </c>
      <c r="X30" s="55" t="str">
        <f>IF(V30&lt;&gt;"SÍ","",IF(C30&lt;&gt;"VOLADO","—",IF(COUNTIF(G30:J30,"CONTINUO")&lt;&gt;1,"?",IF(G30="CONTINUO","INFERIOR",IF(H30="CONTINUO","SUPERIOR",IF(I30="CONTINUO","IZQUIERDO","DERECHO"))))))</f>
        <v/>
      </c>
      <c r="Y30" s="55" t="str">
        <f>IF(V30&lt;&gt;"SÍ","",IF(C30="VOLADO",IF(OR(X30="IZQUIERDO",X30="DERECHO"),"X","Y"),IF(E30&lt;=F30,"X","Y")))</f>
        <v/>
      </c>
      <c r="Z30" s="56" t="str">
        <f>IF(V30&lt;&gt;"SÍ","",IF(C30="VOLADO",IF(Y30="X",E30,F30),MIN(E30,F30)))</f>
        <v/>
      </c>
      <c r="AA30" s="56" t="str">
        <f>IF(V30&lt;&gt;"SÍ","",IF(C30="VOLADO",IF(Y30="X",F30,E30),MAX(E30,F30)))</f>
        <v/>
      </c>
      <c r="AB30" s="56" t="str">
        <f>IF(V30&lt;&gt;"SÍ","",MIN(Z30,AA30)/MAX(Z30,AA30))</f>
        <v/>
      </c>
      <c r="AC30" s="57" t="str">
        <f>IF(V30&lt;&gt;"SÍ","",MAX(1,Z30*100-IF(C30="VOLADO",DATOS!$C$84/2,DATOS!$C$84)))</f>
        <v/>
      </c>
      <c r="AD30" s="57" t="str">
        <f>IF(V30&lt;&gt;"SÍ","",MAX(1,AA30*100-DATOS!$C$84))</f>
        <v/>
      </c>
      <c r="AE30" s="57" t="str">
        <f>IF(V30&lt;&gt;"SÍ","",IF(C30="VOLADO",DATOS!$C$61,DATOS!$C$59))</f>
        <v/>
      </c>
      <c r="AF30" s="57" t="str">
        <f>IF(V30&lt;&gt;"SÍ","",IF(OR(AND(AG30="SÍ",DATOS!$C$63="SÍ"),AND(C30="VOLADO",DATOS!$C$64="SÍ")),DATOS!$C$61,DATOS!$C$59))</f>
        <v/>
      </c>
      <c r="AG30" s="55" t="str">
        <f>IF(V30&lt;&gt;"SÍ","",IFERROR(INDEX(DATOS!$D$46:$D$55,MATCH(D30,DATOS!$B$46:$B$55,0)),"NO"))</f>
        <v/>
      </c>
      <c r="AH30" s="59" t="str">
        <f>IF(V30&lt;&gt;"SÍ","",IF(ISNUMBER(O30),O30,IFERROR(INDEX(DATOS!$C$46:$C$55,MATCH(D30,DATOS!$B$46:$B$55,0)),0)))</f>
        <v/>
      </c>
      <c r="AI30" s="59" t="str">
        <f>IF(V30&lt;&gt;"SÍ","",W30/100*DATOS!$C$16*1000+DATOS!$C$37+DATOS!$C$38)</f>
        <v/>
      </c>
      <c r="AJ30" s="59" t="str">
        <f>IF(V30&lt;&gt;"SÍ","",AI30+N(N30))</f>
        <v/>
      </c>
      <c r="AK30" s="60" t="str">
        <f>IF(V30&lt;&gt;"SÍ","",MAX(DATOS!$C$26*AJ30+DATOS!$C$27*AH30,IF(AG30="SÍ",DATOS!$C$28*(AJ30+DATOS!$C$41),0)))</f>
        <v/>
      </c>
      <c r="AL30" s="59" t="str">
        <f>IF(V30&lt;&gt;"SÍ","",(G30="DISCONTINUO")+(H30="DISCONTINUO")+(I30="DISCONTINUO")+(J30="DISCONTINUO"))</f>
        <v/>
      </c>
      <c r="AM30" s="59" t="str">
        <f>IF(V30&lt;&gt;"SÍ","",IF(Y30="X",(G30="DISCONTINUO")+(H30="DISCONTINUO"),(I30="DISCONTINUO")+(J30="DISCONTINUO")))</f>
        <v/>
      </c>
      <c r="AN30" s="55" t="str">
        <f>IF(V30&lt;&gt;"SÍ","",IF(AL30=0,"INTERIOR",IF(AL30=1,IF(AM30=1,"BORDE-CORTO","BORDE-LARGO"),IF(AL30=2,IF(AM30=1,"ESQUINA",IF(AM30=2,"EXTREMO-LARGO","EXTREMO-CORTO")),IF(AL30=3,IF(AM30=2,"EXTREMO-LARGO","EXTREMO-CORTO"),"AISLADO")))))</f>
        <v/>
      </c>
      <c r="AO30" s="61" t="str">
        <f>IF(V30&lt;&gt;"SÍ","",IF(OR(K30="",K30="AUTO"),AN30,K30))</f>
        <v/>
      </c>
      <c r="AP30" s="59" t="str">
        <f>IF(V30&lt;&gt;"SÍ","",MATCH(AB30,TABLAS!$D$5:$J$5,1))</f>
        <v/>
      </c>
      <c r="AQ30" s="58" t="str">
        <f>IF(V30&lt;&gt;"SÍ","",IF(AP30&gt;=7,0,(AB30-INDEX(TABLAS!$D$5:$J$5,AP30))/(INDEX(TABLAS!$D$5:$J$5,AP30+1)-INDEX(TABLAS!$D$5:$J$5,AP30))))</f>
        <v/>
      </c>
      <c r="AR30" s="59" t="str">
        <f>IF(V30&lt;&gt;"SÍ","",INDEX(TABLAS!$D$6:$J$47,MATCH(AO30&amp;"|NIC",TABLAS!$B$6:$B$47,0),AP30)+AQ30*(INDEX(TABLAS!$D$6:$J$47,MATCH(AO30&amp;"|NIC",TABLAS!$B$6:$B$47,0),MIN(AP30+1,7))-INDEX(TABLAS!$D$6:$J$47,MATCH(AO30&amp;"|NIC",TABLAS!$B$6:$B$47,0),AP30)))</f>
        <v/>
      </c>
      <c r="AS30" s="59" t="str">
        <f>IF(V30&lt;&gt;"SÍ","",INDEX(TABLAS!$D$6:$J$47,MATCH(AO30&amp;"|NIL",TABLAS!$B$6:$B$47,0),AP30)+AQ30*(INDEX(TABLAS!$D$6:$J$47,MATCH(AO30&amp;"|NIL",TABLAS!$B$6:$B$47,0),MIN(AP30+1,7))-INDEX(TABLAS!$D$6:$J$47,MATCH(AO30&amp;"|NIL",TABLAS!$B$6:$B$47,0),AP30)))</f>
        <v/>
      </c>
      <c r="AT30" s="59" t="str">
        <f>IF(V30&lt;&gt;"SÍ","",INDEX(TABLAS!$D$6:$J$47,MATCH(AO30&amp;"|NDC",TABLAS!$B$6:$B$47,0),AP30)+AQ30*(INDEX(TABLAS!$D$6:$J$47,MATCH(AO30&amp;"|NDC",TABLAS!$B$6:$B$47,0),MIN(AP30+1,7))-INDEX(TABLAS!$D$6:$J$47,MATCH(AO30&amp;"|NDC",TABLAS!$B$6:$B$47,0),AP30)))</f>
        <v/>
      </c>
      <c r="AU30" s="59" t="str">
        <f>IF(V30&lt;&gt;"SÍ","",INDEX(TABLAS!$D$6:$J$47,MATCH(AO30&amp;"|NDL",TABLAS!$B$6:$B$47,0),AP30)+AQ30*(INDEX(TABLAS!$D$6:$J$47,MATCH(AO30&amp;"|NDL",TABLAS!$B$6:$B$47,0),MIN(AP30+1,7))-INDEX(TABLAS!$D$6:$J$47,MATCH(AO30&amp;"|NDL",TABLAS!$B$6:$B$47,0),AP30)))</f>
        <v/>
      </c>
      <c r="AV30" s="59" t="str">
        <f>IF(V30&lt;&gt;"SÍ","",INDEX(TABLAS!$D$6:$J$47,MATCH(AO30&amp;"|PC",TABLAS!$B$6:$B$47,0),AP30)+AQ30*(INDEX(TABLAS!$D$6:$J$47,MATCH(AO30&amp;"|PC",TABLAS!$B$6:$B$47,0),MIN(AP30+1,7))-INDEX(TABLAS!$D$6:$J$47,MATCH(AO30&amp;"|PC",TABLAS!$B$6:$B$47,0),AP30)))</f>
        <v/>
      </c>
      <c r="AW30" s="59" t="str">
        <f>IF(V30&lt;&gt;"SÍ","",INDEX(TABLAS!$D$6:$J$47,MATCH(AO30&amp;"|PL",TABLAS!$B$6:$B$47,0),AP30)+AQ30*(INDEX(TABLAS!$D$6:$J$47,MATCH(AO30&amp;"|PL",TABLAS!$B$6:$B$47,0),MIN(AP30+1,7))-INDEX(TABLAS!$D$6:$J$47,MATCH(AO30&amp;"|PL",TABLAS!$B$6:$B$47,0),AP30)))</f>
        <v/>
      </c>
      <c r="AX30" s="56" t="str">
        <f>IF(V30&lt;&gt;"SÍ","",IF(C30="PERIMETRAL",AV30*AK30*Z30^2*1E-4/1000,0))</f>
        <v/>
      </c>
      <c r="AY30" s="62" t="str">
        <f>IF(V30&lt;&gt;"SÍ","",IF(C30="PERIMETRAL",MAX(MAX(AR30,AT30)*AK30*Z30^2*1E-4/1000,N(T30)),(AK30*(AC30/100)^2/2+DATOS!$C$26*N(P30)*AC30/100)/1000))</f>
        <v/>
      </c>
      <c r="AZ30" s="56" t="str">
        <f>IF(V30&lt;&gt;"SÍ","",IF(C30="PERIMETRAL",AW30*AK30*Z30^2*1E-4/1000,0))</f>
        <v/>
      </c>
      <c r="BA30" s="56" t="str">
        <f>IF(V30&lt;&gt;"SÍ","",IF(C30="PERIMETRAL",MAX(MAX(AS30,AU30)*AK30*Z30^2*1E-4/1000,N(U30)),0))</f>
        <v/>
      </c>
      <c r="BB30" s="63" t="str">
        <f>IF(V30&lt;&gt;"SÍ","",IF(C30&lt;&gt;"PERIMETRAL","—",IF(AND(N(T30)=0,N(U30)=0),"— (sin M⁻ del vecino)",IF(OR(AND(N(T30)&gt;0,ABS(MAX(AR30,AT30)*AK30*Z30^2*1E-4/1000-N(T30))&gt;0.5*MIN(MAX(AR30,AT30)*AK30*Z30^2*1E-4/1000,N(T30))),AND(N(U30)&gt;0,ABS(MAX(AS30,AU30)*AK30*Z30^2*1E-4/1000-N(U30))&gt;0.5*MIN(MAX(AS30,AU30)*AK30*Z30^2*1E-4/1000,N(U30)))),"FUERA: difieren &gt; 50 %"&amp;IF(AND(N(T30)&gt;0,ABS(MAX(AR30,AT30)*AK30*Z30^2*1E-4/1000-N(T30))&gt;0.5*MIN(MAX(AR30,AT30)*AK30*Z30^2*1E-4/1000,N(T30)))," ‖ corto","")&amp;IF(AND(N(U30)&gt;0,ABS(MAX(AS30,AU30)*AK30*Z30^2*1E-4/1000-N(U30))&gt;0.5*MIN(MAX(AS30,AU30)*AK30*Z30^2*1E-4/1000,N(U30)))," ‖ largo",""),"CUMPLE"))))</f>
        <v/>
      </c>
      <c r="BC30" s="58" t="str">
        <f>IF(V30&lt;&gt;"SÍ","",DATOS!$C$136*100*W30)</f>
        <v/>
      </c>
      <c r="BD30" s="57" t="str">
        <f>IF(V30&lt;&gt;"SÍ","",MIN(IF(C30="VOLADO",DATOS!$C$138,DATOS!$C$137)*W30,DATOS!$C$139))</f>
        <v/>
      </c>
      <c r="BE30" s="58" t="str">
        <f>IF(V30&lt;&gt;"SÍ","",(W30-AE30-INDEX(TABLAS!$C$52:$C$58,MATCH(IF(ISNUMBER(S30),S30,DATOS!$C$135),TABLAS!$B$52:$B$58,0))/2))</f>
        <v/>
      </c>
      <c r="BF30" s="58" t="str">
        <f>IF(V30&lt;&gt;"SÍ","",IF(AX30&lt;=0,0,IF((1-2*AX30*1E5/(DATOS!$C$29*100*BE30^2*DATOS!$C$21))&lt;0,-1,IF((1-SQRT((1-2*AX30*1E5/(DATOS!$C$29*100*BE30^2*DATOS!$C$21))))*DATOS!$C$21*100*BE30/DATOS!$C$14&gt;DATOS!$C$99*100*BE30,-1,(1-SQRT((1-2*AX30*1E5/(DATOS!$C$29*100*BE30^2*DATOS!$C$21))))*DATOS!$C$21*100*BE30/DATOS!$C$14))))</f>
        <v/>
      </c>
      <c r="BG30" s="58" t="str">
        <f>IF(V30&lt;&gt;"SÍ","",IF(BF30&lt;0,-1,MAX(BF30,BC30)))</f>
        <v/>
      </c>
      <c r="BH30" s="64" t="str">
        <f>IF(V30&lt;&gt;"SÍ","",IF(AND(BG30&gt;0,FLOOR(MIN(BD30,100*INDEX(TABLAS!$D$52:$D$58,MIN(MATCH(IF(ISNUMBER(S30),S30,DATOS!$C$135),TABLAS!$B$52:$B$58,0)+0,7))/MAX(BG30,0.0001)),DATOS!$C$141)&gt;=DATOS!$C$140),INDEX(TABLAS!$B$52:$B$58,MIN(MATCH(IF(ISNUMBER(S30),S30,DATOS!$C$135),TABLAS!$B$52:$B$58,0)+0,7)),IF(AND(BG30&gt;0,FLOOR(MIN(BD30,100*INDEX(TABLAS!$D$52:$D$58,MIN(MATCH(IF(ISNUMBER(S30),S30,DATOS!$C$135),TABLAS!$B$52:$B$58,0)+1,7))/MAX(BG30,0.0001)),DATOS!$C$141)&gt;=DATOS!$C$140),INDEX(TABLAS!$B$52:$B$58,MIN(MATCH(IF(ISNUMBER(S30),S30,DATOS!$C$135),TABLAS!$B$52:$B$58,0)+1,7)),IF(AND(BG30&gt;0,FLOOR(MIN(BD30,100*INDEX(TABLAS!$D$52:$D$58,MIN(MATCH(IF(ISNUMBER(S30),S30,DATOS!$C$135),TABLAS!$B$52:$B$58,0)+2,7))/MAX(BG30,0.0001)),DATOS!$C$141)&gt;=DATOS!$C$140),INDEX(TABLAS!$B$52:$B$58,MIN(MATCH(IF(ISNUMBER(S30),S30,DATOS!$C$135),TABLAS!$B$52:$B$58,0)+2,7)),IF(AND(BG30&gt;0,FLOOR(MIN(BD30,100*INDEX(TABLAS!$D$52:$D$58,MIN(MATCH(IF(ISNUMBER(S30),S30,DATOS!$C$135),TABLAS!$B$52:$B$58,0)+3,7))/MAX(BG30,0.0001)),DATOS!$C$141)&gt;=DATOS!$C$140),INDEX(TABLAS!$B$52:$B$58,MIN(MATCH(IF(ISNUMBER(S30),S30,DATOS!$C$135),TABLAS!$B$52:$B$58,0)+3,7)),IF(AND(BG30&gt;0,FLOOR(MIN(BD30,100*INDEX(TABLAS!$D$52:$D$58,MIN(MATCH(IF(ISNUMBER(S30),S30,DATOS!$C$135),TABLAS!$B$52:$B$58,0)+4,7))/MAX(BG30,0.0001)),DATOS!$C$141)&gt;=DATOS!$C$140),INDEX(TABLAS!$B$52:$B$58,MIN(MATCH(IF(ISNUMBER(S30),S30,DATOS!$C$135),TABLAS!$B$52:$B$58,0)+4,7)),INDEX(TABLAS!$B$52:$B$58,7)))))))</f>
        <v/>
      </c>
      <c r="BI30" s="71" t="str">
        <f>IF(V30&lt;&gt;"SÍ","",IF(BG30&lt;=0,0,FLOOR(MIN(BD30,100*INDEX(TABLAS!$D$52:$D$58,MATCH(BH30,TABLAS!$B$52:$B$58,0))/BG30),DATOS!$C$141)))</f>
        <v/>
      </c>
      <c r="BJ30" s="58" t="str">
        <f>IF(V30&lt;&gt;"SÍ","",IF(BI30&lt;=0,0,INDEX(TABLAS!$D$52:$D$58,MATCH(BH30,TABLAS!$B$52:$B$58,0))*100/BI30))</f>
        <v/>
      </c>
      <c r="BK30" s="58" t="str">
        <f>IF(V30&lt;&gt;"SÍ","",W30-AE30-INDEX(TABLAS!$C$52:$C$58,MATCH(BH30,TABLAS!$B$52:$B$58,0))/2)</f>
        <v/>
      </c>
      <c r="BL30" s="56" t="str">
        <f>IF(V30&lt;&gt;"SÍ","",IF(BJ30=0,0,DATOS!$C$29*BJ30*DATOS!$C$14*(BK30-BJ30*DATOS!$C$14/(DATOS!$C$21*100)/2)/1E5))</f>
        <v/>
      </c>
      <c r="BM30" s="65" t="str">
        <f>IF(V30&lt;&gt;"SÍ","",IF(BG30&lt;0,9.99,IF(BL30&gt;0,AX30/BL30,0)))</f>
        <v/>
      </c>
      <c r="BN30" s="66" t="str">
        <f>IF(V30&lt;&gt;"SÍ","",IF(BJ30=0,"—",0.003*(BK30-(BJ30*DATOS!$C$14/(DATOS!$C$21*100)/DATOS!$C$22))/(BJ30*DATOS!$C$14/(DATOS!$C$21*100)/DATOS!$C$22)))</f>
        <v/>
      </c>
      <c r="BO30" s="58" t="str">
        <f>IF(V30&lt;&gt;"SÍ","",((W30-AF30-INDEX(TABLAS!$C$52:$C$58,MATCH(IF(ISNUMBER(S30),S30,DATOS!$C$135),TABLAS!$B$52:$B$58,0))/2)-IF(AND((W30-AF30-INDEX(TABLAS!$C$52:$C$58,MATCH(IF(ISNUMBER(S30),S30,DATOS!$C$135),TABLAS!$B$52:$B$58,0))/2)&lt;=20,DATOS!$C$62&lt;&gt;"SÍ"),2,0)))</f>
        <v/>
      </c>
      <c r="BP30" s="58" t="str">
        <f>IF(V30&lt;&gt;"SÍ","",IF(AY30&lt;=0,0,IF((1-2*AY30*1E5/(DATOS!$C$29*100*BO30^2*DATOS!$C$21))&lt;0,-1,IF((1-SQRT((1-2*AY30*1E5/(DATOS!$C$29*100*BO30^2*DATOS!$C$21))))*DATOS!$C$21*100*BO30/DATOS!$C$14&gt;DATOS!$C$99*100*BO30,-1,(1-SQRT((1-2*AY30*1E5/(DATOS!$C$29*100*BO30^2*DATOS!$C$21))))*DATOS!$C$21*100*BO30/DATOS!$C$14))))</f>
        <v/>
      </c>
      <c r="BQ30" s="58" t="str">
        <f>IF(V30&lt;&gt;"SÍ","",IF(BP30&lt;0,-1,MAX(BP30,BC30)))</f>
        <v/>
      </c>
      <c r="BR30" s="64" t="str">
        <f>IF(V30&lt;&gt;"SÍ","",IF(AND(BQ30&gt;0,FLOOR(MIN(BD30,100*INDEX(TABLAS!$D$52:$D$58,MIN(MATCH(IF(ISNUMBER(S30),S30,DATOS!$C$135),TABLAS!$B$52:$B$58,0)+0,7))/MAX(BQ30,0.0001)),DATOS!$C$141)&gt;=DATOS!$C$140),INDEX(TABLAS!$B$52:$B$58,MIN(MATCH(IF(ISNUMBER(S30),S30,DATOS!$C$135),TABLAS!$B$52:$B$58,0)+0,7)),IF(AND(BQ30&gt;0,FLOOR(MIN(BD30,100*INDEX(TABLAS!$D$52:$D$58,MIN(MATCH(IF(ISNUMBER(S30),S30,DATOS!$C$135),TABLAS!$B$52:$B$58,0)+1,7))/MAX(BQ30,0.0001)),DATOS!$C$141)&gt;=DATOS!$C$140),INDEX(TABLAS!$B$52:$B$58,MIN(MATCH(IF(ISNUMBER(S30),S30,DATOS!$C$135),TABLAS!$B$52:$B$58,0)+1,7)),IF(AND(BQ30&gt;0,FLOOR(MIN(BD30,100*INDEX(TABLAS!$D$52:$D$58,MIN(MATCH(IF(ISNUMBER(S30),S30,DATOS!$C$135),TABLAS!$B$52:$B$58,0)+2,7))/MAX(BQ30,0.0001)),DATOS!$C$141)&gt;=DATOS!$C$140),INDEX(TABLAS!$B$52:$B$58,MIN(MATCH(IF(ISNUMBER(S30),S30,DATOS!$C$135),TABLAS!$B$52:$B$58,0)+2,7)),IF(AND(BQ30&gt;0,FLOOR(MIN(BD30,100*INDEX(TABLAS!$D$52:$D$58,MIN(MATCH(IF(ISNUMBER(S30),S30,DATOS!$C$135),TABLAS!$B$52:$B$58,0)+3,7))/MAX(BQ30,0.0001)),DATOS!$C$141)&gt;=DATOS!$C$140),INDEX(TABLAS!$B$52:$B$58,MIN(MATCH(IF(ISNUMBER(S30),S30,DATOS!$C$135),TABLAS!$B$52:$B$58,0)+3,7)),IF(AND(BQ30&gt;0,FLOOR(MIN(BD30,100*INDEX(TABLAS!$D$52:$D$58,MIN(MATCH(IF(ISNUMBER(S30),S30,DATOS!$C$135),TABLAS!$B$52:$B$58,0)+4,7))/MAX(BQ30,0.0001)),DATOS!$C$141)&gt;=DATOS!$C$140),INDEX(TABLAS!$B$52:$B$58,MIN(MATCH(IF(ISNUMBER(S30),S30,DATOS!$C$135),TABLAS!$B$52:$B$58,0)+4,7)),INDEX(TABLAS!$B$52:$B$58,7)))))))</f>
        <v/>
      </c>
      <c r="BS30" s="71" t="str">
        <f>IF(V30&lt;&gt;"SÍ","",IF(BQ30&lt;=0,0,FLOOR(MIN(BD30,100*INDEX(TABLAS!$D$52:$D$58,MATCH(BR30,TABLAS!$B$52:$B$58,0))/BQ30),DATOS!$C$141)))</f>
        <v/>
      </c>
      <c r="BT30" s="58" t="str">
        <f>IF(V30&lt;&gt;"SÍ","",IF(BS30&lt;=0,0,INDEX(TABLAS!$D$52:$D$58,MATCH(BR30,TABLAS!$B$52:$B$58,0))*100/BS30))</f>
        <v/>
      </c>
      <c r="BU30" s="58" t="str">
        <f>IF(V30&lt;&gt;"SÍ","",((W30-AF30-INDEX(TABLAS!$C$52:$C$58,MATCH(BR30,TABLAS!$B$52:$B$58,0))/2)-IF(AND((W30-AF30-INDEX(TABLAS!$C$52:$C$58,MATCH(BR30,TABLAS!$B$52:$B$58,0))/2)&lt;=20,DATOS!$C$62&lt;&gt;"SÍ"),2,0)))</f>
        <v/>
      </c>
      <c r="BV30" s="56" t="str">
        <f>IF(V30&lt;&gt;"SÍ","",IF(BT30=0,0,DATOS!$C$29*BT30*DATOS!$C$14*(BU30-BT30*DATOS!$C$14/(DATOS!$C$21*100)/2)/1E5))</f>
        <v/>
      </c>
      <c r="BW30" s="65" t="str">
        <f>IF(V30&lt;&gt;"SÍ","",IF(BQ30&lt;0,9.99,IF(BV30&gt;0,AY30/BV30,0)))</f>
        <v/>
      </c>
      <c r="BX30" s="66" t="str">
        <f>IF(V30&lt;&gt;"SÍ","",IF(BT30=0,"—",0.003*(BU30-(BT30*DATOS!$C$14/(DATOS!$C$21*100)/DATOS!$C$22))/(BT30*DATOS!$C$14/(DATOS!$C$21*100)/DATOS!$C$22)))</f>
        <v/>
      </c>
      <c r="BY30" s="58" t="str">
        <f>IF(V30&lt;&gt;"SÍ","",(W30-AE30-1.5*INDEX(TABLAS!$C$52:$C$58,MATCH(IF(ISNUMBER(S30),S30,DATOS!$C$135),TABLAS!$B$52:$B$58,0))))</f>
        <v/>
      </c>
      <c r="BZ30" s="58" t="str">
        <f>IF(V30&lt;&gt;"SÍ","",IF(AZ30&lt;=0,0,IF((1-2*AZ30*1E5/(DATOS!$C$29*100*BY30^2*DATOS!$C$21))&lt;0,-1,IF((1-SQRT((1-2*AZ30*1E5/(DATOS!$C$29*100*BY30^2*DATOS!$C$21))))*DATOS!$C$21*100*BY30/DATOS!$C$14&gt;DATOS!$C$99*100*BY30,-1,(1-SQRT((1-2*AZ30*1E5/(DATOS!$C$29*100*BY30^2*DATOS!$C$21))))*DATOS!$C$21*100*BY30/DATOS!$C$14))))</f>
        <v/>
      </c>
      <c r="CA30" s="58" t="str">
        <f>IF(V30&lt;&gt;"SÍ","",IF(BZ30&lt;0,-1,MAX(BZ30,BC30)))</f>
        <v/>
      </c>
      <c r="CB30" s="64" t="str">
        <f>IF(V30&lt;&gt;"SÍ","",IF(AND(CA30&gt;0,FLOOR(MIN(BD30,100*INDEX(TABLAS!$D$52:$D$58,MIN(MATCH(IF(ISNUMBER(S30),S30,DATOS!$C$135),TABLAS!$B$52:$B$58,0)+0,7))/MAX(CA30,0.0001)),DATOS!$C$141)&gt;=DATOS!$C$140),INDEX(TABLAS!$B$52:$B$58,MIN(MATCH(IF(ISNUMBER(S30),S30,DATOS!$C$135),TABLAS!$B$52:$B$58,0)+0,7)),IF(AND(CA30&gt;0,FLOOR(MIN(BD30,100*INDEX(TABLAS!$D$52:$D$58,MIN(MATCH(IF(ISNUMBER(S30),S30,DATOS!$C$135),TABLAS!$B$52:$B$58,0)+1,7))/MAX(CA30,0.0001)),DATOS!$C$141)&gt;=DATOS!$C$140),INDEX(TABLAS!$B$52:$B$58,MIN(MATCH(IF(ISNUMBER(S30),S30,DATOS!$C$135),TABLAS!$B$52:$B$58,0)+1,7)),IF(AND(CA30&gt;0,FLOOR(MIN(BD30,100*INDEX(TABLAS!$D$52:$D$58,MIN(MATCH(IF(ISNUMBER(S30),S30,DATOS!$C$135),TABLAS!$B$52:$B$58,0)+2,7))/MAX(CA30,0.0001)),DATOS!$C$141)&gt;=DATOS!$C$140),INDEX(TABLAS!$B$52:$B$58,MIN(MATCH(IF(ISNUMBER(S30),S30,DATOS!$C$135),TABLAS!$B$52:$B$58,0)+2,7)),IF(AND(CA30&gt;0,FLOOR(MIN(BD30,100*INDEX(TABLAS!$D$52:$D$58,MIN(MATCH(IF(ISNUMBER(S30),S30,DATOS!$C$135),TABLAS!$B$52:$B$58,0)+3,7))/MAX(CA30,0.0001)),DATOS!$C$141)&gt;=DATOS!$C$140),INDEX(TABLAS!$B$52:$B$58,MIN(MATCH(IF(ISNUMBER(S30),S30,DATOS!$C$135),TABLAS!$B$52:$B$58,0)+3,7)),IF(AND(CA30&gt;0,FLOOR(MIN(BD30,100*INDEX(TABLAS!$D$52:$D$58,MIN(MATCH(IF(ISNUMBER(S30),S30,DATOS!$C$135),TABLAS!$B$52:$B$58,0)+4,7))/MAX(CA30,0.0001)),DATOS!$C$141)&gt;=DATOS!$C$140),INDEX(TABLAS!$B$52:$B$58,MIN(MATCH(IF(ISNUMBER(S30),S30,DATOS!$C$135),TABLAS!$B$52:$B$58,0)+4,7)),INDEX(TABLAS!$B$52:$B$58,7)))))))</f>
        <v/>
      </c>
      <c r="CC30" s="71" t="str">
        <f>IF(V30&lt;&gt;"SÍ","",IF(CA30&lt;=0,0,FLOOR(MIN(BD30,100*INDEX(TABLAS!$D$52:$D$58,MATCH(CB30,TABLAS!$B$52:$B$58,0))/CA30),DATOS!$C$141)))</f>
        <v/>
      </c>
      <c r="CD30" s="58" t="str">
        <f>IF(V30&lt;&gt;"SÍ","",IF(CC30&lt;=0,0,INDEX(TABLAS!$D$52:$D$58,MATCH(CB30,TABLAS!$B$52:$B$58,0))*100/CC30))</f>
        <v/>
      </c>
      <c r="CE30" s="58" t="str">
        <f>IF(V30&lt;&gt;"SÍ","",W30-AE30-INDEX(TABLAS!$C$52:$C$58,MATCH(BH30,TABLAS!$B$52:$B$58,0))-INDEX(TABLAS!$C$52:$C$58,MATCH(CB30,TABLAS!$B$52:$B$58,0))/2)</f>
        <v/>
      </c>
      <c r="CF30" s="56" t="str">
        <f>IF(V30&lt;&gt;"SÍ","",IF(CD30=0,0,DATOS!$C$29*CD30*DATOS!$C$14*(CE30-CD30*DATOS!$C$14/(DATOS!$C$21*100)/2)/1E5))</f>
        <v/>
      </c>
      <c r="CG30" s="65" t="str">
        <f>IF(V30&lt;&gt;"SÍ","",IF(CA30&lt;0,9.99,IF(CF30&gt;0,AZ30/CF30,0)))</f>
        <v/>
      </c>
      <c r="CH30" s="66" t="str">
        <f>IF(V30&lt;&gt;"SÍ","",IF(CD30=0,"—",0.003*(CE30-(CD30*DATOS!$C$14/(DATOS!$C$21*100)/DATOS!$C$22))/(CD30*DATOS!$C$14/(DATOS!$C$21*100)/DATOS!$C$22)))</f>
        <v/>
      </c>
      <c r="CI30" s="58" t="str">
        <f>IF(V30&lt;&gt;"SÍ","",((W30-AF30-1.5*INDEX(TABLAS!$C$52:$C$58,MATCH(IF(ISNUMBER(S30),S30,DATOS!$C$135),TABLAS!$B$52:$B$58,0)))-IF(AND((W30-AF30-1.5*INDEX(TABLAS!$C$52:$C$58,MATCH(IF(ISNUMBER(S30),S30,DATOS!$C$135),TABLAS!$B$52:$B$58,0)))&lt;=20,DATOS!$C$62&lt;&gt;"SÍ"),2,0)))</f>
        <v/>
      </c>
      <c r="CJ30" s="58" t="str">
        <f>IF(V30&lt;&gt;"SÍ","",IF(BA30&lt;=0,0,IF((1-2*BA30*1E5/(DATOS!$C$29*100*CI30^2*DATOS!$C$21))&lt;0,-1,IF((1-SQRT((1-2*BA30*1E5/(DATOS!$C$29*100*CI30^2*DATOS!$C$21))))*DATOS!$C$21*100*CI30/DATOS!$C$14&gt;DATOS!$C$99*100*CI30,-1,(1-SQRT((1-2*BA30*1E5/(DATOS!$C$29*100*CI30^2*DATOS!$C$21))))*DATOS!$C$21*100*CI30/DATOS!$C$14))))</f>
        <v/>
      </c>
      <c r="CK30" s="58" t="str">
        <f>IF(V30&lt;&gt;"SÍ","",IF(CJ30&lt;0,-1,MAX(CJ30,BC30)))</f>
        <v/>
      </c>
      <c r="CL30" s="64" t="str">
        <f>IF(V30&lt;&gt;"SÍ","",IF(AND(CK30&gt;0,FLOOR(MIN(BD30,100*INDEX(TABLAS!$D$52:$D$58,MIN(MATCH(IF(ISNUMBER(S30),S30,DATOS!$C$135),TABLAS!$B$52:$B$58,0)+0,7))/MAX(CK30,0.0001)),DATOS!$C$141)&gt;=DATOS!$C$140),INDEX(TABLAS!$B$52:$B$58,MIN(MATCH(IF(ISNUMBER(S30),S30,DATOS!$C$135),TABLAS!$B$52:$B$58,0)+0,7)),IF(AND(CK30&gt;0,FLOOR(MIN(BD30,100*INDEX(TABLAS!$D$52:$D$58,MIN(MATCH(IF(ISNUMBER(S30),S30,DATOS!$C$135),TABLAS!$B$52:$B$58,0)+1,7))/MAX(CK30,0.0001)),DATOS!$C$141)&gt;=DATOS!$C$140),INDEX(TABLAS!$B$52:$B$58,MIN(MATCH(IF(ISNUMBER(S30),S30,DATOS!$C$135),TABLAS!$B$52:$B$58,0)+1,7)),IF(AND(CK30&gt;0,FLOOR(MIN(BD30,100*INDEX(TABLAS!$D$52:$D$58,MIN(MATCH(IF(ISNUMBER(S30),S30,DATOS!$C$135),TABLAS!$B$52:$B$58,0)+2,7))/MAX(CK30,0.0001)),DATOS!$C$141)&gt;=DATOS!$C$140),INDEX(TABLAS!$B$52:$B$58,MIN(MATCH(IF(ISNUMBER(S30),S30,DATOS!$C$135),TABLAS!$B$52:$B$58,0)+2,7)),IF(AND(CK30&gt;0,FLOOR(MIN(BD30,100*INDEX(TABLAS!$D$52:$D$58,MIN(MATCH(IF(ISNUMBER(S30),S30,DATOS!$C$135),TABLAS!$B$52:$B$58,0)+3,7))/MAX(CK30,0.0001)),DATOS!$C$141)&gt;=DATOS!$C$140),INDEX(TABLAS!$B$52:$B$58,MIN(MATCH(IF(ISNUMBER(S30),S30,DATOS!$C$135),TABLAS!$B$52:$B$58,0)+3,7)),IF(AND(CK30&gt;0,FLOOR(MIN(BD30,100*INDEX(TABLAS!$D$52:$D$58,MIN(MATCH(IF(ISNUMBER(S30),S30,DATOS!$C$135),TABLAS!$B$52:$B$58,0)+4,7))/MAX(CK30,0.0001)),DATOS!$C$141)&gt;=DATOS!$C$140),INDEX(TABLAS!$B$52:$B$58,MIN(MATCH(IF(ISNUMBER(S30),S30,DATOS!$C$135),TABLAS!$B$52:$B$58,0)+4,7)),INDEX(TABLAS!$B$52:$B$58,7)))))))</f>
        <v/>
      </c>
      <c r="CM30" s="71" t="str">
        <f>IF(V30&lt;&gt;"SÍ","",IF(CK30&lt;=0,0,FLOOR(MIN(BD30,100*INDEX(TABLAS!$D$52:$D$58,MATCH(CL30,TABLAS!$B$52:$B$58,0))/CK30),DATOS!$C$141)))</f>
        <v/>
      </c>
      <c r="CN30" s="58" t="str">
        <f>IF(V30&lt;&gt;"SÍ","",IF(CM30&lt;=0,0,INDEX(TABLAS!$D$52:$D$58,MATCH(CL30,TABLAS!$B$52:$B$58,0))*100/CM30))</f>
        <v/>
      </c>
      <c r="CO30" s="58" t="str">
        <f>IF(V30&lt;&gt;"SÍ","",((W30-AF30-INDEX(TABLAS!$C$52:$C$58,MATCH(BR30,TABLAS!$B$52:$B$58,0))-INDEX(TABLAS!$C$52:$C$58,MATCH(CL30,TABLAS!$B$52:$B$58,0))/2)-IF(AND((W30-AF30-INDEX(TABLAS!$C$52:$C$58,MATCH(BR30,TABLAS!$B$52:$B$58,0))-INDEX(TABLAS!$C$52:$C$58,MATCH(CL30,TABLAS!$B$52:$B$58,0))/2)&lt;=20,DATOS!$C$62&lt;&gt;"SÍ"),2,0)))</f>
        <v/>
      </c>
      <c r="CP30" s="56" t="str">
        <f>IF(V30&lt;&gt;"SÍ","",IF(CN30=0,0,DATOS!$C$29*CN30*DATOS!$C$14*(CO30-CN30*DATOS!$C$14/(DATOS!$C$21*100)/2)/1E5))</f>
        <v/>
      </c>
      <c r="CQ30" s="65" t="str">
        <f>IF(V30&lt;&gt;"SÍ","",IF(CK30&lt;0,9.99,IF(CP30&gt;0,BA30/CP30,0)))</f>
        <v/>
      </c>
      <c r="CR30" s="66" t="str">
        <f>IF(V30&lt;&gt;"SÍ","",IF(CN30=0,"—",0.003*(CO30-(CN30*DATOS!$C$14/(DATOS!$C$21*100)/DATOS!$C$22))/(CN30*DATOS!$C$14/(DATOS!$C$21*100)/DATOS!$C$22)))</f>
        <v/>
      </c>
      <c r="CS30" s="56" t="str">
        <f>IF(V30&lt;&gt;"SÍ","",IF(C30="PERIMETRAL",MAX(0,(AC30/2-BU30)/100)*(0.95-0.5*AB30)*AK30*IF(AND(AL30&gt;0,AL30&lt;4),DATOS!$C$33,1)/1000,(AK30*MAX(0,AC30-BU30)/100+DATOS!$C$26*N(P30))/1000))</f>
        <v/>
      </c>
      <c r="CT30" s="66" t="str">
        <f>IF(V30&lt;&gt;"SÍ","",BT30/(100*BU30))</f>
        <v/>
      </c>
      <c r="CU30" s="56" t="str">
        <f>IF(V30&lt;&gt;"SÍ","",DATOS!$C$30*2*MIN(1,SQRT(2/(1+0.04*BU30)))*CT30^(1/3)*SQRT(DATOS!$C$13)*100*BU30/1000)</f>
        <v/>
      </c>
      <c r="CV30" s="67" t="str">
        <f>IF(V30&lt;&gt;"SÍ","",IF(CS30&lt;=CU30,"CUMPLE","NO CUMPLE: sube h"))</f>
        <v/>
      </c>
      <c r="CW30" s="58" t="str">
        <f>IF(V30&lt;&gt;"SÍ","",IF(C30="PERIMETRAL",IF(ISNUMBER(R30),R30,DATOS!$C$101),0))</f>
        <v/>
      </c>
      <c r="CX30" s="57" t="str">
        <f>IF(V30&lt;&gt;"SÍ","",IF(C30="PERIMETRAL",IF(CW30&gt;2,MAX(9,AD30*(0.8+DATOS!$C$14/14000)/(36+9*(AD30/MAX(AC30,1)))),IF(CW30&gt;0.2,MAX(13,AD30*(0.8+DATOS!$C$14/14000)/(36+5*(AD30/MAX(AC30,1))*(CW30-0.2))),MAX(13,AD30/IF(AL30&gt;0,30,33))))*IF(AND(CW30&gt;0.2,AL30&gt;0,DATOS!$C$102="NO"),1.1,1),Z30*100/DATOS!$C$142))</f>
        <v/>
      </c>
      <c r="CY30" s="61" t="str">
        <f>IF(V30&lt;&gt;"SÍ","",IF(W30&gt;=CX30-0.001,"CUMPLE",IF(C30="VOLADO","NO CUMPLE","CALCULAR FLECHA")))</f>
        <v/>
      </c>
      <c r="CZ30" s="60" t="str">
        <f>IF(V30&lt;&gt;"SÍ","",IF(C30="VOLADO",MIN(CEILING(IF(ISNUMBER(Q30),Q30,Z30)*100,5),CEILING(MAX(IF((0.5*(0.9*W30/100*DATOS!$C$16)*IF(ISNUMBER(Q30),Q30,Z30)+AY30/IF(ISNUMBER(Q30),Q30,Z30))^2-4*(0.5*(0.9*W30/100*DATOS!$C$16))*AY30&lt;0,IF(ISNUMBER(Q30),Q30,Z30),MIN(IF(ISNUMBER(Q30),Q30,Z30),((0.5*(0.9*W30/100*DATOS!$C$16)*IF(ISNUMBER(Q30),Q30,Z30)+AY30/IF(ISNUMBER(Q30),Q30,Z30))-SQRT((0.5*(0.9*W30/100*DATOS!$C$16)*IF(ISNUMBER(Q30),Q30,Z30)+AY30/IF(ISNUMBER(Q30),Q30,Z30))^2-4*(0.5*(0.9*W30/100*DATOS!$C$16))*AY30))/(2*(0.5*(0.9*W30/100*DATOS!$C$16)))))*100+MAX(BU30,12*INDEX(TABLAS!$C$52:$C$58,MATCH(BR30,TABLAS!$B$52:$B$58,0)),IF(ISNUMBER(Q30),Q30,Z30)*100/16),IF(OR(AF30&lt;INDEX(TABLAS!$C$52:$C$58,MATCH(BR30,TABLAS!$B$52:$B$58,0)),BS30-INDEX(TABLAS!$C$52:$C$58,MATCH(BR30,TABLAS!$B$52:$B$58,0))&lt;2*INDEX(TABLAS!$C$52:$C$58,MATCH(BR30,TABLAS!$B$52:$B$58,0))),INDEX(TABLAS!$I$52:$I$58,MATCH(BR30,TABLAS!$B$52:$B$58,0)),INDEX(TABLAS!$F$52:$F$58,MATCH(BR30,TABLAS!$B$52:$B$58,0)))),5)),IF(((4*((AV30*AK30*Z30^2*1E-4/1000)+((MAX(AR30,AT30)*AK30*Z30^2*1E-4/1000)+(IF(AND(AR30&gt;0,AT30&gt;0),MIN(AR30,AT30),MAX(AR30,AT30))*AK30*Z30^2*1E-4/1000))/2)+AY30-(IF(AND(AR30&gt;0,AT30&gt;0),MIN(AR30,AT30),MAX(AR30,AT30))*AK30*Z30^2*1E-4/1000))^2-16*((AV30*AK30*Z30^2*1E-4/1000)+((MAX(AR30,AT30)*AK30*Z30^2*1E-4/1000)+(IF(AND(AR30&gt;0,AT30&gt;0),MIN(AR30,AT30),MAX(AR30,AT30))*AK30*Z30^2*1E-4/1000))/2)*AY30)&lt;0,CEILING(AC30,5),CEILING(MAX(AC30*((4*((AV30*AK30*Z30^2*1E-4/1000)+((MAX(AR30,AT30)*AK30*Z30^2*1E-4/1000)+(IF(AND(AR30&gt;0,AT30&gt;0),MIN(AR30,AT30),MAX(AR30,AT30))*AK30*Z30^2*1E-4/1000))/2)+AY30-(IF(AND(AR30&gt;0,AT30&gt;0),MIN(AR30,AT30),MAX(AR30,AT30))*AK30*Z30^2*1E-4/1000))-SQRT(MAX(0,((4*((AV30*AK30*Z30^2*1E-4/1000)+((MAX(AR30,AT30)*AK30*Z30^2*1E-4/1000)+(IF(AND(AR30&gt;0,AT30&gt;0),MIN(AR30,AT30),MAX(AR30,AT30))*AK30*Z30^2*1E-4/1000))/2)+AY30-(IF(AND(AR30&gt;0,AT30&gt;0),MIN(AR30,AT30),MAX(AR30,AT30))*AK30*Z30^2*1E-4/1000))^2-16*((AV30*AK30*Z30^2*1E-4/1000)+((MAX(AR30,AT30)*AK30*Z30^2*1E-4/1000)+(IF(AND(AR30&gt;0,AT30&gt;0),MIN(AR30,AT30),MAX(AR30,AT30))*AK30*Z30^2*1E-4/1000))/2)*AY30))))/(8*MAX(((AV30*AK30*Z30^2*1E-4/1000)+((MAX(AR30,AT30)*AK30*Z30^2*1E-4/1000)+(IF(AND(AR30&gt;0,AT30&gt;0),MIN(AR30,AT30),MAX(AR30,AT30))*AK30*Z30^2*1E-4/1000))/2),1E-9))+MAX(BU30,12*INDEX(TABLAS!$C$52:$C$58,MATCH(BR30,TABLAS!$B$52:$B$58,0)),AC30/16),IF(OR(AF30&lt;INDEX(TABLAS!$C$52:$C$58,MATCH(BR30,TABLAS!$B$52:$B$58,0)),BS30-INDEX(TABLAS!$C$52:$C$58,MATCH(BR30,TABLAS!$B$52:$B$58,0))&lt;2*INDEX(TABLAS!$C$52:$C$58,MATCH(BR30,TABLAS!$B$52:$B$58,0))),INDEX(TABLAS!$I$52:$I$58,MATCH(BR30,TABLAS!$B$52:$B$58,0)),INDEX(TABLAS!$F$52:$F$58,MATCH(BR30,TABLAS!$B$52:$B$58,0)))),5))))</f>
        <v/>
      </c>
      <c r="DA30" s="60" t="str">
        <f>IF(V30&lt;&gt;"SÍ","",IF(C30="VOLADO",0,IF(((4*((AW30*AK30*Z30^2*1E-4/1000)+((MAX(AS30,AU30)*AK30*Z30^2*1E-4/1000)+(IF(AND(AS30&gt;0,AU30&gt;0),MIN(AS30,AU30),MAX(AS30,AU30))*AK30*Z30^2*1E-4/1000))/2)+BA30-(IF(AND(AS30&gt;0,AU30&gt;0),MIN(AS30,AU30),MAX(AS30,AU30))*AK30*Z30^2*1E-4/1000))^2-16*((AW30*AK30*Z30^2*1E-4/1000)+((MAX(AS30,AU30)*AK30*Z30^2*1E-4/1000)+(IF(AND(AS30&gt;0,AU30&gt;0),MIN(AS30,AU30),MAX(AS30,AU30))*AK30*Z30^2*1E-4/1000))/2)*BA30)&lt;0,CEILING(AD30,5),CEILING(MAX(AD30*((4*((AW30*AK30*Z30^2*1E-4/1000)+((MAX(AS30,AU30)*AK30*Z30^2*1E-4/1000)+(IF(AND(AS30&gt;0,AU30&gt;0),MIN(AS30,AU30),MAX(AS30,AU30))*AK30*Z30^2*1E-4/1000))/2)+BA30-(IF(AND(AS30&gt;0,AU30&gt;0),MIN(AS30,AU30),MAX(AS30,AU30))*AK30*Z30^2*1E-4/1000))-SQRT(MAX(0,((4*((AW30*AK30*Z30^2*1E-4/1000)+((MAX(AS30,AU30)*AK30*Z30^2*1E-4/1000)+(IF(AND(AS30&gt;0,AU30&gt;0),MIN(AS30,AU30),MAX(AS30,AU30))*AK30*Z30^2*1E-4/1000))/2)+BA30-(IF(AND(AS30&gt;0,AU30&gt;0),MIN(AS30,AU30),MAX(AS30,AU30))*AK30*Z30^2*1E-4/1000))^2-16*((AW30*AK30*Z30^2*1E-4/1000)+((MAX(AS30,AU30)*AK30*Z30^2*1E-4/1000)+(IF(AND(AS30&gt;0,AU30&gt;0),MIN(AS30,AU30),MAX(AS30,AU30))*AK30*Z30^2*1E-4/1000))/2)*BA30))))/(8*MAX(((AW30*AK30*Z30^2*1E-4/1000)+((MAX(AS30,AU30)*AK30*Z30^2*1E-4/1000)+(IF(AND(AS30&gt;0,AU30&gt;0),MIN(AS30,AU30),MAX(AS30,AU30))*AK30*Z30^2*1E-4/1000))/2),1E-9))+MAX(CO30,12*INDEX(TABLAS!$C$52:$C$58,MATCH(CL30,TABLAS!$B$52:$B$58,0)),AD30/16),IF(OR(AF30&lt;INDEX(TABLAS!$C$52:$C$58,MATCH(CL30,TABLAS!$B$52:$B$58,0)),CM30-INDEX(TABLAS!$C$52:$C$58,MATCH(CL30,TABLAS!$B$52:$B$58,0))&lt;2*INDEX(TABLAS!$C$52:$C$58,MATCH(CL30,TABLAS!$B$52:$B$58,0))),INDEX(TABLAS!$I$52:$I$58,MATCH(CL30,TABLAS!$B$52:$B$58,0)),INDEX(TABLAS!$F$52:$F$58,MATCH(CL30,TABLAS!$B$52:$B$58,0)))),5))))</f>
        <v/>
      </c>
      <c r="DB30" s="55" t="str">
        <f>IF(V30&lt;&gt;"SÍ","",IF(AND(C30="PERIMETRAL",AL30-AM30&gt;0,AT30&gt;0),"SÍ","NO"))</f>
        <v/>
      </c>
      <c r="DC30" s="55" t="str">
        <f>IF(V30&lt;&gt;"SÍ","",IF(AND(C30="PERIMETRAL",AM30&gt;0,AU30&gt;0),"SÍ","NO"))</f>
        <v/>
      </c>
      <c r="DD30" s="63" t="str">
        <f>IF(V30&lt;&gt;"SÍ","",IF(OR(C30="VOLADO",AL30=0),"—",IF(AND(AND(INDEX(TABLAS!$G$52:$G$58,MATCH(MAX(BR30,CL30),TABLAS!$B$52:$B$58,0))&lt;=(DATOS!$C$72-DATOS!$C$60),(DATOS!$C$72-DATOS!$C$60)&gt;=15),8*INDEX(TABLAS!$C$52:$C$58,MATCH(MAX(BH30,CB30,BR30,CL30),TABLAS!$B$52:$B$58,0))&lt;=DATOS!$C$73-2*DATOS!$C$60),"CUMPLE (gancho de 180°)",IF(AND(INDEX(TABLAS!$G$52:$G$58,MATCH(MAX(BR30,CL30),TABLAS!$B$52:$B$58,0))&lt;=(DATOS!$C$72-DATOS!$C$60),(DATOS!$C$72-DATOS!$C$60)&gt;=15),"NO CUMPLE: el gancho de 180° (8·d_b) no cabe en el peralte de la dala de borde","NO CUMPLE: dala de borde ≥ "&amp;TEXT(CEILING(MAX(INDEX(TABLAS!$G$52:$G$58,MATCH(MAX(BR30,CL30),TABLAS!$B$52:$B$58,0)),15)+DATOS!$C$60,5),"0")&amp;" cm de ancho"&amp;IF(8*INDEX(TABLAS!$C$52:$C$58,MATCH(MAX(BH30,CB30,BR30,CL30),TABLAS!$B$52:$B$58,0))&lt;=DATOS!$C$73-2*DATOS!$C$60,""," y más peralte para el gancho")))))</f>
        <v/>
      </c>
      <c r="DE30" s="69" t="str">
        <f>IF(V30&lt;&gt;"SÍ","",IF(BI30=0,"NO ALCANZA","No. "&amp;BH30&amp;" @ "&amp;BI30&amp;" cm"&amp;IF(C30="VOLADO"," (temperatura)","")))</f>
        <v/>
      </c>
      <c r="DF30" s="69" t="str">
        <f>IF(V30&lt;&gt;"SÍ","",IF(BS30=0,"NO ALCANZA",IF(C30="VOLADO","No. "&amp;BR30&amp;" @ "&amp;BS30&amp;" cm"&amp;" de la orilla al respaldo ("&amp;IF(CZ30&gt;=100*IF(ISNUMBER(Q30),Q30,Z30),"hasta su apoyo lejano, con gancho","entran "&amp;TEXT(CZ30/100,"0.00")&amp;" m desde el paño")&amp;")","Bastones "&amp;"No. "&amp;BR30&amp;" @ "&amp;BS30&amp;" cm"&amp;", L = "&amp;TEXT(CZ30/100,"0.00")&amp;" m desde el paño")))</f>
        <v/>
      </c>
      <c r="DG30" s="69" t="str">
        <f>IF(V30&lt;&gt;"SÍ","",IF(CC30=0,"NO ALCANZA","No. "&amp;CB30&amp;" @ "&amp;CC30&amp;" cm"&amp;IF(C30="VOLADO"," (repartición)","")))</f>
        <v/>
      </c>
      <c r="DH30" s="69" t="str">
        <f>IF(V30&lt;&gt;"SÍ","",IF(CM30=0,"NO ALCANZA",IF(C30="VOLADO","No. "&amp;CL30&amp;" @ "&amp;CM30&amp;" cm"&amp;" (repartición)","Bastones "&amp;"No. "&amp;CL30&amp;" @ "&amp;CM30&amp;" cm"&amp;", L = "&amp;TEXT(DA30/100,"0.00")&amp;" m desde el paño")))</f>
        <v/>
      </c>
      <c r="DI30" s="67" t="str">
        <f>IF(B30="","",IF(V30&lt;&gt;"SÍ","FALTAN DATOS: tipo, a_x, a_y y destino",IF(L30="NO MONOLÍTICO (caso II)","FUERA DE ALCANCE: caso II no transcrito",IF(AND(C30="VOLADO",X30="?"),"REVISAR: el volado lleva UN solo borde CONTINUO (el empotrado)",IF(AND(MAX(BM30,BW30,CG30,CQ30)&lt;=1,NOT(OR(BI30&lt;DATOS!$C$140,BS30&lt;DATOS!$C$140,CC30&lt;DATOS!$C$140,CM30&lt;DATOS!$C$140)),NOT(OR(AND(ISNUMBER(BN30),BN30&lt;0.005),AND(ISNUMBER(BX30),BX30&lt;0.005),AND(ISNUMBER(CH30),CH30&lt;0.005),AND(ISNUMBER(CR30),CR30&lt;0.005))),CV30="CUMPLE",CY30="CUMPLE"),"CUMPLE"&amp;IF(LEFT(BB30,5)="FUERA"," · fuera de 3.4.2.1 c)","")&amp;IF(LEFT(DD30,2)="NO"," · REVISAR anclaje en borde discontinuo",""),IF(AND(MAX(BM30,BW30,CG30,CQ30)&lt;=1,NOT(OR(BI30&lt;DATOS!$C$140,BS30&lt;DATOS!$C$140,CC30&lt;DATOS!$C$140,CM30&lt;DATOS!$C$140)),NOT(OR(AND(ISNUMBER(BN30),BN30&lt;0.005),AND(ISNUMBER(BX30),BX30&lt;0.005),AND(ISNUMBER(CH30),CH30&lt;0.005),AND(ISNUMBER(CR30),CR30&lt;0.005))),CV30="CUMPLE",CY30="CALCULAR FLECHA"),"REVISAR: calcular flecha (h &lt; h mín.)"&amp;IF(LEFT(BB30,5)="FUERA"," · fuera de 3.4.2.1 c)","")&amp;IF(LEFT(DD30,2)="NO"," · REVISAR anclaje en borde discontinuo",""),"NO CUMPLE: "&amp;IF(MAX(BM30,BW30,CG30,CQ30)&gt;1,"flexión ","")&amp;IF(OR(BI30&lt;DATOS!$C$140,BS30&lt;DATOS!$C$140,CC30&lt;DATOS!$C$140,CM30&lt;DATOS!$C$140),"separación &lt; mínima ","")&amp;IF(OR(AND(ISNUMBER(BN30),BN30&lt;0.005),AND(ISNUMBER(BX30),BX30&lt;0.005),AND(ISNUMBER(CH30),CH30&lt;0.005),AND(ISNUMBER(CR30),CR30&lt;0.005)),"ε_t &lt; 0.005 ","")&amp;IF(CV30&lt;&gt;"CUMPLE","cortante ","")&amp;IF(CY30="NO CUMPLE","peralte","")))))))</f>
        <v/>
      </c>
      <c r="DJ30" s="70" t="str">
        <f>IF(V30&lt;&gt;"SÍ","",IF(LEFT(B30,7)="EJEMPLO","EJEMPLO de tablero típico: bórralo o sobrescríbelo. ","")&amp;IF(C30="VOLADO","Volado de "&amp;TEXT(Z30,"0.00")&amp;" m empotrado en el borde "&amp;LOWER(X30)&amp;IF(N(P30)&gt;0,", con "&amp;TEXT(P30,"0.0")&amp;" kg/m en la orilla","")&amp;". Lecho inferior con r_ext. Si la orilla carga pretil u otro elemento frágil, calcula la flecha (13.4). El acero superior entra al respaldo de "&amp;TEXT(IF(ISNUMBER(Q30),Q30,Z30),"0.00")&amp;" m"&amp;IF(ISNUMBER(Q30),""," (L_b no capturado: se tomó igual al volado)")&amp;" hasta pasar M = 0 con 0.9·PP sin carga viva; si ahí no se anula, llega al apoyo lejano y se ancla con gancho. ","")&amp;IF(LEFT(BB30,5)="FUERA","El M⁻ del vecino difiere más de 50 % (3.4.2.1 c): distribuye el desequilibrio (3.4.3.1) o confirma con un modelo; se arma con el mayor. ","")&amp;IF(OR(DB30="SÍ",DC30="SÍ"),"Bastones también en los bordes discontinuos (M⁻ de tabla), con gancho. ","")&amp;IF(LEFT(DD30,2)="NO","Anclaje: "&amp;DD30&amp;" (6.7.7.4.1.1). ","")&amp;IF(OR(AT30&gt;0,AU30&gt;0),"Esquinas exteriores sobre muro: refuerzo de esquina arriba y abajo en L_largo/5 (6.7.7.3.1). ",""))</f>
        <v/>
      </c>
    </row>
    <row r="31" ht="33" customHeight="1">
      <c r="A31" s="50">
        <f>IF(B31="",0,1)+A30</f>
        <v>3</v>
      </c>
      <c r="B31" s="29" t="n"/>
      <c r="C31" s="51" t="n"/>
      <c r="D31" s="29" t="n"/>
      <c r="E31" s="52" t="n"/>
      <c r="F31" s="52" t="n"/>
      <c r="G31" s="51" t="n"/>
      <c r="H31" s="51" t="n"/>
      <c r="I31" s="51" t="n"/>
      <c r="J31" s="51" t="n"/>
      <c r="K31" s="51" t="n"/>
      <c r="L31" s="51" t="n"/>
      <c r="M31" s="54" t="n"/>
      <c r="N31" s="53" t="n"/>
      <c r="O31" s="53" t="n"/>
      <c r="P31" s="54" t="n"/>
      <c r="Q31" s="52" t="n"/>
      <c r="R31" s="54" t="n"/>
      <c r="S31" s="53" t="n"/>
      <c r="T31" s="52" t="n"/>
      <c r="U31" s="52" t="n"/>
      <c r="V31" s="55" t="str">
        <f>IF(B31="","",IF(AND(OR(C31="PERIMETRAL",C31="VOLADO"),ISNUMBER(E31),ISNUMBER(F31),E31&gt;0,F31&gt;0,OR(ISNUMBER(O31),ISNUMBER(MATCH(D31,DATOS!$B$46:$B$55,0)))),"SÍ","NO"))</f>
        <v/>
      </c>
      <c r="W31" s="57" t="str">
        <f>IF(V31&lt;&gt;"SÍ","",IF(ISNUMBER(M31),M31,DATOS!$C$134))</f>
        <v/>
      </c>
      <c r="X31" s="55" t="str">
        <f>IF(V31&lt;&gt;"SÍ","",IF(C31&lt;&gt;"VOLADO","—",IF(COUNTIF(G31:J31,"CONTINUO")&lt;&gt;1,"?",IF(G31="CONTINUO","INFERIOR",IF(H31="CONTINUO","SUPERIOR",IF(I31="CONTINUO","IZQUIERDO","DERECHO"))))))</f>
        <v/>
      </c>
      <c r="Y31" s="55" t="str">
        <f>IF(V31&lt;&gt;"SÍ","",IF(C31="VOLADO",IF(OR(X31="IZQUIERDO",X31="DERECHO"),"X","Y"),IF(E31&lt;=F31,"X","Y")))</f>
        <v/>
      </c>
      <c r="Z31" s="56" t="str">
        <f>IF(V31&lt;&gt;"SÍ","",IF(C31="VOLADO",IF(Y31="X",E31,F31),MIN(E31,F31)))</f>
        <v/>
      </c>
      <c r="AA31" s="56" t="str">
        <f>IF(V31&lt;&gt;"SÍ","",IF(C31="VOLADO",IF(Y31="X",F31,E31),MAX(E31,F31)))</f>
        <v/>
      </c>
      <c r="AB31" s="56" t="str">
        <f>IF(V31&lt;&gt;"SÍ","",MIN(Z31,AA31)/MAX(Z31,AA31))</f>
        <v/>
      </c>
      <c r="AC31" s="57" t="str">
        <f>IF(V31&lt;&gt;"SÍ","",MAX(1,Z31*100-IF(C31="VOLADO",DATOS!$C$84/2,DATOS!$C$84)))</f>
        <v/>
      </c>
      <c r="AD31" s="57" t="str">
        <f>IF(V31&lt;&gt;"SÍ","",MAX(1,AA31*100-DATOS!$C$84))</f>
        <v/>
      </c>
      <c r="AE31" s="57" t="str">
        <f>IF(V31&lt;&gt;"SÍ","",IF(C31="VOLADO",DATOS!$C$61,DATOS!$C$59))</f>
        <v/>
      </c>
      <c r="AF31" s="57" t="str">
        <f>IF(V31&lt;&gt;"SÍ","",IF(OR(AND(AG31="SÍ",DATOS!$C$63="SÍ"),AND(C31="VOLADO",DATOS!$C$64="SÍ")),DATOS!$C$61,DATOS!$C$59))</f>
        <v/>
      </c>
      <c r="AG31" s="55" t="str">
        <f>IF(V31&lt;&gt;"SÍ","",IFERROR(INDEX(DATOS!$D$46:$D$55,MATCH(D31,DATOS!$B$46:$B$55,0)),"NO"))</f>
        <v/>
      </c>
      <c r="AH31" s="59" t="str">
        <f>IF(V31&lt;&gt;"SÍ","",IF(ISNUMBER(O31),O31,IFERROR(INDEX(DATOS!$C$46:$C$55,MATCH(D31,DATOS!$B$46:$B$55,0)),0)))</f>
        <v/>
      </c>
      <c r="AI31" s="59" t="str">
        <f>IF(V31&lt;&gt;"SÍ","",W31/100*DATOS!$C$16*1000+DATOS!$C$37+DATOS!$C$38)</f>
        <v/>
      </c>
      <c r="AJ31" s="59" t="str">
        <f>IF(V31&lt;&gt;"SÍ","",AI31+N(N31))</f>
        <v/>
      </c>
      <c r="AK31" s="60" t="str">
        <f>IF(V31&lt;&gt;"SÍ","",MAX(DATOS!$C$26*AJ31+DATOS!$C$27*AH31,IF(AG31="SÍ",DATOS!$C$28*(AJ31+DATOS!$C$41),0)))</f>
        <v/>
      </c>
      <c r="AL31" s="59" t="str">
        <f>IF(V31&lt;&gt;"SÍ","",(G31="DISCONTINUO")+(H31="DISCONTINUO")+(I31="DISCONTINUO")+(J31="DISCONTINUO"))</f>
        <v/>
      </c>
      <c r="AM31" s="59" t="str">
        <f>IF(V31&lt;&gt;"SÍ","",IF(Y31="X",(G31="DISCONTINUO")+(H31="DISCONTINUO"),(I31="DISCONTINUO")+(J31="DISCONTINUO")))</f>
        <v/>
      </c>
      <c r="AN31" s="55" t="str">
        <f>IF(V31&lt;&gt;"SÍ","",IF(AL31=0,"INTERIOR",IF(AL31=1,IF(AM31=1,"BORDE-CORTO","BORDE-LARGO"),IF(AL31=2,IF(AM31=1,"ESQUINA",IF(AM31=2,"EXTREMO-LARGO","EXTREMO-CORTO")),IF(AL31=3,IF(AM31=2,"EXTREMO-LARGO","EXTREMO-CORTO"),"AISLADO")))))</f>
        <v/>
      </c>
      <c r="AO31" s="61" t="str">
        <f>IF(V31&lt;&gt;"SÍ","",IF(OR(K31="",K31="AUTO"),AN31,K31))</f>
        <v/>
      </c>
      <c r="AP31" s="59" t="str">
        <f>IF(V31&lt;&gt;"SÍ","",MATCH(AB31,TABLAS!$D$5:$J$5,1))</f>
        <v/>
      </c>
      <c r="AQ31" s="58" t="str">
        <f>IF(V31&lt;&gt;"SÍ","",IF(AP31&gt;=7,0,(AB31-INDEX(TABLAS!$D$5:$J$5,AP31))/(INDEX(TABLAS!$D$5:$J$5,AP31+1)-INDEX(TABLAS!$D$5:$J$5,AP31))))</f>
        <v/>
      </c>
      <c r="AR31" s="59" t="str">
        <f>IF(V31&lt;&gt;"SÍ","",INDEX(TABLAS!$D$6:$J$47,MATCH(AO31&amp;"|NIC",TABLAS!$B$6:$B$47,0),AP31)+AQ31*(INDEX(TABLAS!$D$6:$J$47,MATCH(AO31&amp;"|NIC",TABLAS!$B$6:$B$47,0),MIN(AP31+1,7))-INDEX(TABLAS!$D$6:$J$47,MATCH(AO31&amp;"|NIC",TABLAS!$B$6:$B$47,0),AP31)))</f>
        <v/>
      </c>
      <c r="AS31" s="59" t="str">
        <f>IF(V31&lt;&gt;"SÍ","",INDEX(TABLAS!$D$6:$J$47,MATCH(AO31&amp;"|NIL",TABLAS!$B$6:$B$47,0),AP31)+AQ31*(INDEX(TABLAS!$D$6:$J$47,MATCH(AO31&amp;"|NIL",TABLAS!$B$6:$B$47,0),MIN(AP31+1,7))-INDEX(TABLAS!$D$6:$J$47,MATCH(AO31&amp;"|NIL",TABLAS!$B$6:$B$47,0),AP31)))</f>
        <v/>
      </c>
      <c r="AT31" s="59" t="str">
        <f>IF(V31&lt;&gt;"SÍ","",INDEX(TABLAS!$D$6:$J$47,MATCH(AO31&amp;"|NDC",TABLAS!$B$6:$B$47,0),AP31)+AQ31*(INDEX(TABLAS!$D$6:$J$47,MATCH(AO31&amp;"|NDC",TABLAS!$B$6:$B$47,0),MIN(AP31+1,7))-INDEX(TABLAS!$D$6:$J$47,MATCH(AO31&amp;"|NDC",TABLAS!$B$6:$B$47,0),AP31)))</f>
        <v/>
      </c>
      <c r="AU31" s="59" t="str">
        <f>IF(V31&lt;&gt;"SÍ","",INDEX(TABLAS!$D$6:$J$47,MATCH(AO31&amp;"|NDL",TABLAS!$B$6:$B$47,0),AP31)+AQ31*(INDEX(TABLAS!$D$6:$J$47,MATCH(AO31&amp;"|NDL",TABLAS!$B$6:$B$47,0),MIN(AP31+1,7))-INDEX(TABLAS!$D$6:$J$47,MATCH(AO31&amp;"|NDL",TABLAS!$B$6:$B$47,0),AP31)))</f>
        <v/>
      </c>
      <c r="AV31" s="59" t="str">
        <f>IF(V31&lt;&gt;"SÍ","",INDEX(TABLAS!$D$6:$J$47,MATCH(AO31&amp;"|PC",TABLAS!$B$6:$B$47,0),AP31)+AQ31*(INDEX(TABLAS!$D$6:$J$47,MATCH(AO31&amp;"|PC",TABLAS!$B$6:$B$47,0),MIN(AP31+1,7))-INDEX(TABLAS!$D$6:$J$47,MATCH(AO31&amp;"|PC",TABLAS!$B$6:$B$47,0),AP31)))</f>
        <v/>
      </c>
      <c r="AW31" s="59" t="str">
        <f>IF(V31&lt;&gt;"SÍ","",INDEX(TABLAS!$D$6:$J$47,MATCH(AO31&amp;"|PL",TABLAS!$B$6:$B$47,0),AP31)+AQ31*(INDEX(TABLAS!$D$6:$J$47,MATCH(AO31&amp;"|PL",TABLAS!$B$6:$B$47,0),MIN(AP31+1,7))-INDEX(TABLAS!$D$6:$J$47,MATCH(AO31&amp;"|PL",TABLAS!$B$6:$B$47,0),AP31)))</f>
        <v/>
      </c>
      <c r="AX31" s="56" t="str">
        <f>IF(V31&lt;&gt;"SÍ","",IF(C31="PERIMETRAL",AV31*AK31*Z31^2*1E-4/1000,0))</f>
        <v/>
      </c>
      <c r="AY31" s="62" t="str">
        <f>IF(V31&lt;&gt;"SÍ","",IF(C31="PERIMETRAL",MAX(MAX(AR31,AT31)*AK31*Z31^2*1E-4/1000,N(T31)),(AK31*(AC31/100)^2/2+DATOS!$C$26*N(P31)*AC31/100)/1000))</f>
        <v/>
      </c>
      <c r="AZ31" s="56" t="str">
        <f>IF(V31&lt;&gt;"SÍ","",IF(C31="PERIMETRAL",AW31*AK31*Z31^2*1E-4/1000,0))</f>
        <v/>
      </c>
      <c r="BA31" s="56" t="str">
        <f>IF(V31&lt;&gt;"SÍ","",IF(C31="PERIMETRAL",MAX(MAX(AS31,AU31)*AK31*Z31^2*1E-4/1000,N(U31)),0))</f>
        <v/>
      </c>
      <c r="BB31" s="63" t="str">
        <f>IF(V31&lt;&gt;"SÍ","",IF(C31&lt;&gt;"PERIMETRAL","—",IF(AND(N(T31)=0,N(U31)=0),"— (sin M⁻ del vecino)",IF(OR(AND(N(T31)&gt;0,ABS(MAX(AR31,AT31)*AK31*Z31^2*1E-4/1000-N(T31))&gt;0.5*MIN(MAX(AR31,AT31)*AK31*Z31^2*1E-4/1000,N(T31))),AND(N(U31)&gt;0,ABS(MAX(AS31,AU31)*AK31*Z31^2*1E-4/1000-N(U31))&gt;0.5*MIN(MAX(AS31,AU31)*AK31*Z31^2*1E-4/1000,N(U31)))),"FUERA: difieren &gt; 50 %"&amp;IF(AND(N(T31)&gt;0,ABS(MAX(AR31,AT31)*AK31*Z31^2*1E-4/1000-N(T31))&gt;0.5*MIN(MAX(AR31,AT31)*AK31*Z31^2*1E-4/1000,N(T31)))," ‖ corto","")&amp;IF(AND(N(U31)&gt;0,ABS(MAX(AS31,AU31)*AK31*Z31^2*1E-4/1000-N(U31))&gt;0.5*MIN(MAX(AS31,AU31)*AK31*Z31^2*1E-4/1000,N(U31)))," ‖ largo",""),"CUMPLE"))))</f>
        <v/>
      </c>
      <c r="BC31" s="58" t="str">
        <f>IF(V31&lt;&gt;"SÍ","",DATOS!$C$136*100*W31)</f>
        <v/>
      </c>
      <c r="BD31" s="57" t="str">
        <f>IF(V31&lt;&gt;"SÍ","",MIN(IF(C31="VOLADO",DATOS!$C$138,DATOS!$C$137)*W31,DATOS!$C$139))</f>
        <v/>
      </c>
      <c r="BE31" s="58" t="str">
        <f>IF(V31&lt;&gt;"SÍ","",(W31-AE31-INDEX(TABLAS!$C$52:$C$58,MATCH(IF(ISNUMBER(S31),S31,DATOS!$C$135),TABLAS!$B$52:$B$58,0))/2))</f>
        <v/>
      </c>
      <c r="BF31" s="58" t="str">
        <f>IF(V31&lt;&gt;"SÍ","",IF(AX31&lt;=0,0,IF((1-2*AX31*1E5/(DATOS!$C$29*100*BE31^2*DATOS!$C$21))&lt;0,-1,IF((1-SQRT((1-2*AX31*1E5/(DATOS!$C$29*100*BE31^2*DATOS!$C$21))))*DATOS!$C$21*100*BE31/DATOS!$C$14&gt;DATOS!$C$99*100*BE31,-1,(1-SQRT((1-2*AX31*1E5/(DATOS!$C$29*100*BE31^2*DATOS!$C$21))))*DATOS!$C$21*100*BE31/DATOS!$C$14))))</f>
        <v/>
      </c>
      <c r="BG31" s="58" t="str">
        <f>IF(V31&lt;&gt;"SÍ","",IF(BF31&lt;0,-1,MAX(BF31,BC31)))</f>
        <v/>
      </c>
      <c r="BH31" s="64" t="str">
        <f>IF(V31&lt;&gt;"SÍ","",IF(AND(BG31&gt;0,FLOOR(MIN(BD31,100*INDEX(TABLAS!$D$52:$D$58,MIN(MATCH(IF(ISNUMBER(S31),S31,DATOS!$C$135),TABLAS!$B$52:$B$58,0)+0,7))/MAX(BG31,0.0001)),DATOS!$C$141)&gt;=DATOS!$C$140),INDEX(TABLAS!$B$52:$B$58,MIN(MATCH(IF(ISNUMBER(S31),S31,DATOS!$C$135),TABLAS!$B$52:$B$58,0)+0,7)),IF(AND(BG31&gt;0,FLOOR(MIN(BD31,100*INDEX(TABLAS!$D$52:$D$58,MIN(MATCH(IF(ISNUMBER(S31),S31,DATOS!$C$135),TABLAS!$B$52:$B$58,0)+1,7))/MAX(BG31,0.0001)),DATOS!$C$141)&gt;=DATOS!$C$140),INDEX(TABLAS!$B$52:$B$58,MIN(MATCH(IF(ISNUMBER(S31),S31,DATOS!$C$135),TABLAS!$B$52:$B$58,0)+1,7)),IF(AND(BG31&gt;0,FLOOR(MIN(BD31,100*INDEX(TABLAS!$D$52:$D$58,MIN(MATCH(IF(ISNUMBER(S31),S31,DATOS!$C$135),TABLAS!$B$52:$B$58,0)+2,7))/MAX(BG31,0.0001)),DATOS!$C$141)&gt;=DATOS!$C$140),INDEX(TABLAS!$B$52:$B$58,MIN(MATCH(IF(ISNUMBER(S31),S31,DATOS!$C$135),TABLAS!$B$52:$B$58,0)+2,7)),IF(AND(BG31&gt;0,FLOOR(MIN(BD31,100*INDEX(TABLAS!$D$52:$D$58,MIN(MATCH(IF(ISNUMBER(S31),S31,DATOS!$C$135),TABLAS!$B$52:$B$58,0)+3,7))/MAX(BG31,0.0001)),DATOS!$C$141)&gt;=DATOS!$C$140),INDEX(TABLAS!$B$52:$B$58,MIN(MATCH(IF(ISNUMBER(S31),S31,DATOS!$C$135),TABLAS!$B$52:$B$58,0)+3,7)),IF(AND(BG31&gt;0,FLOOR(MIN(BD31,100*INDEX(TABLAS!$D$52:$D$58,MIN(MATCH(IF(ISNUMBER(S31),S31,DATOS!$C$135),TABLAS!$B$52:$B$58,0)+4,7))/MAX(BG31,0.0001)),DATOS!$C$141)&gt;=DATOS!$C$140),INDEX(TABLAS!$B$52:$B$58,MIN(MATCH(IF(ISNUMBER(S31),S31,DATOS!$C$135),TABLAS!$B$52:$B$58,0)+4,7)),INDEX(TABLAS!$B$52:$B$58,7)))))))</f>
        <v/>
      </c>
      <c r="BI31" s="71" t="str">
        <f>IF(V31&lt;&gt;"SÍ","",IF(BG31&lt;=0,0,FLOOR(MIN(BD31,100*INDEX(TABLAS!$D$52:$D$58,MATCH(BH31,TABLAS!$B$52:$B$58,0))/BG31),DATOS!$C$141)))</f>
        <v/>
      </c>
      <c r="BJ31" s="58" t="str">
        <f>IF(V31&lt;&gt;"SÍ","",IF(BI31&lt;=0,0,INDEX(TABLAS!$D$52:$D$58,MATCH(BH31,TABLAS!$B$52:$B$58,0))*100/BI31))</f>
        <v/>
      </c>
      <c r="BK31" s="58" t="str">
        <f>IF(V31&lt;&gt;"SÍ","",W31-AE31-INDEX(TABLAS!$C$52:$C$58,MATCH(BH31,TABLAS!$B$52:$B$58,0))/2)</f>
        <v/>
      </c>
      <c r="BL31" s="56" t="str">
        <f>IF(V31&lt;&gt;"SÍ","",IF(BJ31=0,0,DATOS!$C$29*BJ31*DATOS!$C$14*(BK31-BJ31*DATOS!$C$14/(DATOS!$C$21*100)/2)/1E5))</f>
        <v/>
      </c>
      <c r="BM31" s="65" t="str">
        <f>IF(V31&lt;&gt;"SÍ","",IF(BG31&lt;0,9.99,IF(BL31&gt;0,AX31/BL31,0)))</f>
        <v/>
      </c>
      <c r="BN31" s="66" t="str">
        <f>IF(V31&lt;&gt;"SÍ","",IF(BJ31=0,"—",0.003*(BK31-(BJ31*DATOS!$C$14/(DATOS!$C$21*100)/DATOS!$C$22))/(BJ31*DATOS!$C$14/(DATOS!$C$21*100)/DATOS!$C$22)))</f>
        <v/>
      </c>
      <c r="BO31" s="58" t="str">
        <f>IF(V31&lt;&gt;"SÍ","",((W31-AF31-INDEX(TABLAS!$C$52:$C$58,MATCH(IF(ISNUMBER(S31),S31,DATOS!$C$135),TABLAS!$B$52:$B$58,0))/2)-IF(AND((W31-AF31-INDEX(TABLAS!$C$52:$C$58,MATCH(IF(ISNUMBER(S31),S31,DATOS!$C$135),TABLAS!$B$52:$B$58,0))/2)&lt;=20,DATOS!$C$62&lt;&gt;"SÍ"),2,0)))</f>
        <v/>
      </c>
      <c r="BP31" s="58" t="str">
        <f>IF(V31&lt;&gt;"SÍ","",IF(AY31&lt;=0,0,IF((1-2*AY31*1E5/(DATOS!$C$29*100*BO31^2*DATOS!$C$21))&lt;0,-1,IF((1-SQRT((1-2*AY31*1E5/(DATOS!$C$29*100*BO31^2*DATOS!$C$21))))*DATOS!$C$21*100*BO31/DATOS!$C$14&gt;DATOS!$C$99*100*BO31,-1,(1-SQRT((1-2*AY31*1E5/(DATOS!$C$29*100*BO31^2*DATOS!$C$21))))*DATOS!$C$21*100*BO31/DATOS!$C$14))))</f>
        <v/>
      </c>
      <c r="BQ31" s="58" t="str">
        <f>IF(V31&lt;&gt;"SÍ","",IF(BP31&lt;0,-1,MAX(BP31,BC31)))</f>
        <v/>
      </c>
      <c r="BR31" s="64" t="str">
        <f>IF(V31&lt;&gt;"SÍ","",IF(AND(BQ31&gt;0,FLOOR(MIN(BD31,100*INDEX(TABLAS!$D$52:$D$58,MIN(MATCH(IF(ISNUMBER(S31),S31,DATOS!$C$135),TABLAS!$B$52:$B$58,0)+0,7))/MAX(BQ31,0.0001)),DATOS!$C$141)&gt;=DATOS!$C$140),INDEX(TABLAS!$B$52:$B$58,MIN(MATCH(IF(ISNUMBER(S31),S31,DATOS!$C$135),TABLAS!$B$52:$B$58,0)+0,7)),IF(AND(BQ31&gt;0,FLOOR(MIN(BD31,100*INDEX(TABLAS!$D$52:$D$58,MIN(MATCH(IF(ISNUMBER(S31),S31,DATOS!$C$135),TABLAS!$B$52:$B$58,0)+1,7))/MAX(BQ31,0.0001)),DATOS!$C$141)&gt;=DATOS!$C$140),INDEX(TABLAS!$B$52:$B$58,MIN(MATCH(IF(ISNUMBER(S31),S31,DATOS!$C$135),TABLAS!$B$52:$B$58,0)+1,7)),IF(AND(BQ31&gt;0,FLOOR(MIN(BD31,100*INDEX(TABLAS!$D$52:$D$58,MIN(MATCH(IF(ISNUMBER(S31),S31,DATOS!$C$135),TABLAS!$B$52:$B$58,0)+2,7))/MAX(BQ31,0.0001)),DATOS!$C$141)&gt;=DATOS!$C$140),INDEX(TABLAS!$B$52:$B$58,MIN(MATCH(IF(ISNUMBER(S31),S31,DATOS!$C$135),TABLAS!$B$52:$B$58,0)+2,7)),IF(AND(BQ31&gt;0,FLOOR(MIN(BD31,100*INDEX(TABLAS!$D$52:$D$58,MIN(MATCH(IF(ISNUMBER(S31),S31,DATOS!$C$135),TABLAS!$B$52:$B$58,0)+3,7))/MAX(BQ31,0.0001)),DATOS!$C$141)&gt;=DATOS!$C$140),INDEX(TABLAS!$B$52:$B$58,MIN(MATCH(IF(ISNUMBER(S31),S31,DATOS!$C$135),TABLAS!$B$52:$B$58,0)+3,7)),IF(AND(BQ31&gt;0,FLOOR(MIN(BD31,100*INDEX(TABLAS!$D$52:$D$58,MIN(MATCH(IF(ISNUMBER(S31),S31,DATOS!$C$135),TABLAS!$B$52:$B$58,0)+4,7))/MAX(BQ31,0.0001)),DATOS!$C$141)&gt;=DATOS!$C$140),INDEX(TABLAS!$B$52:$B$58,MIN(MATCH(IF(ISNUMBER(S31),S31,DATOS!$C$135),TABLAS!$B$52:$B$58,0)+4,7)),INDEX(TABLAS!$B$52:$B$58,7)))))))</f>
        <v/>
      </c>
      <c r="BS31" s="71" t="str">
        <f>IF(V31&lt;&gt;"SÍ","",IF(BQ31&lt;=0,0,FLOOR(MIN(BD31,100*INDEX(TABLAS!$D$52:$D$58,MATCH(BR31,TABLAS!$B$52:$B$58,0))/BQ31),DATOS!$C$141)))</f>
        <v/>
      </c>
      <c r="BT31" s="58" t="str">
        <f>IF(V31&lt;&gt;"SÍ","",IF(BS31&lt;=0,0,INDEX(TABLAS!$D$52:$D$58,MATCH(BR31,TABLAS!$B$52:$B$58,0))*100/BS31))</f>
        <v/>
      </c>
      <c r="BU31" s="58" t="str">
        <f>IF(V31&lt;&gt;"SÍ","",((W31-AF31-INDEX(TABLAS!$C$52:$C$58,MATCH(BR31,TABLAS!$B$52:$B$58,0))/2)-IF(AND((W31-AF31-INDEX(TABLAS!$C$52:$C$58,MATCH(BR31,TABLAS!$B$52:$B$58,0))/2)&lt;=20,DATOS!$C$62&lt;&gt;"SÍ"),2,0)))</f>
        <v/>
      </c>
      <c r="BV31" s="56" t="str">
        <f>IF(V31&lt;&gt;"SÍ","",IF(BT31=0,0,DATOS!$C$29*BT31*DATOS!$C$14*(BU31-BT31*DATOS!$C$14/(DATOS!$C$21*100)/2)/1E5))</f>
        <v/>
      </c>
      <c r="BW31" s="65" t="str">
        <f>IF(V31&lt;&gt;"SÍ","",IF(BQ31&lt;0,9.99,IF(BV31&gt;0,AY31/BV31,0)))</f>
        <v/>
      </c>
      <c r="BX31" s="66" t="str">
        <f>IF(V31&lt;&gt;"SÍ","",IF(BT31=0,"—",0.003*(BU31-(BT31*DATOS!$C$14/(DATOS!$C$21*100)/DATOS!$C$22))/(BT31*DATOS!$C$14/(DATOS!$C$21*100)/DATOS!$C$22)))</f>
        <v/>
      </c>
      <c r="BY31" s="58" t="str">
        <f>IF(V31&lt;&gt;"SÍ","",(W31-AE31-1.5*INDEX(TABLAS!$C$52:$C$58,MATCH(IF(ISNUMBER(S31),S31,DATOS!$C$135),TABLAS!$B$52:$B$58,0))))</f>
        <v/>
      </c>
      <c r="BZ31" s="58" t="str">
        <f>IF(V31&lt;&gt;"SÍ","",IF(AZ31&lt;=0,0,IF((1-2*AZ31*1E5/(DATOS!$C$29*100*BY31^2*DATOS!$C$21))&lt;0,-1,IF((1-SQRT((1-2*AZ31*1E5/(DATOS!$C$29*100*BY31^2*DATOS!$C$21))))*DATOS!$C$21*100*BY31/DATOS!$C$14&gt;DATOS!$C$99*100*BY31,-1,(1-SQRT((1-2*AZ31*1E5/(DATOS!$C$29*100*BY31^2*DATOS!$C$21))))*DATOS!$C$21*100*BY31/DATOS!$C$14))))</f>
        <v/>
      </c>
      <c r="CA31" s="58" t="str">
        <f>IF(V31&lt;&gt;"SÍ","",IF(BZ31&lt;0,-1,MAX(BZ31,BC31)))</f>
        <v/>
      </c>
      <c r="CB31" s="64" t="str">
        <f>IF(V31&lt;&gt;"SÍ","",IF(AND(CA31&gt;0,FLOOR(MIN(BD31,100*INDEX(TABLAS!$D$52:$D$58,MIN(MATCH(IF(ISNUMBER(S31),S31,DATOS!$C$135),TABLAS!$B$52:$B$58,0)+0,7))/MAX(CA31,0.0001)),DATOS!$C$141)&gt;=DATOS!$C$140),INDEX(TABLAS!$B$52:$B$58,MIN(MATCH(IF(ISNUMBER(S31),S31,DATOS!$C$135),TABLAS!$B$52:$B$58,0)+0,7)),IF(AND(CA31&gt;0,FLOOR(MIN(BD31,100*INDEX(TABLAS!$D$52:$D$58,MIN(MATCH(IF(ISNUMBER(S31),S31,DATOS!$C$135),TABLAS!$B$52:$B$58,0)+1,7))/MAX(CA31,0.0001)),DATOS!$C$141)&gt;=DATOS!$C$140),INDEX(TABLAS!$B$52:$B$58,MIN(MATCH(IF(ISNUMBER(S31),S31,DATOS!$C$135),TABLAS!$B$52:$B$58,0)+1,7)),IF(AND(CA31&gt;0,FLOOR(MIN(BD31,100*INDEX(TABLAS!$D$52:$D$58,MIN(MATCH(IF(ISNUMBER(S31),S31,DATOS!$C$135),TABLAS!$B$52:$B$58,0)+2,7))/MAX(CA31,0.0001)),DATOS!$C$141)&gt;=DATOS!$C$140),INDEX(TABLAS!$B$52:$B$58,MIN(MATCH(IF(ISNUMBER(S31),S31,DATOS!$C$135),TABLAS!$B$52:$B$58,0)+2,7)),IF(AND(CA31&gt;0,FLOOR(MIN(BD31,100*INDEX(TABLAS!$D$52:$D$58,MIN(MATCH(IF(ISNUMBER(S31),S31,DATOS!$C$135),TABLAS!$B$52:$B$58,0)+3,7))/MAX(CA31,0.0001)),DATOS!$C$141)&gt;=DATOS!$C$140),INDEX(TABLAS!$B$52:$B$58,MIN(MATCH(IF(ISNUMBER(S31),S31,DATOS!$C$135),TABLAS!$B$52:$B$58,0)+3,7)),IF(AND(CA31&gt;0,FLOOR(MIN(BD31,100*INDEX(TABLAS!$D$52:$D$58,MIN(MATCH(IF(ISNUMBER(S31),S31,DATOS!$C$135),TABLAS!$B$52:$B$58,0)+4,7))/MAX(CA31,0.0001)),DATOS!$C$141)&gt;=DATOS!$C$140),INDEX(TABLAS!$B$52:$B$58,MIN(MATCH(IF(ISNUMBER(S31),S31,DATOS!$C$135),TABLAS!$B$52:$B$58,0)+4,7)),INDEX(TABLAS!$B$52:$B$58,7)))))))</f>
        <v/>
      </c>
      <c r="CC31" s="71" t="str">
        <f>IF(V31&lt;&gt;"SÍ","",IF(CA31&lt;=0,0,FLOOR(MIN(BD31,100*INDEX(TABLAS!$D$52:$D$58,MATCH(CB31,TABLAS!$B$52:$B$58,0))/CA31),DATOS!$C$141)))</f>
        <v/>
      </c>
      <c r="CD31" s="58" t="str">
        <f>IF(V31&lt;&gt;"SÍ","",IF(CC31&lt;=0,0,INDEX(TABLAS!$D$52:$D$58,MATCH(CB31,TABLAS!$B$52:$B$58,0))*100/CC31))</f>
        <v/>
      </c>
      <c r="CE31" s="58" t="str">
        <f>IF(V31&lt;&gt;"SÍ","",W31-AE31-INDEX(TABLAS!$C$52:$C$58,MATCH(BH31,TABLAS!$B$52:$B$58,0))-INDEX(TABLAS!$C$52:$C$58,MATCH(CB31,TABLAS!$B$52:$B$58,0))/2)</f>
        <v/>
      </c>
      <c r="CF31" s="56" t="str">
        <f>IF(V31&lt;&gt;"SÍ","",IF(CD31=0,0,DATOS!$C$29*CD31*DATOS!$C$14*(CE31-CD31*DATOS!$C$14/(DATOS!$C$21*100)/2)/1E5))</f>
        <v/>
      </c>
      <c r="CG31" s="65" t="str">
        <f>IF(V31&lt;&gt;"SÍ","",IF(CA31&lt;0,9.99,IF(CF31&gt;0,AZ31/CF31,0)))</f>
        <v/>
      </c>
      <c r="CH31" s="66" t="str">
        <f>IF(V31&lt;&gt;"SÍ","",IF(CD31=0,"—",0.003*(CE31-(CD31*DATOS!$C$14/(DATOS!$C$21*100)/DATOS!$C$22))/(CD31*DATOS!$C$14/(DATOS!$C$21*100)/DATOS!$C$22)))</f>
        <v/>
      </c>
      <c r="CI31" s="58" t="str">
        <f>IF(V31&lt;&gt;"SÍ","",((W31-AF31-1.5*INDEX(TABLAS!$C$52:$C$58,MATCH(IF(ISNUMBER(S31),S31,DATOS!$C$135),TABLAS!$B$52:$B$58,0)))-IF(AND((W31-AF31-1.5*INDEX(TABLAS!$C$52:$C$58,MATCH(IF(ISNUMBER(S31),S31,DATOS!$C$135),TABLAS!$B$52:$B$58,0)))&lt;=20,DATOS!$C$62&lt;&gt;"SÍ"),2,0)))</f>
        <v/>
      </c>
      <c r="CJ31" s="58" t="str">
        <f>IF(V31&lt;&gt;"SÍ","",IF(BA31&lt;=0,0,IF((1-2*BA31*1E5/(DATOS!$C$29*100*CI31^2*DATOS!$C$21))&lt;0,-1,IF((1-SQRT((1-2*BA31*1E5/(DATOS!$C$29*100*CI31^2*DATOS!$C$21))))*DATOS!$C$21*100*CI31/DATOS!$C$14&gt;DATOS!$C$99*100*CI31,-1,(1-SQRT((1-2*BA31*1E5/(DATOS!$C$29*100*CI31^2*DATOS!$C$21))))*DATOS!$C$21*100*CI31/DATOS!$C$14))))</f>
        <v/>
      </c>
      <c r="CK31" s="58" t="str">
        <f>IF(V31&lt;&gt;"SÍ","",IF(CJ31&lt;0,-1,MAX(CJ31,BC31)))</f>
        <v/>
      </c>
      <c r="CL31" s="64" t="str">
        <f>IF(V31&lt;&gt;"SÍ","",IF(AND(CK31&gt;0,FLOOR(MIN(BD31,100*INDEX(TABLAS!$D$52:$D$58,MIN(MATCH(IF(ISNUMBER(S31),S31,DATOS!$C$135),TABLAS!$B$52:$B$58,0)+0,7))/MAX(CK31,0.0001)),DATOS!$C$141)&gt;=DATOS!$C$140),INDEX(TABLAS!$B$52:$B$58,MIN(MATCH(IF(ISNUMBER(S31),S31,DATOS!$C$135),TABLAS!$B$52:$B$58,0)+0,7)),IF(AND(CK31&gt;0,FLOOR(MIN(BD31,100*INDEX(TABLAS!$D$52:$D$58,MIN(MATCH(IF(ISNUMBER(S31),S31,DATOS!$C$135),TABLAS!$B$52:$B$58,0)+1,7))/MAX(CK31,0.0001)),DATOS!$C$141)&gt;=DATOS!$C$140),INDEX(TABLAS!$B$52:$B$58,MIN(MATCH(IF(ISNUMBER(S31),S31,DATOS!$C$135),TABLAS!$B$52:$B$58,0)+1,7)),IF(AND(CK31&gt;0,FLOOR(MIN(BD31,100*INDEX(TABLAS!$D$52:$D$58,MIN(MATCH(IF(ISNUMBER(S31),S31,DATOS!$C$135),TABLAS!$B$52:$B$58,0)+2,7))/MAX(CK31,0.0001)),DATOS!$C$141)&gt;=DATOS!$C$140),INDEX(TABLAS!$B$52:$B$58,MIN(MATCH(IF(ISNUMBER(S31),S31,DATOS!$C$135),TABLAS!$B$52:$B$58,0)+2,7)),IF(AND(CK31&gt;0,FLOOR(MIN(BD31,100*INDEX(TABLAS!$D$52:$D$58,MIN(MATCH(IF(ISNUMBER(S31),S31,DATOS!$C$135),TABLAS!$B$52:$B$58,0)+3,7))/MAX(CK31,0.0001)),DATOS!$C$141)&gt;=DATOS!$C$140),INDEX(TABLAS!$B$52:$B$58,MIN(MATCH(IF(ISNUMBER(S31),S31,DATOS!$C$135),TABLAS!$B$52:$B$58,0)+3,7)),IF(AND(CK31&gt;0,FLOOR(MIN(BD31,100*INDEX(TABLAS!$D$52:$D$58,MIN(MATCH(IF(ISNUMBER(S31),S31,DATOS!$C$135),TABLAS!$B$52:$B$58,0)+4,7))/MAX(CK31,0.0001)),DATOS!$C$141)&gt;=DATOS!$C$140),INDEX(TABLAS!$B$52:$B$58,MIN(MATCH(IF(ISNUMBER(S31),S31,DATOS!$C$135),TABLAS!$B$52:$B$58,0)+4,7)),INDEX(TABLAS!$B$52:$B$58,7)))))))</f>
        <v/>
      </c>
      <c r="CM31" s="71" t="str">
        <f>IF(V31&lt;&gt;"SÍ","",IF(CK31&lt;=0,0,FLOOR(MIN(BD31,100*INDEX(TABLAS!$D$52:$D$58,MATCH(CL31,TABLAS!$B$52:$B$58,0))/CK31),DATOS!$C$141)))</f>
        <v/>
      </c>
      <c r="CN31" s="58" t="str">
        <f>IF(V31&lt;&gt;"SÍ","",IF(CM31&lt;=0,0,INDEX(TABLAS!$D$52:$D$58,MATCH(CL31,TABLAS!$B$52:$B$58,0))*100/CM31))</f>
        <v/>
      </c>
      <c r="CO31" s="58" t="str">
        <f>IF(V31&lt;&gt;"SÍ","",((W31-AF31-INDEX(TABLAS!$C$52:$C$58,MATCH(BR31,TABLAS!$B$52:$B$58,0))-INDEX(TABLAS!$C$52:$C$58,MATCH(CL31,TABLAS!$B$52:$B$58,0))/2)-IF(AND((W31-AF31-INDEX(TABLAS!$C$52:$C$58,MATCH(BR31,TABLAS!$B$52:$B$58,0))-INDEX(TABLAS!$C$52:$C$58,MATCH(CL31,TABLAS!$B$52:$B$58,0))/2)&lt;=20,DATOS!$C$62&lt;&gt;"SÍ"),2,0)))</f>
        <v/>
      </c>
      <c r="CP31" s="56" t="str">
        <f>IF(V31&lt;&gt;"SÍ","",IF(CN31=0,0,DATOS!$C$29*CN31*DATOS!$C$14*(CO31-CN31*DATOS!$C$14/(DATOS!$C$21*100)/2)/1E5))</f>
        <v/>
      </c>
      <c r="CQ31" s="65" t="str">
        <f>IF(V31&lt;&gt;"SÍ","",IF(CK31&lt;0,9.99,IF(CP31&gt;0,BA31/CP31,0)))</f>
        <v/>
      </c>
      <c r="CR31" s="66" t="str">
        <f>IF(V31&lt;&gt;"SÍ","",IF(CN31=0,"—",0.003*(CO31-(CN31*DATOS!$C$14/(DATOS!$C$21*100)/DATOS!$C$22))/(CN31*DATOS!$C$14/(DATOS!$C$21*100)/DATOS!$C$22)))</f>
        <v/>
      </c>
      <c r="CS31" s="56" t="str">
        <f>IF(V31&lt;&gt;"SÍ","",IF(C31="PERIMETRAL",MAX(0,(AC31/2-BU31)/100)*(0.95-0.5*AB31)*AK31*IF(AND(AL31&gt;0,AL31&lt;4),DATOS!$C$33,1)/1000,(AK31*MAX(0,AC31-BU31)/100+DATOS!$C$26*N(P31))/1000))</f>
        <v/>
      </c>
      <c r="CT31" s="66" t="str">
        <f>IF(V31&lt;&gt;"SÍ","",BT31/(100*BU31))</f>
        <v/>
      </c>
      <c r="CU31" s="56" t="str">
        <f>IF(V31&lt;&gt;"SÍ","",DATOS!$C$30*2*MIN(1,SQRT(2/(1+0.04*BU31)))*CT31^(1/3)*SQRT(DATOS!$C$13)*100*BU31/1000)</f>
        <v/>
      </c>
      <c r="CV31" s="67" t="str">
        <f>IF(V31&lt;&gt;"SÍ","",IF(CS31&lt;=CU31,"CUMPLE","NO CUMPLE: sube h"))</f>
        <v/>
      </c>
      <c r="CW31" s="58" t="str">
        <f>IF(V31&lt;&gt;"SÍ","",IF(C31="PERIMETRAL",IF(ISNUMBER(R31),R31,DATOS!$C$101),0))</f>
        <v/>
      </c>
      <c r="CX31" s="57" t="str">
        <f>IF(V31&lt;&gt;"SÍ","",IF(C31="PERIMETRAL",IF(CW31&gt;2,MAX(9,AD31*(0.8+DATOS!$C$14/14000)/(36+9*(AD31/MAX(AC31,1)))),IF(CW31&gt;0.2,MAX(13,AD31*(0.8+DATOS!$C$14/14000)/(36+5*(AD31/MAX(AC31,1))*(CW31-0.2))),MAX(13,AD31/IF(AL31&gt;0,30,33))))*IF(AND(CW31&gt;0.2,AL31&gt;0,DATOS!$C$102="NO"),1.1,1),Z31*100/DATOS!$C$142))</f>
        <v/>
      </c>
      <c r="CY31" s="61" t="str">
        <f>IF(V31&lt;&gt;"SÍ","",IF(W31&gt;=CX31-0.001,"CUMPLE",IF(C31="VOLADO","NO CUMPLE","CALCULAR FLECHA")))</f>
        <v/>
      </c>
      <c r="CZ31" s="60" t="str">
        <f>IF(V31&lt;&gt;"SÍ","",IF(C31="VOLADO",MIN(CEILING(IF(ISNUMBER(Q31),Q31,Z31)*100,5),CEILING(MAX(IF((0.5*(0.9*W31/100*DATOS!$C$16)*IF(ISNUMBER(Q31),Q31,Z31)+AY31/IF(ISNUMBER(Q31),Q31,Z31))^2-4*(0.5*(0.9*W31/100*DATOS!$C$16))*AY31&lt;0,IF(ISNUMBER(Q31),Q31,Z31),MIN(IF(ISNUMBER(Q31),Q31,Z31),((0.5*(0.9*W31/100*DATOS!$C$16)*IF(ISNUMBER(Q31),Q31,Z31)+AY31/IF(ISNUMBER(Q31),Q31,Z31))-SQRT((0.5*(0.9*W31/100*DATOS!$C$16)*IF(ISNUMBER(Q31),Q31,Z31)+AY31/IF(ISNUMBER(Q31),Q31,Z31))^2-4*(0.5*(0.9*W31/100*DATOS!$C$16))*AY31))/(2*(0.5*(0.9*W31/100*DATOS!$C$16)))))*100+MAX(BU31,12*INDEX(TABLAS!$C$52:$C$58,MATCH(BR31,TABLAS!$B$52:$B$58,0)),IF(ISNUMBER(Q31),Q31,Z31)*100/16),IF(OR(AF31&lt;INDEX(TABLAS!$C$52:$C$58,MATCH(BR31,TABLAS!$B$52:$B$58,0)),BS31-INDEX(TABLAS!$C$52:$C$58,MATCH(BR31,TABLAS!$B$52:$B$58,0))&lt;2*INDEX(TABLAS!$C$52:$C$58,MATCH(BR31,TABLAS!$B$52:$B$58,0))),INDEX(TABLAS!$I$52:$I$58,MATCH(BR31,TABLAS!$B$52:$B$58,0)),INDEX(TABLAS!$F$52:$F$58,MATCH(BR31,TABLAS!$B$52:$B$58,0)))),5)),IF(((4*((AV31*AK31*Z31^2*1E-4/1000)+((MAX(AR31,AT31)*AK31*Z31^2*1E-4/1000)+(IF(AND(AR31&gt;0,AT31&gt;0),MIN(AR31,AT31),MAX(AR31,AT31))*AK31*Z31^2*1E-4/1000))/2)+AY31-(IF(AND(AR31&gt;0,AT31&gt;0),MIN(AR31,AT31),MAX(AR31,AT31))*AK31*Z31^2*1E-4/1000))^2-16*((AV31*AK31*Z31^2*1E-4/1000)+((MAX(AR31,AT31)*AK31*Z31^2*1E-4/1000)+(IF(AND(AR31&gt;0,AT31&gt;0),MIN(AR31,AT31),MAX(AR31,AT31))*AK31*Z31^2*1E-4/1000))/2)*AY31)&lt;0,CEILING(AC31,5),CEILING(MAX(AC31*((4*((AV31*AK31*Z31^2*1E-4/1000)+((MAX(AR31,AT31)*AK31*Z31^2*1E-4/1000)+(IF(AND(AR31&gt;0,AT31&gt;0),MIN(AR31,AT31),MAX(AR31,AT31))*AK31*Z31^2*1E-4/1000))/2)+AY31-(IF(AND(AR31&gt;0,AT31&gt;0),MIN(AR31,AT31),MAX(AR31,AT31))*AK31*Z31^2*1E-4/1000))-SQRT(MAX(0,((4*((AV31*AK31*Z31^2*1E-4/1000)+((MAX(AR31,AT31)*AK31*Z31^2*1E-4/1000)+(IF(AND(AR31&gt;0,AT31&gt;0),MIN(AR31,AT31),MAX(AR31,AT31))*AK31*Z31^2*1E-4/1000))/2)+AY31-(IF(AND(AR31&gt;0,AT31&gt;0),MIN(AR31,AT31),MAX(AR31,AT31))*AK31*Z31^2*1E-4/1000))^2-16*((AV31*AK31*Z31^2*1E-4/1000)+((MAX(AR31,AT31)*AK31*Z31^2*1E-4/1000)+(IF(AND(AR31&gt;0,AT31&gt;0),MIN(AR31,AT31),MAX(AR31,AT31))*AK31*Z31^2*1E-4/1000))/2)*AY31))))/(8*MAX(((AV31*AK31*Z31^2*1E-4/1000)+((MAX(AR31,AT31)*AK31*Z31^2*1E-4/1000)+(IF(AND(AR31&gt;0,AT31&gt;0),MIN(AR31,AT31),MAX(AR31,AT31))*AK31*Z31^2*1E-4/1000))/2),1E-9))+MAX(BU31,12*INDEX(TABLAS!$C$52:$C$58,MATCH(BR31,TABLAS!$B$52:$B$58,0)),AC31/16),IF(OR(AF31&lt;INDEX(TABLAS!$C$52:$C$58,MATCH(BR31,TABLAS!$B$52:$B$58,0)),BS31-INDEX(TABLAS!$C$52:$C$58,MATCH(BR31,TABLAS!$B$52:$B$58,0))&lt;2*INDEX(TABLAS!$C$52:$C$58,MATCH(BR31,TABLAS!$B$52:$B$58,0))),INDEX(TABLAS!$I$52:$I$58,MATCH(BR31,TABLAS!$B$52:$B$58,0)),INDEX(TABLAS!$F$52:$F$58,MATCH(BR31,TABLAS!$B$52:$B$58,0)))),5))))</f>
        <v/>
      </c>
      <c r="DA31" s="60" t="str">
        <f>IF(V31&lt;&gt;"SÍ","",IF(C31="VOLADO",0,IF(((4*((AW31*AK31*Z31^2*1E-4/1000)+((MAX(AS31,AU31)*AK31*Z31^2*1E-4/1000)+(IF(AND(AS31&gt;0,AU31&gt;0),MIN(AS31,AU31),MAX(AS31,AU31))*AK31*Z31^2*1E-4/1000))/2)+BA31-(IF(AND(AS31&gt;0,AU31&gt;0),MIN(AS31,AU31),MAX(AS31,AU31))*AK31*Z31^2*1E-4/1000))^2-16*((AW31*AK31*Z31^2*1E-4/1000)+((MAX(AS31,AU31)*AK31*Z31^2*1E-4/1000)+(IF(AND(AS31&gt;0,AU31&gt;0),MIN(AS31,AU31),MAX(AS31,AU31))*AK31*Z31^2*1E-4/1000))/2)*BA31)&lt;0,CEILING(AD31,5),CEILING(MAX(AD31*((4*((AW31*AK31*Z31^2*1E-4/1000)+((MAX(AS31,AU31)*AK31*Z31^2*1E-4/1000)+(IF(AND(AS31&gt;0,AU31&gt;0),MIN(AS31,AU31),MAX(AS31,AU31))*AK31*Z31^2*1E-4/1000))/2)+BA31-(IF(AND(AS31&gt;0,AU31&gt;0),MIN(AS31,AU31),MAX(AS31,AU31))*AK31*Z31^2*1E-4/1000))-SQRT(MAX(0,((4*((AW31*AK31*Z31^2*1E-4/1000)+((MAX(AS31,AU31)*AK31*Z31^2*1E-4/1000)+(IF(AND(AS31&gt;0,AU31&gt;0),MIN(AS31,AU31),MAX(AS31,AU31))*AK31*Z31^2*1E-4/1000))/2)+BA31-(IF(AND(AS31&gt;0,AU31&gt;0),MIN(AS31,AU31),MAX(AS31,AU31))*AK31*Z31^2*1E-4/1000))^2-16*((AW31*AK31*Z31^2*1E-4/1000)+((MAX(AS31,AU31)*AK31*Z31^2*1E-4/1000)+(IF(AND(AS31&gt;0,AU31&gt;0),MIN(AS31,AU31),MAX(AS31,AU31))*AK31*Z31^2*1E-4/1000))/2)*BA31))))/(8*MAX(((AW31*AK31*Z31^2*1E-4/1000)+((MAX(AS31,AU31)*AK31*Z31^2*1E-4/1000)+(IF(AND(AS31&gt;0,AU31&gt;0),MIN(AS31,AU31),MAX(AS31,AU31))*AK31*Z31^2*1E-4/1000))/2),1E-9))+MAX(CO31,12*INDEX(TABLAS!$C$52:$C$58,MATCH(CL31,TABLAS!$B$52:$B$58,0)),AD31/16),IF(OR(AF31&lt;INDEX(TABLAS!$C$52:$C$58,MATCH(CL31,TABLAS!$B$52:$B$58,0)),CM31-INDEX(TABLAS!$C$52:$C$58,MATCH(CL31,TABLAS!$B$52:$B$58,0))&lt;2*INDEX(TABLAS!$C$52:$C$58,MATCH(CL31,TABLAS!$B$52:$B$58,0))),INDEX(TABLAS!$I$52:$I$58,MATCH(CL31,TABLAS!$B$52:$B$58,0)),INDEX(TABLAS!$F$52:$F$58,MATCH(CL31,TABLAS!$B$52:$B$58,0)))),5))))</f>
        <v/>
      </c>
      <c r="DB31" s="55" t="str">
        <f>IF(V31&lt;&gt;"SÍ","",IF(AND(C31="PERIMETRAL",AL31-AM31&gt;0,AT31&gt;0),"SÍ","NO"))</f>
        <v/>
      </c>
      <c r="DC31" s="55" t="str">
        <f>IF(V31&lt;&gt;"SÍ","",IF(AND(C31="PERIMETRAL",AM31&gt;0,AU31&gt;0),"SÍ","NO"))</f>
        <v/>
      </c>
      <c r="DD31" s="63" t="str">
        <f>IF(V31&lt;&gt;"SÍ","",IF(OR(C31="VOLADO",AL31=0),"—",IF(AND(AND(INDEX(TABLAS!$G$52:$G$58,MATCH(MAX(BR31,CL31),TABLAS!$B$52:$B$58,0))&lt;=(DATOS!$C$72-DATOS!$C$60),(DATOS!$C$72-DATOS!$C$60)&gt;=15),8*INDEX(TABLAS!$C$52:$C$58,MATCH(MAX(BH31,CB31,BR31,CL31),TABLAS!$B$52:$B$58,0))&lt;=DATOS!$C$73-2*DATOS!$C$60),"CUMPLE (gancho de 180°)",IF(AND(INDEX(TABLAS!$G$52:$G$58,MATCH(MAX(BR31,CL31),TABLAS!$B$52:$B$58,0))&lt;=(DATOS!$C$72-DATOS!$C$60),(DATOS!$C$72-DATOS!$C$60)&gt;=15),"NO CUMPLE: el gancho de 180° (8·d_b) no cabe en el peralte de la dala de borde","NO CUMPLE: dala de borde ≥ "&amp;TEXT(CEILING(MAX(INDEX(TABLAS!$G$52:$G$58,MATCH(MAX(BR31,CL31),TABLAS!$B$52:$B$58,0)),15)+DATOS!$C$60,5),"0")&amp;" cm de ancho"&amp;IF(8*INDEX(TABLAS!$C$52:$C$58,MATCH(MAX(BH31,CB31,BR31,CL31),TABLAS!$B$52:$B$58,0))&lt;=DATOS!$C$73-2*DATOS!$C$60,""," y más peralte para el gancho")))))</f>
        <v/>
      </c>
      <c r="DE31" s="69" t="str">
        <f>IF(V31&lt;&gt;"SÍ","",IF(BI31=0,"NO ALCANZA","No. "&amp;BH31&amp;" @ "&amp;BI31&amp;" cm"&amp;IF(C31="VOLADO"," (temperatura)","")))</f>
        <v/>
      </c>
      <c r="DF31" s="69" t="str">
        <f>IF(V31&lt;&gt;"SÍ","",IF(BS31=0,"NO ALCANZA",IF(C31="VOLADO","No. "&amp;BR31&amp;" @ "&amp;BS31&amp;" cm"&amp;" de la orilla al respaldo ("&amp;IF(CZ31&gt;=100*IF(ISNUMBER(Q31),Q31,Z31),"hasta su apoyo lejano, con gancho","entran "&amp;TEXT(CZ31/100,"0.00")&amp;" m desde el paño")&amp;")","Bastones "&amp;"No. "&amp;BR31&amp;" @ "&amp;BS31&amp;" cm"&amp;", L = "&amp;TEXT(CZ31/100,"0.00")&amp;" m desde el paño")))</f>
        <v/>
      </c>
      <c r="DG31" s="69" t="str">
        <f>IF(V31&lt;&gt;"SÍ","",IF(CC31=0,"NO ALCANZA","No. "&amp;CB31&amp;" @ "&amp;CC31&amp;" cm"&amp;IF(C31="VOLADO"," (repartición)","")))</f>
        <v/>
      </c>
      <c r="DH31" s="69" t="str">
        <f>IF(V31&lt;&gt;"SÍ","",IF(CM31=0,"NO ALCANZA",IF(C31="VOLADO","No. "&amp;CL31&amp;" @ "&amp;CM31&amp;" cm"&amp;" (repartición)","Bastones "&amp;"No. "&amp;CL31&amp;" @ "&amp;CM31&amp;" cm"&amp;", L = "&amp;TEXT(DA31/100,"0.00")&amp;" m desde el paño")))</f>
        <v/>
      </c>
      <c r="DI31" s="67" t="str">
        <f>IF(B31="","",IF(V31&lt;&gt;"SÍ","FALTAN DATOS: tipo, a_x, a_y y destino",IF(L31="NO MONOLÍTICO (caso II)","FUERA DE ALCANCE: caso II no transcrito",IF(AND(C31="VOLADO",X31="?"),"REVISAR: el volado lleva UN solo borde CONTINUO (el empotrado)",IF(AND(MAX(BM31,BW31,CG31,CQ31)&lt;=1,NOT(OR(BI31&lt;DATOS!$C$140,BS31&lt;DATOS!$C$140,CC31&lt;DATOS!$C$140,CM31&lt;DATOS!$C$140)),NOT(OR(AND(ISNUMBER(BN31),BN31&lt;0.005),AND(ISNUMBER(BX31),BX31&lt;0.005),AND(ISNUMBER(CH31),CH31&lt;0.005),AND(ISNUMBER(CR31),CR31&lt;0.005))),CV31="CUMPLE",CY31="CUMPLE"),"CUMPLE"&amp;IF(LEFT(BB31,5)="FUERA"," · fuera de 3.4.2.1 c)","")&amp;IF(LEFT(DD31,2)="NO"," · REVISAR anclaje en borde discontinuo",""),IF(AND(MAX(BM31,BW31,CG31,CQ31)&lt;=1,NOT(OR(BI31&lt;DATOS!$C$140,BS31&lt;DATOS!$C$140,CC31&lt;DATOS!$C$140,CM31&lt;DATOS!$C$140)),NOT(OR(AND(ISNUMBER(BN31),BN31&lt;0.005),AND(ISNUMBER(BX31),BX31&lt;0.005),AND(ISNUMBER(CH31),CH31&lt;0.005),AND(ISNUMBER(CR31),CR31&lt;0.005))),CV31="CUMPLE",CY31="CALCULAR FLECHA"),"REVISAR: calcular flecha (h &lt; h mín.)"&amp;IF(LEFT(BB31,5)="FUERA"," · fuera de 3.4.2.1 c)","")&amp;IF(LEFT(DD31,2)="NO"," · REVISAR anclaje en borde discontinuo",""),"NO CUMPLE: "&amp;IF(MAX(BM31,BW31,CG31,CQ31)&gt;1,"flexión ","")&amp;IF(OR(BI31&lt;DATOS!$C$140,BS31&lt;DATOS!$C$140,CC31&lt;DATOS!$C$140,CM31&lt;DATOS!$C$140),"separación &lt; mínima ","")&amp;IF(OR(AND(ISNUMBER(BN31),BN31&lt;0.005),AND(ISNUMBER(BX31),BX31&lt;0.005),AND(ISNUMBER(CH31),CH31&lt;0.005),AND(ISNUMBER(CR31),CR31&lt;0.005)),"ε_t &lt; 0.005 ","")&amp;IF(CV31&lt;&gt;"CUMPLE","cortante ","")&amp;IF(CY31="NO CUMPLE","peralte","")))))))</f>
        <v/>
      </c>
      <c r="DJ31" s="70" t="str">
        <f>IF(V31&lt;&gt;"SÍ","",IF(LEFT(B31,7)="EJEMPLO","EJEMPLO de tablero típico: bórralo o sobrescríbelo. ","")&amp;IF(C31="VOLADO","Volado de "&amp;TEXT(Z31,"0.00")&amp;" m empotrado en el borde "&amp;LOWER(X31)&amp;IF(N(P31)&gt;0,", con "&amp;TEXT(P31,"0.0")&amp;" kg/m en la orilla","")&amp;". Lecho inferior con r_ext. Si la orilla carga pretil u otro elemento frágil, calcula la flecha (13.4). El acero superior entra al respaldo de "&amp;TEXT(IF(ISNUMBER(Q31),Q31,Z31),"0.00")&amp;" m"&amp;IF(ISNUMBER(Q31),""," (L_b no capturado: se tomó igual al volado)")&amp;" hasta pasar M = 0 con 0.9·PP sin carga viva; si ahí no se anula, llega al apoyo lejano y se ancla con gancho. ","")&amp;IF(LEFT(BB31,5)="FUERA","El M⁻ del vecino difiere más de 50 % (3.4.2.1 c): distribuye el desequilibrio (3.4.3.1) o confirma con un modelo; se arma con el mayor. ","")&amp;IF(OR(DB31="SÍ",DC31="SÍ"),"Bastones también en los bordes discontinuos (M⁻ de tabla), con gancho. ","")&amp;IF(LEFT(DD31,2)="NO","Anclaje: "&amp;DD31&amp;" (6.7.7.4.1.1). ","")&amp;IF(OR(AT31&gt;0,AU31&gt;0),"Esquinas exteriores sobre muro: refuerzo de esquina arriba y abajo en L_largo/5 (6.7.7.3.1). ",""))</f>
        <v/>
      </c>
    </row>
    <row r="32" ht="33" customHeight="1">
      <c r="A32" s="50">
        <f>IF(B32="",0,1)+A31</f>
        <v>3</v>
      </c>
      <c r="B32" s="29" t="n"/>
      <c r="C32" s="51" t="n"/>
      <c r="D32" s="29" t="n"/>
      <c r="E32" s="52" t="n"/>
      <c r="F32" s="52" t="n"/>
      <c r="G32" s="51" t="n"/>
      <c r="H32" s="51" t="n"/>
      <c r="I32" s="51" t="n"/>
      <c r="J32" s="51" t="n"/>
      <c r="K32" s="51" t="n"/>
      <c r="L32" s="51" t="n"/>
      <c r="M32" s="54" t="n"/>
      <c r="N32" s="53" t="n"/>
      <c r="O32" s="53" t="n"/>
      <c r="P32" s="54" t="n"/>
      <c r="Q32" s="52" t="n"/>
      <c r="R32" s="54" t="n"/>
      <c r="S32" s="53" t="n"/>
      <c r="T32" s="52" t="n"/>
      <c r="U32" s="52" t="n"/>
      <c r="V32" s="55" t="str">
        <f>IF(B32="","",IF(AND(OR(C32="PERIMETRAL",C32="VOLADO"),ISNUMBER(E32),ISNUMBER(F32),E32&gt;0,F32&gt;0,OR(ISNUMBER(O32),ISNUMBER(MATCH(D32,DATOS!$B$46:$B$55,0)))),"SÍ","NO"))</f>
        <v/>
      </c>
      <c r="W32" s="57" t="str">
        <f>IF(V32&lt;&gt;"SÍ","",IF(ISNUMBER(M32),M32,DATOS!$C$134))</f>
        <v/>
      </c>
      <c r="X32" s="55" t="str">
        <f>IF(V32&lt;&gt;"SÍ","",IF(C32&lt;&gt;"VOLADO","—",IF(COUNTIF(G32:J32,"CONTINUO")&lt;&gt;1,"?",IF(G32="CONTINUO","INFERIOR",IF(H32="CONTINUO","SUPERIOR",IF(I32="CONTINUO","IZQUIERDO","DERECHO"))))))</f>
        <v/>
      </c>
      <c r="Y32" s="55" t="str">
        <f>IF(V32&lt;&gt;"SÍ","",IF(C32="VOLADO",IF(OR(X32="IZQUIERDO",X32="DERECHO"),"X","Y"),IF(E32&lt;=F32,"X","Y")))</f>
        <v/>
      </c>
      <c r="Z32" s="56" t="str">
        <f>IF(V32&lt;&gt;"SÍ","",IF(C32="VOLADO",IF(Y32="X",E32,F32),MIN(E32,F32)))</f>
        <v/>
      </c>
      <c r="AA32" s="56" t="str">
        <f>IF(V32&lt;&gt;"SÍ","",IF(C32="VOLADO",IF(Y32="X",F32,E32),MAX(E32,F32)))</f>
        <v/>
      </c>
      <c r="AB32" s="56" t="str">
        <f>IF(V32&lt;&gt;"SÍ","",MIN(Z32,AA32)/MAX(Z32,AA32))</f>
        <v/>
      </c>
      <c r="AC32" s="57" t="str">
        <f>IF(V32&lt;&gt;"SÍ","",MAX(1,Z32*100-IF(C32="VOLADO",DATOS!$C$84/2,DATOS!$C$84)))</f>
        <v/>
      </c>
      <c r="AD32" s="57" t="str">
        <f>IF(V32&lt;&gt;"SÍ","",MAX(1,AA32*100-DATOS!$C$84))</f>
        <v/>
      </c>
      <c r="AE32" s="57" t="str">
        <f>IF(V32&lt;&gt;"SÍ","",IF(C32="VOLADO",DATOS!$C$61,DATOS!$C$59))</f>
        <v/>
      </c>
      <c r="AF32" s="57" t="str">
        <f>IF(V32&lt;&gt;"SÍ","",IF(OR(AND(AG32="SÍ",DATOS!$C$63="SÍ"),AND(C32="VOLADO",DATOS!$C$64="SÍ")),DATOS!$C$61,DATOS!$C$59))</f>
        <v/>
      </c>
      <c r="AG32" s="55" t="str">
        <f>IF(V32&lt;&gt;"SÍ","",IFERROR(INDEX(DATOS!$D$46:$D$55,MATCH(D32,DATOS!$B$46:$B$55,0)),"NO"))</f>
        <v/>
      </c>
      <c r="AH32" s="59" t="str">
        <f>IF(V32&lt;&gt;"SÍ","",IF(ISNUMBER(O32),O32,IFERROR(INDEX(DATOS!$C$46:$C$55,MATCH(D32,DATOS!$B$46:$B$55,0)),0)))</f>
        <v/>
      </c>
      <c r="AI32" s="59" t="str">
        <f>IF(V32&lt;&gt;"SÍ","",W32/100*DATOS!$C$16*1000+DATOS!$C$37+DATOS!$C$38)</f>
        <v/>
      </c>
      <c r="AJ32" s="59" t="str">
        <f>IF(V32&lt;&gt;"SÍ","",AI32+N(N32))</f>
        <v/>
      </c>
      <c r="AK32" s="60" t="str">
        <f>IF(V32&lt;&gt;"SÍ","",MAX(DATOS!$C$26*AJ32+DATOS!$C$27*AH32,IF(AG32="SÍ",DATOS!$C$28*(AJ32+DATOS!$C$41),0)))</f>
        <v/>
      </c>
      <c r="AL32" s="59" t="str">
        <f>IF(V32&lt;&gt;"SÍ","",(G32="DISCONTINUO")+(H32="DISCONTINUO")+(I32="DISCONTINUO")+(J32="DISCONTINUO"))</f>
        <v/>
      </c>
      <c r="AM32" s="59" t="str">
        <f>IF(V32&lt;&gt;"SÍ","",IF(Y32="X",(G32="DISCONTINUO")+(H32="DISCONTINUO"),(I32="DISCONTINUO")+(J32="DISCONTINUO")))</f>
        <v/>
      </c>
      <c r="AN32" s="55" t="str">
        <f>IF(V32&lt;&gt;"SÍ","",IF(AL32=0,"INTERIOR",IF(AL32=1,IF(AM32=1,"BORDE-CORTO","BORDE-LARGO"),IF(AL32=2,IF(AM32=1,"ESQUINA",IF(AM32=2,"EXTREMO-LARGO","EXTREMO-CORTO")),IF(AL32=3,IF(AM32=2,"EXTREMO-LARGO","EXTREMO-CORTO"),"AISLADO")))))</f>
        <v/>
      </c>
      <c r="AO32" s="61" t="str">
        <f>IF(V32&lt;&gt;"SÍ","",IF(OR(K32="",K32="AUTO"),AN32,K32))</f>
        <v/>
      </c>
      <c r="AP32" s="59" t="str">
        <f>IF(V32&lt;&gt;"SÍ","",MATCH(AB32,TABLAS!$D$5:$J$5,1))</f>
        <v/>
      </c>
      <c r="AQ32" s="58" t="str">
        <f>IF(V32&lt;&gt;"SÍ","",IF(AP32&gt;=7,0,(AB32-INDEX(TABLAS!$D$5:$J$5,AP32))/(INDEX(TABLAS!$D$5:$J$5,AP32+1)-INDEX(TABLAS!$D$5:$J$5,AP32))))</f>
        <v/>
      </c>
      <c r="AR32" s="59" t="str">
        <f>IF(V32&lt;&gt;"SÍ","",INDEX(TABLAS!$D$6:$J$47,MATCH(AO32&amp;"|NIC",TABLAS!$B$6:$B$47,0),AP32)+AQ32*(INDEX(TABLAS!$D$6:$J$47,MATCH(AO32&amp;"|NIC",TABLAS!$B$6:$B$47,0),MIN(AP32+1,7))-INDEX(TABLAS!$D$6:$J$47,MATCH(AO32&amp;"|NIC",TABLAS!$B$6:$B$47,0),AP32)))</f>
        <v/>
      </c>
      <c r="AS32" s="59" t="str">
        <f>IF(V32&lt;&gt;"SÍ","",INDEX(TABLAS!$D$6:$J$47,MATCH(AO32&amp;"|NIL",TABLAS!$B$6:$B$47,0),AP32)+AQ32*(INDEX(TABLAS!$D$6:$J$47,MATCH(AO32&amp;"|NIL",TABLAS!$B$6:$B$47,0),MIN(AP32+1,7))-INDEX(TABLAS!$D$6:$J$47,MATCH(AO32&amp;"|NIL",TABLAS!$B$6:$B$47,0),AP32)))</f>
        <v/>
      </c>
      <c r="AT32" s="59" t="str">
        <f>IF(V32&lt;&gt;"SÍ","",INDEX(TABLAS!$D$6:$J$47,MATCH(AO32&amp;"|NDC",TABLAS!$B$6:$B$47,0),AP32)+AQ32*(INDEX(TABLAS!$D$6:$J$47,MATCH(AO32&amp;"|NDC",TABLAS!$B$6:$B$47,0),MIN(AP32+1,7))-INDEX(TABLAS!$D$6:$J$47,MATCH(AO32&amp;"|NDC",TABLAS!$B$6:$B$47,0),AP32)))</f>
        <v/>
      </c>
      <c r="AU32" s="59" t="str">
        <f>IF(V32&lt;&gt;"SÍ","",INDEX(TABLAS!$D$6:$J$47,MATCH(AO32&amp;"|NDL",TABLAS!$B$6:$B$47,0),AP32)+AQ32*(INDEX(TABLAS!$D$6:$J$47,MATCH(AO32&amp;"|NDL",TABLAS!$B$6:$B$47,0),MIN(AP32+1,7))-INDEX(TABLAS!$D$6:$J$47,MATCH(AO32&amp;"|NDL",TABLAS!$B$6:$B$47,0),AP32)))</f>
        <v/>
      </c>
      <c r="AV32" s="59" t="str">
        <f>IF(V32&lt;&gt;"SÍ","",INDEX(TABLAS!$D$6:$J$47,MATCH(AO32&amp;"|PC",TABLAS!$B$6:$B$47,0),AP32)+AQ32*(INDEX(TABLAS!$D$6:$J$47,MATCH(AO32&amp;"|PC",TABLAS!$B$6:$B$47,0),MIN(AP32+1,7))-INDEX(TABLAS!$D$6:$J$47,MATCH(AO32&amp;"|PC",TABLAS!$B$6:$B$47,0),AP32)))</f>
        <v/>
      </c>
      <c r="AW32" s="59" t="str">
        <f>IF(V32&lt;&gt;"SÍ","",INDEX(TABLAS!$D$6:$J$47,MATCH(AO32&amp;"|PL",TABLAS!$B$6:$B$47,0),AP32)+AQ32*(INDEX(TABLAS!$D$6:$J$47,MATCH(AO32&amp;"|PL",TABLAS!$B$6:$B$47,0),MIN(AP32+1,7))-INDEX(TABLAS!$D$6:$J$47,MATCH(AO32&amp;"|PL",TABLAS!$B$6:$B$47,0),AP32)))</f>
        <v/>
      </c>
      <c r="AX32" s="56" t="str">
        <f>IF(V32&lt;&gt;"SÍ","",IF(C32="PERIMETRAL",AV32*AK32*Z32^2*1E-4/1000,0))</f>
        <v/>
      </c>
      <c r="AY32" s="62" t="str">
        <f>IF(V32&lt;&gt;"SÍ","",IF(C32="PERIMETRAL",MAX(MAX(AR32,AT32)*AK32*Z32^2*1E-4/1000,N(T32)),(AK32*(AC32/100)^2/2+DATOS!$C$26*N(P32)*AC32/100)/1000))</f>
        <v/>
      </c>
      <c r="AZ32" s="56" t="str">
        <f>IF(V32&lt;&gt;"SÍ","",IF(C32="PERIMETRAL",AW32*AK32*Z32^2*1E-4/1000,0))</f>
        <v/>
      </c>
      <c r="BA32" s="56" t="str">
        <f>IF(V32&lt;&gt;"SÍ","",IF(C32="PERIMETRAL",MAX(MAX(AS32,AU32)*AK32*Z32^2*1E-4/1000,N(U32)),0))</f>
        <v/>
      </c>
      <c r="BB32" s="63" t="str">
        <f>IF(V32&lt;&gt;"SÍ","",IF(C32&lt;&gt;"PERIMETRAL","—",IF(AND(N(T32)=0,N(U32)=0),"— (sin M⁻ del vecino)",IF(OR(AND(N(T32)&gt;0,ABS(MAX(AR32,AT32)*AK32*Z32^2*1E-4/1000-N(T32))&gt;0.5*MIN(MAX(AR32,AT32)*AK32*Z32^2*1E-4/1000,N(T32))),AND(N(U32)&gt;0,ABS(MAX(AS32,AU32)*AK32*Z32^2*1E-4/1000-N(U32))&gt;0.5*MIN(MAX(AS32,AU32)*AK32*Z32^2*1E-4/1000,N(U32)))),"FUERA: difieren &gt; 50 %"&amp;IF(AND(N(T32)&gt;0,ABS(MAX(AR32,AT32)*AK32*Z32^2*1E-4/1000-N(T32))&gt;0.5*MIN(MAX(AR32,AT32)*AK32*Z32^2*1E-4/1000,N(T32)))," ‖ corto","")&amp;IF(AND(N(U32)&gt;0,ABS(MAX(AS32,AU32)*AK32*Z32^2*1E-4/1000-N(U32))&gt;0.5*MIN(MAX(AS32,AU32)*AK32*Z32^2*1E-4/1000,N(U32)))," ‖ largo",""),"CUMPLE"))))</f>
        <v/>
      </c>
      <c r="BC32" s="58" t="str">
        <f>IF(V32&lt;&gt;"SÍ","",DATOS!$C$136*100*W32)</f>
        <v/>
      </c>
      <c r="BD32" s="57" t="str">
        <f>IF(V32&lt;&gt;"SÍ","",MIN(IF(C32="VOLADO",DATOS!$C$138,DATOS!$C$137)*W32,DATOS!$C$139))</f>
        <v/>
      </c>
      <c r="BE32" s="58" t="str">
        <f>IF(V32&lt;&gt;"SÍ","",(W32-AE32-INDEX(TABLAS!$C$52:$C$58,MATCH(IF(ISNUMBER(S32),S32,DATOS!$C$135),TABLAS!$B$52:$B$58,0))/2))</f>
        <v/>
      </c>
      <c r="BF32" s="58" t="str">
        <f>IF(V32&lt;&gt;"SÍ","",IF(AX32&lt;=0,0,IF((1-2*AX32*1E5/(DATOS!$C$29*100*BE32^2*DATOS!$C$21))&lt;0,-1,IF((1-SQRT((1-2*AX32*1E5/(DATOS!$C$29*100*BE32^2*DATOS!$C$21))))*DATOS!$C$21*100*BE32/DATOS!$C$14&gt;DATOS!$C$99*100*BE32,-1,(1-SQRT((1-2*AX32*1E5/(DATOS!$C$29*100*BE32^2*DATOS!$C$21))))*DATOS!$C$21*100*BE32/DATOS!$C$14))))</f>
        <v/>
      </c>
      <c r="BG32" s="58" t="str">
        <f>IF(V32&lt;&gt;"SÍ","",IF(BF32&lt;0,-1,MAX(BF32,BC32)))</f>
        <v/>
      </c>
      <c r="BH32" s="64" t="str">
        <f>IF(V32&lt;&gt;"SÍ","",IF(AND(BG32&gt;0,FLOOR(MIN(BD32,100*INDEX(TABLAS!$D$52:$D$58,MIN(MATCH(IF(ISNUMBER(S32),S32,DATOS!$C$135),TABLAS!$B$52:$B$58,0)+0,7))/MAX(BG32,0.0001)),DATOS!$C$141)&gt;=DATOS!$C$140),INDEX(TABLAS!$B$52:$B$58,MIN(MATCH(IF(ISNUMBER(S32),S32,DATOS!$C$135),TABLAS!$B$52:$B$58,0)+0,7)),IF(AND(BG32&gt;0,FLOOR(MIN(BD32,100*INDEX(TABLAS!$D$52:$D$58,MIN(MATCH(IF(ISNUMBER(S32),S32,DATOS!$C$135),TABLAS!$B$52:$B$58,0)+1,7))/MAX(BG32,0.0001)),DATOS!$C$141)&gt;=DATOS!$C$140),INDEX(TABLAS!$B$52:$B$58,MIN(MATCH(IF(ISNUMBER(S32),S32,DATOS!$C$135),TABLAS!$B$52:$B$58,0)+1,7)),IF(AND(BG32&gt;0,FLOOR(MIN(BD32,100*INDEX(TABLAS!$D$52:$D$58,MIN(MATCH(IF(ISNUMBER(S32),S32,DATOS!$C$135),TABLAS!$B$52:$B$58,0)+2,7))/MAX(BG32,0.0001)),DATOS!$C$141)&gt;=DATOS!$C$140),INDEX(TABLAS!$B$52:$B$58,MIN(MATCH(IF(ISNUMBER(S32),S32,DATOS!$C$135),TABLAS!$B$52:$B$58,0)+2,7)),IF(AND(BG32&gt;0,FLOOR(MIN(BD32,100*INDEX(TABLAS!$D$52:$D$58,MIN(MATCH(IF(ISNUMBER(S32),S32,DATOS!$C$135),TABLAS!$B$52:$B$58,0)+3,7))/MAX(BG32,0.0001)),DATOS!$C$141)&gt;=DATOS!$C$140),INDEX(TABLAS!$B$52:$B$58,MIN(MATCH(IF(ISNUMBER(S32),S32,DATOS!$C$135),TABLAS!$B$52:$B$58,0)+3,7)),IF(AND(BG32&gt;0,FLOOR(MIN(BD32,100*INDEX(TABLAS!$D$52:$D$58,MIN(MATCH(IF(ISNUMBER(S32),S32,DATOS!$C$135),TABLAS!$B$52:$B$58,0)+4,7))/MAX(BG32,0.0001)),DATOS!$C$141)&gt;=DATOS!$C$140),INDEX(TABLAS!$B$52:$B$58,MIN(MATCH(IF(ISNUMBER(S32),S32,DATOS!$C$135),TABLAS!$B$52:$B$58,0)+4,7)),INDEX(TABLAS!$B$52:$B$58,7)))))))</f>
        <v/>
      </c>
      <c r="BI32" s="71" t="str">
        <f>IF(V32&lt;&gt;"SÍ","",IF(BG32&lt;=0,0,FLOOR(MIN(BD32,100*INDEX(TABLAS!$D$52:$D$58,MATCH(BH32,TABLAS!$B$52:$B$58,0))/BG32),DATOS!$C$141)))</f>
        <v/>
      </c>
      <c r="BJ32" s="58" t="str">
        <f>IF(V32&lt;&gt;"SÍ","",IF(BI32&lt;=0,0,INDEX(TABLAS!$D$52:$D$58,MATCH(BH32,TABLAS!$B$52:$B$58,0))*100/BI32))</f>
        <v/>
      </c>
      <c r="BK32" s="58" t="str">
        <f>IF(V32&lt;&gt;"SÍ","",W32-AE32-INDEX(TABLAS!$C$52:$C$58,MATCH(BH32,TABLAS!$B$52:$B$58,0))/2)</f>
        <v/>
      </c>
      <c r="BL32" s="56" t="str">
        <f>IF(V32&lt;&gt;"SÍ","",IF(BJ32=0,0,DATOS!$C$29*BJ32*DATOS!$C$14*(BK32-BJ32*DATOS!$C$14/(DATOS!$C$21*100)/2)/1E5))</f>
        <v/>
      </c>
      <c r="BM32" s="65" t="str">
        <f>IF(V32&lt;&gt;"SÍ","",IF(BG32&lt;0,9.99,IF(BL32&gt;0,AX32/BL32,0)))</f>
        <v/>
      </c>
      <c r="BN32" s="66" t="str">
        <f>IF(V32&lt;&gt;"SÍ","",IF(BJ32=0,"—",0.003*(BK32-(BJ32*DATOS!$C$14/(DATOS!$C$21*100)/DATOS!$C$22))/(BJ32*DATOS!$C$14/(DATOS!$C$21*100)/DATOS!$C$22)))</f>
        <v/>
      </c>
      <c r="BO32" s="58" t="str">
        <f>IF(V32&lt;&gt;"SÍ","",((W32-AF32-INDEX(TABLAS!$C$52:$C$58,MATCH(IF(ISNUMBER(S32),S32,DATOS!$C$135),TABLAS!$B$52:$B$58,0))/2)-IF(AND((W32-AF32-INDEX(TABLAS!$C$52:$C$58,MATCH(IF(ISNUMBER(S32),S32,DATOS!$C$135),TABLAS!$B$52:$B$58,0))/2)&lt;=20,DATOS!$C$62&lt;&gt;"SÍ"),2,0)))</f>
        <v/>
      </c>
      <c r="BP32" s="58" t="str">
        <f>IF(V32&lt;&gt;"SÍ","",IF(AY32&lt;=0,0,IF((1-2*AY32*1E5/(DATOS!$C$29*100*BO32^2*DATOS!$C$21))&lt;0,-1,IF((1-SQRT((1-2*AY32*1E5/(DATOS!$C$29*100*BO32^2*DATOS!$C$21))))*DATOS!$C$21*100*BO32/DATOS!$C$14&gt;DATOS!$C$99*100*BO32,-1,(1-SQRT((1-2*AY32*1E5/(DATOS!$C$29*100*BO32^2*DATOS!$C$21))))*DATOS!$C$21*100*BO32/DATOS!$C$14))))</f>
        <v/>
      </c>
      <c r="BQ32" s="58" t="str">
        <f>IF(V32&lt;&gt;"SÍ","",IF(BP32&lt;0,-1,MAX(BP32,BC32)))</f>
        <v/>
      </c>
      <c r="BR32" s="64" t="str">
        <f>IF(V32&lt;&gt;"SÍ","",IF(AND(BQ32&gt;0,FLOOR(MIN(BD32,100*INDEX(TABLAS!$D$52:$D$58,MIN(MATCH(IF(ISNUMBER(S32),S32,DATOS!$C$135),TABLAS!$B$52:$B$58,0)+0,7))/MAX(BQ32,0.0001)),DATOS!$C$141)&gt;=DATOS!$C$140),INDEX(TABLAS!$B$52:$B$58,MIN(MATCH(IF(ISNUMBER(S32),S32,DATOS!$C$135),TABLAS!$B$52:$B$58,0)+0,7)),IF(AND(BQ32&gt;0,FLOOR(MIN(BD32,100*INDEX(TABLAS!$D$52:$D$58,MIN(MATCH(IF(ISNUMBER(S32),S32,DATOS!$C$135),TABLAS!$B$52:$B$58,0)+1,7))/MAX(BQ32,0.0001)),DATOS!$C$141)&gt;=DATOS!$C$140),INDEX(TABLAS!$B$52:$B$58,MIN(MATCH(IF(ISNUMBER(S32),S32,DATOS!$C$135),TABLAS!$B$52:$B$58,0)+1,7)),IF(AND(BQ32&gt;0,FLOOR(MIN(BD32,100*INDEX(TABLAS!$D$52:$D$58,MIN(MATCH(IF(ISNUMBER(S32),S32,DATOS!$C$135),TABLAS!$B$52:$B$58,0)+2,7))/MAX(BQ32,0.0001)),DATOS!$C$141)&gt;=DATOS!$C$140),INDEX(TABLAS!$B$52:$B$58,MIN(MATCH(IF(ISNUMBER(S32),S32,DATOS!$C$135),TABLAS!$B$52:$B$58,0)+2,7)),IF(AND(BQ32&gt;0,FLOOR(MIN(BD32,100*INDEX(TABLAS!$D$52:$D$58,MIN(MATCH(IF(ISNUMBER(S32),S32,DATOS!$C$135),TABLAS!$B$52:$B$58,0)+3,7))/MAX(BQ32,0.0001)),DATOS!$C$141)&gt;=DATOS!$C$140),INDEX(TABLAS!$B$52:$B$58,MIN(MATCH(IF(ISNUMBER(S32),S32,DATOS!$C$135),TABLAS!$B$52:$B$58,0)+3,7)),IF(AND(BQ32&gt;0,FLOOR(MIN(BD32,100*INDEX(TABLAS!$D$52:$D$58,MIN(MATCH(IF(ISNUMBER(S32),S32,DATOS!$C$135),TABLAS!$B$52:$B$58,0)+4,7))/MAX(BQ32,0.0001)),DATOS!$C$141)&gt;=DATOS!$C$140),INDEX(TABLAS!$B$52:$B$58,MIN(MATCH(IF(ISNUMBER(S32),S32,DATOS!$C$135),TABLAS!$B$52:$B$58,0)+4,7)),INDEX(TABLAS!$B$52:$B$58,7)))))))</f>
        <v/>
      </c>
      <c r="BS32" s="71" t="str">
        <f>IF(V32&lt;&gt;"SÍ","",IF(BQ32&lt;=0,0,FLOOR(MIN(BD32,100*INDEX(TABLAS!$D$52:$D$58,MATCH(BR32,TABLAS!$B$52:$B$58,0))/BQ32),DATOS!$C$141)))</f>
        <v/>
      </c>
      <c r="BT32" s="58" t="str">
        <f>IF(V32&lt;&gt;"SÍ","",IF(BS32&lt;=0,0,INDEX(TABLAS!$D$52:$D$58,MATCH(BR32,TABLAS!$B$52:$B$58,0))*100/BS32))</f>
        <v/>
      </c>
      <c r="BU32" s="58" t="str">
        <f>IF(V32&lt;&gt;"SÍ","",((W32-AF32-INDEX(TABLAS!$C$52:$C$58,MATCH(BR32,TABLAS!$B$52:$B$58,0))/2)-IF(AND((W32-AF32-INDEX(TABLAS!$C$52:$C$58,MATCH(BR32,TABLAS!$B$52:$B$58,0))/2)&lt;=20,DATOS!$C$62&lt;&gt;"SÍ"),2,0)))</f>
        <v/>
      </c>
      <c r="BV32" s="56" t="str">
        <f>IF(V32&lt;&gt;"SÍ","",IF(BT32=0,0,DATOS!$C$29*BT32*DATOS!$C$14*(BU32-BT32*DATOS!$C$14/(DATOS!$C$21*100)/2)/1E5))</f>
        <v/>
      </c>
      <c r="BW32" s="65" t="str">
        <f>IF(V32&lt;&gt;"SÍ","",IF(BQ32&lt;0,9.99,IF(BV32&gt;0,AY32/BV32,0)))</f>
        <v/>
      </c>
      <c r="BX32" s="66" t="str">
        <f>IF(V32&lt;&gt;"SÍ","",IF(BT32=0,"—",0.003*(BU32-(BT32*DATOS!$C$14/(DATOS!$C$21*100)/DATOS!$C$22))/(BT32*DATOS!$C$14/(DATOS!$C$21*100)/DATOS!$C$22)))</f>
        <v/>
      </c>
      <c r="BY32" s="58" t="str">
        <f>IF(V32&lt;&gt;"SÍ","",(W32-AE32-1.5*INDEX(TABLAS!$C$52:$C$58,MATCH(IF(ISNUMBER(S32),S32,DATOS!$C$135),TABLAS!$B$52:$B$58,0))))</f>
        <v/>
      </c>
      <c r="BZ32" s="58" t="str">
        <f>IF(V32&lt;&gt;"SÍ","",IF(AZ32&lt;=0,0,IF((1-2*AZ32*1E5/(DATOS!$C$29*100*BY32^2*DATOS!$C$21))&lt;0,-1,IF((1-SQRT((1-2*AZ32*1E5/(DATOS!$C$29*100*BY32^2*DATOS!$C$21))))*DATOS!$C$21*100*BY32/DATOS!$C$14&gt;DATOS!$C$99*100*BY32,-1,(1-SQRT((1-2*AZ32*1E5/(DATOS!$C$29*100*BY32^2*DATOS!$C$21))))*DATOS!$C$21*100*BY32/DATOS!$C$14))))</f>
        <v/>
      </c>
      <c r="CA32" s="58" t="str">
        <f>IF(V32&lt;&gt;"SÍ","",IF(BZ32&lt;0,-1,MAX(BZ32,BC32)))</f>
        <v/>
      </c>
      <c r="CB32" s="64" t="str">
        <f>IF(V32&lt;&gt;"SÍ","",IF(AND(CA32&gt;0,FLOOR(MIN(BD32,100*INDEX(TABLAS!$D$52:$D$58,MIN(MATCH(IF(ISNUMBER(S32),S32,DATOS!$C$135),TABLAS!$B$52:$B$58,0)+0,7))/MAX(CA32,0.0001)),DATOS!$C$141)&gt;=DATOS!$C$140),INDEX(TABLAS!$B$52:$B$58,MIN(MATCH(IF(ISNUMBER(S32),S32,DATOS!$C$135),TABLAS!$B$52:$B$58,0)+0,7)),IF(AND(CA32&gt;0,FLOOR(MIN(BD32,100*INDEX(TABLAS!$D$52:$D$58,MIN(MATCH(IF(ISNUMBER(S32),S32,DATOS!$C$135),TABLAS!$B$52:$B$58,0)+1,7))/MAX(CA32,0.0001)),DATOS!$C$141)&gt;=DATOS!$C$140),INDEX(TABLAS!$B$52:$B$58,MIN(MATCH(IF(ISNUMBER(S32),S32,DATOS!$C$135),TABLAS!$B$52:$B$58,0)+1,7)),IF(AND(CA32&gt;0,FLOOR(MIN(BD32,100*INDEX(TABLAS!$D$52:$D$58,MIN(MATCH(IF(ISNUMBER(S32),S32,DATOS!$C$135),TABLAS!$B$52:$B$58,0)+2,7))/MAX(CA32,0.0001)),DATOS!$C$141)&gt;=DATOS!$C$140),INDEX(TABLAS!$B$52:$B$58,MIN(MATCH(IF(ISNUMBER(S32),S32,DATOS!$C$135),TABLAS!$B$52:$B$58,0)+2,7)),IF(AND(CA32&gt;0,FLOOR(MIN(BD32,100*INDEX(TABLAS!$D$52:$D$58,MIN(MATCH(IF(ISNUMBER(S32),S32,DATOS!$C$135),TABLAS!$B$52:$B$58,0)+3,7))/MAX(CA32,0.0001)),DATOS!$C$141)&gt;=DATOS!$C$140),INDEX(TABLAS!$B$52:$B$58,MIN(MATCH(IF(ISNUMBER(S32),S32,DATOS!$C$135),TABLAS!$B$52:$B$58,0)+3,7)),IF(AND(CA32&gt;0,FLOOR(MIN(BD32,100*INDEX(TABLAS!$D$52:$D$58,MIN(MATCH(IF(ISNUMBER(S32),S32,DATOS!$C$135),TABLAS!$B$52:$B$58,0)+4,7))/MAX(CA32,0.0001)),DATOS!$C$141)&gt;=DATOS!$C$140),INDEX(TABLAS!$B$52:$B$58,MIN(MATCH(IF(ISNUMBER(S32),S32,DATOS!$C$135),TABLAS!$B$52:$B$58,0)+4,7)),INDEX(TABLAS!$B$52:$B$58,7)))))))</f>
        <v/>
      </c>
      <c r="CC32" s="71" t="str">
        <f>IF(V32&lt;&gt;"SÍ","",IF(CA32&lt;=0,0,FLOOR(MIN(BD32,100*INDEX(TABLAS!$D$52:$D$58,MATCH(CB32,TABLAS!$B$52:$B$58,0))/CA32),DATOS!$C$141)))</f>
        <v/>
      </c>
      <c r="CD32" s="58" t="str">
        <f>IF(V32&lt;&gt;"SÍ","",IF(CC32&lt;=0,0,INDEX(TABLAS!$D$52:$D$58,MATCH(CB32,TABLAS!$B$52:$B$58,0))*100/CC32))</f>
        <v/>
      </c>
      <c r="CE32" s="58" t="str">
        <f>IF(V32&lt;&gt;"SÍ","",W32-AE32-INDEX(TABLAS!$C$52:$C$58,MATCH(BH32,TABLAS!$B$52:$B$58,0))-INDEX(TABLAS!$C$52:$C$58,MATCH(CB32,TABLAS!$B$52:$B$58,0))/2)</f>
        <v/>
      </c>
      <c r="CF32" s="56" t="str">
        <f>IF(V32&lt;&gt;"SÍ","",IF(CD32=0,0,DATOS!$C$29*CD32*DATOS!$C$14*(CE32-CD32*DATOS!$C$14/(DATOS!$C$21*100)/2)/1E5))</f>
        <v/>
      </c>
      <c r="CG32" s="65" t="str">
        <f>IF(V32&lt;&gt;"SÍ","",IF(CA32&lt;0,9.99,IF(CF32&gt;0,AZ32/CF32,0)))</f>
        <v/>
      </c>
      <c r="CH32" s="66" t="str">
        <f>IF(V32&lt;&gt;"SÍ","",IF(CD32=0,"—",0.003*(CE32-(CD32*DATOS!$C$14/(DATOS!$C$21*100)/DATOS!$C$22))/(CD32*DATOS!$C$14/(DATOS!$C$21*100)/DATOS!$C$22)))</f>
        <v/>
      </c>
      <c r="CI32" s="58" t="str">
        <f>IF(V32&lt;&gt;"SÍ","",((W32-AF32-1.5*INDEX(TABLAS!$C$52:$C$58,MATCH(IF(ISNUMBER(S32),S32,DATOS!$C$135),TABLAS!$B$52:$B$58,0)))-IF(AND((W32-AF32-1.5*INDEX(TABLAS!$C$52:$C$58,MATCH(IF(ISNUMBER(S32),S32,DATOS!$C$135),TABLAS!$B$52:$B$58,0)))&lt;=20,DATOS!$C$62&lt;&gt;"SÍ"),2,0)))</f>
        <v/>
      </c>
      <c r="CJ32" s="58" t="str">
        <f>IF(V32&lt;&gt;"SÍ","",IF(BA32&lt;=0,0,IF((1-2*BA32*1E5/(DATOS!$C$29*100*CI32^2*DATOS!$C$21))&lt;0,-1,IF((1-SQRT((1-2*BA32*1E5/(DATOS!$C$29*100*CI32^2*DATOS!$C$21))))*DATOS!$C$21*100*CI32/DATOS!$C$14&gt;DATOS!$C$99*100*CI32,-1,(1-SQRT((1-2*BA32*1E5/(DATOS!$C$29*100*CI32^2*DATOS!$C$21))))*DATOS!$C$21*100*CI32/DATOS!$C$14))))</f>
        <v/>
      </c>
      <c r="CK32" s="58" t="str">
        <f>IF(V32&lt;&gt;"SÍ","",IF(CJ32&lt;0,-1,MAX(CJ32,BC32)))</f>
        <v/>
      </c>
      <c r="CL32" s="64" t="str">
        <f>IF(V32&lt;&gt;"SÍ","",IF(AND(CK32&gt;0,FLOOR(MIN(BD32,100*INDEX(TABLAS!$D$52:$D$58,MIN(MATCH(IF(ISNUMBER(S32),S32,DATOS!$C$135),TABLAS!$B$52:$B$58,0)+0,7))/MAX(CK32,0.0001)),DATOS!$C$141)&gt;=DATOS!$C$140),INDEX(TABLAS!$B$52:$B$58,MIN(MATCH(IF(ISNUMBER(S32),S32,DATOS!$C$135),TABLAS!$B$52:$B$58,0)+0,7)),IF(AND(CK32&gt;0,FLOOR(MIN(BD32,100*INDEX(TABLAS!$D$52:$D$58,MIN(MATCH(IF(ISNUMBER(S32),S32,DATOS!$C$135),TABLAS!$B$52:$B$58,0)+1,7))/MAX(CK32,0.0001)),DATOS!$C$141)&gt;=DATOS!$C$140),INDEX(TABLAS!$B$52:$B$58,MIN(MATCH(IF(ISNUMBER(S32),S32,DATOS!$C$135),TABLAS!$B$52:$B$58,0)+1,7)),IF(AND(CK32&gt;0,FLOOR(MIN(BD32,100*INDEX(TABLAS!$D$52:$D$58,MIN(MATCH(IF(ISNUMBER(S32),S32,DATOS!$C$135),TABLAS!$B$52:$B$58,0)+2,7))/MAX(CK32,0.0001)),DATOS!$C$141)&gt;=DATOS!$C$140),INDEX(TABLAS!$B$52:$B$58,MIN(MATCH(IF(ISNUMBER(S32),S32,DATOS!$C$135),TABLAS!$B$52:$B$58,0)+2,7)),IF(AND(CK32&gt;0,FLOOR(MIN(BD32,100*INDEX(TABLAS!$D$52:$D$58,MIN(MATCH(IF(ISNUMBER(S32),S32,DATOS!$C$135),TABLAS!$B$52:$B$58,0)+3,7))/MAX(CK32,0.0001)),DATOS!$C$141)&gt;=DATOS!$C$140),INDEX(TABLAS!$B$52:$B$58,MIN(MATCH(IF(ISNUMBER(S32),S32,DATOS!$C$135),TABLAS!$B$52:$B$58,0)+3,7)),IF(AND(CK32&gt;0,FLOOR(MIN(BD32,100*INDEX(TABLAS!$D$52:$D$58,MIN(MATCH(IF(ISNUMBER(S32),S32,DATOS!$C$135),TABLAS!$B$52:$B$58,0)+4,7))/MAX(CK32,0.0001)),DATOS!$C$141)&gt;=DATOS!$C$140),INDEX(TABLAS!$B$52:$B$58,MIN(MATCH(IF(ISNUMBER(S32),S32,DATOS!$C$135),TABLAS!$B$52:$B$58,0)+4,7)),INDEX(TABLAS!$B$52:$B$58,7)))))))</f>
        <v/>
      </c>
      <c r="CM32" s="71" t="str">
        <f>IF(V32&lt;&gt;"SÍ","",IF(CK32&lt;=0,0,FLOOR(MIN(BD32,100*INDEX(TABLAS!$D$52:$D$58,MATCH(CL32,TABLAS!$B$52:$B$58,0))/CK32),DATOS!$C$141)))</f>
        <v/>
      </c>
      <c r="CN32" s="58" t="str">
        <f>IF(V32&lt;&gt;"SÍ","",IF(CM32&lt;=0,0,INDEX(TABLAS!$D$52:$D$58,MATCH(CL32,TABLAS!$B$52:$B$58,0))*100/CM32))</f>
        <v/>
      </c>
      <c r="CO32" s="58" t="str">
        <f>IF(V32&lt;&gt;"SÍ","",((W32-AF32-INDEX(TABLAS!$C$52:$C$58,MATCH(BR32,TABLAS!$B$52:$B$58,0))-INDEX(TABLAS!$C$52:$C$58,MATCH(CL32,TABLAS!$B$52:$B$58,0))/2)-IF(AND((W32-AF32-INDEX(TABLAS!$C$52:$C$58,MATCH(BR32,TABLAS!$B$52:$B$58,0))-INDEX(TABLAS!$C$52:$C$58,MATCH(CL32,TABLAS!$B$52:$B$58,0))/2)&lt;=20,DATOS!$C$62&lt;&gt;"SÍ"),2,0)))</f>
        <v/>
      </c>
      <c r="CP32" s="56" t="str">
        <f>IF(V32&lt;&gt;"SÍ","",IF(CN32=0,0,DATOS!$C$29*CN32*DATOS!$C$14*(CO32-CN32*DATOS!$C$14/(DATOS!$C$21*100)/2)/1E5))</f>
        <v/>
      </c>
      <c r="CQ32" s="65" t="str">
        <f>IF(V32&lt;&gt;"SÍ","",IF(CK32&lt;0,9.99,IF(CP32&gt;0,BA32/CP32,0)))</f>
        <v/>
      </c>
      <c r="CR32" s="66" t="str">
        <f>IF(V32&lt;&gt;"SÍ","",IF(CN32=0,"—",0.003*(CO32-(CN32*DATOS!$C$14/(DATOS!$C$21*100)/DATOS!$C$22))/(CN32*DATOS!$C$14/(DATOS!$C$21*100)/DATOS!$C$22)))</f>
        <v/>
      </c>
      <c r="CS32" s="56" t="str">
        <f>IF(V32&lt;&gt;"SÍ","",IF(C32="PERIMETRAL",MAX(0,(AC32/2-BU32)/100)*(0.95-0.5*AB32)*AK32*IF(AND(AL32&gt;0,AL32&lt;4),DATOS!$C$33,1)/1000,(AK32*MAX(0,AC32-BU32)/100+DATOS!$C$26*N(P32))/1000))</f>
        <v/>
      </c>
      <c r="CT32" s="66" t="str">
        <f>IF(V32&lt;&gt;"SÍ","",BT32/(100*BU32))</f>
        <v/>
      </c>
      <c r="CU32" s="56" t="str">
        <f>IF(V32&lt;&gt;"SÍ","",DATOS!$C$30*2*MIN(1,SQRT(2/(1+0.04*BU32)))*CT32^(1/3)*SQRT(DATOS!$C$13)*100*BU32/1000)</f>
        <v/>
      </c>
      <c r="CV32" s="67" t="str">
        <f>IF(V32&lt;&gt;"SÍ","",IF(CS32&lt;=CU32,"CUMPLE","NO CUMPLE: sube h"))</f>
        <v/>
      </c>
      <c r="CW32" s="58" t="str">
        <f>IF(V32&lt;&gt;"SÍ","",IF(C32="PERIMETRAL",IF(ISNUMBER(R32),R32,DATOS!$C$101),0))</f>
        <v/>
      </c>
      <c r="CX32" s="57" t="str">
        <f>IF(V32&lt;&gt;"SÍ","",IF(C32="PERIMETRAL",IF(CW32&gt;2,MAX(9,AD32*(0.8+DATOS!$C$14/14000)/(36+9*(AD32/MAX(AC32,1)))),IF(CW32&gt;0.2,MAX(13,AD32*(0.8+DATOS!$C$14/14000)/(36+5*(AD32/MAX(AC32,1))*(CW32-0.2))),MAX(13,AD32/IF(AL32&gt;0,30,33))))*IF(AND(CW32&gt;0.2,AL32&gt;0,DATOS!$C$102="NO"),1.1,1),Z32*100/DATOS!$C$142))</f>
        <v/>
      </c>
      <c r="CY32" s="61" t="str">
        <f>IF(V32&lt;&gt;"SÍ","",IF(W32&gt;=CX32-0.001,"CUMPLE",IF(C32="VOLADO","NO CUMPLE","CALCULAR FLECHA")))</f>
        <v/>
      </c>
      <c r="CZ32" s="60" t="str">
        <f>IF(V32&lt;&gt;"SÍ","",IF(C32="VOLADO",MIN(CEILING(IF(ISNUMBER(Q32),Q32,Z32)*100,5),CEILING(MAX(IF((0.5*(0.9*W32/100*DATOS!$C$16)*IF(ISNUMBER(Q32),Q32,Z32)+AY32/IF(ISNUMBER(Q32),Q32,Z32))^2-4*(0.5*(0.9*W32/100*DATOS!$C$16))*AY32&lt;0,IF(ISNUMBER(Q32),Q32,Z32),MIN(IF(ISNUMBER(Q32),Q32,Z32),((0.5*(0.9*W32/100*DATOS!$C$16)*IF(ISNUMBER(Q32),Q32,Z32)+AY32/IF(ISNUMBER(Q32),Q32,Z32))-SQRT((0.5*(0.9*W32/100*DATOS!$C$16)*IF(ISNUMBER(Q32),Q32,Z32)+AY32/IF(ISNUMBER(Q32),Q32,Z32))^2-4*(0.5*(0.9*W32/100*DATOS!$C$16))*AY32))/(2*(0.5*(0.9*W32/100*DATOS!$C$16)))))*100+MAX(BU32,12*INDEX(TABLAS!$C$52:$C$58,MATCH(BR32,TABLAS!$B$52:$B$58,0)),IF(ISNUMBER(Q32),Q32,Z32)*100/16),IF(OR(AF32&lt;INDEX(TABLAS!$C$52:$C$58,MATCH(BR32,TABLAS!$B$52:$B$58,0)),BS32-INDEX(TABLAS!$C$52:$C$58,MATCH(BR32,TABLAS!$B$52:$B$58,0))&lt;2*INDEX(TABLAS!$C$52:$C$58,MATCH(BR32,TABLAS!$B$52:$B$58,0))),INDEX(TABLAS!$I$52:$I$58,MATCH(BR32,TABLAS!$B$52:$B$58,0)),INDEX(TABLAS!$F$52:$F$58,MATCH(BR32,TABLAS!$B$52:$B$58,0)))),5)),IF(((4*((AV32*AK32*Z32^2*1E-4/1000)+((MAX(AR32,AT32)*AK32*Z32^2*1E-4/1000)+(IF(AND(AR32&gt;0,AT32&gt;0),MIN(AR32,AT32),MAX(AR32,AT32))*AK32*Z32^2*1E-4/1000))/2)+AY32-(IF(AND(AR32&gt;0,AT32&gt;0),MIN(AR32,AT32),MAX(AR32,AT32))*AK32*Z32^2*1E-4/1000))^2-16*((AV32*AK32*Z32^2*1E-4/1000)+((MAX(AR32,AT32)*AK32*Z32^2*1E-4/1000)+(IF(AND(AR32&gt;0,AT32&gt;0),MIN(AR32,AT32),MAX(AR32,AT32))*AK32*Z32^2*1E-4/1000))/2)*AY32)&lt;0,CEILING(AC32,5),CEILING(MAX(AC32*((4*((AV32*AK32*Z32^2*1E-4/1000)+((MAX(AR32,AT32)*AK32*Z32^2*1E-4/1000)+(IF(AND(AR32&gt;0,AT32&gt;0),MIN(AR32,AT32),MAX(AR32,AT32))*AK32*Z32^2*1E-4/1000))/2)+AY32-(IF(AND(AR32&gt;0,AT32&gt;0),MIN(AR32,AT32),MAX(AR32,AT32))*AK32*Z32^2*1E-4/1000))-SQRT(MAX(0,((4*((AV32*AK32*Z32^2*1E-4/1000)+((MAX(AR32,AT32)*AK32*Z32^2*1E-4/1000)+(IF(AND(AR32&gt;0,AT32&gt;0),MIN(AR32,AT32),MAX(AR32,AT32))*AK32*Z32^2*1E-4/1000))/2)+AY32-(IF(AND(AR32&gt;0,AT32&gt;0),MIN(AR32,AT32),MAX(AR32,AT32))*AK32*Z32^2*1E-4/1000))^2-16*((AV32*AK32*Z32^2*1E-4/1000)+((MAX(AR32,AT32)*AK32*Z32^2*1E-4/1000)+(IF(AND(AR32&gt;0,AT32&gt;0),MIN(AR32,AT32),MAX(AR32,AT32))*AK32*Z32^2*1E-4/1000))/2)*AY32))))/(8*MAX(((AV32*AK32*Z32^2*1E-4/1000)+((MAX(AR32,AT32)*AK32*Z32^2*1E-4/1000)+(IF(AND(AR32&gt;0,AT32&gt;0),MIN(AR32,AT32),MAX(AR32,AT32))*AK32*Z32^2*1E-4/1000))/2),1E-9))+MAX(BU32,12*INDEX(TABLAS!$C$52:$C$58,MATCH(BR32,TABLAS!$B$52:$B$58,0)),AC32/16),IF(OR(AF32&lt;INDEX(TABLAS!$C$52:$C$58,MATCH(BR32,TABLAS!$B$52:$B$58,0)),BS32-INDEX(TABLAS!$C$52:$C$58,MATCH(BR32,TABLAS!$B$52:$B$58,0))&lt;2*INDEX(TABLAS!$C$52:$C$58,MATCH(BR32,TABLAS!$B$52:$B$58,0))),INDEX(TABLAS!$I$52:$I$58,MATCH(BR32,TABLAS!$B$52:$B$58,0)),INDEX(TABLAS!$F$52:$F$58,MATCH(BR32,TABLAS!$B$52:$B$58,0)))),5))))</f>
        <v/>
      </c>
      <c r="DA32" s="60" t="str">
        <f>IF(V32&lt;&gt;"SÍ","",IF(C32="VOLADO",0,IF(((4*((AW32*AK32*Z32^2*1E-4/1000)+((MAX(AS32,AU32)*AK32*Z32^2*1E-4/1000)+(IF(AND(AS32&gt;0,AU32&gt;0),MIN(AS32,AU32),MAX(AS32,AU32))*AK32*Z32^2*1E-4/1000))/2)+BA32-(IF(AND(AS32&gt;0,AU32&gt;0),MIN(AS32,AU32),MAX(AS32,AU32))*AK32*Z32^2*1E-4/1000))^2-16*((AW32*AK32*Z32^2*1E-4/1000)+((MAX(AS32,AU32)*AK32*Z32^2*1E-4/1000)+(IF(AND(AS32&gt;0,AU32&gt;0),MIN(AS32,AU32),MAX(AS32,AU32))*AK32*Z32^2*1E-4/1000))/2)*BA32)&lt;0,CEILING(AD32,5),CEILING(MAX(AD32*((4*((AW32*AK32*Z32^2*1E-4/1000)+((MAX(AS32,AU32)*AK32*Z32^2*1E-4/1000)+(IF(AND(AS32&gt;0,AU32&gt;0),MIN(AS32,AU32),MAX(AS32,AU32))*AK32*Z32^2*1E-4/1000))/2)+BA32-(IF(AND(AS32&gt;0,AU32&gt;0),MIN(AS32,AU32),MAX(AS32,AU32))*AK32*Z32^2*1E-4/1000))-SQRT(MAX(0,((4*((AW32*AK32*Z32^2*1E-4/1000)+((MAX(AS32,AU32)*AK32*Z32^2*1E-4/1000)+(IF(AND(AS32&gt;0,AU32&gt;0),MIN(AS32,AU32),MAX(AS32,AU32))*AK32*Z32^2*1E-4/1000))/2)+BA32-(IF(AND(AS32&gt;0,AU32&gt;0),MIN(AS32,AU32),MAX(AS32,AU32))*AK32*Z32^2*1E-4/1000))^2-16*((AW32*AK32*Z32^2*1E-4/1000)+((MAX(AS32,AU32)*AK32*Z32^2*1E-4/1000)+(IF(AND(AS32&gt;0,AU32&gt;0),MIN(AS32,AU32),MAX(AS32,AU32))*AK32*Z32^2*1E-4/1000))/2)*BA32))))/(8*MAX(((AW32*AK32*Z32^2*1E-4/1000)+((MAX(AS32,AU32)*AK32*Z32^2*1E-4/1000)+(IF(AND(AS32&gt;0,AU32&gt;0),MIN(AS32,AU32),MAX(AS32,AU32))*AK32*Z32^2*1E-4/1000))/2),1E-9))+MAX(CO32,12*INDEX(TABLAS!$C$52:$C$58,MATCH(CL32,TABLAS!$B$52:$B$58,0)),AD32/16),IF(OR(AF32&lt;INDEX(TABLAS!$C$52:$C$58,MATCH(CL32,TABLAS!$B$52:$B$58,0)),CM32-INDEX(TABLAS!$C$52:$C$58,MATCH(CL32,TABLAS!$B$52:$B$58,0))&lt;2*INDEX(TABLAS!$C$52:$C$58,MATCH(CL32,TABLAS!$B$52:$B$58,0))),INDEX(TABLAS!$I$52:$I$58,MATCH(CL32,TABLAS!$B$52:$B$58,0)),INDEX(TABLAS!$F$52:$F$58,MATCH(CL32,TABLAS!$B$52:$B$58,0)))),5))))</f>
        <v/>
      </c>
      <c r="DB32" s="55" t="str">
        <f>IF(V32&lt;&gt;"SÍ","",IF(AND(C32="PERIMETRAL",AL32-AM32&gt;0,AT32&gt;0),"SÍ","NO"))</f>
        <v/>
      </c>
      <c r="DC32" s="55" t="str">
        <f>IF(V32&lt;&gt;"SÍ","",IF(AND(C32="PERIMETRAL",AM32&gt;0,AU32&gt;0),"SÍ","NO"))</f>
        <v/>
      </c>
      <c r="DD32" s="63" t="str">
        <f>IF(V32&lt;&gt;"SÍ","",IF(OR(C32="VOLADO",AL32=0),"—",IF(AND(AND(INDEX(TABLAS!$G$52:$G$58,MATCH(MAX(BR32,CL32),TABLAS!$B$52:$B$58,0))&lt;=(DATOS!$C$72-DATOS!$C$60),(DATOS!$C$72-DATOS!$C$60)&gt;=15),8*INDEX(TABLAS!$C$52:$C$58,MATCH(MAX(BH32,CB32,BR32,CL32),TABLAS!$B$52:$B$58,0))&lt;=DATOS!$C$73-2*DATOS!$C$60),"CUMPLE (gancho de 180°)",IF(AND(INDEX(TABLAS!$G$52:$G$58,MATCH(MAX(BR32,CL32),TABLAS!$B$52:$B$58,0))&lt;=(DATOS!$C$72-DATOS!$C$60),(DATOS!$C$72-DATOS!$C$60)&gt;=15),"NO CUMPLE: el gancho de 180° (8·d_b) no cabe en el peralte de la dala de borde","NO CUMPLE: dala de borde ≥ "&amp;TEXT(CEILING(MAX(INDEX(TABLAS!$G$52:$G$58,MATCH(MAX(BR32,CL32),TABLAS!$B$52:$B$58,0)),15)+DATOS!$C$60,5),"0")&amp;" cm de ancho"&amp;IF(8*INDEX(TABLAS!$C$52:$C$58,MATCH(MAX(BH32,CB32,BR32,CL32),TABLAS!$B$52:$B$58,0))&lt;=DATOS!$C$73-2*DATOS!$C$60,""," y más peralte para el gancho")))))</f>
        <v/>
      </c>
      <c r="DE32" s="69" t="str">
        <f>IF(V32&lt;&gt;"SÍ","",IF(BI32=0,"NO ALCANZA","No. "&amp;BH32&amp;" @ "&amp;BI32&amp;" cm"&amp;IF(C32="VOLADO"," (temperatura)","")))</f>
        <v/>
      </c>
      <c r="DF32" s="69" t="str">
        <f>IF(V32&lt;&gt;"SÍ","",IF(BS32=0,"NO ALCANZA",IF(C32="VOLADO","No. "&amp;BR32&amp;" @ "&amp;BS32&amp;" cm"&amp;" de la orilla al respaldo ("&amp;IF(CZ32&gt;=100*IF(ISNUMBER(Q32),Q32,Z32),"hasta su apoyo lejano, con gancho","entran "&amp;TEXT(CZ32/100,"0.00")&amp;" m desde el paño")&amp;")","Bastones "&amp;"No. "&amp;BR32&amp;" @ "&amp;BS32&amp;" cm"&amp;", L = "&amp;TEXT(CZ32/100,"0.00")&amp;" m desde el paño")))</f>
        <v/>
      </c>
      <c r="DG32" s="69" t="str">
        <f>IF(V32&lt;&gt;"SÍ","",IF(CC32=0,"NO ALCANZA","No. "&amp;CB32&amp;" @ "&amp;CC32&amp;" cm"&amp;IF(C32="VOLADO"," (repartición)","")))</f>
        <v/>
      </c>
      <c r="DH32" s="69" t="str">
        <f>IF(V32&lt;&gt;"SÍ","",IF(CM32=0,"NO ALCANZA",IF(C32="VOLADO","No. "&amp;CL32&amp;" @ "&amp;CM32&amp;" cm"&amp;" (repartición)","Bastones "&amp;"No. "&amp;CL32&amp;" @ "&amp;CM32&amp;" cm"&amp;", L = "&amp;TEXT(DA32/100,"0.00")&amp;" m desde el paño")))</f>
        <v/>
      </c>
      <c r="DI32" s="67" t="str">
        <f>IF(B32="","",IF(V32&lt;&gt;"SÍ","FALTAN DATOS: tipo, a_x, a_y y destino",IF(L32="NO MONOLÍTICO (caso II)","FUERA DE ALCANCE: caso II no transcrito",IF(AND(C32="VOLADO",X32="?"),"REVISAR: el volado lleva UN solo borde CONTINUO (el empotrado)",IF(AND(MAX(BM32,BW32,CG32,CQ32)&lt;=1,NOT(OR(BI32&lt;DATOS!$C$140,BS32&lt;DATOS!$C$140,CC32&lt;DATOS!$C$140,CM32&lt;DATOS!$C$140)),NOT(OR(AND(ISNUMBER(BN32),BN32&lt;0.005),AND(ISNUMBER(BX32),BX32&lt;0.005),AND(ISNUMBER(CH32),CH32&lt;0.005),AND(ISNUMBER(CR32),CR32&lt;0.005))),CV32="CUMPLE",CY32="CUMPLE"),"CUMPLE"&amp;IF(LEFT(BB32,5)="FUERA"," · fuera de 3.4.2.1 c)","")&amp;IF(LEFT(DD32,2)="NO"," · REVISAR anclaje en borde discontinuo",""),IF(AND(MAX(BM32,BW32,CG32,CQ32)&lt;=1,NOT(OR(BI32&lt;DATOS!$C$140,BS32&lt;DATOS!$C$140,CC32&lt;DATOS!$C$140,CM32&lt;DATOS!$C$140)),NOT(OR(AND(ISNUMBER(BN32),BN32&lt;0.005),AND(ISNUMBER(BX32),BX32&lt;0.005),AND(ISNUMBER(CH32),CH32&lt;0.005),AND(ISNUMBER(CR32),CR32&lt;0.005))),CV32="CUMPLE",CY32="CALCULAR FLECHA"),"REVISAR: calcular flecha (h &lt; h mín.)"&amp;IF(LEFT(BB32,5)="FUERA"," · fuera de 3.4.2.1 c)","")&amp;IF(LEFT(DD32,2)="NO"," · REVISAR anclaje en borde discontinuo",""),"NO CUMPLE: "&amp;IF(MAX(BM32,BW32,CG32,CQ32)&gt;1,"flexión ","")&amp;IF(OR(BI32&lt;DATOS!$C$140,BS32&lt;DATOS!$C$140,CC32&lt;DATOS!$C$140,CM32&lt;DATOS!$C$140),"separación &lt; mínima ","")&amp;IF(OR(AND(ISNUMBER(BN32),BN32&lt;0.005),AND(ISNUMBER(BX32),BX32&lt;0.005),AND(ISNUMBER(CH32),CH32&lt;0.005),AND(ISNUMBER(CR32),CR32&lt;0.005)),"ε_t &lt; 0.005 ","")&amp;IF(CV32&lt;&gt;"CUMPLE","cortante ","")&amp;IF(CY32="NO CUMPLE","peralte","")))))))</f>
        <v/>
      </c>
      <c r="DJ32" s="70" t="str">
        <f>IF(V32&lt;&gt;"SÍ","",IF(LEFT(B32,7)="EJEMPLO","EJEMPLO de tablero típico: bórralo o sobrescríbelo. ","")&amp;IF(C32="VOLADO","Volado de "&amp;TEXT(Z32,"0.00")&amp;" m empotrado en el borde "&amp;LOWER(X32)&amp;IF(N(P32)&gt;0,", con "&amp;TEXT(P32,"0.0")&amp;" kg/m en la orilla","")&amp;". Lecho inferior con r_ext. Si la orilla carga pretil u otro elemento frágil, calcula la flecha (13.4). El acero superior entra al respaldo de "&amp;TEXT(IF(ISNUMBER(Q32),Q32,Z32),"0.00")&amp;" m"&amp;IF(ISNUMBER(Q32),""," (L_b no capturado: se tomó igual al volado)")&amp;" hasta pasar M = 0 con 0.9·PP sin carga viva; si ahí no se anula, llega al apoyo lejano y se ancla con gancho. ","")&amp;IF(LEFT(BB32,5)="FUERA","El M⁻ del vecino difiere más de 50 % (3.4.2.1 c): distribuye el desequilibrio (3.4.3.1) o confirma con un modelo; se arma con el mayor. ","")&amp;IF(OR(DB32="SÍ",DC32="SÍ"),"Bastones también en los bordes discontinuos (M⁻ de tabla), con gancho. ","")&amp;IF(LEFT(DD32,2)="NO","Anclaje: "&amp;DD32&amp;" (6.7.7.4.1.1). ","")&amp;IF(OR(AT32&gt;0,AU32&gt;0),"Esquinas exteriores sobre muro: refuerzo de esquina arriba y abajo en L_largo/5 (6.7.7.3.1). ",""))</f>
        <v/>
      </c>
    </row>
    <row r="33" ht="33" customHeight="1">
      <c r="A33" s="50">
        <f>IF(B33="",0,1)+A32</f>
        <v>3</v>
      </c>
      <c r="B33" s="29" t="n"/>
      <c r="C33" s="51" t="n"/>
      <c r="D33" s="29" t="n"/>
      <c r="E33" s="52" t="n"/>
      <c r="F33" s="52" t="n"/>
      <c r="G33" s="51" t="n"/>
      <c r="H33" s="51" t="n"/>
      <c r="I33" s="51" t="n"/>
      <c r="J33" s="51" t="n"/>
      <c r="K33" s="51" t="n"/>
      <c r="L33" s="51" t="n"/>
      <c r="M33" s="54" t="n"/>
      <c r="N33" s="53" t="n"/>
      <c r="O33" s="53" t="n"/>
      <c r="P33" s="54" t="n"/>
      <c r="Q33" s="52" t="n"/>
      <c r="R33" s="54" t="n"/>
      <c r="S33" s="53" t="n"/>
      <c r="T33" s="52" t="n"/>
      <c r="U33" s="52" t="n"/>
      <c r="V33" s="55" t="str">
        <f>IF(B33="","",IF(AND(OR(C33="PERIMETRAL",C33="VOLADO"),ISNUMBER(E33),ISNUMBER(F33),E33&gt;0,F33&gt;0,OR(ISNUMBER(O33),ISNUMBER(MATCH(D33,DATOS!$B$46:$B$55,0)))),"SÍ","NO"))</f>
        <v/>
      </c>
      <c r="W33" s="57" t="str">
        <f>IF(V33&lt;&gt;"SÍ","",IF(ISNUMBER(M33),M33,DATOS!$C$134))</f>
        <v/>
      </c>
      <c r="X33" s="55" t="str">
        <f>IF(V33&lt;&gt;"SÍ","",IF(C33&lt;&gt;"VOLADO","—",IF(COUNTIF(G33:J33,"CONTINUO")&lt;&gt;1,"?",IF(G33="CONTINUO","INFERIOR",IF(H33="CONTINUO","SUPERIOR",IF(I33="CONTINUO","IZQUIERDO","DERECHO"))))))</f>
        <v/>
      </c>
      <c r="Y33" s="55" t="str">
        <f>IF(V33&lt;&gt;"SÍ","",IF(C33="VOLADO",IF(OR(X33="IZQUIERDO",X33="DERECHO"),"X","Y"),IF(E33&lt;=F33,"X","Y")))</f>
        <v/>
      </c>
      <c r="Z33" s="56" t="str">
        <f>IF(V33&lt;&gt;"SÍ","",IF(C33="VOLADO",IF(Y33="X",E33,F33),MIN(E33,F33)))</f>
        <v/>
      </c>
      <c r="AA33" s="56" t="str">
        <f>IF(V33&lt;&gt;"SÍ","",IF(C33="VOLADO",IF(Y33="X",F33,E33),MAX(E33,F33)))</f>
        <v/>
      </c>
      <c r="AB33" s="56" t="str">
        <f>IF(V33&lt;&gt;"SÍ","",MIN(Z33,AA33)/MAX(Z33,AA33))</f>
        <v/>
      </c>
      <c r="AC33" s="57" t="str">
        <f>IF(V33&lt;&gt;"SÍ","",MAX(1,Z33*100-IF(C33="VOLADO",DATOS!$C$84/2,DATOS!$C$84)))</f>
        <v/>
      </c>
      <c r="AD33" s="57" t="str">
        <f>IF(V33&lt;&gt;"SÍ","",MAX(1,AA33*100-DATOS!$C$84))</f>
        <v/>
      </c>
      <c r="AE33" s="57" t="str">
        <f>IF(V33&lt;&gt;"SÍ","",IF(C33="VOLADO",DATOS!$C$61,DATOS!$C$59))</f>
        <v/>
      </c>
      <c r="AF33" s="57" t="str">
        <f>IF(V33&lt;&gt;"SÍ","",IF(OR(AND(AG33="SÍ",DATOS!$C$63="SÍ"),AND(C33="VOLADO",DATOS!$C$64="SÍ")),DATOS!$C$61,DATOS!$C$59))</f>
        <v/>
      </c>
      <c r="AG33" s="55" t="str">
        <f>IF(V33&lt;&gt;"SÍ","",IFERROR(INDEX(DATOS!$D$46:$D$55,MATCH(D33,DATOS!$B$46:$B$55,0)),"NO"))</f>
        <v/>
      </c>
      <c r="AH33" s="59" t="str">
        <f>IF(V33&lt;&gt;"SÍ","",IF(ISNUMBER(O33),O33,IFERROR(INDEX(DATOS!$C$46:$C$55,MATCH(D33,DATOS!$B$46:$B$55,0)),0)))</f>
        <v/>
      </c>
      <c r="AI33" s="59" t="str">
        <f>IF(V33&lt;&gt;"SÍ","",W33/100*DATOS!$C$16*1000+DATOS!$C$37+DATOS!$C$38)</f>
        <v/>
      </c>
      <c r="AJ33" s="59" t="str">
        <f>IF(V33&lt;&gt;"SÍ","",AI33+N(N33))</f>
        <v/>
      </c>
      <c r="AK33" s="60" t="str">
        <f>IF(V33&lt;&gt;"SÍ","",MAX(DATOS!$C$26*AJ33+DATOS!$C$27*AH33,IF(AG33="SÍ",DATOS!$C$28*(AJ33+DATOS!$C$41),0)))</f>
        <v/>
      </c>
      <c r="AL33" s="59" t="str">
        <f>IF(V33&lt;&gt;"SÍ","",(G33="DISCONTINUO")+(H33="DISCONTINUO")+(I33="DISCONTINUO")+(J33="DISCONTINUO"))</f>
        <v/>
      </c>
      <c r="AM33" s="59" t="str">
        <f>IF(V33&lt;&gt;"SÍ","",IF(Y33="X",(G33="DISCONTINUO")+(H33="DISCONTINUO"),(I33="DISCONTINUO")+(J33="DISCONTINUO")))</f>
        <v/>
      </c>
      <c r="AN33" s="55" t="str">
        <f>IF(V33&lt;&gt;"SÍ","",IF(AL33=0,"INTERIOR",IF(AL33=1,IF(AM33=1,"BORDE-CORTO","BORDE-LARGO"),IF(AL33=2,IF(AM33=1,"ESQUINA",IF(AM33=2,"EXTREMO-LARGO","EXTREMO-CORTO")),IF(AL33=3,IF(AM33=2,"EXTREMO-LARGO","EXTREMO-CORTO"),"AISLADO")))))</f>
        <v/>
      </c>
      <c r="AO33" s="61" t="str">
        <f>IF(V33&lt;&gt;"SÍ","",IF(OR(K33="",K33="AUTO"),AN33,K33))</f>
        <v/>
      </c>
      <c r="AP33" s="59" t="str">
        <f>IF(V33&lt;&gt;"SÍ","",MATCH(AB33,TABLAS!$D$5:$J$5,1))</f>
        <v/>
      </c>
      <c r="AQ33" s="58" t="str">
        <f>IF(V33&lt;&gt;"SÍ","",IF(AP33&gt;=7,0,(AB33-INDEX(TABLAS!$D$5:$J$5,AP33))/(INDEX(TABLAS!$D$5:$J$5,AP33+1)-INDEX(TABLAS!$D$5:$J$5,AP33))))</f>
        <v/>
      </c>
      <c r="AR33" s="59" t="str">
        <f>IF(V33&lt;&gt;"SÍ","",INDEX(TABLAS!$D$6:$J$47,MATCH(AO33&amp;"|NIC",TABLAS!$B$6:$B$47,0),AP33)+AQ33*(INDEX(TABLAS!$D$6:$J$47,MATCH(AO33&amp;"|NIC",TABLAS!$B$6:$B$47,0),MIN(AP33+1,7))-INDEX(TABLAS!$D$6:$J$47,MATCH(AO33&amp;"|NIC",TABLAS!$B$6:$B$47,0),AP33)))</f>
        <v/>
      </c>
      <c r="AS33" s="59" t="str">
        <f>IF(V33&lt;&gt;"SÍ","",INDEX(TABLAS!$D$6:$J$47,MATCH(AO33&amp;"|NIL",TABLAS!$B$6:$B$47,0),AP33)+AQ33*(INDEX(TABLAS!$D$6:$J$47,MATCH(AO33&amp;"|NIL",TABLAS!$B$6:$B$47,0),MIN(AP33+1,7))-INDEX(TABLAS!$D$6:$J$47,MATCH(AO33&amp;"|NIL",TABLAS!$B$6:$B$47,0),AP33)))</f>
        <v/>
      </c>
      <c r="AT33" s="59" t="str">
        <f>IF(V33&lt;&gt;"SÍ","",INDEX(TABLAS!$D$6:$J$47,MATCH(AO33&amp;"|NDC",TABLAS!$B$6:$B$47,0),AP33)+AQ33*(INDEX(TABLAS!$D$6:$J$47,MATCH(AO33&amp;"|NDC",TABLAS!$B$6:$B$47,0),MIN(AP33+1,7))-INDEX(TABLAS!$D$6:$J$47,MATCH(AO33&amp;"|NDC",TABLAS!$B$6:$B$47,0),AP33)))</f>
        <v/>
      </c>
      <c r="AU33" s="59" t="str">
        <f>IF(V33&lt;&gt;"SÍ","",INDEX(TABLAS!$D$6:$J$47,MATCH(AO33&amp;"|NDL",TABLAS!$B$6:$B$47,0),AP33)+AQ33*(INDEX(TABLAS!$D$6:$J$47,MATCH(AO33&amp;"|NDL",TABLAS!$B$6:$B$47,0),MIN(AP33+1,7))-INDEX(TABLAS!$D$6:$J$47,MATCH(AO33&amp;"|NDL",TABLAS!$B$6:$B$47,0),AP33)))</f>
        <v/>
      </c>
      <c r="AV33" s="59" t="str">
        <f>IF(V33&lt;&gt;"SÍ","",INDEX(TABLAS!$D$6:$J$47,MATCH(AO33&amp;"|PC",TABLAS!$B$6:$B$47,0),AP33)+AQ33*(INDEX(TABLAS!$D$6:$J$47,MATCH(AO33&amp;"|PC",TABLAS!$B$6:$B$47,0),MIN(AP33+1,7))-INDEX(TABLAS!$D$6:$J$47,MATCH(AO33&amp;"|PC",TABLAS!$B$6:$B$47,0),AP33)))</f>
        <v/>
      </c>
      <c r="AW33" s="59" t="str">
        <f>IF(V33&lt;&gt;"SÍ","",INDEX(TABLAS!$D$6:$J$47,MATCH(AO33&amp;"|PL",TABLAS!$B$6:$B$47,0),AP33)+AQ33*(INDEX(TABLAS!$D$6:$J$47,MATCH(AO33&amp;"|PL",TABLAS!$B$6:$B$47,0),MIN(AP33+1,7))-INDEX(TABLAS!$D$6:$J$47,MATCH(AO33&amp;"|PL",TABLAS!$B$6:$B$47,0),AP33)))</f>
        <v/>
      </c>
      <c r="AX33" s="56" t="str">
        <f>IF(V33&lt;&gt;"SÍ","",IF(C33="PERIMETRAL",AV33*AK33*Z33^2*1E-4/1000,0))</f>
        <v/>
      </c>
      <c r="AY33" s="62" t="str">
        <f>IF(V33&lt;&gt;"SÍ","",IF(C33="PERIMETRAL",MAX(MAX(AR33,AT33)*AK33*Z33^2*1E-4/1000,N(T33)),(AK33*(AC33/100)^2/2+DATOS!$C$26*N(P33)*AC33/100)/1000))</f>
        <v/>
      </c>
      <c r="AZ33" s="56" t="str">
        <f>IF(V33&lt;&gt;"SÍ","",IF(C33="PERIMETRAL",AW33*AK33*Z33^2*1E-4/1000,0))</f>
        <v/>
      </c>
      <c r="BA33" s="56" t="str">
        <f>IF(V33&lt;&gt;"SÍ","",IF(C33="PERIMETRAL",MAX(MAX(AS33,AU33)*AK33*Z33^2*1E-4/1000,N(U33)),0))</f>
        <v/>
      </c>
      <c r="BB33" s="63" t="str">
        <f>IF(V33&lt;&gt;"SÍ","",IF(C33&lt;&gt;"PERIMETRAL","—",IF(AND(N(T33)=0,N(U33)=0),"— (sin M⁻ del vecino)",IF(OR(AND(N(T33)&gt;0,ABS(MAX(AR33,AT33)*AK33*Z33^2*1E-4/1000-N(T33))&gt;0.5*MIN(MAX(AR33,AT33)*AK33*Z33^2*1E-4/1000,N(T33))),AND(N(U33)&gt;0,ABS(MAX(AS33,AU33)*AK33*Z33^2*1E-4/1000-N(U33))&gt;0.5*MIN(MAX(AS33,AU33)*AK33*Z33^2*1E-4/1000,N(U33)))),"FUERA: difieren &gt; 50 %"&amp;IF(AND(N(T33)&gt;0,ABS(MAX(AR33,AT33)*AK33*Z33^2*1E-4/1000-N(T33))&gt;0.5*MIN(MAX(AR33,AT33)*AK33*Z33^2*1E-4/1000,N(T33)))," ‖ corto","")&amp;IF(AND(N(U33)&gt;0,ABS(MAX(AS33,AU33)*AK33*Z33^2*1E-4/1000-N(U33))&gt;0.5*MIN(MAX(AS33,AU33)*AK33*Z33^2*1E-4/1000,N(U33)))," ‖ largo",""),"CUMPLE"))))</f>
        <v/>
      </c>
      <c r="BC33" s="58" t="str">
        <f>IF(V33&lt;&gt;"SÍ","",DATOS!$C$136*100*W33)</f>
        <v/>
      </c>
      <c r="BD33" s="57" t="str">
        <f>IF(V33&lt;&gt;"SÍ","",MIN(IF(C33="VOLADO",DATOS!$C$138,DATOS!$C$137)*W33,DATOS!$C$139))</f>
        <v/>
      </c>
      <c r="BE33" s="58" t="str">
        <f>IF(V33&lt;&gt;"SÍ","",(W33-AE33-INDEX(TABLAS!$C$52:$C$58,MATCH(IF(ISNUMBER(S33),S33,DATOS!$C$135),TABLAS!$B$52:$B$58,0))/2))</f>
        <v/>
      </c>
      <c r="BF33" s="58" t="str">
        <f>IF(V33&lt;&gt;"SÍ","",IF(AX33&lt;=0,0,IF((1-2*AX33*1E5/(DATOS!$C$29*100*BE33^2*DATOS!$C$21))&lt;0,-1,IF((1-SQRT((1-2*AX33*1E5/(DATOS!$C$29*100*BE33^2*DATOS!$C$21))))*DATOS!$C$21*100*BE33/DATOS!$C$14&gt;DATOS!$C$99*100*BE33,-1,(1-SQRT((1-2*AX33*1E5/(DATOS!$C$29*100*BE33^2*DATOS!$C$21))))*DATOS!$C$21*100*BE33/DATOS!$C$14))))</f>
        <v/>
      </c>
      <c r="BG33" s="58" t="str">
        <f>IF(V33&lt;&gt;"SÍ","",IF(BF33&lt;0,-1,MAX(BF33,BC33)))</f>
        <v/>
      </c>
      <c r="BH33" s="64" t="str">
        <f>IF(V33&lt;&gt;"SÍ","",IF(AND(BG33&gt;0,FLOOR(MIN(BD33,100*INDEX(TABLAS!$D$52:$D$58,MIN(MATCH(IF(ISNUMBER(S33),S33,DATOS!$C$135),TABLAS!$B$52:$B$58,0)+0,7))/MAX(BG33,0.0001)),DATOS!$C$141)&gt;=DATOS!$C$140),INDEX(TABLAS!$B$52:$B$58,MIN(MATCH(IF(ISNUMBER(S33),S33,DATOS!$C$135),TABLAS!$B$52:$B$58,0)+0,7)),IF(AND(BG33&gt;0,FLOOR(MIN(BD33,100*INDEX(TABLAS!$D$52:$D$58,MIN(MATCH(IF(ISNUMBER(S33),S33,DATOS!$C$135),TABLAS!$B$52:$B$58,0)+1,7))/MAX(BG33,0.0001)),DATOS!$C$141)&gt;=DATOS!$C$140),INDEX(TABLAS!$B$52:$B$58,MIN(MATCH(IF(ISNUMBER(S33),S33,DATOS!$C$135),TABLAS!$B$52:$B$58,0)+1,7)),IF(AND(BG33&gt;0,FLOOR(MIN(BD33,100*INDEX(TABLAS!$D$52:$D$58,MIN(MATCH(IF(ISNUMBER(S33),S33,DATOS!$C$135),TABLAS!$B$52:$B$58,0)+2,7))/MAX(BG33,0.0001)),DATOS!$C$141)&gt;=DATOS!$C$140),INDEX(TABLAS!$B$52:$B$58,MIN(MATCH(IF(ISNUMBER(S33),S33,DATOS!$C$135),TABLAS!$B$52:$B$58,0)+2,7)),IF(AND(BG33&gt;0,FLOOR(MIN(BD33,100*INDEX(TABLAS!$D$52:$D$58,MIN(MATCH(IF(ISNUMBER(S33),S33,DATOS!$C$135),TABLAS!$B$52:$B$58,0)+3,7))/MAX(BG33,0.0001)),DATOS!$C$141)&gt;=DATOS!$C$140),INDEX(TABLAS!$B$52:$B$58,MIN(MATCH(IF(ISNUMBER(S33),S33,DATOS!$C$135),TABLAS!$B$52:$B$58,0)+3,7)),IF(AND(BG33&gt;0,FLOOR(MIN(BD33,100*INDEX(TABLAS!$D$52:$D$58,MIN(MATCH(IF(ISNUMBER(S33),S33,DATOS!$C$135),TABLAS!$B$52:$B$58,0)+4,7))/MAX(BG33,0.0001)),DATOS!$C$141)&gt;=DATOS!$C$140),INDEX(TABLAS!$B$52:$B$58,MIN(MATCH(IF(ISNUMBER(S33),S33,DATOS!$C$135),TABLAS!$B$52:$B$58,0)+4,7)),INDEX(TABLAS!$B$52:$B$58,7)))))))</f>
        <v/>
      </c>
      <c r="BI33" s="71" t="str">
        <f>IF(V33&lt;&gt;"SÍ","",IF(BG33&lt;=0,0,FLOOR(MIN(BD33,100*INDEX(TABLAS!$D$52:$D$58,MATCH(BH33,TABLAS!$B$52:$B$58,0))/BG33),DATOS!$C$141)))</f>
        <v/>
      </c>
      <c r="BJ33" s="58" t="str">
        <f>IF(V33&lt;&gt;"SÍ","",IF(BI33&lt;=0,0,INDEX(TABLAS!$D$52:$D$58,MATCH(BH33,TABLAS!$B$52:$B$58,0))*100/BI33))</f>
        <v/>
      </c>
      <c r="BK33" s="58" t="str">
        <f>IF(V33&lt;&gt;"SÍ","",W33-AE33-INDEX(TABLAS!$C$52:$C$58,MATCH(BH33,TABLAS!$B$52:$B$58,0))/2)</f>
        <v/>
      </c>
      <c r="BL33" s="56" t="str">
        <f>IF(V33&lt;&gt;"SÍ","",IF(BJ33=0,0,DATOS!$C$29*BJ33*DATOS!$C$14*(BK33-BJ33*DATOS!$C$14/(DATOS!$C$21*100)/2)/1E5))</f>
        <v/>
      </c>
      <c r="BM33" s="65" t="str">
        <f>IF(V33&lt;&gt;"SÍ","",IF(BG33&lt;0,9.99,IF(BL33&gt;0,AX33/BL33,0)))</f>
        <v/>
      </c>
      <c r="BN33" s="66" t="str">
        <f>IF(V33&lt;&gt;"SÍ","",IF(BJ33=0,"—",0.003*(BK33-(BJ33*DATOS!$C$14/(DATOS!$C$21*100)/DATOS!$C$22))/(BJ33*DATOS!$C$14/(DATOS!$C$21*100)/DATOS!$C$22)))</f>
        <v/>
      </c>
      <c r="BO33" s="58" t="str">
        <f>IF(V33&lt;&gt;"SÍ","",((W33-AF33-INDEX(TABLAS!$C$52:$C$58,MATCH(IF(ISNUMBER(S33),S33,DATOS!$C$135),TABLAS!$B$52:$B$58,0))/2)-IF(AND((W33-AF33-INDEX(TABLAS!$C$52:$C$58,MATCH(IF(ISNUMBER(S33),S33,DATOS!$C$135),TABLAS!$B$52:$B$58,0))/2)&lt;=20,DATOS!$C$62&lt;&gt;"SÍ"),2,0)))</f>
        <v/>
      </c>
      <c r="BP33" s="58" t="str">
        <f>IF(V33&lt;&gt;"SÍ","",IF(AY33&lt;=0,0,IF((1-2*AY33*1E5/(DATOS!$C$29*100*BO33^2*DATOS!$C$21))&lt;0,-1,IF((1-SQRT((1-2*AY33*1E5/(DATOS!$C$29*100*BO33^2*DATOS!$C$21))))*DATOS!$C$21*100*BO33/DATOS!$C$14&gt;DATOS!$C$99*100*BO33,-1,(1-SQRT((1-2*AY33*1E5/(DATOS!$C$29*100*BO33^2*DATOS!$C$21))))*DATOS!$C$21*100*BO33/DATOS!$C$14))))</f>
        <v/>
      </c>
      <c r="BQ33" s="58" t="str">
        <f>IF(V33&lt;&gt;"SÍ","",IF(BP33&lt;0,-1,MAX(BP33,BC33)))</f>
        <v/>
      </c>
      <c r="BR33" s="64" t="str">
        <f>IF(V33&lt;&gt;"SÍ","",IF(AND(BQ33&gt;0,FLOOR(MIN(BD33,100*INDEX(TABLAS!$D$52:$D$58,MIN(MATCH(IF(ISNUMBER(S33),S33,DATOS!$C$135),TABLAS!$B$52:$B$58,0)+0,7))/MAX(BQ33,0.0001)),DATOS!$C$141)&gt;=DATOS!$C$140),INDEX(TABLAS!$B$52:$B$58,MIN(MATCH(IF(ISNUMBER(S33),S33,DATOS!$C$135),TABLAS!$B$52:$B$58,0)+0,7)),IF(AND(BQ33&gt;0,FLOOR(MIN(BD33,100*INDEX(TABLAS!$D$52:$D$58,MIN(MATCH(IF(ISNUMBER(S33),S33,DATOS!$C$135),TABLAS!$B$52:$B$58,0)+1,7))/MAX(BQ33,0.0001)),DATOS!$C$141)&gt;=DATOS!$C$140),INDEX(TABLAS!$B$52:$B$58,MIN(MATCH(IF(ISNUMBER(S33),S33,DATOS!$C$135),TABLAS!$B$52:$B$58,0)+1,7)),IF(AND(BQ33&gt;0,FLOOR(MIN(BD33,100*INDEX(TABLAS!$D$52:$D$58,MIN(MATCH(IF(ISNUMBER(S33),S33,DATOS!$C$135),TABLAS!$B$52:$B$58,0)+2,7))/MAX(BQ33,0.0001)),DATOS!$C$141)&gt;=DATOS!$C$140),INDEX(TABLAS!$B$52:$B$58,MIN(MATCH(IF(ISNUMBER(S33),S33,DATOS!$C$135),TABLAS!$B$52:$B$58,0)+2,7)),IF(AND(BQ33&gt;0,FLOOR(MIN(BD33,100*INDEX(TABLAS!$D$52:$D$58,MIN(MATCH(IF(ISNUMBER(S33),S33,DATOS!$C$135),TABLAS!$B$52:$B$58,0)+3,7))/MAX(BQ33,0.0001)),DATOS!$C$141)&gt;=DATOS!$C$140),INDEX(TABLAS!$B$52:$B$58,MIN(MATCH(IF(ISNUMBER(S33),S33,DATOS!$C$135),TABLAS!$B$52:$B$58,0)+3,7)),IF(AND(BQ33&gt;0,FLOOR(MIN(BD33,100*INDEX(TABLAS!$D$52:$D$58,MIN(MATCH(IF(ISNUMBER(S33),S33,DATOS!$C$135),TABLAS!$B$52:$B$58,0)+4,7))/MAX(BQ33,0.0001)),DATOS!$C$141)&gt;=DATOS!$C$140),INDEX(TABLAS!$B$52:$B$58,MIN(MATCH(IF(ISNUMBER(S33),S33,DATOS!$C$135),TABLAS!$B$52:$B$58,0)+4,7)),INDEX(TABLAS!$B$52:$B$58,7)))))))</f>
        <v/>
      </c>
      <c r="BS33" s="71" t="str">
        <f>IF(V33&lt;&gt;"SÍ","",IF(BQ33&lt;=0,0,FLOOR(MIN(BD33,100*INDEX(TABLAS!$D$52:$D$58,MATCH(BR33,TABLAS!$B$52:$B$58,0))/BQ33),DATOS!$C$141)))</f>
        <v/>
      </c>
      <c r="BT33" s="58" t="str">
        <f>IF(V33&lt;&gt;"SÍ","",IF(BS33&lt;=0,0,INDEX(TABLAS!$D$52:$D$58,MATCH(BR33,TABLAS!$B$52:$B$58,0))*100/BS33))</f>
        <v/>
      </c>
      <c r="BU33" s="58" t="str">
        <f>IF(V33&lt;&gt;"SÍ","",((W33-AF33-INDEX(TABLAS!$C$52:$C$58,MATCH(BR33,TABLAS!$B$52:$B$58,0))/2)-IF(AND((W33-AF33-INDEX(TABLAS!$C$52:$C$58,MATCH(BR33,TABLAS!$B$52:$B$58,0))/2)&lt;=20,DATOS!$C$62&lt;&gt;"SÍ"),2,0)))</f>
        <v/>
      </c>
      <c r="BV33" s="56" t="str">
        <f>IF(V33&lt;&gt;"SÍ","",IF(BT33=0,0,DATOS!$C$29*BT33*DATOS!$C$14*(BU33-BT33*DATOS!$C$14/(DATOS!$C$21*100)/2)/1E5))</f>
        <v/>
      </c>
      <c r="BW33" s="65" t="str">
        <f>IF(V33&lt;&gt;"SÍ","",IF(BQ33&lt;0,9.99,IF(BV33&gt;0,AY33/BV33,0)))</f>
        <v/>
      </c>
      <c r="BX33" s="66" t="str">
        <f>IF(V33&lt;&gt;"SÍ","",IF(BT33=0,"—",0.003*(BU33-(BT33*DATOS!$C$14/(DATOS!$C$21*100)/DATOS!$C$22))/(BT33*DATOS!$C$14/(DATOS!$C$21*100)/DATOS!$C$22)))</f>
        <v/>
      </c>
      <c r="BY33" s="58" t="str">
        <f>IF(V33&lt;&gt;"SÍ","",(W33-AE33-1.5*INDEX(TABLAS!$C$52:$C$58,MATCH(IF(ISNUMBER(S33),S33,DATOS!$C$135),TABLAS!$B$52:$B$58,0))))</f>
        <v/>
      </c>
      <c r="BZ33" s="58" t="str">
        <f>IF(V33&lt;&gt;"SÍ","",IF(AZ33&lt;=0,0,IF((1-2*AZ33*1E5/(DATOS!$C$29*100*BY33^2*DATOS!$C$21))&lt;0,-1,IF((1-SQRT((1-2*AZ33*1E5/(DATOS!$C$29*100*BY33^2*DATOS!$C$21))))*DATOS!$C$21*100*BY33/DATOS!$C$14&gt;DATOS!$C$99*100*BY33,-1,(1-SQRT((1-2*AZ33*1E5/(DATOS!$C$29*100*BY33^2*DATOS!$C$21))))*DATOS!$C$21*100*BY33/DATOS!$C$14))))</f>
        <v/>
      </c>
      <c r="CA33" s="58" t="str">
        <f>IF(V33&lt;&gt;"SÍ","",IF(BZ33&lt;0,-1,MAX(BZ33,BC33)))</f>
        <v/>
      </c>
      <c r="CB33" s="64" t="str">
        <f>IF(V33&lt;&gt;"SÍ","",IF(AND(CA33&gt;0,FLOOR(MIN(BD33,100*INDEX(TABLAS!$D$52:$D$58,MIN(MATCH(IF(ISNUMBER(S33),S33,DATOS!$C$135),TABLAS!$B$52:$B$58,0)+0,7))/MAX(CA33,0.0001)),DATOS!$C$141)&gt;=DATOS!$C$140),INDEX(TABLAS!$B$52:$B$58,MIN(MATCH(IF(ISNUMBER(S33),S33,DATOS!$C$135),TABLAS!$B$52:$B$58,0)+0,7)),IF(AND(CA33&gt;0,FLOOR(MIN(BD33,100*INDEX(TABLAS!$D$52:$D$58,MIN(MATCH(IF(ISNUMBER(S33),S33,DATOS!$C$135),TABLAS!$B$52:$B$58,0)+1,7))/MAX(CA33,0.0001)),DATOS!$C$141)&gt;=DATOS!$C$140),INDEX(TABLAS!$B$52:$B$58,MIN(MATCH(IF(ISNUMBER(S33),S33,DATOS!$C$135),TABLAS!$B$52:$B$58,0)+1,7)),IF(AND(CA33&gt;0,FLOOR(MIN(BD33,100*INDEX(TABLAS!$D$52:$D$58,MIN(MATCH(IF(ISNUMBER(S33),S33,DATOS!$C$135),TABLAS!$B$52:$B$58,0)+2,7))/MAX(CA33,0.0001)),DATOS!$C$141)&gt;=DATOS!$C$140),INDEX(TABLAS!$B$52:$B$58,MIN(MATCH(IF(ISNUMBER(S33),S33,DATOS!$C$135),TABLAS!$B$52:$B$58,0)+2,7)),IF(AND(CA33&gt;0,FLOOR(MIN(BD33,100*INDEX(TABLAS!$D$52:$D$58,MIN(MATCH(IF(ISNUMBER(S33),S33,DATOS!$C$135),TABLAS!$B$52:$B$58,0)+3,7))/MAX(CA33,0.0001)),DATOS!$C$141)&gt;=DATOS!$C$140),INDEX(TABLAS!$B$52:$B$58,MIN(MATCH(IF(ISNUMBER(S33),S33,DATOS!$C$135),TABLAS!$B$52:$B$58,0)+3,7)),IF(AND(CA33&gt;0,FLOOR(MIN(BD33,100*INDEX(TABLAS!$D$52:$D$58,MIN(MATCH(IF(ISNUMBER(S33),S33,DATOS!$C$135),TABLAS!$B$52:$B$58,0)+4,7))/MAX(CA33,0.0001)),DATOS!$C$141)&gt;=DATOS!$C$140),INDEX(TABLAS!$B$52:$B$58,MIN(MATCH(IF(ISNUMBER(S33),S33,DATOS!$C$135),TABLAS!$B$52:$B$58,0)+4,7)),INDEX(TABLAS!$B$52:$B$58,7)))))))</f>
        <v/>
      </c>
      <c r="CC33" s="71" t="str">
        <f>IF(V33&lt;&gt;"SÍ","",IF(CA33&lt;=0,0,FLOOR(MIN(BD33,100*INDEX(TABLAS!$D$52:$D$58,MATCH(CB33,TABLAS!$B$52:$B$58,0))/CA33),DATOS!$C$141)))</f>
        <v/>
      </c>
      <c r="CD33" s="58" t="str">
        <f>IF(V33&lt;&gt;"SÍ","",IF(CC33&lt;=0,0,INDEX(TABLAS!$D$52:$D$58,MATCH(CB33,TABLAS!$B$52:$B$58,0))*100/CC33))</f>
        <v/>
      </c>
      <c r="CE33" s="58" t="str">
        <f>IF(V33&lt;&gt;"SÍ","",W33-AE33-INDEX(TABLAS!$C$52:$C$58,MATCH(BH33,TABLAS!$B$52:$B$58,0))-INDEX(TABLAS!$C$52:$C$58,MATCH(CB33,TABLAS!$B$52:$B$58,0))/2)</f>
        <v/>
      </c>
      <c r="CF33" s="56" t="str">
        <f>IF(V33&lt;&gt;"SÍ","",IF(CD33=0,0,DATOS!$C$29*CD33*DATOS!$C$14*(CE33-CD33*DATOS!$C$14/(DATOS!$C$21*100)/2)/1E5))</f>
        <v/>
      </c>
      <c r="CG33" s="65" t="str">
        <f>IF(V33&lt;&gt;"SÍ","",IF(CA33&lt;0,9.99,IF(CF33&gt;0,AZ33/CF33,0)))</f>
        <v/>
      </c>
      <c r="CH33" s="66" t="str">
        <f>IF(V33&lt;&gt;"SÍ","",IF(CD33=0,"—",0.003*(CE33-(CD33*DATOS!$C$14/(DATOS!$C$21*100)/DATOS!$C$22))/(CD33*DATOS!$C$14/(DATOS!$C$21*100)/DATOS!$C$22)))</f>
        <v/>
      </c>
      <c r="CI33" s="58" t="str">
        <f>IF(V33&lt;&gt;"SÍ","",((W33-AF33-1.5*INDEX(TABLAS!$C$52:$C$58,MATCH(IF(ISNUMBER(S33),S33,DATOS!$C$135),TABLAS!$B$52:$B$58,0)))-IF(AND((W33-AF33-1.5*INDEX(TABLAS!$C$52:$C$58,MATCH(IF(ISNUMBER(S33),S33,DATOS!$C$135),TABLAS!$B$52:$B$58,0)))&lt;=20,DATOS!$C$62&lt;&gt;"SÍ"),2,0)))</f>
        <v/>
      </c>
      <c r="CJ33" s="58" t="str">
        <f>IF(V33&lt;&gt;"SÍ","",IF(BA33&lt;=0,0,IF((1-2*BA33*1E5/(DATOS!$C$29*100*CI33^2*DATOS!$C$21))&lt;0,-1,IF((1-SQRT((1-2*BA33*1E5/(DATOS!$C$29*100*CI33^2*DATOS!$C$21))))*DATOS!$C$21*100*CI33/DATOS!$C$14&gt;DATOS!$C$99*100*CI33,-1,(1-SQRT((1-2*BA33*1E5/(DATOS!$C$29*100*CI33^2*DATOS!$C$21))))*DATOS!$C$21*100*CI33/DATOS!$C$14))))</f>
        <v/>
      </c>
      <c r="CK33" s="58" t="str">
        <f>IF(V33&lt;&gt;"SÍ","",IF(CJ33&lt;0,-1,MAX(CJ33,BC33)))</f>
        <v/>
      </c>
      <c r="CL33" s="64" t="str">
        <f>IF(V33&lt;&gt;"SÍ","",IF(AND(CK33&gt;0,FLOOR(MIN(BD33,100*INDEX(TABLAS!$D$52:$D$58,MIN(MATCH(IF(ISNUMBER(S33),S33,DATOS!$C$135),TABLAS!$B$52:$B$58,0)+0,7))/MAX(CK33,0.0001)),DATOS!$C$141)&gt;=DATOS!$C$140),INDEX(TABLAS!$B$52:$B$58,MIN(MATCH(IF(ISNUMBER(S33),S33,DATOS!$C$135),TABLAS!$B$52:$B$58,0)+0,7)),IF(AND(CK33&gt;0,FLOOR(MIN(BD33,100*INDEX(TABLAS!$D$52:$D$58,MIN(MATCH(IF(ISNUMBER(S33),S33,DATOS!$C$135),TABLAS!$B$52:$B$58,0)+1,7))/MAX(CK33,0.0001)),DATOS!$C$141)&gt;=DATOS!$C$140),INDEX(TABLAS!$B$52:$B$58,MIN(MATCH(IF(ISNUMBER(S33),S33,DATOS!$C$135),TABLAS!$B$52:$B$58,0)+1,7)),IF(AND(CK33&gt;0,FLOOR(MIN(BD33,100*INDEX(TABLAS!$D$52:$D$58,MIN(MATCH(IF(ISNUMBER(S33),S33,DATOS!$C$135),TABLAS!$B$52:$B$58,0)+2,7))/MAX(CK33,0.0001)),DATOS!$C$141)&gt;=DATOS!$C$140),INDEX(TABLAS!$B$52:$B$58,MIN(MATCH(IF(ISNUMBER(S33),S33,DATOS!$C$135),TABLAS!$B$52:$B$58,0)+2,7)),IF(AND(CK33&gt;0,FLOOR(MIN(BD33,100*INDEX(TABLAS!$D$52:$D$58,MIN(MATCH(IF(ISNUMBER(S33),S33,DATOS!$C$135),TABLAS!$B$52:$B$58,0)+3,7))/MAX(CK33,0.0001)),DATOS!$C$141)&gt;=DATOS!$C$140),INDEX(TABLAS!$B$52:$B$58,MIN(MATCH(IF(ISNUMBER(S33),S33,DATOS!$C$135),TABLAS!$B$52:$B$58,0)+3,7)),IF(AND(CK33&gt;0,FLOOR(MIN(BD33,100*INDEX(TABLAS!$D$52:$D$58,MIN(MATCH(IF(ISNUMBER(S33),S33,DATOS!$C$135),TABLAS!$B$52:$B$58,0)+4,7))/MAX(CK33,0.0001)),DATOS!$C$141)&gt;=DATOS!$C$140),INDEX(TABLAS!$B$52:$B$58,MIN(MATCH(IF(ISNUMBER(S33),S33,DATOS!$C$135),TABLAS!$B$52:$B$58,0)+4,7)),INDEX(TABLAS!$B$52:$B$58,7)))))))</f>
        <v/>
      </c>
      <c r="CM33" s="71" t="str">
        <f>IF(V33&lt;&gt;"SÍ","",IF(CK33&lt;=0,0,FLOOR(MIN(BD33,100*INDEX(TABLAS!$D$52:$D$58,MATCH(CL33,TABLAS!$B$52:$B$58,0))/CK33),DATOS!$C$141)))</f>
        <v/>
      </c>
      <c r="CN33" s="58" t="str">
        <f>IF(V33&lt;&gt;"SÍ","",IF(CM33&lt;=0,0,INDEX(TABLAS!$D$52:$D$58,MATCH(CL33,TABLAS!$B$52:$B$58,0))*100/CM33))</f>
        <v/>
      </c>
      <c r="CO33" s="58" t="str">
        <f>IF(V33&lt;&gt;"SÍ","",((W33-AF33-INDEX(TABLAS!$C$52:$C$58,MATCH(BR33,TABLAS!$B$52:$B$58,0))-INDEX(TABLAS!$C$52:$C$58,MATCH(CL33,TABLAS!$B$52:$B$58,0))/2)-IF(AND((W33-AF33-INDEX(TABLAS!$C$52:$C$58,MATCH(BR33,TABLAS!$B$52:$B$58,0))-INDEX(TABLAS!$C$52:$C$58,MATCH(CL33,TABLAS!$B$52:$B$58,0))/2)&lt;=20,DATOS!$C$62&lt;&gt;"SÍ"),2,0)))</f>
        <v/>
      </c>
      <c r="CP33" s="56" t="str">
        <f>IF(V33&lt;&gt;"SÍ","",IF(CN33=0,0,DATOS!$C$29*CN33*DATOS!$C$14*(CO33-CN33*DATOS!$C$14/(DATOS!$C$21*100)/2)/1E5))</f>
        <v/>
      </c>
      <c r="CQ33" s="65" t="str">
        <f>IF(V33&lt;&gt;"SÍ","",IF(CK33&lt;0,9.99,IF(CP33&gt;0,BA33/CP33,0)))</f>
        <v/>
      </c>
      <c r="CR33" s="66" t="str">
        <f>IF(V33&lt;&gt;"SÍ","",IF(CN33=0,"—",0.003*(CO33-(CN33*DATOS!$C$14/(DATOS!$C$21*100)/DATOS!$C$22))/(CN33*DATOS!$C$14/(DATOS!$C$21*100)/DATOS!$C$22)))</f>
        <v/>
      </c>
      <c r="CS33" s="56" t="str">
        <f>IF(V33&lt;&gt;"SÍ","",IF(C33="PERIMETRAL",MAX(0,(AC33/2-BU33)/100)*(0.95-0.5*AB33)*AK33*IF(AND(AL33&gt;0,AL33&lt;4),DATOS!$C$33,1)/1000,(AK33*MAX(0,AC33-BU33)/100+DATOS!$C$26*N(P33))/1000))</f>
        <v/>
      </c>
      <c r="CT33" s="66" t="str">
        <f>IF(V33&lt;&gt;"SÍ","",BT33/(100*BU33))</f>
        <v/>
      </c>
      <c r="CU33" s="56" t="str">
        <f>IF(V33&lt;&gt;"SÍ","",DATOS!$C$30*2*MIN(1,SQRT(2/(1+0.04*BU33)))*CT33^(1/3)*SQRT(DATOS!$C$13)*100*BU33/1000)</f>
        <v/>
      </c>
      <c r="CV33" s="67" t="str">
        <f>IF(V33&lt;&gt;"SÍ","",IF(CS33&lt;=CU33,"CUMPLE","NO CUMPLE: sube h"))</f>
        <v/>
      </c>
      <c r="CW33" s="58" t="str">
        <f>IF(V33&lt;&gt;"SÍ","",IF(C33="PERIMETRAL",IF(ISNUMBER(R33),R33,DATOS!$C$101),0))</f>
        <v/>
      </c>
      <c r="CX33" s="57" t="str">
        <f>IF(V33&lt;&gt;"SÍ","",IF(C33="PERIMETRAL",IF(CW33&gt;2,MAX(9,AD33*(0.8+DATOS!$C$14/14000)/(36+9*(AD33/MAX(AC33,1)))),IF(CW33&gt;0.2,MAX(13,AD33*(0.8+DATOS!$C$14/14000)/(36+5*(AD33/MAX(AC33,1))*(CW33-0.2))),MAX(13,AD33/IF(AL33&gt;0,30,33))))*IF(AND(CW33&gt;0.2,AL33&gt;0,DATOS!$C$102="NO"),1.1,1),Z33*100/DATOS!$C$142))</f>
        <v/>
      </c>
      <c r="CY33" s="61" t="str">
        <f>IF(V33&lt;&gt;"SÍ","",IF(W33&gt;=CX33-0.001,"CUMPLE",IF(C33="VOLADO","NO CUMPLE","CALCULAR FLECHA")))</f>
        <v/>
      </c>
      <c r="CZ33" s="60" t="str">
        <f>IF(V33&lt;&gt;"SÍ","",IF(C33="VOLADO",MIN(CEILING(IF(ISNUMBER(Q33),Q33,Z33)*100,5),CEILING(MAX(IF((0.5*(0.9*W33/100*DATOS!$C$16)*IF(ISNUMBER(Q33),Q33,Z33)+AY33/IF(ISNUMBER(Q33),Q33,Z33))^2-4*(0.5*(0.9*W33/100*DATOS!$C$16))*AY33&lt;0,IF(ISNUMBER(Q33),Q33,Z33),MIN(IF(ISNUMBER(Q33),Q33,Z33),((0.5*(0.9*W33/100*DATOS!$C$16)*IF(ISNUMBER(Q33),Q33,Z33)+AY33/IF(ISNUMBER(Q33),Q33,Z33))-SQRT((0.5*(0.9*W33/100*DATOS!$C$16)*IF(ISNUMBER(Q33),Q33,Z33)+AY33/IF(ISNUMBER(Q33),Q33,Z33))^2-4*(0.5*(0.9*W33/100*DATOS!$C$16))*AY33))/(2*(0.5*(0.9*W33/100*DATOS!$C$16)))))*100+MAX(BU33,12*INDEX(TABLAS!$C$52:$C$58,MATCH(BR33,TABLAS!$B$52:$B$58,0)),IF(ISNUMBER(Q33),Q33,Z33)*100/16),IF(OR(AF33&lt;INDEX(TABLAS!$C$52:$C$58,MATCH(BR33,TABLAS!$B$52:$B$58,0)),BS33-INDEX(TABLAS!$C$52:$C$58,MATCH(BR33,TABLAS!$B$52:$B$58,0))&lt;2*INDEX(TABLAS!$C$52:$C$58,MATCH(BR33,TABLAS!$B$52:$B$58,0))),INDEX(TABLAS!$I$52:$I$58,MATCH(BR33,TABLAS!$B$52:$B$58,0)),INDEX(TABLAS!$F$52:$F$58,MATCH(BR33,TABLAS!$B$52:$B$58,0)))),5)),IF(((4*((AV33*AK33*Z33^2*1E-4/1000)+((MAX(AR33,AT33)*AK33*Z33^2*1E-4/1000)+(IF(AND(AR33&gt;0,AT33&gt;0),MIN(AR33,AT33),MAX(AR33,AT33))*AK33*Z33^2*1E-4/1000))/2)+AY33-(IF(AND(AR33&gt;0,AT33&gt;0),MIN(AR33,AT33),MAX(AR33,AT33))*AK33*Z33^2*1E-4/1000))^2-16*((AV33*AK33*Z33^2*1E-4/1000)+((MAX(AR33,AT33)*AK33*Z33^2*1E-4/1000)+(IF(AND(AR33&gt;0,AT33&gt;0),MIN(AR33,AT33),MAX(AR33,AT33))*AK33*Z33^2*1E-4/1000))/2)*AY33)&lt;0,CEILING(AC33,5),CEILING(MAX(AC33*((4*((AV33*AK33*Z33^2*1E-4/1000)+((MAX(AR33,AT33)*AK33*Z33^2*1E-4/1000)+(IF(AND(AR33&gt;0,AT33&gt;0),MIN(AR33,AT33),MAX(AR33,AT33))*AK33*Z33^2*1E-4/1000))/2)+AY33-(IF(AND(AR33&gt;0,AT33&gt;0),MIN(AR33,AT33),MAX(AR33,AT33))*AK33*Z33^2*1E-4/1000))-SQRT(MAX(0,((4*((AV33*AK33*Z33^2*1E-4/1000)+((MAX(AR33,AT33)*AK33*Z33^2*1E-4/1000)+(IF(AND(AR33&gt;0,AT33&gt;0),MIN(AR33,AT33),MAX(AR33,AT33))*AK33*Z33^2*1E-4/1000))/2)+AY33-(IF(AND(AR33&gt;0,AT33&gt;0),MIN(AR33,AT33),MAX(AR33,AT33))*AK33*Z33^2*1E-4/1000))^2-16*((AV33*AK33*Z33^2*1E-4/1000)+((MAX(AR33,AT33)*AK33*Z33^2*1E-4/1000)+(IF(AND(AR33&gt;0,AT33&gt;0),MIN(AR33,AT33),MAX(AR33,AT33))*AK33*Z33^2*1E-4/1000))/2)*AY33))))/(8*MAX(((AV33*AK33*Z33^2*1E-4/1000)+((MAX(AR33,AT33)*AK33*Z33^2*1E-4/1000)+(IF(AND(AR33&gt;0,AT33&gt;0),MIN(AR33,AT33),MAX(AR33,AT33))*AK33*Z33^2*1E-4/1000))/2),1E-9))+MAX(BU33,12*INDEX(TABLAS!$C$52:$C$58,MATCH(BR33,TABLAS!$B$52:$B$58,0)),AC33/16),IF(OR(AF33&lt;INDEX(TABLAS!$C$52:$C$58,MATCH(BR33,TABLAS!$B$52:$B$58,0)),BS33-INDEX(TABLAS!$C$52:$C$58,MATCH(BR33,TABLAS!$B$52:$B$58,0))&lt;2*INDEX(TABLAS!$C$52:$C$58,MATCH(BR33,TABLAS!$B$52:$B$58,0))),INDEX(TABLAS!$I$52:$I$58,MATCH(BR33,TABLAS!$B$52:$B$58,0)),INDEX(TABLAS!$F$52:$F$58,MATCH(BR33,TABLAS!$B$52:$B$58,0)))),5))))</f>
        <v/>
      </c>
      <c r="DA33" s="60" t="str">
        <f>IF(V33&lt;&gt;"SÍ","",IF(C33="VOLADO",0,IF(((4*((AW33*AK33*Z33^2*1E-4/1000)+((MAX(AS33,AU33)*AK33*Z33^2*1E-4/1000)+(IF(AND(AS33&gt;0,AU33&gt;0),MIN(AS33,AU33),MAX(AS33,AU33))*AK33*Z33^2*1E-4/1000))/2)+BA33-(IF(AND(AS33&gt;0,AU33&gt;0),MIN(AS33,AU33),MAX(AS33,AU33))*AK33*Z33^2*1E-4/1000))^2-16*((AW33*AK33*Z33^2*1E-4/1000)+((MAX(AS33,AU33)*AK33*Z33^2*1E-4/1000)+(IF(AND(AS33&gt;0,AU33&gt;0),MIN(AS33,AU33),MAX(AS33,AU33))*AK33*Z33^2*1E-4/1000))/2)*BA33)&lt;0,CEILING(AD33,5),CEILING(MAX(AD33*((4*((AW33*AK33*Z33^2*1E-4/1000)+((MAX(AS33,AU33)*AK33*Z33^2*1E-4/1000)+(IF(AND(AS33&gt;0,AU33&gt;0),MIN(AS33,AU33),MAX(AS33,AU33))*AK33*Z33^2*1E-4/1000))/2)+BA33-(IF(AND(AS33&gt;0,AU33&gt;0),MIN(AS33,AU33),MAX(AS33,AU33))*AK33*Z33^2*1E-4/1000))-SQRT(MAX(0,((4*((AW33*AK33*Z33^2*1E-4/1000)+((MAX(AS33,AU33)*AK33*Z33^2*1E-4/1000)+(IF(AND(AS33&gt;0,AU33&gt;0),MIN(AS33,AU33),MAX(AS33,AU33))*AK33*Z33^2*1E-4/1000))/2)+BA33-(IF(AND(AS33&gt;0,AU33&gt;0),MIN(AS33,AU33),MAX(AS33,AU33))*AK33*Z33^2*1E-4/1000))^2-16*((AW33*AK33*Z33^2*1E-4/1000)+((MAX(AS33,AU33)*AK33*Z33^2*1E-4/1000)+(IF(AND(AS33&gt;0,AU33&gt;0),MIN(AS33,AU33),MAX(AS33,AU33))*AK33*Z33^2*1E-4/1000))/2)*BA33))))/(8*MAX(((AW33*AK33*Z33^2*1E-4/1000)+((MAX(AS33,AU33)*AK33*Z33^2*1E-4/1000)+(IF(AND(AS33&gt;0,AU33&gt;0),MIN(AS33,AU33),MAX(AS33,AU33))*AK33*Z33^2*1E-4/1000))/2),1E-9))+MAX(CO33,12*INDEX(TABLAS!$C$52:$C$58,MATCH(CL33,TABLAS!$B$52:$B$58,0)),AD33/16),IF(OR(AF33&lt;INDEX(TABLAS!$C$52:$C$58,MATCH(CL33,TABLAS!$B$52:$B$58,0)),CM33-INDEX(TABLAS!$C$52:$C$58,MATCH(CL33,TABLAS!$B$52:$B$58,0))&lt;2*INDEX(TABLAS!$C$52:$C$58,MATCH(CL33,TABLAS!$B$52:$B$58,0))),INDEX(TABLAS!$I$52:$I$58,MATCH(CL33,TABLAS!$B$52:$B$58,0)),INDEX(TABLAS!$F$52:$F$58,MATCH(CL33,TABLAS!$B$52:$B$58,0)))),5))))</f>
        <v/>
      </c>
      <c r="DB33" s="55" t="str">
        <f>IF(V33&lt;&gt;"SÍ","",IF(AND(C33="PERIMETRAL",AL33-AM33&gt;0,AT33&gt;0),"SÍ","NO"))</f>
        <v/>
      </c>
      <c r="DC33" s="55" t="str">
        <f>IF(V33&lt;&gt;"SÍ","",IF(AND(C33="PERIMETRAL",AM33&gt;0,AU33&gt;0),"SÍ","NO"))</f>
        <v/>
      </c>
      <c r="DD33" s="63" t="str">
        <f>IF(V33&lt;&gt;"SÍ","",IF(OR(C33="VOLADO",AL33=0),"—",IF(AND(AND(INDEX(TABLAS!$G$52:$G$58,MATCH(MAX(BR33,CL33),TABLAS!$B$52:$B$58,0))&lt;=(DATOS!$C$72-DATOS!$C$60),(DATOS!$C$72-DATOS!$C$60)&gt;=15),8*INDEX(TABLAS!$C$52:$C$58,MATCH(MAX(BH33,CB33,BR33,CL33),TABLAS!$B$52:$B$58,0))&lt;=DATOS!$C$73-2*DATOS!$C$60),"CUMPLE (gancho de 180°)",IF(AND(INDEX(TABLAS!$G$52:$G$58,MATCH(MAX(BR33,CL33),TABLAS!$B$52:$B$58,0))&lt;=(DATOS!$C$72-DATOS!$C$60),(DATOS!$C$72-DATOS!$C$60)&gt;=15),"NO CUMPLE: el gancho de 180° (8·d_b) no cabe en el peralte de la dala de borde","NO CUMPLE: dala de borde ≥ "&amp;TEXT(CEILING(MAX(INDEX(TABLAS!$G$52:$G$58,MATCH(MAX(BR33,CL33),TABLAS!$B$52:$B$58,0)),15)+DATOS!$C$60,5),"0")&amp;" cm de ancho"&amp;IF(8*INDEX(TABLAS!$C$52:$C$58,MATCH(MAX(BH33,CB33,BR33,CL33),TABLAS!$B$52:$B$58,0))&lt;=DATOS!$C$73-2*DATOS!$C$60,""," y más peralte para el gancho")))))</f>
        <v/>
      </c>
      <c r="DE33" s="69" t="str">
        <f>IF(V33&lt;&gt;"SÍ","",IF(BI33=0,"NO ALCANZA","No. "&amp;BH33&amp;" @ "&amp;BI33&amp;" cm"&amp;IF(C33="VOLADO"," (temperatura)","")))</f>
        <v/>
      </c>
      <c r="DF33" s="69" t="str">
        <f>IF(V33&lt;&gt;"SÍ","",IF(BS33=0,"NO ALCANZA",IF(C33="VOLADO","No. "&amp;BR33&amp;" @ "&amp;BS33&amp;" cm"&amp;" de la orilla al respaldo ("&amp;IF(CZ33&gt;=100*IF(ISNUMBER(Q33),Q33,Z33),"hasta su apoyo lejano, con gancho","entran "&amp;TEXT(CZ33/100,"0.00")&amp;" m desde el paño")&amp;")","Bastones "&amp;"No. "&amp;BR33&amp;" @ "&amp;BS33&amp;" cm"&amp;", L = "&amp;TEXT(CZ33/100,"0.00")&amp;" m desde el paño")))</f>
        <v/>
      </c>
      <c r="DG33" s="69" t="str">
        <f>IF(V33&lt;&gt;"SÍ","",IF(CC33=0,"NO ALCANZA","No. "&amp;CB33&amp;" @ "&amp;CC33&amp;" cm"&amp;IF(C33="VOLADO"," (repartición)","")))</f>
        <v/>
      </c>
      <c r="DH33" s="69" t="str">
        <f>IF(V33&lt;&gt;"SÍ","",IF(CM33=0,"NO ALCANZA",IF(C33="VOLADO","No. "&amp;CL33&amp;" @ "&amp;CM33&amp;" cm"&amp;" (repartición)","Bastones "&amp;"No. "&amp;CL33&amp;" @ "&amp;CM33&amp;" cm"&amp;", L = "&amp;TEXT(DA33/100,"0.00")&amp;" m desde el paño")))</f>
        <v/>
      </c>
      <c r="DI33" s="67" t="str">
        <f>IF(B33="","",IF(V33&lt;&gt;"SÍ","FALTAN DATOS: tipo, a_x, a_y y destino",IF(L33="NO MONOLÍTICO (caso II)","FUERA DE ALCANCE: caso II no transcrito",IF(AND(C33="VOLADO",X33="?"),"REVISAR: el volado lleva UN solo borde CONTINUO (el empotrado)",IF(AND(MAX(BM33,BW33,CG33,CQ33)&lt;=1,NOT(OR(BI33&lt;DATOS!$C$140,BS33&lt;DATOS!$C$140,CC33&lt;DATOS!$C$140,CM33&lt;DATOS!$C$140)),NOT(OR(AND(ISNUMBER(BN33),BN33&lt;0.005),AND(ISNUMBER(BX33),BX33&lt;0.005),AND(ISNUMBER(CH33),CH33&lt;0.005),AND(ISNUMBER(CR33),CR33&lt;0.005))),CV33="CUMPLE",CY33="CUMPLE"),"CUMPLE"&amp;IF(LEFT(BB33,5)="FUERA"," · fuera de 3.4.2.1 c)","")&amp;IF(LEFT(DD33,2)="NO"," · REVISAR anclaje en borde discontinuo",""),IF(AND(MAX(BM33,BW33,CG33,CQ33)&lt;=1,NOT(OR(BI33&lt;DATOS!$C$140,BS33&lt;DATOS!$C$140,CC33&lt;DATOS!$C$140,CM33&lt;DATOS!$C$140)),NOT(OR(AND(ISNUMBER(BN33),BN33&lt;0.005),AND(ISNUMBER(BX33),BX33&lt;0.005),AND(ISNUMBER(CH33),CH33&lt;0.005),AND(ISNUMBER(CR33),CR33&lt;0.005))),CV33="CUMPLE",CY33="CALCULAR FLECHA"),"REVISAR: calcular flecha (h &lt; h mín.)"&amp;IF(LEFT(BB33,5)="FUERA"," · fuera de 3.4.2.1 c)","")&amp;IF(LEFT(DD33,2)="NO"," · REVISAR anclaje en borde discontinuo",""),"NO CUMPLE: "&amp;IF(MAX(BM33,BW33,CG33,CQ33)&gt;1,"flexión ","")&amp;IF(OR(BI33&lt;DATOS!$C$140,BS33&lt;DATOS!$C$140,CC33&lt;DATOS!$C$140,CM33&lt;DATOS!$C$140),"separación &lt; mínima ","")&amp;IF(OR(AND(ISNUMBER(BN33),BN33&lt;0.005),AND(ISNUMBER(BX33),BX33&lt;0.005),AND(ISNUMBER(CH33),CH33&lt;0.005),AND(ISNUMBER(CR33),CR33&lt;0.005)),"ε_t &lt; 0.005 ","")&amp;IF(CV33&lt;&gt;"CUMPLE","cortante ","")&amp;IF(CY33="NO CUMPLE","peralte","")))))))</f>
        <v/>
      </c>
      <c r="DJ33" s="70" t="str">
        <f>IF(V33&lt;&gt;"SÍ","",IF(LEFT(B33,7)="EJEMPLO","EJEMPLO de tablero típico: bórralo o sobrescríbelo. ","")&amp;IF(C33="VOLADO","Volado de "&amp;TEXT(Z33,"0.00")&amp;" m empotrado en el borde "&amp;LOWER(X33)&amp;IF(N(P33)&gt;0,", con "&amp;TEXT(P33,"0.0")&amp;" kg/m en la orilla","")&amp;". Lecho inferior con r_ext. Si la orilla carga pretil u otro elemento frágil, calcula la flecha (13.4). El acero superior entra al respaldo de "&amp;TEXT(IF(ISNUMBER(Q33),Q33,Z33),"0.00")&amp;" m"&amp;IF(ISNUMBER(Q33),""," (L_b no capturado: se tomó igual al volado)")&amp;" hasta pasar M = 0 con 0.9·PP sin carga viva; si ahí no se anula, llega al apoyo lejano y se ancla con gancho. ","")&amp;IF(LEFT(BB33,5)="FUERA","El M⁻ del vecino difiere más de 50 % (3.4.2.1 c): distribuye el desequilibrio (3.4.3.1) o confirma con un modelo; se arma con el mayor. ","")&amp;IF(OR(DB33="SÍ",DC33="SÍ"),"Bastones también en los bordes discontinuos (M⁻ de tabla), con gancho. ","")&amp;IF(LEFT(DD33,2)="NO","Anclaje: "&amp;DD33&amp;" (6.7.7.4.1.1). ","")&amp;IF(OR(AT33&gt;0,AU33&gt;0),"Esquinas exteriores sobre muro: refuerzo de esquina arriba y abajo en L_largo/5 (6.7.7.3.1). ",""))</f>
        <v/>
      </c>
    </row>
    <row r="34" ht="33" customHeight="1">
      <c r="A34" s="50">
        <f>IF(B34="",0,1)+A33</f>
        <v>3</v>
      </c>
      <c r="B34" s="29" t="n"/>
      <c r="C34" s="51" t="n"/>
      <c r="D34" s="29" t="n"/>
      <c r="E34" s="52" t="n"/>
      <c r="F34" s="52" t="n"/>
      <c r="G34" s="51" t="n"/>
      <c r="H34" s="51" t="n"/>
      <c r="I34" s="51" t="n"/>
      <c r="J34" s="51" t="n"/>
      <c r="K34" s="51" t="n"/>
      <c r="L34" s="51" t="n"/>
      <c r="M34" s="54" t="n"/>
      <c r="N34" s="53" t="n"/>
      <c r="O34" s="53" t="n"/>
      <c r="P34" s="54" t="n"/>
      <c r="Q34" s="52" t="n"/>
      <c r="R34" s="54" t="n"/>
      <c r="S34" s="53" t="n"/>
      <c r="T34" s="52" t="n"/>
      <c r="U34" s="52" t="n"/>
      <c r="V34" s="55" t="str">
        <f>IF(B34="","",IF(AND(OR(C34="PERIMETRAL",C34="VOLADO"),ISNUMBER(E34),ISNUMBER(F34),E34&gt;0,F34&gt;0,OR(ISNUMBER(O34),ISNUMBER(MATCH(D34,DATOS!$B$46:$B$55,0)))),"SÍ","NO"))</f>
        <v/>
      </c>
      <c r="W34" s="57" t="str">
        <f>IF(V34&lt;&gt;"SÍ","",IF(ISNUMBER(M34),M34,DATOS!$C$134))</f>
        <v/>
      </c>
      <c r="X34" s="55" t="str">
        <f>IF(V34&lt;&gt;"SÍ","",IF(C34&lt;&gt;"VOLADO","—",IF(COUNTIF(G34:J34,"CONTINUO")&lt;&gt;1,"?",IF(G34="CONTINUO","INFERIOR",IF(H34="CONTINUO","SUPERIOR",IF(I34="CONTINUO","IZQUIERDO","DERECHO"))))))</f>
        <v/>
      </c>
      <c r="Y34" s="55" t="str">
        <f>IF(V34&lt;&gt;"SÍ","",IF(C34="VOLADO",IF(OR(X34="IZQUIERDO",X34="DERECHO"),"X","Y"),IF(E34&lt;=F34,"X","Y")))</f>
        <v/>
      </c>
      <c r="Z34" s="56" t="str">
        <f>IF(V34&lt;&gt;"SÍ","",IF(C34="VOLADO",IF(Y34="X",E34,F34),MIN(E34,F34)))</f>
        <v/>
      </c>
      <c r="AA34" s="56" t="str">
        <f>IF(V34&lt;&gt;"SÍ","",IF(C34="VOLADO",IF(Y34="X",F34,E34),MAX(E34,F34)))</f>
        <v/>
      </c>
      <c r="AB34" s="56" t="str">
        <f>IF(V34&lt;&gt;"SÍ","",MIN(Z34,AA34)/MAX(Z34,AA34))</f>
        <v/>
      </c>
      <c r="AC34" s="57" t="str">
        <f>IF(V34&lt;&gt;"SÍ","",MAX(1,Z34*100-IF(C34="VOLADO",DATOS!$C$84/2,DATOS!$C$84)))</f>
        <v/>
      </c>
      <c r="AD34" s="57" t="str">
        <f>IF(V34&lt;&gt;"SÍ","",MAX(1,AA34*100-DATOS!$C$84))</f>
        <v/>
      </c>
      <c r="AE34" s="57" t="str">
        <f>IF(V34&lt;&gt;"SÍ","",IF(C34="VOLADO",DATOS!$C$61,DATOS!$C$59))</f>
        <v/>
      </c>
      <c r="AF34" s="57" t="str">
        <f>IF(V34&lt;&gt;"SÍ","",IF(OR(AND(AG34="SÍ",DATOS!$C$63="SÍ"),AND(C34="VOLADO",DATOS!$C$64="SÍ")),DATOS!$C$61,DATOS!$C$59))</f>
        <v/>
      </c>
      <c r="AG34" s="55" t="str">
        <f>IF(V34&lt;&gt;"SÍ","",IFERROR(INDEX(DATOS!$D$46:$D$55,MATCH(D34,DATOS!$B$46:$B$55,0)),"NO"))</f>
        <v/>
      </c>
      <c r="AH34" s="59" t="str">
        <f>IF(V34&lt;&gt;"SÍ","",IF(ISNUMBER(O34),O34,IFERROR(INDEX(DATOS!$C$46:$C$55,MATCH(D34,DATOS!$B$46:$B$55,0)),0)))</f>
        <v/>
      </c>
      <c r="AI34" s="59" t="str">
        <f>IF(V34&lt;&gt;"SÍ","",W34/100*DATOS!$C$16*1000+DATOS!$C$37+DATOS!$C$38)</f>
        <v/>
      </c>
      <c r="AJ34" s="59" t="str">
        <f>IF(V34&lt;&gt;"SÍ","",AI34+N(N34))</f>
        <v/>
      </c>
      <c r="AK34" s="60" t="str">
        <f>IF(V34&lt;&gt;"SÍ","",MAX(DATOS!$C$26*AJ34+DATOS!$C$27*AH34,IF(AG34="SÍ",DATOS!$C$28*(AJ34+DATOS!$C$41),0)))</f>
        <v/>
      </c>
      <c r="AL34" s="59" t="str">
        <f>IF(V34&lt;&gt;"SÍ","",(G34="DISCONTINUO")+(H34="DISCONTINUO")+(I34="DISCONTINUO")+(J34="DISCONTINUO"))</f>
        <v/>
      </c>
      <c r="AM34" s="59" t="str">
        <f>IF(V34&lt;&gt;"SÍ","",IF(Y34="X",(G34="DISCONTINUO")+(H34="DISCONTINUO"),(I34="DISCONTINUO")+(J34="DISCONTINUO")))</f>
        <v/>
      </c>
      <c r="AN34" s="55" t="str">
        <f>IF(V34&lt;&gt;"SÍ","",IF(AL34=0,"INTERIOR",IF(AL34=1,IF(AM34=1,"BORDE-CORTO","BORDE-LARGO"),IF(AL34=2,IF(AM34=1,"ESQUINA",IF(AM34=2,"EXTREMO-LARGO","EXTREMO-CORTO")),IF(AL34=3,IF(AM34=2,"EXTREMO-LARGO","EXTREMO-CORTO"),"AISLADO")))))</f>
        <v/>
      </c>
      <c r="AO34" s="61" t="str">
        <f>IF(V34&lt;&gt;"SÍ","",IF(OR(K34="",K34="AUTO"),AN34,K34))</f>
        <v/>
      </c>
      <c r="AP34" s="59" t="str">
        <f>IF(V34&lt;&gt;"SÍ","",MATCH(AB34,TABLAS!$D$5:$J$5,1))</f>
        <v/>
      </c>
      <c r="AQ34" s="58" t="str">
        <f>IF(V34&lt;&gt;"SÍ","",IF(AP34&gt;=7,0,(AB34-INDEX(TABLAS!$D$5:$J$5,AP34))/(INDEX(TABLAS!$D$5:$J$5,AP34+1)-INDEX(TABLAS!$D$5:$J$5,AP34))))</f>
        <v/>
      </c>
      <c r="AR34" s="59" t="str">
        <f>IF(V34&lt;&gt;"SÍ","",INDEX(TABLAS!$D$6:$J$47,MATCH(AO34&amp;"|NIC",TABLAS!$B$6:$B$47,0),AP34)+AQ34*(INDEX(TABLAS!$D$6:$J$47,MATCH(AO34&amp;"|NIC",TABLAS!$B$6:$B$47,0),MIN(AP34+1,7))-INDEX(TABLAS!$D$6:$J$47,MATCH(AO34&amp;"|NIC",TABLAS!$B$6:$B$47,0),AP34)))</f>
        <v/>
      </c>
      <c r="AS34" s="59" t="str">
        <f>IF(V34&lt;&gt;"SÍ","",INDEX(TABLAS!$D$6:$J$47,MATCH(AO34&amp;"|NIL",TABLAS!$B$6:$B$47,0),AP34)+AQ34*(INDEX(TABLAS!$D$6:$J$47,MATCH(AO34&amp;"|NIL",TABLAS!$B$6:$B$47,0),MIN(AP34+1,7))-INDEX(TABLAS!$D$6:$J$47,MATCH(AO34&amp;"|NIL",TABLAS!$B$6:$B$47,0),AP34)))</f>
        <v/>
      </c>
      <c r="AT34" s="59" t="str">
        <f>IF(V34&lt;&gt;"SÍ","",INDEX(TABLAS!$D$6:$J$47,MATCH(AO34&amp;"|NDC",TABLAS!$B$6:$B$47,0),AP34)+AQ34*(INDEX(TABLAS!$D$6:$J$47,MATCH(AO34&amp;"|NDC",TABLAS!$B$6:$B$47,0),MIN(AP34+1,7))-INDEX(TABLAS!$D$6:$J$47,MATCH(AO34&amp;"|NDC",TABLAS!$B$6:$B$47,0),AP34)))</f>
        <v/>
      </c>
      <c r="AU34" s="59" t="str">
        <f>IF(V34&lt;&gt;"SÍ","",INDEX(TABLAS!$D$6:$J$47,MATCH(AO34&amp;"|NDL",TABLAS!$B$6:$B$47,0),AP34)+AQ34*(INDEX(TABLAS!$D$6:$J$47,MATCH(AO34&amp;"|NDL",TABLAS!$B$6:$B$47,0),MIN(AP34+1,7))-INDEX(TABLAS!$D$6:$J$47,MATCH(AO34&amp;"|NDL",TABLAS!$B$6:$B$47,0),AP34)))</f>
        <v/>
      </c>
      <c r="AV34" s="59" t="str">
        <f>IF(V34&lt;&gt;"SÍ","",INDEX(TABLAS!$D$6:$J$47,MATCH(AO34&amp;"|PC",TABLAS!$B$6:$B$47,0),AP34)+AQ34*(INDEX(TABLAS!$D$6:$J$47,MATCH(AO34&amp;"|PC",TABLAS!$B$6:$B$47,0),MIN(AP34+1,7))-INDEX(TABLAS!$D$6:$J$47,MATCH(AO34&amp;"|PC",TABLAS!$B$6:$B$47,0),AP34)))</f>
        <v/>
      </c>
      <c r="AW34" s="59" t="str">
        <f>IF(V34&lt;&gt;"SÍ","",INDEX(TABLAS!$D$6:$J$47,MATCH(AO34&amp;"|PL",TABLAS!$B$6:$B$47,0),AP34)+AQ34*(INDEX(TABLAS!$D$6:$J$47,MATCH(AO34&amp;"|PL",TABLAS!$B$6:$B$47,0),MIN(AP34+1,7))-INDEX(TABLAS!$D$6:$J$47,MATCH(AO34&amp;"|PL",TABLAS!$B$6:$B$47,0),AP34)))</f>
        <v/>
      </c>
      <c r="AX34" s="56" t="str">
        <f>IF(V34&lt;&gt;"SÍ","",IF(C34="PERIMETRAL",AV34*AK34*Z34^2*1E-4/1000,0))</f>
        <v/>
      </c>
      <c r="AY34" s="62" t="str">
        <f>IF(V34&lt;&gt;"SÍ","",IF(C34="PERIMETRAL",MAX(MAX(AR34,AT34)*AK34*Z34^2*1E-4/1000,N(T34)),(AK34*(AC34/100)^2/2+DATOS!$C$26*N(P34)*AC34/100)/1000))</f>
        <v/>
      </c>
      <c r="AZ34" s="56" t="str">
        <f>IF(V34&lt;&gt;"SÍ","",IF(C34="PERIMETRAL",AW34*AK34*Z34^2*1E-4/1000,0))</f>
        <v/>
      </c>
      <c r="BA34" s="56" t="str">
        <f>IF(V34&lt;&gt;"SÍ","",IF(C34="PERIMETRAL",MAX(MAX(AS34,AU34)*AK34*Z34^2*1E-4/1000,N(U34)),0))</f>
        <v/>
      </c>
      <c r="BB34" s="63" t="str">
        <f>IF(V34&lt;&gt;"SÍ","",IF(C34&lt;&gt;"PERIMETRAL","—",IF(AND(N(T34)=0,N(U34)=0),"— (sin M⁻ del vecino)",IF(OR(AND(N(T34)&gt;0,ABS(MAX(AR34,AT34)*AK34*Z34^2*1E-4/1000-N(T34))&gt;0.5*MIN(MAX(AR34,AT34)*AK34*Z34^2*1E-4/1000,N(T34))),AND(N(U34)&gt;0,ABS(MAX(AS34,AU34)*AK34*Z34^2*1E-4/1000-N(U34))&gt;0.5*MIN(MAX(AS34,AU34)*AK34*Z34^2*1E-4/1000,N(U34)))),"FUERA: difieren &gt; 50 %"&amp;IF(AND(N(T34)&gt;0,ABS(MAX(AR34,AT34)*AK34*Z34^2*1E-4/1000-N(T34))&gt;0.5*MIN(MAX(AR34,AT34)*AK34*Z34^2*1E-4/1000,N(T34)))," ‖ corto","")&amp;IF(AND(N(U34)&gt;0,ABS(MAX(AS34,AU34)*AK34*Z34^2*1E-4/1000-N(U34))&gt;0.5*MIN(MAX(AS34,AU34)*AK34*Z34^2*1E-4/1000,N(U34)))," ‖ largo",""),"CUMPLE"))))</f>
        <v/>
      </c>
      <c r="BC34" s="58" t="str">
        <f>IF(V34&lt;&gt;"SÍ","",DATOS!$C$136*100*W34)</f>
        <v/>
      </c>
      <c r="BD34" s="57" t="str">
        <f>IF(V34&lt;&gt;"SÍ","",MIN(IF(C34="VOLADO",DATOS!$C$138,DATOS!$C$137)*W34,DATOS!$C$139))</f>
        <v/>
      </c>
      <c r="BE34" s="58" t="str">
        <f>IF(V34&lt;&gt;"SÍ","",(W34-AE34-INDEX(TABLAS!$C$52:$C$58,MATCH(IF(ISNUMBER(S34),S34,DATOS!$C$135),TABLAS!$B$52:$B$58,0))/2))</f>
        <v/>
      </c>
      <c r="BF34" s="58" t="str">
        <f>IF(V34&lt;&gt;"SÍ","",IF(AX34&lt;=0,0,IF((1-2*AX34*1E5/(DATOS!$C$29*100*BE34^2*DATOS!$C$21))&lt;0,-1,IF((1-SQRT((1-2*AX34*1E5/(DATOS!$C$29*100*BE34^2*DATOS!$C$21))))*DATOS!$C$21*100*BE34/DATOS!$C$14&gt;DATOS!$C$99*100*BE34,-1,(1-SQRT((1-2*AX34*1E5/(DATOS!$C$29*100*BE34^2*DATOS!$C$21))))*DATOS!$C$21*100*BE34/DATOS!$C$14))))</f>
        <v/>
      </c>
      <c r="BG34" s="58" t="str">
        <f>IF(V34&lt;&gt;"SÍ","",IF(BF34&lt;0,-1,MAX(BF34,BC34)))</f>
        <v/>
      </c>
      <c r="BH34" s="64" t="str">
        <f>IF(V34&lt;&gt;"SÍ","",IF(AND(BG34&gt;0,FLOOR(MIN(BD34,100*INDEX(TABLAS!$D$52:$D$58,MIN(MATCH(IF(ISNUMBER(S34),S34,DATOS!$C$135),TABLAS!$B$52:$B$58,0)+0,7))/MAX(BG34,0.0001)),DATOS!$C$141)&gt;=DATOS!$C$140),INDEX(TABLAS!$B$52:$B$58,MIN(MATCH(IF(ISNUMBER(S34),S34,DATOS!$C$135),TABLAS!$B$52:$B$58,0)+0,7)),IF(AND(BG34&gt;0,FLOOR(MIN(BD34,100*INDEX(TABLAS!$D$52:$D$58,MIN(MATCH(IF(ISNUMBER(S34),S34,DATOS!$C$135),TABLAS!$B$52:$B$58,0)+1,7))/MAX(BG34,0.0001)),DATOS!$C$141)&gt;=DATOS!$C$140),INDEX(TABLAS!$B$52:$B$58,MIN(MATCH(IF(ISNUMBER(S34),S34,DATOS!$C$135),TABLAS!$B$52:$B$58,0)+1,7)),IF(AND(BG34&gt;0,FLOOR(MIN(BD34,100*INDEX(TABLAS!$D$52:$D$58,MIN(MATCH(IF(ISNUMBER(S34),S34,DATOS!$C$135),TABLAS!$B$52:$B$58,0)+2,7))/MAX(BG34,0.0001)),DATOS!$C$141)&gt;=DATOS!$C$140),INDEX(TABLAS!$B$52:$B$58,MIN(MATCH(IF(ISNUMBER(S34),S34,DATOS!$C$135),TABLAS!$B$52:$B$58,0)+2,7)),IF(AND(BG34&gt;0,FLOOR(MIN(BD34,100*INDEX(TABLAS!$D$52:$D$58,MIN(MATCH(IF(ISNUMBER(S34),S34,DATOS!$C$135),TABLAS!$B$52:$B$58,0)+3,7))/MAX(BG34,0.0001)),DATOS!$C$141)&gt;=DATOS!$C$140),INDEX(TABLAS!$B$52:$B$58,MIN(MATCH(IF(ISNUMBER(S34),S34,DATOS!$C$135),TABLAS!$B$52:$B$58,0)+3,7)),IF(AND(BG34&gt;0,FLOOR(MIN(BD34,100*INDEX(TABLAS!$D$52:$D$58,MIN(MATCH(IF(ISNUMBER(S34),S34,DATOS!$C$135),TABLAS!$B$52:$B$58,0)+4,7))/MAX(BG34,0.0001)),DATOS!$C$141)&gt;=DATOS!$C$140),INDEX(TABLAS!$B$52:$B$58,MIN(MATCH(IF(ISNUMBER(S34),S34,DATOS!$C$135),TABLAS!$B$52:$B$58,0)+4,7)),INDEX(TABLAS!$B$52:$B$58,7)))))))</f>
        <v/>
      </c>
      <c r="BI34" s="71" t="str">
        <f>IF(V34&lt;&gt;"SÍ","",IF(BG34&lt;=0,0,FLOOR(MIN(BD34,100*INDEX(TABLAS!$D$52:$D$58,MATCH(BH34,TABLAS!$B$52:$B$58,0))/BG34),DATOS!$C$141)))</f>
        <v/>
      </c>
      <c r="BJ34" s="58" t="str">
        <f>IF(V34&lt;&gt;"SÍ","",IF(BI34&lt;=0,0,INDEX(TABLAS!$D$52:$D$58,MATCH(BH34,TABLAS!$B$52:$B$58,0))*100/BI34))</f>
        <v/>
      </c>
      <c r="BK34" s="58" t="str">
        <f>IF(V34&lt;&gt;"SÍ","",W34-AE34-INDEX(TABLAS!$C$52:$C$58,MATCH(BH34,TABLAS!$B$52:$B$58,0))/2)</f>
        <v/>
      </c>
      <c r="BL34" s="56" t="str">
        <f>IF(V34&lt;&gt;"SÍ","",IF(BJ34=0,0,DATOS!$C$29*BJ34*DATOS!$C$14*(BK34-BJ34*DATOS!$C$14/(DATOS!$C$21*100)/2)/1E5))</f>
        <v/>
      </c>
      <c r="BM34" s="65" t="str">
        <f>IF(V34&lt;&gt;"SÍ","",IF(BG34&lt;0,9.99,IF(BL34&gt;0,AX34/BL34,0)))</f>
        <v/>
      </c>
      <c r="BN34" s="66" t="str">
        <f>IF(V34&lt;&gt;"SÍ","",IF(BJ34=0,"—",0.003*(BK34-(BJ34*DATOS!$C$14/(DATOS!$C$21*100)/DATOS!$C$22))/(BJ34*DATOS!$C$14/(DATOS!$C$21*100)/DATOS!$C$22)))</f>
        <v/>
      </c>
      <c r="BO34" s="58" t="str">
        <f>IF(V34&lt;&gt;"SÍ","",((W34-AF34-INDEX(TABLAS!$C$52:$C$58,MATCH(IF(ISNUMBER(S34),S34,DATOS!$C$135),TABLAS!$B$52:$B$58,0))/2)-IF(AND((W34-AF34-INDEX(TABLAS!$C$52:$C$58,MATCH(IF(ISNUMBER(S34),S34,DATOS!$C$135),TABLAS!$B$52:$B$58,0))/2)&lt;=20,DATOS!$C$62&lt;&gt;"SÍ"),2,0)))</f>
        <v/>
      </c>
      <c r="BP34" s="58" t="str">
        <f>IF(V34&lt;&gt;"SÍ","",IF(AY34&lt;=0,0,IF((1-2*AY34*1E5/(DATOS!$C$29*100*BO34^2*DATOS!$C$21))&lt;0,-1,IF((1-SQRT((1-2*AY34*1E5/(DATOS!$C$29*100*BO34^2*DATOS!$C$21))))*DATOS!$C$21*100*BO34/DATOS!$C$14&gt;DATOS!$C$99*100*BO34,-1,(1-SQRT((1-2*AY34*1E5/(DATOS!$C$29*100*BO34^2*DATOS!$C$21))))*DATOS!$C$21*100*BO34/DATOS!$C$14))))</f>
        <v/>
      </c>
      <c r="BQ34" s="58" t="str">
        <f>IF(V34&lt;&gt;"SÍ","",IF(BP34&lt;0,-1,MAX(BP34,BC34)))</f>
        <v/>
      </c>
      <c r="BR34" s="64" t="str">
        <f>IF(V34&lt;&gt;"SÍ","",IF(AND(BQ34&gt;0,FLOOR(MIN(BD34,100*INDEX(TABLAS!$D$52:$D$58,MIN(MATCH(IF(ISNUMBER(S34),S34,DATOS!$C$135),TABLAS!$B$52:$B$58,0)+0,7))/MAX(BQ34,0.0001)),DATOS!$C$141)&gt;=DATOS!$C$140),INDEX(TABLAS!$B$52:$B$58,MIN(MATCH(IF(ISNUMBER(S34),S34,DATOS!$C$135),TABLAS!$B$52:$B$58,0)+0,7)),IF(AND(BQ34&gt;0,FLOOR(MIN(BD34,100*INDEX(TABLAS!$D$52:$D$58,MIN(MATCH(IF(ISNUMBER(S34),S34,DATOS!$C$135),TABLAS!$B$52:$B$58,0)+1,7))/MAX(BQ34,0.0001)),DATOS!$C$141)&gt;=DATOS!$C$140),INDEX(TABLAS!$B$52:$B$58,MIN(MATCH(IF(ISNUMBER(S34),S34,DATOS!$C$135),TABLAS!$B$52:$B$58,0)+1,7)),IF(AND(BQ34&gt;0,FLOOR(MIN(BD34,100*INDEX(TABLAS!$D$52:$D$58,MIN(MATCH(IF(ISNUMBER(S34),S34,DATOS!$C$135),TABLAS!$B$52:$B$58,0)+2,7))/MAX(BQ34,0.0001)),DATOS!$C$141)&gt;=DATOS!$C$140),INDEX(TABLAS!$B$52:$B$58,MIN(MATCH(IF(ISNUMBER(S34),S34,DATOS!$C$135),TABLAS!$B$52:$B$58,0)+2,7)),IF(AND(BQ34&gt;0,FLOOR(MIN(BD34,100*INDEX(TABLAS!$D$52:$D$58,MIN(MATCH(IF(ISNUMBER(S34),S34,DATOS!$C$135),TABLAS!$B$52:$B$58,0)+3,7))/MAX(BQ34,0.0001)),DATOS!$C$141)&gt;=DATOS!$C$140),INDEX(TABLAS!$B$52:$B$58,MIN(MATCH(IF(ISNUMBER(S34),S34,DATOS!$C$135),TABLAS!$B$52:$B$58,0)+3,7)),IF(AND(BQ34&gt;0,FLOOR(MIN(BD34,100*INDEX(TABLAS!$D$52:$D$58,MIN(MATCH(IF(ISNUMBER(S34),S34,DATOS!$C$135),TABLAS!$B$52:$B$58,0)+4,7))/MAX(BQ34,0.0001)),DATOS!$C$141)&gt;=DATOS!$C$140),INDEX(TABLAS!$B$52:$B$58,MIN(MATCH(IF(ISNUMBER(S34),S34,DATOS!$C$135),TABLAS!$B$52:$B$58,0)+4,7)),INDEX(TABLAS!$B$52:$B$58,7)))))))</f>
        <v/>
      </c>
      <c r="BS34" s="71" t="str">
        <f>IF(V34&lt;&gt;"SÍ","",IF(BQ34&lt;=0,0,FLOOR(MIN(BD34,100*INDEX(TABLAS!$D$52:$D$58,MATCH(BR34,TABLAS!$B$52:$B$58,0))/BQ34),DATOS!$C$141)))</f>
        <v/>
      </c>
      <c r="BT34" s="58" t="str">
        <f>IF(V34&lt;&gt;"SÍ","",IF(BS34&lt;=0,0,INDEX(TABLAS!$D$52:$D$58,MATCH(BR34,TABLAS!$B$52:$B$58,0))*100/BS34))</f>
        <v/>
      </c>
      <c r="BU34" s="58" t="str">
        <f>IF(V34&lt;&gt;"SÍ","",((W34-AF34-INDEX(TABLAS!$C$52:$C$58,MATCH(BR34,TABLAS!$B$52:$B$58,0))/2)-IF(AND((W34-AF34-INDEX(TABLAS!$C$52:$C$58,MATCH(BR34,TABLAS!$B$52:$B$58,0))/2)&lt;=20,DATOS!$C$62&lt;&gt;"SÍ"),2,0)))</f>
        <v/>
      </c>
      <c r="BV34" s="56" t="str">
        <f>IF(V34&lt;&gt;"SÍ","",IF(BT34=0,0,DATOS!$C$29*BT34*DATOS!$C$14*(BU34-BT34*DATOS!$C$14/(DATOS!$C$21*100)/2)/1E5))</f>
        <v/>
      </c>
      <c r="BW34" s="65" t="str">
        <f>IF(V34&lt;&gt;"SÍ","",IF(BQ34&lt;0,9.99,IF(BV34&gt;0,AY34/BV34,0)))</f>
        <v/>
      </c>
      <c r="BX34" s="66" t="str">
        <f>IF(V34&lt;&gt;"SÍ","",IF(BT34=0,"—",0.003*(BU34-(BT34*DATOS!$C$14/(DATOS!$C$21*100)/DATOS!$C$22))/(BT34*DATOS!$C$14/(DATOS!$C$21*100)/DATOS!$C$22)))</f>
        <v/>
      </c>
      <c r="BY34" s="58" t="str">
        <f>IF(V34&lt;&gt;"SÍ","",(W34-AE34-1.5*INDEX(TABLAS!$C$52:$C$58,MATCH(IF(ISNUMBER(S34),S34,DATOS!$C$135),TABLAS!$B$52:$B$58,0))))</f>
        <v/>
      </c>
      <c r="BZ34" s="58" t="str">
        <f>IF(V34&lt;&gt;"SÍ","",IF(AZ34&lt;=0,0,IF((1-2*AZ34*1E5/(DATOS!$C$29*100*BY34^2*DATOS!$C$21))&lt;0,-1,IF((1-SQRT((1-2*AZ34*1E5/(DATOS!$C$29*100*BY34^2*DATOS!$C$21))))*DATOS!$C$21*100*BY34/DATOS!$C$14&gt;DATOS!$C$99*100*BY34,-1,(1-SQRT((1-2*AZ34*1E5/(DATOS!$C$29*100*BY34^2*DATOS!$C$21))))*DATOS!$C$21*100*BY34/DATOS!$C$14))))</f>
        <v/>
      </c>
      <c r="CA34" s="58" t="str">
        <f>IF(V34&lt;&gt;"SÍ","",IF(BZ34&lt;0,-1,MAX(BZ34,BC34)))</f>
        <v/>
      </c>
      <c r="CB34" s="64" t="str">
        <f>IF(V34&lt;&gt;"SÍ","",IF(AND(CA34&gt;0,FLOOR(MIN(BD34,100*INDEX(TABLAS!$D$52:$D$58,MIN(MATCH(IF(ISNUMBER(S34),S34,DATOS!$C$135),TABLAS!$B$52:$B$58,0)+0,7))/MAX(CA34,0.0001)),DATOS!$C$141)&gt;=DATOS!$C$140),INDEX(TABLAS!$B$52:$B$58,MIN(MATCH(IF(ISNUMBER(S34),S34,DATOS!$C$135),TABLAS!$B$52:$B$58,0)+0,7)),IF(AND(CA34&gt;0,FLOOR(MIN(BD34,100*INDEX(TABLAS!$D$52:$D$58,MIN(MATCH(IF(ISNUMBER(S34),S34,DATOS!$C$135),TABLAS!$B$52:$B$58,0)+1,7))/MAX(CA34,0.0001)),DATOS!$C$141)&gt;=DATOS!$C$140),INDEX(TABLAS!$B$52:$B$58,MIN(MATCH(IF(ISNUMBER(S34),S34,DATOS!$C$135),TABLAS!$B$52:$B$58,0)+1,7)),IF(AND(CA34&gt;0,FLOOR(MIN(BD34,100*INDEX(TABLAS!$D$52:$D$58,MIN(MATCH(IF(ISNUMBER(S34),S34,DATOS!$C$135),TABLAS!$B$52:$B$58,0)+2,7))/MAX(CA34,0.0001)),DATOS!$C$141)&gt;=DATOS!$C$140),INDEX(TABLAS!$B$52:$B$58,MIN(MATCH(IF(ISNUMBER(S34),S34,DATOS!$C$135),TABLAS!$B$52:$B$58,0)+2,7)),IF(AND(CA34&gt;0,FLOOR(MIN(BD34,100*INDEX(TABLAS!$D$52:$D$58,MIN(MATCH(IF(ISNUMBER(S34),S34,DATOS!$C$135),TABLAS!$B$52:$B$58,0)+3,7))/MAX(CA34,0.0001)),DATOS!$C$141)&gt;=DATOS!$C$140),INDEX(TABLAS!$B$52:$B$58,MIN(MATCH(IF(ISNUMBER(S34),S34,DATOS!$C$135),TABLAS!$B$52:$B$58,0)+3,7)),IF(AND(CA34&gt;0,FLOOR(MIN(BD34,100*INDEX(TABLAS!$D$52:$D$58,MIN(MATCH(IF(ISNUMBER(S34),S34,DATOS!$C$135),TABLAS!$B$52:$B$58,0)+4,7))/MAX(CA34,0.0001)),DATOS!$C$141)&gt;=DATOS!$C$140),INDEX(TABLAS!$B$52:$B$58,MIN(MATCH(IF(ISNUMBER(S34),S34,DATOS!$C$135),TABLAS!$B$52:$B$58,0)+4,7)),INDEX(TABLAS!$B$52:$B$58,7)))))))</f>
        <v/>
      </c>
      <c r="CC34" s="71" t="str">
        <f>IF(V34&lt;&gt;"SÍ","",IF(CA34&lt;=0,0,FLOOR(MIN(BD34,100*INDEX(TABLAS!$D$52:$D$58,MATCH(CB34,TABLAS!$B$52:$B$58,0))/CA34),DATOS!$C$141)))</f>
        <v/>
      </c>
      <c r="CD34" s="58" t="str">
        <f>IF(V34&lt;&gt;"SÍ","",IF(CC34&lt;=0,0,INDEX(TABLAS!$D$52:$D$58,MATCH(CB34,TABLAS!$B$52:$B$58,0))*100/CC34))</f>
        <v/>
      </c>
      <c r="CE34" s="58" t="str">
        <f>IF(V34&lt;&gt;"SÍ","",W34-AE34-INDEX(TABLAS!$C$52:$C$58,MATCH(BH34,TABLAS!$B$52:$B$58,0))-INDEX(TABLAS!$C$52:$C$58,MATCH(CB34,TABLAS!$B$52:$B$58,0))/2)</f>
        <v/>
      </c>
      <c r="CF34" s="56" t="str">
        <f>IF(V34&lt;&gt;"SÍ","",IF(CD34=0,0,DATOS!$C$29*CD34*DATOS!$C$14*(CE34-CD34*DATOS!$C$14/(DATOS!$C$21*100)/2)/1E5))</f>
        <v/>
      </c>
      <c r="CG34" s="65" t="str">
        <f>IF(V34&lt;&gt;"SÍ","",IF(CA34&lt;0,9.99,IF(CF34&gt;0,AZ34/CF34,0)))</f>
        <v/>
      </c>
      <c r="CH34" s="66" t="str">
        <f>IF(V34&lt;&gt;"SÍ","",IF(CD34=0,"—",0.003*(CE34-(CD34*DATOS!$C$14/(DATOS!$C$21*100)/DATOS!$C$22))/(CD34*DATOS!$C$14/(DATOS!$C$21*100)/DATOS!$C$22)))</f>
        <v/>
      </c>
      <c r="CI34" s="58" t="str">
        <f>IF(V34&lt;&gt;"SÍ","",((W34-AF34-1.5*INDEX(TABLAS!$C$52:$C$58,MATCH(IF(ISNUMBER(S34),S34,DATOS!$C$135),TABLAS!$B$52:$B$58,0)))-IF(AND((W34-AF34-1.5*INDEX(TABLAS!$C$52:$C$58,MATCH(IF(ISNUMBER(S34),S34,DATOS!$C$135),TABLAS!$B$52:$B$58,0)))&lt;=20,DATOS!$C$62&lt;&gt;"SÍ"),2,0)))</f>
        <v/>
      </c>
      <c r="CJ34" s="58" t="str">
        <f>IF(V34&lt;&gt;"SÍ","",IF(BA34&lt;=0,0,IF((1-2*BA34*1E5/(DATOS!$C$29*100*CI34^2*DATOS!$C$21))&lt;0,-1,IF((1-SQRT((1-2*BA34*1E5/(DATOS!$C$29*100*CI34^2*DATOS!$C$21))))*DATOS!$C$21*100*CI34/DATOS!$C$14&gt;DATOS!$C$99*100*CI34,-1,(1-SQRT((1-2*BA34*1E5/(DATOS!$C$29*100*CI34^2*DATOS!$C$21))))*DATOS!$C$21*100*CI34/DATOS!$C$14))))</f>
        <v/>
      </c>
      <c r="CK34" s="58" t="str">
        <f>IF(V34&lt;&gt;"SÍ","",IF(CJ34&lt;0,-1,MAX(CJ34,BC34)))</f>
        <v/>
      </c>
      <c r="CL34" s="64" t="str">
        <f>IF(V34&lt;&gt;"SÍ","",IF(AND(CK34&gt;0,FLOOR(MIN(BD34,100*INDEX(TABLAS!$D$52:$D$58,MIN(MATCH(IF(ISNUMBER(S34),S34,DATOS!$C$135),TABLAS!$B$52:$B$58,0)+0,7))/MAX(CK34,0.0001)),DATOS!$C$141)&gt;=DATOS!$C$140),INDEX(TABLAS!$B$52:$B$58,MIN(MATCH(IF(ISNUMBER(S34),S34,DATOS!$C$135),TABLAS!$B$52:$B$58,0)+0,7)),IF(AND(CK34&gt;0,FLOOR(MIN(BD34,100*INDEX(TABLAS!$D$52:$D$58,MIN(MATCH(IF(ISNUMBER(S34),S34,DATOS!$C$135),TABLAS!$B$52:$B$58,0)+1,7))/MAX(CK34,0.0001)),DATOS!$C$141)&gt;=DATOS!$C$140),INDEX(TABLAS!$B$52:$B$58,MIN(MATCH(IF(ISNUMBER(S34),S34,DATOS!$C$135),TABLAS!$B$52:$B$58,0)+1,7)),IF(AND(CK34&gt;0,FLOOR(MIN(BD34,100*INDEX(TABLAS!$D$52:$D$58,MIN(MATCH(IF(ISNUMBER(S34),S34,DATOS!$C$135),TABLAS!$B$52:$B$58,0)+2,7))/MAX(CK34,0.0001)),DATOS!$C$141)&gt;=DATOS!$C$140),INDEX(TABLAS!$B$52:$B$58,MIN(MATCH(IF(ISNUMBER(S34),S34,DATOS!$C$135),TABLAS!$B$52:$B$58,0)+2,7)),IF(AND(CK34&gt;0,FLOOR(MIN(BD34,100*INDEX(TABLAS!$D$52:$D$58,MIN(MATCH(IF(ISNUMBER(S34),S34,DATOS!$C$135),TABLAS!$B$52:$B$58,0)+3,7))/MAX(CK34,0.0001)),DATOS!$C$141)&gt;=DATOS!$C$140),INDEX(TABLAS!$B$52:$B$58,MIN(MATCH(IF(ISNUMBER(S34),S34,DATOS!$C$135),TABLAS!$B$52:$B$58,0)+3,7)),IF(AND(CK34&gt;0,FLOOR(MIN(BD34,100*INDEX(TABLAS!$D$52:$D$58,MIN(MATCH(IF(ISNUMBER(S34),S34,DATOS!$C$135),TABLAS!$B$52:$B$58,0)+4,7))/MAX(CK34,0.0001)),DATOS!$C$141)&gt;=DATOS!$C$140),INDEX(TABLAS!$B$52:$B$58,MIN(MATCH(IF(ISNUMBER(S34),S34,DATOS!$C$135),TABLAS!$B$52:$B$58,0)+4,7)),INDEX(TABLAS!$B$52:$B$58,7)))))))</f>
        <v/>
      </c>
      <c r="CM34" s="71" t="str">
        <f>IF(V34&lt;&gt;"SÍ","",IF(CK34&lt;=0,0,FLOOR(MIN(BD34,100*INDEX(TABLAS!$D$52:$D$58,MATCH(CL34,TABLAS!$B$52:$B$58,0))/CK34),DATOS!$C$141)))</f>
        <v/>
      </c>
      <c r="CN34" s="58" t="str">
        <f>IF(V34&lt;&gt;"SÍ","",IF(CM34&lt;=0,0,INDEX(TABLAS!$D$52:$D$58,MATCH(CL34,TABLAS!$B$52:$B$58,0))*100/CM34))</f>
        <v/>
      </c>
      <c r="CO34" s="58" t="str">
        <f>IF(V34&lt;&gt;"SÍ","",((W34-AF34-INDEX(TABLAS!$C$52:$C$58,MATCH(BR34,TABLAS!$B$52:$B$58,0))-INDEX(TABLAS!$C$52:$C$58,MATCH(CL34,TABLAS!$B$52:$B$58,0))/2)-IF(AND((W34-AF34-INDEX(TABLAS!$C$52:$C$58,MATCH(BR34,TABLAS!$B$52:$B$58,0))-INDEX(TABLAS!$C$52:$C$58,MATCH(CL34,TABLAS!$B$52:$B$58,0))/2)&lt;=20,DATOS!$C$62&lt;&gt;"SÍ"),2,0)))</f>
        <v/>
      </c>
      <c r="CP34" s="56" t="str">
        <f>IF(V34&lt;&gt;"SÍ","",IF(CN34=0,0,DATOS!$C$29*CN34*DATOS!$C$14*(CO34-CN34*DATOS!$C$14/(DATOS!$C$21*100)/2)/1E5))</f>
        <v/>
      </c>
      <c r="CQ34" s="65" t="str">
        <f>IF(V34&lt;&gt;"SÍ","",IF(CK34&lt;0,9.99,IF(CP34&gt;0,BA34/CP34,0)))</f>
        <v/>
      </c>
      <c r="CR34" s="66" t="str">
        <f>IF(V34&lt;&gt;"SÍ","",IF(CN34=0,"—",0.003*(CO34-(CN34*DATOS!$C$14/(DATOS!$C$21*100)/DATOS!$C$22))/(CN34*DATOS!$C$14/(DATOS!$C$21*100)/DATOS!$C$22)))</f>
        <v/>
      </c>
      <c r="CS34" s="56" t="str">
        <f>IF(V34&lt;&gt;"SÍ","",IF(C34="PERIMETRAL",MAX(0,(AC34/2-BU34)/100)*(0.95-0.5*AB34)*AK34*IF(AND(AL34&gt;0,AL34&lt;4),DATOS!$C$33,1)/1000,(AK34*MAX(0,AC34-BU34)/100+DATOS!$C$26*N(P34))/1000))</f>
        <v/>
      </c>
      <c r="CT34" s="66" t="str">
        <f>IF(V34&lt;&gt;"SÍ","",BT34/(100*BU34))</f>
        <v/>
      </c>
      <c r="CU34" s="56" t="str">
        <f>IF(V34&lt;&gt;"SÍ","",DATOS!$C$30*2*MIN(1,SQRT(2/(1+0.04*BU34)))*CT34^(1/3)*SQRT(DATOS!$C$13)*100*BU34/1000)</f>
        <v/>
      </c>
      <c r="CV34" s="67" t="str">
        <f>IF(V34&lt;&gt;"SÍ","",IF(CS34&lt;=CU34,"CUMPLE","NO CUMPLE: sube h"))</f>
        <v/>
      </c>
      <c r="CW34" s="58" t="str">
        <f>IF(V34&lt;&gt;"SÍ","",IF(C34="PERIMETRAL",IF(ISNUMBER(R34),R34,DATOS!$C$101),0))</f>
        <v/>
      </c>
      <c r="CX34" s="57" t="str">
        <f>IF(V34&lt;&gt;"SÍ","",IF(C34="PERIMETRAL",IF(CW34&gt;2,MAX(9,AD34*(0.8+DATOS!$C$14/14000)/(36+9*(AD34/MAX(AC34,1)))),IF(CW34&gt;0.2,MAX(13,AD34*(0.8+DATOS!$C$14/14000)/(36+5*(AD34/MAX(AC34,1))*(CW34-0.2))),MAX(13,AD34/IF(AL34&gt;0,30,33))))*IF(AND(CW34&gt;0.2,AL34&gt;0,DATOS!$C$102="NO"),1.1,1),Z34*100/DATOS!$C$142))</f>
        <v/>
      </c>
      <c r="CY34" s="61" t="str">
        <f>IF(V34&lt;&gt;"SÍ","",IF(W34&gt;=CX34-0.001,"CUMPLE",IF(C34="VOLADO","NO CUMPLE","CALCULAR FLECHA")))</f>
        <v/>
      </c>
      <c r="CZ34" s="60" t="str">
        <f>IF(V34&lt;&gt;"SÍ","",IF(C34="VOLADO",MIN(CEILING(IF(ISNUMBER(Q34),Q34,Z34)*100,5),CEILING(MAX(IF((0.5*(0.9*W34/100*DATOS!$C$16)*IF(ISNUMBER(Q34),Q34,Z34)+AY34/IF(ISNUMBER(Q34),Q34,Z34))^2-4*(0.5*(0.9*W34/100*DATOS!$C$16))*AY34&lt;0,IF(ISNUMBER(Q34),Q34,Z34),MIN(IF(ISNUMBER(Q34),Q34,Z34),((0.5*(0.9*W34/100*DATOS!$C$16)*IF(ISNUMBER(Q34),Q34,Z34)+AY34/IF(ISNUMBER(Q34),Q34,Z34))-SQRT((0.5*(0.9*W34/100*DATOS!$C$16)*IF(ISNUMBER(Q34),Q34,Z34)+AY34/IF(ISNUMBER(Q34),Q34,Z34))^2-4*(0.5*(0.9*W34/100*DATOS!$C$16))*AY34))/(2*(0.5*(0.9*W34/100*DATOS!$C$16)))))*100+MAX(BU34,12*INDEX(TABLAS!$C$52:$C$58,MATCH(BR34,TABLAS!$B$52:$B$58,0)),IF(ISNUMBER(Q34),Q34,Z34)*100/16),IF(OR(AF34&lt;INDEX(TABLAS!$C$52:$C$58,MATCH(BR34,TABLAS!$B$52:$B$58,0)),BS34-INDEX(TABLAS!$C$52:$C$58,MATCH(BR34,TABLAS!$B$52:$B$58,0))&lt;2*INDEX(TABLAS!$C$52:$C$58,MATCH(BR34,TABLAS!$B$52:$B$58,0))),INDEX(TABLAS!$I$52:$I$58,MATCH(BR34,TABLAS!$B$52:$B$58,0)),INDEX(TABLAS!$F$52:$F$58,MATCH(BR34,TABLAS!$B$52:$B$58,0)))),5)),IF(((4*((AV34*AK34*Z34^2*1E-4/1000)+((MAX(AR34,AT34)*AK34*Z34^2*1E-4/1000)+(IF(AND(AR34&gt;0,AT34&gt;0),MIN(AR34,AT34),MAX(AR34,AT34))*AK34*Z34^2*1E-4/1000))/2)+AY34-(IF(AND(AR34&gt;0,AT34&gt;0),MIN(AR34,AT34),MAX(AR34,AT34))*AK34*Z34^2*1E-4/1000))^2-16*((AV34*AK34*Z34^2*1E-4/1000)+((MAX(AR34,AT34)*AK34*Z34^2*1E-4/1000)+(IF(AND(AR34&gt;0,AT34&gt;0),MIN(AR34,AT34),MAX(AR34,AT34))*AK34*Z34^2*1E-4/1000))/2)*AY34)&lt;0,CEILING(AC34,5),CEILING(MAX(AC34*((4*((AV34*AK34*Z34^2*1E-4/1000)+((MAX(AR34,AT34)*AK34*Z34^2*1E-4/1000)+(IF(AND(AR34&gt;0,AT34&gt;0),MIN(AR34,AT34),MAX(AR34,AT34))*AK34*Z34^2*1E-4/1000))/2)+AY34-(IF(AND(AR34&gt;0,AT34&gt;0),MIN(AR34,AT34),MAX(AR34,AT34))*AK34*Z34^2*1E-4/1000))-SQRT(MAX(0,((4*((AV34*AK34*Z34^2*1E-4/1000)+((MAX(AR34,AT34)*AK34*Z34^2*1E-4/1000)+(IF(AND(AR34&gt;0,AT34&gt;0),MIN(AR34,AT34),MAX(AR34,AT34))*AK34*Z34^2*1E-4/1000))/2)+AY34-(IF(AND(AR34&gt;0,AT34&gt;0),MIN(AR34,AT34),MAX(AR34,AT34))*AK34*Z34^2*1E-4/1000))^2-16*((AV34*AK34*Z34^2*1E-4/1000)+((MAX(AR34,AT34)*AK34*Z34^2*1E-4/1000)+(IF(AND(AR34&gt;0,AT34&gt;0),MIN(AR34,AT34),MAX(AR34,AT34))*AK34*Z34^2*1E-4/1000))/2)*AY34))))/(8*MAX(((AV34*AK34*Z34^2*1E-4/1000)+((MAX(AR34,AT34)*AK34*Z34^2*1E-4/1000)+(IF(AND(AR34&gt;0,AT34&gt;0),MIN(AR34,AT34),MAX(AR34,AT34))*AK34*Z34^2*1E-4/1000))/2),1E-9))+MAX(BU34,12*INDEX(TABLAS!$C$52:$C$58,MATCH(BR34,TABLAS!$B$52:$B$58,0)),AC34/16),IF(OR(AF34&lt;INDEX(TABLAS!$C$52:$C$58,MATCH(BR34,TABLAS!$B$52:$B$58,0)),BS34-INDEX(TABLAS!$C$52:$C$58,MATCH(BR34,TABLAS!$B$52:$B$58,0))&lt;2*INDEX(TABLAS!$C$52:$C$58,MATCH(BR34,TABLAS!$B$52:$B$58,0))),INDEX(TABLAS!$I$52:$I$58,MATCH(BR34,TABLAS!$B$52:$B$58,0)),INDEX(TABLAS!$F$52:$F$58,MATCH(BR34,TABLAS!$B$52:$B$58,0)))),5))))</f>
        <v/>
      </c>
      <c r="DA34" s="60" t="str">
        <f>IF(V34&lt;&gt;"SÍ","",IF(C34="VOLADO",0,IF(((4*((AW34*AK34*Z34^2*1E-4/1000)+((MAX(AS34,AU34)*AK34*Z34^2*1E-4/1000)+(IF(AND(AS34&gt;0,AU34&gt;0),MIN(AS34,AU34),MAX(AS34,AU34))*AK34*Z34^2*1E-4/1000))/2)+BA34-(IF(AND(AS34&gt;0,AU34&gt;0),MIN(AS34,AU34),MAX(AS34,AU34))*AK34*Z34^2*1E-4/1000))^2-16*((AW34*AK34*Z34^2*1E-4/1000)+((MAX(AS34,AU34)*AK34*Z34^2*1E-4/1000)+(IF(AND(AS34&gt;0,AU34&gt;0),MIN(AS34,AU34),MAX(AS34,AU34))*AK34*Z34^2*1E-4/1000))/2)*BA34)&lt;0,CEILING(AD34,5),CEILING(MAX(AD34*((4*((AW34*AK34*Z34^2*1E-4/1000)+((MAX(AS34,AU34)*AK34*Z34^2*1E-4/1000)+(IF(AND(AS34&gt;0,AU34&gt;0),MIN(AS34,AU34),MAX(AS34,AU34))*AK34*Z34^2*1E-4/1000))/2)+BA34-(IF(AND(AS34&gt;0,AU34&gt;0),MIN(AS34,AU34),MAX(AS34,AU34))*AK34*Z34^2*1E-4/1000))-SQRT(MAX(0,((4*((AW34*AK34*Z34^2*1E-4/1000)+((MAX(AS34,AU34)*AK34*Z34^2*1E-4/1000)+(IF(AND(AS34&gt;0,AU34&gt;0),MIN(AS34,AU34),MAX(AS34,AU34))*AK34*Z34^2*1E-4/1000))/2)+BA34-(IF(AND(AS34&gt;0,AU34&gt;0),MIN(AS34,AU34),MAX(AS34,AU34))*AK34*Z34^2*1E-4/1000))^2-16*((AW34*AK34*Z34^2*1E-4/1000)+((MAX(AS34,AU34)*AK34*Z34^2*1E-4/1000)+(IF(AND(AS34&gt;0,AU34&gt;0),MIN(AS34,AU34),MAX(AS34,AU34))*AK34*Z34^2*1E-4/1000))/2)*BA34))))/(8*MAX(((AW34*AK34*Z34^2*1E-4/1000)+((MAX(AS34,AU34)*AK34*Z34^2*1E-4/1000)+(IF(AND(AS34&gt;0,AU34&gt;0),MIN(AS34,AU34),MAX(AS34,AU34))*AK34*Z34^2*1E-4/1000))/2),1E-9))+MAX(CO34,12*INDEX(TABLAS!$C$52:$C$58,MATCH(CL34,TABLAS!$B$52:$B$58,0)),AD34/16),IF(OR(AF34&lt;INDEX(TABLAS!$C$52:$C$58,MATCH(CL34,TABLAS!$B$52:$B$58,0)),CM34-INDEX(TABLAS!$C$52:$C$58,MATCH(CL34,TABLAS!$B$52:$B$58,0))&lt;2*INDEX(TABLAS!$C$52:$C$58,MATCH(CL34,TABLAS!$B$52:$B$58,0))),INDEX(TABLAS!$I$52:$I$58,MATCH(CL34,TABLAS!$B$52:$B$58,0)),INDEX(TABLAS!$F$52:$F$58,MATCH(CL34,TABLAS!$B$52:$B$58,0)))),5))))</f>
        <v/>
      </c>
      <c r="DB34" s="55" t="str">
        <f>IF(V34&lt;&gt;"SÍ","",IF(AND(C34="PERIMETRAL",AL34-AM34&gt;0,AT34&gt;0),"SÍ","NO"))</f>
        <v/>
      </c>
      <c r="DC34" s="55" t="str">
        <f>IF(V34&lt;&gt;"SÍ","",IF(AND(C34="PERIMETRAL",AM34&gt;0,AU34&gt;0),"SÍ","NO"))</f>
        <v/>
      </c>
      <c r="DD34" s="63" t="str">
        <f>IF(V34&lt;&gt;"SÍ","",IF(OR(C34="VOLADO",AL34=0),"—",IF(AND(AND(INDEX(TABLAS!$G$52:$G$58,MATCH(MAX(BR34,CL34),TABLAS!$B$52:$B$58,0))&lt;=(DATOS!$C$72-DATOS!$C$60),(DATOS!$C$72-DATOS!$C$60)&gt;=15),8*INDEX(TABLAS!$C$52:$C$58,MATCH(MAX(BH34,CB34,BR34,CL34),TABLAS!$B$52:$B$58,0))&lt;=DATOS!$C$73-2*DATOS!$C$60),"CUMPLE (gancho de 180°)",IF(AND(INDEX(TABLAS!$G$52:$G$58,MATCH(MAX(BR34,CL34),TABLAS!$B$52:$B$58,0))&lt;=(DATOS!$C$72-DATOS!$C$60),(DATOS!$C$72-DATOS!$C$60)&gt;=15),"NO CUMPLE: el gancho de 180° (8·d_b) no cabe en el peralte de la dala de borde","NO CUMPLE: dala de borde ≥ "&amp;TEXT(CEILING(MAX(INDEX(TABLAS!$G$52:$G$58,MATCH(MAX(BR34,CL34),TABLAS!$B$52:$B$58,0)),15)+DATOS!$C$60,5),"0")&amp;" cm de ancho"&amp;IF(8*INDEX(TABLAS!$C$52:$C$58,MATCH(MAX(BH34,CB34,BR34,CL34),TABLAS!$B$52:$B$58,0))&lt;=DATOS!$C$73-2*DATOS!$C$60,""," y más peralte para el gancho")))))</f>
        <v/>
      </c>
      <c r="DE34" s="69" t="str">
        <f>IF(V34&lt;&gt;"SÍ","",IF(BI34=0,"NO ALCANZA","No. "&amp;BH34&amp;" @ "&amp;BI34&amp;" cm"&amp;IF(C34="VOLADO"," (temperatura)","")))</f>
        <v/>
      </c>
      <c r="DF34" s="69" t="str">
        <f>IF(V34&lt;&gt;"SÍ","",IF(BS34=0,"NO ALCANZA",IF(C34="VOLADO","No. "&amp;BR34&amp;" @ "&amp;BS34&amp;" cm"&amp;" de la orilla al respaldo ("&amp;IF(CZ34&gt;=100*IF(ISNUMBER(Q34),Q34,Z34),"hasta su apoyo lejano, con gancho","entran "&amp;TEXT(CZ34/100,"0.00")&amp;" m desde el paño")&amp;")","Bastones "&amp;"No. "&amp;BR34&amp;" @ "&amp;BS34&amp;" cm"&amp;", L = "&amp;TEXT(CZ34/100,"0.00")&amp;" m desde el paño")))</f>
        <v/>
      </c>
      <c r="DG34" s="69" t="str">
        <f>IF(V34&lt;&gt;"SÍ","",IF(CC34=0,"NO ALCANZA","No. "&amp;CB34&amp;" @ "&amp;CC34&amp;" cm"&amp;IF(C34="VOLADO"," (repartición)","")))</f>
        <v/>
      </c>
      <c r="DH34" s="69" t="str">
        <f>IF(V34&lt;&gt;"SÍ","",IF(CM34=0,"NO ALCANZA",IF(C34="VOLADO","No. "&amp;CL34&amp;" @ "&amp;CM34&amp;" cm"&amp;" (repartición)","Bastones "&amp;"No. "&amp;CL34&amp;" @ "&amp;CM34&amp;" cm"&amp;", L = "&amp;TEXT(DA34/100,"0.00")&amp;" m desde el paño")))</f>
        <v/>
      </c>
      <c r="DI34" s="67" t="str">
        <f>IF(B34="","",IF(V34&lt;&gt;"SÍ","FALTAN DATOS: tipo, a_x, a_y y destino",IF(L34="NO MONOLÍTICO (caso II)","FUERA DE ALCANCE: caso II no transcrito",IF(AND(C34="VOLADO",X34="?"),"REVISAR: el volado lleva UN solo borde CONTINUO (el empotrado)",IF(AND(MAX(BM34,BW34,CG34,CQ34)&lt;=1,NOT(OR(BI34&lt;DATOS!$C$140,BS34&lt;DATOS!$C$140,CC34&lt;DATOS!$C$140,CM34&lt;DATOS!$C$140)),NOT(OR(AND(ISNUMBER(BN34),BN34&lt;0.005),AND(ISNUMBER(BX34),BX34&lt;0.005),AND(ISNUMBER(CH34),CH34&lt;0.005),AND(ISNUMBER(CR34),CR34&lt;0.005))),CV34="CUMPLE",CY34="CUMPLE"),"CUMPLE"&amp;IF(LEFT(BB34,5)="FUERA"," · fuera de 3.4.2.1 c)","")&amp;IF(LEFT(DD34,2)="NO"," · REVISAR anclaje en borde discontinuo",""),IF(AND(MAX(BM34,BW34,CG34,CQ34)&lt;=1,NOT(OR(BI34&lt;DATOS!$C$140,BS34&lt;DATOS!$C$140,CC34&lt;DATOS!$C$140,CM34&lt;DATOS!$C$140)),NOT(OR(AND(ISNUMBER(BN34),BN34&lt;0.005),AND(ISNUMBER(BX34),BX34&lt;0.005),AND(ISNUMBER(CH34),CH34&lt;0.005),AND(ISNUMBER(CR34),CR34&lt;0.005))),CV34="CUMPLE",CY34="CALCULAR FLECHA"),"REVISAR: calcular flecha (h &lt; h mín.)"&amp;IF(LEFT(BB34,5)="FUERA"," · fuera de 3.4.2.1 c)","")&amp;IF(LEFT(DD34,2)="NO"," · REVISAR anclaje en borde discontinuo",""),"NO CUMPLE: "&amp;IF(MAX(BM34,BW34,CG34,CQ34)&gt;1,"flexión ","")&amp;IF(OR(BI34&lt;DATOS!$C$140,BS34&lt;DATOS!$C$140,CC34&lt;DATOS!$C$140,CM34&lt;DATOS!$C$140),"separación &lt; mínima ","")&amp;IF(OR(AND(ISNUMBER(BN34),BN34&lt;0.005),AND(ISNUMBER(BX34),BX34&lt;0.005),AND(ISNUMBER(CH34),CH34&lt;0.005),AND(ISNUMBER(CR34),CR34&lt;0.005)),"ε_t &lt; 0.005 ","")&amp;IF(CV34&lt;&gt;"CUMPLE","cortante ","")&amp;IF(CY34="NO CUMPLE","peralte","")))))))</f>
        <v/>
      </c>
      <c r="DJ34" s="70" t="str">
        <f>IF(V34&lt;&gt;"SÍ","",IF(LEFT(B34,7)="EJEMPLO","EJEMPLO de tablero típico: bórralo o sobrescríbelo. ","")&amp;IF(C34="VOLADO","Volado de "&amp;TEXT(Z34,"0.00")&amp;" m empotrado en el borde "&amp;LOWER(X34)&amp;IF(N(P34)&gt;0,", con "&amp;TEXT(P34,"0.0")&amp;" kg/m en la orilla","")&amp;". Lecho inferior con r_ext. Si la orilla carga pretil u otro elemento frágil, calcula la flecha (13.4). El acero superior entra al respaldo de "&amp;TEXT(IF(ISNUMBER(Q34),Q34,Z34),"0.00")&amp;" m"&amp;IF(ISNUMBER(Q34),""," (L_b no capturado: se tomó igual al volado)")&amp;" hasta pasar M = 0 con 0.9·PP sin carga viva; si ahí no se anula, llega al apoyo lejano y se ancla con gancho. ","")&amp;IF(LEFT(BB34,5)="FUERA","El M⁻ del vecino difiere más de 50 % (3.4.2.1 c): distribuye el desequilibrio (3.4.3.1) o confirma con un modelo; se arma con el mayor. ","")&amp;IF(OR(DB34="SÍ",DC34="SÍ"),"Bastones también en los bordes discontinuos (M⁻ de tabla), con gancho. ","")&amp;IF(LEFT(DD34,2)="NO","Anclaje: "&amp;DD34&amp;" (6.7.7.4.1.1). ","")&amp;IF(OR(AT34&gt;0,AU34&gt;0),"Esquinas exteriores sobre muro: refuerzo de esquina arriba y abajo en L_largo/5 (6.7.7.3.1). ",""))</f>
        <v/>
      </c>
    </row>
    <row r="35" ht="33" customHeight="1">
      <c r="A35" s="50">
        <f>IF(B35="",0,1)+A34</f>
        <v>3</v>
      </c>
      <c r="B35" s="29" t="n"/>
      <c r="C35" s="51" t="n"/>
      <c r="D35" s="29" t="n"/>
      <c r="E35" s="52" t="n"/>
      <c r="F35" s="52" t="n"/>
      <c r="G35" s="51" t="n"/>
      <c r="H35" s="51" t="n"/>
      <c r="I35" s="51" t="n"/>
      <c r="J35" s="51" t="n"/>
      <c r="K35" s="51" t="n"/>
      <c r="L35" s="51" t="n"/>
      <c r="M35" s="54" t="n"/>
      <c r="N35" s="53" t="n"/>
      <c r="O35" s="53" t="n"/>
      <c r="P35" s="54" t="n"/>
      <c r="Q35" s="52" t="n"/>
      <c r="R35" s="54" t="n"/>
      <c r="S35" s="53" t="n"/>
      <c r="T35" s="52" t="n"/>
      <c r="U35" s="52" t="n"/>
      <c r="V35" s="55" t="str">
        <f>IF(B35="","",IF(AND(OR(C35="PERIMETRAL",C35="VOLADO"),ISNUMBER(E35),ISNUMBER(F35),E35&gt;0,F35&gt;0,OR(ISNUMBER(O35),ISNUMBER(MATCH(D35,DATOS!$B$46:$B$55,0)))),"SÍ","NO"))</f>
        <v/>
      </c>
      <c r="W35" s="57" t="str">
        <f>IF(V35&lt;&gt;"SÍ","",IF(ISNUMBER(M35),M35,DATOS!$C$134))</f>
        <v/>
      </c>
      <c r="X35" s="55" t="str">
        <f>IF(V35&lt;&gt;"SÍ","",IF(C35&lt;&gt;"VOLADO","—",IF(COUNTIF(G35:J35,"CONTINUO")&lt;&gt;1,"?",IF(G35="CONTINUO","INFERIOR",IF(H35="CONTINUO","SUPERIOR",IF(I35="CONTINUO","IZQUIERDO","DERECHO"))))))</f>
        <v/>
      </c>
      <c r="Y35" s="55" t="str">
        <f>IF(V35&lt;&gt;"SÍ","",IF(C35="VOLADO",IF(OR(X35="IZQUIERDO",X35="DERECHO"),"X","Y"),IF(E35&lt;=F35,"X","Y")))</f>
        <v/>
      </c>
      <c r="Z35" s="56" t="str">
        <f>IF(V35&lt;&gt;"SÍ","",IF(C35="VOLADO",IF(Y35="X",E35,F35),MIN(E35,F35)))</f>
        <v/>
      </c>
      <c r="AA35" s="56" t="str">
        <f>IF(V35&lt;&gt;"SÍ","",IF(C35="VOLADO",IF(Y35="X",F35,E35),MAX(E35,F35)))</f>
        <v/>
      </c>
      <c r="AB35" s="56" t="str">
        <f>IF(V35&lt;&gt;"SÍ","",MIN(Z35,AA35)/MAX(Z35,AA35))</f>
        <v/>
      </c>
      <c r="AC35" s="57" t="str">
        <f>IF(V35&lt;&gt;"SÍ","",MAX(1,Z35*100-IF(C35="VOLADO",DATOS!$C$84/2,DATOS!$C$84)))</f>
        <v/>
      </c>
      <c r="AD35" s="57" t="str">
        <f>IF(V35&lt;&gt;"SÍ","",MAX(1,AA35*100-DATOS!$C$84))</f>
        <v/>
      </c>
      <c r="AE35" s="57" t="str">
        <f>IF(V35&lt;&gt;"SÍ","",IF(C35="VOLADO",DATOS!$C$61,DATOS!$C$59))</f>
        <v/>
      </c>
      <c r="AF35" s="57" t="str">
        <f>IF(V35&lt;&gt;"SÍ","",IF(OR(AND(AG35="SÍ",DATOS!$C$63="SÍ"),AND(C35="VOLADO",DATOS!$C$64="SÍ")),DATOS!$C$61,DATOS!$C$59))</f>
        <v/>
      </c>
      <c r="AG35" s="55" t="str">
        <f>IF(V35&lt;&gt;"SÍ","",IFERROR(INDEX(DATOS!$D$46:$D$55,MATCH(D35,DATOS!$B$46:$B$55,0)),"NO"))</f>
        <v/>
      </c>
      <c r="AH35" s="59" t="str">
        <f>IF(V35&lt;&gt;"SÍ","",IF(ISNUMBER(O35),O35,IFERROR(INDEX(DATOS!$C$46:$C$55,MATCH(D35,DATOS!$B$46:$B$55,0)),0)))</f>
        <v/>
      </c>
      <c r="AI35" s="59" t="str">
        <f>IF(V35&lt;&gt;"SÍ","",W35/100*DATOS!$C$16*1000+DATOS!$C$37+DATOS!$C$38)</f>
        <v/>
      </c>
      <c r="AJ35" s="59" t="str">
        <f>IF(V35&lt;&gt;"SÍ","",AI35+N(N35))</f>
        <v/>
      </c>
      <c r="AK35" s="60" t="str">
        <f>IF(V35&lt;&gt;"SÍ","",MAX(DATOS!$C$26*AJ35+DATOS!$C$27*AH35,IF(AG35="SÍ",DATOS!$C$28*(AJ35+DATOS!$C$41),0)))</f>
        <v/>
      </c>
      <c r="AL35" s="59" t="str">
        <f>IF(V35&lt;&gt;"SÍ","",(G35="DISCONTINUO")+(H35="DISCONTINUO")+(I35="DISCONTINUO")+(J35="DISCONTINUO"))</f>
        <v/>
      </c>
      <c r="AM35" s="59" t="str">
        <f>IF(V35&lt;&gt;"SÍ","",IF(Y35="X",(G35="DISCONTINUO")+(H35="DISCONTINUO"),(I35="DISCONTINUO")+(J35="DISCONTINUO")))</f>
        <v/>
      </c>
      <c r="AN35" s="55" t="str">
        <f>IF(V35&lt;&gt;"SÍ","",IF(AL35=0,"INTERIOR",IF(AL35=1,IF(AM35=1,"BORDE-CORTO","BORDE-LARGO"),IF(AL35=2,IF(AM35=1,"ESQUINA",IF(AM35=2,"EXTREMO-LARGO","EXTREMO-CORTO")),IF(AL35=3,IF(AM35=2,"EXTREMO-LARGO","EXTREMO-CORTO"),"AISLADO")))))</f>
        <v/>
      </c>
      <c r="AO35" s="61" t="str">
        <f>IF(V35&lt;&gt;"SÍ","",IF(OR(K35="",K35="AUTO"),AN35,K35))</f>
        <v/>
      </c>
      <c r="AP35" s="59" t="str">
        <f>IF(V35&lt;&gt;"SÍ","",MATCH(AB35,TABLAS!$D$5:$J$5,1))</f>
        <v/>
      </c>
      <c r="AQ35" s="58" t="str">
        <f>IF(V35&lt;&gt;"SÍ","",IF(AP35&gt;=7,0,(AB35-INDEX(TABLAS!$D$5:$J$5,AP35))/(INDEX(TABLAS!$D$5:$J$5,AP35+1)-INDEX(TABLAS!$D$5:$J$5,AP35))))</f>
        <v/>
      </c>
      <c r="AR35" s="59" t="str">
        <f>IF(V35&lt;&gt;"SÍ","",INDEX(TABLAS!$D$6:$J$47,MATCH(AO35&amp;"|NIC",TABLAS!$B$6:$B$47,0),AP35)+AQ35*(INDEX(TABLAS!$D$6:$J$47,MATCH(AO35&amp;"|NIC",TABLAS!$B$6:$B$47,0),MIN(AP35+1,7))-INDEX(TABLAS!$D$6:$J$47,MATCH(AO35&amp;"|NIC",TABLAS!$B$6:$B$47,0),AP35)))</f>
        <v/>
      </c>
      <c r="AS35" s="59" t="str">
        <f>IF(V35&lt;&gt;"SÍ","",INDEX(TABLAS!$D$6:$J$47,MATCH(AO35&amp;"|NIL",TABLAS!$B$6:$B$47,0),AP35)+AQ35*(INDEX(TABLAS!$D$6:$J$47,MATCH(AO35&amp;"|NIL",TABLAS!$B$6:$B$47,0),MIN(AP35+1,7))-INDEX(TABLAS!$D$6:$J$47,MATCH(AO35&amp;"|NIL",TABLAS!$B$6:$B$47,0),AP35)))</f>
        <v/>
      </c>
      <c r="AT35" s="59" t="str">
        <f>IF(V35&lt;&gt;"SÍ","",INDEX(TABLAS!$D$6:$J$47,MATCH(AO35&amp;"|NDC",TABLAS!$B$6:$B$47,0),AP35)+AQ35*(INDEX(TABLAS!$D$6:$J$47,MATCH(AO35&amp;"|NDC",TABLAS!$B$6:$B$47,0),MIN(AP35+1,7))-INDEX(TABLAS!$D$6:$J$47,MATCH(AO35&amp;"|NDC",TABLAS!$B$6:$B$47,0),AP35)))</f>
        <v/>
      </c>
      <c r="AU35" s="59" t="str">
        <f>IF(V35&lt;&gt;"SÍ","",INDEX(TABLAS!$D$6:$J$47,MATCH(AO35&amp;"|NDL",TABLAS!$B$6:$B$47,0),AP35)+AQ35*(INDEX(TABLAS!$D$6:$J$47,MATCH(AO35&amp;"|NDL",TABLAS!$B$6:$B$47,0),MIN(AP35+1,7))-INDEX(TABLAS!$D$6:$J$47,MATCH(AO35&amp;"|NDL",TABLAS!$B$6:$B$47,0),AP35)))</f>
        <v/>
      </c>
      <c r="AV35" s="59" t="str">
        <f>IF(V35&lt;&gt;"SÍ","",INDEX(TABLAS!$D$6:$J$47,MATCH(AO35&amp;"|PC",TABLAS!$B$6:$B$47,0),AP35)+AQ35*(INDEX(TABLAS!$D$6:$J$47,MATCH(AO35&amp;"|PC",TABLAS!$B$6:$B$47,0),MIN(AP35+1,7))-INDEX(TABLAS!$D$6:$J$47,MATCH(AO35&amp;"|PC",TABLAS!$B$6:$B$47,0),AP35)))</f>
        <v/>
      </c>
      <c r="AW35" s="59" t="str">
        <f>IF(V35&lt;&gt;"SÍ","",INDEX(TABLAS!$D$6:$J$47,MATCH(AO35&amp;"|PL",TABLAS!$B$6:$B$47,0),AP35)+AQ35*(INDEX(TABLAS!$D$6:$J$47,MATCH(AO35&amp;"|PL",TABLAS!$B$6:$B$47,0),MIN(AP35+1,7))-INDEX(TABLAS!$D$6:$J$47,MATCH(AO35&amp;"|PL",TABLAS!$B$6:$B$47,0),AP35)))</f>
        <v/>
      </c>
      <c r="AX35" s="56" t="str">
        <f>IF(V35&lt;&gt;"SÍ","",IF(C35="PERIMETRAL",AV35*AK35*Z35^2*1E-4/1000,0))</f>
        <v/>
      </c>
      <c r="AY35" s="62" t="str">
        <f>IF(V35&lt;&gt;"SÍ","",IF(C35="PERIMETRAL",MAX(MAX(AR35,AT35)*AK35*Z35^2*1E-4/1000,N(T35)),(AK35*(AC35/100)^2/2+DATOS!$C$26*N(P35)*AC35/100)/1000))</f>
        <v/>
      </c>
      <c r="AZ35" s="56" t="str">
        <f>IF(V35&lt;&gt;"SÍ","",IF(C35="PERIMETRAL",AW35*AK35*Z35^2*1E-4/1000,0))</f>
        <v/>
      </c>
      <c r="BA35" s="56" t="str">
        <f>IF(V35&lt;&gt;"SÍ","",IF(C35="PERIMETRAL",MAX(MAX(AS35,AU35)*AK35*Z35^2*1E-4/1000,N(U35)),0))</f>
        <v/>
      </c>
      <c r="BB35" s="63" t="str">
        <f>IF(V35&lt;&gt;"SÍ","",IF(C35&lt;&gt;"PERIMETRAL","—",IF(AND(N(T35)=0,N(U35)=0),"— (sin M⁻ del vecino)",IF(OR(AND(N(T35)&gt;0,ABS(MAX(AR35,AT35)*AK35*Z35^2*1E-4/1000-N(T35))&gt;0.5*MIN(MAX(AR35,AT35)*AK35*Z35^2*1E-4/1000,N(T35))),AND(N(U35)&gt;0,ABS(MAX(AS35,AU35)*AK35*Z35^2*1E-4/1000-N(U35))&gt;0.5*MIN(MAX(AS35,AU35)*AK35*Z35^2*1E-4/1000,N(U35)))),"FUERA: difieren &gt; 50 %"&amp;IF(AND(N(T35)&gt;0,ABS(MAX(AR35,AT35)*AK35*Z35^2*1E-4/1000-N(T35))&gt;0.5*MIN(MAX(AR35,AT35)*AK35*Z35^2*1E-4/1000,N(T35)))," ‖ corto","")&amp;IF(AND(N(U35)&gt;0,ABS(MAX(AS35,AU35)*AK35*Z35^2*1E-4/1000-N(U35))&gt;0.5*MIN(MAX(AS35,AU35)*AK35*Z35^2*1E-4/1000,N(U35)))," ‖ largo",""),"CUMPLE"))))</f>
        <v/>
      </c>
      <c r="BC35" s="58" t="str">
        <f>IF(V35&lt;&gt;"SÍ","",DATOS!$C$136*100*W35)</f>
        <v/>
      </c>
      <c r="BD35" s="57" t="str">
        <f>IF(V35&lt;&gt;"SÍ","",MIN(IF(C35="VOLADO",DATOS!$C$138,DATOS!$C$137)*W35,DATOS!$C$139))</f>
        <v/>
      </c>
      <c r="BE35" s="58" t="str">
        <f>IF(V35&lt;&gt;"SÍ","",(W35-AE35-INDEX(TABLAS!$C$52:$C$58,MATCH(IF(ISNUMBER(S35),S35,DATOS!$C$135),TABLAS!$B$52:$B$58,0))/2))</f>
        <v/>
      </c>
      <c r="BF35" s="58" t="str">
        <f>IF(V35&lt;&gt;"SÍ","",IF(AX35&lt;=0,0,IF((1-2*AX35*1E5/(DATOS!$C$29*100*BE35^2*DATOS!$C$21))&lt;0,-1,IF((1-SQRT((1-2*AX35*1E5/(DATOS!$C$29*100*BE35^2*DATOS!$C$21))))*DATOS!$C$21*100*BE35/DATOS!$C$14&gt;DATOS!$C$99*100*BE35,-1,(1-SQRT((1-2*AX35*1E5/(DATOS!$C$29*100*BE35^2*DATOS!$C$21))))*DATOS!$C$21*100*BE35/DATOS!$C$14))))</f>
        <v/>
      </c>
      <c r="BG35" s="58" t="str">
        <f>IF(V35&lt;&gt;"SÍ","",IF(BF35&lt;0,-1,MAX(BF35,BC35)))</f>
        <v/>
      </c>
      <c r="BH35" s="64" t="str">
        <f>IF(V35&lt;&gt;"SÍ","",IF(AND(BG35&gt;0,FLOOR(MIN(BD35,100*INDEX(TABLAS!$D$52:$D$58,MIN(MATCH(IF(ISNUMBER(S35),S35,DATOS!$C$135),TABLAS!$B$52:$B$58,0)+0,7))/MAX(BG35,0.0001)),DATOS!$C$141)&gt;=DATOS!$C$140),INDEX(TABLAS!$B$52:$B$58,MIN(MATCH(IF(ISNUMBER(S35),S35,DATOS!$C$135),TABLAS!$B$52:$B$58,0)+0,7)),IF(AND(BG35&gt;0,FLOOR(MIN(BD35,100*INDEX(TABLAS!$D$52:$D$58,MIN(MATCH(IF(ISNUMBER(S35),S35,DATOS!$C$135),TABLAS!$B$52:$B$58,0)+1,7))/MAX(BG35,0.0001)),DATOS!$C$141)&gt;=DATOS!$C$140),INDEX(TABLAS!$B$52:$B$58,MIN(MATCH(IF(ISNUMBER(S35),S35,DATOS!$C$135),TABLAS!$B$52:$B$58,0)+1,7)),IF(AND(BG35&gt;0,FLOOR(MIN(BD35,100*INDEX(TABLAS!$D$52:$D$58,MIN(MATCH(IF(ISNUMBER(S35),S35,DATOS!$C$135),TABLAS!$B$52:$B$58,0)+2,7))/MAX(BG35,0.0001)),DATOS!$C$141)&gt;=DATOS!$C$140),INDEX(TABLAS!$B$52:$B$58,MIN(MATCH(IF(ISNUMBER(S35),S35,DATOS!$C$135),TABLAS!$B$52:$B$58,0)+2,7)),IF(AND(BG35&gt;0,FLOOR(MIN(BD35,100*INDEX(TABLAS!$D$52:$D$58,MIN(MATCH(IF(ISNUMBER(S35),S35,DATOS!$C$135),TABLAS!$B$52:$B$58,0)+3,7))/MAX(BG35,0.0001)),DATOS!$C$141)&gt;=DATOS!$C$140),INDEX(TABLAS!$B$52:$B$58,MIN(MATCH(IF(ISNUMBER(S35),S35,DATOS!$C$135),TABLAS!$B$52:$B$58,0)+3,7)),IF(AND(BG35&gt;0,FLOOR(MIN(BD35,100*INDEX(TABLAS!$D$52:$D$58,MIN(MATCH(IF(ISNUMBER(S35),S35,DATOS!$C$135),TABLAS!$B$52:$B$58,0)+4,7))/MAX(BG35,0.0001)),DATOS!$C$141)&gt;=DATOS!$C$140),INDEX(TABLAS!$B$52:$B$58,MIN(MATCH(IF(ISNUMBER(S35),S35,DATOS!$C$135),TABLAS!$B$52:$B$58,0)+4,7)),INDEX(TABLAS!$B$52:$B$58,7)))))))</f>
        <v/>
      </c>
      <c r="BI35" s="71" t="str">
        <f>IF(V35&lt;&gt;"SÍ","",IF(BG35&lt;=0,0,FLOOR(MIN(BD35,100*INDEX(TABLAS!$D$52:$D$58,MATCH(BH35,TABLAS!$B$52:$B$58,0))/BG35),DATOS!$C$141)))</f>
        <v/>
      </c>
      <c r="BJ35" s="58" t="str">
        <f>IF(V35&lt;&gt;"SÍ","",IF(BI35&lt;=0,0,INDEX(TABLAS!$D$52:$D$58,MATCH(BH35,TABLAS!$B$52:$B$58,0))*100/BI35))</f>
        <v/>
      </c>
      <c r="BK35" s="58" t="str">
        <f>IF(V35&lt;&gt;"SÍ","",W35-AE35-INDEX(TABLAS!$C$52:$C$58,MATCH(BH35,TABLAS!$B$52:$B$58,0))/2)</f>
        <v/>
      </c>
      <c r="BL35" s="56" t="str">
        <f>IF(V35&lt;&gt;"SÍ","",IF(BJ35=0,0,DATOS!$C$29*BJ35*DATOS!$C$14*(BK35-BJ35*DATOS!$C$14/(DATOS!$C$21*100)/2)/1E5))</f>
        <v/>
      </c>
      <c r="BM35" s="65" t="str">
        <f>IF(V35&lt;&gt;"SÍ","",IF(BG35&lt;0,9.99,IF(BL35&gt;0,AX35/BL35,0)))</f>
        <v/>
      </c>
      <c r="BN35" s="66" t="str">
        <f>IF(V35&lt;&gt;"SÍ","",IF(BJ35=0,"—",0.003*(BK35-(BJ35*DATOS!$C$14/(DATOS!$C$21*100)/DATOS!$C$22))/(BJ35*DATOS!$C$14/(DATOS!$C$21*100)/DATOS!$C$22)))</f>
        <v/>
      </c>
      <c r="BO35" s="58" t="str">
        <f>IF(V35&lt;&gt;"SÍ","",((W35-AF35-INDEX(TABLAS!$C$52:$C$58,MATCH(IF(ISNUMBER(S35),S35,DATOS!$C$135),TABLAS!$B$52:$B$58,0))/2)-IF(AND((W35-AF35-INDEX(TABLAS!$C$52:$C$58,MATCH(IF(ISNUMBER(S35),S35,DATOS!$C$135),TABLAS!$B$52:$B$58,0))/2)&lt;=20,DATOS!$C$62&lt;&gt;"SÍ"),2,0)))</f>
        <v/>
      </c>
      <c r="BP35" s="58" t="str">
        <f>IF(V35&lt;&gt;"SÍ","",IF(AY35&lt;=0,0,IF((1-2*AY35*1E5/(DATOS!$C$29*100*BO35^2*DATOS!$C$21))&lt;0,-1,IF((1-SQRT((1-2*AY35*1E5/(DATOS!$C$29*100*BO35^2*DATOS!$C$21))))*DATOS!$C$21*100*BO35/DATOS!$C$14&gt;DATOS!$C$99*100*BO35,-1,(1-SQRT((1-2*AY35*1E5/(DATOS!$C$29*100*BO35^2*DATOS!$C$21))))*DATOS!$C$21*100*BO35/DATOS!$C$14))))</f>
        <v/>
      </c>
      <c r="BQ35" s="58" t="str">
        <f>IF(V35&lt;&gt;"SÍ","",IF(BP35&lt;0,-1,MAX(BP35,BC35)))</f>
        <v/>
      </c>
      <c r="BR35" s="64" t="str">
        <f>IF(V35&lt;&gt;"SÍ","",IF(AND(BQ35&gt;0,FLOOR(MIN(BD35,100*INDEX(TABLAS!$D$52:$D$58,MIN(MATCH(IF(ISNUMBER(S35),S35,DATOS!$C$135),TABLAS!$B$52:$B$58,0)+0,7))/MAX(BQ35,0.0001)),DATOS!$C$141)&gt;=DATOS!$C$140),INDEX(TABLAS!$B$52:$B$58,MIN(MATCH(IF(ISNUMBER(S35),S35,DATOS!$C$135),TABLAS!$B$52:$B$58,0)+0,7)),IF(AND(BQ35&gt;0,FLOOR(MIN(BD35,100*INDEX(TABLAS!$D$52:$D$58,MIN(MATCH(IF(ISNUMBER(S35),S35,DATOS!$C$135),TABLAS!$B$52:$B$58,0)+1,7))/MAX(BQ35,0.0001)),DATOS!$C$141)&gt;=DATOS!$C$140),INDEX(TABLAS!$B$52:$B$58,MIN(MATCH(IF(ISNUMBER(S35),S35,DATOS!$C$135),TABLAS!$B$52:$B$58,0)+1,7)),IF(AND(BQ35&gt;0,FLOOR(MIN(BD35,100*INDEX(TABLAS!$D$52:$D$58,MIN(MATCH(IF(ISNUMBER(S35),S35,DATOS!$C$135),TABLAS!$B$52:$B$58,0)+2,7))/MAX(BQ35,0.0001)),DATOS!$C$141)&gt;=DATOS!$C$140),INDEX(TABLAS!$B$52:$B$58,MIN(MATCH(IF(ISNUMBER(S35),S35,DATOS!$C$135),TABLAS!$B$52:$B$58,0)+2,7)),IF(AND(BQ35&gt;0,FLOOR(MIN(BD35,100*INDEX(TABLAS!$D$52:$D$58,MIN(MATCH(IF(ISNUMBER(S35),S35,DATOS!$C$135),TABLAS!$B$52:$B$58,0)+3,7))/MAX(BQ35,0.0001)),DATOS!$C$141)&gt;=DATOS!$C$140),INDEX(TABLAS!$B$52:$B$58,MIN(MATCH(IF(ISNUMBER(S35),S35,DATOS!$C$135),TABLAS!$B$52:$B$58,0)+3,7)),IF(AND(BQ35&gt;0,FLOOR(MIN(BD35,100*INDEX(TABLAS!$D$52:$D$58,MIN(MATCH(IF(ISNUMBER(S35),S35,DATOS!$C$135),TABLAS!$B$52:$B$58,0)+4,7))/MAX(BQ35,0.0001)),DATOS!$C$141)&gt;=DATOS!$C$140),INDEX(TABLAS!$B$52:$B$58,MIN(MATCH(IF(ISNUMBER(S35),S35,DATOS!$C$135),TABLAS!$B$52:$B$58,0)+4,7)),INDEX(TABLAS!$B$52:$B$58,7)))))))</f>
        <v/>
      </c>
      <c r="BS35" s="71" t="str">
        <f>IF(V35&lt;&gt;"SÍ","",IF(BQ35&lt;=0,0,FLOOR(MIN(BD35,100*INDEX(TABLAS!$D$52:$D$58,MATCH(BR35,TABLAS!$B$52:$B$58,0))/BQ35),DATOS!$C$141)))</f>
        <v/>
      </c>
      <c r="BT35" s="58" t="str">
        <f>IF(V35&lt;&gt;"SÍ","",IF(BS35&lt;=0,0,INDEX(TABLAS!$D$52:$D$58,MATCH(BR35,TABLAS!$B$52:$B$58,0))*100/BS35))</f>
        <v/>
      </c>
      <c r="BU35" s="58" t="str">
        <f>IF(V35&lt;&gt;"SÍ","",((W35-AF35-INDEX(TABLAS!$C$52:$C$58,MATCH(BR35,TABLAS!$B$52:$B$58,0))/2)-IF(AND((W35-AF35-INDEX(TABLAS!$C$52:$C$58,MATCH(BR35,TABLAS!$B$52:$B$58,0))/2)&lt;=20,DATOS!$C$62&lt;&gt;"SÍ"),2,0)))</f>
        <v/>
      </c>
      <c r="BV35" s="56" t="str">
        <f>IF(V35&lt;&gt;"SÍ","",IF(BT35=0,0,DATOS!$C$29*BT35*DATOS!$C$14*(BU35-BT35*DATOS!$C$14/(DATOS!$C$21*100)/2)/1E5))</f>
        <v/>
      </c>
      <c r="BW35" s="65" t="str">
        <f>IF(V35&lt;&gt;"SÍ","",IF(BQ35&lt;0,9.99,IF(BV35&gt;0,AY35/BV35,0)))</f>
        <v/>
      </c>
      <c r="BX35" s="66" t="str">
        <f>IF(V35&lt;&gt;"SÍ","",IF(BT35=0,"—",0.003*(BU35-(BT35*DATOS!$C$14/(DATOS!$C$21*100)/DATOS!$C$22))/(BT35*DATOS!$C$14/(DATOS!$C$21*100)/DATOS!$C$22)))</f>
        <v/>
      </c>
      <c r="BY35" s="58" t="str">
        <f>IF(V35&lt;&gt;"SÍ","",(W35-AE35-1.5*INDEX(TABLAS!$C$52:$C$58,MATCH(IF(ISNUMBER(S35),S35,DATOS!$C$135),TABLAS!$B$52:$B$58,0))))</f>
        <v/>
      </c>
      <c r="BZ35" s="58" t="str">
        <f>IF(V35&lt;&gt;"SÍ","",IF(AZ35&lt;=0,0,IF((1-2*AZ35*1E5/(DATOS!$C$29*100*BY35^2*DATOS!$C$21))&lt;0,-1,IF((1-SQRT((1-2*AZ35*1E5/(DATOS!$C$29*100*BY35^2*DATOS!$C$21))))*DATOS!$C$21*100*BY35/DATOS!$C$14&gt;DATOS!$C$99*100*BY35,-1,(1-SQRT((1-2*AZ35*1E5/(DATOS!$C$29*100*BY35^2*DATOS!$C$21))))*DATOS!$C$21*100*BY35/DATOS!$C$14))))</f>
        <v/>
      </c>
      <c r="CA35" s="58" t="str">
        <f>IF(V35&lt;&gt;"SÍ","",IF(BZ35&lt;0,-1,MAX(BZ35,BC35)))</f>
        <v/>
      </c>
      <c r="CB35" s="64" t="str">
        <f>IF(V35&lt;&gt;"SÍ","",IF(AND(CA35&gt;0,FLOOR(MIN(BD35,100*INDEX(TABLAS!$D$52:$D$58,MIN(MATCH(IF(ISNUMBER(S35),S35,DATOS!$C$135),TABLAS!$B$52:$B$58,0)+0,7))/MAX(CA35,0.0001)),DATOS!$C$141)&gt;=DATOS!$C$140),INDEX(TABLAS!$B$52:$B$58,MIN(MATCH(IF(ISNUMBER(S35),S35,DATOS!$C$135),TABLAS!$B$52:$B$58,0)+0,7)),IF(AND(CA35&gt;0,FLOOR(MIN(BD35,100*INDEX(TABLAS!$D$52:$D$58,MIN(MATCH(IF(ISNUMBER(S35),S35,DATOS!$C$135),TABLAS!$B$52:$B$58,0)+1,7))/MAX(CA35,0.0001)),DATOS!$C$141)&gt;=DATOS!$C$140),INDEX(TABLAS!$B$52:$B$58,MIN(MATCH(IF(ISNUMBER(S35),S35,DATOS!$C$135),TABLAS!$B$52:$B$58,0)+1,7)),IF(AND(CA35&gt;0,FLOOR(MIN(BD35,100*INDEX(TABLAS!$D$52:$D$58,MIN(MATCH(IF(ISNUMBER(S35),S35,DATOS!$C$135),TABLAS!$B$52:$B$58,0)+2,7))/MAX(CA35,0.0001)),DATOS!$C$141)&gt;=DATOS!$C$140),INDEX(TABLAS!$B$52:$B$58,MIN(MATCH(IF(ISNUMBER(S35),S35,DATOS!$C$135),TABLAS!$B$52:$B$58,0)+2,7)),IF(AND(CA35&gt;0,FLOOR(MIN(BD35,100*INDEX(TABLAS!$D$52:$D$58,MIN(MATCH(IF(ISNUMBER(S35),S35,DATOS!$C$135),TABLAS!$B$52:$B$58,0)+3,7))/MAX(CA35,0.0001)),DATOS!$C$141)&gt;=DATOS!$C$140),INDEX(TABLAS!$B$52:$B$58,MIN(MATCH(IF(ISNUMBER(S35),S35,DATOS!$C$135),TABLAS!$B$52:$B$58,0)+3,7)),IF(AND(CA35&gt;0,FLOOR(MIN(BD35,100*INDEX(TABLAS!$D$52:$D$58,MIN(MATCH(IF(ISNUMBER(S35),S35,DATOS!$C$135),TABLAS!$B$52:$B$58,0)+4,7))/MAX(CA35,0.0001)),DATOS!$C$141)&gt;=DATOS!$C$140),INDEX(TABLAS!$B$52:$B$58,MIN(MATCH(IF(ISNUMBER(S35),S35,DATOS!$C$135),TABLAS!$B$52:$B$58,0)+4,7)),INDEX(TABLAS!$B$52:$B$58,7)))))))</f>
        <v/>
      </c>
      <c r="CC35" s="71" t="str">
        <f>IF(V35&lt;&gt;"SÍ","",IF(CA35&lt;=0,0,FLOOR(MIN(BD35,100*INDEX(TABLAS!$D$52:$D$58,MATCH(CB35,TABLAS!$B$52:$B$58,0))/CA35),DATOS!$C$141)))</f>
        <v/>
      </c>
      <c r="CD35" s="58" t="str">
        <f>IF(V35&lt;&gt;"SÍ","",IF(CC35&lt;=0,0,INDEX(TABLAS!$D$52:$D$58,MATCH(CB35,TABLAS!$B$52:$B$58,0))*100/CC35))</f>
        <v/>
      </c>
      <c r="CE35" s="58" t="str">
        <f>IF(V35&lt;&gt;"SÍ","",W35-AE35-INDEX(TABLAS!$C$52:$C$58,MATCH(BH35,TABLAS!$B$52:$B$58,0))-INDEX(TABLAS!$C$52:$C$58,MATCH(CB35,TABLAS!$B$52:$B$58,0))/2)</f>
        <v/>
      </c>
      <c r="CF35" s="56" t="str">
        <f>IF(V35&lt;&gt;"SÍ","",IF(CD35=0,0,DATOS!$C$29*CD35*DATOS!$C$14*(CE35-CD35*DATOS!$C$14/(DATOS!$C$21*100)/2)/1E5))</f>
        <v/>
      </c>
      <c r="CG35" s="65" t="str">
        <f>IF(V35&lt;&gt;"SÍ","",IF(CA35&lt;0,9.99,IF(CF35&gt;0,AZ35/CF35,0)))</f>
        <v/>
      </c>
      <c r="CH35" s="66" t="str">
        <f>IF(V35&lt;&gt;"SÍ","",IF(CD35=0,"—",0.003*(CE35-(CD35*DATOS!$C$14/(DATOS!$C$21*100)/DATOS!$C$22))/(CD35*DATOS!$C$14/(DATOS!$C$21*100)/DATOS!$C$22)))</f>
        <v/>
      </c>
      <c r="CI35" s="58" t="str">
        <f>IF(V35&lt;&gt;"SÍ","",((W35-AF35-1.5*INDEX(TABLAS!$C$52:$C$58,MATCH(IF(ISNUMBER(S35),S35,DATOS!$C$135),TABLAS!$B$52:$B$58,0)))-IF(AND((W35-AF35-1.5*INDEX(TABLAS!$C$52:$C$58,MATCH(IF(ISNUMBER(S35),S35,DATOS!$C$135),TABLAS!$B$52:$B$58,0)))&lt;=20,DATOS!$C$62&lt;&gt;"SÍ"),2,0)))</f>
        <v/>
      </c>
      <c r="CJ35" s="58" t="str">
        <f>IF(V35&lt;&gt;"SÍ","",IF(BA35&lt;=0,0,IF((1-2*BA35*1E5/(DATOS!$C$29*100*CI35^2*DATOS!$C$21))&lt;0,-1,IF((1-SQRT((1-2*BA35*1E5/(DATOS!$C$29*100*CI35^2*DATOS!$C$21))))*DATOS!$C$21*100*CI35/DATOS!$C$14&gt;DATOS!$C$99*100*CI35,-1,(1-SQRT((1-2*BA35*1E5/(DATOS!$C$29*100*CI35^2*DATOS!$C$21))))*DATOS!$C$21*100*CI35/DATOS!$C$14))))</f>
        <v/>
      </c>
      <c r="CK35" s="58" t="str">
        <f>IF(V35&lt;&gt;"SÍ","",IF(CJ35&lt;0,-1,MAX(CJ35,BC35)))</f>
        <v/>
      </c>
      <c r="CL35" s="64" t="str">
        <f>IF(V35&lt;&gt;"SÍ","",IF(AND(CK35&gt;0,FLOOR(MIN(BD35,100*INDEX(TABLAS!$D$52:$D$58,MIN(MATCH(IF(ISNUMBER(S35),S35,DATOS!$C$135),TABLAS!$B$52:$B$58,0)+0,7))/MAX(CK35,0.0001)),DATOS!$C$141)&gt;=DATOS!$C$140),INDEX(TABLAS!$B$52:$B$58,MIN(MATCH(IF(ISNUMBER(S35),S35,DATOS!$C$135),TABLAS!$B$52:$B$58,0)+0,7)),IF(AND(CK35&gt;0,FLOOR(MIN(BD35,100*INDEX(TABLAS!$D$52:$D$58,MIN(MATCH(IF(ISNUMBER(S35),S35,DATOS!$C$135),TABLAS!$B$52:$B$58,0)+1,7))/MAX(CK35,0.0001)),DATOS!$C$141)&gt;=DATOS!$C$140),INDEX(TABLAS!$B$52:$B$58,MIN(MATCH(IF(ISNUMBER(S35),S35,DATOS!$C$135),TABLAS!$B$52:$B$58,0)+1,7)),IF(AND(CK35&gt;0,FLOOR(MIN(BD35,100*INDEX(TABLAS!$D$52:$D$58,MIN(MATCH(IF(ISNUMBER(S35),S35,DATOS!$C$135),TABLAS!$B$52:$B$58,0)+2,7))/MAX(CK35,0.0001)),DATOS!$C$141)&gt;=DATOS!$C$140),INDEX(TABLAS!$B$52:$B$58,MIN(MATCH(IF(ISNUMBER(S35),S35,DATOS!$C$135),TABLAS!$B$52:$B$58,0)+2,7)),IF(AND(CK35&gt;0,FLOOR(MIN(BD35,100*INDEX(TABLAS!$D$52:$D$58,MIN(MATCH(IF(ISNUMBER(S35),S35,DATOS!$C$135),TABLAS!$B$52:$B$58,0)+3,7))/MAX(CK35,0.0001)),DATOS!$C$141)&gt;=DATOS!$C$140),INDEX(TABLAS!$B$52:$B$58,MIN(MATCH(IF(ISNUMBER(S35),S35,DATOS!$C$135),TABLAS!$B$52:$B$58,0)+3,7)),IF(AND(CK35&gt;0,FLOOR(MIN(BD35,100*INDEX(TABLAS!$D$52:$D$58,MIN(MATCH(IF(ISNUMBER(S35),S35,DATOS!$C$135),TABLAS!$B$52:$B$58,0)+4,7))/MAX(CK35,0.0001)),DATOS!$C$141)&gt;=DATOS!$C$140),INDEX(TABLAS!$B$52:$B$58,MIN(MATCH(IF(ISNUMBER(S35),S35,DATOS!$C$135),TABLAS!$B$52:$B$58,0)+4,7)),INDEX(TABLAS!$B$52:$B$58,7)))))))</f>
        <v/>
      </c>
      <c r="CM35" s="71" t="str">
        <f>IF(V35&lt;&gt;"SÍ","",IF(CK35&lt;=0,0,FLOOR(MIN(BD35,100*INDEX(TABLAS!$D$52:$D$58,MATCH(CL35,TABLAS!$B$52:$B$58,0))/CK35),DATOS!$C$141)))</f>
        <v/>
      </c>
      <c r="CN35" s="58" t="str">
        <f>IF(V35&lt;&gt;"SÍ","",IF(CM35&lt;=0,0,INDEX(TABLAS!$D$52:$D$58,MATCH(CL35,TABLAS!$B$52:$B$58,0))*100/CM35))</f>
        <v/>
      </c>
      <c r="CO35" s="58" t="str">
        <f>IF(V35&lt;&gt;"SÍ","",((W35-AF35-INDEX(TABLAS!$C$52:$C$58,MATCH(BR35,TABLAS!$B$52:$B$58,0))-INDEX(TABLAS!$C$52:$C$58,MATCH(CL35,TABLAS!$B$52:$B$58,0))/2)-IF(AND((W35-AF35-INDEX(TABLAS!$C$52:$C$58,MATCH(BR35,TABLAS!$B$52:$B$58,0))-INDEX(TABLAS!$C$52:$C$58,MATCH(CL35,TABLAS!$B$52:$B$58,0))/2)&lt;=20,DATOS!$C$62&lt;&gt;"SÍ"),2,0)))</f>
        <v/>
      </c>
      <c r="CP35" s="56" t="str">
        <f>IF(V35&lt;&gt;"SÍ","",IF(CN35=0,0,DATOS!$C$29*CN35*DATOS!$C$14*(CO35-CN35*DATOS!$C$14/(DATOS!$C$21*100)/2)/1E5))</f>
        <v/>
      </c>
      <c r="CQ35" s="65" t="str">
        <f>IF(V35&lt;&gt;"SÍ","",IF(CK35&lt;0,9.99,IF(CP35&gt;0,BA35/CP35,0)))</f>
        <v/>
      </c>
      <c r="CR35" s="66" t="str">
        <f>IF(V35&lt;&gt;"SÍ","",IF(CN35=0,"—",0.003*(CO35-(CN35*DATOS!$C$14/(DATOS!$C$21*100)/DATOS!$C$22))/(CN35*DATOS!$C$14/(DATOS!$C$21*100)/DATOS!$C$22)))</f>
        <v/>
      </c>
      <c r="CS35" s="56" t="str">
        <f>IF(V35&lt;&gt;"SÍ","",IF(C35="PERIMETRAL",MAX(0,(AC35/2-BU35)/100)*(0.95-0.5*AB35)*AK35*IF(AND(AL35&gt;0,AL35&lt;4),DATOS!$C$33,1)/1000,(AK35*MAX(0,AC35-BU35)/100+DATOS!$C$26*N(P35))/1000))</f>
        <v/>
      </c>
      <c r="CT35" s="66" t="str">
        <f>IF(V35&lt;&gt;"SÍ","",BT35/(100*BU35))</f>
        <v/>
      </c>
      <c r="CU35" s="56" t="str">
        <f>IF(V35&lt;&gt;"SÍ","",DATOS!$C$30*2*MIN(1,SQRT(2/(1+0.04*BU35)))*CT35^(1/3)*SQRT(DATOS!$C$13)*100*BU35/1000)</f>
        <v/>
      </c>
      <c r="CV35" s="67" t="str">
        <f>IF(V35&lt;&gt;"SÍ","",IF(CS35&lt;=CU35,"CUMPLE","NO CUMPLE: sube h"))</f>
        <v/>
      </c>
      <c r="CW35" s="58" t="str">
        <f>IF(V35&lt;&gt;"SÍ","",IF(C35="PERIMETRAL",IF(ISNUMBER(R35),R35,DATOS!$C$101),0))</f>
        <v/>
      </c>
      <c r="CX35" s="57" t="str">
        <f>IF(V35&lt;&gt;"SÍ","",IF(C35="PERIMETRAL",IF(CW35&gt;2,MAX(9,AD35*(0.8+DATOS!$C$14/14000)/(36+9*(AD35/MAX(AC35,1)))),IF(CW35&gt;0.2,MAX(13,AD35*(0.8+DATOS!$C$14/14000)/(36+5*(AD35/MAX(AC35,1))*(CW35-0.2))),MAX(13,AD35/IF(AL35&gt;0,30,33))))*IF(AND(CW35&gt;0.2,AL35&gt;0,DATOS!$C$102="NO"),1.1,1),Z35*100/DATOS!$C$142))</f>
        <v/>
      </c>
      <c r="CY35" s="61" t="str">
        <f>IF(V35&lt;&gt;"SÍ","",IF(W35&gt;=CX35-0.001,"CUMPLE",IF(C35="VOLADO","NO CUMPLE","CALCULAR FLECHA")))</f>
        <v/>
      </c>
      <c r="CZ35" s="60" t="str">
        <f>IF(V35&lt;&gt;"SÍ","",IF(C35="VOLADO",MIN(CEILING(IF(ISNUMBER(Q35),Q35,Z35)*100,5),CEILING(MAX(IF((0.5*(0.9*W35/100*DATOS!$C$16)*IF(ISNUMBER(Q35),Q35,Z35)+AY35/IF(ISNUMBER(Q35),Q35,Z35))^2-4*(0.5*(0.9*W35/100*DATOS!$C$16))*AY35&lt;0,IF(ISNUMBER(Q35),Q35,Z35),MIN(IF(ISNUMBER(Q35),Q35,Z35),((0.5*(0.9*W35/100*DATOS!$C$16)*IF(ISNUMBER(Q35),Q35,Z35)+AY35/IF(ISNUMBER(Q35),Q35,Z35))-SQRT((0.5*(0.9*W35/100*DATOS!$C$16)*IF(ISNUMBER(Q35),Q35,Z35)+AY35/IF(ISNUMBER(Q35),Q35,Z35))^2-4*(0.5*(0.9*W35/100*DATOS!$C$16))*AY35))/(2*(0.5*(0.9*W35/100*DATOS!$C$16)))))*100+MAX(BU35,12*INDEX(TABLAS!$C$52:$C$58,MATCH(BR35,TABLAS!$B$52:$B$58,0)),IF(ISNUMBER(Q35),Q35,Z35)*100/16),IF(OR(AF35&lt;INDEX(TABLAS!$C$52:$C$58,MATCH(BR35,TABLAS!$B$52:$B$58,0)),BS35-INDEX(TABLAS!$C$52:$C$58,MATCH(BR35,TABLAS!$B$52:$B$58,0))&lt;2*INDEX(TABLAS!$C$52:$C$58,MATCH(BR35,TABLAS!$B$52:$B$58,0))),INDEX(TABLAS!$I$52:$I$58,MATCH(BR35,TABLAS!$B$52:$B$58,0)),INDEX(TABLAS!$F$52:$F$58,MATCH(BR35,TABLAS!$B$52:$B$58,0)))),5)),IF(((4*((AV35*AK35*Z35^2*1E-4/1000)+((MAX(AR35,AT35)*AK35*Z35^2*1E-4/1000)+(IF(AND(AR35&gt;0,AT35&gt;0),MIN(AR35,AT35),MAX(AR35,AT35))*AK35*Z35^2*1E-4/1000))/2)+AY35-(IF(AND(AR35&gt;0,AT35&gt;0),MIN(AR35,AT35),MAX(AR35,AT35))*AK35*Z35^2*1E-4/1000))^2-16*((AV35*AK35*Z35^2*1E-4/1000)+((MAX(AR35,AT35)*AK35*Z35^2*1E-4/1000)+(IF(AND(AR35&gt;0,AT35&gt;0),MIN(AR35,AT35),MAX(AR35,AT35))*AK35*Z35^2*1E-4/1000))/2)*AY35)&lt;0,CEILING(AC35,5),CEILING(MAX(AC35*((4*((AV35*AK35*Z35^2*1E-4/1000)+((MAX(AR35,AT35)*AK35*Z35^2*1E-4/1000)+(IF(AND(AR35&gt;0,AT35&gt;0),MIN(AR35,AT35),MAX(AR35,AT35))*AK35*Z35^2*1E-4/1000))/2)+AY35-(IF(AND(AR35&gt;0,AT35&gt;0),MIN(AR35,AT35),MAX(AR35,AT35))*AK35*Z35^2*1E-4/1000))-SQRT(MAX(0,((4*((AV35*AK35*Z35^2*1E-4/1000)+((MAX(AR35,AT35)*AK35*Z35^2*1E-4/1000)+(IF(AND(AR35&gt;0,AT35&gt;0),MIN(AR35,AT35),MAX(AR35,AT35))*AK35*Z35^2*1E-4/1000))/2)+AY35-(IF(AND(AR35&gt;0,AT35&gt;0),MIN(AR35,AT35),MAX(AR35,AT35))*AK35*Z35^2*1E-4/1000))^2-16*((AV35*AK35*Z35^2*1E-4/1000)+((MAX(AR35,AT35)*AK35*Z35^2*1E-4/1000)+(IF(AND(AR35&gt;0,AT35&gt;0),MIN(AR35,AT35),MAX(AR35,AT35))*AK35*Z35^2*1E-4/1000))/2)*AY35))))/(8*MAX(((AV35*AK35*Z35^2*1E-4/1000)+((MAX(AR35,AT35)*AK35*Z35^2*1E-4/1000)+(IF(AND(AR35&gt;0,AT35&gt;0),MIN(AR35,AT35),MAX(AR35,AT35))*AK35*Z35^2*1E-4/1000))/2),1E-9))+MAX(BU35,12*INDEX(TABLAS!$C$52:$C$58,MATCH(BR35,TABLAS!$B$52:$B$58,0)),AC35/16),IF(OR(AF35&lt;INDEX(TABLAS!$C$52:$C$58,MATCH(BR35,TABLAS!$B$52:$B$58,0)),BS35-INDEX(TABLAS!$C$52:$C$58,MATCH(BR35,TABLAS!$B$52:$B$58,0))&lt;2*INDEX(TABLAS!$C$52:$C$58,MATCH(BR35,TABLAS!$B$52:$B$58,0))),INDEX(TABLAS!$I$52:$I$58,MATCH(BR35,TABLAS!$B$52:$B$58,0)),INDEX(TABLAS!$F$52:$F$58,MATCH(BR35,TABLAS!$B$52:$B$58,0)))),5))))</f>
        <v/>
      </c>
      <c r="DA35" s="60" t="str">
        <f>IF(V35&lt;&gt;"SÍ","",IF(C35="VOLADO",0,IF(((4*((AW35*AK35*Z35^2*1E-4/1000)+((MAX(AS35,AU35)*AK35*Z35^2*1E-4/1000)+(IF(AND(AS35&gt;0,AU35&gt;0),MIN(AS35,AU35),MAX(AS35,AU35))*AK35*Z35^2*1E-4/1000))/2)+BA35-(IF(AND(AS35&gt;0,AU35&gt;0),MIN(AS35,AU35),MAX(AS35,AU35))*AK35*Z35^2*1E-4/1000))^2-16*((AW35*AK35*Z35^2*1E-4/1000)+((MAX(AS35,AU35)*AK35*Z35^2*1E-4/1000)+(IF(AND(AS35&gt;0,AU35&gt;0),MIN(AS35,AU35),MAX(AS35,AU35))*AK35*Z35^2*1E-4/1000))/2)*BA35)&lt;0,CEILING(AD35,5),CEILING(MAX(AD35*((4*((AW35*AK35*Z35^2*1E-4/1000)+((MAX(AS35,AU35)*AK35*Z35^2*1E-4/1000)+(IF(AND(AS35&gt;0,AU35&gt;0),MIN(AS35,AU35),MAX(AS35,AU35))*AK35*Z35^2*1E-4/1000))/2)+BA35-(IF(AND(AS35&gt;0,AU35&gt;0),MIN(AS35,AU35),MAX(AS35,AU35))*AK35*Z35^2*1E-4/1000))-SQRT(MAX(0,((4*((AW35*AK35*Z35^2*1E-4/1000)+((MAX(AS35,AU35)*AK35*Z35^2*1E-4/1000)+(IF(AND(AS35&gt;0,AU35&gt;0),MIN(AS35,AU35),MAX(AS35,AU35))*AK35*Z35^2*1E-4/1000))/2)+BA35-(IF(AND(AS35&gt;0,AU35&gt;0),MIN(AS35,AU35),MAX(AS35,AU35))*AK35*Z35^2*1E-4/1000))^2-16*((AW35*AK35*Z35^2*1E-4/1000)+((MAX(AS35,AU35)*AK35*Z35^2*1E-4/1000)+(IF(AND(AS35&gt;0,AU35&gt;0),MIN(AS35,AU35),MAX(AS35,AU35))*AK35*Z35^2*1E-4/1000))/2)*BA35))))/(8*MAX(((AW35*AK35*Z35^2*1E-4/1000)+((MAX(AS35,AU35)*AK35*Z35^2*1E-4/1000)+(IF(AND(AS35&gt;0,AU35&gt;0),MIN(AS35,AU35),MAX(AS35,AU35))*AK35*Z35^2*1E-4/1000))/2),1E-9))+MAX(CO35,12*INDEX(TABLAS!$C$52:$C$58,MATCH(CL35,TABLAS!$B$52:$B$58,0)),AD35/16),IF(OR(AF35&lt;INDEX(TABLAS!$C$52:$C$58,MATCH(CL35,TABLAS!$B$52:$B$58,0)),CM35-INDEX(TABLAS!$C$52:$C$58,MATCH(CL35,TABLAS!$B$52:$B$58,0))&lt;2*INDEX(TABLAS!$C$52:$C$58,MATCH(CL35,TABLAS!$B$52:$B$58,0))),INDEX(TABLAS!$I$52:$I$58,MATCH(CL35,TABLAS!$B$52:$B$58,0)),INDEX(TABLAS!$F$52:$F$58,MATCH(CL35,TABLAS!$B$52:$B$58,0)))),5))))</f>
        <v/>
      </c>
      <c r="DB35" s="55" t="str">
        <f>IF(V35&lt;&gt;"SÍ","",IF(AND(C35="PERIMETRAL",AL35-AM35&gt;0,AT35&gt;0),"SÍ","NO"))</f>
        <v/>
      </c>
      <c r="DC35" s="55" t="str">
        <f>IF(V35&lt;&gt;"SÍ","",IF(AND(C35="PERIMETRAL",AM35&gt;0,AU35&gt;0),"SÍ","NO"))</f>
        <v/>
      </c>
      <c r="DD35" s="63" t="str">
        <f>IF(V35&lt;&gt;"SÍ","",IF(OR(C35="VOLADO",AL35=0),"—",IF(AND(AND(INDEX(TABLAS!$G$52:$G$58,MATCH(MAX(BR35,CL35),TABLAS!$B$52:$B$58,0))&lt;=(DATOS!$C$72-DATOS!$C$60),(DATOS!$C$72-DATOS!$C$60)&gt;=15),8*INDEX(TABLAS!$C$52:$C$58,MATCH(MAX(BH35,CB35,BR35,CL35),TABLAS!$B$52:$B$58,0))&lt;=DATOS!$C$73-2*DATOS!$C$60),"CUMPLE (gancho de 180°)",IF(AND(INDEX(TABLAS!$G$52:$G$58,MATCH(MAX(BR35,CL35),TABLAS!$B$52:$B$58,0))&lt;=(DATOS!$C$72-DATOS!$C$60),(DATOS!$C$72-DATOS!$C$60)&gt;=15),"NO CUMPLE: el gancho de 180° (8·d_b) no cabe en el peralte de la dala de borde","NO CUMPLE: dala de borde ≥ "&amp;TEXT(CEILING(MAX(INDEX(TABLAS!$G$52:$G$58,MATCH(MAX(BR35,CL35),TABLAS!$B$52:$B$58,0)),15)+DATOS!$C$60,5),"0")&amp;" cm de ancho"&amp;IF(8*INDEX(TABLAS!$C$52:$C$58,MATCH(MAX(BH35,CB35,BR35,CL35),TABLAS!$B$52:$B$58,0))&lt;=DATOS!$C$73-2*DATOS!$C$60,""," y más peralte para el gancho")))))</f>
        <v/>
      </c>
      <c r="DE35" s="69" t="str">
        <f>IF(V35&lt;&gt;"SÍ","",IF(BI35=0,"NO ALCANZA","No. "&amp;BH35&amp;" @ "&amp;BI35&amp;" cm"&amp;IF(C35="VOLADO"," (temperatura)","")))</f>
        <v/>
      </c>
      <c r="DF35" s="69" t="str">
        <f>IF(V35&lt;&gt;"SÍ","",IF(BS35=0,"NO ALCANZA",IF(C35="VOLADO","No. "&amp;BR35&amp;" @ "&amp;BS35&amp;" cm"&amp;" de la orilla al respaldo ("&amp;IF(CZ35&gt;=100*IF(ISNUMBER(Q35),Q35,Z35),"hasta su apoyo lejano, con gancho","entran "&amp;TEXT(CZ35/100,"0.00")&amp;" m desde el paño")&amp;")","Bastones "&amp;"No. "&amp;BR35&amp;" @ "&amp;BS35&amp;" cm"&amp;", L = "&amp;TEXT(CZ35/100,"0.00")&amp;" m desde el paño")))</f>
        <v/>
      </c>
      <c r="DG35" s="69" t="str">
        <f>IF(V35&lt;&gt;"SÍ","",IF(CC35=0,"NO ALCANZA","No. "&amp;CB35&amp;" @ "&amp;CC35&amp;" cm"&amp;IF(C35="VOLADO"," (repartición)","")))</f>
        <v/>
      </c>
      <c r="DH35" s="69" t="str">
        <f>IF(V35&lt;&gt;"SÍ","",IF(CM35=0,"NO ALCANZA",IF(C35="VOLADO","No. "&amp;CL35&amp;" @ "&amp;CM35&amp;" cm"&amp;" (repartición)","Bastones "&amp;"No. "&amp;CL35&amp;" @ "&amp;CM35&amp;" cm"&amp;", L = "&amp;TEXT(DA35/100,"0.00")&amp;" m desde el paño")))</f>
        <v/>
      </c>
      <c r="DI35" s="67" t="str">
        <f>IF(B35="","",IF(V35&lt;&gt;"SÍ","FALTAN DATOS: tipo, a_x, a_y y destino",IF(L35="NO MONOLÍTICO (caso II)","FUERA DE ALCANCE: caso II no transcrito",IF(AND(C35="VOLADO",X35="?"),"REVISAR: el volado lleva UN solo borde CONTINUO (el empotrado)",IF(AND(MAX(BM35,BW35,CG35,CQ35)&lt;=1,NOT(OR(BI35&lt;DATOS!$C$140,BS35&lt;DATOS!$C$140,CC35&lt;DATOS!$C$140,CM35&lt;DATOS!$C$140)),NOT(OR(AND(ISNUMBER(BN35),BN35&lt;0.005),AND(ISNUMBER(BX35),BX35&lt;0.005),AND(ISNUMBER(CH35),CH35&lt;0.005),AND(ISNUMBER(CR35),CR35&lt;0.005))),CV35="CUMPLE",CY35="CUMPLE"),"CUMPLE"&amp;IF(LEFT(BB35,5)="FUERA"," · fuera de 3.4.2.1 c)","")&amp;IF(LEFT(DD35,2)="NO"," · REVISAR anclaje en borde discontinuo",""),IF(AND(MAX(BM35,BW35,CG35,CQ35)&lt;=1,NOT(OR(BI35&lt;DATOS!$C$140,BS35&lt;DATOS!$C$140,CC35&lt;DATOS!$C$140,CM35&lt;DATOS!$C$140)),NOT(OR(AND(ISNUMBER(BN35),BN35&lt;0.005),AND(ISNUMBER(BX35),BX35&lt;0.005),AND(ISNUMBER(CH35),CH35&lt;0.005),AND(ISNUMBER(CR35),CR35&lt;0.005))),CV35="CUMPLE",CY35="CALCULAR FLECHA"),"REVISAR: calcular flecha (h &lt; h mín.)"&amp;IF(LEFT(BB35,5)="FUERA"," · fuera de 3.4.2.1 c)","")&amp;IF(LEFT(DD35,2)="NO"," · REVISAR anclaje en borde discontinuo",""),"NO CUMPLE: "&amp;IF(MAX(BM35,BW35,CG35,CQ35)&gt;1,"flexión ","")&amp;IF(OR(BI35&lt;DATOS!$C$140,BS35&lt;DATOS!$C$140,CC35&lt;DATOS!$C$140,CM35&lt;DATOS!$C$140),"separación &lt; mínima ","")&amp;IF(OR(AND(ISNUMBER(BN35),BN35&lt;0.005),AND(ISNUMBER(BX35),BX35&lt;0.005),AND(ISNUMBER(CH35),CH35&lt;0.005),AND(ISNUMBER(CR35),CR35&lt;0.005)),"ε_t &lt; 0.005 ","")&amp;IF(CV35&lt;&gt;"CUMPLE","cortante ","")&amp;IF(CY35="NO CUMPLE","peralte","")))))))</f>
        <v/>
      </c>
      <c r="DJ35" s="70" t="str">
        <f>IF(V35&lt;&gt;"SÍ","",IF(LEFT(B35,7)="EJEMPLO","EJEMPLO de tablero típico: bórralo o sobrescríbelo. ","")&amp;IF(C35="VOLADO","Volado de "&amp;TEXT(Z35,"0.00")&amp;" m empotrado en el borde "&amp;LOWER(X35)&amp;IF(N(P35)&gt;0,", con "&amp;TEXT(P35,"0.0")&amp;" kg/m en la orilla","")&amp;". Lecho inferior con r_ext. Si la orilla carga pretil u otro elemento frágil, calcula la flecha (13.4). El acero superior entra al respaldo de "&amp;TEXT(IF(ISNUMBER(Q35),Q35,Z35),"0.00")&amp;" m"&amp;IF(ISNUMBER(Q35),""," (L_b no capturado: se tomó igual al volado)")&amp;" hasta pasar M = 0 con 0.9·PP sin carga viva; si ahí no se anula, llega al apoyo lejano y se ancla con gancho. ","")&amp;IF(LEFT(BB35,5)="FUERA","El M⁻ del vecino difiere más de 50 % (3.4.2.1 c): distribuye el desequilibrio (3.4.3.1) o confirma con un modelo; se arma con el mayor. ","")&amp;IF(OR(DB35="SÍ",DC35="SÍ"),"Bastones también en los bordes discontinuos (M⁻ de tabla), con gancho. ","")&amp;IF(LEFT(DD35,2)="NO","Anclaje: "&amp;DD35&amp;" (6.7.7.4.1.1). ","")&amp;IF(OR(AT35&gt;0,AU35&gt;0),"Esquinas exteriores sobre muro: refuerzo de esquina arriba y abajo en L_largo/5 (6.7.7.3.1). ",""))</f>
        <v/>
      </c>
    </row>
    <row r="36" ht="33" customHeight="1">
      <c r="A36" s="50">
        <f>IF(B36="",0,1)+A35</f>
        <v>3</v>
      </c>
      <c r="B36" s="29" t="n"/>
      <c r="C36" s="51" t="n"/>
      <c r="D36" s="29" t="n"/>
      <c r="E36" s="52" t="n"/>
      <c r="F36" s="52" t="n"/>
      <c r="G36" s="51" t="n"/>
      <c r="H36" s="51" t="n"/>
      <c r="I36" s="51" t="n"/>
      <c r="J36" s="51" t="n"/>
      <c r="K36" s="51" t="n"/>
      <c r="L36" s="51" t="n"/>
      <c r="M36" s="54" t="n"/>
      <c r="N36" s="53" t="n"/>
      <c r="O36" s="53" t="n"/>
      <c r="P36" s="54" t="n"/>
      <c r="Q36" s="52" t="n"/>
      <c r="R36" s="54" t="n"/>
      <c r="S36" s="53" t="n"/>
      <c r="T36" s="52" t="n"/>
      <c r="U36" s="52" t="n"/>
      <c r="V36" s="55" t="str">
        <f>IF(B36="","",IF(AND(OR(C36="PERIMETRAL",C36="VOLADO"),ISNUMBER(E36),ISNUMBER(F36),E36&gt;0,F36&gt;0,OR(ISNUMBER(O36),ISNUMBER(MATCH(D36,DATOS!$B$46:$B$55,0)))),"SÍ","NO"))</f>
        <v/>
      </c>
      <c r="W36" s="57" t="str">
        <f>IF(V36&lt;&gt;"SÍ","",IF(ISNUMBER(M36),M36,DATOS!$C$134))</f>
        <v/>
      </c>
      <c r="X36" s="55" t="str">
        <f>IF(V36&lt;&gt;"SÍ","",IF(C36&lt;&gt;"VOLADO","—",IF(COUNTIF(G36:J36,"CONTINUO")&lt;&gt;1,"?",IF(G36="CONTINUO","INFERIOR",IF(H36="CONTINUO","SUPERIOR",IF(I36="CONTINUO","IZQUIERDO","DERECHO"))))))</f>
        <v/>
      </c>
      <c r="Y36" s="55" t="str">
        <f>IF(V36&lt;&gt;"SÍ","",IF(C36="VOLADO",IF(OR(X36="IZQUIERDO",X36="DERECHO"),"X","Y"),IF(E36&lt;=F36,"X","Y")))</f>
        <v/>
      </c>
      <c r="Z36" s="56" t="str">
        <f>IF(V36&lt;&gt;"SÍ","",IF(C36="VOLADO",IF(Y36="X",E36,F36),MIN(E36,F36)))</f>
        <v/>
      </c>
      <c r="AA36" s="56" t="str">
        <f>IF(V36&lt;&gt;"SÍ","",IF(C36="VOLADO",IF(Y36="X",F36,E36),MAX(E36,F36)))</f>
        <v/>
      </c>
      <c r="AB36" s="56" t="str">
        <f>IF(V36&lt;&gt;"SÍ","",MIN(Z36,AA36)/MAX(Z36,AA36))</f>
        <v/>
      </c>
      <c r="AC36" s="57" t="str">
        <f>IF(V36&lt;&gt;"SÍ","",MAX(1,Z36*100-IF(C36="VOLADO",DATOS!$C$84/2,DATOS!$C$84)))</f>
        <v/>
      </c>
      <c r="AD36" s="57" t="str">
        <f>IF(V36&lt;&gt;"SÍ","",MAX(1,AA36*100-DATOS!$C$84))</f>
        <v/>
      </c>
      <c r="AE36" s="57" t="str">
        <f>IF(V36&lt;&gt;"SÍ","",IF(C36="VOLADO",DATOS!$C$61,DATOS!$C$59))</f>
        <v/>
      </c>
      <c r="AF36" s="57" t="str">
        <f>IF(V36&lt;&gt;"SÍ","",IF(OR(AND(AG36="SÍ",DATOS!$C$63="SÍ"),AND(C36="VOLADO",DATOS!$C$64="SÍ")),DATOS!$C$61,DATOS!$C$59))</f>
        <v/>
      </c>
      <c r="AG36" s="55" t="str">
        <f>IF(V36&lt;&gt;"SÍ","",IFERROR(INDEX(DATOS!$D$46:$D$55,MATCH(D36,DATOS!$B$46:$B$55,0)),"NO"))</f>
        <v/>
      </c>
      <c r="AH36" s="59" t="str">
        <f>IF(V36&lt;&gt;"SÍ","",IF(ISNUMBER(O36),O36,IFERROR(INDEX(DATOS!$C$46:$C$55,MATCH(D36,DATOS!$B$46:$B$55,0)),0)))</f>
        <v/>
      </c>
      <c r="AI36" s="59" t="str">
        <f>IF(V36&lt;&gt;"SÍ","",W36/100*DATOS!$C$16*1000+DATOS!$C$37+DATOS!$C$38)</f>
        <v/>
      </c>
      <c r="AJ36" s="59" t="str">
        <f>IF(V36&lt;&gt;"SÍ","",AI36+N(N36))</f>
        <v/>
      </c>
      <c r="AK36" s="60" t="str">
        <f>IF(V36&lt;&gt;"SÍ","",MAX(DATOS!$C$26*AJ36+DATOS!$C$27*AH36,IF(AG36="SÍ",DATOS!$C$28*(AJ36+DATOS!$C$41),0)))</f>
        <v/>
      </c>
      <c r="AL36" s="59" t="str">
        <f>IF(V36&lt;&gt;"SÍ","",(G36="DISCONTINUO")+(H36="DISCONTINUO")+(I36="DISCONTINUO")+(J36="DISCONTINUO"))</f>
        <v/>
      </c>
      <c r="AM36" s="59" t="str">
        <f>IF(V36&lt;&gt;"SÍ","",IF(Y36="X",(G36="DISCONTINUO")+(H36="DISCONTINUO"),(I36="DISCONTINUO")+(J36="DISCONTINUO")))</f>
        <v/>
      </c>
      <c r="AN36" s="55" t="str">
        <f>IF(V36&lt;&gt;"SÍ","",IF(AL36=0,"INTERIOR",IF(AL36=1,IF(AM36=1,"BORDE-CORTO","BORDE-LARGO"),IF(AL36=2,IF(AM36=1,"ESQUINA",IF(AM36=2,"EXTREMO-LARGO","EXTREMO-CORTO")),IF(AL36=3,IF(AM36=2,"EXTREMO-LARGO","EXTREMO-CORTO"),"AISLADO")))))</f>
        <v/>
      </c>
      <c r="AO36" s="61" t="str">
        <f>IF(V36&lt;&gt;"SÍ","",IF(OR(K36="",K36="AUTO"),AN36,K36))</f>
        <v/>
      </c>
      <c r="AP36" s="59" t="str">
        <f>IF(V36&lt;&gt;"SÍ","",MATCH(AB36,TABLAS!$D$5:$J$5,1))</f>
        <v/>
      </c>
      <c r="AQ36" s="58" t="str">
        <f>IF(V36&lt;&gt;"SÍ","",IF(AP36&gt;=7,0,(AB36-INDEX(TABLAS!$D$5:$J$5,AP36))/(INDEX(TABLAS!$D$5:$J$5,AP36+1)-INDEX(TABLAS!$D$5:$J$5,AP36))))</f>
        <v/>
      </c>
      <c r="AR36" s="59" t="str">
        <f>IF(V36&lt;&gt;"SÍ","",INDEX(TABLAS!$D$6:$J$47,MATCH(AO36&amp;"|NIC",TABLAS!$B$6:$B$47,0),AP36)+AQ36*(INDEX(TABLAS!$D$6:$J$47,MATCH(AO36&amp;"|NIC",TABLAS!$B$6:$B$47,0),MIN(AP36+1,7))-INDEX(TABLAS!$D$6:$J$47,MATCH(AO36&amp;"|NIC",TABLAS!$B$6:$B$47,0),AP36)))</f>
        <v/>
      </c>
      <c r="AS36" s="59" t="str">
        <f>IF(V36&lt;&gt;"SÍ","",INDEX(TABLAS!$D$6:$J$47,MATCH(AO36&amp;"|NIL",TABLAS!$B$6:$B$47,0),AP36)+AQ36*(INDEX(TABLAS!$D$6:$J$47,MATCH(AO36&amp;"|NIL",TABLAS!$B$6:$B$47,0),MIN(AP36+1,7))-INDEX(TABLAS!$D$6:$J$47,MATCH(AO36&amp;"|NIL",TABLAS!$B$6:$B$47,0),AP36)))</f>
        <v/>
      </c>
      <c r="AT36" s="59" t="str">
        <f>IF(V36&lt;&gt;"SÍ","",INDEX(TABLAS!$D$6:$J$47,MATCH(AO36&amp;"|NDC",TABLAS!$B$6:$B$47,0),AP36)+AQ36*(INDEX(TABLAS!$D$6:$J$47,MATCH(AO36&amp;"|NDC",TABLAS!$B$6:$B$47,0),MIN(AP36+1,7))-INDEX(TABLAS!$D$6:$J$47,MATCH(AO36&amp;"|NDC",TABLAS!$B$6:$B$47,0),AP36)))</f>
        <v/>
      </c>
      <c r="AU36" s="59" t="str">
        <f>IF(V36&lt;&gt;"SÍ","",INDEX(TABLAS!$D$6:$J$47,MATCH(AO36&amp;"|NDL",TABLAS!$B$6:$B$47,0),AP36)+AQ36*(INDEX(TABLAS!$D$6:$J$47,MATCH(AO36&amp;"|NDL",TABLAS!$B$6:$B$47,0),MIN(AP36+1,7))-INDEX(TABLAS!$D$6:$J$47,MATCH(AO36&amp;"|NDL",TABLAS!$B$6:$B$47,0),AP36)))</f>
        <v/>
      </c>
      <c r="AV36" s="59" t="str">
        <f>IF(V36&lt;&gt;"SÍ","",INDEX(TABLAS!$D$6:$J$47,MATCH(AO36&amp;"|PC",TABLAS!$B$6:$B$47,0),AP36)+AQ36*(INDEX(TABLAS!$D$6:$J$47,MATCH(AO36&amp;"|PC",TABLAS!$B$6:$B$47,0),MIN(AP36+1,7))-INDEX(TABLAS!$D$6:$J$47,MATCH(AO36&amp;"|PC",TABLAS!$B$6:$B$47,0),AP36)))</f>
        <v/>
      </c>
      <c r="AW36" s="59" t="str">
        <f>IF(V36&lt;&gt;"SÍ","",INDEX(TABLAS!$D$6:$J$47,MATCH(AO36&amp;"|PL",TABLAS!$B$6:$B$47,0),AP36)+AQ36*(INDEX(TABLAS!$D$6:$J$47,MATCH(AO36&amp;"|PL",TABLAS!$B$6:$B$47,0),MIN(AP36+1,7))-INDEX(TABLAS!$D$6:$J$47,MATCH(AO36&amp;"|PL",TABLAS!$B$6:$B$47,0),AP36)))</f>
        <v/>
      </c>
      <c r="AX36" s="56" t="str">
        <f>IF(V36&lt;&gt;"SÍ","",IF(C36="PERIMETRAL",AV36*AK36*Z36^2*1E-4/1000,0))</f>
        <v/>
      </c>
      <c r="AY36" s="62" t="str">
        <f>IF(V36&lt;&gt;"SÍ","",IF(C36="PERIMETRAL",MAX(MAX(AR36,AT36)*AK36*Z36^2*1E-4/1000,N(T36)),(AK36*(AC36/100)^2/2+DATOS!$C$26*N(P36)*AC36/100)/1000))</f>
        <v/>
      </c>
      <c r="AZ36" s="56" t="str">
        <f>IF(V36&lt;&gt;"SÍ","",IF(C36="PERIMETRAL",AW36*AK36*Z36^2*1E-4/1000,0))</f>
        <v/>
      </c>
      <c r="BA36" s="56" t="str">
        <f>IF(V36&lt;&gt;"SÍ","",IF(C36="PERIMETRAL",MAX(MAX(AS36,AU36)*AK36*Z36^2*1E-4/1000,N(U36)),0))</f>
        <v/>
      </c>
      <c r="BB36" s="63" t="str">
        <f>IF(V36&lt;&gt;"SÍ","",IF(C36&lt;&gt;"PERIMETRAL","—",IF(AND(N(T36)=0,N(U36)=0),"— (sin M⁻ del vecino)",IF(OR(AND(N(T36)&gt;0,ABS(MAX(AR36,AT36)*AK36*Z36^2*1E-4/1000-N(T36))&gt;0.5*MIN(MAX(AR36,AT36)*AK36*Z36^2*1E-4/1000,N(T36))),AND(N(U36)&gt;0,ABS(MAX(AS36,AU36)*AK36*Z36^2*1E-4/1000-N(U36))&gt;0.5*MIN(MAX(AS36,AU36)*AK36*Z36^2*1E-4/1000,N(U36)))),"FUERA: difieren &gt; 50 %"&amp;IF(AND(N(T36)&gt;0,ABS(MAX(AR36,AT36)*AK36*Z36^2*1E-4/1000-N(T36))&gt;0.5*MIN(MAX(AR36,AT36)*AK36*Z36^2*1E-4/1000,N(T36)))," ‖ corto","")&amp;IF(AND(N(U36)&gt;0,ABS(MAX(AS36,AU36)*AK36*Z36^2*1E-4/1000-N(U36))&gt;0.5*MIN(MAX(AS36,AU36)*AK36*Z36^2*1E-4/1000,N(U36)))," ‖ largo",""),"CUMPLE"))))</f>
        <v/>
      </c>
      <c r="BC36" s="58" t="str">
        <f>IF(V36&lt;&gt;"SÍ","",DATOS!$C$136*100*W36)</f>
        <v/>
      </c>
      <c r="BD36" s="57" t="str">
        <f>IF(V36&lt;&gt;"SÍ","",MIN(IF(C36="VOLADO",DATOS!$C$138,DATOS!$C$137)*W36,DATOS!$C$139))</f>
        <v/>
      </c>
      <c r="BE36" s="58" t="str">
        <f>IF(V36&lt;&gt;"SÍ","",(W36-AE36-INDEX(TABLAS!$C$52:$C$58,MATCH(IF(ISNUMBER(S36),S36,DATOS!$C$135),TABLAS!$B$52:$B$58,0))/2))</f>
        <v/>
      </c>
      <c r="BF36" s="58" t="str">
        <f>IF(V36&lt;&gt;"SÍ","",IF(AX36&lt;=0,0,IF((1-2*AX36*1E5/(DATOS!$C$29*100*BE36^2*DATOS!$C$21))&lt;0,-1,IF((1-SQRT((1-2*AX36*1E5/(DATOS!$C$29*100*BE36^2*DATOS!$C$21))))*DATOS!$C$21*100*BE36/DATOS!$C$14&gt;DATOS!$C$99*100*BE36,-1,(1-SQRT((1-2*AX36*1E5/(DATOS!$C$29*100*BE36^2*DATOS!$C$21))))*DATOS!$C$21*100*BE36/DATOS!$C$14))))</f>
        <v/>
      </c>
      <c r="BG36" s="58" t="str">
        <f>IF(V36&lt;&gt;"SÍ","",IF(BF36&lt;0,-1,MAX(BF36,BC36)))</f>
        <v/>
      </c>
      <c r="BH36" s="64" t="str">
        <f>IF(V36&lt;&gt;"SÍ","",IF(AND(BG36&gt;0,FLOOR(MIN(BD36,100*INDEX(TABLAS!$D$52:$D$58,MIN(MATCH(IF(ISNUMBER(S36),S36,DATOS!$C$135),TABLAS!$B$52:$B$58,0)+0,7))/MAX(BG36,0.0001)),DATOS!$C$141)&gt;=DATOS!$C$140),INDEX(TABLAS!$B$52:$B$58,MIN(MATCH(IF(ISNUMBER(S36),S36,DATOS!$C$135),TABLAS!$B$52:$B$58,0)+0,7)),IF(AND(BG36&gt;0,FLOOR(MIN(BD36,100*INDEX(TABLAS!$D$52:$D$58,MIN(MATCH(IF(ISNUMBER(S36),S36,DATOS!$C$135),TABLAS!$B$52:$B$58,0)+1,7))/MAX(BG36,0.0001)),DATOS!$C$141)&gt;=DATOS!$C$140),INDEX(TABLAS!$B$52:$B$58,MIN(MATCH(IF(ISNUMBER(S36),S36,DATOS!$C$135),TABLAS!$B$52:$B$58,0)+1,7)),IF(AND(BG36&gt;0,FLOOR(MIN(BD36,100*INDEX(TABLAS!$D$52:$D$58,MIN(MATCH(IF(ISNUMBER(S36),S36,DATOS!$C$135),TABLAS!$B$52:$B$58,0)+2,7))/MAX(BG36,0.0001)),DATOS!$C$141)&gt;=DATOS!$C$140),INDEX(TABLAS!$B$52:$B$58,MIN(MATCH(IF(ISNUMBER(S36),S36,DATOS!$C$135),TABLAS!$B$52:$B$58,0)+2,7)),IF(AND(BG36&gt;0,FLOOR(MIN(BD36,100*INDEX(TABLAS!$D$52:$D$58,MIN(MATCH(IF(ISNUMBER(S36),S36,DATOS!$C$135),TABLAS!$B$52:$B$58,0)+3,7))/MAX(BG36,0.0001)),DATOS!$C$141)&gt;=DATOS!$C$140),INDEX(TABLAS!$B$52:$B$58,MIN(MATCH(IF(ISNUMBER(S36),S36,DATOS!$C$135),TABLAS!$B$52:$B$58,0)+3,7)),IF(AND(BG36&gt;0,FLOOR(MIN(BD36,100*INDEX(TABLAS!$D$52:$D$58,MIN(MATCH(IF(ISNUMBER(S36),S36,DATOS!$C$135),TABLAS!$B$52:$B$58,0)+4,7))/MAX(BG36,0.0001)),DATOS!$C$141)&gt;=DATOS!$C$140),INDEX(TABLAS!$B$52:$B$58,MIN(MATCH(IF(ISNUMBER(S36),S36,DATOS!$C$135),TABLAS!$B$52:$B$58,0)+4,7)),INDEX(TABLAS!$B$52:$B$58,7)))))))</f>
        <v/>
      </c>
      <c r="BI36" s="71" t="str">
        <f>IF(V36&lt;&gt;"SÍ","",IF(BG36&lt;=0,0,FLOOR(MIN(BD36,100*INDEX(TABLAS!$D$52:$D$58,MATCH(BH36,TABLAS!$B$52:$B$58,0))/BG36),DATOS!$C$141)))</f>
        <v/>
      </c>
      <c r="BJ36" s="58" t="str">
        <f>IF(V36&lt;&gt;"SÍ","",IF(BI36&lt;=0,0,INDEX(TABLAS!$D$52:$D$58,MATCH(BH36,TABLAS!$B$52:$B$58,0))*100/BI36))</f>
        <v/>
      </c>
      <c r="BK36" s="58" t="str">
        <f>IF(V36&lt;&gt;"SÍ","",W36-AE36-INDEX(TABLAS!$C$52:$C$58,MATCH(BH36,TABLAS!$B$52:$B$58,0))/2)</f>
        <v/>
      </c>
      <c r="BL36" s="56" t="str">
        <f>IF(V36&lt;&gt;"SÍ","",IF(BJ36=0,0,DATOS!$C$29*BJ36*DATOS!$C$14*(BK36-BJ36*DATOS!$C$14/(DATOS!$C$21*100)/2)/1E5))</f>
        <v/>
      </c>
      <c r="BM36" s="65" t="str">
        <f>IF(V36&lt;&gt;"SÍ","",IF(BG36&lt;0,9.99,IF(BL36&gt;0,AX36/BL36,0)))</f>
        <v/>
      </c>
      <c r="BN36" s="66" t="str">
        <f>IF(V36&lt;&gt;"SÍ","",IF(BJ36=0,"—",0.003*(BK36-(BJ36*DATOS!$C$14/(DATOS!$C$21*100)/DATOS!$C$22))/(BJ36*DATOS!$C$14/(DATOS!$C$21*100)/DATOS!$C$22)))</f>
        <v/>
      </c>
      <c r="BO36" s="58" t="str">
        <f>IF(V36&lt;&gt;"SÍ","",((W36-AF36-INDEX(TABLAS!$C$52:$C$58,MATCH(IF(ISNUMBER(S36),S36,DATOS!$C$135),TABLAS!$B$52:$B$58,0))/2)-IF(AND((W36-AF36-INDEX(TABLAS!$C$52:$C$58,MATCH(IF(ISNUMBER(S36),S36,DATOS!$C$135),TABLAS!$B$52:$B$58,0))/2)&lt;=20,DATOS!$C$62&lt;&gt;"SÍ"),2,0)))</f>
        <v/>
      </c>
      <c r="BP36" s="58" t="str">
        <f>IF(V36&lt;&gt;"SÍ","",IF(AY36&lt;=0,0,IF((1-2*AY36*1E5/(DATOS!$C$29*100*BO36^2*DATOS!$C$21))&lt;0,-1,IF((1-SQRT((1-2*AY36*1E5/(DATOS!$C$29*100*BO36^2*DATOS!$C$21))))*DATOS!$C$21*100*BO36/DATOS!$C$14&gt;DATOS!$C$99*100*BO36,-1,(1-SQRT((1-2*AY36*1E5/(DATOS!$C$29*100*BO36^2*DATOS!$C$21))))*DATOS!$C$21*100*BO36/DATOS!$C$14))))</f>
        <v/>
      </c>
      <c r="BQ36" s="58" t="str">
        <f>IF(V36&lt;&gt;"SÍ","",IF(BP36&lt;0,-1,MAX(BP36,BC36)))</f>
        <v/>
      </c>
      <c r="BR36" s="64" t="str">
        <f>IF(V36&lt;&gt;"SÍ","",IF(AND(BQ36&gt;0,FLOOR(MIN(BD36,100*INDEX(TABLAS!$D$52:$D$58,MIN(MATCH(IF(ISNUMBER(S36),S36,DATOS!$C$135),TABLAS!$B$52:$B$58,0)+0,7))/MAX(BQ36,0.0001)),DATOS!$C$141)&gt;=DATOS!$C$140),INDEX(TABLAS!$B$52:$B$58,MIN(MATCH(IF(ISNUMBER(S36),S36,DATOS!$C$135),TABLAS!$B$52:$B$58,0)+0,7)),IF(AND(BQ36&gt;0,FLOOR(MIN(BD36,100*INDEX(TABLAS!$D$52:$D$58,MIN(MATCH(IF(ISNUMBER(S36),S36,DATOS!$C$135),TABLAS!$B$52:$B$58,0)+1,7))/MAX(BQ36,0.0001)),DATOS!$C$141)&gt;=DATOS!$C$140),INDEX(TABLAS!$B$52:$B$58,MIN(MATCH(IF(ISNUMBER(S36),S36,DATOS!$C$135),TABLAS!$B$52:$B$58,0)+1,7)),IF(AND(BQ36&gt;0,FLOOR(MIN(BD36,100*INDEX(TABLAS!$D$52:$D$58,MIN(MATCH(IF(ISNUMBER(S36),S36,DATOS!$C$135),TABLAS!$B$52:$B$58,0)+2,7))/MAX(BQ36,0.0001)),DATOS!$C$141)&gt;=DATOS!$C$140),INDEX(TABLAS!$B$52:$B$58,MIN(MATCH(IF(ISNUMBER(S36),S36,DATOS!$C$135),TABLAS!$B$52:$B$58,0)+2,7)),IF(AND(BQ36&gt;0,FLOOR(MIN(BD36,100*INDEX(TABLAS!$D$52:$D$58,MIN(MATCH(IF(ISNUMBER(S36),S36,DATOS!$C$135),TABLAS!$B$52:$B$58,0)+3,7))/MAX(BQ36,0.0001)),DATOS!$C$141)&gt;=DATOS!$C$140),INDEX(TABLAS!$B$52:$B$58,MIN(MATCH(IF(ISNUMBER(S36),S36,DATOS!$C$135),TABLAS!$B$52:$B$58,0)+3,7)),IF(AND(BQ36&gt;0,FLOOR(MIN(BD36,100*INDEX(TABLAS!$D$52:$D$58,MIN(MATCH(IF(ISNUMBER(S36),S36,DATOS!$C$135),TABLAS!$B$52:$B$58,0)+4,7))/MAX(BQ36,0.0001)),DATOS!$C$141)&gt;=DATOS!$C$140),INDEX(TABLAS!$B$52:$B$58,MIN(MATCH(IF(ISNUMBER(S36),S36,DATOS!$C$135),TABLAS!$B$52:$B$58,0)+4,7)),INDEX(TABLAS!$B$52:$B$58,7)))))))</f>
        <v/>
      </c>
      <c r="BS36" s="71" t="str">
        <f>IF(V36&lt;&gt;"SÍ","",IF(BQ36&lt;=0,0,FLOOR(MIN(BD36,100*INDEX(TABLAS!$D$52:$D$58,MATCH(BR36,TABLAS!$B$52:$B$58,0))/BQ36),DATOS!$C$141)))</f>
        <v/>
      </c>
      <c r="BT36" s="58" t="str">
        <f>IF(V36&lt;&gt;"SÍ","",IF(BS36&lt;=0,0,INDEX(TABLAS!$D$52:$D$58,MATCH(BR36,TABLAS!$B$52:$B$58,0))*100/BS36))</f>
        <v/>
      </c>
      <c r="BU36" s="58" t="str">
        <f>IF(V36&lt;&gt;"SÍ","",((W36-AF36-INDEX(TABLAS!$C$52:$C$58,MATCH(BR36,TABLAS!$B$52:$B$58,0))/2)-IF(AND((W36-AF36-INDEX(TABLAS!$C$52:$C$58,MATCH(BR36,TABLAS!$B$52:$B$58,0))/2)&lt;=20,DATOS!$C$62&lt;&gt;"SÍ"),2,0)))</f>
        <v/>
      </c>
      <c r="BV36" s="56" t="str">
        <f>IF(V36&lt;&gt;"SÍ","",IF(BT36=0,0,DATOS!$C$29*BT36*DATOS!$C$14*(BU36-BT36*DATOS!$C$14/(DATOS!$C$21*100)/2)/1E5))</f>
        <v/>
      </c>
      <c r="BW36" s="65" t="str">
        <f>IF(V36&lt;&gt;"SÍ","",IF(BQ36&lt;0,9.99,IF(BV36&gt;0,AY36/BV36,0)))</f>
        <v/>
      </c>
      <c r="BX36" s="66" t="str">
        <f>IF(V36&lt;&gt;"SÍ","",IF(BT36=0,"—",0.003*(BU36-(BT36*DATOS!$C$14/(DATOS!$C$21*100)/DATOS!$C$22))/(BT36*DATOS!$C$14/(DATOS!$C$21*100)/DATOS!$C$22)))</f>
        <v/>
      </c>
      <c r="BY36" s="58" t="str">
        <f>IF(V36&lt;&gt;"SÍ","",(W36-AE36-1.5*INDEX(TABLAS!$C$52:$C$58,MATCH(IF(ISNUMBER(S36),S36,DATOS!$C$135),TABLAS!$B$52:$B$58,0))))</f>
        <v/>
      </c>
      <c r="BZ36" s="58" t="str">
        <f>IF(V36&lt;&gt;"SÍ","",IF(AZ36&lt;=0,0,IF((1-2*AZ36*1E5/(DATOS!$C$29*100*BY36^2*DATOS!$C$21))&lt;0,-1,IF((1-SQRT((1-2*AZ36*1E5/(DATOS!$C$29*100*BY36^2*DATOS!$C$21))))*DATOS!$C$21*100*BY36/DATOS!$C$14&gt;DATOS!$C$99*100*BY36,-1,(1-SQRT((1-2*AZ36*1E5/(DATOS!$C$29*100*BY36^2*DATOS!$C$21))))*DATOS!$C$21*100*BY36/DATOS!$C$14))))</f>
        <v/>
      </c>
      <c r="CA36" s="58" t="str">
        <f>IF(V36&lt;&gt;"SÍ","",IF(BZ36&lt;0,-1,MAX(BZ36,BC36)))</f>
        <v/>
      </c>
      <c r="CB36" s="64" t="str">
        <f>IF(V36&lt;&gt;"SÍ","",IF(AND(CA36&gt;0,FLOOR(MIN(BD36,100*INDEX(TABLAS!$D$52:$D$58,MIN(MATCH(IF(ISNUMBER(S36),S36,DATOS!$C$135),TABLAS!$B$52:$B$58,0)+0,7))/MAX(CA36,0.0001)),DATOS!$C$141)&gt;=DATOS!$C$140),INDEX(TABLAS!$B$52:$B$58,MIN(MATCH(IF(ISNUMBER(S36),S36,DATOS!$C$135),TABLAS!$B$52:$B$58,0)+0,7)),IF(AND(CA36&gt;0,FLOOR(MIN(BD36,100*INDEX(TABLAS!$D$52:$D$58,MIN(MATCH(IF(ISNUMBER(S36),S36,DATOS!$C$135),TABLAS!$B$52:$B$58,0)+1,7))/MAX(CA36,0.0001)),DATOS!$C$141)&gt;=DATOS!$C$140),INDEX(TABLAS!$B$52:$B$58,MIN(MATCH(IF(ISNUMBER(S36),S36,DATOS!$C$135),TABLAS!$B$52:$B$58,0)+1,7)),IF(AND(CA36&gt;0,FLOOR(MIN(BD36,100*INDEX(TABLAS!$D$52:$D$58,MIN(MATCH(IF(ISNUMBER(S36),S36,DATOS!$C$135),TABLAS!$B$52:$B$58,0)+2,7))/MAX(CA36,0.0001)),DATOS!$C$141)&gt;=DATOS!$C$140),INDEX(TABLAS!$B$52:$B$58,MIN(MATCH(IF(ISNUMBER(S36),S36,DATOS!$C$135),TABLAS!$B$52:$B$58,0)+2,7)),IF(AND(CA36&gt;0,FLOOR(MIN(BD36,100*INDEX(TABLAS!$D$52:$D$58,MIN(MATCH(IF(ISNUMBER(S36),S36,DATOS!$C$135),TABLAS!$B$52:$B$58,0)+3,7))/MAX(CA36,0.0001)),DATOS!$C$141)&gt;=DATOS!$C$140),INDEX(TABLAS!$B$52:$B$58,MIN(MATCH(IF(ISNUMBER(S36),S36,DATOS!$C$135),TABLAS!$B$52:$B$58,0)+3,7)),IF(AND(CA36&gt;0,FLOOR(MIN(BD36,100*INDEX(TABLAS!$D$52:$D$58,MIN(MATCH(IF(ISNUMBER(S36),S36,DATOS!$C$135),TABLAS!$B$52:$B$58,0)+4,7))/MAX(CA36,0.0001)),DATOS!$C$141)&gt;=DATOS!$C$140),INDEX(TABLAS!$B$52:$B$58,MIN(MATCH(IF(ISNUMBER(S36),S36,DATOS!$C$135),TABLAS!$B$52:$B$58,0)+4,7)),INDEX(TABLAS!$B$52:$B$58,7)))))))</f>
        <v/>
      </c>
      <c r="CC36" s="71" t="str">
        <f>IF(V36&lt;&gt;"SÍ","",IF(CA36&lt;=0,0,FLOOR(MIN(BD36,100*INDEX(TABLAS!$D$52:$D$58,MATCH(CB36,TABLAS!$B$52:$B$58,0))/CA36),DATOS!$C$141)))</f>
        <v/>
      </c>
      <c r="CD36" s="58" t="str">
        <f>IF(V36&lt;&gt;"SÍ","",IF(CC36&lt;=0,0,INDEX(TABLAS!$D$52:$D$58,MATCH(CB36,TABLAS!$B$52:$B$58,0))*100/CC36))</f>
        <v/>
      </c>
      <c r="CE36" s="58" t="str">
        <f>IF(V36&lt;&gt;"SÍ","",W36-AE36-INDEX(TABLAS!$C$52:$C$58,MATCH(BH36,TABLAS!$B$52:$B$58,0))-INDEX(TABLAS!$C$52:$C$58,MATCH(CB36,TABLAS!$B$52:$B$58,0))/2)</f>
        <v/>
      </c>
      <c r="CF36" s="56" t="str">
        <f>IF(V36&lt;&gt;"SÍ","",IF(CD36=0,0,DATOS!$C$29*CD36*DATOS!$C$14*(CE36-CD36*DATOS!$C$14/(DATOS!$C$21*100)/2)/1E5))</f>
        <v/>
      </c>
      <c r="CG36" s="65" t="str">
        <f>IF(V36&lt;&gt;"SÍ","",IF(CA36&lt;0,9.99,IF(CF36&gt;0,AZ36/CF36,0)))</f>
        <v/>
      </c>
      <c r="CH36" s="66" t="str">
        <f>IF(V36&lt;&gt;"SÍ","",IF(CD36=0,"—",0.003*(CE36-(CD36*DATOS!$C$14/(DATOS!$C$21*100)/DATOS!$C$22))/(CD36*DATOS!$C$14/(DATOS!$C$21*100)/DATOS!$C$22)))</f>
        <v/>
      </c>
      <c r="CI36" s="58" t="str">
        <f>IF(V36&lt;&gt;"SÍ","",((W36-AF36-1.5*INDEX(TABLAS!$C$52:$C$58,MATCH(IF(ISNUMBER(S36),S36,DATOS!$C$135),TABLAS!$B$52:$B$58,0)))-IF(AND((W36-AF36-1.5*INDEX(TABLAS!$C$52:$C$58,MATCH(IF(ISNUMBER(S36),S36,DATOS!$C$135),TABLAS!$B$52:$B$58,0)))&lt;=20,DATOS!$C$62&lt;&gt;"SÍ"),2,0)))</f>
        <v/>
      </c>
      <c r="CJ36" s="58" t="str">
        <f>IF(V36&lt;&gt;"SÍ","",IF(BA36&lt;=0,0,IF((1-2*BA36*1E5/(DATOS!$C$29*100*CI36^2*DATOS!$C$21))&lt;0,-1,IF((1-SQRT((1-2*BA36*1E5/(DATOS!$C$29*100*CI36^2*DATOS!$C$21))))*DATOS!$C$21*100*CI36/DATOS!$C$14&gt;DATOS!$C$99*100*CI36,-1,(1-SQRT((1-2*BA36*1E5/(DATOS!$C$29*100*CI36^2*DATOS!$C$21))))*DATOS!$C$21*100*CI36/DATOS!$C$14))))</f>
        <v/>
      </c>
      <c r="CK36" s="58" t="str">
        <f>IF(V36&lt;&gt;"SÍ","",IF(CJ36&lt;0,-1,MAX(CJ36,BC36)))</f>
        <v/>
      </c>
      <c r="CL36" s="64" t="str">
        <f>IF(V36&lt;&gt;"SÍ","",IF(AND(CK36&gt;0,FLOOR(MIN(BD36,100*INDEX(TABLAS!$D$52:$D$58,MIN(MATCH(IF(ISNUMBER(S36),S36,DATOS!$C$135),TABLAS!$B$52:$B$58,0)+0,7))/MAX(CK36,0.0001)),DATOS!$C$141)&gt;=DATOS!$C$140),INDEX(TABLAS!$B$52:$B$58,MIN(MATCH(IF(ISNUMBER(S36),S36,DATOS!$C$135),TABLAS!$B$52:$B$58,0)+0,7)),IF(AND(CK36&gt;0,FLOOR(MIN(BD36,100*INDEX(TABLAS!$D$52:$D$58,MIN(MATCH(IF(ISNUMBER(S36),S36,DATOS!$C$135),TABLAS!$B$52:$B$58,0)+1,7))/MAX(CK36,0.0001)),DATOS!$C$141)&gt;=DATOS!$C$140),INDEX(TABLAS!$B$52:$B$58,MIN(MATCH(IF(ISNUMBER(S36),S36,DATOS!$C$135),TABLAS!$B$52:$B$58,0)+1,7)),IF(AND(CK36&gt;0,FLOOR(MIN(BD36,100*INDEX(TABLAS!$D$52:$D$58,MIN(MATCH(IF(ISNUMBER(S36),S36,DATOS!$C$135),TABLAS!$B$52:$B$58,0)+2,7))/MAX(CK36,0.0001)),DATOS!$C$141)&gt;=DATOS!$C$140),INDEX(TABLAS!$B$52:$B$58,MIN(MATCH(IF(ISNUMBER(S36),S36,DATOS!$C$135),TABLAS!$B$52:$B$58,0)+2,7)),IF(AND(CK36&gt;0,FLOOR(MIN(BD36,100*INDEX(TABLAS!$D$52:$D$58,MIN(MATCH(IF(ISNUMBER(S36),S36,DATOS!$C$135),TABLAS!$B$52:$B$58,0)+3,7))/MAX(CK36,0.0001)),DATOS!$C$141)&gt;=DATOS!$C$140),INDEX(TABLAS!$B$52:$B$58,MIN(MATCH(IF(ISNUMBER(S36),S36,DATOS!$C$135),TABLAS!$B$52:$B$58,0)+3,7)),IF(AND(CK36&gt;0,FLOOR(MIN(BD36,100*INDEX(TABLAS!$D$52:$D$58,MIN(MATCH(IF(ISNUMBER(S36),S36,DATOS!$C$135),TABLAS!$B$52:$B$58,0)+4,7))/MAX(CK36,0.0001)),DATOS!$C$141)&gt;=DATOS!$C$140),INDEX(TABLAS!$B$52:$B$58,MIN(MATCH(IF(ISNUMBER(S36),S36,DATOS!$C$135),TABLAS!$B$52:$B$58,0)+4,7)),INDEX(TABLAS!$B$52:$B$58,7)))))))</f>
        <v/>
      </c>
      <c r="CM36" s="71" t="str">
        <f>IF(V36&lt;&gt;"SÍ","",IF(CK36&lt;=0,0,FLOOR(MIN(BD36,100*INDEX(TABLAS!$D$52:$D$58,MATCH(CL36,TABLAS!$B$52:$B$58,0))/CK36),DATOS!$C$141)))</f>
        <v/>
      </c>
      <c r="CN36" s="58" t="str">
        <f>IF(V36&lt;&gt;"SÍ","",IF(CM36&lt;=0,0,INDEX(TABLAS!$D$52:$D$58,MATCH(CL36,TABLAS!$B$52:$B$58,0))*100/CM36))</f>
        <v/>
      </c>
      <c r="CO36" s="58" t="str">
        <f>IF(V36&lt;&gt;"SÍ","",((W36-AF36-INDEX(TABLAS!$C$52:$C$58,MATCH(BR36,TABLAS!$B$52:$B$58,0))-INDEX(TABLAS!$C$52:$C$58,MATCH(CL36,TABLAS!$B$52:$B$58,0))/2)-IF(AND((W36-AF36-INDEX(TABLAS!$C$52:$C$58,MATCH(BR36,TABLAS!$B$52:$B$58,0))-INDEX(TABLAS!$C$52:$C$58,MATCH(CL36,TABLAS!$B$52:$B$58,0))/2)&lt;=20,DATOS!$C$62&lt;&gt;"SÍ"),2,0)))</f>
        <v/>
      </c>
      <c r="CP36" s="56" t="str">
        <f>IF(V36&lt;&gt;"SÍ","",IF(CN36=0,0,DATOS!$C$29*CN36*DATOS!$C$14*(CO36-CN36*DATOS!$C$14/(DATOS!$C$21*100)/2)/1E5))</f>
        <v/>
      </c>
      <c r="CQ36" s="65" t="str">
        <f>IF(V36&lt;&gt;"SÍ","",IF(CK36&lt;0,9.99,IF(CP36&gt;0,BA36/CP36,0)))</f>
        <v/>
      </c>
      <c r="CR36" s="66" t="str">
        <f>IF(V36&lt;&gt;"SÍ","",IF(CN36=0,"—",0.003*(CO36-(CN36*DATOS!$C$14/(DATOS!$C$21*100)/DATOS!$C$22))/(CN36*DATOS!$C$14/(DATOS!$C$21*100)/DATOS!$C$22)))</f>
        <v/>
      </c>
      <c r="CS36" s="56" t="str">
        <f>IF(V36&lt;&gt;"SÍ","",IF(C36="PERIMETRAL",MAX(0,(AC36/2-BU36)/100)*(0.95-0.5*AB36)*AK36*IF(AND(AL36&gt;0,AL36&lt;4),DATOS!$C$33,1)/1000,(AK36*MAX(0,AC36-BU36)/100+DATOS!$C$26*N(P36))/1000))</f>
        <v/>
      </c>
      <c r="CT36" s="66" t="str">
        <f>IF(V36&lt;&gt;"SÍ","",BT36/(100*BU36))</f>
        <v/>
      </c>
      <c r="CU36" s="56" t="str">
        <f>IF(V36&lt;&gt;"SÍ","",DATOS!$C$30*2*MIN(1,SQRT(2/(1+0.04*BU36)))*CT36^(1/3)*SQRT(DATOS!$C$13)*100*BU36/1000)</f>
        <v/>
      </c>
      <c r="CV36" s="67" t="str">
        <f>IF(V36&lt;&gt;"SÍ","",IF(CS36&lt;=CU36,"CUMPLE","NO CUMPLE: sube h"))</f>
        <v/>
      </c>
      <c r="CW36" s="58" t="str">
        <f>IF(V36&lt;&gt;"SÍ","",IF(C36="PERIMETRAL",IF(ISNUMBER(R36),R36,DATOS!$C$101),0))</f>
        <v/>
      </c>
      <c r="CX36" s="57" t="str">
        <f>IF(V36&lt;&gt;"SÍ","",IF(C36="PERIMETRAL",IF(CW36&gt;2,MAX(9,AD36*(0.8+DATOS!$C$14/14000)/(36+9*(AD36/MAX(AC36,1)))),IF(CW36&gt;0.2,MAX(13,AD36*(0.8+DATOS!$C$14/14000)/(36+5*(AD36/MAX(AC36,1))*(CW36-0.2))),MAX(13,AD36/IF(AL36&gt;0,30,33))))*IF(AND(CW36&gt;0.2,AL36&gt;0,DATOS!$C$102="NO"),1.1,1),Z36*100/DATOS!$C$142))</f>
        <v/>
      </c>
      <c r="CY36" s="61" t="str">
        <f>IF(V36&lt;&gt;"SÍ","",IF(W36&gt;=CX36-0.001,"CUMPLE",IF(C36="VOLADO","NO CUMPLE","CALCULAR FLECHA")))</f>
        <v/>
      </c>
      <c r="CZ36" s="60" t="str">
        <f>IF(V36&lt;&gt;"SÍ","",IF(C36="VOLADO",MIN(CEILING(IF(ISNUMBER(Q36),Q36,Z36)*100,5),CEILING(MAX(IF((0.5*(0.9*W36/100*DATOS!$C$16)*IF(ISNUMBER(Q36),Q36,Z36)+AY36/IF(ISNUMBER(Q36),Q36,Z36))^2-4*(0.5*(0.9*W36/100*DATOS!$C$16))*AY36&lt;0,IF(ISNUMBER(Q36),Q36,Z36),MIN(IF(ISNUMBER(Q36),Q36,Z36),((0.5*(0.9*W36/100*DATOS!$C$16)*IF(ISNUMBER(Q36),Q36,Z36)+AY36/IF(ISNUMBER(Q36),Q36,Z36))-SQRT((0.5*(0.9*W36/100*DATOS!$C$16)*IF(ISNUMBER(Q36),Q36,Z36)+AY36/IF(ISNUMBER(Q36),Q36,Z36))^2-4*(0.5*(0.9*W36/100*DATOS!$C$16))*AY36))/(2*(0.5*(0.9*W36/100*DATOS!$C$16)))))*100+MAX(BU36,12*INDEX(TABLAS!$C$52:$C$58,MATCH(BR36,TABLAS!$B$52:$B$58,0)),IF(ISNUMBER(Q36),Q36,Z36)*100/16),IF(OR(AF36&lt;INDEX(TABLAS!$C$52:$C$58,MATCH(BR36,TABLAS!$B$52:$B$58,0)),BS36-INDEX(TABLAS!$C$52:$C$58,MATCH(BR36,TABLAS!$B$52:$B$58,0))&lt;2*INDEX(TABLAS!$C$52:$C$58,MATCH(BR36,TABLAS!$B$52:$B$58,0))),INDEX(TABLAS!$I$52:$I$58,MATCH(BR36,TABLAS!$B$52:$B$58,0)),INDEX(TABLAS!$F$52:$F$58,MATCH(BR36,TABLAS!$B$52:$B$58,0)))),5)),IF(((4*((AV36*AK36*Z36^2*1E-4/1000)+((MAX(AR36,AT36)*AK36*Z36^2*1E-4/1000)+(IF(AND(AR36&gt;0,AT36&gt;0),MIN(AR36,AT36),MAX(AR36,AT36))*AK36*Z36^2*1E-4/1000))/2)+AY36-(IF(AND(AR36&gt;0,AT36&gt;0),MIN(AR36,AT36),MAX(AR36,AT36))*AK36*Z36^2*1E-4/1000))^2-16*((AV36*AK36*Z36^2*1E-4/1000)+((MAX(AR36,AT36)*AK36*Z36^2*1E-4/1000)+(IF(AND(AR36&gt;0,AT36&gt;0),MIN(AR36,AT36),MAX(AR36,AT36))*AK36*Z36^2*1E-4/1000))/2)*AY36)&lt;0,CEILING(AC36,5),CEILING(MAX(AC36*((4*((AV36*AK36*Z36^2*1E-4/1000)+((MAX(AR36,AT36)*AK36*Z36^2*1E-4/1000)+(IF(AND(AR36&gt;0,AT36&gt;0),MIN(AR36,AT36),MAX(AR36,AT36))*AK36*Z36^2*1E-4/1000))/2)+AY36-(IF(AND(AR36&gt;0,AT36&gt;0),MIN(AR36,AT36),MAX(AR36,AT36))*AK36*Z36^2*1E-4/1000))-SQRT(MAX(0,((4*((AV36*AK36*Z36^2*1E-4/1000)+((MAX(AR36,AT36)*AK36*Z36^2*1E-4/1000)+(IF(AND(AR36&gt;0,AT36&gt;0),MIN(AR36,AT36),MAX(AR36,AT36))*AK36*Z36^2*1E-4/1000))/2)+AY36-(IF(AND(AR36&gt;0,AT36&gt;0),MIN(AR36,AT36),MAX(AR36,AT36))*AK36*Z36^2*1E-4/1000))^2-16*((AV36*AK36*Z36^2*1E-4/1000)+((MAX(AR36,AT36)*AK36*Z36^2*1E-4/1000)+(IF(AND(AR36&gt;0,AT36&gt;0),MIN(AR36,AT36),MAX(AR36,AT36))*AK36*Z36^2*1E-4/1000))/2)*AY36))))/(8*MAX(((AV36*AK36*Z36^2*1E-4/1000)+((MAX(AR36,AT36)*AK36*Z36^2*1E-4/1000)+(IF(AND(AR36&gt;0,AT36&gt;0),MIN(AR36,AT36),MAX(AR36,AT36))*AK36*Z36^2*1E-4/1000))/2),1E-9))+MAX(BU36,12*INDEX(TABLAS!$C$52:$C$58,MATCH(BR36,TABLAS!$B$52:$B$58,0)),AC36/16),IF(OR(AF36&lt;INDEX(TABLAS!$C$52:$C$58,MATCH(BR36,TABLAS!$B$52:$B$58,0)),BS36-INDEX(TABLAS!$C$52:$C$58,MATCH(BR36,TABLAS!$B$52:$B$58,0))&lt;2*INDEX(TABLAS!$C$52:$C$58,MATCH(BR36,TABLAS!$B$52:$B$58,0))),INDEX(TABLAS!$I$52:$I$58,MATCH(BR36,TABLAS!$B$52:$B$58,0)),INDEX(TABLAS!$F$52:$F$58,MATCH(BR36,TABLAS!$B$52:$B$58,0)))),5))))</f>
        <v/>
      </c>
      <c r="DA36" s="60" t="str">
        <f>IF(V36&lt;&gt;"SÍ","",IF(C36="VOLADO",0,IF(((4*((AW36*AK36*Z36^2*1E-4/1000)+((MAX(AS36,AU36)*AK36*Z36^2*1E-4/1000)+(IF(AND(AS36&gt;0,AU36&gt;0),MIN(AS36,AU36),MAX(AS36,AU36))*AK36*Z36^2*1E-4/1000))/2)+BA36-(IF(AND(AS36&gt;0,AU36&gt;0),MIN(AS36,AU36),MAX(AS36,AU36))*AK36*Z36^2*1E-4/1000))^2-16*((AW36*AK36*Z36^2*1E-4/1000)+((MAX(AS36,AU36)*AK36*Z36^2*1E-4/1000)+(IF(AND(AS36&gt;0,AU36&gt;0),MIN(AS36,AU36),MAX(AS36,AU36))*AK36*Z36^2*1E-4/1000))/2)*BA36)&lt;0,CEILING(AD36,5),CEILING(MAX(AD36*((4*((AW36*AK36*Z36^2*1E-4/1000)+((MAX(AS36,AU36)*AK36*Z36^2*1E-4/1000)+(IF(AND(AS36&gt;0,AU36&gt;0),MIN(AS36,AU36),MAX(AS36,AU36))*AK36*Z36^2*1E-4/1000))/2)+BA36-(IF(AND(AS36&gt;0,AU36&gt;0),MIN(AS36,AU36),MAX(AS36,AU36))*AK36*Z36^2*1E-4/1000))-SQRT(MAX(0,((4*((AW36*AK36*Z36^2*1E-4/1000)+((MAX(AS36,AU36)*AK36*Z36^2*1E-4/1000)+(IF(AND(AS36&gt;0,AU36&gt;0),MIN(AS36,AU36),MAX(AS36,AU36))*AK36*Z36^2*1E-4/1000))/2)+BA36-(IF(AND(AS36&gt;0,AU36&gt;0),MIN(AS36,AU36),MAX(AS36,AU36))*AK36*Z36^2*1E-4/1000))^2-16*((AW36*AK36*Z36^2*1E-4/1000)+((MAX(AS36,AU36)*AK36*Z36^2*1E-4/1000)+(IF(AND(AS36&gt;0,AU36&gt;0),MIN(AS36,AU36),MAX(AS36,AU36))*AK36*Z36^2*1E-4/1000))/2)*BA36))))/(8*MAX(((AW36*AK36*Z36^2*1E-4/1000)+((MAX(AS36,AU36)*AK36*Z36^2*1E-4/1000)+(IF(AND(AS36&gt;0,AU36&gt;0),MIN(AS36,AU36),MAX(AS36,AU36))*AK36*Z36^2*1E-4/1000))/2),1E-9))+MAX(CO36,12*INDEX(TABLAS!$C$52:$C$58,MATCH(CL36,TABLAS!$B$52:$B$58,0)),AD36/16),IF(OR(AF36&lt;INDEX(TABLAS!$C$52:$C$58,MATCH(CL36,TABLAS!$B$52:$B$58,0)),CM36-INDEX(TABLAS!$C$52:$C$58,MATCH(CL36,TABLAS!$B$52:$B$58,0))&lt;2*INDEX(TABLAS!$C$52:$C$58,MATCH(CL36,TABLAS!$B$52:$B$58,0))),INDEX(TABLAS!$I$52:$I$58,MATCH(CL36,TABLAS!$B$52:$B$58,0)),INDEX(TABLAS!$F$52:$F$58,MATCH(CL36,TABLAS!$B$52:$B$58,0)))),5))))</f>
        <v/>
      </c>
      <c r="DB36" s="55" t="str">
        <f>IF(V36&lt;&gt;"SÍ","",IF(AND(C36="PERIMETRAL",AL36-AM36&gt;0,AT36&gt;0),"SÍ","NO"))</f>
        <v/>
      </c>
      <c r="DC36" s="55" t="str">
        <f>IF(V36&lt;&gt;"SÍ","",IF(AND(C36="PERIMETRAL",AM36&gt;0,AU36&gt;0),"SÍ","NO"))</f>
        <v/>
      </c>
      <c r="DD36" s="63" t="str">
        <f>IF(V36&lt;&gt;"SÍ","",IF(OR(C36="VOLADO",AL36=0),"—",IF(AND(AND(INDEX(TABLAS!$G$52:$G$58,MATCH(MAX(BR36,CL36),TABLAS!$B$52:$B$58,0))&lt;=(DATOS!$C$72-DATOS!$C$60),(DATOS!$C$72-DATOS!$C$60)&gt;=15),8*INDEX(TABLAS!$C$52:$C$58,MATCH(MAX(BH36,CB36,BR36,CL36),TABLAS!$B$52:$B$58,0))&lt;=DATOS!$C$73-2*DATOS!$C$60),"CUMPLE (gancho de 180°)",IF(AND(INDEX(TABLAS!$G$52:$G$58,MATCH(MAX(BR36,CL36),TABLAS!$B$52:$B$58,0))&lt;=(DATOS!$C$72-DATOS!$C$60),(DATOS!$C$72-DATOS!$C$60)&gt;=15),"NO CUMPLE: el gancho de 180° (8·d_b) no cabe en el peralte de la dala de borde","NO CUMPLE: dala de borde ≥ "&amp;TEXT(CEILING(MAX(INDEX(TABLAS!$G$52:$G$58,MATCH(MAX(BR36,CL36),TABLAS!$B$52:$B$58,0)),15)+DATOS!$C$60,5),"0")&amp;" cm de ancho"&amp;IF(8*INDEX(TABLAS!$C$52:$C$58,MATCH(MAX(BH36,CB36,BR36,CL36),TABLAS!$B$52:$B$58,0))&lt;=DATOS!$C$73-2*DATOS!$C$60,""," y más peralte para el gancho")))))</f>
        <v/>
      </c>
      <c r="DE36" s="69" t="str">
        <f>IF(V36&lt;&gt;"SÍ","",IF(BI36=0,"NO ALCANZA","No. "&amp;BH36&amp;" @ "&amp;BI36&amp;" cm"&amp;IF(C36="VOLADO"," (temperatura)","")))</f>
        <v/>
      </c>
      <c r="DF36" s="69" t="str">
        <f>IF(V36&lt;&gt;"SÍ","",IF(BS36=0,"NO ALCANZA",IF(C36="VOLADO","No. "&amp;BR36&amp;" @ "&amp;BS36&amp;" cm"&amp;" de la orilla al respaldo ("&amp;IF(CZ36&gt;=100*IF(ISNUMBER(Q36),Q36,Z36),"hasta su apoyo lejano, con gancho","entran "&amp;TEXT(CZ36/100,"0.00")&amp;" m desde el paño")&amp;")","Bastones "&amp;"No. "&amp;BR36&amp;" @ "&amp;BS36&amp;" cm"&amp;", L = "&amp;TEXT(CZ36/100,"0.00")&amp;" m desde el paño")))</f>
        <v/>
      </c>
      <c r="DG36" s="69" t="str">
        <f>IF(V36&lt;&gt;"SÍ","",IF(CC36=0,"NO ALCANZA","No. "&amp;CB36&amp;" @ "&amp;CC36&amp;" cm"&amp;IF(C36="VOLADO"," (repartición)","")))</f>
        <v/>
      </c>
      <c r="DH36" s="69" t="str">
        <f>IF(V36&lt;&gt;"SÍ","",IF(CM36=0,"NO ALCANZA",IF(C36="VOLADO","No. "&amp;CL36&amp;" @ "&amp;CM36&amp;" cm"&amp;" (repartición)","Bastones "&amp;"No. "&amp;CL36&amp;" @ "&amp;CM36&amp;" cm"&amp;", L = "&amp;TEXT(DA36/100,"0.00")&amp;" m desde el paño")))</f>
        <v/>
      </c>
      <c r="DI36" s="67" t="str">
        <f>IF(B36="","",IF(V36&lt;&gt;"SÍ","FALTAN DATOS: tipo, a_x, a_y y destino",IF(L36="NO MONOLÍTICO (caso II)","FUERA DE ALCANCE: caso II no transcrito",IF(AND(C36="VOLADO",X36="?"),"REVISAR: el volado lleva UN solo borde CONTINUO (el empotrado)",IF(AND(MAX(BM36,BW36,CG36,CQ36)&lt;=1,NOT(OR(BI36&lt;DATOS!$C$140,BS36&lt;DATOS!$C$140,CC36&lt;DATOS!$C$140,CM36&lt;DATOS!$C$140)),NOT(OR(AND(ISNUMBER(BN36),BN36&lt;0.005),AND(ISNUMBER(BX36),BX36&lt;0.005),AND(ISNUMBER(CH36),CH36&lt;0.005),AND(ISNUMBER(CR36),CR36&lt;0.005))),CV36="CUMPLE",CY36="CUMPLE"),"CUMPLE"&amp;IF(LEFT(BB36,5)="FUERA"," · fuera de 3.4.2.1 c)","")&amp;IF(LEFT(DD36,2)="NO"," · REVISAR anclaje en borde discontinuo",""),IF(AND(MAX(BM36,BW36,CG36,CQ36)&lt;=1,NOT(OR(BI36&lt;DATOS!$C$140,BS36&lt;DATOS!$C$140,CC36&lt;DATOS!$C$140,CM36&lt;DATOS!$C$140)),NOT(OR(AND(ISNUMBER(BN36),BN36&lt;0.005),AND(ISNUMBER(BX36),BX36&lt;0.005),AND(ISNUMBER(CH36),CH36&lt;0.005),AND(ISNUMBER(CR36),CR36&lt;0.005))),CV36="CUMPLE",CY36="CALCULAR FLECHA"),"REVISAR: calcular flecha (h &lt; h mín.)"&amp;IF(LEFT(BB36,5)="FUERA"," · fuera de 3.4.2.1 c)","")&amp;IF(LEFT(DD36,2)="NO"," · REVISAR anclaje en borde discontinuo",""),"NO CUMPLE: "&amp;IF(MAX(BM36,BW36,CG36,CQ36)&gt;1,"flexión ","")&amp;IF(OR(BI36&lt;DATOS!$C$140,BS36&lt;DATOS!$C$140,CC36&lt;DATOS!$C$140,CM36&lt;DATOS!$C$140),"separación &lt; mínima ","")&amp;IF(OR(AND(ISNUMBER(BN36),BN36&lt;0.005),AND(ISNUMBER(BX36),BX36&lt;0.005),AND(ISNUMBER(CH36),CH36&lt;0.005),AND(ISNUMBER(CR36),CR36&lt;0.005)),"ε_t &lt; 0.005 ","")&amp;IF(CV36&lt;&gt;"CUMPLE","cortante ","")&amp;IF(CY36="NO CUMPLE","peralte","")))))))</f>
        <v/>
      </c>
      <c r="DJ36" s="70" t="str">
        <f>IF(V36&lt;&gt;"SÍ","",IF(LEFT(B36,7)="EJEMPLO","EJEMPLO de tablero típico: bórralo o sobrescríbelo. ","")&amp;IF(C36="VOLADO","Volado de "&amp;TEXT(Z36,"0.00")&amp;" m empotrado en el borde "&amp;LOWER(X36)&amp;IF(N(P36)&gt;0,", con "&amp;TEXT(P36,"0.0")&amp;" kg/m en la orilla","")&amp;". Lecho inferior con r_ext. Si la orilla carga pretil u otro elemento frágil, calcula la flecha (13.4). El acero superior entra al respaldo de "&amp;TEXT(IF(ISNUMBER(Q36),Q36,Z36),"0.00")&amp;" m"&amp;IF(ISNUMBER(Q36),""," (L_b no capturado: se tomó igual al volado)")&amp;" hasta pasar M = 0 con 0.9·PP sin carga viva; si ahí no se anula, llega al apoyo lejano y se ancla con gancho. ","")&amp;IF(LEFT(BB36,5)="FUERA","El M⁻ del vecino difiere más de 50 % (3.4.2.1 c): distribuye el desequilibrio (3.4.3.1) o confirma con un modelo; se arma con el mayor. ","")&amp;IF(OR(DB36="SÍ",DC36="SÍ"),"Bastones también en los bordes discontinuos (M⁻ de tabla), con gancho. ","")&amp;IF(LEFT(DD36,2)="NO","Anclaje: "&amp;DD36&amp;" (6.7.7.4.1.1). ","")&amp;IF(OR(AT36&gt;0,AU36&gt;0),"Esquinas exteriores sobre muro: refuerzo de esquina arriba y abajo en L_largo/5 (6.7.7.3.1). ",""))</f>
        <v/>
      </c>
    </row>
    <row r="37" ht="33" customHeight="1">
      <c r="A37" s="50">
        <f>IF(B37="",0,1)+A36</f>
        <v>3</v>
      </c>
      <c r="B37" s="29" t="n"/>
      <c r="C37" s="51" t="n"/>
      <c r="D37" s="29" t="n"/>
      <c r="E37" s="52" t="n"/>
      <c r="F37" s="52" t="n"/>
      <c r="G37" s="51" t="n"/>
      <c r="H37" s="51" t="n"/>
      <c r="I37" s="51" t="n"/>
      <c r="J37" s="51" t="n"/>
      <c r="K37" s="51" t="n"/>
      <c r="L37" s="51" t="n"/>
      <c r="M37" s="54" t="n"/>
      <c r="N37" s="53" t="n"/>
      <c r="O37" s="53" t="n"/>
      <c r="P37" s="54" t="n"/>
      <c r="Q37" s="52" t="n"/>
      <c r="R37" s="54" t="n"/>
      <c r="S37" s="53" t="n"/>
      <c r="T37" s="52" t="n"/>
      <c r="U37" s="52" t="n"/>
      <c r="V37" s="55" t="str">
        <f>IF(B37="","",IF(AND(OR(C37="PERIMETRAL",C37="VOLADO"),ISNUMBER(E37),ISNUMBER(F37),E37&gt;0,F37&gt;0,OR(ISNUMBER(O37),ISNUMBER(MATCH(D37,DATOS!$B$46:$B$55,0)))),"SÍ","NO"))</f>
        <v/>
      </c>
      <c r="W37" s="57" t="str">
        <f>IF(V37&lt;&gt;"SÍ","",IF(ISNUMBER(M37),M37,DATOS!$C$134))</f>
        <v/>
      </c>
      <c r="X37" s="55" t="str">
        <f>IF(V37&lt;&gt;"SÍ","",IF(C37&lt;&gt;"VOLADO","—",IF(COUNTIF(G37:J37,"CONTINUO")&lt;&gt;1,"?",IF(G37="CONTINUO","INFERIOR",IF(H37="CONTINUO","SUPERIOR",IF(I37="CONTINUO","IZQUIERDO","DERECHO"))))))</f>
        <v/>
      </c>
      <c r="Y37" s="55" t="str">
        <f>IF(V37&lt;&gt;"SÍ","",IF(C37="VOLADO",IF(OR(X37="IZQUIERDO",X37="DERECHO"),"X","Y"),IF(E37&lt;=F37,"X","Y")))</f>
        <v/>
      </c>
      <c r="Z37" s="56" t="str">
        <f>IF(V37&lt;&gt;"SÍ","",IF(C37="VOLADO",IF(Y37="X",E37,F37),MIN(E37,F37)))</f>
        <v/>
      </c>
      <c r="AA37" s="56" t="str">
        <f>IF(V37&lt;&gt;"SÍ","",IF(C37="VOLADO",IF(Y37="X",F37,E37),MAX(E37,F37)))</f>
        <v/>
      </c>
      <c r="AB37" s="56" t="str">
        <f>IF(V37&lt;&gt;"SÍ","",MIN(Z37,AA37)/MAX(Z37,AA37))</f>
        <v/>
      </c>
      <c r="AC37" s="57" t="str">
        <f>IF(V37&lt;&gt;"SÍ","",MAX(1,Z37*100-IF(C37="VOLADO",DATOS!$C$84/2,DATOS!$C$84)))</f>
        <v/>
      </c>
      <c r="AD37" s="57" t="str">
        <f>IF(V37&lt;&gt;"SÍ","",MAX(1,AA37*100-DATOS!$C$84))</f>
        <v/>
      </c>
      <c r="AE37" s="57" t="str">
        <f>IF(V37&lt;&gt;"SÍ","",IF(C37="VOLADO",DATOS!$C$61,DATOS!$C$59))</f>
        <v/>
      </c>
      <c r="AF37" s="57" t="str">
        <f>IF(V37&lt;&gt;"SÍ","",IF(OR(AND(AG37="SÍ",DATOS!$C$63="SÍ"),AND(C37="VOLADO",DATOS!$C$64="SÍ")),DATOS!$C$61,DATOS!$C$59))</f>
        <v/>
      </c>
      <c r="AG37" s="55" t="str">
        <f>IF(V37&lt;&gt;"SÍ","",IFERROR(INDEX(DATOS!$D$46:$D$55,MATCH(D37,DATOS!$B$46:$B$55,0)),"NO"))</f>
        <v/>
      </c>
      <c r="AH37" s="59" t="str">
        <f>IF(V37&lt;&gt;"SÍ","",IF(ISNUMBER(O37),O37,IFERROR(INDEX(DATOS!$C$46:$C$55,MATCH(D37,DATOS!$B$46:$B$55,0)),0)))</f>
        <v/>
      </c>
      <c r="AI37" s="59" t="str">
        <f>IF(V37&lt;&gt;"SÍ","",W37/100*DATOS!$C$16*1000+DATOS!$C$37+DATOS!$C$38)</f>
        <v/>
      </c>
      <c r="AJ37" s="59" t="str">
        <f>IF(V37&lt;&gt;"SÍ","",AI37+N(N37))</f>
        <v/>
      </c>
      <c r="AK37" s="60" t="str">
        <f>IF(V37&lt;&gt;"SÍ","",MAX(DATOS!$C$26*AJ37+DATOS!$C$27*AH37,IF(AG37="SÍ",DATOS!$C$28*(AJ37+DATOS!$C$41),0)))</f>
        <v/>
      </c>
      <c r="AL37" s="59" t="str">
        <f>IF(V37&lt;&gt;"SÍ","",(G37="DISCONTINUO")+(H37="DISCONTINUO")+(I37="DISCONTINUO")+(J37="DISCONTINUO"))</f>
        <v/>
      </c>
      <c r="AM37" s="59" t="str">
        <f>IF(V37&lt;&gt;"SÍ","",IF(Y37="X",(G37="DISCONTINUO")+(H37="DISCONTINUO"),(I37="DISCONTINUO")+(J37="DISCONTINUO")))</f>
        <v/>
      </c>
      <c r="AN37" s="55" t="str">
        <f>IF(V37&lt;&gt;"SÍ","",IF(AL37=0,"INTERIOR",IF(AL37=1,IF(AM37=1,"BORDE-CORTO","BORDE-LARGO"),IF(AL37=2,IF(AM37=1,"ESQUINA",IF(AM37=2,"EXTREMO-LARGO","EXTREMO-CORTO")),IF(AL37=3,IF(AM37=2,"EXTREMO-LARGO","EXTREMO-CORTO"),"AISLADO")))))</f>
        <v/>
      </c>
      <c r="AO37" s="61" t="str">
        <f>IF(V37&lt;&gt;"SÍ","",IF(OR(K37="",K37="AUTO"),AN37,K37))</f>
        <v/>
      </c>
      <c r="AP37" s="59" t="str">
        <f>IF(V37&lt;&gt;"SÍ","",MATCH(AB37,TABLAS!$D$5:$J$5,1))</f>
        <v/>
      </c>
      <c r="AQ37" s="58" t="str">
        <f>IF(V37&lt;&gt;"SÍ","",IF(AP37&gt;=7,0,(AB37-INDEX(TABLAS!$D$5:$J$5,AP37))/(INDEX(TABLAS!$D$5:$J$5,AP37+1)-INDEX(TABLAS!$D$5:$J$5,AP37))))</f>
        <v/>
      </c>
      <c r="AR37" s="59" t="str">
        <f>IF(V37&lt;&gt;"SÍ","",INDEX(TABLAS!$D$6:$J$47,MATCH(AO37&amp;"|NIC",TABLAS!$B$6:$B$47,0),AP37)+AQ37*(INDEX(TABLAS!$D$6:$J$47,MATCH(AO37&amp;"|NIC",TABLAS!$B$6:$B$47,0),MIN(AP37+1,7))-INDEX(TABLAS!$D$6:$J$47,MATCH(AO37&amp;"|NIC",TABLAS!$B$6:$B$47,0),AP37)))</f>
        <v/>
      </c>
      <c r="AS37" s="59" t="str">
        <f>IF(V37&lt;&gt;"SÍ","",INDEX(TABLAS!$D$6:$J$47,MATCH(AO37&amp;"|NIL",TABLAS!$B$6:$B$47,0),AP37)+AQ37*(INDEX(TABLAS!$D$6:$J$47,MATCH(AO37&amp;"|NIL",TABLAS!$B$6:$B$47,0),MIN(AP37+1,7))-INDEX(TABLAS!$D$6:$J$47,MATCH(AO37&amp;"|NIL",TABLAS!$B$6:$B$47,0),AP37)))</f>
        <v/>
      </c>
      <c r="AT37" s="59" t="str">
        <f>IF(V37&lt;&gt;"SÍ","",INDEX(TABLAS!$D$6:$J$47,MATCH(AO37&amp;"|NDC",TABLAS!$B$6:$B$47,0),AP37)+AQ37*(INDEX(TABLAS!$D$6:$J$47,MATCH(AO37&amp;"|NDC",TABLAS!$B$6:$B$47,0),MIN(AP37+1,7))-INDEX(TABLAS!$D$6:$J$47,MATCH(AO37&amp;"|NDC",TABLAS!$B$6:$B$47,0),AP37)))</f>
        <v/>
      </c>
      <c r="AU37" s="59" t="str">
        <f>IF(V37&lt;&gt;"SÍ","",INDEX(TABLAS!$D$6:$J$47,MATCH(AO37&amp;"|NDL",TABLAS!$B$6:$B$47,0),AP37)+AQ37*(INDEX(TABLAS!$D$6:$J$47,MATCH(AO37&amp;"|NDL",TABLAS!$B$6:$B$47,0),MIN(AP37+1,7))-INDEX(TABLAS!$D$6:$J$47,MATCH(AO37&amp;"|NDL",TABLAS!$B$6:$B$47,0),AP37)))</f>
        <v/>
      </c>
      <c r="AV37" s="59" t="str">
        <f>IF(V37&lt;&gt;"SÍ","",INDEX(TABLAS!$D$6:$J$47,MATCH(AO37&amp;"|PC",TABLAS!$B$6:$B$47,0),AP37)+AQ37*(INDEX(TABLAS!$D$6:$J$47,MATCH(AO37&amp;"|PC",TABLAS!$B$6:$B$47,0),MIN(AP37+1,7))-INDEX(TABLAS!$D$6:$J$47,MATCH(AO37&amp;"|PC",TABLAS!$B$6:$B$47,0),AP37)))</f>
        <v/>
      </c>
      <c r="AW37" s="59" t="str">
        <f>IF(V37&lt;&gt;"SÍ","",INDEX(TABLAS!$D$6:$J$47,MATCH(AO37&amp;"|PL",TABLAS!$B$6:$B$47,0),AP37)+AQ37*(INDEX(TABLAS!$D$6:$J$47,MATCH(AO37&amp;"|PL",TABLAS!$B$6:$B$47,0),MIN(AP37+1,7))-INDEX(TABLAS!$D$6:$J$47,MATCH(AO37&amp;"|PL",TABLAS!$B$6:$B$47,0),AP37)))</f>
        <v/>
      </c>
      <c r="AX37" s="56" t="str">
        <f>IF(V37&lt;&gt;"SÍ","",IF(C37="PERIMETRAL",AV37*AK37*Z37^2*1E-4/1000,0))</f>
        <v/>
      </c>
      <c r="AY37" s="62" t="str">
        <f>IF(V37&lt;&gt;"SÍ","",IF(C37="PERIMETRAL",MAX(MAX(AR37,AT37)*AK37*Z37^2*1E-4/1000,N(T37)),(AK37*(AC37/100)^2/2+DATOS!$C$26*N(P37)*AC37/100)/1000))</f>
        <v/>
      </c>
      <c r="AZ37" s="56" t="str">
        <f>IF(V37&lt;&gt;"SÍ","",IF(C37="PERIMETRAL",AW37*AK37*Z37^2*1E-4/1000,0))</f>
        <v/>
      </c>
      <c r="BA37" s="56" t="str">
        <f>IF(V37&lt;&gt;"SÍ","",IF(C37="PERIMETRAL",MAX(MAX(AS37,AU37)*AK37*Z37^2*1E-4/1000,N(U37)),0))</f>
        <v/>
      </c>
      <c r="BB37" s="63" t="str">
        <f>IF(V37&lt;&gt;"SÍ","",IF(C37&lt;&gt;"PERIMETRAL","—",IF(AND(N(T37)=0,N(U37)=0),"— (sin M⁻ del vecino)",IF(OR(AND(N(T37)&gt;0,ABS(MAX(AR37,AT37)*AK37*Z37^2*1E-4/1000-N(T37))&gt;0.5*MIN(MAX(AR37,AT37)*AK37*Z37^2*1E-4/1000,N(T37))),AND(N(U37)&gt;0,ABS(MAX(AS37,AU37)*AK37*Z37^2*1E-4/1000-N(U37))&gt;0.5*MIN(MAX(AS37,AU37)*AK37*Z37^2*1E-4/1000,N(U37)))),"FUERA: difieren &gt; 50 %"&amp;IF(AND(N(T37)&gt;0,ABS(MAX(AR37,AT37)*AK37*Z37^2*1E-4/1000-N(T37))&gt;0.5*MIN(MAX(AR37,AT37)*AK37*Z37^2*1E-4/1000,N(T37)))," ‖ corto","")&amp;IF(AND(N(U37)&gt;0,ABS(MAX(AS37,AU37)*AK37*Z37^2*1E-4/1000-N(U37))&gt;0.5*MIN(MAX(AS37,AU37)*AK37*Z37^2*1E-4/1000,N(U37)))," ‖ largo",""),"CUMPLE"))))</f>
        <v/>
      </c>
      <c r="BC37" s="58" t="str">
        <f>IF(V37&lt;&gt;"SÍ","",DATOS!$C$136*100*W37)</f>
        <v/>
      </c>
      <c r="BD37" s="57" t="str">
        <f>IF(V37&lt;&gt;"SÍ","",MIN(IF(C37="VOLADO",DATOS!$C$138,DATOS!$C$137)*W37,DATOS!$C$139))</f>
        <v/>
      </c>
      <c r="BE37" s="58" t="str">
        <f>IF(V37&lt;&gt;"SÍ","",(W37-AE37-INDEX(TABLAS!$C$52:$C$58,MATCH(IF(ISNUMBER(S37),S37,DATOS!$C$135),TABLAS!$B$52:$B$58,0))/2))</f>
        <v/>
      </c>
      <c r="BF37" s="58" t="str">
        <f>IF(V37&lt;&gt;"SÍ","",IF(AX37&lt;=0,0,IF((1-2*AX37*1E5/(DATOS!$C$29*100*BE37^2*DATOS!$C$21))&lt;0,-1,IF((1-SQRT((1-2*AX37*1E5/(DATOS!$C$29*100*BE37^2*DATOS!$C$21))))*DATOS!$C$21*100*BE37/DATOS!$C$14&gt;DATOS!$C$99*100*BE37,-1,(1-SQRT((1-2*AX37*1E5/(DATOS!$C$29*100*BE37^2*DATOS!$C$21))))*DATOS!$C$21*100*BE37/DATOS!$C$14))))</f>
        <v/>
      </c>
      <c r="BG37" s="58" t="str">
        <f>IF(V37&lt;&gt;"SÍ","",IF(BF37&lt;0,-1,MAX(BF37,BC37)))</f>
        <v/>
      </c>
      <c r="BH37" s="64" t="str">
        <f>IF(V37&lt;&gt;"SÍ","",IF(AND(BG37&gt;0,FLOOR(MIN(BD37,100*INDEX(TABLAS!$D$52:$D$58,MIN(MATCH(IF(ISNUMBER(S37),S37,DATOS!$C$135),TABLAS!$B$52:$B$58,0)+0,7))/MAX(BG37,0.0001)),DATOS!$C$141)&gt;=DATOS!$C$140),INDEX(TABLAS!$B$52:$B$58,MIN(MATCH(IF(ISNUMBER(S37),S37,DATOS!$C$135),TABLAS!$B$52:$B$58,0)+0,7)),IF(AND(BG37&gt;0,FLOOR(MIN(BD37,100*INDEX(TABLAS!$D$52:$D$58,MIN(MATCH(IF(ISNUMBER(S37),S37,DATOS!$C$135),TABLAS!$B$52:$B$58,0)+1,7))/MAX(BG37,0.0001)),DATOS!$C$141)&gt;=DATOS!$C$140),INDEX(TABLAS!$B$52:$B$58,MIN(MATCH(IF(ISNUMBER(S37),S37,DATOS!$C$135),TABLAS!$B$52:$B$58,0)+1,7)),IF(AND(BG37&gt;0,FLOOR(MIN(BD37,100*INDEX(TABLAS!$D$52:$D$58,MIN(MATCH(IF(ISNUMBER(S37),S37,DATOS!$C$135),TABLAS!$B$52:$B$58,0)+2,7))/MAX(BG37,0.0001)),DATOS!$C$141)&gt;=DATOS!$C$140),INDEX(TABLAS!$B$52:$B$58,MIN(MATCH(IF(ISNUMBER(S37),S37,DATOS!$C$135),TABLAS!$B$52:$B$58,0)+2,7)),IF(AND(BG37&gt;0,FLOOR(MIN(BD37,100*INDEX(TABLAS!$D$52:$D$58,MIN(MATCH(IF(ISNUMBER(S37),S37,DATOS!$C$135),TABLAS!$B$52:$B$58,0)+3,7))/MAX(BG37,0.0001)),DATOS!$C$141)&gt;=DATOS!$C$140),INDEX(TABLAS!$B$52:$B$58,MIN(MATCH(IF(ISNUMBER(S37),S37,DATOS!$C$135),TABLAS!$B$52:$B$58,0)+3,7)),IF(AND(BG37&gt;0,FLOOR(MIN(BD37,100*INDEX(TABLAS!$D$52:$D$58,MIN(MATCH(IF(ISNUMBER(S37),S37,DATOS!$C$135),TABLAS!$B$52:$B$58,0)+4,7))/MAX(BG37,0.0001)),DATOS!$C$141)&gt;=DATOS!$C$140),INDEX(TABLAS!$B$52:$B$58,MIN(MATCH(IF(ISNUMBER(S37),S37,DATOS!$C$135),TABLAS!$B$52:$B$58,0)+4,7)),INDEX(TABLAS!$B$52:$B$58,7)))))))</f>
        <v/>
      </c>
      <c r="BI37" s="71" t="str">
        <f>IF(V37&lt;&gt;"SÍ","",IF(BG37&lt;=0,0,FLOOR(MIN(BD37,100*INDEX(TABLAS!$D$52:$D$58,MATCH(BH37,TABLAS!$B$52:$B$58,0))/BG37),DATOS!$C$141)))</f>
        <v/>
      </c>
      <c r="BJ37" s="58" t="str">
        <f>IF(V37&lt;&gt;"SÍ","",IF(BI37&lt;=0,0,INDEX(TABLAS!$D$52:$D$58,MATCH(BH37,TABLAS!$B$52:$B$58,0))*100/BI37))</f>
        <v/>
      </c>
      <c r="BK37" s="58" t="str">
        <f>IF(V37&lt;&gt;"SÍ","",W37-AE37-INDEX(TABLAS!$C$52:$C$58,MATCH(BH37,TABLAS!$B$52:$B$58,0))/2)</f>
        <v/>
      </c>
      <c r="BL37" s="56" t="str">
        <f>IF(V37&lt;&gt;"SÍ","",IF(BJ37=0,0,DATOS!$C$29*BJ37*DATOS!$C$14*(BK37-BJ37*DATOS!$C$14/(DATOS!$C$21*100)/2)/1E5))</f>
        <v/>
      </c>
      <c r="BM37" s="65" t="str">
        <f>IF(V37&lt;&gt;"SÍ","",IF(BG37&lt;0,9.99,IF(BL37&gt;0,AX37/BL37,0)))</f>
        <v/>
      </c>
      <c r="BN37" s="66" t="str">
        <f>IF(V37&lt;&gt;"SÍ","",IF(BJ37=0,"—",0.003*(BK37-(BJ37*DATOS!$C$14/(DATOS!$C$21*100)/DATOS!$C$22))/(BJ37*DATOS!$C$14/(DATOS!$C$21*100)/DATOS!$C$22)))</f>
        <v/>
      </c>
      <c r="BO37" s="58" t="str">
        <f>IF(V37&lt;&gt;"SÍ","",((W37-AF37-INDEX(TABLAS!$C$52:$C$58,MATCH(IF(ISNUMBER(S37),S37,DATOS!$C$135),TABLAS!$B$52:$B$58,0))/2)-IF(AND((W37-AF37-INDEX(TABLAS!$C$52:$C$58,MATCH(IF(ISNUMBER(S37),S37,DATOS!$C$135),TABLAS!$B$52:$B$58,0))/2)&lt;=20,DATOS!$C$62&lt;&gt;"SÍ"),2,0)))</f>
        <v/>
      </c>
      <c r="BP37" s="58" t="str">
        <f>IF(V37&lt;&gt;"SÍ","",IF(AY37&lt;=0,0,IF((1-2*AY37*1E5/(DATOS!$C$29*100*BO37^2*DATOS!$C$21))&lt;0,-1,IF((1-SQRT((1-2*AY37*1E5/(DATOS!$C$29*100*BO37^2*DATOS!$C$21))))*DATOS!$C$21*100*BO37/DATOS!$C$14&gt;DATOS!$C$99*100*BO37,-1,(1-SQRT((1-2*AY37*1E5/(DATOS!$C$29*100*BO37^2*DATOS!$C$21))))*DATOS!$C$21*100*BO37/DATOS!$C$14))))</f>
        <v/>
      </c>
      <c r="BQ37" s="58" t="str">
        <f>IF(V37&lt;&gt;"SÍ","",IF(BP37&lt;0,-1,MAX(BP37,BC37)))</f>
        <v/>
      </c>
      <c r="BR37" s="64" t="str">
        <f>IF(V37&lt;&gt;"SÍ","",IF(AND(BQ37&gt;0,FLOOR(MIN(BD37,100*INDEX(TABLAS!$D$52:$D$58,MIN(MATCH(IF(ISNUMBER(S37),S37,DATOS!$C$135),TABLAS!$B$52:$B$58,0)+0,7))/MAX(BQ37,0.0001)),DATOS!$C$141)&gt;=DATOS!$C$140),INDEX(TABLAS!$B$52:$B$58,MIN(MATCH(IF(ISNUMBER(S37),S37,DATOS!$C$135),TABLAS!$B$52:$B$58,0)+0,7)),IF(AND(BQ37&gt;0,FLOOR(MIN(BD37,100*INDEX(TABLAS!$D$52:$D$58,MIN(MATCH(IF(ISNUMBER(S37),S37,DATOS!$C$135),TABLAS!$B$52:$B$58,0)+1,7))/MAX(BQ37,0.0001)),DATOS!$C$141)&gt;=DATOS!$C$140),INDEX(TABLAS!$B$52:$B$58,MIN(MATCH(IF(ISNUMBER(S37),S37,DATOS!$C$135),TABLAS!$B$52:$B$58,0)+1,7)),IF(AND(BQ37&gt;0,FLOOR(MIN(BD37,100*INDEX(TABLAS!$D$52:$D$58,MIN(MATCH(IF(ISNUMBER(S37),S37,DATOS!$C$135),TABLAS!$B$52:$B$58,0)+2,7))/MAX(BQ37,0.0001)),DATOS!$C$141)&gt;=DATOS!$C$140),INDEX(TABLAS!$B$52:$B$58,MIN(MATCH(IF(ISNUMBER(S37),S37,DATOS!$C$135),TABLAS!$B$52:$B$58,0)+2,7)),IF(AND(BQ37&gt;0,FLOOR(MIN(BD37,100*INDEX(TABLAS!$D$52:$D$58,MIN(MATCH(IF(ISNUMBER(S37),S37,DATOS!$C$135),TABLAS!$B$52:$B$58,0)+3,7))/MAX(BQ37,0.0001)),DATOS!$C$141)&gt;=DATOS!$C$140),INDEX(TABLAS!$B$52:$B$58,MIN(MATCH(IF(ISNUMBER(S37),S37,DATOS!$C$135),TABLAS!$B$52:$B$58,0)+3,7)),IF(AND(BQ37&gt;0,FLOOR(MIN(BD37,100*INDEX(TABLAS!$D$52:$D$58,MIN(MATCH(IF(ISNUMBER(S37),S37,DATOS!$C$135),TABLAS!$B$52:$B$58,0)+4,7))/MAX(BQ37,0.0001)),DATOS!$C$141)&gt;=DATOS!$C$140),INDEX(TABLAS!$B$52:$B$58,MIN(MATCH(IF(ISNUMBER(S37),S37,DATOS!$C$135),TABLAS!$B$52:$B$58,0)+4,7)),INDEX(TABLAS!$B$52:$B$58,7)))))))</f>
        <v/>
      </c>
      <c r="BS37" s="71" t="str">
        <f>IF(V37&lt;&gt;"SÍ","",IF(BQ37&lt;=0,0,FLOOR(MIN(BD37,100*INDEX(TABLAS!$D$52:$D$58,MATCH(BR37,TABLAS!$B$52:$B$58,0))/BQ37),DATOS!$C$141)))</f>
        <v/>
      </c>
      <c r="BT37" s="58" t="str">
        <f>IF(V37&lt;&gt;"SÍ","",IF(BS37&lt;=0,0,INDEX(TABLAS!$D$52:$D$58,MATCH(BR37,TABLAS!$B$52:$B$58,0))*100/BS37))</f>
        <v/>
      </c>
      <c r="BU37" s="58" t="str">
        <f>IF(V37&lt;&gt;"SÍ","",((W37-AF37-INDEX(TABLAS!$C$52:$C$58,MATCH(BR37,TABLAS!$B$52:$B$58,0))/2)-IF(AND((W37-AF37-INDEX(TABLAS!$C$52:$C$58,MATCH(BR37,TABLAS!$B$52:$B$58,0))/2)&lt;=20,DATOS!$C$62&lt;&gt;"SÍ"),2,0)))</f>
        <v/>
      </c>
      <c r="BV37" s="56" t="str">
        <f>IF(V37&lt;&gt;"SÍ","",IF(BT37=0,0,DATOS!$C$29*BT37*DATOS!$C$14*(BU37-BT37*DATOS!$C$14/(DATOS!$C$21*100)/2)/1E5))</f>
        <v/>
      </c>
      <c r="BW37" s="65" t="str">
        <f>IF(V37&lt;&gt;"SÍ","",IF(BQ37&lt;0,9.99,IF(BV37&gt;0,AY37/BV37,0)))</f>
        <v/>
      </c>
      <c r="BX37" s="66" t="str">
        <f>IF(V37&lt;&gt;"SÍ","",IF(BT37=0,"—",0.003*(BU37-(BT37*DATOS!$C$14/(DATOS!$C$21*100)/DATOS!$C$22))/(BT37*DATOS!$C$14/(DATOS!$C$21*100)/DATOS!$C$22)))</f>
        <v/>
      </c>
      <c r="BY37" s="58" t="str">
        <f>IF(V37&lt;&gt;"SÍ","",(W37-AE37-1.5*INDEX(TABLAS!$C$52:$C$58,MATCH(IF(ISNUMBER(S37),S37,DATOS!$C$135),TABLAS!$B$52:$B$58,0))))</f>
        <v/>
      </c>
      <c r="BZ37" s="58" t="str">
        <f>IF(V37&lt;&gt;"SÍ","",IF(AZ37&lt;=0,0,IF((1-2*AZ37*1E5/(DATOS!$C$29*100*BY37^2*DATOS!$C$21))&lt;0,-1,IF((1-SQRT((1-2*AZ37*1E5/(DATOS!$C$29*100*BY37^2*DATOS!$C$21))))*DATOS!$C$21*100*BY37/DATOS!$C$14&gt;DATOS!$C$99*100*BY37,-1,(1-SQRT((1-2*AZ37*1E5/(DATOS!$C$29*100*BY37^2*DATOS!$C$21))))*DATOS!$C$21*100*BY37/DATOS!$C$14))))</f>
        <v/>
      </c>
      <c r="CA37" s="58" t="str">
        <f>IF(V37&lt;&gt;"SÍ","",IF(BZ37&lt;0,-1,MAX(BZ37,BC37)))</f>
        <v/>
      </c>
      <c r="CB37" s="64" t="str">
        <f>IF(V37&lt;&gt;"SÍ","",IF(AND(CA37&gt;0,FLOOR(MIN(BD37,100*INDEX(TABLAS!$D$52:$D$58,MIN(MATCH(IF(ISNUMBER(S37),S37,DATOS!$C$135),TABLAS!$B$52:$B$58,0)+0,7))/MAX(CA37,0.0001)),DATOS!$C$141)&gt;=DATOS!$C$140),INDEX(TABLAS!$B$52:$B$58,MIN(MATCH(IF(ISNUMBER(S37),S37,DATOS!$C$135),TABLAS!$B$52:$B$58,0)+0,7)),IF(AND(CA37&gt;0,FLOOR(MIN(BD37,100*INDEX(TABLAS!$D$52:$D$58,MIN(MATCH(IF(ISNUMBER(S37),S37,DATOS!$C$135),TABLAS!$B$52:$B$58,0)+1,7))/MAX(CA37,0.0001)),DATOS!$C$141)&gt;=DATOS!$C$140),INDEX(TABLAS!$B$52:$B$58,MIN(MATCH(IF(ISNUMBER(S37),S37,DATOS!$C$135),TABLAS!$B$52:$B$58,0)+1,7)),IF(AND(CA37&gt;0,FLOOR(MIN(BD37,100*INDEX(TABLAS!$D$52:$D$58,MIN(MATCH(IF(ISNUMBER(S37),S37,DATOS!$C$135),TABLAS!$B$52:$B$58,0)+2,7))/MAX(CA37,0.0001)),DATOS!$C$141)&gt;=DATOS!$C$140),INDEX(TABLAS!$B$52:$B$58,MIN(MATCH(IF(ISNUMBER(S37),S37,DATOS!$C$135),TABLAS!$B$52:$B$58,0)+2,7)),IF(AND(CA37&gt;0,FLOOR(MIN(BD37,100*INDEX(TABLAS!$D$52:$D$58,MIN(MATCH(IF(ISNUMBER(S37),S37,DATOS!$C$135),TABLAS!$B$52:$B$58,0)+3,7))/MAX(CA37,0.0001)),DATOS!$C$141)&gt;=DATOS!$C$140),INDEX(TABLAS!$B$52:$B$58,MIN(MATCH(IF(ISNUMBER(S37),S37,DATOS!$C$135),TABLAS!$B$52:$B$58,0)+3,7)),IF(AND(CA37&gt;0,FLOOR(MIN(BD37,100*INDEX(TABLAS!$D$52:$D$58,MIN(MATCH(IF(ISNUMBER(S37),S37,DATOS!$C$135),TABLAS!$B$52:$B$58,0)+4,7))/MAX(CA37,0.0001)),DATOS!$C$141)&gt;=DATOS!$C$140),INDEX(TABLAS!$B$52:$B$58,MIN(MATCH(IF(ISNUMBER(S37),S37,DATOS!$C$135),TABLAS!$B$52:$B$58,0)+4,7)),INDEX(TABLAS!$B$52:$B$58,7)))))))</f>
        <v/>
      </c>
      <c r="CC37" s="71" t="str">
        <f>IF(V37&lt;&gt;"SÍ","",IF(CA37&lt;=0,0,FLOOR(MIN(BD37,100*INDEX(TABLAS!$D$52:$D$58,MATCH(CB37,TABLAS!$B$52:$B$58,0))/CA37),DATOS!$C$141)))</f>
        <v/>
      </c>
      <c r="CD37" s="58" t="str">
        <f>IF(V37&lt;&gt;"SÍ","",IF(CC37&lt;=0,0,INDEX(TABLAS!$D$52:$D$58,MATCH(CB37,TABLAS!$B$52:$B$58,0))*100/CC37))</f>
        <v/>
      </c>
      <c r="CE37" s="58" t="str">
        <f>IF(V37&lt;&gt;"SÍ","",W37-AE37-INDEX(TABLAS!$C$52:$C$58,MATCH(BH37,TABLAS!$B$52:$B$58,0))-INDEX(TABLAS!$C$52:$C$58,MATCH(CB37,TABLAS!$B$52:$B$58,0))/2)</f>
        <v/>
      </c>
      <c r="CF37" s="56" t="str">
        <f>IF(V37&lt;&gt;"SÍ","",IF(CD37=0,0,DATOS!$C$29*CD37*DATOS!$C$14*(CE37-CD37*DATOS!$C$14/(DATOS!$C$21*100)/2)/1E5))</f>
        <v/>
      </c>
      <c r="CG37" s="65" t="str">
        <f>IF(V37&lt;&gt;"SÍ","",IF(CA37&lt;0,9.99,IF(CF37&gt;0,AZ37/CF37,0)))</f>
        <v/>
      </c>
      <c r="CH37" s="66" t="str">
        <f>IF(V37&lt;&gt;"SÍ","",IF(CD37=0,"—",0.003*(CE37-(CD37*DATOS!$C$14/(DATOS!$C$21*100)/DATOS!$C$22))/(CD37*DATOS!$C$14/(DATOS!$C$21*100)/DATOS!$C$22)))</f>
        <v/>
      </c>
      <c r="CI37" s="58" t="str">
        <f>IF(V37&lt;&gt;"SÍ","",((W37-AF37-1.5*INDEX(TABLAS!$C$52:$C$58,MATCH(IF(ISNUMBER(S37),S37,DATOS!$C$135),TABLAS!$B$52:$B$58,0)))-IF(AND((W37-AF37-1.5*INDEX(TABLAS!$C$52:$C$58,MATCH(IF(ISNUMBER(S37),S37,DATOS!$C$135),TABLAS!$B$52:$B$58,0)))&lt;=20,DATOS!$C$62&lt;&gt;"SÍ"),2,0)))</f>
        <v/>
      </c>
      <c r="CJ37" s="58" t="str">
        <f>IF(V37&lt;&gt;"SÍ","",IF(BA37&lt;=0,0,IF((1-2*BA37*1E5/(DATOS!$C$29*100*CI37^2*DATOS!$C$21))&lt;0,-1,IF((1-SQRT((1-2*BA37*1E5/(DATOS!$C$29*100*CI37^2*DATOS!$C$21))))*DATOS!$C$21*100*CI37/DATOS!$C$14&gt;DATOS!$C$99*100*CI37,-1,(1-SQRT((1-2*BA37*1E5/(DATOS!$C$29*100*CI37^2*DATOS!$C$21))))*DATOS!$C$21*100*CI37/DATOS!$C$14))))</f>
        <v/>
      </c>
      <c r="CK37" s="58" t="str">
        <f>IF(V37&lt;&gt;"SÍ","",IF(CJ37&lt;0,-1,MAX(CJ37,BC37)))</f>
        <v/>
      </c>
      <c r="CL37" s="64" t="str">
        <f>IF(V37&lt;&gt;"SÍ","",IF(AND(CK37&gt;0,FLOOR(MIN(BD37,100*INDEX(TABLAS!$D$52:$D$58,MIN(MATCH(IF(ISNUMBER(S37),S37,DATOS!$C$135),TABLAS!$B$52:$B$58,0)+0,7))/MAX(CK37,0.0001)),DATOS!$C$141)&gt;=DATOS!$C$140),INDEX(TABLAS!$B$52:$B$58,MIN(MATCH(IF(ISNUMBER(S37),S37,DATOS!$C$135),TABLAS!$B$52:$B$58,0)+0,7)),IF(AND(CK37&gt;0,FLOOR(MIN(BD37,100*INDEX(TABLAS!$D$52:$D$58,MIN(MATCH(IF(ISNUMBER(S37),S37,DATOS!$C$135),TABLAS!$B$52:$B$58,0)+1,7))/MAX(CK37,0.0001)),DATOS!$C$141)&gt;=DATOS!$C$140),INDEX(TABLAS!$B$52:$B$58,MIN(MATCH(IF(ISNUMBER(S37),S37,DATOS!$C$135),TABLAS!$B$52:$B$58,0)+1,7)),IF(AND(CK37&gt;0,FLOOR(MIN(BD37,100*INDEX(TABLAS!$D$52:$D$58,MIN(MATCH(IF(ISNUMBER(S37),S37,DATOS!$C$135),TABLAS!$B$52:$B$58,0)+2,7))/MAX(CK37,0.0001)),DATOS!$C$141)&gt;=DATOS!$C$140),INDEX(TABLAS!$B$52:$B$58,MIN(MATCH(IF(ISNUMBER(S37),S37,DATOS!$C$135),TABLAS!$B$52:$B$58,0)+2,7)),IF(AND(CK37&gt;0,FLOOR(MIN(BD37,100*INDEX(TABLAS!$D$52:$D$58,MIN(MATCH(IF(ISNUMBER(S37),S37,DATOS!$C$135),TABLAS!$B$52:$B$58,0)+3,7))/MAX(CK37,0.0001)),DATOS!$C$141)&gt;=DATOS!$C$140),INDEX(TABLAS!$B$52:$B$58,MIN(MATCH(IF(ISNUMBER(S37),S37,DATOS!$C$135),TABLAS!$B$52:$B$58,0)+3,7)),IF(AND(CK37&gt;0,FLOOR(MIN(BD37,100*INDEX(TABLAS!$D$52:$D$58,MIN(MATCH(IF(ISNUMBER(S37),S37,DATOS!$C$135),TABLAS!$B$52:$B$58,0)+4,7))/MAX(CK37,0.0001)),DATOS!$C$141)&gt;=DATOS!$C$140),INDEX(TABLAS!$B$52:$B$58,MIN(MATCH(IF(ISNUMBER(S37),S37,DATOS!$C$135),TABLAS!$B$52:$B$58,0)+4,7)),INDEX(TABLAS!$B$52:$B$58,7)))))))</f>
        <v/>
      </c>
      <c r="CM37" s="71" t="str">
        <f>IF(V37&lt;&gt;"SÍ","",IF(CK37&lt;=0,0,FLOOR(MIN(BD37,100*INDEX(TABLAS!$D$52:$D$58,MATCH(CL37,TABLAS!$B$52:$B$58,0))/CK37),DATOS!$C$141)))</f>
        <v/>
      </c>
      <c r="CN37" s="58" t="str">
        <f>IF(V37&lt;&gt;"SÍ","",IF(CM37&lt;=0,0,INDEX(TABLAS!$D$52:$D$58,MATCH(CL37,TABLAS!$B$52:$B$58,0))*100/CM37))</f>
        <v/>
      </c>
      <c r="CO37" s="58" t="str">
        <f>IF(V37&lt;&gt;"SÍ","",((W37-AF37-INDEX(TABLAS!$C$52:$C$58,MATCH(BR37,TABLAS!$B$52:$B$58,0))-INDEX(TABLAS!$C$52:$C$58,MATCH(CL37,TABLAS!$B$52:$B$58,0))/2)-IF(AND((W37-AF37-INDEX(TABLAS!$C$52:$C$58,MATCH(BR37,TABLAS!$B$52:$B$58,0))-INDEX(TABLAS!$C$52:$C$58,MATCH(CL37,TABLAS!$B$52:$B$58,0))/2)&lt;=20,DATOS!$C$62&lt;&gt;"SÍ"),2,0)))</f>
        <v/>
      </c>
      <c r="CP37" s="56" t="str">
        <f>IF(V37&lt;&gt;"SÍ","",IF(CN37=0,0,DATOS!$C$29*CN37*DATOS!$C$14*(CO37-CN37*DATOS!$C$14/(DATOS!$C$21*100)/2)/1E5))</f>
        <v/>
      </c>
      <c r="CQ37" s="65" t="str">
        <f>IF(V37&lt;&gt;"SÍ","",IF(CK37&lt;0,9.99,IF(CP37&gt;0,BA37/CP37,0)))</f>
        <v/>
      </c>
      <c r="CR37" s="66" t="str">
        <f>IF(V37&lt;&gt;"SÍ","",IF(CN37=0,"—",0.003*(CO37-(CN37*DATOS!$C$14/(DATOS!$C$21*100)/DATOS!$C$22))/(CN37*DATOS!$C$14/(DATOS!$C$21*100)/DATOS!$C$22)))</f>
        <v/>
      </c>
      <c r="CS37" s="56" t="str">
        <f>IF(V37&lt;&gt;"SÍ","",IF(C37="PERIMETRAL",MAX(0,(AC37/2-BU37)/100)*(0.95-0.5*AB37)*AK37*IF(AND(AL37&gt;0,AL37&lt;4),DATOS!$C$33,1)/1000,(AK37*MAX(0,AC37-BU37)/100+DATOS!$C$26*N(P37))/1000))</f>
        <v/>
      </c>
      <c r="CT37" s="66" t="str">
        <f>IF(V37&lt;&gt;"SÍ","",BT37/(100*BU37))</f>
        <v/>
      </c>
      <c r="CU37" s="56" t="str">
        <f>IF(V37&lt;&gt;"SÍ","",DATOS!$C$30*2*MIN(1,SQRT(2/(1+0.04*BU37)))*CT37^(1/3)*SQRT(DATOS!$C$13)*100*BU37/1000)</f>
        <v/>
      </c>
      <c r="CV37" s="67" t="str">
        <f>IF(V37&lt;&gt;"SÍ","",IF(CS37&lt;=CU37,"CUMPLE","NO CUMPLE: sube h"))</f>
        <v/>
      </c>
      <c r="CW37" s="58" t="str">
        <f>IF(V37&lt;&gt;"SÍ","",IF(C37="PERIMETRAL",IF(ISNUMBER(R37),R37,DATOS!$C$101),0))</f>
        <v/>
      </c>
      <c r="CX37" s="57" t="str">
        <f>IF(V37&lt;&gt;"SÍ","",IF(C37="PERIMETRAL",IF(CW37&gt;2,MAX(9,AD37*(0.8+DATOS!$C$14/14000)/(36+9*(AD37/MAX(AC37,1)))),IF(CW37&gt;0.2,MAX(13,AD37*(0.8+DATOS!$C$14/14000)/(36+5*(AD37/MAX(AC37,1))*(CW37-0.2))),MAX(13,AD37/IF(AL37&gt;0,30,33))))*IF(AND(CW37&gt;0.2,AL37&gt;0,DATOS!$C$102="NO"),1.1,1),Z37*100/DATOS!$C$142))</f>
        <v/>
      </c>
      <c r="CY37" s="61" t="str">
        <f>IF(V37&lt;&gt;"SÍ","",IF(W37&gt;=CX37-0.001,"CUMPLE",IF(C37="VOLADO","NO CUMPLE","CALCULAR FLECHA")))</f>
        <v/>
      </c>
      <c r="CZ37" s="60" t="str">
        <f>IF(V37&lt;&gt;"SÍ","",IF(C37="VOLADO",MIN(CEILING(IF(ISNUMBER(Q37),Q37,Z37)*100,5),CEILING(MAX(IF((0.5*(0.9*W37/100*DATOS!$C$16)*IF(ISNUMBER(Q37),Q37,Z37)+AY37/IF(ISNUMBER(Q37),Q37,Z37))^2-4*(0.5*(0.9*W37/100*DATOS!$C$16))*AY37&lt;0,IF(ISNUMBER(Q37),Q37,Z37),MIN(IF(ISNUMBER(Q37),Q37,Z37),((0.5*(0.9*W37/100*DATOS!$C$16)*IF(ISNUMBER(Q37),Q37,Z37)+AY37/IF(ISNUMBER(Q37),Q37,Z37))-SQRT((0.5*(0.9*W37/100*DATOS!$C$16)*IF(ISNUMBER(Q37),Q37,Z37)+AY37/IF(ISNUMBER(Q37),Q37,Z37))^2-4*(0.5*(0.9*W37/100*DATOS!$C$16))*AY37))/(2*(0.5*(0.9*W37/100*DATOS!$C$16)))))*100+MAX(BU37,12*INDEX(TABLAS!$C$52:$C$58,MATCH(BR37,TABLAS!$B$52:$B$58,0)),IF(ISNUMBER(Q37),Q37,Z37)*100/16),IF(OR(AF37&lt;INDEX(TABLAS!$C$52:$C$58,MATCH(BR37,TABLAS!$B$52:$B$58,0)),BS37-INDEX(TABLAS!$C$52:$C$58,MATCH(BR37,TABLAS!$B$52:$B$58,0))&lt;2*INDEX(TABLAS!$C$52:$C$58,MATCH(BR37,TABLAS!$B$52:$B$58,0))),INDEX(TABLAS!$I$52:$I$58,MATCH(BR37,TABLAS!$B$52:$B$58,0)),INDEX(TABLAS!$F$52:$F$58,MATCH(BR37,TABLAS!$B$52:$B$58,0)))),5)),IF(((4*((AV37*AK37*Z37^2*1E-4/1000)+((MAX(AR37,AT37)*AK37*Z37^2*1E-4/1000)+(IF(AND(AR37&gt;0,AT37&gt;0),MIN(AR37,AT37),MAX(AR37,AT37))*AK37*Z37^2*1E-4/1000))/2)+AY37-(IF(AND(AR37&gt;0,AT37&gt;0),MIN(AR37,AT37),MAX(AR37,AT37))*AK37*Z37^2*1E-4/1000))^2-16*((AV37*AK37*Z37^2*1E-4/1000)+((MAX(AR37,AT37)*AK37*Z37^2*1E-4/1000)+(IF(AND(AR37&gt;0,AT37&gt;0),MIN(AR37,AT37),MAX(AR37,AT37))*AK37*Z37^2*1E-4/1000))/2)*AY37)&lt;0,CEILING(AC37,5),CEILING(MAX(AC37*((4*((AV37*AK37*Z37^2*1E-4/1000)+((MAX(AR37,AT37)*AK37*Z37^2*1E-4/1000)+(IF(AND(AR37&gt;0,AT37&gt;0),MIN(AR37,AT37),MAX(AR37,AT37))*AK37*Z37^2*1E-4/1000))/2)+AY37-(IF(AND(AR37&gt;0,AT37&gt;0),MIN(AR37,AT37),MAX(AR37,AT37))*AK37*Z37^2*1E-4/1000))-SQRT(MAX(0,((4*((AV37*AK37*Z37^2*1E-4/1000)+((MAX(AR37,AT37)*AK37*Z37^2*1E-4/1000)+(IF(AND(AR37&gt;0,AT37&gt;0),MIN(AR37,AT37),MAX(AR37,AT37))*AK37*Z37^2*1E-4/1000))/2)+AY37-(IF(AND(AR37&gt;0,AT37&gt;0),MIN(AR37,AT37),MAX(AR37,AT37))*AK37*Z37^2*1E-4/1000))^2-16*((AV37*AK37*Z37^2*1E-4/1000)+((MAX(AR37,AT37)*AK37*Z37^2*1E-4/1000)+(IF(AND(AR37&gt;0,AT37&gt;0),MIN(AR37,AT37),MAX(AR37,AT37))*AK37*Z37^2*1E-4/1000))/2)*AY37))))/(8*MAX(((AV37*AK37*Z37^2*1E-4/1000)+((MAX(AR37,AT37)*AK37*Z37^2*1E-4/1000)+(IF(AND(AR37&gt;0,AT37&gt;0),MIN(AR37,AT37),MAX(AR37,AT37))*AK37*Z37^2*1E-4/1000))/2),1E-9))+MAX(BU37,12*INDEX(TABLAS!$C$52:$C$58,MATCH(BR37,TABLAS!$B$52:$B$58,0)),AC37/16),IF(OR(AF37&lt;INDEX(TABLAS!$C$52:$C$58,MATCH(BR37,TABLAS!$B$52:$B$58,0)),BS37-INDEX(TABLAS!$C$52:$C$58,MATCH(BR37,TABLAS!$B$52:$B$58,0))&lt;2*INDEX(TABLAS!$C$52:$C$58,MATCH(BR37,TABLAS!$B$52:$B$58,0))),INDEX(TABLAS!$I$52:$I$58,MATCH(BR37,TABLAS!$B$52:$B$58,0)),INDEX(TABLAS!$F$52:$F$58,MATCH(BR37,TABLAS!$B$52:$B$58,0)))),5))))</f>
        <v/>
      </c>
      <c r="DA37" s="60" t="str">
        <f>IF(V37&lt;&gt;"SÍ","",IF(C37="VOLADO",0,IF(((4*((AW37*AK37*Z37^2*1E-4/1000)+((MAX(AS37,AU37)*AK37*Z37^2*1E-4/1000)+(IF(AND(AS37&gt;0,AU37&gt;0),MIN(AS37,AU37),MAX(AS37,AU37))*AK37*Z37^2*1E-4/1000))/2)+BA37-(IF(AND(AS37&gt;0,AU37&gt;0),MIN(AS37,AU37),MAX(AS37,AU37))*AK37*Z37^2*1E-4/1000))^2-16*((AW37*AK37*Z37^2*1E-4/1000)+((MAX(AS37,AU37)*AK37*Z37^2*1E-4/1000)+(IF(AND(AS37&gt;0,AU37&gt;0),MIN(AS37,AU37),MAX(AS37,AU37))*AK37*Z37^2*1E-4/1000))/2)*BA37)&lt;0,CEILING(AD37,5),CEILING(MAX(AD37*((4*((AW37*AK37*Z37^2*1E-4/1000)+((MAX(AS37,AU37)*AK37*Z37^2*1E-4/1000)+(IF(AND(AS37&gt;0,AU37&gt;0),MIN(AS37,AU37),MAX(AS37,AU37))*AK37*Z37^2*1E-4/1000))/2)+BA37-(IF(AND(AS37&gt;0,AU37&gt;0),MIN(AS37,AU37),MAX(AS37,AU37))*AK37*Z37^2*1E-4/1000))-SQRT(MAX(0,((4*((AW37*AK37*Z37^2*1E-4/1000)+((MAX(AS37,AU37)*AK37*Z37^2*1E-4/1000)+(IF(AND(AS37&gt;0,AU37&gt;0),MIN(AS37,AU37),MAX(AS37,AU37))*AK37*Z37^2*1E-4/1000))/2)+BA37-(IF(AND(AS37&gt;0,AU37&gt;0),MIN(AS37,AU37),MAX(AS37,AU37))*AK37*Z37^2*1E-4/1000))^2-16*((AW37*AK37*Z37^2*1E-4/1000)+((MAX(AS37,AU37)*AK37*Z37^2*1E-4/1000)+(IF(AND(AS37&gt;0,AU37&gt;0),MIN(AS37,AU37),MAX(AS37,AU37))*AK37*Z37^2*1E-4/1000))/2)*BA37))))/(8*MAX(((AW37*AK37*Z37^2*1E-4/1000)+((MAX(AS37,AU37)*AK37*Z37^2*1E-4/1000)+(IF(AND(AS37&gt;0,AU37&gt;0),MIN(AS37,AU37),MAX(AS37,AU37))*AK37*Z37^2*1E-4/1000))/2),1E-9))+MAX(CO37,12*INDEX(TABLAS!$C$52:$C$58,MATCH(CL37,TABLAS!$B$52:$B$58,0)),AD37/16),IF(OR(AF37&lt;INDEX(TABLAS!$C$52:$C$58,MATCH(CL37,TABLAS!$B$52:$B$58,0)),CM37-INDEX(TABLAS!$C$52:$C$58,MATCH(CL37,TABLAS!$B$52:$B$58,0))&lt;2*INDEX(TABLAS!$C$52:$C$58,MATCH(CL37,TABLAS!$B$52:$B$58,0))),INDEX(TABLAS!$I$52:$I$58,MATCH(CL37,TABLAS!$B$52:$B$58,0)),INDEX(TABLAS!$F$52:$F$58,MATCH(CL37,TABLAS!$B$52:$B$58,0)))),5))))</f>
        <v/>
      </c>
      <c r="DB37" s="55" t="str">
        <f>IF(V37&lt;&gt;"SÍ","",IF(AND(C37="PERIMETRAL",AL37-AM37&gt;0,AT37&gt;0),"SÍ","NO"))</f>
        <v/>
      </c>
      <c r="DC37" s="55" t="str">
        <f>IF(V37&lt;&gt;"SÍ","",IF(AND(C37="PERIMETRAL",AM37&gt;0,AU37&gt;0),"SÍ","NO"))</f>
        <v/>
      </c>
      <c r="DD37" s="63" t="str">
        <f>IF(V37&lt;&gt;"SÍ","",IF(OR(C37="VOLADO",AL37=0),"—",IF(AND(AND(INDEX(TABLAS!$G$52:$G$58,MATCH(MAX(BR37,CL37),TABLAS!$B$52:$B$58,0))&lt;=(DATOS!$C$72-DATOS!$C$60),(DATOS!$C$72-DATOS!$C$60)&gt;=15),8*INDEX(TABLAS!$C$52:$C$58,MATCH(MAX(BH37,CB37,BR37,CL37),TABLAS!$B$52:$B$58,0))&lt;=DATOS!$C$73-2*DATOS!$C$60),"CUMPLE (gancho de 180°)",IF(AND(INDEX(TABLAS!$G$52:$G$58,MATCH(MAX(BR37,CL37),TABLAS!$B$52:$B$58,0))&lt;=(DATOS!$C$72-DATOS!$C$60),(DATOS!$C$72-DATOS!$C$60)&gt;=15),"NO CUMPLE: el gancho de 180° (8·d_b) no cabe en el peralte de la dala de borde","NO CUMPLE: dala de borde ≥ "&amp;TEXT(CEILING(MAX(INDEX(TABLAS!$G$52:$G$58,MATCH(MAX(BR37,CL37),TABLAS!$B$52:$B$58,0)),15)+DATOS!$C$60,5),"0")&amp;" cm de ancho"&amp;IF(8*INDEX(TABLAS!$C$52:$C$58,MATCH(MAX(BH37,CB37,BR37,CL37),TABLAS!$B$52:$B$58,0))&lt;=DATOS!$C$73-2*DATOS!$C$60,""," y más peralte para el gancho")))))</f>
        <v/>
      </c>
      <c r="DE37" s="69" t="str">
        <f>IF(V37&lt;&gt;"SÍ","",IF(BI37=0,"NO ALCANZA","No. "&amp;BH37&amp;" @ "&amp;BI37&amp;" cm"&amp;IF(C37="VOLADO"," (temperatura)","")))</f>
        <v/>
      </c>
      <c r="DF37" s="69" t="str">
        <f>IF(V37&lt;&gt;"SÍ","",IF(BS37=0,"NO ALCANZA",IF(C37="VOLADO","No. "&amp;BR37&amp;" @ "&amp;BS37&amp;" cm"&amp;" de la orilla al respaldo ("&amp;IF(CZ37&gt;=100*IF(ISNUMBER(Q37),Q37,Z37),"hasta su apoyo lejano, con gancho","entran "&amp;TEXT(CZ37/100,"0.00")&amp;" m desde el paño")&amp;")","Bastones "&amp;"No. "&amp;BR37&amp;" @ "&amp;BS37&amp;" cm"&amp;", L = "&amp;TEXT(CZ37/100,"0.00")&amp;" m desde el paño")))</f>
        <v/>
      </c>
      <c r="DG37" s="69" t="str">
        <f>IF(V37&lt;&gt;"SÍ","",IF(CC37=0,"NO ALCANZA","No. "&amp;CB37&amp;" @ "&amp;CC37&amp;" cm"&amp;IF(C37="VOLADO"," (repartición)","")))</f>
        <v/>
      </c>
      <c r="DH37" s="69" t="str">
        <f>IF(V37&lt;&gt;"SÍ","",IF(CM37=0,"NO ALCANZA",IF(C37="VOLADO","No. "&amp;CL37&amp;" @ "&amp;CM37&amp;" cm"&amp;" (repartición)","Bastones "&amp;"No. "&amp;CL37&amp;" @ "&amp;CM37&amp;" cm"&amp;", L = "&amp;TEXT(DA37/100,"0.00")&amp;" m desde el paño")))</f>
        <v/>
      </c>
      <c r="DI37" s="67" t="str">
        <f>IF(B37="","",IF(V37&lt;&gt;"SÍ","FALTAN DATOS: tipo, a_x, a_y y destino",IF(L37="NO MONOLÍTICO (caso II)","FUERA DE ALCANCE: caso II no transcrito",IF(AND(C37="VOLADO",X37="?"),"REVISAR: el volado lleva UN solo borde CONTINUO (el empotrado)",IF(AND(MAX(BM37,BW37,CG37,CQ37)&lt;=1,NOT(OR(BI37&lt;DATOS!$C$140,BS37&lt;DATOS!$C$140,CC37&lt;DATOS!$C$140,CM37&lt;DATOS!$C$140)),NOT(OR(AND(ISNUMBER(BN37),BN37&lt;0.005),AND(ISNUMBER(BX37),BX37&lt;0.005),AND(ISNUMBER(CH37),CH37&lt;0.005),AND(ISNUMBER(CR37),CR37&lt;0.005))),CV37="CUMPLE",CY37="CUMPLE"),"CUMPLE"&amp;IF(LEFT(BB37,5)="FUERA"," · fuera de 3.4.2.1 c)","")&amp;IF(LEFT(DD37,2)="NO"," · REVISAR anclaje en borde discontinuo",""),IF(AND(MAX(BM37,BW37,CG37,CQ37)&lt;=1,NOT(OR(BI37&lt;DATOS!$C$140,BS37&lt;DATOS!$C$140,CC37&lt;DATOS!$C$140,CM37&lt;DATOS!$C$140)),NOT(OR(AND(ISNUMBER(BN37),BN37&lt;0.005),AND(ISNUMBER(BX37),BX37&lt;0.005),AND(ISNUMBER(CH37),CH37&lt;0.005),AND(ISNUMBER(CR37),CR37&lt;0.005))),CV37="CUMPLE",CY37="CALCULAR FLECHA"),"REVISAR: calcular flecha (h &lt; h mín.)"&amp;IF(LEFT(BB37,5)="FUERA"," · fuera de 3.4.2.1 c)","")&amp;IF(LEFT(DD37,2)="NO"," · REVISAR anclaje en borde discontinuo",""),"NO CUMPLE: "&amp;IF(MAX(BM37,BW37,CG37,CQ37)&gt;1,"flexión ","")&amp;IF(OR(BI37&lt;DATOS!$C$140,BS37&lt;DATOS!$C$140,CC37&lt;DATOS!$C$140,CM37&lt;DATOS!$C$140),"separación &lt; mínima ","")&amp;IF(OR(AND(ISNUMBER(BN37),BN37&lt;0.005),AND(ISNUMBER(BX37),BX37&lt;0.005),AND(ISNUMBER(CH37),CH37&lt;0.005),AND(ISNUMBER(CR37),CR37&lt;0.005)),"ε_t &lt; 0.005 ","")&amp;IF(CV37&lt;&gt;"CUMPLE","cortante ","")&amp;IF(CY37="NO CUMPLE","peralte","")))))))</f>
        <v/>
      </c>
      <c r="DJ37" s="70" t="str">
        <f>IF(V37&lt;&gt;"SÍ","",IF(LEFT(B37,7)="EJEMPLO","EJEMPLO de tablero típico: bórralo o sobrescríbelo. ","")&amp;IF(C37="VOLADO","Volado de "&amp;TEXT(Z37,"0.00")&amp;" m empotrado en el borde "&amp;LOWER(X37)&amp;IF(N(P37)&gt;0,", con "&amp;TEXT(P37,"0.0")&amp;" kg/m en la orilla","")&amp;". Lecho inferior con r_ext. Si la orilla carga pretil u otro elemento frágil, calcula la flecha (13.4). El acero superior entra al respaldo de "&amp;TEXT(IF(ISNUMBER(Q37),Q37,Z37),"0.00")&amp;" m"&amp;IF(ISNUMBER(Q37),""," (L_b no capturado: se tomó igual al volado)")&amp;" hasta pasar M = 0 con 0.9·PP sin carga viva; si ahí no se anula, llega al apoyo lejano y se ancla con gancho. ","")&amp;IF(LEFT(BB37,5)="FUERA","El M⁻ del vecino difiere más de 50 % (3.4.2.1 c): distribuye el desequilibrio (3.4.3.1) o confirma con un modelo; se arma con el mayor. ","")&amp;IF(OR(DB37="SÍ",DC37="SÍ"),"Bastones también en los bordes discontinuos (M⁻ de tabla), con gancho. ","")&amp;IF(LEFT(DD37,2)="NO","Anclaje: "&amp;DD37&amp;" (6.7.7.4.1.1). ","")&amp;IF(OR(AT37&gt;0,AU37&gt;0),"Esquinas exteriores sobre muro: refuerzo de esquina arriba y abajo en L_largo/5 (6.7.7.3.1). ",""))</f>
        <v/>
      </c>
    </row>
    <row r="38" ht="33" customHeight="1">
      <c r="A38" s="50">
        <f>IF(B38="",0,1)+A37</f>
        <v>3</v>
      </c>
      <c r="B38" s="29" t="n"/>
      <c r="C38" s="51" t="n"/>
      <c r="D38" s="29" t="n"/>
      <c r="E38" s="52" t="n"/>
      <c r="F38" s="52" t="n"/>
      <c r="G38" s="51" t="n"/>
      <c r="H38" s="51" t="n"/>
      <c r="I38" s="51" t="n"/>
      <c r="J38" s="51" t="n"/>
      <c r="K38" s="51" t="n"/>
      <c r="L38" s="51" t="n"/>
      <c r="M38" s="54" t="n"/>
      <c r="N38" s="53" t="n"/>
      <c r="O38" s="53" t="n"/>
      <c r="P38" s="54" t="n"/>
      <c r="Q38" s="52" t="n"/>
      <c r="R38" s="54" t="n"/>
      <c r="S38" s="53" t="n"/>
      <c r="T38" s="52" t="n"/>
      <c r="U38" s="52" t="n"/>
      <c r="V38" s="55" t="str">
        <f>IF(B38="","",IF(AND(OR(C38="PERIMETRAL",C38="VOLADO"),ISNUMBER(E38),ISNUMBER(F38),E38&gt;0,F38&gt;0,OR(ISNUMBER(O38),ISNUMBER(MATCH(D38,DATOS!$B$46:$B$55,0)))),"SÍ","NO"))</f>
        <v/>
      </c>
      <c r="W38" s="57" t="str">
        <f>IF(V38&lt;&gt;"SÍ","",IF(ISNUMBER(M38),M38,DATOS!$C$134))</f>
        <v/>
      </c>
      <c r="X38" s="55" t="str">
        <f>IF(V38&lt;&gt;"SÍ","",IF(C38&lt;&gt;"VOLADO","—",IF(COUNTIF(G38:J38,"CONTINUO")&lt;&gt;1,"?",IF(G38="CONTINUO","INFERIOR",IF(H38="CONTINUO","SUPERIOR",IF(I38="CONTINUO","IZQUIERDO","DERECHO"))))))</f>
        <v/>
      </c>
      <c r="Y38" s="55" t="str">
        <f>IF(V38&lt;&gt;"SÍ","",IF(C38="VOLADO",IF(OR(X38="IZQUIERDO",X38="DERECHO"),"X","Y"),IF(E38&lt;=F38,"X","Y")))</f>
        <v/>
      </c>
      <c r="Z38" s="56" t="str">
        <f>IF(V38&lt;&gt;"SÍ","",IF(C38="VOLADO",IF(Y38="X",E38,F38),MIN(E38,F38)))</f>
        <v/>
      </c>
      <c r="AA38" s="56" t="str">
        <f>IF(V38&lt;&gt;"SÍ","",IF(C38="VOLADO",IF(Y38="X",F38,E38),MAX(E38,F38)))</f>
        <v/>
      </c>
      <c r="AB38" s="56" t="str">
        <f>IF(V38&lt;&gt;"SÍ","",MIN(Z38,AA38)/MAX(Z38,AA38))</f>
        <v/>
      </c>
      <c r="AC38" s="57" t="str">
        <f>IF(V38&lt;&gt;"SÍ","",MAX(1,Z38*100-IF(C38="VOLADO",DATOS!$C$84/2,DATOS!$C$84)))</f>
        <v/>
      </c>
      <c r="AD38" s="57" t="str">
        <f>IF(V38&lt;&gt;"SÍ","",MAX(1,AA38*100-DATOS!$C$84))</f>
        <v/>
      </c>
      <c r="AE38" s="57" t="str">
        <f>IF(V38&lt;&gt;"SÍ","",IF(C38="VOLADO",DATOS!$C$61,DATOS!$C$59))</f>
        <v/>
      </c>
      <c r="AF38" s="57" t="str">
        <f>IF(V38&lt;&gt;"SÍ","",IF(OR(AND(AG38="SÍ",DATOS!$C$63="SÍ"),AND(C38="VOLADO",DATOS!$C$64="SÍ")),DATOS!$C$61,DATOS!$C$59))</f>
        <v/>
      </c>
      <c r="AG38" s="55" t="str">
        <f>IF(V38&lt;&gt;"SÍ","",IFERROR(INDEX(DATOS!$D$46:$D$55,MATCH(D38,DATOS!$B$46:$B$55,0)),"NO"))</f>
        <v/>
      </c>
      <c r="AH38" s="59" t="str">
        <f>IF(V38&lt;&gt;"SÍ","",IF(ISNUMBER(O38),O38,IFERROR(INDEX(DATOS!$C$46:$C$55,MATCH(D38,DATOS!$B$46:$B$55,0)),0)))</f>
        <v/>
      </c>
      <c r="AI38" s="59" t="str">
        <f>IF(V38&lt;&gt;"SÍ","",W38/100*DATOS!$C$16*1000+DATOS!$C$37+DATOS!$C$38)</f>
        <v/>
      </c>
      <c r="AJ38" s="59" t="str">
        <f>IF(V38&lt;&gt;"SÍ","",AI38+N(N38))</f>
        <v/>
      </c>
      <c r="AK38" s="60" t="str">
        <f>IF(V38&lt;&gt;"SÍ","",MAX(DATOS!$C$26*AJ38+DATOS!$C$27*AH38,IF(AG38="SÍ",DATOS!$C$28*(AJ38+DATOS!$C$41),0)))</f>
        <v/>
      </c>
      <c r="AL38" s="59" t="str">
        <f>IF(V38&lt;&gt;"SÍ","",(G38="DISCONTINUO")+(H38="DISCONTINUO")+(I38="DISCONTINUO")+(J38="DISCONTINUO"))</f>
        <v/>
      </c>
      <c r="AM38" s="59" t="str">
        <f>IF(V38&lt;&gt;"SÍ","",IF(Y38="X",(G38="DISCONTINUO")+(H38="DISCONTINUO"),(I38="DISCONTINUO")+(J38="DISCONTINUO")))</f>
        <v/>
      </c>
      <c r="AN38" s="55" t="str">
        <f>IF(V38&lt;&gt;"SÍ","",IF(AL38=0,"INTERIOR",IF(AL38=1,IF(AM38=1,"BORDE-CORTO","BORDE-LARGO"),IF(AL38=2,IF(AM38=1,"ESQUINA",IF(AM38=2,"EXTREMO-LARGO","EXTREMO-CORTO")),IF(AL38=3,IF(AM38=2,"EXTREMO-LARGO","EXTREMO-CORTO"),"AISLADO")))))</f>
        <v/>
      </c>
      <c r="AO38" s="61" t="str">
        <f>IF(V38&lt;&gt;"SÍ","",IF(OR(K38="",K38="AUTO"),AN38,K38))</f>
        <v/>
      </c>
      <c r="AP38" s="59" t="str">
        <f>IF(V38&lt;&gt;"SÍ","",MATCH(AB38,TABLAS!$D$5:$J$5,1))</f>
        <v/>
      </c>
      <c r="AQ38" s="58" t="str">
        <f>IF(V38&lt;&gt;"SÍ","",IF(AP38&gt;=7,0,(AB38-INDEX(TABLAS!$D$5:$J$5,AP38))/(INDEX(TABLAS!$D$5:$J$5,AP38+1)-INDEX(TABLAS!$D$5:$J$5,AP38))))</f>
        <v/>
      </c>
      <c r="AR38" s="59" t="str">
        <f>IF(V38&lt;&gt;"SÍ","",INDEX(TABLAS!$D$6:$J$47,MATCH(AO38&amp;"|NIC",TABLAS!$B$6:$B$47,0),AP38)+AQ38*(INDEX(TABLAS!$D$6:$J$47,MATCH(AO38&amp;"|NIC",TABLAS!$B$6:$B$47,0),MIN(AP38+1,7))-INDEX(TABLAS!$D$6:$J$47,MATCH(AO38&amp;"|NIC",TABLAS!$B$6:$B$47,0),AP38)))</f>
        <v/>
      </c>
      <c r="AS38" s="59" t="str">
        <f>IF(V38&lt;&gt;"SÍ","",INDEX(TABLAS!$D$6:$J$47,MATCH(AO38&amp;"|NIL",TABLAS!$B$6:$B$47,0),AP38)+AQ38*(INDEX(TABLAS!$D$6:$J$47,MATCH(AO38&amp;"|NIL",TABLAS!$B$6:$B$47,0),MIN(AP38+1,7))-INDEX(TABLAS!$D$6:$J$47,MATCH(AO38&amp;"|NIL",TABLAS!$B$6:$B$47,0),AP38)))</f>
        <v/>
      </c>
      <c r="AT38" s="59" t="str">
        <f>IF(V38&lt;&gt;"SÍ","",INDEX(TABLAS!$D$6:$J$47,MATCH(AO38&amp;"|NDC",TABLAS!$B$6:$B$47,0),AP38)+AQ38*(INDEX(TABLAS!$D$6:$J$47,MATCH(AO38&amp;"|NDC",TABLAS!$B$6:$B$47,0),MIN(AP38+1,7))-INDEX(TABLAS!$D$6:$J$47,MATCH(AO38&amp;"|NDC",TABLAS!$B$6:$B$47,0),AP38)))</f>
        <v/>
      </c>
      <c r="AU38" s="59" t="str">
        <f>IF(V38&lt;&gt;"SÍ","",INDEX(TABLAS!$D$6:$J$47,MATCH(AO38&amp;"|NDL",TABLAS!$B$6:$B$47,0),AP38)+AQ38*(INDEX(TABLAS!$D$6:$J$47,MATCH(AO38&amp;"|NDL",TABLAS!$B$6:$B$47,0),MIN(AP38+1,7))-INDEX(TABLAS!$D$6:$J$47,MATCH(AO38&amp;"|NDL",TABLAS!$B$6:$B$47,0),AP38)))</f>
        <v/>
      </c>
      <c r="AV38" s="59" t="str">
        <f>IF(V38&lt;&gt;"SÍ","",INDEX(TABLAS!$D$6:$J$47,MATCH(AO38&amp;"|PC",TABLAS!$B$6:$B$47,0),AP38)+AQ38*(INDEX(TABLAS!$D$6:$J$47,MATCH(AO38&amp;"|PC",TABLAS!$B$6:$B$47,0),MIN(AP38+1,7))-INDEX(TABLAS!$D$6:$J$47,MATCH(AO38&amp;"|PC",TABLAS!$B$6:$B$47,0),AP38)))</f>
        <v/>
      </c>
      <c r="AW38" s="59" t="str">
        <f>IF(V38&lt;&gt;"SÍ","",INDEX(TABLAS!$D$6:$J$47,MATCH(AO38&amp;"|PL",TABLAS!$B$6:$B$47,0),AP38)+AQ38*(INDEX(TABLAS!$D$6:$J$47,MATCH(AO38&amp;"|PL",TABLAS!$B$6:$B$47,0),MIN(AP38+1,7))-INDEX(TABLAS!$D$6:$J$47,MATCH(AO38&amp;"|PL",TABLAS!$B$6:$B$47,0),AP38)))</f>
        <v/>
      </c>
      <c r="AX38" s="56" t="str">
        <f>IF(V38&lt;&gt;"SÍ","",IF(C38="PERIMETRAL",AV38*AK38*Z38^2*1E-4/1000,0))</f>
        <v/>
      </c>
      <c r="AY38" s="62" t="str">
        <f>IF(V38&lt;&gt;"SÍ","",IF(C38="PERIMETRAL",MAX(MAX(AR38,AT38)*AK38*Z38^2*1E-4/1000,N(T38)),(AK38*(AC38/100)^2/2+DATOS!$C$26*N(P38)*AC38/100)/1000))</f>
        <v/>
      </c>
      <c r="AZ38" s="56" t="str">
        <f>IF(V38&lt;&gt;"SÍ","",IF(C38="PERIMETRAL",AW38*AK38*Z38^2*1E-4/1000,0))</f>
        <v/>
      </c>
      <c r="BA38" s="56" t="str">
        <f>IF(V38&lt;&gt;"SÍ","",IF(C38="PERIMETRAL",MAX(MAX(AS38,AU38)*AK38*Z38^2*1E-4/1000,N(U38)),0))</f>
        <v/>
      </c>
      <c r="BB38" s="63" t="str">
        <f>IF(V38&lt;&gt;"SÍ","",IF(C38&lt;&gt;"PERIMETRAL","—",IF(AND(N(T38)=0,N(U38)=0),"— (sin M⁻ del vecino)",IF(OR(AND(N(T38)&gt;0,ABS(MAX(AR38,AT38)*AK38*Z38^2*1E-4/1000-N(T38))&gt;0.5*MIN(MAX(AR38,AT38)*AK38*Z38^2*1E-4/1000,N(T38))),AND(N(U38)&gt;0,ABS(MAX(AS38,AU38)*AK38*Z38^2*1E-4/1000-N(U38))&gt;0.5*MIN(MAX(AS38,AU38)*AK38*Z38^2*1E-4/1000,N(U38)))),"FUERA: difieren &gt; 50 %"&amp;IF(AND(N(T38)&gt;0,ABS(MAX(AR38,AT38)*AK38*Z38^2*1E-4/1000-N(T38))&gt;0.5*MIN(MAX(AR38,AT38)*AK38*Z38^2*1E-4/1000,N(T38)))," ‖ corto","")&amp;IF(AND(N(U38)&gt;0,ABS(MAX(AS38,AU38)*AK38*Z38^2*1E-4/1000-N(U38))&gt;0.5*MIN(MAX(AS38,AU38)*AK38*Z38^2*1E-4/1000,N(U38)))," ‖ largo",""),"CUMPLE"))))</f>
        <v/>
      </c>
      <c r="BC38" s="58" t="str">
        <f>IF(V38&lt;&gt;"SÍ","",DATOS!$C$136*100*W38)</f>
        <v/>
      </c>
      <c r="BD38" s="57" t="str">
        <f>IF(V38&lt;&gt;"SÍ","",MIN(IF(C38="VOLADO",DATOS!$C$138,DATOS!$C$137)*W38,DATOS!$C$139))</f>
        <v/>
      </c>
      <c r="BE38" s="58" t="str">
        <f>IF(V38&lt;&gt;"SÍ","",(W38-AE38-INDEX(TABLAS!$C$52:$C$58,MATCH(IF(ISNUMBER(S38),S38,DATOS!$C$135),TABLAS!$B$52:$B$58,0))/2))</f>
        <v/>
      </c>
      <c r="BF38" s="58" t="str">
        <f>IF(V38&lt;&gt;"SÍ","",IF(AX38&lt;=0,0,IF((1-2*AX38*1E5/(DATOS!$C$29*100*BE38^2*DATOS!$C$21))&lt;0,-1,IF((1-SQRT((1-2*AX38*1E5/(DATOS!$C$29*100*BE38^2*DATOS!$C$21))))*DATOS!$C$21*100*BE38/DATOS!$C$14&gt;DATOS!$C$99*100*BE38,-1,(1-SQRT((1-2*AX38*1E5/(DATOS!$C$29*100*BE38^2*DATOS!$C$21))))*DATOS!$C$21*100*BE38/DATOS!$C$14))))</f>
        <v/>
      </c>
      <c r="BG38" s="58" t="str">
        <f>IF(V38&lt;&gt;"SÍ","",IF(BF38&lt;0,-1,MAX(BF38,BC38)))</f>
        <v/>
      </c>
      <c r="BH38" s="64" t="str">
        <f>IF(V38&lt;&gt;"SÍ","",IF(AND(BG38&gt;0,FLOOR(MIN(BD38,100*INDEX(TABLAS!$D$52:$D$58,MIN(MATCH(IF(ISNUMBER(S38),S38,DATOS!$C$135),TABLAS!$B$52:$B$58,0)+0,7))/MAX(BG38,0.0001)),DATOS!$C$141)&gt;=DATOS!$C$140),INDEX(TABLAS!$B$52:$B$58,MIN(MATCH(IF(ISNUMBER(S38),S38,DATOS!$C$135),TABLAS!$B$52:$B$58,0)+0,7)),IF(AND(BG38&gt;0,FLOOR(MIN(BD38,100*INDEX(TABLAS!$D$52:$D$58,MIN(MATCH(IF(ISNUMBER(S38),S38,DATOS!$C$135),TABLAS!$B$52:$B$58,0)+1,7))/MAX(BG38,0.0001)),DATOS!$C$141)&gt;=DATOS!$C$140),INDEX(TABLAS!$B$52:$B$58,MIN(MATCH(IF(ISNUMBER(S38),S38,DATOS!$C$135),TABLAS!$B$52:$B$58,0)+1,7)),IF(AND(BG38&gt;0,FLOOR(MIN(BD38,100*INDEX(TABLAS!$D$52:$D$58,MIN(MATCH(IF(ISNUMBER(S38),S38,DATOS!$C$135),TABLAS!$B$52:$B$58,0)+2,7))/MAX(BG38,0.0001)),DATOS!$C$141)&gt;=DATOS!$C$140),INDEX(TABLAS!$B$52:$B$58,MIN(MATCH(IF(ISNUMBER(S38),S38,DATOS!$C$135),TABLAS!$B$52:$B$58,0)+2,7)),IF(AND(BG38&gt;0,FLOOR(MIN(BD38,100*INDEX(TABLAS!$D$52:$D$58,MIN(MATCH(IF(ISNUMBER(S38),S38,DATOS!$C$135),TABLAS!$B$52:$B$58,0)+3,7))/MAX(BG38,0.0001)),DATOS!$C$141)&gt;=DATOS!$C$140),INDEX(TABLAS!$B$52:$B$58,MIN(MATCH(IF(ISNUMBER(S38),S38,DATOS!$C$135),TABLAS!$B$52:$B$58,0)+3,7)),IF(AND(BG38&gt;0,FLOOR(MIN(BD38,100*INDEX(TABLAS!$D$52:$D$58,MIN(MATCH(IF(ISNUMBER(S38),S38,DATOS!$C$135),TABLAS!$B$52:$B$58,0)+4,7))/MAX(BG38,0.0001)),DATOS!$C$141)&gt;=DATOS!$C$140),INDEX(TABLAS!$B$52:$B$58,MIN(MATCH(IF(ISNUMBER(S38),S38,DATOS!$C$135),TABLAS!$B$52:$B$58,0)+4,7)),INDEX(TABLAS!$B$52:$B$58,7)))))))</f>
        <v/>
      </c>
      <c r="BI38" s="71" t="str">
        <f>IF(V38&lt;&gt;"SÍ","",IF(BG38&lt;=0,0,FLOOR(MIN(BD38,100*INDEX(TABLAS!$D$52:$D$58,MATCH(BH38,TABLAS!$B$52:$B$58,0))/BG38),DATOS!$C$141)))</f>
        <v/>
      </c>
      <c r="BJ38" s="58" t="str">
        <f>IF(V38&lt;&gt;"SÍ","",IF(BI38&lt;=0,0,INDEX(TABLAS!$D$52:$D$58,MATCH(BH38,TABLAS!$B$52:$B$58,0))*100/BI38))</f>
        <v/>
      </c>
      <c r="BK38" s="58" t="str">
        <f>IF(V38&lt;&gt;"SÍ","",W38-AE38-INDEX(TABLAS!$C$52:$C$58,MATCH(BH38,TABLAS!$B$52:$B$58,0))/2)</f>
        <v/>
      </c>
      <c r="BL38" s="56" t="str">
        <f>IF(V38&lt;&gt;"SÍ","",IF(BJ38=0,0,DATOS!$C$29*BJ38*DATOS!$C$14*(BK38-BJ38*DATOS!$C$14/(DATOS!$C$21*100)/2)/1E5))</f>
        <v/>
      </c>
      <c r="BM38" s="65" t="str">
        <f>IF(V38&lt;&gt;"SÍ","",IF(BG38&lt;0,9.99,IF(BL38&gt;0,AX38/BL38,0)))</f>
        <v/>
      </c>
      <c r="BN38" s="66" t="str">
        <f>IF(V38&lt;&gt;"SÍ","",IF(BJ38=0,"—",0.003*(BK38-(BJ38*DATOS!$C$14/(DATOS!$C$21*100)/DATOS!$C$22))/(BJ38*DATOS!$C$14/(DATOS!$C$21*100)/DATOS!$C$22)))</f>
        <v/>
      </c>
      <c r="BO38" s="58" t="str">
        <f>IF(V38&lt;&gt;"SÍ","",((W38-AF38-INDEX(TABLAS!$C$52:$C$58,MATCH(IF(ISNUMBER(S38),S38,DATOS!$C$135),TABLAS!$B$52:$B$58,0))/2)-IF(AND((W38-AF38-INDEX(TABLAS!$C$52:$C$58,MATCH(IF(ISNUMBER(S38),S38,DATOS!$C$135),TABLAS!$B$52:$B$58,0))/2)&lt;=20,DATOS!$C$62&lt;&gt;"SÍ"),2,0)))</f>
        <v/>
      </c>
      <c r="BP38" s="58" t="str">
        <f>IF(V38&lt;&gt;"SÍ","",IF(AY38&lt;=0,0,IF((1-2*AY38*1E5/(DATOS!$C$29*100*BO38^2*DATOS!$C$21))&lt;0,-1,IF((1-SQRT((1-2*AY38*1E5/(DATOS!$C$29*100*BO38^2*DATOS!$C$21))))*DATOS!$C$21*100*BO38/DATOS!$C$14&gt;DATOS!$C$99*100*BO38,-1,(1-SQRT((1-2*AY38*1E5/(DATOS!$C$29*100*BO38^2*DATOS!$C$21))))*DATOS!$C$21*100*BO38/DATOS!$C$14))))</f>
        <v/>
      </c>
      <c r="BQ38" s="58" t="str">
        <f>IF(V38&lt;&gt;"SÍ","",IF(BP38&lt;0,-1,MAX(BP38,BC38)))</f>
        <v/>
      </c>
      <c r="BR38" s="64" t="str">
        <f>IF(V38&lt;&gt;"SÍ","",IF(AND(BQ38&gt;0,FLOOR(MIN(BD38,100*INDEX(TABLAS!$D$52:$D$58,MIN(MATCH(IF(ISNUMBER(S38),S38,DATOS!$C$135),TABLAS!$B$52:$B$58,0)+0,7))/MAX(BQ38,0.0001)),DATOS!$C$141)&gt;=DATOS!$C$140),INDEX(TABLAS!$B$52:$B$58,MIN(MATCH(IF(ISNUMBER(S38),S38,DATOS!$C$135),TABLAS!$B$52:$B$58,0)+0,7)),IF(AND(BQ38&gt;0,FLOOR(MIN(BD38,100*INDEX(TABLAS!$D$52:$D$58,MIN(MATCH(IF(ISNUMBER(S38),S38,DATOS!$C$135),TABLAS!$B$52:$B$58,0)+1,7))/MAX(BQ38,0.0001)),DATOS!$C$141)&gt;=DATOS!$C$140),INDEX(TABLAS!$B$52:$B$58,MIN(MATCH(IF(ISNUMBER(S38),S38,DATOS!$C$135),TABLAS!$B$52:$B$58,0)+1,7)),IF(AND(BQ38&gt;0,FLOOR(MIN(BD38,100*INDEX(TABLAS!$D$52:$D$58,MIN(MATCH(IF(ISNUMBER(S38),S38,DATOS!$C$135),TABLAS!$B$52:$B$58,0)+2,7))/MAX(BQ38,0.0001)),DATOS!$C$141)&gt;=DATOS!$C$140),INDEX(TABLAS!$B$52:$B$58,MIN(MATCH(IF(ISNUMBER(S38),S38,DATOS!$C$135),TABLAS!$B$52:$B$58,0)+2,7)),IF(AND(BQ38&gt;0,FLOOR(MIN(BD38,100*INDEX(TABLAS!$D$52:$D$58,MIN(MATCH(IF(ISNUMBER(S38),S38,DATOS!$C$135),TABLAS!$B$52:$B$58,0)+3,7))/MAX(BQ38,0.0001)),DATOS!$C$141)&gt;=DATOS!$C$140),INDEX(TABLAS!$B$52:$B$58,MIN(MATCH(IF(ISNUMBER(S38),S38,DATOS!$C$135),TABLAS!$B$52:$B$58,0)+3,7)),IF(AND(BQ38&gt;0,FLOOR(MIN(BD38,100*INDEX(TABLAS!$D$52:$D$58,MIN(MATCH(IF(ISNUMBER(S38),S38,DATOS!$C$135),TABLAS!$B$52:$B$58,0)+4,7))/MAX(BQ38,0.0001)),DATOS!$C$141)&gt;=DATOS!$C$140),INDEX(TABLAS!$B$52:$B$58,MIN(MATCH(IF(ISNUMBER(S38),S38,DATOS!$C$135),TABLAS!$B$52:$B$58,0)+4,7)),INDEX(TABLAS!$B$52:$B$58,7)))))))</f>
        <v/>
      </c>
      <c r="BS38" s="71" t="str">
        <f>IF(V38&lt;&gt;"SÍ","",IF(BQ38&lt;=0,0,FLOOR(MIN(BD38,100*INDEX(TABLAS!$D$52:$D$58,MATCH(BR38,TABLAS!$B$52:$B$58,0))/BQ38),DATOS!$C$141)))</f>
        <v/>
      </c>
      <c r="BT38" s="58" t="str">
        <f>IF(V38&lt;&gt;"SÍ","",IF(BS38&lt;=0,0,INDEX(TABLAS!$D$52:$D$58,MATCH(BR38,TABLAS!$B$52:$B$58,0))*100/BS38))</f>
        <v/>
      </c>
      <c r="BU38" s="58" t="str">
        <f>IF(V38&lt;&gt;"SÍ","",((W38-AF38-INDEX(TABLAS!$C$52:$C$58,MATCH(BR38,TABLAS!$B$52:$B$58,0))/2)-IF(AND((W38-AF38-INDEX(TABLAS!$C$52:$C$58,MATCH(BR38,TABLAS!$B$52:$B$58,0))/2)&lt;=20,DATOS!$C$62&lt;&gt;"SÍ"),2,0)))</f>
        <v/>
      </c>
      <c r="BV38" s="56" t="str">
        <f>IF(V38&lt;&gt;"SÍ","",IF(BT38=0,0,DATOS!$C$29*BT38*DATOS!$C$14*(BU38-BT38*DATOS!$C$14/(DATOS!$C$21*100)/2)/1E5))</f>
        <v/>
      </c>
      <c r="BW38" s="65" t="str">
        <f>IF(V38&lt;&gt;"SÍ","",IF(BQ38&lt;0,9.99,IF(BV38&gt;0,AY38/BV38,0)))</f>
        <v/>
      </c>
      <c r="BX38" s="66" t="str">
        <f>IF(V38&lt;&gt;"SÍ","",IF(BT38=0,"—",0.003*(BU38-(BT38*DATOS!$C$14/(DATOS!$C$21*100)/DATOS!$C$22))/(BT38*DATOS!$C$14/(DATOS!$C$21*100)/DATOS!$C$22)))</f>
        <v/>
      </c>
      <c r="BY38" s="58" t="str">
        <f>IF(V38&lt;&gt;"SÍ","",(W38-AE38-1.5*INDEX(TABLAS!$C$52:$C$58,MATCH(IF(ISNUMBER(S38),S38,DATOS!$C$135),TABLAS!$B$52:$B$58,0))))</f>
        <v/>
      </c>
      <c r="BZ38" s="58" t="str">
        <f>IF(V38&lt;&gt;"SÍ","",IF(AZ38&lt;=0,0,IF((1-2*AZ38*1E5/(DATOS!$C$29*100*BY38^2*DATOS!$C$21))&lt;0,-1,IF((1-SQRT((1-2*AZ38*1E5/(DATOS!$C$29*100*BY38^2*DATOS!$C$21))))*DATOS!$C$21*100*BY38/DATOS!$C$14&gt;DATOS!$C$99*100*BY38,-1,(1-SQRT((1-2*AZ38*1E5/(DATOS!$C$29*100*BY38^2*DATOS!$C$21))))*DATOS!$C$21*100*BY38/DATOS!$C$14))))</f>
        <v/>
      </c>
      <c r="CA38" s="58" t="str">
        <f>IF(V38&lt;&gt;"SÍ","",IF(BZ38&lt;0,-1,MAX(BZ38,BC38)))</f>
        <v/>
      </c>
      <c r="CB38" s="64" t="str">
        <f>IF(V38&lt;&gt;"SÍ","",IF(AND(CA38&gt;0,FLOOR(MIN(BD38,100*INDEX(TABLAS!$D$52:$D$58,MIN(MATCH(IF(ISNUMBER(S38),S38,DATOS!$C$135),TABLAS!$B$52:$B$58,0)+0,7))/MAX(CA38,0.0001)),DATOS!$C$141)&gt;=DATOS!$C$140),INDEX(TABLAS!$B$52:$B$58,MIN(MATCH(IF(ISNUMBER(S38),S38,DATOS!$C$135),TABLAS!$B$52:$B$58,0)+0,7)),IF(AND(CA38&gt;0,FLOOR(MIN(BD38,100*INDEX(TABLAS!$D$52:$D$58,MIN(MATCH(IF(ISNUMBER(S38),S38,DATOS!$C$135),TABLAS!$B$52:$B$58,0)+1,7))/MAX(CA38,0.0001)),DATOS!$C$141)&gt;=DATOS!$C$140),INDEX(TABLAS!$B$52:$B$58,MIN(MATCH(IF(ISNUMBER(S38),S38,DATOS!$C$135),TABLAS!$B$52:$B$58,0)+1,7)),IF(AND(CA38&gt;0,FLOOR(MIN(BD38,100*INDEX(TABLAS!$D$52:$D$58,MIN(MATCH(IF(ISNUMBER(S38),S38,DATOS!$C$135),TABLAS!$B$52:$B$58,0)+2,7))/MAX(CA38,0.0001)),DATOS!$C$141)&gt;=DATOS!$C$140),INDEX(TABLAS!$B$52:$B$58,MIN(MATCH(IF(ISNUMBER(S38),S38,DATOS!$C$135),TABLAS!$B$52:$B$58,0)+2,7)),IF(AND(CA38&gt;0,FLOOR(MIN(BD38,100*INDEX(TABLAS!$D$52:$D$58,MIN(MATCH(IF(ISNUMBER(S38),S38,DATOS!$C$135),TABLAS!$B$52:$B$58,0)+3,7))/MAX(CA38,0.0001)),DATOS!$C$141)&gt;=DATOS!$C$140),INDEX(TABLAS!$B$52:$B$58,MIN(MATCH(IF(ISNUMBER(S38),S38,DATOS!$C$135),TABLAS!$B$52:$B$58,0)+3,7)),IF(AND(CA38&gt;0,FLOOR(MIN(BD38,100*INDEX(TABLAS!$D$52:$D$58,MIN(MATCH(IF(ISNUMBER(S38),S38,DATOS!$C$135),TABLAS!$B$52:$B$58,0)+4,7))/MAX(CA38,0.0001)),DATOS!$C$141)&gt;=DATOS!$C$140),INDEX(TABLAS!$B$52:$B$58,MIN(MATCH(IF(ISNUMBER(S38),S38,DATOS!$C$135),TABLAS!$B$52:$B$58,0)+4,7)),INDEX(TABLAS!$B$52:$B$58,7)))))))</f>
        <v/>
      </c>
      <c r="CC38" s="71" t="str">
        <f>IF(V38&lt;&gt;"SÍ","",IF(CA38&lt;=0,0,FLOOR(MIN(BD38,100*INDEX(TABLAS!$D$52:$D$58,MATCH(CB38,TABLAS!$B$52:$B$58,0))/CA38),DATOS!$C$141)))</f>
        <v/>
      </c>
      <c r="CD38" s="58" t="str">
        <f>IF(V38&lt;&gt;"SÍ","",IF(CC38&lt;=0,0,INDEX(TABLAS!$D$52:$D$58,MATCH(CB38,TABLAS!$B$52:$B$58,0))*100/CC38))</f>
        <v/>
      </c>
      <c r="CE38" s="58" t="str">
        <f>IF(V38&lt;&gt;"SÍ","",W38-AE38-INDEX(TABLAS!$C$52:$C$58,MATCH(BH38,TABLAS!$B$52:$B$58,0))-INDEX(TABLAS!$C$52:$C$58,MATCH(CB38,TABLAS!$B$52:$B$58,0))/2)</f>
        <v/>
      </c>
      <c r="CF38" s="56" t="str">
        <f>IF(V38&lt;&gt;"SÍ","",IF(CD38=0,0,DATOS!$C$29*CD38*DATOS!$C$14*(CE38-CD38*DATOS!$C$14/(DATOS!$C$21*100)/2)/1E5))</f>
        <v/>
      </c>
      <c r="CG38" s="65" t="str">
        <f>IF(V38&lt;&gt;"SÍ","",IF(CA38&lt;0,9.99,IF(CF38&gt;0,AZ38/CF38,0)))</f>
        <v/>
      </c>
      <c r="CH38" s="66" t="str">
        <f>IF(V38&lt;&gt;"SÍ","",IF(CD38=0,"—",0.003*(CE38-(CD38*DATOS!$C$14/(DATOS!$C$21*100)/DATOS!$C$22))/(CD38*DATOS!$C$14/(DATOS!$C$21*100)/DATOS!$C$22)))</f>
        <v/>
      </c>
      <c r="CI38" s="58" t="str">
        <f>IF(V38&lt;&gt;"SÍ","",((W38-AF38-1.5*INDEX(TABLAS!$C$52:$C$58,MATCH(IF(ISNUMBER(S38),S38,DATOS!$C$135),TABLAS!$B$52:$B$58,0)))-IF(AND((W38-AF38-1.5*INDEX(TABLAS!$C$52:$C$58,MATCH(IF(ISNUMBER(S38),S38,DATOS!$C$135),TABLAS!$B$52:$B$58,0)))&lt;=20,DATOS!$C$62&lt;&gt;"SÍ"),2,0)))</f>
        <v/>
      </c>
      <c r="CJ38" s="58" t="str">
        <f>IF(V38&lt;&gt;"SÍ","",IF(BA38&lt;=0,0,IF((1-2*BA38*1E5/(DATOS!$C$29*100*CI38^2*DATOS!$C$21))&lt;0,-1,IF((1-SQRT((1-2*BA38*1E5/(DATOS!$C$29*100*CI38^2*DATOS!$C$21))))*DATOS!$C$21*100*CI38/DATOS!$C$14&gt;DATOS!$C$99*100*CI38,-1,(1-SQRT((1-2*BA38*1E5/(DATOS!$C$29*100*CI38^2*DATOS!$C$21))))*DATOS!$C$21*100*CI38/DATOS!$C$14))))</f>
        <v/>
      </c>
      <c r="CK38" s="58" t="str">
        <f>IF(V38&lt;&gt;"SÍ","",IF(CJ38&lt;0,-1,MAX(CJ38,BC38)))</f>
        <v/>
      </c>
      <c r="CL38" s="64" t="str">
        <f>IF(V38&lt;&gt;"SÍ","",IF(AND(CK38&gt;0,FLOOR(MIN(BD38,100*INDEX(TABLAS!$D$52:$D$58,MIN(MATCH(IF(ISNUMBER(S38),S38,DATOS!$C$135),TABLAS!$B$52:$B$58,0)+0,7))/MAX(CK38,0.0001)),DATOS!$C$141)&gt;=DATOS!$C$140),INDEX(TABLAS!$B$52:$B$58,MIN(MATCH(IF(ISNUMBER(S38),S38,DATOS!$C$135),TABLAS!$B$52:$B$58,0)+0,7)),IF(AND(CK38&gt;0,FLOOR(MIN(BD38,100*INDEX(TABLAS!$D$52:$D$58,MIN(MATCH(IF(ISNUMBER(S38),S38,DATOS!$C$135),TABLAS!$B$52:$B$58,0)+1,7))/MAX(CK38,0.0001)),DATOS!$C$141)&gt;=DATOS!$C$140),INDEX(TABLAS!$B$52:$B$58,MIN(MATCH(IF(ISNUMBER(S38),S38,DATOS!$C$135),TABLAS!$B$52:$B$58,0)+1,7)),IF(AND(CK38&gt;0,FLOOR(MIN(BD38,100*INDEX(TABLAS!$D$52:$D$58,MIN(MATCH(IF(ISNUMBER(S38),S38,DATOS!$C$135),TABLAS!$B$52:$B$58,0)+2,7))/MAX(CK38,0.0001)),DATOS!$C$141)&gt;=DATOS!$C$140),INDEX(TABLAS!$B$52:$B$58,MIN(MATCH(IF(ISNUMBER(S38),S38,DATOS!$C$135),TABLAS!$B$52:$B$58,0)+2,7)),IF(AND(CK38&gt;0,FLOOR(MIN(BD38,100*INDEX(TABLAS!$D$52:$D$58,MIN(MATCH(IF(ISNUMBER(S38),S38,DATOS!$C$135),TABLAS!$B$52:$B$58,0)+3,7))/MAX(CK38,0.0001)),DATOS!$C$141)&gt;=DATOS!$C$140),INDEX(TABLAS!$B$52:$B$58,MIN(MATCH(IF(ISNUMBER(S38),S38,DATOS!$C$135),TABLAS!$B$52:$B$58,0)+3,7)),IF(AND(CK38&gt;0,FLOOR(MIN(BD38,100*INDEX(TABLAS!$D$52:$D$58,MIN(MATCH(IF(ISNUMBER(S38),S38,DATOS!$C$135),TABLAS!$B$52:$B$58,0)+4,7))/MAX(CK38,0.0001)),DATOS!$C$141)&gt;=DATOS!$C$140),INDEX(TABLAS!$B$52:$B$58,MIN(MATCH(IF(ISNUMBER(S38),S38,DATOS!$C$135),TABLAS!$B$52:$B$58,0)+4,7)),INDEX(TABLAS!$B$52:$B$58,7)))))))</f>
        <v/>
      </c>
      <c r="CM38" s="71" t="str">
        <f>IF(V38&lt;&gt;"SÍ","",IF(CK38&lt;=0,0,FLOOR(MIN(BD38,100*INDEX(TABLAS!$D$52:$D$58,MATCH(CL38,TABLAS!$B$52:$B$58,0))/CK38),DATOS!$C$141)))</f>
        <v/>
      </c>
      <c r="CN38" s="58" t="str">
        <f>IF(V38&lt;&gt;"SÍ","",IF(CM38&lt;=0,0,INDEX(TABLAS!$D$52:$D$58,MATCH(CL38,TABLAS!$B$52:$B$58,0))*100/CM38))</f>
        <v/>
      </c>
      <c r="CO38" s="58" t="str">
        <f>IF(V38&lt;&gt;"SÍ","",((W38-AF38-INDEX(TABLAS!$C$52:$C$58,MATCH(BR38,TABLAS!$B$52:$B$58,0))-INDEX(TABLAS!$C$52:$C$58,MATCH(CL38,TABLAS!$B$52:$B$58,0))/2)-IF(AND((W38-AF38-INDEX(TABLAS!$C$52:$C$58,MATCH(BR38,TABLAS!$B$52:$B$58,0))-INDEX(TABLAS!$C$52:$C$58,MATCH(CL38,TABLAS!$B$52:$B$58,0))/2)&lt;=20,DATOS!$C$62&lt;&gt;"SÍ"),2,0)))</f>
        <v/>
      </c>
      <c r="CP38" s="56" t="str">
        <f>IF(V38&lt;&gt;"SÍ","",IF(CN38=0,0,DATOS!$C$29*CN38*DATOS!$C$14*(CO38-CN38*DATOS!$C$14/(DATOS!$C$21*100)/2)/1E5))</f>
        <v/>
      </c>
      <c r="CQ38" s="65" t="str">
        <f>IF(V38&lt;&gt;"SÍ","",IF(CK38&lt;0,9.99,IF(CP38&gt;0,BA38/CP38,0)))</f>
        <v/>
      </c>
      <c r="CR38" s="66" t="str">
        <f>IF(V38&lt;&gt;"SÍ","",IF(CN38=0,"—",0.003*(CO38-(CN38*DATOS!$C$14/(DATOS!$C$21*100)/DATOS!$C$22))/(CN38*DATOS!$C$14/(DATOS!$C$21*100)/DATOS!$C$22)))</f>
        <v/>
      </c>
      <c r="CS38" s="56" t="str">
        <f>IF(V38&lt;&gt;"SÍ","",IF(C38="PERIMETRAL",MAX(0,(AC38/2-BU38)/100)*(0.95-0.5*AB38)*AK38*IF(AND(AL38&gt;0,AL38&lt;4),DATOS!$C$33,1)/1000,(AK38*MAX(0,AC38-BU38)/100+DATOS!$C$26*N(P38))/1000))</f>
        <v/>
      </c>
      <c r="CT38" s="66" t="str">
        <f>IF(V38&lt;&gt;"SÍ","",BT38/(100*BU38))</f>
        <v/>
      </c>
      <c r="CU38" s="56" t="str">
        <f>IF(V38&lt;&gt;"SÍ","",DATOS!$C$30*2*MIN(1,SQRT(2/(1+0.04*BU38)))*CT38^(1/3)*SQRT(DATOS!$C$13)*100*BU38/1000)</f>
        <v/>
      </c>
      <c r="CV38" s="67" t="str">
        <f>IF(V38&lt;&gt;"SÍ","",IF(CS38&lt;=CU38,"CUMPLE","NO CUMPLE: sube h"))</f>
        <v/>
      </c>
      <c r="CW38" s="58" t="str">
        <f>IF(V38&lt;&gt;"SÍ","",IF(C38="PERIMETRAL",IF(ISNUMBER(R38),R38,DATOS!$C$101),0))</f>
        <v/>
      </c>
      <c r="CX38" s="57" t="str">
        <f>IF(V38&lt;&gt;"SÍ","",IF(C38="PERIMETRAL",IF(CW38&gt;2,MAX(9,AD38*(0.8+DATOS!$C$14/14000)/(36+9*(AD38/MAX(AC38,1)))),IF(CW38&gt;0.2,MAX(13,AD38*(0.8+DATOS!$C$14/14000)/(36+5*(AD38/MAX(AC38,1))*(CW38-0.2))),MAX(13,AD38/IF(AL38&gt;0,30,33))))*IF(AND(CW38&gt;0.2,AL38&gt;0,DATOS!$C$102="NO"),1.1,1),Z38*100/DATOS!$C$142))</f>
        <v/>
      </c>
      <c r="CY38" s="61" t="str">
        <f>IF(V38&lt;&gt;"SÍ","",IF(W38&gt;=CX38-0.001,"CUMPLE",IF(C38="VOLADO","NO CUMPLE","CALCULAR FLECHA")))</f>
        <v/>
      </c>
      <c r="CZ38" s="60" t="str">
        <f>IF(V38&lt;&gt;"SÍ","",IF(C38="VOLADO",MIN(CEILING(IF(ISNUMBER(Q38),Q38,Z38)*100,5),CEILING(MAX(IF((0.5*(0.9*W38/100*DATOS!$C$16)*IF(ISNUMBER(Q38),Q38,Z38)+AY38/IF(ISNUMBER(Q38),Q38,Z38))^2-4*(0.5*(0.9*W38/100*DATOS!$C$16))*AY38&lt;0,IF(ISNUMBER(Q38),Q38,Z38),MIN(IF(ISNUMBER(Q38),Q38,Z38),((0.5*(0.9*W38/100*DATOS!$C$16)*IF(ISNUMBER(Q38),Q38,Z38)+AY38/IF(ISNUMBER(Q38),Q38,Z38))-SQRT((0.5*(0.9*W38/100*DATOS!$C$16)*IF(ISNUMBER(Q38),Q38,Z38)+AY38/IF(ISNUMBER(Q38),Q38,Z38))^2-4*(0.5*(0.9*W38/100*DATOS!$C$16))*AY38))/(2*(0.5*(0.9*W38/100*DATOS!$C$16)))))*100+MAX(BU38,12*INDEX(TABLAS!$C$52:$C$58,MATCH(BR38,TABLAS!$B$52:$B$58,0)),IF(ISNUMBER(Q38),Q38,Z38)*100/16),IF(OR(AF38&lt;INDEX(TABLAS!$C$52:$C$58,MATCH(BR38,TABLAS!$B$52:$B$58,0)),BS38-INDEX(TABLAS!$C$52:$C$58,MATCH(BR38,TABLAS!$B$52:$B$58,0))&lt;2*INDEX(TABLAS!$C$52:$C$58,MATCH(BR38,TABLAS!$B$52:$B$58,0))),INDEX(TABLAS!$I$52:$I$58,MATCH(BR38,TABLAS!$B$52:$B$58,0)),INDEX(TABLAS!$F$52:$F$58,MATCH(BR38,TABLAS!$B$52:$B$58,0)))),5)),IF(((4*((AV38*AK38*Z38^2*1E-4/1000)+((MAX(AR38,AT38)*AK38*Z38^2*1E-4/1000)+(IF(AND(AR38&gt;0,AT38&gt;0),MIN(AR38,AT38),MAX(AR38,AT38))*AK38*Z38^2*1E-4/1000))/2)+AY38-(IF(AND(AR38&gt;0,AT38&gt;0),MIN(AR38,AT38),MAX(AR38,AT38))*AK38*Z38^2*1E-4/1000))^2-16*((AV38*AK38*Z38^2*1E-4/1000)+((MAX(AR38,AT38)*AK38*Z38^2*1E-4/1000)+(IF(AND(AR38&gt;0,AT38&gt;0),MIN(AR38,AT38),MAX(AR38,AT38))*AK38*Z38^2*1E-4/1000))/2)*AY38)&lt;0,CEILING(AC38,5),CEILING(MAX(AC38*((4*((AV38*AK38*Z38^2*1E-4/1000)+((MAX(AR38,AT38)*AK38*Z38^2*1E-4/1000)+(IF(AND(AR38&gt;0,AT38&gt;0),MIN(AR38,AT38),MAX(AR38,AT38))*AK38*Z38^2*1E-4/1000))/2)+AY38-(IF(AND(AR38&gt;0,AT38&gt;0),MIN(AR38,AT38),MAX(AR38,AT38))*AK38*Z38^2*1E-4/1000))-SQRT(MAX(0,((4*((AV38*AK38*Z38^2*1E-4/1000)+((MAX(AR38,AT38)*AK38*Z38^2*1E-4/1000)+(IF(AND(AR38&gt;0,AT38&gt;0),MIN(AR38,AT38),MAX(AR38,AT38))*AK38*Z38^2*1E-4/1000))/2)+AY38-(IF(AND(AR38&gt;0,AT38&gt;0),MIN(AR38,AT38),MAX(AR38,AT38))*AK38*Z38^2*1E-4/1000))^2-16*((AV38*AK38*Z38^2*1E-4/1000)+((MAX(AR38,AT38)*AK38*Z38^2*1E-4/1000)+(IF(AND(AR38&gt;0,AT38&gt;0),MIN(AR38,AT38),MAX(AR38,AT38))*AK38*Z38^2*1E-4/1000))/2)*AY38))))/(8*MAX(((AV38*AK38*Z38^2*1E-4/1000)+((MAX(AR38,AT38)*AK38*Z38^2*1E-4/1000)+(IF(AND(AR38&gt;0,AT38&gt;0),MIN(AR38,AT38),MAX(AR38,AT38))*AK38*Z38^2*1E-4/1000))/2),1E-9))+MAX(BU38,12*INDEX(TABLAS!$C$52:$C$58,MATCH(BR38,TABLAS!$B$52:$B$58,0)),AC38/16),IF(OR(AF38&lt;INDEX(TABLAS!$C$52:$C$58,MATCH(BR38,TABLAS!$B$52:$B$58,0)),BS38-INDEX(TABLAS!$C$52:$C$58,MATCH(BR38,TABLAS!$B$52:$B$58,0))&lt;2*INDEX(TABLAS!$C$52:$C$58,MATCH(BR38,TABLAS!$B$52:$B$58,0))),INDEX(TABLAS!$I$52:$I$58,MATCH(BR38,TABLAS!$B$52:$B$58,0)),INDEX(TABLAS!$F$52:$F$58,MATCH(BR38,TABLAS!$B$52:$B$58,0)))),5))))</f>
        <v/>
      </c>
      <c r="DA38" s="60" t="str">
        <f>IF(V38&lt;&gt;"SÍ","",IF(C38="VOLADO",0,IF(((4*((AW38*AK38*Z38^2*1E-4/1000)+((MAX(AS38,AU38)*AK38*Z38^2*1E-4/1000)+(IF(AND(AS38&gt;0,AU38&gt;0),MIN(AS38,AU38),MAX(AS38,AU38))*AK38*Z38^2*1E-4/1000))/2)+BA38-(IF(AND(AS38&gt;0,AU38&gt;0),MIN(AS38,AU38),MAX(AS38,AU38))*AK38*Z38^2*1E-4/1000))^2-16*((AW38*AK38*Z38^2*1E-4/1000)+((MAX(AS38,AU38)*AK38*Z38^2*1E-4/1000)+(IF(AND(AS38&gt;0,AU38&gt;0),MIN(AS38,AU38),MAX(AS38,AU38))*AK38*Z38^2*1E-4/1000))/2)*BA38)&lt;0,CEILING(AD38,5),CEILING(MAX(AD38*((4*((AW38*AK38*Z38^2*1E-4/1000)+((MAX(AS38,AU38)*AK38*Z38^2*1E-4/1000)+(IF(AND(AS38&gt;0,AU38&gt;0),MIN(AS38,AU38),MAX(AS38,AU38))*AK38*Z38^2*1E-4/1000))/2)+BA38-(IF(AND(AS38&gt;0,AU38&gt;0),MIN(AS38,AU38),MAX(AS38,AU38))*AK38*Z38^2*1E-4/1000))-SQRT(MAX(0,((4*((AW38*AK38*Z38^2*1E-4/1000)+((MAX(AS38,AU38)*AK38*Z38^2*1E-4/1000)+(IF(AND(AS38&gt;0,AU38&gt;0),MIN(AS38,AU38),MAX(AS38,AU38))*AK38*Z38^2*1E-4/1000))/2)+BA38-(IF(AND(AS38&gt;0,AU38&gt;0),MIN(AS38,AU38),MAX(AS38,AU38))*AK38*Z38^2*1E-4/1000))^2-16*((AW38*AK38*Z38^2*1E-4/1000)+((MAX(AS38,AU38)*AK38*Z38^2*1E-4/1000)+(IF(AND(AS38&gt;0,AU38&gt;0),MIN(AS38,AU38),MAX(AS38,AU38))*AK38*Z38^2*1E-4/1000))/2)*BA38))))/(8*MAX(((AW38*AK38*Z38^2*1E-4/1000)+((MAX(AS38,AU38)*AK38*Z38^2*1E-4/1000)+(IF(AND(AS38&gt;0,AU38&gt;0),MIN(AS38,AU38),MAX(AS38,AU38))*AK38*Z38^2*1E-4/1000))/2),1E-9))+MAX(CO38,12*INDEX(TABLAS!$C$52:$C$58,MATCH(CL38,TABLAS!$B$52:$B$58,0)),AD38/16),IF(OR(AF38&lt;INDEX(TABLAS!$C$52:$C$58,MATCH(CL38,TABLAS!$B$52:$B$58,0)),CM38-INDEX(TABLAS!$C$52:$C$58,MATCH(CL38,TABLAS!$B$52:$B$58,0))&lt;2*INDEX(TABLAS!$C$52:$C$58,MATCH(CL38,TABLAS!$B$52:$B$58,0))),INDEX(TABLAS!$I$52:$I$58,MATCH(CL38,TABLAS!$B$52:$B$58,0)),INDEX(TABLAS!$F$52:$F$58,MATCH(CL38,TABLAS!$B$52:$B$58,0)))),5))))</f>
        <v/>
      </c>
      <c r="DB38" s="55" t="str">
        <f>IF(V38&lt;&gt;"SÍ","",IF(AND(C38="PERIMETRAL",AL38-AM38&gt;0,AT38&gt;0),"SÍ","NO"))</f>
        <v/>
      </c>
      <c r="DC38" s="55" t="str">
        <f>IF(V38&lt;&gt;"SÍ","",IF(AND(C38="PERIMETRAL",AM38&gt;0,AU38&gt;0),"SÍ","NO"))</f>
        <v/>
      </c>
      <c r="DD38" s="63" t="str">
        <f>IF(V38&lt;&gt;"SÍ","",IF(OR(C38="VOLADO",AL38=0),"—",IF(AND(AND(INDEX(TABLAS!$G$52:$G$58,MATCH(MAX(BR38,CL38),TABLAS!$B$52:$B$58,0))&lt;=(DATOS!$C$72-DATOS!$C$60),(DATOS!$C$72-DATOS!$C$60)&gt;=15),8*INDEX(TABLAS!$C$52:$C$58,MATCH(MAX(BH38,CB38,BR38,CL38),TABLAS!$B$52:$B$58,0))&lt;=DATOS!$C$73-2*DATOS!$C$60),"CUMPLE (gancho de 180°)",IF(AND(INDEX(TABLAS!$G$52:$G$58,MATCH(MAX(BR38,CL38),TABLAS!$B$52:$B$58,0))&lt;=(DATOS!$C$72-DATOS!$C$60),(DATOS!$C$72-DATOS!$C$60)&gt;=15),"NO CUMPLE: el gancho de 180° (8·d_b) no cabe en el peralte de la dala de borde","NO CUMPLE: dala de borde ≥ "&amp;TEXT(CEILING(MAX(INDEX(TABLAS!$G$52:$G$58,MATCH(MAX(BR38,CL38),TABLAS!$B$52:$B$58,0)),15)+DATOS!$C$60,5),"0")&amp;" cm de ancho"&amp;IF(8*INDEX(TABLAS!$C$52:$C$58,MATCH(MAX(BH38,CB38,BR38,CL38),TABLAS!$B$52:$B$58,0))&lt;=DATOS!$C$73-2*DATOS!$C$60,""," y más peralte para el gancho")))))</f>
        <v/>
      </c>
      <c r="DE38" s="69" t="str">
        <f>IF(V38&lt;&gt;"SÍ","",IF(BI38=0,"NO ALCANZA","No. "&amp;BH38&amp;" @ "&amp;BI38&amp;" cm"&amp;IF(C38="VOLADO"," (temperatura)","")))</f>
        <v/>
      </c>
      <c r="DF38" s="69" t="str">
        <f>IF(V38&lt;&gt;"SÍ","",IF(BS38=0,"NO ALCANZA",IF(C38="VOLADO","No. "&amp;BR38&amp;" @ "&amp;BS38&amp;" cm"&amp;" de la orilla al respaldo ("&amp;IF(CZ38&gt;=100*IF(ISNUMBER(Q38),Q38,Z38),"hasta su apoyo lejano, con gancho","entran "&amp;TEXT(CZ38/100,"0.00")&amp;" m desde el paño")&amp;")","Bastones "&amp;"No. "&amp;BR38&amp;" @ "&amp;BS38&amp;" cm"&amp;", L = "&amp;TEXT(CZ38/100,"0.00")&amp;" m desde el paño")))</f>
        <v/>
      </c>
      <c r="DG38" s="69" t="str">
        <f>IF(V38&lt;&gt;"SÍ","",IF(CC38=0,"NO ALCANZA","No. "&amp;CB38&amp;" @ "&amp;CC38&amp;" cm"&amp;IF(C38="VOLADO"," (repartición)","")))</f>
        <v/>
      </c>
      <c r="DH38" s="69" t="str">
        <f>IF(V38&lt;&gt;"SÍ","",IF(CM38=0,"NO ALCANZA",IF(C38="VOLADO","No. "&amp;CL38&amp;" @ "&amp;CM38&amp;" cm"&amp;" (repartición)","Bastones "&amp;"No. "&amp;CL38&amp;" @ "&amp;CM38&amp;" cm"&amp;", L = "&amp;TEXT(DA38/100,"0.00")&amp;" m desde el paño")))</f>
        <v/>
      </c>
      <c r="DI38" s="67" t="str">
        <f>IF(B38="","",IF(V38&lt;&gt;"SÍ","FALTAN DATOS: tipo, a_x, a_y y destino",IF(L38="NO MONOLÍTICO (caso II)","FUERA DE ALCANCE: caso II no transcrito",IF(AND(C38="VOLADO",X38="?"),"REVISAR: el volado lleva UN solo borde CONTINUO (el empotrado)",IF(AND(MAX(BM38,BW38,CG38,CQ38)&lt;=1,NOT(OR(BI38&lt;DATOS!$C$140,BS38&lt;DATOS!$C$140,CC38&lt;DATOS!$C$140,CM38&lt;DATOS!$C$140)),NOT(OR(AND(ISNUMBER(BN38),BN38&lt;0.005),AND(ISNUMBER(BX38),BX38&lt;0.005),AND(ISNUMBER(CH38),CH38&lt;0.005),AND(ISNUMBER(CR38),CR38&lt;0.005))),CV38="CUMPLE",CY38="CUMPLE"),"CUMPLE"&amp;IF(LEFT(BB38,5)="FUERA"," · fuera de 3.4.2.1 c)","")&amp;IF(LEFT(DD38,2)="NO"," · REVISAR anclaje en borde discontinuo",""),IF(AND(MAX(BM38,BW38,CG38,CQ38)&lt;=1,NOT(OR(BI38&lt;DATOS!$C$140,BS38&lt;DATOS!$C$140,CC38&lt;DATOS!$C$140,CM38&lt;DATOS!$C$140)),NOT(OR(AND(ISNUMBER(BN38),BN38&lt;0.005),AND(ISNUMBER(BX38),BX38&lt;0.005),AND(ISNUMBER(CH38),CH38&lt;0.005),AND(ISNUMBER(CR38),CR38&lt;0.005))),CV38="CUMPLE",CY38="CALCULAR FLECHA"),"REVISAR: calcular flecha (h &lt; h mín.)"&amp;IF(LEFT(BB38,5)="FUERA"," · fuera de 3.4.2.1 c)","")&amp;IF(LEFT(DD38,2)="NO"," · REVISAR anclaje en borde discontinuo",""),"NO CUMPLE: "&amp;IF(MAX(BM38,BW38,CG38,CQ38)&gt;1,"flexión ","")&amp;IF(OR(BI38&lt;DATOS!$C$140,BS38&lt;DATOS!$C$140,CC38&lt;DATOS!$C$140,CM38&lt;DATOS!$C$140),"separación &lt; mínima ","")&amp;IF(OR(AND(ISNUMBER(BN38),BN38&lt;0.005),AND(ISNUMBER(BX38),BX38&lt;0.005),AND(ISNUMBER(CH38),CH38&lt;0.005),AND(ISNUMBER(CR38),CR38&lt;0.005)),"ε_t &lt; 0.005 ","")&amp;IF(CV38&lt;&gt;"CUMPLE","cortante ","")&amp;IF(CY38="NO CUMPLE","peralte","")))))))</f>
        <v/>
      </c>
      <c r="DJ38" s="70" t="str">
        <f>IF(V38&lt;&gt;"SÍ","",IF(LEFT(B38,7)="EJEMPLO","EJEMPLO de tablero típico: bórralo o sobrescríbelo. ","")&amp;IF(C38="VOLADO","Volado de "&amp;TEXT(Z38,"0.00")&amp;" m empotrado en el borde "&amp;LOWER(X38)&amp;IF(N(P38)&gt;0,", con "&amp;TEXT(P38,"0.0")&amp;" kg/m en la orilla","")&amp;". Lecho inferior con r_ext. Si la orilla carga pretil u otro elemento frágil, calcula la flecha (13.4). El acero superior entra al respaldo de "&amp;TEXT(IF(ISNUMBER(Q38),Q38,Z38),"0.00")&amp;" m"&amp;IF(ISNUMBER(Q38),""," (L_b no capturado: se tomó igual al volado)")&amp;" hasta pasar M = 0 con 0.9·PP sin carga viva; si ahí no se anula, llega al apoyo lejano y se ancla con gancho. ","")&amp;IF(LEFT(BB38,5)="FUERA","El M⁻ del vecino difiere más de 50 % (3.4.2.1 c): distribuye el desequilibrio (3.4.3.1) o confirma con un modelo; se arma con el mayor. ","")&amp;IF(OR(DB38="SÍ",DC38="SÍ"),"Bastones también en los bordes discontinuos (M⁻ de tabla), con gancho. ","")&amp;IF(LEFT(DD38,2)="NO","Anclaje: "&amp;DD38&amp;" (6.7.7.4.1.1). ","")&amp;IF(OR(AT38&gt;0,AU38&gt;0),"Esquinas exteriores sobre muro: refuerzo de esquina arriba y abajo en L_largo/5 (6.7.7.3.1). ",""))</f>
        <v/>
      </c>
    </row>
    <row r="39" ht="33" customHeight="1">
      <c r="A39" s="50">
        <f>IF(B39="",0,1)+A38</f>
        <v>3</v>
      </c>
      <c r="B39" s="29" t="n"/>
      <c r="C39" s="51" t="n"/>
      <c r="D39" s="29" t="n"/>
      <c r="E39" s="52" t="n"/>
      <c r="F39" s="52" t="n"/>
      <c r="G39" s="51" t="n"/>
      <c r="H39" s="51" t="n"/>
      <c r="I39" s="51" t="n"/>
      <c r="J39" s="51" t="n"/>
      <c r="K39" s="51" t="n"/>
      <c r="L39" s="51" t="n"/>
      <c r="M39" s="54" t="n"/>
      <c r="N39" s="53" t="n"/>
      <c r="O39" s="53" t="n"/>
      <c r="P39" s="54" t="n"/>
      <c r="Q39" s="52" t="n"/>
      <c r="R39" s="54" t="n"/>
      <c r="S39" s="53" t="n"/>
      <c r="T39" s="52" t="n"/>
      <c r="U39" s="52" t="n"/>
      <c r="V39" s="55" t="str">
        <f>IF(B39="","",IF(AND(OR(C39="PERIMETRAL",C39="VOLADO"),ISNUMBER(E39),ISNUMBER(F39),E39&gt;0,F39&gt;0,OR(ISNUMBER(O39),ISNUMBER(MATCH(D39,DATOS!$B$46:$B$55,0)))),"SÍ","NO"))</f>
        <v/>
      </c>
      <c r="W39" s="57" t="str">
        <f>IF(V39&lt;&gt;"SÍ","",IF(ISNUMBER(M39),M39,DATOS!$C$134))</f>
        <v/>
      </c>
      <c r="X39" s="55" t="str">
        <f>IF(V39&lt;&gt;"SÍ","",IF(C39&lt;&gt;"VOLADO","—",IF(COUNTIF(G39:J39,"CONTINUO")&lt;&gt;1,"?",IF(G39="CONTINUO","INFERIOR",IF(H39="CONTINUO","SUPERIOR",IF(I39="CONTINUO","IZQUIERDO","DERECHO"))))))</f>
        <v/>
      </c>
      <c r="Y39" s="55" t="str">
        <f>IF(V39&lt;&gt;"SÍ","",IF(C39="VOLADO",IF(OR(X39="IZQUIERDO",X39="DERECHO"),"X","Y"),IF(E39&lt;=F39,"X","Y")))</f>
        <v/>
      </c>
      <c r="Z39" s="56" t="str">
        <f>IF(V39&lt;&gt;"SÍ","",IF(C39="VOLADO",IF(Y39="X",E39,F39),MIN(E39,F39)))</f>
        <v/>
      </c>
      <c r="AA39" s="56" t="str">
        <f>IF(V39&lt;&gt;"SÍ","",IF(C39="VOLADO",IF(Y39="X",F39,E39),MAX(E39,F39)))</f>
        <v/>
      </c>
      <c r="AB39" s="56" t="str">
        <f>IF(V39&lt;&gt;"SÍ","",MIN(Z39,AA39)/MAX(Z39,AA39))</f>
        <v/>
      </c>
      <c r="AC39" s="57" t="str">
        <f>IF(V39&lt;&gt;"SÍ","",MAX(1,Z39*100-IF(C39="VOLADO",DATOS!$C$84/2,DATOS!$C$84)))</f>
        <v/>
      </c>
      <c r="AD39" s="57" t="str">
        <f>IF(V39&lt;&gt;"SÍ","",MAX(1,AA39*100-DATOS!$C$84))</f>
        <v/>
      </c>
      <c r="AE39" s="57" t="str">
        <f>IF(V39&lt;&gt;"SÍ","",IF(C39="VOLADO",DATOS!$C$61,DATOS!$C$59))</f>
        <v/>
      </c>
      <c r="AF39" s="57" t="str">
        <f>IF(V39&lt;&gt;"SÍ","",IF(OR(AND(AG39="SÍ",DATOS!$C$63="SÍ"),AND(C39="VOLADO",DATOS!$C$64="SÍ")),DATOS!$C$61,DATOS!$C$59))</f>
        <v/>
      </c>
      <c r="AG39" s="55" t="str">
        <f>IF(V39&lt;&gt;"SÍ","",IFERROR(INDEX(DATOS!$D$46:$D$55,MATCH(D39,DATOS!$B$46:$B$55,0)),"NO"))</f>
        <v/>
      </c>
      <c r="AH39" s="59" t="str">
        <f>IF(V39&lt;&gt;"SÍ","",IF(ISNUMBER(O39),O39,IFERROR(INDEX(DATOS!$C$46:$C$55,MATCH(D39,DATOS!$B$46:$B$55,0)),0)))</f>
        <v/>
      </c>
      <c r="AI39" s="59" t="str">
        <f>IF(V39&lt;&gt;"SÍ","",W39/100*DATOS!$C$16*1000+DATOS!$C$37+DATOS!$C$38)</f>
        <v/>
      </c>
      <c r="AJ39" s="59" t="str">
        <f>IF(V39&lt;&gt;"SÍ","",AI39+N(N39))</f>
        <v/>
      </c>
      <c r="AK39" s="60" t="str">
        <f>IF(V39&lt;&gt;"SÍ","",MAX(DATOS!$C$26*AJ39+DATOS!$C$27*AH39,IF(AG39="SÍ",DATOS!$C$28*(AJ39+DATOS!$C$41),0)))</f>
        <v/>
      </c>
      <c r="AL39" s="59" t="str">
        <f>IF(V39&lt;&gt;"SÍ","",(G39="DISCONTINUO")+(H39="DISCONTINUO")+(I39="DISCONTINUO")+(J39="DISCONTINUO"))</f>
        <v/>
      </c>
      <c r="AM39" s="59" t="str">
        <f>IF(V39&lt;&gt;"SÍ","",IF(Y39="X",(G39="DISCONTINUO")+(H39="DISCONTINUO"),(I39="DISCONTINUO")+(J39="DISCONTINUO")))</f>
        <v/>
      </c>
      <c r="AN39" s="55" t="str">
        <f>IF(V39&lt;&gt;"SÍ","",IF(AL39=0,"INTERIOR",IF(AL39=1,IF(AM39=1,"BORDE-CORTO","BORDE-LARGO"),IF(AL39=2,IF(AM39=1,"ESQUINA",IF(AM39=2,"EXTREMO-LARGO","EXTREMO-CORTO")),IF(AL39=3,IF(AM39=2,"EXTREMO-LARGO","EXTREMO-CORTO"),"AISLADO")))))</f>
        <v/>
      </c>
      <c r="AO39" s="61" t="str">
        <f>IF(V39&lt;&gt;"SÍ","",IF(OR(K39="",K39="AUTO"),AN39,K39))</f>
        <v/>
      </c>
      <c r="AP39" s="59" t="str">
        <f>IF(V39&lt;&gt;"SÍ","",MATCH(AB39,TABLAS!$D$5:$J$5,1))</f>
        <v/>
      </c>
      <c r="AQ39" s="58" t="str">
        <f>IF(V39&lt;&gt;"SÍ","",IF(AP39&gt;=7,0,(AB39-INDEX(TABLAS!$D$5:$J$5,AP39))/(INDEX(TABLAS!$D$5:$J$5,AP39+1)-INDEX(TABLAS!$D$5:$J$5,AP39))))</f>
        <v/>
      </c>
      <c r="AR39" s="59" t="str">
        <f>IF(V39&lt;&gt;"SÍ","",INDEX(TABLAS!$D$6:$J$47,MATCH(AO39&amp;"|NIC",TABLAS!$B$6:$B$47,0),AP39)+AQ39*(INDEX(TABLAS!$D$6:$J$47,MATCH(AO39&amp;"|NIC",TABLAS!$B$6:$B$47,0),MIN(AP39+1,7))-INDEX(TABLAS!$D$6:$J$47,MATCH(AO39&amp;"|NIC",TABLAS!$B$6:$B$47,0),AP39)))</f>
        <v/>
      </c>
      <c r="AS39" s="59" t="str">
        <f>IF(V39&lt;&gt;"SÍ","",INDEX(TABLAS!$D$6:$J$47,MATCH(AO39&amp;"|NIL",TABLAS!$B$6:$B$47,0),AP39)+AQ39*(INDEX(TABLAS!$D$6:$J$47,MATCH(AO39&amp;"|NIL",TABLAS!$B$6:$B$47,0),MIN(AP39+1,7))-INDEX(TABLAS!$D$6:$J$47,MATCH(AO39&amp;"|NIL",TABLAS!$B$6:$B$47,0),AP39)))</f>
        <v/>
      </c>
      <c r="AT39" s="59" t="str">
        <f>IF(V39&lt;&gt;"SÍ","",INDEX(TABLAS!$D$6:$J$47,MATCH(AO39&amp;"|NDC",TABLAS!$B$6:$B$47,0),AP39)+AQ39*(INDEX(TABLAS!$D$6:$J$47,MATCH(AO39&amp;"|NDC",TABLAS!$B$6:$B$47,0),MIN(AP39+1,7))-INDEX(TABLAS!$D$6:$J$47,MATCH(AO39&amp;"|NDC",TABLAS!$B$6:$B$47,0),AP39)))</f>
        <v/>
      </c>
      <c r="AU39" s="59" t="str">
        <f>IF(V39&lt;&gt;"SÍ","",INDEX(TABLAS!$D$6:$J$47,MATCH(AO39&amp;"|NDL",TABLAS!$B$6:$B$47,0),AP39)+AQ39*(INDEX(TABLAS!$D$6:$J$47,MATCH(AO39&amp;"|NDL",TABLAS!$B$6:$B$47,0),MIN(AP39+1,7))-INDEX(TABLAS!$D$6:$J$47,MATCH(AO39&amp;"|NDL",TABLAS!$B$6:$B$47,0),AP39)))</f>
        <v/>
      </c>
      <c r="AV39" s="59" t="str">
        <f>IF(V39&lt;&gt;"SÍ","",INDEX(TABLAS!$D$6:$J$47,MATCH(AO39&amp;"|PC",TABLAS!$B$6:$B$47,0),AP39)+AQ39*(INDEX(TABLAS!$D$6:$J$47,MATCH(AO39&amp;"|PC",TABLAS!$B$6:$B$47,0),MIN(AP39+1,7))-INDEX(TABLAS!$D$6:$J$47,MATCH(AO39&amp;"|PC",TABLAS!$B$6:$B$47,0),AP39)))</f>
        <v/>
      </c>
      <c r="AW39" s="59" t="str">
        <f>IF(V39&lt;&gt;"SÍ","",INDEX(TABLAS!$D$6:$J$47,MATCH(AO39&amp;"|PL",TABLAS!$B$6:$B$47,0),AP39)+AQ39*(INDEX(TABLAS!$D$6:$J$47,MATCH(AO39&amp;"|PL",TABLAS!$B$6:$B$47,0),MIN(AP39+1,7))-INDEX(TABLAS!$D$6:$J$47,MATCH(AO39&amp;"|PL",TABLAS!$B$6:$B$47,0),AP39)))</f>
        <v/>
      </c>
      <c r="AX39" s="56" t="str">
        <f>IF(V39&lt;&gt;"SÍ","",IF(C39="PERIMETRAL",AV39*AK39*Z39^2*1E-4/1000,0))</f>
        <v/>
      </c>
      <c r="AY39" s="62" t="str">
        <f>IF(V39&lt;&gt;"SÍ","",IF(C39="PERIMETRAL",MAX(MAX(AR39,AT39)*AK39*Z39^2*1E-4/1000,N(T39)),(AK39*(AC39/100)^2/2+DATOS!$C$26*N(P39)*AC39/100)/1000))</f>
        <v/>
      </c>
      <c r="AZ39" s="56" t="str">
        <f>IF(V39&lt;&gt;"SÍ","",IF(C39="PERIMETRAL",AW39*AK39*Z39^2*1E-4/1000,0))</f>
        <v/>
      </c>
      <c r="BA39" s="56" t="str">
        <f>IF(V39&lt;&gt;"SÍ","",IF(C39="PERIMETRAL",MAX(MAX(AS39,AU39)*AK39*Z39^2*1E-4/1000,N(U39)),0))</f>
        <v/>
      </c>
      <c r="BB39" s="63" t="str">
        <f>IF(V39&lt;&gt;"SÍ","",IF(C39&lt;&gt;"PERIMETRAL","—",IF(AND(N(T39)=0,N(U39)=0),"— (sin M⁻ del vecino)",IF(OR(AND(N(T39)&gt;0,ABS(MAX(AR39,AT39)*AK39*Z39^2*1E-4/1000-N(T39))&gt;0.5*MIN(MAX(AR39,AT39)*AK39*Z39^2*1E-4/1000,N(T39))),AND(N(U39)&gt;0,ABS(MAX(AS39,AU39)*AK39*Z39^2*1E-4/1000-N(U39))&gt;0.5*MIN(MAX(AS39,AU39)*AK39*Z39^2*1E-4/1000,N(U39)))),"FUERA: difieren &gt; 50 %"&amp;IF(AND(N(T39)&gt;0,ABS(MAX(AR39,AT39)*AK39*Z39^2*1E-4/1000-N(T39))&gt;0.5*MIN(MAX(AR39,AT39)*AK39*Z39^2*1E-4/1000,N(T39)))," ‖ corto","")&amp;IF(AND(N(U39)&gt;0,ABS(MAX(AS39,AU39)*AK39*Z39^2*1E-4/1000-N(U39))&gt;0.5*MIN(MAX(AS39,AU39)*AK39*Z39^2*1E-4/1000,N(U39)))," ‖ largo",""),"CUMPLE"))))</f>
        <v/>
      </c>
      <c r="BC39" s="58" t="str">
        <f>IF(V39&lt;&gt;"SÍ","",DATOS!$C$136*100*W39)</f>
        <v/>
      </c>
      <c r="BD39" s="57" t="str">
        <f>IF(V39&lt;&gt;"SÍ","",MIN(IF(C39="VOLADO",DATOS!$C$138,DATOS!$C$137)*W39,DATOS!$C$139))</f>
        <v/>
      </c>
      <c r="BE39" s="58" t="str">
        <f>IF(V39&lt;&gt;"SÍ","",(W39-AE39-INDEX(TABLAS!$C$52:$C$58,MATCH(IF(ISNUMBER(S39),S39,DATOS!$C$135),TABLAS!$B$52:$B$58,0))/2))</f>
        <v/>
      </c>
      <c r="BF39" s="58" t="str">
        <f>IF(V39&lt;&gt;"SÍ","",IF(AX39&lt;=0,0,IF((1-2*AX39*1E5/(DATOS!$C$29*100*BE39^2*DATOS!$C$21))&lt;0,-1,IF((1-SQRT((1-2*AX39*1E5/(DATOS!$C$29*100*BE39^2*DATOS!$C$21))))*DATOS!$C$21*100*BE39/DATOS!$C$14&gt;DATOS!$C$99*100*BE39,-1,(1-SQRT((1-2*AX39*1E5/(DATOS!$C$29*100*BE39^2*DATOS!$C$21))))*DATOS!$C$21*100*BE39/DATOS!$C$14))))</f>
        <v/>
      </c>
      <c r="BG39" s="58" t="str">
        <f>IF(V39&lt;&gt;"SÍ","",IF(BF39&lt;0,-1,MAX(BF39,BC39)))</f>
        <v/>
      </c>
      <c r="BH39" s="64" t="str">
        <f>IF(V39&lt;&gt;"SÍ","",IF(AND(BG39&gt;0,FLOOR(MIN(BD39,100*INDEX(TABLAS!$D$52:$D$58,MIN(MATCH(IF(ISNUMBER(S39),S39,DATOS!$C$135),TABLAS!$B$52:$B$58,0)+0,7))/MAX(BG39,0.0001)),DATOS!$C$141)&gt;=DATOS!$C$140),INDEX(TABLAS!$B$52:$B$58,MIN(MATCH(IF(ISNUMBER(S39),S39,DATOS!$C$135),TABLAS!$B$52:$B$58,0)+0,7)),IF(AND(BG39&gt;0,FLOOR(MIN(BD39,100*INDEX(TABLAS!$D$52:$D$58,MIN(MATCH(IF(ISNUMBER(S39),S39,DATOS!$C$135),TABLAS!$B$52:$B$58,0)+1,7))/MAX(BG39,0.0001)),DATOS!$C$141)&gt;=DATOS!$C$140),INDEX(TABLAS!$B$52:$B$58,MIN(MATCH(IF(ISNUMBER(S39),S39,DATOS!$C$135),TABLAS!$B$52:$B$58,0)+1,7)),IF(AND(BG39&gt;0,FLOOR(MIN(BD39,100*INDEX(TABLAS!$D$52:$D$58,MIN(MATCH(IF(ISNUMBER(S39),S39,DATOS!$C$135),TABLAS!$B$52:$B$58,0)+2,7))/MAX(BG39,0.0001)),DATOS!$C$141)&gt;=DATOS!$C$140),INDEX(TABLAS!$B$52:$B$58,MIN(MATCH(IF(ISNUMBER(S39),S39,DATOS!$C$135),TABLAS!$B$52:$B$58,0)+2,7)),IF(AND(BG39&gt;0,FLOOR(MIN(BD39,100*INDEX(TABLAS!$D$52:$D$58,MIN(MATCH(IF(ISNUMBER(S39),S39,DATOS!$C$135),TABLAS!$B$52:$B$58,0)+3,7))/MAX(BG39,0.0001)),DATOS!$C$141)&gt;=DATOS!$C$140),INDEX(TABLAS!$B$52:$B$58,MIN(MATCH(IF(ISNUMBER(S39),S39,DATOS!$C$135),TABLAS!$B$52:$B$58,0)+3,7)),IF(AND(BG39&gt;0,FLOOR(MIN(BD39,100*INDEX(TABLAS!$D$52:$D$58,MIN(MATCH(IF(ISNUMBER(S39),S39,DATOS!$C$135),TABLAS!$B$52:$B$58,0)+4,7))/MAX(BG39,0.0001)),DATOS!$C$141)&gt;=DATOS!$C$140),INDEX(TABLAS!$B$52:$B$58,MIN(MATCH(IF(ISNUMBER(S39),S39,DATOS!$C$135),TABLAS!$B$52:$B$58,0)+4,7)),INDEX(TABLAS!$B$52:$B$58,7)))))))</f>
        <v/>
      </c>
      <c r="BI39" s="71" t="str">
        <f>IF(V39&lt;&gt;"SÍ","",IF(BG39&lt;=0,0,FLOOR(MIN(BD39,100*INDEX(TABLAS!$D$52:$D$58,MATCH(BH39,TABLAS!$B$52:$B$58,0))/BG39),DATOS!$C$141)))</f>
        <v/>
      </c>
      <c r="BJ39" s="58" t="str">
        <f>IF(V39&lt;&gt;"SÍ","",IF(BI39&lt;=0,0,INDEX(TABLAS!$D$52:$D$58,MATCH(BH39,TABLAS!$B$52:$B$58,0))*100/BI39))</f>
        <v/>
      </c>
      <c r="BK39" s="58" t="str">
        <f>IF(V39&lt;&gt;"SÍ","",W39-AE39-INDEX(TABLAS!$C$52:$C$58,MATCH(BH39,TABLAS!$B$52:$B$58,0))/2)</f>
        <v/>
      </c>
      <c r="BL39" s="56" t="str">
        <f>IF(V39&lt;&gt;"SÍ","",IF(BJ39=0,0,DATOS!$C$29*BJ39*DATOS!$C$14*(BK39-BJ39*DATOS!$C$14/(DATOS!$C$21*100)/2)/1E5))</f>
        <v/>
      </c>
      <c r="BM39" s="65" t="str">
        <f>IF(V39&lt;&gt;"SÍ","",IF(BG39&lt;0,9.99,IF(BL39&gt;0,AX39/BL39,0)))</f>
        <v/>
      </c>
      <c r="BN39" s="66" t="str">
        <f>IF(V39&lt;&gt;"SÍ","",IF(BJ39=0,"—",0.003*(BK39-(BJ39*DATOS!$C$14/(DATOS!$C$21*100)/DATOS!$C$22))/(BJ39*DATOS!$C$14/(DATOS!$C$21*100)/DATOS!$C$22)))</f>
        <v/>
      </c>
      <c r="BO39" s="58" t="str">
        <f>IF(V39&lt;&gt;"SÍ","",((W39-AF39-INDEX(TABLAS!$C$52:$C$58,MATCH(IF(ISNUMBER(S39),S39,DATOS!$C$135),TABLAS!$B$52:$B$58,0))/2)-IF(AND((W39-AF39-INDEX(TABLAS!$C$52:$C$58,MATCH(IF(ISNUMBER(S39),S39,DATOS!$C$135),TABLAS!$B$52:$B$58,0))/2)&lt;=20,DATOS!$C$62&lt;&gt;"SÍ"),2,0)))</f>
        <v/>
      </c>
      <c r="BP39" s="58" t="str">
        <f>IF(V39&lt;&gt;"SÍ","",IF(AY39&lt;=0,0,IF((1-2*AY39*1E5/(DATOS!$C$29*100*BO39^2*DATOS!$C$21))&lt;0,-1,IF((1-SQRT((1-2*AY39*1E5/(DATOS!$C$29*100*BO39^2*DATOS!$C$21))))*DATOS!$C$21*100*BO39/DATOS!$C$14&gt;DATOS!$C$99*100*BO39,-1,(1-SQRT((1-2*AY39*1E5/(DATOS!$C$29*100*BO39^2*DATOS!$C$21))))*DATOS!$C$21*100*BO39/DATOS!$C$14))))</f>
        <v/>
      </c>
      <c r="BQ39" s="58" t="str">
        <f>IF(V39&lt;&gt;"SÍ","",IF(BP39&lt;0,-1,MAX(BP39,BC39)))</f>
        <v/>
      </c>
      <c r="BR39" s="64" t="str">
        <f>IF(V39&lt;&gt;"SÍ","",IF(AND(BQ39&gt;0,FLOOR(MIN(BD39,100*INDEX(TABLAS!$D$52:$D$58,MIN(MATCH(IF(ISNUMBER(S39),S39,DATOS!$C$135),TABLAS!$B$52:$B$58,0)+0,7))/MAX(BQ39,0.0001)),DATOS!$C$141)&gt;=DATOS!$C$140),INDEX(TABLAS!$B$52:$B$58,MIN(MATCH(IF(ISNUMBER(S39),S39,DATOS!$C$135),TABLAS!$B$52:$B$58,0)+0,7)),IF(AND(BQ39&gt;0,FLOOR(MIN(BD39,100*INDEX(TABLAS!$D$52:$D$58,MIN(MATCH(IF(ISNUMBER(S39),S39,DATOS!$C$135),TABLAS!$B$52:$B$58,0)+1,7))/MAX(BQ39,0.0001)),DATOS!$C$141)&gt;=DATOS!$C$140),INDEX(TABLAS!$B$52:$B$58,MIN(MATCH(IF(ISNUMBER(S39),S39,DATOS!$C$135),TABLAS!$B$52:$B$58,0)+1,7)),IF(AND(BQ39&gt;0,FLOOR(MIN(BD39,100*INDEX(TABLAS!$D$52:$D$58,MIN(MATCH(IF(ISNUMBER(S39),S39,DATOS!$C$135),TABLAS!$B$52:$B$58,0)+2,7))/MAX(BQ39,0.0001)),DATOS!$C$141)&gt;=DATOS!$C$140),INDEX(TABLAS!$B$52:$B$58,MIN(MATCH(IF(ISNUMBER(S39),S39,DATOS!$C$135),TABLAS!$B$52:$B$58,0)+2,7)),IF(AND(BQ39&gt;0,FLOOR(MIN(BD39,100*INDEX(TABLAS!$D$52:$D$58,MIN(MATCH(IF(ISNUMBER(S39),S39,DATOS!$C$135),TABLAS!$B$52:$B$58,0)+3,7))/MAX(BQ39,0.0001)),DATOS!$C$141)&gt;=DATOS!$C$140),INDEX(TABLAS!$B$52:$B$58,MIN(MATCH(IF(ISNUMBER(S39),S39,DATOS!$C$135),TABLAS!$B$52:$B$58,0)+3,7)),IF(AND(BQ39&gt;0,FLOOR(MIN(BD39,100*INDEX(TABLAS!$D$52:$D$58,MIN(MATCH(IF(ISNUMBER(S39),S39,DATOS!$C$135),TABLAS!$B$52:$B$58,0)+4,7))/MAX(BQ39,0.0001)),DATOS!$C$141)&gt;=DATOS!$C$140),INDEX(TABLAS!$B$52:$B$58,MIN(MATCH(IF(ISNUMBER(S39),S39,DATOS!$C$135),TABLAS!$B$52:$B$58,0)+4,7)),INDEX(TABLAS!$B$52:$B$58,7)))))))</f>
        <v/>
      </c>
      <c r="BS39" s="71" t="str">
        <f>IF(V39&lt;&gt;"SÍ","",IF(BQ39&lt;=0,0,FLOOR(MIN(BD39,100*INDEX(TABLAS!$D$52:$D$58,MATCH(BR39,TABLAS!$B$52:$B$58,0))/BQ39),DATOS!$C$141)))</f>
        <v/>
      </c>
      <c r="BT39" s="58" t="str">
        <f>IF(V39&lt;&gt;"SÍ","",IF(BS39&lt;=0,0,INDEX(TABLAS!$D$52:$D$58,MATCH(BR39,TABLAS!$B$52:$B$58,0))*100/BS39))</f>
        <v/>
      </c>
      <c r="BU39" s="58" t="str">
        <f>IF(V39&lt;&gt;"SÍ","",((W39-AF39-INDEX(TABLAS!$C$52:$C$58,MATCH(BR39,TABLAS!$B$52:$B$58,0))/2)-IF(AND((W39-AF39-INDEX(TABLAS!$C$52:$C$58,MATCH(BR39,TABLAS!$B$52:$B$58,0))/2)&lt;=20,DATOS!$C$62&lt;&gt;"SÍ"),2,0)))</f>
        <v/>
      </c>
      <c r="BV39" s="56" t="str">
        <f>IF(V39&lt;&gt;"SÍ","",IF(BT39=0,0,DATOS!$C$29*BT39*DATOS!$C$14*(BU39-BT39*DATOS!$C$14/(DATOS!$C$21*100)/2)/1E5))</f>
        <v/>
      </c>
      <c r="BW39" s="65" t="str">
        <f>IF(V39&lt;&gt;"SÍ","",IF(BQ39&lt;0,9.99,IF(BV39&gt;0,AY39/BV39,0)))</f>
        <v/>
      </c>
      <c r="BX39" s="66" t="str">
        <f>IF(V39&lt;&gt;"SÍ","",IF(BT39=0,"—",0.003*(BU39-(BT39*DATOS!$C$14/(DATOS!$C$21*100)/DATOS!$C$22))/(BT39*DATOS!$C$14/(DATOS!$C$21*100)/DATOS!$C$22)))</f>
        <v/>
      </c>
      <c r="BY39" s="58" t="str">
        <f>IF(V39&lt;&gt;"SÍ","",(W39-AE39-1.5*INDEX(TABLAS!$C$52:$C$58,MATCH(IF(ISNUMBER(S39),S39,DATOS!$C$135),TABLAS!$B$52:$B$58,0))))</f>
        <v/>
      </c>
      <c r="BZ39" s="58" t="str">
        <f>IF(V39&lt;&gt;"SÍ","",IF(AZ39&lt;=0,0,IF((1-2*AZ39*1E5/(DATOS!$C$29*100*BY39^2*DATOS!$C$21))&lt;0,-1,IF((1-SQRT((1-2*AZ39*1E5/(DATOS!$C$29*100*BY39^2*DATOS!$C$21))))*DATOS!$C$21*100*BY39/DATOS!$C$14&gt;DATOS!$C$99*100*BY39,-1,(1-SQRT((1-2*AZ39*1E5/(DATOS!$C$29*100*BY39^2*DATOS!$C$21))))*DATOS!$C$21*100*BY39/DATOS!$C$14))))</f>
        <v/>
      </c>
      <c r="CA39" s="58" t="str">
        <f>IF(V39&lt;&gt;"SÍ","",IF(BZ39&lt;0,-1,MAX(BZ39,BC39)))</f>
        <v/>
      </c>
      <c r="CB39" s="64" t="str">
        <f>IF(V39&lt;&gt;"SÍ","",IF(AND(CA39&gt;0,FLOOR(MIN(BD39,100*INDEX(TABLAS!$D$52:$D$58,MIN(MATCH(IF(ISNUMBER(S39),S39,DATOS!$C$135),TABLAS!$B$52:$B$58,0)+0,7))/MAX(CA39,0.0001)),DATOS!$C$141)&gt;=DATOS!$C$140),INDEX(TABLAS!$B$52:$B$58,MIN(MATCH(IF(ISNUMBER(S39),S39,DATOS!$C$135),TABLAS!$B$52:$B$58,0)+0,7)),IF(AND(CA39&gt;0,FLOOR(MIN(BD39,100*INDEX(TABLAS!$D$52:$D$58,MIN(MATCH(IF(ISNUMBER(S39),S39,DATOS!$C$135),TABLAS!$B$52:$B$58,0)+1,7))/MAX(CA39,0.0001)),DATOS!$C$141)&gt;=DATOS!$C$140),INDEX(TABLAS!$B$52:$B$58,MIN(MATCH(IF(ISNUMBER(S39),S39,DATOS!$C$135),TABLAS!$B$52:$B$58,0)+1,7)),IF(AND(CA39&gt;0,FLOOR(MIN(BD39,100*INDEX(TABLAS!$D$52:$D$58,MIN(MATCH(IF(ISNUMBER(S39),S39,DATOS!$C$135),TABLAS!$B$52:$B$58,0)+2,7))/MAX(CA39,0.0001)),DATOS!$C$141)&gt;=DATOS!$C$140),INDEX(TABLAS!$B$52:$B$58,MIN(MATCH(IF(ISNUMBER(S39),S39,DATOS!$C$135),TABLAS!$B$52:$B$58,0)+2,7)),IF(AND(CA39&gt;0,FLOOR(MIN(BD39,100*INDEX(TABLAS!$D$52:$D$58,MIN(MATCH(IF(ISNUMBER(S39),S39,DATOS!$C$135),TABLAS!$B$52:$B$58,0)+3,7))/MAX(CA39,0.0001)),DATOS!$C$141)&gt;=DATOS!$C$140),INDEX(TABLAS!$B$52:$B$58,MIN(MATCH(IF(ISNUMBER(S39),S39,DATOS!$C$135),TABLAS!$B$52:$B$58,0)+3,7)),IF(AND(CA39&gt;0,FLOOR(MIN(BD39,100*INDEX(TABLAS!$D$52:$D$58,MIN(MATCH(IF(ISNUMBER(S39),S39,DATOS!$C$135),TABLAS!$B$52:$B$58,0)+4,7))/MAX(CA39,0.0001)),DATOS!$C$141)&gt;=DATOS!$C$140),INDEX(TABLAS!$B$52:$B$58,MIN(MATCH(IF(ISNUMBER(S39),S39,DATOS!$C$135),TABLAS!$B$52:$B$58,0)+4,7)),INDEX(TABLAS!$B$52:$B$58,7)))))))</f>
        <v/>
      </c>
      <c r="CC39" s="71" t="str">
        <f>IF(V39&lt;&gt;"SÍ","",IF(CA39&lt;=0,0,FLOOR(MIN(BD39,100*INDEX(TABLAS!$D$52:$D$58,MATCH(CB39,TABLAS!$B$52:$B$58,0))/CA39),DATOS!$C$141)))</f>
        <v/>
      </c>
      <c r="CD39" s="58" t="str">
        <f>IF(V39&lt;&gt;"SÍ","",IF(CC39&lt;=0,0,INDEX(TABLAS!$D$52:$D$58,MATCH(CB39,TABLAS!$B$52:$B$58,0))*100/CC39))</f>
        <v/>
      </c>
      <c r="CE39" s="58" t="str">
        <f>IF(V39&lt;&gt;"SÍ","",W39-AE39-INDEX(TABLAS!$C$52:$C$58,MATCH(BH39,TABLAS!$B$52:$B$58,0))-INDEX(TABLAS!$C$52:$C$58,MATCH(CB39,TABLAS!$B$52:$B$58,0))/2)</f>
        <v/>
      </c>
      <c r="CF39" s="56" t="str">
        <f>IF(V39&lt;&gt;"SÍ","",IF(CD39=0,0,DATOS!$C$29*CD39*DATOS!$C$14*(CE39-CD39*DATOS!$C$14/(DATOS!$C$21*100)/2)/1E5))</f>
        <v/>
      </c>
      <c r="CG39" s="65" t="str">
        <f>IF(V39&lt;&gt;"SÍ","",IF(CA39&lt;0,9.99,IF(CF39&gt;0,AZ39/CF39,0)))</f>
        <v/>
      </c>
      <c r="CH39" s="66" t="str">
        <f>IF(V39&lt;&gt;"SÍ","",IF(CD39=0,"—",0.003*(CE39-(CD39*DATOS!$C$14/(DATOS!$C$21*100)/DATOS!$C$22))/(CD39*DATOS!$C$14/(DATOS!$C$21*100)/DATOS!$C$22)))</f>
        <v/>
      </c>
      <c r="CI39" s="58" t="str">
        <f>IF(V39&lt;&gt;"SÍ","",((W39-AF39-1.5*INDEX(TABLAS!$C$52:$C$58,MATCH(IF(ISNUMBER(S39),S39,DATOS!$C$135),TABLAS!$B$52:$B$58,0)))-IF(AND((W39-AF39-1.5*INDEX(TABLAS!$C$52:$C$58,MATCH(IF(ISNUMBER(S39),S39,DATOS!$C$135),TABLAS!$B$52:$B$58,0)))&lt;=20,DATOS!$C$62&lt;&gt;"SÍ"),2,0)))</f>
        <v/>
      </c>
      <c r="CJ39" s="58" t="str">
        <f>IF(V39&lt;&gt;"SÍ","",IF(BA39&lt;=0,0,IF((1-2*BA39*1E5/(DATOS!$C$29*100*CI39^2*DATOS!$C$21))&lt;0,-1,IF((1-SQRT((1-2*BA39*1E5/(DATOS!$C$29*100*CI39^2*DATOS!$C$21))))*DATOS!$C$21*100*CI39/DATOS!$C$14&gt;DATOS!$C$99*100*CI39,-1,(1-SQRT((1-2*BA39*1E5/(DATOS!$C$29*100*CI39^2*DATOS!$C$21))))*DATOS!$C$21*100*CI39/DATOS!$C$14))))</f>
        <v/>
      </c>
      <c r="CK39" s="58" t="str">
        <f>IF(V39&lt;&gt;"SÍ","",IF(CJ39&lt;0,-1,MAX(CJ39,BC39)))</f>
        <v/>
      </c>
      <c r="CL39" s="64" t="str">
        <f>IF(V39&lt;&gt;"SÍ","",IF(AND(CK39&gt;0,FLOOR(MIN(BD39,100*INDEX(TABLAS!$D$52:$D$58,MIN(MATCH(IF(ISNUMBER(S39),S39,DATOS!$C$135),TABLAS!$B$52:$B$58,0)+0,7))/MAX(CK39,0.0001)),DATOS!$C$141)&gt;=DATOS!$C$140),INDEX(TABLAS!$B$52:$B$58,MIN(MATCH(IF(ISNUMBER(S39),S39,DATOS!$C$135),TABLAS!$B$52:$B$58,0)+0,7)),IF(AND(CK39&gt;0,FLOOR(MIN(BD39,100*INDEX(TABLAS!$D$52:$D$58,MIN(MATCH(IF(ISNUMBER(S39),S39,DATOS!$C$135),TABLAS!$B$52:$B$58,0)+1,7))/MAX(CK39,0.0001)),DATOS!$C$141)&gt;=DATOS!$C$140),INDEX(TABLAS!$B$52:$B$58,MIN(MATCH(IF(ISNUMBER(S39),S39,DATOS!$C$135),TABLAS!$B$52:$B$58,0)+1,7)),IF(AND(CK39&gt;0,FLOOR(MIN(BD39,100*INDEX(TABLAS!$D$52:$D$58,MIN(MATCH(IF(ISNUMBER(S39),S39,DATOS!$C$135),TABLAS!$B$52:$B$58,0)+2,7))/MAX(CK39,0.0001)),DATOS!$C$141)&gt;=DATOS!$C$140),INDEX(TABLAS!$B$52:$B$58,MIN(MATCH(IF(ISNUMBER(S39),S39,DATOS!$C$135),TABLAS!$B$52:$B$58,0)+2,7)),IF(AND(CK39&gt;0,FLOOR(MIN(BD39,100*INDEX(TABLAS!$D$52:$D$58,MIN(MATCH(IF(ISNUMBER(S39),S39,DATOS!$C$135),TABLAS!$B$52:$B$58,0)+3,7))/MAX(CK39,0.0001)),DATOS!$C$141)&gt;=DATOS!$C$140),INDEX(TABLAS!$B$52:$B$58,MIN(MATCH(IF(ISNUMBER(S39),S39,DATOS!$C$135),TABLAS!$B$52:$B$58,0)+3,7)),IF(AND(CK39&gt;0,FLOOR(MIN(BD39,100*INDEX(TABLAS!$D$52:$D$58,MIN(MATCH(IF(ISNUMBER(S39),S39,DATOS!$C$135),TABLAS!$B$52:$B$58,0)+4,7))/MAX(CK39,0.0001)),DATOS!$C$141)&gt;=DATOS!$C$140),INDEX(TABLAS!$B$52:$B$58,MIN(MATCH(IF(ISNUMBER(S39),S39,DATOS!$C$135),TABLAS!$B$52:$B$58,0)+4,7)),INDEX(TABLAS!$B$52:$B$58,7)))))))</f>
        <v/>
      </c>
      <c r="CM39" s="71" t="str">
        <f>IF(V39&lt;&gt;"SÍ","",IF(CK39&lt;=0,0,FLOOR(MIN(BD39,100*INDEX(TABLAS!$D$52:$D$58,MATCH(CL39,TABLAS!$B$52:$B$58,0))/CK39),DATOS!$C$141)))</f>
        <v/>
      </c>
      <c r="CN39" s="58" t="str">
        <f>IF(V39&lt;&gt;"SÍ","",IF(CM39&lt;=0,0,INDEX(TABLAS!$D$52:$D$58,MATCH(CL39,TABLAS!$B$52:$B$58,0))*100/CM39))</f>
        <v/>
      </c>
      <c r="CO39" s="58" t="str">
        <f>IF(V39&lt;&gt;"SÍ","",((W39-AF39-INDEX(TABLAS!$C$52:$C$58,MATCH(BR39,TABLAS!$B$52:$B$58,0))-INDEX(TABLAS!$C$52:$C$58,MATCH(CL39,TABLAS!$B$52:$B$58,0))/2)-IF(AND((W39-AF39-INDEX(TABLAS!$C$52:$C$58,MATCH(BR39,TABLAS!$B$52:$B$58,0))-INDEX(TABLAS!$C$52:$C$58,MATCH(CL39,TABLAS!$B$52:$B$58,0))/2)&lt;=20,DATOS!$C$62&lt;&gt;"SÍ"),2,0)))</f>
        <v/>
      </c>
      <c r="CP39" s="56" t="str">
        <f>IF(V39&lt;&gt;"SÍ","",IF(CN39=0,0,DATOS!$C$29*CN39*DATOS!$C$14*(CO39-CN39*DATOS!$C$14/(DATOS!$C$21*100)/2)/1E5))</f>
        <v/>
      </c>
      <c r="CQ39" s="65" t="str">
        <f>IF(V39&lt;&gt;"SÍ","",IF(CK39&lt;0,9.99,IF(CP39&gt;0,BA39/CP39,0)))</f>
        <v/>
      </c>
      <c r="CR39" s="66" t="str">
        <f>IF(V39&lt;&gt;"SÍ","",IF(CN39=0,"—",0.003*(CO39-(CN39*DATOS!$C$14/(DATOS!$C$21*100)/DATOS!$C$22))/(CN39*DATOS!$C$14/(DATOS!$C$21*100)/DATOS!$C$22)))</f>
        <v/>
      </c>
      <c r="CS39" s="56" t="str">
        <f>IF(V39&lt;&gt;"SÍ","",IF(C39="PERIMETRAL",MAX(0,(AC39/2-BU39)/100)*(0.95-0.5*AB39)*AK39*IF(AND(AL39&gt;0,AL39&lt;4),DATOS!$C$33,1)/1000,(AK39*MAX(0,AC39-BU39)/100+DATOS!$C$26*N(P39))/1000))</f>
        <v/>
      </c>
      <c r="CT39" s="66" t="str">
        <f>IF(V39&lt;&gt;"SÍ","",BT39/(100*BU39))</f>
        <v/>
      </c>
      <c r="CU39" s="56" t="str">
        <f>IF(V39&lt;&gt;"SÍ","",DATOS!$C$30*2*MIN(1,SQRT(2/(1+0.04*BU39)))*CT39^(1/3)*SQRT(DATOS!$C$13)*100*BU39/1000)</f>
        <v/>
      </c>
      <c r="CV39" s="67" t="str">
        <f>IF(V39&lt;&gt;"SÍ","",IF(CS39&lt;=CU39,"CUMPLE","NO CUMPLE: sube h"))</f>
        <v/>
      </c>
      <c r="CW39" s="58" t="str">
        <f>IF(V39&lt;&gt;"SÍ","",IF(C39="PERIMETRAL",IF(ISNUMBER(R39),R39,DATOS!$C$101),0))</f>
        <v/>
      </c>
      <c r="CX39" s="57" t="str">
        <f>IF(V39&lt;&gt;"SÍ","",IF(C39="PERIMETRAL",IF(CW39&gt;2,MAX(9,AD39*(0.8+DATOS!$C$14/14000)/(36+9*(AD39/MAX(AC39,1)))),IF(CW39&gt;0.2,MAX(13,AD39*(0.8+DATOS!$C$14/14000)/(36+5*(AD39/MAX(AC39,1))*(CW39-0.2))),MAX(13,AD39/IF(AL39&gt;0,30,33))))*IF(AND(CW39&gt;0.2,AL39&gt;0,DATOS!$C$102="NO"),1.1,1),Z39*100/DATOS!$C$142))</f>
        <v/>
      </c>
      <c r="CY39" s="61" t="str">
        <f>IF(V39&lt;&gt;"SÍ","",IF(W39&gt;=CX39-0.001,"CUMPLE",IF(C39="VOLADO","NO CUMPLE","CALCULAR FLECHA")))</f>
        <v/>
      </c>
      <c r="CZ39" s="60" t="str">
        <f>IF(V39&lt;&gt;"SÍ","",IF(C39="VOLADO",MIN(CEILING(IF(ISNUMBER(Q39),Q39,Z39)*100,5),CEILING(MAX(IF((0.5*(0.9*W39/100*DATOS!$C$16)*IF(ISNUMBER(Q39),Q39,Z39)+AY39/IF(ISNUMBER(Q39),Q39,Z39))^2-4*(0.5*(0.9*W39/100*DATOS!$C$16))*AY39&lt;0,IF(ISNUMBER(Q39),Q39,Z39),MIN(IF(ISNUMBER(Q39),Q39,Z39),((0.5*(0.9*W39/100*DATOS!$C$16)*IF(ISNUMBER(Q39),Q39,Z39)+AY39/IF(ISNUMBER(Q39),Q39,Z39))-SQRT((0.5*(0.9*W39/100*DATOS!$C$16)*IF(ISNUMBER(Q39),Q39,Z39)+AY39/IF(ISNUMBER(Q39),Q39,Z39))^2-4*(0.5*(0.9*W39/100*DATOS!$C$16))*AY39))/(2*(0.5*(0.9*W39/100*DATOS!$C$16)))))*100+MAX(BU39,12*INDEX(TABLAS!$C$52:$C$58,MATCH(BR39,TABLAS!$B$52:$B$58,0)),IF(ISNUMBER(Q39),Q39,Z39)*100/16),IF(OR(AF39&lt;INDEX(TABLAS!$C$52:$C$58,MATCH(BR39,TABLAS!$B$52:$B$58,0)),BS39-INDEX(TABLAS!$C$52:$C$58,MATCH(BR39,TABLAS!$B$52:$B$58,0))&lt;2*INDEX(TABLAS!$C$52:$C$58,MATCH(BR39,TABLAS!$B$52:$B$58,0))),INDEX(TABLAS!$I$52:$I$58,MATCH(BR39,TABLAS!$B$52:$B$58,0)),INDEX(TABLAS!$F$52:$F$58,MATCH(BR39,TABLAS!$B$52:$B$58,0)))),5)),IF(((4*((AV39*AK39*Z39^2*1E-4/1000)+((MAX(AR39,AT39)*AK39*Z39^2*1E-4/1000)+(IF(AND(AR39&gt;0,AT39&gt;0),MIN(AR39,AT39),MAX(AR39,AT39))*AK39*Z39^2*1E-4/1000))/2)+AY39-(IF(AND(AR39&gt;0,AT39&gt;0),MIN(AR39,AT39),MAX(AR39,AT39))*AK39*Z39^2*1E-4/1000))^2-16*((AV39*AK39*Z39^2*1E-4/1000)+((MAX(AR39,AT39)*AK39*Z39^2*1E-4/1000)+(IF(AND(AR39&gt;0,AT39&gt;0),MIN(AR39,AT39),MAX(AR39,AT39))*AK39*Z39^2*1E-4/1000))/2)*AY39)&lt;0,CEILING(AC39,5),CEILING(MAX(AC39*((4*((AV39*AK39*Z39^2*1E-4/1000)+((MAX(AR39,AT39)*AK39*Z39^2*1E-4/1000)+(IF(AND(AR39&gt;0,AT39&gt;0),MIN(AR39,AT39),MAX(AR39,AT39))*AK39*Z39^2*1E-4/1000))/2)+AY39-(IF(AND(AR39&gt;0,AT39&gt;0),MIN(AR39,AT39),MAX(AR39,AT39))*AK39*Z39^2*1E-4/1000))-SQRT(MAX(0,((4*((AV39*AK39*Z39^2*1E-4/1000)+((MAX(AR39,AT39)*AK39*Z39^2*1E-4/1000)+(IF(AND(AR39&gt;0,AT39&gt;0),MIN(AR39,AT39),MAX(AR39,AT39))*AK39*Z39^2*1E-4/1000))/2)+AY39-(IF(AND(AR39&gt;0,AT39&gt;0),MIN(AR39,AT39),MAX(AR39,AT39))*AK39*Z39^2*1E-4/1000))^2-16*((AV39*AK39*Z39^2*1E-4/1000)+((MAX(AR39,AT39)*AK39*Z39^2*1E-4/1000)+(IF(AND(AR39&gt;0,AT39&gt;0),MIN(AR39,AT39),MAX(AR39,AT39))*AK39*Z39^2*1E-4/1000))/2)*AY39))))/(8*MAX(((AV39*AK39*Z39^2*1E-4/1000)+((MAX(AR39,AT39)*AK39*Z39^2*1E-4/1000)+(IF(AND(AR39&gt;0,AT39&gt;0),MIN(AR39,AT39),MAX(AR39,AT39))*AK39*Z39^2*1E-4/1000))/2),1E-9))+MAX(BU39,12*INDEX(TABLAS!$C$52:$C$58,MATCH(BR39,TABLAS!$B$52:$B$58,0)),AC39/16),IF(OR(AF39&lt;INDEX(TABLAS!$C$52:$C$58,MATCH(BR39,TABLAS!$B$52:$B$58,0)),BS39-INDEX(TABLAS!$C$52:$C$58,MATCH(BR39,TABLAS!$B$52:$B$58,0))&lt;2*INDEX(TABLAS!$C$52:$C$58,MATCH(BR39,TABLAS!$B$52:$B$58,0))),INDEX(TABLAS!$I$52:$I$58,MATCH(BR39,TABLAS!$B$52:$B$58,0)),INDEX(TABLAS!$F$52:$F$58,MATCH(BR39,TABLAS!$B$52:$B$58,0)))),5))))</f>
        <v/>
      </c>
      <c r="DA39" s="60" t="str">
        <f>IF(V39&lt;&gt;"SÍ","",IF(C39="VOLADO",0,IF(((4*((AW39*AK39*Z39^2*1E-4/1000)+((MAX(AS39,AU39)*AK39*Z39^2*1E-4/1000)+(IF(AND(AS39&gt;0,AU39&gt;0),MIN(AS39,AU39),MAX(AS39,AU39))*AK39*Z39^2*1E-4/1000))/2)+BA39-(IF(AND(AS39&gt;0,AU39&gt;0),MIN(AS39,AU39),MAX(AS39,AU39))*AK39*Z39^2*1E-4/1000))^2-16*((AW39*AK39*Z39^2*1E-4/1000)+((MAX(AS39,AU39)*AK39*Z39^2*1E-4/1000)+(IF(AND(AS39&gt;0,AU39&gt;0),MIN(AS39,AU39),MAX(AS39,AU39))*AK39*Z39^2*1E-4/1000))/2)*BA39)&lt;0,CEILING(AD39,5),CEILING(MAX(AD39*((4*((AW39*AK39*Z39^2*1E-4/1000)+((MAX(AS39,AU39)*AK39*Z39^2*1E-4/1000)+(IF(AND(AS39&gt;0,AU39&gt;0),MIN(AS39,AU39),MAX(AS39,AU39))*AK39*Z39^2*1E-4/1000))/2)+BA39-(IF(AND(AS39&gt;0,AU39&gt;0),MIN(AS39,AU39),MAX(AS39,AU39))*AK39*Z39^2*1E-4/1000))-SQRT(MAX(0,((4*((AW39*AK39*Z39^2*1E-4/1000)+((MAX(AS39,AU39)*AK39*Z39^2*1E-4/1000)+(IF(AND(AS39&gt;0,AU39&gt;0),MIN(AS39,AU39),MAX(AS39,AU39))*AK39*Z39^2*1E-4/1000))/2)+BA39-(IF(AND(AS39&gt;0,AU39&gt;0),MIN(AS39,AU39),MAX(AS39,AU39))*AK39*Z39^2*1E-4/1000))^2-16*((AW39*AK39*Z39^2*1E-4/1000)+((MAX(AS39,AU39)*AK39*Z39^2*1E-4/1000)+(IF(AND(AS39&gt;0,AU39&gt;0),MIN(AS39,AU39),MAX(AS39,AU39))*AK39*Z39^2*1E-4/1000))/2)*BA39))))/(8*MAX(((AW39*AK39*Z39^2*1E-4/1000)+((MAX(AS39,AU39)*AK39*Z39^2*1E-4/1000)+(IF(AND(AS39&gt;0,AU39&gt;0),MIN(AS39,AU39),MAX(AS39,AU39))*AK39*Z39^2*1E-4/1000))/2),1E-9))+MAX(CO39,12*INDEX(TABLAS!$C$52:$C$58,MATCH(CL39,TABLAS!$B$52:$B$58,0)),AD39/16),IF(OR(AF39&lt;INDEX(TABLAS!$C$52:$C$58,MATCH(CL39,TABLAS!$B$52:$B$58,0)),CM39-INDEX(TABLAS!$C$52:$C$58,MATCH(CL39,TABLAS!$B$52:$B$58,0))&lt;2*INDEX(TABLAS!$C$52:$C$58,MATCH(CL39,TABLAS!$B$52:$B$58,0))),INDEX(TABLAS!$I$52:$I$58,MATCH(CL39,TABLAS!$B$52:$B$58,0)),INDEX(TABLAS!$F$52:$F$58,MATCH(CL39,TABLAS!$B$52:$B$58,0)))),5))))</f>
        <v/>
      </c>
      <c r="DB39" s="55" t="str">
        <f>IF(V39&lt;&gt;"SÍ","",IF(AND(C39="PERIMETRAL",AL39-AM39&gt;0,AT39&gt;0),"SÍ","NO"))</f>
        <v/>
      </c>
      <c r="DC39" s="55" t="str">
        <f>IF(V39&lt;&gt;"SÍ","",IF(AND(C39="PERIMETRAL",AM39&gt;0,AU39&gt;0),"SÍ","NO"))</f>
        <v/>
      </c>
      <c r="DD39" s="63" t="str">
        <f>IF(V39&lt;&gt;"SÍ","",IF(OR(C39="VOLADO",AL39=0),"—",IF(AND(AND(INDEX(TABLAS!$G$52:$G$58,MATCH(MAX(BR39,CL39),TABLAS!$B$52:$B$58,0))&lt;=(DATOS!$C$72-DATOS!$C$60),(DATOS!$C$72-DATOS!$C$60)&gt;=15),8*INDEX(TABLAS!$C$52:$C$58,MATCH(MAX(BH39,CB39,BR39,CL39),TABLAS!$B$52:$B$58,0))&lt;=DATOS!$C$73-2*DATOS!$C$60),"CUMPLE (gancho de 180°)",IF(AND(INDEX(TABLAS!$G$52:$G$58,MATCH(MAX(BR39,CL39),TABLAS!$B$52:$B$58,0))&lt;=(DATOS!$C$72-DATOS!$C$60),(DATOS!$C$72-DATOS!$C$60)&gt;=15),"NO CUMPLE: el gancho de 180° (8·d_b) no cabe en el peralte de la dala de borde","NO CUMPLE: dala de borde ≥ "&amp;TEXT(CEILING(MAX(INDEX(TABLAS!$G$52:$G$58,MATCH(MAX(BR39,CL39),TABLAS!$B$52:$B$58,0)),15)+DATOS!$C$60,5),"0")&amp;" cm de ancho"&amp;IF(8*INDEX(TABLAS!$C$52:$C$58,MATCH(MAX(BH39,CB39,BR39,CL39),TABLAS!$B$52:$B$58,0))&lt;=DATOS!$C$73-2*DATOS!$C$60,""," y más peralte para el gancho")))))</f>
        <v/>
      </c>
      <c r="DE39" s="69" t="str">
        <f>IF(V39&lt;&gt;"SÍ","",IF(BI39=0,"NO ALCANZA","No. "&amp;BH39&amp;" @ "&amp;BI39&amp;" cm"&amp;IF(C39="VOLADO"," (temperatura)","")))</f>
        <v/>
      </c>
      <c r="DF39" s="69" t="str">
        <f>IF(V39&lt;&gt;"SÍ","",IF(BS39=0,"NO ALCANZA",IF(C39="VOLADO","No. "&amp;BR39&amp;" @ "&amp;BS39&amp;" cm"&amp;" de la orilla al respaldo ("&amp;IF(CZ39&gt;=100*IF(ISNUMBER(Q39),Q39,Z39),"hasta su apoyo lejano, con gancho","entran "&amp;TEXT(CZ39/100,"0.00")&amp;" m desde el paño")&amp;")","Bastones "&amp;"No. "&amp;BR39&amp;" @ "&amp;BS39&amp;" cm"&amp;", L = "&amp;TEXT(CZ39/100,"0.00")&amp;" m desde el paño")))</f>
        <v/>
      </c>
      <c r="DG39" s="69" t="str">
        <f>IF(V39&lt;&gt;"SÍ","",IF(CC39=0,"NO ALCANZA","No. "&amp;CB39&amp;" @ "&amp;CC39&amp;" cm"&amp;IF(C39="VOLADO"," (repartición)","")))</f>
        <v/>
      </c>
      <c r="DH39" s="69" t="str">
        <f>IF(V39&lt;&gt;"SÍ","",IF(CM39=0,"NO ALCANZA",IF(C39="VOLADO","No. "&amp;CL39&amp;" @ "&amp;CM39&amp;" cm"&amp;" (repartición)","Bastones "&amp;"No. "&amp;CL39&amp;" @ "&amp;CM39&amp;" cm"&amp;", L = "&amp;TEXT(DA39/100,"0.00")&amp;" m desde el paño")))</f>
        <v/>
      </c>
      <c r="DI39" s="67" t="str">
        <f>IF(B39="","",IF(V39&lt;&gt;"SÍ","FALTAN DATOS: tipo, a_x, a_y y destino",IF(L39="NO MONOLÍTICO (caso II)","FUERA DE ALCANCE: caso II no transcrito",IF(AND(C39="VOLADO",X39="?"),"REVISAR: el volado lleva UN solo borde CONTINUO (el empotrado)",IF(AND(MAX(BM39,BW39,CG39,CQ39)&lt;=1,NOT(OR(BI39&lt;DATOS!$C$140,BS39&lt;DATOS!$C$140,CC39&lt;DATOS!$C$140,CM39&lt;DATOS!$C$140)),NOT(OR(AND(ISNUMBER(BN39),BN39&lt;0.005),AND(ISNUMBER(BX39),BX39&lt;0.005),AND(ISNUMBER(CH39),CH39&lt;0.005),AND(ISNUMBER(CR39),CR39&lt;0.005))),CV39="CUMPLE",CY39="CUMPLE"),"CUMPLE"&amp;IF(LEFT(BB39,5)="FUERA"," · fuera de 3.4.2.1 c)","")&amp;IF(LEFT(DD39,2)="NO"," · REVISAR anclaje en borde discontinuo",""),IF(AND(MAX(BM39,BW39,CG39,CQ39)&lt;=1,NOT(OR(BI39&lt;DATOS!$C$140,BS39&lt;DATOS!$C$140,CC39&lt;DATOS!$C$140,CM39&lt;DATOS!$C$140)),NOT(OR(AND(ISNUMBER(BN39),BN39&lt;0.005),AND(ISNUMBER(BX39),BX39&lt;0.005),AND(ISNUMBER(CH39),CH39&lt;0.005),AND(ISNUMBER(CR39),CR39&lt;0.005))),CV39="CUMPLE",CY39="CALCULAR FLECHA"),"REVISAR: calcular flecha (h &lt; h mín.)"&amp;IF(LEFT(BB39,5)="FUERA"," · fuera de 3.4.2.1 c)","")&amp;IF(LEFT(DD39,2)="NO"," · REVISAR anclaje en borde discontinuo",""),"NO CUMPLE: "&amp;IF(MAX(BM39,BW39,CG39,CQ39)&gt;1,"flexión ","")&amp;IF(OR(BI39&lt;DATOS!$C$140,BS39&lt;DATOS!$C$140,CC39&lt;DATOS!$C$140,CM39&lt;DATOS!$C$140),"separación &lt; mínima ","")&amp;IF(OR(AND(ISNUMBER(BN39),BN39&lt;0.005),AND(ISNUMBER(BX39),BX39&lt;0.005),AND(ISNUMBER(CH39),CH39&lt;0.005),AND(ISNUMBER(CR39),CR39&lt;0.005)),"ε_t &lt; 0.005 ","")&amp;IF(CV39&lt;&gt;"CUMPLE","cortante ","")&amp;IF(CY39="NO CUMPLE","peralte","")))))))</f>
        <v/>
      </c>
      <c r="DJ39" s="70" t="str">
        <f>IF(V39&lt;&gt;"SÍ","",IF(LEFT(B39,7)="EJEMPLO","EJEMPLO de tablero típico: bórralo o sobrescríbelo. ","")&amp;IF(C39="VOLADO","Volado de "&amp;TEXT(Z39,"0.00")&amp;" m empotrado en el borde "&amp;LOWER(X39)&amp;IF(N(P39)&gt;0,", con "&amp;TEXT(P39,"0.0")&amp;" kg/m en la orilla","")&amp;". Lecho inferior con r_ext. Si la orilla carga pretil u otro elemento frágil, calcula la flecha (13.4). El acero superior entra al respaldo de "&amp;TEXT(IF(ISNUMBER(Q39),Q39,Z39),"0.00")&amp;" m"&amp;IF(ISNUMBER(Q39),""," (L_b no capturado: se tomó igual al volado)")&amp;" hasta pasar M = 0 con 0.9·PP sin carga viva; si ahí no se anula, llega al apoyo lejano y se ancla con gancho. ","")&amp;IF(LEFT(BB39,5)="FUERA","El M⁻ del vecino difiere más de 50 % (3.4.2.1 c): distribuye el desequilibrio (3.4.3.1) o confirma con un modelo; se arma con el mayor. ","")&amp;IF(OR(DB39="SÍ",DC39="SÍ"),"Bastones también en los bordes discontinuos (M⁻ de tabla), con gancho. ","")&amp;IF(LEFT(DD39,2)="NO","Anclaje: "&amp;DD39&amp;" (6.7.7.4.1.1). ","")&amp;IF(OR(AT39&gt;0,AU39&gt;0),"Esquinas exteriores sobre muro: refuerzo de esquina arriba y abajo en L_largo/5 (6.7.7.3.1). ",""))</f>
        <v/>
      </c>
    </row>
    <row r="40" ht="33" customHeight="1">
      <c r="A40" s="50">
        <f>IF(B40="",0,1)+A39</f>
        <v>3</v>
      </c>
      <c r="B40" s="29" t="n"/>
      <c r="C40" s="51" t="n"/>
      <c r="D40" s="29" t="n"/>
      <c r="E40" s="52" t="n"/>
      <c r="F40" s="52" t="n"/>
      <c r="G40" s="51" t="n"/>
      <c r="H40" s="51" t="n"/>
      <c r="I40" s="51" t="n"/>
      <c r="J40" s="51" t="n"/>
      <c r="K40" s="51" t="n"/>
      <c r="L40" s="51" t="n"/>
      <c r="M40" s="54" t="n"/>
      <c r="N40" s="53" t="n"/>
      <c r="O40" s="53" t="n"/>
      <c r="P40" s="54" t="n"/>
      <c r="Q40" s="52" t="n"/>
      <c r="R40" s="54" t="n"/>
      <c r="S40" s="53" t="n"/>
      <c r="T40" s="52" t="n"/>
      <c r="U40" s="52" t="n"/>
      <c r="V40" s="55" t="str">
        <f>IF(B40="","",IF(AND(OR(C40="PERIMETRAL",C40="VOLADO"),ISNUMBER(E40),ISNUMBER(F40),E40&gt;0,F40&gt;0,OR(ISNUMBER(O40),ISNUMBER(MATCH(D40,DATOS!$B$46:$B$55,0)))),"SÍ","NO"))</f>
        <v/>
      </c>
      <c r="W40" s="57" t="str">
        <f>IF(V40&lt;&gt;"SÍ","",IF(ISNUMBER(M40),M40,DATOS!$C$134))</f>
        <v/>
      </c>
      <c r="X40" s="55" t="str">
        <f>IF(V40&lt;&gt;"SÍ","",IF(C40&lt;&gt;"VOLADO","—",IF(COUNTIF(G40:J40,"CONTINUO")&lt;&gt;1,"?",IF(G40="CONTINUO","INFERIOR",IF(H40="CONTINUO","SUPERIOR",IF(I40="CONTINUO","IZQUIERDO","DERECHO"))))))</f>
        <v/>
      </c>
      <c r="Y40" s="55" t="str">
        <f>IF(V40&lt;&gt;"SÍ","",IF(C40="VOLADO",IF(OR(X40="IZQUIERDO",X40="DERECHO"),"X","Y"),IF(E40&lt;=F40,"X","Y")))</f>
        <v/>
      </c>
      <c r="Z40" s="56" t="str">
        <f>IF(V40&lt;&gt;"SÍ","",IF(C40="VOLADO",IF(Y40="X",E40,F40),MIN(E40,F40)))</f>
        <v/>
      </c>
      <c r="AA40" s="56" t="str">
        <f>IF(V40&lt;&gt;"SÍ","",IF(C40="VOLADO",IF(Y40="X",F40,E40),MAX(E40,F40)))</f>
        <v/>
      </c>
      <c r="AB40" s="56" t="str">
        <f>IF(V40&lt;&gt;"SÍ","",MIN(Z40,AA40)/MAX(Z40,AA40))</f>
        <v/>
      </c>
      <c r="AC40" s="57" t="str">
        <f>IF(V40&lt;&gt;"SÍ","",MAX(1,Z40*100-IF(C40="VOLADO",DATOS!$C$84/2,DATOS!$C$84)))</f>
        <v/>
      </c>
      <c r="AD40" s="57" t="str">
        <f>IF(V40&lt;&gt;"SÍ","",MAX(1,AA40*100-DATOS!$C$84))</f>
        <v/>
      </c>
      <c r="AE40" s="57" t="str">
        <f>IF(V40&lt;&gt;"SÍ","",IF(C40="VOLADO",DATOS!$C$61,DATOS!$C$59))</f>
        <v/>
      </c>
      <c r="AF40" s="57" t="str">
        <f>IF(V40&lt;&gt;"SÍ","",IF(OR(AND(AG40="SÍ",DATOS!$C$63="SÍ"),AND(C40="VOLADO",DATOS!$C$64="SÍ")),DATOS!$C$61,DATOS!$C$59))</f>
        <v/>
      </c>
      <c r="AG40" s="55" t="str">
        <f>IF(V40&lt;&gt;"SÍ","",IFERROR(INDEX(DATOS!$D$46:$D$55,MATCH(D40,DATOS!$B$46:$B$55,0)),"NO"))</f>
        <v/>
      </c>
      <c r="AH40" s="59" t="str">
        <f>IF(V40&lt;&gt;"SÍ","",IF(ISNUMBER(O40),O40,IFERROR(INDEX(DATOS!$C$46:$C$55,MATCH(D40,DATOS!$B$46:$B$55,0)),0)))</f>
        <v/>
      </c>
      <c r="AI40" s="59" t="str">
        <f>IF(V40&lt;&gt;"SÍ","",W40/100*DATOS!$C$16*1000+DATOS!$C$37+DATOS!$C$38)</f>
        <v/>
      </c>
      <c r="AJ40" s="59" t="str">
        <f>IF(V40&lt;&gt;"SÍ","",AI40+N(N40))</f>
        <v/>
      </c>
      <c r="AK40" s="60" t="str">
        <f>IF(V40&lt;&gt;"SÍ","",MAX(DATOS!$C$26*AJ40+DATOS!$C$27*AH40,IF(AG40="SÍ",DATOS!$C$28*(AJ40+DATOS!$C$41),0)))</f>
        <v/>
      </c>
      <c r="AL40" s="59" t="str">
        <f>IF(V40&lt;&gt;"SÍ","",(G40="DISCONTINUO")+(H40="DISCONTINUO")+(I40="DISCONTINUO")+(J40="DISCONTINUO"))</f>
        <v/>
      </c>
      <c r="AM40" s="59" t="str">
        <f>IF(V40&lt;&gt;"SÍ","",IF(Y40="X",(G40="DISCONTINUO")+(H40="DISCONTINUO"),(I40="DISCONTINUO")+(J40="DISCONTINUO")))</f>
        <v/>
      </c>
      <c r="AN40" s="55" t="str">
        <f>IF(V40&lt;&gt;"SÍ","",IF(AL40=0,"INTERIOR",IF(AL40=1,IF(AM40=1,"BORDE-CORTO","BORDE-LARGO"),IF(AL40=2,IF(AM40=1,"ESQUINA",IF(AM40=2,"EXTREMO-LARGO","EXTREMO-CORTO")),IF(AL40=3,IF(AM40=2,"EXTREMO-LARGO","EXTREMO-CORTO"),"AISLADO")))))</f>
        <v/>
      </c>
      <c r="AO40" s="61" t="str">
        <f>IF(V40&lt;&gt;"SÍ","",IF(OR(K40="",K40="AUTO"),AN40,K40))</f>
        <v/>
      </c>
      <c r="AP40" s="59" t="str">
        <f>IF(V40&lt;&gt;"SÍ","",MATCH(AB40,TABLAS!$D$5:$J$5,1))</f>
        <v/>
      </c>
      <c r="AQ40" s="58" t="str">
        <f>IF(V40&lt;&gt;"SÍ","",IF(AP40&gt;=7,0,(AB40-INDEX(TABLAS!$D$5:$J$5,AP40))/(INDEX(TABLAS!$D$5:$J$5,AP40+1)-INDEX(TABLAS!$D$5:$J$5,AP40))))</f>
        <v/>
      </c>
      <c r="AR40" s="59" t="str">
        <f>IF(V40&lt;&gt;"SÍ","",INDEX(TABLAS!$D$6:$J$47,MATCH(AO40&amp;"|NIC",TABLAS!$B$6:$B$47,0),AP40)+AQ40*(INDEX(TABLAS!$D$6:$J$47,MATCH(AO40&amp;"|NIC",TABLAS!$B$6:$B$47,0),MIN(AP40+1,7))-INDEX(TABLAS!$D$6:$J$47,MATCH(AO40&amp;"|NIC",TABLAS!$B$6:$B$47,0),AP40)))</f>
        <v/>
      </c>
      <c r="AS40" s="59" t="str">
        <f>IF(V40&lt;&gt;"SÍ","",INDEX(TABLAS!$D$6:$J$47,MATCH(AO40&amp;"|NIL",TABLAS!$B$6:$B$47,0),AP40)+AQ40*(INDEX(TABLAS!$D$6:$J$47,MATCH(AO40&amp;"|NIL",TABLAS!$B$6:$B$47,0),MIN(AP40+1,7))-INDEX(TABLAS!$D$6:$J$47,MATCH(AO40&amp;"|NIL",TABLAS!$B$6:$B$47,0),AP40)))</f>
        <v/>
      </c>
      <c r="AT40" s="59" t="str">
        <f>IF(V40&lt;&gt;"SÍ","",INDEX(TABLAS!$D$6:$J$47,MATCH(AO40&amp;"|NDC",TABLAS!$B$6:$B$47,0),AP40)+AQ40*(INDEX(TABLAS!$D$6:$J$47,MATCH(AO40&amp;"|NDC",TABLAS!$B$6:$B$47,0),MIN(AP40+1,7))-INDEX(TABLAS!$D$6:$J$47,MATCH(AO40&amp;"|NDC",TABLAS!$B$6:$B$47,0),AP40)))</f>
        <v/>
      </c>
      <c r="AU40" s="59" t="str">
        <f>IF(V40&lt;&gt;"SÍ","",INDEX(TABLAS!$D$6:$J$47,MATCH(AO40&amp;"|NDL",TABLAS!$B$6:$B$47,0),AP40)+AQ40*(INDEX(TABLAS!$D$6:$J$47,MATCH(AO40&amp;"|NDL",TABLAS!$B$6:$B$47,0),MIN(AP40+1,7))-INDEX(TABLAS!$D$6:$J$47,MATCH(AO40&amp;"|NDL",TABLAS!$B$6:$B$47,0),AP40)))</f>
        <v/>
      </c>
      <c r="AV40" s="59" t="str">
        <f>IF(V40&lt;&gt;"SÍ","",INDEX(TABLAS!$D$6:$J$47,MATCH(AO40&amp;"|PC",TABLAS!$B$6:$B$47,0),AP40)+AQ40*(INDEX(TABLAS!$D$6:$J$47,MATCH(AO40&amp;"|PC",TABLAS!$B$6:$B$47,0),MIN(AP40+1,7))-INDEX(TABLAS!$D$6:$J$47,MATCH(AO40&amp;"|PC",TABLAS!$B$6:$B$47,0),AP40)))</f>
        <v/>
      </c>
      <c r="AW40" s="59" t="str">
        <f>IF(V40&lt;&gt;"SÍ","",INDEX(TABLAS!$D$6:$J$47,MATCH(AO40&amp;"|PL",TABLAS!$B$6:$B$47,0),AP40)+AQ40*(INDEX(TABLAS!$D$6:$J$47,MATCH(AO40&amp;"|PL",TABLAS!$B$6:$B$47,0),MIN(AP40+1,7))-INDEX(TABLAS!$D$6:$J$47,MATCH(AO40&amp;"|PL",TABLAS!$B$6:$B$47,0),AP40)))</f>
        <v/>
      </c>
      <c r="AX40" s="56" t="str">
        <f>IF(V40&lt;&gt;"SÍ","",IF(C40="PERIMETRAL",AV40*AK40*Z40^2*1E-4/1000,0))</f>
        <v/>
      </c>
      <c r="AY40" s="62" t="str">
        <f>IF(V40&lt;&gt;"SÍ","",IF(C40="PERIMETRAL",MAX(MAX(AR40,AT40)*AK40*Z40^2*1E-4/1000,N(T40)),(AK40*(AC40/100)^2/2+DATOS!$C$26*N(P40)*AC40/100)/1000))</f>
        <v/>
      </c>
      <c r="AZ40" s="56" t="str">
        <f>IF(V40&lt;&gt;"SÍ","",IF(C40="PERIMETRAL",AW40*AK40*Z40^2*1E-4/1000,0))</f>
        <v/>
      </c>
      <c r="BA40" s="56" t="str">
        <f>IF(V40&lt;&gt;"SÍ","",IF(C40="PERIMETRAL",MAX(MAX(AS40,AU40)*AK40*Z40^2*1E-4/1000,N(U40)),0))</f>
        <v/>
      </c>
      <c r="BB40" s="63" t="str">
        <f>IF(V40&lt;&gt;"SÍ","",IF(C40&lt;&gt;"PERIMETRAL","—",IF(AND(N(T40)=0,N(U40)=0),"— (sin M⁻ del vecino)",IF(OR(AND(N(T40)&gt;0,ABS(MAX(AR40,AT40)*AK40*Z40^2*1E-4/1000-N(T40))&gt;0.5*MIN(MAX(AR40,AT40)*AK40*Z40^2*1E-4/1000,N(T40))),AND(N(U40)&gt;0,ABS(MAX(AS40,AU40)*AK40*Z40^2*1E-4/1000-N(U40))&gt;0.5*MIN(MAX(AS40,AU40)*AK40*Z40^2*1E-4/1000,N(U40)))),"FUERA: difieren &gt; 50 %"&amp;IF(AND(N(T40)&gt;0,ABS(MAX(AR40,AT40)*AK40*Z40^2*1E-4/1000-N(T40))&gt;0.5*MIN(MAX(AR40,AT40)*AK40*Z40^2*1E-4/1000,N(T40)))," ‖ corto","")&amp;IF(AND(N(U40)&gt;0,ABS(MAX(AS40,AU40)*AK40*Z40^2*1E-4/1000-N(U40))&gt;0.5*MIN(MAX(AS40,AU40)*AK40*Z40^2*1E-4/1000,N(U40)))," ‖ largo",""),"CUMPLE"))))</f>
        <v/>
      </c>
      <c r="BC40" s="58" t="str">
        <f>IF(V40&lt;&gt;"SÍ","",DATOS!$C$136*100*W40)</f>
        <v/>
      </c>
      <c r="BD40" s="57" t="str">
        <f>IF(V40&lt;&gt;"SÍ","",MIN(IF(C40="VOLADO",DATOS!$C$138,DATOS!$C$137)*W40,DATOS!$C$139))</f>
        <v/>
      </c>
      <c r="BE40" s="58" t="str">
        <f>IF(V40&lt;&gt;"SÍ","",(W40-AE40-INDEX(TABLAS!$C$52:$C$58,MATCH(IF(ISNUMBER(S40),S40,DATOS!$C$135),TABLAS!$B$52:$B$58,0))/2))</f>
        <v/>
      </c>
      <c r="BF40" s="58" t="str">
        <f>IF(V40&lt;&gt;"SÍ","",IF(AX40&lt;=0,0,IF((1-2*AX40*1E5/(DATOS!$C$29*100*BE40^2*DATOS!$C$21))&lt;0,-1,IF((1-SQRT((1-2*AX40*1E5/(DATOS!$C$29*100*BE40^2*DATOS!$C$21))))*DATOS!$C$21*100*BE40/DATOS!$C$14&gt;DATOS!$C$99*100*BE40,-1,(1-SQRT((1-2*AX40*1E5/(DATOS!$C$29*100*BE40^2*DATOS!$C$21))))*DATOS!$C$21*100*BE40/DATOS!$C$14))))</f>
        <v/>
      </c>
      <c r="BG40" s="58" t="str">
        <f>IF(V40&lt;&gt;"SÍ","",IF(BF40&lt;0,-1,MAX(BF40,BC40)))</f>
        <v/>
      </c>
      <c r="BH40" s="64" t="str">
        <f>IF(V40&lt;&gt;"SÍ","",IF(AND(BG40&gt;0,FLOOR(MIN(BD40,100*INDEX(TABLAS!$D$52:$D$58,MIN(MATCH(IF(ISNUMBER(S40),S40,DATOS!$C$135),TABLAS!$B$52:$B$58,0)+0,7))/MAX(BG40,0.0001)),DATOS!$C$141)&gt;=DATOS!$C$140),INDEX(TABLAS!$B$52:$B$58,MIN(MATCH(IF(ISNUMBER(S40),S40,DATOS!$C$135),TABLAS!$B$52:$B$58,0)+0,7)),IF(AND(BG40&gt;0,FLOOR(MIN(BD40,100*INDEX(TABLAS!$D$52:$D$58,MIN(MATCH(IF(ISNUMBER(S40),S40,DATOS!$C$135),TABLAS!$B$52:$B$58,0)+1,7))/MAX(BG40,0.0001)),DATOS!$C$141)&gt;=DATOS!$C$140),INDEX(TABLAS!$B$52:$B$58,MIN(MATCH(IF(ISNUMBER(S40),S40,DATOS!$C$135),TABLAS!$B$52:$B$58,0)+1,7)),IF(AND(BG40&gt;0,FLOOR(MIN(BD40,100*INDEX(TABLAS!$D$52:$D$58,MIN(MATCH(IF(ISNUMBER(S40),S40,DATOS!$C$135),TABLAS!$B$52:$B$58,0)+2,7))/MAX(BG40,0.0001)),DATOS!$C$141)&gt;=DATOS!$C$140),INDEX(TABLAS!$B$52:$B$58,MIN(MATCH(IF(ISNUMBER(S40),S40,DATOS!$C$135),TABLAS!$B$52:$B$58,0)+2,7)),IF(AND(BG40&gt;0,FLOOR(MIN(BD40,100*INDEX(TABLAS!$D$52:$D$58,MIN(MATCH(IF(ISNUMBER(S40),S40,DATOS!$C$135),TABLAS!$B$52:$B$58,0)+3,7))/MAX(BG40,0.0001)),DATOS!$C$141)&gt;=DATOS!$C$140),INDEX(TABLAS!$B$52:$B$58,MIN(MATCH(IF(ISNUMBER(S40),S40,DATOS!$C$135),TABLAS!$B$52:$B$58,0)+3,7)),IF(AND(BG40&gt;0,FLOOR(MIN(BD40,100*INDEX(TABLAS!$D$52:$D$58,MIN(MATCH(IF(ISNUMBER(S40),S40,DATOS!$C$135),TABLAS!$B$52:$B$58,0)+4,7))/MAX(BG40,0.0001)),DATOS!$C$141)&gt;=DATOS!$C$140),INDEX(TABLAS!$B$52:$B$58,MIN(MATCH(IF(ISNUMBER(S40),S40,DATOS!$C$135),TABLAS!$B$52:$B$58,0)+4,7)),INDEX(TABLAS!$B$52:$B$58,7)))))))</f>
        <v/>
      </c>
      <c r="BI40" s="71" t="str">
        <f>IF(V40&lt;&gt;"SÍ","",IF(BG40&lt;=0,0,FLOOR(MIN(BD40,100*INDEX(TABLAS!$D$52:$D$58,MATCH(BH40,TABLAS!$B$52:$B$58,0))/BG40),DATOS!$C$141)))</f>
        <v/>
      </c>
      <c r="BJ40" s="58" t="str">
        <f>IF(V40&lt;&gt;"SÍ","",IF(BI40&lt;=0,0,INDEX(TABLAS!$D$52:$D$58,MATCH(BH40,TABLAS!$B$52:$B$58,0))*100/BI40))</f>
        <v/>
      </c>
      <c r="BK40" s="58" t="str">
        <f>IF(V40&lt;&gt;"SÍ","",W40-AE40-INDEX(TABLAS!$C$52:$C$58,MATCH(BH40,TABLAS!$B$52:$B$58,0))/2)</f>
        <v/>
      </c>
      <c r="BL40" s="56" t="str">
        <f>IF(V40&lt;&gt;"SÍ","",IF(BJ40=0,0,DATOS!$C$29*BJ40*DATOS!$C$14*(BK40-BJ40*DATOS!$C$14/(DATOS!$C$21*100)/2)/1E5))</f>
        <v/>
      </c>
      <c r="BM40" s="65" t="str">
        <f>IF(V40&lt;&gt;"SÍ","",IF(BG40&lt;0,9.99,IF(BL40&gt;0,AX40/BL40,0)))</f>
        <v/>
      </c>
      <c r="BN40" s="66" t="str">
        <f>IF(V40&lt;&gt;"SÍ","",IF(BJ40=0,"—",0.003*(BK40-(BJ40*DATOS!$C$14/(DATOS!$C$21*100)/DATOS!$C$22))/(BJ40*DATOS!$C$14/(DATOS!$C$21*100)/DATOS!$C$22)))</f>
        <v/>
      </c>
      <c r="BO40" s="58" t="str">
        <f>IF(V40&lt;&gt;"SÍ","",((W40-AF40-INDEX(TABLAS!$C$52:$C$58,MATCH(IF(ISNUMBER(S40),S40,DATOS!$C$135),TABLAS!$B$52:$B$58,0))/2)-IF(AND((W40-AF40-INDEX(TABLAS!$C$52:$C$58,MATCH(IF(ISNUMBER(S40),S40,DATOS!$C$135),TABLAS!$B$52:$B$58,0))/2)&lt;=20,DATOS!$C$62&lt;&gt;"SÍ"),2,0)))</f>
        <v/>
      </c>
      <c r="BP40" s="58" t="str">
        <f>IF(V40&lt;&gt;"SÍ","",IF(AY40&lt;=0,0,IF((1-2*AY40*1E5/(DATOS!$C$29*100*BO40^2*DATOS!$C$21))&lt;0,-1,IF((1-SQRT((1-2*AY40*1E5/(DATOS!$C$29*100*BO40^2*DATOS!$C$21))))*DATOS!$C$21*100*BO40/DATOS!$C$14&gt;DATOS!$C$99*100*BO40,-1,(1-SQRT((1-2*AY40*1E5/(DATOS!$C$29*100*BO40^2*DATOS!$C$21))))*DATOS!$C$21*100*BO40/DATOS!$C$14))))</f>
        <v/>
      </c>
      <c r="BQ40" s="58" t="str">
        <f>IF(V40&lt;&gt;"SÍ","",IF(BP40&lt;0,-1,MAX(BP40,BC40)))</f>
        <v/>
      </c>
      <c r="BR40" s="64" t="str">
        <f>IF(V40&lt;&gt;"SÍ","",IF(AND(BQ40&gt;0,FLOOR(MIN(BD40,100*INDEX(TABLAS!$D$52:$D$58,MIN(MATCH(IF(ISNUMBER(S40),S40,DATOS!$C$135),TABLAS!$B$52:$B$58,0)+0,7))/MAX(BQ40,0.0001)),DATOS!$C$141)&gt;=DATOS!$C$140),INDEX(TABLAS!$B$52:$B$58,MIN(MATCH(IF(ISNUMBER(S40),S40,DATOS!$C$135),TABLAS!$B$52:$B$58,0)+0,7)),IF(AND(BQ40&gt;0,FLOOR(MIN(BD40,100*INDEX(TABLAS!$D$52:$D$58,MIN(MATCH(IF(ISNUMBER(S40),S40,DATOS!$C$135),TABLAS!$B$52:$B$58,0)+1,7))/MAX(BQ40,0.0001)),DATOS!$C$141)&gt;=DATOS!$C$140),INDEX(TABLAS!$B$52:$B$58,MIN(MATCH(IF(ISNUMBER(S40),S40,DATOS!$C$135),TABLAS!$B$52:$B$58,0)+1,7)),IF(AND(BQ40&gt;0,FLOOR(MIN(BD40,100*INDEX(TABLAS!$D$52:$D$58,MIN(MATCH(IF(ISNUMBER(S40),S40,DATOS!$C$135),TABLAS!$B$52:$B$58,0)+2,7))/MAX(BQ40,0.0001)),DATOS!$C$141)&gt;=DATOS!$C$140),INDEX(TABLAS!$B$52:$B$58,MIN(MATCH(IF(ISNUMBER(S40),S40,DATOS!$C$135),TABLAS!$B$52:$B$58,0)+2,7)),IF(AND(BQ40&gt;0,FLOOR(MIN(BD40,100*INDEX(TABLAS!$D$52:$D$58,MIN(MATCH(IF(ISNUMBER(S40),S40,DATOS!$C$135),TABLAS!$B$52:$B$58,0)+3,7))/MAX(BQ40,0.0001)),DATOS!$C$141)&gt;=DATOS!$C$140),INDEX(TABLAS!$B$52:$B$58,MIN(MATCH(IF(ISNUMBER(S40),S40,DATOS!$C$135),TABLAS!$B$52:$B$58,0)+3,7)),IF(AND(BQ40&gt;0,FLOOR(MIN(BD40,100*INDEX(TABLAS!$D$52:$D$58,MIN(MATCH(IF(ISNUMBER(S40),S40,DATOS!$C$135),TABLAS!$B$52:$B$58,0)+4,7))/MAX(BQ40,0.0001)),DATOS!$C$141)&gt;=DATOS!$C$140),INDEX(TABLAS!$B$52:$B$58,MIN(MATCH(IF(ISNUMBER(S40),S40,DATOS!$C$135),TABLAS!$B$52:$B$58,0)+4,7)),INDEX(TABLAS!$B$52:$B$58,7)))))))</f>
        <v/>
      </c>
      <c r="BS40" s="71" t="str">
        <f>IF(V40&lt;&gt;"SÍ","",IF(BQ40&lt;=0,0,FLOOR(MIN(BD40,100*INDEX(TABLAS!$D$52:$D$58,MATCH(BR40,TABLAS!$B$52:$B$58,0))/BQ40),DATOS!$C$141)))</f>
        <v/>
      </c>
      <c r="BT40" s="58" t="str">
        <f>IF(V40&lt;&gt;"SÍ","",IF(BS40&lt;=0,0,INDEX(TABLAS!$D$52:$D$58,MATCH(BR40,TABLAS!$B$52:$B$58,0))*100/BS40))</f>
        <v/>
      </c>
      <c r="BU40" s="58" t="str">
        <f>IF(V40&lt;&gt;"SÍ","",((W40-AF40-INDEX(TABLAS!$C$52:$C$58,MATCH(BR40,TABLAS!$B$52:$B$58,0))/2)-IF(AND((W40-AF40-INDEX(TABLAS!$C$52:$C$58,MATCH(BR40,TABLAS!$B$52:$B$58,0))/2)&lt;=20,DATOS!$C$62&lt;&gt;"SÍ"),2,0)))</f>
        <v/>
      </c>
      <c r="BV40" s="56" t="str">
        <f>IF(V40&lt;&gt;"SÍ","",IF(BT40=0,0,DATOS!$C$29*BT40*DATOS!$C$14*(BU40-BT40*DATOS!$C$14/(DATOS!$C$21*100)/2)/1E5))</f>
        <v/>
      </c>
      <c r="BW40" s="65" t="str">
        <f>IF(V40&lt;&gt;"SÍ","",IF(BQ40&lt;0,9.99,IF(BV40&gt;0,AY40/BV40,0)))</f>
        <v/>
      </c>
      <c r="BX40" s="66" t="str">
        <f>IF(V40&lt;&gt;"SÍ","",IF(BT40=0,"—",0.003*(BU40-(BT40*DATOS!$C$14/(DATOS!$C$21*100)/DATOS!$C$22))/(BT40*DATOS!$C$14/(DATOS!$C$21*100)/DATOS!$C$22)))</f>
        <v/>
      </c>
      <c r="BY40" s="58" t="str">
        <f>IF(V40&lt;&gt;"SÍ","",(W40-AE40-1.5*INDEX(TABLAS!$C$52:$C$58,MATCH(IF(ISNUMBER(S40),S40,DATOS!$C$135),TABLAS!$B$52:$B$58,0))))</f>
        <v/>
      </c>
      <c r="BZ40" s="58" t="str">
        <f>IF(V40&lt;&gt;"SÍ","",IF(AZ40&lt;=0,0,IF((1-2*AZ40*1E5/(DATOS!$C$29*100*BY40^2*DATOS!$C$21))&lt;0,-1,IF((1-SQRT((1-2*AZ40*1E5/(DATOS!$C$29*100*BY40^2*DATOS!$C$21))))*DATOS!$C$21*100*BY40/DATOS!$C$14&gt;DATOS!$C$99*100*BY40,-1,(1-SQRT((1-2*AZ40*1E5/(DATOS!$C$29*100*BY40^2*DATOS!$C$21))))*DATOS!$C$21*100*BY40/DATOS!$C$14))))</f>
        <v/>
      </c>
      <c r="CA40" s="58" t="str">
        <f>IF(V40&lt;&gt;"SÍ","",IF(BZ40&lt;0,-1,MAX(BZ40,BC40)))</f>
        <v/>
      </c>
      <c r="CB40" s="64" t="str">
        <f>IF(V40&lt;&gt;"SÍ","",IF(AND(CA40&gt;0,FLOOR(MIN(BD40,100*INDEX(TABLAS!$D$52:$D$58,MIN(MATCH(IF(ISNUMBER(S40),S40,DATOS!$C$135),TABLAS!$B$52:$B$58,0)+0,7))/MAX(CA40,0.0001)),DATOS!$C$141)&gt;=DATOS!$C$140),INDEX(TABLAS!$B$52:$B$58,MIN(MATCH(IF(ISNUMBER(S40),S40,DATOS!$C$135),TABLAS!$B$52:$B$58,0)+0,7)),IF(AND(CA40&gt;0,FLOOR(MIN(BD40,100*INDEX(TABLAS!$D$52:$D$58,MIN(MATCH(IF(ISNUMBER(S40),S40,DATOS!$C$135),TABLAS!$B$52:$B$58,0)+1,7))/MAX(CA40,0.0001)),DATOS!$C$141)&gt;=DATOS!$C$140),INDEX(TABLAS!$B$52:$B$58,MIN(MATCH(IF(ISNUMBER(S40),S40,DATOS!$C$135),TABLAS!$B$52:$B$58,0)+1,7)),IF(AND(CA40&gt;0,FLOOR(MIN(BD40,100*INDEX(TABLAS!$D$52:$D$58,MIN(MATCH(IF(ISNUMBER(S40),S40,DATOS!$C$135),TABLAS!$B$52:$B$58,0)+2,7))/MAX(CA40,0.0001)),DATOS!$C$141)&gt;=DATOS!$C$140),INDEX(TABLAS!$B$52:$B$58,MIN(MATCH(IF(ISNUMBER(S40),S40,DATOS!$C$135),TABLAS!$B$52:$B$58,0)+2,7)),IF(AND(CA40&gt;0,FLOOR(MIN(BD40,100*INDEX(TABLAS!$D$52:$D$58,MIN(MATCH(IF(ISNUMBER(S40),S40,DATOS!$C$135),TABLAS!$B$52:$B$58,0)+3,7))/MAX(CA40,0.0001)),DATOS!$C$141)&gt;=DATOS!$C$140),INDEX(TABLAS!$B$52:$B$58,MIN(MATCH(IF(ISNUMBER(S40),S40,DATOS!$C$135),TABLAS!$B$52:$B$58,0)+3,7)),IF(AND(CA40&gt;0,FLOOR(MIN(BD40,100*INDEX(TABLAS!$D$52:$D$58,MIN(MATCH(IF(ISNUMBER(S40),S40,DATOS!$C$135),TABLAS!$B$52:$B$58,0)+4,7))/MAX(CA40,0.0001)),DATOS!$C$141)&gt;=DATOS!$C$140),INDEX(TABLAS!$B$52:$B$58,MIN(MATCH(IF(ISNUMBER(S40),S40,DATOS!$C$135),TABLAS!$B$52:$B$58,0)+4,7)),INDEX(TABLAS!$B$52:$B$58,7)))))))</f>
        <v/>
      </c>
      <c r="CC40" s="71" t="str">
        <f>IF(V40&lt;&gt;"SÍ","",IF(CA40&lt;=0,0,FLOOR(MIN(BD40,100*INDEX(TABLAS!$D$52:$D$58,MATCH(CB40,TABLAS!$B$52:$B$58,0))/CA40),DATOS!$C$141)))</f>
        <v/>
      </c>
      <c r="CD40" s="58" t="str">
        <f>IF(V40&lt;&gt;"SÍ","",IF(CC40&lt;=0,0,INDEX(TABLAS!$D$52:$D$58,MATCH(CB40,TABLAS!$B$52:$B$58,0))*100/CC40))</f>
        <v/>
      </c>
      <c r="CE40" s="58" t="str">
        <f>IF(V40&lt;&gt;"SÍ","",W40-AE40-INDEX(TABLAS!$C$52:$C$58,MATCH(BH40,TABLAS!$B$52:$B$58,0))-INDEX(TABLAS!$C$52:$C$58,MATCH(CB40,TABLAS!$B$52:$B$58,0))/2)</f>
        <v/>
      </c>
      <c r="CF40" s="56" t="str">
        <f>IF(V40&lt;&gt;"SÍ","",IF(CD40=0,0,DATOS!$C$29*CD40*DATOS!$C$14*(CE40-CD40*DATOS!$C$14/(DATOS!$C$21*100)/2)/1E5))</f>
        <v/>
      </c>
      <c r="CG40" s="65" t="str">
        <f>IF(V40&lt;&gt;"SÍ","",IF(CA40&lt;0,9.99,IF(CF40&gt;0,AZ40/CF40,0)))</f>
        <v/>
      </c>
      <c r="CH40" s="66" t="str">
        <f>IF(V40&lt;&gt;"SÍ","",IF(CD40=0,"—",0.003*(CE40-(CD40*DATOS!$C$14/(DATOS!$C$21*100)/DATOS!$C$22))/(CD40*DATOS!$C$14/(DATOS!$C$21*100)/DATOS!$C$22)))</f>
        <v/>
      </c>
      <c r="CI40" s="58" t="str">
        <f>IF(V40&lt;&gt;"SÍ","",((W40-AF40-1.5*INDEX(TABLAS!$C$52:$C$58,MATCH(IF(ISNUMBER(S40),S40,DATOS!$C$135),TABLAS!$B$52:$B$58,0)))-IF(AND((W40-AF40-1.5*INDEX(TABLAS!$C$52:$C$58,MATCH(IF(ISNUMBER(S40),S40,DATOS!$C$135),TABLAS!$B$52:$B$58,0)))&lt;=20,DATOS!$C$62&lt;&gt;"SÍ"),2,0)))</f>
        <v/>
      </c>
      <c r="CJ40" s="58" t="str">
        <f>IF(V40&lt;&gt;"SÍ","",IF(BA40&lt;=0,0,IF((1-2*BA40*1E5/(DATOS!$C$29*100*CI40^2*DATOS!$C$21))&lt;0,-1,IF((1-SQRT((1-2*BA40*1E5/(DATOS!$C$29*100*CI40^2*DATOS!$C$21))))*DATOS!$C$21*100*CI40/DATOS!$C$14&gt;DATOS!$C$99*100*CI40,-1,(1-SQRT((1-2*BA40*1E5/(DATOS!$C$29*100*CI40^2*DATOS!$C$21))))*DATOS!$C$21*100*CI40/DATOS!$C$14))))</f>
        <v/>
      </c>
      <c r="CK40" s="58" t="str">
        <f>IF(V40&lt;&gt;"SÍ","",IF(CJ40&lt;0,-1,MAX(CJ40,BC40)))</f>
        <v/>
      </c>
      <c r="CL40" s="64" t="str">
        <f>IF(V40&lt;&gt;"SÍ","",IF(AND(CK40&gt;0,FLOOR(MIN(BD40,100*INDEX(TABLAS!$D$52:$D$58,MIN(MATCH(IF(ISNUMBER(S40),S40,DATOS!$C$135),TABLAS!$B$52:$B$58,0)+0,7))/MAX(CK40,0.0001)),DATOS!$C$141)&gt;=DATOS!$C$140),INDEX(TABLAS!$B$52:$B$58,MIN(MATCH(IF(ISNUMBER(S40),S40,DATOS!$C$135),TABLAS!$B$52:$B$58,0)+0,7)),IF(AND(CK40&gt;0,FLOOR(MIN(BD40,100*INDEX(TABLAS!$D$52:$D$58,MIN(MATCH(IF(ISNUMBER(S40),S40,DATOS!$C$135),TABLAS!$B$52:$B$58,0)+1,7))/MAX(CK40,0.0001)),DATOS!$C$141)&gt;=DATOS!$C$140),INDEX(TABLAS!$B$52:$B$58,MIN(MATCH(IF(ISNUMBER(S40),S40,DATOS!$C$135),TABLAS!$B$52:$B$58,0)+1,7)),IF(AND(CK40&gt;0,FLOOR(MIN(BD40,100*INDEX(TABLAS!$D$52:$D$58,MIN(MATCH(IF(ISNUMBER(S40),S40,DATOS!$C$135),TABLAS!$B$52:$B$58,0)+2,7))/MAX(CK40,0.0001)),DATOS!$C$141)&gt;=DATOS!$C$140),INDEX(TABLAS!$B$52:$B$58,MIN(MATCH(IF(ISNUMBER(S40),S40,DATOS!$C$135),TABLAS!$B$52:$B$58,0)+2,7)),IF(AND(CK40&gt;0,FLOOR(MIN(BD40,100*INDEX(TABLAS!$D$52:$D$58,MIN(MATCH(IF(ISNUMBER(S40),S40,DATOS!$C$135),TABLAS!$B$52:$B$58,0)+3,7))/MAX(CK40,0.0001)),DATOS!$C$141)&gt;=DATOS!$C$140),INDEX(TABLAS!$B$52:$B$58,MIN(MATCH(IF(ISNUMBER(S40),S40,DATOS!$C$135),TABLAS!$B$52:$B$58,0)+3,7)),IF(AND(CK40&gt;0,FLOOR(MIN(BD40,100*INDEX(TABLAS!$D$52:$D$58,MIN(MATCH(IF(ISNUMBER(S40),S40,DATOS!$C$135),TABLAS!$B$52:$B$58,0)+4,7))/MAX(CK40,0.0001)),DATOS!$C$141)&gt;=DATOS!$C$140),INDEX(TABLAS!$B$52:$B$58,MIN(MATCH(IF(ISNUMBER(S40),S40,DATOS!$C$135),TABLAS!$B$52:$B$58,0)+4,7)),INDEX(TABLAS!$B$52:$B$58,7)))))))</f>
        <v/>
      </c>
      <c r="CM40" s="71" t="str">
        <f>IF(V40&lt;&gt;"SÍ","",IF(CK40&lt;=0,0,FLOOR(MIN(BD40,100*INDEX(TABLAS!$D$52:$D$58,MATCH(CL40,TABLAS!$B$52:$B$58,0))/CK40),DATOS!$C$141)))</f>
        <v/>
      </c>
      <c r="CN40" s="58" t="str">
        <f>IF(V40&lt;&gt;"SÍ","",IF(CM40&lt;=0,0,INDEX(TABLAS!$D$52:$D$58,MATCH(CL40,TABLAS!$B$52:$B$58,0))*100/CM40))</f>
        <v/>
      </c>
      <c r="CO40" s="58" t="str">
        <f>IF(V40&lt;&gt;"SÍ","",((W40-AF40-INDEX(TABLAS!$C$52:$C$58,MATCH(BR40,TABLAS!$B$52:$B$58,0))-INDEX(TABLAS!$C$52:$C$58,MATCH(CL40,TABLAS!$B$52:$B$58,0))/2)-IF(AND((W40-AF40-INDEX(TABLAS!$C$52:$C$58,MATCH(BR40,TABLAS!$B$52:$B$58,0))-INDEX(TABLAS!$C$52:$C$58,MATCH(CL40,TABLAS!$B$52:$B$58,0))/2)&lt;=20,DATOS!$C$62&lt;&gt;"SÍ"),2,0)))</f>
        <v/>
      </c>
      <c r="CP40" s="56" t="str">
        <f>IF(V40&lt;&gt;"SÍ","",IF(CN40=0,0,DATOS!$C$29*CN40*DATOS!$C$14*(CO40-CN40*DATOS!$C$14/(DATOS!$C$21*100)/2)/1E5))</f>
        <v/>
      </c>
      <c r="CQ40" s="65" t="str">
        <f>IF(V40&lt;&gt;"SÍ","",IF(CK40&lt;0,9.99,IF(CP40&gt;0,BA40/CP40,0)))</f>
        <v/>
      </c>
      <c r="CR40" s="66" t="str">
        <f>IF(V40&lt;&gt;"SÍ","",IF(CN40=0,"—",0.003*(CO40-(CN40*DATOS!$C$14/(DATOS!$C$21*100)/DATOS!$C$22))/(CN40*DATOS!$C$14/(DATOS!$C$21*100)/DATOS!$C$22)))</f>
        <v/>
      </c>
      <c r="CS40" s="56" t="str">
        <f>IF(V40&lt;&gt;"SÍ","",IF(C40="PERIMETRAL",MAX(0,(AC40/2-BU40)/100)*(0.95-0.5*AB40)*AK40*IF(AND(AL40&gt;0,AL40&lt;4),DATOS!$C$33,1)/1000,(AK40*MAX(0,AC40-BU40)/100+DATOS!$C$26*N(P40))/1000))</f>
        <v/>
      </c>
      <c r="CT40" s="66" t="str">
        <f>IF(V40&lt;&gt;"SÍ","",BT40/(100*BU40))</f>
        <v/>
      </c>
      <c r="CU40" s="56" t="str">
        <f>IF(V40&lt;&gt;"SÍ","",DATOS!$C$30*2*MIN(1,SQRT(2/(1+0.04*BU40)))*CT40^(1/3)*SQRT(DATOS!$C$13)*100*BU40/1000)</f>
        <v/>
      </c>
      <c r="CV40" s="67" t="str">
        <f>IF(V40&lt;&gt;"SÍ","",IF(CS40&lt;=CU40,"CUMPLE","NO CUMPLE: sube h"))</f>
        <v/>
      </c>
      <c r="CW40" s="58" t="str">
        <f>IF(V40&lt;&gt;"SÍ","",IF(C40="PERIMETRAL",IF(ISNUMBER(R40),R40,DATOS!$C$101),0))</f>
        <v/>
      </c>
      <c r="CX40" s="57" t="str">
        <f>IF(V40&lt;&gt;"SÍ","",IF(C40="PERIMETRAL",IF(CW40&gt;2,MAX(9,AD40*(0.8+DATOS!$C$14/14000)/(36+9*(AD40/MAX(AC40,1)))),IF(CW40&gt;0.2,MAX(13,AD40*(0.8+DATOS!$C$14/14000)/(36+5*(AD40/MAX(AC40,1))*(CW40-0.2))),MAX(13,AD40/IF(AL40&gt;0,30,33))))*IF(AND(CW40&gt;0.2,AL40&gt;0,DATOS!$C$102="NO"),1.1,1),Z40*100/DATOS!$C$142))</f>
        <v/>
      </c>
      <c r="CY40" s="61" t="str">
        <f>IF(V40&lt;&gt;"SÍ","",IF(W40&gt;=CX40-0.001,"CUMPLE",IF(C40="VOLADO","NO CUMPLE","CALCULAR FLECHA")))</f>
        <v/>
      </c>
      <c r="CZ40" s="60" t="str">
        <f>IF(V40&lt;&gt;"SÍ","",IF(C40="VOLADO",MIN(CEILING(IF(ISNUMBER(Q40),Q40,Z40)*100,5),CEILING(MAX(IF((0.5*(0.9*W40/100*DATOS!$C$16)*IF(ISNUMBER(Q40),Q40,Z40)+AY40/IF(ISNUMBER(Q40),Q40,Z40))^2-4*(0.5*(0.9*W40/100*DATOS!$C$16))*AY40&lt;0,IF(ISNUMBER(Q40),Q40,Z40),MIN(IF(ISNUMBER(Q40),Q40,Z40),((0.5*(0.9*W40/100*DATOS!$C$16)*IF(ISNUMBER(Q40),Q40,Z40)+AY40/IF(ISNUMBER(Q40),Q40,Z40))-SQRT((0.5*(0.9*W40/100*DATOS!$C$16)*IF(ISNUMBER(Q40),Q40,Z40)+AY40/IF(ISNUMBER(Q40),Q40,Z40))^2-4*(0.5*(0.9*W40/100*DATOS!$C$16))*AY40))/(2*(0.5*(0.9*W40/100*DATOS!$C$16)))))*100+MAX(BU40,12*INDEX(TABLAS!$C$52:$C$58,MATCH(BR40,TABLAS!$B$52:$B$58,0)),IF(ISNUMBER(Q40),Q40,Z40)*100/16),IF(OR(AF40&lt;INDEX(TABLAS!$C$52:$C$58,MATCH(BR40,TABLAS!$B$52:$B$58,0)),BS40-INDEX(TABLAS!$C$52:$C$58,MATCH(BR40,TABLAS!$B$52:$B$58,0))&lt;2*INDEX(TABLAS!$C$52:$C$58,MATCH(BR40,TABLAS!$B$52:$B$58,0))),INDEX(TABLAS!$I$52:$I$58,MATCH(BR40,TABLAS!$B$52:$B$58,0)),INDEX(TABLAS!$F$52:$F$58,MATCH(BR40,TABLAS!$B$52:$B$58,0)))),5)),IF(((4*((AV40*AK40*Z40^2*1E-4/1000)+((MAX(AR40,AT40)*AK40*Z40^2*1E-4/1000)+(IF(AND(AR40&gt;0,AT40&gt;0),MIN(AR40,AT40),MAX(AR40,AT40))*AK40*Z40^2*1E-4/1000))/2)+AY40-(IF(AND(AR40&gt;0,AT40&gt;0),MIN(AR40,AT40),MAX(AR40,AT40))*AK40*Z40^2*1E-4/1000))^2-16*((AV40*AK40*Z40^2*1E-4/1000)+((MAX(AR40,AT40)*AK40*Z40^2*1E-4/1000)+(IF(AND(AR40&gt;0,AT40&gt;0),MIN(AR40,AT40),MAX(AR40,AT40))*AK40*Z40^2*1E-4/1000))/2)*AY40)&lt;0,CEILING(AC40,5),CEILING(MAX(AC40*((4*((AV40*AK40*Z40^2*1E-4/1000)+((MAX(AR40,AT40)*AK40*Z40^2*1E-4/1000)+(IF(AND(AR40&gt;0,AT40&gt;0),MIN(AR40,AT40),MAX(AR40,AT40))*AK40*Z40^2*1E-4/1000))/2)+AY40-(IF(AND(AR40&gt;0,AT40&gt;0),MIN(AR40,AT40),MAX(AR40,AT40))*AK40*Z40^2*1E-4/1000))-SQRT(MAX(0,((4*((AV40*AK40*Z40^2*1E-4/1000)+((MAX(AR40,AT40)*AK40*Z40^2*1E-4/1000)+(IF(AND(AR40&gt;0,AT40&gt;0),MIN(AR40,AT40),MAX(AR40,AT40))*AK40*Z40^2*1E-4/1000))/2)+AY40-(IF(AND(AR40&gt;0,AT40&gt;0),MIN(AR40,AT40),MAX(AR40,AT40))*AK40*Z40^2*1E-4/1000))^2-16*((AV40*AK40*Z40^2*1E-4/1000)+((MAX(AR40,AT40)*AK40*Z40^2*1E-4/1000)+(IF(AND(AR40&gt;0,AT40&gt;0),MIN(AR40,AT40),MAX(AR40,AT40))*AK40*Z40^2*1E-4/1000))/2)*AY40))))/(8*MAX(((AV40*AK40*Z40^2*1E-4/1000)+((MAX(AR40,AT40)*AK40*Z40^2*1E-4/1000)+(IF(AND(AR40&gt;0,AT40&gt;0),MIN(AR40,AT40),MAX(AR40,AT40))*AK40*Z40^2*1E-4/1000))/2),1E-9))+MAX(BU40,12*INDEX(TABLAS!$C$52:$C$58,MATCH(BR40,TABLAS!$B$52:$B$58,0)),AC40/16),IF(OR(AF40&lt;INDEX(TABLAS!$C$52:$C$58,MATCH(BR40,TABLAS!$B$52:$B$58,0)),BS40-INDEX(TABLAS!$C$52:$C$58,MATCH(BR40,TABLAS!$B$52:$B$58,0))&lt;2*INDEX(TABLAS!$C$52:$C$58,MATCH(BR40,TABLAS!$B$52:$B$58,0))),INDEX(TABLAS!$I$52:$I$58,MATCH(BR40,TABLAS!$B$52:$B$58,0)),INDEX(TABLAS!$F$52:$F$58,MATCH(BR40,TABLAS!$B$52:$B$58,0)))),5))))</f>
        <v/>
      </c>
      <c r="DA40" s="60" t="str">
        <f>IF(V40&lt;&gt;"SÍ","",IF(C40="VOLADO",0,IF(((4*((AW40*AK40*Z40^2*1E-4/1000)+((MAX(AS40,AU40)*AK40*Z40^2*1E-4/1000)+(IF(AND(AS40&gt;0,AU40&gt;0),MIN(AS40,AU40),MAX(AS40,AU40))*AK40*Z40^2*1E-4/1000))/2)+BA40-(IF(AND(AS40&gt;0,AU40&gt;0),MIN(AS40,AU40),MAX(AS40,AU40))*AK40*Z40^2*1E-4/1000))^2-16*((AW40*AK40*Z40^2*1E-4/1000)+((MAX(AS40,AU40)*AK40*Z40^2*1E-4/1000)+(IF(AND(AS40&gt;0,AU40&gt;0),MIN(AS40,AU40),MAX(AS40,AU40))*AK40*Z40^2*1E-4/1000))/2)*BA40)&lt;0,CEILING(AD40,5),CEILING(MAX(AD40*((4*((AW40*AK40*Z40^2*1E-4/1000)+((MAX(AS40,AU40)*AK40*Z40^2*1E-4/1000)+(IF(AND(AS40&gt;0,AU40&gt;0),MIN(AS40,AU40),MAX(AS40,AU40))*AK40*Z40^2*1E-4/1000))/2)+BA40-(IF(AND(AS40&gt;0,AU40&gt;0),MIN(AS40,AU40),MAX(AS40,AU40))*AK40*Z40^2*1E-4/1000))-SQRT(MAX(0,((4*((AW40*AK40*Z40^2*1E-4/1000)+((MAX(AS40,AU40)*AK40*Z40^2*1E-4/1000)+(IF(AND(AS40&gt;0,AU40&gt;0),MIN(AS40,AU40),MAX(AS40,AU40))*AK40*Z40^2*1E-4/1000))/2)+BA40-(IF(AND(AS40&gt;0,AU40&gt;0),MIN(AS40,AU40),MAX(AS40,AU40))*AK40*Z40^2*1E-4/1000))^2-16*((AW40*AK40*Z40^2*1E-4/1000)+((MAX(AS40,AU40)*AK40*Z40^2*1E-4/1000)+(IF(AND(AS40&gt;0,AU40&gt;0),MIN(AS40,AU40),MAX(AS40,AU40))*AK40*Z40^2*1E-4/1000))/2)*BA40))))/(8*MAX(((AW40*AK40*Z40^2*1E-4/1000)+((MAX(AS40,AU40)*AK40*Z40^2*1E-4/1000)+(IF(AND(AS40&gt;0,AU40&gt;0),MIN(AS40,AU40),MAX(AS40,AU40))*AK40*Z40^2*1E-4/1000))/2),1E-9))+MAX(CO40,12*INDEX(TABLAS!$C$52:$C$58,MATCH(CL40,TABLAS!$B$52:$B$58,0)),AD40/16),IF(OR(AF40&lt;INDEX(TABLAS!$C$52:$C$58,MATCH(CL40,TABLAS!$B$52:$B$58,0)),CM40-INDEX(TABLAS!$C$52:$C$58,MATCH(CL40,TABLAS!$B$52:$B$58,0))&lt;2*INDEX(TABLAS!$C$52:$C$58,MATCH(CL40,TABLAS!$B$52:$B$58,0))),INDEX(TABLAS!$I$52:$I$58,MATCH(CL40,TABLAS!$B$52:$B$58,0)),INDEX(TABLAS!$F$52:$F$58,MATCH(CL40,TABLAS!$B$52:$B$58,0)))),5))))</f>
        <v/>
      </c>
      <c r="DB40" s="55" t="str">
        <f>IF(V40&lt;&gt;"SÍ","",IF(AND(C40="PERIMETRAL",AL40-AM40&gt;0,AT40&gt;0),"SÍ","NO"))</f>
        <v/>
      </c>
      <c r="DC40" s="55" t="str">
        <f>IF(V40&lt;&gt;"SÍ","",IF(AND(C40="PERIMETRAL",AM40&gt;0,AU40&gt;0),"SÍ","NO"))</f>
        <v/>
      </c>
      <c r="DD40" s="63" t="str">
        <f>IF(V40&lt;&gt;"SÍ","",IF(OR(C40="VOLADO",AL40=0),"—",IF(AND(AND(INDEX(TABLAS!$G$52:$G$58,MATCH(MAX(BR40,CL40),TABLAS!$B$52:$B$58,0))&lt;=(DATOS!$C$72-DATOS!$C$60),(DATOS!$C$72-DATOS!$C$60)&gt;=15),8*INDEX(TABLAS!$C$52:$C$58,MATCH(MAX(BH40,CB40,BR40,CL40),TABLAS!$B$52:$B$58,0))&lt;=DATOS!$C$73-2*DATOS!$C$60),"CUMPLE (gancho de 180°)",IF(AND(INDEX(TABLAS!$G$52:$G$58,MATCH(MAX(BR40,CL40),TABLAS!$B$52:$B$58,0))&lt;=(DATOS!$C$72-DATOS!$C$60),(DATOS!$C$72-DATOS!$C$60)&gt;=15),"NO CUMPLE: el gancho de 180° (8·d_b) no cabe en el peralte de la dala de borde","NO CUMPLE: dala de borde ≥ "&amp;TEXT(CEILING(MAX(INDEX(TABLAS!$G$52:$G$58,MATCH(MAX(BR40,CL40),TABLAS!$B$52:$B$58,0)),15)+DATOS!$C$60,5),"0")&amp;" cm de ancho"&amp;IF(8*INDEX(TABLAS!$C$52:$C$58,MATCH(MAX(BH40,CB40,BR40,CL40),TABLAS!$B$52:$B$58,0))&lt;=DATOS!$C$73-2*DATOS!$C$60,""," y más peralte para el gancho")))))</f>
        <v/>
      </c>
      <c r="DE40" s="69" t="str">
        <f>IF(V40&lt;&gt;"SÍ","",IF(BI40=0,"NO ALCANZA","No. "&amp;BH40&amp;" @ "&amp;BI40&amp;" cm"&amp;IF(C40="VOLADO"," (temperatura)","")))</f>
        <v/>
      </c>
      <c r="DF40" s="69" t="str">
        <f>IF(V40&lt;&gt;"SÍ","",IF(BS40=0,"NO ALCANZA",IF(C40="VOLADO","No. "&amp;BR40&amp;" @ "&amp;BS40&amp;" cm"&amp;" de la orilla al respaldo ("&amp;IF(CZ40&gt;=100*IF(ISNUMBER(Q40),Q40,Z40),"hasta su apoyo lejano, con gancho","entran "&amp;TEXT(CZ40/100,"0.00")&amp;" m desde el paño")&amp;")","Bastones "&amp;"No. "&amp;BR40&amp;" @ "&amp;BS40&amp;" cm"&amp;", L = "&amp;TEXT(CZ40/100,"0.00")&amp;" m desde el paño")))</f>
        <v/>
      </c>
      <c r="DG40" s="69" t="str">
        <f>IF(V40&lt;&gt;"SÍ","",IF(CC40=0,"NO ALCANZA","No. "&amp;CB40&amp;" @ "&amp;CC40&amp;" cm"&amp;IF(C40="VOLADO"," (repartición)","")))</f>
        <v/>
      </c>
      <c r="DH40" s="69" t="str">
        <f>IF(V40&lt;&gt;"SÍ","",IF(CM40=0,"NO ALCANZA",IF(C40="VOLADO","No. "&amp;CL40&amp;" @ "&amp;CM40&amp;" cm"&amp;" (repartición)","Bastones "&amp;"No. "&amp;CL40&amp;" @ "&amp;CM40&amp;" cm"&amp;", L = "&amp;TEXT(DA40/100,"0.00")&amp;" m desde el paño")))</f>
        <v/>
      </c>
      <c r="DI40" s="67" t="str">
        <f>IF(B40="","",IF(V40&lt;&gt;"SÍ","FALTAN DATOS: tipo, a_x, a_y y destino",IF(L40="NO MONOLÍTICO (caso II)","FUERA DE ALCANCE: caso II no transcrito",IF(AND(C40="VOLADO",X40="?"),"REVISAR: el volado lleva UN solo borde CONTINUO (el empotrado)",IF(AND(MAX(BM40,BW40,CG40,CQ40)&lt;=1,NOT(OR(BI40&lt;DATOS!$C$140,BS40&lt;DATOS!$C$140,CC40&lt;DATOS!$C$140,CM40&lt;DATOS!$C$140)),NOT(OR(AND(ISNUMBER(BN40),BN40&lt;0.005),AND(ISNUMBER(BX40),BX40&lt;0.005),AND(ISNUMBER(CH40),CH40&lt;0.005),AND(ISNUMBER(CR40),CR40&lt;0.005))),CV40="CUMPLE",CY40="CUMPLE"),"CUMPLE"&amp;IF(LEFT(BB40,5)="FUERA"," · fuera de 3.4.2.1 c)","")&amp;IF(LEFT(DD40,2)="NO"," · REVISAR anclaje en borde discontinuo",""),IF(AND(MAX(BM40,BW40,CG40,CQ40)&lt;=1,NOT(OR(BI40&lt;DATOS!$C$140,BS40&lt;DATOS!$C$140,CC40&lt;DATOS!$C$140,CM40&lt;DATOS!$C$140)),NOT(OR(AND(ISNUMBER(BN40),BN40&lt;0.005),AND(ISNUMBER(BX40),BX40&lt;0.005),AND(ISNUMBER(CH40),CH40&lt;0.005),AND(ISNUMBER(CR40),CR40&lt;0.005))),CV40="CUMPLE",CY40="CALCULAR FLECHA"),"REVISAR: calcular flecha (h &lt; h mín.)"&amp;IF(LEFT(BB40,5)="FUERA"," · fuera de 3.4.2.1 c)","")&amp;IF(LEFT(DD40,2)="NO"," · REVISAR anclaje en borde discontinuo",""),"NO CUMPLE: "&amp;IF(MAX(BM40,BW40,CG40,CQ40)&gt;1,"flexión ","")&amp;IF(OR(BI40&lt;DATOS!$C$140,BS40&lt;DATOS!$C$140,CC40&lt;DATOS!$C$140,CM40&lt;DATOS!$C$140),"separación &lt; mínima ","")&amp;IF(OR(AND(ISNUMBER(BN40),BN40&lt;0.005),AND(ISNUMBER(BX40),BX40&lt;0.005),AND(ISNUMBER(CH40),CH40&lt;0.005),AND(ISNUMBER(CR40),CR40&lt;0.005)),"ε_t &lt; 0.005 ","")&amp;IF(CV40&lt;&gt;"CUMPLE","cortante ","")&amp;IF(CY40="NO CUMPLE","peralte","")))))))</f>
        <v/>
      </c>
      <c r="DJ40" s="70" t="str">
        <f>IF(V40&lt;&gt;"SÍ","",IF(LEFT(B40,7)="EJEMPLO","EJEMPLO de tablero típico: bórralo o sobrescríbelo. ","")&amp;IF(C40="VOLADO","Volado de "&amp;TEXT(Z40,"0.00")&amp;" m empotrado en el borde "&amp;LOWER(X40)&amp;IF(N(P40)&gt;0,", con "&amp;TEXT(P40,"0.0")&amp;" kg/m en la orilla","")&amp;". Lecho inferior con r_ext. Si la orilla carga pretil u otro elemento frágil, calcula la flecha (13.4). El acero superior entra al respaldo de "&amp;TEXT(IF(ISNUMBER(Q40),Q40,Z40),"0.00")&amp;" m"&amp;IF(ISNUMBER(Q40),""," (L_b no capturado: se tomó igual al volado)")&amp;" hasta pasar M = 0 con 0.9·PP sin carga viva; si ahí no se anula, llega al apoyo lejano y se ancla con gancho. ","")&amp;IF(LEFT(BB40,5)="FUERA","El M⁻ del vecino difiere más de 50 % (3.4.2.1 c): distribuye el desequilibrio (3.4.3.1) o confirma con un modelo; se arma con el mayor. ","")&amp;IF(OR(DB40="SÍ",DC40="SÍ"),"Bastones también en los bordes discontinuos (M⁻ de tabla), con gancho. ","")&amp;IF(LEFT(DD40,2)="NO","Anclaje: "&amp;DD40&amp;" (6.7.7.4.1.1). ","")&amp;IF(OR(AT40&gt;0,AU40&gt;0),"Esquinas exteriores sobre muro: refuerzo de esquina arriba y abajo en L_largo/5 (6.7.7.3.1). ",""))</f>
        <v/>
      </c>
    </row>
    <row r="41" ht="33" customHeight="1">
      <c r="A41" s="50">
        <f>IF(B41="",0,1)+A40</f>
        <v>3</v>
      </c>
      <c r="B41" s="29" t="n"/>
      <c r="C41" s="51" t="n"/>
      <c r="D41" s="29" t="n"/>
      <c r="E41" s="52" t="n"/>
      <c r="F41" s="52" t="n"/>
      <c r="G41" s="51" t="n"/>
      <c r="H41" s="51" t="n"/>
      <c r="I41" s="51" t="n"/>
      <c r="J41" s="51" t="n"/>
      <c r="K41" s="51" t="n"/>
      <c r="L41" s="51" t="n"/>
      <c r="M41" s="54" t="n"/>
      <c r="N41" s="53" t="n"/>
      <c r="O41" s="53" t="n"/>
      <c r="P41" s="54" t="n"/>
      <c r="Q41" s="52" t="n"/>
      <c r="R41" s="54" t="n"/>
      <c r="S41" s="53" t="n"/>
      <c r="T41" s="52" t="n"/>
      <c r="U41" s="52" t="n"/>
      <c r="V41" s="55" t="str">
        <f>IF(B41="","",IF(AND(OR(C41="PERIMETRAL",C41="VOLADO"),ISNUMBER(E41),ISNUMBER(F41),E41&gt;0,F41&gt;0,OR(ISNUMBER(O41),ISNUMBER(MATCH(D41,DATOS!$B$46:$B$55,0)))),"SÍ","NO"))</f>
        <v/>
      </c>
      <c r="W41" s="57" t="str">
        <f>IF(V41&lt;&gt;"SÍ","",IF(ISNUMBER(M41),M41,DATOS!$C$134))</f>
        <v/>
      </c>
      <c r="X41" s="55" t="str">
        <f>IF(V41&lt;&gt;"SÍ","",IF(C41&lt;&gt;"VOLADO","—",IF(COUNTIF(G41:J41,"CONTINUO")&lt;&gt;1,"?",IF(G41="CONTINUO","INFERIOR",IF(H41="CONTINUO","SUPERIOR",IF(I41="CONTINUO","IZQUIERDO","DERECHO"))))))</f>
        <v/>
      </c>
      <c r="Y41" s="55" t="str">
        <f>IF(V41&lt;&gt;"SÍ","",IF(C41="VOLADO",IF(OR(X41="IZQUIERDO",X41="DERECHO"),"X","Y"),IF(E41&lt;=F41,"X","Y")))</f>
        <v/>
      </c>
      <c r="Z41" s="56" t="str">
        <f>IF(V41&lt;&gt;"SÍ","",IF(C41="VOLADO",IF(Y41="X",E41,F41),MIN(E41,F41)))</f>
        <v/>
      </c>
      <c r="AA41" s="56" t="str">
        <f>IF(V41&lt;&gt;"SÍ","",IF(C41="VOLADO",IF(Y41="X",F41,E41),MAX(E41,F41)))</f>
        <v/>
      </c>
      <c r="AB41" s="56" t="str">
        <f>IF(V41&lt;&gt;"SÍ","",MIN(Z41,AA41)/MAX(Z41,AA41))</f>
        <v/>
      </c>
      <c r="AC41" s="57" t="str">
        <f>IF(V41&lt;&gt;"SÍ","",MAX(1,Z41*100-IF(C41="VOLADO",DATOS!$C$84/2,DATOS!$C$84)))</f>
        <v/>
      </c>
      <c r="AD41" s="57" t="str">
        <f>IF(V41&lt;&gt;"SÍ","",MAX(1,AA41*100-DATOS!$C$84))</f>
        <v/>
      </c>
      <c r="AE41" s="57" t="str">
        <f>IF(V41&lt;&gt;"SÍ","",IF(C41="VOLADO",DATOS!$C$61,DATOS!$C$59))</f>
        <v/>
      </c>
      <c r="AF41" s="57" t="str">
        <f>IF(V41&lt;&gt;"SÍ","",IF(OR(AND(AG41="SÍ",DATOS!$C$63="SÍ"),AND(C41="VOLADO",DATOS!$C$64="SÍ")),DATOS!$C$61,DATOS!$C$59))</f>
        <v/>
      </c>
      <c r="AG41" s="55" t="str">
        <f>IF(V41&lt;&gt;"SÍ","",IFERROR(INDEX(DATOS!$D$46:$D$55,MATCH(D41,DATOS!$B$46:$B$55,0)),"NO"))</f>
        <v/>
      </c>
      <c r="AH41" s="59" t="str">
        <f>IF(V41&lt;&gt;"SÍ","",IF(ISNUMBER(O41),O41,IFERROR(INDEX(DATOS!$C$46:$C$55,MATCH(D41,DATOS!$B$46:$B$55,0)),0)))</f>
        <v/>
      </c>
      <c r="AI41" s="59" t="str">
        <f>IF(V41&lt;&gt;"SÍ","",W41/100*DATOS!$C$16*1000+DATOS!$C$37+DATOS!$C$38)</f>
        <v/>
      </c>
      <c r="AJ41" s="59" t="str">
        <f>IF(V41&lt;&gt;"SÍ","",AI41+N(N41))</f>
        <v/>
      </c>
      <c r="AK41" s="60" t="str">
        <f>IF(V41&lt;&gt;"SÍ","",MAX(DATOS!$C$26*AJ41+DATOS!$C$27*AH41,IF(AG41="SÍ",DATOS!$C$28*(AJ41+DATOS!$C$41),0)))</f>
        <v/>
      </c>
      <c r="AL41" s="59" t="str">
        <f>IF(V41&lt;&gt;"SÍ","",(G41="DISCONTINUO")+(H41="DISCONTINUO")+(I41="DISCONTINUO")+(J41="DISCONTINUO"))</f>
        <v/>
      </c>
      <c r="AM41" s="59" t="str">
        <f>IF(V41&lt;&gt;"SÍ","",IF(Y41="X",(G41="DISCONTINUO")+(H41="DISCONTINUO"),(I41="DISCONTINUO")+(J41="DISCONTINUO")))</f>
        <v/>
      </c>
      <c r="AN41" s="55" t="str">
        <f>IF(V41&lt;&gt;"SÍ","",IF(AL41=0,"INTERIOR",IF(AL41=1,IF(AM41=1,"BORDE-CORTO","BORDE-LARGO"),IF(AL41=2,IF(AM41=1,"ESQUINA",IF(AM41=2,"EXTREMO-LARGO","EXTREMO-CORTO")),IF(AL41=3,IF(AM41=2,"EXTREMO-LARGO","EXTREMO-CORTO"),"AISLADO")))))</f>
        <v/>
      </c>
      <c r="AO41" s="61" t="str">
        <f>IF(V41&lt;&gt;"SÍ","",IF(OR(K41="",K41="AUTO"),AN41,K41))</f>
        <v/>
      </c>
      <c r="AP41" s="59" t="str">
        <f>IF(V41&lt;&gt;"SÍ","",MATCH(AB41,TABLAS!$D$5:$J$5,1))</f>
        <v/>
      </c>
      <c r="AQ41" s="58" t="str">
        <f>IF(V41&lt;&gt;"SÍ","",IF(AP41&gt;=7,0,(AB41-INDEX(TABLAS!$D$5:$J$5,AP41))/(INDEX(TABLAS!$D$5:$J$5,AP41+1)-INDEX(TABLAS!$D$5:$J$5,AP41))))</f>
        <v/>
      </c>
      <c r="AR41" s="59" t="str">
        <f>IF(V41&lt;&gt;"SÍ","",INDEX(TABLAS!$D$6:$J$47,MATCH(AO41&amp;"|NIC",TABLAS!$B$6:$B$47,0),AP41)+AQ41*(INDEX(TABLAS!$D$6:$J$47,MATCH(AO41&amp;"|NIC",TABLAS!$B$6:$B$47,0),MIN(AP41+1,7))-INDEX(TABLAS!$D$6:$J$47,MATCH(AO41&amp;"|NIC",TABLAS!$B$6:$B$47,0),AP41)))</f>
        <v/>
      </c>
      <c r="AS41" s="59" t="str">
        <f>IF(V41&lt;&gt;"SÍ","",INDEX(TABLAS!$D$6:$J$47,MATCH(AO41&amp;"|NIL",TABLAS!$B$6:$B$47,0),AP41)+AQ41*(INDEX(TABLAS!$D$6:$J$47,MATCH(AO41&amp;"|NIL",TABLAS!$B$6:$B$47,0),MIN(AP41+1,7))-INDEX(TABLAS!$D$6:$J$47,MATCH(AO41&amp;"|NIL",TABLAS!$B$6:$B$47,0),AP41)))</f>
        <v/>
      </c>
      <c r="AT41" s="59" t="str">
        <f>IF(V41&lt;&gt;"SÍ","",INDEX(TABLAS!$D$6:$J$47,MATCH(AO41&amp;"|NDC",TABLAS!$B$6:$B$47,0),AP41)+AQ41*(INDEX(TABLAS!$D$6:$J$47,MATCH(AO41&amp;"|NDC",TABLAS!$B$6:$B$47,0),MIN(AP41+1,7))-INDEX(TABLAS!$D$6:$J$47,MATCH(AO41&amp;"|NDC",TABLAS!$B$6:$B$47,0),AP41)))</f>
        <v/>
      </c>
      <c r="AU41" s="59" t="str">
        <f>IF(V41&lt;&gt;"SÍ","",INDEX(TABLAS!$D$6:$J$47,MATCH(AO41&amp;"|NDL",TABLAS!$B$6:$B$47,0),AP41)+AQ41*(INDEX(TABLAS!$D$6:$J$47,MATCH(AO41&amp;"|NDL",TABLAS!$B$6:$B$47,0),MIN(AP41+1,7))-INDEX(TABLAS!$D$6:$J$47,MATCH(AO41&amp;"|NDL",TABLAS!$B$6:$B$47,0),AP41)))</f>
        <v/>
      </c>
      <c r="AV41" s="59" t="str">
        <f>IF(V41&lt;&gt;"SÍ","",INDEX(TABLAS!$D$6:$J$47,MATCH(AO41&amp;"|PC",TABLAS!$B$6:$B$47,0),AP41)+AQ41*(INDEX(TABLAS!$D$6:$J$47,MATCH(AO41&amp;"|PC",TABLAS!$B$6:$B$47,0),MIN(AP41+1,7))-INDEX(TABLAS!$D$6:$J$47,MATCH(AO41&amp;"|PC",TABLAS!$B$6:$B$47,0),AP41)))</f>
        <v/>
      </c>
      <c r="AW41" s="59" t="str">
        <f>IF(V41&lt;&gt;"SÍ","",INDEX(TABLAS!$D$6:$J$47,MATCH(AO41&amp;"|PL",TABLAS!$B$6:$B$47,0),AP41)+AQ41*(INDEX(TABLAS!$D$6:$J$47,MATCH(AO41&amp;"|PL",TABLAS!$B$6:$B$47,0),MIN(AP41+1,7))-INDEX(TABLAS!$D$6:$J$47,MATCH(AO41&amp;"|PL",TABLAS!$B$6:$B$47,0),AP41)))</f>
        <v/>
      </c>
      <c r="AX41" s="56" t="str">
        <f>IF(V41&lt;&gt;"SÍ","",IF(C41="PERIMETRAL",AV41*AK41*Z41^2*1E-4/1000,0))</f>
        <v/>
      </c>
      <c r="AY41" s="62" t="str">
        <f>IF(V41&lt;&gt;"SÍ","",IF(C41="PERIMETRAL",MAX(MAX(AR41,AT41)*AK41*Z41^2*1E-4/1000,N(T41)),(AK41*(AC41/100)^2/2+DATOS!$C$26*N(P41)*AC41/100)/1000))</f>
        <v/>
      </c>
      <c r="AZ41" s="56" t="str">
        <f>IF(V41&lt;&gt;"SÍ","",IF(C41="PERIMETRAL",AW41*AK41*Z41^2*1E-4/1000,0))</f>
        <v/>
      </c>
      <c r="BA41" s="56" t="str">
        <f>IF(V41&lt;&gt;"SÍ","",IF(C41="PERIMETRAL",MAX(MAX(AS41,AU41)*AK41*Z41^2*1E-4/1000,N(U41)),0))</f>
        <v/>
      </c>
      <c r="BB41" s="63" t="str">
        <f>IF(V41&lt;&gt;"SÍ","",IF(C41&lt;&gt;"PERIMETRAL","—",IF(AND(N(T41)=0,N(U41)=0),"— (sin M⁻ del vecino)",IF(OR(AND(N(T41)&gt;0,ABS(MAX(AR41,AT41)*AK41*Z41^2*1E-4/1000-N(T41))&gt;0.5*MIN(MAX(AR41,AT41)*AK41*Z41^2*1E-4/1000,N(T41))),AND(N(U41)&gt;0,ABS(MAX(AS41,AU41)*AK41*Z41^2*1E-4/1000-N(U41))&gt;0.5*MIN(MAX(AS41,AU41)*AK41*Z41^2*1E-4/1000,N(U41)))),"FUERA: difieren &gt; 50 %"&amp;IF(AND(N(T41)&gt;0,ABS(MAX(AR41,AT41)*AK41*Z41^2*1E-4/1000-N(T41))&gt;0.5*MIN(MAX(AR41,AT41)*AK41*Z41^2*1E-4/1000,N(T41)))," ‖ corto","")&amp;IF(AND(N(U41)&gt;0,ABS(MAX(AS41,AU41)*AK41*Z41^2*1E-4/1000-N(U41))&gt;0.5*MIN(MAX(AS41,AU41)*AK41*Z41^2*1E-4/1000,N(U41)))," ‖ largo",""),"CUMPLE"))))</f>
        <v/>
      </c>
      <c r="BC41" s="58" t="str">
        <f>IF(V41&lt;&gt;"SÍ","",DATOS!$C$136*100*W41)</f>
        <v/>
      </c>
      <c r="BD41" s="57" t="str">
        <f>IF(V41&lt;&gt;"SÍ","",MIN(IF(C41="VOLADO",DATOS!$C$138,DATOS!$C$137)*W41,DATOS!$C$139))</f>
        <v/>
      </c>
      <c r="BE41" s="58" t="str">
        <f>IF(V41&lt;&gt;"SÍ","",(W41-AE41-INDEX(TABLAS!$C$52:$C$58,MATCH(IF(ISNUMBER(S41),S41,DATOS!$C$135),TABLAS!$B$52:$B$58,0))/2))</f>
        <v/>
      </c>
      <c r="BF41" s="58" t="str">
        <f>IF(V41&lt;&gt;"SÍ","",IF(AX41&lt;=0,0,IF((1-2*AX41*1E5/(DATOS!$C$29*100*BE41^2*DATOS!$C$21))&lt;0,-1,IF((1-SQRT((1-2*AX41*1E5/(DATOS!$C$29*100*BE41^2*DATOS!$C$21))))*DATOS!$C$21*100*BE41/DATOS!$C$14&gt;DATOS!$C$99*100*BE41,-1,(1-SQRT((1-2*AX41*1E5/(DATOS!$C$29*100*BE41^2*DATOS!$C$21))))*DATOS!$C$21*100*BE41/DATOS!$C$14))))</f>
        <v/>
      </c>
      <c r="BG41" s="58" t="str">
        <f>IF(V41&lt;&gt;"SÍ","",IF(BF41&lt;0,-1,MAX(BF41,BC41)))</f>
        <v/>
      </c>
      <c r="BH41" s="64" t="str">
        <f>IF(V41&lt;&gt;"SÍ","",IF(AND(BG41&gt;0,FLOOR(MIN(BD41,100*INDEX(TABLAS!$D$52:$D$58,MIN(MATCH(IF(ISNUMBER(S41),S41,DATOS!$C$135),TABLAS!$B$52:$B$58,0)+0,7))/MAX(BG41,0.0001)),DATOS!$C$141)&gt;=DATOS!$C$140),INDEX(TABLAS!$B$52:$B$58,MIN(MATCH(IF(ISNUMBER(S41),S41,DATOS!$C$135),TABLAS!$B$52:$B$58,0)+0,7)),IF(AND(BG41&gt;0,FLOOR(MIN(BD41,100*INDEX(TABLAS!$D$52:$D$58,MIN(MATCH(IF(ISNUMBER(S41),S41,DATOS!$C$135),TABLAS!$B$52:$B$58,0)+1,7))/MAX(BG41,0.0001)),DATOS!$C$141)&gt;=DATOS!$C$140),INDEX(TABLAS!$B$52:$B$58,MIN(MATCH(IF(ISNUMBER(S41),S41,DATOS!$C$135),TABLAS!$B$52:$B$58,0)+1,7)),IF(AND(BG41&gt;0,FLOOR(MIN(BD41,100*INDEX(TABLAS!$D$52:$D$58,MIN(MATCH(IF(ISNUMBER(S41),S41,DATOS!$C$135),TABLAS!$B$52:$B$58,0)+2,7))/MAX(BG41,0.0001)),DATOS!$C$141)&gt;=DATOS!$C$140),INDEX(TABLAS!$B$52:$B$58,MIN(MATCH(IF(ISNUMBER(S41),S41,DATOS!$C$135),TABLAS!$B$52:$B$58,0)+2,7)),IF(AND(BG41&gt;0,FLOOR(MIN(BD41,100*INDEX(TABLAS!$D$52:$D$58,MIN(MATCH(IF(ISNUMBER(S41),S41,DATOS!$C$135),TABLAS!$B$52:$B$58,0)+3,7))/MAX(BG41,0.0001)),DATOS!$C$141)&gt;=DATOS!$C$140),INDEX(TABLAS!$B$52:$B$58,MIN(MATCH(IF(ISNUMBER(S41),S41,DATOS!$C$135),TABLAS!$B$52:$B$58,0)+3,7)),IF(AND(BG41&gt;0,FLOOR(MIN(BD41,100*INDEX(TABLAS!$D$52:$D$58,MIN(MATCH(IF(ISNUMBER(S41),S41,DATOS!$C$135),TABLAS!$B$52:$B$58,0)+4,7))/MAX(BG41,0.0001)),DATOS!$C$141)&gt;=DATOS!$C$140),INDEX(TABLAS!$B$52:$B$58,MIN(MATCH(IF(ISNUMBER(S41),S41,DATOS!$C$135),TABLAS!$B$52:$B$58,0)+4,7)),INDEX(TABLAS!$B$52:$B$58,7)))))))</f>
        <v/>
      </c>
      <c r="BI41" s="71" t="str">
        <f>IF(V41&lt;&gt;"SÍ","",IF(BG41&lt;=0,0,FLOOR(MIN(BD41,100*INDEX(TABLAS!$D$52:$D$58,MATCH(BH41,TABLAS!$B$52:$B$58,0))/BG41),DATOS!$C$141)))</f>
        <v/>
      </c>
      <c r="BJ41" s="58" t="str">
        <f>IF(V41&lt;&gt;"SÍ","",IF(BI41&lt;=0,0,INDEX(TABLAS!$D$52:$D$58,MATCH(BH41,TABLAS!$B$52:$B$58,0))*100/BI41))</f>
        <v/>
      </c>
      <c r="BK41" s="58" t="str">
        <f>IF(V41&lt;&gt;"SÍ","",W41-AE41-INDEX(TABLAS!$C$52:$C$58,MATCH(BH41,TABLAS!$B$52:$B$58,0))/2)</f>
        <v/>
      </c>
      <c r="BL41" s="56" t="str">
        <f>IF(V41&lt;&gt;"SÍ","",IF(BJ41=0,0,DATOS!$C$29*BJ41*DATOS!$C$14*(BK41-BJ41*DATOS!$C$14/(DATOS!$C$21*100)/2)/1E5))</f>
        <v/>
      </c>
      <c r="BM41" s="65" t="str">
        <f>IF(V41&lt;&gt;"SÍ","",IF(BG41&lt;0,9.99,IF(BL41&gt;0,AX41/BL41,0)))</f>
        <v/>
      </c>
      <c r="BN41" s="66" t="str">
        <f>IF(V41&lt;&gt;"SÍ","",IF(BJ41=0,"—",0.003*(BK41-(BJ41*DATOS!$C$14/(DATOS!$C$21*100)/DATOS!$C$22))/(BJ41*DATOS!$C$14/(DATOS!$C$21*100)/DATOS!$C$22)))</f>
        <v/>
      </c>
      <c r="BO41" s="58" t="str">
        <f>IF(V41&lt;&gt;"SÍ","",((W41-AF41-INDEX(TABLAS!$C$52:$C$58,MATCH(IF(ISNUMBER(S41),S41,DATOS!$C$135),TABLAS!$B$52:$B$58,0))/2)-IF(AND((W41-AF41-INDEX(TABLAS!$C$52:$C$58,MATCH(IF(ISNUMBER(S41),S41,DATOS!$C$135),TABLAS!$B$52:$B$58,0))/2)&lt;=20,DATOS!$C$62&lt;&gt;"SÍ"),2,0)))</f>
        <v/>
      </c>
      <c r="BP41" s="58" t="str">
        <f>IF(V41&lt;&gt;"SÍ","",IF(AY41&lt;=0,0,IF((1-2*AY41*1E5/(DATOS!$C$29*100*BO41^2*DATOS!$C$21))&lt;0,-1,IF((1-SQRT((1-2*AY41*1E5/(DATOS!$C$29*100*BO41^2*DATOS!$C$21))))*DATOS!$C$21*100*BO41/DATOS!$C$14&gt;DATOS!$C$99*100*BO41,-1,(1-SQRT((1-2*AY41*1E5/(DATOS!$C$29*100*BO41^2*DATOS!$C$21))))*DATOS!$C$21*100*BO41/DATOS!$C$14))))</f>
        <v/>
      </c>
      <c r="BQ41" s="58" t="str">
        <f>IF(V41&lt;&gt;"SÍ","",IF(BP41&lt;0,-1,MAX(BP41,BC41)))</f>
        <v/>
      </c>
      <c r="BR41" s="64" t="str">
        <f>IF(V41&lt;&gt;"SÍ","",IF(AND(BQ41&gt;0,FLOOR(MIN(BD41,100*INDEX(TABLAS!$D$52:$D$58,MIN(MATCH(IF(ISNUMBER(S41),S41,DATOS!$C$135),TABLAS!$B$52:$B$58,0)+0,7))/MAX(BQ41,0.0001)),DATOS!$C$141)&gt;=DATOS!$C$140),INDEX(TABLAS!$B$52:$B$58,MIN(MATCH(IF(ISNUMBER(S41),S41,DATOS!$C$135),TABLAS!$B$52:$B$58,0)+0,7)),IF(AND(BQ41&gt;0,FLOOR(MIN(BD41,100*INDEX(TABLAS!$D$52:$D$58,MIN(MATCH(IF(ISNUMBER(S41),S41,DATOS!$C$135),TABLAS!$B$52:$B$58,0)+1,7))/MAX(BQ41,0.0001)),DATOS!$C$141)&gt;=DATOS!$C$140),INDEX(TABLAS!$B$52:$B$58,MIN(MATCH(IF(ISNUMBER(S41),S41,DATOS!$C$135),TABLAS!$B$52:$B$58,0)+1,7)),IF(AND(BQ41&gt;0,FLOOR(MIN(BD41,100*INDEX(TABLAS!$D$52:$D$58,MIN(MATCH(IF(ISNUMBER(S41),S41,DATOS!$C$135),TABLAS!$B$52:$B$58,0)+2,7))/MAX(BQ41,0.0001)),DATOS!$C$141)&gt;=DATOS!$C$140),INDEX(TABLAS!$B$52:$B$58,MIN(MATCH(IF(ISNUMBER(S41),S41,DATOS!$C$135),TABLAS!$B$52:$B$58,0)+2,7)),IF(AND(BQ41&gt;0,FLOOR(MIN(BD41,100*INDEX(TABLAS!$D$52:$D$58,MIN(MATCH(IF(ISNUMBER(S41),S41,DATOS!$C$135),TABLAS!$B$52:$B$58,0)+3,7))/MAX(BQ41,0.0001)),DATOS!$C$141)&gt;=DATOS!$C$140),INDEX(TABLAS!$B$52:$B$58,MIN(MATCH(IF(ISNUMBER(S41),S41,DATOS!$C$135),TABLAS!$B$52:$B$58,0)+3,7)),IF(AND(BQ41&gt;0,FLOOR(MIN(BD41,100*INDEX(TABLAS!$D$52:$D$58,MIN(MATCH(IF(ISNUMBER(S41),S41,DATOS!$C$135),TABLAS!$B$52:$B$58,0)+4,7))/MAX(BQ41,0.0001)),DATOS!$C$141)&gt;=DATOS!$C$140),INDEX(TABLAS!$B$52:$B$58,MIN(MATCH(IF(ISNUMBER(S41),S41,DATOS!$C$135),TABLAS!$B$52:$B$58,0)+4,7)),INDEX(TABLAS!$B$52:$B$58,7)))))))</f>
        <v/>
      </c>
      <c r="BS41" s="71" t="str">
        <f>IF(V41&lt;&gt;"SÍ","",IF(BQ41&lt;=0,0,FLOOR(MIN(BD41,100*INDEX(TABLAS!$D$52:$D$58,MATCH(BR41,TABLAS!$B$52:$B$58,0))/BQ41),DATOS!$C$141)))</f>
        <v/>
      </c>
      <c r="BT41" s="58" t="str">
        <f>IF(V41&lt;&gt;"SÍ","",IF(BS41&lt;=0,0,INDEX(TABLAS!$D$52:$D$58,MATCH(BR41,TABLAS!$B$52:$B$58,0))*100/BS41))</f>
        <v/>
      </c>
      <c r="BU41" s="58" t="str">
        <f>IF(V41&lt;&gt;"SÍ","",((W41-AF41-INDEX(TABLAS!$C$52:$C$58,MATCH(BR41,TABLAS!$B$52:$B$58,0))/2)-IF(AND((W41-AF41-INDEX(TABLAS!$C$52:$C$58,MATCH(BR41,TABLAS!$B$52:$B$58,0))/2)&lt;=20,DATOS!$C$62&lt;&gt;"SÍ"),2,0)))</f>
        <v/>
      </c>
      <c r="BV41" s="56" t="str">
        <f>IF(V41&lt;&gt;"SÍ","",IF(BT41=0,0,DATOS!$C$29*BT41*DATOS!$C$14*(BU41-BT41*DATOS!$C$14/(DATOS!$C$21*100)/2)/1E5))</f>
        <v/>
      </c>
      <c r="BW41" s="65" t="str">
        <f>IF(V41&lt;&gt;"SÍ","",IF(BQ41&lt;0,9.99,IF(BV41&gt;0,AY41/BV41,0)))</f>
        <v/>
      </c>
      <c r="BX41" s="66" t="str">
        <f>IF(V41&lt;&gt;"SÍ","",IF(BT41=0,"—",0.003*(BU41-(BT41*DATOS!$C$14/(DATOS!$C$21*100)/DATOS!$C$22))/(BT41*DATOS!$C$14/(DATOS!$C$21*100)/DATOS!$C$22)))</f>
        <v/>
      </c>
      <c r="BY41" s="58" t="str">
        <f>IF(V41&lt;&gt;"SÍ","",(W41-AE41-1.5*INDEX(TABLAS!$C$52:$C$58,MATCH(IF(ISNUMBER(S41),S41,DATOS!$C$135),TABLAS!$B$52:$B$58,0))))</f>
        <v/>
      </c>
      <c r="BZ41" s="58" t="str">
        <f>IF(V41&lt;&gt;"SÍ","",IF(AZ41&lt;=0,0,IF((1-2*AZ41*1E5/(DATOS!$C$29*100*BY41^2*DATOS!$C$21))&lt;0,-1,IF((1-SQRT((1-2*AZ41*1E5/(DATOS!$C$29*100*BY41^2*DATOS!$C$21))))*DATOS!$C$21*100*BY41/DATOS!$C$14&gt;DATOS!$C$99*100*BY41,-1,(1-SQRT((1-2*AZ41*1E5/(DATOS!$C$29*100*BY41^2*DATOS!$C$21))))*DATOS!$C$21*100*BY41/DATOS!$C$14))))</f>
        <v/>
      </c>
      <c r="CA41" s="58" t="str">
        <f>IF(V41&lt;&gt;"SÍ","",IF(BZ41&lt;0,-1,MAX(BZ41,BC41)))</f>
        <v/>
      </c>
      <c r="CB41" s="64" t="str">
        <f>IF(V41&lt;&gt;"SÍ","",IF(AND(CA41&gt;0,FLOOR(MIN(BD41,100*INDEX(TABLAS!$D$52:$D$58,MIN(MATCH(IF(ISNUMBER(S41),S41,DATOS!$C$135),TABLAS!$B$52:$B$58,0)+0,7))/MAX(CA41,0.0001)),DATOS!$C$141)&gt;=DATOS!$C$140),INDEX(TABLAS!$B$52:$B$58,MIN(MATCH(IF(ISNUMBER(S41),S41,DATOS!$C$135),TABLAS!$B$52:$B$58,0)+0,7)),IF(AND(CA41&gt;0,FLOOR(MIN(BD41,100*INDEX(TABLAS!$D$52:$D$58,MIN(MATCH(IF(ISNUMBER(S41),S41,DATOS!$C$135),TABLAS!$B$52:$B$58,0)+1,7))/MAX(CA41,0.0001)),DATOS!$C$141)&gt;=DATOS!$C$140),INDEX(TABLAS!$B$52:$B$58,MIN(MATCH(IF(ISNUMBER(S41),S41,DATOS!$C$135),TABLAS!$B$52:$B$58,0)+1,7)),IF(AND(CA41&gt;0,FLOOR(MIN(BD41,100*INDEX(TABLAS!$D$52:$D$58,MIN(MATCH(IF(ISNUMBER(S41),S41,DATOS!$C$135),TABLAS!$B$52:$B$58,0)+2,7))/MAX(CA41,0.0001)),DATOS!$C$141)&gt;=DATOS!$C$140),INDEX(TABLAS!$B$52:$B$58,MIN(MATCH(IF(ISNUMBER(S41),S41,DATOS!$C$135),TABLAS!$B$52:$B$58,0)+2,7)),IF(AND(CA41&gt;0,FLOOR(MIN(BD41,100*INDEX(TABLAS!$D$52:$D$58,MIN(MATCH(IF(ISNUMBER(S41),S41,DATOS!$C$135),TABLAS!$B$52:$B$58,0)+3,7))/MAX(CA41,0.0001)),DATOS!$C$141)&gt;=DATOS!$C$140),INDEX(TABLAS!$B$52:$B$58,MIN(MATCH(IF(ISNUMBER(S41),S41,DATOS!$C$135),TABLAS!$B$52:$B$58,0)+3,7)),IF(AND(CA41&gt;0,FLOOR(MIN(BD41,100*INDEX(TABLAS!$D$52:$D$58,MIN(MATCH(IF(ISNUMBER(S41),S41,DATOS!$C$135),TABLAS!$B$52:$B$58,0)+4,7))/MAX(CA41,0.0001)),DATOS!$C$141)&gt;=DATOS!$C$140),INDEX(TABLAS!$B$52:$B$58,MIN(MATCH(IF(ISNUMBER(S41),S41,DATOS!$C$135),TABLAS!$B$52:$B$58,0)+4,7)),INDEX(TABLAS!$B$52:$B$58,7)))))))</f>
        <v/>
      </c>
      <c r="CC41" s="71" t="str">
        <f>IF(V41&lt;&gt;"SÍ","",IF(CA41&lt;=0,0,FLOOR(MIN(BD41,100*INDEX(TABLAS!$D$52:$D$58,MATCH(CB41,TABLAS!$B$52:$B$58,0))/CA41),DATOS!$C$141)))</f>
        <v/>
      </c>
      <c r="CD41" s="58" t="str">
        <f>IF(V41&lt;&gt;"SÍ","",IF(CC41&lt;=0,0,INDEX(TABLAS!$D$52:$D$58,MATCH(CB41,TABLAS!$B$52:$B$58,0))*100/CC41))</f>
        <v/>
      </c>
      <c r="CE41" s="58" t="str">
        <f>IF(V41&lt;&gt;"SÍ","",W41-AE41-INDEX(TABLAS!$C$52:$C$58,MATCH(BH41,TABLAS!$B$52:$B$58,0))-INDEX(TABLAS!$C$52:$C$58,MATCH(CB41,TABLAS!$B$52:$B$58,0))/2)</f>
        <v/>
      </c>
      <c r="CF41" s="56" t="str">
        <f>IF(V41&lt;&gt;"SÍ","",IF(CD41=0,0,DATOS!$C$29*CD41*DATOS!$C$14*(CE41-CD41*DATOS!$C$14/(DATOS!$C$21*100)/2)/1E5))</f>
        <v/>
      </c>
      <c r="CG41" s="65" t="str">
        <f>IF(V41&lt;&gt;"SÍ","",IF(CA41&lt;0,9.99,IF(CF41&gt;0,AZ41/CF41,0)))</f>
        <v/>
      </c>
      <c r="CH41" s="66" t="str">
        <f>IF(V41&lt;&gt;"SÍ","",IF(CD41=0,"—",0.003*(CE41-(CD41*DATOS!$C$14/(DATOS!$C$21*100)/DATOS!$C$22))/(CD41*DATOS!$C$14/(DATOS!$C$21*100)/DATOS!$C$22)))</f>
        <v/>
      </c>
      <c r="CI41" s="58" t="str">
        <f>IF(V41&lt;&gt;"SÍ","",((W41-AF41-1.5*INDEX(TABLAS!$C$52:$C$58,MATCH(IF(ISNUMBER(S41),S41,DATOS!$C$135),TABLAS!$B$52:$B$58,0)))-IF(AND((W41-AF41-1.5*INDEX(TABLAS!$C$52:$C$58,MATCH(IF(ISNUMBER(S41),S41,DATOS!$C$135),TABLAS!$B$52:$B$58,0)))&lt;=20,DATOS!$C$62&lt;&gt;"SÍ"),2,0)))</f>
        <v/>
      </c>
      <c r="CJ41" s="58" t="str">
        <f>IF(V41&lt;&gt;"SÍ","",IF(BA41&lt;=0,0,IF((1-2*BA41*1E5/(DATOS!$C$29*100*CI41^2*DATOS!$C$21))&lt;0,-1,IF((1-SQRT((1-2*BA41*1E5/(DATOS!$C$29*100*CI41^2*DATOS!$C$21))))*DATOS!$C$21*100*CI41/DATOS!$C$14&gt;DATOS!$C$99*100*CI41,-1,(1-SQRT((1-2*BA41*1E5/(DATOS!$C$29*100*CI41^2*DATOS!$C$21))))*DATOS!$C$21*100*CI41/DATOS!$C$14))))</f>
        <v/>
      </c>
      <c r="CK41" s="58" t="str">
        <f>IF(V41&lt;&gt;"SÍ","",IF(CJ41&lt;0,-1,MAX(CJ41,BC41)))</f>
        <v/>
      </c>
      <c r="CL41" s="64" t="str">
        <f>IF(V41&lt;&gt;"SÍ","",IF(AND(CK41&gt;0,FLOOR(MIN(BD41,100*INDEX(TABLAS!$D$52:$D$58,MIN(MATCH(IF(ISNUMBER(S41),S41,DATOS!$C$135),TABLAS!$B$52:$B$58,0)+0,7))/MAX(CK41,0.0001)),DATOS!$C$141)&gt;=DATOS!$C$140),INDEX(TABLAS!$B$52:$B$58,MIN(MATCH(IF(ISNUMBER(S41),S41,DATOS!$C$135),TABLAS!$B$52:$B$58,0)+0,7)),IF(AND(CK41&gt;0,FLOOR(MIN(BD41,100*INDEX(TABLAS!$D$52:$D$58,MIN(MATCH(IF(ISNUMBER(S41),S41,DATOS!$C$135),TABLAS!$B$52:$B$58,0)+1,7))/MAX(CK41,0.0001)),DATOS!$C$141)&gt;=DATOS!$C$140),INDEX(TABLAS!$B$52:$B$58,MIN(MATCH(IF(ISNUMBER(S41),S41,DATOS!$C$135),TABLAS!$B$52:$B$58,0)+1,7)),IF(AND(CK41&gt;0,FLOOR(MIN(BD41,100*INDEX(TABLAS!$D$52:$D$58,MIN(MATCH(IF(ISNUMBER(S41),S41,DATOS!$C$135),TABLAS!$B$52:$B$58,0)+2,7))/MAX(CK41,0.0001)),DATOS!$C$141)&gt;=DATOS!$C$140),INDEX(TABLAS!$B$52:$B$58,MIN(MATCH(IF(ISNUMBER(S41),S41,DATOS!$C$135),TABLAS!$B$52:$B$58,0)+2,7)),IF(AND(CK41&gt;0,FLOOR(MIN(BD41,100*INDEX(TABLAS!$D$52:$D$58,MIN(MATCH(IF(ISNUMBER(S41),S41,DATOS!$C$135),TABLAS!$B$52:$B$58,0)+3,7))/MAX(CK41,0.0001)),DATOS!$C$141)&gt;=DATOS!$C$140),INDEX(TABLAS!$B$52:$B$58,MIN(MATCH(IF(ISNUMBER(S41),S41,DATOS!$C$135),TABLAS!$B$52:$B$58,0)+3,7)),IF(AND(CK41&gt;0,FLOOR(MIN(BD41,100*INDEX(TABLAS!$D$52:$D$58,MIN(MATCH(IF(ISNUMBER(S41),S41,DATOS!$C$135),TABLAS!$B$52:$B$58,0)+4,7))/MAX(CK41,0.0001)),DATOS!$C$141)&gt;=DATOS!$C$140),INDEX(TABLAS!$B$52:$B$58,MIN(MATCH(IF(ISNUMBER(S41),S41,DATOS!$C$135),TABLAS!$B$52:$B$58,0)+4,7)),INDEX(TABLAS!$B$52:$B$58,7)))))))</f>
        <v/>
      </c>
      <c r="CM41" s="71" t="str">
        <f>IF(V41&lt;&gt;"SÍ","",IF(CK41&lt;=0,0,FLOOR(MIN(BD41,100*INDEX(TABLAS!$D$52:$D$58,MATCH(CL41,TABLAS!$B$52:$B$58,0))/CK41),DATOS!$C$141)))</f>
        <v/>
      </c>
      <c r="CN41" s="58" t="str">
        <f>IF(V41&lt;&gt;"SÍ","",IF(CM41&lt;=0,0,INDEX(TABLAS!$D$52:$D$58,MATCH(CL41,TABLAS!$B$52:$B$58,0))*100/CM41))</f>
        <v/>
      </c>
      <c r="CO41" s="58" t="str">
        <f>IF(V41&lt;&gt;"SÍ","",((W41-AF41-INDEX(TABLAS!$C$52:$C$58,MATCH(BR41,TABLAS!$B$52:$B$58,0))-INDEX(TABLAS!$C$52:$C$58,MATCH(CL41,TABLAS!$B$52:$B$58,0))/2)-IF(AND((W41-AF41-INDEX(TABLAS!$C$52:$C$58,MATCH(BR41,TABLAS!$B$52:$B$58,0))-INDEX(TABLAS!$C$52:$C$58,MATCH(CL41,TABLAS!$B$52:$B$58,0))/2)&lt;=20,DATOS!$C$62&lt;&gt;"SÍ"),2,0)))</f>
        <v/>
      </c>
      <c r="CP41" s="56" t="str">
        <f>IF(V41&lt;&gt;"SÍ","",IF(CN41=0,0,DATOS!$C$29*CN41*DATOS!$C$14*(CO41-CN41*DATOS!$C$14/(DATOS!$C$21*100)/2)/1E5))</f>
        <v/>
      </c>
      <c r="CQ41" s="65" t="str">
        <f>IF(V41&lt;&gt;"SÍ","",IF(CK41&lt;0,9.99,IF(CP41&gt;0,BA41/CP41,0)))</f>
        <v/>
      </c>
      <c r="CR41" s="66" t="str">
        <f>IF(V41&lt;&gt;"SÍ","",IF(CN41=0,"—",0.003*(CO41-(CN41*DATOS!$C$14/(DATOS!$C$21*100)/DATOS!$C$22))/(CN41*DATOS!$C$14/(DATOS!$C$21*100)/DATOS!$C$22)))</f>
        <v/>
      </c>
      <c r="CS41" s="56" t="str">
        <f>IF(V41&lt;&gt;"SÍ","",IF(C41="PERIMETRAL",MAX(0,(AC41/2-BU41)/100)*(0.95-0.5*AB41)*AK41*IF(AND(AL41&gt;0,AL41&lt;4),DATOS!$C$33,1)/1000,(AK41*MAX(0,AC41-BU41)/100+DATOS!$C$26*N(P41))/1000))</f>
        <v/>
      </c>
      <c r="CT41" s="66" t="str">
        <f>IF(V41&lt;&gt;"SÍ","",BT41/(100*BU41))</f>
        <v/>
      </c>
      <c r="CU41" s="56" t="str">
        <f>IF(V41&lt;&gt;"SÍ","",DATOS!$C$30*2*MIN(1,SQRT(2/(1+0.04*BU41)))*CT41^(1/3)*SQRT(DATOS!$C$13)*100*BU41/1000)</f>
        <v/>
      </c>
      <c r="CV41" s="67" t="str">
        <f>IF(V41&lt;&gt;"SÍ","",IF(CS41&lt;=CU41,"CUMPLE","NO CUMPLE: sube h"))</f>
        <v/>
      </c>
      <c r="CW41" s="58" t="str">
        <f>IF(V41&lt;&gt;"SÍ","",IF(C41="PERIMETRAL",IF(ISNUMBER(R41),R41,DATOS!$C$101),0))</f>
        <v/>
      </c>
      <c r="CX41" s="57" t="str">
        <f>IF(V41&lt;&gt;"SÍ","",IF(C41="PERIMETRAL",IF(CW41&gt;2,MAX(9,AD41*(0.8+DATOS!$C$14/14000)/(36+9*(AD41/MAX(AC41,1)))),IF(CW41&gt;0.2,MAX(13,AD41*(0.8+DATOS!$C$14/14000)/(36+5*(AD41/MAX(AC41,1))*(CW41-0.2))),MAX(13,AD41/IF(AL41&gt;0,30,33))))*IF(AND(CW41&gt;0.2,AL41&gt;0,DATOS!$C$102="NO"),1.1,1),Z41*100/DATOS!$C$142))</f>
        <v/>
      </c>
      <c r="CY41" s="61" t="str">
        <f>IF(V41&lt;&gt;"SÍ","",IF(W41&gt;=CX41-0.001,"CUMPLE",IF(C41="VOLADO","NO CUMPLE","CALCULAR FLECHA")))</f>
        <v/>
      </c>
      <c r="CZ41" s="60" t="str">
        <f>IF(V41&lt;&gt;"SÍ","",IF(C41="VOLADO",MIN(CEILING(IF(ISNUMBER(Q41),Q41,Z41)*100,5),CEILING(MAX(IF((0.5*(0.9*W41/100*DATOS!$C$16)*IF(ISNUMBER(Q41),Q41,Z41)+AY41/IF(ISNUMBER(Q41),Q41,Z41))^2-4*(0.5*(0.9*W41/100*DATOS!$C$16))*AY41&lt;0,IF(ISNUMBER(Q41),Q41,Z41),MIN(IF(ISNUMBER(Q41),Q41,Z41),((0.5*(0.9*W41/100*DATOS!$C$16)*IF(ISNUMBER(Q41),Q41,Z41)+AY41/IF(ISNUMBER(Q41),Q41,Z41))-SQRT((0.5*(0.9*W41/100*DATOS!$C$16)*IF(ISNUMBER(Q41),Q41,Z41)+AY41/IF(ISNUMBER(Q41),Q41,Z41))^2-4*(0.5*(0.9*W41/100*DATOS!$C$16))*AY41))/(2*(0.5*(0.9*W41/100*DATOS!$C$16)))))*100+MAX(BU41,12*INDEX(TABLAS!$C$52:$C$58,MATCH(BR41,TABLAS!$B$52:$B$58,0)),IF(ISNUMBER(Q41),Q41,Z41)*100/16),IF(OR(AF41&lt;INDEX(TABLAS!$C$52:$C$58,MATCH(BR41,TABLAS!$B$52:$B$58,0)),BS41-INDEX(TABLAS!$C$52:$C$58,MATCH(BR41,TABLAS!$B$52:$B$58,0))&lt;2*INDEX(TABLAS!$C$52:$C$58,MATCH(BR41,TABLAS!$B$52:$B$58,0))),INDEX(TABLAS!$I$52:$I$58,MATCH(BR41,TABLAS!$B$52:$B$58,0)),INDEX(TABLAS!$F$52:$F$58,MATCH(BR41,TABLAS!$B$52:$B$58,0)))),5)),IF(((4*((AV41*AK41*Z41^2*1E-4/1000)+((MAX(AR41,AT41)*AK41*Z41^2*1E-4/1000)+(IF(AND(AR41&gt;0,AT41&gt;0),MIN(AR41,AT41),MAX(AR41,AT41))*AK41*Z41^2*1E-4/1000))/2)+AY41-(IF(AND(AR41&gt;0,AT41&gt;0),MIN(AR41,AT41),MAX(AR41,AT41))*AK41*Z41^2*1E-4/1000))^2-16*((AV41*AK41*Z41^2*1E-4/1000)+((MAX(AR41,AT41)*AK41*Z41^2*1E-4/1000)+(IF(AND(AR41&gt;0,AT41&gt;0),MIN(AR41,AT41),MAX(AR41,AT41))*AK41*Z41^2*1E-4/1000))/2)*AY41)&lt;0,CEILING(AC41,5),CEILING(MAX(AC41*((4*((AV41*AK41*Z41^2*1E-4/1000)+((MAX(AR41,AT41)*AK41*Z41^2*1E-4/1000)+(IF(AND(AR41&gt;0,AT41&gt;0),MIN(AR41,AT41),MAX(AR41,AT41))*AK41*Z41^2*1E-4/1000))/2)+AY41-(IF(AND(AR41&gt;0,AT41&gt;0),MIN(AR41,AT41),MAX(AR41,AT41))*AK41*Z41^2*1E-4/1000))-SQRT(MAX(0,((4*((AV41*AK41*Z41^2*1E-4/1000)+((MAX(AR41,AT41)*AK41*Z41^2*1E-4/1000)+(IF(AND(AR41&gt;0,AT41&gt;0),MIN(AR41,AT41),MAX(AR41,AT41))*AK41*Z41^2*1E-4/1000))/2)+AY41-(IF(AND(AR41&gt;0,AT41&gt;0),MIN(AR41,AT41),MAX(AR41,AT41))*AK41*Z41^2*1E-4/1000))^2-16*((AV41*AK41*Z41^2*1E-4/1000)+((MAX(AR41,AT41)*AK41*Z41^2*1E-4/1000)+(IF(AND(AR41&gt;0,AT41&gt;0),MIN(AR41,AT41),MAX(AR41,AT41))*AK41*Z41^2*1E-4/1000))/2)*AY41))))/(8*MAX(((AV41*AK41*Z41^2*1E-4/1000)+((MAX(AR41,AT41)*AK41*Z41^2*1E-4/1000)+(IF(AND(AR41&gt;0,AT41&gt;0),MIN(AR41,AT41),MAX(AR41,AT41))*AK41*Z41^2*1E-4/1000))/2),1E-9))+MAX(BU41,12*INDEX(TABLAS!$C$52:$C$58,MATCH(BR41,TABLAS!$B$52:$B$58,0)),AC41/16),IF(OR(AF41&lt;INDEX(TABLAS!$C$52:$C$58,MATCH(BR41,TABLAS!$B$52:$B$58,0)),BS41-INDEX(TABLAS!$C$52:$C$58,MATCH(BR41,TABLAS!$B$52:$B$58,0))&lt;2*INDEX(TABLAS!$C$52:$C$58,MATCH(BR41,TABLAS!$B$52:$B$58,0))),INDEX(TABLAS!$I$52:$I$58,MATCH(BR41,TABLAS!$B$52:$B$58,0)),INDEX(TABLAS!$F$52:$F$58,MATCH(BR41,TABLAS!$B$52:$B$58,0)))),5))))</f>
        <v/>
      </c>
      <c r="DA41" s="60" t="str">
        <f>IF(V41&lt;&gt;"SÍ","",IF(C41="VOLADO",0,IF(((4*((AW41*AK41*Z41^2*1E-4/1000)+((MAX(AS41,AU41)*AK41*Z41^2*1E-4/1000)+(IF(AND(AS41&gt;0,AU41&gt;0),MIN(AS41,AU41),MAX(AS41,AU41))*AK41*Z41^2*1E-4/1000))/2)+BA41-(IF(AND(AS41&gt;0,AU41&gt;0),MIN(AS41,AU41),MAX(AS41,AU41))*AK41*Z41^2*1E-4/1000))^2-16*((AW41*AK41*Z41^2*1E-4/1000)+((MAX(AS41,AU41)*AK41*Z41^2*1E-4/1000)+(IF(AND(AS41&gt;0,AU41&gt;0),MIN(AS41,AU41),MAX(AS41,AU41))*AK41*Z41^2*1E-4/1000))/2)*BA41)&lt;0,CEILING(AD41,5),CEILING(MAX(AD41*((4*((AW41*AK41*Z41^2*1E-4/1000)+((MAX(AS41,AU41)*AK41*Z41^2*1E-4/1000)+(IF(AND(AS41&gt;0,AU41&gt;0),MIN(AS41,AU41),MAX(AS41,AU41))*AK41*Z41^2*1E-4/1000))/2)+BA41-(IF(AND(AS41&gt;0,AU41&gt;0),MIN(AS41,AU41),MAX(AS41,AU41))*AK41*Z41^2*1E-4/1000))-SQRT(MAX(0,((4*((AW41*AK41*Z41^2*1E-4/1000)+((MAX(AS41,AU41)*AK41*Z41^2*1E-4/1000)+(IF(AND(AS41&gt;0,AU41&gt;0),MIN(AS41,AU41),MAX(AS41,AU41))*AK41*Z41^2*1E-4/1000))/2)+BA41-(IF(AND(AS41&gt;0,AU41&gt;0),MIN(AS41,AU41),MAX(AS41,AU41))*AK41*Z41^2*1E-4/1000))^2-16*((AW41*AK41*Z41^2*1E-4/1000)+((MAX(AS41,AU41)*AK41*Z41^2*1E-4/1000)+(IF(AND(AS41&gt;0,AU41&gt;0),MIN(AS41,AU41),MAX(AS41,AU41))*AK41*Z41^2*1E-4/1000))/2)*BA41))))/(8*MAX(((AW41*AK41*Z41^2*1E-4/1000)+((MAX(AS41,AU41)*AK41*Z41^2*1E-4/1000)+(IF(AND(AS41&gt;0,AU41&gt;0),MIN(AS41,AU41),MAX(AS41,AU41))*AK41*Z41^2*1E-4/1000))/2),1E-9))+MAX(CO41,12*INDEX(TABLAS!$C$52:$C$58,MATCH(CL41,TABLAS!$B$52:$B$58,0)),AD41/16),IF(OR(AF41&lt;INDEX(TABLAS!$C$52:$C$58,MATCH(CL41,TABLAS!$B$52:$B$58,0)),CM41-INDEX(TABLAS!$C$52:$C$58,MATCH(CL41,TABLAS!$B$52:$B$58,0))&lt;2*INDEX(TABLAS!$C$52:$C$58,MATCH(CL41,TABLAS!$B$52:$B$58,0))),INDEX(TABLAS!$I$52:$I$58,MATCH(CL41,TABLAS!$B$52:$B$58,0)),INDEX(TABLAS!$F$52:$F$58,MATCH(CL41,TABLAS!$B$52:$B$58,0)))),5))))</f>
        <v/>
      </c>
      <c r="DB41" s="55" t="str">
        <f>IF(V41&lt;&gt;"SÍ","",IF(AND(C41="PERIMETRAL",AL41-AM41&gt;0,AT41&gt;0),"SÍ","NO"))</f>
        <v/>
      </c>
      <c r="DC41" s="55" t="str">
        <f>IF(V41&lt;&gt;"SÍ","",IF(AND(C41="PERIMETRAL",AM41&gt;0,AU41&gt;0),"SÍ","NO"))</f>
        <v/>
      </c>
      <c r="DD41" s="63" t="str">
        <f>IF(V41&lt;&gt;"SÍ","",IF(OR(C41="VOLADO",AL41=0),"—",IF(AND(AND(INDEX(TABLAS!$G$52:$G$58,MATCH(MAX(BR41,CL41),TABLAS!$B$52:$B$58,0))&lt;=(DATOS!$C$72-DATOS!$C$60),(DATOS!$C$72-DATOS!$C$60)&gt;=15),8*INDEX(TABLAS!$C$52:$C$58,MATCH(MAX(BH41,CB41,BR41,CL41),TABLAS!$B$52:$B$58,0))&lt;=DATOS!$C$73-2*DATOS!$C$60),"CUMPLE (gancho de 180°)",IF(AND(INDEX(TABLAS!$G$52:$G$58,MATCH(MAX(BR41,CL41),TABLAS!$B$52:$B$58,0))&lt;=(DATOS!$C$72-DATOS!$C$60),(DATOS!$C$72-DATOS!$C$60)&gt;=15),"NO CUMPLE: el gancho de 180° (8·d_b) no cabe en el peralte de la dala de borde","NO CUMPLE: dala de borde ≥ "&amp;TEXT(CEILING(MAX(INDEX(TABLAS!$G$52:$G$58,MATCH(MAX(BR41,CL41),TABLAS!$B$52:$B$58,0)),15)+DATOS!$C$60,5),"0")&amp;" cm de ancho"&amp;IF(8*INDEX(TABLAS!$C$52:$C$58,MATCH(MAX(BH41,CB41,BR41,CL41),TABLAS!$B$52:$B$58,0))&lt;=DATOS!$C$73-2*DATOS!$C$60,""," y más peralte para el gancho")))))</f>
        <v/>
      </c>
      <c r="DE41" s="69" t="str">
        <f>IF(V41&lt;&gt;"SÍ","",IF(BI41=0,"NO ALCANZA","No. "&amp;BH41&amp;" @ "&amp;BI41&amp;" cm"&amp;IF(C41="VOLADO"," (temperatura)","")))</f>
        <v/>
      </c>
      <c r="DF41" s="69" t="str">
        <f>IF(V41&lt;&gt;"SÍ","",IF(BS41=0,"NO ALCANZA",IF(C41="VOLADO","No. "&amp;BR41&amp;" @ "&amp;BS41&amp;" cm"&amp;" de la orilla al respaldo ("&amp;IF(CZ41&gt;=100*IF(ISNUMBER(Q41),Q41,Z41),"hasta su apoyo lejano, con gancho","entran "&amp;TEXT(CZ41/100,"0.00")&amp;" m desde el paño")&amp;")","Bastones "&amp;"No. "&amp;BR41&amp;" @ "&amp;BS41&amp;" cm"&amp;", L = "&amp;TEXT(CZ41/100,"0.00")&amp;" m desde el paño")))</f>
        <v/>
      </c>
      <c r="DG41" s="69" t="str">
        <f>IF(V41&lt;&gt;"SÍ","",IF(CC41=0,"NO ALCANZA","No. "&amp;CB41&amp;" @ "&amp;CC41&amp;" cm"&amp;IF(C41="VOLADO"," (repartición)","")))</f>
        <v/>
      </c>
      <c r="DH41" s="69" t="str">
        <f>IF(V41&lt;&gt;"SÍ","",IF(CM41=0,"NO ALCANZA",IF(C41="VOLADO","No. "&amp;CL41&amp;" @ "&amp;CM41&amp;" cm"&amp;" (repartición)","Bastones "&amp;"No. "&amp;CL41&amp;" @ "&amp;CM41&amp;" cm"&amp;", L = "&amp;TEXT(DA41/100,"0.00")&amp;" m desde el paño")))</f>
        <v/>
      </c>
      <c r="DI41" s="67" t="str">
        <f>IF(B41="","",IF(V41&lt;&gt;"SÍ","FALTAN DATOS: tipo, a_x, a_y y destino",IF(L41="NO MONOLÍTICO (caso II)","FUERA DE ALCANCE: caso II no transcrito",IF(AND(C41="VOLADO",X41="?"),"REVISAR: el volado lleva UN solo borde CONTINUO (el empotrado)",IF(AND(MAX(BM41,BW41,CG41,CQ41)&lt;=1,NOT(OR(BI41&lt;DATOS!$C$140,BS41&lt;DATOS!$C$140,CC41&lt;DATOS!$C$140,CM41&lt;DATOS!$C$140)),NOT(OR(AND(ISNUMBER(BN41),BN41&lt;0.005),AND(ISNUMBER(BX41),BX41&lt;0.005),AND(ISNUMBER(CH41),CH41&lt;0.005),AND(ISNUMBER(CR41),CR41&lt;0.005))),CV41="CUMPLE",CY41="CUMPLE"),"CUMPLE"&amp;IF(LEFT(BB41,5)="FUERA"," · fuera de 3.4.2.1 c)","")&amp;IF(LEFT(DD41,2)="NO"," · REVISAR anclaje en borde discontinuo",""),IF(AND(MAX(BM41,BW41,CG41,CQ41)&lt;=1,NOT(OR(BI41&lt;DATOS!$C$140,BS41&lt;DATOS!$C$140,CC41&lt;DATOS!$C$140,CM41&lt;DATOS!$C$140)),NOT(OR(AND(ISNUMBER(BN41),BN41&lt;0.005),AND(ISNUMBER(BX41),BX41&lt;0.005),AND(ISNUMBER(CH41),CH41&lt;0.005),AND(ISNUMBER(CR41),CR41&lt;0.005))),CV41="CUMPLE",CY41="CALCULAR FLECHA"),"REVISAR: calcular flecha (h &lt; h mín.)"&amp;IF(LEFT(BB41,5)="FUERA"," · fuera de 3.4.2.1 c)","")&amp;IF(LEFT(DD41,2)="NO"," · REVISAR anclaje en borde discontinuo",""),"NO CUMPLE: "&amp;IF(MAX(BM41,BW41,CG41,CQ41)&gt;1,"flexión ","")&amp;IF(OR(BI41&lt;DATOS!$C$140,BS41&lt;DATOS!$C$140,CC41&lt;DATOS!$C$140,CM41&lt;DATOS!$C$140),"separación &lt; mínima ","")&amp;IF(OR(AND(ISNUMBER(BN41),BN41&lt;0.005),AND(ISNUMBER(BX41),BX41&lt;0.005),AND(ISNUMBER(CH41),CH41&lt;0.005),AND(ISNUMBER(CR41),CR41&lt;0.005)),"ε_t &lt; 0.005 ","")&amp;IF(CV41&lt;&gt;"CUMPLE","cortante ","")&amp;IF(CY41="NO CUMPLE","peralte","")))))))</f>
        <v/>
      </c>
      <c r="DJ41" s="70" t="str">
        <f>IF(V41&lt;&gt;"SÍ","",IF(LEFT(B41,7)="EJEMPLO","EJEMPLO de tablero típico: bórralo o sobrescríbelo. ","")&amp;IF(C41="VOLADO","Volado de "&amp;TEXT(Z41,"0.00")&amp;" m empotrado en el borde "&amp;LOWER(X41)&amp;IF(N(P41)&gt;0,", con "&amp;TEXT(P41,"0.0")&amp;" kg/m en la orilla","")&amp;". Lecho inferior con r_ext. Si la orilla carga pretil u otro elemento frágil, calcula la flecha (13.4). El acero superior entra al respaldo de "&amp;TEXT(IF(ISNUMBER(Q41),Q41,Z41),"0.00")&amp;" m"&amp;IF(ISNUMBER(Q41),""," (L_b no capturado: se tomó igual al volado)")&amp;" hasta pasar M = 0 con 0.9·PP sin carga viva; si ahí no se anula, llega al apoyo lejano y se ancla con gancho. ","")&amp;IF(LEFT(BB41,5)="FUERA","El M⁻ del vecino difiere más de 50 % (3.4.2.1 c): distribuye el desequilibrio (3.4.3.1) o confirma con un modelo; se arma con el mayor. ","")&amp;IF(OR(DB41="SÍ",DC41="SÍ"),"Bastones también en los bordes discontinuos (M⁻ de tabla), con gancho. ","")&amp;IF(LEFT(DD41,2)="NO","Anclaje: "&amp;DD41&amp;" (6.7.7.4.1.1). ","")&amp;IF(OR(AT41&gt;0,AU41&gt;0),"Esquinas exteriores sobre muro: refuerzo de esquina arriba y abajo en L_largo/5 (6.7.7.3.1). ",""))</f>
        <v/>
      </c>
    </row>
    <row r="42" ht="33" customHeight="1">
      <c r="A42" s="50">
        <f>IF(B42="",0,1)+A41</f>
        <v>3</v>
      </c>
      <c r="B42" s="29" t="n"/>
      <c r="C42" s="51" t="n"/>
      <c r="D42" s="29" t="n"/>
      <c r="E42" s="52" t="n"/>
      <c r="F42" s="52" t="n"/>
      <c r="G42" s="51" t="n"/>
      <c r="H42" s="51" t="n"/>
      <c r="I42" s="51" t="n"/>
      <c r="J42" s="51" t="n"/>
      <c r="K42" s="51" t="n"/>
      <c r="L42" s="51" t="n"/>
      <c r="M42" s="54" t="n"/>
      <c r="N42" s="53" t="n"/>
      <c r="O42" s="53" t="n"/>
      <c r="P42" s="54" t="n"/>
      <c r="Q42" s="52" t="n"/>
      <c r="R42" s="54" t="n"/>
      <c r="S42" s="53" t="n"/>
      <c r="T42" s="52" t="n"/>
      <c r="U42" s="52" t="n"/>
      <c r="V42" s="55" t="str">
        <f>IF(B42="","",IF(AND(OR(C42="PERIMETRAL",C42="VOLADO"),ISNUMBER(E42),ISNUMBER(F42),E42&gt;0,F42&gt;0,OR(ISNUMBER(O42),ISNUMBER(MATCH(D42,DATOS!$B$46:$B$55,0)))),"SÍ","NO"))</f>
        <v/>
      </c>
      <c r="W42" s="57" t="str">
        <f>IF(V42&lt;&gt;"SÍ","",IF(ISNUMBER(M42),M42,DATOS!$C$134))</f>
        <v/>
      </c>
      <c r="X42" s="55" t="str">
        <f>IF(V42&lt;&gt;"SÍ","",IF(C42&lt;&gt;"VOLADO","—",IF(COUNTIF(G42:J42,"CONTINUO")&lt;&gt;1,"?",IF(G42="CONTINUO","INFERIOR",IF(H42="CONTINUO","SUPERIOR",IF(I42="CONTINUO","IZQUIERDO","DERECHO"))))))</f>
        <v/>
      </c>
      <c r="Y42" s="55" t="str">
        <f>IF(V42&lt;&gt;"SÍ","",IF(C42="VOLADO",IF(OR(X42="IZQUIERDO",X42="DERECHO"),"X","Y"),IF(E42&lt;=F42,"X","Y")))</f>
        <v/>
      </c>
      <c r="Z42" s="56" t="str">
        <f>IF(V42&lt;&gt;"SÍ","",IF(C42="VOLADO",IF(Y42="X",E42,F42),MIN(E42,F42)))</f>
        <v/>
      </c>
      <c r="AA42" s="56" t="str">
        <f>IF(V42&lt;&gt;"SÍ","",IF(C42="VOLADO",IF(Y42="X",F42,E42),MAX(E42,F42)))</f>
        <v/>
      </c>
      <c r="AB42" s="56" t="str">
        <f>IF(V42&lt;&gt;"SÍ","",MIN(Z42,AA42)/MAX(Z42,AA42))</f>
        <v/>
      </c>
      <c r="AC42" s="57" t="str">
        <f>IF(V42&lt;&gt;"SÍ","",MAX(1,Z42*100-IF(C42="VOLADO",DATOS!$C$84/2,DATOS!$C$84)))</f>
        <v/>
      </c>
      <c r="AD42" s="57" t="str">
        <f>IF(V42&lt;&gt;"SÍ","",MAX(1,AA42*100-DATOS!$C$84))</f>
        <v/>
      </c>
      <c r="AE42" s="57" t="str">
        <f>IF(V42&lt;&gt;"SÍ","",IF(C42="VOLADO",DATOS!$C$61,DATOS!$C$59))</f>
        <v/>
      </c>
      <c r="AF42" s="57" t="str">
        <f>IF(V42&lt;&gt;"SÍ","",IF(OR(AND(AG42="SÍ",DATOS!$C$63="SÍ"),AND(C42="VOLADO",DATOS!$C$64="SÍ")),DATOS!$C$61,DATOS!$C$59))</f>
        <v/>
      </c>
      <c r="AG42" s="55" t="str">
        <f>IF(V42&lt;&gt;"SÍ","",IFERROR(INDEX(DATOS!$D$46:$D$55,MATCH(D42,DATOS!$B$46:$B$55,0)),"NO"))</f>
        <v/>
      </c>
      <c r="AH42" s="59" t="str">
        <f>IF(V42&lt;&gt;"SÍ","",IF(ISNUMBER(O42),O42,IFERROR(INDEX(DATOS!$C$46:$C$55,MATCH(D42,DATOS!$B$46:$B$55,0)),0)))</f>
        <v/>
      </c>
      <c r="AI42" s="59" t="str">
        <f>IF(V42&lt;&gt;"SÍ","",W42/100*DATOS!$C$16*1000+DATOS!$C$37+DATOS!$C$38)</f>
        <v/>
      </c>
      <c r="AJ42" s="59" t="str">
        <f>IF(V42&lt;&gt;"SÍ","",AI42+N(N42))</f>
        <v/>
      </c>
      <c r="AK42" s="60" t="str">
        <f>IF(V42&lt;&gt;"SÍ","",MAX(DATOS!$C$26*AJ42+DATOS!$C$27*AH42,IF(AG42="SÍ",DATOS!$C$28*(AJ42+DATOS!$C$41),0)))</f>
        <v/>
      </c>
      <c r="AL42" s="59" t="str">
        <f>IF(V42&lt;&gt;"SÍ","",(G42="DISCONTINUO")+(H42="DISCONTINUO")+(I42="DISCONTINUO")+(J42="DISCONTINUO"))</f>
        <v/>
      </c>
      <c r="AM42" s="59" t="str">
        <f>IF(V42&lt;&gt;"SÍ","",IF(Y42="X",(G42="DISCONTINUO")+(H42="DISCONTINUO"),(I42="DISCONTINUO")+(J42="DISCONTINUO")))</f>
        <v/>
      </c>
      <c r="AN42" s="55" t="str">
        <f>IF(V42&lt;&gt;"SÍ","",IF(AL42=0,"INTERIOR",IF(AL42=1,IF(AM42=1,"BORDE-CORTO","BORDE-LARGO"),IF(AL42=2,IF(AM42=1,"ESQUINA",IF(AM42=2,"EXTREMO-LARGO","EXTREMO-CORTO")),IF(AL42=3,IF(AM42=2,"EXTREMO-LARGO","EXTREMO-CORTO"),"AISLADO")))))</f>
        <v/>
      </c>
      <c r="AO42" s="61" t="str">
        <f>IF(V42&lt;&gt;"SÍ","",IF(OR(K42="",K42="AUTO"),AN42,K42))</f>
        <v/>
      </c>
      <c r="AP42" s="59" t="str">
        <f>IF(V42&lt;&gt;"SÍ","",MATCH(AB42,TABLAS!$D$5:$J$5,1))</f>
        <v/>
      </c>
      <c r="AQ42" s="58" t="str">
        <f>IF(V42&lt;&gt;"SÍ","",IF(AP42&gt;=7,0,(AB42-INDEX(TABLAS!$D$5:$J$5,AP42))/(INDEX(TABLAS!$D$5:$J$5,AP42+1)-INDEX(TABLAS!$D$5:$J$5,AP42))))</f>
        <v/>
      </c>
      <c r="AR42" s="59" t="str">
        <f>IF(V42&lt;&gt;"SÍ","",INDEX(TABLAS!$D$6:$J$47,MATCH(AO42&amp;"|NIC",TABLAS!$B$6:$B$47,0),AP42)+AQ42*(INDEX(TABLAS!$D$6:$J$47,MATCH(AO42&amp;"|NIC",TABLAS!$B$6:$B$47,0),MIN(AP42+1,7))-INDEX(TABLAS!$D$6:$J$47,MATCH(AO42&amp;"|NIC",TABLAS!$B$6:$B$47,0),AP42)))</f>
        <v/>
      </c>
      <c r="AS42" s="59" t="str">
        <f>IF(V42&lt;&gt;"SÍ","",INDEX(TABLAS!$D$6:$J$47,MATCH(AO42&amp;"|NIL",TABLAS!$B$6:$B$47,0),AP42)+AQ42*(INDEX(TABLAS!$D$6:$J$47,MATCH(AO42&amp;"|NIL",TABLAS!$B$6:$B$47,0),MIN(AP42+1,7))-INDEX(TABLAS!$D$6:$J$47,MATCH(AO42&amp;"|NIL",TABLAS!$B$6:$B$47,0),AP42)))</f>
        <v/>
      </c>
      <c r="AT42" s="59" t="str">
        <f>IF(V42&lt;&gt;"SÍ","",INDEX(TABLAS!$D$6:$J$47,MATCH(AO42&amp;"|NDC",TABLAS!$B$6:$B$47,0),AP42)+AQ42*(INDEX(TABLAS!$D$6:$J$47,MATCH(AO42&amp;"|NDC",TABLAS!$B$6:$B$47,0),MIN(AP42+1,7))-INDEX(TABLAS!$D$6:$J$47,MATCH(AO42&amp;"|NDC",TABLAS!$B$6:$B$47,0),AP42)))</f>
        <v/>
      </c>
      <c r="AU42" s="59" t="str">
        <f>IF(V42&lt;&gt;"SÍ","",INDEX(TABLAS!$D$6:$J$47,MATCH(AO42&amp;"|NDL",TABLAS!$B$6:$B$47,0),AP42)+AQ42*(INDEX(TABLAS!$D$6:$J$47,MATCH(AO42&amp;"|NDL",TABLAS!$B$6:$B$47,0),MIN(AP42+1,7))-INDEX(TABLAS!$D$6:$J$47,MATCH(AO42&amp;"|NDL",TABLAS!$B$6:$B$47,0),AP42)))</f>
        <v/>
      </c>
      <c r="AV42" s="59" t="str">
        <f>IF(V42&lt;&gt;"SÍ","",INDEX(TABLAS!$D$6:$J$47,MATCH(AO42&amp;"|PC",TABLAS!$B$6:$B$47,0),AP42)+AQ42*(INDEX(TABLAS!$D$6:$J$47,MATCH(AO42&amp;"|PC",TABLAS!$B$6:$B$47,0),MIN(AP42+1,7))-INDEX(TABLAS!$D$6:$J$47,MATCH(AO42&amp;"|PC",TABLAS!$B$6:$B$47,0),AP42)))</f>
        <v/>
      </c>
      <c r="AW42" s="59" t="str">
        <f>IF(V42&lt;&gt;"SÍ","",INDEX(TABLAS!$D$6:$J$47,MATCH(AO42&amp;"|PL",TABLAS!$B$6:$B$47,0),AP42)+AQ42*(INDEX(TABLAS!$D$6:$J$47,MATCH(AO42&amp;"|PL",TABLAS!$B$6:$B$47,0),MIN(AP42+1,7))-INDEX(TABLAS!$D$6:$J$47,MATCH(AO42&amp;"|PL",TABLAS!$B$6:$B$47,0),AP42)))</f>
        <v/>
      </c>
      <c r="AX42" s="56" t="str">
        <f>IF(V42&lt;&gt;"SÍ","",IF(C42="PERIMETRAL",AV42*AK42*Z42^2*1E-4/1000,0))</f>
        <v/>
      </c>
      <c r="AY42" s="62" t="str">
        <f>IF(V42&lt;&gt;"SÍ","",IF(C42="PERIMETRAL",MAX(MAX(AR42,AT42)*AK42*Z42^2*1E-4/1000,N(T42)),(AK42*(AC42/100)^2/2+DATOS!$C$26*N(P42)*AC42/100)/1000))</f>
        <v/>
      </c>
      <c r="AZ42" s="56" t="str">
        <f>IF(V42&lt;&gt;"SÍ","",IF(C42="PERIMETRAL",AW42*AK42*Z42^2*1E-4/1000,0))</f>
        <v/>
      </c>
      <c r="BA42" s="56" t="str">
        <f>IF(V42&lt;&gt;"SÍ","",IF(C42="PERIMETRAL",MAX(MAX(AS42,AU42)*AK42*Z42^2*1E-4/1000,N(U42)),0))</f>
        <v/>
      </c>
      <c r="BB42" s="63" t="str">
        <f>IF(V42&lt;&gt;"SÍ","",IF(C42&lt;&gt;"PERIMETRAL","—",IF(AND(N(T42)=0,N(U42)=0),"— (sin M⁻ del vecino)",IF(OR(AND(N(T42)&gt;0,ABS(MAX(AR42,AT42)*AK42*Z42^2*1E-4/1000-N(T42))&gt;0.5*MIN(MAX(AR42,AT42)*AK42*Z42^2*1E-4/1000,N(T42))),AND(N(U42)&gt;0,ABS(MAX(AS42,AU42)*AK42*Z42^2*1E-4/1000-N(U42))&gt;0.5*MIN(MAX(AS42,AU42)*AK42*Z42^2*1E-4/1000,N(U42)))),"FUERA: difieren &gt; 50 %"&amp;IF(AND(N(T42)&gt;0,ABS(MAX(AR42,AT42)*AK42*Z42^2*1E-4/1000-N(T42))&gt;0.5*MIN(MAX(AR42,AT42)*AK42*Z42^2*1E-4/1000,N(T42)))," ‖ corto","")&amp;IF(AND(N(U42)&gt;0,ABS(MAX(AS42,AU42)*AK42*Z42^2*1E-4/1000-N(U42))&gt;0.5*MIN(MAX(AS42,AU42)*AK42*Z42^2*1E-4/1000,N(U42)))," ‖ largo",""),"CUMPLE"))))</f>
        <v/>
      </c>
      <c r="BC42" s="58" t="str">
        <f>IF(V42&lt;&gt;"SÍ","",DATOS!$C$136*100*W42)</f>
        <v/>
      </c>
      <c r="BD42" s="57" t="str">
        <f>IF(V42&lt;&gt;"SÍ","",MIN(IF(C42="VOLADO",DATOS!$C$138,DATOS!$C$137)*W42,DATOS!$C$139))</f>
        <v/>
      </c>
      <c r="BE42" s="58" t="str">
        <f>IF(V42&lt;&gt;"SÍ","",(W42-AE42-INDEX(TABLAS!$C$52:$C$58,MATCH(IF(ISNUMBER(S42),S42,DATOS!$C$135),TABLAS!$B$52:$B$58,0))/2))</f>
        <v/>
      </c>
      <c r="BF42" s="58" t="str">
        <f>IF(V42&lt;&gt;"SÍ","",IF(AX42&lt;=0,0,IF((1-2*AX42*1E5/(DATOS!$C$29*100*BE42^2*DATOS!$C$21))&lt;0,-1,IF((1-SQRT((1-2*AX42*1E5/(DATOS!$C$29*100*BE42^2*DATOS!$C$21))))*DATOS!$C$21*100*BE42/DATOS!$C$14&gt;DATOS!$C$99*100*BE42,-1,(1-SQRT((1-2*AX42*1E5/(DATOS!$C$29*100*BE42^2*DATOS!$C$21))))*DATOS!$C$21*100*BE42/DATOS!$C$14))))</f>
        <v/>
      </c>
      <c r="BG42" s="58" t="str">
        <f>IF(V42&lt;&gt;"SÍ","",IF(BF42&lt;0,-1,MAX(BF42,BC42)))</f>
        <v/>
      </c>
      <c r="BH42" s="64" t="str">
        <f>IF(V42&lt;&gt;"SÍ","",IF(AND(BG42&gt;0,FLOOR(MIN(BD42,100*INDEX(TABLAS!$D$52:$D$58,MIN(MATCH(IF(ISNUMBER(S42),S42,DATOS!$C$135),TABLAS!$B$52:$B$58,0)+0,7))/MAX(BG42,0.0001)),DATOS!$C$141)&gt;=DATOS!$C$140),INDEX(TABLAS!$B$52:$B$58,MIN(MATCH(IF(ISNUMBER(S42),S42,DATOS!$C$135),TABLAS!$B$52:$B$58,0)+0,7)),IF(AND(BG42&gt;0,FLOOR(MIN(BD42,100*INDEX(TABLAS!$D$52:$D$58,MIN(MATCH(IF(ISNUMBER(S42),S42,DATOS!$C$135),TABLAS!$B$52:$B$58,0)+1,7))/MAX(BG42,0.0001)),DATOS!$C$141)&gt;=DATOS!$C$140),INDEX(TABLAS!$B$52:$B$58,MIN(MATCH(IF(ISNUMBER(S42),S42,DATOS!$C$135),TABLAS!$B$52:$B$58,0)+1,7)),IF(AND(BG42&gt;0,FLOOR(MIN(BD42,100*INDEX(TABLAS!$D$52:$D$58,MIN(MATCH(IF(ISNUMBER(S42),S42,DATOS!$C$135),TABLAS!$B$52:$B$58,0)+2,7))/MAX(BG42,0.0001)),DATOS!$C$141)&gt;=DATOS!$C$140),INDEX(TABLAS!$B$52:$B$58,MIN(MATCH(IF(ISNUMBER(S42),S42,DATOS!$C$135),TABLAS!$B$52:$B$58,0)+2,7)),IF(AND(BG42&gt;0,FLOOR(MIN(BD42,100*INDEX(TABLAS!$D$52:$D$58,MIN(MATCH(IF(ISNUMBER(S42),S42,DATOS!$C$135),TABLAS!$B$52:$B$58,0)+3,7))/MAX(BG42,0.0001)),DATOS!$C$141)&gt;=DATOS!$C$140),INDEX(TABLAS!$B$52:$B$58,MIN(MATCH(IF(ISNUMBER(S42),S42,DATOS!$C$135),TABLAS!$B$52:$B$58,0)+3,7)),IF(AND(BG42&gt;0,FLOOR(MIN(BD42,100*INDEX(TABLAS!$D$52:$D$58,MIN(MATCH(IF(ISNUMBER(S42),S42,DATOS!$C$135),TABLAS!$B$52:$B$58,0)+4,7))/MAX(BG42,0.0001)),DATOS!$C$141)&gt;=DATOS!$C$140),INDEX(TABLAS!$B$52:$B$58,MIN(MATCH(IF(ISNUMBER(S42),S42,DATOS!$C$135),TABLAS!$B$52:$B$58,0)+4,7)),INDEX(TABLAS!$B$52:$B$58,7)))))))</f>
        <v/>
      </c>
      <c r="BI42" s="71" t="str">
        <f>IF(V42&lt;&gt;"SÍ","",IF(BG42&lt;=0,0,FLOOR(MIN(BD42,100*INDEX(TABLAS!$D$52:$D$58,MATCH(BH42,TABLAS!$B$52:$B$58,0))/BG42),DATOS!$C$141)))</f>
        <v/>
      </c>
      <c r="BJ42" s="58" t="str">
        <f>IF(V42&lt;&gt;"SÍ","",IF(BI42&lt;=0,0,INDEX(TABLAS!$D$52:$D$58,MATCH(BH42,TABLAS!$B$52:$B$58,0))*100/BI42))</f>
        <v/>
      </c>
      <c r="BK42" s="58" t="str">
        <f>IF(V42&lt;&gt;"SÍ","",W42-AE42-INDEX(TABLAS!$C$52:$C$58,MATCH(BH42,TABLAS!$B$52:$B$58,0))/2)</f>
        <v/>
      </c>
      <c r="BL42" s="56" t="str">
        <f>IF(V42&lt;&gt;"SÍ","",IF(BJ42=0,0,DATOS!$C$29*BJ42*DATOS!$C$14*(BK42-BJ42*DATOS!$C$14/(DATOS!$C$21*100)/2)/1E5))</f>
        <v/>
      </c>
      <c r="BM42" s="65" t="str">
        <f>IF(V42&lt;&gt;"SÍ","",IF(BG42&lt;0,9.99,IF(BL42&gt;0,AX42/BL42,0)))</f>
        <v/>
      </c>
      <c r="BN42" s="66" t="str">
        <f>IF(V42&lt;&gt;"SÍ","",IF(BJ42=0,"—",0.003*(BK42-(BJ42*DATOS!$C$14/(DATOS!$C$21*100)/DATOS!$C$22))/(BJ42*DATOS!$C$14/(DATOS!$C$21*100)/DATOS!$C$22)))</f>
        <v/>
      </c>
      <c r="BO42" s="58" t="str">
        <f>IF(V42&lt;&gt;"SÍ","",((W42-AF42-INDEX(TABLAS!$C$52:$C$58,MATCH(IF(ISNUMBER(S42),S42,DATOS!$C$135),TABLAS!$B$52:$B$58,0))/2)-IF(AND((W42-AF42-INDEX(TABLAS!$C$52:$C$58,MATCH(IF(ISNUMBER(S42),S42,DATOS!$C$135),TABLAS!$B$52:$B$58,0))/2)&lt;=20,DATOS!$C$62&lt;&gt;"SÍ"),2,0)))</f>
        <v/>
      </c>
      <c r="BP42" s="58" t="str">
        <f>IF(V42&lt;&gt;"SÍ","",IF(AY42&lt;=0,0,IF((1-2*AY42*1E5/(DATOS!$C$29*100*BO42^2*DATOS!$C$21))&lt;0,-1,IF((1-SQRT((1-2*AY42*1E5/(DATOS!$C$29*100*BO42^2*DATOS!$C$21))))*DATOS!$C$21*100*BO42/DATOS!$C$14&gt;DATOS!$C$99*100*BO42,-1,(1-SQRT((1-2*AY42*1E5/(DATOS!$C$29*100*BO42^2*DATOS!$C$21))))*DATOS!$C$21*100*BO42/DATOS!$C$14))))</f>
        <v/>
      </c>
      <c r="BQ42" s="58" t="str">
        <f>IF(V42&lt;&gt;"SÍ","",IF(BP42&lt;0,-1,MAX(BP42,BC42)))</f>
        <v/>
      </c>
      <c r="BR42" s="64" t="str">
        <f>IF(V42&lt;&gt;"SÍ","",IF(AND(BQ42&gt;0,FLOOR(MIN(BD42,100*INDEX(TABLAS!$D$52:$D$58,MIN(MATCH(IF(ISNUMBER(S42),S42,DATOS!$C$135),TABLAS!$B$52:$B$58,0)+0,7))/MAX(BQ42,0.0001)),DATOS!$C$141)&gt;=DATOS!$C$140),INDEX(TABLAS!$B$52:$B$58,MIN(MATCH(IF(ISNUMBER(S42),S42,DATOS!$C$135),TABLAS!$B$52:$B$58,0)+0,7)),IF(AND(BQ42&gt;0,FLOOR(MIN(BD42,100*INDEX(TABLAS!$D$52:$D$58,MIN(MATCH(IF(ISNUMBER(S42),S42,DATOS!$C$135),TABLAS!$B$52:$B$58,0)+1,7))/MAX(BQ42,0.0001)),DATOS!$C$141)&gt;=DATOS!$C$140),INDEX(TABLAS!$B$52:$B$58,MIN(MATCH(IF(ISNUMBER(S42),S42,DATOS!$C$135),TABLAS!$B$52:$B$58,0)+1,7)),IF(AND(BQ42&gt;0,FLOOR(MIN(BD42,100*INDEX(TABLAS!$D$52:$D$58,MIN(MATCH(IF(ISNUMBER(S42),S42,DATOS!$C$135),TABLAS!$B$52:$B$58,0)+2,7))/MAX(BQ42,0.0001)),DATOS!$C$141)&gt;=DATOS!$C$140),INDEX(TABLAS!$B$52:$B$58,MIN(MATCH(IF(ISNUMBER(S42),S42,DATOS!$C$135),TABLAS!$B$52:$B$58,0)+2,7)),IF(AND(BQ42&gt;0,FLOOR(MIN(BD42,100*INDEX(TABLAS!$D$52:$D$58,MIN(MATCH(IF(ISNUMBER(S42),S42,DATOS!$C$135),TABLAS!$B$52:$B$58,0)+3,7))/MAX(BQ42,0.0001)),DATOS!$C$141)&gt;=DATOS!$C$140),INDEX(TABLAS!$B$52:$B$58,MIN(MATCH(IF(ISNUMBER(S42),S42,DATOS!$C$135),TABLAS!$B$52:$B$58,0)+3,7)),IF(AND(BQ42&gt;0,FLOOR(MIN(BD42,100*INDEX(TABLAS!$D$52:$D$58,MIN(MATCH(IF(ISNUMBER(S42),S42,DATOS!$C$135),TABLAS!$B$52:$B$58,0)+4,7))/MAX(BQ42,0.0001)),DATOS!$C$141)&gt;=DATOS!$C$140),INDEX(TABLAS!$B$52:$B$58,MIN(MATCH(IF(ISNUMBER(S42),S42,DATOS!$C$135),TABLAS!$B$52:$B$58,0)+4,7)),INDEX(TABLAS!$B$52:$B$58,7)))))))</f>
        <v/>
      </c>
      <c r="BS42" s="71" t="str">
        <f>IF(V42&lt;&gt;"SÍ","",IF(BQ42&lt;=0,0,FLOOR(MIN(BD42,100*INDEX(TABLAS!$D$52:$D$58,MATCH(BR42,TABLAS!$B$52:$B$58,0))/BQ42),DATOS!$C$141)))</f>
        <v/>
      </c>
      <c r="BT42" s="58" t="str">
        <f>IF(V42&lt;&gt;"SÍ","",IF(BS42&lt;=0,0,INDEX(TABLAS!$D$52:$D$58,MATCH(BR42,TABLAS!$B$52:$B$58,0))*100/BS42))</f>
        <v/>
      </c>
      <c r="BU42" s="58" t="str">
        <f>IF(V42&lt;&gt;"SÍ","",((W42-AF42-INDEX(TABLAS!$C$52:$C$58,MATCH(BR42,TABLAS!$B$52:$B$58,0))/2)-IF(AND((W42-AF42-INDEX(TABLAS!$C$52:$C$58,MATCH(BR42,TABLAS!$B$52:$B$58,0))/2)&lt;=20,DATOS!$C$62&lt;&gt;"SÍ"),2,0)))</f>
        <v/>
      </c>
      <c r="BV42" s="56" t="str">
        <f>IF(V42&lt;&gt;"SÍ","",IF(BT42=0,0,DATOS!$C$29*BT42*DATOS!$C$14*(BU42-BT42*DATOS!$C$14/(DATOS!$C$21*100)/2)/1E5))</f>
        <v/>
      </c>
      <c r="BW42" s="65" t="str">
        <f>IF(V42&lt;&gt;"SÍ","",IF(BQ42&lt;0,9.99,IF(BV42&gt;0,AY42/BV42,0)))</f>
        <v/>
      </c>
      <c r="BX42" s="66" t="str">
        <f>IF(V42&lt;&gt;"SÍ","",IF(BT42=0,"—",0.003*(BU42-(BT42*DATOS!$C$14/(DATOS!$C$21*100)/DATOS!$C$22))/(BT42*DATOS!$C$14/(DATOS!$C$21*100)/DATOS!$C$22)))</f>
        <v/>
      </c>
      <c r="BY42" s="58" t="str">
        <f>IF(V42&lt;&gt;"SÍ","",(W42-AE42-1.5*INDEX(TABLAS!$C$52:$C$58,MATCH(IF(ISNUMBER(S42),S42,DATOS!$C$135),TABLAS!$B$52:$B$58,0))))</f>
        <v/>
      </c>
      <c r="BZ42" s="58" t="str">
        <f>IF(V42&lt;&gt;"SÍ","",IF(AZ42&lt;=0,0,IF((1-2*AZ42*1E5/(DATOS!$C$29*100*BY42^2*DATOS!$C$21))&lt;0,-1,IF((1-SQRT((1-2*AZ42*1E5/(DATOS!$C$29*100*BY42^2*DATOS!$C$21))))*DATOS!$C$21*100*BY42/DATOS!$C$14&gt;DATOS!$C$99*100*BY42,-1,(1-SQRT((1-2*AZ42*1E5/(DATOS!$C$29*100*BY42^2*DATOS!$C$21))))*DATOS!$C$21*100*BY42/DATOS!$C$14))))</f>
        <v/>
      </c>
      <c r="CA42" s="58" t="str">
        <f>IF(V42&lt;&gt;"SÍ","",IF(BZ42&lt;0,-1,MAX(BZ42,BC42)))</f>
        <v/>
      </c>
      <c r="CB42" s="64" t="str">
        <f>IF(V42&lt;&gt;"SÍ","",IF(AND(CA42&gt;0,FLOOR(MIN(BD42,100*INDEX(TABLAS!$D$52:$D$58,MIN(MATCH(IF(ISNUMBER(S42),S42,DATOS!$C$135),TABLAS!$B$52:$B$58,0)+0,7))/MAX(CA42,0.0001)),DATOS!$C$141)&gt;=DATOS!$C$140),INDEX(TABLAS!$B$52:$B$58,MIN(MATCH(IF(ISNUMBER(S42),S42,DATOS!$C$135),TABLAS!$B$52:$B$58,0)+0,7)),IF(AND(CA42&gt;0,FLOOR(MIN(BD42,100*INDEX(TABLAS!$D$52:$D$58,MIN(MATCH(IF(ISNUMBER(S42),S42,DATOS!$C$135),TABLAS!$B$52:$B$58,0)+1,7))/MAX(CA42,0.0001)),DATOS!$C$141)&gt;=DATOS!$C$140),INDEX(TABLAS!$B$52:$B$58,MIN(MATCH(IF(ISNUMBER(S42),S42,DATOS!$C$135),TABLAS!$B$52:$B$58,0)+1,7)),IF(AND(CA42&gt;0,FLOOR(MIN(BD42,100*INDEX(TABLAS!$D$52:$D$58,MIN(MATCH(IF(ISNUMBER(S42),S42,DATOS!$C$135),TABLAS!$B$52:$B$58,0)+2,7))/MAX(CA42,0.0001)),DATOS!$C$141)&gt;=DATOS!$C$140),INDEX(TABLAS!$B$52:$B$58,MIN(MATCH(IF(ISNUMBER(S42),S42,DATOS!$C$135),TABLAS!$B$52:$B$58,0)+2,7)),IF(AND(CA42&gt;0,FLOOR(MIN(BD42,100*INDEX(TABLAS!$D$52:$D$58,MIN(MATCH(IF(ISNUMBER(S42),S42,DATOS!$C$135),TABLAS!$B$52:$B$58,0)+3,7))/MAX(CA42,0.0001)),DATOS!$C$141)&gt;=DATOS!$C$140),INDEX(TABLAS!$B$52:$B$58,MIN(MATCH(IF(ISNUMBER(S42),S42,DATOS!$C$135),TABLAS!$B$52:$B$58,0)+3,7)),IF(AND(CA42&gt;0,FLOOR(MIN(BD42,100*INDEX(TABLAS!$D$52:$D$58,MIN(MATCH(IF(ISNUMBER(S42),S42,DATOS!$C$135),TABLAS!$B$52:$B$58,0)+4,7))/MAX(CA42,0.0001)),DATOS!$C$141)&gt;=DATOS!$C$140),INDEX(TABLAS!$B$52:$B$58,MIN(MATCH(IF(ISNUMBER(S42),S42,DATOS!$C$135),TABLAS!$B$52:$B$58,0)+4,7)),INDEX(TABLAS!$B$52:$B$58,7)))))))</f>
        <v/>
      </c>
      <c r="CC42" s="71" t="str">
        <f>IF(V42&lt;&gt;"SÍ","",IF(CA42&lt;=0,0,FLOOR(MIN(BD42,100*INDEX(TABLAS!$D$52:$D$58,MATCH(CB42,TABLAS!$B$52:$B$58,0))/CA42),DATOS!$C$141)))</f>
        <v/>
      </c>
      <c r="CD42" s="58" t="str">
        <f>IF(V42&lt;&gt;"SÍ","",IF(CC42&lt;=0,0,INDEX(TABLAS!$D$52:$D$58,MATCH(CB42,TABLAS!$B$52:$B$58,0))*100/CC42))</f>
        <v/>
      </c>
      <c r="CE42" s="58" t="str">
        <f>IF(V42&lt;&gt;"SÍ","",W42-AE42-INDEX(TABLAS!$C$52:$C$58,MATCH(BH42,TABLAS!$B$52:$B$58,0))-INDEX(TABLAS!$C$52:$C$58,MATCH(CB42,TABLAS!$B$52:$B$58,0))/2)</f>
        <v/>
      </c>
      <c r="CF42" s="56" t="str">
        <f>IF(V42&lt;&gt;"SÍ","",IF(CD42=0,0,DATOS!$C$29*CD42*DATOS!$C$14*(CE42-CD42*DATOS!$C$14/(DATOS!$C$21*100)/2)/1E5))</f>
        <v/>
      </c>
      <c r="CG42" s="65" t="str">
        <f>IF(V42&lt;&gt;"SÍ","",IF(CA42&lt;0,9.99,IF(CF42&gt;0,AZ42/CF42,0)))</f>
        <v/>
      </c>
      <c r="CH42" s="66" t="str">
        <f>IF(V42&lt;&gt;"SÍ","",IF(CD42=0,"—",0.003*(CE42-(CD42*DATOS!$C$14/(DATOS!$C$21*100)/DATOS!$C$22))/(CD42*DATOS!$C$14/(DATOS!$C$21*100)/DATOS!$C$22)))</f>
        <v/>
      </c>
      <c r="CI42" s="58" t="str">
        <f>IF(V42&lt;&gt;"SÍ","",((W42-AF42-1.5*INDEX(TABLAS!$C$52:$C$58,MATCH(IF(ISNUMBER(S42),S42,DATOS!$C$135),TABLAS!$B$52:$B$58,0)))-IF(AND((W42-AF42-1.5*INDEX(TABLAS!$C$52:$C$58,MATCH(IF(ISNUMBER(S42),S42,DATOS!$C$135),TABLAS!$B$52:$B$58,0)))&lt;=20,DATOS!$C$62&lt;&gt;"SÍ"),2,0)))</f>
        <v/>
      </c>
      <c r="CJ42" s="58" t="str">
        <f>IF(V42&lt;&gt;"SÍ","",IF(BA42&lt;=0,0,IF((1-2*BA42*1E5/(DATOS!$C$29*100*CI42^2*DATOS!$C$21))&lt;0,-1,IF((1-SQRT((1-2*BA42*1E5/(DATOS!$C$29*100*CI42^2*DATOS!$C$21))))*DATOS!$C$21*100*CI42/DATOS!$C$14&gt;DATOS!$C$99*100*CI42,-1,(1-SQRT((1-2*BA42*1E5/(DATOS!$C$29*100*CI42^2*DATOS!$C$21))))*DATOS!$C$21*100*CI42/DATOS!$C$14))))</f>
        <v/>
      </c>
      <c r="CK42" s="58" t="str">
        <f>IF(V42&lt;&gt;"SÍ","",IF(CJ42&lt;0,-1,MAX(CJ42,BC42)))</f>
        <v/>
      </c>
      <c r="CL42" s="64" t="str">
        <f>IF(V42&lt;&gt;"SÍ","",IF(AND(CK42&gt;0,FLOOR(MIN(BD42,100*INDEX(TABLAS!$D$52:$D$58,MIN(MATCH(IF(ISNUMBER(S42),S42,DATOS!$C$135),TABLAS!$B$52:$B$58,0)+0,7))/MAX(CK42,0.0001)),DATOS!$C$141)&gt;=DATOS!$C$140),INDEX(TABLAS!$B$52:$B$58,MIN(MATCH(IF(ISNUMBER(S42),S42,DATOS!$C$135),TABLAS!$B$52:$B$58,0)+0,7)),IF(AND(CK42&gt;0,FLOOR(MIN(BD42,100*INDEX(TABLAS!$D$52:$D$58,MIN(MATCH(IF(ISNUMBER(S42),S42,DATOS!$C$135),TABLAS!$B$52:$B$58,0)+1,7))/MAX(CK42,0.0001)),DATOS!$C$141)&gt;=DATOS!$C$140),INDEX(TABLAS!$B$52:$B$58,MIN(MATCH(IF(ISNUMBER(S42),S42,DATOS!$C$135),TABLAS!$B$52:$B$58,0)+1,7)),IF(AND(CK42&gt;0,FLOOR(MIN(BD42,100*INDEX(TABLAS!$D$52:$D$58,MIN(MATCH(IF(ISNUMBER(S42),S42,DATOS!$C$135),TABLAS!$B$52:$B$58,0)+2,7))/MAX(CK42,0.0001)),DATOS!$C$141)&gt;=DATOS!$C$140),INDEX(TABLAS!$B$52:$B$58,MIN(MATCH(IF(ISNUMBER(S42),S42,DATOS!$C$135),TABLAS!$B$52:$B$58,0)+2,7)),IF(AND(CK42&gt;0,FLOOR(MIN(BD42,100*INDEX(TABLAS!$D$52:$D$58,MIN(MATCH(IF(ISNUMBER(S42),S42,DATOS!$C$135),TABLAS!$B$52:$B$58,0)+3,7))/MAX(CK42,0.0001)),DATOS!$C$141)&gt;=DATOS!$C$140),INDEX(TABLAS!$B$52:$B$58,MIN(MATCH(IF(ISNUMBER(S42),S42,DATOS!$C$135),TABLAS!$B$52:$B$58,0)+3,7)),IF(AND(CK42&gt;0,FLOOR(MIN(BD42,100*INDEX(TABLAS!$D$52:$D$58,MIN(MATCH(IF(ISNUMBER(S42),S42,DATOS!$C$135),TABLAS!$B$52:$B$58,0)+4,7))/MAX(CK42,0.0001)),DATOS!$C$141)&gt;=DATOS!$C$140),INDEX(TABLAS!$B$52:$B$58,MIN(MATCH(IF(ISNUMBER(S42),S42,DATOS!$C$135),TABLAS!$B$52:$B$58,0)+4,7)),INDEX(TABLAS!$B$52:$B$58,7)))))))</f>
        <v/>
      </c>
      <c r="CM42" s="71" t="str">
        <f>IF(V42&lt;&gt;"SÍ","",IF(CK42&lt;=0,0,FLOOR(MIN(BD42,100*INDEX(TABLAS!$D$52:$D$58,MATCH(CL42,TABLAS!$B$52:$B$58,0))/CK42),DATOS!$C$141)))</f>
        <v/>
      </c>
      <c r="CN42" s="58" t="str">
        <f>IF(V42&lt;&gt;"SÍ","",IF(CM42&lt;=0,0,INDEX(TABLAS!$D$52:$D$58,MATCH(CL42,TABLAS!$B$52:$B$58,0))*100/CM42))</f>
        <v/>
      </c>
      <c r="CO42" s="58" t="str">
        <f>IF(V42&lt;&gt;"SÍ","",((W42-AF42-INDEX(TABLAS!$C$52:$C$58,MATCH(BR42,TABLAS!$B$52:$B$58,0))-INDEX(TABLAS!$C$52:$C$58,MATCH(CL42,TABLAS!$B$52:$B$58,0))/2)-IF(AND((W42-AF42-INDEX(TABLAS!$C$52:$C$58,MATCH(BR42,TABLAS!$B$52:$B$58,0))-INDEX(TABLAS!$C$52:$C$58,MATCH(CL42,TABLAS!$B$52:$B$58,0))/2)&lt;=20,DATOS!$C$62&lt;&gt;"SÍ"),2,0)))</f>
        <v/>
      </c>
      <c r="CP42" s="56" t="str">
        <f>IF(V42&lt;&gt;"SÍ","",IF(CN42=0,0,DATOS!$C$29*CN42*DATOS!$C$14*(CO42-CN42*DATOS!$C$14/(DATOS!$C$21*100)/2)/1E5))</f>
        <v/>
      </c>
      <c r="CQ42" s="65" t="str">
        <f>IF(V42&lt;&gt;"SÍ","",IF(CK42&lt;0,9.99,IF(CP42&gt;0,BA42/CP42,0)))</f>
        <v/>
      </c>
      <c r="CR42" s="66" t="str">
        <f>IF(V42&lt;&gt;"SÍ","",IF(CN42=0,"—",0.003*(CO42-(CN42*DATOS!$C$14/(DATOS!$C$21*100)/DATOS!$C$22))/(CN42*DATOS!$C$14/(DATOS!$C$21*100)/DATOS!$C$22)))</f>
        <v/>
      </c>
      <c r="CS42" s="56" t="str">
        <f>IF(V42&lt;&gt;"SÍ","",IF(C42="PERIMETRAL",MAX(0,(AC42/2-BU42)/100)*(0.95-0.5*AB42)*AK42*IF(AND(AL42&gt;0,AL42&lt;4),DATOS!$C$33,1)/1000,(AK42*MAX(0,AC42-BU42)/100+DATOS!$C$26*N(P42))/1000))</f>
        <v/>
      </c>
      <c r="CT42" s="66" t="str">
        <f>IF(V42&lt;&gt;"SÍ","",BT42/(100*BU42))</f>
        <v/>
      </c>
      <c r="CU42" s="56" t="str">
        <f>IF(V42&lt;&gt;"SÍ","",DATOS!$C$30*2*MIN(1,SQRT(2/(1+0.04*BU42)))*CT42^(1/3)*SQRT(DATOS!$C$13)*100*BU42/1000)</f>
        <v/>
      </c>
      <c r="CV42" s="67" t="str">
        <f>IF(V42&lt;&gt;"SÍ","",IF(CS42&lt;=CU42,"CUMPLE","NO CUMPLE: sube h"))</f>
        <v/>
      </c>
      <c r="CW42" s="58" t="str">
        <f>IF(V42&lt;&gt;"SÍ","",IF(C42="PERIMETRAL",IF(ISNUMBER(R42),R42,DATOS!$C$101),0))</f>
        <v/>
      </c>
      <c r="CX42" s="57" t="str">
        <f>IF(V42&lt;&gt;"SÍ","",IF(C42="PERIMETRAL",IF(CW42&gt;2,MAX(9,AD42*(0.8+DATOS!$C$14/14000)/(36+9*(AD42/MAX(AC42,1)))),IF(CW42&gt;0.2,MAX(13,AD42*(0.8+DATOS!$C$14/14000)/(36+5*(AD42/MAX(AC42,1))*(CW42-0.2))),MAX(13,AD42/IF(AL42&gt;0,30,33))))*IF(AND(CW42&gt;0.2,AL42&gt;0,DATOS!$C$102="NO"),1.1,1),Z42*100/DATOS!$C$142))</f>
        <v/>
      </c>
      <c r="CY42" s="61" t="str">
        <f>IF(V42&lt;&gt;"SÍ","",IF(W42&gt;=CX42-0.001,"CUMPLE",IF(C42="VOLADO","NO CUMPLE","CALCULAR FLECHA")))</f>
        <v/>
      </c>
      <c r="CZ42" s="60" t="str">
        <f>IF(V42&lt;&gt;"SÍ","",IF(C42="VOLADO",MIN(CEILING(IF(ISNUMBER(Q42),Q42,Z42)*100,5),CEILING(MAX(IF((0.5*(0.9*W42/100*DATOS!$C$16)*IF(ISNUMBER(Q42),Q42,Z42)+AY42/IF(ISNUMBER(Q42),Q42,Z42))^2-4*(0.5*(0.9*W42/100*DATOS!$C$16))*AY42&lt;0,IF(ISNUMBER(Q42),Q42,Z42),MIN(IF(ISNUMBER(Q42),Q42,Z42),((0.5*(0.9*W42/100*DATOS!$C$16)*IF(ISNUMBER(Q42),Q42,Z42)+AY42/IF(ISNUMBER(Q42),Q42,Z42))-SQRT((0.5*(0.9*W42/100*DATOS!$C$16)*IF(ISNUMBER(Q42),Q42,Z42)+AY42/IF(ISNUMBER(Q42),Q42,Z42))^2-4*(0.5*(0.9*W42/100*DATOS!$C$16))*AY42))/(2*(0.5*(0.9*W42/100*DATOS!$C$16)))))*100+MAX(BU42,12*INDEX(TABLAS!$C$52:$C$58,MATCH(BR42,TABLAS!$B$52:$B$58,0)),IF(ISNUMBER(Q42),Q42,Z42)*100/16),IF(OR(AF42&lt;INDEX(TABLAS!$C$52:$C$58,MATCH(BR42,TABLAS!$B$52:$B$58,0)),BS42-INDEX(TABLAS!$C$52:$C$58,MATCH(BR42,TABLAS!$B$52:$B$58,0))&lt;2*INDEX(TABLAS!$C$52:$C$58,MATCH(BR42,TABLAS!$B$52:$B$58,0))),INDEX(TABLAS!$I$52:$I$58,MATCH(BR42,TABLAS!$B$52:$B$58,0)),INDEX(TABLAS!$F$52:$F$58,MATCH(BR42,TABLAS!$B$52:$B$58,0)))),5)),IF(((4*((AV42*AK42*Z42^2*1E-4/1000)+((MAX(AR42,AT42)*AK42*Z42^2*1E-4/1000)+(IF(AND(AR42&gt;0,AT42&gt;0),MIN(AR42,AT42),MAX(AR42,AT42))*AK42*Z42^2*1E-4/1000))/2)+AY42-(IF(AND(AR42&gt;0,AT42&gt;0),MIN(AR42,AT42),MAX(AR42,AT42))*AK42*Z42^2*1E-4/1000))^2-16*((AV42*AK42*Z42^2*1E-4/1000)+((MAX(AR42,AT42)*AK42*Z42^2*1E-4/1000)+(IF(AND(AR42&gt;0,AT42&gt;0),MIN(AR42,AT42),MAX(AR42,AT42))*AK42*Z42^2*1E-4/1000))/2)*AY42)&lt;0,CEILING(AC42,5),CEILING(MAX(AC42*((4*((AV42*AK42*Z42^2*1E-4/1000)+((MAX(AR42,AT42)*AK42*Z42^2*1E-4/1000)+(IF(AND(AR42&gt;0,AT42&gt;0),MIN(AR42,AT42),MAX(AR42,AT42))*AK42*Z42^2*1E-4/1000))/2)+AY42-(IF(AND(AR42&gt;0,AT42&gt;0),MIN(AR42,AT42),MAX(AR42,AT42))*AK42*Z42^2*1E-4/1000))-SQRT(MAX(0,((4*((AV42*AK42*Z42^2*1E-4/1000)+((MAX(AR42,AT42)*AK42*Z42^2*1E-4/1000)+(IF(AND(AR42&gt;0,AT42&gt;0),MIN(AR42,AT42),MAX(AR42,AT42))*AK42*Z42^2*1E-4/1000))/2)+AY42-(IF(AND(AR42&gt;0,AT42&gt;0),MIN(AR42,AT42),MAX(AR42,AT42))*AK42*Z42^2*1E-4/1000))^2-16*((AV42*AK42*Z42^2*1E-4/1000)+((MAX(AR42,AT42)*AK42*Z42^2*1E-4/1000)+(IF(AND(AR42&gt;0,AT42&gt;0),MIN(AR42,AT42),MAX(AR42,AT42))*AK42*Z42^2*1E-4/1000))/2)*AY42))))/(8*MAX(((AV42*AK42*Z42^2*1E-4/1000)+((MAX(AR42,AT42)*AK42*Z42^2*1E-4/1000)+(IF(AND(AR42&gt;0,AT42&gt;0),MIN(AR42,AT42),MAX(AR42,AT42))*AK42*Z42^2*1E-4/1000))/2),1E-9))+MAX(BU42,12*INDEX(TABLAS!$C$52:$C$58,MATCH(BR42,TABLAS!$B$52:$B$58,0)),AC42/16),IF(OR(AF42&lt;INDEX(TABLAS!$C$52:$C$58,MATCH(BR42,TABLAS!$B$52:$B$58,0)),BS42-INDEX(TABLAS!$C$52:$C$58,MATCH(BR42,TABLAS!$B$52:$B$58,0))&lt;2*INDEX(TABLAS!$C$52:$C$58,MATCH(BR42,TABLAS!$B$52:$B$58,0))),INDEX(TABLAS!$I$52:$I$58,MATCH(BR42,TABLAS!$B$52:$B$58,0)),INDEX(TABLAS!$F$52:$F$58,MATCH(BR42,TABLAS!$B$52:$B$58,0)))),5))))</f>
        <v/>
      </c>
      <c r="DA42" s="60" t="str">
        <f>IF(V42&lt;&gt;"SÍ","",IF(C42="VOLADO",0,IF(((4*((AW42*AK42*Z42^2*1E-4/1000)+((MAX(AS42,AU42)*AK42*Z42^2*1E-4/1000)+(IF(AND(AS42&gt;0,AU42&gt;0),MIN(AS42,AU42),MAX(AS42,AU42))*AK42*Z42^2*1E-4/1000))/2)+BA42-(IF(AND(AS42&gt;0,AU42&gt;0),MIN(AS42,AU42),MAX(AS42,AU42))*AK42*Z42^2*1E-4/1000))^2-16*((AW42*AK42*Z42^2*1E-4/1000)+((MAX(AS42,AU42)*AK42*Z42^2*1E-4/1000)+(IF(AND(AS42&gt;0,AU42&gt;0),MIN(AS42,AU42),MAX(AS42,AU42))*AK42*Z42^2*1E-4/1000))/2)*BA42)&lt;0,CEILING(AD42,5),CEILING(MAX(AD42*((4*((AW42*AK42*Z42^2*1E-4/1000)+((MAX(AS42,AU42)*AK42*Z42^2*1E-4/1000)+(IF(AND(AS42&gt;0,AU42&gt;0),MIN(AS42,AU42),MAX(AS42,AU42))*AK42*Z42^2*1E-4/1000))/2)+BA42-(IF(AND(AS42&gt;0,AU42&gt;0),MIN(AS42,AU42),MAX(AS42,AU42))*AK42*Z42^2*1E-4/1000))-SQRT(MAX(0,((4*((AW42*AK42*Z42^2*1E-4/1000)+((MAX(AS42,AU42)*AK42*Z42^2*1E-4/1000)+(IF(AND(AS42&gt;0,AU42&gt;0),MIN(AS42,AU42),MAX(AS42,AU42))*AK42*Z42^2*1E-4/1000))/2)+BA42-(IF(AND(AS42&gt;0,AU42&gt;0),MIN(AS42,AU42),MAX(AS42,AU42))*AK42*Z42^2*1E-4/1000))^2-16*((AW42*AK42*Z42^2*1E-4/1000)+((MAX(AS42,AU42)*AK42*Z42^2*1E-4/1000)+(IF(AND(AS42&gt;0,AU42&gt;0),MIN(AS42,AU42),MAX(AS42,AU42))*AK42*Z42^2*1E-4/1000))/2)*BA42))))/(8*MAX(((AW42*AK42*Z42^2*1E-4/1000)+((MAX(AS42,AU42)*AK42*Z42^2*1E-4/1000)+(IF(AND(AS42&gt;0,AU42&gt;0),MIN(AS42,AU42),MAX(AS42,AU42))*AK42*Z42^2*1E-4/1000))/2),1E-9))+MAX(CO42,12*INDEX(TABLAS!$C$52:$C$58,MATCH(CL42,TABLAS!$B$52:$B$58,0)),AD42/16),IF(OR(AF42&lt;INDEX(TABLAS!$C$52:$C$58,MATCH(CL42,TABLAS!$B$52:$B$58,0)),CM42-INDEX(TABLAS!$C$52:$C$58,MATCH(CL42,TABLAS!$B$52:$B$58,0))&lt;2*INDEX(TABLAS!$C$52:$C$58,MATCH(CL42,TABLAS!$B$52:$B$58,0))),INDEX(TABLAS!$I$52:$I$58,MATCH(CL42,TABLAS!$B$52:$B$58,0)),INDEX(TABLAS!$F$52:$F$58,MATCH(CL42,TABLAS!$B$52:$B$58,0)))),5))))</f>
        <v/>
      </c>
      <c r="DB42" s="55" t="str">
        <f>IF(V42&lt;&gt;"SÍ","",IF(AND(C42="PERIMETRAL",AL42-AM42&gt;0,AT42&gt;0),"SÍ","NO"))</f>
        <v/>
      </c>
      <c r="DC42" s="55" t="str">
        <f>IF(V42&lt;&gt;"SÍ","",IF(AND(C42="PERIMETRAL",AM42&gt;0,AU42&gt;0),"SÍ","NO"))</f>
        <v/>
      </c>
      <c r="DD42" s="63" t="str">
        <f>IF(V42&lt;&gt;"SÍ","",IF(OR(C42="VOLADO",AL42=0),"—",IF(AND(AND(INDEX(TABLAS!$G$52:$G$58,MATCH(MAX(BR42,CL42),TABLAS!$B$52:$B$58,0))&lt;=(DATOS!$C$72-DATOS!$C$60),(DATOS!$C$72-DATOS!$C$60)&gt;=15),8*INDEX(TABLAS!$C$52:$C$58,MATCH(MAX(BH42,CB42,BR42,CL42),TABLAS!$B$52:$B$58,0))&lt;=DATOS!$C$73-2*DATOS!$C$60),"CUMPLE (gancho de 180°)",IF(AND(INDEX(TABLAS!$G$52:$G$58,MATCH(MAX(BR42,CL42),TABLAS!$B$52:$B$58,0))&lt;=(DATOS!$C$72-DATOS!$C$60),(DATOS!$C$72-DATOS!$C$60)&gt;=15),"NO CUMPLE: el gancho de 180° (8·d_b) no cabe en el peralte de la dala de borde","NO CUMPLE: dala de borde ≥ "&amp;TEXT(CEILING(MAX(INDEX(TABLAS!$G$52:$G$58,MATCH(MAX(BR42,CL42),TABLAS!$B$52:$B$58,0)),15)+DATOS!$C$60,5),"0")&amp;" cm de ancho"&amp;IF(8*INDEX(TABLAS!$C$52:$C$58,MATCH(MAX(BH42,CB42,BR42,CL42),TABLAS!$B$52:$B$58,0))&lt;=DATOS!$C$73-2*DATOS!$C$60,""," y más peralte para el gancho")))))</f>
        <v/>
      </c>
      <c r="DE42" s="69" t="str">
        <f>IF(V42&lt;&gt;"SÍ","",IF(BI42=0,"NO ALCANZA","No. "&amp;BH42&amp;" @ "&amp;BI42&amp;" cm"&amp;IF(C42="VOLADO"," (temperatura)","")))</f>
        <v/>
      </c>
      <c r="DF42" s="69" t="str">
        <f>IF(V42&lt;&gt;"SÍ","",IF(BS42=0,"NO ALCANZA",IF(C42="VOLADO","No. "&amp;BR42&amp;" @ "&amp;BS42&amp;" cm"&amp;" de la orilla al respaldo ("&amp;IF(CZ42&gt;=100*IF(ISNUMBER(Q42),Q42,Z42),"hasta su apoyo lejano, con gancho","entran "&amp;TEXT(CZ42/100,"0.00")&amp;" m desde el paño")&amp;")","Bastones "&amp;"No. "&amp;BR42&amp;" @ "&amp;BS42&amp;" cm"&amp;", L = "&amp;TEXT(CZ42/100,"0.00")&amp;" m desde el paño")))</f>
        <v/>
      </c>
      <c r="DG42" s="69" t="str">
        <f>IF(V42&lt;&gt;"SÍ","",IF(CC42=0,"NO ALCANZA","No. "&amp;CB42&amp;" @ "&amp;CC42&amp;" cm"&amp;IF(C42="VOLADO"," (repartición)","")))</f>
        <v/>
      </c>
      <c r="DH42" s="69" t="str">
        <f>IF(V42&lt;&gt;"SÍ","",IF(CM42=0,"NO ALCANZA",IF(C42="VOLADO","No. "&amp;CL42&amp;" @ "&amp;CM42&amp;" cm"&amp;" (repartición)","Bastones "&amp;"No. "&amp;CL42&amp;" @ "&amp;CM42&amp;" cm"&amp;", L = "&amp;TEXT(DA42/100,"0.00")&amp;" m desde el paño")))</f>
        <v/>
      </c>
      <c r="DI42" s="67" t="str">
        <f>IF(B42="","",IF(V42&lt;&gt;"SÍ","FALTAN DATOS: tipo, a_x, a_y y destino",IF(L42="NO MONOLÍTICO (caso II)","FUERA DE ALCANCE: caso II no transcrito",IF(AND(C42="VOLADO",X42="?"),"REVISAR: el volado lleva UN solo borde CONTINUO (el empotrado)",IF(AND(MAX(BM42,BW42,CG42,CQ42)&lt;=1,NOT(OR(BI42&lt;DATOS!$C$140,BS42&lt;DATOS!$C$140,CC42&lt;DATOS!$C$140,CM42&lt;DATOS!$C$140)),NOT(OR(AND(ISNUMBER(BN42),BN42&lt;0.005),AND(ISNUMBER(BX42),BX42&lt;0.005),AND(ISNUMBER(CH42),CH42&lt;0.005),AND(ISNUMBER(CR42),CR42&lt;0.005))),CV42="CUMPLE",CY42="CUMPLE"),"CUMPLE"&amp;IF(LEFT(BB42,5)="FUERA"," · fuera de 3.4.2.1 c)","")&amp;IF(LEFT(DD42,2)="NO"," · REVISAR anclaje en borde discontinuo",""),IF(AND(MAX(BM42,BW42,CG42,CQ42)&lt;=1,NOT(OR(BI42&lt;DATOS!$C$140,BS42&lt;DATOS!$C$140,CC42&lt;DATOS!$C$140,CM42&lt;DATOS!$C$140)),NOT(OR(AND(ISNUMBER(BN42),BN42&lt;0.005),AND(ISNUMBER(BX42),BX42&lt;0.005),AND(ISNUMBER(CH42),CH42&lt;0.005),AND(ISNUMBER(CR42),CR42&lt;0.005))),CV42="CUMPLE",CY42="CALCULAR FLECHA"),"REVISAR: calcular flecha (h &lt; h mín.)"&amp;IF(LEFT(BB42,5)="FUERA"," · fuera de 3.4.2.1 c)","")&amp;IF(LEFT(DD42,2)="NO"," · REVISAR anclaje en borde discontinuo",""),"NO CUMPLE: "&amp;IF(MAX(BM42,BW42,CG42,CQ42)&gt;1,"flexión ","")&amp;IF(OR(BI42&lt;DATOS!$C$140,BS42&lt;DATOS!$C$140,CC42&lt;DATOS!$C$140,CM42&lt;DATOS!$C$140),"separación &lt; mínima ","")&amp;IF(OR(AND(ISNUMBER(BN42),BN42&lt;0.005),AND(ISNUMBER(BX42),BX42&lt;0.005),AND(ISNUMBER(CH42),CH42&lt;0.005),AND(ISNUMBER(CR42),CR42&lt;0.005)),"ε_t &lt; 0.005 ","")&amp;IF(CV42&lt;&gt;"CUMPLE","cortante ","")&amp;IF(CY42="NO CUMPLE","peralte","")))))))</f>
        <v/>
      </c>
      <c r="DJ42" s="70" t="str">
        <f>IF(V42&lt;&gt;"SÍ","",IF(LEFT(B42,7)="EJEMPLO","EJEMPLO de tablero típico: bórralo o sobrescríbelo. ","")&amp;IF(C42="VOLADO","Volado de "&amp;TEXT(Z42,"0.00")&amp;" m empotrado en el borde "&amp;LOWER(X42)&amp;IF(N(P42)&gt;0,", con "&amp;TEXT(P42,"0.0")&amp;" kg/m en la orilla","")&amp;". Lecho inferior con r_ext. Si la orilla carga pretil u otro elemento frágil, calcula la flecha (13.4). El acero superior entra al respaldo de "&amp;TEXT(IF(ISNUMBER(Q42),Q42,Z42),"0.00")&amp;" m"&amp;IF(ISNUMBER(Q42),""," (L_b no capturado: se tomó igual al volado)")&amp;" hasta pasar M = 0 con 0.9·PP sin carga viva; si ahí no se anula, llega al apoyo lejano y se ancla con gancho. ","")&amp;IF(LEFT(BB42,5)="FUERA","El M⁻ del vecino difiere más de 50 % (3.4.2.1 c): distribuye el desequilibrio (3.4.3.1) o confirma con un modelo; se arma con el mayor. ","")&amp;IF(OR(DB42="SÍ",DC42="SÍ"),"Bastones también en los bordes discontinuos (M⁻ de tabla), con gancho. ","")&amp;IF(LEFT(DD42,2)="NO","Anclaje: "&amp;DD42&amp;" (6.7.7.4.1.1). ","")&amp;IF(OR(AT42&gt;0,AU42&gt;0),"Esquinas exteriores sobre muro: refuerzo de esquina arriba y abajo en L_largo/5 (6.7.7.3.1). ",""))</f>
        <v/>
      </c>
    </row>
    <row r="43" ht="33" customHeight="1">
      <c r="A43" s="50">
        <f>IF(B43="",0,1)+A42</f>
        <v>3</v>
      </c>
      <c r="B43" s="29" t="n"/>
      <c r="C43" s="51" t="n"/>
      <c r="D43" s="29" t="n"/>
      <c r="E43" s="52" t="n"/>
      <c r="F43" s="52" t="n"/>
      <c r="G43" s="51" t="n"/>
      <c r="H43" s="51" t="n"/>
      <c r="I43" s="51" t="n"/>
      <c r="J43" s="51" t="n"/>
      <c r="K43" s="51" t="n"/>
      <c r="L43" s="51" t="n"/>
      <c r="M43" s="54" t="n"/>
      <c r="N43" s="53" t="n"/>
      <c r="O43" s="53" t="n"/>
      <c r="P43" s="54" t="n"/>
      <c r="Q43" s="52" t="n"/>
      <c r="R43" s="54" t="n"/>
      <c r="S43" s="53" t="n"/>
      <c r="T43" s="52" t="n"/>
      <c r="U43" s="52" t="n"/>
      <c r="V43" s="55" t="str">
        <f>IF(B43="","",IF(AND(OR(C43="PERIMETRAL",C43="VOLADO"),ISNUMBER(E43),ISNUMBER(F43),E43&gt;0,F43&gt;0,OR(ISNUMBER(O43),ISNUMBER(MATCH(D43,DATOS!$B$46:$B$55,0)))),"SÍ","NO"))</f>
        <v/>
      </c>
      <c r="W43" s="57" t="str">
        <f>IF(V43&lt;&gt;"SÍ","",IF(ISNUMBER(M43),M43,DATOS!$C$134))</f>
        <v/>
      </c>
      <c r="X43" s="55" t="str">
        <f>IF(V43&lt;&gt;"SÍ","",IF(C43&lt;&gt;"VOLADO","—",IF(COUNTIF(G43:J43,"CONTINUO")&lt;&gt;1,"?",IF(G43="CONTINUO","INFERIOR",IF(H43="CONTINUO","SUPERIOR",IF(I43="CONTINUO","IZQUIERDO","DERECHO"))))))</f>
        <v/>
      </c>
      <c r="Y43" s="55" t="str">
        <f>IF(V43&lt;&gt;"SÍ","",IF(C43="VOLADO",IF(OR(X43="IZQUIERDO",X43="DERECHO"),"X","Y"),IF(E43&lt;=F43,"X","Y")))</f>
        <v/>
      </c>
      <c r="Z43" s="56" t="str">
        <f>IF(V43&lt;&gt;"SÍ","",IF(C43="VOLADO",IF(Y43="X",E43,F43),MIN(E43,F43)))</f>
        <v/>
      </c>
      <c r="AA43" s="56" t="str">
        <f>IF(V43&lt;&gt;"SÍ","",IF(C43="VOLADO",IF(Y43="X",F43,E43),MAX(E43,F43)))</f>
        <v/>
      </c>
      <c r="AB43" s="56" t="str">
        <f>IF(V43&lt;&gt;"SÍ","",MIN(Z43,AA43)/MAX(Z43,AA43))</f>
        <v/>
      </c>
      <c r="AC43" s="57" t="str">
        <f>IF(V43&lt;&gt;"SÍ","",MAX(1,Z43*100-IF(C43="VOLADO",DATOS!$C$84/2,DATOS!$C$84)))</f>
        <v/>
      </c>
      <c r="AD43" s="57" t="str">
        <f>IF(V43&lt;&gt;"SÍ","",MAX(1,AA43*100-DATOS!$C$84))</f>
        <v/>
      </c>
      <c r="AE43" s="57" t="str">
        <f>IF(V43&lt;&gt;"SÍ","",IF(C43="VOLADO",DATOS!$C$61,DATOS!$C$59))</f>
        <v/>
      </c>
      <c r="AF43" s="57" t="str">
        <f>IF(V43&lt;&gt;"SÍ","",IF(OR(AND(AG43="SÍ",DATOS!$C$63="SÍ"),AND(C43="VOLADO",DATOS!$C$64="SÍ")),DATOS!$C$61,DATOS!$C$59))</f>
        <v/>
      </c>
      <c r="AG43" s="55" t="str">
        <f>IF(V43&lt;&gt;"SÍ","",IFERROR(INDEX(DATOS!$D$46:$D$55,MATCH(D43,DATOS!$B$46:$B$55,0)),"NO"))</f>
        <v/>
      </c>
      <c r="AH43" s="59" t="str">
        <f>IF(V43&lt;&gt;"SÍ","",IF(ISNUMBER(O43),O43,IFERROR(INDEX(DATOS!$C$46:$C$55,MATCH(D43,DATOS!$B$46:$B$55,0)),0)))</f>
        <v/>
      </c>
      <c r="AI43" s="59" t="str">
        <f>IF(V43&lt;&gt;"SÍ","",W43/100*DATOS!$C$16*1000+DATOS!$C$37+DATOS!$C$38)</f>
        <v/>
      </c>
      <c r="AJ43" s="59" t="str">
        <f>IF(V43&lt;&gt;"SÍ","",AI43+N(N43))</f>
        <v/>
      </c>
      <c r="AK43" s="60" t="str">
        <f>IF(V43&lt;&gt;"SÍ","",MAX(DATOS!$C$26*AJ43+DATOS!$C$27*AH43,IF(AG43="SÍ",DATOS!$C$28*(AJ43+DATOS!$C$41),0)))</f>
        <v/>
      </c>
      <c r="AL43" s="59" t="str">
        <f>IF(V43&lt;&gt;"SÍ","",(G43="DISCONTINUO")+(H43="DISCONTINUO")+(I43="DISCONTINUO")+(J43="DISCONTINUO"))</f>
        <v/>
      </c>
      <c r="AM43" s="59" t="str">
        <f>IF(V43&lt;&gt;"SÍ","",IF(Y43="X",(G43="DISCONTINUO")+(H43="DISCONTINUO"),(I43="DISCONTINUO")+(J43="DISCONTINUO")))</f>
        <v/>
      </c>
      <c r="AN43" s="55" t="str">
        <f>IF(V43&lt;&gt;"SÍ","",IF(AL43=0,"INTERIOR",IF(AL43=1,IF(AM43=1,"BORDE-CORTO","BORDE-LARGO"),IF(AL43=2,IF(AM43=1,"ESQUINA",IF(AM43=2,"EXTREMO-LARGO","EXTREMO-CORTO")),IF(AL43=3,IF(AM43=2,"EXTREMO-LARGO","EXTREMO-CORTO"),"AISLADO")))))</f>
        <v/>
      </c>
      <c r="AO43" s="61" t="str">
        <f>IF(V43&lt;&gt;"SÍ","",IF(OR(K43="",K43="AUTO"),AN43,K43))</f>
        <v/>
      </c>
      <c r="AP43" s="59" t="str">
        <f>IF(V43&lt;&gt;"SÍ","",MATCH(AB43,TABLAS!$D$5:$J$5,1))</f>
        <v/>
      </c>
      <c r="AQ43" s="58" t="str">
        <f>IF(V43&lt;&gt;"SÍ","",IF(AP43&gt;=7,0,(AB43-INDEX(TABLAS!$D$5:$J$5,AP43))/(INDEX(TABLAS!$D$5:$J$5,AP43+1)-INDEX(TABLAS!$D$5:$J$5,AP43))))</f>
        <v/>
      </c>
      <c r="AR43" s="59" t="str">
        <f>IF(V43&lt;&gt;"SÍ","",INDEX(TABLAS!$D$6:$J$47,MATCH(AO43&amp;"|NIC",TABLAS!$B$6:$B$47,0),AP43)+AQ43*(INDEX(TABLAS!$D$6:$J$47,MATCH(AO43&amp;"|NIC",TABLAS!$B$6:$B$47,0),MIN(AP43+1,7))-INDEX(TABLAS!$D$6:$J$47,MATCH(AO43&amp;"|NIC",TABLAS!$B$6:$B$47,0),AP43)))</f>
        <v/>
      </c>
      <c r="AS43" s="59" t="str">
        <f>IF(V43&lt;&gt;"SÍ","",INDEX(TABLAS!$D$6:$J$47,MATCH(AO43&amp;"|NIL",TABLAS!$B$6:$B$47,0),AP43)+AQ43*(INDEX(TABLAS!$D$6:$J$47,MATCH(AO43&amp;"|NIL",TABLAS!$B$6:$B$47,0),MIN(AP43+1,7))-INDEX(TABLAS!$D$6:$J$47,MATCH(AO43&amp;"|NIL",TABLAS!$B$6:$B$47,0),AP43)))</f>
        <v/>
      </c>
      <c r="AT43" s="59" t="str">
        <f>IF(V43&lt;&gt;"SÍ","",INDEX(TABLAS!$D$6:$J$47,MATCH(AO43&amp;"|NDC",TABLAS!$B$6:$B$47,0),AP43)+AQ43*(INDEX(TABLAS!$D$6:$J$47,MATCH(AO43&amp;"|NDC",TABLAS!$B$6:$B$47,0),MIN(AP43+1,7))-INDEX(TABLAS!$D$6:$J$47,MATCH(AO43&amp;"|NDC",TABLAS!$B$6:$B$47,0),AP43)))</f>
        <v/>
      </c>
      <c r="AU43" s="59" t="str">
        <f>IF(V43&lt;&gt;"SÍ","",INDEX(TABLAS!$D$6:$J$47,MATCH(AO43&amp;"|NDL",TABLAS!$B$6:$B$47,0),AP43)+AQ43*(INDEX(TABLAS!$D$6:$J$47,MATCH(AO43&amp;"|NDL",TABLAS!$B$6:$B$47,0),MIN(AP43+1,7))-INDEX(TABLAS!$D$6:$J$47,MATCH(AO43&amp;"|NDL",TABLAS!$B$6:$B$47,0),AP43)))</f>
        <v/>
      </c>
      <c r="AV43" s="59" t="str">
        <f>IF(V43&lt;&gt;"SÍ","",INDEX(TABLAS!$D$6:$J$47,MATCH(AO43&amp;"|PC",TABLAS!$B$6:$B$47,0),AP43)+AQ43*(INDEX(TABLAS!$D$6:$J$47,MATCH(AO43&amp;"|PC",TABLAS!$B$6:$B$47,0),MIN(AP43+1,7))-INDEX(TABLAS!$D$6:$J$47,MATCH(AO43&amp;"|PC",TABLAS!$B$6:$B$47,0),AP43)))</f>
        <v/>
      </c>
      <c r="AW43" s="59" t="str">
        <f>IF(V43&lt;&gt;"SÍ","",INDEX(TABLAS!$D$6:$J$47,MATCH(AO43&amp;"|PL",TABLAS!$B$6:$B$47,0),AP43)+AQ43*(INDEX(TABLAS!$D$6:$J$47,MATCH(AO43&amp;"|PL",TABLAS!$B$6:$B$47,0),MIN(AP43+1,7))-INDEX(TABLAS!$D$6:$J$47,MATCH(AO43&amp;"|PL",TABLAS!$B$6:$B$47,0),AP43)))</f>
        <v/>
      </c>
      <c r="AX43" s="56" t="str">
        <f>IF(V43&lt;&gt;"SÍ","",IF(C43="PERIMETRAL",AV43*AK43*Z43^2*1E-4/1000,0))</f>
        <v/>
      </c>
      <c r="AY43" s="62" t="str">
        <f>IF(V43&lt;&gt;"SÍ","",IF(C43="PERIMETRAL",MAX(MAX(AR43,AT43)*AK43*Z43^2*1E-4/1000,N(T43)),(AK43*(AC43/100)^2/2+DATOS!$C$26*N(P43)*AC43/100)/1000))</f>
        <v/>
      </c>
      <c r="AZ43" s="56" t="str">
        <f>IF(V43&lt;&gt;"SÍ","",IF(C43="PERIMETRAL",AW43*AK43*Z43^2*1E-4/1000,0))</f>
        <v/>
      </c>
      <c r="BA43" s="56" t="str">
        <f>IF(V43&lt;&gt;"SÍ","",IF(C43="PERIMETRAL",MAX(MAX(AS43,AU43)*AK43*Z43^2*1E-4/1000,N(U43)),0))</f>
        <v/>
      </c>
      <c r="BB43" s="63" t="str">
        <f>IF(V43&lt;&gt;"SÍ","",IF(C43&lt;&gt;"PERIMETRAL","—",IF(AND(N(T43)=0,N(U43)=0),"— (sin M⁻ del vecino)",IF(OR(AND(N(T43)&gt;0,ABS(MAX(AR43,AT43)*AK43*Z43^2*1E-4/1000-N(T43))&gt;0.5*MIN(MAX(AR43,AT43)*AK43*Z43^2*1E-4/1000,N(T43))),AND(N(U43)&gt;0,ABS(MAX(AS43,AU43)*AK43*Z43^2*1E-4/1000-N(U43))&gt;0.5*MIN(MAX(AS43,AU43)*AK43*Z43^2*1E-4/1000,N(U43)))),"FUERA: difieren &gt; 50 %"&amp;IF(AND(N(T43)&gt;0,ABS(MAX(AR43,AT43)*AK43*Z43^2*1E-4/1000-N(T43))&gt;0.5*MIN(MAX(AR43,AT43)*AK43*Z43^2*1E-4/1000,N(T43)))," ‖ corto","")&amp;IF(AND(N(U43)&gt;0,ABS(MAX(AS43,AU43)*AK43*Z43^2*1E-4/1000-N(U43))&gt;0.5*MIN(MAX(AS43,AU43)*AK43*Z43^2*1E-4/1000,N(U43)))," ‖ largo",""),"CUMPLE"))))</f>
        <v/>
      </c>
      <c r="BC43" s="58" t="str">
        <f>IF(V43&lt;&gt;"SÍ","",DATOS!$C$136*100*W43)</f>
        <v/>
      </c>
      <c r="BD43" s="57" t="str">
        <f>IF(V43&lt;&gt;"SÍ","",MIN(IF(C43="VOLADO",DATOS!$C$138,DATOS!$C$137)*W43,DATOS!$C$139))</f>
        <v/>
      </c>
      <c r="BE43" s="58" t="str">
        <f>IF(V43&lt;&gt;"SÍ","",(W43-AE43-INDEX(TABLAS!$C$52:$C$58,MATCH(IF(ISNUMBER(S43),S43,DATOS!$C$135),TABLAS!$B$52:$B$58,0))/2))</f>
        <v/>
      </c>
      <c r="BF43" s="58" t="str">
        <f>IF(V43&lt;&gt;"SÍ","",IF(AX43&lt;=0,0,IF((1-2*AX43*1E5/(DATOS!$C$29*100*BE43^2*DATOS!$C$21))&lt;0,-1,IF((1-SQRT((1-2*AX43*1E5/(DATOS!$C$29*100*BE43^2*DATOS!$C$21))))*DATOS!$C$21*100*BE43/DATOS!$C$14&gt;DATOS!$C$99*100*BE43,-1,(1-SQRT((1-2*AX43*1E5/(DATOS!$C$29*100*BE43^2*DATOS!$C$21))))*DATOS!$C$21*100*BE43/DATOS!$C$14))))</f>
        <v/>
      </c>
      <c r="BG43" s="58" t="str">
        <f>IF(V43&lt;&gt;"SÍ","",IF(BF43&lt;0,-1,MAX(BF43,BC43)))</f>
        <v/>
      </c>
      <c r="BH43" s="64" t="str">
        <f>IF(V43&lt;&gt;"SÍ","",IF(AND(BG43&gt;0,FLOOR(MIN(BD43,100*INDEX(TABLAS!$D$52:$D$58,MIN(MATCH(IF(ISNUMBER(S43),S43,DATOS!$C$135),TABLAS!$B$52:$B$58,0)+0,7))/MAX(BG43,0.0001)),DATOS!$C$141)&gt;=DATOS!$C$140),INDEX(TABLAS!$B$52:$B$58,MIN(MATCH(IF(ISNUMBER(S43),S43,DATOS!$C$135),TABLAS!$B$52:$B$58,0)+0,7)),IF(AND(BG43&gt;0,FLOOR(MIN(BD43,100*INDEX(TABLAS!$D$52:$D$58,MIN(MATCH(IF(ISNUMBER(S43),S43,DATOS!$C$135),TABLAS!$B$52:$B$58,0)+1,7))/MAX(BG43,0.0001)),DATOS!$C$141)&gt;=DATOS!$C$140),INDEX(TABLAS!$B$52:$B$58,MIN(MATCH(IF(ISNUMBER(S43),S43,DATOS!$C$135),TABLAS!$B$52:$B$58,0)+1,7)),IF(AND(BG43&gt;0,FLOOR(MIN(BD43,100*INDEX(TABLAS!$D$52:$D$58,MIN(MATCH(IF(ISNUMBER(S43),S43,DATOS!$C$135),TABLAS!$B$52:$B$58,0)+2,7))/MAX(BG43,0.0001)),DATOS!$C$141)&gt;=DATOS!$C$140),INDEX(TABLAS!$B$52:$B$58,MIN(MATCH(IF(ISNUMBER(S43),S43,DATOS!$C$135),TABLAS!$B$52:$B$58,0)+2,7)),IF(AND(BG43&gt;0,FLOOR(MIN(BD43,100*INDEX(TABLAS!$D$52:$D$58,MIN(MATCH(IF(ISNUMBER(S43),S43,DATOS!$C$135),TABLAS!$B$52:$B$58,0)+3,7))/MAX(BG43,0.0001)),DATOS!$C$141)&gt;=DATOS!$C$140),INDEX(TABLAS!$B$52:$B$58,MIN(MATCH(IF(ISNUMBER(S43),S43,DATOS!$C$135),TABLAS!$B$52:$B$58,0)+3,7)),IF(AND(BG43&gt;0,FLOOR(MIN(BD43,100*INDEX(TABLAS!$D$52:$D$58,MIN(MATCH(IF(ISNUMBER(S43),S43,DATOS!$C$135),TABLAS!$B$52:$B$58,0)+4,7))/MAX(BG43,0.0001)),DATOS!$C$141)&gt;=DATOS!$C$140),INDEX(TABLAS!$B$52:$B$58,MIN(MATCH(IF(ISNUMBER(S43),S43,DATOS!$C$135),TABLAS!$B$52:$B$58,0)+4,7)),INDEX(TABLAS!$B$52:$B$58,7)))))))</f>
        <v/>
      </c>
      <c r="BI43" s="71" t="str">
        <f>IF(V43&lt;&gt;"SÍ","",IF(BG43&lt;=0,0,FLOOR(MIN(BD43,100*INDEX(TABLAS!$D$52:$D$58,MATCH(BH43,TABLAS!$B$52:$B$58,0))/BG43),DATOS!$C$141)))</f>
        <v/>
      </c>
      <c r="BJ43" s="58" t="str">
        <f>IF(V43&lt;&gt;"SÍ","",IF(BI43&lt;=0,0,INDEX(TABLAS!$D$52:$D$58,MATCH(BH43,TABLAS!$B$52:$B$58,0))*100/BI43))</f>
        <v/>
      </c>
      <c r="BK43" s="58" t="str">
        <f>IF(V43&lt;&gt;"SÍ","",W43-AE43-INDEX(TABLAS!$C$52:$C$58,MATCH(BH43,TABLAS!$B$52:$B$58,0))/2)</f>
        <v/>
      </c>
      <c r="BL43" s="56" t="str">
        <f>IF(V43&lt;&gt;"SÍ","",IF(BJ43=0,0,DATOS!$C$29*BJ43*DATOS!$C$14*(BK43-BJ43*DATOS!$C$14/(DATOS!$C$21*100)/2)/1E5))</f>
        <v/>
      </c>
      <c r="BM43" s="65" t="str">
        <f>IF(V43&lt;&gt;"SÍ","",IF(BG43&lt;0,9.99,IF(BL43&gt;0,AX43/BL43,0)))</f>
        <v/>
      </c>
      <c r="BN43" s="66" t="str">
        <f>IF(V43&lt;&gt;"SÍ","",IF(BJ43=0,"—",0.003*(BK43-(BJ43*DATOS!$C$14/(DATOS!$C$21*100)/DATOS!$C$22))/(BJ43*DATOS!$C$14/(DATOS!$C$21*100)/DATOS!$C$22)))</f>
        <v/>
      </c>
      <c r="BO43" s="58" t="str">
        <f>IF(V43&lt;&gt;"SÍ","",((W43-AF43-INDEX(TABLAS!$C$52:$C$58,MATCH(IF(ISNUMBER(S43),S43,DATOS!$C$135),TABLAS!$B$52:$B$58,0))/2)-IF(AND((W43-AF43-INDEX(TABLAS!$C$52:$C$58,MATCH(IF(ISNUMBER(S43),S43,DATOS!$C$135),TABLAS!$B$52:$B$58,0))/2)&lt;=20,DATOS!$C$62&lt;&gt;"SÍ"),2,0)))</f>
        <v/>
      </c>
      <c r="BP43" s="58" t="str">
        <f>IF(V43&lt;&gt;"SÍ","",IF(AY43&lt;=0,0,IF((1-2*AY43*1E5/(DATOS!$C$29*100*BO43^2*DATOS!$C$21))&lt;0,-1,IF((1-SQRT((1-2*AY43*1E5/(DATOS!$C$29*100*BO43^2*DATOS!$C$21))))*DATOS!$C$21*100*BO43/DATOS!$C$14&gt;DATOS!$C$99*100*BO43,-1,(1-SQRT((1-2*AY43*1E5/(DATOS!$C$29*100*BO43^2*DATOS!$C$21))))*DATOS!$C$21*100*BO43/DATOS!$C$14))))</f>
        <v/>
      </c>
      <c r="BQ43" s="58" t="str">
        <f>IF(V43&lt;&gt;"SÍ","",IF(BP43&lt;0,-1,MAX(BP43,BC43)))</f>
        <v/>
      </c>
      <c r="BR43" s="64" t="str">
        <f>IF(V43&lt;&gt;"SÍ","",IF(AND(BQ43&gt;0,FLOOR(MIN(BD43,100*INDEX(TABLAS!$D$52:$D$58,MIN(MATCH(IF(ISNUMBER(S43),S43,DATOS!$C$135),TABLAS!$B$52:$B$58,0)+0,7))/MAX(BQ43,0.0001)),DATOS!$C$141)&gt;=DATOS!$C$140),INDEX(TABLAS!$B$52:$B$58,MIN(MATCH(IF(ISNUMBER(S43),S43,DATOS!$C$135),TABLAS!$B$52:$B$58,0)+0,7)),IF(AND(BQ43&gt;0,FLOOR(MIN(BD43,100*INDEX(TABLAS!$D$52:$D$58,MIN(MATCH(IF(ISNUMBER(S43),S43,DATOS!$C$135),TABLAS!$B$52:$B$58,0)+1,7))/MAX(BQ43,0.0001)),DATOS!$C$141)&gt;=DATOS!$C$140),INDEX(TABLAS!$B$52:$B$58,MIN(MATCH(IF(ISNUMBER(S43),S43,DATOS!$C$135),TABLAS!$B$52:$B$58,0)+1,7)),IF(AND(BQ43&gt;0,FLOOR(MIN(BD43,100*INDEX(TABLAS!$D$52:$D$58,MIN(MATCH(IF(ISNUMBER(S43),S43,DATOS!$C$135),TABLAS!$B$52:$B$58,0)+2,7))/MAX(BQ43,0.0001)),DATOS!$C$141)&gt;=DATOS!$C$140),INDEX(TABLAS!$B$52:$B$58,MIN(MATCH(IF(ISNUMBER(S43),S43,DATOS!$C$135),TABLAS!$B$52:$B$58,0)+2,7)),IF(AND(BQ43&gt;0,FLOOR(MIN(BD43,100*INDEX(TABLAS!$D$52:$D$58,MIN(MATCH(IF(ISNUMBER(S43),S43,DATOS!$C$135),TABLAS!$B$52:$B$58,0)+3,7))/MAX(BQ43,0.0001)),DATOS!$C$141)&gt;=DATOS!$C$140),INDEX(TABLAS!$B$52:$B$58,MIN(MATCH(IF(ISNUMBER(S43),S43,DATOS!$C$135),TABLAS!$B$52:$B$58,0)+3,7)),IF(AND(BQ43&gt;0,FLOOR(MIN(BD43,100*INDEX(TABLAS!$D$52:$D$58,MIN(MATCH(IF(ISNUMBER(S43),S43,DATOS!$C$135),TABLAS!$B$52:$B$58,0)+4,7))/MAX(BQ43,0.0001)),DATOS!$C$141)&gt;=DATOS!$C$140),INDEX(TABLAS!$B$52:$B$58,MIN(MATCH(IF(ISNUMBER(S43),S43,DATOS!$C$135),TABLAS!$B$52:$B$58,0)+4,7)),INDEX(TABLAS!$B$52:$B$58,7)))))))</f>
        <v/>
      </c>
      <c r="BS43" s="71" t="str">
        <f>IF(V43&lt;&gt;"SÍ","",IF(BQ43&lt;=0,0,FLOOR(MIN(BD43,100*INDEX(TABLAS!$D$52:$D$58,MATCH(BR43,TABLAS!$B$52:$B$58,0))/BQ43),DATOS!$C$141)))</f>
        <v/>
      </c>
      <c r="BT43" s="58" t="str">
        <f>IF(V43&lt;&gt;"SÍ","",IF(BS43&lt;=0,0,INDEX(TABLAS!$D$52:$D$58,MATCH(BR43,TABLAS!$B$52:$B$58,0))*100/BS43))</f>
        <v/>
      </c>
      <c r="BU43" s="58" t="str">
        <f>IF(V43&lt;&gt;"SÍ","",((W43-AF43-INDEX(TABLAS!$C$52:$C$58,MATCH(BR43,TABLAS!$B$52:$B$58,0))/2)-IF(AND((W43-AF43-INDEX(TABLAS!$C$52:$C$58,MATCH(BR43,TABLAS!$B$52:$B$58,0))/2)&lt;=20,DATOS!$C$62&lt;&gt;"SÍ"),2,0)))</f>
        <v/>
      </c>
      <c r="BV43" s="56" t="str">
        <f>IF(V43&lt;&gt;"SÍ","",IF(BT43=0,0,DATOS!$C$29*BT43*DATOS!$C$14*(BU43-BT43*DATOS!$C$14/(DATOS!$C$21*100)/2)/1E5))</f>
        <v/>
      </c>
      <c r="BW43" s="65" t="str">
        <f>IF(V43&lt;&gt;"SÍ","",IF(BQ43&lt;0,9.99,IF(BV43&gt;0,AY43/BV43,0)))</f>
        <v/>
      </c>
      <c r="BX43" s="66" t="str">
        <f>IF(V43&lt;&gt;"SÍ","",IF(BT43=0,"—",0.003*(BU43-(BT43*DATOS!$C$14/(DATOS!$C$21*100)/DATOS!$C$22))/(BT43*DATOS!$C$14/(DATOS!$C$21*100)/DATOS!$C$22)))</f>
        <v/>
      </c>
      <c r="BY43" s="58" t="str">
        <f>IF(V43&lt;&gt;"SÍ","",(W43-AE43-1.5*INDEX(TABLAS!$C$52:$C$58,MATCH(IF(ISNUMBER(S43),S43,DATOS!$C$135),TABLAS!$B$52:$B$58,0))))</f>
        <v/>
      </c>
      <c r="BZ43" s="58" t="str">
        <f>IF(V43&lt;&gt;"SÍ","",IF(AZ43&lt;=0,0,IF((1-2*AZ43*1E5/(DATOS!$C$29*100*BY43^2*DATOS!$C$21))&lt;0,-1,IF((1-SQRT((1-2*AZ43*1E5/(DATOS!$C$29*100*BY43^2*DATOS!$C$21))))*DATOS!$C$21*100*BY43/DATOS!$C$14&gt;DATOS!$C$99*100*BY43,-1,(1-SQRT((1-2*AZ43*1E5/(DATOS!$C$29*100*BY43^2*DATOS!$C$21))))*DATOS!$C$21*100*BY43/DATOS!$C$14))))</f>
        <v/>
      </c>
      <c r="CA43" s="58" t="str">
        <f>IF(V43&lt;&gt;"SÍ","",IF(BZ43&lt;0,-1,MAX(BZ43,BC43)))</f>
        <v/>
      </c>
      <c r="CB43" s="64" t="str">
        <f>IF(V43&lt;&gt;"SÍ","",IF(AND(CA43&gt;0,FLOOR(MIN(BD43,100*INDEX(TABLAS!$D$52:$D$58,MIN(MATCH(IF(ISNUMBER(S43),S43,DATOS!$C$135),TABLAS!$B$52:$B$58,0)+0,7))/MAX(CA43,0.0001)),DATOS!$C$141)&gt;=DATOS!$C$140),INDEX(TABLAS!$B$52:$B$58,MIN(MATCH(IF(ISNUMBER(S43),S43,DATOS!$C$135),TABLAS!$B$52:$B$58,0)+0,7)),IF(AND(CA43&gt;0,FLOOR(MIN(BD43,100*INDEX(TABLAS!$D$52:$D$58,MIN(MATCH(IF(ISNUMBER(S43),S43,DATOS!$C$135),TABLAS!$B$52:$B$58,0)+1,7))/MAX(CA43,0.0001)),DATOS!$C$141)&gt;=DATOS!$C$140),INDEX(TABLAS!$B$52:$B$58,MIN(MATCH(IF(ISNUMBER(S43),S43,DATOS!$C$135),TABLAS!$B$52:$B$58,0)+1,7)),IF(AND(CA43&gt;0,FLOOR(MIN(BD43,100*INDEX(TABLAS!$D$52:$D$58,MIN(MATCH(IF(ISNUMBER(S43),S43,DATOS!$C$135),TABLAS!$B$52:$B$58,0)+2,7))/MAX(CA43,0.0001)),DATOS!$C$141)&gt;=DATOS!$C$140),INDEX(TABLAS!$B$52:$B$58,MIN(MATCH(IF(ISNUMBER(S43),S43,DATOS!$C$135),TABLAS!$B$52:$B$58,0)+2,7)),IF(AND(CA43&gt;0,FLOOR(MIN(BD43,100*INDEX(TABLAS!$D$52:$D$58,MIN(MATCH(IF(ISNUMBER(S43),S43,DATOS!$C$135),TABLAS!$B$52:$B$58,0)+3,7))/MAX(CA43,0.0001)),DATOS!$C$141)&gt;=DATOS!$C$140),INDEX(TABLAS!$B$52:$B$58,MIN(MATCH(IF(ISNUMBER(S43),S43,DATOS!$C$135),TABLAS!$B$52:$B$58,0)+3,7)),IF(AND(CA43&gt;0,FLOOR(MIN(BD43,100*INDEX(TABLAS!$D$52:$D$58,MIN(MATCH(IF(ISNUMBER(S43),S43,DATOS!$C$135),TABLAS!$B$52:$B$58,0)+4,7))/MAX(CA43,0.0001)),DATOS!$C$141)&gt;=DATOS!$C$140),INDEX(TABLAS!$B$52:$B$58,MIN(MATCH(IF(ISNUMBER(S43),S43,DATOS!$C$135),TABLAS!$B$52:$B$58,0)+4,7)),INDEX(TABLAS!$B$52:$B$58,7)))))))</f>
        <v/>
      </c>
      <c r="CC43" s="71" t="str">
        <f>IF(V43&lt;&gt;"SÍ","",IF(CA43&lt;=0,0,FLOOR(MIN(BD43,100*INDEX(TABLAS!$D$52:$D$58,MATCH(CB43,TABLAS!$B$52:$B$58,0))/CA43),DATOS!$C$141)))</f>
        <v/>
      </c>
      <c r="CD43" s="58" t="str">
        <f>IF(V43&lt;&gt;"SÍ","",IF(CC43&lt;=0,0,INDEX(TABLAS!$D$52:$D$58,MATCH(CB43,TABLAS!$B$52:$B$58,0))*100/CC43))</f>
        <v/>
      </c>
      <c r="CE43" s="58" t="str">
        <f>IF(V43&lt;&gt;"SÍ","",W43-AE43-INDEX(TABLAS!$C$52:$C$58,MATCH(BH43,TABLAS!$B$52:$B$58,0))-INDEX(TABLAS!$C$52:$C$58,MATCH(CB43,TABLAS!$B$52:$B$58,0))/2)</f>
        <v/>
      </c>
      <c r="CF43" s="56" t="str">
        <f>IF(V43&lt;&gt;"SÍ","",IF(CD43=0,0,DATOS!$C$29*CD43*DATOS!$C$14*(CE43-CD43*DATOS!$C$14/(DATOS!$C$21*100)/2)/1E5))</f>
        <v/>
      </c>
      <c r="CG43" s="65" t="str">
        <f>IF(V43&lt;&gt;"SÍ","",IF(CA43&lt;0,9.99,IF(CF43&gt;0,AZ43/CF43,0)))</f>
        <v/>
      </c>
      <c r="CH43" s="66" t="str">
        <f>IF(V43&lt;&gt;"SÍ","",IF(CD43=0,"—",0.003*(CE43-(CD43*DATOS!$C$14/(DATOS!$C$21*100)/DATOS!$C$22))/(CD43*DATOS!$C$14/(DATOS!$C$21*100)/DATOS!$C$22)))</f>
        <v/>
      </c>
      <c r="CI43" s="58" t="str">
        <f>IF(V43&lt;&gt;"SÍ","",((W43-AF43-1.5*INDEX(TABLAS!$C$52:$C$58,MATCH(IF(ISNUMBER(S43),S43,DATOS!$C$135),TABLAS!$B$52:$B$58,0)))-IF(AND((W43-AF43-1.5*INDEX(TABLAS!$C$52:$C$58,MATCH(IF(ISNUMBER(S43),S43,DATOS!$C$135),TABLAS!$B$52:$B$58,0)))&lt;=20,DATOS!$C$62&lt;&gt;"SÍ"),2,0)))</f>
        <v/>
      </c>
      <c r="CJ43" s="58" t="str">
        <f>IF(V43&lt;&gt;"SÍ","",IF(BA43&lt;=0,0,IF((1-2*BA43*1E5/(DATOS!$C$29*100*CI43^2*DATOS!$C$21))&lt;0,-1,IF((1-SQRT((1-2*BA43*1E5/(DATOS!$C$29*100*CI43^2*DATOS!$C$21))))*DATOS!$C$21*100*CI43/DATOS!$C$14&gt;DATOS!$C$99*100*CI43,-1,(1-SQRT((1-2*BA43*1E5/(DATOS!$C$29*100*CI43^2*DATOS!$C$21))))*DATOS!$C$21*100*CI43/DATOS!$C$14))))</f>
        <v/>
      </c>
      <c r="CK43" s="58" t="str">
        <f>IF(V43&lt;&gt;"SÍ","",IF(CJ43&lt;0,-1,MAX(CJ43,BC43)))</f>
        <v/>
      </c>
      <c r="CL43" s="64" t="str">
        <f>IF(V43&lt;&gt;"SÍ","",IF(AND(CK43&gt;0,FLOOR(MIN(BD43,100*INDEX(TABLAS!$D$52:$D$58,MIN(MATCH(IF(ISNUMBER(S43),S43,DATOS!$C$135),TABLAS!$B$52:$B$58,0)+0,7))/MAX(CK43,0.0001)),DATOS!$C$141)&gt;=DATOS!$C$140),INDEX(TABLAS!$B$52:$B$58,MIN(MATCH(IF(ISNUMBER(S43),S43,DATOS!$C$135),TABLAS!$B$52:$B$58,0)+0,7)),IF(AND(CK43&gt;0,FLOOR(MIN(BD43,100*INDEX(TABLAS!$D$52:$D$58,MIN(MATCH(IF(ISNUMBER(S43),S43,DATOS!$C$135),TABLAS!$B$52:$B$58,0)+1,7))/MAX(CK43,0.0001)),DATOS!$C$141)&gt;=DATOS!$C$140),INDEX(TABLAS!$B$52:$B$58,MIN(MATCH(IF(ISNUMBER(S43),S43,DATOS!$C$135),TABLAS!$B$52:$B$58,0)+1,7)),IF(AND(CK43&gt;0,FLOOR(MIN(BD43,100*INDEX(TABLAS!$D$52:$D$58,MIN(MATCH(IF(ISNUMBER(S43),S43,DATOS!$C$135),TABLAS!$B$52:$B$58,0)+2,7))/MAX(CK43,0.0001)),DATOS!$C$141)&gt;=DATOS!$C$140),INDEX(TABLAS!$B$52:$B$58,MIN(MATCH(IF(ISNUMBER(S43),S43,DATOS!$C$135),TABLAS!$B$52:$B$58,0)+2,7)),IF(AND(CK43&gt;0,FLOOR(MIN(BD43,100*INDEX(TABLAS!$D$52:$D$58,MIN(MATCH(IF(ISNUMBER(S43),S43,DATOS!$C$135),TABLAS!$B$52:$B$58,0)+3,7))/MAX(CK43,0.0001)),DATOS!$C$141)&gt;=DATOS!$C$140),INDEX(TABLAS!$B$52:$B$58,MIN(MATCH(IF(ISNUMBER(S43),S43,DATOS!$C$135),TABLAS!$B$52:$B$58,0)+3,7)),IF(AND(CK43&gt;0,FLOOR(MIN(BD43,100*INDEX(TABLAS!$D$52:$D$58,MIN(MATCH(IF(ISNUMBER(S43),S43,DATOS!$C$135),TABLAS!$B$52:$B$58,0)+4,7))/MAX(CK43,0.0001)),DATOS!$C$141)&gt;=DATOS!$C$140),INDEX(TABLAS!$B$52:$B$58,MIN(MATCH(IF(ISNUMBER(S43),S43,DATOS!$C$135),TABLAS!$B$52:$B$58,0)+4,7)),INDEX(TABLAS!$B$52:$B$58,7)))))))</f>
        <v/>
      </c>
      <c r="CM43" s="71" t="str">
        <f>IF(V43&lt;&gt;"SÍ","",IF(CK43&lt;=0,0,FLOOR(MIN(BD43,100*INDEX(TABLAS!$D$52:$D$58,MATCH(CL43,TABLAS!$B$52:$B$58,0))/CK43),DATOS!$C$141)))</f>
        <v/>
      </c>
      <c r="CN43" s="58" t="str">
        <f>IF(V43&lt;&gt;"SÍ","",IF(CM43&lt;=0,0,INDEX(TABLAS!$D$52:$D$58,MATCH(CL43,TABLAS!$B$52:$B$58,0))*100/CM43))</f>
        <v/>
      </c>
      <c r="CO43" s="58" t="str">
        <f>IF(V43&lt;&gt;"SÍ","",((W43-AF43-INDEX(TABLAS!$C$52:$C$58,MATCH(BR43,TABLAS!$B$52:$B$58,0))-INDEX(TABLAS!$C$52:$C$58,MATCH(CL43,TABLAS!$B$52:$B$58,0))/2)-IF(AND((W43-AF43-INDEX(TABLAS!$C$52:$C$58,MATCH(BR43,TABLAS!$B$52:$B$58,0))-INDEX(TABLAS!$C$52:$C$58,MATCH(CL43,TABLAS!$B$52:$B$58,0))/2)&lt;=20,DATOS!$C$62&lt;&gt;"SÍ"),2,0)))</f>
        <v/>
      </c>
      <c r="CP43" s="56" t="str">
        <f>IF(V43&lt;&gt;"SÍ","",IF(CN43=0,0,DATOS!$C$29*CN43*DATOS!$C$14*(CO43-CN43*DATOS!$C$14/(DATOS!$C$21*100)/2)/1E5))</f>
        <v/>
      </c>
      <c r="CQ43" s="65" t="str">
        <f>IF(V43&lt;&gt;"SÍ","",IF(CK43&lt;0,9.99,IF(CP43&gt;0,BA43/CP43,0)))</f>
        <v/>
      </c>
      <c r="CR43" s="66" t="str">
        <f>IF(V43&lt;&gt;"SÍ","",IF(CN43=0,"—",0.003*(CO43-(CN43*DATOS!$C$14/(DATOS!$C$21*100)/DATOS!$C$22))/(CN43*DATOS!$C$14/(DATOS!$C$21*100)/DATOS!$C$22)))</f>
        <v/>
      </c>
      <c r="CS43" s="56" t="str">
        <f>IF(V43&lt;&gt;"SÍ","",IF(C43="PERIMETRAL",MAX(0,(AC43/2-BU43)/100)*(0.95-0.5*AB43)*AK43*IF(AND(AL43&gt;0,AL43&lt;4),DATOS!$C$33,1)/1000,(AK43*MAX(0,AC43-BU43)/100+DATOS!$C$26*N(P43))/1000))</f>
        <v/>
      </c>
      <c r="CT43" s="66" t="str">
        <f>IF(V43&lt;&gt;"SÍ","",BT43/(100*BU43))</f>
        <v/>
      </c>
      <c r="CU43" s="56" t="str">
        <f>IF(V43&lt;&gt;"SÍ","",DATOS!$C$30*2*MIN(1,SQRT(2/(1+0.04*BU43)))*CT43^(1/3)*SQRT(DATOS!$C$13)*100*BU43/1000)</f>
        <v/>
      </c>
      <c r="CV43" s="67" t="str">
        <f>IF(V43&lt;&gt;"SÍ","",IF(CS43&lt;=CU43,"CUMPLE","NO CUMPLE: sube h"))</f>
        <v/>
      </c>
      <c r="CW43" s="58" t="str">
        <f>IF(V43&lt;&gt;"SÍ","",IF(C43="PERIMETRAL",IF(ISNUMBER(R43),R43,DATOS!$C$101),0))</f>
        <v/>
      </c>
      <c r="CX43" s="57" t="str">
        <f>IF(V43&lt;&gt;"SÍ","",IF(C43="PERIMETRAL",IF(CW43&gt;2,MAX(9,AD43*(0.8+DATOS!$C$14/14000)/(36+9*(AD43/MAX(AC43,1)))),IF(CW43&gt;0.2,MAX(13,AD43*(0.8+DATOS!$C$14/14000)/(36+5*(AD43/MAX(AC43,1))*(CW43-0.2))),MAX(13,AD43/IF(AL43&gt;0,30,33))))*IF(AND(CW43&gt;0.2,AL43&gt;0,DATOS!$C$102="NO"),1.1,1),Z43*100/DATOS!$C$142))</f>
        <v/>
      </c>
      <c r="CY43" s="61" t="str">
        <f>IF(V43&lt;&gt;"SÍ","",IF(W43&gt;=CX43-0.001,"CUMPLE",IF(C43="VOLADO","NO CUMPLE","CALCULAR FLECHA")))</f>
        <v/>
      </c>
      <c r="CZ43" s="60" t="str">
        <f>IF(V43&lt;&gt;"SÍ","",IF(C43="VOLADO",MIN(CEILING(IF(ISNUMBER(Q43),Q43,Z43)*100,5),CEILING(MAX(IF((0.5*(0.9*W43/100*DATOS!$C$16)*IF(ISNUMBER(Q43),Q43,Z43)+AY43/IF(ISNUMBER(Q43),Q43,Z43))^2-4*(0.5*(0.9*W43/100*DATOS!$C$16))*AY43&lt;0,IF(ISNUMBER(Q43),Q43,Z43),MIN(IF(ISNUMBER(Q43),Q43,Z43),((0.5*(0.9*W43/100*DATOS!$C$16)*IF(ISNUMBER(Q43),Q43,Z43)+AY43/IF(ISNUMBER(Q43),Q43,Z43))-SQRT((0.5*(0.9*W43/100*DATOS!$C$16)*IF(ISNUMBER(Q43),Q43,Z43)+AY43/IF(ISNUMBER(Q43),Q43,Z43))^2-4*(0.5*(0.9*W43/100*DATOS!$C$16))*AY43))/(2*(0.5*(0.9*W43/100*DATOS!$C$16)))))*100+MAX(BU43,12*INDEX(TABLAS!$C$52:$C$58,MATCH(BR43,TABLAS!$B$52:$B$58,0)),IF(ISNUMBER(Q43),Q43,Z43)*100/16),IF(OR(AF43&lt;INDEX(TABLAS!$C$52:$C$58,MATCH(BR43,TABLAS!$B$52:$B$58,0)),BS43-INDEX(TABLAS!$C$52:$C$58,MATCH(BR43,TABLAS!$B$52:$B$58,0))&lt;2*INDEX(TABLAS!$C$52:$C$58,MATCH(BR43,TABLAS!$B$52:$B$58,0))),INDEX(TABLAS!$I$52:$I$58,MATCH(BR43,TABLAS!$B$52:$B$58,0)),INDEX(TABLAS!$F$52:$F$58,MATCH(BR43,TABLAS!$B$52:$B$58,0)))),5)),IF(((4*((AV43*AK43*Z43^2*1E-4/1000)+((MAX(AR43,AT43)*AK43*Z43^2*1E-4/1000)+(IF(AND(AR43&gt;0,AT43&gt;0),MIN(AR43,AT43),MAX(AR43,AT43))*AK43*Z43^2*1E-4/1000))/2)+AY43-(IF(AND(AR43&gt;0,AT43&gt;0),MIN(AR43,AT43),MAX(AR43,AT43))*AK43*Z43^2*1E-4/1000))^2-16*((AV43*AK43*Z43^2*1E-4/1000)+((MAX(AR43,AT43)*AK43*Z43^2*1E-4/1000)+(IF(AND(AR43&gt;0,AT43&gt;0),MIN(AR43,AT43),MAX(AR43,AT43))*AK43*Z43^2*1E-4/1000))/2)*AY43)&lt;0,CEILING(AC43,5),CEILING(MAX(AC43*((4*((AV43*AK43*Z43^2*1E-4/1000)+((MAX(AR43,AT43)*AK43*Z43^2*1E-4/1000)+(IF(AND(AR43&gt;0,AT43&gt;0),MIN(AR43,AT43),MAX(AR43,AT43))*AK43*Z43^2*1E-4/1000))/2)+AY43-(IF(AND(AR43&gt;0,AT43&gt;0),MIN(AR43,AT43),MAX(AR43,AT43))*AK43*Z43^2*1E-4/1000))-SQRT(MAX(0,((4*((AV43*AK43*Z43^2*1E-4/1000)+((MAX(AR43,AT43)*AK43*Z43^2*1E-4/1000)+(IF(AND(AR43&gt;0,AT43&gt;0),MIN(AR43,AT43),MAX(AR43,AT43))*AK43*Z43^2*1E-4/1000))/2)+AY43-(IF(AND(AR43&gt;0,AT43&gt;0),MIN(AR43,AT43),MAX(AR43,AT43))*AK43*Z43^2*1E-4/1000))^2-16*((AV43*AK43*Z43^2*1E-4/1000)+((MAX(AR43,AT43)*AK43*Z43^2*1E-4/1000)+(IF(AND(AR43&gt;0,AT43&gt;0),MIN(AR43,AT43),MAX(AR43,AT43))*AK43*Z43^2*1E-4/1000))/2)*AY43))))/(8*MAX(((AV43*AK43*Z43^2*1E-4/1000)+((MAX(AR43,AT43)*AK43*Z43^2*1E-4/1000)+(IF(AND(AR43&gt;0,AT43&gt;0),MIN(AR43,AT43),MAX(AR43,AT43))*AK43*Z43^2*1E-4/1000))/2),1E-9))+MAX(BU43,12*INDEX(TABLAS!$C$52:$C$58,MATCH(BR43,TABLAS!$B$52:$B$58,0)),AC43/16),IF(OR(AF43&lt;INDEX(TABLAS!$C$52:$C$58,MATCH(BR43,TABLAS!$B$52:$B$58,0)),BS43-INDEX(TABLAS!$C$52:$C$58,MATCH(BR43,TABLAS!$B$52:$B$58,0))&lt;2*INDEX(TABLAS!$C$52:$C$58,MATCH(BR43,TABLAS!$B$52:$B$58,0))),INDEX(TABLAS!$I$52:$I$58,MATCH(BR43,TABLAS!$B$52:$B$58,0)),INDEX(TABLAS!$F$52:$F$58,MATCH(BR43,TABLAS!$B$52:$B$58,0)))),5))))</f>
        <v/>
      </c>
      <c r="DA43" s="60" t="str">
        <f>IF(V43&lt;&gt;"SÍ","",IF(C43="VOLADO",0,IF(((4*((AW43*AK43*Z43^2*1E-4/1000)+((MAX(AS43,AU43)*AK43*Z43^2*1E-4/1000)+(IF(AND(AS43&gt;0,AU43&gt;0),MIN(AS43,AU43),MAX(AS43,AU43))*AK43*Z43^2*1E-4/1000))/2)+BA43-(IF(AND(AS43&gt;0,AU43&gt;0),MIN(AS43,AU43),MAX(AS43,AU43))*AK43*Z43^2*1E-4/1000))^2-16*((AW43*AK43*Z43^2*1E-4/1000)+((MAX(AS43,AU43)*AK43*Z43^2*1E-4/1000)+(IF(AND(AS43&gt;0,AU43&gt;0),MIN(AS43,AU43),MAX(AS43,AU43))*AK43*Z43^2*1E-4/1000))/2)*BA43)&lt;0,CEILING(AD43,5),CEILING(MAX(AD43*((4*((AW43*AK43*Z43^2*1E-4/1000)+((MAX(AS43,AU43)*AK43*Z43^2*1E-4/1000)+(IF(AND(AS43&gt;0,AU43&gt;0),MIN(AS43,AU43),MAX(AS43,AU43))*AK43*Z43^2*1E-4/1000))/2)+BA43-(IF(AND(AS43&gt;0,AU43&gt;0),MIN(AS43,AU43),MAX(AS43,AU43))*AK43*Z43^2*1E-4/1000))-SQRT(MAX(0,((4*((AW43*AK43*Z43^2*1E-4/1000)+((MAX(AS43,AU43)*AK43*Z43^2*1E-4/1000)+(IF(AND(AS43&gt;0,AU43&gt;0),MIN(AS43,AU43),MAX(AS43,AU43))*AK43*Z43^2*1E-4/1000))/2)+BA43-(IF(AND(AS43&gt;0,AU43&gt;0),MIN(AS43,AU43),MAX(AS43,AU43))*AK43*Z43^2*1E-4/1000))^2-16*((AW43*AK43*Z43^2*1E-4/1000)+((MAX(AS43,AU43)*AK43*Z43^2*1E-4/1000)+(IF(AND(AS43&gt;0,AU43&gt;0),MIN(AS43,AU43),MAX(AS43,AU43))*AK43*Z43^2*1E-4/1000))/2)*BA43))))/(8*MAX(((AW43*AK43*Z43^2*1E-4/1000)+((MAX(AS43,AU43)*AK43*Z43^2*1E-4/1000)+(IF(AND(AS43&gt;0,AU43&gt;0),MIN(AS43,AU43),MAX(AS43,AU43))*AK43*Z43^2*1E-4/1000))/2),1E-9))+MAX(CO43,12*INDEX(TABLAS!$C$52:$C$58,MATCH(CL43,TABLAS!$B$52:$B$58,0)),AD43/16),IF(OR(AF43&lt;INDEX(TABLAS!$C$52:$C$58,MATCH(CL43,TABLAS!$B$52:$B$58,0)),CM43-INDEX(TABLAS!$C$52:$C$58,MATCH(CL43,TABLAS!$B$52:$B$58,0))&lt;2*INDEX(TABLAS!$C$52:$C$58,MATCH(CL43,TABLAS!$B$52:$B$58,0))),INDEX(TABLAS!$I$52:$I$58,MATCH(CL43,TABLAS!$B$52:$B$58,0)),INDEX(TABLAS!$F$52:$F$58,MATCH(CL43,TABLAS!$B$52:$B$58,0)))),5))))</f>
        <v/>
      </c>
      <c r="DB43" s="55" t="str">
        <f>IF(V43&lt;&gt;"SÍ","",IF(AND(C43="PERIMETRAL",AL43-AM43&gt;0,AT43&gt;0),"SÍ","NO"))</f>
        <v/>
      </c>
      <c r="DC43" s="55" t="str">
        <f>IF(V43&lt;&gt;"SÍ","",IF(AND(C43="PERIMETRAL",AM43&gt;0,AU43&gt;0),"SÍ","NO"))</f>
        <v/>
      </c>
      <c r="DD43" s="63" t="str">
        <f>IF(V43&lt;&gt;"SÍ","",IF(OR(C43="VOLADO",AL43=0),"—",IF(AND(AND(INDEX(TABLAS!$G$52:$G$58,MATCH(MAX(BR43,CL43),TABLAS!$B$52:$B$58,0))&lt;=(DATOS!$C$72-DATOS!$C$60),(DATOS!$C$72-DATOS!$C$60)&gt;=15),8*INDEX(TABLAS!$C$52:$C$58,MATCH(MAX(BH43,CB43,BR43,CL43),TABLAS!$B$52:$B$58,0))&lt;=DATOS!$C$73-2*DATOS!$C$60),"CUMPLE (gancho de 180°)",IF(AND(INDEX(TABLAS!$G$52:$G$58,MATCH(MAX(BR43,CL43),TABLAS!$B$52:$B$58,0))&lt;=(DATOS!$C$72-DATOS!$C$60),(DATOS!$C$72-DATOS!$C$60)&gt;=15),"NO CUMPLE: el gancho de 180° (8·d_b) no cabe en el peralte de la dala de borde","NO CUMPLE: dala de borde ≥ "&amp;TEXT(CEILING(MAX(INDEX(TABLAS!$G$52:$G$58,MATCH(MAX(BR43,CL43),TABLAS!$B$52:$B$58,0)),15)+DATOS!$C$60,5),"0")&amp;" cm de ancho"&amp;IF(8*INDEX(TABLAS!$C$52:$C$58,MATCH(MAX(BH43,CB43,BR43,CL43),TABLAS!$B$52:$B$58,0))&lt;=DATOS!$C$73-2*DATOS!$C$60,""," y más peralte para el gancho")))))</f>
        <v/>
      </c>
      <c r="DE43" s="69" t="str">
        <f>IF(V43&lt;&gt;"SÍ","",IF(BI43=0,"NO ALCANZA","No. "&amp;BH43&amp;" @ "&amp;BI43&amp;" cm"&amp;IF(C43="VOLADO"," (temperatura)","")))</f>
        <v/>
      </c>
      <c r="DF43" s="69" t="str">
        <f>IF(V43&lt;&gt;"SÍ","",IF(BS43=0,"NO ALCANZA",IF(C43="VOLADO","No. "&amp;BR43&amp;" @ "&amp;BS43&amp;" cm"&amp;" de la orilla al respaldo ("&amp;IF(CZ43&gt;=100*IF(ISNUMBER(Q43),Q43,Z43),"hasta su apoyo lejano, con gancho","entran "&amp;TEXT(CZ43/100,"0.00")&amp;" m desde el paño")&amp;")","Bastones "&amp;"No. "&amp;BR43&amp;" @ "&amp;BS43&amp;" cm"&amp;", L = "&amp;TEXT(CZ43/100,"0.00")&amp;" m desde el paño")))</f>
        <v/>
      </c>
      <c r="DG43" s="69" t="str">
        <f>IF(V43&lt;&gt;"SÍ","",IF(CC43=0,"NO ALCANZA","No. "&amp;CB43&amp;" @ "&amp;CC43&amp;" cm"&amp;IF(C43="VOLADO"," (repartición)","")))</f>
        <v/>
      </c>
      <c r="DH43" s="69" t="str">
        <f>IF(V43&lt;&gt;"SÍ","",IF(CM43=0,"NO ALCANZA",IF(C43="VOLADO","No. "&amp;CL43&amp;" @ "&amp;CM43&amp;" cm"&amp;" (repartición)","Bastones "&amp;"No. "&amp;CL43&amp;" @ "&amp;CM43&amp;" cm"&amp;", L = "&amp;TEXT(DA43/100,"0.00")&amp;" m desde el paño")))</f>
        <v/>
      </c>
      <c r="DI43" s="67" t="str">
        <f>IF(B43="","",IF(V43&lt;&gt;"SÍ","FALTAN DATOS: tipo, a_x, a_y y destino",IF(L43="NO MONOLÍTICO (caso II)","FUERA DE ALCANCE: caso II no transcrito",IF(AND(C43="VOLADO",X43="?"),"REVISAR: el volado lleva UN solo borde CONTINUO (el empotrado)",IF(AND(MAX(BM43,BW43,CG43,CQ43)&lt;=1,NOT(OR(BI43&lt;DATOS!$C$140,BS43&lt;DATOS!$C$140,CC43&lt;DATOS!$C$140,CM43&lt;DATOS!$C$140)),NOT(OR(AND(ISNUMBER(BN43),BN43&lt;0.005),AND(ISNUMBER(BX43),BX43&lt;0.005),AND(ISNUMBER(CH43),CH43&lt;0.005),AND(ISNUMBER(CR43),CR43&lt;0.005))),CV43="CUMPLE",CY43="CUMPLE"),"CUMPLE"&amp;IF(LEFT(BB43,5)="FUERA"," · fuera de 3.4.2.1 c)","")&amp;IF(LEFT(DD43,2)="NO"," · REVISAR anclaje en borde discontinuo",""),IF(AND(MAX(BM43,BW43,CG43,CQ43)&lt;=1,NOT(OR(BI43&lt;DATOS!$C$140,BS43&lt;DATOS!$C$140,CC43&lt;DATOS!$C$140,CM43&lt;DATOS!$C$140)),NOT(OR(AND(ISNUMBER(BN43),BN43&lt;0.005),AND(ISNUMBER(BX43),BX43&lt;0.005),AND(ISNUMBER(CH43),CH43&lt;0.005),AND(ISNUMBER(CR43),CR43&lt;0.005))),CV43="CUMPLE",CY43="CALCULAR FLECHA"),"REVISAR: calcular flecha (h &lt; h mín.)"&amp;IF(LEFT(BB43,5)="FUERA"," · fuera de 3.4.2.1 c)","")&amp;IF(LEFT(DD43,2)="NO"," · REVISAR anclaje en borde discontinuo",""),"NO CUMPLE: "&amp;IF(MAX(BM43,BW43,CG43,CQ43)&gt;1,"flexión ","")&amp;IF(OR(BI43&lt;DATOS!$C$140,BS43&lt;DATOS!$C$140,CC43&lt;DATOS!$C$140,CM43&lt;DATOS!$C$140),"separación &lt; mínima ","")&amp;IF(OR(AND(ISNUMBER(BN43),BN43&lt;0.005),AND(ISNUMBER(BX43),BX43&lt;0.005),AND(ISNUMBER(CH43),CH43&lt;0.005),AND(ISNUMBER(CR43),CR43&lt;0.005)),"ε_t &lt; 0.005 ","")&amp;IF(CV43&lt;&gt;"CUMPLE","cortante ","")&amp;IF(CY43="NO CUMPLE","peralte","")))))))</f>
        <v/>
      </c>
      <c r="DJ43" s="70" t="str">
        <f>IF(V43&lt;&gt;"SÍ","",IF(LEFT(B43,7)="EJEMPLO","EJEMPLO de tablero típico: bórralo o sobrescríbelo. ","")&amp;IF(C43="VOLADO","Volado de "&amp;TEXT(Z43,"0.00")&amp;" m empotrado en el borde "&amp;LOWER(X43)&amp;IF(N(P43)&gt;0,", con "&amp;TEXT(P43,"0.0")&amp;" kg/m en la orilla","")&amp;". Lecho inferior con r_ext. Si la orilla carga pretil u otro elemento frágil, calcula la flecha (13.4). El acero superior entra al respaldo de "&amp;TEXT(IF(ISNUMBER(Q43),Q43,Z43),"0.00")&amp;" m"&amp;IF(ISNUMBER(Q43),""," (L_b no capturado: se tomó igual al volado)")&amp;" hasta pasar M = 0 con 0.9·PP sin carga viva; si ahí no se anula, llega al apoyo lejano y se ancla con gancho. ","")&amp;IF(LEFT(BB43,5)="FUERA","El M⁻ del vecino difiere más de 50 % (3.4.2.1 c): distribuye el desequilibrio (3.4.3.1) o confirma con un modelo; se arma con el mayor. ","")&amp;IF(OR(DB43="SÍ",DC43="SÍ"),"Bastones también en los bordes discontinuos (M⁻ de tabla), con gancho. ","")&amp;IF(LEFT(DD43,2)="NO","Anclaje: "&amp;DD43&amp;" (6.7.7.4.1.1). ","")&amp;IF(OR(AT43&gt;0,AU43&gt;0),"Esquinas exteriores sobre muro: refuerzo de esquina arriba y abajo en L_largo/5 (6.7.7.3.1). ",""))</f>
        <v/>
      </c>
    </row>
    <row r="44" ht="33" customHeight="1">
      <c r="A44" s="50">
        <f>IF(B44="",0,1)+A43</f>
        <v>3</v>
      </c>
      <c r="B44" s="29" t="n"/>
      <c r="C44" s="51" t="n"/>
      <c r="D44" s="29" t="n"/>
      <c r="E44" s="52" t="n"/>
      <c r="F44" s="52" t="n"/>
      <c r="G44" s="51" t="n"/>
      <c r="H44" s="51" t="n"/>
      <c r="I44" s="51" t="n"/>
      <c r="J44" s="51" t="n"/>
      <c r="K44" s="51" t="n"/>
      <c r="L44" s="51" t="n"/>
      <c r="M44" s="54" t="n"/>
      <c r="N44" s="53" t="n"/>
      <c r="O44" s="53" t="n"/>
      <c r="P44" s="54" t="n"/>
      <c r="Q44" s="52" t="n"/>
      <c r="R44" s="54" t="n"/>
      <c r="S44" s="53" t="n"/>
      <c r="T44" s="52" t="n"/>
      <c r="U44" s="52" t="n"/>
      <c r="V44" s="55" t="str">
        <f>IF(B44="","",IF(AND(OR(C44="PERIMETRAL",C44="VOLADO"),ISNUMBER(E44),ISNUMBER(F44),E44&gt;0,F44&gt;0,OR(ISNUMBER(O44),ISNUMBER(MATCH(D44,DATOS!$B$46:$B$55,0)))),"SÍ","NO"))</f>
        <v/>
      </c>
      <c r="W44" s="57" t="str">
        <f>IF(V44&lt;&gt;"SÍ","",IF(ISNUMBER(M44),M44,DATOS!$C$134))</f>
        <v/>
      </c>
      <c r="X44" s="55" t="str">
        <f>IF(V44&lt;&gt;"SÍ","",IF(C44&lt;&gt;"VOLADO","—",IF(COUNTIF(G44:J44,"CONTINUO")&lt;&gt;1,"?",IF(G44="CONTINUO","INFERIOR",IF(H44="CONTINUO","SUPERIOR",IF(I44="CONTINUO","IZQUIERDO","DERECHO"))))))</f>
        <v/>
      </c>
      <c r="Y44" s="55" t="str">
        <f>IF(V44&lt;&gt;"SÍ","",IF(C44="VOLADO",IF(OR(X44="IZQUIERDO",X44="DERECHO"),"X","Y"),IF(E44&lt;=F44,"X","Y")))</f>
        <v/>
      </c>
      <c r="Z44" s="56" t="str">
        <f>IF(V44&lt;&gt;"SÍ","",IF(C44="VOLADO",IF(Y44="X",E44,F44),MIN(E44,F44)))</f>
        <v/>
      </c>
      <c r="AA44" s="56" t="str">
        <f>IF(V44&lt;&gt;"SÍ","",IF(C44="VOLADO",IF(Y44="X",F44,E44),MAX(E44,F44)))</f>
        <v/>
      </c>
      <c r="AB44" s="56" t="str">
        <f>IF(V44&lt;&gt;"SÍ","",MIN(Z44,AA44)/MAX(Z44,AA44))</f>
        <v/>
      </c>
      <c r="AC44" s="57" t="str">
        <f>IF(V44&lt;&gt;"SÍ","",MAX(1,Z44*100-IF(C44="VOLADO",DATOS!$C$84/2,DATOS!$C$84)))</f>
        <v/>
      </c>
      <c r="AD44" s="57" t="str">
        <f>IF(V44&lt;&gt;"SÍ","",MAX(1,AA44*100-DATOS!$C$84))</f>
        <v/>
      </c>
      <c r="AE44" s="57" t="str">
        <f>IF(V44&lt;&gt;"SÍ","",IF(C44="VOLADO",DATOS!$C$61,DATOS!$C$59))</f>
        <v/>
      </c>
      <c r="AF44" s="57" t="str">
        <f>IF(V44&lt;&gt;"SÍ","",IF(OR(AND(AG44="SÍ",DATOS!$C$63="SÍ"),AND(C44="VOLADO",DATOS!$C$64="SÍ")),DATOS!$C$61,DATOS!$C$59))</f>
        <v/>
      </c>
      <c r="AG44" s="55" t="str">
        <f>IF(V44&lt;&gt;"SÍ","",IFERROR(INDEX(DATOS!$D$46:$D$55,MATCH(D44,DATOS!$B$46:$B$55,0)),"NO"))</f>
        <v/>
      </c>
      <c r="AH44" s="59" t="str">
        <f>IF(V44&lt;&gt;"SÍ","",IF(ISNUMBER(O44),O44,IFERROR(INDEX(DATOS!$C$46:$C$55,MATCH(D44,DATOS!$B$46:$B$55,0)),0)))</f>
        <v/>
      </c>
      <c r="AI44" s="59" t="str">
        <f>IF(V44&lt;&gt;"SÍ","",W44/100*DATOS!$C$16*1000+DATOS!$C$37+DATOS!$C$38)</f>
        <v/>
      </c>
      <c r="AJ44" s="59" t="str">
        <f>IF(V44&lt;&gt;"SÍ","",AI44+N(N44))</f>
        <v/>
      </c>
      <c r="AK44" s="60" t="str">
        <f>IF(V44&lt;&gt;"SÍ","",MAX(DATOS!$C$26*AJ44+DATOS!$C$27*AH44,IF(AG44="SÍ",DATOS!$C$28*(AJ44+DATOS!$C$41),0)))</f>
        <v/>
      </c>
      <c r="AL44" s="59" t="str">
        <f>IF(V44&lt;&gt;"SÍ","",(G44="DISCONTINUO")+(H44="DISCONTINUO")+(I44="DISCONTINUO")+(J44="DISCONTINUO"))</f>
        <v/>
      </c>
      <c r="AM44" s="59" t="str">
        <f>IF(V44&lt;&gt;"SÍ","",IF(Y44="X",(G44="DISCONTINUO")+(H44="DISCONTINUO"),(I44="DISCONTINUO")+(J44="DISCONTINUO")))</f>
        <v/>
      </c>
      <c r="AN44" s="55" t="str">
        <f>IF(V44&lt;&gt;"SÍ","",IF(AL44=0,"INTERIOR",IF(AL44=1,IF(AM44=1,"BORDE-CORTO","BORDE-LARGO"),IF(AL44=2,IF(AM44=1,"ESQUINA",IF(AM44=2,"EXTREMO-LARGO","EXTREMO-CORTO")),IF(AL44=3,IF(AM44=2,"EXTREMO-LARGO","EXTREMO-CORTO"),"AISLADO")))))</f>
        <v/>
      </c>
      <c r="AO44" s="61" t="str">
        <f>IF(V44&lt;&gt;"SÍ","",IF(OR(K44="",K44="AUTO"),AN44,K44))</f>
        <v/>
      </c>
      <c r="AP44" s="59" t="str">
        <f>IF(V44&lt;&gt;"SÍ","",MATCH(AB44,TABLAS!$D$5:$J$5,1))</f>
        <v/>
      </c>
      <c r="AQ44" s="58" t="str">
        <f>IF(V44&lt;&gt;"SÍ","",IF(AP44&gt;=7,0,(AB44-INDEX(TABLAS!$D$5:$J$5,AP44))/(INDEX(TABLAS!$D$5:$J$5,AP44+1)-INDEX(TABLAS!$D$5:$J$5,AP44))))</f>
        <v/>
      </c>
      <c r="AR44" s="59" t="str">
        <f>IF(V44&lt;&gt;"SÍ","",INDEX(TABLAS!$D$6:$J$47,MATCH(AO44&amp;"|NIC",TABLAS!$B$6:$B$47,0),AP44)+AQ44*(INDEX(TABLAS!$D$6:$J$47,MATCH(AO44&amp;"|NIC",TABLAS!$B$6:$B$47,0),MIN(AP44+1,7))-INDEX(TABLAS!$D$6:$J$47,MATCH(AO44&amp;"|NIC",TABLAS!$B$6:$B$47,0),AP44)))</f>
        <v/>
      </c>
      <c r="AS44" s="59" t="str">
        <f>IF(V44&lt;&gt;"SÍ","",INDEX(TABLAS!$D$6:$J$47,MATCH(AO44&amp;"|NIL",TABLAS!$B$6:$B$47,0),AP44)+AQ44*(INDEX(TABLAS!$D$6:$J$47,MATCH(AO44&amp;"|NIL",TABLAS!$B$6:$B$47,0),MIN(AP44+1,7))-INDEX(TABLAS!$D$6:$J$47,MATCH(AO44&amp;"|NIL",TABLAS!$B$6:$B$47,0),AP44)))</f>
        <v/>
      </c>
      <c r="AT44" s="59" t="str">
        <f>IF(V44&lt;&gt;"SÍ","",INDEX(TABLAS!$D$6:$J$47,MATCH(AO44&amp;"|NDC",TABLAS!$B$6:$B$47,0),AP44)+AQ44*(INDEX(TABLAS!$D$6:$J$47,MATCH(AO44&amp;"|NDC",TABLAS!$B$6:$B$47,0),MIN(AP44+1,7))-INDEX(TABLAS!$D$6:$J$47,MATCH(AO44&amp;"|NDC",TABLAS!$B$6:$B$47,0),AP44)))</f>
        <v/>
      </c>
      <c r="AU44" s="59" t="str">
        <f>IF(V44&lt;&gt;"SÍ","",INDEX(TABLAS!$D$6:$J$47,MATCH(AO44&amp;"|NDL",TABLAS!$B$6:$B$47,0),AP44)+AQ44*(INDEX(TABLAS!$D$6:$J$47,MATCH(AO44&amp;"|NDL",TABLAS!$B$6:$B$47,0),MIN(AP44+1,7))-INDEX(TABLAS!$D$6:$J$47,MATCH(AO44&amp;"|NDL",TABLAS!$B$6:$B$47,0),AP44)))</f>
        <v/>
      </c>
      <c r="AV44" s="59" t="str">
        <f>IF(V44&lt;&gt;"SÍ","",INDEX(TABLAS!$D$6:$J$47,MATCH(AO44&amp;"|PC",TABLAS!$B$6:$B$47,0),AP44)+AQ44*(INDEX(TABLAS!$D$6:$J$47,MATCH(AO44&amp;"|PC",TABLAS!$B$6:$B$47,0),MIN(AP44+1,7))-INDEX(TABLAS!$D$6:$J$47,MATCH(AO44&amp;"|PC",TABLAS!$B$6:$B$47,0),AP44)))</f>
        <v/>
      </c>
      <c r="AW44" s="59" t="str">
        <f>IF(V44&lt;&gt;"SÍ","",INDEX(TABLAS!$D$6:$J$47,MATCH(AO44&amp;"|PL",TABLAS!$B$6:$B$47,0),AP44)+AQ44*(INDEX(TABLAS!$D$6:$J$47,MATCH(AO44&amp;"|PL",TABLAS!$B$6:$B$47,0),MIN(AP44+1,7))-INDEX(TABLAS!$D$6:$J$47,MATCH(AO44&amp;"|PL",TABLAS!$B$6:$B$47,0),AP44)))</f>
        <v/>
      </c>
      <c r="AX44" s="56" t="str">
        <f>IF(V44&lt;&gt;"SÍ","",IF(C44="PERIMETRAL",AV44*AK44*Z44^2*1E-4/1000,0))</f>
        <v/>
      </c>
      <c r="AY44" s="62" t="str">
        <f>IF(V44&lt;&gt;"SÍ","",IF(C44="PERIMETRAL",MAX(MAX(AR44,AT44)*AK44*Z44^2*1E-4/1000,N(T44)),(AK44*(AC44/100)^2/2+DATOS!$C$26*N(P44)*AC44/100)/1000))</f>
        <v/>
      </c>
      <c r="AZ44" s="56" t="str">
        <f>IF(V44&lt;&gt;"SÍ","",IF(C44="PERIMETRAL",AW44*AK44*Z44^2*1E-4/1000,0))</f>
        <v/>
      </c>
      <c r="BA44" s="56" t="str">
        <f>IF(V44&lt;&gt;"SÍ","",IF(C44="PERIMETRAL",MAX(MAX(AS44,AU44)*AK44*Z44^2*1E-4/1000,N(U44)),0))</f>
        <v/>
      </c>
      <c r="BB44" s="63" t="str">
        <f>IF(V44&lt;&gt;"SÍ","",IF(C44&lt;&gt;"PERIMETRAL","—",IF(AND(N(T44)=0,N(U44)=0),"— (sin M⁻ del vecino)",IF(OR(AND(N(T44)&gt;0,ABS(MAX(AR44,AT44)*AK44*Z44^2*1E-4/1000-N(T44))&gt;0.5*MIN(MAX(AR44,AT44)*AK44*Z44^2*1E-4/1000,N(T44))),AND(N(U44)&gt;0,ABS(MAX(AS44,AU44)*AK44*Z44^2*1E-4/1000-N(U44))&gt;0.5*MIN(MAX(AS44,AU44)*AK44*Z44^2*1E-4/1000,N(U44)))),"FUERA: difieren &gt; 50 %"&amp;IF(AND(N(T44)&gt;0,ABS(MAX(AR44,AT44)*AK44*Z44^2*1E-4/1000-N(T44))&gt;0.5*MIN(MAX(AR44,AT44)*AK44*Z44^2*1E-4/1000,N(T44)))," ‖ corto","")&amp;IF(AND(N(U44)&gt;0,ABS(MAX(AS44,AU44)*AK44*Z44^2*1E-4/1000-N(U44))&gt;0.5*MIN(MAX(AS44,AU44)*AK44*Z44^2*1E-4/1000,N(U44)))," ‖ largo",""),"CUMPLE"))))</f>
        <v/>
      </c>
      <c r="BC44" s="58" t="str">
        <f>IF(V44&lt;&gt;"SÍ","",DATOS!$C$136*100*W44)</f>
        <v/>
      </c>
      <c r="BD44" s="57" t="str">
        <f>IF(V44&lt;&gt;"SÍ","",MIN(IF(C44="VOLADO",DATOS!$C$138,DATOS!$C$137)*W44,DATOS!$C$139))</f>
        <v/>
      </c>
      <c r="BE44" s="58" t="str">
        <f>IF(V44&lt;&gt;"SÍ","",(W44-AE44-INDEX(TABLAS!$C$52:$C$58,MATCH(IF(ISNUMBER(S44),S44,DATOS!$C$135),TABLAS!$B$52:$B$58,0))/2))</f>
        <v/>
      </c>
      <c r="BF44" s="58" t="str">
        <f>IF(V44&lt;&gt;"SÍ","",IF(AX44&lt;=0,0,IF((1-2*AX44*1E5/(DATOS!$C$29*100*BE44^2*DATOS!$C$21))&lt;0,-1,IF((1-SQRT((1-2*AX44*1E5/(DATOS!$C$29*100*BE44^2*DATOS!$C$21))))*DATOS!$C$21*100*BE44/DATOS!$C$14&gt;DATOS!$C$99*100*BE44,-1,(1-SQRT((1-2*AX44*1E5/(DATOS!$C$29*100*BE44^2*DATOS!$C$21))))*DATOS!$C$21*100*BE44/DATOS!$C$14))))</f>
        <v/>
      </c>
      <c r="BG44" s="58" t="str">
        <f>IF(V44&lt;&gt;"SÍ","",IF(BF44&lt;0,-1,MAX(BF44,BC44)))</f>
        <v/>
      </c>
      <c r="BH44" s="64" t="str">
        <f>IF(V44&lt;&gt;"SÍ","",IF(AND(BG44&gt;0,FLOOR(MIN(BD44,100*INDEX(TABLAS!$D$52:$D$58,MIN(MATCH(IF(ISNUMBER(S44),S44,DATOS!$C$135),TABLAS!$B$52:$B$58,0)+0,7))/MAX(BG44,0.0001)),DATOS!$C$141)&gt;=DATOS!$C$140),INDEX(TABLAS!$B$52:$B$58,MIN(MATCH(IF(ISNUMBER(S44),S44,DATOS!$C$135),TABLAS!$B$52:$B$58,0)+0,7)),IF(AND(BG44&gt;0,FLOOR(MIN(BD44,100*INDEX(TABLAS!$D$52:$D$58,MIN(MATCH(IF(ISNUMBER(S44),S44,DATOS!$C$135),TABLAS!$B$52:$B$58,0)+1,7))/MAX(BG44,0.0001)),DATOS!$C$141)&gt;=DATOS!$C$140),INDEX(TABLAS!$B$52:$B$58,MIN(MATCH(IF(ISNUMBER(S44),S44,DATOS!$C$135),TABLAS!$B$52:$B$58,0)+1,7)),IF(AND(BG44&gt;0,FLOOR(MIN(BD44,100*INDEX(TABLAS!$D$52:$D$58,MIN(MATCH(IF(ISNUMBER(S44),S44,DATOS!$C$135),TABLAS!$B$52:$B$58,0)+2,7))/MAX(BG44,0.0001)),DATOS!$C$141)&gt;=DATOS!$C$140),INDEX(TABLAS!$B$52:$B$58,MIN(MATCH(IF(ISNUMBER(S44),S44,DATOS!$C$135),TABLAS!$B$52:$B$58,0)+2,7)),IF(AND(BG44&gt;0,FLOOR(MIN(BD44,100*INDEX(TABLAS!$D$52:$D$58,MIN(MATCH(IF(ISNUMBER(S44),S44,DATOS!$C$135),TABLAS!$B$52:$B$58,0)+3,7))/MAX(BG44,0.0001)),DATOS!$C$141)&gt;=DATOS!$C$140),INDEX(TABLAS!$B$52:$B$58,MIN(MATCH(IF(ISNUMBER(S44),S44,DATOS!$C$135),TABLAS!$B$52:$B$58,0)+3,7)),IF(AND(BG44&gt;0,FLOOR(MIN(BD44,100*INDEX(TABLAS!$D$52:$D$58,MIN(MATCH(IF(ISNUMBER(S44),S44,DATOS!$C$135),TABLAS!$B$52:$B$58,0)+4,7))/MAX(BG44,0.0001)),DATOS!$C$141)&gt;=DATOS!$C$140),INDEX(TABLAS!$B$52:$B$58,MIN(MATCH(IF(ISNUMBER(S44),S44,DATOS!$C$135),TABLAS!$B$52:$B$58,0)+4,7)),INDEX(TABLAS!$B$52:$B$58,7)))))))</f>
        <v/>
      </c>
      <c r="BI44" s="71" t="str">
        <f>IF(V44&lt;&gt;"SÍ","",IF(BG44&lt;=0,0,FLOOR(MIN(BD44,100*INDEX(TABLAS!$D$52:$D$58,MATCH(BH44,TABLAS!$B$52:$B$58,0))/BG44),DATOS!$C$141)))</f>
        <v/>
      </c>
      <c r="BJ44" s="58" t="str">
        <f>IF(V44&lt;&gt;"SÍ","",IF(BI44&lt;=0,0,INDEX(TABLAS!$D$52:$D$58,MATCH(BH44,TABLAS!$B$52:$B$58,0))*100/BI44))</f>
        <v/>
      </c>
      <c r="BK44" s="58" t="str">
        <f>IF(V44&lt;&gt;"SÍ","",W44-AE44-INDEX(TABLAS!$C$52:$C$58,MATCH(BH44,TABLAS!$B$52:$B$58,0))/2)</f>
        <v/>
      </c>
      <c r="BL44" s="56" t="str">
        <f>IF(V44&lt;&gt;"SÍ","",IF(BJ44=0,0,DATOS!$C$29*BJ44*DATOS!$C$14*(BK44-BJ44*DATOS!$C$14/(DATOS!$C$21*100)/2)/1E5))</f>
        <v/>
      </c>
      <c r="BM44" s="65" t="str">
        <f>IF(V44&lt;&gt;"SÍ","",IF(BG44&lt;0,9.99,IF(BL44&gt;0,AX44/BL44,0)))</f>
        <v/>
      </c>
      <c r="BN44" s="66" t="str">
        <f>IF(V44&lt;&gt;"SÍ","",IF(BJ44=0,"—",0.003*(BK44-(BJ44*DATOS!$C$14/(DATOS!$C$21*100)/DATOS!$C$22))/(BJ44*DATOS!$C$14/(DATOS!$C$21*100)/DATOS!$C$22)))</f>
        <v/>
      </c>
      <c r="BO44" s="58" t="str">
        <f>IF(V44&lt;&gt;"SÍ","",((W44-AF44-INDEX(TABLAS!$C$52:$C$58,MATCH(IF(ISNUMBER(S44),S44,DATOS!$C$135),TABLAS!$B$52:$B$58,0))/2)-IF(AND((W44-AF44-INDEX(TABLAS!$C$52:$C$58,MATCH(IF(ISNUMBER(S44),S44,DATOS!$C$135),TABLAS!$B$52:$B$58,0))/2)&lt;=20,DATOS!$C$62&lt;&gt;"SÍ"),2,0)))</f>
        <v/>
      </c>
      <c r="BP44" s="58" t="str">
        <f>IF(V44&lt;&gt;"SÍ","",IF(AY44&lt;=0,0,IF((1-2*AY44*1E5/(DATOS!$C$29*100*BO44^2*DATOS!$C$21))&lt;0,-1,IF((1-SQRT((1-2*AY44*1E5/(DATOS!$C$29*100*BO44^2*DATOS!$C$21))))*DATOS!$C$21*100*BO44/DATOS!$C$14&gt;DATOS!$C$99*100*BO44,-1,(1-SQRT((1-2*AY44*1E5/(DATOS!$C$29*100*BO44^2*DATOS!$C$21))))*DATOS!$C$21*100*BO44/DATOS!$C$14))))</f>
        <v/>
      </c>
      <c r="BQ44" s="58" t="str">
        <f>IF(V44&lt;&gt;"SÍ","",IF(BP44&lt;0,-1,MAX(BP44,BC44)))</f>
        <v/>
      </c>
      <c r="BR44" s="64" t="str">
        <f>IF(V44&lt;&gt;"SÍ","",IF(AND(BQ44&gt;0,FLOOR(MIN(BD44,100*INDEX(TABLAS!$D$52:$D$58,MIN(MATCH(IF(ISNUMBER(S44),S44,DATOS!$C$135),TABLAS!$B$52:$B$58,0)+0,7))/MAX(BQ44,0.0001)),DATOS!$C$141)&gt;=DATOS!$C$140),INDEX(TABLAS!$B$52:$B$58,MIN(MATCH(IF(ISNUMBER(S44),S44,DATOS!$C$135),TABLAS!$B$52:$B$58,0)+0,7)),IF(AND(BQ44&gt;0,FLOOR(MIN(BD44,100*INDEX(TABLAS!$D$52:$D$58,MIN(MATCH(IF(ISNUMBER(S44),S44,DATOS!$C$135),TABLAS!$B$52:$B$58,0)+1,7))/MAX(BQ44,0.0001)),DATOS!$C$141)&gt;=DATOS!$C$140),INDEX(TABLAS!$B$52:$B$58,MIN(MATCH(IF(ISNUMBER(S44),S44,DATOS!$C$135),TABLAS!$B$52:$B$58,0)+1,7)),IF(AND(BQ44&gt;0,FLOOR(MIN(BD44,100*INDEX(TABLAS!$D$52:$D$58,MIN(MATCH(IF(ISNUMBER(S44),S44,DATOS!$C$135),TABLAS!$B$52:$B$58,0)+2,7))/MAX(BQ44,0.0001)),DATOS!$C$141)&gt;=DATOS!$C$140),INDEX(TABLAS!$B$52:$B$58,MIN(MATCH(IF(ISNUMBER(S44),S44,DATOS!$C$135),TABLAS!$B$52:$B$58,0)+2,7)),IF(AND(BQ44&gt;0,FLOOR(MIN(BD44,100*INDEX(TABLAS!$D$52:$D$58,MIN(MATCH(IF(ISNUMBER(S44),S44,DATOS!$C$135),TABLAS!$B$52:$B$58,0)+3,7))/MAX(BQ44,0.0001)),DATOS!$C$141)&gt;=DATOS!$C$140),INDEX(TABLAS!$B$52:$B$58,MIN(MATCH(IF(ISNUMBER(S44),S44,DATOS!$C$135),TABLAS!$B$52:$B$58,0)+3,7)),IF(AND(BQ44&gt;0,FLOOR(MIN(BD44,100*INDEX(TABLAS!$D$52:$D$58,MIN(MATCH(IF(ISNUMBER(S44),S44,DATOS!$C$135),TABLAS!$B$52:$B$58,0)+4,7))/MAX(BQ44,0.0001)),DATOS!$C$141)&gt;=DATOS!$C$140),INDEX(TABLAS!$B$52:$B$58,MIN(MATCH(IF(ISNUMBER(S44),S44,DATOS!$C$135),TABLAS!$B$52:$B$58,0)+4,7)),INDEX(TABLAS!$B$52:$B$58,7)))))))</f>
        <v/>
      </c>
      <c r="BS44" s="71" t="str">
        <f>IF(V44&lt;&gt;"SÍ","",IF(BQ44&lt;=0,0,FLOOR(MIN(BD44,100*INDEX(TABLAS!$D$52:$D$58,MATCH(BR44,TABLAS!$B$52:$B$58,0))/BQ44),DATOS!$C$141)))</f>
        <v/>
      </c>
      <c r="BT44" s="58" t="str">
        <f>IF(V44&lt;&gt;"SÍ","",IF(BS44&lt;=0,0,INDEX(TABLAS!$D$52:$D$58,MATCH(BR44,TABLAS!$B$52:$B$58,0))*100/BS44))</f>
        <v/>
      </c>
      <c r="BU44" s="58" t="str">
        <f>IF(V44&lt;&gt;"SÍ","",((W44-AF44-INDEX(TABLAS!$C$52:$C$58,MATCH(BR44,TABLAS!$B$52:$B$58,0))/2)-IF(AND((W44-AF44-INDEX(TABLAS!$C$52:$C$58,MATCH(BR44,TABLAS!$B$52:$B$58,0))/2)&lt;=20,DATOS!$C$62&lt;&gt;"SÍ"),2,0)))</f>
        <v/>
      </c>
      <c r="BV44" s="56" t="str">
        <f>IF(V44&lt;&gt;"SÍ","",IF(BT44=0,0,DATOS!$C$29*BT44*DATOS!$C$14*(BU44-BT44*DATOS!$C$14/(DATOS!$C$21*100)/2)/1E5))</f>
        <v/>
      </c>
      <c r="BW44" s="65" t="str">
        <f>IF(V44&lt;&gt;"SÍ","",IF(BQ44&lt;0,9.99,IF(BV44&gt;0,AY44/BV44,0)))</f>
        <v/>
      </c>
      <c r="BX44" s="66" t="str">
        <f>IF(V44&lt;&gt;"SÍ","",IF(BT44=0,"—",0.003*(BU44-(BT44*DATOS!$C$14/(DATOS!$C$21*100)/DATOS!$C$22))/(BT44*DATOS!$C$14/(DATOS!$C$21*100)/DATOS!$C$22)))</f>
        <v/>
      </c>
      <c r="BY44" s="58" t="str">
        <f>IF(V44&lt;&gt;"SÍ","",(W44-AE44-1.5*INDEX(TABLAS!$C$52:$C$58,MATCH(IF(ISNUMBER(S44),S44,DATOS!$C$135),TABLAS!$B$52:$B$58,0))))</f>
        <v/>
      </c>
      <c r="BZ44" s="58" t="str">
        <f>IF(V44&lt;&gt;"SÍ","",IF(AZ44&lt;=0,0,IF((1-2*AZ44*1E5/(DATOS!$C$29*100*BY44^2*DATOS!$C$21))&lt;0,-1,IF((1-SQRT((1-2*AZ44*1E5/(DATOS!$C$29*100*BY44^2*DATOS!$C$21))))*DATOS!$C$21*100*BY44/DATOS!$C$14&gt;DATOS!$C$99*100*BY44,-1,(1-SQRT((1-2*AZ44*1E5/(DATOS!$C$29*100*BY44^2*DATOS!$C$21))))*DATOS!$C$21*100*BY44/DATOS!$C$14))))</f>
        <v/>
      </c>
      <c r="CA44" s="58" t="str">
        <f>IF(V44&lt;&gt;"SÍ","",IF(BZ44&lt;0,-1,MAX(BZ44,BC44)))</f>
        <v/>
      </c>
      <c r="CB44" s="64" t="str">
        <f>IF(V44&lt;&gt;"SÍ","",IF(AND(CA44&gt;0,FLOOR(MIN(BD44,100*INDEX(TABLAS!$D$52:$D$58,MIN(MATCH(IF(ISNUMBER(S44),S44,DATOS!$C$135),TABLAS!$B$52:$B$58,0)+0,7))/MAX(CA44,0.0001)),DATOS!$C$141)&gt;=DATOS!$C$140),INDEX(TABLAS!$B$52:$B$58,MIN(MATCH(IF(ISNUMBER(S44),S44,DATOS!$C$135),TABLAS!$B$52:$B$58,0)+0,7)),IF(AND(CA44&gt;0,FLOOR(MIN(BD44,100*INDEX(TABLAS!$D$52:$D$58,MIN(MATCH(IF(ISNUMBER(S44),S44,DATOS!$C$135),TABLAS!$B$52:$B$58,0)+1,7))/MAX(CA44,0.0001)),DATOS!$C$141)&gt;=DATOS!$C$140),INDEX(TABLAS!$B$52:$B$58,MIN(MATCH(IF(ISNUMBER(S44),S44,DATOS!$C$135),TABLAS!$B$52:$B$58,0)+1,7)),IF(AND(CA44&gt;0,FLOOR(MIN(BD44,100*INDEX(TABLAS!$D$52:$D$58,MIN(MATCH(IF(ISNUMBER(S44),S44,DATOS!$C$135),TABLAS!$B$52:$B$58,0)+2,7))/MAX(CA44,0.0001)),DATOS!$C$141)&gt;=DATOS!$C$140),INDEX(TABLAS!$B$52:$B$58,MIN(MATCH(IF(ISNUMBER(S44),S44,DATOS!$C$135),TABLAS!$B$52:$B$58,0)+2,7)),IF(AND(CA44&gt;0,FLOOR(MIN(BD44,100*INDEX(TABLAS!$D$52:$D$58,MIN(MATCH(IF(ISNUMBER(S44),S44,DATOS!$C$135),TABLAS!$B$52:$B$58,0)+3,7))/MAX(CA44,0.0001)),DATOS!$C$141)&gt;=DATOS!$C$140),INDEX(TABLAS!$B$52:$B$58,MIN(MATCH(IF(ISNUMBER(S44),S44,DATOS!$C$135),TABLAS!$B$52:$B$58,0)+3,7)),IF(AND(CA44&gt;0,FLOOR(MIN(BD44,100*INDEX(TABLAS!$D$52:$D$58,MIN(MATCH(IF(ISNUMBER(S44),S44,DATOS!$C$135),TABLAS!$B$52:$B$58,0)+4,7))/MAX(CA44,0.0001)),DATOS!$C$141)&gt;=DATOS!$C$140),INDEX(TABLAS!$B$52:$B$58,MIN(MATCH(IF(ISNUMBER(S44),S44,DATOS!$C$135),TABLAS!$B$52:$B$58,0)+4,7)),INDEX(TABLAS!$B$52:$B$58,7)))))))</f>
        <v/>
      </c>
      <c r="CC44" s="71" t="str">
        <f>IF(V44&lt;&gt;"SÍ","",IF(CA44&lt;=0,0,FLOOR(MIN(BD44,100*INDEX(TABLAS!$D$52:$D$58,MATCH(CB44,TABLAS!$B$52:$B$58,0))/CA44),DATOS!$C$141)))</f>
        <v/>
      </c>
      <c r="CD44" s="58" t="str">
        <f>IF(V44&lt;&gt;"SÍ","",IF(CC44&lt;=0,0,INDEX(TABLAS!$D$52:$D$58,MATCH(CB44,TABLAS!$B$52:$B$58,0))*100/CC44))</f>
        <v/>
      </c>
      <c r="CE44" s="58" t="str">
        <f>IF(V44&lt;&gt;"SÍ","",W44-AE44-INDEX(TABLAS!$C$52:$C$58,MATCH(BH44,TABLAS!$B$52:$B$58,0))-INDEX(TABLAS!$C$52:$C$58,MATCH(CB44,TABLAS!$B$52:$B$58,0))/2)</f>
        <v/>
      </c>
      <c r="CF44" s="56" t="str">
        <f>IF(V44&lt;&gt;"SÍ","",IF(CD44=0,0,DATOS!$C$29*CD44*DATOS!$C$14*(CE44-CD44*DATOS!$C$14/(DATOS!$C$21*100)/2)/1E5))</f>
        <v/>
      </c>
      <c r="CG44" s="65" t="str">
        <f>IF(V44&lt;&gt;"SÍ","",IF(CA44&lt;0,9.99,IF(CF44&gt;0,AZ44/CF44,0)))</f>
        <v/>
      </c>
      <c r="CH44" s="66" t="str">
        <f>IF(V44&lt;&gt;"SÍ","",IF(CD44=0,"—",0.003*(CE44-(CD44*DATOS!$C$14/(DATOS!$C$21*100)/DATOS!$C$22))/(CD44*DATOS!$C$14/(DATOS!$C$21*100)/DATOS!$C$22)))</f>
        <v/>
      </c>
      <c r="CI44" s="58" t="str">
        <f>IF(V44&lt;&gt;"SÍ","",((W44-AF44-1.5*INDEX(TABLAS!$C$52:$C$58,MATCH(IF(ISNUMBER(S44),S44,DATOS!$C$135),TABLAS!$B$52:$B$58,0)))-IF(AND((W44-AF44-1.5*INDEX(TABLAS!$C$52:$C$58,MATCH(IF(ISNUMBER(S44),S44,DATOS!$C$135),TABLAS!$B$52:$B$58,0)))&lt;=20,DATOS!$C$62&lt;&gt;"SÍ"),2,0)))</f>
        <v/>
      </c>
      <c r="CJ44" s="58" t="str">
        <f>IF(V44&lt;&gt;"SÍ","",IF(BA44&lt;=0,0,IF((1-2*BA44*1E5/(DATOS!$C$29*100*CI44^2*DATOS!$C$21))&lt;0,-1,IF((1-SQRT((1-2*BA44*1E5/(DATOS!$C$29*100*CI44^2*DATOS!$C$21))))*DATOS!$C$21*100*CI44/DATOS!$C$14&gt;DATOS!$C$99*100*CI44,-1,(1-SQRT((1-2*BA44*1E5/(DATOS!$C$29*100*CI44^2*DATOS!$C$21))))*DATOS!$C$21*100*CI44/DATOS!$C$14))))</f>
        <v/>
      </c>
      <c r="CK44" s="58" t="str">
        <f>IF(V44&lt;&gt;"SÍ","",IF(CJ44&lt;0,-1,MAX(CJ44,BC44)))</f>
        <v/>
      </c>
      <c r="CL44" s="64" t="str">
        <f>IF(V44&lt;&gt;"SÍ","",IF(AND(CK44&gt;0,FLOOR(MIN(BD44,100*INDEX(TABLAS!$D$52:$D$58,MIN(MATCH(IF(ISNUMBER(S44),S44,DATOS!$C$135),TABLAS!$B$52:$B$58,0)+0,7))/MAX(CK44,0.0001)),DATOS!$C$141)&gt;=DATOS!$C$140),INDEX(TABLAS!$B$52:$B$58,MIN(MATCH(IF(ISNUMBER(S44),S44,DATOS!$C$135),TABLAS!$B$52:$B$58,0)+0,7)),IF(AND(CK44&gt;0,FLOOR(MIN(BD44,100*INDEX(TABLAS!$D$52:$D$58,MIN(MATCH(IF(ISNUMBER(S44),S44,DATOS!$C$135),TABLAS!$B$52:$B$58,0)+1,7))/MAX(CK44,0.0001)),DATOS!$C$141)&gt;=DATOS!$C$140),INDEX(TABLAS!$B$52:$B$58,MIN(MATCH(IF(ISNUMBER(S44),S44,DATOS!$C$135),TABLAS!$B$52:$B$58,0)+1,7)),IF(AND(CK44&gt;0,FLOOR(MIN(BD44,100*INDEX(TABLAS!$D$52:$D$58,MIN(MATCH(IF(ISNUMBER(S44),S44,DATOS!$C$135),TABLAS!$B$52:$B$58,0)+2,7))/MAX(CK44,0.0001)),DATOS!$C$141)&gt;=DATOS!$C$140),INDEX(TABLAS!$B$52:$B$58,MIN(MATCH(IF(ISNUMBER(S44),S44,DATOS!$C$135),TABLAS!$B$52:$B$58,0)+2,7)),IF(AND(CK44&gt;0,FLOOR(MIN(BD44,100*INDEX(TABLAS!$D$52:$D$58,MIN(MATCH(IF(ISNUMBER(S44),S44,DATOS!$C$135),TABLAS!$B$52:$B$58,0)+3,7))/MAX(CK44,0.0001)),DATOS!$C$141)&gt;=DATOS!$C$140),INDEX(TABLAS!$B$52:$B$58,MIN(MATCH(IF(ISNUMBER(S44),S44,DATOS!$C$135),TABLAS!$B$52:$B$58,0)+3,7)),IF(AND(CK44&gt;0,FLOOR(MIN(BD44,100*INDEX(TABLAS!$D$52:$D$58,MIN(MATCH(IF(ISNUMBER(S44),S44,DATOS!$C$135),TABLAS!$B$52:$B$58,0)+4,7))/MAX(CK44,0.0001)),DATOS!$C$141)&gt;=DATOS!$C$140),INDEX(TABLAS!$B$52:$B$58,MIN(MATCH(IF(ISNUMBER(S44),S44,DATOS!$C$135),TABLAS!$B$52:$B$58,0)+4,7)),INDEX(TABLAS!$B$52:$B$58,7)))))))</f>
        <v/>
      </c>
      <c r="CM44" s="71" t="str">
        <f>IF(V44&lt;&gt;"SÍ","",IF(CK44&lt;=0,0,FLOOR(MIN(BD44,100*INDEX(TABLAS!$D$52:$D$58,MATCH(CL44,TABLAS!$B$52:$B$58,0))/CK44),DATOS!$C$141)))</f>
        <v/>
      </c>
      <c r="CN44" s="58" t="str">
        <f>IF(V44&lt;&gt;"SÍ","",IF(CM44&lt;=0,0,INDEX(TABLAS!$D$52:$D$58,MATCH(CL44,TABLAS!$B$52:$B$58,0))*100/CM44))</f>
        <v/>
      </c>
      <c r="CO44" s="58" t="str">
        <f>IF(V44&lt;&gt;"SÍ","",((W44-AF44-INDEX(TABLAS!$C$52:$C$58,MATCH(BR44,TABLAS!$B$52:$B$58,0))-INDEX(TABLAS!$C$52:$C$58,MATCH(CL44,TABLAS!$B$52:$B$58,0))/2)-IF(AND((W44-AF44-INDEX(TABLAS!$C$52:$C$58,MATCH(BR44,TABLAS!$B$52:$B$58,0))-INDEX(TABLAS!$C$52:$C$58,MATCH(CL44,TABLAS!$B$52:$B$58,0))/2)&lt;=20,DATOS!$C$62&lt;&gt;"SÍ"),2,0)))</f>
        <v/>
      </c>
      <c r="CP44" s="56" t="str">
        <f>IF(V44&lt;&gt;"SÍ","",IF(CN44=0,0,DATOS!$C$29*CN44*DATOS!$C$14*(CO44-CN44*DATOS!$C$14/(DATOS!$C$21*100)/2)/1E5))</f>
        <v/>
      </c>
      <c r="CQ44" s="65" t="str">
        <f>IF(V44&lt;&gt;"SÍ","",IF(CK44&lt;0,9.99,IF(CP44&gt;0,BA44/CP44,0)))</f>
        <v/>
      </c>
      <c r="CR44" s="66" t="str">
        <f>IF(V44&lt;&gt;"SÍ","",IF(CN44=0,"—",0.003*(CO44-(CN44*DATOS!$C$14/(DATOS!$C$21*100)/DATOS!$C$22))/(CN44*DATOS!$C$14/(DATOS!$C$21*100)/DATOS!$C$22)))</f>
        <v/>
      </c>
      <c r="CS44" s="56" t="str">
        <f>IF(V44&lt;&gt;"SÍ","",IF(C44="PERIMETRAL",MAX(0,(AC44/2-BU44)/100)*(0.95-0.5*AB44)*AK44*IF(AND(AL44&gt;0,AL44&lt;4),DATOS!$C$33,1)/1000,(AK44*MAX(0,AC44-BU44)/100+DATOS!$C$26*N(P44))/1000))</f>
        <v/>
      </c>
      <c r="CT44" s="66" t="str">
        <f>IF(V44&lt;&gt;"SÍ","",BT44/(100*BU44))</f>
        <v/>
      </c>
      <c r="CU44" s="56" t="str">
        <f>IF(V44&lt;&gt;"SÍ","",DATOS!$C$30*2*MIN(1,SQRT(2/(1+0.04*BU44)))*CT44^(1/3)*SQRT(DATOS!$C$13)*100*BU44/1000)</f>
        <v/>
      </c>
      <c r="CV44" s="67" t="str">
        <f>IF(V44&lt;&gt;"SÍ","",IF(CS44&lt;=CU44,"CUMPLE","NO CUMPLE: sube h"))</f>
        <v/>
      </c>
      <c r="CW44" s="58" t="str">
        <f>IF(V44&lt;&gt;"SÍ","",IF(C44="PERIMETRAL",IF(ISNUMBER(R44),R44,DATOS!$C$101),0))</f>
        <v/>
      </c>
      <c r="CX44" s="57" t="str">
        <f>IF(V44&lt;&gt;"SÍ","",IF(C44="PERIMETRAL",IF(CW44&gt;2,MAX(9,AD44*(0.8+DATOS!$C$14/14000)/(36+9*(AD44/MAX(AC44,1)))),IF(CW44&gt;0.2,MAX(13,AD44*(0.8+DATOS!$C$14/14000)/(36+5*(AD44/MAX(AC44,1))*(CW44-0.2))),MAX(13,AD44/IF(AL44&gt;0,30,33))))*IF(AND(CW44&gt;0.2,AL44&gt;0,DATOS!$C$102="NO"),1.1,1),Z44*100/DATOS!$C$142))</f>
        <v/>
      </c>
      <c r="CY44" s="61" t="str">
        <f>IF(V44&lt;&gt;"SÍ","",IF(W44&gt;=CX44-0.001,"CUMPLE",IF(C44="VOLADO","NO CUMPLE","CALCULAR FLECHA")))</f>
        <v/>
      </c>
      <c r="CZ44" s="60" t="str">
        <f>IF(V44&lt;&gt;"SÍ","",IF(C44="VOLADO",MIN(CEILING(IF(ISNUMBER(Q44),Q44,Z44)*100,5),CEILING(MAX(IF((0.5*(0.9*W44/100*DATOS!$C$16)*IF(ISNUMBER(Q44),Q44,Z44)+AY44/IF(ISNUMBER(Q44),Q44,Z44))^2-4*(0.5*(0.9*W44/100*DATOS!$C$16))*AY44&lt;0,IF(ISNUMBER(Q44),Q44,Z44),MIN(IF(ISNUMBER(Q44),Q44,Z44),((0.5*(0.9*W44/100*DATOS!$C$16)*IF(ISNUMBER(Q44),Q44,Z44)+AY44/IF(ISNUMBER(Q44),Q44,Z44))-SQRT((0.5*(0.9*W44/100*DATOS!$C$16)*IF(ISNUMBER(Q44),Q44,Z44)+AY44/IF(ISNUMBER(Q44),Q44,Z44))^2-4*(0.5*(0.9*W44/100*DATOS!$C$16))*AY44))/(2*(0.5*(0.9*W44/100*DATOS!$C$16)))))*100+MAX(BU44,12*INDEX(TABLAS!$C$52:$C$58,MATCH(BR44,TABLAS!$B$52:$B$58,0)),IF(ISNUMBER(Q44),Q44,Z44)*100/16),IF(OR(AF44&lt;INDEX(TABLAS!$C$52:$C$58,MATCH(BR44,TABLAS!$B$52:$B$58,0)),BS44-INDEX(TABLAS!$C$52:$C$58,MATCH(BR44,TABLAS!$B$52:$B$58,0))&lt;2*INDEX(TABLAS!$C$52:$C$58,MATCH(BR44,TABLAS!$B$52:$B$58,0))),INDEX(TABLAS!$I$52:$I$58,MATCH(BR44,TABLAS!$B$52:$B$58,0)),INDEX(TABLAS!$F$52:$F$58,MATCH(BR44,TABLAS!$B$52:$B$58,0)))),5)),IF(((4*((AV44*AK44*Z44^2*1E-4/1000)+((MAX(AR44,AT44)*AK44*Z44^2*1E-4/1000)+(IF(AND(AR44&gt;0,AT44&gt;0),MIN(AR44,AT44),MAX(AR44,AT44))*AK44*Z44^2*1E-4/1000))/2)+AY44-(IF(AND(AR44&gt;0,AT44&gt;0),MIN(AR44,AT44),MAX(AR44,AT44))*AK44*Z44^2*1E-4/1000))^2-16*((AV44*AK44*Z44^2*1E-4/1000)+((MAX(AR44,AT44)*AK44*Z44^2*1E-4/1000)+(IF(AND(AR44&gt;0,AT44&gt;0),MIN(AR44,AT44),MAX(AR44,AT44))*AK44*Z44^2*1E-4/1000))/2)*AY44)&lt;0,CEILING(AC44,5),CEILING(MAX(AC44*((4*((AV44*AK44*Z44^2*1E-4/1000)+((MAX(AR44,AT44)*AK44*Z44^2*1E-4/1000)+(IF(AND(AR44&gt;0,AT44&gt;0),MIN(AR44,AT44),MAX(AR44,AT44))*AK44*Z44^2*1E-4/1000))/2)+AY44-(IF(AND(AR44&gt;0,AT44&gt;0),MIN(AR44,AT44),MAX(AR44,AT44))*AK44*Z44^2*1E-4/1000))-SQRT(MAX(0,((4*((AV44*AK44*Z44^2*1E-4/1000)+((MAX(AR44,AT44)*AK44*Z44^2*1E-4/1000)+(IF(AND(AR44&gt;0,AT44&gt;0),MIN(AR44,AT44),MAX(AR44,AT44))*AK44*Z44^2*1E-4/1000))/2)+AY44-(IF(AND(AR44&gt;0,AT44&gt;0),MIN(AR44,AT44),MAX(AR44,AT44))*AK44*Z44^2*1E-4/1000))^2-16*((AV44*AK44*Z44^2*1E-4/1000)+((MAX(AR44,AT44)*AK44*Z44^2*1E-4/1000)+(IF(AND(AR44&gt;0,AT44&gt;0),MIN(AR44,AT44),MAX(AR44,AT44))*AK44*Z44^2*1E-4/1000))/2)*AY44))))/(8*MAX(((AV44*AK44*Z44^2*1E-4/1000)+((MAX(AR44,AT44)*AK44*Z44^2*1E-4/1000)+(IF(AND(AR44&gt;0,AT44&gt;0),MIN(AR44,AT44),MAX(AR44,AT44))*AK44*Z44^2*1E-4/1000))/2),1E-9))+MAX(BU44,12*INDEX(TABLAS!$C$52:$C$58,MATCH(BR44,TABLAS!$B$52:$B$58,0)),AC44/16),IF(OR(AF44&lt;INDEX(TABLAS!$C$52:$C$58,MATCH(BR44,TABLAS!$B$52:$B$58,0)),BS44-INDEX(TABLAS!$C$52:$C$58,MATCH(BR44,TABLAS!$B$52:$B$58,0))&lt;2*INDEX(TABLAS!$C$52:$C$58,MATCH(BR44,TABLAS!$B$52:$B$58,0))),INDEX(TABLAS!$I$52:$I$58,MATCH(BR44,TABLAS!$B$52:$B$58,0)),INDEX(TABLAS!$F$52:$F$58,MATCH(BR44,TABLAS!$B$52:$B$58,0)))),5))))</f>
        <v/>
      </c>
      <c r="DA44" s="60" t="str">
        <f>IF(V44&lt;&gt;"SÍ","",IF(C44="VOLADO",0,IF(((4*((AW44*AK44*Z44^2*1E-4/1000)+((MAX(AS44,AU44)*AK44*Z44^2*1E-4/1000)+(IF(AND(AS44&gt;0,AU44&gt;0),MIN(AS44,AU44),MAX(AS44,AU44))*AK44*Z44^2*1E-4/1000))/2)+BA44-(IF(AND(AS44&gt;0,AU44&gt;0),MIN(AS44,AU44),MAX(AS44,AU44))*AK44*Z44^2*1E-4/1000))^2-16*((AW44*AK44*Z44^2*1E-4/1000)+((MAX(AS44,AU44)*AK44*Z44^2*1E-4/1000)+(IF(AND(AS44&gt;0,AU44&gt;0),MIN(AS44,AU44),MAX(AS44,AU44))*AK44*Z44^2*1E-4/1000))/2)*BA44)&lt;0,CEILING(AD44,5),CEILING(MAX(AD44*((4*((AW44*AK44*Z44^2*1E-4/1000)+((MAX(AS44,AU44)*AK44*Z44^2*1E-4/1000)+(IF(AND(AS44&gt;0,AU44&gt;0),MIN(AS44,AU44),MAX(AS44,AU44))*AK44*Z44^2*1E-4/1000))/2)+BA44-(IF(AND(AS44&gt;0,AU44&gt;0),MIN(AS44,AU44),MAX(AS44,AU44))*AK44*Z44^2*1E-4/1000))-SQRT(MAX(0,((4*((AW44*AK44*Z44^2*1E-4/1000)+((MAX(AS44,AU44)*AK44*Z44^2*1E-4/1000)+(IF(AND(AS44&gt;0,AU44&gt;0),MIN(AS44,AU44),MAX(AS44,AU44))*AK44*Z44^2*1E-4/1000))/2)+BA44-(IF(AND(AS44&gt;0,AU44&gt;0),MIN(AS44,AU44),MAX(AS44,AU44))*AK44*Z44^2*1E-4/1000))^2-16*((AW44*AK44*Z44^2*1E-4/1000)+((MAX(AS44,AU44)*AK44*Z44^2*1E-4/1000)+(IF(AND(AS44&gt;0,AU44&gt;0),MIN(AS44,AU44),MAX(AS44,AU44))*AK44*Z44^2*1E-4/1000))/2)*BA44))))/(8*MAX(((AW44*AK44*Z44^2*1E-4/1000)+((MAX(AS44,AU44)*AK44*Z44^2*1E-4/1000)+(IF(AND(AS44&gt;0,AU44&gt;0),MIN(AS44,AU44),MAX(AS44,AU44))*AK44*Z44^2*1E-4/1000))/2),1E-9))+MAX(CO44,12*INDEX(TABLAS!$C$52:$C$58,MATCH(CL44,TABLAS!$B$52:$B$58,0)),AD44/16),IF(OR(AF44&lt;INDEX(TABLAS!$C$52:$C$58,MATCH(CL44,TABLAS!$B$52:$B$58,0)),CM44-INDEX(TABLAS!$C$52:$C$58,MATCH(CL44,TABLAS!$B$52:$B$58,0))&lt;2*INDEX(TABLAS!$C$52:$C$58,MATCH(CL44,TABLAS!$B$52:$B$58,0))),INDEX(TABLAS!$I$52:$I$58,MATCH(CL44,TABLAS!$B$52:$B$58,0)),INDEX(TABLAS!$F$52:$F$58,MATCH(CL44,TABLAS!$B$52:$B$58,0)))),5))))</f>
        <v/>
      </c>
      <c r="DB44" s="55" t="str">
        <f>IF(V44&lt;&gt;"SÍ","",IF(AND(C44="PERIMETRAL",AL44-AM44&gt;0,AT44&gt;0),"SÍ","NO"))</f>
        <v/>
      </c>
      <c r="DC44" s="55" t="str">
        <f>IF(V44&lt;&gt;"SÍ","",IF(AND(C44="PERIMETRAL",AM44&gt;0,AU44&gt;0),"SÍ","NO"))</f>
        <v/>
      </c>
      <c r="DD44" s="63" t="str">
        <f>IF(V44&lt;&gt;"SÍ","",IF(OR(C44="VOLADO",AL44=0),"—",IF(AND(AND(INDEX(TABLAS!$G$52:$G$58,MATCH(MAX(BR44,CL44),TABLAS!$B$52:$B$58,0))&lt;=(DATOS!$C$72-DATOS!$C$60),(DATOS!$C$72-DATOS!$C$60)&gt;=15),8*INDEX(TABLAS!$C$52:$C$58,MATCH(MAX(BH44,CB44,BR44,CL44),TABLAS!$B$52:$B$58,0))&lt;=DATOS!$C$73-2*DATOS!$C$60),"CUMPLE (gancho de 180°)",IF(AND(INDEX(TABLAS!$G$52:$G$58,MATCH(MAX(BR44,CL44),TABLAS!$B$52:$B$58,0))&lt;=(DATOS!$C$72-DATOS!$C$60),(DATOS!$C$72-DATOS!$C$60)&gt;=15),"NO CUMPLE: el gancho de 180° (8·d_b) no cabe en el peralte de la dala de borde","NO CUMPLE: dala de borde ≥ "&amp;TEXT(CEILING(MAX(INDEX(TABLAS!$G$52:$G$58,MATCH(MAX(BR44,CL44),TABLAS!$B$52:$B$58,0)),15)+DATOS!$C$60,5),"0")&amp;" cm de ancho"&amp;IF(8*INDEX(TABLAS!$C$52:$C$58,MATCH(MAX(BH44,CB44,BR44,CL44),TABLAS!$B$52:$B$58,0))&lt;=DATOS!$C$73-2*DATOS!$C$60,""," y más peralte para el gancho")))))</f>
        <v/>
      </c>
      <c r="DE44" s="69" t="str">
        <f>IF(V44&lt;&gt;"SÍ","",IF(BI44=0,"NO ALCANZA","No. "&amp;BH44&amp;" @ "&amp;BI44&amp;" cm"&amp;IF(C44="VOLADO"," (temperatura)","")))</f>
        <v/>
      </c>
      <c r="DF44" s="69" t="str">
        <f>IF(V44&lt;&gt;"SÍ","",IF(BS44=0,"NO ALCANZA",IF(C44="VOLADO","No. "&amp;BR44&amp;" @ "&amp;BS44&amp;" cm"&amp;" de la orilla al respaldo ("&amp;IF(CZ44&gt;=100*IF(ISNUMBER(Q44),Q44,Z44),"hasta su apoyo lejano, con gancho","entran "&amp;TEXT(CZ44/100,"0.00")&amp;" m desde el paño")&amp;")","Bastones "&amp;"No. "&amp;BR44&amp;" @ "&amp;BS44&amp;" cm"&amp;", L = "&amp;TEXT(CZ44/100,"0.00")&amp;" m desde el paño")))</f>
        <v/>
      </c>
      <c r="DG44" s="69" t="str">
        <f>IF(V44&lt;&gt;"SÍ","",IF(CC44=0,"NO ALCANZA","No. "&amp;CB44&amp;" @ "&amp;CC44&amp;" cm"&amp;IF(C44="VOLADO"," (repartición)","")))</f>
        <v/>
      </c>
      <c r="DH44" s="69" t="str">
        <f>IF(V44&lt;&gt;"SÍ","",IF(CM44=0,"NO ALCANZA",IF(C44="VOLADO","No. "&amp;CL44&amp;" @ "&amp;CM44&amp;" cm"&amp;" (repartición)","Bastones "&amp;"No. "&amp;CL44&amp;" @ "&amp;CM44&amp;" cm"&amp;", L = "&amp;TEXT(DA44/100,"0.00")&amp;" m desde el paño")))</f>
        <v/>
      </c>
      <c r="DI44" s="67" t="str">
        <f>IF(B44="","",IF(V44&lt;&gt;"SÍ","FALTAN DATOS: tipo, a_x, a_y y destino",IF(L44="NO MONOLÍTICO (caso II)","FUERA DE ALCANCE: caso II no transcrito",IF(AND(C44="VOLADO",X44="?"),"REVISAR: el volado lleva UN solo borde CONTINUO (el empotrado)",IF(AND(MAX(BM44,BW44,CG44,CQ44)&lt;=1,NOT(OR(BI44&lt;DATOS!$C$140,BS44&lt;DATOS!$C$140,CC44&lt;DATOS!$C$140,CM44&lt;DATOS!$C$140)),NOT(OR(AND(ISNUMBER(BN44),BN44&lt;0.005),AND(ISNUMBER(BX44),BX44&lt;0.005),AND(ISNUMBER(CH44),CH44&lt;0.005),AND(ISNUMBER(CR44),CR44&lt;0.005))),CV44="CUMPLE",CY44="CUMPLE"),"CUMPLE"&amp;IF(LEFT(BB44,5)="FUERA"," · fuera de 3.4.2.1 c)","")&amp;IF(LEFT(DD44,2)="NO"," · REVISAR anclaje en borde discontinuo",""),IF(AND(MAX(BM44,BW44,CG44,CQ44)&lt;=1,NOT(OR(BI44&lt;DATOS!$C$140,BS44&lt;DATOS!$C$140,CC44&lt;DATOS!$C$140,CM44&lt;DATOS!$C$140)),NOT(OR(AND(ISNUMBER(BN44),BN44&lt;0.005),AND(ISNUMBER(BX44),BX44&lt;0.005),AND(ISNUMBER(CH44),CH44&lt;0.005),AND(ISNUMBER(CR44),CR44&lt;0.005))),CV44="CUMPLE",CY44="CALCULAR FLECHA"),"REVISAR: calcular flecha (h &lt; h mín.)"&amp;IF(LEFT(BB44,5)="FUERA"," · fuera de 3.4.2.1 c)","")&amp;IF(LEFT(DD44,2)="NO"," · REVISAR anclaje en borde discontinuo",""),"NO CUMPLE: "&amp;IF(MAX(BM44,BW44,CG44,CQ44)&gt;1,"flexión ","")&amp;IF(OR(BI44&lt;DATOS!$C$140,BS44&lt;DATOS!$C$140,CC44&lt;DATOS!$C$140,CM44&lt;DATOS!$C$140),"separación &lt; mínima ","")&amp;IF(OR(AND(ISNUMBER(BN44),BN44&lt;0.005),AND(ISNUMBER(BX44),BX44&lt;0.005),AND(ISNUMBER(CH44),CH44&lt;0.005),AND(ISNUMBER(CR44),CR44&lt;0.005)),"ε_t &lt; 0.005 ","")&amp;IF(CV44&lt;&gt;"CUMPLE","cortante ","")&amp;IF(CY44="NO CUMPLE","peralte","")))))))</f>
        <v/>
      </c>
      <c r="DJ44" s="70" t="str">
        <f>IF(V44&lt;&gt;"SÍ","",IF(LEFT(B44,7)="EJEMPLO","EJEMPLO de tablero típico: bórralo o sobrescríbelo. ","")&amp;IF(C44="VOLADO","Volado de "&amp;TEXT(Z44,"0.00")&amp;" m empotrado en el borde "&amp;LOWER(X44)&amp;IF(N(P44)&gt;0,", con "&amp;TEXT(P44,"0.0")&amp;" kg/m en la orilla","")&amp;". Lecho inferior con r_ext. Si la orilla carga pretil u otro elemento frágil, calcula la flecha (13.4). El acero superior entra al respaldo de "&amp;TEXT(IF(ISNUMBER(Q44),Q44,Z44),"0.00")&amp;" m"&amp;IF(ISNUMBER(Q44),""," (L_b no capturado: se tomó igual al volado)")&amp;" hasta pasar M = 0 con 0.9·PP sin carga viva; si ahí no se anula, llega al apoyo lejano y se ancla con gancho. ","")&amp;IF(LEFT(BB44,5)="FUERA","El M⁻ del vecino difiere más de 50 % (3.4.2.1 c): distribuye el desequilibrio (3.4.3.1) o confirma con un modelo; se arma con el mayor. ","")&amp;IF(OR(DB44="SÍ",DC44="SÍ"),"Bastones también en los bordes discontinuos (M⁻ de tabla), con gancho. ","")&amp;IF(LEFT(DD44,2)="NO","Anclaje: "&amp;DD44&amp;" (6.7.7.4.1.1). ","")&amp;IF(OR(AT44&gt;0,AU44&gt;0),"Esquinas exteriores sobre muro: refuerzo de esquina arriba y abajo en L_largo/5 (6.7.7.3.1). ",""))</f>
        <v/>
      </c>
    </row>
    <row r="45" ht="33" customHeight="1">
      <c r="A45" s="50">
        <f>IF(B45="",0,1)+A44</f>
        <v>3</v>
      </c>
      <c r="B45" s="29" t="n"/>
      <c r="C45" s="51" t="n"/>
      <c r="D45" s="29" t="n"/>
      <c r="E45" s="52" t="n"/>
      <c r="F45" s="52" t="n"/>
      <c r="G45" s="51" t="n"/>
      <c r="H45" s="51" t="n"/>
      <c r="I45" s="51" t="n"/>
      <c r="J45" s="51" t="n"/>
      <c r="K45" s="51" t="n"/>
      <c r="L45" s="51" t="n"/>
      <c r="M45" s="54" t="n"/>
      <c r="N45" s="53" t="n"/>
      <c r="O45" s="53" t="n"/>
      <c r="P45" s="54" t="n"/>
      <c r="Q45" s="52" t="n"/>
      <c r="R45" s="54" t="n"/>
      <c r="S45" s="53" t="n"/>
      <c r="T45" s="52" t="n"/>
      <c r="U45" s="52" t="n"/>
      <c r="V45" s="55" t="str">
        <f>IF(B45="","",IF(AND(OR(C45="PERIMETRAL",C45="VOLADO"),ISNUMBER(E45),ISNUMBER(F45),E45&gt;0,F45&gt;0,OR(ISNUMBER(O45),ISNUMBER(MATCH(D45,DATOS!$B$46:$B$55,0)))),"SÍ","NO"))</f>
        <v/>
      </c>
      <c r="W45" s="57" t="str">
        <f>IF(V45&lt;&gt;"SÍ","",IF(ISNUMBER(M45),M45,DATOS!$C$134))</f>
        <v/>
      </c>
      <c r="X45" s="55" t="str">
        <f>IF(V45&lt;&gt;"SÍ","",IF(C45&lt;&gt;"VOLADO","—",IF(COUNTIF(G45:J45,"CONTINUO")&lt;&gt;1,"?",IF(G45="CONTINUO","INFERIOR",IF(H45="CONTINUO","SUPERIOR",IF(I45="CONTINUO","IZQUIERDO","DERECHO"))))))</f>
        <v/>
      </c>
      <c r="Y45" s="55" t="str">
        <f>IF(V45&lt;&gt;"SÍ","",IF(C45="VOLADO",IF(OR(X45="IZQUIERDO",X45="DERECHO"),"X","Y"),IF(E45&lt;=F45,"X","Y")))</f>
        <v/>
      </c>
      <c r="Z45" s="56" t="str">
        <f>IF(V45&lt;&gt;"SÍ","",IF(C45="VOLADO",IF(Y45="X",E45,F45),MIN(E45,F45)))</f>
        <v/>
      </c>
      <c r="AA45" s="56" t="str">
        <f>IF(V45&lt;&gt;"SÍ","",IF(C45="VOLADO",IF(Y45="X",F45,E45),MAX(E45,F45)))</f>
        <v/>
      </c>
      <c r="AB45" s="56" t="str">
        <f>IF(V45&lt;&gt;"SÍ","",MIN(Z45,AA45)/MAX(Z45,AA45))</f>
        <v/>
      </c>
      <c r="AC45" s="57" t="str">
        <f>IF(V45&lt;&gt;"SÍ","",MAX(1,Z45*100-IF(C45="VOLADO",DATOS!$C$84/2,DATOS!$C$84)))</f>
        <v/>
      </c>
      <c r="AD45" s="57" t="str">
        <f>IF(V45&lt;&gt;"SÍ","",MAX(1,AA45*100-DATOS!$C$84))</f>
        <v/>
      </c>
      <c r="AE45" s="57" t="str">
        <f>IF(V45&lt;&gt;"SÍ","",IF(C45="VOLADO",DATOS!$C$61,DATOS!$C$59))</f>
        <v/>
      </c>
      <c r="AF45" s="57" t="str">
        <f>IF(V45&lt;&gt;"SÍ","",IF(OR(AND(AG45="SÍ",DATOS!$C$63="SÍ"),AND(C45="VOLADO",DATOS!$C$64="SÍ")),DATOS!$C$61,DATOS!$C$59))</f>
        <v/>
      </c>
      <c r="AG45" s="55" t="str">
        <f>IF(V45&lt;&gt;"SÍ","",IFERROR(INDEX(DATOS!$D$46:$D$55,MATCH(D45,DATOS!$B$46:$B$55,0)),"NO"))</f>
        <v/>
      </c>
      <c r="AH45" s="59" t="str">
        <f>IF(V45&lt;&gt;"SÍ","",IF(ISNUMBER(O45),O45,IFERROR(INDEX(DATOS!$C$46:$C$55,MATCH(D45,DATOS!$B$46:$B$55,0)),0)))</f>
        <v/>
      </c>
      <c r="AI45" s="59" t="str">
        <f>IF(V45&lt;&gt;"SÍ","",W45/100*DATOS!$C$16*1000+DATOS!$C$37+DATOS!$C$38)</f>
        <v/>
      </c>
      <c r="AJ45" s="59" t="str">
        <f>IF(V45&lt;&gt;"SÍ","",AI45+N(N45))</f>
        <v/>
      </c>
      <c r="AK45" s="60" t="str">
        <f>IF(V45&lt;&gt;"SÍ","",MAX(DATOS!$C$26*AJ45+DATOS!$C$27*AH45,IF(AG45="SÍ",DATOS!$C$28*(AJ45+DATOS!$C$41),0)))</f>
        <v/>
      </c>
      <c r="AL45" s="59" t="str">
        <f>IF(V45&lt;&gt;"SÍ","",(G45="DISCONTINUO")+(H45="DISCONTINUO")+(I45="DISCONTINUO")+(J45="DISCONTINUO"))</f>
        <v/>
      </c>
      <c r="AM45" s="59" t="str">
        <f>IF(V45&lt;&gt;"SÍ","",IF(Y45="X",(G45="DISCONTINUO")+(H45="DISCONTINUO"),(I45="DISCONTINUO")+(J45="DISCONTINUO")))</f>
        <v/>
      </c>
      <c r="AN45" s="55" t="str">
        <f>IF(V45&lt;&gt;"SÍ","",IF(AL45=0,"INTERIOR",IF(AL45=1,IF(AM45=1,"BORDE-CORTO","BORDE-LARGO"),IF(AL45=2,IF(AM45=1,"ESQUINA",IF(AM45=2,"EXTREMO-LARGO","EXTREMO-CORTO")),IF(AL45=3,IF(AM45=2,"EXTREMO-LARGO","EXTREMO-CORTO"),"AISLADO")))))</f>
        <v/>
      </c>
      <c r="AO45" s="61" t="str">
        <f>IF(V45&lt;&gt;"SÍ","",IF(OR(K45="",K45="AUTO"),AN45,K45))</f>
        <v/>
      </c>
      <c r="AP45" s="59" t="str">
        <f>IF(V45&lt;&gt;"SÍ","",MATCH(AB45,TABLAS!$D$5:$J$5,1))</f>
        <v/>
      </c>
      <c r="AQ45" s="58" t="str">
        <f>IF(V45&lt;&gt;"SÍ","",IF(AP45&gt;=7,0,(AB45-INDEX(TABLAS!$D$5:$J$5,AP45))/(INDEX(TABLAS!$D$5:$J$5,AP45+1)-INDEX(TABLAS!$D$5:$J$5,AP45))))</f>
        <v/>
      </c>
      <c r="AR45" s="59" t="str">
        <f>IF(V45&lt;&gt;"SÍ","",INDEX(TABLAS!$D$6:$J$47,MATCH(AO45&amp;"|NIC",TABLAS!$B$6:$B$47,0),AP45)+AQ45*(INDEX(TABLAS!$D$6:$J$47,MATCH(AO45&amp;"|NIC",TABLAS!$B$6:$B$47,0),MIN(AP45+1,7))-INDEX(TABLAS!$D$6:$J$47,MATCH(AO45&amp;"|NIC",TABLAS!$B$6:$B$47,0),AP45)))</f>
        <v/>
      </c>
      <c r="AS45" s="59" t="str">
        <f>IF(V45&lt;&gt;"SÍ","",INDEX(TABLAS!$D$6:$J$47,MATCH(AO45&amp;"|NIL",TABLAS!$B$6:$B$47,0),AP45)+AQ45*(INDEX(TABLAS!$D$6:$J$47,MATCH(AO45&amp;"|NIL",TABLAS!$B$6:$B$47,0),MIN(AP45+1,7))-INDEX(TABLAS!$D$6:$J$47,MATCH(AO45&amp;"|NIL",TABLAS!$B$6:$B$47,0),AP45)))</f>
        <v/>
      </c>
      <c r="AT45" s="59" t="str">
        <f>IF(V45&lt;&gt;"SÍ","",INDEX(TABLAS!$D$6:$J$47,MATCH(AO45&amp;"|NDC",TABLAS!$B$6:$B$47,0),AP45)+AQ45*(INDEX(TABLAS!$D$6:$J$47,MATCH(AO45&amp;"|NDC",TABLAS!$B$6:$B$47,0),MIN(AP45+1,7))-INDEX(TABLAS!$D$6:$J$47,MATCH(AO45&amp;"|NDC",TABLAS!$B$6:$B$47,0),AP45)))</f>
        <v/>
      </c>
      <c r="AU45" s="59" t="str">
        <f>IF(V45&lt;&gt;"SÍ","",INDEX(TABLAS!$D$6:$J$47,MATCH(AO45&amp;"|NDL",TABLAS!$B$6:$B$47,0),AP45)+AQ45*(INDEX(TABLAS!$D$6:$J$47,MATCH(AO45&amp;"|NDL",TABLAS!$B$6:$B$47,0),MIN(AP45+1,7))-INDEX(TABLAS!$D$6:$J$47,MATCH(AO45&amp;"|NDL",TABLAS!$B$6:$B$47,0),AP45)))</f>
        <v/>
      </c>
      <c r="AV45" s="59" t="str">
        <f>IF(V45&lt;&gt;"SÍ","",INDEX(TABLAS!$D$6:$J$47,MATCH(AO45&amp;"|PC",TABLAS!$B$6:$B$47,0),AP45)+AQ45*(INDEX(TABLAS!$D$6:$J$47,MATCH(AO45&amp;"|PC",TABLAS!$B$6:$B$47,0),MIN(AP45+1,7))-INDEX(TABLAS!$D$6:$J$47,MATCH(AO45&amp;"|PC",TABLAS!$B$6:$B$47,0),AP45)))</f>
        <v/>
      </c>
      <c r="AW45" s="59" t="str">
        <f>IF(V45&lt;&gt;"SÍ","",INDEX(TABLAS!$D$6:$J$47,MATCH(AO45&amp;"|PL",TABLAS!$B$6:$B$47,0),AP45)+AQ45*(INDEX(TABLAS!$D$6:$J$47,MATCH(AO45&amp;"|PL",TABLAS!$B$6:$B$47,0),MIN(AP45+1,7))-INDEX(TABLAS!$D$6:$J$47,MATCH(AO45&amp;"|PL",TABLAS!$B$6:$B$47,0),AP45)))</f>
        <v/>
      </c>
      <c r="AX45" s="56" t="str">
        <f>IF(V45&lt;&gt;"SÍ","",IF(C45="PERIMETRAL",AV45*AK45*Z45^2*1E-4/1000,0))</f>
        <v/>
      </c>
      <c r="AY45" s="62" t="str">
        <f>IF(V45&lt;&gt;"SÍ","",IF(C45="PERIMETRAL",MAX(MAX(AR45,AT45)*AK45*Z45^2*1E-4/1000,N(T45)),(AK45*(AC45/100)^2/2+DATOS!$C$26*N(P45)*AC45/100)/1000))</f>
        <v/>
      </c>
      <c r="AZ45" s="56" t="str">
        <f>IF(V45&lt;&gt;"SÍ","",IF(C45="PERIMETRAL",AW45*AK45*Z45^2*1E-4/1000,0))</f>
        <v/>
      </c>
      <c r="BA45" s="56" t="str">
        <f>IF(V45&lt;&gt;"SÍ","",IF(C45="PERIMETRAL",MAX(MAX(AS45,AU45)*AK45*Z45^2*1E-4/1000,N(U45)),0))</f>
        <v/>
      </c>
      <c r="BB45" s="63" t="str">
        <f>IF(V45&lt;&gt;"SÍ","",IF(C45&lt;&gt;"PERIMETRAL","—",IF(AND(N(T45)=0,N(U45)=0),"— (sin M⁻ del vecino)",IF(OR(AND(N(T45)&gt;0,ABS(MAX(AR45,AT45)*AK45*Z45^2*1E-4/1000-N(T45))&gt;0.5*MIN(MAX(AR45,AT45)*AK45*Z45^2*1E-4/1000,N(T45))),AND(N(U45)&gt;0,ABS(MAX(AS45,AU45)*AK45*Z45^2*1E-4/1000-N(U45))&gt;0.5*MIN(MAX(AS45,AU45)*AK45*Z45^2*1E-4/1000,N(U45)))),"FUERA: difieren &gt; 50 %"&amp;IF(AND(N(T45)&gt;0,ABS(MAX(AR45,AT45)*AK45*Z45^2*1E-4/1000-N(T45))&gt;0.5*MIN(MAX(AR45,AT45)*AK45*Z45^2*1E-4/1000,N(T45)))," ‖ corto","")&amp;IF(AND(N(U45)&gt;0,ABS(MAX(AS45,AU45)*AK45*Z45^2*1E-4/1000-N(U45))&gt;0.5*MIN(MAX(AS45,AU45)*AK45*Z45^2*1E-4/1000,N(U45)))," ‖ largo",""),"CUMPLE"))))</f>
        <v/>
      </c>
      <c r="BC45" s="58" t="str">
        <f>IF(V45&lt;&gt;"SÍ","",DATOS!$C$136*100*W45)</f>
        <v/>
      </c>
      <c r="BD45" s="57" t="str">
        <f>IF(V45&lt;&gt;"SÍ","",MIN(IF(C45="VOLADO",DATOS!$C$138,DATOS!$C$137)*W45,DATOS!$C$139))</f>
        <v/>
      </c>
      <c r="BE45" s="58" t="str">
        <f>IF(V45&lt;&gt;"SÍ","",(W45-AE45-INDEX(TABLAS!$C$52:$C$58,MATCH(IF(ISNUMBER(S45),S45,DATOS!$C$135),TABLAS!$B$52:$B$58,0))/2))</f>
        <v/>
      </c>
      <c r="BF45" s="58" t="str">
        <f>IF(V45&lt;&gt;"SÍ","",IF(AX45&lt;=0,0,IF((1-2*AX45*1E5/(DATOS!$C$29*100*BE45^2*DATOS!$C$21))&lt;0,-1,IF((1-SQRT((1-2*AX45*1E5/(DATOS!$C$29*100*BE45^2*DATOS!$C$21))))*DATOS!$C$21*100*BE45/DATOS!$C$14&gt;DATOS!$C$99*100*BE45,-1,(1-SQRT((1-2*AX45*1E5/(DATOS!$C$29*100*BE45^2*DATOS!$C$21))))*DATOS!$C$21*100*BE45/DATOS!$C$14))))</f>
        <v/>
      </c>
      <c r="BG45" s="58" t="str">
        <f>IF(V45&lt;&gt;"SÍ","",IF(BF45&lt;0,-1,MAX(BF45,BC45)))</f>
        <v/>
      </c>
      <c r="BH45" s="64" t="str">
        <f>IF(V45&lt;&gt;"SÍ","",IF(AND(BG45&gt;0,FLOOR(MIN(BD45,100*INDEX(TABLAS!$D$52:$D$58,MIN(MATCH(IF(ISNUMBER(S45),S45,DATOS!$C$135),TABLAS!$B$52:$B$58,0)+0,7))/MAX(BG45,0.0001)),DATOS!$C$141)&gt;=DATOS!$C$140),INDEX(TABLAS!$B$52:$B$58,MIN(MATCH(IF(ISNUMBER(S45),S45,DATOS!$C$135),TABLAS!$B$52:$B$58,0)+0,7)),IF(AND(BG45&gt;0,FLOOR(MIN(BD45,100*INDEX(TABLAS!$D$52:$D$58,MIN(MATCH(IF(ISNUMBER(S45),S45,DATOS!$C$135),TABLAS!$B$52:$B$58,0)+1,7))/MAX(BG45,0.0001)),DATOS!$C$141)&gt;=DATOS!$C$140),INDEX(TABLAS!$B$52:$B$58,MIN(MATCH(IF(ISNUMBER(S45),S45,DATOS!$C$135),TABLAS!$B$52:$B$58,0)+1,7)),IF(AND(BG45&gt;0,FLOOR(MIN(BD45,100*INDEX(TABLAS!$D$52:$D$58,MIN(MATCH(IF(ISNUMBER(S45),S45,DATOS!$C$135),TABLAS!$B$52:$B$58,0)+2,7))/MAX(BG45,0.0001)),DATOS!$C$141)&gt;=DATOS!$C$140),INDEX(TABLAS!$B$52:$B$58,MIN(MATCH(IF(ISNUMBER(S45),S45,DATOS!$C$135),TABLAS!$B$52:$B$58,0)+2,7)),IF(AND(BG45&gt;0,FLOOR(MIN(BD45,100*INDEX(TABLAS!$D$52:$D$58,MIN(MATCH(IF(ISNUMBER(S45),S45,DATOS!$C$135),TABLAS!$B$52:$B$58,0)+3,7))/MAX(BG45,0.0001)),DATOS!$C$141)&gt;=DATOS!$C$140),INDEX(TABLAS!$B$52:$B$58,MIN(MATCH(IF(ISNUMBER(S45),S45,DATOS!$C$135),TABLAS!$B$52:$B$58,0)+3,7)),IF(AND(BG45&gt;0,FLOOR(MIN(BD45,100*INDEX(TABLAS!$D$52:$D$58,MIN(MATCH(IF(ISNUMBER(S45),S45,DATOS!$C$135),TABLAS!$B$52:$B$58,0)+4,7))/MAX(BG45,0.0001)),DATOS!$C$141)&gt;=DATOS!$C$140),INDEX(TABLAS!$B$52:$B$58,MIN(MATCH(IF(ISNUMBER(S45),S45,DATOS!$C$135),TABLAS!$B$52:$B$58,0)+4,7)),INDEX(TABLAS!$B$52:$B$58,7)))))))</f>
        <v/>
      </c>
      <c r="BI45" s="71" t="str">
        <f>IF(V45&lt;&gt;"SÍ","",IF(BG45&lt;=0,0,FLOOR(MIN(BD45,100*INDEX(TABLAS!$D$52:$D$58,MATCH(BH45,TABLAS!$B$52:$B$58,0))/BG45),DATOS!$C$141)))</f>
        <v/>
      </c>
      <c r="BJ45" s="58" t="str">
        <f>IF(V45&lt;&gt;"SÍ","",IF(BI45&lt;=0,0,INDEX(TABLAS!$D$52:$D$58,MATCH(BH45,TABLAS!$B$52:$B$58,0))*100/BI45))</f>
        <v/>
      </c>
      <c r="BK45" s="58" t="str">
        <f>IF(V45&lt;&gt;"SÍ","",W45-AE45-INDEX(TABLAS!$C$52:$C$58,MATCH(BH45,TABLAS!$B$52:$B$58,0))/2)</f>
        <v/>
      </c>
      <c r="BL45" s="56" t="str">
        <f>IF(V45&lt;&gt;"SÍ","",IF(BJ45=0,0,DATOS!$C$29*BJ45*DATOS!$C$14*(BK45-BJ45*DATOS!$C$14/(DATOS!$C$21*100)/2)/1E5))</f>
        <v/>
      </c>
      <c r="BM45" s="65" t="str">
        <f>IF(V45&lt;&gt;"SÍ","",IF(BG45&lt;0,9.99,IF(BL45&gt;0,AX45/BL45,0)))</f>
        <v/>
      </c>
      <c r="BN45" s="66" t="str">
        <f>IF(V45&lt;&gt;"SÍ","",IF(BJ45=0,"—",0.003*(BK45-(BJ45*DATOS!$C$14/(DATOS!$C$21*100)/DATOS!$C$22))/(BJ45*DATOS!$C$14/(DATOS!$C$21*100)/DATOS!$C$22)))</f>
        <v/>
      </c>
      <c r="BO45" s="58" t="str">
        <f>IF(V45&lt;&gt;"SÍ","",((W45-AF45-INDEX(TABLAS!$C$52:$C$58,MATCH(IF(ISNUMBER(S45),S45,DATOS!$C$135),TABLAS!$B$52:$B$58,0))/2)-IF(AND((W45-AF45-INDEX(TABLAS!$C$52:$C$58,MATCH(IF(ISNUMBER(S45),S45,DATOS!$C$135),TABLAS!$B$52:$B$58,0))/2)&lt;=20,DATOS!$C$62&lt;&gt;"SÍ"),2,0)))</f>
        <v/>
      </c>
      <c r="BP45" s="58" t="str">
        <f>IF(V45&lt;&gt;"SÍ","",IF(AY45&lt;=0,0,IF((1-2*AY45*1E5/(DATOS!$C$29*100*BO45^2*DATOS!$C$21))&lt;0,-1,IF((1-SQRT((1-2*AY45*1E5/(DATOS!$C$29*100*BO45^2*DATOS!$C$21))))*DATOS!$C$21*100*BO45/DATOS!$C$14&gt;DATOS!$C$99*100*BO45,-1,(1-SQRT((1-2*AY45*1E5/(DATOS!$C$29*100*BO45^2*DATOS!$C$21))))*DATOS!$C$21*100*BO45/DATOS!$C$14))))</f>
        <v/>
      </c>
      <c r="BQ45" s="58" t="str">
        <f>IF(V45&lt;&gt;"SÍ","",IF(BP45&lt;0,-1,MAX(BP45,BC45)))</f>
        <v/>
      </c>
      <c r="BR45" s="64" t="str">
        <f>IF(V45&lt;&gt;"SÍ","",IF(AND(BQ45&gt;0,FLOOR(MIN(BD45,100*INDEX(TABLAS!$D$52:$D$58,MIN(MATCH(IF(ISNUMBER(S45),S45,DATOS!$C$135),TABLAS!$B$52:$B$58,0)+0,7))/MAX(BQ45,0.0001)),DATOS!$C$141)&gt;=DATOS!$C$140),INDEX(TABLAS!$B$52:$B$58,MIN(MATCH(IF(ISNUMBER(S45),S45,DATOS!$C$135),TABLAS!$B$52:$B$58,0)+0,7)),IF(AND(BQ45&gt;0,FLOOR(MIN(BD45,100*INDEX(TABLAS!$D$52:$D$58,MIN(MATCH(IF(ISNUMBER(S45),S45,DATOS!$C$135),TABLAS!$B$52:$B$58,0)+1,7))/MAX(BQ45,0.0001)),DATOS!$C$141)&gt;=DATOS!$C$140),INDEX(TABLAS!$B$52:$B$58,MIN(MATCH(IF(ISNUMBER(S45),S45,DATOS!$C$135),TABLAS!$B$52:$B$58,0)+1,7)),IF(AND(BQ45&gt;0,FLOOR(MIN(BD45,100*INDEX(TABLAS!$D$52:$D$58,MIN(MATCH(IF(ISNUMBER(S45),S45,DATOS!$C$135),TABLAS!$B$52:$B$58,0)+2,7))/MAX(BQ45,0.0001)),DATOS!$C$141)&gt;=DATOS!$C$140),INDEX(TABLAS!$B$52:$B$58,MIN(MATCH(IF(ISNUMBER(S45),S45,DATOS!$C$135),TABLAS!$B$52:$B$58,0)+2,7)),IF(AND(BQ45&gt;0,FLOOR(MIN(BD45,100*INDEX(TABLAS!$D$52:$D$58,MIN(MATCH(IF(ISNUMBER(S45),S45,DATOS!$C$135),TABLAS!$B$52:$B$58,0)+3,7))/MAX(BQ45,0.0001)),DATOS!$C$141)&gt;=DATOS!$C$140),INDEX(TABLAS!$B$52:$B$58,MIN(MATCH(IF(ISNUMBER(S45),S45,DATOS!$C$135),TABLAS!$B$52:$B$58,0)+3,7)),IF(AND(BQ45&gt;0,FLOOR(MIN(BD45,100*INDEX(TABLAS!$D$52:$D$58,MIN(MATCH(IF(ISNUMBER(S45),S45,DATOS!$C$135),TABLAS!$B$52:$B$58,0)+4,7))/MAX(BQ45,0.0001)),DATOS!$C$141)&gt;=DATOS!$C$140),INDEX(TABLAS!$B$52:$B$58,MIN(MATCH(IF(ISNUMBER(S45),S45,DATOS!$C$135),TABLAS!$B$52:$B$58,0)+4,7)),INDEX(TABLAS!$B$52:$B$58,7)))))))</f>
        <v/>
      </c>
      <c r="BS45" s="71" t="str">
        <f>IF(V45&lt;&gt;"SÍ","",IF(BQ45&lt;=0,0,FLOOR(MIN(BD45,100*INDEX(TABLAS!$D$52:$D$58,MATCH(BR45,TABLAS!$B$52:$B$58,0))/BQ45),DATOS!$C$141)))</f>
        <v/>
      </c>
      <c r="BT45" s="58" t="str">
        <f>IF(V45&lt;&gt;"SÍ","",IF(BS45&lt;=0,0,INDEX(TABLAS!$D$52:$D$58,MATCH(BR45,TABLAS!$B$52:$B$58,0))*100/BS45))</f>
        <v/>
      </c>
      <c r="BU45" s="58" t="str">
        <f>IF(V45&lt;&gt;"SÍ","",((W45-AF45-INDEX(TABLAS!$C$52:$C$58,MATCH(BR45,TABLAS!$B$52:$B$58,0))/2)-IF(AND((W45-AF45-INDEX(TABLAS!$C$52:$C$58,MATCH(BR45,TABLAS!$B$52:$B$58,0))/2)&lt;=20,DATOS!$C$62&lt;&gt;"SÍ"),2,0)))</f>
        <v/>
      </c>
      <c r="BV45" s="56" t="str">
        <f>IF(V45&lt;&gt;"SÍ","",IF(BT45=0,0,DATOS!$C$29*BT45*DATOS!$C$14*(BU45-BT45*DATOS!$C$14/(DATOS!$C$21*100)/2)/1E5))</f>
        <v/>
      </c>
      <c r="BW45" s="65" t="str">
        <f>IF(V45&lt;&gt;"SÍ","",IF(BQ45&lt;0,9.99,IF(BV45&gt;0,AY45/BV45,0)))</f>
        <v/>
      </c>
      <c r="BX45" s="66" t="str">
        <f>IF(V45&lt;&gt;"SÍ","",IF(BT45=0,"—",0.003*(BU45-(BT45*DATOS!$C$14/(DATOS!$C$21*100)/DATOS!$C$22))/(BT45*DATOS!$C$14/(DATOS!$C$21*100)/DATOS!$C$22)))</f>
        <v/>
      </c>
      <c r="BY45" s="58" t="str">
        <f>IF(V45&lt;&gt;"SÍ","",(W45-AE45-1.5*INDEX(TABLAS!$C$52:$C$58,MATCH(IF(ISNUMBER(S45),S45,DATOS!$C$135),TABLAS!$B$52:$B$58,0))))</f>
        <v/>
      </c>
      <c r="BZ45" s="58" t="str">
        <f>IF(V45&lt;&gt;"SÍ","",IF(AZ45&lt;=0,0,IF((1-2*AZ45*1E5/(DATOS!$C$29*100*BY45^2*DATOS!$C$21))&lt;0,-1,IF((1-SQRT((1-2*AZ45*1E5/(DATOS!$C$29*100*BY45^2*DATOS!$C$21))))*DATOS!$C$21*100*BY45/DATOS!$C$14&gt;DATOS!$C$99*100*BY45,-1,(1-SQRT((1-2*AZ45*1E5/(DATOS!$C$29*100*BY45^2*DATOS!$C$21))))*DATOS!$C$21*100*BY45/DATOS!$C$14))))</f>
        <v/>
      </c>
      <c r="CA45" s="58" t="str">
        <f>IF(V45&lt;&gt;"SÍ","",IF(BZ45&lt;0,-1,MAX(BZ45,BC45)))</f>
        <v/>
      </c>
      <c r="CB45" s="64" t="str">
        <f>IF(V45&lt;&gt;"SÍ","",IF(AND(CA45&gt;0,FLOOR(MIN(BD45,100*INDEX(TABLAS!$D$52:$D$58,MIN(MATCH(IF(ISNUMBER(S45),S45,DATOS!$C$135),TABLAS!$B$52:$B$58,0)+0,7))/MAX(CA45,0.0001)),DATOS!$C$141)&gt;=DATOS!$C$140),INDEX(TABLAS!$B$52:$B$58,MIN(MATCH(IF(ISNUMBER(S45),S45,DATOS!$C$135),TABLAS!$B$52:$B$58,0)+0,7)),IF(AND(CA45&gt;0,FLOOR(MIN(BD45,100*INDEX(TABLAS!$D$52:$D$58,MIN(MATCH(IF(ISNUMBER(S45),S45,DATOS!$C$135),TABLAS!$B$52:$B$58,0)+1,7))/MAX(CA45,0.0001)),DATOS!$C$141)&gt;=DATOS!$C$140),INDEX(TABLAS!$B$52:$B$58,MIN(MATCH(IF(ISNUMBER(S45),S45,DATOS!$C$135),TABLAS!$B$52:$B$58,0)+1,7)),IF(AND(CA45&gt;0,FLOOR(MIN(BD45,100*INDEX(TABLAS!$D$52:$D$58,MIN(MATCH(IF(ISNUMBER(S45),S45,DATOS!$C$135),TABLAS!$B$52:$B$58,0)+2,7))/MAX(CA45,0.0001)),DATOS!$C$141)&gt;=DATOS!$C$140),INDEX(TABLAS!$B$52:$B$58,MIN(MATCH(IF(ISNUMBER(S45),S45,DATOS!$C$135),TABLAS!$B$52:$B$58,0)+2,7)),IF(AND(CA45&gt;0,FLOOR(MIN(BD45,100*INDEX(TABLAS!$D$52:$D$58,MIN(MATCH(IF(ISNUMBER(S45),S45,DATOS!$C$135),TABLAS!$B$52:$B$58,0)+3,7))/MAX(CA45,0.0001)),DATOS!$C$141)&gt;=DATOS!$C$140),INDEX(TABLAS!$B$52:$B$58,MIN(MATCH(IF(ISNUMBER(S45),S45,DATOS!$C$135),TABLAS!$B$52:$B$58,0)+3,7)),IF(AND(CA45&gt;0,FLOOR(MIN(BD45,100*INDEX(TABLAS!$D$52:$D$58,MIN(MATCH(IF(ISNUMBER(S45),S45,DATOS!$C$135),TABLAS!$B$52:$B$58,0)+4,7))/MAX(CA45,0.0001)),DATOS!$C$141)&gt;=DATOS!$C$140),INDEX(TABLAS!$B$52:$B$58,MIN(MATCH(IF(ISNUMBER(S45),S45,DATOS!$C$135),TABLAS!$B$52:$B$58,0)+4,7)),INDEX(TABLAS!$B$52:$B$58,7)))))))</f>
        <v/>
      </c>
      <c r="CC45" s="71" t="str">
        <f>IF(V45&lt;&gt;"SÍ","",IF(CA45&lt;=0,0,FLOOR(MIN(BD45,100*INDEX(TABLAS!$D$52:$D$58,MATCH(CB45,TABLAS!$B$52:$B$58,0))/CA45),DATOS!$C$141)))</f>
        <v/>
      </c>
      <c r="CD45" s="58" t="str">
        <f>IF(V45&lt;&gt;"SÍ","",IF(CC45&lt;=0,0,INDEX(TABLAS!$D$52:$D$58,MATCH(CB45,TABLAS!$B$52:$B$58,0))*100/CC45))</f>
        <v/>
      </c>
      <c r="CE45" s="58" t="str">
        <f>IF(V45&lt;&gt;"SÍ","",W45-AE45-INDEX(TABLAS!$C$52:$C$58,MATCH(BH45,TABLAS!$B$52:$B$58,0))-INDEX(TABLAS!$C$52:$C$58,MATCH(CB45,TABLAS!$B$52:$B$58,0))/2)</f>
        <v/>
      </c>
      <c r="CF45" s="56" t="str">
        <f>IF(V45&lt;&gt;"SÍ","",IF(CD45=0,0,DATOS!$C$29*CD45*DATOS!$C$14*(CE45-CD45*DATOS!$C$14/(DATOS!$C$21*100)/2)/1E5))</f>
        <v/>
      </c>
      <c r="CG45" s="65" t="str">
        <f>IF(V45&lt;&gt;"SÍ","",IF(CA45&lt;0,9.99,IF(CF45&gt;0,AZ45/CF45,0)))</f>
        <v/>
      </c>
      <c r="CH45" s="66" t="str">
        <f>IF(V45&lt;&gt;"SÍ","",IF(CD45=0,"—",0.003*(CE45-(CD45*DATOS!$C$14/(DATOS!$C$21*100)/DATOS!$C$22))/(CD45*DATOS!$C$14/(DATOS!$C$21*100)/DATOS!$C$22)))</f>
        <v/>
      </c>
      <c r="CI45" s="58" t="str">
        <f>IF(V45&lt;&gt;"SÍ","",((W45-AF45-1.5*INDEX(TABLAS!$C$52:$C$58,MATCH(IF(ISNUMBER(S45),S45,DATOS!$C$135),TABLAS!$B$52:$B$58,0)))-IF(AND((W45-AF45-1.5*INDEX(TABLAS!$C$52:$C$58,MATCH(IF(ISNUMBER(S45),S45,DATOS!$C$135),TABLAS!$B$52:$B$58,0)))&lt;=20,DATOS!$C$62&lt;&gt;"SÍ"),2,0)))</f>
        <v/>
      </c>
      <c r="CJ45" s="58" t="str">
        <f>IF(V45&lt;&gt;"SÍ","",IF(BA45&lt;=0,0,IF((1-2*BA45*1E5/(DATOS!$C$29*100*CI45^2*DATOS!$C$21))&lt;0,-1,IF((1-SQRT((1-2*BA45*1E5/(DATOS!$C$29*100*CI45^2*DATOS!$C$21))))*DATOS!$C$21*100*CI45/DATOS!$C$14&gt;DATOS!$C$99*100*CI45,-1,(1-SQRT((1-2*BA45*1E5/(DATOS!$C$29*100*CI45^2*DATOS!$C$21))))*DATOS!$C$21*100*CI45/DATOS!$C$14))))</f>
        <v/>
      </c>
      <c r="CK45" s="58" t="str">
        <f>IF(V45&lt;&gt;"SÍ","",IF(CJ45&lt;0,-1,MAX(CJ45,BC45)))</f>
        <v/>
      </c>
      <c r="CL45" s="64" t="str">
        <f>IF(V45&lt;&gt;"SÍ","",IF(AND(CK45&gt;0,FLOOR(MIN(BD45,100*INDEX(TABLAS!$D$52:$D$58,MIN(MATCH(IF(ISNUMBER(S45),S45,DATOS!$C$135),TABLAS!$B$52:$B$58,0)+0,7))/MAX(CK45,0.0001)),DATOS!$C$141)&gt;=DATOS!$C$140),INDEX(TABLAS!$B$52:$B$58,MIN(MATCH(IF(ISNUMBER(S45),S45,DATOS!$C$135),TABLAS!$B$52:$B$58,0)+0,7)),IF(AND(CK45&gt;0,FLOOR(MIN(BD45,100*INDEX(TABLAS!$D$52:$D$58,MIN(MATCH(IF(ISNUMBER(S45),S45,DATOS!$C$135),TABLAS!$B$52:$B$58,0)+1,7))/MAX(CK45,0.0001)),DATOS!$C$141)&gt;=DATOS!$C$140),INDEX(TABLAS!$B$52:$B$58,MIN(MATCH(IF(ISNUMBER(S45),S45,DATOS!$C$135),TABLAS!$B$52:$B$58,0)+1,7)),IF(AND(CK45&gt;0,FLOOR(MIN(BD45,100*INDEX(TABLAS!$D$52:$D$58,MIN(MATCH(IF(ISNUMBER(S45),S45,DATOS!$C$135),TABLAS!$B$52:$B$58,0)+2,7))/MAX(CK45,0.0001)),DATOS!$C$141)&gt;=DATOS!$C$140),INDEX(TABLAS!$B$52:$B$58,MIN(MATCH(IF(ISNUMBER(S45),S45,DATOS!$C$135),TABLAS!$B$52:$B$58,0)+2,7)),IF(AND(CK45&gt;0,FLOOR(MIN(BD45,100*INDEX(TABLAS!$D$52:$D$58,MIN(MATCH(IF(ISNUMBER(S45),S45,DATOS!$C$135),TABLAS!$B$52:$B$58,0)+3,7))/MAX(CK45,0.0001)),DATOS!$C$141)&gt;=DATOS!$C$140),INDEX(TABLAS!$B$52:$B$58,MIN(MATCH(IF(ISNUMBER(S45),S45,DATOS!$C$135),TABLAS!$B$52:$B$58,0)+3,7)),IF(AND(CK45&gt;0,FLOOR(MIN(BD45,100*INDEX(TABLAS!$D$52:$D$58,MIN(MATCH(IF(ISNUMBER(S45),S45,DATOS!$C$135),TABLAS!$B$52:$B$58,0)+4,7))/MAX(CK45,0.0001)),DATOS!$C$141)&gt;=DATOS!$C$140),INDEX(TABLAS!$B$52:$B$58,MIN(MATCH(IF(ISNUMBER(S45),S45,DATOS!$C$135),TABLAS!$B$52:$B$58,0)+4,7)),INDEX(TABLAS!$B$52:$B$58,7)))))))</f>
        <v/>
      </c>
      <c r="CM45" s="71" t="str">
        <f>IF(V45&lt;&gt;"SÍ","",IF(CK45&lt;=0,0,FLOOR(MIN(BD45,100*INDEX(TABLAS!$D$52:$D$58,MATCH(CL45,TABLAS!$B$52:$B$58,0))/CK45),DATOS!$C$141)))</f>
        <v/>
      </c>
      <c r="CN45" s="58" t="str">
        <f>IF(V45&lt;&gt;"SÍ","",IF(CM45&lt;=0,0,INDEX(TABLAS!$D$52:$D$58,MATCH(CL45,TABLAS!$B$52:$B$58,0))*100/CM45))</f>
        <v/>
      </c>
      <c r="CO45" s="58" t="str">
        <f>IF(V45&lt;&gt;"SÍ","",((W45-AF45-INDEX(TABLAS!$C$52:$C$58,MATCH(BR45,TABLAS!$B$52:$B$58,0))-INDEX(TABLAS!$C$52:$C$58,MATCH(CL45,TABLAS!$B$52:$B$58,0))/2)-IF(AND((W45-AF45-INDEX(TABLAS!$C$52:$C$58,MATCH(BR45,TABLAS!$B$52:$B$58,0))-INDEX(TABLAS!$C$52:$C$58,MATCH(CL45,TABLAS!$B$52:$B$58,0))/2)&lt;=20,DATOS!$C$62&lt;&gt;"SÍ"),2,0)))</f>
        <v/>
      </c>
      <c r="CP45" s="56" t="str">
        <f>IF(V45&lt;&gt;"SÍ","",IF(CN45=0,0,DATOS!$C$29*CN45*DATOS!$C$14*(CO45-CN45*DATOS!$C$14/(DATOS!$C$21*100)/2)/1E5))</f>
        <v/>
      </c>
      <c r="CQ45" s="65" t="str">
        <f>IF(V45&lt;&gt;"SÍ","",IF(CK45&lt;0,9.99,IF(CP45&gt;0,BA45/CP45,0)))</f>
        <v/>
      </c>
      <c r="CR45" s="66" t="str">
        <f>IF(V45&lt;&gt;"SÍ","",IF(CN45=0,"—",0.003*(CO45-(CN45*DATOS!$C$14/(DATOS!$C$21*100)/DATOS!$C$22))/(CN45*DATOS!$C$14/(DATOS!$C$21*100)/DATOS!$C$22)))</f>
        <v/>
      </c>
      <c r="CS45" s="56" t="str">
        <f>IF(V45&lt;&gt;"SÍ","",IF(C45="PERIMETRAL",MAX(0,(AC45/2-BU45)/100)*(0.95-0.5*AB45)*AK45*IF(AND(AL45&gt;0,AL45&lt;4),DATOS!$C$33,1)/1000,(AK45*MAX(0,AC45-BU45)/100+DATOS!$C$26*N(P45))/1000))</f>
        <v/>
      </c>
      <c r="CT45" s="66" t="str">
        <f>IF(V45&lt;&gt;"SÍ","",BT45/(100*BU45))</f>
        <v/>
      </c>
      <c r="CU45" s="56" t="str">
        <f>IF(V45&lt;&gt;"SÍ","",DATOS!$C$30*2*MIN(1,SQRT(2/(1+0.04*BU45)))*CT45^(1/3)*SQRT(DATOS!$C$13)*100*BU45/1000)</f>
        <v/>
      </c>
      <c r="CV45" s="67" t="str">
        <f>IF(V45&lt;&gt;"SÍ","",IF(CS45&lt;=CU45,"CUMPLE","NO CUMPLE: sube h"))</f>
        <v/>
      </c>
      <c r="CW45" s="58" t="str">
        <f>IF(V45&lt;&gt;"SÍ","",IF(C45="PERIMETRAL",IF(ISNUMBER(R45),R45,DATOS!$C$101),0))</f>
        <v/>
      </c>
      <c r="CX45" s="57" t="str">
        <f>IF(V45&lt;&gt;"SÍ","",IF(C45="PERIMETRAL",IF(CW45&gt;2,MAX(9,AD45*(0.8+DATOS!$C$14/14000)/(36+9*(AD45/MAX(AC45,1)))),IF(CW45&gt;0.2,MAX(13,AD45*(0.8+DATOS!$C$14/14000)/(36+5*(AD45/MAX(AC45,1))*(CW45-0.2))),MAX(13,AD45/IF(AL45&gt;0,30,33))))*IF(AND(CW45&gt;0.2,AL45&gt;0,DATOS!$C$102="NO"),1.1,1),Z45*100/DATOS!$C$142))</f>
        <v/>
      </c>
      <c r="CY45" s="61" t="str">
        <f>IF(V45&lt;&gt;"SÍ","",IF(W45&gt;=CX45-0.001,"CUMPLE",IF(C45="VOLADO","NO CUMPLE","CALCULAR FLECHA")))</f>
        <v/>
      </c>
      <c r="CZ45" s="60" t="str">
        <f>IF(V45&lt;&gt;"SÍ","",IF(C45="VOLADO",MIN(CEILING(IF(ISNUMBER(Q45),Q45,Z45)*100,5),CEILING(MAX(IF((0.5*(0.9*W45/100*DATOS!$C$16)*IF(ISNUMBER(Q45),Q45,Z45)+AY45/IF(ISNUMBER(Q45),Q45,Z45))^2-4*(0.5*(0.9*W45/100*DATOS!$C$16))*AY45&lt;0,IF(ISNUMBER(Q45),Q45,Z45),MIN(IF(ISNUMBER(Q45),Q45,Z45),((0.5*(0.9*W45/100*DATOS!$C$16)*IF(ISNUMBER(Q45),Q45,Z45)+AY45/IF(ISNUMBER(Q45),Q45,Z45))-SQRT((0.5*(0.9*W45/100*DATOS!$C$16)*IF(ISNUMBER(Q45),Q45,Z45)+AY45/IF(ISNUMBER(Q45),Q45,Z45))^2-4*(0.5*(0.9*W45/100*DATOS!$C$16))*AY45))/(2*(0.5*(0.9*W45/100*DATOS!$C$16)))))*100+MAX(BU45,12*INDEX(TABLAS!$C$52:$C$58,MATCH(BR45,TABLAS!$B$52:$B$58,0)),IF(ISNUMBER(Q45),Q45,Z45)*100/16),IF(OR(AF45&lt;INDEX(TABLAS!$C$52:$C$58,MATCH(BR45,TABLAS!$B$52:$B$58,0)),BS45-INDEX(TABLAS!$C$52:$C$58,MATCH(BR45,TABLAS!$B$52:$B$58,0))&lt;2*INDEX(TABLAS!$C$52:$C$58,MATCH(BR45,TABLAS!$B$52:$B$58,0))),INDEX(TABLAS!$I$52:$I$58,MATCH(BR45,TABLAS!$B$52:$B$58,0)),INDEX(TABLAS!$F$52:$F$58,MATCH(BR45,TABLAS!$B$52:$B$58,0)))),5)),IF(((4*((AV45*AK45*Z45^2*1E-4/1000)+((MAX(AR45,AT45)*AK45*Z45^2*1E-4/1000)+(IF(AND(AR45&gt;0,AT45&gt;0),MIN(AR45,AT45),MAX(AR45,AT45))*AK45*Z45^2*1E-4/1000))/2)+AY45-(IF(AND(AR45&gt;0,AT45&gt;0),MIN(AR45,AT45),MAX(AR45,AT45))*AK45*Z45^2*1E-4/1000))^2-16*((AV45*AK45*Z45^2*1E-4/1000)+((MAX(AR45,AT45)*AK45*Z45^2*1E-4/1000)+(IF(AND(AR45&gt;0,AT45&gt;0),MIN(AR45,AT45),MAX(AR45,AT45))*AK45*Z45^2*1E-4/1000))/2)*AY45)&lt;0,CEILING(AC45,5),CEILING(MAX(AC45*((4*((AV45*AK45*Z45^2*1E-4/1000)+((MAX(AR45,AT45)*AK45*Z45^2*1E-4/1000)+(IF(AND(AR45&gt;0,AT45&gt;0),MIN(AR45,AT45),MAX(AR45,AT45))*AK45*Z45^2*1E-4/1000))/2)+AY45-(IF(AND(AR45&gt;0,AT45&gt;0),MIN(AR45,AT45),MAX(AR45,AT45))*AK45*Z45^2*1E-4/1000))-SQRT(MAX(0,((4*((AV45*AK45*Z45^2*1E-4/1000)+((MAX(AR45,AT45)*AK45*Z45^2*1E-4/1000)+(IF(AND(AR45&gt;0,AT45&gt;0),MIN(AR45,AT45),MAX(AR45,AT45))*AK45*Z45^2*1E-4/1000))/2)+AY45-(IF(AND(AR45&gt;0,AT45&gt;0),MIN(AR45,AT45),MAX(AR45,AT45))*AK45*Z45^2*1E-4/1000))^2-16*((AV45*AK45*Z45^2*1E-4/1000)+((MAX(AR45,AT45)*AK45*Z45^2*1E-4/1000)+(IF(AND(AR45&gt;0,AT45&gt;0),MIN(AR45,AT45),MAX(AR45,AT45))*AK45*Z45^2*1E-4/1000))/2)*AY45))))/(8*MAX(((AV45*AK45*Z45^2*1E-4/1000)+((MAX(AR45,AT45)*AK45*Z45^2*1E-4/1000)+(IF(AND(AR45&gt;0,AT45&gt;0),MIN(AR45,AT45),MAX(AR45,AT45))*AK45*Z45^2*1E-4/1000))/2),1E-9))+MAX(BU45,12*INDEX(TABLAS!$C$52:$C$58,MATCH(BR45,TABLAS!$B$52:$B$58,0)),AC45/16),IF(OR(AF45&lt;INDEX(TABLAS!$C$52:$C$58,MATCH(BR45,TABLAS!$B$52:$B$58,0)),BS45-INDEX(TABLAS!$C$52:$C$58,MATCH(BR45,TABLAS!$B$52:$B$58,0))&lt;2*INDEX(TABLAS!$C$52:$C$58,MATCH(BR45,TABLAS!$B$52:$B$58,0))),INDEX(TABLAS!$I$52:$I$58,MATCH(BR45,TABLAS!$B$52:$B$58,0)),INDEX(TABLAS!$F$52:$F$58,MATCH(BR45,TABLAS!$B$52:$B$58,0)))),5))))</f>
        <v/>
      </c>
      <c r="DA45" s="60" t="str">
        <f>IF(V45&lt;&gt;"SÍ","",IF(C45="VOLADO",0,IF(((4*((AW45*AK45*Z45^2*1E-4/1000)+((MAX(AS45,AU45)*AK45*Z45^2*1E-4/1000)+(IF(AND(AS45&gt;0,AU45&gt;0),MIN(AS45,AU45),MAX(AS45,AU45))*AK45*Z45^2*1E-4/1000))/2)+BA45-(IF(AND(AS45&gt;0,AU45&gt;0),MIN(AS45,AU45),MAX(AS45,AU45))*AK45*Z45^2*1E-4/1000))^2-16*((AW45*AK45*Z45^2*1E-4/1000)+((MAX(AS45,AU45)*AK45*Z45^2*1E-4/1000)+(IF(AND(AS45&gt;0,AU45&gt;0),MIN(AS45,AU45),MAX(AS45,AU45))*AK45*Z45^2*1E-4/1000))/2)*BA45)&lt;0,CEILING(AD45,5),CEILING(MAX(AD45*((4*((AW45*AK45*Z45^2*1E-4/1000)+((MAX(AS45,AU45)*AK45*Z45^2*1E-4/1000)+(IF(AND(AS45&gt;0,AU45&gt;0),MIN(AS45,AU45),MAX(AS45,AU45))*AK45*Z45^2*1E-4/1000))/2)+BA45-(IF(AND(AS45&gt;0,AU45&gt;0),MIN(AS45,AU45),MAX(AS45,AU45))*AK45*Z45^2*1E-4/1000))-SQRT(MAX(0,((4*((AW45*AK45*Z45^2*1E-4/1000)+((MAX(AS45,AU45)*AK45*Z45^2*1E-4/1000)+(IF(AND(AS45&gt;0,AU45&gt;0),MIN(AS45,AU45),MAX(AS45,AU45))*AK45*Z45^2*1E-4/1000))/2)+BA45-(IF(AND(AS45&gt;0,AU45&gt;0),MIN(AS45,AU45),MAX(AS45,AU45))*AK45*Z45^2*1E-4/1000))^2-16*((AW45*AK45*Z45^2*1E-4/1000)+((MAX(AS45,AU45)*AK45*Z45^2*1E-4/1000)+(IF(AND(AS45&gt;0,AU45&gt;0),MIN(AS45,AU45),MAX(AS45,AU45))*AK45*Z45^2*1E-4/1000))/2)*BA45))))/(8*MAX(((AW45*AK45*Z45^2*1E-4/1000)+((MAX(AS45,AU45)*AK45*Z45^2*1E-4/1000)+(IF(AND(AS45&gt;0,AU45&gt;0),MIN(AS45,AU45),MAX(AS45,AU45))*AK45*Z45^2*1E-4/1000))/2),1E-9))+MAX(CO45,12*INDEX(TABLAS!$C$52:$C$58,MATCH(CL45,TABLAS!$B$52:$B$58,0)),AD45/16),IF(OR(AF45&lt;INDEX(TABLAS!$C$52:$C$58,MATCH(CL45,TABLAS!$B$52:$B$58,0)),CM45-INDEX(TABLAS!$C$52:$C$58,MATCH(CL45,TABLAS!$B$52:$B$58,0))&lt;2*INDEX(TABLAS!$C$52:$C$58,MATCH(CL45,TABLAS!$B$52:$B$58,0))),INDEX(TABLAS!$I$52:$I$58,MATCH(CL45,TABLAS!$B$52:$B$58,0)),INDEX(TABLAS!$F$52:$F$58,MATCH(CL45,TABLAS!$B$52:$B$58,0)))),5))))</f>
        <v/>
      </c>
      <c r="DB45" s="55" t="str">
        <f>IF(V45&lt;&gt;"SÍ","",IF(AND(C45="PERIMETRAL",AL45-AM45&gt;0,AT45&gt;0),"SÍ","NO"))</f>
        <v/>
      </c>
      <c r="DC45" s="55" t="str">
        <f>IF(V45&lt;&gt;"SÍ","",IF(AND(C45="PERIMETRAL",AM45&gt;0,AU45&gt;0),"SÍ","NO"))</f>
        <v/>
      </c>
      <c r="DD45" s="63" t="str">
        <f>IF(V45&lt;&gt;"SÍ","",IF(OR(C45="VOLADO",AL45=0),"—",IF(AND(AND(INDEX(TABLAS!$G$52:$G$58,MATCH(MAX(BR45,CL45),TABLAS!$B$52:$B$58,0))&lt;=(DATOS!$C$72-DATOS!$C$60),(DATOS!$C$72-DATOS!$C$60)&gt;=15),8*INDEX(TABLAS!$C$52:$C$58,MATCH(MAX(BH45,CB45,BR45,CL45),TABLAS!$B$52:$B$58,0))&lt;=DATOS!$C$73-2*DATOS!$C$60),"CUMPLE (gancho de 180°)",IF(AND(INDEX(TABLAS!$G$52:$G$58,MATCH(MAX(BR45,CL45),TABLAS!$B$52:$B$58,0))&lt;=(DATOS!$C$72-DATOS!$C$60),(DATOS!$C$72-DATOS!$C$60)&gt;=15),"NO CUMPLE: el gancho de 180° (8·d_b) no cabe en el peralte de la dala de borde","NO CUMPLE: dala de borde ≥ "&amp;TEXT(CEILING(MAX(INDEX(TABLAS!$G$52:$G$58,MATCH(MAX(BR45,CL45),TABLAS!$B$52:$B$58,0)),15)+DATOS!$C$60,5),"0")&amp;" cm de ancho"&amp;IF(8*INDEX(TABLAS!$C$52:$C$58,MATCH(MAX(BH45,CB45,BR45,CL45),TABLAS!$B$52:$B$58,0))&lt;=DATOS!$C$73-2*DATOS!$C$60,""," y más peralte para el gancho")))))</f>
        <v/>
      </c>
      <c r="DE45" s="69" t="str">
        <f>IF(V45&lt;&gt;"SÍ","",IF(BI45=0,"NO ALCANZA","No. "&amp;BH45&amp;" @ "&amp;BI45&amp;" cm"&amp;IF(C45="VOLADO"," (temperatura)","")))</f>
        <v/>
      </c>
      <c r="DF45" s="69" t="str">
        <f>IF(V45&lt;&gt;"SÍ","",IF(BS45=0,"NO ALCANZA",IF(C45="VOLADO","No. "&amp;BR45&amp;" @ "&amp;BS45&amp;" cm"&amp;" de la orilla al respaldo ("&amp;IF(CZ45&gt;=100*IF(ISNUMBER(Q45),Q45,Z45),"hasta su apoyo lejano, con gancho","entran "&amp;TEXT(CZ45/100,"0.00")&amp;" m desde el paño")&amp;")","Bastones "&amp;"No. "&amp;BR45&amp;" @ "&amp;BS45&amp;" cm"&amp;", L = "&amp;TEXT(CZ45/100,"0.00")&amp;" m desde el paño")))</f>
        <v/>
      </c>
      <c r="DG45" s="69" t="str">
        <f>IF(V45&lt;&gt;"SÍ","",IF(CC45=0,"NO ALCANZA","No. "&amp;CB45&amp;" @ "&amp;CC45&amp;" cm"&amp;IF(C45="VOLADO"," (repartición)","")))</f>
        <v/>
      </c>
      <c r="DH45" s="69" t="str">
        <f>IF(V45&lt;&gt;"SÍ","",IF(CM45=0,"NO ALCANZA",IF(C45="VOLADO","No. "&amp;CL45&amp;" @ "&amp;CM45&amp;" cm"&amp;" (repartición)","Bastones "&amp;"No. "&amp;CL45&amp;" @ "&amp;CM45&amp;" cm"&amp;", L = "&amp;TEXT(DA45/100,"0.00")&amp;" m desde el paño")))</f>
        <v/>
      </c>
      <c r="DI45" s="67" t="str">
        <f>IF(B45="","",IF(V45&lt;&gt;"SÍ","FALTAN DATOS: tipo, a_x, a_y y destino",IF(L45="NO MONOLÍTICO (caso II)","FUERA DE ALCANCE: caso II no transcrito",IF(AND(C45="VOLADO",X45="?"),"REVISAR: el volado lleva UN solo borde CONTINUO (el empotrado)",IF(AND(MAX(BM45,BW45,CG45,CQ45)&lt;=1,NOT(OR(BI45&lt;DATOS!$C$140,BS45&lt;DATOS!$C$140,CC45&lt;DATOS!$C$140,CM45&lt;DATOS!$C$140)),NOT(OR(AND(ISNUMBER(BN45),BN45&lt;0.005),AND(ISNUMBER(BX45),BX45&lt;0.005),AND(ISNUMBER(CH45),CH45&lt;0.005),AND(ISNUMBER(CR45),CR45&lt;0.005))),CV45="CUMPLE",CY45="CUMPLE"),"CUMPLE"&amp;IF(LEFT(BB45,5)="FUERA"," · fuera de 3.4.2.1 c)","")&amp;IF(LEFT(DD45,2)="NO"," · REVISAR anclaje en borde discontinuo",""),IF(AND(MAX(BM45,BW45,CG45,CQ45)&lt;=1,NOT(OR(BI45&lt;DATOS!$C$140,BS45&lt;DATOS!$C$140,CC45&lt;DATOS!$C$140,CM45&lt;DATOS!$C$140)),NOT(OR(AND(ISNUMBER(BN45),BN45&lt;0.005),AND(ISNUMBER(BX45),BX45&lt;0.005),AND(ISNUMBER(CH45),CH45&lt;0.005),AND(ISNUMBER(CR45),CR45&lt;0.005))),CV45="CUMPLE",CY45="CALCULAR FLECHA"),"REVISAR: calcular flecha (h &lt; h mín.)"&amp;IF(LEFT(BB45,5)="FUERA"," · fuera de 3.4.2.1 c)","")&amp;IF(LEFT(DD45,2)="NO"," · REVISAR anclaje en borde discontinuo",""),"NO CUMPLE: "&amp;IF(MAX(BM45,BW45,CG45,CQ45)&gt;1,"flexión ","")&amp;IF(OR(BI45&lt;DATOS!$C$140,BS45&lt;DATOS!$C$140,CC45&lt;DATOS!$C$140,CM45&lt;DATOS!$C$140),"separación &lt; mínima ","")&amp;IF(OR(AND(ISNUMBER(BN45),BN45&lt;0.005),AND(ISNUMBER(BX45),BX45&lt;0.005),AND(ISNUMBER(CH45),CH45&lt;0.005),AND(ISNUMBER(CR45),CR45&lt;0.005)),"ε_t &lt; 0.005 ","")&amp;IF(CV45&lt;&gt;"CUMPLE","cortante ","")&amp;IF(CY45="NO CUMPLE","peralte","")))))))</f>
        <v/>
      </c>
      <c r="DJ45" s="70" t="str">
        <f>IF(V45&lt;&gt;"SÍ","",IF(LEFT(B45,7)="EJEMPLO","EJEMPLO de tablero típico: bórralo o sobrescríbelo. ","")&amp;IF(C45="VOLADO","Volado de "&amp;TEXT(Z45,"0.00")&amp;" m empotrado en el borde "&amp;LOWER(X45)&amp;IF(N(P45)&gt;0,", con "&amp;TEXT(P45,"0.0")&amp;" kg/m en la orilla","")&amp;". Lecho inferior con r_ext. Si la orilla carga pretil u otro elemento frágil, calcula la flecha (13.4). El acero superior entra al respaldo de "&amp;TEXT(IF(ISNUMBER(Q45),Q45,Z45),"0.00")&amp;" m"&amp;IF(ISNUMBER(Q45),""," (L_b no capturado: se tomó igual al volado)")&amp;" hasta pasar M = 0 con 0.9·PP sin carga viva; si ahí no se anula, llega al apoyo lejano y se ancla con gancho. ","")&amp;IF(LEFT(BB45,5)="FUERA","El M⁻ del vecino difiere más de 50 % (3.4.2.1 c): distribuye el desequilibrio (3.4.3.1) o confirma con un modelo; se arma con el mayor. ","")&amp;IF(OR(DB45="SÍ",DC45="SÍ"),"Bastones también en los bordes discontinuos (M⁻ de tabla), con gancho. ","")&amp;IF(LEFT(DD45,2)="NO","Anclaje: "&amp;DD45&amp;" (6.7.7.4.1.1). ","")&amp;IF(OR(AT45&gt;0,AU45&gt;0),"Esquinas exteriores sobre muro: refuerzo de esquina arriba y abajo en L_largo/5 (6.7.7.3.1). ",""))</f>
        <v/>
      </c>
    </row>
    <row r="46" ht="33" customHeight="1">
      <c r="A46" s="50">
        <f>IF(B46="",0,1)+A45</f>
        <v>3</v>
      </c>
      <c r="B46" s="29" t="n"/>
      <c r="C46" s="51" t="n"/>
      <c r="D46" s="29" t="n"/>
      <c r="E46" s="52" t="n"/>
      <c r="F46" s="52" t="n"/>
      <c r="G46" s="51" t="n"/>
      <c r="H46" s="51" t="n"/>
      <c r="I46" s="51" t="n"/>
      <c r="J46" s="51" t="n"/>
      <c r="K46" s="51" t="n"/>
      <c r="L46" s="51" t="n"/>
      <c r="M46" s="54" t="n"/>
      <c r="N46" s="53" t="n"/>
      <c r="O46" s="53" t="n"/>
      <c r="P46" s="54" t="n"/>
      <c r="Q46" s="52" t="n"/>
      <c r="R46" s="54" t="n"/>
      <c r="S46" s="53" t="n"/>
      <c r="T46" s="52" t="n"/>
      <c r="U46" s="52" t="n"/>
      <c r="V46" s="55" t="str">
        <f>IF(B46="","",IF(AND(OR(C46="PERIMETRAL",C46="VOLADO"),ISNUMBER(E46),ISNUMBER(F46),E46&gt;0,F46&gt;0,OR(ISNUMBER(O46),ISNUMBER(MATCH(D46,DATOS!$B$46:$B$55,0)))),"SÍ","NO"))</f>
        <v/>
      </c>
      <c r="W46" s="57" t="str">
        <f>IF(V46&lt;&gt;"SÍ","",IF(ISNUMBER(M46),M46,DATOS!$C$134))</f>
        <v/>
      </c>
      <c r="X46" s="55" t="str">
        <f>IF(V46&lt;&gt;"SÍ","",IF(C46&lt;&gt;"VOLADO","—",IF(COUNTIF(G46:J46,"CONTINUO")&lt;&gt;1,"?",IF(G46="CONTINUO","INFERIOR",IF(H46="CONTINUO","SUPERIOR",IF(I46="CONTINUO","IZQUIERDO","DERECHO"))))))</f>
        <v/>
      </c>
      <c r="Y46" s="55" t="str">
        <f>IF(V46&lt;&gt;"SÍ","",IF(C46="VOLADO",IF(OR(X46="IZQUIERDO",X46="DERECHO"),"X","Y"),IF(E46&lt;=F46,"X","Y")))</f>
        <v/>
      </c>
      <c r="Z46" s="56" t="str">
        <f>IF(V46&lt;&gt;"SÍ","",IF(C46="VOLADO",IF(Y46="X",E46,F46),MIN(E46,F46)))</f>
        <v/>
      </c>
      <c r="AA46" s="56" t="str">
        <f>IF(V46&lt;&gt;"SÍ","",IF(C46="VOLADO",IF(Y46="X",F46,E46),MAX(E46,F46)))</f>
        <v/>
      </c>
      <c r="AB46" s="56" t="str">
        <f>IF(V46&lt;&gt;"SÍ","",MIN(Z46,AA46)/MAX(Z46,AA46))</f>
        <v/>
      </c>
      <c r="AC46" s="57" t="str">
        <f>IF(V46&lt;&gt;"SÍ","",MAX(1,Z46*100-IF(C46="VOLADO",DATOS!$C$84/2,DATOS!$C$84)))</f>
        <v/>
      </c>
      <c r="AD46" s="57" t="str">
        <f>IF(V46&lt;&gt;"SÍ","",MAX(1,AA46*100-DATOS!$C$84))</f>
        <v/>
      </c>
      <c r="AE46" s="57" t="str">
        <f>IF(V46&lt;&gt;"SÍ","",IF(C46="VOLADO",DATOS!$C$61,DATOS!$C$59))</f>
        <v/>
      </c>
      <c r="AF46" s="57" t="str">
        <f>IF(V46&lt;&gt;"SÍ","",IF(OR(AND(AG46="SÍ",DATOS!$C$63="SÍ"),AND(C46="VOLADO",DATOS!$C$64="SÍ")),DATOS!$C$61,DATOS!$C$59))</f>
        <v/>
      </c>
      <c r="AG46" s="55" t="str">
        <f>IF(V46&lt;&gt;"SÍ","",IFERROR(INDEX(DATOS!$D$46:$D$55,MATCH(D46,DATOS!$B$46:$B$55,0)),"NO"))</f>
        <v/>
      </c>
      <c r="AH46" s="59" t="str">
        <f>IF(V46&lt;&gt;"SÍ","",IF(ISNUMBER(O46),O46,IFERROR(INDEX(DATOS!$C$46:$C$55,MATCH(D46,DATOS!$B$46:$B$55,0)),0)))</f>
        <v/>
      </c>
      <c r="AI46" s="59" t="str">
        <f>IF(V46&lt;&gt;"SÍ","",W46/100*DATOS!$C$16*1000+DATOS!$C$37+DATOS!$C$38)</f>
        <v/>
      </c>
      <c r="AJ46" s="59" t="str">
        <f>IF(V46&lt;&gt;"SÍ","",AI46+N(N46))</f>
        <v/>
      </c>
      <c r="AK46" s="60" t="str">
        <f>IF(V46&lt;&gt;"SÍ","",MAX(DATOS!$C$26*AJ46+DATOS!$C$27*AH46,IF(AG46="SÍ",DATOS!$C$28*(AJ46+DATOS!$C$41),0)))</f>
        <v/>
      </c>
      <c r="AL46" s="59" t="str">
        <f>IF(V46&lt;&gt;"SÍ","",(G46="DISCONTINUO")+(H46="DISCONTINUO")+(I46="DISCONTINUO")+(J46="DISCONTINUO"))</f>
        <v/>
      </c>
      <c r="AM46" s="59" t="str">
        <f>IF(V46&lt;&gt;"SÍ","",IF(Y46="X",(G46="DISCONTINUO")+(H46="DISCONTINUO"),(I46="DISCONTINUO")+(J46="DISCONTINUO")))</f>
        <v/>
      </c>
      <c r="AN46" s="55" t="str">
        <f>IF(V46&lt;&gt;"SÍ","",IF(AL46=0,"INTERIOR",IF(AL46=1,IF(AM46=1,"BORDE-CORTO","BORDE-LARGO"),IF(AL46=2,IF(AM46=1,"ESQUINA",IF(AM46=2,"EXTREMO-LARGO","EXTREMO-CORTO")),IF(AL46=3,IF(AM46=2,"EXTREMO-LARGO","EXTREMO-CORTO"),"AISLADO")))))</f>
        <v/>
      </c>
      <c r="AO46" s="61" t="str">
        <f>IF(V46&lt;&gt;"SÍ","",IF(OR(K46="",K46="AUTO"),AN46,K46))</f>
        <v/>
      </c>
      <c r="AP46" s="59" t="str">
        <f>IF(V46&lt;&gt;"SÍ","",MATCH(AB46,TABLAS!$D$5:$J$5,1))</f>
        <v/>
      </c>
      <c r="AQ46" s="58" t="str">
        <f>IF(V46&lt;&gt;"SÍ","",IF(AP46&gt;=7,0,(AB46-INDEX(TABLAS!$D$5:$J$5,AP46))/(INDEX(TABLAS!$D$5:$J$5,AP46+1)-INDEX(TABLAS!$D$5:$J$5,AP46))))</f>
        <v/>
      </c>
      <c r="AR46" s="59" t="str">
        <f>IF(V46&lt;&gt;"SÍ","",INDEX(TABLAS!$D$6:$J$47,MATCH(AO46&amp;"|NIC",TABLAS!$B$6:$B$47,0),AP46)+AQ46*(INDEX(TABLAS!$D$6:$J$47,MATCH(AO46&amp;"|NIC",TABLAS!$B$6:$B$47,0),MIN(AP46+1,7))-INDEX(TABLAS!$D$6:$J$47,MATCH(AO46&amp;"|NIC",TABLAS!$B$6:$B$47,0),AP46)))</f>
        <v/>
      </c>
      <c r="AS46" s="59" t="str">
        <f>IF(V46&lt;&gt;"SÍ","",INDEX(TABLAS!$D$6:$J$47,MATCH(AO46&amp;"|NIL",TABLAS!$B$6:$B$47,0),AP46)+AQ46*(INDEX(TABLAS!$D$6:$J$47,MATCH(AO46&amp;"|NIL",TABLAS!$B$6:$B$47,0),MIN(AP46+1,7))-INDEX(TABLAS!$D$6:$J$47,MATCH(AO46&amp;"|NIL",TABLAS!$B$6:$B$47,0),AP46)))</f>
        <v/>
      </c>
      <c r="AT46" s="59" t="str">
        <f>IF(V46&lt;&gt;"SÍ","",INDEX(TABLAS!$D$6:$J$47,MATCH(AO46&amp;"|NDC",TABLAS!$B$6:$B$47,0),AP46)+AQ46*(INDEX(TABLAS!$D$6:$J$47,MATCH(AO46&amp;"|NDC",TABLAS!$B$6:$B$47,0),MIN(AP46+1,7))-INDEX(TABLAS!$D$6:$J$47,MATCH(AO46&amp;"|NDC",TABLAS!$B$6:$B$47,0),AP46)))</f>
        <v/>
      </c>
      <c r="AU46" s="59" t="str">
        <f>IF(V46&lt;&gt;"SÍ","",INDEX(TABLAS!$D$6:$J$47,MATCH(AO46&amp;"|NDL",TABLAS!$B$6:$B$47,0),AP46)+AQ46*(INDEX(TABLAS!$D$6:$J$47,MATCH(AO46&amp;"|NDL",TABLAS!$B$6:$B$47,0),MIN(AP46+1,7))-INDEX(TABLAS!$D$6:$J$47,MATCH(AO46&amp;"|NDL",TABLAS!$B$6:$B$47,0),AP46)))</f>
        <v/>
      </c>
      <c r="AV46" s="59" t="str">
        <f>IF(V46&lt;&gt;"SÍ","",INDEX(TABLAS!$D$6:$J$47,MATCH(AO46&amp;"|PC",TABLAS!$B$6:$B$47,0),AP46)+AQ46*(INDEX(TABLAS!$D$6:$J$47,MATCH(AO46&amp;"|PC",TABLAS!$B$6:$B$47,0),MIN(AP46+1,7))-INDEX(TABLAS!$D$6:$J$47,MATCH(AO46&amp;"|PC",TABLAS!$B$6:$B$47,0),AP46)))</f>
        <v/>
      </c>
      <c r="AW46" s="59" t="str">
        <f>IF(V46&lt;&gt;"SÍ","",INDEX(TABLAS!$D$6:$J$47,MATCH(AO46&amp;"|PL",TABLAS!$B$6:$B$47,0),AP46)+AQ46*(INDEX(TABLAS!$D$6:$J$47,MATCH(AO46&amp;"|PL",TABLAS!$B$6:$B$47,0),MIN(AP46+1,7))-INDEX(TABLAS!$D$6:$J$47,MATCH(AO46&amp;"|PL",TABLAS!$B$6:$B$47,0),AP46)))</f>
        <v/>
      </c>
      <c r="AX46" s="56" t="str">
        <f>IF(V46&lt;&gt;"SÍ","",IF(C46="PERIMETRAL",AV46*AK46*Z46^2*1E-4/1000,0))</f>
        <v/>
      </c>
      <c r="AY46" s="62" t="str">
        <f>IF(V46&lt;&gt;"SÍ","",IF(C46="PERIMETRAL",MAX(MAX(AR46,AT46)*AK46*Z46^2*1E-4/1000,N(T46)),(AK46*(AC46/100)^2/2+DATOS!$C$26*N(P46)*AC46/100)/1000))</f>
        <v/>
      </c>
      <c r="AZ46" s="56" t="str">
        <f>IF(V46&lt;&gt;"SÍ","",IF(C46="PERIMETRAL",AW46*AK46*Z46^2*1E-4/1000,0))</f>
        <v/>
      </c>
      <c r="BA46" s="56" t="str">
        <f>IF(V46&lt;&gt;"SÍ","",IF(C46="PERIMETRAL",MAX(MAX(AS46,AU46)*AK46*Z46^2*1E-4/1000,N(U46)),0))</f>
        <v/>
      </c>
      <c r="BB46" s="63" t="str">
        <f>IF(V46&lt;&gt;"SÍ","",IF(C46&lt;&gt;"PERIMETRAL","—",IF(AND(N(T46)=0,N(U46)=0),"— (sin M⁻ del vecino)",IF(OR(AND(N(T46)&gt;0,ABS(MAX(AR46,AT46)*AK46*Z46^2*1E-4/1000-N(T46))&gt;0.5*MIN(MAX(AR46,AT46)*AK46*Z46^2*1E-4/1000,N(T46))),AND(N(U46)&gt;0,ABS(MAX(AS46,AU46)*AK46*Z46^2*1E-4/1000-N(U46))&gt;0.5*MIN(MAX(AS46,AU46)*AK46*Z46^2*1E-4/1000,N(U46)))),"FUERA: difieren &gt; 50 %"&amp;IF(AND(N(T46)&gt;0,ABS(MAX(AR46,AT46)*AK46*Z46^2*1E-4/1000-N(T46))&gt;0.5*MIN(MAX(AR46,AT46)*AK46*Z46^2*1E-4/1000,N(T46)))," ‖ corto","")&amp;IF(AND(N(U46)&gt;0,ABS(MAX(AS46,AU46)*AK46*Z46^2*1E-4/1000-N(U46))&gt;0.5*MIN(MAX(AS46,AU46)*AK46*Z46^2*1E-4/1000,N(U46)))," ‖ largo",""),"CUMPLE"))))</f>
        <v/>
      </c>
      <c r="BC46" s="58" t="str">
        <f>IF(V46&lt;&gt;"SÍ","",DATOS!$C$136*100*W46)</f>
        <v/>
      </c>
      <c r="BD46" s="57" t="str">
        <f>IF(V46&lt;&gt;"SÍ","",MIN(IF(C46="VOLADO",DATOS!$C$138,DATOS!$C$137)*W46,DATOS!$C$139))</f>
        <v/>
      </c>
      <c r="BE46" s="58" t="str">
        <f>IF(V46&lt;&gt;"SÍ","",(W46-AE46-INDEX(TABLAS!$C$52:$C$58,MATCH(IF(ISNUMBER(S46),S46,DATOS!$C$135),TABLAS!$B$52:$B$58,0))/2))</f>
        <v/>
      </c>
      <c r="BF46" s="58" t="str">
        <f>IF(V46&lt;&gt;"SÍ","",IF(AX46&lt;=0,0,IF((1-2*AX46*1E5/(DATOS!$C$29*100*BE46^2*DATOS!$C$21))&lt;0,-1,IF((1-SQRT((1-2*AX46*1E5/(DATOS!$C$29*100*BE46^2*DATOS!$C$21))))*DATOS!$C$21*100*BE46/DATOS!$C$14&gt;DATOS!$C$99*100*BE46,-1,(1-SQRT((1-2*AX46*1E5/(DATOS!$C$29*100*BE46^2*DATOS!$C$21))))*DATOS!$C$21*100*BE46/DATOS!$C$14))))</f>
        <v/>
      </c>
      <c r="BG46" s="58" t="str">
        <f>IF(V46&lt;&gt;"SÍ","",IF(BF46&lt;0,-1,MAX(BF46,BC46)))</f>
        <v/>
      </c>
      <c r="BH46" s="64" t="str">
        <f>IF(V46&lt;&gt;"SÍ","",IF(AND(BG46&gt;0,FLOOR(MIN(BD46,100*INDEX(TABLAS!$D$52:$D$58,MIN(MATCH(IF(ISNUMBER(S46),S46,DATOS!$C$135),TABLAS!$B$52:$B$58,0)+0,7))/MAX(BG46,0.0001)),DATOS!$C$141)&gt;=DATOS!$C$140),INDEX(TABLAS!$B$52:$B$58,MIN(MATCH(IF(ISNUMBER(S46),S46,DATOS!$C$135),TABLAS!$B$52:$B$58,0)+0,7)),IF(AND(BG46&gt;0,FLOOR(MIN(BD46,100*INDEX(TABLAS!$D$52:$D$58,MIN(MATCH(IF(ISNUMBER(S46),S46,DATOS!$C$135),TABLAS!$B$52:$B$58,0)+1,7))/MAX(BG46,0.0001)),DATOS!$C$141)&gt;=DATOS!$C$140),INDEX(TABLAS!$B$52:$B$58,MIN(MATCH(IF(ISNUMBER(S46),S46,DATOS!$C$135),TABLAS!$B$52:$B$58,0)+1,7)),IF(AND(BG46&gt;0,FLOOR(MIN(BD46,100*INDEX(TABLAS!$D$52:$D$58,MIN(MATCH(IF(ISNUMBER(S46),S46,DATOS!$C$135),TABLAS!$B$52:$B$58,0)+2,7))/MAX(BG46,0.0001)),DATOS!$C$141)&gt;=DATOS!$C$140),INDEX(TABLAS!$B$52:$B$58,MIN(MATCH(IF(ISNUMBER(S46),S46,DATOS!$C$135),TABLAS!$B$52:$B$58,0)+2,7)),IF(AND(BG46&gt;0,FLOOR(MIN(BD46,100*INDEX(TABLAS!$D$52:$D$58,MIN(MATCH(IF(ISNUMBER(S46),S46,DATOS!$C$135),TABLAS!$B$52:$B$58,0)+3,7))/MAX(BG46,0.0001)),DATOS!$C$141)&gt;=DATOS!$C$140),INDEX(TABLAS!$B$52:$B$58,MIN(MATCH(IF(ISNUMBER(S46),S46,DATOS!$C$135),TABLAS!$B$52:$B$58,0)+3,7)),IF(AND(BG46&gt;0,FLOOR(MIN(BD46,100*INDEX(TABLAS!$D$52:$D$58,MIN(MATCH(IF(ISNUMBER(S46),S46,DATOS!$C$135),TABLAS!$B$52:$B$58,0)+4,7))/MAX(BG46,0.0001)),DATOS!$C$141)&gt;=DATOS!$C$140),INDEX(TABLAS!$B$52:$B$58,MIN(MATCH(IF(ISNUMBER(S46),S46,DATOS!$C$135),TABLAS!$B$52:$B$58,0)+4,7)),INDEX(TABLAS!$B$52:$B$58,7)))))))</f>
        <v/>
      </c>
      <c r="BI46" s="71" t="str">
        <f>IF(V46&lt;&gt;"SÍ","",IF(BG46&lt;=0,0,FLOOR(MIN(BD46,100*INDEX(TABLAS!$D$52:$D$58,MATCH(BH46,TABLAS!$B$52:$B$58,0))/BG46),DATOS!$C$141)))</f>
        <v/>
      </c>
      <c r="BJ46" s="58" t="str">
        <f>IF(V46&lt;&gt;"SÍ","",IF(BI46&lt;=0,0,INDEX(TABLAS!$D$52:$D$58,MATCH(BH46,TABLAS!$B$52:$B$58,0))*100/BI46))</f>
        <v/>
      </c>
      <c r="BK46" s="58" t="str">
        <f>IF(V46&lt;&gt;"SÍ","",W46-AE46-INDEX(TABLAS!$C$52:$C$58,MATCH(BH46,TABLAS!$B$52:$B$58,0))/2)</f>
        <v/>
      </c>
      <c r="BL46" s="56" t="str">
        <f>IF(V46&lt;&gt;"SÍ","",IF(BJ46=0,0,DATOS!$C$29*BJ46*DATOS!$C$14*(BK46-BJ46*DATOS!$C$14/(DATOS!$C$21*100)/2)/1E5))</f>
        <v/>
      </c>
      <c r="BM46" s="65" t="str">
        <f>IF(V46&lt;&gt;"SÍ","",IF(BG46&lt;0,9.99,IF(BL46&gt;0,AX46/BL46,0)))</f>
        <v/>
      </c>
      <c r="BN46" s="66" t="str">
        <f>IF(V46&lt;&gt;"SÍ","",IF(BJ46=0,"—",0.003*(BK46-(BJ46*DATOS!$C$14/(DATOS!$C$21*100)/DATOS!$C$22))/(BJ46*DATOS!$C$14/(DATOS!$C$21*100)/DATOS!$C$22)))</f>
        <v/>
      </c>
      <c r="BO46" s="58" t="str">
        <f>IF(V46&lt;&gt;"SÍ","",((W46-AF46-INDEX(TABLAS!$C$52:$C$58,MATCH(IF(ISNUMBER(S46),S46,DATOS!$C$135),TABLAS!$B$52:$B$58,0))/2)-IF(AND((W46-AF46-INDEX(TABLAS!$C$52:$C$58,MATCH(IF(ISNUMBER(S46),S46,DATOS!$C$135),TABLAS!$B$52:$B$58,0))/2)&lt;=20,DATOS!$C$62&lt;&gt;"SÍ"),2,0)))</f>
        <v/>
      </c>
      <c r="BP46" s="58" t="str">
        <f>IF(V46&lt;&gt;"SÍ","",IF(AY46&lt;=0,0,IF((1-2*AY46*1E5/(DATOS!$C$29*100*BO46^2*DATOS!$C$21))&lt;0,-1,IF((1-SQRT((1-2*AY46*1E5/(DATOS!$C$29*100*BO46^2*DATOS!$C$21))))*DATOS!$C$21*100*BO46/DATOS!$C$14&gt;DATOS!$C$99*100*BO46,-1,(1-SQRT((1-2*AY46*1E5/(DATOS!$C$29*100*BO46^2*DATOS!$C$21))))*DATOS!$C$21*100*BO46/DATOS!$C$14))))</f>
        <v/>
      </c>
      <c r="BQ46" s="58" t="str">
        <f>IF(V46&lt;&gt;"SÍ","",IF(BP46&lt;0,-1,MAX(BP46,BC46)))</f>
        <v/>
      </c>
      <c r="BR46" s="64" t="str">
        <f>IF(V46&lt;&gt;"SÍ","",IF(AND(BQ46&gt;0,FLOOR(MIN(BD46,100*INDEX(TABLAS!$D$52:$D$58,MIN(MATCH(IF(ISNUMBER(S46),S46,DATOS!$C$135),TABLAS!$B$52:$B$58,0)+0,7))/MAX(BQ46,0.0001)),DATOS!$C$141)&gt;=DATOS!$C$140),INDEX(TABLAS!$B$52:$B$58,MIN(MATCH(IF(ISNUMBER(S46),S46,DATOS!$C$135),TABLAS!$B$52:$B$58,0)+0,7)),IF(AND(BQ46&gt;0,FLOOR(MIN(BD46,100*INDEX(TABLAS!$D$52:$D$58,MIN(MATCH(IF(ISNUMBER(S46),S46,DATOS!$C$135),TABLAS!$B$52:$B$58,0)+1,7))/MAX(BQ46,0.0001)),DATOS!$C$141)&gt;=DATOS!$C$140),INDEX(TABLAS!$B$52:$B$58,MIN(MATCH(IF(ISNUMBER(S46),S46,DATOS!$C$135),TABLAS!$B$52:$B$58,0)+1,7)),IF(AND(BQ46&gt;0,FLOOR(MIN(BD46,100*INDEX(TABLAS!$D$52:$D$58,MIN(MATCH(IF(ISNUMBER(S46),S46,DATOS!$C$135),TABLAS!$B$52:$B$58,0)+2,7))/MAX(BQ46,0.0001)),DATOS!$C$141)&gt;=DATOS!$C$140),INDEX(TABLAS!$B$52:$B$58,MIN(MATCH(IF(ISNUMBER(S46),S46,DATOS!$C$135),TABLAS!$B$52:$B$58,0)+2,7)),IF(AND(BQ46&gt;0,FLOOR(MIN(BD46,100*INDEX(TABLAS!$D$52:$D$58,MIN(MATCH(IF(ISNUMBER(S46),S46,DATOS!$C$135),TABLAS!$B$52:$B$58,0)+3,7))/MAX(BQ46,0.0001)),DATOS!$C$141)&gt;=DATOS!$C$140),INDEX(TABLAS!$B$52:$B$58,MIN(MATCH(IF(ISNUMBER(S46),S46,DATOS!$C$135),TABLAS!$B$52:$B$58,0)+3,7)),IF(AND(BQ46&gt;0,FLOOR(MIN(BD46,100*INDEX(TABLAS!$D$52:$D$58,MIN(MATCH(IF(ISNUMBER(S46),S46,DATOS!$C$135),TABLAS!$B$52:$B$58,0)+4,7))/MAX(BQ46,0.0001)),DATOS!$C$141)&gt;=DATOS!$C$140),INDEX(TABLAS!$B$52:$B$58,MIN(MATCH(IF(ISNUMBER(S46),S46,DATOS!$C$135),TABLAS!$B$52:$B$58,0)+4,7)),INDEX(TABLAS!$B$52:$B$58,7)))))))</f>
        <v/>
      </c>
      <c r="BS46" s="71" t="str">
        <f>IF(V46&lt;&gt;"SÍ","",IF(BQ46&lt;=0,0,FLOOR(MIN(BD46,100*INDEX(TABLAS!$D$52:$D$58,MATCH(BR46,TABLAS!$B$52:$B$58,0))/BQ46),DATOS!$C$141)))</f>
        <v/>
      </c>
      <c r="BT46" s="58" t="str">
        <f>IF(V46&lt;&gt;"SÍ","",IF(BS46&lt;=0,0,INDEX(TABLAS!$D$52:$D$58,MATCH(BR46,TABLAS!$B$52:$B$58,0))*100/BS46))</f>
        <v/>
      </c>
      <c r="BU46" s="58" t="str">
        <f>IF(V46&lt;&gt;"SÍ","",((W46-AF46-INDEX(TABLAS!$C$52:$C$58,MATCH(BR46,TABLAS!$B$52:$B$58,0))/2)-IF(AND((W46-AF46-INDEX(TABLAS!$C$52:$C$58,MATCH(BR46,TABLAS!$B$52:$B$58,0))/2)&lt;=20,DATOS!$C$62&lt;&gt;"SÍ"),2,0)))</f>
        <v/>
      </c>
      <c r="BV46" s="56" t="str">
        <f>IF(V46&lt;&gt;"SÍ","",IF(BT46=0,0,DATOS!$C$29*BT46*DATOS!$C$14*(BU46-BT46*DATOS!$C$14/(DATOS!$C$21*100)/2)/1E5))</f>
        <v/>
      </c>
      <c r="BW46" s="65" t="str">
        <f>IF(V46&lt;&gt;"SÍ","",IF(BQ46&lt;0,9.99,IF(BV46&gt;0,AY46/BV46,0)))</f>
        <v/>
      </c>
      <c r="BX46" s="66" t="str">
        <f>IF(V46&lt;&gt;"SÍ","",IF(BT46=0,"—",0.003*(BU46-(BT46*DATOS!$C$14/(DATOS!$C$21*100)/DATOS!$C$22))/(BT46*DATOS!$C$14/(DATOS!$C$21*100)/DATOS!$C$22)))</f>
        <v/>
      </c>
      <c r="BY46" s="58" t="str">
        <f>IF(V46&lt;&gt;"SÍ","",(W46-AE46-1.5*INDEX(TABLAS!$C$52:$C$58,MATCH(IF(ISNUMBER(S46),S46,DATOS!$C$135),TABLAS!$B$52:$B$58,0))))</f>
        <v/>
      </c>
      <c r="BZ46" s="58" t="str">
        <f>IF(V46&lt;&gt;"SÍ","",IF(AZ46&lt;=0,0,IF((1-2*AZ46*1E5/(DATOS!$C$29*100*BY46^2*DATOS!$C$21))&lt;0,-1,IF((1-SQRT((1-2*AZ46*1E5/(DATOS!$C$29*100*BY46^2*DATOS!$C$21))))*DATOS!$C$21*100*BY46/DATOS!$C$14&gt;DATOS!$C$99*100*BY46,-1,(1-SQRT((1-2*AZ46*1E5/(DATOS!$C$29*100*BY46^2*DATOS!$C$21))))*DATOS!$C$21*100*BY46/DATOS!$C$14))))</f>
        <v/>
      </c>
      <c r="CA46" s="58" t="str">
        <f>IF(V46&lt;&gt;"SÍ","",IF(BZ46&lt;0,-1,MAX(BZ46,BC46)))</f>
        <v/>
      </c>
      <c r="CB46" s="64" t="str">
        <f>IF(V46&lt;&gt;"SÍ","",IF(AND(CA46&gt;0,FLOOR(MIN(BD46,100*INDEX(TABLAS!$D$52:$D$58,MIN(MATCH(IF(ISNUMBER(S46),S46,DATOS!$C$135),TABLAS!$B$52:$B$58,0)+0,7))/MAX(CA46,0.0001)),DATOS!$C$141)&gt;=DATOS!$C$140),INDEX(TABLAS!$B$52:$B$58,MIN(MATCH(IF(ISNUMBER(S46),S46,DATOS!$C$135),TABLAS!$B$52:$B$58,0)+0,7)),IF(AND(CA46&gt;0,FLOOR(MIN(BD46,100*INDEX(TABLAS!$D$52:$D$58,MIN(MATCH(IF(ISNUMBER(S46),S46,DATOS!$C$135),TABLAS!$B$52:$B$58,0)+1,7))/MAX(CA46,0.0001)),DATOS!$C$141)&gt;=DATOS!$C$140),INDEX(TABLAS!$B$52:$B$58,MIN(MATCH(IF(ISNUMBER(S46),S46,DATOS!$C$135),TABLAS!$B$52:$B$58,0)+1,7)),IF(AND(CA46&gt;0,FLOOR(MIN(BD46,100*INDEX(TABLAS!$D$52:$D$58,MIN(MATCH(IF(ISNUMBER(S46),S46,DATOS!$C$135),TABLAS!$B$52:$B$58,0)+2,7))/MAX(CA46,0.0001)),DATOS!$C$141)&gt;=DATOS!$C$140),INDEX(TABLAS!$B$52:$B$58,MIN(MATCH(IF(ISNUMBER(S46),S46,DATOS!$C$135),TABLAS!$B$52:$B$58,0)+2,7)),IF(AND(CA46&gt;0,FLOOR(MIN(BD46,100*INDEX(TABLAS!$D$52:$D$58,MIN(MATCH(IF(ISNUMBER(S46),S46,DATOS!$C$135),TABLAS!$B$52:$B$58,0)+3,7))/MAX(CA46,0.0001)),DATOS!$C$141)&gt;=DATOS!$C$140),INDEX(TABLAS!$B$52:$B$58,MIN(MATCH(IF(ISNUMBER(S46),S46,DATOS!$C$135),TABLAS!$B$52:$B$58,0)+3,7)),IF(AND(CA46&gt;0,FLOOR(MIN(BD46,100*INDEX(TABLAS!$D$52:$D$58,MIN(MATCH(IF(ISNUMBER(S46),S46,DATOS!$C$135),TABLAS!$B$52:$B$58,0)+4,7))/MAX(CA46,0.0001)),DATOS!$C$141)&gt;=DATOS!$C$140),INDEX(TABLAS!$B$52:$B$58,MIN(MATCH(IF(ISNUMBER(S46),S46,DATOS!$C$135),TABLAS!$B$52:$B$58,0)+4,7)),INDEX(TABLAS!$B$52:$B$58,7)))))))</f>
        <v/>
      </c>
      <c r="CC46" s="71" t="str">
        <f>IF(V46&lt;&gt;"SÍ","",IF(CA46&lt;=0,0,FLOOR(MIN(BD46,100*INDEX(TABLAS!$D$52:$D$58,MATCH(CB46,TABLAS!$B$52:$B$58,0))/CA46),DATOS!$C$141)))</f>
        <v/>
      </c>
      <c r="CD46" s="58" t="str">
        <f>IF(V46&lt;&gt;"SÍ","",IF(CC46&lt;=0,0,INDEX(TABLAS!$D$52:$D$58,MATCH(CB46,TABLAS!$B$52:$B$58,0))*100/CC46))</f>
        <v/>
      </c>
      <c r="CE46" s="58" t="str">
        <f>IF(V46&lt;&gt;"SÍ","",W46-AE46-INDEX(TABLAS!$C$52:$C$58,MATCH(BH46,TABLAS!$B$52:$B$58,0))-INDEX(TABLAS!$C$52:$C$58,MATCH(CB46,TABLAS!$B$52:$B$58,0))/2)</f>
        <v/>
      </c>
      <c r="CF46" s="56" t="str">
        <f>IF(V46&lt;&gt;"SÍ","",IF(CD46=0,0,DATOS!$C$29*CD46*DATOS!$C$14*(CE46-CD46*DATOS!$C$14/(DATOS!$C$21*100)/2)/1E5))</f>
        <v/>
      </c>
      <c r="CG46" s="65" t="str">
        <f>IF(V46&lt;&gt;"SÍ","",IF(CA46&lt;0,9.99,IF(CF46&gt;0,AZ46/CF46,0)))</f>
        <v/>
      </c>
      <c r="CH46" s="66" t="str">
        <f>IF(V46&lt;&gt;"SÍ","",IF(CD46=0,"—",0.003*(CE46-(CD46*DATOS!$C$14/(DATOS!$C$21*100)/DATOS!$C$22))/(CD46*DATOS!$C$14/(DATOS!$C$21*100)/DATOS!$C$22)))</f>
        <v/>
      </c>
      <c r="CI46" s="58" t="str">
        <f>IF(V46&lt;&gt;"SÍ","",((W46-AF46-1.5*INDEX(TABLAS!$C$52:$C$58,MATCH(IF(ISNUMBER(S46),S46,DATOS!$C$135),TABLAS!$B$52:$B$58,0)))-IF(AND((W46-AF46-1.5*INDEX(TABLAS!$C$52:$C$58,MATCH(IF(ISNUMBER(S46),S46,DATOS!$C$135),TABLAS!$B$52:$B$58,0)))&lt;=20,DATOS!$C$62&lt;&gt;"SÍ"),2,0)))</f>
        <v/>
      </c>
      <c r="CJ46" s="58" t="str">
        <f>IF(V46&lt;&gt;"SÍ","",IF(BA46&lt;=0,0,IF((1-2*BA46*1E5/(DATOS!$C$29*100*CI46^2*DATOS!$C$21))&lt;0,-1,IF((1-SQRT((1-2*BA46*1E5/(DATOS!$C$29*100*CI46^2*DATOS!$C$21))))*DATOS!$C$21*100*CI46/DATOS!$C$14&gt;DATOS!$C$99*100*CI46,-1,(1-SQRT((1-2*BA46*1E5/(DATOS!$C$29*100*CI46^2*DATOS!$C$21))))*DATOS!$C$21*100*CI46/DATOS!$C$14))))</f>
        <v/>
      </c>
      <c r="CK46" s="58" t="str">
        <f>IF(V46&lt;&gt;"SÍ","",IF(CJ46&lt;0,-1,MAX(CJ46,BC46)))</f>
        <v/>
      </c>
      <c r="CL46" s="64" t="str">
        <f>IF(V46&lt;&gt;"SÍ","",IF(AND(CK46&gt;0,FLOOR(MIN(BD46,100*INDEX(TABLAS!$D$52:$D$58,MIN(MATCH(IF(ISNUMBER(S46),S46,DATOS!$C$135),TABLAS!$B$52:$B$58,0)+0,7))/MAX(CK46,0.0001)),DATOS!$C$141)&gt;=DATOS!$C$140),INDEX(TABLAS!$B$52:$B$58,MIN(MATCH(IF(ISNUMBER(S46),S46,DATOS!$C$135),TABLAS!$B$52:$B$58,0)+0,7)),IF(AND(CK46&gt;0,FLOOR(MIN(BD46,100*INDEX(TABLAS!$D$52:$D$58,MIN(MATCH(IF(ISNUMBER(S46),S46,DATOS!$C$135),TABLAS!$B$52:$B$58,0)+1,7))/MAX(CK46,0.0001)),DATOS!$C$141)&gt;=DATOS!$C$140),INDEX(TABLAS!$B$52:$B$58,MIN(MATCH(IF(ISNUMBER(S46),S46,DATOS!$C$135),TABLAS!$B$52:$B$58,0)+1,7)),IF(AND(CK46&gt;0,FLOOR(MIN(BD46,100*INDEX(TABLAS!$D$52:$D$58,MIN(MATCH(IF(ISNUMBER(S46),S46,DATOS!$C$135),TABLAS!$B$52:$B$58,0)+2,7))/MAX(CK46,0.0001)),DATOS!$C$141)&gt;=DATOS!$C$140),INDEX(TABLAS!$B$52:$B$58,MIN(MATCH(IF(ISNUMBER(S46),S46,DATOS!$C$135),TABLAS!$B$52:$B$58,0)+2,7)),IF(AND(CK46&gt;0,FLOOR(MIN(BD46,100*INDEX(TABLAS!$D$52:$D$58,MIN(MATCH(IF(ISNUMBER(S46),S46,DATOS!$C$135),TABLAS!$B$52:$B$58,0)+3,7))/MAX(CK46,0.0001)),DATOS!$C$141)&gt;=DATOS!$C$140),INDEX(TABLAS!$B$52:$B$58,MIN(MATCH(IF(ISNUMBER(S46),S46,DATOS!$C$135),TABLAS!$B$52:$B$58,0)+3,7)),IF(AND(CK46&gt;0,FLOOR(MIN(BD46,100*INDEX(TABLAS!$D$52:$D$58,MIN(MATCH(IF(ISNUMBER(S46),S46,DATOS!$C$135),TABLAS!$B$52:$B$58,0)+4,7))/MAX(CK46,0.0001)),DATOS!$C$141)&gt;=DATOS!$C$140),INDEX(TABLAS!$B$52:$B$58,MIN(MATCH(IF(ISNUMBER(S46),S46,DATOS!$C$135),TABLAS!$B$52:$B$58,0)+4,7)),INDEX(TABLAS!$B$52:$B$58,7)))))))</f>
        <v/>
      </c>
      <c r="CM46" s="71" t="str">
        <f>IF(V46&lt;&gt;"SÍ","",IF(CK46&lt;=0,0,FLOOR(MIN(BD46,100*INDEX(TABLAS!$D$52:$D$58,MATCH(CL46,TABLAS!$B$52:$B$58,0))/CK46),DATOS!$C$141)))</f>
        <v/>
      </c>
      <c r="CN46" s="58" t="str">
        <f>IF(V46&lt;&gt;"SÍ","",IF(CM46&lt;=0,0,INDEX(TABLAS!$D$52:$D$58,MATCH(CL46,TABLAS!$B$52:$B$58,0))*100/CM46))</f>
        <v/>
      </c>
      <c r="CO46" s="58" t="str">
        <f>IF(V46&lt;&gt;"SÍ","",((W46-AF46-INDEX(TABLAS!$C$52:$C$58,MATCH(BR46,TABLAS!$B$52:$B$58,0))-INDEX(TABLAS!$C$52:$C$58,MATCH(CL46,TABLAS!$B$52:$B$58,0))/2)-IF(AND((W46-AF46-INDEX(TABLAS!$C$52:$C$58,MATCH(BR46,TABLAS!$B$52:$B$58,0))-INDEX(TABLAS!$C$52:$C$58,MATCH(CL46,TABLAS!$B$52:$B$58,0))/2)&lt;=20,DATOS!$C$62&lt;&gt;"SÍ"),2,0)))</f>
        <v/>
      </c>
      <c r="CP46" s="56" t="str">
        <f>IF(V46&lt;&gt;"SÍ","",IF(CN46=0,0,DATOS!$C$29*CN46*DATOS!$C$14*(CO46-CN46*DATOS!$C$14/(DATOS!$C$21*100)/2)/1E5))</f>
        <v/>
      </c>
      <c r="CQ46" s="65" t="str">
        <f>IF(V46&lt;&gt;"SÍ","",IF(CK46&lt;0,9.99,IF(CP46&gt;0,BA46/CP46,0)))</f>
        <v/>
      </c>
      <c r="CR46" s="66" t="str">
        <f>IF(V46&lt;&gt;"SÍ","",IF(CN46=0,"—",0.003*(CO46-(CN46*DATOS!$C$14/(DATOS!$C$21*100)/DATOS!$C$22))/(CN46*DATOS!$C$14/(DATOS!$C$21*100)/DATOS!$C$22)))</f>
        <v/>
      </c>
      <c r="CS46" s="56" t="str">
        <f>IF(V46&lt;&gt;"SÍ","",IF(C46="PERIMETRAL",MAX(0,(AC46/2-BU46)/100)*(0.95-0.5*AB46)*AK46*IF(AND(AL46&gt;0,AL46&lt;4),DATOS!$C$33,1)/1000,(AK46*MAX(0,AC46-BU46)/100+DATOS!$C$26*N(P46))/1000))</f>
        <v/>
      </c>
      <c r="CT46" s="66" t="str">
        <f>IF(V46&lt;&gt;"SÍ","",BT46/(100*BU46))</f>
        <v/>
      </c>
      <c r="CU46" s="56" t="str">
        <f>IF(V46&lt;&gt;"SÍ","",DATOS!$C$30*2*MIN(1,SQRT(2/(1+0.04*BU46)))*CT46^(1/3)*SQRT(DATOS!$C$13)*100*BU46/1000)</f>
        <v/>
      </c>
      <c r="CV46" s="67" t="str">
        <f>IF(V46&lt;&gt;"SÍ","",IF(CS46&lt;=CU46,"CUMPLE","NO CUMPLE: sube h"))</f>
        <v/>
      </c>
      <c r="CW46" s="58" t="str">
        <f>IF(V46&lt;&gt;"SÍ","",IF(C46="PERIMETRAL",IF(ISNUMBER(R46),R46,DATOS!$C$101),0))</f>
        <v/>
      </c>
      <c r="CX46" s="57" t="str">
        <f>IF(V46&lt;&gt;"SÍ","",IF(C46="PERIMETRAL",IF(CW46&gt;2,MAX(9,AD46*(0.8+DATOS!$C$14/14000)/(36+9*(AD46/MAX(AC46,1)))),IF(CW46&gt;0.2,MAX(13,AD46*(0.8+DATOS!$C$14/14000)/(36+5*(AD46/MAX(AC46,1))*(CW46-0.2))),MAX(13,AD46/IF(AL46&gt;0,30,33))))*IF(AND(CW46&gt;0.2,AL46&gt;0,DATOS!$C$102="NO"),1.1,1),Z46*100/DATOS!$C$142))</f>
        <v/>
      </c>
      <c r="CY46" s="61" t="str">
        <f>IF(V46&lt;&gt;"SÍ","",IF(W46&gt;=CX46-0.001,"CUMPLE",IF(C46="VOLADO","NO CUMPLE","CALCULAR FLECHA")))</f>
        <v/>
      </c>
      <c r="CZ46" s="60" t="str">
        <f>IF(V46&lt;&gt;"SÍ","",IF(C46="VOLADO",MIN(CEILING(IF(ISNUMBER(Q46),Q46,Z46)*100,5),CEILING(MAX(IF((0.5*(0.9*W46/100*DATOS!$C$16)*IF(ISNUMBER(Q46),Q46,Z46)+AY46/IF(ISNUMBER(Q46),Q46,Z46))^2-4*(0.5*(0.9*W46/100*DATOS!$C$16))*AY46&lt;0,IF(ISNUMBER(Q46),Q46,Z46),MIN(IF(ISNUMBER(Q46),Q46,Z46),((0.5*(0.9*W46/100*DATOS!$C$16)*IF(ISNUMBER(Q46),Q46,Z46)+AY46/IF(ISNUMBER(Q46),Q46,Z46))-SQRT((0.5*(0.9*W46/100*DATOS!$C$16)*IF(ISNUMBER(Q46),Q46,Z46)+AY46/IF(ISNUMBER(Q46),Q46,Z46))^2-4*(0.5*(0.9*W46/100*DATOS!$C$16))*AY46))/(2*(0.5*(0.9*W46/100*DATOS!$C$16)))))*100+MAX(BU46,12*INDEX(TABLAS!$C$52:$C$58,MATCH(BR46,TABLAS!$B$52:$B$58,0)),IF(ISNUMBER(Q46),Q46,Z46)*100/16),IF(OR(AF46&lt;INDEX(TABLAS!$C$52:$C$58,MATCH(BR46,TABLAS!$B$52:$B$58,0)),BS46-INDEX(TABLAS!$C$52:$C$58,MATCH(BR46,TABLAS!$B$52:$B$58,0))&lt;2*INDEX(TABLAS!$C$52:$C$58,MATCH(BR46,TABLAS!$B$52:$B$58,0))),INDEX(TABLAS!$I$52:$I$58,MATCH(BR46,TABLAS!$B$52:$B$58,0)),INDEX(TABLAS!$F$52:$F$58,MATCH(BR46,TABLAS!$B$52:$B$58,0)))),5)),IF(((4*((AV46*AK46*Z46^2*1E-4/1000)+((MAX(AR46,AT46)*AK46*Z46^2*1E-4/1000)+(IF(AND(AR46&gt;0,AT46&gt;0),MIN(AR46,AT46),MAX(AR46,AT46))*AK46*Z46^2*1E-4/1000))/2)+AY46-(IF(AND(AR46&gt;0,AT46&gt;0),MIN(AR46,AT46),MAX(AR46,AT46))*AK46*Z46^2*1E-4/1000))^2-16*((AV46*AK46*Z46^2*1E-4/1000)+((MAX(AR46,AT46)*AK46*Z46^2*1E-4/1000)+(IF(AND(AR46&gt;0,AT46&gt;0),MIN(AR46,AT46),MAX(AR46,AT46))*AK46*Z46^2*1E-4/1000))/2)*AY46)&lt;0,CEILING(AC46,5),CEILING(MAX(AC46*((4*((AV46*AK46*Z46^2*1E-4/1000)+((MAX(AR46,AT46)*AK46*Z46^2*1E-4/1000)+(IF(AND(AR46&gt;0,AT46&gt;0),MIN(AR46,AT46),MAX(AR46,AT46))*AK46*Z46^2*1E-4/1000))/2)+AY46-(IF(AND(AR46&gt;0,AT46&gt;0),MIN(AR46,AT46),MAX(AR46,AT46))*AK46*Z46^2*1E-4/1000))-SQRT(MAX(0,((4*((AV46*AK46*Z46^2*1E-4/1000)+((MAX(AR46,AT46)*AK46*Z46^2*1E-4/1000)+(IF(AND(AR46&gt;0,AT46&gt;0),MIN(AR46,AT46),MAX(AR46,AT46))*AK46*Z46^2*1E-4/1000))/2)+AY46-(IF(AND(AR46&gt;0,AT46&gt;0),MIN(AR46,AT46),MAX(AR46,AT46))*AK46*Z46^2*1E-4/1000))^2-16*((AV46*AK46*Z46^2*1E-4/1000)+((MAX(AR46,AT46)*AK46*Z46^2*1E-4/1000)+(IF(AND(AR46&gt;0,AT46&gt;0),MIN(AR46,AT46),MAX(AR46,AT46))*AK46*Z46^2*1E-4/1000))/2)*AY46))))/(8*MAX(((AV46*AK46*Z46^2*1E-4/1000)+((MAX(AR46,AT46)*AK46*Z46^2*1E-4/1000)+(IF(AND(AR46&gt;0,AT46&gt;0),MIN(AR46,AT46),MAX(AR46,AT46))*AK46*Z46^2*1E-4/1000))/2),1E-9))+MAX(BU46,12*INDEX(TABLAS!$C$52:$C$58,MATCH(BR46,TABLAS!$B$52:$B$58,0)),AC46/16),IF(OR(AF46&lt;INDEX(TABLAS!$C$52:$C$58,MATCH(BR46,TABLAS!$B$52:$B$58,0)),BS46-INDEX(TABLAS!$C$52:$C$58,MATCH(BR46,TABLAS!$B$52:$B$58,0))&lt;2*INDEX(TABLAS!$C$52:$C$58,MATCH(BR46,TABLAS!$B$52:$B$58,0))),INDEX(TABLAS!$I$52:$I$58,MATCH(BR46,TABLAS!$B$52:$B$58,0)),INDEX(TABLAS!$F$52:$F$58,MATCH(BR46,TABLAS!$B$52:$B$58,0)))),5))))</f>
        <v/>
      </c>
      <c r="DA46" s="60" t="str">
        <f>IF(V46&lt;&gt;"SÍ","",IF(C46="VOLADO",0,IF(((4*((AW46*AK46*Z46^2*1E-4/1000)+((MAX(AS46,AU46)*AK46*Z46^2*1E-4/1000)+(IF(AND(AS46&gt;0,AU46&gt;0),MIN(AS46,AU46),MAX(AS46,AU46))*AK46*Z46^2*1E-4/1000))/2)+BA46-(IF(AND(AS46&gt;0,AU46&gt;0),MIN(AS46,AU46),MAX(AS46,AU46))*AK46*Z46^2*1E-4/1000))^2-16*((AW46*AK46*Z46^2*1E-4/1000)+((MAX(AS46,AU46)*AK46*Z46^2*1E-4/1000)+(IF(AND(AS46&gt;0,AU46&gt;0),MIN(AS46,AU46),MAX(AS46,AU46))*AK46*Z46^2*1E-4/1000))/2)*BA46)&lt;0,CEILING(AD46,5),CEILING(MAX(AD46*((4*((AW46*AK46*Z46^2*1E-4/1000)+((MAX(AS46,AU46)*AK46*Z46^2*1E-4/1000)+(IF(AND(AS46&gt;0,AU46&gt;0),MIN(AS46,AU46),MAX(AS46,AU46))*AK46*Z46^2*1E-4/1000))/2)+BA46-(IF(AND(AS46&gt;0,AU46&gt;0),MIN(AS46,AU46),MAX(AS46,AU46))*AK46*Z46^2*1E-4/1000))-SQRT(MAX(0,((4*((AW46*AK46*Z46^2*1E-4/1000)+((MAX(AS46,AU46)*AK46*Z46^2*1E-4/1000)+(IF(AND(AS46&gt;0,AU46&gt;0),MIN(AS46,AU46),MAX(AS46,AU46))*AK46*Z46^2*1E-4/1000))/2)+BA46-(IF(AND(AS46&gt;0,AU46&gt;0),MIN(AS46,AU46),MAX(AS46,AU46))*AK46*Z46^2*1E-4/1000))^2-16*((AW46*AK46*Z46^2*1E-4/1000)+((MAX(AS46,AU46)*AK46*Z46^2*1E-4/1000)+(IF(AND(AS46&gt;0,AU46&gt;0),MIN(AS46,AU46),MAX(AS46,AU46))*AK46*Z46^2*1E-4/1000))/2)*BA46))))/(8*MAX(((AW46*AK46*Z46^2*1E-4/1000)+((MAX(AS46,AU46)*AK46*Z46^2*1E-4/1000)+(IF(AND(AS46&gt;0,AU46&gt;0),MIN(AS46,AU46),MAX(AS46,AU46))*AK46*Z46^2*1E-4/1000))/2),1E-9))+MAX(CO46,12*INDEX(TABLAS!$C$52:$C$58,MATCH(CL46,TABLAS!$B$52:$B$58,0)),AD46/16),IF(OR(AF46&lt;INDEX(TABLAS!$C$52:$C$58,MATCH(CL46,TABLAS!$B$52:$B$58,0)),CM46-INDEX(TABLAS!$C$52:$C$58,MATCH(CL46,TABLAS!$B$52:$B$58,0))&lt;2*INDEX(TABLAS!$C$52:$C$58,MATCH(CL46,TABLAS!$B$52:$B$58,0))),INDEX(TABLAS!$I$52:$I$58,MATCH(CL46,TABLAS!$B$52:$B$58,0)),INDEX(TABLAS!$F$52:$F$58,MATCH(CL46,TABLAS!$B$52:$B$58,0)))),5))))</f>
        <v/>
      </c>
      <c r="DB46" s="55" t="str">
        <f>IF(V46&lt;&gt;"SÍ","",IF(AND(C46="PERIMETRAL",AL46-AM46&gt;0,AT46&gt;0),"SÍ","NO"))</f>
        <v/>
      </c>
      <c r="DC46" s="55" t="str">
        <f>IF(V46&lt;&gt;"SÍ","",IF(AND(C46="PERIMETRAL",AM46&gt;0,AU46&gt;0),"SÍ","NO"))</f>
        <v/>
      </c>
      <c r="DD46" s="63" t="str">
        <f>IF(V46&lt;&gt;"SÍ","",IF(OR(C46="VOLADO",AL46=0),"—",IF(AND(AND(INDEX(TABLAS!$G$52:$G$58,MATCH(MAX(BR46,CL46),TABLAS!$B$52:$B$58,0))&lt;=(DATOS!$C$72-DATOS!$C$60),(DATOS!$C$72-DATOS!$C$60)&gt;=15),8*INDEX(TABLAS!$C$52:$C$58,MATCH(MAX(BH46,CB46,BR46,CL46),TABLAS!$B$52:$B$58,0))&lt;=DATOS!$C$73-2*DATOS!$C$60),"CUMPLE (gancho de 180°)",IF(AND(INDEX(TABLAS!$G$52:$G$58,MATCH(MAX(BR46,CL46),TABLAS!$B$52:$B$58,0))&lt;=(DATOS!$C$72-DATOS!$C$60),(DATOS!$C$72-DATOS!$C$60)&gt;=15),"NO CUMPLE: el gancho de 180° (8·d_b) no cabe en el peralte de la dala de borde","NO CUMPLE: dala de borde ≥ "&amp;TEXT(CEILING(MAX(INDEX(TABLAS!$G$52:$G$58,MATCH(MAX(BR46,CL46),TABLAS!$B$52:$B$58,0)),15)+DATOS!$C$60,5),"0")&amp;" cm de ancho"&amp;IF(8*INDEX(TABLAS!$C$52:$C$58,MATCH(MAX(BH46,CB46,BR46,CL46),TABLAS!$B$52:$B$58,0))&lt;=DATOS!$C$73-2*DATOS!$C$60,""," y más peralte para el gancho")))))</f>
        <v/>
      </c>
      <c r="DE46" s="69" t="str">
        <f>IF(V46&lt;&gt;"SÍ","",IF(BI46=0,"NO ALCANZA","No. "&amp;BH46&amp;" @ "&amp;BI46&amp;" cm"&amp;IF(C46="VOLADO"," (temperatura)","")))</f>
        <v/>
      </c>
      <c r="DF46" s="69" t="str">
        <f>IF(V46&lt;&gt;"SÍ","",IF(BS46=0,"NO ALCANZA",IF(C46="VOLADO","No. "&amp;BR46&amp;" @ "&amp;BS46&amp;" cm"&amp;" de la orilla al respaldo ("&amp;IF(CZ46&gt;=100*IF(ISNUMBER(Q46),Q46,Z46),"hasta su apoyo lejano, con gancho","entran "&amp;TEXT(CZ46/100,"0.00")&amp;" m desde el paño")&amp;")","Bastones "&amp;"No. "&amp;BR46&amp;" @ "&amp;BS46&amp;" cm"&amp;", L = "&amp;TEXT(CZ46/100,"0.00")&amp;" m desde el paño")))</f>
        <v/>
      </c>
      <c r="DG46" s="69" t="str">
        <f>IF(V46&lt;&gt;"SÍ","",IF(CC46=0,"NO ALCANZA","No. "&amp;CB46&amp;" @ "&amp;CC46&amp;" cm"&amp;IF(C46="VOLADO"," (repartición)","")))</f>
        <v/>
      </c>
      <c r="DH46" s="69" t="str">
        <f>IF(V46&lt;&gt;"SÍ","",IF(CM46=0,"NO ALCANZA",IF(C46="VOLADO","No. "&amp;CL46&amp;" @ "&amp;CM46&amp;" cm"&amp;" (repartición)","Bastones "&amp;"No. "&amp;CL46&amp;" @ "&amp;CM46&amp;" cm"&amp;", L = "&amp;TEXT(DA46/100,"0.00")&amp;" m desde el paño")))</f>
        <v/>
      </c>
      <c r="DI46" s="67" t="str">
        <f>IF(B46="","",IF(V46&lt;&gt;"SÍ","FALTAN DATOS: tipo, a_x, a_y y destino",IF(L46="NO MONOLÍTICO (caso II)","FUERA DE ALCANCE: caso II no transcrito",IF(AND(C46="VOLADO",X46="?"),"REVISAR: el volado lleva UN solo borde CONTINUO (el empotrado)",IF(AND(MAX(BM46,BW46,CG46,CQ46)&lt;=1,NOT(OR(BI46&lt;DATOS!$C$140,BS46&lt;DATOS!$C$140,CC46&lt;DATOS!$C$140,CM46&lt;DATOS!$C$140)),NOT(OR(AND(ISNUMBER(BN46),BN46&lt;0.005),AND(ISNUMBER(BX46),BX46&lt;0.005),AND(ISNUMBER(CH46),CH46&lt;0.005),AND(ISNUMBER(CR46),CR46&lt;0.005))),CV46="CUMPLE",CY46="CUMPLE"),"CUMPLE"&amp;IF(LEFT(BB46,5)="FUERA"," · fuera de 3.4.2.1 c)","")&amp;IF(LEFT(DD46,2)="NO"," · REVISAR anclaje en borde discontinuo",""),IF(AND(MAX(BM46,BW46,CG46,CQ46)&lt;=1,NOT(OR(BI46&lt;DATOS!$C$140,BS46&lt;DATOS!$C$140,CC46&lt;DATOS!$C$140,CM46&lt;DATOS!$C$140)),NOT(OR(AND(ISNUMBER(BN46),BN46&lt;0.005),AND(ISNUMBER(BX46),BX46&lt;0.005),AND(ISNUMBER(CH46),CH46&lt;0.005),AND(ISNUMBER(CR46),CR46&lt;0.005))),CV46="CUMPLE",CY46="CALCULAR FLECHA"),"REVISAR: calcular flecha (h &lt; h mín.)"&amp;IF(LEFT(BB46,5)="FUERA"," · fuera de 3.4.2.1 c)","")&amp;IF(LEFT(DD46,2)="NO"," · REVISAR anclaje en borde discontinuo",""),"NO CUMPLE: "&amp;IF(MAX(BM46,BW46,CG46,CQ46)&gt;1,"flexión ","")&amp;IF(OR(BI46&lt;DATOS!$C$140,BS46&lt;DATOS!$C$140,CC46&lt;DATOS!$C$140,CM46&lt;DATOS!$C$140),"separación &lt; mínima ","")&amp;IF(OR(AND(ISNUMBER(BN46),BN46&lt;0.005),AND(ISNUMBER(BX46),BX46&lt;0.005),AND(ISNUMBER(CH46),CH46&lt;0.005),AND(ISNUMBER(CR46),CR46&lt;0.005)),"ε_t &lt; 0.005 ","")&amp;IF(CV46&lt;&gt;"CUMPLE","cortante ","")&amp;IF(CY46="NO CUMPLE","peralte","")))))))</f>
        <v/>
      </c>
      <c r="DJ46" s="70" t="str">
        <f>IF(V46&lt;&gt;"SÍ","",IF(LEFT(B46,7)="EJEMPLO","EJEMPLO de tablero típico: bórralo o sobrescríbelo. ","")&amp;IF(C46="VOLADO","Volado de "&amp;TEXT(Z46,"0.00")&amp;" m empotrado en el borde "&amp;LOWER(X46)&amp;IF(N(P46)&gt;0,", con "&amp;TEXT(P46,"0.0")&amp;" kg/m en la orilla","")&amp;". Lecho inferior con r_ext. Si la orilla carga pretil u otro elemento frágil, calcula la flecha (13.4). El acero superior entra al respaldo de "&amp;TEXT(IF(ISNUMBER(Q46),Q46,Z46),"0.00")&amp;" m"&amp;IF(ISNUMBER(Q46),""," (L_b no capturado: se tomó igual al volado)")&amp;" hasta pasar M = 0 con 0.9·PP sin carga viva; si ahí no se anula, llega al apoyo lejano y se ancla con gancho. ","")&amp;IF(LEFT(BB46,5)="FUERA","El M⁻ del vecino difiere más de 50 % (3.4.2.1 c): distribuye el desequilibrio (3.4.3.1) o confirma con un modelo; se arma con el mayor. ","")&amp;IF(OR(DB46="SÍ",DC46="SÍ"),"Bastones también en los bordes discontinuos (M⁻ de tabla), con gancho. ","")&amp;IF(LEFT(DD46,2)="NO","Anclaje: "&amp;DD46&amp;" (6.7.7.4.1.1). ","")&amp;IF(OR(AT46&gt;0,AU46&gt;0),"Esquinas exteriores sobre muro: refuerzo de esquina arriba y abajo en L_largo/5 (6.7.7.3.1). ",""))</f>
        <v/>
      </c>
    </row>
    <row r="47" ht="33" customHeight="1">
      <c r="A47" s="50">
        <f>IF(B47="",0,1)+A46</f>
        <v>3</v>
      </c>
      <c r="B47" s="29" t="n"/>
      <c r="C47" s="51" t="n"/>
      <c r="D47" s="29" t="n"/>
      <c r="E47" s="52" t="n"/>
      <c r="F47" s="52" t="n"/>
      <c r="G47" s="51" t="n"/>
      <c r="H47" s="51" t="n"/>
      <c r="I47" s="51" t="n"/>
      <c r="J47" s="51" t="n"/>
      <c r="K47" s="51" t="n"/>
      <c r="L47" s="51" t="n"/>
      <c r="M47" s="54" t="n"/>
      <c r="N47" s="53" t="n"/>
      <c r="O47" s="53" t="n"/>
      <c r="P47" s="54" t="n"/>
      <c r="Q47" s="52" t="n"/>
      <c r="R47" s="54" t="n"/>
      <c r="S47" s="53" t="n"/>
      <c r="T47" s="52" t="n"/>
      <c r="U47" s="52" t="n"/>
      <c r="V47" s="55" t="str">
        <f>IF(B47="","",IF(AND(OR(C47="PERIMETRAL",C47="VOLADO"),ISNUMBER(E47),ISNUMBER(F47),E47&gt;0,F47&gt;0,OR(ISNUMBER(O47),ISNUMBER(MATCH(D47,DATOS!$B$46:$B$55,0)))),"SÍ","NO"))</f>
        <v/>
      </c>
      <c r="W47" s="57" t="str">
        <f>IF(V47&lt;&gt;"SÍ","",IF(ISNUMBER(M47),M47,DATOS!$C$134))</f>
        <v/>
      </c>
      <c r="X47" s="55" t="str">
        <f>IF(V47&lt;&gt;"SÍ","",IF(C47&lt;&gt;"VOLADO","—",IF(COUNTIF(G47:J47,"CONTINUO")&lt;&gt;1,"?",IF(G47="CONTINUO","INFERIOR",IF(H47="CONTINUO","SUPERIOR",IF(I47="CONTINUO","IZQUIERDO","DERECHO"))))))</f>
        <v/>
      </c>
      <c r="Y47" s="55" t="str">
        <f>IF(V47&lt;&gt;"SÍ","",IF(C47="VOLADO",IF(OR(X47="IZQUIERDO",X47="DERECHO"),"X","Y"),IF(E47&lt;=F47,"X","Y")))</f>
        <v/>
      </c>
      <c r="Z47" s="56" t="str">
        <f>IF(V47&lt;&gt;"SÍ","",IF(C47="VOLADO",IF(Y47="X",E47,F47),MIN(E47,F47)))</f>
        <v/>
      </c>
      <c r="AA47" s="56" t="str">
        <f>IF(V47&lt;&gt;"SÍ","",IF(C47="VOLADO",IF(Y47="X",F47,E47),MAX(E47,F47)))</f>
        <v/>
      </c>
      <c r="AB47" s="56" t="str">
        <f>IF(V47&lt;&gt;"SÍ","",MIN(Z47,AA47)/MAX(Z47,AA47))</f>
        <v/>
      </c>
      <c r="AC47" s="57" t="str">
        <f>IF(V47&lt;&gt;"SÍ","",MAX(1,Z47*100-IF(C47="VOLADO",DATOS!$C$84/2,DATOS!$C$84)))</f>
        <v/>
      </c>
      <c r="AD47" s="57" t="str">
        <f>IF(V47&lt;&gt;"SÍ","",MAX(1,AA47*100-DATOS!$C$84))</f>
        <v/>
      </c>
      <c r="AE47" s="57" t="str">
        <f>IF(V47&lt;&gt;"SÍ","",IF(C47="VOLADO",DATOS!$C$61,DATOS!$C$59))</f>
        <v/>
      </c>
      <c r="AF47" s="57" t="str">
        <f>IF(V47&lt;&gt;"SÍ","",IF(OR(AND(AG47="SÍ",DATOS!$C$63="SÍ"),AND(C47="VOLADO",DATOS!$C$64="SÍ")),DATOS!$C$61,DATOS!$C$59))</f>
        <v/>
      </c>
      <c r="AG47" s="55" t="str">
        <f>IF(V47&lt;&gt;"SÍ","",IFERROR(INDEX(DATOS!$D$46:$D$55,MATCH(D47,DATOS!$B$46:$B$55,0)),"NO"))</f>
        <v/>
      </c>
      <c r="AH47" s="59" t="str">
        <f>IF(V47&lt;&gt;"SÍ","",IF(ISNUMBER(O47),O47,IFERROR(INDEX(DATOS!$C$46:$C$55,MATCH(D47,DATOS!$B$46:$B$55,0)),0)))</f>
        <v/>
      </c>
      <c r="AI47" s="59" t="str">
        <f>IF(V47&lt;&gt;"SÍ","",W47/100*DATOS!$C$16*1000+DATOS!$C$37+DATOS!$C$38)</f>
        <v/>
      </c>
      <c r="AJ47" s="59" t="str">
        <f>IF(V47&lt;&gt;"SÍ","",AI47+N(N47))</f>
        <v/>
      </c>
      <c r="AK47" s="60" t="str">
        <f>IF(V47&lt;&gt;"SÍ","",MAX(DATOS!$C$26*AJ47+DATOS!$C$27*AH47,IF(AG47="SÍ",DATOS!$C$28*(AJ47+DATOS!$C$41),0)))</f>
        <v/>
      </c>
      <c r="AL47" s="59" t="str">
        <f>IF(V47&lt;&gt;"SÍ","",(G47="DISCONTINUO")+(H47="DISCONTINUO")+(I47="DISCONTINUO")+(J47="DISCONTINUO"))</f>
        <v/>
      </c>
      <c r="AM47" s="59" t="str">
        <f>IF(V47&lt;&gt;"SÍ","",IF(Y47="X",(G47="DISCONTINUO")+(H47="DISCONTINUO"),(I47="DISCONTINUO")+(J47="DISCONTINUO")))</f>
        <v/>
      </c>
      <c r="AN47" s="55" t="str">
        <f>IF(V47&lt;&gt;"SÍ","",IF(AL47=0,"INTERIOR",IF(AL47=1,IF(AM47=1,"BORDE-CORTO","BORDE-LARGO"),IF(AL47=2,IF(AM47=1,"ESQUINA",IF(AM47=2,"EXTREMO-LARGO","EXTREMO-CORTO")),IF(AL47=3,IF(AM47=2,"EXTREMO-LARGO","EXTREMO-CORTO"),"AISLADO")))))</f>
        <v/>
      </c>
      <c r="AO47" s="61" t="str">
        <f>IF(V47&lt;&gt;"SÍ","",IF(OR(K47="",K47="AUTO"),AN47,K47))</f>
        <v/>
      </c>
      <c r="AP47" s="59" t="str">
        <f>IF(V47&lt;&gt;"SÍ","",MATCH(AB47,TABLAS!$D$5:$J$5,1))</f>
        <v/>
      </c>
      <c r="AQ47" s="58" t="str">
        <f>IF(V47&lt;&gt;"SÍ","",IF(AP47&gt;=7,0,(AB47-INDEX(TABLAS!$D$5:$J$5,AP47))/(INDEX(TABLAS!$D$5:$J$5,AP47+1)-INDEX(TABLAS!$D$5:$J$5,AP47))))</f>
        <v/>
      </c>
      <c r="AR47" s="59" t="str">
        <f>IF(V47&lt;&gt;"SÍ","",INDEX(TABLAS!$D$6:$J$47,MATCH(AO47&amp;"|NIC",TABLAS!$B$6:$B$47,0),AP47)+AQ47*(INDEX(TABLAS!$D$6:$J$47,MATCH(AO47&amp;"|NIC",TABLAS!$B$6:$B$47,0),MIN(AP47+1,7))-INDEX(TABLAS!$D$6:$J$47,MATCH(AO47&amp;"|NIC",TABLAS!$B$6:$B$47,0),AP47)))</f>
        <v/>
      </c>
      <c r="AS47" s="59" t="str">
        <f>IF(V47&lt;&gt;"SÍ","",INDEX(TABLAS!$D$6:$J$47,MATCH(AO47&amp;"|NIL",TABLAS!$B$6:$B$47,0),AP47)+AQ47*(INDEX(TABLAS!$D$6:$J$47,MATCH(AO47&amp;"|NIL",TABLAS!$B$6:$B$47,0),MIN(AP47+1,7))-INDEX(TABLAS!$D$6:$J$47,MATCH(AO47&amp;"|NIL",TABLAS!$B$6:$B$47,0),AP47)))</f>
        <v/>
      </c>
      <c r="AT47" s="59" t="str">
        <f>IF(V47&lt;&gt;"SÍ","",INDEX(TABLAS!$D$6:$J$47,MATCH(AO47&amp;"|NDC",TABLAS!$B$6:$B$47,0),AP47)+AQ47*(INDEX(TABLAS!$D$6:$J$47,MATCH(AO47&amp;"|NDC",TABLAS!$B$6:$B$47,0),MIN(AP47+1,7))-INDEX(TABLAS!$D$6:$J$47,MATCH(AO47&amp;"|NDC",TABLAS!$B$6:$B$47,0),AP47)))</f>
        <v/>
      </c>
      <c r="AU47" s="59" t="str">
        <f>IF(V47&lt;&gt;"SÍ","",INDEX(TABLAS!$D$6:$J$47,MATCH(AO47&amp;"|NDL",TABLAS!$B$6:$B$47,0),AP47)+AQ47*(INDEX(TABLAS!$D$6:$J$47,MATCH(AO47&amp;"|NDL",TABLAS!$B$6:$B$47,0),MIN(AP47+1,7))-INDEX(TABLAS!$D$6:$J$47,MATCH(AO47&amp;"|NDL",TABLAS!$B$6:$B$47,0),AP47)))</f>
        <v/>
      </c>
      <c r="AV47" s="59" t="str">
        <f>IF(V47&lt;&gt;"SÍ","",INDEX(TABLAS!$D$6:$J$47,MATCH(AO47&amp;"|PC",TABLAS!$B$6:$B$47,0),AP47)+AQ47*(INDEX(TABLAS!$D$6:$J$47,MATCH(AO47&amp;"|PC",TABLAS!$B$6:$B$47,0),MIN(AP47+1,7))-INDEX(TABLAS!$D$6:$J$47,MATCH(AO47&amp;"|PC",TABLAS!$B$6:$B$47,0),AP47)))</f>
        <v/>
      </c>
      <c r="AW47" s="59" t="str">
        <f>IF(V47&lt;&gt;"SÍ","",INDEX(TABLAS!$D$6:$J$47,MATCH(AO47&amp;"|PL",TABLAS!$B$6:$B$47,0),AP47)+AQ47*(INDEX(TABLAS!$D$6:$J$47,MATCH(AO47&amp;"|PL",TABLAS!$B$6:$B$47,0),MIN(AP47+1,7))-INDEX(TABLAS!$D$6:$J$47,MATCH(AO47&amp;"|PL",TABLAS!$B$6:$B$47,0),AP47)))</f>
        <v/>
      </c>
      <c r="AX47" s="56" t="str">
        <f>IF(V47&lt;&gt;"SÍ","",IF(C47="PERIMETRAL",AV47*AK47*Z47^2*1E-4/1000,0))</f>
        <v/>
      </c>
      <c r="AY47" s="62" t="str">
        <f>IF(V47&lt;&gt;"SÍ","",IF(C47="PERIMETRAL",MAX(MAX(AR47,AT47)*AK47*Z47^2*1E-4/1000,N(T47)),(AK47*(AC47/100)^2/2+DATOS!$C$26*N(P47)*AC47/100)/1000))</f>
        <v/>
      </c>
      <c r="AZ47" s="56" t="str">
        <f>IF(V47&lt;&gt;"SÍ","",IF(C47="PERIMETRAL",AW47*AK47*Z47^2*1E-4/1000,0))</f>
        <v/>
      </c>
      <c r="BA47" s="56" t="str">
        <f>IF(V47&lt;&gt;"SÍ","",IF(C47="PERIMETRAL",MAX(MAX(AS47,AU47)*AK47*Z47^2*1E-4/1000,N(U47)),0))</f>
        <v/>
      </c>
      <c r="BB47" s="63" t="str">
        <f>IF(V47&lt;&gt;"SÍ","",IF(C47&lt;&gt;"PERIMETRAL","—",IF(AND(N(T47)=0,N(U47)=0),"— (sin M⁻ del vecino)",IF(OR(AND(N(T47)&gt;0,ABS(MAX(AR47,AT47)*AK47*Z47^2*1E-4/1000-N(T47))&gt;0.5*MIN(MAX(AR47,AT47)*AK47*Z47^2*1E-4/1000,N(T47))),AND(N(U47)&gt;0,ABS(MAX(AS47,AU47)*AK47*Z47^2*1E-4/1000-N(U47))&gt;0.5*MIN(MAX(AS47,AU47)*AK47*Z47^2*1E-4/1000,N(U47)))),"FUERA: difieren &gt; 50 %"&amp;IF(AND(N(T47)&gt;0,ABS(MAX(AR47,AT47)*AK47*Z47^2*1E-4/1000-N(T47))&gt;0.5*MIN(MAX(AR47,AT47)*AK47*Z47^2*1E-4/1000,N(T47)))," ‖ corto","")&amp;IF(AND(N(U47)&gt;0,ABS(MAX(AS47,AU47)*AK47*Z47^2*1E-4/1000-N(U47))&gt;0.5*MIN(MAX(AS47,AU47)*AK47*Z47^2*1E-4/1000,N(U47)))," ‖ largo",""),"CUMPLE"))))</f>
        <v/>
      </c>
      <c r="BC47" s="58" t="str">
        <f>IF(V47&lt;&gt;"SÍ","",DATOS!$C$136*100*W47)</f>
        <v/>
      </c>
      <c r="BD47" s="57" t="str">
        <f>IF(V47&lt;&gt;"SÍ","",MIN(IF(C47="VOLADO",DATOS!$C$138,DATOS!$C$137)*W47,DATOS!$C$139))</f>
        <v/>
      </c>
      <c r="BE47" s="58" t="str">
        <f>IF(V47&lt;&gt;"SÍ","",(W47-AE47-INDEX(TABLAS!$C$52:$C$58,MATCH(IF(ISNUMBER(S47),S47,DATOS!$C$135),TABLAS!$B$52:$B$58,0))/2))</f>
        <v/>
      </c>
      <c r="BF47" s="58" t="str">
        <f>IF(V47&lt;&gt;"SÍ","",IF(AX47&lt;=0,0,IF((1-2*AX47*1E5/(DATOS!$C$29*100*BE47^2*DATOS!$C$21))&lt;0,-1,IF((1-SQRT((1-2*AX47*1E5/(DATOS!$C$29*100*BE47^2*DATOS!$C$21))))*DATOS!$C$21*100*BE47/DATOS!$C$14&gt;DATOS!$C$99*100*BE47,-1,(1-SQRT((1-2*AX47*1E5/(DATOS!$C$29*100*BE47^2*DATOS!$C$21))))*DATOS!$C$21*100*BE47/DATOS!$C$14))))</f>
        <v/>
      </c>
      <c r="BG47" s="58" t="str">
        <f>IF(V47&lt;&gt;"SÍ","",IF(BF47&lt;0,-1,MAX(BF47,BC47)))</f>
        <v/>
      </c>
      <c r="BH47" s="64" t="str">
        <f>IF(V47&lt;&gt;"SÍ","",IF(AND(BG47&gt;0,FLOOR(MIN(BD47,100*INDEX(TABLAS!$D$52:$D$58,MIN(MATCH(IF(ISNUMBER(S47),S47,DATOS!$C$135),TABLAS!$B$52:$B$58,0)+0,7))/MAX(BG47,0.0001)),DATOS!$C$141)&gt;=DATOS!$C$140),INDEX(TABLAS!$B$52:$B$58,MIN(MATCH(IF(ISNUMBER(S47),S47,DATOS!$C$135),TABLAS!$B$52:$B$58,0)+0,7)),IF(AND(BG47&gt;0,FLOOR(MIN(BD47,100*INDEX(TABLAS!$D$52:$D$58,MIN(MATCH(IF(ISNUMBER(S47),S47,DATOS!$C$135),TABLAS!$B$52:$B$58,0)+1,7))/MAX(BG47,0.0001)),DATOS!$C$141)&gt;=DATOS!$C$140),INDEX(TABLAS!$B$52:$B$58,MIN(MATCH(IF(ISNUMBER(S47),S47,DATOS!$C$135),TABLAS!$B$52:$B$58,0)+1,7)),IF(AND(BG47&gt;0,FLOOR(MIN(BD47,100*INDEX(TABLAS!$D$52:$D$58,MIN(MATCH(IF(ISNUMBER(S47),S47,DATOS!$C$135),TABLAS!$B$52:$B$58,0)+2,7))/MAX(BG47,0.0001)),DATOS!$C$141)&gt;=DATOS!$C$140),INDEX(TABLAS!$B$52:$B$58,MIN(MATCH(IF(ISNUMBER(S47),S47,DATOS!$C$135),TABLAS!$B$52:$B$58,0)+2,7)),IF(AND(BG47&gt;0,FLOOR(MIN(BD47,100*INDEX(TABLAS!$D$52:$D$58,MIN(MATCH(IF(ISNUMBER(S47),S47,DATOS!$C$135),TABLAS!$B$52:$B$58,0)+3,7))/MAX(BG47,0.0001)),DATOS!$C$141)&gt;=DATOS!$C$140),INDEX(TABLAS!$B$52:$B$58,MIN(MATCH(IF(ISNUMBER(S47),S47,DATOS!$C$135),TABLAS!$B$52:$B$58,0)+3,7)),IF(AND(BG47&gt;0,FLOOR(MIN(BD47,100*INDEX(TABLAS!$D$52:$D$58,MIN(MATCH(IF(ISNUMBER(S47),S47,DATOS!$C$135),TABLAS!$B$52:$B$58,0)+4,7))/MAX(BG47,0.0001)),DATOS!$C$141)&gt;=DATOS!$C$140),INDEX(TABLAS!$B$52:$B$58,MIN(MATCH(IF(ISNUMBER(S47),S47,DATOS!$C$135),TABLAS!$B$52:$B$58,0)+4,7)),INDEX(TABLAS!$B$52:$B$58,7)))))))</f>
        <v/>
      </c>
      <c r="BI47" s="71" t="str">
        <f>IF(V47&lt;&gt;"SÍ","",IF(BG47&lt;=0,0,FLOOR(MIN(BD47,100*INDEX(TABLAS!$D$52:$D$58,MATCH(BH47,TABLAS!$B$52:$B$58,0))/BG47),DATOS!$C$141)))</f>
        <v/>
      </c>
      <c r="BJ47" s="58" t="str">
        <f>IF(V47&lt;&gt;"SÍ","",IF(BI47&lt;=0,0,INDEX(TABLAS!$D$52:$D$58,MATCH(BH47,TABLAS!$B$52:$B$58,0))*100/BI47))</f>
        <v/>
      </c>
      <c r="BK47" s="58" t="str">
        <f>IF(V47&lt;&gt;"SÍ","",W47-AE47-INDEX(TABLAS!$C$52:$C$58,MATCH(BH47,TABLAS!$B$52:$B$58,0))/2)</f>
        <v/>
      </c>
      <c r="BL47" s="56" t="str">
        <f>IF(V47&lt;&gt;"SÍ","",IF(BJ47=0,0,DATOS!$C$29*BJ47*DATOS!$C$14*(BK47-BJ47*DATOS!$C$14/(DATOS!$C$21*100)/2)/1E5))</f>
        <v/>
      </c>
      <c r="BM47" s="65" t="str">
        <f>IF(V47&lt;&gt;"SÍ","",IF(BG47&lt;0,9.99,IF(BL47&gt;0,AX47/BL47,0)))</f>
        <v/>
      </c>
      <c r="BN47" s="66" t="str">
        <f>IF(V47&lt;&gt;"SÍ","",IF(BJ47=0,"—",0.003*(BK47-(BJ47*DATOS!$C$14/(DATOS!$C$21*100)/DATOS!$C$22))/(BJ47*DATOS!$C$14/(DATOS!$C$21*100)/DATOS!$C$22)))</f>
        <v/>
      </c>
      <c r="BO47" s="58" t="str">
        <f>IF(V47&lt;&gt;"SÍ","",((W47-AF47-INDEX(TABLAS!$C$52:$C$58,MATCH(IF(ISNUMBER(S47),S47,DATOS!$C$135),TABLAS!$B$52:$B$58,0))/2)-IF(AND((W47-AF47-INDEX(TABLAS!$C$52:$C$58,MATCH(IF(ISNUMBER(S47),S47,DATOS!$C$135),TABLAS!$B$52:$B$58,0))/2)&lt;=20,DATOS!$C$62&lt;&gt;"SÍ"),2,0)))</f>
        <v/>
      </c>
      <c r="BP47" s="58" t="str">
        <f>IF(V47&lt;&gt;"SÍ","",IF(AY47&lt;=0,0,IF((1-2*AY47*1E5/(DATOS!$C$29*100*BO47^2*DATOS!$C$21))&lt;0,-1,IF((1-SQRT((1-2*AY47*1E5/(DATOS!$C$29*100*BO47^2*DATOS!$C$21))))*DATOS!$C$21*100*BO47/DATOS!$C$14&gt;DATOS!$C$99*100*BO47,-1,(1-SQRT((1-2*AY47*1E5/(DATOS!$C$29*100*BO47^2*DATOS!$C$21))))*DATOS!$C$21*100*BO47/DATOS!$C$14))))</f>
        <v/>
      </c>
      <c r="BQ47" s="58" t="str">
        <f>IF(V47&lt;&gt;"SÍ","",IF(BP47&lt;0,-1,MAX(BP47,BC47)))</f>
        <v/>
      </c>
      <c r="BR47" s="64" t="str">
        <f>IF(V47&lt;&gt;"SÍ","",IF(AND(BQ47&gt;0,FLOOR(MIN(BD47,100*INDEX(TABLAS!$D$52:$D$58,MIN(MATCH(IF(ISNUMBER(S47),S47,DATOS!$C$135),TABLAS!$B$52:$B$58,0)+0,7))/MAX(BQ47,0.0001)),DATOS!$C$141)&gt;=DATOS!$C$140),INDEX(TABLAS!$B$52:$B$58,MIN(MATCH(IF(ISNUMBER(S47),S47,DATOS!$C$135),TABLAS!$B$52:$B$58,0)+0,7)),IF(AND(BQ47&gt;0,FLOOR(MIN(BD47,100*INDEX(TABLAS!$D$52:$D$58,MIN(MATCH(IF(ISNUMBER(S47),S47,DATOS!$C$135),TABLAS!$B$52:$B$58,0)+1,7))/MAX(BQ47,0.0001)),DATOS!$C$141)&gt;=DATOS!$C$140),INDEX(TABLAS!$B$52:$B$58,MIN(MATCH(IF(ISNUMBER(S47),S47,DATOS!$C$135),TABLAS!$B$52:$B$58,0)+1,7)),IF(AND(BQ47&gt;0,FLOOR(MIN(BD47,100*INDEX(TABLAS!$D$52:$D$58,MIN(MATCH(IF(ISNUMBER(S47),S47,DATOS!$C$135),TABLAS!$B$52:$B$58,0)+2,7))/MAX(BQ47,0.0001)),DATOS!$C$141)&gt;=DATOS!$C$140),INDEX(TABLAS!$B$52:$B$58,MIN(MATCH(IF(ISNUMBER(S47),S47,DATOS!$C$135),TABLAS!$B$52:$B$58,0)+2,7)),IF(AND(BQ47&gt;0,FLOOR(MIN(BD47,100*INDEX(TABLAS!$D$52:$D$58,MIN(MATCH(IF(ISNUMBER(S47),S47,DATOS!$C$135),TABLAS!$B$52:$B$58,0)+3,7))/MAX(BQ47,0.0001)),DATOS!$C$141)&gt;=DATOS!$C$140),INDEX(TABLAS!$B$52:$B$58,MIN(MATCH(IF(ISNUMBER(S47),S47,DATOS!$C$135),TABLAS!$B$52:$B$58,0)+3,7)),IF(AND(BQ47&gt;0,FLOOR(MIN(BD47,100*INDEX(TABLAS!$D$52:$D$58,MIN(MATCH(IF(ISNUMBER(S47),S47,DATOS!$C$135),TABLAS!$B$52:$B$58,0)+4,7))/MAX(BQ47,0.0001)),DATOS!$C$141)&gt;=DATOS!$C$140),INDEX(TABLAS!$B$52:$B$58,MIN(MATCH(IF(ISNUMBER(S47),S47,DATOS!$C$135),TABLAS!$B$52:$B$58,0)+4,7)),INDEX(TABLAS!$B$52:$B$58,7)))))))</f>
        <v/>
      </c>
      <c r="BS47" s="71" t="str">
        <f>IF(V47&lt;&gt;"SÍ","",IF(BQ47&lt;=0,0,FLOOR(MIN(BD47,100*INDEX(TABLAS!$D$52:$D$58,MATCH(BR47,TABLAS!$B$52:$B$58,0))/BQ47),DATOS!$C$141)))</f>
        <v/>
      </c>
      <c r="BT47" s="58" t="str">
        <f>IF(V47&lt;&gt;"SÍ","",IF(BS47&lt;=0,0,INDEX(TABLAS!$D$52:$D$58,MATCH(BR47,TABLAS!$B$52:$B$58,0))*100/BS47))</f>
        <v/>
      </c>
      <c r="BU47" s="58" t="str">
        <f>IF(V47&lt;&gt;"SÍ","",((W47-AF47-INDEX(TABLAS!$C$52:$C$58,MATCH(BR47,TABLAS!$B$52:$B$58,0))/2)-IF(AND((W47-AF47-INDEX(TABLAS!$C$52:$C$58,MATCH(BR47,TABLAS!$B$52:$B$58,0))/2)&lt;=20,DATOS!$C$62&lt;&gt;"SÍ"),2,0)))</f>
        <v/>
      </c>
      <c r="BV47" s="56" t="str">
        <f>IF(V47&lt;&gt;"SÍ","",IF(BT47=0,0,DATOS!$C$29*BT47*DATOS!$C$14*(BU47-BT47*DATOS!$C$14/(DATOS!$C$21*100)/2)/1E5))</f>
        <v/>
      </c>
      <c r="BW47" s="65" t="str">
        <f>IF(V47&lt;&gt;"SÍ","",IF(BQ47&lt;0,9.99,IF(BV47&gt;0,AY47/BV47,0)))</f>
        <v/>
      </c>
      <c r="BX47" s="66" t="str">
        <f>IF(V47&lt;&gt;"SÍ","",IF(BT47=0,"—",0.003*(BU47-(BT47*DATOS!$C$14/(DATOS!$C$21*100)/DATOS!$C$22))/(BT47*DATOS!$C$14/(DATOS!$C$21*100)/DATOS!$C$22)))</f>
        <v/>
      </c>
      <c r="BY47" s="58" t="str">
        <f>IF(V47&lt;&gt;"SÍ","",(W47-AE47-1.5*INDEX(TABLAS!$C$52:$C$58,MATCH(IF(ISNUMBER(S47),S47,DATOS!$C$135),TABLAS!$B$52:$B$58,0))))</f>
        <v/>
      </c>
      <c r="BZ47" s="58" t="str">
        <f>IF(V47&lt;&gt;"SÍ","",IF(AZ47&lt;=0,0,IF((1-2*AZ47*1E5/(DATOS!$C$29*100*BY47^2*DATOS!$C$21))&lt;0,-1,IF((1-SQRT((1-2*AZ47*1E5/(DATOS!$C$29*100*BY47^2*DATOS!$C$21))))*DATOS!$C$21*100*BY47/DATOS!$C$14&gt;DATOS!$C$99*100*BY47,-1,(1-SQRT((1-2*AZ47*1E5/(DATOS!$C$29*100*BY47^2*DATOS!$C$21))))*DATOS!$C$21*100*BY47/DATOS!$C$14))))</f>
        <v/>
      </c>
      <c r="CA47" s="58" t="str">
        <f>IF(V47&lt;&gt;"SÍ","",IF(BZ47&lt;0,-1,MAX(BZ47,BC47)))</f>
        <v/>
      </c>
      <c r="CB47" s="64" t="str">
        <f>IF(V47&lt;&gt;"SÍ","",IF(AND(CA47&gt;0,FLOOR(MIN(BD47,100*INDEX(TABLAS!$D$52:$D$58,MIN(MATCH(IF(ISNUMBER(S47),S47,DATOS!$C$135),TABLAS!$B$52:$B$58,0)+0,7))/MAX(CA47,0.0001)),DATOS!$C$141)&gt;=DATOS!$C$140),INDEX(TABLAS!$B$52:$B$58,MIN(MATCH(IF(ISNUMBER(S47),S47,DATOS!$C$135),TABLAS!$B$52:$B$58,0)+0,7)),IF(AND(CA47&gt;0,FLOOR(MIN(BD47,100*INDEX(TABLAS!$D$52:$D$58,MIN(MATCH(IF(ISNUMBER(S47),S47,DATOS!$C$135),TABLAS!$B$52:$B$58,0)+1,7))/MAX(CA47,0.0001)),DATOS!$C$141)&gt;=DATOS!$C$140),INDEX(TABLAS!$B$52:$B$58,MIN(MATCH(IF(ISNUMBER(S47),S47,DATOS!$C$135),TABLAS!$B$52:$B$58,0)+1,7)),IF(AND(CA47&gt;0,FLOOR(MIN(BD47,100*INDEX(TABLAS!$D$52:$D$58,MIN(MATCH(IF(ISNUMBER(S47),S47,DATOS!$C$135),TABLAS!$B$52:$B$58,0)+2,7))/MAX(CA47,0.0001)),DATOS!$C$141)&gt;=DATOS!$C$140),INDEX(TABLAS!$B$52:$B$58,MIN(MATCH(IF(ISNUMBER(S47),S47,DATOS!$C$135),TABLAS!$B$52:$B$58,0)+2,7)),IF(AND(CA47&gt;0,FLOOR(MIN(BD47,100*INDEX(TABLAS!$D$52:$D$58,MIN(MATCH(IF(ISNUMBER(S47),S47,DATOS!$C$135),TABLAS!$B$52:$B$58,0)+3,7))/MAX(CA47,0.0001)),DATOS!$C$141)&gt;=DATOS!$C$140),INDEX(TABLAS!$B$52:$B$58,MIN(MATCH(IF(ISNUMBER(S47),S47,DATOS!$C$135),TABLAS!$B$52:$B$58,0)+3,7)),IF(AND(CA47&gt;0,FLOOR(MIN(BD47,100*INDEX(TABLAS!$D$52:$D$58,MIN(MATCH(IF(ISNUMBER(S47),S47,DATOS!$C$135),TABLAS!$B$52:$B$58,0)+4,7))/MAX(CA47,0.0001)),DATOS!$C$141)&gt;=DATOS!$C$140),INDEX(TABLAS!$B$52:$B$58,MIN(MATCH(IF(ISNUMBER(S47),S47,DATOS!$C$135),TABLAS!$B$52:$B$58,0)+4,7)),INDEX(TABLAS!$B$52:$B$58,7)))))))</f>
        <v/>
      </c>
      <c r="CC47" s="71" t="str">
        <f>IF(V47&lt;&gt;"SÍ","",IF(CA47&lt;=0,0,FLOOR(MIN(BD47,100*INDEX(TABLAS!$D$52:$D$58,MATCH(CB47,TABLAS!$B$52:$B$58,0))/CA47),DATOS!$C$141)))</f>
        <v/>
      </c>
      <c r="CD47" s="58" t="str">
        <f>IF(V47&lt;&gt;"SÍ","",IF(CC47&lt;=0,0,INDEX(TABLAS!$D$52:$D$58,MATCH(CB47,TABLAS!$B$52:$B$58,0))*100/CC47))</f>
        <v/>
      </c>
      <c r="CE47" s="58" t="str">
        <f>IF(V47&lt;&gt;"SÍ","",W47-AE47-INDEX(TABLAS!$C$52:$C$58,MATCH(BH47,TABLAS!$B$52:$B$58,0))-INDEX(TABLAS!$C$52:$C$58,MATCH(CB47,TABLAS!$B$52:$B$58,0))/2)</f>
        <v/>
      </c>
      <c r="CF47" s="56" t="str">
        <f>IF(V47&lt;&gt;"SÍ","",IF(CD47=0,0,DATOS!$C$29*CD47*DATOS!$C$14*(CE47-CD47*DATOS!$C$14/(DATOS!$C$21*100)/2)/1E5))</f>
        <v/>
      </c>
      <c r="CG47" s="65" t="str">
        <f>IF(V47&lt;&gt;"SÍ","",IF(CA47&lt;0,9.99,IF(CF47&gt;0,AZ47/CF47,0)))</f>
        <v/>
      </c>
      <c r="CH47" s="66" t="str">
        <f>IF(V47&lt;&gt;"SÍ","",IF(CD47=0,"—",0.003*(CE47-(CD47*DATOS!$C$14/(DATOS!$C$21*100)/DATOS!$C$22))/(CD47*DATOS!$C$14/(DATOS!$C$21*100)/DATOS!$C$22)))</f>
        <v/>
      </c>
      <c r="CI47" s="58" t="str">
        <f>IF(V47&lt;&gt;"SÍ","",((W47-AF47-1.5*INDEX(TABLAS!$C$52:$C$58,MATCH(IF(ISNUMBER(S47),S47,DATOS!$C$135),TABLAS!$B$52:$B$58,0)))-IF(AND((W47-AF47-1.5*INDEX(TABLAS!$C$52:$C$58,MATCH(IF(ISNUMBER(S47),S47,DATOS!$C$135),TABLAS!$B$52:$B$58,0)))&lt;=20,DATOS!$C$62&lt;&gt;"SÍ"),2,0)))</f>
        <v/>
      </c>
      <c r="CJ47" s="58" t="str">
        <f>IF(V47&lt;&gt;"SÍ","",IF(BA47&lt;=0,0,IF((1-2*BA47*1E5/(DATOS!$C$29*100*CI47^2*DATOS!$C$21))&lt;0,-1,IF((1-SQRT((1-2*BA47*1E5/(DATOS!$C$29*100*CI47^2*DATOS!$C$21))))*DATOS!$C$21*100*CI47/DATOS!$C$14&gt;DATOS!$C$99*100*CI47,-1,(1-SQRT((1-2*BA47*1E5/(DATOS!$C$29*100*CI47^2*DATOS!$C$21))))*DATOS!$C$21*100*CI47/DATOS!$C$14))))</f>
        <v/>
      </c>
      <c r="CK47" s="58" t="str">
        <f>IF(V47&lt;&gt;"SÍ","",IF(CJ47&lt;0,-1,MAX(CJ47,BC47)))</f>
        <v/>
      </c>
      <c r="CL47" s="64" t="str">
        <f>IF(V47&lt;&gt;"SÍ","",IF(AND(CK47&gt;0,FLOOR(MIN(BD47,100*INDEX(TABLAS!$D$52:$D$58,MIN(MATCH(IF(ISNUMBER(S47),S47,DATOS!$C$135),TABLAS!$B$52:$B$58,0)+0,7))/MAX(CK47,0.0001)),DATOS!$C$141)&gt;=DATOS!$C$140),INDEX(TABLAS!$B$52:$B$58,MIN(MATCH(IF(ISNUMBER(S47),S47,DATOS!$C$135),TABLAS!$B$52:$B$58,0)+0,7)),IF(AND(CK47&gt;0,FLOOR(MIN(BD47,100*INDEX(TABLAS!$D$52:$D$58,MIN(MATCH(IF(ISNUMBER(S47),S47,DATOS!$C$135),TABLAS!$B$52:$B$58,0)+1,7))/MAX(CK47,0.0001)),DATOS!$C$141)&gt;=DATOS!$C$140),INDEX(TABLAS!$B$52:$B$58,MIN(MATCH(IF(ISNUMBER(S47),S47,DATOS!$C$135),TABLAS!$B$52:$B$58,0)+1,7)),IF(AND(CK47&gt;0,FLOOR(MIN(BD47,100*INDEX(TABLAS!$D$52:$D$58,MIN(MATCH(IF(ISNUMBER(S47),S47,DATOS!$C$135),TABLAS!$B$52:$B$58,0)+2,7))/MAX(CK47,0.0001)),DATOS!$C$141)&gt;=DATOS!$C$140),INDEX(TABLAS!$B$52:$B$58,MIN(MATCH(IF(ISNUMBER(S47),S47,DATOS!$C$135),TABLAS!$B$52:$B$58,0)+2,7)),IF(AND(CK47&gt;0,FLOOR(MIN(BD47,100*INDEX(TABLAS!$D$52:$D$58,MIN(MATCH(IF(ISNUMBER(S47),S47,DATOS!$C$135),TABLAS!$B$52:$B$58,0)+3,7))/MAX(CK47,0.0001)),DATOS!$C$141)&gt;=DATOS!$C$140),INDEX(TABLAS!$B$52:$B$58,MIN(MATCH(IF(ISNUMBER(S47),S47,DATOS!$C$135),TABLAS!$B$52:$B$58,0)+3,7)),IF(AND(CK47&gt;0,FLOOR(MIN(BD47,100*INDEX(TABLAS!$D$52:$D$58,MIN(MATCH(IF(ISNUMBER(S47),S47,DATOS!$C$135),TABLAS!$B$52:$B$58,0)+4,7))/MAX(CK47,0.0001)),DATOS!$C$141)&gt;=DATOS!$C$140),INDEX(TABLAS!$B$52:$B$58,MIN(MATCH(IF(ISNUMBER(S47),S47,DATOS!$C$135),TABLAS!$B$52:$B$58,0)+4,7)),INDEX(TABLAS!$B$52:$B$58,7)))))))</f>
        <v/>
      </c>
      <c r="CM47" s="71" t="str">
        <f>IF(V47&lt;&gt;"SÍ","",IF(CK47&lt;=0,0,FLOOR(MIN(BD47,100*INDEX(TABLAS!$D$52:$D$58,MATCH(CL47,TABLAS!$B$52:$B$58,0))/CK47),DATOS!$C$141)))</f>
        <v/>
      </c>
      <c r="CN47" s="58" t="str">
        <f>IF(V47&lt;&gt;"SÍ","",IF(CM47&lt;=0,0,INDEX(TABLAS!$D$52:$D$58,MATCH(CL47,TABLAS!$B$52:$B$58,0))*100/CM47))</f>
        <v/>
      </c>
      <c r="CO47" s="58" t="str">
        <f>IF(V47&lt;&gt;"SÍ","",((W47-AF47-INDEX(TABLAS!$C$52:$C$58,MATCH(BR47,TABLAS!$B$52:$B$58,0))-INDEX(TABLAS!$C$52:$C$58,MATCH(CL47,TABLAS!$B$52:$B$58,0))/2)-IF(AND((W47-AF47-INDEX(TABLAS!$C$52:$C$58,MATCH(BR47,TABLAS!$B$52:$B$58,0))-INDEX(TABLAS!$C$52:$C$58,MATCH(CL47,TABLAS!$B$52:$B$58,0))/2)&lt;=20,DATOS!$C$62&lt;&gt;"SÍ"),2,0)))</f>
        <v/>
      </c>
      <c r="CP47" s="56" t="str">
        <f>IF(V47&lt;&gt;"SÍ","",IF(CN47=0,0,DATOS!$C$29*CN47*DATOS!$C$14*(CO47-CN47*DATOS!$C$14/(DATOS!$C$21*100)/2)/1E5))</f>
        <v/>
      </c>
      <c r="CQ47" s="65" t="str">
        <f>IF(V47&lt;&gt;"SÍ","",IF(CK47&lt;0,9.99,IF(CP47&gt;0,BA47/CP47,0)))</f>
        <v/>
      </c>
      <c r="CR47" s="66" t="str">
        <f>IF(V47&lt;&gt;"SÍ","",IF(CN47=0,"—",0.003*(CO47-(CN47*DATOS!$C$14/(DATOS!$C$21*100)/DATOS!$C$22))/(CN47*DATOS!$C$14/(DATOS!$C$21*100)/DATOS!$C$22)))</f>
        <v/>
      </c>
      <c r="CS47" s="56" t="str">
        <f>IF(V47&lt;&gt;"SÍ","",IF(C47="PERIMETRAL",MAX(0,(AC47/2-BU47)/100)*(0.95-0.5*AB47)*AK47*IF(AND(AL47&gt;0,AL47&lt;4),DATOS!$C$33,1)/1000,(AK47*MAX(0,AC47-BU47)/100+DATOS!$C$26*N(P47))/1000))</f>
        <v/>
      </c>
      <c r="CT47" s="66" t="str">
        <f>IF(V47&lt;&gt;"SÍ","",BT47/(100*BU47))</f>
        <v/>
      </c>
      <c r="CU47" s="56" t="str">
        <f>IF(V47&lt;&gt;"SÍ","",DATOS!$C$30*2*MIN(1,SQRT(2/(1+0.04*BU47)))*CT47^(1/3)*SQRT(DATOS!$C$13)*100*BU47/1000)</f>
        <v/>
      </c>
      <c r="CV47" s="67" t="str">
        <f>IF(V47&lt;&gt;"SÍ","",IF(CS47&lt;=CU47,"CUMPLE","NO CUMPLE: sube h"))</f>
        <v/>
      </c>
      <c r="CW47" s="58" t="str">
        <f>IF(V47&lt;&gt;"SÍ","",IF(C47="PERIMETRAL",IF(ISNUMBER(R47),R47,DATOS!$C$101),0))</f>
        <v/>
      </c>
      <c r="CX47" s="57" t="str">
        <f>IF(V47&lt;&gt;"SÍ","",IF(C47="PERIMETRAL",IF(CW47&gt;2,MAX(9,AD47*(0.8+DATOS!$C$14/14000)/(36+9*(AD47/MAX(AC47,1)))),IF(CW47&gt;0.2,MAX(13,AD47*(0.8+DATOS!$C$14/14000)/(36+5*(AD47/MAX(AC47,1))*(CW47-0.2))),MAX(13,AD47/IF(AL47&gt;0,30,33))))*IF(AND(CW47&gt;0.2,AL47&gt;0,DATOS!$C$102="NO"),1.1,1),Z47*100/DATOS!$C$142))</f>
        <v/>
      </c>
      <c r="CY47" s="61" t="str">
        <f>IF(V47&lt;&gt;"SÍ","",IF(W47&gt;=CX47-0.001,"CUMPLE",IF(C47="VOLADO","NO CUMPLE","CALCULAR FLECHA")))</f>
        <v/>
      </c>
      <c r="CZ47" s="60" t="str">
        <f>IF(V47&lt;&gt;"SÍ","",IF(C47="VOLADO",MIN(CEILING(IF(ISNUMBER(Q47),Q47,Z47)*100,5),CEILING(MAX(IF((0.5*(0.9*W47/100*DATOS!$C$16)*IF(ISNUMBER(Q47),Q47,Z47)+AY47/IF(ISNUMBER(Q47),Q47,Z47))^2-4*(0.5*(0.9*W47/100*DATOS!$C$16))*AY47&lt;0,IF(ISNUMBER(Q47),Q47,Z47),MIN(IF(ISNUMBER(Q47),Q47,Z47),((0.5*(0.9*W47/100*DATOS!$C$16)*IF(ISNUMBER(Q47),Q47,Z47)+AY47/IF(ISNUMBER(Q47),Q47,Z47))-SQRT((0.5*(0.9*W47/100*DATOS!$C$16)*IF(ISNUMBER(Q47),Q47,Z47)+AY47/IF(ISNUMBER(Q47),Q47,Z47))^2-4*(0.5*(0.9*W47/100*DATOS!$C$16))*AY47))/(2*(0.5*(0.9*W47/100*DATOS!$C$16)))))*100+MAX(BU47,12*INDEX(TABLAS!$C$52:$C$58,MATCH(BR47,TABLAS!$B$52:$B$58,0)),IF(ISNUMBER(Q47),Q47,Z47)*100/16),IF(OR(AF47&lt;INDEX(TABLAS!$C$52:$C$58,MATCH(BR47,TABLAS!$B$52:$B$58,0)),BS47-INDEX(TABLAS!$C$52:$C$58,MATCH(BR47,TABLAS!$B$52:$B$58,0))&lt;2*INDEX(TABLAS!$C$52:$C$58,MATCH(BR47,TABLAS!$B$52:$B$58,0))),INDEX(TABLAS!$I$52:$I$58,MATCH(BR47,TABLAS!$B$52:$B$58,0)),INDEX(TABLAS!$F$52:$F$58,MATCH(BR47,TABLAS!$B$52:$B$58,0)))),5)),IF(((4*((AV47*AK47*Z47^2*1E-4/1000)+((MAX(AR47,AT47)*AK47*Z47^2*1E-4/1000)+(IF(AND(AR47&gt;0,AT47&gt;0),MIN(AR47,AT47),MAX(AR47,AT47))*AK47*Z47^2*1E-4/1000))/2)+AY47-(IF(AND(AR47&gt;0,AT47&gt;0),MIN(AR47,AT47),MAX(AR47,AT47))*AK47*Z47^2*1E-4/1000))^2-16*((AV47*AK47*Z47^2*1E-4/1000)+((MAX(AR47,AT47)*AK47*Z47^2*1E-4/1000)+(IF(AND(AR47&gt;0,AT47&gt;0),MIN(AR47,AT47),MAX(AR47,AT47))*AK47*Z47^2*1E-4/1000))/2)*AY47)&lt;0,CEILING(AC47,5),CEILING(MAX(AC47*((4*((AV47*AK47*Z47^2*1E-4/1000)+((MAX(AR47,AT47)*AK47*Z47^2*1E-4/1000)+(IF(AND(AR47&gt;0,AT47&gt;0),MIN(AR47,AT47),MAX(AR47,AT47))*AK47*Z47^2*1E-4/1000))/2)+AY47-(IF(AND(AR47&gt;0,AT47&gt;0),MIN(AR47,AT47),MAX(AR47,AT47))*AK47*Z47^2*1E-4/1000))-SQRT(MAX(0,((4*((AV47*AK47*Z47^2*1E-4/1000)+((MAX(AR47,AT47)*AK47*Z47^2*1E-4/1000)+(IF(AND(AR47&gt;0,AT47&gt;0),MIN(AR47,AT47),MAX(AR47,AT47))*AK47*Z47^2*1E-4/1000))/2)+AY47-(IF(AND(AR47&gt;0,AT47&gt;0),MIN(AR47,AT47),MAX(AR47,AT47))*AK47*Z47^2*1E-4/1000))^2-16*((AV47*AK47*Z47^2*1E-4/1000)+((MAX(AR47,AT47)*AK47*Z47^2*1E-4/1000)+(IF(AND(AR47&gt;0,AT47&gt;0),MIN(AR47,AT47),MAX(AR47,AT47))*AK47*Z47^2*1E-4/1000))/2)*AY47))))/(8*MAX(((AV47*AK47*Z47^2*1E-4/1000)+((MAX(AR47,AT47)*AK47*Z47^2*1E-4/1000)+(IF(AND(AR47&gt;0,AT47&gt;0),MIN(AR47,AT47),MAX(AR47,AT47))*AK47*Z47^2*1E-4/1000))/2),1E-9))+MAX(BU47,12*INDEX(TABLAS!$C$52:$C$58,MATCH(BR47,TABLAS!$B$52:$B$58,0)),AC47/16),IF(OR(AF47&lt;INDEX(TABLAS!$C$52:$C$58,MATCH(BR47,TABLAS!$B$52:$B$58,0)),BS47-INDEX(TABLAS!$C$52:$C$58,MATCH(BR47,TABLAS!$B$52:$B$58,0))&lt;2*INDEX(TABLAS!$C$52:$C$58,MATCH(BR47,TABLAS!$B$52:$B$58,0))),INDEX(TABLAS!$I$52:$I$58,MATCH(BR47,TABLAS!$B$52:$B$58,0)),INDEX(TABLAS!$F$52:$F$58,MATCH(BR47,TABLAS!$B$52:$B$58,0)))),5))))</f>
        <v/>
      </c>
      <c r="DA47" s="60" t="str">
        <f>IF(V47&lt;&gt;"SÍ","",IF(C47="VOLADO",0,IF(((4*((AW47*AK47*Z47^2*1E-4/1000)+((MAX(AS47,AU47)*AK47*Z47^2*1E-4/1000)+(IF(AND(AS47&gt;0,AU47&gt;0),MIN(AS47,AU47),MAX(AS47,AU47))*AK47*Z47^2*1E-4/1000))/2)+BA47-(IF(AND(AS47&gt;0,AU47&gt;0),MIN(AS47,AU47),MAX(AS47,AU47))*AK47*Z47^2*1E-4/1000))^2-16*((AW47*AK47*Z47^2*1E-4/1000)+((MAX(AS47,AU47)*AK47*Z47^2*1E-4/1000)+(IF(AND(AS47&gt;0,AU47&gt;0),MIN(AS47,AU47),MAX(AS47,AU47))*AK47*Z47^2*1E-4/1000))/2)*BA47)&lt;0,CEILING(AD47,5),CEILING(MAX(AD47*((4*((AW47*AK47*Z47^2*1E-4/1000)+((MAX(AS47,AU47)*AK47*Z47^2*1E-4/1000)+(IF(AND(AS47&gt;0,AU47&gt;0),MIN(AS47,AU47),MAX(AS47,AU47))*AK47*Z47^2*1E-4/1000))/2)+BA47-(IF(AND(AS47&gt;0,AU47&gt;0),MIN(AS47,AU47),MAX(AS47,AU47))*AK47*Z47^2*1E-4/1000))-SQRT(MAX(0,((4*((AW47*AK47*Z47^2*1E-4/1000)+((MAX(AS47,AU47)*AK47*Z47^2*1E-4/1000)+(IF(AND(AS47&gt;0,AU47&gt;0),MIN(AS47,AU47),MAX(AS47,AU47))*AK47*Z47^2*1E-4/1000))/2)+BA47-(IF(AND(AS47&gt;0,AU47&gt;0),MIN(AS47,AU47),MAX(AS47,AU47))*AK47*Z47^2*1E-4/1000))^2-16*((AW47*AK47*Z47^2*1E-4/1000)+((MAX(AS47,AU47)*AK47*Z47^2*1E-4/1000)+(IF(AND(AS47&gt;0,AU47&gt;0),MIN(AS47,AU47),MAX(AS47,AU47))*AK47*Z47^2*1E-4/1000))/2)*BA47))))/(8*MAX(((AW47*AK47*Z47^2*1E-4/1000)+((MAX(AS47,AU47)*AK47*Z47^2*1E-4/1000)+(IF(AND(AS47&gt;0,AU47&gt;0),MIN(AS47,AU47),MAX(AS47,AU47))*AK47*Z47^2*1E-4/1000))/2),1E-9))+MAX(CO47,12*INDEX(TABLAS!$C$52:$C$58,MATCH(CL47,TABLAS!$B$52:$B$58,0)),AD47/16),IF(OR(AF47&lt;INDEX(TABLAS!$C$52:$C$58,MATCH(CL47,TABLAS!$B$52:$B$58,0)),CM47-INDEX(TABLAS!$C$52:$C$58,MATCH(CL47,TABLAS!$B$52:$B$58,0))&lt;2*INDEX(TABLAS!$C$52:$C$58,MATCH(CL47,TABLAS!$B$52:$B$58,0))),INDEX(TABLAS!$I$52:$I$58,MATCH(CL47,TABLAS!$B$52:$B$58,0)),INDEX(TABLAS!$F$52:$F$58,MATCH(CL47,TABLAS!$B$52:$B$58,0)))),5))))</f>
        <v/>
      </c>
      <c r="DB47" s="55" t="str">
        <f>IF(V47&lt;&gt;"SÍ","",IF(AND(C47="PERIMETRAL",AL47-AM47&gt;0,AT47&gt;0),"SÍ","NO"))</f>
        <v/>
      </c>
      <c r="DC47" s="55" t="str">
        <f>IF(V47&lt;&gt;"SÍ","",IF(AND(C47="PERIMETRAL",AM47&gt;0,AU47&gt;0),"SÍ","NO"))</f>
        <v/>
      </c>
      <c r="DD47" s="63" t="str">
        <f>IF(V47&lt;&gt;"SÍ","",IF(OR(C47="VOLADO",AL47=0),"—",IF(AND(AND(INDEX(TABLAS!$G$52:$G$58,MATCH(MAX(BR47,CL47),TABLAS!$B$52:$B$58,0))&lt;=(DATOS!$C$72-DATOS!$C$60),(DATOS!$C$72-DATOS!$C$60)&gt;=15),8*INDEX(TABLAS!$C$52:$C$58,MATCH(MAX(BH47,CB47,BR47,CL47),TABLAS!$B$52:$B$58,0))&lt;=DATOS!$C$73-2*DATOS!$C$60),"CUMPLE (gancho de 180°)",IF(AND(INDEX(TABLAS!$G$52:$G$58,MATCH(MAX(BR47,CL47),TABLAS!$B$52:$B$58,0))&lt;=(DATOS!$C$72-DATOS!$C$60),(DATOS!$C$72-DATOS!$C$60)&gt;=15),"NO CUMPLE: el gancho de 180° (8·d_b) no cabe en el peralte de la dala de borde","NO CUMPLE: dala de borde ≥ "&amp;TEXT(CEILING(MAX(INDEX(TABLAS!$G$52:$G$58,MATCH(MAX(BR47,CL47),TABLAS!$B$52:$B$58,0)),15)+DATOS!$C$60,5),"0")&amp;" cm de ancho"&amp;IF(8*INDEX(TABLAS!$C$52:$C$58,MATCH(MAX(BH47,CB47,BR47,CL47),TABLAS!$B$52:$B$58,0))&lt;=DATOS!$C$73-2*DATOS!$C$60,""," y más peralte para el gancho")))))</f>
        <v/>
      </c>
      <c r="DE47" s="69" t="str">
        <f>IF(V47&lt;&gt;"SÍ","",IF(BI47=0,"NO ALCANZA","No. "&amp;BH47&amp;" @ "&amp;BI47&amp;" cm"&amp;IF(C47="VOLADO"," (temperatura)","")))</f>
        <v/>
      </c>
      <c r="DF47" s="69" t="str">
        <f>IF(V47&lt;&gt;"SÍ","",IF(BS47=0,"NO ALCANZA",IF(C47="VOLADO","No. "&amp;BR47&amp;" @ "&amp;BS47&amp;" cm"&amp;" de la orilla al respaldo ("&amp;IF(CZ47&gt;=100*IF(ISNUMBER(Q47),Q47,Z47),"hasta su apoyo lejano, con gancho","entran "&amp;TEXT(CZ47/100,"0.00")&amp;" m desde el paño")&amp;")","Bastones "&amp;"No. "&amp;BR47&amp;" @ "&amp;BS47&amp;" cm"&amp;", L = "&amp;TEXT(CZ47/100,"0.00")&amp;" m desde el paño")))</f>
        <v/>
      </c>
      <c r="DG47" s="69" t="str">
        <f>IF(V47&lt;&gt;"SÍ","",IF(CC47=0,"NO ALCANZA","No. "&amp;CB47&amp;" @ "&amp;CC47&amp;" cm"&amp;IF(C47="VOLADO"," (repartición)","")))</f>
        <v/>
      </c>
      <c r="DH47" s="69" t="str">
        <f>IF(V47&lt;&gt;"SÍ","",IF(CM47=0,"NO ALCANZA",IF(C47="VOLADO","No. "&amp;CL47&amp;" @ "&amp;CM47&amp;" cm"&amp;" (repartición)","Bastones "&amp;"No. "&amp;CL47&amp;" @ "&amp;CM47&amp;" cm"&amp;", L = "&amp;TEXT(DA47/100,"0.00")&amp;" m desde el paño")))</f>
        <v/>
      </c>
      <c r="DI47" s="67" t="str">
        <f>IF(B47="","",IF(V47&lt;&gt;"SÍ","FALTAN DATOS: tipo, a_x, a_y y destino",IF(L47="NO MONOLÍTICO (caso II)","FUERA DE ALCANCE: caso II no transcrito",IF(AND(C47="VOLADO",X47="?"),"REVISAR: el volado lleva UN solo borde CONTINUO (el empotrado)",IF(AND(MAX(BM47,BW47,CG47,CQ47)&lt;=1,NOT(OR(BI47&lt;DATOS!$C$140,BS47&lt;DATOS!$C$140,CC47&lt;DATOS!$C$140,CM47&lt;DATOS!$C$140)),NOT(OR(AND(ISNUMBER(BN47),BN47&lt;0.005),AND(ISNUMBER(BX47),BX47&lt;0.005),AND(ISNUMBER(CH47),CH47&lt;0.005),AND(ISNUMBER(CR47),CR47&lt;0.005))),CV47="CUMPLE",CY47="CUMPLE"),"CUMPLE"&amp;IF(LEFT(BB47,5)="FUERA"," · fuera de 3.4.2.1 c)","")&amp;IF(LEFT(DD47,2)="NO"," · REVISAR anclaje en borde discontinuo",""),IF(AND(MAX(BM47,BW47,CG47,CQ47)&lt;=1,NOT(OR(BI47&lt;DATOS!$C$140,BS47&lt;DATOS!$C$140,CC47&lt;DATOS!$C$140,CM47&lt;DATOS!$C$140)),NOT(OR(AND(ISNUMBER(BN47),BN47&lt;0.005),AND(ISNUMBER(BX47),BX47&lt;0.005),AND(ISNUMBER(CH47),CH47&lt;0.005),AND(ISNUMBER(CR47),CR47&lt;0.005))),CV47="CUMPLE",CY47="CALCULAR FLECHA"),"REVISAR: calcular flecha (h &lt; h mín.)"&amp;IF(LEFT(BB47,5)="FUERA"," · fuera de 3.4.2.1 c)","")&amp;IF(LEFT(DD47,2)="NO"," · REVISAR anclaje en borde discontinuo",""),"NO CUMPLE: "&amp;IF(MAX(BM47,BW47,CG47,CQ47)&gt;1,"flexión ","")&amp;IF(OR(BI47&lt;DATOS!$C$140,BS47&lt;DATOS!$C$140,CC47&lt;DATOS!$C$140,CM47&lt;DATOS!$C$140),"separación &lt; mínima ","")&amp;IF(OR(AND(ISNUMBER(BN47),BN47&lt;0.005),AND(ISNUMBER(BX47),BX47&lt;0.005),AND(ISNUMBER(CH47),CH47&lt;0.005),AND(ISNUMBER(CR47),CR47&lt;0.005)),"ε_t &lt; 0.005 ","")&amp;IF(CV47&lt;&gt;"CUMPLE","cortante ","")&amp;IF(CY47="NO CUMPLE","peralte","")))))))</f>
        <v/>
      </c>
      <c r="DJ47" s="70" t="str">
        <f>IF(V47&lt;&gt;"SÍ","",IF(LEFT(B47,7)="EJEMPLO","EJEMPLO de tablero típico: bórralo o sobrescríbelo. ","")&amp;IF(C47="VOLADO","Volado de "&amp;TEXT(Z47,"0.00")&amp;" m empotrado en el borde "&amp;LOWER(X47)&amp;IF(N(P47)&gt;0,", con "&amp;TEXT(P47,"0.0")&amp;" kg/m en la orilla","")&amp;". Lecho inferior con r_ext. Si la orilla carga pretil u otro elemento frágil, calcula la flecha (13.4). El acero superior entra al respaldo de "&amp;TEXT(IF(ISNUMBER(Q47),Q47,Z47),"0.00")&amp;" m"&amp;IF(ISNUMBER(Q47),""," (L_b no capturado: se tomó igual al volado)")&amp;" hasta pasar M = 0 con 0.9·PP sin carga viva; si ahí no se anula, llega al apoyo lejano y se ancla con gancho. ","")&amp;IF(LEFT(BB47,5)="FUERA","El M⁻ del vecino difiere más de 50 % (3.4.2.1 c): distribuye el desequilibrio (3.4.3.1) o confirma con un modelo; se arma con el mayor. ","")&amp;IF(OR(DB47="SÍ",DC47="SÍ"),"Bastones también en los bordes discontinuos (M⁻ de tabla), con gancho. ","")&amp;IF(LEFT(DD47,2)="NO","Anclaje: "&amp;DD47&amp;" (6.7.7.4.1.1). ","")&amp;IF(OR(AT47&gt;0,AU47&gt;0),"Esquinas exteriores sobre muro: refuerzo de esquina arriba y abajo en L_largo/5 (6.7.7.3.1). ",""))</f>
        <v/>
      </c>
    </row>
    <row r="48" ht="33" customHeight="1">
      <c r="A48" s="50">
        <f>IF(B48="",0,1)+A47</f>
        <v>3</v>
      </c>
      <c r="B48" s="29" t="n"/>
      <c r="C48" s="51" t="n"/>
      <c r="D48" s="29" t="n"/>
      <c r="E48" s="52" t="n"/>
      <c r="F48" s="52" t="n"/>
      <c r="G48" s="51" t="n"/>
      <c r="H48" s="51" t="n"/>
      <c r="I48" s="51" t="n"/>
      <c r="J48" s="51" t="n"/>
      <c r="K48" s="51" t="n"/>
      <c r="L48" s="51" t="n"/>
      <c r="M48" s="54" t="n"/>
      <c r="N48" s="53" t="n"/>
      <c r="O48" s="53" t="n"/>
      <c r="P48" s="54" t="n"/>
      <c r="Q48" s="52" t="n"/>
      <c r="R48" s="54" t="n"/>
      <c r="S48" s="53" t="n"/>
      <c r="T48" s="52" t="n"/>
      <c r="U48" s="52" t="n"/>
      <c r="V48" s="55" t="str">
        <f>IF(B48="","",IF(AND(OR(C48="PERIMETRAL",C48="VOLADO"),ISNUMBER(E48),ISNUMBER(F48),E48&gt;0,F48&gt;0,OR(ISNUMBER(O48),ISNUMBER(MATCH(D48,DATOS!$B$46:$B$55,0)))),"SÍ","NO"))</f>
        <v/>
      </c>
      <c r="W48" s="57" t="str">
        <f>IF(V48&lt;&gt;"SÍ","",IF(ISNUMBER(M48),M48,DATOS!$C$134))</f>
        <v/>
      </c>
      <c r="X48" s="55" t="str">
        <f>IF(V48&lt;&gt;"SÍ","",IF(C48&lt;&gt;"VOLADO","—",IF(COUNTIF(G48:J48,"CONTINUO")&lt;&gt;1,"?",IF(G48="CONTINUO","INFERIOR",IF(H48="CONTINUO","SUPERIOR",IF(I48="CONTINUO","IZQUIERDO","DERECHO"))))))</f>
        <v/>
      </c>
      <c r="Y48" s="55" t="str">
        <f>IF(V48&lt;&gt;"SÍ","",IF(C48="VOLADO",IF(OR(X48="IZQUIERDO",X48="DERECHO"),"X","Y"),IF(E48&lt;=F48,"X","Y")))</f>
        <v/>
      </c>
      <c r="Z48" s="56" t="str">
        <f>IF(V48&lt;&gt;"SÍ","",IF(C48="VOLADO",IF(Y48="X",E48,F48),MIN(E48,F48)))</f>
        <v/>
      </c>
      <c r="AA48" s="56" t="str">
        <f>IF(V48&lt;&gt;"SÍ","",IF(C48="VOLADO",IF(Y48="X",F48,E48),MAX(E48,F48)))</f>
        <v/>
      </c>
      <c r="AB48" s="56" t="str">
        <f>IF(V48&lt;&gt;"SÍ","",MIN(Z48,AA48)/MAX(Z48,AA48))</f>
        <v/>
      </c>
      <c r="AC48" s="57" t="str">
        <f>IF(V48&lt;&gt;"SÍ","",MAX(1,Z48*100-IF(C48="VOLADO",DATOS!$C$84/2,DATOS!$C$84)))</f>
        <v/>
      </c>
      <c r="AD48" s="57" t="str">
        <f>IF(V48&lt;&gt;"SÍ","",MAX(1,AA48*100-DATOS!$C$84))</f>
        <v/>
      </c>
      <c r="AE48" s="57" t="str">
        <f>IF(V48&lt;&gt;"SÍ","",IF(C48="VOLADO",DATOS!$C$61,DATOS!$C$59))</f>
        <v/>
      </c>
      <c r="AF48" s="57" t="str">
        <f>IF(V48&lt;&gt;"SÍ","",IF(OR(AND(AG48="SÍ",DATOS!$C$63="SÍ"),AND(C48="VOLADO",DATOS!$C$64="SÍ")),DATOS!$C$61,DATOS!$C$59))</f>
        <v/>
      </c>
      <c r="AG48" s="55" t="str">
        <f>IF(V48&lt;&gt;"SÍ","",IFERROR(INDEX(DATOS!$D$46:$D$55,MATCH(D48,DATOS!$B$46:$B$55,0)),"NO"))</f>
        <v/>
      </c>
      <c r="AH48" s="59" t="str">
        <f>IF(V48&lt;&gt;"SÍ","",IF(ISNUMBER(O48),O48,IFERROR(INDEX(DATOS!$C$46:$C$55,MATCH(D48,DATOS!$B$46:$B$55,0)),0)))</f>
        <v/>
      </c>
      <c r="AI48" s="59" t="str">
        <f>IF(V48&lt;&gt;"SÍ","",W48/100*DATOS!$C$16*1000+DATOS!$C$37+DATOS!$C$38)</f>
        <v/>
      </c>
      <c r="AJ48" s="59" t="str">
        <f>IF(V48&lt;&gt;"SÍ","",AI48+N(N48))</f>
        <v/>
      </c>
      <c r="AK48" s="60" t="str">
        <f>IF(V48&lt;&gt;"SÍ","",MAX(DATOS!$C$26*AJ48+DATOS!$C$27*AH48,IF(AG48="SÍ",DATOS!$C$28*(AJ48+DATOS!$C$41),0)))</f>
        <v/>
      </c>
      <c r="AL48" s="59" t="str">
        <f>IF(V48&lt;&gt;"SÍ","",(G48="DISCONTINUO")+(H48="DISCONTINUO")+(I48="DISCONTINUO")+(J48="DISCONTINUO"))</f>
        <v/>
      </c>
      <c r="AM48" s="59" t="str">
        <f>IF(V48&lt;&gt;"SÍ","",IF(Y48="X",(G48="DISCONTINUO")+(H48="DISCONTINUO"),(I48="DISCONTINUO")+(J48="DISCONTINUO")))</f>
        <v/>
      </c>
      <c r="AN48" s="55" t="str">
        <f>IF(V48&lt;&gt;"SÍ","",IF(AL48=0,"INTERIOR",IF(AL48=1,IF(AM48=1,"BORDE-CORTO","BORDE-LARGO"),IF(AL48=2,IF(AM48=1,"ESQUINA",IF(AM48=2,"EXTREMO-LARGO","EXTREMO-CORTO")),IF(AL48=3,IF(AM48=2,"EXTREMO-LARGO","EXTREMO-CORTO"),"AISLADO")))))</f>
        <v/>
      </c>
      <c r="AO48" s="61" t="str">
        <f>IF(V48&lt;&gt;"SÍ","",IF(OR(K48="",K48="AUTO"),AN48,K48))</f>
        <v/>
      </c>
      <c r="AP48" s="59" t="str">
        <f>IF(V48&lt;&gt;"SÍ","",MATCH(AB48,TABLAS!$D$5:$J$5,1))</f>
        <v/>
      </c>
      <c r="AQ48" s="58" t="str">
        <f>IF(V48&lt;&gt;"SÍ","",IF(AP48&gt;=7,0,(AB48-INDEX(TABLAS!$D$5:$J$5,AP48))/(INDEX(TABLAS!$D$5:$J$5,AP48+1)-INDEX(TABLAS!$D$5:$J$5,AP48))))</f>
        <v/>
      </c>
      <c r="AR48" s="59" t="str">
        <f>IF(V48&lt;&gt;"SÍ","",INDEX(TABLAS!$D$6:$J$47,MATCH(AO48&amp;"|NIC",TABLAS!$B$6:$B$47,0),AP48)+AQ48*(INDEX(TABLAS!$D$6:$J$47,MATCH(AO48&amp;"|NIC",TABLAS!$B$6:$B$47,0),MIN(AP48+1,7))-INDEX(TABLAS!$D$6:$J$47,MATCH(AO48&amp;"|NIC",TABLAS!$B$6:$B$47,0),AP48)))</f>
        <v/>
      </c>
      <c r="AS48" s="59" t="str">
        <f>IF(V48&lt;&gt;"SÍ","",INDEX(TABLAS!$D$6:$J$47,MATCH(AO48&amp;"|NIL",TABLAS!$B$6:$B$47,0),AP48)+AQ48*(INDEX(TABLAS!$D$6:$J$47,MATCH(AO48&amp;"|NIL",TABLAS!$B$6:$B$47,0),MIN(AP48+1,7))-INDEX(TABLAS!$D$6:$J$47,MATCH(AO48&amp;"|NIL",TABLAS!$B$6:$B$47,0),AP48)))</f>
        <v/>
      </c>
      <c r="AT48" s="59" t="str">
        <f>IF(V48&lt;&gt;"SÍ","",INDEX(TABLAS!$D$6:$J$47,MATCH(AO48&amp;"|NDC",TABLAS!$B$6:$B$47,0),AP48)+AQ48*(INDEX(TABLAS!$D$6:$J$47,MATCH(AO48&amp;"|NDC",TABLAS!$B$6:$B$47,0),MIN(AP48+1,7))-INDEX(TABLAS!$D$6:$J$47,MATCH(AO48&amp;"|NDC",TABLAS!$B$6:$B$47,0),AP48)))</f>
        <v/>
      </c>
      <c r="AU48" s="59" t="str">
        <f>IF(V48&lt;&gt;"SÍ","",INDEX(TABLAS!$D$6:$J$47,MATCH(AO48&amp;"|NDL",TABLAS!$B$6:$B$47,0),AP48)+AQ48*(INDEX(TABLAS!$D$6:$J$47,MATCH(AO48&amp;"|NDL",TABLAS!$B$6:$B$47,0),MIN(AP48+1,7))-INDEX(TABLAS!$D$6:$J$47,MATCH(AO48&amp;"|NDL",TABLAS!$B$6:$B$47,0),AP48)))</f>
        <v/>
      </c>
      <c r="AV48" s="59" t="str">
        <f>IF(V48&lt;&gt;"SÍ","",INDEX(TABLAS!$D$6:$J$47,MATCH(AO48&amp;"|PC",TABLAS!$B$6:$B$47,0),AP48)+AQ48*(INDEX(TABLAS!$D$6:$J$47,MATCH(AO48&amp;"|PC",TABLAS!$B$6:$B$47,0),MIN(AP48+1,7))-INDEX(TABLAS!$D$6:$J$47,MATCH(AO48&amp;"|PC",TABLAS!$B$6:$B$47,0),AP48)))</f>
        <v/>
      </c>
      <c r="AW48" s="59" t="str">
        <f>IF(V48&lt;&gt;"SÍ","",INDEX(TABLAS!$D$6:$J$47,MATCH(AO48&amp;"|PL",TABLAS!$B$6:$B$47,0),AP48)+AQ48*(INDEX(TABLAS!$D$6:$J$47,MATCH(AO48&amp;"|PL",TABLAS!$B$6:$B$47,0),MIN(AP48+1,7))-INDEX(TABLAS!$D$6:$J$47,MATCH(AO48&amp;"|PL",TABLAS!$B$6:$B$47,0),AP48)))</f>
        <v/>
      </c>
      <c r="AX48" s="56" t="str">
        <f>IF(V48&lt;&gt;"SÍ","",IF(C48="PERIMETRAL",AV48*AK48*Z48^2*1E-4/1000,0))</f>
        <v/>
      </c>
      <c r="AY48" s="62" t="str">
        <f>IF(V48&lt;&gt;"SÍ","",IF(C48="PERIMETRAL",MAX(MAX(AR48,AT48)*AK48*Z48^2*1E-4/1000,N(T48)),(AK48*(AC48/100)^2/2+DATOS!$C$26*N(P48)*AC48/100)/1000))</f>
        <v/>
      </c>
      <c r="AZ48" s="56" t="str">
        <f>IF(V48&lt;&gt;"SÍ","",IF(C48="PERIMETRAL",AW48*AK48*Z48^2*1E-4/1000,0))</f>
        <v/>
      </c>
      <c r="BA48" s="56" t="str">
        <f>IF(V48&lt;&gt;"SÍ","",IF(C48="PERIMETRAL",MAX(MAX(AS48,AU48)*AK48*Z48^2*1E-4/1000,N(U48)),0))</f>
        <v/>
      </c>
      <c r="BB48" s="63" t="str">
        <f>IF(V48&lt;&gt;"SÍ","",IF(C48&lt;&gt;"PERIMETRAL","—",IF(AND(N(T48)=0,N(U48)=0),"— (sin M⁻ del vecino)",IF(OR(AND(N(T48)&gt;0,ABS(MAX(AR48,AT48)*AK48*Z48^2*1E-4/1000-N(T48))&gt;0.5*MIN(MAX(AR48,AT48)*AK48*Z48^2*1E-4/1000,N(T48))),AND(N(U48)&gt;0,ABS(MAX(AS48,AU48)*AK48*Z48^2*1E-4/1000-N(U48))&gt;0.5*MIN(MAX(AS48,AU48)*AK48*Z48^2*1E-4/1000,N(U48)))),"FUERA: difieren &gt; 50 %"&amp;IF(AND(N(T48)&gt;0,ABS(MAX(AR48,AT48)*AK48*Z48^2*1E-4/1000-N(T48))&gt;0.5*MIN(MAX(AR48,AT48)*AK48*Z48^2*1E-4/1000,N(T48)))," ‖ corto","")&amp;IF(AND(N(U48)&gt;0,ABS(MAX(AS48,AU48)*AK48*Z48^2*1E-4/1000-N(U48))&gt;0.5*MIN(MAX(AS48,AU48)*AK48*Z48^2*1E-4/1000,N(U48)))," ‖ largo",""),"CUMPLE"))))</f>
        <v/>
      </c>
      <c r="BC48" s="58" t="str">
        <f>IF(V48&lt;&gt;"SÍ","",DATOS!$C$136*100*W48)</f>
        <v/>
      </c>
      <c r="BD48" s="57" t="str">
        <f>IF(V48&lt;&gt;"SÍ","",MIN(IF(C48="VOLADO",DATOS!$C$138,DATOS!$C$137)*W48,DATOS!$C$139))</f>
        <v/>
      </c>
      <c r="BE48" s="58" t="str">
        <f>IF(V48&lt;&gt;"SÍ","",(W48-AE48-INDEX(TABLAS!$C$52:$C$58,MATCH(IF(ISNUMBER(S48),S48,DATOS!$C$135),TABLAS!$B$52:$B$58,0))/2))</f>
        <v/>
      </c>
      <c r="BF48" s="58" t="str">
        <f>IF(V48&lt;&gt;"SÍ","",IF(AX48&lt;=0,0,IF((1-2*AX48*1E5/(DATOS!$C$29*100*BE48^2*DATOS!$C$21))&lt;0,-1,IF((1-SQRT((1-2*AX48*1E5/(DATOS!$C$29*100*BE48^2*DATOS!$C$21))))*DATOS!$C$21*100*BE48/DATOS!$C$14&gt;DATOS!$C$99*100*BE48,-1,(1-SQRT((1-2*AX48*1E5/(DATOS!$C$29*100*BE48^2*DATOS!$C$21))))*DATOS!$C$21*100*BE48/DATOS!$C$14))))</f>
        <v/>
      </c>
      <c r="BG48" s="58" t="str">
        <f>IF(V48&lt;&gt;"SÍ","",IF(BF48&lt;0,-1,MAX(BF48,BC48)))</f>
        <v/>
      </c>
      <c r="BH48" s="64" t="str">
        <f>IF(V48&lt;&gt;"SÍ","",IF(AND(BG48&gt;0,FLOOR(MIN(BD48,100*INDEX(TABLAS!$D$52:$D$58,MIN(MATCH(IF(ISNUMBER(S48),S48,DATOS!$C$135),TABLAS!$B$52:$B$58,0)+0,7))/MAX(BG48,0.0001)),DATOS!$C$141)&gt;=DATOS!$C$140),INDEX(TABLAS!$B$52:$B$58,MIN(MATCH(IF(ISNUMBER(S48),S48,DATOS!$C$135),TABLAS!$B$52:$B$58,0)+0,7)),IF(AND(BG48&gt;0,FLOOR(MIN(BD48,100*INDEX(TABLAS!$D$52:$D$58,MIN(MATCH(IF(ISNUMBER(S48),S48,DATOS!$C$135),TABLAS!$B$52:$B$58,0)+1,7))/MAX(BG48,0.0001)),DATOS!$C$141)&gt;=DATOS!$C$140),INDEX(TABLAS!$B$52:$B$58,MIN(MATCH(IF(ISNUMBER(S48),S48,DATOS!$C$135),TABLAS!$B$52:$B$58,0)+1,7)),IF(AND(BG48&gt;0,FLOOR(MIN(BD48,100*INDEX(TABLAS!$D$52:$D$58,MIN(MATCH(IF(ISNUMBER(S48),S48,DATOS!$C$135),TABLAS!$B$52:$B$58,0)+2,7))/MAX(BG48,0.0001)),DATOS!$C$141)&gt;=DATOS!$C$140),INDEX(TABLAS!$B$52:$B$58,MIN(MATCH(IF(ISNUMBER(S48),S48,DATOS!$C$135),TABLAS!$B$52:$B$58,0)+2,7)),IF(AND(BG48&gt;0,FLOOR(MIN(BD48,100*INDEX(TABLAS!$D$52:$D$58,MIN(MATCH(IF(ISNUMBER(S48),S48,DATOS!$C$135),TABLAS!$B$52:$B$58,0)+3,7))/MAX(BG48,0.0001)),DATOS!$C$141)&gt;=DATOS!$C$140),INDEX(TABLAS!$B$52:$B$58,MIN(MATCH(IF(ISNUMBER(S48),S48,DATOS!$C$135),TABLAS!$B$52:$B$58,0)+3,7)),IF(AND(BG48&gt;0,FLOOR(MIN(BD48,100*INDEX(TABLAS!$D$52:$D$58,MIN(MATCH(IF(ISNUMBER(S48),S48,DATOS!$C$135),TABLAS!$B$52:$B$58,0)+4,7))/MAX(BG48,0.0001)),DATOS!$C$141)&gt;=DATOS!$C$140),INDEX(TABLAS!$B$52:$B$58,MIN(MATCH(IF(ISNUMBER(S48),S48,DATOS!$C$135),TABLAS!$B$52:$B$58,0)+4,7)),INDEX(TABLAS!$B$52:$B$58,7)))))))</f>
        <v/>
      </c>
      <c r="BI48" s="71" t="str">
        <f>IF(V48&lt;&gt;"SÍ","",IF(BG48&lt;=0,0,FLOOR(MIN(BD48,100*INDEX(TABLAS!$D$52:$D$58,MATCH(BH48,TABLAS!$B$52:$B$58,0))/BG48),DATOS!$C$141)))</f>
        <v/>
      </c>
      <c r="BJ48" s="58" t="str">
        <f>IF(V48&lt;&gt;"SÍ","",IF(BI48&lt;=0,0,INDEX(TABLAS!$D$52:$D$58,MATCH(BH48,TABLAS!$B$52:$B$58,0))*100/BI48))</f>
        <v/>
      </c>
      <c r="BK48" s="58" t="str">
        <f>IF(V48&lt;&gt;"SÍ","",W48-AE48-INDEX(TABLAS!$C$52:$C$58,MATCH(BH48,TABLAS!$B$52:$B$58,0))/2)</f>
        <v/>
      </c>
      <c r="BL48" s="56" t="str">
        <f>IF(V48&lt;&gt;"SÍ","",IF(BJ48=0,0,DATOS!$C$29*BJ48*DATOS!$C$14*(BK48-BJ48*DATOS!$C$14/(DATOS!$C$21*100)/2)/1E5))</f>
        <v/>
      </c>
      <c r="BM48" s="65" t="str">
        <f>IF(V48&lt;&gt;"SÍ","",IF(BG48&lt;0,9.99,IF(BL48&gt;0,AX48/BL48,0)))</f>
        <v/>
      </c>
      <c r="BN48" s="66" t="str">
        <f>IF(V48&lt;&gt;"SÍ","",IF(BJ48=0,"—",0.003*(BK48-(BJ48*DATOS!$C$14/(DATOS!$C$21*100)/DATOS!$C$22))/(BJ48*DATOS!$C$14/(DATOS!$C$21*100)/DATOS!$C$22)))</f>
        <v/>
      </c>
      <c r="BO48" s="58" t="str">
        <f>IF(V48&lt;&gt;"SÍ","",((W48-AF48-INDEX(TABLAS!$C$52:$C$58,MATCH(IF(ISNUMBER(S48),S48,DATOS!$C$135),TABLAS!$B$52:$B$58,0))/2)-IF(AND((W48-AF48-INDEX(TABLAS!$C$52:$C$58,MATCH(IF(ISNUMBER(S48),S48,DATOS!$C$135),TABLAS!$B$52:$B$58,0))/2)&lt;=20,DATOS!$C$62&lt;&gt;"SÍ"),2,0)))</f>
        <v/>
      </c>
      <c r="BP48" s="58" t="str">
        <f>IF(V48&lt;&gt;"SÍ","",IF(AY48&lt;=0,0,IF((1-2*AY48*1E5/(DATOS!$C$29*100*BO48^2*DATOS!$C$21))&lt;0,-1,IF((1-SQRT((1-2*AY48*1E5/(DATOS!$C$29*100*BO48^2*DATOS!$C$21))))*DATOS!$C$21*100*BO48/DATOS!$C$14&gt;DATOS!$C$99*100*BO48,-1,(1-SQRT((1-2*AY48*1E5/(DATOS!$C$29*100*BO48^2*DATOS!$C$21))))*DATOS!$C$21*100*BO48/DATOS!$C$14))))</f>
        <v/>
      </c>
      <c r="BQ48" s="58" t="str">
        <f>IF(V48&lt;&gt;"SÍ","",IF(BP48&lt;0,-1,MAX(BP48,BC48)))</f>
        <v/>
      </c>
      <c r="BR48" s="64" t="str">
        <f>IF(V48&lt;&gt;"SÍ","",IF(AND(BQ48&gt;0,FLOOR(MIN(BD48,100*INDEX(TABLAS!$D$52:$D$58,MIN(MATCH(IF(ISNUMBER(S48),S48,DATOS!$C$135),TABLAS!$B$52:$B$58,0)+0,7))/MAX(BQ48,0.0001)),DATOS!$C$141)&gt;=DATOS!$C$140),INDEX(TABLAS!$B$52:$B$58,MIN(MATCH(IF(ISNUMBER(S48),S48,DATOS!$C$135),TABLAS!$B$52:$B$58,0)+0,7)),IF(AND(BQ48&gt;0,FLOOR(MIN(BD48,100*INDEX(TABLAS!$D$52:$D$58,MIN(MATCH(IF(ISNUMBER(S48),S48,DATOS!$C$135),TABLAS!$B$52:$B$58,0)+1,7))/MAX(BQ48,0.0001)),DATOS!$C$141)&gt;=DATOS!$C$140),INDEX(TABLAS!$B$52:$B$58,MIN(MATCH(IF(ISNUMBER(S48),S48,DATOS!$C$135),TABLAS!$B$52:$B$58,0)+1,7)),IF(AND(BQ48&gt;0,FLOOR(MIN(BD48,100*INDEX(TABLAS!$D$52:$D$58,MIN(MATCH(IF(ISNUMBER(S48),S48,DATOS!$C$135),TABLAS!$B$52:$B$58,0)+2,7))/MAX(BQ48,0.0001)),DATOS!$C$141)&gt;=DATOS!$C$140),INDEX(TABLAS!$B$52:$B$58,MIN(MATCH(IF(ISNUMBER(S48),S48,DATOS!$C$135),TABLAS!$B$52:$B$58,0)+2,7)),IF(AND(BQ48&gt;0,FLOOR(MIN(BD48,100*INDEX(TABLAS!$D$52:$D$58,MIN(MATCH(IF(ISNUMBER(S48),S48,DATOS!$C$135),TABLAS!$B$52:$B$58,0)+3,7))/MAX(BQ48,0.0001)),DATOS!$C$141)&gt;=DATOS!$C$140),INDEX(TABLAS!$B$52:$B$58,MIN(MATCH(IF(ISNUMBER(S48),S48,DATOS!$C$135),TABLAS!$B$52:$B$58,0)+3,7)),IF(AND(BQ48&gt;0,FLOOR(MIN(BD48,100*INDEX(TABLAS!$D$52:$D$58,MIN(MATCH(IF(ISNUMBER(S48),S48,DATOS!$C$135),TABLAS!$B$52:$B$58,0)+4,7))/MAX(BQ48,0.0001)),DATOS!$C$141)&gt;=DATOS!$C$140),INDEX(TABLAS!$B$52:$B$58,MIN(MATCH(IF(ISNUMBER(S48),S48,DATOS!$C$135),TABLAS!$B$52:$B$58,0)+4,7)),INDEX(TABLAS!$B$52:$B$58,7)))))))</f>
        <v/>
      </c>
      <c r="BS48" s="71" t="str">
        <f>IF(V48&lt;&gt;"SÍ","",IF(BQ48&lt;=0,0,FLOOR(MIN(BD48,100*INDEX(TABLAS!$D$52:$D$58,MATCH(BR48,TABLAS!$B$52:$B$58,0))/BQ48),DATOS!$C$141)))</f>
        <v/>
      </c>
      <c r="BT48" s="58" t="str">
        <f>IF(V48&lt;&gt;"SÍ","",IF(BS48&lt;=0,0,INDEX(TABLAS!$D$52:$D$58,MATCH(BR48,TABLAS!$B$52:$B$58,0))*100/BS48))</f>
        <v/>
      </c>
      <c r="BU48" s="58" t="str">
        <f>IF(V48&lt;&gt;"SÍ","",((W48-AF48-INDEX(TABLAS!$C$52:$C$58,MATCH(BR48,TABLAS!$B$52:$B$58,0))/2)-IF(AND((W48-AF48-INDEX(TABLAS!$C$52:$C$58,MATCH(BR48,TABLAS!$B$52:$B$58,0))/2)&lt;=20,DATOS!$C$62&lt;&gt;"SÍ"),2,0)))</f>
        <v/>
      </c>
      <c r="BV48" s="56" t="str">
        <f>IF(V48&lt;&gt;"SÍ","",IF(BT48=0,0,DATOS!$C$29*BT48*DATOS!$C$14*(BU48-BT48*DATOS!$C$14/(DATOS!$C$21*100)/2)/1E5))</f>
        <v/>
      </c>
      <c r="BW48" s="65" t="str">
        <f>IF(V48&lt;&gt;"SÍ","",IF(BQ48&lt;0,9.99,IF(BV48&gt;0,AY48/BV48,0)))</f>
        <v/>
      </c>
      <c r="BX48" s="66" t="str">
        <f>IF(V48&lt;&gt;"SÍ","",IF(BT48=0,"—",0.003*(BU48-(BT48*DATOS!$C$14/(DATOS!$C$21*100)/DATOS!$C$22))/(BT48*DATOS!$C$14/(DATOS!$C$21*100)/DATOS!$C$22)))</f>
        <v/>
      </c>
      <c r="BY48" s="58" t="str">
        <f>IF(V48&lt;&gt;"SÍ","",(W48-AE48-1.5*INDEX(TABLAS!$C$52:$C$58,MATCH(IF(ISNUMBER(S48),S48,DATOS!$C$135),TABLAS!$B$52:$B$58,0))))</f>
        <v/>
      </c>
      <c r="BZ48" s="58" t="str">
        <f>IF(V48&lt;&gt;"SÍ","",IF(AZ48&lt;=0,0,IF((1-2*AZ48*1E5/(DATOS!$C$29*100*BY48^2*DATOS!$C$21))&lt;0,-1,IF((1-SQRT((1-2*AZ48*1E5/(DATOS!$C$29*100*BY48^2*DATOS!$C$21))))*DATOS!$C$21*100*BY48/DATOS!$C$14&gt;DATOS!$C$99*100*BY48,-1,(1-SQRT((1-2*AZ48*1E5/(DATOS!$C$29*100*BY48^2*DATOS!$C$21))))*DATOS!$C$21*100*BY48/DATOS!$C$14))))</f>
        <v/>
      </c>
      <c r="CA48" s="58" t="str">
        <f>IF(V48&lt;&gt;"SÍ","",IF(BZ48&lt;0,-1,MAX(BZ48,BC48)))</f>
        <v/>
      </c>
      <c r="CB48" s="64" t="str">
        <f>IF(V48&lt;&gt;"SÍ","",IF(AND(CA48&gt;0,FLOOR(MIN(BD48,100*INDEX(TABLAS!$D$52:$D$58,MIN(MATCH(IF(ISNUMBER(S48),S48,DATOS!$C$135),TABLAS!$B$52:$B$58,0)+0,7))/MAX(CA48,0.0001)),DATOS!$C$141)&gt;=DATOS!$C$140),INDEX(TABLAS!$B$52:$B$58,MIN(MATCH(IF(ISNUMBER(S48),S48,DATOS!$C$135),TABLAS!$B$52:$B$58,0)+0,7)),IF(AND(CA48&gt;0,FLOOR(MIN(BD48,100*INDEX(TABLAS!$D$52:$D$58,MIN(MATCH(IF(ISNUMBER(S48),S48,DATOS!$C$135),TABLAS!$B$52:$B$58,0)+1,7))/MAX(CA48,0.0001)),DATOS!$C$141)&gt;=DATOS!$C$140),INDEX(TABLAS!$B$52:$B$58,MIN(MATCH(IF(ISNUMBER(S48),S48,DATOS!$C$135),TABLAS!$B$52:$B$58,0)+1,7)),IF(AND(CA48&gt;0,FLOOR(MIN(BD48,100*INDEX(TABLAS!$D$52:$D$58,MIN(MATCH(IF(ISNUMBER(S48),S48,DATOS!$C$135),TABLAS!$B$52:$B$58,0)+2,7))/MAX(CA48,0.0001)),DATOS!$C$141)&gt;=DATOS!$C$140),INDEX(TABLAS!$B$52:$B$58,MIN(MATCH(IF(ISNUMBER(S48),S48,DATOS!$C$135),TABLAS!$B$52:$B$58,0)+2,7)),IF(AND(CA48&gt;0,FLOOR(MIN(BD48,100*INDEX(TABLAS!$D$52:$D$58,MIN(MATCH(IF(ISNUMBER(S48),S48,DATOS!$C$135),TABLAS!$B$52:$B$58,0)+3,7))/MAX(CA48,0.0001)),DATOS!$C$141)&gt;=DATOS!$C$140),INDEX(TABLAS!$B$52:$B$58,MIN(MATCH(IF(ISNUMBER(S48),S48,DATOS!$C$135),TABLAS!$B$52:$B$58,0)+3,7)),IF(AND(CA48&gt;0,FLOOR(MIN(BD48,100*INDEX(TABLAS!$D$52:$D$58,MIN(MATCH(IF(ISNUMBER(S48),S48,DATOS!$C$135),TABLAS!$B$52:$B$58,0)+4,7))/MAX(CA48,0.0001)),DATOS!$C$141)&gt;=DATOS!$C$140),INDEX(TABLAS!$B$52:$B$58,MIN(MATCH(IF(ISNUMBER(S48),S48,DATOS!$C$135),TABLAS!$B$52:$B$58,0)+4,7)),INDEX(TABLAS!$B$52:$B$58,7)))))))</f>
        <v/>
      </c>
      <c r="CC48" s="71" t="str">
        <f>IF(V48&lt;&gt;"SÍ","",IF(CA48&lt;=0,0,FLOOR(MIN(BD48,100*INDEX(TABLAS!$D$52:$D$58,MATCH(CB48,TABLAS!$B$52:$B$58,0))/CA48),DATOS!$C$141)))</f>
        <v/>
      </c>
      <c r="CD48" s="58" t="str">
        <f>IF(V48&lt;&gt;"SÍ","",IF(CC48&lt;=0,0,INDEX(TABLAS!$D$52:$D$58,MATCH(CB48,TABLAS!$B$52:$B$58,0))*100/CC48))</f>
        <v/>
      </c>
      <c r="CE48" s="58" t="str">
        <f>IF(V48&lt;&gt;"SÍ","",W48-AE48-INDEX(TABLAS!$C$52:$C$58,MATCH(BH48,TABLAS!$B$52:$B$58,0))-INDEX(TABLAS!$C$52:$C$58,MATCH(CB48,TABLAS!$B$52:$B$58,0))/2)</f>
        <v/>
      </c>
      <c r="CF48" s="56" t="str">
        <f>IF(V48&lt;&gt;"SÍ","",IF(CD48=0,0,DATOS!$C$29*CD48*DATOS!$C$14*(CE48-CD48*DATOS!$C$14/(DATOS!$C$21*100)/2)/1E5))</f>
        <v/>
      </c>
      <c r="CG48" s="65" t="str">
        <f>IF(V48&lt;&gt;"SÍ","",IF(CA48&lt;0,9.99,IF(CF48&gt;0,AZ48/CF48,0)))</f>
        <v/>
      </c>
      <c r="CH48" s="66" t="str">
        <f>IF(V48&lt;&gt;"SÍ","",IF(CD48=0,"—",0.003*(CE48-(CD48*DATOS!$C$14/(DATOS!$C$21*100)/DATOS!$C$22))/(CD48*DATOS!$C$14/(DATOS!$C$21*100)/DATOS!$C$22)))</f>
        <v/>
      </c>
      <c r="CI48" s="58" t="str">
        <f>IF(V48&lt;&gt;"SÍ","",((W48-AF48-1.5*INDEX(TABLAS!$C$52:$C$58,MATCH(IF(ISNUMBER(S48),S48,DATOS!$C$135),TABLAS!$B$52:$B$58,0)))-IF(AND((W48-AF48-1.5*INDEX(TABLAS!$C$52:$C$58,MATCH(IF(ISNUMBER(S48),S48,DATOS!$C$135),TABLAS!$B$52:$B$58,0)))&lt;=20,DATOS!$C$62&lt;&gt;"SÍ"),2,0)))</f>
        <v/>
      </c>
      <c r="CJ48" s="58" t="str">
        <f>IF(V48&lt;&gt;"SÍ","",IF(BA48&lt;=0,0,IF((1-2*BA48*1E5/(DATOS!$C$29*100*CI48^2*DATOS!$C$21))&lt;0,-1,IF((1-SQRT((1-2*BA48*1E5/(DATOS!$C$29*100*CI48^2*DATOS!$C$21))))*DATOS!$C$21*100*CI48/DATOS!$C$14&gt;DATOS!$C$99*100*CI48,-1,(1-SQRT((1-2*BA48*1E5/(DATOS!$C$29*100*CI48^2*DATOS!$C$21))))*DATOS!$C$21*100*CI48/DATOS!$C$14))))</f>
        <v/>
      </c>
      <c r="CK48" s="58" t="str">
        <f>IF(V48&lt;&gt;"SÍ","",IF(CJ48&lt;0,-1,MAX(CJ48,BC48)))</f>
        <v/>
      </c>
      <c r="CL48" s="64" t="str">
        <f>IF(V48&lt;&gt;"SÍ","",IF(AND(CK48&gt;0,FLOOR(MIN(BD48,100*INDEX(TABLAS!$D$52:$D$58,MIN(MATCH(IF(ISNUMBER(S48),S48,DATOS!$C$135),TABLAS!$B$52:$B$58,0)+0,7))/MAX(CK48,0.0001)),DATOS!$C$141)&gt;=DATOS!$C$140),INDEX(TABLAS!$B$52:$B$58,MIN(MATCH(IF(ISNUMBER(S48),S48,DATOS!$C$135),TABLAS!$B$52:$B$58,0)+0,7)),IF(AND(CK48&gt;0,FLOOR(MIN(BD48,100*INDEX(TABLAS!$D$52:$D$58,MIN(MATCH(IF(ISNUMBER(S48),S48,DATOS!$C$135),TABLAS!$B$52:$B$58,0)+1,7))/MAX(CK48,0.0001)),DATOS!$C$141)&gt;=DATOS!$C$140),INDEX(TABLAS!$B$52:$B$58,MIN(MATCH(IF(ISNUMBER(S48),S48,DATOS!$C$135),TABLAS!$B$52:$B$58,0)+1,7)),IF(AND(CK48&gt;0,FLOOR(MIN(BD48,100*INDEX(TABLAS!$D$52:$D$58,MIN(MATCH(IF(ISNUMBER(S48),S48,DATOS!$C$135),TABLAS!$B$52:$B$58,0)+2,7))/MAX(CK48,0.0001)),DATOS!$C$141)&gt;=DATOS!$C$140),INDEX(TABLAS!$B$52:$B$58,MIN(MATCH(IF(ISNUMBER(S48),S48,DATOS!$C$135),TABLAS!$B$52:$B$58,0)+2,7)),IF(AND(CK48&gt;0,FLOOR(MIN(BD48,100*INDEX(TABLAS!$D$52:$D$58,MIN(MATCH(IF(ISNUMBER(S48),S48,DATOS!$C$135),TABLAS!$B$52:$B$58,0)+3,7))/MAX(CK48,0.0001)),DATOS!$C$141)&gt;=DATOS!$C$140),INDEX(TABLAS!$B$52:$B$58,MIN(MATCH(IF(ISNUMBER(S48),S48,DATOS!$C$135),TABLAS!$B$52:$B$58,0)+3,7)),IF(AND(CK48&gt;0,FLOOR(MIN(BD48,100*INDEX(TABLAS!$D$52:$D$58,MIN(MATCH(IF(ISNUMBER(S48),S48,DATOS!$C$135),TABLAS!$B$52:$B$58,0)+4,7))/MAX(CK48,0.0001)),DATOS!$C$141)&gt;=DATOS!$C$140),INDEX(TABLAS!$B$52:$B$58,MIN(MATCH(IF(ISNUMBER(S48),S48,DATOS!$C$135),TABLAS!$B$52:$B$58,0)+4,7)),INDEX(TABLAS!$B$52:$B$58,7)))))))</f>
        <v/>
      </c>
      <c r="CM48" s="71" t="str">
        <f>IF(V48&lt;&gt;"SÍ","",IF(CK48&lt;=0,0,FLOOR(MIN(BD48,100*INDEX(TABLAS!$D$52:$D$58,MATCH(CL48,TABLAS!$B$52:$B$58,0))/CK48),DATOS!$C$141)))</f>
        <v/>
      </c>
      <c r="CN48" s="58" t="str">
        <f>IF(V48&lt;&gt;"SÍ","",IF(CM48&lt;=0,0,INDEX(TABLAS!$D$52:$D$58,MATCH(CL48,TABLAS!$B$52:$B$58,0))*100/CM48))</f>
        <v/>
      </c>
      <c r="CO48" s="58" t="str">
        <f>IF(V48&lt;&gt;"SÍ","",((W48-AF48-INDEX(TABLAS!$C$52:$C$58,MATCH(BR48,TABLAS!$B$52:$B$58,0))-INDEX(TABLAS!$C$52:$C$58,MATCH(CL48,TABLAS!$B$52:$B$58,0))/2)-IF(AND((W48-AF48-INDEX(TABLAS!$C$52:$C$58,MATCH(BR48,TABLAS!$B$52:$B$58,0))-INDEX(TABLAS!$C$52:$C$58,MATCH(CL48,TABLAS!$B$52:$B$58,0))/2)&lt;=20,DATOS!$C$62&lt;&gt;"SÍ"),2,0)))</f>
        <v/>
      </c>
      <c r="CP48" s="56" t="str">
        <f>IF(V48&lt;&gt;"SÍ","",IF(CN48=0,0,DATOS!$C$29*CN48*DATOS!$C$14*(CO48-CN48*DATOS!$C$14/(DATOS!$C$21*100)/2)/1E5))</f>
        <v/>
      </c>
      <c r="CQ48" s="65" t="str">
        <f>IF(V48&lt;&gt;"SÍ","",IF(CK48&lt;0,9.99,IF(CP48&gt;0,BA48/CP48,0)))</f>
        <v/>
      </c>
      <c r="CR48" s="66" t="str">
        <f>IF(V48&lt;&gt;"SÍ","",IF(CN48=0,"—",0.003*(CO48-(CN48*DATOS!$C$14/(DATOS!$C$21*100)/DATOS!$C$22))/(CN48*DATOS!$C$14/(DATOS!$C$21*100)/DATOS!$C$22)))</f>
        <v/>
      </c>
      <c r="CS48" s="56" t="str">
        <f>IF(V48&lt;&gt;"SÍ","",IF(C48="PERIMETRAL",MAX(0,(AC48/2-BU48)/100)*(0.95-0.5*AB48)*AK48*IF(AND(AL48&gt;0,AL48&lt;4),DATOS!$C$33,1)/1000,(AK48*MAX(0,AC48-BU48)/100+DATOS!$C$26*N(P48))/1000))</f>
        <v/>
      </c>
      <c r="CT48" s="66" t="str">
        <f>IF(V48&lt;&gt;"SÍ","",BT48/(100*BU48))</f>
        <v/>
      </c>
      <c r="CU48" s="56" t="str">
        <f>IF(V48&lt;&gt;"SÍ","",DATOS!$C$30*2*MIN(1,SQRT(2/(1+0.04*BU48)))*CT48^(1/3)*SQRT(DATOS!$C$13)*100*BU48/1000)</f>
        <v/>
      </c>
      <c r="CV48" s="67" t="str">
        <f>IF(V48&lt;&gt;"SÍ","",IF(CS48&lt;=CU48,"CUMPLE","NO CUMPLE: sube h"))</f>
        <v/>
      </c>
      <c r="CW48" s="58" t="str">
        <f>IF(V48&lt;&gt;"SÍ","",IF(C48="PERIMETRAL",IF(ISNUMBER(R48),R48,DATOS!$C$101),0))</f>
        <v/>
      </c>
      <c r="CX48" s="57" t="str">
        <f>IF(V48&lt;&gt;"SÍ","",IF(C48="PERIMETRAL",IF(CW48&gt;2,MAX(9,AD48*(0.8+DATOS!$C$14/14000)/(36+9*(AD48/MAX(AC48,1)))),IF(CW48&gt;0.2,MAX(13,AD48*(0.8+DATOS!$C$14/14000)/(36+5*(AD48/MAX(AC48,1))*(CW48-0.2))),MAX(13,AD48/IF(AL48&gt;0,30,33))))*IF(AND(CW48&gt;0.2,AL48&gt;0,DATOS!$C$102="NO"),1.1,1),Z48*100/DATOS!$C$142))</f>
        <v/>
      </c>
      <c r="CY48" s="61" t="str">
        <f>IF(V48&lt;&gt;"SÍ","",IF(W48&gt;=CX48-0.001,"CUMPLE",IF(C48="VOLADO","NO CUMPLE","CALCULAR FLECHA")))</f>
        <v/>
      </c>
      <c r="CZ48" s="60" t="str">
        <f>IF(V48&lt;&gt;"SÍ","",IF(C48="VOLADO",MIN(CEILING(IF(ISNUMBER(Q48),Q48,Z48)*100,5),CEILING(MAX(IF((0.5*(0.9*W48/100*DATOS!$C$16)*IF(ISNUMBER(Q48),Q48,Z48)+AY48/IF(ISNUMBER(Q48),Q48,Z48))^2-4*(0.5*(0.9*W48/100*DATOS!$C$16))*AY48&lt;0,IF(ISNUMBER(Q48),Q48,Z48),MIN(IF(ISNUMBER(Q48),Q48,Z48),((0.5*(0.9*W48/100*DATOS!$C$16)*IF(ISNUMBER(Q48),Q48,Z48)+AY48/IF(ISNUMBER(Q48),Q48,Z48))-SQRT((0.5*(0.9*W48/100*DATOS!$C$16)*IF(ISNUMBER(Q48),Q48,Z48)+AY48/IF(ISNUMBER(Q48),Q48,Z48))^2-4*(0.5*(0.9*W48/100*DATOS!$C$16))*AY48))/(2*(0.5*(0.9*W48/100*DATOS!$C$16)))))*100+MAX(BU48,12*INDEX(TABLAS!$C$52:$C$58,MATCH(BR48,TABLAS!$B$52:$B$58,0)),IF(ISNUMBER(Q48),Q48,Z48)*100/16),IF(OR(AF48&lt;INDEX(TABLAS!$C$52:$C$58,MATCH(BR48,TABLAS!$B$52:$B$58,0)),BS48-INDEX(TABLAS!$C$52:$C$58,MATCH(BR48,TABLAS!$B$52:$B$58,0))&lt;2*INDEX(TABLAS!$C$52:$C$58,MATCH(BR48,TABLAS!$B$52:$B$58,0))),INDEX(TABLAS!$I$52:$I$58,MATCH(BR48,TABLAS!$B$52:$B$58,0)),INDEX(TABLAS!$F$52:$F$58,MATCH(BR48,TABLAS!$B$52:$B$58,0)))),5)),IF(((4*((AV48*AK48*Z48^2*1E-4/1000)+((MAX(AR48,AT48)*AK48*Z48^2*1E-4/1000)+(IF(AND(AR48&gt;0,AT48&gt;0),MIN(AR48,AT48),MAX(AR48,AT48))*AK48*Z48^2*1E-4/1000))/2)+AY48-(IF(AND(AR48&gt;0,AT48&gt;0),MIN(AR48,AT48),MAX(AR48,AT48))*AK48*Z48^2*1E-4/1000))^2-16*((AV48*AK48*Z48^2*1E-4/1000)+((MAX(AR48,AT48)*AK48*Z48^2*1E-4/1000)+(IF(AND(AR48&gt;0,AT48&gt;0),MIN(AR48,AT48),MAX(AR48,AT48))*AK48*Z48^2*1E-4/1000))/2)*AY48)&lt;0,CEILING(AC48,5),CEILING(MAX(AC48*((4*((AV48*AK48*Z48^2*1E-4/1000)+((MAX(AR48,AT48)*AK48*Z48^2*1E-4/1000)+(IF(AND(AR48&gt;0,AT48&gt;0),MIN(AR48,AT48),MAX(AR48,AT48))*AK48*Z48^2*1E-4/1000))/2)+AY48-(IF(AND(AR48&gt;0,AT48&gt;0),MIN(AR48,AT48),MAX(AR48,AT48))*AK48*Z48^2*1E-4/1000))-SQRT(MAX(0,((4*((AV48*AK48*Z48^2*1E-4/1000)+((MAX(AR48,AT48)*AK48*Z48^2*1E-4/1000)+(IF(AND(AR48&gt;0,AT48&gt;0),MIN(AR48,AT48),MAX(AR48,AT48))*AK48*Z48^2*1E-4/1000))/2)+AY48-(IF(AND(AR48&gt;0,AT48&gt;0),MIN(AR48,AT48),MAX(AR48,AT48))*AK48*Z48^2*1E-4/1000))^2-16*((AV48*AK48*Z48^2*1E-4/1000)+((MAX(AR48,AT48)*AK48*Z48^2*1E-4/1000)+(IF(AND(AR48&gt;0,AT48&gt;0),MIN(AR48,AT48),MAX(AR48,AT48))*AK48*Z48^2*1E-4/1000))/2)*AY48))))/(8*MAX(((AV48*AK48*Z48^2*1E-4/1000)+((MAX(AR48,AT48)*AK48*Z48^2*1E-4/1000)+(IF(AND(AR48&gt;0,AT48&gt;0),MIN(AR48,AT48),MAX(AR48,AT48))*AK48*Z48^2*1E-4/1000))/2),1E-9))+MAX(BU48,12*INDEX(TABLAS!$C$52:$C$58,MATCH(BR48,TABLAS!$B$52:$B$58,0)),AC48/16),IF(OR(AF48&lt;INDEX(TABLAS!$C$52:$C$58,MATCH(BR48,TABLAS!$B$52:$B$58,0)),BS48-INDEX(TABLAS!$C$52:$C$58,MATCH(BR48,TABLAS!$B$52:$B$58,0))&lt;2*INDEX(TABLAS!$C$52:$C$58,MATCH(BR48,TABLAS!$B$52:$B$58,0))),INDEX(TABLAS!$I$52:$I$58,MATCH(BR48,TABLAS!$B$52:$B$58,0)),INDEX(TABLAS!$F$52:$F$58,MATCH(BR48,TABLAS!$B$52:$B$58,0)))),5))))</f>
        <v/>
      </c>
      <c r="DA48" s="60" t="str">
        <f>IF(V48&lt;&gt;"SÍ","",IF(C48="VOLADO",0,IF(((4*((AW48*AK48*Z48^2*1E-4/1000)+((MAX(AS48,AU48)*AK48*Z48^2*1E-4/1000)+(IF(AND(AS48&gt;0,AU48&gt;0),MIN(AS48,AU48),MAX(AS48,AU48))*AK48*Z48^2*1E-4/1000))/2)+BA48-(IF(AND(AS48&gt;0,AU48&gt;0),MIN(AS48,AU48),MAX(AS48,AU48))*AK48*Z48^2*1E-4/1000))^2-16*((AW48*AK48*Z48^2*1E-4/1000)+((MAX(AS48,AU48)*AK48*Z48^2*1E-4/1000)+(IF(AND(AS48&gt;0,AU48&gt;0),MIN(AS48,AU48),MAX(AS48,AU48))*AK48*Z48^2*1E-4/1000))/2)*BA48)&lt;0,CEILING(AD48,5),CEILING(MAX(AD48*((4*((AW48*AK48*Z48^2*1E-4/1000)+((MAX(AS48,AU48)*AK48*Z48^2*1E-4/1000)+(IF(AND(AS48&gt;0,AU48&gt;0),MIN(AS48,AU48),MAX(AS48,AU48))*AK48*Z48^2*1E-4/1000))/2)+BA48-(IF(AND(AS48&gt;0,AU48&gt;0),MIN(AS48,AU48),MAX(AS48,AU48))*AK48*Z48^2*1E-4/1000))-SQRT(MAX(0,((4*((AW48*AK48*Z48^2*1E-4/1000)+((MAX(AS48,AU48)*AK48*Z48^2*1E-4/1000)+(IF(AND(AS48&gt;0,AU48&gt;0),MIN(AS48,AU48),MAX(AS48,AU48))*AK48*Z48^2*1E-4/1000))/2)+BA48-(IF(AND(AS48&gt;0,AU48&gt;0),MIN(AS48,AU48),MAX(AS48,AU48))*AK48*Z48^2*1E-4/1000))^2-16*((AW48*AK48*Z48^2*1E-4/1000)+((MAX(AS48,AU48)*AK48*Z48^2*1E-4/1000)+(IF(AND(AS48&gt;0,AU48&gt;0),MIN(AS48,AU48),MAX(AS48,AU48))*AK48*Z48^2*1E-4/1000))/2)*BA48))))/(8*MAX(((AW48*AK48*Z48^2*1E-4/1000)+((MAX(AS48,AU48)*AK48*Z48^2*1E-4/1000)+(IF(AND(AS48&gt;0,AU48&gt;0),MIN(AS48,AU48),MAX(AS48,AU48))*AK48*Z48^2*1E-4/1000))/2),1E-9))+MAX(CO48,12*INDEX(TABLAS!$C$52:$C$58,MATCH(CL48,TABLAS!$B$52:$B$58,0)),AD48/16),IF(OR(AF48&lt;INDEX(TABLAS!$C$52:$C$58,MATCH(CL48,TABLAS!$B$52:$B$58,0)),CM48-INDEX(TABLAS!$C$52:$C$58,MATCH(CL48,TABLAS!$B$52:$B$58,0))&lt;2*INDEX(TABLAS!$C$52:$C$58,MATCH(CL48,TABLAS!$B$52:$B$58,0))),INDEX(TABLAS!$I$52:$I$58,MATCH(CL48,TABLAS!$B$52:$B$58,0)),INDEX(TABLAS!$F$52:$F$58,MATCH(CL48,TABLAS!$B$52:$B$58,0)))),5))))</f>
        <v/>
      </c>
      <c r="DB48" s="55" t="str">
        <f>IF(V48&lt;&gt;"SÍ","",IF(AND(C48="PERIMETRAL",AL48-AM48&gt;0,AT48&gt;0),"SÍ","NO"))</f>
        <v/>
      </c>
      <c r="DC48" s="55" t="str">
        <f>IF(V48&lt;&gt;"SÍ","",IF(AND(C48="PERIMETRAL",AM48&gt;0,AU48&gt;0),"SÍ","NO"))</f>
        <v/>
      </c>
      <c r="DD48" s="63" t="str">
        <f>IF(V48&lt;&gt;"SÍ","",IF(OR(C48="VOLADO",AL48=0),"—",IF(AND(AND(INDEX(TABLAS!$G$52:$G$58,MATCH(MAX(BR48,CL48),TABLAS!$B$52:$B$58,0))&lt;=(DATOS!$C$72-DATOS!$C$60),(DATOS!$C$72-DATOS!$C$60)&gt;=15),8*INDEX(TABLAS!$C$52:$C$58,MATCH(MAX(BH48,CB48,BR48,CL48),TABLAS!$B$52:$B$58,0))&lt;=DATOS!$C$73-2*DATOS!$C$60),"CUMPLE (gancho de 180°)",IF(AND(INDEX(TABLAS!$G$52:$G$58,MATCH(MAX(BR48,CL48),TABLAS!$B$52:$B$58,0))&lt;=(DATOS!$C$72-DATOS!$C$60),(DATOS!$C$72-DATOS!$C$60)&gt;=15),"NO CUMPLE: el gancho de 180° (8·d_b) no cabe en el peralte de la dala de borde","NO CUMPLE: dala de borde ≥ "&amp;TEXT(CEILING(MAX(INDEX(TABLAS!$G$52:$G$58,MATCH(MAX(BR48,CL48),TABLAS!$B$52:$B$58,0)),15)+DATOS!$C$60,5),"0")&amp;" cm de ancho"&amp;IF(8*INDEX(TABLAS!$C$52:$C$58,MATCH(MAX(BH48,CB48,BR48,CL48),TABLAS!$B$52:$B$58,0))&lt;=DATOS!$C$73-2*DATOS!$C$60,""," y más peralte para el gancho")))))</f>
        <v/>
      </c>
      <c r="DE48" s="69" t="str">
        <f>IF(V48&lt;&gt;"SÍ","",IF(BI48=0,"NO ALCANZA","No. "&amp;BH48&amp;" @ "&amp;BI48&amp;" cm"&amp;IF(C48="VOLADO"," (temperatura)","")))</f>
        <v/>
      </c>
      <c r="DF48" s="69" t="str">
        <f>IF(V48&lt;&gt;"SÍ","",IF(BS48=0,"NO ALCANZA",IF(C48="VOLADO","No. "&amp;BR48&amp;" @ "&amp;BS48&amp;" cm"&amp;" de la orilla al respaldo ("&amp;IF(CZ48&gt;=100*IF(ISNUMBER(Q48),Q48,Z48),"hasta su apoyo lejano, con gancho","entran "&amp;TEXT(CZ48/100,"0.00")&amp;" m desde el paño")&amp;")","Bastones "&amp;"No. "&amp;BR48&amp;" @ "&amp;BS48&amp;" cm"&amp;", L = "&amp;TEXT(CZ48/100,"0.00")&amp;" m desde el paño")))</f>
        <v/>
      </c>
      <c r="DG48" s="69" t="str">
        <f>IF(V48&lt;&gt;"SÍ","",IF(CC48=0,"NO ALCANZA","No. "&amp;CB48&amp;" @ "&amp;CC48&amp;" cm"&amp;IF(C48="VOLADO"," (repartición)","")))</f>
        <v/>
      </c>
      <c r="DH48" s="69" t="str">
        <f>IF(V48&lt;&gt;"SÍ","",IF(CM48=0,"NO ALCANZA",IF(C48="VOLADO","No. "&amp;CL48&amp;" @ "&amp;CM48&amp;" cm"&amp;" (repartición)","Bastones "&amp;"No. "&amp;CL48&amp;" @ "&amp;CM48&amp;" cm"&amp;", L = "&amp;TEXT(DA48/100,"0.00")&amp;" m desde el paño")))</f>
        <v/>
      </c>
      <c r="DI48" s="67" t="str">
        <f>IF(B48="","",IF(V48&lt;&gt;"SÍ","FALTAN DATOS: tipo, a_x, a_y y destino",IF(L48="NO MONOLÍTICO (caso II)","FUERA DE ALCANCE: caso II no transcrito",IF(AND(C48="VOLADO",X48="?"),"REVISAR: el volado lleva UN solo borde CONTINUO (el empotrado)",IF(AND(MAX(BM48,BW48,CG48,CQ48)&lt;=1,NOT(OR(BI48&lt;DATOS!$C$140,BS48&lt;DATOS!$C$140,CC48&lt;DATOS!$C$140,CM48&lt;DATOS!$C$140)),NOT(OR(AND(ISNUMBER(BN48),BN48&lt;0.005),AND(ISNUMBER(BX48),BX48&lt;0.005),AND(ISNUMBER(CH48),CH48&lt;0.005),AND(ISNUMBER(CR48),CR48&lt;0.005))),CV48="CUMPLE",CY48="CUMPLE"),"CUMPLE"&amp;IF(LEFT(BB48,5)="FUERA"," · fuera de 3.4.2.1 c)","")&amp;IF(LEFT(DD48,2)="NO"," · REVISAR anclaje en borde discontinuo",""),IF(AND(MAX(BM48,BW48,CG48,CQ48)&lt;=1,NOT(OR(BI48&lt;DATOS!$C$140,BS48&lt;DATOS!$C$140,CC48&lt;DATOS!$C$140,CM48&lt;DATOS!$C$140)),NOT(OR(AND(ISNUMBER(BN48),BN48&lt;0.005),AND(ISNUMBER(BX48),BX48&lt;0.005),AND(ISNUMBER(CH48),CH48&lt;0.005),AND(ISNUMBER(CR48),CR48&lt;0.005))),CV48="CUMPLE",CY48="CALCULAR FLECHA"),"REVISAR: calcular flecha (h &lt; h mín.)"&amp;IF(LEFT(BB48,5)="FUERA"," · fuera de 3.4.2.1 c)","")&amp;IF(LEFT(DD48,2)="NO"," · REVISAR anclaje en borde discontinuo",""),"NO CUMPLE: "&amp;IF(MAX(BM48,BW48,CG48,CQ48)&gt;1,"flexión ","")&amp;IF(OR(BI48&lt;DATOS!$C$140,BS48&lt;DATOS!$C$140,CC48&lt;DATOS!$C$140,CM48&lt;DATOS!$C$140),"separación &lt; mínima ","")&amp;IF(OR(AND(ISNUMBER(BN48),BN48&lt;0.005),AND(ISNUMBER(BX48),BX48&lt;0.005),AND(ISNUMBER(CH48),CH48&lt;0.005),AND(ISNUMBER(CR48),CR48&lt;0.005)),"ε_t &lt; 0.005 ","")&amp;IF(CV48&lt;&gt;"CUMPLE","cortante ","")&amp;IF(CY48="NO CUMPLE","peralte","")))))))</f>
        <v/>
      </c>
      <c r="DJ48" s="70" t="str">
        <f>IF(V48&lt;&gt;"SÍ","",IF(LEFT(B48,7)="EJEMPLO","EJEMPLO de tablero típico: bórralo o sobrescríbelo. ","")&amp;IF(C48="VOLADO","Volado de "&amp;TEXT(Z48,"0.00")&amp;" m empotrado en el borde "&amp;LOWER(X48)&amp;IF(N(P48)&gt;0,", con "&amp;TEXT(P48,"0.0")&amp;" kg/m en la orilla","")&amp;". Lecho inferior con r_ext. Si la orilla carga pretil u otro elemento frágil, calcula la flecha (13.4). El acero superior entra al respaldo de "&amp;TEXT(IF(ISNUMBER(Q48),Q48,Z48),"0.00")&amp;" m"&amp;IF(ISNUMBER(Q48),""," (L_b no capturado: se tomó igual al volado)")&amp;" hasta pasar M = 0 con 0.9·PP sin carga viva; si ahí no se anula, llega al apoyo lejano y se ancla con gancho. ","")&amp;IF(LEFT(BB48,5)="FUERA","El M⁻ del vecino difiere más de 50 % (3.4.2.1 c): distribuye el desequilibrio (3.4.3.1) o confirma con un modelo; se arma con el mayor. ","")&amp;IF(OR(DB48="SÍ",DC48="SÍ"),"Bastones también en los bordes discontinuos (M⁻ de tabla), con gancho. ","")&amp;IF(LEFT(DD48,2)="NO","Anclaje: "&amp;DD48&amp;" (6.7.7.4.1.1). ","")&amp;IF(OR(AT48&gt;0,AU48&gt;0),"Esquinas exteriores sobre muro: refuerzo de esquina arriba y abajo en L_largo/5 (6.7.7.3.1). ",""))</f>
        <v/>
      </c>
    </row>
  </sheetData>
  <mergeCells count="31">
    <mergeCell ref="B1:DJ1"/>
    <mergeCell ref="AL5:AO5"/>
    <mergeCell ref="CW6:CY6"/>
    <mergeCell ref="BO5:BX5"/>
    <mergeCell ref="V5:AF5"/>
    <mergeCell ref="CZ6:DD6"/>
    <mergeCell ref="AX5:BD5"/>
    <mergeCell ref="AP5:AW5"/>
    <mergeCell ref="CS6:CV6"/>
    <mergeCell ref="AG6:AK6"/>
    <mergeCell ref="CI5:CR5"/>
    <mergeCell ref="DE5:DJ5"/>
    <mergeCell ref="AL6:AO6"/>
    <mergeCell ref="BE6:BN6"/>
    <mergeCell ref="AX6:BD6"/>
    <mergeCell ref="BO6:BX6"/>
    <mergeCell ref="BY6:CH6"/>
    <mergeCell ref="BE5:BN5"/>
    <mergeCell ref="V6:AF6"/>
    <mergeCell ref="CI6:CR6"/>
    <mergeCell ref="BY5:CH5"/>
    <mergeCell ref="AP6:AW6"/>
    <mergeCell ref="DE6:DJ6"/>
    <mergeCell ref="B3:DJ3"/>
    <mergeCell ref="CW5:CY5"/>
    <mergeCell ref="CS5:CV5"/>
    <mergeCell ref="B6:U6"/>
    <mergeCell ref="AG5:AK5"/>
    <mergeCell ref="B2:DJ2"/>
    <mergeCell ref="CZ5:DD5"/>
    <mergeCell ref="B5:U5"/>
  </mergeCells>
  <conditionalFormatting sqref="V9:V48">
    <cfRule type="expression" priority="1" dxfId="0" stopIfTrue="1">
      <formula>OR(ISNUMBER(FIND("NO CUMPLE",V9)),ISNUMBER(FIND("REVISAR",V9)),ISNUMBER(FIND("NO CABE",V9)),ISNUMBER(FIND("FUERA",V9)),ISNUMBER(FIND("FALTA",V9)),ISNUMBER(FIND("INSUFICIENTE",V9)),ISNUMBER(FIND("PENDIENTE",V9)))</formula>
    </cfRule>
    <cfRule type="expression" priority="2" dxfId="1" stopIfTrue="1">
      <formula>OR(ISNUMBER(FIND("CUMPLE",V9)),ISNUMBER(FIND("SÍ aplica",V9)),ISNUMBER(FIND("MANDA",V9)))</formula>
    </cfRule>
    <cfRule type="expression" priority="3" dxfId="2" stopIfTrue="1">
      <formula>OR(ISNUMBER(FIND("MACIZAR",V9)),ISNUMBER(FIND("CALCULAR",V9)),ISNUMBER(FIND("PROPUESTO",V9)),ISNUMBER(FIND("VER ",V9)))</formula>
    </cfRule>
  </conditionalFormatting>
  <conditionalFormatting sqref="DI9:DI48">
    <cfRule type="expression" priority="4" dxfId="0" stopIfTrue="1">
      <formula>OR(ISNUMBER(FIND("NO CUMPLE",DI9)),ISNUMBER(FIND("REVISAR",DI9)),ISNUMBER(FIND("NO CABE",DI9)),ISNUMBER(FIND("FUERA",DI9)),ISNUMBER(FIND("FALTA",DI9)),ISNUMBER(FIND("INSUFICIENTE",DI9)),ISNUMBER(FIND("PENDIENTE",DI9)))</formula>
    </cfRule>
    <cfRule type="expression" priority="5" dxfId="1" stopIfTrue="1">
      <formula>OR(ISNUMBER(FIND("CUMPLE",DI9)),ISNUMBER(FIND("SÍ aplica",DI9)),ISNUMBER(FIND("MANDA",DI9)))</formula>
    </cfRule>
    <cfRule type="expression" priority="6" dxfId="2" stopIfTrue="1">
      <formula>OR(ISNUMBER(FIND("MACIZAR",DI9)),ISNUMBER(FIND("CALCULAR",DI9)),ISNUMBER(FIND("PROPUESTO",DI9)),ISNUMBER(FIND("VER ",DI9)))</formula>
    </cfRule>
  </conditionalFormatting>
  <conditionalFormatting sqref="CV9:CV48">
    <cfRule type="expression" priority="7" dxfId="0" stopIfTrue="1">
      <formula>OR(ISNUMBER(FIND("NO CUMPLE",CV9)),ISNUMBER(FIND("REVISAR",CV9)),ISNUMBER(FIND("NO CABE",CV9)),ISNUMBER(FIND("FUERA",CV9)),ISNUMBER(FIND("FALTA",CV9)),ISNUMBER(FIND("INSUFICIENTE",CV9)),ISNUMBER(FIND("PENDIENTE",CV9)))</formula>
    </cfRule>
    <cfRule type="expression" priority="8" dxfId="1" stopIfTrue="1">
      <formula>OR(ISNUMBER(FIND("CUMPLE",CV9)),ISNUMBER(FIND("SÍ aplica",CV9)),ISNUMBER(FIND("MANDA",CV9)))</formula>
    </cfRule>
    <cfRule type="expression" priority="9" dxfId="2" stopIfTrue="1">
      <formula>OR(ISNUMBER(FIND("MACIZAR",CV9)),ISNUMBER(FIND("CALCULAR",CV9)),ISNUMBER(FIND("PROPUESTO",CV9)),ISNUMBER(FIND("VER ",CV9)))</formula>
    </cfRule>
  </conditionalFormatting>
  <conditionalFormatting sqref="CY9:CY48">
    <cfRule type="expression" priority="10" dxfId="0" stopIfTrue="1">
      <formula>OR(ISNUMBER(FIND("NO CUMPLE",CY9)),ISNUMBER(FIND("REVISAR",CY9)),ISNUMBER(FIND("NO CABE",CY9)),ISNUMBER(FIND("FUERA",CY9)),ISNUMBER(FIND("FALTA",CY9)),ISNUMBER(FIND("INSUFICIENTE",CY9)),ISNUMBER(FIND("PENDIENTE",CY9)))</formula>
    </cfRule>
    <cfRule type="expression" priority="11" dxfId="1" stopIfTrue="1">
      <formula>OR(ISNUMBER(FIND("CUMPLE",CY9)),ISNUMBER(FIND("SÍ aplica",CY9)),ISNUMBER(FIND("MANDA",CY9)))</formula>
    </cfRule>
    <cfRule type="expression" priority="12" dxfId="2" stopIfTrue="1">
      <formula>OR(ISNUMBER(FIND("MACIZAR",CY9)),ISNUMBER(FIND("CALCULAR",CY9)),ISNUMBER(FIND("PROPUESTO",CY9)),ISNUMBER(FIND("VER ",CY9)))</formula>
    </cfRule>
  </conditionalFormatting>
  <conditionalFormatting sqref="BB9:BB48">
    <cfRule type="expression" priority="13" dxfId="0" stopIfTrue="1">
      <formula>OR(ISNUMBER(FIND("NO CUMPLE",BB9)),ISNUMBER(FIND("REVISAR",BB9)),ISNUMBER(FIND("NO CABE",BB9)),ISNUMBER(FIND("FUERA",BB9)),ISNUMBER(FIND("FALTA",BB9)),ISNUMBER(FIND("INSUFICIENTE",BB9)),ISNUMBER(FIND("PENDIENTE",BB9)))</formula>
    </cfRule>
    <cfRule type="expression" priority="14" dxfId="1" stopIfTrue="1">
      <formula>OR(ISNUMBER(FIND("CUMPLE",BB9)),ISNUMBER(FIND("SÍ aplica",BB9)),ISNUMBER(FIND("MANDA",BB9)))</formula>
    </cfRule>
    <cfRule type="expression" priority="15" dxfId="2" stopIfTrue="1">
      <formula>OR(ISNUMBER(FIND("MACIZAR",BB9)),ISNUMBER(FIND("CALCULAR",BB9)),ISNUMBER(FIND("PROPUESTO",BB9)),ISNUMBER(FIND("VER ",BB9)))</formula>
    </cfRule>
  </conditionalFormatting>
  <conditionalFormatting sqref="DD9:DD48">
    <cfRule type="expression" priority="16" dxfId="0" stopIfTrue="1">
      <formula>OR(ISNUMBER(FIND("NO CUMPLE",DD9)),ISNUMBER(FIND("REVISAR",DD9)),ISNUMBER(FIND("NO CABE",DD9)),ISNUMBER(FIND("FUERA",DD9)),ISNUMBER(FIND("FALTA",DD9)),ISNUMBER(FIND("INSUFICIENTE",DD9)),ISNUMBER(FIND("PENDIENTE",DD9)))</formula>
    </cfRule>
    <cfRule type="expression" priority="17" dxfId="1" stopIfTrue="1">
      <formula>OR(ISNUMBER(FIND("CUMPLE",DD9)),ISNUMBER(FIND("SÍ aplica",DD9)),ISNUMBER(FIND("MANDA",DD9)))</formula>
    </cfRule>
    <cfRule type="expression" priority="18" dxfId="2" stopIfTrue="1">
      <formula>OR(ISNUMBER(FIND("MACIZAR",DD9)),ISNUMBER(FIND("CALCULAR",DD9)),ISNUMBER(FIND("PROPUESTO",DD9)),ISNUMBER(FIND("VER ",DD9)))</formula>
    </cfRule>
  </conditionalFormatting>
  <dataValidations count="5">
    <dataValidation sqref="C9:C48" showDropDown="0" showInputMessage="0" showErrorMessage="1" allowBlank="1" errorTitle="Valor no válido" error="Escoge un valor de la lista" type="list">
      <formula1>LST_TIPO</formula1>
    </dataValidation>
    <dataValidation sqref="D9:D48" showDropDown="0" showInputMessage="0" showErrorMessage="1" allowBlank="1" errorTitle="Valor no válido" error="Escoge un valor de la lista" type="list">
      <formula1>LST_DEST</formula1>
    </dataValidation>
    <dataValidation sqref="K9:K48" showDropDown="0" showInputMessage="0" showErrorMessage="1" allowBlank="1" errorTitle="Valor no válido" error="Escoge un valor de la lista" type="list">
      <formula1>LST_CASO</formula1>
    </dataValidation>
    <dataValidation sqref="L9:L48" showDropDown="0" showInputMessage="0" showErrorMessage="1" allowBlank="1" errorTitle="Valor no válido" error="Escoge un valor de la lista" type="list">
      <formula1>LST_COLADO</formula1>
    </dataValidation>
    <dataValidation sqref="G9:J48" showDropDown="0" showInputMessage="0" showErrorMessage="1" allowBlank="1" errorTitle="Valor no válido" error="Escoge un valor de la lista" type="list">
      <formula1>LST_BORDE</formula1>
    </dataValidation>
  </dataValidations>
  <printOptions horizontalCentered="1"/>
  <pageMargins left="0.4" right="0.4" top="0.5" bottom="0.5" header="0.5" footer="0.5"/>
  <pageSetup orientation="landscape" paperSize="3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F12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.78" customWidth="1" min="1" max="1"/>
    <col width="46" customWidth="1" min="2" max="2"/>
    <col width="17" customWidth="1" min="3" max="3"/>
    <col width="9" customWidth="1" min="4" max="4"/>
    <col width="54" customWidth="1" min="5" max="5"/>
    <col width="44" customWidth="1" min="6" max="6"/>
  </cols>
  <sheetData>
    <row r="1" ht="26" customHeight="1">
      <c r="B1" s="1" t="inlineStr">
        <is>
          <t>DETALLE — MEMORIA DE CÁLCULO PASO A PASO DE UN TABLERO</t>
        </is>
      </c>
    </row>
    <row r="2" ht="30" customHeight="1">
      <c r="B2" s="2" t="inlineStr">
        <is>
          <t>Escoge el tablero en la celda amarilla (N = losa nervada, M = losa maciza). Cada paso trae su fórmula y su referencia; los valores salen del renglón del tablero en NERVADAS o MACIZAS. CROQUIS dibuja este mismo tablero.</t>
        </is>
      </c>
    </row>
    <row r="3" ht="6" customHeight="1"/>
    <row r="4" ht="21" customHeight="1">
      <c r="B4" s="3" t="inlineStr">
        <is>
          <t>0. TABLERO</t>
        </is>
      </c>
    </row>
    <row r="5" ht="30" customHeight="1">
      <c r="B5" s="11" t="inlineStr">
        <is>
          <t>Concepto</t>
        </is>
      </c>
      <c r="C5" s="11" t="inlineStr">
        <is>
          <t>Valor</t>
        </is>
      </c>
      <c r="D5" s="11" t="inlineStr">
        <is>
          <t>Unidad</t>
        </is>
      </c>
      <c r="E5" s="11" t="inlineStr">
        <is>
          <t>Cómo se calcula / de dónde sale</t>
        </is>
      </c>
      <c r="F5" s="11" t="inlineStr">
        <is>
          <t>Referencia</t>
        </is>
      </c>
    </row>
    <row r="6" ht="30" customHeight="1">
      <c r="B6" s="12" t="inlineStr">
        <is>
          <t>Tablero que se revisa y se dibuja</t>
        </is>
      </c>
      <c r="C6" s="13" t="inlineStr">
        <is>
          <t>N · EJEMPLO F80016 (de borde)</t>
        </is>
      </c>
      <c r="D6" s="14" t="inlineStr">
        <is>
          <t>—</t>
        </is>
      </c>
      <c r="E6" s="15" t="inlineStr">
        <is>
          <t>SELECTOR. La lista la arma el libro con los renglones capturados de NERVADAS (N) y MACIZAS (M).</t>
        </is>
      </c>
      <c r="F6" s="16" t="inlineStr">
        <is>
          <t>TABLAS sección E</t>
        </is>
      </c>
    </row>
    <row r="7" ht="30" customHeight="1">
      <c r="B7" s="12" t="inlineStr">
        <is>
          <t>Tipo de losa</t>
        </is>
      </c>
      <c r="C7" s="34" t="str">
        <f>IF(LEFT(DETALLE!$C$6,1)="N","NERVADA",IF(LEFT(DETALLE!$C$6,1)="M","MACIZA","—"))</f>
        <v>NERVADA</v>
      </c>
      <c r="D7" s="14" t="inlineStr">
        <is>
          <t>—</t>
        </is>
      </c>
      <c r="E7" s="15" t="inlineStr">
        <is>
          <t>—</t>
        </is>
      </c>
      <c r="F7" s="16" t="inlineStr">
        <is>
          <t>—</t>
        </is>
      </c>
    </row>
    <row r="8" ht="19.5" customHeight="1">
      <c r="B8" s="12" t="inlineStr">
        <is>
          <t>Nombre</t>
        </is>
      </c>
      <c r="C8" s="31" t="str">
        <f>MID(DETALLE!$C$6,5,200)</f>
        <v>EJEMPLO F80016 (de borde)</v>
      </c>
      <c r="D8" s="14" t="inlineStr">
        <is>
          <t>—</t>
        </is>
      </c>
      <c r="E8" s="15" t="inlineStr">
        <is>
          <t>—</t>
        </is>
      </c>
      <c r="F8" s="16" t="inlineStr">
        <is>
          <t>—</t>
        </is>
      </c>
    </row>
    <row r="9" ht="19.5" customHeight="1">
      <c r="B9" s="12" t="inlineStr">
        <is>
          <t>Renglón en su hoja</t>
        </is>
      </c>
      <c r="C9" s="41">
        <f>IFERROR(IF(DETALLE!$C$7="NERVADA",MATCH(DETALLE!$C$8,NERVADAS!$B$9:$B$48,0),MATCH(DETALLE!$C$8,MACIZAS!$B$9:$B$48,0)),0)</f>
        <v>2</v>
      </c>
      <c r="D9" s="14" t="inlineStr">
        <is>
          <t>—</t>
        </is>
      </c>
      <c r="E9" s="15" t="inlineStr">
        <is>
          <t>Auxiliar. 0 = no se encontró.</t>
        </is>
      </c>
      <c r="F9" s="16" t="inlineStr">
        <is>
          <t>—</t>
        </is>
      </c>
    </row>
    <row r="10" ht="19.5" customHeight="1">
      <c r="B10" s="12" t="inlineStr">
        <is>
          <t>Proyecto</t>
        </is>
      </c>
      <c r="C10" s="31" t="str">
        <f>DATOS!$C$8</f>
        <v>NOMBRE DEL PROYECTO</v>
      </c>
      <c r="D10" s="14" t="inlineStr">
        <is>
          <t>—</t>
        </is>
      </c>
      <c r="E10" s="15" t="inlineStr">
        <is>
          <t>—</t>
        </is>
      </c>
      <c r="F10" s="16" t="inlineStr">
        <is>
          <t>DATOS</t>
        </is>
      </c>
    </row>
    <row r="11" ht="30" customHeight="1">
      <c r="B11" s="12" t="inlineStr">
        <is>
          <t>ESTADO DEL TABLERO</t>
        </is>
      </c>
      <c r="C11" s="34" t="str">
        <f>IF(DETALLE!$C$9=0,"—",IF(DETALLE!$C$7="NERVADA",INDEX(NERVADAS!$DY$9:$DY$48,DETALLE!$C$9),INDEX(MACIZAS!$DI$9:$DI$48,DETALLE!$C$9)))</f>
        <v>CUMPLE</v>
      </c>
      <c r="D11" s="14" t="inlineStr">
        <is>
          <t>—</t>
        </is>
      </c>
      <c r="E11" s="15" t="inlineStr">
        <is>
          <t>Resumen de todas las revisiones (sección 13).</t>
        </is>
      </c>
      <c r="F11" s="16" t="inlineStr">
        <is>
          <t>NERVADAS / MACIZAS</t>
        </is>
      </c>
    </row>
    <row r="12" ht="6" customHeight="1"/>
    <row r="13" ht="21" customHeight="1">
      <c r="B13" s="3" t="inlineStr">
        <is>
          <t>1. DATOS DEL TABLERO</t>
        </is>
      </c>
    </row>
    <row r="14" ht="30" customHeight="1">
      <c r="B14" s="11" t="inlineStr">
        <is>
          <t>Concepto</t>
        </is>
      </c>
      <c r="C14" s="11" t="inlineStr">
        <is>
          <t>Valor</t>
        </is>
      </c>
      <c r="D14" s="11" t="inlineStr">
        <is>
          <t>Unidad</t>
        </is>
      </c>
      <c r="E14" s="11" t="inlineStr">
        <is>
          <t>Cómo se calcula / de dónde sale</t>
        </is>
      </c>
      <c r="F14" s="11" t="inlineStr">
        <is>
          <t>Referencia</t>
        </is>
      </c>
    </row>
    <row r="15" ht="30" customHeight="1">
      <c r="B15" s="12" t="inlineStr">
        <is>
          <t>Tipo (perimetral o volado)</t>
        </is>
      </c>
      <c r="C15" s="31" t="str">
        <f>IF(DETALLE!$C$9=0,"—",IF(DETALLE!$C$7="NERVADA",INDEX(NERVADAS!$C$9:$C$48,DETALLE!$C$9),INDEX(MACIZAS!$C$9:$C$48,DETALLE!$C$9)))</f>
        <v>PERIMETRAL</v>
      </c>
      <c r="D15" s="14" t="inlineStr">
        <is>
          <t>—</t>
        </is>
      </c>
      <c r="E15" s="15" t="inlineStr">
        <is>
          <t>PERIMETRAL = apoyado en sus cuatro bordes; VOLADO = empotrado en un borde.</t>
        </is>
      </c>
      <c r="F15" s="16" t="inlineStr">
        <is>
          <t>NTC-Concreto 2023 (CDMX) 3.4.2, p. 64</t>
        </is>
      </c>
    </row>
    <row r="16" ht="30" customHeight="1">
      <c r="B16" s="12" t="inlineStr">
        <is>
          <t>Destino</t>
        </is>
      </c>
      <c r="C16" s="31" t="str">
        <f>IF(DETALLE!$C$9=0,"—",IF(DETALLE!$C$7="NERVADA",INDEX(NERVADAS!$D$9:$D$48,DETALLE!$C$9),INDEX(MACIZAS!$D$9:$D$48,DETALLE!$C$9)))</f>
        <v>HABITACIÓN</v>
      </c>
      <c r="D16" s="14" t="inlineStr">
        <is>
          <t>—</t>
        </is>
      </c>
      <c r="E16" s="15" t="inlineStr">
        <is>
          <t>De la lista de DATOS sección 4.</t>
        </is>
      </c>
      <c r="F16" s="16" t="inlineStr">
        <is>
          <t>NTC-Criterios y Acciones 2023 (CDMX) Tabla 6.1.2.2, p. 11</t>
        </is>
      </c>
    </row>
    <row r="17" ht="30" customHeight="1">
      <c r="B17" s="12" t="inlineStr">
        <is>
          <t>a_x / a_y — claros a ejes</t>
        </is>
      </c>
      <c r="C17" s="31" t="str">
        <f>TEXT(IF(DETALLE!$C$9=0,0,IF(DETALLE!$C$7="NERVADA",INDEX(NERVADAS!$E$9:$E$48,DETALLE!$C$9),INDEX(MACIZAS!$E$9:$E$48,DETALLE!$C$9))),"0.000")&amp;" / "&amp;TEXT(IF(DETALLE!$C$9=0,0,IF(DETALLE!$C$7="NERVADA",INDEX(NERVADAS!$F$9:$F$48,DETALLE!$C$9),INDEX(MACIZAS!$F$9:$F$48,DETALLE!$C$9))),"0.000")</f>
        <v>4.426 / 4.000</v>
      </c>
      <c r="D17" s="14" t="inlineStr">
        <is>
          <t>m</t>
        </is>
      </c>
      <c r="E17" s="15" t="inlineStr">
        <is>
          <t>CAPTURA. A ejes, del lado seguro (la tabla admite claros libres en el caso I).</t>
        </is>
      </c>
      <c r="F17" s="16" t="inlineStr">
        <is>
          <t>NTC-Concreto 2023 (CDMX) Tabla 3.4.2.1, nota final, p. 65</t>
        </is>
      </c>
    </row>
    <row r="18" ht="30" customHeight="1">
      <c r="B18" s="12" t="inlineStr">
        <is>
          <t>Bordes (inferior · superior · izquierdo · derecho)</t>
        </is>
      </c>
      <c r="C18" s="31" t="str">
        <f>IF(DETALLE!$C$9=0,"—",IF(DETALLE!$C$7="NERVADA",INDEX(NERVADAS!$G$9:$G$48,DETALLE!$C$9),INDEX(MACIZAS!$G$9:$G$48,DETALLE!$C$9)))&amp;" · "&amp;IF(DETALLE!$C$9=0,"—",IF(DETALLE!$C$7="NERVADA",INDEX(NERVADAS!$H$9:$H$48,DETALLE!$C$9),INDEX(MACIZAS!$H$9:$H$48,DETALLE!$C$9)))&amp;" · "&amp;IF(DETALLE!$C$9=0,"—",IF(DETALLE!$C$7="NERVADA",INDEX(NERVADAS!$I$9:$I$48,DETALLE!$C$9),INDEX(MACIZAS!$I$9:$I$48,DETALLE!$C$9)))&amp;" · "&amp;IF(DETALLE!$C$9=0,"—",IF(DETALLE!$C$7="NERVADA",INDEX(NERVADAS!$J$9:$J$48,DETALLE!$C$9),INDEX(MACIZAS!$J$9:$J$48,DETALLE!$C$9)))</f>
        <v>CONTINUO · CONTINUO · DISCONTINUO · CONTINUO</v>
      </c>
      <c r="D18" s="14" t="inlineStr">
        <is>
          <t>—</t>
        </is>
      </c>
      <c r="E18" s="15" t="inlineStr">
        <is>
          <t>CONTINUO = sigue losa del otro lado. En volado el CONTINUO es el borde empotrado.</t>
        </is>
      </c>
      <c r="F18" s="16" t="inlineStr">
        <is>
          <t>—</t>
        </is>
      </c>
    </row>
    <row r="19" ht="30" customHeight="1">
      <c r="B19" s="12" t="inlineStr">
        <is>
          <t>SCM — sobrecarga muerta</t>
        </is>
      </c>
      <c r="C19" s="41">
        <f>IF(DETALLE!$C$9=0,0,IF(DETALLE!$C$7="NERVADA",INDEX(NERVADAS!$M$9:$M$48,DETALLE!$C$9),INDEX(MACIZAS!$N$9:$N$48,DETALLE!$C$9)))</f>
        <v>160</v>
      </c>
      <c r="D19" s="14" t="inlineStr">
        <is>
          <t>kg/m²</t>
        </is>
      </c>
      <c r="E19" s="15" t="inlineStr">
        <is>
          <t>CAPTURA (acabados, rellenos, plafón, divisorios repartidos).</t>
        </is>
      </c>
      <c r="F19" s="16" t="inlineStr">
        <is>
          <t>NTC-Criterios y Acciones 2023 (CDMX) 5.1.1, p. 9</t>
        </is>
      </c>
    </row>
    <row r="20" ht="30" customHeight="1">
      <c r="B20" s="12" t="inlineStr">
        <is>
          <t>Carga en la orilla del volado / L_b de respaldo</t>
        </is>
      </c>
      <c r="C20" s="31" t="str">
        <f>TEXT(N(IF(DETALLE!$C$9=0,0,IF(DETALLE!$C$7="NERVADA",INDEX(NERVADAS!$O$9:$O$48,DETALLE!$C$9),INDEX(MACIZAS!$P$9:$P$48,DETALLE!$C$9)))),"0.0")&amp;" kg/m / "&amp;IF(IF(DETALLE!$C$9=0,"—",IF(DETALLE!$C$7="NERVADA",INDEX(NERVADAS!$C$9:$C$48,DETALLE!$C$9),INDEX(MACIZAS!$C$9:$C$48,DETALLE!$C$9)))="VOLADO",TEXT(IF(IF(DETALLE!$C$9=0,0,IF(DETALLE!$C$7="NERVADA",INDEX(NERVADAS!$P$9:$P$48,DETALLE!$C$9),INDEX(MACIZAS!$Q$9:$Q$48,DETALLE!$C$9)))&gt;0,IF(DETALLE!$C$9=0,0,IF(DETALLE!$C$7="NERVADA",INDEX(NERVADAS!$P$9:$P$48,DETALLE!$C$9),INDEX(MACIZAS!$Q$9:$Q$48,DETALLE!$C$9))),IF(DETALLE!$C$9=0,0,IF(DETALLE!$C$7="NERVADA",INDEX(NERVADAS!$X$9:$X$48,DETALLE!$C$9),INDEX(MACIZAS!$Z$9:$Z$48,DETALLE!$C$9)))),"0.00")&amp;" m","—")</f>
        <v>0.0 kg/m / —</v>
      </c>
      <c r="D20" s="14" t="inlineStr">
        <is>
          <t>—</t>
        </is>
      </c>
      <c r="E20" s="15" t="inlineStr">
        <is>
          <t>Sólo volados: carga lineal de servicio en la orilla (va con FC_CM) y claro del tablero de respaldo.</t>
        </is>
      </c>
      <c r="F20" s="16" t="inlineStr">
        <is>
          <t>NTC-Criterios y Acciones 2023 (CDMX) 3.4.1 a), p. 7</t>
        </is>
      </c>
    </row>
    <row r="21" ht="6" customHeight="1"/>
    <row r="22" ht="21" customHeight="1">
      <c r="B22" s="3" t="inlineStr">
        <is>
          <t>2. GEOMETRÍA</t>
        </is>
      </c>
    </row>
    <row r="23" ht="30" customHeight="1">
      <c r="B23" s="11" t="inlineStr">
        <is>
          <t>Concepto</t>
        </is>
      </c>
      <c r="C23" s="11" t="inlineStr">
        <is>
          <t>Valor</t>
        </is>
      </c>
      <c r="D23" s="11" t="inlineStr">
        <is>
          <t>Unidad</t>
        </is>
      </c>
      <c r="E23" s="11" t="inlineStr">
        <is>
          <t>Cómo se calcula / de dónde sale</t>
        </is>
      </c>
      <c r="F23" s="11" t="inlineStr">
        <is>
          <t>Referencia</t>
        </is>
      </c>
    </row>
    <row r="24" ht="30" customHeight="1">
      <c r="B24" s="12" t="inlineStr">
        <is>
          <t>a1 — claro corto (volado: largo del volado)</t>
        </is>
      </c>
      <c r="C24" s="72">
        <f>IF(DETALLE!$C$9=0,0,IF(DETALLE!$C$7="NERVADA",INDEX(NERVADAS!$X$9:$X$48,DETALLE!$C$9),INDEX(MACIZAS!$Z$9:$Z$48,DETALLE!$C$9)))</f>
        <v>4</v>
      </c>
      <c r="D24" s="14" t="inlineStr">
        <is>
          <t>m</t>
        </is>
      </c>
      <c r="E24" s="15" t="inlineStr">
        <is>
          <t>a1 = mín(a_x, a_y); en volado, el claro perpendicular al borde empotrado.</t>
        </is>
      </c>
      <c r="F24" s="16" t="inlineStr">
        <is>
          <t>NTC-Concreto 2023 (CDMX) 3.4.2, p. 64</t>
        </is>
      </c>
    </row>
    <row r="25" ht="19.5" customHeight="1">
      <c r="B25" s="12" t="inlineStr">
        <is>
          <t>a2 — claro largo</t>
        </is>
      </c>
      <c r="C25" s="38">
        <f>IF(DETALLE!$C$9=0,0,IF(DETALLE!$C$7="NERVADA",INDEX(NERVADAS!$Y$9:$Y$48,DETALLE!$C$9),INDEX(MACIZAS!$AA$9:$AA$48,DETALLE!$C$9)))</f>
        <v>4.426</v>
      </c>
      <c r="D25" s="14" t="inlineStr">
        <is>
          <t>m</t>
        </is>
      </c>
      <c r="E25" s="15" t="inlineStr">
        <is>
          <t>a2 = máx(a_x, a_y).</t>
        </is>
      </c>
      <c r="F25" s="16" t="inlineStr">
        <is>
          <t>—</t>
        </is>
      </c>
    </row>
    <row r="26" ht="30" customHeight="1">
      <c r="B26" s="12" t="inlineStr">
        <is>
          <t>m = a1/a2 y dirección del claro corto</t>
        </is>
      </c>
      <c r="C26" s="31" t="str">
        <f>TEXT(IF(DETALLE!$C$9=0,0,IF(DETALLE!$C$7="NERVADA",INDEX(NERVADAS!$Z$9:$Z$48,DETALLE!$C$9),INDEX(MACIZAS!$AB$9:$AB$48,DETALLE!$C$9))),"0.000")&amp;" · corto ‖ "&amp;IF(DETALLE!$C$9=0,"—",IF(DETALLE!$C$7="NERVADA",INDEX(NERVADAS!$W$9:$W$48,DETALLE!$C$9),INDEX(MACIZAS!$Y$9:$Y$48,DETALLE!$C$9)))</f>
        <v>0.904 · corto ‖ Y</v>
      </c>
      <c r="D26" s="14" t="inlineStr">
        <is>
          <t>—</t>
        </is>
      </c>
      <c r="E26" s="15" t="inlineStr">
        <is>
          <t>El acero del claro corto va por fuera (más peralte); el del largo, encima.</t>
        </is>
      </c>
      <c r="F26" s="16" t="inlineStr">
        <is>
          <t>—</t>
        </is>
      </c>
    </row>
    <row r="27" ht="30" customHeight="1">
      <c r="B27" s="12" t="inlineStr">
        <is>
          <t>L_n — claros libres corto / largo</t>
        </is>
      </c>
      <c r="C27" s="31" t="str">
        <f>TEXT(IF(DETALLE!$C$9=0,0,IF(DETALLE!$C$7="NERVADA",INDEX(NERVADAS!$AA$9:$AA$48,DETALLE!$C$9),INDEX(MACIZAS!$AC$9:$AC$48,DETALLE!$C$9))),"0.0")&amp;" / "&amp;TEXT(IF(DETALLE!$C$9=0,0,IF(DETALLE!$C$7="NERVADA",INDEX(NERVADAS!$AB$9:$AB$48,DETALLE!$C$9),INDEX(MACIZAS!$AD$9:$AD$48,DETALLE!$C$9))),"0.0")</f>
        <v>385.0 / 427.6</v>
      </c>
      <c r="D27" s="14" t="inlineStr">
        <is>
          <t>cm</t>
        </is>
      </c>
      <c r="E27" s="15" t="inlineStr">
        <is>
          <t>L_n = a − b_p (volado: a − b_p/2), con b_p = ancho del apoyo (DATOS).</t>
        </is>
      </c>
      <c r="F27" s="16" t="inlineStr">
        <is>
          <t>NTC-Concreto 2023 (CDMX) 6.3.2.1, p. 117</t>
        </is>
      </c>
    </row>
    <row r="28" ht="43.5" customHeight="1">
      <c r="B28" s="12" t="inlineStr">
        <is>
          <t>Sección</t>
        </is>
      </c>
      <c r="C28" s="31" t="str">
        <f>IF(DETALLE!$C$7="NERVADA","h = "&amp;DATOS!$C$82&amp;" cm · b_w = "&amp;IF(DETALLE!$C$9=0,0,IF(DETALLE!$C$7="NERVADA",INDEX(NERVADAS!$AC$9:$AC$48,DETALLE!$C$9),0))&amp;" cm · a_c = "&amp;IF(DETALLE!$C$9=0,0,IF(DETALLE!$C$7="NERVADA",INDEX(NERVADAS!$AD$9:$AD$48,DETALLE!$C$9),0))&amp;" cm · s = "&amp;DATOS!$C$83&amp;" cm · t = "&amp;DATOS!$C$81&amp;" cm","Maciza, h = "&amp;IF(DETALLE!$C$9=0,0,IF(DETALLE!$C$7="NERVADA",0,INDEX(MACIZAS!$W$9:$W$48,DETALLE!$C$9)))&amp;" cm (franja de 1 m)")</f>
        <v>h = 25 cm · b_w = 10 cm · a_c = 60 cm · s = 70 cm · t = 6 cm</v>
      </c>
      <c r="D28" s="14" t="inlineStr">
        <is>
          <t>—</t>
        </is>
      </c>
      <c r="E28" s="15" t="inlineStr">
        <is>
          <t>Nervada: h = h_c + t, s = a_c + b_w (con b_w propio el casetón se angosta a s − b_w). Maciza: h del renglón o el de DATOS.</t>
        </is>
      </c>
      <c r="F28" s="16" t="inlineStr">
        <is>
          <t>NTC-Concreto 2023 (CDMX) 6.7.8.1.2 y 6.7.8.1.3, p. 187</t>
        </is>
      </c>
    </row>
    <row r="29" ht="19.5" customHeight="1">
      <c r="B29" s="12" t="inlineStr">
        <is>
          <t>Patín b_f corto / largo (nervada)</t>
        </is>
      </c>
      <c r="C29" s="31" t="str">
        <f>IF(DETALLE!$C$7="NERVADA",TEXT(IF(DETALLE!$C$9=0,0,IF(DETALLE!$C$7="NERVADA",INDEX(NERVADAS!$AG$9:$AG$48,DETALLE!$C$9),0)),"0.0")&amp;" / "&amp;TEXT(IF(DETALLE!$C$9=0,0,IF(DETALLE!$C$7="NERVADA",INDEX(NERVADAS!$AH$9:$AH$48,DETALLE!$C$9),0)),"0.0"),"— (b = 100 cm)")</f>
        <v>70.0 / 70.0</v>
      </c>
      <c r="D29" s="14" t="inlineStr">
        <is>
          <t>cm</t>
        </is>
      </c>
      <c r="E29" s="15" t="inlineStr">
        <is>
          <t>b_w + 2·el menor de 8t, a_c/2 y L_n/8, no más que s.</t>
        </is>
      </c>
      <c r="F29" s="16" t="inlineStr">
        <is>
          <t>NTC-Concreto 2023 (CDMX) Tabla 5.2.1.4.2, p. 89</t>
        </is>
      </c>
    </row>
    <row r="30" ht="43.5" customHeight="1">
      <c r="B30" s="12" t="inlineStr">
        <is>
          <t>¿Cumple 6.7.8 (losa encasetonada)?</t>
        </is>
      </c>
      <c r="C30" s="34" t="str">
        <f>IF(DETALLE!$C$7="NERVADA",IF(DETALLE!$C$9=0,"—",IF(DETALLE!$C$7="NERVADA",INDEX(NERVADAS!$AI$9:$AI$48,DETALLE!$C$9),"—")),"— (maciza)")</f>
        <v>SÍ</v>
      </c>
      <c r="D30" s="14" t="inlineStr">
        <is>
          <t>—</t>
        </is>
      </c>
      <c r="E30" s="15" t="inlineStr">
        <is>
          <t>Claro corto ≥ 6·a_c, a_c ≤ 80, b_w ≥ 10, h ≤ 3.5·b_w, t ≥ máx(a_c/13, 5). Si NO: losa apoyada en vigas: r de viga y V_cR sin ×1.1.</t>
        </is>
      </c>
      <c r="F30" s="16" t="inlineStr">
        <is>
          <t>NTC-Concreto 2023 (CDMX) 6.7.8.1.2 a 6.7.8.1.4, p. 187 · 6.7.8.1.9, p. 188</t>
        </is>
      </c>
    </row>
    <row r="31" ht="30" customHeight="1">
      <c r="B31" s="12" t="inlineStr">
        <is>
          <t>Recubrimiento inferior / superior</t>
        </is>
      </c>
      <c r="C31" s="31" t="str">
        <f>TEXT(IF(DETALLE!$C$9=0,0,IF(DETALLE!$C$7="NERVADA",INDEX(NERVADAS!$AJ$9:$AJ$48,DETALLE!$C$9),INDEX(MACIZAS!$AE$9:$AE$48,DETALLE!$C$9))),"0.0")&amp;" / "&amp;TEXT(IF(DETALLE!$C$9=0,0,IF(DETALLE!$C$7="NERVADA",INDEX(NERVADAS!$AK$9:$AK$48,DETALLE!$C$9),INDEX(MACIZAS!$AF$9:$AF$48,DETALLE!$C$9))),"0.0")</f>
        <v>2.0 / 2.0</v>
      </c>
      <c r="D31" s="14" t="inlineStr">
        <is>
          <t>cm</t>
        </is>
      </c>
      <c r="E31" s="15" t="inlineStr">
        <is>
          <t>r interior; r de viga si no cumple 6.7.8; r_ext en caras a la intemperie (DATOS sección 5).</t>
        </is>
      </c>
      <c r="F31" s="16" t="inlineStr">
        <is>
          <t>NTC-Concreto 2023 (CDMX) Tabla 4.14.16.a, p. 85 · Tabla 4.3.1, p. 76</t>
        </is>
      </c>
    </row>
    <row r="32" ht="6" customHeight="1"/>
    <row r="33" ht="21" customHeight="1">
      <c r="B33" s="3" t="inlineStr">
        <is>
          <t>3. CARGAS</t>
        </is>
      </c>
    </row>
    <row r="34" ht="30" customHeight="1">
      <c r="B34" s="11" t="inlineStr">
        <is>
          <t>Concepto</t>
        </is>
      </c>
      <c r="C34" s="11" t="inlineStr">
        <is>
          <t>Valor</t>
        </is>
      </c>
      <c r="D34" s="11" t="inlineStr">
        <is>
          <t>Unidad</t>
        </is>
      </c>
      <c r="E34" s="11" t="inlineStr">
        <is>
          <t>Cómo se calcula / de dónde sale</t>
        </is>
      </c>
      <c r="F34" s="11" t="inlineStr">
        <is>
          <t>Referencia</t>
        </is>
      </c>
    </row>
    <row r="35" ht="30" customHeight="1">
      <c r="B35" s="12" t="inlineStr">
        <is>
          <t>PP — peso propio de diseño</t>
        </is>
      </c>
      <c r="C35" s="41">
        <f>IF(DETALLE!$C$9=0,0,IF(DETALLE!$C$7="NERVADA",INDEX(NERVADAS!$AO$9:$AO$48,DETALLE!$C$9),INDEX(MACIZAS!$AI$9:$AI$48,DETALLE!$C$9)))</f>
        <v>307.073469387755</v>
      </c>
      <c r="D35" s="14" t="inlineStr">
        <is>
          <t>kg/m²</t>
        </is>
      </c>
      <c r="E35" s="15" t="inlineStr">
        <is>
          <t>Nervada: (h − a_c²·h_c/s²)·γc + casetón; maciza: h·γc. Más 20 + 20 de 5.1.2.1.</t>
        </is>
      </c>
      <c r="F35" s="16" t="inlineStr">
        <is>
          <t>NTC-Criterios y Acciones 2023 (CDMX) 5.1.2.1, p. 9</t>
        </is>
      </c>
    </row>
    <row r="36" ht="19.5" customHeight="1">
      <c r="B36" s="12" t="inlineStr">
        <is>
          <t>CM = PP + SCM</t>
        </is>
      </c>
      <c r="C36" s="41">
        <f>IF(DETALLE!$C$9=0,0,IF(DETALLE!$C$7="NERVADA",INDEX(NERVADAS!$AP$9:$AP$48,DETALLE!$C$9),INDEX(MACIZAS!$AJ$9:$AJ$48,DETALLE!$C$9)))</f>
        <v>467.073469387755</v>
      </c>
      <c r="D36" s="14" t="inlineStr">
        <is>
          <t>kg/m²</t>
        </is>
      </c>
      <c r="E36" s="15" t="inlineStr">
        <is>
          <t>—</t>
        </is>
      </c>
      <c r="F36" s="16" t="inlineStr">
        <is>
          <t>NTC-Criterios y Acciones 2023 (CDMX) 5.1.2.1, p. 9</t>
        </is>
      </c>
    </row>
    <row r="37" ht="30" customHeight="1">
      <c r="B37" s="12" t="inlineStr">
        <is>
          <t>W_m — carga viva máxima</t>
        </is>
      </c>
      <c r="C37" s="41">
        <f>IF(DETALLE!$C$9=0,0,IF(DETALLE!$C$7="NERVADA",INDEX(NERVADAS!$AN$9:$AN$48,DETALLE!$C$9),INDEX(MACIZAS!$AH$9:$AH$48,DETALLE!$C$9)))</f>
        <v>190</v>
      </c>
      <c r="D37" s="14" t="inlineStr">
        <is>
          <t>kg/m²</t>
        </is>
      </c>
      <c r="E37" s="15" t="inlineStr">
        <is>
          <t>Del destino o la capturada en el renglón.</t>
        </is>
      </c>
      <c r="F37" s="16" t="inlineStr">
        <is>
          <t>NTC-Criterios y Acciones 2023 (CDMX) Tabla 6.1.2.2, p. 11 · 6.1.2.1 a), p. 10</t>
        </is>
      </c>
    </row>
    <row r="38" ht="30" customHeight="1">
      <c r="B38" s="12" t="inlineStr">
        <is>
          <t>w_u — carga última</t>
        </is>
      </c>
      <c r="C38" s="33">
        <f>IF(DETALLE!$C$9=0,0,IF(DETALLE!$C$7="NERVADA",INDEX(NERVADAS!$AQ$9:$AQ$48,DETALLE!$C$9),INDEX(MACIZAS!$AK$9:$AK$48,DETALLE!$C$9)))</f>
        <v>892.195510204082</v>
      </c>
      <c r="D38" s="14" t="inlineStr">
        <is>
          <t>kg/m²</t>
        </is>
      </c>
      <c r="E38" s="15" t="inlineStr">
        <is>
          <t>El mayor de 1.3·CM + 1.5·W_m y, si el destino es azotea, 1.1·(CM + W_g).</t>
        </is>
      </c>
      <c r="F38" s="16" t="inlineStr">
        <is>
          <t>NTC-Criterios y Acciones 2023 (CDMX) 3.4.1 a) y b), p. 7 · ec. 7.3.2.1, p. 17</t>
        </is>
      </c>
    </row>
    <row r="39" ht="6" customHeight="1"/>
    <row r="40" ht="21" customHeight="1">
      <c r="B40" s="3" t="inlineStr">
        <is>
          <t>4. CASO Y COEFICIENTES (TABLA 3.4.2.1, CASO I)</t>
        </is>
      </c>
    </row>
    <row r="41" ht="30" customHeight="1">
      <c r="B41" s="11" t="inlineStr">
        <is>
          <t>Concepto</t>
        </is>
      </c>
      <c r="C41" s="11" t="inlineStr">
        <is>
          <t>Valor</t>
        </is>
      </c>
      <c r="D41" s="11" t="inlineStr">
        <is>
          <t>Unidad</t>
        </is>
      </c>
      <c r="E41" s="11" t="inlineStr">
        <is>
          <t>Cómo se calcula / de dónde sale</t>
        </is>
      </c>
      <c r="F41" s="11" t="inlineStr">
        <is>
          <t>Referencia</t>
        </is>
      </c>
    </row>
    <row r="42" ht="19.5" customHeight="1">
      <c r="B42" s="12" t="inlineStr">
        <is>
          <t>Bordes discontinuos (total / cortos)</t>
        </is>
      </c>
      <c r="C42" s="31" t="str">
        <f>IF(DETALLE!$C$9=0,0,IF(DETALLE!$C$7="NERVADA",INDEX(NERVADAS!$AR$9:$AR$48,DETALLE!$C$9),INDEX(MACIZAS!$AL$9:$AL$48,DETALLE!$C$9)))&amp;" / "&amp;IF(DETALLE!$C$9=0,0,IF(DETALLE!$C$7="NERVADA",INDEX(NERVADAS!$AS$9:$AS$48,DETALLE!$C$9),INDEX(MACIZAS!$AM$9:$AM$48,DETALLE!$C$9)))</f>
        <v>1 / 1</v>
      </c>
      <c r="D42" s="14" t="inlineStr">
        <is>
          <t>—</t>
        </is>
      </c>
      <c r="E42" s="15" t="inlineStr">
        <is>
          <t>«Corto» = borde de largo a1.</t>
        </is>
      </c>
      <c r="F42" s="16" t="inlineStr">
        <is>
          <t>—</t>
        </is>
      </c>
    </row>
    <row r="43" ht="30" customHeight="1">
      <c r="B43" s="12" t="inlineStr">
        <is>
          <t>Caso de la tabla</t>
        </is>
      </c>
      <c r="C43" s="34" t="str">
        <f>IF(DETALLE!$C$9=0,"—",IF(DETALLE!$C$7="NERVADA",INDEX(NERVADAS!$AU$9:$AU$48,DETALLE!$C$9),INDEX(MACIZAS!$AO$9:$AO$48,DETALLE!$C$9)))</f>
        <v>BORDE-CORTO</v>
      </c>
      <c r="D43" s="14" t="inlineStr">
        <is>
          <t>—</t>
        </is>
      </c>
      <c r="E43" s="15" t="inlineStr">
        <is>
          <t>Automático por bordes discontinuos, o el forzado en el renglón. Sólo caso I (colado monolítico).</t>
        </is>
      </c>
      <c r="F43" s="16" t="inlineStr">
        <is>
          <t>NTC-Concreto 2023 (CDMX) Tabla 3.4.2.1, p. 65</t>
        </is>
      </c>
    </row>
    <row r="44" ht="30" customHeight="1">
      <c r="B44" s="12" t="inlineStr">
        <is>
          <t>Coeficiente M⁻ en bordes continuos, claro corto</t>
        </is>
      </c>
      <c r="C44" s="41">
        <f>IF(DETALLE!$C$9=0,0,IF(DETALLE!$C$7="NERVADA",INDEX(NERVADAS!$AX$9:$AX$48,DETALLE!$C$9),INDEX(MACIZAS!$AR$9:$AR$48,DETALLE!$C$9)))</f>
        <v>542.774514234072</v>
      </c>
      <c r="D44" s="14" t="inlineStr">
        <is>
          <t>×10⁻⁴</t>
        </is>
      </c>
      <c r="E44" s="15" t="inlineStr">
        <is>
          <t>Interpolado linealmente en m.</t>
        </is>
      </c>
      <c r="F44" s="16" t="inlineStr">
        <is>
          <t>TABLAS sección A</t>
        </is>
      </c>
    </row>
    <row r="45" ht="30" customHeight="1">
      <c r="B45" s="12" t="inlineStr">
        <is>
          <t>Coeficiente M⁻ en bordes discontinuos, claro corto</t>
        </is>
      </c>
      <c r="C45" s="41">
        <f>IF(DETALLE!$C$9=0,0,IF(DETALLE!$C$7="NERVADA",INDEX(NERVADAS!$AZ$9:$AZ$48,DETALLE!$C$9),INDEX(MACIZAS!$AT$9:$AT$48,DETALLE!$C$9)))</f>
        <v>0</v>
      </c>
      <c r="D45" s="14" t="inlineStr">
        <is>
          <t>×10⁻⁴</t>
        </is>
      </c>
      <c r="E45" s="15" t="inlineStr">
        <is>
          <t>Interpolado linealmente en m.</t>
        </is>
      </c>
      <c r="F45" s="16" t="inlineStr">
        <is>
          <t>TABLAS sección A</t>
        </is>
      </c>
    </row>
    <row r="46" ht="19.5" customHeight="1">
      <c r="B46" s="12" t="inlineStr">
        <is>
          <t>Coeficiente M⁺, claro corto</t>
        </is>
      </c>
      <c r="C46" s="41">
        <f>IF(DETALLE!$C$9=0,0,IF(DETALLE!$C$7="NERVADA",INDEX(NERVADAS!$BB$9:$BB$48,DETALLE!$C$9),INDEX(MACIZAS!$AV$9:$AV$48,DETALLE!$C$9)))</f>
        <v>274.574785359241</v>
      </c>
      <c r="D46" s="14" t="inlineStr">
        <is>
          <t>×10⁻⁴</t>
        </is>
      </c>
      <c r="E46" s="15" t="inlineStr">
        <is>
          <t>Interpolado linealmente en m.</t>
        </is>
      </c>
      <c r="F46" s="16" t="inlineStr">
        <is>
          <t>TABLAS sección A</t>
        </is>
      </c>
    </row>
    <row r="47" ht="30" customHeight="1">
      <c r="B47" s="12" t="inlineStr">
        <is>
          <t>Coeficiente M⁻ en bordes continuos, claro largo</t>
        </is>
      </c>
      <c r="C47" s="41">
        <f>IF(DETALLE!$C$9=0,0,IF(DETALLE!$C$7="NERVADA",INDEX(NERVADAS!$AY$9:$AY$48,DETALLE!$C$9),INDEX(MACIZAS!$AS$9:$AS$48,DETALLE!$C$9)))</f>
        <v>439.28739267962</v>
      </c>
      <c r="D47" s="14" t="inlineStr">
        <is>
          <t>×10⁻⁴</t>
        </is>
      </c>
      <c r="E47" s="15" t="inlineStr">
        <is>
          <t>Interpolado linealmente en m.</t>
        </is>
      </c>
      <c r="F47" s="16" t="inlineStr">
        <is>
          <t>TABLAS sección A</t>
        </is>
      </c>
    </row>
    <row r="48" ht="30" customHeight="1">
      <c r="B48" s="12" t="inlineStr">
        <is>
          <t>Coeficiente M⁻ en bordes discontinuos, claro largo</t>
        </is>
      </c>
      <c r="C48" s="41">
        <f>IF(DETALLE!$C$9=0,0,IF(DETALLE!$C$7="NERVADA",INDEX(NERVADAS!$BA$9:$BA$48,DETALLE!$C$9),INDEX(MACIZAS!$AU$9:$AU$48,DETALLE!$C$9)))</f>
        <v>205.399909624944</v>
      </c>
      <c r="D48" s="14" t="inlineStr">
        <is>
          <t>×10⁻⁴</t>
        </is>
      </c>
      <c r="E48" s="15" t="inlineStr">
        <is>
          <t>Interpolado linealmente en m.</t>
        </is>
      </c>
      <c r="F48" s="16" t="inlineStr">
        <is>
          <t>TABLAS sección A</t>
        </is>
      </c>
    </row>
    <row r="49" ht="19.5" customHeight="1">
      <c r="B49" s="12" t="inlineStr">
        <is>
          <t>Coeficiente M⁺, claro largo</t>
        </is>
      </c>
      <c r="C49" s="41">
        <f>IF(DETALLE!$C$9=0,0,IF(DETALLE!$C$7="NERVADA",INDEX(NERVADAS!$BC$9:$BC$48,DETALLE!$C$9),INDEX(MACIZAS!$AW$9:$AW$48,DETALLE!$C$9)))</f>
        <v>263.862629914144</v>
      </c>
      <c r="D49" s="14" t="inlineStr">
        <is>
          <t>×10⁻⁴</t>
        </is>
      </c>
      <c r="E49" s="15" t="inlineStr">
        <is>
          <t>Interpolado linealmente en m.</t>
        </is>
      </c>
      <c r="F49" s="16" t="inlineStr">
        <is>
          <t>TABLAS sección A</t>
        </is>
      </c>
    </row>
    <row r="50" ht="6" customHeight="1"/>
    <row r="51" ht="21" customHeight="1">
      <c r="B51" s="3" t="inlineStr">
        <is>
          <t>5. MOMENTOS ÚLTIMOS</t>
        </is>
      </c>
    </row>
    <row r="52" ht="30" customHeight="1">
      <c r="B52" s="11" t="inlineStr">
        <is>
          <t>Concepto</t>
        </is>
      </c>
      <c r="C52" s="11" t="inlineStr">
        <is>
          <t>Valor</t>
        </is>
      </c>
      <c r="D52" s="11" t="inlineStr">
        <is>
          <t>Unidad</t>
        </is>
      </c>
      <c r="E52" s="11" t="inlineStr">
        <is>
          <t>Cómo se calcula / de dónde sale</t>
        </is>
      </c>
      <c r="F52" s="11" t="inlineStr">
        <is>
          <t>Referencia</t>
        </is>
      </c>
    </row>
    <row r="53" ht="30" customHeight="1">
      <c r="B53" s="12" t="inlineStr">
        <is>
          <t>M⁺ claro corto</t>
        </is>
      </c>
      <c r="C53" s="72">
        <f>IF(DETALLE!$C$9=0,0,IF(DETALLE!$C$7="NERVADA",INDEX(NERVADAS!$BF$9:$BF$48,DETALLE!$C$9),INDEX(MACIZAS!$AX$9:$AX$48,DETALLE!$C$9)))</f>
        <v>0.274371317598296</v>
      </c>
      <c r="D53" s="14" t="str">
        <f>IF(DETALLE!$C$7="NERVADA","t·m/nerv.","t·m/m")</f>
        <v>t·m/nerv.</v>
      </c>
      <c r="E53" s="15" t="inlineStr">
        <is>
          <t>M = coef·10⁻⁴·w_u·a1² por metro; en nervada × s (por nervadura).</t>
        </is>
      </c>
      <c r="F53" s="16" t="inlineStr">
        <is>
          <t>NTC-Concreto 2023 (CDMX) 3.4.2.1, p. 64</t>
        </is>
      </c>
    </row>
    <row r="54" ht="30" customHeight="1">
      <c r="B54" s="12" t="inlineStr">
        <is>
          <t>M⁻ claro corto</t>
        </is>
      </c>
      <c r="C54" s="72">
        <f>IF(DETALLE!$C$9=0,0,IF(DETALLE!$C$7="NERVADA",INDEX(NERVADAS!$BG$9:$BG$48,DETALLE!$C$9),INDEX(MACIZAS!$AY$9:$AY$48,DETALLE!$C$9)))</f>
        <v>0.542372302811181</v>
      </c>
      <c r="D54" s="14" t="str">
        <f>IF(DETALLE!$C$7="NERVADA","t·m/nerv.","t·m/m")</f>
        <v>t·m/nerv.</v>
      </c>
      <c r="E54" s="15" t="inlineStr">
        <is>
          <t>El mayor de borde continuo, discontinuo y el del vecino capturado. Volado: w_u·L_n²/2 + 1.3·P·L_n (× s en nervada).</t>
        </is>
      </c>
      <c r="F54" s="16" t="inlineStr">
        <is>
          <t>NTC-Concreto 2023 (CDMX) 3.4.2.1, p. 64 · NTC-Criterios y Acciones 2023 (CDMX) 3.4.1 a), p. 7</t>
        </is>
      </c>
    </row>
    <row r="55" ht="30" customHeight="1">
      <c r="B55" s="12" t="inlineStr">
        <is>
          <t>M⁺ claro largo</t>
        </is>
      </c>
      <c r="C55" s="72">
        <f>IF(DETALLE!$C$9=0,0,IF(DETALLE!$C$7="NERVADA",INDEX(NERVADAS!$BH$9:$BH$48,DETALLE!$C$9),INDEX(MACIZAS!$AZ$9:$AZ$48,DETALLE!$C$9)))</f>
        <v>0.263667100166445</v>
      </c>
      <c r="D55" s="14" t="str">
        <f>IF(DETALLE!$C$7="NERVADA","t·m/nerv.","t·m/m")</f>
        <v>t·m/nerv.</v>
      </c>
      <c r="E55" s="15" t="inlineStr">
        <is>
          <t>M = coef·10⁻⁴·w_u·a1² por metro; en nervada × s (por nervadura).</t>
        </is>
      </c>
      <c r="F55" s="16" t="inlineStr">
        <is>
          <t>NTC-Concreto 2023 (CDMX) 3.4.2.1, p. 64</t>
        </is>
      </c>
    </row>
    <row r="56" ht="19.5" customHeight="1">
      <c r="B56" s="12" t="inlineStr">
        <is>
          <t>M⁻ claro largo</t>
        </is>
      </c>
      <c r="C56" s="72">
        <f>IF(DETALLE!$C$9=0,0,IF(DETALLE!$C$7="NERVADA",INDEX(NERVADAS!$BI$9:$BI$48,DETALLE!$C$9),INDEX(MACIZAS!$BA$9:$BA$48,DETALLE!$C$9)))</f>
        <v>0.438961868170577</v>
      </c>
      <c r="D56" s="14" t="str">
        <f>IF(DETALLE!$C$7="NERVADA","t·m/nerv.","t·m/m")</f>
        <v>t·m/nerv.</v>
      </c>
      <c r="E56" s="15" t="inlineStr">
        <is>
          <t>Igual que el corto.</t>
        </is>
      </c>
      <c r="F56" s="16" t="inlineStr">
        <is>
          <t>NTC-Concreto 2023 (CDMX) 3.4.2.1, p. 64</t>
        </is>
      </c>
    </row>
    <row r="57" ht="43.5" customHeight="1">
      <c r="B57" s="12" t="inlineStr">
        <is>
          <t>3.4.2.1 c) — M⁻ del vecino</t>
        </is>
      </c>
      <c r="C57" s="34" t="str">
        <f>IF(DETALLE!$C$9=0,"—",IF(DETALLE!$C$7="NERVADA",INDEX(NERVADAS!$BJ$9:$BJ$48,DETALLE!$C$9),INDEX(MACIZAS!$BB$9:$BB$48,DETALLE!$C$9)))</f>
        <v>— (sin M⁻ del vecino)</v>
      </c>
      <c r="D57" s="14" t="inlineStr">
        <is>
          <t>—</t>
        </is>
      </c>
      <c r="E57" s="15" t="inlineStr">
        <is>
          <t>Si capturaste el M⁻ del vecino en el borde común: no debe diferir más de 50 % del menor; si difiere, distribuye (3.4.3.1) o confirma con un modelo.</t>
        </is>
      </c>
      <c r="F57" s="16" t="inlineStr">
        <is>
          <t>NTC-Concreto 2023 (CDMX) 3.4.2.1 c) y 3.4.3.1, p. 64</t>
        </is>
      </c>
    </row>
    <row r="58" ht="6" customHeight="1"/>
    <row r="59" ht="21" customHeight="1">
      <c r="B59" s="3" t="inlineStr">
        <is>
          <t>6. ACERO — LECHO INFERIOR ‖ CLARO CORTO</t>
        </is>
      </c>
    </row>
    <row r="60" ht="30" customHeight="1">
      <c r="B60" s="11" t="inlineStr">
        <is>
          <t>Concepto</t>
        </is>
      </c>
      <c r="C60" s="11" t="inlineStr">
        <is>
          <t>Valor</t>
        </is>
      </c>
      <c r="D60" s="11" t="inlineStr">
        <is>
          <t>Unidad</t>
        </is>
      </c>
      <c r="E60" s="11" t="inlineStr">
        <is>
          <t>Cómo se calcula / de dónde sale</t>
        </is>
      </c>
      <c r="F60" s="11" t="inlineStr">
        <is>
          <t>Referencia</t>
        </is>
      </c>
    </row>
    <row r="61" ht="19.5" customHeight="1">
      <c r="B61" s="12" t="inlineStr">
        <is>
          <t>d — peralte efectivo con la varilla que se usa</t>
        </is>
      </c>
      <c r="C61" s="23">
        <f>IF(DETALLE!$C$9=0,0,IF(DETALLE!$C$7="NERVADA",INDEX(NERVADAS!$BO$9:$BO$48,DETALLE!$C$9),INDEX(MACIZAS!$BK$9:$BK$48,DETALLE!$C$9)))</f>
        <v>22.365</v>
      </c>
      <c r="D61" s="14" t="inlineStr">
        <is>
          <t>cm</t>
        </is>
      </c>
      <c r="E61" s="15" t="inlineStr">
        <is>
          <t>h − r − d_b/2.</t>
        </is>
      </c>
      <c r="F61" s="16" t="inlineStr">
        <is>
          <t>NTC-Concreto 2023 (CDMX) Tabla 4.14.16.a, p. 85</t>
        </is>
      </c>
    </row>
    <row r="62" ht="43.5" customHeight="1">
      <c r="B62" s="12" t="inlineStr">
        <is>
          <t>As requerida</t>
        </is>
      </c>
      <c r="C62" s="23">
        <f>IF(DETALLE!$C$9=0,0,IF(DETALLE!$C$7="NERVADA",INDEX(NERVADAS!$BL$9:$BL$48,DETALLE!$C$9),INDEX(MACIZAS!$BG$9:$BG$48,DETALLE!$C$9)))</f>
        <v>0.433619909679508</v>
      </c>
      <c r="D62" s="14" t="str">
        <f>IF(DETALLE!$C$7="NERVADA","cm²/nerv.","cm²/m")</f>
        <v>cm²/nerv.</v>
      </c>
      <c r="E62" s="15" t="inlineStr">
        <is>
          <t>q = 1 − √(1 − 2Mu/(F_R·b·d²·f''c)); As = q·f''c·b·d/fy; nervada: ≥ mín(p_min·b_w·d, 4/3·As); maciza: ≥ 0.0018·b·h. −1 = no alcanza o rebasa p_max (ε_t ≥ 0.005).</t>
        </is>
      </c>
      <c r="F62" s="16" t="inlineStr">
        <is>
          <t>NTC-Concreto 2023 (CDMX) ecs. 5.2.2.1.1.1, p. 89 · 6.3.5.1.3, p. 122 · 6.7.6.1.1, p. 175</t>
        </is>
      </c>
    </row>
    <row r="63" ht="43.5" customHeight="1">
      <c r="B63" s="12" t="inlineStr">
        <is>
          <t>Armado</t>
        </is>
      </c>
      <c r="C63" s="34" t="str">
        <f>IF(DETALLE!$C$9=0,"—",IF(DETALLE!$C$7="NERVADA",INDEX(NERVADAS!$DU$9:$DU$48,DETALLE!$C$9),INDEX(MACIZAS!$DE$9:$DE$48,DETALLE!$C$9)))</f>
        <v>1 No. 4 corrida</v>
      </c>
      <c r="D63" s="14" t="inlineStr">
        <is>
          <t>—</t>
        </is>
      </c>
      <c r="E63" s="15" t="inlineStr">
        <is>
          <t>Nervada: piezas por nervadura (la preferida o la siguiente que quepa). Maciza: varilla y separación (≤ máx., ≥ mín.).</t>
        </is>
      </c>
      <c r="F63" s="16" t="inlineStr">
        <is>
          <t>NTC-Concreto 2023 (CDMX) 6.7.6.1.3, p. 175 · 14.2.1, p. 347</t>
        </is>
      </c>
    </row>
    <row r="64" ht="19.5" customHeight="1">
      <c r="B64" s="12" t="inlineStr">
        <is>
          <t>M_R — momento resistente</t>
        </is>
      </c>
      <c r="C64" s="38">
        <f>IF(DETALLE!$C$9=0,0,IF(DETALLE!$C$7="NERVADA",INDEX(NERVADAS!$BP$9:$BP$48,DETALLE!$C$9),INDEX(MACIZAS!$BL$9:$BL$48,DETALLE!$C$9)))</f>
        <v>1.06504699658824</v>
      </c>
      <c r="D64" s="14" t="str">
        <f>IF(DETALLE!$C$7="NERVADA","t·m/nerv.","t·m/m")</f>
        <v>t·m/nerv.</v>
      </c>
      <c r="E64" s="15" t="inlineStr">
        <is>
          <t>F_R·As·fy·(d − a/2), a = As·fy/(f''c·b).</t>
        </is>
      </c>
      <c r="F64" s="16" t="inlineStr">
        <is>
          <t>NTC-Concreto 2023 (CDMX) ec. 5.2.2.1.1.1.b, p. 89</t>
        </is>
      </c>
    </row>
    <row r="65" ht="19.5" customHeight="1">
      <c r="B65" s="12" t="inlineStr">
        <is>
          <t>Mu / M_R</t>
        </is>
      </c>
      <c r="C65" s="37">
        <f>IF(DETALLE!$C$9=0,0,IF(DETALLE!$C$7="NERVADA",INDEX(NERVADAS!$BQ$9:$BQ$48,DETALLE!$C$9),INDEX(MACIZAS!$BM$9:$BM$48,DETALLE!$C$9)))</f>
        <v>0.257614282259107</v>
      </c>
      <c r="D65" s="14" t="inlineStr">
        <is>
          <t>—</t>
        </is>
      </c>
      <c r="E65" s="15" t="inlineStr">
        <is>
          <t>Debe ser ≤ 1 (9.99 = la sección no alcanza).</t>
        </is>
      </c>
      <c r="F65" s="16" t="inlineStr">
        <is>
          <t>—</t>
        </is>
      </c>
    </row>
    <row r="66" ht="30" customHeight="1">
      <c r="B66" s="12" t="inlineStr">
        <is>
          <t>ε_t — deformación del acero</t>
        </is>
      </c>
      <c r="C66" s="35">
        <f>IF(DETALLE!$C$9=0,0,IF(DETALLE!$C$7="NERVADA",INDEX(NERVADAS!$BR$9:$BR$48,DETALLE!$C$9),INDEX(MACIZAS!$BN$9:$BN$48,DETALLE!$C$9)))</f>
        <v>0.156042445866142</v>
      </c>
      <c r="D66" s="14" t="inlineStr">
        <is>
          <t>—</t>
        </is>
      </c>
      <c r="E66" s="15" t="inlineStr">
        <is>
          <t>ε_t = 0.003·(d − c)/c, c = a/β1. Debe ser ≥ 0.005 (F_R = 0.9).</t>
        </is>
      </c>
      <c r="F66" s="16" t="inlineStr">
        <is>
          <t>NTC-Concreto 2023 (CDMX) Tabla 3.8.2.2, p. 70 · 6.7.3.3.1, p. 169</t>
        </is>
      </c>
    </row>
    <row r="67" ht="6" customHeight="1"/>
    <row r="68" ht="21" customHeight="1">
      <c r="B68" s="3" t="inlineStr">
        <is>
          <t>7. ACERO — LECHO SUPERIOR ‖ CLARO CORTO</t>
        </is>
      </c>
    </row>
    <row r="69" ht="30" customHeight="1">
      <c r="B69" s="11" t="inlineStr">
        <is>
          <t>Concepto</t>
        </is>
      </c>
      <c r="C69" s="11" t="inlineStr">
        <is>
          <t>Valor</t>
        </is>
      </c>
      <c r="D69" s="11" t="inlineStr">
        <is>
          <t>Unidad</t>
        </is>
      </c>
      <c r="E69" s="11" t="inlineStr">
        <is>
          <t>Cómo se calcula / de dónde sale</t>
        </is>
      </c>
      <c r="F69" s="11" t="inlineStr">
        <is>
          <t>Referencia</t>
        </is>
      </c>
    </row>
    <row r="70" ht="57" customHeight="1">
      <c r="B70" s="12" t="inlineStr">
        <is>
          <t>d — peralte efectivo con la varilla que se usa</t>
        </is>
      </c>
      <c r="C70" s="23">
        <f>IF(DETALLE!$C$9=0,0,IF(DETALLE!$C$7="NERVADA",INDEX(NERVADAS!$BW$9:$BW$48,DETALLE!$C$9),INDEX(MACIZAS!$BU$9:$BU$48,DETALLE!$C$9)))</f>
        <v>20.793</v>
      </c>
      <c r="D70" s="14" t="inlineStr">
        <is>
          <t>cm</t>
        </is>
      </c>
      <c r="E70" s="15" t="inlineStr">
        <is>
          <t>h − máx(r, (t − 2Ø)/2) − 2·Ø − d_b/2 en nervada (la malla va al centro de la capa y la varilla pasa debajo); h − r − d_b/2 en maciza; − 2 cm si d ≤ 20 cm sin la precaución de 3.9.2.</t>
        </is>
      </c>
      <c r="F70" s="16" t="inlineStr">
        <is>
          <t>NTC-Concreto 2023 (CDMX) Tabla 4.14.16.a, p. 85 · 3.9.1 d), p. 74</t>
        </is>
      </c>
    </row>
    <row r="71" ht="43.5" customHeight="1">
      <c r="B71" s="12" t="inlineStr">
        <is>
          <t>As requerida</t>
        </is>
      </c>
      <c r="C71" s="23">
        <f>IF(DETALLE!$C$9=0,0,IF(DETALLE!$C$7="NERVADA",INDEX(NERVADAS!$BT$9:$BT$48,DETALLE!$C$9),INDEX(MACIZAS!$BQ$9:$BQ$48,DETALLE!$C$9)))</f>
        <v>0.714313186405555</v>
      </c>
      <c r="D71" s="14" t="str">
        <f>IF(DETALLE!$C$7="NERVADA","cm²/nerv.","cm²/m")</f>
        <v>cm²/nerv.</v>
      </c>
      <c r="E71" s="15" t="inlineStr">
        <is>
          <t>q = 1 − √(1 − 2Mu/(F_R·b·d²·f''c)); As = q·f''c·b·d/fy; nervada: ≥ mín(p_min·b_w·d, 4/3·As); maciza: ≥ 0.0018·b·h. −1 = no alcanza o rebasa p_max (ε_t ≥ 0.005).</t>
        </is>
      </c>
      <c r="F71" s="16" t="inlineStr">
        <is>
          <t>NTC-Concreto 2023 (CDMX) ecs. 5.2.2.1.1.1, p. 89 · 6.3.5.1.3, p. 122 · 6.7.6.1.1, p. 175</t>
        </is>
      </c>
    </row>
    <row r="72" ht="43.5" customHeight="1">
      <c r="B72" s="12" t="inlineStr">
        <is>
          <t>Armado</t>
        </is>
      </c>
      <c r="C72" s="34" t="str">
        <f>IF(DETALLE!$C$9=0,"—",IF(DETALLE!$C$7="NERVADA",INDEX(NERVADAS!$DV$9:$DV$48,DETALLE!$C$9),INDEX(MACIZAS!$DF$9:$DF$48,DETALLE!$C$9)))</f>
        <v>1 No. 4 corrida</v>
      </c>
      <c r="D72" s="14" t="inlineStr">
        <is>
          <t>—</t>
        </is>
      </c>
      <c r="E72" s="15" t="inlineStr">
        <is>
          <t>Nervada: piezas por nervadura (la preferida o la siguiente que quepa). Maciza: varilla y separación (≤ máx., ≥ mín.).</t>
        </is>
      </c>
      <c r="F72" s="16" t="inlineStr">
        <is>
          <t>NTC-Concreto 2023 (CDMX) 6.7.6.1.3, p. 175 · 14.2.1, p. 347</t>
        </is>
      </c>
    </row>
    <row r="73" ht="19.5" customHeight="1">
      <c r="B73" s="12" t="inlineStr">
        <is>
          <t>M_R — momento resistente</t>
        </is>
      </c>
      <c r="C73" s="38">
        <f>IF(DETALLE!$C$9=0,0,IF(DETALLE!$C$7="NERVADA",INDEX(NERVADAS!$BX$9:$BX$48,DETALLE!$C$9),INDEX(MACIZAS!$BV$9:$BV$48,DETALLE!$C$9)))</f>
        <v>0.937938404117647</v>
      </c>
      <c r="D73" s="14" t="str">
        <f>IF(DETALLE!$C$7="NERVADA","t·m/nerv.","t·m/m")</f>
        <v>t·m/nerv.</v>
      </c>
      <c r="E73" s="15" t="inlineStr">
        <is>
          <t>F_R·As·fy·(d − a/2), a = As·fy/(f''c·b).</t>
        </is>
      </c>
      <c r="F73" s="16" t="inlineStr">
        <is>
          <t>NTC-Concreto 2023 (CDMX) ec. 5.2.2.1.1.1.b, p. 89</t>
        </is>
      </c>
    </row>
    <row r="74" ht="19.5" customHeight="1">
      <c r="B74" s="12" t="inlineStr">
        <is>
          <t>Mu / M_R</t>
        </is>
      </c>
      <c r="C74" s="37">
        <f>IF(DETALLE!$C$9=0,0,IF(DETALLE!$C$7="NERVADA",INDEX(NERVADAS!$BY$9:$BY$48,DETALLE!$C$9),INDEX(MACIZAS!$BW$9:$BW$48,DETALLE!$C$9)))</f>
        <v>0.578260043975287</v>
      </c>
      <c r="D74" s="14" t="inlineStr">
        <is>
          <t>—</t>
        </is>
      </c>
      <c r="E74" s="15" t="inlineStr">
        <is>
          <t>Debe ser ≤ 1 (9.99 = la sección no alcanza).</t>
        </is>
      </c>
      <c r="F74" s="16" t="inlineStr">
        <is>
          <t>—</t>
        </is>
      </c>
    </row>
    <row r="75" ht="30" customHeight="1">
      <c r="B75" s="12" t="inlineStr">
        <is>
          <t>ε_t — deformación del acero</t>
        </is>
      </c>
      <c r="C75" s="35">
        <f>IF(DETALLE!$C$9=0,0,IF(DETALLE!$C$7="NERVADA",INDEX(NERVADAS!$BZ$9:$BZ$48,DETALLE!$C$9),INDEX(MACIZAS!$BX$9:$BX$48,DETALLE!$C$9)))</f>
        <v>0.0181233724690664</v>
      </c>
      <c r="D75" s="14" t="inlineStr">
        <is>
          <t>—</t>
        </is>
      </c>
      <c r="E75" s="15" t="inlineStr">
        <is>
          <t>ε_t = 0.003·(d − c)/c, c = a/β1. Debe ser ≥ 0.005 (F_R = 0.9).</t>
        </is>
      </c>
      <c r="F75" s="16" t="inlineStr">
        <is>
          <t>NTC-Concreto 2023 (CDMX) Tabla 3.8.2.2, p. 70 · 6.7.3.3.1, p. 169</t>
        </is>
      </c>
    </row>
    <row r="76" ht="6" customHeight="1"/>
    <row r="77" ht="21" customHeight="1">
      <c r="B77" s="3" t="inlineStr">
        <is>
          <t>8. ACERO — LECHO INFERIOR ‖ CLARO LARGO</t>
        </is>
      </c>
    </row>
    <row r="78" ht="30" customHeight="1">
      <c r="B78" s="11" t="inlineStr">
        <is>
          <t>Concepto</t>
        </is>
      </c>
      <c r="C78" s="11" t="inlineStr">
        <is>
          <t>Valor</t>
        </is>
      </c>
      <c r="D78" s="11" t="inlineStr">
        <is>
          <t>Unidad</t>
        </is>
      </c>
      <c r="E78" s="11" t="inlineStr">
        <is>
          <t>Cómo se calcula / de dónde sale</t>
        </is>
      </c>
      <c r="F78" s="11" t="inlineStr">
        <is>
          <t>Referencia</t>
        </is>
      </c>
    </row>
    <row r="79" ht="19.5" customHeight="1">
      <c r="B79" s="12" t="inlineStr">
        <is>
          <t>d — peralte efectivo con la varilla que se usa</t>
        </is>
      </c>
      <c r="C79" s="23">
        <f>IF(DETALLE!$C$9=0,0,IF(DETALLE!$C$7="NERVADA",INDEX(NERVADAS!$CE$9:$CE$48,DETALLE!$C$9),INDEX(MACIZAS!$CE$9:$CE$48,DETALLE!$C$9)))</f>
        <v>21.095</v>
      </c>
      <c r="D79" s="14" t="inlineStr">
        <is>
          <t>cm</t>
        </is>
      </c>
      <c r="E79" s="15" t="inlineStr">
        <is>
          <t>h − r − d_b/2 − d_b del lecho corto (va encima).</t>
        </is>
      </c>
      <c r="F79" s="16" t="inlineStr">
        <is>
          <t>NTC-Concreto 2023 (CDMX) Tabla 4.14.16.a, p. 85</t>
        </is>
      </c>
    </row>
    <row r="80" ht="43.5" customHeight="1">
      <c r="B80" s="12" t="inlineStr">
        <is>
          <t>As requerida</t>
        </is>
      </c>
      <c r="C80" s="23">
        <f>IF(DETALLE!$C$9=0,0,IF(DETALLE!$C$7="NERVADA",INDEX(NERVADAS!$CB$9:$CB$48,DETALLE!$C$9),INDEX(MACIZAS!$CA$9:$CA$48,DETALLE!$C$9)))</f>
        <v>0.44186298130692</v>
      </c>
      <c r="D80" s="14" t="str">
        <f>IF(DETALLE!$C$7="NERVADA","cm²/nerv.","cm²/m")</f>
        <v>cm²/nerv.</v>
      </c>
      <c r="E80" s="15" t="inlineStr">
        <is>
          <t>q = 1 − √(1 − 2Mu/(F_R·b·d²·f''c)); As = q·f''c·b·d/fy; nervada: ≥ mín(p_min·b_w·d, 4/3·As); maciza: ≥ 0.0018·b·h. −1 = no alcanza o rebasa p_max (ε_t ≥ 0.005).</t>
        </is>
      </c>
      <c r="F80" s="16" t="inlineStr">
        <is>
          <t>NTC-Concreto 2023 (CDMX) ecs. 5.2.2.1.1.1, p. 89 · 6.3.5.1.3, p. 122 · 6.7.6.1.1, p. 175</t>
        </is>
      </c>
    </row>
    <row r="81" ht="43.5" customHeight="1">
      <c r="B81" s="12" t="inlineStr">
        <is>
          <t>Armado</t>
        </is>
      </c>
      <c r="C81" s="34" t="str">
        <f>IF(DETALLE!$C$9=0,"—",IF(DETALLE!$C$7="NERVADA",INDEX(NERVADAS!$DW$9:$DW$48,DETALLE!$C$9),INDEX(MACIZAS!$DG$9:$DG$48,DETALLE!$C$9)))</f>
        <v>1 No. 4 corrida</v>
      </c>
      <c r="D81" s="14" t="inlineStr">
        <is>
          <t>—</t>
        </is>
      </c>
      <c r="E81" s="15" t="inlineStr">
        <is>
          <t>Nervada: piezas por nervadura (la preferida o la siguiente que quepa). Maciza: varilla y separación (≤ máx., ≥ mín.).</t>
        </is>
      </c>
      <c r="F81" s="16" t="inlineStr">
        <is>
          <t>NTC-Concreto 2023 (CDMX) 6.7.6.1.3, p. 175 · 14.2.1, p. 347</t>
        </is>
      </c>
    </row>
    <row r="82" ht="19.5" customHeight="1">
      <c r="B82" s="12" t="inlineStr">
        <is>
          <t>M_R — momento resistente</t>
        </is>
      </c>
      <c r="C82" s="38">
        <f>IF(DETALLE!$C$9=0,0,IF(DETALLE!$C$7="NERVADA",INDEX(NERVADAS!$CF$9:$CF$48,DETALLE!$C$9),INDEX(MACIZAS!$CF$9:$CF$48,DETALLE!$C$9)))</f>
        <v>1.00407937658824</v>
      </c>
      <c r="D82" s="14" t="str">
        <f>IF(DETALLE!$C$7="NERVADA","t·m/nerv.","t·m/m")</f>
        <v>t·m/nerv.</v>
      </c>
      <c r="E82" s="15" t="inlineStr">
        <is>
          <t>F_R·As·fy·(d − a/2), a = As·fy/(f''c·b).</t>
        </is>
      </c>
      <c r="F82" s="16" t="inlineStr">
        <is>
          <t>NTC-Concreto 2023 (CDMX) ec. 5.2.2.1.1.1.b, p. 89</t>
        </is>
      </c>
    </row>
    <row r="83" ht="19.5" customHeight="1">
      <c r="B83" s="12" t="inlineStr">
        <is>
          <t>Mu / M_R</t>
        </is>
      </c>
      <c r="C83" s="37">
        <f>IF(DETALLE!$C$9=0,0,IF(DETALLE!$C$7="NERVADA",INDEX(NERVADAS!$CG$9:$CG$48,DETALLE!$C$9),INDEX(MACIZAS!$CG$9:$CG$48,DETALLE!$C$9)))</f>
        <v>0.26259587271114</v>
      </c>
      <c r="D83" s="14" t="inlineStr">
        <is>
          <t>—</t>
        </is>
      </c>
      <c r="E83" s="15" t="inlineStr">
        <is>
          <t>Debe ser ≤ 1 (9.99 = la sección no alcanza).</t>
        </is>
      </c>
      <c r="F83" s="16" t="inlineStr">
        <is>
          <t>—</t>
        </is>
      </c>
    </row>
    <row r="84" ht="30" customHeight="1">
      <c r="B84" s="12" t="inlineStr">
        <is>
          <t>ε_t — deformación del acero</t>
        </is>
      </c>
      <c r="C84" s="35">
        <f>IF(DETALLE!$C$9=0,0,IF(DETALLE!$C$7="NERVADA",INDEX(NERVADAS!$CH$9:$CH$48,DETALLE!$C$9),INDEX(MACIZAS!$CH$9:$CH$48,DETALLE!$C$9)))</f>
        <v>0.147011195866142</v>
      </c>
      <c r="D84" s="14" t="inlineStr">
        <is>
          <t>—</t>
        </is>
      </c>
      <c r="E84" s="15" t="inlineStr">
        <is>
          <t>ε_t = 0.003·(d − c)/c, c = a/β1. Debe ser ≥ 0.005 (F_R = 0.9).</t>
        </is>
      </c>
      <c r="F84" s="16" t="inlineStr">
        <is>
          <t>NTC-Concreto 2023 (CDMX) Tabla 3.8.2.2, p. 70 · 6.7.3.3.1, p. 169</t>
        </is>
      </c>
    </row>
    <row r="85" ht="6" customHeight="1"/>
    <row r="86" ht="21" customHeight="1">
      <c r="B86" s="3" t="inlineStr">
        <is>
          <t>9. ACERO — LECHO SUPERIOR ‖ CLARO LARGO</t>
        </is>
      </c>
    </row>
    <row r="87" ht="30" customHeight="1">
      <c r="B87" s="11" t="inlineStr">
        <is>
          <t>Concepto</t>
        </is>
      </c>
      <c r="C87" s="11" t="inlineStr">
        <is>
          <t>Valor</t>
        </is>
      </c>
      <c r="D87" s="11" t="inlineStr">
        <is>
          <t>Unidad</t>
        </is>
      </c>
      <c r="E87" s="11" t="inlineStr">
        <is>
          <t>Cómo se calcula / de dónde sale</t>
        </is>
      </c>
      <c r="F87" s="11" t="inlineStr">
        <is>
          <t>Referencia</t>
        </is>
      </c>
    </row>
    <row r="88" ht="57" customHeight="1">
      <c r="B88" s="12" t="inlineStr">
        <is>
          <t>d — peralte efectivo con la varilla que se usa</t>
        </is>
      </c>
      <c r="C88" s="23">
        <f>IF(DETALLE!$C$9=0,0,IF(DETALLE!$C$7="NERVADA",INDEX(NERVADAS!$CM$9:$CM$48,DETALLE!$C$9),INDEX(MACIZAS!$CO$9:$CO$48,DETALLE!$C$9)))</f>
        <v>19.523</v>
      </c>
      <c r="D88" s="14" t="inlineStr">
        <is>
          <t>cm</t>
        </is>
      </c>
      <c r="E88" s="15" t="inlineStr">
        <is>
          <t>h − máx(r, (t − 2Ø)/2) − 2·Ø − d_b/2 en nervada (la malla va al centro de la capa y la varilla pasa debajo); h − r − d_b/2 en maciza; − 2 cm si d ≤ 20 cm sin la precaución de 3.9.2 − d_b del lecho corto (va encima).</t>
        </is>
      </c>
      <c r="F88" s="16" t="inlineStr">
        <is>
          <t>NTC-Concreto 2023 (CDMX) Tabla 4.14.16.a, p. 85 · 3.9.1 d), p. 74</t>
        </is>
      </c>
    </row>
    <row r="89" ht="43.5" customHeight="1">
      <c r="B89" s="12" t="inlineStr">
        <is>
          <t>As requerida</t>
        </is>
      </c>
      <c r="C89" s="23">
        <f>IF(DETALLE!$C$9=0,0,IF(DETALLE!$C$7="NERVADA",INDEX(NERVADAS!$CJ$9:$CJ$48,DETALLE!$C$9),INDEX(MACIZAS!$CK$9:$CK$48,DETALLE!$C$9)))</f>
        <v>0.650766666666667</v>
      </c>
      <c r="D89" s="14" t="str">
        <f>IF(DETALLE!$C$7="NERVADA","cm²/nerv.","cm²/m")</f>
        <v>cm²/nerv.</v>
      </c>
      <c r="E89" s="15" t="inlineStr">
        <is>
          <t>q = 1 − √(1 − 2Mu/(F_R·b·d²·f''c)); As = q·f''c·b·d/fy; nervada: ≥ mín(p_min·b_w·d, 4/3·As); maciza: ≥ 0.0018·b·h. −1 = no alcanza o rebasa p_max (ε_t ≥ 0.005).</t>
        </is>
      </c>
      <c r="F89" s="16" t="inlineStr">
        <is>
          <t>NTC-Concreto 2023 (CDMX) ecs. 5.2.2.1.1.1, p. 89 · 6.3.5.1.3, p. 122 · 6.7.6.1.1, p. 175</t>
        </is>
      </c>
    </row>
    <row r="90" ht="43.5" customHeight="1">
      <c r="B90" s="12" t="inlineStr">
        <is>
          <t>Armado</t>
        </is>
      </c>
      <c r="C90" s="34" t="str">
        <f>IF(DETALLE!$C$9=0,"—",IF(DETALLE!$C$7="NERVADA",INDEX(NERVADAS!$DX$9:$DX$48,DETALLE!$C$9),INDEX(MACIZAS!$DH$9:$DH$48,DETALLE!$C$9)))</f>
        <v>1 No. 4 corrida</v>
      </c>
      <c r="D90" s="14" t="inlineStr">
        <is>
          <t>—</t>
        </is>
      </c>
      <c r="E90" s="15" t="inlineStr">
        <is>
          <t>Nervada: piezas por nervadura (la preferida o la siguiente que quepa). Maciza: varilla y separación (≤ máx., ≥ mín.).</t>
        </is>
      </c>
      <c r="F90" s="16" t="inlineStr">
        <is>
          <t>NTC-Concreto 2023 (CDMX) 6.7.6.1.3, p. 175 · 14.2.1, p. 347</t>
        </is>
      </c>
    </row>
    <row r="91" ht="19.5" customHeight="1">
      <c r="B91" s="12" t="inlineStr">
        <is>
          <t>M_R — momento resistente</t>
        </is>
      </c>
      <c r="C91" s="38">
        <f>IF(DETALLE!$C$9=0,0,IF(DETALLE!$C$7="NERVADA",INDEX(NERVADAS!$CN$9:$CN$48,DETALLE!$C$9),INDEX(MACIZAS!$CP$9:$CP$48,DETALLE!$C$9)))</f>
        <v>0.876970784117647</v>
      </c>
      <c r="D91" s="14" t="str">
        <f>IF(DETALLE!$C$7="NERVADA","t·m/nerv.","t·m/m")</f>
        <v>t·m/nerv.</v>
      </c>
      <c r="E91" s="15" t="inlineStr">
        <is>
          <t>F_R·As·fy·(d − a/2), a = As·fy/(f''c·b).</t>
        </is>
      </c>
      <c r="F91" s="16" t="inlineStr">
        <is>
          <t>NTC-Concreto 2023 (CDMX) ec. 5.2.2.1.1.1.b, p. 89</t>
        </is>
      </c>
    </row>
    <row r="92" ht="19.5" customHeight="1">
      <c r="B92" s="12" t="inlineStr">
        <is>
          <t>Mu / M_R</t>
        </is>
      </c>
      <c r="C92" s="37">
        <f>IF(DETALLE!$C$9=0,0,IF(DETALLE!$C$7="NERVADA",INDEX(NERVADAS!$CO$9:$CO$48,DETALLE!$C$9),INDEX(MACIZAS!$CQ$9:$CQ$48,DETALLE!$C$9)))</f>
        <v>0.500543320393772</v>
      </c>
      <c r="D92" s="14" t="inlineStr">
        <is>
          <t>—</t>
        </is>
      </c>
      <c r="E92" s="15" t="inlineStr">
        <is>
          <t>Debe ser ≤ 1 (9.99 = la sección no alcanza).</t>
        </is>
      </c>
      <c r="F92" s="16" t="inlineStr">
        <is>
          <t>—</t>
        </is>
      </c>
    </row>
    <row r="93" ht="30" customHeight="1">
      <c r="B93" s="12" t="inlineStr">
        <is>
          <t>ε_t — deformación del acero</t>
        </is>
      </c>
      <c r="C93" s="35">
        <f>IF(DETALLE!$C$9=0,0,IF(DETALLE!$C$7="NERVADA",INDEX(NERVADAS!$CP$9:$CP$48,DETALLE!$C$9),INDEX(MACIZAS!$CR$9:$CR$48,DETALLE!$C$9)))</f>
        <v>0.0168331938976378</v>
      </c>
      <c r="D93" s="14" t="inlineStr">
        <is>
          <t>—</t>
        </is>
      </c>
      <c r="E93" s="15" t="inlineStr">
        <is>
          <t>ε_t = 0.003·(d − c)/c, c = a/β1. Debe ser ≥ 0.005 (F_R = 0.9).</t>
        </is>
      </c>
      <c r="F93" s="16" t="inlineStr">
        <is>
          <t>NTC-Concreto 2023 (CDMX) Tabla 3.8.2.2, p. 70 · 6.7.3.3.1, p. 169</t>
        </is>
      </c>
    </row>
    <row r="94" ht="6" customHeight="1"/>
    <row r="95" ht="21" customHeight="1">
      <c r="B95" s="3" t="inlineStr">
        <is>
          <t>10. CORTANTE</t>
        </is>
      </c>
    </row>
    <row r="96" ht="30" customHeight="1">
      <c r="B96" s="11" t="inlineStr">
        <is>
          <t>Concepto</t>
        </is>
      </c>
      <c r="C96" s="11" t="inlineStr">
        <is>
          <t>Valor</t>
        </is>
      </c>
      <c r="D96" s="11" t="inlineStr">
        <is>
          <t>Unidad</t>
        </is>
      </c>
      <c r="E96" s="11" t="inlineStr">
        <is>
          <t>Cómo se calcula / de dónde sale</t>
        </is>
      </c>
      <c r="F96" s="11" t="inlineStr">
        <is>
          <t>Referencia</t>
        </is>
      </c>
    </row>
    <row r="97" ht="43.5" customHeight="1">
      <c r="B97" s="12" t="inlineStr">
        <is>
          <t>V_u a d del paño</t>
        </is>
      </c>
      <c r="C97" s="72">
        <f>IF(DETALLE!$C$9=0,0,IF(DETALLE!$C$7="NERVADA",INDEX(NERVADAS!$CQ$9:$CQ$48,DETALLE!$C$9),INDEX(MACIZAS!$CS$9:$CS$48,DETALLE!$C$9)))</f>
        <v>0.614302109590835</v>
      </c>
      <c r="D97" s="14" t="str">
        <f>IF(DETALLE!$C$7="NERVADA","t/nerv.","t/m")</f>
        <v>t/nerv.</v>
      </c>
      <c r="E97" s="15" t="inlineStr">
        <is>
          <t>(L_n/2 − d)(0.95 − 0.5m)·w_u, ×1.15 con bordes continuos y discontinuos (× s en nervada). Volado: w_u(L_n − d) + 1.3P.</t>
        </is>
      </c>
      <c r="F97" s="16" t="inlineStr">
        <is>
          <t>NTC-Concreto 2023 (CDMX) 3.4.1.1, p. 64 · 6.7.4.3.2, p. 172</t>
        </is>
      </c>
    </row>
    <row r="98" ht="30" customHeight="1">
      <c r="B98" s="12" t="inlineStr">
        <is>
          <t>V_cR — cortante que toma el concreto</t>
        </is>
      </c>
      <c r="C98" s="72">
        <f>IF(DETALLE!$C$9=0,0,IF(DETALLE!$C$7="NERVADA",INDEX(NERVADAS!$CR$9:$CR$48,DETALLE!$C$9),INDEX(MACIZAS!$CU$9:$CU$48,DETALLE!$C$9)))</f>
        <v>0.991592632344917</v>
      </c>
      <c r="D98" s="14" t="str">
        <f>IF(DETALLE!$C$7="NERVADA","t/nerv.","t/m")</f>
        <v>t/nerv.</v>
      </c>
      <c r="E98" s="15" t="inlineStr">
        <is>
          <t>F_R·2·λs·p^⅓·√f'c·b·d (b = b_w en nervada, × 1.1 si cumple 6.7.8; b = 100 en maciza).</t>
        </is>
      </c>
      <c r="F98" s="16" t="inlineStr">
        <is>
          <t>NTC-Concreto 2023 (CDMX) ec. 5.5.3.2.1, p. 95 · 6.7.8.1.5, p. 187 · 5.5.3.8.1, p. 97</t>
        </is>
      </c>
    </row>
    <row r="99" ht="30" customHeight="1">
      <c r="B99" s="12" t="inlineStr">
        <is>
          <t>Estado (y hileras a macizar en nervada)</t>
        </is>
      </c>
      <c r="C99" s="34" t="str">
        <f>IF(DETALLE!$C$9=0,"—",IF(DETALLE!$C$7="NERVADA",INDEX(NERVADAS!$CT$9:$CT$48,DETALLE!$C$9),INDEX(MACIZAS!$CV$9:$CV$48,DETALLE!$C$9)))</f>
        <v>CUMPLE</v>
      </c>
      <c r="D99" s="14" t="inlineStr">
        <is>
          <t>—</t>
        </is>
      </c>
      <c r="E99" s="15" t="inlineStr">
        <is>
          <t>Nervada: lo que no alcanza se cubre quitando hileras de casetones junto al apoyo. Maciza: sube h.</t>
        </is>
      </c>
      <c r="F99" s="16" t="inlineStr">
        <is>
          <t>NTC-Concreto 2023 (CDMX) 5.5.3.8.1, p. 97</t>
        </is>
      </c>
    </row>
    <row r="100" ht="6" customHeight="1"/>
    <row r="101" ht="21" customHeight="1">
      <c r="B101" s="3" t="inlineStr">
        <is>
          <t>11. ESPESOR MÍNIMO (PARA OMITIR EL CÁLCULO DE FLECHAS)</t>
        </is>
      </c>
    </row>
    <row r="102" ht="30" customHeight="1">
      <c r="B102" s="11" t="inlineStr">
        <is>
          <t>Concepto</t>
        </is>
      </c>
      <c r="C102" s="11" t="inlineStr">
        <is>
          <t>Valor</t>
        </is>
      </c>
      <c r="D102" s="11" t="inlineStr">
        <is>
          <t>Unidad</t>
        </is>
      </c>
      <c r="E102" s="11" t="inlineStr">
        <is>
          <t>Cómo se calcula / de dónde sale</t>
        </is>
      </c>
      <c r="F102" s="11" t="inlineStr">
        <is>
          <t>Referencia</t>
        </is>
      </c>
    </row>
    <row r="103" ht="30" customHeight="1">
      <c r="B103" s="12" t="inlineStr">
        <is>
          <t>α_fm</t>
        </is>
      </c>
      <c r="C103" s="23">
        <f>IF(DETALLE!$C$9=0,0,IF(DETALLE!$C$7="NERVADA",INDEX(NERVADAS!$CX$9:$CX$48,DETALLE!$C$9),INDEX(MACIZAS!$CW$9:$CW$48,DETALLE!$C$9)))</f>
        <v>99</v>
      </c>
      <c r="D103" s="14" t="inlineStr">
        <is>
          <t>—</t>
        </is>
      </c>
      <c r="E103" s="15" t="inlineStr">
        <is>
          <t>Promedio de α_f de los cuatro bordes (99 = muros o trabes rígidas).</t>
        </is>
      </c>
      <c r="F103" s="16" t="inlineStr">
        <is>
          <t>NTC-Concreto 2023 (CDMX) Tabla 6.7.3.1.2 nota [1], p. 168</t>
        </is>
      </c>
    </row>
    <row r="104" ht="43.5" customHeight="1">
      <c r="B104" s="12" t="inlineStr">
        <is>
          <t>h mínimo</t>
        </is>
      </c>
      <c r="C104" s="36">
        <f>IF(DETALLE!$C$9=0,0,IF(DETALLE!$C$7="NERVADA",INDEX(NERVADAS!$CY$9:$CY$48,DETALLE!$C$9),INDEX(MACIZAS!$CX$9:$CX$48,DETALLE!$C$9)))</f>
        <v>10.2261412662917</v>
      </c>
      <c r="D104" s="14" t="inlineStr">
        <is>
          <t>cm</t>
        </is>
      </c>
      <c r="E104" s="15" t="inlineStr">
        <is>
          <t>Tabla 6.7.3.1.2 (+10 % con borde discontinuo sin viga). Volado: L/8 en nervada, L/10 en maciza (criterio de esta hoja).</t>
        </is>
      </c>
      <c r="F104" s="16" t="inlineStr">
        <is>
          <t>NTC-Concreto 2023 (CDMX) Tabla 6.7.3.1.2 y 6.7.3.1.2.1, p. 168 · Tabla 6.3.3.1.1, p. 120</t>
        </is>
      </c>
    </row>
    <row r="105" ht="30" customHeight="1">
      <c r="B105" s="12" t="inlineStr">
        <is>
          <t>h que se compara</t>
        </is>
      </c>
      <c r="C105" s="23">
        <f>IF(DETALLE!$C$7="NERVADA",IF(IF(DETALLE!$C$9=0,"—",IF(DETALLE!$C$7="NERVADA",INDEX(NERVADAS!$C$9:$C$48,DETALLE!$C$9),INDEX(MACIZAS!$C$9:$C$48,DETALLE!$C$9)))="VOLADO",DATOS!$C$82,IF(DETALLE!$C$9=0,0,IF(DETALLE!$C$7="NERVADA",INDEX(NERVADAS!$CW$9:$CW$48,DETALLE!$C$9),0))),IF(DETALLE!$C$9=0,0,IF(DETALLE!$C$7="NERVADA",0,INDEX(MACIZAS!$W$9:$W$48,DETALLE!$C$9))))</f>
        <v>16.7506339743859</v>
      </c>
      <c r="D105" s="14" t="inlineStr">
        <is>
          <t>cm</t>
        </is>
      </c>
      <c r="E105" s="15" t="inlineStr">
        <is>
          <t>Nervada: h_eq (maciza de la misma inercia); volado nervado: h. Maciza: h.</t>
        </is>
      </c>
      <c r="F105" s="16" t="inlineStr">
        <is>
          <t>Criterio de esta hoja · NTC-Concreto 2023 (CDMX) 6.7.3.1, p. 167–168</t>
        </is>
      </c>
    </row>
    <row r="106" ht="30" customHeight="1">
      <c r="B106" s="12" t="inlineStr">
        <is>
          <t>Estado</t>
        </is>
      </c>
      <c r="C106" s="34" t="str">
        <f>IF(DETALLE!$C$9=0,"—",IF(DETALLE!$C$7="NERVADA",INDEX(NERVADAS!$CZ$9:$CZ$48,DETALLE!$C$9),INDEX(MACIZAS!$CY$9:$CY$48,DETALLE!$C$9)))</f>
        <v>CUMPLE</v>
      </c>
      <c r="D106" s="14" t="inlineStr">
        <is>
          <t>—</t>
        </is>
      </c>
      <c r="E106" s="15" t="inlineStr">
        <is>
          <t>Si no cumple: calcular flechas (13.4) y revisar vibración (13.7).</t>
        </is>
      </c>
      <c r="F106" s="16" t="inlineStr">
        <is>
          <t>NTC-Concreto 2023 (CDMX) 6.7.3.2.1, p. 168</t>
        </is>
      </c>
    </row>
    <row r="107" ht="6" customHeight="1"/>
    <row r="108" ht="21" customHeight="1">
      <c r="B108" s="3" t="inlineStr">
        <is>
          <t>12. BASTONES Y ANCLAJE</t>
        </is>
      </c>
    </row>
    <row r="109" ht="30" customHeight="1">
      <c r="B109" s="11" t="inlineStr">
        <is>
          <t>Concepto</t>
        </is>
      </c>
      <c r="C109" s="11" t="inlineStr">
        <is>
          <t>Valor</t>
        </is>
      </c>
      <c r="D109" s="11" t="inlineStr">
        <is>
          <t>Unidad</t>
        </is>
      </c>
      <c r="E109" s="11" t="inlineStr">
        <is>
          <t>Cómo se calcula / de dónde sale</t>
        </is>
      </c>
      <c r="F109" s="11" t="inlineStr">
        <is>
          <t>Referencia</t>
        </is>
      </c>
    </row>
    <row r="110" ht="43.5" customHeight="1">
      <c r="B110" s="12" t="inlineStr">
        <is>
          <t>Bastón ‖ claro corto: largo desde el paño</t>
        </is>
      </c>
      <c r="C110" s="33">
        <f>IF(DETALLE!$C$9=0,0,IF(DETALLE!$C$7="NERVADA",INDEX(NERVADAS!$DB$9:$DB$48,DETALLE!$C$9),INDEX(MACIZAS!$CZ$9:$CZ$48,DETALLE!$C$9)))</f>
        <v>105</v>
      </c>
      <c r="D110" s="14" t="inlineStr">
        <is>
          <t>cm</t>
        </is>
      </c>
      <c r="E110" s="15" t="inlineStr">
        <is>
          <t>Punto de inflexión + máx(d, 12d_b, L_n/16), ≥ L_d; si no hay punto de inflexión, de lado a lado. Volado: dentro del respaldo hasta M = 0 con 0.9·PP sin CV.</t>
        </is>
      </c>
      <c r="F110" s="16" t="inlineStr">
        <is>
          <t>NTC-Concreto 2023 (CDMX) 6.3.7.3.4, p. 127 · 6.3.7.3.10.4, p. 129 · Tabla 14.4.2.4, p. 353</t>
        </is>
      </c>
    </row>
    <row r="111" ht="19.5" customHeight="1">
      <c r="B111" s="12" t="inlineStr">
        <is>
          <t>Bastón ‖ claro largo: largo desde el paño</t>
        </is>
      </c>
      <c r="C111" s="33">
        <f>IF(DETALLE!$C$9=0,0,IF(DETALLE!$C$7="NERVADA",INDEX(NERVADAS!$DC$9:$DC$48,DETALLE!$C$9),INDEX(MACIZAS!$DA$9:$DA$48,DETALLE!$C$9)))</f>
        <v>120</v>
      </c>
      <c r="D111" s="14" t="inlineStr">
        <is>
          <t>cm</t>
        </is>
      </c>
      <c r="E111" s="15" t="inlineStr">
        <is>
          <t>Mismo criterio.</t>
        </is>
      </c>
      <c r="F111" s="16" t="inlineStr">
        <is>
          <t>NTC-Concreto 2023 (CDMX) 6.3.7.3.10.4, p. 129</t>
        </is>
      </c>
    </row>
    <row r="112" ht="43.5" customHeight="1">
      <c r="B112" s="12" t="inlineStr">
        <is>
          <t>¿Bastón también en bordes discontinuos? (corto / largo)</t>
        </is>
      </c>
      <c r="C112" s="31" t="str">
        <f>IF(DETALLE!$C$9=0,"—",IF(DETALLE!$C$7="NERVADA",INDEX(NERVADAS!$DD$9:$DD$48,DETALLE!$C$9),INDEX(MACIZAS!$DB$9:$DB$48,DETALLE!$C$9)))&amp;" / "&amp;IF(DETALLE!$C$9=0,"—",IF(DETALLE!$C$7="NERVADA",INDEX(NERVADAS!$DE$9:$DE$48,DETALLE!$C$9),INDEX(MACIZAS!$DC$9:$DC$48,DETALLE!$C$9)))</f>
        <v>NO / NO</v>
      </c>
      <c r="D112" s="14" t="inlineStr">
        <is>
          <t>—</t>
        </is>
      </c>
      <c r="E112" s="15" t="inlineStr">
        <is>
          <t>Nervada: si el M⁻ de borde discontinuo no lo toma la varilla corrida. Maciza: siempre que la tabla da M⁻ en ese borde. Con gancho.</t>
        </is>
      </c>
      <c r="F112" s="16" t="inlineStr">
        <is>
          <t>NTC-Concreto 2023 (CDMX) 6.7.7.4.1.1 b), p. 179</t>
        </is>
      </c>
    </row>
    <row r="113" ht="57" customHeight="1">
      <c r="B113" s="12" t="inlineStr">
        <is>
          <t>Anclaje en bordes discontinuos</t>
        </is>
      </c>
      <c r="C113" s="34" t="str">
        <f>IF(DETALLE!$C$9=0,"—",IF(DETALLE!$C$7="NERVADA",INDEX(NERVADAS!$DF$9:$DF$48,DETALLE!$C$9),INDEX(MACIZAS!$DD$9:$DD$48,DETALLE!$C$9)))</f>
        <v>CUMPLE (gancho de 180°)</v>
      </c>
      <c r="D113" s="14" t="inlineStr">
        <is>
          <t>—</t>
        </is>
      </c>
      <c r="E113" s="15" t="inlineStr">
        <is>
          <t>Dala de borde armada de DATOS: 1.25·L_dh de la varilla inferior (nervada; ≥ 15 cm dentro) y L_dh del bastón, menos r de viga; gancho de 180° de alto 8·d_b dentro del peralte de la dala.</t>
        </is>
      </c>
      <c r="F113" s="16" t="inlineStr">
        <is>
          <t>NTC-Concreto 2023 (CDMX) 6.7.8.1.7, p. 188 · 6.7.7.4.1.1, p. 179 · Tabla 14.3.1, p. 349 · 14.4.3.1, p. 355</t>
        </is>
      </c>
    </row>
    <row r="114" ht="43.5" customHeight="1">
      <c r="B114" s="12" t="inlineStr">
        <is>
          <t>Respaldo de un volado con b_w propio: varillas del volado que caben en la nervadura normal / su M_R / su V_cR</t>
        </is>
      </c>
      <c r="C114" s="31" t="str">
        <f>IF(IF(DETALLE!$C$9=0,"—",IF(DETALLE!$C$7="NERVADA",INDEX(NERVADAS!$C$9:$C$48,DETALLE!$C$9),INDEX(MACIZAS!$C$9:$C$48,DETALLE!$C$9)))&lt;&gt;"VOLADO","—",IF(DETALLE!$C$9=0,0,IF(DETALLE!$C$7="NERVADA",INDEX(NERVADAS!$DK$9:$DK$48,DETALLE!$C$9),0))&amp;" pzas · "&amp;TEXT(IF(DETALLE!$C$9=0,0,IF(DETALLE!$C$7="NERVADA",INDEX(NERVADAS!$DM$9:$DM$48,DETALLE!$C$9),0)),"0.000")&amp;" t·m · "&amp;TEXT(IF(DETALLE!$C$9=0,0,IF(DETALLE!$C$7="NERVADA",INDEX(NERVADAS!$DN$9:$DN$48,DETALLE!$C$9),0)),"0.000")&amp;" t")</f>
        <v>—</v>
      </c>
      <c r="D114" s="14" t="inlineStr">
        <is>
          <t>—</t>
        </is>
      </c>
      <c r="E114" s="15" t="inlineStr">
        <is>
          <t>Nervadura de b_w de DATOS con las varillas del volado que le caben y la malla al centro de la capa (F_R·As·fy·(d − a/2) con ε_t ≥ 0.005; ec. 5.5.3.2.1 sin ×1.1).</t>
        </is>
      </c>
      <c r="F114" s="16" t="inlineStr">
        <is>
          <t>NTC-Concreto 2023 (CDMX) ec. 5.2.2.1.1.1.b, p. 89 · ec. 5.5.3.2.1, p. 95</t>
        </is>
      </c>
    </row>
    <row r="115" ht="30" customHeight="1">
      <c r="B115" s="12" t="inlineStr">
        <is>
          <t>… dónde M y V del volado bajan a esos valores dentro del respaldo</t>
        </is>
      </c>
      <c r="C115" s="31" t="str">
        <f>IF(IF(DETALLE!$C$9=0,"—",IF(DETALLE!$C$7="NERVADA",INDEX(NERVADAS!$C$9:$C$48,DETALLE!$C$9),INDEX(MACIZAS!$C$9:$C$48,DETALLE!$C$9)))&lt;&gt;"VOLADO","—","M: "&amp;TEXT(IF(DETALLE!$C$9=0,0,IF(DETALLE!$C$7="NERVADA",INDEX(NERVADAS!$DO$9:$DO$48,DETALLE!$C$9),0)),"0.00")&amp;" m · V: "&amp;TEXT(IF(DETALLE!$C$9=0,0,IF(DETALLE!$C$7="NERVADA",INDEX(NERVADAS!$DP$9:$DP$48,DETALLE!$C$9),0)),"0.00")&amp;" m desde el paño")</f>
        <v>—</v>
      </c>
      <c r="D115" s="14" t="inlineStr">
        <is>
          <t>—</t>
        </is>
      </c>
      <c r="E115" s="15" t="inlineStr">
        <is>
          <t>M(x) = M⁻(1 − x/L_b) − 0.9·PP·s·x(L_b − x)/2 (sin CV); V(x) = M⁻/L_b + w_u·s·(L_b/2 − x).</t>
        </is>
      </c>
      <c r="F115" s="16" t="inlineStr">
        <is>
          <t>NTC-Criterios y Acciones 2023 (CDMX) 3.4.1 c), p. 7 · 5.1.2.2, p. 9</t>
        </is>
      </c>
    </row>
    <row r="116" ht="97.5" customHeight="1">
      <c r="B116" s="12" t="inlineStr">
        <is>
          <t>Respaldo del volado</t>
        </is>
      </c>
      <c r="C116" s="34" t="str">
        <f>IF(DETALLE!$C$9=0,"—",IF(DETALLE!$C$7="NERVADA",INDEX(NERVADAS!$DT$9:$DT$48,DETALLE!$C$9),"—"))</f>
        <v>—</v>
      </c>
      <c r="D116" s="14" t="inlineStr">
        <is>
          <t>—</t>
        </is>
      </c>
      <c r="E116" s="15" t="inlineStr">
        <is>
          <t>Las primeras hileras del tablero de respaldo siguen con las nervaduras anchas del volado (casetón s − b_w) hasta ese punto, más máx(d, 12d_b), y hasta donde terminan los bastones del volado si no le caben todas sus varillas. Junto al apoyo la nervadura ancha resiste M⁻/L_b + w_u·s·L_b/2 con el V_cR del volado. Pon estas hileras también en el renglón del tablero de respaldo.</t>
        </is>
      </c>
      <c r="F116" s="16" t="inlineStr">
        <is>
          <t>Decisión D10 de Casa Rocha · NTC-Concreto 2023 (CDMX) 6.3.7.3.10.4, p. 129</t>
        </is>
      </c>
    </row>
    <row r="117" ht="6" customHeight="1"/>
    <row r="118" ht="21" customHeight="1">
      <c r="B118" s="3" t="inlineStr">
        <is>
          <t>13. RESULTADO</t>
        </is>
      </c>
    </row>
    <row r="119" ht="30" customHeight="1">
      <c r="B119" s="11" t="inlineStr">
        <is>
          <t>Concepto</t>
        </is>
      </c>
      <c r="C119" s="11" t="inlineStr">
        <is>
          <t>Valor</t>
        </is>
      </c>
      <c r="D119" s="11" t="inlineStr">
        <is>
          <t>Unidad</t>
        </is>
      </c>
      <c r="E119" s="11" t="inlineStr">
        <is>
          <t>Cómo se calcula / de dónde sale</t>
        </is>
      </c>
      <c r="F119" s="11" t="inlineStr">
        <is>
          <t>Referencia</t>
        </is>
      </c>
    </row>
    <row r="120" ht="30" customHeight="1">
      <c r="B120" s="12" t="inlineStr">
        <is>
          <t>Armado — inferior ‖ claro corto</t>
        </is>
      </c>
      <c r="C120" s="34" t="str">
        <f>IF(DETALLE!$C$9=0,"—",IF(DETALLE!$C$7="NERVADA",INDEX(NERVADAS!$DU$9:$DU$48,DETALLE!$C$9),INDEX(MACIZAS!$DE$9:$DE$48,DETALLE!$C$9)))</f>
        <v>1 No. 4 corrida</v>
      </c>
      <c r="D120" s="14" t="inlineStr">
        <is>
          <t>—</t>
        </is>
      </c>
      <c r="E120" s="15" t="inlineStr">
        <is>
          <t>—</t>
        </is>
      </c>
      <c r="F120" s="16" t="inlineStr">
        <is>
          <t>—</t>
        </is>
      </c>
    </row>
    <row r="121" ht="30" customHeight="1">
      <c r="B121" s="12" t="inlineStr">
        <is>
          <t>Armado — superior ‖ claro corto</t>
        </is>
      </c>
      <c r="C121" s="34" t="str">
        <f>IF(DETALLE!$C$9=0,"—",IF(DETALLE!$C$7="NERVADA",INDEX(NERVADAS!$DV$9:$DV$48,DETALLE!$C$9),INDEX(MACIZAS!$DF$9:$DF$48,DETALLE!$C$9)))</f>
        <v>1 No. 4 corrida</v>
      </c>
      <c r="D121" s="14" t="inlineStr">
        <is>
          <t>—</t>
        </is>
      </c>
      <c r="E121" s="15" t="inlineStr">
        <is>
          <t>—</t>
        </is>
      </c>
      <c r="F121" s="16" t="inlineStr">
        <is>
          <t>—</t>
        </is>
      </c>
    </row>
    <row r="122" ht="30" customHeight="1">
      <c r="B122" s="12" t="inlineStr">
        <is>
          <t>Armado — inferior ‖ claro largo</t>
        </is>
      </c>
      <c r="C122" s="34" t="str">
        <f>IF(DETALLE!$C$9=0,"—",IF(DETALLE!$C$7="NERVADA",INDEX(NERVADAS!$DW$9:$DW$48,DETALLE!$C$9),INDEX(MACIZAS!$DG$9:$DG$48,DETALLE!$C$9)))</f>
        <v>1 No. 4 corrida</v>
      </c>
      <c r="D122" s="14" t="inlineStr">
        <is>
          <t>—</t>
        </is>
      </c>
      <c r="E122" s="15" t="inlineStr">
        <is>
          <t>—</t>
        </is>
      </c>
      <c r="F122" s="16" t="inlineStr">
        <is>
          <t>—</t>
        </is>
      </c>
    </row>
    <row r="123" ht="30" customHeight="1">
      <c r="B123" s="12" t="inlineStr">
        <is>
          <t>Armado — superior ‖ claro largo</t>
        </is>
      </c>
      <c r="C123" s="34" t="str">
        <f>IF(DETALLE!$C$9=0,"—",IF(DETALLE!$C$7="NERVADA",INDEX(NERVADAS!$DX$9:$DX$48,DETALLE!$C$9),INDEX(MACIZAS!$DH$9:$DH$48,DETALLE!$C$9)))</f>
        <v>1 No. 4 corrida</v>
      </c>
      <c r="D123" s="14" t="inlineStr">
        <is>
          <t>—</t>
        </is>
      </c>
      <c r="E123" s="15" t="inlineStr">
        <is>
          <t>—</t>
        </is>
      </c>
      <c r="F123" s="16" t="inlineStr">
        <is>
          <t>—</t>
        </is>
      </c>
    </row>
    <row r="124" ht="30" customHeight="1">
      <c r="B124" s="12" t="inlineStr">
        <is>
          <t>ESTADO</t>
        </is>
      </c>
      <c r="C124" s="34" t="str">
        <f>IF(DETALLE!$C$9=0,"—",IF(DETALLE!$C$7="NERVADA",INDEX(NERVADAS!$DY$9:$DY$48,DETALLE!$C$9),INDEX(MACIZAS!$DI$9:$DI$48,DETALLE!$C$9)))</f>
        <v>CUMPLE</v>
      </c>
      <c r="D124" s="14" t="inlineStr">
        <is>
          <t>—</t>
        </is>
      </c>
      <c r="E124" s="15" t="inlineStr">
        <is>
          <t>—</t>
        </is>
      </c>
      <c r="F124" s="16" t="inlineStr">
        <is>
          <t>—</t>
        </is>
      </c>
    </row>
    <row r="125" ht="96" customHeight="1">
      <c r="B125" s="12" t="inlineStr">
        <is>
          <t>NOTA</t>
        </is>
      </c>
      <c r="C125" s="73" t="str">
        <f>IF(DETALLE!$C$9=0,"—",IF(DETALLE!$C$7="NERVADA",INDEX(NERVADAS!$DZ$9:$DZ$48,DETALLE!$C$9),INDEX(MACIZAS!$DJ$9:$DJ$48,DETALLE!$C$9)))</f>
        <v>EJEMPLO de la hoja de Casa Rocha: bórralo o sobrescríbelo. Esquinas exteriores sobre muro: refuerzo de esquina arriba y abajo en L_largo/5 (6.7.7.3.1). </v>
      </c>
      <c r="D125" s="74" t="n"/>
      <c r="E125" s="74" t="n"/>
      <c r="F125" s="75" t="n"/>
    </row>
  </sheetData>
  <mergeCells count="17">
    <mergeCell ref="B4:F4"/>
    <mergeCell ref="B68:F68"/>
    <mergeCell ref="B77:F77"/>
    <mergeCell ref="B118:F118"/>
    <mergeCell ref="C125:F125"/>
    <mergeCell ref="B2:F2"/>
    <mergeCell ref="B86:F86"/>
    <mergeCell ref="B95:F95"/>
    <mergeCell ref="B33:F33"/>
    <mergeCell ref="B59:F59"/>
    <mergeCell ref="B51:F51"/>
    <mergeCell ref="B108:F108"/>
    <mergeCell ref="B22:F22"/>
    <mergeCell ref="B1:F1"/>
    <mergeCell ref="B101:F101"/>
    <mergeCell ref="B40:F40"/>
    <mergeCell ref="B13:F13"/>
  </mergeCells>
  <conditionalFormatting sqref="C1:C126">
    <cfRule type="expression" priority="1" dxfId="0" stopIfTrue="1">
      <formula>OR(ISNUMBER(FIND("NO CUMPLE",C1)),ISNUMBER(FIND("REVISAR",C1)),ISNUMBER(FIND("NO CABE",C1)),ISNUMBER(FIND("FUERA",C1)),ISNUMBER(FIND("FALTA",C1)),ISNUMBER(FIND("INSUFICIENTE",C1)),ISNUMBER(FIND("PENDIENTE",C1)))</formula>
    </cfRule>
    <cfRule type="expression" priority="2" dxfId="1" stopIfTrue="1">
      <formula>OR(ISNUMBER(FIND("CUMPLE",C1)),ISNUMBER(FIND("SÍ aplica",C1)),ISNUMBER(FIND("MANDA",C1)))</formula>
    </cfRule>
    <cfRule type="expression" priority="3" dxfId="2" stopIfTrue="1">
      <formula>OR(ISNUMBER(FIND("MACIZAR",C1)),ISNUMBER(FIND("CALCULAR",C1)),ISNUMBER(FIND("PROPUESTO",C1)),ISNUMBER(FIND("VER ",C1)))</formula>
    </cfRule>
  </conditionalFormatting>
  <dataValidations count="1">
    <dataValidation sqref="C6" showDropDown="0" showInputMessage="0" showErrorMessage="1" allowBlank="1" errorTitle="Valor no válido" error="Escoge un valor de la lista" type="list">
      <formula1>LST_TAB</formula1>
    </dataValidation>
  </dataValidations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F174"/>
  <sheetViews>
    <sheetView showGridLines="0" zoomScale="75" workbookViewId="0">
      <selection activeCell="A1" sqref="A1"/>
    </sheetView>
  </sheetViews>
  <sheetFormatPr baseColWidth="8" defaultRowHeight="15"/>
  <cols>
    <col width="1.78" customWidth="1" min="1" max="1"/>
    <col width="46" customWidth="1" min="2" max="2"/>
    <col width="17" customWidth="1" min="3" max="3"/>
    <col width="9" customWidth="1" min="4" max="4"/>
    <col width="54" customWidth="1" min="5" max="5"/>
    <col width="44" customWidth="1" min="6" max="6"/>
  </cols>
  <sheetData>
    <row r="1" ht="26" customHeight="1">
      <c r="B1" s="1" t="inlineStr">
        <is>
          <t>CROQUIS — PLANTA, CORTE Y ALZADO DEL TABLERO ESCOGIDO (A ESCALA, SE REDIBUJAN SOLOS)</t>
        </is>
      </c>
    </row>
    <row r="2" ht="30" customHeight="1">
      <c r="B2" s="2" t="inlineStr">
        <is>
          <t>Se dibuja el tablero escogido en DETALLE (celda amarilla de arriba). Arriba los dibujos de losa NERVADA y abajo los de losa MACIZA: sólo se llena el grupo del tipo escogido. Las coordenadas viven en CROQUIS_DATOS (al final del libro) y se calculan solas; los textos del armado salen de NERVADAS / MACIZAS.</t>
        </is>
      </c>
    </row>
    <row r="3">
      <c r="B3" s="76" t="str">
        <f>HYPERLINK("#DETALLE!C6","▶ Cambiar de tablero (DETALLE, celda amarilla)")</f>
        <v>▶ Cambiar de tablero (DETALLE, celda amarilla)</v>
      </c>
    </row>
    <row r="4" ht="22" customHeight="1">
      <c r="B4" s="77" t="str">
        <f>"Tablero: "&amp;CROQUIS!$C$89&amp;"   ·   "&amp;CROQUIS!$C$149</f>
        <v>Tablero: EJEMPLO F80016 (de borde)   ·   CUMPLE</v>
      </c>
    </row>
    <row r="5" ht="22" customHeight="1">
      <c r="B5" s="77" t="str">
        <f>IF(CROQUIS!$C$87=1,"▼ LOSA NERVADA — ESTE ES EL TABLERO ESCOGIDO","LOSA NERVADA — (el tablero escogido no es nervado: estos dibujos quedan vacíos)")</f>
        <v>▼ LOSA NERVADA — ESTE ES EL TABLERO ESCOGIDO</v>
      </c>
    </row>
    <row r="44" ht="22" customHeight="1">
      <c r="B44" s="77" t="str">
        <f>IF(CROQUIS!$C$88=1,"▼ LOSA MACIZA — ESTE ES EL TABLERO ESCOGIDO","LOSA MACIZA — (el tablero escogido no es macizo: estos dibujos quedan vacíos)")</f>
        <v>LOSA MACIZA — (el tablero escogido no es macizo: estos dibujos quedan vacíos)</v>
      </c>
    </row>
    <row r="83" ht="6" customHeight="1"/>
    <row r="84" ht="21" customHeight="1">
      <c r="B84" s="3" t="inlineStr">
        <is>
          <t>DATOS DEL DIBUJO — TODO ENLAZADO (no se captura nada aquí)</t>
        </is>
      </c>
    </row>
    <row r="85" ht="30" customHeight="1">
      <c r="B85" s="11" t="inlineStr">
        <is>
          <t>Concepto</t>
        </is>
      </c>
      <c r="C85" s="11" t="inlineStr">
        <is>
          <t>Valor</t>
        </is>
      </c>
      <c r="D85" s="11" t="inlineStr">
        <is>
          <t>Unidad</t>
        </is>
      </c>
      <c r="E85" s="11" t="inlineStr">
        <is>
          <t>Cómo se calcula / de dónde sale</t>
        </is>
      </c>
      <c r="F85" s="11" t="inlineStr">
        <is>
          <t>Referencia</t>
        </is>
      </c>
    </row>
    <row r="86" ht="19.5" customHeight="1">
      <c r="B86" s="12" t="inlineStr">
        <is>
          <t>¿Hay tablero válido?</t>
        </is>
      </c>
      <c r="C86" s="41">
        <f>IF(AND(DETALLE!$C$9&gt;0,IF(DETALLE!$C$9=0,"—",IF(DETALLE!$C$7="NERVADA",INDEX(NERVADAS!$U$9:$U$48,DETALLE!$C$9),INDEX(MACIZAS!$V$9:$V$48,DETALLE!$C$9)))="SÍ"),1,0)</f>
        <v>1</v>
      </c>
      <c r="D86" s="14" t="inlineStr">
        <is>
          <t>—</t>
        </is>
      </c>
      <c r="E86" s="15" t="inlineStr">
        <is>
          <t>Enlazado.</t>
        </is>
      </c>
      <c r="F86" s="16" t="inlineStr">
        <is>
          <t>NERVADAS / MACIZAS / DATOS</t>
        </is>
      </c>
    </row>
    <row r="87" ht="19.5" customHeight="1">
      <c r="B87" s="12" t="inlineStr">
        <is>
          <t>¿Es nervada?</t>
        </is>
      </c>
      <c r="C87" s="41">
        <f>IF(AND(CROQUIS!$C$86=1,DETALLE!$C$7="NERVADA"),1,0)</f>
        <v>1</v>
      </c>
      <c r="D87" s="14" t="inlineStr">
        <is>
          <t>—</t>
        </is>
      </c>
      <c r="E87" s="15" t="inlineStr">
        <is>
          <t>Enlazado.</t>
        </is>
      </c>
      <c r="F87" s="16" t="inlineStr">
        <is>
          <t>NERVADAS / MACIZAS / DATOS</t>
        </is>
      </c>
    </row>
    <row r="88" ht="19.5" customHeight="1">
      <c r="B88" s="12" t="inlineStr">
        <is>
          <t>¿Es maciza?</t>
        </is>
      </c>
      <c r="C88" s="41">
        <f>IF(AND(CROQUIS!$C$86=1,DETALLE!$C$7="MACIZA"),1,0)</f>
        <v>0</v>
      </c>
      <c r="D88" s="14" t="inlineStr">
        <is>
          <t>—</t>
        </is>
      </c>
      <c r="E88" s="15" t="inlineStr">
        <is>
          <t>Enlazado.</t>
        </is>
      </c>
      <c r="F88" s="16" t="inlineStr">
        <is>
          <t>NERVADAS / MACIZAS / DATOS</t>
        </is>
      </c>
    </row>
    <row r="89" ht="19.5" customHeight="1">
      <c r="B89" s="12" t="inlineStr">
        <is>
          <t>Tablero</t>
        </is>
      </c>
      <c r="C89" s="31" t="str">
        <f>IF(CROQUIS!$C$86=1,IF(DETALLE!$C$9=0,"—",IF(DETALLE!$C$7="NERVADA",INDEX(NERVADAS!$B$9:$B$48,DETALLE!$C$9),INDEX(MACIZAS!$B$9:$B$48,DETALLE!$C$9))),"(escoge un tablero con datos completos)")</f>
        <v>EJEMPLO F80016 (de borde)</v>
      </c>
      <c r="D89" s="14" t="inlineStr">
        <is>
          <t>—</t>
        </is>
      </c>
      <c r="E89" s="15" t="inlineStr">
        <is>
          <t>Enlazado.</t>
        </is>
      </c>
      <c r="F89" s="16" t="inlineStr">
        <is>
          <t>NERVADAS / MACIZAS / DATOS</t>
        </is>
      </c>
    </row>
    <row r="90" ht="19.5" customHeight="1">
      <c r="B90" s="12" t="inlineStr">
        <is>
          <t>Tipo</t>
        </is>
      </c>
      <c r="C90" s="31" t="str">
        <f>IF(DETALLE!$C$9=0,"—",IF(DETALLE!$C$7="NERVADA",INDEX(NERVADAS!$C$9:$C$48,DETALLE!$C$9),INDEX(MACIZAS!$C$9:$C$48,DETALLE!$C$9)))</f>
        <v>PERIMETRAL</v>
      </c>
      <c r="D90" s="14" t="inlineStr">
        <is>
          <t>—</t>
        </is>
      </c>
      <c r="E90" s="15" t="inlineStr">
        <is>
          <t>Enlazado.</t>
        </is>
      </c>
      <c r="F90" s="16" t="inlineStr">
        <is>
          <t>NERVADAS / MACIZAS / DATOS</t>
        </is>
      </c>
    </row>
    <row r="91" ht="19.5" customHeight="1">
      <c r="B91" s="12" t="inlineStr">
        <is>
          <t>¿Volado?</t>
        </is>
      </c>
      <c r="C91" s="41">
        <f>IF(IF(DETALLE!$C$9=0,"—",IF(DETALLE!$C$7="NERVADA",INDEX(NERVADAS!$C$9:$C$48,DETALLE!$C$9),INDEX(MACIZAS!$C$9:$C$48,DETALLE!$C$9)))="VOLADO",1,0)</f>
        <v>0</v>
      </c>
      <c r="D91" s="14" t="inlineStr">
        <is>
          <t>—</t>
        </is>
      </c>
      <c r="E91" s="15" t="inlineStr">
        <is>
          <t>Enlazado.</t>
        </is>
      </c>
      <c r="F91" s="16" t="inlineStr">
        <is>
          <t>NERVADAS / MACIZAS / DATOS</t>
        </is>
      </c>
    </row>
    <row r="92" ht="19.5" customHeight="1">
      <c r="B92" s="12" t="inlineStr">
        <is>
          <t>Claro corto ‖</t>
        </is>
      </c>
      <c r="C92" s="31" t="str">
        <f>IF(CROQUIS!$C$86=1,IF(DETALLE!$C$9=0,"—",IF(DETALLE!$C$7="NERVADA",INDEX(NERVADAS!$W$9:$W$48,DETALLE!$C$9),INDEX(MACIZAS!$Y$9:$Y$48,DETALLE!$C$9))),"X")</f>
        <v>Y</v>
      </c>
      <c r="D92" s="14" t="inlineStr">
        <is>
          <t>—</t>
        </is>
      </c>
      <c r="E92" s="15" t="inlineStr">
        <is>
          <t>Enlazado.</t>
        </is>
      </c>
      <c r="F92" s="16" t="inlineStr">
        <is>
          <t>NERVADAS / MACIZAS / DATOS</t>
        </is>
      </c>
    </row>
    <row r="93" ht="30" customHeight="1">
      <c r="B93" s="12" t="inlineStr">
        <is>
          <t>Borde empotrado (1 izq., 2 der., 3 inf., 4 sup.)</t>
        </is>
      </c>
      <c r="C93" s="41">
        <f>IF(CROQUIS!$C$91=1,IF(IF(DETALLE!$C$9=0,"—",IF(DETALLE!$C$7="NERVADA",INDEX(NERVADAS!$V$9:$V$48,DETALLE!$C$9),INDEX(MACIZAS!$X$9:$X$48,DETALLE!$C$9)))="IZQUIERDO",1,IF(IF(DETALLE!$C$9=0,"—",IF(DETALLE!$C$7="NERVADA",INDEX(NERVADAS!$V$9:$V$48,DETALLE!$C$9),INDEX(MACIZAS!$X$9:$X$48,DETALLE!$C$9)))="DERECHO",2,IF(IF(DETALLE!$C$9=0,"—",IF(DETALLE!$C$7="NERVADA",INDEX(NERVADAS!$V$9:$V$48,DETALLE!$C$9),INDEX(MACIZAS!$X$9:$X$48,DETALLE!$C$9)))="INFERIOR",3,IF(IF(DETALLE!$C$9=0,"—",IF(DETALLE!$C$7="NERVADA",INDEX(NERVADAS!$V$9:$V$48,DETALLE!$C$9),INDEX(MACIZAS!$X$9:$X$48,DETALLE!$C$9)))="SUPERIOR",4,1)))),0)</f>
        <v>0</v>
      </c>
      <c r="D93" s="14" t="inlineStr">
        <is>
          <t>—</t>
        </is>
      </c>
      <c r="E93" s="15" t="inlineStr">
        <is>
          <t>Enlazado.</t>
        </is>
      </c>
      <c r="F93" s="16" t="inlineStr">
        <is>
          <t>NERVADAS / MACIZAS / DATOS</t>
        </is>
      </c>
    </row>
    <row r="94" ht="19.5" customHeight="1">
      <c r="B94" s="12" t="inlineStr">
        <is>
          <t>¿Apoyo en u = 0? (volado)</t>
        </is>
      </c>
      <c r="C94" s="41">
        <f>IF(OR(CROQUIS!$C$93=1,CROQUIS!$C$93=3),1,0)</f>
        <v>0</v>
      </c>
      <c r="D94" s="14" t="inlineStr">
        <is>
          <t>—</t>
        </is>
      </c>
      <c r="E94" s="15" t="inlineStr">
        <is>
          <t>Enlazado.</t>
        </is>
      </c>
      <c r="F94" s="16" t="inlineStr">
        <is>
          <t>NERVADAS / MACIZAS / DATOS</t>
        </is>
      </c>
    </row>
    <row r="95" ht="19.5" customHeight="1">
      <c r="B95" s="12" t="inlineStr">
        <is>
          <t>a_x</t>
        </is>
      </c>
      <c r="C95" s="22">
        <f>IF(CROQUIS!$C$86=1,IF(DETALLE!$C$9=0,0,IF(DETALLE!$C$7="NERVADA",INDEX(NERVADAS!$E$9:$E$48,DETALLE!$C$9),INDEX(MACIZAS!$E$9:$E$48,DETALLE!$C$9)))*100,100)</f>
        <v>442.6</v>
      </c>
      <c r="D95" s="14" t="inlineStr">
        <is>
          <t>cm</t>
        </is>
      </c>
      <c r="E95" s="15" t="inlineStr">
        <is>
          <t>Enlazado.</t>
        </is>
      </c>
      <c r="F95" s="16" t="inlineStr">
        <is>
          <t>NERVADAS / MACIZAS / DATOS</t>
        </is>
      </c>
    </row>
    <row r="96" ht="19.5" customHeight="1">
      <c r="B96" s="12" t="inlineStr">
        <is>
          <t>a_y</t>
        </is>
      </c>
      <c r="C96" s="22">
        <f>IF(CROQUIS!$C$86=1,IF(DETALLE!$C$9=0,0,IF(DETALLE!$C$7="NERVADA",INDEX(NERVADAS!$F$9:$F$48,DETALLE!$C$9),INDEX(MACIZAS!$F$9:$F$48,DETALLE!$C$9)))*100,100)</f>
        <v>400</v>
      </c>
      <c r="D96" s="14" t="inlineStr">
        <is>
          <t>cm</t>
        </is>
      </c>
      <c r="E96" s="15" t="inlineStr">
        <is>
          <t>Enlazado.</t>
        </is>
      </c>
      <c r="F96" s="16" t="inlineStr">
        <is>
          <t>NERVADAS / MACIZAS / DATOS</t>
        </is>
      </c>
    </row>
    <row r="97" ht="19.5" customHeight="1">
      <c r="B97" s="12" t="inlineStr">
        <is>
          <t>A — claro ‖ corto (u)</t>
        </is>
      </c>
      <c r="C97" s="22">
        <f>IF(CROQUIS!$C$92="X",CROQUIS!$C$95,CROQUIS!$C$96)</f>
        <v>400</v>
      </c>
      <c r="D97" s="14" t="inlineStr">
        <is>
          <t>cm</t>
        </is>
      </c>
      <c r="E97" s="15" t="inlineStr">
        <is>
          <t>Enlazado.</t>
        </is>
      </c>
      <c r="F97" s="16" t="inlineStr">
        <is>
          <t>NERVADAS / MACIZAS / DATOS</t>
        </is>
      </c>
    </row>
    <row r="98" ht="19.5" customHeight="1">
      <c r="B98" s="12" t="inlineStr">
        <is>
          <t>C — claro ‖ largo (v)</t>
        </is>
      </c>
      <c r="C98" s="22">
        <f>IF(CROQUIS!$C$92="X",CROQUIS!$C$96,CROQUIS!$C$95)</f>
        <v>442.6</v>
      </c>
      <c r="D98" s="14" t="inlineStr">
        <is>
          <t>cm</t>
        </is>
      </c>
      <c r="E98" s="15" t="inlineStr">
        <is>
          <t>Enlazado.</t>
        </is>
      </c>
      <c r="F98" s="16" t="inlineStr">
        <is>
          <t>NERVADAS / MACIZAS / DATOS</t>
        </is>
      </c>
    </row>
    <row r="99" ht="19.5" customHeight="1">
      <c r="B99" s="12" t="inlineStr">
        <is>
          <t>Borde bI continuo</t>
        </is>
      </c>
      <c r="C99" s="41">
        <f>IF(IF(DETALLE!$C$9=0,"—",IF(DETALLE!$C$7="NERVADA",INDEX(NERVADAS!$G$9:$G$48,DETALLE!$C$9),INDEX(MACIZAS!$G$9:$G$48,DETALLE!$C$9)))="CONTINUO",1,0)</f>
        <v>1</v>
      </c>
      <c r="D99" s="14" t="inlineStr">
        <is>
          <t>—</t>
        </is>
      </c>
      <c r="E99" s="15" t="inlineStr">
        <is>
          <t>Enlazado.</t>
        </is>
      </c>
      <c r="F99" s="16" t="inlineStr">
        <is>
          <t>NERVADAS / MACIZAS / DATOS</t>
        </is>
      </c>
    </row>
    <row r="100" ht="19.5" customHeight="1">
      <c r="B100" s="12" t="inlineStr">
        <is>
          <t>Borde bS continuo</t>
        </is>
      </c>
      <c r="C100" s="41">
        <f>IF(IF(DETALLE!$C$9=0,"—",IF(DETALLE!$C$7="NERVADA",INDEX(NERVADAS!$H$9:$H$48,DETALLE!$C$9),INDEX(MACIZAS!$H$9:$H$48,DETALLE!$C$9)))="CONTINUO",1,0)</f>
        <v>1</v>
      </c>
      <c r="D100" s="14" t="inlineStr">
        <is>
          <t>—</t>
        </is>
      </c>
      <c r="E100" s="15" t="inlineStr">
        <is>
          <t>Enlazado.</t>
        </is>
      </c>
      <c r="F100" s="16" t="inlineStr">
        <is>
          <t>NERVADAS / MACIZAS / DATOS</t>
        </is>
      </c>
    </row>
    <row r="101" ht="19.5" customHeight="1">
      <c r="B101" s="12" t="inlineStr">
        <is>
          <t>Borde bL continuo</t>
        </is>
      </c>
      <c r="C101" s="41">
        <f>IF(IF(DETALLE!$C$9=0,"—",IF(DETALLE!$C$7="NERVADA",INDEX(NERVADAS!$I$9:$I$48,DETALLE!$C$9),INDEX(MACIZAS!$I$9:$I$48,DETALLE!$C$9)))="CONTINUO",1,0)</f>
        <v>0</v>
      </c>
      <c r="D101" s="14" t="inlineStr">
        <is>
          <t>—</t>
        </is>
      </c>
      <c r="E101" s="15" t="inlineStr">
        <is>
          <t>Enlazado.</t>
        </is>
      </c>
      <c r="F101" s="16" t="inlineStr">
        <is>
          <t>NERVADAS / MACIZAS / DATOS</t>
        </is>
      </c>
    </row>
    <row r="102" ht="19.5" customHeight="1">
      <c r="B102" s="12" t="inlineStr">
        <is>
          <t>Borde bR continuo</t>
        </is>
      </c>
      <c r="C102" s="41">
        <f>IF(IF(DETALLE!$C$9=0,"—",IF(DETALLE!$C$7="NERVADA",INDEX(NERVADAS!$J$9:$J$48,DETALLE!$C$9),INDEX(MACIZAS!$J$9:$J$48,DETALLE!$C$9)))="CONTINUO",1,0)</f>
        <v>1</v>
      </c>
      <c r="D102" s="14" t="inlineStr">
        <is>
          <t>—</t>
        </is>
      </c>
      <c r="E102" s="15" t="inlineStr">
        <is>
          <t>Enlazado.</t>
        </is>
      </c>
      <c r="F102" s="16" t="inlineStr">
        <is>
          <t>NERVADAS / MACIZAS / DATOS</t>
        </is>
      </c>
    </row>
    <row r="103" ht="19.5" customHeight="1">
      <c r="B103" s="12" t="inlineStr">
        <is>
          <t>Continuidad en u = 0 / u = A / v = 0 / v = C</t>
        </is>
      </c>
      <c r="C103" s="41">
        <f>IF(CROQUIS!$C$92="X",CROQUIS!$C$101,CROQUIS!$C$99)</f>
        <v>1</v>
      </c>
      <c r="D103" s="14" t="inlineStr">
        <is>
          <t>—</t>
        </is>
      </c>
      <c r="E103" s="15" t="inlineStr">
        <is>
          <t>Enlazado.</t>
        </is>
      </c>
      <c r="F103" s="16" t="inlineStr">
        <is>
          <t>NERVADAS / MACIZAS / DATOS</t>
        </is>
      </c>
    </row>
    <row r="104" ht="19.5" customHeight="1">
      <c r="B104" s="12" t="inlineStr">
        <is>
          <t>…</t>
        </is>
      </c>
      <c r="C104" s="41">
        <f>IF(CROQUIS!$C$92="X",CROQUIS!$C$102,CROQUIS!$C$100)</f>
        <v>1</v>
      </c>
      <c r="D104" s="14" t="inlineStr">
        <is>
          <t>—</t>
        </is>
      </c>
      <c r="E104" s="15" t="inlineStr">
        <is>
          <t>Enlazado.</t>
        </is>
      </c>
      <c r="F104" s="16" t="inlineStr">
        <is>
          <t>NERVADAS / MACIZAS / DATOS</t>
        </is>
      </c>
    </row>
    <row r="105" ht="19.5" customHeight="1">
      <c r="B105" s="12" t="inlineStr">
        <is>
          <t>…</t>
        </is>
      </c>
      <c r="C105" s="41">
        <f>IF(CROQUIS!$C$92="X",CROQUIS!$C$99,CROQUIS!$C$101)</f>
        <v>0</v>
      </c>
      <c r="D105" s="14" t="inlineStr">
        <is>
          <t>—</t>
        </is>
      </c>
      <c r="E105" s="15" t="inlineStr">
        <is>
          <t>Enlazado.</t>
        </is>
      </c>
      <c r="F105" s="16" t="inlineStr">
        <is>
          <t>NERVADAS / MACIZAS / DATOS</t>
        </is>
      </c>
    </row>
    <row r="106" ht="19.5" customHeight="1">
      <c r="B106" s="12" t="inlineStr">
        <is>
          <t>…</t>
        </is>
      </c>
      <c r="C106" s="41">
        <f>IF(CROQUIS!$C$92="X",CROQUIS!$C$100,CROQUIS!$C$102)</f>
        <v>1</v>
      </c>
      <c r="D106" s="14" t="inlineStr">
        <is>
          <t>—</t>
        </is>
      </c>
      <c r="E106" s="15" t="inlineStr">
        <is>
          <t>Enlazado.</t>
        </is>
      </c>
      <c r="F106" s="16" t="inlineStr">
        <is>
          <t>NERVADAS / MACIZAS / DATOS</t>
        </is>
      </c>
    </row>
    <row r="107" ht="19.5" customHeight="1">
      <c r="B107" s="12" t="inlineStr">
        <is>
          <t>b_p</t>
        </is>
      </c>
      <c r="C107" s="22">
        <f>DATOS!$C$84</f>
        <v>15</v>
      </c>
      <c r="D107" s="14" t="inlineStr">
        <is>
          <t>cm</t>
        </is>
      </c>
      <c r="E107" s="15" t="inlineStr">
        <is>
          <t>Enlazado.</t>
        </is>
      </c>
      <c r="F107" s="16" t="inlineStr">
        <is>
          <t>NERVADAS / MACIZAS / DATOS</t>
        </is>
      </c>
    </row>
    <row r="108" ht="19.5" customHeight="1">
      <c r="B108" s="12" t="inlineStr">
        <is>
          <t>h</t>
        </is>
      </c>
      <c r="C108" s="22">
        <f>IF(CROQUIS!$C$88=1,IF(DETALLE!$C$9=0,0,IF(DETALLE!$C$7="NERVADA",0,INDEX(MACIZAS!$W$9:$W$48,DETALLE!$C$9))),DATOS!$C$82)</f>
        <v>25</v>
      </c>
      <c r="D108" s="14" t="inlineStr">
        <is>
          <t>cm</t>
        </is>
      </c>
      <c r="E108" s="15" t="inlineStr">
        <is>
          <t>Enlazado.</t>
        </is>
      </c>
      <c r="F108" s="16" t="inlineStr">
        <is>
          <t>NERVADAS / MACIZAS / DATOS</t>
        </is>
      </c>
    </row>
    <row r="109" ht="19.5" customHeight="1">
      <c r="B109" s="12" t="inlineStr">
        <is>
          <t>r inferior / superior</t>
        </is>
      </c>
      <c r="C109" s="22">
        <f>N(IF(DETALLE!$C$9=0,0,IF(DETALLE!$C$7="NERVADA",INDEX(NERVADAS!$AJ$9:$AJ$48,DETALLE!$C$9),INDEX(MACIZAS!$AE$9:$AE$48,DETALLE!$C$9))))</f>
        <v>2</v>
      </c>
      <c r="D109" s="14" t="inlineStr">
        <is>
          <t>cm</t>
        </is>
      </c>
      <c r="E109" s="15" t="inlineStr">
        <is>
          <t>Enlazado.</t>
        </is>
      </c>
      <c r="F109" s="16" t="inlineStr">
        <is>
          <t>NERVADAS / MACIZAS / DATOS</t>
        </is>
      </c>
    </row>
    <row r="110" ht="19.5" customHeight="1">
      <c r="B110" s="12" t="inlineStr">
        <is>
          <t>…</t>
        </is>
      </c>
      <c r="C110" s="22">
        <f>N(IF(DETALLE!$C$9=0,0,IF(DETALLE!$C$7="NERVADA",INDEX(NERVADAS!$AK$9:$AK$48,DETALLE!$C$9),INDEX(MACIZAS!$AF$9:$AF$48,DETALLE!$C$9))))</f>
        <v>2</v>
      </c>
      <c r="D110" s="14" t="inlineStr">
        <is>
          <t>cm</t>
        </is>
      </c>
      <c r="E110" s="15" t="inlineStr">
        <is>
          <t>Enlazado.</t>
        </is>
      </c>
      <c r="F110" s="16" t="inlineStr">
        <is>
          <t>NERVADAS / MACIZAS / DATOS</t>
        </is>
      </c>
    </row>
    <row r="111" ht="19.5" customHeight="1">
      <c r="B111" s="12" t="inlineStr">
        <is>
          <t>b_w / a_c usados</t>
        </is>
      </c>
      <c r="C111" s="22">
        <f>IF(CROQUIS!$C$87=1,IF(DETALLE!$C$9=0,0,IF(DETALLE!$C$7="NERVADA",INDEX(NERVADAS!$AC$9:$AC$48,DETALLE!$C$9),0)),DATOS!$C$80)</f>
        <v>10</v>
      </c>
      <c r="D111" s="14" t="inlineStr">
        <is>
          <t>cm</t>
        </is>
      </c>
      <c r="E111" s="15" t="inlineStr">
        <is>
          <t>Enlazado.</t>
        </is>
      </c>
      <c r="F111" s="16" t="inlineStr">
        <is>
          <t>NERVADAS / MACIZAS / DATOS</t>
        </is>
      </c>
    </row>
    <row r="112" ht="19.5" customHeight="1">
      <c r="B112" s="12" t="inlineStr">
        <is>
          <t>…</t>
        </is>
      </c>
      <c r="C112" s="22">
        <f>DATOS!$C$83-CROQUIS!$C$111</f>
        <v>60</v>
      </c>
      <c r="D112" s="14" t="inlineStr">
        <is>
          <t>cm</t>
        </is>
      </c>
      <c r="E112" s="15" t="inlineStr">
        <is>
          <t>Enlazado.</t>
        </is>
      </c>
      <c r="F112" s="16" t="inlineStr">
        <is>
          <t>NERVADAS / MACIZAS / DATOS</t>
        </is>
      </c>
    </row>
    <row r="113" ht="19.5" customHeight="1">
      <c r="B113" s="12" t="inlineStr">
        <is>
          <t>s, h_c, t, Ø malla, separación libre</t>
        </is>
      </c>
      <c r="C113" s="22">
        <f>DATOS!$C$83</f>
        <v>70</v>
      </c>
      <c r="D113" s="14" t="inlineStr">
        <is>
          <t>cm</t>
        </is>
      </c>
      <c r="E113" s="15" t="inlineStr">
        <is>
          <t>Enlazado.</t>
        </is>
      </c>
      <c r="F113" s="16" t="inlineStr">
        <is>
          <t>NERVADAS / MACIZAS / DATOS</t>
        </is>
      </c>
    </row>
    <row r="114" ht="19.5" customHeight="1">
      <c r="B114" s="12" t="inlineStr">
        <is>
          <t>…</t>
        </is>
      </c>
      <c r="C114" s="22">
        <f>DATOS!$C$79</f>
        <v>19</v>
      </c>
      <c r="D114" s="14" t="inlineStr">
        <is>
          <t>cm</t>
        </is>
      </c>
      <c r="E114" s="15" t="inlineStr">
        <is>
          <t>Enlazado.</t>
        </is>
      </c>
      <c r="F114" s="16" t="inlineStr">
        <is>
          <t>NERVADAS / MACIZAS / DATOS</t>
        </is>
      </c>
    </row>
    <row r="115" ht="19.5" customHeight="1">
      <c r="B115" s="12" t="inlineStr">
        <is>
          <t>…</t>
        </is>
      </c>
      <c r="C115" s="22">
        <f>DATOS!$C$81</f>
        <v>6</v>
      </c>
      <c r="D115" s="14" t="inlineStr">
        <is>
          <t>cm</t>
        </is>
      </c>
      <c r="E115" s="15" t="inlineStr">
        <is>
          <t>Enlazado.</t>
        </is>
      </c>
      <c r="F115" s="16" t="inlineStr">
        <is>
          <t>NERVADAS / MACIZAS / DATOS</t>
        </is>
      </c>
    </row>
    <row r="116" ht="19.5" customHeight="1">
      <c r="B116" s="12" t="inlineStr">
        <is>
          <t>…</t>
        </is>
      </c>
      <c r="C116" s="38">
        <f>DATOS!$C$94</f>
        <v>0.572</v>
      </c>
      <c r="D116" s="14" t="inlineStr">
        <is>
          <t>cm</t>
        </is>
      </c>
      <c r="E116" s="15" t="inlineStr">
        <is>
          <t>Enlazado.</t>
        </is>
      </c>
      <c r="F116" s="16" t="inlineStr">
        <is>
          <t>NERVADAS / MACIZAS / DATOS</t>
        </is>
      </c>
    </row>
    <row r="117" ht="30" customHeight="1">
      <c r="B117" s="12" t="inlineStr">
        <is>
          <t>r superior hasta la malla (nervada: malla al centro de la capa)</t>
        </is>
      </c>
      <c r="C117" s="23">
        <f>IF(CROQUIS!$C$87=1,MAX(CROQUIS!$C$110,(DATOS!$C$81-2*DATOS!$C$94)/2),CROQUIS!$C$110)</f>
        <v>2.428</v>
      </c>
      <c r="D117" s="14" t="inlineStr">
        <is>
          <t>cm</t>
        </is>
      </c>
      <c r="E117" s="15" t="inlineStr">
        <is>
          <t>Enlazado.</t>
        </is>
      </c>
      <c r="F117" s="16" t="inlineStr">
        <is>
          <t>NERVADAS / MACIZAS / DATOS</t>
        </is>
      </c>
    </row>
    <row r="118" ht="19.5" customHeight="1">
      <c r="B118" s="12" t="inlineStr">
        <is>
          <t>…</t>
        </is>
      </c>
      <c r="C118" s="23">
        <f>DATOS!$C$67</f>
        <v>2.5</v>
      </c>
      <c r="D118" s="14" t="inlineStr">
        <is>
          <t>cm</t>
        </is>
      </c>
      <c r="E118" s="15" t="inlineStr">
        <is>
          <t>Enlazado.</t>
        </is>
      </c>
      <c r="F118" s="16" t="inlineStr">
        <is>
          <t>NERVADAS / MACIZAS / DATOS</t>
        </is>
      </c>
    </row>
    <row r="119" ht="19.5" customHeight="1">
      <c r="B119" s="12" t="inlineStr">
        <is>
          <t>ncx</t>
        </is>
      </c>
      <c r="C119" s="22">
        <f>IF(CROQUIS!$C$87=1,N(IF(DETALLE!$C$9=0,0,IF(DETALLE!$C$7="NERVADA",INDEX(NERVADAS!$DG$9:$DG$48,DETALLE!$C$9),0))),0)</f>
        <v>6</v>
      </c>
      <c r="D119" s="14" t="inlineStr">
        <is>
          <t>—</t>
        </is>
      </c>
      <c r="E119" s="15" t="inlineStr">
        <is>
          <t>Enlazado.</t>
        </is>
      </c>
      <c r="F119" s="16" t="inlineStr">
        <is>
          <t>NERVADAS / MACIZAS / DATOS</t>
        </is>
      </c>
    </row>
    <row r="120" ht="19.5" customHeight="1">
      <c r="B120" s="12" t="inlineStr">
        <is>
          <t>ncy</t>
        </is>
      </c>
      <c r="C120" s="22">
        <f>IF(CROQUIS!$C$87=1,N(IF(DETALLE!$C$9=0,0,IF(DETALLE!$C$7="NERVADA",INDEX(NERVADAS!$DH$9:$DH$48,DETALLE!$C$9),0))),0)</f>
        <v>5</v>
      </c>
      <c r="D120" s="14" t="inlineStr">
        <is>
          <t>—</t>
        </is>
      </c>
      <c r="E120" s="15" t="inlineStr">
        <is>
          <t>Enlazado.</t>
        </is>
      </c>
      <c r="F120" s="16" t="inlineStr">
        <is>
          <t>NERVADAS / MACIZAS / DATOS</t>
        </is>
      </c>
    </row>
    <row r="121" ht="19.5" customHeight="1">
      <c r="B121" s="12" t="inlineStr">
        <is>
          <t>mx</t>
        </is>
      </c>
      <c r="C121" s="22">
        <f>IF(CROQUIS!$C$87=1,N(IF(DETALLE!$C$9=0,0,IF(DETALLE!$C$7="NERVADA",INDEX(NERVADAS!$DI$9:$DI$48,DETALLE!$C$9),0))),0)</f>
        <v>8.80000000000001</v>
      </c>
      <c r="D121" s="14" t="inlineStr">
        <is>
          <t>—</t>
        </is>
      </c>
      <c r="E121" s="15" t="inlineStr">
        <is>
          <t>Enlazado.</t>
        </is>
      </c>
      <c r="F121" s="16" t="inlineStr">
        <is>
          <t>NERVADAS / MACIZAS / DATOS</t>
        </is>
      </c>
    </row>
    <row r="122" ht="19.5" customHeight="1">
      <c r="B122" s="12" t="inlineStr">
        <is>
          <t>my</t>
        </is>
      </c>
      <c r="C122" s="22">
        <f>IF(CROQUIS!$C$87=1,N(IF(DETALLE!$C$9=0,0,IF(DETALLE!$C$7="NERVADA",INDEX(NERVADAS!$DJ$9:$DJ$48,DETALLE!$C$9),0))),0)</f>
        <v>22.5</v>
      </c>
      <c r="D122" s="14" t="inlineStr">
        <is>
          <t>—</t>
        </is>
      </c>
      <c r="E122" s="15" t="inlineStr">
        <is>
          <t>Enlazado.</t>
        </is>
      </c>
      <c r="F122" s="16" t="inlineStr">
        <is>
          <t>NERVADAS / MACIZAS / DATOS</t>
        </is>
      </c>
    </row>
    <row r="123" ht="19.5" customHeight="1">
      <c r="B123" s="12" t="inlineStr">
        <is>
          <t>nh</t>
        </is>
      </c>
      <c r="C123" s="22">
        <f>IF(CROQUIS!$C$87=1,N(IF(DETALLE!$C$9=0,0,IF(DETALLE!$C$7="NERVADA",INDEX(NERVADAS!$CS$9:$CS$48,DETALLE!$C$9),0))),0)</f>
        <v>0</v>
      </c>
      <c r="D123" s="14" t="inlineStr">
        <is>
          <t>—</t>
        </is>
      </c>
      <c r="E123" s="15" t="inlineStr">
        <is>
          <t>Enlazado.</t>
        </is>
      </c>
      <c r="F123" s="16" t="inlineStr">
        <is>
          <t>NERVADAS / MACIZAS / DATOS</t>
        </is>
      </c>
    </row>
    <row r="124" ht="19.5" customHeight="1">
      <c r="B124" s="12" t="inlineStr">
        <is>
          <t>Varilla Pc</t>
        </is>
      </c>
      <c r="C124" s="78">
        <f>IF(CROQUIS!$C$86=1,IF(DETALLE!$C$9=0,4,IF(DETALLE!$C$7="NERVADA",INDEX(NERVADAS!$BM$9:$BM$48,DETALLE!$C$9),INDEX(MACIZAS!$BH$9:$BH$48,DETALLE!$C$9))),4)</f>
        <v>4</v>
      </c>
      <c r="D124" s="14" t="inlineStr">
        <is>
          <t>—</t>
        </is>
      </c>
      <c r="E124" s="15" t="inlineStr">
        <is>
          <t>Enlazado.</t>
        </is>
      </c>
      <c r="F124" s="16" t="inlineStr">
        <is>
          <t>NERVADAS / MACIZAS / DATOS</t>
        </is>
      </c>
    </row>
    <row r="125" ht="19.5" customHeight="1">
      <c r="B125" s="12" t="inlineStr">
        <is>
          <t>d_b Pc</t>
        </is>
      </c>
      <c r="C125" s="23">
        <f>INDEX(TABLAS!$C$52:$C$58,MATCH(CROQUIS!$C$124,TABLAS!$B$52:$B$58,0))</f>
        <v>1.27</v>
      </c>
      <c r="D125" s="14" t="inlineStr">
        <is>
          <t>cm</t>
        </is>
      </c>
      <c r="E125" s="15" t="inlineStr">
        <is>
          <t>Enlazado.</t>
        </is>
      </c>
      <c r="F125" s="16" t="inlineStr">
        <is>
          <t>NERVADAS / MACIZAS / DATOS</t>
        </is>
      </c>
    </row>
    <row r="126" ht="19.5" customHeight="1">
      <c r="B126" s="12" t="inlineStr">
        <is>
          <t>Piezas (N) o separación (M) Pc</t>
        </is>
      </c>
      <c r="C126" s="22">
        <f>IF(CROQUIS!$C$87=1,N(IF(DETALLE!$C$9=0,0,IF(DETALLE!$C$7="NERVADA",INDEX(NERVADAS!$BN$9:$BN$48,DETALLE!$C$9),0))),IF(CROQUIS!$C$88=1,N(IF(DETALLE!$C$9=0,0,IF(DETALLE!$C$7="NERVADA",0,INDEX(MACIZAS!$BI$9:$BI$48,DETALLE!$C$9)))),0))</f>
        <v>1</v>
      </c>
      <c r="D126" s="14" t="inlineStr">
        <is>
          <t>—</t>
        </is>
      </c>
      <c r="E126" s="15" t="inlineStr">
        <is>
          <t>Enlazado.</t>
        </is>
      </c>
      <c r="F126" s="16" t="inlineStr">
        <is>
          <t>NERVADAS / MACIZAS / DATOS</t>
        </is>
      </c>
    </row>
    <row r="127" ht="19.5" customHeight="1">
      <c r="B127" s="12" t="inlineStr">
        <is>
          <t>Armado Pc</t>
        </is>
      </c>
      <c r="C127" s="31" t="str">
        <f>IF(DETALLE!$C$9=0,"—",IF(DETALLE!$C$7="NERVADA",INDEX(NERVADAS!$DU$9:$DU$48,DETALLE!$C$9),INDEX(MACIZAS!$DE$9:$DE$48,DETALLE!$C$9)))</f>
        <v>1 No. 4 corrida</v>
      </c>
      <c r="D127" s="14" t="inlineStr">
        <is>
          <t>—</t>
        </is>
      </c>
      <c r="E127" s="15" t="inlineStr">
        <is>
          <t>Enlazado.</t>
        </is>
      </c>
      <c r="F127" s="16" t="inlineStr">
        <is>
          <t>NERVADAS / MACIZAS / DATOS</t>
        </is>
      </c>
    </row>
    <row r="128" ht="19.5" customHeight="1">
      <c r="B128" s="12" t="inlineStr">
        <is>
          <t>Varilla Nc</t>
        </is>
      </c>
      <c r="C128" s="78">
        <f>IF(CROQUIS!$C$86=1,IF(DETALLE!$C$9=0,4,IF(DETALLE!$C$7="NERVADA",INDEX(NERVADAS!$BU$9:$BU$48,DETALLE!$C$9),INDEX(MACIZAS!$BR$9:$BR$48,DETALLE!$C$9))),4)</f>
        <v>4</v>
      </c>
      <c r="D128" s="14" t="inlineStr">
        <is>
          <t>—</t>
        </is>
      </c>
      <c r="E128" s="15" t="inlineStr">
        <is>
          <t>Enlazado.</t>
        </is>
      </c>
      <c r="F128" s="16" t="inlineStr">
        <is>
          <t>NERVADAS / MACIZAS / DATOS</t>
        </is>
      </c>
    </row>
    <row r="129" ht="19.5" customHeight="1">
      <c r="B129" s="12" t="inlineStr">
        <is>
          <t>d_b Nc</t>
        </is>
      </c>
      <c r="C129" s="23">
        <f>INDEX(TABLAS!$C$52:$C$58,MATCH(CROQUIS!$C$128,TABLAS!$B$52:$B$58,0))</f>
        <v>1.27</v>
      </c>
      <c r="D129" s="14" t="inlineStr">
        <is>
          <t>cm</t>
        </is>
      </c>
      <c r="E129" s="15" t="inlineStr">
        <is>
          <t>Enlazado.</t>
        </is>
      </c>
      <c r="F129" s="16" t="inlineStr">
        <is>
          <t>NERVADAS / MACIZAS / DATOS</t>
        </is>
      </c>
    </row>
    <row r="130" ht="19.5" customHeight="1">
      <c r="B130" s="12" t="inlineStr">
        <is>
          <t>Piezas (N) o separación (M) Nc</t>
        </is>
      </c>
      <c r="C130" s="22">
        <f>IF(CROQUIS!$C$87=1,N(IF(DETALLE!$C$9=0,0,IF(DETALLE!$C$7="NERVADA",INDEX(NERVADAS!$BV$9:$BV$48,DETALLE!$C$9),0))),IF(CROQUIS!$C$88=1,N(IF(DETALLE!$C$9=0,0,IF(DETALLE!$C$7="NERVADA",0,INDEX(MACIZAS!$BS$9:$BS$48,DETALLE!$C$9)))),0))</f>
        <v>1</v>
      </c>
      <c r="D130" s="14" t="inlineStr">
        <is>
          <t>—</t>
        </is>
      </c>
      <c r="E130" s="15" t="inlineStr">
        <is>
          <t>Enlazado.</t>
        </is>
      </c>
      <c r="F130" s="16" t="inlineStr">
        <is>
          <t>NERVADAS / MACIZAS / DATOS</t>
        </is>
      </c>
    </row>
    <row r="131" ht="19.5" customHeight="1">
      <c r="B131" s="12" t="inlineStr">
        <is>
          <t>Armado Nc</t>
        </is>
      </c>
      <c r="C131" s="31" t="str">
        <f>IF(DETALLE!$C$9=0,"—",IF(DETALLE!$C$7="NERVADA",INDEX(NERVADAS!$DV$9:$DV$48,DETALLE!$C$9),INDEX(MACIZAS!$DF$9:$DF$48,DETALLE!$C$9)))</f>
        <v>1 No. 4 corrida</v>
      </c>
      <c r="D131" s="14" t="inlineStr">
        <is>
          <t>—</t>
        </is>
      </c>
      <c r="E131" s="15" t="inlineStr">
        <is>
          <t>Enlazado.</t>
        </is>
      </c>
      <c r="F131" s="16" t="inlineStr">
        <is>
          <t>NERVADAS / MACIZAS / DATOS</t>
        </is>
      </c>
    </row>
    <row r="132" ht="19.5" customHeight="1">
      <c r="B132" s="12" t="inlineStr">
        <is>
          <t>Varilla Pl</t>
        </is>
      </c>
      <c r="C132" s="78">
        <f>IF(CROQUIS!$C$86=1,IF(DETALLE!$C$9=0,4,IF(DETALLE!$C$7="NERVADA",INDEX(NERVADAS!$CC$9:$CC$48,DETALLE!$C$9),INDEX(MACIZAS!$CB$9:$CB$48,DETALLE!$C$9))),4)</f>
        <v>4</v>
      </c>
      <c r="D132" s="14" t="inlineStr">
        <is>
          <t>—</t>
        </is>
      </c>
      <c r="E132" s="15" t="inlineStr">
        <is>
          <t>Enlazado.</t>
        </is>
      </c>
      <c r="F132" s="16" t="inlineStr">
        <is>
          <t>NERVADAS / MACIZAS / DATOS</t>
        </is>
      </c>
    </row>
    <row r="133" ht="19.5" customHeight="1">
      <c r="B133" s="12" t="inlineStr">
        <is>
          <t>d_b Pl</t>
        </is>
      </c>
      <c r="C133" s="23">
        <f>INDEX(TABLAS!$C$52:$C$58,MATCH(CROQUIS!$C$132,TABLAS!$B$52:$B$58,0))</f>
        <v>1.27</v>
      </c>
      <c r="D133" s="14" t="inlineStr">
        <is>
          <t>cm</t>
        </is>
      </c>
      <c r="E133" s="15" t="inlineStr">
        <is>
          <t>Enlazado.</t>
        </is>
      </c>
      <c r="F133" s="16" t="inlineStr">
        <is>
          <t>NERVADAS / MACIZAS / DATOS</t>
        </is>
      </c>
    </row>
    <row r="134" ht="19.5" customHeight="1">
      <c r="B134" s="12" t="inlineStr">
        <is>
          <t>Piezas (N) o separación (M) Pl</t>
        </is>
      </c>
      <c r="C134" s="22">
        <f>IF(CROQUIS!$C$87=1,N(IF(DETALLE!$C$9=0,0,IF(DETALLE!$C$7="NERVADA",INDEX(NERVADAS!$CD$9:$CD$48,DETALLE!$C$9),0))),IF(CROQUIS!$C$88=1,N(IF(DETALLE!$C$9=0,0,IF(DETALLE!$C$7="NERVADA",0,INDEX(MACIZAS!$CC$9:$CC$48,DETALLE!$C$9)))),0))</f>
        <v>1</v>
      </c>
      <c r="D134" s="14" t="inlineStr">
        <is>
          <t>—</t>
        </is>
      </c>
      <c r="E134" s="15" t="inlineStr">
        <is>
          <t>Enlazado.</t>
        </is>
      </c>
      <c r="F134" s="16" t="inlineStr">
        <is>
          <t>NERVADAS / MACIZAS / DATOS</t>
        </is>
      </c>
    </row>
    <row r="135" ht="19.5" customHeight="1">
      <c r="B135" s="12" t="inlineStr">
        <is>
          <t>Armado Pl</t>
        </is>
      </c>
      <c r="C135" s="31" t="str">
        <f>IF(DETALLE!$C$9=0,"—",IF(DETALLE!$C$7="NERVADA",INDEX(NERVADAS!$DW$9:$DW$48,DETALLE!$C$9),INDEX(MACIZAS!$DG$9:$DG$48,DETALLE!$C$9)))</f>
        <v>1 No. 4 corrida</v>
      </c>
      <c r="D135" s="14" t="inlineStr">
        <is>
          <t>—</t>
        </is>
      </c>
      <c r="E135" s="15" t="inlineStr">
        <is>
          <t>Enlazado.</t>
        </is>
      </c>
      <c r="F135" s="16" t="inlineStr">
        <is>
          <t>NERVADAS / MACIZAS / DATOS</t>
        </is>
      </c>
    </row>
    <row r="136" ht="19.5" customHeight="1">
      <c r="B136" s="12" t="inlineStr">
        <is>
          <t>Varilla Nl</t>
        </is>
      </c>
      <c r="C136" s="78">
        <f>IF(CROQUIS!$C$86=1,IF(DETALLE!$C$9=0,4,IF(DETALLE!$C$7="NERVADA",INDEX(NERVADAS!$CK$9:$CK$48,DETALLE!$C$9),INDEX(MACIZAS!$CL$9:$CL$48,DETALLE!$C$9))),4)</f>
        <v>4</v>
      </c>
      <c r="D136" s="14" t="inlineStr">
        <is>
          <t>—</t>
        </is>
      </c>
      <c r="E136" s="15" t="inlineStr">
        <is>
          <t>Enlazado.</t>
        </is>
      </c>
      <c r="F136" s="16" t="inlineStr">
        <is>
          <t>NERVADAS / MACIZAS / DATOS</t>
        </is>
      </c>
    </row>
    <row r="137" ht="19.5" customHeight="1">
      <c r="B137" s="12" t="inlineStr">
        <is>
          <t>d_b Nl</t>
        </is>
      </c>
      <c r="C137" s="23">
        <f>INDEX(TABLAS!$C$52:$C$58,MATCH(CROQUIS!$C$136,TABLAS!$B$52:$B$58,0))</f>
        <v>1.27</v>
      </c>
      <c r="D137" s="14" t="inlineStr">
        <is>
          <t>cm</t>
        </is>
      </c>
      <c r="E137" s="15" t="inlineStr">
        <is>
          <t>Enlazado.</t>
        </is>
      </c>
      <c r="F137" s="16" t="inlineStr">
        <is>
          <t>NERVADAS / MACIZAS / DATOS</t>
        </is>
      </c>
    </row>
    <row r="138" ht="19.5" customHeight="1">
      <c r="B138" s="12" t="inlineStr">
        <is>
          <t>Piezas (N) o separación (M) Nl</t>
        </is>
      </c>
      <c r="C138" s="22">
        <f>IF(CROQUIS!$C$87=1,N(IF(DETALLE!$C$9=0,0,IF(DETALLE!$C$7="NERVADA",INDEX(NERVADAS!$CL$9:$CL$48,DETALLE!$C$9),0))),IF(CROQUIS!$C$88=1,N(IF(DETALLE!$C$9=0,0,IF(DETALLE!$C$7="NERVADA",0,INDEX(MACIZAS!$CM$9:$CM$48,DETALLE!$C$9)))),0))</f>
        <v>1</v>
      </c>
      <c r="D138" s="14" t="inlineStr">
        <is>
          <t>—</t>
        </is>
      </c>
      <c r="E138" s="15" t="inlineStr">
        <is>
          <t>Enlazado.</t>
        </is>
      </c>
      <c r="F138" s="16" t="inlineStr">
        <is>
          <t>NERVADAS / MACIZAS / DATOS</t>
        </is>
      </c>
    </row>
    <row r="139" ht="19.5" customHeight="1">
      <c r="B139" s="12" t="inlineStr">
        <is>
          <t>Armado Nl</t>
        </is>
      </c>
      <c r="C139" s="31" t="str">
        <f>IF(DETALLE!$C$9=0,"—",IF(DETALLE!$C$7="NERVADA",INDEX(NERVADAS!$DX$9:$DX$48,DETALLE!$C$9),INDEX(MACIZAS!$DH$9:$DH$48,DETALLE!$C$9)))</f>
        <v>1 No. 4 corrida</v>
      </c>
      <c r="D139" s="14" t="inlineStr">
        <is>
          <t>—</t>
        </is>
      </c>
      <c r="E139" s="15" t="inlineStr">
        <is>
          <t>Enlazado.</t>
        </is>
      </c>
      <c r="F139" s="16" t="inlineStr">
        <is>
          <t>NERVADAS / MACIZAS / DATOS</t>
        </is>
      </c>
    </row>
    <row r="140" ht="19.5" customHeight="1">
      <c r="B140" s="12" t="inlineStr">
        <is>
          <t>Bastón ‖ corto / largo desde el paño</t>
        </is>
      </c>
      <c r="C140" s="41">
        <f>N(IF(DETALLE!$C$9=0,0,IF(DETALLE!$C$7="NERVADA",INDEX(NERVADAS!$DB$9:$DB$48,DETALLE!$C$9),INDEX(MACIZAS!$CZ$9:$CZ$48,DETALLE!$C$9))))</f>
        <v>105</v>
      </c>
      <c r="D140" s="14" t="inlineStr">
        <is>
          <t>cm</t>
        </is>
      </c>
      <c r="E140" s="15" t="inlineStr">
        <is>
          <t>Enlazado.</t>
        </is>
      </c>
      <c r="F140" s="16" t="inlineStr">
        <is>
          <t>NERVADAS / MACIZAS / DATOS</t>
        </is>
      </c>
    </row>
    <row r="141" ht="19.5" customHeight="1">
      <c r="B141" s="12" t="inlineStr">
        <is>
          <t>…</t>
        </is>
      </c>
      <c r="C141" s="41">
        <f>N(IF(DETALLE!$C$9=0,0,IF(DETALLE!$C$7="NERVADA",INDEX(NERVADAS!$DC$9:$DC$48,DETALLE!$C$9),INDEX(MACIZAS!$DA$9:$DA$48,DETALLE!$C$9))))</f>
        <v>120</v>
      </c>
      <c r="D141" s="14" t="inlineStr">
        <is>
          <t>cm</t>
        </is>
      </c>
      <c r="E141" s="15" t="inlineStr">
        <is>
          <t>Enlazado.</t>
        </is>
      </c>
      <c r="F141" s="16" t="inlineStr">
        <is>
          <t>NERVADAS / MACIZAS / DATOS</t>
        </is>
      </c>
    </row>
    <row r="142" ht="19.5" customHeight="1">
      <c r="B142" s="12" t="inlineStr">
        <is>
          <t>Bastón en borde discontinuo corto / largo</t>
        </is>
      </c>
      <c r="C142" s="41">
        <f>IF(IF(DETALLE!$C$9=0,"—",IF(DETALLE!$C$7="NERVADA",INDEX(NERVADAS!$DD$9:$DD$48,DETALLE!$C$9),INDEX(MACIZAS!$DB$9:$DB$48,DETALLE!$C$9)))="SÍ",1,0)</f>
        <v>0</v>
      </c>
      <c r="D142" s="14" t="inlineStr">
        <is>
          <t>—</t>
        </is>
      </c>
      <c r="E142" s="15" t="inlineStr">
        <is>
          <t>Enlazado.</t>
        </is>
      </c>
      <c r="F142" s="16" t="inlineStr">
        <is>
          <t>NERVADAS / MACIZAS / DATOS</t>
        </is>
      </c>
    </row>
    <row r="143" ht="19.5" customHeight="1">
      <c r="B143" s="12" t="inlineStr">
        <is>
          <t>…</t>
        </is>
      </c>
      <c r="C143" s="41">
        <f>IF(IF(DETALLE!$C$9=0,"—",IF(DETALLE!$C$7="NERVADA",INDEX(NERVADAS!$DE$9:$DE$48,DETALLE!$C$9),INDEX(MACIZAS!$DC$9:$DC$48,DETALLE!$C$9)))="SÍ",1,0)</f>
        <v>0</v>
      </c>
      <c r="D143" s="14" t="inlineStr">
        <is>
          <t>—</t>
        </is>
      </c>
      <c r="E143" s="15" t="inlineStr">
        <is>
          <t>Enlazado.</t>
        </is>
      </c>
      <c r="F143" s="16" t="inlineStr">
        <is>
          <t>NERVADAS / MACIZAS / DATOS</t>
        </is>
      </c>
    </row>
    <row r="144" ht="30" customHeight="1">
      <c r="B144" s="12" t="inlineStr">
        <is>
          <t>Nervadura ancha del volado dentro del respaldo: hasta / hileras</t>
        </is>
      </c>
      <c r="C144" s="41">
        <f>IF(CROQUIS!$C$87=1,N(IF(DETALLE!$C$9=0,0,IF(DETALLE!$C$7="NERVADA",INDEX(NERVADAS!$DR$9:$DR$48,DETALLE!$C$9),0))),0)</f>
        <v>0</v>
      </c>
      <c r="D144" s="14" t="inlineStr">
        <is>
          <t>cm</t>
        </is>
      </c>
      <c r="E144" s="15" t="inlineStr">
        <is>
          <t>Enlazado.</t>
        </is>
      </c>
      <c r="F144" s="16" t="inlineStr">
        <is>
          <t>NERVADAS / MACIZAS / DATOS</t>
        </is>
      </c>
    </row>
    <row r="145" ht="19.5" customHeight="1">
      <c r="B145" s="12" t="inlineStr">
        <is>
          <t>…</t>
        </is>
      </c>
      <c r="C145" s="41">
        <f>IF(CROQUIS!$C$87=1,N(IF(DETALLE!$C$9=0,0,IF(DETALLE!$C$7="NERVADA",INDEX(NERVADAS!$DS$9:$DS$48,DETALLE!$C$9),0))),0)</f>
        <v>0</v>
      </c>
      <c r="D145" s="14" t="inlineStr">
        <is>
          <t>—</t>
        </is>
      </c>
      <c r="E145" s="15" t="inlineStr">
        <is>
          <t>Enlazado.</t>
        </is>
      </c>
      <c r="F145" s="16" t="inlineStr">
        <is>
          <t>NERVADAS / MACIZAS / DATOS</t>
        </is>
      </c>
    </row>
    <row r="146" ht="19.5" customHeight="1">
      <c r="B146" s="12" t="inlineStr">
        <is>
          <t>L_b de respaldo</t>
        </is>
      </c>
      <c r="C146" s="41">
        <f>IF(CROQUIS!$C$91=1,IF(N(IF(DETALLE!$C$9=0,0,IF(DETALLE!$C$7="NERVADA",INDEX(NERVADAS!$P$9:$P$48,DETALLE!$C$9),INDEX(MACIZAS!$Q$9:$Q$48,DETALLE!$C$9))))&gt;0,IF(DETALLE!$C$9=0,0,IF(DETALLE!$C$7="NERVADA",INDEX(NERVADAS!$P$9:$P$48,DETALLE!$C$9),INDEX(MACIZAS!$Q$9:$Q$48,DETALLE!$C$9))),IF(DETALLE!$C$9=0,0,IF(DETALLE!$C$7="NERVADA",INDEX(NERVADAS!$X$9:$X$48,DETALLE!$C$9),INDEX(MACIZAS!$Z$9:$Z$48,DETALLE!$C$9))))*100,0)</f>
        <v>0</v>
      </c>
      <c r="D146" s="14" t="inlineStr">
        <is>
          <t>cm</t>
        </is>
      </c>
      <c r="E146" s="15" t="inlineStr">
        <is>
          <t>Enlazado.</t>
        </is>
      </c>
      <c r="F146" s="16" t="inlineStr">
        <is>
          <t>NERVADAS / MACIZAS / DATOS</t>
        </is>
      </c>
    </row>
    <row r="147" ht="19.5" customHeight="1">
      <c r="B147" s="12" t="inlineStr">
        <is>
          <t>d inferior ‖ corto</t>
        </is>
      </c>
      <c r="C147" s="23">
        <f>N(IF(DETALLE!$C$9=0,0,IF(DETALLE!$C$7="NERVADA",INDEX(NERVADAS!$BO$9:$BO$48,DETALLE!$C$9),INDEX(MACIZAS!$BK$9:$BK$48,DETALLE!$C$9))))</f>
        <v>22.365</v>
      </c>
      <c r="D147" s="14" t="inlineStr">
        <is>
          <t>cm</t>
        </is>
      </c>
      <c r="E147" s="15" t="inlineStr">
        <is>
          <t>Enlazado.</t>
        </is>
      </c>
      <c r="F147" s="16" t="inlineStr">
        <is>
          <t>NERVADAS / MACIZAS / DATOS</t>
        </is>
      </c>
    </row>
    <row r="148" ht="19.5" customHeight="1">
      <c r="B148" s="12" t="inlineStr">
        <is>
          <t>Carga en la orilla</t>
        </is>
      </c>
      <c r="C148" s="22">
        <f>N(IF(DETALLE!$C$9=0,0,IF(DETALLE!$C$7="NERVADA",INDEX(NERVADAS!$O$9:$O$48,DETALLE!$C$9),INDEX(MACIZAS!$P$9:$P$48,DETALLE!$C$9))))</f>
        <v>0</v>
      </c>
      <c r="D148" s="14" t="inlineStr">
        <is>
          <t>kg/m</t>
        </is>
      </c>
      <c r="E148" s="15" t="inlineStr">
        <is>
          <t>Enlazado.</t>
        </is>
      </c>
      <c r="F148" s="16" t="inlineStr">
        <is>
          <t>NERVADAS / MACIZAS / DATOS</t>
        </is>
      </c>
    </row>
    <row r="149" ht="19.5" customHeight="1">
      <c r="B149" s="12" t="inlineStr">
        <is>
          <t>Estado</t>
        </is>
      </c>
      <c r="C149" s="31" t="str">
        <f>IF(DETALLE!$C$9=0,"—",IF(DETALLE!$C$7="NERVADA",INDEX(NERVADAS!$DY$9:$DY$48,DETALLE!$C$9),INDEX(MACIZAS!$DI$9:$DI$48,DETALLE!$C$9)))</f>
        <v>CUMPLE</v>
      </c>
      <c r="D149" s="14" t="inlineStr">
        <is>
          <t>—</t>
        </is>
      </c>
      <c r="E149" s="15" t="inlineStr">
        <is>
          <t>Enlazado.</t>
        </is>
      </c>
      <c r="F149" s="16" t="inlineStr">
        <is>
          <t>NERVADAS / MACIZAS / DATOS</t>
        </is>
      </c>
    </row>
    <row r="150" ht="19.5" customHeight="1">
      <c r="B150" s="12" t="inlineStr">
        <is>
          <t>Respaldo que se dibuja</t>
        </is>
      </c>
      <c r="C150" s="22">
        <f>IF(CROQUIS!$C$91=1,MIN(CROQUIS!$C$146,CROQUIS!$C$107/2+CROQUIS!$C$140+40),0)</f>
        <v>0</v>
      </c>
      <c r="D150" s="14" t="inlineStr">
        <is>
          <t>cm</t>
        </is>
      </c>
      <c r="E150" s="15" t="inlineStr">
        <is>
          <t>Enlazado.</t>
        </is>
      </c>
      <c r="F150" s="16" t="inlineStr">
        <is>
          <t>NERVADAS / MACIZAS / DATOS</t>
        </is>
      </c>
    </row>
    <row r="151" ht="19.5" customHeight="1">
      <c r="B151" s="12" t="inlineStr">
        <is>
          <t>x mín / x máx / y mín / y máx</t>
        </is>
      </c>
      <c r="C151" s="22">
        <f>IF(CROQUIS!$C$93=1,-CROQUIS!$C$150,0)</f>
        <v>0</v>
      </c>
      <c r="D151" s="14" t="inlineStr">
        <is>
          <t>cm</t>
        </is>
      </c>
      <c r="E151" s="15" t="inlineStr">
        <is>
          <t>Enlazado.</t>
        </is>
      </c>
      <c r="F151" s="16" t="inlineStr">
        <is>
          <t>NERVADAS / MACIZAS / DATOS</t>
        </is>
      </c>
    </row>
    <row r="152" ht="19.5" customHeight="1">
      <c r="B152" s="12" t="inlineStr">
        <is>
          <t>…</t>
        </is>
      </c>
      <c r="C152" s="22">
        <f>CROQUIS!$C$95+IF(CROQUIS!$C$93=2,CROQUIS!$C$150,0)</f>
        <v>442.6</v>
      </c>
      <c r="D152" s="14" t="inlineStr">
        <is>
          <t>cm</t>
        </is>
      </c>
      <c r="E152" s="15" t="inlineStr">
        <is>
          <t>Enlazado.</t>
        </is>
      </c>
      <c r="F152" s="16" t="inlineStr">
        <is>
          <t>NERVADAS / MACIZAS / DATOS</t>
        </is>
      </c>
    </row>
    <row r="153" ht="19.5" customHeight="1">
      <c r="B153" s="12" t="inlineStr">
        <is>
          <t>…</t>
        </is>
      </c>
      <c r="C153" s="22">
        <f>IF(CROQUIS!$C$93=3,-CROQUIS!$C$150,0)</f>
        <v>0</v>
      </c>
      <c r="D153" s="14" t="inlineStr">
        <is>
          <t>cm</t>
        </is>
      </c>
      <c r="E153" s="15" t="inlineStr">
        <is>
          <t>Enlazado.</t>
        </is>
      </c>
      <c r="F153" s="16" t="inlineStr">
        <is>
          <t>NERVADAS / MACIZAS / DATOS</t>
        </is>
      </c>
    </row>
    <row r="154" ht="19.5" customHeight="1">
      <c r="B154" s="12" t="inlineStr">
        <is>
          <t>…</t>
        </is>
      </c>
      <c r="C154" s="22">
        <f>CROQUIS!$C$96+IF(CROQUIS!$C$93=4,CROQUIS!$C$150,0)</f>
        <v>400</v>
      </c>
      <c r="D154" s="14" t="inlineStr">
        <is>
          <t>cm</t>
        </is>
      </c>
      <c r="E154" s="15" t="inlineStr">
        <is>
          <t>Enlazado.</t>
        </is>
      </c>
      <c r="F154" s="16" t="inlineStr">
        <is>
          <t>NERVADAS / MACIZAS / DATOS</t>
        </is>
      </c>
    </row>
    <row r="155" ht="19.5" customHeight="1">
      <c r="B155" s="12" t="inlineStr">
        <is>
          <t>Escala de la planta</t>
        </is>
      </c>
      <c r="C155" s="35">
        <f>76/MAX(CROQUIS!$C$152-CROQUIS!$C$151,CROQUIS!$C$154-CROQUIS!$C$153,1)</f>
        <v>0.17171260732038</v>
      </c>
      <c r="D155" s="14" t="inlineStr">
        <is>
          <t>u/cm</t>
        </is>
      </c>
      <c r="E155" s="15" t="inlineStr">
        <is>
          <t>Cuadro de 76 unidades, misma escala en X y Y.</t>
        </is>
      </c>
      <c r="F155" s="16" t="inlineStr">
        <is>
          <t>NERVADAS / MACIZAS / DATOS</t>
        </is>
      </c>
    </row>
    <row r="156" ht="19.5" customHeight="1">
      <c r="B156" s="12" t="inlineStr">
        <is>
          <t>Origen X / Y</t>
        </is>
      </c>
      <c r="C156" s="23">
        <f>12+(76-(CROQUIS!$C$152-CROQUIS!$C$151)*CROQUIS!$C$155)/2-CROQUIS!$C$151*CROQUIS!$C$155</f>
        <v>12</v>
      </c>
      <c r="D156" s="14" t="inlineStr">
        <is>
          <t>u</t>
        </is>
      </c>
      <c r="E156" s="15" t="inlineStr">
        <is>
          <t>Enlazado.</t>
        </is>
      </c>
      <c r="F156" s="16" t="inlineStr">
        <is>
          <t>NERVADAS / MACIZAS / DATOS</t>
        </is>
      </c>
    </row>
    <row r="157" ht="19.5" customHeight="1">
      <c r="B157" s="12" t="inlineStr">
        <is>
          <t>…</t>
        </is>
      </c>
      <c r="C157" s="23">
        <f>12+(76-(CROQUIS!$C$154-CROQUIS!$C$153)*CROQUIS!$C$155)/2-CROQUIS!$C$153*CROQUIS!$C$155</f>
        <v>15.6574785359241</v>
      </c>
      <c r="D157" s="14" t="inlineStr">
        <is>
          <t>u</t>
        </is>
      </c>
      <c r="E157" s="15" t="inlineStr">
        <is>
          <t>Enlazado.</t>
        </is>
      </c>
      <c r="F157" s="16" t="inlineStr">
        <is>
          <t>NERVADAS / MACIZAS / DATOS</t>
        </is>
      </c>
    </row>
    <row r="158" ht="19.5" customHeight="1">
      <c r="B158" s="12" t="inlineStr">
        <is>
          <t>Casetones dibujados ‖ X</t>
        </is>
      </c>
      <c r="C158" s="41">
        <f>IF(CROQUIS!$C$92="X",MAX(0,CROQUIS!$C$119-CROQUIS!$C$123*IF(CROQUIS!$C$91=1,1,2)),CROQUIS!$C$119)</f>
        <v>6</v>
      </c>
      <c r="D158" s="14" t="inlineStr">
        <is>
          <t>—</t>
        </is>
      </c>
      <c r="E158" s="15" t="inlineStr">
        <is>
          <t>Enlazado.</t>
        </is>
      </c>
      <c r="F158" s="16" t="inlineStr">
        <is>
          <t>NERVADAS / MACIZAS / DATOS</t>
        </is>
      </c>
    </row>
    <row r="159" ht="19.5" customHeight="1">
      <c r="B159" s="12" t="inlineStr">
        <is>
          <t>Inicio de casetones en X</t>
        </is>
      </c>
      <c r="C159" s="22">
        <f>CROQUIS!$C$107/2+CROQUIS!$C$121+IF(AND(CROQUIS!$C$92="X",OR(CROQUIS!$C$91=0,CROQUIS!$C$93=1)),CROQUIS!$C$123*CROQUIS!$C$113,0)</f>
        <v>16.3</v>
      </c>
      <c r="D159" s="14" t="inlineStr">
        <is>
          <t>cm</t>
        </is>
      </c>
      <c r="E159" s="15" t="inlineStr">
        <is>
          <t>Enlazado.</t>
        </is>
      </c>
      <c r="F159" s="16" t="inlineStr">
        <is>
          <t>NERVADAS / MACIZAS / DATOS</t>
        </is>
      </c>
    </row>
    <row r="160" ht="19.5" customHeight="1">
      <c r="B160" s="12" t="inlineStr">
        <is>
          <t>Casetones dibujados ‖ Y</t>
        </is>
      </c>
      <c r="C160" s="41">
        <f>IF(CROQUIS!$C$92="Y",MAX(0,CROQUIS!$C$120-CROQUIS!$C$123*IF(CROQUIS!$C$91=1,1,2)),CROQUIS!$C$120)</f>
        <v>5</v>
      </c>
      <c r="D160" s="14" t="inlineStr">
        <is>
          <t>—</t>
        </is>
      </c>
      <c r="E160" s="15" t="inlineStr">
        <is>
          <t>Enlazado.</t>
        </is>
      </c>
      <c r="F160" s="16" t="inlineStr">
        <is>
          <t>NERVADAS / MACIZAS / DATOS</t>
        </is>
      </c>
    </row>
    <row r="161" ht="19.5" customHeight="1">
      <c r="B161" s="12" t="inlineStr">
        <is>
          <t>Inicio de casetones en Y</t>
        </is>
      </c>
      <c r="C161" s="22">
        <f>CROQUIS!$C$107/2+CROQUIS!$C$122+IF(AND(CROQUIS!$C$92="Y",OR(CROQUIS!$C$91=0,CROQUIS!$C$93=3)),CROQUIS!$C$123*CROQUIS!$C$113,0)</f>
        <v>30</v>
      </c>
      <c r="D161" s="14" t="inlineStr">
        <is>
          <t>cm</t>
        </is>
      </c>
      <c r="E161" s="15" t="inlineStr">
        <is>
          <t>Enlazado.</t>
        </is>
      </c>
      <c r="F161" s="16" t="inlineStr">
        <is>
          <t>NERVADAS / MACIZAS / DATOS</t>
        </is>
      </c>
    </row>
    <row r="162" ht="19.5" customHeight="1">
      <c r="B162" s="12" t="inlineStr">
        <is>
          <t>Casetones / inicio en u y en v</t>
        </is>
      </c>
      <c r="C162" s="41">
        <f>IF(CROQUIS!$C$92="X",CROQUIS!$C$158,CROQUIS!$C$160)</f>
        <v>5</v>
      </c>
      <c r="D162" s="14" t="inlineStr">
        <is>
          <t>—</t>
        </is>
      </c>
      <c r="E162" s="15" t="inlineStr">
        <is>
          <t>Enlazado.</t>
        </is>
      </c>
      <c r="F162" s="16" t="inlineStr">
        <is>
          <t>NERVADAS / MACIZAS / DATOS</t>
        </is>
      </c>
    </row>
    <row r="163" ht="19.5" customHeight="1">
      <c r="B163" s="12" t="inlineStr">
        <is>
          <t>…</t>
        </is>
      </c>
      <c r="C163" s="22">
        <f>IF(CROQUIS!$C$92="X",CROQUIS!$C$159,CROQUIS!$C$161)</f>
        <v>30</v>
      </c>
      <c r="D163" s="14" t="inlineStr">
        <is>
          <t>cm</t>
        </is>
      </c>
      <c r="E163" s="15" t="inlineStr">
        <is>
          <t>Enlazado.</t>
        </is>
      </c>
      <c r="F163" s="16" t="inlineStr">
        <is>
          <t>NERVADAS / MACIZAS / DATOS</t>
        </is>
      </c>
    </row>
    <row r="164" ht="19.5" customHeight="1">
      <c r="B164" s="12" t="inlineStr">
        <is>
          <t>…</t>
        </is>
      </c>
      <c r="C164" s="41">
        <f>IF(CROQUIS!$C$92="X",CROQUIS!$C$160,CROQUIS!$C$158)</f>
        <v>6</v>
      </c>
      <c r="D164" s="14" t="inlineStr">
        <is>
          <t>—</t>
        </is>
      </c>
      <c r="E164" s="15" t="inlineStr">
        <is>
          <t>Enlazado.</t>
        </is>
      </c>
      <c r="F164" s="16" t="inlineStr">
        <is>
          <t>NERVADAS / MACIZAS / DATOS</t>
        </is>
      </c>
    </row>
    <row r="165" ht="19.5" customHeight="1">
      <c r="B165" s="12" t="inlineStr">
        <is>
          <t>…</t>
        </is>
      </c>
      <c r="C165" s="22">
        <f>IF(CROQUIS!$C$92="X",CROQUIS!$C$161,CROQUIS!$C$159)</f>
        <v>16.3</v>
      </c>
      <c r="D165" s="14" t="inlineStr">
        <is>
          <t>cm</t>
        </is>
      </c>
      <c r="E165" s="15" t="inlineStr">
        <is>
          <t>Enlazado.</t>
        </is>
      </c>
      <c r="F165" s="16" t="inlineStr">
        <is>
          <t>NERVADAS / MACIZAS / DATOS</t>
        </is>
      </c>
    </row>
    <row r="166" ht="30" customHeight="1">
      <c r="B166" s="12" t="inlineStr">
        <is>
          <t>Nervadura representativa ‖ corto (posición en v)</t>
        </is>
      </c>
      <c r="C166" s="22">
        <f>IF(CROQUIS!$C$164&gt;=2,CROQUIS!$C$165+CROQUIS!$C$112+CROQUIS!$C$111/2+INT((CROQUIS!$C$164-2)/2)*CROQUIS!$C$113,CROQUIS!$C$98/2)</f>
        <v>221.3</v>
      </c>
      <c r="D166" s="14" t="inlineStr">
        <is>
          <t>cm</t>
        </is>
      </c>
      <c r="E166" s="15" t="inlineStr">
        <is>
          <t>Enlazado.</t>
        </is>
      </c>
      <c r="F166" s="16" t="inlineStr">
        <is>
          <t>NERVADAS / MACIZAS / DATOS</t>
        </is>
      </c>
    </row>
    <row r="167" ht="30" customHeight="1">
      <c r="B167" s="12" t="inlineStr">
        <is>
          <t>Nervadura representativa ‖ largo (posición en u)</t>
        </is>
      </c>
      <c r="C167" s="22">
        <f>IF(CROQUIS!$C$162&gt;=2,CROQUIS!$C$163+CROQUIS!$C$112+CROQUIS!$C$111/2+INT((CROQUIS!$C$162-2)/2)*CROQUIS!$C$113,CROQUIS!$C$97/2)</f>
        <v>165</v>
      </c>
      <c r="D167" s="14" t="inlineStr">
        <is>
          <t>cm</t>
        </is>
      </c>
      <c r="E167" s="15" t="inlineStr">
        <is>
          <t>Enlazado.</t>
        </is>
      </c>
      <c r="F167" s="16" t="inlineStr">
        <is>
          <t>NERVADAS / MACIZAS / DATOS</t>
        </is>
      </c>
    </row>
    <row r="168" ht="19.5" customHeight="1">
      <c r="B168" s="12" t="inlineStr">
        <is>
          <t>Respaldo en el alzado</t>
        </is>
      </c>
      <c r="C168" s="22">
        <f>IF(CROQUIS!$C$91=1,MIN(CROQUIS!$C$146,CROQUIS!$C$107/2+CROQUIS!$C$140+40),0)</f>
        <v>0</v>
      </c>
      <c r="D168" s="14" t="inlineStr">
        <is>
          <t>cm</t>
        </is>
      </c>
      <c r="E168" s="15" t="inlineStr">
        <is>
          <t>Enlazado.</t>
        </is>
      </c>
      <c r="F168" s="16" t="inlineStr">
        <is>
          <t>NERVADAS / MACIZAS / DATOS</t>
        </is>
      </c>
    </row>
    <row r="169" ht="19.5" customHeight="1">
      <c r="B169" s="12" t="inlineStr">
        <is>
          <t>Alzado: x izq. / x der.</t>
        </is>
      </c>
      <c r="C169" s="22">
        <f>IF(CROQUIS!$C$91=1,-CROQUIS!$C$168,-CROQUIS!$C$107/2-30)</f>
        <v>-37.5</v>
      </c>
      <c r="D169" s="14" t="inlineStr">
        <is>
          <t>cm</t>
        </is>
      </c>
      <c r="E169" s="15" t="inlineStr">
        <is>
          <t>Enlazado.</t>
        </is>
      </c>
      <c r="F169" s="16" t="inlineStr">
        <is>
          <t>NERVADAS / MACIZAS / DATOS</t>
        </is>
      </c>
    </row>
    <row r="170" ht="19.5" customHeight="1">
      <c r="B170" s="12" t="inlineStr">
        <is>
          <t>…</t>
        </is>
      </c>
      <c r="C170" s="22">
        <f>IF(CROQUIS!$C$91=1,CROQUIS!$C$97+12,CROQUIS!$C$97+CROQUIS!$C$107/2+30)</f>
        <v>437.5</v>
      </c>
      <c r="D170" s="14" t="inlineStr">
        <is>
          <t>cm</t>
        </is>
      </c>
      <c r="E170" s="15" t="inlineStr">
        <is>
          <t>Enlazado.</t>
        </is>
      </c>
      <c r="F170" s="16" t="inlineStr">
        <is>
          <t>NERVADAS / MACIZAS / DATOS</t>
        </is>
      </c>
    </row>
    <row r="171" ht="19.5" customHeight="1">
      <c r="B171" s="12" t="inlineStr">
        <is>
          <t>Alzado: escala horizontal</t>
        </is>
      </c>
      <c r="C171" s="35">
        <f>92/MAX(CROQUIS!$C$170-CROQUIS!$C$169,1)</f>
        <v>0.193684210526316</v>
      </c>
      <c r="D171" s="14" t="inlineStr">
        <is>
          <t>u/cm</t>
        </is>
      </c>
      <c r="E171" s="15" t="inlineStr">
        <is>
          <t>Enlazado.</t>
        </is>
      </c>
      <c r="F171" s="16" t="inlineStr">
        <is>
          <t>NERVADAS / MACIZAS / DATOS</t>
        </is>
      </c>
    </row>
    <row r="172" ht="19.5" customHeight="1">
      <c r="B172" s="12" t="inlineStr">
        <is>
          <t>Alzado: exageración vertical</t>
        </is>
      </c>
      <c r="C172" s="41">
        <f>MAX(1,ROUND(16/MAX(CROQUIS!$C$108*CROQUIS!$C$171,0.01),0))</f>
        <v>3</v>
      </c>
      <c r="D172" s="14" t="inlineStr">
        <is>
          <t>—</t>
        </is>
      </c>
      <c r="E172" s="15" t="inlineStr">
        <is>
          <t>Enlazado.</t>
        </is>
      </c>
      <c r="F172" s="16" t="inlineStr">
        <is>
          <t>NERVADAS / MACIZAS / DATOS</t>
        </is>
      </c>
    </row>
    <row r="173" ht="19.5" customHeight="1">
      <c r="B173" s="12" t="inlineStr">
        <is>
          <t>Corte nervada: escala</t>
        </is>
      </c>
      <c r="C173" s="35">
        <f>MIN(84/(CROQUIS!$C$113+18),36/(CROQUIS!$C$108+12))</f>
        <v>0.954545454545455</v>
      </c>
      <c r="D173" s="14" t="inlineStr">
        <is>
          <t>u/cm</t>
        </is>
      </c>
      <c r="E173" s="15" t="inlineStr">
        <is>
          <t>Enlazado.</t>
        </is>
      </c>
      <c r="F173" s="16" t="inlineStr">
        <is>
          <t>NERVADAS / MACIZAS / DATOS</t>
        </is>
      </c>
    </row>
    <row r="174" ht="19.5" customHeight="1">
      <c r="B174" s="12" t="inlineStr">
        <is>
          <t>Corte maciza: escala</t>
        </is>
      </c>
      <c r="C174" s="35">
        <f>MIN(84/(60+18),36/(CROQUIS!$C$108+12))</f>
        <v>0.972972972972973</v>
      </c>
      <c r="D174" s="14" t="inlineStr">
        <is>
          <t>u/cm</t>
        </is>
      </c>
      <c r="E174" s="15" t="inlineStr">
        <is>
          <t>Enlazado.</t>
        </is>
      </c>
      <c r="F174" s="16" t="inlineStr">
        <is>
          <t>NERVADAS / MACIZAS / DATOS</t>
        </is>
      </c>
    </row>
  </sheetData>
  <mergeCells count="7">
    <mergeCell ref="B4:F4"/>
    <mergeCell ref="B44:F44"/>
    <mergeCell ref="B2:F2"/>
    <mergeCell ref="B3:F3"/>
    <mergeCell ref="B5:F5"/>
    <mergeCell ref="B1:F1"/>
    <mergeCell ref="B84:F84"/>
  </mergeCells>
  <conditionalFormatting sqref="C83:C175">
    <cfRule type="expression" priority="1" dxfId="0" stopIfTrue="1">
      <formula>OR(ISNUMBER(FIND("NO CUMPLE",C83)),ISNUMBER(FIND("REVISAR",C83)),ISNUMBER(FIND("NO CABE",C83)),ISNUMBER(FIND("FUERA",C83)),ISNUMBER(FIND("FALTA",C83)),ISNUMBER(FIND("INSUFICIENTE",C83)),ISNUMBER(FIND("PENDIENTE",C83)))</formula>
    </cfRule>
    <cfRule type="expression" priority="2" dxfId="1" stopIfTrue="1">
      <formula>OR(ISNUMBER(FIND("CUMPLE",C83)),ISNUMBER(FIND("SÍ aplica",C83)),ISNUMBER(FIND("MANDA",C83)))</formula>
    </cfRule>
    <cfRule type="expression" priority="3" dxfId="2" stopIfTrue="1">
      <formula>OR(ISNUMBER(FIND("MACIZAR",C83)),ISNUMBER(FIND("CALCULAR",C83)),ISNUMBER(FIND("PROPUESTO",C83)),ISNUMBER(FIND("VER ",C83)))</formula>
    </cfRule>
  </conditionalFormatting>
  <printOptions horizontalCentered="1"/>
  <pageMargins left="0.4" right="0.4" top="0.5" bottom="0.5" header="0.5" footer="0.5"/>
  <pageSetup orientation="landscape" paperSize="1" fitToHeight="0" fitToWidth="1"/>
  <headerFooter>
    <oddHeader/>
    <oddFooter>&amp;C&amp;8 &amp;A — página &amp;P de &amp;N</oddFooter>
    <evenHeader/>
    <evenFooter/>
    <firstHeader/>
    <firstFooter/>
  </headerFooter>
  <rowBreaks count="2" manualBreakCount="2">
    <brk id="43" min="0" max="16383" man="1"/>
    <brk id="82" min="0" max="16383" man="1"/>
  </rowBreaks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K1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.78" customWidth="1" min="1" max="1"/>
    <col width="24" customWidth="1" min="2" max="2"/>
    <col width="58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40" customWidth="1" min="11" max="11"/>
  </cols>
  <sheetData>
    <row r="1" ht="26" customHeight="1">
      <c r="B1" s="1" t="inlineStr">
        <is>
          <t>TABLAS — COEFICIENTES, VARILLAS, MALLAS Y LISTAS</t>
        </is>
      </c>
    </row>
    <row r="2" ht="18" customHeight="1">
      <c r="B2" s="2" t="inlineStr">
        <is>
          <t>Todas las hojas leen de aquí con INDEX/MATCH. Los coeficientes son los de la NTC; L_d, L_dh y traslapes se recalculan solos con f'c y fy de DATOS.</t>
        </is>
      </c>
    </row>
    <row r="4" ht="21" customHeight="1">
      <c r="B4" s="3" t="inlineStr">
        <is>
          <t>A. COEFICIENTES DE MOMENTO PARA TABLEROS RECTANGULARES, FRANJAS CENTRALES — CASO I (LOSA COLADA MONOLÍTICAMENTE CON SUS APOYOS) · ×10⁻⁴·w·a1²</t>
        </is>
      </c>
    </row>
    <row r="5">
      <c r="B5" s="11" t="inlineStr">
        <is>
          <t>Clave</t>
        </is>
      </c>
      <c r="C5" s="11" t="inlineStr">
        <is>
          <t>Caso — momento  (m = a1/a2 →)</t>
        </is>
      </c>
      <c r="D5" s="79" t="n">
        <v>0</v>
      </c>
      <c r="E5" s="79" t="n">
        <v>0.5</v>
      </c>
      <c r="F5" s="79" t="n">
        <v>0.6</v>
      </c>
      <c r="G5" s="79" t="n">
        <v>0.7</v>
      </c>
      <c r="H5" s="79" t="n">
        <v>0.8</v>
      </c>
      <c r="I5" s="79" t="n">
        <v>0.9</v>
      </c>
      <c r="J5" s="79" t="n">
        <v>1</v>
      </c>
      <c r="K5" s="11" t="inlineStr">
        <is>
          <t>Referencia</t>
        </is>
      </c>
    </row>
    <row r="6">
      <c r="B6" s="80" t="inlineStr">
        <is>
          <t>INTERIOR|NIC</t>
        </is>
      </c>
      <c r="C6" s="80" t="inlineStr">
        <is>
          <t>Interior — todos los bordes continuos — negativo en bordes continuos, claro corto</t>
        </is>
      </c>
      <c r="D6" s="59" t="n">
        <v>998</v>
      </c>
      <c r="E6" s="59" t="n">
        <v>1160</v>
      </c>
      <c r="F6" s="59" t="n">
        <v>907</v>
      </c>
      <c r="G6" s="59" t="n">
        <v>736</v>
      </c>
      <c r="H6" s="59" t="n">
        <v>607</v>
      </c>
      <c r="I6" s="59" t="n">
        <v>503</v>
      </c>
      <c r="J6" s="59" t="n">
        <v>418</v>
      </c>
      <c r="K6" s="81" t="inlineStr">
        <is>
          <t>NTC-Concreto 2023 (CDMX) · Tabla 3.4.2.1, caso I (§3.4.2, p. 65)</t>
        </is>
      </c>
    </row>
    <row r="7">
      <c r="B7" s="80" t="inlineStr">
        <is>
          <t>INTERIOR|NIL</t>
        </is>
      </c>
      <c r="C7" s="80" t="inlineStr">
        <is>
          <t>Interior — todos los bordes continuos — negativo en bordes continuos, claro largo</t>
        </is>
      </c>
      <c r="D7" s="59" t="n">
        <v>516</v>
      </c>
      <c r="E7" s="59" t="n">
        <v>550</v>
      </c>
      <c r="F7" s="59" t="n">
        <v>517</v>
      </c>
      <c r="G7" s="59" t="n">
        <v>492</v>
      </c>
      <c r="H7" s="59" t="n">
        <v>466</v>
      </c>
      <c r="I7" s="59" t="n">
        <v>436</v>
      </c>
      <c r="J7" s="59" t="n">
        <v>418</v>
      </c>
      <c r="K7" s="81" t="inlineStr">
        <is>
          <t>NTC-Concreto 2023 (CDMX) · Tabla 3.4.2.1, caso I (§3.4.2, p. 65)</t>
        </is>
      </c>
    </row>
    <row r="8">
      <c r="B8" s="80" t="inlineStr">
        <is>
          <t>INTERIOR|NDC</t>
        </is>
      </c>
      <c r="C8" s="80" t="inlineStr">
        <is>
          <t>Interior — todos los bordes continuos — negativo en bordes discontinuos, claro corto</t>
        </is>
      </c>
      <c r="D8" s="59" t="n">
        <v>0</v>
      </c>
      <c r="E8" s="59" t="n">
        <v>0</v>
      </c>
      <c r="F8" s="59" t="n">
        <v>0</v>
      </c>
      <c r="G8" s="59" t="n">
        <v>0</v>
      </c>
      <c r="H8" s="59" t="n">
        <v>0</v>
      </c>
      <c r="I8" s="59" t="n">
        <v>0</v>
      </c>
      <c r="J8" s="59" t="n">
        <v>0</v>
      </c>
      <c r="K8" s="81" t="inlineStr">
        <is>
          <t>NTC-Concreto 2023 (CDMX) · Tabla 3.4.2.1, caso I (§3.4.2, p. 65)</t>
        </is>
      </c>
    </row>
    <row r="9">
      <c r="B9" s="80" t="inlineStr">
        <is>
          <t>INTERIOR|NDL</t>
        </is>
      </c>
      <c r="C9" s="80" t="inlineStr">
        <is>
          <t>Interior — todos los bordes continuos — negativo en bordes discontinuos, claro largo</t>
        </is>
      </c>
      <c r="D9" s="59" t="n">
        <v>0</v>
      </c>
      <c r="E9" s="59" t="n">
        <v>0</v>
      </c>
      <c r="F9" s="59" t="n">
        <v>0</v>
      </c>
      <c r="G9" s="59" t="n">
        <v>0</v>
      </c>
      <c r="H9" s="59" t="n">
        <v>0</v>
      </c>
      <c r="I9" s="59" t="n">
        <v>0</v>
      </c>
      <c r="J9" s="59" t="n">
        <v>0</v>
      </c>
      <c r="K9" s="81" t="inlineStr">
        <is>
          <t>NTC-Concreto 2023 (CDMX) · Tabla 3.4.2.1, caso I (§3.4.2, p. 65)</t>
        </is>
      </c>
    </row>
    <row r="10">
      <c r="B10" s="80" t="inlineStr">
        <is>
          <t>INTERIOR|PC</t>
        </is>
      </c>
      <c r="C10" s="80" t="inlineStr">
        <is>
          <t>Interior — todos los bordes continuos — positivo, claro corto</t>
        </is>
      </c>
      <c r="D10" s="59" t="n">
        <v>630</v>
      </c>
      <c r="E10" s="59" t="n">
        <v>312</v>
      </c>
      <c r="F10" s="59" t="n">
        <v>331</v>
      </c>
      <c r="G10" s="59" t="n">
        <v>330</v>
      </c>
      <c r="H10" s="59" t="n">
        <v>298</v>
      </c>
      <c r="I10" s="59" t="n">
        <v>256</v>
      </c>
      <c r="J10" s="59" t="n">
        <v>209</v>
      </c>
      <c r="K10" s="81" t="inlineStr">
        <is>
          <t>NTC-Concreto 2023 (CDMX) · Tabla 3.4.2.1, caso I (§3.4.2, p. 65)</t>
        </is>
      </c>
    </row>
    <row r="11">
      <c r="B11" s="80" t="inlineStr">
        <is>
          <t>INTERIOR|PL</t>
        </is>
      </c>
      <c r="C11" s="80" t="inlineStr">
        <is>
          <t>Interior — todos los bordes continuos — positivo, claro largo</t>
        </is>
      </c>
      <c r="D11" s="59" t="n">
        <v>175</v>
      </c>
      <c r="E11" s="59" t="n">
        <v>139</v>
      </c>
      <c r="F11" s="59" t="n">
        <v>174</v>
      </c>
      <c r="G11" s="59" t="n">
        <v>200</v>
      </c>
      <c r="H11" s="59" t="n">
        <v>213</v>
      </c>
      <c r="I11" s="59" t="n">
        <v>216</v>
      </c>
      <c r="J11" s="59" t="n">
        <v>209</v>
      </c>
      <c r="K11" s="81" t="inlineStr">
        <is>
          <t>NTC-Concreto 2023 (CDMX) · Tabla 3.4.2.1, caso I (§3.4.2, p. 65)</t>
        </is>
      </c>
    </row>
    <row r="12">
      <c r="B12" s="80" t="inlineStr">
        <is>
          <t>BORDE-CORTO|NIC</t>
        </is>
      </c>
      <c r="C12" s="80" t="inlineStr">
        <is>
          <t>De borde — un lado corto discontinuo — negativo en bordes continuos, claro corto</t>
        </is>
      </c>
      <c r="D12" s="59" t="n">
        <v>998</v>
      </c>
      <c r="E12" s="59" t="n">
        <v>1163</v>
      </c>
      <c r="F12" s="59" t="n">
        <v>965</v>
      </c>
      <c r="G12" s="59" t="n">
        <v>785</v>
      </c>
      <c r="H12" s="59" t="n">
        <v>652</v>
      </c>
      <c r="I12" s="59" t="n">
        <v>546</v>
      </c>
      <c r="J12" s="59" t="n">
        <v>460</v>
      </c>
      <c r="K12" s="81" t="inlineStr">
        <is>
          <t>NTC-Concreto 2023 (CDMX) · Tabla 3.4.2.1, caso I (§3.4.2, p. 65)</t>
        </is>
      </c>
    </row>
    <row r="13">
      <c r="B13" s="80" t="inlineStr">
        <is>
          <t>BORDE-CORTO|NIL</t>
        </is>
      </c>
      <c r="C13" s="80" t="inlineStr">
        <is>
          <t>De borde — un lado corto discontinuo — negativo en bordes continuos, claro largo</t>
        </is>
      </c>
      <c r="D13" s="59" t="n">
        <v>516</v>
      </c>
      <c r="E13" s="59" t="n">
        <v>561</v>
      </c>
      <c r="F13" s="59" t="n">
        <v>525</v>
      </c>
      <c r="G13" s="59" t="n">
        <v>498</v>
      </c>
      <c r="H13" s="59" t="n">
        <v>470</v>
      </c>
      <c r="I13" s="59" t="n">
        <v>440</v>
      </c>
      <c r="J13" s="59" t="n">
        <v>421</v>
      </c>
      <c r="K13" s="81" t="inlineStr">
        <is>
          <t>NTC-Concreto 2023 (CDMX) · Tabla 3.4.2.1, caso I (§3.4.2, p. 65)</t>
        </is>
      </c>
    </row>
    <row r="14">
      <c r="B14" s="80" t="inlineStr">
        <is>
          <t>BORDE-CORTO|NDC</t>
        </is>
      </c>
      <c r="C14" s="80" t="inlineStr">
        <is>
          <t>De borde — un lado corto discontinuo — negativo en bordes discontinuos, claro corto</t>
        </is>
      </c>
      <c r="D14" s="59" t="n">
        <v>0</v>
      </c>
      <c r="E14" s="59" t="n">
        <v>0</v>
      </c>
      <c r="F14" s="59" t="n">
        <v>0</v>
      </c>
      <c r="G14" s="59" t="n">
        <v>0</v>
      </c>
      <c r="H14" s="59" t="n">
        <v>0</v>
      </c>
      <c r="I14" s="59" t="n">
        <v>0</v>
      </c>
      <c r="J14" s="59" t="n">
        <v>0</v>
      </c>
      <c r="K14" s="81" t="inlineStr">
        <is>
          <t>NTC-Concreto 2023 (CDMX) · Tabla 3.4.2.1, caso I (§3.4.2, p. 65)</t>
        </is>
      </c>
    </row>
    <row r="15">
      <c r="B15" s="80" t="inlineStr">
        <is>
          <t>BORDE-CORTO|NDL</t>
        </is>
      </c>
      <c r="C15" s="80" t="inlineStr">
        <is>
          <t>De borde — un lado corto discontinuo — negativo en bordes discontinuos, claro largo</t>
        </is>
      </c>
      <c r="D15" s="59" t="n">
        <v>326</v>
      </c>
      <c r="E15" s="59" t="n">
        <v>258</v>
      </c>
      <c r="F15" s="59" t="n">
        <v>248</v>
      </c>
      <c r="G15" s="59" t="n">
        <v>236</v>
      </c>
      <c r="H15" s="59" t="n">
        <v>222</v>
      </c>
      <c r="I15" s="59" t="n">
        <v>206</v>
      </c>
      <c r="J15" s="59" t="n">
        <v>190</v>
      </c>
      <c r="K15" s="81" t="inlineStr">
        <is>
          <t>NTC-Concreto 2023 (CDMX) · Tabla 3.4.2.1, caso I (§3.4.2, p. 65)</t>
        </is>
      </c>
    </row>
    <row r="16">
      <c r="B16" s="80" t="inlineStr">
        <is>
          <t>BORDE-CORTO|PC</t>
        </is>
      </c>
      <c r="C16" s="80" t="inlineStr">
        <is>
          <t>De borde — un lado corto discontinuo — positivo, claro corto</t>
        </is>
      </c>
      <c r="D16" s="59" t="n">
        <v>630</v>
      </c>
      <c r="E16" s="59" t="n">
        <v>329</v>
      </c>
      <c r="F16" s="59" t="n">
        <v>292</v>
      </c>
      <c r="G16" s="59" t="n">
        <v>331</v>
      </c>
      <c r="H16" s="59" t="n">
        <v>311</v>
      </c>
      <c r="I16" s="59" t="n">
        <v>276</v>
      </c>
      <c r="J16" s="59" t="n">
        <v>238</v>
      </c>
      <c r="K16" s="81" t="inlineStr">
        <is>
          <t>NTC-Concreto 2023 (CDMX) · Tabla 3.4.2.1, caso I (§3.4.2, p. 65)</t>
        </is>
      </c>
    </row>
    <row r="17">
      <c r="B17" s="80" t="inlineStr">
        <is>
          <t>BORDE-CORTO|PL</t>
        </is>
      </c>
      <c r="C17" s="80" t="inlineStr">
        <is>
          <t>De borde — un lado corto discontinuo — positivo, claro largo</t>
        </is>
      </c>
      <c r="D17" s="59" t="n">
        <v>179</v>
      </c>
      <c r="E17" s="59" t="n">
        <v>232</v>
      </c>
      <c r="F17" s="59" t="n">
        <v>263</v>
      </c>
      <c r="G17" s="59" t="n">
        <v>266</v>
      </c>
      <c r="H17" s="59" t="n">
        <v>266</v>
      </c>
      <c r="I17" s="59" t="n">
        <v>263</v>
      </c>
      <c r="J17" s="59" t="n">
        <v>286</v>
      </c>
      <c r="K17" s="81" t="inlineStr">
        <is>
          <t>NTC-Concreto 2023 (CDMX) · Tabla 3.4.2.1, caso I (§3.4.2, p. 65)</t>
        </is>
      </c>
    </row>
    <row r="18">
      <c r="B18" s="80" t="inlineStr">
        <is>
          <t>BORDE-LARGO|NIC</t>
        </is>
      </c>
      <c r="C18" s="80" t="inlineStr">
        <is>
          <t>De borde — un lado largo discontinuo — negativo en bordes continuos, claro corto</t>
        </is>
      </c>
      <c r="D18" s="59" t="n">
        <v>1060</v>
      </c>
      <c r="E18" s="59" t="n">
        <v>1292</v>
      </c>
      <c r="F18" s="59" t="n">
        <v>981</v>
      </c>
      <c r="G18" s="59" t="n">
        <v>777</v>
      </c>
      <c r="H18" s="59" t="n">
        <v>628</v>
      </c>
      <c r="I18" s="59" t="n">
        <v>512</v>
      </c>
      <c r="J18" s="59" t="n">
        <v>421</v>
      </c>
      <c r="K18" s="81" t="inlineStr">
        <is>
          <t>NTC-Concreto 2023 (CDMX) · Tabla 3.4.2.1, caso I (§3.4.2, p. 65)</t>
        </is>
      </c>
    </row>
    <row r="19">
      <c r="B19" s="80" t="inlineStr">
        <is>
          <t>BORDE-LARGO|NIL</t>
        </is>
      </c>
      <c r="C19" s="80" t="inlineStr">
        <is>
          <t>De borde — un lado largo discontinuo — negativo en bordes continuos, claro largo</t>
        </is>
      </c>
      <c r="D19" s="59" t="n">
        <v>587</v>
      </c>
      <c r="E19" s="59" t="n">
        <v>566</v>
      </c>
      <c r="F19" s="59" t="n">
        <v>540</v>
      </c>
      <c r="G19" s="59" t="n">
        <v>513</v>
      </c>
      <c r="H19" s="59" t="n">
        <v>482</v>
      </c>
      <c r="I19" s="59" t="n">
        <v>483</v>
      </c>
      <c r="J19" s="59" t="n">
        <v>461</v>
      </c>
      <c r="K19" s="81" t="inlineStr">
        <is>
          <t>NTC-Concreto 2023 (CDMX) · Tabla 3.4.2.1, caso I (§3.4.2, p. 65)</t>
        </is>
      </c>
    </row>
    <row r="20">
      <c r="B20" s="80" t="inlineStr">
        <is>
          <t>BORDE-LARGO|NDC</t>
        </is>
      </c>
      <c r="C20" s="80" t="inlineStr">
        <is>
          <t>De borde — un lado largo discontinuo — negativo en bordes discontinuos, claro corto</t>
        </is>
      </c>
      <c r="D20" s="59" t="n">
        <v>651</v>
      </c>
      <c r="E20" s="59" t="n">
        <v>362</v>
      </c>
      <c r="F20" s="59" t="n">
        <v>321</v>
      </c>
      <c r="G20" s="59" t="n">
        <v>283</v>
      </c>
      <c r="H20" s="59" t="n">
        <v>250</v>
      </c>
      <c r="I20" s="59" t="n">
        <v>219</v>
      </c>
      <c r="J20" s="59" t="n">
        <v>190</v>
      </c>
      <c r="K20" s="81" t="inlineStr">
        <is>
          <t>NTC-Concreto 2023 (CDMX) · Tabla 3.4.2.1, caso I (§3.4.2, p. 65)</t>
        </is>
      </c>
    </row>
    <row r="21">
      <c r="B21" s="80" t="inlineStr">
        <is>
          <t>BORDE-LARGO|NDL</t>
        </is>
      </c>
      <c r="C21" s="80" t="inlineStr">
        <is>
          <t>De borde — un lado largo discontinuo — negativo en bordes discontinuos, claro largo</t>
        </is>
      </c>
      <c r="D21" s="59" t="n">
        <v>0</v>
      </c>
      <c r="E21" s="59" t="n">
        <v>0</v>
      </c>
      <c r="F21" s="59" t="n">
        <v>0</v>
      </c>
      <c r="G21" s="59" t="n">
        <v>0</v>
      </c>
      <c r="H21" s="59" t="n">
        <v>0</v>
      </c>
      <c r="I21" s="59" t="n">
        <v>0</v>
      </c>
      <c r="J21" s="59" t="n">
        <v>0</v>
      </c>
      <c r="K21" s="81" t="inlineStr">
        <is>
          <t>NTC-Concreto 2023 (CDMX) · Tabla 3.4.2.1, caso I (§3.4.2, p. 65)</t>
        </is>
      </c>
    </row>
    <row r="22">
      <c r="B22" s="80" t="inlineStr">
        <is>
          <t>BORDE-LARGO|PC</t>
        </is>
      </c>
      <c r="C22" s="80" t="inlineStr">
        <is>
          <t>De borde — un lado largo discontinuo — positivo, claro corto</t>
        </is>
      </c>
      <c r="D22" s="59" t="n">
        <v>751</v>
      </c>
      <c r="E22" s="59" t="n">
        <v>458</v>
      </c>
      <c r="F22" s="59" t="n">
        <v>433</v>
      </c>
      <c r="G22" s="59" t="n">
        <v>383</v>
      </c>
      <c r="H22" s="59" t="n">
        <v>323</v>
      </c>
      <c r="I22" s="59" t="n">
        <v>293</v>
      </c>
      <c r="J22" s="59" t="n">
        <v>286</v>
      </c>
      <c r="K22" s="81" t="inlineStr">
        <is>
          <t>NTC-Concreto 2023 (CDMX) · Tabla 3.4.2.1, caso I (§3.4.2, p. 65)</t>
        </is>
      </c>
    </row>
    <row r="23">
      <c r="B23" s="80" t="inlineStr">
        <is>
          <t>BORDE-LARGO|PL</t>
        </is>
      </c>
      <c r="C23" s="80" t="inlineStr">
        <is>
          <t>De borde — un lado largo discontinuo — positivo, claro largo</t>
        </is>
      </c>
      <c r="D23" s="59" t="n">
        <v>185</v>
      </c>
      <c r="E23" s="59" t="n">
        <v>217</v>
      </c>
      <c r="F23" s="59" t="n">
        <v>237</v>
      </c>
      <c r="G23" s="59" t="n">
        <v>248</v>
      </c>
      <c r="H23" s="59" t="n">
        <v>250</v>
      </c>
      <c r="I23" s="59" t="n">
        <v>243</v>
      </c>
      <c r="J23" s="59" t="n">
        <v>238</v>
      </c>
      <c r="K23" s="81" t="inlineStr">
        <is>
          <t>NTC-Concreto 2023 (CDMX) · Tabla 3.4.2.1, caso I (§3.4.2, p. 65)</t>
        </is>
      </c>
    </row>
    <row r="24">
      <c r="B24" s="80" t="inlineStr">
        <is>
          <t>ESQUINA|NIC</t>
        </is>
      </c>
      <c r="C24" s="80" t="inlineStr">
        <is>
          <t>De esquina — dos lados adyacentes discontinuos — negativo en bordes continuos, claro corto</t>
        </is>
      </c>
      <c r="D24" s="59" t="n">
        <v>1060</v>
      </c>
      <c r="E24" s="59" t="n">
        <v>1382</v>
      </c>
      <c r="F24" s="59" t="n">
        <v>1046</v>
      </c>
      <c r="G24" s="59" t="n">
        <v>830</v>
      </c>
      <c r="H24" s="59" t="n">
        <v>675</v>
      </c>
      <c r="I24" s="59" t="n">
        <v>557</v>
      </c>
      <c r="J24" s="59" t="n">
        <v>465</v>
      </c>
      <c r="K24" s="81" t="inlineStr">
        <is>
          <t>NTC-Concreto 2023 (CDMX) · Tabla 3.4.2.1, caso I (§3.4.2, p. 65)</t>
        </is>
      </c>
    </row>
    <row r="25">
      <c r="B25" s="80" t="inlineStr">
        <is>
          <t>ESQUINA|NIL</t>
        </is>
      </c>
      <c r="C25" s="80" t="inlineStr">
        <is>
          <t>De esquina — dos lados adyacentes discontinuos — negativo en bordes continuos, claro largo</t>
        </is>
      </c>
      <c r="D25" s="59" t="n">
        <v>600</v>
      </c>
      <c r="E25" s="59" t="n">
        <v>580</v>
      </c>
      <c r="F25" s="59" t="n">
        <v>545</v>
      </c>
      <c r="G25" s="59" t="n">
        <v>516</v>
      </c>
      <c r="H25" s="59" t="n">
        <v>484</v>
      </c>
      <c r="I25" s="59" t="n">
        <v>486</v>
      </c>
      <c r="J25" s="59" t="n">
        <v>465</v>
      </c>
      <c r="K25" s="81" t="inlineStr">
        <is>
          <t>NTC-Concreto 2023 (CDMX) · Tabla 3.4.2.1, caso I (§3.4.2, p. 65)</t>
        </is>
      </c>
    </row>
    <row r="26">
      <c r="B26" s="80" t="inlineStr">
        <is>
          <t>ESQUINA|NDC</t>
        </is>
      </c>
      <c r="C26" s="80" t="inlineStr">
        <is>
          <t>De esquina — dos lados adyacentes discontinuos — negativo en bordes discontinuos, claro corto</t>
        </is>
      </c>
      <c r="D26" s="59" t="n">
        <v>651</v>
      </c>
      <c r="E26" s="59" t="n">
        <v>362</v>
      </c>
      <c r="F26" s="59" t="n">
        <v>321</v>
      </c>
      <c r="G26" s="59" t="n">
        <v>277</v>
      </c>
      <c r="H26" s="59" t="n">
        <v>250</v>
      </c>
      <c r="I26" s="59" t="n">
        <v>219</v>
      </c>
      <c r="J26" s="59" t="n">
        <v>190</v>
      </c>
      <c r="K26" s="81" t="inlineStr">
        <is>
          <t>NTC-Concreto 2023 (CDMX) · Tabla 3.4.2.1, caso I (§3.4.2, p. 65)</t>
        </is>
      </c>
    </row>
    <row r="27">
      <c r="B27" s="80" t="inlineStr">
        <is>
          <t>ESQUINA|NDL</t>
        </is>
      </c>
      <c r="C27" s="80" t="inlineStr">
        <is>
          <t>De esquina — dos lados adyacentes discontinuos — negativo en bordes discontinuos, claro largo</t>
        </is>
      </c>
      <c r="D27" s="59" t="n">
        <v>326</v>
      </c>
      <c r="E27" s="59" t="n">
        <v>333</v>
      </c>
      <c r="F27" s="59" t="n">
        <v>320</v>
      </c>
      <c r="G27" s="59" t="n">
        <v>298</v>
      </c>
      <c r="H27" s="59" t="n">
        <v>270</v>
      </c>
      <c r="I27" s="59" t="n">
        <v>241</v>
      </c>
      <c r="J27" s="59" t="n">
        <v>190</v>
      </c>
      <c r="K27" s="81" t="inlineStr">
        <is>
          <t>NTC-Concreto 2023 (CDMX) · Tabla 3.4.2.1, caso I (§3.4.2, p. 65)</t>
        </is>
      </c>
    </row>
    <row r="28">
      <c r="B28" s="80" t="inlineStr">
        <is>
          <t>ESQUINA|PC</t>
        </is>
      </c>
      <c r="C28" s="80" t="inlineStr">
        <is>
          <t>De esquina — dos lados adyacentes discontinuos — positivo, claro corto</t>
        </is>
      </c>
      <c r="D28" s="59" t="n">
        <v>751</v>
      </c>
      <c r="E28" s="59" t="n">
        <v>452</v>
      </c>
      <c r="F28" s="59" t="n">
        <v>437</v>
      </c>
      <c r="G28" s="59" t="n">
        <v>397</v>
      </c>
      <c r="H28" s="59" t="n">
        <v>338</v>
      </c>
      <c r="I28" s="59" t="n">
        <v>306</v>
      </c>
      <c r="J28" s="59" t="n">
        <v>296</v>
      </c>
      <c r="K28" s="81" t="inlineStr">
        <is>
          <t>NTC-Concreto 2023 (CDMX) · Tabla 3.4.2.1, caso I (§3.4.2, p. 65)</t>
        </is>
      </c>
    </row>
    <row r="29">
      <c r="B29" s="80" t="inlineStr">
        <is>
          <t>ESQUINA|PL</t>
        </is>
      </c>
      <c r="C29" s="80" t="inlineStr">
        <is>
          <t>De esquina — dos lados adyacentes discontinuos — positivo, claro largo</t>
        </is>
      </c>
      <c r="D29" s="59" t="n">
        <v>191</v>
      </c>
      <c r="E29" s="59" t="n">
        <v>298</v>
      </c>
      <c r="F29" s="59" t="n">
        <v>294</v>
      </c>
      <c r="G29" s="59" t="n">
        <v>292</v>
      </c>
      <c r="H29" s="59" t="n">
        <v>288</v>
      </c>
      <c r="I29" s="59" t="n">
        <v>274</v>
      </c>
      <c r="J29" s="59" t="n">
        <v>289</v>
      </c>
      <c r="K29" s="81" t="inlineStr">
        <is>
          <t>NTC-Concreto 2023 (CDMX) · Tabla 3.4.2.1, caso I (§3.4.2, p. 65)</t>
        </is>
      </c>
    </row>
    <row r="30">
      <c r="B30" s="80" t="inlineStr">
        <is>
          <t>EXTREMO-LARGO|NIC</t>
        </is>
      </c>
      <c r="C30" s="80" t="inlineStr">
        <is>
          <t>Extremo — tres bordes discontinuos, un lado largo continuo — negativo en bordes continuos, claro corto</t>
        </is>
      </c>
      <c r="D30" s="59" t="n">
        <v>1060</v>
      </c>
      <c r="E30" s="59" t="n">
        <v>1470</v>
      </c>
      <c r="F30" s="59" t="n">
        <v>1108</v>
      </c>
      <c r="G30" s="59" t="n">
        <v>882</v>
      </c>
      <c r="H30" s="59" t="n">
        <v>730</v>
      </c>
      <c r="I30" s="59" t="n">
        <v>650</v>
      </c>
      <c r="J30" s="59" t="n">
        <v>570</v>
      </c>
      <c r="K30" s="81" t="inlineStr">
        <is>
          <t>NTC-Concreto 2023 (CDMX) · Tabla 3.4.2.1, caso I (§3.4.2, p. 65)</t>
        </is>
      </c>
    </row>
    <row r="31">
      <c r="B31" s="80" t="inlineStr">
        <is>
          <t>EXTREMO-LARGO|NIL</t>
        </is>
      </c>
      <c r="C31" s="80" t="inlineStr">
        <is>
          <t>Extremo — tres bordes discontinuos, un lado largo continuo — negativo en bordes continuos, claro largo</t>
        </is>
      </c>
      <c r="D31" s="59" t="n">
        <v>0</v>
      </c>
      <c r="E31" s="59" t="n">
        <v>0</v>
      </c>
      <c r="F31" s="59" t="n">
        <v>0</v>
      </c>
      <c r="G31" s="59" t="n">
        <v>0</v>
      </c>
      <c r="H31" s="59" t="n">
        <v>0</v>
      </c>
      <c r="I31" s="59" t="n">
        <v>0</v>
      </c>
      <c r="J31" s="59" t="n">
        <v>0</v>
      </c>
      <c r="K31" s="81" t="inlineStr">
        <is>
          <t>NTC-Concreto 2023 (CDMX) · Tabla 3.4.2.1, caso I (§3.4.2, p. 65)</t>
        </is>
      </c>
    </row>
    <row r="32">
      <c r="B32" s="80" t="inlineStr">
        <is>
          <t>EXTREMO-LARGO|NDC</t>
        </is>
      </c>
      <c r="C32" s="80" t="inlineStr">
        <is>
          <t>Extremo — tres bordes discontinuos, un lado largo continuo — negativo en bordes discontinuos, claro corto</t>
        </is>
      </c>
      <c r="D32" s="59" t="n">
        <v>651</v>
      </c>
      <c r="E32" s="59" t="n">
        <v>370</v>
      </c>
      <c r="F32" s="59" t="n">
        <v>340</v>
      </c>
      <c r="G32" s="59" t="n">
        <v>310</v>
      </c>
      <c r="H32" s="59" t="n">
        <v>280</v>
      </c>
      <c r="I32" s="59" t="n">
        <v>250</v>
      </c>
      <c r="J32" s="59" t="n">
        <v>220</v>
      </c>
      <c r="K32" s="81" t="inlineStr">
        <is>
          <t>NTC-Concreto 2023 (CDMX) · Tabla 3.4.2.1, caso I (§3.4.2, p. 65)</t>
        </is>
      </c>
    </row>
    <row r="33">
      <c r="B33" s="80" t="inlineStr">
        <is>
          <t>EXTREMO-LARGO|NDL</t>
        </is>
      </c>
      <c r="C33" s="80" t="inlineStr">
        <is>
          <t>Extremo — tres bordes discontinuos, un lado largo continuo — negativo en bordes discontinuos, claro largo</t>
        </is>
      </c>
      <c r="D33" s="59" t="n">
        <v>220</v>
      </c>
      <c r="E33" s="59" t="n">
        <v>361</v>
      </c>
      <c r="F33" s="59" t="n">
        <v>337</v>
      </c>
      <c r="G33" s="59" t="n">
        <v>310</v>
      </c>
      <c r="H33" s="59" t="n">
        <v>280</v>
      </c>
      <c r="I33" s="59" t="n">
        <v>220</v>
      </c>
      <c r="J33" s="59" t="n">
        <v>220</v>
      </c>
      <c r="K33" s="81" t="inlineStr">
        <is>
          <t>NTC-Concreto 2023 (CDMX) · Tabla 3.4.2.1, caso I (§3.4.2, p. 65)</t>
        </is>
      </c>
    </row>
    <row r="34">
      <c r="B34" s="80" t="inlineStr">
        <is>
          <t>EXTREMO-LARGO|PC</t>
        </is>
      </c>
      <c r="C34" s="80" t="inlineStr">
        <is>
          <t>Extremo — tres bordes discontinuos, un lado largo continuo — positivo, claro corto</t>
        </is>
      </c>
      <c r="D34" s="59" t="n">
        <v>751</v>
      </c>
      <c r="E34" s="59" t="n">
        <v>730</v>
      </c>
      <c r="F34" s="59" t="n">
        <v>670</v>
      </c>
      <c r="G34" s="59" t="n">
        <v>610</v>
      </c>
      <c r="H34" s="59" t="n">
        <v>550</v>
      </c>
      <c r="I34" s="59" t="n">
        <v>490</v>
      </c>
      <c r="J34" s="59" t="n">
        <v>430</v>
      </c>
      <c r="K34" s="81" t="inlineStr">
        <is>
          <t>NTC-Concreto 2023 (CDMX) · Tabla 3.4.2.1, caso I (§3.4.2, p. 65)</t>
        </is>
      </c>
    </row>
    <row r="35">
      <c r="B35" s="80" t="inlineStr">
        <is>
          <t>EXTREMO-LARGO|PL</t>
        </is>
      </c>
      <c r="C35" s="80" t="inlineStr">
        <is>
          <t>Extremo — tres bordes discontinuos, un lado largo continuo — positivo, claro largo</t>
        </is>
      </c>
      <c r="D35" s="59" t="n">
        <v>185</v>
      </c>
      <c r="E35" s="59" t="n">
        <v>430</v>
      </c>
      <c r="F35" s="59" t="n">
        <v>430</v>
      </c>
      <c r="G35" s="59" t="n">
        <v>430</v>
      </c>
      <c r="H35" s="59" t="n">
        <v>430</v>
      </c>
      <c r="I35" s="59" t="n">
        <v>430</v>
      </c>
      <c r="J35" s="59" t="n">
        <v>430</v>
      </c>
      <c r="K35" s="81" t="inlineStr">
        <is>
          <t>NTC-Concreto 2023 (CDMX) · Tabla 3.4.2.1, caso I (§3.4.2, p. 65)</t>
        </is>
      </c>
    </row>
    <row r="36">
      <c r="B36" s="80" t="inlineStr">
        <is>
          <t>EXTREMO-CORTO|NIC</t>
        </is>
      </c>
      <c r="C36" s="80" t="inlineStr">
        <is>
          <t>Extremo — tres bordes discontinuos, un lado corto continuo — negativo en bordes continuos, claro corto</t>
        </is>
      </c>
      <c r="D36" s="59" t="n">
        <v>0</v>
      </c>
      <c r="E36" s="59" t="n">
        <v>0</v>
      </c>
      <c r="F36" s="59" t="n">
        <v>0</v>
      </c>
      <c r="G36" s="59" t="n">
        <v>0</v>
      </c>
      <c r="H36" s="59" t="n">
        <v>0</v>
      </c>
      <c r="I36" s="59" t="n">
        <v>0</v>
      </c>
      <c r="J36" s="59" t="n">
        <v>0</v>
      </c>
      <c r="K36" s="81" t="inlineStr">
        <is>
          <t>NTC-Concreto 2023 (CDMX) · Tabla 3.4.2.1, caso I (§3.4.2, p. 65)</t>
        </is>
      </c>
    </row>
    <row r="37">
      <c r="B37" s="80" t="inlineStr">
        <is>
          <t>EXTREMO-CORTO|NIL</t>
        </is>
      </c>
      <c r="C37" s="80" t="inlineStr">
        <is>
          <t>Extremo — tres bordes discontinuos, un lado corto continuo — negativo en bordes continuos, claro largo</t>
        </is>
      </c>
      <c r="D37" s="59" t="n">
        <v>570</v>
      </c>
      <c r="E37" s="59" t="n">
        <v>570</v>
      </c>
      <c r="F37" s="59" t="n">
        <v>570</v>
      </c>
      <c r="G37" s="59" t="n">
        <v>570</v>
      </c>
      <c r="H37" s="59" t="n">
        <v>570</v>
      </c>
      <c r="I37" s="59" t="n">
        <v>570</v>
      </c>
      <c r="J37" s="59" t="n">
        <v>570</v>
      </c>
      <c r="K37" s="81" t="inlineStr">
        <is>
          <t>NTC-Concreto 2023 (CDMX) · Tabla 3.4.2.1, caso I (§3.4.2, p. 65)</t>
        </is>
      </c>
    </row>
    <row r="38">
      <c r="B38" s="80" t="inlineStr">
        <is>
          <t>EXTREMO-CORTO|NDC</t>
        </is>
      </c>
      <c r="C38" s="80" t="inlineStr">
        <is>
          <t>Extremo — tres bordes discontinuos, un lado corto continuo — negativo en bordes discontinuos, claro corto</t>
        </is>
      </c>
      <c r="D38" s="59" t="n">
        <v>570</v>
      </c>
      <c r="E38" s="59" t="n">
        <v>480</v>
      </c>
      <c r="F38" s="59" t="n">
        <v>420</v>
      </c>
      <c r="G38" s="59" t="n">
        <v>370</v>
      </c>
      <c r="H38" s="59" t="n">
        <v>310</v>
      </c>
      <c r="I38" s="59" t="n">
        <v>270</v>
      </c>
      <c r="J38" s="59" t="n">
        <v>220</v>
      </c>
      <c r="K38" s="81" t="inlineStr">
        <is>
          <t>NTC-Concreto 2023 (CDMX) · Tabla 3.4.2.1, caso I (§3.4.2, p. 65)</t>
        </is>
      </c>
    </row>
    <row r="39">
      <c r="B39" s="80" t="inlineStr">
        <is>
          <t>EXTREMO-CORTO|NDL</t>
        </is>
      </c>
      <c r="C39" s="80" t="inlineStr">
        <is>
          <t>Extremo — tres bordes discontinuos, un lado corto continuo — negativo en bordes discontinuos, claro largo</t>
        </is>
      </c>
      <c r="D39" s="59" t="n">
        <v>330</v>
      </c>
      <c r="E39" s="59" t="n">
        <v>448</v>
      </c>
      <c r="F39" s="59" t="n">
        <v>402</v>
      </c>
      <c r="G39" s="59" t="n">
        <v>220</v>
      </c>
      <c r="H39" s="59" t="n">
        <v>313</v>
      </c>
      <c r="I39" s="59" t="n">
        <v>220</v>
      </c>
      <c r="J39" s="59" t="n">
        <v>220</v>
      </c>
      <c r="K39" s="81" t="inlineStr">
        <is>
          <t>NTC-Concreto 2023 (CDMX) · Tabla 3.4.2.1, caso I (§3.4.2, p. 65)</t>
        </is>
      </c>
    </row>
    <row r="40">
      <c r="B40" s="80" t="inlineStr">
        <is>
          <t>EXTREMO-CORTO|PC</t>
        </is>
      </c>
      <c r="C40" s="80" t="inlineStr">
        <is>
          <t>Extremo — tres bordes discontinuos, un lado corto continuo — positivo, claro corto</t>
        </is>
      </c>
      <c r="D40" s="59" t="n">
        <v>1100</v>
      </c>
      <c r="E40" s="59" t="n">
        <v>960</v>
      </c>
      <c r="F40" s="59" t="n">
        <v>840</v>
      </c>
      <c r="G40" s="59" t="n">
        <v>730</v>
      </c>
      <c r="H40" s="59" t="n">
        <v>620</v>
      </c>
      <c r="I40" s="59" t="n">
        <v>540</v>
      </c>
      <c r="J40" s="59" t="n">
        <v>430</v>
      </c>
      <c r="K40" s="81" t="inlineStr">
        <is>
          <t>NTC-Concreto 2023 (CDMX) · Tabla 3.4.2.1, caso I (§3.4.2, p. 65)</t>
        </is>
      </c>
    </row>
    <row r="41">
      <c r="B41" s="80" t="inlineStr">
        <is>
          <t>EXTREMO-CORTO|PL</t>
        </is>
      </c>
      <c r="C41" s="80" t="inlineStr">
        <is>
          <t>Extremo — tres bordes discontinuos, un lado corto continuo — positivo, claro largo</t>
        </is>
      </c>
      <c r="D41" s="59" t="n">
        <v>200</v>
      </c>
      <c r="E41" s="59" t="n">
        <v>430</v>
      </c>
      <c r="F41" s="59" t="n">
        <v>430</v>
      </c>
      <c r="G41" s="59" t="n">
        <v>430</v>
      </c>
      <c r="H41" s="59" t="n">
        <v>430</v>
      </c>
      <c r="I41" s="59" t="n">
        <v>430</v>
      </c>
      <c r="J41" s="59" t="n">
        <v>430</v>
      </c>
      <c r="K41" s="81" t="inlineStr">
        <is>
          <t>NTC-Concreto 2023 (CDMX) · Tabla 3.4.2.1, caso I (§3.4.2, p. 65)</t>
        </is>
      </c>
    </row>
    <row r="42">
      <c r="B42" s="80" t="inlineStr">
        <is>
          <t>AISLADO|NIC</t>
        </is>
      </c>
      <c r="C42" s="80" t="inlineStr">
        <is>
          <t>Aislado — cuatro lados discontinuos — negativo en bordes continuos, claro corto</t>
        </is>
      </c>
      <c r="D42" s="59" t="n">
        <v>0</v>
      </c>
      <c r="E42" s="59" t="n">
        <v>0</v>
      </c>
      <c r="F42" s="59" t="n">
        <v>0</v>
      </c>
      <c r="G42" s="59" t="n">
        <v>0</v>
      </c>
      <c r="H42" s="59" t="n">
        <v>0</v>
      </c>
      <c r="I42" s="59" t="n">
        <v>0</v>
      </c>
      <c r="J42" s="59" t="n">
        <v>0</v>
      </c>
      <c r="K42" s="81" t="inlineStr">
        <is>
          <t>NTC-Concreto 2023 (CDMX) · Tabla 3.4.2.1, caso I (§3.4.2, p. 65)</t>
        </is>
      </c>
    </row>
    <row r="43">
      <c r="B43" s="80" t="inlineStr">
        <is>
          <t>AISLADO|NIL</t>
        </is>
      </c>
      <c r="C43" s="80" t="inlineStr">
        <is>
          <t>Aislado — cuatro lados discontinuos — negativo en bordes continuos, claro largo</t>
        </is>
      </c>
      <c r="D43" s="59" t="n">
        <v>0</v>
      </c>
      <c r="E43" s="59" t="n">
        <v>0</v>
      </c>
      <c r="F43" s="59" t="n">
        <v>0</v>
      </c>
      <c r="G43" s="59" t="n">
        <v>0</v>
      </c>
      <c r="H43" s="59" t="n">
        <v>0</v>
      </c>
      <c r="I43" s="59" t="n">
        <v>0</v>
      </c>
      <c r="J43" s="59" t="n">
        <v>0</v>
      </c>
      <c r="K43" s="81" t="inlineStr">
        <is>
          <t>NTC-Concreto 2023 (CDMX) · Tabla 3.4.2.1, caso I (§3.4.2, p. 65)</t>
        </is>
      </c>
    </row>
    <row r="44">
      <c r="B44" s="80" t="inlineStr">
        <is>
          <t>AISLADO|NDC</t>
        </is>
      </c>
      <c r="C44" s="80" t="inlineStr">
        <is>
          <t>Aislado — cuatro lados discontinuos — negativo en bordes discontinuos, claro corto</t>
        </is>
      </c>
      <c r="D44" s="59" t="n">
        <v>570</v>
      </c>
      <c r="E44" s="59" t="n">
        <v>550</v>
      </c>
      <c r="F44" s="59" t="n">
        <v>530</v>
      </c>
      <c r="G44" s="59" t="n">
        <v>470</v>
      </c>
      <c r="H44" s="59" t="n">
        <v>430</v>
      </c>
      <c r="I44" s="59" t="n">
        <v>380</v>
      </c>
      <c r="J44" s="59" t="n">
        <v>330</v>
      </c>
      <c r="K44" s="81" t="inlineStr">
        <is>
          <t>NTC-Concreto 2023 (CDMX) · Tabla 3.4.2.1, caso I (§3.4.2, p. 65)</t>
        </is>
      </c>
    </row>
    <row r="45">
      <c r="B45" s="80" t="inlineStr">
        <is>
          <t>AISLADO|NDL</t>
        </is>
      </c>
      <c r="C45" s="80" t="inlineStr">
        <is>
          <t>Aislado — cuatro lados discontinuos — negativo en bordes discontinuos, claro largo</t>
        </is>
      </c>
      <c r="D45" s="59" t="n">
        <v>330</v>
      </c>
      <c r="E45" s="59" t="n">
        <v>446</v>
      </c>
      <c r="F45" s="59" t="n">
        <v>330</v>
      </c>
      <c r="G45" s="59" t="n">
        <v>330</v>
      </c>
      <c r="H45" s="59" t="n">
        <v>330</v>
      </c>
      <c r="I45" s="59" t="n">
        <v>330</v>
      </c>
      <c r="J45" s="59" t="n">
        <v>330</v>
      </c>
      <c r="K45" s="81" t="inlineStr">
        <is>
          <t>NTC-Concreto 2023 (CDMX) · Tabla 3.4.2.1, caso I (§3.4.2, p. 65)</t>
        </is>
      </c>
    </row>
    <row r="46">
      <c r="B46" s="80" t="inlineStr">
        <is>
          <t>AISLADO|PC</t>
        </is>
      </c>
      <c r="C46" s="80" t="inlineStr">
        <is>
          <t>Aislado — cuatro lados discontinuos — positivo, claro corto</t>
        </is>
      </c>
      <c r="D46" s="59" t="n">
        <v>1100</v>
      </c>
      <c r="E46" s="59" t="n">
        <v>830</v>
      </c>
      <c r="F46" s="59" t="n">
        <v>800</v>
      </c>
      <c r="G46" s="59" t="n">
        <v>720</v>
      </c>
      <c r="H46" s="59" t="n">
        <v>640</v>
      </c>
      <c r="I46" s="59" t="n">
        <v>570</v>
      </c>
      <c r="J46" s="59" t="n">
        <v>500</v>
      </c>
      <c r="K46" s="81" t="inlineStr">
        <is>
          <t>NTC-Concreto 2023 (CDMX) · Tabla 3.4.2.1, caso I (§3.4.2, p. 65)</t>
        </is>
      </c>
    </row>
    <row r="47">
      <c r="B47" s="80" t="inlineStr">
        <is>
          <t>AISLADO|PL</t>
        </is>
      </c>
      <c r="C47" s="80" t="inlineStr">
        <is>
          <t>Aislado — cuatro lados discontinuos — positivo, claro largo</t>
        </is>
      </c>
      <c r="D47" s="59" t="n">
        <v>200</v>
      </c>
      <c r="E47" s="59" t="n">
        <v>500</v>
      </c>
      <c r="F47" s="59" t="n">
        <v>500</v>
      </c>
      <c r="G47" s="59" t="n">
        <v>500</v>
      </c>
      <c r="H47" s="59" t="n">
        <v>500</v>
      </c>
      <c r="I47" s="59" t="n">
        <v>500</v>
      </c>
      <c r="J47" s="59" t="n">
        <v>500</v>
      </c>
      <c r="K47" s="81" t="inlineStr">
        <is>
          <t>NTC-Concreto 2023 (CDMX) · Tabla 3.4.2.1, caso I (§3.4.2, p. 65)</t>
        </is>
      </c>
    </row>
    <row r="48" ht="66" customHeight="1">
      <c r="B48" s="9" t="inlineStr">
        <is>
          <t>FUENTE: NTC-Concreto 2023, Tabla 3.4.2.1 «Coeficientes de momentos flexionantes para tableros rectangulares, franjas centrales», columna I (losa colada monolíticamente con sus apoyos), p. 65; copiada sin cambios de la hoja auditada de Casa Rocha (cotejada celda por celda contra la imagen de la tabla). SÓLO ESTÁ EL CASO I: el caso II (losa no colada monolíticamente) no está transcrito y la hoja marca FUERA DE ALCANCE a esos tableros. Renglones en cero = momentos que ese caso no tiene. Para m &lt; 0.5 se interpola entre 0 y 0.5. Se conservan tal como vienen impresas dos rarezas de NDL que parecen erratas (Extremo corto en m = 0.7: 220; Aislado en m = 0.5: 446).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50" ht="21" customHeight="1">
      <c r="B50" s="3" t="inlineStr">
        <is>
          <t>B. VARILLA CORRUGADA — ÁREAS, PESOS, DESARROLLO Y TRASLAPES (se recalculan con DATOS)</t>
        </is>
      </c>
    </row>
    <row r="51">
      <c r="B51" s="11" t="inlineStr">
        <is>
          <t>No.</t>
        </is>
      </c>
      <c r="C51" s="11" t="inlineStr">
        <is>
          <t>d_b (cm)</t>
        </is>
      </c>
      <c r="D51" s="11" t="inlineStr">
        <is>
          <t>A_s (cm²)</t>
        </is>
      </c>
      <c r="E51" s="11" t="inlineStr">
        <is>
          <t>kg/m</t>
        </is>
      </c>
      <c r="F51" s="11" t="inlineStr">
        <is>
          <t>L_d (cm)</t>
        </is>
      </c>
      <c r="G51" s="11" t="inlineStr">
        <is>
          <t>L_dh gancho (cm)</t>
        </is>
      </c>
      <c r="H51" s="11" t="inlineStr">
        <is>
          <t>Traslape clase B (cm)</t>
        </is>
      </c>
      <c r="I51" s="11" t="inlineStr">
        <is>
          <t>L_d otros casos (cm)</t>
        </is>
      </c>
      <c r="J51" s="11" t="inlineStr">
        <is>
          <t>Referencia</t>
        </is>
      </c>
      <c r="K51" s="82" t="n"/>
    </row>
    <row r="52">
      <c r="B52" s="64" t="n">
        <v>2</v>
      </c>
      <c r="C52" s="58" t="n">
        <v>0.64</v>
      </c>
      <c r="D52" s="58" t="n">
        <v>0.32</v>
      </c>
      <c r="E52" s="56" t="n">
        <v>0.248</v>
      </c>
      <c r="F52" s="64" t="inlineStr">
        <is>
          <t>no aplica</t>
        </is>
      </c>
      <c r="G52" s="64" t="inlineStr">
        <is>
          <t>no aplica</t>
        </is>
      </c>
      <c r="H52" s="64" t="inlineStr">
        <is>
          <t>no aplica</t>
        </is>
      </c>
      <c r="I52" s="64" t="inlineStr">
        <is>
          <t>no aplica</t>
        </is>
      </c>
      <c r="J52" s="81" t="inlineStr">
        <is>
          <t>Alambrón liso 1/4" (No. 2): no se usa como refuerzo longitudinal</t>
        </is>
      </c>
    </row>
    <row r="53">
      <c r="B53" s="64" t="n">
        <v>2.5</v>
      </c>
      <c r="C53" s="58" t="n">
        <v>0.79</v>
      </c>
      <c r="D53" s="58" t="n">
        <v>0.49</v>
      </c>
      <c r="E53" s="56" t="n">
        <v>0.384</v>
      </c>
      <c r="F53" s="59">
        <f>MAX(DATOS!$C$14/(IF(B53&lt;=6,6.6,5.3)*SQRT(DATOS!$C$13))*C53,30)</f>
        <v>31.7952644740566</v>
      </c>
      <c r="G53" s="59">
        <f>MAX(0.075*DATOS!$C$14/SQRT(DATOS!$C$13)*C53,8*C53,15)</f>
        <v>15.738655914658</v>
      </c>
      <c r="H53" s="59">
        <f>MAX(1.3*F53,30)</f>
        <v>41.3338438162736</v>
      </c>
      <c r="I53" s="59">
        <f>MAX(DATOS!$C$14/(IF(B53&lt;=6,4.4,3.5)*SQRT(DATOS!$C$13))*C53,30)</f>
        <v>47.6928967110849</v>
      </c>
      <c r="J53" s="81" t="inlineStr">
        <is>
          <t>NMX-B-506 · L_d: NTC-Concreto 14.4.2.1 y Tabla 14.4.2.4, pp. 352–353 · L_dh: 14.4.3.1, p. 355 · traslape clase B: Tabla 14.5.2.1, p. 367</t>
        </is>
      </c>
    </row>
    <row r="54">
      <c r="B54" s="64" t="n">
        <v>3</v>
      </c>
      <c r="C54" s="58" t="n">
        <v>0.95</v>
      </c>
      <c r="D54" s="58" t="n">
        <v>0.71</v>
      </c>
      <c r="E54" s="56" t="n">
        <v>0.5590000000000001</v>
      </c>
      <c r="F54" s="59">
        <f>MAX(DATOS!$C$14/(IF(B54&lt;=6,6.6,5.3)*SQRT(DATOS!$C$13))*C54,30)</f>
        <v>38.2348117093086</v>
      </c>
      <c r="G54" s="59">
        <f>MAX(0.075*DATOS!$C$14/SQRT(DATOS!$C$13)*C54,8*C54,15)</f>
        <v>18.9262317961078</v>
      </c>
      <c r="H54" s="59">
        <f>MAX(1.3*F54,30)</f>
        <v>49.7052552221012</v>
      </c>
      <c r="I54" s="59">
        <f>MAX(DATOS!$C$14/(IF(B54&lt;=6,4.4,3.5)*SQRT(DATOS!$C$13))*C54,30)</f>
        <v>57.3522175639629</v>
      </c>
      <c r="J54" s="81" t="inlineStr">
        <is>
          <t>NMX-B-506 · L_d: NTC-Concreto 14.4.2.1 y Tabla 14.4.2.4, pp. 352–353 · L_dh: 14.4.3.1, p. 355 · traslape clase B: Tabla 14.5.2.1, p. 367</t>
        </is>
      </c>
    </row>
    <row r="55">
      <c r="B55" s="64" t="n">
        <v>4</v>
      </c>
      <c r="C55" s="58" t="n">
        <v>1.27</v>
      </c>
      <c r="D55" s="58" t="n">
        <v>1.27</v>
      </c>
      <c r="E55" s="56" t="n">
        <v>0.994</v>
      </c>
      <c r="F55" s="59">
        <f>MAX(DATOS!$C$14/(IF(B55&lt;=6,6.6,5.3)*SQRT(DATOS!$C$13))*C55,30)</f>
        <v>51.1139061798125</v>
      </c>
      <c r="G55" s="59">
        <f>MAX(0.075*DATOS!$C$14/SQRT(DATOS!$C$13)*C55,8*C55,15)</f>
        <v>25.3013835590072</v>
      </c>
      <c r="H55" s="59">
        <f>MAX(1.3*F55,30)</f>
        <v>66.4480780337563</v>
      </c>
      <c r="I55" s="59">
        <f>MAX(DATOS!$C$14/(IF(B55&lt;=6,4.4,3.5)*SQRT(DATOS!$C$13))*C55,30)</f>
        <v>76.6708592697188</v>
      </c>
      <c r="J55" s="81" t="inlineStr">
        <is>
          <t>NMX-B-506 · L_d: NTC-Concreto 14.4.2.1 y Tabla 14.4.2.4, pp. 352–353 · L_dh: 14.4.3.1, p. 355 · traslape clase B: Tabla 14.5.2.1, p. 367</t>
        </is>
      </c>
    </row>
    <row r="56">
      <c r="B56" s="64" t="n">
        <v>5</v>
      </c>
      <c r="C56" s="58" t="n">
        <v>1.59</v>
      </c>
      <c r="D56" s="58" t="n">
        <v>1.98</v>
      </c>
      <c r="E56" s="56" t="n">
        <v>1.552</v>
      </c>
      <c r="F56" s="59">
        <f>MAX(DATOS!$C$14/(IF(B56&lt;=6,6.6,5.3)*SQRT(DATOS!$C$13))*C56,30)</f>
        <v>63.9930006503165</v>
      </c>
      <c r="G56" s="59">
        <f>MAX(0.075*DATOS!$C$14/SQRT(DATOS!$C$13)*C56,8*C56,15)</f>
        <v>31.6765353219067</v>
      </c>
      <c r="H56" s="59">
        <f>MAX(1.3*F56,30)</f>
        <v>83.1909008454114</v>
      </c>
      <c r="I56" s="59">
        <f>MAX(DATOS!$C$14/(IF(B56&lt;=6,4.4,3.5)*SQRT(DATOS!$C$13))*C56,30)</f>
        <v>95.9895009754747</v>
      </c>
      <c r="J56" s="81" t="inlineStr">
        <is>
          <t>NMX-B-506 · L_d: NTC-Concreto 14.4.2.1 y Tabla 14.4.2.4, pp. 352–353 · L_dh: 14.4.3.1, p. 355 · traslape clase B: Tabla 14.5.2.1, p. 367</t>
        </is>
      </c>
    </row>
    <row r="57">
      <c r="B57" s="64" t="n">
        <v>6</v>
      </c>
      <c r="C57" s="58" t="n">
        <v>1.91</v>
      </c>
      <c r="D57" s="58" t="n">
        <v>2.85</v>
      </c>
      <c r="E57" s="56" t="n">
        <v>2.235</v>
      </c>
      <c r="F57" s="59">
        <f>MAX(DATOS!$C$14/(IF(B57&lt;=6,6.6,5.3)*SQRT(DATOS!$C$13))*C57,30)</f>
        <v>76.8720951208204</v>
      </c>
      <c r="G57" s="59">
        <f>MAX(0.075*DATOS!$C$14/SQRT(DATOS!$C$13)*C57,8*C57,15)</f>
        <v>38.0516870848061</v>
      </c>
      <c r="H57" s="59">
        <f>MAX(1.3*F57,30)</f>
        <v>99.9337236570666</v>
      </c>
      <c r="I57" s="59">
        <f>MAX(DATOS!$C$14/(IF(B57&lt;=6,4.4,3.5)*SQRT(DATOS!$C$13))*C57,30)</f>
        <v>115.308142681231</v>
      </c>
      <c r="J57" s="81" t="inlineStr">
        <is>
          <t>NMX-B-506 · L_d: NTC-Concreto 14.4.2.1 y Tabla 14.4.2.4, pp. 352–353 · L_dh: 14.4.3.1, p. 355 · traslape clase B: Tabla 14.5.2.1, p. 367</t>
        </is>
      </c>
    </row>
    <row r="58">
      <c r="B58" s="64" t="n">
        <v>8</v>
      </c>
      <c r="C58" s="58" t="n">
        <v>2.54</v>
      </c>
      <c r="D58" s="58" t="n">
        <v>5.07</v>
      </c>
      <c r="E58" s="56" t="n">
        <v>3.973</v>
      </c>
      <c r="F58" s="59">
        <f>MAX(DATOS!$C$14/(IF(B58&lt;=6,6.6,5.3)*SQRT(DATOS!$C$13))*C58,30)</f>
        <v>127.302558787458</v>
      </c>
      <c r="G58" s="59">
        <f>MAX(0.075*DATOS!$C$14/SQRT(DATOS!$C$13)*C58,8*C58,15)</f>
        <v>50.6027671180144</v>
      </c>
      <c r="H58" s="59">
        <f>MAX(1.3*F58,30)</f>
        <v>165.493326423695</v>
      </c>
      <c r="I58" s="59">
        <f>MAX(DATOS!$C$14/(IF(B58&lt;=6,4.4,3.5)*SQRT(DATOS!$C$13))*C58,30)</f>
        <v>192.772446163864</v>
      </c>
      <c r="J58" s="81" t="inlineStr">
        <is>
          <t>NMX-B-506 · L_d: NTC-Concreto 14.4.2.1 y Tabla 14.4.2.4, pp. 352–353 · L_dh: 14.4.3.1, p. 355 · traslape clase B: Tabla 14.5.2.1, p. 367</t>
        </is>
      </c>
    </row>
    <row r="59" ht="42" customHeight="1">
      <c r="B59" s="24" t="inlineStr">
        <is>
          <t>L_d (Tabla 14.4.2.4, p. 353) con separación libre ≥ 2d_b y recubrimiento ≥ d_b: fy·d_b/(6.6·√f'c) hasta No. 6 y fy·d_b/(5.3·√f'c) de No. 7 en adelante, ≥ 30 cm. «Otros casos» (separación libre &lt; 2d_b o recubrimiento &lt; d_b): fy·d_b/(4.4·√f'c) y fy·d_b/(3.5·√f'c). L_dh = el mayor de 0.075·fy·d_b/√f'c, 8d_b y 15 cm; gancho de 90° con extensión de 12d_b (14.4.3.1, p. 355; Tabla 14.3.1, p. 349).</t>
        </is>
      </c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</row>
    <row r="61" ht="21" customHeight="1">
      <c r="B61" s="3" t="inlineStr">
        <is>
          <t>C. MALLA ELECTROSOLDADA (separación 15.24 cm en las dos direcciones)</t>
        </is>
      </c>
    </row>
    <row r="62">
      <c r="B62" s="11" t="inlineStr">
        <is>
          <t>Malla</t>
        </is>
      </c>
      <c r="C62" s="11" t="inlineStr">
        <is>
          <t>Ø alambre (mm)</t>
        </is>
      </c>
      <c r="D62" s="11" t="inlineStr">
        <is>
          <t>As (cm²/m)</t>
        </is>
      </c>
      <c r="E62" s="11" t="inlineStr">
        <is>
          <t>kg/m²</t>
        </is>
      </c>
      <c r="F62" s="11" t="inlineStr">
        <is>
          <t>Referencia</t>
        </is>
      </c>
      <c r="G62" s="83" t="n"/>
      <c r="H62" s="83" t="n"/>
      <c r="I62" s="83" t="n"/>
      <c r="J62" s="83" t="n"/>
      <c r="K62" s="82" t="n"/>
    </row>
    <row r="63">
      <c r="B63" s="64" t="inlineStr">
        <is>
          <t>6x6-10/10</t>
        </is>
      </c>
      <c r="C63" s="58" t="n">
        <v>3.43</v>
      </c>
      <c r="D63" s="56">
        <f>PI()*(C63/10)^2/4*100/15.24</f>
        <v>0.606307798724058</v>
      </c>
      <c r="E63" s="58">
        <f>2*PI()*(C63/1000)^2/4*7850/0.1524</f>
        <v>0.951903243996771</v>
      </c>
      <c r="F63" s="81" t="inlineStr">
        <is>
          <t>Calibre de alambre y separación de 6" = 15.24 cm · NMX-B-290 · NTC-Concreto 2.4.2.1.6.3, p. 44 y 6.8.7.3, p. 196 · traslape ≥ un cuadro + 5 cm (14.5.4.1, p. 369)</t>
        </is>
      </c>
    </row>
    <row r="64">
      <c r="B64" s="64" t="inlineStr">
        <is>
          <t>6x6-8/8</t>
        </is>
      </c>
      <c r="C64" s="58" t="n">
        <v>4.11</v>
      </c>
      <c r="D64" s="56">
        <f>PI()*(C64/10)^2/4*100/15.24</f>
        <v>0.870539653275987</v>
      </c>
      <c r="E64" s="58">
        <f>2*PI()*(C64/1000)^2/4*7850/0.1524</f>
        <v>1.3667472556433</v>
      </c>
      <c r="F64" s="81" t="inlineStr">
        <is>
          <t>Calibre de alambre y separación de 6" = 15.24 cm · NMX-B-290 · NTC-Concreto 2.4.2.1.6.3, p. 44 y 6.8.7.3, p. 196 · traslape ≥ un cuadro + 5 cm (14.5.4.1, p. 369)</t>
        </is>
      </c>
    </row>
    <row r="65">
      <c r="B65" s="64" t="inlineStr">
        <is>
          <t>6x6-6/6</t>
        </is>
      </c>
      <c r="C65" s="58" t="n">
        <v>4.88</v>
      </c>
      <c r="D65" s="56">
        <f>PI()*(C65/10)^2/4*100/15.24</f>
        <v>1.22728254740237</v>
      </c>
      <c r="E65" s="58">
        <f>2*PI()*(C65/1000)^2/4*7850/0.1524</f>
        <v>1.92683359942173</v>
      </c>
      <c r="F65" s="81" t="inlineStr">
        <is>
          <t>Calibre de alambre y separación de 6" = 15.24 cm · NMX-B-290 · NTC-Concreto 2.4.2.1.6.3, p. 44 y 6.8.7.3, p. 196 · traslape ≥ un cuadro + 5 cm (14.5.4.1, p. 369)</t>
        </is>
      </c>
    </row>
    <row r="66">
      <c r="B66" s="64" t="inlineStr">
        <is>
          <t>6x6-4/4</t>
        </is>
      </c>
      <c r="C66" s="58" t="n">
        <v>5.72</v>
      </c>
      <c r="D66" s="56">
        <f>PI()*(C66/10)^2/4*100/15.24</f>
        <v>1.68615297042671</v>
      </c>
      <c r="E66" s="58">
        <f>2*PI()*(C66/1000)^2/4*7850/0.1524</f>
        <v>2.64726016356994</v>
      </c>
      <c r="F66" s="81" t="inlineStr">
        <is>
          <t>Calibre de alambre y separación de 6" = 15.24 cm · NMX-B-290 · NTC-Concreto 2.4.2.1.6.3, p. 44 y 6.8.7.3, p. 196 · traslape ≥ un cuadro + 5 cm (14.5.4.1, p. 369)</t>
        </is>
      </c>
    </row>
    <row r="70" ht="21" customHeight="1">
      <c r="B70" s="3" t="inlineStr">
        <is>
          <t>D. LISTAS DE LOS SELECTORES</t>
        </is>
      </c>
    </row>
    <row r="71">
      <c r="B71" s="11" t="inlineStr">
        <is>
          <t>Forzar caso</t>
        </is>
      </c>
      <c r="C71" s="11" t="inlineStr">
        <is>
          <t>Tipo de tablero</t>
        </is>
      </c>
      <c r="D71" s="11" t="inlineStr">
        <is>
          <t>Borde</t>
        </is>
      </c>
      <c r="E71" s="11" t="inlineStr">
        <is>
          <t>Colado</t>
        </is>
      </c>
      <c r="F71" s="11" t="inlineStr">
        <is>
          <t>Sí / no</t>
        </is>
      </c>
      <c r="G71" s="11" t="inlineStr">
        <is>
          <t>Agregado grueso</t>
        </is>
      </c>
    </row>
    <row r="72">
      <c r="B72" s="6" t="inlineStr">
        <is>
          <t>AUTO</t>
        </is>
      </c>
      <c r="C72" s="6" t="inlineStr">
        <is>
          <t>PERIMETRAL</t>
        </is>
      </c>
      <c r="D72" s="6" t="inlineStr">
        <is>
          <t>CONTINUO</t>
        </is>
      </c>
      <c r="E72" s="6" t="inlineStr">
        <is>
          <t>MONOLÍTICO (caso I)</t>
        </is>
      </c>
      <c r="F72" s="6" t="inlineStr">
        <is>
          <t>SÍ</t>
        </is>
      </c>
      <c r="G72" s="6" t="inlineStr">
        <is>
          <t>CALIZO</t>
        </is>
      </c>
    </row>
    <row r="73">
      <c r="B73" s="6" t="inlineStr">
        <is>
          <t>INTERIOR</t>
        </is>
      </c>
      <c r="C73" s="6" t="inlineStr">
        <is>
          <t>VOLADO</t>
        </is>
      </c>
      <c r="D73" s="6" t="inlineStr">
        <is>
          <t>DISCONTINUO</t>
        </is>
      </c>
      <c r="E73" s="6" t="inlineStr">
        <is>
          <t>NO MONOLÍTICO (caso II)</t>
        </is>
      </c>
      <c r="F73" s="6" t="inlineStr">
        <is>
          <t>NO</t>
        </is>
      </c>
      <c r="G73" s="6" t="inlineStr">
        <is>
          <t>BASALTO</t>
        </is>
      </c>
    </row>
    <row r="74">
      <c r="B74" s="6" t="inlineStr">
        <is>
          <t>BORDE-CORTO</t>
        </is>
      </c>
    </row>
    <row r="75">
      <c r="B75" s="6" t="inlineStr">
        <is>
          <t>BORDE-LARGO</t>
        </is>
      </c>
    </row>
    <row r="76">
      <c r="B76" s="6" t="inlineStr">
        <is>
          <t>ESQUINA</t>
        </is>
      </c>
    </row>
    <row r="77">
      <c r="B77" s="6" t="inlineStr">
        <is>
          <t>EXTREMO-LARGO</t>
        </is>
      </c>
    </row>
    <row r="78">
      <c r="B78" s="6" t="inlineStr">
        <is>
          <t>EXTREMO-CORTO</t>
        </is>
      </c>
    </row>
    <row r="79">
      <c r="B79" s="6" t="inlineStr">
        <is>
          <t>AISLADO</t>
        </is>
      </c>
    </row>
    <row r="84" ht="21" customHeight="1">
      <c r="B84" s="3" t="inlineStr">
        <is>
          <t>E. LISTA DE TABLEROS PARA DETALLE Y CROQUIS (la arma el libro: N = nervada, M = maciza)</t>
        </is>
      </c>
    </row>
    <row r="85">
      <c r="B85" s="11" t="inlineStr">
        <is>
          <t>k</t>
        </is>
      </c>
      <c r="C85" s="11" t="inlineStr">
        <is>
          <t>Tablero (para el selector)</t>
        </is>
      </c>
    </row>
    <row r="86">
      <c r="B86" s="59" t="n">
        <v>1</v>
      </c>
      <c r="C86" s="6" t="str">
        <f>IF($B86&lt;=MAX(NERVADAS!$A$9:$A$48),"N · "&amp;INDEX(NERVADAS!$B$9:$B$48,MATCH($B86,NERVADAS!$A$9:$A$48,0)),IF($B86-MAX(NERVADAS!$A$9:$A$48)&lt;=MAX(MACIZAS!$A$9:$A$48),"M · "&amp;INDEX(MACIZAS!$B$9:$B$48,MATCH($B86-MAX(NERVADAS!$A$9:$A$48),MACIZAS!$A$9:$A$48,0)),""))</f>
        <v>N · EJEMPLO F80014 (interior)</v>
      </c>
    </row>
    <row r="87">
      <c r="B87" s="59" t="n">
        <v>2</v>
      </c>
      <c r="C87" s="6" t="str">
        <f>IF($B87&lt;=MAX(NERVADAS!$A$9:$A$48),"N · "&amp;INDEX(NERVADAS!$B$9:$B$48,MATCH($B87,NERVADAS!$A$9:$A$48,0)),IF($B87-MAX(NERVADAS!$A$9:$A$48)&lt;=MAX(MACIZAS!$A$9:$A$48),"M · "&amp;INDEX(MACIZAS!$B$9:$B$48,MATCH($B87-MAX(NERVADAS!$A$9:$A$48),MACIZAS!$A$9:$A$48,0)),""))</f>
        <v>N · EJEMPLO F80016 (de borde)</v>
      </c>
    </row>
    <row r="88">
      <c r="B88" s="59" t="n">
        <v>3</v>
      </c>
      <c r="C88" s="6" t="str">
        <f>IF($B88&lt;=MAX(NERVADAS!$A$9:$A$48),"N · "&amp;INDEX(NERVADAS!$B$9:$B$48,MATCH($B88,NERVADAS!$A$9:$A$48,0)),IF($B88-MAX(NERVADAS!$A$9:$A$48)&lt;=MAX(MACIZAS!$A$9:$A$48),"M · "&amp;INDEX(MACIZAS!$B$9:$B$48,MATCH($B88-MAX(NERVADAS!$A$9:$A$48),MACIZAS!$A$9:$A$48,0)),""))</f>
        <v>N · EJEMPLO F80024 (esquina, azotea)</v>
      </c>
    </row>
    <row r="89">
      <c r="B89" s="59" t="n">
        <v>4</v>
      </c>
      <c r="C89" s="6" t="str">
        <f>IF($B89&lt;=MAX(NERVADAS!$A$9:$A$48),"N · "&amp;INDEX(NERVADAS!$B$9:$B$48,MATCH($B89,NERVADAS!$A$9:$A$48,0)),IF($B89-MAX(NERVADAS!$A$9:$A$48)&lt;=MAX(MACIZAS!$A$9:$A$48),"M · "&amp;INDEX(MACIZAS!$B$9:$B$48,MATCH($B89-MAX(NERVADAS!$A$9:$A$48),MACIZAS!$A$9:$A$48,0)),""))</f>
        <v>N · EJEMPLO F80012 (volado)</v>
      </c>
    </row>
    <row r="90">
      <c r="B90" s="59" t="n">
        <v>5</v>
      </c>
      <c r="C90" s="6" t="str">
        <f>IF($B90&lt;=MAX(NERVADAS!$A$9:$A$48),"N · "&amp;INDEX(NERVADAS!$B$9:$B$48,MATCH($B90,NERVADAS!$A$9:$A$48,0)),IF($B90-MAX(NERVADAS!$A$9:$A$48)&lt;=MAX(MACIZAS!$A$9:$A$48),"M · "&amp;INDEX(MACIZAS!$B$9:$B$48,MATCH($B90-MAX(NERVADAS!$A$9:$A$48),MACIZAS!$A$9:$A$48,0)),""))</f>
        <v>M · EJEMPLO M-1 (interior 3.0 × 4.0)</v>
      </c>
    </row>
    <row r="91">
      <c r="B91" s="59" t="n">
        <v>6</v>
      </c>
      <c r="C91" s="6" t="str">
        <f>IF($B91&lt;=MAX(NERVADAS!$A$9:$A$48),"N · "&amp;INDEX(NERVADAS!$B$9:$B$48,MATCH($B91,NERVADAS!$A$9:$A$48,0)),IF($B91-MAX(NERVADAS!$A$9:$A$48)&lt;=MAX(MACIZAS!$A$9:$A$48),"M · "&amp;INDEX(MACIZAS!$B$9:$B$48,MATCH($B91-MAX(NERVADAS!$A$9:$A$48),MACIZAS!$A$9:$A$48,0)),""))</f>
        <v>M · EJEMPLO M-2 (esquina 2.0 × 3.4)</v>
      </c>
    </row>
    <row r="92">
      <c r="B92" s="59" t="n">
        <v>7</v>
      </c>
      <c r="C92" s="6" t="str">
        <f>IF($B92&lt;=MAX(NERVADAS!$A$9:$A$48),"N · "&amp;INDEX(NERVADAS!$B$9:$B$48,MATCH($B92,NERVADAS!$A$9:$A$48,0)),IF($B92-MAX(NERVADAS!$A$9:$A$48)&lt;=MAX(MACIZAS!$A$9:$A$48),"M · "&amp;INDEX(MACIZAS!$B$9:$B$48,MATCH($B92-MAX(NERVADAS!$A$9:$A$48),MACIZAS!$A$9:$A$48,0)),""))</f>
        <v>M · EJEMPLO M-3 (volado 1.2 m)</v>
      </c>
    </row>
    <row r="93">
      <c r="B93" s="59" t="n">
        <v>8</v>
      </c>
      <c r="C93" s="6" t="str">
        <f>IF($B93&lt;=MAX(NERVADAS!$A$9:$A$48),"N · "&amp;INDEX(NERVADAS!$B$9:$B$48,MATCH($B93,NERVADAS!$A$9:$A$48,0)),IF($B93-MAX(NERVADAS!$A$9:$A$48)&lt;=MAX(MACIZAS!$A$9:$A$48),"M · "&amp;INDEX(MACIZAS!$B$9:$B$48,MATCH($B93-MAX(NERVADAS!$A$9:$A$48),MACIZAS!$A$9:$A$48,0)),""))</f>
        <v/>
      </c>
    </row>
    <row r="94">
      <c r="B94" s="59" t="n">
        <v>9</v>
      </c>
      <c r="C94" s="6" t="str">
        <f>IF($B94&lt;=MAX(NERVADAS!$A$9:$A$48),"N · "&amp;INDEX(NERVADAS!$B$9:$B$48,MATCH($B94,NERVADAS!$A$9:$A$48,0)),IF($B94-MAX(NERVADAS!$A$9:$A$48)&lt;=MAX(MACIZAS!$A$9:$A$48),"M · "&amp;INDEX(MACIZAS!$B$9:$B$48,MATCH($B94-MAX(NERVADAS!$A$9:$A$48),MACIZAS!$A$9:$A$48,0)),""))</f>
        <v/>
      </c>
    </row>
    <row r="95">
      <c r="B95" s="59" t="n">
        <v>10</v>
      </c>
      <c r="C95" s="6" t="str">
        <f>IF($B95&lt;=MAX(NERVADAS!$A$9:$A$48),"N · "&amp;INDEX(NERVADAS!$B$9:$B$48,MATCH($B95,NERVADAS!$A$9:$A$48,0)),IF($B95-MAX(NERVADAS!$A$9:$A$48)&lt;=MAX(MACIZAS!$A$9:$A$48),"M · "&amp;INDEX(MACIZAS!$B$9:$B$48,MATCH($B95-MAX(NERVADAS!$A$9:$A$48),MACIZAS!$A$9:$A$48,0)),""))</f>
        <v/>
      </c>
    </row>
    <row r="96">
      <c r="B96" s="59" t="n">
        <v>11</v>
      </c>
      <c r="C96" s="6" t="str">
        <f>IF($B96&lt;=MAX(NERVADAS!$A$9:$A$48),"N · "&amp;INDEX(NERVADAS!$B$9:$B$48,MATCH($B96,NERVADAS!$A$9:$A$48,0)),IF($B96-MAX(NERVADAS!$A$9:$A$48)&lt;=MAX(MACIZAS!$A$9:$A$48),"M · "&amp;INDEX(MACIZAS!$B$9:$B$48,MATCH($B96-MAX(NERVADAS!$A$9:$A$48),MACIZAS!$A$9:$A$48,0)),""))</f>
        <v/>
      </c>
    </row>
    <row r="97">
      <c r="B97" s="59" t="n">
        <v>12</v>
      </c>
      <c r="C97" s="6" t="str">
        <f>IF($B97&lt;=MAX(NERVADAS!$A$9:$A$48),"N · "&amp;INDEX(NERVADAS!$B$9:$B$48,MATCH($B97,NERVADAS!$A$9:$A$48,0)),IF($B97-MAX(NERVADAS!$A$9:$A$48)&lt;=MAX(MACIZAS!$A$9:$A$48),"M · "&amp;INDEX(MACIZAS!$B$9:$B$48,MATCH($B97-MAX(NERVADAS!$A$9:$A$48),MACIZAS!$A$9:$A$48,0)),""))</f>
        <v/>
      </c>
    </row>
    <row r="98">
      <c r="B98" s="59" t="n">
        <v>13</v>
      </c>
      <c r="C98" s="6" t="str">
        <f>IF($B98&lt;=MAX(NERVADAS!$A$9:$A$48),"N · "&amp;INDEX(NERVADAS!$B$9:$B$48,MATCH($B98,NERVADAS!$A$9:$A$48,0)),IF($B98-MAX(NERVADAS!$A$9:$A$48)&lt;=MAX(MACIZAS!$A$9:$A$48),"M · "&amp;INDEX(MACIZAS!$B$9:$B$48,MATCH($B98-MAX(NERVADAS!$A$9:$A$48),MACIZAS!$A$9:$A$48,0)),""))</f>
        <v/>
      </c>
    </row>
    <row r="99">
      <c r="B99" s="59" t="n">
        <v>14</v>
      </c>
      <c r="C99" s="6" t="str">
        <f>IF($B99&lt;=MAX(NERVADAS!$A$9:$A$48),"N · "&amp;INDEX(NERVADAS!$B$9:$B$48,MATCH($B99,NERVADAS!$A$9:$A$48,0)),IF($B99-MAX(NERVADAS!$A$9:$A$48)&lt;=MAX(MACIZAS!$A$9:$A$48),"M · "&amp;INDEX(MACIZAS!$B$9:$B$48,MATCH($B99-MAX(NERVADAS!$A$9:$A$48),MACIZAS!$A$9:$A$48,0)),""))</f>
        <v/>
      </c>
    </row>
    <row r="100">
      <c r="B100" s="59" t="n">
        <v>15</v>
      </c>
      <c r="C100" s="6" t="str">
        <f>IF($B100&lt;=MAX(NERVADAS!$A$9:$A$48),"N · "&amp;INDEX(NERVADAS!$B$9:$B$48,MATCH($B100,NERVADAS!$A$9:$A$48,0)),IF($B100-MAX(NERVADAS!$A$9:$A$48)&lt;=MAX(MACIZAS!$A$9:$A$48),"M · "&amp;INDEX(MACIZAS!$B$9:$B$48,MATCH($B100-MAX(NERVADAS!$A$9:$A$48),MACIZAS!$A$9:$A$48,0)),""))</f>
        <v/>
      </c>
    </row>
    <row r="101">
      <c r="B101" s="59" t="n">
        <v>16</v>
      </c>
      <c r="C101" s="6" t="str">
        <f>IF($B101&lt;=MAX(NERVADAS!$A$9:$A$48),"N · "&amp;INDEX(NERVADAS!$B$9:$B$48,MATCH($B101,NERVADAS!$A$9:$A$48,0)),IF($B101-MAX(NERVADAS!$A$9:$A$48)&lt;=MAX(MACIZAS!$A$9:$A$48),"M · "&amp;INDEX(MACIZAS!$B$9:$B$48,MATCH($B101-MAX(NERVADAS!$A$9:$A$48),MACIZAS!$A$9:$A$48,0)),""))</f>
        <v/>
      </c>
    </row>
    <row r="102">
      <c r="B102" s="59" t="n">
        <v>17</v>
      </c>
      <c r="C102" s="6" t="str">
        <f>IF($B102&lt;=MAX(NERVADAS!$A$9:$A$48),"N · "&amp;INDEX(NERVADAS!$B$9:$B$48,MATCH($B102,NERVADAS!$A$9:$A$48,0)),IF($B102-MAX(NERVADAS!$A$9:$A$48)&lt;=MAX(MACIZAS!$A$9:$A$48),"M · "&amp;INDEX(MACIZAS!$B$9:$B$48,MATCH($B102-MAX(NERVADAS!$A$9:$A$48),MACIZAS!$A$9:$A$48,0)),""))</f>
        <v/>
      </c>
    </row>
    <row r="103">
      <c r="B103" s="59" t="n">
        <v>18</v>
      </c>
      <c r="C103" s="6" t="str">
        <f>IF($B103&lt;=MAX(NERVADAS!$A$9:$A$48),"N · "&amp;INDEX(NERVADAS!$B$9:$B$48,MATCH($B103,NERVADAS!$A$9:$A$48,0)),IF($B103-MAX(NERVADAS!$A$9:$A$48)&lt;=MAX(MACIZAS!$A$9:$A$48),"M · "&amp;INDEX(MACIZAS!$B$9:$B$48,MATCH($B103-MAX(NERVADAS!$A$9:$A$48),MACIZAS!$A$9:$A$48,0)),""))</f>
        <v/>
      </c>
    </row>
    <row r="104">
      <c r="B104" s="59" t="n">
        <v>19</v>
      </c>
      <c r="C104" s="6" t="str">
        <f>IF($B104&lt;=MAX(NERVADAS!$A$9:$A$48),"N · "&amp;INDEX(NERVADAS!$B$9:$B$48,MATCH($B104,NERVADAS!$A$9:$A$48,0)),IF($B104-MAX(NERVADAS!$A$9:$A$48)&lt;=MAX(MACIZAS!$A$9:$A$48),"M · "&amp;INDEX(MACIZAS!$B$9:$B$48,MATCH($B104-MAX(NERVADAS!$A$9:$A$48),MACIZAS!$A$9:$A$48,0)),""))</f>
        <v/>
      </c>
    </row>
    <row r="105">
      <c r="B105" s="59" t="n">
        <v>20</v>
      </c>
      <c r="C105" s="6" t="str">
        <f>IF($B105&lt;=MAX(NERVADAS!$A$9:$A$48),"N · "&amp;INDEX(NERVADAS!$B$9:$B$48,MATCH($B105,NERVADAS!$A$9:$A$48,0)),IF($B105-MAX(NERVADAS!$A$9:$A$48)&lt;=MAX(MACIZAS!$A$9:$A$48),"M · "&amp;INDEX(MACIZAS!$B$9:$B$48,MATCH($B105-MAX(NERVADAS!$A$9:$A$48),MACIZAS!$A$9:$A$48,0)),""))</f>
        <v/>
      </c>
    </row>
    <row r="106">
      <c r="B106" s="59" t="n">
        <v>21</v>
      </c>
      <c r="C106" s="6" t="str">
        <f>IF($B106&lt;=MAX(NERVADAS!$A$9:$A$48),"N · "&amp;INDEX(NERVADAS!$B$9:$B$48,MATCH($B106,NERVADAS!$A$9:$A$48,0)),IF($B106-MAX(NERVADAS!$A$9:$A$48)&lt;=MAX(MACIZAS!$A$9:$A$48),"M · "&amp;INDEX(MACIZAS!$B$9:$B$48,MATCH($B106-MAX(NERVADAS!$A$9:$A$48),MACIZAS!$A$9:$A$48,0)),""))</f>
        <v/>
      </c>
    </row>
    <row r="107">
      <c r="B107" s="59" t="n">
        <v>22</v>
      </c>
      <c r="C107" s="6" t="str">
        <f>IF($B107&lt;=MAX(NERVADAS!$A$9:$A$48),"N · "&amp;INDEX(NERVADAS!$B$9:$B$48,MATCH($B107,NERVADAS!$A$9:$A$48,0)),IF($B107-MAX(NERVADAS!$A$9:$A$48)&lt;=MAX(MACIZAS!$A$9:$A$48),"M · "&amp;INDEX(MACIZAS!$B$9:$B$48,MATCH($B107-MAX(NERVADAS!$A$9:$A$48),MACIZAS!$A$9:$A$48,0)),""))</f>
        <v/>
      </c>
    </row>
    <row r="108">
      <c r="B108" s="59" t="n">
        <v>23</v>
      </c>
      <c r="C108" s="6" t="str">
        <f>IF($B108&lt;=MAX(NERVADAS!$A$9:$A$48),"N · "&amp;INDEX(NERVADAS!$B$9:$B$48,MATCH($B108,NERVADAS!$A$9:$A$48,0)),IF($B108-MAX(NERVADAS!$A$9:$A$48)&lt;=MAX(MACIZAS!$A$9:$A$48),"M · "&amp;INDEX(MACIZAS!$B$9:$B$48,MATCH($B108-MAX(NERVADAS!$A$9:$A$48),MACIZAS!$A$9:$A$48,0)),""))</f>
        <v/>
      </c>
    </row>
    <row r="109">
      <c r="B109" s="59" t="n">
        <v>24</v>
      </c>
      <c r="C109" s="6" t="str">
        <f>IF($B109&lt;=MAX(NERVADAS!$A$9:$A$48),"N · "&amp;INDEX(NERVADAS!$B$9:$B$48,MATCH($B109,NERVADAS!$A$9:$A$48,0)),IF($B109-MAX(NERVADAS!$A$9:$A$48)&lt;=MAX(MACIZAS!$A$9:$A$48),"M · "&amp;INDEX(MACIZAS!$B$9:$B$48,MATCH($B109-MAX(NERVADAS!$A$9:$A$48),MACIZAS!$A$9:$A$48,0)),""))</f>
        <v/>
      </c>
    </row>
    <row r="110">
      <c r="B110" s="59" t="n">
        <v>25</v>
      </c>
      <c r="C110" s="6" t="str">
        <f>IF($B110&lt;=MAX(NERVADAS!$A$9:$A$48),"N · "&amp;INDEX(NERVADAS!$B$9:$B$48,MATCH($B110,NERVADAS!$A$9:$A$48,0)),IF($B110-MAX(NERVADAS!$A$9:$A$48)&lt;=MAX(MACIZAS!$A$9:$A$48),"M · "&amp;INDEX(MACIZAS!$B$9:$B$48,MATCH($B110-MAX(NERVADAS!$A$9:$A$48),MACIZAS!$A$9:$A$48,0)),""))</f>
        <v/>
      </c>
    </row>
    <row r="111">
      <c r="B111" s="59" t="n">
        <v>26</v>
      </c>
      <c r="C111" s="6" t="str">
        <f>IF($B111&lt;=MAX(NERVADAS!$A$9:$A$48),"N · "&amp;INDEX(NERVADAS!$B$9:$B$48,MATCH($B111,NERVADAS!$A$9:$A$48,0)),IF($B111-MAX(NERVADAS!$A$9:$A$48)&lt;=MAX(MACIZAS!$A$9:$A$48),"M · "&amp;INDEX(MACIZAS!$B$9:$B$48,MATCH($B111-MAX(NERVADAS!$A$9:$A$48),MACIZAS!$A$9:$A$48,0)),""))</f>
        <v/>
      </c>
    </row>
    <row r="112">
      <c r="B112" s="59" t="n">
        <v>27</v>
      </c>
      <c r="C112" s="6" t="str">
        <f>IF($B112&lt;=MAX(NERVADAS!$A$9:$A$48),"N · "&amp;INDEX(NERVADAS!$B$9:$B$48,MATCH($B112,NERVADAS!$A$9:$A$48,0)),IF($B112-MAX(NERVADAS!$A$9:$A$48)&lt;=MAX(MACIZAS!$A$9:$A$48),"M · "&amp;INDEX(MACIZAS!$B$9:$B$48,MATCH($B112-MAX(NERVADAS!$A$9:$A$48),MACIZAS!$A$9:$A$48,0)),""))</f>
        <v/>
      </c>
    </row>
    <row r="113">
      <c r="B113" s="59" t="n">
        <v>28</v>
      </c>
      <c r="C113" s="6" t="str">
        <f>IF($B113&lt;=MAX(NERVADAS!$A$9:$A$48),"N · "&amp;INDEX(NERVADAS!$B$9:$B$48,MATCH($B113,NERVADAS!$A$9:$A$48,0)),IF($B113-MAX(NERVADAS!$A$9:$A$48)&lt;=MAX(MACIZAS!$A$9:$A$48),"M · "&amp;INDEX(MACIZAS!$B$9:$B$48,MATCH($B113-MAX(NERVADAS!$A$9:$A$48),MACIZAS!$A$9:$A$48,0)),""))</f>
        <v/>
      </c>
    </row>
    <row r="114">
      <c r="B114" s="59" t="n">
        <v>29</v>
      </c>
      <c r="C114" s="6" t="str">
        <f>IF($B114&lt;=MAX(NERVADAS!$A$9:$A$48),"N · "&amp;INDEX(NERVADAS!$B$9:$B$48,MATCH($B114,NERVADAS!$A$9:$A$48,0)),IF($B114-MAX(NERVADAS!$A$9:$A$48)&lt;=MAX(MACIZAS!$A$9:$A$48),"M · "&amp;INDEX(MACIZAS!$B$9:$B$48,MATCH($B114-MAX(NERVADAS!$A$9:$A$48),MACIZAS!$A$9:$A$48,0)),""))</f>
        <v/>
      </c>
    </row>
    <row r="115">
      <c r="B115" s="59" t="n">
        <v>30</v>
      </c>
      <c r="C115" s="6" t="str">
        <f>IF($B115&lt;=MAX(NERVADAS!$A$9:$A$48),"N · "&amp;INDEX(NERVADAS!$B$9:$B$48,MATCH($B115,NERVADAS!$A$9:$A$48,0)),IF($B115-MAX(NERVADAS!$A$9:$A$48)&lt;=MAX(MACIZAS!$A$9:$A$48),"M · "&amp;INDEX(MACIZAS!$B$9:$B$48,MATCH($B115-MAX(NERVADAS!$A$9:$A$48),MACIZAS!$A$9:$A$48,0)),""))</f>
        <v/>
      </c>
    </row>
    <row r="116">
      <c r="B116" s="59" t="n">
        <v>31</v>
      </c>
      <c r="C116" s="6" t="str">
        <f>IF($B116&lt;=MAX(NERVADAS!$A$9:$A$48),"N · "&amp;INDEX(NERVADAS!$B$9:$B$48,MATCH($B116,NERVADAS!$A$9:$A$48,0)),IF($B116-MAX(NERVADAS!$A$9:$A$48)&lt;=MAX(MACIZAS!$A$9:$A$48),"M · "&amp;INDEX(MACIZAS!$B$9:$B$48,MATCH($B116-MAX(NERVADAS!$A$9:$A$48),MACIZAS!$A$9:$A$48,0)),""))</f>
        <v/>
      </c>
    </row>
    <row r="117">
      <c r="B117" s="59" t="n">
        <v>32</v>
      </c>
      <c r="C117" s="6" t="str">
        <f>IF($B117&lt;=MAX(NERVADAS!$A$9:$A$48),"N · "&amp;INDEX(NERVADAS!$B$9:$B$48,MATCH($B117,NERVADAS!$A$9:$A$48,0)),IF($B117-MAX(NERVADAS!$A$9:$A$48)&lt;=MAX(MACIZAS!$A$9:$A$48),"M · "&amp;INDEX(MACIZAS!$B$9:$B$48,MATCH($B117-MAX(NERVADAS!$A$9:$A$48),MACIZAS!$A$9:$A$48,0)),""))</f>
        <v/>
      </c>
    </row>
    <row r="118">
      <c r="B118" s="59" t="n">
        <v>33</v>
      </c>
      <c r="C118" s="6" t="str">
        <f>IF($B118&lt;=MAX(NERVADAS!$A$9:$A$48),"N · "&amp;INDEX(NERVADAS!$B$9:$B$48,MATCH($B118,NERVADAS!$A$9:$A$48,0)),IF($B118-MAX(NERVADAS!$A$9:$A$48)&lt;=MAX(MACIZAS!$A$9:$A$48),"M · "&amp;INDEX(MACIZAS!$B$9:$B$48,MATCH($B118-MAX(NERVADAS!$A$9:$A$48),MACIZAS!$A$9:$A$48,0)),""))</f>
        <v/>
      </c>
    </row>
    <row r="119">
      <c r="B119" s="59" t="n">
        <v>34</v>
      </c>
      <c r="C119" s="6" t="str">
        <f>IF($B119&lt;=MAX(NERVADAS!$A$9:$A$48),"N · "&amp;INDEX(NERVADAS!$B$9:$B$48,MATCH($B119,NERVADAS!$A$9:$A$48,0)),IF($B119-MAX(NERVADAS!$A$9:$A$48)&lt;=MAX(MACIZAS!$A$9:$A$48),"M · "&amp;INDEX(MACIZAS!$B$9:$B$48,MATCH($B119-MAX(NERVADAS!$A$9:$A$48),MACIZAS!$A$9:$A$48,0)),""))</f>
        <v/>
      </c>
    </row>
    <row r="120">
      <c r="B120" s="59" t="n">
        <v>35</v>
      </c>
      <c r="C120" s="6" t="str">
        <f>IF($B120&lt;=MAX(NERVADAS!$A$9:$A$48),"N · "&amp;INDEX(NERVADAS!$B$9:$B$48,MATCH($B120,NERVADAS!$A$9:$A$48,0)),IF($B120-MAX(NERVADAS!$A$9:$A$48)&lt;=MAX(MACIZAS!$A$9:$A$48),"M · "&amp;INDEX(MACIZAS!$B$9:$B$48,MATCH($B120-MAX(NERVADAS!$A$9:$A$48),MACIZAS!$A$9:$A$48,0)),""))</f>
        <v/>
      </c>
    </row>
    <row r="121">
      <c r="B121" s="59" t="n">
        <v>36</v>
      </c>
      <c r="C121" s="6" t="str">
        <f>IF($B121&lt;=MAX(NERVADAS!$A$9:$A$48),"N · "&amp;INDEX(NERVADAS!$B$9:$B$48,MATCH($B121,NERVADAS!$A$9:$A$48,0)),IF($B121-MAX(NERVADAS!$A$9:$A$48)&lt;=MAX(MACIZAS!$A$9:$A$48),"M · "&amp;INDEX(MACIZAS!$B$9:$B$48,MATCH($B121-MAX(NERVADAS!$A$9:$A$48),MACIZAS!$A$9:$A$48,0)),""))</f>
        <v/>
      </c>
    </row>
    <row r="122">
      <c r="B122" s="59" t="n">
        <v>37</v>
      </c>
      <c r="C122" s="6" t="str">
        <f>IF($B122&lt;=MAX(NERVADAS!$A$9:$A$48),"N · "&amp;INDEX(NERVADAS!$B$9:$B$48,MATCH($B122,NERVADAS!$A$9:$A$48,0)),IF($B122-MAX(NERVADAS!$A$9:$A$48)&lt;=MAX(MACIZAS!$A$9:$A$48),"M · "&amp;INDEX(MACIZAS!$B$9:$B$48,MATCH($B122-MAX(NERVADAS!$A$9:$A$48),MACIZAS!$A$9:$A$48,0)),""))</f>
        <v/>
      </c>
    </row>
    <row r="123">
      <c r="B123" s="59" t="n">
        <v>38</v>
      </c>
      <c r="C123" s="6" t="str">
        <f>IF($B123&lt;=MAX(NERVADAS!$A$9:$A$48),"N · "&amp;INDEX(NERVADAS!$B$9:$B$48,MATCH($B123,NERVADAS!$A$9:$A$48,0)),IF($B123-MAX(NERVADAS!$A$9:$A$48)&lt;=MAX(MACIZAS!$A$9:$A$48),"M · "&amp;INDEX(MACIZAS!$B$9:$B$48,MATCH($B123-MAX(NERVADAS!$A$9:$A$48),MACIZAS!$A$9:$A$48,0)),""))</f>
        <v/>
      </c>
    </row>
    <row r="124">
      <c r="B124" s="59" t="n">
        <v>39</v>
      </c>
      <c r="C124" s="6" t="str">
        <f>IF($B124&lt;=MAX(NERVADAS!$A$9:$A$48),"N · "&amp;INDEX(NERVADAS!$B$9:$B$48,MATCH($B124,NERVADAS!$A$9:$A$48,0)),IF($B124-MAX(NERVADAS!$A$9:$A$48)&lt;=MAX(MACIZAS!$A$9:$A$48),"M · "&amp;INDEX(MACIZAS!$B$9:$B$48,MATCH($B124-MAX(NERVADAS!$A$9:$A$48),MACIZAS!$A$9:$A$48,0)),""))</f>
        <v/>
      </c>
    </row>
    <row r="125">
      <c r="B125" s="59" t="n">
        <v>40</v>
      </c>
      <c r="C125" s="6" t="str">
        <f>IF($B125&lt;=MAX(NERVADAS!$A$9:$A$48),"N · "&amp;INDEX(NERVADAS!$B$9:$B$48,MATCH($B125,NERVADAS!$A$9:$A$48,0)),IF($B125-MAX(NERVADAS!$A$9:$A$48)&lt;=MAX(MACIZAS!$A$9:$A$48),"M · "&amp;INDEX(MACIZAS!$B$9:$B$48,MATCH($B125-MAX(NERVADAS!$A$9:$A$48),MACIZAS!$A$9:$A$48,0)),""))</f>
        <v/>
      </c>
    </row>
    <row r="126">
      <c r="B126" s="59" t="n">
        <v>41</v>
      </c>
      <c r="C126" s="6" t="str">
        <f>IF($B126&lt;=MAX(NERVADAS!$A$9:$A$48),"N · "&amp;INDEX(NERVADAS!$B$9:$B$48,MATCH($B126,NERVADAS!$A$9:$A$48,0)),IF($B126-MAX(NERVADAS!$A$9:$A$48)&lt;=MAX(MACIZAS!$A$9:$A$48),"M · "&amp;INDEX(MACIZAS!$B$9:$B$48,MATCH($B126-MAX(NERVADAS!$A$9:$A$48),MACIZAS!$A$9:$A$48,0)),""))</f>
        <v/>
      </c>
    </row>
    <row r="127">
      <c r="B127" s="59" t="n">
        <v>42</v>
      </c>
      <c r="C127" s="6" t="str">
        <f>IF($B127&lt;=MAX(NERVADAS!$A$9:$A$48),"N · "&amp;INDEX(NERVADAS!$B$9:$B$48,MATCH($B127,NERVADAS!$A$9:$A$48,0)),IF($B127-MAX(NERVADAS!$A$9:$A$48)&lt;=MAX(MACIZAS!$A$9:$A$48),"M · "&amp;INDEX(MACIZAS!$B$9:$B$48,MATCH($B127-MAX(NERVADAS!$A$9:$A$48),MACIZAS!$A$9:$A$48,0)),""))</f>
        <v/>
      </c>
    </row>
    <row r="128">
      <c r="B128" s="59" t="n">
        <v>43</v>
      </c>
      <c r="C128" s="6" t="str">
        <f>IF($B128&lt;=MAX(NERVADAS!$A$9:$A$48),"N · "&amp;INDEX(NERVADAS!$B$9:$B$48,MATCH($B128,NERVADAS!$A$9:$A$48,0)),IF($B128-MAX(NERVADAS!$A$9:$A$48)&lt;=MAX(MACIZAS!$A$9:$A$48),"M · "&amp;INDEX(MACIZAS!$B$9:$B$48,MATCH($B128-MAX(NERVADAS!$A$9:$A$48),MACIZAS!$A$9:$A$48,0)),""))</f>
        <v/>
      </c>
    </row>
    <row r="129">
      <c r="B129" s="59" t="n">
        <v>44</v>
      </c>
      <c r="C129" s="6" t="str">
        <f>IF($B129&lt;=MAX(NERVADAS!$A$9:$A$48),"N · "&amp;INDEX(NERVADAS!$B$9:$B$48,MATCH($B129,NERVADAS!$A$9:$A$48,0)),IF($B129-MAX(NERVADAS!$A$9:$A$48)&lt;=MAX(MACIZAS!$A$9:$A$48),"M · "&amp;INDEX(MACIZAS!$B$9:$B$48,MATCH($B129-MAX(NERVADAS!$A$9:$A$48),MACIZAS!$A$9:$A$48,0)),""))</f>
        <v/>
      </c>
    </row>
    <row r="130">
      <c r="B130" s="59" t="n">
        <v>45</v>
      </c>
      <c r="C130" s="6" t="str">
        <f>IF($B130&lt;=MAX(NERVADAS!$A$9:$A$48),"N · "&amp;INDEX(NERVADAS!$B$9:$B$48,MATCH($B130,NERVADAS!$A$9:$A$48,0)),IF($B130-MAX(NERVADAS!$A$9:$A$48)&lt;=MAX(MACIZAS!$A$9:$A$48),"M · "&amp;INDEX(MACIZAS!$B$9:$B$48,MATCH($B130-MAX(NERVADAS!$A$9:$A$48),MACIZAS!$A$9:$A$48,0)),""))</f>
        <v/>
      </c>
    </row>
    <row r="131">
      <c r="B131" s="59" t="n">
        <v>46</v>
      </c>
      <c r="C131" s="6" t="str">
        <f>IF($B131&lt;=MAX(NERVADAS!$A$9:$A$48),"N · "&amp;INDEX(NERVADAS!$B$9:$B$48,MATCH($B131,NERVADAS!$A$9:$A$48,0)),IF($B131-MAX(NERVADAS!$A$9:$A$48)&lt;=MAX(MACIZAS!$A$9:$A$48),"M · "&amp;INDEX(MACIZAS!$B$9:$B$48,MATCH($B131-MAX(NERVADAS!$A$9:$A$48),MACIZAS!$A$9:$A$48,0)),""))</f>
        <v/>
      </c>
    </row>
    <row r="132">
      <c r="B132" s="59" t="n">
        <v>47</v>
      </c>
      <c r="C132" s="6" t="str">
        <f>IF($B132&lt;=MAX(NERVADAS!$A$9:$A$48),"N · "&amp;INDEX(NERVADAS!$B$9:$B$48,MATCH($B132,NERVADAS!$A$9:$A$48,0)),IF($B132-MAX(NERVADAS!$A$9:$A$48)&lt;=MAX(MACIZAS!$A$9:$A$48),"M · "&amp;INDEX(MACIZAS!$B$9:$B$48,MATCH($B132-MAX(NERVADAS!$A$9:$A$48),MACIZAS!$A$9:$A$48,0)),""))</f>
        <v/>
      </c>
    </row>
    <row r="133">
      <c r="B133" s="59" t="n">
        <v>48</v>
      </c>
      <c r="C133" s="6" t="str">
        <f>IF($B133&lt;=MAX(NERVADAS!$A$9:$A$48),"N · "&amp;INDEX(NERVADAS!$B$9:$B$48,MATCH($B133,NERVADAS!$A$9:$A$48,0)),IF($B133-MAX(NERVADAS!$A$9:$A$48)&lt;=MAX(MACIZAS!$A$9:$A$48),"M · "&amp;INDEX(MACIZAS!$B$9:$B$48,MATCH($B133-MAX(NERVADAS!$A$9:$A$48),MACIZAS!$A$9:$A$48,0)),""))</f>
        <v/>
      </c>
    </row>
    <row r="134">
      <c r="B134" s="59" t="n">
        <v>49</v>
      </c>
      <c r="C134" s="6" t="str">
        <f>IF($B134&lt;=MAX(NERVADAS!$A$9:$A$48),"N · "&amp;INDEX(NERVADAS!$B$9:$B$48,MATCH($B134,NERVADAS!$A$9:$A$48,0)),IF($B134-MAX(NERVADAS!$A$9:$A$48)&lt;=MAX(MACIZAS!$A$9:$A$48),"M · "&amp;INDEX(MACIZAS!$B$9:$B$48,MATCH($B134-MAX(NERVADAS!$A$9:$A$48),MACIZAS!$A$9:$A$48,0)),""))</f>
        <v/>
      </c>
    </row>
    <row r="135">
      <c r="B135" s="59" t="n">
        <v>50</v>
      </c>
      <c r="C135" s="6" t="str">
        <f>IF($B135&lt;=MAX(NERVADAS!$A$9:$A$48),"N · "&amp;INDEX(NERVADAS!$B$9:$B$48,MATCH($B135,NERVADAS!$A$9:$A$48,0)),IF($B135-MAX(NERVADAS!$A$9:$A$48)&lt;=MAX(MACIZAS!$A$9:$A$48),"M · "&amp;INDEX(MACIZAS!$B$9:$B$48,MATCH($B135-MAX(NERVADAS!$A$9:$A$48),MACIZAS!$A$9:$A$48,0)),""))</f>
        <v/>
      </c>
    </row>
    <row r="136">
      <c r="B136" s="59" t="n">
        <v>51</v>
      </c>
      <c r="C136" s="6" t="str">
        <f>IF($B136&lt;=MAX(NERVADAS!$A$9:$A$48),"N · "&amp;INDEX(NERVADAS!$B$9:$B$48,MATCH($B136,NERVADAS!$A$9:$A$48,0)),IF($B136-MAX(NERVADAS!$A$9:$A$48)&lt;=MAX(MACIZAS!$A$9:$A$48),"M · "&amp;INDEX(MACIZAS!$B$9:$B$48,MATCH($B136-MAX(NERVADAS!$A$9:$A$48),MACIZAS!$A$9:$A$48,0)),""))</f>
        <v/>
      </c>
    </row>
    <row r="137">
      <c r="B137" s="59" t="n">
        <v>52</v>
      </c>
      <c r="C137" s="6" t="str">
        <f>IF($B137&lt;=MAX(NERVADAS!$A$9:$A$48),"N · "&amp;INDEX(NERVADAS!$B$9:$B$48,MATCH($B137,NERVADAS!$A$9:$A$48,0)),IF($B137-MAX(NERVADAS!$A$9:$A$48)&lt;=MAX(MACIZAS!$A$9:$A$48),"M · "&amp;INDEX(MACIZAS!$B$9:$B$48,MATCH($B137-MAX(NERVADAS!$A$9:$A$48),MACIZAS!$A$9:$A$48,0)),""))</f>
        <v/>
      </c>
    </row>
    <row r="138">
      <c r="B138" s="59" t="n">
        <v>53</v>
      </c>
      <c r="C138" s="6" t="str">
        <f>IF($B138&lt;=MAX(NERVADAS!$A$9:$A$48),"N · "&amp;INDEX(NERVADAS!$B$9:$B$48,MATCH($B138,NERVADAS!$A$9:$A$48,0)),IF($B138-MAX(NERVADAS!$A$9:$A$48)&lt;=MAX(MACIZAS!$A$9:$A$48),"M · "&amp;INDEX(MACIZAS!$B$9:$B$48,MATCH($B138-MAX(NERVADAS!$A$9:$A$48),MACIZAS!$A$9:$A$48,0)),""))</f>
        <v/>
      </c>
    </row>
    <row r="139">
      <c r="B139" s="59" t="n">
        <v>54</v>
      </c>
      <c r="C139" s="6" t="str">
        <f>IF($B139&lt;=MAX(NERVADAS!$A$9:$A$48),"N · "&amp;INDEX(NERVADAS!$B$9:$B$48,MATCH($B139,NERVADAS!$A$9:$A$48,0)),IF($B139-MAX(NERVADAS!$A$9:$A$48)&lt;=MAX(MACIZAS!$A$9:$A$48),"M · "&amp;INDEX(MACIZAS!$B$9:$B$48,MATCH($B139-MAX(NERVADAS!$A$9:$A$48),MACIZAS!$A$9:$A$48,0)),""))</f>
        <v/>
      </c>
    </row>
    <row r="140">
      <c r="B140" s="59" t="n">
        <v>55</v>
      </c>
      <c r="C140" s="6" t="str">
        <f>IF($B140&lt;=MAX(NERVADAS!$A$9:$A$48),"N · "&amp;INDEX(NERVADAS!$B$9:$B$48,MATCH($B140,NERVADAS!$A$9:$A$48,0)),IF($B140-MAX(NERVADAS!$A$9:$A$48)&lt;=MAX(MACIZAS!$A$9:$A$48),"M · "&amp;INDEX(MACIZAS!$B$9:$B$48,MATCH($B140-MAX(NERVADAS!$A$9:$A$48),MACIZAS!$A$9:$A$48,0)),""))</f>
        <v/>
      </c>
    </row>
    <row r="141">
      <c r="B141" s="59" t="n">
        <v>56</v>
      </c>
      <c r="C141" s="6" t="str">
        <f>IF($B141&lt;=MAX(NERVADAS!$A$9:$A$48),"N · "&amp;INDEX(NERVADAS!$B$9:$B$48,MATCH($B141,NERVADAS!$A$9:$A$48,0)),IF($B141-MAX(NERVADAS!$A$9:$A$48)&lt;=MAX(MACIZAS!$A$9:$A$48),"M · "&amp;INDEX(MACIZAS!$B$9:$B$48,MATCH($B141-MAX(NERVADAS!$A$9:$A$48),MACIZAS!$A$9:$A$48,0)),""))</f>
        <v/>
      </c>
    </row>
    <row r="142">
      <c r="B142" s="59" t="n">
        <v>57</v>
      </c>
      <c r="C142" s="6" t="str">
        <f>IF($B142&lt;=MAX(NERVADAS!$A$9:$A$48),"N · "&amp;INDEX(NERVADAS!$B$9:$B$48,MATCH($B142,NERVADAS!$A$9:$A$48,0)),IF($B142-MAX(NERVADAS!$A$9:$A$48)&lt;=MAX(MACIZAS!$A$9:$A$48),"M · "&amp;INDEX(MACIZAS!$B$9:$B$48,MATCH($B142-MAX(NERVADAS!$A$9:$A$48),MACIZAS!$A$9:$A$48,0)),""))</f>
        <v/>
      </c>
    </row>
    <row r="143">
      <c r="B143" s="59" t="n">
        <v>58</v>
      </c>
      <c r="C143" s="6" t="str">
        <f>IF($B143&lt;=MAX(NERVADAS!$A$9:$A$48),"N · "&amp;INDEX(NERVADAS!$B$9:$B$48,MATCH($B143,NERVADAS!$A$9:$A$48,0)),IF($B143-MAX(NERVADAS!$A$9:$A$48)&lt;=MAX(MACIZAS!$A$9:$A$48),"M · "&amp;INDEX(MACIZAS!$B$9:$B$48,MATCH($B143-MAX(NERVADAS!$A$9:$A$48),MACIZAS!$A$9:$A$48,0)),""))</f>
        <v/>
      </c>
    </row>
    <row r="144">
      <c r="B144" s="59" t="n">
        <v>59</v>
      </c>
      <c r="C144" s="6" t="str">
        <f>IF($B144&lt;=MAX(NERVADAS!$A$9:$A$48),"N · "&amp;INDEX(NERVADAS!$B$9:$B$48,MATCH($B144,NERVADAS!$A$9:$A$48,0)),IF($B144-MAX(NERVADAS!$A$9:$A$48)&lt;=MAX(MACIZAS!$A$9:$A$48),"M · "&amp;INDEX(MACIZAS!$B$9:$B$48,MATCH($B144-MAX(NERVADAS!$A$9:$A$48),MACIZAS!$A$9:$A$48,0)),""))</f>
        <v/>
      </c>
    </row>
    <row r="145">
      <c r="B145" s="59" t="n">
        <v>60</v>
      </c>
      <c r="C145" s="6" t="str">
        <f>IF($B145&lt;=MAX(NERVADAS!$A$9:$A$48),"N · "&amp;INDEX(NERVADAS!$B$9:$B$48,MATCH($B145,NERVADAS!$A$9:$A$48,0)),IF($B145-MAX(NERVADAS!$A$9:$A$48)&lt;=MAX(MACIZAS!$A$9:$A$48),"M · "&amp;INDEX(MACIZAS!$B$9:$B$48,MATCH($B145-MAX(NERVADAS!$A$9:$A$48),MACIZAS!$A$9:$A$48,0)),""))</f>
        <v/>
      </c>
    </row>
    <row r="146">
      <c r="B146" s="59" t="n">
        <v>61</v>
      </c>
      <c r="C146" s="6" t="str">
        <f>IF($B146&lt;=MAX(NERVADAS!$A$9:$A$48),"N · "&amp;INDEX(NERVADAS!$B$9:$B$48,MATCH($B146,NERVADAS!$A$9:$A$48,0)),IF($B146-MAX(NERVADAS!$A$9:$A$48)&lt;=MAX(MACIZAS!$A$9:$A$48),"M · "&amp;INDEX(MACIZAS!$B$9:$B$48,MATCH($B146-MAX(NERVADAS!$A$9:$A$48),MACIZAS!$A$9:$A$48,0)),""))</f>
        <v/>
      </c>
    </row>
    <row r="147">
      <c r="B147" s="59" t="n">
        <v>62</v>
      </c>
      <c r="C147" s="6" t="str">
        <f>IF($B147&lt;=MAX(NERVADAS!$A$9:$A$48),"N · "&amp;INDEX(NERVADAS!$B$9:$B$48,MATCH($B147,NERVADAS!$A$9:$A$48,0)),IF($B147-MAX(NERVADAS!$A$9:$A$48)&lt;=MAX(MACIZAS!$A$9:$A$48),"M · "&amp;INDEX(MACIZAS!$B$9:$B$48,MATCH($B147-MAX(NERVADAS!$A$9:$A$48),MACIZAS!$A$9:$A$48,0)),""))</f>
        <v/>
      </c>
    </row>
    <row r="148">
      <c r="B148" s="59" t="n">
        <v>63</v>
      </c>
      <c r="C148" s="6" t="str">
        <f>IF($B148&lt;=MAX(NERVADAS!$A$9:$A$48),"N · "&amp;INDEX(NERVADAS!$B$9:$B$48,MATCH($B148,NERVADAS!$A$9:$A$48,0)),IF($B148-MAX(NERVADAS!$A$9:$A$48)&lt;=MAX(MACIZAS!$A$9:$A$48),"M · "&amp;INDEX(MACIZAS!$B$9:$B$48,MATCH($B148-MAX(NERVADAS!$A$9:$A$48),MACIZAS!$A$9:$A$48,0)),""))</f>
        <v/>
      </c>
    </row>
    <row r="149">
      <c r="B149" s="59" t="n">
        <v>64</v>
      </c>
      <c r="C149" s="6" t="str">
        <f>IF($B149&lt;=MAX(NERVADAS!$A$9:$A$48),"N · "&amp;INDEX(NERVADAS!$B$9:$B$48,MATCH($B149,NERVADAS!$A$9:$A$48,0)),IF($B149-MAX(NERVADAS!$A$9:$A$48)&lt;=MAX(MACIZAS!$A$9:$A$48),"M · "&amp;INDEX(MACIZAS!$B$9:$B$48,MATCH($B149-MAX(NERVADAS!$A$9:$A$48),MACIZAS!$A$9:$A$48,0)),""))</f>
        <v/>
      </c>
    </row>
    <row r="150">
      <c r="B150" s="59" t="n">
        <v>65</v>
      </c>
      <c r="C150" s="6" t="str">
        <f>IF($B150&lt;=MAX(NERVADAS!$A$9:$A$48),"N · "&amp;INDEX(NERVADAS!$B$9:$B$48,MATCH($B150,NERVADAS!$A$9:$A$48,0)),IF($B150-MAX(NERVADAS!$A$9:$A$48)&lt;=MAX(MACIZAS!$A$9:$A$48),"M · "&amp;INDEX(MACIZAS!$B$9:$B$48,MATCH($B150-MAX(NERVADAS!$A$9:$A$48),MACIZAS!$A$9:$A$48,0)),""))</f>
        <v/>
      </c>
    </row>
    <row r="151">
      <c r="B151" s="59" t="n">
        <v>66</v>
      </c>
      <c r="C151" s="6" t="str">
        <f>IF($B151&lt;=MAX(NERVADAS!$A$9:$A$48),"N · "&amp;INDEX(NERVADAS!$B$9:$B$48,MATCH($B151,NERVADAS!$A$9:$A$48,0)),IF($B151-MAX(NERVADAS!$A$9:$A$48)&lt;=MAX(MACIZAS!$A$9:$A$48),"M · "&amp;INDEX(MACIZAS!$B$9:$B$48,MATCH($B151-MAX(NERVADAS!$A$9:$A$48),MACIZAS!$A$9:$A$48,0)),""))</f>
        <v/>
      </c>
    </row>
    <row r="152">
      <c r="B152" s="59" t="n">
        <v>67</v>
      </c>
      <c r="C152" s="6" t="str">
        <f>IF($B152&lt;=MAX(NERVADAS!$A$9:$A$48),"N · "&amp;INDEX(NERVADAS!$B$9:$B$48,MATCH($B152,NERVADAS!$A$9:$A$48,0)),IF($B152-MAX(NERVADAS!$A$9:$A$48)&lt;=MAX(MACIZAS!$A$9:$A$48),"M · "&amp;INDEX(MACIZAS!$B$9:$B$48,MATCH($B152-MAX(NERVADAS!$A$9:$A$48),MACIZAS!$A$9:$A$48,0)),""))</f>
        <v/>
      </c>
    </row>
    <row r="153">
      <c r="B153" s="59" t="n">
        <v>68</v>
      </c>
      <c r="C153" s="6" t="str">
        <f>IF($B153&lt;=MAX(NERVADAS!$A$9:$A$48),"N · "&amp;INDEX(NERVADAS!$B$9:$B$48,MATCH($B153,NERVADAS!$A$9:$A$48,0)),IF($B153-MAX(NERVADAS!$A$9:$A$48)&lt;=MAX(MACIZAS!$A$9:$A$48),"M · "&amp;INDEX(MACIZAS!$B$9:$B$48,MATCH($B153-MAX(NERVADAS!$A$9:$A$48),MACIZAS!$A$9:$A$48,0)),""))</f>
        <v/>
      </c>
    </row>
    <row r="154">
      <c r="B154" s="59" t="n">
        <v>69</v>
      </c>
      <c r="C154" s="6" t="str">
        <f>IF($B154&lt;=MAX(NERVADAS!$A$9:$A$48),"N · "&amp;INDEX(NERVADAS!$B$9:$B$48,MATCH($B154,NERVADAS!$A$9:$A$48,0)),IF($B154-MAX(NERVADAS!$A$9:$A$48)&lt;=MAX(MACIZAS!$A$9:$A$48),"M · "&amp;INDEX(MACIZAS!$B$9:$B$48,MATCH($B154-MAX(NERVADAS!$A$9:$A$48),MACIZAS!$A$9:$A$48,0)),""))</f>
        <v/>
      </c>
    </row>
    <row r="155">
      <c r="B155" s="59" t="n">
        <v>70</v>
      </c>
      <c r="C155" s="6" t="str">
        <f>IF($B155&lt;=MAX(NERVADAS!$A$9:$A$48),"N · "&amp;INDEX(NERVADAS!$B$9:$B$48,MATCH($B155,NERVADAS!$A$9:$A$48,0)),IF($B155-MAX(NERVADAS!$A$9:$A$48)&lt;=MAX(MACIZAS!$A$9:$A$48),"M · "&amp;INDEX(MACIZAS!$B$9:$B$48,MATCH($B155-MAX(NERVADAS!$A$9:$A$48),MACIZAS!$A$9:$A$48,0)),""))</f>
        <v/>
      </c>
    </row>
    <row r="156">
      <c r="B156" s="59" t="n">
        <v>71</v>
      </c>
      <c r="C156" s="6" t="str">
        <f>IF($B156&lt;=MAX(NERVADAS!$A$9:$A$48),"N · "&amp;INDEX(NERVADAS!$B$9:$B$48,MATCH($B156,NERVADAS!$A$9:$A$48,0)),IF($B156-MAX(NERVADAS!$A$9:$A$48)&lt;=MAX(MACIZAS!$A$9:$A$48),"M · "&amp;INDEX(MACIZAS!$B$9:$B$48,MATCH($B156-MAX(NERVADAS!$A$9:$A$48),MACIZAS!$A$9:$A$48,0)),""))</f>
        <v/>
      </c>
    </row>
    <row r="157">
      <c r="B157" s="59" t="n">
        <v>72</v>
      </c>
      <c r="C157" s="6" t="str">
        <f>IF($B157&lt;=MAX(NERVADAS!$A$9:$A$48),"N · "&amp;INDEX(NERVADAS!$B$9:$B$48,MATCH($B157,NERVADAS!$A$9:$A$48,0)),IF($B157-MAX(NERVADAS!$A$9:$A$48)&lt;=MAX(MACIZAS!$A$9:$A$48),"M · "&amp;INDEX(MACIZAS!$B$9:$B$48,MATCH($B157-MAX(NERVADAS!$A$9:$A$48),MACIZAS!$A$9:$A$48,0)),""))</f>
        <v/>
      </c>
    </row>
    <row r="158">
      <c r="B158" s="59" t="n">
        <v>73</v>
      </c>
      <c r="C158" s="6" t="str">
        <f>IF($B158&lt;=MAX(NERVADAS!$A$9:$A$48),"N · "&amp;INDEX(NERVADAS!$B$9:$B$48,MATCH($B158,NERVADAS!$A$9:$A$48,0)),IF($B158-MAX(NERVADAS!$A$9:$A$48)&lt;=MAX(MACIZAS!$A$9:$A$48),"M · "&amp;INDEX(MACIZAS!$B$9:$B$48,MATCH($B158-MAX(NERVADAS!$A$9:$A$48),MACIZAS!$A$9:$A$48,0)),""))</f>
        <v/>
      </c>
    </row>
    <row r="159">
      <c r="B159" s="59" t="n">
        <v>74</v>
      </c>
      <c r="C159" s="6" t="str">
        <f>IF($B159&lt;=MAX(NERVADAS!$A$9:$A$48),"N · "&amp;INDEX(NERVADAS!$B$9:$B$48,MATCH($B159,NERVADAS!$A$9:$A$48,0)),IF($B159-MAX(NERVADAS!$A$9:$A$48)&lt;=MAX(MACIZAS!$A$9:$A$48),"M · "&amp;INDEX(MACIZAS!$B$9:$B$48,MATCH($B159-MAX(NERVADAS!$A$9:$A$48),MACIZAS!$A$9:$A$48,0)),""))</f>
        <v/>
      </c>
    </row>
    <row r="160">
      <c r="B160" s="59" t="n">
        <v>75</v>
      </c>
      <c r="C160" s="6" t="str">
        <f>IF($B160&lt;=MAX(NERVADAS!$A$9:$A$48),"N · "&amp;INDEX(NERVADAS!$B$9:$B$48,MATCH($B160,NERVADAS!$A$9:$A$48,0)),IF($B160-MAX(NERVADAS!$A$9:$A$48)&lt;=MAX(MACIZAS!$A$9:$A$48),"M · "&amp;INDEX(MACIZAS!$B$9:$B$48,MATCH($B160-MAX(NERVADAS!$A$9:$A$48),MACIZAS!$A$9:$A$48,0)),""))</f>
        <v/>
      </c>
    </row>
    <row r="161">
      <c r="B161" s="59" t="n">
        <v>76</v>
      </c>
      <c r="C161" s="6" t="str">
        <f>IF($B161&lt;=MAX(NERVADAS!$A$9:$A$48),"N · "&amp;INDEX(NERVADAS!$B$9:$B$48,MATCH($B161,NERVADAS!$A$9:$A$48,0)),IF($B161-MAX(NERVADAS!$A$9:$A$48)&lt;=MAX(MACIZAS!$A$9:$A$48),"M · "&amp;INDEX(MACIZAS!$B$9:$B$48,MATCH($B161-MAX(NERVADAS!$A$9:$A$48),MACIZAS!$A$9:$A$48,0)),""))</f>
        <v/>
      </c>
    </row>
    <row r="162">
      <c r="B162" s="59" t="n">
        <v>77</v>
      </c>
      <c r="C162" s="6" t="str">
        <f>IF($B162&lt;=MAX(NERVADAS!$A$9:$A$48),"N · "&amp;INDEX(NERVADAS!$B$9:$B$48,MATCH($B162,NERVADAS!$A$9:$A$48,0)),IF($B162-MAX(NERVADAS!$A$9:$A$48)&lt;=MAX(MACIZAS!$A$9:$A$48),"M · "&amp;INDEX(MACIZAS!$B$9:$B$48,MATCH($B162-MAX(NERVADAS!$A$9:$A$48),MACIZAS!$A$9:$A$48,0)),""))</f>
        <v/>
      </c>
    </row>
    <row r="163">
      <c r="B163" s="59" t="n">
        <v>78</v>
      </c>
      <c r="C163" s="6" t="str">
        <f>IF($B163&lt;=MAX(NERVADAS!$A$9:$A$48),"N · "&amp;INDEX(NERVADAS!$B$9:$B$48,MATCH($B163,NERVADAS!$A$9:$A$48,0)),IF($B163-MAX(NERVADAS!$A$9:$A$48)&lt;=MAX(MACIZAS!$A$9:$A$48),"M · "&amp;INDEX(MACIZAS!$B$9:$B$48,MATCH($B163-MAX(NERVADAS!$A$9:$A$48),MACIZAS!$A$9:$A$48,0)),""))</f>
        <v/>
      </c>
    </row>
    <row r="164">
      <c r="B164" s="59" t="n">
        <v>79</v>
      </c>
      <c r="C164" s="6" t="str">
        <f>IF($B164&lt;=MAX(NERVADAS!$A$9:$A$48),"N · "&amp;INDEX(NERVADAS!$B$9:$B$48,MATCH($B164,NERVADAS!$A$9:$A$48,0)),IF($B164-MAX(NERVADAS!$A$9:$A$48)&lt;=MAX(MACIZAS!$A$9:$A$48),"M · "&amp;INDEX(MACIZAS!$B$9:$B$48,MATCH($B164-MAX(NERVADAS!$A$9:$A$48),MACIZAS!$A$9:$A$48,0)),""))</f>
        <v/>
      </c>
    </row>
    <row r="165">
      <c r="B165" s="59" t="n">
        <v>80</v>
      </c>
      <c r="C165" s="6" t="str">
        <f>IF($B165&lt;=MAX(NERVADAS!$A$9:$A$48),"N · "&amp;INDEX(NERVADAS!$B$9:$B$48,MATCH($B165,NERVADAS!$A$9:$A$48,0)),IF($B165-MAX(NERVADAS!$A$9:$A$48)&lt;=MAX(MACIZAS!$A$9:$A$48),"M · "&amp;INDEX(MACIZAS!$B$9:$B$48,MATCH($B165-MAX(NERVADAS!$A$9:$A$48),MACIZAS!$A$9:$A$48,0)),""))</f>
        <v/>
      </c>
    </row>
  </sheetData>
  <mergeCells count="22">
    <mergeCell ref="B84:K84"/>
    <mergeCell ref="J57:K57"/>
    <mergeCell ref="F66:K66"/>
    <mergeCell ref="F62:K62"/>
    <mergeCell ref="B4:K4"/>
    <mergeCell ref="B50:K50"/>
    <mergeCell ref="J53:K53"/>
    <mergeCell ref="J55:K55"/>
    <mergeCell ref="B59:K59"/>
    <mergeCell ref="J54:K54"/>
    <mergeCell ref="B70:K70"/>
    <mergeCell ref="B2:K2"/>
    <mergeCell ref="B48:K48"/>
    <mergeCell ref="F64:K64"/>
    <mergeCell ref="J56:K56"/>
    <mergeCell ref="B61:K61"/>
    <mergeCell ref="F63:K63"/>
    <mergeCell ref="B1:K1"/>
    <mergeCell ref="F65:K65"/>
    <mergeCell ref="J51:K51"/>
    <mergeCell ref="J58:K58"/>
    <mergeCell ref="J52:K52"/>
  </mergeCells>
  <printOptions horizontalCentered="1"/>
  <pageMargins left="0.4" right="0.4" top="0.5" bottom="0.5" header="0.5" footer="0.5"/>
  <pageSetup orientation="landscape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C665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84" t="inlineStr">
        <is>
          <t>COORDENADAS DE LOS DIBUJOS DE LA HOJA CROQUIS (las genera el libro; no se tocan)</t>
        </is>
      </c>
    </row>
    <row r="2">
      <c r="A2" s="85" t="inlineStr">
        <is>
          <t>Cada par de columnas es un trazo continuo; las filas que sobran repiten el último punto. Un trazo que no aplica se manda a −1000 (fuera del dibujo). Planta: cuadro de 0 a 100 con la misma escala en X y Y; u = dirección del claro corto, v = la del largo.</t>
        </is>
      </c>
    </row>
    <row r="4">
      <c r="A4" t="inlineStr">
        <is>
          <t>k</t>
        </is>
      </c>
      <c r="B4" t="inlineStr">
        <is>
          <t>Ncontorno x</t>
        </is>
      </c>
      <c r="C4" t="inlineStr">
        <is>
          <t>Ncontorno y</t>
        </is>
      </c>
      <c r="D4" t="inlineStr">
        <is>
          <t>Napoyo x</t>
        </is>
      </c>
      <c r="E4" t="inlineStr">
        <is>
          <t>Napoyo y</t>
        </is>
      </c>
      <c r="F4" t="inlineStr">
        <is>
          <t>Nachurado x</t>
        </is>
      </c>
      <c r="G4" t="inlineStr">
        <is>
          <t>Nachurado y</t>
        </is>
      </c>
      <c r="H4" t="inlineStr">
        <is>
          <t>Nrespaldo x</t>
        </is>
      </c>
      <c r="I4" t="inlineStr">
        <is>
          <t>Nrespaldo y</t>
        </is>
      </c>
      <c r="J4" t="inlineStr">
        <is>
          <t>Ncarga x</t>
        </is>
      </c>
      <c r="K4" t="inlineStr">
        <is>
          <t>Ncarga y</t>
        </is>
      </c>
      <c r="L4" t="inlineStr">
        <is>
          <t>Ncota_ax x</t>
        </is>
      </c>
      <c r="M4" t="inlineStr">
        <is>
          <t>Ncota_ax y</t>
        </is>
      </c>
      <c r="N4" t="inlineStr">
        <is>
          <t>Ncota_ay x</t>
        </is>
      </c>
      <c r="O4" t="inlineStr">
        <is>
          <t>Ncota_ay y</t>
        </is>
      </c>
      <c r="P4" t="inlineStr">
        <is>
          <t>Mcontorno x</t>
        </is>
      </c>
      <c r="Q4" t="inlineStr">
        <is>
          <t>Mcontorno y</t>
        </is>
      </c>
      <c r="R4" t="inlineStr">
        <is>
          <t>Mapoyo x</t>
        </is>
      </c>
      <c r="S4" t="inlineStr">
        <is>
          <t>Mapoyo y</t>
        </is>
      </c>
      <c r="T4" t="inlineStr">
        <is>
          <t>Machurado x</t>
        </is>
      </c>
      <c r="U4" t="inlineStr">
        <is>
          <t>Machurado y</t>
        </is>
      </c>
      <c r="V4" t="inlineStr">
        <is>
          <t>Mrespaldo x</t>
        </is>
      </c>
      <c r="W4" t="inlineStr">
        <is>
          <t>Mrespaldo y</t>
        </is>
      </c>
      <c r="X4" t="inlineStr">
        <is>
          <t>Mcarga x</t>
        </is>
      </c>
      <c r="Y4" t="inlineStr">
        <is>
          <t>Mcarga y</t>
        </is>
      </c>
      <c r="Z4" t="inlineStr">
        <is>
          <t>Mcota_ax x</t>
        </is>
      </c>
      <c r="AA4" t="inlineStr">
        <is>
          <t>Mcota_ax y</t>
        </is>
      </c>
      <c r="AB4" t="inlineStr">
        <is>
          <t>Mcota_ay x</t>
        </is>
      </c>
      <c r="AC4" t="inlineStr">
        <is>
          <t>Mcota_ay y</t>
        </is>
      </c>
      <c r="AD4" t="inlineStr">
        <is>
          <t>Nresp x</t>
        </is>
      </c>
      <c r="AE4" t="inlineStr">
        <is>
          <t>Nresp y</t>
        </is>
      </c>
      <c r="AF4" t="inlineStr">
        <is>
          <t>Ncas_v x</t>
        </is>
      </c>
      <c r="AG4" t="inlineStr">
        <is>
          <t>Ncas_v y</t>
        </is>
      </c>
      <c r="AH4" t="inlineStr">
        <is>
          <t>Ncas_h x</t>
        </is>
      </c>
      <c r="AI4" t="inlineStr">
        <is>
          <t>Ncas_h y</t>
        </is>
      </c>
      <c r="AJ4" t="inlineStr">
        <is>
          <t>Neje_v x</t>
        </is>
      </c>
      <c r="AK4" t="inlineStr">
        <is>
          <t>Neje_v y</t>
        </is>
      </c>
      <c r="AL4" t="inlineStr">
        <is>
          <t>Neje_h x</t>
        </is>
      </c>
      <c r="AM4" t="inlineStr">
        <is>
          <t>Neje_h y</t>
        </is>
      </c>
      <c r="AN4" t="inlineStr">
        <is>
          <t>Nmacizo x</t>
        </is>
      </c>
      <c r="AO4" t="inlineStr">
        <is>
          <t>Nmacizo y</t>
        </is>
      </c>
      <c r="AP4" t="inlineStr">
        <is>
          <t>Nc_inf x</t>
        </is>
      </c>
      <c r="AQ4" t="inlineStr">
        <is>
          <t>Nc_inf y</t>
        </is>
      </c>
      <c r="AR4" t="inlineStr">
        <is>
          <t>Nc_sup x</t>
        </is>
      </c>
      <c r="AS4" t="inlineStr">
        <is>
          <t>Nc_sup y</t>
        </is>
      </c>
      <c r="AT4" t="inlineStr">
        <is>
          <t>Nc_b0 x</t>
        </is>
      </c>
      <c r="AU4" t="inlineStr">
        <is>
          <t>Nc_b0 y</t>
        </is>
      </c>
      <c r="AV4" t="inlineStr">
        <is>
          <t>Nc_b1 x</t>
        </is>
      </c>
      <c r="AW4" t="inlineStr">
        <is>
          <t>Nc_b1 y</t>
        </is>
      </c>
      <c r="AX4" t="inlineStr">
        <is>
          <t>Nl_inf x</t>
        </is>
      </c>
      <c r="AY4" t="inlineStr">
        <is>
          <t>Nl_inf y</t>
        </is>
      </c>
      <c r="AZ4" t="inlineStr">
        <is>
          <t>Nl_sup x</t>
        </is>
      </c>
      <c r="BA4" t="inlineStr">
        <is>
          <t>Nl_sup y</t>
        </is>
      </c>
      <c r="BB4" t="inlineStr">
        <is>
          <t>Nl_b0 x</t>
        </is>
      </c>
      <c r="BC4" t="inlineStr">
        <is>
          <t>Nl_b0 y</t>
        </is>
      </c>
      <c r="BD4" t="inlineStr">
        <is>
          <t>Nl_b1 x</t>
        </is>
      </c>
      <c r="BE4" t="inlineStr">
        <is>
          <t>Nl_b1 y</t>
        </is>
      </c>
      <c r="BF4" t="inlineStr">
        <is>
          <t>Ncota_s x</t>
        </is>
      </c>
      <c r="BG4" t="inlineStr">
        <is>
          <t>Ncota_s y</t>
        </is>
      </c>
      <c r="BH4" t="inlineStr">
        <is>
          <t>Mc_inf x</t>
        </is>
      </c>
      <c r="BI4" t="inlineStr">
        <is>
          <t>Mc_inf y</t>
        </is>
      </c>
      <c r="BJ4" t="inlineStr">
        <is>
          <t>Ml_inf x</t>
        </is>
      </c>
      <c r="BK4" t="inlineStr">
        <is>
          <t>Ml_inf y</t>
        </is>
      </c>
      <c r="BL4" t="inlineStr">
        <is>
          <t>Mc_b0 x</t>
        </is>
      </c>
      <c r="BM4" t="inlineStr">
        <is>
          <t>Mc_b0 y</t>
        </is>
      </c>
      <c r="BN4" t="inlineStr">
        <is>
          <t>Mc_b1 x</t>
        </is>
      </c>
      <c r="BO4" t="inlineStr">
        <is>
          <t>Mc_b1 y</t>
        </is>
      </c>
      <c r="BP4" t="inlineStr">
        <is>
          <t>Ml_b0 x</t>
        </is>
      </c>
      <c r="BQ4" t="inlineStr">
        <is>
          <t>Ml_b0 y</t>
        </is>
      </c>
      <c r="BR4" t="inlineStr">
        <is>
          <t>Ml_b1 x</t>
        </is>
      </c>
      <c r="BS4" t="inlineStr">
        <is>
          <t>Ml_b1 y</t>
        </is>
      </c>
      <c r="BT4" t="inlineStr">
        <is>
          <t>Mvol_sup x</t>
        </is>
      </c>
      <c r="BU4" t="inlineStr">
        <is>
          <t>Mvol_sup y</t>
        </is>
      </c>
      <c r="BV4" t="inlineStr">
        <is>
          <t>Kconc x</t>
        </is>
      </c>
      <c r="BW4" t="inlineStr">
        <is>
          <t>Kconc y</t>
        </is>
      </c>
      <c r="BX4" t="inlineStr">
        <is>
          <t>Kcas1 x</t>
        </is>
      </c>
      <c r="BY4" t="inlineStr">
        <is>
          <t>Kcas1 y</t>
        </is>
      </c>
      <c r="BZ4" t="inlineStr">
        <is>
          <t>Kcas2 x</t>
        </is>
      </c>
      <c r="CA4" t="inlineStr">
        <is>
          <t>Kcas2 y</t>
        </is>
      </c>
      <c r="CB4" t="inlineStr">
        <is>
          <t>Kmalla x</t>
        </is>
      </c>
      <c r="CC4" t="inlineStr">
        <is>
          <t>Kmalla y</t>
        </is>
      </c>
      <c r="CD4" t="inlineStr">
        <is>
          <t>KPc1 x</t>
        </is>
      </c>
      <c r="CE4" t="inlineStr">
        <is>
          <t>KPc1 y</t>
        </is>
      </c>
      <c r="CF4" t="inlineStr">
        <is>
          <t>KPc2 x</t>
        </is>
      </c>
      <c r="CG4" t="inlineStr">
        <is>
          <t>KPc2 y</t>
        </is>
      </c>
      <c r="CH4" t="inlineStr">
        <is>
          <t>KPc3 x</t>
        </is>
      </c>
      <c r="CI4" t="inlineStr">
        <is>
          <t>KPc3 y</t>
        </is>
      </c>
      <c r="CJ4" t="inlineStr">
        <is>
          <t>KNc1 x</t>
        </is>
      </c>
      <c r="CK4" t="inlineStr">
        <is>
          <t>KNc1 y</t>
        </is>
      </c>
      <c r="CL4" t="inlineStr">
        <is>
          <t>KNc2 x</t>
        </is>
      </c>
      <c r="CM4" t="inlineStr">
        <is>
          <t>KNc2 y</t>
        </is>
      </c>
      <c r="CN4" t="inlineStr">
        <is>
          <t>KNc3 x</t>
        </is>
      </c>
      <c r="CO4" t="inlineStr">
        <is>
          <t>KNc3 y</t>
        </is>
      </c>
      <c r="CP4" t="inlineStr">
        <is>
          <t>Kc_bw x</t>
        </is>
      </c>
      <c r="CQ4" t="inlineStr">
        <is>
          <t>Kc_bw y</t>
        </is>
      </c>
      <c r="CR4" t="inlineStr">
        <is>
          <t>Kc_s x</t>
        </is>
      </c>
      <c r="CS4" t="inlineStr">
        <is>
          <t>Kc_s y</t>
        </is>
      </c>
      <c r="CT4" t="inlineStr">
        <is>
          <t>Kc_h x</t>
        </is>
      </c>
      <c r="CU4" t="inlineStr">
        <is>
          <t>Kc_h y</t>
        </is>
      </c>
      <c r="CV4" t="inlineStr">
        <is>
          <t>Kc_d x</t>
        </is>
      </c>
      <c r="CW4" t="inlineStr">
        <is>
          <t>Kc_d y</t>
        </is>
      </c>
      <c r="CX4" t="inlineStr">
        <is>
          <t>Lconc x</t>
        </is>
      </c>
      <c r="CY4" t="inlineStr">
        <is>
          <t>Lconc y</t>
        </is>
      </c>
      <c r="CZ4" t="inlineStr">
        <is>
          <t>LPc x</t>
        </is>
      </c>
      <c r="DA4" t="inlineStr">
        <is>
          <t>LPc y</t>
        </is>
      </c>
      <c r="DB4" t="inlineStr">
        <is>
          <t>LPl x</t>
        </is>
      </c>
      <c r="DC4" t="inlineStr">
        <is>
          <t>LPl y</t>
        </is>
      </c>
      <c r="DD4" t="inlineStr">
        <is>
          <t>LNl x</t>
        </is>
      </c>
      <c r="DE4" t="inlineStr">
        <is>
          <t>LNl y</t>
        </is>
      </c>
      <c r="DF4" t="inlineStr">
        <is>
          <t>LNc x</t>
        </is>
      </c>
      <c r="DG4" t="inlineStr">
        <is>
          <t>LNc y</t>
        </is>
      </c>
      <c r="DH4" t="inlineStr">
        <is>
          <t>Lc_h x</t>
        </is>
      </c>
      <c r="DI4" t="inlineStr">
        <is>
          <t>Lc_h y</t>
        </is>
      </c>
      <c r="DJ4" t="inlineStr">
        <is>
          <t>Lc_rb x</t>
        </is>
      </c>
      <c r="DK4" t="inlineStr">
        <is>
          <t>Lc_rb y</t>
        </is>
      </c>
      <c r="DL4" t="inlineStr">
        <is>
          <t>Lc_rt x</t>
        </is>
      </c>
      <c r="DM4" t="inlineStr">
        <is>
          <t>Lc_rt y</t>
        </is>
      </c>
      <c r="DN4" t="inlineStr">
        <is>
          <t>Lc_s x</t>
        </is>
      </c>
      <c r="DO4" t="inlineStr">
        <is>
          <t>Lc_s y</t>
        </is>
      </c>
      <c r="DP4" t="inlineStr">
        <is>
          <t>NAlosa x</t>
        </is>
      </c>
      <c r="DQ4" t="inlineStr">
        <is>
          <t>NAlosa y</t>
        </is>
      </c>
      <c r="DR4" t="inlineStr">
        <is>
          <t>NAapoyo x</t>
        </is>
      </c>
      <c r="DS4" t="inlineStr">
        <is>
          <t>NAapoyo y</t>
        </is>
      </c>
      <c r="DT4" t="inlineStr">
        <is>
          <t>NAinf x</t>
        </is>
      </c>
      <c r="DU4" t="inlineStr">
        <is>
          <t>NAinf y</t>
        </is>
      </c>
      <c r="DV4" t="inlineStr">
        <is>
          <t>NAsup x</t>
        </is>
      </c>
      <c r="DW4" t="inlineStr">
        <is>
          <t>NAsup y</t>
        </is>
      </c>
      <c r="DX4" t="inlineStr">
        <is>
          <t>NAb0 x</t>
        </is>
      </c>
      <c r="DY4" t="inlineStr">
        <is>
          <t>NAb0 y</t>
        </is>
      </c>
      <c r="DZ4" t="inlineStr">
        <is>
          <t>NAb1 x</t>
        </is>
      </c>
      <c r="EA4" t="inlineStr">
        <is>
          <t>NAb1 y</t>
        </is>
      </c>
      <c r="EB4" t="inlineStr">
        <is>
          <t>NAcas x</t>
        </is>
      </c>
      <c r="EC4" t="inlineStr">
        <is>
          <t>NAcas y</t>
        </is>
      </c>
      <c r="ED4" t="inlineStr">
        <is>
          <t>NAmac x</t>
        </is>
      </c>
      <c r="EE4" t="inlineStr">
        <is>
          <t>NAmac y</t>
        </is>
      </c>
      <c r="EF4" t="inlineStr">
        <is>
          <t>NAc_a x</t>
        </is>
      </c>
      <c r="EG4" t="inlineStr">
        <is>
          <t>NAc_a y</t>
        </is>
      </c>
      <c r="EH4" t="inlineStr">
        <is>
          <t>NAc_L x</t>
        </is>
      </c>
      <c r="EI4" t="inlineStr">
        <is>
          <t>NAc_L y</t>
        </is>
      </c>
      <c r="EJ4" t="inlineStr">
        <is>
          <t>NAP x</t>
        </is>
      </c>
      <c r="EK4" t="inlineStr">
        <is>
          <t>NAP y</t>
        </is>
      </c>
      <c r="EL4" t="inlineStr">
        <is>
          <t>MAlosa x</t>
        </is>
      </c>
      <c r="EM4" t="inlineStr">
        <is>
          <t>MAlosa y</t>
        </is>
      </c>
      <c r="EN4" t="inlineStr">
        <is>
          <t>MAapoyo x</t>
        </is>
      </c>
      <c r="EO4" t="inlineStr">
        <is>
          <t>MAapoyo y</t>
        </is>
      </c>
      <c r="EP4" t="inlineStr">
        <is>
          <t>MAinf x</t>
        </is>
      </c>
      <c r="EQ4" t="inlineStr">
        <is>
          <t>MAinf y</t>
        </is>
      </c>
      <c r="ER4" t="inlineStr">
        <is>
          <t>MAsup x</t>
        </is>
      </c>
      <c r="ES4" t="inlineStr">
        <is>
          <t>MAsup y</t>
        </is>
      </c>
      <c r="ET4" t="inlineStr">
        <is>
          <t>MAb0 x</t>
        </is>
      </c>
      <c r="EU4" t="inlineStr">
        <is>
          <t>MAb0 y</t>
        </is>
      </c>
      <c r="EV4" t="inlineStr">
        <is>
          <t>MAb1 x</t>
        </is>
      </c>
      <c r="EW4" t="inlineStr">
        <is>
          <t>MAb1 y</t>
        </is>
      </c>
      <c r="EX4" t="inlineStr">
        <is>
          <t>MAc_a x</t>
        </is>
      </c>
      <c r="EY4" t="inlineStr">
        <is>
          <t>MAc_a y</t>
        </is>
      </c>
      <c r="EZ4" t="inlineStr">
        <is>
          <t>MAc_L x</t>
        </is>
      </c>
      <c r="FA4" t="inlineStr">
        <is>
          <t>MAc_L y</t>
        </is>
      </c>
      <c r="FB4" t="inlineStr">
        <is>
          <t>MAP x</t>
        </is>
      </c>
      <c r="FC4" t="inlineStr">
        <is>
          <t>MAP y</t>
        </is>
      </c>
    </row>
    <row r="8">
      <c r="A8" t="n">
        <v>1</v>
      </c>
      <c r="B8">
        <f>IF(AND(CROQUIS!$C$87=1),CHOOSE(MIN(MAX($A8,1),5),(CROQUIS!$C$156+(0)*CROQUIS!$C$155),(CROQUIS!$C$156+(CROQUIS!$C$95)*CROQUIS!$C$155),(CROQUIS!$C$156+(CROQUIS!$C$95)*CROQUIS!$C$155),(CROQUIS!$C$156+(0)*CROQUIS!$C$155),(CROQUIS!$C$156+(0)*CROQUIS!$C$155)),-1000)</f>
        <v>12</v>
      </c>
      <c r="C8">
        <f>IF(AND(CROQUIS!$C$87=1),CHOOSE(MIN(MAX($A8,1),5),(CROQUIS!$C$157+(0)*CROQUIS!$C$155),(CROQUIS!$C$157+(0)*CROQUIS!$C$155),(CROQUIS!$C$157+(CROQUIS!$C$96)*CROQUIS!$C$155),(CROQUIS!$C$157+(CROQUIS!$C$96)*CROQUIS!$C$155),(CROQUIS!$C$157+(0)*CROQUIS!$C$155)),-1000)</f>
        <v>15.6574785359241</v>
      </c>
      <c r="D8">
        <f>IF(AND(CROQUIS!$C$87=1),CHOOSE(MIN(MAX($A8,1),5),(CROQUIS!$C$156+(IF(CROQUIS!$C$91=1,CHOOSE(CROQUIS!$C$93,-CROQUIS!$C$107/2,CROQUIS!$C$95-CROQUIS!$C$107/2,0,0),CROQUIS!$C$107/2))*CROQUIS!$C$155),(CROQUIS!$C$156+(IF(CROQUIS!$C$91=1,CHOOSE(CROQUIS!$C$93,CROQUIS!$C$107/2,CROQUIS!$C$95+CROQUIS!$C$107/2,CROQUIS!$C$95,CROQUIS!$C$95),CROQUIS!$C$95-CROQUIS!$C$107/2))*CROQUIS!$C$155),(CROQUIS!$C$156+(IF(CROQUIS!$C$91=1,CHOOSE(CROQUIS!$C$93,CROQUIS!$C$107/2,CROQUIS!$C$95+CROQUIS!$C$107/2,CROQUIS!$C$95,CROQUIS!$C$95),CROQUIS!$C$95-CROQUIS!$C$107/2))*CROQUIS!$C$155),(CROQUIS!$C$156+(IF(CROQUIS!$C$91=1,CHOOSE(CROQUIS!$C$93,-CROQUIS!$C$107/2,CROQUIS!$C$95-CROQUIS!$C$107/2,0,0),CROQUIS!$C$107/2))*CROQUIS!$C$155),(CROQUIS!$C$156+(IF(CROQUIS!$C$91=1,CHOOSE(CROQUIS!$C$93,-CROQUIS!$C$107/2,CROQUIS!$C$95-CROQUIS!$C$107/2,0,0),CROQUIS!$C$107/2))*CROQUIS!$C$155)),-1000)</f>
        <v>13.2878445549028</v>
      </c>
      <c r="E8">
        <f>IF(AND(CROQUIS!$C$87=1),CHOOSE(MIN(MAX($A8,1),5),(CROQUIS!$C$157+(IF(CROQUIS!$C$91=1,CHOOSE(CROQUIS!$C$93,0,0,-CROQUIS!$C$107/2,CROQUIS!$C$96-CROQUIS!$C$107/2),CROQUIS!$C$107/2))*CROQUIS!$C$155),(CROQUIS!$C$157+(IF(CROQUIS!$C$91=1,CHOOSE(CROQUIS!$C$93,0,0,-CROQUIS!$C$107/2,CROQUIS!$C$96-CROQUIS!$C$107/2),CROQUIS!$C$107/2))*CROQUIS!$C$155),(CROQUIS!$C$157+(IF(CROQUIS!$C$91=1,CHOOSE(CROQUIS!$C$93,CROQUIS!$C$96,CROQUIS!$C$96,CROQUIS!$C$107/2,CROQUIS!$C$96+CROQUIS!$C$107/2),CROQUIS!$C$96-CROQUIS!$C$107/2))*CROQUIS!$C$155),(CROQUIS!$C$157+(IF(CROQUIS!$C$91=1,CHOOSE(CROQUIS!$C$93,CROQUIS!$C$96,CROQUIS!$C$96,CROQUIS!$C$107/2,CROQUIS!$C$96+CROQUIS!$C$107/2),CROQUIS!$C$96-CROQUIS!$C$107/2))*CROQUIS!$C$155),(CROQUIS!$C$157+(IF(CROQUIS!$C$91=1,CHOOSE(CROQUIS!$C$93,0,0,-CROQUIS!$C$107/2,CROQUIS!$C$96-CROQUIS!$C$107/2),CROQUIS!$C$107/2))*CROQUIS!$C$155)),-1000)</f>
        <v>16.9453230908269</v>
      </c>
      <c r="F8">
        <f>IF(AND(CROQUIS!$C$87=1,CROQUIS!$C$91=1),((CROQUIS!$C$156+(IF(CROQUIS!$C$92="X",IF(CROQUIS!$C$94=1,0,CROQUIS!$C$97)+IF(MOD($A8,2)=1,-CROQUIS!$C$107/2,CROQUIS!$C$107/2),(MIN($A8,41)-1)/40*CROQUIS!$C$98))*CROQUIS!$C$155)+IF(CROQUIS!$C$92="X",0,0)),-1000)</f>
        <v>-1000</v>
      </c>
      <c r="G8">
        <f>IF(AND(CROQUIS!$C$87=1,CROQUIS!$C$91=1),((CROQUIS!$C$157+(IF(CROQUIS!$C$92="X",(MIN($A8,41)-1)/40*CROQUIS!$C$98,IF(CROQUIS!$C$94=1,0,CROQUIS!$C$97)+IF(MOD($A8,2)=1,-CROQUIS!$C$107/2,CROQUIS!$C$107/2)))*CROQUIS!$C$155)+IF(CROQUIS!$C$92="X",0,0)),-1000)</f>
        <v>-1000</v>
      </c>
      <c r="H8">
        <f>IF(AND(CROQUIS!$C$87=1,CROQUIS!$C$91=1),CHOOSE(MIN(MAX($A8,1),5),(CROQUIS!$C$156+(CHOOSE(MAX(CROQUIS!$C$93,1),-CROQUIS!$C$150,CROQUIS!$C$95,0,0))*CROQUIS!$C$155),(CROQUIS!$C$156+(CHOOSE(MAX(CROQUIS!$C$93,1),0,CROQUIS!$C$95+CROQUIS!$C$150,CROQUIS!$C$95,CROQUIS!$C$95))*CROQUIS!$C$155),(CROQUIS!$C$156+(CHOOSE(MAX(CROQUIS!$C$93,1),0,CROQUIS!$C$95+CROQUIS!$C$150,CROQUIS!$C$95,CROQUIS!$C$95))*CROQUIS!$C$155),(CROQUIS!$C$156+(CHOOSE(MAX(CROQUIS!$C$93,1),-CROQUIS!$C$150,CROQUIS!$C$95,0,0))*CROQUIS!$C$155),(CROQUIS!$C$156+(CHOOSE(MAX(CROQUIS!$C$93,1),-CROQUIS!$C$150,CROQUIS!$C$95,0,0))*CROQUIS!$C$155)),-1000)</f>
        <v>-1000</v>
      </c>
      <c r="I8">
        <f>IF(AND(CROQUIS!$C$87=1,CROQUIS!$C$91=1),CHOOSE(MIN(MAX($A8,1),5),(CROQUIS!$C$157+(CHOOSE(MAX(CROQUIS!$C$93,1),0,0,-CROQUIS!$C$150,CROQUIS!$C$96))*CROQUIS!$C$155),(CROQUIS!$C$157+(CHOOSE(MAX(CROQUIS!$C$93,1),0,0,-CROQUIS!$C$150,CROQUIS!$C$96))*CROQUIS!$C$155),(CROQUIS!$C$157+(CHOOSE(MAX(CROQUIS!$C$93,1),CROQUIS!$C$96,CROQUIS!$C$96,0,CROQUIS!$C$96+CROQUIS!$C$150))*CROQUIS!$C$155),(CROQUIS!$C$157+(CHOOSE(MAX(CROQUIS!$C$93,1),CROQUIS!$C$96,CROQUIS!$C$96,0,CROQUIS!$C$96+CROQUIS!$C$150))*CROQUIS!$C$155),(CROQUIS!$C$157+(CHOOSE(MAX(CROQUIS!$C$93,1),0,0,-CROQUIS!$C$150,CROQUIS!$C$96))*CROQUIS!$C$155)),-1000)</f>
        <v>-1000</v>
      </c>
      <c r="J8">
        <f>IF(AND(CROQUIS!$C$87=1,CROQUIS!$C$91=1,CROQUIS!$C$148&gt;0),((CROQUIS!$C$156+(IF(CROQUIS!$C$92="X",IF(CROQUIS!$C$94=1,CROQUIS!$C$97,0),CHOOSE(MIN(MAX($A8,1),3),0,0.5,1)*CROQUIS!$C$98))*CROQUIS!$C$155)+IF(CROQUIS!$C$92="X",0,0)),-1000)</f>
        <v>-1000</v>
      </c>
      <c r="K8">
        <f>IF(AND(CROQUIS!$C$87=1,CROQUIS!$C$91=1,CROQUIS!$C$148&gt;0),((CROQUIS!$C$157+(IF(CROQUIS!$C$92="X",CHOOSE(MIN(MAX($A8,1),3),0,0.5,1)*CROQUIS!$C$98,IF(CROQUIS!$C$94=1,CROQUIS!$C$97,0)))*CROQUIS!$C$155)+IF(CROQUIS!$C$92="X",0,0)),-1000)</f>
        <v>-1000</v>
      </c>
      <c r="L8">
        <f>IF(AND(CROQUIS!$C$87=1),CHOOSE(MIN(MAX($A8,1)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12</v>
      </c>
      <c r="M8">
        <f>IF(AND(CROQUIS!$C$87=1),CHOOSE(MIN(MAX($A8,1)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9.25747853592409</v>
      </c>
      <c r="N8">
        <f>IF(AND(CROQUIS!$C$87=1),CHOOSE(MIN(MAX($A8,1)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5.6</v>
      </c>
      <c r="O8">
        <f>IF(AND(CROQUIS!$C$87=1),CHOOSE(MIN(MAX($A8,1)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15.6574785359241</v>
      </c>
      <c r="P8">
        <f>IF(AND(CROQUIS!$C$88=1),CHOOSE(MIN(MAX($A8,1),5),(CROQUIS!$C$156+(0)*CROQUIS!$C$155),(CROQUIS!$C$156+(CROQUIS!$C$95)*CROQUIS!$C$155),(CROQUIS!$C$156+(CROQUIS!$C$95)*CROQUIS!$C$155),(CROQUIS!$C$156+(0)*CROQUIS!$C$155),(CROQUIS!$C$156+(0)*CROQUIS!$C$155)),-1000)</f>
        <v>-1000</v>
      </c>
      <c r="Q8">
        <f>IF(AND(CROQUIS!$C$88=1),CHOOSE(MIN(MAX($A8,1),5),(CROQUIS!$C$157+(0)*CROQUIS!$C$155),(CROQUIS!$C$157+(0)*CROQUIS!$C$155),(CROQUIS!$C$157+(CROQUIS!$C$96)*CROQUIS!$C$155),(CROQUIS!$C$157+(CROQUIS!$C$96)*CROQUIS!$C$155),(CROQUIS!$C$157+(0)*CROQUIS!$C$155)),-1000)</f>
        <v>-1000</v>
      </c>
      <c r="R8">
        <f>IF(AND(CROQUIS!$C$88=1),CHOOSE(MIN(MAX($A8,1),5),(CROQUIS!$C$156+(IF(CROQUIS!$C$91=1,CHOOSE(CROQUIS!$C$93,-CROQUIS!$C$107/2,CROQUIS!$C$95-CROQUIS!$C$107/2,0,0),CROQUIS!$C$107/2))*CROQUIS!$C$155),(CROQUIS!$C$156+(IF(CROQUIS!$C$91=1,CHOOSE(CROQUIS!$C$93,CROQUIS!$C$107/2,CROQUIS!$C$95+CROQUIS!$C$107/2,CROQUIS!$C$95,CROQUIS!$C$95),CROQUIS!$C$95-CROQUIS!$C$107/2))*CROQUIS!$C$155),(CROQUIS!$C$156+(IF(CROQUIS!$C$91=1,CHOOSE(CROQUIS!$C$93,CROQUIS!$C$107/2,CROQUIS!$C$95+CROQUIS!$C$107/2,CROQUIS!$C$95,CROQUIS!$C$95),CROQUIS!$C$95-CROQUIS!$C$107/2))*CROQUIS!$C$155),(CROQUIS!$C$156+(IF(CROQUIS!$C$91=1,CHOOSE(CROQUIS!$C$93,-CROQUIS!$C$107/2,CROQUIS!$C$95-CROQUIS!$C$107/2,0,0),CROQUIS!$C$107/2))*CROQUIS!$C$155),(CROQUIS!$C$156+(IF(CROQUIS!$C$91=1,CHOOSE(CROQUIS!$C$93,-CROQUIS!$C$107/2,CROQUIS!$C$95-CROQUIS!$C$107/2,0,0),CROQUIS!$C$107/2))*CROQUIS!$C$155)),-1000)</f>
        <v>-1000</v>
      </c>
      <c r="S8">
        <f>IF(AND(CROQUIS!$C$88=1),CHOOSE(MIN(MAX($A8,1),5),(CROQUIS!$C$157+(IF(CROQUIS!$C$91=1,CHOOSE(CROQUIS!$C$93,0,0,-CROQUIS!$C$107/2,CROQUIS!$C$96-CROQUIS!$C$107/2),CROQUIS!$C$107/2))*CROQUIS!$C$155),(CROQUIS!$C$157+(IF(CROQUIS!$C$91=1,CHOOSE(CROQUIS!$C$93,0,0,-CROQUIS!$C$107/2,CROQUIS!$C$96-CROQUIS!$C$107/2),CROQUIS!$C$107/2))*CROQUIS!$C$155),(CROQUIS!$C$157+(IF(CROQUIS!$C$91=1,CHOOSE(CROQUIS!$C$93,CROQUIS!$C$96,CROQUIS!$C$96,CROQUIS!$C$107/2,CROQUIS!$C$96+CROQUIS!$C$107/2),CROQUIS!$C$96-CROQUIS!$C$107/2))*CROQUIS!$C$155),(CROQUIS!$C$157+(IF(CROQUIS!$C$91=1,CHOOSE(CROQUIS!$C$93,CROQUIS!$C$96,CROQUIS!$C$96,CROQUIS!$C$107/2,CROQUIS!$C$96+CROQUIS!$C$107/2),CROQUIS!$C$96-CROQUIS!$C$107/2))*CROQUIS!$C$155),(CROQUIS!$C$157+(IF(CROQUIS!$C$91=1,CHOOSE(CROQUIS!$C$93,0,0,-CROQUIS!$C$107/2,CROQUIS!$C$96-CROQUIS!$C$107/2),CROQUIS!$C$107/2))*CROQUIS!$C$155)),-1000)</f>
        <v>-1000</v>
      </c>
      <c r="T8">
        <f>IF(AND(CROQUIS!$C$88=1,CROQUIS!$C$91=1),((CROQUIS!$C$156+(IF(CROQUIS!$C$92="X",IF(CROQUIS!$C$94=1,0,CROQUIS!$C$97)+IF(MOD($A8,2)=1,-CROQUIS!$C$107/2,CROQUIS!$C$107/2),(MIN($A8,41)-1)/40*CROQUIS!$C$98))*CROQUIS!$C$155)+IF(CROQUIS!$C$92="X",0,0)),-1000)</f>
        <v>-1000</v>
      </c>
      <c r="U8">
        <f>IF(AND(CROQUIS!$C$88=1,CROQUIS!$C$91=1),((CROQUIS!$C$157+(IF(CROQUIS!$C$92="X",(MIN($A8,41)-1)/40*CROQUIS!$C$98,IF(CROQUIS!$C$94=1,0,CROQUIS!$C$97)+IF(MOD($A8,2)=1,-CROQUIS!$C$107/2,CROQUIS!$C$107/2)))*CROQUIS!$C$155)+IF(CROQUIS!$C$92="X",0,0)),-1000)</f>
        <v>-1000</v>
      </c>
      <c r="V8">
        <f>IF(AND(CROQUIS!$C$88=1,CROQUIS!$C$91=1),CHOOSE(MIN(MAX($A8,1),5),(CROQUIS!$C$156+(CHOOSE(MAX(CROQUIS!$C$93,1),-CROQUIS!$C$150,CROQUIS!$C$95,0,0))*CROQUIS!$C$155),(CROQUIS!$C$156+(CHOOSE(MAX(CROQUIS!$C$93,1),0,CROQUIS!$C$95+CROQUIS!$C$150,CROQUIS!$C$95,CROQUIS!$C$95))*CROQUIS!$C$155),(CROQUIS!$C$156+(CHOOSE(MAX(CROQUIS!$C$93,1),0,CROQUIS!$C$95+CROQUIS!$C$150,CROQUIS!$C$95,CROQUIS!$C$95))*CROQUIS!$C$155),(CROQUIS!$C$156+(CHOOSE(MAX(CROQUIS!$C$93,1),-CROQUIS!$C$150,CROQUIS!$C$95,0,0))*CROQUIS!$C$155),(CROQUIS!$C$156+(CHOOSE(MAX(CROQUIS!$C$93,1),-CROQUIS!$C$150,CROQUIS!$C$95,0,0))*CROQUIS!$C$155)),-1000)</f>
        <v>-1000</v>
      </c>
      <c r="W8">
        <f>IF(AND(CROQUIS!$C$88=1,CROQUIS!$C$91=1),CHOOSE(MIN(MAX($A8,1),5),(CROQUIS!$C$157+(CHOOSE(MAX(CROQUIS!$C$93,1),0,0,-CROQUIS!$C$150,CROQUIS!$C$96))*CROQUIS!$C$155),(CROQUIS!$C$157+(CHOOSE(MAX(CROQUIS!$C$93,1),0,0,-CROQUIS!$C$150,CROQUIS!$C$96))*CROQUIS!$C$155),(CROQUIS!$C$157+(CHOOSE(MAX(CROQUIS!$C$93,1),CROQUIS!$C$96,CROQUIS!$C$96,0,CROQUIS!$C$96+CROQUIS!$C$150))*CROQUIS!$C$155),(CROQUIS!$C$157+(CHOOSE(MAX(CROQUIS!$C$93,1),CROQUIS!$C$96,CROQUIS!$C$96,0,CROQUIS!$C$96+CROQUIS!$C$150))*CROQUIS!$C$155),(CROQUIS!$C$157+(CHOOSE(MAX(CROQUIS!$C$93,1),0,0,-CROQUIS!$C$150,CROQUIS!$C$96))*CROQUIS!$C$155)),-1000)</f>
        <v>-1000</v>
      </c>
      <c r="X8">
        <f>IF(AND(CROQUIS!$C$88=1,CROQUIS!$C$91=1,CROQUIS!$C$148&gt;0),((CROQUIS!$C$156+(IF(CROQUIS!$C$92="X",IF(CROQUIS!$C$94=1,CROQUIS!$C$97,0),CHOOSE(MIN(MAX($A8,1),3),0,0.5,1)*CROQUIS!$C$98))*CROQUIS!$C$155)+IF(CROQUIS!$C$92="X",0,0)),-1000)</f>
        <v>-1000</v>
      </c>
      <c r="Y8">
        <f>IF(AND(CROQUIS!$C$88=1,CROQUIS!$C$91=1,CROQUIS!$C$148&gt;0),((CROQUIS!$C$157+(IF(CROQUIS!$C$92="X",CHOOSE(MIN(MAX($A8,1),3),0,0.5,1)*CROQUIS!$C$98,IF(CROQUIS!$C$94=1,CROQUIS!$C$97,0)))*CROQUIS!$C$155)+IF(CROQUIS!$C$92="X",0,0)),-1000)</f>
        <v>-1000</v>
      </c>
      <c r="Z8">
        <f>IF(AND(CROQUIS!$C$88=1),CHOOSE(MIN(MAX($A8,1)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-1000</v>
      </c>
      <c r="AA8">
        <f>IF(AND(CROQUIS!$C$88=1),CHOOSE(MIN(MAX($A8,1)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-1000</v>
      </c>
      <c r="AB8">
        <f>IF(AND(CROQUIS!$C$88=1),CHOOSE(MIN(MAX($A8,1)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-1000</v>
      </c>
      <c r="AC8">
        <f>IF(AND(CROQUIS!$C$88=1),CHOOSE(MIN(MAX($A8,1)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-1000</v>
      </c>
      <c r="AD8">
        <f>IF(AND(CROQUIS!$C$87=1,CROQUIS!$C$91=1,CROQUIS!$C$144&gt;0),CHOOSE(MIN(MAX($A8,1),5),(CROQUIS!$C$156+(CHOOSE(MAX(CROQUIS!$C$93,1),-(CROQUIS!$C$107/2+CROQUIS!$C$144),CROQUIS!$C$95+CROQUIS!$C$107/2,0,0))*CROQUIS!$C$155),(CROQUIS!$C$156+(CHOOSE(MAX(CROQUIS!$C$93,1),-CROQUIS!$C$107/2,CROQUIS!$C$95+(CROQUIS!$C$107/2+CROQUIS!$C$144),CROQUIS!$C$95,CROQUIS!$C$95))*CROQUIS!$C$155),(CROQUIS!$C$156+(CHOOSE(MAX(CROQUIS!$C$93,1),-CROQUIS!$C$107/2,CROQUIS!$C$95+(CROQUIS!$C$107/2+CROQUIS!$C$144),CROQUIS!$C$95,CROQUIS!$C$95))*CROQUIS!$C$155),(CROQUIS!$C$156+(CHOOSE(MAX(CROQUIS!$C$93,1),-(CROQUIS!$C$107/2+CROQUIS!$C$144),CROQUIS!$C$95+CROQUIS!$C$107/2,0,0))*CROQUIS!$C$155),(CROQUIS!$C$156+(CHOOSE(MAX(CROQUIS!$C$93,1),-(CROQUIS!$C$107/2+CROQUIS!$C$144),CROQUIS!$C$95+CROQUIS!$C$107/2,0,0))*CROQUIS!$C$155)),-1000)</f>
        <v>-1000</v>
      </c>
      <c r="AE8">
        <f>IF(AND(CROQUIS!$C$87=1,CROQUIS!$C$91=1,CROQUIS!$C$144&gt;0),CHOOSE(MIN(MAX($A8,1),5),(CROQUIS!$C$157+(CHOOSE(MAX(CROQUIS!$C$93,1),0,0,-(CROQUIS!$C$107/2+CROQUIS!$C$144),CROQUIS!$C$96+CROQUIS!$C$107/2))*CROQUIS!$C$155),(CROQUIS!$C$157+(CHOOSE(MAX(CROQUIS!$C$93,1),0,0,-(CROQUIS!$C$107/2+CROQUIS!$C$144),CROQUIS!$C$96+CROQUIS!$C$107/2))*CROQUIS!$C$155),(CROQUIS!$C$157+(CHOOSE(MAX(CROQUIS!$C$93,1),CROQUIS!$C$96,CROQUIS!$C$96,-CROQUIS!$C$107/2,CROQUIS!$C$96+(CROQUIS!$C$107/2+CROQUIS!$C$144)))*CROQUIS!$C$155),(CROQUIS!$C$157+(CHOOSE(MAX(CROQUIS!$C$93,1),CROQUIS!$C$96,CROQUIS!$C$96,-CROQUIS!$C$107/2,CROQUIS!$C$96+(CROQUIS!$C$107/2+CROQUIS!$C$144)))*CROQUIS!$C$155),(CROQUIS!$C$157+(CHOOSE(MAX(CROQUIS!$C$93,1),0,0,-(CROQUIS!$C$107/2+CROQUIS!$C$144),CROQUIS!$C$96+CROQUIS!$C$107/2))*CROQUIS!$C$155)),-1000)</f>
        <v>-1000</v>
      </c>
      <c r="AF8">
        <f>IF(AND(CROQUIS!$C$87=1,CROQUIS!$C$158&gt;0,CROQUIS!$C$160&gt;0),(CROQUIS!$C$156+((CROQUIS!$C$159+INT(MIN(INT(($A8-1)/2),MAX((2*CROQUIS!$C$158)-1,0))/2)*CROQUIS!$C$113+MOD(MIN(INT(($A8-1)/2),MAX((2*CROQUIS!$C$158)-1,0)),2)*CROQUIS!$C$112))*CROQUIS!$C$155),-1000)</f>
        <v>14.7989154993222</v>
      </c>
      <c r="AG8">
        <f>IF(AND(CROQUIS!$C$87=1,CROQUIS!$C$158&gt;0,CROQUIS!$C$160&gt;0),(CROQUIS!$C$157+(IF(MOD(MIN(INT(($A8-1)/2),MAX((2*CROQUIS!$C$158)-1,0)),2)=0,IF(IF(INT(($A8-1)/2)&gt;MAX((2*CROQUIS!$C$158)-1,0),1,MOD($A8-1,2))=0,CROQUIS!$C$161,(CROQUIS!$C$161+CROQUIS!$C$160*CROQUIS!$C$113-CROQUIS!$C$111)),IF(IF(INT(($A8-1)/2)&gt;MAX((2*CROQUIS!$C$158)-1,0),1,MOD($A8-1,2))=0,(CROQUIS!$C$161+CROQUIS!$C$160*CROQUIS!$C$113-CROQUIS!$C$111),CROQUIS!$C$161)))*CROQUIS!$C$155),-1000)</f>
        <v>20.8088567555355</v>
      </c>
      <c r="AH8">
        <f>IF(AND(CROQUIS!$C$87=1,CROQUIS!$C$160&gt;0,CROQUIS!$C$158&gt;0),(CROQUIS!$C$156+(IF(MOD(MIN(INT(($A8-1)/2),MAX((2*CROQUIS!$C$160)-1,0)),2)=0,IF(IF(INT(($A8-1)/2)&gt;MAX((2*CROQUIS!$C$160)-1,0),1,MOD($A8-1,2))=0,CROQUIS!$C$159,(CROQUIS!$C$159+CROQUIS!$C$158*CROQUIS!$C$113-CROQUIS!$C$111)),IF(IF(INT(($A8-1)/2)&gt;MAX((2*CROQUIS!$C$160)-1,0),1,MOD($A8-1,2))=0,(CROQUIS!$C$159+CROQUIS!$C$158*CROQUIS!$C$113-CROQUIS!$C$111),CROQUIS!$C$159)))*CROQUIS!$C$155),-1000)</f>
        <v>14.7989154993222</v>
      </c>
      <c r="AI8">
        <f>IF(AND(CROQUIS!$C$87=1,CROQUIS!$C$160&gt;0,CROQUIS!$C$158&gt;0),(CROQUIS!$C$157+((CROQUIS!$C$161+INT(MIN(INT(($A8-1)/2),MAX((2*CROQUIS!$C$160)-1,0))/2)*CROQUIS!$C$113+MOD(MIN(INT(($A8-1)/2),MAX((2*CROQUIS!$C$160)-1,0)),2)*CROQUIS!$C$112))*CROQUIS!$C$155),-1000)</f>
        <v>20.8088567555355</v>
      </c>
      <c r="AJ8">
        <f>IF(AND(CROQUIS!$C$87=1,CROQUIS!$C$158&gt;=2),(CROQUIS!$C$156+((CROQUIS!$C$159+CROQUIS!$C$112+CROQUIS!$C$111/2+MIN(INT(($A8-1)/2),MAX((CROQUIS!$C$158-1)-1,0))*CROQUIS!$C$113))*CROQUIS!$C$155),-1000)</f>
        <v>25.9602349751469</v>
      </c>
      <c r="AK8">
        <f>IF(AND(CROQUIS!$C$87=1,CROQUIS!$C$158&gt;=2),(CROQUIS!$C$157+(IF(MOD(MIN(INT(($A8-1)/2),MAX((CROQUIS!$C$158-1)-1,0)),2)=0,IF(IF(INT(($A8-1)/2)&gt;MAX((CROQUIS!$C$158-1)-1,0),1,MOD($A8-1,2))=0,CROQUIS!$C$107/2,(CROQUIS!$C$96-CROQUIS!$C$107/2)),IF(IF(INT(($A8-1)/2)&gt;MAX((CROQUIS!$C$158-1)-1,0),1,MOD($A8-1,2))=0,(CROQUIS!$C$96-CROQUIS!$C$107/2),CROQUIS!$C$107/2)))*CROQUIS!$C$155),-1000)</f>
        <v>16.9453230908269</v>
      </c>
      <c r="AL8">
        <f>IF(AND(CROQUIS!$C$87=1,CROQUIS!$C$160&gt;=2),(CROQUIS!$C$156+(IF(MOD(MIN(INT(($A8-1)/2),MAX((CROQUIS!$C$160-1)-1,0)),2)=0,IF(IF(INT(($A8-1)/2)&gt;MAX((CROQUIS!$C$160-1)-1,0),1,MOD($A8-1,2))=0,CROQUIS!$C$107/2,(CROQUIS!$C$95-CROQUIS!$C$107/2)),IF(IF(INT(($A8-1)/2)&gt;MAX((CROQUIS!$C$160-1)-1,0),1,MOD($A8-1,2))=0,(CROQUIS!$C$95-CROQUIS!$C$107/2),CROQUIS!$C$107/2)))*CROQUIS!$C$155),-1000)</f>
        <v>13.2878445549028</v>
      </c>
      <c r="AM8">
        <f>IF(AND(CROQUIS!$C$87=1,CROQUIS!$C$160&gt;=2),(CROQUIS!$C$157+((CROQUIS!$C$161+CROQUIS!$C$112+CROQUIS!$C$111/2+MIN(INT(($A8-1)/2),MAX((CROQUIS!$C$160-1)-1,0))*CROQUIS!$C$113))*CROQUIS!$C$155),-1000)</f>
        <v>31.9701762313601</v>
      </c>
      <c r="AN8">
        <f>IF(AND(CROQUIS!$C$87=1,CROQUIS!$C$123&gt;0,CROQUIS!$C$162&gt;0),((CROQUIS!$C$156+(IF(CROQUIS!$C$92="X",CHOOSE(MIN(MAX($A8,1)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,CHOOSE(MIN(MAX($A8,1)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))*CROQUIS!$C$155)+IF(CROQUIS!$C$92="X",0,0)),-1000)</f>
        <v>-1000</v>
      </c>
      <c r="AO8">
        <f>IF(AND(CROQUIS!$C$87=1,CROQUIS!$C$123&gt;0,CROQUIS!$C$162&gt;0),((CROQUIS!$C$157+(IF(CROQUIS!$C$92="X",CHOOSE(MIN(MAX($A8,1)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,CHOOSE(MIN(MAX($A8,1)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))*CROQUIS!$C$155)+IF(CROQUIS!$C$92="X",0,0)),-1000)</f>
        <v>-1000</v>
      </c>
      <c r="AP8">
        <f>IF(AND(CROQUIS!$C$87=1),((CROQUIS!$C$156+(IF(CROQUIS!$C$92="X",CHOOSE(MIN(MAX($A8,1),2),2,CROQUIS!$C$97-2),CROQUIS!$C$166))*CROQUIS!$C$155)+IF(CROQUIS!$C$92="X",0,-0.9)),-1000)</f>
        <v>49.1</v>
      </c>
      <c r="AQ8">
        <f>IF(AND(CROQUIS!$C$87=1),((CROQUIS!$C$157+(IF(CROQUIS!$C$92="X",CROQUIS!$C$166,CHOOSE(MIN(MAX($A8,1),2),2,CROQUIS!$C$97-2)))*CROQUIS!$C$155)+IF(CROQUIS!$C$92="X",-0.9,0)),-1000)</f>
        <v>16.0009037505648</v>
      </c>
      <c r="AR8">
        <f>IF(AND(CROQUIS!$C$87=1),((CROQUIS!$C$156+(IF(CROQUIS!$C$92="X",CHOOSE(MIN(MAX($A8,1),2),IF(CROQUIS!$C$91=1,IF(CROQUIS!$C$94=1,-(CROQUIS!$C$107/2+CROQUIS!$C$140),2),2),IF(CROQUIS!$C$91=1,IF(CROQUIS!$C$94=1,CROQUIS!$C$97-2,CROQUIS!$C$97+CROQUIS!$C$107/2+CROQUIS!$C$140),CROQUIS!$C$97-2)),CROQUIS!$C$166))*CROQUIS!$C$155)+IF(CROQUIS!$C$92="X",0,0.9)),-1000)</f>
        <v>50.9</v>
      </c>
      <c r="AS8">
        <f>IF(AND(CROQUIS!$C$87=1),((CROQUIS!$C$157+(IF(CROQUIS!$C$92="X",CROQUIS!$C$166,CHOOSE(MIN(MAX($A8,1),2),IF(CROQUIS!$C$91=1,IF(CROQUIS!$C$94=1,-(CROQUIS!$C$107/2+CROQUIS!$C$140),2),2),IF(CROQUIS!$C$91=1,IF(CROQUIS!$C$94=1,CROQUIS!$C$97-2,CROQUIS!$C$97+CROQUIS!$C$107/2+CROQUIS!$C$140),CROQUIS!$C$97-2))))*CROQUIS!$C$155)+IF(CROQUIS!$C$92="X",0.9,0)),-1000)</f>
        <v>16.0009037505648</v>
      </c>
      <c r="AT8">
        <f>IF(AND(CROQUIS!$C$87=1,CROQUIS!$C$91=0,CROQUIS!$C$130&gt;=2,OR(CROQUIS!$C$103=1,CROQUIS!$C$142=1)),((CROQUIS!$C$156+(IF(CROQUIS!$C$92="X",CHOOSE(MIN(MAX($A8,1),2),IF(CROQUIS!$C$103=1,-12,2),CROQUIS!$C$107/2+CROQUIS!$C$140),CROQUIS!$C$166))*CROQUIS!$C$155)+IF(CROQUIS!$C$92="X",0,2.1)),-1000)</f>
        <v>-1000</v>
      </c>
      <c r="AU8">
        <f>IF(AND(CROQUIS!$C$87=1,CROQUIS!$C$91=0,CROQUIS!$C$130&gt;=2,OR(CROQUIS!$C$103=1,CROQUIS!$C$142=1)),((CROQUIS!$C$157+(IF(CROQUIS!$C$92="X",CROQUIS!$C$166,CHOOSE(MIN(MAX($A8,1),2),IF(CROQUIS!$C$103=1,-12,2),CROQUIS!$C$107/2+CROQUIS!$C$140)))*CROQUIS!$C$155)+IF(CROQUIS!$C$92="X",2.1,0)),-1000)</f>
        <v>-1000</v>
      </c>
      <c r="AV8">
        <f>IF(AND(CROQUIS!$C$87=1,CROQUIS!$C$91=0,CROQUIS!$C$130&gt;=2,OR(CROQUIS!$C$104=1,CROQUIS!$C$142=1)),((CROQUIS!$C$156+(IF(CROQUIS!$C$92="X",CHOOSE(MIN(MAX($A8,1),2),CROQUIS!$C$97-CROQUIS!$C$107/2-CROQUIS!$C$140,IF(CROQUIS!$C$104=1,CROQUIS!$C$97+12,CROQUIS!$C$97-2)),CROQUIS!$C$166))*CROQUIS!$C$155)+IF(CROQUIS!$C$92="X",0,2.1)),-1000)</f>
        <v>-1000</v>
      </c>
      <c r="AW8">
        <f>IF(AND(CROQUIS!$C$87=1,CROQUIS!$C$91=0,CROQUIS!$C$130&gt;=2,OR(CROQUIS!$C$104=1,CROQUIS!$C$142=1)),((CROQUIS!$C$157+(IF(CROQUIS!$C$92="X",CROQUIS!$C$166,CHOOSE(MIN(MAX($A8,1),2),CROQUIS!$C$97-CROQUIS!$C$107/2-CROQUIS!$C$140,IF(CROQUIS!$C$104=1,CROQUIS!$C$97+12,CROQUIS!$C$97-2))))*CROQUIS!$C$155)+IF(CROQUIS!$C$92="X",2.1,0)),-1000)</f>
        <v>-1000</v>
      </c>
      <c r="AX8">
        <f>IF(AND(CROQUIS!$C$87=1),((CROQUIS!$C$156+(IF(CROQUIS!$C$92="X",CROQUIS!$C$167,CHOOSE(MIN(MAX($A8,1),2),2,CROQUIS!$C$98-2)))*CROQUIS!$C$155)+IF(CROQUIS!$C$92="X",-0.9,0)),-1000)</f>
        <v>12.3434252146408</v>
      </c>
      <c r="AY8">
        <f>IF(AND(CROQUIS!$C$87=1),((CROQUIS!$C$157+(IF(CROQUIS!$C$92="X",CHOOSE(MIN(MAX($A8,1),2),2,CROQUIS!$C$98-2),CROQUIS!$C$167))*CROQUIS!$C$155)+IF(CROQUIS!$C$92="X",0,-0.9)),-1000)</f>
        <v>43.0900587437867</v>
      </c>
      <c r="AZ8">
        <f>IF(AND(CROQUIS!$C$87=1),((CROQUIS!$C$156+(IF(CROQUIS!$C$92="X",CROQUIS!$C$167,CHOOSE(MIN(MAX($A8,1),2),2,CROQUIS!$C$98-2)))*CROQUIS!$C$155)+IF(CROQUIS!$C$92="X",0.9,0)),-1000)</f>
        <v>12.3434252146408</v>
      </c>
      <c r="BA8">
        <f>IF(AND(CROQUIS!$C$87=1),((CROQUIS!$C$157+(IF(CROQUIS!$C$92="X",CHOOSE(MIN(MAX($A8,1),2),2,CROQUIS!$C$98-2),CROQUIS!$C$167))*CROQUIS!$C$155)+IF(CROQUIS!$C$92="X",0,0.9)),-1000)</f>
        <v>44.8900587437867</v>
      </c>
      <c r="BB8">
        <f>IF(AND(CROQUIS!$C$87=1,CROQUIS!$C$91=0,CROQUIS!$C$138&gt;=2,OR(CROQUIS!$C$105=1,CROQUIS!$C$143=1)),((CROQUIS!$C$156+(IF(CROQUIS!$C$92="X",CROQUIS!$C$167,CHOOSE(MIN(MAX($A8,1),2),IF(CROQUIS!$C$105=1,-12,2),CROQUIS!$C$107/2+CROQUIS!$C$141)))*CROQUIS!$C$155)+IF(CROQUIS!$C$92="X",2.1,0)),-1000)</f>
        <v>-1000</v>
      </c>
      <c r="BC8">
        <f>IF(AND(CROQUIS!$C$87=1,CROQUIS!$C$91=0,CROQUIS!$C$138&gt;=2,OR(CROQUIS!$C$105=1,CROQUIS!$C$143=1)),((CROQUIS!$C$157+(IF(CROQUIS!$C$92="X",CHOOSE(MIN(MAX($A8,1),2),IF(CROQUIS!$C$105=1,-12,2),CROQUIS!$C$107/2+CROQUIS!$C$141),CROQUIS!$C$167))*CROQUIS!$C$155)+IF(CROQUIS!$C$92="X",0,2.1)),-1000)</f>
        <v>-1000</v>
      </c>
      <c r="BD8">
        <f>IF(AND(CROQUIS!$C$87=1,CROQUIS!$C$91=0,CROQUIS!$C$138&gt;=2,OR(CROQUIS!$C$106=1,CROQUIS!$C$143=1)),((CROQUIS!$C$156+(IF(CROQUIS!$C$92="X",CROQUIS!$C$167,CHOOSE(MIN(MAX($A8,1),2),CROQUIS!$C$98-CROQUIS!$C$107/2-CROQUIS!$C$141,IF(CROQUIS!$C$106=1,CROQUIS!$C$98+12,CROQUIS!$C$98-2))))*CROQUIS!$C$155)+IF(CROQUIS!$C$92="X",2.1,0)),-1000)</f>
        <v>-1000</v>
      </c>
      <c r="BE8">
        <f>IF(AND(CROQUIS!$C$87=1,CROQUIS!$C$91=0,CROQUIS!$C$138&gt;=2,OR(CROQUIS!$C$106=1,CROQUIS!$C$143=1)),((CROQUIS!$C$157+(IF(CROQUIS!$C$92="X",CHOOSE(MIN(MAX($A8,1),2),CROQUIS!$C$98-CROQUIS!$C$107/2-CROQUIS!$C$141,IF(CROQUIS!$C$106=1,CROQUIS!$C$98+12,CROQUIS!$C$98-2)),CROQUIS!$C$167))*CROQUIS!$C$155)+IF(CROQUIS!$C$92="X",0,2.1)),-1000)</f>
        <v>-1000</v>
      </c>
      <c r="BF8">
        <f>IF(AND(CROQUIS!$C$87=1,CROQUIS!$C$158&gt;=2),CHOOSE(MIN(MAX($A8,1),7),(CROQUIS!$C$156+(CROQUIS!$C$159)*CROQUIS!$C$155),(CROQUIS!$C$156+(CROQUIS!$C$159)*CROQUIS!$C$155),(CROQUIS!$C$156+(CROQUIS!$C$159)*CROQUIS!$C$155),((CROQUIS!$C$156+(CROQUIS!$C$159)*CROQUIS!$C$155)+(CROQUIS!$C$156+(CROQUIS!$C$159+CROQUIS!$C$113)*CROQUIS!$C$155))/2,(CROQUIS!$C$156+(CROQUIS!$C$159+CROQUIS!$C$113)*CROQUIS!$C$155),(CROQUIS!$C$156+(CROQUIS!$C$159+CROQUIS!$C$113)*CROQUIS!$C$155),(CROQUIS!$C$156+(CROQUIS!$C$159+CROQUIS!$C$113)*CROQUIS!$C$155)),-1000)</f>
        <v>14.7989154993222</v>
      </c>
      <c r="BG8">
        <f>IF(AND(CROQUIS!$C$87=1,CROQUIS!$C$158&gt;=2),CHOOSE(MIN(MAX($A8,1),7),((CROQUIS!$C$157+(CROQUIS!$C$154)*CROQUIS!$C$155)+4)-1.4,((CROQUIS!$C$157+(CROQUIS!$C$154)*CROQUIS!$C$155)+4)+1.4,((CROQUIS!$C$157+(CROQUIS!$C$154)*CROQUIS!$C$155)+4),((CROQUIS!$C$157+(CROQUIS!$C$154)*CROQUIS!$C$155)+4),((CROQUIS!$C$157+(CROQUIS!$C$154)*CROQUIS!$C$155)+4),((CROQUIS!$C$157+(CROQUIS!$C$154)*CROQUIS!$C$155)+4)+1.4,((CROQUIS!$C$157+(CROQUIS!$C$154)*CROQUIS!$C$155)+4)-1.4),-1000)</f>
        <v>86.9425214640759</v>
      </c>
      <c r="BH8">
        <f>IF(AND(CROQUIS!$C$88=1,CROQUIS!$C$126&gt;0),((CROQUIS!$C$156+(IF(CROQUIS!$C$92="X",CHOOSE(IF(INT(($A8-1)/5)&gt;MAX((MIN(80,MAX(1,INT(((CROQUIS!$C$98)-CROQUIS!$C$107)/MAX(CROQUIS!$C$126,1))+1)))-1,0),0,MOD($A8-1,5))+1,0,2,CROQUIS!$C$97-2,2,0),((CROQUIS!$C$107/2+(((CROQUIS!$C$98)-CROQUIS!$C$107)-(MIN(80,MAX(1,INT(((CROQUIS!$C$98)-CROQUIS!$C$107)/MAX(CROQUIS!$C$126,1))+1))-1)*CROQUIS!$C$126)/2)+MIN(INT(($A8-1)/5),MAX((MIN(80,MAX(1,INT(((CROQUIS!$C$98)-CROQUIS!$C$107)/MAX(CROQUIS!$C$126,1))+1)))-1,0))*CROQUIS!$C$126)))*CROQUIS!$C$155)+IF(CROQUIS!$C$92="X",0,0)),-1000)</f>
        <v>-1000</v>
      </c>
      <c r="BI8">
        <f>IF(AND(CROQUIS!$C$88=1,CROQUIS!$C$126&gt;0),((CROQUIS!$C$157+(IF(CROQUIS!$C$92="X",((CROQUIS!$C$107/2+(((CROQUIS!$C$98)-CROQUIS!$C$107)-(MIN(80,MAX(1,INT(((CROQUIS!$C$98)-CROQUIS!$C$107)/MAX(CROQUIS!$C$126,1))+1))-1)*CROQUIS!$C$126)/2)+MIN(INT(($A8-1)/5),MAX((MIN(80,MAX(1,INT(((CROQUIS!$C$98)-CROQUIS!$C$107)/MAX(CROQUIS!$C$126,1))+1)))-1,0))*CROQUIS!$C$126),CHOOSE(IF(INT(($A8-1)/5)&gt;MAX((MIN(80,MAX(1,INT(((CROQUIS!$C$98)-CROQUIS!$C$107)/MAX(CROQUIS!$C$126,1))+1)))-1,0),0,MOD($A8-1,5))+1,0,2,CROQUIS!$C$97-2,2,0)))*CROQUIS!$C$155)+IF(CROQUIS!$C$92="X",0,0)),-1000)</f>
        <v>-1000</v>
      </c>
      <c r="BJ8">
        <f>IF(AND(CROQUIS!$C$88=1,CROQUIS!$C$134&gt;0),((CROQUIS!$C$156+(IF(CROQUIS!$C$92="X",((CROQUIS!$C$107/2+(((CROQUIS!$C$97)-CROQUIS!$C$107)-(MIN(80,MAX(1,INT(((CROQUIS!$C$97)-CROQUIS!$C$107)/MAX(CROQUIS!$C$134,1))+1))-1)*CROQUIS!$C$134)/2)+MIN(INT(($A8-1)/5),MAX((MIN(80,MAX(1,INT(((CROQUIS!$C$97)-CROQUIS!$C$107)/MAX(CROQUIS!$C$134,1))+1)))-1,0))*CROQUIS!$C$134),CHOOSE(IF(INT(($A8-1)/5)&gt;MAX((MIN(80,MAX(1,INT(((CROQUIS!$C$97)-CROQUIS!$C$107)/MAX(CROQUIS!$C$134,1))+1)))-1,0),0,MOD($A8-1,5))+1,0,2,CROQUIS!$C$98-2,2,0)))*CROQUIS!$C$155)+IF(CROQUIS!$C$92="X",0,0)),-1000)</f>
        <v>-1000</v>
      </c>
      <c r="BK8">
        <f>IF(AND(CROQUIS!$C$88=1,CROQUIS!$C$134&gt;0),((CROQUIS!$C$157+(IF(CROQUIS!$C$92="X",CHOOSE(IF(INT(($A8-1)/5)&gt;MAX((MIN(80,MAX(1,INT(((CROQUIS!$C$97)-CROQUIS!$C$107)/MAX(CROQUIS!$C$134,1))+1)))-1,0),0,MOD($A8-1,5))+1,0,2,CROQUIS!$C$98-2,2,0),((CROQUIS!$C$107/2+(((CROQUIS!$C$97)-CROQUIS!$C$107)-(MIN(80,MAX(1,INT(((CROQUIS!$C$97)-CROQUIS!$C$107)/MAX(CROQUIS!$C$134,1))+1))-1)*CROQUIS!$C$134)/2)+MIN(INT(($A8-1)/5),MAX((MIN(80,MAX(1,INT(((CROQUIS!$C$97)-CROQUIS!$C$107)/MAX(CROQUIS!$C$134,1))+1)))-1,0))*CROQUIS!$C$134)))*CROQUIS!$C$155)+IF(CROQUIS!$C$92="X",0,0)),-1000)</f>
        <v>-1000</v>
      </c>
      <c r="BL8">
        <f>IF(AND(CROQUIS!$C$88=1,CROQUIS!$C$91=0,CROQUIS!$C$130&gt;0,OR(CROQUIS!$C$103=1,CROQUIS!$C$142=1)),((CROQUIS!$C$156+(IF(CROQUIS!$C$92="X",CHOOSE(IF(INT(($A8-1)/5)&gt;MAX((MIN(80,MAX(1,INT(((CROQUIS!$C$98)-CROQUIS!$C$107)/MAX(CROQUIS!$C$130,1))+1)))-1,0),0,MOD($A8-1,5))+1,0,IF(CROQUIS!$C$103=1,-12,2),CROQUIS!$C$107/2+CROQUIS!$C$140,IF(CROQUIS!$C$103=1,-12,2),0),((CROQUIS!$C$107/2+(((CROQUIS!$C$98)-CROQUIS!$C$107)-(MIN(80,MAX(1,INT(((CROQUIS!$C$98)-CROQUIS!$C$107)/MAX(CROQUIS!$C$130,1))+1))-1)*CROQUIS!$C$130)/2)+MIN(INT(($A8-1)/5),MAX((MIN(80,MAX(1,INT(((CROQUIS!$C$98)-CROQUIS!$C$107)/MAX(CROQUIS!$C$130,1))+1)))-1,0))*CROQUIS!$C$130)))*CROQUIS!$C$155)+IF(CROQUIS!$C$92="X",0,0)),-1000)</f>
        <v>-1000</v>
      </c>
      <c r="BM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8-1)/5),MAX((MIN(80,MAX(1,INT(((CROQUIS!$C$98)-CROQUIS!$C$107)/MAX(CROQUIS!$C$130,1))+1)))-1,0))*CROQUIS!$C$130),CHOOSE(IF(INT(($A8-1)/5)&gt;MAX((MIN(80,MAX(1,INT(((CROQUIS!$C$98)-CROQUIS!$C$107)/MAX(CROQUIS!$C$130,1))+1)))-1,0),0,MOD($A8-1,5))+1,0,IF(CROQUIS!$C$103=1,-12,2),CROQUIS!$C$107/2+CROQUIS!$C$140,IF(CROQUIS!$C$103=1,-12,2),0)))*CROQUIS!$C$155)+IF(CROQUIS!$C$92="X",0,0)),-1000)</f>
        <v>-1000</v>
      </c>
      <c r="BN8">
        <f>IF(AND(CROQUIS!$C$88=1,CROQUIS!$C$91=0,CROQUIS!$C$130&gt;0,OR(CROQUIS!$C$104=1,CROQUIS!$C$142=1)),((CROQUIS!$C$156+(IF(CROQUIS!$C$92="X",CHOOSE(IF(INT(($A8-1)/5)&gt;MAX((MIN(80,MAX(1,INT(((CROQUIS!$C$98)-CROQUIS!$C$107)/MAX(CROQUIS!$C$130,1))+1)))-1,0),0,MOD($A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8-1)/5),MAX((MIN(80,MAX(1,INT(((CROQUIS!$C$98)-CROQUIS!$C$107)/MAX(CROQUIS!$C$130,1))+1)))-1,0))*CROQUIS!$C$130)))*CROQUIS!$C$155)+IF(CROQUIS!$C$92="X",0,0)),-1000)</f>
        <v>-1000</v>
      </c>
      <c r="BO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8-1)/5),MAX((MIN(80,MAX(1,INT(((CROQUIS!$C$98)-CROQUIS!$C$107)/MAX(CROQUIS!$C$130,1))+1)))-1,0))*CROQUIS!$C$130),CHOOSE(IF(INT(($A8-1)/5)&gt;MAX((MIN(80,MAX(1,INT(((CROQUIS!$C$98)-CROQUIS!$C$107)/MAX(CROQUIS!$C$130,1))+1)))-1,0),0,MOD($A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8-1)/5),MAX((MIN(80,MAX(1,INT(((CROQUIS!$C$97)-CROQUIS!$C$107)/MAX(CROQUIS!$C$138,1))+1)))-1,0))*CROQUIS!$C$138),CHOOSE(IF(INT(($A8-1)/5)&gt;MAX((MIN(80,MAX(1,INT(((CROQUIS!$C$97)-CROQUIS!$C$107)/MAX(CROQUIS!$C$138,1))+1)))-1,0),0,MOD($A8-1,5))+1,0,IF(CROQUIS!$C$105=1,-12,2),CROQUIS!$C$107/2+CROQUIS!$C$141,IF(CROQUIS!$C$105=1,-12,2),0)))*CROQUIS!$C$155)+IF(CROQUIS!$C$92="X",0,0)),-1000)</f>
        <v>-1000</v>
      </c>
      <c r="BQ8">
        <f>IF(AND(CROQUIS!$C$88=1,CROQUIS!$C$91=0,CROQUIS!$C$138&gt;0,OR(CROQUIS!$C$105=1,CROQUIS!$C$143=1)),((CROQUIS!$C$157+(IF(CROQUIS!$C$92="X",CHOOSE(IF(INT(($A8-1)/5)&gt;MAX((MIN(80,MAX(1,INT(((CROQUIS!$C$97)-CROQUIS!$C$107)/MAX(CROQUIS!$C$138,1))+1)))-1,0),0,MOD($A8-1,5))+1,0,IF(CROQUIS!$C$105=1,-12,2),CROQUIS!$C$107/2+CROQUIS!$C$141,IF(CROQUIS!$C$105=1,-12,2),0),((CROQUIS!$C$107/2+(((CROQUIS!$C$97)-CROQUIS!$C$107)-(MIN(80,MAX(1,INT(((CROQUIS!$C$97)-CROQUIS!$C$107)/MAX(CROQUIS!$C$138,1))+1))-1)*CROQUIS!$C$138)/2)+MIN(INT(($A8-1)/5),MAX((MIN(80,MAX(1,INT(((CROQUIS!$C$97)-CROQUIS!$C$107)/MAX(CROQUIS!$C$138,1))+1)))-1,0))*CROQUIS!$C$138)))*CROQUIS!$C$155)+IF(CROQUIS!$C$92="X",0,0)),-1000)</f>
        <v>-1000</v>
      </c>
      <c r="BR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8-1)/5),MAX((MIN(80,MAX(1,INT(((CROQUIS!$C$97)-CROQUIS!$C$107)/MAX(CROQUIS!$C$138,1))+1)))-1,0))*CROQUIS!$C$138),CHOOSE(IF(INT(($A8-1)/5)&gt;MAX((MIN(80,MAX(1,INT(((CROQUIS!$C$97)-CROQUIS!$C$107)/MAX(CROQUIS!$C$138,1))+1)))-1,0),0,MOD($A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8">
        <f>IF(AND(CROQUIS!$C$88=1,CROQUIS!$C$91=0,CROQUIS!$C$138&gt;0,OR(CROQUIS!$C$106=1,CROQUIS!$C$143=1)),((CROQUIS!$C$157+(IF(CROQUIS!$C$92="X",CHOOSE(IF(INT(($A8-1)/5)&gt;MAX((MIN(80,MAX(1,INT(((CROQUIS!$C$97)-CROQUIS!$C$107)/MAX(CROQUIS!$C$138,1))+1)))-1,0),0,MOD($A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8-1)/5),MAX((MIN(80,MAX(1,INT(((CROQUIS!$C$97)-CROQUIS!$C$107)/MAX(CROQUIS!$C$138,1))+1)))-1,0))*CROQUIS!$C$138)))*CROQUIS!$C$155)+IF(CROQUIS!$C$92="X",0,0)),-1000)</f>
        <v>-1000</v>
      </c>
      <c r="BT8">
        <f>IF(AND(CROQUIS!$C$88=1,CROQUIS!$C$91=1,CROQUIS!$C$130&gt;0),((CROQUIS!$C$156+(IF(CROQUIS!$C$92="X",CHOOSE(IF(INT(($A8-1)/5)&gt;MAX((MIN(80,MAX(1,INT(((CROQUIS!$C$98)-CROQUIS!$C$107)/MAX(CROQUIS!$C$130,1))+1)))-1,0),0,MOD($A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8-1)/5),MAX((MIN(80,MAX(1,INT(((CROQUIS!$C$98)-CROQUIS!$C$107)/MAX(CROQUIS!$C$130,1))+1)))-1,0))*CROQUIS!$C$130)))*CROQUIS!$C$155)+IF(CROQUIS!$C$92="X",0,0)),-1000)</f>
        <v>-1000</v>
      </c>
      <c r="BU8">
        <f>IF(AND(CROQUIS!$C$88=1,CROQUIS!$C$91=1,CROQUIS!$C$130&gt;0),((CROQUIS!$C$157+(IF(CROQUIS!$C$92="X",((CROQUIS!$C$107/2+(((CROQUIS!$C$98)-CROQUIS!$C$107)-(MIN(80,MAX(1,INT(((CROQUIS!$C$98)-CROQUIS!$C$107)/MAX(CROQUIS!$C$130,1))+1))-1)*CROQUIS!$C$130)/2)+MIN(INT(($A8-1)/5),MAX((MIN(80,MAX(1,INT(((CROQUIS!$C$98)-CROQUIS!$C$107)/MAX(CROQUIS!$C$130,1))+1)))-1,0))*CROQUIS!$C$130),CHOOSE(IF(INT(($A8-1)/5)&gt;MAX((MIN(80,MAX(1,INT(((CROQUIS!$C$98)-CROQUIS!$C$107)/MAX(CROQUIS!$C$130,1))+1)))-1,0),0,MOD($A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BV8">
        <f>IF(AND(CROQUIS!$C$87=1),CHOOSE(MIN(MAX($A8,1),9),(50+(-CROQUIS!$C$113/2)*CROQUIS!$C$173),(50+(CROQUIS!$C$113/2)*CROQUIS!$C$173),(50+(CROQUIS!$C$113/2)*CROQUIS!$C$173),(50+(CROQUIS!$C$111/2)*CROQUIS!$C$173),(50+(CROQUIS!$C$111/2)*CROQUIS!$C$173),(50+(-CROQUIS!$C$111/2)*CROQUIS!$C$173),(50+(-CROQUIS!$C$111/2)*CROQUIS!$C$173),(50+(-CROQUIS!$C$113/2)*CROQUIS!$C$173),(50+(-CROQUIS!$C$113/2)*CROQUIS!$C$173)),-1000)</f>
        <v>16.5909090909091</v>
      </c>
      <c r="BW8">
        <f>IF(AND(CROQUIS!$C$87=1),CHOOSE(MIN(MAX($A8,1),9),(12+(CROQUIS!$C$108)*CROQUIS!$C$173),(12+(CROQUIS!$C$108)*CROQUIS!$C$173),(12+(CROQUIS!$C$114)*CROQUIS!$C$173),(12+(CROQUIS!$C$114)*CROQUIS!$C$173),(12+(0)*CROQUIS!$C$173),(12+(0)*CROQUIS!$C$173),(12+(CROQUIS!$C$114)*CROQUIS!$C$173),(12+(CROQUIS!$C$114)*CROQUIS!$C$173),(12+(CROQUIS!$C$108)*CROQUIS!$C$173)),-1000)</f>
        <v>35.8636363636364</v>
      </c>
      <c r="BX8">
        <f>IF(AND(CROQUIS!$C$87=1),CHOOSE(MIN(MAX($A8,1),5),(50+(-CROQUIS!$C$113/2)*CROQUIS!$C$173),(50+(-CROQUIS!$C$111/2)*CROQUIS!$C$173),(50+(-CROQUIS!$C$111/2)*CROQUIS!$C$173),(50+(-CROQUIS!$C$113/2)*CROQUIS!$C$173),(50+(-CROQUIS!$C$113/2)*CROQUIS!$C$173)),-1000)</f>
        <v>16.5909090909091</v>
      </c>
      <c r="BY8">
        <f>IF(AND(CROQUIS!$C$87=1),CHOOSE(MIN(MAX($A8,1),5),(12+(0)*CROQUIS!$C$173),(12+(0)*CROQUIS!$C$173),(12+(CROQUIS!$C$114)*CROQUIS!$C$173),(12+(CROQUIS!$C$114)*CROQUIS!$C$173),(12+(0)*CROQUIS!$C$173)),-1000)</f>
        <v>12</v>
      </c>
      <c r="BZ8">
        <f>IF(AND(CROQUIS!$C$87=1),CHOOSE(MIN(MAX($A8,1),5),(50+(CROQUIS!$C$111/2)*CROQUIS!$C$173),(50+(CROQUIS!$C$113/2)*CROQUIS!$C$173),(50+(CROQUIS!$C$113/2)*CROQUIS!$C$173),(50+(CROQUIS!$C$111/2)*CROQUIS!$C$173),(50+(CROQUIS!$C$111/2)*CROQUIS!$C$173)),-1000)</f>
        <v>54.7727272727273</v>
      </c>
      <c r="CA8">
        <f>IF(AND(CROQUIS!$C$87=1),CHOOSE(MIN(MAX($A8,1),5),(12+(0)*CROQUIS!$C$173),(12+(0)*CROQUIS!$C$173),(12+(CROQUIS!$C$114)*CROQUIS!$C$173),(12+(CROQUIS!$C$114)*CROQUIS!$C$173),(12+(0)*CROQUIS!$C$173)),-1000)</f>
        <v>12</v>
      </c>
      <c r="CB8">
        <f>IF(AND(CROQUIS!$C$87=1),CHOOSE(MIN(MAX($A8,1),2),(50+(-CROQUIS!$C$113/2+1)*CROQUIS!$C$173),(50+(CROQUIS!$C$113/2-1)*CROQUIS!$C$173)),-1000)</f>
        <v>17.5454545454545</v>
      </c>
      <c r="CC8">
        <f>IF(AND(CROQUIS!$C$87=1),(12+((CROQUIS!$C$108-CROQUIS!$C$117-CROQUIS!$C$116))*CROQUIS!$C$173),-1000)</f>
        <v>33</v>
      </c>
      <c r="CD8">
        <f>IF(AND(CROQUIS!$C$87=1,CROQUIS!$C$126&gt;=1),(50+(((1-(CROQUIS!$C$126+1)/2)*(MAX(CROQUIS!$C$118,CROQUIS!$C$125)+CROQUIS!$C$125))+CROQUIS!$C$125/2*COS(2*PI()*(MIN($A8,13)-1)/12))*CROQUIS!$C$173),-1000)</f>
        <v>50.6061363636364</v>
      </c>
      <c r="CE8">
        <f>IF(AND(CROQUIS!$C$87=1,CROQUIS!$C$126&gt;=1),(12+((CROQUIS!$C$109+CROQUIS!$C$125/2)+CROQUIS!$C$125/2*SIN(2*PI()*(MIN($A8,13)-1)/12))*CROQUIS!$C$173),-1000)</f>
        <v>14.5152272727273</v>
      </c>
      <c r="CF8">
        <f>IF(AND(CROQUIS!$C$87=1,CROQUIS!$C$126&gt;=2),(50+(((2-(CROQUIS!$C$126+1)/2)*(MAX(CROQUIS!$C$118,CROQUIS!$C$125)+CROQUIS!$C$125))+CROQUIS!$C$125/2*COS(2*PI()*(MIN($A8,13)-1)/12))*CROQUIS!$C$173),-1000)</f>
        <v>-1000</v>
      </c>
      <c r="CG8">
        <f>IF(AND(CROQUIS!$C$87=1,CROQUIS!$C$126&gt;=2),(12+((CROQUIS!$C$109+CROQUIS!$C$125/2)+CROQUIS!$C$125/2*SIN(2*PI()*(MIN($A8,13)-1)/12))*CROQUIS!$C$173),-1000)</f>
        <v>-1000</v>
      </c>
      <c r="CH8">
        <f>IF(AND(CROQUIS!$C$87=1,CROQUIS!$C$126&gt;=3),(50+(((3-(CROQUIS!$C$126+1)/2)*(MAX(CROQUIS!$C$118,CROQUIS!$C$125)+CROQUIS!$C$125))+CROQUIS!$C$125/2*COS(2*PI()*(MIN($A8,13)-1)/12))*CROQUIS!$C$173),-1000)</f>
        <v>-1000</v>
      </c>
      <c r="CI8">
        <f>IF(AND(CROQUIS!$C$87=1,CROQUIS!$C$126&gt;=3),(12+((CROQUIS!$C$109+CROQUIS!$C$125/2)+CROQUIS!$C$125/2*SIN(2*PI()*(MIN($A8,13)-1)/12))*CROQUIS!$C$173),-1000)</f>
        <v>-1000</v>
      </c>
      <c r="CJ8">
        <f>IF(AND(CROQUIS!$C$87=1,CROQUIS!$C$130&gt;=1),(50+(((1-(CROQUIS!$C$130+1)/2)*(MAX(CROQUIS!$C$118,CROQUIS!$C$129)+CROQUIS!$C$129))+CROQUIS!$C$129/2*COS(2*PI()*(MIN($A8,13)-1)/12))*CROQUIS!$C$173),-1000)</f>
        <v>50.6061363636364</v>
      </c>
      <c r="CK8">
        <f>IF(AND(CROQUIS!$C$87=1,CROQUIS!$C$130&gt;=1),(12+((CROQUIS!$C$108-CROQUIS!$C$117-2*CROQUIS!$C$116-CROQUIS!$C$129/2)+CROQUIS!$C$129/2*SIN(2*PI()*(MIN($A8,13)-1)/12))*CROQUIS!$C$173),-1000)</f>
        <v>31.8478636363636</v>
      </c>
      <c r="CL8">
        <f>IF(AND(CROQUIS!$C$87=1,CROQUIS!$C$130&gt;=2),(50+(((2-(CROQUIS!$C$130+1)/2)*(MAX(CROQUIS!$C$118,CROQUIS!$C$129)+CROQUIS!$C$129))+CROQUIS!$C$129/2*COS(2*PI()*(MIN($A8,13)-1)/12))*CROQUIS!$C$173),-1000)</f>
        <v>-1000</v>
      </c>
      <c r="CM8">
        <f>IF(AND(CROQUIS!$C$87=1,CROQUIS!$C$130&gt;=2),(12+((CROQUIS!$C$108-CROQUIS!$C$117-2*CROQUIS!$C$116-CROQUIS!$C$129/2)+CROQUIS!$C$129/2*SIN(2*PI()*(MIN($A8,13)-1)/12))*CROQUIS!$C$173),-1000)</f>
        <v>-1000</v>
      </c>
      <c r="CN8">
        <f>IF(AND(CROQUIS!$C$87=1,CROQUIS!$C$130&gt;=3),(50+(((3-(CROQUIS!$C$130+1)/2)*(MAX(CROQUIS!$C$118,CROQUIS!$C$129)+CROQUIS!$C$129))+CROQUIS!$C$129/2*COS(2*PI()*(MIN($A8,13)-1)/12))*CROQUIS!$C$173),-1000)</f>
        <v>-1000</v>
      </c>
      <c r="CO8">
        <f>IF(AND(CROQUIS!$C$87=1,CROQUIS!$C$130&gt;=3),(12+((CROQUIS!$C$108-CROQUIS!$C$117-2*CROQUIS!$C$116-CROQUIS!$C$129/2)+CROQUIS!$C$129/2*SIN(2*PI()*(MIN($A8,13)-1)/12))*CROQUIS!$C$173),-1000)</f>
        <v>-1000</v>
      </c>
      <c r="CP8">
        <f>IF(AND(CROQUIS!$C$87=1),CHOOSE(MIN(MAX($A8,1),7),(50+(-CROQUIS!$C$111/2)*CROQUIS!$C$173),(50+(-CROQUIS!$C$111/2)*CROQUIS!$C$173),(50+(-CROQUIS!$C$111/2)*CROQUIS!$C$173),((50+(-CROQUIS!$C$111/2)*CROQUIS!$C$173)+(50+(CROQUIS!$C$111/2)*CROQUIS!$C$173))/2,(50+(CROQUIS!$C$111/2)*CROQUIS!$C$173),(50+(CROQUIS!$C$111/2)*CROQUIS!$C$173),(50+(CROQUIS!$C$111/2)*CROQUIS!$C$173)),-1000)</f>
        <v>45.2272727272727</v>
      </c>
      <c r="CQ8">
        <f>IF(AND(CROQUIS!$C$87=1),CHOOSE(MIN(MAX($A8,1),7),(12+(-4)*CROQUIS!$C$173)-1.4,(12+(-4)*CROQUIS!$C$173)+1.4,(12+(-4)*CROQUIS!$C$173),(12+(-4)*CROQUIS!$C$173),(12+(-4)*CROQUIS!$C$173),(12+(-4)*CROQUIS!$C$173)+1.4,(12+(-4)*CROQUIS!$C$173)-1.4),-1000)</f>
        <v>6.78181818181818</v>
      </c>
      <c r="CR8">
        <f>IF(AND(CROQUIS!$C$87=1),CHOOSE(MIN(MAX($A8,1),7),(50+(-CROQUIS!$C$113/2)*CROQUIS!$C$173),(50+(-CROQUIS!$C$113/2)*CROQUIS!$C$173),(50+(-CROQUIS!$C$113/2)*CROQUIS!$C$173),((50+(-CROQUIS!$C$113/2)*CROQUIS!$C$173)+(50+(CROQUIS!$C$113/2)*CROQUIS!$C$173))/2,(50+(CROQUIS!$C$113/2)*CROQUIS!$C$173),(50+(CROQUIS!$C$113/2)*CROQUIS!$C$173),(50+(CROQUIS!$C$113/2)*CROQUIS!$C$173)),-1000)</f>
        <v>16.5909090909091</v>
      </c>
      <c r="CS8">
        <f>IF(AND(CROQUIS!$C$87=1),CHOOSE(MIN(MAX($A8,1),7),(12+(CROQUIS!$C$108+4)*CROQUIS!$C$173)-1.4,(12+(CROQUIS!$C$108+4)*CROQUIS!$C$173)+1.4,(12+(CROQUIS!$C$108+4)*CROQUIS!$C$173),(12+(CROQUIS!$C$108+4)*CROQUIS!$C$173),(12+(CROQUIS!$C$108+4)*CROQUIS!$C$173),(12+(CROQUIS!$C$108+4)*CROQUIS!$C$173)+1.4,(12+(CROQUIS!$C$108+4)*CROQUIS!$C$173)-1.4),-1000)</f>
        <v>38.2818181818182</v>
      </c>
      <c r="CT8">
        <f>IF(AND(CROQUIS!$C$87=1),CHOOSE(MIN(MAX($A8,1),7),(50+(CROQUIS!$C$113/2+4)*CROQUIS!$C$173)-1.4,(50+(CROQUIS!$C$113/2+4)*CROQUIS!$C$173)+1.4,(50+(CROQUIS!$C$113/2+4)*CROQUIS!$C$173),(50+(CROQUIS!$C$113/2+4)*CROQUIS!$C$173),(50+(CROQUIS!$C$113/2+4)*CROQUIS!$C$173),(50+(CROQUIS!$C$113/2+4)*CROQUIS!$C$173)+1.4,(50+(CROQUIS!$C$113/2+4)*CROQUIS!$C$173)-1.4),-1000)</f>
        <v>85.8272727272727</v>
      </c>
      <c r="CU8">
        <f>IF(AND(CROQUIS!$C$87=1),CHOOSE(MIN(MAX($A8,1),7),(12+(0)*CROQUIS!$C$173),(12+(0)*CROQUIS!$C$173),(12+(0)*CROQUIS!$C$173),((12+(0)*CROQUIS!$C$173)+(12+(CROQUIS!$C$108)*CROQUIS!$C$173))/2,(12+(CROQUIS!$C$108)*CROQUIS!$C$173),(12+(CROQUIS!$C$108)*CROQUIS!$C$173),(12+(CROQUIS!$C$108)*CROQUIS!$C$173)),-1000)</f>
        <v>12</v>
      </c>
      <c r="CV8">
        <f>IF(AND(CROQUIS!$C$87=1),CHOOSE(MIN(MAX($A8,1),7),(50+(-CROQUIS!$C$113/2-4)*CROQUIS!$C$173)-1.4,(50+(-CROQUIS!$C$113/2-4)*CROQUIS!$C$173)+1.4,(50+(-CROQUIS!$C$113/2-4)*CROQUIS!$C$173),(50+(-CROQUIS!$C$113/2-4)*CROQUIS!$C$173),(50+(-CROQUIS!$C$113/2-4)*CROQUIS!$C$173),(50+(-CROQUIS!$C$113/2-4)*CROQUIS!$C$173)+1.4,(50+(-CROQUIS!$C$113/2-4)*CROQUIS!$C$173)-1.4),-1000)</f>
        <v>11.3727272727273</v>
      </c>
      <c r="CW8">
        <f>IF(AND(CROQUIS!$C$87=1),CHOOSE(MIN(MAX($A8,1),7),(12+(CROQUIS!$C$108-CROQUIS!$C$147)*CROQUIS!$C$173),(12+(CROQUIS!$C$108-CROQUIS!$C$147)*CROQUIS!$C$173),(12+(CROQUIS!$C$108-CROQUIS!$C$147)*CROQUIS!$C$173),((12+(CROQUIS!$C$108-CROQUIS!$C$147)*CROQUIS!$C$173)+(12+(CROQUIS!$C$108)*CROQUIS!$C$173))/2,(12+(CROQUIS!$C$108)*CROQUIS!$C$173),(12+(CROQUIS!$C$108)*CROQUIS!$C$173),(12+(CROQUIS!$C$108)*CROQUIS!$C$173)),-1000)</f>
        <v>14.5152272727273</v>
      </c>
      <c r="CX8">
        <f>IF(AND(CROQUIS!$C$88=1),CHOOSE(MIN(MAX($A8,1),5),(50+(-30)*CROQUIS!$C$174),(50+(30)*CROQUIS!$C$174),(50+(30)*CROQUIS!$C$174),(50+(-30)*CROQUIS!$C$174),(50+(-30)*CROQUIS!$C$174)),-1000)</f>
        <v>-1000</v>
      </c>
      <c r="CY8">
        <f>IF(AND(CROQUIS!$C$88=1),CHOOSE(MIN(MAX($A8,1),5),(12+(0)*CROQUIS!$C$174),(12+(0)*CROQUIS!$C$174),(12+(CROQUIS!$C$108)*CROQUIS!$C$174),(12+(CROQUIS!$C$108)*CROQUIS!$C$174),(12+(0)*CROQUIS!$C$174)),-1000)</f>
        <v>-1000</v>
      </c>
      <c r="CZ8">
        <f>IF(AND(CROQUIS!$C$88=1),CHOOSE(MIN(MAX($A8,1),2),(50+(-29)*CROQUIS!$C$174),(50+(29)*CROQUIS!$C$174)),-1000)</f>
        <v>-1000</v>
      </c>
      <c r="DA8">
        <f>IF(AND(CROQUIS!$C$88=1),(12+((CROQUIS!$C$109+CROQUIS!$C$125/2))*CROQUIS!$C$174),-1000)</f>
        <v>-1000</v>
      </c>
      <c r="DB8">
        <f>IF(AND(CROQUIS!$C$88=1,CROQUIS!$C$134&gt;0),(50+((-(MIN(12,INT(58/MAX(CROQUIS!$C$134,1))+1)-1)*CROQUIS!$C$134/2+(MIN($A8,MIN(12,INT(58/MAX(CROQUIS!$C$134,1))+1))-1)*CROQUIS!$C$134))*CROQUIS!$C$174),-1000)</f>
        <v>-1000</v>
      </c>
      <c r="DC8">
        <f>IF(AND(CROQUIS!$C$88=1,CROQUIS!$C$134&gt;0),(12+((CROQUIS!$C$109+CROQUIS!$C$125+CROQUIS!$C$133/2))*CROQUIS!$C$174),-1000)</f>
        <v>-1000</v>
      </c>
      <c r="DD8">
        <f>IF(AND(CROQUIS!$C$88=1,CROQUIS!$C$138&gt;0),(50+((-(MIN(12,INT(58/MAX(CROQUIS!$C$138,1))+1)-1)*CROQUIS!$C$138/2+(MIN($A8,MIN(12,INT(58/MAX(CROQUIS!$C$138,1))+1))-1)*CROQUIS!$C$138))*CROQUIS!$C$174),-1000)</f>
        <v>-1000</v>
      </c>
      <c r="DE8">
        <f>IF(AND(CROQUIS!$C$88=1,CROQUIS!$C$138&gt;0),(12+((CROQUIS!$C$108-CROQUIS!$C$110-CROQUIS!$C$129-CROQUIS!$C$137/2))*CROQUIS!$C$174),-1000)</f>
        <v>-1000</v>
      </c>
      <c r="DF8">
        <f>IF(AND(CROQUIS!$C$88=1),CHOOSE(MIN(MAX($A8,1),2),(50+(-29)*CROQUIS!$C$174),(50+(29)*CROQUIS!$C$174)),-1000)</f>
        <v>-1000</v>
      </c>
      <c r="DG8">
        <f>IF(AND(CROQUIS!$C$88=1),(12+((CROQUIS!$C$108-CROQUIS!$C$110-CROQUIS!$C$129/2))*CROQUIS!$C$174),-1000)</f>
        <v>-1000</v>
      </c>
      <c r="DH8">
        <f>IF(AND(CROQUIS!$C$88=1),CHOOSE(MIN(MAX($A8,1),7),(50+(33)*CROQUIS!$C$174)-1.4,(50+(33)*CROQUIS!$C$174)+1.4,(50+(33)*CROQUIS!$C$174),(50+(33)*CROQUIS!$C$174),(50+(33)*CROQUIS!$C$174),(50+(33)*CROQUIS!$C$174)+1.4,(50+(33)*CROQUIS!$C$174)-1.4),-1000)</f>
        <v>-1000</v>
      </c>
      <c r="DI8">
        <f>IF(AND(CROQUIS!$C$88=1),CHOOSE(MIN(MAX($A8,1),7),(12+(0)*CROQUIS!$C$174),(12+(0)*CROQUIS!$C$174),(12+(0)*CROQUIS!$C$174),((12+(0)*CROQUIS!$C$174)+(12+(CROQUIS!$C$108)*CROQUIS!$C$174))/2,(12+(CROQUIS!$C$108)*CROQUIS!$C$174),(12+(CROQUIS!$C$108)*CROQUIS!$C$174),(12+(CROQUIS!$C$108)*CROQUIS!$C$174)),-1000)</f>
        <v>-1000</v>
      </c>
      <c r="DJ8">
        <f>IF(AND(CROQUIS!$C$88=1),CHOOSE(MIN(MAX($A8,1),7),(50+(-33)*CROQUIS!$C$174)-0.8,(50+(-33)*CROQUIS!$C$174)+0.8,(50+(-33)*CROQUIS!$C$174),(50+(-33)*CROQUIS!$C$174),(50+(-33)*CROQUIS!$C$174),(50+(-33)*CROQUIS!$C$174)+0.8,(50+(-33)*CROQUIS!$C$174)-0.8),-1000)</f>
        <v>-1000</v>
      </c>
      <c r="DK8">
        <f>IF(AND(CROQUIS!$C$88=1),CHOOSE(MIN(MAX($A8,1),7),(12+(0)*CROQUIS!$C$174),(12+(0)*CROQUIS!$C$174),(12+(0)*CROQUIS!$C$174),((12+(0)*CROQUIS!$C$174)+(12+(CROQUIS!$C$109)*CROQUIS!$C$174))/2,(12+(CROQUIS!$C$109)*CROQUIS!$C$174),(12+(CROQUIS!$C$109)*CROQUIS!$C$174),(12+(CROQUIS!$C$109)*CROQUIS!$C$174)),-1000)</f>
        <v>-1000</v>
      </c>
      <c r="DL8">
        <f>IF(AND(CROQUIS!$C$88=1),CHOOSE(MIN(MAX($A8,1),7),(50+(-33)*CROQUIS!$C$174)-0.8,(50+(-33)*CROQUIS!$C$174)+0.8,(50+(-33)*CROQUIS!$C$174),(50+(-33)*CROQUIS!$C$174),(50+(-33)*CROQUIS!$C$174),(50+(-33)*CROQUIS!$C$174)+0.8,(50+(-33)*CROQUIS!$C$174)-0.8),-1000)</f>
        <v>-1000</v>
      </c>
      <c r="DM8">
        <f>IF(AND(CROQUIS!$C$88=1),CHOOSE(MIN(MAX($A8,1),7),(12+(CROQUIS!$C$108-CROQUIS!$C$110)*CROQUIS!$C$174),(12+(CROQUIS!$C$108-CROQUIS!$C$110)*CROQUIS!$C$174),(12+(CROQUIS!$C$108-CROQUIS!$C$110)*CROQUIS!$C$174),((12+(CROQUIS!$C$108-CROQUIS!$C$110)*CROQUIS!$C$174)+(12+(CROQUIS!$C$108)*CROQUIS!$C$174))/2,(12+(CROQUIS!$C$108)*CROQUIS!$C$174),(12+(CROQUIS!$C$108)*CROQUIS!$C$174),(12+(CROQUIS!$C$108)*CROQUIS!$C$174)),-1000)</f>
        <v>-1000</v>
      </c>
      <c r="DN8">
        <f>IF(AND(CROQUIS!$C$88=1,MIN(12,INT(58/MAX(CROQUIS!$C$134,1))+1)&gt;=2),CHOOSE(MIN(MAX($A8,1),7),(50+((-(MIN(12,INT(58/MAX(CROQUIS!$C$134,1))+1)-1)*CROQUIS!$C$134/2))*CROQUIS!$C$174),(50+((-(MIN(12,INT(58/MAX(CROQUIS!$C$134,1))+1)-1)*CROQUIS!$C$134/2))*CROQUIS!$C$174),(50+((-(MIN(12,INT(58/MAX(CROQUIS!$C$134,1))+1)-1)*CROQUIS!$C$134/2))*CROQUIS!$C$174),((50+((-(MIN(12,INT(58/MAX(CROQUIS!$C$134,1))+1)-1)*CROQUIS!$C$134/2))*CROQUIS!$C$174)+(50+((-(MIN(12,INT(58/MAX(CROQUIS!$C$134,1))+1)-1)*CROQUIS!$C$134/2)+CROQUIS!$C$134)*CROQUIS!$C$174))/2,(50+((-(MIN(12,INT(58/MAX(CROQUIS!$C$134,1))+1)-1)*CROQUIS!$C$134/2)+CROQUIS!$C$134)*CROQUIS!$C$174),(50+((-(MIN(12,INT(58/MAX(CROQUIS!$C$134,1))+1)-1)*CROQUIS!$C$134/2)+CROQUIS!$C$134)*CROQUIS!$C$174),(50+((-(MIN(12,INT(58/MAX(CROQUIS!$C$134,1))+1)-1)*CROQUIS!$C$134/2)+CROQUIS!$C$134)*CROQUIS!$C$174)),-1000)</f>
        <v>-1000</v>
      </c>
      <c r="DO8">
        <f>IF(AND(CROQUIS!$C$88=1,MIN(12,INT(58/MAX(CROQUIS!$C$134,1))+1)&gt;=2),CHOOSE(MIN(MAX($A8,1),7),(12+(-4)*CROQUIS!$C$174)-1.4,(12+(-4)*CROQUIS!$C$174)+1.4,(12+(-4)*CROQUIS!$C$174),(12+(-4)*CROQUIS!$C$174),(12+(-4)*CROQUIS!$C$174),(12+(-4)*CROQUIS!$C$174)+1.4,(12+(-4)*CROQUIS!$C$174)-1.4),-1000)</f>
        <v>-1000</v>
      </c>
      <c r="DP8">
        <f>IF(AND(CROQUIS!$C$87=1),CHOOSE(MIN(MAX($A8,1),5),(4+((IF(CROQUIS!$C$91=1,-CROQUIS!$C$168,IF(CROQUIS!$C$103=1,-CROQUIS!$C$107/2-30,-CROQUIS!$C$107/2)))-CROQUIS!$C$169)*CROQUIS!$C$171),(4+((IF(CROQUIS!$C$91=1,CROQUIS!$C$97,IF(CROQUIS!$C$104=1,CROQUIS!$C$97+CROQUIS!$C$107/2+30,CROQUIS!$C$97+CROQUIS!$C$107/2)))-CROQUIS!$C$169)*CROQUIS!$C$171),(4+((IF(CROQUIS!$C$91=1,CROQUIS!$C$97,IF(CROQUIS!$C$104=1,CROQUIS!$C$97+CROQUIS!$C$107/2+30,CROQUIS!$C$97+CROQUIS!$C$107/2)))-CROQUIS!$C$169)*CROQUIS!$C$171),(4+((IF(CROQUIS!$C$91=1,-CROQUIS!$C$168,IF(CROQUIS!$C$103=1,-CROQUIS!$C$107/2-30,-CROQUIS!$C$107/2)))-CROQUIS!$C$169)*CROQUIS!$C$171),(4+((IF(CROQUIS!$C$91=1,-CROQUIS!$C$168,IF(CROQUIS!$C$103=1,-CROQUIS!$C$107/2-30,-CROQUIS!$C$107/2)))-CROQUIS!$C$169)*CROQUIS!$C$171)),-1000)</f>
        <v>4</v>
      </c>
      <c r="DQ8">
        <f>IF(AND(CROQUIS!$C$87=1),CHOOSE(MIN(MAX($A8,1),5),(30+(0)*CROQUIS!$C$171*CROQUIS!$C$172),(30+(0)*CROQUIS!$C$171*CROQUIS!$C$172),(30+(CROQUIS!$C$108)*CROQUIS!$C$171*CROQUIS!$C$172),(30+(CROQUIS!$C$108)*CROQUIS!$C$171*CROQUIS!$C$172),(30+(0)*CROQUIS!$C$171*CROQUIS!$C$172)),-1000)</f>
        <v>30</v>
      </c>
      <c r="DR8">
        <f>IF(AND(CROQUIS!$C$87=1),CHOOSE(MIN(MAX($A8,1)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9.81052631578947</v>
      </c>
      <c r="DS8">
        <f>IF(AND(CROQUIS!$C$87=1),CHOOSE(MIN(MAX($A8,1),10),30,30,20,20,30,IF(CROQUIS!$C$91=1,30,30),IF(CROQUIS!$C$91=1,30,30),IF(CROQUIS!$C$91=1,30,20),IF(CROQUIS!$C$91=1,30,20),IF(CROQUIS!$C$91=1,30,30)),-1000)</f>
        <v>30</v>
      </c>
      <c r="DT8">
        <f>IF(AND(CROQUIS!$C$87=1),CHOOSE(MIN(MAX($A8,1),4),(4+((-CROQUIS!$C$107/2+3)-CROQUIS!$C$169)*CROQUIS!$C$171),(4+((-CROQUIS!$C$107/2+3)-CROQUIS!$C$169)*CROQUIS!$C$171),(4+((IF(CROQUIS!$C$91=1,CROQUIS!$C$97-3,CROQUIS!$C$97+CROQUIS!$C$107/2-3))-CROQUIS!$C$169)*CROQUIS!$C$171),(4+((IF(CROQUIS!$C$91=1,CROQUIS!$C$97-3,CROQUIS!$C$97+CROQUIS!$C$107/2-3))-CROQUIS!$C$169)*CROQUIS!$C$171)),-1000)</f>
        <v>10.3915789473684</v>
      </c>
      <c r="DU8">
        <f>IF(AND(CROQUIS!$C$87=1),CHOOSE(MIN(MAX($A8,1),4),(30+((CROQUIS!$C$109+CROQUIS!$C$125/2)+IF(AND(CROQUIS!$C$91=0,CROQUIS!$C$103=0),MIN(12*CROQUIS!$C$125,CROQUIS!$C$108-CROQUIS!$C$109-CROQUIS!$C$110),0))*CROQUIS!$C$171*CROQUIS!$C$172),(30+((CROQUIS!$C$109+CROQUIS!$C$125/2))*CROQUIS!$C$171*CROQUIS!$C$172),(30+((CROQUIS!$C$109+CROQUIS!$C$125/2))*CROQUIS!$C$171*CROQUIS!$C$172),(30+((CROQUIS!$C$109+CROQUIS!$C$125/2)+IF(AND(CROQUIS!$C$91=0,CROQUIS!$C$104=0),MIN(12*CROQUIS!$C$125,CROQUIS!$C$108-CROQUIS!$C$109-CROQUIS!$C$110),0))*CROQUIS!$C$171*CROQUIS!$C$172)),-1000)</f>
        <v>31.5310736842105</v>
      </c>
      <c r="DV8">
        <f>IF(AND(CROQUIS!$C$87=1,1),CHOOSE(MIN(MAX($A8,1),4),(4+((IF(CROQUIS!$C$91=1,-(CROQUIS!$C$107/2+CROQUIS!$C$140),IF(CROQUIS!$C$103=1,-CROQUIS!$C$107/2-30,-CROQUIS!$C$107/2+3)))-CROQUIS!$C$169)*CROQUIS!$C$171),(4+((IF(CROQUIS!$C$91=1,-(CROQUIS!$C$107/2+CROQUIS!$C$140),IF(CROQUIS!$C$103=1,-CROQUIS!$C$107/2-30,-CROQUIS!$C$107/2+3)))-CROQUIS!$C$169)*CROQUIS!$C$171),(4+((IF(CROQUIS!$C$91=1,CROQUIS!$C$97-3,IF(CROQUIS!$C$104=1,CROQUIS!$C$97+CROQUIS!$C$107/2+30,CROQUIS!$C$97+CROQUIS!$C$107/2-3)))-CROQUIS!$C$169)*CROQUIS!$C$171),(4+((IF(CROQUIS!$C$91=1,CROQUIS!$C$97-3,IF(CROQUIS!$C$104=1,CROQUIS!$C$97+CROQUIS!$C$107/2+30,CROQUIS!$C$97+CROQUIS!$C$107/2-3)))-CROQUIS!$C$169)*CROQUIS!$C$171)),-1000)</f>
        <v>4</v>
      </c>
      <c r="DW8">
        <f>IF(AND(CROQUIS!$C$87=1,1),CHOOSE(MIN(MAX($A8,1),4),(30+((CROQUIS!$C$108-CROQUIS!$C$117-2*CROQUIS!$C$116-CROQUIS!$C$129/2)-IF(AND(CROQUIS!$C$91=0,CROQUIS!$C$103=0),MIN(12*CROQUIS!$C$129,CROQUIS!$C$108-CROQUIS!$C$109-CROQUIS!$C$110),0))*CROQUIS!$C$171*CROQUIS!$C$172),(30+((CROQUIS!$C$108-CROQUIS!$C$117-2*CROQUIS!$C$116-CROQUIS!$C$129/2))*CROQUIS!$C$171*CROQUIS!$C$172),(30+((CROQUIS!$C$108-CROQUIS!$C$117-2*CROQUIS!$C$116-CROQUIS!$C$129/2))*CROQUIS!$C$171*CROQUIS!$C$172),(30+((CROQUIS!$C$108-CROQUIS!$C$117-2*CROQUIS!$C$116-CROQUIS!$C$129/2)-IF(OR(CROQUIS!$C$91=1,CROQUIS!$C$104=0),MIN(12*CROQUIS!$C$129,CROQUIS!$C$108-CROQUIS!$C$109-CROQUIS!$C$110),0))*CROQUIS!$C$171*CROQUIS!$C$172)),-1000)</f>
        <v>42.0818273684211</v>
      </c>
      <c r="DX8">
        <f>IF(AND(CROQUIS!$C$87=1,CROQUIS!$C$91=0,CROQUIS!$C$130&gt;=2,OR(CROQUIS!$C$103=1,CROQUIS!$C$142=1)),CHOOSE(MIN(MAX($A8,1),3),(4+((IF(CROQUIS!$C$103=1,-CROQUIS!$C$107/2-30,-CROQUIS!$C$107/2+3))-CROQUIS!$C$169)*CROQUIS!$C$171),(4+((IF(CROQUIS!$C$103=1,-CROQUIS!$C$107/2-30,-CROQUIS!$C$107/2+3))-CROQUIS!$C$169)*CROQUIS!$C$171),(4+((CROQUIS!$C$107/2+CROQUIS!$C$140)-CROQUIS!$C$169)*CROQUIS!$C$171)),-1000)</f>
        <v>-1000</v>
      </c>
      <c r="DY8">
        <f>IF(AND(CROQUIS!$C$87=1,CROQUIS!$C$91=0,CROQUIS!$C$130&gt;=2,OR(CROQUIS!$C$103=1,CROQUIS!$C$142=1)),CHOOSE(MIN(MAX($A8,1),3),(30+(((CROQUIS!$C$108-CROQUIS!$C$117-2*CROQUIS!$C$116-CROQUIS!$C$129/2)-1.3*CROQUIS!$C$129-0.4)-IF(CROQUIS!$C$103=1,0,MIN(12*CROQUIS!$C$129,CROQUIS!$C$108-CROQUIS!$C$109-CROQUIS!$C$110)))*CROQUIS!$C$171*CROQUIS!$C$172),(30+(((CROQUIS!$C$108-CROQUIS!$C$117-2*CROQUIS!$C$116-CROQUIS!$C$129/2)-1.3*CROQUIS!$C$129-0.4))*CROQUIS!$C$171*CROQUIS!$C$172),(30+(((CROQUIS!$C$108-CROQUIS!$C$117-2*CROQUIS!$C$116-CROQUIS!$C$129/2)-1.3*CROQUIS!$C$129-0.4))*CROQUIS!$C$171*CROQUIS!$C$172)),-1000)</f>
        <v>-1000</v>
      </c>
      <c r="DZ8">
        <f>IF(AND(CROQUIS!$C$87=1,CROQUIS!$C$91=0,CROQUIS!$C$130&gt;=2,OR(CROQUIS!$C$104=1,CROQUIS!$C$142=1)),CHOOSE(MIN(MAX($A8,1),3),(4+((CROQUIS!$C$97-CROQUIS!$C$107/2-CROQUIS!$C$140)-CROQUIS!$C$169)*CROQUIS!$C$171),(4+((IF(CROQUIS!$C$104=1,CROQUIS!$C$97+CROQUIS!$C$107/2+30,CROQUIS!$C$97+CROQUIS!$C$107/2-3))-CROQUIS!$C$169)*CROQUIS!$C$171),(4+((IF(CROQUIS!$C$104=1,CROQUIS!$C$97+CROQUIS!$C$107/2+30,CROQUIS!$C$97+CROQUIS!$C$107/2-3))-CROQUIS!$C$169)*CROQUIS!$C$171)),-1000)</f>
        <v>-1000</v>
      </c>
      <c r="EA8">
        <f>IF(AND(CROQUIS!$C$87=1,CROQUIS!$C$91=0,CROQUIS!$C$130&gt;=2,OR(CROQUIS!$C$104=1,CROQUIS!$C$142=1)),CHOOSE(MIN(MAX($A8,1),3),(30+(((CROQUIS!$C$108-CROQUIS!$C$117-2*CROQUIS!$C$116-CROQUIS!$C$129/2)-1.3*CROQUIS!$C$129-0.4))*CROQUIS!$C$171*CROQUIS!$C$172),(30+(((CROQUIS!$C$108-CROQUIS!$C$117-2*CROQUIS!$C$116-CROQUIS!$C$129/2)-1.3*CROQUIS!$C$129-0.4))*CROQUIS!$C$171*CROQUIS!$C$172),(30+(((CROQUIS!$C$108-CROQUIS!$C$117-2*CROQUIS!$C$116-CROQUIS!$C$129/2)-1.3*CROQUIS!$C$129-0.4)-IF(CROQUIS!$C$104=1,0,MIN(12*CROQUIS!$C$129,CROQUIS!$C$108-CROQUIS!$C$109-CROQUIS!$C$110)))*CROQUIS!$C$171*CROQUIS!$C$172)),-1000)</f>
        <v>-1000</v>
      </c>
      <c r="EB8">
        <f>IF(AND(CROQUIS!$C$87=1,CROQUIS!$C$162&gt;0),CHOOSE(MIN(MAX($A8,1),5)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),-1000)</f>
        <v>17.0736842105263</v>
      </c>
      <c r="EC8">
        <f>IF(AND(CROQUIS!$C$87=1,CROQUIS!$C$162&gt;0),CHOOSE(MIN(MAX($A8,1),5),(30+(0)*CROQUIS!$C$171*CROQUIS!$C$172),(30+(0)*CROQUIS!$C$171*CROQUIS!$C$172),(30+(CROQUIS!$C$114)*CROQUIS!$C$171*CROQUIS!$C$172),(30+(CROQUIS!$C$114)*CROQUIS!$C$171*CROQUIS!$C$172),(30+(0)*CROQUIS!$C$171*CROQUIS!$C$172)),-1000)</f>
        <v>30</v>
      </c>
      <c r="ED8">
        <f>IF(AND(CROQUIS!$C$87=1,CROQUIS!$C$162&gt;0),CHOOSE(MIN(MAX($A8,1),4)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),-1000)</f>
        <v>17.0736842105263</v>
      </c>
      <c r="EE8">
        <f>IF(AND(CROQUIS!$C$87=1,CROQUIS!$C$162&gt;0),CHOOSE(MIN(MAX($A8,1),4),(30+(0)*CROQUIS!$C$171*CROQUIS!$C$172),(30+(CROQUIS!$C$108)*CROQUIS!$C$171*CROQUIS!$C$172),(30+(CROQUIS!$C$108)*CROQUIS!$C$171*CROQUIS!$C$172),(30+(0)*CROQUIS!$C$171*CROQUIS!$C$172)),-1000)</f>
        <v>30</v>
      </c>
      <c r="EF8">
        <f>IF(AND(CROQUIS!$C$87=1),CHOOSE(MIN(MAX($A8,1)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11.2631578947368</v>
      </c>
      <c r="EG8">
        <f>IF(AND(CROQUIS!$C$87=1),CHOOSE(MIN(MAX($A8,1),7),15-1.4,15+1.4,15,15,15,15+1.4,15-1.4),-1000)</f>
        <v>13.6</v>
      </c>
      <c r="EH8">
        <f>IF(AND(CROQUIS!$C$87=1,OR(CROQUIS!$C$91=1,AND(CROQUIS!$C$130&gt;=2,OR(CROQUIS!$C$103=1,CROQUIS!$C$142=1)))),CHOOSE(MIN(MAX($A8,1)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EI8">
        <f>IF(AND(CROQUIS!$C$87=1,OR(CROQUIS!$C$91=1,AND(CROQUIS!$C$130&gt;=2,OR(CROQUIS!$C$103=1,CROQUIS!$C$142=1)))),CHOOSE(MIN(MAX($A8,1)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  <c r="EJ8">
        <f>IF(AND(CROQUIS!$C$87=1,CROQUIS!$C$91=1,CROQUIS!$C$148&gt;0),CHOOSE(MIN(MAX($A8,1),5),(4+((CROQUIS!$C$97)-CROQUIS!$C$169)*CROQUIS!$C$171),(4+((CROQUIS!$C$97)-CROQUIS!$C$169)*CROQUIS!$C$171),(4+((CROQUIS!$C$97)-CROQUIS!$C$169)*CROQUIS!$C$171)-1.2,(4+((CROQUIS!$C$97)-CROQUIS!$C$169)*CROQUIS!$C$171),(4+((CROQUIS!$C$97)-CROQUIS!$C$169)*CROQUIS!$C$171)+1.2),-1000)</f>
        <v>-1000</v>
      </c>
      <c r="EK8">
        <f>IF(AND(CROQUIS!$C$87=1,CROQUIS!$C$91=1,CROQUIS!$C$148&gt;0),CHOOSE(MIN(MAX($A8,1),5),(30+(CROQUIS!$C$108)*CROQUIS!$C$171*CROQUIS!$C$172)+13,(30+(CROQUIS!$C$108)*CROQUIS!$C$171*CROQUIS!$C$172)+1,(30+(CROQUIS!$C$108)*CROQUIS!$C$171*CROQUIS!$C$172)+4,(30+(CROQUIS!$C$108)*CROQUIS!$C$171*CROQUIS!$C$172)+1,(30+(CROQUIS!$C$108)*CROQUIS!$C$171*CROQUIS!$C$172)+4),-1000)</f>
        <v>-1000</v>
      </c>
      <c r="EL8">
        <f>IF(AND(CROQUIS!$C$88=1),CHOOSE(MIN(MAX($A8,1),5),(4+((IF(CROQUIS!$C$91=1,-CROQUIS!$C$168,IF(CROQUIS!$C$103=1,-CROQUIS!$C$107/2-30,-CROQUIS!$C$107/2)))-CROQUIS!$C$169)*CROQUIS!$C$171),(4+((IF(CROQUIS!$C$91=1,CROQUIS!$C$97,IF(CROQUIS!$C$104=1,CROQUIS!$C$97+CROQUIS!$C$107/2+30,CROQUIS!$C$97+CROQUIS!$C$107/2)))-CROQUIS!$C$169)*CROQUIS!$C$171),(4+((IF(CROQUIS!$C$91=1,CROQUIS!$C$97,IF(CROQUIS!$C$104=1,CROQUIS!$C$97+CROQUIS!$C$107/2+30,CROQUIS!$C$97+CROQUIS!$C$107/2)))-CROQUIS!$C$169)*CROQUIS!$C$171),(4+((IF(CROQUIS!$C$91=1,-CROQUIS!$C$168,IF(CROQUIS!$C$103=1,-CROQUIS!$C$107/2-30,-CROQUIS!$C$107/2)))-CROQUIS!$C$169)*CROQUIS!$C$171),(4+((IF(CROQUIS!$C$91=1,-CROQUIS!$C$168,IF(CROQUIS!$C$103=1,-CROQUIS!$C$107/2-30,-CROQUIS!$C$107/2)))-CROQUIS!$C$169)*CROQUIS!$C$171)),-1000)</f>
        <v>-1000</v>
      </c>
      <c r="EM8">
        <f>IF(AND(CROQUIS!$C$88=1),CHOOSE(MIN(MAX($A8,1),5),(30+(0)*CROQUIS!$C$171*CROQUIS!$C$172),(30+(0)*CROQUIS!$C$171*CROQUIS!$C$172),(30+(CROQUIS!$C$108)*CROQUIS!$C$171*CROQUIS!$C$172),(30+(CROQUIS!$C$108)*CROQUIS!$C$171*CROQUIS!$C$172),(30+(0)*CROQUIS!$C$171*CROQUIS!$C$172)),-1000)</f>
        <v>-1000</v>
      </c>
      <c r="EN8">
        <f>IF(AND(CROQUIS!$C$88=1),CHOOSE(MIN(MAX($A8,1)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-1000</v>
      </c>
      <c r="EO8">
        <f>IF(AND(CROQUIS!$C$88=1),CHOOSE(MIN(MAX($A8,1),10),30,30,20,20,30,IF(CROQUIS!$C$91=1,30,30),IF(CROQUIS!$C$91=1,30,30),IF(CROQUIS!$C$91=1,30,20),IF(CROQUIS!$C$91=1,30,20),IF(CROQUIS!$C$91=1,30,30)),-1000)</f>
        <v>-1000</v>
      </c>
      <c r="EP8">
        <f>IF(AND(CROQUIS!$C$88=1),CHOOSE(MIN(MAX($A8,1),4),(4+((-CROQUIS!$C$107/2+3)-CROQUIS!$C$169)*CROQUIS!$C$171),(4+((-CROQUIS!$C$107/2+3)-CROQUIS!$C$169)*CROQUIS!$C$171),(4+((IF(CROQUIS!$C$91=1,CROQUIS!$C$97-3,CROQUIS!$C$97+CROQUIS!$C$107/2-3))-CROQUIS!$C$169)*CROQUIS!$C$171),(4+((IF(CROQUIS!$C$91=1,CROQUIS!$C$97-3,CROQUIS!$C$97+CROQUIS!$C$107/2-3))-CROQUIS!$C$169)*CROQUIS!$C$171)),-1000)</f>
        <v>-1000</v>
      </c>
      <c r="EQ8">
        <f>IF(AND(CROQUIS!$C$88=1),CHOOSE(MIN(MAX($A8,1),4),(30+((CROQUIS!$C$109+CROQUIS!$C$125/2)+IF(AND(CROQUIS!$C$91=0,CROQUIS!$C$103=0),MIN(12*CROQUIS!$C$125,CROQUIS!$C$108-CROQUIS!$C$109-CROQUIS!$C$110),0))*CROQUIS!$C$171*CROQUIS!$C$172),(30+((CROQUIS!$C$109+CROQUIS!$C$125/2))*CROQUIS!$C$171*CROQUIS!$C$172),(30+((CROQUIS!$C$109+CROQUIS!$C$125/2))*CROQUIS!$C$171*CROQUIS!$C$172),(30+((CROQUIS!$C$109+CROQUIS!$C$125/2)+IF(AND(CROQUIS!$C$91=0,CROQUIS!$C$104=0),MIN(12*CROQUIS!$C$125,CROQUIS!$C$108-CROQUIS!$C$109-CROQUIS!$C$110),0))*CROQUIS!$C$171*CROQUIS!$C$172)),-1000)</f>
        <v>-1000</v>
      </c>
      <c r="ER8">
        <f>IF(AND(CROQUIS!$C$88=1,CROQUIS!$C$91=1),CHOOSE(MIN(MAX($A8,1),4),(4+((IF(CROQUIS!$C$91=1,-(CROQUIS!$C$107/2+CROQUIS!$C$140),IF(CROQUIS!$C$103=1,-CROQUIS!$C$107/2-30,-CROQUIS!$C$107/2+3)))-CROQUIS!$C$169)*CROQUIS!$C$171),(4+((IF(CROQUIS!$C$91=1,-(CROQUIS!$C$107/2+CROQUIS!$C$140),IF(CROQUIS!$C$103=1,-CROQUIS!$C$107/2-30,-CROQUIS!$C$107/2+3)))-CROQUIS!$C$169)*CROQUIS!$C$171),(4+((IF(CROQUIS!$C$91=1,CROQUIS!$C$97-3,IF(CROQUIS!$C$104=1,CROQUIS!$C$97+CROQUIS!$C$107/2+30,CROQUIS!$C$97+CROQUIS!$C$107/2-3)))-CROQUIS!$C$169)*CROQUIS!$C$171),(4+((IF(CROQUIS!$C$91=1,CROQUIS!$C$97-3,IF(CROQUIS!$C$104=1,CROQUIS!$C$97+CROQUIS!$C$107/2+30,CROQUIS!$C$97+CROQUIS!$C$107/2-3)))-CROQUIS!$C$169)*CROQUIS!$C$171)),-1000)</f>
        <v>-1000</v>
      </c>
      <c r="ES8">
        <f>IF(AND(CROQUIS!$C$88=1,CROQUIS!$C$91=1),CHOOSE(MIN(MAX($A8,1),4),(30+((CROQUIS!$C$108-CROQUIS!$C$110-CROQUIS!$C$129/2)-IF(AND(CROQUIS!$C$91=0,CROQUIS!$C$103=0),MIN(12*CROQUIS!$C$129,CROQUIS!$C$108-CROQUIS!$C$109-CROQUIS!$C$110),0))*CROQUIS!$C$171*CROQUIS!$C$172),(30+((CROQUIS!$C$108-CROQUIS!$C$110-CROQUIS!$C$129/2))*CROQUIS!$C$171*CROQUIS!$C$172),(30+((CROQUIS!$C$108-CROQUIS!$C$110-CROQUIS!$C$129/2))*CROQUIS!$C$171*CROQUIS!$C$172),(30+((CROQUIS!$C$108-CROQUIS!$C$110-CROQUIS!$C$129/2)-IF(OR(CROQUIS!$C$91=1,CROQUIS!$C$104=0),MIN(12*CROQUIS!$C$129,CROQUIS!$C$108-CROQUIS!$C$109-CROQUIS!$C$110),0))*CROQUIS!$C$171*CROQUIS!$C$172)),-1000)</f>
        <v>-1000</v>
      </c>
      <c r="ET8">
        <f>IF(AND(CROQUIS!$C$88=1,CROQUIS!$C$91=0,CROQUIS!$C$130&gt;0,OR(CROQUIS!$C$103=1,CROQUIS!$C$142=1)),CHOOSE(MIN(MAX($A8,1),3),(4+((IF(CROQUIS!$C$103=1,-CROQUIS!$C$107/2-30,-CROQUIS!$C$107/2+3))-CROQUIS!$C$169)*CROQUIS!$C$171),(4+((IF(CROQUIS!$C$103=1,-CROQUIS!$C$107/2-30,-CROQUIS!$C$107/2+3))-CROQUIS!$C$169)*CROQUIS!$C$171),(4+((CROQUIS!$C$107/2+CROQUIS!$C$140)-CROQUIS!$C$169)*CROQUIS!$C$171)),-1000)</f>
        <v>-1000</v>
      </c>
      <c r="EU8">
        <f>IF(AND(CROQUIS!$C$88=1,CROQUIS!$C$91=0,CROQUIS!$C$130&gt;0,OR(CROQUIS!$C$103=1,CROQUIS!$C$142=1)),CHOOSE(MIN(MAX($A8,1),3),(30+((CROQUIS!$C$108-CROQUIS!$C$110-CROQUIS!$C$129/2)-IF(CROQUIS!$C$103=1,0,MIN(12*CROQUIS!$C$129,CROQUIS!$C$108-CROQUIS!$C$109-CROQUIS!$C$110)))*CROQUIS!$C$171*CROQUIS!$C$172),(30+((CROQUIS!$C$108-CROQUIS!$C$110-CROQUIS!$C$129/2))*CROQUIS!$C$171*CROQUIS!$C$172),(30+((CROQUIS!$C$108-CROQUIS!$C$110-CROQUIS!$C$129/2))*CROQUIS!$C$171*CROQUIS!$C$172)),-1000)</f>
        <v>-1000</v>
      </c>
      <c r="EV8">
        <f>IF(AND(CROQUIS!$C$88=1,CROQUIS!$C$91=0,CROQUIS!$C$130&gt;0,OR(CROQUIS!$C$104=1,CROQUIS!$C$142=1)),CHOOSE(MIN(MAX($A8,1),3),(4+((CROQUIS!$C$97-CROQUIS!$C$107/2-CROQUIS!$C$140)-CROQUIS!$C$169)*CROQUIS!$C$171),(4+((IF(CROQUIS!$C$104=1,CROQUIS!$C$97+CROQUIS!$C$107/2+30,CROQUIS!$C$97+CROQUIS!$C$107/2-3))-CROQUIS!$C$169)*CROQUIS!$C$171),(4+((IF(CROQUIS!$C$104=1,CROQUIS!$C$97+CROQUIS!$C$107/2+30,CROQUIS!$C$97+CROQUIS!$C$107/2-3))-CROQUIS!$C$169)*CROQUIS!$C$171)),-1000)</f>
        <v>-1000</v>
      </c>
      <c r="EW8">
        <f>IF(AND(CROQUIS!$C$88=1,CROQUIS!$C$91=0,CROQUIS!$C$130&gt;0,OR(CROQUIS!$C$104=1,CROQUIS!$C$142=1)),CHOOSE(MIN(MAX($A8,1),3),(30+((CROQUIS!$C$108-CROQUIS!$C$110-CROQUIS!$C$129/2))*CROQUIS!$C$171*CROQUIS!$C$172),(30+((CROQUIS!$C$108-CROQUIS!$C$110-CROQUIS!$C$129/2))*CROQUIS!$C$171*CROQUIS!$C$172),(30+((CROQUIS!$C$108-CROQUIS!$C$110-CROQUIS!$C$129/2)-IF(CROQUIS!$C$104=1,0,MIN(12*CROQUIS!$C$129,CROQUIS!$C$108-CROQUIS!$C$109-CROQUIS!$C$110)))*CROQUIS!$C$171*CROQUIS!$C$172)),-1000)</f>
        <v>-1000</v>
      </c>
      <c r="EX8">
        <f>IF(AND(CROQUIS!$C$88=1),CHOOSE(MIN(MAX($A8,1)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-1000</v>
      </c>
      <c r="EY8">
        <f>IF(AND(CROQUIS!$C$88=1),CHOOSE(MIN(MAX($A8,1),7),15-1.4,15+1.4,15,15,15,15+1.4,15-1.4),-1000)</f>
        <v>-1000</v>
      </c>
      <c r="EZ8">
        <f>IF(AND(CROQUIS!$C$88=1,OR(CROQUIS!$C$91=1,AND(CROQUIS!$C$130&gt;0,OR(CROQUIS!$C$103=1,CROQUIS!$C$142=1)))),CHOOSE(MIN(MAX($A8,1)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FA8">
        <f>IF(AND(CROQUIS!$C$88=1,OR(CROQUIS!$C$91=1,AND(CROQUIS!$C$130&gt;0,OR(CROQUIS!$C$103=1,CROQUIS!$C$142=1)))),CHOOSE(MIN(MAX($A8,1)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  <c r="FB8">
        <f>IF(AND(CROQUIS!$C$88=1,CROQUIS!$C$91=1,CROQUIS!$C$148&gt;0),CHOOSE(MIN(MAX($A8,1),5),(4+((CROQUIS!$C$97)-CROQUIS!$C$169)*CROQUIS!$C$171),(4+((CROQUIS!$C$97)-CROQUIS!$C$169)*CROQUIS!$C$171),(4+((CROQUIS!$C$97)-CROQUIS!$C$169)*CROQUIS!$C$171)-1.2,(4+((CROQUIS!$C$97)-CROQUIS!$C$169)*CROQUIS!$C$171),(4+((CROQUIS!$C$97)-CROQUIS!$C$169)*CROQUIS!$C$171)+1.2),-1000)</f>
        <v>-1000</v>
      </c>
      <c r="FC8">
        <f>IF(AND(CROQUIS!$C$88=1,CROQUIS!$C$91=1,CROQUIS!$C$148&gt;0),CHOOSE(MIN(MAX($A8,1),5),(30+(CROQUIS!$C$108)*CROQUIS!$C$171*CROQUIS!$C$172)+13,(30+(CROQUIS!$C$108)*CROQUIS!$C$171*CROQUIS!$C$172)+1,(30+(CROQUIS!$C$108)*CROQUIS!$C$171*CROQUIS!$C$172)+4,(30+(CROQUIS!$C$108)*CROQUIS!$C$171*CROQUIS!$C$172)+1,(30+(CROQUIS!$C$108)*CROQUIS!$C$171*CROQUIS!$C$172)+4),-1000)</f>
        <v>-1000</v>
      </c>
    </row>
    <row r="9">
      <c r="A9" t="n">
        <v>2</v>
      </c>
      <c r="B9">
        <f>IF(AND(CROQUIS!$C$87=1),CHOOSE(MIN(MAX($A9,1),5),(CROQUIS!$C$156+(0)*CROQUIS!$C$155),(CROQUIS!$C$156+(CROQUIS!$C$95)*CROQUIS!$C$155),(CROQUIS!$C$156+(CROQUIS!$C$95)*CROQUIS!$C$155),(CROQUIS!$C$156+(0)*CROQUIS!$C$155),(CROQUIS!$C$156+(0)*CROQUIS!$C$155)),-1000)</f>
        <v>88</v>
      </c>
      <c r="C9">
        <f>IF(AND(CROQUIS!$C$87=1),CHOOSE(MIN(MAX($A9,1),5),(CROQUIS!$C$157+(0)*CROQUIS!$C$155),(CROQUIS!$C$157+(0)*CROQUIS!$C$155),(CROQUIS!$C$157+(CROQUIS!$C$96)*CROQUIS!$C$155),(CROQUIS!$C$157+(CROQUIS!$C$96)*CROQUIS!$C$155),(CROQUIS!$C$157+(0)*CROQUIS!$C$155)),-1000)</f>
        <v>15.6574785359241</v>
      </c>
      <c r="D9">
        <f>IF(AND(CROQUIS!$C$87=1),CHOOSE(MIN(MAX($A9,1),5),(CROQUIS!$C$156+(IF(CROQUIS!$C$91=1,CHOOSE(CROQUIS!$C$93,-CROQUIS!$C$107/2,CROQUIS!$C$95-CROQUIS!$C$107/2,0,0),CROQUIS!$C$107/2))*CROQUIS!$C$155),(CROQUIS!$C$156+(IF(CROQUIS!$C$91=1,CHOOSE(CROQUIS!$C$93,CROQUIS!$C$107/2,CROQUIS!$C$95+CROQUIS!$C$107/2,CROQUIS!$C$95,CROQUIS!$C$95),CROQUIS!$C$95-CROQUIS!$C$107/2))*CROQUIS!$C$155),(CROQUIS!$C$156+(IF(CROQUIS!$C$91=1,CHOOSE(CROQUIS!$C$93,CROQUIS!$C$107/2,CROQUIS!$C$95+CROQUIS!$C$107/2,CROQUIS!$C$95,CROQUIS!$C$95),CROQUIS!$C$95-CROQUIS!$C$107/2))*CROQUIS!$C$155),(CROQUIS!$C$156+(IF(CROQUIS!$C$91=1,CHOOSE(CROQUIS!$C$93,-CROQUIS!$C$107/2,CROQUIS!$C$95-CROQUIS!$C$107/2,0,0),CROQUIS!$C$107/2))*CROQUIS!$C$155),(CROQUIS!$C$156+(IF(CROQUIS!$C$91=1,CHOOSE(CROQUIS!$C$93,-CROQUIS!$C$107/2,CROQUIS!$C$95-CROQUIS!$C$107/2,0,0),CROQUIS!$C$107/2))*CROQUIS!$C$155)),-1000)</f>
        <v>86.7121554450972</v>
      </c>
      <c r="E9">
        <f>IF(AND(CROQUIS!$C$87=1),CHOOSE(MIN(MAX($A9,1),5),(CROQUIS!$C$157+(IF(CROQUIS!$C$91=1,CHOOSE(CROQUIS!$C$93,0,0,-CROQUIS!$C$107/2,CROQUIS!$C$96-CROQUIS!$C$107/2),CROQUIS!$C$107/2))*CROQUIS!$C$155),(CROQUIS!$C$157+(IF(CROQUIS!$C$91=1,CHOOSE(CROQUIS!$C$93,0,0,-CROQUIS!$C$107/2,CROQUIS!$C$96-CROQUIS!$C$107/2),CROQUIS!$C$107/2))*CROQUIS!$C$155),(CROQUIS!$C$157+(IF(CROQUIS!$C$91=1,CHOOSE(CROQUIS!$C$93,CROQUIS!$C$96,CROQUIS!$C$96,CROQUIS!$C$107/2,CROQUIS!$C$96+CROQUIS!$C$107/2),CROQUIS!$C$96-CROQUIS!$C$107/2))*CROQUIS!$C$155),(CROQUIS!$C$157+(IF(CROQUIS!$C$91=1,CHOOSE(CROQUIS!$C$93,CROQUIS!$C$96,CROQUIS!$C$96,CROQUIS!$C$107/2,CROQUIS!$C$96+CROQUIS!$C$107/2),CROQUIS!$C$96-CROQUIS!$C$107/2))*CROQUIS!$C$155),(CROQUIS!$C$157+(IF(CROQUIS!$C$91=1,CHOOSE(CROQUIS!$C$93,0,0,-CROQUIS!$C$107/2,CROQUIS!$C$96-CROQUIS!$C$107/2),CROQUIS!$C$107/2))*CROQUIS!$C$155)),-1000)</f>
        <v>16.9453230908269</v>
      </c>
      <c r="F9">
        <f>IF(AND(CROQUIS!$C$87=1,CROQUIS!$C$91=1),((CROQUIS!$C$156+(IF(CROQUIS!$C$92="X",IF(CROQUIS!$C$94=1,0,CROQUIS!$C$97)+IF(MOD($A9,2)=1,-CROQUIS!$C$107/2,CROQUIS!$C$107/2),(MIN($A9,41)-1)/40*CROQUIS!$C$98))*CROQUIS!$C$155)+IF(CROQUIS!$C$92="X",0,0)),-1000)</f>
        <v>-1000</v>
      </c>
      <c r="G9">
        <f>IF(AND(CROQUIS!$C$87=1,CROQUIS!$C$91=1),((CROQUIS!$C$157+(IF(CROQUIS!$C$92="X",(MIN($A9,41)-1)/40*CROQUIS!$C$98,IF(CROQUIS!$C$94=1,0,CROQUIS!$C$97)+IF(MOD($A9,2)=1,-CROQUIS!$C$107/2,CROQUIS!$C$107/2)))*CROQUIS!$C$155)+IF(CROQUIS!$C$92="X",0,0)),-1000)</f>
        <v>-1000</v>
      </c>
      <c r="H9">
        <f>IF(AND(CROQUIS!$C$87=1,CROQUIS!$C$91=1),CHOOSE(MIN(MAX($A9,1),5),(CROQUIS!$C$156+(CHOOSE(MAX(CROQUIS!$C$93,1),-CROQUIS!$C$150,CROQUIS!$C$95,0,0))*CROQUIS!$C$155),(CROQUIS!$C$156+(CHOOSE(MAX(CROQUIS!$C$93,1),0,CROQUIS!$C$95+CROQUIS!$C$150,CROQUIS!$C$95,CROQUIS!$C$95))*CROQUIS!$C$155),(CROQUIS!$C$156+(CHOOSE(MAX(CROQUIS!$C$93,1),0,CROQUIS!$C$95+CROQUIS!$C$150,CROQUIS!$C$95,CROQUIS!$C$95))*CROQUIS!$C$155),(CROQUIS!$C$156+(CHOOSE(MAX(CROQUIS!$C$93,1),-CROQUIS!$C$150,CROQUIS!$C$95,0,0))*CROQUIS!$C$155),(CROQUIS!$C$156+(CHOOSE(MAX(CROQUIS!$C$93,1),-CROQUIS!$C$150,CROQUIS!$C$95,0,0))*CROQUIS!$C$155)),-1000)</f>
        <v>-1000</v>
      </c>
      <c r="I9">
        <f>IF(AND(CROQUIS!$C$87=1,CROQUIS!$C$91=1),CHOOSE(MIN(MAX($A9,1),5),(CROQUIS!$C$157+(CHOOSE(MAX(CROQUIS!$C$93,1),0,0,-CROQUIS!$C$150,CROQUIS!$C$96))*CROQUIS!$C$155),(CROQUIS!$C$157+(CHOOSE(MAX(CROQUIS!$C$93,1),0,0,-CROQUIS!$C$150,CROQUIS!$C$96))*CROQUIS!$C$155),(CROQUIS!$C$157+(CHOOSE(MAX(CROQUIS!$C$93,1),CROQUIS!$C$96,CROQUIS!$C$96,0,CROQUIS!$C$96+CROQUIS!$C$150))*CROQUIS!$C$155),(CROQUIS!$C$157+(CHOOSE(MAX(CROQUIS!$C$93,1),CROQUIS!$C$96,CROQUIS!$C$96,0,CROQUIS!$C$96+CROQUIS!$C$150))*CROQUIS!$C$155),(CROQUIS!$C$157+(CHOOSE(MAX(CROQUIS!$C$93,1),0,0,-CROQUIS!$C$150,CROQUIS!$C$96))*CROQUIS!$C$155)),-1000)</f>
        <v>-1000</v>
      </c>
      <c r="J9">
        <f>IF(AND(CROQUIS!$C$87=1,CROQUIS!$C$91=1,CROQUIS!$C$148&gt;0),((CROQUIS!$C$156+(IF(CROQUIS!$C$92="X",IF(CROQUIS!$C$94=1,CROQUIS!$C$97,0),CHOOSE(MIN(MAX($A9,1),3),0,0.5,1)*CROQUIS!$C$98))*CROQUIS!$C$155)+IF(CROQUIS!$C$92="X",0,0)),-1000)</f>
        <v>-1000</v>
      </c>
      <c r="K9">
        <f>IF(AND(CROQUIS!$C$87=1,CROQUIS!$C$91=1,CROQUIS!$C$148&gt;0),((CROQUIS!$C$157+(IF(CROQUIS!$C$92="X",CHOOSE(MIN(MAX($A9,1),3),0,0.5,1)*CROQUIS!$C$98,IF(CROQUIS!$C$94=1,CROQUIS!$C$97,0)))*CROQUIS!$C$155)+IF(CROQUIS!$C$92="X",0,0)),-1000)</f>
        <v>-1000</v>
      </c>
      <c r="L9">
        <f>IF(AND(CROQUIS!$C$87=1),CHOOSE(MIN(MAX($A9,1)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12</v>
      </c>
      <c r="M9">
        <f>IF(AND(CROQUIS!$C$87=1),CHOOSE(MIN(MAX($A9,1)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12.0574785359241</v>
      </c>
      <c r="N9">
        <f>IF(AND(CROQUIS!$C$87=1),CHOOSE(MIN(MAX($A9,1)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8.4</v>
      </c>
      <c r="O9">
        <f>IF(AND(CROQUIS!$C$87=1),CHOOSE(MIN(MAX($A9,1)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15.6574785359241</v>
      </c>
      <c r="P9">
        <f>IF(AND(CROQUIS!$C$88=1),CHOOSE(MIN(MAX($A9,1),5),(CROQUIS!$C$156+(0)*CROQUIS!$C$155),(CROQUIS!$C$156+(CROQUIS!$C$95)*CROQUIS!$C$155),(CROQUIS!$C$156+(CROQUIS!$C$95)*CROQUIS!$C$155),(CROQUIS!$C$156+(0)*CROQUIS!$C$155),(CROQUIS!$C$156+(0)*CROQUIS!$C$155)),-1000)</f>
        <v>-1000</v>
      </c>
      <c r="Q9">
        <f>IF(AND(CROQUIS!$C$88=1),CHOOSE(MIN(MAX($A9,1),5),(CROQUIS!$C$157+(0)*CROQUIS!$C$155),(CROQUIS!$C$157+(0)*CROQUIS!$C$155),(CROQUIS!$C$157+(CROQUIS!$C$96)*CROQUIS!$C$155),(CROQUIS!$C$157+(CROQUIS!$C$96)*CROQUIS!$C$155),(CROQUIS!$C$157+(0)*CROQUIS!$C$155)),-1000)</f>
        <v>-1000</v>
      </c>
      <c r="R9">
        <f>IF(AND(CROQUIS!$C$88=1),CHOOSE(MIN(MAX($A9,1),5),(CROQUIS!$C$156+(IF(CROQUIS!$C$91=1,CHOOSE(CROQUIS!$C$93,-CROQUIS!$C$107/2,CROQUIS!$C$95-CROQUIS!$C$107/2,0,0),CROQUIS!$C$107/2))*CROQUIS!$C$155),(CROQUIS!$C$156+(IF(CROQUIS!$C$91=1,CHOOSE(CROQUIS!$C$93,CROQUIS!$C$107/2,CROQUIS!$C$95+CROQUIS!$C$107/2,CROQUIS!$C$95,CROQUIS!$C$95),CROQUIS!$C$95-CROQUIS!$C$107/2))*CROQUIS!$C$155),(CROQUIS!$C$156+(IF(CROQUIS!$C$91=1,CHOOSE(CROQUIS!$C$93,CROQUIS!$C$107/2,CROQUIS!$C$95+CROQUIS!$C$107/2,CROQUIS!$C$95,CROQUIS!$C$95),CROQUIS!$C$95-CROQUIS!$C$107/2))*CROQUIS!$C$155),(CROQUIS!$C$156+(IF(CROQUIS!$C$91=1,CHOOSE(CROQUIS!$C$93,-CROQUIS!$C$107/2,CROQUIS!$C$95-CROQUIS!$C$107/2,0,0),CROQUIS!$C$107/2))*CROQUIS!$C$155),(CROQUIS!$C$156+(IF(CROQUIS!$C$91=1,CHOOSE(CROQUIS!$C$93,-CROQUIS!$C$107/2,CROQUIS!$C$95-CROQUIS!$C$107/2,0,0),CROQUIS!$C$107/2))*CROQUIS!$C$155)),-1000)</f>
        <v>-1000</v>
      </c>
      <c r="S9">
        <f>IF(AND(CROQUIS!$C$88=1),CHOOSE(MIN(MAX($A9,1),5),(CROQUIS!$C$157+(IF(CROQUIS!$C$91=1,CHOOSE(CROQUIS!$C$93,0,0,-CROQUIS!$C$107/2,CROQUIS!$C$96-CROQUIS!$C$107/2),CROQUIS!$C$107/2))*CROQUIS!$C$155),(CROQUIS!$C$157+(IF(CROQUIS!$C$91=1,CHOOSE(CROQUIS!$C$93,0,0,-CROQUIS!$C$107/2,CROQUIS!$C$96-CROQUIS!$C$107/2),CROQUIS!$C$107/2))*CROQUIS!$C$155),(CROQUIS!$C$157+(IF(CROQUIS!$C$91=1,CHOOSE(CROQUIS!$C$93,CROQUIS!$C$96,CROQUIS!$C$96,CROQUIS!$C$107/2,CROQUIS!$C$96+CROQUIS!$C$107/2),CROQUIS!$C$96-CROQUIS!$C$107/2))*CROQUIS!$C$155),(CROQUIS!$C$157+(IF(CROQUIS!$C$91=1,CHOOSE(CROQUIS!$C$93,CROQUIS!$C$96,CROQUIS!$C$96,CROQUIS!$C$107/2,CROQUIS!$C$96+CROQUIS!$C$107/2),CROQUIS!$C$96-CROQUIS!$C$107/2))*CROQUIS!$C$155),(CROQUIS!$C$157+(IF(CROQUIS!$C$91=1,CHOOSE(CROQUIS!$C$93,0,0,-CROQUIS!$C$107/2,CROQUIS!$C$96-CROQUIS!$C$107/2),CROQUIS!$C$107/2))*CROQUIS!$C$155)),-1000)</f>
        <v>-1000</v>
      </c>
      <c r="T9">
        <f>IF(AND(CROQUIS!$C$88=1,CROQUIS!$C$91=1),((CROQUIS!$C$156+(IF(CROQUIS!$C$92="X",IF(CROQUIS!$C$94=1,0,CROQUIS!$C$97)+IF(MOD($A9,2)=1,-CROQUIS!$C$107/2,CROQUIS!$C$107/2),(MIN($A9,41)-1)/40*CROQUIS!$C$98))*CROQUIS!$C$155)+IF(CROQUIS!$C$92="X",0,0)),-1000)</f>
        <v>-1000</v>
      </c>
      <c r="U9">
        <f>IF(AND(CROQUIS!$C$88=1,CROQUIS!$C$91=1),((CROQUIS!$C$157+(IF(CROQUIS!$C$92="X",(MIN($A9,41)-1)/40*CROQUIS!$C$98,IF(CROQUIS!$C$94=1,0,CROQUIS!$C$97)+IF(MOD($A9,2)=1,-CROQUIS!$C$107/2,CROQUIS!$C$107/2)))*CROQUIS!$C$155)+IF(CROQUIS!$C$92="X",0,0)),-1000)</f>
        <v>-1000</v>
      </c>
      <c r="V9">
        <f>IF(AND(CROQUIS!$C$88=1,CROQUIS!$C$91=1),CHOOSE(MIN(MAX($A9,1),5),(CROQUIS!$C$156+(CHOOSE(MAX(CROQUIS!$C$93,1),-CROQUIS!$C$150,CROQUIS!$C$95,0,0))*CROQUIS!$C$155),(CROQUIS!$C$156+(CHOOSE(MAX(CROQUIS!$C$93,1),0,CROQUIS!$C$95+CROQUIS!$C$150,CROQUIS!$C$95,CROQUIS!$C$95))*CROQUIS!$C$155),(CROQUIS!$C$156+(CHOOSE(MAX(CROQUIS!$C$93,1),0,CROQUIS!$C$95+CROQUIS!$C$150,CROQUIS!$C$95,CROQUIS!$C$95))*CROQUIS!$C$155),(CROQUIS!$C$156+(CHOOSE(MAX(CROQUIS!$C$93,1),-CROQUIS!$C$150,CROQUIS!$C$95,0,0))*CROQUIS!$C$155),(CROQUIS!$C$156+(CHOOSE(MAX(CROQUIS!$C$93,1),-CROQUIS!$C$150,CROQUIS!$C$95,0,0))*CROQUIS!$C$155)),-1000)</f>
        <v>-1000</v>
      </c>
      <c r="W9">
        <f>IF(AND(CROQUIS!$C$88=1,CROQUIS!$C$91=1),CHOOSE(MIN(MAX($A9,1),5),(CROQUIS!$C$157+(CHOOSE(MAX(CROQUIS!$C$93,1),0,0,-CROQUIS!$C$150,CROQUIS!$C$96))*CROQUIS!$C$155),(CROQUIS!$C$157+(CHOOSE(MAX(CROQUIS!$C$93,1),0,0,-CROQUIS!$C$150,CROQUIS!$C$96))*CROQUIS!$C$155),(CROQUIS!$C$157+(CHOOSE(MAX(CROQUIS!$C$93,1),CROQUIS!$C$96,CROQUIS!$C$96,0,CROQUIS!$C$96+CROQUIS!$C$150))*CROQUIS!$C$155),(CROQUIS!$C$157+(CHOOSE(MAX(CROQUIS!$C$93,1),CROQUIS!$C$96,CROQUIS!$C$96,0,CROQUIS!$C$96+CROQUIS!$C$150))*CROQUIS!$C$155),(CROQUIS!$C$157+(CHOOSE(MAX(CROQUIS!$C$93,1),0,0,-CROQUIS!$C$150,CROQUIS!$C$96))*CROQUIS!$C$155)),-1000)</f>
        <v>-1000</v>
      </c>
      <c r="X9">
        <f>IF(AND(CROQUIS!$C$88=1,CROQUIS!$C$91=1,CROQUIS!$C$148&gt;0),((CROQUIS!$C$156+(IF(CROQUIS!$C$92="X",IF(CROQUIS!$C$94=1,CROQUIS!$C$97,0),CHOOSE(MIN(MAX($A9,1),3),0,0.5,1)*CROQUIS!$C$98))*CROQUIS!$C$155)+IF(CROQUIS!$C$92="X",0,0)),-1000)</f>
        <v>-1000</v>
      </c>
      <c r="Y9">
        <f>IF(AND(CROQUIS!$C$88=1,CROQUIS!$C$91=1,CROQUIS!$C$148&gt;0),((CROQUIS!$C$157+(IF(CROQUIS!$C$92="X",CHOOSE(MIN(MAX($A9,1),3),0,0.5,1)*CROQUIS!$C$98,IF(CROQUIS!$C$94=1,CROQUIS!$C$97,0)))*CROQUIS!$C$155)+IF(CROQUIS!$C$92="X",0,0)),-1000)</f>
        <v>-1000</v>
      </c>
      <c r="Z9">
        <f>IF(AND(CROQUIS!$C$88=1),CHOOSE(MIN(MAX($A9,1)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-1000</v>
      </c>
      <c r="AA9">
        <f>IF(AND(CROQUIS!$C$88=1),CHOOSE(MIN(MAX($A9,1)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-1000</v>
      </c>
      <c r="AB9">
        <f>IF(AND(CROQUIS!$C$88=1),CHOOSE(MIN(MAX($A9,1)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-1000</v>
      </c>
      <c r="AC9">
        <f>IF(AND(CROQUIS!$C$88=1),CHOOSE(MIN(MAX($A9,1)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-1000</v>
      </c>
      <c r="AD9">
        <f>IF(AND(CROQUIS!$C$87=1,CROQUIS!$C$91=1,CROQUIS!$C$144&gt;0),CHOOSE(MIN(MAX($A9,1),5),(CROQUIS!$C$156+(CHOOSE(MAX(CROQUIS!$C$93,1),-(CROQUIS!$C$107/2+CROQUIS!$C$144),CROQUIS!$C$95+CROQUIS!$C$107/2,0,0))*CROQUIS!$C$155),(CROQUIS!$C$156+(CHOOSE(MAX(CROQUIS!$C$93,1),-CROQUIS!$C$107/2,CROQUIS!$C$95+(CROQUIS!$C$107/2+CROQUIS!$C$144),CROQUIS!$C$95,CROQUIS!$C$95))*CROQUIS!$C$155),(CROQUIS!$C$156+(CHOOSE(MAX(CROQUIS!$C$93,1),-CROQUIS!$C$107/2,CROQUIS!$C$95+(CROQUIS!$C$107/2+CROQUIS!$C$144),CROQUIS!$C$95,CROQUIS!$C$95))*CROQUIS!$C$155),(CROQUIS!$C$156+(CHOOSE(MAX(CROQUIS!$C$93,1),-(CROQUIS!$C$107/2+CROQUIS!$C$144),CROQUIS!$C$95+CROQUIS!$C$107/2,0,0))*CROQUIS!$C$155),(CROQUIS!$C$156+(CHOOSE(MAX(CROQUIS!$C$93,1),-(CROQUIS!$C$107/2+CROQUIS!$C$144),CROQUIS!$C$95+CROQUIS!$C$107/2,0,0))*CROQUIS!$C$155)),-1000)</f>
        <v>-1000</v>
      </c>
      <c r="AE9">
        <f>IF(AND(CROQUIS!$C$87=1,CROQUIS!$C$91=1,CROQUIS!$C$144&gt;0),CHOOSE(MIN(MAX($A9,1),5),(CROQUIS!$C$157+(CHOOSE(MAX(CROQUIS!$C$93,1),0,0,-(CROQUIS!$C$107/2+CROQUIS!$C$144),CROQUIS!$C$96+CROQUIS!$C$107/2))*CROQUIS!$C$155),(CROQUIS!$C$157+(CHOOSE(MAX(CROQUIS!$C$93,1),0,0,-(CROQUIS!$C$107/2+CROQUIS!$C$144),CROQUIS!$C$96+CROQUIS!$C$107/2))*CROQUIS!$C$155),(CROQUIS!$C$157+(CHOOSE(MAX(CROQUIS!$C$93,1),CROQUIS!$C$96,CROQUIS!$C$96,-CROQUIS!$C$107/2,CROQUIS!$C$96+(CROQUIS!$C$107/2+CROQUIS!$C$144)))*CROQUIS!$C$155),(CROQUIS!$C$157+(CHOOSE(MAX(CROQUIS!$C$93,1),CROQUIS!$C$96,CROQUIS!$C$96,-CROQUIS!$C$107/2,CROQUIS!$C$96+(CROQUIS!$C$107/2+CROQUIS!$C$144)))*CROQUIS!$C$155),(CROQUIS!$C$157+(CHOOSE(MAX(CROQUIS!$C$93,1),0,0,-(CROQUIS!$C$107/2+CROQUIS!$C$144),CROQUIS!$C$96+CROQUIS!$C$107/2))*CROQUIS!$C$155)),-1000)</f>
        <v>-1000</v>
      </c>
      <c r="AF9">
        <f>IF(AND(CROQUIS!$C$87=1,CROQUIS!$C$158&gt;0,CROQUIS!$C$160&gt;0),(CROQUIS!$C$156+((CROQUIS!$C$159+INT(MIN(INT(($A9-1)/2),MAX((2*CROQUIS!$C$158)-1,0))/2)*CROQUIS!$C$113+MOD(MIN(INT(($A9-1)/2),MAX((2*CROQUIS!$C$158)-1,0)),2)*CROQUIS!$C$112))*CROQUIS!$C$155),-1000)</f>
        <v>14.7989154993222</v>
      </c>
      <c r="AG9">
        <f>IF(AND(CROQUIS!$C$87=1,CROQUIS!$C$158&gt;0,CROQUIS!$C$160&gt;0),(CROQUIS!$C$157+(IF(MOD(MIN(INT(($A9-1)/2),MAX((2*CROQUIS!$C$158)-1,0)),2)=0,IF(IF(INT(($A9-1)/2)&gt;MAX((2*CROQUIS!$C$158)-1,0),1,MOD($A9-1,2))=0,CROQUIS!$C$161,(CROQUIS!$C$161+CROQUIS!$C$160*CROQUIS!$C$113-CROQUIS!$C$111)),IF(IF(INT(($A9-1)/2)&gt;MAX((2*CROQUIS!$C$158)-1,0),1,MOD($A9-1,2))=0,(CROQUIS!$C$161+CROQUIS!$C$160*CROQUIS!$C$113-CROQUIS!$C$111),CROQUIS!$C$161)))*CROQUIS!$C$155),-1000)</f>
        <v>79.1911432444645</v>
      </c>
      <c r="AH9">
        <f>IF(AND(CROQUIS!$C$87=1,CROQUIS!$C$160&gt;0,CROQUIS!$C$158&gt;0),(CROQUIS!$C$156+(IF(MOD(MIN(INT(($A9-1)/2),MAX((2*CROQUIS!$C$160)-1,0)),2)=0,IF(IF(INT(($A9-1)/2)&gt;MAX((2*CROQUIS!$C$160)-1,0),1,MOD($A9-1,2))=0,CROQUIS!$C$159,(CROQUIS!$C$159+CROQUIS!$C$158*CROQUIS!$C$113-CROQUIS!$C$111)),IF(IF(INT(($A9-1)/2)&gt;MAX((2*CROQUIS!$C$160)-1,0),1,MOD($A9-1,2))=0,(CROQUIS!$C$159+CROQUIS!$C$158*CROQUIS!$C$113-CROQUIS!$C$111),CROQUIS!$C$159)))*CROQUIS!$C$155),-1000)</f>
        <v>85.2010845006778</v>
      </c>
      <c r="AI9">
        <f>IF(AND(CROQUIS!$C$87=1,CROQUIS!$C$160&gt;0,CROQUIS!$C$158&gt;0),(CROQUIS!$C$157+((CROQUIS!$C$161+INT(MIN(INT(($A9-1)/2),MAX((2*CROQUIS!$C$160)-1,0))/2)*CROQUIS!$C$113+MOD(MIN(INT(($A9-1)/2),MAX((2*CROQUIS!$C$160)-1,0)),2)*CROQUIS!$C$112))*CROQUIS!$C$155),-1000)</f>
        <v>20.8088567555355</v>
      </c>
      <c r="AJ9">
        <f>IF(AND(CROQUIS!$C$87=1,CROQUIS!$C$158&gt;=2),(CROQUIS!$C$156+((CROQUIS!$C$159+CROQUIS!$C$112+CROQUIS!$C$111/2+MIN(INT(($A9-1)/2),MAX((CROQUIS!$C$158-1)-1,0))*CROQUIS!$C$113))*CROQUIS!$C$155),-1000)</f>
        <v>25.9602349751469</v>
      </c>
      <c r="AK9">
        <f>IF(AND(CROQUIS!$C$87=1,CROQUIS!$C$158&gt;=2),(CROQUIS!$C$157+(IF(MOD(MIN(INT(($A9-1)/2),MAX((CROQUIS!$C$158-1)-1,0)),2)=0,IF(IF(INT(($A9-1)/2)&gt;MAX((CROQUIS!$C$158-1)-1,0),1,MOD($A9-1,2))=0,CROQUIS!$C$107/2,(CROQUIS!$C$96-CROQUIS!$C$107/2)),IF(IF(INT(($A9-1)/2)&gt;MAX((CROQUIS!$C$158-1)-1,0),1,MOD($A9-1,2))=0,(CROQUIS!$C$96-CROQUIS!$C$107/2),CROQUIS!$C$107/2)))*CROQUIS!$C$155),-1000)</f>
        <v>83.0546769091731</v>
      </c>
      <c r="AL9">
        <f>IF(AND(CROQUIS!$C$87=1,CROQUIS!$C$160&gt;=2),(CROQUIS!$C$156+(IF(MOD(MIN(INT(($A9-1)/2),MAX((CROQUIS!$C$160-1)-1,0)),2)=0,IF(IF(INT(($A9-1)/2)&gt;MAX((CROQUIS!$C$160-1)-1,0),1,MOD($A9-1,2))=0,CROQUIS!$C$107/2,(CROQUIS!$C$95-CROQUIS!$C$107/2)),IF(IF(INT(($A9-1)/2)&gt;MAX((CROQUIS!$C$160-1)-1,0),1,MOD($A9-1,2))=0,(CROQUIS!$C$95-CROQUIS!$C$107/2),CROQUIS!$C$107/2)))*CROQUIS!$C$155),-1000)</f>
        <v>86.7121554450972</v>
      </c>
      <c r="AM9">
        <f>IF(AND(CROQUIS!$C$87=1,CROQUIS!$C$160&gt;=2),(CROQUIS!$C$157+((CROQUIS!$C$161+CROQUIS!$C$112+CROQUIS!$C$111/2+MIN(INT(($A9-1)/2),MAX((CROQUIS!$C$160-1)-1,0))*CROQUIS!$C$113))*CROQUIS!$C$155),-1000)</f>
        <v>31.9701762313601</v>
      </c>
      <c r="AN9">
        <f>IF(AND(CROQUIS!$C$87=1,CROQUIS!$C$123&gt;0,CROQUIS!$C$162&gt;0),((CROQUIS!$C$156+(IF(CROQUIS!$C$92="X",CHOOSE(MIN(MAX($A9,1)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,CHOOSE(MIN(MAX($A9,1)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))*CROQUIS!$C$155)+IF(CROQUIS!$C$92="X",0,0)),-1000)</f>
        <v>-1000</v>
      </c>
      <c r="AO9">
        <f>IF(AND(CROQUIS!$C$87=1,CROQUIS!$C$123&gt;0,CROQUIS!$C$162&gt;0),((CROQUIS!$C$157+(IF(CROQUIS!$C$92="X",CHOOSE(MIN(MAX($A9,1)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,CHOOSE(MIN(MAX($A9,1)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))*CROQUIS!$C$155)+IF(CROQUIS!$C$92="X",0,0)),-1000)</f>
        <v>-1000</v>
      </c>
      <c r="AP9">
        <f>IF(AND(CROQUIS!$C$87=1),((CROQUIS!$C$156+(IF(CROQUIS!$C$92="X",CHOOSE(MIN(MAX($A9,1),2),2,CROQUIS!$C$97-2),CROQUIS!$C$166))*CROQUIS!$C$155)+IF(CROQUIS!$C$92="X",0,-0.9)),-1000)</f>
        <v>49.1</v>
      </c>
      <c r="AQ9">
        <f>IF(AND(CROQUIS!$C$87=1),((CROQUIS!$C$157+(IF(CROQUIS!$C$92="X",CROQUIS!$C$166,CHOOSE(MIN(MAX($A9,1),2),2,CROQUIS!$C$97-2)))*CROQUIS!$C$155)+IF(CROQUIS!$C$92="X",-0.9,0)),-1000)</f>
        <v>83.9990962494352</v>
      </c>
      <c r="AR9">
        <f>IF(AND(CROQUIS!$C$87=1),((CROQUIS!$C$156+(IF(CROQUIS!$C$92="X",CHOOSE(MIN(MAX($A9,1),2),IF(CROQUIS!$C$91=1,IF(CROQUIS!$C$94=1,-(CROQUIS!$C$107/2+CROQUIS!$C$140),2),2),IF(CROQUIS!$C$91=1,IF(CROQUIS!$C$94=1,CROQUIS!$C$97-2,CROQUIS!$C$97+CROQUIS!$C$107/2+CROQUIS!$C$140),CROQUIS!$C$97-2)),CROQUIS!$C$166))*CROQUIS!$C$155)+IF(CROQUIS!$C$92="X",0,0.9)),-1000)</f>
        <v>50.9</v>
      </c>
      <c r="AS9">
        <f>IF(AND(CROQUIS!$C$87=1),((CROQUIS!$C$157+(IF(CROQUIS!$C$92="X",CROQUIS!$C$166,CHOOSE(MIN(MAX($A9,1),2),IF(CROQUIS!$C$91=1,IF(CROQUIS!$C$94=1,-(CROQUIS!$C$107/2+CROQUIS!$C$140),2),2),IF(CROQUIS!$C$91=1,IF(CROQUIS!$C$94=1,CROQUIS!$C$97-2,CROQUIS!$C$97+CROQUIS!$C$107/2+CROQUIS!$C$140),CROQUIS!$C$97-2))))*CROQUIS!$C$155)+IF(CROQUIS!$C$92="X",0.9,0)),-1000)</f>
        <v>83.9990962494352</v>
      </c>
      <c r="AT9">
        <f>IF(AND(CROQUIS!$C$87=1,CROQUIS!$C$91=0,CROQUIS!$C$130&gt;=2,OR(CROQUIS!$C$103=1,CROQUIS!$C$142=1)),((CROQUIS!$C$156+(IF(CROQUIS!$C$92="X",CHOOSE(MIN(MAX($A9,1),2),IF(CROQUIS!$C$103=1,-12,2),CROQUIS!$C$107/2+CROQUIS!$C$140),CROQUIS!$C$166))*CROQUIS!$C$155)+IF(CROQUIS!$C$92="X",0,2.1)),-1000)</f>
        <v>-1000</v>
      </c>
      <c r="AU9">
        <f>IF(AND(CROQUIS!$C$87=1,CROQUIS!$C$91=0,CROQUIS!$C$130&gt;=2,OR(CROQUIS!$C$103=1,CROQUIS!$C$142=1)),((CROQUIS!$C$157+(IF(CROQUIS!$C$92="X",CROQUIS!$C$166,CHOOSE(MIN(MAX($A9,1),2),IF(CROQUIS!$C$103=1,-12,2),CROQUIS!$C$107/2+CROQUIS!$C$140)))*CROQUIS!$C$155)+IF(CROQUIS!$C$92="X",2.1,0)),-1000)</f>
        <v>-1000</v>
      </c>
      <c r="AV9">
        <f>IF(AND(CROQUIS!$C$87=1,CROQUIS!$C$91=0,CROQUIS!$C$130&gt;=2,OR(CROQUIS!$C$104=1,CROQUIS!$C$142=1)),((CROQUIS!$C$156+(IF(CROQUIS!$C$92="X",CHOOSE(MIN(MAX($A9,1),2),CROQUIS!$C$97-CROQUIS!$C$107/2-CROQUIS!$C$140,IF(CROQUIS!$C$104=1,CROQUIS!$C$97+12,CROQUIS!$C$97-2)),CROQUIS!$C$166))*CROQUIS!$C$155)+IF(CROQUIS!$C$92="X",0,2.1)),-1000)</f>
        <v>-1000</v>
      </c>
      <c r="AW9">
        <f>IF(AND(CROQUIS!$C$87=1,CROQUIS!$C$91=0,CROQUIS!$C$130&gt;=2,OR(CROQUIS!$C$104=1,CROQUIS!$C$142=1)),((CROQUIS!$C$157+(IF(CROQUIS!$C$92="X",CROQUIS!$C$166,CHOOSE(MIN(MAX($A9,1),2),CROQUIS!$C$97-CROQUIS!$C$107/2-CROQUIS!$C$140,IF(CROQUIS!$C$104=1,CROQUIS!$C$97+12,CROQUIS!$C$97-2))))*CROQUIS!$C$155)+IF(CROQUIS!$C$92="X",2.1,0)),-1000)</f>
        <v>-1000</v>
      </c>
      <c r="AX9">
        <f>IF(AND(CROQUIS!$C$87=1),((CROQUIS!$C$156+(IF(CROQUIS!$C$92="X",CROQUIS!$C$167,CHOOSE(MIN(MAX($A9,1),2),2,CROQUIS!$C$98-2)))*CROQUIS!$C$155)+IF(CROQUIS!$C$92="X",-0.9,0)),-1000)</f>
        <v>87.6565747853592</v>
      </c>
      <c r="AY9">
        <f>IF(AND(CROQUIS!$C$87=1),((CROQUIS!$C$157+(IF(CROQUIS!$C$92="X",CHOOSE(MIN(MAX($A9,1),2),2,CROQUIS!$C$98-2),CROQUIS!$C$167))*CROQUIS!$C$155)+IF(CROQUIS!$C$92="X",0,-0.9)),-1000)</f>
        <v>43.0900587437867</v>
      </c>
      <c r="AZ9">
        <f>IF(AND(CROQUIS!$C$87=1),((CROQUIS!$C$156+(IF(CROQUIS!$C$92="X",CROQUIS!$C$167,CHOOSE(MIN(MAX($A9,1),2),2,CROQUIS!$C$98-2)))*CROQUIS!$C$155)+IF(CROQUIS!$C$92="X",0.9,0)),-1000)</f>
        <v>87.6565747853592</v>
      </c>
      <c r="BA9">
        <f>IF(AND(CROQUIS!$C$87=1),((CROQUIS!$C$157+(IF(CROQUIS!$C$92="X",CHOOSE(MIN(MAX($A9,1),2),2,CROQUIS!$C$98-2),CROQUIS!$C$167))*CROQUIS!$C$155)+IF(CROQUIS!$C$92="X",0,0.9)),-1000)</f>
        <v>44.8900587437867</v>
      </c>
      <c r="BB9">
        <f>IF(AND(CROQUIS!$C$87=1,CROQUIS!$C$91=0,CROQUIS!$C$138&gt;=2,OR(CROQUIS!$C$105=1,CROQUIS!$C$143=1)),((CROQUIS!$C$156+(IF(CROQUIS!$C$92="X",CROQUIS!$C$167,CHOOSE(MIN(MAX($A9,1),2),IF(CROQUIS!$C$105=1,-12,2),CROQUIS!$C$107/2+CROQUIS!$C$141)))*CROQUIS!$C$155)+IF(CROQUIS!$C$92="X",2.1,0)),-1000)</f>
        <v>-1000</v>
      </c>
      <c r="BC9">
        <f>IF(AND(CROQUIS!$C$87=1,CROQUIS!$C$91=0,CROQUIS!$C$138&gt;=2,OR(CROQUIS!$C$105=1,CROQUIS!$C$143=1)),((CROQUIS!$C$157+(IF(CROQUIS!$C$92="X",CHOOSE(MIN(MAX($A9,1),2),IF(CROQUIS!$C$105=1,-12,2),CROQUIS!$C$107/2+CROQUIS!$C$141),CROQUIS!$C$167))*CROQUIS!$C$155)+IF(CROQUIS!$C$92="X",0,2.1)),-1000)</f>
        <v>-1000</v>
      </c>
      <c r="BD9">
        <f>IF(AND(CROQUIS!$C$87=1,CROQUIS!$C$91=0,CROQUIS!$C$138&gt;=2,OR(CROQUIS!$C$106=1,CROQUIS!$C$143=1)),((CROQUIS!$C$156+(IF(CROQUIS!$C$92="X",CROQUIS!$C$167,CHOOSE(MIN(MAX($A9,1),2),CROQUIS!$C$98-CROQUIS!$C$107/2-CROQUIS!$C$141,IF(CROQUIS!$C$106=1,CROQUIS!$C$98+12,CROQUIS!$C$98-2))))*CROQUIS!$C$155)+IF(CROQUIS!$C$92="X",2.1,0)),-1000)</f>
        <v>-1000</v>
      </c>
      <c r="BE9">
        <f>IF(AND(CROQUIS!$C$87=1,CROQUIS!$C$91=0,CROQUIS!$C$138&gt;=2,OR(CROQUIS!$C$106=1,CROQUIS!$C$143=1)),((CROQUIS!$C$157+(IF(CROQUIS!$C$92="X",CHOOSE(MIN(MAX($A9,1),2),CROQUIS!$C$98-CROQUIS!$C$107/2-CROQUIS!$C$141,IF(CROQUIS!$C$106=1,CROQUIS!$C$98+12,CROQUIS!$C$98-2)),CROQUIS!$C$167))*CROQUIS!$C$155)+IF(CROQUIS!$C$92="X",0,2.1)),-1000)</f>
        <v>-1000</v>
      </c>
      <c r="BF9">
        <f>IF(AND(CROQUIS!$C$87=1,CROQUIS!$C$158&gt;=2),CHOOSE(MIN(MAX($A9,1),7),(CROQUIS!$C$156+(CROQUIS!$C$159)*CROQUIS!$C$155),(CROQUIS!$C$156+(CROQUIS!$C$159)*CROQUIS!$C$155),(CROQUIS!$C$156+(CROQUIS!$C$159)*CROQUIS!$C$155),((CROQUIS!$C$156+(CROQUIS!$C$159)*CROQUIS!$C$155)+(CROQUIS!$C$156+(CROQUIS!$C$159+CROQUIS!$C$113)*CROQUIS!$C$155))/2,(CROQUIS!$C$156+(CROQUIS!$C$159+CROQUIS!$C$113)*CROQUIS!$C$155),(CROQUIS!$C$156+(CROQUIS!$C$159+CROQUIS!$C$113)*CROQUIS!$C$155),(CROQUIS!$C$156+(CROQUIS!$C$159+CROQUIS!$C$113)*CROQUIS!$C$155)),-1000)</f>
        <v>14.7989154993222</v>
      </c>
      <c r="BG9">
        <f>IF(AND(CROQUIS!$C$87=1,CROQUIS!$C$158&gt;=2),CHOOSE(MIN(MAX($A9,1),7),((CROQUIS!$C$157+(CROQUIS!$C$154)*CROQUIS!$C$155)+4)-1.4,((CROQUIS!$C$157+(CROQUIS!$C$154)*CROQUIS!$C$155)+4)+1.4,((CROQUIS!$C$157+(CROQUIS!$C$154)*CROQUIS!$C$155)+4),((CROQUIS!$C$157+(CROQUIS!$C$154)*CROQUIS!$C$155)+4),((CROQUIS!$C$157+(CROQUIS!$C$154)*CROQUIS!$C$155)+4),((CROQUIS!$C$157+(CROQUIS!$C$154)*CROQUIS!$C$155)+4)+1.4,((CROQUIS!$C$157+(CROQUIS!$C$154)*CROQUIS!$C$155)+4)-1.4),-1000)</f>
        <v>89.7425214640759</v>
      </c>
      <c r="BH9">
        <f>IF(AND(CROQUIS!$C$88=1,CROQUIS!$C$126&gt;0),((CROQUIS!$C$156+(IF(CROQUIS!$C$92="X",CHOOSE(IF(INT(($A9-1)/5)&gt;MAX((MIN(80,MAX(1,INT(((CROQUIS!$C$98)-CROQUIS!$C$107)/MAX(CROQUIS!$C$126,1))+1)))-1,0),0,MOD($A9-1,5))+1,0,2,CROQUIS!$C$97-2,2,0),((CROQUIS!$C$107/2+(((CROQUIS!$C$98)-CROQUIS!$C$107)-(MIN(80,MAX(1,INT(((CROQUIS!$C$98)-CROQUIS!$C$107)/MAX(CROQUIS!$C$126,1))+1))-1)*CROQUIS!$C$126)/2)+MIN(INT(($A9-1)/5),MAX((MIN(80,MAX(1,INT(((CROQUIS!$C$98)-CROQUIS!$C$107)/MAX(CROQUIS!$C$126,1))+1)))-1,0))*CROQUIS!$C$126)))*CROQUIS!$C$155)+IF(CROQUIS!$C$92="X",0,0)),-1000)</f>
        <v>-1000</v>
      </c>
      <c r="BI9">
        <f>IF(AND(CROQUIS!$C$88=1,CROQUIS!$C$126&gt;0),((CROQUIS!$C$157+(IF(CROQUIS!$C$92="X",((CROQUIS!$C$107/2+(((CROQUIS!$C$98)-CROQUIS!$C$107)-(MIN(80,MAX(1,INT(((CROQUIS!$C$98)-CROQUIS!$C$107)/MAX(CROQUIS!$C$126,1))+1))-1)*CROQUIS!$C$126)/2)+MIN(INT(($A9-1)/5),MAX((MIN(80,MAX(1,INT(((CROQUIS!$C$98)-CROQUIS!$C$107)/MAX(CROQUIS!$C$126,1))+1)))-1,0))*CROQUIS!$C$126),CHOOSE(IF(INT(($A9-1)/5)&gt;MAX((MIN(80,MAX(1,INT(((CROQUIS!$C$98)-CROQUIS!$C$107)/MAX(CROQUIS!$C$126,1))+1)))-1,0),0,MOD($A9-1,5))+1,0,2,CROQUIS!$C$97-2,2,0)))*CROQUIS!$C$155)+IF(CROQUIS!$C$92="X",0,0)),-1000)</f>
        <v>-1000</v>
      </c>
      <c r="BJ9">
        <f>IF(AND(CROQUIS!$C$88=1,CROQUIS!$C$134&gt;0),((CROQUIS!$C$156+(IF(CROQUIS!$C$92="X",((CROQUIS!$C$107/2+(((CROQUIS!$C$97)-CROQUIS!$C$107)-(MIN(80,MAX(1,INT(((CROQUIS!$C$97)-CROQUIS!$C$107)/MAX(CROQUIS!$C$134,1))+1))-1)*CROQUIS!$C$134)/2)+MIN(INT(($A9-1)/5),MAX((MIN(80,MAX(1,INT(((CROQUIS!$C$97)-CROQUIS!$C$107)/MAX(CROQUIS!$C$134,1))+1)))-1,0))*CROQUIS!$C$134),CHOOSE(IF(INT(($A9-1)/5)&gt;MAX((MIN(80,MAX(1,INT(((CROQUIS!$C$97)-CROQUIS!$C$107)/MAX(CROQUIS!$C$134,1))+1)))-1,0),0,MOD($A9-1,5))+1,0,2,CROQUIS!$C$98-2,2,0)))*CROQUIS!$C$155)+IF(CROQUIS!$C$92="X",0,0)),-1000)</f>
        <v>-1000</v>
      </c>
      <c r="BK9">
        <f>IF(AND(CROQUIS!$C$88=1,CROQUIS!$C$134&gt;0),((CROQUIS!$C$157+(IF(CROQUIS!$C$92="X",CHOOSE(IF(INT(($A9-1)/5)&gt;MAX((MIN(80,MAX(1,INT(((CROQUIS!$C$97)-CROQUIS!$C$107)/MAX(CROQUIS!$C$134,1))+1)))-1,0),0,MOD($A9-1,5))+1,0,2,CROQUIS!$C$98-2,2,0),((CROQUIS!$C$107/2+(((CROQUIS!$C$97)-CROQUIS!$C$107)-(MIN(80,MAX(1,INT(((CROQUIS!$C$97)-CROQUIS!$C$107)/MAX(CROQUIS!$C$134,1))+1))-1)*CROQUIS!$C$134)/2)+MIN(INT(($A9-1)/5),MAX((MIN(80,MAX(1,INT(((CROQUIS!$C$97)-CROQUIS!$C$107)/MAX(CROQUIS!$C$134,1))+1)))-1,0))*CROQUIS!$C$134)))*CROQUIS!$C$155)+IF(CROQUIS!$C$92="X",0,0)),-1000)</f>
        <v>-1000</v>
      </c>
      <c r="BL9">
        <f>IF(AND(CROQUIS!$C$88=1,CROQUIS!$C$91=0,CROQUIS!$C$130&gt;0,OR(CROQUIS!$C$103=1,CROQUIS!$C$142=1)),((CROQUIS!$C$156+(IF(CROQUIS!$C$92="X",CHOOSE(IF(INT(($A9-1)/5)&gt;MAX((MIN(80,MAX(1,INT(((CROQUIS!$C$98)-CROQUIS!$C$107)/MAX(CROQUIS!$C$130,1))+1)))-1,0),0,MOD($A9-1,5))+1,0,IF(CROQUIS!$C$103=1,-12,2),CROQUIS!$C$107/2+CROQUIS!$C$140,IF(CROQUIS!$C$103=1,-12,2),0),((CROQUIS!$C$107/2+(((CROQUIS!$C$98)-CROQUIS!$C$107)-(MIN(80,MAX(1,INT(((CROQUIS!$C$98)-CROQUIS!$C$107)/MAX(CROQUIS!$C$130,1))+1))-1)*CROQUIS!$C$130)/2)+MIN(INT(($A9-1)/5),MAX((MIN(80,MAX(1,INT(((CROQUIS!$C$98)-CROQUIS!$C$107)/MAX(CROQUIS!$C$130,1))+1)))-1,0))*CROQUIS!$C$130)))*CROQUIS!$C$155)+IF(CROQUIS!$C$92="X",0,0)),-1000)</f>
        <v>-1000</v>
      </c>
      <c r="BM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9-1)/5),MAX((MIN(80,MAX(1,INT(((CROQUIS!$C$98)-CROQUIS!$C$107)/MAX(CROQUIS!$C$130,1))+1)))-1,0))*CROQUIS!$C$130),CHOOSE(IF(INT(($A9-1)/5)&gt;MAX((MIN(80,MAX(1,INT(((CROQUIS!$C$98)-CROQUIS!$C$107)/MAX(CROQUIS!$C$130,1))+1)))-1,0),0,MOD($A9-1,5))+1,0,IF(CROQUIS!$C$103=1,-12,2),CROQUIS!$C$107/2+CROQUIS!$C$140,IF(CROQUIS!$C$103=1,-12,2),0)))*CROQUIS!$C$155)+IF(CROQUIS!$C$92="X",0,0)),-1000)</f>
        <v>-1000</v>
      </c>
      <c r="BN9">
        <f>IF(AND(CROQUIS!$C$88=1,CROQUIS!$C$91=0,CROQUIS!$C$130&gt;0,OR(CROQUIS!$C$104=1,CROQUIS!$C$142=1)),((CROQUIS!$C$156+(IF(CROQUIS!$C$92="X",CHOOSE(IF(INT(($A9-1)/5)&gt;MAX((MIN(80,MAX(1,INT(((CROQUIS!$C$98)-CROQUIS!$C$107)/MAX(CROQUIS!$C$130,1))+1)))-1,0),0,MOD($A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9-1)/5),MAX((MIN(80,MAX(1,INT(((CROQUIS!$C$98)-CROQUIS!$C$107)/MAX(CROQUIS!$C$130,1))+1)))-1,0))*CROQUIS!$C$130)))*CROQUIS!$C$155)+IF(CROQUIS!$C$92="X",0,0)),-1000)</f>
        <v>-1000</v>
      </c>
      <c r="BO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9-1)/5),MAX((MIN(80,MAX(1,INT(((CROQUIS!$C$98)-CROQUIS!$C$107)/MAX(CROQUIS!$C$130,1))+1)))-1,0))*CROQUIS!$C$130),CHOOSE(IF(INT(($A9-1)/5)&gt;MAX((MIN(80,MAX(1,INT(((CROQUIS!$C$98)-CROQUIS!$C$107)/MAX(CROQUIS!$C$130,1))+1)))-1,0),0,MOD($A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9-1)/5),MAX((MIN(80,MAX(1,INT(((CROQUIS!$C$97)-CROQUIS!$C$107)/MAX(CROQUIS!$C$138,1))+1)))-1,0))*CROQUIS!$C$138),CHOOSE(IF(INT(($A9-1)/5)&gt;MAX((MIN(80,MAX(1,INT(((CROQUIS!$C$97)-CROQUIS!$C$107)/MAX(CROQUIS!$C$138,1))+1)))-1,0),0,MOD($A9-1,5))+1,0,IF(CROQUIS!$C$105=1,-12,2),CROQUIS!$C$107/2+CROQUIS!$C$141,IF(CROQUIS!$C$105=1,-12,2),0)))*CROQUIS!$C$155)+IF(CROQUIS!$C$92="X",0,0)),-1000)</f>
        <v>-1000</v>
      </c>
      <c r="BQ9">
        <f>IF(AND(CROQUIS!$C$88=1,CROQUIS!$C$91=0,CROQUIS!$C$138&gt;0,OR(CROQUIS!$C$105=1,CROQUIS!$C$143=1)),((CROQUIS!$C$157+(IF(CROQUIS!$C$92="X",CHOOSE(IF(INT(($A9-1)/5)&gt;MAX((MIN(80,MAX(1,INT(((CROQUIS!$C$97)-CROQUIS!$C$107)/MAX(CROQUIS!$C$138,1))+1)))-1,0),0,MOD($A9-1,5))+1,0,IF(CROQUIS!$C$105=1,-12,2),CROQUIS!$C$107/2+CROQUIS!$C$141,IF(CROQUIS!$C$105=1,-12,2),0),((CROQUIS!$C$107/2+(((CROQUIS!$C$97)-CROQUIS!$C$107)-(MIN(80,MAX(1,INT(((CROQUIS!$C$97)-CROQUIS!$C$107)/MAX(CROQUIS!$C$138,1))+1))-1)*CROQUIS!$C$138)/2)+MIN(INT(($A9-1)/5),MAX((MIN(80,MAX(1,INT(((CROQUIS!$C$97)-CROQUIS!$C$107)/MAX(CROQUIS!$C$138,1))+1)))-1,0))*CROQUIS!$C$138)))*CROQUIS!$C$155)+IF(CROQUIS!$C$92="X",0,0)),-1000)</f>
        <v>-1000</v>
      </c>
      <c r="BR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9-1)/5),MAX((MIN(80,MAX(1,INT(((CROQUIS!$C$97)-CROQUIS!$C$107)/MAX(CROQUIS!$C$138,1))+1)))-1,0))*CROQUIS!$C$138),CHOOSE(IF(INT(($A9-1)/5)&gt;MAX((MIN(80,MAX(1,INT(((CROQUIS!$C$97)-CROQUIS!$C$107)/MAX(CROQUIS!$C$138,1))+1)))-1,0),0,MOD($A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9">
        <f>IF(AND(CROQUIS!$C$88=1,CROQUIS!$C$91=0,CROQUIS!$C$138&gt;0,OR(CROQUIS!$C$106=1,CROQUIS!$C$143=1)),((CROQUIS!$C$157+(IF(CROQUIS!$C$92="X",CHOOSE(IF(INT(($A9-1)/5)&gt;MAX((MIN(80,MAX(1,INT(((CROQUIS!$C$97)-CROQUIS!$C$107)/MAX(CROQUIS!$C$138,1))+1)))-1,0),0,MOD($A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9-1)/5),MAX((MIN(80,MAX(1,INT(((CROQUIS!$C$97)-CROQUIS!$C$107)/MAX(CROQUIS!$C$138,1))+1)))-1,0))*CROQUIS!$C$138)))*CROQUIS!$C$155)+IF(CROQUIS!$C$92="X",0,0)),-1000)</f>
        <v>-1000</v>
      </c>
      <c r="BT9">
        <f>IF(AND(CROQUIS!$C$88=1,CROQUIS!$C$91=1,CROQUIS!$C$130&gt;0),((CROQUIS!$C$156+(IF(CROQUIS!$C$92="X",CHOOSE(IF(INT(($A9-1)/5)&gt;MAX((MIN(80,MAX(1,INT(((CROQUIS!$C$98)-CROQUIS!$C$107)/MAX(CROQUIS!$C$130,1))+1)))-1,0),0,MOD($A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9-1)/5),MAX((MIN(80,MAX(1,INT(((CROQUIS!$C$98)-CROQUIS!$C$107)/MAX(CROQUIS!$C$130,1))+1)))-1,0))*CROQUIS!$C$130)))*CROQUIS!$C$155)+IF(CROQUIS!$C$92="X",0,0)),-1000)</f>
        <v>-1000</v>
      </c>
      <c r="BU9">
        <f>IF(AND(CROQUIS!$C$88=1,CROQUIS!$C$91=1,CROQUIS!$C$130&gt;0),((CROQUIS!$C$157+(IF(CROQUIS!$C$92="X",((CROQUIS!$C$107/2+(((CROQUIS!$C$98)-CROQUIS!$C$107)-(MIN(80,MAX(1,INT(((CROQUIS!$C$98)-CROQUIS!$C$107)/MAX(CROQUIS!$C$130,1))+1))-1)*CROQUIS!$C$130)/2)+MIN(INT(($A9-1)/5),MAX((MIN(80,MAX(1,INT(((CROQUIS!$C$98)-CROQUIS!$C$107)/MAX(CROQUIS!$C$130,1))+1)))-1,0))*CROQUIS!$C$130),CHOOSE(IF(INT(($A9-1)/5)&gt;MAX((MIN(80,MAX(1,INT(((CROQUIS!$C$98)-CROQUIS!$C$107)/MAX(CROQUIS!$C$130,1))+1)))-1,0),0,MOD($A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BV9">
        <f>IF(AND(CROQUIS!$C$87=1),CHOOSE(MIN(MAX($A9,1),9),(50+(-CROQUIS!$C$113/2)*CROQUIS!$C$173),(50+(CROQUIS!$C$113/2)*CROQUIS!$C$173),(50+(CROQUIS!$C$113/2)*CROQUIS!$C$173),(50+(CROQUIS!$C$111/2)*CROQUIS!$C$173),(50+(CROQUIS!$C$111/2)*CROQUIS!$C$173),(50+(-CROQUIS!$C$111/2)*CROQUIS!$C$173),(50+(-CROQUIS!$C$111/2)*CROQUIS!$C$173),(50+(-CROQUIS!$C$113/2)*CROQUIS!$C$173),(50+(-CROQUIS!$C$113/2)*CROQUIS!$C$173)),-1000)</f>
        <v>83.4090909090909</v>
      </c>
      <c r="BW9">
        <f>IF(AND(CROQUIS!$C$87=1),CHOOSE(MIN(MAX($A9,1),9),(12+(CROQUIS!$C$108)*CROQUIS!$C$173),(12+(CROQUIS!$C$108)*CROQUIS!$C$173),(12+(CROQUIS!$C$114)*CROQUIS!$C$173),(12+(CROQUIS!$C$114)*CROQUIS!$C$173),(12+(0)*CROQUIS!$C$173),(12+(0)*CROQUIS!$C$173),(12+(CROQUIS!$C$114)*CROQUIS!$C$173),(12+(CROQUIS!$C$114)*CROQUIS!$C$173),(12+(CROQUIS!$C$108)*CROQUIS!$C$173)),-1000)</f>
        <v>35.8636363636364</v>
      </c>
      <c r="BX9">
        <f>IF(AND(CROQUIS!$C$87=1),CHOOSE(MIN(MAX($A9,1),5),(50+(-CROQUIS!$C$113/2)*CROQUIS!$C$173),(50+(-CROQUIS!$C$111/2)*CROQUIS!$C$173),(50+(-CROQUIS!$C$111/2)*CROQUIS!$C$173),(50+(-CROQUIS!$C$113/2)*CROQUIS!$C$173),(50+(-CROQUIS!$C$113/2)*CROQUIS!$C$173)),-1000)</f>
        <v>45.2272727272727</v>
      </c>
      <c r="BY9">
        <f>IF(AND(CROQUIS!$C$87=1),CHOOSE(MIN(MAX($A9,1),5),(12+(0)*CROQUIS!$C$173),(12+(0)*CROQUIS!$C$173),(12+(CROQUIS!$C$114)*CROQUIS!$C$173),(12+(CROQUIS!$C$114)*CROQUIS!$C$173),(12+(0)*CROQUIS!$C$173)),-1000)</f>
        <v>12</v>
      </c>
      <c r="BZ9">
        <f>IF(AND(CROQUIS!$C$87=1),CHOOSE(MIN(MAX($A9,1),5),(50+(CROQUIS!$C$111/2)*CROQUIS!$C$173),(50+(CROQUIS!$C$113/2)*CROQUIS!$C$173),(50+(CROQUIS!$C$113/2)*CROQUIS!$C$173),(50+(CROQUIS!$C$111/2)*CROQUIS!$C$173),(50+(CROQUIS!$C$111/2)*CROQUIS!$C$173)),-1000)</f>
        <v>83.4090909090909</v>
      </c>
      <c r="CA9">
        <f>IF(AND(CROQUIS!$C$87=1),CHOOSE(MIN(MAX($A9,1),5),(12+(0)*CROQUIS!$C$173),(12+(0)*CROQUIS!$C$173),(12+(CROQUIS!$C$114)*CROQUIS!$C$173),(12+(CROQUIS!$C$114)*CROQUIS!$C$173),(12+(0)*CROQUIS!$C$173)),-1000)</f>
        <v>12</v>
      </c>
      <c r="CB9">
        <f>IF(AND(CROQUIS!$C$87=1),CHOOSE(MIN(MAX($A9,1),2),(50+(-CROQUIS!$C$113/2+1)*CROQUIS!$C$173),(50+(CROQUIS!$C$113/2-1)*CROQUIS!$C$173)),-1000)</f>
        <v>82.4545454545455</v>
      </c>
      <c r="CC9">
        <f>IF(AND(CROQUIS!$C$87=1),(12+((CROQUIS!$C$108-CROQUIS!$C$117-CROQUIS!$C$116))*CROQUIS!$C$173),-1000)</f>
        <v>33</v>
      </c>
      <c r="CD9">
        <f>IF(AND(CROQUIS!$C$87=1,CROQUIS!$C$126&gt;=1),(50+(((1-(CROQUIS!$C$126+1)/2)*(MAX(CROQUIS!$C$118,CROQUIS!$C$125)+CROQUIS!$C$125))+CROQUIS!$C$125/2*COS(2*PI()*(MIN($A9,13)-1)/12))*CROQUIS!$C$173),-1000)</f>
        <v>50.5249294890666</v>
      </c>
      <c r="CE9">
        <f>IF(AND(CROQUIS!$C$87=1,CROQUIS!$C$126&gt;=1),(12+((CROQUIS!$C$109+CROQUIS!$C$125/2)+CROQUIS!$C$125/2*SIN(2*PI()*(MIN($A9,13)-1)/12))*CROQUIS!$C$173),-1000)</f>
        <v>14.8182954545455</v>
      </c>
      <c r="CF9">
        <f>IF(AND(CROQUIS!$C$87=1,CROQUIS!$C$126&gt;=2),(50+(((2-(CROQUIS!$C$126+1)/2)*(MAX(CROQUIS!$C$118,CROQUIS!$C$125)+CROQUIS!$C$125))+CROQUIS!$C$125/2*COS(2*PI()*(MIN($A9,13)-1)/12))*CROQUIS!$C$173),-1000)</f>
        <v>-1000</v>
      </c>
      <c r="CG9">
        <f>IF(AND(CROQUIS!$C$87=1,CROQUIS!$C$126&gt;=2),(12+((CROQUIS!$C$109+CROQUIS!$C$125/2)+CROQUIS!$C$125/2*SIN(2*PI()*(MIN($A9,13)-1)/12))*CROQUIS!$C$173),-1000)</f>
        <v>-1000</v>
      </c>
      <c r="CH9">
        <f>IF(AND(CROQUIS!$C$87=1,CROQUIS!$C$126&gt;=3),(50+(((3-(CROQUIS!$C$126+1)/2)*(MAX(CROQUIS!$C$118,CROQUIS!$C$125)+CROQUIS!$C$125))+CROQUIS!$C$125/2*COS(2*PI()*(MIN($A9,13)-1)/12))*CROQUIS!$C$173),-1000)</f>
        <v>-1000</v>
      </c>
      <c r="CI9">
        <f>IF(AND(CROQUIS!$C$87=1,CROQUIS!$C$126&gt;=3),(12+((CROQUIS!$C$109+CROQUIS!$C$125/2)+CROQUIS!$C$125/2*SIN(2*PI()*(MIN($A9,13)-1)/12))*CROQUIS!$C$173),-1000)</f>
        <v>-1000</v>
      </c>
      <c r="CJ9">
        <f>IF(AND(CROQUIS!$C$87=1,CROQUIS!$C$130&gt;=1),(50+(((1-(CROQUIS!$C$130+1)/2)*(MAX(CROQUIS!$C$118,CROQUIS!$C$129)+CROQUIS!$C$129))+CROQUIS!$C$129/2*COS(2*PI()*(MIN($A9,13)-1)/12))*CROQUIS!$C$173),-1000)</f>
        <v>50.5249294890666</v>
      </c>
      <c r="CK9">
        <f>IF(AND(CROQUIS!$C$87=1,CROQUIS!$C$130&gt;=1),(12+((CROQUIS!$C$108-CROQUIS!$C$117-2*CROQUIS!$C$116-CROQUIS!$C$129/2)+CROQUIS!$C$129/2*SIN(2*PI()*(MIN($A9,13)-1)/12))*CROQUIS!$C$173),-1000)</f>
        <v>32.1509318181818</v>
      </c>
      <c r="CL9">
        <f>IF(AND(CROQUIS!$C$87=1,CROQUIS!$C$130&gt;=2),(50+(((2-(CROQUIS!$C$130+1)/2)*(MAX(CROQUIS!$C$118,CROQUIS!$C$129)+CROQUIS!$C$129))+CROQUIS!$C$129/2*COS(2*PI()*(MIN($A9,13)-1)/12))*CROQUIS!$C$173),-1000)</f>
        <v>-1000</v>
      </c>
      <c r="CM9">
        <f>IF(AND(CROQUIS!$C$87=1,CROQUIS!$C$130&gt;=2),(12+((CROQUIS!$C$108-CROQUIS!$C$117-2*CROQUIS!$C$116-CROQUIS!$C$129/2)+CROQUIS!$C$129/2*SIN(2*PI()*(MIN($A9,13)-1)/12))*CROQUIS!$C$173),-1000)</f>
        <v>-1000</v>
      </c>
      <c r="CN9">
        <f>IF(AND(CROQUIS!$C$87=1,CROQUIS!$C$130&gt;=3),(50+(((3-(CROQUIS!$C$130+1)/2)*(MAX(CROQUIS!$C$118,CROQUIS!$C$129)+CROQUIS!$C$129))+CROQUIS!$C$129/2*COS(2*PI()*(MIN($A9,13)-1)/12))*CROQUIS!$C$173),-1000)</f>
        <v>-1000</v>
      </c>
      <c r="CO9">
        <f>IF(AND(CROQUIS!$C$87=1,CROQUIS!$C$130&gt;=3),(12+((CROQUIS!$C$108-CROQUIS!$C$117-2*CROQUIS!$C$116-CROQUIS!$C$129/2)+CROQUIS!$C$129/2*SIN(2*PI()*(MIN($A9,13)-1)/12))*CROQUIS!$C$173),-1000)</f>
        <v>-1000</v>
      </c>
      <c r="CP9">
        <f>IF(AND(CROQUIS!$C$87=1),CHOOSE(MIN(MAX($A9,1),7),(50+(-CROQUIS!$C$111/2)*CROQUIS!$C$173),(50+(-CROQUIS!$C$111/2)*CROQUIS!$C$173),(50+(-CROQUIS!$C$111/2)*CROQUIS!$C$173),((50+(-CROQUIS!$C$111/2)*CROQUIS!$C$173)+(50+(CROQUIS!$C$111/2)*CROQUIS!$C$173))/2,(50+(CROQUIS!$C$111/2)*CROQUIS!$C$173),(50+(CROQUIS!$C$111/2)*CROQUIS!$C$173),(50+(CROQUIS!$C$111/2)*CROQUIS!$C$173)),-1000)</f>
        <v>45.2272727272727</v>
      </c>
      <c r="CQ9">
        <f>IF(AND(CROQUIS!$C$87=1),CHOOSE(MIN(MAX($A9,1),7),(12+(-4)*CROQUIS!$C$173)-1.4,(12+(-4)*CROQUIS!$C$173)+1.4,(12+(-4)*CROQUIS!$C$173),(12+(-4)*CROQUIS!$C$173),(12+(-4)*CROQUIS!$C$173),(12+(-4)*CROQUIS!$C$173)+1.4,(12+(-4)*CROQUIS!$C$173)-1.4),-1000)</f>
        <v>9.58181818181818</v>
      </c>
      <c r="CR9">
        <f>IF(AND(CROQUIS!$C$87=1),CHOOSE(MIN(MAX($A9,1),7),(50+(-CROQUIS!$C$113/2)*CROQUIS!$C$173),(50+(-CROQUIS!$C$113/2)*CROQUIS!$C$173),(50+(-CROQUIS!$C$113/2)*CROQUIS!$C$173),((50+(-CROQUIS!$C$113/2)*CROQUIS!$C$173)+(50+(CROQUIS!$C$113/2)*CROQUIS!$C$173))/2,(50+(CROQUIS!$C$113/2)*CROQUIS!$C$173),(50+(CROQUIS!$C$113/2)*CROQUIS!$C$173),(50+(CROQUIS!$C$113/2)*CROQUIS!$C$173)),-1000)</f>
        <v>16.5909090909091</v>
      </c>
      <c r="CS9">
        <f>IF(AND(CROQUIS!$C$87=1),CHOOSE(MIN(MAX($A9,1),7),(12+(CROQUIS!$C$108+4)*CROQUIS!$C$173)-1.4,(12+(CROQUIS!$C$108+4)*CROQUIS!$C$173)+1.4,(12+(CROQUIS!$C$108+4)*CROQUIS!$C$173),(12+(CROQUIS!$C$108+4)*CROQUIS!$C$173),(12+(CROQUIS!$C$108+4)*CROQUIS!$C$173),(12+(CROQUIS!$C$108+4)*CROQUIS!$C$173)+1.4,(12+(CROQUIS!$C$108+4)*CROQUIS!$C$173)-1.4),-1000)</f>
        <v>41.0818181818182</v>
      </c>
      <c r="CT9">
        <f>IF(AND(CROQUIS!$C$87=1),CHOOSE(MIN(MAX($A9,1),7),(50+(CROQUIS!$C$113/2+4)*CROQUIS!$C$173)-1.4,(50+(CROQUIS!$C$113/2+4)*CROQUIS!$C$173)+1.4,(50+(CROQUIS!$C$113/2+4)*CROQUIS!$C$173),(50+(CROQUIS!$C$113/2+4)*CROQUIS!$C$173),(50+(CROQUIS!$C$113/2+4)*CROQUIS!$C$173),(50+(CROQUIS!$C$113/2+4)*CROQUIS!$C$173)+1.4,(50+(CROQUIS!$C$113/2+4)*CROQUIS!$C$173)-1.4),-1000)</f>
        <v>88.6272727272727</v>
      </c>
      <c r="CU9">
        <f>IF(AND(CROQUIS!$C$87=1),CHOOSE(MIN(MAX($A9,1),7),(12+(0)*CROQUIS!$C$173),(12+(0)*CROQUIS!$C$173),(12+(0)*CROQUIS!$C$173),((12+(0)*CROQUIS!$C$173)+(12+(CROQUIS!$C$108)*CROQUIS!$C$173))/2,(12+(CROQUIS!$C$108)*CROQUIS!$C$173),(12+(CROQUIS!$C$108)*CROQUIS!$C$173),(12+(CROQUIS!$C$108)*CROQUIS!$C$173)),-1000)</f>
        <v>12</v>
      </c>
      <c r="CV9">
        <f>IF(AND(CROQUIS!$C$87=1),CHOOSE(MIN(MAX($A9,1),7),(50+(-CROQUIS!$C$113/2-4)*CROQUIS!$C$173)-1.4,(50+(-CROQUIS!$C$113/2-4)*CROQUIS!$C$173)+1.4,(50+(-CROQUIS!$C$113/2-4)*CROQUIS!$C$173),(50+(-CROQUIS!$C$113/2-4)*CROQUIS!$C$173),(50+(-CROQUIS!$C$113/2-4)*CROQUIS!$C$173),(50+(-CROQUIS!$C$113/2-4)*CROQUIS!$C$173)+1.4,(50+(-CROQUIS!$C$113/2-4)*CROQUIS!$C$173)-1.4),-1000)</f>
        <v>14.1727272727273</v>
      </c>
      <c r="CW9">
        <f>IF(AND(CROQUIS!$C$87=1),CHOOSE(MIN(MAX($A9,1),7),(12+(CROQUIS!$C$108-CROQUIS!$C$147)*CROQUIS!$C$173),(12+(CROQUIS!$C$108-CROQUIS!$C$147)*CROQUIS!$C$173),(12+(CROQUIS!$C$108-CROQUIS!$C$147)*CROQUIS!$C$173),((12+(CROQUIS!$C$108-CROQUIS!$C$147)*CROQUIS!$C$173)+(12+(CROQUIS!$C$108)*CROQUIS!$C$173))/2,(12+(CROQUIS!$C$108)*CROQUIS!$C$173),(12+(CROQUIS!$C$108)*CROQUIS!$C$173),(12+(CROQUIS!$C$108)*CROQUIS!$C$173)),-1000)</f>
        <v>14.5152272727273</v>
      </c>
      <c r="CX9">
        <f>IF(AND(CROQUIS!$C$88=1),CHOOSE(MIN(MAX($A9,1),5),(50+(-30)*CROQUIS!$C$174),(50+(30)*CROQUIS!$C$174),(50+(30)*CROQUIS!$C$174),(50+(-30)*CROQUIS!$C$174),(50+(-30)*CROQUIS!$C$174)),-1000)</f>
        <v>-1000</v>
      </c>
      <c r="CY9">
        <f>IF(AND(CROQUIS!$C$88=1),CHOOSE(MIN(MAX($A9,1),5),(12+(0)*CROQUIS!$C$174),(12+(0)*CROQUIS!$C$174),(12+(CROQUIS!$C$108)*CROQUIS!$C$174),(12+(CROQUIS!$C$108)*CROQUIS!$C$174),(12+(0)*CROQUIS!$C$174)),-1000)</f>
        <v>-1000</v>
      </c>
      <c r="CZ9">
        <f>IF(AND(CROQUIS!$C$88=1),CHOOSE(MIN(MAX($A9,1),2),(50+(-29)*CROQUIS!$C$174),(50+(29)*CROQUIS!$C$174)),-1000)</f>
        <v>-1000</v>
      </c>
      <c r="DA9">
        <f>IF(AND(CROQUIS!$C$88=1),(12+((CROQUIS!$C$109+CROQUIS!$C$125/2))*CROQUIS!$C$174),-1000)</f>
        <v>-1000</v>
      </c>
      <c r="DB9">
        <f>IF(AND(CROQUIS!$C$88=1,CROQUIS!$C$134&gt;0),(50+((-(MIN(12,INT(58/MAX(CROQUIS!$C$134,1))+1)-1)*CROQUIS!$C$134/2+(MIN($A9,MIN(12,INT(58/MAX(CROQUIS!$C$134,1))+1))-1)*CROQUIS!$C$134))*CROQUIS!$C$174),-1000)</f>
        <v>-1000</v>
      </c>
      <c r="DC9">
        <f>IF(AND(CROQUIS!$C$88=1,CROQUIS!$C$134&gt;0),(12+((CROQUIS!$C$109+CROQUIS!$C$125+CROQUIS!$C$133/2))*CROQUIS!$C$174),-1000)</f>
        <v>-1000</v>
      </c>
      <c r="DD9">
        <f>IF(AND(CROQUIS!$C$88=1,CROQUIS!$C$138&gt;0),(50+((-(MIN(12,INT(58/MAX(CROQUIS!$C$138,1))+1)-1)*CROQUIS!$C$138/2+(MIN($A9,MIN(12,INT(58/MAX(CROQUIS!$C$138,1))+1))-1)*CROQUIS!$C$138))*CROQUIS!$C$174),-1000)</f>
        <v>-1000</v>
      </c>
      <c r="DE9">
        <f>IF(AND(CROQUIS!$C$88=1,CROQUIS!$C$138&gt;0),(12+((CROQUIS!$C$108-CROQUIS!$C$110-CROQUIS!$C$129-CROQUIS!$C$137/2))*CROQUIS!$C$174),-1000)</f>
        <v>-1000</v>
      </c>
      <c r="DF9">
        <f>IF(AND(CROQUIS!$C$88=1),CHOOSE(MIN(MAX($A9,1),2),(50+(-29)*CROQUIS!$C$174),(50+(29)*CROQUIS!$C$174)),-1000)</f>
        <v>-1000</v>
      </c>
      <c r="DG9">
        <f>IF(AND(CROQUIS!$C$88=1),(12+((CROQUIS!$C$108-CROQUIS!$C$110-CROQUIS!$C$129/2))*CROQUIS!$C$174),-1000)</f>
        <v>-1000</v>
      </c>
      <c r="DH9">
        <f>IF(AND(CROQUIS!$C$88=1),CHOOSE(MIN(MAX($A9,1),7),(50+(33)*CROQUIS!$C$174)-1.4,(50+(33)*CROQUIS!$C$174)+1.4,(50+(33)*CROQUIS!$C$174),(50+(33)*CROQUIS!$C$174),(50+(33)*CROQUIS!$C$174),(50+(33)*CROQUIS!$C$174)+1.4,(50+(33)*CROQUIS!$C$174)-1.4),-1000)</f>
        <v>-1000</v>
      </c>
      <c r="DI9">
        <f>IF(AND(CROQUIS!$C$88=1),CHOOSE(MIN(MAX($A9,1),7),(12+(0)*CROQUIS!$C$174),(12+(0)*CROQUIS!$C$174),(12+(0)*CROQUIS!$C$174),((12+(0)*CROQUIS!$C$174)+(12+(CROQUIS!$C$108)*CROQUIS!$C$174))/2,(12+(CROQUIS!$C$108)*CROQUIS!$C$174),(12+(CROQUIS!$C$108)*CROQUIS!$C$174),(12+(CROQUIS!$C$108)*CROQUIS!$C$174)),-1000)</f>
        <v>-1000</v>
      </c>
      <c r="DJ9">
        <f>IF(AND(CROQUIS!$C$88=1),CHOOSE(MIN(MAX($A9,1),7),(50+(-33)*CROQUIS!$C$174)-0.8,(50+(-33)*CROQUIS!$C$174)+0.8,(50+(-33)*CROQUIS!$C$174),(50+(-33)*CROQUIS!$C$174),(50+(-33)*CROQUIS!$C$174),(50+(-33)*CROQUIS!$C$174)+0.8,(50+(-33)*CROQUIS!$C$174)-0.8),-1000)</f>
        <v>-1000</v>
      </c>
      <c r="DK9">
        <f>IF(AND(CROQUIS!$C$88=1),CHOOSE(MIN(MAX($A9,1),7),(12+(0)*CROQUIS!$C$174),(12+(0)*CROQUIS!$C$174),(12+(0)*CROQUIS!$C$174),((12+(0)*CROQUIS!$C$174)+(12+(CROQUIS!$C$109)*CROQUIS!$C$174))/2,(12+(CROQUIS!$C$109)*CROQUIS!$C$174),(12+(CROQUIS!$C$109)*CROQUIS!$C$174),(12+(CROQUIS!$C$109)*CROQUIS!$C$174)),-1000)</f>
        <v>-1000</v>
      </c>
      <c r="DL9">
        <f>IF(AND(CROQUIS!$C$88=1),CHOOSE(MIN(MAX($A9,1),7),(50+(-33)*CROQUIS!$C$174)-0.8,(50+(-33)*CROQUIS!$C$174)+0.8,(50+(-33)*CROQUIS!$C$174),(50+(-33)*CROQUIS!$C$174),(50+(-33)*CROQUIS!$C$174),(50+(-33)*CROQUIS!$C$174)+0.8,(50+(-33)*CROQUIS!$C$174)-0.8),-1000)</f>
        <v>-1000</v>
      </c>
      <c r="DM9">
        <f>IF(AND(CROQUIS!$C$88=1),CHOOSE(MIN(MAX($A9,1),7),(12+(CROQUIS!$C$108-CROQUIS!$C$110)*CROQUIS!$C$174),(12+(CROQUIS!$C$108-CROQUIS!$C$110)*CROQUIS!$C$174),(12+(CROQUIS!$C$108-CROQUIS!$C$110)*CROQUIS!$C$174),((12+(CROQUIS!$C$108-CROQUIS!$C$110)*CROQUIS!$C$174)+(12+(CROQUIS!$C$108)*CROQUIS!$C$174))/2,(12+(CROQUIS!$C$108)*CROQUIS!$C$174),(12+(CROQUIS!$C$108)*CROQUIS!$C$174),(12+(CROQUIS!$C$108)*CROQUIS!$C$174)),-1000)</f>
        <v>-1000</v>
      </c>
      <c r="DN9">
        <f>IF(AND(CROQUIS!$C$88=1,MIN(12,INT(58/MAX(CROQUIS!$C$134,1))+1)&gt;=2),CHOOSE(MIN(MAX($A9,1),7),(50+((-(MIN(12,INT(58/MAX(CROQUIS!$C$134,1))+1)-1)*CROQUIS!$C$134/2))*CROQUIS!$C$174),(50+((-(MIN(12,INT(58/MAX(CROQUIS!$C$134,1))+1)-1)*CROQUIS!$C$134/2))*CROQUIS!$C$174),(50+((-(MIN(12,INT(58/MAX(CROQUIS!$C$134,1))+1)-1)*CROQUIS!$C$134/2))*CROQUIS!$C$174),((50+((-(MIN(12,INT(58/MAX(CROQUIS!$C$134,1))+1)-1)*CROQUIS!$C$134/2))*CROQUIS!$C$174)+(50+((-(MIN(12,INT(58/MAX(CROQUIS!$C$134,1))+1)-1)*CROQUIS!$C$134/2)+CROQUIS!$C$134)*CROQUIS!$C$174))/2,(50+((-(MIN(12,INT(58/MAX(CROQUIS!$C$134,1))+1)-1)*CROQUIS!$C$134/2)+CROQUIS!$C$134)*CROQUIS!$C$174),(50+((-(MIN(12,INT(58/MAX(CROQUIS!$C$134,1))+1)-1)*CROQUIS!$C$134/2)+CROQUIS!$C$134)*CROQUIS!$C$174),(50+((-(MIN(12,INT(58/MAX(CROQUIS!$C$134,1))+1)-1)*CROQUIS!$C$134/2)+CROQUIS!$C$134)*CROQUIS!$C$174)),-1000)</f>
        <v>-1000</v>
      </c>
      <c r="DO9">
        <f>IF(AND(CROQUIS!$C$88=1,MIN(12,INT(58/MAX(CROQUIS!$C$134,1))+1)&gt;=2),CHOOSE(MIN(MAX($A9,1),7),(12+(-4)*CROQUIS!$C$174)-1.4,(12+(-4)*CROQUIS!$C$174)+1.4,(12+(-4)*CROQUIS!$C$174),(12+(-4)*CROQUIS!$C$174),(12+(-4)*CROQUIS!$C$174),(12+(-4)*CROQUIS!$C$174)+1.4,(12+(-4)*CROQUIS!$C$174)-1.4),-1000)</f>
        <v>-1000</v>
      </c>
      <c r="DP9">
        <f>IF(AND(CROQUIS!$C$87=1),CHOOSE(MIN(MAX($A9,1),5),(4+((IF(CROQUIS!$C$91=1,-CROQUIS!$C$168,IF(CROQUIS!$C$103=1,-CROQUIS!$C$107/2-30,-CROQUIS!$C$107/2)))-CROQUIS!$C$169)*CROQUIS!$C$171),(4+((IF(CROQUIS!$C$91=1,CROQUIS!$C$97,IF(CROQUIS!$C$104=1,CROQUIS!$C$97+CROQUIS!$C$107/2+30,CROQUIS!$C$97+CROQUIS!$C$107/2)))-CROQUIS!$C$169)*CROQUIS!$C$171),(4+((IF(CROQUIS!$C$91=1,CROQUIS!$C$97,IF(CROQUIS!$C$104=1,CROQUIS!$C$97+CROQUIS!$C$107/2+30,CROQUIS!$C$97+CROQUIS!$C$107/2)))-CROQUIS!$C$169)*CROQUIS!$C$171),(4+((IF(CROQUIS!$C$91=1,-CROQUIS!$C$168,IF(CROQUIS!$C$103=1,-CROQUIS!$C$107/2-30,-CROQUIS!$C$107/2)))-CROQUIS!$C$169)*CROQUIS!$C$171),(4+((IF(CROQUIS!$C$91=1,-CROQUIS!$C$168,IF(CROQUIS!$C$103=1,-CROQUIS!$C$107/2-30,-CROQUIS!$C$107/2)))-CROQUIS!$C$169)*CROQUIS!$C$171)),-1000)</f>
        <v>96</v>
      </c>
      <c r="DQ9">
        <f>IF(AND(CROQUIS!$C$87=1),CHOOSE(MIN(MAX($A9,1),5),(30+(0)*CROQUIS!$C$171*CROQUIS!$C$172),(30+(0)*CROQUIS!$C$171*CROQUIS!$C$172),(30+(CROQUIS!$C$108)*CROQUIS!$C$171*CROQUIS!$C$172),(30+(CROQUIS!$C$108)*CROQUIS!$C$171*CROQUIS!$C$172),(30+(0)*CROQUIS!$C$171*CROQUIS!$C$172)),-1000)</f>
        <v>30</v>
      </c>
      <c r="DR9">
        <f>IF(AND(CROQUIS!$C$87=1),CHOOSE(MIN(MAX($A9,1)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12.7157894736842</v>
      </c>
      <c r="DS9">
        <f>IF(AND(CROQUIS!$C$87=1),CHOOSE(MIN(MAX($A9,1),10),30,30,20,20,30,IF(CROQUIS!$C$91=1,30,30),IF(CROQUIS!$C$91=1,30,30),IF(CROQUIS!$C$91=1,30,20),IF(CROQUIS!$C$91=1,30,20),IF(CROQUIS!$C$91=1,30,30)),-1000)</f>
        <v>30</v>
      </c>
      <c r="DT9">
        <f>IF(AND(CROQUIS!$C$87=1),CHOOSE(MIN(MAX($A9,1),4),(4+((-CROQUIS!$C$107/2+3)-CROQUIS!$C$169)*CROQUIS!$C$171),(4+((-CROQUIS!$C$107/2+3)-CROQUIS!$C$169)*CROQUIS!$C$171),(4+((IF(CROQUIS!$C$91=1,CROQUIS!$C$97-3,CROQUIS!$C$97+CROQUIS!$C$107/2-3))-CROQUIS!$C$169)*CROQUIS!$C$171),(4+((IF(CROQUIS!$C$91=1,CROQUIS!$C$97-3,CROQUIS!$C$97+CROQUIS!$C$107/2-3))-CROQUIS!$C$169)*CROQUIS!$C$171)),-1000)</f>
        <v>10.3915789473684</v>
      </c>
      <c r="DU9">
        <f>IF(AND(CROQUIS!$C$87=1),CHOOSE(MIN(MAX($A9,1),4),(30+((CROQUIS!$C$109+CROQUIS!$C$125/2)+IF(AND(CROQUIS!$C$91=0,CROQUIS!$C$103=0),MIN(12*CROQUIS!$C$125,CROQUIS!$C$108-CROQUIS!$C$109-CROQUIS!$C$110),0))*CROQUIS!$C$171*CROQUIS!$C$172),(30+((CROQUIS!$C$109+CROQUIS!$C$125/2))*CROQUIS!$C$171*CROQUIS!$C$172),(30+((CROQUIS!$C$109+CROQUIS!$C$125/2))*CROQUIS!$C$171*CROQUIS!$C$172),(30+((CROQUIS!$C$109+CROQUIS!$C$125/2)+IF(AND(CROQUIS!$C$91=0,CROQUIS!$C$104=0),MIN(12*CROQUIS!$C$125,CROQUIS!$C$108-CROQUIS!$C$109-CROQUIS!$C$110),0))*CROQUIS!$C$171*CROQUIS!$C$172)),-1000)</f>
        <v>31.5310736842105</v>
      </c>
      <c r="DV9">
        <f>IF(AND(CROQUIS!$C$87=1,1),CHOOSE(MIN(MAX($A9,1),4),(4+((IF(CROQUIS!$C$91=1,-(CROQUIS!$C$107/2+CROQUIS!$C$140),IF(CROQUIS!$C$103=1,-CROQUIS!$C$107/2-30,-CROQUIS!$C$107/2+3)))-CROQUIS!$C$169)*CROQUIS!$C$171),(4+((IF(CROQUIS!$C$91=1,-(CROQUIS!$C$107/2+CROQUIS!$C$140),IF(CROQUIS!$C$103=1,-CROQUIS!$C$107/2-30,-CROQUIS!$C$107/2+3)))-CROQUIS!$C$169)*CROQUIS!$C$171),(4+((IF(CROQUIS!$C$91=1,CROQUIS!$C$97-3,IF(CROQUIS!$C$104=1,CROQUIS!$C$97+CROQUIS!$C$107/2+30,CROQUIS!$C$97+CROQUIS!$C$107/2-3)))-CROQUIS!$C$169)*CROQUIS!$C$171),(4+((IF(CROQUIS!$C$91=1,CROQUIS!$C$97-3,IF(CROQUIS!$C$104=1,CROQUIS!$C$97+CROQUIS!$C$107/2+30,CROQUIS!$C$97+CROQUIS!$C$107/2-3)))-CROQUIS!$C$169)*CROQUIS!$C$171)),-1000)</f>
        <v>4</v>
      </c>
      <c r="DW9">
        <f>IF(AND(CROQUIS!$C$87=1,1),CHOOSE(MIN(MAX($A9,1),4),(30+((CROQUIS!$C$108-CROQUIS!$C$117-2*CROQUIS!$C$116-CROQUIS!$C$129/2)-IF(AND(CROQUIS!$C$91=0,CROQUIS!$C$103=0),MIN(12*CROQUIS!$C$129,CROQUIS!$C$108-CROQUIS!$C$109-CROQUIS!$C$110),0))*CROQUIS!$C$171*CROQUIS!$C$172),(30+((CROQUIS!$C$108-CROQUIS!$C$117-2*CROQUIS!$C$116-CROQUIS!$C$129/2))*CROQUIS!$C$171*CROQUIS!$C$172),(30+((CROQUIS!$C$108-CROQUIS!$C$117-2*CROQUIS!$C$116-CROQUIS!$C$129/2))*CROQUIS!$C$171*CROQUIS!$C$172),(30+((CROQUIS!$C$108-CROQUIS!$C$117-2*CROQUIS!$C$116-CROQUIS!$C$129/2)-IF(OR(CROQUIS!$C$91=1,CROQUIS!$C$104=0),MIN(12*CROQUIS!$C$129,CROQUIS!$C$108-CROQUIS!$C$109-CROQUIS!$C$110),0))*CROQUIS!$C$171*CROQUIS!$C$172)),-1000)</f>
        <v>42.0818273684211</v>
      </c>
      <c r="DX9">
        <f>IF(AND(CROQUIS!$C$87=1,CROQUIS!$C$91=0,CROQUIS!$C$130&gt;=2,OR(CROQUIS!$C$103=1,CROQUIS!$C$142=1)),CHOOSE(MIN(MAX($A9,1),3),(4+((IF(CROQUIS!$C$103=1,-CROQUIS!$C$107/2-30,-CROQUIS!$C$107/2+3))-CROQUIS!$C$169)*CROQUIS!$C$171),(4+((IF(CROQUIS!$C$103=1,-CROQUIS!$C$107/2-30,-CROQUIS!$C$107/2+3))-CROQUIS!$C$169)*CROQUIS!$C$171),(4+((CROQUIS!$C$107/2+CROQUIS!$C$140)-CROQUIS!$C$169)*CROQUIS!$C$171)),-1000)</f>
        <v>-1000</v>
      </c>
      <c r="DY9">
        <f>IF(AND(CROQUIS!$C$87=1,CROQUIS!$C$91=0,CROQUIS!$C$130&gt;=2,OR(CROQUIS!$C$103=1,CROQUIS!$C$142=1)),CHOOSE(MIN(MAX($A9,1),3),(30+(((CROQUIS!$C$108-CROQUIS!$C$117-2*CROQUIS!$C$116-CROQUIS!$C$129/2)-1.3*CROQUIS!$C$129-0.4)-IF(CROQUIS!$C$103=1,0,MIN(12*CROQUIS!$C$129,CROQUIS!$C$108-CROQUIS!$C$109-CROQUIS!$C$110)))*CROQUIS!$C$171*CROQUIS!$C$172),(30+(((CROQUIS!$C$108-CROQUIS!$C$117-2*CROQUIS!$C$116-CROQUIS!$C$129/2)-1.3*CROQUIS!$C$129-0.4))*CROQUIS!$C$171*CROQUIS!$C$172),(30+(((CROQUIS!$C$108-CROQUIS!$C$117-2*CROQUIS!$C$116-CROQUIS!$C$129/2)-1.3*CROQUIS!$C$129-0.4))*CROQUIS!$C$171*CROQUIS!$C$172)),-1000)</f>
        <v>-1000</v>
      </c>
      <c r="DZ9">
        <f>IF(AND(CROQUIS!$C$87=1,CROQUIS!$C$91=0,CROQUIS!$C$130&gt;=2,OR(CROQUIS!$C$104=1,CROQUIS!$C$142=1)),CHOOSE(MIN(MAX($A9,1),3),(4+((CROQUIS!$C$97-CROQUIS!$C$107/2-CROQUIS!$C$140)-CROQUIS!$C$169)*CROQUIS!$C$171),(4+((IF(CROQUIS!$C$104=1,CROQUIS!$C$97+CROQUIS!$C$107/2+30,CROQUIS!$C$97+CROQUIS!$C$107/2-3))-CROQUIS!$C$169)*CROQUIS!$C$171),(4+((IF(CROQUIS!$C$104=1,CROQUIS!$C$97+CROQUIS!$C$107/2+30,CROQUIS!$C$97+CROQUIS!$C$107/2-3))-CROQUIS!$C$169)*CROQUIS!$C$171)),-1000)</f>
        <v>-1000</v>
      </c>
      <c r="EA9">
        <f>IF(AND(CROQUIS!$C$87=1,CROQUIS!$C$91=0,CROQUIS!$C$130&gt;=2,OR(CROQUIS!$C$104=1,CROQUIS!$C$142=1)),CHOOSE(MIN(MAX($A9,1),3),(30+(((CROQUIS!$C$108-CROQUIS!$C$117-2*CROQUIS!$C$116-CROQUIS!$C$129/2)-1.3*CROQUIS!$C$129-0.4))*CROQUIS!$C$171*CROQUIS!$C$172),(30+(((CROQUIS!$C$108-CROQUIS!$C$117-2*CROQUIS!$C$116-CROQUIS!$C$129/2)-1.3*CROQUIS!$C$129-0.4))*CROQUIS!$C$171*CROQUIS!$C$172),(30+(((CROQUIS!$C$108-CROQUIS!$C$117-2*CROQUIS!$C$116-CROQUIS!$C$129/2)-1.3*CROQUIS!$C$129-0.4)-IF(CROQUIS!$C$104=1,0,MIN(12*CROQUIS!$C$129,CROQUIS!$C$108-CROQUIS!$C$109-CROQUIS!$C$110)))*CROQUIS!$C$171*CROQUIS!$C$172)),-1000)</f>
        <v>-1000</v>
      </c>
      <c r="EB9">
        <f>IF(AND(CROQUIS!$C$87=1,CROQUIS!$C$162&gt;0),CHOOSE(MIN(MAX($A9,1),5)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),-1000)</f>
        <v>82.9263157894737</v>
      </c>
      <c r="EC9">
        <f>IF(AND(CROQUIS!$C$87=1,CROQUIS!$C$162&gt;0),CHOOSE(MIN(MAX($A9,1),5),(30+(0)*CROQUIS!$C$171*CROQUIS!$C$172),(30+(0)*CROQUIS!$C$171*CROQUIS!$C$172),(30+(CROQUIS!$C$114)*CROQUIS!$C$171*CROQUIS!$C$172),(30+(CROQUIS!$C$114)*CROQUIS!$C$171*CROQUIS!$C$172),(30+(0)*CROQUIS!$C$171*CROQUIS!$C$172)),-1000)</f>
        <v>30</v>
      </c>
      <c r="ED9">
        <f>IF(AND(CROQUIS!$C$87=1,CROQUIS!$C$162&gt;0),CHOOSE(MIN(MAX($A9,1),4)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),-1000)</f>
        <v>17.0736842105263</v>
      </c>
      <c r="EE9">
        <f>IF(AND(CROQUIS!$C$87=1,CROQUIS!$C$162&gt;0),CHOOSE(MIN(MAX($A9,1),4),(30+(0)*CROQUIS!$C$171*CROQUIS!$C$172),(30+(CROQUIS!$C$108)*CROQUIS!$C$171*CROQUIS!$C$172),(30+(CROQUIS!$C$108)*CROQUIS!$C$171*CROQUIS!$C$172),(30+(0)*CROQUIS!$C$171*CROQUIS!$C$172)),-1000)</f>
        <v>44.5263157894737</v>
      </c>
      <c r="EF9">
        <f>IF(AND(CROQUIS!$C$87=1),CHOOSE(MIN(MAX($A9,1)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11.2631578947368</v>
      </c>
      <c r="EG9">
        <f>IF(AND(CROQUIS!$C$87=1),CHOOSE(MIN(MAX($A9,1),7),15-1.4,15+1.4,15,15,15,15+1.4,15-1.4),-1000)</f>
        <v>16.4</v>
      </c>
      <c r="EH9">
        <f>IF(AND(CROQUIS!$C$87=1,OR(CROQUIS!$C$91=1,AND(CROQUIS!$C$130&gt;=2,OR(CROQUIS!$C$103=1,CROQUIS!$C$142=1)))),CHOOSE(MIN(MAX($A9,1)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EI9">
        <f>IF(AND(CROQUIS!$C$87=1,OR(CROQUIS!$C$91=1,AND(CROQUIS!$C$130&gt;=2,OR(CROQUIS!$C$103=1,CROQUIS!$C$142=1)))),CHOOSE(MIN(MAX($A9,1)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  <c r="EJ9">
        <f>IF(AND(CROQUIS!$C$87=1,CROQUIS!$C$91=1,CROQUIS!$C$148&gt;0),CHOOSE(MIN(MAX($A9,1),5),(4+((CROQUIS!$C$97)-CROQUIS!$C$169)*CROQUIS!$C$171),(4+((CROQUIS!$C$97)-CROQUIS!$C$169)*CROQUIS!$C$171),(4+((CROQUIS!$C$97)-CROQUIS!$C$169)*CROQUIS!$C$171)-1.2,(4+((CROQUIS!$C$97)-CROQUIS!$C$169)*CROQUIS!$C$171),(4+((CROQUIS!$C$97)-CROQUIS!$C$169)*CROQUIS!$C$171)+1.2),-1000)</f>
        <v>-1000</v>
      </c>
      <c r="EK9">
        <f>IF(AND(CROQUIS!$C$87=1,CROQUIS!$C$91=1,CROQUIS!$C$148&gt;0),CHOOSE(MIN(MAX($A9,1),5),(30+(CROQUIS!$C$108)*CROQUIS!$C$171*CROQUIS!$C$172)+13,(30+(CROQUIS!$C$108)*CROQUIS!$C$171*CROQUIS!$C$172)+1,(30+(CROQUIS!$C$108)*CROQUIS!$C$171*CROQUIS!$C$172)+4,(30+(CROQUIS!$C$108)*CROQUIS!$C$171*CROQUIS!$C$172)+1,(30+(CROQUIS!$C$108)*CROQUIS!$C$171*CROQUIS!$C$172)+4),-1000)</f>
        <v>-1000</v>
      </c>
      <c r="EL9">
        <f>IF(AND(CROQUIS!$C$88=1),CHOOSE(MIN(MAX($A9,1),5),(4+((IF(CROQUIS!$C$91=1,-CROQUIS!$C$168,IF(CROQUIS!$C$103=1,-CROQUIS!$C$107/2-30,-CROQUIS!$C$107/2)))-CROQUIS!$C$169)*CROQUIS!$C$171),(4+((IF(CROQUIS!$C$91=1,CROQUIS!$C$97,IF(CROQUIS!$C$104=1,CROQUIS!$C$97+CROQUIS!$C$107/2+30,CROQUIS!$C$97+CROQUIS!$C$107/2)))-CROQUIS!$C$169)*CROQUIS!$C$171),(4+((IF(CROQUIS!$C$91=1,CROQUIS!$C$97,IF(CROQUIS!$C$104=1,CROQUIS!$C$97+CROQUIS!$C$107/2+30,CROQUIS!$C$97+CROQUIS!$C$107/2)))-CROQUIS!$C$169)*CROQUIS!$C$171),(4+((IF(CROQUIS!$C$91=1,-CROQUIS!$C$168,IF(CROQUIS!$C$103=1,-CROQUIS!$C$107/2-30,-CROQUIS!$C$107/2)))-CROQUIS!$C$169)*CROQUIS!$C$171),(4+((IF(CROQUIS!$C$91=1,-CROQUIS!$C$168,IF(CROQUIS!$C$103=1,-CROQUIS!$C$107/2-30,-CROQUIS!$C$107/2)))-CROQUIS!$C$169)*CROQUIS!$C$171)),-1000)</f>
        <v>-1000</v>
      </c>
      <c r="EM9">
        <f>IF(AND(CROQUIS!$C$88=1),CHOOSE(MIN(MAX($A9,1),5),(30+(0)*CROQUIS!$C$171*CROQUIS!$C$172),(30+(0)*CROQUIS!$C$171*CROQUIS!$C$172),(30+(CROQUIS!$C$108)*CROQUIS!$C$171*CROQUIS!$C$172),(30+(CROQUIS!$C$108)*CROQUIS!$C$171*CROQUIS!$C$172),(30+(0)*CROQUIS!$C$171*CROQUIS!$C$172)),-1000)</f>
        <v>-1000</v>
      </c>
      <c r="EN9">
        <f>IF(AND(CROQUIS!$C$88=1),CHOOSE(MIN(MAX($A9,1)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-1000</v>
      </c>
      <c r="EO9">
        <f>IF(AND(CROQUIS!$C$88=1),CHOOSE(MIN(MAX($A9,1),10),30,30,20,20,30,IF(CROQUIS!$C$91=1,30,30),IF(CROQUIS!$C$91=1,30,30),IF(CROQUIS!$C$91=1,30,20),IF(CROQUIS!$C$91=1,30,20),IF(CROQUIS!$C$91=1,30,30)),-1000)</f>
        <v>-1000</v>
      </c>
      <c r="EP9">
        <f>IF(AND(CROQUIS!$C$88=1),CHOOSE(MIN(MAX($A9,1),4),(4+((-CROQUIS!$C$107/2+3)-CROQUIS!$C$169)*CROQUIS!$C$171),(4+((-CROQUIS!$C$107/2+3)-CROQUIS!$C$169)*CROQUIS!$C$171),(4+((IF(CROQUIS!$C$91=1,CROQUIS!$C$97-3,CROQUIS!$C$97+CROQUIS!$C$107/2-3))-CROQUIS!$C$169)*CROQUIS!$C$171),(4+((IF(CROQUIS!$C$91=1,CROQUIS!$C$97-3,CROQUIS!$C$97+CROQUIS!$C$107/2-3))-CROQUIS!$C$169)*CROQUIS!$C$171)),-1000)</f>
        <v>-1000</v>
      </c>
      <c r="EQ9">
        <f>IF(AND(CROQUIS!$C$88=1),CHOOSE(MIN(MAX($A9,1),4),(30+((CROQUIS!$C$109+CROQUIS!$C$125/2)+IF(AND(CROQUIS!$C$91=0,CROQUIS!$C$103=0),MIN(12*CROQUIS!$C$125,CROQUIS!$C$108-CROQUIS!$C$109-CROQUIS!$C$110),0))*CROQUIS!$C$171*CROQUIS!$C$172),(30+((CROQUIS!$C$109+CROQUIS!$C$125/2))*CROQUIS!$C$171*CROQUIS!$C$172),(30+((CROQUIS!$C$109+CROQUIS!$C$125/2))*CROQUIS!$C$171*CROQUIS!$C$172),(30+((CROQUIS!$C$109+CROQUIS!$C$125/2)+IF(AND(CROQUIS!$C$91=0,CROQUIS!$C$104=0),MIN(12*CROQUIS!$C$125,CROQUIS!$C$108-CROQUIS!$C$109-CROQUIS!$C$110),0))*CROQUIS!$C$171*CROQUIS!$C$172)),-1000)</f>
        <v>-1000</v>
      </c>
      <c r="ER9">
        <f>IF(AND(CROQUIS!$C$88=1,CROQUIS!$C$91=1),CHOOSE(MIN(MAX($A9,1),4),(4+((IF(CROQUIS!$C$91=1,-(CROQUIS!$C$107/2+CROQUIS!$C$140),IF(CROQUIS!$C$103=1,-CROQUIS!$C$107/2-30,-CROQUIS!$C$107/2+3)))-CROQUIS!$C$169)*CROQUIS!$C$171),(4+((IF(CROQUIS!$C$91=1,-(CROQUIS!$C$107/2+CROQUIS!$C$140),IF(CROQUIS!$C$103=1,-CROQUIS!$C$107/2-30,-CROQUIS!$C$107/2+3)))-CROQUIS!$C$169)*CROQUIS!$C$171),(4+((IF(CROQUIS!$C$91=1,CROQUIS!$C$97-3,IF(CROQUIS!$C$104=1,CROQUIS!$C$97+CROQUIS!$C$107/2+30,CROQUIS!$C$97+CROQUIS!$C$107/2-3)))-CROQUIS!$C$169)*CROQUIS!$C$171),(4+((IF(CROQUIS!$C$91=1,CROQUIS!$C$97-3,IF(CROQUIS!$C$104=1,CROQUIS!$C$97+CROQUIS!$C$107/2+30,CROQUIS!$C$97+CROQUIS!$C$107/2-3)))-CROQUIS!$C$169)*CROQUIS!$C$171)),-1000)</f>
        <v>-1000</v>
      </c>
      <c r="ES9">
        <f>IF(AND(CROQUIS!$C$88=1,CROQUIS!$C$91=1),CHOOSE(MIN(MAX($A9,1),4),(30+((CROQUIS!$C$108-CROQUIS!$C$110-CROQUIS!$C$129/2)-IF(AND(CROQUIS!$C$91=0,CROQUIS!$C$103=0),MIN(12*CROQUIS!$C$129,CROQUIS!$C$108-CROQUIS!$C$109-CROQUIS!$C$110),0))*CROQUIS!$C$171*CROQUIS!$C$172),(30+((CROQUIS!$C$108-CROQUIS!$C$110-CROQUIS!$C$129/2))*CROQUIS!$C$171*CROQUIS!$C$172),(30+((CROQUIS!$C$108-CROQUIS!$C$110-CROQUIS!$C$129/2))*CROQUIS!$C$171*CROQUIS!$C$172),(30+((CROQUIS!$C$108-CROQUIS!$C$110-CROQUIS!$C$129/2)-IF(OR(CROQUIS!$C$91=1,CROQUIS!$C$104=0),MIN(12*CROQUIS!$C$129,CROQUIS!$C$108-CROQUIS!$C$109-CROQUIS!$C$110),0))*CROQUIS!$C$171*CROQUIS!$C$172)),-1000)</f>
        <v>-1000</v>
      </c>
      <c r="ET9">
        <f>IF(AND(CROQUIS!$C$88=1,CROQUIS!$C$91=0,CROQUIS!$C$130&gt;0,OR(CROQUIS!$C$103=1,CROQUIS!$C$142=1)),CHOOSE(MIN(MAX($A9,1),3),(4+((IF(CROQUIS!$C$103=1,-CROQUIS!$C$107/2-30,-CROQUIS!$C$107/2+3))-CROQUIS!$C$169)*CROQUIS!$C$171),(4+((IF(CROQUIS!$C$103=1,-CROQUIS!$C$107/2-30,-CROQUIS!$C$107/2+3))-CROQUIS!$C$169)*CROQUIS!$C$171),(4+((CROQUIS!$C$107/2+CROQUIS!$C$140)-CROQUIS!$C$169)*CROQUIS!$C$171)),-1000)</f>
        <v>-1000</v>
      </c>
      <c r="EU9">
        <f>IF(AND(CROQUIS!$C$88=1,CROQUIS!$C$91=0,CROQUIS!$C$130&gt;0,OR(CROQUIS!$C$103=1,CROQUIS!$C$142=1)),CHOOSE(MIN(MAX($A9,1),3),(30+((CROQUIS!$C$108-CROQUIS!$C$110-CROQUIS!$C$129/2)-IF(CROQUIS!$C$103=1,0,MIN(12*CROQUIS!$C$129,CROQUIS!$C$108-CROQUIS!$C$109-CROQUIS!$C$110)))*CROQUIS!$C$171*CROQUIS!$C$172),(30+((CROQUIS!$C$108-CROQUIS!$C$110-CROQUIS!$C$129/2))*CROQUIS!$C$171*CROQUIS!$C$172),(30+((CROQUIS!$C$108-CROQUIS!$C$110-CROQUIS!$C$129/2))*CROQUIS!$C$171*CROQUIS!$C$172)),-1000)</f>
        <v>-1000</v>
      </c>
      <c r="EV9">
        <f>IF(AND(CROQUIS!$C$88=1,CROQUIS!$C$91=0,CROQUIS!$C$130&gt;0,OR(CROQUIS!$C$104=1,CROQUIS!$C$142=1)),CHOOSE(MIN(MAX($A9,1),3),(4+((CROQUIS!$C$97-CROQUIS!$C$107/2-CROQUIS!$C$140)-CROQUIS!$C$169)*CROQUIS!$C$171),(4+((IF(CROQUIS!$C$104=1,CROQUIS!$C$97+CROQUIS!$C$107/2+30,CROQUIS!$C$97+CROQUIS!$C$107/2-3))-CROQUIS!$C$169)*CROQUIS!$C$171),(4+((IF(CROQUIS!$C$104=1,CROQUIS!$C$97+CROQUIS!$C$107/2+30,CROQUIS!$C$97+CROQUIS!$C$107/2-3))-CROQUIS!$C$169)*CROQUIS!$C$171)),-1000)</f>
        <v>-1000</v>
      </c>
      <c r="EW9">
        <f>IF(AND(CROQUIS!$C$88=1,CROQUIS!$C$91=0,CROQUIS!$C$130&gt;0,OR(CROQUIS!$C$104=1,CROQUIS!$C$142=1)),CHOOSE(MIN(MAX($A9,1),3),(30+((CROQUIS!$C$108-CROQUIS!$C$110-CROQUIS!$C$129/2))*CROQUIS!$C$171*CROQUIS!$C$172),(30+((CROQUIS!$C$108-CROQUIS!$C$110-CROQUIS!$C$129/2))*CROQUIS!$C$171*CROQUIS!$C$172),(30+((CROQUIS!$C$108-CROQUIS!$C$110-CROQUIS!$C$129/2)-IF(CROQUIS!$C$104=1,0,MIN(12*CROQUIS!$C$129,CROQUIS!$C$108-CROQUIS!$C$109-CROQUIS!$C$110)))*CROQUIS!$C$171*CROQUIS!$C$172)),-1000)</f>
        <v>-1000</v>
      </c>
      <c r="EX9">
        <f>IF(AND(CROQUIS!$C$88=1),CHOOSE(MIN(MAX($A9,1)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-1000</v>
      </c>
      <c r="EY9">
        <f>IF(AND(CROQUIS!$C$88=1),CHOOSE(MIN(MAX($A9,1),7),15-1.4,15+1.4,15,15,15,15+1.4,15-1.4),-1000)</f>
        <v>-1000</v>
      </c>
      <c r="EZ9">
        <f>IF(AND(CROQUIS!$C$88=1,OR(CROQUIS!$C$91=1,AND(CROQUIS!$C$130&gt;0,OR(CROQUIS!$C$103=1,CROQUIS!$C$142=1)))),CHOOSE(MIN(MAX($A9,1)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FA9">
        <f>IF(AND(CROQUIS!$C$88=1,OR(CROQUIS!$C$91=1,AND(CROQUIS!$C$130&gt;0,OR(CROQUIS!$C$103=1,CROQUIS!$C$142=1)))),CHOOSE(MIN(MAX($A9,1)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  <c r="FB9">
        <f>IF(AND(CROQUIS!$C$88=1,CROQUIS!$C$91=1,CROQUIS!$C$148&gt;0),CHOOSE(MIN(MAX($A9,1),5),(4+((CROQUIS!$C$97)-CROQUIS!$C$169)*CROQUIS!$C$171),(4+((CROQUIS!$C$97)-CROQUIS!$C$169)*CROQUIS!$C$171),(4+((CROQUIS!$C$97)-CROQUIS!$C$169)*CROQUIS!$C$171)-1.2,(4+((CROQUIS!$C$97)-CROQUIS!$C$169)*CROQUIS!$C$171),(4+((CROQUIS!$C$97)-CROQUIS!$C$169)*CROQUIS!$C$171)+1.2),-1000)</f>
        <v>-1000</v>
      </c>
      <c r="FC9">
        <f>IF(AND(CROQUIS!$C$88=1,CROQUIS!$C$91=1,CROQUIS!$C$148&gt;0),CHOOSE(MIN(MAX($A9,1),5),(30+(CROQUIS!$C$108)*CROQUIS!$C$171*CROQUIS!$C$172)+13,(30+(CROQUIS!$C$108)*CROQUIS!$C$171*CROQUIS!$C$172)+1,(30+(CROQUIS!$C$108)*CROQUIS!$C$171*CROQUIS!$C$172)+4,(30+(CROQUIS!$C$108)*CROQUIS!$C$171*CROQUIS!$C$172)+1,(30+(CROQUIS!$C$108)*CROQUIS!$C$171*CROQUIS!$C$172)+4),-1000)</f>
        <v>-1000</v>
      </c>
    </row>
    <row r="10">
      <c r="A10" t="n">
        <v>3</v>
      </c>
      <c r="B10">
        <f>IF(AND(CROQUIS!$C$87=1),CHOOSE(MIN(MAX($A10,1),5),(CROQUIS!$C$156+(0)*CROQUIS!$C$155),(CROQUIS!$C$156+(CROQUIS!$C$95)*CROQUIS!$C$155),(CROQUIS!$C$156+(CROQUIS!$C$95)*CROQUIS!$C$155),(CROQUIS!$C$156+(0)*CROQUIS!$C$155),(CROQUIS!$C$156+(0)*CROQUIS!$C$155)),-1000)</f>
        <v>88</v>
      </c>
      <c r="C10">
        <f>IF(AND(CROQUIS!$C$87=1),CHOOSE(MIN(MAX($A10,1),5),(CROQUIS!$C$157+(0)*CROQUIS!$C$155),(CROQUIS!$C$157+(0)*CROQUIS!$C$155),(CROQUIS!$C$157+(CROQUIS!$C$96)*CROQUIS!$C$155),(CROQUIS!$C$157+(CROQUIS!$C$96)*CROQUIS!$C$155),(CROQUIS!$C$157+(0)*CROQUIS!$C$155)),-1000)</f>
        <v>84.3425214640759</v>
      </c>
      <c r="D10">
        <f>IF(AND(CROQUIS!$C$87=1),CHOOSE(MIN(MAX($A10,1),5),(CROQUIS!$C$156+(IF(CROQUIS!$C$91=1,CHOOSE(CROQUIS!$C$93,-CROQUIS!$C$107/2,CROQUIS!$C$95-CROQUIS!$C$107/2,0,0),CROQUIS!$C$107/2))*CROQUIS!$C$155),(CROQUIS!$C$156+(IF(CROQUIS!$C$91=1,CHOOSE(CROQUIS!$C$93,CROQUIS!$C$107/2,CROQUIS!$C$95+CROQUIS!$C$107/2,CROQUIS!$C$95,CROQUIS!$C$95),CROQUIS!$C$95-CROQUIS!$C$107/2))*CROQUIS!$C$155),(CROQUIS!$C$156+(IF(CROQUIS!$C$91=1,CHOOSE(CROQUIS!$C$93,CROQUIS!$C$107/2,CROQUIS!$C$95+CROQUIS!$C$107/2,CROQUIS!$C$95,CROQUIS!$C$95),CROQUIS!$C$95-CROQUIS!$C$107/2))*CROQUIS!$C$155),(CROQUIS!$C$156+(IF(CROQUIS!$C$91=1,CHOOSE(CROQUIS!$C$93,-CROQUIS!$C$107/2,CROQUIS!$C$95-CROQUIS!$C$107/2,0,0),CROQUIS!$C$107/2))*CROQUIS!$C$155),(CROQUIS!$C$156+(IF(CROQUIS!$C$91=1,CHOOSE(CROQUIS!$C$93,-CROQUIS!$C$107/2,CROQUIS!$C$95-CROQUIS!$C$107/2,0,0),CROQUIS!$C$107/2))*CROQUIS!$C$155)),-1000)</f>
        <v>86.7121554450972</v>
      </c>
      <c r="E10">
        <f>IF(AND(CROQUIS!$C$87=1),CHOOSE(MIN(MAX($A10,1),5),(CROQUIS!$C$157+(IF(CROQUIS!$C$91=1,CHOOSE(CROQUIS!$C$93,0,0,-CROQUIS!$C$107/2,CROQUIS!$C$96-CROQUIS!$C$107/2),CROQUIS!$C$107/2))*CROQUIS!$C$155),(CROQUIS!$C$157+(IF(CROQUIS!$C$91=1,CHOOSE(CROQUIS!$C$93,0,0,-CROQUIS!$C$107/2,CROQUIS!$C$96-CROQUIS!$C$107/2),CROQUIS!$C$107/2))*CROQUIS!$C$155),(CROQUIS!$C$157+(IF(CROQUIS!$C$91=1,CHOOSE(CROQUIS!$C$93,CROQUIS!$C$96,CROQUIS!$C$96,CROQUIS!$C$107/2,CROQUIS!$C$96+CROQUIS!$C$107/2),CROQUIS!$C$96-CROQUIS!$C$107/2))*CROQUIS!$C$155),(CROQUIS!$C$157+(IF(CROQUIS!$C$91=1,CHOOSE(CROQUIS!$C$93,CROQUIS!$C$96,CROQUIS!$C$96,CROQUIS!$C$107/2,CROQUIS!$C$96+CROQUIS!$C$107/2),CROQUIS!$C$96-CROQUIS!$C$107/2))*CROQUIS!$C$155),(CROQUIS!$C$157+(IF(CROQUIS!$C$91=1,CHOOSE(CROQUIS!$C$93,0,0,-CROQUIS!$C$107/2,CROQUIS!$C$96-CROQUIS!$C$107/2),CROQUIS!$C$107/2))*CROQUIS!$C$155)),-1000)</f>
        <v>83.0546769091731</v>
      </c>
      <c r="F10">
        <f>IF(AND(CROQUIS!$C$87=1,CROQUIS!$C$91=1),((CROQUIS!$C$156+(IF(CROQUIS!$C$92="X",IF(CROQUIS!$C$94=1,0,CROQUIS!$C$97)+IF(MOD($A10,2)=1,-CROQUIS!$C$107/2,CROQUIS!$C$107/2),(MIN($A10,41)-1)/40*CROQUIS!$C$98))*CROQUIS!$C$155)+IF(CROQUIS!$C$92="X",0,0)),-1000)</f>
        <v>-1000</v>
      </c>
      <c r="G10">
        <f>IF(AND(CROQUIS!$C$87=1,CROQUIS!$C$91=1),((CROQUIS!$C$157+(IF(CROQUIS!$C$92="X",(MIN($A10,41)-1)/40*CROQUIS!$C$98,IF(CROQUIS!$C$94=1,0,CROQUIS!$C$97)+IF(MOD($A10,2)=1,-CROQUIS!$C$107/2,CROQUIS!$C$107/2)))*CROQUIS!$C$155)+IF(CROQUIS!$C$92="X",0,0)),-1000)</f>
        <v>-1000</v>
      </c>
      <c r="H10">
        <f>IF(AND(CROQUIS!$C$87=1,CROQUIS!$C$91=1),CHOOSE(MIN(MAX($A10,1),5),(CROQUIS!$C$156+(CHOOSE(MAX(CROQUIS!$C$93,1),-CROQUIS!$C$150,CROQUIS!$C$95,0,0))*CROQUIS!$C$155),(CROQUIS!$C$156+(CHOOSE(MAX(CROQUIS!$C$93,1),0,CROQUIS!$C$95+CROQUIS!$C$150,CROQUIS!$C$95,CROQUIS!$C$95))*CROQUIS!$C$155),(CROQUIS!$C$156+(CHOOSE(MAX(CROQUIS!$C$93,1),0,CROQUIS!$C$95+CROQUIS!$C$150,CROQUIS!$C$95,CROQUIS!$C$95))*CROQUIS!$C$155),(CROQUIS!$C$156+(CHOOSE(MAX(CROQUIS!$C$93,1),-CROQUIS!$C$150,CROQUIS!$C$95,0,0))*CROQUIS!$C$155),(CROQUIS!$C$156+(CHOOSE(MAX(CROQUIS!$C$93,1),-CROQUIS!$C$150,CROQUIS!$C$95,0,0))*CROQUIS!$C$155)),-1000)</f>
        <v>-1000</v>
      </c>
      <c r="I10">
        <f>IF(AND(CROQUIS!$C$87=1,CROQUIS!$C$91=1),CHOOSE(MIN(MAX($A10,1),5),(CROQUIS!$C$157+(CHOOSE(MAX(CROQUIS!$C$93,1),0,0,-CROQUIS!$C$150,CROQUIS!$C$96))*CROQUIS!$C$155),(CROQUIS!$C$157+(CHOOSE(MAX(CROQUIS!$C$93,1),0,0,-CROQUIS!$C$150,CROQUIS!$C$96))*CROQUIS!$C$155),(CROQUIS!$C$157+(CHOOSE(MAX(CROQUIS!$C$93,1),CROQUIS!$C$96,CROQUIS!$C$96,0,CROQUIS!$C$96+CROQUIS!$C$150))*CROQUIS!$C$155),(CROQUIS!$C$157+(CHOOSE(MAX(CROQUIS!$C$93,1),CROQUIS!$C$96,CROQUIS!$C$96,0,CROQUIS!$C$96+CROQUIS!$C$150))*CROQUIS!$C$155),(CROQUIS!$C$157+(CHOOSE(MAX(CROQUIS!$C$93,1),0,0,-CROQUIS!$C$150,CROQUIS!$C$96))*CROQUIS!$C$155)),-1000)</f>
        <v>-1000</v>
      </c>
      <c r="J10">
        <f>IF(AND(CROQUIS!$C$87=1,CROQUIS!$C$91=1,CROQUIS!$C$148&gt;0),((CROQUIS!$C$156+(IF(CROQUIS!$C$92="X",IF(CROQUIS!$C$94=1,CROQUIS!$C$97,0),CHOOSE(MIN(MAX($A10,1),3),0,0.5,1)*CROQUIS!$C$98))*CROQUIS!$C$155)+IF(CROQUIS!$C$92="X",0,0)),-1000)</f>
        <v>-1000</v>
      </c>
      <c r="K10">
        <f>IF(AND(CROQUIS!$C$87=1,CROQUIS!$C$91=1,CROQUIS!$C$148&gt;0),((CROQUIS!$C$157+(IF(CROQUIS!$C$92="X",CHOOSE(MIN(MAX($A10,1),3),0,0.5,1)*CROQUIS!$C$98,IF(CROQUIS!$C$94=1,CROQUIS!$C$97,0)))*CROQUIS!$C$155)+IF(CROQUIS!$C$92="X",0,0)),-1000)</f>
        <v>-1000</v>
      </c>
      <c r="L10">
        <f>IF(AND(CROQUIS!$C$87=1),CHOOSE(MIN(MAX($A10,1)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12</v>
      </c>
      <c r="M10">
        <f>IF(AND(CROQUIS!$C$87=1),CHOOSE(MIN(MAX($A10,1)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10.6574785359241</v>
      </c>
      <c r="N10">
        <f>IF(AND(CROQUIS!$C$87=1),CHOOSE(MIN(MAX($A10,1)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7</v>
      </c>
      <c r="O10">
        <f>IF(AND(CROQUIS!$C$87=1),CHOOSE(MIN(MAX($A10,1)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15.6574785359241</v>
      </c>
      <c r="P10">
        <f>IF(AND(CROQUIS!$C$88=1),CHOOSE(MIN(MAX($A10,1),5),(CROQUIS!$C$156+(0)*CROQUIS!$C$155),(CROQUIS!$C$156+(CROQUIS!$C$95)*CROQUIS!$C$155),(CROQUIS!$C$156+(CROQUIS!$C$95)*CROQUIS!$C$155),(CROQUIS!$C$156+(0)*CROQUIS!$C$155),(CROQUIS!$C$156+(0)*CROQUIS!$C$155)),-1000)</f>
        <v>-1000</v>
      </c>
      <c r="Q10">
        <f>IF(AND(CROQUIS!$C$88=1),CHOOSE(MIN(MAX($A10,1),5),(CROQUIS!$C$157+(0)*CROQUIS!$C$155),(CROQUIS!$C$157+(0)*CROQUIS!$C$155),(CROQUIS!$C$157+(CROQUIS!$C$96)*CROQUIS!$C$155),(CROQUIS!$C$157+(CROQUIS!$C$96)*CROQUIS!$C$155),(CROQUIS!$C$157+(0)*CROQUIS!$C$155)),-1000)</f>
        <v>-1000</v>
      </c>
      <c r="R10">
        <f>IF(AND(CROQUIS!$C$88=1),CHOOSE(MIN(MAX($A10,1),5),(CROQUIS!$C$156+(IF(CROQUIS!$C$91=1,CHOOSE(CROQUIS!$C$93,-CROQUIS!$C$107/2,CROQUIS!$C$95-CROQUIS!$C$107/2,0,0),CROQUIS!$C$107/2))*CROQUIS!$C$155),(CROQUIS!$C$156+(IF(CROQUIS!$C$91=1,CHOOSE(CROQUIS!$C$93,CROQUIS!$C$107/2,CROQUIS!$C$95+CROQUIS!$C$107/2,CROQUIS!$C$95,CROQUIS!$C$95),CROQUIS!$C$95-CROQUIS!$C$107/2))*CROQUIS!$C$155),(CROQUIS!$C$156+(IF(CROQUIS!$C$91=1,CHOOSE(CROQUIS!$C$93,CROQUIS!$C$107/2,CROQUIS!$C$95+CROQUIS!$C$107/2,CROQUIS!$C$95,CROQUIS!$C$95),CROQUIS!$C$95-CROQUIS!$C$107/2))*CROQUIS!$C$155),(CROQUIS!$C$156+(IF(CROQUIS!$C$91=1,CHOOSE(CROQUIS!$C$93,-CROQUIS!$C$107/2,CROQUIS!$C$95-CROQUIS!$C$107/2,0,0),CROQUIS!$C$107/2))*CROQUIS!$C$155),(CROQUIS!$C$156+(IF(CROQUIS!$C$91=1,CHOOSE(CROQUIS!$C$93,-CROQUIS!$C$107/2,CROQUIS!$C$95-CROQUIS!$C$107/2,0,0),CROQUIS!$C$107/2))*CROQUIS!$C$155)),-1000)</f>
        <v>-1000</v>
      </c>
      <c r="S10">
        <f>IF(AND(CROQUIS!$C$88=1),CHOOSE(MIN(MAX($A10,1),5),(CROQUIS!$C$157+(IF(CROQUIS!$C$91=1,CHOOSE(CROQUIS!$C$93,0,0,-CROQUIS!$C$107/2,CROQUIS!$C$96-CROQUIS!$C$107/2),CROQUIS!$C$107/2))*CROQUIS!$C$155),(CROQUIS!$C$157+(IF(CROQUIS!$C$91=1,CHOOSE(CROQUIS!$C$93,0,0,-CROQUIS!$C$107/2,CROQUIS!$C$96-CROQUIS!$C$107/2),CROQUIS!$C$107/2))*CROQUIS!$C$155),(CROQUIS!$C$157+(IF(CROQUIS!$C$91=1,CHOOSE(CROQUIS!$C$93,CROQUIS!$C$96,CROQUIS!$C$96,CROQUIS!$C$107/2,CROQUIS!$C$96+CROQUIS!$C$107/2),CROQUIS!$C$96-CROQUIS!$C$107/2))*CROQUIS!$C$155),(CROQUIS!$C$157+(IF(CROQUIS!$C$91=1,CHOOSE(CROQUIS!$C$93,CROQUIS!$C$96,CROQUIS!$C$96,CROQUIS!$C$107/2,CROQUIS!$C$96+CROQUIS!$C$107/2),CROQUIS!$C$96-CROQUIS!$C$107/2))*CROQUIS!$C$155),(CROQUIS!$C$157+(IF(CROQUIS!$C$91=1,CHOOSE(CROQUIS!$C$93,0,0,-CROQUIS!$C$107/2,CROQUIS!$C$96-CROQUIS!$C$107/2),CROQUIS!$C$107/2))*CROQUIS!$C$155)),-1000)</f>
        <v>-1000</v>
      </c>
      <c r="T10">
        <f>IF(AND(CROQUIS!$C$88=1,CROQUIS!$C$91=1),((CROQUIS!$C$156+(IF(CROQUIS!$C$92="X",IF(CROQUIS!$C$94=1,0,CROQUIS!$C$97)+IF(MOD($A10,2)=1,-CROQUIS!$C$107/2,CROQUIS!$C$107/2),(MIN($A10,41)-1)/40*CROQUIS!$C$98))*CROQUIS!$C$155)+IF(CROQUIS!$C$92="X",0,0)),-1000)</f>
        <v>-1000</v>
      </c>
      <c r="U10">
        <f>IF(AND(CROQUIS!$C$88=1,CROQUIS!$C$91=1),((CROQUIS!$C$157+(IF(CROQUIS!$C$92="X",(MIN($A10,41)-1)/40*CROQUIS!$C$98,IF(CROQUIS!$C$94=1,0,CROQUIS!$C$97)+IF(MOD($A10,2)=1,-CROQUIS!$C$107/2,CROQUIS!$C$107/2)))*CROQUIS!$C$155)+IF(CROQUIS!$C$92="X",0,0)),-1000)</f>
        <v>-1000</v>
      </c>
      <c r="V10">
        <f>IF(AND(CROQUIS!$C$88=1,CROQUIS!$C$91=1),CHOOSE(MIN(MAX($A10,1),5),(CROQUIS!$C$156+(CHOOSE(MAX(CROQUIS!$C$93,1),-CROQUIS!$C$150,CROQUIS!$C$95,0,0))*CROQUIS!$C$155),(CROQUIS!$C$156+(CHOOSE(MAX(CROQUIS!$C$93,1),0,CROQUIS!$C$95+CROQUIS!$C$150,CROQUIS!$C$95,CROQUIS!$C$95))*CROQUIS!$C$155),(CROQUIS!$C$156+(CHOOSE(MAX(CROQUIS!$C$93,1),0,CROQUIS!$C$95+CROQUIS!$C$150,CROQUIS!$C$95,CROQUIS!$C$95))*CROQUIS!$C$155),(CROQUIS!$C$156+(CHOOSE(MAX(CROQUIS!$C$93,1),-CROQUIS!$C$150,CROQUIS!$C$95,0,0))*CROQUIS!$C$155),(CROQUIS!$C$156+(CHOOSE(MAX(CROQUIS!$C$93,1),-CROQUIS!$C$150,CROQUIS!$C$95,0,0))*CROQUIS!$C$155)),-1000)</f>
        <v>-1000</v>
      </c>
      <c r="W10">
        <f>IF(AND(CROQUIS!$C$88=1,CROQUIS!$C$91=1),CHOOSE(MIN(MAX($A10,1),5),(CROQUIS!$C$157+(CHOOSE(MAX(CROQUIS!$C$93,1),0,0,-CROQUIS!$C$150,CROQUIS!$C$96))*CROQUIS!$C$155),(CROQUIS!$C$157+(CHOOSE(MAX(CROQUIS!$C$93,1),0,0,-CROQUIS!$C$150,CROQUIS!$C$96))*CROQUIS!$C$155),(CROQUIS!$C$157+(CHOOSE(MAX(CROQUIS!$C$93,1),CROQUIS!$C$96,CROQUIS!$C$96,0,CROQUIS!$C$96+CROQUIS!$C$150))*CROQUIS!$C$155),(CROQUIS!$C$157+(CHOOSE(MAX(CROQUIS!$C$93,1),CROQUIS!$C$96,CROQUIS!$C$96,0,CROQUIS!$C$96+CROQUIS!$C$150))*CROQUIS!$C$155),(CROQUIS!$C$157+(CHOOSE(MAX(CROQUIS!$C$93,1),0,0,-CROQUIS!$C$150,CROQUIS!$C$96))*CROQUIS!$C$155)),-1000)</f>
        <v>-1000</v>
      </c>
      <c r="X10">
        <f>IF(AND(CROQUIS!$C$88=1,CROQUIS!$C$91=1,CROQUIS!$C$148&gt;0),((CROQUIS!$C$156+(IF(CROQUIS!$C$92="X",IF(CROQUIS!$C$94=1,CROQUIS!$C$97,0),CHOOSE(MIN(MAX($A10,1),3),0,0.5,1)*CROQUIS!$C$98))*CROQUIS!$C$155)+IF(CROQUIS!$C$92="X",0,0)),-1000)</f>
        <v>-1000</v>
      </c>
      <c r="Y10">
        <f>IF(AND(CROQUIS!$C$88=1,CROQUIS!$C$91=1,CROQUIS!$C$148&gt;0),((CROQUIS!$C$157+(IF(CROQUIS!$C$92="X",CHOOSE(MIN(MAX($A10,1),3),0,0.5,1)*CROQUIS!$C$98,IF(CROQUIS!$C$94=1,CROQUIS!$C$97,0)))*CROQUIS!$C$155)+IF(CROQUIS!$C$92="X",0,0)),-1000)</f>
        <v>-1000</v>
      </c>
      <c r="Z10">
        <f>IF(AND(CROQUIS!$C$88=1),CHOOSE(MIN(MAX($A10,1)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-1000</v>
      </c>
      <c r="AA10">
        <f>IF(AND(CROQUIS!$C$88=1),CHOOSE(MIN(MAX($A10,1)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-1000</v>
      </c>
      <c r="AB10">
        <f>IF(AND(CROQUIS!$C$88=1),CHOOSE(MIN(MAX($A10,1)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-1000</v>
      </c>
      <c r="AC10">
        <f>IF(AND(CROQUIS!$C$88=1),CHOOSE(MIN(MAX($A10,1)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-1000</v>
      </c>
      <c r="AD10">
        <f>IF(AND(CROQUIS!$C$87=1,CROQUIS!$C$91=1,CROQUIS!$C$144&gt;0),CHOOSE(MIN(MAX($A10,1),5),(CROQUIS!$C$156+(CHOOSE(MAX(CROQUIS!$C$93,1),-(CROQUIS!$C$107/2+CROQUIS!$C$144),CROQUIS!$C$95+CROQUIS!$C$107/2,0,0))*CROQUIS!$C$155),(CROQUIS!$C$156+(CHOOSE(MAX(CROQUIS!$C$93,1),-CROQUIS!$C$107/2,CROQUIS!$C$95+(CROQUIS!$C$107/2+CROQUIS!$C$144),CROQUIS!$C$95,CROQUIS!$C$95))*CROQUIS!$C$155),(CROQUIS!$C$156+(CHOOSE(MAX(CROQUIS!$C$93,1),-CROQUIS!$C$107/2,CROQUIS!$C$95+(CROQUIS!$C$107/2+CROQUIS!$C$144),CROQUIS!$C$95,CROQUIS!$C$95))*CROQUIS!$C$155),(CROQUIS!$C$156+(CHOOSE(MAX(CROQUIS!$C$93,1),-(CROQUIS!$C$107/2+CROQUIS!$C$144),CROQUIS!$C$95+CROQUIS!$C$107/2,0,0))*CROQUIS!$C$155),(CROQUIS!$C$156+(CHOOSE(MAX(CROQUIS!$C$93,1),-(CROQUIS!$C$107/2+CROQUIS!$C$144),CROQUIS!$C$95+CROQUIS!$C$107/2,0,0))*CROQUIS!$C$155)),-1000)</f>
        <v>-1000</v>
      </c>
      <c r="AE10">
        <f>IF(AND(CROQUIS!$C$87=1,CROQUIS!$C$91=1,CROQUIS!$C$144&gt;0),CHOOSE(MIN(MAX($A10,1),5),(CROQUIS!$C$157+(CHOOSE(MAX(CROQUIS!$C$93,1),0,0,-(CROQUIS!$C$107/2+CROQUIS!$C$144),CROQUIS!$C$96+CROQUIS!$C$107/2))*CROQUIS!$C$155),(CROQUIS!$C$157+(CHOOSE(MAX(CROQUIS!$C$93,1),0,0,-(CROQUIS!$C$107/2+CROQUIS!$C$144),CROQUIS!$C$96+CROQUIS!$C$107/2))*CROQUIS!$C$155),(CROQUIS!$C$157+(CHOOSE(MAX(CROQUIS!$C$93,1),CROQUIS!$C$96,CROQUIS!$C$96,-CROQUIS!$C$107/2,CROQUIS!$C$96+(CROQUIS!$C$107/2+CROQUIS!$C$144)))*CROQUIS!$C$155),(CROQUIS!$C$157+(CHOOSE(MAX(CROQUIS!$C$93,1),CROQUIS!$C$96,CROQUIS!$C$96,-CROQUIS!$C$107/2,CROQUIS!$C$96+(CROQUIS!$C$107/2+CROQUIS!$C$144)))*CROQUIS!$C$155),(CROQUIS!$C$157+(CHOOSE(MAX(CROQUIS!$C$93,1),0,0,-(CROQUIS!$C$107/2+CROQUIS!$C$144),CROQUIS!$C$96+CROQUIS!$C$107/2))*CROQUIS!$C$155)),-1000)</f>
        <v>-1000</v>
      </c>
      <c r="AF10">
        <f>IF(AND(CROQUIS!$C$87=1,CROQUIS!$C$158&gt;0,CROQUIS!$C$160&gt;0),(CROQUIS!$C$156+((CROQUIS!$C$159+INT(MIN(INT(($A10-1)/2),MAX((2*CROQUIS!$C$158)-1,0))/2)*CROQUIS!$C$113+MOD(MIN(INT(($A10-1)/2),MAX((2*CROQUIS!$C$158)-1,0)),2)*CROQUIS!$C$112))*CROQUIS!$C$155),-1000)</f>
        <v>25.101671938545</v>
      </c>
      <c r="AG10">
        <f>IF(AND(CROQUIS!$C$87=1,CROQUIS!$C$158&gt;0,CROQUIS!$C$160&gt;0),(CROQUIS!$C$157+(IF(MOD(MIN(INT(($A10-1)/2),MAX((2*CROQUIS!$C$158)-1,0)),2)=0,IF(IF(INT(($A10-1)/2)&gt;MAX((2*CROQUIS!$C$158)-1,0),1,MOD($A10-1,2))=0,CROQUIS!$C$161,(CROQUIS!$C$161+CROQUIS!$C$160*CROQUIS!$C$113-CROQUIS!$C$111)),IF(IF(INT(($A10-1)/2)&gt;MAX((2*CROQUIS!$C$158)-1,0),1,MOD($A10-1,2))=0,(CROQUIS!$C$161+CROQUIS!$C$160*CROQUIS!$C$113-CROQUIS!$C$111),CROQUIS!$C$161)))*CROQUIS!$C$155),-1000)</f>
        <v>79.1911432444645</v>
      </c>
      <c r="AH10">
        <f>IF(AND(CROQUIS!$C$87=1,CROQUIS!$C$160&gt;0,CROQUIS!$C$158&gt;0),(CROQUIS!$C$156+(IF(MOD(MIN(INT(($A10-1)/2),MAX((2*CROQUIS!$C$160)-1,0)),2)=0,IF(IF(INT(($A10-1)/2)&gt;MAX((2*CROQUIS!$C$160)-1,0),1,MOD($A10-1,2))=0,CROQUIS!$C$159,(CROQUIS!$C$159+CROQUIS!$C$158*CROQUIS!$C$113-CROQUIS!$C$111)),IF(IF(INT(($A10-1)/2)&gt;MAX((2*CROQUIS!$C$160)-1,0),1,MOD($A10-1,2))=0,(CROQUIS!$C$159+CROQUIS!$C$158*CROQUIS!$C$113-CROQUIS!$C$111),CROQUIS!$C$159)))*CROQUIS!$C$155),-1000)</f>
        <v>85.2010845006778</v>
      </c>
      <c r="AI10">
        <f>IF(AND(CROQUIS!$C$87=1,CROQUIS!$C$160&gt;0,CROQUIS!$C$158&gt;0),(CROQUIS!$C$157+((CROQUIS!$C$161+INT(MIN(INT(($A10-1)/2),MAX((2*CROQUIS!$C$160)-1,0))/2)*CROQUIS!$C$113+MOD(MIN(INT(($A10-1)/2),MAX((2*CROQUIS!$C$160)-1,0)),2)*CROQUIS!$C$112))*CROQUIS!$C$155),-1000)</f>
        <v>31.1116131947583</v>
      </c>
      <c r="AJ10">
        <f>IF(AND(CROQUIS!$C$87=1,CROQUIS!$C$158&gt;=2),(CROQUIS!$C$156+((CROQUIS!$C$159+CROQUIS!$C$112+CROQUIS!$C$111/2+MIN(INT(($A10-1)/2),MAX((CROQUIS!$C$158-1)-1,0))*CROQUIS!$C$113))*CROQUIS!$C$155),-1000)</f>
        <v>37.9801174875734</v>
      </c>
      <c r="AK10">
        <f>IF(AND(CROQUIS!$C$87=1,CROQUIS!$C$158&gt;=2),(CROQUIS!$C$157+(IF(MOD(MIN(INT(($A10-1)/2),MAX((CROQUIS!$C$158-1)-1,0)),2)=0,IF(IF(INT(($A10-1)/2)&gt;MAX((CROQUIS!$C$158-1)-1,0),1,MOD($A10-1,2))=0,CROQUIS!$C$107/2,(CROQUIS!$C$96-CROQUIS!$C$107/2)),IF(IF(INT(($A10-1)/2)&gt;MAX((CROQUIS!$C$158-1)-1,0),1,MOD($A10-1,2))=0,(CROQUIS!$C$96-CROQUIS!$C$107/2),CROQUIS!$C$107/2)))*CROQUIS!$C$155),-1000)</f>
        <v>83.0546769091731</v>
      </c>
      <c r="AL10">
        <f>IF(AND(CROQUIS!$C$87=1,CROQUIS!$C$160&gt;=2),(CROQUIS!$C$156+(IF(MOD(MIN(INT(($A10-1)/2),MAX((CROQUIS!$C$160-1)-1,0)),2)=0,IF(IF(INT(($A10-1)/2)&gt;MAX((CROQUIS!$C$160-1)-1,0),1,MOD($A10-1,2))=0,CROQUIS!$C$107/2,(CROQUIS!$C$95-CROQUIS!$C$107/2)),IF(IF(INT(($A10-1)/2)&gt;MAX((CROQUIS!$C$160-1)-1,0),1,MOD($A10-1,2))=0,(CROQUIS!$C$95-CROQUIS!$C$107/2),CROQUIS!$C$107/2)))*CROQUIS!$C$155),-1000)</f>
        <v>86.7121554450972</v>
      </c>
      <c r="AM10">
        <f>IF(AND(CROQUIS!$C$87=1,CROQUIS!$C$160&gt;=2),(CROQUIS!$C$157+((CROQUIS!$C$161+CROQUIS!$C$112+CROQUIS!$C$111/2+MIN(INT(($A10-1)/2),MAX((CROQUIS!$C$160-1)-1,0))*CROQUIS!$C$113))*CROQUIS!$C$155),-1000)</f>
        <v>43.9900587437867</v>
      </c>
      <c r="AN10">
        <f>IF(AND(CROQUIS!$C$87=1,CROQUIS!$C$123&gt;0,CROQUIS!$C$162&gt;0),((CROQUIS!$C$156+(IF(CROQUIS!$C$92="X",CHOOSE(MIN(MAX($A10,1)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,CHOOSE(MIN(MAX($A10,1)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))*CROQUIS!$C$155)+IF(CROQUIS!$C$92="X",0,0)),-1000)</f>
        <v>-1000</v>
      </c>
      <c r="AO10">
        <f>IF(AND(CROQUIS!$C$87=1,CROQUIS!$C$123&gt;0,CROQUIS!$C$162&gt;0),((CROQUIS!$C$157+(IF(CROQUIS!$C$92="X",CHOOSE(MIN(MAX($A10,1)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,CHOOSE(MIN(MAX($A10,1)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))*CROQUIS!$C$155)+IF(CROQUIS!$C$92="X",0,0)),-1000)</f>
        <v>-1000</v>
      </c>
      <c r="BF10">
        <f>IF(AND(CROQUIS!$C$87=1,CROQUIS!$C$158&gt;=2),CHOOSE(MIN(MAX($A10,1),7),(CROQUIS!$C$156+(CROQUIS!$C$159)*CROQUIS!$C$155),(CROQUIS!$C$156+(CROQUIS!$C$159)*CROQUIS!$C$155),(CROQUIS!$C$156+(CROQUIS!$C$159)*CROQUIS!$C$155),((CROQUIS!$C$156+(CROQUIS!$C$159)*CROQUIS!$C$155)+(CROQUIS!$C$156+(CROQUIS!$C$159+CROQUIS!$C$113)*CROQUIS!$C$155))/2,(CROQUIS!$C$156+(CROQUIS!$C$159+CROQUIS!$C$113)*CROQUIS!$C$155),(CROQUIS!$C$156+(CROQUIS!$C$159+CROQUIS!$C$113)*CROQUIS!$C$155),(CROQUIS!$C$156+(CROQUIS!$C$159+CROQUIS!$C$113)*CROQUIS!$C$155)),-1000)</f>
        <v>14.7989154993222</v>
      </c>
      <c r="BG10">
        <f>IF(AND(CROQUIS!$C$87=1,CROQUIS!$C$158&gt;=2),CHOOSE(MIN(MAX($A10,1),7),((CROQUIS!$C$157+(CROQUIS!$C$154)*CROQUIS!$C$155)+4)-1.4,((CROQUIS!$C$157+(CROQUIS!$C$154)*CROQUIS!$C$155)+4)+1.4,((CROQUIS!$C$157+(CROQUIS!$C$154)*CROQUIS!$C$155)+4),((CROQUIS!$C$157+(CROQUIS!$C$154)*CROQUIS!$C$155)+4),((CROQUIS!$C$157+(CROQUIS!$C$154)*CROQUIS!$C$155)+4),((CROQUIS!$C$157+(CROQUIS!$C$154)*CROQUIS!$C$155)+4)+1.4,((CROQUIS!$C$157+(CROQUIS!$C$154)*CROQUIS!$C$155)+4)-1.4),-1000)</f>
        <v>88.3425214640759</v>
      </c>
      <c r="BH10">
        <f>IF(AND(CROQUIS!$C$88=1,CROQUIS!$C$126&gt;0),((CROQUIS!$C$156+(IF(CROQUIS!$C$92="X",CHOOSE(IF(INT(($A10-1)/5)&gt;MAX((MIN(80,MAX(1,INT(((CROQUIS!$C$98)-CROQUIS!$C$107)/MAX(CROQUIS!$C$126,1))+1)))-1,0),0,MOD($A10-1,5))+1,0,2,CROQUIS!$C$97-2,2,0),((CROQUIS!$C$107/2+(((CROQUIS!$C$98)-CROQUIS!$C$107)-(MIN(80,MAX(1,INT(((CROQUIS!$C$98)-CROQUIS!$C$107)/MAX(CROQUIS!$C$126,1))+1))-1)*CROQUIS!$C$126)/2)+MIN(INT(($A10-1)/5),MAX((MIN(80,MAX(1,INT(((CROQUIS!$C$98)-CROQUIS!$C$107)/MAX(CROQUIS!$C$126,1))+1)))-1,0))*CROQUIS!$C$126)))*CROQUIS!$C$155)+IF(CROQUIS!$C$92="X",0,0)),-1000)</f>
        <v>-1000</v>
      </c>
      <c r="BI10">
        <f>IF(AND(CROQUIS!$C$88=1,CROQUIS!$C$126&gt;0),((CROQUIS!$C$157+(IF(CROQUIS!$C$92="X",((CROQUIS!$C$107/2+(((CROQUIS!$C$98)-CROQUIS!$C$107)-(MIN(80,MAX(1,INT(((CROQUIS!$C$98)-CROQUIS!$C$107)/MAX(CROQUIS!$C$126,1))+1))-1)*CROQUIS!$C$126)/2)+MIN(INT(($A10-1)/5),MAX((MIN(80,MAX(1,INT(((CROQUIS!$C$98)-CROQUIS!$C$107)/MAX(CROQUIS!$C$126,1))+1)))-1,0))*CROQUIS!$C$126),CHOOSE(IF(INT(($A10-1)/5)&gt;MAX((MIN(80,MAX(1,INT(((CROQUIS!$C$98)-CROQUIS!$C$107)/MAX(CROQUIS!$C$126,1))+1)))-1,0),0,MOD($A10-1,5))+1,0,2,CROQUIS!$C$97-2,2,0)))*CROQUIS!$C$155)+IF(CROQUIS!$C$92="X",0,0)),-1000)</f>
        <v>-1000</v>
      </c>
      <c r="BJ10">
        <f>IF(AND(CROQUIS!$C$88=1,CROQUIS!$C$134&gt;0),((CROQUIS!$C$156+(IF(CROQUIS!$C$92="X",((CROQUIS!$C$107/2+(((CROQUIS!$C$97)-CROQUIS!$C$107)-(MIN(80,MAX(1,INT(((CROQUIS!$C$97)-CROQUIS!$C$107)/MAX(CROQUIS!$C$134,1))+1))-1)*CROQUIS!$C$134)/2)+MIN(INT(($A10-1)/5),MAX((MIN(80,MAX(1,INT(((CROQUIS!$C$97)-CROQUIS!$C$107)/MAX(CROQUIS!$C$134,1))+1)))-1,0))*CROQUIS!$C$134),CHOOSE(IF(INT(($A10-1)/5)&gt;MAX((MIN(80,MAX(1,INT(((CROQUIS!$C$97)-CROQUIS!$C$107)/MAX(CROQUIS!$C$134,1))+1)))-1,0),0,MOD($A10-1,5))+1,0,2,CROQUIS!$C$98-2,2,0)))*CROQUIS!$C$155)+IF(CROQUIS!$C$92="X",0,0)),-1000)</f>
        <v>-1000</v>
      </c>
      <c r="BK10">
        <f>IF(AND(CROQUIS!$C$88=1,CROQUIS!$C$134&gt;0),((CROQUIS!$C$157+(IF(CROQUIS!$C$92="X",CHOOSE(IF(INT(($A10-1)/5)&gt;MAX((MIN(80,MAX(1,INT(((CROQUIS!$C$97)-CROQUIS!$C$107)/MAX(CROQUIS!$C$134,1))+1)))-1,0),0,MOD($A10-1,5))+1,0,2,CROQUIS!$C$98-2,2,0),((CROQUIS!$C$107/2+(((CROQUIS!$C$97)-CROQUIS!$C$107)-(MIN(80,MAX(1,INT(((CROQUIS!$C$97)-CROQUIS!$C$107)/MAX(CROQUIS!$C$134,1))+1))-1)*CROQUIS!$C$134)/2)+MIN(INT(($A10-1)/5),MAX((MIN(80,MAX(1,INT(((CROQUIS!$C$97)-CROQUIS!$C$107)/MAX(CROQUIS!$C$134,1))+1)))-1,0))*CROQUIS!$C$134)))*CROQUIS!$C$155)+IF(CROQUIS!$C$92="X",0,0)),-1000)</f>
        <v>-1000</v>
      </c>
      <c r="BL10">
        <f>IF(AND(CROQUIS!$C$88=1,CROQUIS!$C$91=0,CROQUIS!$C$130&gt;0,OR(CROQUIS!$C$103=1,CROQUIS!$C$142=1)),((CROQUIS!$C$156+(IF(CROQUIS!$C$92="X",CHOOSE(IF(INT(($A10-1)/5)&gt;MAX((MIN(80,MAX(1,INT(((CROQUIS!$C$98)-CROQUIS!$C$107)/MAX(CROQUIS!$C$130,1))+1)))-1,0),0,MOD($A10-1,5))+1,0,IF(CROQUIS!$C$103=1,-12,2),CROQUIS!$C$107/2+CROQUIS!$C$140,IF(CROQUIS!$C$103=1,-12,2),0),((CROQUIS!$C$107/2+(((CROQUIS!$C$98)-CROQUIS!$C$107)-(MIN(80,MAX(1,INT(((CROQUIS!$C$98)-CROQUIS!$C$107)/MAX(CROQUIS!$C$130,1))+1))-1)*CROQUIS!$C$130)/2)+MIN(INT(($A10-1)/5),MAX((MIN(80,MAX(1,INT(((CROQUIS!$C$98)-CROQUIS!$C$107)/MAX(CROQUIS!$C$130,1))+1)))-1,0))*CROQUIS!$C$130)))*CROQUIS!$C$155)+IF(CROQUIS!$C$92="X",0,0)),-1000)</f>
        <v>-1000</v>
      </c>
      <c r="BM1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10-1)/5),MAX((MIN(80,MAX(1,INT(((CROQUIS!$C$98)-CROQUIS!$C$107)/MAX(CROQUIS!$C$130,1))+1)))-1,0))*CROQUIS!$C$130),CHOOSE(IF(INT(($A10-1)/5)&gt;MAX((MIN(80,MAX(1,INT(((CROQUIS!$C$98)-CROQUIS!$C$107)/MAX(CROQUIS!$C$130,1))+1)))-1,0),0,MOD($A10-1,5))+1,0,IF(CROQUIS!$C$103=1,-12,2),CROQUIS!$C$107/2+CROQUIS!$C$140,IF(CROQUIS!$C$103=1,-12,2),0)))*CROQUIS!$C$155)+IF(CROQUIS!$C$92="X",0,0)),-1000)</f>
        <v>-1000</v>
      </c>
      <c r="BN10">
        <f>IF(AND(CROQUIS!$C$88=1,CROQUIS!$C$91=0,CROQUIS!$C$130&gt;0,OR(CROQUIS!$C$104=1,CROQUIS!$C$142=1)),((CROQUIS!$C$156+(IF(CROQUIS!$C$92="X",CHOOSE(IF(INT(($A10-1)/5)&gt;MAX((MIN(80,MAX(1,INT(((CROQUIS!$C$98)-CROQUIS!$C$107)/MAX(CROQUIS!$C$130,1))+1)))-1,0),0,MOD($A10-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10-1)/5),MAX((MIN(80,MAX(1,INT(((CROQUIS!$C$98)-CROQUIS!$C$107)/MAX(CROQUIS!$C$130,1))+1)))-1,0))*CROQUIS!$C$130)))*CROQUIS!$C$155)+IF(CROQUIS!$C$92="X",0,0)),-1000)</f>
        <v>-1000</v>
      </c>
      <c r="BO1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10-1)/5),MAX((MIN(80,MAX(1,INT(((CROQUIS!$C$98)-CROQUIS!$C$107)/MAX(CROQUIS!$C$130,1))+1)))-1,0))*CROQUIS!$C$130),CHOOSE(IF(INT(($A10-1)/5)&gt;MAX((MIN(80,MAX(1,INT(((CROQUIS!$C$98)-CROQUIS!$C$107)/MAX(CROQUIS!$C$130,1))+1)))-1,0),0,MOD($A10-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10-1)/5),MAX((MIN(80,MAX(1,INT(((CROQUIS!$C$97)-CROQUIS!$C$107)/MAX(CROQUIS!$C$138,1))+1)))-1,0))*CROQUIS!$C$138),CHOOSE(IF(INT(($A10-1)/5)&gt;MAX((MIN(80,MAX(1,INT(((CROQUIS!$C$97)-CROQUIS!$C$107)/MAX(CROQUIS!$C$138,1))+1)))-1,0),0,MOD($A10-1,5))+1,0,IF(CROQUIS!$C$105=1,-12,2),CROQUIS!$C$107/2+CROQUIS!$C$141,IF(CROQUIS!$C$105=1,-12,2),0)))*CROQUIS!$C$155)+IF(CROQUIS!$C$92="X",0,0)),-1000)</f>
        <v>-1000</v>
      </c>
      <c r="BQ10">
        <f>IF(AND(CROQUIS!$C$88=1,CROQUIS!$C$91=0,CROQUIS!$C$138&gt;0,OR(CROQUIS!$C$105=1,CROQUIS!$C$143=1)),((CROQUIS!$C$157+(IF(CROQUIS!$C$92="X",CHOOSE(IF(INT(($A10-1)/5)&gt;MAX((MIN(80,MAX(1,INT(((CROQUIS!$C$97)-CROQUIS!$C$107)/MAX(CROQUIS!$C$138,1))+1)))-1,0),0,MOD($A10-1,5))+1,0,IF(CROQUIS!$C$105=1,-12,2),CROQUIS!$C$107/2+CROQUIS!$C$141,IF(CROQUIS!$C$105=1,-12,2),0),((CROQUIS!$C$107/2+(((CROQUIS!$C$97)-CROQUIS!$C$107)-(MIN(80,MAX(1,INT(((CROQUIS!$C$97)-CROQUIS!$C$107)/MAX(CROQUIS!$C$138,1))+1))-1)*CROQUIS!$C$138)/2)+MIN(INT(($A10-1)/5),MAX((MIN(80,MAX(1,INT(((CROQUIS!$C$97)-CROQUIS!$C$107)/MAX(CROQUIS!$C$138,1))+1)))-1,0))*CROQUIS!$C$138)))*CROQUIS!$C$155)+IF(CROQUIS!$C$92="X",0,0)),-1000)</f>
        <v>-1000</v>
      </c>
      <c r="BR1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10-1)/5),MAX((MIN(80,MAX(1,INT(((CROQUIS!$C$97)-CROQUIS!$C$107)/MAX(CROQUIS!$C$138,1))+1)))-1,0))*CROQUIS!$C$138),CHOOSE(IF(INT(($A10-1)/5)&gt;MAX((MIN(80,MAX(1,INT(((CROQUIS!$C$97)-CROQUIS!$C$107)/MAX(CROQUIS!$C$138,1))+1)))-1,0),0,MOD($A10-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0">
        <f>IF(AND(CROQUIS!$C$88=1,CROQUIS!$C$91=0,CROQUIS!$C$138&gt;0,OR(CROQUIS!$C$106=1,CROQUIS!$C$143=1)),((CROQUIS!$C$157+(IF(CROQUIS!$C$92="X",CHOOSE(IF(INT(($A10-1)/5)&gt;MAX((MIN(80,MAX(1,INT(((CROQUIS!$C$97)-CROQUIS!$C$107)/MAX(CROQUIS!$C$138,1))+1)))-1,0),0,MOD($A10-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10-1)/5),MAX((MIN(80,MAX(1,INT(((CROQUIS!$C$97)-CROQUIS!$C$107)/MAX(CROQUIS!$C$138,1))+1)))-1,0))*CROQUIS!$C$138)))*CROQUIS!$C$155)+IF(CROQUIS!$C$92="X",0,0)),-1000)</f>
        <v>-1000</v>
      </c>
      <c r="BT10">
        <f>IF(AND(CROQUIS!$C$88=1,CROQUIS!$C$91=1,CROQUIS!$C$130&gt;0),((CROQUIS!$C$156+(IF(CROQUIS!$C$92="X",CHOOSE(IF(INT(($A10-1)/5)&gt;MAX((MIN(80,MAX(1,INT(((CROQUIS!$C$98)-CROQUIS!$C$107)/MAX(CROQUIS!$C$130,1))+1)))-1,0),0,MOD($A10-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10-1)/5),MAX((MIN(80,MAX(1,INT(((CROQUIS!$C$98)-CROQUIS!$C$107)/MAX(CROQUIS!$C$130,1))+1)))-1,0))*CROQUIS!$C$130)))*CROQUIS!$C$155)+IF(CROQUIS!$C$92="X",0,0)),-1000)</f>
        <v>-1000</v>
      </c>
      <c r="BU10">
        <f>IF(AND(CROQUIS!$C$88=1,CROQUIS!$C$91=1,CROQUIS!$C$130&gt;0),((CROQUIS!$C$157+(IF(CROQUIS!$C$92="X",((CROQUIS!$C$107/2+(((CROQUIS!$C$98)-CROQUIS!$C$107)-(MIN(80,MAX(1,INT(((CROQUIS!$C$98)-CROQUIS!$C$107)/MAX(CROQUIS!$C$130,1))+1))-1)*CROQUIS!$C$130)/2)+MIN(INT(($A10-1)/5),MAX((MIN(80,MAX(1,INT(((CROQUIS!$C$98)-CROQUIS!$C$107)/MAX(CROQUIS!$C$130,1))+1)))-1,0))*CROQUIS!$C$130),CHOOSE(IF(INT(($A10-1)/5)&gt;MAX((MIN(80,MAX(1,INT(((CROQUIS!$C$98)-CROQUIS!$C$107)/MAX(CROQUIS!$C$130,1))+1)))-1,0),0,MOD($A10-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BV10">
        <f>IF(AND(CROQUIS!$C$87=1),CHOOSE(MIN(MAX($A10,1),9),(50+(-CROQUIS!$C$113/2)*CROQUIS!$C$173),(50+(CROQUIS!$C$113/2)*CROQUIS!$C$173),(50+(CROQUIS!$C$113/2)*CROQUIS!$C$173),(50+(CROQUIS!$C$111/2)*CROQUIS!$C$173),(50+(CROQUIS!$C$111/2)*CROQUIS!$C$173),(50+(-CROQUIS!$C$111/2)*CROQUIS!$C$173),(50+(-CROQUIS!$C$111/2)*CROQUIS!$C$173),(50+(-CROQUIS!$C$113/2)*CROQUIS!$C$173),(50+(-CROQUIS!$C$113/2)*CROQUIS!$C$173)),-1000)</f>
        <v>83.4090909090909</v>
      </c>
      <c r="BW10">
        <f>IF(AND(CROQUIS!$C$87=1),CHOOSE(MIN(MAX($A10,1),9),(12+(CROQUIS!$C$108)*CROQUIS!$C$173),(12+(CROQUIS!$C$108)*CROQUIS!$C$173),(12+(CROQUIS!$C$114)*CROQUIS!$C$173),(12+(CROQUIS!$C$114)*CROQUIS!$C$173),(12+(0)*CROQUIS!$C$173),(12+(0)*CROQUIS!$C$173),(12+(CROQUIS!$C$114)*CROQUIS!$C$173),(12+(CROQUIS!$C$114)*CROQUIS!$C$173),(12+(CROQUIS!$C$108)*CROQUIS!$C$173)),-1000)</f>
        <v>30.1363636363636</v>
      </c>
      <c r="BX10">
        <f>IF(AND(CROQUIS!$C$87=1),CHOOSE(MIN(MAX($A10,1),5),(50+(-CROQUIS!$C$113/2)*CROQUIS!$C$173),(50+(-CROQUIS!$C$111/2)*CROQUIS!$C$173),(50+(-CROQUIS!$C$111/2)*CROQUIS!$C$173),(50+(-CROQUIS!$C$113/2)*CROQUIS!$C$173),(50+(-CROQUIS!$C$113/2)*CROQUIS!$C$173)),-1000)</f>
        <v>45.2272727272727</v>
      </c>
      <c r="BY10">
        <f>IF(AND(CROQUIS!$C$87=1),CHOOSE(MIN(MAX($A10,1),5),(12+(0)*CROQUIS!$C$173),(12+(0)*CROQUIS!$C$173),(12+(CROQUIS!$C$114)*CROQUIS!$C$173),(12+(CROQUIS!$C$114)*CROQUIS!$C$173),(12+(0)*CROQUIS!$C$173)),-1000)</f>
        <v>30.1363636363636</v>
      </c>
      <c r="BZ10">
        <f>IF(AND(CROQUIS!$C$87=1),CHOOSE(MIN(MAX($A10,1),5),(50+(CROQUIS!$C$111/2)*CROQUIS!$C$173),(50+(CROQUIS!$C$113/2)*CROQUIS!$C$173),(50+(CROQUIS!$C$113/2)*CROQUIS!$C$173),(50+(CROQUIS!$C$111/2)*CROQUIS!$C$173),(50+(CROQUIS!$C$111/2)*CROQUIS!$C$173)),-1000)</f>
        <v>83.4090909090909</v>
      </c>
      <c r="CA10">
        <f>IF(AND(CROQUIS!$C$87=1),CHOOSE(MIN(MAX($A10,1),5),(12+(0)*CROQUIS!$C$173),(12+(0)*CROQUIS!$C$173),(12+(CROQUIS!$C$114)*CROQUIS!$C$173),(12+(CROQUIS!$C$114)*CROQUIS!$C$173),(12+(0)*CROQUIS!$C$173)),-1000)</f>
        <v>30.1363636363636</v>
      </c>
      <c r="CD10">
        <f>IF(AND(CROQUIS!$C$87=1,CROQUIS!$C$126&gt;=1),(50+(((1-(CROQUIS!$C$126+1)/2)*(MAX(CROQUIS!$C$118,CROQUIS!$C$125)+CROQUIS!$C$125))+CROQUIS!$C$125/2*COS(2*PI()*(MIN($A10,13)-1)/12))*CROQUIS!$C$173),-1000)</f>
        <v>50.3030681818182</v>
      </c>
      <c r="CE10">
        <f>IF(AND(CROQUIS!$C$87=1,CROQUIS!$C$126&gt;=1),(12+((CROQUIS!$C$109+CROQUIS!$C$125/2)+CROQUIS!$C$125/2*SIN(2*PI()*(MIN($A10,13)-1)/12))*CROQUIS!$C$173),-1000)</f>
        <v>15.0401567617939</v>
      </c>
      <c r="CF10">
        <f>IF(AND(CROQUIS!$C$87=1,CROQUIS!$C$126&gt;=2),(50+(((2-(CROQUIS!$C$126+1)/2)*(MAX(CROQUIS!$C$118,CROQUIS!$C$125)+CROQUIS!$C$125))+CROQUIS!$C$125/2*COS(2*PI()*(MIN($A10,13)-1)/12))*CROQUIS!$C$173),-1000)</f>
        <v>-1000</v>
      </c>
      <c r="CG10">
        <f>IF(AND(CROQUIS!$C$87=1,CROQUIS!$C$126&gt;=2),(12+((CROQUIS!$C$109+CROQUIS!$C$125/2)+CROQUIS!$C$125/2*SIN(2*PI()*(MIN($A10,13)-1)/12))*CROQUIS!$C$173),-1000)</f>
        <v>-1000</v>
      </c>
      <c r="CH10">
        <f>IF(AND(CROQUIS!$C$87=1,CROQUIS!$C$126&gt;=3),(50+(((3-(CROQUIS!$C$126+1)/2)*(MAX(CROQUIS!$C$118,CROQUIS!$C$125)+CROQUIS!$C$125))+CROQUIS!$C$125/2*COS(2*PI()*(MIN($A10,13)-1)/12))*CROQUIS!$C$173),-1000)</f>
        <v>-1000</v>
      </c>
      <c r="CI10">
        <f>IF(AND(CROQUIS!$C$87=1,CROQUIS!$C$126&gt;=3),(12+((CROQUIS!$C$109+CROQUIS!$C$125/2)+CROQUIS!$C$125/2*SIN(2*PI()*(MIN($A10,13)-1)/12))*CROQUIS!$C$173),-1000)</f>
        <v>-1000</v>
      </c>
      <c r="CJ10">
        <f>IF(AND(CROQUIS!$C$87=1,CROQUIS!$C$130&gt;=1),(50+(((1-(CROQUIS!$C$130+1)/2)*(MAX(CROQUIS!$C$118,CROQUIS!$C$129)+CROQUIS!$C$129))+CROQUIS!$C$129/2*COS(2*PI()*(MIN($A10,13)-1)/12))*CROQUIS!$C$173),-1000)</f>
        <v>50.3030681818182</v>
      </c>
      <c r="CK10">
        <f>IF(AND(CROQUIS!$C$87=1,CROQUIS!$C$130&gt;=1),(12+((CROQUIS!$C$108-CROQUIS!$C$117-2*CROQUIS!$C$116-CROQUIS!$C$129/2)+CROQUIS!$C$129/2*SIN(2*PI()*(MIN($A10,13)-1)/12))*CROQUIS!$C$173),-1000)</f>
        <v>32.3727931254303</v>
      </c>
      <c r="CL10">
        <f>IF(AND(CROQUIS!$C$87=1,CROQUIS!$C$130&gt;=2),(50+(((2-(CROQUIS!$C$130+1)/2)*(MAX(CROQUIS!$C$118,CROQUIS!$C$129)+CROQUIS!$C$129))+CROQUIS!$C$129/2*COS(2*PI()*(MIN($A10,13)-1)/12))*CROQUIS!$C$173),-1000)</f>
        <v>-1000</v>
      </c>
      <c r="CM10">
        <f>IF(AND(CROQUIS!$C$87=1,CROQUIS!$C$130&gt;=2),(12+((CROQUIS!$C$108-CROQUIS!$C$117-2*CROQUIS!$C$116-CROQUIS!$C$129/2)+CROQUIS!$C$129/2*SIN(2*PI()*(MIN($A10,13)-1)/12))*CROQUIS!$C$173),-1000)</f>
        <v>-1000</v>
      </c>
      <c r="CN10">
        <f>IF(AND(CROQUIS!$C$87=1,CROQUIS!$C$130&gt;=3),(50+(((3-(CROQUIS!$C$130+1)/2)*(MAX(CROQUIS!$C$118,CROQUIS!$C$129)+CROQUIS!$C$129))+CROQUIS!$C$129/2*COS(2*PI()*(MIN($A10,13)-1)/12))*CROQUIS!$C$173),-1000)</f>
        <v>-1000</v>
      </c>
      <c r="CO10">
        <f>IF(AND(CROQUIS!$C$87=1,CROQUIS!$C$130&gt;=3),(12+((CROQUIS!$C$108-CROQUIS!$C$117-2*CROQUIS!$C$116-CROQUIS!$C$129/2)+CROQUIS!$C$129/2*SIN(2*PI()*(MIN($A10,13)-1)/12))*CROQUIS!$C$173),-1000)</f>
        <v>-1000</v>
      </c>
      <c r="CP10">
        <f>IF(AND(CROQUIS!$C$87=1),CHOOSE(MIN(MAX($A10,1),7),(50+(-CROQUIS!$C$111/2)*CROQUIS!$C$173),(50+(-CROQUIS!$C$111/2)*CROQUIS!$C$173),(50+(-CROQUIS!$C$111/2)*CROQUIS!$C$173),((50+(-CROQUIS!$C$111/2)*CROQUIS!$C$173)+(50+(CROQUIS!$C$111/2)*CROQUIS!$C$173))/2,(50+(CROQUIS!$C$111/2)*CROQUIS!$C$173),(50+(CROQUIS!$C$111/2)*CROQUIS!$C$173),(50+(CROQUIS!$C$111/2)*CROQUIS!$C$173)),-1000)</f>
        <v>45.2272727272727</v>
      </c>
      <c r="CQ10">
        <f>IF(AND(CROQUIS!$C$87=1),CHOOSE(MIN(MAX($A10,1),7),(12+(-4)*CROQUIS!$C$173)-1.4,(12+(-4)*CROQUIS!$C$173)+1.4,(12+(-4)*CROQUIS!$C$173),(12+(-4)*CROQUIS!$C$173),(12+(-4)*CROQUIS!$C$173),(12+(-4)*CROQUIS!$C$173)+1.4,(12+(-4)*CROQUIS!$C$173)-1.4),-1000)</f>
        <v>8.18181818181818</v>
      </c>
      <c r="CR10">
        <f>IF(AND(CROQUIS!$C$87=1),CHOOSE(MIN(MAX($A10,1),7),(50+(-CROQUIS!$C$113/2)*CROQUIS!$C$173),(50+(-CROQUIS!$C$113/2)*CROQUIS!$C$173),(50+(-CROQUIS!$C$113/2)*CROQUIS!$C$173),((50+(-CROQUIS!$C$113/2)*CROQUIS!$C$173)+(50+(CROQUIS!$C$113/2)*CROQUIS!$C$173))/2,(50+(CROQUIS!$C$113/2)*CROQUIS!$C$173),(50+(CROQUIS!$C$113/2)*CROQUIS!$C$173),(50+(CROQUIS!$C$113/2)*CROQUIS!$C$173)),-1000)</f>
        <v>16.5909090909091</v>
      </c>
      <c r="CS10">
        <f>IF(AND(CROQUIS!$C$87=1),CHOOSE(MIN(MAX($A10,1),7),(12+(CROQUIS!$C$108+4)*CROQUIS!$C$173)-1.4,(12+(CROQUIS!$C$108+4)*CROQUIS!$C$173)+1.4,(12+(CROQUIS!$C$108+4)*CROQUIS!$C$173),(12+(CROQUIS!$C$108+4)*CROQUIS!$C$173),(12+(CROQUIS!$C$108+4)*CROQUIS!$C$173),(12+(CROQUIS!$C$108+4)*CROQUIS!$C$173)+1.4,(12+(CROQUIS!$C$108+4)*CROQUIS!$C$173)-1.4),-1000)</f>
        <v>39.6818181818182</v>
      </c>
      <c r="CT10">
        <f>IF(AND(CROQUIS!$C$87=1),CHOOSE(MIN(MAX($A10,1),7),(50+(CROQUIS!$C$113/2+4)*CROQUIS!$C$173)-1.4,(50+(CROQUIS!$C$113/2+4)*CROQUIS!$C$173)+1.4,(50+(CROQUIS!$C$113/2+4)*CROQUIS!$C$173),(50+(CROQUIS!$C$113/2+4)*CROQUIS!$C$173),(50+(CROQUIS!$C$113/2+4)*CROQUIS!$C$173),(50+(CROQUIS!$C$113/2+4)*CROQUIS!$C$173)+1.4,(50+(CROQUIS!$C$113/2+4)*CROQUIS!$C$173)-1.4),-1000)</f>
        <v>87.2272727272727</v>
      </c>
      <c r="CU10">
        <f>IF(AND(CROQUIS!$C$87=1),CHOOSE(MIN(MAX($A10,1),7),(12+(0)*CROQUIS!$C$173),(12+(0)*CROQUIS!$C$173),(12+(0)*CROQUIS!$C$173),((12+(0)*CROQUIS!$C$173)+(12+(CROQUIS!$C$108)*CROQUIS!$C$173))/2,(12+(CROQUIS!$C$108)*CROQUIS!$C$173),(12+(CROQUIS!$C$108)*CROQUIS!$C$173),(12+(CROQUIS!$C$108)*CROQUIS!$C$173)),-1000)</f>
        <v>12</v>
      </c>
      <c r="CV10">
        <f>IF(AND(CROQUIS!$C$87=1),CHOOSE(MIN(MAX($A10,1),7),(50+(-CROQUIS!$C$113/2-4)*CROQUIS!$C$173)-1.4,(50+(-CROQUIS!$C$113/2-4)*CROQUIS!$C$173)+1.4,(50+(-CROQUIS!$C$113/2-4)*CROQUIS!$C$173),(50+(-CROQUIS!$C$113/2-4)*CROQUIS!$C$173),(50+(-CROQUIS!$C$113/2-4)*CROQUIS!$C$173),(50+(-CROQUIS!$C$113/2-4)*CROQUIS!$C$173)+1.4,(50+(-CROQUIS!$C$113/2-4)*CROQUIS!$C$173)-1.4),-1000)</f>
        <v>12.7727272727273</v>
      </c>
      <c r="CW10">
        <f>IF(AND(CROQUIS!$C$87=1),CHOOSE(MIN(MAX($A10,1),7),(12+(CROQUIS!$C$108-CROQUIS!$C$147)*CROQUIS!$C$173),(12+(CROQUIS!$C$108-CROQUIS!$C$147)*CROQUIS!$C$173),(12+(CROQUIS!$C$108-CROQUIS!$C$147)*CROQUIS!$C$173),((12+(CROQUIS!$C$108-CROQUIS!$C$147)*CROQUIS!$C$173)+(12+(CROQUIS!$C$108)*CROQUIS!$C$173))/2,(12+(CROQUIS!$C$108)*CROQUIS!$C$173),(12+(CROQUIS!$C$108)*CROQUIS!$C$173),(12+(CROQUIS!$C$108)*CROQUIS!$C$173)),-1000)</f>
        <v>14.5152272727273</v>
      </c>
      <c r="CX10">
        <f>IF(AND(CROQUIS!$C$88=1),CHOOSE(MIN(MAX($A10,1),5),(50+(-30)*CROQUIS!$C$174),(50+(30)*CROQUIS!$C$174),(50+(30)*CROQUIS!$C$174),(50+(-30)*CROQUIS!$C$174),(50+(-30)*CROQUIS!$C$174)),-1000)</f>
        <v>-1000</v>
      </c>
      <c r="CY10">
        <f>IF(AND(CROQUIS!$C$88=1),CHOOSE(MIN(MAX($A10,1),5),(12+(0)*CROQUIS!$C$174),(12+(0)*CROQUIS!$C$174),(12+(CROQUIS!$C$108)*CROQUIS!$C$174),(12+(CROQUIS!$C$108)*CROQUIS!$C$174),(12+(0)*CROQUIS!$C$174)),-1000)</f>
        <v>-1000</v>
      </c>
      <c r="DB10">
        <f>IF(AND(CROQUIS!$C$88=1,CROQUIS!$C$134&gt;0),(50+((-(MIN(12,INT(58/MAX(CROQUIS!$C$134,1))+1)-1)*CROQUIS!$C$134/2+(MIN($A10,MIN(12,INT(58/MAX(CROQUIS!$C$134,1))+1))-1)*CROQUIS!$C$134))*CROQUIS!$C$174),-1000)</f>
        <v>-1000</v>
      </c>
      <c r="DC10">
        <f>IF(AND(CROQUIS!$C$88=1,CROQUIS!$C$134&gt;0),(12+((CROQUIS!$C$109+CROQUIS!$C$125+CROQUIS!$C$133/2))*CROQUIS!$C$174),-1000)</f>
        <v>-1000</v>
      </c>
      <c r="DD10">
        <f>IF(AND(CROQUIS!$C$88=1,CROQUIS!$C$138&gt;0),(50+((-(MIN(12,INT(58/MAX(CROQUIS!$C$138,1))+1)-1)*CROQUIS!$C$138/2+(MIN($A10,MIN(12,INT(58/MAX(CROQUIS!$C$138,1))+1))-1)*CROQUIS!$C$138))*CROQUIS!$C$174),-1000)</f>
        <v>-1000</v>
      </c>
      <c r="DE10">
        <f>IF(AND(CROQUIS!$C$88=1,CROQUIS!$C$138&gt;0),(12+((CROQUIS!$C$108-CROQUIS!$C$110-CROQUIS!$C$129-CROQUIS!$C$137/2))*CROQUIS!$C$174),-1000)</f>
        <v>-1000</v>
      </c>
      <c r="DH10">
        <f>IF(AND(CROQUIS!$C$88=1),CHOOSE(MIN(MAX($A10,1),7),(50+(33)*CROQUIS!$C$174)-1.4,(50+(33)*CROQUIS!$C$174)+1.4,(50+(33)*CROQUIS!$C$174),(50+(33)*CROQUIS!$C$174),(50+(33)*CROQUIS!$C$174),(50+(33)*CROQUIS!$C$174)+1.4,(50+(33)*CROQUIS!$C$174)-1.4),-1000)</f>
        <v>-1000</v>
      </c>
      <c r="DI10">
        <f>IF(AND(CROQUIS!$C$88=1),CHOOSE(MIN(MAX($A10,1),7),(12+(0)*CROQUIS!$C$174),(12+(0)*CROQUIS!$C$174),(12+(0)*CROQUIS!$C$174),((12+(0)*CROQUIS!$C$174)+(12+(CROQUIS!$C$108)*CROQUIS!$C$174))/2,(12+(CROQUIS!$C$108)*CROQUIS!$C$174),(12+(CROQUIS!$C$108)*CROQUIS!$C$174),(12+(CROQUIS!$C$108)*CROQUIS!$C$174)),-1000)</f>
        <v>-1000</v>
      </c>
      <c r="DJ10">
        <f>IF(AND(CROQUIS!$C$88=1),CHOOSE(MIN(MAX($A10,1),7),(50+(-33)*CROQUIS!$C$174)-0.8,(50+(-33)*CROQUIS!$C$174)+0.8,(50+(-33)*CROQUIS!$C$174),(50+(-33)*CROQUIS!$C$174),(50+(-33)*CROQUIS!$C$174),(50+(-33)*CROQUIS!$C$174)+0.8,(50+(-33)*CROQUIS!$C$174)-0.8),-1000)</f>
        <v>-1000</v>
      </c>
      <c r="DK10">
        <f>IF(AND(CROQUIS!$C$88=1),CHOOSE(MIN(MAX($A10,1),7),(12+(0)*CROQUIS!$C$174),(12+(0)*CROQUIS!$C$174),(12+(0)*CROQUIS!$C$174),((12+(0)*CROQUIS!$C$174)+(12+(CROQUIS!$C$109)*CROQUIS!$C$174))/2,(12+(CROQUIS!$C$109)*CROQUIS!$C$174),(12+(CROQUIS!$C$109)*CROQUIS!$C$174),(12+(CROQUIS!$C$109)*CROQUIS!$C$174)),-1000)</f>
        <v>-1000</v>
      </c>
      <c r="DL10">
        <f>IF(AND(CROQUIS!$C$88=1),CHOOSE(MIN(MAX($A10,1),7),(50+(-33)*CROQUIS!$C$174)-0.8,(50+(-33)*CROQUIS!$C$174)+0.8,(50+(-33)*CROQUIS!$C$174),(50+(-33)*CROQUIS!$C$174),(50+(-33)*CROQUIS!$C$174),(50+(-33)*CROQUIS!$C$174)+0.8,(50+(-33)*CROQUIS!$C$174)-0.8),-1000)</f>
        <v>-1000</v>
      </c>
      <c r="DM10">
        <f>IF(AND(CROQUIS!$C$88=1),CHOOSE(MIN(MAX($A10,1),7),(12+(CROQUIS!$C$108-CROQUIS!$C$110)*CROQUIS!$C$174),(12+(CROQUIS!$C$108-CROQUIS!$C$110)*CROQUIS!$C$174),(12+(CROQUIS!$C$108-CROQUIS!$C$110)*CROQUIS!$C$174),((12+(CROQUIS!$C$108-CROQUIS!$C$110)*CROQUIS!$C$174)+(12+(CROQUIS!$C$108)*CROQUIS!$C$174))/2,(12+(CROQUIS!$C$108)*CROQUIS!$C$174),(12+(CROQUIS!$C$108)*CROQUIS!$C$174),(12+(CROQUIS!$C$108)*CROQUIS!$C$174)),-1000)</f>
        <v>-1000</v>
      </c>
      <c r="DN10">
        <f>IF(AND(CROQUIS!$C$88=1,MIN(12,INT(58/MAX(CROQUIS!$C$134,1))+1)&gt;=2),CHOOSE(MIN(MAX($A10,1),7),(50+((-(MIN(12,INT(58/MAX(CROQUIS!$C$134,1))+1)-1)*CROQUIS!$C$134/2))*CROQUIS!$C$174),(50+((-(MIN(12,INT(58/MAX(CROQUIS!$C$134,1))+1)-1)*CROQUIS!$C$134/2))*CROQUIS!$C$174),(50+((-(MIN(12,INT(58/MAX(CROQUIS!$C$134,1))+1)-1)*CROQUIS!$C$134/2))*CROQUIS!$C$174),((50+((-(MIN(12,INT(58/MAX(CROQUIS!$C$134,1))+1)-1)*CROQUIS!$C$134/2))*CROQUIS!$C$174)+(50+((-(MIN(12,INT(58/MAX(CROQUIS!$C$134,1))+1)-1)*CROQUIS!$C$134/2)+CROQUIS!$C$134)*CROQUIS!$C$174))/2,(50+((-(MIN(12,INT(58/MAX(CROQUIS!$C$134,1))+1)-1)*CROQUIS!$C$134/2)+CROQUIS!$C$134)*CROQUIS!$C$174),(50+((-(MIN(12,INT(58/MAX(CROQUIS!$C$134,1))+1)-1)*CROQUIS!$C$134/2)+CROQUIS!$C$134)*CROQUIS!$C$174),(50+((-(MIN(12,INT(58/MAX(CROQUIS!$C$134,1))+1)-1)*CROQUIS!$C$134/2)+CROQUIS!$C$134)*CROQUIS!$C$174)),-1000)</f>
        <v>-1000</v>
      </c>
      <c r="DO10">
        <f>IF(AND(CROQUIS!$C$88=1,MIN(12,INT(58/MAX(CROQUIS!$C$134,1))+1)&gt;=2),CHOOSE(MIN(MAX($A10,1),7),(12+(-4)*CROQUIS!$C$174)-1.4,(12+(-4)*CROQUIS!$C$174)+1.4,(12+(-4)*CROQUIS!$C$174),(12+(-4)*CROQUIS!$C$174),(12+(-4)*CROQUIS!$C$174),(12+(-4)*CROQUIS!$C$174)+1.4,(12+(-4)*CROQUIS!$C$174)-1.4),-1000)</f>
        <v>-1000</v>
      </c>
      <c r="DP10">
        <f>IF(AND(CROQUIS!$C$87=1),CHOOSE(MIN(MAX($A10,1),5),(4+((IF(CROQUIS!$C$91=1,-CROQUIS!$C$168,IF(CROQUIS!$C$103=1,-CROQUIS!$C$107/2-30,-CROQUIS!$C$107/2)))-CROQUIS!$C$169)*CROQUIS!$C$171),(4+((IF(CROQUIS!$C$91=1,CROQUIS!$C$97,IF(CROQUIS!$C$104=1,CROQUIS!$C$97+CROQUIS!$C$107/2+30,CROQUIS!$C$97+CROQUIS!$C$107/2)))-CROQUIS!$C$169)*CROQUIS!$C$171),(4+((IF(CROQUIS!$C$91=1,CROQUIS!$C$97,IF(CROQUIS!$C$104=1,CROQUIS!$C$97+CROQUIS!$C$107/2+30,CROQUIS!$C$97+CROQUIS!$C$107/2)))-CROQUIS!$C$169)*CROQUIS!$C$171),(4+((IF(CROQUIS!$C$91=1,-CROQUIS!$C$168,IF(CROQUIS!$C$103=1,-CROQUIS!$C$107/2-30,-CROQUIS!$C$107/2)))-CROQUIS!$C$169)*CROQUIS!$C$171),(4+((IF(CROQUIS!$C$91=1,-CROQUIS!$C$168,IF(CROQUIS!$C$103=1,-CROQUIS!$C$107/2-30,-CROQUIS!$C$107/2)))-CROQUIS!$C$169)*CROQUIS!$C$171)),-1000)</f>
        <v>96</v>
      </c>
      <c r="DQ10">
        <f>IF(AND(CROQUIS!$C$87=1),CHOOSE(MIN(MAX($A10,1),5),(30+(0)*CROQUIS!$C$171*CROQUIS!$C$172),(30+(0)*CROQUIS!$C$171*CROQUIS!$C$172),(30+(CROQUIS!$C$108)*CROQUIS!$C$171*CROQUIS!$C$172),(30+(CROQUIS!$C$108)*CROQUIS!$C$171*CROQUIS!$C$172),(30+(0)*CROQUIS!$C$171*CROQUIS!$C$172)),-1000)</f>
        <v>44.5263157894737</v>
      </c>
      <c r="DR10">
        <f>IF(AND(CROQUIS!$C$87=1),CHOOSE(MIN(MAX($A10,1)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12.7157894736842</v>
      </c>
      <c r="DS10">
        <f>IF(AND(CROQUIS!$C$87=1),CHOOSE(MIN(MAX($A10,1),10),30,30,20,20,30,IF(CROQUIS!$C$91=1,30,30),IF(CROQUIS!$C$91=1,30,30),IF(CROQUIS!$C$91=1,30,20),IF(CROQUIS!$C$91=1,30,20),IF(CROQUIS!$C$91=1,30,30)),-1000)</f>
        <v>20</v>
      </c>
      <c r="DT10">
        <f>IF(AND(CROQUIS!$C$87=1),CHOOSE(MIN(MAX($A10,1),4),(4+((-CROQUIS!$C$107/2+3)-CROQUIS!$C$169)*CROQUIS!$C$171),(4+((-CROQUIS!$C$107/2+3)-CROQUIS!$C$169)*CROQUIS!$C$171),(4+((IF(CROQUIS!$C$91=1,CROQUIS!$C$97-3,CROQUIS!$C$97+CROQUIS!$C$107/2-3))-CROQUIS!$C$169)*CROQUIS!$C$171),(4+((IF(CROQUIS!$C$91=1,CROQUIS!$C$97-3,CROQUIS!$C$97+CROQUIS!$C$107/2-3))-CROQUIS!$C$169)*CROQUIS!$C$171)),-1000)</f>
        <v>89.6084210526316</v>
      </c>
      <c r="DU10">
        <f>IF(AND(CROQUIS!$C$87=1),CHOOSE(MIN(MAX($A10,1),4),(30+((CROQUIS!$C$109+CROQUIS!$C$125/2)+IF(AND(CROQUIS!$C$91=0,CROQUIS!$C$103=0),MIN(12*CROQUIS!$C$125,CROQUIS!$C$108-CROQUIS!$C$109-CROQUIS!$C$110),0))*CROQUIS!$C$171*CROQUIS!$C$172),(30+((CROQUIS!$C$109+CROQUIS!$C$125/2))*CROQUIS!$C$171*CROQUIS!$C$172),(30+((CROQUIS!$C$109+CROQUIS!$C$125/2))*CROQUIS!$C$171*CROQUIS!$C$172),(30+((CROQUIS!$C$109+CROQUIS!$C$125/2)+IF(AND(CROQUIS!$C$91=0,CROQUIS!$C$104=0),MIN(12*CROQUIS!$C$125,CROQUIS!$C$108-CROQUIS!$C$109-CROQUIS!$C$110),0))*CROQUIS!$C$171*CROQUIS!$C$172)),-1000)</f>
        <v>31.5310736842105</v>
      </c>
      <c r="DV10">
        <f>IF(AND(CROQUIS!$C$87=1,1),CHOOSE(MIN(MAX($A10,1),4),(4+((IF(CROQUIS!$C$91=1,-(CROQUIS!$C$107/2+CROQUIS!$C$140),IF(CROQUIS!$C$103=1,-CROQUIS!$C$107/2-30,-CROQUIS!$C$107/2+3)))-CROQUIS!$C$169)*CROQUIS!$C$171),(4+((IF(CROQUIS!$C$91=1,-(CROQUIS!$C$107/2+CROQUIS!$C$140),IF(CROQUIS!$C$103=1,-CROQUIS!$C$107/2-30,-CROQUIS!$C$107/2+3)))-CROQUIS!$C$169)*CROQUIS!$C$171),(4+((IF(CROQUIS!$C$91=1,CROQUIS!$C$97-3,IF(CROQUIS!$C$104=1,CROQUIS!$C$97+CROQUIS!$C$107/2+30,CROQUIS!$C$97+CROQUIS!$C$107/2-3)))-CROQUIS!$C$169)*CROQUIS!$C$171),(4+((IF(CROQUIS!$C$91=1,CROQUIS!$C$97-3,IF(CROQUIS!$C$104=1,CROQUIS!$C$97+CROQUIS!$C$107/2+30,CROQUIS!$C$97+CROQUIS!$C$107/2-3)))-CROQUIS!$C$169)*CROQUIS!$C$171)),-1000)</f>
        <v>96</v>
      </c>
      <c r="DW10">
        <f>IF(AND(CROQUIS!$C$87=1,1),CHOOSE(MIN(MAX($A10,1),4),(30+((CROQUIS!$C$108-CROQUIS!$C$117-2*CROQUIS!$C$116-CROQUIS!$C$129/2)-IF(AND(CROQUIS!$C$91=0,CROQUIS!$C$103=0),MIN(12*CROQUIS!$C$129,CROQUIS!$C$108-CROQUIS!$C$109-CROQUIS!$C$110),0))*CROQUIS!$C$171*CROQUIS!$C$172),(30+((CROQUIS!$C$108-CROQUIS!$C$117-2*CROQUIS!$C$116-CROQUIS!$C$129/2))*CROQUIS!$C$171*CROQUIS!$C$172),(30+((CROQUIS!$C$108-CROQUIS!$C$117-2*CROQUIS!$C$116-CROQUIS!$C$129/2))*CROQUIS!$C$171*CROQUIS!$C$172),(30+((CROQUIS!$C$108-CROQUIS!$C$117-2*CROQUIS!$C$116-CROQUIS!$C$129/2)-IF(OR(CROQUIS!$C$91=1,CROQUIS!$C$104=0),MIN(12*CROQUIS!$C$129,CROQUIS!$C$108-CROQUIS!$C$109-CROQUIS!$C$110),0))*CROQUIS!$C$171*CROQUIS!$C$172)),-1000)</f>
        <v>42.0818273684211</v>
      </c>
      <c r="DX10">
        <f>IF(AND(CROQUIS!$C$87=1,CROQUIS!$C$91=0,CROQUIS!$C$130&gt;=2,OR(CROQUIS!$C$103=1,CROQUIS!$C$142=1)),CHOOSE(MIN(MAX($A10,1),3),(4+((IF(CROQUIS!$C$103=1,-CROQUIS!$C$107/2-30,-CROQUIS!$C$107/2+3))-CROQUIS!$C$169)*CROQUIS!$C$171),(4+((IF(CROQUIS!$C$103=1,-CROQUIS!$C$107/2-30,-CROQUIS!$C$107/2+3))-CROQUIS!$C$169)*CROQUIS!$C$171),(4+((CROQUIS!$C$107/2+CROQUIS!$C$140)-CROQUIS!$C$169)*CROQUIS!$C$171)),-1000)</f>
        <v>-1000</v>
      </c>
      <c r="DY10">
        <f>IF(AND(CROQUIS!$C$87=1,CROQUIS!$C$91=0,CROQUIS!$C$130&gt;=2,OR(CROQUIS!$C$103=1,CROQUIS!$C$142=1)),CHOOSE(MIN(MAX($A10,1),3),(30+(((CROQUIS!$C$108-CROQUIS!$C$117-2*CROQUIS!$C$116-CROQUIS!$C$129/2)-1.3*CROQUIS!$C$129-0.4)-IF(CROQUIS!$C$103=1,0,MIN(12*CROQUIS!$C$129,CROQUIS!$C$108-CROQUIS!$C$109-CROQUIS!$C$110)))*CROQUIS!$C$171*CROQUIS!$C$172),(30+(((CROQUIS!$C$108-CROQUIS!$C$117-2*CROQUIS!$C$116-CROQUIS!$C$129/2)-1.3*CROQUIS!$C$129-0.4))*CROQUIS!$C$171*CROQUIS!$C$172),(30+(((CROQUIS!$C$108-CROQUIS!$C$117-2*CROQUIS!$C$116-CROQUIS!$C$129/2)-1.3*CROQUIS!$C$129-0.4))*CROQUIS!$C$171*CROQUIS!$C$172)),-1000)</f>
        <v>-1000</v>
      </c>
      <c r="DZ10">
        <f>IF(AND(CROQUIS!$C$87=1,CROQUIS!$C$91=0,CROQUIS!$C$130&gt;=2,OR(CROQUIS!$C$104=1,CROQUIS!$C$142=1)),CHOOSE(MIN(MAX($A10,1),3),(4+((CROQUIS!$C$97-CROQUIS!$C$107/2-CROQUIS!$C$140)-CROQUIS!$C$169)*CROQUIS!$C$171),(4+((IF(CROQUIS!$C$104=1,CROQUIS!$C$97+CROQUIS!$C$107/2+30,CROQUIS!$C$97+CROQUIS!$C$107/2-3))-CROQUIS!$C$169)*CROQUIS!$C$171),(4+((IF(CROQUIS!$C$104=1,CROQUIS!$C$97+CROQUIS!$C$107/2+30,CROQUIS!$C$97+CROQUIS!$C$107/2-3))-CROQUIS!$C$169)*CROQUIS!$C$171)),-1000)</f>
        <v>-1000</v>
      </c>
      <c r="EA10">
        <f>IF(AND(CROQUIS!$C$87=1,CROQUIS!$C$91=0,CROQUIS!$C$130&gt;=2,OR(CROQUIS!$C$104=1,CROQUIS!$C$142=1)),CHOOSE(MIN(MAX($A10,1),3),(30+(((CROQUIS!$C$108-CROQUIS!$C$117-2*CROQUIS!$C$116-CROQUIS!$C$129/2)-1.3*CROQUIS!$C$129-0.4))*CROQUIS!$C$171*CROQUIS!$C$172),(30+(((CROQUIS!$C$108-CROQUIS!$C$117-2*CROQUIS!$C$116-CROQUIS!$C$129/2)-1.3*CROQUIS!$C$129-0.4))*CROQUIS!$C$171*CROQUIS!$C$172),(30+(((CROQUIS!$C$108-CROQUIS!$C$117-2*CROQUIS!$C$116-CROQUIS!$C$129/2)-1.3*CROQUIS!$C$129-0.4)-IF(CROQUIS!$C$104=1,0,MIN(12*CROQUIS!$C$129,CROQUIS!$C$108-CROQUIS!$C$109-CROQUIS!$C$110)))*CROQUIS!$C$171*CROQUIS!$C$172)),-1000)</f>
        <v>-1000</v>
      </c>
      <c r="EB10">
        <f>IF(AND(CROQUIS!$C$87=1,CROQUIS!$C$162&gt;0),CHOOSE(MIN(MAX($A10,1),5)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),-1000)</f>
        <v>82.9263157894737</v>
      </c>
      <c r="EC10">
        <f>IF(AND(CROQUIS!$C$87=1,CROQUIS!$C$162&gt;0),CHOOSE(MIN(MAX($A10,1),5),(30+(0)*CROQUIS!$C$171*CROQUIS!$C$172),(30+(0)*CROQUIS!$C$171*CROQUIS!$C$172),(30+(CROQUIS!$C$114)*CROQUIS!$C$171*CROQUIS!$C$172),(30+(CROQUIS!$C$114)*CROQUIS!$C$171*CROQUIS!$C$172),(30+(0)*CROQUIS!$C$171*CROQUIS!$C$172)),-1000)</f>
        <v>41.04</v>
      </c>
      <c r="ED10">
        <f>IF(AND(CROQUIS!$C$87=1,CROQUIS!$C$162&gt;0),CHOOSE(MIN(MAX($A10,1),4)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),-1000)</f>
        <v>82.9263157894737</v>
      </c>
      <c r="EE10">
        <f>IF(AND(CROQUIS!$C$87=1,CROQUIS!$C$162&gt;0),CHOOSE(MIN(MAX($A10,1),4),(30+(0)*CROQUIS!$C$171*CROQUIS!$C$172),(30+(CROQUIS!$C$108)*CROQUIS!$C$171*CROQUIS!$C$172),(30+(CROQUIS!$C$108)*CROQUIS!$C$171*CROQUIS!$C$172),(30+(0)*CROQUIS!$C$171*CROQUIS!$C$172)),-1000)</f>
        <v>44.5263157894737</v>
      </c>
      <c r="EF10">
        <f>IF(AND(CROQUIS!$C$87=1),CHOOSE(MIN(MAX($A10,1)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11.2631578947368</v>
      </c>
      <c r="EG10">
        <f>IF(AND(CROQUIS!$C$87=1),CHOOSE(MIN(MAX($A10,1),7),15-1.4,15+1.4,15,15,15,15+1.4,15-1.4),-1000)</f>
        <v>15</v>
      </c>
      <c r="EH10">
        <f>IF(AND(CROQUIS!$C$87=1,OR(CROQUIS!$C$91=1,AND(CROQUIS!$C$130&gt;=2,OR(CROQUIS!$C$103=1,CROQUIS!$C$142=1)))),CHOOSE(MIN(MAX($A10,1)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EI10">
        <f>IF(AND(CROQUIS!$C$87=1,OR(CROQUIS!$C$91=1,AND(CROQUIS!$C$130&gt;=2,OR(CROQUIS!$C$103=1,CROQUIS!$C$142=1)))),CHOOSE(MIN(MAX($A10,1)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  <c r="EJ10">
        <f>IF(AND(CROQUIS!$C$87=1,CROQUIS!$C$91=1,CROQUIS!$C$148&gt;0),CHOOSE(MIN(MAX($A10,1),5),(4+((CROQUIS!$C$97)-CROQUIS!$C$169)*CROQUIS!$C$171),(4+((CROQUIS!$C$97)-CROQUIS!$C$169)*CROQUIS!$C$171),(4+((CROQUIS!$C$97)-CROQUIS!$C$169)*CROQUIS!$C$171)-1.2,(4+((CROQUIS!$C$97)-CROQUIS!$C$169)*CROQUIS!$C$171),(4+((CROQUIS!$C$97)-CROQUIS!$C$169)*CROQUIS!$C$171)+1.2),-1000)</f>
        <v>-1000</v>
      </c>
      <c r="EK10">
        <f>IF(AND(CROQUIS!$C$87=1,CROQUIS!$C$91=1,CROQUIS!$C$148&gt;0),CHOOSE(MIN(MAX($A10,1),5),(30+(CROQUIS!$C$108)*CROQUIS!$C$171*CROQUIS!$C$172)+13,(30+(CROQUIS!$C$108)*CROQUIS!$C$171*CROQUIS!$C$172)+1,(30+(CROQUIS!$C$108)*CROQUIS!$C$171*CROQUIS!$C$172)+4,(30+(CROQUIS!$C$108)*CROQUIS!$C$171*CROQUIS!$C$172)+1,(30+(CROQUIS!$C$108)*CROQUIS!$C$171*CROQUIS!$C$172)+4),-1000)</f>
        <v>-1000</v>
      </c>
      <c r="EL10">
        <f>IF(AND(CROQUIS!$C$88=1),CHOOSE(MIN(MAX($A10,1),5),(4+((IF(CROQUIS!$C$91=1,-CROQUIS!$C$168,IF(CROQUIS!$C$103=1,-CROQUIS!$C$107/2-30,-CROQUIS!$C$107/2)))-CROQUIS!$C$169)*CROQUIS!$C$171),(4+((IF(CROQUIS!$C$91=1,CROQUIS!$C$97,IF(CROQUIS!$C$104=1,CROQUIS!$C$97+CROQUIS!$C$107/2+30,CROQUIS!$C$97+CROQUIS!$C$107/2)))-CROQUIS!$C$169)*CROQUIS!$C$171),(4+((IF(CROQUIS!$C$91=1,CROQUIS!$C$97,IF(CROQUIS!$C$104=1,CROQUIS!$C$97+CROQUIS!$C$107/2+30,CROQUIS!$C$97+CROQUIS!$C$107/2)))-CROQUIS!$C$169)*CROQUIS!$C$171),(4+((IF(CROQUIS!$C$91=1,-CROQUIS!$C$168,IF(CROQUIS!$C$103=1,-CROQUIS!$C$107/2-30,-CROQUIS!$C$107/2)))-CROQUIS!$C$169)*CROQUIS!$C$171),(4+((IF(CROQUIS!$C$91=1,-CROQUIS!$C$168,IF(CROQUIS!$C$103=1,-CROQUIS!$C$107/2-30,-CROQUIS!$C$107/2)))-CROQUIS!$C$169)*CROQUIS!$C$171)),-1000)</f>
        <v>-1000</v>
      </c>
      <c r="EM10">
        <f>IF(AND(CROQUIS!$C$88=1),CHOOSE(MIN(MAX($A10,1),5),(30+(0)*CROQUIS!$C$171*CROQUIS!$C$172),(30+(0)*CROQUIS!$C$171*CROQUIS!$C$172),(30+(CROQUIS!$C$108)*CROQUIS!$C$171*CROQUIS!$C$172),(30+(CROQUIS!$C$108)*CROQUIS!$C$171*CROQUIS!$C$172),(30+(0)*CROQUIS!$C$171*CROQUIS!$C$172)),-1000)</f>
        <v>-1000</v>
      </c>
      <c r="EN10">
        <f>IF(AND(CROQUIS!$C$88=1),CHOOSE(MIN(MAX($A10,1)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-1000</v>
      </c>
      <c r="EO10">
        <f>IF(AND(CROQUIS!$C$88=1),CHOOSE(MIN(MAX($A10,1),10),30,30,20,20,30,IF(CROQUIS!$C$91=1,30,30),IF(CROQUIS!$C$91=1,30,30),IF(CROQUIS!$C$91=1,30,20),IF(CROQUIS!$C$91=1,30,20),IF(CROQUIS!$C$91=1,30,30)),-1000)</f>
        <v>-1000</v>
      </c>
      <c r="EP10">
        <f>IF(AND(CROQUIS!$C$88=1),CHOOSE(MIN(MAX($A10,1),4),(4+((-CROQUIS!$C$107/2+3)-CROQUIS!$C$169)*CROQUIS!$C$171),(4+((-CROQUIS!$C$107/2+3)-CROQUIS!$C$169)*CROQUIS!$C$171),(4+((IF(CROQUIS!$C$91=1,CROQUIS!$C$97-3,CROQUIS!$C$97+CROQUIS!$C$107/2-3))-CROQUIS!$C$169)*CROQUIS!$C$171),(4+((IF(CROQUIS!$C$91=1,CROQUIS!$C$97-3,CROQUIS!$C$97+CROQUIS!$C$107/2-3))-CROQUIS!$C$169)*CROQUIS!$C$171)),-1000)</f>
        <v>-1000</v>
      </c>
      <c r="EQ10">
        <f>IF(AND(CROQUIS!$C$88=1),CHOOSE(MIN(MAX($A10,1),4),(30+((CROQUIS!$C$109+CROQUIS!$C$125/2)+IF(AND(CROQUIS!$C$91=0,CROQUIS!$C$103=0),MIN(12*CROQUIS!$C$125,CROQUIS!$C$108-CROQUIS!$C$109-CROQUIS!$C$110),0))*CROQUIS!$C$171*CROQUIS!$C$172),(30+((CROQUIS!$C$109+CROQUIS!$C$125/2))*CROQUIS!$C$171*CROQUIS!$C$172),(30+((CROQUIS!$C$109+CROQUIS!$C$125/2))*CROQUIS!$C$171*CROQUIS!$C$172),(30+((CROQUIS!$C$109+CROQUIS!$C$125/2)+IF(AND(CROQUIS!$C$91=0,CROQUIS!$C$104=0),MIN(12*CROQUIS!$C$125,CROQUIS!$C$108-CROQUIS!$C$109-CROQUIS!$C$110),0))*CROQUIS!$C$171*CROQUIS!$C$172)),-1000)</f>
        <v>-1000</v>
      </c>
      <c r="ER10">
        <f>IF(AND(CROQUIS!$C$88=1,CROQUIS!$C$91=1),CHOOSE(MIN(MAX($A10,1),4),(4+((IF(CROQUIS!$C$91=1,-(CROQUIS!$C$107/2+CROQUIS!$C$140),IF(CROQUIS!$C$103=1,-CROQUIS!$C$107/2-30,-CROQUIS!$C$107/2+3)))-CROQUIS!$C$169)*CROQUIS!$C$171),(4+((IF(CROQUIS!$C$91=1,-(CROQUIS!$C$107/2+CROQUIS!$C$140),IF(CROQUIS!$C$103=1,-CROQUIS!$C$107/2-30,-CROQUIS!$C$107/2+3)))-CROQUIS!$C$169)*CROQUIS!$C$171),(4+((IF(CROQUIS!$C$91=1,CROQUIS!$C$97-3,IF(CROQUIS!$C$104=1,CROQUIS!$C$97+CROQUIS!$C$107/2+30,CROQUIS!$C$97+CROQUIS!$C$107/2-3)))-CROQUIS!$C$169)*CROQUIS!$C$171),(4+((IF(CROQUIS!$C$91=1,CROQUIS!$C$97-3,IF(CROQUIS!$C$104=1,CROQUIS!$C$97+CROQUIS!$C$107/2+30,CROQUIS!$C$97+CROQUIS!$C$107/2-3)))-CROQUIS!$C$169)*CROQUIS!$C$171)),-1000)</f>
        <v>-1000</v>
      </c>
      <c r="ES10">
        <f>IF(AND(CROQUIS!$C$88=1,CROQUIS!$C$91=1),CHOOSE(MIN(MAX($A10,1),4),(30+((CROQUIS!$C$108-CROQUIS!$C$110-CROQUIS!$C$129/2)-IF(AND(CROQUIS!$C$91=0,CROQUIS!$C$103=0),MIN(12*CROQUIS!$C$129,CROQUIS!$C$108-CROQUIS!$C$109-CROQUIS!$C$110),0))*CROQUIS!$C$171*CROQUIS!$C$172),(30+((CROQUIS!$C$108-CROQUIS!$C$110-CROQUIS!$C$129/2))*CROQUIS!$C$171*CROQUIS!$C$172),(30+((CROQUIS!$C$108-CROQUIS!$C$110-CROQUIS!$C$129/2))*CROQUIS!$C$171*CROQUIS!$C$172),(30+((CROQUIS!$C$108-CROQUIS!$C$110-CROQUIS!$C$129/2)-IF(OR(CROQUIS!$C$91=1,CROQUIS!$C$104=0),MIN(12*CROQUIS!$C$129,CROQUIS!$C$108-CROQUIS!$C$109-CROQUIS!$C$110),0))*CROQUIS!$C$171*CROQUIS!$C$172)),-1000)</f>
        <v>-1000</v>
      </c>
      <c r="ET10">
        <f>IF(AND(CROQUIS!$C$88=1,CROQUIS!$C$91=0,CROQUIS!$C$130&gt;0,OR(CROQUIS!$C$103=1,CROQUIS!$C$142=1)),CHOOSE(MIN(MAX($A10,1),3),(4+((IF(CROQUIS!$C$103=1,-CROQUIS!$C$107/2-30,-CROQUIS!$C$107/2+3))-CROQUIS!$C$169)*CROQUIS!$C$171),(4+((IF(CROQUIS!$C$103=1,-CROQUIS!$C$107/2-30,-CROQUIS!$C$107/2+3))-CROQUIS!$C$169)*CROQUIS!$C$171),(4+((CROQUIS!$C$107/2+CROQUIS!$C$140)-CROQUIS!$C$169)*CROQUIS!$C$171)),-1000)</f>
        <v>-1000</v>
      </c>
      <c r="EU10">
        <f>IF(AND(CROQUIS!$C$88=1,CROQUIS!$C$91=0,CROQUIS!$C$130&gt;0,OR(CROQUIS!$C$103=1,CROQUIS!$C$142=1)),CHOOSE(MIN(MAX($A10,1),3),(30+((CROQUIS!$C$108-CROQUIS!$C$110-CROQUIS!$C$129/2)-IF(CROQUIS!$C$103=1,0,MIN(12*CROQUIS!$C$129,CROQUIS!$C$108-CROQUIS!$C$109-CROQUIS!$C$110)))*CROQUIS!$C$171*CROQUIS!$C$172),(30+((CROQUIS!$C$108-CROQUIS!$C$110-CROQUIS!$C$129/2))*CROQUIS!$C$171*CROQUIS!$C$172),(30+((CROQUIS!$C$108-CROQUIS!$C$110-CROQUIS!$C$129/2))*CROQUIS!$C$171*CROQUIS!$C$172)),-1000)</f>
        <v>-1000</v>
      </c>
      <c r="EV10">
        <f>IF(AND(CROQUIS!$C$88=1,CROQUIS!$C$91=0,CROQUIS!$C$130&gt;0,OR(CROQUIS!$C$104=1,CROQUIS!$C$142=1)),CHOOSE(MIN(MAX($A10,1),3),(4+((CROQUIS!$C$97-CROQUIS!$C$107/2-CROQUIS!$C$140)-CROQUIS!$C$169)*CROQUIS!$C$171),(4+((IF(CROQUIS!$C$104=1,CROQUIS!$C$97+CROQUIS!$C$107/2+30,CROQUIS!$C$97+CROQUIS!$C$107/2-3))-CROQUIS!$C$169)*CROQUIS!$C$171),(4+((IF(CROQUIS!$C$104=1,CROQUIS!$C$97+CROQUIS!$C$107/2+30,CROQUIS!$C$97+CROQUIS!$C$107/2-3))-CROQUIS!$C$169)*CROQUIS!$C$171)),-1000)</f>
        <v>-1000</v>
      </c>
      <c r="EW10">
        <f>IF(AND(CROQUIS!$C$88=1,CROQUIS!$C$91=0,CROQUIS!$C$130&gt;0,OR(CROQUIS!$C$104=1,CROQUIS!$C$142=1)),CHOOSE(MIN(MAX($A10,1),3),(30+((CROQUIS!$C$108-CROQUIS!$C$110-CROQUIS!$C$129/2))*CROQUIS!$C$171*CROQUIS!$C$172),(30+((CROQUIS!$C$108-CROQUIS!$C$110-CROQUIS!$C$129/2))*CROQUIS!$C$171*CROQUIS!$C$172),(30+((CROQUIS!$C$108-CROQUIS!$C$110-CROQUIS!$C$129/2)-IF(CROQUIS!$C$104=1,0,MIN(12*CROQUIS!$C$129,CROQUIS!$C$108-CROQUIS!$C$109-CROQUIS!$C$110)))*CROQUIS!$C$171*CROQUIS!$C$172)),-1000)</f>
        <v>-1000</v>
      </c>
      <c r="EX10">
        <f>IF(AND(CROQUIS!$C$88=1),CHOOSE(MIN(MAX($A10,1)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-1000</v>
      </c>
      <c r="EY10">
        <f>IF(AND(CROQUIS!$C$88=1),CHOOSE(MIN(MAX($A10,1),7),15-1.4,15+1.4,15,15,15,15+1.4,15-1.4),-1000)</f>
        <v>-1000</v>
      </c>
      <c r="EZ10">
        <f>IF(AND(CROQUIS!$C$88=1,OR(CROQUIS!$C$91=1,AND(CROQUIS!$C$130&gt;0,OR(CROQUIS!$C$103=1,CROQUIS!$C$142=1)))),CHOOSE(MIN(MAX($A10,1)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FA10">
        <f>IF(AND(CROQUIS!$C$88=1,OR(CROQUIS!$C$91=1,AND(CROQUIS!$C$130&gt;0,OR(CROQUIS!$C$103=1,CROQUIS!$C$142=1)))),CHOOSE(MIN(MAX($A10,1)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  <c r="FB10">
        <f>IF(AND(CROQUIS!$C$88=1,CROQUIS!$C$91=1,CROQUIS!$C$148&gt;0),CHOOSE(MIN(MAX($A10,1),5),(4+((CROQUIS!$C$97)-CROQUIS!$C$169)*CROQUIS!$C$171),(4+((CROQUIS!$C$97)-CROQUIS!$C$169)*CROQUIS!$C$171),(4+((CROQUIS!$C$97)-CROQUIS!$C$169)*CROQUIS!$C$171)-1.2,(4+((CROQUIS!$C$97)-CROQUIS!$C$169)*CROQUIS!$C$171),(4+((CROQUIS!$C$97)-CROQUIS!$C$169)*CROQUIS!$C$171)+1.2),-1000)</f>
        <v>-1000</v>
      </c>
      <c r="FC10">
        <f>IF(AND(CROQUIS!$C$88=1,CROQUIS!$C$91=1,CROQUIS!$C$148&gt;0),CHOOSE(MIN(MAX($A10,1),5),(30+(CROQUIS!$C$108)*CROQUIS!$C$171*CROQUIS!$C$172)+13,(30+(CROQUIS!$C$108)*CROQUIS!$C$171*CROQUIS!$C$172)+1,(30+(CROQUIS!$C$108)*CROQUIS!$C$171*CROQUIS!$C$172)+4,(30+(CROQUIS!$C$108)*CROQUIS!$C$171*CROQUIS!$C$172)+1,(30+(CROQUIS!$C$108)*CROQUIS!$C$171*CROQUIS!$C$172)+4),-1000)</f>
        <v>-1000</v>
      </c>
    </row>
    <row r="11">
      <c r="A11" t="n">
        <v>4</v>
      </c>
      <c r="B11">
        <f>IF(AND(CROQUIS!$C$87=1),CHOOSE(MIN(MAX($A11,1),5),(CROQUIS!$C$156+(0)*CROQUIS!$C$155),(CROQUIS!$C$156+(CROQUIS!$C$95)*CROQUIS!$C$155),(CROQUIS!$C$156+(CROQUIS!$C$95)*CROQUIS!$C$155),(CROQUIS!$C$156+(0)*CROQUIS!$C$155),(CROQUIS!$C$156+(0)*CROQUIS!$C$155)),-1000)</f>
        <v>12</v>
      </c>
      <c r="C11">
        <f>IF(AND(CROQUIS!$C$87=1),CHOOSE(MIN(MAX($A11,1),5),(CROQUIS!$C$157+(0)*CROQUIS!$C$155),(CROQUIS!$C$157+(0)*CROQUIS!$C$155),(CROQUIS!$C$157+(CROQUIS!$C$96)*CROQUIS!$C$155),(CROQUIS!$C$157+(CROQUIS!$C$96)*CROQUIS!$C$155),(CROQUIS!$C$157+(0)*CROQUIS!$C$155)),-1000)</f>
        <v>84.3425214640759</v>
      </c>
      <c r="D11">
        <f>IF(AND(CROQUIS!$C$87=1),CHOOSE(MIN(MAX($A11,1),5),(CROQUIS!$C$156+(IF(CROQUIS!$C$91=1,CHOOSE(CROQUIS!$C$93,-CROQUIS!$C$107/2,CROQUIS!$C$95-CROQUIS!$C$107/2,0,0),CROQUIS!$C$107/2))*CROQUIS!$C$155),(CROQUIS!$C$156+(IF(CROQUIS!$C$91=1,CHOOSE(CROQUIS!$C$93,CROQUIS!$C$107/2,CROQUIS!$C$95+CROQUIS!$C$107/2,CROQUIS!$C$95,CROQUIS!$C$95),CROQUIS!$C$95-CROQUIS!$C$107/2))*CROQUIS!$C$155),(CROQUIS!$C$156+(IF(CROQUIS!$C$91=1,CHOOSE(CROQUIS!$C$93,CROQUIS!$C$107/2,CROQUIS!$C$95+CROQUIS!$C$107/2,CROQUIS!$C$95,CROQUIS!$C$95),CROQUIS!$C$95-CROQUIS!$C$107/2))*CROQUIS!$C$155),(CROQUIS!$C$156+(IF(CROQUIS!$C$91=1,CHOOSE(CROQUIS!$C$93,-CROQUIS!$C$107/2,CROQUIS!$C$95-CROQUIS!$C$107/2,0,0),CROQUIS!$C$107/2))*CROQUIS!$C$155),(CROQUIS!$C$156+(IF(CROQUIS!$C$91=1,CHOOSE(CROQUIS!$C$93,-CROQUIS!$C$107/2,CROQUIS!$C$95-CROQUIS!$C$107/2,0,0),CROQUIS!$C$107/2))*CROQUIS!$C$155)),-1000)</f>
        <v>13.2878445549028</v>
      </c>
      <c r="E11">
        <f>IF(AND(CROQUIS!$C$87=1),CHOOSE(MIN(MAX($A11,1),5),(CROQUIS!$C$157+(IF(CROQUIS!$C$91=1,CHOOSE(CROQUIS!$C$93,0,0,-CROQUIS!$C$107/2,CROQUIS!$C$96-CROQUIS!$C$107/2),CROQUIS!$C$107/2))*CROQUIS!$C$155),(CROQUIS!$C$157+(IF(CROQUIS!$C$91=1,CHOOSE(CROQUIS!$C$93,0,0,-CROQUIS!$C$107/2,CROQUIS!$C$96-CROQUIS!$C$107/2),CROQUIS!$C$107/2))*CROQUIS!$C$155),(CROQUIS!$C$157+(IF(CROQUIS!$C$91=1,CHOOSE(CROQUIS!$C$93,CROQUIS!$C$96,CROQUIS!$C$96,CROQUIS!$C$107/2,CROQUIS!$C$96+CROQUIS!$C$107/2),CROQUIS!$C$96-CROQUIS!$C$107/2))*CROQUIS!$C$155),(CROQUIS!$C$157+(IF(CROQUIS!$C$91=1,CHOOSE(CROQUIS!$C$93,CROQUIS!$C$96,CROQUIS!$C$96,CROQUIS!$C$107/2,CROQUIS!$C$96+CROQUIS!$C$107/2),CROQUIS!$C$96-CROQUIS!$C$107/2))*CROQUIS!$C$155),(CROQUIS!$C$157+(IF(CROQUIS!$C$91=1,CHOOSE(CROQUIS!$C$93,0,0,-CROQUIS!$C$107/2,CROQUIS!$C$96-CROQUIS!$C$107/2),CROQUIS!$C$107/2))*CROQUIS!$C$155)),-1000)</f>
        <v>83.0546769091731</v>
      </c>
      <c r="F11">
        <f>IF(AND(CROQUIS!$C$87=1,CROQUIS!$C$91=1),((CROQUIS!$C$156+(IF(CROQUIS!$C$92="X",IF(CROQUIS!$C$94=1,0,CROQUIS!$C$97)+IF(MOD($A11,2)=1,-CROQUIS!$C$107/2,CROQUIS!$C$107/2),(MIN($A11,41)-1)/40*CROQUIS!$C$98))*CROQUIS!$C$155)+IF(CROQUIS!$C$92="X",0,0)),-1000)</f>
        <v>-1000</v>
      </c>
      <c r="G11">
        <f>IF(AND(CROQUIS!$C$87=1,CROQUIS!$C$91=1),((CROQUIS!$C$157+(IF(CROQUIS!$C$92="X",(MIN($A11,41)-1)/40*CROQUIS!$C$98,IF(CROQUIS!$C$94=1,0,CROQUIS!$C$97)+IF(MOD($A11,2)=1,-CROQUIS!$C$107/2,CROQUIS!$C$107/2)))*CROQUIS!$C$155)+IF(CROQUIS!$C$92="X",0,0)),-1000)</f>
        <v>-1000</v>
      </c>
      <c r="H11">
        <f>IF(AND(CROQUIS!$C$87=1,CROQUIS!$C$91=1),CHOOSE(MIN(MAX($A11,1),5),(CROQUIS!$C$156+(CHOOSE(MAX(CROQUIS!$C$93,1),-CROQUIS!$C$150,CROQUIS!$C$95,0,0))*CROQUIS!$C$155),(CROQUIS!$C$156+(CHOOSE(MAX(CROQUIS!$C$93,1),0,CROQUIS!$C$95+CROQUIS!$C$150,CROQUIS!$C$95,CROQUIS!$C$95))*CROQUIS!$C$155),(CROQUIS!$C$156+(CHOOSE(MAX(CROQUIS!$C$93,1),0,CROQUIS!$C$95+CROQUIS!$C$150,CROQUIS!$C$95,CROQUIS!$C$95))*CROQUIS!$C$155),(CROQUIS!$C$156+(CHOOSE(MAX(CROQUIS!$C$93,1),-CROQUIS!$C$150,CROQUIS!$C$95,0,0))*CROQUIS!$C$155),(CROQUIS!$C$156+(CHOOSE(MAX(CROQUIS!$C$93,1),-CROQUIS!$C$150,CROQUIS!$C$95,0,0))*CROQUIS!$C$155)),-1000)</f>
        <v>-1000</v>
      </c>
      <c r="I11">
        <f>IF(AND(CROQUIS!$C$87=1,CROQUIS!$C$91=1),CHOOSE(MIN(MAX($A11,1),5),(CROQUIS!$C$157+(CHOOSE(MAX(CROQUIS!$C$93,1),0,0,-CROQUIS!$C$150,CROQUIS!$C$96))*CROQUIS!$C$155),(CROQUIS!$C$157+(CHOOSE(MAX(CROQUIS!$C$93,1),0,0,-CROQUIS!$C$150,CROQUIS!$C$96))*CROQUIS!$C$155),(CROQUIS!$C$157+(CHOOSE(MAX(CROQUIS!$C$93,1),CROQUIS!$C$96,CROQUIS!$C$96,0,CROQUIS!$C$96+CROQUIS!$C$150))*CROQUIS!$C$155),(CROQUIS!$C$157+(CHOOSE(MAX(CROQUIS!$C$93,1),CROQUIS!$C$96,CROQUIS!$C$96,0,CROQUIS!$C$96+CROQUIS!$C$150))*CROQUIS!$C$155),(CROQUIS!$C$157+(CHOOSE(MAX(CROQUIS!$C$93,1),0,0,-CROQUIS!$C$150,CROQUIS!$C$96))*CROQUIS!$C$155)),-1000)</f>
        <v>-1000</v>
      </c>
      <c r="L11">
        <f>IF(AND(CROQUIS!$C$87=1),CHOOSE(MIN(MAX($A11,1)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50</v>
      </c>
      <c r="M11">
        <f>IF(AND(CROQUIS!$C$87=1),CHOOSE(MIN(MAX($A11,1)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10.6574785359241</v>
      </c>
      <c r="N11">
        <f>IF(AND(CROQUIS!$C$87=1),CHOOSE(MIN(MAX($A11,1)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7</v>
      </c>
      <c r="O11">
        <f>IF(AND(CROQUIS!$C$87=1),CHOOSE(MIN(MAX($A11,1)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50</v>
      </c>
      <c r="P11">
        <f>IF(AND(CROQUIS!$C$88=1),CHOOSE(MIN(MAX($A11,1),5),(CROQUIS!$C$156+(0)*CROQUIS!$C$155),(CROQUIS!$C$156+(CROQUIS!$C$95)*CROQUIS!$C$155),(CROQUIS!$C$156+(CROQUIS!$C$95)*CROQUIS!$C$155),(CROQUIS!$C$156+(0)*CROQUIS!$C$155),(CROQUIS!$C$156+(0)*CROQUIS!$C$155)),-1000)</f>
        <v>-1000</v>
      </c>
      <c r="Q11">
        <f>IF(AND(CROQUIS!$C$88=1),CHOOSE(MIN(MAX($A11,1),5),(CROQUIS!$C$157+(0)*CROQUIS!$C$155),(CROQUIS!$C$157+(0)*CROQUIS!$C$155),(CROQUIS!$C$157+(CROQUIS!$C$96)*CROQUIS!$C$155),(CROQUIS!$C$157+(CROQUIS!$C$96)*CROQUIS!$C$155),(CROQUIS!$C$157+(0)*CROQUIS!$C$155)),-1000)</f>
        <v>-1000</v>
      </c>
      <c r="R11">
        <f>IF(AND(CROQUIS!$C$88=1),CHOOSE(MIN(MAX($A11,1),5),(CROQUIS!$C$156+(IF(CROQUIS!$C$91=1,CHOOSE(CROQUIS!$C$93,-CROQUIS!$C$107/2,CROQUIS!$C$95-CROQUIS!$C$107/2,0,0),CROQUIS!$C$107/2))*CROQUIS!$C$155),(CROQUIS!$C$156+(IF(CROQUIS!$C$91=1,CHOOSE(CROQUIS!$C$93,CROQUIS!$C$107/2,CROQUIS!$C$95+CROQUIS!$C$107/2,CROQUIS!$C$95,CROQUIS!$C$95),CROQUIS!$C$95-CROQUIS!$C$107/2))*CROQUIS!$C$155),(CROQUIS!$C$156+(IF(CROQUIS!$C$91=1,CHOOSE(CROQUIS!$C$93,CROQUIS!$C$107/2,CROQUIS!$C$95+CROQUIS!$C$107/2,CROQUIS!$C$95,CROQUIS!$C$95),CROQUIS!$C$95-CROQUIS!$C$107/2))*CROQUIS!$C$155),(CROQUIS!$C$156+(IF(CROQUIS!$C$91=1,CHOOSE(CROQUIS!$C$93,-CROQUIS!$C$107/2,CROQUIS!$C$95-CROQUIS!$C$107/2,0,0),CROQUIS!$C$107/2))*CROQUIS!$C$155),(CROQUIS!$C$156+(IF(CROQUIS!$C$91=1,CHOOSE(CROQUIS!$C$93,-CROQUIS!$C$107/2,CROQUIS!$C$95-CROQUIS!$C$107/2,0,0),CROQUIS!$C$107/2))*CROQUIS!$C$155)),-1000)</f>
        <v>-1000</v>
      </c>
      <c r="S11">
        <f>IF(AND(CROQUIS!$C$88=1),CHOOSE(MIN(MAX($A11,1),5),(CROQUIS!$C$157+(IF(CROQUIS!$C$91=1,CHOOSE(CROQUIS!$C$93,0,0,-CROQUIS!$C$107/2,CROQUIS!$C$96-CROQUIS!$C$107/2),CROQUIS!$C$107/2))*CROQUIS!$C$155),(CROQUIS!$C$157+(IF(CROQUIS!$C$91=1,CHOOSE(CROQUIS!$C$93,0,0,-CROQUIS!$C$107/2,CROQUIS!$C$96-CROQUIS!$C$107/2),CROQUIS!$C$107/2))*CROQUIS!$C$155),(CROQUIS!$C$157+(IF(CROQUIS!$C$91=1,CHOOSE(CROQUIS!$C$93,CROQUIS!$C$96,CROQUIS!$C$96,CROQUIS!$C$107/2,CROQUIS!$C$96+CROQUIS!$C$107/2),CROQUIS!$C$96-CROQUIS!$C$107/2))*CROQUIS!$C$155),(CROQUIS!$C$157+(IF(CROQUIS!$C$91=1,CHOOSE(CROQUIS!$C$93,CROQUIS!$C$96,CROQUIS!$C$96,CROQUIS!$C$107/2,CROQUIS!$C$96+CROQUIS!$C$107/2),CROQUIS!$C$96-CROQUIS!$C$107/2))*CROQUIS!$C$155),(CROQUIS!$C$157+(IF(CROQUIS!$C$91=1,CHOOSE(CROQUIS!$C$93,0,0,-CROQUIS!$C$107/2,CROQUIS!$C$96-CROQUIS!$C$107/2),CROQUIS!$C$107/2))*CROQUIS!$C$155)),-1000)</f>
        <v>-1000</v>
      </c>
      <c r="T11">
        <f>IF(AND(CROQUIS!$C$88=1,CROQUIS!$C$91=1),((CROQUIS!$C$156+(IF(CROQUIS!$C$92="X",IF(CROQUIS!$C$94=1,0,CROQUIS!$C$97)+IF(MOD($A11,2)=1,-CROQUIS!$C$107/2,CROQUIS!$C$107/2),(MIN($A11,41)-1)/40*CROQUIS!$C$98))*CROQUIS!$C$155)+IF(CROQUIS!$C$92="X",0,0)),-1000)</f>
        <v>-1000</v>
      </c>
      <c r="U11">
        <f>IF(AND(CROQUIS!$C$88=1,CROQUIS!$C$91=1),((CROQUIS!$C$157+(IF(CROQUIS!$C$92="X",(MIN($A11,41)-1)/40*CROQUIS!$C$98,IF(CROQUIS!$C$94=1,0,CROQUIS!$C$97)+IF(MOD($A11,2)=1,-CROQUIS!$C$107/2,CROQUIS!$C$107/2)))*CROQUIS!$C$155)+IF(CROQUIS!$C$92="X",0,0)),-1000)</f>
        <v>-1000</v>
      </c>
      <c r="V11">
        <f>IF(AND(CROQUIS!$C$88=1,CROQUIS!$C$91=1),CHOOSE(MIN(MAX($A11,1),5),(CROQUIS!$C$156+(CHOOSE(MAX(CROQUIS!$C$93,1),-CROQUIS!$C$150,CROQUIS!$C$95,0,0))*CROQUIS!$C$155),(CROQUIS!$C$156+(CHOOSE(MAX(CROQUIS!$C$93,1),0,CROQUIS!$C$95+CROQUIS!$C$150,CROQUIS!$C$95,CROQUIS!$C$95))*CROQUIS!$C$155),(CROQUIS!$C$156+(CHOOSE(MAX(CROQUIS!$C$93,1),0,CROQUIS!$C$95+CROQUIS!$C$150,CROQUIS!$C$95,CROQUIS!$C$95))*CROQUIS!$C$155),(CROQUIS!$C$156+(CHOOSE(MAX(CROQUIS!$C$93,1),-CROQUIS!$C$150,CROQUIS!$C$95,0,0))*CROQUIS!$C$155),(CROQUIS!$C$156+(CHOOSE(MAX(CROQUIS!$C$93,1),-CROQUIS!$C$150,CROQUIS!$C$95,0,0))*CROQUIS!$C$155)),-1000)</f>
        <v>-1000</v>
      </c>
      <c r="W11">
        <f>IF(AND(CROQUIS!$C$88=1,CROQUIS!$C$91=1),CHOOSE(MIN(MAX($A11,1),5),(CROQUIS!$C$157+(CHOOSE(MAX(CROQUIS!$C$93,1),0,0,-CROQUIS!$C$150,CROQUIS!$C$96))*CROQUIS!$C$155),(CROQUIS!$C$157+(CHOOSE(MAX(CROQUIS!$C$93,1),0,0,-CROQUIS!$C$150,CROQUIS!$C$96))*CROQUIS!$C$155),(CROQUIS!$C$157+(CHOOSE(MAX(CROQUIS!$C$93,1),CROQUIS!$C$96,CROQUIS!$C$96,0,CROQUIS!$C$96+CROQUIS!$C$150))*CROQUIS!$C$155),(CROQUIS!$C$157+(CHOOSE(MAX(CROQUIS!$C$93,1),CROQUIS!$C$96,CROQUIS!$C$96,0,CROQUIS!$C$96+CROQUIS!$C$150))*CROQUIS!$C$155),(CROQUIS!$C$157+(CHOOSE(MAX(CROQUIS!$C$93,1),0,0,-CROQUIS!$C$150,CROQUIS!$C$96))*CROQUIS!$C$155)),-1000)</f>
        <v>-1000</v>
      </c>
      <c r="Z11">
        <f>IF(AND(CROQUIS!$C$88=1),CHOOSE(MIN(MAX($A11,1)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-1000</v>
      </c>
      <c r="AA11">
        <f>IF(AND(CROQUIS!$C$88=1),CHOOSE(MIN(MAX($A11,1)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-1000</v>
      </c>
      <c r="AB11">
        <f>IF(AND(CROQUIS!$C$88=1),CHOOSE(MIN(MAX($A11,1)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-1000</v>
      </c>
      <c r="AC11">
        <f>IF(AND(CROQUIS!$C$88=1),CHOOSE(MIN(MAX($A11,1)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-1000</v>
      </c>
      <c r="AD11">
        <f>IF(AND(CROQUIS!$C$87=1,CROQUIS!$C$91=1,CROQUIS!$C$144&gt;0),CHOOSE(MIN(MAX($A11,1),5),(CROQUIS!$C$156+(CHOOSE(MAX(CROQUIS!$C$93,1),-(CROQUIS!$C$107/2+CROQUIS!$C$144),CROQUIS!$C$95+CROQUIS!$C$107/2,0,0))*CROQUIS!$C$155),(CROQUIS!$C$156+(CHOOSE(MAX(CROQUIS!$C$93,1),-CROQUIS!$C$107/2,CROQUIS!$C$95+(CROQUIS!$C$107/2+CROQUIS!$C$144),CROQUIS!$C$95,CROQUIS!$C$95))*CROQUIS!$C$155),(CROQUIS!$C$156+(CHOOSE(MAX(CROQUIS!$C$93,1),-CROQUIS!$C$107/2,CROQUIS!$C$95+(CROQUIS!$C$107/2+CROQUIS!$C$144),CROQUIS!$C$95,CROQUIS!$C$95))*CROQUIS!$C$155),(CROQUIS!$C$156+(CHOOSE(MAX(CROQUIS!$C$93,1),-(CROQUIS!$C$107/2+CROQUIS!$C$144),CROQUIS!$C$95+CROQUIS!$C$107/2,0,0))*CROQUIS!$C$155),(CROQUIS!$C$156+(CHOOSE(MAX(CROQUIS!$C$93,1),-(CROQUIS!$C$107/2+CROQUIS!$C$144),CROQUIS!$C$95+CROQUIS!$C$107/2,0,0))*CROQUIS!$C$155)),-1000)</f>
        <v>-1000</v>
      </c>
      <c r="AE11">
        <f>IF(AND(CROQUIS!$C$87=1,CROQUIS!$C$91=1,CROQUIS!$C$144&gt;0),CHOOSE(MIN(MAX($A11,1),5),(CROQUIS!$C$157+(CHOOSE(MAX(CROQUIS!$C$93,1),0,0,-(CROQUIS!$C$107/2+CROQUIS!$C$144),CROQUIS!$C$96+CROQUIS!$C$107/2))*CROQUIS!$C$155),(CROQUIS!$C$157+(CHOOSE(MAX(CROQUIS!$C$93,1),0,0,-(CROQUIS!$C$107/2+CROQUIS!$C$144),CROQUIS!$C$96+CROQUIS!$C$107/2))*CROQUIS!$C$155),(CROQUIS!$C$157+(CHOOSE(MAX(CROQUIS!$C$93,1),CROQUIS!$C$96,CROQUIS!$C$96,-CROQUIS!$C$107/2,CROQUIS!$C$96+(CROQUIS!$C$107/2+CROQUIS!$C$144)))*CROQUIS!$C$155),(CROQUIS!$C$157+(CHOOSE(MAX(CROQUIS!$C$93,1),CROQUIS!$C$96,CROQUIS!$C$96,-CROQUIS!$C$107/2,CROQUIS!$C$96+(CROQUIS!$C$107/2+CROQUIS!$C$144)))*CROQUIS!$C$155),(CROQUIS!$C$157+(CHOOSE(MAX(CROQUIS!$C$93,1),0,0,-(CROQUIS!$C$107/2+CROQUIS!$C$144),CROQUIS!$C$96+CROQUIS!$C$107/2))*CROQUIS!$C$155)),-1000)</f>
        <v>-1000</v>
      </c>
      <c r="AF11">
        <f>IF(AND(CROQUIS!$C$87=1,CROQUIS!$C$158&gt;0,CROQUIS!$C$160&gt;0),(CROQUIS!$C$156+((CROQUIS!$C$159+INT(MIN(INT(($A11-1)/2),MAX((2*CROQUIS!$C$158)-1,0))/2)*CROQUIS!$C$113+MOD(MIN(INT(($A11-1)/2),MAX((2*CROQUIS!$C$158)-1,0)),2)*CROQUIS!$C$112))*CROQUIS!$C$155),-1000)</f>
        <v>25.101671938545</v>
      </c>
      <c r="AG11">
        <f>IF(AND(CROQUIS!$C$87=1,CROQUIS!$C$158&gt;0,CROQUIS!$C$160&gt;0),(CROQUIS!$C$157+(IF(MOD(MIN(INT(($A11-1)/2),MAX((2*CROQUIS!$C$158)-1,0)),2)=0,IF(IF(INT(($A11-1)/2)&gt;MAX((2*CROQUIS!$C$158)-1,0),1,MOD($A11-1,2))=0,CROQUIS!$C$161,(CROQUIS!$C$161+CROQUIS!$C$160*CROQUIS!$C$113-CROQUIS!$C$111)),IF(IF(INT(($A11-1)/2)&gt;MAX((2*CROQUIS!$C$158)-1,0),1,MOD($A11-1,2))=0,(CROQUIS!$C$161+CROQUIS!$C$160*CROQUIS!$C$113-CROQUIS!$C$111),CROQUIS!$C$161)))*CROQUIS!$C$155),-1000)</f>
        <v>20.8088567555355</v>
      </c>
      <c r="AH11">
        <f>IF(AND(CROQUIS!$C$87=1,CROQUIS!$C$160&gt;0,CROQUIS!$C$158&gt;0),(CROQUIS!$C$156+(IF(MOD(MIN(INT(($A11-1)/2),MAX((2*CROQUIS!$C$160)-1,0)),2)=0,IF(IF(INT(($A11-1)/2)&gt;MAX((2*CROQUIS!$C$160)-1,0),1,MOD($A11-1,2))=0,CROQUIS!$C$159,(CROQUIS!$C$159+CROQUIS!$C$158*CROQUIS!$C$113-CROQUIS!$C$111)),IF(IF(INT(($A11-1)/2)&gt;MAX((2*CROQUIS!$C$160)-1,0),1,MOD($A11-1,2))=0,(CROQUIS!$C$159+CROQUIS!$C$158*CROQUIS!$C$113-CROQUIS!$C$111),CROQUIS!$C$159)))*CROQUIS!$C$155),-1000)</f>
        <v>14.7989154993222</v>
      </c>
      <c r="AI11">
        <f>IF(AND(CROQUIS!$C$87=1,CROQUIS!$C$160&gt;0,CROQUIS!$C$158&gt;0),(CROQUIS!$C$157+((CROQUIS!$C$161+INT(MIN(INT(($A11-1)/2),MAX((2*CROQUIS!$C$160)-1,0))/2)*CROQUIS!$C$113+MOD(MIN(INT(($A11-1)/2),MAX((2*CROQUIS!$C$160)-1,0)),2)*CROQUIS!$C$112))*CROQUIS!$C$155),-1000)</f>
        <v>31.1116131947583</v>
      </c>
      <c r="AJ11">
        <f>IF(AND(CROQUIS!$C$87=1,CROQUIS!$C$158&gt;=2),(CROQUIS!$C$156+((CROQUIS!$C$159+CROQUIS!$C$112+CROQUIS!$C$111/2+MIN(INT(($A11-1)/2),MAX((CROQUIS!$C$158-1)-1,0))*CROQUIS!$C$113))*CROQUIS!$C$155),-1000)</f>
        <v>37.9801174875734</v>
      </c>
      <c r="AK11">
        <f>IF(AND(CROQUIS!$C$87=1,CROQUIS!$C$158&gt;=2),(CROQUIS!$C$157+(IF(MOD(MIN(INT(($A11-1)/2),MAX((CROQUIS!$C$158-1)-1,0)),2)=0,IF(IF(INT(($A11-1)/2)&gt;MAX((CROQUIS!$C$158-1)-1,0),1,MOD($A11-1,2))=0,CROQUIS!$C$107/2,(CROQUIS!$C$96-CROQUIS!$C$107/2)),IF(IF(INT(($A11-1)/2)&gt;MAX((CROQUIS!$C$158-1)-1,0),1,MOD($A11-1,2))=0,(CROQUIS!$C$96-CROQUIS!$C$107/2),CROQUIS!$C$107/2)))*CROQUIS!$C$155),-1000)</f>
        <v>16.9453230908269</v>
      </c>
      <c r="AL11">
        <f>IF(AND(CROQUIS!$C$87=1,CROQUIS!$C$160&gt;=2),(CROQUIS!$C$156+(IF(MOD(MIN(INT(($A11-1)/2),MAX((CROQUIS!$C$160-1)-1,0)),2)=0,IF(IF(INT(($A11-1)/2)&gt;MAX((CROQUIS!$C$160-1)-1,0),1,MOD($A11-1,2))=0,CROQUIS!$C$107/2,(CROQUIS!$C$95-CROQUIS!$C$107/2)),IF(IF(INT(($A11-1)/2)&gt;MAX((CROQUIS!$C$160-1)-1,0),1,MOD($A11-1,2))=0,(CROQUIS!$C$95-CROQUIS!$C$107/2),CROQUIS!$C$107/2)))*CROQUIS!$C$155),-1000)</f>
        <v>13.2878445549028</v>
      </c>
      <c r="AM11">
        <f>IF(AND(CROQUIS!$C$87=1,CROQUIS!$C$160&gt;=2),(CROQUIS!$C$157+((CROQUIS!$C$161+CROQUIS!$C$112+CROQUIS!$C$111/2+MIN(INT(($A11-1)/2),MAX((CROQUIS!$C$160-1)-1,0))*CROQUIS!$C$113))*CROQUIS!$C$155),-1000)</f>
        <v>43.9900587437867</v>
      </c>
      <c r="AN11">
        <f>IF(AND(CROQUIS!$C$87=1,CROQUIS!$C$123&gt;0,CROQUIS!$C$162&gt;0),((CROQUIS!$C$156+(IF(CROQUIS!$C$92="X",CHOOSE(MIN(MAX($A11,1)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,CHOOSE(MIN(MAX($A11,1)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))*CROQUIS!$C$155)+IF(CROQUIS!$C$92="X",0,0)),-1000)</f>
        <v>-1000</v>
      </c>
      <c r="AO11">
        <f>IF(AND(CROQUIS!$C$87=1,CROQUIS!$C$123&gt;0,CROQUIS!$C$162&gt;0),((CROQUIS!$C$157+(IF(CROQUIS!$C$92="X",CHOOSE(MIN(MAX($A11,1)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,CHOOSE(MIN(MAX($A11,1)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))*CROQUIS!$C$155)+IF(CROQUIS!$C$92="X",0,0)),-1000)</f>
        <v>-1000</v>
      </c>
      <c r="BF11">
        <f>IF(AND(CROQUIS!$C$87=1,CROQUIS!$C$158&gt;=2),CHOOSE(MIN(MAX($A11,1),7),(CROQUIS!$C$156+(CROQUIS!$C$159)*CROQUIS!$C$155),(CROQUIS!$C$156+(CROQUIS!$C$159)*CROQUIS!$C$155),(CROQUIS!$C$156+(CROQUIS!$C$159)*CROQUIS!$C$155),((CROQUIS!$C$156+(CROQUIS!$C$159)*CROQUIS!$C$155)+(CROQUIS!$C$156+(CROQUIS!$C$159+CROQUIS!$C$113)*CROQUIS!$C$155))/2,(CROQUIS!$C$156+(CROQUIS!$C$159+CROQUIS!$C$113)*CROQUIS!$C$155),(CROQUIS!$C$156+(CROQUIS!$C$159+CROQUIS!$C$113)*CROQUIS!$C$155),(CROQUIS!$C$156+(CROQUIS!$C$159+CROQUIS!$C$113)*CROQUIS!$C$155)),-1000)</f>
        <v>20.8088567555355</v>
      </c>
      <c r="BG11">
        <f>IF(AND(CROQUIS!$C$87=1,CROQUIS!$C$158&gt;=2),CHOOSE(MIN(MAX($A11,1),7),((CROQUIS!$C$157+(CROQUIS!$C$154)*CROQUIS!$C$155)+4)-1.4,((CROQUIS!$C$157+(CROQUIS!$C$154)*CROQUIS!$C$155)+4)+1.4,((CROQUIS!$C$157+(CROQUIS!$C$154)*CROQUIS!$C$155)+4),((CROQUIS!$C$157+(CROQUIS!$C$154)*CROQUIS!$C$155)+4),((CROQUIS!$C$157+(CROQUIS!$C$154)*CROQUIS!$C$155)+4),((CROQUIS!$C$157+(CROQUIS!$C$154)*CROQUIS!$C$155)+4)+1.4,((CROQUIS!$C$157+(CROQUIS!$C$154)*CROQUIS!$C$155)+4)-1.4),-1000)</f>
        <v>88.3425214640759</v>
      </c>
      <c r="BH11">
        <f>IF(AND(CROQUIS!$C$88=1,CROQUIS!$C$126&gt;0),((CROQUIS!$C$156+(IF(CROQUIS!$C$92="X",CHOOSE(IF(INT(($A11-1)/5)&gt;MAX((MIN(80,MAX(1,INT(((CROQUIS!$C$98)-CROQUIS!$C$107)/MAX(CROQUIS!$C$126,1))+1)))-1,0),0,MOD($A11-1,5))+1,0,2,CROQUIS!$C$97-2,2,0),((CROQUIS!$C$107/2+(((CROQUIS!$C$98)-CROQUIS!$C$107)-(MIN(80,MAX(1,INT(((CROQUIS!$C$98)-CROQUIS!$C$107)/MAX(CROQUIS!$C$126,1))+1))-1)*CROQUIS!$C$126)/2)+MIN(INT(($A11-1)/5),MAX((MIN(80,MAX(1,INT(((CROQUIS!$C$98)-CROQUIS!$C$107)/MAX(CROQUIS!$C$126,1))+1)))-1,0))*CROQUIS!$C$126)))*CROQUIS!$C$155)+IF(CROQUIS!$C$92="X",0,0)),-1000)</f>
        <v>-1000</v>
      </c>
      <c r="BI11">
        <f>IF(AND(CROQUIS!$C$88=1,CROQUIS!$C$126&gt;0),((CROQUIS!$C$157+(IF(CROQUIS!$C$92="X",((CROQUIS!$C$107/2+(((CROQUIS!$C$98)-CROQUIS!$C$107)-(MIN(80,MAX(1,INT(((CROQUIS!$C$98)-CROQUIS!$C$107)/MAX(CROQUIS!$C$126,1))+1))-1)*CROQUIS!$C$126)/2)+MIN(INT(($A11-1)/5),MAX((MIN(80,MAX(1,INT(((CROQUIS!$C$98)-CROQUIS!$C$107)/MAX(CROQUIS!$C$126,1))+1)))-1,0))*CROQUIS!$C$126),CHOOSE(IF(INT(($A11-1)/5)&gt;MAX((MIN(80,MAX(1,INT(((CROQUIS!$C$98)-CROQUIS!$C$107)/MAX(CROQUIS!$C$126,1))+1)))-1,0),0,MOD($A11-1,5))+1,0,2,CROQUIS!$C$97-2,2,0)))*CROQUIS!$C$155)+IF(CROQUIS!$C$92="X",0,0)),-1000)</f>
        <v>-1000</v>
      </c>
      <c r="BJ11">
        <f>IF(AND(CROQUIS!$C$88=1,CROQUIS!$C$134&gt;0),((CROQUIS!$C$156+(IF(CROQUIS!$C$92="X",((CROQUIS!$C$107/2+(((CROQUIS!$C$97)-CROQUIS!$C$107)-(MIN(80,MAX(1,INT(((CROQUIS!$C$97)-CROQUIS!$C$107)/MAX(CROQUIS!$C$134,1))+1))-1)*CROQUIS!$C$134)/2)+MIN(INT(($A11-1)/5),MAX((MIN(80,MAX(1,INT(((CROQUIS!$C$97)-CROQUIS!$C$107)/MAX(CROQUIS!$C$134,1))+1)))-1,0))*CROQUIS!$C$134),CHOOSE(IF(INT(($A11-1)/5)&gt;MAX((MIN(80,MAX(1,INT(((CROQUIS!$C$97)-CROQUIS!$C$107)/MAX(CROQUIS!$C$134,1))+1)))-1,0),0,MOD($A11-1,5))+1,0,2,CROQUIS!$C$98-2,2,0)))*CROQUIS!$C$155)+IF(CROQUIS!$C$92="X",0,0)),-1000)</f>
        <v>-1000</v>
      </c>
      <c r="BK11">
        <f>IF(AND(CROQUIS!$C$88=1,CROQUIS!$C$134&gt;0),((CROQUIS!$C$157+(IF(CROQUIS!$C$92="X",CHOOSE(IF(INT(($A11-1)/5)&gt;MAX((MIN(80,MAX(1,INT(((CROQUIS!$C$97)-CROQUIS!$C$107)/MAX(CROQUIS!$C$134,1))+1)))-1,0),0,MOD($A11-1,5))+1,0,2,CROQUIS!$C$98-2,2,0),((CROQUIS!$C$107/2+(((CROQUIS!$C$97)-CROQUIS!$C$107)-(MIN(80,MAX(1,INT(((CROQUIS!$C$97)-CROQUIS!$C$107)/MAX(CROQUIS!$C$134,1))+1))-1)*CROQUIS!$C$134)/2)+MIN(INT(($A11-1)/5),MAX((MIN(80,MAX(1,INT(((CROQUIS!$C$97)-CROQUIS!$C$107)/MAX(CROQUIS!$C$134,1))+1)))-1,0))*CROQUIS!$C$134)))*CROQUIS!$C$155)+IF(CROQUIS!$C$92="X",0,0)),-1000)</f>
        <v>-1000</v>
      </c>
      <c r="BL11">
        <f>IF(AND(CROQUIS!$C$88=1,CROQUIS!$C$91=0,CROQUIS!$C$130&gt;0,OR(CROQUIS!$C$103=1,CROQUIS!$C$142=1)),((CROQUIS!$C$156+(IF(CROQUIS!$C$92="X",CHOOSE(IF(INT(($A11-1)/5)&gt;MAX((MIN(80,MAX(1,INT(((CROQUIS!$C$98)-CROQUIS!$C$107)/MAX(CROQUIS!$C$130,1))+1)))-1,0),0,MOD($A11-1,5))+1,0,IF(CROQUIS!$C$103=1,-12,2),CROQUIS!$C$107/2+CROQUIS!$C$140,IF(CROQUIS!$C$103=1,-12,2),0),((CROQUIS!$C$107/2+(((CROQUIS!$C$98)-CROQUIS!$C$107)-(MIN(80,MAX(1,INT(((CROQUIS!$C$98)-CROQUIS!$C$107)/MAX(CROQUIS!$C$130,1))+1))-1)*CROQUIS!$C$130)/2)+MIN(INT(($A11-1)/5),MAX((MIN(80,MAX(1,INT(((CROQUIS!$C$98)-CROQUIS!$C$107)/MAX(CROQUIS!$C$130,1))+1)))-1,0))*CROQUIS!$C$130)))*CROQUIS!$C$155)+IF(CROQUIS!$C$92="X",0,0)),-1000)</f>
        <v>-1000</v>
      </c>
      <c r="BM1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11-1)/5),MAX((MIN(80,MAX(1,INT(((CROQUIS!$C$98)-CROQUIS!$C$107)/MAX(CROQUIS!$C$130,1))+1)))-1,0))*CROQUIS!$C$130),CHOOSE(IF(INT(($A11-1)/5)&gt;MAX((MIN(80,MAX(1,INT(((CROQUIS!$C$98)-CROQUIS!$C$107)/MAX(CROQUIS!$C$130,1))+1)))-1,0),0,MOD($A11-1,5))+1,0,IF(CROQUIS!$C$103=1,-12,2),CROQUIS!$C$107/2+CROQUIS!$C$140,IF(CROQUIS!$C$103=1,-12,2),0)))*CROQUIS!$C$155)+IF(CROQUIS!$C$92="X",0,0)),-1000)</f>
        <v>-1000</v>
      </c>
      <c r="BN11">
        <f>IF(AND(CROQUIS!$C$88=1,CROQUIS!$C$91=0,CROQUIS!$C$130&gt;0,OR(CROQUIS!$C$104=1,CROQUIS!$C$142=1)),((CROQUIS!$C$156+(IF(CROQUIS!$C$92="X",CHOOSE(IF(INT(($A11-1)/5)&gt;MAX((MIN(80,MAX(1,INT(((CROQUIS!$C$98)-CROQUIS!$C$107)/MAX(CROQUIS!$C$130,1))+1)))-1,0),0,MOD($A11-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11-1)/5),MAX((MIN(80,MAX(1,INT(((CROQUIS!$C$98)-CROQUIS!$C$107)/MAX(CROQUIS!$C$130,1))+1)))-1,0))*CROQUIS!$C$130)))*CROQUIS!$C$155)+IF(CROQUIS!$C$92="X",0,0)),-1000)</f>
        <v>-1000</v>
      </c>
      <c r="BO1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11-1)/5),MAX((MIN(80,MAX(1,INT(((CROQUIS!$C$98)-CROQUIS!$C$107)/MAX(CROQUIS!$C$130,1))+1)))-1,0))*CROQUIS!$C$130),CHOOSE(IF(INT(($A11-1)/5)&gt;MAX((MIN(80,MAX(1,INT(((CROQUIS!$C$98)-CROQUIS!$C$107)/MAX(CROQUIS!$C$130,1))+1)))-1,0),0,MOD($A11-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11-1)/5),MAX((MIN(80,MAX(1,INT(((CROQUIS!$C$97)-CROQUIS!$C$107)/MAX(CROQUIS!$C$138,1))+1)))-1,0))*CROQUIS!$C$138),CHOOSE(IF(INT(($A11-1)/5)&gt;MAX((MIN(80,MAX(1,INT(((CROQUIS!$C$97)-CROQUIS!$C$107)/MAX(CROQUIS!$C$138,1))+1)))-1,0),0,MOD($A11-1,5))+1,0,IF(CROQUIS!$C$105=1,-12,2),CROQUIS!$C$107/2+CROQUIS!$C$141,IF(CROQUIS!$C$105=1,-12,2),0)))*CROQUIS!$C$155)+IF(CROQUIS!$C$92="X",0,0)),-1000)</f>
        <v>-1000</v>
      </c>
      <c r="BQ11">
        <f>IF(AND(CROQUIS!$C$88=1,CROQUIS!$C$91=0,CROQUIS!$C$138&gt;0,OR(CROQUIS!$C$105=1,CROQUIS!$C$143=1)),((CROQUIS!$C$157+(IF(CROQUIS!$C$92="X",CHOOSE(IF(INT(($A11-1)/5)&gt;MAX((MIN(80,MAX(1,INT(((CROQUIS!$C$97)-CROQUIS!$C$107)/MAX(CROQUIS!$C$138,1))+1)))-1,0),0,MOD($A11-1,5))+1,0,IF(CROQUIS!$C$105=1,-12,2),CROQUIS!$C$107/2+CROQUIS!$C$141,IF(CROQUIS!$C$105=1,-12,2),0),((CROQUIS!$C$107/2+(((CROQUIS!$C$97)-CROQUIS!$C$107)-(MIN(80,MAX(1,INT(((CROQUIS!$C$97)-CROQUIS!$C$107)/MAX(CROQUIS!$C$138,1))+1))-1)*CROQUIS!$C$138)/2)+MIN(INT(($A11-1)/5),MAX((MIN(80,MAX(1,INT(((CROQUIS!$C$97)-CROQUIS!$C$107)/MAX(CROQUIS!$C$138,1))+1)))-1,0))*CROQUIS!$C$138)))*CROQUIS!$C$155)+IF(CROQUIS!$C$92="X",0,0)),-1000)</f>
        <v>-1000</v>
      </c>
      <c r="BR1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11-1)/5),MAX((MIN(80,MAX(1,INT(((CROQUIS!$C$97)-CROQUIS!$C$107)/MAX(CROQUIS!$C$138,1))+1)))-1,0))*CROQUIS!$C$138),CHOOSE(IF(INT(($A11-1)/5)&gt;MAX((MIN(80,MAX(1,INT(((CROQUIS!$C$97)-CROQUIS!$C$107)/MAX(CROQUIS!$C$138,1))+1)))-1,0),0,MOD($A11-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1">
        <f>IF(AND(CROQUIS!$C$88=1,CROQUIS!$C$91=0,CROQUIS!$C$138&gt;0,OR(CROQUIS!$C$106=1,CROQUIS!$C$143=1)),((CROQUIS!$C$157+(IF(CROQUIS!$C$92="X",CHOOSE(IF(INT(($A11-1)/5)&gt;MAX((MIN(80,MAX(1,INT(((CROQUIS!$C$97)-CROQUIS!$C$107)/MAX(CROQUIS!$C$138,1))+1)))-1,0),0,MOD($A11-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11-1)/5),MAX((MIN(80,MAX(1,INT(((CROQUIS!$C$97)-CROQUIS!$C$107)/MAX(CROQUIS!$C$138,1))+1)))-1,0))*CROQUIS!$C$138)))*CROQUIS!$C$155)+IF(CROQUIS!$C$92="X",0,0)),-1000)</f>
        <v>-1000</v>
      </c>
      <c r="BT11">
        <f>IF(AND(CROQUIS!$C$88=1,CROQUIS!$C$91=1,CROQUIS!$C$130&gt;0),((CROQUIS!$C$156+(IF(CROQUIS!$C$92="X",CHOOSE(IF(INT(($A11-1)/5)&gt;MAX((MIN(80,MAX(1,INT(((CROQUIS!$C$98)-CROQUIS!$C$107)/MAX(CROQUIS!$C$130,1))+1)))-1,0),0,MOD($A11-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11-1)/5),MAX((MIN(80,MAX(1,INT(((CROQUIS!$C$98)-CROQUIS!$C$107)/MAX(CROQUIS!$C$130,1))+1)))-1,0))*CROQUIS!$C$130)))*CROQUIS!$C$155)+IF(CROQUIS!$C$92="X",0,0)),-1000)</f>
        <v>-1000</v>
      </c>
      <c r="BU11">
        <f>IF(AND(CROQUIS!$C$88=1,CROQUIS!$C$91=1,CROQUIS!$C$130&gt;0),((CROQUIS!$C$157+(IF(CROQUIS!$C$92="X",((CROQUIS!$C$107/2+(((CROQUIS!$C$98)-CROQUIS!$C$107)-(MIN(80,MAX(1,INT(((CROQUIS!$C$98)-CROQUIS!$C$107)/MAX(CROQUIS!$C$130,1))+1))-1)*CROQUIS!$C$130)/2)+MIN(INT(($A11-1)/5),MAX((MIN(80,MAX(1,INT(((CROQUIS!$C$98)-CROQUIS!$C$107)/MAX(CROQUIS!$C$130,1))+1)))-1,0))*CROQUIS!$C$130),CHOOSE(IF(INT(($A11-1)/5)&gt;MAX((MIN(80,MAX(1,INT(((CROQUIS!$C$98)-CROQUIS!$C$107)/MAX(CROQUIS!$C$130,1))+1)))-1,0),0,MOD($A11-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BV11">
        <f>IF(AND(CROQUIS!$C$87=1),CHOOSE(MIN(MAX($A11,1),9),(50+(-CROQUIS!$C$113/2)*CROQUIS!$C$173),(50+(CROQUIS!$C$113/2)*CROQUIS!$C$173),(50+(CROQUIS!$C$113/2)*CROQUIS!$C$173),(50+(CROQUIS!$C$111/2)*CROQUIS!$C$173),(50+(CROQUIS!$C$111/2)*CROQUIS!$C$173),(50+(-CROQUIS!$C$111/2)*CROQUIS!$C$173),(50+(-CROQUIS!$C$111/2)*CROQUIS!$C$173),(50+(-CROQUIS!$C$113/2)*CROQUIS!$C$173),(50+(-CROQUIS!$C$113/2)*CROQUIS!$C$173)),-1000)</f>
        <v>54.7727272727273</v>
      </c>
      <c r="BW11">
        <f>IF(AND(CROQUIS!$C$87=1),CHOOSE(MIN(MAX($A11,1),9),(12+(CROQUIS!$C$108)*CROQUIS!$C$173),(12+(CROQUIS!$C$108)*CROQUIS!$C$173),(12+(CROQUIS!$C$114)*CROQUIS!$C$173),(12+(CROQUIS!$C$114)*CROQUIS!$C$173),(12+(0)*CROQUIS!$C$173),(12+(0)*CROQUIS!$C$173),(12+(CROQUIS!$C$114)*CROQUIS!$C$173),(12+(CROQUIS!$C$114)*CROQUIS!$C$173),(12+(CROQUIS!$C$108)*CROQUIS!$C$173)),-1000)</f>
        <v>30.1363636363636</v>
      </c>
      <c r="BX11">
        <f>IF(AND(CROQUIS!$C$87=1),CHOOSE(MIN(MAX($A11,1),5),(50+(-CROQUIS!$C$113/2)*CROQUIS!$C$173),(50+(-CROQUIS!$C$111/2)*CROQUIS!$C$173),(50+(-CROQUIS!$C$111/2)*CROQUIS!$C$173),(50+(-CROQUIS!$C$113/2)*CROQUIS!$C$173),(50+(-CROQUIS!$C$113/2)*CROQUIS!$C$173)),-1000)</f>
        <v>16.5909090909091</v>
      </c>
      <c r="BY11">
        <f>IF(AND(CROQUIS!$C$87=1),CHOOSE(MIN(MAX($A11,1),5),(12+(0)*CROQUIS!$C$173),(12+(0)*CROQUIS!$C$173),(12+(CROQUIS!$C$114)*CROQUIS!$C$173),(12+(CROQUIS!$C$114)*CROQUIS!$C$173),(12+(0)*CROQUIS!$C$173)),-1000)</f>
        <v>30.1363636363636</v>
      </c>
      <c r="BZ11">
        <f>IF(AND(CROQUIS!$C$87=1),CHOOSE(MIN(MAX($A11,1),5),(50+(CROQUIS!$C$111/2)*CROQUIS!$C$173),(50+(CROQUIS!$C$113/2)*CROQUIS!$C$173),(50+(CROQUIS!$C$113/2)*CROQUIS!$C$173),(50+(CROQUIS!$C$111/2)*CROQUIS!$C$173),(50+(CROQUIS!$C$111/2)*CROQUIS!$C$173)),-1000)</f>
        <v>54.7727272727273</v>
      </c>
      <c r="CA11">
        <f>IF(AND(CROQUIS!$C$87=1),CHOOSE(MIN(MAX($A11,1),5),(12+(0)*CROQUIS!$C$173),(12+(0)*CROQUIS!$C$173),(12+(CROQUIS!$C$114)*CROQUIS!$C$173),(12+(CROQUIS!$C$114)*CROQUIS!$C$173),(12+(0)*CROQUIS!$C$173)),-1000)</f>
        <v>30.1363636363636</v>
      </c>
      <c r="CD11">
        <f>IF(AND(CROQUIS!$C$87=1,CROQUIS!$C$126&gt;=1),(50+(((1-(CROQUIS!$C$126+1)/2)*(MAX(CROQUIS!$C$118,CROQUIS!$C$125)+CROQUIS!$C$125))+CROQUIS!$C$125/2*COS(2*PI()*(MIN($A11,13)-1)/12))*CROQUIS!$C$173),-1000)</f>
        <v>50</v>
      </c>
      <c r="CE11">
        <f>IF(AND(CROQUIS!$C$87=1,CROQUIS!$C$126&gt;=1),(12+((CROQUIS!$C$109+CROQUIS!$C$125/2)+CROQUIS!$C$125/2*SIN(2*PI()*(MIN($A11,13)-1)/12))*CROQUIS!$C$173),-1000)</f>
        <v>15.1213636363636</v>
      </c>
      <c r="CF11">
        <f>IF(AND(CROQUIS!$C$87=1,CROQUIS!$C$126&gt;=2),(50+(((2-(CROQUIS!$C$126+1)/2)*(MAX(CROQUIS!$C$118,CROQUIS!$C$125)+CROQUIS!$C$125))+CROQUIS!$C$125/2*COS(2*PI()*(MIN($A11,13)-1)/12))*CROQUIS!$C$173),-1000)</f>
        <v>-1000</v>
      </c>
      <c r="CG11">
        <f>IF(AND(CROQUIS!$C$87=1,CROQUIS!$C$126&gt;=2),(12+((CROQUIS!$C$109+CROQUIS!$C$125/2)+CROQUIS!$C$125/2*SIN(2*PI()*(MIN($A11,13)-1)/12))*CROQUIS!$C$173),-1000)</f>
        <v>-1000</v>
      </c>
      <c r="CH11">
        <f>IF(AND(CROQUIS!$C$87=1,CROQUIS!$C$126&gt;=3),(50+(((3-(CROQUIS!$C$126+1)/2)*(MAX(CROQUIS!$C$118,CROQUIS!$C$125)+CROQUIS!$C$125))+CROQUIS!$C$125/2*COS(2*PI()*(MIN($A11,13)-1)/12))*CROQUIS!$C$173),-1000)</f>
        <v>-1000</v>
      </c>
      <c r="CI11">
        <f>IF(AND(CROQUIS!$C$87=1,CROQUIS!$C$126&gt;=3),(12+((CROQUIS!$C$109+CROQUIS!$C$125/2)+CROQUIS!$C$125/2*SIN(2*PI()*(MIN($A11,13)-1)/12))*CROQUIS!$C$173),-1000)</f>
        <v>-1000</v>
      </c>
      <c r="CJ11">
        <f>IF(AND(CROQUIS!$C$87=1,CROQUIS!$C$130&gt;=1),(50+(((1-(CROQUIS!$C$130+1)/2)*(MAX(CROQUIS!$C$118,CROQUIS!$C$129)+CROQUIS!$C$129))+CROQUIS!$C$129/2*COS(2*PI()*(MIN($A11,13)-1)/12))*CROQUIS!$C$173),-1000)</f>
        <v>50</v>
      </c>
      <c r="CK11">
        <f>IF(AND(CROQUIS!$C$87=1,CROQUIS!$C$130&gt;=1),(12+((CROQUIS!$C$108-CROQUIS!$C$117-2*CROQUIS!$C$116-CROQUIS!$C$129/2)+CROQUIS!$C$129/2*SIN(2*PI()*(MIN($A11,13)-1)/12))*CROQUIS!$C$173),-1000)</f>
        <v>32.454</v>
      </c>
      <c r="CL11">
        <f>IF(AND(CROQUIS!$C$87=1,CROQUIS!$C$130&gt;=2),(50+(((2-(CROQUIS!$C$130+1)/2)*(MAX(CROQUIS!$C$118,CROQUIS!$C$129)+CROQUIS!$C$129))+CROQUIS!$C$129/2*COS(2*PI()*(MIN($A11,13)-1)/12))*CROQUIS!$C$173),-1000)</f>
        <v>-1000</v>
      </c>
      <c r="CM11">
        <f>IF(AND(CROQUIS!$C$87=1,CROQUIS!$C$130&gt;=2),(12+((CROQUIS!$C$108-CROQUIS!$C$117-2*CROQUIS!$C$116-CROQUIS!$C$129/2)+CROQUIS!$C$129/2*SIN(2*PI()*(MIN($A11,13)-1)/12))*CROQUIS!$C$173),-1000)</f>
        <v>-1000</v>
      </c>
      <c r="CN11">
        <f>IF(AND(CROQUIS!$C$87=1,CROQUIS!$C$130&gt;=3),(50+(((3-(CROQUIS!$C$130+1)/2)*(MAX(CROQUIS!$C$118,CROQUIS!$C$129)+CROQUIS!$C$129))+CROQUIS!$C$129/2*COS(2*PI()*(MIN($A11,13)-1)/12))*CROQUIS!$C$173),-1000)</f>
        <v>-1000</v>
      </c>
      <c r="CO11">
        <f>IF(AND(CROQUIS!$C$87=1,CROQUIS!$C$130&gt;=3),(12+((CROQUIS!$C$108-CROQUIS!$C$117-2*CROQUIS!$C$116-CROQUIS!$C$129/2)+CROQUIS!$C$129/2*SIN(2*PI()*(MIN($A11,13)-1)/12))*CROQUIS!$C$173),-1000)</f>
        <v>-1000</v>
      </c>
      <c r="CP11">
        <f>IF(AND(CROQUIS!$C$87=1),CHOOSE(MIN(MAX($A11,1),7),(50+(-CROQUIS!$C$111/2)*CROQUIS!$C$173),(50+(-CROQUIS!$C$111/2)*CROQUIS!$C$173),(50+(-CROQUIS!$C$111/2)*CROQUIS!$C$173),((50+(-CROQUIS!$C$111/2)*CROQUIS!$C$173)+(50+(CROQUIS!$C$111/2)*CROQUIS!$C$173))/2,(50+(CROQUIS!$C$111/2)*CROQUIS!$C$173),(50+(CROQUIS!$C$111/2)*CROQUIS!$C$173),(50+(CROQUIS!$C$111/2)*CROQUIS!$C$173)),-1000)</f>
        <v>50</v>
      </c>
      <c r="CQ11">
        <f>IF(AND(CROQUIS!$C$87=1),CHOOSE(MIN(MAX($A11,1),7),(12+(-4)*CROQUIS!$C$173)-1.4,(12+(-4)*CROQUIS!$C$173)+1.4,(12+(-4)*CROQUIS!$C$173),(12+(-4)*CROQUIS!$C$173),(12+(-4)*CROQUIS!$C$173),(12+(-4)*CROQUIS!$C$173)+1.4,(12+(-4)*CROQUIS!$C$173)-1.4),-1000)</f>
        <v>8.18181818181818</v>
      </c>
      <c r="CR11">
        <f>IF(AND(CROQUIS!$C$87=1),CHOOSE(MIN(MAX($A11,1),7),(50+(-CROQUIS!$C$113/2)*CROQUIS!$C$173),(50+(-CROQUIS!$C$113/2)*CROQUIS!$C$173),(50+(-CROQUIS!$C$113/2)*CROQUIS!$C$173),((50+(-CROQUIS!$C$113/2)*CROQUIS!$C$173)+(50+(CROQUIS!$C$113/2)*CROQUIS!$C$173))/2,(50+(CROQUIS!$C$113/2)*CROQUIS!$C$173),(50+(CROQUIS!$C$113/2)*CROQUIS!$C$173),(50+(CROQUIS!$C$113/2)*CROQUIS!$C$173)),-1000)</f>
        <v>50</v>
      </c>
      <c r="CS11">
        <f>IF(AND(CROQUIS!$C$87=1),CHOOSE(MIN(MAX($A11,1),7),(12+(CROQUIS!$C$108+4)*CROQUIS!$C$173)-1.4,(12+(CROQUIS!$C$108+4)*CROQUIS!$C$173)+1.4,(12+(CROQUIS!$C$108+4)*CROQUIS!$C$173),(12+(CROQUIS!$C$108+4)*CROQUIS!$C$173),(12+(CROQUIS!$C$108+4)*CROQUIS!$C$173),(12+(CROQUIS!$C$108+4)*CROQUIS!$C$173)+1.4,(12+(CROQUIS!$C$108+4)*CROQUIS!$C$173)-1.4),-1000)</f>
        <v>39.6818181818182</v>
      </c>
      <c r="CT11">
        <f>IF(AND(CROQUIS!$C$87=1),CHOOSE(MIN(MAX($A11,1),7),(50+(CROQUIS!$C$113/2+4)*CROQUIS!$C$173)-1.4,(50+(CROQUIS!$C$113/2+4)*CROQUIS!$C$173)+1.4,(50+(CROQUIS!$C$113/2+4)*CROQUIS!$C$173),(50+(CROQUIS!$C$113/2+4)*CROQUIS!$C$173),(50+(CROQUIS!$C$113/2+4)*CROQUIS!$C$173),(50+(CROQUIS!$C$113/2+4)*CROQUIS!$C$173)+1.4,(50+(CROQUIS!$C$113/2+4)*CROQUIS!$C$173)-1.4),-1000)</f>
        <v>87.2272727272727</v>
      </c>
      <c r="CU11">
        <f>IF(AND(CROQUIS!$C$87=1),CHOOSE(MIN(MAX($A11,1),7),(12+(0)*CROQUIS!$C$173),(12+(0)*CROQUIS!$C$173),(12+(0)*CROQUIS!$C$173),((12+(0)*CROQUIS!$C$173)+(12+(CROQUIS!$C$108)*CROQUIS!$C$173))/2,(12+(CROQUIS!$C$108)*CROQUIS!$C$173),(12+(CROQUIS!$C$108)*CROQUIS!$C$173),(12+(CROQUIS!$C$108)*CROQUIS!$C$173)),-1000)</f>
        <v>23.9318181818182</v>
      </c>
      <c r="CV11">
        <f>IF(AND(CROQUIS!$C$87=1),CHOOSE(MIN(MAX($A11,1),7),(50+(-CROQUIS!$C$113/2-4)*CROQUIS!$C$173)-1.4,(50+(-CROQUIS!$C$113/2-4)*CROQUIS!$C$173)+1.4,(50+(-CROQUIS!$C$113/2-4)*CROQUIS!$C$173),(50+(-CROQUIS!$C$113/2-4)*CROQUIS!$C$173),(50+(-CROQUIS!$C$113/2-4)*CROQUIS!$C$173),(50+(-CROQUIS!$C$113/2-4)*CROQUIS!$C$173)+1.4,(50+(-CROQUIS!$C$113/2-4)*CROQUIS!$C$173)-1.4),-1000)</f>
        <v>12.7727272727273</v>
      </c>
      <c r="CW11">
        <f>IF(AND(CROQUIS!$C$87=1),CHOOSE(MIN(MAX($A11,1),7),(12+(CROQUIS!$C$108-CROQUIS!$C$147)*CROQUIS!$C$173),(12+(CROQUIS!$C$108-CROQUIS!$C$147)*CROQUIS!$C$173),(12+(CROQUIS!$C$108-CROQUIS!$C$147)*CROQUIS!$C$173),((12+(CROQUIS!$C$108-CROQUIS!$C$147)*CROQUIS!$C$173)+(12+(CROQUIS!$C$108)*CROQUIS!$C$173))/2,(12+(CROQUIS!$C$108)*CROQUIS!$C$173),(12+(CROQUIS!$C$108)*CROQUIS!$C$173),(12+(CROQUIS!$C$108)*CROQUIS!$C$173)),-1000)</f>
        <v>25.1894318181818</v>
      </c>
      <c r="CX11">
        <f>IF(AND(CROQUIS!$C$88=1),CHOOSE(MIN(MAX($A11,1),5),(50+(-30)*CROQUIS!$C$174),(50+(30)*CROQUIS!$C$174),(50+(30)*CROQUIS!$C$174),(50+(-30)*CROQUIS!$C$174),(50+(-30)*CROQUIS!$C$174)),-1000)</f>
        <v>-1000</v>
      </c>
      <c r="CY11">
        <f>IF(AND(CROQUIS!$C$88=1),CHOOSE(MIN(MAX($A11,1),5),(12+(0)*CROQUIS!$C$174),(12+(0)*CROQUIS!$C$174),(12+(CROQUIS!$C$108)*CROQUIS!$C$174),(12+(CROQUIS!$C$108)*CROQUIS!$C$174),(12+(0)*CROQUIS!$C$174)),-1000)</f>
        <v>-1000</v>
      </c>
      <c r="DB11">
        <f>IF(AND(CROQUIS!$C$88=1,CROQUIS!$C$134&gt;0),(50+((-(MIN(12,INT(58/MAX(CROQUIS!$C$134,1))+1)-1)*CROQUIS!$C$134/2+(MIN($A11,MIN(12,INT(58/MAX(CROQUIS!$C$134,1))+1))-1)*CROQUIS!$C$134))*CROQUIS!$C$174),-1000)</f>
        <v>-1000</v>
      </c>
      <c r="DC11">
        <f>IF(AND(CROQUIS!$C$88=1,CROQUIS!$C$134&gt;0),(12+((CROQUIS!$C$109+CROQUIS!$C$125+CROQUIS!$C$133/2))*CROQUIS!$C$174),-1000)</f>
        <v>-1000</v>
      </c>
      <c r="DD11">
        <f>IF(AND(CROQUIS!$C$88=1,CROQUIS!$C$138&gt;0),(50+((-(MIN(12,INT(58/MAX(CROQUIS!$C$138,1))+1)-1)*CROQUIS!$C$138/2+(MIN($A11,MIN(12,INT(58/MAX(CROQUIS!$C$138,1))+1))-1)*CROQUIS!$C$138))*CROQUIS!$C$174),-1000)</f>
        <v>-1000</v>
      </c>
      <c r="DE11">
        <f>IF(AND(CROQUIS!$C$88=1,CROQUIS!$C$138&gt;0),(12+((CROQUIS!$C$108-CROQUIS!$C$110-CROQUIS!$C$129-CROQUIS!$C$137/2))*CROQUIS!$C$174),-1000)</f>
        <v>-1000</v>
      </c>
      <c r="DH11">
        <f>IF(AND(CROQUIS!$C$88=1),CHOOSE(MIN(MAX($A11,1),7),(50+(33)*CROQUIS!$C$174)-1.4,(50+(33)*CROQUIS!$C$174)+1.4,(50+(33)*CROQUIS!$C$174),(50+(33)*CROQUIS!$C$174),(50+(33)*CROQUIS!$C$174),(50+(33)*CROQUIS!$C$174)+1.4,(50+(33)*CROQUIS!$C$174)-1.4),-1000)</f>
        <v>-1000</v>
      </c>
      <c r="DI11">
        <f>IF(AND(CROQUIS!$C$88=1),CHOOSE(MIN(MAX($A11,1),7),(12+(0)*CROQUIS!$C$174),(12+(0)*CROQUIS!$C$174),(12+(0)*CROQUIS!$C$174),((12+(0)*CROQUIS!$C$174)+(12+(CROQUIS!$C$108)*CROQUIS!$C$174))/2,(12+(CROQUIS!$C$108)*CROQUIS!$C$174),(12+(CROQUIS!$C$108)*CROQUIS!$C$174),(12+(CROQUIS!$C$108)*CROQUIS!$C$174)),-1000)</f>
        <v>-1000</v>
      </c>
      <c r="DJ11">
        <f>IF(AND(CROQUIS!$C$88=1),CHOOSE(MIN(MAX($A11,1),7),(50+(-33)*CROQUIS!$C$174)-0.8,(50+(-33)*CROQUIS!$C$174)+0.8,(50+(-33)*CROQUIS!$C$174),(50+(-33)*CROQUIS!$C$174),(50+(-33)*CROQUIS!$C$174),(50+(-33)*CROQUIS!$C$174)+0.8,(50+(-33)*CROQUIS!$C$174)-0.8),-1000)</f>
        <v>-1000</v>
      </c>
      <c r="DK11">
        <f>IF(AND(CROQUIS!$C$88=1),CHOOSE(MIN(MAX($A11,1),7),(12+(0)*CROQUIS!$C$174),(12+(0)*CROQUIS!$C$174),(12+(0)*CROQUIS!$C$174),((12+(0)*CROQUIS!$C$174)+(12+(CROQUIS!$C$109)*CROQUIS!$C$174))/2,(12+(CROQUIS!$C$109)*CROQUIS!$C$174),(12+(CROQUIS!$C$109)*CROQUIS!$C$174),(12+(CROQUIS!$C$109)*CROQUIS!$C$174)),-1000)</f>
        <v>-1000</v>
      </c>
      <c r="DL11">
        <f>IF(AND(CROQUIS!$C$88=1),CHOOSE(MIN(MAX($A11,1),7),(50+(-33)*CROQUIS!$C$174)-0.8,(50+(-33)*CROQUIS!$C$174)+0.8,(50+(-33)*CROQUIS!$C$174),(50+(-33)*CROQUIS!$C$174),(50+(-33)*CROQUIS!$C$174),(50+(-33)*CROQUIS!$C$174)+0.8,(50+(-33)*CROQUIS!$C$174)-0.8),-1000)</f>
        <v>-1000</v>
      </c>
      <c r="DM11">
        <f>IF(AND(CROQUIS!$C$88=1),CHOOSE(MIN(MAX($A11,1),7),(12+(CROQUIS!$C$108-CROQUIS!$C$110)*CROQUIS!$C$174),(12+(CROQUIS!$C$108-CROQUIS!$C$110)*CROQUIS!$C$174),(12+(CROQUIS!$C$108-CROQUIS!$C$110)*CROQUIS!$C$174),((12+(CROQUIS!$C$108-CROQUIS!$C$110)*CROQUIS!$C$174)+(12+(CROQUIS!$C$108)*CROQUIS!$C$174))/2,(12+(CROQUIS!$C$108)*CROQUIS!$C$174),(12+(CROQUIS!$C$108)*CROQUIS!$C$174),(12+(CROQUIS!$C$108)*CROQUIS!$C$174)),-1000)</f>
        <v>-1000</v>
      </c>
      <c r="DN11">
        <f>IF(AND(CROQUIS!$C$88=1,MIN(12,INT(58/MAX(CROQUIS!$C$134,1))+1)&gt;=2),CHOOSE(MIN(MAX($A11,1),7),(50+((-(MIN(12,INT(58/MAX(CROQUIS!$C$134,1))+1)-1)*CROQUIS!$C$134/2))*CROQUIS!$C$174),(50+((-(MIN(12,INT(58/MAX(CROQUIS!$C$134,1))+1)-1)*CROQUIS!$C$134/2))*CROQUIS!$C$174),(50+((-(MIN(12,INT(58/MAX(CROQUIS!$C$134,1))+1)-1)*CROQUIS!$C$134/2))*CROQUIS!$C$174),((50+((-(MIN(12,INT(58/MAX(CROQUIS!$C$134,1))+1)-1)*CROQUIS!$C$134/2))*CROQUIS!$C$174)+(50+((-(MIN(12,INT(58/MAX(CROQUIS!$C$134,1))+1)-1)*CROQUIS!$C$134/2)+CROQUIS!$C$134)*CROQUIS!$C$174))/2,(50+((-(MIN(12,INT(58/MAX(CROQUIS!$C$134,1))+1)-1)*CROQUIS!$C$134/2)+CROQUIS!$C$134)*CROQUIS!$C$174),(50+((-(MIN(12,INT(58/MAX(CROQUIS!$C$134,1))+1)-1)*CROQUIS!$C$134/2)+CROQUIS!$C$134)*CROQUIS!$C$174),(50+((-(MIN(12,INT(58/MAX(CROQUIS!$C$134,1))+1)-1)*CROQUIS!$C$134/2)+CROQUIS!$C$134)*CROQUIS!$C$174)),-1000)</f>
        <v>-1000</v>
      </c>
      <c r="DO11">
        <f>IF(AND(CROQUIS!$C$88=1,MIN(12,INT(58/MAX(CROQUIS!$C$134,1))+1)&gt;=2),CHOOSE(MIN(MAX($A11,1),7),(12+(-4)*CROQUIS!$C$174)-1.4,(12+(-4)*CROQUIS!$C$174)+1.4,(12+(-4)*CROQUIS!$C$174),(12+(-4)*CROQUIS!$C$174),(12+(-4)*CROQUIS!$C$174),(12+(-4)*CROQUIS!$C$174)+1.4,(12+(-4)*CROQUIS!$C$174)-1.4),-1000)</f>
        <v>-1000</v>
      </c>
      <c r="DP11">
        <f>IF(AND(CROQUIS!$C$87=1),CHOOSE(MIN(MAX($A11,1),5),(4+((IF(CROQUIS!$C$91=1,-CROQUIS!$C$168,IF(CROQUIS!$C$103=1,-CROQUIS!$C$107/2-30,-CROQUIS!$C$107/2)))-CROQUIS!$C$169)*CROQUIS!$C$171),(4+((IF(CROQUIS!$C$91=1,CROQUIS!$C$97,IF(CROQUIS!$C$104=1,CROQUIS!$C$97+CROQUIS!$C$107/2+30,CROQUIS!$C$97+CROQUIS!$C$107/2)))-CROQUIS!$C$169)*CROQUIS!$C$171),(4+((IF(CROQUIS!$C$91=1,CROQUIS!$C$97,IF(CROQUIS!$C$104=1,CROQUIS!$C$97+CROQUIS!$C$107/2+30,CROQUIS!$C$97+CROQUIS!$C$107/2)))-CROQUIS!$C$169)*CROQUIS!$C$171),(4+((IF(CROQUIS!$C$91=1,-CROQUIS!$C$168,IF(CROQUIS!$C$103=1,-CROQUIS!$C$107/2-30,-CROQUIS!$C$107/2)))-CROQUIS!$C$169)*CROQUIS!$C$171),(4+((IF(CROQUIS!$C$91=1,-CROQUIS!$C$168,IF(CROQUIS!$C$103=1,-CROQUIS!$C$107/2-30,-CROQUIS!$C$107/2)))-CROQUIS!$C$169)*CROQUIS!$C$171)),-1000)</f>
        <v>4</v>
      </c>
      <c r="DQ11">
        <f>IF(AND(CROQUIS!$C$87=1),CHOOSE(MIN(MAX($A11,1),5),(30+(0)*CROQUIS!$C$171*CROQUIS!$C$172),(30+(0)*CROQUIS!$C$171*CROQUIS!$C$172),(30+(CROQUIS!$C$108)*CROQUIS!$C$171*CROQUIS!$C$172),(30+(CROQUIS!$C$108)*CROQUIS!$C$171*CROQUIS!$C$172),(30+(0)*CROQUIS!$C$171*CROQUIS!$C$172)),-1000)</f>
        <v>44.5263157894737</v>
      </c>
      <c r="DR11">
        <f>IF(AND(CROQUIS!$C$87=1),CHOOSE(MIN(MAX($A11,1)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9.81052631578947</v>
      </c>
      <c r="DS11">
        <f>IF(AND(CROQUIS!$C$87=1),CHOOSE(MIN(MAX($A11,1),10),30,30,20,20,30,IF(CROQUIS!$C$91=1,30,30),IF(CROQUIS!$C$91=1,30,30),IF(CROQUIS!$C$91=1,30,20),IF(CROQUIS!$C$91=1,30,20),IF(CROQUIS!$C$91=1,30,30)),-1000)</f>
        <v>20</v>
      </c>
      <c r="DT11">
        <f>IF(AND(CROQUIS!$C$87=1),CHOOSE(MIN(MAX($A11,1),4),(4+((-CROQUIS!$C$107/2+3)-CROQUIS!$C$169)*CROQUIS!$C$171),(4+((-CROQUIS!$C$107/2+3)-CROQUIS!$C$169)*CROQUIS!$C$171),(4+((IF(CROQUIS!$C$91=1,CROQUIS!$C$97-3,CROQUIS!$C$97+CROQUIS!$C$107/2-3))-CROQUIS!$C$169)*CROQUIS!$C$171),(4+((IF(CROQUIS!$C$91=1,CROQUIS!$C$97-3,CROQUIS!$C$97+CROQUIS!$C$107/2-3))-CROQUIS!$C$169)*CROQUIS!$C$171)),-1000)</f>
        <v>89.6084210526316</v>
      </c>
      <c r="DU11">
        <f>IF(AND(CROQUIS!$C$87=1),CHOOSE(MIN(MAX($A11,1),4),(30+((CROQUIS!$C$109+CROQUIS!$C$125/2)+IF(AND(CROQUIS!$C$91=0,CROQUIS!$C$103=0),MIN(12*CROQUIS!$C$125,CROQUIS!$C$108-CROQUIS!$C$109-CROQUIS!$C$110),0))*CROQUIS!$C$171*CROQUIS!$C$172),(30+((CROQUIS!$C$109+CROQUIS!$C$125/2))*CROQUIS!$C$171*CROQUIS!$C$172),(30+((CROQUIS!$C$109+CROQUIS!$C$125/2))*CROQUIS!$C$171*CROQUIS!$C$172),(30+((CROQUIS!$C$109+CROQUIS!$C$125/2)+IF(AND(CROQUIS!$C$91=0,CROQUIS!$C$104=0),MIN(12*CROQUIS!$C$125,CROQUIS!$C$108-CROQUIS!$C$109-CROQUIS!$C$110),0))*CROQUIS!$C$171*CROQUIS!$C$172)),-1000)</f>
        <v>31.5310736842105</v>
      </c>
      <c r="DV11">
        <f>IF(AND(CROQUIS!$C$87=1,1),CHOOSE(MIN(MAX($A11,1),4),(4+((IF(CROQUIS!$C$91=1,-(CROQUIS!$C$107/2+CROQUIS!$C$140),IF(CROQUIS!$C$103=1,-CROQUIS!$C$107/2-30,-CROQUIS!$C$107/2+3)))-CROQUIS!$C$169)*CROQUIS!$C$171),(4+((IF(CROQUIS!$C$91=1,-(CROQUIS!$C$107/2+CROQUIS!$C$140),IF(CROQUIS!$C$103=1,-CROQUIS!$C$107/2-30,-CROQUIS!$C$107/2+3)))-CROQUIS!$C$169)*CROQUIS!$C$171),(4+((IF(CROQUIS!$C$91=1,CROQUIS!$C$97-3,IF(CROQUIS!$C$104=1,CROQUIS!$C$97+CROQUIS!$C$107/2+30,CROQUIS!$C$97+CROQUIS!$C$107/2-3)))-CROQUIS!$C$169)*CROQUIS!$C$171),(4+((IF(CROQUIS!$C$91=1,CROQUIS!$C$97-3,IF(CROQUIS!$C$104=1,CROQUIS!$C$97+CROQUIS!$C$107/2+30,CROQUIS!$C$97+CROQUIS!$C$107/2-3)))-CROQUIS!$C$169)*CROQUIS!$C$171)),-1000)</f>
        <v>96</v>
      </c>
      <c r="DW11">
        <f>IF(AND(CROQUIS!$C$87=1,1),CHOOSE(MIN(MAX($A11,1),4),(30+((CROQUIS!$C$108-CROQUIS!$C$117-2*CROQUIS!$C$116-CROQUIS!$C$129/2)-IF(AND(CROQUIS!$C$91=0,CROQUIS!$C$103=0),MIN(12*CROQUIS!$C$129,CROQUIS!$C$108-CROQUIS!$C$109-CROQUIS!$C$110),0))*CROQUIS!$C$171*CROQUIS!$C$172),(30+((CROQUIS!$C$108-CROQUIS!$C$117-2*CROQUIS!$C$116-CROQUIS!$C$129/2))*CROQUIS!$C$171*CROQUIS!$C$172),(30+((CROQUIS!$C$108-CROQUIS!$C$117-2*CROQUIS!$C$116-CROQUIS!$C$129/2))*CROQUIS!$C$171*CROQUIS!$C$172),(30+((CROQUIS!$C$108-CROQUIS!$C$117-2*CROQUIS!$C$116-CROQUIS!$C$129/2)-IF(OR(CROQUIS!$C$91=1,CROQUIS!$C$104=0),MIN(12*CROQUIS!$C$129,CROQUIS!$C$108-CROQUIS!$C$109-CROQUIS!$C$110),0))*CROQUIS!$C$171*CROQUIS!$C$172)),-1000)</f>
        <v>42.0818273684211</v>
      </c>
      <c r="EB11">
        <f>IF(AND(CROQUIS!$C$87=1,CROQUIS!$C$162&gt;0),CHOOSE(MIN(MAX($A11,1),5)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),-1000)</f>
        <v>17.0736842105263</v>
      </c>
      <c r="EC11">
        <f>IF(AND(CROQUIS!$C$87=1,CROQUIS!$C$162&gt;0),CHOOSE(MIN(MAX($A11,1),5),(30+(0)*CROQUIS!$C$171*CROQUIS!$C$172),(30+(0)*CROQUIS!$C$171*CROQUIS!$C$172),(30+(CROQUIS!$C$114)*CROQUIS!$C$171*CROQUIS!$C$172),(30+(CROQUIS!$C$114)*CROQUIS!$C$171*CROQUIS!$C$172),(30+(0)*CROQUIS!$C$171*CROQUIS!$C$172)),-1000)</f>
        <v>41.04</v>
      </c>
      <c r="ED11">
        <f>IF(AND(CROQUIS!$C$87=1,CROQUIS!$C$162&gt;0),CHOOSE(MIN(MAX($A11,1),4)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),-1000)</f>
        <v>82.9263157894737</v>
      </c>
      <c r="EE11">
        <f>IF(AND(CROQUIS!$C$87=1,CROQUIS!$C$162&gt;0),CHOOSE(MIN(MAX($A11,1),4),(30+(0)*CROQUIS!$C$171*CROQUIS!$C$172),(30+(CROQUIS!$C$108)*CROQUIS!$C$171*CROQUIS!$C$172),(30+(CROQUIS!$C$108)*CROQUIS!$C$171*CROQUIS!$C$172),(30+(0)*CROQUIS!$C$171*CROQUIS!$C$172)),-1000)</f>
        <v>30</v>
      </c>
      <c r="EF11">
        <f>IF(AND(CROQUIS!$C$87=1),CHOOSE(MIN(MAX($A11,1)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50</v>
      </c>
      <c r="EG11">
        <f>IF(AND(CROQUIS!$C$87=1),CHOOSE(MIN(MAX($A11,1),7),15-1.4,15+1.4,15,15,15,15+1.4,15-1.4),-1000)</f>
        <v>15</v>
      </c>
      <c r="EH11">
        <f>IF(AND(CROQUIS!$C$87=1,OR(CROQUIS!$C$91=1,AND(CROQUIS!$C$130&gt;=2,OR(CROQUIS!$C$103=1,CROQUIS!$C$142=1)))),CHOOSE(MIN(MAX($A11,1)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EI11">
        <f>IF(AND(CROQUIS!$C$87=1,OR(CROQUIS!$C$91=1,AND(CROQUIS!$C$130&gt;=2,OR(CROQUIS!$C$103=1,CROQUIS!$C$142=1)))),CHOOSE(MIN(MAX($A11,1)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  <c r="EJ11">
        <f>IF(AND(CROQUIS!$C$87=1,CROQUIS!$C$91=1,CROQUIS!$C$148&gt;0),CHOOSE(MIN(MAX($A11,1),5),(4+((CROQUIS!$C$97)-CROQUIS!$C$169)*CROQUIS!$C$171),(4+((CROQUIS!$C$97)-CROQUIS!$C$169)*CROQUIS!$C$171),(4+((CROQUIS!$C$97)-CROQUIS!$C$169)*CROQUIS!$C$171)-1.2,(4+((CROQUIS!$C$97)-CROQUIS!$C$169)*CROQUIS!$C$171),(4+((CROQUIS!$C$97)-CROQUIS!$C$169)*CROQUIS!$C$171)+1.2),-1000)</f>
        <v>-1000</v>
      </c>
      <c r="EK11">
        <f>IF(AND(CROQUIS!$C$87=1,CROQUIS!$C$91=1,CROQUIS!$C$148&gt;0),CHOOSE(MIN(MAX($A11,1),5),(30+(CROQUIS!$C$108)*CROQUIS!$C$171*CROQUIS!$C$172)+13,(30+(CROQUIS!$C$108)*CROQUIS!$C$171*CROQUIS!$C$172)+1,(30+(CROQUIS!$C$108)*CROQUIS!$C$171*CROQUIS!$C$172)+4,(30+(CROQUIS!$C$108)*CROQUIS!$C$171*CROQUIS!$C$172)+1,(30+(CROQUIS!$C$108)*CROQUIS!$C$171*CROQUIS!$C$172)+4),-1000)</f>
        <v>-1000</v>
      </c>
      <c r="EL11">
        <f>IF(AND(CROQUIS!$C$88=1),CHOOSE(MIN(MAX($A11,1),5),(4+((IF(CROQUIS!$C$91=1,-CROQUIS!$C$168,IF(CROQUIS!$C$103=1,-CROQUIS!$C$107/2-30,-CROQUIS!$C$107/2)))-CROQUIS!$C$169)*CROQUIS!$C$171),(4+((IF(CROQUIS!$C$91=1,CROQUIS!$C$97,IF(CROQUIS!$C$104=1,CROQUIS!$C$97+CROQUIS!$C$107/2+30,CROQUIS!$C$97+CROQUIS!$C$107/2)))-CROQUIS!$C$169)*CROQUIS!$C$171),(4+((IF(CROQUIS!$C$91=1,CROQUIS!$C$97,IF(CROQUIS!$C$104=1,CROQUIS!$C$97+CROQUIS!$C$107/2+30,CROQUIS!$C$97+CROQUIS!$C$107/2)))-CROQUIS!$C$169)*CROQUIS!$C$171),(4+((IF(CROQUIS!$C$91=1,-CROQUIS!$C$168,IF(CROQUIS!$C$103=1,-CROQUIS!$C$107/2-30,-CROQUIS!$C$107/2)))-CROQUIS!$C$169)*CROQUIS!$C$171),(4+((IF(CROQUIS!$C$91=1,-CROQUIS!$C$168,IF(CROQUIS!$C$103=1,-CROQUIS!$C$107/2-30,-CROQUIS!$C$107/2)))-CROQUIS!$C$169)*CROQUIS!$C$171)),-1000)</f>
        <v>-1000</v>
      </c>
      <c r="EM11">
        <f>IF(AND(CROQUIS!$C$88=1),CHOOSE(MIN(MAX($A11,1),5),(30+(0)*CROQUIS!$C$171*CROQUIS!$C$172),(30+(0)*CROQUIS!$C$171*CROQUIS!$C$172),(30+(CROQUIS!$C$108)*CROQUIS!$C$171*CROQUIS!$C$172),(30+(CROQUIS!$C$108)*CROQUIS!$C$171*CROQUIS!$C$172),(30+(0)*CROQUIS!$C$171*CROQUIS!$C$172)),-1000)</f>
        <v>-1000</v>
      </c>
      <c r="EN11">
        <f>IF(AND(CROQUIS!$C$88=1),CHOOSE(MIN(MAX($A11,1)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-1000</v>
      </c>
      <c r="EO11">
        <f>IF(AND(CROQUIS!$C$88=1),CHOOSE(MIN(MAX($A11,1),10),30,30,20,20,30,IF(CROQUIS!$C$91=1,30,30),IF(CROQUIS!$C$91=1,30,30),IF(CROQUIS!$C$91=1,30,20),IF(CROQUIS!$C$91=1,30,20),IF(CROQUIS!$C$91=1,30,30)),-1000)</f>
        <v>-1000</v>
      </c>
      <c r="EP11">
        <f>IF(AND(CROQUIS!$C$88=1),CHOOSE(MIN(MAX($A11,1),4),(4+((-CROQUIS!$C$107/2+3)-CROQUIS!$C$169)*CROQUIS!$C$171),(4+((-CROQUIS!$C$107/2+3)-CROQUIS!$C$169)*CROQUIS!$C$171),(4+((IF(CROQUIS!$C$91=1,CROQUIS!$C$97-3,CROQUIS!$C$97+CROQUIS!$C$107/2-3))-CROQUIS!$C$169)*CROQUIS!$C$171),(4+((IF(CROQUIS!$C$91=1,CROQUIS!$C$97-3,CROQUIS!$C$97+CROQUIS!$C$107/2-3))-CROQUIS!$C$169)*CROQUIS!$C$171)),-1000)</f>
        <v>-1000</v>
      </c>
      <c r="EQ11">
        <f>IF(AND(CROQUIS!$C$88=1),CHOOSE(MIN(MAX($A11,1),4),(30+((CROQUIS!$C$109+CROQUIS!$C$125/2)+IF(AND(CROQUIS!$C$91=0,CROQUIS!$C$103=0),MIN(12*CROQUIS!$C$125,CROQUIS!$C$108-CROQUIS!$C$109-CROQUIS!$C$110),0))*CROQUIS!$C$171*CROQUIS!$C$172),(30+((CROQUIS!$C$109+CROQUIS!$C$125/2))*CROQUIS!$C$171*CROQUIS!$C$172),(30+((CROQUIS!$C$109+CROQUIS!$C$125/2))*CROQUIS!$C$171*CROQUIS!$C$172),(30+((CROQUIS!$C$109+CROQUIS!$C$125/2)+IF(AND(CROQUIS!$C$91=0,CROQUIS!$C$104=0),MIN(12*CROQUIS!$C$125,CROQUIS!$C$108-CROQUIS!$C$109-CROQUIS!$C$110),0))*CROQUIS!$C$171*CROQUIS!$C$172)),-1000)</f>
        <v>-1000</v>
      </c>
      <c r="ER11">
        <f>IF(AND(CROQUIS!$C$88=1,CROQUIS!$C$91=1),CHOOSE(MIN(MAX($A11,1),4),(4+((IF(CROQUIS!$C$91=1,-(CROQUIS!$C$107/2+CROQUIS!$C$140),IF(CROQUIS!$C$103=1,-CROQUIS!$C$107/2-30,-CROQUIS!$C$107/2+3)))-CROQUIS!$C$169)*CROQUIS!$C$171),(4+((IF(CROQUIS!$C$91=1,-(CROQUIS!$C$107/2+CROQUIS!$C$140),IF(CROQUIS!$C$103=1,-CROQUIS!$C$107/2-30,-CROQUIS!$C$107/2+3)))-CROQUIS!$C$169)*CROQUIS!$C$171),(4+((IF(CROQUIS!$C$91=1,CROQUIS!$C$97-3,IF(CROQUIS!$C$104=1,CROQUIS!$C$97+CROQUIS!$C$107/2+30,CROQUIS!$C$97+CROQUIS!$C$107/2-3)))-CROQUIS!$C$169)*CROQUIS!$C$171),(4+((IF(CROQUIS!$C$91=1,CROQUIS!$C$97-3,IF(CROQUIS!$C$104=1,CROQUIS!$C$97+CROQUIS!$C$107/2+30,CROQUIS!$C$97+CROQUIS!$C$107/2-3)))-CROQUIS!$C$169)*CROQUIS!$C$171)),-1000)</f>
        <v>-1000</v>
      </c>
      <c r="ES11">
        <f>IF(AND(CROQUIS!$C$88=1,CROQUIS!$C$91=1),CHOOSE(MIN(MAX($A11,1),4),(30+((CROQUIS!$C$108-CROQUIS!$C$110-CROQUIS!$C$129/2)-IF(AND(CROQUIS!$C$91=0,CROQUIS!$C$103=0),MIN(12*CROQUIS!$C$129,CROQUIS!$C$108-CROQUIS!$C$109-CROQUIS!$C$110),0))*CROQUIS!$C$171*CROQUIS!$C$172),(30+((CROQUIS!$C$108-CROQUIS!$C$110-CROQUIS!$C$129/2))*CROQUIS!$C$171*CROQUIS!$C$172),(30+((CROQUIS!$C$108-CROQUIS!$C$110-CROQUIS!$C$129/2))*CROQUIS!$C$171*CROQUIS!$C$172),(30+((CROQUIS!$C$108-CROQUIS!$C$110-CROQUIS!$C$129/2)-IF(OR(CROQUIS!$C$91=1,CROQUIS!$C$104=0),MIN(12*CROQUIS!$C$129,CROQUIS!$C$108-CROQUIS!$C$109-CROQUIS!$C$110),0))*CROQUIS!$C$171*CROQUIS!$C$172)),-1000)</f>
        <v>-1000</v>
      </c>
      <c r="EX11">
        <f>IF(AND(CROQUIS!$C$88=1),CHOOSE(MIN(MAX($A11,1)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-1000</v>
      </c>
      <c r="EY11">
        <f>IF(AND(CROQUIS!$C$88=1),CHOOSE(MIN(MAX($A11,1),7),15-1.4,15+1.4,15,15,15,15+1.4,15-1.4),-1000)</f>
        <v>-1000</v>
      </c>
      <c r="EZ11">
        <f>IF(AND(CROQUIS!$C$88=1,OR(CROQUIS!$C$91=1,AND(CROQUIS!$C$130&gt;0,OR(CROQUIS!$C$103=1,CROQUIS!$C$142=1)))),CHOOSE(MIN(MAX($A11,1)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FA11">
        <f>IF(AND(CROQUIS!$C$88=1,OR(CROQUIS!$C$91=1,AND(CROQUIS!$C$130&gt;0,OR(CROQUIS!$C$103=1,CROQUIS!$C$142=1)))),CHOOSE(MIN(MAX($A11,1)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  <c r="FB11">
        <f>IF(AND(CROQUIS!$C$88=1,CROQUIS!$C$91=1,CROQUIS!$C$148&gt;0),CHOOSE(MIN(MAX($A11,1),5),(4+((CROQUIS!$C$97)-CROQUIS!$C$169)*CROQUIS!$C$171),(4+((CROQUIS!$C$97)-CROQUIS!$C$169)*CROQUIS!$C$171),(4+((CROQUIS!$C$97)-CROQUIS!$C$169)*CROQUIS!$C$171)-1.2,(4+((CROQUIS!$C$97)-CROQUIS!$C$169)*CROQUIS!$C$171),(4+((CROQUIS!$C$97)-CROQUIS!$C$169)*CROQUIS!$C$171)+1.2),-1000)</f>
        <v>-1000</v>
      </c>
      <c r="FC11">
        <f>IF(AND(CROQUIS!$C$88=1,CROQUIS!$C$91=1,CROQUIS!$C$148&gt;0),CHOOSE(MIN(MAX($A11,1),5),(30+(CROQUIS!$C$108)*CROQUIS!$C$171*CROQUIS!$C$172)+13,(30+(CROQUIS!$C$108)*CROQUIS!$C$171*CROQUIS!$C$172)+1,(30+(CROQUIS!$C$108)*CROQUIS!$C$171*CROQUIS!$C$172)+4,(30+(CROQUIS!$C$108)*CROQUIS!$C$171*CROQUIS!$C$172)+1,(30+(CROQUIS!$C$108)*CROQUIS!$C$171*CROQUIS!$C$172)+4),-1000)</f>
        <v>-1000</v>
      </c>
    </row>
    <row r="12">
      <c r="A12" t="n">
        <v>5</v>
      </c>
      <c r="B12">
        <f>IF(AND(CROQUIS!$C$87=1),CHOOSE(MIN(MAX($A12,1),5),(CROQUIS!$C$156+(0)*CROQUIS!$C$155),(CROQUIS!$C$156+(CROQUIS!$C$95)*CROQUIS!$C$155),(CROQUIS!$C$156+(CROQUIS!$C$95)*CROQUIS!$C$155),(CROQUIS!$C$156+(0)*CROQUIS!$C$155),(CROQUIS!$C$156+(0)*CROQUIS!$C$155)),-1000)</f>
        <v>12</v>
      </c>
      <c r="C12">
        <f>IF(AND(CROQUIS!$C$87=1),CHOOSE(MIN(MAX($A12,1),5),(CROQUIS!$C$157+(0)*CROQUIS!$C$155),(CROQUIS!$C$157+(0)*CROQUIS!$C$155),(CROQUIS!$C$157+(CROQUIS!$C$96)*CROQUIS!$C$155),(CROQUIS!$C$157+(CROQUIS!$C$96)*CROQUIS!$C$155),(CROQUIS!$C$157+(0)*CROQUIS!$C$155)),-1000)</f>
        <v>15.6574785359241</v>
      </c>
      <c r="D12">
        <f>IF(AND(CROQUIS!$C$87=1),CHOOSE(MIN(MAX($A12,1),5),(CROQUIS!$C$156+(IF(CROQUIS!$C$91=1,CHOOSE(CROQUIS!$C$93,-CROQUIS!$C$107/2,CROQUIS!$C$95-CROQUIS!$C$107/2,0,0),CROQUIS!$C$107/2))*CROQUIS!$C$155),(CROQUIS!$C$156+(IF(CROQUIS!$C$91=1,CHOOSE(CROQUIS!$C$93,CROQUIS!$C$107/2,CROQUIS!$C$95+CROQUIS!$C$107/2,CROQUIS!$C$95,CROQUIS!$C$95),CROQUIS!$C$95-CROQUIS!$C$107/2))*CROQUIS!$C$155),(CROQUIS!$C$156+(IF(CROQUIS!$C$91=1,CHOOSE(CROQUIS!$C$93,CROQUIS!$C$107/2,CROQUIS!$C$95+CROQUIS!$C$107/2,CROQUIS!$C$95,CROQUIS!$C$95),CROQUIS!$C$95-CROQUIS!$C$107/2))*CROQUIS!$C$155),(CROQUIS!$C$156+(IF(CROQUIS!$C$91=1,CHOOSE(CROQUIS!$C$93,-CROQUIS!$C$107/2,CROQUIS!$C$95-CROQUIS!$C$107/2,0,0),CROQUIS!$C$107/2))*CROQUIS!$C$155),(CROQUIS!$C$156+(IF(CROQUIS!$C$91=1,CHOOSE(CROQUIS!$C$93,-CROQUIS!$C$107/2,CROQUIS!$C$95-CROQUIS!$C$107/2,0,0),CROQUIS!$C$107/2))*CROQUIS!$C$155)),-1000)</f>
        <v>13.2878445549028</v>
      </c>
      <c r="E12">
        <f>IF(AND(CROQUIS!$C$87=1),CHOOSE(MIN(MAX($A12,1),5),(CROQUIS!$C$157+(IF(CROQUIS!$C$91=1,CHOOSE(CROQUIS!$C$93,0,0,-CROQUIS!$C$107/2,CROQUIS!$C$96-CROQUIS!$C$107/2),CROQUIS!$C$107/2))*CROQUIS!$C$155),(CROQUIS!$C$157+(IF(CROQUIS!$C$91=1,CHOOSE(CROQUIS!$C$93,0,0,-CROQUIS!$C$107/2,CROQUIS!$C$96-CROQUIS!$C$107/2),CROQUIS!$C$107/2))*CROQUIS!$C$155),(CROQUIS!$C$157+(IF(CROQUIS!$C$91=1,CHOOSE(CROQUIS!$C$93,CROQUIS!$C$96,CROQUIS!$C$96,CROQUIS!$C$107/2,CROQUIS!$C$96+CROQUIS!$C$107/2),CROQUIS!$C$96-CROQUIS!$C$107/2))*CROQUIS!$C$155),(CROQUIS!$C$157+(IF(CROQUIS!$C$91=1,CHOOSE(CROQUIS!$C$93,CROQUIS!$C$96,CROQUIS!$C$96,CROQUIS!$C$107/2,CROQUIS!$C$96+CROQUIS!$C$107/2),CROQUIS!$C$96-CROQUIS!$C$107/2))*CROQUIS!$C$155),(CROQUIS!$C$157+(IF(CROQUIS!$C$91=1,CHOOSE(CROQUIS!$C$93,0,0,-CROQUIS!$C$107/2,CROQUIS!$C$96-CROQUIS!$C$107/2),CROQUIS!$C$107/2))*CROQUIS!$C$155)),-1000)</f>
        <v>16.9453230908269</v>
      </c>
      <c r="F12">
        <f>IF(AND(CROQUIS!$C$87=1,CROQUIS!$C$91=1),((CROQUIS!$C$156+(IF(CROQUIS!$C$92="X",IF(CROQUIS!$C$94=1,0,CROQUIS!$C$97)+IF(MOD($A12,2)=1,-CROQUIS!$C$107/2,CROQUIS!$C$107/2),(MIN($A12,41)-1)/40*CROQUIS!$C$98))*CROQUIS!$C$155)+IF(CROQUIS!$C$92="X",0,0)),-1000)</f>
        <v>-1000</v>
      </c>
      <c r="G12">
        <f>IF(AND(CROQUIS!$C$87=1,CROQUIS!$C$91=1),((CROQUIS!$C$157+(IF(CROQUIS!$C$92="X",(MIN($A12,41)-1)/40*CROQUIS!$C$98,IF(CROQUIS!$C$94=1,0,CROQUIS!$C$97)+IF(MOD($A12,2)=1,-CROQUIS!$C$107/2,CROQUIS!$C$107/2)))*CROQUIS!$C$155)+IF(CROQUIS!$C$92="X",0,0)),-1000)</f>
        <v>-1000</v>
      </c>
      <c r="H12">
        <f>IF(AND(CROQUIS!$C$87=1,CROQUIS!$C$91=1),CHOOSE(MIN(MAX($A12,1),5),(CROQUIS!$C$156+(CHOOSE(MAX(CROQUIS!$C$93,1),-CROQUIS!$C$150,CROQUIS!$C$95,0,0))*CROQUIS!$C$155),(CROQUIS!$C$156+(CHOOSE(MAX(CROQUIS!$C$93,1),0,CROQUIS!$C$95+CROQUIS!$C$150,CROQUIS!$C$95,CROQUIS!$C$95))*CROQUIS!$C$155),(CROQUIS!$C$156+(CHOOSE(MAX(CROQUIS!$C$93,1),0,CROQUIS!$C$95+CROQUIS!$C$150,CROQUIS!$C$95,CROQUIS!$C$95))*CROQUIS!$C$155),(CROQUIS!$C$156+(CHOOSE(MAX(CROQUIS!$C$93,1),-CROQUIS!$C$150,CROQUIS!$C$95,0,0))*CROQUIS!$C$155),(CROQUIS!$C$156+(CHOOSE(MAX(CROQUIS!$C$93,1),-CROQUIS!$C$150,CROQUIS!$C$95,0,0))*CROQUIS!$C$155)),-1000)</f>
        <v>-1000</v>
      </c>
      <c r="I12">
        <f>IF(AND(CROQUIS!$C$87=1,CROQUIS!$C$91=1),CHOOSE(MIN(MAX($A12,1),5),(CROQUIS!$C$157+(CHOOSE(MAX(CROQUIS!$C$93,1),0,0,-CROQUIS!$C$150,CROQUIS!$C$96))*CROQUIS!$C$155),(CROQUIS!$C$157+(CHOOSE(MAX(CROQUIS!$C$93,1),0,0,-CROQUIS!$C$150,CROQUIS!$C$96))*CROQUIS!$C$155),(CROQUIS!$C$157+(CHOOSE(MAX(CROQUIS!$C$93,1),CROQUIS!$C$96,CROQUIS!$C$96,0,CROQUIS!$C$96+CROQUIS!$C$150))*CROQUIS!$C$155),(CROQUIS!$C$157+(CHOOSE(MAX(CROQUIS!$C$93,1),CROQUIS!$C$96,CROQUIS!$C$96,0,CROQUIS!$C$96+CROQUIS!$C$150))*CROQUIS!$C$155),(CROQUIS!$C$157+(CHOOSE(MAX(CROQUIS!$C$93,1),0,0,-CROQUIS!$C$150,CROQUIS!$C$96))*CROQUIS!$C$155)),-1000)</f>
        <v>-1000</v>
      </c>
      <c r="L12">
        <f>IF(AND(CROQUIS!$C$87=1),CHOOSE(MIN(MAX($A12,1)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88</v>
      </c>
      <c r="M12">
        <f>IF(AND(CROQUIS!$C$87=1),CHOOSE(MIN(MAX($A12,1)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10.6574785359241</v>
      </c>
      <c r="N12">
        <f>IF(AND(CROQUIS!$C$87=1),CHOOSE(MIN(MAX($A12,1)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7</v>
      </c>
      <c r="O12">
        <f>IF(AND(CROQUIS!$C$87=1),CHOOSE(MIN(MAX($A12,1)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84.3425214640759</v>
      </c>
      <c r="P12">
        <f>IF(AND(CROQUIS!$C$88=1),CHOOSE(MIN(MAX($A12,1),5),(CROQUIS!$C$156+(0)*CROQUIS!$C$155),(CROQUIS!$C$156+(CROQUIS!$C$95)*CROQUIS!$C$155),(CROQUIS!$C$156+(CROQUIS!$C$95)*CROQUIS!$C$155),(CROQUIS!$C$156+(0)*CROQUIS!$C$155),(CROQUIS!$C$156+(0)*CROQUIS!$C$155)),-1000)</f>
        <v>-1000</v>
      </c>
      <c r="Q12">
        <f>IF(AND(CROQUIS!$C$88=1),CHOOSE(MIN(MAX($A12,1),5),(CROQUIS!$C$157+(0)*CROQUIS!$C$155),(CROQUIS!$C$157+(0)*CROQUIS!$C$155),(CROQUIS!$C$157+(CROQUIS!$C$96)*CROQUIS!$C$155),(CROQUIS!$C$157+(CROQUIS!$C$96)*CROQUIS!$C$155),(CROQUIS!$C$157+(0)*CROQUIS!$C$155)),-1000)</f>
        <v>-1000</v>
      </c>
      <c r="R12">
        <f>IF(AND(CROQUIS!$C$88=1),CHOOSE(MIN(MAX($A12,1),5),(CROQUIS!$C$156+(IF(CROQUIS!$C$91=1,CHOOSE(CROQUIS!$C$93,-CROQUIS!$C$107/2,CROQUIS!$C$95-CROQUIS!$C$107/2,0,0),CROQUIS!$C$107/2))*CROQUIS!$C$155),(CROQUIS!$C$156+(IF(CROQUIS!$C$91=1,CHOOSE(CROQUIS!$C$93,CROQUIS!$C$107/2,CROQUIS!$C$95+CROQUIS!$C$107/2,CROQUIS!$C$95,CROQUIS!$C$95),CROQUIS!$C$95-CROQUIS!$C$107/2))*CROQUIS!$C$155),(CROQUIS!$C$156+(IF(CROQUIS!$C$91=1,CHOOSE(CROQUIS!$C$93,CROQUIS!$C$107/2,CROQUIS!$C$95+CROQUIS!$C$107/2,CROQUIS!$C$95,CROQUIS!$C$95),CROQUIS!$C$95-CROQUIS!$C$107/2))*CROQUIS!$C$155),(CROQUIS!$C$156+(IF(CROQUIS!$C$91=1,CHOOSE(CROQUIS!$C$93,-CROQUIS!$C$107/2,CROQUIS!$C$95-CROQUIS!$C$107/2,0,0),CROQUIS!$C$107/2))*CROQUIS!$C$155),(CROQUIS!$C$156+(IF(CROQUIS!$C$91=1,CHOOSE(CROQUIS!$C$93,-CROQUIS!$C$107/2,CROQUIS!$C$95-CROQUIS!$C$107/2,0,0),CROQUIS!$C$107/2))*CROQUIS!$C$155)),-1000)</f>
        <v>-1000</v>
      </c>
      <c r="S12">
        <f>IF(AND(CROQUIS!$C$88=1),CHOOSE(MIN(MAX($A12,1),5),(CROQUIS!$C$157+(IF(CROQUIS!$C$91=1,CHOOSE(CROQUIS!$C$93,0,0,-CROQUIS!$C$107/2,CROQUIS!$C$96-CROQUIS!$C$107/2),CROQUIS!$C$107/2))*CROQUIS!$C$155),(CROQUIS!$C$157+(IF(CROQUIS!$C$91=1,CHOOSE(CROQUIS!$C$93,0,0,-CROQUIS!$C$107/2,CROQUIS!$C$96-CROQUIS!$C$107/2),CROQUIS!$C$107/2))*CROQUIS!$C$155),(CROQUIS!$C$157+(IF(CROQUIS!$C$91=1,CHOOSE(CROQUIS!$C$93,CROQUIS!$C$96,CROQUIS!$C$96,CROQUIS!$C$107/2,CROQUIS!$C$96+CROQUIS!$C$107/2),CROQUIS!$C$96-CROQUIS!$C$107/2))*CROQUIS!$C$155),(CROQUIS!$C$157+(IF(CROQUIS!$C$91=1,CHOOSE(CROQUIS!$C$93,CROQUIS!$C$96,CROQUIS!$C$96,CROQUIS!$C$107/2,CROQUIS!$C$96+CROQUIS!$C$107/2),CROQUIS!$C$96-CROQUIS!$C$107/2))*CROQUIS!$C$155),(CROQUIS!$C$157+(IF(CROQUIS!$C$91=1,CHOOSE(CROQUIS!$C$93,0,0,-CROQUIS!$C$107/2,CROQUIS!$C$96-CROQUIS!$C$107/2),CROQUIS!$C$107/2))*CROQUIS!$C$155)),-1000)</f>
        <v>-1000</v>
      </c>
      <c r="T12">
        <f>IF(AND(CROQUIS!$C$88=1,CROQUIS!$C$91=1),((CROQUIS!$C$156+(IF(CROQUIS!$C$92="X",IF(CROQUIS!$C$94=1,0,CROQUIS!$C$97)+IF(MOD($A12,2)=1,-CROQUIS!$C$107/2,CROQUIS!$C$107/2),(MIN($A12,41)-1)/40*CROQUIS!$C$98))*CROQUIS!$C$155)+IF(CROQUIS!$C$92="X",0,0)),-1000)</f>
        <v>-1000</v>
      </c>
      <c r="U12">
        <f>IF(AND(CROQUIS!$C$88=1,CROQUIS!$C$91=1),((CROQUIS!$C$157+(IF(CROQUIS!$C$92="X",(MIN($A12,41)-1)/40*CROQUIS!$C$98,IF(CROQUIS!$C$94=1,0,CROQUIS!$C$97)+IF(MOD($A12,2)=1,-CROQUIS!$C$107/2,CROQUIS!$C$107/2)))*CROQUIS!$C$155)+IF(CROQUIS!$C$92="X",0,0)),-1000)</f>
        <v>-1000</v>
      </c>
      <c r="V12">
        <f>IF(AND(CROQUIS!$C$88=1,CROQUIS!$C$91=1),CHOOSE(MIN(MAX($A12,1),5),(CROQUIS!$C$156+(CHOOSE(MAX(CROQUIS!$C$93,1),-CROQUIS!$C$150,CROQUIS!$C$95,0,0))*CROQUIS!$C$155),(CROQUIS!$C$156+(CHOOSE(MAX(CROQUIS!$C$93,1),0,CROQUIS!$C$95+CROQUIS!$C$150,CROQUIS!$C$95,CROQUIS!$C$95))*CROQUIS!$C$155),(CROQUIS!$C$156+(CHOOSE(MAX(CROQUIS!$C$93,1),0,CROQUIS!$C$95+CROQUIS!$C$150,CROQUIS!$C$95,CROQUIS!$C$95))*CROQUIS!$C$155),(CROQUIS!$C$156+(CHOOSE(MAX(CROQUIS!$C$93,1),-CROQUIS!$C$150,CROQUIS!$C$95,0,0))*CROQUIS!$C$155),(CROQUIS!$C$156+(CHOOSE(MAX(CROQUIS!$C$93,1),-CROQUIS!$C$150,CROQUIS!$C$95,0,0))*CROQUIS!$C$155)),-1000)</f>
        <v>-1000</v>
      </c>
      <c r="W12">
        <f>IF(AND(CROQUIS!$C$88=1,CROQUIS!$C$91=1),CHOOSE(MIN(MAX($A12,1),5),(CROQUIS!$C$157+(CHOOSE(MAX(CROQUIS!$C$93,1),0,0,-CROQUIS!$C$150,CROQUIS!$C$96))*CROQUIS!$C$155),(CROQUIS!$C$157+(CHOOSE(MAX(CROQUIS!$C$93,1),0,0,-CROQUIS!$C$150,CROQUIS!$C$96))*CROQUIS!$C$155),(CROQUIS!$C$157+(CHOOSE(MAX(CROQUIS!$C$93,1),CROQUIS!$C$96,CROQUIS!$C$96,0,CROQUIS!$C$96+CROQUIS!$C$150))*CROQUIS!$C$155),(CROQUIS!$C$157+(CHOOSE(MAX(CROQUIS!$C$93,1),CROQUIS!$C$96,CROQUIS!$C$96,0,CROQUIS!$C$96+CROQUIS!$C$150))*CROQUIS!$C$155),(CROQUIS!$C$157+(CHOOSE(MAX(CROQUIS!$C$93,1),0,0,-CROQUIS!$C$150,CROQUIS!$C$96))*CROQUIS!$C$155)),-1000)</f>
        <v>-1000</v>
      </c>
      <c r="Z12">
        <f>IF(AND(CROQUIS!$C$88=1),CHOOSE(MIN(MAX($A12,1)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-1000</v>
      </c>
      <c r="AA12">
        <f>IF(AND(CROQUIS!$C$88=1),CHOOSE(MIN(MAX($A12,1)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-1000</v>
      </c>
      <c r="AB12">
        <f>IF(AND(CROQUIS!$C$88=1),CHOOSE(MIN(MAX($A12,1)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-1000</v>
      </c>
      <c r="AC12">
        <f>IF(AND(CROQUIS!$C$88=1),CHOOSE(MIN(MAX($A12,1)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-1000</v>
      </c>
      <c r="AD12">
        <f>IF(AND(CROQUIS!$C$87=1,CROQUIS!$C$91=1,CROQUIS!$C$144&gt;0),CHOOSE(MIN(MAX($A12,1),5),(CROQUIS!$C$156+(CHOOSE(MAX(CROQUIS!$C$93,1),-(CROQUIS!$C$107/2+CROQUIS!$C$144),CROQUIS!$C$95+CROQUIS!$C$107/2,0,0))*CROQUIS!$C$155),(CROQUIS!$C$156+(CHOOSE(MAX(CROQUIS!$C$93,1),-CROQUIS!$C$107/2,CROQUIS!$C$95+(CROQUIS!$C$107/2+CROQUIS!$C$144),CROQUIS!$C$95,CROQUIS!$C$95))*CROQUIS!$C$155),(CROQUIS!$C$156+(CHOOSE(MAX(CROQUIS!$C$93,1),-CROQUIS!$C$107/2,CROQUIS!$C$95+(CROQUIS!$C$107/2+CROQUIS!$C$144),CROQUIS!$C$95,CROQUIS!$C$95))*CROQUIS!$C$155),(CROQUIS!$C$156+(CHOOSE(MAX(CROQUIS!$C$93,1),-(CROQUIS!$C$107/2+CROQUIS!$C$144),CROQUIS!$C$95+CROQUIS!$C$107/2,0,0))*CROQUIS!$C$155),(CROQUIS!$C$156+(CHOOSE(MAX(CROQUIS!$C$93,1),-(CROQUIS!$C$107/2+CROQUIS!$C$144),CROQUIS!$C$95+CROQUIS!$C$107/2,0,0))*CROQUIS!$C$155)),-1000)</f>
        <v>-1000</v>
      </c>
      <c r="AE12">
        <f>IF(AND(CROQUIS!$C$87=1,CROQUIS!$C$91=1,CROQUIS!$C$144&gt;0),CHOOSE(MIN(MAX($A12,1),5),(CROQUIS!$C$157+(CHOOSE(MAX(CROQUIS!$C$93,1),0,0,-(CROQUIS!$C$107/2+CROQUIS!$C$144),CROQUIS!$C$96+CROQUIS!$C$107/2))*CROQUIS!$C$155),(CROQUIS!$C$157+(CHOOSE(MAX(CROQUIS!$C$93,1),0,0,-(CROQUIS!$C$107/2+CROQUIS!$C$144),CROQUIS!$C$96+CROQUIS!$C$107/2))*CROQUIS!$C$155),(CROQUIS!$C$157+(CHOOSE(MAX(CROQUIS!$C$93,1),CROQUIS!$C$96,CROQUIS!$C$96,-CROQUIS!$C$107/2,CROQUIS!$C$96+(CROQUIS!$C$107/2+CROQUIS!$C$144)))*CROQUIS!$C$155),(CROQUIS!$C$157+(CHOOSE(MAX(CROQUIS!$C$93,1),CROQUIS!$C$96,CROQUIS!$C$96,-CROQUIS!$C$107/2,CROQUIS!$C$96+(CROQUIS!$C$107/2+CROQUIS!$C$144)))*CROQUIS!$C$155),(CROQUIS!$C$157+(CHOOSE(MAX(CROQUIS!$C$93,1),0,0,-(CROQUIS!$C$107/2+CROQUIS!$C$144),CROQUIS!$C$96+CROQUIS!$C$107/2))*CROQUIS!$C$155)),-1000)</f>
        <v>-1000</v>
      </c>
      <c r="AF12">
        <f>IF(AND(CROQUIS!$C$87=1,CROQUIS!$C$158&gt;0,CROQUIS!$C$160&gt;0),(CROQUIS!$C$156+((CROQUIS!$C$159+INT(MIN(INT(($A12-1)/2),MAX((2*CROQUIS!$C$158)-1,0))/2)*CROQUIS!$C$113+MOD(MIN(INT(($A12-1)/2),MAX((2*CROQUIS!$C$158)-1,0)),2)*CROQUIS!$C$112))*CROQUIS!$C$155),-1000)</f>
        <v>26.8187980117488</v>
      </c>
      <c r="AG12">
        <f>IF(AND(CROQUIS!$C$87=1,CROQUIS!$C$158&gt;0,CROQUIS!$C$160&gt;0),(CROQUIS!$C$157+(IF(MOD(MIN(INT(($A12-1)/2),MAX((2*CROQUIS!$C$158)-1,0)),2)=0,IF(IF(INT(($A12-1)/2)&gt;MAX((2*CROQUIS!$C$158)-1,0),1,MOD($A12-1,2))=0,CROQUIS!$C$161,(CROQUIS!$C$161+CROQUIS!$C$160*CROQUIS!$C$113-CROQUIS!$C$111)),IF(IF(INT(($A12-1)/2)&gt;MAX((2*CROQUIS!$C$158)-1,0),1,MOD($A12-1,2))=0,(CROQUIS!$C$161+CROQUIS!$C$160*CROQUIS!$C$113-CROQUIS!$C$111),CROQUIS!$C$161)))*CROQUIS!$C$155),-1000)</f>
        <v>20.8088567555355</v>
      </c>
      <c r="AH12">
        <f>IF(AND(CROQUIS!$C$87=1,CROQUIS!$C$160&gt;0,CROQUIS!$C$158&gt;0),(CROQUIS!$C$156+(IF(MOD(MIN(INT(($A12-1)/2),MAX((2*CROQUIS!$C$160)-1,0)),2)=0,IF(IF(INT(($A12-1)/2)&gt;MAX((2*CROQUIS!$C$160)-1,0),1,MOD($A12-1,2))=0,CROQUIS!$C$159,(CROQUIS!$C$159+CROQUIS!$C$158*CROQUIS!$C$113-CROQUIS!$C$111)),IF(IF(INT(($A12-1)/2)&gt;MAX((2*CROQUIS!$C$160)-1,0),1,MOD($A12-1,2))=0,(CROQUIS!$C$159+CROQUIS!$C$158*CROQUIS!$C$113-CROQUIS!$C$111),CROQUIS!$C$159)))*CROQUIS!$C$155),-1000)</f>
        <v>14.7989154993222</v>
      </c>
      <c r="AI12">
        <f>IF(AND(CROQUIS!$C$87=1,CROQUIS!$C$160&gt;0,CROQUIS!$C$158&gt;0),(CROQUIS!$C$157+((CROQUIS!$C$161+INT(MIN(INT(($A12-1)/2),MAX((2*CROQUIS!$C$160)-1,0))/2)*CROQUIS!$C$113+MOD(MIN(INT(($A12-1)/2),MAX((2*CROQUIS!$C$160)-1,0)),2)*CROQUIS!$C$112))*CROQUIS!$C$155),-1000)</f>
        <v>32.828739267962</v>
      </c>
      <c r="AJ12">
        <f>IF(AND(CROQUIS!$C$87=1,CROQUIS!$C$158&gt;=2),(CROQUIS!$C$156+((CROQUIS!$C$159+CROQUIS!$C$112+CROQUIS!$C$111/2+MIN(INT(($A12-1)/2),MAX((CROQUIS!$C$158-1)-1,0))*CROQUIS!$C$113))*CROQUIS!$C$155),-1000)</f>
        <v>50</v>
      </c>
      <c r="AK12">
        <f>IF(AND(CROQUIS!$C$87=1,CROQUIS!$C$158&gt;=2),(CROQUIS!$C$157+(IF(MOD(MIN(INT(($A12-1)/2),MAX((CROQUIS!$C$158-1)-1,0)),2)=0,IF(IF(INT(($A12-1)/2)&gt;MAX((CROQUIS!$C$158-1)-1,0),1,MOD($A12-1,2))=0,CROQUIS!$C$107/2,(CROQUIS!$C$96-CROQUIS!$C$107/2)),IF(IF(INT(($A12-1)/2)&gt;MAX((CROQUIS!$C$158-1)-1,0),1,MOD($A12-1,2))=0,(CROQUIS!$C$96-CROQUIS!$C$107/2),CROQUIS!$C$107/2)))*CROQUIS!$C$155),-1000)</f>
        <v>16.9453230908269</v>
      </c>
      <c r="AL12">
        <f>IF(AND(CROQUIS!$C$87=1,CROQUIS!$C$160&gt;=2),(CROQUIS!$C$156+(IF(MOD(MIN(INT(($A12-1)/2),MAX((CROQUIS!$C$160-1)-1,0)),2)=0,IF(IF(INT(($A12-1)/2)&gt;MAX((CROQUIS!$C$160-1)-1,0),1,MOD($A12-1,2))=0,CROQUIS!$C$107/2,(CROQUIS!$C$95-CROQUIS!$C$107/2)),IF(IF(INT(($A12-1)/2)&gt;MAX((CROQUIS!$C$160-1)-1,0),1,MOD($A12-1,2))=0,(CROQUIS!$C$95-CROQUIS!$C$107/2),CROQUIS!$C$107/2)))*CROQUIS!$C$155),-1000)</f>
        <v>13.2878445549028</v>
      </c>
      <c r="AM12">
        <f>IF(AND(CROQUIS!$C$87=1,CROQUIS!$C$160&gt;=2),(CROQUIS!$C$157+((CROQUIS!$C$161+CROQUIS!$C$112+CROQUIS!$C$111/2+MIN(INT(($A12-1)/2),MAX((CROQUIS!$C$160-1)-1,0))*CROQUIS!$C$113))*CROQUIS!$C$155),-1000)</f>
        <v>56.0099412562133</v>
      </c>
      <c r="AN12">
        <f>IF(AND(CROQUIS!$C$87=1,CROQUIS!$C$123&gt;0,CROQUIS!$C$162&gt;0),((CROQUIS!$C$156+(IF(CROQUIS!$C$92="X",CHOOSE(MIN(MAX($A12,1)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,CHOOSE(MIN(MAX($A12,1)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))*CROQUIS!$C$155)+IF(CROQUIS!$C$92="X",0,0)),-1000)</f>
        <v>-1000</v>
      </c>
      <c r="AO12">
        <f>IF(AND(CROQUIS!$C$87=1,CROQUIS!$C$123&gt;0,CROQUIS!$C$162&gt;0),((CROQUIS!$C$157+(IF(CROQUIS!$C$92="X",CHOOSE(MIN(MAX($A12,1)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,CHOOSE(MIN(MAX($A12,1)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))*CROQUIS!$C$155)+IF(CROQUIS!$C$92="X",0,0)),-1000)</f>
        <v>-1000</v>
      </c>
      <c r="BF12">
        <f>IF(AND(CROQUIS!$C$87=1,CROQUIS!$C$158&gt;=2),CHOOSE(MIN(MAX($A12,1),7),(CROQUIS!$C$156+(CROQUIS!$C$159)*CROQUIS!$C$155),(CROQUIS!$C$156+(CROQUIS!$C$159)*CROQUIS!$C$155),(CROQUIS!$C$156+(CROQUIS!$C$159)*CROQUIS!$C$155),((CROQUIS!$C$156+(CROQUIS!$C$159)*CROQUIS!$C$155)+(CROQUIS!$C$156+(CROQUIS!$C$159+CROQUIS!$C$113)*CROQUIS!$C$155))/2,(CROQUIS!$C$156+(CROQUIS!$C$159+CROQUIS!$C$113)*CROQUIS!$C$155),(CROQUIS!$C$156+(CROQUIS!$C$159+CROQUIS!$C$113)*CROQUIS!$C$155),(CROQUIS!$C$156+(CROQUIS!$C$159+CROQUIS!$C$113)*CROQUIS!$C$155)),-1000)</f>
        <v>26.8187980117488</v>
      </c>
      <c r="BG12">
        <f>IF(AND(CROQUIS!$C$87=1,CROQUIS!$C$158&gt;=2),CHOOSE(MIN(MAX($A12,1),7),((CROQUIS!$C$157+(CROQUIS!$C$154)*CROQUIS!$C$155)+4)-1.4,((CROQUIS!$C$157+(CROQUIS!$C$154)*CROQUIS!$C$155)+4)+1.4,((CROQUIS!$C$157+(CROQUIS!$C$154)*CROQUIS!$C$155)+4),((CROQUIS!$C$157+(CROQUIS!$C$154)*CROQUIS!$C$155)+4),((CROQUIS!$C$157+(CROQUIS!$C$154)*CROQUIS!$C$155)+4),((CROQUIS!$C$157+(CROQUIS!$C$154)*CROQUIS!$C$155)+4)+1.4,((CROQUIS!$C$157+(CROQUIS!$C$154)*CROQUIS!$C$155)+4)-1.4),-1000)</f>
        <v>88.3425214640759</v>
      </c>
      <c r="BH12">
        <f>IF(AND(CROQUIS!$C$88=1,CROQUIS!$C$126&gt;0),((CROQUIS!$C$156+(IF(CROQUIS!$C$92="X",CHOOSE(IF(INT(($A12-1)/5)&gt;MAX((MIN(80,MAX(1,INT(((CROQUIS!$C$98)-CROQUIS!$C$107)/MAX(CROQUIS!$C$126,1))+1)))-1,0),0,MOD($A12-1,5))+1,0,2,CROQUIS!$C$97-2,2,0),((CROQUIS!$C$107/2+(((CROQUIS!$C$98)-CROQUIS!$C$107)-(MIN(80,MAX(1,INT(((CROQUIS!$C$98)-CROQUIS!$C$107)/MAX(CROQUIS!$C$126,1))+1))-1)*CROQUIS!$C$126)/2)+MIN(INT(($A12-1)/5),MAX((MIN(80,MAX(1,INT(((CROQUIS!$C$98)-CROQUIS!$C$107)/MAX(CROQUIS!$C$126,1))+1)))-1,0))*CROQUIS!$C$126)))*CROQUIS!$C$155)+IF(CROQUIS!$C$92="X",0,0)),-1000)</f>
        <v>-1000</v>
      </c>
      <c r="BI12">
        <f>IF(AND(CROQUIS!$C$88=1,CROQUIS!$C$126&gt;0),((CROQUIS!$C$157+(IF(CROQUIS!$C$92="X",((CROQUIS!$C$107/2+(((CROQUIS!$C$98)-CROQUIS!$C$107)-(MIN(80,MAX(1,INT(((CROQUIS!$C$98)-CROQUIS!$C$107)/MAX(CROQUIS!$C$126,1))+1))-1)*CROQUIS!$C$126)/2)+MIN(INT(($A12-1)/5),MAX((MIN(80,MAX(1,INT(((CROQUIS!$C$98)-CROQUIS!$C$107)/MAX(CROQUIS!$C$126,1))+1)))-1,0))*CROQUIS!$C$126),CHOOSE(IF(INT(($A12-1)/5)&gt;MAX((MIN(80,MAX(1,INT(((CROQUIS!$C$98)-CROQUIS!$C$107)/MAX(CROQUIS!$C$126,1))+1)))-1,0),0,MOD($A12-1,5))+1,0,2,CROQUIS!$C$97-2,2,0)))*CROQUIS!$C$155)+IF(CROQUIS!$C$92="X",0,0)),-1000)</f>
        <v>-1000</v>
      </c>
      <c r="BJ12">
        <f>IF(AND(CROQUIS!$C$88=1,CROQUIS!$C$134&gt;0),((CROQUIS!$C$156+(IF(CROQUIS!$C$92="X",((CROQUIS!$C$107/2+(((CROQUIS!$C$97)-CROQUIS!$C$107)-(MIN(80,MAX(1,INT(((CROQUIS!$C$97)-CROQUIS!$C$107)/MAX(CROQUIS!$C$134,1))+1))-1)*CROQUIS!$C$134)/2)+MIN(INT(($A12-1)/5),MAX((MIN(80,MAX(1,INT(((CROQUIS!$C$97)-CROQUIS!$C$107)/MAX(CROQUIS!$C$134,1))+1)))-1,0))*CROQUIS!$C$134),CHOOSE(IF(INT(($A12-1)/5)&gt;MAX((MIN(80,MAX(1,INT(((CROQUIS!$C$97)-CROQUIS!$C$107)/MAX(CROQUIS!$C$134,1))+1)))-1,0),0,MOD($A12-1,5))+1,0,2,CROQUIS!$C$98-2,2,0)))*CROQUIS!$C$155)+IF(CROQUIS!$C$92="X",0,0)),-1000)</f>
        <v>-1000</v>
      </c>
      <c r="BK12">
        <f>IF(AND(CROQUIS!$C$88=1,CROQUIS!$C$134&gt;0),((CROQUIS!$C$157+(IF(CROQUIS!$C$92="X",CHOOSE(IF(INT(($A12-1)/5)&gt;MAX((MIN(80,MAX(1,INT(((CROQUIS!$C$97)-CROQUIS!$C$107)/MAX(CROQUIS!$C$134,1))+1)))-1,0),0,MOD($A12-1,5))+1,0,2,CROQUIS!$C$98-2,2,0),((CROQUIS!$C$107/2+(((CROQUIS!$C$97)-CROQUIS!$C$107)-(MIN(80,MAX(1,INT(((CROQUIS!$C$97)-CROQUIS!$C$107)/MAX(CROQUIS!$C$134,1))+1))-1)*CROQUIS!$C$134)/2)+MIN(INT(($A12-1)/5),MAX((MIN(80,MAX(1,INT(((CROQUIS!$C$97)-CROQUIS!$C$107)/MAX(CROQUIS!$C$134,1))+1)))-1,0))*CROQUIS!$C$134)))*CROQUIS!$C$155)+IF(CROQUIS!$C$92="X",0,0)),-1000)</f>
        <v>-1000</v>
      </c>
      <c r="BL12">
        <f>IF(AND(CROQUIS!$C$88=1,CROQUIS!$C$91=0,CROQUIS!$C$130&gt;0,OR(CROQUIS!$C$103=1,CROQUIS!$C$142=1)),((CROQUIS!$C$156+(IF(CROQUIS!$C$92="X",CHOOSE(IF(INT(($A12-1)/5)&gt;MAX((MIN(80,MAX(1,INT(((CROQUIS!$C$98)-CROQUIS!$C$107)/MAX(CROQUIS!$C$130,1))+1)))-1,0),0,MOD($A12-1,5))+1,0,IF(CROQUIS!$C$103=1,-12,2),CROQUIS!$C$107/2+CROQUIS!$C$140,IF(CROQUIS!$C$103=1,-12,2),0),((CROQUIS!$C$107/2+(((CROQUIS!$C$98)-CROQUIS!$C$107)-(MIN(80,MAX(1,INT(((CROQUIS!$C$98)-CROQUIS!$C$107)/MAX(CROQUIS!$C$130,1))+1))-1)*CROQUIS!$C$130)/2)+MIN(INT(($A12-1)/5),MAX((MIN(80,MAX(1,INT(((CROQUIS!$C$98)-CROQUIS!$C$107)/MAX(CROQUIS!$C$130,1))+1)))-1,0))*CROQUIS!$C$130)))*CROQUIS!$C$155)+IF(CROQUIS!$C$92="X",0,0)),-1000)</f>
        <v>-1000</v>
      </c>
      <c r="BM1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12-1)/5),MAX((MIN(80,MAX(1,INT(((CROQUIS!$C$98)-CROQUIS!$C$107)/MAX(CROQUIS!$C$130,1))+1)))-1,0))*CROQUIS!$C$130),CHOOSE(IF(INT(($A12-1)/5)&gt;MAX((MIN(80,MAX(1,INT(((CROQUIS!$C$98)-CROQUIS!$C$107)/MAX(CROQUIS!$C$130,1))+1)))-1,0),0,MOD($A12-1,5))+1,0,IF(CROQUIS!$C$103=1,-12,2),CROQUIS!$C$107/2+CROQUIS!$C$140,IF(CROQUIS!$C$103=1,-12,2),0)))*CROQUIS!$C$155)+IF(CROQUIS!$C$92="X",0,0)),-1000)</f>
        <v>-1000</v>
      </c>
      <c r="BN12">
        <f>IF(AND(CROQUIS!$C$88=1,CROQUIS!$C$91=0,CROQUIS!$C$130&gt;0,OR(CROQUIS!$C$104=1,CROQUIS!$C$142=1)),((CROQUIS!$C$156+(IF(CROQUIS!$C$92="X",CHOOSE(IF(INT(($A12-1)/5)&gt;MAX((MIN(80,MAX(1,INT(((CROQUIS!$C$98)-CROQUIS!$C$107)/MAX(CROQUIS!$C$130,1))+1)))-1,0),0,MOD($A12-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12-1)/5),MAX((MIN(80,MAX(1,INT(((CROQUIS!$C$98)-CROQUIS!$C$107)/MAX(CROQUIS!$C$130,1))+1)))-1,0))*CROQUIS!$C$130)))*CROQUIS!$C$155)+IF(CROQUIS!$C$92="X",0,0)),-1000)</f>
        <v>-1000</v>
      </c>
      <c r="BO1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12-1)/5),MAX((MIN(80,MAX(1,INT(((CROQUIS!$C$98)-CROQUIS!$C$107)/MAX(CROQUIS!$C$130,1))+1)))-1,0))*CROQUIS!$C$130),CHOOSE(IF(INT(($A12-1)/5)&gt;MAX((MIN(80,MAX(1,INT(((CROQUIS!$C$98)-CROQUIS!$C$107)/MAX(CROQUIS!$C$130,1))+1)))-1,0),0,MOD($A12-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12-1)/5),MAX((MIN(80,MAX(1,INT(((CROQUIS!$C$97)-CROQUIS!$C$107)/MAX(CROQUIS!$C$138,1))+1)))-1,0))*CROQUIS!$C$138),CHOOSE(IF(INT(($A12-1)/5)&gt;MAX((MIN(80,MAX(1,INT(((CROQUIS!$C$97)-CROQUIS!$C$107)/MAX(CROQUIS!$C$138,1))+1)))-1,0),0,MOD($A12-1,5))+1,0,IF(CROQUIS!$C$105=1,-12,2),CROQUIS!$C$107/2+CROQUIS!$C$141,IF(CROQUIS!$C$105=1,-12,2),0)))*CROQUIS!$C$155)+IF(CROQUIS!$C$92="X",0,0)),-1000)</f>
        <v>-1000</v>
      </c>
      <c r="BQ12">
        <f>IF(AND(CROQUIS!$C$88=1,CROQUIS!$C$91=0,CROQUIS!$C$138&gt;0,OR(CROQUIS!$C$105=1,CROQUIS!$C$143=1)),((CROQUIS!$C$157+(IF(CROQUIS!$C$92="X",CHOOSE(IF(INT(($A12-1)/5)&gt;MAX((MIN(80,MAX(1,INT(((CROQUIS!$C$97)-CROQUIS!$C$107)/MAX(CROQUIS!$C$138,1))+1)))-1,0),0,MOD($A12-1,5))+1,0,IF(CROQUIS!$C$105=1,-12,2),CROQUIS!$C$107/2+CROQUIS!$C$141,IF(CROQUIS!$C$105=1,-12,2),0),((CROQUIS!$C$107/2+(((CROQUIS!$C$97)-CROQUIS!$C$107)-(MIN(80,MAX(1,INT(((CROQUIS!$C$97)-CROQUIS!$C$107)/MAX(CROQUIS!$C$138,1))+1))-1)*CROQUIS!$C$138)/2)+MIN(INT(($A12-1)/5),MAX((MIN(80,MAX(1,INT(((CROQUIS!$C$97)-CROQUIS!$C$107)/MAX(CROQUIS!$C$138,1))+1)))-1,0))*CROQUIS!$C$138)))*CROQUIS!$C$155)+IF(CROQUIS!$C$92="X",0,0)),-1000)</f>
        <v>-1000</v>
      </c>
      <c r="BR1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12-1)/5),MAX((MIN(80,MAX(1,INT(((CROQUIS!$C$97)-CROQUIS!$C$107)/MAX(CROQUIS!$C$138,1))+1)))-1,0))*CROQUIS!$C$138),CHOOSE(IF(INT(($A12-1)/5)&gt;MAX((MIN(80,MAX(1,INT(((CROQUIS!$C$97)-CROQUIS!$C$107)/MAX(CROQUIS!$C$138,1))+1)))-1,0),0,MOD($A12-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2">
        <f>IF(AND(CROQUIS!$C$88=1,CROQUIS!$C$91=0,CROQUIS!$C$138&gt;0,OR(CROQUIS!$C$106=1,CROQUIS!$C$143=1)),((CROQUIS!$C$157+(IF(CROQUIS!$C$92="X",CHOOSE(IF(INT(($A12-1)/5)&gt;MAX((MIN(80,MAX(1,INT(((CROQUIS!$C$97)-CROQUIS!$C$107)/MAX(CROQUIS!$C$138,1))+1)))-1,0),0,MOD($A12-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12-1)/5),MAX((MIN(80,MAX(1,INT(((CROQUIS!$C$97)-CROQUIS!$C$107)/MAX(CROQUIS!$C$138,1))+1)))-1,0))*CROQUIS!$C$138)))*CROQUIS!$C$155)+IF(CROQUIS!$C$92="X",0,0)),-1000)</f>
        <v>-1000</v>
      </c>
      <c r="BT12">
        <f>IF(AND(CROQUIS!$C$88=1,CROQUIS!$C$91=1,CROQUIS!$C$130&gt;0),((CROQUIS!$C$156+(IF(CROQUIS!$C$92="X",CHOOSE(IF(INT(($A12-1)/5)&gt;MAX((MIN(80,MAX(1,INT(((CROQUIS!$C$98)-CROQUIS!$C$107)/MAX(CROQUIS!$C$130,1))+1)))-1,0),0,MOD($A12-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12-1)/5),MAX((MIN(80,MAX(1,INT(((CROQUIS!$C$98)-CROQUIS!$C$107)/MAX(CROQUIS!$C$130,1))+1)))-1,0))*CROQUIS!$C$130)))*CROQUIS!$C$155)+IF(CROQUIS!$C$92="X",0,0)),-1000)</f>
        <v>-1000</v>
      </c>
      <c r="BU12">
        <f>IF(AND(CROQUIS!$C$88=1,CROQUIS!$C$91=1,CROQUIS!$C$130&gt;0),((CROQUIS!$C$157+(IF(CROQUIS!$C$92="X",((CROQUIS!$C$107/2+(((CROQUIS!$C$98)-CROQUIS!$C$107)-(MIN(80,MAX(1,INT(((CROQUIS!$C$98)-CROQUIS!$C$107)/MAX(CROQUIS!$C$130,1))+1))-1)*CROQUIS!$C$130)/2)+MIN(INT(($A12-1)/5),MAX((MIN(80,MAX(1,INT(((CROQUIS!$C$98)-CROQUIS!$C$107)/MAX(CROQUIS!$C$130,1))+1)))-1,0))*CROQUIS!$C$130),CHOOSE(IF(INT(($A12-1)/5)&gt;MAX((MIN(80,MAX(1,INT(((CROQUIS!$C$98)-CROQUIS!$C$107)/MAX(CROQUIS!$C$130,1))+1)))-1,0),0,MOD($A12-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BV12">
        <f>IF(AND(CROQUIS!$C$87=1),CHOOSE(MIN(MAX($A12,1),9),(50+(-CROQUIS!$C$113/2)*CROQUIS!$C$173),(50+(CROQUIS!$C$113/2)*CROQUIS!$C$173),(50+(CROQUIS!$C$113/2)*CROQUIS!$C$173),(50+(CROQUIS!$C$111/2)*CROQUIS!$C$173),(50+(CROQUIS!$C$111/2)*CROQUIS!$C$173),(50+(-CROQUIS!$C$111/2)*CROQUIS!$C$173),(50+(-CROQUIS!$C$111/2)*CROQUIS!$C$173),(50+(-CROQUIS!$C$113/2)*CROQUIS!$C$173),(50+(-CROQUIS!$C$113/2)*CROQUIS!$C$173)),-1000)</f>
        <v>54.7727272727273</v>
      </c>
      <c r="BW12">
        <f>IF(AND(CROQUIS!$C$87=1),CHOOSE(MIN(MAX($A12,1),9),(12+(CROQUIS!$C$108)*CROQUIS!$C$173),(12+(CROQUIS!$C$108)*CROQUIS!$C$173),(12+(CROQUIS!$C$114)*CROQUIS!$C$173),(12+(CROQUIS!$C$114)*CROQUIS!$C$173),(12+(0)*CROQUIS!$C$173),(12+(0)*CROQUIS!$C$173),(12+(CROQUIS!$C$114)*CROQUIS!$C$173),(12+(CROQUIS!$C$114)*CROQUIS!$C$173),(12+(CROQUIS!$C$108)*CROQUIS!$C$173)),-1000)</f>
        <v>12</v>
      </c>
      <c r="BX12">
        <f>IF(AND(CROQUIS!$C$87=1),CHOOSE(MIN(MAX($A12,1),5),(50+(-CROQUIS!$C$113/2)*CROQUIS!$C$173),(50+(-CROQUIS!$C$111/2)*CROQUIS!$C$173),(50+(-CROQUIS!$C$111/2)*CROQUIS!$C$173),(50+(-CROQUIS!$C$113/2)*CROQUIS!$C$173),(50+(-CROQUIS!$C$113/2)*CROQUIS!$C$173)),-1000)</f>
        <v>16.5909090909091</v>
      </c>
      <c r="BY12">
        <f>IF(AND(CROQUIS!$C$87=1),CHOOSE(MIN(MAX($A12,1),5),(12+(0)*CROQUIS!$C$173),(12+(0)*CROQUIS!$C$173),(12+(CROQUIS!$C$114)*CROQUIS!$C$173),(12+(CROQUIS!$C$114)*CROQUIS!$C$173),(12+(0)*CROQUIS!$C$173)),-1000)</f>
        <v>12</v>
      </c>
      <c r="BZ12">
        <f>IF(AND(CROQUIS!$C$87=1),CHOOSE(MIN(MAX($A12,1),5),(50+(CROQUIS!$C$111/2)*CROQUIS!$C$173),(50+(CROQUIS!$C$113/2)*CROQUIS!$C$173),(50+(CROQUIS!$C$113/2)*CROQUIS!$C$173),(50+(CROQUIS!$C$111/2)*CROQUIS!$C$173),(50+(CROQUIS!$C$111/2)*CROQUIS!$C$173)),-1000)</f>
        <v>54.7727272727273</v>
      </c>
      <c r="CA12">
        <f>IF(AND(CROQUIS!$C$87=1),CHOOSE(MIN(MAX($A12,1),5),(12+(0)*CROQUIS!$C$173),(12+(0)*CROQUIS!$C$173),(12+(CROQUIS!$C$114)*CROQUIS!$C$173),(12+(CROQUIS!$C$114)*CROQUIS!$C$173),(12+(0)*CROQUIS!$C$173)),-1000)</f>
        <v>12</v>
      </c>
      <c r="CD12">
        <f>IF(AND(CROQUIS!$C$87=1,CROQUIS!$C$126&gt;=1),(50+(((1-(CROQUIS!$C$126+1)/2)*(MAX(CROQUIS!$C$118,CROQUIS!$C$125)+CROQUIS!$C$125))+CROQUIS!$C$125/2*COS(2*PI()*(MIN($A12,13)-1)/12))*CROQUIS!$C$173),-1000)</f>
        <v>49.6969318181818</v>
      </c>
      <c r="CE12">
        <f>IF(AND(CROQUIS!$C$87=1,CROQUIS!$C$126&gt;=1),(12+((CROQUIS!$C$109+CROQUIS!$C$125/2)+CROQUIS!$C$125/2*SIN(2*PI()*(MIN($A12,13)-1)/12))*CROQUIS!$C$173),-1000)</f>
        <v>15.0401567617939</v>
      </c>
      <c r="CF12">
        <f>IF(AND(CROQUIS!$C$87=1,CROQUIS!$C$126&gt;=2),(50+(((2-(CROQUIS!$C$126+1)/2)*(MAX(CROQUIS!$C$118,CROQUIS!$C$125)+CROQUIS!$C$125))+CROQUIS!$C$125/2*COS(2*PI()*(MIN($A12,13)-1)/12))*CROQUIS!$C$173),-1000)</f>
        <v>-1000</v>
      </c>
      <c r="CG12">
        <f>IF(AND(CROQUIS!$C$87=1,CROQUIS!$C$126&gt;=2),(12+((CROQUIS!$C$109+CROQUIS!$C$125/2)+CROQUIS!$C$125/2*SIN(2*PI()*(MIN($A12,13)-1)/12))*CROQUIS!$C$173),-1000)</f>
        <v>-1000</v>
      </c>
      <c r="CH12">
        <f>IF(AND(CROQUIS!$C$87=1,CROQUIS!$C$126&gt;=3),(50+(((3-(CROQUIS!$C$126+1)/2)*(MAX(CROQUIS!$C$118,CROQUIS!$C$125)+CROQUIS!$C$125))+CROQUIS!$C$125/2*COS(2*PI()*(MIN($A12,13)-1)/12))*CROQUIS!$C$173),-1000)</f>
        <v>-1000</v>
      </c>
      <c r="CI12">
        <f>IF(AND(CROQUIS!$C$87=1,CROQUIS!$C$126&gt;=3),(12+((CROQUIS!$C$109+CROQUIS!$C$125/2)+CROQUIS!$C$125/2*SIN(2*PI()*(MIN($A12,13)-1)/12))*CROQUIS!$C$173),-1000)</f>
        <v>-1000</v>
      </c>
      <c r="CJ12">
        <f>IF(AND(CROQUIS!$C$87=1,CROQUIS!$C$130&gt;=1),(50+(((1-(CROQUIS!$C$130+1)/2)*(MAX(CROQUIS!$C$118,CROQUIS!$C$129)+CROQUIS!$C$129))+CROQUIS!$C$129/2*COS(2*PI()*(MIN($A12,13)-1)/12))*CROQUIS!$C$173),-1000)</f>
        <v>49.6969318181818</v>
      </c>
      <c r="CK12">
        <f>IF(AND(CROQUIS!$C$87=1,CROQUIS!$C$130&gt;=1),(12+((CROQUIS!$C$108-CROQUIS!$C$117-2*CROQUIS!$C$116-CROQUIS!$C$129/2)+CROQUIS!$C$129/2*SIN(2*PI()*(MIN($A12,13)-1)/12))*CROQUIS!$C$173),-1000)</f>
        <v>32.3727931254303</v>
      </c>
      <c r="CL12">
        <f>IF(AND(CROQUIS!$C$87=1,CROQUIS!$C$130&gt;=2),(50+(((2-(CROQUIS!$C$130+1)/2)*(MAX(CROQUIS!$C$118,CROQUIS!$C$129)+CROQUIS!$C$129))+CROQUIS!$C$129/2*COS(2*PI()*(MIN($A12,13)-1)/12))*CROQUIS!$C$173),-1000)</f>
        <v>-1000</v>
      </c>
      <c r="CM12">
        <f>IF(AND(CROQUIS!$C$87=1,CROQUIS!$C$130&gt;=2),(12+((CROQUIS!$C$108-CROQUIS!$C$117-2*CROQUIS!$C$116-CROQUIS!$C$129/2)+CROQUIS!$C$129/2*SIN(2*PI()*(MIN($A12,13)-1)/12))*CROQUIS!$C$173),-1000)</f>
        <v>-1000</v>
      </c>
      <c r="CN12">
        <f>IF(AND(CROQUIS!$C$87=1,CROQUIS!$C$130&gt;=3),(50+(((3-(CROQUIS!$C$130+1)/2)*(MAX(CROQUIS!$C$118,CROQUIS!$C$129)+CROQUIS!$C$129))+CROQUIS!$C$129/2*COS(2*PI()*(MIN($A12,13)-1)/12))*CROQUIS!$C$173),-1000)</f>
        <v>-1000</v>
      </c>
      <c r="CO12">
        <f>IF(AND(CROQUIS!$C$87=1,CROQUIS!$C$130&gt;=3),(12+((CROQUIS!$C$108-CROQUIS!$C$117-2*CROQUIS!$C$116-CROQUIS!$C$129/2)+CROQUIS!$C$129/2*SIN(2*PI()*(MIN($A12,13)-1)/12))*CROQUIS!$C$173),-1000)</f>
        <v>-1000</v>
      </c>
      <c r="CP12">
        <f>IF(AND(CROQUIS!$C$87=1),CHOOSE(MIN(MAX($A12,1),7),(50+(-CROQUIS!$C$111/2)*CROQUIS!$C$173),(50+(-CROQUIS!$C$111/2)*CROQUIS!$C$173),(50+(-CROQUIS!$C$111/2)*CROQUIS!$C$173),((50+(-CROQUIS!$C$111/2)*CROQUIS!$C$173)+(50+(CROQUIS!$C$111/2)*CROQUIS!$C$173))/2,(50+(CROQUIS!$C$111/2)*CROQUIS!$C$173),(50+(CROQUIS!$C$111/2)*CROQUIS!$C$173),(50+(CROQUIS!$C$111/2)*CROQUIS!$C$173)),-1000)</f>
        <v>54.7727272727273</v>
      </c>
      <c r="CQ12">
        <f>IF(AND(CROQUIS!$C$87=1),CHOOSE(MIN(MAX($A12,1),7),(12+(-4)*CROQUIS!$C$173)-1.4,(12+(-4)*CROQUIS!$C$173)+1.4,(12+(-4)*CROQUIS!$C$173),(12+(-4)*CROQUIS!$C$173),(12+(-4)*CROQUIS!$C$173),(12+(-4)*CROQUIS!$C$173)+1.4,(12+(-4)*CROQUIS!$C$173)-1.4),-1000)</f>
        <v>8.18181818181818</v>
      </c>
      <c r="CR12">
        <f>IF(AND(CROQUIS!$C$87=1),CHOOSE(MIN(MAX($A12,1),7),(50+(-CROQUIS!$C$113/2)*CROQUIS!$C$173),(50+(-CROQUIS!$C$113/2)*CROQUIS!$C$173),(50+(-CROQUIS!$C$113/2)*CROQUIS!$C$173),((50+(-CROQUIS!$C$113/2)*CROQUIS!$C$173)+(50+(CROQUIS!$C$113/2)*CROQUIS!$C$173))/2,(50+(CROQUIS!$C$113/2)*CROQUIS!$C$173),(50+(CROQUIS!$C$113/2)*CROQUIS!$C$173),(50+(CROQUIS!$C$113/2)*CROQUIS!$C$173)),-1000)</f>
        <v>83.4090909090909</v>
      </c>
      <c r="CS12">
        <f>IF(AND(CROQUIS!$C$87=1),CHOOSE(MIN(MAX($A12,1),7),(12+(CROQUIS!$C$108+4)*CROQUIS!$C$173)-1.4,(12+(CROQUIS!$C$108+4)*CROQUIS!$C$173)+1.4,(12+(CROQUIS!$C$108+4)*CROQUIS!$C$173),(12+(CROQUIS!$C$108+4)*CROQUIS!$C$173),(12+(CROQUIS!$C$108+4)*CROQUIS!$C$173),(12+(CROQUIS!$C$108+4)*CROQUIS!$C$173)+1.4,(12+(CROQUIS!$C$108+4)*CROQUIS!$C$173)-1.4),-1000)</f>
        <v>39.6818181818182</v>
      </c>
      <c r="CT12">
        <f>IF(AND(CROQUIS!$C$87=1),CHOOSE(MIN(MAX($A12,1),7),(50+(CROQUIS!$C$113/2+4)*CROQUIS!$C$173)-1.4,(50+(CROQUIS!$C$113/2+4)*CROQUIS!$C$173)+1.4,(50+(CROQUIS!$C$113/2+4)*CROQUIS!$C$173),(50+(CROQUIS!$C$113/2+4)*CROQUIS!$C$173),(50+(CROQUIS!$C$113/2+4)*CROQUIS!$C$173),(50+(CROQUIS!$C$113/2+4)*CROQUIS!$C$173)+1.4,(50+(CROQUIS!$C$113/2+4)*CROQUIS!$C$173)-1.4),-1000)</f>
        <v>87.2272727272727</v>
      </c>
      <c r="CU12">
        <f>IF(AND(CROQUIS!$C$87=1),CHOOSE(MIN(MAX($A12,1),7),(12+(0)*CROQUIS!$C$173),(12+(0)*CROQUIS!$C$173),(12+(0)*CROQUIS!$C$173),((12+(0)*CROQUIS!$C$173)+(12+(CROQUIS!$C$108)*CROQUIS!$C$173))/2,(12+(CROQUIS!$C$108)*CROQUIS!$C$173),(12+(CROQUIS!$C$108)*CROQUIS!$C$173),(12+(CROQUIS!$C$108)*CROQUIS!$C$173)),-1000)</f>
        <v>35.8636363636364</v>
      </c>
      <c r="CV12">
        <f>IF(AND(CROQUIS!$C$87=1),CHOOSE(MIN(MAX($A12,1),7),(50+(-CROQUIS!$C$113/2-4)*CROQUIS!$C$173)-1.4,(50+(-CROQUIS!$C$113/2-4)*CROQUIS!$C$173)+1.4,(50+(-CROQUIS!$C$113/2-4)*CROQUIS!$C$173),(50+(-CROQUIS!$C$113/2-4)*CROQUIS!$C$173),(50+(-CROQUIS!$C$113/2-4)*CROQUIS!$C$173),(50+(-CROQUIS!$C$113/2-4)*CROQUIS!$C$173)+1.4,(50+(-CROQUIS!$C$113/2-4)*CROQUIS!$C$173)-1.4),-1000)</f>
        <v>12.7727272727273</v>
      </c>
      <c r="CW12">
        <f>IF(AND(CROQUIS!$C$87=1),CHOOSE(MIN(MAX($A12,1),7),(12+(CROQUIS!$C$108-CROQUIS!$C$147)*CROQUIS!$C$173),(12+(CROQUIS!$C$108-CROQUIS!$C$147)*CROQUIS!$C$173),(12+(CROQUIS!$C$108-CROQUIS!$C$147)*CROQUIS!$C$173),((12+(CROQUIS!$C$108-CROQUIS!$C$147)*CROQUIS!$C$173)+(12+(CROQUIS!$C$108)*CROQUIS!$C$173))/2,(12+(CROQUIS!$C$108)*CROQUIS!$C$173),(12+(CROQUIS!$C$108)*CROQUIS!$C$173),(12+(CROQUIS!$C$108)*CROQUIS!$C$173)),-1000)</f>
        <v>35.8636363636364</v>
      </c>
      <c r="CX12">
        <f>IF(AND(CROQUIS!$C$88=1),CHOOSE(MIN(MAX($A12,1),5),(50+(-30)*CROQUIS!$C$174),(50+(30)*CROQUIS!$C$174),(50+(30)*CROQUIS!$C$174),(50+(-30)*CROQUIS!$C$174),(50+(-30)*CROQUIS!$C$174)),-1000)</f>
        <v>-1000</v>
      </c>
      <c r="CY12">
        <f>IF(AND(CROQUIS!$C$88=1),CHOOSE(MIN(MAX($A12,1),5),(12+(0)*CROQUIS!$C$174),(12+(0)*CROQUIS!$C$174),(12+(CROQUIS!$C$108)*CROQUIS!$C$174),(12+(CROQUIS!$C$108)*CROQUIS!$C$174),(12+(0)*CROQUIS!$C$174)),-1000)</f>
        <v>-1000</v>
      </c>
      <c r="DB12">
        <f>IF(AND(CROQUIS!$C$88=1,CROQUIS!$C$134&gt;0),(50+((-(MIN(12,INT(58/MAX(CROQUIS!$C$134,1))+1)-1)*CROQUIS!$C$134/2+(MIN($A12,MIN(12,INT(58/MAX(CROQUIS!$C$134,1))+1))-1)*CROQUIS!$C$134))*CROQUIS!$C$174),-1000)</f>
        <v>-1000</v>
      </c>
      <c r="DC12">
        <f>IF(AND(CROQUIS!$C$88=1,CROQUIS!$C$134&gt;0),(12+((CROQUIS!$C$109+CROQUIS!$C$125+CROQUIS!$C$133/2))*CROQUIS!$C$174),-1000)</f>
        <v>-1000</v>
      </c>
      <c r="DD12">
        <f>IF(AND(CROQUIS!$C$88=1,CROQUIS!$C$138&gt;0),(50+((-(MIN(12,INT(58/MAX(CROQUIS!$C$138,1))+1)-1)*CROQUIS!$C$138/2+(MIN($A12,MIN(12,INT(58/MAX(CROQUIS!$C$138,1))+1))-1)*CROQUIS!$C$138))*CROQUIS!$C$174),-1000)</f>
        <v>-1000</v>
      </c>
      <c r="DE12">
        <f>IF(AND(CROQUIS!$C$88=1,CROQUIS!$C$138&gt;0),(12+((CROQUIS!$C$108-CROQUIS!$C$110-CROQUIS!$C$129-CROQUIS!$C$137/2))*CROQUIS!$C$174),-1000)</f>
        <v>-1000</v>
      </c>
      <c r="DH12">
        <f>IF(AND(CROQUIS!$C$88=1),CHOOSE(MIN(MAX($A12,1),7),(50+(33)*CROQUIS!$C$174)-1.4,(50+(33)*CROQUIS!$C$174)+1.4,(50+(33)*CROQUIS!$C$174),(50+(33)*CROQUIS!$C$174),(50+(33)*CROQUIS!$C$174),(50+(33)*CROQUIS!$C$174)+1.4,(50+(33)*CROQUIS!$C$174)-1.4),-1000)</f>
        <v>-1000</v>
      </c>
      <c r="DI12">
        <f>IF(AND(CROQUIS!$C$88=1),CHOOSE(MIN(MAX($A12,1),7),(12+(0)*CROQUIS!$C$174),(12+(0)*CROQUIS!$C$174),(12+(0)*CROQUIS!$C$174),((12+(0)*CROQUIS!$C$174)+(12+(CROQUIS!$C$108)*CROQUIS!$C$174))/2,(12+(CROQUIS!$C$108)*CROQUIS!$C$174),(12+(CROQUIS!$C$108)*CROQUIS!$C$174),(12+(CROQUIS!$C$108)*CROQUIS!$C$174)),-1000)</f>
        <v>-1000</v>
      </c>
      <c r="DJ12">
        <f>IF(AND(CROQUIS!$C$88=1),CHOOSE(MIN(MAX($A12,1),7),(50+(-33)*CROQUIS!$C$174)-0.8,(50+(-33)*CROQUIS!$C$174)+0.8,(50+(-33)*CROQUIS!$C$174),(50+(-33)*CROQUIS!$C$174),(50+(-33)*CROQUIS!$C$174),(50+(-33)*CROQUIS!$C$174)+0.8,(50+(-33)*CROQUIS!$C$174)-0.8),-1000)</f>
        <v>-1000</v>
      </c>
      <c r="DK12">
        <f>IF(AND(CROQUIS!$C$88=1),CHOOSE(MIN(MAX($A12,1),7),(12+(0)*CROQUIS!$C$174),(12+(0)*CROQUIS!$C$174),(12+(0)*CROQUIS!$C$174),((12+(0)*CROQUIS!$C$174)+(12+(CROQUIS!$C$109)*CROQUIS!$C$174))/2,(12+(CROQUIS!$C$109)*CROQUIS!$C$174),(12+(CROQUIS!$C$109)*CROQUIS!$C$174),(12+(CROQUIS!$C$109)*CROQUIS!$C$174)),-1000)</f>
        <v>-1000</v>
      </c>
      <c r="DL12">
        <f>IF(AND(CROQUIS!$C$88=1),CHOOSE(MIN(MAX($A12,1),7),(50+(-33)*CROQUIS!$C$174)-0.8,(50+(-33)*CROQUIS!$C$174)+0.8,(50+(-33)*CROQUIS!$C$174),(50+(-33)*CROQUIS!$C$174),(50+(-33)*CROQUIS!$C$174),(50+(-33)*CROQUIS!$C$174)+0.8,(50+(-33)*CROQUIS!$C$174)-0.8),-1000)</f>
        <v>-1000</v>
      </c>
      <c r="DM12">
        <f>IF(AND(CROQUIS!$C$88=1),CHOOSE(MIN(MAX($A12,1),7),(12+(CROQUIS!$C$108-CROQUIS!$C$110)*CROQUIS!$C$174),(12+(CROQUIS!$C$108-CROQUIS!$C$110)*CROQUIS!$C$174),(12+(CROQUIS!$C$108-CROQUIS!$C$110)*CROQUIS!$C$174),((12+(CROQUIS!$C$108-CROQUIS!$C$110)*CROQUIS!$C$174)+(12+(CROQUIS!$C$108)*CROQUIS!$C$174))/2,(12+(CROQUIS!$C$108)*CROQUIS!$C$174),(12+(CROQUIS!$C$108)*CROQUIS!$C$174),(12+(CROQUIS!$C$108)*CROQUIS!$C$174)),-1000)</f>
        <v>-1000</v>
      </c>
      <c r="DN12">
        <f>IF(AND(CROQUIS!$C$88=1,MIN(12,INT(58/MAX(CROQUIS!$C$134,1))+1)&gt;=2),CHOOSE(MIN(MAX($A12,1),7),(50+((-(MIN(12,INT(58/MAX(CROQUIS!$C$134,1))+1)-1)*CROQUIS!$C$134/2))*CROQUIS!$C$174),(50+((-(MIN(12,INT(58/MAX(CROQUIS!$C$134,1))+1)-1)*CROQUIS!$C$134/2))*CROQUIS!$C$174),(50+((-(MIN(12,INT(58/MAX(CROQUIS!$C$134,1))+1)-1)*CROQUIS!$C$134/2))*CROQUIS!$C$174),((50+((-(MIN(12,INT(58/MAX(CROQUIS!$C$134,1))+1)-1)*CROQUIS!$C$134/2))*CROQUIS!$C$174)+(50+((-(MIN(12,INT(58/MAX(CROQUIS!$C$134,1))+1)-1)*CROQUIS!$C$134/2)+CROQUIS!$C$134)*CROQUIS!$C$174))/2,(50+((-(MIN(12,INT(58/MAX(CROQUIS!$C$134,1))+1)-1)*CROQUIS!$C$134/2)+CROQUIS!$C$134)*CROQUIS!$C$174),(50+((-(MIN(12,INT(58/MAX(CROQUIS!$C$134,1))+1)-1)*CROQUIS!$C$134/2)+CROQUIS!$C$134)*CROQUIS!$C$174),(50+((-(MIN(12,INT(58/MAX(CROQUIS!$C$134,1))+1)-1)*CROQUIS!$C$134/2)+CROQUIS!$C$134)*CROQUIS!$C$174)),-1000)</f>
        <v>-1000</v>
      </c>
      <c r="DO12">
        <f>IF(AND(CROQUIS!$C$88=1,MIN(12,INT(58/MAX(CROQUIS!$C$134,1))+1)&gt;=2),CHOOSE(MIN(MAX($A12,1),7),(12+(-4)*CROQUIS!$C$174)-1.4,(12+(-4)*CROQUIS!$C$174)+1.4,(12+(-4)*CROQUIS!$C$174),(12+(-4)*CROQUIS!$C$174),(12+(-4)*CROQUIS!$C$174),(12+(-4)*CROQUIS!$C$174)+1.4,(12+(-4)*CROQUIS!$C$174)-1.4),-1000)</f>
        <v>-1000</v>
      </c>
      <c r="DP12">
        <f>IF(AND(CROQUIS!$C$87=1),CHOOSE(MIN(MAX($A12,1),5),(4+((IF(CROQUIS!$C$91=1,-CROQUIS!$C$168,IF(CROQUIS!$C$103=1,-CROQUIS!$C$107/2-30,-CROQUIS!$C$107/2)))-CROQUIS!$C$169)*CROQUIS!$C$171),(4+((IF(CROQUIS!$C$91=1,CROQUIS!$C$97,IF(CROQUIS!$C$104=1,CROQUIS!$C$97+CROQUIS!$C$107/2+30,CROQUIS!$C$97+CROQUIS!$C$107/2)))-CROQUIS!$C$169)*CROQUIS!$C$171),(4+((IF(CROQUIS!$C$91=1,CROQUIS!$C$97,IF(CROQUIS!$C$104=1,CROQUIS!$C$97+CROQUIS!$C$107/2+30,CROQUIS!$C$97+CROQUIS!$C$107/2)))-CROQUIS!$C$169)*CROQUIS!$C$171),(4+((IF(CROQUIS!$C$91=1,-CROQUIS!$C$168,IF(CROQUIS!$C$103=1,-CROQUIS!$C$107/2-30,-CROQUIS!$C$107/2)))-CROQUIS!$C$169)*CROQUIS!$C$171),(4+((IF(CROQUIS!$C$91=1,-CROQUIS!$C$168,IF(CROQUIS!$C$103=1,-CROQUIS!$C$107/2-30,-CROQUIS!$C$107/2)))-CROQUIS!$C$169)*CROQUIS!$C$171)),-1000)</f>
        <v>4</v>
      </c>
      <c r="DQ12">
        <f>IF(AND(CROQUIS!$C$87=1),CHOOSE(MIN(MAX($A12,1),5),(30+(0)*CROQUIS!$C$171*CROQUIS!$C$172),(30+(0)*CROQUIS!$C$171*CROQUIS!$C$172),(30+(CROQUIS!$C$108)*CROQUIS!$C$171*CROQUIS!$C$172),(30+(CROQUIS!$C$108)*CROQUIS!$C$171*CROQUIS!$C$172),(30+(0)*CROQUIS!$C$171*CROQUIS!$C$172)),-1000)</f>
        <v>30</v>
      </c>
      <c r="DR12">
        <f>IF(AND(CROQUIS!$C$87=1),CHOOSE(MIN(MAX($A12,1)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9.81052631578947</v>
      </c>
      <c r="DS12">
        <f>IF(AND(CROQUIS!$C$87=1),CHOOSE(MIN(MAX($A12,1),10),30,30,20,20,30,IF(CROQUIS!$C$91=1,30,30),IF(CROQUIS!$C$91=1,30,30),IF(CROQUIS!$C$91=1,30,20),IF(CROQUIS!$C$91=1,30,20),IF(CROQUIS!$C$91=1,30,30)),-1000)</f>
        <v>30</v>
      </c>
      <c r="EB12">
        <f>IF(AND(CROQUIS!$C$87=1,CROQUIS!$C$162&gt;0),CHOOSE(MIN(MAX($A12,1),5)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AX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,(4+((MIN(IF(AND(CROQUIS!$C$91=1,CROQUIS!$C$94=0),CROQUIS!$C$97-(CROQUIS!$C$163),CROQUIS!$C$163),IF(AND(CROQUIS!$C$91=1,CROQUIS!$C$94=0),CROQUIS!$C$97-((CROQUIS!$C$163+CROQUIS!$C$162*CROQUIS!$C$113-CROQUIS!$C$111)),(CROQUIS!$C$163+CROQUIS!$C$162*CROQUIS!$C$113-CROQUIS!$C$111))))-CROQUIS!$C$169)*CROQUIS!$C$171)),-1000)</f>
        <v>17.0736842105263</v>
      </c>
      <c r="EC12">
        <f>IF(AND(CROQUIS!$C$87=1,CROQUIS!$C$162&gt;0),CHOOSE(MIN(MAX($A12,1),5),(30+(0)*CROQUIS!$C$171*CROQUIS!$C$172),(30+(0)*CROQUIS!$C$171*CROQUIS!$C$172),(30+(CROQUIS!$C$114)*CROQUIS!$C$171*CROQUIS!$C$172),(30+(CROQUIS!$C$114)*CROQUIS!$C$171*CROQUIS!$C$172),(30+(0)*CROQUIS!$C$171*CROQUIS!$C$172)),-1000)</f>
        <v>30</v>
      </c>
      <c r="EF12">
        <f>IF(AND(CROQUIS!$C$87=1),CHOOSE(MIN(MAX($A12,1)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88.7368421052632</v>
      </c>
      <c r="EG12">
        <f>IF(AND(CROQUIS!$C$87=1),CHOOSE(MIN(MAX($A12,1),7),15-1.4,15+1.4,15,15,15,15+1.4,15-1.4),-1000)</f>
        <v>15</v>
      </c>
      <c r="EH12">
        <f>IF(AND(CROQUIS!$C$87=1,OR(CROQUIS!$C$91=1,AND(CROQUIS!$C$130&gt;=2,OR(CROQUIS!$C$103=1,CROQUIS!$C$142=1)))),CHOOSE(MIN(MAX($A12,1)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EI12">
        <f>IF(AND(CROQUIS!$C$87=1,OR(CROQUIS!$C$91=1,AND(CROQUIS!$C$130&gt;=2,OR(CROQUIS!$C$103=1,CROQUIS!$C$142=1)))),CHOOSE(MIN(MAX($A12,1)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  <c r="EJ12">
        <f>IF(AND(CROQUIS!$C$87=1,CROQUIS!$C$91=1,CROQUIS!$C$148&gt;0),CHOOSE(MIN(MAX($A12,1),5),(4+((CROQUIS!$C$97)-CROQUIS!$C$169)*CROQUIS!$C$171),(4+((CROQUIS!$C$97)-CROQUIS!$C$169)*CROQUIS!$C$171),(4+((CROQUIS!$C$97)-CROQUIS!$C$169)*CROQUIS!$C$171)-1.2,(4+((CROQUIS!$C$97)-CROQUIS!$C$169)*CROQUIS!$C$171),(4+((CROQUIS!$C$97)-CROQUIS!$C$169)*CROQUIS!$C$171)+1.2),-1000)</f>
        <v>-1000</v>
      </c>
      <c r="EK12">
        <f>IF(AND(CROQUIS!$C$87=1,CROQUIS!$C$91=1,CROQUIS!$C$148&gt;0),CHOOSE(MIN(MAX($A12,1),5),(30+(CROQUIS!$C$108)*CROQUIS!$C$171*CROQUIS!$C$172)+13,(30+(CROQUIS!$C$108)*CROQUIS!$C$171*CROQUIS!$C$172)+1,(30+(CROQUIS!$C$108)*CROQUIS!$C$171*CROQUIS!$C$172)+4,(30+(CROQUIS!$C$108)*CROQUIS!$C$171*CROQUIS!$C$172)+1,(30+(CROQUIS!$C$108)*CROQUIS!$C$171*CROQUIS!$C$172)+4),-1000)</f>
        <v>-1000</v>
      </c>
      <c r="EL12">
        <f>IF(AND(CROQUIS!$C$88=1),CHOOSE(MIN(MAX($A12,1),5),(4+((IF(CROQUIS!$C$91=1,-CROQUIS!$C$168,IF(CROQUIS!$C$103=1,-CROQUIS!$C$107/2-30,-CROQUIS!$C$107/2)))-CROQUIS!$C$169)*CROQUIS!$C$171),(4+((IF(CROQUIS!$C$91=1,CROQUIS!$C$97,IF(CROQUIS!$C$104=1,CROQUIS!$C$97+CROQUIS!$C$107/2+30,CROQUIS!$C$97+CROQUIS!$C$107/2)))-CROQUIS!$C$169)*CROQUIS!$C$171),(4+((IF(CROQUIS!$C$91=1,CROQUIS!$C$97,IF(CROQUIS!$C$104=1,CROQUIS!$C$97+CROQUIS!$C$107/2+30,CROQUIS!$C$97+CROQUIS!$C$107/2)))-CROQUIS!$C$169)*CROQUIS!$C$171),(4+((IF(CROQUIS!$C$91=1,-CROQUIS!$C$168,IF(CROQUIS!$C$103=1,-CROQUIS!$C$107/2-30,-CROQUIS!$C$107/2)))-CROQUIS!$C$169)*CROQUIS!$C$171),(4+((IF(CROQUIS!$C$91=1,-CROQUIS!$C$168,IF(CROQUIS!$C$103=1,-CROQUIS!$C$107/2-30,-CROQUIS!$C$107/2)))-CROQUIS!$C$169)*CROQUIS!$C$171)),-1000)</f>
        <v>-1000</v>
      </c>
      <c r="EM12">
        <f>IF(AND(CROQUIS!$C$88=1),CHOOSE(MIN(MAX($A12,1),5),(30+(0)*CROQUIS!$C$171*CROQUIS!$C$172),(30+(0)*CROQUIS!$C$171*CROQUIS!$C$172),(30+(CROQUIS!$C$108)*CROQUIS!$C$171*CROQUIS!$C$172),(30+(CROQUIS!$C$108)*CROQUIS!$C$171*CROQUIS!$C$172),(30+(0)*CROQUIS!$C$171*CROQUIS!$C$172)),-1000)</f>
        <v>-1000</v>
      </c>
      <c r="EN12">
        <f>IF(AND(CROQUIS!$C$88=1),CHOOSE(MIN(MAX($A12,1)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-1000</v>
      </c>
      <c r="EO12">
        <f>IF(AND(CROQUIS!$C$88=1),CHOOSE(MIN(MAX($A12,1),10),30,30,20,20,30,IF(CROQUIS!$C$91=1,30,30),IF(CROQUIS!$C$91=1,30,30),IF(CROQUIS!$C$91=1,30,20),IF(CROQUIS!$C$91=1,30,20),IF(CROQUIS!$C$91=1,30,30)),-1000)</f>
        <v>-1000</v>
      </c>
      <c r="EX12">
        <f>IF(AND(CROQUIS!$C$88=1),CHOOSE(MIN(MAX($A12,1)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-1000</v>
      </c>
      <c r="EY12">
        <f>IF(AND(CROQUIS!$C$88=1),CHOOSE(MIN(MAX($A12,1),7),15-1.4,15+1.4,15,15,15,15+1.4,15-1.4),-1000)</f>
        <v>-1000</v>
      </c>
      <c r="EZ12">
        <f>IF(AND(CROQUIS!$C$88=1,OR(CROQUIS!$C$91=1,AND(CROQUIS!$C$130&gt;0,OR(CROQUIS!$C$103=1,CROQUIS!$C$142=1)))),CHOOSE(MIN(MAX($A12,1)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FA12">
        <f>IF(AND(CROQUIS!$C$88=1,OR(CROQUIS!$C$91=1,AND(CROQUIS!$C$130&gt;0,OR(CROQUIS!$C$103=1,CROQUIS!$C$142=1)))),CHOOSE(MIN(MAX($A12,1)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  <c r="FB12">
        <f>IF(AND(CROQUIS!$C$88=1,CROQUIS!$C$91=1,CROQUIS!$C$148&gt;0),CHOOSE(MIN(MAX($A12,1),5),(4+((CROQUIS!$C$97)-CROQUIS!$C$169)*CROQUIS!$C$171),(4+((CROQUIS!$C$97)-CROQUIS!$C$169)*CROQUIS!$C$171),(4+((CROQUIS!$C$97)-CROQUIS!$C$169)*CROQUIS!$C$171)-1.2,(4+((CROQUIS!$C$97)-CROQUIS!$C$169)*CROQUIS!$C$171),(4+((CROQUIS!$C$97)-CROQUIS!$C$169)*CROQUIS!$C$171)+1.2),-1000)</f>
        <v>-1000</v>
      </c>
      <c r="FC12">
        <f>IF(AND(CROQUIS!$C$88=1,CROQUIS!$C$91=1,CROQUIS!$C$148&gt;0),CHOOSE(MIN(MAX($A12,1),5),(30+(CROQUIS!$C$108)*CROQUIS!$C$171*CROQUIS!$C$172)+13,(30+(CROQUIS!$C$108)*CROQUIS!$C$171*CROQUIS!$C$172)+1,(30+(CROQUIS!$C$108)*CROQUIS!$C$171*CROQUIS!$C$172)+4,(30+(CROQUIS!$C$108)*CROQUIS!$C$171*CROQUIS!$C$172)+1,(30+(CROQUIS!$C$108)*CROQUIS!$C$171*CROQUIS!$C$172)+4),-1000)</f>
        <v>-1000</v>
      </c>
    </row>
    <row r="13">
      <c r="A13" t="n">
        <v>6</v>
      </c>
      <c r="F13">
        <f>IF(AND(CROQUIS!$C$87=1,CROQUIS!$C$91=1),((CROQUIS!$C$156+(IF(CROQUIS!$C$92="X",IF(CROQUIS!$C$94=1,0,CROQUIS!$C$97)+IF(MOD($A13,2)=1,-CROQUIS!$C$107/2,CROQUIS!$C$107/2),(MIN($A13,41)-1)/40*CROQUIS!$C$98))*CROQUIS!$C$155)+IF(CROQUIS!$C$92="X",0,0)),-1000)</f>
        <v>-1000</v>
      </c>
      <c r="G13">
        <f>IF(AND(CROQUIS!$C$87=1,CROQUIS!$C$91=1),((CROQUIS!$C$157+(IF(CROQUIS!$C$92="X",(MIN($A13,41)-1)/40*CROQUIS!$C$98,IF(CROQUIS!$C$94=1,0,CROQUIS!$C$97)+IF(MOD($A13,2)=1,-CROQUIS!$C$107/2,CROQUIS!$C$107/2)))*CROQUIS!$C$155)+IF(CROQUIS!$C$92="X",0,0)),-1000)</f>
        <v>-1000</v>
      </c>
      <c r="L13">
        <f>IF(AND(CROQUIS!$C$87=1),CHOOSE(MIN(MAX($A13,1)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88</v>
      </c>
      <c r="M13">
        <f>IF(AND(CROQUIS!$C$87=1),CHOOSE(MIN(MAX($A13,1)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12.0574785359241</v>
      </c>
      <c r="N13">
        <f>IF(AND(CROQUIS!$C$87=1),CHOOSE(MIN(MAX($A13,1)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8.4</v>
      </c>
      <c r="O13">
        <f>IF(AND(CROQUIS!$C$87=1),CHOOSE(MIN(MAX($A13,1)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84.3425214640759</v>
      </c>
      <c r="T13">
        <f>IF(AND(CROQUIS!$C$88=1,CROQUIS!$C$91=1),((CROQUIS!$C$156+(IF(CROQUIS!$C$92="X",IF(CROQUIS!$C$94=1,0,CROQUIS!$C$97)+IF(MOD($A13,2)=1,-CROQUIS!$C$107/2,CROQUIS!$C$107/2),(MIN($A13,41)-1)/40*CROQUIS!$C$98))*CROQUIS!$C$155)+IF(CROQUIS!$C$92="X",0,0)),-1000)</f>
        <v>-1000</v>
      </c>
      <c r="U13">
        <f>IF(AND(CROQUIS!$C$88=1,CROQUIS!$C$91=1),((CROQUIS!$C$157+(IF(CROQUIS!$C$92="X",(MIN($A13,41)-1)/40*CROQUIS!$C$98,IF(CROQUIS!$C$94=1,0,CROQUIS!$C$97)+IF(MOD($A13,2)=1,-CROQUIS!$C$107/2,CROQUIS!$C$107/2)))*CROQUIS!$C$155)+IF(CROQUIS!$C$92="X",0,0)),-1000)</f>
        <v>-1000</v>
      </c>
      <c r="Z13">
        <f>IF(AND(CROQUIS!$C$88=1),CHOOSE(MIN(MAX($A13,1)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-1000</v>
      </c>
      <c r="AA13">
        <f>IF(AND(CROQUIS!$C$88=1),CHOOSE(MIN(MAX($A13,1)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-1000</v>
      </c>
      <c r="AB13">
        <f>IF(AND(CROQUIS!$C$88=1),CHOOSE(MIN(MAX($A13,1)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-1000</v>
      </c>
      <c r="AC13">
        <f>IF(AND(CROQUIS!$C$88=1),CHOOSE(MIN(MAX($A13,1)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-1000</v>
      </c>
      <c r="AF13">
        <f>IF(AND(CROQUIS!$C$87=1,CROQUIS!$C$158&gt;0,CROQUIS!$C$160&gt;0),(CROQUIS!$C$156+((CROQUIS!$C$159+INT(MIN(INT(($A13-1)/2),MAX((2*CROQUIS!$C$158)-1,0))/2)*CROQUIS!$C$113+MOD(MIN(INT(($A13-1)/2),MAX((2*CROQUIS!$C$158)-1,0)),2)*CROQUIS!$C$112))*CROQUIS!$C$155),-1000)</f>
        <v>26.8187980117488</v>
      </c>
      <c r="AG13">
        <f>IF(AND(CROQUIS!$C$87=1,CROQUIS!$C$158&gt;0,CROQUIS!$C$160&gt;0),(CROQUIS!$C$157+(IF(MOD(MIN(INT(($A13-1)/2),MAX((2*CROQUIS!$C$158)-1,0)),2)=0,IF(IF(INT(($A13-1)/2)&gt;MAX((2*CROQUIS!$C$158)-1,0),1,MOD($A13-1,2))=0,CROQUIS!$C$161,(CROQUIS!$C$161+CROQUIS!$C$160*CROQUIS!$C$113-CROQUIS!$C$111)),IF(IF(INT(($A13-1)/2)&gt;MAX((2*CROQUIS!$C$158)-1,0),1,MOD($A13-1,2))=0,(CROQUIS!$C$161+CROQUIS!$C$160*CROQUIS!$C$113-CROQUIS!$C$111),CROQUIS!$C$161)))*CROQUIS!$C$155),-1000)</f>
        <v>79.1911432444645</v>
      </c>
      <c r="AH13">
        <f>IF(AND(CROQUIS!$C$87=1,CROQUIS!$C$160&gt;0,CROQUIS!$C$158&gt;0),(CROQUIS!$C$156+(IF(MOD(MIN(INT(($A13-1)/2),MAX((2*CROQUIS!$C$160)-1,0)),2)=0,IF(IF(INT(($A13-1)/2)&gt;MAX((2*CROQUIS!$C$160)-1,0),1,MOD($A13-1,2))=0,CROQUIS!$C$159,(CROQUIS!$C$159+CROQUIS!$C$158*CROQUIS!$C$113-CROQUIS!$C$111)),IF(IF(INT(($A13-1)/2)&gt;MAX((2*CROQUIS!$C$160)-1,0),1,MOD($A13-1,2))=0,(CROQUIS!$C$159+CROQUIS!$C$158*CROQUIS!$C$113-CROQUIS!$C$111),CROQUIS!$C$159)))*CROQUIS!$C$155),-1000)</f>
        <v>85.2010845006778</v>
      </c>
      <c r="AI13">
        <f>IF(AND(CROQUIS!$C$87=1,CROQUIS!$C$160&gt;0,CROQUIS!$C$158&gt;0),(CROQUIS!$C$157+((CROQUIS!$C$161+INT(MIN(INT(($A13-1)/2),MAX((2*CROQUIS!$C$160)-1,0))/2)*CROQUIS!$C$113+MOD(MIN(INT(($A13-1)/2),MAX((2*CROQUIS!$C$160)-1,0)),2)*CROQUIS!$C$112))*CROQUIS!$C$155),-1000)</f>
        <v>32.828739267962</v>
      </c>
      <c r="AJ13">
        <f>IF(AND(CROQUIS!$C$87=1,CROQUIS!$C$158&gt;=2),(CROQUIS!$C$156+((CROQUIS!$C$159+CROQUIS!$C$112+CROQUIS!$C$111/2+MIN(INT(($A13-1)/2),MAX((CROQUIS!$C$158-1)-1,0))*CROQUIS!$C$113))*CROQUIS!$C$155),-1000)</f>
        <v>50</v>
      </c>
      <c r="AK13">
        <f>IF(AND(CROQUIS!$C$87=1,CROQUIS!$C$158&gt;=2),(CROQUIS!$C$157+(IF(MOD(MIN(INT(($A13-1)/2),MAX((CROQUIS!$C$158-1)-1,0)),2)=0,IF(IF(INT(($A13-1)/2)&gt;MAX((CROQUIS!$C$158-1)-1,0),1,MOD($A13-1,2))=0,CROQUIS!$C$107/2,(CROQUIS!$C$96-CROQUIS!$C$107/2)),IF(IF(INT(($A13-1)/2)&gt;MAX((CROQUIS!$C$158-1)-1,0),1,MOD($A13-1,2))=0,(CROQUIS!$C$96-CROQUIS!$C$107/2),CROQUIS!$C$107/2)))*CROQUIS!$C$155),-1000)</f>
        <v>83.0546769091731</v>
      </c>
      <c r="AL13">
        <f>IF(AND(CROQUIS!$C$87=1,CROQUIS!$C$160&gt;=2),(CROQUIS!$C$156+(IF(MOD(MIN(INT(($A13-1)/2),MAX((CROQUIS!$C$160-1)-1,0)),2)=0,IF(IF(INT(($A13-1)/2)&gt;MAX((CROQUIS!$C$160-1)-1,0),1,MOD($A13-1,2))=0,CROQUIS!$C$107/2,(CROQUIS!$C$95-CROQUIS!$C$107/2)),IF(IF(INT(($A13-1)/2)&gt;MAX((CROQUIS!$C$160-1)-1,0),1,MOD($A13-1,2))=0,(CROQUIS!$C$95-CROQUIS!$C$107/2),CROQUIS!$C$107/2)))*CROQUIS!$C$155),-1000)</f>
        <v>86.7121554450972</v>
      </c>
      <c r="AM13">
        <f>IF(AND(CROQUIS!$C$87=1,CROQUIS!$C$160&gt;=2),(CROQUIS!$C$157+((CROQUIS!$C$161+CROQUIS!$C$112+CROQUIS!$C$111/2+MIN(INT(($A13-1)/2),MAX((CROQUIS!$C$160-1)-1,0))*CROQUIS!$C$113))*CROQUIS!$C$155),-1000)</f>
        <v>56.0099412562133</v>
      </c>
      <c r="AN13">
        <f>IF(AND(CROQUIS!$C$87=1,CROQUIS!$C$123&gt;0,CROQUIS!$C$162&gt;0),((CROQUIS!$C$156+(IF(CROQUIS!$C$92="X",CHOOSE(MIN(MAX($A13,1)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,CHOOSE(MIN(MAX($A13,1)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))*CROQUIS!$C$155)+IF(CROQUIS!$C$92="X",0,0)),-1000)</f>
        <v>-1000</v>
      </c>
      <c r="AO13">
        <f>IF(AND(CROQUIS!$C$87=1,CROQUIS!$C$123&gt;0,CROQUIS!$C$162&gt;0),((CROQUIS!$C$157+(IF(CROQUIS!$C$92="X",CHOOSE(MIN(MAX($A13,1)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,CHOOSE(MIN(MAX($A13,1)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))*CROQUIS!$C$155)+IF(CROQUIS!$C$92="X",0,0)),-1000)</f>
        <v>-1000</v>
      </c>
      <c r="BF13">
        <f>IF(AND(CROQUIS!$C$87=1,CROQUIS!$C$158&gt;=2),CHOOSE(MIN(MAX($A13,1),7),(CROQUIS!$C$156+(CROQUIS!$C$159)*CROQUIS!$C$155),(CROQUIS!$C$156+(CROQUIS!$C$159)*CROQUIS!$C$155),(CROQUIS!$C$156+(CROQUIS!$C$159)*CROQUIS!$C$155),((CROQUIS!$C$156+(CROQUIS!$C$159)*CROQUIS!$C$155)+(CROQUIS!$C$156+(CROQUIS!$C$159+CROQUIS!$C$113)*CROQUIS!$C$155))/2,(CROQUIS!$C$156+(CROQUIS!$C$159+CROQUIS!$C$113)*CROQUIS!$C$155),(CROQUIS!$C$156+(CROQUIS!$C$159+CROQUIS!$C$113)*CROQUIS!$C$155),(CROQUIS!$C$156+(CROQUIS!$C$159+CROQUIS!$C$113)*CROQUIS!$C$155)),-1000)</f>
        <v>26.8187980117488</v>
      </c>
      <c r="BG13">
        <f>IF(AND(CROQUIS!$C$87=1,CROQUIS!$C$158&gt;=2),CHOOSE(MIN(MAX($A13,1),7),((CROQUIS!$C$157+(CROQUIS!$C$154)*CROQUIS!$C$155)+4)-1.4,((CROQUIS!$C$157+(CROQUIS!$C$154)*CROQUIS!$C$155)+4)+1.4,((CROQUIS!$C$157+(CROQUIS!$C$154)*CROQUIS!$C$155)+4),((CROQUIS!$C$157+(CROQUIS!$C$154)*CROQUIS!$C$155)+4),((CROQUIS!$C$157+(CROQUIS!$C$154)*CROQUIS!$C$155)+4),((CROQUIS!$C$157+(CROQUIS!$C$154)*CROQUIS!$C$155)+4)+1.4,((CROQUIS!$C$157+(CROQUIS!$C$154)*CROQUIS!$C$155)+4)-1.4),-1000)</f>
        <v>89.7425214640759</v>
      </c>
      <c r="BH13">
        <f>IF(AND(CROQUIS!$C$88=1,CROQUIS!$C$126&gt;0),((CROQUIS!$C$156+(IF(CROQUIS!$C$92="X",CHOOSE(IF(INT(($A13-1)/5)&gt;MAX((MIN(80,MAX(1,INT(((CROQUIS!$C$98)-CROQUIS!$C$107)/MAX(CROQUIS!$C$126,1))+1)))-1,0),0,MOD($A13-1,5))+1,0,2,CROQUIS!$C$97-2,2,0),((CROQUIS!$C$107/2+(((CROQUIS!$C$98)-CROQUIS!$C$107)-(MIN(80,MAX(1,INT(((CROQUIS!$C$98)-CROQUIS!$C$107)/MAX(CROQUIS!$C$126,1))+1))-1)*CROQUIS!$C$126)/2)+MIN(INT(($A13-1)/5),MAX((MIN(80,MAX(1,INT(((CROQUIS!$C$98)-CROQUIS!$C$107)/MAX(CROQUIS!$C$126,1))+1)))-1,0))*CROQUIS!$C$126)))*CROQUIS!$C$155)+IF(CROQUIS!$C$92="X",0,0)),-1000)</f>
        <v>-1000</v>
      </c>
      <c r="BI13">
        <f>IF(AND(CROQUIS!$C$88=1,CROQUIS!$C$126&gt;0),((CROQUIS!$C$157+(IF(CROQUIS!$C$92="X",((CROQUIS!$C$107/2+(((CROQUIS!$C$98)-CROQUIS!$C$107)-(MIN(80,MAX(1,INT(((CROQUIS!$C$98)-CROQUIS!$C$107)/MAX(CROQUIS!$C$126,1))+1))-1)*CROQUIS!$C$126)/2)+MIN(INT(($A13-1)/5),MAX((MIN(80,MAX(1,INT(((CROQUIS!$C$98)-CROQUIS!$C$107)/MAX(CROQUIS!$C$126,1))+1)))-1,0))*CROQUIS!$C$126),CHOOSE(IF(INT(($A13-1)/5)&gt;MAX((MIN(80,MAX(1,INT(((CROQUIS!$C$98)-CROQUIS!$C$107)/MAX(CROQUIS!$C$126,1))+1)))-1,0),0,MOD($A13-1,5))+1,0,2,CROQUIS!$C$97-2,2,0)))*CROQUIS!$C$155)+IF(CROQUIS!$C$92="X",0,0)),-1000)</f>
        <v>-1000</v>
      </c>
      <c r="BJ13">
        <f>IF(AND(CROQUIS!$C$88=1,CROQUIS!$C$134&gt;0),((CROQUIS!$C$156+(IF(CROQUIS!$C$92="X",((CROQUIS!$C$107/2+(((CROQUIS!$C$97)-CROQUIS!$C$107)-(MIN(80,MAX(1,INT(((CROQUIS!$C$97)-CROQUIS!$C$107)/MAX(CROQUIS!$C$134,1))+1))-1)*CROQUIS!$C$134)/2)+MIN(INT(($A13-1)/5),MAX((MIN(80,MAX(1,INT(((CROQUIS!$C$97)-CROQUIS!$C$107)/MAX(CROQUIS!$C$134,1))+1)))-1,0))*CROQUIS!$C$134),CHOOSE(IF(INT(($A13-1)/5)&gt;MAX((MIN(80,MAX(1,INT(((CROQUIS!$C$97)-CROQUIS!$C$107)/MAX(CROQUIS!$C$134,1))+1)))-1,0),0,MOD($A13-1,5))+1,0,2,CROQUIS!$C$98-2,2,0)))*CROQUIS!$C$155)+IF(CROQUIS!$C$92="X",0,0)),-1000)</f>
        <v>-1000</v>
      </c>
      <c r="BK13">
        <f>IF(AND(CROQUIS!$C$88=1,CROQUIS!$C$134&gt;0),((CROQUIS!$C$157+(IF(CROQUIS!$C$92="X",CHOOSE(IF(INT(($A13-1)/5)&gt;MAX((MIN(80,MAX(1,INT(((CROQUIS!$C$97)-CROQUIS!$C$107)/MAX(CROQUIS!$C$134,1))+1)))-1,0),0,MOD($A13-1,5))+1,0,2,CROQUIS!$C$98-2,2,0),((CROQUIS!$C$107/2+(((CROQUIS!$C$97)-CROQUIS!$C$107)-(MIN(80,MAX(1,INT(((CROQUIS!$C$97)-CROQUIS!$C$107)/MAX(CROQUIS!$C$134,1))+1))-1)*CROQUIS!$C$134)/2)+MIN(INT(($A13-1)/5),MAX((MIN(80,MAX(1,INT(((CROQUIS!$C$97)-CROQUIS!$C$107)/MAX(CROQUIS!$C$134,1))+1)))-1,0))*CROQUIS!$C$134)))*CROQUIS!$C$155)+IF(CROQUIS!$C$92="X",0,0)),-1000)</f>
        <v>-1000</v>
      </c>
      <c r="BL13">
        <f>IF(AND(CROQUIS!$C$88=1,CROQUIS!$C$91=0,CROQUIS!$C$130&gt;0,OR(CROQUIS!$C$103=1,CROQUIS!$C$142=1)),((CROQUIS!$C$156+(IF(CROQUIS!$C$92="X",CHOOSE(IF(INT(($A13-1)/5)&gt;MAX((MIN(80,MAX(1,INT(((CROQUIS!$C$98)-CROQUIS!$C$107)/MAX(CROQUIS!$C$130,1))+1)))-1,0),0,MOD($A13-1,5))+1,0,IF(CROQUIS!$C$103=1,-12,2),CROQUIS!$C$107/2+CROQUIS!$C$140,IF(CROQUIS!$C$103=1,-12,2),0),((CROQUIS!$C$107/2+(((CROQUIS!$C$98)-CROQUIS!$C$107)-(MIN(80,MAX(1,INT(((CROQUIS!$C$98)-CROQUIS!$C$107)/MAX(CROQUIS!$C$130,1))+1))-1)*CROQUIS!$C$130)/2)+MIN(INT(($A13-1)/5),MAX((MIN(80,MAX(1,INT(((CROQUIS!$C$98)-CROQUIS!$C$107)/MAX(CROQUIS!$C$130,1))+1)))-1,0))*CROQUIS!$C$130)))*CROQUIS!$C$155)+IF(CROQUIS!$C$92="X",0,0)),-1000)</f>
        <v>-1000</v>
      </c>
      <c r="BM1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13-1)/5),MAX((MIN(80,MAX(1,INT(((CROQUIS!$C$98)-CROQUIS!$C$107)/MAX(CROQUIS!$C$130,1))+1)))-1,0))*CROQUIS!$C$130),CHOOSE(IF(INT(($A13-1)/5)&gt;MAX((MIN(80,MAX(1,INT(((CROQUIS!$C$98)-CROQUIS!$C$107)/MAX(CROQUIS!$C$130,1))+1)))-1,0),0,MOD($A13-1,5))+1,0,IF(CROQUIS!$C$103=1,-12,2),CROQUIS!$C$107/2+CROQUIS!$C$140,IF(CROQUIS!$C$103=1,-12,2),0)))*CROQUIS!$C$155)+IF(CROQUIS!$C$92="X",0,0)),-1000)</f>
        <v>-1000</v>
      </c>
      <c r="BN13">
        <f>IF(AND(CROQUIS!$C$88=1,CROQUIS!$C$91=0,CROQUIS!$C$130&gt;0,OR(CROQUIS!$C$104=1,CROQUIS!$C$142=1)),((CROQUIS!$C$156+(IF(CROQUIS!$C$92="X",CHOOSE(IF(INT(($A13-1)/5)&gt;MAX((MIN(80,MAX(1,INT(((CROQUIS!$C$98)-CROQUIS!$C$107)/MAX(CROQUIS!$C$130,1))+1)))-1,0),0,MOD($A13-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13-1)/5),MAX((MIN(80,MAX(1,INT(((CROQUIS!$C$98)-CROQUIS!$C$107)/MAX(CROQUIS!$C$130,1))+1)))-1,0))*CROQUIS!$C$130)))*CROQUIS!$C$155)+IF(CROQUIS!$C$92="X",0,0)),-1000)</f>
        <v>-1000</v>
      </c>
      <c r="BO1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13-1)/5),MAX((MIN(80,MAX(1,INT(((CROQUIS!$C$98)-CROQUIS!$C$107)/MAX(CROQUIS!$C$130,1))+1)))-1,0))*CROQUIS!$C$130),CHOOSE(IF(INT(($A13-1)/5)&gt;MAX((MIN(80,MAX(1,INT(((CROQUIS!$C$98)-CROQUIS!$C$107)/MAX(CROQUIS!$C$130,1))+1)))-1,0),0,MOD($A13-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13-1)/5),MAX((MIN(80,MAX(1,INT(((CROQUIS!$C$97)-CROQUIS!$C$107)/MAX(CROQUIS!$C$138,1))+1)))-1,0))*CROQUIS!$C$138),CHOOSE(IF(INT(($A13-1)/5)&gt;MAX((MIN(80,MAX(1,INT(((CROQUIS!$C$97)-CROQUIS!$C$107)/MAX(CROQUIS!$C$138,1))+1)))-1,0),0,MOD($A13-1,5))+1,0,IF(CROQUIS!$C$105=1,-12,2),CROQUIS!$C$107/2+CROQUIS!$C$141,IF(CROQUIS!$C$105=1,-12,2),0)))*CROQUIS!$C$155)+IF(CROQUIS!$C$92="X",0,0)),-1000)</f>
        <v>-1000</v>
      </c>
      <c r="BQ13">
        <f>IF(AND(CROQUIS!$C$88=1,CROQUIS!$C$91=0,CROQUIS!$C$138&gt;0,OR(CROQUIS!$C$105=1,CROQUIS!$C$143=1)),((CROQUIS!$C$157+(IF(CROQUIS!$C$92="X",CHOOSE(IF(INT(($A13-1)/5)&gt;MAX((MIN(80,MAX(1,INT(((CROQUIS!$C$97)-CROQUIS!$C$107)/MAX(CROQUIS!$C$138,1))+1)))-1,0),0,MOD($A13-1,5))+1,0,IF(CROQUIS!$C$105=1,-12,2),CROQUIS!$C$107/2+CROQUIS!$C$141,IF(CROQUIS!$C$105=1,-12,2),0),((CROQUIS!$C$107/2+(((CROQUIS!$C$97)-CROQUIS!$C$107)-(MIN(80,MAX(1,INT(((CROQUIS!$C$97)-CROQUIS!$C$107)/MAX(CROQUIS!$C$138,1))+1))-1)*CROQUIS!$C$138)/2)+MIN(INT(($A13-1)/5),MAX((MIN(80,MAX(1,INT(((CROQUIS!$C$97)-CROQUIS!$C$107)/MAX(CROQUIS!$C$138,1))+1)))-1,0))*CROQUIS!$C$138)))*CROQUIS!$C$155)+IF(CROQUIS!$C$92="X",0,0)),-1000)</f>
        <v>-1000</v>
      </c>
      <c r="BR1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13-1)/5),MAX((MIN(80,MAX(1,INT(((CROQUIS!$C$97)-CROQUIS!$C$107)/MAX(CROQUIS!$C$138,1))+1)))-1,0))*CROQUIS!$C$138),CHOOSE(IF(INT(($A13-1)/5)&gt;MAX((MIN(80,MAX(1,INT(((CROQUIS!$C$97)-CROQUIS!$C$107)/MAX(CROQUIS!$C$138,1))+1)))-1,0),0,MOD($A13-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3">
        <f>IF(AND(CROQUIS!$C$88=1,CROQUIS!$C$91=0,CROQUIS!$C$138&gt;0,OR(CROQUIS!$C$106=1,CROQUIS!$C$143=1)),((CROQUIS!$C$157+(IF(CROQUIS!$C$92="X",CHOOSE(IF(INT(($A13-1)/5)&gt;MAX((MIN(80,MAX(1,INT(((CROQUIS!$C$97)-CROQUIS!$C$107)/MAX(CROQUIS!$C$138,1))+1)))-1,0),0,MOD($A13-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13-1)/5),MAX((MIN(80,MAX(1,INT(((CROQUIS!$C$97)-CROQUIS!$C$107)/MAX(CROQUIS!$C$138,1))+1)))-1,0))*CROQUIS!$C$138)))*CROQUIS!$C$155)+IF(CROQUIS!$C$92="X",0,0)),-1000)</f>
        <v>-1000</v>
      </c>
      <c r="BT13">
        <f>IF(AND(CROQUIS!$C$88=1,CROQUIS!$C$91=1,CROQUIS!$C$130&gt;0),((CROQUIS!$C$156+(IF(CROQUIS!$C$92="X",CHOOSE(IF(INT(($A13-1)/5)&gt;MAX((MIN(80,MAX(1,INT(((CROQUIS!$C$98)-CROQUIS!$C$107)/MAX(CROQUIS!$C$130,1))+1)))-1,0),0,MOD($A13-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13-1)/5),MAX((MIN(80,MAX(1,INT(((CROQUIS!$C$98)-CROQUIS!$C$107)/MAX(CROQUIS!$C$130,1))+1)))-1,0))*CROQUIS!$C$130)))*CROQUIS!$C$155)+IF(CROQUIS!$C$92="X",0,0)),-1000)</f>
        <v>-1000</v>
      </c>
      <c r="BU13">
        <f>IF(AND(CROQUIS!$C$88=1,CROQUIS!$C$91=1,CROQUIS!$C$130&gt;0),((CROQUIS!$C$157+(IF(CROQUIS!$C$92="X",((CROQUIS!$C$107/2+(((CROQUIS!$C$98)-CROQUIS!$C$107)-(MIN(80,MAX(1,INT(((CROQUIS!$C$98)-CROQUIS!$C$107)/MAX(CROQUIS!$C$130,1))+1))-1)*CROQUIS!$C$130)/2)+MIN(INT(($A13-1)/5),MAX((MIN(80,MAX(1,INT(((CROQUIS!$C$98)-CROQUIS!$C$107)/MAX(CROQUIS!$C$130,1))+1)))-1,0))*CROQUIS!$C$130),CHOOSE(IF(INT(($A13-1)/5)&gt;MAX((MIN(80,MAX(1,INT(((CROQUIS!$C$98)-CROQUIS!$C$107)/MAX(CROQUIS!$C$130,1))+1)))-1,0),0,MOD($A13-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BV13">
        <f>IF(AND(CROQUIS!$C$87=1),CHOOSE(MIN(MAX($A13,1),9),(50+(-CROQUIS!$C$113/2)*CROQUIS!$C$173),(50+(CROQUIS!$C$113/2)*CROQUIS!$C$173),(50+(CROQUIS!$C$113/2)*CROQUIS!$C$173),(50+(CROQUIS!$C$111/2)*CROQUIS!$C$173),(50+(CROQUIS!$C$111/2)*CROQUIS!$C$173),(50+(-CROQUIS!$C$111/2)*CROQUIS!$C$173),(50+(-CROQUIS!$C$111/2)*CROQUIS!$C$173),(50+(-CROQUIS!$C$113/2)*CROQUIS!$C$173),(50+(-CROQUIS!$C$113/2)*CROQUIS!$C$173)),-1000)</f>
        <v>45.2272727272727</v>
      </c>
      <c r="BW13">
        <f>IF(AND(CROQUIS!$C$87=1),CHOOSE(MIN(MAX($A13,1),9),(12+(CROQUIS!$C$108)*CROQUIS!$C$173),(12+(CROQUIS!$C$108)*CROQUIS!$C$173),(12+(CROQUIS!$C$114)*CROQUIS!$C$173),(12+(CROQUIS!$C$114)*CROQUIS!$C$173),(12+(0)*CROQUIS!$C$173),(12+(0)*CROQUIS!$C$173),(12+(CROQUIS!$C$114)*CROQUIS!$C$173),(12+(CROQUIS!$C$114)*CROQUIS!$C$173),(12+(CROQUIS!$C$108)*CROQUIS!$C$173)),-1000)</f>
        <v>12</v>
      </c>
      <c r="CD13">
        <f>IF(AND(CROQUIS!$C$87=1,CROQUIS!$C$126&gt;=1),(50+(((1-(CROQUIS!$C$126+1)/2)*(MAX(CROQUIS!$C$118,CROQUIS!$C$125)+CROQUIS!$C$125))+CROQUIS!$C$125/2*COS(2*PI()*(MIN($A13,13)-1)/12))*CROQUIS!$C$173),-1000)</f>
        <v>49.4750705109334</v>
      </c>
      <c r="CE13">
        <f>IF(AND(CROQUIS!$C$87=1,CROQUIS!$C$126&gt;=1),(12+((CROQUIS!$C$109+CROQUIS!$C$125/2)+CROQUIS!$C$125/2*SIN(2*PI()*(MIN($A13,13)-1)/12))*CROQUIS!$C$173),-1000)</f>
        <v>14.8182954545455</v>
      </c>
      <c r="CF13">
        <f>IF(AND(CROQUIS!$C$87=1,CROQUIS!$C$126&gt;=2),(50+(((2-(CROQUIS!$C$126+1)/2)*(MAX(CROQUIS!$C$118,CROQUIS!$C$125)+CROQUIS!$C$125))+CROQUIS!$C$125/2*COS(2*PI()*(MIN($A13,13)-1)/12))*CROQUIS!$C$173),-1000)</f>
        <v>-1000</v>
      </c>
      <c r="CG13">
        <f>IF(AND(CROQUIS!$C$87=1,CROQUIS!$C$126&gt;=2),(12+((CROQUIS!$C$109+CROQUIS!$C$125/2)+CROQUIS!$C$125/2*SIN(2*PI()*(MIN($A13,13)-1)/12))*CROQUIS!$C$173),-1000)</f>
        <v>-1000</v>
      </c>
      <c r="CH13">
        <f>IF(AND(CROQUIS!$C$87=1,CROQUIS!$C$126&gt;=3),(50+(((3-(CROQUIS!$C$126+1)/2)*(MAX(CROQUIS!$C$118,CROQUIS!$C$125)+CROQUIS!$C$125))+CROQUIS!$C$125/2*COS(2*PI()*(MIN($A13,13)-1)/12))*CROQUIS!$C$173),-1000)</f>
        <v>-1000</v>
      </c>
      <c r="CI13">
        <f>IF(AND(CROQUIS!$C$87=1,CROQUIS!$C$126&gt;=3),(12+((CROQUIS!$C$109+CROQUIS!$C$125/2)+CROQUIS!$C$125/2*SIN(2*PI()*(MIN($A13,13)-1)/12))*CROQUIS!$C$173),-1000)</f>
        <v>-1000</v>
      </c>
      <c r="CJ13">
        <f>IF(AND(CROQUIS!$C$87=1,CROQUIS!$C$130&gt;=1),(50+(((1-(CROQUIS!$C$130+1)/2)*(MAX(CROQUIS!$C$118,CROQUIS!$C$129)+CROQUIS!$C$129))+CROQUIS!$C$129/2*COS(2*PI()*(MIN($A13,13)-1)/12))*CROQUIS!$C$173),-1000)</f>
        <v>49.4750705109334</v>
      </c>
      <c r="CK13">
        <f>IF(AND(CROQUIS!$C$87=1,CROQUIS!$C$130&gt;=1),(12+((CROQUIS!$C$108-CROQUIS!$C$117-2*CROQUIS!$C$116-CROQUIS!$C$129/2)+CROQUIS!$C$129/2*SIN(2*PI()*(MIN($A13,13)-1)/12))*CROQUIS!$C$173),-1000)</f>
        <v>32.1509318181818</v>
      </c>
      <c r="CL13">
        <f>IF(AND(CROQUIS!$C$87=1,CROQUIS!$C$130&gt;=2),(50+(((2-(CROQUIS!$C$130+1)/2)*(MAX(CROQUIS!$C$118,CROQUIS!$C$129)+CROQUIS!$C$129))+CROQUIS!$C$129/2*COS(2*PI()*(MIN($A13,13)-1)/12))*CROQUIS!$C$173),-1000)</f>
        <v>-1000</v>
      </c>
      <c r="CM13">
        <f>IF(AND(CROQUIS!$C$87=1,CROQUIS!$C$130&gt;=2),(12+((CROQUIS!$C$108-CROQUIS!$C$117-2*CROQUIS!$C$116-CROQUIS!$C$129/2)+CROQUIS!$C$129/2*SIN(2*PI()*(MIN($A13,13)-1)/12))*CROQUIS!$C$173),-1000)</f>
        <v>-1000</v>
      </c>
      <c r="CN13">
        <f>IF(AND(CROQUIS!$C$87=1,CROQUIS!$C$130&gt;=3),(50+(((3-(CROQUIS!$C$130+1)/2)*(MAX(CROQUIS!$C$118,CROQUIS!$C$129)+CROQUIS!$C$129))+CROQUIS!$C$129/2*COS(2*PI()*(MIN($A13,13)-1)/12))*CROQUIS!$C$173),-1000)</f>
        <v>-1000</v>
      </c>
      <c r="CO13">
        <f>IF(AND(CROQUIS!$C$87=1,CROQUIS!$C$130&gt;=3),(12+((CROQUIS!$C$108-CROQUIS!$C$117-2*CROQUIS!$C$116-CROQUIS!$C$129/2)+CROQUIS!$C$129/2*SIN(2*PI()*(MIN($A13,13)-1)/12))*CROQUIS!$C$173),-1000)</f>
        <v>-1000</v>
      </c>
      <c r="CP13">
        <f>IF(AND(CROQUIS!$C$87=1),CHOOSE(MIN(MAX($A13,1),7),(50+(-CROQUIS!$C$111/2)*CROQUIS!$C$173),(50+(-CROQUIS!$C$111/2)*CROQUIS!$C$173),(50+(-CROQUIS!$C$111/2)*CROQUIS!$C$173),((50+(-CROQUIS!$C$111/2)*CROQUIS!$C$173)+(50+(CROQUIS!$C$111/2)*CROQUIS!$C$173))/2,(50+(CROQUIS!$C$111/2)*CROQUIS!$C$173),(50+(CROQUIS!$C$111/2)*CROQUIS!$C$173),(50+(CROQUIS!$C$111/2)*CROQUIS!$C$173)),-1000)</f>
        <v>54.7727272727273</v>
      </c>
      <c r="CQ13">
        <f>IF(AND(CROQUIS!$C$87=1),CHOOSE(MIN(MAX($A13,1),7),(12+(-4)*CROQUIS!$C$173)-1.4,(12+(-4)*CROQUIS!$C$173)+1.4,(12+(-4)*CROQUIS!$C$173),(12+(-4)*CROQUIS!$C$173),(12+(-4)*CROQUIS!$C$173),(12+(-4)*CROQUIS!$C$173)+1.4,(12+(-4)*CROQUIS!$C$173)-1.4),-1000)</f>
        <v>9.58181818181818</v>
      </c>
      <c r="CR13">
        <f>IF(AND(CROQUIS!$C$87=1),CHOOSE(MIN(MAX($A13,1),7),(50+(-CROQUIS!$C$113/2)*CROQUIS!$C$173),(50+(-CROQUIS!$C$113/2)*CROQUIS!$C$173),(50+(-CROQUIS!$C$113/2)*CROQUIS!$C$173),((50+(-CROQUIS!$C$113/2)*CROQUIS!$C$173)+(50+(CROQUIS!$C$113/2)*CROQUIS!$C$173))/2,(50+(CROQUIS!$C$113/2)*CROQUIS!$C$173),(50+(CROQUIS!$C$113/2)*CROQUIS!$C$173),(50+(CROQUIS!$C$113/2)*CROQUIS!$C$173)),-1000)</f>
        <v>83.4090909090909</v>
      </c>
      <c r="CS13">
        <f>IF(AND(CROQUIS!$C$87=1),CHOOSE(MIN(MAX($A13,1),7),(12+(CROQUIS!$C$108+4)*CROQUIS!$C$173)-1.4,(12+(CROQUIS!$C$108+4)*CROQUIS!$C$173)+1.4,(12+(CROQUIS!$C$108+4)*CROQUIS!$C$173),(12+(CROQUIS!$C$108+4)*CROQUIS!$C$173),(12+(CROQUIS!$C$108+4)*CROQUIS!$C$173),(12+(CROQUIS!$C$108+4)*CROQUIS!$C$173)+1.4,(12+(CROQUIS!$C$108+4)*CROQUIS!$C$173)-1.4),-1000)</f>
        <v>41.0818181818182</v>
      </c>
      <c r="CT13">
        <f>IF(AND(CROQUIS!$C$87=1),CHOOSE(MIN(MAX($A13,1),7),(50+(CROQUIS!$C$113/2+4)*CROQUIS!$C$173)-1.4,(50+(CROQUIS!$C$113/2+4)*CROQUIS!$C$173)+1.4,(50+(CROQUIS!$C$113/2+4)*CROQUIS!$C$173),(50+(CROQUIS!$C$113/2+4)*CROQUIS!$C$173),(50+(CROQUIS!$C$113/2+4)*CROQUIS!$C$173),(50+(CROQUIS!$C$113/2+4)*CROQUIS!$C$173)+1.4,(50+(CROQUIS!$C$113/2+4)*CROQUIS!$C$173)-1.4),-1000)</f>
        <v>88.6272727272727</v>
      </c>
      <c r="CU13">
        <f>IF(AND(CROQUIS!$C$87=1),CHOOSE(MIN(MAX($A13,1),7),(12+(0)*CROQUIS!$C$173),(12+(0)*CROQUIS!$C$173),(12+(0)*CROQUIS!$C$173),((12+(0)*CROQUIS!$C$173)+(12+(CROQUIS!$C$108)*CROQUIS!$C$173))/2,(12+(CROQUIS!$C$108)*CROQUIS!$C$173),(12+(CROQUIS!$C$108)*CROQUIS!$C$173),(12+(CROQUIS!$C$108)*CROQUIS!$C$173)),-1000)</f>
        <v>35.8636363636364</v>
      </c>
      <c r="CV13">
        <f>IF(AND(CROQUIS!$C$87=1),CHOOSE(MIN(MAX($A13,1),7),(50+(-CROQUIS!$C$113/2-4)*CROQUIS!$C$173)-1.4,(50+(-CROQUIS!$C$113/2-4)*CROQUIS!$C$173)+1.4,(50+(-CROQUIS!$C$113/2-4)*CROQUIS!$C$173),(50+(-CROQUIS!$C$113/2-4)*CROQUIS!$C$173),(50+(-CROQUIS!$C$113/2-4)*CROQUIS!$C$173),(50+(-CROQUIS!$C$113/2-4)*CROQUIS!$C$173)+1.4,(50+(-CROQUIS!$C$113/2-4)*CROQUIS!$C$173)-1.4),-1000)</f>
        <v>14.1727272727273</v>
      </c>
      <c r="CW13">
        <f>IF(AND(CROQUIS!$C$87=1),CHOOSE(MIN(MAX($A13,1),7),(12+(CROQUIS!$C$108-CROQUIS!$C$147)*CROQUIS!$C$173),(12+(CROQUIS!$C$108-CROQUIS!$C$147)*CROQUIS!$C$173),(12+(CROQUIS!$C$108-CROQUIS!$C$147)*CROQUIS!$C$173),((12+(CROQUIS!$C$108-CROQUIS!$C$147)*CROQUIS!$C$173)+(12+(CROQUIS!$C$108)*CROQUIS!$C$173))/2,(12+(CROQUIS!$C$108)*CROQUIS!$C$173),(12+(CROQUIS!$C$108)*CROQUIS!$C$173),(12+(CROQUIS!$C$108)*CROQUIS!$C$173)),-1000)</f>
        <v>35.8636363636364</v>
      </c>
      <c r="DB13">
        <f>IF(AND(CROQUIS!$C$88=1,CROQUIS!$C$134&gt;0),(50+((-(MIN(12,INT(58/MAX(CROQUIS!$C$134,1))+1)-1)*CROQUIS!$C$134/2+(MIN($A13,MIN(12,INT(58/MAX(CROQUIS!$C$134,1))+1))-1)*CROQUIS!$C$134))*CROQUIS!$C$174),-1000)</f>
        <v>-1000</v>
      </c>
      <c r="DC13">
        <f>IF(AND(CROQUIS!$C$88=1,CROQUIS!$C$134&gt;0),(12+((CROQUIS!$C$109+CROQUIS!$C$125+CROQUIS!$C$133/2))*CROQUIS!$C$174),-1000)</f>
        <v>-1000</v>
      </c>
      <c r="DD13">
        <f>IF(AND(CROQUIS!$C$88=1,CROQUIS!$C$138&gt;0),(50+((-(MIN(12,INT(58/MAX(CROQUIS!$C$138,1))+1)-1)*CROQUIS!$C$138/2+(MIN($A13,MIN(12,INT(58/MAX(CROQUIS!$C$138,1))+1))-1)*CROQUIS!$C$138))*CROQUIS!$C$174),-1000)</f>
        <v>-1000</v>
      </c>
      <c r="DE13">
        <f>IF(AND(CROQUIS!$C$88=1,CROQUIS!$C$138&gt;0),(12+((CROQUIS!$C$108-CROQUIS!$C$110-CROQUIS!$C$129-CROQUIS!$C$137/2))*CROQUIS!$C$174),-1000)</f>
        <v>-1000</v>
      </c>
      <c r="DH13">
        <f>IF(AND(CROQUIS!$C$88=1),CHOOSE(MIN(MAX($A13,1),7),(50+(33)*CROQUIS!$C$174)-1.4,(50+(33)*CROQUIS!$C$174)+1.4,(50+(33)*CROQUIS!$C$174),(50+(33)*CROQUIS!$C$174),(50+(33)*CROQUIS!$C$174),(50+(33)*CROQUIS!$C$174)+1.4,(50+(33)*CROQUIS!$C$174)-1.4),-1000)</f>
        <v>-1000</v>
      </c>
      <c r="DI13">
        <f>IF(AND(CROQUIS!$C$88=1),CHOOSE(MIN(MAX($A13,1),7),(12+(0)*CROQUIS!$C$174),(12+(0)*CROQUIS!$C$174),(12+(0)*CROQUIS!$C$174),((12+(0)*CROQUIS!$C$174)+(12+(CROQUIS!$C$108)*CROQUIS!$C$174))/2,(12+(CROQUIS!$C$108)*CROQUIS!$C$174),(12+(CROQUIS!$C$108)*CROQUIS!$C$174),(12+(CROQUIS!$C$108)*CROQUIS!$C$174)),-1000)</f>
        <v>-1000</v>
      </c>
      <c r="DJ13">
        <f>IF(AND(CROQUIS!$C$88=1),CHOOSE(MIN(MAX($A13,1),7),(50+(-33)*CROQUIS!$C$174)-0.8,(50+(-33)*CROQUIS!$C$174)+0.8,(50+(-33)*CROQUIS!$C$174),(50+(-33)*CROQUIS!$C$174),(50+(-33)*CROQUIS!$C$174),(50+(-33)*CROQUIS!$C$174)+0.8,(50+(-33)*CROQUIS!$C$174)-0.8),-1000)</f>
        <v>-1000</v>
      </c>
      <c r="DK13">
        <f>IF(AND(CROQUIS!$C$88=1),CHOOSE(MIN(MAX($A13,1),7),(12+(0)*CROQUIS!$C$174),(12+(0)*CROQUIS!$C$174),(12+(0)*CROQUIS!$C$174),((12+(0)*CROQUIS!$C$174)+(12+(CROQUIS!$C$109)*CROQUIS!$C$174))/2,(12+(CROQUIS!$C$109)*CROQUIS!$C$174),(12+(CROQUIS!$C$109)*CROQUIS!$C$174),(12+(CROQUIS!$C$109)*CROQUIS!$C$174)),-1000)</f>
        <v>-1000</v>
      </c>
      <c r="DL13">
        <f>IF(AND(CROQUIS!$C$88=1),CHOOSE(MIN(MAX($A13,1),7),(50+(-33)*CROQUIS!$C$174)-0.8,(50+(-33)*CROQUIS!$C$174)+0.8,(50+(-33)*CROQUIS!$C$174),(50+(-33)*CROQUIS!$C$174),(50+(-33)*CROQUIS!$C$174),(50+(-33)*CROQUIS!$C$174)+0.8,(50+(-33)*CROQUIS!$C$174)-0.8),-1000)</f>
        <v>-1000</v>
      </c>
      <c r="DM13">
        <f>IF(AND(CROQUIS!$C$88=1),CHOOSE(MIN(MAX($A13,1),7),(12+(CROQUIS!$C$108-CROQUIS!$C$110)*CROQUIS!$C$174),(12+(CROQUIS!$C$108-CROQUIS!$C$110)*CROQUIS!$C$174),(12+(CROQUIS!$C$108-CROQUIS!$C$110)*CROQUIS!$C$174),((12+(CROQUIS!$C$108-CROQUIS!$C$110)*CROQUIS!$C$174)+(12+(CROQUIS!$C$108)*CROQUIS!$C$174))/2,(12+(CROQUIS!$C$108)*CROQUIS!$C$174),(12+(CROQUIS!$C$108)*CROQUIS!$C$174),(12+(CROQUIS!$C$108)*CROQUIS!$C$174)),-1000)</f>
        <v>-1000</v>
      </c>
      <c r="DN13">
        <f>IF(AND(CROQUIS!$C$88=1,MIN(12,INT(58/MAX(CROQUIS!$C$134,1))+1)&gt;=2),CHOOSE(MIN(MAX($A13,1),7),(50+((-(MIN(12,INT(58/MAX(CROQUIS!$C$134,1))+1)-1)*CROQUIS!$C$134/2))*CROQUIS!$C$174),(50+((-(MIN(12,INT(58/MAX(CROQUIS!$C$134,1))+1)-1)*CROQUIS!$C$134/2))*CROQUIS!$C$174),(50+((-(MIN(12,INT(58/MAX(CROQUIS!$C$134,1))+1)-1)*CROQUIS!$C$134/2))*CROQUIS!$C$174),((50+((-(MIN(12,INT(58/MAX(CROQUIS!$C$134,1))+1)-1)*CROQUIS!$C$134/2))*CROQUIS!$C$174)+(50+((-(MIN(12,INT(58/MAX(CROQUIS!$C$134,1))+1)-1)*CROQUIS!$C$134/2)+CROQUIS!$C$134)*CROQUIS!$C$174))/2,(50+((-(MIN(12,INT(58/MAX(CROQUIS!$C$134,1))+1)-1)*CROQUIS!$C$134/2)+CROQUIS!$C$134)*CROQUIS!$C$174),(50+((-(MIN(12,INT(58/MAX(CROQUIS!$C$134,1))+1)-1)*CROQUIS!$C$134/2)+CROQUIS!$C$134)*CROQUIS!$C$174),(50+((-(MIN(12,INT(58/MAX(CROQUIS!$C$134,1))+1)-1)*CROQUIS!$C$134/2)+CROQUIS!$C$134)*CROQUIS!$C$174)),-1000)</f>
        <v>-1000</v>
      </c>
      <c r="DO13">
        <f>IF(AND(CROQUIS!$C$88=1,MIN(12,INT(58/MAX(CROQUIS!$C$134,1))+1)&gt;=2),CHOOSE(MIN(MAX($A13,1),7),(12+(-4)*CROQUIS!$C$174)-1.4,(12+(-4)*CROQUIS!$C$174)+1.4,(12+(-4)*CROQUIS!$C$174),(12+(-4)*CROQUIS!$C$174),(12+(-4)*CROQUIS!$C$174),(12+(-4)*CROQUIS!$C$174)+1.4,(12+(-4)*CROQUIS!$C$174)-1.4),-1000)</f>
        <v>-1000</v>
      </c>
      <c r="DR13">
        <f>IF(AND(CROQUIS!$C$87=1),CHOOSE(MIN(MAX($A13,1)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87.2842105263158</v>
      </c>
      <c r="DS13">
        <f>IF(AND(CROQUIS!$C$87=1),CHOOSE(MIN(MAX($A13,1),10),30,30,20,20,30,IF(CROQUIS!$C$91=1,30,30),IF(CROQUIS!$C$91=1,30,30),IF(CROQUIS!$C$91=1,30,20),IF(CROQUIS!$C$91=1,30,20),IF(CROQUIS!$C$91=1,30,30)),-1000)</f>
        <v>30</v>
      </c>
      <c r="EF13">
        <f>IF(AND(CROQUIS!$C$87=1),CHOOSE(MIN(MAX($A13,1)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88.7368421052632</v>
      </c>
      <c r="EG13">
        <f>IF(AND(CROQUIS!$C$87=1),CHOOSE(MIN(MAX($A13,1),7),15-1.4,15+1.4,15,15,15,15+1.4,15-1.4),-1000)</f>
        <v>16.4</v>
      </c>
      <c r="EH13">
        <f>IF(AND(CROQUIS!$C$87=1,OR(CROQUIS!$C$91=1,AND(CROQUIS!$C$130&gt;=2,OR(CROQUIS!$C$103=1,CROQUIS!$C$142=1)))),CHOOSE(MIN(MAX($A13,1)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EI13">
        <f>IF(AND(CROQUIS!$C$87=1,OR(CROQUIS!$C$91=1,AND(CROQUIS!$C$130&gt;=2,OR(CROQUIS!$C$103=1,CROQUIS!$C$142=1)))),CHOOSE(MIN(MAX($A13,1)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  <c r="EN13">
        <f>IF(AND(CROQUIS!$C$88=1),CHOOSE(MIN(MAX($A13,1)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-1000</v>
      </c>
      <c r="EO13">
        <f>IF(AND(CROQUIS!$C$88=1),CHOOSE(MIN(MAX($A13,1),10),30,30,20,20,30,IF(CROQUIS!$C$91=1,30,30),IF(CROQUIS!$C$91=1,30,30),IF(CROQUIS!$C$91=1,30,20),IF(CROQUIS!$C$91=1,30,20),IF(CROQUIS!$C$91=1,30,30)),-1000)</f>
        <v>-1000</v>
      </c>
      <c r="EX13">
        <f>IF(AND(CROQUIS!$C$88=1),CHOOSE(MIN(MAX($A13,1)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-1000</v>
      </c>
      <c r="EY13">
        <f>IF(AND(CROQUIS!$C$88=1),CHOOSE(MIN(MAX($A13,1),7),15-1.4,15+1.4,15,15,15,15+1.4,15-1.4),-1000)</f>
        <v>-1000</v>
      </c>
      <c r="EZ13">
        <f>IF(AND(CROQUIS!$C$88=1,OR(CROQUIS!$C$91=1,AND(CROQUIS!$C$130&gt;0,OR(CROQUIS!$C$103=1,CROQUIS!$C$142=1)))),CHOOSE(MIN(MAX($A13,1)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FA13">
        <f>IF(AND(CROQUIS!$C$88=1,OR(CROQUIS!$C$91=1,AND(CROQUIS!$C$130&gt;0,OR(CROQUIS!$C$103=1,CROQUIS!$C$142=1)))),CHOOSE(MIN(MAX($A13,1)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</row>
    <row r="14">
      <c r="A14" t="n">
        <v>7</v>
      </c>
      <c r="F14">
        <f>IF(AND(CROQUIS!$C$87=1,CROQUIS!$C$91=1),((CROQUIS!$C$156+(IF(CROQUIS!$C$92="X",IF(CROQUIS!$C$94=1,0,CROQUIS!$C$97)+IF(MOD($A14,2)=1,-CROQUIS!$C$107/2,CROQUIS!$C$107/2),(MIN($A14,41)-1)/40*CROQUIS!$C$98))*CROQUIS!$C$155)+IF(CROQUIS!$C$92="X",0,0)),-1000)</f>
        <v>-1000</v>
      </c>
      <c r="G14">
        <f>IF(AND(CROQUIS!$C$87=1,CROQUIS!$C$91=1),((CROQUIS!$C$157+(IF(CROQUIS!$C$92="X",(MIN($A14,41)-1)/40*CROQUIS!$C$98,IF(CROQUIS!$C$94=1,0,CROQUIS!$C$97)+IF(MOD($A14,2)=1,-CROQUIS!$C$107/2,CROQUIS!$C$107/2)))*CROQUIS!$C$155)+IF(CROQUIS!$C$92="X",0,0)),-1000)</f>
        <v>-1000</v>
      </c>
      <c r="L14">
        <f>IF(AND(CROQUIS!$C$87=1),CHOOSE(MIN(MAX($A14,1)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88</v>
      </c>
      <c r="M14">
        <f>IF(AND(CROQUIS!$C$87=1),CHOOSE(MIN(MAX($A14,1)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9.25747853592409</v>
      </c>
      <c r="N14">
        <f>IF(AND(CROQUIS!$C$87=1),CHOOSE(MIN(MAX($A14,1)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5.6</v>
      </c>
      <c r="O14">
        <f>IF(AND(CROQUIS!$C$87=1),CHOOSE(MIN(MAX($A14,1)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84.3425214640759</v>
      </c>
      <c r="T14">
        <f>IF(AND(CROQUIS!$C$88=1,CROQUIS!$C$91=1),((CROQUIS!$C$156+(IF(CROQUIS!$C$92="X",IF(CROQUIS!$C$94=1,0,CROQUIS!$C$97)+IF(MOD($A14,2)=1,-CROQUIS!$C$107/2,CROQUIS!$C$107/2),(MIN($A14,41)-1)/40*CROQUIS!$C$98))*CROQUIS!$C$155)+IF(CROQUIS!$C$92="X",0,0)),-1000)</f>
        <v>-1000</v>
      </c>
      <c r="U14">
        <f>IF(AND(CROQUIS!$C$88=1,CROQUIS!$C$91=1),((CROQUIS!$C$157+(IF(CROQUIS!$C$92="X",(MIN($A14,41)-1)/40*CROQUIS!$C$98,IF(CROQUIS!$C$94=1,0,CROQUIS!$C$97)+IF(MOD($A14,2)=1,-CROQUIS!$C$107/2,CROQUIS!$C$107/2)))*CROQUIS!$C$155)+IF(CROQUIS!$C$92="X",0,0)),-1000)</f>
        <v>-1000</v>
      </c>
      <c r="Z14">
        <f>IF(AND(CROQUIS!$C$88=1),CHOOSE(MIN(MAX($A14,1),7),(CROQUIS!$C$156+(0)*CROQUIS!$C$155),(CROQUIS!$C$156+(0)*CROQUIS!$C$155),(CROQUIS!$C$156+(0)*CROQUIS!$C$155),((CROQUIS!$C$156+(0)*CROQUIS!$C$155)+(CROQUIS!$C$156+(CROQUIS!$C$95)*CROQUIS!$C$155))/2,(CROQUIS!$C$156+(CROQUIS!$C$95)*CROQUIS!$C$155),(CROQUIS!$C$156+(CROQUIS!$C$95)*CROQUIS!$C$155),(CROQUIS!$C$156+(CROQUIS!$C$95)*CROQUIS!$C$155)),-1000)</f>
        <v>-1000</v>
      </c>
      <c r="AA14">
        <f>IF(AND(CROQUIS!$C$88=1),CHOOSE(MIN(MAX($A14,1),7),((CROQUIS!$C$157+(CROQUIS!$C$153)*CROQUIS!$C$155)-5)-1.4,((CROQUIS!$C$157+(CROQUIS!$C$153)*CROQUIS!$C$155)-5)+1.4,((CROQUIS!$C$157+(CROQUIS!$C$153)*CROQUIS!$C$155)-5),((CROQUIS!$C$157+(CROQUIS!$C$153)*CROQUIS!$C$155)-5),((CROQUIS!$C$157+(CROQUIS!$C$153)*CROQUIS!$C$155)-5),((CROQUIS!$C$157+(CROQUIS!$C$153)*CROQUIS!$C$155)-5)+1.4,((CROQUIS!$C$157+(CROQUIS!$C$153)*CROQUIS!$C$155)-5)-1.4),-1000)</f>
        <v>-1000</v>
      </c>
      <c r="AB14">
        <f>IF(AND(CROQUIS!$C$88=1),CHOOSE(MIN(MAX($A14,1),7),((CROQUIS!$C$156+(CROQUIS!$C$151)*CROQUIS!$C$155)-5)-1.4,((CROQUIS!$C$156+(CROQUIS!$C$151)*CROQUIS!$C$155)-5)+1.4,((CROQUIS!$C$156+(CROQUIS!$C$151)*CROQUIS!$C$155)-5),((CROQUIS!$C$156+(CROQUIS!$C$151)*CROQUIS!$C$155)-5),((CROQUIS!$C$156+(CROQUIS!$C$151)*CROQUIS!$C$155)-5),((CROQUIS!$C$156+(CROQUIS!$C$151)*CROQUIS!$C$155)-5)+1.4,((CROQUIS!$C$156+(CROQUIS!$C$151)*CROQUIS!$C$155)-5)-1.4),-1000)</f>
        <v>-1000</v>
      </c>
      <c r="AC14">
        <f>IF(AND(CROQUIS!$C$88=1),CHOOSE(MIN(MAX($A14,1),7),(CROQUIS!$C$157+(0)*CROQUIS!$C$155),(CROQUIS!$C$157+(0)*CROQUIS!$C$155),(CROQUIS!$C$157+(0)*CROQUIS!$C$155),((CROQUIS!$C$157+(0)*CROQUIS!$C$155)+(CROQUIS!$C$157+(CROQUIS!$C$96)*CROQUIS!$C$155))/2,(CROQUIS!$C$157+(CROQUIS!$C$96)*CROQUIS!$C$155),(CROQUIS!$C$157+(CROQUIS!$C$96)*CROQUIS!$C$155),(CROQUIS!$C$157+(CROQUIS!$C$96)*CROQUIS!$C$155)),-1000)</f>
        <v>-1000</v>
      </c>
      <c r="AF14">
        <f>IF(AND(CROQUIS!$C$87=1,CROQUIS!$C$158&gt;0,CROQUIS!$C$160&gt;0),(CROQUIS!$C$156+((CROQUIS!$C$159+INT(MIN(INT(($A14-1)/2),MAX((2*CROQUIS!$C$158)-1,0))/2)*CROQUIS!$C$113+MOD(MIN(INT(($A14-1)/2),MAX((2*CROQUIS!$C$158)-1,0)),2)*CROQUIS!$C$112))*CROQUIS!$C$155),-1000)</f>
        <v>37.1215544509715</v>
      </c>
      <c r="AG14">
        <f>IF(AND(CROQUIS!$C$87=1,CROQUIS!$C$158&gt;0,CROQUIS!$C$160&gt;0),(CROQUIS!$C$157+(IF(MOD(MIN(INT(($A14-1)/2),MAX((2*CROQUIS!$C$158)-1,0)),2)=0,IF(IF(INT(($A14-1)/2)&gt;MAX((2*CROQUIS!$C$158)-1,0),1,MOD($A14-1,2))=0,CROQUIS!$C$161,(CROQUIS!$C$161+CROQUIS!$C$160*CROQUIS!$C$113-CROQUIS!$C$111)),IF(IF(INT(($A14-1)/2)&gt;MAX((2*CROQUIS!$C$158)-1,0),1,MOD($A14-1,2))=0,(CROQUIS!$C$161+CROQUIS!$C$160*CROQUIS!$C$113-CROQUIS!$C$111),CROQUIS!$C$161)))*CROQUIS!$C$155),-1000)</f>
        <v>79.1911432444645</v>
      </c>
      <c r="AH14">
        <f>IF(AND(CROQUIS!$C$87=1,CROQUIS!$C$160&gt;0,CROQUIS!$C$158&gt;0),(CROQUIS!$C$156+(IF(MOD(MIN(INT(($A14-1)/2),MAX((2*CROQUIS!$C$160)-1,0)),2)=0,IF(IF(INT(($A14-1)/2)&gt;MAX((2*CROQUIS!$C$160)-1,0),1,MOD($A14-1,2))=0,CROQUIS!$C$159,(CROQUIS!$C$159+CROQUIS!$C$158*CROQUIS!$C$113-CROQUIS!$C$111)),IF(IF(INT(($A14-1)/2)&gt;MAX((2*CROQUIS!$C$160)-1,0),1,MOD($A14-1,2))=0,(CROQUIS!$C$159+CROQUIS!$C$158*CROQUIS!$C$113-CROQUIS!$C$111),CROQUIS!$C$159)))*CROQUIS!$C$155),-1000)</f>
        <v>85.2010845006778</v>
      </c>
      <c r="AI14">
        <f>IF(AND(CROQUIS!$C$87=1,CROQUIS!$C$160&gt;0,CROQUIS!$C$158&gt;0),(CROQUIS!$C$157+((CROQUIS!$C$161+INT(MIN(INT(($A14-1)/2),MAX((2*CROQUIS!$C$160)-1,0))/2)*CROQUIS!$C$113+MOD(MIN(INT(($A14-1)/2),MAX((2*CROQUIS!$C$160)-1,0)),2)*CROQUIS!$C$112))*CROQUIS!$C$155),-1000)</f>
        <v>43.1314957071848</v>
      </c>
      <c r="AJ14">
        <f>IF(AND(CROQUIS!$C$87=1,CROQUIS!$C$158&gt;=2),(CROQUIS!$C$156+((CROQUIS!$C$159+CROQUIS!$C$112+CROQUIS!$C$111/2+MIN(INT(($A14-1)/2),MAX((CROQUIS!$C$158-1)-1,0))*CROQUIS!$C$113))*CROQUIS!$C$155),-1000)</f>
        <v>62.0198825124266</v>
      </c>
      <c r="AK14">
        <f>IF(AND(CROQUIS!$C$87=1,CROQUIS!$C$158&gt;=2),(CROQUIS!$C$157+(IF(MOD(MIN(INT(($A14-1)/2),MAX((CROQUIS!$C$158-1)-1,0)),2)=0,IF(IF(INT(($A14-1)/2)&gt;MAX((CROQUIS!$C$158-1)-1,0),1,MOD($A14-1,2))=0,CROQUIS!$C$107/2,(CROQUIS!$C$96-CROQUIS!$C$107/2)),IF(IF(INT(($A14-1)/2)&gt;MAX((CROQUIS!$C$158-1)-1,0),1,MOD($A14-1,2))=0,(CROQUIS!$C$96-CROQUIS!$C$107/2),CROQUIS!$C$107/2)))*CROQUIS!$C$155),-1000)</f>
        <v>83.0546769091731</v>
      </c>
      <c r="AL14">
        <f>IF(AND(CROQUIS!$C$87=1,CROQUIS!$C$160&gt;=2),(CROQUIS!$C$156+(IF(MOD(MIN(INT(($A14-1)/2),MAX((CROQUIS!$C$160-1)-1,0)),2)=0,IF(IF(INT(($A14-1)/2)&gt;MAX((CROQUIS!$C$160-1)-1,0),1,MOD($A14-1,2))=0,CROQUIS!$C$107/2,(CROQUIS!$C$95-CROQUIS!$C$107/2)),IF(IF(INT(($A14-1)/2)&gt;MAX((CROQUIS!$C$160-1)-1,0),1,MOD($A14-1,2))=0,(CROQUIS!$C$95-CROQUIS!$C$107/2),CROQUIS!$C$107/2)))*CROQUIS!$C$155),-1000)</f>
        <v>86.7121554450972</v>
      </c>
      <c r="AM14">
        <f>IF(AND(CROQUIS!$C$87=1,CROQUIS!$C$160&gt;=2),(CROQUIS!$C$157+((CROQUIS!$C$161+CROQUIS!$C$112+CROQUIS!$C$111/2+MIN(INT(($A14-1)/2),MAX((CROQUIS!$C$160-1)-1,0))*CROQUIS!$C$113))*CROQUIS!$C$155),-1000)</f>
        <v>68.0298237686399</v>
      </c>
      <c r="AN14">
        <f>IF(AND(CROQUIS!$C$87=1,CROQUIS!$C$123&gt;0,CROQUIS!$C$162&gt;0),((CROQUIS!$C$156+(IF(CROQUIS!$C$92="X",CHOOSE(MIN(MAX($A14,1)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,CHOOSE(MIN(MAX($A14,1)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))*CROQUIS!$C$155)+IF(CROQUIS!$C$92="X",0,0)),-1000)</f>
        <v>-1000</v>
      </c>
      <c r="AO14">
        <f>IF(AND(CROQUIS!$C$87=1,CROQUIS!$C$123&gt;0,CROQUIS!$C$162&gt;0),((CROQUIS!$C$157+(IF(CROQUIS!$C$92="X",CHOOSE(MIN(MAX($A14,1)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,CHOOSE(MIN(MAX($A14,1)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))*CROQUIS!$C$155)+IF(CROQUIS!$C$92="X",0,0)),-1000)</f>
        <v>-1000</v>
      </c>
      <c r="BF14">
        <f>IF(AND(CROQUIS!$C$87=1,CROQUIS!$C$158&gt;=2),CHOOSE(MIN(MAX($A14,1),7),(CROQUIS!$C$156+(CROQUIS!$C$159)*CROQUIS!$C$155),(CROQUIS!$C$156+(CROQUIS!$C$159)*CROQUIS!$C$155),(CROQUIS!$C$156+(CROQUIS!$C$159)*CROQUIS!$C$155),((CROQUIS!$C$156+(CROQUIS!$C$159)*CROQUIS!$C$155)+(CROQUIS!$C$156+(CROQUIS!$C$159+CROQUIS!$C$113)*CROQUIS!$C$155))/2,(CROQUIS!$C$156+(CROQUIS!$C$159+CROQUIS!$C$113)*CROQUIS!$C$155),(CROQUIS!$C$156+(CROQUIS!$C$159+CROQUIS!$C$113)*CROQUIS!$C$155),(CROQUIS!$C$156+(CROQUIS!$C$159+CROQUIS!$C$113)*CROQUIS!$C$155)),-1000)</f>
        <v>26.8187980117488</v>
      </c>
      <c r="BG14">
        <f>IF(AND(CROQUIS!$C$87=1,CROQUIS!$C$158&gt;=2),CHOOSE(MIN(MAX($A14,1),7),((CROQUIS!$C$157+(CROQUIS!$C$154)*CROQUIS!$C$155)+4)-1.4,((CROQUIS!$C$157+(CROQUIS!$C$154)*CROQUIS!$C$155)+4)+1.4,((CROQUIS!$C$157+(CROQUIS!$C$154)*CROQUIS!$C$155)+4),((CROQUIS!$C$157+(CROQUIS!$C$154)*CROQUIS!$C$155)+4),((CROQUIS!$C$157+(CROQUIS!$C$154)*CROQUIS!$C$155)+4),((CROQUIS!$C$157+(CROQUIS!$C$154)*CROQUIS!$C$155)+4)+1.4,((CROQUIS!$C$157+(CROQUIS!$C$154)*CROQUIS!$C$155)+4)-1.4),-1000)</f>
        <v>86.9425214640759</v>
      </c>
      <c r="BH14">
        <f>IF(AND(CROQUIS!$C$88=1,CROQUIS!$C$126&gt;0),((CROQUIS!$C$156+(IF(CROQUIS!$C$92="X",CHOOSE(IF(INT(($A14-1)/5)&gt;MAX((MIN(80,MAX(1,INT(((CROQUIS!$C$98)-CROQUIS!$C$107)/MAX(CROQUIS!$C$126,1))+1)))-1,0),0,MOD($A14-1,5))+1,0,2,CROQUIS!$C$97-2,2,0),((CROQUIS!$C$107/2+(((CROQUIS!$C$98)-CROQUIS!$C$107)-(MIN(80,MAX(1,INT(((CROQUIS!$C$98)-CROQUIS!$C$107)/MAX(CROQUIS!$C$126,1))+1))-1)*CROQUIS!$C$126)/2)+MIN(INT(($A14-1)/5),MAX((MIN(80,MAX(1,INT(((CROQUIS!$C$98)-CROQUIS!$C$107)/MAX(CROQUIS!$C$126,1))+1)))-1,0))*CROQUIS!$C$126)))*CROQUIS!$C$155)+IF(CROQUIS!$C$92="X",0,0)),-1000)</f>
        <v>-1000</v>
      </c>
      <c r="BI14">
        <f>IF(AND(CROQUIS!$C$88=1,CROQUIS!$C$126&gt;0),((CROQUIS!$C$157+(IF(CROQUIS!$C$92="X",((CROQUIS!$C$107/2+(((CROQUIS!$C$98)-CROQUIS!$C$107)-(MIN(80,MAX(1,INT(((CROQUIS!$C$98)-CROQUIS!$C$107)/MAX(CROQUIS!$C$126,1))+1))-1)*CROQUIS!$C$126)/2)+MIN(INT(($A14-1)/5),MAX((MIN(80,MAX(1,INT(((CROQUIS!$C$98)-CROQUIS!$C$107)/MAX(CROQUIS!$C$126,1))+1)))-1,0))*CROQUIS!$C$126),CHOOSE(IF(INT(($A14-1)/5)&gt;MAX((MIN(80,MAX(1,INT(((CROQUIS!$C$98)-CROQUIS!$C$107)/MAX(CROQUIS!$C$126,1))+1)))-1,0),0,MOD($A14-1,5))+1,0,2,CROQUIS!$C$97-2,2,0)))*CROQUIS!$C$155)+IF(CROQUIS!$C$92="X",0,0)),-1000)</f>
        <v>-1000</v>
      </c>
      <c r="BJ14">
        <f>IF(AND(CROQUIS!$C$88=1,CROQUIS!$C$134&gt;0),((CROQUIS!$C$156+(IF(CROQUIS!$C$92="X",((CROQUIS!$C$107/2+(((CROQUIS!$C$97)-CROQUIS!$C$107)-(MIN(80,MAX(1,INT(((CROQUIS!$C$97)-CROQUIS!$C$107)/MAX(CROQUIS!$C$134,1))+1))-1)*CROQUIS!$C$134)/2)+MIN(INT(($A14-1)/5),MAX((MIN(80,MAX(1,INT(((CROQUIS!$C$97)-CROQUIS!$C$107)/MAX(CROQUIS!$C$134,1))+1)))-1,0))*CROQUIS!$C$134),CHOOSE(IF(INT(($A14-1)/5)&gt;MAX((MIN(80,MAX(1,INT(((CROQUIS!$C$97)-CROQUIS!$C$107)/MAX(CROQUIS!$C$134,1))+1)))-1,0),0,MOD($A14-1,5))+1,0,2,CROQUIS!$C$98-2,2,0)))*CROQUIS!$C$155)+IF(CROQUIS!$C$92="X",0,0)),-1000)</f>
        <v>-1000</v>
      </c>
      <c r="BK14">
        <f>IF(AND(CROQUIS!$C$88=1,CROQUIS!$C$134&gt;0),((CROQUIS!$C$157+(IF(CROQUIS!$C$92="X",CHOOSE(IF(INT(($A14-1)/5)&gt;MAX((MIN(80,MAX(1,INT(((CROQUIS!$C$97)-CROQUIS!$C$107)/MAX(CROQUIS!$C$134,1))+1)))-1,0),0,MOD($A14-1,5))+1,0,2,CROQUIS!$C$98-2,2,0),((CROQUIS!$C$107/2+(((CROQUIS!$C$97)-CROQUIS!$C$107)-(MIN(80,MAX(1,INT(((CROQUIS!$C$97)-CROQUIS!$C$107)/MAX(CROQUIS!$C$134,1))+1))-1)*CROQUIS!$C$134)/2)+MIN(INT(($A14-1)/5),MAX((MIN(80,MAX(1,INT(((CROQUIS!$C$97)-CROQUIS!$C$107)/MAX(CROQUIS!$C$134,1))+1)))-1,0))*CROQUIS!$C$134)))*CROQUIS!$C$155)+IF(CROQUIS!$C$92="X",0,0)),-1000)</f>
        <v>-1000</v>
      </c>
      <c r="BL14">
        <f>IF(AND(CROQUIS!$C$88=1,CROQUIS!$C$91=0,CROQUIS!$C$130&gt;0,OR(CROQUIS!$C$103=1,CROQUIS!$C$142=1)),((CROQUIS!$C$156+(IF(CROQUIS!$C$92="X",CHOOSE(IF(INT(($A14-1)/5)&gt;MAX((MIN(80,MAX(1,INT(((CROQUIS!$C$98)-CROQUIS!$C$107)/MAX(CROQUIS!$C$130,1))+1)))-1,0),0,MOD($A14-1,5))+1,0,IF(CROQUIS!$C$103=1,-12,2),CROQUIS!$C$107/2+CROQUIS!$C$140,IF(CROQUIS!$C$103=1,-12,2),0),((CROQUIS!$C$107/2+(((CROQUIS!$C$98)-CROQUIS!$C$107)-(MIN(80,MAX(1,INT(((CROQUIS!$C$98)-CROQUIS!$C$107)/MAX(CROQUIS!$C$130,1))+1))-1)*CROQUIS!$C$130)/2)+MIN(INT(($A14-1)/5),MAX((MIN(80,MAX(1,INT(((CROQUIS!$C$98)-CROQUIS!$C$107)/MAX(CROQUIS!$C$130,1))+1)))-1,0))*CROQUIS!$C$130)))*CROQUIS!$C$155)+IF(CROQUIS!$C$92="X",0,0)),-1000)</f>
        <v>-1000</v>
      </c>
      <c r="BM1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14-1)/5),MAX((MIN(80,MAX(1,INT(((CROQUIS!$C$98)-CROQUIS!$C$107)/MAX(CROQUIS!$C$130,1))+1)))-1,0))*CROQUIS!$C$130),CHOOSE(IF(INT(($A14-1)/5)&gt;MAX((MIN(80,MAX(1,INT(((CROQUIS!$C$98)-CROQUIS!$C$107)/MAX(CROQUIS!$C$130,1))+1)))-1,0),0,MOD($A14-1,5))+1,0,IF(CROQUIS!$C$103=1,-12,2),CROQUIS!$C$107/2+CROQUIS!$C$140,IF(CROQUIS!$C$103=1,-12,2),0)))*CROQUIS!$C$155)+IF(CROQUIS!$C$92="X",0,0)),-1000)</f>
        <v>-1000</v>
      </c>
      <c r="BN14">
        <f>IF(AND(CROQUIS!$C$88=1,CROQUIS!$C$91=0,CROQUIS!$C$130&gt;0,OR(CROQUIS!$C$104=1,CROQUIS!$C$142=1)),((CROQUIS!$C$156+(IF(CROQUIS!$C$92="X",CHOOSE(IF(INT(($A14-1)/5)&gt;MAX((MIN(80,MAX(1,INT(((CROQUIS!$C$98)-CROQUIS!$C$107)/MAX(CROQUIS!$C$130,1))+1)))-1,0),0,MOD($A14-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14-1)/5),MAX((MIN(80,MAX(1,INT(((CROQUIS!$C$98)-CROQUIS!$C$107)/MAX(CROQUIS!$C$130,1))+1)))-1,0))*CROQUIS!$C$130)))*CROQUIS!$C$155)+IF(CROQUIS!$C$92="X",0,0)),-1000)</f>
        <v>-1000</v>
      </c>
      <c r="BO1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14-1)/5),MAX((MIN(80,MAX(1,INT(((CROQUIS!$C$98)-CROQUIS!$C$107)/MAX(CROQUIS!$C$130,1))+1)))-1,0))*CROQUIS!$C$130),CHOOSE(IF(INT(($A14-1)/5)&gt;MAX((MIN(80,MAX(1,INT(((CROQUIS!$C$98)-CROQUIS!$C$107)/MAX(CROQUIS!$C$130,1))+1)))-1,0),0,MOD($A14-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14-1)/5),MAX((MIN(80,MAX(1,INT(((CROQUIS!$C$97)-CROQUIS!$C$107)/MAX(CROQUIS!$C$138,1))+1)))-1,0))*CROQUIS!$C$138),CHOOSE(IF(INT(($A14-1)/5)&gt;MAX((MIN(80,MAX(1,INT(((CROQUIS!$C$97)-CROQUIS!$C$107)/MAX(CROQUIS!$C$138,1))+1)))-1,0),0,MOD($A14-1,5))+1,0,IF(CROQUIS!$C$105=1,-12,2),CROQUIS!$C$107/2+CROQUIS!$C$141,IF(CROQUIS!$C$105=1,-12,2),0)))*CROQUIS!$C$155)+IF(CROQUIS!$C$92="X",0,0)),-1000)</f>
        <v>-1000</v>
      </c>
      <c r="BQ14">
        <f>IF(AND(CROQUIS!$C$88=1,CROQUIS!$C$91=0,CROQUIS!$C$138&gt;0,OR(CROQUIS!$C$105=1,CROQUIS!$C$143=1)),((CROQUIS!$C$157+(IF(CROQUIS!$C$92="X",CHOOSE(IF(INT(($A14-1)/5)&gt;MAX((MIN(80,MAX(1,INT(((CROQUIS!$C$97)-CROQUIS!$C$107)/MAX(CROQUIS!$C$138,1))+1)))-1,0),0,MOD($A14-1,5))+1,0,IF(CROQUIS!$C$105=1,-12,2),CROQUIS!$C$107/2+CROQUIS!$C$141,IF(CROQUIS!$C$105=1,-12,2),0),((CROQUIS!$C$107/2+(((CROQUIS!$C$97)-CROQUIS!$C$107)-(MIN(80,MAX(1,INT(((CROQUIS!$C$97)-CROQUIS!$C$107)/MAX(CROQUIS!$C$138,1))+1))-1)*CROQUIS!$C$138)/2)+MIN(INT(($A14-1)/5),MAX((MIN(80,MAX(1,INT(((CROQUIS!$C$97)-CROQUIS!$C$107)/MAX(CROQUIS!$C$138,1))+1)))-1,0))*CROQUIS!$C$138)))*CROQUIS!$C$155)+IF(CROQUIS!$C$92="X",0,0)),-1000)</f>
        <v>-1000</v>
      </c>
      <c r="BR1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14-1)/5),MAX((MIN(80,MAX(1,INT(((CROQUIS!$C$97)-CROQUIS!$C$107)/MAX(CROQUIS!$C$138,1))+1)))-1,0))*CROQUIS!$C$138),CHOOSE(IF(INT(($A14-1)/5)&gt;MAX((MIN(80,MAX(1,INT(((CROQUIS!$C$97)-CROQUIS!$C$107)/MAX(CROQUIS!$C$138,1))+1)))-1,0),0,MOD($A14-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4">
        <f>IF(AND(CROQUIS!$C$88=1,CROQUIS!$C$91=0,CROQUIS!$C$138&gt;0,OR(CROQUIS!$C$106=1,CROQUIS!$C$143=1)),((CROQUIS!$C$157+(IF(CROQUIS!$C$92="X",CHOOSE(IF(INT(($A14-1)/5)&gt;MAX((MIN(80,MAX(1,INT(((CROQUIS!$C$97)-CROQUIS!$C$107)/MAX(CROQUIS!$C$138,1))+1)))-1,0),0,MOD($A14-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14-1)/5),MAX((MIN(80,MAX(1,INT(((CROQUIS!$C$97)-CROQUIS!$C$107)/MAX(CROQUIS!$C$138,1))+1)))-1,0))*CROQUIS!$C$138)))*CROQUIS!$C$155)+IF(CROQUIS!$C$92="X",0,0)),-1000)</f>
        <v>-1000</v>
      </c>
      <c r="BT14">
        <f>IF(AND(CROQUIS!$C$88=1,CROQUIS!$C$91=1,CROQUIS!$C$130&gt;0),((CROQUIS!$C$156+(IF(CROQUIS!$C$92="X",CHOOSE(IF(INT(($A14-1)/5)&gt;MAX((MIN(80,MAX(1,INT(((CROQUIS!$C$98)-CROQUIS!$C$107)/MAX(CROQUIS!$C$130,1))+1)))-1,0),0,MOD($A14-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14-1)/5),MAX((MIN(80,MAX(1,INT(((CROQUIS!$C$98)-CROQUIS!$C$107)/MAX(CROQUIS!$C$130,1))+1)))-1,0))*CROQUIS!$C$130)))*CROQUIS!$C$155)+IF(CROQUIS!$C$92="X",0,0)),-1000)</f>
        <v>-1000</v>
      </c>
      <c r="BU14">
        <f>IF(AND(CROQUIS!$C$88=1,CROQUIS!$C$91=1,CROQUIS!$C$130&gt;0),((CROQUIS!$C$157+(IF(CROQUIS!$C$92="X",((CROQUIS!$C$107/2+(((CROQUIS!$C$98)-CROQUIS!$C$107)-(MIN(80,MAX(1,INT(((CROQUIS!$C$98)-CROQUIS!$C$107)/MAX(CROQUIS!$C$130,1))+1))-1)*CROQUIS!$C$130)/2)+MIN(INT(($A14-1)/5),MAX((MIN(80,MAX(1,INT(((CROQUIS!$C$98)-CROQUIS!$C$107)/MAX(CROQUIS!$C$130,1))+1)))-1,0))*CROQUIS!$C$130),CHOOSE(IF(INT(($A14-1)/5)&gt;MAX((MIN(80,MAX(1,INT(((CROQUIS!$C$98)-CROQUIS!$C$107)/MAX(CROQUIS!$C$130,1))+1)))-1,0),0,MOD($A14-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BV14">
        <f>IF(AND(CROQUIS!$C$87=1),CHOOSE(MIN(MAX($A14,1),9),(50+(-CROQUIS!$C$113/2)*CROQUIS!$C$173),(50+(CROQUIS!$C$113/2)*CROQUIS!$C$173),(50+(CROQUIS!$C$113/2)*CROQUIS!$C$173),(50+(CROQUIS!$C$111/2)*CROQUIS!$C$173),(50+(CROQUIS!$C$111/2)*CROQUIS!$C$173),(50+(-CROQUIS!$C$111/2)*CROQUIS!$C$173),(50+(-CROQUIS!$C$111/2)*CROQUIS!$C$173),(50+(-CROQUIS!$C$113/2)*CROQUIS!$C$173),(50+(-CROQUIS!$C$113/2)*CROQUIS!$C$173)),-1000)</f>
        <v>45.2272727272727</v>
      </c>
      <c r="BW14">
        <f>IF(AND(CROQUIS!$C$87=1),CHOOSE(MIN(MAX($A14,1),9),(12+(CROQUIS!$C$108)*CROQUIS!$C$173),(12+(CROQUIS!$C$108)*CROQUIS!$C$173),(12+(CROQUIS!$C$114)*CROQUIS!$C$173),(12+(CROQUIS!$C$114)*CROQUIS!$C$173),(12+(0)*CROQUIS!$C$173),(12+(0)*CROQUIS!$C$173),(12+(CROQUIS!$C$114)*CROQUIS!$C$173),(12+(CROQUIS!$C$114)*CROQUIS!$C$173),(12+(CROQUIS!$C$108)*CROQUIS!$C$173)),-1000)</f>
        <v>30.1363636363636</v>
      </c>
      <c r="CD14">
        <f>IF(AND(CROQUIS!$C$87=1,CROQUIS!$C$126&gt;=1),(50+(((1-(CROQUIS!$C$126+1)/2)*(MAX(CROQUIS!$C$118,CROQUIS!$C$125)+CROQUIS!$C$125))+CROQUIS!$C$125/2*COS(2*PI()*(MIN($A14,13)-1)/12))*CROQUIS!$C$173),-1000)</f>
        <v>49.3938636363636</v>
      </c>
      <c r="CE14">
        <f>IF(AND(CROQUIS!$C$87=1,CROQUIS!$C$126&gt;=1),(12+((CROQUIS!$C$109+CROQUIS!$C$125/2)+CROQUIS!$C$125/2*SIN(2*PI()*(MIN($A14,13)-1)/12))*CROQUIS!$C$173),-1000)</f>
        <v>14.5152272727273</v>
      </c>
      <c r="CF14">
        <f>IF(AND(CROQUIS!$C$87=1,CROQUIS!$C$126&gt;=2),(50+(((2-(CROQUIS!$C$126+1)/2)*(MAX(CROQUIS!$C$118,CROQUIS!$C$125)+CROQUIS!$C$125))+CROQUIS!$C$125/2*COS(2*PI()*(MIN($A14,13)-1)/12))*CROQUIS!$C$173),-1000)</f>
        <v>-1000</v>
      </c>
      <c r="CG14">
        <f>IF(AND(CROQUIS!$C$87=1,CROQUIS!$C$126&gt;=2),(12+((CROQUIS!$C$109+CROQUIS!$C$125/2)+CROQUIS!$C$125/2*SIN(2*PI()*(MIN($A14,13)-1)/12))*CROQUIS!$C$173),-1000)</f>
        <v>-1000</v>
      </c>
      <c r="CH14">
        <f>IF(AND(CROQUIS!$C$87=1,CROQUIS!$C$126&gt;=3),(50+(((3-(CROQUIS!$C$126+1)/2)*(MAX(CROQUIS!$C$118,CROQUIS!$C$125)+CROQUIS!$C$125))+CROQUIS!$C$125/2*COS(2*PI()*(MIN($A14,13)-1)/12))*CROQUIS!$C$173),-1000)</f>
        <v>-1000</v>
      </c>
      <c r="CI14">
        <f>IF(AND(CROQUIS!$C$87=1,CROQUIS!$C$126&gt;=3),(12+((CROQUIS!$C$109+CROQUIS!$C$125/2)+CROQUIS!$C$125/2*SIN(2*PI()*(MIN($A14,13)-1)/12))*CROQUIS!$C$173),-1000)</f>
        <v>-1000</v>
      </c>
      <c r="CJ14">
        <f>IF(AND(CROQUIS!$C$87=1,CROQUIS!$C$130&gt;=1),(50+(((1-(CROQUIS!$C$130+1)/2)*(MAX(CROQUIS!$C$118,CROQUIS!$C$129)+CROQUIS!$C$129))+CROQUIS!$C$129/2*COS(2*PI()*(MIN($A14,13)-1)/12))*CROQUIS!$C$173),-1000)</f>
        <v>49.3938636363636</v>
      </c>
      <c r="CK14">
        <f>IF(AND(CROQUIS!$C$87=1,CROQUIS!$C$130&gt;=1),(12+((CROQUIS!$C$108-CROQUIS!$C$117-2*CROQUIS!$C$116-CROQUIS!$C$129/2)+CROQUIS!$C$129/2*SIN(2*PI()*(MIN($A14,13)-1)/12))*CROQUIS!$C$173),-1000)</f>
        <v>31.8478636363636</v>
      </c>
      <c r="CL14">
        <f>IF(AND(CROQUIS!$C$87=1,CROQUIS!$C$130&gt;=2),(50+(((2-(CROQUIS!$C$130+1)/2)*(MAX(CROQUIS!$C$118,CROQUIS!$C$129)+CROQUIS!$C$129))+CROQUIS!$C$129/2*COS(2*PI()*(MIN($A14,13)-1)/12))*CROQUIS!$C$173),-1000)</f>
        <v>-1000</v>
      </c>
      <c r="CM14">
        <f>IF(AND(CROQUIS!$C$87=1,CROQUIS!$C$130&gt;=2),(12+((CROQUIS!$C$108-CROQUIS!$C$117-2*CROQUIS!$C$116-CROQUIS!$C$129/2)+CROQUIS!$C$129/2*SIN(2*PI()*(MIN($A14,13)-1)/12))*CROQUIS!$C$173),-1000)</f>
        <v>-1000</v>
      </c>
      <c r="CN14">
        <f>IF(AND(CROQUIS!$C$87=1,CROQUIS!$C$130&gt;=3),(50+(((3-(CROQUIS!$C$130+1)/2)*(MAX(CROQUIS!$C$118,CROQUIS!$C$129)+CROQUIS!$C$129))+CROQUIS!$C$129/2*COS(2*PI()*(MIN($A14,13)-1)/12))*CROQUIS!$C$173),-1000)</f>
        <v>-1000</v>
      </c>
      <c r="CO14">
        <f>IF(AND(CROQUIS!$C$87=1,CROQUIS!$C$130&gt;=3),(12+((CROQUIS!$C$108-CROQUIS!$C$117-2*CROQUIS!$C$116-CROQUIS!$C$129/2)+CROQUIS!$C$129/2*SIN(2*PI()*(MIN($A14,13)-1)/12))*CROQUIS!$C$173),-1000)</f>
        <v>-1000</v>
      </c>
      <c r="CP14">
        <f>IF(AND(CROQUIS!$C$87=1),CHOOSE(MIN(MAX($A14,1),7),(50+(-CROQUIS!$C$111/2)*CROQUIS!$C$173),(50+(-CROQUIS!$C$111/2)*CROQUIS!$C$173),(50+(-CROQUIS!$C$111/2)*CROQUIS!$C$173),((50+(-CROQUIS!$C$111/2)*CROQUIS!$C$173)+(50+(CROQUIS!$C$111/2)*CROQUIS!$C$173))/2,(50+(CROQUIS!$C$111/2)*CROQUIS!$C$173),(50+(CROQUIS!$C$111/2)*CROQUIS!$C$173),(50+(CROQUIS!$C$111/2)*CROQUIS!$C$173)),-1000)</f>
        <v>54.7727272727273</v>
      </c>
      <c r="CQ14">
        <f>IF(AND(CROQUIS!$C$87=1),CHOOSE(MIN(MAX($A14,1),7),(12+(-4)*CROQUIS!$C$173)-1.4,(12+(-4)*CROQUIS!$C$173)+1.4,(12+(-4)*CROQUIS!$C$173),(12+(-4)*CROQUIS!$C$173),(12+(-4)*CROQUIS!$C$173),(12+(-4)*CROQUIS!$C$173)+1.4,(12+(-4)*CROQUIS!$C$173)-1.4),-1000)</f>
        <v>6.78181818181818</v>
      </c>
      <c r="CR14">
        <f>IF(AND(CROQUIS!$C$87=1),CHOOSE(MIN(MAX($A14,1),7),(50+(-CROQUIS!$C$113/2)*CROQUIS!$C$173),(50+(-CROQUIS!$C$113/2)*CROQUIS!$C$173),(50+(-CROQUIS!$C$113/2)*CROQUIS!$C$173),((50+(-CROQUIS!$C$113/2)*CROQUIS!$C$173)+(50+(CROQUIS!$C$113/2)*CROQUIS!$C$173))/2,(50+(CROQUIS!$C$113/2)*CROQUIS!$C$173),(50+(CROQUIS!$C$113/2)*CROQUIS!$C$173),(50+(CROQUIS!$C$113/2)*CROQUIS!$C$173)),-1000)</f>
        <v>83.4090909090909</v>
      </c>
      <c r="CS14">
        <f>IF(AND(CROQUIS!$C$87=1),CHOOSE(MIN(MAX($A14,1),7),(12+(CROQUIS!$C$108+4)*CROQUIS!$C$173)-1.4,(12+(CROQUIS!$C$108+4)*CROQUIS!$C$173)+1.4,(12+(CROQUIS!$C$108+4)*CROQUIS!$C$173),(12+(CROQUIS!$C$108+4)*CROQUIS!$C$173),(12+(CROQUIS!$C$108+4)*CROQUIS!$C$173),(12+(CROQUIS!$C$108+4)*CROQUIS!$C$173)+1.4,(12+(CROQUIS!$C$108+4)*CROQUIS!$C$173)-1.4),-1000)</f>
        <v>38.2818181818182</v>
      </c>
      <c r="CT14">
        <f>IF(AND(CROQUIS!$C$87=1),CHOOSE(MIN(MAX($A14,1),7),(50+(CROQUIS!$C$113/2+4)*CROQUIS!$C$173)-1.4,(50+(CROQUIS!$C$113/2+4)*CROQUIS!$C$173)+1.4,(50+(CROQUIS!$C$113/2+4)*CROQUIS!$C$173),(50+(CROQUIS!$C$113/2+4)*CROQUIS!$C$173),(50+(CROQUIS!$C$113/2+4)*CROQUIS!$C$173),(50+(CROQUIS!$C$113/2+4)*CROQUIS!$C$173)+1.4,(50+(CROQUIS!$C$113/2+4)*CROQUIS!$C$173)-1.4),-1000)</f>
        <v>85.8272727272727</v>
      </c>
      <c r="CU14">
        <f>IF(AND(CROQUIS!$C$87=1),CHOOSE(MIN(MAX($A14,1),7),(12+(0)*CROQUIS!$C$173),(12+(0)*CROQUIS!$C$173),(12+(0)*CROQUIS!$C$173),((12+(0)*CROQUIS!$C$173)+(12+(CROQUIS!$C$108)*CROQUIS!$C$173))/2,(12+(CROQUIS!$C$108)*CROQUIS!$C$173),(12+(CROQUIS!$C$108)*CROQUIS!$C$173),(12+(CROQUIS!$C$108)*CROQUIS!$C$173)),-1000)</f>
        <v>35.8636363636364</v>
      </c>
      <c r="CV14">
        <f>IF(AND(CROQUIS!$C$87=1),CHOOSE(MIN(MAX($A14,1),7),(50+(-CROQUIS!$C$113/2-4)*CROQUIS!$C$173)-1.4,(50+(-CROQUIS!$C$113/2-4)*CROQUIS!$C$173)+1.4,(50+(-CROQUIS!$C$113/2-4)*CROQUIS!$C$173),(50+(-CROQUIS!$C$113/2-4)*CROQUIS!$C$173),(50+(-CROQUIS!$C$113/2-4)*CROQUIS!$C$173),(50+(-CROQUIS!$C$113/2-4)*CROQUIS!$C$173)+1.4,(50+(-CROQUIS!$C$113/2-4)*CROQUIS!$C$173)-1.4),-1000)</f>
        <v>11.3727272727273</v>
      </c>
      <c r="CW14">
        <f>IF(AND(CROQUIS!$C$87=1),CHOOSE(MIN(MAX($A14,1),7),(12+(CROQUIS!$C$108-CROQUIS!$C$147)*CROQUIS!$C$173),(12+(CROQUIS!$C$108-CROQUIS!$C$147)*CROQUIS!$C$173),(12+(CROQUIS!$C$108-CROQUIS!$C$147)*CROQUIS!$C$173),((12+(CROQUIS!$C$108-CROQUIS!$C$147)*CROQUIS!$C$173)+(12+(CROQUIS!$C$108)*CROQUIS!$C$173))/2,(12+(CROQUIS!$C$108)*CROQUIS!$C$173),(12+(CROQUIS!$C$108)*CROQUIS!$C$173),(12+(CROQUIS!$C$108)*CROQUIS!$C$173)),-1000)</f>
        <v>35.8636363636364</v>
      </c>
      <c r="DB14">
        <f>IF(AND(CROQUIS!$C$88=1,CROQUIS!$C$134&gt;0),(50+((-(MIN(12,INT(58/MAX(CROQUIS!$C$134,1))+1)-1)*CROQUIS!$C$134/2+(MIN($A14,MIN(12,INT(58/MAX(CROQUIS!$C$134,1))+1))-1)*CROQUIS!$C$134))*CROQUIS!$C$174),-1000)</f>
        <v>-1000</v>
      </c>
      <c r="DC14">
        <f>IF(AND(CROQUIS!$C$88=1,CROQUIS!$C$134&gt;0),(12+((CROQUIS!$C$109+CROQUIS!$C$125+CROQUIS!$C$133/2))*CROQUIS!$C$174),-1000)</f>
        <v>-1000</v>
      </c>
      <c r="DD14">
        <f>IF(AND(CROQUIS!$C$88=1,CROQUIS!$C$138&gt;0),(50+((-(MIN(12,INT(58/MAX(CROQUIS!$C$138,1))+1)-1)*CROQUIS!$C$138/2+(MIN($A14,MIN(12,INT(58/MAX(CROQUIS!$C$138,1))+1))-1)*CROQUIS!$C$138))*CROQUIS!$C$174),-1000)</f>
        <v>-1000</v>
      </c>
      <c r="DE14">
        <f>IF(AND(CROQUIS!$C$88=1,CROQUIS!$C$138&gt;0),(12+((CROQUIS!$C$108-CROQUIS!$C$110-CROQUIS!$C$129-CROQUIS!$C$137/2))*CROQUIS!$C$174),-1000)</f>
        <v>-1000</v>
      </c>
      <c r="DH14">
        <f>IF(AND(CROQUIS!$C$88=1),CHOOSE(MIN(MAX($A14,1),7),(50+(33)*CROQUIS!$C$174)-1.4,(50+(33)*CROQUIS!$C$174)+1.4,(50+(33)*CROQUIS!$C$174),(50+(33)*CROQUIS!$C$174),(50+(33)*CROQUIS!$C$174),(50+(33)*CROQUIS!$C$174)+1.4,(50+(33)*CROQUIS!$C$174)-1.4),-1000)</f>
        <v>-1000</v>
      </c>
      <c r="DI14">
        <f>IF(AND(CROQUIS!$C$88=1),CHOOSE(MIN(MAX($A14,1),7),(12+(0)*CROQUIS!$C$174),(12+(0)*CROQUIS!$C$174),(12+(0)*CROQUIS!$C$174),((12+(0)*CROQUIS!$C$174)+(12+(CROQUIS!$C$108)*CROQUIS!$C$174))/2,(12+(CROQUIS!$C$108)*CROQUIS!$C$174),(12+(CROQUIS!$C$108)*CROQUIS!$C$174),(12+(CROQUIS!$C$108)*CROQUIS!$C$174)),-1000)</f>
        <v>-1000</v>
      </c>
      <c r="DJ14">
        <f>IF(AND(CROQUIS!$C$88=1),CHOOSE(MIN(MAX($A14,1),7),(50+(-33)*CROQUIS!$C$174)-0.8,(50+(-33)*CROQUIS!$C$174)+0.8,(50+(-33)*CROQUIS!$C$174),(50+(-33)*CROQUIS!$C$174),(50+(-33)*CROQUIS!$C$174),(50+(-33)*CROQUIS!$C$174)+0.8,(50+(-33)*CROQUIS!$C$174)-0.8),-1000)</f>
        <v>-1000</v>
      </c>
      <c r="DK14">
        <f>IF(AND(CROQUIS!$C$88=1),CHOOSE(MIN(MAX($A14,1),7),(12+(0)*CROQUIS!$C$174),(12+(0)*CROQUIS!$C$174),(12+(0)*CROQUIS!$C$174),((12+(0)*CROQUIS!$C$174)+(12+(CROQUIS!$C$109)*CROQUIS!$C$174))/2,(12+(CROQUIS!$C$109)*CROQUIS!$C$174),(12+(CROQUIS!$C$109)*CROQUIS!$C$174),(12+(CROQUIS!$C$109)*CROQUIS!$C$174)),-1000)</f>
        <v>-1000</v>
      </c>
      <c r="DL14">
        <f>IF(AND(CROQUIS!$C$88=1),CHOOSE(MIN(MAX($A14,1),7),(50+(-33)*CROQUIS!$C$174)-0.8,(50+(-33)*CROQUIS!$C$174)+0.8,(50+(-33)*CROQUIS!$C$174),(50+(-33)*CROQUIS!$C$174),(50+(-33)*CROQUIS!$C$174),(50+(-33)*CROQUIS!$C$174)+0.8,(50+(-33)*CROQUIS!$C$174)-0.8),-1000)</f>
        <v>-1000</v>
      </c>
      <c r="DM14">
        <f>IF(AND(CROQUIS!$C$88=1),CHOOSE(MIN(MAX($A14,1),7),(12+(CROQUIS!$C$108-CROQUIS!$C$110)*CROQUIS!$C$174),(12+(CROQUIS!$C$108-CROQUIS!$C$110)*CROQUIS!$C$174),(12+(CROQUIS!$C$108-CROQUIS!$C$110)*CROQUIS!$C$174),((12+(CROQUIS!$C$108-CROQUIS!$C$110)*CROQUIS!$C$174)+(12+(CROQUIS!$C$108)*CROQUIS!$C$174))/2,(12+(CROQUIS!$C$108)*CROQUIS!$C$174),(12+(CROQUIS!$C$108)*CROQUIS!$C$174),(12+(CROQUIS!$C$108)*CROQUIS!$C$174)),-1000)</f>
        <v>-1000</v>
      </c>
      <c r="DN14">
        <f>IF(AND(CROQUIS!$C$88=1,MIN(12,INT(58/MAX(CROQUIS!$C$134,1))+1)&gt;=2),CHOOSE(MIN(MAX($A14,1),7),(50+((-(MIN(12,INT(58/MAX(CROQUIS!$C$134,1))+1)-1)*CROQUIS!$C$134/2))*CROQUIS!$C$174),(50+((-(MIN(12,INT(58/MAX(CROQUIS!$C$134,1))+1)-1)*CROQUIS!$C$134/2))*CROQUIS!$C$174),(50+((-(MIN(12,INT(58/MAX(CROQUIS!$C$134,1))+1)-1)*CROQUIS!$C$134/2))*CROQUIS!$C$174),((50+((-(MIN(12,INT(58/MAX(CROQUIS!$C$134,1))+1)-1)*CROQUIS!$C$134/2))*CROQUIS!$C$174)+(50+((-(MIN(12,INT(58/MAX(CROQUIS!$C$134,1))+1)-1)*CROQUIS!$C$134/2)+CROQUIS!$C$134)*CROQUIS!$C$174))/2,(50+((-(MIN(12,INT(58/MAX(CROQUIS!$C$134,1))+1)-1)*CROQUIS!$C$134/2)+CROQUIS!$C$134)*CROQUIS!$C$174),(50+((-(MIN(12,INT(58/MAX(CROQUIS!$C$134,1))+1)-1)*CROQUIS!$C$134/2)+CROQUIS!$C$134)*CROQUIS!$C$174),(50+((-(MIN(12,INT(58/MAX(CROQUIS!$C$134,1))+1)-1)*CROQUIS!$C$134/2)+CROQUIS!$C$134)*CROQUIS!$C$174)),-1000)</f>
        <v>-1000</v>
      </c>
      <c r="DO14">
        <f>IF(AND(CROQUIS!$C$88=1,MIN(12,INT(58/MAX(CROQUIS!$C$134,1))+1)&gt;=2),CHOOSE(MIN(MAX($A14,1),7),(12+(-4)*CROQUIS!$C$174)-1.4,(12+(-4)*CROQUIS!$C$174)+1.4,(12+(-4)*CROQUIS!$C$174),(12+(-4)*CROQUIS!$C$174),(12+(-4)*CROQUIS!$C$174),(12+(-4)*CROQUIS!$C$174)+1.4,(12+(-4)*CROQUIS!$C$174)-1.4),-1000)</f>
        <v>-1000</v>
      </c>
      <c r="DR14">
        <f>IF(AND(CROQUIS!$C$87=1),CHOOSE(MIN(MAX($A14,1)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90.1894736842105</v>
      </c>
      <c r="DS14">
        <f>IF(AND(CROQUIS!$C$87=1),CHOOSE(MIN(MAX($A14,1),10),30,30,20,20,30,IF(CROQUIS!$C$91=1,30,30),IF(CROQUIS!$C$91=1,30,30),IF(CROQUIS!$C$91=1,30,20),IF(CROQUIS!$C$91=1,30,20),IF(CROQUIS!$C$91=1,30,30)),-1000)</f>
        <v>30</v>
      </c>
      <c r="EF14">
        <f>IF(AND(CROQUIS!$C$87=1),CHOOSE(MIN(MAX($A14,1)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88.7368421052632</v>
      </c>
      <c r="EG14">
        <f>IF(AND(CROQUIS!$C$87=1),CHOOSE(MIN(MAX($A14,1),7),15-1.4,15+1.4,15,15,15,15+1.4,15-1.4),-1000)</f>
        <v>13.6</v>
      </c>
      <c r="EH14">
        <f>IF(AND(CROQUIS!$C$87=1,OR(CROQUIS!$C$91=1,AND(CROQUIS!$C$130&gt;=2,OR(CROQUIS!$C$103=1,CROQUIS!$C$142=1)))),CHOOSE(MIN(MAX($A14,1)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EI14">
        <f>IF(AND(CROQUIS!$C$87=1,OR(CROQUIS!$C$91=1,AND(CROQUIS!$C$130&gt;=2,OR(CROQUIS!$C$103=1,CROQUIS!$C$142=1)))),CHOOSE(MIN(MAX($A14,1)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  <c r="EN14">
        <f>IF(AND(CROQUIS!$C$88=1),CHOOSE(MIN(MAX($A14,1)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-1000</v>
      </c>
      <c r="EO14">
        <f>IF(AND(CROQUIS!$C$88=1),CHOOSE(MIN(MAX($A14,1),10),30,30,20,20,30,IF(CROQUIS!$C$91=1,30,30),IF(CROQUIS!$C$91=1,30,30),IF(CROQUIS!$C$91=1,30,20),IF(CROQUIS!$C$91=1,30,20),IF(CROQUIS!$C$91=1,30,30)),-1000)</f>
        <v>-1000</v>
      </c>
      <c r="EX14">
        <f>IF(AND(CROQUIS!$C$88=1),CHOOSE(MIN(MAX($A14,1),7),(4+((0)-CROQUIS!$C$169)*CROQUIS!$C$171),(4+((0)-CROQUIS!$C$169)*CROQUIS!$C$171),(4+((0)-CROQUIS!$C$169)*CROQUIS!$C$171),((4+((0)-CROQUIS!$C$169)*CROQUIS!$C$171)+(4+((CROQUIS!$C$97)-CROQUIS!$C$169)*CROQUIS!$C$171))/2,(4+((CROQUIS!$C$97)-CROQUIS!$C$169)*CROQUIS!$C$171),(4+((CROQUIS!$C$97)-CROQUIS!$C$169)*CROQUIS!$C$171),(4+((CROQUIS!$C$97)-CROQUIS!$C$169)*CROQUIS!$C$171)),-1000)</f>
        <v>-1000</v>
      </c>
      <c r="EY14">
        <f>IF(AND(CROQUIS!$C$88=1),CHOOSE(MIN(MAX($A14,1),7),15-1.4,15+1.4,15,15,15,15+1.4,15-1.4),-1000)</f>
        <v>-1000</v>
      </c>
      <c r="EZ14">
        <f>IF(AND(CROQUIS!$C$88=1,OR(CROQUIS!$C$91=1,AND(CROQUIS!$C$130&gt;0,OR(CROQUIS!$C$103=1,CROQUIS!$C$142=1)))),CHOOSE(MIN(MAX($A14,1),7),(4+((IF(CROQUIS!$C$91=1,-CROQUIS!$C$107/2,CROQUIS!$C$107/2))-CROQUIS!$C$169)*CROQUIS!$C$171),(4+((IF(CROQUIS!$C$91=1,-CROQUIS!$C$107/2,CROQUIS!$C$107/2))-CROQUIS!$C$169)*CROQUIS!$C$171),(4+((IF(CROQUIS!$C$91=1,-CROQUIS!$C$107/2,CROQUIS!$C$107/2))-CROQUIS!$C$169)*CROQUIS!$C$171),((4+((IF(CROQUIS!$C$91=1,-CROQUIS!$C$107/2,CROQUIS!$C$107/2))-CROQUIS!$C$169)*CROQUIS!$C$171)+(4+((IF(CROQUIS!$C$91=1,-CROQUIS!$C$107/2-CROQUIS!$C$140,CROQUIS!$C$107/2+CROQUIS!$C$140))-CROQUIS!$C$169)*CROQUIS!$C$171))/2,(4+((IF(CROQUIS!$C$91=1,-CROQUIS!$C$107/2-CROQUIS!$C$140,CROQUIS!$C$107/2+CROQUIS!$C$140))-CROQUIS!$C$169)*CROQUIS!$C$171),(4+((IF(CROQUIS!$C$91=1,-CROQUIS!$C$107/2-CROQUIS!$C$140,CROQUIS!$C$107/2+CROQUIS!$C$140))-CROQUIS!$C$169)*CROQUIS!$C$171),(4+((IF(CROQUIS!$C$91=1,-CROQUIS!$C$107/2-CROQUIS!$C$140,CROQUIS!$C$107/2+CROQUIS!$C$140))-CROQUIS!$C$169)*CROQUIS!$C$171)),-1000)</f>
        <v>-1000</v>
      </c>
      <c r="FA14">
        <f>IF(AND(CROQUIS!$C$88=1,OR(CROQUIS!$C$91=1,AND(CROQUIS!$C$130&gt;0,OR(CROQUIS!$C$103=1,CROQUIS!$C$142=1)))),CHOOSE(MIN(MAX($A14,1),7),((30+(CROQUIS!$C$108)*CROQUIS!$C$171*CROQUIS!$C$172)+5)-1.4,((30+(CROQUIS!$C$108)*CROQUIS!$C$171*CROQUIS!$C$172)+5)+1.4,((30+(CROQUIS!$C$108)*CROQUIS!$C$171*CROQUIS!$C$172)+5),((30+(CROQUIS!$C$108)*CROQUIS!$C$171*CROQUIS!$C$172)+5),((30+(CROQUIS!$C$108)*CROQUIS!$C$171*CROQUIS!$C$172)+5),((30+(CROQUIS!$C$108)*CROQUIS!$C$171*CROQUIS!$C$172)+5)+1.4,((30+(CROQUIS!$C$108)*CROQUIS!$C$171*CROQUIS!$C$172)+5)-1.4),-1000)</f>
        <v>-1000</v>
      </c>
    </row>
    <row r="15">
      <c r="A15" t="n">
        <v>8</v>
      </c>
      <c r="F15">
        <f>IF(AND(CROQUIS!$C$87=1,CROQUIS!$C$91=1),((CROQUIS!$C$156+(IF(CROQUIS!$C$92="X",IF(CROQUIS!$C$94=1,0,CROQUIS!$C$97)+IF(MOD($A15,2)=1,-CROQUIS!$C$107/2,CROQUIS!$C$107/2),(MIN($A15,41)-1)/40*CROQUIS!$C$98))*CROQUIS!$C$155)+IF(CROQUIS!$C$92="X",0,0)),-1000)</f>
        <v>-1000</v>
      </c>
      <c r="G15">
        <f>IF(AND(CROQUIS!$C$87=1,CROQUIS!$C$91=1),((CROQUIS!$C$157+(IF(CROQUIS!$C$92="X",(MIN($A15,41)-1)/40*CROQUIS!$C$98,IF(CROQUIS!$C$94=1,0,CROQUIS!$C$97)+IF(MOD($A15,2)=1,-CROQUIS!$C$107/2,CROQUIS!$C$107/2)))*CROQUIS!$C$155)+IF(CROQUIS!$C$92="X",0,0)),-1000)</f>
        <v>-1000</v>
      </c>
      <c r="T15">
        <f>IF(AND(CROQUIS!$C$88=1,CROQUIS!$C$91=1),((CROQUIS!$C$156+(IF(CROQUIS!$C$92="X",IF(CROQUIS!$C$94=1,0,CROQUIS!$C$97)+IF(MOD($A15,2)=1,-CROQUIS!$C$107/2,CROQUIS!$C$107/2),(MIN($A15,41)-1)/40*CROQUIS!$C$98))*CROQUIS!$C$155)+IF(CROQUIS!$C$92="X",0,0)),-1000)</f>
        <v>-1000</v>
      </c>
      <c r="U15">
        <f>IF(AND(CROQUIS!$C$88=1,CROQUIS!$C$91=1),((CROQUIS!$C$157+(IF(CROQUIS!$C$92="X",(MIN($A15,41)-1)/40*CROQUIS!$C$98,IF(CROQUIS!$C$94=1,0,CROQUIS!$C$97)+IF(MOD($A15,2)=1,-CROQUIS!$C$107/2,CROQUIS!$C$107/2)))*CROQUIS!$C$155)+IF(CROQUIS!$C$92="X",0,0)),-1000)</f>
        <v>-1000</v>
      </c>
      <c r="AF15">
        <f>IF(AND(CROQUIS!$C$87=1,CROQUIS!$C$158&gt;0,CROQUIS!$C$160&gt;0),(CROQUIS!$C$156+((CROQUIS!$C$159+INT(MIN(INT(($A15-1)/2),MAX((2*CROQUIS!$C$158)-1,0))/2)*CROQUIS!$C$113+MOD(MIN(INT(($A15-1)/2),MAX((2*CROQUIS!$C$158)-1,0)),2)*CROQUIS!$C$112))*CROQUIS!$C$155),-1000)</f>
        <v>37.1215544509715</v>
      </c>
      <c r="AG15">
        <f>IF(AND(CROQUIS!$C$87=1,CROQUIS!$C$158&gt;0,CROQUIS!$C$160&gt;0),(CROQUIS!$C$157+(IF(MOD(MIN(INT(($A15-1)/2),MAX((2*CROQUIS!$C$158)-1,0)),2)=0,IF(IF(INT(($A15-1)/2)&gt;MAX((2*CROQUIS!$C$158)-1,0),1,MOD($A15-1,2))=0,CROQUIS!$C$161,(CROQUIS!$C$161+CROQUIS!$C$160*CROQUIS!$C$113-CROQUIS!$C$111)),IF(IF(INT(($A15-1)/2)&gt;MAX((2*CROQUIS!$C$158)-1,0),1,MOD($A15-1,2))=0,(CROQUIS!$C$161+CROQUIS!$C$160*CROQUIS!$C$113-CROQUIS!$C$111),CROQUIS!$C$161)))*CROQUIS!$C$155),-1000)</f>
        <v>20.8088567555355</v>
      </c>
      <c r="AH15">
        <f>IF(AND(CROQUIS!$C$87=1,CROQUIS!$C$160&gt;0,CROQUIS!$C$158&gt;0),(CROQUIS!$C$156+(IF(MOD(MIN(INT(($A15-1)/2),MAX((2*CROQUIS!$C$160)-1,0)),2)=0,IF(IF(INT(($A15-1)/2)&gt;MAX((2*CROQUIS!$C$160)-1,0),1,MOD($A15-1,2))=0,CROQUIS!$C$159,(CROQUIS!$C$159+CROQUIS!$C$158*CROQUIS!$C$113-CROQUIS!$C$111)),IF(IF(INT(($A15-1)/2)&gt;MAX((2*CROQUIS!$C$160)-1,0),1,MOD($A15-1,2))=0,(CROQUIS!$C$159+CROQUIS!$C$158*CROQUIS!$C$113-CROQUIS!$C$111),CROQUIS!$C$159)))*CROQUIS!$C$155),-1000)</f>
        <v>14.7989154993222</v>
      </c>
      <c r="AI15">
        <f>IF(AND(CROQUIS!$C$87=1,CROQUIS!$C$160&gt;0,CROQUIS!$C$158&gt;0),(CROQUIS!$C$157+((CROQUIS!$C$161+INT(MIN(INT(($A15-1)/2),MAX((2*CROQUIS!$C$160)-1,0))/2)*CROQUIS!$C$113+MOD(MIN(INT(($A15-1)/2),MAX((2*CROQUIS!$C$160)-1,0)),2)*CROQUIS!$C$112))*CROQUIS!$C$155),-1000)</f>
        <v>43.1314957071848</v>
      </c>
      <c r="AJ15">
        <f>IF(AND(CROQUIS!$C$87=1,CROQUIS!$C$158&gt;=2),(CROQUIS!$C$156+((CROQUIS!$C$159+CROQUIS!$C$112+CROQUIS!$C$111/2+MIN(INT(($A15-1)/2),MAX((CROQUIS!$C$158-1)-1,0))*CROQUIS!$C$113))*CROQUIS!$C$155),-1000)</f>
        <v>62.0198825124266</v>
      </c>
      <c r="AK15">
        <f>IF(AND(CROQUIS!$C$87=1,CROQUIS!$C$158&gt;=2),(CROQUIS!$C$157+(IF(MOD(MIN(INT(($A15-1)/2),MAX((CROQUIS!$C$158-1)-1,0)),2)=0,IF(IF(INT(($A15-1)/2)&gt;MAX((CROQUIS!$C$158-1)-1,0),1,MOD($A15-1,2))=0,CROQUIS!$C$107/2,(CROQUIS!$C$96-CROQUIS!$C$107/2)),IF(IF(INT(($A15-1)/2)&gt;MAX((CROQUIS!$C$158-1)-1,0),1,MOD($A15-1,2))=0,(CROQUIS!$C$96-CROQUIS!$C$107/2),CROQUIS!$C$107/2)))*CROQUIS!$C$155),-1000)</f>
        <v>16.9453230908269</v>
      </c>
      <c r="AL15">
        <f>IF(AND(CROQUIS!$C$87=1,CROQUIS!$C$160&gt;=2),(CROQUIS!$C$156+(IF(MOD(MIN(INT(($A15-1)/2),MAX((CROQUIS!$C$160-1)-1,0)),2)=0,IF(IF(INT(($A15-1)/2)&gt;MAX((CROQUIS!$C$160-1)-1,0),1,MOD($A15-1,2))=0,CROQUIS!$C$107/2,(CROQUIS!$C$95-CROQUIS!$C$107/2)),IF(IF(INT(($A15-1)/2)&gt;MAX((CROQUIS!$C$160-1)-1,0),1,MOD($A15-1,2))=0,(CROQUIS!$C$95-CROQUIS!$C$107/2),CROQUIS!$C$107/2)))*CROQUIS!$C$155),-1000)</f>
        <v>13.2878445549028</v>
      </c>
      <c r="AM15">
        <f>IF(AND(CROQUIS!$C$87=1,CROQUIS!$C$160&gt;=2),(CROQUIS!$C$157+((CROQUIS!$C$161+CROQUIS!$C$112+CROQUIS!$C$111/2+MIN(INT(($A15-1)/2),MAX((CROQUIS!$C$160-1)-1,0))*CROQUIS!$C$113))*CROQUIS!$C$155),-1000)</f>
        <v>68.0298237686399</v>
      </c>
      <c r="AN15">
        <f>IF(AND(CROQUIS!$C$87=1,CROQUIS!$C$123&gt;0,CROQUIS!$C$162&gt;0),((CROQUIS!$C$156+(IF(CROQUIS!$C$92="X",CHOOSE(MIN(MAX($A15,1)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,CHOOSE(MIN(MAX($A15,1)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))*CROQUIS!$C$155)+IF(CROQUIS!$C$92="X",0,0)),-1000)</f>
        <v>-1000</v>
      </c>
      <c r="AO15">
        <f>IF(AND(CROQUIS!$C$87=1,CROQUIS!$C$123&gt;0,CROQUIS!$C$162&gt;0),((CROQUIS!$C$157+(IF(CROQUIS!$C$92="X",CHOOSE(MIN(MAX($A15,1)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,CHOOSE(MIN(MAX($A15,1)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))*CROQUIS!$C$155)+IF(CROQUIS!$C$92="X",0,0)),-1000)</f>
        <v>-1000</v>
      </c>
      <c r="BH15">
        <f>IF(AND(CROQUIS!$C$88=1,CROQUIS!$C$126&gt;0),((CROQUIS!$C$156+(IF(CROQUIS!$C$92="X",CHOOSE(IF(INT(($A15-1)/5)&gt;MAX((MIN(80,MAX(1,INT(((CROQUIS!$C$98)-CROQUIS!$C$107)/MAX(CROQUIS!$C$126,1))+1)))-1,0),0,MOD($A15-1,5))+1,0,2,CROQUIS!$C$97-2,2,0),((CROQUIS!$C$107/2+(((CROQUIS!$C$98)-CROQUIS!$C$107)-(MIN(80,MAX(1,INT(((CROQUIS!$C$98)-CROQUIS!$C$107)/MAX(CROQUIS!$C$126,1))+1))-1)*CROQUIS!$C$126)/2)+MIN(INT(($A15-1)/5),MAX((MIN(80,MAX(1,INT(((CROQUIS!$C$98)-CROQUIS!$C$107)/MAX(CROQUIS!$C$126,1))+1)))-1,0))*CROQUIS!$C$126)))*CROQUIS!$C$155)+IF(CROQUIS!$C$92="X",0,0)),-1000)</f>
        <v>-1000</v>
      </c>
      <c r="BI15">
        <f>IF(AND(CROQUIS!$C$88=1,CROQUIS!$C$126&gt;0),((CROQUIS!$C$157+(IF(CROQUIS!$C$92="X",((CROQUIS!$C$107/2+(((CROQUIS!$C$98)-CROQUIS!$C$107)-(MIN(80,MAX(1,INT(((CROQUIS!$C$98)-CROQUIS!$C$107)/MAX(CROQUIS!$C$126,1))+1))-1)*CROQUIS!$C$126)/2)+MIN(INT(($A15-1)/5),MAX((MIN(80,MAX(1,INT(((CROQUIS!$C$98)-CROQUIS!$C$107)/MAX(CROQUIS!$C$126,1))+1)))-1,0))*CROQUIS!$C$126),CHOOSE(IF(INT(($A15-1)/5)&gt;MAX((MIN(80,MAX(1,INT(((CROQUIS!$C$98)-CROQUIS!$C$107)/MAX(CROQUIS!$C$126,1))+1)))-1,0),0,MOD($A15-1,5))+1,0,2,CROQUIS!$C$97-2,2,0)))*CROQUIS!$C$155)+IF(CROQUIS!$C$92="X",0,0)),-1000)</f>
        <v>-1000</v>
      </c>
      <c r="BJ15">
        <f>IF(AND(CROQUIS!$C$88=1,CROQUIS!$C$134&gt;0),((CROQUIS!$C$156+(IF(CROQUIS!$C$92="X",((CROQUIS!$C$107/2+(((CROQUIS!$C$97)-CROQUIS!$C$107)-(MIN(80,MAX(1,INT(((CROQUIS!$C$97)-CROQUIS!$C$107)/MAX(CROQUIS!$C$134,1))+1))-1)*CROQUIS!$C$134)/2)+MIN(INT(($A15-1)/5),MAX((MIN(80,MAX(1,INT(((CROQUIS!$C$97)-CROQUIS!$C$107)/MAX(CROQUIS!$C$134,1))+1)))-1,0))*CROQUIS!$C$134),CHOOSE(IF(INT(($A15-1)/5)&gt;MAX((MIN(80,MAX(1,INT(((CROQUIS!$C$97)-CROQUIS!$C$107)/MAX(CROQUIS!$C$134,1))+1)))-1,0),0,MOD($A15-1,5))+1,0,2,CROQUIS!$C$98-2,2,0)))*CROQUIS!$C$155)+IF(CROQUIS!$C$92="X",0,0)),-1000)</f>
        <v>-1000</v>
      </c>
      <c r="BK15">
        <f>IF(AND(CROQUIS!$C$88=1,CROQUIS!$C$134&gt;0),((CROQUIS!$C$157+(IF(CROQUIS!$C$92="X",CHOOSE(IF(INT(($A15-1)/5)&gt;MAX((MIN(80,MAX(1,INT(((CROQUIS!$C$97)-CROQUIS!$C$107)/MAX(CROQUIS!$C$134,1))+1)))-1,0),0,MOD($A15-1,5))+1,0,2,CROQUIS!$C$98-2,2,0),((CROQUIS!$C$107/2+(((CROQUIS!$C$97)-CROQUIS!$C$107)-(MIN(80,MAX(1,INT(((CROQUIS!$C$97)-CROQUIS!$C$107)/MAX(CROQUIS!$C$134,1))+1))-1)*CROQUIS!$C$134)/2)+MIN(INT(($A15-1)/5),MAX((MIN(80,MAX(1,INT(((CROQUIS!$C$97)-CROQUIS!$C$107)/MAX(CROQUIS!$C$134,1))+1)))-1,0))*CROQUIS!$C$134)))*CROQUIS!$C$155)+IF(CROQUIS!$C$92="X",0,0)),-1000)</f>
        <v>-1000</v>
      </c>
      <c r="BL15">
        <f>IF(AND(CROQUIS!$C$88=1,CROQUIS!$C$91=0,CROQUIS!$C$130&gt;0,OR(CROQUIS!$C$103=1,CROQUIS!$C$142=1)),((CROQUIS!$C$156+(IF(CROQUIS!$C$92="X",CHOOSE(IF(INT(($A15-1)/5)&gt;MAX((MIN(80,MAX(1,INT(((CROQUIS!$C$98)-CROQUIS!$C$107)/MAX(CROQUIS!$C$130,1))+1)))-1,0),0,MOD($A15-1,5))+1,0,IF(CROQUIS!$C$103=1,-12,2),CROQUIS!$C$107/2+CROQUIS!$C$140,IF(CROQUIS!$C$103=1,-12,2),0),((CROQUIS!$C$107/2+(((CROQUIS!$C$98)-CROQUIS!$C$107)-(MIN(80,MAX(1,INT(((CROQUIS!$C$98)-CROQUIS!$C$107)/MAX(CROQUIS!$C$130,1))+1))-1)*CROQUIS!$C$130)/2)+MIN(INT(($A15-1)/5),MAX((MIN(80,MAX(1,INT(((CROQUIS!$C$98)-CROQUIS!$C$107)/MAX(CROQUIS!$C$130,1))+1)))-1,0))*CROQUIS!$C$130)))*CROQUIS!$C$155)+IF(CROQUIS!$C$92="X",0,0)),-1000)</f>
        <v>-1000</v>
      </c>
      <c r="BM1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15-1)/5),MAX((MIN(80,MAX(1,INT(((CROQUIS!$C$98)-CROQUIS!$C$107)/MAX(CROQUIS!$C$130,1))+1)))-1,0))*CROQUIS!$C$130),CHOOSE(IF(INT(($A15-1)/5)&gt;MAX((MIN(80,MAX(1,INT(((CROQUIS!$C$98)-CROQUIS!$C$107)/MAX(CROQUIS!$C$130,1))+1)))-1,0),0,MOD($A15-1,5))+1,0,IF(CROQUIS!$C$103=1,-12,2),CROQUIS!$C$107/2+CROQUIS!$C$140,IF(CROQUIS!$C$103=1,-12,2),0)))*CROQUIS!$C$155)+IF(CROQUIS!$C$92="X",0,0)),-1000)</f>
        <v>-1000</v>
      </c>
      <c r="BN15">
        <f>IF(AND(CROQUIS!$C$88=1,CROQUIS!$C$91=0,CROQUIS!$C$130&gt;0,OR(CROQUIS!$C$104=1,CROQUIS!$C$142=1)),((CROQUIS!$C$156+(IF(CROQUIS!$C$92="X",CHOOSE(IF(INT(($A15-1)/5)&gt;MAX((MIN(80,MAX(1,INT(((CROQUIS!$C$98)-CROQUIS!$C$107)/MAX(CROQUIS!$C$130,1))+1)))-1,0),0,MOD($A15-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15-1)/5),MAX((MIN(80,MAX(1,INT(((CROQUIS!$C$98)-CROQUIS!$C$107)/MAX(CROQUIS!$C$130,1))+1)))-1,0))*CROQUIS!$C$130)))*CROQUIS!$C$155)+IF(CROQUIS!$C$92="X",0,0)),-1000)</f>
        <v>-1000</v>
      </c>
      <c r="BO1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15-1)/5),MAX((MIN(80,MAX(1,INT(((CROQUIS!$C$98)-CROQUIS!$C$107)/MAX(CROQUIS!$C$130,1))+1)))-1,0))*CROQUIS!$C$130),CHOOSE(IF(INT(($A15-1)/5)&gt;MAX((MIN(80,MAX(1,INT(((CROQUIS!$C$98)-CROQUIS!$C$107)/MAX(CROQUIS!$C$130,1))+1)))-1,0),0,MOD($A15-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15-1)/5),MAX((MIN(80,MAX(1,INT(((CROQUIS!$C$97)-CROQUIS!$C$107)/MAX(CROQUIS!$C$138,1))+1)))-1,0))*CROQUIS!$C$138),CHOOSE(IF(INT(($A15-1)/5)&gt;MAX((MIN(80,MAX(1,INT(((CROQUIS!$C$97)-CROQUIS!$C$107)/MAX(CROQUIS!$C$138,1))+1)))-1,0),0,MOD($A15-1,5))+1,0,IF(CROQUIS!$C$105=1,-12,2),CROQUIS!$C$107/2+CROQUIS!$C$141,IF(CROQUIS!$C$105=1,-12,2),0)))*CROQUIS!$C$155)+IF(CROQUIS!$C$92="X",0,0)),-1000)</f>
        <v>-1000</v>
      </c>
      <c r="BQ15">
        <f>IF(AND(CROQUIS!$C$88=1,CROQUIS!$C$91=0,CROQUIS!$C$138&gt;0,OR(CROQUIS!$C$105=1,CROQUIS!$C$143=1)),((CROQUIS!$C$157+(IF(CROQUIS!$C$92="X",CHOOSE(IF(INT(($A15-1)/5)&gt;MAX((MIN(80,MAX(1,INT(((CROQUIS!$C$97)-CROQUIS!$C$107)/MAX(CROQUIS!$C$138,1))+1)))-1,0),0,MOD($A15-1,5))+1,0,IF(CROQUIS!$C$105=1,-12,2),CROQUIS!$C$107/2+CROQUIS!$C$141,IF(CROQUIS!$C$105=1,-12,2),0),((CROQUIS!$C$107/2+(((CROQUIS!$C$97)-CROQUIS!$C$107)-(MIN(80,MAX(1,INT(((CROQUIS!$C$97)-CROQUIS!$C$107)/MAX(CROQUIS!$C$138,1))+1))-1)*CROQUIS!$C$138)/2)+MIN(INT(($A15-1)/5),MAX((MIN(80,MAX(1,INT(((CROQUIS!$C$97)-CROQUIS!$C$107)/MAX(CROQUIS!$C$138,1))+1)))-1,0))*CROQUIS!$C$138)))*CROQUIS!$C$155)+IF(CROQUIS!$C$92="X",0,0)),-1000)</f>
        <v>-1000</v>
      </c>
      <c r="BR1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15-1)/5),MAX((MIN(80,MAX(1,INT(((CROQUIS!$C$97)-CROQUIS!$C$107)/MAX(CROQUIS!$C$138,1))+1)))-1,0))*CROQUIS!$C$138),CHOOSE(IF(INT(($A15-1)/5)&gt;MAX((MIN(80,MAX(1,INT(((CROQUIS!$C$97)-CROQUIS!$C$107)/MAX(CROQUIS!$C$138,1))+1)))-1,0),0,MOD($A15-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5">
        <f>IF(AND(CROQUIS!$C$88=1,CROQUIS!$C$91=0,CROQUIS!$C$138&gt;0,OR(CROQUIS!$C$106=1,CROQUIS!$C$143=1)),((CROQUIS!$C$157+(IF(CROQUIS!$C$92="X",CHOOSE(IF(INT(($A15-1)/5)&gt;MAX((MIN(80,MAX(1,INT(((CROQUIS!$C$97)-CROQUIS!$C$107)/MAX(CROQUIS!$C$138,1))+1)))-1,0),0,MOD($A15-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15-1)/5),MAX((MIN(80,MAX(1,INT(((CROQUIS!$C$97)-CROQUIS!$C$107)/MAX(CROQUIS!$C$138,1))+1)))-1,0))*CROQUIS!$C$138)))*CROQUIS!$C$155)+IF(CROQUIS!$C$92="X",0,0)),-1000)</f>
        <v>-1000</v>
      </c>
      <c r="BT15">
        <f>IF(AND(CROQUIS!$C$88=1,CROQUIS!$C$91=1,CROQUIS!$C$130&gt;0),((CROQUIS!$C$156+(IF(CROQUIS!$C$92="X",CHOOSE(IF(INT(($A15-1)/5)&gt;MAX((MIN(80,MAX(1,INT(((CROQUIS!$C$98)-CROQUIS!$C$107)/MAX(CROQUIS!$C$130,1))+1)))-1,0),0,MOD($A15-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15-1)/5),MAX((MIN(80,MAX(1,INT(((CROQUIS!$C$98)-CROQUIS!$C$107)/MAX(CROQUIS!$C$130,1))+1)))-1,0))*CROQUIS!$C$130)))*CROQUIS!$C$155)+IF(CROQUIS!$C$92="X",0,0)),-1000)</f>
        <v>-1000</v>
      </c>
      <c r="BU15">
        <f>IF(AND(CROQUIS!$C$88=1,CROQUIS!$C$91=1,CROQUIS!$C$130&gt;0),((CROQUIS!$C$157+(IF(CROQUIS!$C$92="X",((CROQUIS!$C$107/2+(((CROQUIS!$C$98)-CROQUIS!$C$107)-(MIN(80,MAX(1,INT(((CROQUIS!$C$98)-CROQUIS!$C$107)/MAX(CROQUIS!$C$130,1))+1))-1)*CROQUIS!$C$130)/2)+MIN(INT(($A15-1)/5),MAX((MIN(80,MAX(1,INT(((CROQUIS!$C$98)-CROQUIS!$C$107)/MAX(CROQUIS!$C$130,1))+1)))-1,0))*CROQUIS!$C$130),CHOOSE(IF(INT(($A15-1)/5)&gt;MAX((MIN(80,MAX(1,INT(((CROQUIS!$C$98)-CROQUIS!$C$107)/MAX(CROQUIS!$C$130,1))+1)))-1,0),0,MOD($A15-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BV15">
        <f>IF(AND(CROQUIS!$C$87=1),CHOOSE(MIN(MAX($A15,1),9),(50+(-CROQUIS!$C$113/2)*CROQUIS!$C$173),(50+(CROQUIS!$C$113/2)*CROQUIS!$C$173),(50+(CROQUIS!$C$113/2)*CROQUIS!$C$173),(50+(CROQUIS!$C$111/2)*CROQUIS!$C$173),(50+(CROQUIS!$C$111/2)*CROQUIS!$C$173),(50+(-CROQUIS!$C$111/2)*CROQUIS!$C$173),(50+(-CROQUIS!$C$111/2)*CROQUIS!$C$173),(50+(-CROQUIS!$C$113/2)*CROQUIS!$C$173),(50+(-CROQUIS!$C$113/2)*CROQUIS!$C$173)),-1000)</f>
        <v>16.5909090909091</v>
      </c>
      <c r="BW15">
        <f>IF(AND(CROQUIS!$C$87=1),CHOOSE(MIN(MAX($A15,1),9),(12+(CROQUIS!$C$108)*CROQUIS!$C$173),(12+(CROQUIS!$C$108)*CROQUIS!$C$173),(12+(CROQUIS!$C$114)*CROQUIS!$C$173),(12+(CROQUIS!$C$114)*CROQUIS!$C$173),(12+(0)*CROQUIS!$C$173),(12+(0)*CROQUIS!$C$173),(12+(CROQUIS!$C$114)*CROQUIS!$C$173),(12+(CROQUIS!$C$114)*CROQUIS!$C$173),(12+(CROQUIS!$C$108)*CROQUIS!$C$173)),-1000)</f>
        <v>30.1363636363636</v>
      </c>
      <c r="CD15">
        <f>IF(AND(CROQUIS!$C$87=1,CROQUIS!$C$126&gt;=1),(50+(((1-(CROQUIS!$C$126+1)/2)*(MAX(CROQUIS!$C$118,CROQUIS!$C$125)+CROQUIS!$C$125))+CROQUIS!$C$125/2*COS(2*PI()*(MIN($A15,13)-1)/12))*CROQUIS!$C$173),-1000)</f>
        <v>49.4750705109334</v>
      </c>
      <c r="CE15">
        <f>IF(AND(CROQUIS!$C$87=1,CROQUIS!$C$126&gt;=1),(12+((CROQUIS!$C$109+CROQUIS!$C$125/2)+CROQUIS!$C$125/2*SIN(2*PI()*(MIN($A15,13)-1)/12))*CROQUIS!$C$173),-1000)</f>
        <v>14.2121590909091</v>
      </c>
      <c r="CF15">
        <f>IF(AND(CROQUIS!$C$87=1,CROQUIS!$C$126&gt;=2),(50+(((2-(CROQUIS!$C$126+1)/2)*(MAX(CROQUIS!$C$118,CROQUIS!$C$125)+CROQUIS!$C$125))+CROQUIS!$C$125/2*COS(2*PI()*(MIN($A15,13)-1)/12))*CROQUIS!$C$173),-1000)</f>
        <v>-1000</v>
      </c>
      <c r="CG15">
        <f>IF(AND(CROQUIS!$C$87=1,CROQUIS!$C$126&gt;=2),(12+((CROQUIS!$C$109+CROQUIS!$C$125/2)+CROQUIS!$C$125/2*SIN(2*PI()*(MIN($A15,13)-1)/12))*CROQUIS!$C$173),-1000)</f>
        <v>-1000</v>
      </c>
      <c r="CH15">
        <f>IF(AND(CROQUIS!$C$87=1,CROQUIS!$C$126&gt;=3),(50+(((3-(CROQUIS!$C$126+1)/2)*(MAX(CROQUIS!$C$118,CROQUIS!$C$125)+CROQUIS!$C$125))+CROQUIS!$C$125/2*COS(2*PI()*(MIN($A15,13)-1)/12))*CROQUIS!$C$173),-1000)</f>
        <v>-1000</v>
      </c>
      <c r="CI15">
        <f>IF(AND(CROQUIS!$C$87=1,CROQUIS!$C$126&gt;=3),(12+((CROQUIS!$C$109+CROQUIS!$C$125/2)+CROQUIS!$C$125/2*SIN(2*PI()*(MIN($A15,13)-1)/12))*CROQUIS!$C$173),-1000)</f>
        <v>-1000</v>
      </c>
      <c r="CJ15">
        <f>IF(AND(CROQUIS!$C$87=1,CROQUIS!$C$130&gt;=1),(50+(((1-(CROQUIS!$C$130+1)/2)*(MAX(CROQUIS!$C$118,CROQUIS!$C$129)+CROQUIS!$C$129))+CROQUIS!$C$129/2*COS(2*PI()*(MIN($A15,13)-1)/12))*CROQUIS!$C$173),-1000)</f>
        <v>49.4750705109334</v>
      </c>
      <c r="CK15">
        <f>IF(AND(CROQUIS!$C$87=1,CROQUIS!$C$130&gt;=1),(12+((CROQUIS!$C$108-CROQUIS!$C$117-2*CROQUIS!$C$116-CROQUIS!$C$129/2)+CROQUIS!$C$129/2*SIN(2*PI()*(MIN($A15,13)-1)/12))*CROQUIS!$C$173),-1000)</f>
        <v>31.5447954545455</v>
      </c>
      <c r="CL15">
        <f>IF(AND(CROQUIS!$C$87=1,CROQUIS!$C$130&gt;=2),(50+(((2-(CROQUIS!$C$130+1)/2)*(MAX(CROQUIS!$C$118,CROQUIS!$C$129)+CROQUIS!$C$129))+CROQUIS!$C$129/2*COS(2*PI()*(MIN($A15,13)-1)/12))*CROQUIS!$C$173),-1000)</f>
        <v>-1000</v>
      </c>
      <c r="CM15">
        <f>IF(AND(CROQUIS!$C$87=1,CROQUIS!$C$130&gt;=2),(12+((CROQUIS!$C$108-CROQUIS!$C$117-2*CROQUIS!$C$116-CROQUIS!$C$129/2)+CROQUIS!$C$129/2*SIN(2*PI()*(MIN($A15,13)-1)/12))*CROQUIS!$C$173),-1000)</f>
        <v>-1000</v>
      </c>
      <c r="CN15">
        <f>IF(AND(CROQUIS!$C$87=1,CROQUIS!$C$130&gt;=3),(50+(((3-(CROQUIS!$C$130+1)/2)*(MAX(CROQUIS!$C$118,CROQUIS!$C$129)+CROQUIS!$C$129))+CROQUIS!$C$129/2*COS(2*PI()*(MIN($A15,13)-1)/12))*CROQUIS!$C$173),-1000)</f>
        <v>-1000</v>
      </c>
      <c r="CO15">
        <f>IF(AND(CROQUIS!$C$87=1,CROQUIS!$C$130&gt;=3),(12+((CROQUIS!$C$108-CROQUIS!$C$117-2*CROQUIS!$C$116-CROQUIS!$C$129/2)+CROQUIS!$C$129/2*SIN(2*PI()*(MIN($A15,13)-1)/12))*CROQUIS!$C$173),-1000)</f>
        <v>-1000</v>
      </c>
      <c r="DB15">
        <f>IF(AND(CROQUIS!$C$88=1,CROQUIS!$C$134&gt;0),(50+((-(MIN(12,INT(58/MAX(CROQUIS!$C$134,1))+1)-1)*CROQUIS!$C$134/2+(MIN($A15,MIN(12,INT(58/MAX(CROQUIS!$C$134,1))+1))-1)*CROQUIS!$C$134))*CROQUIS!$C$174),-1000)</f>
        <v>-1000</v>
      </c>
      <c r="DC15">
        <f>IF(AND(CROQUIS!$C$88=1,CROQUIS!$C$134&gt;0),(12+((CROQUIS!$C$109+CROQUIS!$C$125+CROQUIS!$C$133/2))*CROQUIS!$C$174),-1000)</f>
        <v>-1000</v>
      </c>
      <c r="DD15">
        <f>IF(AND(CROQUIS!$C$88=1,CROQUIS!$C$138&gt;0),(50+((-(MIN(12,INT(58/MAX(CROQUIS!$C$138,1))+1)-1)*CROQUIS!$C$138/2+(MIN($A15,MIN(12,INT(58/MAX(CROQUIS!$C$138,1))+1))-1)*CROQUIS!$C$138))*CROQUIS!$C$174),-1000)</f>
        <v>-1000</v>
      </c>
      <c r="DE15">
        <f>IF(AND(CROQUIS!$C$88=1,CROQUIS!$C$138&gt;0),(12+((CROQUIS!$C$108-CROQUIS!$C$110-CROQUIS!$C$129-CROQUIS!$C$137/2))*CROQUIS!$C$174),-1000)</f>
        <v>-1000</v>
      </c>
      <c r="DR15">
        <f>IF(AND(CROQUIS!$C$87=1),CHOOSE(MIN(MAX($A15,1)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90.1894736842105</v>
      </c>
      <c r="DS15">
        <f>IF(AND(CROQUIS!$C$87=1),CHOOSE(MIN(MAX($A15,1),10),30,30,20,20,30,IF(CROQUIS!$C$91=1,30,30),IF(CROQUIS!$C$91=1,30,30),IF(CROQUIS!$C$91=1,30,20),IF(CROQUIS!$C$91=1,30,20),IF(CROQUIS!$C$91=1,30,30)),-1000)</f>
        <v>20</v>
      </c>
      <c r="EN15">
        <f>IF(AND(CROQUIS!$C$88=1),CHOOSE(MIN(MAX($A15,1)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-1000</v>
      </c>
      <c r="EO15">
        <f>IF(AND(CROQUIS!$C$88=1),CHOOSE(MIN(MAX($A15,1),10),30,30,20,20,30,IF(CROQUIS!$C$91=1,30,30),IF(CROQUIS!$C$91=1,30,30),IF(CROQUIS!$C$91=1,30,20),IF(CROQUIS!$C$91=1,30,20),IF(CROQUIS!$C$91=1,30,30)),-1000)</f>
        <v>-1000</v>
      </c>
    </row>
    <row r="16">
      <c r="A16" t="n">
        <v>9</v>
      </c>
      <c r="F16">
        <f>IF(AND(CROQUIS!$C$87=1,CROQUIS!$C$91=1),((CROQUIS!$C$156+(IF(CROQUIS!$C$92="X",IF(CROQUIS!$C$94=1,0,CROQUIS!$C$97)+IF(MOD($A16,2)=1,-CROQUIS!$C$107/2,CROQUIS!$C$107/2),(MIN($A16,41)-1)/40*CROQUIS!$C$98))*CROQUIS!$C$155)+IF(CROQUIS!$C$92="X",0,0)),-1000)</f>
        <v>-1000</v>
      </c>
      <c r="G16">
        <f>IF(AND(CROQUIS!$C$87=1,CROQUIS!$C$91=1),((CROQUIS!$C$157+(IF(CROQUIS!$C$92="X",(MIN($A16,41)-1)/40*CROQUIS!$C$98,IF(CROQUIS!$C$94=1,0,CROQUIS!$C$97)+IF(MOD($A16,2)=1,-CROQUIS!$C$107/2,CROQUIS!$C$107/2)))*CROQUIS!$C$155)+IF(CROQUIS!$C$92="X",0,0)),-1000)</f>
        <v>-1000</v>
      </c>
      <c r="T16">
        <f>IF(AND(CROQUIS!$C$88=1,CROQUIS!$C$91=1),((CROQUIS!$C$156+(IF(CROQUIS!$C$92="X",IF(CROQUIS!$C$94=1,0,CROQUIS!$C$97)+IF(MOD($A16,2)=1,-CROQUIS!$C$107/2,CROQUIS!$C$107/2),(MIN($A16,41)-1)/40*CROQUIS!$C$98))*CROQUIS!$C$155)+IF(CROQUIS!$C$92="X",0,0)),-1000)</f>
        <v>-1000</v>
      </c>
      <c r="U16">
        <f>IF(AND(CROQUIS!$C$88=1,CROQUIS!$C$91=1),((CROQUIS!$C$157+(IF(CROQUIS!$C$92="X",(MIN($A16,41)-1)/40*CROQUIS!$C$98,IF(CROQUIS!$C$94=1,0,CROQUIS!$C$97)+IF(MOD($A16,2)=1,-CROQUIS!$C$107/2,CROQUIS!$C$107/2)))*CROQUIS!$C$155)+IF(CROQUIS!$C$92="X",0,0)),-1000)</f>
        <v>-1000</v>
      </c>
      <c r="AF16">
        <f>IF(AND(CROQUIS!$C$87=1,CROQUIS!$C$158&gt;0,CROQUIS!$C$160&gt;0),(CROQUIS!$C$156+((CROQUIS!$C$159+INT(MIN(INT(($A16-1)/2),MAX((2*CROQUIS!$C$158)-1,0))/2)*CROQUIS!$C$113+MOD(MIN(INT(($A16-1)/2),MAX((2*CROQUIS!$C$158)-1,0)),2)*CROQUIS!$C$112))*CROQUIS!$C$155),-1000)</f>
        <v>38.8386805241753</v>
      </c>
      <c r="AG16">
        <f>IF(AND(CROQUIS!$C$87=1,CROQUIS!$C$158&gt;0,CROQUIS!$C$160&gt;0),(CROQUIS!$C$157+(IF(MOD(MIN(INT(($A16-1)/2),MAX((2*CROQUIS!$C$158)-1,0)),2)=0,IF(IF(INT(($A16-1)/2)&gt;MAX((2*CROQUIS!$C$158)-1,0),1,MOD($A16-1,2))=0,CROQUIS!$C$161,(CROQUIS!$C$161+CROQUIS!$C$160*CROQUIS!$C$113-CROQUIS!$C$111)),IF(IF(INT(($A16-1)/2)&gt;MAX((2*CROQUIS!$C$158)-1,0),1,MOD($A16-1,2))=0,(CROQUIS!$C$161+CROQUIS!$C$160*CROQUIS!$C$113-CROQUIS!$C$111),CROQUIS!$C$161)))*CROQUIS!$C$155),-1000)</f>
        <v>20.8088567555355</v>
      </c>
      <c r="AH16">
        <f>IF(AND(CROQUIS!$C$87=1,CROQUIS!$C$160&gt;0,CROQUIS!$C$158&gt;0),(CROQUIS!$C$156+(IF(MOD(MIN(INT(($A16-1)/2),MAX((2*CROQUIS!$C$160)-1,0)),2)=0,IF(IF(INT(($A16-1)/2)&gt;MAX((2*CROQUIS!$C$160)-1,0),1,MOD($A16-1,2))=0,CROQUIS!$C$159,(CROQUIS!$C$159+CROQUIS!$C$158*CROQUIS!$C$113-CROQUIS!$C$111)),IF(IF(INT(($A16-1)/2)&gt;MAX((2*CROQUIS!$C$160)-1,0),1,MOD($A16-1,2))=0,(CROQUIS!$C$159+CROQUIS!$C$158*CROQUIS!$C$113-CROQUIS!$C$111),CROQUIS!$C$159)))*CROQUIS!$C$155),-1000)</f>
        <v>14.7989154993222</v>
      </c>
      <c r="AI16">
        <f>IF(AND(CROQUIS!$C$87=1,CROQUIS!$C$160&gt;0,CROQUIS!$C$158&gt;0),(CROQUIS!$C$157+((CROQUIS!$C$161+INT(MIN(INT(($A16-1)/2),MAX((2*CROQUIS!$C$160)-1,0))/2)*CROQUIS!$C$113+MOD(MIN(INT(($A16-1)/2),MAX((2*CROQUIS!$C$160)-1,0)),2)*CROQUIS!$C$112))*CROQUIS!$C$155),-1000)</f>
        <v>44.8486217803886</v>
      </c>
      <c r="AJ16">
        <f>IF(AND(CROQUIS!$C$87=1,CROQUIS!$C$158&gt;=2),(CROQUIS!$C$156+((CROQUIS!$C$159+CROQUIS!$C$112+CROQUIS!$C$111/2+MIN(INT(($A16-1)/2),MAX((CROQUIS!$C$158-1)-1,0))*CROQUIS!$C$113))*CROQUIS!$C$155),-1000)</f>
        <v>74.0397650248531</v>
      </c>
      <c r="AK16">
        <f>IF(AND(CROQUIS!$C$87=1,CROQUIS!$C$158&gt;=2),(CROQUIS!$C$157+(IF(MOD(MIN(INT(($A16-1)/2),MAX((CROQUIS!$C$158-1)-1,0)),2)=0,IF(IF(INT(($A16-1)/2)&gt;MAX((CROQUIS!$C$158-1)-1,0),1,MOD($A16-1,2))=0,CROQUIS!$C$107/2,(CROQUIS!$C$96-CROQUIS!$C$107/2)),IF(IF(INT(($A16-1)/2)&gt;MAX((CROQUIS!$C$158-1)-1,0),1,MOD($A16-1,2))=0,(CROQUIS!$C$96-CROQUIS!$C$107/2),CROQUIS!$C$107/2)))*CROQUIS!$C$155),-1000)</f>
        <v>16.9453230908269</v>
      </c>
      <c r="AL16">
        <f>IF(AND(CROQUIS!$C$87=1,CROQUIS!$C$160&gt;=2),(CROQUIS!$C$156+(IF(MOD(MIN(INT(($A16-1)/2),MAX((CROQUIS!$C$160-1)-1,0)),2)=0,IF(IF(INT(($A16-1)/2)&gt;MAX((CROQUIS!$C$160-1)-1,0),1,MOD($A16-1,2))=0,CROQUIS!$C$107/2,(CROQUIS!$C$95-CROQUIS!$C$107/2)),IF(IF(INT(($A16-1)/2)&gt;MAX((CROQUIS!$C$160-1)-1,0),1,MOD($A16-1,2))=0,(CROQUIS!$C$95-CROQUIS!$C$107/2),CROQUIS!$C$107/2)))*CROQUIS!$C$155),-1000)</f>
        <v>13.2878445549028</v>
      </c>
      <c r="AM16">
        <f>IF(AND(CROQUIS!$C$87=1,CROQUIS!$C$160&gt;=2),(CROQUIS!$C$157+((CROQUIS!$C$161+CROQUIS!$C$112+CROQUIS!$C$111/2+MIN(INT(($A16-1)/2),MAX((CROQUIS!$C$160-1)-1,0))*CROQUIS!$C$113))*CROQUIS!$C$155),-1000)</f>
        <v>68.0298237686399</v>
      </c>
      <c r="AN16">
        <f>IF(AND(CROQUIS!$C$87=1,CROQUIS!$C$123&gt;0,CROQUIS!$C$162&gt;0),((CROQUIS!$C$156+(IF(CROQUIS!$C$92="X",CHOOSE(MIN(MAX($A16,1)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,CHOOSE(MIN(MAX($A16,1)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))*CROQUIS!$C$155)+IF(CROQUIS!$C$92="X",0,0)),-1000)</f>
        <v>-1000</v>
      </c>
      <c r="AO16">
        <f>IF(AND(CROQUIS!$C$87=1,CROQUIS!$C$123&gt;0,CROQUIS!$C$162&gt;0),((CROQUIS!$C$157+(IF(CROQUIS!$C$92="X",CHOOSE(MIN(MAX($A16,1)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,CHOOSE(MIN(MAX($A16,1)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))*CROQUIS!$C$155)+IF(CROQUIS!$C$92="X",0,0)),-1000)</f>
        <v>-1000</v>
      </c>
      <c r="BH16">
        <f>IF(AND(CROQUIS!$C$88=1,CROQUIS!$C$126&gt;0),((CROQUIS!$C$156+(IF(CROQUIS!$C$92="X",CHOOSE(IF(INT(($A16-1)/5)&gt;MAX((MIN(80,MAX(1,INT(((CROQUIS!$C$98)-CROQUIS!$C$107)/MAX(CROQUIS!$C$126,1))+1)))-1,0),0,MOD($A16-1,5))+1,0,2,CROQUIS!$C$97-2,2,0),((CROQUIS!$C$107/2+(((CROQUIS!$C$98)-CROQUIS!$C$107)-(MIN(80,MAX(1,INT(((CROQUIS!$C$98)-CROQUIS!$C$107)/MAX(CROQUIS!$C$126,1))+1))-1)*CROQUIS!$C$126)/2)+MIN(INT(($A16-1)/5),MAX((MIN(80,MAX(1,INT(((CROQUIS!$C$98)-CROQUIS!$C$107)/MAX(CROQUIS!$C$126,1))+1)))-1,0))*CROQUIS!$C$126)))*CROQUIS!$C$155)+IF(CROQUIS!$C$92="X",0,0)),-1000)</f>
        <v>-1000</v>
      </c>
      <c r="BI16">
        <f>IF(AND(CROQUIS!$C$88=1,CROQUIS!$C$126&gt;0),((CROQUIS!$C$157+(IF(CROQUIS!$C$92="X",((CROQUIS!$C$107/2+(((CROQUIS!$C$98)-CROQUIS!$C$107)-(MIN(80,MAX(1,INT(((CROQUIS!$C$98)-CROQUIS!$C$107)/MAX(CROQUIS!$C$126,1))+1))-1)*CROQUIS!$C$126)/2)+MIN(INT(($A16-1)/5),MAX((MIN(80,MAX(1,INT(((CROQUIS!$C$98)-CROQUIS!$C$107)/MAX(CROQUIS!$C$126,1))+1)))-1,0))*CROQUIS!$C$126),CHOOSE(IF(INT(($A16-1)/5)&gt;MAX((MIN(80,MAX(1,INT(((CROQUIS!$C$98)-CROQUIS!$C$107)/MAX(CROQUIS!$C$126,1))+1)))-1,0),0,MOD($A16-1,5))+1,0,2,CROQUIS!$C$97-2,2,0)))*CROQUIS!$C$155)+IF(CROQUIS!$C$92="X",0,0)),-1000)</f>
        <v>-1000</v>
      </c>
      <c r="BJ16">
        <f>IF(AND(CROQUIS!$C$88=1,CROQUIS!$C$134&gt;0),((CROQUIS!$C$156+(IF(CROQUIS!$C$92="X",((CROQUIS!$C$107/2+(((CROQUIS!$C$97)-CROQUIS!$C$107)-(MIN(80,MAX(1,INT(((CROQUIS!$C$97)-CROQUIS!$C$107)/MAX(CROQUIS!$C$134,1))+1))-1)*CROQUIS!$C$134)/2)+MIN(INT(($A16-1)/5),MAX((MIN(80,MAX(1,INT(((CROQUIS!$C$97)-CROQUIS!$C$107)/MAX(CROQUIS!$C$134,1))+1)))-1,0))*CROQUIS!$C$134),CHOOSE(IF(INT(($A16-1)/5)&gt;MAX((MIN(80,MAX(1,INT(((CROQUIS!$C$97)-CROQUIS!$C$107)/MAX(CROQUIS!$C$134,1))+1)))-1,0),0,MOD($A16-1,5))+1,0,2,CROQUIS!$C$98-2,2,0)))*CROQUIS!$C$155)+IF(CROQUIS!$C$92="X",0,0)),-1000)</f>
        <v>-1000</v>
      </c>
      <c r="BK16">
        <f>IF(AND(CROQUIS!$C$88=1,CROQUIS!$C$134&gt;0),((CROQUIS!$C$157+(IF(CROQUIS!$C$92="X",CHOOSE(IF(INT(($A16-1)/5)&gt;MAX((MIN(80,MAX(1,INT(((CROQUIS!$C$97)-CROQUIS!$C$107)/MAX(CROQUIS!$C$134,1))+1)))-1,0),0,MOD($A16-1,5))+1,0,2,CROQUIS!$C$98-2,2,0),((CROQUIS!$C$107/2+(((CROQUIS!$C$97)-CROQUIS!$C$107)-(MIN(80,MAX(1,INT(((CROQUIS!$C$97)-CROQUIS!$C$107)/MAX(CROQUIS!$C$134,1))+1))-1)*CROQUIS!$C$134)/2)+MIN(INT(($A16-1)/5),MAX((MIN(80,MAX(1,INT(((CROQUIS!$C$97)-CROQUIS!$C$107)/MAX(CROQUIS!$C$134,1))+1)))-1,0))*CROQUIS!$C$134)))*CROQUIS!$C$155)+IF(CROQUIS!$C$92="X",0,0)),-1000)</f>
        <v>-1000</v>
      </c>
      <c r="BL16">
        <f>IF(AND(CROQUIS!$C$88=1,CROQUIS!$C$91=0,CROQUIS!$C$130&gt;0,OR(CROQUIS!$C$103=1,CROQUIS!$C$142=1)),((CROQUIS!$C$156+(IF(CROQUIS!$C$92="X",CHOOSE(IF(INT(($A16-1)/5)&gt;MAX((MIN(80,MAX(1,INT(((CROQUIS!$C$98)-CROQUIS!$C$107)/MAX(CROQUIS!$C$130,1))+1)))-1,0),0,MOD($A16-1,5))+1,0,IF(CROQUIS!$C$103=1,-12,2),CROQUIS!$C$107/2+CROQUIS!$C$140,IF(CROQUIS!$C$103=1,-12,2),0),((CROQUIS!$C$107/2+(((CROQUIS!$C$98)-CROQUIS!$C$107)-(MIN(80,MAX(1,INT(((CROQUIS!$C$98)-CROQUIS!$C$107)/MAX(CROQUIS!$C$130,1))+1))-1)*CROQUIS!$C$130)/2)+MIN(INT(($A16-1)/5),MAX((MIN(80,MAX(1,INT(((CROQUIS!$C$98)-CROQUIS!$C$107)/MAX(CROQUIS!$C$130,1))+1)))-1,0))*CROQUIS!$C$130)))*CROQUIS!$C$155)+IF(CROQUIS!$C$92="X",0,0)),-1000)</f>
        <v>-1000</v>
      </c>
      <c r="BM1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16-1)/5),MAX((MIN(80,MAX(1,INT(((CROQUIS!$C$98)-CROQUIS!$C$107)/MAX(CROQUIS!$C$130,1))+1)))-1,0))*CROQUIS!$C$130),CHOOSE(IF(INT(($A16-1)/5)&gt;MAX((MIN(80,MAX(1,INT(((CROQUIS!$C$98)-CROQUIS!$C$107)/MAX(CROQUIS!$C$130,1))+1)))-1,0),0,MOD($A16-1,5))+1,0,IF(CROQUIS!$C$103=1,-12,2),CROQUIS!$C$107/2+CROQUIS!$C$140,IF(CROQUIS!$C$103=1,-12,2),0)))*CROQUIS!$C$155)+IF(CROQUIS!$C$92="X",0,0)),-1000)</f>
        <v>-1000</v>
      </c>
      <c r="BN16">
        <f>IF(AND(CROQUIS!$C$88=1,CROQUIS!$C$91=0,CROQUIS!$C$130&gt;0,OR(CROQUIS!$C$104=1,CROQUIS!$C$142=1)),((CROQUIS!$C$156+(IF(CROQUIS!$C$92="X",CHOOSE(IF(INT(($A16-1)/5)&gt;MAX((MIN(80,MAX(1,INT(((CROQUIS!$C$98)-CROQUIS!$C$107)/MAX(CROQUIS!$C$130,1))+1)))-1,0),0,MOD($A16-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16-1)/5),MAX((MIN(80,MAX(1,INT(((CROQUIS!$C$98)-CROQUIS!$C$107)/MAX(CROQUIS!$C$130,1))+1)))-1,0))*CROQUIS!$C$130)))*CROQUIS!$C$155)+IF(CROQUIS!$C$92="X",0,0)),-1000)</f>
        <v>-1000</v>
      </c>
      <c r="BO1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16-1)/5),MAX((MIN(80,MAX(1,INT(((CROQUIS!$C$98)-CROQUIS!$C$107)/MAX(CROQUIS!$C$130,1))+1)))-1,0))*CROQUIS!$C$130),CHOOSE(IF(INT(($A16-1)/5)&gt;MAX((MIN(80,MAX(1,INT(((CROQUIS!$C$98)-CROQUIS!$C$107)/MAX(CROQUIS!$C$130,1))+1)))-1,0),0,MOD($A16-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16-1)/5),MAX((MIN(80,MAX(1,INT(((CROQUIS!$C$97)-CROQUIS!$C$107)/MAX(CROQUIS!$C$138,1))+1)))-1,0))*CROQUIS!$C$138),CHOOSE(IF(INT(($A16-1)/5)&gt;MAX((MIN(80,MAX(1,INT(((CROQUIS!$C$97)-CROQUIS!$C$107)/MAX(CROQUIS!$C$138,1))+1)))-1,0),0,MOD($A16-1,5))+1,0,IF(CROQUIS!$C$105=1,-12,2),CROQUIS!$C$107/2+CROQUIS!$C$141,IF(CROQUIS!$C$105=1,-12,2),0)))*CROQUIS!$C$155)+IF(CROQUIS!$C$92="X",0,0)),-1000)</f>
        <v>-1000</v>
      </c>
      <c r="BQ16">
        <f>IF(AND(CROQUIS!$C$88=1,CROQUIS!$C$91=0,CROQUIS!$C$138&gt;0,OR(CROQUIS!$C$105=1,CROQUIS!$C$143=1)),((CROQUIS!$C$157+(IF(CROQUIS!$C$92="X",CHOOSE(IF(INT(($A16-1)/5)&gt;MAX((MIN(80,MAX(1,INT(((CROQUIS!$C$97)-CROQUIS!$C$107)/MAX(CROQUIS!$C$138,1))+1)))-1,0),0,MOD($A16-1,5))+1,0,IF(CROQUIS!$C$105=1,-12,2),CROQUIS!$C$107/2+CROQUIS!$C$141,IF(CROQUIS!$C$105=1,-12,2),0),((CROQUIS!$C$107/2+(((CROQUIS!$C$97)-CROQUIS!$C$107)-(MIN(80,MAX(1,INT(((CROQUIS!$C$97)-CROQUIS!$C$107)/MAX(CROQUIS!$C$138,1))+1))-1)*CROQUIS!$C$138)/2)+MIN(INT(($A16-1)/5),MAX((MIN(80,MAX(1,INT(((CROQUIS!$C$97)-CROQUIS!$C$107)/MAX(CROQUIS!$C$138,1))+1)))-1,0))*CROQUIS!$C$138)))*CROQUIS!$C$155)+IF(CROQUIS!$C$92="X",0,0)),-1000)</f>
        <v>-1000</v>
      </c>
      <c r="BR1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16-1)/5),MAX((MIN(80,MAX(1,INT(((CROQUIS!$C$97)-CROQUIS!$C$107)/MAX(CROQUIS!$C$138,1))+1)))-1,0))*CROQUIS!$C$138),CHOOSE(IF(INT(($A16-1)/5)&gt;MAX((MIN(80,MAX(1,INT(((CROQUIS!$C$97)-CROQUIS!$C$107)/MAX(CROQUIS!$C$138,1))+1)))-1,0),0,MOD($A16-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6">
        <f>IF(AND(CROQUIS!$C$88=1,CROQUIS!$C$91=0,CROQUIS!$C$138&gt;0,OR(CROQUIS!$C$106=1,CROQUIS!$C$143=1)),((CROQUIS!$C$157+(IF(CROQUIS!$C$92="X",CHOOSE(IF(INT(($A16-1)/5)&gt;MAX((MIN(80,MAX(1,INT(((CROQUIS!$C$97)-CROQUIS!$C$107)/MAX(CROQUIS!$C$138,1))+1)))-1,0),0,MOD($A16-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16-1)/5),MAX((MIN(80,MAX(1,INT(((CROQUIS!$C$97)-CROQUIS!$C$107)/MAX(CROQUIS!$C$138,1))+1)))-1,0))*CROQUIS!$C$138)))*CROQUIS!$C$155)+IF(CROQUIS!$C$92="X",0,0)),-1000)</f>
        <v>-1000</v>
      </c>
      <c r="BT16">
        <f>IF(AND(CROQUIS!$C$88=1,CROQUIS!$C$91=1,CROQUIS!$C$130&gt;0),((CROQUIS!$C$156+(IF(CROQUIS!$C$92="X",CHOOSE(IF(INT(($A16-1)/5)&gt;MAX((MIN(80,MAX(1,INT(((CROQUIS!$C$98)-CROQUIS!$C$107)/MAX(CROQUIS!$C$130,1))+1)))-1,0),0,MOD($A16-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16-1)/5),MAX((MIN(80,MAX(1,INT(((CROQUIS!$C$98)-CROQUIS!$C$107)/MAX(CROQUIS!$C$130,1))+1)))-1,0))*CROQUIS!$C$130)))*CROQUIS!$C$155)+IF(CROQUIS!$C$92="X",0,0)),-1000)</f>
        <v>-1000</v>
      </c>
      <c r="BU16">
        <f>IF(AND(CROQUIS!$C$88=1,CROQUIS!$C$91=1,CROQUIS!$C$130&gt;0),((CROQUIS!$C$157+(IF(CROQUIS!$C$92="X",((CROQUIS!$C$107/2+(((CROQUIS!$C$98)-CROQUIS!$C$107)-(MIN(80,MAX(1,INT(((CROQUIS!$C$98)-CROQUIS!$C$107)/MAX(CROQUIS!$C$130,1))+1))-1)*CROQUIS!$C$130)/2)+MIN(INT(($A16-1)/5),MAX((MIN(80,MAX(1,INT(((CROQUIS!$C$98)-CROQUIS!$C$107)/MAX(CROQUIS!$C$130,1))+1)))-1,0))*CROQUIS!$C$130),CHOOSE(IF(INT(($A16-1)/5)&gt;MAX((MIN(80,MAX(1,INT(((CROQUIS!$C$98)-CROQUIS!$C$107)/MAX(CROQUIS!$C$130,1))+1)))-1,0),0,MOD($A16-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BV16">
        <f>IF(AND(CROQUIS!$C$87=1),CHOOSE(MIN(MAX($A16,1),9),(50+(-CROQUIS!$C$113/2)*CROQUIS!$C$173),(50+(CROQUIS!$C$113/2)*CROQUIS!$C$173),(50+(CROQUIS!$C$113/2)*CROQUIS!$C$173),(50+(CROQUIS!$C$111/2)*CROQUIS!$C$173),(50+(CROQUIS!$C$111/2)*CROQUIS!$C$173),(50+(-CROQUIS!$C$111/2)*CROQUIS!$C$173),(50+(-CROQUIS!$C$111/2)*CROQUIS!$C$173),(50+(-CROQUIS!$C$113/2)*CROQUIS!$C$173),(50+(-CROQUIS!$C$113/2)*CROQUIS!$C$173)),-1000)</f>
        <v>16.5909090909091</v>
      </c>
      <c r="BW16">
        <f>IF(AND(CROQUIS!$C$87=1),CHOOSE(MIN(MAX($A16,1),9),(12+(CROQUIS!$C$108)*CROQUIS!$C$173),(12+(CROQUIS!$C$108)*CROQUIS!$C$173),(12+(CROQUIS!$C$114)*CROQUIS!$C$173),(12+(CROQUIS!$C$114)*CROQUIS!$C$173),(12+(0)*CROQUIS!$C$173),(12+(0)*CROQUIS!$C$173),(12+(CROQUIS!$C$114)*CROQUIS!$C$173),(12+(CROQUIS!$C$114)*CROQUIS!$C$173),(12+(CROQUIS!$C$108)*CROQUIS!$C$173)),-1000)</f>
        <v>35.8636363636364</v>
      </c>
      <c r="CD16">
        <f>IF(AND(CROQUIS!$C$87=1,CROQUIS!$C$126&gt;=1),(50+(((1-(CROQUIS!$C$126+1)/2)*(MAX(CROQUIS!$C$118,CROQUIS!$C$125)+CROQUIS!$C$125))+CROQUIS!$C$125/2*COS(2*PI()*(MIN($A16,13)-1)/12))*CROQUIS!$C$173),-1000)</f>
        <v>49.6969318181818</v>
      </c>
      <c r="CE16">
        <f>IF(AND(CROQUIS!$C$87=1,CROQUIS!$C$126&gt;=1),(12+((CROQUIS!$C$109+CROQUIS!$C$125/2)+CROQUIS!$C$125/2*SIN(2*PI()*(MIN($A16,13)-1)/12))*CROQUIS!$C$173),-1000)</f>
        <v>13.9902977836607</v>
      </c>
      <c r="CF16">
        <f>IF(AND(CROQUIS!$C$87=1,CROQUIS!$C$126&gt;=2),(50+(((2-(CROQUIS!$C$126+1)/2)*(MAX(CROQUIS!$C$118,CROQUIS!$C$125)+CROQUIS!$C$125))+CROQUIS!$C$125/2*COS(2*PI()*(MIN($A16,13)-1)/12))*CROQUIS!$C$173),-1000)</f>
        <v>-1000</v>
      </c>
      <c r="CG16">
        <f>IF(AND(CROQUIS!$C$87=1,CROQUIS!$C$126&gt;=2),(12+((CROQUIS!$C$109+CROQUIS!$C$125/2)+CROQUIS!$C$125/2*SIN(2*PI()*(MIN($A16,13)-1)/12))*CROQUIS!$C$173),-1000)</f>
        <v>-1000</v>
      </c>
      <c r="CH16">
        <f>IF(AND(CROQUIS!$C$87=1,CROQUIS!$C$126&gt;=3),(50+(((3-(CROQUIS!$C$126+1)/2)*(MAX(CROQUIS!$C$118,CROQUIS!$C$125)+CROQUIS!$C$125))+CROQUIS!$C$125/2*COS(2*PI()*(MIN($A16,13)-1)/12))*CROQUIS!$C$173),-1000)</f>
        <v>-1000</v>
      </c>
      <c r="CI16">
        <f>IF(AND(CROQUIS!$C$87=1,CROQUIS!$C$126&gt;=3),(12+((CROQUIS!$C$109+CROQUIS!$C$125/2)+CROQUIS!$C$125/2*SIN(2*PI()*(MIN($A16,13)-1)/12))*CROQUIS!$C$173),-1000)</f>
        <v>-1000</v>
      </c>
      <c r="CJ16">
        <f>IF(AND(CROQUIS!$C$87=1,CROQUIS!$C$130&gt;=1),(50+(((1-(CROQUIS!$C$130+1)/2)*(MAX(CROQUIS!$C$118,CROQUIS!$C$129)+CROQUIS!$C$129))+CROQUIS!$C$129/2*COS(2*PI()*(MIN($A16,13)-1)/12))*CROQUIS!$C$173),-1000)</f>
        <v>49.6969318181818</v>
      </c>
      <c r="CK16">
        <f>IF(AND(CROQUIS!$C$87=1,CROQUIS!$C$130&gt;=1),(12+((CROQUIS!$C$108-CROQUIS!$C$117-2*CROQUIS!$C$116-CROQUIS!$C$129/2)+CROQUIS!$C$129/2*SIN(2*PI()*(MIN($A16,13)-1)/12))*CROQUIS!$C$173),-1000)</f>
        <v>31.322934147297</v>
      </c>
      <c r="CL16">
        <f>IF(AND(CROQUIS!$C$87=1,CROQUIS!$C$130&gt;=2),(50+(((2-(CROQUIS!$C$130+1)/2)*(MAX(CROQUIS!$C$118,CROQUIS!$C$129)+CROQUIS!$C$129))+CROQUIS!$C$129/2*COS(2*PI()*(MIN($A16,13)-1)/12))*CROQUIS!$C$173),-1000)</f>
        <v>-1000</v>
      </c>
      <c r="CM16">
        <f>IF(AND(CROQUIS!$C$87=1,CROQUIS!$C$130&gt;=2),(12+((CROQUIS!$C$108-CROQUIS!$C$117-2*CROQUIS!$C$116-CROQUIS!$C$129/2)+CROQUIS!$C$129/2*SIN(2*PI()*(MIN($A16,13)-1)/12))*CROQUIS!$C$173),-1000)</f>
        <v>-1000</v>
      </c>
      <c r="CN16">
        <f>IF(AND(CROQUIS!$C$87=1,CROQUIS!$C$130&gt;=3),(50+(((3-(CROQUIS!$C$130+1)/2)*(MAX(CROQUIS!$C$118,CROQUIS!$C$129)+CROQUIS!$C$129))+CROQUIS!$C$129/2*COS(2*PI()*(MIN($A16,13)-1)/12))*CROQUIS!$C$173),-1000)</f>
        <v>-1000</v>
      </c>
      <c r="CO16">
        <f>IF(AND(CROQUIS!$C$87=1,CROQUIS!$C$130&gt;=3),(12+((CROQUIS!$C$108-CROQUIS!$C$117-2*CROQUIS!$C$116-CROQUIS!$C$129/2)+CROQUIS!$C$129/2*SIN(2*PI()*(MIN($A16,13)-1)/12))*CROQUIS!$C$173),-1000)</f>
        <v>-1000</v>
      </c>
      <c r="DB16">
        <f>IF(AND(CROQUIS!$C$88=1,CROQUIS!$C$134&gt;0),(50+((-(MIN(12,INT(58/MAX(CROQUIS!$C$134,1))+1)-1)*CROQUIS!$C$134/2+(MIN($A16,MIN(12,INT(58/MAX(CROQUIS!$C$134,1))+1))-1)*CROQUIS!$C$134))*CROQUIS!$C$174),-1000)</f>
        <v>-1000</v>
      </c>
      <c r="DC16">
        <f>IF(AND(CROQUIS!$C$88=1,CROQUIS!$C$134&gt;0),(12+((CROQUIS!$C$109+CROQUIS!$C$125+CROQUIS!$C$133/2))*CROQUIS!$C$174),-1000)</f>
        <v>-1000</v>
      </c>
      <c r="DD16">
        <f>IF(AND(CROQUIS!$C$88=1,CROQUIS!$C$138&gt;0),(50+((-(MIN(12,INT(58/MAX(CROQUIS!$C$138,1))+1)-1)*CROQUIS!$C$138/2+(MIN($A16,MIN(12,INT(58/MAX(CROQUIS!$C$138,1))+1))-1)*CROQUIS!$C$138))*CROQUIS!$C$174),-1000)</f>
        <v>-1000</v>
      </c>
      <c r="DE16">
        <f>IF(AND(CROQUIS!$C$88=1,CROQUIS!$C$138&gt;0),(12+((CROQUIS!$C$108-CROQUIS!$C$110-CROQUIS!$C$129-CROQUIS!$C$137/2))*CROQUIS!$C$174),-1000)</f>
        <v>-1000</v>
      </c>
      <c r="DR16">
        <f>IF(AND(CROQUIS!$C$87=1),CHOOSE(MIN(MAX($A16,1)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87.2842105263158</v>
      </c>
      <c r="DS16">
        <f>IF(AND(CROQUIS!$C$87=1),CHOOSE(MIN(MAX($A16,1),10),30,30,20,20,30,IF(CROQUIS!$C$91=1,30,30),IF(CROQUIS!$C$91=1,30,30),IF(CROQUIS!$C$91=1,30,20),IF(CROQUIS!$C$91=1,30,20),IF(CROQUIS!$C$91=1,30,30)),-1000)</f>
        <v>20</v>
      </c>
      <c r="EN16">
        <f>IF(AND(CROQUIS!$C$88=1),CHOOSE(MIN(MAX($A16,1)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-1000</v>
      </c>
      <c r="EO16">
        <f>IF(AND(CROQUIS!$C$88=1),CHOOSE(MIN(MAX($A16,1),10),30,30,20,20,30,IF(CROQUIS!$C$91=1,30,30),IF(CROQUIS!$C$91=1,30,30),IF(CROQUIS!$C$91=1,30,20),IF(CROQUIS!$C$91=1,30,20),IF(CROQUIS!$C$91=1,30,30)),-1000)</f>
        <v>-1000</v>
      </c>
    </row>
    <row r="17">
      <c r="A17" t="n">
        <v>10</v>
      </c>
      <c r="F17">
        <f>IF(AND(CROQUIS!$C$87=1,CROQUIS!$C$91=1),((CROQUIS!$C$156+(IF(CROQUIS!$C$92="X",IF(CROQUIS!$C$94=1,0,CROQUIS!$C$97)+IF(MOD($A17,2)=1,-CROQUIS!$C$107/2,CROQUIS!$C$107/2),(MIN($A17,41)-1)/40*CROQUIS!$C$98))*CROQUIS!$C$155)+IF(CROQUIS!$C$92="X",0,0)),-1000)</f>
        <v>-1000</v>
      </c>
      <c r="G17">
        <f>IF(AND(CROQUIS!$C$87=1,CROQUIS!$C$91=1),((CROQUIS!$C$157+(IF(CROQUIS!$C$92="X",(MIN($A17,41)-1)/40*CROQUIS!$C$98,IF(CROQUIS!$C$94=1,0,CROQUIS!$C$97)+IF(MOD($A17,2)=1,-CROQUIS!$C$107/2,CROQUIS!$C$107/2)))*CROQUIS!$C$155)+IF(CROQUIS!$C$92="X",0,0)),-1000)</f>
        <v>-1000</v>
      </c>
      <c r="T17">
        <f>IF(AND(CROQUIS!$C$88=1,CROQUIS!$C$91=1),((CROQUIS!$C$156+(IF(CROQUIS!$C$92="X",IF(CROQUIS!$C$94=1,0,CROQUIS!$C$97)+IF(MOD($A17,2)=1,-CROQUIS!$C$107/2,CROQUIS!$C$107/2),(MIN($A17,41)-1)/40*CROQUIS!$C$98))*CROQUIS!$C$155)+IF(CROQUIS!$C$92="X",0,0)),-1000)</f>
        <v>-1000</v>
      </c>
      <c r="U17">
        <f>IF(AND(CROQUIS!$C$88=1,CROQUIS!$C$91=1),((CROQUIS!$C$157+(IF(CROQUIS!$C$92="X",(MIN($A17,41)-1)/40*CROQUIS!$C$98,IF(CROQUIS!$C$94=1,0,CROQUIS!$C$97)+IF(MOD($A17,2)=1,-CROQUIS!$C$107/2,CROQUIS!$C$107/2)))*CROQUIS!$C$155)+IF(CROQUIS!$C$92="X",0,0)),-1000)</f>
        <v>-1000</v>
      </c>
      <c r="AF17">
        <f>IF(AND(CROQUIS!$C$87=1,CROQUIS!$C$158&gt;0,CROQUIS!$C$160&gt;0),(CROQUIS!$C$156+((CROQUIS!$C$159+INT(MIN(INT(($A17-1)/2),MAX((2*CROQUIS!$C$158)-1,0))/2)*CROQUIS!$C$113+MOD(MIN(INT(($A17-1)/2),MAX((2*CROQUIS!$C$158)-1,0)),2)*CROQUIS!$C$112))*CROQUIS!$C$155),-1000)</f>
        <v>38.8386805241753</v>
      </c>
      <c r="AG17">
        <f>IF(AND(CROQUIS!$C$87=1,CROQUIS!$C$158&gt;0,CROQUIS!$C$160&gt;0),(CROQUIS!$C$157+(IF(MOD(MIN(INT(($A17-1)/2),MAX((2*CROQUIS!$C$158)-1,0)),2)=0,IF(IF(INT(($A17-1)/2)&gt;MAX((2*CROQUIS!$C$158)-1,0),1,MOD($A17-1,2))=0,CROQUIS!$C$161,(CROQUIS!$C$161+CROQUIS!$C$160*CROQUIS!$C$113-CROQUIS!$C$111)),IF(IF(INT(($A17-1)/2)&gt;MAX((2*CROQUIS!$C$158)-1,0),1,MOD($A17-1,2))=0,(CROQUIS!$C$161+CROQUIS!$C$160*CROQUIS!$C$113-CROQUIS!$C$111),CROQUIS!$C$161)))*CROQUIS!$C$155),-1000)</f>
        <v>79.1911432444645</v>
      </c>
      <c r="AH17">
        <f>IF(AND(CROQUIS!$C$87=1,CROQUIS!$C$160&gt;0,CROQUIS!$C$158&gt;0),(CROQUIS!$C$156+(IF(MOD(MIN(INT(($A17-1)/2),MAX((2*CROQUIS!$C$160)-1,0)),2)=0,IF(IF(INT(($A17-1)/2)&gt;MAX((2*CROQUIS!$C$160)-1,0),1,MOD($A17-1,2))=0,CROQUIS!$C$159,(CROQUIS!$C$159+CROQUIS!$C$158*CROQUIS!$C$113-CROQUIS!$C$111)),IF(IF(INT(($A17-1)/2)&gt;MAX((2*CROQUIS!$C$160)-1,0),1,MOD($A17-1,2))=0,(CROQUIS!$C$159+CROQUIS!$C$158*CROQUIS!$C$113-CROQUIS!$C$111),CROQUIS!$C$159)))*CROQUIS!$C$155),-1000)</f>
        <v>85.2010845006778</v>
      </c>
      <c r="AI17">
        <f>IF(AND(CROQUIS!$C$87=1,CROQUIS!$C$160&gt;0,CROQUIS!$C$158&gt;0),(CROQUIS!$C$157+((CROQUIS!$C$161+INT(MIN(INT(($A17-1)/2),MAX((2*CROQUIS!$C$160)-1,0))/2)*CROQUIS!$C$113+MOD(MIN(INT(($A17-1)/2),MAX((2*CROQUIS!$C$160)-1,0)),2)*CROQUIS!$C$112))*CROQUIS!$C$155),-1000)</f>
        <v>44.8486217803886</v>
      </c>
      <c r="AJ17">
        <f>IF(AND(CROQUIS!$C$87=1,CROQUIS!$C$158&gt;=2),(CROQUIS!$C$156+((CROQUIS!$C$159+CROQUIS!$C$112+CROQUIS!$C$111/2+MIN(INT(($A17-1)/2),MAX((CROQUIS!$C$158-1)-1,0))*CROQUIS!$C$113))*CROQUIS!$C$155),-1000)</f>
        <v>74.0397650248531</v>
      </c>
      <c r="AK17">
        <f>IF(AND(CROQUIS!$C$87=1,CROQUIS!$C$158&gt;=2),(CROQUIS!$C$157+(IF(MOD(MIN(INT(($A17-1)/2),MAX((CROQUIS!$C$158-1)-1,0)),2)=0,IF(IF(INT(($A17-1)/2)&gt;MAX((CROQUIS!$C$158-1)-1,0),1,MOD($A17-1,2))=0,CROQUIS!$C$107/2,(CROQUIS!$C$96-CROQUIS!$C$107/2)),IF(IF(INT(($A17-1)/2)&gt;MAX((CROQUIS!$C$158-1)-1,0),1,MOD($A17-1,2))=0,(CROQUIS!$C$96-CROQUIS!$C$107/2),CROQUIS!$C$107/2)))*CROQUIS!$C$155),-1000)</f>
        <v>83.0546769091731</v>
      </c>
      <c r="AL17">
        <f>IF(AND(CROQUIS!$C$87=1,CROQUIS!$C$160&gt;=2),(CROQUIS!$C$156+(IF(MOD(MIN(INT(($A17-1)/2),MAX((CROQUIS!$C$160-1)-1,0)),2)=0,IF(IF(INT(($A17-1)/2)&gt;MAX((CROQUIS!$C$160-1)-1,0),1,MOD($A17-1,2))=0,CROQUIS!$C$107/2,(CROQUIS!$C$95-CROQUIS!$C$107/2)),IF(IF(INT(($A17-1)/2)&gt;MAX((CROQUIS!$C$160-1)-1,0),1,MOD($A17-1,2))=0,(CROQUIS!$C$95-CROQUIS!$C$107/2),CROQUIS!$C$107/2)))*CROQUIS!$C$155),-1000)</f>
        <v>13.2878445549028</v>
      </c>
      <c r="AM17">
        <f>IF(AND(CROQUIS!$C$87=1,CROQUIS!$C$160&gt;=2),(CROQUIS!$C$157+((CROQUIS!$C$161+CROQUIS!$C$112+CROQUIS!$C$111/2+MIN(INT(($A17-1)/2),MAX((CROQUIS!$C$160-1)-1,0))*CROQUIS!$C$113))*CROQUIS!$C$155),-1000)</f>
        <v>68.0298237686399</v>
      </c>
      <c r="AN17">
        <f>IF(AND(CROQUIS!$C$87=1,CROQUIS!$C$123&gt;0,CROQUIS!$C$162&gt;0),((CROQUIS!$C$156+(IF(CROQUIS!$C$92="X",CHOOSE(MIN(MAX($A17,1)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,CHOOSE(MIN(MAX($A17,1)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))*CROQUIS!$C$155)+IF(CROQUIS!$C$92="X",0,0)),-1000)</f>
        <v>-1000</v>
      </c>
      <c r="AO17">
        <f>IF(AND(CROQUIS!$C$87=1,CROQUIS!$C$123&gt;0,CROQUIS!$C$162&gt;0),((CROQUIS!$C$157+(IF(CROQUIS!$C$92="X",CHOOSE(MIN(MAX($A17,1),10),IF(IF(CROQUIS!$C$91=1,CROQUIS!$C$94,1)=1,CROQUIS!$C$107/2,CROQUIS!$C$107/2),IF(IF(CROQUIS!$C$91=1,CROQUIS!$C$94,1)=1,CROQUIS!$C$107/2,CROQUIS!$C$107/2),IF(IF(CROQUIS!$C$91=1,CROQUIS!$C$94,1)=1,(CROQUIS!$C$98-CROQUIS!$C$107/2),CROQUIS!$C$107/2),IF(IF(CROQUIS!$C$91=1,CROQUIS!$C$94,1)=1,(CROQUIS!$C$98-CROQUIS!$C$107/2),CROQUIS!$C$107/2),IF(IF(CROQUIS!$C$91=1,CROQUIS!$C$94,1)=1,CROQUIS!$C$107/2,CROQUIS!$C$107/2),IF(IF(CROQUIS!$C$91=1,1-CROQUIS!$C$94,1)=1,CROQUIS!$C$107/2,CROQUIS!$C$107/2),IF(IF(CROQUIS!$C$91=1,1-CROQUIS!$C$94,1)=1,(CROQUIS!$C$98-CROQUIS!$C$107/2),CROQUIS!$C$107/2),IF(IF(CROQUIS!$C$91=1,1-CROQUIS!$C$94,1)=1,(CROQUIS!$C$98-CROQUIS!$C$107/2),CROQUIS!$C$107/2),IF(IF(CROQUIS!$C$91=1,1-CROQUIS!$C$94,1)=1,CROQUIS!$C$107/2,CROQUIS!$C$107/2),IF(IF(CROQUIS!$C$91=1,1-CROQUIS!$C$94,1)=1,CROQUIS!$C$107/2,CROQUIS!$C$107/2)),CHOOSE(MIN(MAX($A17,1),10),IF(IF(CROQUIS!$C$91=1,CROQUIS!$C$94,1)=1,CROQUIS!$C$107/2,(CROQUIS!$C$163+CROQUIS!$C$162*CROQUIS!$C$113-CROQUIS!$C$111)),IF(IF(CROQUIS!$C$91=1,CROQUIS!$C$94,1)=1,CROQUIS!$C$163,(CROQUIS!$C$163+CROQUIS!$C$162*CROQUIS!$C$113-CROQUIS!$C$111)),IF(IF(CROQUIS!$C$91=1,CROQUIS!$C$94,1)=1,CROQUIS!$C$163,(CROQUIS!$C$163+CROQUIS!$C$162*CROQUIS!$C$113-CROQUIS!$C$111)),IF(IF(CROQUIS!$C$91=1,CROQUIS!$C$94,1)=1,CROQUIS!$C$107/2,(CROQUIS!$C$163+CROQUIS!$C$162*CROQUIS!$C$113-CROQUIS!$C$111)),IF(IF(CROQUIS!$C$91=1,CROQUIS!$C$94,1)=1,CROQUIS!$C$107/2,(CROQUIS!$C$163+CROQUIS!$C$162*CROQUIS!$C$113-CROQUIS!$C$111)),IF(IF(CROQUIS!$C$91=1,1-CROQUIS!$C$94,1)=1,(CROQUIS!$C$163+CROQUIS!$C$162*CROQUIS!$C$113-CROQUIS!$C$111),CROQUIS!$C$107/2),IF(IF(CROQUIS!$C$91=1,1-CROQUIS!$C$94,1)=1,(CROQUIS!$C$163+CROQUIS!$C$162*CROQUIS!$C$113-CROQUIS!$C$111),CROQUIS!$C$107/2),IF(IF(CROQUIS!$C$91=1,1-CROQUIS!$C$94,1)=1,(CROQUIS!$C$97-CROQUIS!$C$107/2),CROQUIS!$C$107/2),IF(IF(CROQUIS!$C$91=1,1-CROQUIS!$C$94,1)=1,(CROQUIS!$C$97-CROQUIS!$C$107/2),CROQUIS!$C$107/2),IF(IF(CROQUIS!$C$91=1,1-CROQUIS!$C$94,1)=1,(CROQUIS!$C$163+CROQUIS!$C$162*CROQUIS!$C$113-CROQUIS!$C$111),CROQUIS!$C$107/2))))*CROQUIS!$C$155)+IF(CROQUIS!$C$92="X",0,0)),-1000)</f>
        <v>-1000</v>
      </c>
      <c r="BH17">
        <f>IF(AND(CROQUIS!$C$88=1,CROQUIS!$C$126&gt;0),((CROQUIS!$C$156+(IF(CROQUIS!$C$92="X",CHOOSE(IF(INT(($A17-1)/5)&gt;MAX((MIN(80,MAX(1,INT(((CROQUIS!$C$98)-CROQUIS!$C$107)/MAX(CROQUIS!$C$126,1))+1)))-1,0),0,MOD($A17-1,5))+1,0,2,CROQUIS!$C$97-2,2,0),((CROQUIS!$C$107/2+(((CROQUIS!$C$98)-CROQUIS!$C$107)-(MIN(80,MAX(1,INT(((CROQUIS!$C$98)-CROQUIS!$C$107)/MAX(CROQUIS!$C$126,1))+1))-1)*CROQUIS!$C$126)/2)+MIN(INT(($A17-1)/5),MAX((MIN(80,MAX(1,INT(((CROQUIS!$C$98)-CROQUIS!$C$107)/MAX(CROQUIS!$C$126,1))+1)))-1,0))*CROQUIS!$C$126)))*CROQUIS!$C$155)+IF(CROQUIS!$C$92="X",0,0)),-1000)</f>
        <v>-1000</v>
      </c>
      <c r="BI17">
        <f>IF(AND(CROQUIS!$C$88=1,CROQUIS!$C$126&gt;0),((CROQUIS!$C$157+(IF(CROQUIS!$C$92="X",((CROQUIS!$C$107/2+(((CROQUIS!$C$98)-CROQUIS!$C$107)-(MIN(80,MAX(1,INT(((CROQUIS!$C$98)-CROQUIS!$C$107)/MAX(CROQUIS!$C$126,1))+1))-1)*CROQUIS!$C$126)/2)+MIN(INT(($A17-1)/5),MAX((MIN(80,MAX(1,INT(((CROQUIS!$C$98)-CROQUIS!$C$107)/MAX(CROQUIS!$C$126,1))+1)))-1,0))*CROQUIS!$C$126),CHOOSE(IF(INT(($A17-1)/5)&gt;MAX((MIN(80,MAX(1,INT(((CROQUIS!$C$98)-CROQUIS!$C$107)/MAX(CROQUIS!$C$126,1))+1)))-1,0),0,MOD($A17-1,5))+1,0,2,CROQUIS!$C$97-2,2,0)))*CROQUIS!$C$155)+IF(CROQUIS!$C$92="X",0,0)),-1000)</f>
        <v>-1000</v>
      </c>
      <c r="BJ17">
        <f>IF(AND(CROQUIS!$C$88=1,CROQUIS!$C$134&gt;0),((CROQUIS!$C$156+(IF(CROQUIS!$C$92="X",((CROQUIS!$C$107/2+(((CROQUIS!$C$97)-CROQUIS!$C$107)-(MIN(80,MAX(1,INT(((CROQUIS!$C$97)-CROQUIS!$C$107)/MAX(CROQUIS!$C$134,1))+1))-1)*CROQUIS!$C$134)/2)+MIN(INT(($A17-1)/5),MAX((MIN(80,MAX(1,INT(((CROQUIS!$C$97)-CROQUIS!$C$107)/MAX(CROQUIS!$C$134,1))+1)))-1,0))*CROQUIS!$C$134),CHOOSE(IF(INT(($A17-1)/5)&gt;MAX((MIN(80,MAX(1,INT(((CROQUIS!$C$97)-CROQUIS!$C$107)/MAX(CROQUIS!$C$134,1))+1)))-1,0),0,MOD($A17-1,5))+1,0,2,CROQUIS!$C$98-2,2,0)))*CROQUIS!$C$155)+IF(CROQUIS!$C$92="X",0,0)),-1000)</f>
        <v>-1000</v>
      </c>
      <c r="BK17">
        <f>IF(AND(CROQUIS!$C$88=1,CROQUIS!$C$134&gt;0),((CROQUIS!$C$157+(IF(CROQUIS!$C$92="X",CHOOSE(IF(INT(($A17-1)/5)&gt;MAX((MIN(80,MAX(1,INT(((CROQUIS!$C$97)-CROQUIS!$C$107)/MAX(CROQUIS!$C$134,1))+1)))-1,0),0,MOD($A17-1,5))+1,0,2,CROQUIS!$C$98-2,2,0),((CROQUIS!$C$107/2+(((CROQUIS!$C$97)-CROQUIS!$C$107)-(MIN(80,MAX(1,INT(((CROQUIS!$C$97)-CROQUIS!$C$107)/MAX(CROQUIS!$C$134,1))+1))-1)*CROQUIS!$C$134)/2)+MIN(INT(($A17-1)/5),MAX((MIN(80,MAX(1,INT(((CROQUIS!$C$97)-CROQUIS!$C$107)/MAX(CROQUIS!$C$134,1))+1)))-1,0))*CROQUIS!$C$134)))*CROQUIS!$C$155)+IF(CROQUIS!$C$92="X",0,0)),-1000)</f>
        <v>-1000</v>
      </c>
      <c r="BL17">
        <f>IF(AND(CROQUIS!$C$88=1,CROQUIS!$C$91=0,CROQUIS!$C$130&gt;0,OR(CROQUIS!$C$103=1,CROQUIS!$C$142=1)),((CROQUIS!$C$156+(IF(CROQUIS!$C$92="X",CHOOSE(IF(INT(($A17-1)/5)&gt;MAX((MIN(80,MAX(1,INT(((CROQUIS!$C$98)-CROQUIS!$C$107)/MAX(CROQUIS!$C$130,1))+1)))-1,0),0,MOD($A17-1,5))+1,0,IF(CROQUIS!$C$103=1,-12,2),CROQUIS!$C$107/2+CROQUIS!$C$140,IF(CROQUIS!$C$103=1,-12,2),0),((CROQUIS!$C$107/2+(((CROQUIS!$C$98)-CROQUIS!$C$107)-(MIN(80,MAX(1,INT(((CROQUIS!$C$98)-CROQUIS!$C$107)/MAX(CROQUIS!$C$130,1))+1))-1)*CROQUIS!$C$130)/2)+MIN(INT(($A17-1)/5),MAX((MIN(80,MAX(1,INT(((CROQUIS!$C$98)-CROQUIS!$C$107)/MAX(CROQUIS!$C$130,1))+1)))-1,0))*CROQUIS!$C$130)))*CROQUIS!$C$155)+IF(CROQUIS!$C$92="X",0,0)),-1000)</f>
        <v>-1000</v>
      </c>
      <c r="BM1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17-1)/5),MAX((MIN(80,MAX(1,INT(((CROQUIS!$C$98)-CROQUIS!$C$107)/MAX(CROQUIS!$C$130,1))+1)))-1,0))*CROQUIS!$C$130),CHOOSE(IF(INT(($A17-1)/5)&gt;MAX((MIN(80,MAX(1,INT(((CROQUIS!$C$98)-CROQUIS!$C$107)/MAX(CROQUIS!$C$130,1))+1)))-1,0),0,MOD($A17-1,5))+1,0,IF(CROQUIS!$C$103=1,-12,2),CROQUIS!$C$107/2+CROQUIS!$C$140,IF(CROQUIS!$C$103=1,-12,2),0)))*CROQUIS!$C$155)+IF(CROQUIS!$C$92="X",0,0)),-1000)</f>
        <v>-1000</v>
      </c>
      <c r="BN17">
        <f>IF(AND(CROQUIS!$C$88=1,CROQUIS!$C$91=0,CROQUIS!$C$130&gt;0,OR(CROQUIS!$C$104=1,CROQUIS!$C$142=1)),((CROQUIS!$C$156+(IF(CROQUIS!$C$92="X",CHOOSE(IF(INT(($A17-1)/5)&gt;MAX((MIN(80,MAX(1,INT(((CROQUIS!$C$98)-CROQUIS!$C$107)/MAX(CROQUIS!$C$130,1))+1)))-1,0),0,MOD($A17-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17-1)/5),MAX((MIN(80,MAX(1,INT(((CROQUIS!$C$98)-CROQUIS!$C$107)/MAX(CROQUIS!$C$130,1))+1)))-1,0))*CROQUIS!$C$130)))*CROQUIS!$C$155)+IF(CROQUIS!$C$92="X",0,0)),-1000)</f>
        <v>-1000</v>
      </c>
      <c r="BO1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17-1)/5),MAX((MIN(80,MAX(1,INT(((CROQUIS!$C$98)-CROQUIS!$C$107)/MAX(CROQUIS!$C$130,1))+1)))-1,0))*CROQUIS!$C$130),CHOOSE(IF(INT(($A17-1)/5)&gt;MAX((MIN(80,MAX(1,INT(((CROQUIS!$C$98)-CROQUIS!$C$107)/MAX(CROQUIS!$C$130,1))+1)))-1,0),0,MOD($A17-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17-1)/5),MAX((MIN(80,MAX(1,INT(((CROQUIS!$C$97)-CROQUIS!$C$107)/MAX(CROQUIS!$C$138,1))+1)))-1,0))*CROQUIS!$C$138),CHOOSE(IF(INT(($A17-1)/5)&gt;MAX((MIN(80,MAX(1,INT(((CROQUIS!$C$97)-CROQUIS!$C$107)/MAX(CROQUIS!$C$138,1))+1)))-1,0),0,MOD($A17-1,5))+1,0,IF(CROQUIS!$C$105=1,-12,2),CROQUIS!$C$107/2+CROQUIS!$C$141,IF(CROQUIS!$C$105=1,-12,2),0)))*CROQUIS!$C$155)+IF(CROQUIS!$C$92="X",0,0)),-1000)</f>
        <v>-1000</v>
      </c>
      <c r="BQ17">
        <f>IF(AND(CROQUIS!$C$88=1,CROQUIS!$C$91=0,CROQUIS!$C$138&gt;0,OR(CROQUIS!$C$105=1,CROQUIS!$C$143=1)),((CROQUIS!$C$157+(IF(CROQUIS!$C$92="X",CHOOSE(IF(INT(($A17-1)/5)&gt;MAX((MIN(80,MAX(1,INT(((CROQUIS!$C$97)-CROQUIS!$C$107)/MAX(CROQUIS!$C$138,1))+1)))-1,0),0,MOD($A17-1,5))+1,0,IF(CROQUIS!$C$105=1,-12,2),CROQUIS!$C$107/2+CROQUIS!$C$141,IF(CROQUIS!$C$105=1,-12,2),0),((CROQUIS!$C$107/2+(((CROQUIS!$C$97)-CROQUIS!$C$107)-(MIN(80,MAX(1,INT(((CROQUIS!$C$97)-CROQUIS!$C$107)/MAX(CROQUIS!$C$138,1))+1))-1)*CROQUIS!$C$138)/2)+MIN(INT(($A17-1)/5),MAX((MIN(80,MAX(1,INT(((CROQUIS!$C$97)-CROQUIS!$C$107)/MAX(CROQUIS!$C$138,1))+1)))-1,0))*CROQUIS!$C$138)))*CROQUIS!$C$155)+IF(CROQUIS!$C$92="X",0,0)),-1000)</f>
        <v>-1000</v>
      </c>
      <c r="BR1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17-1)/5),MAX((MIN(80,MAX(1,INT(((CROQUIS!$C$97)-CROQUIS!$C$107)/MAX(CROQUIS!$C$138,1))+1)))-1,0))*CROQUIS!$C$138),CHOOSE(IF(INT(($A17-1)/5)&gt;MAX((MIN(80,MAX(1,INT(((CROQUIS!$C$97)-CROQUIS!$C$107)/MAX(CROQUIS!$C$138,1))+1)))-1,0),0,MOD($A17-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7">
        <f>IF(AND(CROQUIS!$C$88=1,CROQUIS!$C$91=0,CROQUIS!$C$138&gt;0,OR(CROQUIS!$C$106=1,CROQUIS!$C$143=1)),((CROQUIS!$C$157+(IF(CROQUIS!$C$92="X",CHOOSE(IF(INT(($A17-1)/5)&gt;MAX((MIN(80,MAX(1,INT(((CROQUIS!$C$97)-CROQUIS!$C$107)/MAX(CROQUIS!$C$138,1))+1)))-1,0),0,MOD($A17-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17-1)/5),MAX((MIN(80,MAX(1,INT(((CROQUIS!$C$97)-CROQUIS!$C$107)/MAX(CROQUIS!$C$138,1))+1)))-1,0))*CROQUIS!$C$138)))*CROQUIS!$C$155)+IF(CROQUIS!$C$92="X",0,0)),-1000)</f>
        <v>-1000</v>
      </c>
      <c r="BT17">
        <f>IF(AND(CROQUIS!$C$88=1,CROQUIS!$C$91=1,CROQUIS!$C$130&gt;0),((CROQUIS!$C$156+(IF(CROQUIS!$C$92="X",CHOOSE(IF(INT(($A17-1)/5)&gt;MAX((MIN(80,MAX(1,INT(((CROQUIS!$C$98)-CROQUIS!$C$107)/MAX(CROQUIS!$C$130,1))+1)))-1,0),0,MOD($A17-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17-1)/5),MAX((MIN(80,MAX(1,INT(((CROQUIS!$C$98)-CROQUIS!$C$107)/MAX(CROQUIS!$C$130,1))+1)))-1,0))*CROQUIS!$C$130)))*CROQUIS!$C$155)+IF(CROQUIS!$C$92="X",0,0)),-1000)</f>
        <v>-1000</v>
      </c>
      <c r="BU17">
        <f>IF(AND(CROQUIS!$C$88=1,CROQUIS!$C$91=1,CROQUIS!$C$130&gt;0),((CROQUIS!$C$157+(IF(CROQUIS!$C$92="X",((CROQUIS!$C$107/2+(((CROQUIS!$C$98)-CROQUIS!$C$107)-(MIN(80,MAX(1,INT(((CROQUIS!$C$98)-CROQUIS!$C$107)/MAX(CROQUIS!$C$130,1))+1))-1)*CROQUIS!$C$130)/2)+MIN(INT(($A17-1)/5),MAX((MIN(80,MAX(1,INT(((CROQUIS!$C$98)-CROQUIS!$C$107)/MAX(CROQUIS!$C$130,1))+1)))-1,0))*CROQUIS!$C$130),CHOOSE(IF(INT(($A17-1)/5)&gt;MAX((MIN(80,MAX(1,INT(((CROQUIS!$C$98)-CROQUIS!$C$107)/MAX(CROQUIS!$C$130,1))+1)))-1,0),0,MOD($A17-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CD17">
        <f>IF(AND(CROQUIS!$C$87=1,CROQUIS!$C$126&gt;=1),(50+(((1-(CROQUIS!$C$126+1)/2)*(MAX(CROQUIS!$C$118,CROQUIS!$C$125)+CROQUIS!$C$125))+CROQUIS!$C$125/2*COS(2*PI()*(MIN($A17,13)-1)/12))*CROQUIS!$C$173),-1000)</f>
        <v>50</v>
      </c>
      <c r="CE17">
        <f>IF(AND(CROQUIS!$C$87=1,CROQUIS!$C$126&gt;=1),(12+((CROQUIS!$C$109+CROQUIS!$C$125/2)+CROQUIS!$C$125/2*SIN(2*PI()*(MIN($A17,13)-1)/12))*CROQUIS!$C$173),-1000)</f>
        <v>13.9090909090909</v>
      </c>
      <c r="CF17">
        <f>IF(AND(CROQUIS!$C$87=1,CROQUIS!$C$126&gt;=2),(50+(((2-(CROQUIS!$C$126+1)/2)*(MAX(CROQUIS!$C$118,CROQUIS!$C$125)+CROQUIS!$C$125))+CROQUIS!$C$125/2*COS(2*PI()*(MIN($A17,13)-1)/12))*CROQUIS!$C$173),-1000)</f>
        <v>-1000</v>
      </c>
      <c r="CG17">
        <f>IF(AND(CROQUIS!$C$87=1,CROQUIS!$C$126&gt;=2),(12+((CROQUIS!$C$109+CROQUIS!$C$125/2)+CROQUIS!$C$125/2*SIN(2*PI()*(MIN($A17,13)-1)/12))*CROQUIS!$C$173),-1000)</f>
        <v>-1000</v>
      </c>
      <c r="CH17">
        <f>IF(AND(CROQUIS!$C$87=1,CROQUIS!$C$126&gt;=3),(50+(((3-(CROQUIS!$C$126+1)/2)*(MAX(CROQUIS!$C$118,CROQUIS!$C$125)+CROQUIS!$C$125))+CROQUIS!$C$125/2*COS(2*PI()*(MIN($A17,13)-1)/12))*CROQUIS!$C$173),-1000)</f>
        <v>-1000</v>
      </c>
      <c r="CI17">
        <f>IF(AND(CROQUIS!$C$87=1,CROQUIS!$C$126&gt;=3),(12+((CROQUIS!$C$109+CROQUIS!$C$125/2)+CROQUIS!$C$125/2*SIN(2*PI()*(MIN($A17,13)-1)/12))*CROQUIS!$C$173),-1000)</f>
        <v>-1000</v>
      </c>
      <c r="CJ17">
        <f>IF(AND(CROQUIS!$C$87=1,CROQUIS!$C$130&gt;=1),(50+(((1-(CROQUIS!$C$130+1)/2)*(MAX(CROQUIS!$C$118,CROQUIS!$C$129)+CROQUIS!$C$129))+CROQUIS!$C$129/2*COS(2*PI()*(MIN($A17,13)-1)/12))*CROQUIS!$C$173),-1000)</f>
        <v>50</v>
      </c>
      <c r="CK17">
        <f>IF(AND(CROQUIS!$C$87=1,CROQUIS!$C$130&gt;=1),(12+((CROQUIS!$C$108-CROQUIS!$C$117-2*CROQUIS!$C$116-CROQUIS!$C$129/2)+CROQUIS!$C$129/2*SIN(2*PI()*(MIN($A17,13)-1)/12))*CROQUIS!$C$173),-1000)</f>
        <v>31.2417272727273</v>
      </c>
      <c r="CL17">
        <f>IF(AND(CROQUIS!$C$87=1,CROQUIS!$C$130&gt;=2),(50+(((2-(CROQUIS!$C$130+1)/2)*(MAX(CROQUIS!$C$118,CROQUIS!$C$129)+CROQUIS!$C$129))+CROQUIS!$C$129/2*COS(2*PI()*(MIN($A17,13)-1)/12))*CROQUIS!$C$173),-1000)</f>
        <v>-1000</v>
      </c>
      <c r="CM17">
        <f>IF(AND(CROQUIS!$C$87=1,CROQUIS!$C$130&gt;=2),(12+((CROQUIS!$C$108-CROQUIS!$C$117-2*CROQUIS!$C$116-CROQUIS!$C$129/2)+CROQUIS!$C$129/2*SIN(2*PI()*(MIN($A17,13)-1)/12))*CROQUIS!$C$173),-1000)</f>
        <v>-1000</v>
      </c>
      <c r="CN17">
        <f>IF(AND(CROQUIS!$C$87=1,CROQUIS!$C$130&gt;=3),(50+(((3-(CROQUIS!$C$130+1)/2)*(MAX(CROQUIS!$C$118,CROQUIS!$C$129)+CROQUIS!$C$129))+CROQUIS!$C$129/2*COS(2*PI()*(MIN($A17,13)-1)/12))*CROQUIS!$C$173),-1000)</f>
        <v>-1000</v>
      </c>
      <c r="CO17">
        <f>IF(AND(CROQUIS!$C$87=1,CROQUIS!$C$130&gt;=3),(12+((CROQUIS!$C$108-CROQUIS!$C$117-2*CROQUIS!$C$116-CROQUIS!$C$129/2)+CROQUIS!$C$129/2*SIN(2*PI()*(MIN($A17,13)-1)/12))*CROQUIS!$C$173),-1000)</f>
        <v>-1000</v>
      </c>
      <c r="DB17">
        <f>IF(AND(CROQUIS!$C$88=1,CROQUIS!$C$134&gt;0),(50+((-(MIN(12,INT(58/MAX(CROQUIS!$C$134,1))+1)-1)*CROQUIS!$C$134/2+(MIN($A17,MIN(12,INT(58/MAX(CROQUIS!$C$134,1))+1))-1)*CROQUIS!$C$134))*CROQUIS!$C$174),-1000)</f>
        <v>-1000</v>
      </c>
      <c r="DC17">
        <f>IF(AND(CROQUIS!$C$88=1,CROQUIS!$C$134&gt;0),(12+((CROQUIS!$C$109+CROQUIS!$C$125+CROQUIS!$C$133/2))*CROQUIS!$C$174),-1000)</f>
        <v>-1000</v>
      </c>
      <c r="DD17">
        <f>IF(AND(CROQUIS!$C$88=1,CROQUIS!$C$138&gt;0),(50+((-(MIN(12,INT(58/MAX(CROQUIS!$C$138,1))+1)-1)*CROQUIS!$C$138/2+(MIN($A17,MIN(12,INT(58/MAX(CROQUIS!$C$138,1))+1))-1)*CROQUIS!$C$138))*CROQUIS!$C$174),-1000)</f>
        <v>-1000</v>
      </c>
      <c r="DE17">
        <f>IF(AND(CROQUIS!$C$88=1,CROQUIS!$C$138&gt;0),(12+((CROQUIS!$C$108-CROQUIS!$C$110-CROQUIS!$C$129-CROQUIS!$C$137/2))*CROQUIS!$C$174),-1000)</f>
        <v>-1000</v>
      </c>
      <c r="DR17">
        <f>IF(AND(CROQUIS!$C$87=1),CHOOSE(MIN(MAX($A17,1)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87.2842105263158</v>
      </c>
      <c r="DS17">
        <f>IF(AND(CROQUIS!$C$87=1),CHOOSE(MIN(MAX($A17,1),10),30,30,20,20,30,IF(CROQUIS!$C$91=1,30,30),IF(CROQUIS!$C$91=1,30,30),IF(CROQUIS!$C$91=1,30,20),IF(CROQUIS!$C$91=1,30,20),IF(CROQUIS!$C$91=1,30,30)),-1000)</f>
        <v>30</v>
      </c>
      <c r="EN17">
        <f>IF(AND(CROQUIS!$C$88=1),CHOOSE(MIN(MAX($A17,1),10),(4+((-CROQUIS!$C$107/2)-CROQUIS!$C$169)*CROQUIS!$C$171),(4+((CROQUIS!$C$107/2)-CROQUIS!$C$169)*CROQUIS!$C$171),(4+((CROQUIS!$C$107/2)-CROQUIS!$C$169)*CROQUIS!$C$171),(4+((-CROQUIS!$C$107/2)-CROQUIS!$C$169)*CROQUIS!$C$171),(4+((-CROQUIS!$C$107/2)-CROQUIS!$C$169)*CROQUIS!$C$171),IF(CROQUIS!$C$91=1,(4+((-CROQUIS!$C$107/2)-CROQUIS!$C$169)*CROQUIS!$C$171),(4+((CROQUIS!$C$97-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+CROQUIS!$C$107/2)-CROQUIS!$C$169)*CROQUIS!$C$171)),IF(CROQUIS!$C$91=1,(4+((-CROQUIS!$C$107/2)-CROQUIS!$C$169)*CROQUIS!$C$171),(4+((CROQUIS!$C$97-CROQUIS!$C$107/2)-CROQUIS!$C$169)*CROQUIS!$C$171)),IF(CROQUIS!$C$91=1,(4+((-CROQUIS!$C$107/2)-CROQUIS!$C$169)*CROQUIS!$C$171),(4+((CROQUIS!$C$97-CROQUIS!$C$107/2)-CROQUIS!$C$169)*CROQUIS!$C$171))),-1000)</f>
        <v>-1000</v>
      </c>
      <c r="EO17">
        <f>IF(AND(CROQUIS!$C$88=1),CHOOSE(MIN(MAX($A17,1),10),30,30,20,20,30,IF(CROQUIS!$C$91=1,30,30),IF(CROQUIS!$C$91=1,30,30),IF(CROQUIS!$C$91=1,30,20),IF(CROQUIS!$C$91=1,30,20),IF(CROQUIS!$C$91=1,30,30)),-1000)</f>
        <v>-1000</v>
      </c>
    </row>
    <row r="18">
      <c r="A18" t="n">
        <v>11</v>
      </c>
      <c r="F18">
        <f>IF(AND(CROQUIS!$C$87=1,CROQUIS!$C$91=1),((CROQUIS!$C$156+(IF(CROQUIS!$C$92="X",IF(CROQUIS!$C$94=1,0,CROQUIS!$C$97)+IF(MOD($A18,2)=1,-CROQUIS!$C$107/2,CROQUIS!$C$107/2),(MIN($A18,41)-1)/40*CROQUIS!$C$98))*CROQUIS!$C$155)+IF(CROQUIS!$C$92="X",0,0)),-1000)</f>
        <v>-1000</v>
      </c>
      <c r="G18">
        <f>IF(AND(CROQUIS!$C$87=1,CROQUIS!$C$91=1),((CROQUIS!$C$157+(IF(CROQUIS!$C$92="X",(MIN($A18,41)-1)/40*CROQUIS!$C$98,IF(CROQUIS!$C$94=1,0,CROQUIS!$C$97)+IF(MOD($A18,2)=1,-CROQUIS!$C$107/2,CROQUIS!$C$107/2)))*CROQUIS!$C$155)+IF(CROQUIS!$C$92="X",0,0)),-1000)</f>
        <v>-1000</v>
      </c>
      <c r="T18">
        <f>IF(AND(CROQUIS!$C$88=1,CROQUIS!$C$91=1),((CROQUIS!$C$156+(IF(CROQUIS!$C$92="X",IF(CROQUIS!$C$94=1,0,CROQUIS!$C$97)+IF(MOD($A18,2)=1,-CROQUIS!$C$107/2,CROQUIS!$C$107/2),(MIN($A18,41)-1)/40*CROQUIS!$C$98))*CROQUIS!$C$155)+IF(CROQUIS!$C$92="X",0,0)),-1000)</f>
        <v>-1000</v>
      </c>
      <c r="U18">
        <f>IF(AND(CROQUIS!$C$88=1,CROQUIS!$C$91=1),((CROQUIS!$C$157+(IF(CROQUIS!$C$92="X",(MIN($A18,41)-1)/40*CROQUIS!$C$98,IF(CROQUIS!$C$94=1,0,CROQUIS!$C$97)+IF(MOD($A18,2)=1,-CROQUIS!$C$107/2,CROQUIS!$C$107/2)))*CROQUIS!$C$155)+IF(CROQUIS!$C$92="X",0,0)),-1000)</f>
        <v>-1000</v>
      </c>
      <c r="AF18">
        <f>IF(AND(CROQUIS!$C$87=1,CROQUIS!$C$158&gt;0,CROQUIS!$C$160&gt;0),(CROQUIS!$C$156+((CROQUIS!$C$159+INT(MIN(INT(($A18-1)/2),MAX((2*CROQUIS!$C$158)-1,0))/2)*CROQUIS!$C$113+MOD(MIN(INT(($A18-1)/2),MAX((2*CROQUIS!$C$158)-1,0)),2)*CROQUIS!$C$112))*CROQUIS!$C$155),-1000)</f>
        <v>49.1414369633981</v>
      </c>
      <c r="AG18">
        <f>IF(AND(CROQUIS!$C$87=1,CROQUIS!$C$158&gt;0,CROQUIS!$C$160&gt;0),(CROQUIS!$C$157+(IF(MOD(MIN(INT(($A18-1)/2),MAX((2*CROQUIS!$C$158)-1,0)),2)=0,IF(IF(INT(($A18-1)/2)&gt;MAX((2*CROQUIS!$C$158)-1,0),1,MOD($A18-1,2))=0,CROQUIS!$C$161,(CROQUIS!$C$161+CROQUIS!$C$160*CROQUIS!$C$113-CROQUIS!$C$111)),IF(IF(INT(($A18-1)/2)&gt;MAX((2*CROQUIS!$C$158)-1,0),1,MOD($A18-1,2))=0,(CROQUIS!$C$161+CROQUIS!$C$160*CROQUIS!$C$113-CROQUIS!$C$111),CROQUIS!$C$161)))*CROQUIS!$C$155),-1000)</f>
        <v>79.1911432444645</v>
      </c>
      <c r="AH18">
        <f>IF(AND(CROQUIS!$C$87=1,CROQUIS!$C$160&gt;0,CROQUIS!$C$158&gt;0),(CROQUIS!$C$156+(IF(MOD(MIN(INT(($A18-1)/2),MAX((2*CROQUIS!$C$160)-1,0)),2)=0,IF(IF(INT(($A18-1)/2)&gt;MAX((2*CROQUIS!$C$160)-1,0),1,MOD($A18-1,2))=0,CROQUIS!$C$159,(CROQUIS!$C$159+CROQUIS!$C$158*CROQUIS!$C$113-CROQUIS!$C$111)),IF(IF(INT(($A18-1)/2)&gt;MAX((2*CROQUIS!$C$160)-1,0),1,MOD($A18-1,2))=0,(CROQUIS!$C$159+CROQUIS!$C$158*CROQUIS!$C$113-CROQUIS!$C$111),CROQUIS!$C$159)))*CROQUIS!$C$155),-1000)</f>
        <v>85.2010845006778</v>
      </c>
      <c r="AI18">
        <f>IF(AND(CROQUIS!$C$87=1,CROQUIS!$C$160&gt;0,CROQUIS!$C$158&gt;0),(CROQUIS!$C$157+((CROQUIS!$C$161+INT(MIN(INT(($A18-1)/2),MAX((2*CROQUIS!$C$160)-1,0))/2)*CROQUIS!$C$113+MOD(MIN(INT(($A18-1)/2),MAX((2*CROQUIS!$C$160)-1,0)),2)*CROQUIS!$C$112))*CROQUIS!$C$155),-1000)</f>
        <v>55.1513782196114</v>
      </c>
      <c r="AJ18">
        <f>IF(AND(CROQUIS!$C$87=1,CROQUIS!$C$158&gt;=2),(CROQUIS!$C$156+((CROQUIS!$C$159+CROQUIS!$C$112+CROQUIS!$C$111/2+MIN(INT(($A18-1)/2),MAX((CROQUIS!$C$158-1)-1,0))*CROQUIS!$C$113))*CROQUIS!$C$155),-1000)</f>
        <v>74.0397650248531</v>
      </c>
      <c r="AK18">
        <f>IF(AND(CROQUIS!$C$87=1,CROQUIS!$C$158&gt;=2),(CROQUIS!$C$157+(IF(MOD(MIN(INT(($A18-1)/2),MAX((CROQUIS!$C$158-1)-1,0)),2)=0,IF(IF(INT(($A18-1)/2)&gt;MAX((CROQUIS!$C$158-1)-1,0),1,MOD($A18-1,2))=0,CROQUIS!$C$107/2,(CROQUIS!$C$96-CROQUIS!$C$107/2)),IF(IF(INT(($A18-1)/2)&gt;MAX((CROQUIS!$C$158-1)-1,0),1,MOD($A18-1,2))=0,(CROQUIS!$C$96-CROQUIS!$C$107/2),CROQUIS!$C$107/2)))*CROQUIS!$C$155),-1000)</f>
        <v>83.0546769091731</v>
      </c>
      <c r="AL18">
        <f>IF(AND(CROQUIS!$C$87=1,CROQUIS!$C$160&gt;=2),(CROQUIS!$C$156+(IF(MOD(MIN(INT(($A18-1)/2),MAX((CROQUIS!$C$160-1)-1,0)),2)=0,IF(IF(INT(($A18-1)/2)&gt;MAX((CROQUIS!$C$160-1)-1,0),1,MOD($A18-1,2))=0,CROQUIS!$C$107/2,(CROQUIS!$C$95-CROQUIS!$C$107/2)),IF(IF(INT(($A18-1)/2)&gt;MAX((CROQUIS!$C$160-1)-1,0),1,MOD($A18-1,2))=0,(CROQUIS!$C$95-CROQUIS!$C$107/2),CROQUIS!$C$107/2)))*CROQUIS!$C$155),-1000)</f>
        <v>13.2878445549028</v>
      </c>
      <c r="AM18">
        <f>IF(AND(CROQUIS!$C$87=1,CROQUIS!$C$160&gt;=2),(CROQUIS!$C$157+((CROQUIS!$C$161+CROQUIS!$C$112+CROQUIS!$C$111/2+MIN(INT(($A18-1)/2),MAX((CROQUIS!$C$160-1)-1,0))*CROQUIS!$C$113))*CROQUIS!$C$155),-1000)</f>
        <v>68.0298237686399</v>
      </c>
      <c r="BH18">
        <f>IF(AND(CROQUIS!$C$88=1,CROQUIS!$C$126&gt;0),((CROQUIS!$C$156+(IF(CROQUIS!$C$92="X",CHOOSE(IF(INT(($A18-1)/5)&gt;MAX((MIN(80,MAX(1,INT(((CROQUIS!$C$98)-CROQUIS!$C$107)/MAX(CROQUIS!$C$126,1))+1)))-1,0),0,MOD($A18-1,5))+1,0,2,CROQUIS!$C$97-2,2,0),((CROQUIS!$C$107/2+(((CROQUIS!$C$98)-CROQUIS!$C$107)-(MIN(80,MAX(1,INT(((CROQUIS!$C$98)-CROQUIS!$C$107)/MAX(CROQUIS!$C$126,1))+1))-1)*CROQUIS!$C$126)/2)+MIN(INT(($A18-1)/5),MAX((MIN(80,MAX(1,INT(((CROQUIS!$C$98)-CROQUIS!$C$107)/MAX(CROQUIS!$C$126,1))+1)))-1,0))*CROQUIS!$C$126)))*CROQUIS!$C$155)+IF(CROQUIS!$C$92="X",0,0)),-1000)</f>
        <v>-1000</v>
      </c>
      <c r="BI18">
        <f>IF(AND(CROQUIS!$C$88=1,CROQUIS!$C$126&gt;0),((CROQUIS!$C$157+(IF(CROQUIS!$C$92="X",((CROQUIS!$C$107/2+(((CROQUIS!$C$98)-CROQUIS!$C$107)-(MIN(80,MAX(1,INT(((CROQUIS!$C$98)-CROQUIS!$C$107)/MAX(CROQUIS!$C$126,1))+1))-1)*CROQUIS!$C$126)/2)+MIN(INT(($A18-1)/5),MAX((MIN(80,MAX(1,INT(((CROQUIS!$C$98)-CROQUIS!$C$107)/MAX(CROQUIS!$C$126,1))+1)))-1,0))*CROQUIS!$C$126),CHOOSE(IF(INT(($A18-1)/5)&gt;MAX((MIN(80,MAX(1,INT(((CROQUIS!$C$98)-CROQUIS!$C$107)/MAX(CROQUIS!$C$126,1))+1)))-1,0),0,MOD($A18-1,5))+1,0,2,CROQUIS!$C$97-2,2,0)))*CROQUIS!$C$155)+IF(CROQUIS!$C$92="X",0,0)),-1000)</f>
        <v>-1000</v>
      </c>
      <c r="BJ18">
        <f>IF(AND(CROQUIS!$C$88=1,CROQUIS!$C$134&gt;0),((CROQUIS!$C$156+(IF(CROQUIS!$C$92="X",((CROQUIS!$C$107/2+(((CROQUIS!$C$97)-CROQUIS!$C$107)-(MIN(80,MAX(1,INT(((CROQUIS!$C$97)-CROQUIS!$C$107)/MAX(CROQUIS!$C$134,1))+1))-1)*CROQUIS!$C$134)/2)+MIN(INT(($A18-1)/5),MAX((MIN(80,MAX(1,INT(((CROQUIS!$C$97)-CROQUIS!$C$107)/MAX(CROQUIS!$C$134,1))+1)))-1,0))*CROQUIS!$C$134),CHOOSE(IF(INT(($A18-1)/5)&gt;MAX((MIN(80,MAX(1,INT(((CROQUIS!$C$97)-CROQUIS!$C$107)/MAX(CROQUIS!$C$134,1))+1)))-1,0),0,MOD($A18-1,5))+1,0,2,CROQUIS!$C$98-2,2,0)))*CROQUIS!$C$155)+IF(CROQUIS!$C$92="X",0,0)),-1000)</f>
        <v>-1000</v>
      </c>
      <c r="BK18">
        <f>IF(AND(CROQUIS!$C$88=1,CROQUIS!$C$134&gt;0),((CROQUIS!$C$157+(IF(CROQUIS!$C$92="X",CHOOSE(IF(INT(($A18-1)/5)&gt;MAX((MIN(80,MAX(1,INT(((CROQUIS!$C$97)-CROQUIS!$C$107)/MAX(CROQUIS!$C$134,1))+1)))-1,0),0,MOD($A18-1,5))+1,0,2,CROQUIS!$C$98-2,2,0),((CROQUIS!$C$107/2+(((CROQUIS!$C$97)-CROQUIS!$C$107)-(MIN(80,MAX(1,INT(((CROQUIS!$C$97)-CROQUIS!$C$107)/MAX(CROQUIS!$C$134,1))+1))-1)*CROQUIS!$C$134)/2)+MIN(INT(($A18-1)/5),MAX((MIN(80,MAX(1,INT(((CROQUIS!$C$97)-CROQUIS!$C$107)/MAX(CROQUIS!$C$134,1))+1)))-1,0))*CROQUIS!$C$134)))*CROQUIS!$C$155)+IF(CROQUIS!$C$92="X",0,0)),-1000)</f>
        <v>-1000</v>
      </c>
      <c r="BL18">
        <f>IF(AND(CROQUIS!$C$88=1,CROQUIS!$C$91=0,CROQUIS!$C$130&gt;0,OR(CROQUIS!$C$103=1,CROQUIS!$C$142=1)),((CROQUIS!$C$156+(IF(CROQUIS!$C$92="X",CHOOSE(IF(INT(($A18-1)/5)&gt;MAX((MIN(80,MAX(1,INT(((CROQUIS!$C$98)-CROQUIS!$C$107)/MAX(CROQUIS!$C$130,1))+1)))-1,0),0,MOD($A18-1,5))+1,0,IF(CROQUIS!$C$103=1,-12,2),CROQUIS!$C$107/2+CROQUIS!$C$140,IF(CROQUIS!$C$103=1,-12,2),0),((CROQUIS!$C$107/2+(((CROQUIS!$C$98)-CROQUIS!$C$107)-(MIN(80,MAX(1,INT(((CROQUIS!$C$98)-CROQUIS!$C$107)/MAX(CROQUIS!$C$130,1))+1))-1)*CROQUIS!$C$130)/2)+MIN(INT(($A18-1)/5),MAX((MIN(80,MAX(1,INT(((CROQUIS!$C$98)-CROQUIS!$C$107)/MAX(CROQUIS!$C$130,1))+1)))-1,0))*CROQUIS!$C$130)))*CROQUIS!$C$155)+IF(CROQUIS!$C$92="X",0,0)),-1000)</f>
        <v>-1000</v>
      </c>
      <c r="BM1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18-1)/5),MAX((MIN(80,MAX(1,INT(((CROQUIS!$C$98)-CROQUIS!$C$107)/MAX(CROQUIS!$C$130,1))+1)))-1,0))*CROQUIS!$C$130),CHOOSE(IF(INT(($A18-1)/5)&gt;MAX((MIN(80,MAX(1,INT(((CROQUIS!$C$98)-CROQUIS!$C$107)/MAX(CROQUIS!$C$130,1))+1)))-1,0),0,MOD($A18-1,5))+1,0,IF(CROQUIS!$C$103=1,-12,2),CROQUIS!$C$107/2+CROQUIS!$C$140,IF(CROQUIS!$C$103=1,-12,2),0)))*CROQUIS!$C$155)+IF(CROQUIS!$C$92="X",0,0)),-1000)</f>
        <v>-1000</v>
      </c>
      <c r="BN18">
        <f>IF(AND(CROQUIS!$C$88=1,CROQUIS!$C$91=0,CROQUIS!$C$130&gt;0,OR(CROQUIS!$C$104=1,CROQUIS!$C$142=1)),((CROQUIS!$C$156+(IF(CROQUIS!$C$92="X",CHOOSE(IF(INT(($A18-1)/5)&gt;MAX((MIN(80,MAX(1,INT(((CROQUIS!$C$98)-CROQUIS!$C$107)/MAX(CROQUIS!$C$130,1))+1)))-1,0),0,MOD($A18-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18-1)/5),MAX((MIN(80,MAX(1,INT(((CROQUIS!$C$98)-CROQUIS!$C$107)/MAX(CROQUIS!$C$130,1))+1)))-1,0))*CROQUIS!$C$130)))*CROQUIS!$C$155)+IF(CROQUIS!$C$92="X",0,0)),-1000)</f>
        <v>-1000</v>
      </c>
      <c r="BO1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18-1)/5),MAX((MIN(80,MAX(1,INT(((CROQUIS!$C$98)-CROQUIS!$C$107)/MAX(CROQUIS!$C$130,1))+1)))-1,0))*CROQUIS!$C$130),CHOOSE(IF(INT(($A18-1)/5)&gt;MAX((MIN(80,MAX(1,INT(((CROQUIS!$C$98)-CROQUIS!$C$107)/MAX(CROQUIS!$C$130,1))+1)))-1,0),0,MOD($A18-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18-1)/5),MAX((MIN(80,MAX(1,INT(((CROQUIS!$C$97)-CROQUIS!$C$107)/MAX(CROQUIS!$C$138,1))+1)))-1,0))*CROQUIS!$C$138),CHOOSE(IF(INT(($A18-1)/5)&gt;MAX((MIN(80,MAX(1,INT(((CROQUIS!$C$97)-CROQUIS!$C$107)/MAX(CROQUIS!$C$138,1))+1)))-1,0),0,MOD($A18-1,5))+1,0,IF(CROQUIS!$C$105=1,-12,2),CROQUIS!$C$107/2+CROQUIS!$C$141,IF(CROQUIS!$C$105=1,-12,2),0)))*CROQUIS!$C$155)+IF(CROQUIS!$C$92="X",0,0)),-1000)</f>
        <v>-1000</v>
      </c>
      <c r="BQ18">
        <f>IF(AND(CROQUIS!$C$88=1,CROQUIS!$C$91=0,CROQUIS!$C$138&gt;0,OR(CROQUIS!$C$105=1,CROQUIS!$C$143=1)),((CROQUIS!$C$157+(IF(CROQUIS!$C$92="X",CHOOSE(IF(INT(($A18-1)/5)&gt;MAX((MIN(80,MAX(1,INT(((CROQUIS!$C$97)-CROQUIS!$C$107)/MAX(CROQUIS!$C$138,1))+1)))-1,0),0,MOD($A18-1,5))+1,0,IF(CROQUIS!$C$105=1,-12,2),CROQUIS!$C$107/2+CROQUIS!$C$141,IF(CROQUIS!$C$105=1,-12,2),0),((CROQUIS!$C$107/2+(((CROQUIS!$C$97)-CROQUIS!$C$107)-(MIN(80,MAX(1,INT(((CROQUIS!$C$97)-CROQUIS!$C$107)/MAX(CROQUIS!$C$138,1))+1))-1)*CROQUIS!$C$138)/2)+MIN(INT(($A18-1)/5),MAX((MIN(80,MAX(1,INT(((CROQUIS!$C$97)-CROQUIS!$C$107)/MAX(CROQUIS!$C$138,1))+1)))-1,0))*CROQUIS!$C$138)))*CROQUIS!$C$155)+IF(CROQUIS!$C$92="X",0,0)),-1000)</f>
        <v>-1000</v>
      </c>
      <c r="BR1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18-1)/5),MAX((MIN(80,MAX(1,INT(((CROQUIS!$C$97)-CROQUIS!$C$107)/MAX(CROQUIS!$C$138,1))+1)))-1,0))*CROQUIS!$C$138),CHOOSE(IF(INT(($A18-1)/5)&gt;MAX((MIN(80,MAX(1,INT(((CROQUIS!$C$97)-CROQUIS!$C$107)/MAX(CROQUIS!$C$138,1))+1)))-1,0),0,MOD($A18-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8">
        <f>IF(AND(CROQUIS!$C$88=1,CROQUIS!$C$91=0,CROQUIS!$C$138&gt;0,OR(CROQUIS!$C$106=1,CROQUIS!$C$143=1)),((CROQUIS!$C$157+(IF(CROQUIS!$C$92="X",CHOOSE(IF(INT(($A18-1)/5)&gt;MAX((MIN(80,MAX(1,INT(((CROQUIS!$C$97)-CROQUIS!$C$107)/MAX(CROQUIS!$C$138,1))+1)))-1,0),0,MOD($A18-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18-1)/5),MAX((MIN(80,MAX(1,INT(((CROQUIS!$C$97)-CROQUIS!$C$107)/MAX(CROQUIS!$C$138,1))+1)))-1,0))*CROQUIS!$C$138)))*CROQUIS!$C$155)+IF(CROQUIS!$C$92="X",0,0)),-1000)</f>
        <v>-1000</v>
      </c>
      <c r="BT18">
        <f>IF(AND(CROQUIS!$C$88=1,CROQUIS!$C$91=1,CROQUIS!$C$130&gt;0),((CROQUIS!$C$156+(IF(CROQUIS!$C$92="X",CHOOSE(IF(INT(($A18-1)/5)&gt;MAX((MIN(80,MAX(1,INT(((CROQUIS!$C$98)-CROQUIS!$C$107)/MAX(CROQUIS!$C$130,1))+1)))-1,0),0,MOD($A18-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18-1)/5),MAX((MIN(80,MAX(1,INT(((CROQUIS!$C$98)-CROQUIS!$C$107)/MAX(CROQUIS!$C$130,1))+1)))-1,0))*CROQUIS!$C$130)))*CROQUIS!$C$155)+IF(CROQUIS!$C$92="X",0,0)),-1000)</f>
        <v>-1000</v>
      </c>
      <c r="BU18">
        <f>IF(AND(CROQUIS!$C$88=1,CROQUIS!$C$91=1,CROQUIS!$C$130&gt;0),((CROQUIS!$C$157+(IF(CROQUIS!$C$92="X",((CROQUIS!$C$107/2+(((CROQUIS!$C$98)-CROQUIS!$C$107)-(MIN(80,MAX(1,INT(((CROQUIS!$C$98)-CROQUIS!$C$107)/MAX(CROQUIS!$C$130,1))+1))-1)*CROQUIS!$C$130)/2)+MIN(INT(($A18-1)/5),MAX((MIN(80,MAX(1,INT(((CROQUIS!$C$98)-CROQUIS!$C$107)/MAX(CROQUIS!$C$130,1))+1)))-1,0))*CROQUIS!$C$130),CHOOSE(IF(INT(($A18-1)/5)&gt;MAX((MIN(80,MAX(1,INT(((CROQUIS!$C$98)-CROQUIS!$C$107)/MAX(CROQUIS!$C$130,1))+1)))-1,0),0,MOD($A18-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CD18">
        <f>IF(AND(CROQUIS!$C$87=1,CROQUIS!$C$126&gt;=1),(50+(((1-(CROQUIS!$C$126+1)/2)*(MAX(CROQUIS!$C$118,CROQUIS!$C$125)+CROQUIS!$C$125))+CROQUIS!$C$125/2*COS(2*PI()*(MIN($A18,13)-1)/12))*CROQUIS!$C$173),-1000)</f>
        <v>50.3030681818182</v>
      </c>
      <c r="CE18">
        <f>IF(AND(CROQUIS!$C$87=1,CROQUIS!$C$126&gt;=1),(12+((CROQUIS!$C$109+CROQUIS!$C$125/2)+CROQUIS!$C$125/2*SIN(2*PI()*(MIN($A18,13)-1)/12))*CROQUIS!$C$173),-1000)</f>
        <v>13.9902977836607</v>
      </c>
      <c r="CF18">
        <f>IF(AND(CROQUIS!$C$87=1,CROQUIS!$C$126&gt;=2),(50+(((2-(CROQUIS!$C$126+1)/2)*(MAX(CROQUIS!$C$118,CROQUIS!$C$125)+CROQUIS!$C$125))+CROQUIS!$C$125/2*COS(2*PI()*(MIN($A18,13)-1)/12))*CROQUIS!$C$173),-1000)</f>
        <v>-1000</v>
      </c>
      <c r="CG18">
        <f>IF(AND(CROQUIS!$C$87=1,CROQUIS!$C$126&gt;=2),(12+((CROQUIS!$C$109+CROQUIS!$C$125/2)+CROQUIS!$C$125/2*SIN(2*PI()*(MIN($A18,13)-1)/12))*CROQUIS!$C$173),-1000)</f>
        <v>-1000</v>
      </c>
      <c r="CH18">
        <f>IF(AND(CROQUIS!$C$87=1,CROQUIS!$C$126&gt;=3),(50+(((3-(CROQUIS!$C$126+1)/2)*(MAX(CROQUIS!$C$118,CROQUIS!$C$125)+CROQUIS!$C$125))+CROQUIS!$C$125/2*COS(2*PI()*(MIN($A18,13)-1)/12))*CROQUIS!$C$173),-1000)</f>
        <v>-1000</v>
      </c>
      <c r="CI18">
        <f>IF(AND(CROQUIS!$C$87=1,CROQUIS!$C$126&gt;=3),(12+((CROQUIS!$C$109+CROQUIS!$C$125/2)+CROQUIS!$C$125/2*SIN(2*PI()*(MIN($A18,13)-1)/12))*CROQUIS!$C$173),-1000)</f>
        <v>-1000</v>
      </c>
      <c r="CJ18">
        <f>IF(AND(CROQUIS!$C$87=1,CROQUIS!$C$130&gt;=1),(50+(((1-(CROQUIS!$C$130+1)/2)*(MAX(CROQUIS!$C$118,CROQUIS!$C$129)+CROQUIS!$C$129))+CROQUIS!$C$129/2*COS(2*PI()*(MIN($A18,13)-1)/12))*CROQUIS!$C$173),-1000)</f>
        <v>50.3030681818182</v>
      </c>
      <c r="CK18">
        <f>IF(AND(CROQUIS!$C$87=1,CROQUIS!$C$130&gt;=1),(12+((CROQUIS!$C$108-CROQUIS!$C$117-2*CROQUIS!$C$116-CROQUIS!$C$129/2)+CROQUIS!$C$129/2*SIN(2*PI()*(MIN($A18,13)-1)/12))*CROQUIS!$C$173),-1000)</f>
        <v>31.322934147297</v>
      </c>
      <c r="CL18">
        <f>IF(AND(CROQUIS!$C$87=1,CROQUIS!$C$130&gt;=2),(50+(((2-(CROQUIS!$C$130+1)/2)*(MAX(CROQUIS!$C$118,CROQUIS!$C$129)+CROQUIS!$C$129))+CROQUIS!$C$129/2*COS(2*PI()*(MIN($A18,13)-1)/12))*CROQUIS!$C$173),-1000)</f>
        <v>-1000</v>
      </c>
      <c r="CM18">
        <f>IF(AND(CROQUIS!$C$87=1,CROQUIS!$C$130&gt;=2),(12+((CROQUIS!$C$108-CROQUIS!$C$117-2*CROQUIS!$C$116-CROQUIS!$C$129/2)+CROQUIS!$C$129/2*SIN(2*PI()*(MIN($A18,13)-1)/12))*CROQUIS!$C$173),-1000)</f>
        <v>-1000</v>
      </c>
      <c r="CN18">
        <f>IF(AND(CROQUIS!$C$87=1,CROQUIS!$C$130&gt;=3),(50+(((3-(CROQUIS!$C$130+1)/2)*(MAX(CROQUIS!$C$118,CROQUIS!$C$129)+CROQUIS!$C$129))+CROQUIS!$C$129/2*COS(2*PI()*(MIN($A18,13)-1)/12))*CROQUIS!$C$173),-1000)</f>
        <v>-1000</v>
      </c>
      <c r="CO18">
        <f>IF(AND(CROQUIS!$C$87=1,CROQUIS!$C$130&gt;=3),(12+((CROQUIS!$C$108-CROQUIS!$C$117-2*CROQUIS!$C$116-CROQUIS!$C$129/2)+CROQUIS!$C$129/2*SIN(2*PI()*(MIN($A18,13)-1)/12))*CROQUIS!$C$173),-1000)</f>
        <v>-1000</v>
      </c>
      <c r="DB18">
        <f>IF(AND(CROQUIS!$C$88=1,CROQUIS!$C$134&gt;0),(50+((-(MIN(12,INT(58/MAX(CROQUIS!$C$134,1))+1)-1)*CROQUIS!$C$134/2+(MIN($A18,MIN(12,INT(58/MAX(CROQUIS!$C$134,1))+1))-1)*CROQUIS!$C$134))*CROQUIS!$C$174),-1000)</f>
        <v>-1000</v>
      </c>
      <c r="DC18">
        <f>IF(AND(CROQUIS!$C$88=1,CROQUIS!$C$134&gt;0),(12+((CROQUIS!$C$109+CROQUIS!$C$125+CROQUIS!$C$133/2))*CROQUIS!$C$174),-1000)</f>
        <v>-1000</v>
      </c>
      <c r="DD18">
        <f>IF(AND(CROQUIS!$C$88=1,CROQUIS!$C$138&gt;0),(50+((-(MIN(12,INT(58/MAX(CROQUIS!$C$138,1))+1)-1)*CROQUIS!$C$138/2+(MIN($A18,MIN(12,INT(58/MAX(CROQUIS!$C$138,1))+1))-1)*CROQUIS!$C$138))*CROQUIS!$C$174),-1000)</f>
        <v>-1000</v>
      </c>
      <c r="DE18">
        <f>IF(AND(CROQUIS!$C$88=1,CROQUIS!$C$138&gt;0),(12+((CROQUIS!$C$108-CROQUIS!$C$110-CROQUIS!$C$129-CROQUIS!$C$137/2))*CROQUIS!$C$174),-1000)</f>
        <v>-1000</v>
      </c>
    </row>
    <row r="19">
      <c r="A19" t="n">
        <v>12</v>
      </c>
      <c r="F19">
        <f>IF(AND(CROQUIS!$C$87=1,CROQUIS!$C$91=1),((CROQUIS!$C$156+(IF(CROQUIS!$C$92="X",IF(CROQUIS!$C$94=1,0,CROQUIS!$C$97)+IF(MOD($A19,2)=1,-CROQUIS!$C$107/2,CROQUIS!$C$107/2),(MIN($A19,41)-1)/40*CROQUIS!$C$98))*CROQUIS!$C$155)+IF(CROQUIS!$C$92="X",0,0)),-1000)</f>
        <v>-1000</v>
      </c>
      <c r="G19">
        <f>IF(AND(CROQUIS!$C$87=1,CROQUIS!$C$91=1),((CROQUIS!$C$157+(IF(CROQUIS!$C$92="X",(MIN($A19,41)-1)/40*CROQUIS!$C$98,IF(CROQUIS!$C$94=1,0,CROQUIS!$C$97)+IF(MOD($A19,2)=1,-CROQUIS!$C$107/2,CROQUIS!$C$107/2)))*CROQUIS!$C$155)+IF(CROQUIS!$C$92="X",0,0)),-1000)</f>
        <v>-1000</v>
      </c>
      <c r="T19">
        <f>IF(AND(CROQUIS!$C$88=1,CROQUIS!$C$91=1),((CROQUIS!$C$156+(IF(CROQUIS!$C$92="X",IF(CROQUIS!$C$94=1,0,CROQUIS!$C$97)+IF(MOD($A19,2)=1,-CROQUIS!$C$107/2,CROQUIS!$C$107/2),(MIN($A19,41)-1)/40*CROQUIS!$C$98))*CROQUIS!$C$155)+IF(CROQUIS!$C$92="X",0,0)),-1000)</f>
        <v>-1000</v>
      </c>
      <c r="U19">
        <f>IF(AND(CROQUIS!$C$88=1,CROQUIS!$C$91=1),((CROQUIS!$C$157+(IF(CROQUIS!$C$92="X",(MIN($A19,41)-1)/40*CROQUIS!$C$98,IF(CROQUIS!$C$94=1,0,CROQUIS!$C$97)+IF(MOD($A19,2)=1,-CROQUIS!$C$107/2,CROQUIS!$C$107/2)))*CROQUIS!$C$155)+IF(CROQUIS!$C$92="X",0,0)),-1000)</f>
        <v>-1000</v>
      </c>
      <c r="AF19">
        <f>IF(AND(CROQUIS!$C$87=1,CROQUIS!$C$158&gt;0,CROQUIS!$C$160&gt;0),(CROQUIS!$C$156+((CROQUIS!$C$159+INT(MIN(INT(($A19-1)/2),MAX((2*CROQUIS!$C$158)-1,0))/2)*CROQUIS!$C$113+MOD(MIN(INT(($A19-1)/2),MAX((2*CROQUIS!$C$158)-1,0)),2)*CROQUIS!$C$112))*CROQUIS!$C$155),-1000)</f>
        <v>49.1414369633981</v>
      </c>
      <c r="AG19">
        <f>IF(AND(CROQUIS!$C$87=1,CROQUIS!$C$158&gt;0,CROQUIS!$C$160&gt;0),(CROQUIS!$C$157+(IF(MOD(MIN(INT(($A19-1)/2),MAX((2*CROQUIS!$C$158)-1,0)),2)=0,IF(IF(INT(($A19-1)/2)&gt;MAX((2*CROQUIS!$C$158)-1,0),1,MOD($A19-1,2))=0,CROQUIS!$C$161,(CROQUIS!$C$161+CROQUIS!$C$160*CROQUIS!$C$113-CROQUIS!$C$111)),IF(IF(INT(($A19-1)/2)&gt;MAX((2*CROQUIS!$C$158)-1,0),1,MOD($A19-1,2))=0,(CROQUIS!$C$161+CROQUIS!$C$160*CROQUIS!$C$113-CROQUIS!$C$111),CROQUIS!$C$161)))*CROQUIS!$C$155),-1000)</f>
        <v>20.8088567555355</v>
      </c>
      <c r="AH19">
        <f>IF(AND(CROQUIS!$C$87=1,CROQUIS!$C$160&gt;0,CROQUIS!$C$158&gt;0),(CROQUIS!$C$156+(IF(MOD(MIN(INT(($A19-1)/2),MAX((2*CROQUIS!$C$160)-1,0)),2)=0,IF(IF(INT(($A19-1)/2)&gt;MAX((2*CROQUIS!$C$160)-1,0),1,MOD($A19-1,2))=0,CROQUIS!$C$159,(CROQUIS!$C$159+CROQUIS!$C$158*CROQUIS!$C$113-CROQUIS!$C$111)),IF(IF(INT(($A19-1)/2)&gt;MAX((2*CROQUIS!$C$160)-1,0),1,MOD($A19-1,2))=0,(CROQUIS!$C$159+CROQUIS!$C$158*CROQUIS!$C$113-CROQUIS!$C$111),CROQUIS!$C$159)))*CROQUIS!$C$155),-1000)</f>
        <v>14.7989154993222</v>
      </c>
      <c r="AI19">
        <f>IF(AND(CROQUIS!$C$87=1,CROQUIS!$C$160&gt;0,CROQUIS!$C$158&gt;0),(CROQUIS!$C$157+((CROQUIS!$C$161+INT(MIN(INT(($A19-1)/2),MAX((2*CROQUIS!$C$160)-1,0))/2)*CROQUIS!$C$113+MOD(MIN(INT(($A19-1)/2),MAX((2*CROQUIS!$C$160)-1,0)),2)*CROQUIS!$C$112))*CROQUIS!$C$155),-1000)</f>
        <v>55.1513782196114</v>
      </c>
      <c r="AJ19">
        <f>IF(AND(CROQUIS!$C$87=1,CROQUIS!$C$158&gt;=2),(CROQUIS!$C$156+((CROQUIS!$C$159+CROQUIS!$C$112+CROQUIS!$C$111/2+MIN(INT(($A19-1)/2),MAX((CROQUIS!$C$158-1)-1,0))*CROQUIS!$C$113))*CROQUIS!$C$155),-1000)</f>
        <v>74.0397650248531</v>
      </c>
      <c r="AK19">
        <f>IF(AND(CROQUIS!$C$87=1,CROQUIS!$C$158&gt;=2),(CROQUIS!$C$157+(IF(MOD(MIN(INT(($A19-1)/2),MAX((CROQUIS!$C$158-1)-1,0)),2)=0,IF(IF(INT(($A19-1)/2)&gt;MAX((CROQUIS!$C$158-1)-1,0),1,MOD($A19-1,2))=0,CROQUIS!$C$107/2,(CROQUIS!$C$96-CROQUIS!$C$107/2)),IF(IF(INT(($A19-1)/2)&gt;MAX((CROQUIS!$C$158-1)-1,0),1,MOD($A19-1,2))=0,(CROQUIS!$C$96-CROQUIS!$C$107/2),CROQUIS!$C$107/2)))*CROQUIS!$C$155),-1000)</f>
        <v>83.0546769091731</v>
      </c>
      <c r="AL19">
        <f>IF(AND(CROQUIS!$C$87=1,CROQUIS!$C$160&gt;=2),(CROQUIS!$C$156+(IF(MOD(MIN(INT(($A19-1)/2),MAX((CROQUIS!$C$160-1)-1,0)),2)=0,IF(IF(INT(($A19-1)/2)&gt;MAX((CROQUIS!$C$160-1)-1,0),1,MOD($A19-1,2))=0,CROQUIS!$C$107/2,(CROQUIS!$C$95-CROQUIS!$C$107/2)),IF(IF(INT(($A19-1)/2)&gt;MAX((CROQUIS!$C$160-1)-1,0),1,MOD($A19-1,2))=0,(CROQUIS!$C$95-CROQUIS!$C$107/2),CROQUIS!$C$107/2)))*CROQUIS!$C$155),-1000)</f>
        <v>13.2878445549028</v>
      </c>
      <c r="AM19">
        <f>IF(AND(CROQUIS!$C$87=1,CROQUIS!$C$160&gt;=2),(CROQUIS!$C$157+((CROQUIS!$C$161+CROQUIS!$C$112+CROQUIS!$C$111/2+MIN(INT(($A19-1)/2),MAX((CROQUIS!$C$160-1)-1,0))*CROQUIS!$C$113))*CROQUIS!$C$155),-1000)</f>
        <v>68.0298237686399</v>
      </c>
      <c r="BH19">
        <f>IF(AND(CROQUIS!$C$88=1,CROQUIS!$C$126&gt;0),((CROQUIS!$C$156+(IF(CROQUIS!$C$92="X",CHOOSE(IF(INT(($A19-1)/5)&gt;MAX((MIN(80,MAX(1,INT(((CROQUIS!$C$98)-CROQUIS!$C$107)/MAX(CROQUIS!$C$126,1))+1)))-1,0),0,MOD($A19-1,5))+1,0,2,CROQUIS!$C$97-2,2,0),((CROQUIS!$C$107/2+(((CROQUIS!$C$98)-CROQUIS!$C$107)-(MIN(80,MAX(1,INT(((CROQUIS!$C$98)-CROQUIS!$C$107)/MAX(CROQUIS!$C$126,1))+1))-1)*CROQUIS!$C$126)/2)+MIN(INT(($A19-1)/5),MAX((MIN(80,MAX(1,INT(((CROQUIS!$C$98)-CROQUIS!$C$107)/MAX(CROQUIS!$C$126,1))+1)))-1,0))*CROQUIS!$C$126)))*CROQUIS!$C$155)+IF(CROQUIS!$C$92="X",0,0)),-1000)</f>
        <v>-1000</v>
      </c>
      <c r="BI19">
        <f>IF(AND(CROQUIS!$C$88=1,CROQUIS!$C$126&gt;0),((CROQUIS!$C$157+(IF(CROQUIS!$C$92="X",((CROQUIS!$C$107/2+(((CROQUIS!$C$98)-CROQUIS!$C$107)-(MIN(80,MAX(1,INT(((CROQUIS!$C$98)-CROQUIS!$C$107)/MAX(CROQUIS!$C$126,1))+1))-1)*CROQUIS!$C$126)/2)+MIN(INT(($A19-1)/5),MAX((MIN(80,MAX(1,INT(((CROQUIS!$C$98)-CROQUIS!$C$107)/MAX(CROQUIS!$C$126,1))+1)))-1,0))*CROQUIS!$C$126),CHOOSE(IF(INT(($A19-1)/5)&gt;MAX((MIN(80,MAX(1,INT(((CROQUIS!$C$98)-CROQUIS!$C$107)/MAX(CROQUIS!$C$126,1))+1)))-1,0),0,MOD($A19-1,5))+1,0,2,CROQUIS!$C$97-2,2,0)))*CROQUIS!$C$155)+IF(CROQUIS!$C$92="X",0,0)),-1000)</f>
        <v>-1000</v>
      </c>
      <c r="BJ19">
        <f>IF(AND(CROQUIS!$C$88=1,CROQUIS!$C$134&gt;0),((CROQUIS!$C$156+(IF(CROQUIS!$C$92="X",((CROQUIS!$C$107/2+(((CROQUIS!$C$97)-CROQUIS!$C$107)-(MIN(80,MAX(1,INT(((CROQUIS!$C$97)-CROQUIS!$C$107)/MAX(CROQUIS!$C$134,1))+1))-1)*CROQUIS!$C$134)/2)+MIN(INT(($A19-1)/5),MAX((MIN(80,MAX(1,INT(((CROQUIS!$C$97)-CROQUIS!$C$107)/MAX(CROQUIS!$C$134,1))+1)))-1,0))*CROQUIS!$C$134),CHOOSE(IF(INT(($A19-1)/5)&gt;MAX((MIN(80,MAX(1,INT(((CROQUIS!$C$97)-CROQUIS!$C$107)/MAX(CROQUIS!$C$134,1))+1)))-1,0),0,MOD($A19-1,5))+1,0,2,CROQUIS!$C$98-2,2,0)))*CROQUIS!$C$155)+IF(CROQUIS!$C$92="X",0,0)),-1000)</f>
        <v>-1000</v>
      </c>
      <c r="BK19">
        <f>IF(AND(CROQUIS!$C$88=1,CROQUIS!$C$134&gt;0),((CROQUIS!$C$157+(IF(CROQUIS!$C$92="X",CHOOSE(IF(INT(($A19-1)/5)&gt;MAX((MIN(80,MAX(1,INT(((CROQUIS!$C$97)-CROQUIS!$C$107)/MAX(CROQUIS!$C$134,1))+1)))-1,0),0,MOD($A19-1,5))+1,0,2,CROQUIS!$C$98-2,2,0),((CROQUIS!$C$107/2+(((CROQUIS!$C$97)-CROQUIS!$C$107)-(MIN(80,MAX(1,INT(((CROQUIS!$C$97)-CROQUIS!$C$107)/MAX(CROQUIS!$C$134,1))+1))-1)*CROQUIS!$C$134)/2)+MIN(INT(($A19-1)/5),MAX((MIN(80,MAX(1,INT(((CROQUIS!$C$97)-CROQUIS!$C$107)/MAX(CROQUIS!$C$134,1))+1)))-1,0))*CROQUIS!$C$134)))*CROQUIS!$C$155)+IF(CROQUIS!$C$92="X",0,0)),-1000)</f>
        <v>-1000</v>
      </c>
      <c r="BL19">
        <f>IF(AND(CROQUIS!$C$88=1,CROQUIS!$C$91=0,CROQUIS!$C$130&gt;0,OR(CROQUIS!$C$103=1,CROQUIS!$C$142=1)),((CROQUIS!$C$156+(IF(CROQUIS!$C$92="X",CHOOSE(IF(INT(($A19-1)/5)&gt;MAX((MIN(80,MAX(1,INT(((CROQUIS!$C$98)-CROQUIS!$C$107)/MAX(CROQUIS!$C$130,1))+1)))-1,0),0,MOD($A19-1,5))+1,0,IF(CROQUIS!$C$103=1,-12,2),CROQUIS!$C$107/2+CROQUIS!$C$140,IF(CROQUIS!$C$103=1,-12,2),0),((CROQUIS!$C$107/2+(((CROQUIS!$C$98)-CROQUIS!$C$107)-(MIN(80,MAX(1,INT(((CROQUIS!$C$98)-CROQUIS!$C$107)/MAX(CROQUIS!$C$130,1))+1))-1)*CROQUIS!$C$130)/2)+MIN(INT(($A19-1)/5),MAX((MIN(80,MAX(1,INT(((CROQUIS!$C$98)-CROQUIS!$C$107)/MAX(CROQUIS!$C$130,1))+1)))-1,0))*CROQUIS!$C$130)))*CROQUIS!$C$155)+IF(CROQUIS!$C$92="X",0,0)),-1000)</f>
        <v>-1000</v>
      </c>
      <c r="BM1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19-1)/5),MAX((MIN(80,MAX(1,INT(((CROQUIS!$C$98)-CROQUIS!$C$107)/MAX(CROQUIS!$C$130,1))+1)))-1,0))*CROQUIS!$C$130),CHOOSE(IF(INT(($A19-1)/5)&gt;MAX((MIN(80,MAX(1,INT(((CROQUIS!$C$98)-CROQUIS!$C$107)/MAX(CROQUIS!$C$130,1))+1)))-1,0),0,MOD($A19-1,5))+1,0,IF(CROQUIS!$C$103=1,-12,2),CROQUIS!$C$107/2+CROQUIS!$C$140,IF(CROQUIS!$C$103=1,-12,2),0)))*CROQUIS!$C$155)+IF(CROQUIS!$C$92="X",0,0)),-1000)</f>
        <v>-1000</v>
      </c>
      <c r="BN19">
        <f>IF(AND(CROQUIS!$C$88=1,CROQUIS!$C$91=0,CROQUIS!$C$130&gt;0,OR(CROQUIS!$C$104=1,CROQUIS!$C$142=1)),((CROQUIS!$C$156+(IF(CROQUIS!$C$92="X",CHOOSE(IF(INT(($A19-1)/5)&gt;MAX((MIN(80,MAX(1,INT(((CROQUIS!$C$98)-CROQUIS!$C$107)/MAX(CROQUIS!$C$130,1))+1)))-1,0),0,MOD($A19-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19-1)/5),MAX((MIN(80,MAX(1,INT(((CROQUIS!$C$98)-CROQUIS!$C$107)/MAX(CROQUIS!$C$130,1))+1)))-1,0))*CROQUIS!$C$130)))*CROQUIS!$C$155)+IF(CROQUIS!$C$92="X",0,0)),-1000)</f>
        <v>-1000</v>
      </c>
      <c r="BO1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19-1)/5),MAX((MIN(80,MAX(1,INT(((CROQUIS!$C$98)-CROQUIS!$C$107)/MAX(CROQUIS!$C$130,1))+1)))-1,0))*CROQUIS!$C$130),CHOOSE(IF(INT(($A19-1)/5)&gt;MAX((MIN(80,MAX(1,INT(((CROQUIS!$C$98)-CROQUIS!$C$107)/MAX(CROQUIS!$C$130,1))+1)))-1,0),0,MOD($A19-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19-1)/5),MAX((MIN(80,MAX(1,INT(((CROQUIS!$C$97)-CROQUIS!$C$107)/MAX(CROQUIS!$C$138,1))+1)))-1,0))*CROQUIS!$C$138),CHOOSE(IF(INT(($A19-1)/5)&gt;MAX((MIN(80,MAX(1,INT(((CROQUIS!$C$97)-CROQUIS!$C$107)/MAX(CROQUIS!$C$138,1))+1)))-1,0),0,MOD($A19-1,5))+1,0,IF(CROQUIS!$C$105=1,-12,2),CROQUIS!$C$107/2+CROQUIS!$C$141,IF(CROQUIS!$C$105=1,-12,2),0)))*CROQUIS!$C$155)+IF(CROQUIS!$C$92="X",0,0)),-1000)</f>
        <v>-1000</v>
      </c>
      <c r="BQ19">
        <f>IF(AND(CROQUIS!$C$88=1,CROQUIS!$C$91=0,CROQUIS!$C$138&gt;0,OR(CROQUIS!$C$105=1,CROQUIS!$C$143=1)),((CROQUIS!$C$157+(IF(CROQUIS!$C$92="X",CHOOSE(IF(INT(($A19-1)/5)&gt;MAX((MIN(80,MAX(1,INT(((CROQUIS!$C$97)-CROQUIS!$C$107)/MAX(CROQUIS!$C$138,1))+1)))-1,0),0,MOD($A19-1,5))+1,0,IF(CROQUIS!$C$105=1,-12,2),CROQUIS!$C$107/2+CROQUIS!$C$141,IF(CROQUIS!$C$105=1,-12,2),0),((CROQUIS!$C$107/2+(((CROQUIS!$C$97)-CROQUIS!$C$107)-(MIN(80,MAX(1,INT(((CROQUIS!$C$97)-CROQUIS!$C$107)/MAX(CROQUIS!$C$138,1))+1))-1)*CROQUIS!$C$138)/2)+MIN(INT(($A19-1)/5),MAX((MIN(80,MAX(1,INT(((CROQUIS!$C$97)-CROQUIS!$C$107)/MAX(CROQUIS!$C$138,1))+1)))-1,0))*CROQUIS!$C$138)))*CROQUIS!$C$155)+IF(CROQUIS!$C$92="X",0,0)),-1000)</f>
        <v>-1000</v>
      </c>
      <c r="BR1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19-1)/5),MAX((MIN(80,MAX(1,INT(((CROQUIS!$C$97)-CROQUIS!$C$107)/MAX(CROQUIS!$C$138,1))+1)))-1,0))*CROQUIS!$C$138),CHOOSE(IF(INT(($A19-1)/5)&gt;MAX((MIN(80,MAX(1,INT(((CROQUIS!$C$97)-CROQUIS!$C$107)/MAX(CROQUIS!$C$138,1))+1)))-1,0),0,MOD($A19-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9">
        <f>IF(AND(CROQUIS!$C$88=1,CROQUIS!$C$91=0,CROQUIS!$C$138&gt;0,OR(CROQUIS!$C$106=1,CROQUIS!$C$143=1)),((CROQUIS!$C$157+(IF(CROQUIS!$C$92="X",CHOOSE(IF(INT(($A19-1)/5)&gt;MAX((MIN(80,MAX(1,INT(((CROQUIS!$C$97)-CROQUIS!$C$107)/MAX(CROQUIS!$C$138,1))+1)))-1,0),0,MOD($A19-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19-1)/5),MAX((MIN(80,MAX(1,INT(((CROQUIS!$C$97)-CROQUIS!$C$107)/MAX(CROQUIS!$C$138,1))+1)))-1,0))*CROQUIS!$C$138)))*CROQUIS!$C$155)+IF(CROQUIS!$C$92="X",0,0)),-1000)</f>
        <v>-1000</v>
      </c>
      <c r="BT19">
        <f>IF(AND(CROQUIS!$C$88=1,CROQUIS!$C$91=1,CROQUIS!$C$130&gt;0),((CROQUIS!$C$156+(IF(CROQUIS!$C$92="X",CHOOSE(IF(INT(($A19-1)/5)&gt;MAX((MIN(80,MAX(1,INT(((CROQUIS!$C$98)-CROQUIS!$C$107)/MAX(CROQUIS!$C$130,1))+1)))-1,0),0,MOD($A19-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19-1)/5),MAX((MIN(80,MAX(1,INT(((CROQUIS!$C$98)-CROQUIS!$C$107)/MAX(CROQUIS!$C$130,1))+1)))-1,0))*CROQUIS!$C$130)))*CROQUIS!$C$155)+IF(CROQUIS!$C$92="X",0,0)),-1000)</f>
        <v>-1000</v>
      </c>
      <c r="BU19">
        <f>IF(AND(CROQUIS!$C$88=1,CROQUIS!$C$91=1,CROQUIS!$C$130&gt;0),((CROQUIS!$C$157+(IF(CROQUIS!$C$92="X",((CROQUIS!$C$107/2+(((CROQUIS!$C$98)-CROQUIS!$C$107)-(MIN(80,MAX(1,INT(((CROQUIS!$C$98)-CROQUIS!$C$107)/MAX(CROQUIS!$C$130,1))+1))-1)*CROQUIS!$C$130)/2)+MIN(INT(($A19-1)/5),MAX((MIN(80,MAX(1,INT(((CROQUIS!$C$98)-CROQUIS!$C$107)/MAX(CROQUIS!$C$130,1))+1)))-1,0))*CROQUIS!$C$130),CHOOSE(IF(INT(($A19-1)/5)&gt;MAX((MIN(80,MAX(1,INT(((CROQUIS!$C$98)-CROQUIS!$C$107)/MAX(CROQUIS!$C$130,1))+1)))-1,0),0,MOD($A19-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CD19">
        <f>IF(AND(CROQUIS!$C$87=1,CROQUIS!$C$126&gt;=1),(50+(((1-(CROQUIS!$C$126+1)/2)*(MAX(CROQUIS!$C$118,CROQUIS!$C$125)+CROQUIS!$C$125))+CROQUIS!$C$125/2*COS(2*PI()*(MIN($A19,13)-1)/12))*CROQUIS!$C$173),-1000)</f>
        <v>50.5249294890666</v>
      </c>
      <c r="CE19">
        <f>IF(AND(CROQUIS!$C$87=1,CROQUIS!$C$126&gt;=1),(12+((CROQUIS!$C$109+CROQUIS!$C$125/2)+CROQUIS!$C$125/2*SIN(2*PI()*(MIN($A19,13)-1)/12))*CROQUIS!$C$173),-1000)</f>
        <v>14.2121590909091</v>
      </c>
      <c r="CF19">
        <f>IF(AND(CROQUIS!$C$87=1,CROQUIS!$C$126&gt;=2),(50+(((2-(CROQUIS!$C$126+1)/2)*(MAX(CROQUIS!$C$118,CROQUIS!$C$125)+CROQUIS!$C$125))+CROQUIS!$C$125/2*COS(2*PI()*(MIN($A19,13)-1)/12))*CROQUIS!$C$173),-1000)</f>
        <v>-1000</v>
      </c>
      <c r="CG19">
        <f>IF(AND(CROQUIS!$C$87=1,CROQUIS!$C$126&gt;=2),(12+((CROQUIS!$C$109+CROQUIS!$C$125/2)+CROQUIS!$C$125/2*SIN(2*PI()*(MIN($A19,13)-1)/12))*CROQUIS!$C$173),-1000)</f>
        <v>-1000</v>
      </c>
      <c r="CH19">
        <f>IF(AND(CROQUIS!$C$87=1,CROQUIS!$C$126&gt;=3),(50+(((3-(CROQUIS!$C$126+1)/2)*(MAX(CROQUIS!$C$118,CROQUIS!$C$125)+CROQUIS!$C$125))+CROQUIS!$C$125/2*COS(2*PI()*(MIN($A19,13)-1)/12))*CROQUIS!$C$173),-1000)</f>
        <v>-1000</v>
      </c>
      <c r="CI19">
        <f>IF(AND(CROQUIS!$C$87=1,CROQUIS!$C$126&gt;=3),(12+((CROQUIS!$C$109+CROQUIS!$C$125/2)+CROQUIS!$C$125/2*SIN(2*PI()*(MIN($A19,13)-1)/12))*CROQUIS!$C$173),-1000)</f>
        <v>-1000</v>
      </c>
      <c r="CJ19">
        <f>IF(AND(CROQUIS!$C$87=1,CROQUIS!$C$130&gt;=1),(50+(((1-(CROQUIS!$C$130+1)/2)*(MAX(CROQUIS!$C$118,CROQUIS!$C$129)+CROQUIS!$C$129))+CROQUIS!$C$129/2*COS(2*PI()*(MIN($A19,13)-1)/12))*CROQUIS!$C$173),-1000)</f>
        <v>50.5249294890666</v>
      </c>
      <c r="CK19">
        <f>IF(AND(CROQUIS!$C$87=1,CROQUIS!$C$130&gt;=1),(12+((CROQUIS!$C$108-CROQUIS!$C$117-2*CROQUIS!$C$116-CROQUIS!$C$129/2)+CROQUIS!$C$129/2*SIN(2*PI()*(MIN($A19,13)-1)/12))*CROQUIS!$C$173),-1000)</f>
        <v>31.5447954545455</v>
      </c>
      <c r="CL19">
        <f>IF(AND(CROQUIS!$C$87=1,CROQUIS!$C$130&gt;=2),(50+(((2-(CROQUIS!$C$130+1)/2)*(MAX(CROQUIS!$C$118,CROQUIS!$C$129)+CROQUIS!$C$129))+CROQUIS!$C$129/2*COS(2*PI()*(MIN($A19,13)-1)/12))*CROQUIS!$C$173),-1000)</f>
        <v>-1000</v>
      </c>
      <c r="CM19">
        <f>IF(AND(CROQUIS!$C$87=1,CROQUIS!$C$130&gt;=2),(12+((CROQUIS!$C$108-CROQUIS!$C$117-2*CROQUIS!$C$116-CROQUIS!$C$129/2)+CROQUIS!$C$129/2*SIN(2*PI()*(MIN($A19,13)-1)/12))*CROQUIS!$C$173),-1000)</f>
        <v>-1000</v>
      </c>
      <c r="CN19">
        <f>IF(AND(CROQUIS!$C$87=1,CROQUIS!$C$130&gt;=3),(50+(((3-(CROQUIS!$C$130+1)/2)*(MAX(CROQUIS!$C$118,CROQUIS!$C$129)+CROQUIS!$C$129))+CROQUIS!$C$129/2*COS(2*PI()*(MIN($A19,13)-1)/12))*CROQUIS!$C$173),-1000)</f>
        <v>-1000</v>
      </c>
      <c r="CO19">
        <f>IF(AND(CROQUIS!$C$87=1,CROQUIS!$C$130&gt;=3),(12+((CROQUIS!$C$108-CROQUIS!$C$117-2*CROQUIS!$C$116-CROQUIS!$C$129/2)+CROQUIS!$C$129/2*SIN(2*PI()*(MIN($A19,13)-1)/12))*CROQUIS!$C$173),-1000)</f>
        <v>-1000</v>
      </c>
      <c r="DB19">
        <f>IF(AND(CROQUIS!$C$88=1,CROQUIS!$C$134&gt;0),(50+((-(MIN(12,INT(58/MAX(CROQUIS!$C$134,1))+1)-1)*CROQUIS!$C$134/2+(MIN($A19,MIN(12,INT(58/MAX(CROQUIS!$C$134,1))+1))-1)*CROQUIS!$C$134))*CROQUIS!$C$174),-1000)</f>
        <v>-1000</v>
      </c>
      <c r="DC19">
        <f>IF(AND(CROQUIS!$C$88=1,CROQUIS!$C$134&gt;0),(12+((CROQUIS!$C$109+CROQUIS!$C$125+CROQUIS!$C$133/2))*CROQUIS!$C$174),-1000)</f>
        <v>-1000</v>
      </c>
      <c r="DD19">
        <f>IF(AND(CROQUIS!$C$88=1,CROQUIS!$C$138&gt;0),(50+((-(MIN(12,INT(58/MAX(CROQUIS!$C$138,1))+1)-1)*CROQUIS!$C$138/2+(MIN($A19,MIN(12,INT(58/MAX(CROQUIS!$C$138,1))+1))-1)*CROQUIS!$C$138))*CROQUIS!$C$174),-1000)</f>
        <v>-1000</v>
      </c>
      <c r="DE19">
        <f>IF(AND(CROQUIS!$C$88=1,CROQUIS!$C$138&gt;0),(12+((CROQUIS!$C$108-CROQUIS!$C$110-CROQUIS!$C$129-CROQUIS!$C$137/2))*CROQUIS!$C$174),-1000)</f>
        <v>-1000</v>
      </c>
    </row>
    <row r="20">
      <c r="A20" t="n">
        <v>13</v>
      </c>
      <c r="F20">
        <f>IF(AND(CROQUIS!$C$87=1,CROQUIS!$C$91=1),((CROQUIS!$C$156+(IF(CROQUIS!$C$92="X",IF(CROQUIS!$C$94=1,0,CROQUIS!$C$97)+IF(MOD($A20,2)=1,-CROQUIS!$C$107/2,CROQUIS!$C$107/2),(MIN($A20,41)-1)/40*CROQUIS!$C$98))*CROQUIS!$C$155)+IF(CROQUIS!$C$92="X",0,0)),-1000)</f>
        <v>-1000</v>
      </c>
      <c r="G20">
        <f>IF(AND(CROQUIS!$C$87=1,CROQUIS!$C$91=1),((CROQUIS!$C$157+(IF(CROQUIS!$C$92="X",(MIN($A20,41)-1)/40*CROQUIS!$C$98,IF(CROQUIS!$C$94=1,0,CROQUIS!$C$97)+IF(MOD($A20,2)=1,-CROQUIS!$C$107/2,CROQUIS!$C$107/2)))*CROQUIS!$C$155)+IF(CROQUIS!$C$92="X",0,0)),-1000)</f>
        <v>-1000</v>
      </c>
      <c r="T20">
        <f>IF(AND(CROQUIS!$C$88=1,CROQUIS!$C$91=1),((CROQUIS!$C$156+(IF(CROQUIS!$C$92="X",IF(CROQUIS!$C$94=1,0,CROQUIS!$C$97)+IF(MOD($A20,2)=1,-CROQUIS!$C$107/2,CROQUIS!$C$107/2),(MIN($A20,41)-1)/40*CROQUIS!$C$98))*CROQUIS!$C$155)+IF(CROQUIS!$C$92="X",0,0)),-1000)</f>
        <v>-1000</v>
      </c>
      <c r="U20">
        <f>IF(AND(CROQUIS!$C$88=1,CROQUIS!$C$91=1),((CROQUIS!$C$157+(IF(CROQUIS!$C$92="X",(MIN($A20,41)-1)/40*CROQUIS!$C$98,IF(CROQUIS!$C$94=1,0,CROQUIS!$C$97)+IF(MOD($A20,2)=1,-CROQUIS!$C$107/2,CROQUIS!$C$107/2)))*CROQUIS!$C$155)+IF(CROQUIS!$C$92="X",0,0)),-1000)</f>
        <v>-1000</v>
      </c>
      <c r="AF20">
        <f>IF(AND(CROQUIS!$C$87=1,CROQUIS!$C$158&gt;0,CROQUIS!$C$160&gt;0),(CROQUIS!$C$156+((CROQUIS!$C$159+INT(MIN(INT(($A20-1)/2),MAX((2*CROQUIS!$C$158)-1,0))/2)*CROQUIS!$C$113+MOD(MIN(INT(($A20-1)/2),MAX((2*CROQUIS!$C$158)-1,0)),2)*CROQUIS!$C$112))*CROQUIS!$C$155),-1000)</f>
        <v>50.8585630366019</v>
      </c>
      <c r="AG20">
        <f>IF(AND(CROQUIS!$C$87=1,CROQUIS!$C$158&gt;0,CROQUIS!$C$160&gt;0),(CROQUIS!$C$157+(IF(MOD(MIN(INT(($A20-1)/2),MAX((2*CROQUIS!$C$158)-1,0)),2)=0,IF(IF(INT(($A20-1)/2)&gt;MAX((2*CROQUIS!$C$158)-1,0),1,MOD($A20-1,2))=0,CROQUIS!$C$161,(CROQUIS!$C$161+CROQUIS!$C$160*CROQUIS!$C$113-CROQUIS!$C$111)),IF(IF(INT(($A20-1)/2)&gt;MAX((2*CROQUIS!$C$158)-1,0),1,MOD($A20-1,2))=0,(CROQUIS!$C$161+CROQUIS!$C$160*CROQUIS!$C$113-CROQUIS!$C$111),CROQUIS!$C$161)))*CROQUIS!$C$155),-1000)</f>
        <v>20.8088567555355</v>
      </c>
      <c r="AH20">
        <f>IF(AND(CROQUIS!$C$87=1,CROQUIS!$C$160&gt;0,CROQUIS!$C$158&gt;0),(CROQUIS!$C$156+(IF(MOD(MIN(INT(($A20-1)/2),MAX((2*CROQUIS!$C$160)-1,0)),2)=0,IF(IF(INT(($A20-1)/2)&gt;MAX((2*CROQUIS!$C$160)-1,0),1,MOD($A20-1,2))=0,CROQUIS!$C$159,(CROQUIS!$C$159+CROQUIS!$C$158*CROQUIS!$C$113-CROQUIS!$C$111)),IF(IF(INT(($A20-1)/2)&gt;MAX((2*CROQUIS!$C$160)-1,0),1,MOD($A20-1,2))=0,(CROQUIS!$C$159+CROQUIS!$C$158*CROQUIS!$C$113-CROQUIS!$C$111),CROQUIS!$C$159)))*CROQUIS!$C$155),-1000)</f>
        <v>14.7989154993222</v>
      </c>
      <c r="AI20">
        <f>IF(AND(CROQUIS!$C$87=1,CROQUIS!$C$160&gt;0,CROQUIS!$C$158&gt;0),(CROQUIS!$C$157+((CROQUIS!$C$161+INT(MIN(INT(($A20-1)/2),MAX((2*CROQUIS!$C$160)-1,0))/2)*CROQUIS!$C$113+MOD(MIN(INT(($A20-1)/2),MAX((2*CROQUIS!$C$160)-1,0)),2)*CROQUIS!$C$112))*CROQUIS!$C$155),-1000)</f>
        <v>56.8685042928152</v>
      </c>
      <c r="AJ20">
        <f>IF(AND(CROQUIS!$C$87=1,CROQUIS!$C$158&gt;=2),(CROQUIS!$C$156+((CROQUIS!$C$159+CROQUIS!$C$112+CROQUIS!$C$111/2+MIN(INT(($A20-1)/2),MAX((CROQUIS!$C$158-1)-1,0))*CROQUIS!$C$113))*CROQUIS!$C$155),-1000)</f>
        <v>74.0397650248531</v>
      </c>
      <c r="AK20">
        <f>IF(AND(CROQUIS!$C$87=1,CROQUIS!$C$158&gt;=2),(CROQUIS!$C$157+(IF(MOD(MIN(INT(($A20-1)/2),MAX((CROQUIS!$C$158-1)-1,0)),2)=0,IF(IF(INT(($A20-1)/2)&gt;MAX((CROQUIS!$C$158-1)-1,0),1,MOD($A20-1,2))=0,CROQUIS!$C$107/2,(CROQUIS!$C$96-CROQUIS!$C$107/2)),IF(IF(INT(($A20-1)/2)&gt;MAX((CROQUIS!$C$158-1)-1,0),1,MOD($A20-1,2))=0,(CROQUIS!$C$96-CROQUIS!$C$107/2),CROQUIS!$C$107/2)))*CROQUIS!$C$155),-1000)</f>
        <v>83.0546769091731</v>
      </c>
      <c r="AL20">
        <f>IF(AND(CROQUIS!$C$87=1,CROQUIS!$C$160&gt;=2),(CROQUIS!$C$156+(IF(MOD(MIN(INT(($A20-1)/2),MAX((CROQUIS!$C$160-1)-1,0)),2)=0,IF(IF(INT(($A20-1)/2)&gt;MAX((CROQUIS!$C$160-1)-1,0),1,MOD($A20-1,2))=0,CROQUIS!$C$107/2,(CROQUIS!$C$95-CROQUIS!$C$107/2)),IF(IF(INT(($A20-1)/2)&gt;MAX((CROQUIS!$C$160-1)-1,0),1,MOD($A20-1,2))=0,(CROQUIS!$C$95-CROQUIS!$C$107/2),CROQUIS!$C$107/2)))*CROQUIS!$C$155),-1000)</f>
        <v>13.2878445549028</v>
      </c>
      <c r="AM20">
        <f>IF(AND(CROQUIS!$C$87=1,CROQUIS!$C$160&gt;=2),(CROQUIS!$C$157+((CROQUIS!$C$161+CROQUIS!$C$112+CROQUIS!$C$111/2+MIN(INT(($A20-1)/2),MAX((CROQUIS!$C$160-1)-1,0))*CROQUIS!$C$113))*CROQUIS!$C$155),-1000)</f>
        <v>68.0298237686399</v>
      </c>
      <c r="BH20">
        <f>IF(AND(CROQUIS!$C$88=1,CROQUIS!$C$126&gt;0),((CROQUIS!$C$156+(IF(CROQUIS!$C$92="X",CHOOSE(IF(INT(($A20-1)/5)&gt;MAX((MIN(80,MAX(1,INT(((CROQUIS!$C$98)-CROQUIS!$C$107)/MAX(CROQUIS!$C$126,1))+1)))-1,0),0,MOD($A20-1,5))+1,0,2,CROQUIS!$C$97-2,2,0),((CROQUIS!$C$107/2+(((CROQUIS!$C$98)-CROQUIS!$C$107)-(MIN(80,MAX(1,INT(((CROQUIS!$C$98)-CROQUIS!$C$107)/MAX(CROQUIS!$C$126,1))+1))-1)*CROQUIS!$C$126)/2)+MIN(INT(($A20-1)/5),MAX((MIN(80,MAX(1,INT(((CROQUIS!$C$98)-CROQUIS!$C$107)/MAX(CROQUIS!$C$126,1))+1)))-1,0))*CROQUIS!$C$126)))*CROQUIS!$C$155)+IF(CROQUIS!$C$92="X",0,0)),-1000)</f>
        <v>-1000</v>
      </c>
      <c r="BI20">
        <f>IF(AND(CROQUIS!$C$88=1,CROQUIS!$C$126&gt;0),((CROQUIS!$C$157+(IF(CROQUIS!$C$92="X",((CROQUIS!$C$107/2+(((CROQUIS!$C$98)-CROQUIS!$C$107)-(MIN(80,MAX(1,INT(((CROQUIS!$C$98)-CROQUIS!$C$107)/MAX(CROQUIS!$C$126,1))+1))-1)*CROQUIS!$C$126)/2)+MIN(INT(($A20-1)/5),MAX((MIN(80,MAX(1,INT(((CROQUIS!$C$98)-CROQUIS!$C$107)/MAX(CROQUIS!$C$126,1))+1)))-1,0))*CROQUIS!$C$126),CHOOSE(IF(INT(($A20-1)/5)&gt;MAX((MIN(80,MAX(1,INT(((CROQUIS!$C$98)-CROQUIS!$C$107)/MAX(CROQUIS!$C$126,1))+1)))-1,0),0,MOD($A20-1,5))+1,0,2,CROQUIS!$C$97-2,2,0)))*CROQUIS!$C$155)+IF(CROQUIS!$C$92="X",0,0)),-1000)</f>
        <v>-1000</v>
      </c>
      <c r="BJ20">
        <f>IF(AND(CROQUIS!$C$88=1,CROQUIS!$C$134&gt;0),((CROQUIS!$C$156+(IF(CROQUIS!$C$92="X",((CROQUIS!$C$107/2+(((CROQUIS!$C$97)-CROQUIS!$C$107)-(MIN(80,MAX(1,INT(((CROQUIS!$C$97)-CROQUIS!$C$107)/MAX(CROQUIS!$C$134,1))+1))-1)*CROQUIS!$C$134)/2)+MIN(INT(($A20-1)/5),MAX((MIN(80,MAX(1,INT(((CROQUIS!$C$97)-CROQUIS!$C$107)/MAX(CROQUIS!$C$134,1))+1)))-1,0))*CROQUIS!$C$134),CHOOSE(IF(INT(($A20-1)/5)&gt;MAX((MIN(80,MAX(1,INT(((CROQUIS!$C$97)-CROQUIS!$C$107)/MAX(CROQUIS!$C$134,1))+1)))-1,0),0,MOD($A20-1,5))+1,0,2,CROQUIS!$C$98-2,2,0)))*CROQUIS!$C$155)+IF(CROQUIS!$C$92="X",0,0)),-1000)</f>
        <v>-1000</v>
      </c>
      <c r="BK20">
        <f>IF(AND(CROQUIS!$C$88=1,CROQUIS!$C$134&gt;0),((CROQUIS!$C$157+(IF(CROQUIS!$C$92="X",CHOOSE(IF(INT(($A20-1)/5)&gt;MAX((MIN(80,MAX(1,INT(((CROQUIS!$C$97)-CROQUIS!$C$107)/MAX(CROQUIS!$C$134,1))+1)))-1,0),0,MOD($A20-1,5))+1,0,2,CROQUIS!$C$98-2,2,0),((CROQUIS!$C$107/2+(((CROQUIS!$C$97)-CROQUIS!$C$107)-(MIN(80,MAX(1,INT(((CROQUIS!$C$97)-CROQUIS!$C$107)/MAX(CROQUIS!$C$134,1))+1))-1)*CROQUIS!$C$134)/2)+MIN(INT(($A20-1)/5),MAX((MIN(80,MAX(1,INT(((CROQUIS!$C$97)-CROQUIS!$C$107)/MAX(CROQUIS!$C$134,1))+1)))-1,0))*CROQUIS!$C$134)))*CROQUIS!$C$155)+IF(CROQUIS!$C$92="X",0,0)),-1000)</f>
        <v>-1000</v>
      </c>
      <c r="BL20">
        <f>IF(AND(CROQUIS!$C$88=1,CROQUIS!$C$91=0,CROQUIS!$C$130&gt;0,OR(CROQUIS!$C$103=1,CROQUIS!$C$142=1)),((CROQUIS!$C$156+(IF(CROQUIS!$C$92="X",CHOOSE(IF(INT(($A20-1)/5)&gt;MAX((MIN(80,MAX(1,INT(((CROQUIS!$C$98)-CROQUIS!$C$107)/MAX(CROQUIS!$C$130,1))+1)))-1,0),0,MOD($A20-1,5))+1,0,IF(CROQUIS!$C$103=1,-12,2),CROQUIS!$C$107/2+CROQUIS!$C$140,IF(CROQUIS!$C$103=1,-12,2),0),((CROQUIS!$C$107/2+(((CROQUIS!$C$98)-CROQUIS!$C$107)-(MIN(80,MAX(1,INT(((CROQUIS!$C$98)-CROQUIS!$C$107)/MAX(CROQUIS!$C$130,1))+1))-1)*CROQUIS!$C$130)/2)+MIN(INT(($A20-1)/5),MAX((MIN(80,MAX(1,INT(((CROQUIS!$C$98)-CROQUIS!$C$107)/MAX(CROQUIS!$C$130,1))+1)))-1,0))*CROQUIS!$C$130)))*CROQUIS!$C$155)+IF(CROQUIS!$C$92="X",0,0)),-1000)</f>
        <v>-1000</v>
      </c>
      <c r="BM2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20-1)/5),MAX((MIN(80,MAX(1,INT(((CROQUIS!$C$98)-CROQUIS!$C$107)/MAX(CROQUIS!$C$130,1))+1)))-1,0))*CROQUIS!$C$130),CHOOSE(IF(INT(($A20-1)/5)&gt;MAX((MIN(80,MAX(1,INT(((CROQUIS!$C$98)-CROQUIS!$C$107)/MAX(CROQUIS!$C$130,1))+1)))-1,0),0,MOD($A20-1,5))+1,0,IF(CROQUIS!$C$103=1,-12,2),CROQUIS!$C$107/2+CROQUIS!$C$140,IF(CROQUIS!$C$103=1,-12,2),0)))*CROQUIS!$C$155)+IF(CROQUIS!$C$92="X",0,0)),-1000)</f>
        <v>-1000</v>
      </c>
      <c r="BN20">
        <f>IF(AND(CROQUIS!$C$88=1,CROQUIS!$C$91=0,CROQUIS!$C$130&gt;0,OR(CROQUIS!$C$104=1,CROQUIS!$C$142=1)),((CROQUIS!$C$156+(IF(CROQUIS!$C$92="X",CHOOSE(IF(INT(($A20-1)/5)&gt;MAX((MIN(80,MAX(1,INT(((CROQUIS!$C$98)-CROQUIS!$C$107)/MAX(CROQUIS!$C$130,1))+1)))-1,0),0,MOD($A20-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20-1)/5),MAX((MIN(80,MAX(1,INT(((CROQUIS!$C$98)-CROQUIS!$C$107)/MAX(CROQUIS!$C$130,1))+1)))-1,0))*CROQUIS!$C$130)))*CROQUIS!$C$155)+IF(CROQUIS!$C$92="X",0,0)),-1000)</f>
        <v>-1000</v>
      </c>
      <c r="BO2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20-1)/5),MAX((MIN(80,MAX(1,INT(((CROQUIS!$C$98)-CROQUIS!$C$107)/MAX(CROQUIS!$C$130,1))+1)))-1,0))*CROQUIS!$C$130),CHOOSE(IF(INT(($A20-1)/5)&gt;MAX((MIN(80,MAX(1,INT(((CROQUIS!$C$98)-CROQUIS!$C$107)/MAX(CROQUIS!$C$130,1))+1)))-1,0),0,MOD($A20-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20-1)/5),MAX((MIN(80,MAX(1,INT(((CROQUIS!$C$97)-CROQUIS!$C$107)/MAX(CROQUIS!$C$138,1))+1)))-1,0))*CROQUIS!$C$138),CHOOSE(IF(INT(($A20-1)/5)&gt;MAX((MIN(80,MAX(1,INT(((CROQUIS!$C$97)-CROQUIS!$C$107)/MAX(CROQUIS!$C$138,1))+1)))-1,0),0,MOD($A20-1,5))+1,0,IF(CROQUIS!$C$105=1,-12,2),CROQUIS!$C$107/2+CROQUIS!$C$141,IF(CROQUIS!$C$105=1,-12,2),0)))*CROQUIS!$C$155)+IF(CROQUIS!$C$92="X",0,0)),-1000)</f>
        <v>-1000</v>
      </c>
      <c r="BQ20">
        <f>IF(AND(CROQUIS!$C$88=1,CROQUIS!$C$91=0,CROQUIS!$C$138&gt;0,OR(CROQUIS!$C$105=1,CROQUIS!$C$143=1)),((CROQUIS!$C$157+(IF(CROQUIS!$C$92="X",CHOOSE(IF(INT(($A20-1)/5)&gt;MAX((MIN(80,MAX(1,INT(((CROQUIS!$C$97)-CROQUIS!$C$107)/MAX(CROQUIS!$C$138,1))+1)))-1,0),0,MOD($A20-1,5))+1,0,IF(CROQUIS!$C$105=1,-12,2),CROQUIS!$C$107/2+CROQUIS!$C$141,IF(CROQUIS!$C$105=1,-12,2),0),((CROQUIS!$C$107/2+(((CROQUIS!$C$97)-CROQUIS!$C$107)-(MIN(80,MAX(1,INT(((CROQUIS!$C$97)-CROQUIS!$C$107)/MAX(CROQUIS!$C$138,1))+1))-1)*CROQUIS!$C$138)/2)+MIN(INT(($A20-1)/5),MAX((MIN(80,MAX(1,INT(((CROQUIS!$C$97)-CROQUIS!$C$107)/MAX(CROQUIS!$C$138,1))+1)))-1,0))*CROQUIS!$C$138)))*CROQUIS!$C$155)+IF(CROQUIS!$C$92="X",0,0)),-1000)</f>
        <v>-1000</v>
      </c>
      <c r="BR2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20-1)/5),MAX((MIN(80,MAX(1,INT(((CROQUIS!$C$97)-CROQUIS!$C$107)/MAX(CROQUIS!$C$138,1))+1)))-1,0))*CROQUIS!$C$138),CHOOSE(IF(INT(($A20-1)/5)&gt;MAX((MIN(80,MAX(1,INT(((CROQUIS!$C$97)-CROQUIS!$C$107)/MAX(CROQUIS!$C$138,1))+1)))-1,0),0,MOD($A20-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0">
        <f>IF(AND(CROQUIS!$C$88=1,CROQUIS!$C$91=0,CROQUIS!$C$138&gt;0,OR(CROQUIS!$C$106=1,CROQUIS!$C$143=1)),((CROQUIS!$C$157+(IF(CROQUIS!$C$92="X",CHOOSE(IF(INT(($A20-1)/5)&gt;MAX((MIN(80,MAX(1,INT(((CROQUIS!$C$97)-CROQUIS!$C$107)/MAX(CROQUIS!$C$138,1))+1)))-1,0),0,MOD($A20-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20-1)/5),MAX((MIN(80,MAX(1,INT(((CROQUIS!$C$97)-CROQUIS!$C$107)/MAX(CROQUIS!$C$138,1))+1)))-1,0))*CROQUIS!$C$138)))*CROQUIS!$C$155)+IF(CROQUIS!$C$92="X",0,0)),-1000)</f>
        <v>-1000</v>
      </c>
      <c r="BT20">
        <f>IF(AND(CROQUIS!$C$88=1,CROQUIS!$C$91=1,CROQUIS!$C$130&gt;0),((CROQUIS!$C$156+(IF(CROQUIS!$C$92="X",CHOOSE(IF(INT(($A20-1)/5)&gt;MAX((MIN(80,MAX(1,INT(((CROQUIS!$C$98)-CROQUIS!$C$107)/MAX(CROQUIS!$C$130,1))+1)))-1,0),0,MOD($A20-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20-1)/5),MAX((MIN(80,MAX(1,INT(((CROQUIS!$C$98)-CROQUIS!$C$107)/MAX(CROQUIS!$C$130,1))+1)))-1,0))*CROQUIS!$C$130)))*CROQUIS!$C$155)+IF(CROQUIS!$C$92="X",0,0)),-1000)</f>
        <v>-1000</v>
      </c>
      <c r="BU20">
        <f>IF(AND(CROQUIS!$C$88=1,CROQUIS!$C$91=1,CROQUIS!$C$130&gt;0),((CROQUIS!$C$157+(IF(CROQUIS!$C$92="X",((CROQUIS!$C$107/2+(((CROQUIS!$C$98)-CROQUIS!$C$107)-(MIN(80,MAX(1,INT(((CROQUIS!$C$98)-CROQUIS!$C$107)/MAX(CROQUIS!$C$130,1))+1))-1)*CROQUIS!$C$130)/2)+MIN(INT(($A20-1)/5),MAX((MIN(80,MAX(1,INT(((CROQUIS!$C$98)-CROQUIS!$C$107)/MAX(CROQUIS!$C$130,1))+1)))-1,0))*CROQUIS!$C$130),CHOOSE(IF(INT(($A20-1)/5)&gt;MAX((MIN(80,MAX(1,INT(((CROQUIS!$C$98)-CROQUIS!$C$107)/MAX(CROQUIS!$C$130,1))+1)))-1,0),0,MOD($A20-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  <c r="CD20">
        <f>IF(AND(CROQUIS!$C$87=1,CROQUIS!$C$126&gt;=1),(50+(((1-(CROQUIS!$C$126+1)/2)*(MAX(CROQUIS!$C$118,CROQUIS!$C$125)+CROQUIS!$C$125))+CROQUIS!$C$125/2*COS(2*PI()*(MIN($A20,13)-1)/12))*CROQUIS!$C$173),-1000)</f>
        <v>50.6061363636364</v>
      </c>
      <c r="CE20">
        <f>IF(AND(CROQUIS!$C$87=1,CROQUIS!$C$126&gt;=1),(12+((CROQUIS!$C$109+CROQUIS!$C$125/2)+CROQUIS!$C$125/2*SIN(2*PI()*(MIN($A20,13)-1)/12))*CROQUIS!$C$173),-1000)</f>
        <v>14.5152272727273</v>
      </c>
      <c r="CF20">
        <f>IF(AND(CROQUIS!$C$87=1,CROQUIS!$C$126&gt;=2),(50+(((2-(CROQUIS!$C$126+1)/2)*(MAX(CROQUIS!$C$118,CROQUIS!$C$125)+CROQUIS!$C$125))+CROQUIS!$C$125/2*COS(2*PI()*(MIN($A20,13)-1)/12))*CROQUIS!$C$173),-1000)</f>
        <v>-1000</v>
      </c>
      <c r="CG20">
        <f>IF(AND(CROQUIS!$C$87=1,CROQUIS!$C$126&gt;=2),(12+((CROQUIS!$C$109+CROQUIS!$C$125/2)+CROQUIS!$C$125/2*SIN(2*PI()*(MIN($A20,13)-1)/12))*CROQUIS!$C$173),-1000)</f>
        <v>-1000</v>
      </c>
      <c r="CH20">
        <f>IF(AND(CROQUIS!$C$87=1,CROQUIS!$C$126&gt;=3),(50+(((3-(CROQUIS!$C$126+1)/2)*(MAX(CROQUIS!$C$118,CROQUIS!$C$125)+CROQUIS!$C$125))+CROQUIS!$C$125/2*COS(2*PI()*(MIN($A20,13)-1)/12))*CROQUIS!$C$173),-1000)</f>
        <v>-1000</v>
      </c>
      <c r="CI20">
        <f>IF(AND(CROQUIS!$C$87=1,CROQUIS!$C$126&gt;=3),(12+((CROQUIS!$C$109+CROQUIS!$C$125/2)+CROQUIS!$C$125/2*SIN(2*PI()*(MIN($A20,13)-1)/12))*CROQUIS!$C$173),-1000)</f>
        <v>-1000</v>
      </c>
      <c r="CJ20">
        <f>IF(AND(CROQUIS!$C$87=1,CROQUIS!$C$130&gt;=1),(50+(((1-(CROQUIS!$C$130+1)/2)*(MAX(CROQUIS!$C$118,CROQUIS!$C$129)+CROQUIS!$C$129))+CROQUIS!$C$129/2*COS(2*PI()*(MIN($A20,13)-1)/12))*CROQUIS!$C$173),-1000)</f>
        <v>50.6061363636364</v>
      </c>
      <c r="CK20">
        <f>IF(AND(CROQUIS!$C$87=1,CROQUIS!$C$130&gt;=1),(12+((CROQUIS!$C$108-CROQUIS!$C$117-2*CROQUIS!$C$116-CROQUIS!$C$129/2)+CROQUIS!$C$129/2*SIN(2*PI()*(MIN($A20,13)-1)/12))*CROQUIS!$C$173),-1000)</f>
        <v>31.8478636363636</v>
      </c>
      <c r="CL20">
        <f>IF(AND(CROQUIS!$C$87=1,CROQUIS!$C$130&gt;=2),(50+(((2-(CROQUIS!$C$130+1)/2)*(MAX(CROQUIS!$C$118,CROQUIS!$C$129)+CROQUIS!$C$129))+CROQUIS!$C$129/2*COS(2*PI()*(MIN($A20,13)-1)/12))*CROQUIS!$C$173),-1000)</f>
        <v>-1000</v>
      </c>
      <c r="CM20">
        <f>IF(AND(CROQUIS!$C$87=1,CROQUIS!$C$130&gt;=2),(12+((CROQUIS!$C$108-CROQUIS!$C$117-2*CROQUIS!$C$116-CROQUIS!$C$129/2)+CROQUIS!$C$129/2*SIN(2*PI()*(MIN($A20,13)-1)/12))*CROQUIS!$C$173),-1000)</f>
        <v>-1000</v>
      </c>
      <c r="CN20">
        <f>IF(AND(CROQUIS!$C$87=1,CROQUIS!$C$130&gt;=3),(50+(((3-(CROQUIS!$C$130+1)/2)*(MAX(CROQUIS!$C$118,CROQUIS!$C$129)+CROQUIS!$C$129))+CROQUIS!$C$129/2*COS(2*PI()*(MIN($A20,13)-1)/12))*CROQUIS!$C$173),-1000)</f>
        <v>-1000</v>
      </c>
      <c r="CO20">
        <f>IF(AND(CROQUIS!$C$87=1,CROQUIS!$C$130&gt;=3),(12+((CROQUIS!$C$108-CROQUIS!$C$117-2*CROQUIS!$C$116-CROQUIS!$C$129/2)+CROQUIS!$C$129/2*SIN(2*PI()*(MIN($A20,13)-1)/12))*CROQUIS!$C$173),-1000)</f>
        <v>-1000</v>
      </c>
    </row>
    <row r="21">
      <c r="A21" t="n">
        <v>14</v>
      </c>
      <c r="F21">
        <f>IF(AND(CROQUIS!$C$87=1,CROQUIS!$C$91=1),((CROQUIS!$C$156+(IF(CROQUIS!$C$92="X",IF(CROQUIS!$C$94=1,0,CROQUIS!$C$97)+IF(MOD($A21,2)=1,-CROQUIS!$C$107/2,CROQUIS!$C$107/2),(MIN($A21,41)-1)/40*CROQUIS!$C$98))*CROQUIS!$C$155)+IF(CROQUIS!$C$92="X",0,0)),-1000)</f>
        <v>-1000</v>
      </c>
      <c r="G21">
        <f>IF(AND(CROQUIS!$C$87=1,CROQUIS!$C$91=1),((CROQUIS!$C$157+(IF(CROQUIS!$C$92="X",(MIN($A21,41)-1)/40*CROQUIS!$C$98,IF(CROQUIS!$C$94=1,0,CROQUIS!$C$97)+IF(MOD($A21,2)=1,-CROQUIS!$C$107/2,CROQUIS!$C$107/2)))*CROQUIS!$C$155)+IF(CROQUIS!$C$92="X",0,0)),-1000)</f>
        <v>-1000</v>
      </c>
      <c r="T21">
        <f>IF(AND(CROQUIS!$C$88=1,CROQUIS!$C$91=1),((CROQUIS!$C$156+(IF(CROQUIS!$C$92="X",IF(CROQUIS!$C$94=1,0,CROQUIS!$C$97)+IF(MOD($A21,2)=1,-CROQUIS!$C$107/2,CROQUIS!$C$107/2),(MIN($A21,41)-1)/40*CROQUIS!$C$98))*CROQUIS!$C$155)+IF(CROQUIS!$C$92="X",0,0)),-1000)</f>
        <v>-1000</v>
      </c>
      <c r="U21">
        <f>IF(AND(CROQUIS!$C$88=1,CROQUIS!$C$91=1),((CROQUIS!$C$157+(IF(CROQUIS!$C$92="X",(MIN($A21,41)-1)/40*CROQUIS!$C$98,IF(CROQUIS!$C$94=1,0,CROQUIS!$C$97)+IF(MOD($A21,2)=1,-CROQUIS!$C$107/2,CROQUIS!$C$107/2)))*CROQUIS!$C$155)+IF(CROQUIS!$C$92="X",0,0)),-1000)</f>
        <v>-1000</v>
      </c>
      <c r="AF21">
        <f>IF(AND(CROQUIS!$C$87=1,CROQUIS!$C$158&gt;0,CROQUIS!$C$160&gt;0),(CROQUIS!$C$156+((CROQUIS!$C$159+INT(MIN(INT(($A21-1)/2),MAX((2*CROQUIS!$C$158)-1,0))/2)*CROQUIS!$C$113+MOD(MIN(INT(($A21-1)/2),MAX((2*CROQUIS!$C$158)-1,0)),2)*CROQUIS!$C$112))*CROQUIS!$C$155),-1000)</f>
        <v>50.8585630366019</v>
      </c>
      <c r="AG21">
        <f>IF(AND(CROQUIS!$C$87=1,CROQUIS!$C$158&gt;0,CROQUIS!$C$160&gt;0),(CROQUIS!$C$157+(IF(MOD(MIN(INT(($A21-1)/2),MAX((2*CROQUIS!$C$158)-1,0)),2)=0,IF(IF(INT(($A21-1)/2)&gt;MAX((2*CROQUIS!$C$158)-1,0),1,MOD($A21-1,2))=0,CROQUIS!$C$161,(CROQUIS!$C$161+CROQUIS!$C$160*CROQUIS!$C$113-CROQUIS!$C$111)),IF(IF(INT(($A21-1)/2)&gt;MAX((2*CROQUIS!$C$158)-1,0),1,MOD($A21-1,2))=0,(CROQUIS!$C$161+CROQUIS!$C$160*CROQUIS!$C$113-CROQUIS!$C$111),CROQUIS!$C$161)))*CROQUIS!$C$155),-1000)</f>
        <v>79.1911432444645</v>
      </c>
      <c r="AH21">
        <f>IF(AND(CROQUIS!$C$87=1,CROQUIS!$C$160&gt;0,CROQUIS!$C$158&gt;0),(CROQUIS!$C$156+(IF(MOD(MIN(INT(($A21-1)/2),MAX((2*CROQUIS!$C$160)-1,0)),2)=0,IF(IF(INT(($A21-1)/2)&gt;MAX((2*CROQUIS!$C$160)-1,0),1,MOD($A21-1,2))=0,CROQUIS!$C$159,(CROQUIS!$C$159+CROQUIS!$C$158*CROQUIS!$C$113-CROQUIS!$C$111)),IF(IF(INT(($A21-1)/2)&gt;MAX((2*CROQUIS!$C$160)-1,0),1,MOD($A21-1,2))=0,(CROQUIS!$C$159+CROQUIS!$C$158*CROQUIS!$C$113-CROQUIS!$C$111),CROQUIS!$C$159)))*CROQUIS!$C$155),-1000)</f>
        <v>85.2010845006778</v>
      </c>
      <c r="AI21">
        <f>IF(AND(CROQUIS!$C$87=1,CROQUIS!$C$160&gt;0,CROQUIS!$C$158&gt;0),(CROQUIS!$C$157+((CROQUIS!$C$161+INT(MIN(INT(($A21-1)/2),MAX((2*CROQUIS!$C$160)-1,0))/2)*CROQUIS!$C$113+MOD(MIN(INT(($A21-1)/2),MAX((2*CROQUIS!$C$160)-1,0)),2)*CROQUIS!$C$112))*CROQUIS!$C$155),-1000)</f>
        <v>56.8685042928152</v>
      </c>
      <c r="AJ21">
        <f>IF(AND(CROQUIS!$C$87=1,CROQUIS!$C$158&gt;=2),(CROQUIS!$C$156+((CROQUIS!$C$159+CROQUIS!$C$112+CROQUIS!$C$111/2+MIN(INT(($A21-1)/2),MAX((CROQUIS!$C$158-1)-1,0))*CROQUIS!$C$113))*CROQUIS!$C$155),-1000)</f>
        <v>74.0397650248531</v>
      </c>
      <c r="AK21">
        <f>IF(AND(CROQUIS!$C$87=1,CROQUIS!$C$158&gt;=2),(CROQUIS!$C$157+(IF(MOD(MIN(INT(($A21-1)/2),MAX((CROQUIS!$C$158-1)-1,0)),2)=0,IF(IF(INT(($A21-1)/2)&gt;MAX((CROQUIS!$C$158-1)-1,0),1,MOD($A21-1,2))=0,CROQUIS!$C$107/2,(CROQUIS!$C$96-CROQUIS!$C$107/2)),IF(IF(INT(($A21-1)/2)&gt;MAX((CROQUIS!$C$158-1)-1,0),1,MOD($A21-1,2))=0,(CROQUIS!$C$96-CROQUIS!$C$107/2),CROQUIS!$C$107/2)))*CROQUIS!$C$155),-1000)</f>
        <v>83.0546769091731</v>
      </c>
      <c r="AL21">
        <f>IF(AND(CROQUIS!$C$87=1,CROQUIS!$C$160&gt;=2),(CROQUIS!$C$156+(IF(MOD(MIN(INT(($A21-1)/2),MAX((CROQUIS!$C$160-1)-1,0)),2)=0,IF(IF(INT(($A21-1)/2)&gt;MAX((CROQUIS!$C$160-1)-1,0),1,MOD($A21-1,2))=0,CROQUIS!$C$107/2,(CROQUIS!$C$95-CROQUIS!$C$107/2)),IF(IF(INT(($A21-1)/2)&gt;MAX((CROQUIS!$C$160-1)-1,0),1,MOD($A21-1,2))=0,(CROQUIS!$C$95-CROQUIS!$C$107/2),CROQUIS!$C$107/2)))*CROQUIS!$C$155),-1000)</f>
        <v>13.2878445549028</v>
      </c>
      <c r="AM21">
        <f>IF(AND(CROQUIS!$C$87=1,CROQUIS!$C$160&gt;=2),(CROQUIS!$C$157+((CROQUIS!$C$161+CROQUIS!$C$112+CROQUIS!$C$111/2+MIN(INT(($A21-1)/2),MAX((CROQUIS!$C$160-1)-1,0))*CROQUIS!$C$113))*CROQUIS!$C$155),-1000)</f>
        <v>68.0298237686399</v>
      </c>
      <c r="BH21">
        <f>IF(AND(CROQUIS!$C$88=1,CROQUIS!$C$126&gt;0),((CROQUIS!$C$156+(IF(CROQUIS!$C$92="X",CHOOSE(IF(INT(($A21-1)/5)&gt;MAX((MIN(80,MAX(1,INT(((CROQUIS!$C$98)-CROQUIS!$C$107)/MAX(CROQUIS!$C$126,1))+1)))-1,0),0,MOD($A21-1,5))+1,0,2,CROQUIS!$C$97-2,2,0),((CROQUIS!$C$107/2+(((CROQUIS!$C$98)-CROQUIS!$C$107)-(MIN(80,MAX(1,INT(((CROQUIS!$C$98)-CROQUIS!$C$107)/MAX(CROQUIS!$C$126,1))+1))-1)*CROQUIS!$C$126)/2)+MIN(INT(($A21-1)/5),MAX((MIN(80,MAX(1,INT(((CROQUIS!$C$98)-CROQUIS!$C$107)/MAX(CROQUIS!$C$126,1))+1)))-1,0))*CROQUIS!$C$126)))*CROQUIS!$C$155)+IF(CROQUIS!$C$92="X",0,0)),-1000)</f>
        <v>-1000</v>
      </c>
      <c r="BI21">
        <f>IF(AND(CROQUIS!$C$88=1,CROQUIS!$C$126&gt;0),((CROQUIS!$C$157+(IF(CROQUIS!$C$92="X",((CROQUIS!$C$107/2+(((CROQUIS!$C$98)-CROQUIS!$C$107)-(MIN(80,MAX(1,INT(((CROQUIS!$C$98)-CROQUIS!$C$107)/MAX(CROQUIS!$C$126,1))+1))-1)*CROQUIS!$C$126)/2)+MIN(INT(($A21-1)/5),MAX((MIN(80,MAX(1,INT(((CROQUIS!$C$98)-CROQUIS!$C$107)/MAX(CROQUIS!$C$126,1))+1)))-1,0))*CROQUIS!$C$126),CHOOSE(IF(INT(($A21-1)/5)&gt;MAX((MIN(80,MAX(1,INT(((CROQUIS!$C$98)-CROQUIS!$C$107)/MAX(CROQUIS!$C$126,1))+1)))-1,0),0,MOD($A21-1,5))+1,0,2,CROQUIS!$C$97-2,2,0)))*CROQUIS!$C$155)+IF(CROQUIS!$C$92="X",0,0)),-1000)</f>
        <v>-1000</v>
      </c>
      <c r="BJ21">
        <f>IF(AND(CROQUIS!$C$88=1,CROQUIS!$C$134&gt;0),((CROQUIS!$C$156+(IF(CROQUIS!$C$92="X",((CROQUIS!$C$107/2+(((CROQUIS!$C$97)-CROQUIS!$C$107)-(MIN(80,MAX(1,INT(((CROQUIS!$C$97)-CROQUIS!$C$107)/MAX(CROQUIS!$C$134,1))+1))-1)*CROQUIS!$C$134)/2)+MIN(INT(($A21-1)/5),MAX((MIN(80,MAX(1,INT(((CROQUIS!$C$97)-CROQUIS!$C$107)/MAX(CROQUIS!$C$134,1))+1)))-1,0))*CROQUIS!$C$134),CHOOSE(IF(INT(($A21-1)/5)&gt;MAX((MIN(80,MAX(1,INT(((CROQUIS!$C$97)-CROQUIS!$C$107)/MAX(CROQUIS!$C$134,1))+1)))-1,0),0,MOD($A21-1,5))+1,0,2,CROQUIS!$C$98-2,2,0)))*CROQUIS!$C$155)+IF(CROQUIS!$C$92="X",0,0)),-1000)</f>
        <v>-1000</v>
      </c>
      <c r="BK21">
        <f>IF(AND(CROQUIS!$C$88=1,CROQUIS!$C$134&gt;0),((CROQUIS!$C$157+(IF(CROQUIS!$C$92="X",CHOOSE(IF(INT(($A21-1)/5)&gt;MAX((MIN(80,MAX(1,INT(((CROQUIS!$C$97)-CROQUIS!$C$107)/MAX(CROQUIS!$C$134,1))+1)))-1,0),0,MOD($A21-1,5))+1,0,2,CROQUIS!$C$98-2,2,0),((CROQUIS!$C$107/2+(((CROQUIS!$C$97)-CROQUIS!$C$107)-(MIN(80,MAX(1,INT(((CROQUIS!$C$97)-CROQUIS!$C$107)/MAX(CROQUIS!$C$134,1))+1))-1)*CROQUIS!$C$134)/2)+MIN(INT(($A21-1)/5),MAX((MIN(80,MAX(1,INT(((CROQUIS!$C$97)-CROQUIS!$C$107)/MAX(CROQUIS!$C$134,1))+1)))-1,0))*CROQUIS!$C$134)))*CROQUIS!$C$155)+IF(CROQUIS!$C$92="X",0,0)),-1000)</f>
        <v>-1000</v>
      </c>
      <c r="BL21">
        <f>IF(AND(CROQUIS!$C$88=1,CROQUIS!$C$91=0,CROQUIS!$C$130&gt;0,OR(CROQUIS!$C$103=1,CROQUIS!$C$142=1)),((CROQUIS!$C$156+(IF(CROQUIS!$C$92="X",CHOOSE(IF(INT(($A21-1)/5)&gt;MAX((MIN(80,MAX(1,INT(((CROQUIS!$C$98)-CROQUIS!$C$107)/MAX(CROQUIS!$C$130,1))+1)))-1,0),0,MOD($A21-1,5))+1,0,IF(CROQUIS!$C$103=1,-12,2),CROQUIS!$C$107/2+CROQUIS!$C$140,IF(CROQUIS!$C$103=1,-12,2),0),((CROQUIS!$C$107/2+(((CROQUIS!$C$98)-CROQUIS!$C$107)-(MIN(80,MAX(1,INT(((CROQUIS!$C$98)-CROQUIS!$C$107)/MAX(CROQUIS!$C$130,1))+1))-1)*CROQUIS!$C$130)/2)+MIN(INT(($A21-1)/5),MAX((MIN(80,MAX(1,INT(((CROQUIS!$C$98)-CROQUIS!$C$107)/MAX(CROQUIS!$C$130,1))+1)))-1,0))*CROQUIS!$C$130)))*CROQUIS!$C$155)+IF(CROQUIS!$C$92="X",0,0)),-1000)</f>
        <v>-1000</v>
      </c>
      <c r="BM2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21-1)/5),MAX((MIN(80,MAX(1,INT(((CROQUIS!$C$98)-CROQUIS!$C$107)/MAX(CROQUIS!$C$130,1))+1)))-1,0))*CROQUIS!$C$130),CHOOSE(IF(INT(($A21-1)/5)&gt;MAX((MIN(80,MAX(1,INT(((CROQUIS!$C$98)-CROQUIS!$C$107)/MAX(CROQUIS!$C$130,1))+1)))-1,0),0,MOD($A21-1,5))+1,0,IF(CROQUIS!$C$103=1,-12,2),CROQUIS!$C$107/2+CROQUIS!$C$140,IF(CROQUIS!$C$103=1,-12,2),0)))*CROQUIS!$C$155)+IF(CROQUIS!$C$92="X",0,0)),-1000)</f>
        <v>-1000</v>
      </c>
      <c r="BN21">
        <f>IF(AND(CROQUIS!$C$88=1,CROQUIS!$C$91=0,CROQUIS!$C$130&gt;0,OR(CROQUIS!$C$104=1,CROQUIS!$C$142=1)),((CROQUIS!$C$156+(IF(CROQUIS!$C$92="X",CHOOSE(IF(INT(($A21-1)/5)&gt;MAX((MIN(80,MAX(1,INT(((CROQUIS!$C$98)-CROQUIS!$C$107)/MAX(CROQUIS!$C$130,1))+1)))-1,0),0,MOD($A21-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21-1)/5),MAX((MIN(80,MAX(1,INT(((CROQUIS!$C$98)-CROQUIS!$C$107)/MAX(CROQUIS!$C$130,1))+1)))-1,0))*CROQUIS!$C$130)))*CROQUIS!$C$155)+IF(CROQUIS!$C$92="X",0,0)),-1000)</f>
        <v>-1000</v>
      </c>
      <c r="BO2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21-1)/5),MAX((MIN(80,MAX(1,INT(((CROQUIS!$C$98)-CROQUIS!$C$107)/MAX(CROQUIS!$C$130,1))+1)))-1,0))*CROQUIS!$C$130),CHOOSE(IF(INT(($A21-1)/5)&gt;MAX((MIN(80,MAX(1,INT(((CROQUIS!$C$98)-CROQUIS!$C$107)/MAX(CROQUIS!$C$130,1))+1)))-1,0),0,MOD($A21-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21-1)/5),MAX((MIN(80,MAX(1,INT(((CROQUIS!$C$97)-CROQUIS!$C$107)/MAX(CROQUIS!$C$138,1))+1)))-1,0))*CROQUIS!$C$138),CHOOSE(IF(INT(($A21-1)/5)&gt;MAX((MIN(80,MAX(1,INT(((CROQUIS!$C$97)-CROQUIS!$C$107)/MAX(CROQUIS!$C$138,1))+1)))-1,0),0,MOD($A21-1,5))+1,0,IF(CROQUIS!$C$105=1,-12,2),CROQUIS!$C$107/2+CROQUIS!$C$141,IF(CROQUIS!$C$105=1,-12,2),0)))*CROQUIS!$C$155)+IF(CROQUIS!$C$92="X",0,0)),-1000)</f>
        <v>-1000</v>
      </c>
      <c r="BQ21">
        <f>IF(AND(CROQUIS!$C$88=1,CROQUIS!$C$91=0,CROQUIS!$C$138&gt;0,OR(CROQUIS!$C$105=1,CROQUIS!$C$143=1)),((CROQUIS!$C$157+(IF(CROQUIS!$C$92="X",CHOOSE(IF(INT(($A21-1)/5)&gt;MAX((MIN(80,MAX(1,INT(((CROQUIS!$C$97)-CROQUIS!$C$107)/MAX(CROQUIS!$C$138,1))+1)))-1,0),0,MOD($A21-1,5))+1,0,IF(CROQUIS!$C$105=1,-12,2),CROQUIS!$C$107/2+CROQUIS!$C$141,IF(CROQUIS!$C$105=1,-12,2),0),((CROQUIS!$C$107/2+(((CROQUIS!$C$97)-CROQUIS!$C$107)-(MIN(80,MAX(1,INT(((CROQUIS!$C$97)-CROQUIS!$C$107)/MAX(CROQUIS!$C$138,1))+1))-1)*CROQUIS!$C$138)/2)+MIN(INT(($A21-1)/5),MAX((MIN(80,MAX(1,INT(((CROQUIS!$C$97)-CROQUIS!$C$107)/MAX(CROQUIS!$C$138,1))+1)))-1,0))*CROQUIS!$C$138)))*CROQUIS!$C$155)+IF(CROQUIS!$C$92="X",0,0)),-1000)</f>
        <v>-1000</v>
      </c>
      <c r="BR2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21-1)/5),MAX((MIN(80,MAX(1,INT(((CROQUIS!$C$97)-CROQUIS!$C$107)/MAX(CROQUIS!$C$138,1))+1)))-1,0))*CROQUIS!$C$138),CHOOSE(IF(INT(($A21-1)/5)&gt;MAX((MIN(80,MAX(1,INT(((CROQUIS!$C$97)-CROQUIS!$C$107)/MAX(CROQUIS!$C$138,1))+1)))-1,0),0,MOD($A21-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1">
        <f>IF(AND(CROQUIS!$C$88=1,CROQUIS!$C$91=0,CROQUIS!$C$138&gt;0,OR(CROQUIS!$C$106=1,CROQUIS!$C$143=1)),((CROQUIS!$C$157+(IF(CROQUIS!$C$92="X",CHOOSE(IF(INT(($A21-1)/5)&gt;MAX((MIN(80,MAX(1,INT(((CROQUIS!$C$97)-CROQUIS!$C$107)/MAX(CROQUIS!$C$138,1))+1)))-1,0),0,MOD($A21-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21-1)/5),MAX((MIN(80,MAX(1,INT(((CROQUIS!$C$97)-CROQUIS!$C$107)/MAX(CROQUIS!$C$138,1))+1)))-1,0))*CROQUIS!$C$138)))*CROQUIS!$C$155)+IF(CROQUIS!$C$92="X",0,0)),-1000)</f>
        <v>-1000</v>
      </c>
      <c r="BT21">
        <f>IF(AND(CROQUIS!$C$88=1,CROQUIS!$C$91=1,CROQUIS!$C$130&gt;0),((CROQUIS!$C$156+(IF(CROQUIS!$C$92="X",CHOOSE(IF(INT(($A21-1)/5)&gt;MAX((MIN(80,MAX(1,INT(((CROQUIS!$C$98)-CROQUIS!$C$107)/MAX(CROQUIS!$C$130,1))+1)))-1,0),0,MOD($A21-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21-1)/5),MAX((MIN(80,MAX(1,INT(((CROQUIS!$C$98)-CROQUIS!$C$107)/MAX(CROQUIS!$C$130,1))+1)))-1,0))*CROQUIS!$C$130)))*CROQUIS!$C$155)+IF(CROQUIS!$C$92="X",0,0)),-1000)</f>
        <v>-1000</v>
      </c>
      <c r="BU21">
        <f>IF(AND(CROQUIS!$C$88=1,CROQUIS!$C$91=1,CROQUIS!$C$130&gt;0),((CROQUIS!$C$157+(IF(CROQUIS!$C$92="X",((CROQUIS!$C$107/2+(((CROQUIS!$C$98)-CROQUIS!$C$107)-(MIN(80,MAX(1,INT(((CROQUIS!$C$98)-CROQUIS!$C$107)/MAX(CROQUIS!$C$130,1))+1))-1)*CROQUIS!$C$130)/2)+MIN(INT(($A21-1)/5),MAX((MIN(80,MAX(1,INT(((CROQUIS!$C$98)-CROQUIS!$C$107)/MAX(CROQUIS!$C$130,1))+1)))-1,0))*CROQUIS!$C$130),CHOOSE(IF(INT(($A21-1)/5)&gt;MAX((MIN(80,MAX(1,INT(((CROQUIS!$C$98)-CROQUIS!$C$107)/MAX(CROQUIS!$C$130,1))+1)))-1,0),0,MOD($A21-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2">
      <c r="A22" t="n">
        <v>15</v>
      </c>
      <c r="F22">
        <f>IF(AND(CROQUIS!$C$87=1,CROQUIS!$C$91=1),((CROQUIS!$C$156+(IF(CROQUIS!$C$92="X",IF(CROQUIS!$C$94=1,0,CROQUIS!$C$97)+IF(MOD($A22,2)=1,-CROQUIS!$C$107/2,CROQUIS!$C$107/2),(MIN($A22,41)-1)/40*CROQUIS!$C$98))*CROQUIS!$C$155)+IF(CROQUIS!$C$92="X",0,0)),-1000)</f>
        <v>-1000</v>
      </c>
      <c r="G22">
        <f>IF(AND(CROQUIS!$C$87=1,CROQUIS!$C$91=1),((CROQUIS!$C$157+(IF(CROQUIS!$C$92="X",(MIN($A22,41)-1)/40*CROQUIS!$C$98,IF(CROQUIS!$C$94=1,0,CROQUIS!$C$97)+IF(MOD($A22,2)=1,-CROQUIS!$C$107/2,CROQUIS!$C$107/2)))*CROQUIS!$C$155)+IF(CROQUIS!$C$92="X",0,0)),-1000)</f>
        <v>-1000</v>
      </c>
      <c r="T22">
        <f>IF(AND(CROQUIS!$C$88=1,CROQUIS!$C$91=1),((CROQUIS!$C$156+(IF(CROQUIS!$C$92="X",IF(CROQUIS!$C$94=1,0,CROQUIS!$C$97)+IF(MOD($A22,2)=1,-CROQUIS!$C$107/2,CROQUIS!$C$107/2),(MIN($A22,41)-1)/40*CROQUIS!$C$98))*CROQUIS!$C$155)+IF(CROQUIS!$C$92="X",0,0)),-1000)</f>
        <v>-1000</v>
      </c>
      <c r="U22">
        <f>IF(AND(CROQUIS!$C$88=1,CROQUIS!$C$91=1),((CROQUIS!$C$157+(IF(CROQUIS!$C$92="X",(MIN($A22,41)-1)/40*CROQUIS!$C$98,IF(CROQUIS!$C$94=1,0,CROQUIS!$C$97)+IF(MOD($A22,2)=1,-CROQUIS!$C$107/2,CROQUIS!$C$107/2)))*CROQUIS!$C$155)+IF(CROQUIS!$C$92="X",0,0)),-1000)</f>
        <v>-1000</v>
      </c>
      <c r="AF22">
        <f>IF(AND(CROQUIS!$C$87=1,CROQUIS!$C$158&gt;0,CROQUIS!$C$160&gt;0),(CROQUIS!$C$156+((CROQUIS!$C$159+INT(MIN(INT(($A22-1)/2),MAX((2*CROQUIS!$C$158)-1,0))/2)*CROQUIS!$C$113+MOD(MIN(INT(($A22-1)/2),MAX((2*CROQUIS!$C$158)-1,0)),2)*CROQUIS!$C$112))*CROQUIS!$C$155),-1000)</f>
        <v>61.1613194758247</v>
      </c>
      <c r="AG22">
        <f>IF(AND(CROQUIS!$C$87=1,CROQUIS!$C$158&gt;0,CROQUIS!$C$160&gt;0),(CROQUIS!$C$157+(IF(MOD(MIN(INT(($A22-1)/2),MAX((2*CROQUIS!$C$158)-1,0)),2)=0,IF(IF(INT(($A22-1)/2)&gt;MAX((2*CROQUIS!$C$158)-1,0),1,MOD($A22-1,2))=0,CROQUIS!$C$161,(CROQUIS!$C$161+CROQUIS!$C$160*CROQUIS!$C$113-CROQUIS!$C$111)),IF(IF(INT(($A22-1)/2)&gt;MAX((2*CROQUIS!$C$158)-1,0),1,MOD($A22-1,2))=0,(CROQUIS!$C$161+CROQUIS!$C$160*CROQUIS!$C$113-CROQUIS!$C$111),CROQUIS!$C$161)))*CROQUIS!$C$155),-1000)</f>
        <v>79.1911432444645</v>
      </c>
      <c r="AH22">
        <f>IF(AND(CROQUIS!$C$87=1,CROQUIS!$C$160&gt;0,CROQUIS!$C$158&gt;0),(CROQUIS!$C$156+(IF(MOD(MIN(INT(($A22-1)/2),MAX((2*CROQUIS!$C$160)-1,0)),2)=0,IF(IF(INT(($A22-1)/2)&gt;MAX((2*CROQUIS!$C$160)-1,0),1,MOD($A22-1,2))=0,CROQUIS!$C$159,(CROQUIS!$C$159+CROQUIS!$C$158*CROQUIS!$C$113-CROQUIS!$C$111)),IF(IF(INT(($A22-1)/2)&gt;MAX((2*CROQUIS!$C$160)-1,0),1,MOD($A22-1,2))=0,(CROQUIS!$C$159+CROQUIS!$C$158*CROQUIS!$C$113-CROQUIS!$C$111),CROQUIS!$C$159)))*CROQUIS!$C$155),-1000)</f>
        <v>85.2010845006778</v>
      </c>
      <c r="AI22">
        <f>IF(AND(CROQUIS!$C$87=1,CROQUIS!$C$160&gt;0,CROQUIS!$C$158&gt;0),(CROQUIS!$C$157+((CROQUIS!$C$161+INT(MIN(INT(($A22-1)/2),MAX((2*CROQUIS!$C$160)-1,0))/2)*CROQUIS!$C$113+MOD(MIN(INT(($A22-1)/2),MAX((2*CROQUIS!$C$160)-1,0)),2)*CROQUIS!$C$112))*CROQUIS!$C$155),-1000)</f>
        <v>67.171260732038</v>
      </c>
      <c r="AJ22">
        <f>IF(AND(CROQUIS!$C$87=1,CROQUIS!$C$158&gt;=2),(CROQUIS!$C$156+((CROQUIS!$C$159+CROQUIS!$C$112+CROQUIS!$C$111/2+MIN(INT(($A22-1)/2),MAX((CROQUIS!$C$158-1)-1,0))*CROQUIS!$C$113))*CROQUIS!$C$155),-1000)</f>
        <v>74.0397650248531</v>
      </c>
      <c r="AK22">
        <f>IF(AND(CROQUIS!$C$87=1,CROQUIS!$C$158&gt;=2),(CROQUIS!$C$157+(IF(MOD(MIN(INT(($A22-1)/2),MAX((CROQUIS!$C$158-1)-1,0)),2)=0,IF(IF(INT(($A22-1)/2)&gt;MAX((CROQUIS!$C$158-1)-1,0),1,MOD($A22-1,2))=0,CROQUIS!$C$107/2,(CROQUIS!$C$96-CROQUIS!$C$107/2)),IF(IF(INT(($A22-1)/2)&gt;MAX((CROQUIS!$C$158-1)-1,0),1,MOD($A22-1,2))=0,(CROQUIS!$C$96-CROQUIS!$C$107/2),CROQUIS!$C$107/2)))*CROQUIS!$C$155),-1000)</f>
        <v>83.0546769091731</v>
      </c>
      <c r="AL22">
        <f>IF(AND(CROQUIS!$C$87=1,CROQUIS!$C$160&gt;=2),(CROQUIS!$C$156+(IF(MOD(MIN(INT(($A22-1)/2),MAX((CROQUIS!$C$160-1)-1,0)),2)=0,IF(IF(INT(($A22-1)/2)&gt;MAX((CROQUIS!$C$160-1)-1,0),1,MOD($A22-1,2))=0,CROQUIS!$C$107/2,(CROQUIS!$C$95-CROQUIS!$C$107/2)),IF(IF(INT(($A22-1)/2)&gt;MAX((CROQUIS!$C$160-1)-1,0),1,MOD($A22-1,2))=0,(CROQUIS!$C$95-CROQUIS!$C$107/2),CROQUIS!$C$107/2)))*CROQUIS!$C$155),-1000)</f>
        <v>13.2878445549028</v>
      </c>
      <c r="AM22">
        <f>IF(AND(CROQUIS!$C$87=1,CROQUIS!$C$160&gt;=2),(CROQUIS!$C$157+((CROQUIS!$C$161+CROQUIS!$C$112+CROQUIS!$C$111/2+MIN(INT(($A22-1)/2),MAX((CROQUIS!$C$160-1)-1,0))*CROQUIS!$C$113))*CROQUIS!$C$155),-1000)</f>
        <v>68.0298237686399</v>
      </c>
      <c r="BH22">
        <f>IF(AND(CROQUIS!$C$88=1,CROQUIS!$C$126&gt;0),((CROQUIS!$C$156+(IF(CROQUIS!$C$92="X",CHOOSE(IF(INT(($A22-1)/5)&gt;MAX((MIN(80,MAX(1,INT(((CROQUIS!$C$98)-CROQUIS!$C$107)/MAX(CROQUIS!$C$126,1))+1)))-1,0),0,MOD($A22-1,5))+1,0,2,CROQUIS!$C$97-2,2,0),((CROQUIS!$C$107/2+(((CROQUIS!$C$98)-CROQUIS!$C$107)-(MIN(80,MAX(1,INT(((CROQUIS!$C$98)-CROQUIS!$C$107)/MAX(CROQUIS!$C$126,1))+1))-1)*CROQUIS!$C$126)/2)+MIN(INT(($A22-1)/5),MAX((MIN(80,MAX(1,INT(((CROQUIS!$C$98)-CROQUIS!$C$107)/MAX(CROQUIS!$C$126,1))+1)))-1,0))*CROQUIS!$C$126)))*CROQUIS!$C$155)+IF(CROQUIS!$C$92="X",0,0)),-1000)</f>
        <v>-1000</v>
      </c>
      <c r="BI22">
        <f>IF(AND(CROQUIS!$C$88=1,CROQUIS!$C$126&gt;0),((CROQUIS!$C$157+(IF(CROQUIS!$C$92="X",((CROQUIS!$C$107/2+(((CROQUIS!$C$98)-CROQUIS!$C$107)-(MIN(80,MAX(1,INT(((CROQUIS!$C$98)-CROQUIS!$C$107)/MAX(CROQUIS!$C$126,1))+1))-1)*CROQUIS!$C$126)/2)+MIN(INT(($A22-1)/5),MAX((MIN(80,MAX(1,INT(((CROQUIS!$C$98)-CROQUIS!$C$107)/MAX(CROQUIS!$C$126,1))+1)))-1,0))*CROQUIS!$C$126),CHOOSE(IF(INT(($A22-1)/5)&gt;MAX((MIN(80,MAX(1,INT(((CROQUIS!$C$98)-CROQUIS!$C$107)/MAX(CROQUIS!$C$126,1))+1)))-1,0),0,MOD($A22-1,5))+1,0,2,CROQUIS!$C$97-2,2,0)))*CROQUIS!$C$155)+IF(CROQUIS!$C$92="X",0,0)),-1000)</f>
        <v>-1000</v>
      </c>
      <c r="BJ22">
        <f>IF(AND(CROQUIS!$C$88=1,CROQUIS!$C$134&gt;0),((CROQUIS!$C$156+(IF(CROQUIS!$C$92="X",((CROQUIS!$C$107/2+(((CROQUIS!$C$97)-CROQUIS!$C$107)-(MIN(80,MAX(1,INT(((CROQUIS!$C$97)-CROQUIS!$C$107)/MAX(CROQUIS!$C$134,1))+1))-1)*CROQUIS!$C$134)/2)+MIN(INT(($A22-1)/5),MAX((MIN(80,MAX(1,INT(((CROQUIS!$C$97)-CROQUIS!$C$107)/MAX(CROQUIS!$C$134,1))+1)))-1,0))*CROQUIS!$C$134),CHOOSE(IF(INT(($A22-1)/5)&gt;MAX((MIN(80,MAX(1,INT(((CROQUIS!$C$97)-CROQUIS!$C$107)/MAX(CROQUIS!$C$134,1))+1)))-1,0),0,MOD($A22-1,5))+1,0,2,CROQUIS!$C$98-2,2,0)))*CROQUIS!$C$155)+IF(CROQUIS!$C$92="X",0,0)),-1000)</f>
        <v>-1000</v>
      </c>
      <c r="BK22">
        <f>IF(AND(CROQUIS!$C$88=1,CROQUIS!$C$134&gt;0),((CROQUIS!$C$157+(IF(CROQUIS!$C$92="X",CHOOSE(IF(INT(($A22-1)/5)&gt;MAX((MIN(80,MAX(1,INT(((CROQUIS!$C$97)-CROQUIS!$C$107)/MAX(CROQUIS!$C$134,1))+1)))-1,0),0,MOD($A22-1,5))+1,0,2,CROQUIS!$C$98-2,2,0),((CROQUIS!$C$107/2+(((CROQUIS!$C$97)-CROQUIS!$C$107)-(MIN(80,MAX(1,INT(((CROQUIS!$C$97)-CROQUIS!$C$107)/MAX(CROQUIS!$C$134,1))+1))-1)*CROQUIS!$C$134)/2)+MIN(INT(($A22-1)/5),MAX((MIN(80,MAX(1,INT(((CROQUIS!$C$97)-CROQUIS!$C$107)/MAX(CROQUIS!$C$134,1))+1)))-1,0))*CROQUIS!$C$134)))*CROQUIS!$C$155)+IF(CROQUIS!$C$92="X",0,0)),-1000)</f>
        <v>-1000</v>
      </c>
      <c r="BL22">
        <f>IF(AND(CROQUIS!$C$88=1,CROQUIS!$C$91=0,CROQUIS!$C$130&gt;0,OR(CROQUIS!$C$103=1,CROQUIS!$C$142=1)),((CROQUIS!$C$156+(IF(CROQUIS!$C$92="X",CHOOSE(IF(INT(($A22-1)/5)&gt;MAX((MIN(80,MAX(1,INT(((CROQUIS!$C$98)-CROQUIS!$C$107)/MAX(CROQUIS!$C$130,1))+1)))-1,0),0,MOD($A22-1,5))+1,0,IF(CROQUIS!$C$103=1,-12,2),CROQUIS!$C$107/2+CROQUIS!$C$140,IF(CROQUIS!$C$103=1,-12,2),0),((CROQUIS!$C$107/2+(((CROQUIS!$C$98)-CROQUIS!$C$107)-(MIN(80,MAX(1,INT(((CROQUIS!$C$98)-CROQUIS!$C$107)/MAX(CROQUIS!$C$130,1))+1))-1)*CROQUIS!$C$130)/2)+MIN(INT(($A22-1)/5),MAX((MIN(80,MAX(1,INT(((CROQUIS!$C$98)-CROQUIS!$C$107)/MAX(CROQUIS!$C$130,1))+1)))-1,0))*CROQUIS!$C$130)))*CROQUIS!$C$155)+IF(CROQUIS!$C$92="X",0,0)),-1000)</f>
        <v>-1000</v>
      </c>
      <c r="BM2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22-1)/5),MAX((MIN(80,MAX(1,INT(((CROQUIS!$C$98)-CROQUIS!$C$107)/MAX(CROQUIS!$C$130,1))+1)))-1,0))*CROQUIS!$C$130),CHOOSE(IF(INT(($A22-1)/5)&gt;MAX((MIN(80,MAX(1,INT(((CROQUIS!$C$98)-CROQUIS!$C$107)/MAX(CROQUIS!$C$130,1))+1)))-1,0),0,MOD($A22-1,5))+1,0,IF(CROQUIS!$C$103=1,-12,2),CROQUIS!$C$107/2+CROQUIS!$C$140,IF(CROQUIS!$C$103=1,-12,2),0)))*CROQUIS!$C$155)+IF(CROQUIS!$C$92="X",0,0)),-1000)</f>
        <v>-1000</v>
      </c>
      <c r="BN22">
        <f>IF(AND(CROQUIS!$C$88=1,CROQUIS!$C$91=0,CROQUIS!$C$130&gt;0,OR(CROQUIS!$C$104=1,CROQUIS!$C$142=1)),((CROQUIS!$C$156+(IF(CROQUIS!$C$92="X",CHOOSE(IF(INT(($A22-1)/5)&gt;MAX((MIN(80,MAX(1,INT(((CROQUIS!$C$98)-CROQUIS!$C$107)/MAX(CROQUIS!$C$130,1))+1)))-1,0),0,MOD($A22-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22-1)/5),MAX((MIN(80,MAX(1,INT(((CROQUIS!$C$98)-CROQUIS!$C$107)/MAX(CROQUIS!$C$130,1))+1)))-1,0))*CROQUIS!$C$130)))*CROQUIS!$C$155)+IF(CROQUIS!$C$92="X",0,0)),-1000)</f>
        <v>-1000</v>
      </c>
      <c r="BO2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22-1)/5),MAX((MIN(80,MAX(1,INT(((CROQUIS!$C$98)-CROQUIS!$C$107)/MAX(CROQUIS!$C$130,1))+1)))-1,0))*CROQUIS!$C$130),CHOOSE(IF(INT(($A22-1)/5)&gt;MAX((MIN(80,MAX(1,INT(((CROQUIS!$C$98)-CROQUIS!$C$107)/MAX(CROQUIS!$C$130,1))+1)))-1,0),0,MOD($A22-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22-1)/5),MAX((MIN(80,MAX(1,INT(((CROQUIS!$C$97)-CROQUIS!$C$107)/MAX(CROQUIS!$C$138,1))+1)))-1,0))*CROQUIS!$C$138),CHOOSE(IF(INT(($A22-1)/5)&gt;MAX((MIN(80,MAX(1,INT(((CROQUIS!$C$97)-CROQUIS!$C$107)/MAX(CROQUIS!$C$138,1))+1)))-1,0),0,MOD($A22-1,5))+1,0,IF(CROQUIS!$C$105=1,-12,2),CROQUIS!$C$107/2+CROQUIS!$C$141,IF(CROQUIS!$C$105=1,-12,2),0)))*CROQUIS!$C$155)+IF(CROQUIS!$C$92="X",0,0)),-1000)</f>
        <v>-1000</v>
      </c>
      <c r="BQ22">
        <f>IF(AND(CROQUIS!$C$88=1,CROQUIS!$C$91=0,CROQUIS!$C$138&gt;0,OR(CROQUIS!$C$105=1,CROQUIS!$C$143=1)),((CROQUIS!$C$157+(IF(CROQUIS!$C$92="X",CHOOSE(IF(INT(($A22-1)/5)&gt;MAX((MIN(80,MAX(1,INT(((CROQUIS!$C$97)-CROQUIS!$C$107)/MAX(CROQUIS!$C$138,1))+1)))-1,0),0,MOD($A22-1,5))+1,0,IF(CROQUIS!$C$105=1,-12,2),CROQUIS!$C$107/2+CROQUIS!$C$141,IF(CROQUIS!$C$105=1,-12,2),0),((CROQUIS!$C$107/2+(((CROQUIS!$C$97)-CROQUIS!$C$107)-(MIN(80,MAX(1,INT(((CROQUIS!$C$97)-CROQUIS!$C$107)/MAX(CROQUIS!$C$138,1))+1))-1)*CROQUIS!$C$138)/2)+MIN(INT(($A22-1)/5),MAX((MIN(80,MAX(1,INT(((CROQUIS!$C$97)-CROQUIS!$C$107)/MAX(CROQUIS!$C$138,1))+1)))-1,0))*CROQUIS!$C$138)))*CROQUIS!$C$155)+IF(CROQUIS!$C$92="X",0,0)),-1000)</f>
        <v>-1000</v>
      </c>
      <c r="BR2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22-1)/5),MAX((MIN(80,MAX(1,INT(((CROQUIS!$C$97)-CROQUIS!$C$107)/MAX(CROQUIS!$C$138,1))+1)))-1,0))*CROQUIS!$C$138),CHOOSE(IF(INT(($A22-1)/5)&gt;MAX((MIN(80,MAX(1,INT(((CROQUIS!$C$97)-CROQUIS!$C$107)/MAX(CROQUIS!$C$138,1))+1)))-1,0),0,MOD($A22-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2">
        <f>IF(AND(CROQUIS!$C$88=1,CROQUIS!$C$91=0,CROQUIS!$C$138&gt;0,OR(CROQUIS!$C$106=1,CROQUIS!$C$143=1)),((CROQUIS!$C$157+(IF(CROQUIS!$C$92="X",CHOOSE(IF(INT(($A22-1)/5)&gt;MAX((MIN(80,MAX(1,INT(((CROQUIS!$C$97)-CROQUIS!$C$107)/MAX(CROQUIS!$C$138,1))+1)))-1,0),0,MOD($A22-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22-1)/5),MAX((MIN(80,MAX(1,INT(((CROQUIS!$C$97)-CROQUIS!$C$107)/MAX(CROQUIS!$C$138,1))+1)))-1,0))*CROQUIS!$C$138)))*CROQUIS!$C$155)+IF(CROQUIS!$C$92="X",0,0)),-1000)</f>
        <v>-1000</v>
      </c>
      <c r="BT22">
        <f>IF(AND(CROQUIS!$C$88=1,CROQUIS!$C$91=1,CROQUIS!$C$130&gt;0),((CROQUIS!$C$156+(IF(CROQUIS!$C$92="X",CHOOSE(IF(INT(($A22-1)/5)&gt;MAX((MIN(80,MAX(1,INT(((CROQUIS!$C$98)-CROQUIS!$C$107)/MAX(CROQUIS!$C$130,1))+1)))-1,0),0,MOD($A22-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22-1)/5),MAX((MIN(80,MAX(1,INT(((CROQUIS!$C$98)-CROQUIS!$C$107)/MAX(CROQUIS!$C$130,1))+1)))-1,0))*CROQUIS!$C$130)))*CROQUIS!$C$155)+IF(CROQUIS!$C$92="X",0,0)),-1000)</f>
        <v>-1000</v>
      </c>
      <c r="BU22">
        <f>IF(AND(CROQUIS!$C$88=1,CROQUIS!$C$91=1,CROQUIS!$C$130&gt;0),((CROQUIS!$C$157+(IF(CROQUIS!$C$92="X",((CROQUIS!$C$107/2+(((CROQUIS!$C$98)-CROQUIS!$C$107)-(MIN(80,MAX(1,INT(((CROQUIS!$C$98)-CROQUIS!$C$107)/MAX(CROQUIS!$C$130,1))+1))-1)*CROQUIS!$C$130)/2)+MIN(INT(($A22-1)/5),MAX((MIN(80,MAX(1,INT(((CROQUIS!$C$98)-CROQUIS!$C$107)/MAX(CROQUIS!$C$130,1))+1)))-1,0))*CROQUIS!$C$130),CHOOSE(IF(INT(($A22-1)/5)&gt;MAX((MIN(80,MAX(1,INT(((CROQUIS!$C$98)-CROQUIS!$C$107)/MAX(CROQUIS!$C$130,1))+1)))-1,0),0,MOD($A22-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3">
      <c r="A23" t="n">
        <v>16</v>
      </c>
      <c r="F23">
        <f>IF(AND(CROQUIS!$C$87=1,CROQUIS!$C$91=1),((CROQUIS!$C$156+(IF(CROQUIS!$C$92="X",IF(CROQUIS!$C$94=1,0,CROQUIS!$C$97)+IF(MOD($A23,2)=1,-CROQUIS!$C$107/2,CROQUIS!$C$107/2),(MIN($A23,41)-1)/40*CROQUIS!$C$98))*CROQUIS!$C$155)+IF(CROQUIS!$C$92="X",0,0)),-1000)</f>
        <v>-1000</v>
      </c>
      <c r="G23">
        <f>IF(AND(CROQUIS!$C$87=1,CROQUIS!$C$91=1),((CROQUIS!$C$157+(IF(CROQUIS!$C$92="X",(MIN($A23,41)-1)/40*CROQUIS!$C$98,IF(CROQUIS!$C$94=1,0,CROQUIS!$C$97)+IF(MOD($A23,2)=1,-CROQUIS!$C$107/2,CROQUIS!$C$107/2)))*CROQUIS!$C$155)+IF(CROQUIS!$C$92="X",0,0)),-1000)</f>
        <v>-1000</v>
      </c>
      <c r="T23">
        <f>IF(AND(CROQUIS!$C$88=1,CROQUIS!$C$91=1),((CROQUIS!$C$156+(IF(CROQUIS!$C$92="X",IF(CROQUIS!$C$94=1,0,CROQUIS!$C$97)+IF(MOD($A23,2)=1,-CROQUIS!$C$107/2,CROQUIS!$C$107/2),(MIN($A23,41)-1)/40*CROQUIS!$C$98))*CROQUIS!$C$155)+IF(CROQUIS!$C$92="X",0,0)),-1000)</f>
        <v>-1000</v>
      </c>
      <c r="U23">
        <f>IF(AND(CROQUIS!$C$88=1,CROQUIS!$C$91=1),((CROQUIS!$C$157+(IF(CROQUIS!$C$92="X",(MIN($A23,41)-1)/40*CROQUIS!$C$98,IF(CROQUIS!$C$94=1,0,CROQUIS!$C$97)+IF(MOD($A23,2)=1,-CROQUIS!$C$107/2,CROQUIS!$C$107/2)))*CROQUIS!$C$155)+IF(CROQUIS!$C$92="X",0,0)),-1000)</f>
        <v>-1000</v>
      </c>
      <c r="AF23">
        <f>IF(AND(CROQUIS!$C$87=1,CROQUIS!$C$158&gt;0,CROQUIS!$C$160&gt;0),(CROQUIS!$C$156+((CROQUIS!$C$159+INT(MIN(INT(($A23-1)/2),MAX((2*CROQUIS!$C$158)-1,0))/2)*CROQUIS!$C$113+MOD(MIN(INT(($A23-1)/2),MAX((2*CROQUIS!$C$158)-1,0)),2)*CROQUIS!$C$112))*CROQUIS!$C$155),-1000)</f>
        <v>61.1613194758247</v>
      </c>
      <c r="AG23">
        <f>IF(AND(CROQUIS!$C$87=1,CROQUIS!$C$158&gt;0,CROQUIS!$C$160&gt;0),(CROQUIS!$C$157+(IF(MOD(MIN(INT(($A23-1)/2),MAX((2*CROQUIS!$C$158)-1,0)),2)=0,IF(IF(INT(($A23-1)/2)&gt;MAX((2*CROQUIS!$C$158)-1,0),1,MOD($A23-1,2))=0,CROQUIS!$C$161,(CROQUIS!$C$161+CROQUIS!$C$160*CROQUIS!$C$113-CROQUIS!$C$111)),IF(IF(INT(($A23-1)/2)&gt;MAX((2*CROQUIS!$C$158)-1,0),1,MOD($A23-1,2))=0,(CROQUIS!$C$161+CROQUIS!$C$160*CROQUIS!$C$113-CROQUIS!$C$111),CROQUIS!$C$161)))*CROQUIS!$C$155),-1000)</f>
        <v>20.8088567555355</v>
      </c>
      <c r="AH23">
        <f>IF(AND(CROQUIS!$C$87=1,CROQUIS!$C$160&gt;0,CROQUIS!$C$158&gt;0),(CROQUIS!$C$156+(IF(MOD(MIN(INT(($A23-1)/2),MAX((2*CROQUIS!$C$160)-1,0)),2)=0,IF(IF(INT(($A23-1)/2)&gt;MAX((2*CROQUIS!$C$160)-1,0),1,MOD($A23-1,2))=0,CROQUIS!$C$159,(CROQUIS!$C$159+CROQUIS!$C$158*CROQUIS!$C$113-CROQUIS!$C$111)),IF(IF(INT(($A23-1)/2)&gt;MAX((2*CROQUIS!$C$160)-1,0),1,MOD($A23-1,2))=0,(CROQUIS!$C$159+CROQUIS!$C$158*CROQUIS!$C$113-CROQUIS!$C$111),CROQUIS!$C$159)))*CROQUIS!$C$155),-1000)</f>
        <v>14.7989154993222</v>
      </c>
      <c r="AI23">
        <f>IF(AND(CROQUIS!$C$87=1,CROQUIS!$C$160&gt;0,CROQUIS!$C$158&gt;0),(CROQUIS!$C$157+((CROQUIS!$C$161+INT(MIN(INT(($A23-1)/2),MAX((2*CROQUIS!$C$160)-1,0))/2)*CROQUIS!$C$113+MOD(MIN(INT(($A23-1)/2),MAX((2*CROQUIS!$C$160)-1,0)),2)*CROQUIS!$C$112))*CROQUIS!$C$155),-1000)</f>
        <v>67.171260732038</v>
      </c>
      <c r="AJ23">
        <f>IF(AND(CROQUIS!$C$87=1,CROQUIS!$C$158&gt;=2),(CROQUIS!$C$156+((CROQUIS!$C$159+CROQUIS!$C$112+CROQUIS!$C$111/2+MIN(INT(($A23-1)/2),MAX((CROQUIS!$C$158-1)-1,0))*CROQUIS!$C$113))*CROQUIS!$C$155),-1000)</f>
        <v>74.0397650248531</v>
      </c>
      <c r="AK23">
        <f>IF(AND(CROQUIS!$C$87=1,CROQUIS!$C$158&gt;=2),(CROQUIS!$C$157+(IF(MOD(MIN(INT(($A23-1)/2),MAX((CROQUIS!$C$158-1)-1,0)),2)=0,IF(IF(INT(($A23-1)/2)&gt;MAX((CROQUIS!$C$158-1)-1,0),1,MOD($A23-1,2))=0,CROQUIS!$C$107/2,(CROQUIS!$C$96-CROQUIS!$C$107/2)),IF(IF(INT(($A23-1)/2)&gt;MAX((CROQUIS!$C$158-1)-1,0),1,MOD($A23-1,2))=0,(CROQUIS!$C$96-CROQUIS!$C$107/2),CROQUIS!$C$107/2)))*CROQUIS!$C$155),-1000)</f>
        <v>83.0546769091731</v>
      </c>
      <c r="AL23">
        <f>IF(AND(CROQUIS!$C$87=1,CROQUIS!$C$160&gt;=2),(CROQUIS!$C$156+(IF(MOD(MIN(INT(($A23-1)/2),MAX((CROQUIS!$C$160-1)-1,0)),2)=0,IF(IF(INT(($A23-1)/2)&gt;MAX((CROQUIS!$C$160-1)-1,0),1,MOD($A23-1,2))=0,CROQUIS!$C$107/2,(CROQUIS!$C$95-CROQUIS!$C$107/2)),IF(IF(INT(($A23-1)/2)&gt;MAX((CROQUIS!$C$160-1)-1,0),1,MOD($A23-1,2))=0,(CROQUIS!$C$95-CROQUIS!$C$107/2),CROQUIS!$C$107/2)))*CROQUIS!$C$155),-1000)</f>
        <v>13.2878445549028</v>
      </c>
      <c r="AM23">
        <f>IF(AND(CROQUIS!$C$87=1,CROQUIS!$C$160&gt;=2),(CROQUIS!$C$157+((CROQUIS!$C$161+CROQUIS!$C$112+CROQUIS!$C$111/2+MIN(INT(($A23-1)/2),MAX((CROQUIS!$C$160-1)-1,0))*CROQUIS!$C$113))*CROQUIS!$C$155),-1000)</f>
        <v>68.0298237686399</v>
      </c>
      <c r="BH23">
        <f>IF(AND(CROQUIS!$C$88=1,CROQUIS!$C$126&gt;0),((CROQUIS!$C$156+(IF(CROQUIS!$C$92="X",CHOOSE(IF(INT(($A23-1)/5)&gt;MAX((MIN(80,MAX(1,INT(((CROQUIS!$C$98)-CROQUIS!$C$107)/MAX(CROQUIS!$C$126,1))+1)))-1,0),0,MOD($A23-1,5))+1,0,2,CROQUIS!$C$97-2,2,0),((CROQUIS!$C$107/2+(((CROQUIS!$C$98)-CROQUIS!$C$107)-(MIN(80,MAX(1,INT(((CROQUIS!$C$98)-CROQUIS!$C$107)/MAX(CROQUIS!$C$126,1))+1))-1)*CROQUIS!$C$126)/2)+MIN(INT(($A23-1)/5),MAX((MIN(80,MAX(1,INT(((CROQUIS!$C$98)-CROQUIS!$C$107)/MAX(CROQUIS!$C$126,1))+1)))-1,0))*CROQUIS!$C$126)))*CROQUIS!$C$155)+IF(CROQUIS!$C$92="X",0,0)),-1000)</f>
        <v>-1000</v>
      </c>
      <c r="BI23">
        <f>IF(AND(CROQUIS!$C$88=1,CROQUIS!$C$126&gt;0),((CROQUIS!$C$157+(IF(CROQUIS!$C$92="X",((CROQUIS!$C$107/2+(((CROQUIS!$C$98)-CROQUIS!$C$107)-(MIN(80,MAX(1,INT(((CROQUIS!$C$98)-CROQUIS!$C$107)/MAX(CROQUIS!$C$126,1))+1))-1)*CROQUIS!$C$126)/2)+MIN(INT(($A23-1)/5),MAX((MIN(80,MAX(1,INT(((CROQUIS!$C$98)-CROQUIS!$C$107)/MAX(CROQUIS!$C$126,1))+1)))-1,0))*CROQUIS!$C$126),CHOOSE(IF(INT(($A23-1)/5)&gt;MAX((MIN(80,MAX(1,INT(((CROQUIS!$C$98)-CROQUIS!$C$107)/MAX(CROQUIS!$C$126,1))+1)))-1,0),0,MOD($A23-1,5))+1,0,2,CROQUIS!$C$97-2,2,0)))*CROQUIS!$C$155)+IF(CROQUIS!$C$92="X",0,0)),-1000)</f>
        <v>-1000</v>
      </c>
      <c r="BJ23">
        <f>IF(AND(CROQUIS!$C$88=1,CROQUIS!$C$134&gt;0),((CROQUIS!$C$156+(IF(CROQUIS!$C$92="X",((CROQUIS!$C$107/2+(((CROQUIS!$C$97)-CROQUIS!$C$107)-(MIN(80,MAX(1,INT(((CROQUIS!$C$97)-CROQUIS!$C$107)/MAX(CROQUIS!$C$134,1))+1))-1)*CROQUIS!$C$134)/2)+MIN(INT(($A23-1)/5),MAX((MIN(80,MAX(1,INT(((CROQUIS!$C$97)-CROQUIS!$C$107)/MAX(CROQUIS!$C$134,1))+1)))-1,0))*CROQUIS!$C$134),CHOOSE(IF(INT(($A23-1)/5)&gt;MAX((MIN(80,MAX(1,INT(((CROQUIS!$C$97)-CROQUIS!$C$107)/MAX(CROQUIS!$C$134,1))+1)))-1,0),0,MOD($A23-1,5))+1,0,2,CROQUIS!$C$98-2,2,0)))*CROQUIS!$C$155)+IF(CROQUIS!$C$92="X",0,0)),-1000)</f>
        <v>-1000</v>
      </c>
      <c r="BK23">
        <f>IF(AND(CROQUIS!$C$88=1,CROQUIS!$C$134&gt;0),((CROQUIS!$C$157+(IF(CROQUIS!$C$92="X",CHOOSE(IF(INT(($A23-1)/5)&gt;MAX((MIN(80,MAX(1,INT(((CROQUIS!$C$97)-CROQUIS!$C$107)/MAX(CROQUIS!$C$134,1))+1)))-1,0),0,MOD($A23-1,5))+1,0,2,CROQUIS!$C$98-2,2,0),((CROQUIS!$C$107/2+(((CROQUIS!$C$97)-CROQUIS!$C$107)-(MIN(80,MAX(1,INT(((CROQUIS!$C$97)-CROQUIS!$C$107)/MAX(CROQUIS!$C$134,1))+1))-1)*CROQUIS!$C$134)/2)+MIN(INT(($A23-1)/5),MAX((MIN(80,MAX(1,INT(((CROQUIS!$C$97)-CROQUIS!$C$107)/MAX(CROQUIS!$C$134,1))+1)))-1,0))*CROQUIS!$C$134)))*CROQUIS!$C$155)+IF(CROQUIS!$C$92="X",0,0)),-1000)</f>
        <v>-1000</v>
      </c>
      <c r="BL23">
        <f>IF(AND(CROQUIS!$C$88=1,CROQUIS!$C$91=0,CROQUIS!$C$130&gt;0,OR(CROQUIS!$C$103=1,CROQUIS!$C$142=1)),((CROQUIS!$C$156+(IF(CROQUIS!$C$92="X",CHOOSE(IF(INT(($A23-1)/5)&gt;MAX((MIN(80,MAX(1,INT(((CROQUIS!$C$98)-CROQUIS!$C$107)/MAX(CROQUIS!$C$130,1))+1)))-1,0),0,MOD($A23-1,5))+1,0,IF(CROQUIS!$C$103=1,-12,2),CROQUIS!$C$107/2+CROQUIS!$C$140,IF(CROQUIS!$C$103=1,-12,2),0),((CROQUIS!$C$107/2+(((CROQUIS!$C$98)-CROQUIS!$C$107)-(MIN(80,MAX(1,INT(((CROQUIS!$C$98)-CROQUIS!$C$107)/MAX(CROQUIS!$C$130,1))+1))-1)*CROQUIS!$C$130)/2)+MIN(INT(($A23-1)/5),MAX((MIN(80,MAX(1,INT(((CROQUIS!$C$98)-CROQUIS!$C$107)/MAX(CROQUIS!$C$130,1))+1)))-1,0))*CROQUIS!$C$130)))*CROQUIS!$C$155)+IF(CROQUIS!$C$92="X",0,0)),-1000)</f>
        <v>-1000</v>
      </c>
      <c r="BM2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23-1)/5),MAX((MIN(80,MAX(1,INT(((CROQUIS!$C$98)-CROQUIS!$C$107)/MAX(CROQUIS!$C$130,1))+1)))-1,0))*CROQUIS!$C$130),CHOOSE(IF(INT(($A23-1)/5)&gt;MAX((MIN(80,MAX(1,INT(((CROQUIS!$C$98)-CROQUIS!$C$107)/MAX(CROQUIS!$C$130,1))+1)))-1,0),0,MOD($A23-1,5))+1,0,IF(CROQUIS!$C$103=1,-12,2),CROQUIS!$C$107/2+CROQUIS!$C$140,IF(CROQUIS!$C$103=1,-12,2),0)))*CROQUIS!$C$155)+IF(CROQUIS!$C$92="X",0,0)),-1000)</f>
        <v>-1000</v>
      </c>
      <c r="BN23">
        <f>IF(AND(CROQUIS!$C$88=1,CROQUIS!$C$91=0,CROQUIS!$C$130&gt;0,OR(CROQUIS!$C$104=1,CROQUIS!$C$142=1)),((CROQUIS!$C$156+(IF(CROQUIS!$C$92="X",CHOOSE(IF(INT(($A23-1)/5)&gt;MAX((MIN(80,MAX(1,INT(((CROQUIS!$C$98)-CROQUIS!$C$107)/MAX(CROQUIS!$C$130,1))+1)))-1,0),0,MOD($A23-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23-1)/5),MAX((MIN(80,MAX(1,INT(((CROQUIS!$C$98)-CROQUIS!$C$107)/MAX(CROQUIS!$C$130,1))+1)))-1,0))*CROQUIS!$C$130)))*CROQUIS!$C$155)+IF(CROQUIS!$C$92="X",0,0)),-1000)</f>
        <v>-1000</v>
      </c>
      <c r="BO2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23-1)/5),MAX((MIN(80,MAX(1,INT(((CROQUIS!$C$98)-CROQUIS!$C$107)/MAX(CROQUIS!$C$130,1))+1)))-1,0))*CROQUIS!$C$130),CHOOSE(IF(INT(($A23-1)/5)&gt;MAX((MIN(80,MAX(1,INT(((CROQUIS!$C$98)-CROQUIS!$C$107)/MAX(CROQUIS!$C$130,1))+1)))-1,0),0,MOD($A23-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23-1)/5),MAX((MIN(80,MAX(1,INT(((CROQUIS!$C$97)-CROQUIS!$C$107)/MAX(CROQUIS!$C$138,1))+1)))-1,0))*CROQUIS!$C$138),CHOOSE(IF(INT(($A23-1)/5)&gt;MAX((MIN(80,MAX(1,INT(((CROQUIS!$C$97)-CROQUIS!$C$107)/MAX(CROQUIS!$C$138,1))+1)))-1,0),0,MOD($A23-1,5))+1,0,IF(CROQUIS!$C$105=1,-12,2),CROQUIS!$C$107/2+CROQUIS!$C$141,IF(CROQUIS!$C$105=1,-12,2),0)))*CROQUIS!$C$155)+IF(CROQUIS!$C$92="X",0,0)),-1000)</f>
        <v>-1000</v>
      </c>
      <c r="BQ23">
        <f>IF(AND(CROQUIS!$C$88=1,CROQUIS!$C$91=0,CROQUIS!$C$138&gt;0,OR(CROQUIS!$C$105=1,CROQUIS!$C$143=1)),((CROQUIS!$C$157+(IF(CROQUIS!$C$92="X",CHOOSE(IF(INT(($A23-1)/5)&gt;MAX((MIN(80,MAX(1,INT(((CROQUIS!$C$97)-CROQUIS!$C$107)/MAX(CROQUIS!$C$138,1))+1)))-1,0),0,MOD($A23-1,5))+1,0,IF(CROQUIS!$C$105=1,-12,2),CROQUIS!$C$107/2+CROQUIS!$C$141,IF(CROQUIS!$C$105=1,-12,2),0),((CROQUIS!$C$107/2+(((CROQUIS!$C$97)-CROQUIS!$C$107)-(MIN(80,MAX(1,INT(((CROQUIS!$C$97)-CROQUIS!$C$107)/MAX(CROQUIS!$C$138,1))+1))-1)*CROQUIS!$C$138)/2)+MIN(INT(($A23-1)/5),MAX((MIN(80,MAX(1,INT(((CROQUIS!$C$97)-CROQUIS!$C$107)/MAX(CROQUIS!$C$138,1))+1)))-1,0))*CROQUIS!$C$138)))*CROQUIS!$C$155)+IF(CROQUIS!$C$92="X",0,0)),-1000)</f>
        <v>-1000</v>
      </c>
      <c r="BR2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23-1)/5),MAX((MIN(80,MAX(1,INT(((CROQUIS!$C$97)-CROQUIS!$C$107)/MAX(CROQUIS!$C$138,1))+1)))-1,0))*CROQUIS!$C$138),CHOOSE(IF(INT(($A23-1)/5)&gt;MAX((MIN(80,MAX(1,INT(((CROQUIS!$C$97)-CROQUIS!$C$107)/MAX(CROQUIS!$C$138,1))+1)))-1,0),0,MOD($A23-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3">
        <f>IF(AND(CROQUIS!$C$88=1,CROQUIS!$C$91=0,CROQUIS!$C$138&gt;0,OR(CROQUIS!$C$106=1,CROQUIS!$C$143=1)),((CROQUIS!$C$157+(IF(CROQUIS!$C$92="X",CHOOSE(IF(INT(($A23-1)/5)&gt;MAX((MIN(80,MAX(1,INT(((CROQUIS!$C$97)-CROQUIS!$C$107)/MAX(CROQUIS!$C$138,1))+1)))-1,0),0,MOD($A23-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23-1)/5),MAX((MIN(80,MAX(1,INT(((CROQUIS!$C$97)-CROQUIS!$C$107)/MAX(CROQUIS!$C$138,1))+1)))-1,0))*CROQUIS!$C$138)))*CROQUIS!$C$155)+IF(CROQUIS!$C$92="X",0,0)),-1000)</f>
        <v>-1000</v>
      </c>
      <c r="BT23">
        <f>IF(AND(CROQUIS!$C$88=1,CROQUIS!$C$91=1,CROQUIS!$C$130&gt;0),((CROQUIS!$C$156+(IF(CROQUIS!$C$92="X",CHOOSE(IF(INT(($A23-1)/5)&gt;MAX((MIN(80,MAX(1,INT(((CROQUIS!$C$98)-CROQUIS!$C$107)/MAX(CROQUIS!$C$130,1))+1)))-1,0),0,MOD($A23-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23-1)/5),MAX((MIN(80,MAX(1,INT(((CROQUIS!$C$98)-CROQUIS!$C$107)/MAX(CROQUIS!$C$130,1))+1)))-1,0))*CROQUIS!$C$130)))*CROQUIS!$C$155)+IF(CROQUIS!$C$92="X",0,0)),-1000)</f>
        <v>-1000</v>
      </c>
      <c r="BU23">
        <f>IF(AND(CROQUIS!$C$88=1,CROQUIS!$C$91=1,CROQUIS!$C$130&gt;0),((CROQUIS!$C$157+(IF(CROQUIS!$C$92="X",((CROQUIS!$C$107/2+(((CROQUIS!$C$98)-CROQUIS!$C$107)-(MIN(80,MAX(1,INT(((CROQUIS!$C$98)-CROQUIS!$C$107)/MAX(CROQUIS!$C$130,1))+1))-1)*CROQUIS!$C$130)/2)+MIN(INT(($A23-1)/5),MAX((MIN(80,MAX(1,INT(((CROQUIS!$C$98)-CROQUIS!$C$107)/MAX(CROQUIS!$C$130,1))+1)))-1,0))*CROQUIS!$C$130),CHOOSE(IF(INT(($A23-1)/5)&gt;MAX((MIN(80,MAX(1,INT(((CROQUIS!$C$98)-CROQUIS!$C$107)/MAX(CROQUIS!$C$130,1))+1)))-1,0),0,MOD($A23-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4">
      <c r="A24" t="n">
        <v>17</v>
      </c>
      <c r="F24">
        <f>IF(AND(CROQUIS!$C$87=1,CROQUIS!$C$91=1),((CROQUIS!$C$156+(IF(CROQUIS!$C$92="X",IF(CROQUIS!$C$94=1,0,CROQUIS!$C$97)+IF(MOD($A24,2)=1,-CROQUIS!$C$107/2,CROQUIS!$C$107/2),(MIN($A24,41)-1)/40*CROQUIS!$C$98))*CROQUIS!$C$155)+IF(CROQUIS!$C$92="X",0,0)),-1000)</f>
        <v>-1000</v>
      </c>
      <c r="G24">
        <f>IF(AND(CROQUIS!$C$87=1,CROQUIS!$C$91=1),((CROQUIS!$C$157+(IF(CROQUIS!$C$92="X",(MIN($A24,41)-1)/40*CROQUIS!$C$98,IF(CROQUIS!$C$94=1,0,CROQUIS!$C$97)+IF(MOD($A24,2)=1,-CROQUIS!$C$107/2,CROQUIS!$C$107/2)))*CROQUIS!$C$155)+IF(CROQUIS!$C$92="X",0,0)),-1000)</f>
        <v>-1000</v>
      </c>
      <c r="T24">
        <f>IF(AND(CROQUIS!$C$88=1,CROQUIS!$C$91=1),((CROQUIS!$C$156+(IF(CROQUIS!$C$92="X",IF(CROQUIS!$C$94=1,0,CROQUIS!$C$97)+IF(MOD($A24,2)=1,-CROQUIS!$C$107/2,CROQUIS!$C$107/2),(MIN($A24,41)-1)/40*CROQUIS!$C$98))*CROQUIS!$C$155)+IF(CROQUIS!$C$92="X",0,0)),-1000)</f>
        <v>-1000</v>
      </c>
      <c r="U24">
        <f>IF(AND(CROQUIS!$C$88=1,CROQUIS!$C$91=1),((CROQUIS!$C$157+(IF(CROQUIS!$C$92="X",(MIN($A24,41)-1)/40*CROQUIS!$C$98,IF(CROQUIS!$C$94=1,0,CROQUIS!$C$97)+IF(MOD($A24,2)=1,-CROQUIS!$C$107/2,CROQUIS!$C$107/2)))*CROQUIS!$C$155)+IF(CROQUIS!$C$92="X",0,0)),-1000)</f>
        <v>-1000</v>
      </c>
      <c r="AF24">
        <f>IF(AND(CROQUIS!$C$87=1,CROQUIS!$C$158&gt;0,CROQUIS!$C$160&gt;0),(CROQUIS!$C$156+((CROQUIS!$C$159+INT(MIN(INT(($A24-1)/2),MAX((2*CROQUIS!$C$158)-1,0))/2)*CROQUIS!$C$113+MOD(MIN(INT(($A24-1)/2),MAX((2*CROQUIS!$C$158)-1,0)),2)*CROQUIS!$C$112))*CROQUIS!$C$155),-1000)</f>
        <v>62.8784455490285</v>
      </c>
      <c r="AG24">
        <f>IF(AND(CROQUIS!$C$87=1,CROQUIS!$C$158&gt;0,CROQUIS!$C$160&gt;0),(CROQUIS!$C$157+(IF(MOD(MIN(INT(($A24-1)/2),MAX((2*CROQUIS!$C$158)-1,0)),2)=0,IF(IF(INT(($A24-1)/2)&gt;MAX((2*CROQUIS!$C$158)-1,0),1,MOD($A24-1,2))=0,CROQUIS!$C$161,(CROQUIS!$C$161+CROQUIS!$C$160*CROQUIS!$C$113-CROQUIS!$C$111)),IF(IF(INT(($A24-1)/2)&gt;MAX((2*CROQUIS!$C$158)-1,0),1,MOD($A24-1,2))=0,(CROQUIS!$C$161+CROQUIS!$C$160*CROQUIS!$C$113-CROQUIS!$C$111),CROQUIS!$C$161)))*CROQUIS!$C$155),-1000)</f>
        <v>20.8088567555355</v>
      </c>
      <c r="AH24">
        <f>IF(AND(CROQUIS!$C$87=1,CROQUIS!$C$160&gt;0,CROQUIS!$C$158&gt;0),(CROQUIS!$C$156+(IF(MOD(MIN(INT(($A24-1)/2),MAX((2*CROQUIS!$C$160)-1,0)),2)=0,IF(IF(INT(($A24-1)/2)&gt;MAX((2*CROQUIS!$C$160)-1,0),1,MOD($A24-1,2))=0,CROQUIS!$C$159,(CROQUIS!$C$159+CROQUIS!$C$158*CROQUIS!$C$113-CROQUIS!$C$111)),IF(IF(INT(($A24-1)/2)&gt;MAX((2*CROQUIS!$C$160)-1,0),1,MOD($A24-1,2))=0,(CROQUIS!$C$159+CROQUIS!$C$158*CROQUIS!$C$113-CROQUIS!$C$111),CROQUIS!$C$159)))*CROQUIS!$C$155),-1000)</f>
        <v>14.7989154993222</v>
      </c>
      <c r="AI24">
        <f>IF(AND(CROQUIS!$C$87=1,CROQUIS!$C$160&gt;0,CROQUIS!$C$158&gt;0),(CROQUIS!$C$157+((CROQUIS!$C$161+INT(MIN(INT(($A24-1)/2),MAX((2*CROQUIS!$C$160)-1,0))/2)*CROQUIS!$C$113+MOD(MIN(INT(($A24-1)/2),MAX((2*CROQUIS!$C$160)-1,0)),2)*CROQUIS!$C$112))*CROQUIS!$C$155),-1000)</f>
        <v>68.8883868052418</v>
      </c>
      <c r="AJ24">
        <f>IF(AND(CROQUIS!$C$87=1,CROQUIS!$C$158&gt;=2),(CROQUIS!$C$156+((CROQUIS!$C$159+CROQUIS!$C$112+CROQUIS!$C$111/2+MIN(INT(($A24-1)/2),MAX((CROQUIS!$C$158-1)-1,0))*CROQUIS!$C$113))*CROQUIS!$C$155),-1000)</f>
        <v>74.0397650248531</v>
      </c>
      <c r="AK24">
        <f>IF(AND(CROQUIS!$C$87=1,CROQUIS!$C$158&gt;=2),(CROQUIS!$C$157+(IF(MOD(MIN(INT(($A24-1)/2),MAX((CROQUIS!$C$158-1)-1,0)),2)=0,IF(IF(INT(($A24-1)/2)&gt;MAX((CROQUIS!$C$158-1)-1,0),1,MOD($A24-1,2))=0,CROQUIS!$C$107/2,(CROQUIS!$C$96-CROQUIS!$C$107/2)),IF(IF(INT(($A24-1)/2)&gt;MAX((CROQUIS!$C$158-1)-1,0),1,MOD($A24-1,2))=0,(CROQUIS!$C$96-CROQUIS!$C$107/2),CROQUIS!$C$107/2)))*CROQUIS!$C$155),-1000)</f>
        <v>83.0546769091731</v>
      </c>
      <c r="AL24">
        <f>IF(AND(CROQUIS!$C$87=1,CROQUIS!$C$160&gt;=2),(CROQUIS!$C$156+(IF(MOD(MIN(INT(($A24-1)/2),MAX((CROQUIS!$C$160-1)-1,0)),2)=0,IF(IF(INT(($A24-1)/2)&gt;MAX((CROQUIS!$C$160-1)-1,0),1,MOD($A24-1,2))=0,CROQUIS!$C$107/2,(CROQUIS!$C$95-CROQUIS!$C$107/2)),IF(IF(INT(($A24-1)/2)&gt;MAX((CROQUIS!$C$160-1)-1,0),1,MOD($A24-1,2))=0,(CROQUIS!$C$95-CROQUIS!$C$107/2),CROQUIS!$C$107/2)))*CROQUIS!$C$155),-1000)</f>
        <v>13.2878445549028</v>
      </c>
      <c r="AM24">
        <f>IF(AND(CROQUIS!$C$87=1,CROQUIS!$C$160&gt;=2),(CROQUIS!$C$157+((CROQUIS!$C$161+CROQUIS!$C$112+CROQUIS!$C$111/2+MIN(INT(($A24-1)/2),MAX((CROQUIS!$C$160-1)-1,0))*CROQUIS!$C$113))*CROQUIS!$C$155),-1000)</f>
        <v>68.0298237686399</v>
      </c>
      <c r="BH24">
        <f>IF(AND(CROQUIS!$C$88=1,CROQUIS!$C$126&gt;0),((CROQUIS!$C$156+(IF(CROQUIS!$C$92="X",CHOOSE(IF(INT(($A24-1)/5)&gt;MAX((MIN(80,MAX(1,INT(((CROQUIS!$C$98)-CROQUIS!$C$107)/MAX(CROQUIS!$C$126,1))+1)))-1,0),0,MOD($A24-1,5))+1,0,2,CROQUIS!$C$97-2,2,0),((CROQUIS!$C$107/2+(((CROQUIS!$C$98)-CROQUIS!$C$107)-(MIN(80,MAX(1,INT(((CROQUIS!$C$98)-CROQUIS!$C$107)/MAX(CROQUIS!$C$126,1))+1))-1)*CROQUIS!$C$126)/2)+MIN(INT(($A24-1)/5),MAX((MIN(80,MAX(1,INT(((CROQUIS!$C$98)-CROQUIS!$C$107)/MAX(CROQUIS!$C$126,1))+1)))-1,0))*CROQUIS!$C$126)))*CROQUIS!$C$155)+IF(CROQUIS!$C$92="X",0,0)),-1000)</f>
        <v>-1000</v>
      </c>
      <c r="BI24">
        <f>IF(AND(CROQUIS!$C$88=1,CROQUIS!$C$126&gt;0),((CROQUIS!$C$157+(IF(CROQUIS!$C$92="X",((CROQUIS!$C$107/2+(((CROQUIS!$C$98)-CROQUIS!$C$107)-(MIN(80,MAX(1,INT(((CROQUIS!$C$98)-CROQUIS!$C$107)/MAX(CROQUIS!$C$126,1))+1))-1)*CROQUIS!$C$126)/2)+MIN(INT(($A24-1)/5),MAX((MIN(80,MAX(1,INT(((CROQUIS!$C$98)-CROQUIS!$C$107)/MAX(CROQUIS!$C$126,1))+1)))-1,0))*CROQUIS!$C$126),CHOOSE(IF(INT(($A24-1)/5)&gt;MAX((MIN(80,MAX(1,INT(((CROQUIS!$C$98)-CROQUIS!$C$107)/MAX(CROQUIS!$C$126,1))+1)))-1,0),0,MOD($A24-1,5))+1,0,2,CROQUIS!$C$97-2,2,0)))*CROQUIS!$C$155)+IF(CROQUIS!$C$92="X",0,0)),-1000)</f>
        <v>-1000</v>
      </c>
      <c r="BJ24">
        <f>IF(AND(CROQUIS!$C$88=1,CROQUIS!$C$134&gt;0),((CROQUIS!$C$156+(IF(CROQUIS!$C$92="X",((CROQUIS!$C$107/2+(((CROQUIS!$C$97)-CROQUIS!$C$107)-(MIN(80,MAX(1,INT(((CROQUIS!$C$97)-CROQUIS!$C$107)/MAX(CROQUIS!$C$134,1))+1))-1)*CROQUIS!$C$134)/2)+MIN(INT(($A24-1)/5),MAX((MIN(80,MAX(1,INT(((CROQUIS!$C$97)-CROQUIS!$C$107)/MAX(CROQUIS!$C$134,1))+1)))-1,0))*CROQUIS!$C$134),CHOOSE(IF(INT(($A24-1)/5)&gt;MAX((MIN(80,MAX(1,INT(((CROQUIS!$C$97)-CROQUIS!$C$107)/MAX(CROQUIS!$C$134,1))+1)))-1,0),0,MOD($A24-1,5))+1,0,2,CROQUIS!$C$98-2,2,0)))*CROQUIS!$C$155)+IF(CROQUIS!$C$92="X",0,0)),-1000)</f>
        <v>-1000</v>
      </c>
      <c r="BK24">
        <f>IF(AND(CROQUIS!$C$88=1,CROQUIS!$C$134&gt;0),((CROQUIS!$C$157+(IF(CROQUIS!$C$92="X",CHOOSE(IF(INT(($A24-1)/5)&gt;MAX((MIN(80,MAX(1,INT(((CROQUIS!$C$97)-CROQUIS!$C$107)/MAX(CROQUIS!$C$134,1))+1)))-1,0),0,MOD($A24-1,5))+1,0,2,CROQUIS!$C$98-2,2,0),((CROQUIS!$C$107/2+(((CROQUIS!$C$97)-CROQUIS!$C$107)-(MIN(80,MAX(1,INT(((CROQUIS!$C$97)-CROQUIS!$C$107)/MAX(CROQUIS!$C$134,1))+1))-1)*CROQUIS!$C$134)/2)+MIN(INT(($A24-1)/5),MAX((MIN(80,MAX(1,INT(((CROQUIS!$C$97)-CROQUIS!$C$107)/MAX(CROQUIS!$C$134,1))+1)))-1,0))*CROQUIS!$C$134)))*CROQUIS!$C$155)+IF(CROQUIS!$C$92="X",0,0)),-1000)</f>
        <v>-1000</v>
      </c>
      <c r="BL24">
        <f>IF(AND(CROQUIS!$C$88=1,CROQUIS!$C$91=0,CROQUIS!$C$130&gt;0,OR(CROQUIS!$C$103=1,CROQUIS!$C$142=1)),((CROQUIS!$C$156+(IF(CROQUIS!$C$92="X",CHOOSE(IF(INT(($A24-1)/5)&gt;MAX((MIN(80,MAX(1,INT(((CROQUIS!$C$98)-CROQUIS!$C$107)/MAX(CROQUIS!$C$130,1))+1)))-1,0),0,MOD($A24-1,5))+1,0,IF(CROQUIS!$C$103=1,-12,2),CROQUIS!$C$107/2+CROQUIS!$C$140,IF(CROQUIS!$C$103=1,-12,2),0),((CROQUIS!$C$107/2+(((CROQUIS!$C$98)-CROQUIS!$C$107)-(MIN(80,MAX(1,INT(((CROQUIS!$C$98)-CROQUIS!$C$107)/MAX(CROQUIS!$C$130,1))+1))-1)*CROQUIS!$C$130)/2)+MIN(INT(($A24-1)/5),MAX((MIN(80,MAX(1,INT(((CROQUIS!$C$98)-CROQUIS!$C$107)/MAX(CROQUIS!$C$130,1))+1)))-1,0))*CROQUIS!$C$130)))*CROQUIS!$C$155)+IF(CROQUIS!$C$92="X",0,0)),-1000)</f>
        <v>-1000</v>
      </c>
      <c r="BM2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24-1)/5),MAX((MIN(80,MAX(1,INT(((CROQUIS!$C$98)-CROQUIS!$C$107)/MAX(CROQUIS!$C$130,1))+1)))-1,0))*CROQUIS!$C$130),CHOOSE(IF(INT(($A24-1)/5)&gt;MAX((MIN(80,MAX(1,INT(((CROQUIS!$C$98)-CROQUIS!$C$107)/MAX(CROQUIS!$C$130,1))+1)))-1,0),0,MOD($A24-1,5))+1,0,IF(CROQUIS!$C$103=1,-12,2),CROQUIS!$C$107/2+CROQUIS!$C$140,IF(CROQUIS!$C$103=1,-12,2),0)))*CROQUIS!$C$155)+IF(CROQUIS!$C$92="X",0,0)),-1000)</f>
        <v>-1000</v>
      </c>
      <c r="BN24">
        <f>IF(AND(CROQUIS!$C$88=1,CROQUIS!$C$91=0,CROQUIS!$C$130&gt;0,OR(CROQUIS!$C$104=1,CROQUIS!$C$142=1)),((CROQUIS!$C$156+(IF(CROQUIS!$C$92="X",CHOOSE(IF(INT(($A24-1)/5)&gt;MAX((MIN(80,MAX(1,INT(((CROQUIS!$C$98)-CROQUIS!$C$107)/MAX(CROQUIS!$C$130,1))+1)))-1,0),0,MOD($A24-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24-1)/5),MAX((MIN(80,MAX(1,INT(((CROQUIS!$C$98)-CROQUIS!$C$107)/MAX(CROQUIS!$C$130,1))+1)))-1,0))*CROQUIS!$C$130)))*CROQUIS!$C$155)+IF(CROQUIS!$C$92="X",0,0)),-1000)</f>
        <v>-1000</v>
      </c>
      <c r="BO2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24-1)/5),MAX((MIN(80,MAX(1,INT(((CROQUIS!$C$98)-CROQUIS!$C$107)/MAX(CROQUIS!$C$130,1))+1)))-1,0))*CROQUIS!$C$130),CHOOSE(IF(INT(($A24-1)/5)&gt;MAX((MIN(80,MAX(1,INT(((CROQUIS!$C$98)-CROQUIS!$C$107)/MAX(CROQUIS!$C$130,1))+1)))-1,0),0,MOD($A24-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24-1)/5),MAX((MIN(80,MAX(1,INT(((CROQUIS!$C$97)-CROQUIS!$C$107)/MAX(CROQUIS!$C$138,1))+1)))-1,0))*CROQUIS!$C$138),CHOOSE(IF(INT(($A24-1)/5)&gt;MAX((MIN(80,MAX(1,INT(((CROQUIS!$C$97)-CROQUIS!$C$107)/MAX(CROQUIS!$C$138,1))+1)))-1,0),0,MOD($A24-1,5))+1,0,IF(CROQUIS!$C$105=1,-12,2),CROQUIS!$C$107/2+CROQUIS!$C$141,IF(CROQUIS!$C$105=1,-12,2),0)))*CROQUIS!$C$155)+IF(CROQUIS!$C$92="X",0,0)),-1000)</f>
        <v>-1000</v>
      </c>
      <c r="BQ24">
        <f>IF(AND(CROQUIS!$C$88=1,CROQUIS!$C$91=0,CROQUIS!$C$138&gt;0,OR(CROQUIS!$C$105=1,CROQUIS!$C$143=1)),((CROQUIS!$C$157+(IF(CROQUIS!$C$92="X",CHOOSE(IF(INT(($A24-1)/5)&gt;MAX((MIN(80,MAX(1,INT(((CROQUIS!$C$97)-CROQUIS!$C$107)/MAX(CROQUIS!$C$138,1))+1)))-1,0),0,MOD($A24-1,5))+1,0,IF(CROQUIS!$C$105=1,-12,2),CROQUIS!$C$107/2+CROQUIS!$C$141,IF(CROQUIS!$C$105=1,-12,2),0),((CROQUIS!$C$107/2+(((CROQUIS!$C$97)-CROQUIS!$C$107)-(MIN(80,MAX(1,INT(((CROQUIS!$C$97)-CROQUIS!$C$107)/MAX(CROQUIS!$C$138,1))+1))-1)*CROQUIS!$C$138)/2)+MIN(INT(($A24-1)/5),MAX((MIN(80,MAX(1,INT(((CROQUIS!$C$97)-CROQUIS!$C$107)/MAX(CROQUIS!$C$138,1))+1)))-1,0))*CROQUIS!$C$138)))*CROQUIS!$C$155)+IF(CROQUIS!$C$92="X",0,0)),-1000)</f>
        <v>-1000</v>
      </c>
      <c r="BR2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24-1)/5),MAX((MIN(80,MAX(1,INT(((CROQUIS!$C$97)-CROQUIS!$C$107)/MAX(CROQUIS!$C$138,1))+1)))-1,0))*CROQUIS!$C$138),CHOOSE(IF(INT(($A24-1)/5)&gt;MAX((MIN(80,MAX(1,INT(((CROQUIS!$C$97)-CROQUIS!$C$107)/MAX(CROQUIS!$C$138,1))+1)))-1,0),0,MOD($A24-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4">
        <f>IF(AND(CROQUIS!$C$88=1,CROQUIS!$C$91=0,CROQUIS!$C$138&gt;0,OR(CROQUIS!$C$106=1,CROQUIS!$C$143=1)),((CROQUIS!$C$157+(IF(CROQUIS!$C$92="X",CHOOSE(IF(INT(($A24-1)/5)&gt;MAX((MIN(80,MAX(1,INT(((CROQUIS!$C$97)-CROQUIS!$C$107)/MAX(CROQUIS!$C$138,1))+1)))-1,0),0,MOD($A24-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24-1)/5),MAX((MIN(80,MAX(1,INT(((CROQUIS!$C$97)-CROQUIS!$C$107)/MAX(CROQUIS!$C$138,1))+1)))-1,0))*CROQUIS!$C$138)))*CROQUIS!$C$155)+IF(CROQUIS!$C$92="X",0,0)),-1000)</f>
        <v>-1000</v>
      </c>
      <c r="BT24">
        <f>IF(AND(CROQUIS!$C$88=1,CROQUIS!$C$91=1,CROQUIS!$C$130&gt;0),((CROQUIS!$C$156+(IF(CROQUIS!$C$92="X",CHOOSE(IF(INT(($A24-1)/5)&gt;MAX((MIN(80,MAX(1,INT(((CROQUIS!$C$98)-CROQUIS!$C$107)/MAX(CROQUIS!$C$130,1))+1)))-1,0),0,MOD($A24-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24-1)/5),MAX((MIN(80,MAX(1,INT(((CROQUIS!$C$98)-CROQUIS!$C$107)/MAX(CROQUIS!$C$130,1))+1)))-1,0))*CROQUIS!$C$130)))*CROQUIS!$C$155)+IF(CROQUIS!$C$92="X",0,0)),-1000)</f>
        <v>-1000</v>
      </c>
      <c r="BU24">
        <f>IF(AND(CROQUIS!$C$88=1,CROQUIS!$C$91=1,CROQUIS!$C$130&gt;0),((CROQUIS!$C$157+(IF(CROQUIS!$C$92="X",((CROQUIS!$C$107/2+(((CROQUIS!$C$98)-CROQUIS!$C$107)-(MIN(80,MAX(1,INT(((CROQUIS!$C$98)-CROQUIS!$C$107)/MAX(CROQUIS!$C$130,1))+1))-1)*CROQUIS!$C$130)/2)+MIN(INT(($A24-1)/5),MAX((MIN(80,MAX(1,INT(((CROQUIS!$C$98)-CROQUIS!$C$107)/MAX(CROQUIS!$C$130,1))+1)))-1,0))*CROQUIS!$C$130),CHOOSE(IF(INT(($A24-1)/5)&gt;MAX((MIN(80,MAX(1,INT(((CROQUIS!$C$98)-CROQUIS!$C$107)/MAX(CROQUIS!$C$130,1))+1)))-1,0),0,MOD($A24-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5">
      <c r="A25" t="n">
        <v>18</v>
      </c>
      <c r="F25">
        <f>IF(AND(CROQUIS!$C$87=1,CROQUIS!$C$91=1),((CROQUIS!$C$156+(IF(CROQUIS!$C$92="X",IF(CROQUIS!$C$94=1,0,CROQUIS!$C$97)+IF(MOD($A25,2)=1,-CROQUIS!$C$107/2,CROQUIS!$C$107/2),(MIN($A25,41)-1)/40*CROQUIS!$C$98))*CROQUIS!$C$155)+IF(CROQUIS!$C$92="X",0,0)),-1000)</f>
        <v>-1000</v>
      </c>
      <c r="G25">
        <f>IF(AND(CROQUIS!$C$87=1,CROQUIS!$C$91=1),((CROQUIS!$C$157+(IF(CROQUIS!$C$92="X",(MIN($A25,41)-1)/40*CROQUIS!$C$98,IF(CROQUIS!$C$94=1,0,CROQUIS!$C$97)+IF(MOD($A25,2)=1,-CROQUIS!$C$107/2,CROQUIS!$C$107/2)))*CROQUIS!$C$155)+IF(CROQUIS!$C$92="X",0,0)),-1000)</f>
        <v>-1000</v>
      </c>
      <c r="T25">
        <f>IF(AND(CROQUIS!$C$88=1,CROQUIS!$C$91=1),((CROQUIS!$C$156+(IF(CROQUIS!$C$92="X",IF(CROQUIS!$C$94=1,0,CROQUIS!$C$97)+IF(MOD($A25,2)=1,-CROQUIS!$C$107/2,CROQUIS!$C$107/2),(MIN($A25,41)-1)/40*CROQUIS!$C$98))*CROQUIS!$C$155)+IF(CROQUIS!$C$92="X",0,0)),-1000)</f>
        <v>-1000</v>
      </c>
      <c r="U25">
        <f>IF(AND(CROQUIS!$C$88=1,CROQUIS!$C$91=1),((CROQUIS!$C$157+(IF(CROQUIS!$C$92="X",(MIN($A25,41)-1)/40*CROQUIS!$C$98,IF(CROQUIS!$C$94=1,0,CROQUIS!$C$97)+IF(MOD($A25,2)=1,-CROQUIS!$C$107/2,CROQUIS!$C$107/2)))*CROQUIS!$C$155)+IF(CROQUIS!$C$92="X",0,0)),-1000)</f>
        <v>-1000</v>
      </c>
      <c r="AF25">
        <f>IF(AND(CROQUIS!$C$87=1,CROQUIS!$C$158&gt;0,CROQUIS!$C$160&gt;0),(CROQUIS!$C$156+((CROQUIS!$C$159+INT(MIN(INT(($A25-1)/2),MAX((2*CROQUIS!$C$158)-1,0))/2)*CROQUIS!$C$113+MOD(MIN(INT(($A25-1)/2),MAX((2*CROQUIS!$C$158)-1,0)),2)*CROQUIS!$C$112))*CROQUIS!$C$155),-1000)</f>
        <v>62.8784455490285</v>
      </c>
      <c r="AG25">
        <f>IF(AND(CROQUIS!$C$87=1,CROQUIS!$C$158&gt;0,CROQUIS!$C$160&gt;0),(CROQUIS!$C$157+(IF(MOD(MIN(INT(($A25-1)/2),MAX((2*CROQUIS!$C$158)-1,0)),2)=0,IF(IF(INT(($A25-1)/2)&gt;MAX((2*CROQUIS!$C$158)-1,0),1,MOD($A25-1,2))=0,CROQUIS!$C$161,(CROQUIS!$C$161+CROQUIS!$C$160*CROQUIS!$C$113-CROQUIS!$C$111)),IF(IF(INT(($A25-1)/2)&gt;MAX((2*CROQUIS!$C$158)-1,0),1,MOD($A25-1,2))=0,(CROQUIS!$C$161+CROQUIS!$C$160*CROQUIS!$C$113-CROQUIS!$C$111),CROQUIS!$C$161)))*CROQUIS!$C$155),-1000)</f>
        <v>79.1911432444645</v>
      </c>
      <c r="AH25">
        <f>IF(AND(CROQUIS!$C$87=1,CROQUIS!$C$160&gt;0,CROQUIS!$C$158&gt;0),(CROQUIS!$C$156+(IF(MOD(MIN(INT(($A25-1)/2),MAX((2*CROQUIS!$C$160)-1,0)),2)=0,IF(IF(INT(($A25-1)/2)&gt;MAX((2*CROQUIS!$C$160)-1,0),1,MOD($A25-1,2))=0,CROQUIS!$C$159,(CROQUIS!$C$159+CROQUIS!$C$158*CROQUIS!$C$113-CROQUIS!$C$111)),IF(IF(INT(($A25-1)/2)&gt;MAX((2*CROQUIS!$C$160)-1,0),1,MOD($A25-1,2))=0,(CROQUIS!$C$159+CROQUIS!$C$158*CROQUIS!$C$113-CROQUIS!$C$111),CROQUIS!$C$159)))*CROQUIS!$C$155),-1000)</f>
        <v>85.2010845006778</v>
      </c>
      <c r="AI25">
        <f>IF(AND(CROQUIS!$C$87=1,CROQUIS!$C$160&gt;0,CROQUIS!$C$158&gt;0),(CROQUIS!$C$157+((CROQUIS!$C$161+INT(MIN(INT(($A25-1)/2),MAX((2*CROQUIS!$C$160)-1,0))/2)*CROQUIS!$C$113+MOD(MIN(INT(($A25-1)/2),MAX((2*CROQUIS!$C$160)-1,0)),2)*CROQUIS!$C$112))*CROQUIS!$C$155),-1000)</f>
        <v>68.8883868052418</v>
      </c>
      <c r="AJ25">
        <f>IF(AND(CROQUIS!$C$87=1,CROQUIS!$C$158&gt;=2),(CROQUIS!$C$156+((CROQUIS!$C$159+CROQUIS!$C$112+CROQUIS!$C$111/2+MIN(INT(($A25-1)/2),MAX((CROQUIS!$C$158-1)-1,0))*CROQUIS!$C$113))*CROQUIS!$C$155),-1000)</f>
        <v>74.0397650248531</v>
      </c>
      <c r="AK25">
        <f>IF(AND(CROQUIS!$C$87=1,CROQUIS!$C$158&gt;=2),(CROQUIS!$C$157+(IF(MOD(MIN(INT(($A25-1)/2),MAX((CROQUIS!$C$158-1)-1,0)),2)=0,IF(IF(INT(($A25-1)/2)&gt;MAX((CROQUIS!$C$158-1)-1,0),1,MOD($A25-1,2))=0,CROQUIS!$C$107/2,(CROQUIS!$C$96-CROQUIS!$C$107/2)),IF(IF(INT(($A25-1)/2)&gt;MAX((CROQUIS!$C$158-1)-1,0),1,MOD($A25-1,2))=0,(CROQUIS!$C$96-CROQUIS!$C$107/2),CROQUIS!$C$107/2)))*CROQUIS!$C$155),-1000)</f>
        <v>83.0546769091731</v>
      </c>
      <c r="AL25">
        <f>IF(AND(CROQUIS!$C$87=1,CROQUIS!$C$160&gt;=2),(CROQUIS!$C$156+(IF(MOD(MIN(INT(($A25-1)/2),MAX((CROQUIS!$C$160-1)-1,0)),2)=0,IF(IF(INT(($A25-1)/2)&gt;MAX((CROQUIS!$C$160-1)-1,0),1,MOD($A25-1,2))=0,CROQUIS!$C$107/2,(CROQUIS!$C$95-CROQUIS!$C$107/2)),IF(IF(INT(($A25-1)/2)&gt;MAX((CROQUIS!$C$160-1)-1,0),1,MOD($A25-1,2))=0,(CROQUIS!$C$95-CROQUIS!$C$107/2),CROQUIS!$C$107/2)))*CROQUIS!$C$155),-1000)</f>
        <v>13.2878445549028</v>
      </c>
      <c r="AM25">
        <f>IF(AND(CROQUIS!$C$87=1,CROQUIS!$C$160&gt;=2),(CROQUIS!$C$157+((CROQUIS!$C$161+CROQUIS!$C$112+CROQUIS!$C$111/2+MIN(INT(($A25-1)/2),MAX((CROQUIS!$C$160-1)-1,0))*CROQUIS!$C$113))*CROQUIS!$C$155),-1000)</f>
        <v>68.0298237686399</v>
      </c>
      <c r="BH25">
        <f>IF(AND(CROQUIS!$C$88=1,CROQUIS!$C$126&gt;0),((CROQUIS!$C$156+(IF(CROQUIS!$C$92="X",CHOOSE(IF(INT(($A25-1)/5)&gt;MAX((MIN(80,MAX(1,INT(((CROQUIS!$C$98)-CROQUIS!$C$107)/MAX(CROQUIS!$C$126,1))+1)))-1,0),0,MOD($A25-1,5))+1,0,2,CROQUIS!$C$97-2,2,0),((CROQUIS!$C$107/2+(((CROQUIS!$C$98)-CROQUIS!$C$107)-(MIN(80,MAX(1,INT(((CROQUIS!$C$98)-CROQUIS!$C$107)/MAX(CROQUIS!$C$126,1))+1))-1)*CROQUIS!$C$126)/2)+MIN(INT(($A25-1)/5),MAX((MIN(80,MAX(1,INT(((CROQUIS!$C$98)-CROQUIS!$C$107)/MAX(CROQUIS!$C$126,1))+1)))-1,0))*CROQUIS!$C$126)))*CROQUIS!$C$155)+IF(CROQUIS!$C$92="X",0,0)),-1000)</f>
        <v>-1000</v>
      </c>
      <c r="BI25">
        <f>IF(AND(CROQUIS!$C$88=1,CROQUIS!$C$126&gt;0),((CROQUIS!$C$157+(IF(CROQUIS!$C$92="X",((CROQUIS!$C$107/2+(((CROQUIS!$C$98)-CROQUIS!$C$107)-(MIN(80,MAX(1,INT(((CROQUIS!$C$98)-CROQUIS!$C$107)/MAX(CROQUIS!$C$126,1))+1))-1)*CROQUIS!$C$126)/2)+MIN(INT(($A25-1)/5),MAX((MIN(80,MAX(1,INT(((CROQUIS!$C$98)-CROQUIS!$C$107)/MAX(CROQUIS!$C$126,1))+1)))-1,0))*CROQUIS!$C$126),CHOOSE(IF(INT(($A25-1)/5)&gt;MAX((MIN(80,MAX(1,INT(((CROQUIS!$C$98)-CROQUIS!$C$107)/MAX(CROQUIS!$C$126,1))+1)))-1,0),0,MOD($A25-1,5))+1,0,2,CROQUIS!$C$97-2,2,0)))*CROQUIS!$C$155)+IF(CROQUIS!$C$92="X",0,0)),-1000)</f>
        <v>-1000</v>
      </c>
      <c r="BJ25">
        <f>IF(AND(CROQUIS!$C$88=1,CROQUIS!$C$134&gt;0),((CROQUIS!$C$156+(IF(CROQUIS!$C$92="X",((CROQUIS!$C$107/2+(((CROQUIS!$C$97)-CROQUIS!$C$107)-(MIN(80,MAX(1,INT(((CROQUIS!$C$97)-CROQUIS!$C$107)/MAX(CROQUIS!$C$134,1))+1))-1)*CROQUIS!$C$134)/2)+MIN(INT(($A25-1)/5),MAX((MIN(80,MAX(1,INT(((CROQUIS!$C$97)-CROQUIS!$C$107)/MAX(CROQUIS!$C$134,1))+1)))-1,0))*CROQUIS!$C$134),CHOOSE(IF(INT(($A25-1)/5)&gt;MAX((MIN(80,MAX(1,INT(((CROQUIS!$C$97)-CROQUIS!$C$107)/MAX(CROQUIS!$C$134,1))+1)))-1,0),0,MOD($A25-1,5))+1,0,2,CROQUIS!$C$98-2,2,0)))*CROQUIS!$C$155)+IF(CROQUIS!$C$92="X",0,0)),-1000)</f>
        <v>-1000</v>
      </c>
      <c r="BK25">
        <f>IF(AND(CROQUIS!$C$88=1,CROQUIS!$C$134&gt;0),((CROQUIS!$C$157+(IF(CROQUIS!$C$92="X",CHOOSE(IF(INT(($A25-1)/5)&gt;MAX((MIN(80,MAX(1,INT(((CROQUIS!$C$97)-CROQUIS!$C$107)/MAX(CROQUIS!$C$134,1))+1)))-1,0),0,MOD($A25-1,5))+1,0,2,CROQUIS!$C$98-2,2,0),((CROQUIS!$C$107/2+(((CROQUIS!$C$97)-CROQUIS!$C$107)-(MIN(80,MAX(1,INT(((CROQUIS!$C$97)-CROQUIS!$C$107)/MAX(CROQUIS!$C$134,1))+1))-1)*CROQUIS!$C$134)/2)+MIN(INT(($A25-1)/5),MAX((MIN(80,MAX(1,INT(((CROQUIS!$C$97)-CROQUIS!$C$107)/MAX(CROQUIS!$C$134,1))+1)))-1,0))*CROQUIS!$C$134)))*CROQUIS!$C$155)+IF(CROQUIS!$C$92="X",0,0)),-1000)</f>
        <v>-1000</v>
      </c>
      <c r="BL25">
        <f>IF(AND(CROQUIS!$C$88=1,CROQUIS!$C$91=0,CROQUIS!$C$130&gt;0,OR(CROQUIS!$C$103=1,CROQUIS!$C$142=1)),((CROQUIS!$C$156+(IF(CROQUIS!$C$92="X",CHOOSE(IF(INT(($A25-1)/5)&gt;MAX((MIN(80,MAX(1,INT(((CROQUIS!$C$98)-CROQUIS!$C$107)/MAX(CROQUIS!$C$130,1))+1)))-1,0),0,MOD($A25-1,5))+1,0,IF(CROQUIS!$C$103=1,-12,2),CROQUIS!$C$107/2+CROQUIS!$C$140,IF(CROQUIS!$C$103=1,-12,2),0),((CROQUIS!$C$107/2+(((CROQUIS!$C$98)-CROQUIS!$C$107)-(MIN(80,MAX(1,INT(((CROQUIS!$C$98)-CROQUIS!$C$107)/MAX(CROQUIS!$C$130,1))+1))-1)*CROQUIS!$C$130)/2)+MIN(INT(($A25-1)/5),MAX((MIN(80,MAX(1,INT(((CROQUIS!$C$98)-CROQUIS!$C$107)/MAX(CROQUIS!$C$130,1))+1)))-1,0))*CROQUIS!$C$130)))*CROQUIS!$C$155)+IF(CROQUIS!$C$92="X",0,0)),-1000)</f>
        <v>-1000</v>
      </c>
      <c r="BM2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25-1)/5),MAX((MIN(80,MAX(1,INT(((CROQUIS!$C$98)-CROQUIS!$C$107)/MAX(CROQUIS!$C$130,1))+1)))-1,0))*CROQUIS!$C$130),CHOOSE(IF(INT(($A25-1)/5)&gt;MAX((MIN(80,MAX(1,INT(((CROQUIS!$C$98)-CROQUIS!$C$107)/MAX(CROQUIS!$C$130,1))+1)))-1,0),0,MOD($A25-1,5))+1,0,IF(CROQUIS!$C$103=1,-12,2),CROQUIS!$C$107/2+CROQUIS!$C$140,IF(CROQUIS!$C$103=1,-12,2),0)))*CROQUIS!$C$155)+IF(CROQUIS!$C$92="X",0,0)),-1000)</f>
        <v>-1000</v>
      </c>
      <c r="BN25">
        <f>IF(AND(CROQUIS!$C$88=1,CROQUIS!$C$91=0,CROQUIS!$C$130&gt;0,OR(CROQUIS!$C$104=1,CROQUIS!$C$142=1)),((CROQUIS!$C$156+(IF(CROQUIS!$C$92="X",CHOOSE(IF(INT(($A25-1)/5)&gt;MAX((MIN(80,MAX(1,INT(((CROQUIS!$C$98)-CROQUIS!$C$107)/MAX(CROQUIS!$C$130,1))+1)))-1,0),0,MOD($A25-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25-1)/5),MAX((MIN(80,MAX(1,INT(((CROQUIS!$C$98)-CROQUIS!$C$107)/MAX(CROQUIS!$C$130,1))+1)))-1,0))*CROQUIS!$C$130)))*CROQUIS!$C$155)+IF(CROQUIS!$C$92="X",0,0)),-1000)</f>
        <v>-1000</v>
      </c>
      <c r="BO2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25-1)/5),MAX((MIN(80,MAX(1,INT(((CROQUIS!$C$98)-CROQUIS!$C$107)/MAX(CROQUIS!$C$130,1))+1)))-1,0))*CROQUIS!$C$130),CHOOSE(IF(INT(($A25-1)/5)&gt;MAX((MIN(80,MAX(1,INT(((CROQUIS!$C$98)-CROQUIS!$C$107)/MAX(CROQUIS!$C$130,1))+1)))-1,0),0,MOD($A25-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25-1)/5),MAX((MIN(80,MAX(1,INT(((CROQUIS!$C$97)-CROQUIS!$C$107)/MAX(CROQUIS!$C$138,1))+1)))-1,0))*CROQUIS!$C$138),CHOOSE(IF(INT(($A25-1)/5)&gt;MAX((MIN(80,MAX(1,INT(((CROQUIS!$C$97)-CROQUIS!$C$107)/MAX(CROQUIS!$C$138,1))+1)))-1,0),0,MOD($A25-1,5))+1,0,IF(CROQUIS!$C$105=1,-12,2),CROQUIS!$C$107/2+CROQUIS!$C$141,IF(CROQUIS!$C$105=1,-12,2),0)))*CROQUIS!$C$155)+IF(CROQUIS!$C$92="X",0,0)),-1000)</f>
        <v>-1000</v>
      </c>
      <c r="BQ25">
        <f>IF(AND(CROQUIS!$C$88=1,CROQUIS!$C$91=0,CROQUIS!$C$138&gt;0,OR(CROQUIS!$C$105=1,CROQUIS!$C$143=1)),((CROQUIS!$C$157+(IF(CROQUIS!$C$92="X",CHOOSE(IF(INT(($A25-1)/5)&gt;MAX((MIN(80,MAX(1,INT(((CROQUIS!$C$97)-CROQUIS!$C$107)/MAX(CROQUIS!$C$138,1))+1)))-1,0),0,MOD($A25-1,5))+1,0,IF(CROQUIS!$C$105=1,-12,2),CROQUIS!$C$107/2+CROQUIS!$C$141,IF(CROQUIS!$C$105=1,-12,2),0),((CROQUIS!$C$107/2+(((CROQUIS!$C$97)-CROQUIS!$C$107)-(MIN(80,MAX(1,INT(((CROQUIS!$C$97)-CROQUIS!$C$107)/MAX(CROQUIS!$C$138,1))+1))-1)*CROQUIS!$C$138)/2)+MIN(INT(($A25-1)/5),MAX((MIN(80,MAX(1,INT(((CROQUIS!$C$97)-CROQUIS!$C$107)/MAX(CROQUIS!$C$138,1))+1)))-1,0))*CROQUIS!$C$138)))*CROQUIS!$C$155)+IF(CROQUIS!$C$92="X",0,0)),-1000)</f>
        <v>-1000</v>
      </c>
      <c r="BR2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25-1)/5),MAX((MIN(80,MAX(1,INT(((CROQUIS!$C$97)-CROQUIS!$C$107)/MAX(CROQUIS!$C$138,1))+1)))-1,0))*CROQUIS!$C$138),CHOOSE(IF(INT(($A25-1)/5)&gt;MAX((MIN(80,MAX(1,INT(((CROQUIS!$C$97)-CROQUIS!$C$107)/MAX(CROQUIS!$C$138,1))+1)))-1,0),0,MOD($A25-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5">
        <f>IF(AND(CROQUIS!$C$88=1,CROQUIS!$C$91=0,CROQUIS!$C$138&gt;0,OR(CROQUIS!$C$106=1,CROQUIS!$C$143=1)),((CROQUIS!$C$157+(IF(CROQUIS!$C$92="X",CHOOSE(IF(INT(($A25-1)/5)&gt;MAX((MIN(80,MAX(1,INT(((CROQUIS!$C$97)-CROQUIS!$C$107)/MAX(CROQUIS!$C$138,1))+1)))-1,0),0,MOD($A25-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25-1)/5),MAX((MIN(80,MAX(1,INT(((CROQUIS!$C$97)-CROQUIS!$C$107)/MAX(CROQUIS!$C$138,1))+1)))-1,0))*CROQUIS!$C$138)))*CROQUIS!$C$155)+IF(CROQUIS!$C$92="X",0,0)),-1000)</f>
        <v>-1000</v>
      </c>
      <c r="BT25">
        <f>IF(AND(CROQUIS!$C$88=1,CROQUIS!$C$91=1,CROQUIS!$C$130&gt;0),((CROQUIS!$C$156+(IF(CROQUIS!$C$92="X",CHOOSE(IF(INT(($A25-1)/5)&gt;MAX((MIN(80,MAX(1,INT(((CROQUIS!$C$98)-CROQUIS!$C$107)/MAX(CROQUIS!$C$130,1))+1)))-1,0),0,MOD($A25-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25-1)/5),MAX((MIN(80,MAX(1,INT(((CROQUIS!$C$98)-CROQUIS!$C$107)/MAX(CROQUIS!$C$130,1))+1)))-1,0))*CROQUIS!$C$130)))*CROQUIS!$C$155)+IF(CROQUIS!$C$92="X",0,0)),-1000)</f>
        <v>-1000</v>
      </c>
      <c r="BU25">
        <f>IF(AND(CROQUIS!$C$88=1,CROQUIS!$C$91=1,CROQUIS!$C$130&gt;0),((CROQUIS!$C$157+(IF(CROQUIS!$C$92="X",((CROQUIS!$C$107/2+(((CROQUIS!$C$98)-CROQUIS!$C$107)-(MIN(80,MAX(1,INT(((CROQUIS!$C$98)-CROQUIS!$C$107)/MAX(CROQUIS!$C$130,1))+1))-1)*CROQUIS!$C$130)/2)+MIN(INT(($A25-1)/5),MAX((MIN(80,MAX(1,INT(((CROQUIS!$C$98)-CROQUIS!$C$107)/MAX(CROQUIS!$C$130,1))+1)))-1,0))*CROQUIS!$C$130),CHOOSE(IF(INT(($A25-1)/5)&gt;MAX((MIN(80,MAX(1,INT(((CROQUIS!$C$98)-CROQUIS!$C$107)/MAX(CROQUIS!$C$130,1))+1)))-1,0),0,MOD($A25-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6">
      <c r="A26" t="n">
        <v>19</v>
      </c>
      <c r="F26">
        <f>IF(AND(CROQUIS!$C$87=1,CROQUIS!$C$91=1),((CROQUIS!$C$156+(IF(CROQUIS!$C$92="X",IF(CROQUIS!$C$94=1,0,CROQUIS!$C$97)+IF(MOD($A26,2)=1,-CROQUIS!$C$107/2,CROQUIS!$C$107/2),(MIN($A26,41)-1)/40*CROQUIS!$C$98))*CROQUIS!$C$155)+IF(CROQUIS!$C$92="X",0,0)),-1000)</f>
        <v>-1000</v>
      </c>
      <c r="G26">
        <f>IF(AND(CROQUIS!$C$87=1,CROQUIS!$C$91=1),((CROQUIS!$C$157+(IF(CROQUIS!$C$92="X",(MIN($A26,41)-1)/40*CROQUIS!$C$98,IF(CROQUIS!$C$94=1,0,CROQUIS!$C$97)+IF(MOD($A26,2)=1,-CROQUIS!$C$107/2,CROQUIS!$C$107/2)))*CROQUIS!$C$155)+IF(CROQUIS!$C$92="X",0,0)),-1000)</f>
        <v>-1000</v>
      </c>
      <c r="T26">
        <f>IF(AND(CROQUIS!$C$88=1,CROQUIS!$C$91=1),((CROQUIS!$C$156+(IF(CROQUIS!$C$92="X",IF(CROQUIS!$C$94=1,0,CROQUIS!$C$97)+IF(MOD($A26,2)=1,-CROQUIS!$C$107/2,CROQUIS!$C$107/2),(MIN($A26,41)-1)/40*CROQUIS!$C$98))*CROQUIS!$C$155)+IF(CROQUIS!$C$92="X",0,0)),-1000)</f>
        <v>-1000</v>
      </c>
      <c r="U26">
        <f>IF(AND(CROQUIS!$C$88=1,CROQUIS!$C$91=1),((CROQUIS!$C$157+(IF(CROQUIS!$C$92="X",(MIN($A26,41)-1)/40*CROQUIS!$C$98,IF(CROQUIS!$C$94=1,0,CROQUIS!$C$97)+IF(MOD($A26,2)=1,-CROQUIS!$C$107/2,CROQUIS!$C$107/2)))*CROQUIS!$C$155)+IF(CROQUIS!$C$92="X",0,0)),-1000)</f>
        <v>-1000</v>
      </c>
      <c r="AF26">
        <f>IF(AND(CROQUIS!$C$87=1,CROQUIS!$C$158&gt;0,CROQUIS!$C$160&gt;0),(CROQUIS!$C$156+((CROQUIS!$C$159+INT(MIN(INT(($A26-1)/2),MAX((2*CROQUIS!$C$158)-1,0))/2)*CROQUIS!$C$113+MOD(MIN(INT(($A26-1)/2),MAX((2*CROQUIS!$C$158)-1,0)),2)*CROQUIS!$C$112))*CROQUIS!$C$155),-1000)</f>
        <v>73.1812019882513</v>
      </c>
      <c r="AG26">
        <f>IF(AND(CROQUIS!$C$87=1,CROQUIS!$C$158&gt;0,CROQUIS!$C$160&gt;0),(CROQUIS!$C$157+(IF(MOD(MIN(INT(($A26-1)/2),MAX((2*CROQUIS!$C$158)-1,0)),2)=0,IF(IF(INT(($A26-1)/2)&gt;MAX((2*CROQUIS!$C$158)-1,0),1,MOD($A26-1,2))=0,CROQUIS!$C$161,(CROQUIS!$C$161+CROQUIS!$C$160*CROQUIS!$C$113-CROQUIS!$C$111)),IF(IF(INT(($A26-1)/2)&gt;MAX((2*CROQUIS!$C$158)-1,0),1,MOD($A26-1,2))=0,(CROQUIS!$C$161+CROQUIS!$C$160*CROQUIS!$C$113-CROQUIS!$C$111),CROQUIS!$C$161)))*CROQUIS!$C$155),-1000)</f>
        <v>79.1911432444645</v>
      </c>
      <c r="AH26">
        <f>IF(AND(CROQUIS!$C$87=1,CROQUIS!$C$160&gt;0,CROQUIS!$C$158&gt;0),(CROQUIS!$C$156+(IF(MOD(MIN(INT(($A26-1)/2),MAX((2*CROQUIS!$C$160)-1,0)),2)=0,IF(IF(INT(($A26-1)/2)&gt;MAX((2*CROQUIS!$C$160)-1,0),1,MOD($A26-1,2))=0,CROQUIS!$C$159,(CROQUIS!$C$159+CROQUIS!$C$158*CROQUIS!$C$113-CROQUIS!$C$111)),IF(IF(INT(($A26-1)/2)&gt;MAX((2*CROQUIS!$C$160)-1,0),1,MOD($A26-1,2))=0,(CROQUIS!$C$159+CROQUIS!$C$158*CROQUIS!$C$113-CROQUIS!$C$111),CROQUIS!$C$159)))*CROQUIS!$C$155),-1000)</f>
        <v>85.2010845006778</v>
      </c>
      <c r="AI26">
        <f>IF(AND(CROQUIS!$C$87=1,CROQUIS!$C$160&gt;0,CROQUIS!$C$158&gt;0),(CROQUIS!$C$157+((CROQUIS!$C$161+INT(MIN(INT(($A26-1)/2),MAX((2*CROQUIS!$C$160)-1,0))/2)*CROQUIS!$C$113+MOD(MIN(INT(($A26-1)/2),MAX((2*CROQUIS!$C$160)-1,0)),2)*CROQUIS!$C$112))*CROQUIS!$C$155),-1000)</f>
        <v>79.1911432444645</v>
      </c>
      <c r="AJ26">
        <f>IF(AND(CROQUIS!$C$87=1,CROQUIS!$C$158&gt;=2),(CROQUIS!$C$156+((CROQUIS!$C$159+CROQUIS!$C$112+CROQUIS!$C$111/2+MIN(INT(($A26-1)/2),MAX((CROQUIS!$C$158-1)-1,0))*CROQUIS!$C$113))*CROQUIS!$C$155),-1000)</f>
        <v>74.0397650248531</v>
      </c>
      <c r="AK26">
        <f>IF(AND(CROQUIS!$C$87=1,CROQUIS!$C$158&gt;=2),(CROQUIS!$C$157+(IF(MOD(MIN(INT(($A26-1)/2),MAX((CROQUIS!$C$158-1)-1,0)),2)=0,IF(IF(INT(($A26-1)/2)&gt;MAX((CROQUIS!$C$158-1)-1,0),1,MOD($A26-1,2))=0,CROQUIS!$C$107/2,(CROQUIS!$C$96-CROQUIS!$C$107/2)),IF(IF(INT(($A26-1)/2)&gt;MAX((CROQUIS!$C$158-1)-1,0),1,MOD($A26-1,2))=0,(CROQUIS!$C$96-CROQUIS!$C$107/2),CROQUIS!$C$107/2)))*CROQUIS!$C$155),-1000)</f>
        <v>83.0546769091731</v>
      </c>
      <c r="AL26">
        <f>IF(AND(CROQUIS!$C$87=1,CROQUIS!$C$160&gt;=2),(CROQUIS!$C$156+(IF(MOD(MIN(INT(($A26-1)/2),MAX((CROQUIS!$C$160-1)-1,0)),2)=0,IF(IF(INT(($A26-1)/2)&gt;MAX((CROQUIS!$C$160-1)-1,0),1,MOD($A26-1,2))=0,CROQUIS!$C$107/2,(CROQUIS!$C$95-CROQUIS!$C$107/2)),IF(IF(INT(($A26-1)/2)&gt;MAX((CROQUIS!$C$160-1)-1,0),1,MOD($A26-1,2))=0,(CROQUIS!$C$95-CROQUIS!$C$107/2),CROQUIS!$C$107/2)))*CROQUIS!$C$155),-1000)</f>
        <v>13.2878445549028</v>
      </c>
      <c r="AM26">
        <f>IF(AND(CROQUIS!$C$87=1,CROQUIS!$C$160&gt;=2),(CROQUIS!$C$157+((CROQUIS!$C$161+CROQUIS!$C$112+CROQUIS!$C$111/2+MIN(INT(($A26-1)/2),MAX((CROQUIS!$C$160-1)-1,0))*CROQUIS!$C$113))*CROQUIS!$C$155),-1000)</f>
        <v>68.0298237686399</v>
      </c>
      <c r="BH26">
        <f>IF(AND(CROQUIS!$C$88=1,CROQUIS!$C$126&gt;0),((CROQUIS!$C$156+(IF(CROQUIS!$C$92="X",CHOOSE(IF(INT(($A26-1)/5)&gt;MAX((MIN(80,MAX(1,INT(((CROQUIS!$C$98)-CROQUIS!$C$107)/MAX(CROQUIS!$C$126,1))+1)))-1,0),0,MOD($A26-1,5))+1,0,2,CROQUIS!$C$97-2,2,0),((CROQUIS!$C$107/2+(((CROQUIS!$C$98)-CROQUIS!$C$107)-(MIN(80,MAX(1,INT(((CROQUIS!$C$98)-CROQUIS!$C$107)/MAX(CROQUIS!$C$126,1))+1))-1)*CROQUIS!$C$126)/2)+MIN(INT(($A26-1)/5),MAX((MIN(80,MAX(1,INT(((CROQUIS!$C$98)-CROQUIS!$C$107)/MAX(CROQUIS!$C$126,1))+1)))-1,0))*CROQUIS!$C$126)))*CROQUIS!$C$155)+IF(CROQUIS!$C$92="X",0,0)),-1000)</f>
        <v>-1000</v>
      </c>
      <c r="BI26">
        <f>IF(AND(CROQUIS!$C$88=1,CROQUIS!$C$126&gt;0),((CROQUIS!$C$157+(IF(CROQUIS!$C$92="X",((CROQUIS!$C$107/2+(((CROQUIS!$C$98)-CROQUIS!$C$107)-(MIN(80,MAX(1,INT(((CROQUIS!$C$98)-CROQUIS!$C$107)/MAX(CROQUIS!$C$126,1))+1))-1)*CROQUIS!$C$126)/2)+MIN(INT(($A26-1)/5),MAX((MIN(80,MAX(1,INT(((CROQUIS!$C$98)-CROQUIS!$C$107)/MAX(CROQUIS!$C$126,1))+1)))-1,0))*CROQUIS!$C$126),CHOOSE(IF(INT(($A26-1)/5)&gt;MAX((MIN(80,MAX(1,INT(((CROQUIS!$C$98)-CROQUIS!$C$107)/MAX(CROQUIS!$C$126,1))+1)))-1,0),0,MOD($A26-1,5))+1,0,2,CROQUIS!$C$97-2,2,0)))*CROQUIS!$C$155)+IF(CROQUIS!$C$92="X",0,0)),-1000)</f>
        <v>-1000</v>
      </c>
      <c r="BJ26">
        <f>IF(AND(CROQUIS!$C$88=1,CROQUIS!$C$134&gt;0),((CROQUIS!$C$156+(IF(CROQUIS!$C$92="X",((CROQUIS!$C$107/2+(((CROQUIS!$C$97)-CROQUIS!$C$107)-(MIN(80,MAX(1,INT(((CROQUIS!$C$97)-CROQUIS!$C$107)/MAX(CROQUIS!$C$134,1))+1))-1)*CROQUIS!$C$134)/2)+MIN(INT(($A26-1)/5),MAX((MIN(80,MAX(1,INT(((CROQUIS!$C$97)-CROQUIS!$C$107)/MAX(CROQUIS!$C$134,1))+1)))-1,0))*CROQUIS!$C$134),CHOOSE(IF(INT(($A26-1)/5)&gt;MAX((MIN(80,MAX(1,INT(((CROQUIS!$C$97)-CROQUIS!$C$107)/MAX(CROQUIS!$C$134,1))+1)))-1,0),0,MOD($A26-1,5))+1,0,2,CROQUIS!$C$98-2,2,0)))*CROQUIS!$C$155)+IF(CROQUIS!$C$92="X",0,0)),-1000)</f>
        <v>-1000</v>
      </c>
      <c r="BK26">
        <f>IF(AND(CROQUIS!$C$88=1,CROQUIS!$C$134&gt;0),((CROQUIS!$C$157+(IF(CROQUIS!$C$92="X",CHOOSE(IF(INT(($A26-1)/5)&gt;MAX((MIN(80,MAX(1,INT(((CROQUIS!$C$97)-CROQUIS!$C$107)/MAX(CROQUIS!$C$134,1))+1)))-1,0),0,MOD($A26-1,5))+1,0,2,CROQUIS!$C$98-2,2,0),((CROQUIS!$C$107/2+(((CROQUIS!$C$97)-CROQUIS!$C$107)-(MIN(80,MAX(1,INT(((CROQUIS!$C$97)-CROQUIS!$C$107)/MAX(CROQUIS!$C$134,1))+1))-1)*CROQUIS!$C$134)/2)+MIN(INT(($A26-1)/5),MAX((MIN(80,MAX(1,INT(((CROQUIS!$C$97)-CROQUIS!$C$107)/MAX(CROQUIS!$C$134,1))+1)))-1,0))*CROQUIS!$C$134)))*CROQUIS!$C$155)+IF(CROQUIS!$C$92="X",0,0)),-1000)</f>
        <v>-1000</v>
      </c>
      <c r="BL26">
        <f>IF(AND(CROQUIS!$C$88=1,CROQUIS!$C$91=0,CROQUIS!$C$130&gt;0,OR(CROQUIS!$C$103=1,CROQUIS!$C$142=1)),((CROQUIS!$C$156+(IF(CROQUIS!$C$92="X",CHOOSE(IF(INT(($A26-1)/5)&gt;MAX((MIN(80,MAX(1,INT(((CROQUIS!$C$98)-CROQUIS!$C$107)/MAX(CROQUIS!$C$130,1))+1)))-1,0),0,MOD($A26-1,5))+1,0,IF(CROQUIS!$C$103=1,-12,2),CROQUIS!$C$107/2+CROQUIS!$C$140,IF(CROQUIS!$C$103=1,-12,2),0),((CROQUIS!$C$107/2+(((CROQUIS!$C$98)-CROQUIS!$C$107)-(MIN(80,MAX(1,INT(((CROQUIS!$C$98)-CROQUIS!$C$107)/MAX(CROQUIS!$C$130,1))+1))-1)*CROQUIS!$C$130)/2)+MIN(INT(($A26-1)/5),MAX((MIN(80,MAX(1,INT(((CROQUIS!$C$98)-CROQUIS!$C$107)/MAX(CROQUIS!$C$130,1))+1)))-1,0))*CROQUIS!$C$130)))*CROQUIS!$C$155)+IF(CROQUIS!$C$92="X",0,0)),-1000)</f>
        <v>-1000</v>
      </c>
      <c r="BM2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26-1)/5),MAX((MIN(80,MAX(1,INT(((CROQUIS!$C$98)-CROQUIS!$C$107)/MAX(CROQUIS!$C$130,1))+1)))-1,0))*CROQUIS!$C$130),CHOOSE(IF(INT(($A26-1)/5)&gt;MAX((MIN(80,MAX(1,INT(((CROQUIS!$C$98)-CROQUIS!$C$107)/MAX(CROQUIS!$C$130,1))+1)))-1,0),0,MOD($A26-1,5))+1,0,IF(CROQUIS!$C$103=1,-12,2),CROQUIS!$C$107/2+CROQUIS!$C$140,IF(CROQUIS!$C$103=1,-12,2),0)))*CROQUIS!$C$155)+IF(CROQUIS!$C$92="X",0,0)),-1000)</f>
        <v>-1000</v>
      </c>
      <c r="BN26">
        <f>IF(AND(CROQUIS!$C$88=1,CROQUIS!$C$91=0,CROQUIS!$C$130&gt;0,OR(CROQUIS!$C$104=1,CROQUIS!$C$142=1)),((CROQUIS!$C$156+(IF(CROQUIS!$C$92="X",CHOOSE(IF(INT(($A26-1)/5)&gt;MAX((MIN(80,MAX(1,INT(((CROQUIS!$C$98)-CROQUIS!$C$107)/MAX(CROQUIS!$C$130,1))+1)))-1,0),0,MOD($A26-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26-1)/5),MAX((MIN(80,MAX(1,INT(((CROQUIS!$C$98)-CROQUIS!$C$107)/MAX(CROQUIS!$C$130,1))+1)))-1,0))*CROQUIS!$C$130)))*CROQUIS!$C$155)+IF(CROQUIS!$C$92="X",0,0)),-1000)</f>
        <v>-1000</v>
      </c>
      <c r="BO2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26-1)/5),MAX((MIN(80,MAX(1,INT(((CROQUIS!$C$98)-CROQUIS!$C$107)/MAX(CROQUIS!$C$130,1))+1)))-1,0))*CROQUIS!$C$130),CHOOSE(IF(INT(($A26-1)/5)&gt;MAX((MIN(80,MAX(1,INT(((CROQUIS!$C$98)-CROQUIS!$C$107)/MAX(CROQUIS!$C$130,1))+1)))-1,0),0,MOD($A26-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26-1)/5),MAX((MIN(80,MAX(1,INT(((CROQUIS!$C$97)-CROQUIS!$C$107)/MAX(CROQUIS!$C$138,1))+1)))-1,0))*CROQUIS!$C$138),CHOOSE(IF(INT(($A26-1)/5)&gt;MAX((MIN(80,MAX(1,INT(((CROQUIS!$C$97)-CROQUIS!$C$107)/MAX(CROQUIS!$C$138,1))+1)))-1,0),0,MOD($A26-1,5))+1,0,IF(CROQUIS!$C$105=1,-12,2),CROQUIS!$C$107/2+CROQUIS!$C$141,IF(CROQUIS!$C$105=1,-12,2),0)))*CROQUIS!$C$155)+IF(CROQUIS!$C$92="X",0,0)),-1000)</f>
        <v>-1000</v>
      </c>
      <c r="BQ26">
        <f>IF(AND(CROQUIS!$C$88=1,CROQUIS!$C$91=0,CROQUIS!$C$138&gt;0,OR(CROQUIS!$C$105=1,CROQUIS!$C$143=1)),((CROQUIS!$C$157+(IF(CROQUIS!$C$92="X",CHOOSE(IF(INT(($A26-1)/5)&gt;MAX((MIN(80,MAX(1,INT(((CROQUIS!$C$97)-CROQUIS!$C$107)/MAX(CROQUIS!$C$138,1))+1)))-1,0),0,MOD($A26-1,5))+1,0,IF(CROQUIS!$C$105=1,-12,2),CROQUIS!$C$107/2+CROQUIS!$C$141,IF(CROQUIS!$C$105=1,-12,2),0),((CROQUIS!$C$107/2+(((CROQUIS!$C$97)-CROQUIS!$C$107)-(MIN(80,MAX(1,INT(((CROQUIS!$C$97)-CROQUIS!$C$107)/MAX(CROQUIS!$C$138,1))+1))-1)*CROQUIS!$C$138)/2)+MIN(INT(($A26-1)/5),MAX((MIN(80,MAX(1,INT(((CROQUIS!$C$97)-CROQUIS!$C$107)/MAX(CROQUIS!$C$138,1))+1)))-1,0))*CROQUIS!$C$138)))*CROQUIS!$C$155)+IF(CROQUIS!$C$92="X",0,0)),-1000)</f>
        <v>-1000</v>
      </c>
      <c r="BR2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26-1)/5),MAX((MIN(80,MAX(1,INT(((CROQUIS!$C$97)-CROQUIS!$C$107)/MAX(CROQUIS!$C$138,1))+1)))-1,0))*CROQUIS!$C$138),CHOOSE(IF(INT(($A26-1)/5)&gt;MAX((MIN(80,MAX(1,INT(((CROQUIS!$C$97)-CROQUIS!$C$107)/MAX(CROQUIS!$C$138,1))+1)))-1,0),0,MOD($A26-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6">
        <f>IF(AND(CROQUIS!$C$88=1,CROQUIS!$C$91=0,CROQUIS!$C$138&gt;0,OR(CROQUIS!$C$106=1,CROQUIS!$C$143=1)),((CROQUIS!$C$157+(IF(CROQUIS!$C$92="X",CHOOSE(IF(INT(($A26-1)/5)&gt;MAX((MIN(80,MAX(1,INT(((CROQUIS!$C$97)-CROQUIS!$C$107)/MAX(CROQUIS!$C$138,1))+1)))-1,0),0,MOD($A26-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26-1)/5),MAX((MIN(80,MAX(1,INT(((CROQUIS!$C$97)-CROQUIS!$C$107)/MAX(CROQUIS!$C$138,1))+1)))-1,0))*CROQUIS!$C$138)))*CROQUIS!$C$155)+IF(CROQUIS!$C$92="X",0,0)),-1000)</f>
        <v>-1000</v>
      </c>
      <c r="BT26">
        <f>IF(AND(CROQUIS!$C$88=1,CROQUIS!$C$91=1,CROQUIS!$C$130&gt;0),((CROQUIS!$C$156+(IF(CROQUIS!$C$92="X",CHOOSE(IF(INT(($A26-1)/5)&gt;MAX((MIN(80,MAX(1,INT(((CROQUIS!$C$98)-CROQUIS!$C$107)/MAX(CROQUIS!$C$130,1))+1)))-1,0),0,MOD($A26-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26-1)/5),MAX((MIN(80,MAX(1,INT(((CROQUIS!$C$98)-CROQUIS!$C$107)/MAX(CROQUIS!$C$130,1))+1)))-1,0))*CROQUIS!$C$130)))*CROQUIS!$C$155)+IF(CROQUIS!$C$92="X",0,0)),-1000)</f>
        <v>-1000</v>
      </c>
      <c r="BU26">
        <f>IF(AND(CROQUIS!$C$88=1,CROQUIS!$C$91=1,CROQUIS!$C$130&gt;0),((CROQUIS!$C$157+(IF(CROQUIS!$C$92="X",((CROQUIS!$C$107/2+(((CROQUIS!$C$98)-CROQUIS!$C$107)-(MIN(80,MAX(1,INT(((CROQUIS!$C$98)-CROQUIS!$C$107)/MAX(CROQUIS!$C$130,1))+1))-1)*CROQUIS!$C$130)/2)+MIN(INT(($A26-1)/5),MAX((MIN(80,MAX(1,INT(((CROQUIS!$C$98)-CROQUIS!$C$107)/MAX(CROQUIS!$C$130,1))+1)))-1,0))*CROQUIS!$C$130),CHOOSE(IF(INT(($A26-1)/5)&gt;MAX((MIN(80,MAX(1,INT(((CROQUIS!$C$98)-CROQUIS!$C$107)/MAX(CROQUIS!$C$130,1))+1)))-1,0),0,MOD($A26-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7">
      <c r="A27" t="n">
        <v>20</v>
      </c>
      <c r="F27">
        <f>IF(AND(CROQUIS!$C$87=1,CROQUIS!$C$91=1),((CROQUIS!$C$156+(IF(CROQUIS!$C$92="X",IF(CROQUIS!$C$94=1,0,CROQUIS!$C$97)+IF(MOD($A27,2)=1,-CROQUIS!$C$107/2,CROQUIS!$C$107/2),(MIN($A27,41)-1)/40*CROQUIS!$C$98))*CROQUIS!$C$155)+IF(CROQUIS!$C$92="X",0,0)),-1000)</f>
        <v>-1000</v>
      </c>
      <c r="G27">
        <f>IF(AND(CROQUIS!$C$87=1,CROQUIS!$C$91=1),((CROQUIS!$C$157+(IF(CROQUIS!$C$92="X",(MIN($A27,41)-1)/40*CROQUIS!$C$98,IF(CROQUIS!$C$94=1,0,CROQUIS!$C$97)+IF(MOD($A27,2)=1,-CROQUIS!$C$107/2,CROQUIS!$C$107/2)))*CROQUIS!$C$155)+IF(CROQUIS!$C$92="X",0,0)),-1000)</f>
        <v>-1000</v>
      </c>
      <c r="T27">
        <f>IF(AND(CROQUIS!$C$88=1,CROQUIS!$C$91=1),((CROQUIS!$C$156+(IF(CROQUIS!$C$92="X",IF(CROQUIS!$C$94=1,0,CROQUIS!$C$97)+IF(MOD($A27,2)=1,-CROQUIS!$C$107/2,CROQUIS!$C$107/2),(MIN($A27,41)-1)/40*CROQUIS!$C$98))*CROQUIS!$C$155)+IF(CROQUIS!$C$92="X",0,0)),-1000)</f>
        <v>-1000</v>
      </c>
      <c r="U27">
        <f>IF(AND(CROQUIS!$C$88=1,CROQUIS!$C$91=1),((CROQUIS!$C$157+(IF(CROQUIS!$C$92="X",(MIN($A27,41)-1)/40*CROQUIS!$C$98,IF(CROQUIS!$C$94=1,0,CROQUIS!$C$97)+IF(MOD($A27,2)=1,-CROQUIS!$C$107/2,CROQUIS!$C$107/2)))*CROQUIS!$C$155)+IF(CROQUIS!$C$92="X",0,0)),-1000)</f>
        <v>-1000</v>
      </c>
      <c r="AF27">
        <f>IF(AND(CROQUIS!$C$87=1,CROQUIS!$C$158&gt;0,CROQUIS!$C$160&gt;0),(CROQUIS!$C$156+((CROQUIS!$C$159+INT(MIN(INT(($A27-1)/2),MAX((2*CROQUIS!$C$158)-1,0))/2)*CROQUIS!$C$113+MOD(MIN(INT(($A27-1)/2),MAX((2*CROQUIS!$C$158)-1,0)),2)*CROQUIS!$C$112))*CROQUIS!$C$155),-1000)</f>
        <v>73.1812019882513</v>
      </c>
      <c r="AG27">
        <f>IF(AND(CROQUIS!$C$87=1,CROQUIS!$C$158&gt;0,CROQUIS!$C$160&gt;0),(CROQUIS!$C$157+(IF(MOD(MIN(INT(($A27-1)/2),MAX((2*CROQUIS!$C$158)-1,0)),2)=0,IF(IF(INT(($A27-1)/2)&gt;MAX((2*CROQUIS!$C$158)-1,0),1,MOD($A27-1,2))=0,CROQUIS!$C$161,(CROQUIS!$C$161+CROQUIS!$C$160*CROQUIS!$C$113-CROQUIS!$C$111)),IF(IF(INT(($A27-1)/2)&gt;MAX((2*CROQUIS!$C$158)-1,0),1,MOD($A27-1,2))=0,(CROQUIS!$C$161+CROQUIS!$C$160*CROQUIS!$C$113-CROQUIS!$C$111),CROQUIS!$C$161)))*CROQUIS!$C$155),-1000)</f>
        <v>20.8088567555355</v>
      </c>
      <c r="AH27">
        <f>IF(AND(CROQUIS!$C$87=1,CROQUIS!$C$160&gt;0,CROQUIS!$C$158&gt;0),(CROQUIS!$C$156+(IF(MOD(MIN(INT(($A27-1)/2),MAX((2*CROQUIS!$C$160)-1,0)),2)=0,IF(IF(INT(($A27-1)/2)&gt;MAX((2*CROQUIS!$C$160)-1,0),1,MOD($A27-1,2))=0,CROQUIS!$C$159,(CROQUIS!$C$159+CROQUIS!$C$158*CROQUIS!$C$113-CROQUIS!$C$111)),IF(IF(INT(($A27-1)/2)&gt;MAX((2*CROQUIS!$C$160)-1,0),1,MOD($A27-1,2))=0,(CROQUIS!$C$159+CROQUIS!$C$158*CROQUIS!$C$113-CROQUIS!$C$111),CROQUIS!$C$159)))*CROQUIS!$C$155),-1000)</f>
        <v>14.7989154993222</v>
      </c>
      <c r="AI27">
        <f>IF(AND(CROQUIS!$C$87=1,CROQUIS!$C$160&gt;0,CROQUIS!$C$158&gt;0),(CROQUIS!$C$157+((CROQUIS!$C$161+INT(MIN(INT(($A27-1)/2),MAX((2*CROQUIS!$C$160)-1,0))/2)*CROQUIS!$C$113+MOD(MIN(INT(($A27-1)/2),MAX((2*CROQUIS!$C$160)-1,0)),2)*CROQUIS!$C$112))*CROQUIS!$C$155),-1000)</f>
        <v>79.1911432444645</v>
      </c>
      <c r="AJ27">
        <f>IF(AND(CROQUIS!$C$87=1,CROQUIS!$C$158&gt;=2),(CROQUIS!$C$156+((CROQUIS!$C$159+CROQUIS!$C$112+CROQUIS!$C$111/2+MIN(INT(($A27-1)/2),MAX((CROQUIS!$C$158-1)-1,0))*CROQUIS!$C$113))*CROQUIS!$C$155),-1000)</f>
        <v>74.0397650248531</v>
      </c>
      <c r="AK27">
        <f>IF(AND(CROQUIS!$C$87=1,CROQUIS!$C$158&gt;=2),(CROQUIS!$C$157+(IF(MOD(MIN(INT(($A27-1)/2),MAX((CROQUIS!$C$158-1)-1,0)),2)=0,IF(IF(INT(($A27-1)/2)&gt;MAX((CROQUIS!$C$158-1)-1,0),1,MOD($A27-1,2))=0,CROQUIS!$C$107/2,(CROQUIS!$C$96-CROQUIS!$C$107/2)),IF(IF(INT(($A27-1)/2)&gt;MAX((CROQUIS!$C$158-1)-1,0),1,MOD($A27-1,2))=0,(CROQUIS!$C$96-CROQUIS!$C$107/2),CROQUIS!$C$107/2)))*CROQUIS!$C$155),-1000)</f>
        <v>83.0546769091731</v>
      </c>
      <c r="AL27">
        <f>IF(AND(CROQUIS!$C$87=1,CROQUIS!$C$160&gt;=2),(CROQUIS!$C$156+(IF(MOD(MIN(INT(($A27-1)/2),MAX((CROQUIS!$C$160-1)-1,0)),2)=0,IF(IF(INT(($A27-1)/2)&gt;MAX((CROQUIS!$C$160-1)-1,0),1,MOD($A27-1,2))=0,CROQUIS!$C$107/2,(CROQUIS!$C$95-CROQUIS!$C$107/2)),IF(IF(INT(($A27-1)/2)&gt;MAX((CROQUIS!$C$160-1)-1,0),1,MOD($A27-1,2))=0,(CROQUIS!$C$95-CROQUIS!$C$107/2),CROQUIS!$C$107/2)))*CROQUIS!$C$155),-1000)</f>
        <v>13.2878445549028</v>
      </c>
      <c r="AM27">
        <f>IF(AND(CROQUIS!$C$87=1,CROQUIS!$C$160&gt;=2),(CROQUIS!$C$157+((CROQUIS!$C$161+CROQUIS!$C$112+CROQUIS!$C$111/2+MIN(INT(($A27-1)/2),MAX((CROQUIS!$C$160-1)-1,0))*CROQUIS!$C$113))*CROQUIS!$C$155),-1000)</f>
        <v>68.0298237686399</v>
      </c>
      <c r="BH27">
        <f>IF(AND(CROQUIS!$C$88=1,CROQUIS!$C$126&gt;0),((CROQUIS!$C$156+(IF(CROQUIS!$C$92="X",CHOOSE(IF(INT(($A27-1)/5)&gt;MAX((MIN(80,MAX(1,INT(((CROQUIS!$C$98)-CROQUIS!$C$107)/MAX(CROQUIS!$C$126,1))+1)))-1,0),0,MOD($A27-1,5))+1,0,2,CROQUIS!$C$97-2,2,0),((CROQUIS!$C$107/2+(((CROQUIS!$C$98)-CROQUIS!$C$107)-(MIN(80,MAX(1,INT(((CROQUIS!$C$98)-CROQUIS!$C$107)/MAX(CROQUIS!$C$126,1))+1))-1)*CROQUIS!$C$126)/2)+MIN(INT(($A27-1)/5),MAX((MIN(80,MAX(1,INT(((CROQUIS!$C$98)-CROQUIS!$C$107)/MAX(CROQUIS!$C$126,1))+1)))-1,0))*CROQUIS!$C$126)))*CROQUIS!$C$155)+IF(CROQUIS!$C$92="X",0,0)),-1000)</f>
        <v>-1000</v>
      </c>
      <c r="BI27">
        <f>IF(AND(CROQUIS!$C$88=1,CROQUIS!$C$126&gt;0),((CROQUIS!$C$157+(IF(CROQUIS!$C$92="X",((CROQUIS!$C$107/2+(((CROQUIS!$C$98)-CROQUIS!$C$107)-(MIN(80,MAX(1,INT(((CROQUIS!$C$98)-CROQUIS!$C$107)/MAX(CROQUIS!$C$126,1))+1))-1)*CROQUIS!$C$126)/2)+MIN(INT(($A27-1)/5),MAX((MIN(80,MAX(1,INT(((CROQUIS!$C$98)-CROQUIS!$C$107)/MAX(CROQUIS!$C$126,1))+1)))-1,0))*CROQUIS!$C$126),CHOOSE(IF(INT(($A27-1)/5)&gt;MAX((MIN(80,MAX(1,INT(((CROQUIS!$C$98)-CROQUIS!$C$107)/MAX(CROQUIS!$C$126,1))+1)))-1,0),0,MOD($A27-1,5))+1,0,2,CROQUIS!$C$97-2,2,0)))*CROQUIS!$C$155)+IF(CROQUIS!$C$92="X",0,0)),-1000)</f>
        <v>-1000</v>
      </c>
      <c r="BJ27">
        <f>IF(AND(CROQUIS!$C$88=1,CROQUIS!$C$134&gt;0),((CROQUIS!$C$156+(IF(CROQUIS!$C$92="X",((CROQUIS!$C$107/2+(((CROQUIS!$C$97)-CROQUIS!$C$107)-(MIN(80,MAX(1,INT(((CROQUIS!$C$97)-CROQUIS!$C$107)/MAX(CROQUIS!$C$134,1))+1))-1)*CROQUIS!$C$134)/2)+MIN(INT(($A27-1)/5),MAX((MIN(80,MAX(1,INT(((CROQUIS!$C$97)-CROQUIS!$C$107)/MAX(CROQUIS!$C$134,1))+1)))-1,0))*CROQUIS!$C$134),CHOOSE(IF(INT(($A27-1)/5)&gt;MAX((MIN(80,MAX(1,INT(((CROQUIS!$C$97)-CROQUIS!$C$107)/MAX(CROQUIS!$C$134,1))+1)))-1,0),0,MOD($A27-1,5))+1,0,2,CROQUIS!$C$98-2,2,0)))*CROQUIS!$C$155)+IF(CROQUIS!$C$92="X",0,0)),-1000)</f>
        <v>-1000</v>
      </c>
      <c r="BK27">
        <f>IF(AND(CROQUIS!$C$88=1,CROQUIS!$C$134&gt;0),((CROQUIS!$C$157+(IF(CROQUIS!$C$92="X",CHOOSE(IF(INT(($A27-1)/5)&gt;MAX((MIN(80,MAX(1,INT(((CROQUIS!$C$97)-CROQUIS!$C$107)/MAX(CROQUIS!$C$134,1))+1)))-1,0),0,MOD($A27-1,5))+1,0,2,CROQUIS!$C$98-2,2,0),((CROQUIS!$C$107/2+(((CROQUIS!$C$97)-CROQUIS!$C$107)-(MIN(80,MAX(1,INT(((CROQUIS!$C$97)-CROQUIS!$C$107)/MAX(CROQUIS!$C$134,1))+1))-1)*CROQUIS!$C$134)/2)+MIN(INT(($A27-1)/5),MAX((MIN(80,MAX(1,INT(((CROQUIS!$C$97)-CROQUIS!$C$107)/MAX(CROQUIS!$C$134,1))+1)))-1,0))*CROQUIS!$C$134)))*CROQUIS!$C$155)+IF(CROQUIS!$C$92="X",0,0)),-1000)</f>
        <v>-1000</v>
      </c>
      <c r="BL27">
        <f>IF(AND(CROQUIS!$C$88=1,CROQUIS!$C$91=0,CROQUIS!$C$130&gt;0,OR(CROQUIS!$C$103=1,CROQUIS!$C$142=1)),((CROQUIS!$C$156+(IF(CROQUIS!$C$92="X",CHOOSE(IF(INT(($A27-1)/5)&gt;MAX((MIN(80,MAX(1,INT(((CROQUIS!$C$98)-CROQUIS!$C$107)/MAX(CROQUIS!$C$130,1))+1)))-1,0),0,MOD($A27-1,5))+1,0,IF(CROQUIS!$C$103=1,-12,2),CROQUIS!$C$107/2+CROQUIS!$C$140,IF(CROQUIS!$C$103=1,-12,2),0),((CROQUIS!$C$107/2+(((CROQUIS!$C$98)-CROQUIS!$C$107)-(MIN(80,MAX(1,INT(((CROQUIS!$C$98)-CROQUIS!$C$107)/MAX(CROQUIS!$C$130,1))+1))-1)*CROQUIS!$C$130)/2)+MIN(INT(($A27-1)/5),MAX((MIN(80,MAX(1,INT(((CROQUIS!$C$98)-CROQUIS!$C$107)/MAX(CROQUIS!$C$130,1))+1)))-1,0))*CROQUIS!$C$130)))*CROQUIS!$C$155)+IF(CROQUIS!$C$92="X",0,0)),-1000)</f>
        <v>-1000</v>
      </c>
      <c r="BM2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27-1)/5),MAX((MIN(80,MAX(1,INT(((CROQUIS!$C$98)-CROQUIS!$C$107)/MAX(CROQUIS!$C$130,1))+1)))-1,0))*CROQUIS!$C$130),CHOOSE(IF(INT(($A27-1)/5)&gt;MAX((MIN(80,MAX(1,INT(((CROQUIS!$C$98)-CROQUIS!$C$107)/MAX(CROQUIS!$C$130,1))+1)))-1,0),0,MOD($A27-1,5))+1,0,IF(CROQUIS!$C$103=1,-12,2),CROQUIS!$C$107/2+CROQUIS!$C$140,IF(CROQUIS!$C$103=1,-12,2),0)))*CROQUIS!$C$155)+IF(CROQUIS!$C$92="X",0,0)),-1000)</f>
        <v>-1000</v>
      </c>
      <c r="BN27">
        <f>IF(AND(CROQUIS!$C$88=1,CROQUIS!$C$91=0,CROQUIS!$C$130&gt;0,OR(CROQUIS!$C$104=1,CROQUIS!$C$142=1)),((CROQUIS!$C$156+(IF(CROQUIS!$C$92="X",CHOOSE(IF(INT(($A27-1)/5)&gt;MAX((MIN(80,MAX(1,INT(((CROQUIS!$C$98)-CROQUIS!$C$107)/MAX(CROQUIS!$C$130,1))+1)))-1,0),0,MOD($A27-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27-1)/5),MAX((MIN(80,MAX(1,INT(((CROQUIS!$C$98)-CROQUIS!$C$107)/MAX(CROQUIS!$C$130,1))+1)))-1,0))*CROQUIS!$C$130)))*CROQUIS!$C$155)+IF(CROQUIS!$C$92="X",0,0)),-1000)</f>
        <v>-1000</v>
      </c>
      <c r="BO2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27-1)/5),MAX((MIN(80,MAX(1,INT(((CROQUIS!$C$98)-CROQUIS!$C$107)/MAX(CROQUIS!$C$130,1))+1)))-1,0))*CROQUIS!$C$130),CHOOSE(IF(INT(($A27-1)/5)&gt;MAX((MIN(80,MAX(1,INT(((CROQUIS!$C$98)-CROQUIS!$C$107)/MAX(CROQUIS!$C$130,1))+1)))-1,0),0,MOD($A27-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27-1)/5),MAX((MIN(80,MAX(1,INT(((CROQUIS!$C$97)-CROQUIS!$C$107)/MAX(CROQUIS!$C$138,1))+1)))-1,0))*CROQUIS!$C$138),CHOOSE(IF(INT(($A27-1)/5)&gt;MAX((MIN(80,MAX(1,INT(((CROQUIS!$C$97)-CROQUIS!$C$107)/MAX(CROQUIS!$C$138,1))+1)))-1,0),0,MOD($A27-1,5))+1,0,IF(CROQUIS!$C$105=1,-12,2),CROQUIS!$C$107/2+CROQUIS!$C$141,IF(CROQUIS!$C$105=1,-12,2),0)))*CROQUIS!$C$155)+IF(CROQUIS!$C$92="X",0,0)),-1000)</f>
        <v>-1000</v>
      </c>
      <c r="BQ27">
        <f>IF(AND(CROQUIS!$C$88=1,CROQUIS!$C$91=0,CROQUIS!$C$138&gt;0,OR(CROQUIS!$C$105=1,CROQUIS!$C$143=1)),((CROQUIS!$C$157+(IF(CROQUIS!$C$92="X",CHOOSE(IF(INT(($A27-1)/5)&gt;MAX((MIN(80,MAX(1,INT(((CROQUIS!$C$97)-CROQUIS!$C$107)/MAX(CROQUIS!$C$138,1))+1)))-1,0),0,MOD($A27-1,5))+1,0,IF(CROQUIS!$C$105=1,-12,2),CROQUIS!$C$107/2+CROQUIS!$C$141,IF(CROQUIS!$C$105=1,-12,2),0),((CROQUIS!$C$107/2+(((CROQUIS!$C$97)-CROQUIS!$C$107)-(MIN(80,MAX(1,INT(((CROQUIS!$C$97)-CROQUIS!$C$107)/MAX(CROQUIS!$C$138,1))+1))-1)*CROQUIS!$C$138)/2)+MIN(INT(($A27-1)/5),MAX((MIN(80,MAX(1,INT(((CROQUIS!$C$97)-CROQUIS!$C$107)/MAX(CROQUIS!$C$138,1))+1)))-1,0))*CROQUIS!$C$138)))*CROQUIS!$C$155)+IF(CROQUIS!$C$92="X",0,0)),-1000)</f>
        <v>-1000</v>
      </c>
      <c r="BR2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27-1)/5),MAX((MIN(80,MAX(1,INT(((CROQUIS!$C$97)-CROQUIS!$C$107)/MAX(CROQUIS!$C$138,1))+1)))-1,0))*CROQUIS!$C$138),CHOOSE(IF(INT(($A27-1)/5)&gt;MAX((MIN(80,MAX(1,INT(((CROQUIS!$C$97)-CROQUIS!$C$107)/MAX(CROQUIS!$C$138,1))+1)))-1,0),0,MOD($A27-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7">
        <f>IF(AND(CROQUIS!$C$88=1,CROQUIS!$C$91=0,CROQUIS!$C$138&gt;0,OR(CROQUIS!$C$106=1,CROQUIS!$C$143=1)),((CROQUIS!$C$157+(IF(CROQUIS!$C$92="X",CHOOSE(IF(INT(($A27-1)/5)&gt;MAX((MIN(80,MAX(1,INT(((CROQUIS!$C$97)-CROQUIS!$C$107)/MAX(CROQUIS!$C$138,1))+1)))-1,0),0,MOD($A27-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27-1)/5),MAX((MIN(80,MAX(1,INT(((CROQUIS!$C$97)-CROQUIS!$C$107)/MAX(CROQUIS!$C$138,1))+1)))-1,0))*CROQUIS!$C$138)))*CROQUIS!$C$155)+IF(CROQUIS!$C$92="X",0,0)),-1000)</f>
        <v>-1000</v>
      </c>
      <c r="BT27">
        <f>IF(AND(CROQUIS!$C$88=1,CROQUIS!$C$91=1,CROQUIS!$C$130&gt;0),((CROQUIS!$C$156+(IF(CROQUIS!$C$92="X",CHOOSE(IF(INT(($A27-1)/5)&gt;MAX((MIN(80,MAX(1,INT(((CROQUIS!$C$98)-CROQUIS!$C$107)/MAX(CROQUIS!$C$130,1))+1)))-1,0),0,MOD($A27-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27-1)/5),MAX((MIN(80,MAX(1,INT(((CROQUIS!$C$98)-CROQUIS!$C$107)/MAX(CROQUIS!$C$130,1))+1)))-1,0))*CROQUIS!$C$130)))*CROQUIS!$C$155)+IF(CROQUIS!$C$92="X",0,0)),-1000)</f>
        <v>-1000</v>
      </c>
      <c r="BU27">
        <f>IF(AND(CROQUIS!$C$88=1,CROQUIS!$C$91=1,CROQUIS!$C$130&gt;0),((CROQUIS!$C$157+(IF(CROQUIS!$C$92="X",((CROQUIS!$C$107/2+(((CROQUIS!$C$98)-CROQUIS!$C$107)-(MIN(80,MAX(1,INT(((CROQUIS!$C$98)-CROQUIS!$C$107)/MAX(CROQUIS!$C$130,1))+1))-1)*CROQUIS!$C$130)/2)+MIN(INT(($A27-1)/5),MAX((MIN(80,MAX(1,INT(((CROQUIS!$C$98)-CROQUIS!$C$107)/MAX(CROQUIS!$C$130,1))+1)))-1,0))*CROQUIS!$C$130),CHOOSE(IF(INT(($A27-1)/5)&gt;MAX((MIN(80,MAX(1,INT(((CROQUIS!$C$98)-CROQUIS!$C$107)/MAX(CROQUIS!$C$130,1))+1)))-1,0),0,MOD($A27-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8">
      <c r="A28" t="n">
        <v>21</v>
      </c>
      <c r="F28">
        <f>IF(AND(CROQUIS!$C$87=1,CROQUIS!$C$91=1),((CROQUIS!$C$156+(IF(CROQUIS!$C$92="X",IF(CROQUIS!$C$94=1,0,CROQUIS!$C$97)+IF(MOD($A28,2)=1,-CROQUIS!$C$107/2,CROQUIS!$C$107/2),(MIN($A28,41)-1)/40*CROQUIS!$C$98))*CROQUIS!$C$155)+IF(CROQUIS!$C$92="X",0,0)),-1000)</f>
        <v>-1000</v>
      </c>
      <c r="G28">
        <f>IF(AND(CROQUIS!$C$87=1,CROQUIS!$C$91=1),((CROQUIS!$C$157+(IF(CROQUIS!$C$92="X",(MIN($A28,41)-1)/40*CROQUIS!$C$98,IF(CROQUIS!$C$94=1,0,CROQUIS!$C$97)+IF(MOD($A28,2)=1,-CROQUIS!$C$107/2,CROQUIS!$C$107/2)))*CROQUIS!$C$155)+IF(CROQUIS!$C$92="X",0,0)),-1000)</f>
        <v>-1000</v>
      </c>
      <c r="T28">
        <f>IF(AND(CROQUIS!$C$88=1,CROQUIS!$C$91=1),((CROQUIS!$C$156+(IF(CROQUIS!$C$92="X",IF(CROQUIS!$C$94=1,0,CROQUIS!$C$97)+IF(MOD($A28,2)=1,-CROQUIS!$C$107/2,CROQUIS!$C$107/2),(MIN($A28,41)-1)/40*CROQUIS!$C$98))*CROQUIS!$C$155)+IF(CROQUIS!$C$92="X",0,0)),-1000)</f>
        <v>-1000</v>
      </c>
      <c r="U28">
        <f>IF(AND(CROQUIS!$C$88=1,CROQUIS!$C$91=1),((CROQUIS!$C$157+(IF(CROQUIS!$C$92="X",(MIN($A28,41)-1)/40*CROQUIS!$C$98,IF(CROQUIS!$C$94=1,0,CROQUIS!$C$97)+IF(MOD($A28,2)=1,-CROQUIS!$C$107/2,CROQUIS!$C$107/2)))*CROQUIS!$C$155)+IF(CROQUIS!$C$92="X",0,0)),-1000)</f>
        <v>-1000</v>
      </c>
      <c r="AF28">
        <f>IF(AND(CROQUIS!$C$87=1,CROQUIS!$C$158&gt;0,CROQUIS!$C$160&gt;0),(CROQUIS!$C$156+((CROQUIS!$C$159+INT(MIN(INT(($A28-1)/2),MAX((2*CROQUIS!$C$158)-1,0))/2)*CROQUIS!$C$113+MOD(MIN(INT(($A28-1)/2),MAX((2*CROQUIS!$C$158)-1,0)),2)*CROQUIS!$C$112))*CROQUIS!$C$155),-1000)</f>
        <v>74.898328061455</v>
      </c>
      <c r="AG28">
        <f>IF(AND(CROQUIS!$C$87=1,CROQUIS!$C$158&gt;0,CROQUIS!$C$160&gt;0),(CROQUIS!$C$157+(IF(MOD(MIN(INT(($A28-1)/2),MAX((2*CROQUIS!$C$158)-1,0)),2)=0,IF(IF(INT(($A28-1)/2)&gt;MAX((2*CROQUIS!$C$158)-1,0),1,MOD($A28-1,2))=0,CROQUIS!$C$161,(CROQUIS!$C$161+CROQUIS!$C$160*CROQUIS!$C$113-CROQUIS!$C$111)),IF(IF(INT(($A28-1)/2)&gt;MAX((2*CROQUIS!$C$158)-1,0),1,MOD($A28-1,2))=0,(CROQUIS!$C$161+CROQUIS!$C$160*CROQUIS!$C$113-CROQUIS!$C$111),CROQUIS!$C$161)))*CROQUIS!$C$155),-1000)</f>
        <v>20.8088567555355</v>
      </c>
      <c r="AH28">
        <f>IF(AND(CROQUIS!$C$87=1,CROQUIS!$C$160&gt;0,CROQUIS!$C$158&gt;0),(CROQUIS!$C$156+(IF(MOD(MIN(INT(($A28-1)/2),MAX((2*CROQUIS!$C$160)-1,0)),2)=0,IF(IF(INT(($A28-1)/2)&gt;MAX((2*CROQUIS!$C$160)-1,0),1,MOD($A28-1,2))=0,CROQUIS!$C$159,(CROQUIS!$C$159+CROQUIS!$C$158*CROQUIS!$C$113-CROQUIS!$C$111)),IF(IF(INT(($A28-1)/2)&gt;MAX((2*CROQUIS!$C$160)-1,0),1,MOD($A28-1,2))=0,(CROQUIS!$C$159+CROQUIS!$C$158*CROQUIS!$C$113-CROQUIS!$C$111),CROQUIS!$C$159)))*CROQUIS!$C$155),-1000)</f>
        <v>14.7989154993222</v>
      </c>
      <c r="AI28">
        <f>IF(AND(CROQUIS!$C$87=1,CROQUIS!$C$160&gt;0,CROQUIS!$C$158&gt;0),(CROQUIS!$C$157+((CROQUIS!$C$161+INT(MIN(INT(($A28-1)/2),MAX((2*CROQUIS!$C$160)-1,0))/2)*CROQUIS!$C$113+MOD(MIN(INT(($A28-1)/2),MAX((2*CROQUIS!$C$160)-1,0)),2)*CROQUIS!$C$112))*CROQUIS!$C$155),-1000)</f>
        <v>79.1911432444645</v>
      </c>
      <c r="AJ28">
        <f>IF(AND(CROQUIS!$C$87=1,CROQUIS!$C$158&gt;=2),(CROQUIS!$C$156+((CROQUIS!$C$159+CROQUIS!$C$112+CROQUIS!$C$111/2+MIN(INT(($A28-1)/2),MAX((CROQUIS!$C$158-1)-1,0))*CROQUIS!$C$113))*CROQUIS!$C$155),-1000)</f>
        <v>74.0397650248531</v>
      </c>
      <c r="AK28">
        <f>IF(AND(CROQUIS!$C$87=1,CROQUIS!$C$158&gt;=2),(CROQUIS!$C$157+(IF(MOD(MIN(INT(($A28-1)/2),MAX((CROQUIS!$C$158-1)-1,0)),2)=0,IF(IF(INT(($A28-1)/2)&gt;MAX((CROQUIS!$C$158-1)-1,0),1,MOD($A28-1,2))=0,CROQUIS!$C$107/2,(CROQUIS!$C$96-CROQUIS!$C$107/2)),IF(IF(INT(($A28-1)/2)&gt;MAX((CROQUIS!$C$158-1)-1,0),1,MOD($A28-1,2))=0,(CROQUIS!$C$96-CROQUIS!$C$107/2),CROQUIS!$C$107/2)))*CROQUIS!$C$155),-1000)</f>
        <v>83.0546769091731</v>
      </c>
      <c r="AL28">
        <f>IF(AND(CROQUIS!$C$87=1,CROQUIS!$C$160&gt;=2),(CROQUIS!$C$156+(IF(MOD(MIN(INT(($A28-1)/2),MAX((CROQUIS!$C$160-1)-1,0)),2)=0,IF(IF(INT(($A28-1)/2)&gt;MAX((CROQUIS!$C$160-1)-1,0),1,MOD($A28-1,2))=0,CROQUIS!$C$107/2,(CROQUIS!$C$95-CROQUIS!$C$107/2)),IF(IF(INT(($A28-1)/2)&gt;MAX((CROQUIS!$C$160-1)-1,0),1,MOD($A28-1,2))=0,(CROQUIS!$C$95-CROQUIS!$C$107/2),CROQUIS!$C$107/2)))*CROQUIS!$C$155),-1000)</f>
        <v>13.2878445549028</v>
      </c>
      <c r="AM28">
        <f>IF(AND(CROQUIS!$C$87=1,CROQUIS!$C$160&gt;=2),(CROQUIS!$C$157+((CROQUIS!$C$161+CROQUIS!$C$112+CROQUIS!$C$111/2+MIN(INT(($A28-1)/2),MAX((CROQUIS!$C$160-1)-1,0))*CROQUIS!$C$113))*CROQUIS!$C$155),-1000)</f>
        <v>68.0298237686399</v>
      </c>
      <c r="BH28">
        <f>IF(AND(CROQUIS!$C$88=1,CROQUIS!$C$126&gt;0),((CROQUIS!$C$156+(IF(CROQUIS!$C$92="X",CHOOSE(IF(INT(($A28-1)/5)&gt;MAX((MIN(80,MAX(1,INT(((CROQUIS!$C$98)-CROQUIS!$C$107)/MAX(CROQUIS!$C$126,1))+1)))-1,0),0,MOD($A28-1,5))+1,0,2,CROQUIS!$C$97-2,2,0),((CROQUIS!$C$107/2+(((CROQUIS!$C$98)-CROQUIS!$C$107)-(MIN(80,MAX(1,INT(((CROQUIS!$C$98)-CROQUIS!$C$107)/MAX(CROQUIS!$C$126,1))+1))-1)*CROQUIS!$C$126)/2)+MIN(INT(($A28-1)/5),MAX((MIN(80,MAX(1,INT(((CROQUIS!$C$98)-CROQUIS!$C$107)/MAX(CROQUIS!$C$126,1))+1)))-1,0))*CROQUIS!$C$126)))*CROQUIS!$C$155)+IF(CROQUIS!$C$92="X",0,0)),-1000)</f>
        <v>-1000</v>
      </c>
      <c r="BI28">
        <f>IF(AND(CROQUIS!$C$88=1,CROQUIS!$C$126&gt;0),((CROQUIS!$C$157+(IF(CROQUIS!$C$92="X",((CROQUIS!$C$107/2+(((CROQUIS!$C$98)-CROQUIS!$C$107)-(MIN(80,MAX(1,INT(((CROQUIS!$C$98)-CROQUIS!$C$107)/MAX(CROQUIS!$C$126,1))+1))-1)*CROQUIS!$C$126)/2)+MIN(INT(($A28-1)/5),MAX((MIN(80,MAX(1,INT(((CROQUIS!$C$98)-CROQUIS!$C$107)/MAX(CROQUIS!$C$126,1))+1)))-1,0))*CROQUIS!$C$126),CHOOSE(IF(INT(($A28-1)/5)&gt;MAX((MIN(80,MAX(1,INT(((CROQUIS!$C$98)-CROQUIS!$C$107)/MAX(CROQUIS!$C$126,1))+1)))-1,0),0,MOD($A28-1,5))+1,0,2,CROQUIS!$C$97-2,2,0)))*CROQUIS!$C$155)+IF(CROQUIS!$C$92="X",0,0)),-1000)</f>
        <v>-1000</v>
      </c>
      <c r="BJ28">
        <f>IF(AND(CROQUIS!$C$88=1,CROQUIS!$C$134&gt;0),((CROQUIS!$C$156+(IF(CROQUIS!$C$92="X",((CROQUIS!$C$107/2+(((CROQUIS!$C$97)-CROQUIS!$C$107)-(MIN(80,MAX(1,INT(((CROQUIS!$C$97)-CROQUIS!$C$107)/MAX(CROQUIS!$C$134,1))+1))-1)*CROQUIS!$C$134)/2)+MIN(INT(($A28-1)/5),MAX((MIN(80,MAX(1,INT(((CROQUIS!$C$97)-CROQUIS!$C$107)/MAX(CROQUIS!$C$134,1))+1)))-1,0))*CROQUIS!$C$134),CHOOSE(IF(INT(($A28-1)/5)&gt;MAX((MIN(80,MAX(1,INT(((CROQUIS!$C$97)-CROQUIS!$C$107)/MAX(CROQUIS!$C$134,1))+1)))-1,0),0,MOD($A28-1,5))+1,0,2,CROQUIS!$C$98-2,2,0)))*CROQUIS!$C$155)+IF(CROQUIS!$C$92="X",0,0)),-1000)</f>
        <v>-1000</v>
      </c>
      <c r="BK28">
        <f>IF(AND(CROQUIS!$C$88=1,CROQUIS!$C$134&gt;0),((CROQUIS!$C$157+(IF(CROQUIS!$C$92="X",CHOOSE(IF(INT(($A28-1)/5)&gt;MAX((MIN(80,MAX(1,INT(((CROQUIS!$C$97)-CROQUIS!$C$107)/MAX(CROQUIS!$C$134,1))+1)))-1,0),0,MOD($A28-1,5))+1,0,2,CROQUIS!$C$98-2,2,0),((CROQUIS!$C$107/2+(((CROQUIS!$C$97)-CROQUIS!$C$107)-(MIN(80,MAX(1,INT(((CROQUIS!$C$97)-CROQUIS!$C$107)/MAX(CROQUIS!$C$134,1))+1))-1)*CROQUIS!$C$134)/2)+MIN(INT(($A28-1)/5),MAX((MIN(80,MAX(1,INT(((CROQUIS!$C$97)-CROQUIS!$C$107)/MAX(CROQUIS!$C$134,1))+1)))-1,0))*CROQUIS!$C$134)))*CROQUIS!$C$155)+IF(CROQUIS!$C$92="X",0,0)),-1000)</f>
        <v>-1000</v>
      </c>
      <c r="BL28">
        <f>IF(AND(CROQUIS!$C$88=1,CROQUIS!$C$91=0,CROQUIS!$C$130&gt;0,OR(CROQUIS!$C$103=1,CROQUIS!$C$142=1)),((CROQUIS!$C$156+(IF(CROQUIS!$C$92="X",CHOOSE(IF(INT(($A28-1)/5)&gt;MAX((MIN(80,MAX(1,INT(((CROQUIS!$C$98)-CROQUIS!$C$107)/MAX(CROQUIS!$C$130,1))+1)))-1,0),0,MOD($A28-1,5))+1,0,IF(CROQUIS!$C$103=1,-12,2),CROQUIS!$C$107/2+CROQUIS!$C$140,IF(CROQUIS!$C$103=1,-12,2),0),((CROQUIS!$C$107/2+(((CROQUIS!$C$98)-CROQUIS!$C$107)-(MIN(80,MAX(1,INT(((CROQUIS!$C$98)-CROQUIS!$C$107)/MAX(CROQUIS!$C$130,1))+1))-1)*CROQUIS!$C$130)/2)+MIN(INT(($A28-1)/5),MAX((MIN(80,MAX(1,INT(((CROQUIS!$C$98)-CROQUIS!$C$107)/MAX(CROQUIS!$C$130,1))+1)))-1,0))*CROQUIS!$C$130)))*CROQUIS!$C$155)+IF(CROQUIS!$C$92="X",0,0)),-1000)</f>
        <v>-1000</v>
      </c>
      <c r="BM2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28-1)/5),MAX((MIN(80,MAX(1,INT(((CROQUIS!$C$98)-CROQUIS!$C$107)/MAX(CROQUIS!$C$130,1))+1)))-1,0))*CROQUIS!$C$130),CHOOSE(IF(INT(($A28-1)/5)&gt;MAX((MIN(80,MAX(1,INT(((CROQUIS!$C$98)-CROQUIS!$C$107)/MAX(CROQUIS!$C$130,1))+1)))-1,0),0,MOD($A28-1,5))+1,0,IF(CROQUIS!$C$103=1,-12,2),CROQUIS!$C$107/2+CROQUIS!$C$140,IF(CROQUIS!$C$103=1,-12,2),0)))*CROQUIS!$C$155)+IF(CROQUIS!$C$92="X",0,0)),-1000)</f>
        <v>-1000</v>
      </c>
      <c r="BN28">
        <f>IF(AND(CROQUIS!$C$88=1,CROQUIS!$C$91=0,CROQUIS!$C$130&gt;0,OR(CROQUIS!$C$104=1,CROQUIS!$C$142=1)),((CROQUIS!$C$156+(IF(CROQUIS!$C$92="X",CHOOSE(IF(INT(($A28-1)/5)&gt;MAX((MIN(80,MAX(1,INT(((CROQUIS!$C$98)-CROQUIS!$C$107)/MAX(CROQUIS!$C$130,1))+1)))-1,0),0,MOD($A28-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28-1)/5),MAX((MIN(80,MAX(1,INT(((CROQUIS!$C$98)-CROQUIS!$C$107)/MAX(CROQUIS!$C$130,1))+1)))-1,0))*CROQUIS!$C$130)))*CROQUIS!$C$155)+IF(CROQUIS!$C$92="X",0,0)),-1000)</f>
        <v>-1000</v>
      </c>
      <c r="BO2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28-1)/5),MAX((MIN(80,MAX(1,INT(((CROQUIS!$C$98)-CROQUIS!$C$107)/MAX(CROQUIS!$C$130,1))+1)))-1,0))*CROQUIS!$C$130),CHOOSE(IF(INT(($A28-1)/5)&gt;MAX((MIN(80,MAX(1,INT(((CROQUIS!$C$98)-CROQUIS!$C$107)/MAX(CROQUIS!$C$130,1))+1)))-1,0),0,MOD($A28-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28-1)/5),MAX((MIN(80,MAX(1,INT(((CROQUIS!$C$97)-CROQUIS!$C$107)/MAX(CROQUIS!$C$138,1))+1)))-1,0))*CROQUIS!$C$138),CHOOSE(IF(INT(($A28-1)/5)&gt;MAX((MIN(80,MAX(1,INT(((CROQUIS!$C$97)-CROQUIS!$C$107)/MAX(CROQUIS!$C$138,1))+1)))-1,0),0,MOD($A28-1,5))+1,0,IF(CROQUIS!$C$105=1,-12,2),CROQUIS!$C$107/2+CROQUIS!$C$141,IF(CROQUIS!$C$105=1,-12,2),0)))*CROQUIS!$C$155)+IF(CROQUIS!$C$92="X",0,0)),-1000)</f>
        <v>-1000</v>
      </c>
      <c r="BQ28">
        <f>IF(AND(CROQUIS!$C$88=1,CROQUIS!$C$91=0,CROQUIS!$C$138&gt;0,OR(CROQUIS!$C$105=1,CROQUIS!$C$143=1)),((CROQUIS!$C$157+(IF(CROQUIS!$C$92="X",CHOOSE(IF(INT(($A28-1)/5)&gt;MAX((MIN(80,MAX(1,INT(((CROQUIS!$C$97)-CROQUIS!$C$107)/MAX(CROQUIS!$C$138,1))+1)))-1,0),0,MOD($A28-1,5))+1,0,IF(CROQUIS!$C$105=1,-12,2),CROQUIS!$C$107/2+CROQUIS!$C$141,IF(CROQUIS!$C$105=1,-12,2),0),((CROQUIS!$C$107/2+(((CROQUIS!$C$97)-CROQUIS!$C$107)-(MIN(80,MAX(1,INT(((CROQUIS!$C$97)-CROQUIS!$C$107)/MAX(CROQUIS!$C$138,1))+1))-1)*CROQUIS!$C$138)/2)+MIN(INT(($A28-1)/5),MAX((MIN(80,MAX(1,INT(((CROQUIS!$C$97)-CROQUIS!$C$107)/MAX(CROQUIS!$C$138,1))+1)))-1,0))*CROQUIS!$C$138)))*CROQUIS!$C$155)+IF(CROQUIS!$C$92="X",0,0)),-1000)</f>
        <v>-1000</v>
      </c>
      <c r="BR2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28-1)/5),MAX((MIN(80,MAX(1,INT(((CROQUIS!$C$97)-CROQUIS!$C$107)/MAX(CROQUIS!$C$138,1))+1)))-1,0))*CROQUIS!$C$138),CHOOSE(IF(INT(($A28-1)/5)&gt;MAX((MIN(80,MAX(1,INT(((CROQUIS!$C$97)-CROQUIS!$C$107)/MAX(CROQUIS!$C$138,1))+1)))-1,0),0,MOD($A28-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8">
        <f>IF(AND(CROQUIS!$C$88=1,CROQUIS!$C$91=0,CROQUIS!$C$138&gt;0,OR(CROQUIS!$C$106=1,CROQUIS!$C$143=1)),((CROQUIS!$C$157+(IF(CROQUIS!$C$92="X",CHOOSE(IF(INT(($A28-1)/5)&gt;MAX((MIN(80,MAX(1,INT(((CROQUIS!$C$97)-CROQUIS!$C$107)/MAX(CROQUIS!$C$138,1))+1)))-1,0),0,MOD($A28-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28-1)/5),MAX((MIN(80,MAX(1,INT(((CROQUIS!$C$97)-CROQUIS!$C$107)/MAX(CROQUIS!$C$138,1))+1)))-1,0))*CROQUIS!$C$138)))*CROQUIS!$C$155)+IF(CROQUIS!$C$92="X",0,0)),-1000)</f>
        <v>-1000</v>
      </c>
      <c r="BT28">
        <f>IF(AND(CROQUIS!$C$88=1,CROQUIS!$C$91=1,CROQUIS!$C$130&gt;0),((CROQUIS!$C$156+(IF(CROQUIS!$C$92="X",CHOOSE(IF(INT(($A28-1)/5)&gt;MAX((MIN(80,MAX(1,INT(((CROQUIS!$C$98)-CROQUIS!$C$107)/MAX(CROQUIS!$C$130,1))+1)))-1,0),0,MOD($A28-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28-1)/5),MAX((MIN(80,MAX(1,INT(((CROQUIS!$C$98)-CROQUIS!$C$107)/MAX(CROQUIS!$C$130,1))+1)))-1,0))*CROQUIS!$C$130)))*CROQUIS!$C$155)+IF(CROQUIS!$C$92="X",0,0)),-1000)</f>
        <v>-1000</v>
      </c>
      <c r="BU28">
        <f>IF(AND(CROQUIS!$C$88=1,CROQUIS!$C$91=1,CROQUIS!$C$130&gt;0),((CROQUIS!$C$157+(IF(CROQUIS!$C$92="X",((CROQUIS!$C$107/2+(((CROQUIS!$C$98)-CROQUIS!$C$107)-(MIN(80,MAX(1,INT(((CROQUIS!$C$98)-CROQUIS!$C$107)/MAX(CROQUIS!$C$130,1))+1))-1)*CROQUIS!$C$130)/2)+MIN(INT(($A28-1)/5),MAX((MIN(80,MAX(1,INT(((CROQUIS!$C$98)-CROQUIS!$C$107)/MAX(CROQUIS!$C$130,1))+1)))-1,0))*CROQUIS!$C$130),CHOOSE(IF(INT(($A28-1)/5)&gt;MAX((MIN(80,MAX(1,INT(((CROQUIS!$C$98)-CROQUIS!$C$107)/MAX(CROQUIS!$C$130,1))+1)))-1,0),0,MOD($A28-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9">
      <c r="A29" t="n">
        <v>22</v>
      </c>
      <c r="F29">
        <f>IF(AND(CROQUIS!$C$87=1,CROQUIS!$C$91=1),((CROQUIS!$C$156+(IF(CROQUIS!$C$92="X",IF(CROQUIS!$C$94=1,0,CROQUIS!$C$97)+IF(MOD($A29,2)=1,-CROQUIS!$C$107/2,CROQUIS!$C$107/2),(MIN($A29,41)-1)/40*CROQUIS!$C$98))*CROQUIS!$C$155)+IF(CROQUIS!$C$92="X",0,0)),-1000)</f>
        <v>-1000</v>
      </c>
      <c r="G29">
        <f>IF(AND(CROQUIS!$C$87=1,CROQUIS!$C$91=1),((CROQUIS!$C$157+(IF(CROQUIS!$C$92="X",(MIN($A29,41)-1)/40*CROQUIS!$C$98,IF(CROQUIS!$C$94=1,0,CROQUIS!$C$97)+IF(MOD($A29,2)=1,-CROQUIS!$C$107/2,CROQUIS!$C$107/2)))*CROQUIS!$C$155)+IF(CROQUIS!$C$92="X",0,0)),-1000)</f>
        <v>-1000</v>
      </c>
      <c r="T29">
        <f>IF(AND(CROQUIS!$C$88=1,CROQUIS!$C$91=1),((CROQUIS!$C$156+(IF(CROQUIS!$C$92="X",IF(CROQUIS!$C$94=1,0,CROQUIS!$C$97)+IF(MOD($A29,2)=1,-CROQUIS!$C$107/2,CROQUIS!$C$107/2),(MIN($A29,41)-1)/40*CROQUIS!$C$98))*CROQUIS!$C$155)+IF(CROQUIS!$C$92="X",0,0)),-1000)</f>
        <v>-1000</v>
      </c>
      <c r="U29">
        <f>IF(AND(CROQUIS!$C$88=1,CROQUIS!$C$91=1),((CROQUIS!$C$157+(IF(CROQUIS!$C$92="X",(MIN($A29,41)-1)/40*CROQUIS!$C$98,IF(CROQUIS!$C$94=1,0,CROQUIS!$C$97)+IF(MOD($A29,2)=1,-CROQUIS!$C$107/2,CROQUIS!$C$107/2)))*CROQUIS!$C$155)+IF(CROQUIS!$C$92="X",0,0)),-1000)</f>
        <v>-1000</v>
      </c>
      <c r="AF29">
        <f>IF(AND(CROQUIS!$C$87=1,CROQUIS!$C$158&gt;0,CROQUIS!$C$160&gt;0),(CROQUIS!$C$156+((CROQUIS!$C$159+INT(MIN(INT(($A29-1)/2),MAX((2*CROQUIS!$C$158)-1,0))/2)*CROQUIS!$C$113+MOD(MIN(INT(($A29-1)/2),MAX((2*CROQUIS!$C$158)-1,0)),2)*CROQUIS!$C$112))*CROQUIS!$C$155),-1000)</f>
        <v>74.898328061455</v>
      </c>
      <c r="AG29">
        <f>IF(AND(CROQUIS!$C$87=1,CROQUIS!$C$158&gt;0,CROQUIS!$C$160&gt;0),(CROQUIS!$C$157+(IF(MOD(MIN(INT(($A29-1)/2),MAX((2*CROQUIS!$C$158)-1,0)),2)=0,IF(IF(INT(($A29-1)/2)&gt;MAX((2*CROQUIS!$C$158)-1,0),1,MOD($A29-1,2))=0,CROQUIS!$C$161,(CROQUIS!$C$161+CROQUIS!$C$160*CROQUIS!$C$113-CROQUIS!$C$111)),IF(IF(INT(($A29-1)/2)&gt;MAX((2*CROQUIS!$C$158)-1,0),1,MOD($A29-1,2))=0,(CROQUIS!$C$161+CROQUIS!$C$160*CROQUIS!$C$113-CROQUIS!$C$111),CROQUIS!$C$161)))*CROQUIS!$C$155),-1000)</f>
        <v>79.1911432444645</v>
      </c>
      <c r="AH29">
        <f>IF(AND(CROQUIS!$C$87=1,CROQUIS!$C$160&gt;0,CROQUIS!$C$158&gt;0),(CROQUIS!$C$156+(IF(MOD(MIN(INT(($A29-1)/2),MAX((2*CROQUIS!$C$160)-1,0)),2)=0,IF(IF(INT(($A29-1)/2)&gt;MAX((2*CROQUIS!$C$160)-1,0),1,MOD($A29-1,2))=0,CROQUIS!$C$159,(CROQUIS!$C$159+CROQUIS!$C$158*CROQUIS!$C$113-CROQUIS!$C$111)),IF(IF(INT(($A29-1)/2)&gt;MAX((2*CROQUIS!$C$160)-1,0),1,MOD($A29-1,2))=0,(CROQUIS!$C$159+CROQUIS!$C$158*CROQUIS!$C$113-CROQUIS!$C$111),CROQUIS!$C$159)))*CROQUIS!$C$155),-1000)</f>
        <v>14.7989154993222</v>
      </c>
      <c r="AI29">
        <f>IF(AND(CROQUIS!$C$87=1,CROQUIS!$C$160&gt;0,CROQUIS!$C$158&gt;0),(CROQUIS!$C$157+((CROQUIS!$C$161+INT(MIN(INT(($A29-1)/2),MAX((2*CROQUIS!$C$160)-1,0))/2)*CROQUIS!$C$113+MOD(MIN(INT(($A29-1)/2),MAX((2*CROQUIS!$C$160)-1,0)),2)*CROQUIS!$C$112))*CROQUIS!$C$155),-1000)</f>
        <v>79.1911432444645</v>
      </c>
      <c r="AJ29">
        <f>IF(AND(CROQUIS!$C$87=1,CROQUIS!$C$158&gt;=2),(CROQUIS!$C$156+((CROQUIS!$C$159+CROQUIS!$C$112+CROQUIS!$C$111/2+MIN(INT(($A29-1)/2),MAX((CROQUIS!$C$158-1)-1,0))*CROQUIS!$C$113))*CROQUIS!$C$155),-1000)</f>
        <v>74.0397650248531</v>
      </c>
      <c r="AK29">
        <f>IF(AND(CROQUIS!$C$87=1,CROQUIS!$C$158&gt;=2),(CROQUIS!$C$157+(IF(MOD(MIN(INT(($A29-1)/2),MAX((CROQUIS!$C$158-1)-1,0)),2)=0,IF(IF(INT(($A29-1)/2)&gt;MAX((CROQUIS!$C$158-1)-1,0),1,MOD($A29-1,2))=0,CROQUIS!$C$107/2,(CROQUIS!$C$96-CROQUIS!$C$107/2)),IF(IF(INT(($A29-1)/2)&gt;MAX((CROQUIS!$C$158-1)-1,0),1,MOD($A29-1,2))=0,(CROQUIS!$C$96-CROQUIS!$C$107/2),CROQUIS!$C$107/2)))*CROQUIS!$C$155),-1000)</f>
        <v>83.0546769091731</v>
      </c>
      <c r="AL29">
        <f>IF(AND(CROQUIS!$C$87=1,CROQUIS!$C$160&gt;=2),(CROQUIS!$C$156+(IF(MOD(MIN(INT(($A29-1)/2),MAX((CROQUIS!$C$160-1)-1,0)),2)=0,IF(IF(INT(($A29-1)/2)&gt;MAX((CROQUIS!$C$160-1)-1,0),1,MOD($A29-1,2))=0,CROQUIS!$C$107/2,(CROQUIS!$C$95-CROQUIS!$C$107/2)),IF(IF(INT(($A29-1)/2)&gt;MAX((CROQUIS!$C$160-1)-1,0),1,MOD($A29-1,2))=0,(CROQUIS!$C$95-CROQUIS!$C$107/2),CROQUIS!$C$107/2)))*CROQUIS!$C$155),-1000)</f>
        <v>13.2878445549028</v>
      </c>
      <c r="AM29">
        <f>IF(AND(CROQUIS!$C$87=1,CROQUIS!$C$160&gt;=2),(CROQUIS!$C$157+((CROQUIS!$C$161+CROQUIS!$C$112+CROQUIS!$C$111/2+MIN(INT(($A29-1)/2),MAX((CROQUIS!$C$160-1)-1,0))*CROQUIS!$C$113))*CROQUIS!$C$155),-1000)</f>
        <v>68.0298237686399</v>
      </c>
      <c r="BH29">
        <f>IF(AND(CROQUIS!$C$88=1,CROQUIS!$C$126&gt;0),((CROQUIS!$C$156+(IF(CROQUIS!$C$92="X",CHOOSE(IF(INT(($A29-1)/5)&gt;MAX((MIN(80,MAX(1,INT(((CROQUIS!$C$98)-CROQUIS!$C$107)/MAX(CROQUIS!$C$126,1))+1)))-1,0),0,MOD($A29-1,5))+1,0,2,CROQUIS!$C$97-2,2,0),((CROQUIS!$C$107/2+(((CROQUIS!$C$98)-CROQUIS!$C$107)-(MIN(80,MAX(1,INT(((CROQUIS!$C$98)-CROQUIS!$C$107)/MAX(CROQUIS!$C$126,1))+1))-1)*CROQUIS!$C$126)/2)+MIN(INT(($A29-1)/5),MAX((MIN(80,MAX(1,INT(((CROQUIS!$C$98)-CROQUIS!$C$107)/MAX(CROQUIS!$C$126,1))+1)))-1,0))*CROQUIS!$C$126)))*CROQUIS!$C$155)+IF(CROQUIS!$C$92="X",0,0)),-1000)</f>
        <v>-1000</v>
      </c>
      <c r="BI29">
        <f>IF(AND(CROQUIS!$C$88=1,CROQUIS!$C$126&gt;0),((CROQUIS!$C$157+(IF(CROQUIS!$C$92="X",((CROQUIS!$C$107/2+(((CROQUIS!$C$98)-CROQUIS!$C$107)-(MIN(80,MAX(1,INT(((CROQUIS!$C$98)-CROQUIS!$C$107)/MAX(CROQUIS!$C$126,1))+1))-1)*CROQUIS!$C$126)/2)+MIN(INT(($A29-1)/5),MAX((MIN(80,MAX(1,INT(((CROQUIS!$C$98)-CROQUIS!$C$107)/MAX(CROQUIS!$C$126,1))+1)))-1,0))*CROQUIS!$C$126),CHOOSE(IF(INT(($A29-1)/5)&gt;MAX((MIN(80,MAX(1,INT(((CROQUIS!$C$98)-CROQUIS!$C$107)/MAX(CROQUIS!$C$126,1))+1)))-1,0),0,MOD($A29-1,5))+1,0,2,CROQUIS!$C$97-2,2,0)))*CROQUIS!$C$155)+IF(CROQUIS!$C$92="X",0,0)),-1000)</f>
        <v>-1000</v>
      </c>
      <c r="BJ29">
        <f>IF(AND(CROQUIS!$C$88=1,CROQUIS!$C$134&gt;0),((CROQUIS!$C$156+(IF(CROQUIS!$C$92="X",((CROQUIS!$C$107/2+(((CROQUIS!$C$97)-CROQUIS!$C$107)-(MIN(80,MAX(1,INT(((CROQUIS!$C$97)-CROQUIS!$C$107)/MAX(CROQUIS!$C$134,1))+1))-1)*CROQUIS!$C$134)/2)+MIN(INT(($A29-1)/5),MAX((MIN(80,MAX(1,INT(((CROQUIS!$C$97)-CROQUIS!$C$107)/MAX(CROQUIS!$C$134,1))+1)))-1,0))*CROQUIS!$C$134),CHOOSE(IF(INT(($A29-1)/5)&gt;MAX((MIN(80,MAX(1,INT(((CROQUIS!$C$97)-CROQUIS!$C$107)/MAX(CROQUIS!$C$134,1))+1)))-1,0),0,MOD($A29-1,5))+1,0,2,CROQUIS!$C$98-2,2,0)))*CROQUIS!$C$155)+IF(CROQUIS!$C$92="X",0,0)),-1000)</f>
        <v>-1000</v>
      </c>
      <c r="BK29">
        <f>IF(AND(CROQUIS!$C$88=1,CROQUIS!$C$134&gt;0),((CROQUIS!$C$157+(IF(CROQUIS!$C$92="X",CHOOSE(IF(INT(($A29-1)/5)&gt;MAX((MIN(80,MAX(1,INT(((CROQUIS!$C$97)-CROQUIS!$C$107)/MAX(CROQUIS!$C$134,1))+1)))-1,0),0,MOD($A29-1,5))+1,0,2,CROQUIS!$C$98-2,2,0),((CROQUIS!$C$107/2+(((CROQUIS!$C$97)-CROQUIS!$C$107)-(MIN(80,MAX(1,INT(((CROQUIS!$C$97)-CROQUIS!$C$107)/MAX(CROQUIS!$C$134,1))+1))-1)*CROQUIS!$C$134)/2)+MIN(INT(($A29-1)/5),MAX((MIN(80,MAX(1,INT(((CROQUIS!$C$97)-CROQUIS!$C$107)/MAX(CROQUIS!$C$134,1))+1)))-1,0))*CROQUIS!$C$134)))*CROQUIS!$C$155)+IF(CROQUIS!$C$92="X",0,0)),-1000)</f>
        <v>-1000</v>
      </c>
      <c r="BL29">
        <f>IF(AND(CROQUIS!$C$88=1,CROQUIS!$C$91=0,CROQUIS!$C$130&gt;0,OR(CROQUIS!$C$103=1,CROQUIS!$C$142=1)),((CROQUIS!$C$156+(IF(CROQUIS!$C$92="X",CHOOSE(IF(INT(($A29-1)/5)&gt;MAX((MIN(80,MAX(1,INT(((CROQUIS!$C$98)-CROQUIS!$C$107)/MAX(CROQUIS!$C$130,1))+1)))-1,0),0,MOD($A29-1,5))+1,0,IF(CROQUIS!$C$103=1,-12,2),CROQUIS!$C$107/2+CROQUIS!$C$140,IF(CROQUIS!$C$103=1,-12,2),0),((CROQUIS!$C$107/2+(((CROQUIS!$C$98)-CROQUIS!$C$107)-(MIN(80,MAX(1,INT(((CROQUIS!$C$98)-CROQUIS!$C$107)/MAX(CROQUIS!$C$130,1))+1))-1)*CROQUIS!$C$130)/2)+MIN(INT(($A29-1)/5),MAX((MIN(80,MAX(1,INT(((CROQUIS!$C$98)-CROQUIS!$C$107)/MAX(CROQUIS!$C$130,1))+1)))-1,0))*CROQUIS!$C$130)))*CROQUIS!$C$155)+IF(CROQUIS!$C$92="X",0,0)),-1000)</f>
        <v>-1000</v>
      </c>
      <c r="BM2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29-1)/5),MAX((MIN(80,MAX(1,INT(((CROQUIS!$C$98)-CROQUIS!$C$107)/MAX(CROQUIS!$C$130,1))+1)))-1,0))*CROQUIS!$C$130),CHOOSE(IF(INT(($A29-1)/5)&gt;MAX((MIN(80,MAX(1,INT(((CROQUIS!$C$98)-CROQUIS!$C$107)/MAX(CROQUIS!$C$130,1))+1)))-1,0),0,MOD($A29-1,5))+1,0,IF(CROQUIS!$C$103=1,-12,2),CROQUIS!$C$107/2+CROQUIS!$C$140,IF(CROQUIS!$C$103=1,-12,2),0)))*CROQUIS!$C$155)+IF(CROQUIS!$C$92="X",0,0)),-1000)</f>
        <v>-1000</v>
      </c>
      <c r="BN29">
        <f>IF(AND(CROQUIS!$C$88=1,CROQUIS!$C$91=0,CROQUIS!$C$130&gt;0,OR(CROQUIS!$C$104=1,CROQUIS!$C$142=1)),((CROQUIS!$C$156+(IF(CROQUIS!$C$92="X",CHOOSE(IF(INT(($A29-1)/5)&gt;MAX((MIN(80,MAX(1,INT(((CROQUIS!$C$98)-CROQUIS!$C$107)/MAX(CROQUIS!$C$130,1))+1)))-1,0),0,MOD($A29-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29-1)/5),MAX((MIN(80,MAX(1,INT(((CROQUIS!$C$98)-CROQUIS!$C$107)/MAX(CROQUIS!$C$130,1))+1)))-1,0))*CROQUIS!$C$130)))*CROQUIS!$C$155)+IF(CROQUIS!$C$92="X",0,0)),-1000)</f>
        <v>-1000</v>
      </c>
      <c r="BO2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29-1)/5),MAX((MIN(80,MAX(1,INT(((CROQUIS!$C$98)-CROQUIS!$C$107)/MAX(CROQUIS!$C$130,1))+1)))-1,0))*CROQUIS!$C$130),CHOOSE(IF(INT(($A29-1)/5)&gt;MAX((MIN(80,MAX(1,INT(((CROQUIS!$C$98)-CROQUIS!$C$107)/MAX(CROQUIS!$C$130,1))+1)))-1,0),0,MOD($A29-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29-1)/5),MAX((MIN(80,MAX(1,INT(((CROQUIS!$C$97)-CROQUIS!$C$107)/MAX(CROQUIS!$C$138,1))+1)))-1,0))*CROQUIS!$C$138),CHOOSE(IF(INT(($A29-1)/5)&gt;MAX((MIN(80,MAX(1,INT(((CROQUIS!$C$97)-CROQUIS!$C$107)/MAX(CROQUIS!$C$138,1))+1)))-1,0),0,MOD($A29-1,5))+1,0,IF(CROQUIS!$C$105=1,-12,2),CROQUIS!$C$107/2+CROQUIS!$C$141,IF(CROQUIS!$C$105=1,-12,2),0)))*CROQUIS!$C$155)+IF(CROQUIS!$C$92="X",0,0)),-1000)</f>
        <v>-1000</v>
      </c>
      <c r="BQ29">
        <f>IF(AND(CROQUIS!$C$88=1,CROQUIS!$C$91=0,CROQUIS!$C$138&gt;0,OR(CROQUIS!$C$105=1,CROQUIS!$C$143=1)),((CROQUIS!$C$157+(IF(CROQUIS!$C$92="X",CHOOSE(IF(INT(($A29-1)/5)&gt;MAX((MIN(80,MAX(1,INT(((CROQUIS!$C$97)-CROQUIS!$C$107)/MAX(CROQUIS!$C$138,1))+1)))-1,0),0,MOD($A29-1,5))+1,0,IF(CROQUIS!$C$105=1,-12,2),CROQUIS!$C$107/2+CROQUIS!$C$141,IF(CROQUIS!$C$105=1,-12,2),0),((CROQUIS!$C$107/2+(((CROQUIS!$C$97)-CROQUIS!$C$107)-(MIN(80,MAX(1,INT(((CROQUIS!$C$97)-CROQUIS!$C$107)/MAX(CROQUIS!$C$138,1))+1))-1)*CROQUIS!$C$138)/2)+MIN(INT(($A29-1)/5),MAX((MIN(80,MAX(1,INT(((CROQUIS!$C$97)-CROQUIS!$C$107)/MAX(CROQUIS!$C$138,1))+1)))-1,0))*CROQUIS!$C$138)))*CROQUIS!$C$155)+IF(CROQUIS!$C$92="X",0,0)),-1000)</f>
        <v>-1000</v>
      </c>
      <c r="BR2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29-1)/5),MAX((MIN(80,MAX(1,INT(((CROQUIS!$C$97)-CROQUIS!$C$107)/MAX(CROQUIS!$C$138,1))+1)))-1,0))*CROQUIS!$C$138),CHOOSE(IF(INT(($A29-1)/5)&gt;MAX((MIN(80,MAX(1,INT(((CROQUIS!$C$97)-CROQUIS!$C$107)/MAX(CROQUIS!$C$138,1))+1)))-1,0),0,MOD($A29-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9">
        <f>IF(AND(CROQUIS!$C$88=1,CROQUIS!$C$91=0,CROQUIS!$C$138&gt;0,OR(CROQUIS!$C$106=1,CROQUIS!$C$143=1)),((CROQUIS!$C$157+(IF(CROQUIS!$C$92="X",CHOOSE(IF(INT(($A29-1)/5)&gt;MAX((MIN(80,MAX(1,INT(((CROQUIS!$C$97)-CROQUIS!$C$107)/MAX(CROQUIS!$C$138,1))+1)))-1,0),0,MOD($A29-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29-1)/5),MAX((MIN(80,MAX(1,INT(((CROQUIS!$C$97)-CROQUIS!$C$107)/MAX(CROQUIS!$C$138,1))+1)))-1,0))*CROQUIS!$C$138)))*CROQUIS!$C$155)+IF(CROQUIS!$C$92="X",0,0)),-1000)</f>
        <v>-1000</v>
      </c>
      <c r="BT29">
        <f>IF(AND(CROQUIS!$C$88=1,CROQUIS!$C$91=1,CROQUIS!$C$130&gt;0),((CROQUIS!$C$156+(IF(CROQUIS!$C$92="X",CHOOSE(IF(INT(($A29-1)/5)&gt;MAX((MIN(80,MAX(1,INT(((CROQUIS!$C$98)-CROQUIS!$C$107)/MAX(CROQUIS!$C$130,1))+1)))-1,0),0,MOD($A29-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29-1)/5),MAX((MIN(80,MAX(1,INT(((CROQUIS!$C$98)-CROQUIS!$C$107)/MAX(CROQUIS!$C$130,1))+1)))-1,0))*CROQUIS!$C$130)))*CROQUIS!$C$155)+IF(CROQUIS!$C$92="X",0,0)),-1000)</f>
        <v>-1000</v>
      </c>
      <c r="BU29">
        <f>IF(AND(CROQUIS!$C$88=1,CROQUIS!$C$91=1,CROQUIS!$C$130&gt;0),((CROQUIS!$C$157+(IF(CROQUIS!$C$92="X",((CROQUIS!$C$107/2+(((CROQUIS!$C$98)-CROQUIS!$C$107)-(MIN(80,MAX(1,INT(((CROQUIS!$C$98)-CROQUIS!$C$107)/MAX(CROQUIS!$C$130,1))+1))-1)*CROQUIS!$C$130)/2)+MIN(INT(($A29-1)/5),MAX((MIN(80,MAX(1,INT(((CROQUIS!$C$98)-CROQUIS!$C$107)/MAX(CROQUIS!$C$130,1))+1)))-1,0))*CROQUIS!$C$130),CHOOSE(IF(INT(($A29-1)/5)&gt;MAX((MIN(80,MAX(1,INT(((CROQUIS!$C$98)-CROQUIS!$C$107)/MAX(CROQUIS!$C$130,1))+1)))-1,0),0,MOD($A29-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0">
      <c r="A30" t="n">
        <v>23</v>
      </c>
      <c r="F30">
        <f>IF(AND(CROQUIS!$C$87=1,CROQUIS!$C$91=1),((CROQUIS!$C$156+(IF(CROQUIS!$C$92="X",IF(CROQUIS!$C$94=1,0,CROQUIS!$C$97)+IF(MOD($A30,2)=1,-CROQUIS!$C$107/2,CROQUIS!$C$107/2),(MIN($A30,41)-1)/40*CROQUIS!$C$98))*CROQUIS!$C$155)+IF(CROQUIS!$C$92="X",0,0)),-1000)</f>
        <v>-1000</v>
      </c>
      <c r="G30">
        <f>IF(AND(CROQUIS!$C$87=1,CROQUIS!$C$91=1),((CROQUIS!$C$157+(IF(CROQUIS!$C$92="X",(MIN($A30,41)-1)/40*CROQUIS!$C$98,IF(CROQUIS!$C$94=1,0,CROQUIS!$C$97)+IF(MOD($A30,2)=1,-CROQUIS!$C$107/2,CROQUIS!$C$107/2)))*CROQUIS!$C$155)+IF(CROQUIS!$C$92="X",0,0)),-1000)</f>
        <v>-1000</v>
      </c>
      <c r="T30">
        <f>IF(AND(CROQUIS!$C$88=1,CROQUIS!$C$91=1),((CROQUIS!$C$156+(IF(CROQUIS!$C$92="X",IF(CROQUIS!$C$94=1,0,CROQUIS!$C$97)+IF(MOD($A30,2)=1,-CROQUIS!$C$107/2,CROQUIS!$C$107/2),(MIN($A30,41)-1)/40*CROQUIS!$C$98))*CROQUIS!$C$155)+IF(CROQUIS!$C$92="X",0,0)),-1000)</f>
        <v>-1000</v>
      </c>
      <c r="U30">
        <f>IF(AND(CROQUIS!$C$88=1,CROQUIS!$C$91=1),((CROQUIS!$C$157+(IF(CROQUIS!$C$92="X",(MIN($A30,41)-1)/40*CROQUIS!$C$98,IF(CROQUIS!$C$94=1,0,CROQUIS!$C$97)+IF(MOD($A30,2)=1,-CROQUIS!$C$107/2,CROQUIS!$C$107/2)))*CROQUIS!$C$155)+IF(CROQUIS!$C$92="X",0,0)),-1000)</f>
        <v>-1000</v>
      </c>
      <c r="AF30">
        <f>IF(AND(CROQUIS!$C$87=1,CROQUIS!$C$158&gt;0,CROQUIS!$C$160&gt;0),(CROQUIS!$C$156+((CROQUIS!$C$159+INT(MIN(INT(($A30-1)/2),MAX((2*CROQUIS!$C$158)-1,0))/2)*CROQUIS!$C$113+MOD(MIN(INT(($A30-1)/2),MAX((2*CROQUIS!$C$158)-1,0)),2)*CROQUIS!$C$112))*CROQUIS!$C$155),-1000)</f>
        <v>85.2010845006778</v>
      </c>
      <c r="AG30">
        <f>IF(AND(CROQUIS!$C$87=1,CROQUIS!$C$158&gt;0,CROQUIS!$C$160&gt;0),(CROQUIS!$C$157+(IF(MOD(MIN(INT(($A30-1)/2),MAX((2*CROQUIS!$C$158)-1,0)),2)=0,IF(IF(INT(($A30-1)/2)&gt;MAX((2*CROQUIS!$C$158)-1,0),1,MOD($A30-1,2))=0,CROQUIS!$C$161,(CROQUIS!$C$161+CROQUIS!$C$160*CROQUIS!$C$113-CROQUIS!$C$111)),IF(IF(INT(($A30-1)/2)&gt;MAX((2*CROQUIS!$C$158)-1,0),1,MOD($A30-1,2))=0,(CROQUIS!$C$161+CROQUIS!$C$160*CROQUIS!$C$113-CROQUIS!$C$111),CROQUIS!$C$161)))*CROQUIS!$C$155),-1000)</f>
        <v>79.1911432444645</v>
      </c>
      <c r="AH30">
        <f>IF(AND(CROQUIS!$C$87=1,CROQUIS!$C$160&gt;0,CROQUIS!$C$158&gt;0),(CROQUIS!$C$156+(IF(MOD(MIN(INT(($A30-1)/2),MAX((2*CROQUIS!$C$160)-1,0)),2)=0,IF(IF(INT(($A30-1)/2)&gt;MAX((2*CROQUIS!$C$160)-1,0),1,MOD($A30-1,2))=0,CROQUIS!$C$159,(CROQUIS!$C$159+CROQUIS!$C$158*CROQUIS!$C$113-CROQUIS!$C$111)),IF(IF(INT(($A30-1)/2)&gt;MAX((2*CROQUIS!$C$160)-1,0),1,MOD($A30-1,2))=0,(CROQUIS!$C$159+CROQUIS!$C$158*CROQUIS!$C$113-CROQUIS!$C$111),CROQUIS!$C$159)))*CROQUIS!$C$155),-1000)</f>
        <v>14.7989154993222</v>
      </c>
      <c r="AI30">
        <f>IF(AND(CROQUIS!$C$87=1,CROQUIS!$C$160&gt;0,CROQUIS!$C$158&gt;0),(CROQUIS!$C$157+((CROQUIS!$C$161+INT(MIN(INT(($A30-1)/2),MAX((2*CROQUIS!$C$160)-1,0))/2)*CROQUIS!$C$113+MOD(MIN(INT(($A30-1)/2),MAX((2*CROQUIS!$C$160)-1,0)),2)*CROQUIS!$C$112))*CROQUIS!$C$155),-1000)</f>
        <v>79.1911432444645</v>
      </c>
      <c r="AJ30">
        <f>IF(AND(CROQUIS!$C$87=1,CROQUIS!$C$158&gt;=2),(CROQUIS!$C$156+((CROQUIS!$C$159+CROQUIS!$C$112+CROQUIS!$C$111/2+MIN(INT(($A30-1)/2),MAX((CROQUIS!$C$158-1)-1,0))*CROQUIS!$C$113))*CROQUIS!$C$155),-1000)</f>
        <v>74.0397650248531</v>
      </c>
      <c r="AK30">
        <f>IF(AND(CROQUIS!$C$87=1,CROQUIS!$C$158&gt;=2),(CROQUIS!$C$157+(IF(MOD(MIN(INT(($A30-1)/2),MAX((CROQUIS!$C$158-1)-1,0)),2)=0,IF(IF(INT(($A30-1)/2)&gt;MAX((CROQUIS!$C$158-1)-1,0),1,MOD($A30-1,2))=0,CROQUIS!$C$107/2,(CROQUIS!$C$96-CROQUIS!$C$107/2)),IF(IF(INT(($A30-1)/2)&gt;MAX((CROQUIS!$C$158-1)-1,0),1,MOD($A30-1,2))=0,(CROQUIS!$C$96-CROQUIS!$C$107/2),CROQUIS!$C$107/2)))*CROQUIS!$C$155),-1000)</f>
        <v>83.0546769091731</v>
      </c>
      <c r="AL30">
        <f>IF(AND(CROQUIS!$C$87=1,CROQUIS!$C$160&gt;=2),(CROQUIS!$C$156+(IF(MOD(MIN(INT(($A30-1)/2),MAX((CROQUIS!$C$160-1)-1,0)),2)=0,IF(IF(INT(($A30-1)/2)&gt;MAX((CROQUIS!$C$160-1)-1,0),1,MOD($A30-1,2))=0,CROQUIS!$C$107/2,(CROQUIS!$C$95-CROQUIS!$C$107/2)),IF(IF(INT(($A30-1)/2)&gt;MAX((CROQUIS!$C$160-1)-1,0),1,MOD($A30-1,2))=0,(CROQUIS!$C$95-CROQUIS!$C$107/2),CROQUIS!$C$107/2)))*CROQUIS!$C$155),-1000)</f>
        <v>13.2878445549028</v>
      </c>
      <c r="AM30">
        <f>IF(AND(CROQUIS!$C$87=1,CROQUIS!$C$160&gt;=2),(CROQUIS!$C$157+((CROQUIS!$C$161+CROQUIS!$C$112+CROQUIS!$C$111/2+MIN(INT(($A30-1)/2),MAX((CROQUIS!$C$160-1)-1,0))*CROQUIS!$C$113))*CROQUIS!$C$155),-1000)</f>
        <v>68.0298237686399</v>
      </c>
      <c r="BH30">
        <f>IF(AND(CROQUIS!$C$88=1,CROQUIS!$C$126&gt;0),((CROQUIS!$C$156+(IF(CROQUIS!$C$92="X",CHOOSE(IF(INT(($A30-1)/5)&gt;MAX((MIN(80,MAX(1,INT(((CROQUIS!$C$98)-CROQUIS!$C$107)/MAX(CROQUIS!$C$126,1))+1)))-1,0),0,MOD($A30-1,5))+1,0,2,CROQUIS!$C$97-2,2,0),((CROQUIS!$C$107/2+(((CROQUIS!$C$98)-CROQUIS!$C$107)-(MIN(80,MAX(1,INT(((CROQUIS!$C$98)-CROQUIS!$C$107)/MAX(CROQUIS!$C$126,1))+1))-1)*CROQUIS!$C$126)/2)+MIN(INT(($A30-1)/5),MAX((MIN(80,MAX(1,INT(((CROQUIS!$C$98)-CROQUIS!$C$107)/MAX(CROQUIS!$C$126,1))+1)))-1,0))*CROQUIS!$C$126)))*CROQUIS!$C$155)+IF(CROQUIS!$C$92="X",0,0)),-1000)</f>
        <v>-1000</v>
      </c>
      <c r="BI30">
        <f>IF(AND(CROQUIS!$C$88=1,CROQUIS!$C$126&gt;0),((CROQUIS!$C$157+(IF(CROQUIS!$C$92="X",((CROQUIS!$C$107/2+(((CROQUIS!$C$98)-CROQUIS!$C$107)-(MIN(80,MAX(1,INT(((CROQUIS!$C$98)-CROQUIS!$C$107)/MAX(CROQUIS!$C$126,1))+1))-1)*CROQUIS!$C$126)/2)+MIN(INT(($A30-1)/5),MAX((MIN(80,MAX(1,INT(((CROQUIS!$C$98)-CROQUIS!$C$107)/MAX(CROQUIS!$C$126,1))+1)))-1,0))*CROQUIS!$C$126),CHOOSE(IF(INT(($A30-1)/5)&gt;MAX((MIN(80,MAX(1,INT(((CROQUIS!$C$98)-CROQUIS!$C$107)/MAX(CROQUIS!$C$126,1))+1)))-1,0),0,MOD($A30-1,5))+1,0,2,CROQUIS!$C$97-2,2,0)))*CROQUIS!$C$155)+IF(CROQUIS!$C$92="X",0,0)),-1000)</f>
        <v>-1000</v>
      </c>
      <c r="BJ30">
        <f>IF(AND(CROQUIS!$C$88=1,CROQUIS!$C$134&gt;0),((CROQUIS!$C$156+(IF(CROQUIS!$C$92="X",((CROQUIS!$C$107/2+(((CROQUIS!$C$97)-CROQUIS!$C$107)-(MIN(80,MAX(1,INT(((CROQUIS!$C$97)-CROQUIS!$C$107)/MAX(CROQUIS!$C$134,1))+1))-1)*CROQUIS!$C$134)/2)+MIN(INT(($A30-1)/5),MAX((MIN(80,MAX(1,INT(((CROQUIS!$C$97)-CROQUIS!$C$107)/MAX(CROQUIS!$C$134,1))+1)))-1,0))*CROQUIS!$C$134),CHOOSE(IF(INT(($A30-1)/5)&gt;MAX((MIN(80,MAX(1,INT(((CROQUIS!$C$97)-CROQUIS!$C$107)/MAX(CROQUIS!$C$134,1))+1)))-1,0),0,MOD($A30-1,5))+1,0,2,CROQUIS!$C$98-2,2,0)))*CROQUIS!$C$155)+IF(CROQUIS!$C$92="X",0,0)),-1000)</f>
        <v>-1000</v>
      </c>
      <c r="BK30">
        <f>IF(AND(CROQUIS!$C$88=1,CROQUIS!$C$134&gt;0),((CROQUIS!$C$157+(IF(CROQUIS!$C$92="X",CHOOSE(IF(INT(($A30-1)/5)&gt;MAX((MIN(80,MAX(1,INT(((CROQUIS!$C$97)-CROQUIS!$C$107)/MAX(CROQUIS!$C$134,1))+1)))-1,0),0,MOD($A30-1,5))+1,0,2,CROQUIS!$C$98-2,2,0),((CROQUIS!$C$107/2+(((CROQUIS!$C$97)-CROQUIS!$C$107)-(MIN(80,MAX(1,INT(((CROQUIS!$C$97)-CROQUIS!$C$107)/MAX(CROQUIS!$C$134,1))+1))-1)*CROQUIS!$C$134)/2)+MIN(INT(($A30-1)/5),MAX((MIN(80,MAX(1,INT(((CROQUIS!$C$97)-CROQUIS!$C$107)/MAX(CROQUIS!$C$134,1))+1)))-1,0))*CROQUIS!$C$134)))*CROQUIS!$C$155)+IF(CROQUIS!$C$92="X",0,0)),-1000)</f>
        <v>-1000</v>
      </c>
      <c r="BL30">
        <f>IF(AND(CROQUIS!$C$88=1,CROQUIS!$C$91=0,CROQUIS!$C$130&gt;0,OR(CROQUIS!$C$103=1,CROQUIS!$C$142=1)),((CROQUIS!$C$156+(IF(CROQUIS!$C$92="X",CHOOSE(IF(INT(($A30-1)/5)&gt;MAX((MIN(80,MAX(1,INT(((CROQUIS!$C$98)-CROQUIS!$C$107)/MAX(CROQUIS!$C$130,1))+1)))-1,0),0,MOD($A30-1,5))+1,0,IF(CROQUIS!$C$103=1,-12,2),CROQUIS!$C$107/2+CROQUIS!$C$140,IF(CROQUIS!$C$103=1,-12,2),0),((CROQUIS!$C$107/2+(((CROQUIS!$C$98)-CROQUIS!$C$107)-(MIN(80,MAX(1,INT(((CROQUIS!$C$98)-CROQUIS!$C$107)/MAX(CROQUIS!$C$130,1))+1))-1)*CROQUIS!$C$130)/2)+MIN(INT(($A30-1)/5),MAX((MIN(80,MAX(1,INT(((CROQUIS!$C$98)-CROQUIS!$C$107)/MAX(CROQUIS!$C$130,1))+1)))-1,0))*CROQUIS!$C$130)))*CROQUIS!$C$155)+IF(CROQUIS!$C$92="X",0,0)),-1000)</f>
        <v>-1000</v>
      </c>
      <c r="BM3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30-1)/5),MAX((MIN(80,MAX(1,INT(((CROQUIS!$C$98)-CROQUIS!$C$107)/MAX(CROQUIS!$C$130,1))+1)))-1,0))*CROQUIS!$C$130),CHOOSE(IF(INT(($A30-1)/5)&gt;MAX((MIN(80,MAX(1,INT(((CROQUIS!$C$98)-CROQUIS!$C$107)/MAX(CROQUIS!$C$130,1))+1)))-1,0),0,MOD($A30-1,5))+1,0,IF(CROQUIS!$C$103=1,-12,2),CROQUIS!$C$107/2+CROQUIS!$C$140,IF(CROQUIS!$C$103=1,-12,2),0)))*CROQUIS!$C$155)+IF(CROQUIS!$C$92="X",0,0)),-1000)</f>
        <v>-1000</v>
      </c>
      <c r="BN30">
        <f>IF(AND(CROQUIS!$C$88=1,CROQUIS!$C$91=0,CROQUIS!$C$130&gt;0,OR(CROQUIS!$C$104=1,CROQUIS!$C$142=1)),((CROQUIS!$C$156+(IF(CROQUIS!$C$92="X",CHOOSE(IF(INT(($A30-1)/5)&gt;MAX((MIN(80,MAX(1,INT(((CROQUIS!$C$98)-CROQUIS!$C$107)/MAX(CROQUIS!$C$130,1))+1)))-1,0),0,MOD($A30-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30-1)/5),MAX((MIN(80,MAX(1,INT(((CROQUIS!$C$98)-CROQUIS!$C$107)/MAX(CROQUIS!$C$130,1))+1)))-1,0))*CROQUIS!$C$130)))*CROQUIS!$C$155)+IF(CROQUIS!$C$92="X",0,0)),-1000)</f>
        <v>-1000</v>
      </c>
      <c r="BO3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30-1)/5),MAX((MIN(80,MAX(1,INT(((CROQUIS!$C$98)-CROQUIS!$C$107)/MAX(CROQUIS!$C$130,1))+1)))-1,0))*CROQUIS!$C$130),CHOOSE(IF(INT(($A30-1)/5)&gt;MAX((MIN(80,MAX(1,INT(((CROQUIS!$C$98)-CROQUIS!$C$107)/MAX(CROQUIS!$C$130,1))+1)))-1,0),0,MOD($A30-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30-1)/5),MAX((MIN(80,MAX(1,INT(((CROQUIS!$C$97)-CROQUIS!$C$107)/MAX(CROQUIS!$C$138,1))+1)))-1,0))*CROQUIS!$C$138),CHOOSE(IF(INT(($A30-1)/5)&gt;MAX((MIN(80,MAX(1,INT(((CROQUIS!$C$97)-CROQUIS!$C$107)/MAX(CROQUIS!$C$138,1))+1)))-1,0),0,MOD($A30-1,5))+1,0,IF(CROQUIS!$C$105=1,-12,2),CROQUIS!$C$107/2+CROQUIS!$C$141,IF(CROQUIS!$C$105=1,-12,2),0)))*CROQUIS!$C$155)+IF(CROQUIS!$C$92="X",0,0)),-1000)</f>
        <v>-1000</v>
      </c>
      <c r="BQ30">
        <f>IF(AND(CROQUIS!$C$88=1,CROQUIS!$C$91=0,CROQUIS!$C$138&gt;0,OR(CROQUIS!$C$105=1,CROQUIS!$C$143=1)),((CROQUIS!$C$157+(IF(CROQUIS!$C$92="X",CHOOSE(IF(INT(($A30-1)/5)&gt;MAX((MIN(80,MAX(1,INT(((CROQUIS!$C$97)-CROQUIS!$C$107)/MAX(CROQUIS!$C$138,1))+1)))-1,0),0,MOD($A30-1,5))+1,0,IF(CROQUIS!$C$105=1,-12,2),CROQUIS!$C$107/2+CROQUIS!$C$141,IF(CROQUIS!$C$105=1,-12,2),0),((CROQUIS!$C$107/2+(((CROQUIS!$C$97)-CROQUIS!$C$107)-(MIN(80,MAX(1,INT(((CROQUIS!$C$97)-CROQUIS!$C$107)/MAX(CROQUIS!$C$138,1))+1))-1)*CROQUIS!$C$138)/2)+MIN(INT(($A30-1)/5),MAX((MIN(80,MAX(1,INT(((CROQUIS!$C$97)-CROQUIS!$C$107)/MAX(CROQUIS!$C$138,1))+1)))-1,0))*CROQUIS!$C$138)))*CROQUIS!$C$155)+IF(CROQUIS!$C$92="X",0,0)),-1000)</f>
        <v>-1000</v>
      </c>
      <c r="BR3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30-1)/5),MAX((MIN(80,MAX(1,INT(((CROQUIS!$C$97)-CROQUIS!$C$107)/MAX(CROQUIS!$C$138,1))+1)))-1,0))*CROQUIS!$C$138),CHOOSE(IF(INT(($A30-1)/5)&gt;MAX((MIN(80,MAX(1,INT(((CROQUIS!$C$97)-CROQUIS!$C$107)/MAX(CROQUIS!$C$138,1))+1)))-1,0),0,MOD($A30-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0">
        <f>IF(AND(CROQUIS!$C$88=1,CROQUIS!$C$91=0,CROQUIS!$C$138&gt;0,OR(CROQUIS!$C$106=1,CROQUIS!$C$143=1)),((CROQUIS!$C$157+(IF(CROQUIS!$C$92="X",CHOOSE(IF(INT(($A30-1)/5)&gt;MAX((MIN(80,MAX(1,INT(((CROQUIS!$C$97)-CROQUIS!$C$107)/MAX(CROQUIS!$C$138,1))+1)))-1,0),0,MOD($A30-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30-1)/5),MAX((MIN(80,MAX(1,INT(((CROQUIS!$C$97)-CROQUIS!$C$107)/MAX(CROQUIS!$C$138,1))+1)))-1,0))*CROQUIS!$C$138)))*CROQUIS!$C$155)+IF(CROQUIS!$C$92="X",0,0)),-1000)</f>
        <v>-1000</v>
      </c>
      <c r="BT30">
        <f>IF(AND(CROQUIS!$C$88=1,CROQUIS!$C$91=1,CROQUIS!$C$130&gt;0),((CROQUIS!$C$156+(IF(CROQUIS!$C$92="X",CHOOSE(IF(INT(($A30-1)/5)&gt;MAX((MIN(80,MAX(1,INT(((CROQUIS!$C$98)-CROQUIS!$C$107)/MAX(CROQUIS!$C$130,1))+1)))-1,0),0,MOD($A30-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30-1)/5),MAX((MIN(80,MAX(1,INT(((CROQUIS!$C$98)-CROQUIS!$C$107)/MAX(CROQUIS!$C$130,1))+1)))-1,0))*CROQUIS!$C$130)))*CROQUIS!$C$155)+IF(CROQUIS!$C$92="X",0,0)),-1000)</f>
        <v>-1000</v>
      </c>
      <c r="BU30">
        <f>IF(AND(CROQUIS!$C$88=1,CROQUIS!$C$91=1,CROQUIS!$C$130&gt;0),((CROQUIS!$C$157+(IF(CROQUIS!$C$92="X",((CROQUIS!$C$107/2+(((CROQUIS!$C$98)-CROQUIS!$C$107)-(MIN(80,MAX(1,INT(((CROQUIS!$C$98)-CROQUIS!$C$107)/MAX(CROQUIS!$C$130,1))+1))-1)*CROQUIS!$C$130)/2)+MIN(INT(($A30-1)/5),MAX((MIN(80,MAX(1,INT(((CROQUIS!$C$98)-CROQUIS!$C$107)/MAX(CROQUIS!$C$130,1))+1)))-1,0))*CROQUIS!$C$130),CHOOSE(IF(INT(($A30-1)/5)&gt;MAX((MIN(80,MAX(1,INT(((CROQUIS!$C$98)-CROQUIS!$C$107)/MAX(CROQUIS!$C$130,1))+1)))-1,0),0,MOD($A30-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1">
      <c r="A31" t="n">
        <v>24</v>
      </c>
      <c r="F31">
        <f>IF(AND(CROQUIS!$C$87=1,CROQUIS!$C$91=1),((CROQUIS!$C$156+(IF(CROQUIS!$C$92="X",IF(CROQUIS!$C$94=1,0,CROQUIS!$C$97)+IF(MOD($A31,2)=1,-CROQUIS!$C$107/2,CROQUIS!$C$107/2),(MIN($A31,41)-1)/40*CROQUIS!$C$98))*CROQUIS!$C$155)+IF(CROQUIS!$C$92="X",0,0)),-1000)</f>
        <v>-1000</v>
      </c>
      <c r="G31">
        <f>IF(AND(CROQUIS!$C$87=1,CROQUIS!$C$91=1),((CROQUIS!$C$157+(IF(CROQUIS!$C$92="X",(MIN($A31,41)-1)/40*CROQUIS!$C$98,IF(CROQUIS!$C$94=1,0,CROQUIS!$C$97)+IF(MOD($A31,2)=1,-CROQUIS!$C$107/2,CROQUIS!$C$107/2)))*CROQUIS!$C$155)+IF(CROQUIS!$C$92="X",0,0)),-1000)</f>
        <v>-1000</v>
      </c>
      <c r="T31">
        <f>IF(AND(CROQUIS!$C$88=1,CROQUIS!$C$91=1),((CROQUIS!$C$156+(IF(CROQUIS!$C$92="X",IF(CROQUIS!$C$94=1,0,CROQUIS!$C$97)+IF(MOD($A31,2)=1,-CROQUIS!$C$107/2,CROQUIS!$C$107/2),(MIN($A31,41)-1)/40*CROQUIS!$C$98))*CROQUIS!$C$155)+IF(CROQUIS!$C$92="X",0,0)),-1000)</f>
        <v>-1000</v>
      </c>
      <c r="U31">
        <f>IF(AND(CROQUIS!$C$88=1,CROQUIS!$C$91=1),((CROQUIS!$C$157+(IF(CROQUIS!$C$92="X",(MIN($A31,41)-1)/40*CROQUIS!$C$98,IF(CROQUIS!$C$94=1,0,CROQUIS!$C$97)+IF(MOD($A31,2)=1,-CROQUIS!$C$107/2,CROQUIS!$C$107/2)))*CROQUIS!$C$155)+IF(CROQUIS!$C$92="X",0,0)),-1000)</f>
        <v>-1000</v>
      </c>
      <c r="AF31">
        <f>IF(AND(CROQUIS!$C$87=1,CROQUIS!$C$158&gt;0,CROQUIS!$C$160&gt;0),(CROQUIS!$C$156+((CROQUIS!$C$159+INT(MIN(INT(($A31-1)/2),MAX((2*CROQUIS!$C$158)-1,0))/2)*CROQUIS!$C$113+MOD(MIN(INT(($A31-1)/2),MAX((2*CROQUIS!$C$158)-1,0)),2)*CROQUIS!$C$112))*CROQUIS!$C$155),-1000)</f>
        <v>85.2010845006778</v>
      </c>
      <c r="AG31">
        <f>IF(AND(CROQUIS!$C$87=1,CROQUIS!$C$158&gt;0,CROQUIS!$C$160&gt;0),(CROQUIS!$C$157+(IF(MOD(MIN(INT(($A31-1)/2),MAX((2*CROQUIS!$C$158)-1,0)),2)=0,IF(IF(INT(($A31-1)/2)&gt;MAX((2*CROQUIS!$C$158)-1,0),1,MOD($A31-1,2))=0,CROQUIS!$C$161,(CROQUIS!$C$161+CROQUIS!$C$160*CROQUIS!$C$113-CROQUIS!$C$111)),IF(IF(INT(($A31-1)/2)&gt;MAX((2*CROQUIS!$C$158)-1,0),1,MOD($A31-1,2))=0,(CROQUIS!$C$161+CROQUIS!$C$160*CROQUIS!$C$113-CROQUIS!$C$111),CROQUIS!$C$161)))*CROQUIS!$C$155),-1000)</f>
        <v>20.8088567555355</v>
      </c>
      <c r="AH31">
        <f>IF(AND(CROQUIS!$C$87=1,CROQUIS!$C$160&gt;0,CROQUIS!$C$158&gt;0),(CROQUIS!$C$156+(IF(MOD(MIN(INT(($A31-1)/2),MAX((2*CROQUIS!$C$160)-1,0)),2)=0,IF(IF(INT(($A31-1)/2)&gt;MAX((2*CROQUIS!$C$160)-1,0),1,MOD($A31-1,2))=0,CROQUIS!$C$159,(CROQUIS!$C$159+CROQUIS!$C$158*CROQUIS!$C$113-CROQUIS!$C$111)),IF(IF(INT(($A31-1)/2)&gt;MAX((2*CROQUIS!$C$160)-1,0),1,MOD($A31-1,2))=0,(CROQUIS!$C$159+CROQUIS!$C$158*CROQUIS!$C$113-CROQUIS!$C$111),CROQUIS!$C$159)))*CROQUIS!$C$155),-1000)</f>
        <v>14.7989154993222</v>
      </c>
      <c r="AI31">
        <f>IF(AND(CROQUIS!$C$87=1,CROQUIS!$C$160&gt;0,CROQUIS!$C$158&gt;0),(CROQUIS!$C$157+((CROQUIS!$C$161+INT(MIN(INT(($A31-1)/2),MAX((2*CROQUIS!$C$160)-1,0))/2)*CROQUIS!$C$113+MOD(MIN(INT(($A31-1)/2),MAX((2*CROQUIS!$C$160)-1,0)),2)*CROQUIS!$C$112))*CROQUIS!$C$155),-1000)</f>
        <v>79.1911432444645</v>
      </c>
      <c r="AJ31">
        <f>IF(AND(CROQUIS!$C$87=1,CROQUIS!$C$158&gt;=2),(CROQUIS!$C$156+((CROQUIS!$C$159+CROQUIS!$C$112+CROQUIS!$C$111/2+MIN(INT(($A31-1)/2),MAX((CROQUIS!$C$158-1)-1,0))*CROQUIS!$C$113))*CROQUIS!$C$155),-1000)</f>
        <v>74.0397650248531</v>
      </c>
      <c r="AK31">
        <f>IF(AND(CROQUIS!$C$87=1,CROQUIS!$C$158&gt;=2),(CROQUIS!$C$157+(IF(MOD(MIN(INT(($A31-1)/2),MAX((CROQUIS!$C$158-1)-1,0)),2)=0,IF(IF(INT(($A31-1)/2)&gt;MAX((CROQUIS!$C$158-1)-1,0),1,MOD($A31-1,2))=0,CROQUIS!$C$107/2,(CROQUIS!$C$96-CROQUIS!$C$107/2)),IF(IF(INT(($A31-1)/2)&gt;MAX((CROQUIS!$C$158-1)-1,0),1,MOD($A31-1,2))=0,(CROQUIS!$C$96-CROQUIS!$C$107/2),CROQUIS!$C$107/2)))*CROQUIS!$C$155),-1000)</f>
        <v>83.0546769091731</v>
      </c>
      <c r="AL31">
        <f>IF(AND(CROQUIS!$C$87=1,CROQUIS!$C$160&gt;=2),(CROQUIS!$C$156+(IF(MOD(MIN(INT(($A31-1)/2),MAX((CROQUIS!$C$160-1)-1,0)),2)=0,IF(IF(INT(($A31-1)/2)&gt;MAX((CROQUIS!$C$160-1)-1,0),1,MOD($A31-1,2))=0,CROQUIS!$C$107/2,(CROQUIS!$C$95-CROQUIS!$C$107/2)),IF(IF(INT(($A31-1)/2)&gt;MAX((CROQUIS!$C$160-1)-1,0),1,MOD($A31-1,2))=0,(CROQUIS!$C$95-CROQUIS!$C$107/2),CROQUIS!$C$107/2)))*CROQUIS!$C$155),-1000)</f>
        <v>13.2878445549028</v>
      </c>
      <c r="AM31">
        <f>IF(AND(CROQUIS!$C$87=1,CROQUIS!$C$160&gt;=2),(CROQUIS!$C$157+((CROQUIS!$C$161+CROQUIS!$C$112+CROQUIS!$C$111/2+MIN(INT(($A31-1)/2),MAX((CROQUIS!$C$160-1)-1,0))*CROQUIS!$C$113))*CROQUIS!$C$155),-1000)</f>
        <v>68.0298237686399</v>
      </c>
      <c r="BH31">
        <f>IF(AND(CROQUIS!$C$88=1,CROQUIS!$C$126&gt;0),((CROQUIS!$C$156+(IF(CROQUIS!$C$92="X",CHOOSE(IF(INT(($A31-1)/5)&gt;MAX((MIN(80,MAX(1,INT(((CROQUIS!$C$98)-CROQUIS!$C$107)/MAX(CROQUIS!$C$126,1))+1)))-1,0),0,MOD($A31-1,5))+1,0,2,CROQUIS!$C$97-2,2,0),((CROQUIS!$C$107/2+(((CROQUIS!$C$98)-CROQUIS!$C$107)-(MIN(80,MAX(1,INT(((CROQUIS!$C$98)-CROQUIS!$C$107)/MAX(CROQUIS!$C$126,1))+1))-1)*CROQUIS!$C$126)/2)+MIN(INT(($A31-1)/5),MAX((MIN(80,MAX(1,INT(((CROQUIS!$C$98)-CROQUIS!$C$107)/MAX(CROQUIS!$C$126,1))+1)))-1,0))*CROQUIS!$C$126)))*CROQUIS!$C$155)+IF(CROQUIS!$C$92="X",0,0)),-1000)</f>
        <v>-1000</v>
      </c>
      <c r="BI31">
        <f>IF(AND(CROQUIS!$C$88=1,CROQUIS!$C$126&gt;0),((CROQUIS!$C$157+(IF(CROQUIS!$C$92="X",((CROQUIS!$C$107/2+(((CROQUIS!$C$98)-CROQUIS!$C$107)-(MIN(80,MAX(1,INT(((CROQUIS!$C$98)-CROQUIS!$C$107)/MAX(CROQUIS!$C$126,1))+1))-1)*CROQUIS!$C$126)/2)+MIN(INT(($A31-1)/5),MAX((MIN(80,MAX(1,INT(((CROQUIS!$C$98)-CROQUIS!$C$107)/MAX(CROQUIS!$C$126,1))+1)))-1,0))*CROQUIS!$C$126),CHOOSE(IF(INT(($A31-1)/5)&gt;MAX((MIN(80,MAX(1,INT(((CROQUIS!$C$98)-CROQUIS!$C$107)/MAX(CROQUIS!$C$126,1))+1)))-1,0),0,MOD($A31-1,5))+1,0,2,CROQUIS!$C$97-2,2,0)))*CROQUIS!$C$155)+IF(CROQUIS!$C$92="X",0,0)),-1000)</f>
        <v>-1000</v>
      </c>
      <c r="BJ31">
        <f>IF(AND(CROQUIS!$C$88=1,CROQUIS!$C$134&gt;0),((CROQUIS!$C$156+(IF(CROQUIS!$C$92="X",((CROQUIS!$C$107/2+(((CROQUIS!$C$97)-CROQUIS!$C$107)-(MIN(80,MAX(1,INT(((CROQUIS!$C$97)-CROQUIS!$C$107)/MAX(CROQUIS!$C$134,1))+1))-1)*CROQUIS!$C$134)/2)+MIN(INT(($A31-1)/5),MAX((MIN(80,MAX(1,INT(((CROQUIS!$C$97)-CROQUIS!$C$107)/MAX(CROQUIS!$C$134,1))+1)))-1,0))*CROQUIS!$C$134),CHOOSE(IF(INT(($A31-1)/5)&gt;MAX((MIN(80,MAX(1,INT(((CROQUIS!$C$97)-CROQUIS!$C$107)/MAX(CROQUIS!$C$134,1))+1)))-1,0),0,MOD($A31-1,5))+1,0,2,CROQUIS!$C$98-2,2,0)))*CROQUIS!$C$155)+IF(CROQUIS!$C$92="X",0,0)),-1000)</f>
        <v>-1000</v>
      </c>
      <c r="BK31">
        <f>IF(AND(CROQUIS!$C$88=1,CROQUIS!$C$134&gt;0),((CROQUIS!$C$157+(IF(CROQUIS!$C$92="X",CHOOSE(IF(INT(($A31-1)/5)&gt;MAX((MIN(80,MAX(1,INT(((CROQUIS!$C$97)-CROQUIS!$C$107)/MAX(CROQUIS!$C$134,1))+1)))-1,0),0,MOD($A31-1,5))+1,0,2,CROQUIS!$C$98-2,2,0),((CROQUIS!$C$107/2+(((CROQUIS!$C$97)-CROQUIS!$C$107)-(MIN(80,MAX(1,INT(((CROQUIS!$C$97)-CROQUIS!$C$107)/MAX(CROQUIS!$C$134,1))+1))-1)*CROQUIS!$C$134)/2)+MIN(INT(($A31-1)/5),MAX((MIN(80,MAX(1,INT(((CROQUIS!$C$97)-CROQUIS!$C$107)/MAX(CROQUIS!$C$134,1))+1)))-1,0))*CROQUIS!$C$134)))*CROQUIS!$C$155)+IF(CROQUIS!$C$92="X",0,0)),-1000)</f>
        <v>-1000</v>
      </c>
      <c r="BL31">
        <f>IF(AND(CROQUIS!$C$88=1,CROQUIS!$C$91=0,CROQUIS!$C$130&gt;0,OR(CROQUIS!$C$103=1,CROQUIS!$C$142=1)),((CROQUIS!$C$156+(IF(CROQUIS!$C$92="X",CHOOSE(IF(INT(($A31-1)/5)&gt;MAX((MIN(80,MAX(1,INT(((CROQUIS!$C$98)-CROQUIS!$C$107)/MAX(CROQUIS!$C$130,1))+1)))-1,0),0,MOD($A31-1,5))+1,0,IF(CROQUIS!$C$103=1,-12,2),CROQUIS!$C$107/2+CROQUIS!$C$140,IF(CROQUIS!$C$103=1,-12,2),0),((CROQUIS!$C$107/2+(((CROQUIS!$C$98)-CROQUIS!$C$107)-(MIN(80,MAX(1,INT(((CROQUIS!$C$98)-CROQUIS!$C$107)/MAX(CROQUIS!$C$130,1))+1))-1)*CROQUIS!$C$130)/2)+MIN(INT(($A31-1)/5),MAX((MIN(80,MAX(1,INT(((CROQUIS!$C$98)-CROQUIS!$C$107)/MAX(CROQUIS!$C$130,1))+1)))-1,0))*CROQUIS!$C$130)))*CROQUIS!$C$155)+IF(CROQUIS!$C$92="X",0,0)),-1000)</f>
        <v>-1000</v>
      </c>
      <c r="BM3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31-1)/5),MAX((MIN(80,MAX(1,INT(((CROQUIS!$C$98)-CROQUIS!$C$107)/MAX(CROQUIS!$C$130,1))+1)))-1,0))*CROQUIS!$C$130),CHOOSE(IF(INT(($A31-1)/5)&gt;MAX((MIN(80,MAX(1,INT(((CROQUIS!$C$98)-CROQUIS!$C$107)/MAX(CROQUIS!$C$130,1))+1)))-1,0),0,MOD($A31-1,5))+1,0,IF(CROQUIS!$C$103=1,-12,2),CROQUIS!$C$107/2+CROQUIS!$C$140,IF(CROQUIS!$C$103=1,-12,2),0)))*CROQUIS!$C$155)+IF(CROQUIS!$C$92="X",0,0)),-1000)</f>
        <v>-1000</v>
      </c>
      <c r="BN31">
        <f>IF(AND(CROQUIS!$C$88=1,CROQUIS!$C$91=0,CROQUIS!$C$130&gt;0,OR(CROQUIS!$C$104=1,CROQUIS!$C$142=1)),((CROQUIS!$C$156+(IF(CROQUIS!$C$92="X",CHOOSE(IF(INT(($A31-1)/5)&gt;MAX((MIN(80,MAX(1,INT(((CROQUIS!$C$98)-CROQUIS!$C$107)/MAX(CROQUIS!$C$130,1))+1)))-1,0),0,MOD($A31-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31-1)/5),MAX((MIN(80,MAX(1,INT(((CROQUIS!$C$98)-CROQUIS!$C$107)/MAX(CROQUIS!$C$130,1))+1)))-1,0))*CROQUIS!$C$130)))*CROQUIS!$C$155)+IF(CROQUIS!$C$92="X",0,0)),-1000)</f>
        <v>-1000</v>
      </c>
      <c r="BO3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31-1)/5),MAX((MIN(80,MAX(1,INT(((CROQUIS!$C$98)-CROQUIS!$C$107)/MAX(CROQUIS!$C$130,1))+1)))-1,0))*CROQUIS!$C$130),CHOOSE(IF(INT(($A31-1)/5)&gt;MAX((MIN(80,MAX(1,INT(((CROQUIS!$C$98)-CROQUIS!$C$107)/MAX(CROQUIS!$C$130,1))+1)))-1,0),0,MOD($A31-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31-1)/5),MAX((MIN(80,MAX(1,INT(((CROQUIS!$C$97)-CROQUIS!$C$107)/MAX(CROQUIS!$C$138,1))+1)))-1,0))*CROQUIS!$C$138),CHOOSE(IF(INT(($A31-1)/5)&gt;MAX((MIN(80,MAX(1,INT(((CROQUIS!$C$97)-CROQUIS!$C$107)/MAX(CROQUIS!$C$138,1))+1)))-1,0),0,MOD($A31-1,5))+1,0,IF(CROQUIS!$C$105=1,-12,2),CROQUIS!$C$107/2+CROQUIS!$C$141,IF(CROQUIS!$C$105=1,-12,2),0)))*CROQUIS!$C$155)+IF(CROQUIS!$C$92="X",0,0)),-1000)</f>
        <v>-1000</v>
      </c>
      <c r="BQ31">
        <f>IF(AND(CROQUIS!$C$88=1,CROQUIS!$C$91=0,CROQUIS!$C$138&gt;0,OR(CROQUIS!$C$105=1,CROQUIS!$C$143=1)),((CROQUIS!$C$157+(IF(CROQUIS!$C$92="X",CHOOSE(IF(INT(($A31-1)/5)&gt;MAX((MIN(80,MAX(1,INT(((CROQUIS!$C$97)-CROQUIS!$C$107)/MAX(CROQUIS!$C$138,1))+1)))-1,0),0,MOD($A31-1,5))+1,0,IF(CROQUIS!$C$105=1,-12,2),CROQUIS!$C$107/2+CROQUIS!$C$141,IF(CROQUIS!$C$105=1,-12,2),0),((CROQUIS!$C$107/2+(((CROQUIS!$C$97)-CROQUIS!$C$107)-(MIN(80,MAX(1,INT(((CROQUIS!$C$97)-CROQUIS!$C$107)/MAX(CROQUIS!$C$138,1))+1))-1)*CROQUIS!$C$138)/2)+MIN(INT(($A31-1)/5),MAX((MIN(80,MAX(1,INT(((CROQUIS!$C$97)-CROQUIS!$C$107)/MAX(CROQUIS!$C$138,1))+1)))-1,0))*CROQUIS!$C$138)))*CROQUIS!$C$155)+IF(CROQUIS!$C$92="X",0,0)),-1000)</f>
        <v>-1000</v>
      </c>
      <c r="BR3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31-1)/5),MAX((MIN(80,MAX(1,INT(((CROQUIS!$C$97)-CROQUIS!$C$107)/MAX(CROQUIS!$C$138,1))+1)))-1,0))*CROQUIS!$C$138),CHOOSE(IF(INT(($A31-1)/5)&gt;MAX((MIN(80,MAX(1,INT(((CROQUIS!$C$97)-CROQUIS!$C$107)/MAX(CROQUIS!$C$138,1))+1)))-1,0),0,MOD($A31-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1">
        <f>IF(AND(CROQUIS!$C$88=1,CROQUIS!$C$91=0,CROQUIS!$C$138&gt;0,OR(CROQUIS!$C$106=1,CROQUIS!$C$143=1)),((CROQUIS!$C$157+(IF(CROQUIS!$C$92="X",CHOOSE(IF(INT(($A31-1)/5)&gt;MAX((MIN(80,MAX(1,INT(((CROQUIS!$C$97)-CROQUIS!$C$107)/MAX(CROQUIS!$C$138,1))+1)))-1,0),0,MOD($A31-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31-1)/5),MAX((MIN(80,MAX(1,INT(((CROQUIS!$C$97)-CROQUIS!$C$107)/MAX(CROQUIS!$C$138,1))+1)))-1,0))*CROQUIS!$C$138)))*CROQUIS!$C$155)+IF(CROQUIS!$C$92="X",0,0)),-1000)</f>
        <v>-1000</v>
      </c>
      <c r="BT31">
        <f>IF(AND(CROQUIS!$C$88=1,CROQUIS!$C$91=1,CROQUIS!$C$130&gt;0),((CROQUIS!$C$156+(IF(CROQUIS!$C$92="X",CHOOSE(IF(INT(($A31-1)/5)&gt;MAX((MIN(80,MAX(1,INT(((CROQUIS!$C$98)-CROQUIS!$C$107)/MAX(CROQUIS!$C$130,1))+1)))-1,0),0,MOD($A31-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31-1)/5),MAX((MIN(80,MAX(1,INT(((CROQUIS!$C$98)-CROQUIS!$C$107)/MAX(CROQUIS!$C$130,1))+1)))-1,0))*CROQUIS!$C$130)))*CROQUIS!$C$155)+IF(CROQUIS!$C$92="X",0,0)),-1000)</f>
        <v>-1000</v>
      </c>
      <c r="BU31">
        <f>IF(AND(CROQUIS!$C$88=1,CROQUIS!$C$91=1,CROQUIS!$C$130&gt;0),((CROQUIS!$C$157+(IF(CROQUIS!$C$92="X",((CROQUIS!$C$107/2+(((CROQUIS!$C$98)-CROQUIS!$C$107)-(MIN(80,MAX(1,INT(((CROQUIS!$C$98)-CROQUIS!$C$107)/MAX(CROQUIS!$C$130,1))+1))-1)*CROQUIS!$C$130)/2)+MIN(INT(($A31-1)/5),MAX((MIN(80,MAX(1,INT(((CROQUIS!$C$98)-CROQUIS!$C$107)/MAX(CROQUIS!$C$130,1))+1)))-1,0))*CROQUIS!$C$130),CHOOSE(IF(INT(($A31-1)/5)&gt;MAX((MIN(80,MAX(1,INT(((CROQUIS!$C$98)-CROQUIS!$C$107)/MAX(CROQUIS!$C$130,1))+1)))-1,0),0,MOD($A31-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2">
      <c r="A32" t="n">
        <v>25</v>
      </c>
      <c r="F32">
        <f>IF(AND(CROQUIS!$C$87=1,CROQUIS!$C$91=1),((CROQUIS!$C$156+(IF(CROQUIS!$C$92="X",IF(CROQUIS!$C$94=1,0,CROQUIS!$C$97)+IF(MOD($A32,2)=1,-CROQUIS!$C$107/2,CROQUIS!$C$107/2),(MIN($A32,41)-1)/40*CROQUIS!$C$98))*CROQUIS!$C$155)+IF(CROQUIS!$C$92="X",0,0)),-1000)</f>
        <v>-1000</v>
      </c>
      <c r="G32">
        <f>IF(AND(CROQUIS!$C$87=1,CROQUIS!$C$91=1),((CROQUIS!$C$157+(IF(CROQUIS!$C$92="X",(MIN($A32,41)-1)/40*CROQUIS!$C$98,IF(CROQUIS!$C$94=1,0,CROQUIS!$C$97)+IF(MOD($A32,2)=1,-CROQUIS!$C$107/2,CROQUIS!$C$107/2)))*CROQUIS!$C$155)+IF(CROQUIS!$C$92="X",0,0)),-1000)</f>
        <v>-1000</v>
      </c>
      <c r="T32">
        <f>IF(AND(CROQUIS!$C$88=1,CROQUIS!$C$91=1),((CROQUIS!$C$156+(IF(CROQUIS!$C$92="X",IF(CROQUIS!$C$94=1,0,CROQUIS!$C$97)+IF(MOD($A32,2)=1,-CROQUIS!$C$107/2,CROQUIS!$C$107/2),(MIN($A32,41)-1)/40*CROQUIS!$C$98))*CROQUIS!$C$155)+IF(CROQUIS!$C$92="X",0,0)),-1000)</f>
        <v>-1000</v>
      </c>
      <c r="U32">
        <f>IF(AND(CROQUIS!$C$88=1,CROQUIS!$C$91=1),((CROQUIS!$C$157+(IF(CROQUIS!$C$92="X",(MIN($A32,41)-1)/40*CROQUIS!$C$98,IF(CROQUIS!$C$94=1,0,CROQUIS!$C$97)+IF(MOD($A32,2)=1,-CROQUIS!$C$107/2,CROQUIS!$C$107/2)))*CROQUIS!$C$155)+IF(CROQUIS!$C$92="X",0,0)),-1000)</f>
        <v>-1000</v>
      </c>
      <c r="AF32">
        <f>IF(AND(CROQUIS!$C$87=1,CROQUIS!$C$158&gt;0,CROQUIS!$C$160&gt;0),(CROQUIS!$C$156+((CROQUIS!$C$159+INT(MIN(INT(($A32-1)/2),MAX((2*CROQUIS!$C$158)-1,0))/2)*CROQUIS!$C$113+MOD(MIN(INT(($A32-1)/2),MAX((2*CROQUIS!$C$158)-1,0)),2)*CROQUIS!$C$112))*CROQUIS!$C$155),-1000)</f>
        <v>85.2010845006778</v>
      </c>
      <c r="AG32">
        <f>IF(AND(CROQUIS!$C$87=1,CROQUIS!$C$158&gt;0,CROQUIS!$C$160&gt;0),(CROQUIS!$C$157+(IF(MOD(MIN(INT(($A32-1)/2),MAX((2*CROQUIS!$C$158)-1,0)),2)=0,IF(IF(INT(($A32-1)/2)&gt;MAX((2*CROQUIS!$C$158)-1,0),1,MOD($A32-1,2))=0,CROQUIS!$C$161,(CROQUIS!$C$161+CROQUIS!$C$160*CROQUIS!$C$113-CROQUIS!$C$111)),IF(IF(INT(($A32-1)/2)&gt;MAX((2*CROQUIS!$C$158)-1,0),1,MOD($A32-1,2))=0,(CROQUIS!$C$161+CROQUIS!$C$160*CROQUIS!$C$113-CROQUIS!$C$111),CROQUIS!$C$161)))*CROQUIS!$C$155),-1000)</f>
        <v>20.8088567555355</v>
      </c>
      <c r="AH32">
        <f>IF(AND(CROQUIS!$C$87=1,CROQUIS!$C$160&gt;0,CROQUIS!$C$158&gt;0),(CROQUIS!$C$156+(IF(MOD(MIN(INT(($A32-1)/2),MAX((2*CROQUIS!$C$160)-1,0)),2)=0,IF(IF(INT(($A32-1)/2)&gt;MAX((2*CROQUIS!$C$160)-1,0),1,MOD($A32-1,2))=0,CROQUIS!$C$159,(CROQUIS!$C$159+CROQUIS!$C$158*CROQUIS!$C$113-CROQUIS!$C$111)),IF(IF(INT(($A32-1)/2)&gt;MAX((2*CROQUIS!$C$160)-1,0),1,MOD($A32-1,2))=0,(CROQUIS!$C$159+CROQUIS!$C$158*CROQUIS!$C$113-CROQUIS!$C$111),CROQUIS!$C$159)))*CROQUIS!$C$155),-1000)</f>
        <v>14.7989154993222</v>
      </c>
      <c r="AI32">
        <f>IF(AND(CROQUIS!$C$87=1,CROQUIS!$C$160&gt;0,CROQUIS!$C$158&gt;0),(CROQUIS!$C$157+((CROQUIS!$C$161+INT(MIN(INT(($A32-1)/2),MAX((2*CROQUIS!$C$160)-1,0))/2)*CROQUIS!$C$113+MOD(MIN(INT(($A32-1)/2),MAX((2*CROQUIS!$C$160)-1,0)),2)*CROQUIS!$C$112))*CROQUIS!$C$155),-1000)</f>
        <v>79.1911432444645</v>
      </c>
      <c r="AJ32">
        <f>IF(AND(CROQUIS!$C$87=1,CROQUIS!$C$158&gt;=2),(CROQUIS!$C$156+((CROQUIS!$C$159+CROQUIS!$C$112+CROQUIS!$C$111/2+MIN(INT(($A32-1)/2),MAX((CROQUIS!$C$158-1)-1,0))*CROQUIS!$C$113))*CROQUIS!$C$155),-1000)</f>
        <v>74.0397650248531</v>
      </c>
      <c r="AK32">
        <f>IF(AND(CROQUIS!$C$87=1,CROQUIS!$C$158&gt;=2),(CROQUIS!$C$157+(IF(MOD(MIN(INT(($A32-1)/2),MAX((CROQUIS!$C$158-1)-1,0)),2)=0,IF(IF(INT(($A32-1)/2)&gt;MAX((CROQUIS!$C$158-1)-1,0),1,MOD($A32-1,2))=0,CROQUIS!$C$107/2,(CROQUIS!$C$96-CROQUIS!$C$107/2)),IF(IF(INT(($A32-1)/2)&gt;MAX((CROQUIS!$C$158-1)-1,0),1,MOD($A32-1,2))=0,(CROQUIS!$C$96-CROQUIS!$C$107/2),CROQUIS!$C$107/2)))*CROQUIS!$C$155),-1000)</f>
        <v>83.0546769091731</v>
      </c>
      <c r="AL32">
        <f>IF(AND(CROQUIS!$C$87=1,CROQUIS!$C$160&gt;=2),(CROQUIS!$C$156+(IF(MOD(MIN(INT(($A32-1)/2),MAX((CROQUIS!$C$160-1)-1,0)),2)=0,IF(IF(INT(($A32-1)/2)&gt;MAX((CROQUIS!$C$160-1)-1,0),1,MOD($A32-1,2))=0,CROQUIS!$C$107/2,(CROQUIS!$C$95-CROQUIS!$C$107/2)),IF(IF(INT(($A32-1)/2)&gt;MAX((CROQUIS!$C$160-1)-1,0),1,MOD($A32-1,2))=0,(CROQUIS!$C$95-CROQUIS!$C$107/2),CROQUIS!$C$107/2)))*CROQUIS!$C$155),-1000)</f>
        <v>13.2878445549028</v>
      </c>
      <c r="AM32">
        <f>IF(AND(CROQUIS!$C$87=1,CROQUIS!$C$160&gt;=2),(CROQUIS!$C$157+((CROQUIS!$C$161+CROQUIS!$C$112+CROQUIS!$C$111/2+MIN(INT(($A32-1)/2),MAX((CROQUIS!$C$160-1)-1,0))*CROQUIS!$C$113))*CROQUIS!$C$155),-1000)</f>
        <v>68.0298237686399</v>
      </c>
      <c r="BH32">
        <f>IF(AND(CROQUIS!$C$88=1,CROQUIS!$C$126&gt;0),((CROQUIS!$C$156+(IF(CROQUIS!$C$92="X",CHOOSE(IF(INT(($A32-1)/5)&gt;MAX((MIN(80,MAX(1,INT(((CROQUIS!$C$98)-CROQUIS!$C$107)/MAX(CROQUIS!$C$126,1))+1)))-1,0),0,MOD($A32-1,5))+1,0,2,CROQUIS!$C$97-2,2,0),((CROQUIS!$C$107/2+(((CROQUIS!$C$98)-CROQUIS!$C$107)-(MIN(80,MAX(1,INT(((CROQUIS!$C$98)-CROQUIS!$C$107)/MAX(CROQUIS!$C$126,1))+1))-1)*CROQUIS!$C$126)/2)+MIN(INT(($A32-1)/5),MAX((MIN(80,MAX(1,INT(((CROQUIS!$C$98)-CROQUIS!$C$107)/MAX(CROQUIS!$C$126,1))+1)))-1,0))*CROQUIS!$C$126)))*CROQUIS!$C$155)+IF(CROQUIS!$C$92="X",0,0)),-1000)</f>
        <v>-1000</v>
      </c>
      <c r="BI32">
        <f>IF(AND(CROQUIS!$C$88=1,CROQUIS!$C$126&gt;0),((CROQUIS!$C$157+(IF(CROQUIS!$C$92="X",((CROQUIS!$C$107/2+(((CROQUIS!$C$98)-CROQUIS!$C$107)-(MIN(80,MAX(1,INT(((CROQUIS!$C$98)-CROQUIS!$C$107)/MAX(CROQUIS!$C$126,1))+1))-1)*CROQUIS!$C$126)/2)+MIN(INT(($A32-1)/5),MAX((MIN(80,MAX(1,INT(((CROQUIS!$C$98)-CROQUIS!$C$107)/MAX(CROQUIS!$C$126,1))+1)))-1,0))*CROQUIS!$C$126),CHOOSE(IF(INT(($A32-1)/5)&gt;MAX((MIN(80,MAX(1,INT(((CROQUIS!$C$98)-CROQUIS!$C$107)/MAX(CROQUIS!$C$126,1))+1)))-1,0),0,MOD($A32-1,5))+1,0,2,CROQUIS!$C$97-2,2,0)))*CROQUIS!$C$155)+IF(CROQUIS!$C$92="X",0,0)),-1000)</f>
        <v>-1000</v>
      </c>
      <c r="BJ32">
        <f>IF(AND(CROQUIS!$C$88=1,CROQUIS!$C$134&gt;0),((CROQUIS!$C$156+(IF(CROQUIS!$C$92="X",((CROQUIS!$C$107/2+(((CROQUIS!$C$97)-CROQUIS!$C$107)-(MIN(80,MAX(1,INT(((CROQUIS!$C$97)-CROQUIS!$C$107)/MAX(CROQUIS!$C$134,1))+1))-1)*CROQUIS!$C$134)/2)+MIN(INT(($A32-1)/5),MAX((MIN(80,MAX(1,INT(((CROQUIS!$C$97)-CROQUIS!$C$107)/MAX(CROQUIS!$C$134,1))+1)))-1,0))*CROQUIS!$C$134),CHOOSE(IF(INT(($A32-1)/5)&gt;MAX((MIN(80,MAX(1,INT(((CROQUIS!$C$97)-CROQUIS!$C$107)/MAX(CROQUIS!$C$134,1))+1)))-1,0),0,MOD($A32-1,5))+1,0,2,CROQUIS!$C$98-2,2,0)))*CROQUIS!$C$155)+IF(CROQUIS!$C$92="X",0,0)),-1000)</f>
        <v>-1000</v>
      </c>
      <c r="BK32">
        <f>IF(AND(CROQUIS!$C$88=1,CROQUIS!$C$134&gt;0),((CROQUIS!$C$157+(IF(CROQUIS!$C$92="X",CHOOSE(IF(INT(($A32-1)/5)&gt;MAX((MIN(80,MAX(1,INT(((CROQUIS!$C$97)-CROQUIS!$C$107)/MAX(CROQUIS!$C$134,1))+1)))-1,0),0,MOD($A32-1,5))+1,0,2,CROQUIS!$C$98-2,2,0),((CROQUIS!$C$107/2+(((CROQUIS!$C$97)-CROQUIS!$C$107)-(MIN(80,MAX(1,INT(((CROQUIS!$C$97)-CROQUIS!$C$107)/MAX(CROQUIS!$C$134,1))+1))-1)*CROQUIS!$C$134)/2)+MIN(INT(($A32-1)/5),MAX((MIN(80,MAX(1,INT(((CROQUIS!$C$97)-CROQUIS!$C$107)/MAX(CROQUIS!$C$134,1))+1)))-1,0))*CROQUIS!$C$134)))*CROQUIS!$C$155)+IF(CROQUIS!$C$92="X",0,0)),-1000)</f>
        <v>-1000</v>
      </c>
      <c r="BL32">
        <f>IF(AND(CROQUIS!$C$88=1,CROQUIS!$C$91=0,CROQUIS!$C$130&gt;0,OR(CROQUIS!$C$103=1,CROQUIS!$C$142=1)),((CROQUIS!$C$156+(IF(CROQUIS!$C$92="X",CHOOSE(IF(INT(($A32-1)/5)&gt;MAX((MIN(80,MAX(1,INT(((CROQUIS!$C$98)-CROQUIS!$C$107)/MAX(CROQUIS!$C$130,1))+1)))-1,0),0,MOD($A32-1,5))+1,0,IF(CROQUIS!$C$103=1,-12,2),CROQUIS!$C$107/2+CROQUIS!$C$140,IF(CROQUIS!$C$103=1,-12,2),0),((CROQUIS!$C$107/2+(((CROQUIS!$C$98)-CROQUIS!$C$107)-(MIN(80,MAX(1,INT(((CROQUIS!$C$98)-CROQUIS!$C$107)/MAX(CROQUIS!$C$130,1))+1))-1)*CROQUIS!$C$130)/2)+MIN(INT(($A32-1)/5),MAX((MIN(80,MAX(1,INT(((CROQUIS!$C$98)-CROQUIS!$C$107)/MAX(CROQUIS!$C$130,1))+1)))-1,0))*CROQUIS!$C$130)))*CROQUIS!$C$155)+IF(CROQUIS!$C$92="X",0,0)),-1000)</f>
        <v>-1000</v>
      </c>
      <c r="BM3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32-1)/5),MAX((MIN(80,MAX(1,INT(((CROQUIS!$C$98)-CROQUIS!$C$107)/MAX(CROQUIS!$C$130,1))+1)))-1,0))*CROQUIS!$C$130),CHOOSE(IF(INT(($A32-1)/5)&gt;MAX((MIN(80,MAX(1,INT(((CROQUIS!$C$98)-CROQUIS!$C$107)/MAX(CROQUIS!$C$130,1))+1)))-1,0),0,MOD($A32-1,5))+1,0,IF(CROQUIS!$C$103=1,-12,2),CROQUIS!$C$107/2+CROQUIS!$C$140,IF(CROQUIS!$C$103=1,-12,2),0)))*CROQUIS!$C$155)+IF(CROQUIS!$C$92="X",0,0)),-1000)</f>
        <v>-1000</v>
      </c>
      <c r="BN32">
        <f>IF(AND(CROQUIS!$C$88=1,CROQUIS!$C$91=0,CROQUIS!$C$130&gt;0,OR(CROQUIS!$C$104=1,CROQUIS!$C$142=1)),((CROQUIS!$C$156+(IF(CROQUIS!$C$92="X",CHOOSE(IF(INT(($A32-1)/5)&gt;MAX((MIN(80,MAX(1,INT(((CROQUIS!$C$98)-CROQUIS!$C$107)/MAX(CROQUIS!$C$130,1))+1)))-1,0),0,MOD($A32-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32-1)/5),MAX((MIN(80,MAX(1,INT(((CROQUIS!$C$98)-CROQUIS!$C$107)/MAX(CROQUIS!$C$130,1))+1)))-1,0))*CROQUIS!$C$130)))*CROQUIS!$C$155)+IF(CROQUIS!$C$92="X",0,0)),-1000)</f>
        <v>-1000</v>
      </c>
      <c r="BO3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32-1)/5),MAX((MIN(80,MAX(1,INT(((CROQUIS!$C$98)-CROQUIS!$C$107)/MAX(CROQUIS!$C$130,1))+1)))-1,0))*CROQUIS!$C$130),CHOOSE(IF(INT(($A32-1)/5)&gt;MAX((MIN(80,MAX(1,INT(((CROQUIS!$C$98)-CROQUIS!$C$107)/MAX(CROQUIS!$C$130,1))+1)))-1,0),0,MOD($A32-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32-1)/5),MAX((MIN(80,MAX(1,INT(((CROQUIS!$C$97)-CROQUIS!$C$107)/MAX(CROQUIS!$C$138,1))+1)))-1,0))*CROQUIS!$C$138),CHOOSE(IF(INT(($A32-1)/5)&gt;MAX((MIN(80,MAX(1,INT(((CROQUIS!$C$97)-CROQUIS!$C$107)/MAX(CROQUIS!$C$138,1))+1)))-1,0),0,MOD($A32-1,5))+1,0,IF(CROQUIS!$C$105=1,-12,2),CROQUIS!$C$107/2+CROQUIS!$C$141,IF(CROQUIS!$C$105=1,-12,2),0)))*CROQUIS!$C$155)+IF(CROQUIS!$C$92="X",0,0)),-1000)</f>
        <v>-1000</v>
      </c>
      <c r="BQ32">
        <f>IF(AND(CROQUIS!$C$88=1,CROQUIS!$C$91=0,CROQUIS!$C$138&gt;0,OR(CROQUIS!$C$105=1,CROQUIS!$C$143=1)),((CROQUIS!$C$157+(IF(CROQUIS!$C$92="X",CHOOSE(IF(INT(($A32-1)/5)&gt;MAX((MIN(80,MAX(1,INT(((CROQUIS!$C$97)-CROQUIS!$C$107)/MAX(CROQUIS!$C$138,1))+1)))-1,0),0,MOD($A32-1,5))+1,0,IF(CROQUIS!$C$105=1,-12,2),CROQUIS!$C$107/2+CROQUIS!$C$141,IF(CROQUIS!$C$105=1,-12,2),0),((CROQUIS!$C$107/2+(((CROQUIS!$C$97)-CROQUIS!$C$107)-(MIN(80,MAX(1,INT(((CROQUIS!$C$97)-CROQUIS!$C$107)/MAX(CROQUIS!$C$138,1))+1))-1)*CROQUIS!$C$138)/2)+MIN(INT(($A32-1)/5),MAX((MIN(80,MAX(1,INT(((CROQUIS!$C$97)-CROQUIS!$C$107)/MAX(CROQUIS!$C$138,1))+1)))-1,0))*CROQUIS!$C$138)))*CROQUIS!$C$155)+IF(CROQUIS!$C$92="X",0,0)),-1000)</f>
        <v>-1000</v>
      </c>
      <c r="BR3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32-1)/5),MAX((MIN(80,MAX(1,INT(((CROQUIS!$C$97)-CROQUIS!$C$107)/MAX(CROQUIS!$C$138,1))+1)))-1,0))*CROQUIS!$C$138),CHOOSE(IF(INT(($A32-1)/5)&gt;MAX((MIN(80,MAX(1,INT(((CROQUIS!$C$97)-CROQUIS!$C$107)/MAX(CROQUIS!$C$138,1))+1)))-1,0),0,MOD($A32-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2">
        <f>IF(AND(CROQUIS!$C$88=1,CROQUIS!$C$91=0,CROQUIS!$C$138&gt;0,OR(CROQUIS!$C$106=1,CROQUIS!$C$143=1)),((CROQUIS!$C$157+(IF(CROQUIS!$C$92="X",CHOOSE(IF(INT(($A32-1)/5)&gt;MAX((MIN(80,MAX(1,INT(((CROQUIS!$C$97)-CROQUIS!$C$107)/MAX(CROQUIS!$C$138,1))+1)))-1,0),0,MOD($A32-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32-1)/5),MAX((MIN(80,MAX(1,INT(((CROQUIS!$C$97)-CROQUIS!$C$107)/MAX(CROQUIS!$C$138,1))+1)))-1,0))*CROQUIS!$C$138)))*CROQUIS!$C$155)+IF(CROQUIS!$C$92="X",0,0)),-1000)</f>
        <v>-1000</v>
      </c>
      <c r="BT32">
        <f>IF(AND(CROQUIS!$C$88=1,CROQUIS!$C$91=1,CROQUIS!$C$130&gt;0),((CROQUIS!$C$156+(IF(CROQUIS!$C$92="X",CHOOSE(IF(INT(($A32-1)/5)&gt;MAX((MIN(80,MAX(1,INT(((CROQUIS!$C$98)-CROQUIS!$C$107)/MAX(CROQUIS!$C$130,1))+1)))-1,0),0,MOD($A32-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32-1)/5),MAX((MIN(80,MAX(1,INT(((CROQUIS!$C$98)-CROQUIS!$C$107)/MAX(CROQUIS!$C$130,1))+1)))-1,0))*CROQUIS!$C$130)))*CROQUIS!$C$155)+IF(CROQUIS!$C$92="X",0,0)),-1000)</f>
        <v>-1000</v>
      </c>
      <c r="BU32">
        <f>IF(AND(CROQUIS!$C$88=1,CROQUIS!$C$91=1,CROQUIS!$C$130&gt;0),((CROQUIS!$C$157+(IF(CROQUIS!$C$92="X",((CROQUIS!$C$107/2+(((CROQUIS!$C$98)-CROQUIS!$C$107)-(MIN(80,MAX(1,INT(((CROQUIS!$C$98)-CROQUIS!$C$107)/MAX(CROQUIS!$C$130,1))+1))-1)*CROQUIS!$C$130)/2)+MIN(INT(($A32-1)/5),MAX((MIN(80,MAX(1,INT(((CROQUIS!$C$98)-CROQUIS!$C$107)/MAX(CROQUIS!$C$130,1))+1)))-1,0))*CROQUIS!$C$130),CHOOSE(IF(INT(($A32-1)/5)&gt;MAX((MIN(80,MAX(1,INT(((CROQUIS!$C$98)-CROQUIS!$C$107)/MAX(CROQUIS!$C$130,1))+1)))-1,0),0,MOD($A32-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3">
      <c r="A33" t="n">
        <v>26</v>
      </c>
      <c r="F33">
        <f>IF(AND(CROQUIS!$C$87=1,CROQUIS!$C$91=1),((CROQUIS!$C$156+(IF(CROQUIS!$C$92="X",IF(CROQUIS!$C$94=1,0,CROQUIS!$C$97)+IF(MOD($A33,2)=1,-CROQUIS!$C$107/2,CROQUIS!$C$107/2),(MIN($A33,41)-1)/40*CROQUIS!$C$98))*CROQUIS!$C$155)+IF(CROQUIS!$C$92="X",0,0)),-1000)</f>
        <v>-1000</v>
      </c>
      <c r="G33">
        <f>IF(AND(CROQUIS!$C$87=1,CROQUIS!$C$91=1),((CROQUIS!$C$157+(IF(CROQUIS!$C$92="X",(MIN($A33,41)-1)/40*CROQUIS!$C$98,IF(CROQUIS!$C$94=1,0,CROQUIS!$C$97)+IF(MOD($A33,2)=1,-CROQUIS!$C$107/2,CROQUIS!$C$107/2)))*CROQUIS!$C$155)+IF(CROQUIS!$C$92="X",0,0)),-1000)</f>
        <v>-1000</v>
      </c>
      <c r="T33">
        <f>IF(AND(CROQUIS!$C$88=1,CROQUIS!$C$91=1),((CROQUIS!$C$156+(IF(CROQUIS!$C$92="X",IF(CROQUIS!$C$94=1,0,CROQUIS!$C$97)+IF(MOD($A33,2)=1,-CROQUIS!$C$107/2,CROQUIS!$C$107/2),(MIN($A33,41)-1)/40*CROQUIS!$C$98))*CROQUIS!$C$155)+IF(CROQUIS!$C$92="X",0,0)),-1000)</f>
        <v>-1000</v>
      </c>
      <c r="U33">
        <f>IF(AND(CROQUIS!$C$88=1,CROQUIS!$C$91=1),((CROQUIS!$C$157+(IF(CROQUIS!$C$92="X",(MIN($A33,41)-1)/40*CROQUIS!$C$98,IF(CROQUIS!$C$94=1,0,CROQUIS!$C$97)+IF(MOD($A33,2)=1,-CROQUIS!$C$107/2,CROQUIS!$C$107/2)))*CROQUIS!$C$155)+IF(CROQUIS!$C$92="X",0,0)),-1000)</f>
        <v>-1000</v>
      </c>
      <c r="AF33">
        <f>IF(AND(CROQUIS!$C$87=1,CROQUIS!$C$158&gt;0,CROQUIS!$C$160&gt;0),(CROQUIS!$C$156+((CROQUIS!$C$159+INT(MIN(INT(($A33-1)/2),MAX((2*CROQUIS!$C$158)-1,0))/2)*CROQUIS!$C$113+MOD(MIN(INT(($A33-1)/2),MAX((2*CROQUIS!$C$158)-1,0)),2)*CROQUIS!$C$112))*CROQUIS!$C$155),-1000)</f>
        <v>85.2010845006778</v>
      </c>
      <c r="AG33">
        <f>IF(AND(CROQUIS!$C$87=1,CROQUIS!$C$158&gt;0,CROQUIS!$C$160&gt;0),(CROQUIS!$C$157+(IF(MOD(MIN(INT(($A33-1)/2),MAX((2*CROQUIS!$C$158)-1,0)),2)=0,IF(IF(INT(($A33-1)/2)&gt;MAX((2*CROQUIS!$C$158)-1,0),1,MOD($A33-1,2))=0,CROQUIS!$C$161,(CROQUIS!$C$161+CROQUIS!$C$160*CROQUIS!$C$113-CROQUIS!$C$111)),IF(IF(INT(($A33-1)/2)&gt;MAX((2*CROQUIS!$C$158)-1,0),1,MOD($A33-1,2))=0,(CROQUIS!$C$161+CROQUIS!$C$160*CROQUIS!$C$113-CROQUIS!$C$111),CROQUIS!$C$161)))*CROQUIS!$C$155),-1000)</f>
        <v>20.8088567555355</v>
      </c>
      <c r="AH33">
        <f>IF(AND(CROQUIS!$C$87=1,CROQUIS!$C$160&gt;0,CROQUIS!$C$158&gt;0),(CROQUIS!$C$156+(IF(MOD(MIN(INT(($A33-1)/2),MAX((2*CROQUIS!$C$160)-1,0)),2)=0,IF(IF(INT(($A33-1)/2)&gt;MAX((2*CROQUIS!$C$160)-1,0),1,MOD($A33-1,2))=0,CROQUIS!$C$159,(CROQUIS!$C$159+CROQUIS!$C$158*CROQUIS!$C$113-CROQUIS!$C$111)),IF(IF(INT(($A33-1)/2)&gt;MAX((2*CROQUIS!$C$160)-1,0),1,MOD($A33-1,2))=0,(CROQUIS!$C$159+CROQUIS!$C$158*CROQUIS!$C$113-CROQUIS!$C$111),CROQUIS!$C$159)))*CROQUIS!$C$155),-1000)</f>
        <v>14.7989154993222</v>
      </c>
      <c r="AI33">
        <f>IF(AND(CROQUIS!$C$87=1,CROQUIS!$C$160&gt;0,CROQUIS!$C$158&gt;0),(CROQUIS!$C$157+((CROQUIS!$C$161+INT(MIN(INT(($A33-1)/2),MAX((2*CROQUIS!$C$160)-1,0))/2)*CROQUIS!$C$113+MOD(MIN(INT(($A33-1)/2),MAX((2*CROQUIS!$C$160)-1,0)),2)*CROQUIS!$C$112))*CROQUIS!$C$155),-1000)</f>
        <v>79.1911432444645</v>
      </c>
      <c r="AJ33">
        <f>IF(AND(CROQUIS!$C$87=1,CROQUIS!$C$158&gt;=2),(CROQUIS!$C$156+((CROQUIS!$C$159+CROQUIS!$C$112+CROQUIS!$C$111/2+MIN(INT(($A33-1)/2),MAX((CROQUIS!$C$158-1)-1,0))*CROQUIS!$C$113))*CROQUIS!$C$155),-1000)</f>
        <v>74.0397650248531</v>
      </c>
      <c r="AK33">
        <f>IF(AND(CROQUIS!$C$87=1,CROQUIS!$C$158&gt;=2),(CROQUIS!$C$157+(IF(MOD(MIN(INT(($A33-1)/2),MAX((CROQUIS!$C$158-1)-1,0)),2)=0,IF(IF(INT(($A33-1)/2)&gt;MAX((CROQUIS!$C$158-1)-1,0),1,MOD($A33-1,2))=0,CROQUIS!$C$107/2,(CROQUIS!$C$96-CROQUIS!$C$107/2)),IF(IF(INT(($A33-1)/2)&gt;MAX((CROQUIS!$C$158-1)-1,0),1,MOD($A33-1,2))=0,(CROQUIS!$C$96-CROQUIS!$C$107/2),CROQUIS!$C$107/2)))*CROQUIS!$C$155),-1000)</f>
        <v>83.0546769091731</v>
      </c>
      <c r="AL33">
        <f>IF(AND(CROQUIS!$C$87=1,CROQUIS!$C$160&gt;=2),(CROQUIS!$C$156+(IF(MOD(MIN(INT(($A33-1)/2),MAX((CROQUIS!$C$160-1)-1,0)),2)=0,IF(IF(INT(($A33-1)/2)&gt;MAX((CROQUIS!$C$160-1)-1,0),1,MOD($A33-1,2))=0,CROQUIS!$C$107/2,(CROQUIS!$C$95-CROQUIS!$C$107/2)),IF(IF(INT(($A33-1)/2)&gt;MAX((CROQUIS!$C$160-1)-1,0),1,MOD($A33-1,2))=0,(CROQUIS!$C$95-CROQUIS!$C$107/2),CROQUIS!$C$107/2)))*CROQUIS!$C$155),-1000)</f>
        <v>13.2878445549028</v>
      </c>
      <c r="AM33">
        <f>IF(AND(CROQUIS!$C$87=1,CROQUIS!$C$160&gt;=2),(CROQUIS!$C$157+((CROQUIS!$C$161+CROQUIS!$C$112+CROQUIS!$C$111/2+MIN(INT(($A33-1)/2),MAX((CROQUIS!$C$160-1)-1,0))*CROQUIS!$C$113))*CROQUIS!$C$155),-1000)</f>
        <v>68.0298237686399</v>
      </c>
      <c r="BH33">
        <f>IF(AND(CROQUIS!$C$88=1,CROQUIS!$C$126&gt;0),((CROQUIS!$C$156+(IF(CROQUIS!$C$92="X",CHOOSE(IF(INT(($A33-1)/5)&gt;MAX((MIN(80,MAX(1,INT(((CROQUIS!$C$98)-CROQUIS!$C$107)/MAX(CROQUIS!$C$126,1))+1)))-1,0),0,MOD($A33-1,5))+1,0,2,CROQUIS!$C$97-2,2,0),((CROQUIS!$C$107/2+(((CROQUIS!$C$98)-CROQUIS!$C$107)-(MIN(80,MAX(1,INT(((CROQUIS!$C$98)-CROQUIS!$C$107)/MAX(CROQUIS!$C$126,1))+1))-1)*CROQUIS!$C$126)/2)+MIN(INT(($A33-1)/5),MAX((MIN(80,MAX(1,INT(((CROQUIS!$C$98)-CROQUIS!$C$107)/MAX(CROQUIS!$C$126,1))+1)))-1,0))*CROQUIS!$C$126)))*CROQUIS!$C$155)+IF(CROQUIS!$C$92="X",0,0)),-1000)</f>
        <v>-1000</v>
      </c>
      <c r="BI33">
        <f>IF(AND(CROQUIS!$C$88=1,CROQUIS!$C$126&gt;0),((CROQUIS!$C$157+(IF(CROQUIS!$C$92="X",((CROQUIS!$C$107/2+(((CROQUIS!$C$98)-CROQUIS!$C$107)-(MIN(80,MAX(1,INT(((CROQUIS!$C$98)-CROQUIS!$C$107)/MAX(CROQUIS!$C$126,1))+1))-1)*CROQUIS!$C$126)/2)+MIN(INT(($A33-1)/5),MAX((MIN(80,MAX(1,INT(((CROQUIS!$C$98)-CROQUIS!$C$107)/MAX(CROQUIS!$C$126,1))+1)))-1,0))*CROQUIS!$C$126),CHOOSE(IF(INT(($A33-1)/5)&gt;MAX((MIN(80,MAX(1,INT(((CROQUIS!$C$98)-CROQUIS!$C$107)/MAX(CROQUIS!$C$126,1))+1)))-1,0),0,MOD($A33-1,5))+1,0,2,CROQUIS!$C$97-2,2,0)))*CROQUIS!$C$155)+IF(CROQUIS!$C$92="X",0,0)),-1000)</f>
        <v>-1000</v>
      </c>
      <c r="BJ33">
        <f>IF(AND(CROQUIS!$C$88=1,CROQUIS!$C$134&gt;0),((CROQUIS!$C$156+(IF(CROQUIS!$C$92="X",((CROQUIS!$C$107/2+(((CROQUIS!$C$97)-CROQUIS!$C$107)-(MIN(80,MAX(1,INT(((CROQUIS!$C$97)-CROQUIS!$C$107)/MAX(CROQUIS!$C$134,1))+1))-1)*CROQUIS!$C$134)/2)+MIN(INT(($A33-1)/5),MAX((MIN(80,MAX(1,INT(((CROQUIS!$C$97)-CROQUIS!$C$107)/MAX(CROQUIS!$C$134,1))+1)))-1,0))*CROQUIS!$C$134),CHOOSE(IF(INT(($A33-1)/5)&gt;MAX((MIN(80,MAX(1,INT(((CROQUIS!$C$97)-CROQUIS!$C$107)/MAX(CROQUIS!$C$134,1))+1)))-1,0),0,MOD($A33-1,5))+1,0,2,CROQUIS!$C$98-2,2,0)))*CROQUIS!$C$155)+IF(CROQUIS!$C$92="X",0,0)),-1000)</f>
        <v>-1000</v>
      </c>
      <c r="BK33">
        <f>IF(AND(CROQUIS!$C$88=1,CROQUIS!$C$134&gt;0),((CROQUIS!$C$157+(IF(CROQUIS!$C$92="X",CHOOSE(IF(INT(($A33-1)/5)&gt;MAX((MIN(80,MAX(1,INT(((CROQUIS!$C$97)-CROQUIS!$C$107)/MAX(CROQUIS!$C$134,1))+1)))-1,0),0,MOD($A33-1,5))+1,0,2,CROQUIS!$C$98-2,2,0),((CROQUIS!$C$107/2+(((CROQUIS!$C$97)-CROQUIS!$C$107)-(MIN(80,MAX(1,INT(((CROQUIS!$C$97)-CROQUIS!$C$107)/MAX(CROQUIS!$C$134,1))+1))-1)*CROQUIS!$C$134)/2)+MIN(INT(($A33-1)/5),MAX((MIN(80,MAX(1,INT(((CROQUIS!$C$97)-CROQUIS!$C$107)/MAX(CROQUIS!$C$134,1))+1)))-1,0))*CROQUIS!$C$134)))*CROQUIS!$C$155)+IF(CROQUIS!$C$92="X",0,0)),-1000)</f>
        <v>-1000</v>
      </c>
      <c r="BL33">
        <f>IF(AND(CROQUIS!$C$88=1,CROQUIS!$C$91=0,CROQUIS!$C$130&gt;0,OR(CROQUIS!$C$103=1,CROQUIS!$C$142=1)),((CROQUIS!$C$156+(IF(CROQUIS!$C$92="X",CHOOSE(IF(INT(($A33-1)/5)&gt;MAX((MIN(80,MAX(1,INT(((CROQUIS!$C$98)-CROQUIS!$C$107)/MAX(CROQUIS!$C$130,1))+1)))-1,0),0,MOD($A33-1,5))+1,0,IF(CROQUIS!$C$103=1,-12,2),CROQUIS!$C$107/2+CROQUIS!$C$140,IF(CROQUIS!$C$103=1,-12,2),0),((CROQUIS!$C$107/2+(((CROQUIS!$C$98)-CROQUIS!$C$107)-(MIN(80,MAX(1,INT(((CROQUIS!$C$98)-CROQUIS!$C$107)/MAX(CROQUIS!$C$130,1))+1))-1)*CROQUIS!$C$130)/2)+MIN(INT(($A33-1)/5),MAX((MIN(80,MAX(1,INT(((CROQUIS!$C$98)-CROQUIS!$C$107)/MAX(CROQUIS!$C$130,1))+1)))-1,0))*CROQUIS!$C$130)))*CROQUIS!$C$155)+IF(CROQUIS!$C$92="X",0,0)),-1000)</f>
        <v>-1000</v>
      </c>
      <c r="BM3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33-1)/5),MAX((MIN(80,MAX(1,INT(((CROQUIS!$C$98)-CROQUIS!$C$107)/MAX(CROQUIS!$C$130,1))+1)))-1,0))*CROQUIS!$C$130),CHOOSE(IF(INT(($A33-1)/5)&gt;MAX((MIN(80,MAX(1,INT(((CROQUIS!$C$98)-CROQUIS!$C$107)/MAX(CROQUIS!$C$130,1))+1)))-1,0),0,MOD($A33-1,5))+1,0,IF(CROQUIS!$C$103=1,-12,2),CROQUIS!$C$107/2+CROQUIS!$C$140,IF(CROQUIS!$C$103=1,-12,2),0)))*CROQUIS!$C$155)+IF(CROQUIS!$C$92="X",0,0)),-1000)</f>
        <v>-1000</v>
      </c>
      <c r="BN33">
        <f>IF(AND(CROQUIS!$C$88=1,CROQUIS!$C$91=0,CROQUIS!$C$130&gt;0,OR(CROQUIS!$C$104=1,CROQUIS!$C$142=1)),((CROQUIS!$C$156+(IF(CROQUIS!$C$92="X",CHOOSE(IF(INT(($A33-1)/5)&gt;MAX((MIN(80,MAX(1,INT(((CROQUIS!$C$98)-CROQUIS!$C$107)/MAX(CROQUIS!$C$130,1))+1)))-1,0),0,MOD($A33-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33-1)/5),MAX((MIN(80,MAX(1,INT(((CROQUIS!$C$98)-CROQUIS!$C$107)/MAX(CROQUIS!$C$130,1))+1)))-1,0))*CROQUIS!$C$130)))*CROQUIS!$C$155)+IF(CROQUIS!$C$92="X",0,0)),-1000)</f>
        <v>-1000</v>
      </c>
      <c r="BO3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33-1)/5),MAX((MIN(80,MAX(1,INT(((CROQUIS!$C$98)-CROQUIS!$C$107)/MAX(CROQUIS!$C$130,1))+1)))-1,0))*CROQUIS!$C$130),CHOOSE(IF(INT(($A33-1)/5)&gt;MAX((MIN(80,MAX(1,INT(((CROQUIS!$C$98)-CROQUIS!$C$107)/MAX(CROQUIS!$C$130,1))+1)))-1,0),0,MOD($A33-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33-1)/5),MAX((MIN(80,MAX(1,INT(((CROQUIS!$C$97)-CROQUIS!$C$107)/MAX(CROQUIS!$C$138,1))+1)))-1,0))*CROQUIS!$C$138),CHOOSE(IF(INT(($A33-1)/5)&gt;MAX((MIN(80,MAX(1,INT(((CROQUIS!$C$97)-CROQUIS!$C$107)/MAX(CROQUIS!$C$138,1))+1)))-1,0),0,MOD($A33-1,5))+1,0,IF(CROQUIS!$C$105=1,-12,2),CROQUIS!$C$107/2+CROQUIS!$C$141,IF(CROQUIS!$C$105=1,-12,2),0)))*CROQUIS!$C$155)+IF(CROQUIS!$C$92="X",0,0)),-1000)</f>
        <v>-1000</v>
      </c>
      <c r="BQ33">
        <f>IF(AND(CROQUIS!$C$88=1,CROQUIS!$C$91=0,CROQUIS!$C$138&gt;0,OR(CROQUIS!$C$105=1,CROQUIS!$C$143=1)),((CROQUIS!$C$157+(IF(CROQUIS!$C$92="X",CHOOSE(IF(INT(($A33-1)/5)&gt;MAX((MIN(80,MAX(1,INT(((CROQUIS!$C$97)-CROQUIS!$C$107)/MAX(CROQUIS!$C$138,1))+1)))-1,0),0,MOD($A33-1,5))+1,0,IF(CROQUIS!$C$105=1,-12,2),CROQUIS!$C$107/2+CROQUIS!$C$141,IF(CROQUIS!$C$105=1,-12,2),0),((CROQUIS!$C$107/2+(((CROQUIS!$C$97)-CROQUIS!$C$107)-(MIN(80,MAX(1,INT(((CROQUIS!$C$97)-CROQUIS!$C$107)/MAX(CROQUIS!$C$138,1))+1))-1)*CROQUIS!$C$138)/2)+MIN(INT(($A33-1)/5),MAX((MIN(80,MAX(1,INT(((CROQUIS!$C$97)-CROQUIS!$C$107)/MAX(CROQUIS!$C$138,1))+1)))-1,0))*CROQUIS!$C$138)))*CROQUIS!$C$155)+IF(CROQUIS!$C$92="X",0,0)),-1000)</f>
        <v>-1000</v>
      </c>
      <c r="BR3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33-1)/5),MAX((MIN(80,MAX(1,INT(((CROQUIS!$C$97)-CROQUIS!$C$107)/MAX(CROQUIS!$C$138,1))+1)))-1,0))*CROQUIS!$C$138),CHOOSE(IF(INT(($A33-1)/5)&gt;MAX((MIN(80,MAX(1,INT(((CROQUIS!$C$97)-CROQUIS!$C$107)/MAX(CROQUIS!$C$138,1))+1)))-1,0),0,MOD($A33-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3">
        <f>IF(AND(CROQUIS!$C$88=1,CROQUIS!$C$91=0,CROQUIS!$C$138&gt;0,OR(CROQUIS!$C$106=1,CROQUIS!$C$143=1)),((CROQUIS!$C$157+(IF(CROQUIS!$C$92="X",CHOOSE(IF(INT(($A33-1)/5)&gt;MAX((MIN(80,MAX(1,INT(((CROQUIS!$C$97)-CROQUIS!$C$107)/MAX(CROQUIS!$C$138,1))+1)))-1,0),0,MOD($A33-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33-1)/5),MAX((MIN(80,MAX(1,INT(((CROQUIS!$C$97)-CROQUIS!$C$107)/MAX(CROQUIS!$C$138,1))+1)))-1,0))*CROQUIS!$C$138)))*CROQUIS!$C$155)+IF(CROQUIS!$C$92="X",0,0)),-1000)</f>
        <v>-1000</v>
      </c>
      <c r="BT33">
        <f>IF(AND(CROQUIS!$C$88=1,CROQUIS!$C$91=1,CROQUIS!$C$130&gt;0),((CROQUIS!$C$156+(IF(CROQUIS!$C$92="X",CHOOSE(IF(INT(($A33-1)/5)&gt;MAX((MIN(80,MAX(1,INT(((CROQUIS!$C$98)-CROQUIS!$C$107)/MAX(CROQUIS!$C$130,1))+1)))-1,0),0,MOD($A33-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33-1)/5),MAX((MIN(80,MAX(1,INT(((CROQUIS!$C$98)-CROQUIS!$C$107)/MAX(CROQUIS!$C$130,1))+1)))-1,0))*CROQUIS!$C$130)))*CROQUIS!$C$155)+IF(CROQUIS!$C$92="X",0,0)),-1000)</f>
        <v>-1000</v>
      </c>
      <c r="BU33">
        <f>IF(AND(CROQUIS!$C$88=1,CROQUIS!$C$91=1,CROQUIS!$C$130&gt;0),((CROQUIS!$C$157+(IF(CROQUIS!$C$92="X",((CROQUIS!$C$107/2+(((CROQUIS!$C$98)-CROQUIS!$C$107)-(MIN(80,MAX(1,INT(((CROQUIS!$C$98)-CROQUIS!$C$107)/MAX(CROQUIS!$C$130,1))+1))-1)*CROQUIS!$C$130)/2)+MIN(INT(($A33-1)/5),MAX((MIN(80,MAX(1,INT(((CROQUIS!$C$98)-CROQUIS!$C$107)/MAX(CROQUIS!$C$130,1))+1)))-1,0))*CROQUIS!$C$130),CHOOSE(IF(INT(($A33-1)/5)&gt;MAX((MIN(80,MAX(1,INT(((CROQUIS!$C$98)-CROQUIS!$C$107)/MAX(CROQUIS!$C$130,1))+1)))-1,0),0,MOD($A33-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4">
      <c r="A34" t="n">
        <v>27</v>
      </c>
      <c r="F34">
        <f>IF(AND(CROQUIS!$C$87=1,CROQUIS!$C$91=1),((CROQUIS!$C$156+(IF(CROQUIS!$C$92="X",IF(CROQUIS!$C$94=1,0,CROQUIS!$C$97)+IF(MOD($A34,2)=1,-CROQUIS!$C$107/2,CROQUIS!$C$107/2),(MIN($A34,41)-1)/40*CROQUIS!$C$98))*CROQUIS!$C$155)+IF(CROQUIS!$C$92="X",0,0)),-1000)</f>
        <v>-1000</v>
      </c>
      <c r="G34">
        <f>IF(AND(CROQUIS!$C$87=1,CROQUIS!$C$91=1),((CROQUIS!$C$157+(IF(CROQUIS!$C$92="X",(MIN($A34,41)-1)/40*CROQUIS!$C$98,IF(CROQUIS!$C$94=1,0,CROQUIS!$C$97)+IF(MOD($A34,2)=1,-CROQUIS!$C$107/2,CROQUIS!$C$107/2)))*CROQUIS!$C$155)+IF(CROQUIS!$C$92="X",0,0)),-1000)</f>
        <v>-1000</v>
      </c>
      <c r="T34">
        <f>IF(AND(CROQUIS!$C$88=1,CROQUIS!$C$91=1),((CROQUIS!$C$156+(IF(CROQUIS!$C$92="X",IF(CROQUIS!$C$94=1,0,CROQUIS!$C$97)+IF(MOD($A34,2)=1,-CROQUIS!$C$107/2,CROQUIS!$C$107/2),(MIN($A34,41)-1)/40*CROQUIS!$C$98))*CROQUIS!$C$155)+IF(CROQUIS!$C$92="X",0,0)),-1000)</f>
        <v>-1000</v>
      </c>
      <c r="U34">
        <f>IF(AND(CROQUIS!$C$88=1,CROQUIS!$C$91=1),((CROQUIS!$C$157+(IF(CROQUIS!$C$92="X",(MIN($A34,41)-1)/40*CROQUIS!$C$98,IF(CROQUIS!$C$94=1,0,CROQUIS!$C$97)+IF(MOD($A34,2)=1,-CROQUIS!$C$107/2,CROQUIS!$C$107/2)))*CROQUIS!$C$155)+IF(CROQUIS!$C$92="X",0,0)),-1000)</f>
        <v>-1000</v>
      </c>
      <c r="AF34">
        <f>IF(AND(CROQUIS!$C$87=1,CROQUIS!$C$158&gt;0,CROQUIS!$C$160&gt;0),(CROQUIS!$C$156+((CROQUIS!$C$159+INT(MIN(INT(($A34-1)/2),MAX((2*CROQUIS!$C$158)-1,0))/2)*CROQUIS!$C$113+MOD(MIN(INT(($A34-1)/2),MAX((2*CROQUIS!$C$158)-1,0)),2)*CROQUIS!$C$112))*CROQUIS!$C$155),-1000)</f>
        <v>85.2010845006778</v>
      </c>
      <c r="AG34">
        <f>IF(AND(CROQUIS!$C$87=1,CROQUIS!$C$158&gt;0,CROQUIS!$C$160&gt;0),(CROQUIS!$C$157+(IF(MOD(MIN(INT(($A34-1)/2),MAX((2*CROQUIS!$C$158)-1,0)),2)=0,IF(IF(INT(($A34-1)/2)&gt;MAX((2*CROQUIS!$C$158)-1,0),1,MOD($A34-1,2))=0,CROQUIS!$C$161,(CROQUIS!$C$161+CROQUIS!$C$160*CROQUIS!$C$113-CROQUIS!$C$111)),IF(IF(INT(($A34-1)/2)&gt;MAX((2*CROQUIS!$C$158)-1,0),1,MOD($A34-1,2))=0,(CROQUIS!$C$161+CROQUIS!$C$160*CROQUIS!$C$113-CROQUIS!$C$111),CROQUIS!$C$161)))*CROQUIS!$C$155),-1000)</f>
        <v>20.8088567555355</v>
      </c>
      <c r="AH34">
        <f>IF(AND(CROQUIS!$C$87=1,CROQUIS!$C$160&gt;0,CROQUIS!$C$158&gt;0),(CROQUIS!$C$156+(IF(MOD(MIN(INT(($A34-1)/2),MAX((2*CROQUIS!$C$160)-1,0)),2)=0,IF(IF(INT(($A34-1)/2)&gt;MAX((2*CROQUIS!$C$160)-1,0),1,MOD($A34-1,2))=0,CROQUIS!$C$159,(CROQUIS!$C$159+CROQUIS!$C$158*CROQUIS!$C$113-CROQUIS!$C$111)),IF(IF(INT(($A34-1)/2)&gt;MAX((2*CROQUIS!$C$160)-1,0),1,MOD($A34-1,2))=0,(CROQUIS!$C$159+CROQUIS!$C$158*CROQUIS!$C$113-CROQUIS!$C$111),CROQUIS!$C$159)))*CROQUIS!$C$155),-1000)</f>
        <v>14.7989154993222</v>
      </c>
      <c r="AI34">
        <f>IF(AND(CROQUIS!$C$87=1,CROQUIS!$C$160&gt;0,CROQUIS!$C$158&gt;0),(CROQUIS!$C$157+((CROQUIS!$C$161+INT(MIN(INT(($A34-1)/2),MAX((2*CROQUIS!$C$160)-1,0))/2)*CROQUIS!$C$113+MOD(MIN(INT(($A34-1)/2),MAX((2*CROQUIS!$C$160)-1,0)),2)*CROQUIS!$C$112))*CROQUIS!$C$155),-1000)</f>
        <v>79.1911432444645</v>
      </c>
      <c r="AJ34">
        <f>IF(AND(CROQUIS!$C$87=1,CROQUIS!$C$158&gt;=2),(CROQUIS!$C$156+((CROQUIS!$C$159+CROQUIS!$C$112+CROQUIS!$C$111/2+MIN(INT(($A34-1)/2),MAX((CROQUIS!$C$158-1)-1,0))*CROQUIS!$C$113))*CROQUIS!$C$155),-1000)</f>
        <v>74.0397650248531</v>
      </c>
      <c r="AK34">
        <f>IF(AND(CROQUIS!$C$87=1,CROQUIS!$C$158&gt;=2),(CROQUIS!$C$157+(IF(MOD(MIN(INT(($A34-1)/2),MAX((CROQUIS!$C$158-1)-1,0)),2)=0,IF(IF(INT(($A34-1)/2)&gt;MAX((CROQUIS!$C$158-1)-1,0),1,MOD($A34-1,2))=0,CROQUIS!$C$107/2,(CROQUIS!$C$96-CROQUIS!$C$107/2)),IF(IF(INT(($A34-1)/2)&gt;MAX((CROQUIS!$C$158-1)-1,0),1,MOD($A34-1,2))=0,(CROQUIS!$C$96-CROQUIS!$C$107/2),CROQUIS!$C$107/2)))*CROQUIS!$C$155),-1000)</f>
        <v>83.0546769091731</v>
      </c>
      <c r="AL34">
        <f>IF(AND(CROQUIS!$C$87=1,CROQUIS!$C$160&gt;=2),(CROQUIS!$C$156+(IF(MOD(MIN(INT(($A34-1)/2),MAX((CROQUIS!$C$160-1)-1,0)),2)=0,IF(IF(INT(($A34-1)/2)&gt;MAX((CROQUIS!$C$160-1)-1,0),1,MOD($A34-1,2))=0,CROQUIS!$C$107/2,(CROQUIS!$C$95-CROQUIS!$C$107/2)),IF(IF(INT(($A34-1)/2)&gt;MAX((CROQUIS!$C$160-1)-1,0),1,MOD($A34-1,2))=0,(CROQUIS!$C$95-CROQUIS!$C$107/2),CROQUIS!$C$107/2)))*CROQUIS!$C$155),-1000)</f>
        <v>13.2878445549028</v>
      </c>
      <c r="AM34">
        <f>IF(AND(CROQUIS!$C$87=1,CROQUIS!$C$160&gt;=2),(CROQUIS!$C$157+((CROQUIS!$C$161+CROQUIS!$C$112+CROQUIS!$C$111/2+MIN(INT(($A34-1)/2),MAX((CROQUIS!$C$160-1)-1,0))*CROQUIS!$C$113))*CROQUIS!$C$155),-1000)</f>
        <v>68.0298237686399</v>
      </c>
      <c r="BH34">
        <f>IF(AND(CROQUIS!$C$88=1,CROQUIS!$C$126&gt;0),((CROQUIS!$C$156+(IF(CROQUIS!$C$92="X",CHOOSE(IF(INT(($A34-1)/5)&gt;MAX((MIN(80,MAX(1,INT(((CROQUIS!$C$98)-CROQUIS!$C$107)/MAX(CROQUIS!$C$126,1))+1)))-1,0),0,MOD($A34-1,5))+1,0,2,CROQUIS!$C$97-2,2,0),((CROQUIS!$C$107/2+(((CROQUIS!$C$98)-CROQUIS!$C$107)-(MIN(80,MAX(1,INT(((CROQUIS!$C$98)-CROQUIS!$C$107)/MAX(CROQUIS!$C$126,1))+1))-1)*CROQUIS!$C$126)/2)+MIN(INT(($A34-1)/5),MAX((MIN(80,MAX(1,INT(((CROQUIS!$C$98)-CROQUIS!$C$107)/MAX(CROQUIS!$C$126,1))+1)))-1,0))*CROQUIS!$C$126)))*CROQUIS!$C$155)+IF(CROQUIS!$C$92="X",0,0)),-1000)</f>
        <v>-1000</v>
      </c>
      <c r="BI34">
        <f>IF(AND(CROQUIS!$C$88=1,CROQUIS!$C$126&gt;0),((CROQUIS!$C$157+(IF(CROQUIS!$C$92="X",((CROQUIS!$C$107/2+(((CROQUIS!$C$98)-CROQUIS!$C$107)-(MIN(80,MAX(1,INT(((CROQUIS!$C$98)-CROQUIS!$C$107)/MAX(CROQUIS!$C$126,1))+1))-1)*CROQUIS!$C$126)/2)+MIN(INT(($A34-1)/5),MAX((MIN(80,MAX(1,INT(((CROQUIS!$C$98)-CROQUIS!$C$107)/MAX(CROQUIS!$C$126,1))+1)))-1,0))*CROQUIS!$C$126),CHOOSE(IF(INT(($A34-1)/5)&gt;MAX((MIN(80,MAX(1,INT(((CROQUIS!$C$98)-CROQUIS!$C$107)/MAX(CROQUIS!$C$126,1))+1)))-1,0),0,MOD($A34-1,5))+1,0,2,CROQUIS!$C$97-2,2,0)))*CROQUIS!$C$155)+IF(CROQUIS!$C$92="X",0,0)),-1000)</f>
        <v>-1000</v>
      </c>
      <c r="BJ34">
        <f>IF(AND(CROQUIS!$C$88=1,CROQUIS!$C$134&gt;0),((CROQUIS!$C$156+(IF(CROQUIS!$C$92="X",((CROQUIS!$C$107/2+(((CROQUIS!$C$97)-CROQUIS!$C$107)-(MIN(80,MAX(1,INT(((CROQUIS!$C$97)-CROQUIS!$C$107)/MAX(CROQUIS!$C$134,1))+1))-1)*CROQUIS!$C$134)/2)+MIN(INT(($A34-1)/5),MAX((MIN(80,MAX(1,INT(((CROQUIS!$C$97)-CROQUIS!$C$107)/MAX(CROQUIS!$C$134,1))+1)))-1,0))*CROQUIS!$C$134),CHOOSE(IF(INT(($A34-1)/5)&gt;MAX((MIN(80,MAX(1,INT(((CROQUIS!$C$97)-CROQUIS!$C$107)/MAX(CROQUIS!$C$134,1))+1)))-1,0),0,MOD($A34-1,5))+1,0,2,CROQUIS!$C$98-2,2,0)))*CROQUIS!$C$155)+IF(CROQUIS!$C$92="X",0,0)),-1000)</f>
        <v>-1000</v>
      </c>
      <c r="BK34">
        <f>IF(AND(CROQUIS!$C$88=1,CROQUIS!$C$134&gt;0),((CROQUIS!$C$157+(IF(CROQUIS!$C$92="X",CHOOSE(IF(INT(($A34-1)/5)&gt;MAX((MIN(80,MAX(1,INT(((CROQUIS!$C$97)-CROQUIS!$C$107)/MAX(CROQUIS!$C$134,1))+1)))-1,0),0,MOD($A34-1,5))+1,0,2,CROQUIS!$C$98-2,2,0),((CROQUIS!$C$107/2+(((CROQUIS!$C$97)-CROQUIS!$C$107)-(MIN(80,MAX(1,INT(((CROQUIS!$C$97)-CROQUIS!$C$107)/MAX(CROQUIS!$C$134,1))+1))-1)*CROQUIS!$C$134)/2)+MIN(INT(($A34-1)/5),MAX((MIN(80,MAX(1,INT(((CROQUIS!$C$97)-CROQUIS!$C$107)/MAX(CROQUIS!$C$134,1))+1)))-1,0))*CROQUIS!$C$134)))*CROQUIS!$C$155)+IF(CROQUIS!$C$92="X",0,0)),-1000)</f>
        <v>-1000</v>
      </c>
      <c r="BL34">
        <f>IF(AND(CROQUIS!$C$88=1,CROQUIS!$C$91=0,CROQUIS!$C$130&gt;0,OR(CROQUIS!$C$103=1,CROQUIS!$C$142=1)),((CROQUIS!$C$156+(IF(CROQUIS!$C$92="X",CHOOSE(IF(INT(($A34-1)/5)&gt;MAX((MIN(80,MAX(1,INT(((CROQUIS!$C$98)-CROQUIS!$C$107)/MAX(CROQUIS!$C$130,1))+1)))-1,0),0,MOD($A34-1,5))+1,0,IF(CROQUIS!$C$103=1,-12,2),CROQUIS!$C$107/2+CROQUIS!$C$140,IF(CROQUIS!$C$103=1,-12,2),0),((CROQUIS!$C$107/2+(((CROQUIS!$C$98)-CROQUIS!$C$107)-(MIN(80,MAX(1,INT(((CROQUIS!$C$98)-CROQUIS!$C$107)/MAX(CROQUIS!$C$130,1))+1))-1)*CROQUIS!$C$130)/2)+MIN(INT(($A34-1)/5),MAX((MIN(80,MAX(1,INT(((CROQUIS!$C$98)-CROQUIS!$C$107)/MAX(CROQUIS!$C$130,1))+1)))-1,0))*CROQUIS!$C$130)))*CROQUIS!$C$155)+IF(CROQUIS!$C$92="X",0,0)),-1000)</f>
        <v>-1000</v>
      </c>
      <c r="BM3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34-1)/5),MAX((MIN(80,MAX(1,INT(((CROQUIS!$C$98)-CROQUIS!$C$107)/MAX(CROQUIS!$C$130,1))+1)))-1,0))*CROQUIS!$C$130),CHOOSE(IF(INT(($A34-1)/5)&gt;MAX((MIN(80,MAX(1,INT(((CROQUIS!$C$98)-CROQUIS!$C$107)/MAX(CROQUIS!$C$130,1))+1)))-1,0),0,MOD($A34-1,5))+1,0,IF(CROQUIS!$C$103=1,-12,2),CROQUIS!$C$107/2+CROQUIS!$C$140,IF(CROQUIS!$C$103=1,-12,2),0)))*CROQUIS!$C$155)+IF(CROQUIS!$C$92="X",0,0)),-1000)</f>
        <v>-1000</v>
      </c>
      <c r="BN34">
        <f>IF(AND(CROQUIS!$C$88=1,CROQUIS!$C$91=0,CROQUIS!$C$130&gt;0,OR(CROQUIS!$C$104=1,CROQUIS!$C$142=1)),((CROQUIS!$C$156+(IF(CROQUIS!$C$92="X",CHOOSE(IF(INT(($A34-1)/5)&gt;MAX((MIN(80,MAX(1,INT(((CROQUIS!$C$98)-CROQUIS!$C$107)/MAX(CROQUIS!$C$130,1))+1)))-1,0),0,MOD($A34-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34-1)/5),MAX((MIN(80,MAX(1,INT(((CROQUIS!$C$98)-CROQUIS!$C$107)/MAX(CROQUIS!$C$130,1))+1)))-1,0))*CROQUIS!$C$130)))*CROQUIS!$C$155)+IF(CROQUIS!$C$92="X",0,0)),-1000)</f>
        <v>-1000</v>
      </c>
      <c r="BO3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34-1)/5),MAX((MIN(80,MAX(1,INT(((CROQUIS!$C$98)-CROQUIS!$C$107)/MAX(CROQUIS!$C$130,1))+1)))-1,0))*CROQUIS!$C$130),CHOOSE(IF(INT(($A34-1)/5)&gt;MAX((MIN(80,MAX(1,INT(((CROQUIS!$C$98)-CROQUIS!$C$107)/MAX(CROQUIS!$C$130,1))+1)))-1,0),0,MOD($A34-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34-1)/5),MAX((MIN(80,MAX(1,INT(((CROQUIS!$C$97)-CROQUIS!$C$107)/MAX(CROQUIS!$C$138,1))+1)))-1,0))*CROQUIS!$C$138),CHOOSE(IF(INT(($A34-1)/5)&gt;MAX((MIN(80,MAX(1,INT(((CROQUIS!$C$97)-CROQUIS!$C$107)/MAX(CROQUIS!$C$138,1))+1)))-1,0),0,MOD($A34-1,5))+1,0,IF(CROQUIS!$C$105=1,-12,2),CROQUIS!$C$107/2+CROQUIS!$C$141,IF(CROQUIS!$C$105=1,-12,2),0)))*CROQUIS!$C$155)+IF(CROQUIS!$C$92="X",0,0)),-1000)</f>
        <v>-1000</v>
      </c>
      <c r="BQ34">
        <f>IF(AND(CROQUIS!$C$88=1,CROQUIS!$C$91=0,CROQUIS!$C$138&gt;0,OR(CROQUIS!$C$105=1,CROQUIS!$C$143=1)),((CROQUIS!$C$157+(IF(CROQUIS!$C$92="X",CHOOSE(IF(INT(($A34-1)/5)&gt;MAX((MIN(80,MAX(1,INT(((CROQUIS!$C$97)-CROQUIS!$C$107)/MAX(CROQUIS!$C$138,1))+1)))-1,0),0,MOD($A34-1,5))+1,0,IF(CROQUIS!$C$105=1,-12,2),CROQUIS!$C$107/2+CROQUIS!$C$141,IF(CROQUIS!$C$105=1,-12,2),0),((CROQUIS!$C$107/2+(((CROQUIS!$C$97)-CROQUIS!$C$107)-(MIN(80,MAX(1,INT(((CROQUIS!$C$97)-CROQUIS!$C$107)/MAX(CROQUIS!$C$138,1))+1))-1)*CROQUIS!$C$138)/2)+MIN(INT(($A34-1)/5),MAX((MIN(80,MAX(1,INT(((CROQUIS!$C$97)-CROQUIS!$C$107)/MAX(CROQUIS!$C$138,1))+1)))-1,0))*CROQUIS!$C$138)))*CROQUIS!$C$155)+IF(CROQUIS!$C$92="X",0,0)),-1000)</f>
        <v>-1000</v>
      </c>
      <c r="BR3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34-1)/5),MAX((MIN(80,MAX(1,INT(((CROQUIS!$C$97)-CROQUIS!$C$107)/MAX(CROQUIS!$C$138,1))+1)))-1,0))*CROQUIS!$C$138),CHOOSE(IF(INT(($A34-1)/5)&gt;MAX((MIN(80,MAX(1,INT(((CROQUIS!$C$97)-CROQUIS!$C$107)/MAX(CROQUIS!$C$138,1))+1)))-1,0),0,MOD($A34-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4">
        <f>IF(AND(CROQUIS!$C$88=1,CROQUIS!$C$91=0,CROQUIS!$C$138&gt;0,OR(CROQUIS!$C$106=1,CROQUIS!$C$143=1)),((CROQUIS!$C$157+(IF(CROQUIS!$C$92="X",CHOOSE(IF(INT(($A34-1)/5)&gt;MAX((MIN(80,MAX(1,INT(((CROQUIS!$C$97)-CROQUIS!$C$107)/MAX(CROQUIS!$C$138,1))+1)))-1,0),0,MOD($A34-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34-1)/5),MAX((MIN(80,MAX(1,INT(((CROQUIS!$C$97)-CROQUIS!$C$107)/MAX(CROQUIS!$C$138,1))+1)))-1,0))*CROQUIS!$C$138)))*CROQUIS!$C$155)+IF(CROQUIS!$C$92="X",0,0)),-1000)</f>
        <v>-1000</v>
      </c>
      <c r="BT34">
        <f>IF(AND(CROQUIS!$C$88=1,CROQUIS!$C$91=1,CROQUIS!$C$130&gt;0),((CROQUIS!$C$156+(IF(CROQUIS!$C$92="X",CHOOSE(IF(INT(($A34-1)/5)&gt;MAX((MIN(80,MAX(1,INT(((CROQUIS!$C$98)-CROQUIS!$C$107)/MAX(CROQUIS!$C$130,1))+1)))-1,0),0,MOD($A34-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34-1)/5),MAX((MIN(80,MAX(1,INT(((CROQUIS!$C$98)-CROQUIS!$C$107)/MAX(CROQUIS!$C$130,1))+1)))-1,0))*CROQUIS!$C$130)))*CROQUIS!$C$155)+IF(CROQUIS!$C$92="X",0,0)),-1000)</f>
        <v>-1000</v>
      </c>
      <c r="BU34">
        <f>IF(AND(CROQUIS!$C$88=1,CROQUIS!$C$91=1,CROQUIS!$C$130&gt;0),((CROQUIS!$C$157+(IF(CROQUIS!$C$92="X",((CROQUIS!$C$107/2+(((CROQUIS!$C$98)-CROQUIS!$C$107)-(MIN(80,MAX(1,INT(((CROQUIS!$C$98)-CROQUIS!$C$107)/MAX(CROQUIS!$C$130,1))+1))-1)*CROQUIS!$C$130)/2)+MIN(INT(($A34-1)/5),MAX((MIN(80,MAX(1,INT(((CROQUIS!$C$98)-CROQUIS!$C$107)/MAX(CROQUIS!$C$130,1))+1)))-1,0))*CROQUIS!$C$130),CHOOSE(IF(INT(($A34-1)/5)&gt;MAX((MIN(80,MAX(1,INT(((CROQUIS!$C$98)-CROQUIS!$C$107)/MAX(CROQUIS!$C$130,1))+1)))-1,0),0,MOD($A34-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5">
      <c r="A35" t="n">
        <v>28</v>
      </c>
      <c r="F35">
        <f>IF(AND(CROQUIS!$C$87=1,CROQUIS!$C$91=1),((CROQUIS!$C$156+(IF(CROQUIS!$C$92="X",IF(CROQUIS!$C$94=1,0,CROQUIS!$C$97)+IF(MOD($A35,2)=1,-CROQUIS!$C$107/2,CROQUIS!$C$107/2),(MIN($A35,41)-1)/40*CROQUIS!$C$98))*CROQUIS!$C$155)+IF(CROQUIS!$C$92="X",0,0)),-1000)</f>
        <v>-1000</v>
      </c>
      <c r="G35">
        <f>IF(AND(CROQUIS!$C$87=1,CROQUIS!$C$91=1),((CROQUIS!$C$157+(IF(CROQUIS!$C$92="X",(MIN($A35,41)-1)/40*CROQUIS!$C$98,IF(CROQUIS!$C$94=1,0,CROQUIS!$C$97)+IF(MOD($A35,2)=1,-CROQUIS!$C$107/2,CROQUIS!$C$107/2)))*CROQUIS!$C$155)+IF(CROQUIS!$C$92="X",0,0)),-1000)</f>
        <v>-1000</v>
      </c>
      <c r="T35">
        <f>IF(AND(CROQUIS!$C$88=1,CROQUIS!$C$91=1),((CROQUIS!$C$156+(IF(CROQUIS!$C$92="X",IF(CROQUIS!$C$94=1,0,CROQUIS!$C$97)+IF(MOD($A35,2)=1,-CROQUIS!$C$107/2,CROQUIS!$C$107/2),(MIN($A35,41)-1)/40*CROQUIS!$C$98))*CROQUIS!$C$155)+IF(CROQUIS!$C$92="X",0,0)),-1000)</f>
        <v>-1000</v>
      </c>
      <c r="U35">
        <f>IF(AND(CROQUIS!$C$88=1,CROQUIS!$C$91=1),((CROQUIS!$C$157+(IF(CROQUIS!$C$92="X",(MIN($A35,41)-1)/40*CROQUIS!$C$98,IF(CROQUIS!$C$94=1,0,CROQUIS!$C$97)+IF(MOD($A35,2)=1,-CROQUIS!$C$107/2,CROQUIS!$C$107/2)))*CROQUIS!$C$155)+IF(CROQUIS!$C$92="X",0,0)),-1000)</f>
        <v>-1000</v>
      </c>
      <c r="AF35">
        <f>IF(AND(CROQUIS!$C$87=1,CROQUIS!$C$158&gt;0,CROQUIS!$C$160&gt;0),(CROQUIS!$C$156+((CROQUIS!$C$159+INT(MIN(INT(($A35-1)/2),MAX((2*CROQUIS!$C$158)-1,0))/2)*CROQUIS!$C$113+MOD(MIN(INT(($A35-1)/2),MAX((2*CROQUIS!$C$158)-1,0)),2)*CROQUIS!$C$112))*CROQUIS!$C$155),-1000)</f>
        <v>85.2010845006778</v>
      </c>
      <c r="AG35">
        <f>IF(AND(CROQUIS!$C$87=1,CROQUIS!$C$158&gt;0,CROQUIS!$C$160&gt;0),(CROQUIS!$C$157+(IF(MOD(MIN(INT(($A35-1)/2),MAX((2*CROQUIS!$C$158)-1,0)),2)=0,IF(IF(INT(($A35-1)/2)&gt;MAX((2*CROQUIS!$C$158)-1,0),1,MOD($A35-1,2))=0,CROQUIS!$C$161,(CROQUIS!$C$161+CROQUIS!$C$160*CROQUIS!$C$113-CROQUIS!$C$111)),IF(IF(INT(($A35-1)/2)&gt;MAX((2*CROQUIS!$C$158)-1,0),1,MOD($A35-1,2))=0,(CROQUIS!$C$161+CROQUIS!$C$160*CROQUIS!$C$113-CROQUIS!$C$111),CROQUIS!$C$161)))*CROQUIS!$C$155),-1000)</f>
        <v>20.8088567555355</v>
      </c>
      <c r="AH35">
        <f>IF(AND(CROQUIS!$C$87=1,CROQUIS!$C$160&gt;0,CROQUIS!$C$158&gt;0),(CROQUIS!$C$156+(IF(MOD(MIN(INT(($A35-1)/2),MAX((2*CROQUIS!$C$160)-1,0)),2)=0,IF(IF(INT(($A35-1)/2)&gt;MAX((2*CROQUIS!$C$160)-1,0),1,MOD($A35-1,2))=0,CROQUIS!$C$159,(CROQUIS!$C$159+CROQUIS!$C$158*CROQUIS!$C$113-CROQUIS!$C$111)),IF(IF(INT(($A35-1)/2)&gt;MAX((2*CROQUIS!$C$160)-1,0),1,MOD($A35-1,2))=0,(CROQUIS!$C$159+CROQUIS!$C$158*CROQUIS!$C$113-CROQUIS!$C$111),CROQUIS!$C$159)))*CROQUIS!$C$155),-1000)</f>
        <v>14.7989154993222</v>
      </c>
      <c r="AI35">
        <f>IF(AND(CROQUIS!$C$87=1,CROQUIS!$C$160&gt;0,CROQUIS!$C$158&gt;0),(CROQUIS!$C$157+((CROQUIS!$C$161+INT(MIN(INT(($A35-1)/2),MAX((2*CROQUIS!$C$160)-1,0))/2)*CROQUIS!$C$113+MOD(MIN(INT(($A35-1)/2),MAX((2*CROQUIS!$C$160)-1,0)),2)*CROQUIS!$C$112))*CROQUIS!$C$155),-1000)</f>
        <v>79.1911432444645</v>
      </c>
      <c r="AJ35">
        <f>IF(AND(CROQUIS!$C$87=1,CROQUIS!$C$158&gt;=2),(CROQUIS!$C$156+((CROQUIS!$C$159+CROQUIS!$C$112+CROQUIS!$C$111/2+MIN(INT(($A35-1)/2),MAX((CROQUIS!$C$158-1)-1,0))*CROQUIS!$C$113))*CROQUIS!$C$155),-1000)</f>
        <v>74.0397650248531</v>
      </c>
      <c r="AK35">
        <f>IF(AND(CROQUIS!$C$87=1,CROQUIS!$C$158&gt;=2),(CROQUIS!$C$157+(IF(MOD(MIN(INT(($A35-1)/2),MAX((CROQUIS!$C$158-1)-1,0)),2)=0,IF(IF(INT(($A35-1)/2)&gt;MAX((CROQUIS!$C$158-1)-1,0),1,MOD($A35-1,2))=0,CROQUIS!$C$107/2,(CROQUIS!$C$96-CROQUIS!$C$107/2)),IF(IF(INT(($A35-1)/2)&gt;MAX((CROQUIS!$C$158-1)-1,0),1,MOD($A35-1,2))=0,(CROQUIS!$C$96-CROQUIS!$C$107/2),CROQUIS!$C$107/2)))*CROQUIS!$C$155),-1000)</f>
        <v>83.0546769091731</v>
      </c>
      <c r="AL35">
        <f>IF(AND(CROQUIS!$C$87=1,CROQUIS!$C$160&gt;=2),(CROQUIS!$C$156+(IF(MOD(MIN(INT(($A35-1)/2),MAX((CROQUIS!$C$160-1)-1,0)),2)=0,IF(IF(INT(($A35-1)/2)&gt;MAX((CROQUIS!$C$160-1)-1,0),1,MOD($A35-1,2))=0,CROQUIS!$C$107/2,(CROQUIS!$C$95-CROQUIS!$C$107/2)),IF(IF(INT(($A35-1)/2)&gt;MAX((CROQUIS!$C$160-1)-1,0),1,MOD($A35-1,2))=0,(CROQUIS!$C$95-CROQUIS!$C$107/2),CROQUIS!$C$107/2)))*CROQUIS!$C$155),-1000)</f>
        <v>13.2878445549028</v>
      </c>
      <c r="AM35">
        <f>IF(AND(CROQUIS!$C$87=1,CROQUIS!$C$160&gt;=2),(CROQUIS!$C$157+((CROQUIS!$C$161+CROQUIS!$C$112+CROQUIS!$C$111/2+MIN(INT(($A35-1)/2),MAX((CROQUIS!$C$160-1)-1,0))*CROQUIS!$C$113))*CROQUIS!$C$155),-1000)</f>
        <v>68.0298237686399</v>
      </c>
      <c r="BH35">
        <f>IF(AND(CROQUIS!$C$88=1,CROQUIS!$C$126&gt;0),((CROQUIS!$C$156+(IF(CROQUIS!$C$92="X",CHOOSE(IF(INT(($A35-1)/5)&gt;MAX((MIN(80,MAX(1,INT(((CROQUIS!$C$98)-CROQUIS!$C$107)/MAX(CROQUIS!$C$126,1))+1)))-1,0),0,MOD($A35-1,5))+1,0,2,CROQUIS!$C$97-2,2,0),((CROQUIS!$C$107/2+(((CROQUIS!$C$98)-CROQUIS!$C$107)-(MIN(80,MAX(1,INT(((CROQUIS!$C$98)-CROQUIS!$C$107)/MAX(CROQUIS!$C$126,1))+1))-1)*CROQUIS!$C$126)/2)+MIN(INT(($A35-1)/5),MAX((MIN(80,MAX(1,INT(((CROQUIS!$C$98)-CROQUIS!$C$107)/MAX(CROQUIS!$C$126,1))+1)))-1,0))*CROQUIS!$C$126)))*CROQUIS!$C$155)+IF(CROQUIS!$C$92="X",0,0)),-1000)</f>
        <v>-1000</v>
      </c>
      <c r="BI35">
        <f>IF(AND(CROQUIS!$C$88=1,CROQUIS!$C$126&gt;0),((CROQUIS!$C$157+(IF(CROQUIS!$C$92="X",((CROQUIS!$C$107/2+(((CROQUIS!$C$98)-CROQUIS!$C$107)-(MIN(80,MAX(1,INT(((CROQUIS!$C$98)-CROQUIS!$C$107)/MAX(CROQUIS!$C$126,1))+1))-1)*CROQUIS!$C$126)/2)+MIN(INT(($A35-1)/5),MAX((MIN(80,MAX(1,INT(((CROQUIS!$C$98)-CROQUIS!$C$107)/MAX(CROQUIS!$C$126,1))+1)))-1,0))*CROQUIS!$C$126),CHOOSE(IF(INT(($A35-1)/5)&gt;MAX((MIN(80,MAX(1,INT(((CROQUIS!$C$98)-CROQUIS!$C$107)/MAX(CROQUIS!$C$126,1))+1)))-1,0),0,MOD($A35-1,5))+1,0,2,CROQUIS!$C$97-2,2,0)))*CROQUIS!$C$155)+IF(CROQUIS!$C$92="X",0,0)),-1000)</f>
        <v>-1000</v>
      </c>
      <c r="BJ35">
        <f>IF(AND(CROQUIS!$C$88=1,CROQUIS!$C$134&gt;0),((CROQUIS!$C$156+(IF(CROQUIS!$C$92="X",((CROQUIS!$C$107/2+(((CROQUIS!$C$97)-CROQUIS!$C$107)-(MIN(80,MAX(1,INT(((CROQUIS!$C$97)-CROQUIS!$C$107)/MAX(CROQUIS!$C$134,1))+1))-1)*CROQUIS!$C$134)/2)+MIN(INT(($A35-1)/5),MAX((MIN(80,MAX(1,INT(((CROQUIS!$C$97)-CROQUIS!$C$107)/MAX(CROQUIS!$C$134,1))+1)))-1,0))*CROQUIS!$C$134),CHOOSE(IF(INT(($A35-1)/5)&gt;MAX((MIN(80,MAX(1,INT(((CROQUIS!$C$97)-CROQUIS!$C$107)/MAX(CROQUIS!$C$134,1))+1)))-1,0),0,MOD($A35-1,5))+1,0,2,CROQUIS!$C$98-2,2,0)))*CROQUIS!$C$155)+IF(CROQUIS!$C$92="X",0,0)),-1000)</f>
        <v>-1000</v>
      </c>
      <c r="BK35">
        <f>IF(AND(CROQUIS!$C$88=1,CROQUIS!$C$134&gt;0),((CROQUIS!$C$157+(IF(CROQUIS!$C$92="X",CHOOSE(IF(INT(($A35-1)/5)&gt;MAX((MIN(80,MAX(1,INT(((CROQUIS!$C$97)-CROQUIS!$C$107)/MAX(CROQUIS!$C$134,1))+1)))-1,0),0,MOD($A35-1,5))+1,0,2,CROQUIS!$C$98-2,2,0),((CROQUIS!$C$107/2+(((CROQUIS!$C$97)-CROQUIS!$C$107)-(MIN(80,MAX(1,INT(((CROQUIS!$C$97)-CROQUIS!$C$107)/MAX(CROQUIS!$C$134,1))+1))-1)*CROQUIS!$C$134)/2)+MIN(INT(($A35-1)/5),MAX((MIN(80,MAX(1,INT(((CROQUIS!$C$97)-CROQUIS!$C$107)/MAX(CROQUIS!$C$134,1))+1)))-1,0))*CROQUIS!$C$134)))*CROQUIS!$C$155)+IF(CROQUIS!$C$92="X",0,0)),-1000)</f>
        <v>-1000</v>
      </c>
      <c r="BL35">
        <f>IF(AND(CROQUIS!$C$88=1,CROQUIS!$C$91=0,CROQUIS!$C$130&gt;0,OR(CROQUIS!$C$103=1,CROQUIS!$C$142=1)),((CROQUIS!$C$156+(IF(CROQUIS!$C$92="X",CHOOSE(IF(INT(($A35-1)/5)&gt;MAX((MIN(80,MAX(1,INT(((CROQUIS!$C$98)-CROQUIS!$C$107)/MAX(CROQUIS!$C$130,1))+1)))-1,0),0,MOD($A35-1,5))+1,0,IF(CROQUIS!$C$103=1,-12,2),CROQUIS!$C$107/2+CROQUIS!$C$140,IF(CROQUIS!$C$103=1,-12,2),0),((CROQUIS!$C$107/2+(((CROQUIS!$C$98)-CROQUIS!$C$107)-(MIN(80,MAX(1,INT(((CROQUIS!$C$98)-CROQUIS!$C$107)/MAX(CROQUIS!$C$130,1))+1))-1)*CROQUIS!$C$130)/2)+MIN(INT(($A35-1)/5),MAX((MIN(80,MAX(1,INT(((CROQUIS!$C$98)-CROQUIS!$C$107)/MAX(CROQUIS!$C$130,1))+1)))-1,0))*CROQUIS!$C$130)))*CROQUIS!$C$155)+IF(CROQUIS!$C$92="X",0,0)),-1000)</f>
        <v>-1000</v>
      </c>
      <c r="BM3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35-1)/5),MAX((MIN(80,MAX(1,INT(((CROQUIS!$C$98)-CROQUIS!$C$107)/MAX(CROQUIS!$C$130,1))+1)))-1,0))*CROQUIS!$C$130),CHOOSE(IF(INT(($A35-1)/5)&gt;MAX((MIN(80,MAX(1,INT(((CROQUIS!$C$98)-CROQUIS!$C$107)/MAX(CROQUIS!$C$130,1))+1)))-1,0),0,MOD($A35-1,5))+1,0,IF(CROQUIS!$C$103=1,-12,2),CROQUIS!$C$107/2+CROQUIS!$C$140,IF(CROQUIS!$C$103=1,-12,2),0)))*CROQUIS!$C$155)+IF(CROQUIS!$C$92="X",0,0)),-1000)</f>
        <v>-1000</v>
      </c>
      <c r="BN35">
        <f>IF(AND(CROQUIS!$C$88=1,CROQUIS!$C$91=0,CROQUIS!$C$130&gt;0,OR(CROQUIS!$C$104=1,CROQUIS!$C$142=1)),((CROQUIS!$C$156+(IF(CROQUIS!$C$92="X",CHOOSE(IF(INT(($A35-1)/5)&gt;MAX((MIN(80,MAX(1,INT(((CROQUIS!$C$98)-CROQUIS!$C$107)/MAX(CROQUIS!$C$130,1))+1)))-1,0),0,MOD($A35-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35-1)/5),MAX((MIN(80,MAX(1,INT(((CROQUIS!$C$98)-CROQUIS!$C$107)/MAX(CROQUIS!$C$130,1))+1)))-1,0))*CROQUIS!$C$130)))*CROQUIS!$C$155)+IF(CROQUIS!$C$92="X",0,0)),-1000)</f>
        <v>-1000</v>
      </c>
      <c r="BO3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35-1)/5),MAX((MIN(80,MAX(1,INT(((CROQUIS!$C$98)-CROQUIS!$C$107)/MAX(CROQUIS!$C$130,1))+1)))-1,0))*CROQUIS!$C$130),CHOOSE(IF(INT(($A35-1)/5)&gt;MAX((MIN(80,MAX(1,INT(((CROQUIS!$C$98)-CROQUIS!$C$107)/MAX(CROQUIS!$C$130,1))+1)))-1,0),0,MOD($A35-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35-1)/5),MAX((MIN(80,MAX(1,INT(((CROQUIS!$C$97)-CROQUIS!$C$107)/MAX(CROQUIS!$C$138,1))+1)))-1,0))*CROQUIS!$C$138),CHOOSE(IF(INT(($A35-1)/5)&gt;MAX((MIN(80,MAX(1,INT(((CROQUIS!$C$97)-CROQUIS!$C$107)/MAX(CROQUIS!$C$138,1))+1)))-1,0),0,MOD($A35-1,5))+1,0,IF(CROQUIS!$C$105=1,-12,2),CROQUIS!$C$107/2+CROQUIS!$C$141,IF(CROQUIS!$C$105=1,-12,2),0)))*CROQUIS!$C$155)+IF(CROQUIS!$C$92="X",0,0)),-1000)</f>
        <v>-1000</v>
      </c>
      <c r="BQ35">
        <f>IF(AND(CROQUIS!$C$88=1,CROQUIS!$C$91=0,CROQUIS!$C$138&gt;0,OR(CROQUIS!$C$105=1,CROQUIS!$C$143=1)),((CROQUIS!$C$157+(IF(CROQUIS!$C$92="X",CHOOSE(IF(INT(($A35-1)/5)&gt;MAX((MIN(80,MAX(1,INT(((CROQUIS!$C$97)-CROQUIS!$C$107)/MAX(CROQUIS!$C$138,1))+1)))-1,0),0,MOD($A35-1,5))+1,0,IF(CROQUIS!$C$105=1,-12,2),CROQUIS!$C$107/2+CROQUIS!$C$141,IF(CROQUIS!$C$105=1,-12,2),0),((CROQUIS!$C$107/2+(((CROQUIS!$C$97)-CROQUIS!$C$107)-(MIN(80,MAX(1,INT(((CROQUIS!$C$97)-CROQUIS!$C$107)/MAX(CROQUIS!$C$138,1))+1))-1)*CROQUIS!$C$138)/2)+MIN(INT(($A35-1)/5),MAX((MIN(80,MAX(1,INT(((CROQUIS!$C$97)-CROQUIS!$C$107)/MAX(CROQUIS!$C$138,1))+1)))-1,0))*CROQUIS!$C$138)))*CROQUIS!$C$155)+IF(CROQUIS!$C$92="X",0,0)),-1000)</f>
        <v>-1000</v>
      </c>
      <c r="BR3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35-1)/5),MAX((MIN(80,MAX(1,INT(((CROQUIS!$C$97)-CROQUIS!$C$107)/MAX(CROQUIS!$C$138,1))+1)))-1,0))*CROQUIS!$C$138),CHOOSE(IF(INT(($A35-1)/5)&gt;MAX((MIN(80,MAX(1,INT(((CROQUIS!$C$97)-CROQUIS!$C$107)/MAX(CROQUIS!$C$138,1))+1)))-1,0),0,MOD($A35-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5">
        <f>IF(AND(CROQUIS!$C$88=1,CROQUIS!$C$91=0,CROQUIS!$C$138&gt;0,OR(CROQUIS!$C$106=1,CROQUIS!$C$143=1)),((CROQUIS!$C$157+(IF(CROQUIS!$C$92="X",CHOOSE(IF(INT(($A35-1)/5)&gt;MAX((MIN(80,MAX(1,INT(((CROQUIS!$C$97)-CROQUIS!$C$107)/MAX(CROQUIS!$C$138,1))+1)))-1,0),0,MOD($A35-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35-1)/5),MAX((MIN(80,MAX(1,INT(((CROQUIS!$C$97)-CROQUIS!$C$107)/MAX(CROQUIS!$C$138,1))+1)))-1,0))*CROQUIS!$C$138)))*CROQUIS!$C$155)+IF(CROQUIS!$C$92="X",0,0)),-1000)</f>
        <v>-1000</v>
      </c>
      <c r="BT35">
        <f>IF(AND(CROQUIS!$C$88=1,CROQUIS!$C$91=1,CROQUIS!$C$130&gt;0),((CROQUIS!$C$156+(IF(CROQUIS!$C$92="X",CHOOSE(IF(INT(($A35-1)/5)&gt;MAX((MIN(80,MAX(1,INT(((CROQUIS!$C$98)-CROQUIS!$C$107)/MAX(CROQUIS!$C$130,1))+1)))-1,0),0,MOD($A35-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35-1)/5),MAX((MIN(80,MAX(1,INT(((CROQUIS!$C$98)-CROQUIS!$C$107)/MAX(CROQUIS!$C$130,1))+1)))-1,0))*CROQUIS!$C$130)))*CROQUIS!$C$155)+IF(CROQUIS!$C$92="X",0,0)),-1000)</f>
        <v>-1000</v>
      </c>
      <c r="BU35">
        <f>IF(AND(CROQUIS!$C$88=1,CROQUIS!$C$91=1,CROQUIS!$C$130&gt;0),((CROQUIS!$C$157+(IF(CROQUIS!$C$92="X",((CROQUIS!$C$107/2+(((CROQUIS!$C$98)-CROQUIS!$C$107)-(MIN(80,MAX(1,INT(((CROQUIS!$C$98)-CROQUIS!$C$107)/MAX(CROQUIS!$C$130,1))+1))-1)*CROQUIS!$C$130)/2)+MIN(INT(($A35-1)/5),MAX((MIN(80,MAX(1,INT(((CROQUIS!$C$98)-CROQUIS!$C$107)/MAX(CROQUIS!$C$130,1))+1)))-1,0))*CROQUIS!$C$130),CHOOSE(IF(INT(($A35-1)/5)&gt;MAX((MIN(80,MAX(1,INT(((CROQUIS!$C$98)-CROQUIS!$C$107)/MAX(CROQUIS!$C$130,1))+1)))-1,0),0,MOD($A35-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6">
      <c r="A36" t="n">
        <v>29</v>
      </c>
      <c r="F36">
        <f>IF(AND(CROQUIS!$C$87=1,CROQUIS!$C$91=1),((CROQUIS!$C$156+(IF(CROQUIS!$C$92="X",IF(CROQUIS!$C$94=1,0,CROQUIS!$C$97)+IF(MOD($A36,2)=1,-CROQUIS!$C$107/2,CROQUIS!$C$107/2),(MIN($A36,41)-1)/40*CROQUIS!$C$98))*CROQUIS!$C$155)+IF(CROQUIS!$C$92="X",0,0)),-1000)</f>
        <v>-1000</v>
      </c>
      <c r="G36">
        <f>IF(AND(CROQUIS!$C$87=1,CROQUIS!$C$91=1),((CROQUIS!$C$157+(IF(CROQUIS!$C$92="X",(MIN($A36,41)-1)/40*CROQUIS!$C$98,IF(CROQUIS!$C$94=1,0,CROQUIS!$C$97)+IF(MOD($A36,2)=1,-CROQUIS!$C$107/2,CROQUIS!$C$107/2)))*CROQUIS!$C$155)+IF(CROQUIS!$C$92="X",0,0)),-1000)</f>
        <v>-1000</v>
      </c>
      <c r="T36">
        <f>IF(AND(CROQUIS!$C$88=1,CROQUIS!$C$91=1),((CROQUIS!$C$156+(IF(CROQUIS!$C$92="X",IF(CROQUIS!$C$94=1,0,CROQUIS!$C$97)+IF(MOD($A36,2)=1,-CROQUIS!$C$107/2,CROQUIS!$C$107/2),(MIN($A36,41)-1)/40*CROQUIS!$C$98))*CROQUIS!$C$155)+IF(CROQUIS!$C$92="X",0,0)),-1000)</f>
        <v>-1000</v>
      </c>
      <c r="U36">
        <f>IF(AND(CROQUIS!$C$88=1,CROQUIS!$C$91=1),((CROQUIS!$C$157+(IF(CROQUIS!$C$92="X",(MIN($A36,41)-1)/40*CROQUIS!$C$98,IF(CROQUIS!$C$94=1,0,CROQUIS!$C$97)+IF(MOD($A36,2)=1,-CROQUIS!$C$107/2,CROQUIS!$C$107/2)))*CROQUIS!$C$155)+IF(CROQUIS!$C$92="X",0,0)),-1000)</f>
        <v>-1000</v>
      </c>
      <c r="AF36">
        <f>IF(AND(CROQUIS!$C$87=1,CROQUIS!$C$158&gt;0,CROQUIS!$C$160&gt;0),(CROQUIS!$C$156+((CROQUIS!$C$159+INT(MIN(INT(($A36-1)/2),MAX((2*CROQUIS!$C$158)-1,0))/2)*CROQUIS!$C$113+MOD(MIN(INT(($A36-1)/2),MAX((2*CROQUIS!$C$158)-1,0)),2)*CROQUIS!$C$112))*CROQUIS!$C$155),-1000)</f>
        <v>85.2010845006778</v>
      </c>
      <c r="AG36">
        <f>IF(AND(CROQUIS!$C$87=1,CROQUIS!$C$158&gt;0,CROQUIS!$C$160&gt;0),(CROQUIS!$C$157+(IF(MOD(MIN(INT(($A36-1)/2),MAX((2*CROQUIS!$C$158)-1,0)),2)=0,IF(IF(INT(($A36-1)/2)&gt;MAX((2*CROQUIS!$C$158)-1,0),1,MOD($A36-1,2))=0,CROQUIS!$C$161,(CROQUIS!$C$161+CROQUIS!$C$160*CROQUIS!$C$113-CROQUIS!$C$111)),IF(IF(INT(($A36-1)/2)&gt;MAX((2*CROQUIS!$C$158)-1,0),1,MOD($A36-1,2))=0,(CROQUIS!$C$161+CROQUIS!$C$160*CROQUIS!$C$113-CROQUIS!$C$111),CROQUIS!$C$161)))*CROQUIS!$C$155),-1000)</f>
        <v>20.8088567555355</v>
      </c>
      <c r="AH36">
        <f>IF(AND(CROQUIS!$C$87=1,CROQUIS!$C$160&gt;0,CROQUIS!$C$158&gt;0),(CROQUIS!$C$156+(IF(MOD(MIN(INT(($A36-1)/2),MAX((2*CROQUIS!$C$160)-1,0)),2)=0,IF(IF(INT(($A36-1)/2)&gt;MAX((2*CROQUIS!$C$160)-1,0),1,MOD($A36-1,2))=0,CROQUIS!$C$159,(CROQUIS!$C$159+CROQUIS!$C$158*CROQUIS!$C$113-CROQUIS!$C$111)),IF(IF(INT(($A36-1)/2)&gt;MAX((2*CROQUIS!$C$160)-1,0),1,MOD($A36-1,2))=0,(CROQUIS!$C$159+CROQUIS!$C$158*CROQUIS!$C$113-CROQUIS!$C$111),CROQUIS!$C$159)))*CROQUIS!$C$155),-1000)</f>
        <v>14.7989154993222</v>
      </c>
      <c r="AI36">
        <f>IF(AND(CROQUIS!$C$87=1,CROQUIS!$C$160&gt;0,CROQUIS!$C$158&gt;0),(CROQUIS!$C$157+((CROQUIS!$C$161+INT(MIN(INT(($A36-1)/2),MAX((2*CROQUIS!$C$160)-1,0))/2)*CROQUIS!$C$113+MOD(MIN(INT(($A36-1)/2),MAX((2*CROQUIS!$C$160)-1,0)),2)*CROQUIS!$C$112))*CROQUIS!$C$155),-1000)</f>
        <v>79.1911432444645</v>
      </c>
      <c r="AJ36">
        <f>IF(AND(CROQUIS!$C$87=1,CROQUIS!$C$158&gt;=2),(CROQUIS!$C$156+((CROQUIS!$C$159+CROQUIS!$C$112+CROQUIS!$C$111/2+MIN(INT(($A36-1)/2),MAX((CROQUIS!$C$158-1)-1,0))*CROQUIS!$C$113))*CROQUIS!$C$155),-1000)</f>
        <v>74.0397650248531</v>
      </c>
      <c r="AK36">
        <f>IF(AND(CROQUIS!$C$87=1,CROQUIS!$C$158&gt;=2),(CROQUIS!$C$157+(IF(MOD(MIN(INT(($A36-1)/2),MAX((CROQUIS!$C$158-1)-1,0)),2)=0,IF(IF(INT(($A36-1)/2)&gt;MAX((CROQUIS!$C$158-1)-1,0),1,MOD($A36-1,2))=0,CROQUIS!$C$107/2,(CROQUIS!$C$96-CROQUIS!$C$107/2)),IF(IF(INT(($A36-1)/2)&gt;MAX((CROQUIS!$C$158-1)-1,0),1,MOD($A36-1,2))=0,(CROQUIS!$C$96-CROQUIS!$C$107/2),CROQUIS!$C$107/2)))*CROQUIS!$C$155),-1000)</f>
        <v>83.0546769091731</v>
      </c>
      <c r="AL36">
        <f>IF(AND(CROQUIS!$C$87=1,CROQUIS!$C$160&gt;=2),(CROQUIS!$C$156+(IF(MOD(MIN(INT(($A36-1)/2),MAX((CROQUIS!$C$160-1)-1,0)),2)=0,IF(IF(INT(($A36-1)/2)&gt;MAX((CROQUIS!$C$160-1)-1,0),1,MOD($A36-1,2))=0,CROQUIS!$C$107/2,(CROQUIS!$C$95-CROQUIS!$C$107/2)),IF(IF(INT(($A36-1)/2)&gt;MAX((CROQUIS!$C$160-1)-1,0),1,MOD($A36-1,2))=0,(CROQUIS!$C$95-CROQUIS!$C$107/2),CROQUIS!$C$107/2)))*CROQUIS!$C$155),-1000)</f>
        <v>13.2878445549028</v>
      </c>
      <c r="AM36">
        <f>IF(AND(CROQUIS!$C$87=1,CROQUIS!$C$160&gt;=2),(CROQUIS!$C$157+((CROQUIS!$C$161+CROQUIS!$C$112+CROQUIS!$C$111/2+MIN(INT(($A36-1)/2),MAX((CROQUIS!$C$160-1)-1,0))*CROQUIS!$C$113))*CROQUIS!$C$155),-1000)</f>
        <v>68.0298237686399</v>
      </c>
      <c r="BH36">
        <f>IF(AND(CROQUIS!$C$88=1,CROQUIS!$C$126&gt;0),((CROQUIS!$C$156+(IF(CROQUIS!$C$92="X",CHOOSE(IF(INT(($A36-1)/5)&gt;MAX((MIN(80,MAX(1,INT(((CROQUIS!$C$98)-CROQUIS!$C$107)/MAX(CROQUIS!$C$126,1))+1)))-1,0),0,MOD($A36-1,5))+1,0,2,CROQUIS!$C$97-2,2,0),((CROQUIS!$C$107/2+(((CROQUIS!$C$98)-CROQUIS!$C$107)-(MIN(80,MAX(1,INT(((CROQUIS!$C$98)-CROQUIS!$C$107)/MAX(CROQUIS!$C$126,1))+1))-1)*CROQUIS!$C$126)/2)+MIN(INT(($A36-1)/5),MAX((MIN(80,MAX(1,INT(((CROQUIS!$C$98)-CROQUIS!$C$107)/MAX(CROQUIS!$C$126,1))+1)))-1,0))*CROQUIS!$C$126)))*CROQUIS!$C$155)+IF(CROQUIS!$C$92="X",0,0)),-1000)</f>
        <v>-1000</v>
      </c>
      <c r="BI36">
        <f>IF(AND(CROQUIS!$C$88=1,CROQUIS!$C$126&gt;0),((CROQUIS!$C$157+(IF(CROQUIS!$C$92="X",((CROQUIS!$C$107/2+(((CROQUIS!$C$98)-CROQUIS!$C$107)-(MIN(80,MAX(1,INT(((CROQUIS!$C$98)-CROQUIS!$C$107)/MAX(CROQUIS!$C$126,1))+1))-1)*CROQUIS!$C$126)/2)+MIN(INT(($A36-1)/5),MAX((MIN(80,MAX(1,INT(((CROQUIS!$C$98)-CROQUIS!$C$107)/MAX(CROQUIS!$C$126,1))+1)))-1,0))*CROQUIS!$C$126),CHOOSE(IF(INT(($A36-1)/5)&gt;MAX((MIN(80,MAX(1,INT(((CROQUIS!$C$98)-CROQUIS!$C$107)/MAX(CROQUIS!$C$126,1))+1)))-1,0),0,MOD($A36-1,5))+1,0,2,CROQUIS!$C$97-2,2,0)))*CROQUIS!$C$155)+IF(CROQUIS!$C$92="X",0,0)),-1000)</f>
        <v>-1000</v>
      </c>
      <c r="BJ36">
        <f>IF(AND(CROQUIS!$C$88=1,CROQUIS!$C$134&gt;0),((CROQUIS!$C$156+(IF(CROQUIS!$C$92="X",((CROQUIS!$C$107/2+(((CROQUIS!$C$97)-CROQUIS!$C$107)-(MIN(80,MAX(1,INT(((CROQUIS!$C$97)-CROQUIS!$C$107)/MAX(CROQUIS!$C$134,1))+1))-1)*CROQUIS!$C$134)/2)+MIN(INT(($A36-1)/5),MAX((MIN(80,MAX(1,INT(((CROQUIS!$C$97)-CROQUIS!$C$107)/MAX(CROQUIS!$C$134,1))+1)))-1,0))*CROQUIS!$C$134),CHOOSE(IF(INT(($A36-1)/5)&gt;MAX((MIN(80,MAX(1,INT(((CROQUIS!$C$97)-CROQUIS!$C$107)/MAX(CROQUIS!$C$134,1))+1)))-1,0),0,MOD($A36-1,5))+1,0,2,CROQUIS!$C$98-2,2,0)))*CROQUIS!$C$155)+IF(CROQUIS!$C$92="X",0,0)),-1000)</f>
        <v>-1000</v>
      </c>
      <c r="BK36">
        <f>IF(AND(CROQUIS!$C$88=1,CROQUIS!$C$134&gt;0),((CROQUIS!$C$157+(IF(CROQUIS!$C$92="X",CHOOSE(IF(INT(($A36-1)/5)&gt;MAX((MIN(80,MAX(1,INT(((CROQUIS!$C$97)-CROQUIS!$C$107)/MAX(CROQUIS!$C$134,1))+1)))-1,0),0,MOD($A36-1,5))+1,0,2,CROQUIS!$C$98-2,2,0),((CROQUIS!$C$107/2+(((CROQUIS!$C$97)-CROQUIS!$C$107)-(MIN(80,MAX(1,INT(((CROQUIS!$C$97)-CROQUIS!$C$107)/MAX(CROQUIS!$C$134,1))+1))-1)*CROQUIS!$C$134)/2)+MIN(INT(($A36-1)/5),MAX((MIN(80,MAX(1,INT(((CROQUIS!$C$97)-CROQUIS!$C$107)/MAX(CROQUIS!$C$134,1))+1)))-1,0))*CROQUIS!$C$134)))*CROQUIS!$C$155)+IF(CROQUIS!$C$92="X",0,0)),-1000)</f>
        <v>-1000</v>
      </c>
      <c r="BL36">
        <f>IF(AND(CROQUIS!$C$88=1,CROQUIS!$C$91=0,CROQUIS!$C$130&gt;0,OR(CROQUIS!$C$103=1,CROQUIS!$C$142=1)),((CROQUIS!$C$156+(IF(CROQUIS!$C$92="X",CHOOSE(IF(INT(($A36-1)/5)&gt;MAX((MIN(80,MAX(1,INT(((CROQUIS!$C$98)-CROQUIS!$C$107)/MAX(CROQUIS!$C$130,1))+1)))-1,0),0,MOD($A36-1,5))+1,0,IF(CROQUIS!$C$103=1,-12,2),CROQUIS!$C$107/2+CROQUIS!$C$140,IF(CROQUIS!$C$103=1,-12,2),0),((CROQUIS!$C$107/2+(((CROQUIS!$C$98)-CROQUIS!$C$107)-(MIN(80,MAX(1,INT(((CROQUIS!$C$98)-CROQUIS!$C$107)/MAX(CROQUIS!$C$130,1))+1))-1)*CROQUIS!$C$130)/2)+MIN(INT(($A36-1)/5),MAX((MIN(80,MAX(1,INT(((CROQUIS!$C$98)-CROQUIS!$C$107)/MAX(CROQUIS!$C$130,1))+1)))-1,0))*CROQUIS!$C$130)))*CROQUIS!$C$155)+IF(CROQUIS!$C$92="X",0,0)),-1000)</f>
        <v>-1000</v>
      </c>
      <c r="BM3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36-1)/5),MAX((MIN(80,MAX(1,INT(((CROQUIS!$C$98)-CROQUIS!$C$107)/MAX(CROQUIS!$C$130,1))+1)))-1,0))*CROQUIS!$C$130),CHOOSE(IF(INT(($A36-1)/5)&gt;MAX((MIN(80,MAX(1,INT(((CROQUIS!$C$98)-CROQUIS!$C$107)/MAX(CROQUIS!$C$130,1))+1)))-1,0),0,MOD($A36-1,5))+1,0,IF(CROQUIS!$C$103=1,-12,2),CROQUIS!$C$107/2+CROQUIS!$C$140,IF(CROQUIS!$C$103=1,-12,2),0)))*CROQUIS!$C$155)+IF(CROQUIS!$C$92="X",0,0)),-1000)</f>
        <v>-1000</v>
      </c>
      <c r="BN36">
        <f>IF(AND(CROQUIS!$C$88=1,CROQUIS!$C$91=0,CROQUIS!$C$130&gt;0,OR(CROQUIS!$C$104=1,CROQUIS!$C$142=1)),((CROQUIS!$C$156+(IF(CROQUIS!$C$92="X",CHOOSE(IF(INT(($A36-1)/5)&gt;MAX((MIN(80,MAX(1,INT(((CROQUIS!$C$98)-CROQUIS!$C$107)/MAX(CROQUIS!$C$130,1))+1)))-1,0),0,MOD($A36-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36-1)/5),MAX((MIN(80,MAX(1,INT(((CROQUIS!$C$98)-CROQUIS!$C$107)/MAX(CROQUIS!$C$130,1))+1)))-1,0))*CROQUIS!$C$130)))*CROQUIS!$C$155)+IF(CROQUIS!$C$92="X",0,0)),-1000)</f>
        <v>-1000</v>
      </c>
      <c r="BO3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36-1)/5),MAX((MIN(80,MAX(1,INT(((CROQUIS!$C$98)-CROQUIS!$C$107)/MAX(CROQUIS!$C$130,1))+1)))-1,0))*CROQUIS!$C$130),CHOOSE(IF(INT(($A36-1)/5)&gt;MAX((MIN(80,MAX(1,INT(((CROQUIS!$C$98)-CROQUIS!$C$107)/MAX(CROQUIS!$C$130,1))+1)))-1,0),0,MOD($A36-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36-1)/5),MAX((MIN(80,MAX(1,INT(((CROQUIS!$C$97)-CROQUIS!$C$107)/MAX(CROQUIS!$C$138,1))+1)))-1,0))*CROQUIS!$C$138),CHOOSE(IF(INT(($A36-1)/5)&gt;MAX((MIN(80,MAX(1,INT(((CROQUIS!$C$97)-CROQUIS!$C$107)/MAX(CROQUIS!$C$138,1))+1)))-1,0),0,MOD($A36-1,5))+1,0,IF(CROQUIS!$C$105=1,-12,2),CROQUIS!$C$107/2+CROQUIS!$C$141,IF(CROQUIS!$C$105=1,-12,2),0)))*CROQUIS!$C$155)+IF(CROQUIS!$C$92="X",0,0)),-1000)</f>
        <v>-1000</v>
      </c>
      <c r="BQ36">
        <f>IF(AND(CROQUIS!$C$88=1,CROQUIS!$C$91=0,CROQUIS!$C$138&gt;0,OR(CROQUIS!$C$105=1,CROQUIS!$C$143=1)),((CROQUIS!$C$157+(IF(CROQUIS!$C$92="X",CHOOSE(IF(INT(($A36-1)/5)&gt;MAX((MIN(80,MAX(1,INT(((CROQUIS!$C$97)-CROQUIS!$C$107)/MAX(CROQUIS!$C$138,1))+1)))-1,0),0,MOD($A36-1,5))+1,0,IF(CROQUIS!$C$105=1,-12,2),CROQUIS!$C$107/2+CROQUIS!$C$141,IF(CROQUIS!$C$105=1,-12,2),0),((CROQUIS!$C$107/2+(((CROQUIS!$C$97)-CROQUIS!$C$107)-(MIN(80,MAX(1,INT(((CROQUIS!$C$97)-CROQUIS!$C$107)/MAX(CROQUIS!$C$138,1))+1))-1)*CROQUIS!$C$138)/2)+MIN(INT(($A36-1)/5),MAX((MIN(80,MAX(1,INT(((CROQUIS!$C$97)-CROQUIS!$C$107)/MAX(CROQUIS!$C$138,1))+1)))-1,0))*CROQUIS!$C$138)))*CROQUIS!$C$155)+IF(CROQUIS!$C$92="X",0,0)),-1000)</f>
        <v>-1000</v>
      </c>
      <c r="BR3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36-1)/5),MAX((MIN(80,MAX(1,INT(((CROQUIS!$C$97)-CROQUIS!$C$107)/MAX(CROQUIS!$C$138,1))+1)))-1,0))*CROQUIS!$C$138),CHOOSE(IF(INT(($A36-1)/5)&gt;MAX((MIN(80,MAX(1,INT(((CROQUIS!$C$97)-CROQUIS!$C$107)/MAX(CROQUIS!$C$138,1))+1)))-1,0),0,MOD($A36-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6">
        <f>IF(AND(CROQUIS!$C$88=1,CROQUIS!$C$91=0,CROQUIS!$C$138&gt;0,OR(CROQUIS!$C$106=1,CROQUIS!$C$143=1)),((CROQUIS!$C$157+(IF(CROQUIS!$C$92="X",CHOOSE(IF(INT(($A36-1)/5)&gt;MAX((MIN(80,MAX(1,INT(((CROQUIS!$C$97)-CROQUIS!$C$107)/MAX(CROQUIS!$C$138,1))+1)))-1,0),0,MOD($A36-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36-1)/5),MAX((MIN(80,MAX(1,INT(((CROQUIS!$C$97)-CROQUIS!$C$107)/MAX(CROQUIS!$C$138,1))+1)))-1,0))*CROQUIS!$C$138)))*CROQUIS!$C$155)+IF(CROQUIS!$C$92="X",0,0)),-1000)</f>
        <v>-1000</v>
      </c>
      <c r="BT36">
        <f>IF(AND(CROQUIS!$C$88=1,CROQUIS!$C$91=1,CROQUIS!$C$130&gt;0),((CROQUIS!$C$156+(IF(CROQUIS!$C$92="X",CHOOSE(IF(INT(($A36-1)/5)&gt;MAX((MIN(80,MAX(1,INT(((CROQUIS!$C$98)-CROQUIS!$C$107)/MAX(CROQUIS!$C$130,1))+1)))-1,0),0,MOD($A36-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36-1)/5),MAX((MIN(80,MAX(1,INT(((CROQUIS!$C$98)-CROQUIS!$C$107)/MAX(CROQUIS!$C$130,1))+1)))-1,0))*CROQUIS!$C$130)))*CROQUIS!$C$155)+IF(CROQUIS!$C$92="X",0,0)),-1000)</f>
        <v>-1000</v>
      </c>
      <c r="BU36">
        <f>IF(AND(CROQUIS!$C$88=1,CROQUIS!$C$91=1,CROQUIS!$C$130&gt;0),((CROQUIS!$C$157+(IF(CROQUIS!$C$92="X",((CROQUIS!$C$107/2+(((CROQUIS!$C$98)-CROQUIS!$C$107)-(MIN(80,MAX(1,INT(((CROQUIS!$C$98)-CROQUIS!$C$107)/MAX(CROQUIS!$C$130,1))+1))-1)*CROQUIS!$C$130)/2)+MIN(INT(($A36-1)/5),MAX((MIN(80,MAX(1,INT(((CROQUIS!$C$98)-CROQUIS!$C$107)/MAX(CROQUIS!$C$130,1))+1)))-1,0))*CROQUIS!$C$130),CHOOSE(IF(INT(($A36-1)/5)&gt;MAX((MIN(80,MAX(1,INT(((CROQUIS!$C$98)-CROQUIS!$C$107)/MAX(CROQUIS!$C$130,1))+1)))-1,0),0,MOD($A36-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7">
      <c r="A37" t="n">
        <v>30</v>
      </c>
      <c r="F37">
        <f>IF(AND(CROQUIS!$C$87=1,CROQUIS!$C$91=1),((CROQUIS!$C$156+(IF(CROQUIS!$C$92="X",IF(CROQUIS!$C$94=1,0,CROQUIS!$C$97)+IF(MOD($A37,2)=1,-CROQUIS!$C$107/2,CROQUIS!$C$107/2),(MIN($A37,41)-1)/40*CROQUIS!$C$98))*CROQUIS!$C$155)+IF(CROQUIS!$C$92="X",0,0)),-1000)</f>
        <v>-1000</v>
      </c>
      <c r="G37">
        <f>IF(AND(CROQUIS!$C$87=1,CROQUIS!$C$91=1),((CROQUIS!$C$157+(IF(CROQUIS!$C$92="X",(MIN($A37,41)-1)/40*CROQUIS!$C$98,IF(CROQUIS!$C$94=1,0,CROQUIS!$C$97)+IF(MOD($A37,2)=1,-CROQUIS!$C$107/2,CROQUIS!$C$107/2)))*CROQUIS!$C$155)+IF(CROQUIS!$C$92="X",0,0)),-1000)</f>
        <v>-1000</v>
      </c>
      <c r="T37">
        <f>IF(AND(CROQUIS!$C$88=1,CROQUIS!$C$91=1),((CROQUIS!$C$156+(IF(CROQUIS!$C$92="X",IF(CROQUIS!$C$94=1,0,CROQUIS!$C$97)+IF(MOD($A37,2)=1,-CROQUIS!$C$107/2,CROQUIS!$C$107/2),(MIN($A37,41)-1)/40*CROQUIS!$C$98))*CROQUIS!$C$155)+IF(CROQUIS!$C$92="X",0,0)),-1000)</f>
        <v>-1000</v>
      </c>
      <c r="U37">
        <f>IF(AND(CROQUIS!$C$88=1,CROQUIS!$C$91=1),((CROQUIS!$C$157+(IF(CROQUIS!$C$92="X",(MIN($A37,41)-1)/40*CROQUIS!$C$98,IF(CROQUIS!$C$94=1,0,CROQUIS!$C$97)+IF(MOD($A37,2)=1,-CROQUIS!$C$107/2,CROQUIS!$C$107/2)))*CROQUIS!$C$155)+IF(CROQUIS!$C$92="X",0,0)),-1000)</f>
        <v>-1000</v>
      </c>
      <c r="AF37">
        <f>IF(AND(CROQUIS!$C$87=1,CROQUIS!$C$158&gt;0,CROQUIS!$C$160&gt;0),(CROQUIS!$C$156+((CROQUIS!$C$159+INT(MIN(INT(($A37-1)/2),MAX((2*CROQUIS!$C$158)-1,0))/2)*CROQUIS!$C$113+MOD(MIN(INT(($A37-1)/2),MAX((2*CROQUIS!$C$158)-1,0)),2)*CROQUIS!$C$112))*CROQUIS!$C$155),-1000)</f>
        <v>85.2010845006778</v>
      </c>
      <c r="AG37">
        <f>IF(AND(CROQUIS!$C$87=1,CROQUIS!$C$158&gt;0,CROQUIS!$C$160&gt;0),(CROQUIS!$C$157+(IF(MOD(MIN(INT(($A37-1)/2),MAX((2*CROQUIS!$C$158)-1,0)),2)=0,IF(IF(INT(($A37-1)/2)&gt;MAX((2*CROQUIS!$C$158)-1,0),1,MOD($A37-1,2))=0,CROQUIS!$C$161,(CROQUIS!$C$161+CROQUIS!$C$160*CROQUIS!$C$113-CROQUIS!$C$111)),IF(IF(INT(($A37-1)/2)&gt;MAX((2*CROQUIS!$C$158)-1,0),1,MOD($A37-1,2))=0,(CROQUIS!$C$161+CROQUIS!$C$160*CROQUIS!$C$113-CROQUIS!$C$111),CROQUIS!$C$161)))*CROQUIS!$C$155),-1000)</f>
        <v>20.8088567555355</v>
      </c>
      <c r="AH37">
        <f>IF(AND(CROQUIS!$C$87=1,CROQUIS!$C$160&gt;0,CROQUIS!$C$158&gt;0),(CROQUIS!$C$156+(IF(MOD(MIN(INT(($A37-1)/2),MAX((2*CROQUIS!$C$160)-1,0)),2)=0,IF(IF(INT(($A37-1)/2)&gt;MAX((2*CROQUIS!$C$160)-1,0),1,MOD($A37-1,2))=0,CROQUIS!$C$159,(CROQUIS!$C$159+CROQUIS!$C$158*CROQUIS!$C$113-CROQUIS!$C$111)),IF(IF(INT(($A37-1)/2)&gt;MAX((2*CROQUIS!$C$160)-1,0),1,MOD($A37-1,2))=0,(CROQUIS!$C$159+CROQUIS!$C$158*CROQUIS!$C$113-CROQUIS!$C$111),CROQUIS!$C$159)))*CROQUIS!$C$155),-1000)</f>
        <v>14.7989154993222</v>
      </c>
      <c r="AI37">
        <f>IF(AND(CROQUIS!$C$87=1,CROQUIS!$C$160&gt;0,CROQUIS!$C$158&gt;0),(CROQUIS!$C$157+((CROQUIS!$C$161+INT(MIN(INT(($A37-1)/2),MAX((2*CROQUIS!$C$160)-1,0))/2)*CROQUIS!$C$113+MOD(MIN(INT(($A37-1)/2),MAX((2*CROQUIS!$C$160)-1,0)),2)*CROQUIS!$C$112))*CROQUIS!$C$155),-1000)</f>
        <v>79.1911432444645</v>
      </c>
      <c r="AJ37">
        <f>IF(AND(CROQUIS!$C$87=1,CROQUIS!$C$158&gt;=2),(CROQUIS!$C$156+((CROQUIS!$C$159+CROQUIS!$C$112+CROQUIS!$C$111/2+MIN(INT(($A37-1)/2),MAX((CROQUIS!$C$158-1)-1,0))*CROQUIS!$C$113))*CROQUIS!$C$155),-1000)</f>
        <v>74.0397650248531</v>
      </c>
      <c r="AK37">
        <f>IF(AND(CROQUIS!$C$87=1,CROQUIS!$C$158&gt;=2),(CROQUIS!$C$157+(IF(MOD(MIN(INT(($A37-1)/2),MAX((CROQUIS!$C$158-1)-1,0)),2)=0,IF(IF(INT(($A37-1)/2)&gt;MAX((CROQUIS!$C$158-1)-1,0),1,MOD($A37-1,2))=0,CROQUIS!$C$107/2,(CROQUIS!$C$96-CROQUIS!$C$107/2)),IF(IF(INT(($A37-1)/2)&gt;MAX((CROQUIS!$C$158-1)-1,0),1,MOD($A37-1,2))=0,(CROQUIS!$C$96-CROQUIS!$C$107/2),CROQUIS!$C$107/2)))*CROQUIS!$C$155),-1000)</f>
        <v>83.0546769091731</v>
      </c>
      <c r="AL37">
        <f>IF(AND(CROQUIS!$C$87=1,CROQUIS!$C$160&gt;=2),(CROQUIS!$C$156+(IF(MOD(MIN(INT(($A37-1)/2),MAX((CROQUIS!$C$160-1)-1,0)),2)=0,IF(IF(INT(($A37-1)/2)&gt;MAX((CROQUIS!$C$160-1)-1,0),1,MOD($A37-1,2))=0,CROQUIS!$C$107/2,(CROQUIS!$C$95-CROQUIS!$C$107/2)),IF(IF(INT(($A37-1)/2)&gt;MAX((CROQUIS!$C$160-1)-1,0),1,MOD($A37-1,2))=0,(CROQUIS!$C$95-CROQUIS!$C$107/2),CROQUIS!$C$107/2)))*CROQUIS!$C$155),-1000)</f>
        <v>13.2878445549028</v>
      </c>
      <c r="AM37">
        <f>IF(AND(CROQUIS!$C$87=1,CROQUIS!$C$160&gt;=2),(CROQUIS!$C$157+((CROQUIS!$C$161+CROQUIS!$C$112+CROQUIS!$C$111/2+MIN(INT(($A37-1)/2),MAX((CROQUIS!$C$160-1)-1,0))*CROQUIS!$C$113))*CROQUIS!$C$155),-1000)</f>
        <v>68.0298237686399</v>
      </c>
      <c r="BH37">
        <f>IF(AND(CROQUIS!$C$88=1,CROQUIS!$C$126&gt;0),((CROQUIS!$C$156+(IF(CROQUIS!$C$92="X",CHOOSE(IF(INT(($A37-1)/5)&gt;MAX((MIN(80,MAX(1,INT(((CROQUIS!$C$98)-CROQUIS!$C$107)/MAX(CROQUIS!$C$126,1))+1)))-1,0),0,MOD($A37-1,5))+1,0,2,CROQUIS!$C$97-2,2,0),((CROQUIS!$C$107/2+(((CROQUIS!$C$98)-CROQUIS!$C$107)-(MIN(80,MAX(1,INT(((CROQUIS!$C$98)-CROQUIS!$C$107)/MAX(CROQUIS!$C$126,1))+1))-1)*CROQUIS!$C$126)/2)+MIN(INT(($A37-1)/5),MAX((MIN(80,MAX(1,INT(((CROQUIS!$C$98)-CROQUIS!$C$107)/MAX(CROQUIS!$C$126,1))+1)))-1,0))*CROQUIS!$C$126)))*CROQUIS!$C$155)+IF(CROQUIS!$C$92="X",0,0)),-1000)</f>
        <v>-1000</v>
      </c>
      <c r="BI37">
        <f>IF(AND(CROQUIS!$C$88=1,CROQUIS!$C$126&gt;0),((CROQUIS!$C$157+(IF(CROQUIS!$C$92="X",((CROQUIS!$C$107/2+(((CROQUIS!$C$98)-CROQUIS!$C$107)-(MIN(80,MAX(1,INT(((CROQUIS!$C$98)-CROQUIS!$C$107)/MAX(CROQUIS!$C$126,1))+1))-1)*CROQUIS!$C$126)/2)+MIN(INT(($A37-1)/5),MAX((MIN(80,MAX(1,INT(((CROQUIS!$C$98)-CROQUIS!$C$107)/MAX(CROQUIS!$C$126,1))+1)))-1,0))*CROQUIS!$C$126),CHOOSE(IF(INT(($A37-1)/5)&gt;MAX((MIN(80,MAX(1,INT(((CROQUIS!$C$98)-CROQUIS!$C$107)/MAX(CROQUIS!$C$126,1))+1)))-1,0),0,MOD($A37-1,5))+1,0,2,CROQUIS!$C$97-2,2,0)))*CROQUIS!$C$155)+IF(CROQUIS!$C$92="X",0,0)),-1000)</f>
        <v>-1000</v>
      </c>
      <c r="BJ37">
        <f>IF(AND(CROQUIS!$C$88=1,CROQUIS!$C$134&gt;0),((CROQUIS!$C$156+(IF(CROQUIS!$C$92="X",((CROQUIS!$C$107/2+(((CROQUIS!$C$97)-CROQUIS!$C$107)-(MIN(80,MAX(1,INT(((CROQUIS!$C$97)-CROQUIS!$C$107)/MAX(CROQUIS!$C$134,1))+1))-1)*CROQUIS!$C$134)/2)+MIN(INT(($A37-1)/5),MAX((MIN(80,MAX(1,INT(((CROQUIS!$C$97)-CROQUIS!$C$107)/MAX(CROQUIS!$C$134,1))+1)))-1,0))*CROQUIS!$C$134),CHOOSE(IF(INT(($A37-1)/5)&gt;MAX((MIN(80,MAX(1,INT(((CROQUIS!$C$97)-CROQUIS!$C$107)/MAX(CROQUIS!$C$134,1))+1)))-1,0),0,MOD($A37-1,5))+1,0,2,CROQUIS!$C$98-2,2,0)))*CROQUIS!$C$155)+IF(CROQUIS!$C$92="X",0,0)),-1000)</f>
        <v>-1000</v>
      </c>
      <c r="BK37">
        <f>IF(AND(CROQUIS!$C$88=1,CROQUIS!$C$134&gt;0),((CROQUIS!$C$157+(IF(CROQUIS!$C$92="X",CHOOSE(IF(INT(($A37-1)/5)&gt;MAX((MIN(80,MAX(1,INT(((CROQUIS!$C$97)-CROQUIS!$C$107)/MAX(CROQUIS!$C$134,1))+1)))-1,0),0,MOD($A37-1,5))+1,0,2,CROQUIS!$C$98-2,2,0),((CROQUIS!$C$107/2+(((CROQUIS!$C$97)-CROQUIS!$C$107)-(MIN(80,MAX(1,INT(((CROQUIS!$C$97)-CROQUIS!$C$107)/MAX(CROQUIS!$C$134,1))+1))-1)*CROQUIS!$C$134)/2)+MIN(INT(($A37-1)/5),MAX((MIN(80,MAX(1,INT(((CROQUIS!$C$97)-CROQUIS!$C$107)/MAX(CROQUIS!$C$134,1))+1)))-1,0))*CROQUIS!$C$134)))*CROQUIS!$C$155)+IF(CROQUIS!$C$92="X",0,0)),-1000)</f>
        <v>-1000</v>
      </c>
      <c r="BL37">
        <f>IF(AND(CROQUIS!$C$88=1,CROQUIS!$C$91=0,CROQUIS!$C$130&gt;0,OR(CROQUIS!$C$103=1,CROQUIS!$C$142=1)),((CROQUIS!$C$156+(IF(CROQUIS!$C$92="X",CHOOSE(IF(INT(($A37-1)/5)&gt;MAX((MIN(80,MAX(1,INT(((CROQUIS!$C$98)-CROQUIS!$C$107)/MAX(CROQUIS!$C$130,1))+1)))-1,0),0,MOD($A37-1,5))+1,0,IF(CROQUIS!$C$103=1,-12,2),CROQUIS!$C$107/2+CROQUIS!$C$140,IF(CROQUIS!$C$103=1,-12,2),0),((CROQUIS!$C$107/2+(((CROQUIS!$C$98)-CROQUIS!$C$107)-(MIN(80,MAX(1,INT(((CROQUIS!$C$98)-CROQUIS!$C$107)/MAX(CROQUIS!$C$130,1))+1))-1)*CROQUIS!$C$130)/2)+MIN(INT(($A37-1)/5),MAX((MIN(80,MAX(1,INT(((CROQUIS!$C$98)-CROQUIS!$C$107)/MAX(CROQUIS!$C$130,1))+1)))-1,0))*CROQUIS!$C$130)))*CROQUIS!$C$155)+IF(CROQUIS!$C$92="X",0,0)),-1000)</f>
        <v>-1000</v>
      </c>
      <c r="BM3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37-1)/5),MAX((MIN(80,MAX(1,INT(((CROQUIS!$C$98)-CROQUIS!$C$107)/MAX(CROQUIS!$C$130,1))+1)))-1,0))*CROQUIS!$C$130),CHOOSE(IF(INT(($A37-1)/5)&gt;MAX((MIN(80,MAX(1,INT(((CROQUIS!$C$98)-CROQUIS!$C$107)/MAX(CROQUIS!$C$130,1))+1)))-1,0),0,MOD($A37-1,5))+1,0,IF(CROQUIS!$C$103=1,-12,2),CROQUIS!$C$107/2+CROQUIS!$C$140,IF(CROQUIS!$C$103=1,-12,2),0)))*CROQUIS!$C$155)+IF(CROQUIS!$C$92="X",0,0)),-1000)</f>
        <v>-1000</v>
      </c>
      <c r="BN37">
        <f>IF(AND(CROQUIS!$C$88=1,CROQUIS!$C$91=0,CROQUIS!$C$130&gt;0,OR(CROQUIS!$C$104=1,CROQUIS!$C$142=1)),((CROQUIS!$C$156+(IF(CROQUIS!$C$92="X",CHOOSE(IF(INT(($A37-1)/5)&gt;MAX((MIN(80,MAX(1,INT(((CROQUIS!$C$98)-CROQUIS!$C$107)/MAX(CROQUIS!$C$130,1))+1)))-1,0),0,MOD($A37-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37-1)/5),MAX((MIN(80,MAX(1,INT(((CROQUIS!$C$98)-CROQUIS!$C$107)/MAX(CROQUIS!$C$130,1))+1)))-1,0))*CROQUIS!$C$130)))*CROQUIS!$C$155)+IF(CROQUIS!$C$92="X",0,0)),-1000)</f>
        <v>-1000</v>
      </c>
      <c r="BO3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37-1)/5),MAX((MIN(80,MAX(1,INT(((CROQUIS!$C$98)-CROQUIS!$C$107)/MAX(CROQUIS!$C$130,1))+1)))-1,0))*CROQUIS!$C$130),CHOOSE(IF(INT(($A37-1)/5)&gt;MAX((MIN(80,MAX(1,INT(((CROQUIS!$C$98)-CROQUIS!$C$107)/MAX(CROQUIS!$C$130,1))+1)))-1,0),0,MOD($A37-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37-1)/5),MAX((MIN(80,MAX(1,INT(((CROQUIS!$C$97)-CROQUIS!$C$107)/MAX(CROQUIS!$C$138,1))+1)))-1,0))*CROQUIS!$C$138),CHOOSE(IF(INT(($A37-1)/5)&gt;MAX((MIN(80,MAX(1,INT(((CROQUIS!$C$97)-CROQUIS!$C$107)/MAX(CROQUIS!$C$138,1))+1)))-1,0),0,MOD($A37-1,5))+1,0,IF(CROQUIS!$C$105=1,-12,2),CROQUIS!$C$107/2+CROQUIS!$C$141,IF(CROQUIS!$C$105=1,-12,2),0)))*CROQUIS!$C$155)+IF(CROQUIS!$C$92="X",0,0)),-1000)</f>
        <v>-1000</v>
      </c>
      <c r="BQ37">
        <f>IF(AND(CROQUIS!$C$88=1,CROQUIS!$C$91=0,CROQUIS!$C$138&gt;0,OR(CROQUIS!$C$105=1,CROQUIS!$C$143=1)),((CROQUIS!$C$157+(IF(CROQUIS!$C$92="X",CHOOSE(IF(INT(($A37-1)/5)&gt;MAX((MIN(80,MAX(1,INT(((CROQUIS!$C$97)-CROQUIS!$C$107)/MAX(CROQUIS!$C$138,1))+1)))-1,0),0,MOD($A37-1,5))+1,0,IF(CROQUIS!$C$105=1,-12,2),CROQUIS!$C$107/2+CROQUIS!$C$141,IF(CROQUIS!$C$105=1,-12,2),0),((CROQUIS!$C$107/2+(((CROQUIS!$C$97)-CROQUIS!$C$107)-(MIN(80,MAX(1,INT(((CROQUIS!$C$97)-CROQUIS!$C$107)/MAX(CROQUIS!$C$138,1))+1))-1)*CROQUIS!$C$138)/2)+MIN(INT(($A37-1)/5),MAX((MIN(80,MAX(1,INT(((CROQUIS!$C$97)-CROQUIS!$C$107)/MAX(CROQUIS!$C$138,1))+1)))-1,0))*CROQUIS!$C$138)))*CROQUIS!$C$155)+IF(CROQUIS!$C$92="X",0,0)),-1000)</f>
        <v>-1000</v>
      </c>
      <c r="BR3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37-1)/5),MAX((MIN(80,MAX(1,INT(((CROQUIS!$C$97)-CROQUIS!$C$107)/MAX(CROQUIS!$C$138,1))+1)))-1,0))*CROQUIS!$C$138),CHOOSE(IF(INT(($A37-1)/5)&gt;MAX((MIN(80,MAX(1,INT(((CROQUIS!$C$97)-CROQUIS!$C$107)/MAX(CROQUIS!$C$138,1))+1)))-1,0),0,MOD($A37-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7">
        <f>IF(AND(CROQUIS!$C$88=1,CROQUIS!$C$91=0,CROQUIS!$C$138&gt;0,OR(CROQUIS!$C$106=1,CROQUIS!$C$143=1)),((CROQUIS!$C$157+(IF(CROQUIS!$C$92="X",CHOOSE(IF(INT(($A37-1)/5)&gt;MAX((MIN(80,MAX(1,INT(((CROQUIS!$C$97)-CROQUIS!$C$107)/MAX(CROQUIS!$C$138,1))+1)))-1,0),0,MOD($A37-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37-1)/5),MAX((MIN(80,MAX(1,INT(((CROQUIS!$C$97)-CROQUIS!$C$107)/MAX(CROQUIS!$C$138,1))+1)))-1,0))*CROQUIS!$C$138)))*CROQUIS!$C$155)+IF(CROQUIS!$C$92="X",0,0)),-1000)</f>
        <v>-1000</v>
      </c>
      <c r="BT37">
        <f>IF(AND(CROQUIS!$C$88=1,CROQUIS!$C$91=1,CROQUIS!$C$130&gt;0),((CROQUIS!$C$156+(IF(CROQUIS!$C$92="X",CHOOSE(IF(INT(($A37-1)/5)&gt;MAX((MIN(80,MAX(1,INT(((CROQUIS!$C$98)-CROQUIS!$C$107)/MAX(CROQUIS!$C$130,1))+1)))-1,0),0,MOD($A37-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37-1)/5),MAX((MIN(80,MAX(1,INT(((CROQUIS!$C$98)-CROQUIS!$C$107)/MAX(CROQUIS!$C$130,1))+1)))-1,0))*CROQUIS!$C$130)))*CROQUIS!$C$155)+IF(CROQUIS!$C$92="X",0,0)),-1000)</f>
        <v>-1000</v>
      </c>
      <c r="BU37">
        <f>IF(AND(CROQUIS!$C$88=1,CROQUIS!$C$91=1,CROQUIS!$C$130&gt;0),((CROQUIS!$C$157+(IF(CROQUIS!$C$92="X",((CROQUIS!$C$107/2+(((CROQUIS!$C$98)-CROQUIS!$C$107)-(MIN(80,MAX(1,INT(((CROQUIS!$C$98)-CROQUIS!$C$107)/MAX(CROQUIS!$C$130,1))+1))-1)*CROQUIS!$C$130)/2)+MIN(INT(($A37-1)/5),MAX((MIN(80,MAX(1,INT(((CROQUIS!$C$98)-CROQUIS!$C$107)/MAX(CROQUIS!$C$130,1))+1)))-1,0))*CROQUIS!$C$130),CHOOSE(IF(INT(($A37-1)/5)&gt;MAX((MIN(80,MAX(1,INT(((CROQUIS!$C$98)-CROQUIS!$C$107)/MAX(CROQUIS!$C$130,1))+1)))-1,0),0,MOD($A37-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8">
      <c r="A38" t="n">
        <v>31</v>
      </c>
      <c r="F38">
        <f>IF(AND(CROQUIS!$C$87=1,CROQUIS!$C$91=1),((CROQUIS!$C$156+(IF(CROQUIS!$C$92="X",IF(CROQUIS!$C$94=1,0,CROQUIS!$C$97)+IF(MOD($A38,2)=1,-CROQUIS!$C$107/2,CROQUIS!$C$107/2),(MIN($A38,41)-1)/40*CROQUIS!$C$98))*CROQUIS!$C$155)+IF(CROQUIS!$C$92="X",0,0)),-1000)</f>
        <v>-1000</v>
      </c>
      <c r="G38">
        <f>IF(AND(CROQUIS!$C$87=1,CROQUIS!$C$91=1),((CROQUIS!$C$157+(IF(CROQUIS!$C$92="X",(MIN($A38,41)-1)/40*CROQUIS!$C$98,IF(CROQUIS!$C$94=1,0,CROQUIS!$C$97)+IF(MOD($A38,2)=1,-CROQUIS!$C$107/2,CROQUIS!$C$107/2)))*CROQUIS!$C$155)+IF(CROQUIS!$C$92="X",0,0)),-1000)</f>
        <v>-1000</v>
      </c>
      <c r="T38">
        <f>IF(AND(CROQUIS!$C$88=1,CROQUIS!$C$91=1),((CROQUIS!$C$156+(IF(CROQUIS!$C$92="X",IF(CROQUIS!$C$94=1,0,CROQUIS!$C$97)+IF(MOD($A38,2)=1,-CROQUIS!$C$107/2,CROQUIS!$C$107/2),(MIN($A38,41)-1)/40*CROQUIS!$C$98))*CROQUIS!$C$155)+IF(CROQUIS!$C$92="X",0,0)),-1000)</f>
        <v>-1000</v>
      </c>
      <c r="U38">
        <f>IF(AND(CROQUIS!$C$88=1,CROQUIS!$C$91=1),((CROQUIS!$C$157+(IF(CROQUIS!$C$92="X",(MIN($A38,41)-1)/40*CROQUIS!$C$98,IF(CROQUIS!$C$94=1,0,CROQUIS!$C$97)+IF(MOD($A38,2)=1,-CROQUIS!$C$107/2,CROQUIS!$C$107/2)))*CROQUIS!$C$155)+IF(CROQUIS!$C$92="X",0,0)),-1000)</f>
        <v>-1000</v>
      </c>
      <c r="AF38">
        <f>IF(AND(CROQUIS!$C$87=1,CROQUIS!$C$158&gt;0,CROQUIS!$C$160&gt;0),(CROQUIS!$C$156+((CROQUIS!$C$159+INT(MIN(INT(($A38-1)/2),MAX((2*CROQUIS!$C$158)-1,0))/2)*CROQUIS!$C$113+MOD(MIN(INT(($A38-1)/2),MAX((2*CROQUIS!$C$158)-1,0)),2)*CROQUIS!$C$112))*CROQUIS!$C$155),-1000)</f>
        <v>85.2010845006778</v>
      </c>
      <c r="AG38">
        <f>IF(AND(CROQUIS!$C$87=1,CROQUIS!$C$158&gt;0,CROQUIS!$C$160&gt;0),(CROQUIS!$C$157+(IF(MOD(MIN(INT(($A38-1)/2),MAX((2*CROQUIS!$C$158)-1,0)),2)=0,IF(IF(INT(($A38-1)/2)&gt;MAX((2*CROQUIS!$C$158)-1,0),1,MOD($A38-1,2))=0,CROQUIS!$C$161,(CROQUIS!$C$161+CROQUIS!$C$160*CROQUIS!$C$113-CROQUIS!$C$111)),IF(IF(INT(($A38-1)/2)&gt;MAX((2*CROQUIS!$C$158)-1,0),1,MOD($A38-1,2))=0,(CROQUIS!$C$161+CROQUIS!$C$160*CROQUIS!$C$113-CROQUIS!$C$111),CROQUIS!$C$161)))*CROQUIS!$C$155),-1000)</f>
        <v>20.8088567555355</v>
      </c>
      <c r="AH38">
        <f>IF(AND(CROQUIS!$C$87=1,CROQUIS!$C$160&gt;0,CROQUIS!$C$158&gt;0),(CROQUIS!$C$156+(IF(MOD(MIN(INT(($A38-1)/2),MAX((2*CROQUIS!$C$160)-1,0)),2)=0,IF(IF(INT(($A38-1)/2)&gt;MAX((2*CROQUIS!$C$160)-1,0),1,MOD($A38-1,2))=0,CROQUIS!$C$159,(CROQUIS!$C$159+CROQUIS!$C$158*CROQUIS!$C$113-CROQUIS!$C$111)),IF(IF(INT(($A38-1)/2)&gt;MAX((2*CROQUIS!$C$160)-1,0),1,MOD($A38-1,2))=0,(CROQUIS!$C$159+CROQUIS!$C$158*CROQUIS!$C$113-CROQUIS!$C$111),CROQUIS!$C$159)))*CROQUIS!$C$155),-1000)</f>
        <v>14.7989154993222</v>
      </c>
      <c r="AI38">
        <f>IF(AND(CROQUIS!$C$87=1,CROQUIS!$C$160&gt;0,CROQUIS!$C$158&gt;0),(CROQUIS!$C$157+((CROQUIS!$C$161+INT(MIN(INT(($A38-1)/2),MAX((2*CROQUIS!$C$160)-1,0))/2)*CROQUIS!$C$113+MOD(MIN(INT(($A38-1)/2),MAX((2*CROQUIS!$C$160)-1,0)),2)*CROQUIS!$C$112))*CROQUIS!$C$155),-1000)</f>
        <v>79.1911432444645</v>
      </c>
      <c r="AJ38">
        <f>IF(AND(CROQUIS!$C$87=1,CROQUIS!$C$158&gt;=2),(CROQUIS!$C$156+((CROQUIS!$C$159+CROQUIS!$C$112+CROQUIS!$C$111/2+MIN(INT(($A38-1)/2),MAX((CROQUIS!$C$158-1)-1,0))*CROQUIS!$C$113))*CROQUIS!$C$155),-1000)</f>
        <v>74.0397650248531</v>
      </c>
      <c r="AK38">
        <f>IF(AND(CROQUIS!$C$87=1,CROQUIS!$C$158&gt;=2),(CROQUIS!$C$157+(IF(MOD(MIN(INT(($A38-1)/2),MAX((CROQUIS!$C$158-1)-1,0)),2)=0,IF(IF(INT(($A38-1)/2)&gt;MAX((CROQUIS!$C$158-1)-1,0),1,MOD($A38-1,2))=0,CROQUIS!$C$107/2,(CROQUIS!$C$96-CROQUIS!$C$107/2)),IF(IF(INT(($A38-1)/2)&gt;MAX((CROQUIS!$C$158-1)-1,0),1,MOD($A38-1,2))=0,(CROQUIS!$C$96-CROQUIS!$C$107/2),CROQUIS!$C$107/2)))*CROQUIS!$C$155),-1000)</f>
        <v>83.0546769091731</v>
      </c>
      <c r="AL38">
        <f>IF(AND(CROQUIS!$C$87=1,CROQUIS!$C$160&gt;=2),(CROQUIS!$C$156+(IF(MOD(MIN(INT(($A38-1)/2),MAX((CROQUIS!$C$160-1)-1,0)),2)=0,IF(IF(INT(($A38-1)/2)&gt;MAX((CROQUIS!$C$160-1)-1,0),1,MOD($A38-1,2))=0,CROQUIS!$C$107/2,(CROQUIS!$C$95-CROQUIS!$C$107/2)),IF(IF(INT(($A38-1)/2)&gt;MAX((CROQUIS!$C$160-1)-1,0),1,MOD($A38-1,2))=0,(CROQUIS!$C$95-CROQUIS!$C$107/2),CROQUIS!$C$107/2)))*CROQUIS!$C$155),-1000)</f>
        <v>13.2878445549028</v>
      </c>
      <c r="AM38">
        <f>IF(AND(CROQUIS!$C$87=1,CROQUIS!$C$160&gt;=2),(CROQUIS!$C$157+((CROQUIS!$C$161+CROQUIS!$C$112+CROQUIS!$C$111/2+MIN(INT(($A38-1)/2),MAX((CROQUIS!$C$160-1)-1,0))*CROQUIS!$C$113))*CROQUIS!$C$155),-1000)</f>
        <v>68.0298237686399</v>
      </c>
      <c r="BH38">
        <f>IF(AND(CROQUIS!$C$88=1,CROQUIS!$C$126&gt;0),((CROQUIS!$C$156+(IF(CROQUIS!$C$92="X",CHOOSE(IF(INT(($A38-1)/5)&gt;MAX((MIN(80,MAX(1,INT(((CROQUIS!$C$98)-CROQUIS!$C$107)/MAX(CROQUIS!$C$126,1))+1)))-1,0),0,MOD($A38-1,5))+1,0,2,CROQUIS!$C$97-2,2,0),((CROQUIS!$C$107/2+(((CROQUIS!$C$98)-CROQUIS!$C$107)-(MIN(80,MAX(1,INT(((CROQUIS!$C$98)-CROQUIS!$C$107)/MAX(CROQUIS!$C$126,1))+1))-1)*CROQUIS!$C$126)/2)+MIN(INT(($A38-1)/5),MAX((MIN(80,MAX(1,INT(((CROQUIS!$C$98)-CROQUIS!$C$107)/MAX(CROQUIS!$C$126,1))+1)))-1,0))*CROQUIS!$C$126)))*CROQUIS!$C$155)+IF(CROQUIS!$C$92="X",0,0)),-1000)</f>
        <v>-1000</v>
      </c>
      <c r="BI38">
        <f>IF(AND(CROQUIS!$C$88=1,CROQUIS!$C$126&gt;0),((CROQUIS!$C$157+(IF(CROQUIS!$C$92="X",((CROQUIS!$C$107/2+(((CROQUIS!$C$98)-CROQUIS!$C$107)-(MIN(80,MAX(1,INT(((CROQUIS!$C$98)-CROQUIS!$C$107)/MAX(CROQUIS!$C$126,1))+1))-1)*CROQUIS!$C$126)/2)+MIN(INT(($A38-1)/5),MAX((MIN(80,MAX(1,INT(((CROQUIS!$C$98)-CROQUIS!$C$107)/MAX(CROQUIS!$C$126,1))+1)))-1,0))*CROQUIS!$C$126),CHOOSE(IF(INT(($A38-1)/5)&gt;MAX((MIN(80,MAX(1,INT(((CROQUIS!$C$98)-CROQUIS!$C$107)/MAX(CROQUIS!$C$126,1))+1)))-1,0),0,MOD($A38-1,5))+1,0,2,CROQUIS!$C$97-2,2,0)))*CROQUIS!$C$155)+IF(CROQUIS!$C$92="X",0,0)),-1000)</f>
        <v>-1000</v>
      </c>
      <c r="BJ38">
        <f>IF(AND(CROQUIS!$C$88=1,CROQUIS!$C$134&gt;0),((CROQUIS!$C$156+(IF(CROQUIS!$C$92="X",((CROQUIS!$C$107/2+(((CROQUIS!$C$97)-CROQUIS!$C$107)-(MIN(80,MAX(1,INT(((CROQUIS!$C$97)-CROQUIS!$C$107)/MAX(CROQUIS!$C$134,1))+1))-1)*CROQUIS!$C$134)/2)+MIN(INT(($A38-1)/5),MAX((MIN(80,MAX(1,INT(((CROQUIS!$C$97)-CROQUIS!$C$107)/MAX(CROQUIS!$C$134,1))+1)))-1,0))*CROQUIS!$C$134),CHOOSE(IF(INT(($A38-1)/5)&gt;MAX((MIN(80,MAX(1,INT(((CROQUIS!$C$97)-CROQUIS!$C$107)/MAX(CROQUIS!$C$134,1))+1)))-1,0),0,MOD($A38-1,5))+1,0,2,CROQUIS!$C$98-2,2,0)))*CROQUIS!$C$155)+IF(CROQUIS!$C$92="X",0,0)),-1000)</f>
        <v>-1000</v>
      </c>
      <c r="BK38">
        <f>IF(AND(CROQUIS!$C$88=1,CROQUIS!$C$134&gt;0),((CROQUIS!$C$157+(IF(CROQUIS!$C$92="X",CHOOSE(IF(INT(($A38-1)/5)&gt;MAX((MIN(80,MAX(1,INT(((CROQUIS!$C$97)-CROQUIS!$C$107)/MAX(CROQUIS!$C$134,1))+1)))-1,0),0,MOD($A38-1,5))+1,0,2,CROQUIS!$C$98-2,2,0),((CROQUIS!$C$107/2+(((CROQUIS!$C$97)-CROQUIS!$C$107)-(MIN(80,MAX(1,INT(((CROQUIS!$C$97)-CROQUIS!$C$107)/MAX(CROQUIS!$C$134,1))+1))-1)*CROQUIS!$C$134)/2)+MIN(INT(($A38-1)/5),MAX((MIN(80,MAX(1,INT(((CROQUIS!$C$97)-CROQUIS!$C$107)/MAX(CROQUIS!$C$134,1))+1)))-1,0))*CROQUIS!$C$134)))*CROQUIS!$C$155)+IF(CROQUIS!$C$92="X",0,0)),-1000)</f>
        <v>-1000</v>
      </c>
      <c r="BL38">
        <f>IF(AND(CROQUIS!$C$88=1,CROQUIS!$C$91=0,CROQUIS!$C$130&gt;0,OR(CROQUIS!$C$103=1,CROQUIS!$C$142=1)),((CROQUIS!$C$156+(IF(CROQUIS!$C$92="X",CHOOSE(IF(INT(($A38-1)/5)&gt;MAX((MIN(80,MAX(1,INT(((CROQUIS!$C$98)-CROQUIS!$C$107)/MAX(CROQUIS!$C$130,1))+1)))-1,0),0,MOD($A38-1,5))+1,0,IF(CROQUIS!$C$103=1,-12,2),CROQUIS!$C$107/2+CROQUIS!$C$140,IF(CROQUIS!$C$103=1,-12,2),0),((CROQUIS!$C$107/2+(((CROQUIS!$C$98)-CROQUIS!$C$107)-(MIN(80,MAX(1,INT(((CROQUIS!$C$98)-CROQUIS!$C$107)/MAX(CROQUIS!$C$130,1))+1))-1)*CROQUIS!$C$130)/2)+MIN(INT(($A38-1)/5),MAX((MIN(80,MAX(1,INT(((CROQUIS!$C$98)-CROQUIS!$C$107)/MAX(CROQUIS!$C$130,1))+1)))-1,0))*CROQUIS!$C$130)))*CROQUIS!$C$155)+IF(CROQUIS!$C$92="X",0,0)),-1000)</f>
        <v>-1000</v>
      </c>
      <c r="BM3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38-1)/5),MAX((MIN(80,MAX(1,INT(((CROQUIS!$C$98)-CROQUIS!$C$107)/MAX(CROQUIS!$C$130,1))+1)))-1,0))*CROQUIS!$C$130),CHOOSE(IF(INT(($A38-1)/5)&gt;MAX((MIN(80,MAX(1,INT(((CROQUIS!$C$98)-CROQUIS!$C$107)/MAX(CROQUIS!$C$130,1))+1)))-1,0),0,MOD($A38-1,5))+1,0,IF(CROQUIS!$C$103=1,-12,2),CROQUIS!$C$107/2+CROQUIS!$C$140,IF(CROQUIS!$C$103=1,-12,2),0)))*CROQUIS!$C$155)+IF(CROQUIS!$C$92="X",0,0)),-1000)</f>
        <v>-1000</v>
      </c>
      <c r="BN38">
        <f>IF(AND(CROQUIS!$C$88=1,CROQUIS!$C$91=0,CROQUIS!$C$130&gt;0,OR(CROQUIS!$C$104=1,CROQUIS!$C$142=1)),((CROQUIS!$C$156+(IF(CROQUIS!$C$92="X",CHOOSE(IF(INT(($A38-1)/5)&gt;MAX((MIN(80,MAX(1,INT(((CROQUIS!$C$98)-CROQUIS!$C$107)/MAX(CROQUIS!$C$130,1))+1)))-1,0),0,MOD($A38-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38-1)/5),MAX((MIN(80,MAX(1,INT(((CROQUIS!$C$98)-CROQUIS!$C$107)/MAX(CROQUIS!$C$130,1))+1)))-1,0))*CROQUIS!$C$130)))*CROQUIS!$C$155)+IF(CROQUIS!$C$92="X",0,0)),-1000)</f>
        <v>-1000</v>
      </c>
      <c r="BO3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38-1)/5),MAX((MIN(80,MAX(1,INT(((CROQUIS!$C$98)-CROQUIS!$C$107)/MAX(CROQUIS!$C$130,1))+1)))-1,0))*CROQUIS!$C$130),CHOOSE(IF(INT(($A38-1)/5)&gt;MAX((MIN(80,MAX(1,INT(((CROQUIS!$C$98)-CROQUIS!$C$107)/MAX(CROQUIS!$C$130,1))+1)))-1,0),0,MOD($A38-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38-1)/5),MAX((MIN(80,MAX(1,INT(((CROQUIS!$C$97)-CROQUIS!$C$107)/MAX(CROQUIS!$C$138,1))+1)))-1,0))*CROQUIS!$C$138),CHOOSE(IF(INT(($A38-1)/5)&gt;MAX((MIN(80,MAX(1,INT(((CROQUIS!$C$97)-CROQUIS!$C$107)/MAX(CROQUIS!$C$138,1))+1)))-1,0),0,MOD($A38-1,5))+1,0,IF(CROQUIS!$C$105=1,-12,2),CROQUIS!$C$107/2+CROQUIS!$C$141,IF(CROQUIS!$C$105=1,-12,2),0)))*CROQUIS!$C$155)+IF(CROQUIS!$C$92="X",0,0)),-1000)</f>
        <v>-1000</v>
      </c>
      <c r="BQ38">
        <f>IF(AND(CROQUIS!$C$88=1,CROQUIS!$C$91=0,CROQUIS!$C$138&gt;0,OR(CROQUIS!$C$105=1,CROQUIS!$C$143=1)),((CROQUIS!$C$157+(IF(CROQUIS!$C$92="X",CHOOSE(IF(INT(($A38-1)/5)&gt;MAX((MIN(80,MAX(1,INT(((CROQUIS!$C$97)-CROQUIS!$C$107)/MAX(CROQUIS!$C$138,1))+1)))-1,0),0,MOD($A38-1,5))+1,0,IF(CROQUIS!$C$105=1,-12,2),CROQUIS!$C$107/2+CROQUIS!$C$141,IF(CROQUIS!$C$105=1,-12,2),0),((CROQUIS!$C$107/2+(((CROQUIS!$C$97)-CROQUIS!$C$107)-(MIN(80,MAX(1,INT(((CROQUIS!$C$97)-CROQUIS!$C$107)/MAX(CROQUIS!$C$138,1))+1))-1)*CROQUIS!$C$138)/2)+MIN(INT(($A38-1)/5),MAX((MIN(80,MAX(1,INT(((CROQUIS!$C$97)-CROQUIS!$C$107)/MAX(CROQUIS!$C$138,1))+1)))-1,0))*CROQUIS!$C$138)))*CROQUIS!$C$155)+IF(CROQUIS!$C$92="X",0,0)),-1000)</f>
        <v>-1000</v>
      </c>
      <c r="BR3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38-1)/5),MAX((MIN(80,MAX(1,INT(((CROQUIS!$C$97)-CROQUIS!$C$107)/MAX(CROQUIS!$C$138,1))+1)))-1,0))*CROQUIS!$C$138),CHOOSE(IF(INT(($A38-1)/5)&gt;MAX((MIN(80,MAX(1,INT(((CROQUIS!$C$97)-CROQUIS!$C$107)/MAX(CROQUIS!$C$138,1))+1)))-1,0),0,MOD($A38-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8">
        <f>IF(AND(CROQUIS!$C$88=1,CROQUIS!$C$91=0,CROQUIS!$C$138&gt;0,OR(CROQUIS!$C$106=1,CROQUIS!$C$143=1)),((CROQUIS!$C$157+(IF(CROQUIS!$C$92="X",CHOOSE(IF(INT(($A38-1)/5)&gt;MAX((MIN(80,MAX(1,INT(((CROQUIS!$C$97)-CROQUIS!$C$107)/MAX(CROQUIS!$C$138,1))+1)))-1,0),0,MOD($A38-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38-1)/5),MAX((MIN(80,MAX(1,INT(((CROQUIS!$C$97)-CROQUIS!$C$107)/MAX(CROQUIS!$C$138,1))+1)))-1,0))*CROQUIS!$C$138)))*CROQUIS!$C$155)+IF(CROQUIS!$C$92="X",0,0)),-1000)</f>
        <v>-1000</v>
      </c>
      <c r="BT38">
        <f>IF(AND(CROQUIS!$C$88=1,CROQUIS!$C$91=1,CROQUIS!$C$130&gt;0),((CROQUIS!$C$156+(IF(CROQUIS!$C$92="X",CHOOSE(IF(INT(($A38-1)/5)&gt;MAX((MIN(80,MAX(1,INT(((CROQUIS!$C$98)-CROQUIS!$C$107)/MAX(CROQUIS!$C$130,1))+1)))-1,0),0,MOD($A38-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38-1)/5),MAX((MIN(80,MAX(1,INT(((CROQUIS!$C$98)-CROQUIS!$C$107)/MAX(CROQUIS!$C$130,1))+1)))-1,0))*CROQUIS!$C$130)))*CROQUIS!$C$155)+IF(CROQUIS!$C$92="X",0,0)),-1000)</f>
        <v>-1000</v>
      </c>
      <c r="BU38">
        <f>IF(AND(CROQUIS!$C$88=1,CROQUIS!$C$91=1,CROQUIS!$C$130&gt;0),((CROQUIS!$C$157+(IF(CROQUIS!$C$92="X",((CROQUIS!$C$107/2+(((CROQUIS!$C$98)-CROQUIS!$C$107)-(MIN(80,MAX(1,INT(((CROQUIS!$C$98)-CROQUIS!$C$107)/MAX(CROQUIS!$C$130,1))+1))-1)*CROQUIS!$C$130)/2)+MIN(INT(($A38-1)/5),MAX((MIN(80,MAX(1,INT(((CROQUIS!$C$98)-CROQUIS!$C$107)/MAX(CROQUIS!$C$130,1))+1)))-1,0))*CROQUIS!$C$130),CHOOSE(IF(INT(($A38-1)/5)&gt;MAX((MIN(80,MAX(1,INT(((CROQUIS!$C$98)-CROQUIS!$C$107)/MAX(CROQUIS!$C$130,1))+1)))-1,0),0,MOD($A38-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9">
      <c r="A39" t="n">
        <v>32</v>
      </c>
      <c r="F39">
        <f>IF(AND(CROQUIS!$C$87=1,CROQUIS!$C$91=1),((CROQUIS!$C$156+(IF(CROQUIS!$C$92="X",IF(CROQUIS!$C$94=1,0,CROQUIS!$C$97)+IF(MOD($A39,2)=1,-CROQUIS!$C$107/2,CROQUIS!$C$107/2),(MIN($A39,41)-1)/40*CROQUIS!$C$98))*CROQUIS!$C$155)+IF(CROQUIS!$C$92="X",0,0)),-1000)</f>
        <v>-1000</v>
      </c>
      <c r="G39">
        <f>IF(AND(CROQUIS!$C$87=1,CROQUIS!$C$91=1),((CROQUIS!$C$157+(IF(CROQUIS!$C$92="X",(MIN($A39,41)-1)/40*CROQUIS!$C$98,IF(CROQUIS!$C$94=1,0,CROQUIS!$C$97)+IF(MOD($A39,2)=1,-CROQUIS!$C$107/2,CROQUIS!$C$107/2)))*CROQUIS!$C$155)+IF(CROQUIS!$C$92="X",0,0)),-1000)</f>
        <v>-1000</v>
      </c>
      <c r="T39">
        <f>IF(AND(CROQUIS!$C$88=1,CROQUIS!$C$91=1),((CROQUIS!$C$156+(IF(CROQUIS!$C$92="X",IF(CROQUIS!$C$94=1,0,CROQUIS!$C$97)+IF(MOD($A39,2)=1,-CROQUIS!$C$107/2,CROQUIS!$C$107/2),(MIN($A39,41)-1)/40*CROQUIS!$C$98))*CROQUIS!$C$155)+IF(CROQUIS!$C$92="X",0,0)),-1000)</f>
        <v>-1000</v>
      </c>
      <c r="U39">
        <f>IF(AND(CROQUIS!$C$88=1,CROQUIS!$C$91=1),((CROQUIS!$C$157+(IF(CROQUIS!$C$92="X",(MIN($A39,41)-1)/40*CROQUIS!$C$98,IF(CROQUIS!$C$94=1,0,CROQUIS!$C$97)+IF(MOD($A39,2)=1,-CROQUIS!$C$107/2,CROQUIS!$C$107/2)))*CROQUIS!$C$155)+IF(CROQUIS!$C$92="X",0,0)),-1000)</f>
        <v>-1000</v>
      </c>
      <c r="AF39">
        <f>IF(AND(CROQUIS!$C$87=1,CROQUIS!$C$158&gt;0,CROQUIS!$C$160&gt;0),(CROQUIS!$C$156+((CROQUIS!$C$159+INT(MIN(INT(($A39-1)/2),MAX((2*CROQUIS!$C$158)-1,0))/2)*CROQUIS!$C$113+MOD(MIN(INT(($A39-1)/2),MAX((2*CROQUIS!$C$158)-1,0)),2)*CROQUIS!$C$112))*CROQUIS!$C$155),-1000)</f>
        <v>85.2010845006778</v>
      </c>
      <c r="AG39">
        <f>IF(AND(CROQUIS!$C$87=1,CROQUIS!$C$158&gt;0,CROQUIS!$C$160&gt;0),(CROQUIS!$C$157+(IF(MOD(MIN(INT(($A39-1)/2),MAX((2*CROQUIS!$C$158)-1,0)),2)=0,IF(IF(INT(($A39-1)/2)&gt;MAX((2*CROQUIS!$C$158)-1,0),1,MOD($A39-1,2))=0,CROQUIS!$C$161,(CROQUIS!$C$161+CROQUIS!$C$160*CROQUIS!$C$113-CROQUIS!$C$111)),IF(IF(INT(($A39-1)/2)&gt;MAX((2*CROQUIS!$C$158)-1,0),1,MOD($A39-1,2))=0,(CROQUIS!$C$161+CROQUIS!$C$160*CROQUIS!$C$113-CROQUIS!$C$111),CROQUIS!$C$161)))*CROQUIS!$C$155),-1000)</f>
        <v>20.8088567555355</v>
      </c>
      <c r="AH39">
        <f>IF(AND(CROQUIS!$C$87=1,CROQUIS!$C$160&gt;0,CROQUIS!$C$158&gt;0),(CROQUIS!$C$156+(IF(MOD(MIN(INT(($A39-1)/2),MAX((2*CROQUIS!$C$160)-1,0)),2)=0,IF(IF(INT(($A39-1)/2)&gt;MAX((2*CROQUIS!$C$160)-1,0),1,MOD($A39-1,2))=0,CROQUIS!$C$159,(CROQUIS!$C$159+CROQUIS!$C$158*CROQUIS!$C$113-CROQUIS!$C$111)),IF(IF(INT(($A39-1)/2)&gt;MAX((2*CROQUIS!$C$160)-1,0),1,MOD($A39-1,2))=0,(CROQUIS!$C$159+CROQUIS!$C$158*CROQUIS!$C$113-CROQUIS!$C$111),CROQUIS!$C$159)))*CROQUIS!$C$155),-1000)</f>
        <v>14.7989154993222</v>
      </c>
      <c r="AI39">
        <f>IF(AND(CROQUIS!$C$87=1,CROQUIS!$C$160&gt;0,CROQUIS!$C$158&gt;0),(CROQUIS!$C$157+((CROQUIS!$C$161+INT(MIN(INT(($A39-1)/2),MAX((2*CROQUIS!$C$160)-1,0))/2)*CROQUIS!$C$113+MOD(MIN(INT(($A39-1)/2),MAX((2*CROQUIS!$C$160)-1,0)),2)*CROQUIS!$C$112))*CROQUIS!$C$155),-1000)</f>
        <v>79.1911432444645</v>
      </c>
      <c r="AJ39">
        <f>IF(AND(CROQUIS!$C$87=1,CROQUIS!$C$158&gt;=2),(CROQUIS!$C$156+((CROQUIS!$C$159+CROQUIS!$C$112+CROQUIS!$C$111/2+MIN(INT(($A39-1)/2),MAX((CROQUIS!$C$158-1)-1,0))*CROQUIS!$C$113))*CROQUIS!$C$155),-1000)</f>
        <v>74.0397650248531</v>
      </c>
      <c r="AK39">
        <f>IF(AND(CROQUIS!$C$87=1,CROQUIS!$C$158&gt;=2),(CROQUIS!$C$157+(IF(MOD(MIN(INT(($A39-1)/2),MAX((CROQUIS!$C$158-1)-1,0)),2)=0,IF(IF(INT(($A39-1)/2)&gt;MAX((CROQUIS!$C$158-1)-1,0),1,MOD($A39-1,2))=0,CROQUIS!$C$107/2,(CROQUIS!$C$96-CROQUIS!$C$107/2)),IF(IF(INT(($A39-1)/2)&gt;MAX((CROQUIS!$C$158-1)-1,0),1,MOD($A39-1,2))=0,(CROQUIS!$C$96-CROQUIS!$C$107/2),CROQUIS!$C$107/2)))*CROQUIS!$C$155),-1000)</f>
        <v>83.0546769091731</v>
      </c>
      <c r="AL39">
        <f>IF(AND(CROQUIS!$C$87=1,CROQUIS!$C$160&gt;=2),(CROQUIS!$C$156+(IF(MOD(MIN(INT(($A39-1)/2),MAX((CROQUIS!$C$160-1)-1,0)),2)=0,IF(IF(INT(($A39-1)/2)&gt;MAX((CROQUIS!$C$160-1)-1,0),1,MOD($A39-1,2))=0,CROQUIS!$C$107/2,(CROQUIS!$C$95-CROQUIS!$C$107/2)),IF(IF(INT(($A39-1)/2)&gt;MAX((CROQUIS!$C$160-1)-1,0),1,MOD($A39-1,2))=0,(CROQUIS!$C$95-CROQUIS!$C$107/2),CROQUIS!$C$107/2)))*CROQUIS!$C$155),-1000)</f>
        <v>13.2878445549028</v>
      </c>
      <c r="AM39">
        <f>IF(AND(CROQUIS!$C$87=1,CROQUIS!$C$160&gt;=2),(CROQUIS!$C$157+((CROQUIS!$C$161+CROQUIS!$C$112+CROQUIS!$C$111/2+MIN(INT(($A39-1)/2),MAX((CROQUIS!$C$160-1)-1,0))*CROQUIS!$C$113))*CROQUIS!$C$155),-1000)</f>
        <v>68.0298237686399</v>
      </c>
      <c r="BH39">
        <f>IF(AND(CROQUIS!$C$88=1,CROQUIS!$C$126&gt;0),((CROQUIS!$C$156+(IF(CROQUIS!$C$92="X",CHOOSE(IF(INT(($A39-1)/5)&gt;MAX((MIN(80,MAX(1,INT(((CROQUIS!$C$98)-CROQUIS!$C$107)/MAX(CROQUIS!$C$126,1))+1)))-1,0),0,MOD($A39-1,5))+1,0,2,CROQUIS!$C$97-2,2,0),((CROQUIS!$C$107/2+(((CROQUIS!$C$98)-CROQUIS!$C$107)-(MIN(80,MAX(1,INT(((CROQUIS!$C$98)-CROQUIS!$C$107)/MAX(CROQUIS!$C$126,1))+1))-1)*CROQUIS!$C$126)/2)+MIN(INT(($A39-1)/5),MAX((MIN(80,MAX(1,INT(((CROQUIS!$C$98)-CROQUIS!$C$107)/MAX(CROQUIS!$C$126,1))+1)))-1,0))*CROQUIS!$C$126)))*CROQUIS!$C$155)+IF(CROQUIS!$C$92="X",0,0)),-1000)</f>
        <v>-1000</v>
      </c>
      <c r="BI39">
        <f>IF(AND(CROQUIS!$C$88=1,CROQUIS!$C$126&gt;0),((CROQUIS!$C$157+(IF(CROQUIS!$C$92="X",((CROQUIS!$C$107/2+(((CROQUIS!$C$98)-CROQUIS!$C$107)-(MIN(80,MAX(1,INT(((CROQUIS!$C$98)-CROQUIS!$C$107)/MAX(CROQUIS!$C$126,1))+1))-1)*CROQUIS!$C$126)/2)+MIN(INT(($A39-1)/5),MAX((MIN(80,MAX(1,INT(((CROQUIS!$C$98)-CROQUIS!$C$107)/MAX(CROQUIS!$C$126,1))+1)))-1,0))*CROQUIS!$C$126),CHOOSE(IF(INT(($A39-1)/5)&gt;MAX((MIN(80,MAX(1,INT(((CROQUIS!$C$98)-CROQUIS!$C$107)/MAX(CROQUIS!$C$126,1))+1)))-1,0),0,MOD($A39-1,5))+1,0,2,CROQUIS!$C$97-2,2,0)))*CROQUIS!$C$155)+IF(CROQUIS!$C$92="X",0,0)),-1000)</f>
        <v>-1000</v>
      </c>
      <c r="BJ39">
        <f>IF(AND(CROQUIS!$C$88=1,CROQUIS!$C$134&gt;0),((CROQUIS!$C$156+(IF(CROQUIS!$C$92="X",((CROQUIS!$C$107/2+(((CROQUIS!$C$97)-CROQUIS!$C$107)-(MIN(80,MAX(1,INT(((CROQUIS!$C$97)-CROQUIS!$C$107)/MAX(CROQUIS!$C$134,1))+1))-1)*CROQUIS!$C$134)/2)+MIN(INT(($A39-1)/5),MAX((MIN(80,MAX(1,INT(((CROQUIS!$C$97)-CROQUIS!$C$107)/MAX(CROQUIS!$C$134,1))+1)))-1,0))*CROQUIS!$C$134),CHOOSE(IF(INT(($A39-1)/5)&gt;MAX((MIN(80,MAX(1,INT(((CROQUIS!$C$97)-CROQUIS!$C$107)/MAX(CROQUIS!$C$134,1))+1)))-1,0),0,MOD($A39-1,5))+1,0,2,CROQUIS!$C$98-2,2,0)))*CROQUIS!$C$155)+IF(CROQUIS!$C$92="X",0,0)),-1000)</f>
        <v>-1000</v>
      </c>
      <c r="BK39">
        <f>IF(AND(CROQUIS!$C$88=1,CROQUIS!$C$134&gt;0),((CROQUIS!$C$157+(IF(CROQUIS!$C$92="X",CHOOSE(IF(INT(($A39-1)/5)&gt;MAX((MIN(80,MAX(1,INT(((CROQUIS!$C$97)-CROQUIS!$C$107)/MAX(CROQUIS!$C$134,1))+1)))-1,0),0,MOD($A39-1,5))+1,0,2,CROQUIS!$C$98-2,2,0),((CROQUIS!$C$107/2+(((CROQUIS!$C$97)-CROQUIS!$C$107)-(MIN(80,MAX(1,INT(((CROQUIS!$C$97)-CROQUIS!$C$107)/MAX(CROQUIS!$C$134,1))+1))-1)*CROQUIS!$C$134)/2)+MIN(INT(($A39-1)/5),MAX((MIN(80,MAX(1,INT(((CROQUIS!$C$97)-CROQUIS!$C$107)/MAX(CROQUIS!$C$134,1))+1)))-1,0))*CROQUIS!$C$134)))*CROQUIS!$C$155)+IF(CROQUIS!$C$92="X",0,0)),-1000)</f>
        <v>-1000</v>
      </c>
      <c r="BL39">
        <f>IF(AND(CROQUIS!$C$88=1,CROQUIS!$C$91=0,CROQUIS!$C$130&gt;0,OR(CROQUIS!$C$103=1,CROQUIS!$C$142=1)),((CROQUIS!$C$156+(IF(CROQUIS!$C$92="X",CHOOSE(IF(INT(($A39-1)/5)&gt;MAX((MIN(80,MAX(1,INT(((CROQUIS!$C$98)-CROQUIS!$C$107)/MAX(CROQUIS!$C$130,1))+1)))-1,0),0,MOD($A39-1,5))+1,0,IF(CROQUIS!$C$103=1,-12,2),CROQUIS!$C$107/2+CROQUIS!$C$140,IF(CROQUIS!$C$103=1,-12,2),0),((CROQUIS!$C$107/2+(((CROQUIS!$C$98)-CROQUIS!$C$107)-(MIN(80,MAX(1,INT(((CROQUIS!$C$98)-CROQUIS!$C$107)/MAX(CROQUIS!$C$130,1))+1))-1)*CROQUIS!$C$130)/2)+MIN(INT(($A39-1)/5),MAX((MIN(80,MAX(1,INT(((CROQUIS!$C$98)-CROQUIS!$C$107)/MAX(CROQUIS!$C$130,1))+1)))-1,0))*CROQUIS!$C$130)))*CROQUIS!$C$155)+IF(CROQUIS!$C$92="X",0,0)),-1000)</f>
        <v>-1000</v>
      </c>
      <c r="BM3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39-1)/5),MAX((MIN(80,MAX(1,INT(((CROQUIS!$C$98)-CROQUIS!$C$107)/MAX(CROQUIS!$C$130,1))+1)))-1,0))*CROQUIS!$C$130),CHOOSE(IF(INT(($A39-1)/5)&gt;MAX((MIN(80,MAX(1,INT(((CROQUIS!$C$98)-CROQUIS!$C$107)/MAX(CROQUIS!$C$130,1))+1)))-1,0),0,MOD($A39-1,5))+1,0,IF(CROQUIS!$C$103=1,-12,2),CROQUIS!$C$107/2+CROQUIS!$C$140,IF(CROQUIS!$C$103=1,-12,2),0)))*CROQUIS!$C$155)+IF(CROQUIS!$C$92="X",0,0)),-1000)</f>
        <v>-1000</v>
      </c>
      <c r="BN39">
        <f>IF(AND(CROQUIS!$C$88=1,CROQUIS!$C$91=0,CROQUIS!$C$130&gt;0,OR(CROQUIS!$C$104=1,CROQUIS!$C$142=1)),((CROQUIS!$C$156+(IF(CROQUIS!$C$92="X",CHOOSE(IF(INT(($A39-1)/5)&gt;MAX((MIN(80,MAX(1,INT(((CROQUIS!$C$98)-CROQUIS!$C$107)/MAX(CROQUIS!$C$130,1))+1)))-1,0),0,MOD($A39-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39-1)/5),MAX((MIN(80,MAX(1,INT(((CROQUIS!$C$98)-CROQUIS!$C$107)/MAX(CROQUIS!$C$130,1))+1)))-1,0))*CROQUIS!$C$130)))*CROQUIS!$C$155)+IF(CROQUIS!$C$92="X",0,0)),-1000)</f>
        <v>-1000</v>
      </c>
      <c r="BO3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39-1)/5),MAX((MIN(80,MAX(1,INT(((CROQUIS!$C$98)-CROQUIS!$C$107)/MAX(CROQUIS!$C$130,1))+1)))-1,0))*CROQUIS!$C$130),CHOOSE(IF(INT(($A39-1)/5)&gt;MAX((MIN(80,MAX(1,INT(((CROQUIS!$C$98)-CROQUIS!$C$107)/MAX(CROQUIS!$C$130,1))+1)))-1,0),0,MOD($A39-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39-1)/5),MAX((MIN(80,MAX(1,INT(((CROQUIS!$C$97)-CROQUIS!$C$107)/MAX(CROQUIS!$C$138,1))+1)))-1,0))*CROQUIS!$C$138),CHOOSE(IF(INT(($A39-1)/5)&gt;MAX((MIN(80,MAX(1,INT(((CROQUIS!$C$97)-CROQUIS!$C$107)/MAX(CROQUIS!$C$138,1))+1)))-1,0),0,MOD($A39-1,5))+1,0,IF(CROQUIS!$C$105=1,-12,2),CROQUIS!$C$107/2+CROQUIS!$C$141,IF(CROQUIS!$C$105=1,-12,2),0)))*CROQUIS!$C$155)+IF(CROQUIS!$C$92="X",0,0)),-1000)</f>
        <v>-1000</v>
      </c>
      <c r="BQ39">
        <f>IF(AND(CROQUIS!$C$88=1,CROQUIS!$C$91=0,CROQUIS!$C$138&gt;0,OR(CROQUIS!$C$105=1,CROQUIS!$C$143=1)),((CROQUIS!$C$157+(IF(CROQUIS!$C$92="X",CHOOSE(IF(INT(($A39-1)/5)&gt;MAX((MIN(80,MAX(1,INT(((CROQUIS!$C$97)-CROQUIS!$C$107)/MAX(CROQUIS!$C$138,1))+1)))-1,0),0,MOD($A39-1,5))+1,0,IF(CROQUIS!$C$105=1,-12,2),CROQUIS!$C$107/2+CROQUIS!$C$141,IF(CROQUIS!$C$105=1,-12,2),0),((CROQUIS!$C$107/2+(((CROQUIS!$C$97)-CROQUIS!$C$107)-(MIN(80,MAX(1,INT(((CROQUIS!$C$97)-CROQUIS!$C$107)/MAX(CROQUIS!$C$138,1))+1))-1)*CROQUIS!$C$138)/2)+MIN(INT(($A39-1)/5),MAX((MIN(80,MAX(1,INT(((CROQUIS!$C$97)-CROQUIS!$C$107)/MAX(CROQUIS!$C$138,1))+1)))-1,0))*CROQUIS!$C$138)))*CROQUIS!$C$155)+IF(CROQUIS!$C$92="X",0,0)),-1000)</f>
        <v>-1000</v>
      </c>
      <c r="BR3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39-1)/5),MAX((MIN(80,MAX(1,INT(((CROQUIS!$C$97)-CROQUIS!$C$107)/MAX(CROQUIS!$C$138,1))+1)))-1,0))*CROQUIS!$C$138),CHOOSE(IF(INT(($A39-1)/5)&gt;MAX((MIN(80,MAX(1,INT(((CROQUIS!$C$97)-CROQUIS!$C$107)/MAX(CROQUIS!$C$138,1))+1)))-1,0),0,MOD($A39-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9">
        <f>IF(AND(CROQUIS!$C$88=1,CROQUIS!$C$91=0,CROQUIS!$C$138&gt;0,OR(CROQUIS!$C$106=1,CROQUIS!$C$143=1)),((CROQUIS!$C$157+(IF(CROQUIS!$C$92="X",CHOOSE(IF(INT(($A39-1)/5)&gt;MAX((MIN(80,MAX(1,INT(((CROQUIS!$C$97)-CROQUIS!$C$107)/MAX(CROQUIS!$C$138,1))+1)))-1,0),0,MOD($A39-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39-1)/5),MAX((MIN(80,MAX(1,INT(((CROQUIS!$C$97)-CROQUIS!$C$107)/MAX(CROQUIS!$C$138,1))+1)))-1,0))*CROQUIS!$C$138)))*CROQUIS!$C$155)+IF(CROQUIS!$C$92="X",0,0)),-1000)</f>
        <v>-1000</v>
      </c>
      <c r="BT39">
        <f>IF(AND(CROQUIS!$C$88=1,CROQUIS!$C$91=1,CROQUIS!$C$130&gt;0),((CROQUIS!$C$156+(IF(CROQUIS!$C$92="X",CHOOSE(IF(INT(($A39-1)/5)&gt;MAX((MIN(80,MAX(1,INT(((CROQUIS!$C$98)-CROQUIS!$C$107)/MAX(CROQUIS!$C$130,1))+1)))-1,0),0,MOD($A39-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39-1)/5),MAX((MIN(80,MAX(1,INT(((CROQUIS!$C$98)-CROQUIS!$C$107)/MAX(CROQUIS!$C$130,1))+1)))-1,0))*CROQUIS!$C$130)))*CROQUIS!$C$155)+IF(CROQUIS!$C$92="X",0,0)),-1000)</f>
        <v>-1000</v>
      </c>
      <c r="BU39">
        <f>IF(AND(CROQUIS!$C$88=1,CROQUIS!$C$91=1,CROQUIS!$C$130&gt;0),((CROQUIS!$C$157+(IF(CROQUIS!$C$92="X",((CROQUIS!$C$107/2+(((CROQUIS!$C$98)-CROQUIS!$C$107)-(MIN(80,MAX(1,INT(((CROQUIS!$C$98)-CROQUIS!$C$107)/MAX(CROQUIS!$C$130,1))+1))-1)*CROQUIS!$C$130)/2)+MIN(INT(($A39-1)/5),MAX((MIN(80,MAX(1,INT(((CROQUIS!$C$98)-CROQUIS!$C$107)/MAX(CROQUIS!$C$130,1))+1)))-1,0))*CROQUIS!$C$130),CHOOSE(IF(INT(($A39-1)/5)&gt;MAX((MIN(80,MAX(1,INT(((CROQUIS!$C$98)-CROQUIS!$C$107)/MAX(CROQUIS!$C$130,1))+1)))-1,0),0,MOD($A39-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0">
      <c r="A40" t="n">
        <v>33</v>
      </c>
      <c r="F40">
        <f>IF(AND(CROQUIS!$C$87=1,CROQUIS!$C$91=1),((CROQUIS!$C$156+(IF(CROQUIS!$C$92="X",IF(CROQUIS!$C$94=1,0,CROQUIS!$C$97)+IF(MOD($A40,2)=1,-CROQUIS!$C$107/2,CROQUIS!$C$107/2),(MIN($A40,41)-1)/40*CROQUIS!$C$98))*CROQUIS!$C$155)+IF(CROQUIS!$C$92="X",0,0)),-1000)</f>
        <v>-1000</v>
      </c>
      <c r="G40">
        <f>IF(AND(CROQUIS!$C$87=1,CROQUIS!$C$91=1),((CROQUIS!$C$157+(IF(CROQUIS!$C$92="X",(MIN($A40,41)-1)/40*CROQUIS!$C$98,IF(CROQUIS!$C$94=1,0,CROQUIS!$C$97)+IF(MOD($A40,2)=1,-CROQUIS!$C$107/2,CROQUIS!$C$107/2)))*CROQUIS!$C$155)+IF(CROQUIS!$C$92="X",0,0)),-1000)</f>
        <v>-1000</v>
      </c>
      <c r="T40">
        <f>IF(AND(CROQUIS!$C$88=1,CROQUIS!$C$91=1),((CROQUIS!$C$156+(IF(CROQUIS!$C$92="X",IF(CROQUIS!$C$94=1,0,CROQUIS!$C$97)+IF(MOD($A40,2)=1,-CROQUIS!$C$107/2,CROQUIS!$C$107/2),(MIN($A40,41)-1)/40*CROQUIS!$C$98))*CROQUIS!$C$155)+IF(CROQUIS!$C$92="X",0,0)),-1000)</f>
        <v>-1000</v>
      </c>
      <c r="U40">
        <f>IF(AND(CROQUIS!$C$88=1,CROQUIS!$C$91=1),((CROQUIS!$C$157+(IF(CROQUIS!$C$92="X",(MIN($A40,41)-1)/40*CROQUIS!$C$98,IF(CROQUIS!$C$94=1,0,CROQUIS!$C$97)+IF(MOD($A40,2)=1,-CROQUIS!$C$107/2,CROQUIS!$C$107/2)))*CROQUIS!$C$155)+IF(CROQUIS!$C$92="X",0,0)),-1000)</f>
        <v>-1000</v>
      </c>
      <c r="AF40">
        <f>IF(AND(CROQUIS!$C$87=1,CROQUIS!$C$158&gt;0,CROQUIS!$C$160&gt;0),(CROQUIS!$C$156+((CROQUIS!$C$159+INT(MIN(INT(($A40-1)/2),MAX((2*CROQUIS!$C$158)-1,0))/2)*CROQUIS!$C$113+MOD(MIN(INT(($A40-1)/2),MAX((2*CROQUIS!$C$158)-1,0)),2)*CROQUIS!$C$112))*CROQUIS!$C$155),-1000)</f>
        <v>85.2010845006778</v>
      </c>
      <c r="AG40">
        <f>IF(AND(CROQUIS!$C$87=1,CROQUIS!$C$158&gt;0,CROQUIS!$C$160&gt;0),(CROQUIS!$C$157+(IF(MOD(MIN(INT(($A40-1)/2),MAX((2*CROQUIS!$C$158)-1,0)),2)=0,IF(IF(INT(($A40-1)/2)&gt;MAX((2*CROQUIS!$C$158)-1,0),1,MOD($A40-1,2))=0,CROQUIS!$C$161,(CROQUIS!$C$161+CROQUIS!$C$160*CROQUIS!$C$113-CROQUIS!$C$111)),IF(IF(INT(($A40-1)/2)&gt;MAX((2*CROQUIS!$C$158)-1,0),1,MOD($A40-1,2))=0,(CROQUIS!$C$161+CROQUIS!$C$160*CROQUIS!$C$113-CROQUIS!$C$111),CROQUIS!$C$161)))*CROQUIS!$C$155),-1000)</f>
        <v>20.8088567555355</v>
      </c>
      <c r="AH40">
        <f>IF(AND(CROQUIS!$C$87=1,CROQUIS!$C$160&gt;0,CROQUIS!$C$158&gt;0),(CROQUIS!$C$156+(IF(MOD(MIN(INT(($A40-1)/2),MAX((2*CROQUIS!$C$160)-1,0)),2)=0,IF(IF(INT(($A40-1)/2)&gt;MAX((2*CROQUIS!$C$160)-1,0),1,MOD($A40-1,2))=0,CROQUIS!$C$159,(CROQUIS!$C$159+CROQUIS!$C$158*CROQUIS!$C$113-CROQUIS!$C$111)),IF(IF(INT(($A40-1)/2)&gt;MAX((2*CROQUIS!$C$160)-1,0),1,MOD($A40-1,2))=0,(CROQUIS!$C$159+CROQUIS!$C$158*CROQUIS!$C$113-CROQUIS!$C$111),CROQUIS!$C$159)))*CROQUIS!$C$155),-1000)</f>
        <v>14.7989154993222</v>
      </c>
      <c r="AI40">
        <f>IF(AND(CROQUIS!$C$87=1,CROQUIS!$C$160&gt;0,CROQUIS!$C$158&gt;0),(CROQUIS!$C$157+((CROQUIS!$C$161+INT(MIN(INT(($A40-1)/2),MAX((2*CROQUIS!$C$160)-1,0))/2)*CROQUIS!$C$113+MOD(MIN(INT(($A40-1)/2),MAX((2*CROQUIS!$C$160)-1,0)),2)*CROQUIS!$C$112))*CROQUIS!$C$155),-1000)</f>
        <v>79.1911432444645</v>
      </c>
      <c r="AJ40">
        <f>IF(AND(CROQUIS!$C$87=1,CROQUIS!$C$158&gt;=2),(CROQUIS!$C$156+((CROQUIS!$C$159+CROQUIS!$C$112+CROQUIS!$C$111/2+MIN(INT(($A40-1)/2),MAX((CROQUIS!$C$158-1)-1,0))*CROQUIS!$C$113))*CROQUIS!$C$155),-1000)</f>
        <v>74.0397650248531</v>
      </c>
      <c r="AK40">
        <f>IF(AND(CROQUIS!$C$87=1,CROQUIS!$C$158&gt;=2),(CROQUIS!$C$157+(IF(MOD(MIN(INT(($A40-1)/2),MAX((CROQUIS!$C$158-1)-1,0)),2)=0,IF(IF(INT(($A40-1)/2)&gt;MAX((CROQUIS!$C$158-1)-1,0),1,MOD($A40-1,2))=0,CROQUIS!$C$107/2,(CROQUIS!$C$96-CROQUIS!$C$107/2)),IF(IF(INT(($A40-1)/2)&gt;MAX((CROQUIS!$C$158-1)-1,0),1,MOD($A40-1,2))=0,(CROQUIS!$C$96-CROQUIS!$C$107/2),CROQUIS!$C$107/2)))*CROQUIS!$C$155),-1000)</f>
        <v>83.0546769091731</v>
      </c>
      <c r="AL40">
        <f>IF(AND(CROQUIS!$C$87=1,CROQUIS!$C$160&gt;=2),(CROQUIS!$C$156+(IF(MOD(MIN(INT(($A40-1)/2),MAX((CROQUIS!$C$160-1)-1,0)),2)=0,IF(IF(INT(($A40-1)/2)&gt;MAX((CROQUIS!$C$160-1)-1,0),1,MOD($A40-1,2))=0,CROQUIS!$C$107/2,(CROQUIS!$C$95-CROQUIS!$C$107/2)),IF(IF(INT(($A40-1)/2)&gt;MAX((CROQUIS!$C$160-1)-1,0),1,MOD($A40-1,2))=0,(CROQUIS!$C$95-CROQUIS!$C$107/2),CROQUIS!$C$107/2)))*CROQUIS!$C$155),-1000)</f>
        <v>13.2878445549028</v>
      </c>
      <c r="AM40">
        <f>IF(AND(CROQUIS!$C$87=1,CROQUIS!$C$160&gt;=2),(CROQUIS!$C$157+((CROQUIS!$C$161+CROQUIS!$C$112+CROQUIS!$C$111/2+MIN(INT(($A40-1)/2),MAX((CROQUIS!$C$160-1)-1,0))*CROQUIS!$C$113))*CROQUIS!$C$155),-1000)</f>
        <v>68.0298237686399</v>
      </c>
      <c r="BH40">
        <f>IF(AND(CROQUIS!$C$88=1,CROQUIS!$C$126&gt;0),((CROQUIS!$C$156+(IF(CROQUIS!$C$92="X",CHOOSE(IF(INT(($A40-1)/5)&gt;MAX((MIN(80,MAX(1,INT(((CROQUIS!$C$98)-CROQUIS!$C$107)/MAX(CROQUIS!$C$126,1))+1)))-1,0),0,MOD($A40-1,5))+1,0,2,CROQUIS!$C$97-2,2,0),((CROQUIS!$C$107/2+(((CROQUIS!$C$98)-CROQUIS!$C$107)-(MIN(80,MAX(1,INT(((CROQUIS!$C$98)-CROQUIS!$C$107)/MAX(CROQUIS!$C$126,1))+1))-1)*CROQUIS!$C$126)/2)+MIN(INT(($A40-1)/5),MAX((MIN(80,MAX(1,INT(((CROQUIS!$C$98)-CROQUIS!$C$107)/MAX(CROQUIS!$C$126,1))+1)))-1,0))*CROQUIS!$C$126)))*CROQUIS!$C$155)+IF(CROQUIS!$C$92="X",0,0)),-1000)</f>
        <v>-1000</v>
      </c>
      <c r="BI40">
        <f>IF(AND(CROQUIS!$C$88=1,CROQUIS!$C$126&gt;0),((CROQUIS!$C$157+(IF(CROQUIS!$C$92="X",((CROQUIS!$C$107/2+(((CROQUIS!$C$98)-CROQUIS!$C$107)-(MIN(80,MAX(1,INT(((CROQUIS!$C$98)-CROQUIS!$C$107)/MAX(CROQUIS!$C$126,1))+1))-1)*CROQUIS!$C$126)/2)+MIN(INT(($A40-1)/5),MAX((MIN(80,MAX(1,INT(((CROQUIS!$C$98)-CROQUIS!$C$107)/MAX(CROQUIS!$C$126,1))+1)))-1,0))*CROQUIS!$C$126),CHOOSE(IF(INT(($A40-1)/5)&gt;MAX((MIN(80,MAX(1,INT(((CROQUIS!$C$98)-CROQUIS!$C$107)/MAX(CROQUIS!$C$126,1))+1)))-1,0),0,MOD($A40-1,5))+1,0,2,CROQUIS!$C$97-2,2,0)))*CROQUIS!$C$155)+IF(CROQUIS!$C$92="X",0,0)),-1000)</f>
        <v>-1000</v>
      </c>
      <c r="BJ40">
        <f>IF(AND(CROQUIS!$C$88=1,CROQUIS!$C$134&gt;0),((CROQUIS!$C$156+(IF(CROQUIS!$C$92="X",((CROQUIS!$C$107/2+(((CROQUIS!$C$97)-CROQUIS!$C$107)-(MIN(80,MAX(1,INT(((CROQUIS!$C$97)-CROQUIS!$C$107)/MAX(CROQUIS!$C$134,1))+1))-1)*CROQUIS!$C$134)/2)+MIN(INT(($A40-1)/5),MAX((MIN(80,MAX(1,INT(((CROQUIS!$C$97)-CROQUIS!$C$107)/MAX(CROQUIS!$C$134,1))+1)))-1,0))*CROQUIS!$C$134),CHOOSE(IF(INT(($A40-1)/5)&gt;MAX((MIN(80,MAX(1,INT(((CROQUIS!$C$97)-CROQUIS!$C$107)/MAX(CROQUIS!$C$134,1))+1)))-1,0),0,MOD($A40-1,5))+1,0,2,CROQUIS!$C$98-2,2,0)))*CROQUIS!$C$155)+IF(CROQUIS!$C$92="X",0,0)),-1000)</f>
        <v>-1000</v>
      </c>
      <c r="BK40">
        <f>IF(AND(CROQUIS!$C$88=1,CROQUIS!$C$134&gt;0),((CROQUIS!$C$157+(IF(CROQUIS!$C$92="X",CHOOSE(IF(INT(($A40-1)/5)&gt;MAX((MIN(80,MAX(1,INT(((CROQUIS!$C$97)-CROQUIS!$C$107)/MAX(CROQUIS!$C$134,1))+1)))-1,0),0,MOD($A40-1,5))+1,0,2,CROQUIS!$C$98-2,2,0),((CROQUIS!$C$107/2+(((CROQUIS!$C$97)-CROQUIS!$C$107)-(MIN(80,MAX(1,INT(((CROQUIS!$C$97)-CROQUIS!$C$107)/MAX(CROQUIS!$C$134,1))+1))-1)*CROQUIS!$C$134)/2)+MIN(INT(($A40-1)/5),MAX((MIN(80,MAX(1,INT(((CROQUIS!$C$97)-CROQUIS!$C$107)/MAX(CROQUIS!$C$134,1))+1)))-1,0))*CROQUIS!$C$134)))*CROQUIS!$C$155)+IF(CROQUIS!$C$92="X",0,0)),-1000)</f>
        <v>-1000</v>
      </c>
      <c r="BL40">
        <f>IF(AND(CROQUIS!$C$88=1,CROQUIS!$C$91=0,CROQUIS!$C$130&gt;0,OR(CROQUIS!$C$103=1,CROQUIS!$C$142=1)),((CROQUIS!$C$156+(IF(CROQUIS!$C$92="X",CHOOSE(IF(INT(($A40-1)/5)&gt;MAX((MIN(80,MAX(1,INT(((CROQUIS!$C$98)-CROQUIS!$C$107)/MAX(CROQUIS!$C$130,1))+1)))-1,0),0,MOD($A40-1,5))+1,0,IF(CROQUIS!$C$103=1,-12,2),CROQUIS!$C$107/2+CROQUIS!$C$140,IF(CROQUIS!$C$103=1,-12,2),0),((CROQUIS!$C$107/2+(((CROQUIS!$C$98)-CROQUIS!$C$107)-(MIN(80,MAX(1,INT(((CROQUIS!$C$98)-CROQUIS!$C$107)/MAX(CROQUIS!$C$130,1))+1))-1)*CROQUIS!$C$130)/2)+MIN(INT(($A40-1)/5),MAX((MIN(80,MAX(1,INT(((CROQUIS!$C$98)-CROQUIS!$C$107)/MAX(CROQUIS!$C$130,1))+1)))-1,0))*CROQUIS!$C$130)))*CROQUIS!$C$155)+IF(CROQUIS!$C$92="X",0,0)),-1000)</f>
        <v>-1000</v>
      </c>
      <c r="BM4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40-1)/5),MAX((MIN(80,MAX(1,INT(((CROQUIS!$C$98)-CROQUIS!$C$107)/MAX(CROQUIS!$C$130,1))+1)))-1,0))*CROQUIS!$C$130),CHOOSE(IF(INT(($A40-1)/5)&gt;MAX((MIN(80,MAX(1,INT(((CROQUIS!$C$98)-CROQUIS!$C$107)/MAX(CROQUIS!$C$130,1))+1)))-1,0),0,MOD($A40-1,5))+1,0,IF(CROQUIS!$C$103=1,-12,2),CROQUIS!$C$107/2+CROQUIS!$C$140,IF(CROQUIS!$C$103=1,-12,2),0)))*CROQUIS!$C$155)+IF(CROQUIS!$C$92="X",0,0)),-1000)</f>
        <v>-1000</v>
      </c>
      <c r="BN40">
        <f>IF(AND(CROQUIS!$C$88=1,CROQUIS!$C$91=0,CROQUIS!$C$130&gt;0,OR(CROQUIS!$C$104=1,CROQUIS!$C$142=1)),((CROQUIS!$C$156+(IF(CROQUIS!$C$92="X",CHOOSE(IF(INT(($A40-1)/5)&gt;MAX((MIN(80,MAX(1,INT(((CROQUIS!$C$98)-CROQUIS!$C$107)/MAX(CROQUIS!$C$130,1))+1)))-1,0),0,MOD($A40-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40-1)/5),MAX((MIN(80,MAX(1,INT(((CROQUIS!$C$98)-CROQUIS!$C$107)/MAX(CROQUIS!$C$130,1))+1)))-1,0))*CROQUIS!$C$130)))*CROQUIS!$C$155)+IF(CROQUIS!$C$92="X",0,0)),-1000)</f>
        <v>-1000</v>
      </c>
      <c r="BO4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40-1)/5),MAX((MIN(80,MAX(1,INT(((CROQUIS!$C$98)-CROQUIS!$C$107)/MAX(CROQUIS!$C$130,1))+1)))-1,0))*CROQUIS!$C$130),CHOOSE(IF(INT(($A40-1)/5)&gt;MAX((MIN(80,MAX(1,INT(((CROQUIS!$C$98)-CROQUIS!$C$107)/MAX(CROQUIS!$C$130,1))+1)))-1,0),0,MOD($A40-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40-1)/5),MAX((MIN(80,MAX(1,INT(((CROQUIS!$C$97)-CROQUIS!$C$107)/MAX(CROQUIS!$C$138,1))+1)))-1,0))*CROQUIS!$C$138),CHOOSE(IF(INT(($A40-1)/5)&gt;MAX((MIN(80,MAX(1,INT(((CROQUIS!$C$97)-CROQUIS!$C$107)/MAX(CROQUIS!$C$138,1))+1)))-1,0),0,MOD($A40-1,5))+1,0,IF(CROQUIS!$C$105=1,-12,2),CROQUIS!$C$107/2+CROQUIS!$C$141,IF(CROQUIS!$C$105=1,-12,2),0)))*CROQUIS!$C$155)+IF(CROQUIS!$C$92="X",0,0)),-1000)</f>
        <v>-1000</v>
      </c>
      <c r="BQ40">
        <f>IF(AND(CROQUIS!$C$88=1,CROQUIS!$C$91=0,CROQUIS!$C$138&gt;0,OR(CROQUIS!$C$105=1,CROQUIS!$C$143=1)),((CROQUIS!$C$157+(IF(CROQUIS!$C$92="X",CHOOSE(IF(INT(($A40-1)/5)&gt;MAX((MIN(80,MAX(1,INT(((CROQUIS!$C$97)-CROQUIS!$C$107)/MAX(CROQUIS!$C$138,1))+1)))-1,0),0,MOD($A40-1,5))+1,0,IF(CROQUIS!$C$105=1,-12,2),CROQUIS!$C$107/2+CROQUIS!$C$141,IF(CROQUIS!$C$105=1,-12,2),0),((CROQUIS!$C$107/2+(((CROQUIS!$C$97)-CROQUIS!$C$107)-(MIN(80,MAX(1,INT(((CROQUIS!$C$97)-CROQUIS!$C$107)/MAX(CROQUIS!$C$138,1))+1))-1)*CROQUIS!$C$138)/2)+MIN(INT(($A40-1)/5),MAX((MIN(80,MAX(1,INT(((CROQUIS!$C$97)-CROQUIS!$C$107)/MAX(CROQUIS!$C$138,1))+1)))-1,0))*CROQUIS!$C$138)))*CROQUIS!$C$155)+IF(CROQUIS!$C$92="X",0,0)),-1000)</f>
        <v>-1000</v>
      </c>
      <c r="BR4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40-1)/5),MAX((MIN(80,MAX(1,INT(((CROQUIS!$C$97)-CROQUIS!$C$107)/MAX(CROQUIS!$C$138,1))+1)))-1,0))*CROQUIS!$C$138),CHOOSE(IF(INT(($A40-1)/5)&gt;MAX((MIN(80,MAX(1,INT(((CROQUIS!$C$97)-CROQUIS!$C$107)/MAX(CROQUIS!$C$138,1))+1)))-1,0),0,MOD($A40-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0">
        <f>IF(AND(CROQUIS!$C$88=1,CROQUIS!$C$91=0,CROQUIS!$C$138&gt;0,OR(CROQUIS!$C$106=1,CROQUIS!$C$143=1)),((CROQUIS!$C$157+(IF(CROQUIS!$C$92="X",CHOOSE(IF(INT(($A40-1)/5)&gt;MAX((MIN(80,MAX(1,INT(((CROQUIS!$C$97)-CROQUIS!$C$107)/MAX(CROQUIS!$C$138,1))+1)))-1,0),0,MOD($A40-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40-1)/5),MAX((MIN(80,MAX(1,INT(((CROQUIS!$C$97)-CROQUIS!$C$107)/MAX(CROQUIS!$C$138,1))+1)))-1,0))*CROQUIS!$C$138)))*CROQUIS!$C$155)+IF(CROQUIS!$C$92="X",0,0)),-1000)</f>
        <v>-1000</v>
      </c>
      <c r="BT40">
        <f>IF(AND(CROQUIS!$C$88=1,CROQUIS!$C$91=1,CROQUIS!$C$130&gt;0),((CROQUIS!$C$156+(IF(CROQUIS!$C$92="X",CHOOSE(IF(INT(($A40-1)/5)&gt;MAX((MIN(80,MAX(1,INT(((CROQUIS!$C$98)-CROQUIS!$C$107)/MAX(CROQUIS!$C$130,1))+1)))-1,0),0,MOD($A40-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40-1)/5),MAX((MIN(80,MAX(1,INT(((CROQUIS!$C$98)-CROQUIS!$C$107)/MAX(CROQUIS!$C$130,1))+1)))-1,0))*CROQUIS!$C$130)))*CROQUIS!$C$155)+IF(CROQUIS!$C$92="X",0,0)),-1000)</f>
        <v>-1000</v>
      </c>
      <c r="BU40">
        <f>IF(AND(CROQUIS!$C$88=1,CROQUIS!$C$91=1,CROQUIS!$C$130&gt;0),((CROQUIS!$C$157+(IF(CROQUIS!$C$92="X",((CROQUIS!$C$107/2+(((CROQUIS!$C$98)-CROQUIS!$C$107)-(MIN(80,MAX(1,INT(((CROQUIS!$C$98)-CROQUIS!$C$107)/MAX(CROQUIS!$C$130,1))+1))-1)*CROQUIS!$C$130)/2)+MIN(INT(($A40-1)/5),MAX((MIN(80,MAX(1,INT(((CROQUIS!$C$98)-CROQUIS!$C$107)/MAX(CROQUIS!$C$130,1))+1)))-1,0))*CROQUIS!$C$130),CHOOSE(IF(INT(($A40-1)/5)&gt;MAX((MIN(80,MAX(1,INT(((CROQUIS!$C$98)-CROQUIS!$C$107)/MAX(CROQUIS!$C$130,1))+1)))-1,0),0,MOD($A40-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1">
      <c r="A41" t="n">
        <v>34</v>
      </c>
      <c r="F41">
        <f>IF(AND(CROQUIS!$C$87=1,CROQUIS!$C$91=1),((CROQUIS!$C$156+(IF(CROQUIS!$C$92="X",IF(CROQUIS!$C$94=1,0,CROQUIS!$C$97)+IF(MOD($A41,2)=1,-CROQUIS!$C$107/2,CROQUIS!$C$107/2),(MIN($A41,41)-1)/40*CROQUIS!$C$98))*CROQUIS!$C$155)+IF(CROQUIS!$C$92="X",0,0)),-1000)</f>
        <v>-1000</v>
      </c>
      <c r="G41">
        <f>IF(AND(CROQUIS!$C$87=1,CROQUIS!$C$91=1),((CROQUIS!$C$157+(IF(CROQUIS!$C$92="X",(MIN($A41,41)-1)/40*CROQUIS!$C$98,IF(CROQUIS!$C$94=1,0,CROQUIS!$C$97)+IF(MOD($A41,2)=1,-CROQUIS!$C$107/2,CROQUIS!$C$107/2)))*CROQUIS!$C$155)+IF(CROQUIS!$C$92="X",0,0)),-1000)</f>
        <v>-1000</v>
      </c>
      <c r="T41">
        <f>IF(AND(CROQUIS!$C$88=1,CROQUIS!$C$91=1),((CROQUIS!$C$156+(IF(CROQUIS!$C$92="X",IF(CROQUIS!$C$94=1,0,CROQUIS!$C$97)+IF(MOD($A41,2)=1,-CROQUIS!$C$107/2,CROQUIS!$C$107/2),(MIN($A41,41)-1)/40*CROQUIS!$C$98))*CROQUIS!$C$155)+IF(CROQUIS!$C$92="X",0,0)),-1000)</f>
        <v>-1000</v>
      </c>
      <c r="U41">
        <f>IF(AND(CROQUIS!$C$88=1,CROQUIS!$C$91=1),((CROQUIS!$C$157+(IF(CROQUIS!$C$92="X",(MIN($A41,41)-1)/40*CROQUIS!$C$98,IF(CROQUIS!$C$94=1,0,CROQUIS!$C$97)+IF(MOD($A41,2)=1,-CROQUIS!$C$107/2,CROQUIS!$C$107/2)))*CROQUIS!$C$155)+IF(CROQUIS!$C$92="X",0,0)),-1000)</f>
        <v>-1000</v>
      </c>
      <c r="AF41">
        <f>IF(AND(CROQUIS!$C$87=1,CROQUIS!$C$158&gt;0,CROQUIS!$C$160&gt;0),(CROQUIS!$C$156+((CROQUIS!$C$159+INT(MIN(INT(($A41-1)/2),MAX((2*CROQUIS!$C$158)-1,0))/2)*CROQUIS!$C$113+MOD(MIN(INT(($A41-1)/2),MAX((2*CROQUIS!$C$158)-1,0)),2)*CROQUIS!$C$112))*CROQUIS!$C$155),-1000)</f>
        <v>85.2010845006778</v>
      </c>
      <c r="AG41">
        <f>IF(AND(CROQUIS!$C$87=1,CROQUIS!$C$158&gt;0,CROQUIS!$C$160&gt;0),(CROQUIS!$C$157+(IF(MOD(MIN(INT(($A41-1)/2),MAX((2*CROQUIS!$C$158)-1,0)),2)=0,IF(IF(INT(($A41-1)/2)&gt;MAX((2*CROQUIS!$C$158)-1,0),1,MOD($A41-1,2))=0,CROQUIS!$C$161,(CROQUIS!$C$161+CROQUIS!$C$160*CROQUIS!$C$113-CROQUIS!$C$111)),IF(IF(INT(($A41-1)/2)&gt;MAX((2*CROQUIS!$C$158)-1,0),1,MOD($A41-1,2))=0,(CROQUIS!$C$161+CROQUIS!$C$160*CROQUIS!$C$113-CROQUIS!$C$111),CROQUIS!$C$161)))*CROQUIS!$C$155),-1000)</f>
        <v>20.8088567555355</v>
      </c>
      <c r="AH41">
        <f>IF(AND(CROQUIS!$C$87=1,CROQUIS!$C$160&gt;0,CROQUIS!$C$158&gt;0),(CROQUIS!$C$156+(IF(MOD(MIN(INT(($A41-1)/2),MAX((2*CROQUIS!$C$160)-1,0)),2)=0,IF(IF(INT(($A41-1)/2)&gt;MAX((2*CROQUIS!$C$160)-1,0),1,MOD($A41-1,2))=0,CROQUIS!$C$159,(CROQUIS!$C$159+CROQUIS!$C$158*CROQUIS!$C$113-CROQUIS!$C$111)),IF(IF(INT(($A41-1)/2)&gt;MAX((2*CROQUIS!$C$160)-1,0),1,MOD($A41-1,2))=0,(CROQUIS!$C$159+CROQUIS!$C$158*CROQUIS!$C$113-CROQUIS!$C$111),CROQUIS!$C$159)))*CROQUIS!$C$155),-1000)</f>
        <v>14.7989154993222</v>
      </c>
      <c r="AI41">
        <f>IF(AND(CROQUIS!$C$87=1,CROQUIS!$C$160&gt;0,CROQUIS!$C$158&gt;0),(CROQUIS!$C$157+((CROQUIS!$C$161+INT(MIN(INT(($A41-1)/2),MAX((2*CROQUIS!$C$160)-1,0))/2)*CROQUIS!$C$113+MOD(MIN(INT(($A41-1)/2),MAX((2*CROQUIS!$C$160)-1,0)),2)*CROQUIS!$C$112))*CROQUIS!$C$155),-1000)</f>
        <v>79.1911432444645</v>
      </c>
      <c r="AJ41">
        <f>IF(AND(CROQUIS!$C$87=1,CROQUIS!$C$158&gt;=2),(CROQUIS!$C$156+((CROQUIS!$C$159+CROQUIS!$C$112+CROQUIS!$C$111/2+MIN(INT(($A41-1)/2),MAX((CROQUIS!$C$158-1)-1,0))*CROQUIS!$C$113))*CROQUIS!$C$155),-1000)</f>
        <v>74.0397650248531</v>
      </c>
      <c r="AK41">
        <f>IF(AND(CROQUIS!$C$87=1,CROQUIS!$C$158&gt;=2),(CROQUIS!$C$157+(IF(MOD(MIN(INT(($A41-1)/2),MAX((CROQUIS!$C$158-1)-1,0)),2)=0,IF(IF(INT(($A41-1)/2)&gt;MAX((CROQUIS!$C$158-1)-1,0),1,MOD($A41-1,2))=0,CROQUIS!$C$107/2,(CROQUIS!$C$96-CROQUIS!$C$107/2)),IF(IF(INT(($A41-1)/2)&gt;MAX((CROQUIS!$C$158-1)-1,0),1,MOD($A41-1,2))=0,(CROQUIS!$C$96-CROQUIS!$C$107/2),CROQUIS!$C$107/2)))*CROQUIS!$C$155),-1000)</f>
        <v>83.0546769091731</v>
      </c>
      <c r="AL41">
        <f>IF(AND(CROQUIS!$C$87=1,CROQUIS!$C$160&gt;=2),(CROQUIS!$C$156+(IF(MOD(MIN(INT(($A41-1)/2),MAX((CROQUIS!$C$160-1)-1,0)),2)=0,IF(IF(INT(($A41-1)/2)&gt;MAX((CROQUIS!$C$160-1)-1,0),1,MOD($A41-1,2))=0,CROQUIS!$C$107/2,(CROQUIS!$C$95-CROQUIS!$C$107/2)),IF(IF(INT(($A41-1)/2)&gt;MAX((CROQUIS!$C$160-1)-1,0),1,MOD($A41-1,2))=0,(CROQUIS!$C$95-CROQUIS!$C$107/2),CROQUIS!$C$107/2)))*CROQUIS!$C$155),-1000)</f>
        <v>13.2878445549028</v>
      </c>
      <c r="AM41">
        <f>IF(AND(CROQUIS!$C$87=1,CROQUIS!$C$160&gt;=2),(CROQUIS!$C$157+((CROQUIS!$C$161+CROQUIS!$C$112+CROQUIS!$C$111/2+MIN(INT(($A41-1)/2),MAX((CROQUIS!$C$160-1)-1,0))*CROQUIS!$C$113))*CROQUIS!$C$155),-1000)</f>
        <v>68.0298237686399</v>
      </c>
      <c r="BH41">
        <f>IF(AND(CROQUIS!$C$88=1,CROQUIS!$C$126&gt;0),((CROQUIS!$C$156+(IF(CROQUIS!$C$92="X",CHOOSE(IF(INT(($A41-1)/5)&gt;MAX((MIN(80,MAX(1,INT(((CROQUIS!$C$98)-CROQUIS!$C$107)/MAX(CROQUIS!$C$126,1))+1)))-1,0),0,MOD($A41-1,5))+1,0,2,CROQUIS!$C$97-2,2,0),((CROQUIS!$C$107/2+(((CROQUIS!$C$98)-CROQUIS!$C$107)-(MIN(80,MAX(1,INT(((CROQUIS!$C$98)-CROQUIS!$C$107)/MAX(CROQUIS!$C$126,1))+1))-1)*CROQUIS!$C$126)/2)+MIN(INT(($A41-1)/5),MAX((MIN(80,MAX(1,INT(((CROQUIS!$C$98)-CROQUIS!$C$107)/MAX(CROQUIS!$C$126,1))+1)))-1,0))*CROQUIS!$C$126)))*CROQUIS!$C$155)+IF(CROQUIS!$C$92="X",0,0)),-1000)</f>
        <v>-1000</v>
      </c>
      <c r="BI41">
        <f>IF(AND(CROQUIS!$C$88=1,CROQUIS!$C$126&gt;0),((CROQUIS!$C$157+(IF(CROQUIS!$C$92="X",((CROQUIS!$C$107/2+(((CROQUIS!$C$98)-CROQUIS!$C$107)-(MIN(80,MAX(1,INT(((CROQUIS!$C$98)-CROQUIS!$C$107)/MAX(CROQUIS!$C$126,1))+1))-1)*CROQUIS!$C$126)/2)+MIN(INT(($A41-1)/5),MAX((MIN(80,MAX(1,INT(((CROQUIS!$C$98)-CROQUIS!$C$107)/MAX(CROQUIS!$C$126,1))+1)))-1,0))*CROQUIS!$C$126),CHOOSE(IF(INT(($A41-1)/5)&gt;MAX((MIN(80,MAX(1,INT(((CROQUIS!$C$98)-CROQUIS!$C$107)/MAX(CROQUIS!$C$126,1))+1)))-1,0),0,MOD($A41-1,5))+1,0,2,CROQUIS!$C$97-2,2,0)))*CROQUIS!$C$155)+IF(CROQUIS!$C$92="X",0,0)),-1000)</f>
        <v>-1000</v>
      </c>
      <c r="BJ41">
        <f>IF(AND(CROQUIS!$C$88=1,CROQUIS!$C$134&gt;0),((CROQUIS!$C$156+(IF(CROQUIS!$C$92="X",((CROQUIS!$C$107/2+(((CROQUIS!$C$97)-CROQUIS!$C$107)-(MIN(80,MAX(1,INT(((CROQUIS!$C$97)-CROQUIS!$C$107)/MAX(CROQUIS!$C$134,1))+1))-1)*CROQUIS!$C$134)/2)+MIN(INT(($A41-1)/5),MAX((MIN(80,MAX(1,INT(((CROQUIS!$C$97)-CROQUIS!$C$107)/MAX(CROQUIS!$C$134,1))+1)))-1,0))*CROQUIS!$C$134),CHOOSE(IF(INT(($A41-1)/5)&gt;MAX((MIN(80,MAX(1,INT(((CROQUIS!$C$97)-CROQUIS!$C$107)/MAX(CROQUIS!$C$134,1))+1)))-1,0),0,MOD($A41-1,5))+1,0,2,CROQUIS!$C$98-2,2,0)))*CROQUIS!$C$155)+IF(CROQUIS!$C$92="X",0,0)),-1000)</f>
        <v>-1000</v>
      </c>
      <c r="BK41">
        <f>IF(AND(CROQUIS!$C$88=1,CROQUIS!$C$134&gt;0),((CROQUIS!$C$157+(IF(CROQUIS!$C$92="X",CHOOSE(IF(INT(($A41-1)/5)&gt;MAX((MIN(80,MAX(1,INT(((CROQUIS!$C$97)-CROQUIS!$C$107)/MAX(CROQUIS!$C$134,1))+1)))-1,0),0,MOD($A41-1,5))+1,0,2,CROQUIS!$C$98-2,2,0),((CROQUIS!$C$107/2+(((CROQUIS!$C$97)-CROQUIS!$C$107)-(MIN(80,MAX(1,INT(((CROQUIS!$C$97)-CROQUIS!$C$107)/MAX(CROQUIS!$C$134,1))+1))-1)*CROQUIS!$C$134)/2)+MIN(INT(($A41-1)/5),MAX((MIN(80,MAX(1,INT(((CROQUIS!$C$97)-CROQUIS!$C$107)/MAX(CROQUIS!$C$134,1))+1)))-1,0))*CROQUIS!$C$134)))*CROQUIS!$C$155)+IF(CROQUIS!$C$92="X",0,0)),-1000)</f>
        <v>-1000</v>
      </c>
      <c r="BL41">
        <f>IF(AND(CROQUIS!$C$88=1,CROQUIS!$C$91=0,CROQUIS!$C$130&gt;0,OR(CROQUIS!$C$103=1,CROQUIS!$C$142=1)),((CROQUIS!$C$156+(IF(CROQUIS!$C$92="X",CHOOSE(IF(INT(($A41-1)/5)&gt;MAX((MIN(80,MAX(1,INT(((CROQUIS!$C$98)-CROQUIS!$C$107)/MAX(CROQUIS!$C$130,1))+1)))-1,0),0,MOD($A41-1,5))+1,0,IF(CROQUIS!$C$103=1,-12,2),CROQUIS!$C$107/2+CROQUIS!$C$140,IF(CROQUIS!$C$103=1,-12,2),0),((CROQUIS!$C$107/2+(((CROQUIS!$C$98)-CROQUIS!$C$107)-(MIN(80,MAX(1,INT(((CROQUIS!$C$98)-CROQUIS!$C$107)/MAX(CROQUIS!$C$130,1))+1))-1)*CROQUIS!$C$130)/2)+MIN(INT(($A41-1)/5),MAX((MIN(80,MAX(1,INT(((CROQUIS!$C$98)-CROQUIS!$C$107)/MAX(CROQUIS!$C$130,1))+1)))-1,0))*CROQUIS!$C$130)))*CROQUIS!$C$155)+IF(CROQUIS!$C$92="X",0,0)),-1000)</f>
        <v>-1000</v>
      </c>
      <c r="BM4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41-1)/5),MAX((MIN(80,MAX(1,INT(((CROQUIS!$C$98)-CROQUIS!$C$107)/MAX(CROQUIS!$C$130,1))+1)))-1,0))*CROQUIS!$C$130),CHOOSE(IF(INT(($A41-1)/5)&gt;MAX((MIN(80,MAX(1,INT(((CROQUIS!$C$98)-CROQUIS!$C$107)/MAX(CROQUIS!$C$130,1))+1)))-1,0),0,MOD($A41-1,5))+1,0,IF(CROQUIS!$C$103=1,-12,2),CROQUIS!$C$107/2+CROQUIS!$C$140,IF(CROQUIS!$C$103=1,-12,2),0)))*CROQUIS!$C$155)+IF(CROQUIS!$C$92="X",0,0)),-1000)</f>
        <v>-1000</v>
      </c>
      <c r="BN41">
        <f>IF(AND(CROQUIS!$C$88=1,CROQUIS!$C$91=0,CROQUIS!$C$130&gt;0,OR(CROQUIS!$C$104=1,CROQUIS!$C$142=1)),((CROQUIS!$C$156+(IF(CROQUIS!$C$92="X",CHOOSE(IF(INT(($A41-1)/5)&gt;MAX((MIN(80,MAX(1,INT(((CROQUIS!$C$98)-CROQUIS!$C$107)/MAX(CROQUIS!$C$130,1))+1)))-1,0),0,MOD($A41-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41-1)/5),MAX((MIN(80,MAX(1,INT(((CROQUIS!$C$98)-CROQUIS!$C$107)/MAX(CROQUIS!$C$130,1))+1)))-1,0))*CROQUIS!$C$130)))*CROQUIS!$C$155)+IF(CROQUIS!$C$92="X",0,0)),-1000)</f>
        <v>-1000</v>
      </c>
      <c r="BO4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41-1)/5),MAX((MIN(80,MAX(1,INT(((CROQUIS!$C$98)-CROQUIS!$C$107)/MAX(CROQUIS!$C$130,1))+1)))-1,0))*CROQUIS!$C$130),CHOOSE(IF(INT(($A41-1)/5)&gt;MAX((MIN(80,MAX(1,INT(((CROQUIS!$C$98)-CROQUIS!$C$107)/MAX(CROQUIS!$C$130,1))+1)))-1,0),0,MOD($A41-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41-1)/5),MAX((MIN(80,MAX(1,INT(((CROQUIS!$C$97)-CROQUIS!$C$107)/MAX(CROQUIS!$C$138,1))+1)))-1,0))*CROQUIS!$C$138),CHOOSE(IF(INT(($A41-1)/5)&gt;MAX((MIN(80,MAX(1,INT(((CROQUIS!$C$97)-CROQUIS!$C$107)/MAX(CROQUIS!$C$138,1))+1)))-1,0),0,MOD($A41-1,5))+1,0,IF(CROQUIS!$C$105=1,-12,2),CROQUIS!$C$107/2+CROQUIS!$C$141,IF(CROQUIS!$C$105=1,-12,2),0)))*CROQUIS!$C$155)+IF(CROQUIS!$C$92="X",0,0)),-1000)</f>
        <v>-1000</v>
      </c>
      <c r="BQ41">
        <f>IF(AND(CROQUIS!$C$88=1,CROQUIS!$C$91=0,CROQUIS!$C$138&gt;0,OR(CROQUIS!$C$105=1,CROQUIS!$C$143=1)),((CROQUIS!$C$157+(IF(CROQUIS!$C$92="X",CHOOSE(IF(INT(($A41-1)/5)&gt;MAX((MIN(80,MAX(1,INT(((CROQUIS!$C$97)-CROQUIS!$C$107)/MAX(CROQUIS!$C$138,1))+1)))-1,0),0,MOD($A41-1,5))+1,0,IF(CROQUIS!$C$105=1,-12,2),CROQUIS!$C$107/2+CROQUIS!$C$141,IF(CROQUIS!$C$105=1,-12,2),0),((CROQUIS!$C$107/2+(((CROQUIS!$C$97)-CROQUIS!$C$107)-(MIN(80,MAX(1,INT(((CROQUIS!$C$97)-CROQUIS!$C$107)/MAX(CROQUIS!$C$138,1))+1))-1)*CROQUIS!$C$138)/2)+MIN(INT(($A41-1)/5),MAX((MIN(80,MAX(1,INT(((CROQUIS!$C$97)-CROQUIS!$C$107)/MAX(CROQUIS!$C$138,1))+1)))-1,0))*CROQUIS!$C$138)))*CROQUIS!$C$155)+IF(CROQUIS!$C$92="X",0,0)),-1000)</f>
        <v>-1000</v>
      </c>
      <c r="BR4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41-1)/5),MAX((MIN(80,MAX(1,INT(((CROQUIS!$C$97)-CROQUIS!$C$107)/MAX(CROQUIS!$C$138,1))+1)))-1,0))*CROQUIS!$C$138),CHOOSE(IF(INT(($A41-1)/5)&gt;MAX((MIN(80,MAX(1,INT(((CROQUIS!$C$97)-CROQUIS!$C$107)/MAX(CROQUIS!$C$138,1))+1)))-1,0),0,MOD($A41-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1">
        <f>IF(AND(CROQUIS!$C$88=1,CROQUIS!$C$91=0,CROQUIS!$C$138&gt;0,OR(CROQUIS!$C$106=1,CROQUIS!$C$143=1)),((CROQUIS!$C$157+(IF(CROQUIS!$C$92="X",CHOOSE(IF(INT(($A41-1)/5)&gt;MAX((MIN(80,MAX(1,INT(((CROQUIS!$C$97)-CROQUIS!$C$107)/MAX(CROQUIS!$C$138,1))+1)))-1,0),0,MOD($A41-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41-1)/5),MAX((MIN(80,MAX(1,INT(((CROQUIS!$C$97)-CROQUIS!$C$107)/MAX(CROQUIS!$C$138,1))+1)))-1,0))*CROQUIS!$C$138)))*CROQUIS!$C$155)+IF(CROQUIS!$C$92="X",0,0)),-1000)</f>
        <v>-1000</v>
      </c>
      <c r="BT41">
        <f>IF(AND(CROQUIS!$C$88=1,CROQUIS!$C$91=1,CROQUIS!$C$130&gt;0),((CROQUIS!$C$156+(IF(CROQUIS!$C$92="X",CHOOSE(IF(INT(($A41-1)/5)&gt;MAX((MIN(80,MAX(1,INT(((CROQUIS!$C$98)-CROQUIS!$C$107)/MAX(CROQUIS!$C$130,1))+1)))-1,0),0,MOD($A41-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41-1)/5),MAX((MIN(80,MAX(1,INT(((CROQUIS!$C$98)-CROQUIS!$C$107)/MAX(CROQUIS!$C$130,1))+1)))-1,0))*CROQUIS!$C$130)))*CROQUIS!$C$155)+IF(CROQUIS!$C$92="X",0,0)),-1000)</f>
        <v>-1000</v>
      </c>
      <c r="BU41">
        <f>IF(AND(CROQUIS!$C$88=1,CROQUIS!$C$91=1,CROQUIS!$C$130&gt;0),((CROQUIS!$C$157+(IF(CROQUIS!$C$92="X",((CROQUIS!$C$107/2+(((CROQUIS!$C$98)-CROQUIS!$C$107)-(MIN(80,MAX(1,INT(((CROQUIS!$C$98)-CROQUIS!$C$107)/MAX(CROQUIS!$C$130,1))+1))-1)*CROQUIS!$C$130)/2)+MIN(INT(($A41-1)/5),MAX((MIN(80,MAX(1,INT(((CROQUIS!$C$98)-CROQUIS!$C$107)/MAX(CROQUIS!$C$130,1))+1)))-1,0))*CROQUIS!$C$130),CHOOSE(IF(INT(($A41-1)/5)&gt;MAX((MIN(80,MAX(1,INT(((CROQUIS!$C$98)-CROQUIS!$C$107)/MAX(CROQUIS!$C$130,1))+1)))-1,0),0,MOD($A41-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2">
      <c r="A42" t="n">
        <v>35</v>
      </c>
      <c r="F42">
        <f>IF(AND(CROQUIS!$C$87=1,CROQUIS!$C$91=1),((CROQUIS!$C$156+(IF(CROQUIS!$C$92="X",IF(CROQUIS!$C$94=1,0,CROQUIS!$C$97)+IF(MOD($A42,2)=1,-CROQUIS!$C$107/2,CROQUIS!$C$107/2),(MIN($A42,41)-1)/40*CROQUIS!$C$98))*CROQUIS!$C$155)+IF(CROQUIS!$C$92="X",0,0)),-1000)</f>
        <v>-1000</v>
      </c>
      <c r="G42">
        <f>IF(AND(CROQUIS!$C$87=1,CROQUIS!$C$91=1),((CROQUIS!$C$157+(IF(CROQUIS!$C$92="X",(MIN($A42,41)-1)/40*CROQUIS!$C$98,IF(CROQUIS!$C$94=1,0,CROQUIS!$C$97)+IF(MOD($A42,2)=1,-CROQUIS!$C$107/2,CROQUIS!$C$107/2)))*CROQUIS!$C$155)+IF(CROQUIS!$C$92="X",0,0)),-1000)</f>
        <v>-1000</v>
      </c>
      <c r="T42">
        <f>IF(AND(CROQUIS!$C$88=1,CROQUIS!$C$91=1),((CROQUIS!$C$156+(IF(CROQUIS!$C$92="X",IF(CROQUIS!$C$94=1,0,CROQUIS!$C$97)+IF(MOD($A42,2)=1,-CROQUIS!$C$107/2,CROQUIS!$C$107/2),(MIN($A42,41)-1)/40*CROQUIS!$C$98))*CROQUIS!$C$155)+IF(CROQUIS!$C$92="X",0,0)),-1000)</f>
        <v>-1000</v>
      </c>
      <c r="U42">
        <f>IF(AND(CROQUIS!$C$88=1,CROQUIS!$C$91=1),((CROQUIS!$C$157+(IF(CROQUIS!$C$92="X",(MIN($A42,41)-1)/40*CROQUIS!$C$98,IF(CROQUIS!$C$94=1,0,CROQUIS!$C$97)+IF(MOD($A42,2)=1,-CROQUIS!$C$107/2,CROQUIS!$C$107/2)))*CROQUIS!$C$155)+IF(CROQUIS!$C$92="X",0,0)),-1000)</f>
        <v>-1000</v>
      </c>
      <c r="AF42">
        <f>IF(AND(CROQUIS!$C$87=1,CROQUIS!$C$158&gt;0,CROQUIS!$C$160&gt;0),(CROQUIS!$C$156+((CROQUIS!$C$159+INT(MIN(INT(($A42-1)/2),MAX((2*CROQUIS!$C$158)-1,0))/2)*CROQUIS!$C$113+MOD(MIN(INT(($A42-1)/2),MAX((2*CROQUIS!$C$158)-1,0)),2)*CROQUIS!$C$112))*CROQUIS!$C$155),-1000)</f>
        <v>85.2010845006778</v>
      </c>
      <c r="AG42">
        <f>IF(AND(CROQUIS!$C$87=1,CROQUIS!$C$158&gt;0,CROQUIS!$C$160&gt;0),(CROQUIS!$C$157+(IF(MOD(MIN(INT(($A42-1)/2),MAX((2*CROQUIS!$C$158)-1,0)),2)=0,IF(IF(INT(($A42-1)/2)&gt;MAX((2*CROQUIS!$C$158)-1,0),1,MOD($A42-1,2))=0,CROQUIS!$C$161,(CROQUIS!$C$161+CROQUIS!$C$160*CROQUIS!$C$113-CROQUIS!$C$111)),IF(IF(INT(($A42-1)/2)&gt;MAX((2*CROQUIS!$C$158)-1,0),1,MOD($A42-1,2))=0,(CROQUIS!$C$161+CROQUIS!$C$160*CROQUIS!$C$113-CROQUIS!$C$111),CROQUIS!$C$161)))*CROQUIS!$C$155),-1000)</f>
        <v>20.8088567555355</v>
      </c>
      <c r="AH42">
        <f>IF(AND(CROQUIS!$C$87=1,CROQUIS!$C$160&gt;0,CROQUIS!$C$158&gt;0),(CROQUIS!$C$156+(IF(MOD(MIN(INT(($A42-1)/2),MAX((2*CROQUIS!$C$160)-1,0)),2)=0,IF(IF(INT(($A42-1)/2)&gt;MAX((2*CROQUIS!$C$160)-1,0),1,MOD($A42-1,2))=0,CROQUIS!$C$159,(CROQUIS!$C$159+CROQUIS!$C$158*CROQUIS!$C$113-CROQUIS!$C$111)),IF(IF(INT(($A42-1)/2)&gt;MAX((2*CROQUIS!$C$160)-1,0),1,MOD($A42-1,2))=0,(CROQUIS!$C$159+CROQUIS!$C$158*CROQUIS!$C$113-CROQUIS!$C$111),CROQUIS!$C$159)))*CROQUIS!$C$155),-1000)</f>
        <v>14.7989154993222</v>
      </c>
      <c r="AI42">
        <f>IF(AND(CROQUIS!$C$87=1,CROQUIS!$C$160&gt;0,CROQUIS!$C$158&gt;0),(CROQUIS!$C$157+((CROQUIS!$C$161+INT(MIN(INT(($A42-1)/2),MAX((2*CROQUIS!$C$160)-1,0))/2)*CROQUIS!$C$113+MOD(MIN(INT(($A42-1)/2),MAX((2*CROQUIS!$C$160)-1,0)),2)*CROQUIS!$C$112))*CROQUIS!$C$155),-1000)</f>
        <v>79.1911432444645</v>
      </c>
      <c r="AJ42">
        <f>IF(AND(CROQUIS!$C$87=1,CROQUIS!$C$158&gt;=2),(CROQUIS!$C$156+((CROQUIS!$C$159+CROQUIS!$C$112+CROQUIS!$C$111/2+MIN(INT(($A42-1)/2),MAX((CROQUIS!$C$158-1)-1,0))*CROQUIS!$C$113))*CROQUIS!$C$155),-1000)</f>
        <v>74.0397650248531</v>
      </c>
      <c r="AK42">
        <f>IF(AND(CROQUIS!$C$87=1,CROQUIS!$C$158&gt;=2),(CROQUIS!$C$157+(IF(MOD(MIN(INT(($A42-1)/2),MAX((CROQUIS!$C$158-1)-1,0)),2)=0,IF(IF(INT(($A42-1)/2)&gt;MAX((CROQUIS!$C$158-1)-1,0),1,MOD($A42-1,2))=0,CROQUIS!$C$107/2,(CROQUIS!$C$96-CROQUIS!$C$107/2)),IF(IF(INT(($A42-1)/2)&gt;MAX((CROQUIS!$C$158-1)-1,0),1,MOD($A42-1,2))=0,(CROQUIS!$C$96-CROQUIS!$C$107/2),CROQUIS!$C$107/2)))*CROQUIS!$C$155),-1000)</f>
        <v>83.0546769091731</v>
      </c>
      <c r="AL42">
        <f>IF(AND(CROQUIS!$C$87=1,CROQUIS!$C$160&gt;=2),(CROQUIS!$C$156+(IF(MOD(MIN(INT(($A42-1)/2),MAX((CROQUIS!$C$160-1)-1,0)),2)=0,IF(IF(INT(($A42-1)/2)&gt;MAX((CROQUIS!$C$160-1)-1,0),1,MOD($A42-1,2))=0,CROQUIS!$C$107/2,(CROQUIS!$C$95-CROQUIS!$C$107/2)),IF(IF(INT(($A42-1)/2)&gt;MAX((CROQUIS!$C$160-1)-1,0),1,MOD($A42-1,2))=0,(CROQUIS!$C$95-CROQUIS!$C$107/2),CROQUIS!$C$107/2)))*CROQUIS!$C$155),-1000)</f>
        <v>13.2878445549028</v>
      </c>
      <c r="AM42">
        <f>IF(AND(CROQUIS!$C$87=1,CROQUIS!$C$160&gt;=2),(CROQUIS!$C$157+((CROQUIS!$C$161+CROQUIS!$C$112+CROQUIS!$C$111/2+MIN(INT(($A42-1)/2),MAX((CROQUIS!$C$160-1)-1,0))*CROQUIS!$C$113))*CROQUIS!$C$155),-1000)</f>
        <v>68.0298237686399</v>
      </c>
      <c r="BH42">
        <f>IF(AND(CROQUIS!$C$88=1,CROQUIS!$C$126&gt;0),((CROQUIS!$C$156+(IF(CROQUIS!$C$92="X",CHOOSE(IF(INT(($A42-1)/5)&gt;MAX((MIN(80,MAX(1,INT(((CROQUIS!$C$98)-CROQUIS!$C$107)/MAX(CROQUIS!$C$126,1))+1)))-1,0),0,MOD($A42-1,5))+1,0,2,CROQUIS!$C$97-2,2,0),((CROQUIS!$C$107/2+(((CROQUIS!$C$98)-CROQUIS!$C$107)-(MIN(80,MAX(1,INT(((CROQUIS!$C$98)-CROQUIS!$C$107)/MAX(CROQUIS!$C$126,1))+1))-1)*CROQUIS!$C$126)/2)+MIN(INT(($A42-1)/5),MAX((MIN(80,MAX(1,INT(((CROQUIS!$C$98)-CROQUIS!$C$107)/MAX(CROQUIS!$C$126,1))+1)))-1,0))*CROQUIS!$C$126)))*CROQUIS!$C$155)+IF(CROQUIS!$C$92="X",0,0)),-1000)</f>
        <v>-1000</v>
      </c>
      <c r="BI42">
        <f>IF(AND(CROQUIS!$C$88=1,CROQUIS!$C$126&gt;0),((CROQUIS!$C$157+(IF(CROQUIS!$C$92="X",((CROQUIS!$C$107/2+(((CROQUIS!$C$98)-CROQUIS!$C$107)-(MIN(80,MAX(1,INT(((CROQUIS!$C$98)-CROQUIS!$C$107)/MAX(CROQUIS!$C$126,1))+1))-1)*CROQUIS!$C$126)/2)+MIN(INT(($A42-1)/5),MAX((MIN(80,MAX(1,INT(((CROQUIS!$C$98)-CROQUIS!$C$107)/MAX(CROQUIS!$C$126,1))+1)))-1,0))*CROQUIS!$C$126),CHOOSE(IF(INT(($A42-1)/5)&gt;MAX((MIN(80,MAX(1,INT(((CROQUIS!$C$98)-CROQUIS!$C$107)/MAX(CROQUIS!$C$126,1))+1)))-1,0),0,MOD($A42-1,5))+1,0,2,CROQUIS!$C$97-2,2,0)))*CROQUIS!$C$155)+IF(CROQUIS!$C$92="X",0,0)),-1000)</f>
        <v>-1000</v>
      </c>
      <c r="BJ42">
        <f>IF(AND(CROQUIS!$C$88=1,CROQUIS!$C$134&gt;0),((CROQUIS!$C$156+(IF(CROQUIS!$C$92="X",((CROQUIS!$C$107/2+(((CROQUIS!$C$97)-CROQUIS!$C$107)-(MIN(80,MAX(1,INT(((CROQUIS!$C$97)-CROQUIS!$C$107)/MAX(CROQUIS!$C$134,1))+1))-1)*CROQUIS!$C$134)/2)+MIN(INT(($A42-1)/5),MAX((MIN(80,MAX(1,INT(((CROQUIS!$C$97)-CROQUIS!$C$107)/MAX(CROQUIS!$C$134,1))+1)))-1,0))*CROQUIS!$C$134),CHOOSE(IF(INT(($A42-1)/5)&gt;MAX((MIN(80,MAX(1,INT(((CROQUIS!$C$97)-CROQUIS!$C$107)/MAX(CROQUIS!$C$134,1))+1)))-1,0),0,MOD($A42-1,5))+1,0,2,CROQUIS!$C$98-2,2,0)))*CROQUIS!$C$155)+IF(CROQUIS!$C$92="X",0,0)),-1000)</f>
        <v>-1000</v>
      </c>
      <c r="BK42">
        <f>IF(AND(CROQUIS!$C$88=1,CROQUIS!$C$134&gt;0),((CROQUIS!$C$157+(IF(CROQUIS!$C$92="X",CHOOSE(IF(INT(($A42-1)/5)&gt;MAX((MIN(80,MAX(1,INT(((CROQUIS!$C$97)-CROQUIS!$C$107)/MAX(CROQUIS!$C$134,1))+1)))-1,0),0,MOD($A42-1,5))+1,0,2,CROQUIS!$C$98-2,2,0),((CROQUIS!$C$107/2+(((CROQUIS!$C$97)-CROQUIS!$C$107)-(MIN(80,MAX(1,INT(((CROQUIS!$C$97)-CROQUIS!$C$107)/MAX(CROQUIS!$C$134,1))+1))-1)*CROQUIS!$C$134)/2)+MIN(INT(($A42-1)/5),MAX((MIN(80,MAX(1,INT(((CROQUIS!$C$97)-CROQUIS!$C$107)/MAX(CROQUIS!$C$134,1))+1)))-1,0))*CROQUIS!$C$134)))*CROQUIS!$C$155)+IF(CROQUIS!$C$92="X",0,0)),-1000)</f>
        <v>-1000</v>
      </c>
      <c r="BL42">
        <f>IF(AND(CROQUIS!$C$88=1,CROQUIS!$C$91=0,CROQUIS!$C$130&gt;0,OR(CROQUIS!$C$103=1,CROQUIS!$C$142=1)),((CROQUIS!$C$156+(IF(CROQUIS!$C$92="X",CHOOSE(IF(INT(($A42-1)/5)&gt;MAX((MIN(80,MAX(1,INT(((CROQUIS!$C$98)-CROQUIS!$C$107)/MAX(CROQUIS!$C$130,1))+1)))-1,0),0,MOD($A42-1,5))+1,0,IF(CROQUIS!$C$103=1,-12,2),CROQUIS!$C$107/2+CROQUIS!$C$140,IF(CROQUIS!$C$103=1,-12,2),0),((CROQUIS!$C$107/2+(((CROQUIS!$C$98)-CROQUIS!$C$107)-(MIN(80,MAX(1,INT(((CROQUIS!$C$98)-CROQUIS!$C$107)/MAX(CROQUIS!$C$130,1))+1))-1)*CROQUIS!$C$130)/2)+MIN(INT(($A42-1)/5),MAX((MIN(80,MAX(1,INT(((CROQUIS!$C$98)-CROQUIS!$C$107)/MAX(CROQUIS!$C$130,1))+1)))-1,0))*CROQUIS!$C$130)))*CROQUIS!$C$155)+IF(CROQUIS!$C$92="X",0,0)),-1000)</f>
        <v>-1000</v>
      </c>
      <c r="BM4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42-1)/5),MAX((MIN(80,MAX(1,INT(((CROQUIS!$C$98)-CROQUIS!$C$107)/MAX(CROQUIS!$C$130,1))+1)))-1,0))*CROQUIS!$C$130),CHOOSE(IF(INT(($A42-1)/5)&gt;MAX((MIN(80,MAX(1,INT(((CROQUIS!$C$98)-CROQUIS!$C$107)/MAX(CROQUIS!$C$130,1))+1)))-1,0),0,MOD($A42-1,5))+1,0,IF(CROQUIS!$C$103=1,-12,2),CROQUIS!$C$107/2+CROQUIS!$C$140,IF(CROQUIS!$C$103=1,-12,2),0)))*CROQUIS!$C$155)+IF(CROQUIS!$C$92="X",0,0)),-1000)</f>
        <v>-1000</v>
      </c>
      <c r="BN42">
        <f>IF(AND(CROQUIS!$C$88=1,CROQUIS!$C$91=0,CROQUIS!$C$130&gt;0,OR(CROQUIS!$C$104=1,CROQUIS!$C$142=1)),((CROQUIS!$C$156+(IF(CROQUIS!$C$92="X",CHOOSE(IF(INT(($A42-1)/5)&gt;MAX((MIN(80,MAX(1,INT(((CROQUIS!$C$98)-CROQUIS!$C$107)/MAX(CROQUIS!$C$130,1))+1)))-1,0),0,MOD($A42-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42-1)/5),MAX((MIN(80,MAX(1,INT(((CROQUIS!$C$98)-CROQUIS!$C$107)/MAX(CROQUIS!$C$130,1))+1)))-1,0))*CROQUIS!$C$130)))*CROQUIS!$C$155)+IF(CROQUIS!$C$92="X",0,0)),-1000)</f>
        <v>-1000</v>
      </c>
      <c r="BO4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42-1)/5),MAX((MIN(80,MAX(1,INT(((CROQUIS!$C$98)-CROQUIS!$C$107)/MAX(CROQUIS!$C$130,1))+1)))-1,0))*CROQUIS!$C$130),CHOOSE(IF(INT(($A42-1)/5)&gt;MAX((MIN(80,MAX(1,INT(((CROQUIS!$C$98)-CROQUIS!$C$107)/MAX(CROQUIS!$C$130,1))+1)))-1,0),0,MOD($A42-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42-1)/5),MAX((MIN(80,MAX(1,INT(((CROQUIS!$C$97)-CROQUIS!$C$107)/MAX(CROQUIS!$C$138,1))+1)))-1,0))*CROQUIS!$C$138),CHOOSE(IF(INT(($A42-1)/5)&gt;MAX((MIN(80,MAX(1,INT(((CROQUIS!$C$97)-CROQUIS!$C$107)/MAX(CROQUIS!$C$138,1))+1)))-1,0),0,MOD($A42-1,5))+1,0,IF(CROQUIS!$C$105=1,-12,2),CROQUIS!$C$107/2+CROQUIS!$C$141,IF(CROQUIS!$C$105=1,-12,2),0)))*CROQUIS!$C$155)+IF(CROQUIS!$C$92="X",0,0)),-1000)</f>
        <v>-1000</v>
      </c>
      <c r="BQ42">
        <f>IF(AND(CROQUIS!$C$88=1,CROQUIS!$C$91=0,CROQUIS!$C$138&gt;0,OR(CROQUIS!$C$105=1,CROQUIS!$C$143=1)),((CROQUIS!$C$157+(IF(CROQUIS!$C$92="X",CHOOSE(IF(INT(($A42-1)/5)&gt;MAX((MIN(80,MAX(1,INT(((CROQUIS!$C$97)-CROQUIS!$C$107)/MAX(CROQUIS!$C$138,1))+1)))-1,0),0,MOD($A42-1,5))+1,0,IF(CROQUIS!$C$105=1,-12,2),CROQUIS!$C$107/2+CROQUIS!$C$141,IF(CROQUIS!$C$105=1,-12,2),0),((CROQUIS!$C$107/2+(((CROQUIS!$C$97)-CROQUIS!$C$107)-(MIN(80,MAX(1,INT(((CROQUIS!$C$97)-CROQUIS!$C$107)/MAX(CROQUIS!$C$138,1))+1))-1)*CROQUIS!$C$138)/2)+MIN(INT(($A42-1)/5),MAX((MIN(80,MAX(1,INT(((CROQUIS!$C$97)-CROQUIS!$C$107)/MAX(CROQUIS!$C$138,1))+1)))-1,0))*CROQUIS!$C$138)))*CROQUIS!$C$155)+IF(CROQUIS!$C$92="X",0,0)),-1000)</f>
        <v>-1000</v>
      </c>
      <c r="BR4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42-1)/5),MAX((MIN(80,MAX(1,INT(((CROQUIS!$C$97)-CROQUIS!$C$107)/MAX(CROQUIS!$C$138,1))+1)))-1,0))*CROQUIS!$C$138),CHOOSE(IF(INT(($A42-1)/5)&gt;MAX((MIN(80,MAX(1,INT(((CROQUIS!$C$97)-CROQUIS!$C$107)/MAX(CROQUIS!$C$138,1))+1)))-1,0),0,MOD($A42-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2">
        <f>IF(AND(CROQUIS!$C$88=1,CROQUIS!$C$91=0,CROQUIS!$C$138&gt;0,OR(CROQUIS!$C$106=1,CROQUIS!$C$143=1)),((CROQUIS!$C$157+(IF(CROQUIS!$C$92="X",CHOOSE(IF(INT(($A42-1)/5)&gt;MAX((MIN(80,MAX(1,INT(((CROQUIS!$C$97)-CROQUIS!$C$107)/MAX(CROQUIS!$C$138,1))+1)))-1,0),0,MOD($A42-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42-1)/5),MAX((MIN(80,MAX(1,INT(((CROQUIS!$C$97)-CROQUIS!$C$107)/MAX(CROQUIS!$C$138,1))+1)))-1,0))*CROQUIS!$C$138)))*CROQUIS!$C$155)+IF(CROQUIS!$C$92="X",0,0)),-1000)</f>
        <v>-1000</v>
      </c>
      <c r="BT42">
        <f>IF(AND(CROQUIS!$C$88=1,CROQUIS!$C$91=1,CROQUIS!$C$130&gt;0),((CROQUIS!$C$156+(IF(CROQUIS!$C$92="X",CHOOSE(IF(INT(($A42-1)/5)&gt;MAX((MIN(80,MAX(1,INT(((CROQUIS!$C$98)-CROQUIS!$C$107)/MAX(CROQUIS!$C$130,1))+1)))-1,0),0,MOD($A42-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42-1)/5),MAX((MIN(80,MAX(1,INT(((CROQUIS!$C$98)-CROQUIS!$C$107)/MAX(CROQUIS!$C$130,1))+1)))-1,0))*CROQUIS!$C$130)))*CROQUIS!$C$155)+IF(CROQUIS!$C$92="X",0,0)),-1000)</f>
        <v>-1000</v>
      </c>
      <c r="BU42">
        <f>IF(AND(CROQUIS!$C$88=1,CROQUIS!$C$91=1,CROQUIS!$C$130&gt;0),((CROQUIS!$C$157+(IF(CROQUIS!$C$92="X",((CROQUIS!$C$107/2+(((CROQUIS!$C$98)-CROQUIS!$C$107)-(MIN(80,MAX(1,INT(((CROQUIS!$C$98)-CROQUIS!$C$107)/MAX(CROQUIS!$C$130,1))+1))-1)*CROQUIS!$C$130)/2)+MIN(INT(($A42-1)/5),MAX((MIN(80,MAX(1,INT(((CROQUIS!$C$98)-CROQUIS!$C$107)/MAX(CROQUIS!$C$130,1))+1)))-1,0))*CROQUIS!$C$130),CHOOSE(IF(INT(($A42-1)/5)&gt;MAX((MIN(80,MAX(1,INT(((CROQUIS!$C$98)-CROQUIS!$C$107)/MAX(CROQUIS!$C$130,1))+1)))-1,0),0,MOD($A42-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3">
      <c r="A43" t="n">
        <v>36</v>
      </c>
      <c r="F43">
        <f>IF(AND(CROQUIS!$C$87=1,CROQUIS!$C$91=1),((CROQUIS!$C$156+(IF(CROQUIS!$C$92="X",IF(CROQUIS!$C$94=1,0,CROQUIS!$C$97)+IF(MOD($A43,2)=1,-CROQUIS!$C$107/2,CROQUIS!$C$107/2),(MIN($A43,41)-1)/40*CROQUIS!$C$98))*CROQUIS!$C$155)+IF(CROQUIS!$C$92="X",0,0)),-1000)</f>
        <v>-1000</v>
      </c>
      <c r="G43">
        <f>IF(AND(CROQUIS!$C$87=1,CROQUIS!$C$91=1),((CROQUIS!$C$157+(IF(CROQUIS!$C$92="X",(MIN($A43,41)-1)/40*CROQUIS!$C$98,IF(CROQUIS!$C$94=1,0,CROQUIS!$C$97)+IF(MOD($A43,2)=1,-CROQUIS!$C$107/2,CROQUIS!$C$107/2)))*CROQUIS!$C$155)+IF(CROQUIS!$C$92="X",0,0)),-1000)</f>
        <v>-1000</v>
      </c>
      <c r="T43">
        <f>IF(AND(CROQUIS!$C$88=1,CROQUIS!$C$91=1),((CROQUIS!$C$156+(IF(CROQUIS!$C$92="X",IF(CROQUIS!$C$94=1,0,CROQUIS!$C$97)+IF(MOD($A43,2)=1,-CROQUIS!$C$107/2,CROQUIS!$C$107/2),(MIN($A43,41)-1)/40*CROQUIS!$C$98))*CROQUIS!$C$155)+IF(CROQUIS!$C$92="X",0,0)),-1000)</f>
        <v>-1000</v>
      </c>
      <c r="U43">
        <f>IF(AND(CROQUIS!$C$88=1,CROQUIS!$C$91=1),((CROQUIS!$C$157+(IF(CROQUIS!$C$92="X",(MIN($A43,41)-1)/40*CROQUIS!$C$98,IF(CROQUIS!$C$94=1,0,CROQUIS!$C$97)+IF(MOD($A43,2)=1,-CROQUIS!$C$107/2,CROQUIS!$C$107/2)))*CROQUIS!$C$155)+IF(CROQUIS!$C$92="X",0,0)),-1000)</f>
        <v>-1000</v>
      </c>
      <c r="AF43">
        <f>IF(AND(CROQUIS!$C$87=1,CROQUIS!$C$158&gt;0,CROQUIS!$C$160&gt;0),(CROQUIS!$C$156+((CROQUIS!$C$159+INT(MIN(INT(($A43-1)/2),MAX((2*CROQUIS!$C$158)-1,0))/2)*CROQUIS!$C$113+MOD(MIN(INT(($A43-1)/2),MAX((2*CROQUIS!$C$158)-1,0)),2)*CROQUIS!$C$112))*CROQUIS!$C$155),-1000)</f>
        <v>85.2010845006778</v>
      </c>
      <c r="AG43">
        <f>IF(AND(CROQUIS!$C$87=1,CROQUIS!$C$158&gt;0,CROQUIS!$C$160&gt;0),(CROQUIS!$C$157+(IF(MOD(MIN(INT(($A43-1)/2),MAX((2*CROQUIS!$C$158)-1,0)),2)=0,IF(IF(INT(($A43-1)/2)&gt;MAX((2*CROQUIS!$C$158)-1,0),1,MOD($A43-1,2))=0,CROQUIS!$C$161,(CROQUIS!$C$161+CROQUIS!$C$160*CROQUIS!$C$113-CROQUIS!$C$111)),IF(IF(INT(($A43-1)/2)&gt;MAX((2*CROQUIS!$C$158)-1,0),1,MOD($A43-1,2))=0,(CROQUIS!$C$161+CROQUIS!$C$160*CROQUIS!$C$113-CROQUIS!$C$111),CROQUIS!$C$161)))*CROQUIS!$C$155),-1000)</f>
        <v>20.8088567555355</v>
      </c>
      <c r="AH43">
        <f>IF(AND(CROQUIS!$C$87=1,CROQUIS!$C$160&gt;0,CROQUIS!$C$158&gt;0),(CROQUIS!$C$156+(IF(MOD(MIN(INT(($A43-1)/2),MAX((2*CROQUIS!$C$160)-1,0)),2)=0,IF(IF(INT(($A43-1)/2)&gt;MAX((2*CROQUIS!$C$160)-1,0),1,MOD($A43-1,2))=0,CROQUIS!$C$159,(CROQUIS!$C$159+CROQUIS!$C$158*CROQUIS!$C$113-CROQUIS!$C$111)),IF(IF(INT(($A43-1)/2)&gt;MAX((2*CROQUIS!$C$160)-1,0),1,MOD($A43-1,2))=0,(CROQUIS!$C$159+CROQUIS!$C$158*CROQUIS!$C$113-CROQUIS!$C$111),CROQUIS!$C$159)))*CROQUIS!$C$155),-1000)</f>
        <v>14.7989154993222</v>
      </c>
      <c r="AI43">
        <f>IF(AND(CROQUIS!$C$87=1,CROQUIS!$C$160&gt;0,CROQUIS!$C$158&gt;0),(CROQUIS!$C$157+((CROQUIS!$C$161+INT(MIN(INT(($A43-1)/2),MAX((2*CROQUIS!$C$160)-1,0))/2)*CROQUIS!$C$113+MOD(MIN(INT(($A43-1)/2),MAX((2*CROQUIS!$C$160)-1,0)),2)*CROQUIS!$C$112))*CROQUIS!$C$155),-1000)</f>
        <v>79.1911432444645</v>
      </c>
      <c r="AJ43">
        <f>IF(AND(CROQUIS!$C$87=1,CROQUIS!$C$158&gt;=2),(CROQUIS!$C$156+((CROQUIS!$C$159+CROQUIS!$C$112+CROQUIS!$C$111/2+MIN(INT(($A43-1)/2),MAX((CROQUIS!$C$158-1)-1,0))*CROQUIS!$C$113))*CROQUIS!$C$155),-1000)</f>
        <v>74.0397650248531</v>
      </c>
      <c r="AK43">
        <f>IF(AND(CROQUIS!$C$87=1,CROQUIS!$C$158&gt;=2),(CROQUIS!$C$157+(IF(MOD(MIN(INT(($A43-1)/2),MAX((CROQUIS!$C$158-1)-1,0)),2)=0,IF(IF(INT(($A43-1)/2)&gt;MAX((CROQUIS!$C$158-1)-1,0),1,MOD($A43-1,2))=0,CROQUIS!$C$107/2,(CROQUIS!$C$96-CROQUIS!$C$107/2)),IF(IF(INT(($A43-1)/2)&gt;MAX((CROQUIS!$C$158-1)-1,0),1,MOD($A43-1,2))=0,(CROQUIS!$C$96-CROQUIS!$C$107/2),CROQUIS!$C$107/2)))*CROQUIS!$C$155),-1000)</f>
        <v>83.0546769091731</v>
      </c>
      <c r="AL43">
        <f>IF(AND(CROQUIS!$C$87=1,CROQUIS!$C$160&gt;=2),(CROQUIS!$C$156+(IF(MOD(MIN(INT(($A43-1)/2),MAX((CROQUIS!$C$160-1)-1,0)),2)=0,IF(IF(INT(($A43-1)/2)&gt;MAX((CROQUIS!$C$160-1)-1,0),1,MOD($A43-1,2))=0,CROQUIS!$C$107/2,(CROQUIS!$C$95-CROQUIS!$C$107/2)),IF(IF(INT(($A43-1)/2)&gt;MAX((CROQUIS!$C$160-1)-1,0),1,MOD($A43-1,2))=0,(CROQUIS!$C$95-CROQUIS!$C$107/2),CROQUIS!$C$107/2)))*CROQUIS!$C$155),-1000)</f>
        <v>13.2878445549028</v>
      </c>
      <c r="AM43">
        <f>IF(AND(CROQUIS!$C$87=1,CROQUIS!$C$160&gt;=2),(CROQUIS!$C$157+((CROQUIS!$C$161+CROQUIS!$C$112+CROQUIS!$C$111/2+MIN(INT(($A43-1)/2),MAX((CROQUIS!$C$160-1)-1,0))*CROQUIS!$C$113))*CROQUIS!$C$155),-1000)</f>
        <v>68.0298237686399</v>
      </c>
      <c r="BH43">
        <f>IF(AND(CROQUIS!$C$88=1,CROQUIS!$C$126&gt;0),((CROQUIS!$C$156+(IF(CROQUIS!$C$92="X",CHOOSE(IF(INT(($A43-1)/5)&gt;MAX((MIN(80,MAX(1,INT(((CROQUIS!$C$98)-CROQUIS!$C$107)/MAX(CROQUIS!$C$126,1))+1)))-1,0),0,MOD($A43-1,5))+1,0,2,CROQUIS!$C$97-2,2,0),((CROQUIS!$C$107/2+(((CROQUIS!$C$98)-CROQUIS!$C$107)-(MIN(80,MAX(1,INT(((CROQUIS!$C$98)-CROQUIS!$C$107)/MAX(CROQUIS!$C$126,1))+1))-1)*CROQUIS!$C$126)/2)+MIN(INT(($A43-1)/5),MAX((MIN(80,MAX(1,INT(((CROQUIS!$C$98)-CROQUIS!$C$107)/MAX(CROQUIS!$C$126,1))+1)))-1,0))*CROQUIS!$C$126)))*CROQUIS!$C$155)+IF(CROQUIS!$C$92="X",0,0)),-1000)</f>
        <v>-1000</v>
      </c>
      <c r="BI43">
        <f>IF(AND(CROQUIS!$C$88=1,CROQUIS!$C$126&gt;0),((CROQUIS!$C$157+(IF(CROQUIS!$C$92="X",((CROQUIS!$C$107/2+(((CROQUIS!$C$98)-CROQUIS!$C$107)-(MIN(80,MAX(1,INT(((CROQUIS!$C$98)-CROQUIS!$C$107)/MAX(CROQUIS!$C$126,1))+1))-1)*CROQUIS!$C$126)/2)+MIN(INT(($A43-1)/5),MAX((MIN(80,MAX(1,INT(((CROQUIS!$C$98)-CROQUIS!$C$107)/MAX(CROQUIS!$C$126,1))+1)))-1,0))*CROQUIS!$C$126),CHOOSE(IF(INT(($A43-1)/5)&gt;MAX((MIN(80,MAX(1,INT(((CROQUIS!$C$98)-CROQUIS!$C$107)/MAX(CROQUIS!$C$126,1))+1)))-1,0),0,MOD($A43-1,5))+1,0,2,CROQUIS!$C$97-2,2,0)))*CROQUIS!$C$155)+IF(CROQUIS!$C$92="X",0,0)),-1000)</f>
        <v>-1000</v>
      </c>
      <c r="BJ43">
        <f>IF(AND(CROQUIS!$C$88=1,CROQUIS!$C$134&gt;0),((CROQUIS!$C$156+(IF(CROQUIS!$C$92="X",((CROQUIS!$C$107/2+(((CROQUIS!$C$97)-CROQUIS!$C$107)-(MIN(80,MAX(1,INT(((CROQUIS!$C$97)-CROQUIS!$C$107)/MAX(CROQUIS!$C$134,1))+1))-1)*CROQUIS!$C$134)/2)+MIN(INT(($A43-1)/5),MAX((MIN(80,MAX(1,INT(((CROQUIS!$C$97)-CROQUIS!$C$107)/MAX(CROQUIS!$C$134,1))+1)))-1,0))*CROQUIS!$C$134),CHOOSE(IF(INT(($A43-1)/5)&gt;MAX((MIN(80,MAX(1,INT(((CROQUIS!$C$97)-CROQUIS!$C$107)/MAX(CROQUIS!$C$134,1))+1)))-1,0),0,MOD($A43-1,5))+1,0,2,CROQUIS!$C$98-2,2,0)))*CROQUIS!$C$155)+IF(CROQUIS!$C$92="X",0,0)),-1000)</f>
        <v>-1000</v>
      </c>
      <c r="BK43">
        <f>IF(AND(CROQUIS!$C$88=1,CROQUIS!$C$134&gt;0),((CROQUIS!$C$157+(IF(CROQUIS!$C$92="X",CHOOSE(IF(INT(($A43-1)/5)&gt;MAX((MIN(80,MAX(1,INT(((CROQUIS!$C$97)-CROQUIS!$C$107)/MAX(CROQUIS!$C$134,1))+1)))-1,0),0,MOD($A43-1,5))+1,0,2,CROQUIS!$C$98-2,2,0),((CROQUIS!$C$107/2+(((CROQUIS!$C$97)-CROQUIS!$C$107)-(MIN(80,MAX(1,INT(((CROQUIS!$C$97)-CROQUIS!$C$107)/MAX(CROQUIS!$C$134,1))+1))-1)*CROQUIS!$C$134)/2)+MIN(INT(($A43-1)/5),MAX((MIN(80,MAX(1,INT(((CROQUIS!$C$97)-CROQUIS!$C$107)/MAX(CROQUIS!$C$134,1))+1)))-1,0))*CROQUIS!$C$134)))*CROQUIS!$C$155)+IF(CROQUIS!$C$92="X",0,0)),-1000)</f>
        <v>-1000</v>
      </c>
      <c r="BL43">
        <f>IF(AND(CROQUIS!$C$88=1,CROQUIS!$C$91=0,CROQUIS!$C$130&gt;0,OR(CROQUIS!$C$103=1,CROQUIS!$C$142=1)),((CROQUIS!$C$156+(IF(CROQUIS!$C$92="X",CHOOSE(IF(INT(($A43-1)/5)&gt;MAX((MIN(80,MAX(1,INT(((CROQUIS!$C$98)-CROQUIS!$C$107)/MAX(CROQUIS!$C$130,1))+1)))-1,0),0,MOD($A43-1,5))+1,0,IF(CROQUIS!$C$103=1,-12,2),CROQUIS!$C$107/2+CROQUIS!$C$140,IF(CROQUIS!$C$103=1,-12,2),0),((CROQUIS!$C$107/2+(((CROQUIS!$C$98)-CROQUIS!$C$107)-(MIN(80,MAX(1,INT(((CROQUIS!$C$98)-CROQUIS!$C$107)/MAX(CROQUIS!$C$130,1))+1))-1)*CROQUIS!$C$130)/2)+MIN(INT(($A43-1)/5),MAX((MIN(80,MAX(1,INT(((CROQUIS!$C$98)-CROQUIS!$C$107)/MAX(CROQUIS!$C$130,1))+1)))-1,0))*CROQUIS!$C$130)))*CROQUIS!$C$155)+IF(CROQUIS!$C$92="X",0,0)),-1000)</f>
        <v>-1000</v>
      </c>
      <c r="BM4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43-1)/5),MAX((MIN(80,MAX(1,INT(((CROQUIS!$C$98)-CROQUIS!$C$107)/MAX(CROQUIS!$C$130,1))+1)))-1,0))*CROQUIS!$C$130),CHOOSE(IF(INT(($A43-1)/5)&gt;MAX((MIN(80,MAX(1,INT(((CROQUIS!$C$98)-CROQUIS!$C$107)/MAX(CROQUIS!$C$130,1))+1)))-1,0),0,MOD($A43-1,5))+1,0,IF(CROQUIS!$C$103=1,-12,2),CROQUIS!$C$107/2+CROQUIS!$C$140,IF(CROQUIS!$C$103=1,-12,2),0)))*CROQUIS!$C$155)+IF(CROQUIS!$C$92="X",0,0)),-1000)</f>
        <v>-1000</v>
      </c>
      <c r="BN43">
        <f>IF(AND(CROQUIS!$C$88=1,CROQUIS!$C$91=0,CROQUIS!$C$130&gt;0,OR(CROQUIS!$C$104=1,CROQUIS!$C$142=1)),((CROQUIS!$C$156+(IF(CROQUIS!$C$92="X",CHOOSE(IF(INT(($A43-1)/5)&gt;MAX((MIN(80,MAX(1,INT(((CROQUIS!$C$98)-CROQUIS!$C$107)/MAX(CROQUIS!$C$130,1))+1)))-1,0),0,MOD($A43-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43-1)/5),MAX((MIN(80,MAX(1,INT(((CROQUIS!$C$98)-CROQUIS!$C$107)/MAX(CROQUIS!$C$130,1))+1)))-1,0))*CROQUIS!$C$130)))*CROQUIS!$C$155)+IF(CROQUIS!$C$92="X",0,0)),-1000)</f>
        <v>-1000</v>
      </c>
      <c r="BO4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43-1)/5),MAX((MIN(80,MAX(1,INT(((CROQUIS!$C$98)-CROQUIS!$C$107)/MAX(CROQUIS!$C$130,1))+1)))-1,0))*CROQUIS!$C$130),CHOOSE(IF(INT(($A43-1)/5)&gt;MAX((MIN(80,MAX(1,INT(((CROQUIS!$C$98)-CROQUIS!$C$107)/MAX(CROQUIS!$C$130,1))+1)))-1,0),0,MOD($A43-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43-1)/5),MAX((MIN(80,MAX(1,INT(((CROQUIS!$C$97)-CROQUIS!$C$107)/MAX(CROQUIS!$C$138,1))+1)))-1,0))*CROQUIS!$C$138),CHOOSE(IF(INT(($A43-1)/5)&gt;MAX((MIN(80,MAX(1,INT(((CROQUIS!$C$97)-CROQUIS!$C$107)/MAX(CROQUIS!$C$138,1))+1)))-1,0),0,MOD($A43-1,5))+1,0,IF(CROQUIS!$C$105=1,-12,2),CROQUIS!$C$107/2+CROQUIS!$C$141,IF(CROQUIS!$C$105=1,-12,2),0)))*CROQUIS!$C$155)+IF(CROQUIS!$C$92="X",0,0)),-1000)</f>
        <v>-1000</v>
      </c>
      <c r="BQ43">
        <f>IF(AND(CROQUIS!$C$88=1,CROQUIS!$C$91=0,CROQUIS!$C$138&gt;0,OR(CROQUIS!$C$105=1,CROQUIS!$C$143=1)),((CROQUIS!$C$157+(IF(CROQUIS!$C$92="X",CHOOSE(IF(INT(($A43-1)/5)&gt;MAX((MIN(80,MAX(1,INT(((CROQUIS!$C$97)-CROQUIS!$C$107)/MAX(CROQUIS!$C$138,1))+1)))-1,0),0,MOD($A43-1,5))+1,0,IF(CROQUIS!$C$105=1,-12,2),CROQUIS!$C$107/2+CROQUIS!$C$141,IF(CROQUIS!$C$105=1,-12,2),0),((CROQUIS!$C$107/2+(((CROQUIS!$C$97)-CROQUIS!$C$107)-(MIN(80,MAX(1,INT(((CROQUIS!$C$97)-CROQUIS!$C$107)/MAX(CROQUIS!$C$138,1))+1))-1)*CROQUIS!$C$138)/2)+MIN(INT(($A43-1)/5),MAX((MIN(80,MAX(1,INT(((CROQUIS!$C$97)-CROQUIS!$C$107)/MAX(CROQUIS!$C$138,1))+1)))-1,0))*CROQUIS!$C$138)))*CROQUIS!$C$155)+IF(CROQUIS!$C$92="X",0,0)),-1000)</f>
        <v>-1000</v>
      </c>
      <c r="BR4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43-1)/5),MAX((MIN(80,MAX(1,INT(((CROQUIS!$C$97)-CROQUIS!$C$107)/MAX(CROQUIS!$C$138,1))+1)))-1,0))*CROQUIS!$C$138),CHOOSE(IF(INT(($A43-1)/5)&gt;MAX((MIN(80,MAX(1,INT(((CROQUIS!$C$97)-CROQUIS!$C$107)/MAX(CROQUIS!$C$138,1))+1)))-1,0),0,MOD($A43-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3">
        <f>IF(AND(CROQUIS!$C$88=1,CROQUIS!$C$91=0,CROQUIS!$C$138&gt;0,OR(CROQUIS!$C$106=1,CROQUIS!$C$143=1)),((CROQUIS!$C$157+(IF(CROQUIS!$C$92="X",CHOOSE(IF(INT(($A43-1)/5)&gt;MAX((MIN(80,MAX(1,INT(((CROQUIS!$C$97)-CROQUIS!$C$107)/MAX(CROQUIS!$C$138,1))+1)))-1,0),0,MOD($A43-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43-1)/5),MAX((MIN(80,MAX(1,INT(((CROQUIS!$C$97)-CROQUIS!$C$107)/MAX(CROQUIS!$C$138,1))+1)))-1,0))*CROQUIS!$C$138)))*CROQUIS!$C$155)+IF(CROQUIS!$C$92="X",0,0)),-1000)</f>
        <v>-1000</v>
      </c>
      <c r="BT43">
        <f>IF(AND(CROQUIS!$C$88=1,CROQUIS!$C$91=1,CROQUIS!$C$130&gt;0),((CROQUIS!$C$156+(IF(CROQUIS!$C$92="X",CHOOSE(IF(INT(($A43-1)/5)&gt;MAX((MIN(80,MAX(1,INT(((CROQUIS!$C$98)-CROQUIS!$C$107)/MAX(CROQUIS!$C$130,1))+1)))-1,0),0,MOD($A43-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43-1)/5),MAX((MIN(80,MAX(1,INT(((CROQUIS!$C$98)-CROQUIS!$C$107)/MAX(CROQUIS!$C$130,1))+1)))-1,0))*CROQUIS!$C$130)))*CROQUIS!$C$155)+IF(CROQUIS!$C$92="X",0,0)),-1000)</f>
        <v>-1000</v>
      </c>
      <c r="BU43">
        <f>IF(AND(CROQUIS!$C$88=1,CROQUIS!$C$91=1,CROQUIS!$C$130&gt;0),((CROQUIS!$C$157+(IF(CROQUIS!$C$92="X",((CROQUIS!$C$107/2+(((CROQUIS!$C$98)-CROQUIS!$C$107)-(MIN(80,MAX(1,INT(((CROQUIS!$C$98)-CROQUIS!$C$107)/MAX(CROQUIS!$C$130,1))+1))-1)*CROQUIS!$C$130)/2)+MIN(INT(($A43-1)/5),MAX((MIN(80,MAX(1,INT(((CROQUIS!$C$98)-CROQUIS!$C$107)/MAX(CROQUIS!$C$130,1))+1)))-1,0))*CROQUIS!$C$130),CHOOSE(IF(INT(($A43-1)/5)&gt;MAX((MIN(80,MAX(1,INT(((CROQUIS!$C$98)-CROQUIS!$C$107)/MAX(CROQUIS!$C$130,1))+1)))-1,0),0,MOD($A43-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4">
      <c r="A44" t="n">
        <v>37</v>
      </c>
      <c r="F44">
        <f>IF(AND(CROQUIS!$C$87=1,CROQUIS!$C$91=1),((CROQUIS!$C$156+(IF(CROQUIS!$C$92="X",IF(CROQUIS!$C$94=1,0,CROQUIS!$C$97)+IF(MOD($A44,2)=1,-CROQUIS!$C$107/2,CROQUIS!$C$107/2),(MIN($A44,41)-1)/40*CROQUIS!$C$98))*CROQUIS!$C$155)+IF(CROQUIS!$C$92="X",0,0)),-1000)</f>
        <v>-1000</v>
      </c>
      <c r="G44">
        <f>IF(AND(CROQUIS!$C$87=1,CROQUIS!$C$91=1),((CROQUIS!$C$157+(IF(CROQUIS!$C$92="X",(MIN($A44,41)-1)/40*CROQUIS!$C$98,IF(CROQUIS!$C$94=1,0,CROQUIS!$C$97)+IF(MOD($A44,2)=1,-CROQUIS!$C$107/2,CROQUIS!$C$107/2)))*CROQUIS!$C$155)+IF(CROQUIS!$C$92="X",0,0)),-1000)</f>
        <v>-1000</v>
      </c>
      <c r="T44">
        <f>IF(AND(CROQUIS!$C$88=1,CROQUIS!$C$91=1),((CROQUIS!$C$156+(IF(CROQUIS!$C$92="X",IF(CROQUIS!$C$94=1,0,CROQUIS!$C$97)+IF(MOD($A44,2)=1,-CROQUIS!$C$107/2,CROQUIS!$C$107/2),(MIN($A44,41)-1)/40*CROQUIS!$C$98))*CROQUIS!$C$155)+IF(CROQUIS!$C$92="X",0,0)),-1000)</f>
        <v>-1000</v>
      </c>
      <c r="U44">
        <f>IF(AND(CROQUIS!$C$88=1,CROQUIS!$C$91=1),((CROQUIS!$C$157+(IF(CROQUIS!$C$92="X",(MIN($A44,41)-1)/40*CROQUIS!$C$98,IF(CROQUIS!$C$94=1,0,CROQUIS!$C$97)+IF(MOD($A44,2)=1,-CROQUIS!$C$107/2,CROQUIS!$C$107/2)))*CROQUIS!$C$155)+IF(CROQUIS!$C$92="X",0,0)),-1000)</f>
        <v>-1000</v>
      </c>
      <c r="AF44">
        <f>IF(AND(CROQUIS!$C$87=1,CROQUIS!$C$158&gt;0,CROQUIS!$C$160&gt;0),(CROQUIS!$C$156+((CROQUIS!$C$159+INT(MIN(INT(($A44-1)/2),MAX((2*CROQUIS!$C$158)-1,0))/2)*CROQUIS!$C$113+MOD(MIN(INT(($A44-1)/2),MAX((2*CROQUIS!$C$158)-1,0)),2)*CROQUIS!$C$112))*CROQUIS!$C$155),-1000)</f>
        <v>85.2010845006778</v>
      </c>
      <c r="AG44">
        <f>IF(AND(CROQUIS!$C$87=1,CROQUIS!$C$158&gt;0,CROQUIS!$C$160&gt;0),(CROQUIS!$C$157+(IF(MOD(MIN(INT(($A44-1)/2),MAX((2*CROQUIS!$C$158)-1,0)),2)=0,IF(IF(INT(($A44-1)/2)&gt;MAX((2*CROQUIS!$C$158)-1,0),1,MOD($A44-1,2))=0,CROQUIS!$C$161,(CROQUIS!$C$161+CROQUIS!$C$160*CROQUIS!$C$113-CROQUIS!$C$111)),IF(IF(INT(($A44-1)/2)&gt;MAX((2*CROQUIS!$C$158)-1,0),1,MOD($A44-1,2))=0,(CROQUIS!$C$161+CROQUIS!$C$160*CROQUIS!$C$113-CROQUIS!$C$111),CROQUIS!$C$161)))*CROQUIS!$C$155),-1000)</f>
        <v>20.8088567555355</v>
      </c>
      <c r="AH44">
        <f>IF(AND(CROQUIS!$C$87=1,CROQUIS!$C$160&gt;0,CROQUIS!$C$158&gt;0),(CROQUIS!$C$156+(IF(MOD(MIN(INT(($A44-1)/2),MAX((2*CROQUIS!$C$160)-1,0)),2)=0,IF(IF(INT(($A44-1)/2)&gt;MAX((2*CROQUIS!$C$160)-1,0),1,MOD($A44-1,2))=0,CROQUIS!$C$159,(CROQUIS!$C$159+CROQUIS!$C$158*CROQUIS!$C$113-CROQUIS!$C$111)),IF(IF(INT(($A44-1)/2)&gt;MAX((2*CROQUIS!$C$160)-1,0),1,MOD($A44-1,2))=0,(CROQUIS!$C$159+CROQUIS!$C$158*CROQUIS!$C$113-CROQUIS!$C$111),CROQUIS!$C$159)))*CROQUIS!$C$155),-1000)</f>
        <v>14.7989154993222</v>
      </c>
      <c r="AI44">
        <f>IF(AND(CROQUIS!$C$87=1,CROQUIS!$C$160&gt;0,CROQUIS!$C$158&gt;0),(CROQUIS!$C$157+((CROQUIS!$C$161+INT(MIN(INT(($A44-1)/2),MAX((2*CROQUIS!$C$160)-1,0))/2)*CROQUIS!$C$113+MOD(MIN(INT(($A44-1)/2),MAX((2*CROQUIS!$C$160)-1,0)),2)*CROQUIS!$C$112))*CROQUIS!$C$155),-1000)</f>
        <v>79.1911432444645</v>
      </c>
      <c r="AJ44">
        <f>IF(AND(CROQUIS!$C$87=1,CROQUIS!$C$158&gt;=2),(CROQUIS!$C$156+((CROQUIS!$C$159+CROQUIS!$C$112+CROQUIS!$C$111/2+MIN(INT(($A44-1)/2),MAX((CROQUIS!$C$158-1)-1,0))*CROQUIS!$C$113))*CROQUIS!$C$155),-1000)</f>
        <v>74.0397650248531</v>
      </c>
      <c r="AK44">
        <f>IF(AND(CROQUIS!$C$87=1,CROQUIS!$C$158&gt;=2),(CROQUIS!$C$157+(IF(MOD(MIN(INT(($A44-1)/2),MAX((CROQUIS!$C$158-1)-1,0)),2)=0,IF(IF(INT(($A44-1)/2)&gt;MAX((CROQUIS!$C$158-1)-1,0),1,MOD($A44-1,2))=0,CROQUIS!$C$107/2,(CROQUIS!$C$96-CROQUIS!$C$107/2)),IF(IF(INT(($A44-1)/2)&gt;MAX((CROQUIS!$C$158-1)-1,0),1,MOD($A44-1,2))=0,(CROQUIS!$C$96-CROQUIS!$C$107/2),CROQUIS!$C$107/2)))*CROQUIS!$C$155),-1000)</f>
        <v>83.0546769091731</v>
      </c>
      <c r="AL44">
        <f>IF(AND(CROQUIS!$C$87=1,CROQUIS!$C$160&gt;=2),(CROQUIS!$C$156+(IF(MOD(MIN(INT(($A44-1)/2),MAX((CROQUIS!$C$160-1)-1,0)),2)=0,IF(IF(INT(($A44-1)/2)&gt;MAX((CROQUIS!$C$160-1)-1,0),1,MOD($A44-1,2))=0,CROQUIS!$C$107/2,(CROQUIS!$C$95-CROQUIS!$C$107/2)),IF(IF(INT(($A44-1)/2)&gt;MAX((CROQUIS!$C$160-1)-1,0),1,MOD($A44-1,2))=0,(CROQUIS!$C$95-CROQUIS!$C$107/2),CROQUIS!$C$107/2)))*CROQUIS!$C$155),-1000)</f>
        <v>13.2878445549028</v>
      </c>
      <c r="AM44">
        <f>IF(AND(CROQUIS!$C$87=1,CROQUIS!$C$160&gt;=2),(CROQUIS!$C$157+((CROQUIS!$C$161+CROQUIS!$C$112+CROQUIS!$C$111/2+MIN(INT(($A44-1)/2),MAX((CROQUIS!$C$160-1)-1,0))*CROQUIS!$C$113))*CROQUIS!$C$155),-1000)</f>
        <v>68.0298237686399</v>
      </c>
      <c r="BH44">
        <f>IF(AND(CROQUIS!$C$88=1,CROQUIS!$C$126&gt;0),((CROQUIS!$C$156+(IF(CROQUIS!$C$92="X",CHOOSE(IF(INT(($A44-1)/5)&gt;MAX((MIN(80,MAX(1,INT(((CROQUIS!$C$98)-CROQUIS!$C$107)/MAX(CROQUIS!$C$126,1))+1)))-1,0),0,MOD($A44-1,5))+1,0,2,CROQUIS!$C$97-2,2,0),((CROQUIS!$C$107/2+(((CROQUIS!$C$98)-CROQUIS!$C$107)-(MIN(80,MAX(1,INT(((CROQUIS!$C$98)-CROQUIS!$C$107)/MAX(CROQUIS!$C$126,1))+1))-1)*CROQUIS!$C$126)/2)+MIN(INT(($A44-1)/5),MAX((MIN(80,MAX(1,INT(((CROQUIS!$C$98)-CROQUIS!$C$107)/MAX(CROQUIS!$C$126,1))+1)))-1,0))*CROQUIS!$C$126)))*CROQUIS!$C$155)+IF(CROQUIS!$C$92="X",0,0)),-1000)</f>
        <v>-1000</v>
      </c>
      <c r="BI44">
        <f>IF(AND(CROQUIS!$C$88=1,CROQUIS!$C$126&gt;0),((CROQUIS!$C$157+(IF(CROQUIS!$C$92="X",((CROQUIS!$C$107/2+(((CROQUIS!$C$98)-CROQUIS!$C$107)-(MIN(80,MAX(1,INT(((CROQUIS!$C$98)-CROQUIS!$C$107)/MAX(CROQUIS!$C$126,1))+1))-1)*CROQUIS!$C$126)/2)+MIN(INT(($A44-1)/5),MAX((MIN(80,MAX(1,INT(((CROQUIS!$C$98)-CROQUIS!$C$107)/MAX(CROQUIS!$C$126,1))+1)))-1,0))*CROQUIS!$C$126),CHOOSE(IF(INT(($A44-1)/5)&gt;MAX((MIN(80,MAX(1,INT(((CROQUIS!$C$98)-CROQUIS!$C$107)/MAX(CROQUIS!$C$126,1))+1)))-1,0),0,MOD($A44-1,5))+1,0,2,CROQUIS!$C$97-2,2,0)))*CROQUIS!$C$155)+IF(CROQUIS!$C$92="X",0,0)),-1000)</f>
        <v>-1000</v>
      </c>
      <c r="BJ44">
        <f>IF(AND(CROQUIS!$C$88=1,CROQUIS!$C$134&gt;0),((CROQUIS!$C$156+(IF(CROQUIS!$C$92="X",((CROQUIS!$C$107/2+(((CROQUIS!$C$97)-CROQUIS!$C$107)-(MIN(80,MAX(1,INT(((CROQUIS!$C$97)-CROQUIS!$C$107)/MAX(CROQUIS!$C$134,1))+1))-1)*CROQUIS!$C$134)/2)+MIN(INT(($A44-1)/5),MAX((MIN(80,MAX(1,INT(((CROQUIS!$C$97)-CROQUIS!$C$107)/MAX(CROQUIS!$C$134,1))+1)))-1,0))*CROQUIS!$C$134),CHOOSE(IF(INT(($A44-1)/5)&gt;MAX((MIN(80,MAX(1,INT(((CROQUIS!$C$97)-CROQUIS!$C$107)/MAX(CROQUIS!$C$134,1))+1)))-1,0),0,MOD($A44-1,5))+1,0,2,CROQUIS!$C$98-2,2,0)))*CROQUIS!$C$155)+IF(CROQUIS!$C$92="X",0,0)),-1000)</f>
        <v>-1000</v>
      </c>
      <c r="BK44">
        <f>IF(AND(CROQUIS!$C$88=1,CROQUIS!$C$134&gt;0),((CROQUIS!$C$157+(IF(CROQUIS!$C$92="X",CHOOSE(IF(INT(($A44-1)/5)&gt;MAX((MIN(80,MAX(1,INT(((CROQUIS!$C$97)-CROQUIS!$C$107)/MAX(CROQUIS!$C$134,1))+1)))-1,0),0,MOD($A44-1,5))+1,0,2,CROQUIS!$C$98-2,2,0),((CROQUIS!$C$107/2+(((CROQUIS!$C$97)-CROQUIS!$C$107)-(MIN(80,MAX(1,INT(((CROQUIS!$C$97)-CROQUIS!$C$107)/MAX(CROQUIS!$C$134,1))+1))-1)*CROQUIS!$C$134)/2)+MIN(INT(($A44-1)/5),MAX((MIN(80,MAX(1,INT(((CROQUIS!$C$97)-CROQUIS!$C$107)/MAX(CROQUIS!$C$134,1))+1)))-1,0))*CROQUIS!$C$134)))*CROQUIS!$C$155)+IF(CROQUIS!$C$92="X",0,0)),-1000)</f>
        <v>-1000</v>
      </c>
      <c r="BL44">
        <f>IF(AND(CROQUIS!$C$88=1,CROQUIS!$C$91=0,CROQUIS!$C$130&gt;0,OR(CROQUIS!$C$103=1,CROQUIS!$C$142=1)),((CROQUIS!$C$156+(IF(CROQUIS!$C$92="X",CHOOSE(IF(INT(($A44-1)/5)&gt;MAX((MIN(80,MAX(1,INT(((CROQUIS!$C$98)-CROQUIS!$C$107)/MAX(CROQUIS!$C$130,1))+1)))-1,0),0,MOD($A44-1,5))+1,0,IF(CROQUIS!$C$103=1,-12,2),CROQUIS!$C$107/2+CROQUIS!$C$140,IF(CROQUIS!$C$103=1,-12,2),0),((CROQUIS!$C$107/2+(((CROQUIS!$C$98)-CROQUIS!$C$107)-(MIN(80,MAX(1,INT(((CROQUIS!$C$98)-CROQUIS!$C$107)/MAX(CROQUIS!$C$130,1))+1))-1)*CROQUIS!$C$130)/2)+MIN(INT(($A44-1)/5),MAX((MIN(80,MAX(1,INT(((CROQUIS!$C$98)-CROQUIS!$C$107)/MAX(CROQUIS!$C$130,1))+1)))-1,0))*CROQUIS!$C$130)))*CROQUIS!$C$155)+IF(CROQUIS!$C$92="X",0,0)),-1000)</f>
        <v>-1000</v>
      </c>
      <c r="BM4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44-1)/5),MAX((MIN(80,MAX(1,INT(((CROQUIS!$C$98)-CROQUIS!$C$107)/MAX(CROQUIS!$C$130,1))+1)))-1,0))*CROQUIS!$C$130),CHOOSE(IF(INT(($A44-1)/5)&gt;MAX((MIN(80,MAX(1,INT(((CROQUIS!$C$98)-CROQUIS!$C$107)/MAX(CROQUIS!$C$130,1))+1)))-1,0),0,MOD($A44-1,5))+1,0,IF(CROQUIS!$C$103=1,-12,2),CROQUIS!$C$107/2+CROQUIS!$C$140,IF(CROQUIS!$C$103=1,-12,2),0)))*CROQUIS!$C$155)+IF(CROQUIS!$C$92="X",0,0)),-1000)</f>
        <v>-1000</v>
      </c>
      <c r="BN44">
        <f>IF(AND(CROQUIS!$C$88=1,CROQUIS!$C$91=0,CROQUIS!$C$130&gt;0,OR(CROQUIS!$C$104=1,CROQUIS!$C$142=1)),((CROQUIS!$C$156+(IF(CROQUIS!$C$92="X",CHOOSE(IF(INT(($A44-1)/5)&gt;MAX((MIN(80,MAX(1,INT(((CROQUIS!$C$98)-CROQUIS!$C$107)/MAX(CROQUIS!$C$130,1))+1)))-1,0),0,MOD($A44-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44-1)/5),MAX((MIN(80,MAX(1,INT(((CROQUIS!$C$98)-CROQUIS!$C$107)/MAX(CROQUIS!$C$130,1))+1)))-1,0))*CROQUIS!$C$130)))*CROQUIS!$C$155)+IF(CROQUIS!$C$92="X",0,0)),-1000)</f>
        <v>-1000</v>
      </c>
      <c r="BO4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44-1)/5),MAX((MIN(80,MAX(1,INT(((CROQUIS!$C$98)-CROQUIS!$C$107)/MAX(CROQUIS!$C$130,1))+1)))-1,0))*CROQUIS!$C$130),CHOOSE(IF(INT(($A44-1)/5)&gt;MAX((MIN(80,MAX(1,INT(((CROQUIS!$C$98)-CROQUIS!$C$107)/MAX(CROQUIS!$C$130,1))+1)))-1,0),0,MOD($A44-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44-1)/5),MAX((MIN(80,MAX(1,INT(((CROQUIS!$C$97)-CROQUIS!$C$107)/MAX(CROQUIS!$C$138,1))+1)))-1,0))*CROQUIS!$C$138),CHOOSE(IF(INT(($A44-1)/5)&gt;MAX((MIN(80,MAX(1,INT(((CROQUIS!$C$97)-CROQUIS!$C$107)/MAX(CROQUIS!$C$138,1))+1)))-1,0),0,MOD($A44-1,5))+1,0,IF(CROQUIS!$C$105=1,-12,2),CROQUIS!$C$107/2+CROQUIS!$C$141,IF(CROQUIS!$C$105=1,-12,2),0)))*CROQUIS!$C$155)+IF(CROQUIS!$C$92="X",0,0)),-1000)</f>
        <v>-1000</v>
      </c>
      <c r="BQ44">
        <f>IF(AND(CROQUIS!$C$88=1,CROQUIS!$C$91=0,CROQUIS!$C$138&gt;0,OR(CROQUIS!$C$105=1,CROQUIS!$C$143=1)),((CROQUIS!$C$157+(IF(CROQUIS!$C$92="X",CHOOSE(IF(INT(($A44-1)/5)&gt;MAX((MIN(80,MAX(1,INT(((CROQUIS!$C$97)-CROQUIS!$C$107)/MAX(CROQUIS!$C$138,1))+1)))-1,0),0,MOD($A44-1,5))+1,0,IF(CROQUIS!$C$105=1,-12,2),CROQUIS!$C$107/2+CROQUIS!$C$141,IF(CROQUIS!$C$105=1,-12,2),0),((CROQUIS!$C$107/2+(((CROQUIS!$C$97)-CROQUIS!$C$107)-(MIN(80,MAX(1,INT(((CROQUIS!$C$97)-CROQUIS!$C$107)/MAX(CROQUIS!$C$138,1))+1))-1)*CROQUIS!$C$138)/2)+MIN(INT(($A44-1)/5),MAX((MIN(80,MAX(1,INT(((CROQUIS!$C$97)-CROQUIS!$C$107)/MAX(CROQUIS!$C$138,1))+1)))-1,0))*CROQUIS!$C$138)))*CROQUIS!$C$155)+IF(CROQUIS!$C$92="X",0,0)),-1000)</f>
        <v>-1000</v>
      </c>
      <c r="BR4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44-1)/5),MAX((MIN(80,MAX(1,INT(((CROQUIS!$C$97)-CROQUIS!$C$107)/MAX(CROQUIS!$C$138,1))+1)))-1,0))*CROQUIS!$C$138),CHOOSE(IF(INT(($A44-1)/5)&gt;MAX((MIN(80,MAX(1,INT(((CROQUIS!$C$97)-CROQUIS!$C$107)/MAX(CROQUIS!$C$138,1))+1)))-1,0),0,MOD($A44-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4">
        <f>IF(AND(CROQUIS!$C$88=1,CROQUIS!$C$91=0,CROQUIS!$C$138&gt;0,OR(CROQUIS!$C$106=1,CROQUIS!$C$143=1)),((CROQUIS!$C$157+(IF(CROQUIS!$C$92="X",CHOOSE(IF(INT(($A44-1)/5)&gt;MAX((MIN(80,MAX(1,INT(((CROQUIS!$C$97)-CROQUIS!$C$107)/MAX(CROQUIS!$C$138,1))+1)))-1,0),0,MOD($A44-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44-1)/5),MAX((MIN(80,MAX(1,INT(((CROQUIS!$C$97)-CROQUIS!$C$107)/MAX(CROQUIS!$C$138,1))+1)))-1,0))*CROQUIS!$C$138)))*CROQUIS!$C$155)+IF(CROQUIS!$C$92="X",0,0)),-1000)</f>
        <v>-1000</v>
      </c>
      <c r="BT44">
        <f>IF(AND(CROQUIS!$C$88=1,CROQUIS!$C$91=1,CROQUIS!$C$130&gt;0),((CROQUIS!$C$156+(IF(CROQUIS!$C$92="X",CHOOSE(IF(INT(($A44-1)/5)&gt;MAX((MIN(80,MAX(1,INT(((CROQUIS!$C$98)-CROQUIS!$C$107)/MAX(CROQUIS!$C$130,1))+1)))-1,0),0,MOD($A44-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44-1)/5),MAX((MIN(80,MAX(1,INT(((CROQUIS!$C$98)-CROQUIS!$C$107)/MAX(CROQUIS!$C$130,1))+1)))-1,0))*CROQUIS!$C$130)))*CROQUIS!$C$155)+IF(CROQUIS!$C$92="X",0,0)),-1000)</f>
        <v>-1000</v>
      </c>
      <c r="BU44">
        <f>IF(AND(CROQUIS!$C$88=1,CROQUIS!$C$91=1,CROQUIS!$C$130&gt;0),((CROQUIS!$C$157+(IF(CROQUIS!$C$92="X",((CROQUIS!$C$107/2+(((CROQUIS!$C$98)-CROQUIS!$C$107)-(MIN(80,MAX(1,INT(((CROQUIS!$C$98)-CROQUIS!$C$107)/MAX(CROQUIS!$C$130,1))+1))-1)*CROQUIS!$C$130)/2)+MIN(INT(($A44-1)/5),MAX((MIN(80,MAX(1,INT(((CROQUIS!$C$98)-CROQUIS!$C$107)/MAX(CROQUIS!$C$130,1))+1)))-1,0))*CROQUIS!$C$130),CHOOSE(IF(INT(($A44-1)/5)&gt;MAX((MIN(80,MAX(1,INT(((CROQUIS!$C$98)-CROQUIS!$C$107)/MAX(CROQUIS!$C$130,1))+1)))-1,0),0,MOD($A44-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5">
      <c r="A45" t="n">
        <v>38</v>
      </c>
      <c r="F45">
        <f>IF(AND(CROQUIS!$C$87=1,CROQUIS!$C$91=1),((CROQUIS!$C$156+(IF(CROQUIS!$C$92="X",IF(CROQUIS!$C$94=1,0,CROQUIS!$C$97)+IF(MOD($A45,2)=1,-CROQUIS!$C$107/2,CROQUIS!$C$107/2),(MIN($A45,41)-1)/40*CROQUIS!$C$98))*CROQUIS!$C$155)+IF(CROQUIS!$C$92="X",0,0)),-1000)</f>
        <v>-1000</v>
      </c>
      <c r="G45">
        <f>IF(AND(CROQUIS!$C$87=1,CROQUIS!$C$91=1),((CROQUIS!$C$157+(IF(CROQUIS!$C$92="X",(MIN($A45,41)-1)/40*CROQUIS!$C$98,IF(CROQUIS!$C$94=1,0,CROQUIS!$C$97)+IF(MOD($A45,2)=1,-CROQUIS!$C$107/2,CROQUIS!$C$107/2)))*CROQUIS!$C$155)+IF(CROQUIS!$C$92="X",0,0)),-1000)</f>
        <v>-1000</v>
      </c>
      <c r="T45">
        <f>IF(AND(CROQUIS!$C$88=1,CROQUIS!$C$91=1),((CROQUIS!$C$156+(IF(CROQUIS!$C$92="X",IF(CROQUIS!$C$94=1,0,CROQUIS!$C$97)+IF(MOD($A45,2)=1,-CROQUIS!$C$107/2,CROQUIS!$C$107/2),(MIN($A45,41)-1)/40*CROQUIS!$C$98))*CROQUIS!$C$155)+IF(CROQUIS!$C$92="X",0,0)),-1000)</f>
        <v>-1000</v>
      </c>
      <c r="U45">
        <f>IF(AND(CROQUIS!$C$88=1,CROQUIS!$C$91=1),((CROQUIS!$C$157+(IF(CROQUIS!$C$92="X",(MIN($A45,41)-1)/40*CROQUIS!$C$98,IF(CROQUIS!$C$94=1,0,CROQUIS!$C$97)+IF(MOD($A45,2)=1,-CROQUIS!$C$107/2,CROQUIS!$C$107/2)))*CROQUIS!$C$155)+IF(CROQUIS!$C$92="X",0,0)),-1000)</f>
        <v>-1000</v>
      </c>
      <c r="AF45">
        <f>IF(AND(CROQUIS!$C$87=1,CROQUIS!$C$158&gt;0,CROQUIS!$C$160&gt;0),(CROQUIS!$C$156+((CROQUIS!$C$159+INT(MIN(INT(($A45-1)/2),MAX((2*CROQUIS!$C$158)-1,0))/2)*CROQUIS!$C$113+MOD(MIN(INT(($A45-1)/2),MAX((2*CROQUIS!$C$158)-1,0)),2)*CROQUIS!$C$112))*CROQUIS!$C$155),-1000)</f>
        <v>85.2010845006778</v>
      </c>
      <c r="AG45">
        <f>IF(AND(CROQUIS!$C$87=1,CROQUIS!$C$158&gt;0,CROQUIS!$C$160&gt;0),(CROQUIS!$C$157+(IF(MOD(MIN(INT(($A45-1)/2),MAX((2*CROQUIS!$C$158)-1,0)),2)=0,IF(IF(INT(($A45-1)/2)&gt;MAX((2*CROQUIS!$C$158)-1,0),1,MOD($A45-1,2))=0,CROQUIS!$C$161,(CROQUIS!$C$161+CROQUIS!$C$160*CROQUIS!$C$113-CROQUIS!$C$111)),IF(IF(INT(($A45-1)/2)&gt;MAX((2*CROQUIS!$C$158)-1,0),1,MOD($A45-1,2))=0,(CROQUIS!$C$161+CROQUIS!$C$160*CROQUIS!$C$113-CROQUIS!$C$111),CROQUIS!$C$161)))*CROQUIS!$C$155),-1000)</f>
        <v>20.8088567555355</v>
      </c>
      <c r="AH45">
        <f>IF(AND(CROQUIS!$C$87=1,CROQUIS!$C$160&gt;0,CROQUIS!$C$158&gt;0),(CROQUIS!$C$156+(IF(MOD(MIN(INT(($A45-1)/2),MAX((2*CROQUIS!$C$160)-1,0)),2)=0,IF(IF(INT(($A45-1)/2)&gt;MAX((2*CROQUIS!$C$160)-1,0),1,MOD($A45-1,2))=0,CROQUIS!$C$159,(CROQUIS!$C$159+CROQUIS!$C$158*CROQUIS!$C$113-CROQUIS!$C$111)),IF(IF(INT(($A45-1)/2)&gt;MAX((2*CROQUIS!$C$160)-1,0),1,MOD($A45-1,2))=0,(CROQUIS!$C$159+CROQUIS!$C$158*CROQUIS!$C$113-CROQUIS!$C$111),CROQUIS!$C$159)))*CROQUIS!$C$155),-1000)</f>
        <v>14.7989154993222</v>
      </c>
      <c r="AI45">
        <f>IF(AND(CROQUIS!$C$87=1,CROQUIS!$C$160&gt;0,CROQUIS!$C$158&gt;0),(CROQUIS!$C$157+((CROQUIS!$C$161+INT(MIN(INT(($A45-1)/2),MAX((2*CROQUIS!$C$160)-1,0))/2)*CROQUIS!$C$113+MOD(MIN(INT(($A45-1)/2),MAX((2*CROQUIS!$C$160)-1,0)),2)*CROQUIS!$C$112))*CROQUIS!$C$155),-1000)</f>
        <v>79.1911432444645</v>
      </c>
      <c r="AJ45">
        <f>IF(AND(CROQUIS!$C$87=1,CROQUIS!$C$158&gt;=2),(CROQUIS!$C$156+((CROQUIS!$C$159+CROQUIS!$C$112+CROQUIS!$C$111/2+MIN(INT(($A45-1)/2),MAX((CROQUIS!$C$158-1)-1,0))*CROQUIS!$C$113))*CROQUIS!$C$155),-1000)</f>
        <v>74.0397650248531</v>
      </c>
      <c r="AK45">
        <f>IF(AND(CROQUIS!$C$87=1,CROQUIS!$C$158&gt;=2),(CROQUIS!$C$157+(IF(MOD(MIN(INT(($A45-1)/2),MAX((CROQUIS!$C$158-1)-1,0)),2)=0,IF(IF(INT(($A45-1)/2)&gt;MAX((CROQUIS!$C$158-1)-1,0),1,MOD($A45-1,2))=0,CROQUIS!$C$107/2,(CROQUIS!$C$96-CROQUIS!$C$107/2)),IF(IF(INT(($A45-1)/2)&gt;MAX((CROQUIS!$C$158-1)-1,0),1,MOD($A45-1,2))=0,(CROQUIS!$C$96-CROQUIS!$C$107/2),CROQUIS!$C$107/2)))*CROQUIS!$C$155),-1000)</f>
        <v>83.0546769091731</v>
      </c>
      <c r="AL45">
        <f>IF(AND(CROQUIS!$C$87=1,CROQUIS!$C$160&gt;=2),(CROQUIS!$C$156+(IF(MOD(MIN(INT(($A45-1)/2),MAX((CROQUIS!$C$160-1)-1,0)),2)=0,IF(IF(INT(($A45-1)/2)&gt;MAX((CROQUIS!$C$160-1)-1,0),1,MOD($A45-1,2))=0,CROQUIS!$C$107/2,(CROQUIS!$C$95-CROQUIS!$C$107/2)),IF(IF(INT(($A45-1)/2)&gt;MAX((CROQUIS!$C$160-1)-1,0),1,MOD($A45-1,2))=0,(CROQUIS!$C$95-CROQUIS!$C$107/2),CROQUIS!$C$107/2)))*CROQUIS!$C$155),-1000)</f>
        <v>13.2878445549028</v>
      </c>
      <c r="AM45">
        <f>IF(AND(CROQUIS!$C$87=1,CROQUIS!$C$160&gt;=2),(CROQUIS!$C$157+((CROQUIS!$C$161+CROQUIS!$C$112+CROQUIS!$C$111/2+MIN(INT(($A45-1)/2),MAX((CROQUIS!$C$160-1)-1,0))*CROQUIS!$C$113))*CROQUIS!$C$155),-1000)</f>
        <v>68.0298237686399</v>
      </c>
      <c r="BH45">
        <f>IF(AND(CROQUIS!$C$88=1,CROQUIS!$C$126&gt;0),((CROQUIS!$C$156+(IF(CROQUIS!$C$92="X",CHOOSE(IF(INT(($A45-1)/5)&gt;MAX((MIN(80,MAX(1,INT(((CROQUIS!$C$98)-CROQUIS!$C$107)/MAX(CROQUIS!$C$126,1))+1)))-1,0),0,MOD($A45-1,5))+1,0,2,CROQUIS!$C$97-2,2,0),((CROQUIS!$C$107/2+(((CROQUIS!$C$98)-CROQUIS!$C$107)-(MIN(80,MAX(1,INT(((CROQUIS!$C$98)-CROQUIS!$C$107)/MAX(CROQUIS!$C$126,1))+1))-1)*CROQUIS!$C$126)/2)+MIN(INT(($A45-1)/5),MAX((MIN(80,MAX(1,INT(((CROQUIS!$C$98)-CROQUIS!$C$107)/MAX(CROQUIS!$C$126,1))+1)))-1,0))*CROQUIS!$C$126)))*CROQUIS!$C$155)+IF(CROQUIS!$C$92="X",0,0)),-1000)</f>
        <v>-1000</v>
      </c>
      <c r="BI45">
        <f>IF(AND(CROQUIS!$C$88=1,CROQUIS!$C$126&gt;0),((CROQUIS!$C$157+(IF(CROQUIS!$C$92="X",((CROQUIS!$C$107/2+(((CROQUIS!$C$98)-CROQUIS!$C$107)-(MIN(80,MAX(1,INT(((CROQUIS!$C$98)-CROQUIS!$C$107)/MAX(CROQUIS!$C$126,1))+1))-1)*CROQUIS!$C$126)/2)+MIN(INT(($A45-1)/5),MAX((MIN(80,MAX(1,INT(((CROQUIS!$C$98)-CROQUIS!$C$107)/MAX(CROQUIS!$C$126,1))+1)))-1,0))*CROQUIS!$C$126),CHOOSE(IF(INT(($A45-1)/5)&gt;MAX((MIN(80,MAX(1,INT(((CROQUIS!$C$98)-CROQUIS!$C$107)/MAX(CROQUIS!$C$126,1))+1)))-1,0),0,MOD($A45-1,5))+1,0,2,CROQUIS!$C$97-2,2,0)))*CROQUIS!$C$155)+IF(CROQUIS!$C$92="X",0,0)),-1000)</f>
        <v>-1000</v>
      </c>
      <c r="BJ45">
        <f>IF(AND(CROQUIS!$C$88=1,CROQUIS!$C$134&gt;0),((CROQUIS!$C$156+(IF(CROQUIS!$C$92="X",((CROQUIS!$C$107/2+(((CROQUIS!$C$97)-CROQUIS!$C$107)-(MIN(80,MAX(1,INT(((CROQUIS!$C$97)-CROQUIS!$C$107)/MAX(CROQUIS!$C$134,1))+1))-1)*CROQUIS!$C$134)/2)+MIN(INT(($A45-1)/5),MAX((MIN(80,MAX(1,INT(((CROQUIS!$C$97)-CROQUIS!$C$107)/MAX(CROQUIS!$C$134,1))+1)))-1,0))*CROQUIS!$C$134),CHOOSE(IF(INT(($A45-1)/5)&gt;MAX((MIN(80,MAX(1,INT(((CROQUIS!$C$97)-CROQUIS!$C$107)/MAX(CROQUIS!$C$134,1))+1)))-1,0),0,MOD($A45-1,5))+1,0,2,CROQUIS!$C$98-2,2,0)))*CROQUIS!$C$155)+IF(CROQUIS!$C$92="X",0,0)),-1000)</f>
        <v>-1000</v>
      </c>
      <c r="BK45">
        <f>IF(AND(CROQUIS!$C$88=1,CROQUIS!$C$134&gt;0),((CROQUIS!$C$157+(IF(CROQUIS!$C$92="X",CHOOSE(IF(INT(($A45-1)/5)&gt;MAX((MIN(80,MAX(1,INT(((CROQUIS!$C$97)-CROQUIS!$C$107)/MAX(CROQUIS!$C$134,1))+1)))-1,0),0,MOD($A45-1,5))+1,0,2,CROQUIS!$C$98-2,2,0),((CROQUIS!$C$107/2+(((CROQUIS!$C$97)-CROQUIS!$C$107)-(MIN(80,MAX(1,INT(((CROQUIS!$C$97)-CROQUIS!$C$107)/MAX(CROQUIS!$C$134,1))+1))-1)*CROQUIS!$C$134)/2)+MIN(INT(($A45-1)/5),MAX((MIN(80,MAX(1,INT(((CROQUIS!$C$97)-CROQUIS!$C$107)/MAX(CROQUIS!$C$134,1))+1)))-1,0))*CROQUIS!$C$134)))*CROQUIS!$C$155)+IF(CROQUIS!$C$92="X",0,0)),-1000)</f>
        <v>-1000</v>
      </c>
      <c r="BL45">
        <f>IF(AND(CROQUIS!$C$88=1,CROQUIS!$C$91=0,CROQUIS!$C$130&gt;0,OR(CROQUIS!$C$103=1,CROQUIS!$C$142=1)),((CROQUIS!$C$156+(IF(CROQUIS!$C$92="X",CHOOSE(IF(INT(($A45-1)/5)&gt;MAX((MIN(80,MAX(1,INT(((CROQUIS!$C$98)-CROQUIS!$C$107)/MAX(CROQUIS!$C$130,1))+1)))-1,0),0,MOD($A45-1,5))+1,0,IF(CROQUIS!$C$103=1,-12,2),CROQUIS!$C$107/2+CROQUIS!$C$140,IF(CROQUIS!$C$103=1,-12,2),0),((CROQUIS!$C$107/2+(((CROQUIS!$C$98)-CROQUIS!$C$107)-(MIN(80,MAX(1,INT(((CROQUIS!$C$98)-CROQUIS!$C$107)/MAX(CROQUIS!$C$130,1))+1))-1)*CROQUIS!$C$130)/2)+MIN(INT(($A45-1)/5),MAX((MIN(80,MAX(1,INT(((CROQUIS!$C$98)-CROQUIS!$C$107)/MAX(CROQUIS!$C$130,1))+1)))-1,0))*CROQUIS!$C$130)))*CROQUIS!$C$155)+IF(CROQUIS!$C$92="X",0,0)),-1000)</f>
        <v>-1000</v>
      </c>
      <c r="BM4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45-1)/5),MAX((MIN(80,MAX(1,INT(((CROQUIS!$C$98)-CROQUIS!$C$107)/MAX(CROQUIS!$C$130,1))+1)))-1,0))*CROQUIS!$C$130),CHOOSE(IF(INT(($A45-1)/5)&gt;MAX((MIN(80,MAX(1,INT(((CROQUIS!$C$98)-CROQUIS!$C$107)/MAX(CROQUIS!$C$130,1))+1)))-1,0),0,MOD($A45-1,5))+1,0,IF(CROQUIS!$C$103=1,-12,2),CROQUIS!$C$107/2+CROQUIS!$C$140,IF(CROQUIS!$C$103=1,-12,2),0)))*CROQUIS!$C$155)+IF(CROQUIS!$C$92="X",0,0)),-1000)</f>
        <v>-1000</v>
      </c>
      <c r="BN45">
        <f>IF(AND(CROQUIS!$C$88=1,CROQUIS!$C$91=0,CROQUIS!$C$130&gt;0,OR(CROQUIS!$C$104=1,CROQUIS!$C$142=1)),((CROQUIS!$C$156+(IF(CROQUIS!$C$92="X",CHOOSE(IF(INT(($A45-1)/5)&gt;MAX((MIN(80,MAX(1,INT(((CROQUIS!$C$98)-CROQUIS!$C$107)/MAX(CROQUIS!$C$130,1))+1)))-1,0),0,MOD($A45-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45-1)/5),MAX((MIN(80,MAX(1,INT(((CROQUIS!$C$98)-CROQUIS!$C$107)/MAX(CROQUIS!$C$130,1))+1)))-1,0))*CROQUIS!$C$130)))*CROQUIS!$C$155)+IF(CROQUIS!$C$92="X",0,0)),-1000)</f>
        <v>-1000</v>
      </c>
      <c r="BO4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45-1)/5),MAX((MIN(80,MAX(1,INT(((CROQUIS!$C$98)-CROQUIS!$C$107)/MAX(CROQUIS!$C$130,1))+1)))-1,0))*CROQUIS!$C$130),CHOOSE(IF(INT(($A45-1)/5)&gt;MAX((MIN(80,MAX(1,INT(((CROQUIS!$C$98)-CROQUIS!$C$107)/MAX(CROQUIS!$C$130,1))+1)))-1,0),0,MOD($A45-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45-1)/5),MAX((MIN(80,MAX(1,INT(((CROQUIS!$C$97)-CROQUIS!$C$107)/MAX(CROQUIS!$C$138,1))+1)))-1,0))*CROQUIS!$C$138),CHOOSE(IF(INT(($A45-1)/5)&gt;MAX((MIN(80,MAX(1,INT(((CROQUIS!$C$97)-CROQUIS!$C$107)/MAX(CROQUIS!$C$138,1))+1)))-1,0),0,MOD($A45-1,5))+1,0,IF(CROQUIS!$C$105=1,-12,2),CROQUIS!$C$107/2+CROQUIS!$C$141,IF(CROQUIS!$C$105=1,-12,2),0)))*CROQUIS!$C$155)+IF(CROQUIS!$C$92="X",0,0)),-1000)</f>
        <v>-1000</v>
      </c>
      <c r="BQ45">
        <f>IF(AND(CROQUIS!$C$88=1,CROQUIS!$C$91=0,CROQUIS!$C$138&gt;0,OR(CROQUIS!$C$105=1,CROQUIS!$C$143=1)),((CROQUIS!$C$157+(IF(CROQUIS!$C$92="X",CHOOSE(IF(INT(($A45-1)/5)&gt;MAX((MIN(80,MAX(1,INT(((CROQUIS!$C$97)-CROQUIS!$C$107)/MAX(CROQUIS!$C$138,1))+1)))-1,0),0,MOD($A45-1,5))+1,0,IF(CROQUIS!$C$105=1,-12,2),CROQUIS!$C$107/2+CROQUIS!$C$141,IF(CROQUIS!$C$105=1,-12,2),0),((CROQUIS!$C$107/2+(((CROQUIS!$C$97)-CROQUIS!$C$107)-(MIN(80,MAX(1,INT(((CROQUIS!$C$97)-CROQUIS!$C$107)/MAX(CROQUIS!$C$138,1))+1))-1)*CROQUIS!$C$138)/2)+MIN(INT(($A45-1)/5),MAX((MIN(80,MAX(1,INT(((CROQUIS!$C$97)-CROQUIS!$C$107)/MAX(CROQUIS!$C$138,1))+1)))-1,0))*CROQUIS!$C$138)))*CROQUIS!$C$155)+IF(CROQUIS!$C$92="X",0,0)),-1000)</f>
        <v>-1000</v>
      </c>
      <c r="BR4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45-1)/5),MAX((MIN(80,MAX(1,INT(((CROQUIS!$C$97)-CROQUIS!$C$107)/MAX(CROQUIS!$C$138,1))+1)))-1,0))*CROQUIS!$C$138),CHOOSE(IF(INT(($A45-1)/5)&gt;MAX((MIN(80,MAX(1,INT(((CROQUIS!$C$97)-CROQUIS!$C$107)/MAX(CROQUIS!$C$138,1))+1)))-1,0),0,MOD($A45-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5">
        <f>IF(AND(CROQUIS!$C$88=1,CROQUIS!$C$91=0,CROQUIS!$C$138&gt;0,OR(CROQUIS!$C$106=1,CROQUIS!$C$143=1)),((CROQUIS!$C$157+(IF(CROQUIS!$C$92="X",CHOOSE(IF(INT(($A45-1)/5)&gt;MAX((MIN(80,MAX(1,INT(((CROQUIS!$C$97)-CROQUIS!$C$107)/MAX(CROQUIS!$C$138,1))+1)))-1,0),0,MOD($A45-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45-1)/5),MAX((MIN(80,MAX(1,INT(((CROQUIS!$C$97)-CROQUIS!$C$107)/MAX(CROQUIS!$C$138,1))+1)))-1,0))*CROQUIS!$C$138)))*CROQUIS!$C$155)+IF(CROQUIS!$C$92="X",0,0)),-1000)</f>
        <v>-1000</v>
      </c>
      <c r="BT45">
        <f>IF(AND(CROQUIS!$C$88=1,CROQUIS!$C$91=1,CROQUIS!$C$130&gt;0),((CROQUIS!$C$156+(IF(CROQUIS!$C$92="X",CHOOSE(IF(INT(($A45-1)/5)&gt;MAX((MIN(80,MAX(1,INT(((CROQUIS!$C$98)-CROQUIS!$C$107)/MAX(CROQUIS!$C$130,1))+1)))-1,0),0,MOD($A45-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45-1)/5),MAX((MIN(80,MAX(1,INT(((CROQUIS!$C$98)-CROQUIS!$C$107)/MAX(CROQUIS!$C$130,1))+1)))-1,0))*CROQUIS!$C$130)))*CROQUIS!$C$155)+IF(CROQUIS!$C$92="X",0,0)),-1000)</f>
        <v>-1000</v>
      </c>
      <c r="BU45">
        <f>IF(AND(CROQUIS!$C$88=1,CROQUIS!$C$91=1,CROQUIS!$C$130&gt;0),((CROQUIS!$C$157+(IF(CROQUIS!$C$92="X",((CROQUIS!$C$107/2+(((CROQUIS!$C$98)-CROQUIS!$C$107)-(MIN(80,MAX(1,INT(((CROQUIS!$C$98)-CROQUIS!$C$107)/MAX(CROQUIS!$C$130,1))+1))-1)*CROQUIS!$C$130)/2)+MIN(INT(($A45-1)/5),MAX((MIN(80,MAX(1,INT(((CROQUIS!$C$98)-CROQUIS!$C$107)/MAX(CROQUIS!$C$130,1))+1)))-1,0))*CROQUIS!$C$130),CHOOSE(IF(INT(($A45-1)/5)&gt;MAX((MIN(80,MAX(1,INT(((CROQUIS!$C$98)-CROQUIS!$C$107)/MAX(CROQUIS!$C$130,1))+1)))-1,0),0,MOD($A45-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6">
      <c r="A46" t="n">
        <v>39</v>
      </c>
      <c r="F46">
        <f>IF(AND(CROQUIS!$C$87=1,CROQUIS!$C$91=1),((CROQUIS!$C$156+(IF(CROQUIS!$C$92="X",IF(CROQUIS!$C$94=1,0,CROQUIS!$C$97)+IF(MOD($A46,2)=1,-CROQUIS!$C$107/2,CROQUIS!$C$107/2),(MIN($A46,41)-1)/40*CROQUIS!$C$98))*CROQUIS!$C$155)+IF(CROQUIS!$C$92="X",0,0)),-1000)</f>
        <v>-1000</v>
      </c>
      <c r="G46">
        <f>IF(AND(CROQUIS!$C$87=1,CROQUIS!$C$91=1),((CROQUIS!$C$157+(IF(CROQUIS!$C$92="X",(MIN($A46,41)-1)/40*CROQUIS!$C$98,IF(CROQUIS!$C$94=1,0,CROQUIS!$C$97)+IF(MOD($A46,2)=1,-CROQUIS!$C$107/2,CROQUIS!$C$107/2)))*CROQUIS!$C$155)+IF(CROQUIS!$C$92="X",0,0)),-1000)</f>
        <v>-1000</v>
      </c>
      <c r="T46">
        <f>IF(AND(CROQUIS!$C$88=1,CROQUIS!$C$91=1),((CROQUIS!$C$156+(IF(CROQUIS!$C$92="X",IF(CROQUIS!$C$94=1,0,CROQUIS!$C$97)+IF(MOD($A46,2)=1,-CROQUIS!$C$107/2,CROQUIS!$C$107/2),(MIN($A46,41)-1)/40*CROQUIS!$C$98))*CROQUIS!$C$155)+IF(CROQUIS!$C$92="X",0,0)),-1000)</f>
        <v>-1000</v>
      </c>
      <c r="U46">
        <f>IF(AND(CROQUIS!$C$88=1,CROQUIS!$C$91=1),((CROQUIS!$C$157+(IF(CROQUIS!$C$92="X",(MIN($A46,41)-1)/40*CROQUIS!$C$98,IF(CROQUIS!$C$94=1,0,CROQUIS!$C$97)+IF(MOD($A46,2)=1,-CROQUIS!$C$107/2,CROQUIS!$C$107/2)))*CROQUIS!$C$155)+IF(CROQUIS!$C$92="X",0,0)),-1000)</f>
        <v>-1000</v>
      </c>
      <c r="AF46">
        <f>IF(AND(CROQUIS!$C$87=1,CROQUIS!$C$158&gt;0,CROQUIS!$C$160&gt;0),(CROQUIS!$C$156+((CROQUIS!$C$159+INT(MIN(INT(($A46-1)/2),MAX((2*CROQUIS!$C$158)-1,0))/2)*CROQUIS!$C$113+MOD(MIN(INT(($A46-1)/2),MAX((2*CROQUIS!$C$158)-1,0)),2)*CROQUIS!$C$112))*CROQUIS!$C$155),-1000)</f>
        <v>85.2010845006778</v>
      </c>
      <c r="AG46">
        <f>IF(AND(CROQUIS!$C$87=1,CROQUIS!$C$158&gt;0,CROQUIS!$C$160&gt;0),(CROQUIS!$C$157+(IF(MOD(MIN(INT(($A46-1)/2),MAX((2*CROQUIS!$C$158)-1,0)),2)=0,IF(IF(INT(($A46-1)/2)&gt;MAX((2*CROQUIS!$C$158)-1,0),1,MOD($A46-1,2))=0,CROQUIS!$C$161,(CROQUIS!$C$161+CROQUIS!$C$160*CROQUIS!$C$113-CROQUIS!$C$111)),IF(IF(INT(($A46-1)/2)&gt;MAX((2*CROQUIS!$C$158)-1,0),1,MOD($A46-1,2))=0,(CROQUIS!$C$161+CROQUIS!$C$160*CROQUIS!$C$113-CROQUIS!$C$111),CROQUIS!$C$161)))*CROQUIS!$C$155),-1000)</f>
        <v>20.8088567555355</v>
      </c>
      <c r="AH46">
        <f>IF(AND(CROQUIS!$C$87=1,CROQUIS!$C$160&gt;0,CROQUIS!$C$158&gt;0),(CROQUIS!$C$156+(IF(MOD(MIN(INT(($A46-1)/2),MAX((2*CROQUIS!$C$160)-1,0)),2)=0,IF(IF(INT(($A46-1)/2)&gt;MAX((2*CROQUIS!$C$160)-1,0),1,MOD($A46-1,2))=0,CROQUIS!$C$159,(CROQUIS!$C$159+CROQUIS!$C$158*CROQUIS!$C$113-CROQUIS!$C$111)),IF(IF(INT(($A46-1)/2)&gt;MAX((2*CROQUIS!$C$160)-1,0),1,MOD($A46-1,2))=0,(CROQUIS!$C$159+CROQUIS!$C$158*CROQUIS!$C$113-CROQUIS!$C$111),CROQUIS!$C$159)))*CROQUIS!$C$155),-1000)</f>
        <v>14.7989154993222</v>
      </c>
      <c r="AI46">
        <f>IF(AND(CROQUIS!$C$87=1,CROQUIS!$C$160&gt;0,CROQUIS!$C$158&gt;0),(CROQUIS!$C$157+((CROQUIS!$C$161+INT(MIN(INT(($A46-1)/2),MAX((2*CROQUIS!$C$160)-1,0))/2)*CROQUIS!$C$113+MOD(MIN(INT(($A46-1)/2),MAX((2*CROQUIS!$C$160)-1,0)),2)*CROQUIS!$C$112))*CROQUIS!$C$155),-1000)</f>
        <v>79.1911432444645</v>
      </c>
      <c r="AJ46">
        <f>IF(AND(CROQUIS!$C$87=1,CROQUIS!$C$158&gt;=2),(CROQUIS!$C$156+((CROQUIS!$C$159+CROQUIS!$C$112+CROQUIS!$C$111/2+MIN(INT(($A46-1)/2),MAX((CROQUIS!$C$158-1)-1,0))*CROQUIS!$C$113))*CROQUIS!$C$155),-1000)</f>
        <v>74.0397650248531</v>
      </c>
      <c r="AK46">
        <f>IF(AND(CROQUIS!$C$87=1,CROQUIS!$C$158&gt;=2),(CROQUIS!$C$157+(IF(MOD(MIN(INT(($A46-1)/2),MAX((CROQUIS!$C$158-1)-1,0)),2)=0,IF(IF(INT(($A46-1)/2)&gt;MAX((CROQUIS!$C$158-1)-1,0),1,MOD($A46-1,2))=0,CROQUIS!$C$107/2,(CROQUIS!$C$96-CROQUIS!$C$107/2)),IF(IF(INT(($A46-1)/2)&gt;MAX((CROQUIS!$C$158-1)-1,0),1,MOD($A46-1,2))=0,(CROQUIS!$C$96-CROQUIS!$C$107/2),CROQUIS!$C$107/2)))*CROQUIS!$C$155),-1000)</f>
        <v>83.0546769091731</v>
      </c>
      <c r="AL46">
        <f>IF(AND(CROQUIS!$C$87=1,CROQUIS!$C$160&gt;=2),(CROQUIS!$C$156+(IF(MOD(MIN(INT(($A46-1)/2),MAX((CROQUIS!$C$160-1)-1,0)),2)=0,IF(IF(INT(($A46-1)/2)&gt;MAX((CROQUIS!$C$160-1)-1,0),1,MOD($A46-1,2))=0,CROQUIS!$C$107/2,(CROQUIS!$C$95-CROQUIS!$C$107/2)),IF(IF(INT(($A46-1)/2)&gt;MAX((CROQUIS!$C$160-1)-1,0),1,MOD($A46-1,2))=0,(CROQUIS!$C$95-CROQUIS!$C$107/2),CROQUIS!$C$107/2)))*CROQUIS!$C$155),-1000)</f>
        <v>13.2878445549028</v>
      </c>
      <c r="AM46">
        <f>IF(AND(CROQUIS!$C$87=1,CROQUIS!$C$160&gt;=2),(CROQUIS!$C$157+((CROQUIS!$C$161+CROQUIS!$C$112+CROQUIS!$C$111/2+MIN(INT(($A46-1)/2),MAX((CROQUIS!$C$160-1)-1,0))*CROQUIS!$C$113))*CROQUIS!$C$155),-1000)</f>
        <v>68.0298237686399</v>
      </c>
      <c r="BH46">
        <f>IF(AND(CROQUIS!$C$88=1,CROQUIS!$C$126&gt;0),((CROQUIS!$C$156+(IF(CROQUIS!$C$92="X",CHOOSE(IF(INT(($A46-1)/5)&gt;MAX((MIN(80,MAX(1,INT(((CROQUIS!$C$98)-CROQUIS!$C$107)/MAX(CROQUIS!$C$126,1))+1)))-1,0),0,MOD($A46-1,5))+1,0,2,CROQUIS!$C$97-2,2,0),((CROQUIS!$C$107/2+(((CROQUIS!$C$98)-CROQUIS!$C$107)-(MIN(80,MAX(1,INT(((CROQUIS!$C$98)-CROQUIS!$C$107)/MAX(CROQUIS!$C$126,1))+1))-1)*CROQUIS!$C$126)/2)+MIN(INT(($A46-1)/5),MAX((MIN(80,MAX(1,INT(((CROQUIS!$C$98)-CROQUIS!$C$107)/MAX(CROQUIS!$C$126,1))+1)))-1,0))*CROQUIS!$C$126)))*CROQUIS!$C$155)+IF(CROQUIS!$C$92="X",0,0)),-1000)</f>
        <v>-1000</v>
      </c>
      <c r="BI46">
        <f>IF(AND(CROQUIS!$C$88=1,CROQUIS!$C$126&gt;0),((CROQUIS!$C$157+(IF(CROQUIS!$C$92="X",((CROQUIS!$C$107/2+(((CROQUIS!$C$98)-CROQUIS!$C$107)-(MIN(80,MAX(1,INT(((CROQUIS!$C$98)-CROQUIS!$C$107)/MAX(CROQUIS!$C$126,1))+1))-1)*CROQUIS!$C$126)/2)+MIN(INT(($A46-1)/5),MAX((MIN(80,MAX(1,INT(((CROQUIS!$C$98)-CROQUIS!$C$107)/MAX(CROQUIS!$C$126,1))+1)))-1,0))*CROQUIS!$C$126),CHOOSE(IF(INT(($A46-1)/5)&gt;MAX((MIN(80,MAX(1,INT(((CROQUIS!$C$98)-CROQUIS!$C$107)/MAX(CROQUIS!$C$126,1))+1)))-1,0),0,MOD($A46-1,5))+1,0,2,CROQUIS!$C$97-2,2,0)))*CROQUIS!$C$155)+IF(CROQUIS!$C$92="X",0,0)),-1000)</f>
        <v>-1000</v>
      </c>
      <c r="BJ46">
        <f>IF(AND(CROQUIS!$C$88=1,CROQUIS!$C$134&gt;0),((CROQUIS!$C$156+(IF(CROQUIS!$C$92="X",((CROQUIS!$C$107/2+(((CROQUIS!$C$97)-CROQUIS!$C$107)-(MIN(80,MAX(1,INT(((CROQUIS!$C$97)-CROQUIS!$C$107)/MAX(CROQUIS!$C$134,1))+1))-1)*CROQUIS!$C$134)/2)+MIN(INT(($A46-1)/5),MAX((MIN(80,MAX(1,INT(((CROQUIS!$C$97)-CROQUIS!$C$107)/MAX(CROQUIS!$C$134,1))+1)))-1,0))*CROQUIS!$C$134),CHOOSE(IF(INT(($A46-1)/5)&gt;MAX((MIN(80,MAX(1,INT(((CROQUIS!$C$97)-CROQUIS!$C$107)/MAX(CROQUIS!$C$134,1))+1)))-1,0),0,MOD($A46-1,5))+1,0,2,CROQUIS!$C$98-2,2,0)))*CROQUIS!$C$155)+IF(CROQUIS!$C$92="X",0,0)),-1000)</f>
        <v>-1000</v>
      </c>
      <c r="BK46">
        <f>IF(AND(CROQUIS!$C$88=1,CROQUIS!$C$134&gt;0),((CROQUIS!$C$157+(IF(CROQUIS!$C$92="X",CHOOSE(IF(INT(($A46-1)/5)&gt;MAX((MIN(80,MAX(1,INT(((CROQUIS!$C$97)-CROQUIS!$C$107)/MAX(CROQUIS!$C$134,1))+1)))-1,0),0,MOD($A46-1,5))+1,0,2,CROQUIS!$C$98-2,2,0),((CROQUIS!$C$107/2+(((CROQUIS!$C$97)-CROQUIS!$C$107)-(MIN(80,MAX(1,INT(((CROQUIS!$C$97)-CROQUIS!$C$107)/MAX(CROQUIS!$C$134,1))+1))-1)*CROQUIS!$C$134)/2)+MIN(INT(($A46-1)/5),MAX((MIN(80,MAX(1,INT(((CROQUIS!$C$97)-CROQUIS!$C$107)/MAX(CROQUIS!$C$134,1))+1)))-1,0))*CROQUIS!$C$134)))*CROQUIS!$C$155)+IF(CROQUIS!$C$92="X",0,0)),-1000)</f>
        <v>-1000</v>
      </c>
      <c r="BL46">
        <f>IF(AND(CROQUIS!$C$88=1,CROQUIS!$C$91=0,CROQUIS!$C$130&gt;0,OR(CROQUIS!$C$103=1,CROQUIS!$C$142=1)),((CROQUIS!$C$156+(IF(CROQUIS!$C$92="X",CHOOSE(IF(INT(($A46-1)/5)&gt;MAX((MIN(80,MAX(1,INT(((CROQUIS!$C$98)-CROQUIS!$C$107)/MAX(CROQUIS!$C$130,1))+1)))-1,0),0,MOD($A46-1,5))+1,0,IF(CROQUIS!$C$103=1,-12,2),CROQUIS!$C$107/2+CROQUIS!$C$140,IF(CROQUIS!$C$103=1,-12,2),0),((CROQUIS!$C$107/2+(((CROQUIS!$C$98)-CROQUIS!$C$107)-(MIN(80,MAX(1,INT(((CROQUIS!$C$98)-CROQUIS!$C$107)/MAX(CROQUIS!$C$130,1))+1))-1)*CROQUIS!$C$130)/2)+MIN(INT(($A46-1)/5),MAX((MIN(80,MAX(1,INT(((CROQUIS!$C$98)-CROQUIS!$C$107)/MAX(CROQUIS!$C$130,1))+1)))-1,0))*CROQUIS!$C$130)))*CROQUIS!$C$155)+IF(CROQUIS!$C$92="X",0,0)),-1000)</f>
        <v>-1000</v>
      </c>
      <c r="BM4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46-1)/5),MAX((MIN(80,MAX(1,INT(((CROQUIS!$C$98)-CROQUIS!$C$107)/MAX(CROQUIS!$C$130,1))+1)))-1,0))*CROQUIS!$C$130),CHOOSE(IF(INT(($A46-1)/5)&gt;MAX((MIN(80,MAX(1,INT(((CROQUIS!$C$98)-CROQUIS!$C$107)/MAX(CROQUIS!$C$130,1))+1)))-1,0),0,MOD($A46-1,5))+1,0,IF(CROQUIS!$C$103=1,-12,2),CROQUIS!$C$107/2+CROQUIS!$C$140,IF(CROQUIS!$C$103=1,-12,2),0)))*CROQUIS!$C$155)+IF(CROQUIS!$C$92="X",0,0)),-1000)</f>
        <v>-1000</v>
      </c>
      <c r="BN46">
        <f>IF(AND(CROQUIS!$C$88=1,CROQUIS!$C$91=0,CROQUIS!$C$130&gt;0,OR(CROQUIS!$C$104=1,CROQUIS!$C$142=1)),((CROQUIS!$C$156+(IF(CROQUIS!$C$92="X",CHOOSE(IF(INT(($A46-1)/5)&gt;MAX((MIN(80,MAX(1,INT(((CROQUIS!$C$98)-CROQUIS!$C$107)/MAX(CROQUIS!$C$130,1))+1)))-1,0),0,MOD($A46-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46-1)/5),MAX((MIN(80,MAX(1,INT(((CROQUIS!$C$98)-CROQUIS!$C$107)/MAX(CROQUIS!$C$130,1))+1)))-1,0))*CROQUIS!$C$130)))*CROQUIS!$C$155)+IF(CROQUIS!$C$92="X",0,0)),-1000)</f>
        <v>-1000</v>
      </c>
      <c r="BO4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46-1)/5),MAX((MIN(80,MAX(1,INT(((CROQUIS!$C$98)-CROQUIS!$C$107)/MAX(CROQUIS!$C$130,1))+1)))-1,0))*CROQUIS!$C$130),CHOOSE(IF(INT(($A46-1)/5)&gt;MAX((MIN(80,MAX(1,INT(((CROQUIS!$C$98)-CROQUIS!$C$107)/MAX(CROQUIS!$C$130,1))+1)))-1,0),0,MOD($A46-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46-1)/5),MAX((MIN(80,MAX(1,INT(((CROQUIS!$C$97)-CROQUIS!$C$107)/MAX(CROQUIS!$C$138,1))+1)))-1,0))*CROQUIS!$C$138),CHOOSE(IF(INT(($A46-1)/5)&gt;MAX((MIN(80,MAX(1,INT(((CROQUIS!$C$97)-CROQUIS!$C$107)/MAX(CROQUIS!$C$138,1))+1)))-1,0),0,MOD($A46-1,5))+1,0,IF(CROQUIS!$C$105=1,-12,2),CROQUIS!$C$107/2+CROQUIS!$C$141,IF(CROQUIS!$C$105=1,-12,2),0)))*CROQUIS!$C$155)+IF(CROQUIS!$C$92="X",0,0)),-1000)</f>
        <v>-1000</v>
      </c>
      <c r="BQ46">
        <f>IF(AND(CROQUIS!$C$88=1,CROQUIS!$C$91=0,CROQUIS!$C$138&gt;0,OR(CROQUIS!$C$105=1,CROQUIS!$C$143=1)),((CROQUIS!$C$157+(IF(CROQUIS!$C$92="X",CHOOSE(IF(INT(($A46-1)/5)&gt;MAX((MIN(80,MAX(1,INT(((CROQUIS!$C$97)-CROQUIS!$C$107)/MAX(CROQUIS!$C$138,1))+1)))-1,0),0,MOD($A46-1,5))+1,0,IF(CROQUIS!$C$105=1,-12,2),CROQUIS!$C$107/2+CROQUIS!$C$141,IF(CROQUIS!$C$105=1,-12,2),0),((CROQUIS!$C$107/2+(((CROQUIS!$C$97)-CROQUIS!$C$107)-(MIN(80,MAX(1,INT(((CROQUIS!$C$97)-CROQUIS!$C$107)/MAX(CROQUIS!$C$138,1))+1))-1)*CROQUIS!$C$138)/2)+MIN(INT(($A46-1)/5),MAX((MIN(80,MAX(1,INT(((CROQUIS!$C$97)-CROQUIS!$C$107)/MAX(CROQUIS!$C$138,1))+1)))-1,0))*CROQUIS!$C$138)))*CROQUIS!$C$155)+IF(CROQUIS!$C$92="X",0,0)),-1000)</f>
        <v>-1000</v>
      </c>
      <c r="BR4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46-1)/5),MAX((MIN(80,MAX(1,INT(((CROQUIS!$C$97)-CROQUIS!$C$107)/MAX(CROQUIS!$C$138,1))+1)))-1,0))*CROQUIS!$C$138),CHOOSE(IF(INT(($A46-1)/5)&gt;MAX((MIN(80,MAX(1,INT(((CROQUIS!$C$97)-CROQUIS!$C$107)/MAX(CROQUIS!$C$138,1))+1)))-1,0),0,MOD($A46-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6">
        <f>IF(AND(CROQUIS!$C$88=1,CROQUIS!$C$91=0,CROQUIS!$C$138&gt;0,OR(CROQUIS!$C$106=1,CROQUIS!$C$143=1)),((CROQUIS!$C$157+(IF(CROQUIS!$C$92="X",CHOOSE(IF(INT(($A46-1)/5)&gt;MAX((MIN(80,MAX(1,INT(((CROQUIS!$C$97)-CROQUIS!$C$107)/MAX(CROQUIS!$C$138,1))+1)))-1,0),0,MOD($A46-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46-1)/5),MAX((MIN(80,MAX(1,INT(((CROQUIS!$C$97)-CROQUIS!$C$107)/MAX(CROQUIS!$C$138,1))+1)))-1,0))*CROQUIS!$C$138)))*CROQUIS!$C$155)+IF(CROQUIS!$C$92="X",0,0)),-1000)</f>
        <v>-1000</v>
      </c>
      <c r="BT46">
        <f>IF(AND(CROQUIS!$C$88=1,CROQUIS!$C$91=1,CROQUIS!$C$130&gt;0),((CROQUIS!$C$156+(IF(CROQUIS!$C$92="X",CHOOSE(IF(INT(($A46-1)/5)&gt;MAX((MIN(80,MAX(1,INT(((CROQUIS!$C$98)-CROQUIS!$C$107)/MAX(CROQUIS!$C$130,1))+1)))-1,0),0,MOD($A46-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46-1)/5),MAX((MIN(80,MAX(1,INT(((CROQUIS!$C$98)-CROQUIS!$C$107)/MAX(CROQUIS!$C$130,1))+1)))-1,0))*CROQUIS!$C$130)))*CROQUIS!$C$155)+IF(CROQUIS!$C$92="X",0,0)),-1000)</f>
        <v>-1000</v>
      </c>
      <c r="BU46">
        <f>IF(AND(CROQUIS!$C$88=1,CROQUIS!$C$91=1,CROQUIS!$C$130&gt;0),((CROQUIS!$C$157+(IF(CROQUIS!$C$92="X",((CROQUIS!$C$107/2+(((CROQUIS!$C$98)-CROQUIS!$C$107)-(MIN(80,MAX(1,INT(((CROQUIS!$C$98)-CROQUIS!$C$107)/MAX(CROQUIS!$C$130,1))+1))-1)*CROQUIS!$C$130)/2)+MIN(INT(($A46-1)/5),MAX((MIN(80,MAX(1,INT(((CROQUIS!$C$98)-CROQUIS!$C$107)/MAX(CROQUIS!$C$130,1))+1)))-1,0))*CROQUIS!$C$130),CHOOSE(IF(INT(($A46-1)/5)&gt;MAX((MIN(80,MAX(1,INT(((CROQUIS!$C$98)-CROQUIS!$C$107)/MAX(CROQUIS!$C$130,1))+1)))-1,0),0,MOD($A46-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7">
      <c r="A47" t="n">
        <v>40</v>
      </c>
      <c r="F47">
        <f>IF(AND(CROQUIS!$C$87=1,CROQUIS!$C$91=1),((CROQUIS!$C$156+(IF(CROQUIS!$C$92="X",IF(CROQUIS!$C$94=1,0,CROQUIS!$C$97)+IF(MOD($A47,2)=1,-CROQUIS!$C$107/2,CROQUIS!$C$107/2),(MIN($A47,41)-1)/40*CROQUIS!$C$98))*CROQUIS!$C$155)+IF(CROQUIS!$C$92="X",0,0)),-1000)</f>
        <v>-1000</v>
      </c>
      <c r="G47">
        <f>IF(AND(CROQUIS!$C$87=1,CROQUIS!$C$91=1),((CROQUIS!$C$157+(IF(CROQUIS!$C$92="X",(MIN($A47,41)-1)/40*CROQUIS!$C$98,IF(CROQUIS!$C$94=1,0,CROQUIS!$C$97)+IF(MOD($A47,2)=1,-CROQUIS!$C$107/2,CROQUIS!$C$107/2)))*CROQUIS!$C$155)+IF(CROQUIS!$C$92="X",0,0)),-1000)</f>
        <v>-1000</v>
      </c>
      <c r="T47">
        <f>IF(AND(CROQUIS!$C$88=1,CROQUIS!$C$91=1),((CROQUIS!$C$156+(IF(CROQUIS!$C$92="X",IF(CROQUIS!$C$94=1,0,CROQUIS!$C$97)+IF(MOD($A47,2)=1,-CROQUIS!$C$107/2,CROQUIS!$C$107/2),(MIN($A47,41)-1)/40*CROQUIS!$C$98))*CROQUIS!$C$155)+IF(CROQUIS!$C$92="X",0,0)),-1000)</f>
        <v>-1000</v>
      </c>
      <c r="U47">
        <f>IF(AND(CROQUIS!$C$88=1,CROQUIS!$C$91=1),((CROQUIS!$C$157+(IF(CROQUIS!$C$92="X",(MIN($A47,41)-1)/40*CROQUIS!$C$98,IF(CROQUIS!$C$94=1,0,CROQUIS!$C$97)+IF(MOD($A47,2)=1,-CROQUIS!$C$107/2,CROQUIS!$C$107/2)))*CROQUIS!$C$155)+IF(CROQUIS!$C$92="X",0,0)),-1000)</f>
        <v>-1000</v>
      </c>
      <c r="AF47">
        <f>IF(AND(CROQUIS!$C$87=1,CROQUIS!$C$158&gt;0,CROQUIS!$C$160&gt;0),(CROQUIS!$C$156+((CROQUIS!$C$159+INT(MIN(INT(($A47-1)/2),MAX((2*CROQUIS!$C$158)-1,0))/2)*CROQUIS!$C$113+MOD(MIN(INT(($A47-1)/2),MAX((2*CROQUIS!$C$158)-1,0)),2)*CROQUIS!$C$112))*CROQUIS!$C$155),-1000)</f>
        <v>85.2010845006778</v>
      </c>
      <c r="AG47">
        <f>IF(AND(CROQUIS!$C$87=1,CROQUIS!$C$158&gt;0,CROQUIS!$C$160&gt;0),(CROQUIS!$C$157+(IF(MOD(MIN(INT(($A47-1)/2),MAX((2*CROQUIS!$C$158)-1,0)),2)=0,IF(IF(INT(($A47-1)/2)&gt;MAX((2*CROQUIS!$C$158)-1,0),1,MOD($A47-1,2))=0,CROQUIS!$C$161,(CROQUIS!$C$161+CROQUIS!$C$160*CROQUIS!$C$113-CROQUIS!$C$111)),IF(IF(INT(($A47-1)/2)&gt;MAX((2*CROQUIS!$C$158)-1,0),1,MOD($A47-1,2))=0,(CROQUIS!$C$161+CROQUIS!$C$160*CROQUIS!$C$113-CROQUIS!$C$111),CROQUIS!$C$161)))*CROQUIS!$C$155),-1000)</f>
        <v>20.8088567555355</v>
      </c>
      <c r="AH47">
        <f>IF(AND(CROQUIS!$C$87=1,CROQUIS!$C$160&gt;0,CROQUIS!$C$158&gt;0),(CROQUIS!$C$156+(IF(MOD(MIN(INT(($A47-1)/2),MAX((2*CROQUIS!$C$160)-1,0)),2)=0,IF(IF(INT(($A47-1)/2)&gt;MAX((2*CROQUIS!$C$160)-1,0),1,MOD($A47-1,2))=0,CROQUIS!$C$159,(CROQUIS!$C$159+CROQUIS!$C$158*CROQUIS!$C$113-CROQUIS!$C$111)),IF(IF(INT(($A47-1)/2)&gt;MAX((2*CROQUIS!$C$160)-1,0),1,MOD($A47-1,2))=0,(CROQUIS!$C$159+CROQUIS!$C$158*CROQUIS!$C$113-CROQUIS!$C$111),CROQUIS!$C$159)))*CROQUIS!$C$155),-1000)</f>
        <v>14.7989154993222</v>
      </c>
      <c r="AI47">
        <f>IF(AND(CROQUIS!$C$87=1,CROQUIS!$C$160&gt;0,CROQUIS!$C$158&gt;0),(CROQUIS!$C$157+((CROQUIS!$C$161+INT(MIN(INT(($A47-1)/2),MAX((2*CROQUIS!$C$160)-1,0))/2)*CROQUIS!$C$113+MOD(MIN(INT(($A47-1)/2),MAX((2*CROQUIS!$C$160)-1,0)),2)*CROQUIS!$C$112))*CROQUIS!$C$155),-1000)</f>
        <v>79.1911432444645</v>
      </c>
      <c r="AJ47">
        <f>IF(AND(CROQUIS!$C$87=1,CROQUIS!$C$158&gt;=2),(CROQUIS!$C$156+((CROQUIS!$C$159+CROQUIS!$C$112+CROQUIS!$C$111/2+MIN(INT(($A47-1)/2),MAX((CROQUIS!$C$158-1)-1,0))*CROQUIS!$C$113))*CROQUIS!$C$155),-1000)</f>
        <v>74.0397650248531</v>
      </c>
      <c r="AK47">
        <f>IF(AND(CROQUIS!$C$87=1,CROQUIS!$C$158&gt;=2),(CROQUIS!$C$157+(IF(MOD(MIN(INT(($A47-1)/2),MAX((CROQUIS!$C$158-1)-1,0)),2)=0,IF(IF(INT(($A47-1)/2)&gt;MAX((CROQUIS!$C$158-1)-1,0),1,MOD($A47-1,2))=0,CROQUIS!$C$107/2,(CROQUIS!$C$96-CROQUIS!$C$107/2)),IF(IF(INT(($A47-1)/2)&gt;MAX((CROQUIS!$C$158-1)-1,0),1,MOD($A47-1,2))=0,(CROQUIS!$C$96-CROQUIS!$C$107/2),CROQUIS!$C$107/2)))*CROQUIS!$C$155),-1000)</f>
        <v>83.0546769091731</v>
      </c>
      <c r="AL47">
        <f>IF(AND(CROQUIS!$C$87=1,CROQUIS!$C$160&gt;=2),(CROQUIS!$C$156+(IF(MOD(MIN(INT(($A47-1)/2),MAX((CROQUIS!$C$160-1)-1,0)),2)=0,IF(IF(INT(($A47-1)/2)&gt;MAX((CROQUIS!$C$160-1)-1,0),1,MOD($A47-1,2))=0,CROQUIS!$C$107/2,(CROQUIS!$C$95-CROQUIS!$C$107/2)),IF(IF(INT(($A47-1)/2)&gt;MAX((CROQUIS!$C$160-1)-1,0),1,MOD($A47-1,2))=0,(CROQUIS!$C$95-CROQUIS!$C$107/2),CROQUIS!$C$107/2)))*CROQUIS!$C$155),-1000)</f>
        <v>13.2878445549028</v>
      </c>
      <c r="AM47">
        <f>IF(AND(CROQUIS!$C$87=1,CROQUIS!$C$160&gt;=2),(CROQUIS!$C$157+((CROQUIS!$C$161+CROQUIS!$C$112+CROQUIS!$C$111/2+MIN(INT(($A47-1)/2),MAX((CROQUIS!$C$160-1)-1,0))*CROQUIS!$C$113))*CROQUIS!$C$155),-1000)</f>
        <v>68.0298237686399</v>
      </c>
      <c r="BH47">
        <f>IF(AND(CROQUIS!$C$88=1,CROQUIS!$C$126&gt;0),((CROQUIS!$C$156+(IF(CROQUIS!$C$92="X",CHOOSE(IF(INT(($A47-1)/5)&gt;MAX((MIN(80,MAX(1,INT(((CROQUIS!$C$98)-CROQUIS!$C$107)/MAX(CROQUIS!$C$126,1))+1)))-1,0),0,MOD($A47-1,5))+1,0,2,CROQUIS!$C$97-2,2,0),((CROQUIS!$C$107/2+(((CROQUIS!$C$98)-CROQUIS!$C$107)-(MIN(80,MAX(1,INT(((CROQUIS!$C$98)-CROQUIS!$C$107)/MAX(CROQUIS!$C$126,1))+1))-1)*CROQUIS!$C$126)/2)+MIN(INT(($A47-1)/5),MAX((MIN(80,MAX(1,INT(((CROQUIS!$C$98)-CROQUIS!$C$107)/MAX(CROQUIS!$C$126,1))+1)))-1,0))*CROQUIS!$C$126)))*CROQUIS!$C$155)+IF(CROQUIS!$C$92="X",0,0)),-1000)</f>
        <v>-1000</v>
      </c>
      <c r="BI47">
        <f>IF(AND(CROQUIS!$C$88=1,CROQUIS!$C$126&gt;0),((CROQUIS!$C$157+(IF(CROQUIS!$C$92="X",((CROQUIS!$C$107/2+(((CROQUIS!$C$98)-CROQUIS!$C$107)-(MIN(80,MAX(1,INT(((CROQUIS!$C$98)-CROQUIS!$C$107)/MAX(CROQUIS!$C$126,1))+1))-1)*CROQUIS!$C$126)/2)+MIN(INT(($A47-1)/5),MAX((MIN(80,MAX(1,INT(((CROQUIS!$C$98)-CROQUIS!$C$107)/MAX(CROQUIS!$C$126,1))+1)))-1,0))*CROQUIS!$C$126),CHOOSE(IF(INT(($A47-1)/5)&gt;MAX((MIN(80,MAX(1,INT(((CROQUIS!$C$98)-CROQUIS!$C$107)/MAX(CROQUIS!$C$126,1))+1)))-1,0),0,MOD($A47-1,5))+1,0,2,CROQUIS!$C$97-2,2,0)))*CROQUIS!$C$155)+IF(CROQUIS!$C$92="X",0,0)),-1000)</f>
        <v>-1000</v>
      </c>
      <c r="BJ47">
        <f>IF(AND(CROQUIS!$C$88=1,CROQUIS!$C$134&gt;0),((CROQUIS!$C$156+(IF(CROQUIS!$C$92="X",((CROQUIS!$C$107/2+(((CROQUIS!$C$97)-CROQUIS!$C$107)-(MIN(80,MAX(1,INT(((CROQUIS!$C$97)-CROQUIS!$C$107)/MAX(CROQUIS!$C$134,1))+1))-1)*CROQUIS!$C$134)/2)+MIN(INT(($A47-1)/5),MAX((MIN(80,MAX(1,INT(((CROQUIS!$C$97)-CROQUIS!$C$107)/MAX(CROQUIS!$C$134,1))+1)))-1,0))*CROQUIS!$C$134),CHOOSE(IF(INT(($A47-1)/5)&gt;MAX((MIN(80,MAX(1,INT(((CROQUIS!$C$97)-CROQUIS!$C$107)/MAX(CROQUIS!$C$134,1))+1)))-1,0),0,MOD($A47-1,5))+1,0,2,CROQUIS!$C$98-2,2,0)))*CROQUIS!$C$155)+IF(CROQUIS!$C$92="X",0,0)),-1000)</f>
        <v>-1000</v>
      </c>
      <c r="BK47">
        <f>IF(AND(CROQUIS!$C$88=1,CROQUIS!$C$134&gt;0),((CROQUIS!$C$157+(IF(CROQUIS!$C$92="X",CHOOSE(IF(INT(($A47-1)/5)&gt;MAX((MIN(80,MAX(1,INT(((CROQUIS!$C$97)-CROQUIS!$C$107)/MAX(CROQUIS!$C$134,1))+1)))-1,0),0,MOD($A47-1,5))+1,0,2,CROQUIS!$C$98-2,2,0),((CROQUIS!$C$107/2+(((CROQUIS!$C$97)-CROQUIS!$C$107)-(MIN(80,MAX(1,INT(((CROQUIS!$C$97)-CROQUIS!$C$107)/MAX(CROQUIS!$C$134,1))+1))-1)*CROQUIS!$C$134)/2)+MIN(INT(($A47-1)/5),MAX((MIN(80,MAX(1,INT(((CROQUIS!$C$97)-CROQUIS!$C$107)/MAX(CROQUIS!$C$134,1))+1)))-1,0))*CROQUIS!$C$134)))*CROQUIS!$C$155)+IF(CROQUIS!$C$92="X",0,0)),-1000)</f>
        <v>-1000</v>
      </c>
      <c r="BL47">
        <f>IF(AND(CROQUIS!$C$88=1,CROQUIS!$C$91=0,CROQUIS!$C$130&gt;0,OR(CROQUIS!$C$103=1,CROQUIS!$C$142=1)),((CROQUIS!$C$156+(IF(CROQUIS!$C$92="X",CHOOSE(IF(INT(($A47-1)/5)&gt;MAX((MIN(80,MAX(1,INT(((CROQUIS!$C$98)-CROQUIS!$C$107)/MAX(CROQUIS!$C$130,1))+1)))-1,0),0,MOD($A47-1,5))+1,0,IF(CROQUIS!$C$103=1,-12,2),CROQUIS!$C$107/2+CROQUIS!$C$140,IF(CROQUIS!$C$103=1,-12,2),0),((CROQUIS!$C$107/2+(((CROQUIS!$C$98)-CROQUIS!$C$107)-(MIN(80,MAX(1,INT(((CROQUIS!$C$98)-CROQUIS!$C$107)/MAX(CROQUIS!$C$130,1))+1))-1)*CROQUIS!$C$130)/2)+MIN(INT(($A47-1)/5),MAX((MIN(80,MAX(1,INT(((CROQUIS!$C$98)-CROQUIS!$C$107)/MAX(CROQUIS!$C$130,1))+1)))-1,0))*CROQUIS!$C$130)))*CROQUIS!$C$155)+IF(CROQUIS!$C$92="X",0,0)),-1000)</f>
        <v>-1000</v>
      </c>
      <c r="BM4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47-1)/5),MAX((MIN(80,MAX(1,INT(((CROQUIS!$C$98)-CROQUIS!$C$107)/MAX(CROQUIS!$C$130,1))+1)))-1,0))*CROQUIS!$C$130),CHOOSE(IF(INT(($A47-1)/5)&gt;MAX((MIN(80,MAX(1,INT(((CROQUIS!$C$98)-CROQUIS!$C$107)/MAX(CROQUIS!$C$130,1))+1)))-1,0),0,MOD($A47-1,5))+1,0,IF(CROQUIS!$C$103=1,-12,2),CROQUIS!$C$107/2+CROQUIS!$C$140,IF(CROQUIS!$C$103=1,-12,2),0)))*CROQUIS!$C$155)+IF(CROQUIS!$C$92="X",0,0)),-1000)</f>
        <v>-1000</v>
      </c>
      <c r="BN47">
        <f>IF(AND(CROQUIS!$C$88=1,CROQUIS!$C$91=0,CROQUIS!$C$130&gt;0,OR(CROQUIS!$C$104=1,CROQUIS!$C$142=1)),((CROQUIS!$C$156+(IF(CROQUIS!$C$92="X",CHOOSE(IF(INT(($A47-1)/5)&gt;MAX((MIN(80,MAX(1,INT(((CROQUIS!$C$98)-CROQUIS!$C$107)/MAX(CROQUIS!$C$130,1))+1)))-1,0),0,MOD($A47-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47-1)/5),MAX((MIN(80,MAX(1,INT(((CROQUIS!$C$98)-CROQUIS!$C$107)/MAX(CROQUIS!$C$130,1))+1)))-1,0))*CROQUIS!$C$130)))*CROQUIS!$C$155)+IF(CROQUIS!$C$92="X",0,0)),-1000)</f>
        <v>-1000</v>
      </c>
      <c r="BO4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47-1)/5),MAX((MIN(80,MAX(1,INT(((CROQUIS!$C$98)-CROQUIS!$C$107)/MAX(CROQUIS!$C$130,1))+1)))-1,0))*CROQUIS!$C$130),CHOOSE(IF(INT(($A47-1)/5)&gt;MAX((MIN(80,MAX(1,INT(((CROQUIS!$C$98)-CROQUIS!$C$107)/MAX(CROQUIS!$C$130,1))+1)))-1,0),0,MOD($A47-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47-1)/5),MAX((MIN(80,MAX(1,INT(((CROQUIS!$C$97)-CROQUIS!$C$107)/MAX(CROQUIS!$C$138,1))+1)))-1,0))*CROQUIS!$C$138),CHOOSE(IF(INT(($A47-1)/5)&gt;MAX((MIN(80,MAX(1,INT(((CROQUIS!$C$97)-CROQUIS!$C$107)/MAX(CROQUIS!$C$138,1))+1)))-1,0),0,MOD($A47-1,5))+1,0,IF(CROQUIS!$C$105=1,-12,2),CROQUIS!$C$107/2+CROQUIS!$C$141,IF(CROQUIS!$C$105=1,-12,2),0)))*CROQUIS!$C$155)+IF(CROQUIS!$C$92="X",0,0)),-1000)</f>
        <v>-1000</v>
      </c>
      <c r="BQ47">
        <f>IF(AND(CROQUIS!$C$88=1,CROQUIS!$C$91=0,CROQUIS!$C$138&gt;0,OR(CROQUIS!$C$105=1,CROQUIS!$C$143=1)),((CROQUIS!$C$157+(IF(CROQUIS!$C$92="X",CHOOSE(IF(INT(($A47-1)/5)&gt;MAX((MIN(80,MAX(1,INT(((CROQUIS!$C$97)-CROQUIS!$C$107)/MAX(CROQUIS!$C$138,1))+1)))-1,0),0,MOD($A47-1,5))+1,0,IF(CROQUIS!$C$105=1,-12,2),CROQUIS!$C$107/2+CROQUIS!$C$141,IF(CROQUIS!$C$105=1,-12,2),0),((CROQUIS!$C$107/2+(((CROQUIS!$C$97)-CROQUIS!$C$107)-(MIN(80,MAX(1,INT(((CROQUIS!$C$97)-CROQUIS!$C$107)/MAX(CROQUIS!$C$138,1))+1))-1)*CROQUIS!$C$138)/2)+MIN(INT(($A47-1)/5),MAX((MIN(80,MAX(1,INT(((CROQUIS!$C$97)-CROQUIS!$C$107)/MAX(CROQUIS!$C$138,1))+1)))-1,0))*CROQUIS!$C$138)))*CROQUIS!$C$155)+IF(CROQUIS!$C$92="X",0,0)),-1000)</f>
        <v>-1000</v>
      </c>
      <c r="BR4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47-1)/5),MAX((MIN(80,MAX(1,INT(((CROQUIS!$C$97)-CROQUIS!$C$107)/MAX(CROQUIS!$C$138,1))+1)))-1,0))*CROQUIS!$C$138),CHOOSE(IF(INT(($A47-1)/5)&gt;MAX((MIN(80,MAX(1,INT(((CROQUIS!$C$97)-CROQUIS!$C$107)/MAX(CROQUIS!$C$138,1))+1)))-1,0),0,MOD($A47-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7">
        <f>IF(AND(CROQUIS!$C$88=1,CROQUIS!$C$91=0,CROQUIS!$C$138&gt;0,OR(CROQUIS!$C$106=1,CROQUIS!$C$143=1)),((CROQUIS!$C$157+(IF(CROQUIS!$C$92="X",CHOOSE(IF(INT(($A47-1)/5)&gt;MAX((MIN(80,MAX(1,INT(((CROQUIS!$C$97)-CROQUIS!$C$107)/MAX(CROQUIS!$C$138,1))+1)))-1,0),0,MOD($A47-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47-1)/5),MAX((MIN(80,MAX(1,INT(((CROQUIS!$C$97)-CROQUIS!$C$107)/MAX(CROQUIS!$C$138,1))+1)))-1,0))*CROQUIS!$C$138)))*CROQUIS!$C$155)+IF(CROQUIS!$C$92="X",0,0)),-1000)</f>
        <v>-1000</v>
      </c>
      <c r="BT47">
        <f>IF(AND(CROQUIS!$C$88=1,CROQUIS!$C$91=1,CROQUIS!$C$130&gt;0),((CROQUIS!$C$156+(IF(CROQUIS!$C$92="X",CHOOSE(IF(INT(($A47-1)/5)&gt;MAX((MIN(80,MAX(1,INT(((CROQUIS!$C$98)-CROQUIS!$C$107)/MAX(CROQUIS!$C$130,1))+1)))-1,0),0,MOD($A47-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47-1)/5),MAX((MIN(80,MAX(1,INT(((CROQUIS!$C$98)-CROQUIS!$C$107)/MAX(CROQUIS!$C$130,1))+1)))-1,0))*CROQUIS!$C$130)))*CROQUIS!$C$155)+IF(CROQUIS!$C$92="X",0,0)),-1000)</f>
        <v>-1000</v>
      </c>
      <c r="BU47">
        <f>IF(AND(CROQUIS!$C$88=1,CROQUIS!$C$91=1,CROQUIS!$C$130&gt;0),((CROQUIS!$C$157+(IF(CROQUIS!$C$92="X",((CROQUIS!$C$107/2+(((CROQUIS!$C$98)-CROQUIS!$C$107)-(MIN(80,MAX(1,INT(((CROQUIS!$C$98)-CROQUIS!$C$107)/MAX(CROQUIS!$C$130,1))+1))-1)*CROQUIS!$C$130)/2)+MIN(INT(($A47-1)/5),MAX((MIN(80,MAX(1,INT(((CROQUIS!$C$98)-CROQUIS!$C$107)/MAX(CROQUIS!$C$130,1))+1)))-1,0))*CROQUIS!$C$130),CHOOSE(IF(INT(($A47-1)/5)&gt;MAX((MIN(80,MAX(1,INT(((CROQUIS!$C$98)-CROQUIS!$C$107)/MAX(CROQUIS!$C$130,1))+1)))-1,0),0,MOD($A47-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8">
      <c r="A48" t="n">
        <v>41</v>
      </c>
      <c r="F48">
        <f>IF(AND(CROQUIS!$C$87=1,CROQUIS!$C$91=1),((CROQUIS!$C$156+(IF(CROQUIS!$C$92="X",IF(CROQUIS!$C$94=1,0,CROQUIS!$C$97)+IF(MOD($A48,2)=1,-CROQUIS!$C$107/2,CROQUIS!$C$107/2),(MIN($A48,41)-1)/40*CROQUIS!$C$98))*CROQUIS!$C$155)+IF(CROQUIS!$C$92="X",0,0)),-1000)</f>
        <v>-1000</v>
      </c>
      <c r="G48">
        <f>IF(AND(CROQUIS!$C$87=1,CROQUIS!$C$91=1),((CROQUIS!$C$157+(IF(CROQUIS!$C$92="X",(MIN($A48,41)-1)/40*CROQUIS!$C$98,IF(CROQUIS!$C$94=1,0,CROQUIS!$C$97)+IF(MOD($A48,2)=1,-CROQUIS!$C$107/2,CROQUIS!$C$107/2)))*CROQUIS!$C$155)+IF(CROQUIS!$C$92="X",0,0)),-1000)</f>
        <v>-1000</v>
      </c>
      <c r="T48">
        <f>IF(AND(CROQUIS!$C$88=1,CROQUIS!$C$91=1),((CROQUIS!$C$156+(IF(CROQUIS!$C$92="X",IF(CROQUIS!$C$94=1,0,CROQUIS!$C$97)+IF(MOD($A48,2)=1,-CROQUIS!$C$107/2,CROQUIS!$C$107/2),(MIN($A48,41)-1)/40*CROQUIS!$C$98))*CROQUIS!$C$155)+IF(CROQUIS!$C$92="X",0,0)),-1000)</f>
        <v>-1000</v>
      </c>
      <c r="U48">
        <f>IF(AND(CROQUIS!$C$88=1,CROQUIS!$C$91=1),((CROQUIS!$C$157+(IF(CROQUIS!$C$92="X",(MIN($A48,41)-1)/40*CROQUIS!$C$98,IF(CROQUIS!$C$94=1,0,CROQUIS!$C$97)+IF(MOD($A48,2)=1,-CROQUIS!$C$107/2,CROQUIS!$C$107/2)))*CROQUIS!$C$155)+IF(CROQUIS!$C$92="X",0,0)),-1000)</f>
        <v>-1000</v>
      </c>
      <c r="AF48">
        <f>IF(AND(CROQUIS!$C$87=1,CROQUIS!$C$158&gt;0,CROQUIS!$C$160&gt;0),(CROQUIS!$C$156+((CROQUIS!$C$159+INT(MIN(INT(($A48-1)/2),MAX((2*CROQUIS!$C$158)-1,0))/2)*CROQUIS!$C$113+MOD(MIN(INT(($A48-1)/2),MAX((2*CROQUIS!$C$158)-1,0)),2)*CROQUIS!$C$112))*CROQUIS!$C$155),-1000)</f>
        <v>85.2010845006778</v>
      </c>
      <c r="AG48">
        <f>IF(AND(CROQUIS!$C$87=1,CROQUIS!$C$158&gt;0,CROQUIS!$C$160&gt;0),(CROQUIS!$C$157+(IF(MOD(MIN(INT(($A48-1)/2),MAX((2*CROQUIS!$C$158)-1,0)),2)=0,IF(IF(INT(($A48-1)/2)&gt;MAX((2*CROQUIS!$C$158)-1,0),1,MOD($A48-1,2))=0,CROQUIS!$C$161,(CROQUIS!$C$161+CROQUIS!$C$160*CROQUIS!$C$113-CROQUIS!$C$111)),IF(IF(INT(($A48-1)/2)&gt;MAX((2*CROQUIS!$C$158)-1,0),1,MOD($A48-1,2))=0,(CROQUIS!$C$161+CROQUIS!$C$160*CROQUIS!$C$113-CROQUIS!$C$111),CROQUIS!$C$161)))*CROQUIS!$C$155),-1000)</f>
        <v>20.8088567555355</v>
      </c>
      <c r="AH48">
        <f>IF(AND(CROQUIS!$C$87=1,CROQUIS!$C$160&gt;0,CROQUIS!$C$158&gt;0),(CROQUIS!$C$156+(IF(MOD(MIN(INT(($A48-1)/2),MAX((2*CROQUIS!$C$160)-1,0)),2)=0,IF(IF(INT(($A48-1)/2)&gt;MAX((2*CROQUIS!$C$160)-1,0),1,MOD($A48-1,2))=0,CROQUIS!$C$159,(CROQUIS!$C$159+CROQUIS!$C$158*CROQUIS!$C$113-CROQUIS!$C$111)),IF(IF(INT(($A48-1)/2)&gt;MAX((2*CROQUIS!$C$160)-1,0),1,MOD($A48-1,2))=0,(CROQUIS!$C$159+CROQUIS!$C$158*CROQUIS!$C$113-CROQUIS!$C$111),CROQUIS!$C$159)))*CROQUIS!$C$155),-1000)</f>
        <v>14.7989154993222</v>
      </c>
      <c r="AI48">
        <f>IF(AND(CROQUIS!$C$87=1,CROQUIS!$C$160&gt;0,CROQUIS!$C$158&gt;0),(CROQUIS!$C$157+((CROQUIS!$C$161+INT(MIN(INT(($A48-1)/2),MAX((2*CROQUIS!$C$160)-1,0))/2)*CROQUIS!$C$113+MOD(MIN(INT(($A48-1)/2),MAX((2*CROQUIS!$C$160)-1,0)),2)*CROQUIS!$C$112))*CROQUIS!$C$155),-1000)</f>
        <v>79.1911432444645</v>
      </c>
      <c r="AJ48">
        <f>IF(AND(CROQUIS!$C$87=1,CROQUIS!$C$158&gt;=2),(CROQUIS!$C$156+((CROQUIS!$C$159+CROQUIS!$C$112+CROQUIS!$C$111/2+MIN(INT(($A48-1)/2),MAX((CROQUIS!$C$158-1)-1,0))*CROQUIS!$C$113))*CROQUIS!$C$155),-1000)</f>
        <v>74.0397650248531</v>
      </c>
      <c r="AK48">
        <f>IF(AND(CROQUIS!$C$87=1,CROQUIS!$C$158&gt;=2),(CROQUIS!$C$157+(IF(MOD(MIN(INT(($A48-1)/2),MAX((CROQUIS!$C$158-1)-1,0)),2)=0,IF(IF(INT(($A48-1)/2)&gt;MAX((CROQUIS!$C$158-1)-1,0),1,MOD($A48-1,2))=0,CROQUIS!$C$107/2,(CROQUIS!$C$96-CROQUIS!$C$107/2)),IF(IF(INT(($A48-1)/2)&gt;MAX((CROQUIS!$C$158-1)-1,0),1,MOD($A48-1,2))=0,(CROQUIS!$C$96-CROQUIS!$C$107/2),CROQUIS!$C$107/2)))*CROQUIS!$C$155),-1000)</f>
        <v>83.0546769091731</v>
      </c>
      <c r="AL48">
        <f>IF(AND(CROQUIS!$C$87=1,CROQUIS!$C$160&gt;=2),(CROQUIS!$C$156+(IF(MOD(MIN(INT(($A48-1)/2),MAX((CROQUIS!$C$160-1)-1,0)),2)=0,IF(IF(INT(($A48-1)/2)&gt;MAX((CROQUIS!$C$160-1)-1,0),1,MOD($A48-1,2))=0,CROQUIS!$C$107/2,(CROQUIS!$C$95-CROQUIS!$C$107/2)),IF(IF(INT(($A48-1)/2)&gt;MAX((CROQUIS!$C$160-1)-1,0),1,MOD($A48-1,2))=0,(CROQUIS!$C$95-CROQUIS!$C$107/2),CROQUIS!$C$107/2)))*CROQUIS!$C$155),-1000)</f>
        <v>13.2878445549028</v>
      </c>
      <c r="AM48">
        <f>IF(AND(CROQUIS!$C$87=1,CROQUIS!$C$160&gt;=2),(CROQUIS!$C$157+((CROQUIS!$C$161+CROQUIS!$C$112+CROQUIS!$C$111/2+MIN(INT(($A48-1)/2),MAX((CROQUIS!$C$160-1)-1,0))*CROQUIS!$C$113))*CROQUIS!$C$155),-1000)</f>
        <v>68.0298237686399</v>
      </c>
      <c r="BH48">
        <f>IF(AND(CROQUIS!$C$88=1,CROQUIS!$C$126&gt;0),((CROQUIS!$C$156+(IF(CROQUIS!$C$92="X",CHOOSE(IF(INT(($A48-1)/5)&gt;MAX((MIN(80,MAX(1,INT(((CROQUIS!$C$98)-CROQUIS!$C$107)/MAX(CROQUIS!$C$126,1))+1)))-1,0),0,MOD($A48-1,5))+1,0,2,CROQUIS!$C$97-2,2,0),((CROQUIS!$C$107/2+(((CROQUIS!$C$98)-CROQUIS!$C$107)-(MIN(80,MAX(1,INT(((CROQUIS!$C$98)-CROQUIS!$C$107)/MAX(CROQUIS!$C$126,1))+1))-1)*CROQUIS!$C$126)/2)+MIN(INT(($A48-1)/5),MAX((MIN(80,MAX(1,INT(((CROQUIS!$C$98)-CROQUIS!$C$107)/MAX(CROQUIS!$C$126,1))+1)))-1,0))*CROQUIS!$C$126)))*CROQUIS!$C$155)+IF(CROQUIS!$C$92="X",0,0)),-1000)</f>
        <v>-1000</v>
      </c>
      <c r="BI48">
        <f>IF(AND(CROQUIS!$C$88=1,CROQUIS!$C$126&gt;0),((CROQUIS!$C$157+(IF(CROQUIS!$C$92="X",((CROQUIS!$C$107/2+(((CROQUIS!$C$98)-CROQUIS!$C$107)-(MIN(80,MAX(1,INT(((CROQUIS!$C$98)-CROQUIS!$C$107)/MAX(CROQUIS!$C$126,1))+1))-1)*CROQUIS!$C$126)/2)+MIN(INT(($A48-1)/5),MAX((MIN(80,MAX(1,INT(((CROQUIS!$C$98)-CROQUIS!$C$107)/MAX(CROQUIS!$C$126,1))+1)))-1,0))*CROQUIS!$C$126),CHOOSE(IF(INT(($A48-1)/5)&gt;MAX((MIN(80,MAX(1,INT(((CROQUIS!$C$98)-CROQUIS!$C$107)/MAX(CROQUIS!$C$126,1))+1)))-1,0),0,MOD($A48-1,5))+1,0,2,CROQUIS!$C$97-2,2,0)))*CROQUIS!$C$155)+IF(CROQUIS!$C$92="X",0,0)),-1000)</f>
        <v>-1000</v>
      </c>
      <c r="BJ48">
        <f>IF(AND(CROQUIS!$C$88=1,CROQUIS!$C$134&gt;0),((CROQUIS!$C$156+(IF(CROQUIS!$C$92="X",((CROQUIS!$C$107/2+(((CROQUIS!$C$97)-CROQUIS!$C$107)-(MIN(80,MAX(1,INT(((CROQUIS!$C$97)-CROQUIS!$C$107)/MAX(CROQUIS!$C$134,1))+1))-1)*CROQUIS!$C$134)/2)+MIN(INT(($A48-1)/5),MAX((MIN(80,MAX(1,INT(((CROQUIS!$C$97)-CROQUIS!$C$107)/MAX(CROQUIS!$C$134,1))+1)))-1,0))*CROQUIS!$C$134),CHOOSE(IF(INT(($A48-1)/5)&gt;MAX((MIN(80,MAX(1,INT(((CROQUIS!$C$97)-CROQUIS!$C$107)/MAX(CROQUIS!$C$134,1))+1)))-1,0),0,MOD($A48-1,5))+1,0,2,CROQUIS!$C$98-2,2,0)))*CROQUIS!$C$155)+IF(CROQUIS!$C$92="X",0,0)),-1000)</f>
        <v>-1000</v>
      </c>
      <c r="BK48">
        <f>IF(AND(CROQUIS!$C$88=1,CROQUIS!$C$134&gt;0),((CROQUIS!$C$157+(IF(CROQUIS!$C$92="X",CHOOSE(IF(INT(($A48-1)/5)&gt;MAX((MIN(80,MAX(1,INT(((CROQUIS!$C$97)-CROQUIS!$C$107)/MAX(CROQUIS!$C$134,1))+1)))-1,0),0,MOD($A48-1,5))+1,0,2,CROQUIS!$C$98-2,2,0),((CROQUIS!$C$107/2+(((CROQUIS!$C$97)-CROQUIS!$C$107)-(MIN(80,MAX(1,INT(((CROQUIS!$C$97)-CROQUIS!$C$107)/MAX(CROQUIS!$C$134,1))+1))-1)*CROQUIS!$C$134)/2)+MIN(INT(($A48-1)/5),MAX((MIN(80,MAX(1,INT(((CROQUIS!$C$97)-CROQUIS!$C$107)/MAX(CROQUIS!$C$134,1))+1)))-1,0))*CROQUIS!$C$134)))*CROQUIS!$C$155)+IF(CROQUIS!$C$92="X",0,0)),-1000)</f>
        <v>-1000</v>
      </c>
      <c r="BL48">
        <f>IF(AND(CROQUIS!$C$88=1,CROQUIS!$C$91=0,CROQUIS!$C$130&gt;0,OR(CROQUIS!$C$103=1,CROQUIS!$C$142=1)),((CROQUIS!$C$156+(IF(CROQUIS!$C$92="X",CHOOSE(IF(INT(($A48-1)/5)&gt;MAX((MIN(80,MAX(1,INT(((CROQUIS!$C$98)-CROQUIS!$C$107)/MAX(CROQUIS!$C$130,1))+1)))-1,0),0,MOD($A48-1,5))+1,0,IF(CROQUIS!$C$103=1,-12,2),CROQUIS!$C$107/2+CROQUIS!$C$140,IF(CROQUIS!$C$103=1,-12,2),0),((CROQUIS!$C$107/2+(((CROQUIS!$C$98)-CROQUIS!$C$107)-(MIN(80,MAX(1,INT(((CROQUIS!$C$98)-CROQUIS!$C$107)/MAX(CROQUIS!$C$130,1))+1))-1)*CROQUIS!$C$130)/2)+MIN(INT(($A48-1)/5),MAX((MIN(80,MAX(1,INT(((CROQUIS!$C$98)-CROQUIS!$C$107)/MAX(CROQUIS!$C$130,1))+1)))-1,0))*CROQUIS!$C$130)))*CROQUIS!$C$155)+IF(CROQUIS!$C$92="X",0,0)),-1000)</f>
        <v>-1000</v>
      </c>
      <c r="BM4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48-1)/5),MAX((MIN(80,MAX(1,INT(((CROQUIS!$C$98)-CROQUIS!$C$107)/MAX(CROQUIS!$C$130,1))+1)))-1,0))*CROQUIS!$C$130),CHOOSE(IF(INT(($A48-1)/5)&gt;MAX((MIN(80,MAX(1,INT(((CROQUIS!$C$98)-CROQUIS!$C$107)/MAX(CROQUIS!$C$130,1))+1)))-1,0),0,MOD($A48-1,5))+1,0,IF(CROQUIS!$C$103=1,-12,2),CROQUIS!$C$107/2+CROQUIS!$C$140,IF(CROQUIS!$C$103=1,-12,2),0)))*CROQUIS!$C$155)+IF(CROQUIS!$C$92="X",0,0)),-1000)</f>
        <v>-1000</v>
      </c>
      <c r="BN48">
        <f>IF(AND(CROQUIS!$C$88=1,CROQUIS!$C$91=0,CROQUIS!$C$130&gt;0,OR(CROQUIS!$C$104=1,CROQUIS!$C$142=1)),((CROQUIS!$C$156+(IF(CROQUIS!$C$92="X",CHOOSE(IF(INT(($A48-1)/5)&gt;MAX((MIN(80,MAX(1,INT(((CROQUIS!$C$98)-CROQUIS!$C$107)/MAX(CROQUIS!$C$130,1))+1)))-1,0),0,MOD($A48-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48-1)/5),MAX((MIN(80,MAX(1,INT(((CROQUIS!$C$98)-CROQUIS!$C$107)/MAX(CROQUIS!$C$130,1))+1)))-1,0))*CROQUIS!$C$130)))*CROQUIS!$C$155)+IF(CROQUIS!$C$92="X",0,0)),-1000)</f>
        <v>-1000</v>
      </c>
      <c r="BO4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48-1)/5),MAX((MIN(80,MAX(1,INT(((CROQUIS!$C$98)-CROQUIS!$C$107)/MAX(CROQUIS!$C$130,1))+1)))-1,0))*CROQUIS!$C$130),CHOOSE(IF(INT(($A48-1)/5)&gt;MAX((MIN(80,MAX(1,INT(((CROQUIS!$C$98)-CROQUIS!$C$107)/MAX(CROQUIS!$C$130,1))+1)))-1,0),0,MOD($A48-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48-1)/5),MAX((MIN(80,MAX(1,INT(((CROQUIS!$C$97)-CROQUIS!$C$107)/MAX(CROQUIS!$C$138,1))+1)))-1,0))*CROQUIS!$C$138),CHOOSE(IF(INT(($A48-1)/5)&gt;MAX((MIN(80,MAX(1,INT(((CROQUIS!$C$97)-CROQUIS!$C$107)/MAX(CROQUIS!$C$138,1))+1)))-1,0),0,MOD($A48-1,5))+1,0,IF(CROQUIS!$C$105=1,-12,2),CROQUIS!$C$107/2+CROQUIS!$C$141,IF(CROQUIS!$C$105=1,-12,2),0)))*CROQUIS!$C$155)+IF(CROQUIS!$C$92="X",0,0)),-1000)</f>
        <v>-1000</v>
      </c>
      <c r="BQ48">
        <f>IF(AND(CROQUIS!$C$88=1,CROQUIS!$C$91=0,CROQUIS!$C$138&gt;0,OR(CROQUIS!$C$105=1,CROQUIS!$C$143=1)),((CROQUIS!$C$157+(IF(CROQUIS!$C$92="X",CHOOSE(IF(INT(($A48-1)/5)&gt;MAX((MIN(80,MAX(1,INT(((CROQUIS!$C$97)-CROQUIS!$C$107)/MAX(CROQUIS!$C$138,1))+1)))-1,0),0,MOD($A48-1,5))+1,0,IF(CROQUIS!$C$105=1,-12,2),CROQUIS!$C$107/2+CROQUIS!$C$141,IF(CROQUIS!$C$105=1,-12,2),0),((CROQUIS!$C$107/2+(((CROQUIS!$C$97)-CROQUIS!$C$107)-(MIN(80,MAX(1,INT(((CROQUIS!$C$97)-CROQUIS!$C$107)/MAX(CROQUIS!$C$138,1))+1))-1)*CROQUIS!$C$138)/2)+MIN(INT(($A48-1)/5),MAX((MIN(80,MAX(1,INT(((CROQUIS!$C$97)-CROQUIS!$C$107)/MAX(CROQUIS!$C$138,1))+1)))-1,0))*CROQUIS!$C$138)))*CROQUIS!$C$155)+IF(CROQUIS!$C$92="X",0,0)),-1000)</f>
        <v>-1000</v>
      </c>
      <c r="BR4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48-1)/5),MAX((MIN(80,MAX(1,INT(((CROQUIS!$C$97)-CROQUIS!$C$107)/MAX(CROQUIS!$C$138,1))+1)))-1,0))*CROQUIS!$C$138),CHOOSE(IF(INT(($A48-1)/5)&gt;MAX((MIN(80,MAX(1,INT(((CROQUIS!$C$97)-CROQUIS!$C$107)/MAX(CROQUIS!$C$138,1))+1)))-1,0),0,MOD($A48-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8">
        <f>IF(AND(CROQUIS!$C$88=1,CROQUIS!$C$91=0,CROQUIS!$C$138&gt;0,OR(CROQUIS!$C$106=1,CROQUIS!$C$143=1)),((CROQUIS!$C$157+(IF(CROQUIS!$C$92="X",CHOOSE(IF(INT(($A48-1)/5)&gt;MAX((MIN(80,MAX(1,INT(((CROQUIS!$C$97)-CROQUIS!$C$107)/MAX(CROQUIS!$C$138,1))+1)))-1,0),0,MOD($A48-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48-1)/5),MAX((MIN(80,MAX(1,INT(((CROQUIS!$C$97)-CROQUIS!$C$107)/MAX(CROQUIS!$C$138,1))+1)))-1,0))*CROQUIS!$C$138)))*CROQUIS!$C$155)+IF(CROQUIS!$C$92="X",0,0)),-1000)</f>
        <v>-1000</v>
      </c>
      <c r="BT48">
        <f>IF(AND(CROQUIS!$C$88=1,CROQUIS!$C$91=1,CROQUIS!$C$130&gt;0),((CROQUIS!$C$156+(IF(CROQUIS!$C$92="X",CHOOSE(IF(INT(($A48-1)/5)&gt;MAX((MIN(80,MAX(1,INT(((CROQUIS!$C$98)-CROQUIS!$C$107)/MAX(CROQUIS!$C$130,1))+1)))-1,0),0,MOD($A48-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48-1)/5),MAX((MIN(80,MAX(1,INT(((CROQUIS!$C$98)-CROQUIS!$C$107)/MAX(CROQUIS!$C$130,1))+1)))-1,0))*CROQUIS!$C$130)))*CROQUIS!$C$155)+IF(CROQUIS!$C$92="X",0,0)),-1000)</f>
        <v>-1000</v>
      </c>
      <c r="BU48">
        <f>IF(AND(CROQUIS!$C$88=1,CROQUIS!$C$91=1,CROQUIS!$C$130&gt;0),((CROQUIS!$C$157+(IF(CROQUIS!$C$92="X",((CROQUIS!$C$107/2+(((CROQUIS!$C$98)-CROQUIS!$C$107)-(MIN(80,MAX(1,INT(((CROQUIS!$C$98)-CROQUIS!$C$107)/MAX(CROQUIS!$C$130,1))+1))-1)*CROQUIS!$C$130)/2)+MIN(INT(($A48-1)/5),MAX((MIN(80,MAX(1,INT(((CROQUIS!$C$98)-CROQUIS!$C$107)/MAX(CROQUIS!$C$130,1))+1)))-1,0))*CROQUIS!$C$130),CHOOSE(IF(INT(($A48-1)/5)&gt;MAX((MIN(80,MAX(1,INT(((CROQUIS!$C$98)-CROQUIS!$C$107)/MAX(CROQUIS!$C$130,1))+1)))-1,0),0,MOD($A48-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9">
      <c r="A49" t="n">
        <v>42</v>
      </c>
      <c r="AF49">
        <f>IF(AND(CROQUIS!$C$87=1,CROQUIS!$C$158&gt;0,CROQUIS!$C$160&gt;0),(CROQUIS!$C$156+((CROQUIS!$C$159+INT(MIN(INT(($A49-1)/2),MAX((2*CROQUIS!$C$158)-1,0))/2)*CROQUIS!$C$113+MOD(MIN(INT(($A49-1)/2),MAX((2*CROQUIS!$C$158)-1,0)),2)*CROQUIS!$C$112))*CROQUIS!$C$155),-1000)</f>
        <v>85.2010845006778</v>
      </c>
      <c r="AG49">
        <f>IF(AND(CROQUIS!$C$87=1,CROQUIS!$C$158&gt;0,CROQUIS!$C$160&gt;0),(CROQUIS!$C$157+(IF(MOD(MIN(INT(($A49-1)/2),MAX((2*CROQUIS!$C$158)-1,0)),2)=0,IF(IF(INT(($A49-1)/2)&gt;MAX((2*CROQUIS!$C$158)-1,0),1,MOD($A49-1,2))=0,CROQUIS!$C$161,(CROQUIS!$C$161+CROQUIS!$C$160*CROQUIS!$C$113-CROQUIS!$C$111)),IF(IF(INT(($A49-1)/2)&gt;MAX((2*CROQUIS!$C$158)-1,0),1,MOD($A49-1,2))=0,(CROQUIS!$C$161+CROQUIS!$C$160*CROQUIS!$C$113-CROQUIS!$C$111),CROQUIS!$C$161)))*CROQUIS!$C$155),-1000)</f>
        <v>20.8088567555355</v>
      </c>
      <c r="AH49">
        <f>IF(AND(CROQUIS!$C$87=1,CROQUIS!$C$160&gt;0,CROQUIS!$C$158&gt;0),(CROQUIS!$C$156+(IF(MOD(MIN(INT(($A49-1)/2),MAX((2*CROQUIS!$C$160)-1,0)),2)=0,IF(IF(INT(($A49-1)/2)&gt;MAX((2*CROQUIS!$C$160)-1,0),1,MOD($A49-1,2))=0,CROQUIS!$C$159,(CROQUIS!$C$159+CROQUIS!$C$158*CROQUIS!$C$113-CROQUIS!$C$111)),IF(IF(INT(($A49-1)/2)&gt;MAX((2*CROQUIS!$C$160)-1,0),1,MOD($A49-1,2))=0,(CROQUIS!$C$159+CROQUIS!$C$158*CROQUIS!$C$113-CROQUIS!$C$111),CROQUIS!$C$159)))*CROQUIS!$C$155),-1000)</f>
        <v>14.7989154993222</v>
      </c>
      <c r="AI49">
        <f>IF(AND(CROQUIS!$C$87=1,CROQUIS!$C$160&gt;0,CROQUIS!$C$158&gt;0),(CROQUIS!$C$157+((CROQUIS!$C$161+INT(MIN(INT(($A49-1)/2),MAX((2*CROQUIS!$C$160)-1,0))/2)*CROQUIS!$C$113+MOD(MIN(INT(($A49-1)/2),MAX((2*CROQUIS!$C$160)-1,0)),2)*CROQUIS!$C$112))*CROQUIS!$C$155),-1000)</f>
        <v>79.1911432444645</v>
      </c>
      <c r="AJ49">
        <f>IF(AND(CROQUIS!$C$87=1,CROQUIS!$C$158&gt;=2),(CROQUIS!$C$156+((CROQUIS!$C$159+CROQUIS!$C$112+CROQUIS!$C$111/2+MIN(INT(($A49-1)/2),MAX((CROQUIS!$C$158-1)-1,0))*CROQUIS!$C$113))*CROQUIS!$C$155),-1000)</f>
        <v>74.0397650248531</v>
      </c>
      <c r="AK49">
        <f>IF(AND(CROQUIS!$C$87=1,CROQUIS!$C$158&gt;=2),(CROQUIS!$C$157+(IF(MOD(MIN(INT(($A49-1)/2),MAX((CROQUIS!$C$158-1)-1,0)),2)=0,IF(IF(INT(($A49-1)/2)&gt;MAX((CROQUIS!$C$158-1)-1,0),1,MOD($A49-1,2))=0,CROQUIS!$C$107/2,(CROQUIS!$C$96-CROQUIS!$C$107/2)),IF(IF(INT(($A49-1)/2)&gt;MAX((CROQUIS!$C$158-1)-1,0),1,MOD($A49-1,2))=0,(CROQUIS!$C$96-CROQUIS!$C$107/2),CROQUIS!$C$107/2)))*CROQUIS!$C$155),-1000)</f>
        <v>83.0546769091731</v>
      </c>
      <c r="AL49">
        <f>IF(AND(CROQUIS!$C$87=1,CROQUIS!$C$160&gt;=2),(CROQUIS!$C$156+(IF(MOD(MIN(INT(($A49-1)/2),MAX((CROQUIS!$C$160-1)-1,0)),2)=0,IF(IF(INT(($A49-1)/2)&gt;MAX((CROQUIS!$C$160-1)-1,0),1,MOD($A49-1,2))=0,CROQUIS!$C$107/2,(CROQUIS!$C$95-CROQUIS!$C$107/2)),IF(IF(INT(($A49-1)/2)&gt;MAX((CROQUIS!$C$160-1)-1,0),1,MOD($A49-1,2))=0,(CROQUIS!$C$95-CROQUIS!$C$107/2),CROQUIS!$C$107/2)))*CROQUIS!$C$155),-1000)</f>
        <v>13.2878445549028</v>
      </c>
      <c r="AM49">
        <f>IF(AND(CROQUIS!$C$87=1,CROQUIS!$C$160&gt;=2),(CROQUIS!$C$157+((CROQUIS!$C$161+CROQUIS!$C$112+CROQUIS!$C$111/2+MIN(INT(($A49-1)/2),MAX((CROQUIS!$C$160-1)-1,0))*CROQUIS!$C$113))*CROQUIS!$C$155),-1000)</f>
        <v>68.0298237686399</v>
      </c>
      <c r="BH49">
        <f>IF(AND(CROQUIS!$C$88=1,CROQUIS!$C$126&gt;0),((CROQUIS!$C$156+(IF(CROQUIS!$C$92="X",CHOOSE(IF(INT(($A49-1)/5)&gt;MAX((MIN(80,MAX(1,INT(((CROQUIS!$C$98)-CROQUIS!$C$107)/MAX(CROQUIS!$C$126,1))+1)))-1,0),0,MOD($A49-1,5))+1,0,2,CROQUIS!$C$97-2,2,0),((CROQUIS!$C$107/2+(((CROQUIS!$C$98)-CROQUIS!$C$107)-(MIN(80,MAX(1,INT(((CROQUIS!$C$98)-CROQUIS!$C$107)/MAX(CROQUIS!$C$126,1))+1))-1)*CROQUIS!$C$126)/2)+MIN(INT(($A49-1)/5),MAX((MIN(80,MAX(1,INT(((CROQUIS!$C$98)-CROQUIS!$C$107)/MAX(CROQUIS!$C$126,1))+1)))-1,0))*CROQUIS!$C$126)))*CROQUIS!$C$155)+IF(CROQUIS!$C$92="X",0,0)),-1000)</f>
        <v>-1000</v>
      </c>
      <c r="BI49">
        <f>IF(AND(CROQUIS!$C$88=1,CROQUIS!$C$126&gt;0),((CROQUIS!$C$157+(IF(CROQUIS!$C$92="X",((CROQUIS!$C$107/2+(((CROQUIS!$C$98)-CROQUIS!$C$107)-(MIN(80,MAX(1,INT(((CROQUIS!$C$98)-CROQUIS!$C$107)/MAX(CROQUIS!$C$126,1))+1))-1)*CROQUIS!$C$126)/2)+MIN(INT(($A49-1)/5),MAX((MIN(80,MAX(1,INT(((CROQUIS!$C$98)-CROQUIS!$C$107)/MAX(CROQUIS!$C$126,1))+1)))-1,0))*CROQUIS!$C$126),CHOOSE(IF(INT(($A49-1)/5)&gt;MAX((MIN(80,MAX(1,INT(((CROQUIS!$C$98)-CROQUIS!$C$107)/MAX(CROQUIS!$C$126,1))+1)))-1,0),0,MOD($A49-1,5))+1,0,2,CROQUIS!$C$97-2,2,0)))*CROQUIS!$C$155)+IF(CROQUIS!$C$92="X",0,0)),-1000)</f>
        <v>-1000</v>
      </c>
      <c r="BJ49">
        <f>IF(AND(CROQUIS!$C$88=1,CROQUIS!$C$134&gt;0),((CROQUIS!$C$156+(IF(CROQUIS!$C$92="X",((CROQUIS!$C$107/2+(((CROQUIS!$C$97)-CROQUIS!$C$107)-(MIN(80,MAX(1,INT(((CROQUIS!$C$97)-CROQUIS!$C$107)/MAX(CROQUIS!$C$134,1))+1))-1)*CROQUIS!$C$134)/2)+MIN(INT(($A49-1)/5),MAX((MIN(80,MAX(1,INT(((CROQUIS!$C$97)-CROQUIS!$C$107)/MAX(CROQUIS!$C$134,1))+1)))-1,0))*CROQUIS!$C$134),CHOOSE(IF(INT(($A49-1)/5)&gt;MAX((MIN(80,MAX(1,INT(((CROQUIS!$C$97)-CROQUIS!$C$107)/MAX(CROQUIS!$C$134,1))+1)))-1,0),0,MOD($A49-1,5))+1,0,2,CROQUIS!$C$98-2,2,0)))*CROQUIS!$C$155)+IF(CROQUIS!$C$92="X",0,0)),-1000)</f>
        <v>-1000</v>
      </c>
      <c r="BK49">
        <f>IF(AND(CROQUIS!$C$88=1,CROQUIS!$C$134&gt;0),((CROQUIS!$C$157+(IF(CROQUIS!$C$92="X",CHOOSE(IF(INT(($A49-1)/5)&gt;MAX((MIN(80,MAX(1,INT(((CROQUIS!$C$97)-CROQUIS!$C$107)/MAX(CROQUIS!$C$134,1))+1)))-1,0),0,MOD($A49-1,5))+1,0,2,CROQUIS!$C$98-2,2,0),((CROQUIS!$C$107/2+(((CROQUIS!$C$97)-CROQUIS!$C$107)-(MIN(80,MAX(1,INT(((CROQUIS!$C$97)-CROQUIS!$C$107)/MAX(CROQUIS!$C$134,1))+1))-1)*CROQUIS!$C$134)/2)+MIN(INT(($A49-1)/5),MAX((MIN(80,MAX(1,INT(((CROQUIS!$C$97)-CROQUIS!$C$107)/MAX(CROQUIS!$C$134,1))+1)))-1,0))*CROQUIS!$C$134)))*CROQUIS!$C$155)+IF(CROQUIS!$C$92="X",0,0)),-1000)</f>
        <v>-1000</v>
      </c>
      <c r="BL49">
        <f>IF(AND(CROQUIS!$C$88=1,CROQUIS!$C$91=0,CROQUIS!$C$130&gt;0,OR(CROQUIS!$C$103=1,CROQUIS!$C$142=1)),((CROQUIS!$C$156+(IF(CROQUIS!$C$92="X",CHOOSE(IF(INT(($A49-1)/5)&gt;MAX((MIN(80,MAX(1,INT(((CROQUIS!$C$98)-CROQUIS!$C$107)/MAX(CROQUIS!$C$130,1))+1)))-1,0),0,MOD($A49-1,5))+1,0,IF(CROQUIS!$C$103=1,-12,2),CROQUIS!$C$107/2+CROQUIS!$C$140,IF(CROQUIS!$C$103=1,-12,2),0),((CROQUIS!$C$107/2+(((CROQUIS!$C$98)-CROQUIS!$C$107)-(MIN(80,MAX(1,INT(((CROQUIS!$C$98)-CROQUIS!$C$107)/MAX(CROQUIS!$C$130,1))+1))-1)*CROQUIS!$C$130)/2)+MIN(INT(($A49-1)/5),MAX((MIN(80,MAX(1,INT(((CROQUIS!$C$98)-CROQUIS!$C$107)/MAX(CROQUIS!$C$130,1))+1)))-1,0))*CROQUIS!$C$130)))*CROQUIS!$C$155)+IF(CROQUIS!$C$92="X",0,0)),-1000)</f>
        <v>-1000</v>
      </c>
      <c r="BM4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49-1)/5),MAX((MIN(80,MAX(1,INT(((CROQUIS!$C$98)-CROQUIS!$C$107)/MAX(CROQUIS!$C$130,1))+1)))-1,0))*CROQUIS!$C$130),CHOOSE(IF(INT(($A49-1)/5)&gt;MAX((MIN(80,MAX(1,INT(((CROQUIS!$C$98)-CROQUIS!$C$107)/MAX(CROQUIS!$C$130,1))+1)))-1,0),0,MOD($A49-1,5))+1,0,IF(CROQUIS!$C$103=1,-12,2),CROQUIS!$C$107/2+CROQUIS!$C$140,IF(CROQUIS!$C$103=1,-12,2),0)))*CROQUIS!$C$155)+IF(CROQUIS!$C$92="X",0,0)),-1000)</f>
        <v>-1000</v>
      </c>
      <c r="BN49">
        <f>IF(AND(CROQUIS!$C$88=1,CROQUIS!$C$91=0,CROQUIS!$C$130&gt;0,OR(CROQUIS!$C$104=1,CROQUIS!$C$142=1)),((CROQUIS!$C$156+(IF(CROQUIS!$C$92="X",CHOOSE(IF(INT(($A49-1)/5)&gt;MAX((MIN(80,MAX(1,INT(((CROQUIS!$C$98)-CROQUIS!$C$107)/MAX(CROQUIS!$C$130,1))+1)))-1,0),0,MOD($A49-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49-1)/5),MAX((MIN(80,MAX(1,INT(((CROQUIS!$C$98)-CROQUIS!$C$107)/MAX(CROQUIS!$C$130,1))+1)))-1,0))*CROQUIS!$C$130)))*CROQUIS!$C$155)+IF(CROQUIS!$C$92="X",0,0)),-1000)</f>
        <v>-1000</v>
      </c>
      <c r="BO4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49-1)/5),MAX((MIN(80,MAX(1,INT(((CROQUIS!$C$98)-CROQUIS!$C$107)/MAX(CROQUIS!$C$130,1))+1)))-1,0))*CROQUIS!$C$130),CHOOSE(IF(INT(($A49-1)/5)&gt;MAX((MIN(80,MAX(1,INT(((CROQUIS!$C$98)-CROQUIS!$C$107)/MAX(CROQUIS!$C$130,1))+1)))-1,0),0,MOD($A49-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49-1)/5),MAX((MIN(80,MAX(1,INT(((CROQUIS!$C$97)-CROQUIS!$C$107)/MAX(CROQUIS!$C$138,1))+1)))-1,0))*CROQUIS!$C$138),CHOOSE(IF(INT(($A49-1)/5)&gt;MAX((MIN(80,MAX(1,INT(((CROQUIS!$C$97)-CROQUIS!$C$107)/MAX(CROQUIS!$C$138,1))+1)))-1,0),0,MOD($A49-1,5))+1,0,IF(CROQUIS!$C$105=1,-12,2),CROQUIS!$C$107/2+CROQUIS!$C$141,IF(CROQUIS!$C$105=1,-12,2),0)))*CROQUIS!$C$155)+IF(CROQUIS!$C$92="X",0,0)),-1000)</f>
        <v>-1000</v>
      </c>
      <c r="BQ49">
        <f>IF(AND(CROQUIS!$C$88=1,CROQUIS!$C$91=0,CROQUIS!$C$138&gt;0,OR(CROQUIS!$C$105=1,CROQUIS!$C$143=1)),((CROQUIS!$C$157+(IF(CROQUIS!$C$92="X",CHOOSE(IF(INT(($A49-1)/5)&gt;MAX((MIN(80,MAX(1,INT(((CROQUIS!$C$97)-CROQUIS!$C$107)/MAX(CROQUIS!$C$138,1))+1)))-1,0),0,MOD($A49-1,5))+1,0,IF(CROQUIS!$C$105=1,-12,2),CROQUIS!$C$107/2+CROQUIS!$C$141,IF(CROQUIS!$C$105=1,-12,2),0),((CROQUIS!$C$107/2+(((CROQUIS!$C$97)-CROQUIS!$C$107)-(MIN(80,MAX(1,INT(((CROQUIS!$C$97)-CROQUIS!$C$107)/MAX(CROQUIS!$C$138,1))+1))-1)*CROQUIS!$C$138)/2)+MIN(INT(($A49-1)/5),MAX((MIN(80,MAX(1,INT(((CROQUIS!$C$97)-CROQUIS!$C$107)/MAX(CROQUIS!$C$138,1))+1)))-1,0))*CROQUIS!$C$138)))*CROQUIS!$C$155)+IF(CROQUIS!$C$92="X",0,0)),-1000)</f>
        <v>-1000</v>
      </c>
      <c r="BR4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49-1)/5),MAX((MIN(80,MAX(1,INT(((CROQUIS!$C$97)-CROQUIS!$C$107)/MAX(CROQUIS!$C$138,1))+1)))-1,0))*CROQUIS!$C$138),CHOOSE(IF(INT(($A49-1)/5)&gt;MAX((MIN(80,MAX(1,INT(((CROQUIS!$C$97)-CROQUIS!$C$107)/MAX(CROQUIS!$C$138,1))+1)))-1,0),0,MOD($A49-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9">
        <f>IF(AND(CROQUIS!$C$88=1,CROQUIS!$C$91=0,CROQUIS!$C$138&gt;0,OR(CROQUIS!$C$106=1,CROQUIS!$C$143=1)),((CROQUIS!$C$157+(IF(CROQUIS!$C$92="X",CHOOSE(IF(INT(($A49-1)/5)&gt;MAX((MIN(80,MAX(1,INT(((CROQUIS!$C$97)-CROQUIS!$C$107)/MAX(CROQUIS!$C$138,1))+1)))-1,0),0,MOD($A49-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49-1)/5),MAX((MIN(80,MAX(1,INT(((CROQUIS!$C$97)-CROQUIS!$C$107)/MAX(CROQUIS!$C$138,1))+1)))-1,0))*CROQUIS!$C$138)))*CROQUIS!$C$155)+IF(CROQUIS!$C$92="X",0,0)),-1000)</f>
        <v>-1000</v>
      </c>
      <c r="BT49">
        <f>IF(AND(CROQUIS!$C$88=1,CROQUIS!$C$91=1,CROQUIS!$C$130&gt;0),((CROQUIS!$C$156+(IF(CROQUIS!$C$92="X",CHOOSE(IF(INT(($A49-1)/5)&gt;MAX((MIN(80,MAX(1,INT(((CROQUIS!$C$98)-CROQUIS!$C$107)/MAX(CROQUIS!$C$130,1))+1)))-1,0),0,MOD($A49-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49-1)/5),MAX((MIN(80,MAX(1,INT(((CROQUIS!$C$98)-CROQUIS!$C$107)/MAX(CROQUIS!$C$130,1))+1)))-1,0))*CROQUIS!$C$130)))*CROQUIS!$C$155)+IF(CROQUIS!$C$92="X",0,0)),-1000)</f>
        <v>-1000</v>
      </c>
      <c r="BU49">
        <f>IF(AND(CROQUIS!$C$88=1,CROQUIS!$C$91=1,CROQUIS!$C$130&gt;0),((CROQUIS!$C$157+(IF(CROQUIS!$C$92="X",((CROQUIS!$C$107/2+(((CROQUIS!$C$98)-CROQUIS!$C$107)-(MIN(80,MAX(1,INT(((CROQUIS!$C$98)-CROQUIS!$C$107)/MAX(CROQUIS!$C$130,1))+1))-1)*CROQUIS!$C$130)/2)+MIN(INT(($A49-1)/5),MAX((MIN(80,MAX(1,INT(((CROQUIS!$C$98)-CROQUIS!$C$107)/MAX(CROQUIS!$C$130,1))+1)))-1,0))*CROQUIS!$C$130),CHOOSE(IF(INT(($A49-1)/5)&gt;MAX((MIN(80,MAX(1,INT(((CROQUIS!$C$98)-CROQUIS!$C$107)/MAX(CROQUIS!$C$130,1))+1)))-1,0),0,MOD($A49-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50">
      <c r="A50" t="n">
        <v>43</v>
      </c>
      <c r="AF50">
        <f>IF(AND(CROQUIS!$C$87=1,CROQUIS!$C$158&gt;0,CROQUIS!$C$160&gt;0),(CROQUIS!$C$156+((CROQUIS!$C$159+INT(MIN(INT(($A50-1)/2),MAX((2*CROQUIS!$C$158)-1,0))/2)*CROQUIS!$C$113+MOD(MIN(INT(($A50-1)/2),MAX((2*CROQUIS!$C$158)-1,0)),2)*CROQUIS!$C$112))*CROQUIS!$C$155),-1000)</f>
        <v>85.2010845006778</v>
      </c>
      <c r="AG50">
        <f>IF(AND(CROQUIS!$C$87=1,CROQUIS!$C$158&gt;0,CROQUIS!$C$160&gt;0),(CROQUIS!$C$157+(IF(MOD(MIN(INT(($A50-1)/2),MAX((2*CROQUIS!$C$158)-1,0)),2)=0,IF(IF(INT(($A50-1)/2)&gt;MAX((2*CROQUIS!$C$158)-1,0),1,MOD($A50-1,2))=0,CROQUIS!$C$161,(CROQUIS!$C$161+CROQUIS!$C$160*CROQUIS!$C$113-CROQUIS!$C$111)),IF(IF(INT(($A50-1)/2)&gt;MAX((2*CROQUIS!$C$158)-1,0),1,MOD($A50-1,2))=0,(CROQUIS!$C$161+CROQUIS!$C$160*CROQUIS!$C$113-CROQUIS!$C$111),CROQUIS!$C$161)))*CROQUIS!$C$155),-1000)</f>
        <v>20.8088567555355</v>
      </c>
      <c r="AH50">
        <f>IF(AND(CROQUIS!$C$87=1,CROQUIS!$C$160&gt;0,CROQUIS!$C$158&gt;0),(CROQUIS!$C$156+(IF(MOD(MIN(INT(($A50-1)/2),MAX((2*CROQUIS!$C$160)-1,0)),2)=0,IF(IF(INT(($A50-1)/2)&gt;MAX((2*CROQUIS!$C$160)-1,0),1,MOD($A50-1,2))=0,CROQUIS!$C$159,(CROQUIS!$C$159+CROQUIS!$C$158*CROQUIS!$C$113-CROQUIS!$C$111)),IF(IF(INT(($A50-1)/2)&gt;MAX((2*CROQUIS!$C$160)-1,0),1,MOD($A50-1,2))=0,(CROQUIS!$C$159+CROQUIS!$C$158*CROQUIS!$C$113-CROQUIS!$C$111),CROQUIS!$C$159)))*CROQUIS!$C$155),-1000)</f>
        <v>14.7989154993222</v>
      </c>
      <c r="AI50">
        <f>IF(AND(CROQUIS!$C$87=1,CROQUIS!$C$160&gt;0,CROQUIS!$C$158&gt;0),(CROQUIS!$C$157+((CROQUIS!$C$161+INT(MIN(INT(($A50-1)/2),MAX((2*CROQUIS!$C$160)-1,0))/2)*CROQUIS!$C$113+MOD(MIN(INT(($A50-1)/2),MAX((2*CROQUIS!$C$160)-1,0)),2)*CROQUIS!$C$112))*CROQUIS!$C$155),-1000)</f>
        <v>79.1911432444645</v>
      </c>
      <c r="AJ50">
        <f>IF(AND(CROQUIS!$C$87=1,CROQUIS!$C$158&gt;=2),(CROQUIS!$C$156+((CROQUIS!$C$159+CROQUIS!$C$112+CROQUIS!$C$111/2+MIN(INT(($A50-1)/2),MAX((CROQUIS!$C$158-1)-1,0))*CROQUIS!$C$113))*CROQUIS!$C$155),-1000)</f>
        <v>74.0397650248531</v>
      </c>
      <c r="AK50">
        <f>IF(AND(CROQUIS!$C$87=1,CROQUIS!$C$158&gt;=2),(CROQUIS!$C$157+(IF(MOD(MIN(INT(($A50-1)/2),MAX((CROQUIS!$C$158-1)-1,0)),2)=0,IF(IF(INT(($A50-1)/2)&gt;MAX((CROQUIS!$C$158-1)-1,0),1,MOD($A50-1,2))=0,CROQUIS!$C$107/2,(CROQUIS!$C$96-CROQUIS!$C$107/2)),IF(IF(INT(($A50-1)/2)&gt;MAX((CROQUIS!$C$158-1)-1,0),1,MOD($A50-1,2))=0,(CROQUIS!$C$96-CROQUIS!$C$107/2),CROQUIS!$C$107/2)))*CROQUIS!$C$155),-1000)</f>
        <v>83.0546769091731</v>
      </c>
      <c r="AL50">
        <f>IF(AND(CROQUIS!$C$87=1,CROQUIS!$C$160&gt;=2),(CROQUIS!$C$156+(IF(MOD(MIN(INT(($A50-1)/2),MAX((CROQUIS!$C$160-1)-1,0)),2)=0,IF(IF(INT(($A50-1)/2)&gt;MAX((CROQUIS!$C$160-1)-1,0),1,MOD($A50-1,2))=0,CROQUIS!$C$107/2,(CROQUIS!$C$95-CROQUIS!$C$107/2)),IF(IF(INT(($A50-1)/2)&gt;MAX((CROQUIS!$C$160-1)-1,0),1,MOD($A50-1,2))=0,(CROQUIS!$C$95-CROQUIS!$C$107/2),CROQUIS!$C$107/2)))*CROQUIS!$C$155),-1000)</f>
        <v>13.2878445549028</v>
      </c>
      <c r="AM50">
        <f>IF(AND(CROQUIS!$C$87=1,CROQUIS!$C$160&gt;=2),(CROQUIS!$C$157+((CROQUIS!$C$161+CROQUIS!$C$112+CROQUIS!$C$111/2+MIN(INT(($A50-1)/2),MAX((CROQUIS!$C$160-1)-1,0))*CROQUIS!$C$113))*CROQUIS!$C$155),-1000)</f>
        <v>68.0298237686399</v>
      </c>
      <c r="BH50">
        <f>IF(AND(CROQUIS!$C$88=1,CROQUIS!$C$126&gt;0),((CROQUIS!$C$156+(IF(CROQUIS!$C$92="X",CHOOSE(IF(INT(($A50-1)/5)&gt;MAX((MIN(80,MAX(1,INT(((CROQUIS!$C$98)-CROQUIS!$C$107)/MAX(CROQUIS!$C$126,1))+1)))-1,0),0,MOD($A50-1,5))+1,0,2,CROQUIS!$C$97-2,2,0),((CROQUIS!$C$107/2+(((CROQUIS!$C$98)-CROQUIS!$C$107)-(MIN(80,MAX(1,INT(((CROQUIS!$C$98)-CROQUIS!$C$107)/MAX(CROQUIS!$C$126,1))+1))-1)*CROQUIS!$C$126)/2)+MIN(INT(($A50-1)/5),MAX((MIN(80,MAX(1,INT(((CROQUIS!$C$98)-CROQUIS!$C$107)/MAX(CROQUIS!$C$126,1))+1)))-1,0))*CROQUIS!$C$126)))*CROQUIS!$C$155)+IF(CROQUIS!$C$92="X",0,0)),-1000)</f>
        <v>-1000</v>
      </c>
      <c r="BI50">
        <f>IF(AND(CROQUIS!$C$88=1,CROQUIS!$C$126&gt;0),((CROQUIS!$C$157+(IF(CROQUIS!$C$92="X",((CROQUIS!$C$107/2+(((CROQUIS!$C$98)-CROQUIS!$C$107)-(MIN(80,MAX(1,INT(((CROQUIS!$C$98)-CROQUIS!$C$107)/MAX(CROQUIS!$C$126,1))+1))-1)*CROQUIS!$C$126)/2)+MIN(INT(($A50-1)/5),MAX((MIN(80,MAX(1,INT(((CROQUIS!$C$98)-CROQUIS!$C$107)/MAX(CROQUIS!$C$126,1))+1)))-1,0))*CROQUIS!$C$126),CHOOSE(IF(INT(($A50-1)/5)&gt;MAX((MIN(80,MAX(1,INT(((CROQUIS!$C$98)-CROQUIS!$C$107)/MAX(CROQUIS!$C$126,1))+1)))-1,0),0,MOD($A50-1,5))+1,0,2,CROQUIS!$C$97-2,2,0)))*CROQUIS!$C$155)+IF(CROQUIS!$C$92="X",0,0)),-1000)</f>
        <v>-1000</v>
      </c>
      <c r="BJ50">
        <f>IF(AND(CROQUIS!$C$88=1,CROQUIS!$C$134&gt;0),((CROQUIS!$C$156+(IF(CROQUIS!$C$92="X",((CROQUIS!$C$107/2+(((CROQUIS!$C$97)-CROQUIS!$C$107)-(MIN(80,MAX(1,INT(((CROQUIS!$C$97)-CROQUIS!$C$107)/MAX(CROQUIS!$C$134,1))+1))-1)*CROQUIS!$C$134)/2)+MIN(INT(($A50-1)/5),MAX((MIN(80,MAX(1,INT(((CROQUIS!$C$97)-CROQUIS!$C$107)/MAX(CROQUIS!$C$134,1))+1)))-1,0))*CROQUIS!$C$134),CHOOSE(IF(INT(($A50-1)/5)&gt;MAX((MIN(80,MAX(1,INT(((CROQUIS!$C$97)-CROQUIS!$C$107)/MAX(CROQUIS!$C$134,1))+1)))-1,0),0,MOD($A50-1,5))+1,0,2,CROQUIS!$C$98-2,2,0)))*CROQUIS!$C$155)+IF(CROQUIS!$C$92="X",0,0)),-1000)</f>
        <v>-1000</v>
      </c>
      <c r="BK50">
        <f>IF(AND(CROQUIS!$C$88=1,CROQUIS!$C$134&gt;0),((CROQUIS!$C$157+(IF(CROQUIS!$C$92="X",CHOOSE(IF(INT(($A50-1)/5)&gt;MAX((MIN(80,MAX(1,INT(((CROQUIS!$C$97)-CROQUIS!$C$107)/MAX(CROQUIS!$C$134,1))+1)))-1,0),0,MOD($A50-1,5))+1,0,2,CROQUIS!$C$98-2,2,0),((CROQUIS!$C$107/2+(((CROQUIS!$C$97)-CROQUIS!$C$107)-(MIN(80,MAX(1,INT(((CROQUIS!$C$97)-CROQUIS!$C$107)/MAX(CROQUIS!$C$134,1))+1))-1)*CROQUIS!$C$134)/2)+MIN(INT(($A50-1)/5),MAX((MIN(80,MAX(1,INT(((CROQUIS!$C$97)-CROQUIS!$C$107)/MAX(CROQUIS!$C$134,1))+1)))-1,0))*CROQUIS!$C$134)))*CROQUIS!$C$155)+IF(CROQUIS!$C$92="X",0,0)),-1000)</f>
        <v>-1000</v>
      </c>
      <c r="BL50">
        <f>IF(AND(CROQUIS!$C$88=1,CROQUIS!$C$91=0,CROQUIS!$C$130&gt;0,OR(CROQUIS!$C$103=1,CROQUIS!$C$142=1)),((CROQUIS!$C$156+(IF(CROQUIS!$C$92="X",CHOOSE(IF(INT(($A50-1)/5)&gt;MAX((MIN(80,MAX(1,INT(((CROQUIS!$C$98)-CROQUIS!$C$107)/MAX(CROQUIS!$C$130,1))+1)))-1,0),0,MOD($A50-1,5))+1,0,IF(CROQUIS!$C$103=1,-12,2),CROQUIS!$C$107/2+CROQUIS!$C$140,IF(CROQUIS!$C$103=1,-12,2),0),((CROQUIS!$C$107/2+(((CROQUIS!$C$98)-CROQUIS!$C$107)-(MIN(80,MAX(1,INT(((CROQUIS!$C$98)-CROQUIS!$C$107)/MAX(CROQUIS!$C$130,1))+1))-1)*CROQUIS!$C$130)/2)+MIN(INT(($A50-1)/5),MAX((MIN(80,MAX(1,INT(((CROQUIS!$C$98)-CROQUIS!$C$107)/MAX(CROQUIS!$C$130,1))+1)))-1,0))*CROQUIS!$C$130)))*CROQUIS!$C$155)+IF(CROQUIS!$C$92="X",0,0)),-1000)</f>
        <v>-1000</v>
      </c>
      <c r="BM5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50-1)/5),MAX((MIN(80,MAX(1,INT(((CROQUIS!$C$98)-CROQUIS!$C$107)/MAX(CROQUIS!$C$130,1))+1)))-1,0))*CROQUIS!$C$130),CHOOSE(IF(INT(($A50-1)/5)&gt;MAX((MIN(80,MAX(1,INT(((CROQUIS!$C$98)-CROQUIS!$C$107)/MAX(CROQUIS!$C$130,1))+1)))-1,0),0,MOD($A50-1,5))+1,0,IF(CROQUIS!$C$103=1,-12,2),CROQUIS!$C$107/2+CROQUIS!$C$140,IF(CROQUIS!$C$103=1,-12,2),0)))*CROQUIS!$C$155)+IF(CROQUIS!$C$92="X",0,0)),-1000)</f>
        <v>-1000</v>
      </c>
      <c r="BN50">
        <f>IF(AND(CROQUIS!$C$88=1,CROQUIS!$C$91=0,CROQUIS!$C$130&gt;0,OR(CROQUIS!$C$104=1,CROQUIS!$C$142=1)),((CROQUIS!$C$156+(IF(CROQUIS!$C$92="X",CHOOSE(IF(INT(($A50-1)/5)&gt;MAX((MIN(80,MAX(1,INT(((CROQUIS!$C$98)-CROQUIS!$C$107)/MAX(CROQUIS!$C$130,1))+1)))-1,0),0,MOD($A50-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50-1)/5),MAX((MIN(80,MAX(1,INT(((CROQUIS!$C$98)-CROQUIS!$C$107)/MAX(CROQUIS!$C$130,1))+1)))-1,0))*CROQUIS!$C$130)))*CROQUIS!$C$155)+IF(CROQUIS!$C$92="X",0,0)),-1000)</f>
        <v>-1000</v>
      </c>
      <c r="BO5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50-1)/5),MAX((MIN(80,MAX(1,INT(((CROQUIS!$C$98)-CROQUIS!$C$107)/MAX(CROQUIS!$C$130,1))+1)))-1,0))*CROQUIS!$C$130),CHOOSE(IF(INT(($A50-1)/5)&gt;MAX((MIN(80,MAX(1,INT(((CROQUIS!$C$98)-CROQUIS!$C$107)/MAX(CROQUIS!$C$130,1))+1)))-1,0),0,MOD($A50-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5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50-1)/5),MAX((MIN(80,MAX(1,INT(((CROQUIS!$C$97)-CROQUIS!$C$107)/MAX(CROQUIS!$C$138,1))+1)))-1,0))*CROQUIS!$C$138),CHOOSE(IF(INT(($A50-1)/5)&gt;MAX((MIN(80,MAX(1,INT(((CROQUIS!$C$97)-CROQUIS!$C$107)/MAX(CROQUIS!$C$138,1))+1)))-1,0),0,MOD($A50-1,5))+1,0,IF(CROQUIS!$C$105=1,-12,2),CROQUIS!$C$107/2+CROQUIS!$C$141,IF(CROQUIS!$C$105=1,-12,2),0)))*CROQUIS!$C$155)+IF(CROQUIS!$C$92="X",0,0)),-1000)</f>
        <v>-1000</v>
      </c>
      <c r="BQ50">
        <f>IF(AND(CROQUIS!$C$88=1,CROQUIS!$C$91=0,CROQUIS!$C$138&gt;0,OR(CROQUIS!$C$105=1,CROQUIS!$C$143=1)),((CROQUIS!$C$157+(IF(CROQUIS!$C$92="X",CHOOSE(IF(INT(($A50-1)/5)&gt;MAX((MIN(80,MAX(1,INT(((CROQUIS!$C$97)-CROQUIS!$C$107)/MAX(CROQUIS!$C$138,1))+1)))-1,0),0,MOD($A50-1,5))+1,0,IF(CROQUIS!$C$105=1,-12,2),CROQUIS!$C$107/2+CROQUIS!$C$141,IF(CROQUIS!$C$105=1,-12,2),0),((CROQUIS!$C$107/2+(((CROQUIS!$C$97)-CROQUIS!$C$107)-(MIN(80,MAX(1,INT(((CROQUIS!$C$97)-CROQUIS!$C$107)/MAX(CROQUIS!$C$138,1))+1))-1)*CROQUIS!$C$138)/2)+MIN(INT(($A50-1)/5),MAX((MIN(80,MAX(1,INT(((CROQUIS!$C$97)-CROQUIS!$C$107)/MAX(CROQUIS!$C$138,1))+1)))-1,0))*CROQUIS!$C$138)))*CROQUIS!$C$155)+IF(CROQUIS!$C$92="X",0,0)),-1000)</f>
        <v>-1000</v>
      </c>
      <c r="BR5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50-1)/5),MAX((MIN(80,MAX(1,INT(((CROQUIS!$C$97)-CROQUIS!$C$107)/MAX(CROQUIS!$C$138,1))+1)))-1,0))*CROQUIS!$C$138),CHOOSE(IF(INT(($A50-1)/5)&gt;MAX((MIN(80,MAX(1,INT(((CROQUIS!$C$97)-CROQUIS!$C$107)/MAX(CROQUIS!$C$138,1))+1)))-1,0),0,MOD($A50-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50">
        <f>IF(AND(CROQUIS!$C$88=1,CROQUIS!$C$91=0,CROQUIS!$C$138&gt;0,OR(CROQUIS!$C$106=1,CROQUIS!$C$143=1)),((CROQUIS!$C$157+(IF(CROQUIS!$C$92="X",CHOOSE(IF(INT(($A50-1)/5)&gt;MAX((MIN(80,MAX(1,INT(((CROQUIS!$C$97)-CROQUIS!$C$107)/MAX(CROQUIS!$C$138,1))+1)))-1,0),0,MOD($A50-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50-1)/5),MAX((MIN(80,MAX(1,INT(((CROQUIS!$C$97)-CROQUIS!$C$107)/MAX(CROQUIS!$C$138,1))+1)))-1,0))*CROQUIS!$C$138)))*CROQUIS!$C$155)+IF(CROQUIS!$C$92="X",0,0)),-1000)</f>
        <v>-1000</v>
      </c>
      <c r="BT50">
        <f>IF(AND(CROQUIS!$C$88=1,CROQUIS!$C$91=1,CROQUIS!$C$130&gt;0),((CROQUIS!$C$156+(IF(CROQUIS!$C$92="X",CHOOSE(IF(INT(($A50-1)/5)&gt;MAX((MIN(80,MAX(1,INT(((CROQUIS!$C$98)-CROQUIS!$C$107)/MAX(CROQUIS!$C$130,1))+1)))-1,0),0,MOD($A50-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50-1)/5),MAX((MIN(80,MAX(1,INT(((CROQUIS!$C$98)-CROQUIS!$C$107)/MAX(CROQUIS!$C$130,1))+1)))-1,0))*CROQUIS!$C$130)))*CROQUIS!$C$155)+IF(CROQUIS!$C$92="X",0,0)),-1000)</f>
        <v>-1000</v>
      </c>
      <c r="BU50">
        <f>IF(AND(CROQUIS!$C$88=1,CROQUIS!$C$91=1,CROQUIS!$C$130&gt;0),((CROQUIS!$C$157+(IF(CROQUIS!$C$92="X",((CROQUIS!$C$107/2+(((CROQUIS!$C$98)-CROQUIS!$C$107)-(MIN(80,MAX(1,INT(((CROQUIS!$C$98)-CROQUIS!$C$107)/MAX(CROQUIS!$C$130,1))+1))-1)*CROQUIS!$C$130)/2)+MIN(INT(($A50-1)/5),MAX((MIN(80,MAX(1,INT(((CROQUIS!$C$98)-CROQUIS!$C$107)/MAX(CROQUIS!$C$130,1))+1)))-1,0))*CROQUIS!$C$130),CHOOSE(IF(INT(($A50-1)/5)&gt;MAX((MIN(80,MAX(1,INT(((CROQUIS!$C$98)-CROQUIS!$C$107)/MAX(CROQUIS!$C$130,1))+1)))-1,0),0,MOD($A50-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51">
      <c r="A51" t="n">
        <v>44</v>
      </c>
      <c r="AF51">
        <f>IF(AND(CROQUIS!$C$87=1,CROQUIS!$C$158&gt;0,CROQUIS!$C$160&gt;0),(CROQUIS!$C$156+((CROQUIS!$C$159+INT(MIN(INT(($A51-1)/2),MAX((2*CROQUIS!$C$158)-1,0))/2)*CROQUIS!$C$113+MOD(MIN(INT(($A51-1)/2),MAX((2*CROQUIS!$C$158)-1,0)),2)*CROQUIS!$C$112))*CROQUIS!$C$155),-1000)</f>
        <v>85.2010845006778</v>
      </c>
      <c r="AG51">
        <f>IF(AND(CROQUIS!$C$87=1,CROQUIS!$C$158&gt;0,CROQUIS!$C$160&gt;0),(CROQUIS!$C$157+(IF(MOD(MIN(INT(($A51-1)/2),MAX((2*CROQUIS!$C$158)-1,0)),2)=0,IF(IF(INT(($A51-1)/2)&gt;MAX((2*CROQUIS!$C$158)-1,0),1,MOD($A51-1,2))=0,CROQUIS!$C$161,(CROQUIS!$C$161+CROQUIS!$C$160*CROQUIS!$C$113-CROQUIS!$C$111)),IF(IF(INT(($A51-1)/2)&gt;MAX((2*CROQUIS!$C$158)-1,0),1,MOD($A51-1,2))=0,(CROQUIS!$C$161+CROQUIS!$C$160*CROQUIS!$C$113-CROQUIS!$C$111),CROQUIS!$C$161)))*CROQUIS!$C$155),-1000)</f>
        <v>20.8088567555355</v>
      </c>
      <c r="AH51">
        <f>IF(AND(CROQUIS!$C$87=1,CROQUIS!$C$160&gt;0,CROQUIS!$C$158&gt;0),(CROQUIS!$C$156+(IF(MOD(MIN(INT(($A51-1)/2),MAX((2*CROQUIS!$C$160)-1,0)),2)=0,IF(IF(INT(($A51-1)/2)&gt;MAX((2*CROQUIS!$C$160)-1,0),1,MOD($A51-1,2))=0,CROQUIS!$C$159,(CROQUIS!$C$159+CROQUIS!$C$158*CROQUIS!$C$113-CROQUIS!$C$111)),IF(IF(INT(($A51-1)/2)&gt;MAX((2*CROQUIS!$C$160)-1,0),1,MOD($A51-1,2))=0,(CROQUIS!$C$159+CROQUIS!$C$158*CROQUIS!$C$113-CROQUIS!$C$111),CROQUIS!$C$159)))*CROQUIS!$C$155),-1000)</f>
        <v>14.7989154993222</v>
      </c>
      <c r="AI51">
        <f>IF(AND(CROQUIS!$C$87=1,CROQUIS!$C$160&gt;0,CROQUIS!$C$158&gt;0),(CROQUIS!$C$157+((CROQUIS!$C$161+INT(MIN(INT(($A51-1)/2),MAX((2*CROQUIS!$C$160)-1,0))/2)*CROQUIS!$C$113+MOD(MIN(INT(($A51-1)/2),MAX((2*CROQUIS!$C$160)-1,0)),2)*CROQUIS!$C$112))*CROQUIS!$C$155),-1000)</f>
        <v>79.1911432444645</v>
      </c>
      <c r="AJ51">
        <f>IF(AND(CROQUIS!$C$87=1,CROQUIS!$C$158&gt;=2),(CROQUIS!$C$156+((CROQUIS!$C$159+CROQUIS!$C$112+CROQUIS!$C$111/2+MIN(INT(($A51-1)/2),MAX((CROQUIS!$C$158-1)-1,0))*CROQUIS!$C$113))*CROQUIS!$C$155),-1000)</f>
        <v>74.0397650248531</v>
      </c>
      <c r="AK51">
        <f>IF(AND(CROQUIS!$C$87=1,CROQUIS!$C$158&gt;=2),(CROQUIS!$C$157+(IF(MOD(MIN(INT(($A51-1)/2),MAX((CROQUIS!$C$158-1)-1,0)),2)=0,IF(IF(INT(($A51-1)/2)&gt;MAX((CROQUIS!$C$158-1)-1,0),1,MOD($A51-1,2))=0,CROQUIS!$C$107/2,(CROQUIS!$C$96-CROQUIS!$C$107/2)),IF(IF(INT(($A51-1)/2)&gt;MAX((CROQUIS!$C$158-1)-1,0),1,MOD($A51-1,2))=0,(CROQUIS!$C$96-CROQUIS!$C$107/2),CROQUIS!$C$107/2)))*CROQUIS!$C$155),-1000)</f>
        <v>83.0546769091731</v>
      </c>
      <c r="AL51">
        <f>IF(AND(CROQUIS!$C$87=1,CROQUIS!$C$160&gt;=2),(CROQUIS!$C$156+(IF(MOD(MIN(INT(($A51-1)/2),MAX((CROQUIS!$C$160-1)-1,0)),2)=0,IF(IF(INT(($A51-1)/2)&gt;MAX((CROQUIS!$C$160-1)-1,0),1,MOD($A51-1,2))=0,CROQUIS!$C$107/2,(CROQUIS!$C$95-CROQUIS!$C$107/2)),IF(IF(INT(($A51-1)/2)&gt;MAX((CROQUIS!$C$160-1)-1,0),1,MOD($A51-1,2))=0,(CROQUIS!$C$95-CROQUIS!$C$107/2),CROQUIS!$C$107/2)))*CROQUIS!$C$155),-1000)</f>
        <v>13.2878445549028</v>
      </c>
      <c r="AM51">
        <f>IF(AND(CROQUIS!$C$87=1,CROQUIS!$C$160&gt;=2),(CROQUIS!$C$157+((CROQUIS!$C$161+CROQUIS!$C$112+CROQUIS!$C$111/2+MIN(INT(($A51-1)/2),MAX((CROQUIS!$C$160-1)-1,0))*CROQUIS!$C$113))*CROQUIS!$C$155),-1000)</f>
        <v>68.0298237686399</v>
      </c>
      <c r="BH51">
        <f>IF(AND(CROQUIS!$C$88=1,CROQUIS!$C$126&gt;0),((CROQUIS!$C$156+(IF(CROQUIS!$C$92="X",CHOOSE(IF(INT(($A51-1)/5)&gt;MAX((MIN(80,MAX(1,INT(((CROQUIS!$C$98)-CROQUIS!$C$107)/MAX(CROQUIS!$C$126,1))+1)))-1,0),0,MOD($A51-1,5))+1,0,2,CROQUIS!$C$97-2,2,0),((CROQUIS!$C$107/2+(((CROQUIS!$C$98)-CROQUIS!$C$107)-(MIN(80,MAX(1,INT(((CROQUIS!$C$98)-CROQUIS!$C$107)/MAX(CROQUIS!$C$126,1))+1))-1)*CROQUIS!$C$126)/2)+MIN(INT(($A51-1)/5),MAX((MIN(80,MAX(1,INT(((CROQUIS!$C$98)-CROQUIS!$C$107)/MAX(CROQUIS!$C$126,1))+1)))-1,0))*CROQUIS!$C$126)))*CROQUIS!$C$155)+IF(CROQUIS!$C$92="X",0,0)),-1000)</f>
        <v>-1000</v>
      </c>
      <c r="BI51">
        <f>IF(AND(CROQUIS!$C$88=1,CROQUIS!$C$126&gt;0),((CROQUIS!$C$157+(IF(CROQUIS!$C$92="X",((CROQUIS!$C$107/2+(((CROQUIS!$C$98)-CROQUIS!$C$107)-(MIN(80,MAX(1,INT(((CROQUIS!$C$98)-CROQUIS!$C$107)/MAX(CROQUIS!$C$126,1))+1))-1)*CROQUIS!$C$126)/2)+MIN(INT(($A51-1)/5),MAX((MIN(80,MAX(1,INT(((CROQUIS!$C$98)-CROQUIS!$C$107)/MAX(CROQUIS!$C$126,1))+1)))-1,0))*CROQUIS!$C$126),CHOOSE(IF(INT(($A51-1)/5)&gt;MAX((MIN(80,MAX(1,INT(((CROQUIS!$C$98)-CROQUIS!$C$107)/MAX(CROQUIS!$C$126,1))+1)))-1,0),0,MOD($A51-1,5))+1,0,2,CROQUIS!$C$97-2,2,0)))*CROQUIS!$C$155)+IF(CROQUIS!$C$92="X",0,0)),-1000)</f>
        <v>-1000</v>
      </c>
      <c r="BJ51">
        <f>IF(AND(CROQUIS!$C$88=1,CROQUIS!$C$134&gt;0),((CROQUIS!$C$156+(IF(CROQUIS!$C$92="X",((CROQUIS!$C$107/2+(((CROQUIS!$C$97)-CROQUIS!$C$107)-(MIN(80,MAX(1,INT(((CROQUIS!$C$97)-CROQUIS!$C$107)/MAX(CROQUIS!$C$134,1))+1))-1)*CROQUIS!$C$134)/2)+MIN(INT(($A51-1)/5),MAX((MIN(80,MAX(1,INT(((CROQUIS!$C$97)-CROQUIS!$C$107)/MAX(CROQUIS!$C$134,1))+1)))-1,0))*CROQUIS!$C$134),CHOOSE(IF(INT(($A51-1)/5)&gt;MAX((MIN(80,MAX(1,INT(((CROQUIS!$C$97)-CROQUIS!$C$107)/MAX(CROQUIS!$C$134,1))+1)))-1,0),0,MOD($A51-1,5))+1,0,2,CROQUIS!$C$98-2,2,0)))*CROQUIS!$C$155)+IF(CROQUIS!$C$92="X",0,0)),-1000)</f>
        <v>-1000</v>
      </c>
      <c r="BK51">
        <f>IF(AND(CROQUIS!$C$88=1,CROQUIS!$C$134&gt;0),((CROQUIS!$C$157+(IF(CROQUIS!$C$92="X",CHOOSE(IF(INT(($A51-1)/5)&gt;MAX((MIN(80,MAX(1,INT(((CROQUIS!$C$97)-CROQUIS!$C$107)/MAX(CROQUIS!$C$134,1))+1)))-1,0),0,MOD($A51-1,5))+1,0,2,CROQUIS!$C$98-2,2,0),((CROQUIS!$C$107/2+(((CROQUIS!$C$97)-CROQUIS!$C$107)-(MIN(80,MAX(1,INT(((CROQUIS!$C$97)-CROQUIS!$C$107)/MAX(CROQUIS!$C$134,1))+1))-1)*CROQUIS!$C$134)/2)+MIN(INT(($A51-1)/5),MAX((MIN(80,MAX(1,INT(((CROQUIS!$C$97)-CROQUIS!$C$107)/MAX(CROQUIS!$C$134,1))+1)))-1,0))*CROQUIS!$C$134)))*CROQUIS!$C$155)+IF(CROQUIS!$C$92="X",0,0)),-1000)</f>
        <v>-1000</v>
      </c>
      <c r="BL51">
        <f>IF(AND(CROQUIS!$C$88=1,CROQUIS!$C$91=0,CROQUIS!$C$130&gt;0,OR(CROQUIS!$C$103=1,CROQUIS!$C$142=1)),((CROQUIS!$C$156+(IF(CROQUIS!$C$92="X",CHOOSE(IF(INT(($A51-1)/5)&gt;MAX((MIN(80,MAX(1,INT(((CROQUIS!$C$98)-CROQUIS!$C$107)/MAX(CROQUIS!$C$130,1))+1)))-1,0),0,MOD($A51-1,5))+1,0,IF(CROQUIS!$C$103=1,-12,2),CROQUIS!$C$107/2+CROQUIS!$C$140,IF(CROQUIS!$C$103=1,-12,2),0),((CROQUIS!$C$107/2+(((CROQUIS!$C$98)-CROQUIS!$C$107)-(MIN(80,MAX(1,INT(((CROQUIS!$C$98)-CROQUIS!$C$107)/MAX(CROQUIS!$C$130,1))+1))-1)*CROQUIS!$C$130)/2)+MIN(INT(($A51-1)/5),MAX((MIN(80,MAX(1,INT(((CROQUIS!$C$98)-CROQUIS!$C$107)/MAX(CROQUIS!$C$130,1))+1)))-1,0))*CROQUIS!$C$130)))*CROQUIS!$C$155)+IF(CROQUIS!$C$92="X",0,0)),-1000)</f>
        <v>-1000</v>
      </c>
      <c r="BM5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51-1)/5),MAX((MIN(80,MAX(1,INT(((CROQUIS!$C$98)-CROQUIS!$C$107)/MAX(CROQUIS!$C$130,1))+1)))-1,0))*CROQUIS!$C$130),CHOOSE(IF(INT(($A51-1)/5)&gt;MAX((MIN(80,MAX(1,INT(((CROQUIS!$C$98)-CROQUIS!$C$107)/MAX(CROQUIS!$C$130,1))+1)))-1,0),0,MOD($A51-1,5))+1,0,IF(CROQUIS!$C$103=1,-12,2),CROQUIS!$C$107/2+CROQUIS!$C$140,IF(CROQUIS!$C$103=1,-12,2),0)))*CROQUIS!$C$155)+IF(CROQUIS!$C$92="X",0,0)),-1000)</f>
        <v>-1000</v>
      </c>
      <c r="BN51">
        <f>IF(AND(CROQUIS!$C$88=1,CROQUIS!$C$91=0,CROQUIS!$C$130&gt;0,OR(CROQUIS!$C$104=1,CROQUIS!$C$142=1)),((CROQUIS!$C$156+(IF(CROQUIS!$C$92="X",CHOOSE(IF(INT(($A51-1)/5)&gt;MAX((MIN(80,MAX(1,INT(((CROQUIS!$C$98)-CROQUIS!$C$107)/MAX(CROQUIS!$C$130,1))+1)))-1,0),0,MOD($A51-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51-1)/5),MAX((MIN(80,MAX(1,INT(((CROQUIS!$C$98)-CROQUIS!$C$107)/MAX(CROQUIS!$C$130,1))+1)))-1,0))*CROQUIS!$C$130)))*CROQUIS!$C$155)+IF(CROQUIS!$C$92="X",0,0)),-1000)</f>
        <v>-1000</v>
      </c>
      <c r="BO5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51-1)/5),MAX((MIN(80,MAX(1,INT(((CROQUIS!$C$98)-CROQUIS!$C$107)/MAX(CROQUIS!$C$130,1))+1)))-1,0))*CROQUIS!$C$130),CHOOSE(IF(INT(($A51-1)/5)&gt;MAX((MIN(80,MAX(1,INT(((CROQUIS!$C$98)-CROQUIS!$C$107)/MAX(CROQUIS!$C$130,1))+1)))-1,0),0,MOD($A51-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5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51-1)/5),MAX((MIN(80,MAX(1,INT(((CROQUIS!$C$97)-CROQUIS!$C$107)/MAX(CROQUIS!$C$138,1))+1)))-1,0))*CROQUIS!$C$138),CHOOSE(IF(INT(($A51-1)/5)&gt;MAX((MIN(80,MAX(1,INT(((CROQUIS!$C$97)-CROQUIS!$C$107)/MAX(CROQUIS!$C$138,1))+1)))-1,0),0,MOD($A51-1,5))+1,0,IF(CROQUIS!$C$105=1,-12,2),CROQUIS!$C$107/2+CROQUIS!$C$141,IF(CROQUIS!$C$105=1,-12,2),0)))*CROQUIS!$C$155)+IF(CROQUIS!$C$92="X",0,0)),-1000)</f>
        <v>-1000</v>
      </c>
      <c r="BQ51">
        <f>IF(AND(CROQUIS!$C$88=1,CROQUIS!$C$91=0,CROQUIS!$C$138&gt;0,OR(CROQUIS!$C$105=1,CROQUIS!$C$143=1)),((CROQUIS!$C$157+(IF(CROQUIS!$C$92="X",CHOOSE(IF(INT(($A51-1)/5)&gt;MAX((MIN(80,MAX(1,INT(((CROQUIS!$C$97)-CROQUIS!$C$107)/MAX(CROQUIS!$C$138,1))+1)))-1,0),0,MOD($A51-1,5))+1,0,IF(CROQUIS!$C$105=1,-12,2),CROQUIS!$C$107/2+CROQUIS!$C$141,IF(CROQUIS!$C$105=1,-12,2),0),((CROQUIS!$C$107/2+(((CROQUIS!$C$97)-CROQUIS!$C$107)-(MIN(80,MAX(1,INT(((CROQUIS!$C$97)-CROQUIS!$C$107)/MAX(CROQUIS!$C$138,1))+1))-1)*CROQUIS!$C$138)/2)+MIN(INT(($A51-1)/5),MAX((MIN(80,MAX(1,INT(((CROQUIS!$C$97)-CROQUIS!$C$107)/MAX(CROQUIS!$C$138,1))+1)))-1,0))*CROQUIS!$C$138)))*CROQUIS!$C$155)+IF(CROQUIS!$C$92="X",0,0)),-1000)</f>
        <v>-1000</v>
      </c>
      <c r="BR5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51-1)/5),MAX((MIN(80,MAX(1,INT(((CROQUIS!$C$97)-CROQUIS!$C$107)/MAX(CROQUIS!$C$138,1))+1)))-1,0))*CROQUIS!$C$138),CHOOSE(IF(INT(($A51-1)/5)&gt;MAX((MIN(80,MAX(1,INT(((CROQUIS!$C$97)-CROQUIS!$C$107)/MAX(CROQUIS!$C$138,1))+1)))-1,0),0,MOD($A51-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51">
        <f>IF(AND(CROQUIS!$C$88=1,CROQUIS!$C$91=0,CROQUIS!$C$138&gt;0,OR(CROQUIS!$C$106=1,CROQUIS!$C$143=1)),((CROQUIS!$C$157+(IF(CROQUIS!$C$92="X",CHOOSE(IF(INT(($A51-1)/5)&gt;MAX((MIN(80,MAX(1,INT(((CROQUIS!$C$97)-CROQUIS!$C$107)/MAX(CROQUIS!$C$138,1))+1)))-1,0),0,MOD($A51-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51-1)/5),MAX((MIN(80,MAX(1,INT(((CROQUIS!$C$97)-CROQUIS!$C$107)/MAX(CROQUIS!$C$138,1))+1)))-1,0))*CROQUIS!$C$138)))*CROQUIS!$C$155)+IF(CROQUIS!$C$92="X",0,0)),-1000)</f>
        <v>-1000</v>
      </c>
      <c r="BT51">
        <f>IF(AND(CROQUIS!$C$88=1,CROQUIS!$C$91=1,CROQUIS!$C$130&gt;0),((CROQUIS!$C$156+(IF(CROQUIS!$C$92="X",CHOOSE(IF(INT(($A51-1)/5)&gt;MAX((MIN(80,MAX(1,INT(((CROQUIS!$C$98)-CROQUIS!$C$107)/MAX(CROQUIS!$C$130,1))+1)))-1,0),0,MOD($A51-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51-1)/5),MAX((MIN(80,MAX(1,INT(((CROQUIS!$C$98)-CROQUIS!$C$107)/MAX(CROQUIS!$C$130,1))+1)))-1,0))*CROQUIS!$C$130)))*CROQUIS!$C$155)+IF(CROQUIS!$C$92="X",0,0)),-1000)</f>
        <v>-1000</v>
      </c>
      <c r="BU51">
        <f>IF(AND(CROQUIS!$C$88=1,CROQUIS!$C$91=1,CROQUIS!$C$130&gt;0),((CROQUIS!$C$157+(IF(CROQUIS!$C$92="X",((CROQUIS!$C$107/2+(((CROQUIS!$C$98)-CROQUIS!$C$107)-(MIN(80,MAX(1,INT(((CROQUIS!$C$98)-CROQUIS!$C$107)/MAX(CROQUIS!$C$130,1))+1))-1)*CROQUIS!$C$130)/2)+MIN(INT(($A51-1)/5),MAX((MIN(80,MAX(1,INT(((CROQUIS!$C$98)-CROQUIS!$C$107)/MAX(CROQUIS!$C$130,1))+1)))-1,0))*CROQUIS!$C$130),CHOOSE(IF(INT(($A51-1)/5)&gt;MAX((MIN(80,MAX(1,INT(((CROQUIS!$C$98)-CROQUIS!$C$107)/MAX(CROQUIS!$C$130,1))+1)))-1,0),0,MOD($A51-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52">
      <c r="A52" t="n">
        <v>45</v>
      </c>
      <c r="AF52">
        <f>IF(AND(CROQUIS!$C$87=1,CROQUIS!$C$158&gt;0,CROQUIS!$C$160&gt;0),(CROQUIS!$C$156+((CROQUIS!$C$159+INT(MIN(INT(($A52-1)/2),MAX((2*CROQUIS!$C$158)-1,0))/2)*CROQUIS!$C$113+MOD(MIN(INT(($A52-1)/2),MAX((2*CROQUIS!$C$158)-1,0)),2)*CROQUIS!$C$112))*CROQUIS!$C$155),-1000)</f>
        <v>85.2010845006778</v>
      </c>
      <c r="AG52">
        <f>IF(AND(CROQUIS!$C$87=1,CROQUIS!$C$158&gt;0,CROQUIS!$C$160&gt;0),(CROQUIS!$C$157+(IF(MOD(MIN(INT(($A52-1)/2),MAX((2*CROQUIS!$C$158)-1,0)),2)=0,IF(IF(INT(($A52-1)/2)&gt;MAX((2*CROQUIS!$C$158)-1,0),1,MOD($A52-1,2))=0,CROQUIS!$C$161,(CROQUIS!$C$161+CROQUIS!$C$160*CROQUIS!$C$113-CROQUIS!$C$111)),IF(IF(INT(($A52-1)/2)&gt;MAX((2*CROQUIS!$C$158)-1,0),1,MOD($A52-1,2))=0,(CROQUIS!$C$161+CROQUIS!$C$160*CROQUIS!$C$113-CROQUIS!$C$111),CROQUIS!$C$161)))*CROQUIS!$C$155),-1000)</f>
        <v>20.8088567555355</v>
      </c>
      <c r="AH52">
        <f>IF(AND(CROQUIS!$C$87=1,CROQUIS!$C$160&gt;0,CROQUIS!$C$158&gt;0),(CROQUIS!$C$156+(IF(MOD(MIN(INT(($A52-1)/2),MAX((2*CROQUIS!$C$160)-1,0)),2)=0,IF(IF(INT(($A52-1)/2)&gt;MAX((2*CROQUIS!$C$160)-1,0),1,MOD($A52-1,2))=0,CROQUIS!$C$159,(CROQUIS!$C$159+CROQUIS!$C$158*CROQUIS!$C$113-CROQUIS!$C$111)),IF(IF(INT(($A52-1)/2)&gt;MAX((2*CROQUIS!$C$160)-1,0),1,MOD($A52-1,2))=0,(CROQUIS!$C$159+CROQUIS!$C$158*CROQUIS!$C$113-CROQUIS!$C$111),CROQUIS!$C$159)))*CROQUIS!$C$155),-1000)</f>
        <v>14.7989154993222</v>
      </c>
      <c r="AI52">
        <f>IF(AND(CROQUIS!$C$87=1,CROQUIS!$C$160&gt;0,CROQUIS!$C$158&gt;0),(CROQUIS!$C$157+((CROQUIS!$C$161+INT(MIN(INT(($A52-1)/2),MAX((2*CROQUIS!$C$160)-1,0))/2)*CROQUIS!$C$113+MOD(MIN(INT(($A52-1)/2),MAX((2*CROQUIS!$C$160)-1,0)),2)*CROQUIS!$C$112))*CROQUIS!$C$155),-1000)</f>
        <v>79.1911432444645</v>
      </c>
      <c r="AJ52">
        <f>IF(AND(CROQUIS!$C$87=1,CROQUIS!$C$158&gt;=2),(CROQUIS!$C$156+((CROQUIS!$C$159+CROQUIS!$C$112+CROQUIS!$C$111/2+MIN(INT(($A52-1)/2),MAX((CROQUIS!$C$158-1)-1,0))*CROQUIS!$C$113))*CROQUIS!$C$155),-1000)</f>
        <v>74.0397650248531</v>
      </c>
      <c r="AK52">
        <f>IF(AND(CROQUIS!$C$87=1,CROQUIS!$C$158&gt;=2),(CROQUIS!$C$157+(IF(MOD(MIN(INT(($A52-1)/2),MAX((CROQUIS!$C$158-1)-1,0)),2)=0,IF(IF(INT(($A52-1)/2)&gt;MAX((CROQUIS!$C$158-1)-1,0),1,MOD($A52-1,2))=0,CROQUIS!$C$107/2,(CROQUIS!$C$96-CROQUIS!$C$107/2)),IF(IF(INT(($A52-1)/2)&gt;MAX((CROQUIS!$C$158-1)-1,0),1,MOD($A52-1,2))=0,(CROQUIS!$C$96-CROQUIS!$C$107/2),CROQUIS!$C$107/2)))*CROQUIS!$C$155),-1000)</f>
        <v>83.0546769091731</v>
      </c>
      <c r="AL52">
        <f>IF(AND(CROQUIS!$C$87=1,CROQUIS!$C$160&gt;=2),(CROQUIS!$C$156+(IF(MOD(MIN(INT(($A52-1)/2),MAX((CROQUIS!$C$160-1)-1,0)),2)=0,IF(IF(INT(($A52-1)/2)&gt;MAX((CROQUIS!$C$160-1)-1,0),1,MOD($A52-1,2))=0,CROQUIS!$C$107/2,(CROQUIS!$C$95-CROQUIS!$C$107/2)),IF(IF(INT(($A52-1)/2)&gt;MAX((CROQUIS!$C$160-1)-1,0),1,MOD($A52-1,2))=0,(CROQUIS!$C$95-CROQUIS!$C$107/2),CROQUIS!$C$107/2)))*CROQUIS!$C$155),-1000)</f>
        <v>13.2878445549028</v>
      </c>
      <c r="AM52">
        <f>IF(AND(CROQUIS!$C$87=1,CROQUIS!$C$160&gt;=2),(CROQUIS!$C$157+((CROQUIS!$C$161+CROQUIS!$C$112+CROQUIS!$C$111/2+MIN(INT(($A52-1)/2),MAX((CROQUIS!$C$160-1)-1,0))*CROQUIS!$C$113))*CROQUIS!$C$155),-1000)</f>
        <v>68.0298237686399</v>
      </c>
      <c r="BH52">
        <f>IF(AND(CROQUIS!$C$88=1,CROQUIS!$C$126&gt;0),((CROQUIS!$C$156+(IF(CROQUIS!$C$92="X",CHOOSE(IF(INT(($A52-1)/5)&gt;MAX((MIN(80,MAX(1,INT(((CROQUIS!$C$98)-CROQUIS!$C$107)/MAX(CROQUIS!$C$126,1))+1)))-1,0),0,MOD($A52-1,5))+1,0,2,CROQUIS!$C$97-2,2,0),((CROQUIS!$C$107/2+(((CROQUIS!$C$98)-CROQUIS!$C$107)-(MIN(80,MAX(1,INT(((CROQUIS!$C$98)-CROQUIS!$C$107)/MAX(CROQUIS!$C$126,1))+1))-1)*CROQUIS!$C$126)/2)+MIN(INT(($A52-1)/5),MAX((MIN(80,MAX(1,INT(((CROQUIS!$C$98)-CROQUIS!$C$107)/MAX(CROQUIS!$C$126,1))+1)))-1,0))*CROQUIS!$C$126)))*CROQUIS!$C$155)+IF(CROQUIS!$C$92="X",0,0)),-1000)</f>
        <v>-1000</v>
      </c>
      <c r="BI52">
        <f>IF(AND(CROQUIS!$C$88=1,CROQUIS!$C$126&gt;0),((CROQUIS!$C$157+(IF(CROQUIS!$C$92="X",((CROQUIS!$C$107/2+(((CROQUIS!$C$98)-CROQUIS!$C$107)-(MIN(80,MAX(1,INT(((CROQUIS!$C$98)-CROQUIS!$C$107)/MAX(CROQUIS!$C$126,1))+1))-1)*CROQUIS!$C$126)/2)+MIN(INT(($A52-1)/5),MAX((MIN(80,MAX(1,INT(((CROQUIS!$C$98)-CROQUIS!$C$107)/MAX(CROQUIS!$C$126,1))+1)))-1,0))*CROQUIS!$C$126),CHOOSE(IF(INT(($A52-1)/5)&gt;MAX((MIN(80,MAX(1,INT(((CROQUIS!$C$98)-CROQUIS!$C$107)/MAX(CROQUIS!$C$126,1))+1)))-1,0),0,MOD($A52-1,5))+1,0,2,CROQUIS!$C$97-2,2,0)))*CROQUIS!$C$155)+IF(CROQUIS!$C$92="X",0,0)),-1000)</f>
        <v>-1000</v>
      </c>
      <c r="BJ52">
        <f>IF(AND(CROQUIS!$C$88=1,CROQUIS!$C$134&gt;0),((CROQUIS!$C$156+(IF(CROQUIS!$C$92="X",((CROQUIS!$C$107/2+(((CROQUIS!$C$97)-CROQUIS!$C$107)-(MIN(80,MAX(1,INT(((CROQUIS!$C$97)-CROQUIS!$C$107)/MAX(CROQUIS!$C$134,1))+1))-1)*CROQUIS!$C$134)/2)+MIN(INT(($A52-1)/5),MAX((MIN(80,MAX(1,INT(((CROQUIS!$C$97)-CROQUIS!$C$107)/MAX(CROQUIS!$C$134,1))+1)))-1,0))*CROQUIS!$C$134),CHOOSE(IF(INT(($A52-1)/5)&gt;MAX((MIN(80,MAX(1,INT(((CROQUIS!$C$97)-CROQUIS!$C$107)/MAX(CROQUIS!$C$134,1))+1)))-1,0),0,MOD($A52-1,5))+1,0,2,CROQUIS!$C$98-2,2,0)))*CROQUIS!$C$155)+IF(CROQUIS!$C$92="X",0,0)),-1000)</f>
        <v>-1000</v>
      </c>
      <c r="BK52">
        <f>IF(AND(CROQUIS!$C$88=1,CROQUIS!$C$134&gt;0),((CROQUIS!$C$157+(IF(CROQUIS!$C$92="X",CHOOSE(IF(INT(($A52-1)/5)&gt;MAX((MIN(80,MAX(1,INT(((CROQUIS!$C$97)-CROQUIS!$C$107)/MAX(CROQUIS!$C$134,1))+1)))-1,0),0,MOD($A52-1,5))+1,0,2,CROQUIS!$C$98-2,2,0),((CROQUIS!$C$107/2+(((CROQUIS!$C$97)-CROQUIS!$C$107)-(MIN(80,MAX(1,INT(((CROQUIS!$C$97)-CROQUIS!$C$107)/MAX(CROQUIS!$C$134,1))+1))-1)*CROQUIS!$C$134)/2)+MIN(INT(($A52-1)/5),MAX((MIN(80,MAX(1,INT(((CROQUIS!$C$97)-CROQUIS!$C$107)/MAX(CROQUIS!$C$134,1))+1)))-1,0))*CROQUIS!$C$134)))*CROQUIS!$C$155)+IF(CROQUIS!$C$92="X",0,0)),-1000)</f>
        <v>-1000</v>
      </c>
      <c r="BL52">
        <f>IF(AND(CROQUIS!$C$88=1,CROQUIS!$C$91=0,CROQUIS!$C$130&gt;0,OR(CROQUIS!$C$103=1,CROQUIS!$C$142=1)),((CROQUIS!$C$156+(IF(CROQUIS!$C$92="X",CHOOSE(IF(INT(($A52-1)/5)&gt;MAX((MIN(80,MAX(1,INT(((CROQUIS!$C$98)-CROQUIS!$C$107)/MAX(CROQUIS!$C$130,1))+1)))-1,0),0,MOD($A52-1,5))+1,0,IF(CROQUIS!$C$103=1,-12,2),CROQUIS!$C$107/2+CROQUIS!$C$140,IF(CROQUIS!$C$103=1,-12,2),0),((CROQUIS!$C$107/2+(((CROQUIS!$C$98)-CROQUIS!$C$107)-(MIN(80,MAX(1,INT(((CROQUIS!$C$98)-CROQUIS!$C$107)/MAX(CROQUIS!$C$130,1))+1))-1)*CROQUIS!$C$130)/2)+MIN(INT(($A52-1)/5),MAX((MIN(80,MAX(1,INT(((CROQUIS!$C$98)-CROQUIS!$C$107)/MAX(CROQUIS!$C$130,1))+1)))-1,0))*CROQUIS!$C$130)))*CROQUIS!$C$155)+IF(CROQUIS!$C$92="X",0,0)),-1000)</f>
        <v>-1000</v>
      </c>
      <c r="BM5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52-1)/5),MAX((MIN(80,MAX(1,INT(((CROQUIS!$C$98)-CROQUIS!$C$107)/MAX(CROQUIS!$C$130,1))+1)))-1,0))*CROQUIS!$C$130),CHOOSE(IF(INT(($A52-1)/5)&gt;MAX((MIN(80,MAX(1,INT(((CROQUIS!$C$98)-CROQUIS!$C$107)/MAX(CROQUIS!$C$130,1))+1)))-1,0),0,MOD($A52-1,5))+1,0,IF(CROQUIS!$C$103=1,-12,2),CROQUIS!$C$107/2+CROQUIS!$C$140,IF(CROQUIS!$C$103=1,-12,2),0)))*CROQUIS!$C$155)+IF(CROQUIS!$C$92="X",0,0)),-1000)</f>
        <v>-1000</v>
      </c>
      <c r="BN52">
        <f>IF(AND(CROQUIS!$C$88=1,CROQUIS!$C$91=0,CROQUIS!$C$130&gt;0,OR(CROQUIS!$C$104=1,CROQUIS!$C$142=1)),((CROQUIS!$C$156+(IF(CROQUIS!$C$92="X",CHOOSE(IF(INT(($A52-1)/5)&gt;MAX((MIN(80,MAX(1,INT(((CROQUIS!$C$98)-CROQUIS!$C$107)/MAX(CROQUIS!$C$130,1))+1)))-1,0),0,MOD($A52-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52-1)/5),MAX((MIN(80,MAX(1,INT(((CROQUIS!$C$98)-CROQUIS!$C$107)/MAX(CROQUIS!$C$130,1))+1)))-1,0))*CROQUIS!$C$130)))*CROQUIS!$C$155)+IF(CROQUIS!$C$92="X",0,0)),-1000)</f>
        <v>-1000</v>
      </c>
      <c r="BO5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52-1)/5),MAX((MIN(80,MAX(1,INT(((CROQUIS!$C$98)-CROQUIS!$C$107)/MAX(CROQUIS!$C$130,1))+1)))-1,0))*CROQUIS!$C$130),CHOOSE(IF(INT(($A52-1)/5)&gt;MAX((MIN(80,MAX(1,INT(((CROQUIS!$C$98)-CROQUIS!$C$107)/MAX(CROQUIS!$C$130,1))+1)))-1,0),0,MOD($A52-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5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52-1)/5),MAX((MIN(80,MAX(1,INT(((CROQUIS!$C$97)-CROQUIS!$C$107)/MAX(CROQUIS!$C$138,1))+1)))-1,0))*CROQUIS!$C$138),CHOOSE(IF(INT(($A52-1)/5)&gt;MAX((MIN(80,MAX(1,INT(((CROQUIS!$C$97)-CROQUIS!$C$107)/MAX(CROQUIS!$C$138,1))+1)))-1,0),0,MOD($A52-1,5))+1,0,IF(CROQUIS!$C$105=1,-12,2),CROQUIS!$C$107/2+CROQUIS!$C$141,IF(CROQUIS!$C$105=1,-12,2),0)))*CROQUIS!$C$155)+IF(CROQUIS!$C$92="X",0,0)),-1000)</f>
        <v>-1000</v>
      </c>
      <c r="BQ52">
        <f>IF(AND(CROQUIS!$C$88=1,CROQUIS!$C$91=0,CROQUIS!$C$138&gt;0,OR(CROQUIS!$C$105=1,CROQUIS!$C$143=1)),((CROQUIS!$C$157+(IF(CROQUIS!$C$92="X",CHOOSE(IF(INT(($A52-1)/5)&gt;MAX((MIN(80,MAX(1,INT(((CROQUIS!$C$97)-CROQUIS!$C$107)/MAX(CROQUIS!$C$138,1))+1)))-1,0),0,MOD($A52-1,5))+1,0,IF(CROQUIS!$C$105=1,-12,2),CROQUIS!$C$107/2+CROQUIS!$C$141,IF(CROQUIS!$C$105=1,-12,2),0),((CROQUIS!$C$107/2+(((CROQUIS!$C$97)-CROQUIS!$C$107)-(MIN(80,MAX(1,INT(((CROQUIS!$C$97)-CROQUIS!$C$107)/MAX(CROQUIS!$C$138,1))+1))-1)*CROQUIS!$C$138)/2)+MIN(INT(($A52-1)/5),MAX((MIN(80,MAX(1,INT(((CROQUIS!$C$97)-CROQUIS!$C$107)/MAX(CROQUIS!$C$138,1))+1)))-1,0))*CROQUIS!$C$138)))*CROQUIS!$C$155)+IF(CROQUIS!$C$92="X",0,0)),-1000)</f>
        <v>-1000</v>
      </c>
      <c r="BR5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52-1)/5),MAX((MIN(80,MAX(1,INT(((CROQUIS!$C$97)-CROQUIS!$C$107)/MAX(CROQUIS!$C$138,1))+1)))-1,0))*CROQUIS!$C$138),CHOOSE(IF(INT(($A52-1)/5)&gt;MAX((MIN(80,MAX(1,INT(((CROQUIS!$C$97)-CROQUIS!$C$107)/MAX(CROQUIS!$C$138,1))+1)))-1,0),0,MOD($A52-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52">
        <f>IF(AND(CROQUIS!$C$88=1,CROQUIS!$C$91=0,CROQUIS!$C$138&gt;0,OR(CROQUIS!$C$106=1,CROQUIS!$C$143=1)),((CROQUIS!$C$157+(IF(CROQUIS!$C$92="X",CHOOSE(IF(INT(($A52-1)/5)&gt;MAX((MIN(80,MAX(1,INT(((CROQUIS!$C$97)-CROQUIS!$C$107)/MAX(CROQUIS!$C$138,1))+1)))-1,0),0,MOD($A52-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52-1)/5),MAX((MIN(80,MAX(1,INT(((CROQUIS!$C$97)-CROQUIS!$C$107)/MAX(CROQUIS!$C$138,1))+1)))-1,0))*CROQUIS!$C$138)))*CROQUIS!$C$155)+IF(CROQUIS!$C$92="X",0,0)),-1000)</f>
        <v>-1000</v>
      </c>
      <c r="BT52">
        <f>IF(AND(CROQUIS!$C$88=1,CROQUIS!$C$91=1,CROQUIS!$C$130&gt;0),((CROQUIS!$C$156+(IF(CROQUIS!$C$92="X",CHOOSE(IF(INT(($A52-1)/5)&gt;MAX((MIN(80,MAX(1,INT(((CROQUIS!$C$98)-CROQUIS!$C$107)/MAX(CROQUIS!$C$130,1))+1)))-1,0),0,MOD($A52-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52-1)/5),MAX((MIN(80,MAX(1,INT(((CROQUIS!$C$98)-CROQUIS!$C$107)/MAX(CROQUIS!$C$130,1))+1)))-1,0))*CROQUIS!$C$130)))*CROQUIS!$C$155)+IF(CROQUIS!$C$92="X",0,0)),-1000)</f>
        <v>-1000</v>
      </c>
      <c r="BU52">
        <f>IF(AND(CROQUIS!$C$88=1,CROQUIS!$C$91=1,CROQUIS!$C$130&gt;0),((CROQUIS!$C$157+(IF(CROQUIS!$C$92="X",((CROQUIS!$C$107/2+(((CROQUIS!$C$98)-CROQUIS!$C$107)-(MIN(80,MAX(1,INT(((CROQUIS!$C$98)-CROQUIS!$C$107)/MAX(CROQUIS!$C$130,1))+1))-1)*CROQUIS!$C$130)/2)+MIN(INT(($A52-1)/5),MAX((MIN(80,MAX(1,INT(((CROQUIS!$C$98)-CROQUIS!$C$107)/MAX(CROQUIS!$C$130,1))+1)))-1,0))*CROQUIS!$C$130),CHOOSE(IF(INT(($A52-1)/5)&gt;MAX((MIN(80,MAX(1,INT(((CROQUIS!$C$98)-CROQUIS!$C$107)/MAX(CROQUIS!$C$130,1))+1)))-1,0),0,MOD($A52-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53">
      <c r="A53" t="n">
        <v>46</v>
      </c>
      <c r="AF53">
        <f>IF(AND(CROQUIS!$C$87=1,CROQUIS!$C$158&gt;0,CROQUIS!$C$160&gt;0),(CROQUIS!$C$156+((CROQUIS!$C$159+INT(MIN(INT(($A53-1)/2),MAX((2*CROQUIS!$C$158)-1,0))/2)*CROQUIS!$C$113+MOD(MIN(INT(($A53-1)/2),MAX((2*CROQUIS!$C$158)-1,0)),2)*CROQUIS!$C$112))*CROQUIS!$C$155),-1000)</f>
        <v>85.2010845006778</v>
      </c>
      <c r="AG53">
        <f>IF(AND(CROQUIS!$C$87=1,CROQUIS!$C$158&gt;0,CROQUIS!$C$160&gt;0),(CROQUIS!$C$157+(IF(MOD(MIN(INT(($A53-1)/2),MAX((2*CROQUIS!$C$158)-1,0)),2)=0,IF(IF(INT(($A53-1)/2)&gt;MAX((2*CROQUIS!$C$158)-1,0),1,MOD($A53-1,2))=0,CROQUIS!$C$161,(CROQUIS!$C$161+CROQUIS!$C$160*CROQUIS!$C$113-CROQUIS!$C$111)),IF(IF(INT(($A53-1)/2)&gt;MAX((2*CROQUIS!$C$158)-1,0),1,MOD($A53-1,2))=0,(CROQUIS!$C$161+CROQUIS!$C$160*CROQUIS!$C$113-CROQUIS!$C$111),CROQUIS!$C$161)))*CROQUIS!$C$155),-1000)</f>
        <v>20.8088567555355</v>
      </c>
      <c r="AH53">
        <f>IF(AND(CROQUIS!$C$87=1,CROQUIS!$C$160&gt;0,CROQUIS!$C$158&gt;0),(CROQUIS!$C$156+(IF(MOD(MIN(INT(($A53-1)/2),MAX((2*CROQUIS!$C$160)-1,0)),2)=0,IF(IF(INT(($A53-1)/2)&gt;MAX((2*CROQUIS!$C$160)-1,0),1,MOD($A53-1,2))=0,CROQUIS!$C$159,(CROQUIS!$C$159+CROQUIS!$C$158*CROQUIS!$C$113-CROQUIS!$C$111)),IF(IF(INT(($A53-1)/2)&gt;MAX((2*CROQUIS!$C$160)-1,0),1,MOD($A53-1,2))=0,(CROQUIS!$C$159+CROQUIS!$C$158*CROQUIS!$C$113-CROQUIS!$C$111),CROQUIS!$C$159)))*CROQUIS!$C$155),-1000)</f>
        <v>14.7989154993222</v>
      </c>
      <c r="AI53">
        <f>IF(AND(CROQUIS!$C$87=1,CROQUIS!$C$160&gt;0,CROQUIS!$C$158&gt;0),(CROQUIS!$C$157+((CROQUIS!$C$161+INT(MIN(INT(($A53-1)/2),MAX((2*CROQUIS!$C$160)-1,0))/2)*CROQUIS!$C$113+MOD(MIN(INT(($A53-1)/2),MAX((2*CROQUIS!$C$160)-1,0)),2)*CROQUIS!$C$112))*CROQUIS!$C$155),-1000)</f>
        <v>79.1911432444645</v>
      </c>
      <c r="AJ53">
        <f>IF(AND(CROQUIS!$C$87=1,CROQUIS!$C$158&gt;=2),(CROQUIS!$C$156+((CROQUIS!$C$159+CROQUIS!$C$112+CROQUIS!$C$111/2+MIN(INT(($A53-1)/2),MAX((CROQUIS!$C$158-1)-1,0))*CROQUIS!$C$113))*CROQUIS!$C$155),-1000)</f>
        <v>74.0397650248531</v>
      </c>
      <c r="AK53">
        <f>IF(AND(CROQUIS!$C$87=1,CROQUIS!$C$158&gt;=2),(CROQUIS!$C$157+(IF(MOD(MIN(INT(($A53-1)/2),MAX((CROQUIS!$C$158-1)-1,0)),2)=0,IF(IF(INT(($A53-1)/2)&gt;MAX((CROQUIS!$C$158-1)-1,0),1,MOD($A53-1,2))=0,CROQUIS!$C$107/2,(CROQUIS!$C$96-CROQUIS!$C$107/2)),IF(IF(INT(($A53-1)/2)&gt;MAX((CROQUIS!$C$158-1)-1,0),1,MOD($A53-1,2))=0,(CROQUIS!$C$96-CROQUIS!$C$107/2),CROQUIS!$C$107/2)))*CROQUIS!$C$155),-1000)</f>
        <v>83.0546769091731</v>
      </c>
      <c r="AL53">
        <f>IF(AND(CROQUIS!$C$87=1,CROQUIS!$C$160&gt;=2),(CROQUIS!$C$156+(IF(MOD(MIN(INT(($A53-1)/2),MAX((CROQUIS!$C$160-1)-1,0)),2)=0,IF(IF(INT(($A53-1)/2)&gt;MAX((CROQUIS!$C$160-1)-1,0),1,MOD($A53-1,2))=0,CROQUIS!$C$107/2,(CROQUIS!$C$95-CROQUIS!$C$107/2)),IF(IF(INT(($A53-1)/2)&gt;MAX((CROQUIS!$C$160-1)-1,0),1,MOD($A53-1,2))=0,(CROQUIS!$C$95-CROQUIS!$C$107/2),CROQUIS!$C$107/2)))*CROQUIS!$C$155),-1000)</f>
        <v>13.2878445549028</v>
      </c>
      <c r="AM53">
        <f>IF(AND(CROQUIS!$C$87=1,CROQUIS!$C$160&gt;=2),(CROQUIS!$C$157+((CROQUIS!$C$161+CROQUIS!$C$112+CROQUIS!$C$111/2+MIN(INT(($A53-1)/2),MAX((CROQUIS!$C$160-1)-1,0))*CROQUIS!$C$113))*CROQUIS!$C$155),-1000)</f>
        <v>68.0298237686399</v>
      </c>
      <c r="BH53">
        <f>IF(AND(CROQUIS!$C$88=1,CROQUIS!$C$126&gt;0),((CROQUIS!$C$156+(IF(CROQUIS!$C$92="X",CHOOSE(IF(INT(($A53-1)/5)&gt;MAX((MIN(80,MAX(1,INT(((CROQUIS!$C$98)-CROQUIS!$C$107)/MAX(CROQUIS!$C$126,1))+1)))-1,0),0,MOD($A53-1,5))+1,0,2,CROQUIS!$C$97-2,2,0),((CROQUIS!$C$107/2+(((CROQUIS!$C$98)-CROQUIS!$C$107)-(MIN(80,MAX(1,INT(((CROQUIS!$C$98)-CROQUIS!$C$107)/MAX(CROQUIS!$C$126,1))+1))-1)*CROQUIS!$C$126)/2)+MIN(INT(($A53-1)/5),MAX((MIN(80,MAX(1,INT(((CROQUIS!$C$98)-CROQUIS!$C$107)/MAX(CROQUIS!$C$126,1))+1)))-1,0))*CROQUIS!$C$126)))*CROQUIS!$C$155)+IF(CROQUIS!$C$92="X",0,0)),-1000)</f>
        <v>-1000</v>
      </c>
      <c r="BI53">
        <f>IF(AND(CROQUIS!$C$88=1,CROQUIS!$C$126&gt;0),((CROQUIS!$C$157+(IF(CROQUIS!$C$92="X",((CROQUIS!$C$107/2+(((CROQUIS!$C$98)-CROQUIS!$C$107)-(MIN(80,MAX(1,INT(((CROQUIS!$C$98)-CROQUIS!$C$107)/MAX(CROQUIS!$C$126,1))+1))-1)*CROQUIS!$C$126)/2)+MIN(INT(($A53-1)/5),MAX((MIN(80,MAX(1,INT(((CROQUIS!$C$98)-CROQUIS!$C$107)/MAX(CROQUIS!$C$126,1))+1)))-1,0))*CROQUIS!$C$126),CHOOSE(IF(INT(($A53-1)/5)&gt;MAX((MIN(80,MAX(1,INT(((CROQUIS!$C$98)-CROQUIS!$C$107)/MAX(CROQUIS!$C$126,1))+1)))-1,0),0,MOD($A53-1,5))+1,0,2,CROQUIS!$C$97-2,2,0)))*CROQUIS!$C$155)+IF(CROQUIS!$C$92="X",0,0)),-1000)</f>
        <v>-1000</v>
      </c>
      <c r="BJ53">
        <f>IF(AND(CROQUIS!$C$88=1,CROQUIS!$C$134&gt;0),((CROQUIS!$C$156+(IF(CROQUIS!$C$92="X",((CROQUIS!$C$107/2+(((CROQUIS!$C$97)-CROQUIS!$C$107)-(MIN(80,MAX(1,INT(((CROQUIS!$C$97)-CROQUIS!$C$107)/MAX(CROQUIS!$C$134,1))+1))-1)*CROQUIS!$C$134)/2)+MIN(INT(($A53-1)/5),MAX((MIN(80,MAX(1,INT(((CROQUIS!$C$97)-CROQUIS!$C$107)/MAX(CROQUIS!$C$134,1))+1)))-1,0))*CROQUIS!$C$134),CHOOSE(IF(INT(($A53-1)/5)&gt;MAX((MIN(80,MAX(1,INT(((CROQUIS!$C$97)-CROQUIS!$C$107)/MAX(CROQUIS!$C$134,1))+1)))-1,0),0,MOD($A53-1,5))+1,0,2,CROQUIS!$C$98-2,2,0)))*CROQUIS!$C$155)+IF(CROQUIS!$C$92="X",0,0)),-1000)</f>
        <v>-1000</v>
      </c>
      <c r="BK53">
        <f>IF(AND(CROQUIS!$C$88=1,CROQUIS!$C$134&gt;0),((CROQUIS!$C$157+(IF(CROQUIS!$C$92="X",CHOOSE(IF(INT(($A53-1)/5)&gt;MAX((MIN(80,MAX(1,INT(((CROQUIS!$C$97)-CROQUIS!$C$107)/MAX(CROQUIS!$C$134,1))+1)))-1,0),0,MOD($A53-1,5))+1,0,2,CROQUIS!$C$98-2,2,0),((CROQUIS!$C$107/2+(((CROQUIS!$C$97)-CROQUIS!$C$107)-(MIN(80,MAX(1,INT(((CROQUIS!$C$97)-CROQUIS!$C$107)/MAX(CROQUIS!$C$134,1))+1))-1)*CROQUIS!$C$134)/2)+MIN(INT(($A53-1)/5),MAX((MIN(80,MAX(1,INT(((CROQUIS!$C$97)-CROQUIS!$C$107)/MAX(CROQUIS!$C$134,1))+1)))-1,0))*CROQUIS!$C$134)))*CROQUIS!$C$155)+IF(CROQUIS!$C$92="X",0,0)),-1000)</f>
        <v>-1000</v>
      </c>
      <c r="BL53">
        <f>IF(AND(CROQUIS!$C$88=1,CROQUIS!$C$91=0,CROQUIS!$C$130&gt;0,OR(CROQUIS!$C$103=1,CROQUIS!$C$142=1)),((CROQUIS!$C$156+(IF(CROQUIS!$C$92="X",CHOOSE(IF(INT(($A53-1)/5)&gt;MAX((MIN(80,MAX(1,INT(((CROQUIS!$C$98)-CROQUIS!$C$107)/MAX(CROQUIS!$C$130,1))+1)))-1,0),0,MOD($A53-1,5))+1,0,IF(CROQUIS!$C$103=1,-12,2),CROQUIS!$C$107/2+CROQUIS!$C$140,IF(CROQUIS!$C$103=1,-12,2),0),((CROQUIS!$C$107/2+(((CROQUIS!$C$98)-CROQUIS!$C$107)-(MIN(80,MAX(1,INT(((CROQUIS!$C$98)-CROQUIS!$C$107)/MAX(CROQUIS!$C$130,1))+1))-1)*CROQUIS!$C$130)/2)+MIN(INT(($A53-1)/5),MAX((MIN(80,MAX(1,INT(((CROQUIS!$C$98)-CROQUIS!$C$107)/MAX(CROQUIS!$C$130,1))+1)))-1,0))*CROQUIS!$C$130)))*CROQUIS!$C$155)+IF(CROQUIS!$C$92="X",0,0)),-1000)</f>
        <v>-1000</v>
      </c>
      <c r="BM5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53-1)/5),MAX((MIN(80,MAX(1,INT(((CROQUIS!$C$98)-CROQUIS!$C$107)/MAX(CROQUIS!$C$130,1))+1)))-1,0))*CROQUIS!$C$130),CHOOSE(IF(INT(($A53-1)/5)&gt;MAX((MIN(80,MAX(1,INT(((CROQUIS!$C$98)-CROQUIS!$C$107)/MAX(CROQUIS!$C$130,1))+1)))-1,0),0,MOD($A53-1,5))+1,0,IF(CROQUIS!$C$103=1,-12,2),CROQUIS!$C$107/2+CROQUIS!$C$140,IF(CROQUIS!$C$103=1,-12,2),0)))*CROQUIS!$C$155)+IF(CROQUIS!$C$92="X",0,0)),-1000)</f>
        <v>-1000</v>
      </c>
      <c r="BN53">
        <f>IF(AND(CROQUIS!$C$88=1,CROQUIS!$C$91=0,CROQUIS!$C$130&gt;0,OR(CROQUIS!$C$104=1,CROQUIS!$C$142=1)),((CROQUIS!$C$156+(IF(CROQUIS!$C$92="X",CHOOSE(IF(INT(($A53-1)/5)&gt;MAX((MIN(80,MAX(1,INT(((CROQUIS!$C$98)-CROQUIS!$C$107)/MAX(CROQUIS!$C$130,1))+1)))-1,0),0,MOD($A53-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53-1)/5),MAX((MIN(80,MAX(1,INT(((CROQUIS!$C$98)-CROQUIS!$C$107)/MAX(CROQUIS!$C$130,1))+1)))-1,0))*CROQUIS!$C$130)))*CROQUIS!$C$155)+IF(CROQUIS!$C$92="X",0,0)),-1000)</f>
        <v>-1000</v>
      </c>
      <c r="BO5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53-1)/5),MAX((MIN(80,MAX(1,INT(((CROQUIS!$C$98)-CROQUIS!$C$107)/MAX(CROQUIS!$C$130,1))+1)))-1,0))*CROQUIS!$C$130),CHOOSE(IF(INT(($A53-1)/5)&gt;MAX((MIN(80,MAX(1,INT(((CROQUIS!$C$98)-CROQUIS!$C$107)/MAX(CROQUIS!$C$130,1))+1)))-1,0),0,MOD($A53-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5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53-1)/5),MAX((MIN(80,MAX(1,INT(((CROQUIS!$C$97)-CROQUIS!$C$107)/MAX(CROQUIS!$C$138,1))+1)))-1,0))*CROQUIS!$C$138),CHOOSE(IF(INT(($A53-1)/5)&gt;MAX((MIN(80,MAX(1,INT(((CROQUIS!$C$97)-CROQUIS!$C$107)/MAX(CROQUIS!$C$138,1))+1)))-1,0),0,MOD($A53-1,5))+1,0,IF(CROQUIS!$C$105=1,-12,2),CROQUIS!$C$107/2+CROQUIS!$C$141,IF(CROQUIS!$C$105=1,-12,2),0)))*CROQUIS!$C$155)+IF(CROQUIS!$C$92="X",0,0)),-1000)</f>
        <v>-1000</v>
      </c>
      <c r="BQ53">
        <f>IF(AND(CROQUIS!$C$88=1,CROQUIS!$C$91=0,CROQUIS!$C$138&gt;0,OR(CROQUIS!$C$105=1,CROQUIS!$C$143=1)),((CROQUIS!$C$157+(IF(CROQUIS!$C$92="X",CHOOSE(IF(INT(($A53-1)/5)&gt;MAX((MIN(80,MAX(1,INT(((CROQUIS!$C$97)-CROQUIS!$C$107)/MAX(CROQUIS!$C$138,1))+1)))-1,0),0,MOD($A53-1,5))+1,0,IF(CROQUIS!$C$105=1,-12,2),CROQUIS!$C$107/2+CROQUIS!$C$141,IF(CROQUIS!$C$105=1,-12,2),0),((CROQUIS!$C$107/2+(((CROQUIS!$C$97)-CROQUIS!$C$107)-(MIN(80,MAX(1,INT(((CROQUIS!$C$97)-CROQUIS!$C$107)/MAX(CROQUIS!$C$138,1))+1))-1)*CROQUIS!$C$138)/2)+MIN(INT(($A53-1)/5),MAX((MIN(80,MAX(1,INT(((CROQUIS!$C$97)-CROQUIS!$C$107)/MAX(CROQUIS!$C$138,1))+1)))-1,0))*CROQUIS!$C$138)))*CROQUIS!$C$155)+IF(CROQUIS!$C$92="X",0,0)),-1000)</f>
        <v>-1000</v>
      </c>
      <c r="BR5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53-1)/5),MAX((MIN(80,MAX(1,INT(((CROQUIS!$C$97)-CROQUIS!$C$107)/MAX(CROQUIS!$C$138,1))+1)))-1,0))*CROQUIS!$C$138),CHOOSE(IF(INT(($A53-1)/5)&gt;MAX((MIN(80,MAX(1,INT(((CROQUIS!$C$97)-CROQUIS!$C$107)/MAX(CROQUIS!$C$138,1))+1)))-1,0),0,MOD($A53-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53">
        <f>IF(AND(CROQUIS!$C$88=1,CROQUIS!$C$91=0,CROQUIS!$C$138&gt;0,OR(CROQUIS!$C$106=1,CROQUIS!$C$143=1)),((CROQUIS!$C$157+(IF(CROQUIS!$C$92="X",CHOOSE(IF(INT(($A53-1)/5)&gt;MAX((MIN(80,MAX(1,INT(((CROQUIS!$C$97)-CROQUIS!$C$107)/MAX(CROQUIS!$C$138,1))+1)))-1,0),0,MOD($A53-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53-1)/5),MAX((MIN(80,MAX(1,INT(((CROQUIS!$C$97)-CROQUIS!$C$107)/MAX(CROQUIS!$C$138,1))+1)))-1,0))*CROQUIS!$C$138)))*CROQUIS!$C$155)+IF(CROQUIS!$C$92="X",0,0)),-1000)</f>
        <v>-1000</v>
      </c>
      <c r="BT53">
        <f>IF(AND(CROQUIS!$C$88=1,CROQUIS!$C$91=1,CROQUIS!$C$130&gt;0),((CROQUIS!$C$156+(IF(CROQUIS!$C$92="X",CHOOSE(IF(INT(($A53-1)/5)&gt;MAX((MIN(80,MAX(1,INT(((CROQUIS!$C$98)-CROQUIS!$C$107)/MAX(CROQUIS!$C$130,1))+1)))-1,0),0,MOD($A53-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53-1)/5),MAX((MIN(80,MAX(1,INT(((CROQUIS!$C$98)-CROQUIS!$C$107)/MAX(CROQUIS!$C$130,1))+1)))-1,0))*CROQUIS!$C$130)))*CROQUIS!$C$155)+IF(CROQUIS!$C$92="X",0,0)),-1000)</f>
        <v>-1000</v>
      </c>
      <c r="BU53">
        <f>IF(AND(CROQUIS!$C$88=1,CROQUIS!$C$91=1,CROQUIS!$C$130&gt;0),((CROQUIS!$C$157+(IF(CROQUIS!$C$92="X",((CROQUIS!$C$107/2+(((CROQUIS!$C$98)-CROQUIS!$C$107)-(MIN(80,MAX(1,INT(((CROQUIS!$C$98)-CROQUIS!$C$107)/MAX(CROQUIS!$C$130,1))+1))-1)*CROQUIS!$C$130)/2)+MIN(INT(($A53-1)/5),MAX((MIN(80,MAX(1,INT(((CROQUIS!$C$98)-CROQUIS!$C$107)/MAX(CROQUIS!$C$130,1))+1)))-1,0))*CROQUIS!$C$130),CHOOSE(IF(INT(($A53-1)/5)&gt;MAX((MIN(80,MAX(1,INT(((CROQUIS!$C$98)-CROQUIS!$C$107)/MAX(CROQUIS!$C$130,1))+1)))-1,0),0,MOD($A53-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54">
      <c r="A54" t="n">
        <v>47</v>
      </c>
      <c r="AF54">
        <f>IF(AND(CROQUIS!$C$87=1,CROQUIS!$C$158&gt;0,CROQUIS!$C$160&gt;0),(CROQUIS!$C$156+((CROQUIS!$C$159+INT(MIN(INT(($A54-1)/2),MAX((2*CROQUIS!$C$158)-1,0))/2)*CROQUIS!$C$113+MOD(MIN(INT(($A54-1)/2),MAX((2*CROQUIS!$C$158)-1,0)),2)*CROQUIS!$C$112))*CROQUIS!$C$155),-1000)</f>
        <v>85.2010845006778</v>
      </c>
      <c r="AG54">
        <f>IF(AND(CROQUIS!$C$87=1,CROQUIS!$C$158&gt;0,CROQUIS!$C$160&gt;0),(CROQUIS!$C$157+(IF(MOD(MIN(INT(($A54-1)/2),MAX((2*CROQUIS!$C$158)-1,0)),2)=0,IF(IF(INT(($A54-1)/2)&gt;MAX((2*CROQUIS!$C$158)-1,0),1,MOD($A54-1,2))=0,CROQUIS!$C$161,(CROQUIS!$C$161+CROQUIS!$C$160*CROQUIS!$C$113-CROQUIS!$C$111)),IF(IF(INT(($A54-1)/2)&gt;MAX((2*CROQUIS!$C$158)-1,0),1,MOD($A54-1,2))=0,(CROQUIS!$C$161+CROQUIS!$C$160*CROQUIS!$C$113-CROQUIS!$C$111),CROQUIS!$C$161)))*CROQUIS!$C$155),-1000)</f>
        <v>20.8088567555355</v>
      </c>
      <c r="AH54">
        <f>IF(AND(CROQUIS!$C$87=1,CROQUIS!$C$160&gt;0,CROQUIS!$C$158&gt;0),(CROQUIS!$C$156+(IF(MOD(MIN(INT(($A54-1)/2),MAX((2*CROQUIS!$C$160)-1,0)),2)=0,IF(IF(INT(($A54-1)/2)&gt;MAX((2*CROQUIS!$C$160)-1,0),1,MOD($A54-1,2))=0,CROQUIS!$C$159,(CROQUIS!$C$159+CROQUIS!$C$158*CROQUIS!$C$113-CROQUIS!$C$111)),IF(IF(INT(($A54-1)/2)&gt;MAX((2*CROQUIS!$C$160)-1,0),1,MOD($A54-1,2))=0,(CROQUIS!$C$159+CROQUIS!$C$158*CROQUIS!$C$113-CROQUIS!$C$111),CROQUIS!$C$159)))*CROQUIS!$C$155),-1000)</f>
        <v>14.7989154993222</v>
      </c>
      <c r="AI54">
        <f>IF(AND(CROQUIS!$C$87=1,CROQUIS!$C$160&gt;0,CROQUIS!$C$158&gt;0),(CROQUIS!$C$157+((CROQUIS!$C$161+INT(MIN(INT(($A54-1)/2),MAX((2*CROQUIS!$C$160)-1,0))/2)*CROQUIS!$C$113+MOD(MIN(INT(($A54-1)/2),MAX((2*CROQUIS!$C$160)-1,0)),2)*CROQUIS!$C$112))*CROQUIS!$C$155),-1000)</f>
        <v>79.1911432444645</v>
      </c>
      <c r="AJ54">
        <f>IF(AND(CROQUIS!$C$87=1,CROQUIS!$C$158&gt;=2),(CROQUIS!$C$156+((CROQUIS!$C$159+CROQUIS!$C$112+CROQUIS!$C$111/2+MIN(INT(($A54-1)/2),MAX((CROQUIS!$C$158-1)-1,0))*CROQUIS!$C$113))*CROQUIS!$C$155),-1000)</f>
        <v>74.0397650248531</v>
      </c>
      <c r="AK54">
        <f>IF(AND(CROQUIS!$C$87=1,CROQUIS!$C$158&gt;=2),(CROQUIS!$C$157+(IF(MOD(MIN(INT(($A54-1)/2),MAX((CROQUIS!$C$158-1)-1,0)),2)=0,IF(IF(INT(($A54-1)/2)&gt;MAX((CROQUIS!$C$158-1)-1,0),1,MOD($A54-1,2))=0,CROQUIS!$C$107/2,(CROQUIS!$C$96-CROQUIS!$C$107/2)),IF(IF(INT(($A54-1)/2)&gt;MAX((CROQUIS!$C$158-1)-1,0),1,MOD($A54-1,2))=0,(CROQUIS!$C$96-CROQUIS!$C$107/2),CROQUIS!$C$107/2)))*CROQUIS!$C$155),-1000)</f>
        <v>83.0546769091731</v>
      </c>
      <c r="AL54">
        <f>IF(AND(CROQUIS!$C$87=1,CROQUIS!$C$160&gt;=2),(CROQUIS!$C$156+(IF(MOD(MIN(INT(($A54-1)/2),MAX((CROQUIS!$C$160-1)-1,0)),2)=0,IF(IF(INT(($A54-1)/2)&gt;MAX((CROQUIS!$C$160-1)-1,0),1,MOD($A54-1,2))=0,CROQUIS!$C$107/2,(CROQUIS!$C$95-CROQUIS!$C$107/2)),IF(IF(INT(($A54-1)/2)&gt;MAX((CROQUIS!$C$160-1)-1,0),1,MOD($A54-1,2))=0,(CROQUIS!$C$95-CROQUIS!$C$107/2),CROQUIS!$C$107/2)))*CROQUIS!$C$155),-1000)</f>
        <v>13.2878445549028</v>
      </c>
      <c r="AM54">
        <f>IF(AND(CROQUIS!$C$87=1,CROQUIS!$C$160&gt;=2),(CROQUIS!$C$157+((CROQUIS!$C$161+CROQUIS!$C$112+CROQUIS!$C$111/2+MIN(INT(($A54-1)/2),MAX((CROQUIS!$C$160-1)-1,0))*CROQUIS!$C$113))*CROQUIS!$C$155),-1000)</f>
        <v>68.0298237686399</v>
      </c>
      <c r="BH54">
        <f>IF(AND(CROQUIS!$C$88=1,CROQUIS!$C$126&gt;0),((CROQUIS!$C$156+(IF(CROQUIS!$C$92="X",CHOOSE(IF(INT(($A54-1)/5)&gt;MAX((MIN(80,MAX(1,INT(((CROQUIS!$C$98)-CROQUIS!$C$107)/MAX(CROQUIS!$C$126,1))+1)))-1,0),0,MOD($A54-1,5))+1,0,2,CROQUIS!$C$97-2,2,0),((CROQUIS!$C$107/2+(((CROQUIS!$C$98)-CROQUIS!$C$107)-(MIN(80,MAX(1,INT(((CROQUIS!$C$98)-CROQUIS!$C$107)/MAX(CROQUIS!$C$126,1))+1))-1)*CROQUIS!$C$126)/2)+MIN(INT(($A54-1)/5),MAX((MIN(80,MAX(1,INT(((CROQUIS!$C$98)-CROQUIS!$C$107)/MAX(CROQUIS!$C$126,1))+1)))-1,0))*CROQUIS!$C$126)))*CROQUIS!$C$155)+IF(CROQUIS!$C$92="X",0,0)),-1000)</f>
        <v>-1000</v>
      </c>
      <c r="BI54">
        <f>IF(AND(CROQUIS!$C$88=1,CROQUIS!$C$126&gt;0),((CROQUIS!$C$157+(IF(CROQUIS!$C$92="X",((CROQUIS!$C$107/2+(((CROQUIS!$C$98)-CROQUIS!$C$107)-(MIN(80,MAX(1,INT(((CROQUIS!$C$98)-CROQUIS!$C$107)/MAX(CROQUIS!$C$126,1))+1))-1)*CROQUIS!$C$126)/2)+MIN(INT(($A54-1)/5),MAX((MIN(80,MAX(1,INT(((CROQUIS!$C$98)-CROQUIS!$C$107)/MAX(CROQUIS!$C$126,1))+1)))-1,0))*CROQUIS!$C$126),CHOOSE(IF(INT(($A54-1)/5)&gt;MAX((MIN(80,MAX(1,INT(((CROQUIS!$C$98)-CROQUIS!$C$107)/MAX(CROQUIS!$C$126,1))+1)))-1,0),0,MOD($A54-1,5))+1,0,2,CROQUIS!$C$97-2,2,0)))*CROQUIS!$C$155)+IF(CROQUIS!$C$92="X",0,0)),-1000)</f>
        <v>-1000</v>
      </c>
      <c r="BJ54">
        <f>IF(AND(CROQUIS!$C$88=1,CROQUIS!$C$134&gt;0),((CROQUIS!$C$156+(IF(CROQUIS!$C$92="X",((CROQUIS!$C$107/2+(((CROQUIS!$C$97)-CROQUIS!$C$107)-(MIN(80,MAX(1,INT(((CROQUIS!$C$97)-CROQUIS!$C$107)/MAX(CROQUIS!$C$134,1))+1))-1)*CROQUIS!$C$134)/2)+MIN(INT(($A54-1)/5),MAX((MIN(80,MAX(1,INT(((CROQUIS!$C$97)-CROQUIS!$C$107)/MAX(CROQUIS!$C$134,1))+1)))-1,0))*CROQUIS!$C$134),CHOOSE(IF(INT(($A54-1)/5)&gt;MAX((MIN(80,MAX(1,INT(((CROQUIS!$C$97)-CROQUIS!$C$107)/MAX(CROQUIS!$C$134,1))+1)))-1,0),0,MOD($A54-1,5))+1,0,2,CROQUIS!$C$98-2,2,0)))*CROQUIS!$C$155)+IF(CROQUIS!$C$92="X",0,0)),-1000)</f>
        <v>-1000</v>
      </c>
      <c r="BK54">
        <f>IF(AND(CROQUIS!$C$88=1,CROQUIS!$C$134&gt;0),((CROQUIS!$C$157+(IF(CROQUIS!$C$92="X",CHOOSE(IF(INT(($A54-1)/5)&gt;MAX((MIN(80,MAX(1,INT(((CROQUIS!$C$97)-CROQUIS!$C$107)/MAX(CROQUIS!$C$134,1))+1)))-1,0),0,MOD($A54-1,5))+1,0,2,CROQUIS!$C$98-2,2,0),((CROQUIS!$C$107/2+(((CROQUIS!$C$97)-CROQUIS!$C$107)-(MIN(80,MAX(1,INT(((CROQUIS!$C$97)-CROQUIS!$C$107)/MAX(CROQUIS!$C$134,1))+1))-1)*CROQUIS!$C$134)/2)+MIN(INT(($A54-1)/5),MAX((MIN(80,MAX(1,INT(((CROQUIS!$C$97)-CROQUIS!$C$107)/MAX(CROQUIS!$C$134,1))+1)))-1,0))*CROQUIS!$C$134)))*CROQUIS!$C$155)+IF(CROQUIS!$C$92="X",0,0)),-1000)</f>
        <v>-1000</v>
      </c>
      <c r="BL54">
        <f>IF(AND(CROQUIS!$C$88=1,CROQUIS!$C$91=0,CROQUIS!$C$130&gt;0,OR(CROQUIS!$C$103=1,CROQUIS!$C$142=1)),((CROQUIS!$C$156+(IF(CROQUIS!$C$92="X",CHOOSE(IF(INT(($A54-1)/5)&gt;MAX((MIN(80,MAX(1,INT(((CROQUIS!$C$98)-CROQUIS!$C$107)/MAX(CROQUIS!$C$130,1))+1)))-1,0),0,MOD($A54-1,5))+1,0,IF(CROQUIS!$C$103=1,-12,2),CROQUIS!$C$107/2+CROQUIS!$C$140,IF(CROQUIS!$C$103=1,-12,2),0),((CROQUIS!$C$107/2+(((CROQUIS!$C$98)-CROQUIS!$C$107)-(MIN(80,MAX(1,INT(((CROQUIS!$C$98)-CROQUIS!$C$107)/MAX(CROQUIS!$C$130,1))+1))-1)*CROQUIS!$C$130)/2)+MIN(INT(($A54-1)/5),MAX((MIN(80,MAX(1,INT(((CROQUIS!$C$98)-CROQUIS!$C$107)/MAX(CROQUIS!$C$130,1))+1)))-1,0))*CROQUIS!$C$130)))*CROQUIS!$C$155)+IF(CROQUIS!$C$92="X",0,0)),-1000)</f>
        <v>-1000</v>
      </c>
      <c r="BM5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54-1)/5),MAX((MIN(80,MAX(1,INT(((CROQUIS!$C$98)-CROQUIS!$C$107)/MAX(CROQUIS!$C$130,1))+1)))-1,0))*CROQUIS!$C$130),CHOOSE(IF(INT(($A54-1)/5)&gt;MAX((MIN(80,MAX(1,INT(((CROQUIS!$C$98)-CROQUIS!$C$107)/MAX(CROQUIS!$C$130,1))+1)))-1,0),0,MOD($A54-1,5))+1,0,IF(CROQUIS!$C$103=1,-12,2),CROQUIS!$C$107/2+CROQUIS!$C$140,IF(CROQUIS!$C$103=1,-12,2),0)))*CROQUIS!$C$155)+IF(CROQUIS!$C$92="X",0,0)),-1000)</f>
        <v>-1000</v>
      </c>
      <c r="BN54">
        <f>IF(AND(CROQUIS!$C$88=1,CROQUIS!$C$91=0,CROQUIS!$C$130&gt;0,OR(CROQUIS!$C$104=1,CROQUIS!$C$142=1)),((CROQUIS!$C$156+(IF(CROQUIS!$C$92="X",CHOOSE(IF(INT(($A54-1)/5)&gt;MAX((MIN(80,MAX(1,INT(((CROQUIS!$C$98)-CROQUIS!$C$107)/MAX(CROQUIS!$C$130,1))+1)))-1,0),0,MOD($A54-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54-1)/5),MAX((MIN(80,MAX(1,INT(((CROQUIS!$C$98)-CROQUIS!$C$107)/MAX(CROQUIS!$C$130,1))+1)))-1,0))*CROQUIS!$C$130)))*CROQUIS!$C$155)+IF(CROQUIS!$C$92="X",0,0)),-1000)</f>
        <v>-1000</v>
      </c>
      <c r="BO5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54-1)/5),MAX((MIN(80,MAX(1,INT(((CROQUIS!$C$98)-CROQUIS!$C$107)/MAX(CROQUIS!$C$130,1))+1)))-1,0))*CROQUIS!$C$130),CHOOSE(IF(INT(($A54-1)/5)&gt;MAX((MIN(80,MAX(1,INT(((CROQUIS!$C$98)-CROQUIS!$C$107)/MAX(CROQUIS!$C$130,1))+1)))-1,0),0,MOD($A54-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5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54-1)/5),MAX((MIN(80,MAX(1,INT(((CROQUIS!$C$97)-CROQUIS!$C$107)/MAX(CROQUIS!$C$138,1))+1)))-1,0))*CROQUIS!$C$138),CHOOSE(IF(INT(($A54-1)/5)&gt;MAX((MIN(80,MAX(1,INT(((CROQUIS!$C$97)-CROQUIS!$C$107)/MAX(CROQUIS!$C$138,1))+1)))-1,0),0,MOD($A54-1,5))+1,0,IF(CROQUIS!$C$105=1,-12,2),CROQUIS!$C$107/2+CROQUIS!$C$141,IF(CROQUIS!$C$105=1,-12,2),0)))*CROQUIS!$C$155)+IF(CROQUIS!$C$92="X",0,0)),-1000)</f>
        <v>-1000</v>
      </c>
      <c r="BQ54">
        <f>IF(AND(CROQUIS!$C$88=1,CROQUIS!$C$91=0,CROQUIS!$C$138&gt;0,OR(CROQUIS!$C$105=1,CROQUIS!$C$143=1)),((CROQUIS!$C$157+(IF(CROQUIS!$C$92="X",CHOOSE(IF(INT(($A54-1)/5)&gt;MAX((MIN(80,MAX(1,INT(((CROQUIS!$C$97)-CROQUIS!$C$107)/MAX(CROQUIS!$C$138,1))+1)))-1,0),0,MOD($A54-1,5))+1,0,IF(CROQUIS!$C$105=1,-12,2),CROQUIS!$C$107/2+CROQUIS!$C$141,IF(CROQUIS!$C$105=1,-12,2),0),((CROQUIS!$C$107/2+(((CROQUIS!$C$97)-CROQUIS!$C$107)-(MIN(80,MAX(1,INT(((CROQUIS!$C$97)-CROQUIS!$C$107)/MAX(CROQUIS!$C$138,1))+1))-1)*CROQUIS!$C$138)/2)+MIN(INT(($A54-1)/5),MAX((MIN(80,MAX(1,INT(((CROQUIS!$C$97)-CROQUIS!$C$107)/MAX(CROQUIS!$C$138,1))+1)))-1,0))*CROQUIS!$C$138)))*CROQUIS!$C$155)+IF(CROQUIS!$C$92="X",0,0)),-1000)</f>
        <v>-1000</v>
      </c>
      <c r="BR5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54-1)/5),MAX((MIN(80,MAX(1,INT(((CROQUIS!$C$97)-CROQUIS!$C$107)/MAX(CROQUIS!$C$138,1))+1)))-1,0))*CROQUIS!$C$138),CHOOSE(IF(INT(($A54-1)/5)&gt;MAX((MIN(80,MAX(1,INT(((CROQUIS!$C$97)-CROQUIS!$C$107)/MAX(CROQUIS!$C$138,1))+1)))-1,0),0,MOD($A54-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54">
        <f>IF(AND(CROQUIS!$C$88=1,CROQUIS!$C$91=0,CROQUIS!$C$138&gt;0,OR(CROQUIS!$C$106=1,CROQUIS!$C$143=1)),((CROQUIS!$C$157+(IF(CROQUIS!$C$92="X",CHOOSE(IF(INT(($A54-1)/5)&gt;MAX((MIN(80,MAX(1,INT(((CROQUIS!$C$97)-CROQUIS!$C$107)/MAX(CROQUIS!$C$138,1))+1)))-1,0),0,MOD($A54-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54-1)/5),MAX((MIN(80,MAX(1,INT(((CROQUIS!$C$97)-CROQUIS!$C$107)/MAX(CROQUIS!$C$138,1))+1)))-1,0))*CROQUIS!$C$138)))*CROQUIS!$C$155)+IF(CROQUIS!$C$92="X",0,0)),-1000)</f>
        <v>-1000</v>
      </c>
      <c r="BT54">
        <f>IF(AND(CROQUIS!$C$88=1,CROQUIS!$C$91=1,CROQUIS!$C$130&gt;0),((CROQUIS!$C$156+(IF(CROQUIS!$C$92="X",CHOOSE(IF(INT(($A54-1)/5)&gt;MAX((MIN(80,MAX(1,INT(((CROQUIS!$C$98)-CROQUIS!$C$107)/MAX(CROQUIS!$C$130,1))+1)))-1,0),0,MOD($A54-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54-1)/5),MAX((MIN(80,MAX(1,INT(((CROQUIS!$C$98)-CROQUIS!$C$107)/MAX(CROQUIS!$C$130,1))+1)))-1,0))*CROQUIS!$C$130)))*CROQUIS!$C$155)+IF(CROQUIS!$C$92="X",0,0)),-1000)</f>
        <v>-1000</v>
      </c>
      <c r="BU54">
        <f>IF(AND(CROQUIS!$C$88=1,CROQUIS!$C$91=1,CROQUIS!$C$130&gt;0),((CROQUIS!$C$157+(IF(CROQUIS!$C$92="X",((CROQUIS!$C$107/2+(((CROQUIS!$C$98)-CROQUIS!$C$107)-(MIN(80,MAX(1,INT(((CROQUIS!$C$98)-CROQUIS!$C$107)/MAX(CROQUIS!$C$130,1))+1))-1)*CROQUIS!$C$130)/2)+MIN(INT(($A54-1)/5),MAX((MIN(80,MAX(1,INT(((CROQUIS!$C$98)-CROQUIS!$C$107)/MAX(CROQUIS!$C$130,1))+1)))-1,0))*CROQUIS!$C$130),CHOOSE(IF(INT(($A54-1)/5)&gt;MAX((MIN(80,MAX(1,INT(((CROQUIS!$C$98)-CROQUIS!$C$107)/MAX(CROQUIS!$C$130,1))+1)))-1,0),0,MOD($A54-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55">
      <c r="A55" t="n">
        <v>48</v>
      </c>
      <c r="AF55">
        <f>IF(AND(CROQUIS!$C$87=1,CROQUIS!$C$158&gt;0,CROQUIS!$C$160&gt;0),(CROQUIS!$C$156+((CROQUIS!$C$159+INT(MIN(INT(($A55-1)/2),MAX((2*CROQUIS!$C$158)-1,0))/2)*CROQUIS!$C$113+MOD(MIN(INT(($A55-1)/2),MAX((2*CROQUIS!$C$158)-1,0)),2)*CROQUIS!$C$112))*CROQUIS!$C$155),-1000)</f>
        <v>85.2010845006778</v>
      </c>
      <c r="AG55">
        <f>IF(AND(CROQUIS!$C$87=1,CROQUIS!$C$158&gt;0,CROQUIS!$C$160&gt;0),(CROQUIS!$C$157+(IF(MOD(MIN(INT(($A55-1)/2),MAX((2*CROQUIS!$C$158)-1,0)),2)=0,IF(IF(INT(($A55-1)/2)&gt;MAX((2*CROQUIS!$C$158)-1,0),1,MOD($A55-1,2))=0,CROQUIS!$C$161,(CROQUIS!$C$161+CROQUIS!$C$160*CROQUIS!$C$113-CROQUIS!$C$111)),IF(IF(INT(($A55-1)/2)&gt;MAX((2*CROQUIS!$C$158)-1,0),1,MOD($A55-1,2))=0,(CROQUIS!$C$161+CROQUIS!$C$160*CROQUIS!$C$113-CROQUIS!$C$111),CROQUIS!$C$161)))*CROQUIS!$C$155),-1000)</f>
        <v>20.8088567555355</v>
      </c>
      <c r="AH55">
        <f>IF(AND(CROQUIS!$C$87=1,CROQUIS!$C$160&gt;0,CROQUIS!$C$158&gt;0),(CROQUIS!$C$156+(IF(MOD(MIN(INT(($A55-1)/2),MAX((2*CROQUIS!$C$160)-1,0)),2)=0,IF(IF(INT(($A55-1)/2)&gt;MAX((2*CROQUIS!$C$160)-1,0),1,MOD($A55-1,2))=0,CROQUIS!$C$159,(CROQUIS!$C$159+CROQUIS!$C$158*CROQUIS!$C$113-CROQUIS!$C$111)),IF(IF(INT(($A55-1)/2)&gt;MAX((2*CROQUIS!$C$160)-1,0),1,MOD($A55-1,2))=0,(CROQUIS!$C$159+CROQUIS!$C$158*CROQUIS!$C$113-CROQUIS!$C$111),CROQUIS!$C$159)))*CROQUIS!$C$155),-1000)</f>
        <v>14.7989154993222</v>
      </c>
      <c r="AI55">
        <f>IF(AND(CROQUIS!$C$87=1,CROQUIS!$C$160&gt;0,CROQUIS!$C$158&gt;0),(CROQUIS!$C$157+((CROQUIS!$C$161+INT(MIN(INT(($A55-1)/2),MAX((2*CROQUIS!$C$160)-1,0))/2)*CROQUIS!$C$113+MOD(MIN(INT(($A55-1)/2),MAX((2*CROQUIS!$C$160)-1,0)),2)*CROQUIS!$C$112))*CROQUIS!$C$155),-1000)</f>
        <v>79.1911432444645</v>
      </c>
      <c r="AJ55">
        <f>IF(AND(CROQUIS!$C$87=1,CROQUIS!$C$158&gt;=2),(CROQUIS!$C$156+((CROQUIS!$C$159+CROQUIS!$C$112+CROQUIS!$C$111/2+MIN(INT(($A55-1)/2),MAX((CROQUIS!$C$158-1)-1,0))*CROQUIS!$C$113))*CROQUIS!$C$155),-1000)</f>
        <v>74.0397650248531</v>
      </c>
      <c r="AK55">
        <f>IF(AND(CROQUIS!$C$87=1,CROQUIS!$C$158&gt;=2),(CROQUIS!$C$157+(IF(MOD(MIN(INT(($A55-1)/2),MAX((CROQUIS!$C$158-1)-1,0)),2)=0,IF(IF(INT(($A55-1)/2)&gt;MAX((CROQUIS!$C$158-1)-1,0),1,MOD($A55-1,2))=0,CROQUIS!$C$107/2,(CROQUIS!$C$96-CROQUIS!$C$107/2)),IF(IF(INT(($A55-1)/2)&gt;MAX((CROQUIS!$C$158-1)-1,0),1,MOD($A55-1,2))=0,(CROQUIS!$C$96-CROQUIS!$C$107/2),CROQUIS!$C$107/2)))*CROQUIS!$C$155),-1000)</f>
        <v>83.0546769091731</v>
      </c>
      <c r="AL55">
        <f>IF(AND(CROQUIS!$C$87=1,CROQUIS!$C$160&gt;=2),(CROQUIS!$C$156+(IF(MOD(MIN(INT(($A55-1)/2),MAX((CROQUIS!$C$160-1)-1,0)),2)=0,IF(IF(INT(($A55-1)/2)&gt;MAX((CROQUIS!$C$160-1)-1,0),1,MOD($A55-1,2))=0,CROQUIS!$C$107/2,(CROQUIS!$C$95-CROQUIS!$C$107/2)),IF(IF(INT(($A55-1)/2)&gt;MAX((CROQUIS!$C$160-1)-1,0),1,MOD($A55-1,2))=0,(CROQUIS!$C$95-CROQUIS!$C$107/2),CROQUIS!$C$107/2)))*CROQUIS!$C$155),-1000)</f>
        <v>13.2878445549028</v>
      </c>
      <c r="AM55">
        <f>IF(AND(CROQUIS!$C$87=1,CROQUIS!$C$160&gt;=2),(CROQUIS!$C$157+((CROQUIS!$C$161+CROQUIS!$C$112+CROQUIS!$C$111/2+MIN(INT(($A55-1)/2),MAX((CROQUIS!$C$160-1)-1,0))*CROQUIS!$C$113))*CROQUIS!$C$155),-1000)</f>
        <v>68.0298237686399</v>
      </c>
      <c r="BH55">
        <f>IF(AND(CROQUIS!$C$88=1,CROQUIS!$C$126&gt;0),((CROQUIS!$C$156+(IF(CROQUIS!$C$92="X",CHOOSE(IF(INT(($A55-1)/5)&gt;MAX((MIN(80,MAX(1,INT(((CROQUIS!$C$98)-CROQUIS!$C$107)/MAX(CROQUIS!$C$126,1))+1)))-1,0),0,MOD($A55-1,5))+1,0,2,CROQUIS!$C$97-2,2,0),((CROQUIS!$C$107/2+(((CROQUIS!$C$98)-CROQUIS!$C$107)-(MIN(80,MAX(1,INT(((CROQUIS!$C$98)-CROQUIS!$C$107)/MAX(CROQUIS!$C$126,1))+1))-1)*CROQUIS!$C$126)/2)+MIN(INT(($A55-1)/5),MAX((MIN(80,MAX(1,INT(((CROQUIS!$C$98)-CROQUIS!$C$107)/MAX(CROQUIS!$C$126,1))+1)))-1,0))*CROQUIS!$C$126)))*CROQUIS!$C$155)+IF(CROQUIS!$C$92="X",0,0)),-1000)</f>
        <v>-1000</v>
      </c>
      <c r="BI55">
        <f>IF(AND(CROQUIS!$C$88=1,CROQUIS!$C$126&gt;0),((CROQUIS!$C$157+(IF(CROQUIS!$C$92="X",((CROQUIS!$C$107/2+(((CROQUIS!$C$98)-CROQUIS!$C$107)-(MIN(80,MAX(1,INT(((CROQUIS!$C$98)-CROQUIS!$C$107)/MAX(CROQUIS!$C$126,1))+1))-1)*CROQUIS!$C$126)/2)+MIN(INT(($A55-1)/5),MAX((MIN(80,MAX(1,INT(((CROQUIS!$C$98)-CROQUIS!$C$107)/MAX(CROQUIS!$C$126,1))+1)))-1,0))*CROQUIS!$C$126),CHOOSE(IF(INT(($A55-1)/5)&gt;MAX((MIN(80,MAX(1,INT(((CROQUIS!$C$98)-CROQUIS!$C$107)/MAX(CROQUIS!$C$126,1))+1)))-1,0),0,MOD($A55-1,5))+1,0,2,CROQUIS!$C$97-2,2,0)))*CROQUIS!$C$155)+IF(CROQUIS!$C$92="X",0,0)),-1000)</f>
        <v>-1000</v>
      </c>
      <c r="BJ55">
        <f>IF(AND(CROQUIS!$C$88=1,CROQUIS!$C$134&gt;0),((CROQUIS!$C$156+(IF(CROQUIS!$C$92="X",((CROQUIS!$C$107/2+(((CROQUIS!$C$97)-CROQUIS!$C$107)-(MIN(80,MAX(1,INT(((CROQUIS!$C$97)-CROQUIS!$C$107)/MAX(CROQUIS!$C$134,1))+1))-1)*CROQUIS!$C$134)/2)+MIN(INT(($A55-1)/5),MAX((MIN(80,MAX(1,INT(((CROQUIS!$C$97)-CROQUIS!$C$107)/MAX(CROQUIS!$C$134,1))+1)))-1,0))*CROQUIS!$C$134),CHOOSE(IF(INT(($A55-1)/5)&gt;MAX((MIN(80,MAX(1,INT(((CROQUIS!$C$97)-CROQUIS!$C$107)/MAX(CROQUIS!$C$134,1))+1)))-1,0),0,MOD($A55-1,5))+1,0,2,CROQUIS!$C$98-2,2,0)))*CROQUIS!$C$155)+IF(CROQUIS!$C$92="X",0,0)),-1000)</f>
        <v>-1000</v>
      </c>
      <c r="BK55">
        <f>IF(AND(CROQUIS!$C$88=1,CROQUIS!$C$134&gt;0),((CROQUIS!$C$157+(IF(CROQUIS!$C$92="X",CHOOSE(IF(INT(($A55-1)/5)&gt;MAX((MIN(80,MAX(1,INT(((CROQUIS!$C$97)-CROQUIS!$C$107)/MAX(CROQUIS!$C$134,1))+1)))-1,0),0,MOD($A55-1,5))+1,0,2,CROQUIS!$C$98-2,2,0),((CROQUIS!$C$107/2+(((CROQUIS!$C$97)-CROQUIS!$C$107)-(MIN(80,MAX(1,INT(((CROQUIS!$C$97)-CROQUIS!$C$107)/MAX(CROQUIS!$C$134,1))+1))-1)*CROQUIS!$C$134)/2)+MIN(INT(($A55-1)/5),MAX((MIN(80,MAX(1,INT(((CROQUIS!$C$97)-CROQUIS!$C$107)/MAX(CROQUIS!$C$134,1))+1)))-1,0))*CROQUIS!$C$134)))*CROQUIS!$C$155)+IF(CROQUIS!$C$92="X",0,0)),-1000)</f>
        <v>-1000</v>
      </c>
      <c r="BL55">
        <f>IF(AND(CROQUIS!$C$88=1,CROQUIS!$C$91=0,CROQUIS!$C$130&gt;0,OR(CROQUIS!$C$103=1,CROQUIS!$C$142=1)),((CROQUIS!$C$156+(IF(CROQUIS!$C$92="X",CHOOSE(IF(INT(($A55-1)/5)&gt;MAX((MIN(80,MAX(1,INT(((CROQUIS!$C$98)-CROQUIS!$C$107)/MAX(CROQUIS!$C$130,1))+1)))-1,0),0,MOD($A55-1,5))+1,0,IF(CROQUIS!$C$103=1,-12,2),CROQUIS!$C$107/2+CROQUIS!$C$140,IF(CROQUIS!$C$103=1,-12,2),0),((CROQUIS!$C$107/2+(((CROQUIS!$C$98)-CROQUIS!$C$107)-(MIN(80,MAX(1,INT(((CROQUIS!$C$98)-CROQUIS!$C$107)/MAX(CROQUIS!$C$130,1))+1))-1)*CROQUIS!$C$130)/2)+MIN(INT(($A55-1)/5),MAX((MIN(80,MAX(1,INT(((CROQUIS!$C$98)-CROQUIS!$C$107)/MAX(CROQUIS!$C$130,1))+1)))-1,0))*CROQUIS!$C$130)))*CROQUIS!$C$155)+IF(CROQUIS!$C$92="X",0,0)),-1000)</f>
        <v>-1000</v>
      </c>
      <c r="BM5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55-1)/5),MAX((MIN(80,MAX(1,INT(((CROQUIS!$C$98)-CROQUIS!$C$107)/MAX(CROQUIS!$C$130,1))+1)))-1,0))*CROQUIS!$C$130),CHOOSE(IF(INT(($A55-1)/5)&gt;MAX((MIN(80,MAX(1,INT(((CROQUIS!$C$98)-CROQUIS!$C$107)/MAX(CROQUIS!$C$130,1))+1)))-1,0),0,MOD($A55-1,5))+1,0,IF(CROQUIS!$C$103=1,-12,2),CROQUIS!$C$107/2+CROQUIS!$C$140,IF(CROQUIS!$C$103=1,-12,2),0)))*CROQUIS!$C$155)+IF(CROQUIS!$C$92="X",0,0)),-1000)</f>
        <v>-1000</v>
      </c>
      <c r="BN55">
        <f>IF(AND(CROQUIS!$C$88=1,CROQUIS!$C$91=0,CROQUIS!$C$130&gt;0,OR(CROQUIS!$C$104=1,CROQUIS!$C$142=1)),((CROQUIS!$C$156+(IF(CROQUIS!$C$92="X",CHOOSE(IF(INT(($A55-1)/5)&gt;MAX((MIN(80,MAX(1,INT(((CROQUIS!$C$98)-CROQUIS!$C$107)/MAX(CROQUIS!$C$130,1))+1)))-1,0),0,MOD($A55-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55-1)/5),MAX((MIN(80,MAX(1,INT(((CROQUIS!$C$98)-CROQUIS!$C$107)/MAX(CROQUIS!$C$130,1))+1)))-1,0))*CROQUIS!$C$130)))*CROQUIS!$C$155)+IF(CROQUIS!$C$92="X",0,0)),-1000)</f>
        <v>-1000</v>
      </c>
      <c r="BO5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55-1)/5),MAX((MIN(80,MAX(1,INT(((CROQUIS!$C$98)-CROQUIS!$C$107)/MAX(CROQUIS!$C$130,1))+1)))-1,0))*CROQUIS!$C$130),CHOOSE(IF(INT(($A55-1)/5)&gt;MAX((MIN(80,MAX(1,INT(((CROQUIS!$C$98)-CROQUIS!$C$107)/MAX(CROQUIS!$C$130,1))+1)))-1,0),0,MOD($A55-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5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55-1)/5),MAX((MIN(80,MAX(1,INT(((CROQUIS!$C$97)-CROQUIS!$C$107)/MAX(CROQUIS!$C$138,1))+1)))-1,0))*CROQUIS!$C$138),CHOOSE(IF(INT(($A55-1)/5)&gt;MAX((MIN(80,MAX(1,INT(((CROQUIS!$C$97)-CROQUIS!$C$107)/MAX(CROQUIS!$C$138,1))+1)))-1,0),0,MOD($A55-1,5))+1,0,IF(CROQUIS!$C$105=1,-12,2),CROQUIS!$C$107/2+CROQUIS!$C$141,IF(CROQUIS!$C$105=1,-12,2),0)))*CROQUIS!$C$155)+IF(CROQUIS!$C$92="X",0,0)),-1000)</f>
        <v>-1000</v>
      </c>
      <c r="BQ55">
        <f>IF(AND(CROQUIS!$C$88=1,CROQUIS!$C$91=0,CROQUIS!$C$138&gt;0,OR(CROQUIS!$C$105=1,CROQUIS!$C$143=1)),((CROQUIS!$C$157+(IF(CROQUIS!$C$92="X",CHOOSE(IF(INT(($A55-1)/5)&gt;MAX((MIN(80,MAX(1,INT(((CROQUIS!$C$97)-CROQUIS!$C$107)/MAX(CROQUIS!$C$138,1))+1)))-1,0),0,MOD($A55-1,5))+1,0,IF(CROQUIS!$C$105=1,-12,2),CROQUIS!$C$107/2+CROQUIS!$C$141,IF(CROQUIS!$C$105=1,-12,2),0),((CROQUIS!$C$107/2+(((CROQUIS!$C$97)-CROQUIS!$C$107)-(MIN(80,MAX(1,INT(((CROQUIS!$C$97)-CROQUIS!$C$107)/MAX(CROQUIS!$C$138,1))+1))-1)*CROQUIS!$C$138)/2)+MIN(INT(($A55-1)/5),MAX((MIN(80,MAX(1,INT(((CROQUIS!$C$97)-CROQUIS!$C$107)/MAX(CROQUIS!$C$138,1))+1)))-1,0))*CROQUIS!$C$138)))*CROQUIS!$C$155)+IF(CROQUIS!$C$92="X",0,0)),-1000)</f>
        <v>-1000</v>
      </c>
      <c r="BR5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55-1)/5),MAX((MIN(80,MAX(1,INT(((CROQUIS!$C$97)-CROQUIS!$C$107)/MAX(CROQUIS!$C$138,1))+1)))-1,0))*CROQUIS!$C$138),CHOOSE(IF(INT(($A55-1)/5)&gt;MAX((MIN(80,MAX(1,INT(((CROQUIS!$C$97)-CROQUIS!$C$107)/MAX(CROQUIS!$C$138,1))+1)))-1,0),0,MOD($A55-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55">
        <f>IF(AND(CROQUIS!$C$88=1,CROQUIS!$C$91=0,CROQUIS!$C$138&gt;0,OR(CROQUIS!$C$106=1,CROQUIS!$C$143=1)),((CROQUIS!$C$157+(IF(CROQUIS!$C$92="X",CHOOSE(IF(INT(($A55-1)/5)&gt;MAX((MIN(80,MAX(1,INT(((CROQUIS!$C$97)-CROQUIS!$C$107)/MAX(CROQUIS!$C$138,1))+1)))-1,0),0,MOD($A55-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55-1)/5),MAX((MIN(80,MAX(1,INT(((CROQUIS!$C$97)-CROQUIS!$C$107)/MAX(CROQUIS!$C$138,1))+1)))-1,0))*CROQUIS!$C$138)))*CROQUIS!$C$155)+IF(CROQUIS!$C$92="X",0,0)),-1000)</f>
        <v>-1000</v>
      </c>
      <c r="BT55">
        <f>IF(AND(CROQUIS!$C$88=1,CROQUIS!$C$91=1,CROQUIS!$C$130&gt;0),((CROQUIS!$C$156+(IF(CROQUIS!$C$92="X",CHOOSE(IF(INT(($A55-1)/5)&gt;MAX((MIN(80,MAX(1,INT(((CROQUIS!$C$98)-CROQUIS!$C$107)/MAX(CROQUIS!$C$130,1))+1)))-1,0),0,MOD($A55-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55-1)/5),MAX((MIN(80,MAX(1,INT(((CROQUIS!$C$98)-CROQUIS!$C$107)/MAX(CROQUIS!$C$130,1))+1)))-1,0))*CROQUIS!$C$130)))*CROQUIS!$C$155)+IF(CROQUIS!$C$92="X",0,0)),-1000)</f>
        <v>-1000</v>
      </c>
      <c r="BU55">
        <f>IF(AND(CROQUIS!$C$88=1,CROQUIS!$C$91=1,CROQUIS!$C$130&gt;0),((CROQUIS!$C$157+(IF(CROQUIS!$C$92="X",((CROQUIS!$C$107/2+(((CROQUIS!$C$98)-CROQUIS!$C$107)-(MIN(80,MAX(1,INT(((CROQUIS!$C$98)-CROQUIS!$C$107)/MAX(CROQUIS!$C$130,1))+1))-1)*CROQUIS!$C$130)/2)+MIN(INT(($A55-1)/5),MAX((MIN(80,MAX(1,INT(((CROQUIS!$C$98)-CROQUIS!$C$107)/MAX(CROQUIS!$C$130,1))+1)))-1,0))*CROQUIS!$C$130),CHOOSE(IF(INT(($A55-1)/5)&gt;MAX((MIN(80,MAX(1,INT(((CROQUIS!$C$98)-CROQUIS!$C$107)/MAX(CROQUIS!$C$130,1))+1)))-1,0),0,MOD($A55-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56">
      <c r="A56" t="n">
        <v>49</v>
      </c>
      <c r="AF56">
        <f>IF(AND(CROQUIS!$C$87=1,CROQUIS!$C$158&gt;0,CROQUIS!$C$160&gt;0),(CROQUIS!$C$156+((CROQUIS!$C$159+INT(MIN(INT(($A56-1)/2),MAX((2*CROQUIS!$C$158)-1,0))/2)*CROQUIS!$C$113+MOD(MIN(INT(($A56-1)/2),MAX((2*CROQUIS!$C$158)-1,0)),2)*CROQUIS!$C$112))*CROQUIS!$C$155),-1000)</f>
        <v>85.2010845006778</v>
      </c>
      <c r="AG56">
        <f>IF(AND(CROQUIS!$C$87=1,CROQUIS!$C$158&gt;0,CROQUIS!$C$160&gt;0),(CROQUIS!$C$157+(IF(MOD(MIN(INT(($A56-1)/2),MAX((2*CROQUIS!$C$158)-1,0)),2)=0,IF(IF(INT(($A56-1)/2)&gt;MAX((2*CROQUIS!$C$158)-1,0),1,MOD($A56-1,2))=0,CROQUIS!$C$161,(CROQUIS!$C$161+CROQUIS!$C$160*CROQUIS!$C$113-CROQUIS!$C$111)),IF(IF(INT(($A56-1)/2)&gt;MAX((2*CROQUIS!$C$158)-1,0),1,MOD($A56-1,2))=0,(CROQUIS!$C$161+CROQUIS!$C$160*CROQUIS!$C$113-CROQUIS!$C$111),CROQUIS!$C$161)))*CROQUIS!$C$155),-1000)</f>
        <v>20.8088567555355</v>
      </c>
      <c r="AH56">
        <f>IF(AND(CROQUIS!$C$87=1,CROQUIS!$C$160&gt;0,CROQUIS!$C$158&gt;0),(CROQUIS!$C$156+(IF(MOD(MIN(INT(($A56-1)/2),MAX((2*CROQUIS!$C$160)-1,0)),2)=0,IF(IF(INT(($A56-1)/2)&gt;MAX((2*CROQUIS!$C$160)-1,0),1,MOD($A56-1,2))=0,CROQUIS!$C$159,(CROQUIS!$C$159+CROQUIS!$C$158*CROQUIS!$C$113-CROQUIS!$C$111)),IF(IF(INT(($A56-1)/2)&gt;MAX((2*CROQUIS!$C$160)-1,0),1,MOD($A56-1,2))=0,(CROQUIS!$C$159+CROQUIS!$C$158*CROQUIS!$C$113-CROQUIS!$C$111),CROQUIS!$C$159)))*CROQUIS!$C$155),-1000)</f>
        <v>14.7989154993222</v>
      </c>
      <c r="AI56">
        <f>IF(AND(CROQUIS!$C$87=1,CROQUIS!$C$160&gt;0,CROQUIS!$C$158&gt;0),(CROQUIS!$C$157+((CROQUIS!$C$161+INT(MIN(INT(($A56-1)/2),MAX((2*CROQUIS!$C$160)-1,0))/2)*CROQUIS!$C$113+MOD(MIN(INT(($A56-1)/2),MAX((2*CROQUIS!$C$160)-1,0)),2)*CROQUIS!$C$112))*CROQUIS!$C$155),-1000)</f>
        <v>79.1911432444645</v>
      </c>
      <c r="AJ56">
        <f>IF(AND(CROQUIS!$C$87=1,CROQUIS!$C$158&gt;=2),(CROQUIS!$C$156+((CROQUIS!$C$159+CROQUIS!$C$112+CROQUIS!$C$111/2+MIN(INT(($A56-1)/2),MAX((CROQUIS!$C$158-1)-1,0))*CROQUIS!$C$113))*CROQUIS!$C$155),-1000)</f>
        <v>74.0397650248531</v>
      </c>
      <c r="AK56">
        <f>IF(AND(CROQUIS!$C$87=1,CROQUIS!$C$158&gt;=2),(CROQUIS!$C$157+(IF(MOD(MIN(INT(($A56-1)/2),MAX((CROQUIS!$C$158-1)-1,0)),2)=0,IF(IF(INT(($A56-1)/2)&gt;MAX((CROQUIS!$C$158-1)-1,0),1,MOD($A56-1,2))=0,CROQUIS!$C$107/2,(CROQUIS!$C$96-CROQUIS!$C$107/2)),IF(IF(INT(($A56-1)/2)&gt;MAX((CROQUIS!$C$158-1)-1,0),1,MOD($A56-1,2))=0,(CROQUIS!$C$96-CROQUIS!$C$107/2),CROQUIS!$C$107/2)))*CROQUIS!$C$155),-1000)</f>
        <v>83.0546769091731</v>
      </c>
      <c r="AL56">
        <f>IF(AND(CROQUIS!$C$87=1,CROQUIS!$C$160&gt;=2),(CROQUIS!$C$156+(IF(MOD(MIN(INT(($A56-1)/2),MAX((CROQUIS!$C$160-1)-1,0)),2)=0,IF(IF(INT(($A56-1)/2)&gt;MAX((CROQUIS!$C$160-1)-1,0),1,MOD($A56-1,2))=0,CROQUIS!$C$107/2,(CROQUIS!$C$95-CROQUIS!$C$107/2)),IF(IF(INT(($A56-1)/2)&gt;MAX((CROQUIS!$C$160-1)-1,0),1,MOD($A56-1,2))=0,(CROQUIS!$C$95-CROQUIS!$C$107/2),CROQUIS!$C$107/2)))*CROQUIS!$C$155),-1000)</f>
        <v>13.2878445549028</v>
      </c>
      <c r="AM56">
        <f>IF(AND(CROQUIS!$C$87=1,CROQUIS!$C$160&gt;=2),(CROQUIS!$C$157+((CROQUIS!$C$161+CROQUIS!$C$112+CROQUIS!$C$111/2+MIN(INT(($A56-1)/2),MAX((CROQUIS!$C$160-1)-1,0))*CROQUIS!$C$113))*CROQUIS!$C$155),-1000)</f>
        <v>68.0298237686399</v>
      </c>
      <c r="BH56">
        <f>IF(AND(CROQUIS!$C$88=1,CROQUIS!$C$126&gt;0),((CROQUIS!$C$156+(IF(CROQUIS!$C$92="X",CHOOSE(IF(INT(($A56-1)/5)&gt;MAX((MIN(80,MAX(1,INT(((CROQUIS!$C$98)-CROQUIS!$C$107)/MAX(CROQUIS!$C$126,1))+1)))-1,0),0,MOD($A56-1,5))+1,0,2,CROQUIS!$C$97-2,2,0),((CROQUIS!$C$107/2+(((CROQUIS!$C$98)-CROQUIS!$C$107)-(MIN(80,MAX(1,INT(((CROQUIS!$C$98)-CROQUIS!$C$107)/MAX(CROQUIS!$C$126,1))+1))-1)*CROQUIS!$C$126)/2)+MIN(INT(($A56-1)/5),MAX((MIN(80,MAX(1,INT(((CROQUIS!$C$98)-CROQUIS!$C$107)/MAX(CROQUIS!$C$126,1))+1)))-1,0))*CROQUIS!$C$126)))*CROQUIS!$C$155)+IF(CROQUIS!$C$92="X",0,0)),-1000)</f>
        <v>-1000</v>
      </c>
      <c r="BI56">
        <f>IF(AND(CROQUIS!$C$88=1,CROQUIS!$C$126&gt;0),((CROQUIS!$C$157+(IF(CROQUIS!$C$92="X",((CROQUIS!$C$107/2+(((CROQUIS!$C$98)-CROQUIS!$C$107)-(MIN(80,MAX(1,INT(((CROQUIS!$C$98)-CROQUIS!$C$107)/MAX(CROQUIS!$C$126,1))+1))-1)*CROQUIS!$C$126)/2)+MIN(INT(($A56-1)/5),MAX((MIN(80,MAX(1,INT(((CROQUIS!$C$98)-CROQUIS!$C$107)/MAX(CROQUIS!$C$126,1))+1)))-1,0))*CROQUIS!$C$126),CHOOSE(IF(INT(($A56-1)/5)&gt;MAX((MIN(80,MAX(1,INT(((CROQUIS!$C$98)-CROQUIS!$C$107)/MAX(CROQUIS!$C$126,1))+1)))-1,0),0,MOD($A56-1,5))+1,0,2,CROQUIS!$C$97-2,2,0)))*CROQUIS!$C$155)+IF(CROQUIS!$C$92="X",0,0)),-1000)</f>
        <v>-1000</v>
      </c>
      <c r="BJ56">
        <f>IF(AND(CROQUIS!$C$88=1,CROQUIS!$C$134&gt;0),((CROQUIS!$C$156+(IF(CROQUIS!$C$92="X",((CROQUIS!$C$107/2+(((CROQUIS!$C$97)-CROQUIS!$C$107)-(MIN(80,MAX(1,INT(((CROQUIS!$C$97)-CROQUIS!$C$107)/MAX(CROQUIS!$C$134,1))+1))-1)*CROQUIS!$C$134)/2)+MIN(INT(($A56-1)/5),MAX((MIN(80,MAX(1,INT(((CROQUIS!$C$97)-CROQUIS!$C$107)/MAX(CROQUIS!$C$134,1))+1)))-1,0))*CROQUIS!$C$134),CHOOSE(IF(INT(($A56-1)/5)&gt;MAX((MIN(80,MAX(1,INT(((CROQUIS!$C$97)-CROQUIS!$C$107)/MAX(CROQUIS!$C$134,1))+1)))-1,0),0,MOD($A56-1,5))+1,0,2,CROQUIS!$C$98-2,2,0)))*CROQUIS!$C$155)+IF(CROQUIS!$C$92="X",0,0)),-1000)</f>
        <v>-1000</v>
      </c>
      <c r="BK56">
        <f>IF(AND(CROQUIS!$C$88=1,CROQUIS!$C$134&gt;0),((CROQUIS!$C$157+(IF(CROQUIS!$C$92="X",CHOOSE(IF(INT(($A56-1)/5)&gt;MAX((MIN(80,MAX(1,INT(((CROQUIS!$C$97)-CROQUIS!$C$107)/MAX(CROQUIS!$C$134,1))+1)))-1,0),0,MOD($A56-1,5))+1,0,2,CROQUIS!$C$98-2,2,0),((CROQUIS!$C$107/2+(((CROQUIS!$C$97)-CROQUIS!$C$107)-(MIN(80,MAX(1,INT(((CROQUIS!$C$97)-CROQUIS!$C$107)/MAX(CROQUIS!$C$134,1))+1))-1)*CROQUIS!$C$134)/2)+MIN(INT(($A56-1)/5),MAX((MIN(80,MAX(1,INT(((CROQUIS!$C$97)-CROQUIS!$C$107)/MAX(CROQUIS!$C$134,1))+1)))-1,0))*CROQUIS!$C$134)))*CROQUIS!$C$155)+IF(CROQUIS!$C$92="X",0,0)),-1000)</f>
        <v>-1000</v>
      </c>
      <c r="BL56">
        <f>IF(AND(CROQUIS!$C$88=1,CROQUIS!$C$91=0,CROQUIS!$C$130&gt;0,OR(CROQUIS!$C$103=1,CROQUIS!$C$142=1)),((CROQUIS!$C$156+(IF(CROQUIS!$C$92="X",CHOOSE(IF(INT(($A56-1)/5)&gt;MAX((MIN(80,MAX(1,INT(((CROQUIS!$C$98)-CROQUIS!$C$107)/MAX(CROQUIS!$C$130,1))+1)))-1,0),0,MOD($A56-1,5))+1,0,IF(CROQUIS!$C$103=1,-12,2),CROQUIS!$C$107/2+CROQUIS!$C$140,IF(CROQUIS!$C$103=1,-12,2),0),((CROQUIS!$C$107/2+(((CROQUIS!$C$98)-CROQUIS!$C$107)-(MIN(80,MAX(1,INT(((CROQUIS!$C$98)-CROQUIS!$C$107)/MAX(CROQUIS!$C$130,1))+1))-1)*CROQUIS!$C$130)/2)+MIN(INT(($A56-1)/5),MAX((MIN(80,MAX(1,INT(((CROQUIS!$C$98)-CROQUIS!$C$107)/MAX(CROQUIS!$C$130,1))+1)))-1,0))*CROQUIS!$C$130)))*CROQUIS!$C$155)+IF(CROQUIS!$C$92="X",0,0)),-1000)</f>
        <v>-1000</v>
      </c>
      <c r="BM5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56-1)/5),MAX((MIN(80,MAX(1,INT(((CROQUIS!$C$98)-CROQUIS!$C$107)/MAX(CROQUIS!$C$130,1))+1)))-1,0))*CROQUIS!$C$130),CHOOSE(IF(INT(($A56-1)/5)&gt;MAX((MIN(80,MAX(1,INT(((CROQUIS!$C$98)-CROQUIS!$C$107)/MAX(CROQUIS!$C$130,1))+1)))-1,0),0,MOD($A56-1,5))+1,0,IF(CROQUIS!$C$103=1,-12,2),CROQUIS!$C$107/2+CROQUIS!$C$140,IF(CROQUIS!$C$103=1,-12,2),0)))*CROQUIS!$C$155)+IF(CROQUIS!$C$92="X",0,0)),-1000)</f>
        <v>-1000</v>
      </c>
      <c r="BN56">
        <f>IF(AND(CROQUIS!$C$88=1,CROQUIS!$C$91=0,CROQUIS!$C$130&gt;0,OR(CROQUIS!$C$104=1,CROQUIS!$C$142=1)),((CROQUIS!$C$156+(IF(CROQUIS!$C$92="X",CHOOSE(IF(INT(($A56-1)/5)&gt;MAX((MIN(80,MAX(1,INT(((CROQUIS!$C$98)-CROQUIS!$C$107)/MAX(CROQUIS!$C$130,1))+1)))-1,0),0,MOD($A56-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56-1)/5),MAX((MIN(80,MAX(1,INT(((CROQUIS!$C$98)-CROQUIS!$C$107)/MAX(CROQUIS!$C$130,1))+1)))-1,0))*CROQUIS!$C$130)))*CROQUIS!$C$155)+IF(CROQUIS!$C$92="X",0,0)),-1000)</f>
        <v>-1000</v>
      </c>
      <c r="BO5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56-1)/5),MAX((MIN(80,MAX(1,INT(((CROQUIS!$C$98)-CROQUIS!$C$107)/MAX(CROQUIS!$C$130,1))+1)))-1,0))*CROQUIS!$C$130),CHOOSE(IF(INT(($A56-1)/5)&gt;MAX((MIN(80,MAX(1,INT(((CROQUIS!$C$98)-CROQUIS!$C$107)/MAX(CROQUIS!$C$130,1))+1)))-1,0),0,MOD($A56-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5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56-1)/5),MAX((MIN(80,MAX(1,INT(((CROQUIS!$C$97)-CROQUIS!$C$107)/MAX(CROQUIS!$C$138,1))+1)))-1,0))*CROQUIS!$C$138),CHOOSE(IF(INT(($A56-1)/5)&gt;MAX((MIN(80,MAX(1,INT(((CROQUIS!$C$97)-CROQUIS!$C$107)/MAX(CROQUIS!$C$138,1))+1)))-1,0),0,MOD($A56-1,5))+1,0,IF(CROQUIS!$C$105=1,-12,2),CROQUIS!$C$107/2+CROQUIS!$C$141,IF(CROQUIS!$C$105=1,-12,2),0)))*CROQUIS!$C$155)+IF(CROQUIS!$C$92="X",0,0)),-1000)</f>
        <v>-1000</v>
      </c>
      <c r="BQ56">
        <f>IF(AND(CROQUIS!$C$88=1,CROQUIS!$C$91=0,CROQUIS!$C$138&gt;0,OR(CROQUIS!$C$105=1,CROQUIS!$C$143=1)),((CROQUIS!$C$157+(IF(CROQUIS!$C$92="X",CHOOSE(IF(INT(($A56-1)/5)&gt;MAX((MIN(80,MAX(1,INT(((CROQUIS!$C$97)-CROQUIS!$C$107)/MAX(CROQUIS!$C$138,1))+1)))-1,0),0,MOD($A56-1,5))+1,0,IF(CROQUIS!$C$105=1,-12,2),CROQUIS!$C$107/2+CROQUIS!$C$141,IF(CROQUIS!$C$105=1,-12,2),0),((CROQUIS!$C$107/2+(((CROQUIS!$C$97)-CROQUIS!$C$107)-(MIN(80,MAX(1,INT(((CROQUIS!$C$97)-CROQUIS!$C$107)/MAX(CROQUIS!$C$138,1))+1))-1)*CROQUIS!$C$138)/2)+MIN(INT(($A56-1)/5),MAX((MIN(80,MAX(1,INT(((CROQUIS!$C$97)-CROQUIS!$C$107)/MAX(CROQUIS!$C$138,1))+1)))-1,0))*CROQUIS!$C$138)))*CROQUIS!$C$155)+IF(CROQUIS!$C$92="X",0,0)),-1000)</f>
        <v>-1000</v>
      </c>
      <c r="BR5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56-1)/5),MAX((MIN(80,MAX(1,INT(((CROQUIS!$C$97)-CROQUIS!$C$107)/MAX(CROQUIS!$C$138,1))+1)))-1,0))*CROQUIS!$C$138),CHOOSE(IF(INT(($A56-1)/5)&gt;MAX((MIN(80,MAX(1,INT(((CROQUIS!$C$97)-CROQUIS!$C$107)/MAX(CROQUIS!$C$138,1))+1)))-1,0),0,MOD($A56-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56">
        <f>IF(AND(CROQUIS!$C$88=1,CROQUIS!$C$91=0,CROQUIS!$C$138&gt;0,OR(CROQUIS!$C$106=1,CROQUIS!$C$143=1)),((CROQUIS!$C$157+(IF(CROQUIS!$C$92="X",CHOOSE(IF(INT(($A56-1)/5)&gt;MAX((MIN(80,MAX(1,INT(((CROQUIS!$C$97)-CROQUIS!$C$107)/MAX(CROQUIS!$C$138,1))+1)))-1,0),0,MOD($A56-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56-1)/5),MAX((MIN(80,MAX(1,INT(((CROQUIS!$C$97)-CROQUIS!$C$107)/MAX(CROQUIS!$C$138,1))+1)))-1,0))*CROQUIS!$C$138)))*CROQUIS!$C$155)+IF(CROQUIS!$C$92="X",0,0)),-1000)</f>
        <v>-1000</v>
      </c>
      <c r="BT56">
        <f>IF(AND(CROQUIS!$C$88=1,CROQUIS!$C$91=1,CROQUIS!$C$130&gt;0),((CROQUIS!$C$156+(IF(CROQUIS!$C$92="X",CHOOSE(IF(INT(($A56-1)/5)&gt;MAX((MIN(80,MAX(1,INT(((CROQUIS!$C$98)-CROQUIS!$C$107)/MAX(CROQUIS!$C$130,1))+1)))-1,0),0,MOD($A56-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56-1)/5),MAX((MIN(80,MAX(1,INT(((CROQUIS!$C$98)-CROQUIS!$C$107)/MAX(CROQUIS!$C$130,1))+1)))-1,0))*CROQUIS!$C$130)))*CROQUIS!$C$155)+IF(CROQUIS!$C$92="X",0,0)),-1000)</f>
        <v>-1000</v>
      </c>
      <c r="BU56">
        <f>IF(AND(CROQUIS!$C$88=1,CROQUIS!$C$91=1,CROQUIS!$C$130&gt;0),((CROQUIS!$C$157+(IF(CROQUIS!$C$92="X",((CROQUIS!$C$107/2+(((CROQUIS!$C$98)-CROQUIS!$C$107)-(MIN(80,MAX(1,INT(((CROQUIS!$C$98)-CROQUIS!$C$107)/MAX(CROQUIS!$C$130,1))+1))-1)*CROQUIS!$C$130)/2)+MIN(INT(($A56-1)/5),MAX((MIN(80,MAX(1,INT(((CROQUIS!$C$98)-CROQUIS!$C$107)/MAX(CROQUIS!$C$130,1))+1)))-1,0))*CROQUIS!$C$130),CHOOSE(IF(INT(($A56-1)/5)&gt;MAX((MIN(80,MAX(1,INT(((CROQUIS!$C$98)-CROQUIS!$C$107)/MAX(CROQUIS!$C$130,1))+1)))-1,0),0,MOD($A56-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57">
      <c r="A57" t="n">
        <v>50</v>
      </c>
      <c r="AF57">
        <f>IF(AND(CROQUIS!$C$87=1,CROQUIS!$C$158&gt;0,CROQUIS!$C$160&gt;0),(CROQUIS!$C$156+((CROQUIS!$C$159+INT(MIN(INT(($A57-1)/2),MAX((2*CROQUIS!$C$158)-1,0))/2)*CROQUIS!$C$113+MOD(MIN(INT(($A57-1)/2),MAX((2*CROQUIS!$C$158)-1,0)),2)*CROQUIS!$C$112))*CROQUIS!$C$155),-1000)</f>
        <v>85.2010845006778</v>
      </c>
      <c r="AG57">
        <f>IF(AND(CROQUIS!$C$87=1,CROQUIS!$C$158&gt;0,CROQUIS!$C$160&gt;0),(CROQUIS!$C$157+(IF(MOD(MIN(INT(($A57-1)/2),MAX((2*CROQUIS!$C$158)-1,0)),2)=0,IF(IF(INT(($A57-1)/2)&gt;MAX((2*CROQUIS!$C$158)-1,0),1,MOD($A57-1,2))=0,CROQUIS!$C$161,(CROQUIS!$C$161+CROQUIS!$C$160*CROQUIS!$C$113-CROQUIS!$C$111)),IF(IF(INT(($A57-1)/2)&gt;MAX((2*CROQUIS!$C$158)-1,0),1,MOD($A57-1,2))=0,(CROQUIS!$C$161+CROQUIS!$C$160*CROQUIS!$C$113-CROQUIS!$C$111),CROQUIS!$C$161)))*CROQUIS!$C$155),-1000)</f>
        <v>20.8088567555355</v>
      </c>
      <c r="AH57">
        <f>IF(AND(CROQUIS!$C$87=1,CROQUIS!$C$160&gt;0,CROQUIS!$C$158&gt;0),(CROQUIS!$C$156+(IF(MOD(MIN(INT(($A57-1)/2),MAX((2*CROQUIS!$C$160)-1,0)),2)=0,IF(IF(INT(($A57-1)/2)&gt;MAX((2*CROQUIS!$C$160)-1,0),1,MOD($A57-1,2))=0,CROQUIS!$C$159,(CROQUIS!$C$159+CROQUIS!$C$158*CROQUIS!$C$113-CROQUIS!$C$111)),IF(IF(INT(($A57-1)/2)&gt;MAX((2*CROQUIS!$C$160)-1,0),1,MOD($A57-1,2))=0,(CROQUIS!$C$159+CROQUIS!$C$158*CROQUIS!$C$113-CROQUIS!$C$111),CROQUIS!$C$159)))*CROQUIS!$C$155),-1000)</f>
        <v>14.7989154993222</v>
      </c>
      <c r="AI57">
        <f>IF(AND(CROQUIS!$C$87=1,CROQUIS!$C$160&gt;0,CROQUIS!$C$158&gt;0),(CROQUIS!$C$157+((CROQUIS!$C$161+INT(MIN(INT(($A57-1)/2),MAX((2*CROQUIS!$C$160)-1,0))/2)*CROQUIS!$C$113+MOD(MIN(INT(($A57-1)/2),MAX((2*CROQUIS!$C$160)-1,0)),2)*CROQUIS!$C$112))*CROQUIS!$C$155),-1000)</f>
        <v>79.1911432444645</v>
      </c>
      <c r="AJ57">
        <f>IF(AND(CROQUIS!$C$87=1,CROQUIS!$C$158&gt;=2),(CROQUIS!$C$156+((CROQUIS!$C$159+CROQUIS!$C$112+CROQUIS!$C$111/2+MIN(INT(($A57-1)/2),MAX((CROQUIS!$C$158-1)-1,0))*CROQUIS!$C$113))*CROQUIS!$C$155),-1000)</f>
        <v>74.0397650248531</v>
      </c>
      <c r="AK57">
        <f>IF(AND(CROQUIS!$C$87=1,CROQUIS!$C$158&gt;=2),(CROQUIS!$C$157+(IF(MOD(MIN(INT(($A57-1)/2),MAX((CROQUIS!$C$158-1)-1,0)),2)=0,IF(IF(INT(($A57-1)/2)&gt;MAX((CROQUIS!$C$158-1)-1,0),1,MOD($A57-1,2))=0,CROQUIS!$C$107/2,(CROQUIS!$C$96-CROQUIS!$C$107/2)),IF(IF(INT(($A57-1)/2)&gt;MAX((CROQUIS!$C$158-1)-1,0),1,MOD($A57-1,2))=0,(CROQUIS!$C$96-CROQUIS!$C$107/2),CROQUIS!$C$107/2)))*CROQUIS!$C$155),-1000)</f>
        <v>83.0546769091731</v>
      </c>
      <c r="AL57">
        <f>IF(AND(CROQUIS!$C$87=1,CROQUIS!$C$160&gt;=2),(CROQUIS!$C$156+(IF(MOD(MIN(INT(($A57-1)/2),MAX((CROQUIS!$C$160-1)-1,0)),2)=0,IF(IF(INT(($A57-1)/2)&gt;MAX((CROQUIS!$C$160-1)-1,0),1,MOD($A57-1,2))=0,CROQUIS!$C$107/2,(CROQUIS!$C$95-CROQUIS!$C$107/2)),IF(IF(INT(($A57-1)/2)&gt;MAX((CROQUIS!$C$160-1)-1,0),1,MOD($A57-1,2))=0,(CROQUIS!$C$95-CROQUIS!$C$107/2),CROQUIS!$C$107/2)))*CROQUIS!$C$155),-1000)</f>
        <v>13.2878445549028</v>
      </c>
      <c r="AM57">
        <f>IF(AND(CROQUIS!$C$87=1,CROQUIS!$C$160&gt;=2),(CROQUIS!$C$157+((CROQUIS!$C$161+CROQUIS!$C$112+CROQUIS!$C$111/2+MIN(INT(($A57-1)/2),MAX((CROQUIS!$C$160-1)-1,0))*CROQUIS!$C$113))*CROQUIS!$C$155),-1000)</f>
        <v>68.0298237686399</v>
      </c>
      <c r="BH57">
        <f>IF(AND(CROQUIS!$C$88=1,CROQUIS!$C$126&gt;0),((CROQUIS!$C$156+(IF(CROQUIS!$C$92="X",CHOOSE(IF(INT(($A57-1)/5)&gt;MAX((MIN(80,MAX(1,INT(((CROQUIS!$C$98)-CROQUIS!$C$107)/MAX(CROQUIS!$C$126,1))+1)))-1,0),0,MOD($A57-1,5))+1,0,2,CROQUIS!$C$97-2,2,0),((CROQUIS!$C$107/2+(((CROQUIS!$C$98)-CROQUIS!$C$107)-(MIN(80,MAX(1,INT(((CROQUIS!$C$98)-CROQUIS!$C$107)/MAX(CROQUIS!$C$126,1))+1))-1)*CROQUIS!$C$126)/2)+MIN(INT(($A57-1)/5),MAX((MIN(80,MAX(1,INT(((CROQUIS!$C$98)-CROQUIS!$C$107)/MAX(CROQUIS!$C$126,1))+1)))-1,0))*CROQUIS!$C$126)))*CROQUIS!$C$155)+IF(CROQUIS!$C$92="X",0,0)),-1000)</f>
        <v>-1000</v>
      </c>
      <c r="BI57">
        <f>IF(AND(CROQUIS!$C$88=1,CROQUIS!$C$126&gt;0),((CROQUIS!$C$157+(IF(CROQUIS!$C$92="X",((CROQUIS!$C$107/2+(((CROQUIS!$C$98)-CROQUIS!$C$107)-(MIN(80,MAX(1,INT(((CROQUIS!$C$98)-CROQUIS!$C$107)/MAX(CROQUIS!$C$126,1))+1))-1)*CROQUIS!$C$126)/2)+MIN(INT(($A57-1)/5),MAX((MIN(80,MAX(1,INT(((CROQUIS!$C$98)-CROQUIS!$C$107)/MAX(CROQUIS!$C$126,1))+1)))-1,0))*CROQUIS!$C$126),CHOOSE(IF(INT(($A57-1)/5)&gt;MAX((MIN(80,MAX(1,INT(((CROQUIS!$C$98)-CROQUIS!$C$107)/MAX(CROQUIS!$C$126,1))+1)))-1,0),0,MOD($A57-1,5))+1,0,2,CROQUIS!$C$97-2,2,0)))*CROQUIS!$C$155)+IF(CROQUIS!$C$92="X",0,0)),-1000)</f>
        <v>-1000</v>
      </c>
      <c r="BJ57">
        <f>IF(AND(CROQUIS!$C$88=1,CROQUIS!$C$134&gt;0),((CROQUIS!$C$156+(IF(CROQUIS!$C$92="X",((CROQUIS!$C$107/2+(((CROQUIS!$C$97)-CROQUIS!$C$107)-(MIN(80,MAX(1,INT(((CROQUIS!$C$97)-CROQUIS!$C$107)/MAX(CROQUIS!$C$134,1))+1))-1)*CROQUIS!$C$134)/2)+MIN(INT(($A57-1)/5),MAX((MIN(80,MAX(1,INT(((CROQUIS!$C$97)-CROQUIS!$C$107)/MAX(CROQUIS!$C$134,1))+1)))-1,0))*CROQUIS!$C$134),CHOOSE(IF(INT(($A57-1)/5)&gt;MAX((MIN(80,MAX(1,INT(((CROQUIS!$C$97)-CROQUIS!$C$107)/MAX(CROQUIS!$C$134,1))+1)))-1,0),0,MOD($A57-1,5))+1,0,2,CROQUIS!$C$98-2,2,0)))*CROQUIS!$C$155)+IF(CROQUIS!$C$92="X",0,0)),-1000)</f>
        <v>-1000</v>
      </c>
      <c r="BK57">
        <f>IF(AND(CROQUIS!$C$88=1,CROQUIS!$C$134&gt;0),((CROQUIS!$C$157+(IF(CROQUIS!$C$92="X",CHOOSE(IF(INT(($A57-1)/5)&gt;MAX((MIN(80,MAX(1,INT(((CROQUIS!$C$97)-CROQUIS!$C$107)/MAX(CROQUIS!$C$134,1))+1)))-1,0),0,MOD($A57-1,5))+1,0,2,CROQUIS!$C$98-2,2,0),((CROQUIS!$C$107/2+(((CROQUIS!$C$97)-CROQUIS!$C$107)-(MIN(80,MAX(1,INT(((CROQUIS!$C$97)-CROQUIS!$C$107)/MAX(CROQUIS!$C$134,1))+1))-1)*CROQUIS!$C$134)/2)+MIN(INT(($A57-1)/5),MAX((MIN(80,MAX(1,INT(((CROQUIS!$C$97)-CROQUIS!$C$107)/MAX(CROQUIS!$C$134,1))+1)))-1,0))*CROQUIS!$C$134)))*CROQUIS!$C$155)+IF(CROQUIS!$C$92="X",0,0)),-1000)</f>
        <v>-1000</v>
      </c>
      <c r="BL57">
        <f>IF(AND(CROQUIS!$C$88=1,CROQUIS!$C$91=0,CROQUIS!$C$130&gt;0,OR(CROQUIS!$C$103=1,CROQUIS!$C$142=1)),((CROQUIS!$C$156+(IF(CROQUIS!$C$92="X",CHOOSE(IF(INT(($A57-1)/5)&gt;MAX((MIN(80,MAX(1,INT(((CROQUIS!$C$98)-CROQUIS!$C$107)/MAX(CROQUIS!$C$130,1))+1)))-1,0),0,MOD($A57-1,5))+1,0,IF(CROQUIS!$C$103=1,-12,2),CROQUIS!$C$107/2+CROQUIS!$C$140,IF(CROQUIS!$C$103=1,-12,2),0),((CROQUIS!$C$107/2+(((CROQUIS!$C$98)-CROQUIS!$C$107)-(MIN(80,MAX(1,INT(((CROQUIS!$C$98)-CROQUIS!$C$107)/MAX(CROQUIS!$C$130,1))+1))-1)*CROQUIS!$C$130)/2)+MIN(INT(($A57-1)/5),MAX((MIN(80,MAX(1,INT(((CROQUIS!$C$98)-CROQUIS!$C$107)/MAX(CROQUIS!$C$130,1))+1)))-1,0))*CROQUIS!$C$130)))*CROQUIS!$C$155)+IF(CROQUIS!$C$92="X",0,0)),-1000)</f>
        <v>-1000</v>
      </c>
      <c r="BM5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57-1)/5),MAX((MIN(80,MAX(1,INT(((CROQUIS!$C$98)-CROQUIS!$C$107)/MAX(CROQUIS!$C$130,1))+1)))-1,0))*CROQUIS!$C$130),CHOOSE(IF(INT(($A57-1)/5)&gt;MAX((MIN(80,MAX(1,INT(((CROQUIS!$C$98)-CROQUIS!$C$107)/MAX(CROQUIS!$C$130,1))+1)))-1,0),0,MOD($A57-1,5))+1,0,IF(CROQUIS!$C$103=1,-12,2),CROQUIS!$C$107/2+CROQUIS!$C$140,IF(CROQUIS!$C$103=1,-12,2),0)))*CROQUIS!$C$155)+IF(CROQUIS!$C$92="X",0,0)),-1000)</f>
        <v>-1000</v>
      </c>
      <c r="BN57">
        <f>IF(AND(CROQUIS!$C$88=1,CROQUIS!$C$91=0,CROQUIS!$C$130&gt;0,OR(CROQUIS!$C$104=1,CROQUIS!$C$142=1)),((CROQUIS!$C$156+(IF(CROQUIS!$C$92="X",CHOOSE(IF(INT(($A57-1)/5)&gt;MAX((MIN(80,MAX(1,INT(((CROQUIS!$C$98)-CROQUIS!$C$107)/MAX(CROQUIS!$C$130,1))+1)))-1,0),0,MOD($A57-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57-1)/5),MAX((MIN(80,MAX(1,INT(((CROQUIS!$C$98)-CROQUIS!$C$107)/MAX(CROQUIS!$C$130,1))+1)))-1,0))*CROQUIS!$C$130)))*CROQUIS!$C$155)+IF(CROQUIS!$C$92="X",0,0)),-1000)</f>
        <v>-1000</v>
      </c>
      <c r="BO5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57-1)/5),MAX((MIN(80,MAX(1,INT(((CROQUIS!$C$98)-CROQUIS!$C$107)/MAX(CROQUIS!$C$130,1))+1)))-1,0))*CROQUIS!$C$130),CHOOSE(IF(INT(($A57-1)/5)&gt;MAX((MIN(80,MAX(1,INT(((CROQUIS!$C$98)-CROQUIS!$C$107)/MAX(CROQUIS!$C$130,1))+1)))-1,0),0,MOD($A57-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5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57-1)/5),MAX((MIN(80,MAX(1,INT(((CROQUIS!$C$97)-CROQUIS!$C$107)/MAX(CROQUIS!$C$138,1))+1)))-1,0))*CROQUIS!$C$138),CHOOSE(IF(INT(($A57-1)/5)&gt;MAX((MIN(80,MAX(1,INT(((CROQUIS!$C$97)-CROQUIS!$C$107)/MAX(CROQUIS!$C$138,1))+1)))-1,0),0,MOD($A57-1,5))+1,0,IF(CROQUIS!$C$105=1,-12,2),CROQUIS!$C$107/2+CROQUIS!$C$141,IF(CROQUIS!$C$105=1,-12,2),0)))*CROQUIS!$C$155)+IF(CROQUIS!$C$92="X",0,0)),-1000)</f>
        <v>-1000</v>
      </c>
      <c r="BQ57">
        <f>IF(AND(CROQUIS!$C$88=1,CROQUIS!$C$91=0,CROQUIS!$C$138&gt;0,OR(CROQUIS!$C$105=1,CROQUIS!$C$143=1)),((CROQUIS!$C$157+(IF(CROQUIS!$C$92="X",CHOOSE(IF(INT(($A57-1)/5)&gt;MAX((MIN(80,MAX(1,INT(((CROQUIS!$C$97)-CROQUIS!$C$107)/MAX(CROQUIS!$C$138,1))+1)))-1,0),0,MOD($A57-1,5))+1,0,IF(CROQUIS!$C$105=1,-12,2),CROQUIS!$C$107/2+CROQUIS!$C$141,IF(CROQUIS!$C$105=1,-12,2),0),((CROQUIS!$C$107/2+(((CROQUIS!$C$97)-CROQUIS!$C$107)-(MIN(80,MAX(1,INT(((CROQUIS!$C$97)-CROQUIS!$C$107)/MAX(CROQUIS!$C$138,1))+1))-1)*CROQUIS!$C$138)/2)+MIN(INT(($A57-1)/5),MAX((MIN(80,MAX(1,INT(((CROQUIS!$C$97)-CROQUIS!$C$107)/MAX(CROQUIS!$C$138,1))+1)))-1,0))*CROQUIS!$C$138)))*CROQUIS!$C$155)+IF(CROQUIS!$C$92="X",0,0)),-1000)</f>
        <v>-1000</v>
      </c>
      <c r="BR5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57-1)/5),MAX((MIN(80,MAX(1,INT(((CROQUIS!$C$97)-CROQUIS!$C$107)/MAX(CROQUIS!$C$138,1))+1)))-1,0))*CROQUIS!$C$138),CHOOSE(IF(INT(($A57-1)/5)&gt;MAX((MIN(80,MAX(1,INT(((CROQUIS!$C$97)-CROQUIS!$C$107)/MAX(CROQUIS!$C$138,1))+1)))-1,0),0,MOD($A57-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57">
        <f>IF(AND(CROQUIS!$C$88=1,CROQUIS!$C$91=0,CROQUIS!$C$138&gt;0,OR(CROQUIS!$C$106=1,CROQUIS!$C$143=1)),((CROQUIS!$C$157+(IF(CROQUIS!$C$92="X",CHOOSE(IF(INT(($A57-1)/5)&gt;MAX((MIN(80,MAX(1,INT(((CROQUIS!$C$97)-CROQUIS!$C$107)/MAX(CROQUIS!$C$138,1))+1)))-1,0),0,MOD($A57-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57-1)/5),MAX((MIN(80,MAX(1,INT(((CROQUIS!$C$97)-CROQUIS!$C$107)/MAX(CROQUIS!$C$138,1))+1)))-1,0))*CROQUIS!$C$138)))*CROQUIS!$C$155)+IF(CROQUIS!$C$92="X",0,0)),-1000)</f>
        <v>-1000</v>
      </c>
      <c r="BT57">
        <f>IF(AND(CROQUIS!$C$88=1,CROQUIS!$C$91=1,CROQUIS!$C$130&gt;0),((CROQUIS!$C$156+(IF(CROQUIS!$C$92="X",CHOOSE(IF(INT(($A57-1)/5)&gt;MAX((MIN(80,MAX(1,INT(((CROQUIS!$C$98)-CROQUIS!$C$107)/MAX(CROQUIS!$C$130,1))+1)))-1,0),0,MOD($A57-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57-1)/5),MAX((MIN(80,MAX(1,INT(((CROQUIS!$C$98)-CROQUIS!$C$107)/MAX(CROQUIS!$C$130,1))+1)))-1,0))*CROQUIS!$C$130)))*CROQUIS!$C$155)+IF(CROQUIS!$C$92="X",0,0)),-1000)</f>
        <v>-1000</v>
      </c>
      <c r="BU57">
        <f>IF(AND(CROQUIS!$C$88=1,CROQUIS!$C$91=1,CROQUIS!$C$130&gt;0),((CROQUIS!$C$157+(IF(CROQUIS!$C$92="X",((CROQUIS!$C$107/2+(((CROQUIS!$C$98)-CROQUIS!$C$107)-(MIN(80,MAX(1,INT(((CROQUIS!$C$98)-CROQUIS!$C$107)/MAX(CROQUIS!$C$130,1))+1))-1)*CROQUIS!$C$130)/2)+MIN(INT(($A57-1)/5),MAX((MIN(80,MAX(1,INT(((CROQUIS!$C$98)-CROQUIS!$C$107)/MAX(CROQUIS!$C$130,1))+1)))-1,0))*CROQUIS!$C$130),CHOOSE(IF(INT(($A57-1)/5)&gt;MAX((MIN(80,MAX(1,INT(((CROQUIS!$C$98)-CROQUIS!$C$107)/MAX(CROQUIS!$C$130,1))+1)))-1,0),0,MOD($A57-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58">
      <c r="A58" t="n">
        <v>51</v>
      </c>
      <c r="AF58">
        <f>IF(AND(CROQUIS!$C$87=1,CROQUIS!$C$158&gt;0,CROQUIS!$C$160&gt;0),(CROQUIS!$C$156+((CROQUIS!$C$159+INT(MIN(INT(($A58-1)/2),MAX((2*CROQUIS!$C$158)-1,0))/2)*CROQUIS!$C$113+MOD(MIN(INT(($A58-1)/2),MAX((2*CROQUIS!$C$158)-1,0)),2)*CROQUIS!$C$112))*CROQUIS!$C$155),-1000)</f>
        <v>85.2010845006778</v>
      </c>
      <c r="AG58">
        <f>IF(AND(CROQUIS!$C$87=1,CROQUIS!$C$158&gt;0,CROQUIS!$C$160&gt;0),(CROQUIS!$C$157+(IF(MOD(MIN(INT(($A58-1)/2),MAX((2*CROQUIS!$C$158)-1,0)),2)=0,IF(IF(INT(($A58-1)/2)&gt;MAX((2*CROQUIS!$C$158)-1,0),1,MOD($A58-1,2))=0,CROQUIS!$C$161,(CROQUIS!$C$161+CROQUIS!$C$160*CROQUIS!$C$113-CROQUIS!$C$111)),IF(IF(INT(($A58-1)/2)&gt;MAX((2*CROQUIS!$C$158)-1,0),1,MOD($A58-1,2))=0,(CROQUIS!$C$161+CROQUIS!$C$160*CROQUIS!$C$113-CROQUIS!$C$111),CROQUIS!$C$161)))*CROQUIS!$C$155),-1000)</f>
        <v>20.8088567555355</v>
      </c>
      <c r="AH58">
        <f>IF(AND(CROQUIS!$C$87=1,CROQUIS!$C$160&gt;0,CROQUIS!$C$158&gt;0),(CROQUIS!$C$156+(IF(MOD(MIN(INT(($A58-1)/2),MAX((2*CROQUIS!$C$160)-1,0)),2)=0,IF(IF(INT(($A58-1)/2)&gt;MAX((2*CROQUIS!$C$160)-1,0),1,MOD($A58-1,2))=0,CROQUIS!$C$159,(CROQUIS!$C$159+CROQUIS!$C$158*CROQUIS!$C$113-CROQUIS!$C$111)),IF(IF(INT(($A58-1)/2)&gt;MAX((2*CROQUIS!$C$160)-1,0),1,MOD($A58-1,2))=0,(CROQUIS!$C$159+CROQUIS!$C$158*CROQUIS!$C$113-CROQUIS!$C$111),CROQUIS!$C$159)))*CROQUIS!$C$155),-1000)</f>
        <v>14.7989154993222</v>
      </c>
      <c r="AI58">
        <f>IF(AND(CROQUIS!$C$87=1,CROQUIS!$C$160&gt;0,CROQUIS!$C$158&gt;0),(CROQUIS!$C$157+((CROQUIS!$C$161+INT(MIN(INT(($A58-1)/2),MAX((2*CROQUIS!$C$160)-1,0))/2)*CROQUIS!$C$113+MOD(MIN(INT(($A58-1)/2),MAX((2*CROQUIS!$C$160)-1,0)),2)*CROQUIS!$C$112))*CROQUIS!$C$155),-1000)</f>
        <v>79.1911432444645</v>
      </c>
      <c r="AJ58">
        <f>IF(AND(CROQUIS!$C$87=1,CROQUIS!$C$158&gt;=2),(CROQUIS!$C$156+((CROQUIS!$C$159+CROQUIS!$C$112+CROQUIS!$C$111/2+MIN(INT(($A58-1)/2),MAX((CROQUIS!$C$158-1)-1,0))*CROQUIS!$C$113))*CROQUIS!$C$155),-1000)</f>
        <v>74.0397650248531</v>
      </c>
      <c r="AK58">
        <f>IF(AND(CROQUIS!$C$87=1,CROQUIS!$C$158&gt;=2),(CROQUIS!$C$157+(IF(MOD(MIN(INT(($A58-1)/2),MAX((CROQUIS!$C$158-1)-1,0)),2)=0,IF(IF(INT(($A58-1)/2)&gt;MAX((CROQUIS!$C$158-1)-1,0),1,MOD($A58-1,2))=0,CROQUIS!$C$107/2,(CROQUIS!$C$96-CROQUIS!$C$107/2)),IF(IF(INT(($A58-1)/2)&gt;MAX((CROQUIS!$C$158-1)-1,0),1,MOD($A58-1,2))=0,(CROQUIS!$C$96-CROQUIS!$C$107/2),CROQUIS!$C$107/2)))*CROQUIS!$C$155),-1000)</f>
        <v>83.0546769091731</v>
      </c>
      <c r="AL58">
        <f>IF(AND(CROQUIS!$C$87=1,CROQUIS!$C$160&gt;=2),(CROQUIS!$C$156+(IF(MOD(MIN(INT(($A58-1)/2),MAX((CROQUIS!$C$160-1)-1,0)),2)=0,IF(IF(INT(($A58-1)/2)&gt;MAX((CROQUIS!$C$160-1)-1,0),1,MOD($A58-1,2))=0,CROQUIS!$C$107/2,(CROQUIS!$C$95-CROQUIS!$C$107/2)),IF(IF(INT(($A58-1)/2)&gt;MAX((CROQUIS!$C$160-1)-1,0),1,MOD($A58-1,2))=0,(CROQUIS!$C$95-CROQUIS!$C$107/2),CROQUIS!$C$107/2)))*CROQUIS!$C$155),-1000)</f>
        <v>13.2878445549028</v>
      </c>
      <c r="AM58">
        <f>IF(AND(CROQUIS!$C$87=1,CROQUIS!$C$160&gt;=2),(CROQUIS!$C$157+((CROQUIS!$C$161+CROQUIS!$C$112+CROQUIS!$C$111/2+MIN(INT(($A58-1)/2),MAX((CROQUIS!$C$160-1)-1,0))*CROQUIS!$C$113))*CROQUIS!$C$155),-1000)</f>
        <v>68.0298237686399</v>
      </c>
      <c r="BH58">
        <f>IF(AND(CROQUIS!$C$88=1,CROQUIS!$C$126&gt;0),((CROQUIS!$C$156+(IF(CROQUIS!$C$92="X",CHOOSE(IF(INT(($A58-1)/5)&gt;MAX((MIN(80,MAX(1,INT(((CROQUIS!$C$98)-CROQUIS!$C$107)/MAX(CROQUIS!$C$126,1))+1)))-1,0),0,MOD($A58-1,5))+1,0,2,CROQUIS!$C$97-2,2,0),((CROQUIS!$C$107/2+(((CROQUIS!$C$98)-CROQUIS!$C$107)-(MIN(80,MAX(1,INT(((CROQUIS!$C$98)-CROQUIS!$C$107)/MAX(CROQUIS!$C$126,1))+1))-1)*CROQUIS!$C$126)/2)+MIN(INT(($A58-1)/5),MAX((MIN(80,MAX(1,INT(((CROQUIS!$C$98)-CROQUIS!$C$107)/MAX(CROQUIS!$C$126,1))+1)))-1,0))*CROQUIS!$C$126)))*CROQUIS!$C$155)+IF(CROQUIS!$C$92="X",0,0)),-1000)</f>
        <v>-1000</v>
      </c>
      <c r="BI58">
        <f>IF(AND(CROQUIS!$C$88=1,CROQUIS!$C$126&gt;0),((CROQUIS!$C$157+(IF(CROQUIS!$C$92="X",((CROQUIS!$C$107/2+(((CROQUIS!$C$98)-CROQUIS!$C$107)-(MIN(80,MAX(1,INT(((CROQUIS!$C$98)-CROQUIS!$C$107)/MAX(CROQUIS!$C$126,1))+1))-1)*CROQUIS!$C$126)/2)+MIN(INT(($A58-1)/5),MAX((MIN(80,MAX(1,INT(((CROQUIS!$C$98)-CROQUIS!$C$107)/MAX(CROQUIS!$C$126,1))+1)))-1,0))*CROQUIS!$C$126),CHOOSE(IF(INT(($A58-1)/5)&gt;MAX((MIN(80,MAX(1,INT(((CROQUIS!$C$98)-CROQUIS!$C$107)/MAX(CROQUIS!$C$126,1))+1)))-1,0),0,MOD($A58-1,5))+1,0,2,CROQUIS!$C$97-2,2,0)))*CROQUIS!$C$155)+IF(CROQUIS!$C$92="X",0,0)),-1000)</f>
        <v>-1000</v>
      </c>
      <c r="BJ58">
        <f>IF(AND(CROQUIS!$C$88=1,CROQUIS!$C$134&gt;0),((CROQUIS!$C$156+(IF(CROQUIS!$C$92="X",((CROQUIS!$C$107/2+(((CROQUIS!$C$97)-CROQUIS!$C$107)-(MIN(80,MAX(1,INT(((CROQUIS!$C$97)-CROQUIS!$C$107)/MAX(CROQUIS!$C$134,1))+1))-1)*CROQUIS!$C$134)/2)+MIN(INT(($A58-1)/5),MAX((MIN(80,MAX(1,INT(((CROQUIS!$C$97)-CROQUIS!$C$107)/MAX(CROQUIS!$C$134,1))+1)))-1,0))*CROQUIS!$C$134),CHOOSE(IF(INT(($A58-1)/5)&gt;MAX((MIN(80,MAX(1,INT(((CROQUIS!$C$97)-CROQUIS!$C$107)/MAX(CROQUIS!$C$134,1))+1)))-1,0),0,MOD($A58-1,5))+1,0,2,CROQUIS!$C$98-2,2,0)))*CROQUIS!$C$155)+IF(CROQUIS!$C$92="X",0,0)),-1000)</f>
        <v>-1000</v>
      </c>
      <c r="BK58">
        <f>IF(AND(CROQUIS!$C$88=1,CROQUIS!$C$134&gt;0),((CROQUIS!$C$157+(IF(CROQUIS!$C$92="X",CHOOSE(IF(INT(($A58-1)/5)&gt;MAX((MIN(80,MAX(1,INT(((CROQUIS!$C$97)-CROQUIS!$C$107)/MAX(CROQUIS!$C$134,1))+1)))-1,0),0,MOD($A58-1,5))+1,0,2,CROQUIS!$C$98-2,2,0),((CROQUIS!$C$107/2+(((CROQUIS!$C$97)-CROQUIS!$C$107)-(MIN(80,MAX(1,INT(((CROQUIS!$C$97)-CROQUIS!$C$107)/MAX(CROQUIS!$C$134,1))+1))-1)*CROQUIS!$C$134)/2)+MIN(INT(($A58-1)/5),MAX((MIN(80,MAX(1,INT(((CROQUIS!$C$97)-CROQUIS!$C$107)/MAX(CROQUIS!$C$134,1))+1)))-1,0))*CROQUIS!$C$134)))*CROQUIS!$C$155)+IF(CROQUIS!$C$92="X",0,0)),-1000)</f>
        <v>-1000</v>
      </c>
      <c r="BL58">
        <f>IF(AND(CROQUIS!$C$88=1,CROQUIS!$C$91=0,CROQUIS!$C$130&gt;0,OR(CROQUIS!$C$103=1,CROQUIS!$C$142=1)),((CROQUIS!$C$156+(IF(CROQUIS!$C$92="X",CHOOSE(IF(INT(($A58-1)/5)&gt;MAX((MIN(80,MAX(1,INT(((CROQUIS!$C$98)-CROQUIS!$C$107)/MAX(CROQUIS!$C$130,1))+1)))-1,0),0,MOD($A58-1,5))+1,0,IF(CROQUIS!$C$103=1,-12,2),CROQUIS!$C$107/2+CROQUIS!$C$140,IF(CROQUIS!$C$103=1,-12,2),0),((CROQUIS!$C$107/2+(((CROQUIS!$C$98)-CROQUIS!$C$107)-(MIN(80,MAX(1,INT(((CROQUIS!$C$98)-CROQUIS!$C$107)/MAX(CROQUIS!$C$130,1))+1))-1)*CROQUIS!$C$130)/2)+MIN(INT(($A58-1)/5),MAX((MIN(80,MAX(1,INT(((CROQUIS!$C$98)-CROQUIS!$C$107)/MAX(CROQUIS!$C$130,1))+1)))-1,0))*CROQUIS!$C$130)))*CROQUIS!$C$155)+IF(CROQUIS!$C$92="X",0,0)),-1000)</f>
        <v>-1000</v>
      </c>
      <c r="BM5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58-1)/5),MAX((MIN(80,MAX(1,INT(((CROQUIS!$C$98)-CROQUIS!$C$107)/MAX(CROQUIS!$C$130,1))+1)))-1,0))*CROQUIS!$C$130),CHOOSE(IF(INT(($A58-1)/5)&gt;MAX((MIN(80,MAX(1,INT(((CROQUIS!$C$98)-CROQUIS!$C$107)/MAX(CROQUIS!$C$130,1))+1)))-1,0),0,MOD($A58-1,5))+1,0,IF(CROQUIS!$C$103=1,-12,2),CROQUIS!$C$107/2+CROQUIS!$C$140,IF(CROQUIS!$C$103=1,-12,2),0)))*CROQUIS!$C$155)+IF(CROQUIS!$C$92="X",0,0)),-1000)</f>
        <v>-1000</v>
      </c>
      <c r="BN58">
        <f>IF(AND(CROQUIS!$C$88=1,CROQUIS!$C$91=0,CROQUIS!$C$130&gt;0,OR(CROQUIS!$C$104=1,CROQUIS!$C$142=1)),((CROQUIS!$C$156+(IF(CROQUIS!$C$92="X",CHOOSE(IF(INT(($A58-1)/5)&gt;MAX((MIN(80,MAX(1,INT(((CROQUIS!$C$98)-CROQUIS!$C$107)/MAX(CROQUIS!$C$130,1))+1)))-1,0),0,MOD($A58-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58-1)/5),MAX((MIN(80,MAX(1,INT(((CROQUIS!$C$98)-CROQUIS!$C$107)/MAX(CROQUIS!$C$130,1))+1)))-1,0))*CROQUIS!$C$130)))*CROQUIS!$C$155)+IF(CROQUIS!$C$92="X",0,0)),-1000)</f>
        <v>-1000</v>
      </c>
      <c r="BO5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58-1)/5),MAX((MIN(80,MAX(1,INT(((CROQUIS!$C$98)-CROQUIS!$C$107)/MAX(CROQUIS!$C$130,1))+1)))-1,0))*CROQUIS!$C$130),CHOOSE(IF(INT(($A58-1)/5)&gt;MAX((MIN(80,MAX(1,INT(((CROQUIS!$C$98)-CROQUIS!$C$107)/MAX(CROQUIS!$C$130,1))+1)))-1,0),0,MOD($A58-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5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58-1)/5),MAX((MIN(80,MAX(1,INT(((CROQUIS!$C$97)-CROQUIS!$C$107)/MAX(CROQUIS!$C$138,1))+1)))-1,0))*CROQUIS!$C$138),CHOOSE(IF(INT(($A58-1)/5)&gt;MAX((MIN(80,MAX(1,INT(((CROQUIS!$C$97)-CROQUIS!$C$107)/MAX(CROQUIS!$C$138,1))+1)))-1,0),0,MOD($A58-1,5))+1,0,IF(CROQUIS!$C$105=1,-12,2),CROQUIS!$C$107/2+CROQUIS!$C$141,IF(CROQUIS!$C$105=1,-12,2),0)))*CROQUIS!$C$155)+IF(CROQUIS!$C$92="X",0,0)),-1000)</f>
        <v>-1000</v>
      </c>
      <c r="BQ58">
        <f>IF(AND(CROQUIS!$C$88=1,CROQUIS!$C$91=0,CROQUIS!$C$138&gt;0,OR(CROQUIS!$C$105=1,CROQUIS!$C$143=1)),((CROQUIS!$C$157+(IF(CROQUIS!$C$92="X",CHOOSE(IF(INT(($A58-1)/5)&gt;MAX((MIN(80,MAX(1,INT(((CROQUIS!$C$97)-CROQUIS!$C$107)/MAX(CROQUIS!$C$138,1))+1)))-1,0),0,MOD($A58-1,5))+1,0,IF(CROQUIS!$C$105=1,-12,2),CROQUIS!$C$107/2+CROQUIS!$C$141,IF(CROQUIS!$C$105=1,-12,2),0),((CROQUIS!$C$107/2+(((CROQUIS!$C$97)-CROQUIS!$C$107)-(MIN(80,MAX(1,INT(((CROQUIS!$C$97)-CROQUIS!$C$107)/MAX(CROQUIS!$C$138,1))+1))-1)*CROQUIS!$C$138)/2)+MIN(INT(($A58-1)/5),MAX((MIN(80,MAX(1,INT(((CROQUIS!$C$97)-CROQUIS!$C$107)/MAX(CROQUIS!$C$138,1))+1)))-1,0))*CROQUIS!$C$138)))*CROQUIS!$C$155)+IF(CROQUIS!$C$92="X",0,0)),-1000)</f>
        <v>-1000</v>
      </c>
      <c r="BR5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58-1)/5),MAX((MIN(80,MAX(1,INT(((CROQUIS!$C$97)-CROQUIS!$C$107)/MAX(CROQUIS!$C$138,1))+1)))-1,0))*CROQUIS!$C$138),CHOOSE(IF(INT(($A58-1)/5)&gt;MAX((MIN(80,MAX(1,INT(((CROQUIS!$C$97)-CROQUIS!$C$107)/MAX(CROQUIS!$C$138,1))+1)))-1,0),0,MOD($A58-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58">
        <f>IF(AND(CROQUIS!$C$88=1,CROQUIS!$C$91=0,CROQUIS!$C$138&gt;0,OR(CROQUIS!$C$106=1,CROQUIS!$C$143=1)),((CROQUIS!$C$157+(IF(CROQUIS!$C$92="X",CHOOSE(IF(INT(($A58-1)/5)&gt;MAX((MIN(80,MAX(1,INT(((CROQUIS!$C$97)-CROQUIS!$C$107)/MAX(CROQUIS!$C$138,1))+1)))-1,0),0,MOD($A58-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58-1)/5),MAX((MIN(80,MAX(1,INT(((CROQUIS!$C$97)-CROQUIS!$C$107)/MAX(CROQUIS!$C$138,1))+1)))-1,0))*CROQUIS!$C$138)))*CROQUIS!$C$155)+IF(CROQUIS!$C$92="X",0,0)),-1000)</f>
        <v>-1000</v>
      </c>
      <c r="BT58">
        <f>IF(AND(CROQUIS!$C$88=1,CROQUIS!$C$91=1,CROQUIS!$C$130&gt;0),((CROQUIS!$C$156+(IF(CROQUIS!$C$92="X",CHOOSE(IF(INT(($A58-1)/5)&gt;MAX((MIN(80,MAX(1,INT(((CROQUIS!$C$98)-CROQUIS!$C$107)/MAX(CROQUIS!$C$130,1))+1)))-1,0),0,MOD($A58-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58-1)/5),MAX((MIN(80,MAX(1,INT(((CROQUIS!$C$98)-CROQUIS!$C$107)/MAX(CROQUIS!$C$130,1))+1)))-1,0))*CROQUIS!$C$130)))*CROQUIS!$C$155)+IF(CROQUIS!$C$92="X",0,0)),-1000)</f>
        <v>-1000</v>
      </c>
      <c r="BU58">
        <f>IF(AND(CROQUIS!$C$88=1,CROQUIS!$C$91=1,CROQUIS!$C$130&gt;0),((CROQUIS!$C$157+(IF(CROQUIS!$C$92="X",((CROQUIS!$C$107/2+(((CROQUIS!$C$98)-CROQUIS!$C$107)-(MIN(80,MAX(1,INT(((CROQUIS!$C$98)-CROQUIS!$C$107)/MAX(CROQUIS!$C$130,1))+1))-1)*CROQUIS!$C$130)/2)+MIN(INT(($A58-1)/5),MAX((MIN(80,MAX(1,INT(((CROQUIS!$C$98)-CROQUIS!$C$107)/MAX(CROQUIS!$C$130,1))+1)))-1,0))*CROQUIS!$C$130),CHOOSE(IF(INT(($A58-1)/5)&gt;MAX((MIN(80,MAX(1,INT(((CROQUIS!$C$98)-CROQUIS!$C$107)/MAX(CROQUIS!$C$130,1))+1)))-1,0),0,MOD($A58-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59">
      <c r="A59" t="n">
        <v>52</v>
      </c>
      <c r="AF59">
        <f>IF(AND(CROQUIS!$C$87=1,CROQUIS!$C$158&gt;0,CROQUIS!$C$160&gt;0),(CROQUIS!$C$156+((CROQUIS!$C$159+INT(MIN(INT(($A59-1)/2),MAX((2*CROQUIS!$C$158)-1,0))/2)*CROQUIS!$C$113+MOD(MIN(INT(($A59-1)/2),MAX((2*CROQUIS!$C$158)-1,0)),2)*CROQUIS!$C$112))*CROQUIS!$C$155),-1000)</f>
        <v>85.2010845006778</v>
      </c>
      <c r="AG59">
        <f>IF(AND(CROQUIS!$C$87=1,CROQUIS!$C$158&gt;0,CROQUIS!$C$160&gt;0),(CROQUIS!$C$157+(IF(MOD(MIN(INT(($A59-1)/2),MAX((2*CROQUIS!$C$158)-1,0)),2)=0,IF(IF(INT(($A59-1)/2)&gt;MAX((2*CROQUIS!$C$158)-1,0),1,MOD($A59-1,2))=0,CROQUIS!$C$161,(CROQUIS!$C$161+CROQUIS!$C$160*CROQUIS!$C$113-CROQUIS!$C$111)),IF(IF(INT(($A59-1)/2)&gt;MAX((2*CROQUIS!$C$158)-1,0),1,MOD($A59-1,2))=0,(CROQUIS!$C$161+CROQUIS!$C$160*CROQUIS!$C$113-CROQUIS!$C$111),CROQUIS!$C$161)))*CROQUIS!$C$155),-1000)</f>
        <v>20.8088567555355</v>
      </c>
      <c r="AH59">
        <f>IF(AND(CROQUIS!$C$87=1,CROQUIS!$C$160&gt;0,CROQUIS!$C$158&gt;0),(CROQUIS!$C$156+(IF(MOD(MIN(INT(($A59-1)/2),MAX((2*CROQUIS!$C$160)-1,0)),2)=0,IF(IF(INT(($A59-1)/2)&gt;MAX((2*CROQUIS!$C$160)-1,0),1,MOD($A59-1,2))=0,CROQUIS!$C$159,(CROQUIS!$C$159+CROQUIS!$C$158*CROQUIS!$C$113-CROQUIS!$C$111)),IF(IF(INT(($A59-1)/2)&gt;MAX((2*CROQUIS!$C$160)-1,0),1,MOD($A59-1,2))=0,(CROQUIS!$C$159+CROQUIS!$C$158*CROQUIS!$C$113-CROQUIS!$C$111),CROQUIS!$C$159)))*CROQUIS!$C$155),-1000)</f>
        <v>14.7989154993222</v>
      </c>
      <c r="AI59">
        <f>IF(AND(CROQUIS!$C$87=1,CROQUIS!$C$160&gt;0,CROQUIS!$C$158&gt;0),(CROQUIS!$C$157+((CROQUIS!$C$161+INT(MIN(INT(($A59-1)/2),MAX((2*CROQUIS!$C$160)-1,0))/2)*CROQUIS!$C$113+MOD(MIN(INT(($A59-1)/2),MAX((2*CROQUIS!$C$160)-1,0)),2)*CROQUIS!$C$112))*CROQUIS!$C$155),-1000)</f>
        <v>79.1911432444645</v>
      </c>
      <c r="AJ59">
        <f>IF(AND(CROQUIS!$C$87=1,CROQUIS!$C$158&gt;=2),(CROQUIS!$C$156+((CROQUIS!$C$159+CROQUIS!$C$112+CROQUIS!$C$111/2+MIN(INT(($A59-1)/2),MAX((CROQUIS!$C$158-1)-1,0))*CROQUIS!$C$113))*CROQUIS!$C$155),-1000)</f>
        <v>74.0397650248531</v>
      </c>
      <c r="AK59">
        <f>IF(AND(CROQUIS!$C$87=1,CROQUIS!$C$158&gt;=2),(CROQUIS!$C$157+(IF(MOD(MIN(INT(($A59-1)/2),MAX((CROQUIS!$C$158-1)-1,0)),2)=0,IF(IF(INT(($A59-1)/2)&gt;MAX((CROQUIS!$C$158-1)-1,0),1,MOD($A59-1,2))=0,CROQUIS!$C$107/2,(CROQUIS!$C$96-CROQUIS!$C$107/2)),IF(IF(INT(($A59-1)/2)&gt;MAX((CROQUIS!$C$158-1)-1,0),1,MOD($A59-1,2))=0,(CROQUIS!$C$96-CROQUIS!$C$107/2),CROQUIS!$C$107/2)))*CROQUIS!$C$155),-1000)</f>
        <v>83.0546769091731</v>
      </c>
      <c r="AL59">
        <f>IF(AND(CROQUIS!$C$87=1,CROQUIS!$C$160&gt;=2),(CROQUIS!$C$156+(IF(MOD(MIN(INT(($A59-1)/2),MAX((CROQUIS!$C$160-1)-1,0)),2)=0,IF(IF(INT(($A59-1)/2)&gt;MAX((CROQUIS!$C$160-1)-1,0),1,MOD($A59-1,2))=0,CROQUIS!$C$107/2,(CROQUIS!$C$95-CROQUIS!$C$107/2)),IF(IF(INT(($A59-1)/2)&gt;MAX((CROQUIS!$C$160-1)-1,0),1,MOD($A59-1,2))=0,(CROQUIS!$C$95-CROQUIS!$C$107/2),CROQUIS!$C$107/2)))*CROQUIS!$C$155),-1000)</f>
        <v>13.2878445549028</v>
      </c>
      <c r="AM59">
        <f>IF(AND(CROQUIS!$C$87=1,CROQUIS!$C$160&gt;=2),(CROQUIS!$C$157+((CROQUIS!$C$161+CROQUIS!$C$112+CROQUIS!$C$111/2+MIN(INT(($A59-1)/2),MAX((CROQUIS!$C$160-1)-1,0))*CROQUIS!$C$113))*CROQUIS!$C$155),-1000)</f>
        <v>68.0298237686399</v>
      </c>
      <c r="BH59">
        <f>IF(AND(CROQUIS!$C$88=1,CROQUIS!$C$126&gt;0),((CROQUIS!$C$156+(IF(CROQUIS!$C$92="X",CHOOSE(IF(INT(($A59-1)/5)&gt;MAX((MIN(80,MAX(1,INT(((CROQUIS!$C$98)-CROQUIS!$C$107)/MAX(CROQUIS!$C$126,1))+1)))-1,0),0,MOD($A59-1,5))+1,0,2,CROQUIS!$C$97-2,2,0),((CROQUIS!$C$107/2+(((CROQUIS!$C$98)-CROQUIS!$C$107)-(MIN(80,MAX(1,INT(((CROQUIS!$C$98)-CROQUIS!$C$107)/MAX(CROQUIS!$C$126,1))+1))-1)*CROQUIS!$C$126)/2)+MIN(INT(($A59-1)/5),MAX((MIN(80,MAX(1,INT(((CROQUIS!$C$98)-CROQUIS!$C$107)/MAX(CROQUIS!$C$126,1))+1)))-1,0))*CROQUIS!$C$126)))*CROQUIS!$C$155)+IF(CROQUIS!$C$92="X",0,0)),-1000)</f>
        <v>-1000</v>
      </c>
      <c r="BI59">
        <f>IF(AND(CROQUIS!$C$88=1,CROQUIS!$C$126&gt;0),((CROQUIS!$C$157+(IF(CROQUIS!$C$92="X",((CROQUIS!$C$107/2+(((CROQUIS!$C$98)-CROQUIS!$C$107)-(MIN(80,MAX(1,INT(((CROQUIS!$C$98)-CROQUIS!$C$107)/MAX(CROQUIS!$C$126,1))+1))-1)*CROQUIS!$C$126)/2)+MIN(INT(($A59-1)/5),MAX((MIN(80,MAX(1,INT(((CROQUIS!$C$98)-CROQUIS!$C$107)/MAX(CROQUIS!$C$126,1))+1)))-1,0))*CROQUIS!$C$126),CHOOSE(IF(INT(($A59-1)/5)&gt;MAX((MIN(80,MAX(1,INT(((CROQUIS!$C$98)-CROQUIS!$C$107)/MAX(CROQUIS!$C$126,1))+1)))-1,0),0,MOD($A59-1,5))+1,0,2,CROQUIS!$C$97-2,2,0)))*CROQUIS!$C$155)+IF(CROQUIS!$C$92="X",0,0)),-1000)</f>
        <v>-1000</v>
      </c>
      <c r="BJ59">
        <f>IF(AND(CROQUIS!$C$88=1,CROQUIS!$C$134&gt;0),((CROQUIS!$C$156+(IF(CROQUIS!$C$92="X",((CROQUIS!$C$107/2+(((CROQUIS!$C$97)-CROQUIS!$C$107)-(MIN(80,MAX(1,INT(((CROQUIS!$C$97)-CROQUIS!$C$107)/MAX(CROQUIS!$C$134,1))+1))-1)*CROQUIS!$C$134)/2)+MIN(INT(($A59-1)/5),MAX((MIN(80,MAX(1,INT(((CROQUIS!$C$97)-CROQUIS!$C$107)/MAX(CROQUIS!$C$134,1))+1)))-1,0))*CROQUIS!$C$134),CHOOSE(IF(INT(($A59-1)/5)&gt;MAX((MIN(80,MAX(1,INT(((CROQUIS!$C$97)-CROQUIS!$C$107)/MAX(CROQUIS!$C$134,1))+1)))-1,0),0,MOD($A59-1,5))+1,0,2,CROQUIS!$C$98-2,2,0)))*CROQUIS!$C$155)+IF(CROQUIS!$C$92="X",0,0)),-1000)</f>
        <v>-1000</v>
      </c>
      <c r="BK59">
        <f>IF(AND(CROQUIS!$C$88=1,CROQUIS!$C$134&gt;0),((CROQUIS!$C$157+(IF(CROQUIS!$C$92="X",CHOOSE(IF(INT(($A59-1)/5)&gt;MAX((MIN(80,MAX(1,INT(((CROQUIS!$C$97)-CROQUIS!$C$107)/MAX(CROQUIS!$C$134,1))+1)))-1,0),0,MOD($A59-1,5))+1,0,2,CROQUIS!$C$98-2,2,0),((CROQUIS!$C$107/2+(((CROQUIS!$C$97)-CROQUIS!$C$107)-(MIN(80,MAX(1,INT(((CROQUIS!$C$97)-CROQUIS!$C$107)/MAX(CROQUIS!$C$134,1))+1))-1)*CROQUIS!$C$134)/2)+MIN(INT(($A59-1)/5),MAX((MIN(80,MAX(1,INT(((CROQUIS!$C$97)-CROQUIS!$C$107)/MAX(CROQUIS!$C$134,1))+1)))-1,0))*CROQUIS!$C$134)))*CROQUIS!$C$155)+IF(CROQUIS!$C$92="X",0,0)),-1000)</f>
        <v>-1000</v>
      </c>
      <c r="BL59">
        <f>IF(AND(CROQUIS!$C$88=1,CROQUIS!$C$91=0,CROQUIS!$C$130&gt;0,OR(CROQUIS!$C$103=1,CROQUIS!$C$142=1)),((CROQUIS!$C$156+(IF(CROQUIS!$C$92="X",CHOOSE(IF(INT(($A59-1)/5)&gt;MAX((MIN(80,MAX(1,INT(((CROQUIS!$C$98)-CROQUIS!$C$107)/MAX(CROQUIS!$C$130,1))+1)))-1,0),0,MOD($A59-1,5))+1,0,IF(CROQUIS!$C$103=1,-12,2),CROQUIS!$C$107/2+CROQUIS!$C$140,IF(CROQUIS!$C$103=1,-12,2),0),((CROQUIS!$C$107/2+(((CROQUIS!$C$98)-CROQUIS!$C$107)-(MIN(80,MAX(1,INT(((CROQUIS!$C$98)-CROQUIS!$C$107)/MAX(CROQUIS!$C$130,1))+1))-1)*CROQUIS!$C$130)/2)+MIN(INT(($A59-1)/5),MAX((MIN(80,MAX(1,INT(((CROQUIS!$C$98)-CROQUIS!$C$107)/MAX(CROQUIS!$C$130,1))+1)))-1,0))*CROQUIS!$C$130)))*CROQUIS!$C$155)+IF(CROQUIS!$C$92="X",0,0)),-1000)</f>
        <v>-1000</v>
      </c>
      <c r="BM5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59-1)/5),MAX((MIN(80,MAX(1,INT(((CROQUIS!$C$98)-CROQUIS!$C$107)/MAX(CROQUIS!$C$130,1))+1)))-1,0))*CROQUIS!$C$130),CHOOSE(IF(INT(($A59-1)/5)&gt;MAX((MIN(80,MAX(1,INT(((CROQUIS!$C$98)-CROQUIS!$C$107)/MAX(CROQUIS!$C$130,1))+1)))-1,0),0,MOD($A59-1,5))+1,0,IF(CROQUIS!$C$103=1,-12,2),CROQUIS!$C$107/2+CROQUIS!$C$140,IF(CROQUIS!$C$103=1,-12,2),0)))*CROQUIS!$C$155)+IF(CROQUIS!$C$92="X",0,0)),-1000)</f>
        <v>-1000</v>
      </c>
      <c r="BN59">
        <f>IF(AND(CROQUIS!$C$88=1,CROQUIS!$C$91=0,CROQUIS!$C$130&gt;0,OR(CROQUIS!$C$104=1,CROQUIS!$C$142=1)),((CROQUIS!$C$156+(IF(CROQUIS!$C$92="X",CHOOSE(IF(INT(($A59-1)/5)&gt;MAX((MIN(80,MAX(1,INT(((CROQUIS!$C$98)-CROQUIS!$C$107)/MAX(CROQUIS!$C$130,1))+1)))-1,0),0,MOD($A59-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59-1)/5),MAX((MIN(80,MAX(1,INT(((CROQUIS!$C$98)-CROQUIS!$C$107)/MAX(CROQUIS!$C$130,1))+1)))-1,0))*CROQUIS!$C$130)))*CROQUIS!$C$155)+IF(CROQUIS!$C$92="X",0,0)),-1000)</f>
        <v>-1000</v>
      </c>
      <c r="BO5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59-1)/5),MAX((MIN(80,MAX(1,INT(((CROQUIS!$C$98)-CROQUIS!$C$107)/MAX(CROQUIS!$C$130,1))+1)))-1,0))*CROQUIS!$C$130),CHOOSE(IF(INT(($A59-1)/5)&gt;MAX((MIN(80,MAX(1,INT(((CROQUIS!$C$98)-CROQUIS!$C$107)/MAX(CROQUIS!$C$130,1))+1)))-1,0),0,MOD($A59-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5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59-1)/5),MAX((MIN(80,MAX(1,INT(((CROQUIS!$C$97)-CROQUIS!$C$107)/MAX(CROQUIS!$C$138,1))+1)))-1,0))*CROQUIS!$C$138),CHOOSE(IF(INT(($A59-1)/5)&gt;MAX((MIN(80,MAX(1,INT(((CROQUIS!$C$97)-CROQUIS!$C$107)/MAX(CROQUIS!$C$138,1))+1)))-1,0),0,MOD($A59-1,5))+1,0,IF(CROQUIS!$C$105=1,-12,2),CROQUIS!$C$107/2+CROQUIS!$C$141,IF(CROQUIS!$C$105=1,-12,2),0)))*CROQUIS!$C$155)+IF(CROQUIS!$C$92="X",0,0)),-1000)</f>
        <v>-1000</v>
      </c>
      <c r="BQ59">
        <f>IF(AND(CROQUIS!$C$88=1,CROQUIS!$C$91=0,CROQUIS!$C$138&gt;0,OR(CROQUIS!$C$105=1,CROQUIS!$C$143=1)),((CROQUIS!$C$157+(IF(CROQUIS!$C$92="X",CHOOSE(IF(INT(($A59-1)/5)&gt;MAX((MIN(80,MAX(1,INT(((CROQUIS!$C$97)-CROQUIS!$C$107)/MAX(CROQUIS!$C$138,1))+1)))-1,0),0,MOD($A59-1,5))+1,0,IF(CROQUIS!$C$105=1,-12,2),CROQUIS!$C$107/2+CROQUIS!$C$141,IF(CROQUIS!$C$105=1,-12,2),0),((CROQUIS!$C$107/2+(((CROQUIS!$C$97)-CROQUIS!$C$107)-(MIN(80,MAX(1,INT(((CROQUIS!$C$97)-CROQUIS!$C$107)/MAX(CROQUIS!$C$138,1))+1))-1)*CROQUIS!$C$138)/2)+MIN(INT(($A59-1)/5),MAX((MIN(80,MAX(1,INT(((CROQUIS!$C$97)-CROQUIS!$C$107)/MAX(CROQUIS!$C$138,1))+1)))-1,0))*CROQUIS!$C$138)))*CROQUIS!$C$155)+IF(CROQUIS!$C$92="X",0,0)),-1000)</f>
        <v>-1000</v>
      </c>
      <c r="BR5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59-1)/5),MAX((MIN(80,MAX(1,INT(((CROQUIS!$C$97)-CROQUIS!$C$107)/MAX(CROQUIS!$C$138,1))+1)))-1,0))*CROQUIS!$C$138),CHOOSE(IF(INT(($A59-1)/5)&gt;MAX((MIN(80,MAX(1,INT(((CROQUIS!$C$97)-CROQUIS!$C$107)/MAX(CROQUIS!$C$138,1))+1)))-1,0),0,MOD($A59-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59">
        <f>IF(AND(CROQUIS!$C$88=1,CROQUIS!$C$91=0,CROQUIS!$C$138&gt;0,OR(CROQUIS!$C$106=1,CROQUIS!$C$143=1)),((CROQUIS!$C$157+(IF(CROQUIS!$C$92="X",CHOOSE(IF(INT(($A59-1)/5)&gt;MAX((MIN(80,MAX(1,INT(((CROQUIS!$C$97)-CROQUIS!$C$107)/MAX(CROQUIS!$C$138,1))+1)))-1,0),0,MOD($A59-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59-1)/5),MAX((MIN(80,MAX(1,INT(((CROQUIS!$C$97)-CROQUIS!$C$107)/MAX(CROQUIS!$C$138,1))+1)))-1,0))*CROQUIS!$C$138)))*CROQUIS!$C$155)+IF(CROQUIS!$C$92="X",0,0)),-1000)</f>
        <v>-1000</v>
      </c>
      <c r="BT59">
        <f>IF(AND(CROQUIS!$C$88=1,CROQUIS!$C$91=1,CROQUIS!$C$130&gt;0),((CROQUIS!$C$156+(IF(CROQUIS!$C$92="X",CHOOSE(IF(INT(($A59-1)/5)&gt;MAX((MIN(80,MAX(1,INT(((CROQUIS!$C$98)-CROQUIS!$C$107)/MAX(CROQUIS!$C$130,1))+1)))-1,0),0,MOD($A59-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59-1)/5),MAX((MIN(80,MAX(1,INT(((CROQUIS!$C$98)-CROQUIS!$C$107)/MAX(CROQUIS!$C$130,1))+1)))-1,0))*CROQUIS!$C$130)))*CROQUIS!$C$155)+IF(CROQUIS!$C$92="X",0,0)),-1000)</f>
        <v>-1000</v>
      </c>
      <c r="BU59">
        <f>IF(AND(CROQUIS!$C$88=1,CROQUIS!$C$91=1,CROQUIS!$C$130&gt;0),((CROQUIS!$C$157+(IF(CROQUIS!$C$92="X",((CROQUIS!$C$107/2+(((CROQUIS!$C$98)-CROQUIS!$C$107)-(MIN(80,MAX(1,INT(((CROQUIS!$C$98)-CROQUIS!$C$107)/MAX(CROQUIS!$C$130,1))+1))-1)*CROQUIS!$C$130)/2)+MIN(INT(($A59-1)/5),MAX((MIN(80,MAX(1,INT(((CROQUIS!$C$98)-CROQUIS!$C$107)/MAX(CROQUIS!$C$130,1))+1)))-1,0))*CROQUIS!$C$130),CHOOSE(IF(INT(($A59-1)/5)&gt;MAX((MIN(80,MAX(1,INT(((CROQUIS!$C$98)-CROQUIS!$C$107)/MAX(CROQUIS!$C$130,1))+1)))-1,0),0,MOD($A59-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60">
      <c r="A60" t="n">
        <v>53</v>
      </c>
      <c r="AF60">
        <f>IF(AND(CROQUIS!$C$87=1,CROQUIS!$C$158&gt;0,CROQUIS!$C$160&gt;0),(CROQUIS!$C$156+((CROQUIS!$C$159+INT(MIN(INT(($A60-1)/2),MAX((2*CROQUIS!$C$158)-1,0))/2)*CROQUIS!$C$113+MOD(MIN(INT(($A60-1)/2),MAX((2*CROQUIS!$C$158)-1,0)),2)*CROQUIS!$C$112))*CROQUIS!$C$155),-1000)</f>
        <v>85.2010845006778</v>
      </c>
      <c r="AG60">
        <f>IF(AND(CROQUIS!$C$87=1,CROQUIS!$C$158&gt;0,CROQUIS!$C$160&gt;0),(CROQUIS!$C$157+(IF(MOD(MIN(INT(($A60-1)/2),MAX((2*CROQUIS!$C$158)-1,0)),2)=0,IF(IF(INT(($A60-1)/2)&gt;MAX((2*CROQUIS!$C$158)-1,0),1,MOD($A60-1,2))=0,CROQUIS!$C$161,(CROQUIS!$C$161+CROQUIS!$C$160*CROQUIS!$C$113-CROQUIS!$C$111)),IF(IF(INT(($A60-1)/2)&gt;MAX((2*CROQUIS!$C$158)-1,0),1,MOD($A60-1,2))=0,(CROQUIS!$C$161+CROQUIS!$C$160*CROQUIS!$C$113-CROQUIS!$C$111),CROQUIS!$C$161)))*CROQUIS!$C$155),-1000)</f>
        <v>20.8088567555355</v>
      </c>
      <c r="AH60">
        <f>IF(AND(CROQUIS!$C$87=1,CROQUIS!$C$160&gt;0,CROQUIS!$C$158&gt;0),(CROQUIS!$C$156+(IF(MOD(MIN(INT(($A60-1)/2),MAX((2*CROQUIS!$C$160)-1,0)),2)=0,IF(IF(INT(($A60-1)/2)&gt;MAX((2*CROQUIS!$C$160)-1,0),1,MOD($A60-1,2))=0,CROQUIS!$C$159,(CROQUIS!$C$159+CROQUIS!$C$158*CROQUIS!$C$113-CROQUIS!$C$111)),IF(IF(INT(($A60-1)/2)&gt;MAX((2*CROQUIS!$C$160)-1,0),1,MOD($A60-1,2))=0,(CROQUIS!$C$159+CROQUIS!$C$158*CROQUIS!$C$113-CROQUIS!$C$111),CROQUIS!$C$159)))*CROQUIS!$C$155),-1000)</f>
        <v>14.7989154993222</v>
      </c>
      <c r="AI60">
        <f>IF(AND(CROQUIS!$C$87=1,CROQUIS!$C$160&gt;0,CROQUIS!$C$158&gt;0),(CROQUIS!$C$157+((CROQUIS!$C$161+INT(MIN(INT(($A60-1)/2),MAX((2*CROQUIS!$C$160)-1,0))/2)*CROQUIS!$C$113+MOD(MIN(INT(($A60-1)/2),MAX((2*CROQUIS!$C$160)-1,0)),2)*CROQUIS!$C$112))*CROQUIS!$C$155),-1000)</f>
        <v>79.1911432444645</v>
      </c>
      <c r="AJ60">
        <f>IF(AND(CROQUIS!$C$87=1,CROQUIS!$C$158&gt;=2),(CROQUIS!$C$156+((CROQUIS!$C$159+CROQUIS!$C$112+CROQUIS!$C$111/2+MIN(INT(($A60-1)/2),MAX((CROQUIS!$C$158-1)-1,0))*CROQUIS!$C$113))*CROQUIS!$C$155),-1000)</f>
        <v>74.0397650248531</v>
      </c>
      <c r="AK60">
        <f>IF(AND(CROQUIS!$C$87=1,CROQUIS!$C$158&gt;=2),(CROQUIS!$C$157+(IF(MOD(MIN(INT(($A60-1)/2),MAX((CROQUIS!$C$158-1)-1,0)),2)=0,IF(IF(INT(($A60-1)/2)&gt;MAX((CROQUIS!$C$158-1)-1,0),1,MOD($A60-1,2))=0,CROQUIS!$C$107/2,(CROQUIS!$C$96-CROQUIS!$C$107/2)),IF(IF(INT(($A60-1)/2)&gt;MAX((CROQUIS!$C$158-1)-1,0),1,MOD($A60-1,2))=0,(CROQUIS!$C$96-CROQUIS!$C$107/2),CROQUIS!$C$107/2)))*CROQUIS!$C$155),-1000)</f>
        <v>83.0546769091731</v>
      </c>
      <c r="AL60">
        <f>IF(AND(CROQUIS!$C$87=1,CROQUIS!$C$160&gt;=2),(CROQUIS!$C$156+(IF(MOD(MIN(INT(($A60-1)/2),MAX((CROQUIS!$C$160-1)-1,0)),2)=0,IF(IF(INT(($A60-1)/2)&gt;MAX((CROQUIS!$C$160-1)-1,0),1,MOD($A60-1,2))=0,CROQUIS!$C$107/2,(CROQUIS!$C$95-CROQUIS!$C$107/2)),IF(IF(INT(($A60-1)/2)&gt;MAX((CROQUIS!$C$160-1)-1,0),1,MOD($A60-1,2))=0,(CROQUIS!$C$95-CROQUIS!$C$107/2),CROQUIS!$C$107/2)))*CROQUIS!$C$155),-1000)</f>
        <v>13.2878445549028</v>
      </c>
      <c r="AM60">
        <f>IF(AND(CROQUIS!$C$87=1,CROQUIS!$C$160&gt;=2),(CROQUIS!$C$157+((CROQUIS!$C$161+CROQUIS!$C$112+CROQUIS!$C$111/2+MIN(INT(($A60-1)/2),MAX((CROQUIS!$C$160-1)-1,0))*CROQUIS!$C$113))*CROQUIS!$C$155),-1000)</f>
        <v>68.0298237686399</v>
      </c>
      <c r="BH60">
        <f>IF(AND(CROQUIS!$C$88=1,CROQUIS!$C$126&gt;0),((CROQUIS!$C$156+(IF(CROQUIS!$C$92="X",CHOOSE(IF(INT(($A60-1)/5)&gt;MAX((MIN(80,MAX(1,INT(((CROQUIS!$C$98)-CROQUIS!$C$107)/MAX(CROQUIS!$C$126,1))+1)))-1,0),0,MOD($A60-1,5))+1,0,2,CROQUIS!$C$97-2,2,0),((CROQUIS!$C$107/2+(((CROQUIS!$C$98)-CROQUIS!$C$107)-(MIN(80,MAX(1,INT(((CROQUIS!$C$98)-CROQUIS!$C$107)/MAX(CROQUIS!$C$126,1))+1))-1)*CROQUIS!$C$126)/2)+MIN(INT(($A60-1)/5),MAX((MIN(80,MAX(1,INT(((CROQUIS!$C$98)-CROQUIS!$C$107)/MAX(CROQUIS!$C$126,1))+1)))-1,0))*CROQUIS!$C$126)))*CROQUIS!$C$155)+IF(CROQUIS!$C$92="X",0,0)),-1000)</f>
        <v>-1000</v>
      </c>
      <c r="BI60">
        <f>IF(AND(CROQUIS!$C$88=1,CROQUIS!$C$126&gt;0),((CROQUIS!$C$157+(IF(CROQUIS!$C$92="X",((CROQUIS!$C$107/2+(((CROQUIS!$C$98)-CROQUIS!$C$107)-(MIN(80,MAX(1,INT(((CROQUIS!$C$98)-CROQUIS!$C$107)/MAX(CROQUIS!$C$126,1))+1))-1)*CROQUIS!$C$126)/2)+MIN(INT(($A60-1)/5),MAX((MIN(80,MAX(1,INT(((CROQUIS!$C$98)-CROQUIS!$C$107)/MAX(CROQUIS!$C$126,1))+1)))-1,0))*CROQUIS!$C$126),CHOOSE(IF(INT(($A60-1)/5)&gt;MAX((MIN(80,MAX(1,INT(((CROQUIS!$C$98)-CROQUIS!$C$107)/MAX(CROQUIS!$C$126,1))+1)))-1,0),0,MOD($A60-1,5))+1,0,2,CROQUIS!$C$97-2,2,0)))*CROQUIS!$C$155)+IF(CROQUIS!$C$92="X",0,0)),-1000)</f>
        <v>-1000</v>
      </c>
      <c r="BJ60">
        <f>IF(AND(CROQUIS!$C$88=1,CROQUIS!$C$134&gt;0),((CROQUIS!$C$156+(IF(CROQUIS!$C$92="X",((CROQUIS!$C$107/2+(((CROQUIS!$C$97)-CROQUIS!$C$107)-(MIN(80,MAX(1,INT(((CROQUIS!$C$97)-CROQUIS!$C$107)/MAX(CROQUIS!$C$134,1))+1))-1)*CROQUIS!$C$134)/2)+MIN(INT(($A60-1)/5),MAX((MIN(80,MAX(1,INT(((CROQUIS!$C$97)-CROQUIS!$C$107)/MAX(CROQUIS!$C$134,1))+1)))-1,0))*CROQUIS!$C$134),CHOOSE(IF(INT(($A60-1)/5)&gt;MAX((MIN(80,MAX(1,INT(((CROQUIS!$C$97)-CROQUIS!$C$107)/MAX(CROQUIS!$C$134,1))+1)))-1,0),0,MOD($A60-1,5))+1,0,2,CROQUIS!$C$98-2,2,0)))*CROQUIS!$C$155)+IF(CROQUIS!$C$92="X",0,0)),-1000)</f>
        <v>-1000</v>
      </c>
      <c r="BK60">
        <f>IF(AND(CROQUIS!$C$88=1,CROQUIS!$C$134&gt;0),((CROQUIS!$C$157+(IF(CROQUIS!$C$92="X",CHOOSE(IF(INT(($A60-1)/5)&gt;MAX((MIN(80,MAX(1,INT(((CROQUIS!$C$97)-CROQUIS!$C$107)/MAX(CROQUIS!$C$134,1))+1)))-1,0),0,MOD($A60-1,5))+1,0,2,CROQUIS!$C$98-2,2,0),((CROQUIS!$C$107/2+(((CROQUIS!$C$97)-CROQUIS!$C$107)-(MIN(80,MAX(1,INT(((CROQUIS!$C$97)-CROQUIS!$C$107)/MAX(CROQUIS!$C$134,1))+1))-1)*CROQUIS!$C$134)/2)+MIN(INT(($A60-1)/5),MAX((MIN(80,MAX(1,INT(((CROQUIS!$C$97)-CROQUIS!$C$107)/MAX(CROQUIS!$C$134,1))+1)))-1,0))*CROQUIS!$C$134)))*CROQUIS!$C$155)+IF(CROQUIS!$C$92="X",0,0)),-1000)</f>
        <v>-1000</v>
      </c>
      <c r="BL60">
        <f>IF(AND(CROQUIS!$C$88=1,CROQUIS!$C$91=0,CROQUIS!$C$130&gt;0,OR(CROQUIS!$C$103=1,CROQUIS!$C$142=1)),((CROQUIS!$C$156+(IF(CROQUIS!$C$92="X",CHOOSE(IF(INT(($A60-1)/5)&gt;MAX((MIN(80,MAX(1,INT(((CROQUIS!$C$98)-CROQUIS!$C$107)/MAX(CROQUIS!$C$130,1))+1)))-1,0),0,MOD($A60-1,5))+1,0,IF(CROQUIS!$C$103=1,-12,2),CROQUIS!$C$107/2+CROQUIS!$C$140,IF(CROQUIS!$C$103=1,-12,2),0),((CROQUIS!$C$107/2+(((CROQUIS!$C$98)-CROQUIS!$C$107)-(MIN(80,MAX(1,INT(((CROQUIS!$C$98)-CROQUIS!$C$107)/MAX(CROQUIS!$C$130,1))+1))-1)*CROQUIS!$C$130)/2)+MIN(INT(($A60-1)/5),MAX((MIN(80,MAX(1,INT(((CROQUIS!$C$98)-CROQUIS!$C$107)/MAX(CROQUIS!$C$130,1))+1)))-1,0))*CROQUIS!$C$130)))*CROQUIS!$C$155)+IF(CROQUIS!$C$92="X",0,0)),-1000)</f>
        <v>-1000</v>
      </c>
      <c r="BM6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60-1)/5),MAX((MIN(80,MAX(1,INT(((CROQUIS!$C$98)-CROQUIS!$C$107)/MAX(CROQUIS!$C$130,1))+1)))-1,0))*CROQUIS!$C$130),CHOOSE(IF(INT(($A60-1)/5)&gt;MAX((MIN(80,MAX(1,INT(((CROQUIS!$C$98)-CROQUIS!$C$107)/MAX(CROQUIS!$C$130,1))+1)))-1,0),0,MOD($A60-1,5))+1,0,IF(CROQUIS!$C$103=1,-12,2),CROQUIS!$C$107/2+CROQUIS!$C$140,IF(CROQUIS!$C$103=1,-12,2),0)))*CROQUIS!$C$155)+IF(CROQUIS!$C$92="X",0,0)),-1000)</f>
        <v>-1000</v>
      </c>
      <c r="BN60">
        <f>IF(AND(CROQUIS!$C$88=1,CROQUIS!$C$91=0,CROQUIS!$C$130&gt;0,OR(CROQUIS!$C$104=1,CROQUIS!$C$142=1)),((CROQUIS!$C$156+(IF(CROQUIS!$C$92="X",CHOOSE(IF(INT(($A60-1)/5)&gt;MAX((MIN(80,MAX(1,INT(((CROQUIS!$C$98)-CROQUIS!$C$107)/MAX(CROQUIS!$C$130,1))+1)))-1,0),0,MOD($A60-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60-1)/5),MAX((MIN(80,MAX(1,INT(((CROQUIS!$C$98)-CROQUIS!$C$107)/MAX(CROQUIS!$C$130,1))+1)))-1,0))*CROQUIS!$C$130)))*CROQUIS!$C$155)+IF(CROQUIS!$C$92="X",0,0)),-1000)</f>
        <v>-1000</v>
      </c>
      <c r="BO6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60-1)/5),MAX((MIN(80,MAX(1,INT(((CROQUIS!$C$98)-CROQUIS!$C$107)/MAX(CROQUIS!$C$130,1))+1)))-1,0))*CROQUIS!$C$130),CHOOSE(IF(INT(($A60-1)/5)&gt;MAX((MIN(80,MAX(1,INT(((CROQUIS!$C$98)-CROQUIS!$C$107)/MAX(CROQUIS!$C$130,1))+1)))-1,0),0,MOD($A60-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6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60-1)/5),MAX((MIN(80,MAX(1,INT(((CROQUIS!$C$97)-CROQUIS!$C$107)/MAX(CROQUIS!$C$138,1))+1)))-1,0))*CROQUIS!$C$138),CHOOSE(IF(INT(($A60-1)/5)&gt;MAX((MIN(80,MAX(1,INT(((CROQUIS!$C$97)-CROQUIS!$C$107)/MAX(CROQUIS!$C$138,1))+1)))-1,0),0,MOD($A60-1,5))+1,0,IF(CROQUIS!$C$105=1,-12,2),CROQUIS!$C$107/2+CROQUIS!$C$141,IF(CROQUIS!$C$105=1,-12,2),0)))*CROQUIS!$C$155)+IF(CROQUIS!$C$92="X",0,0)),-1000)</f>
        <v>-1000</v>
      </c>
      <c r="BQ60">
        <f>IF(AND(CROQUIS!$C$88=1,CROQUIS!$C$91=0,CROQUIS!$C$138&gt;0,OR(CROQUIS!$C$105=1,CROQUIS!$C$143=1)),((CROQUIS!$C$157+(IF(CROQUIS!$C$92="X",CHOOSE(IF(INT(($A60-1)/5)&gt;MAX((MIN(80,MAX(1,INT(((CROQUIS!$C$97)-CROQUIS!$C$107)/MAX(CROQUIS!$C$138,1))+1)))-1,0),0,MOD($A60-1,5))+1,0,IF(CROQUIS!$C$105=1,-12,2),CROQUIS!$C$107/2+CROQUIS!$C$141,IF(CROQUIS!$C$105=1,-12,2),0),((CROQUIS!$C$107/2+(((CROQUIS!$C$97)-CROQUIS!$C$107)-(MIN(80,MAX(1,INT(((CROQUIS!$C$97)-CROQUIS!$C$107)/MAX(CROQUIS!$C$138,1))+1))-1)*CROQUIS!$C$138)/2)+MIN(INT(($A60-1)/5),MAX((MIN(80,MAX(1,INT(((CROQUIS!$C$97)-CROQUIS!$C$107)/MAX(CROQUIS!$C$138,1))+1)))-1,0))*CROQUIS!$C$138)))*CROQUIS!$C$155)+IF(CROQUIS!$C$92="X",0,0)),-1000)</f>
        <v>-1000</v>
      </c>
      <c r="BR6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60-1)/5),MAX((MIN(80,MAX(1,INT(((CROQUIS!$C$97)-CROQUIS!$C$107)/MAX(CROQUIS!$C$138,1))+1)))-1,0))*CROQUIS!$C$138),CHOOSE(IF(INT(($A60-1)/5)&gt;MAX((MIN(80,MAX(1,INT(((CROQUIS!$C$97)-CROQUIS!$C$107)/MAX(CROQUIS!$C$138,1))+1)))-1,0),0,MOD($A60-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60">
        <f>IF(AND(CROQUIS!$C$88=1,CROQUIS!$C$91=0,CROQUIS!$C$138&gt;0,OR(CROQUIS!$C$106=1,CROQUIS!$C$143=1)),((CROQUIS!$C$157+(IF(CROQUIS!$C$92="X",CHOOSE(IF(INT(($A60-1)/5)&gt;MAX((MIN(80,MAX(1,INT(((CROQUIS!$C$97)-CROQUIS!$C$107)/MAX(CROQUIS!$C$138,1))+1)))-1,0),0,MOD($A60-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60-1)/5),MAX((MIN(80,MAX(1,INT(((CROQUIS!$C$97)-CROQUIS!$C$107)/MAX(CROQUIS!$C$138,1))+1)))-1,0))*CROQUIS!$C$138)))*CROQUIS!$C$155)+IF(CROQUIS!$C$92="X",0,0)),-1000)</f>
        <v>-1000</v>
      </c>
      <c r="BT60">
        <f>IF(AND(CROQUIS!$C$88=1,CROQUIS!$C$91=1,CROQUIS!$C$130&gt;0),((CROQUIS!$C$156+(IF(CROQUIS!$C$92="X",CHOOSE(IF(INT(($A60-1)/5)&gt;MAX((MIN(80,MAX(1,INT(((CROQUIS!$C$98)-CROQUIS!$C$107)/MAX(CROQUIS!$C$130,1))+1)))-1,0),0,MOD($A60-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60-1)/5),MAX((MIN(80,MAX(1,INT(((CROQUIS!$C$98)-CROQUIS!$C$107)/MAX(CROQUIS!$C$130,1))+1)))-1,0))*CROQUIS!$C$130)))*CROQUIS!$C$155)+IF(CROQUIS!$C$92="X",0,0)),-1000)</f>
        <v>-1000</v>
      </c>
      <c r="BU60">
        <f>IF(AND(CROQUIS!$C$88=1,CROQUIS!$C$91=1,CROQUIS!$C$130&gt;0),((CROQUIS!$C$157+(IF(CROQUIS!$C$92="X",((CROQUIS!$C$107/2+(((CROQUIS!$C$98)-CROQUIS!$C$107)-(MIN(80,MAX(1,INT(((CROQUIS!$C$98)-CROQUIS!$C$107)/MAX(CROQUIS!$C$130,1))+1))-1)*CROQUIS!$C$130)/2)+MIN(INT(($A60-1)/5),MAX((MIN(80,MAX(1,INT(((CROQUIS!$C$98)-CROQUIS!$C$107)/MAX(CROQUIS!$C$130,1))+1)))-1,0))*CROQUIS!$C$130),CHOOSE(IF(INT(($A60-1)/5)&gt;MAX((MIN(80,MAX(1,INT(((CROQUIS!$C$98)-CROQUIS!$C$107)/MAX(CROQUIS!$C$130,1))+1)))-1,0),0,MOD($A60-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61">
      <c r="A61" t="n">
        <v>54</v>
      </c>
      <c r="AF61">
        <f>IF(AND(CROQUIS!$C$87=1,CROQUIS!$C$158&gt;0,CROQUIS!$C$160&gt;0),(CROQUIS!$C$156+((CROQUIS!$C$159+INT(MIN(INT(($A61-1)/2),MAX((2*CROQUIS!$C$158)-1,0))/2)*CROQUIS!$C$113+MOD(MIN(INT(($A61-1)/2),MAX((2*CROQUIS!$C$158)-1,0)),2)*CROQUIS!$C$112))*CROQUIS!$C$155),-1000)</f>
        <v>85.2010845006778</v>
      </c>
      <c r="AG61">
        <f>IF(AND(CROQUIS!$C$87=1,CROQUIS!$C$158&gt;0,CROQUIS!$C$160&gt;0),(CROQUIS!$C$157+(IF(MOD(MIN(INT(($A61-1)/2),MAX((2*CROQUIS!$C$158)-1,0)),2)=0,IF(IF(INT(($A61-1)/2)&gt;MAX((2*CROQUIS!$C$158)-1,0),1,MOD($A61-1,2))=0,CROQUIS!$C$161,(CROQUIS!$C$161+CROQUIS!$C$160*CROQUIS!$C$113-CROQUIS!$C$111)),IF(IF(INT(($A61-1)/2)&gt;MAX((2*CROQUIS!$C$158)-1,0),1,MOD($A61-1,2))=0,(CROQUIS!$C$161+CROQUIS!$C$160*CROQUIS!$C$113-CROQUIS!$C$111),CROQUIS!$C$161)))*CROQUIS!$C$155),-1000)</f>
        <v>20.8088567555355</v>
      </c>
      <c r="AH61">
        <f>IF(AND(CROQUIS!$C$87=1,CROQUIS!$C$160&gt;0,CROQUIS!$C$158&gt;0),(CROQUIS!$C$156+(IF(MOD(MIN(INT(($A61-1)/2),MAX((2*CROQUIS!$C$160)-1,0)),2)=0,IF(IF(INT(($A61-1)/2)&gt;MAX((2*CROQUIS!$C$160)-1,0),1,MOD($A61-1,2))=0,CROQUIS!$C$159,(CROQUIS!$C$159+CROQUIS!$C$158*CROQUIS!$C$113-CROQUIS!$C$111)),IF(IF(INT(($A61-1)/2)&gt;MAX((2*CROQUIS!$C$160)-1,0),1,MOD($A61-1,2))=0,(CROQUIS!$C$159+CROQUIS!$C$158*CROQUIS!$C$113-CROQUIS!$C$111),CROQUIS!$C$159)))*CROQUIS!$C$155),-1000)</f>
        <v>14.7989154993222</v>
      </c>
      <c r="AI61">
        <f>IF(AND(CROQUIS!$C$87=1,CROQUIS!$C$160&gt;0,CROQUIS!$C$158&gt;0),(CROQUIS!$C$157+((CROQUIS!$C$161+INT(MIN(INT(($A61-1)/2),MAX((2*CROQUIS!$C$160)-1,0))/2)*CROQUIS!$C$113+MOD(MIN(INT(($A61-1)/2),MAX((2*CROQUIS!$C$160)-1,0)),2)*CROQUIS!$C$112))*CROQUIS!$C$155),-1000)</f>
        <v>79.1911432444645</v>
      </c>
      <c r="AJ61">
        <f>IF(AND(CROQUIS!$C$87=1,CROQUIS!$C$158&gt;=2),(CROQUIS!$C$156+((CROQUIS!$C$159+CROQUIS!$C$112+CROQUIS!$C$111/2+MIN(INT(($A61-1)/2),MAX((CROQUIS!$C$158-1)-1,0))*CROQUIS!$C$113))*CROQUIS!$C$155),-1000)</f>
        <v>74.0397650248531</v>
      </c>
      <c r="AK61">
        <f>IF(AND(CROQUIS!$C$87=1,CROQUIS!$C$158&gt;=2),(CROQUIS!$C$157+(IF(MOD(MIN(INT(($A61-1)/2),MAX((CROQUIS!$C$158-1)-1,0)),2)=0,IF(IF(INT(($A61-1)/2)&gt;MAX((CROQUIS!$C$158-1)-1,0),1,MOD($A61-1,2))=0,CROQUIS!$C$107/2,(CROQUIS!$C$96-CROQUIS!$C$107/2)),IF(IF(INT(($A61-1)/2)&gt;MAX((CROQUIS!$C$158-1)-1,0),1,MOD($A61-1,2))=0,(CROQUIS!$C$96-CROQUIS!$C$107/2),CROQUIS!$C$107/2)))*CROQUIS!$C$155),-1000)</f>
        <v>83.0546769091731</v>
      </c>
      <c r="AL61">
        <f>IF(AND(CROQUIS!$C$87=1,CROQUIS!$C$160&gt;=2),(CROQUIS!$C$156+(IF(MOD(MIN(INT(($A61-1)/2),MAX((CROQUIS!$C$160-1)-1,0)),2)=0,IF(IF(INT(($A61-1)/2)&gt;MAX((CROQUIS!$C$160-1)-1,0),1,MOD($A61-1,2))=0,CROQUIS!$C$107/2,(CROQUIS!$C$95-CROQUIS!$C$107/2)),IF(IF(INT(($A61-1)/2)&gt;MAX((CROQUIS!$C$160-1)-1,0),1,MOD($A61-1,2))=0,(CROQUIS!$C$95-CROQUIS!$C$107/2),CROQUIS!$C$107/2)))*CROQUIS!$C$155),-1000)</f>
        <v>13.2878445549028</v>
      </c>
      <c r="AM61">
        <f>IF(AND(CROQUIS!$C$87=1,CROQUIS!$C$160&gt;=2),(CROQUIS!$C$157+((CROQUIS!$C$161+CROQUIS!$C$112+CROQUIS!$C$111/2+MIN(INT(($A61-1)/2),MAX((CROQUIS!$C$160-1)-1,0))*CROQUIS!$C$113))*CROQUIS!$C$155),-1000)</f>
        <v>68.0298237686399</v>
      </c>
      <c r="BH61">
        <f>IF(AND(CROQUIS!$C$88=1,CROQUIS!$C$126&gt;0),((CROQUIS!$C$156+(IF(CROQUIS!$C$92="X",CHOOSE(IF(INT(($A61-1)/5)&gt;MAX((MIN(80,MAX(1,INT(((CROQUIS!$C$98)-CROQUIS!$C$107)/MAX(CROQUIS!$C$126,1))+1)))-1,0),0,MOD($A61-1,5))+1,0,2,CROQUIS!$C$97-2,2,0),((CROQUIS!$C$107/2+(((CROQUIS!$C$98)-CROQUIS!$C$107)-(MIN(80,MAX(1,INT(((CROQUIS!$C$98)-CROQUIS!$C$107)/MAX(CROQUIS!$C$126,1))+1))-1)*CROQUIS!$C$126)/2)+MIN(INT(($A61-1)/5),MAX((MIN(80,MAX(1,INT(((CROQUIS!$C$98)-CROQUIS!$C$107)/MAX(CROQUIS!$C$126,1))+1)))-1,0))*CROQUIS!$C$126)))*CROQUIS!$C$155)+IF(CROQUIS!$C$92="X",0,0)),-1000)</f>
        <v>-1000</v>
      </c>
      <c r="BI61">
        <f>IF(AND(CROQUIS!$C$88=1,CROQUIS!$C$126&gt;0),((CROQUIS!$C$157+(IF(CROQUIS!$C$92="X",((CROQUIS!$C$107/2+(((CROQUIS!$C$98)-CROQUIS!$C$107)-(MIN(80,MAX(1,INT(((CROQUIS!$C$98)-CROQUIS!$C$107)/MAX(CROQUIS!$C$126,1))+1))-1)*CROQUIS!$C$126)/2)+MIN(INT(($A61-1)/5),MAX((MIN(80,MAX(1,INT(((CROQUIS!$C$98)-CROQUIS!$C$107)/MAX(CROQUIS!$C$126,1))+1)))-1,0))*CROQUIS!$C$126),CHOOSE(IF(INT(($A61-1)/5)&gt;MAX((MIN(80,MAX(1,INT(((CROQUIS!$C$98)-CROQUIS!$C$107)/MAX(CROQUIS!$C$126,1))+1)))-1,0),0,MOD($A61-1,5))+1,0,2,CROQUIS!$C$97-2,2,0)))*CROQUIS!$C$155)+IF(CROQUIS!$C$92="X",0,0)),-1000)</f>
        <v>-1000</v>
      </c>
      <c r="BJ61">
        <f>IF(AND(CROQUIS!$C$88=1,CROQUIS!$C$134&gt;0),((CROQUIS!$C$156+(IF(CROQUIS!$C$92="X",((CROQUIS!$C$107/2+(((CROQUIS!$C$97)-CROQUIS!$C$107)-(MIN(80,MAX(1,INT(((CROQUIS!$C$97)-CROQUIS!$C$107)/MAX(CROQUIS!$C$134,1))+1))-1)*CROQUIS!$C$134)/2)+MIN(INT(($A61-1)/5),MAX((MIN(80,MAX(1,INT(((CROQUIS!$C$97)-CROQUIS!$C$107)/MAX(CROQUIS!$C$134,1))+1)))-1,0))*CROQUIS!$C$134),CHOOSE(IF(INT(($A61-1)/5)&gt;MAX((MIN(80,MAX(1,INT(((CROQUIS!$C$97)-CROQUIS!$C$107)/MAX(CROQUIS!$C$134,1))+1)))-1,0),0,MOD($A61-1,5))+1,0,2,CROQUIS!$C$98-2,2,0)))*CROQUIS!$C$155)+IF(CROQUIS!$C$92="X",0,0)),-1000)</f>
        <v>-1000</v>
      </c>
      <c r="BK61">
        <f>IF(AND(CROQUIS!$C$88=1,CROQUIS!$C$134&gt;0),((CROQUIS!$C$157+(IF(CROQUIS!$C$92="X",CHOOSE(IF(INT(($A61-1)/5)&gt;MAX((MIN(80,MAX(1,INT(((CROQUIS!$C$97)-CROQUIS!$C$107)/MAX(CROQUIS!$C$134,1))+1)))-1,0),0,MOD($A61-1,5))+1,0,2,CROQUIS!$C$98-2,2,0),((CROQUIS!$C$107/2+(((CROQUIS!$C$97)-CROQUIS!$C$107)-(MIN(80,MAX(1,INT(((CROQUIS!$C$97)-CROQUIS!$C$107)/MAX(CROQUIS!$C$134,1))+1))-1)*CROQUIS!$C$134)/2)+MIN(INT(($A61-1)/5),MAX((MIN(80,MAX(1,INT(((CROQUIS!$C$97)-CROQUIS!$C$107)/MAX(CROQUIS!$C$134,1))+1)))-1,0))*CROQUIS!$C$134)))*CROQUIS!$C$155)+IF(CROQUIS!$C$92="X",0,0)),-1000)</f>
        <v>-1000</v>
      </c>
      <c r="BL61">
        <f>IF(AND(CROQUIS!$C$88=1,CROQUIS!$C$91=0,CROQUIS!$C$130&gt;0,OR(CROQUIS!$C$103=1,CROQUIS!$C$142=1)),((CROQUIS!$C$156+(IF(CROQUIS!$C$92="X",CHOOSE(IF(INT(($A61-1)/5)&gt;MAX((MIN(80,MAX(1,INT(((CROQUIS!$C$98)-CROQUIS!$C$107)/MAX(CROQUIS!$C$130,1))+1)))-1,0),0,MOD($A61-1,5))+1,0,IF(CROQUIS!$C$103=1,-12,2),CROQUIS!$C$107/2+CROQUIS!$C$140,IF(CROQUIS!$C$103=1,-12,2),0),((CROQUIS!$C$107/2+(((CROQUIS!$C$98)-CROQUIS!$C$107)-(MIN(80,MAX(1,INT(((CROQUIS!$C$98)-CROQUIS!$C$107)/MAX(CROQUIS!$C$130,1))+1))-1)*CROQUIS!$C$130)/2)+MIN(INT(($A61-1)/5),MAX((MIN(80,MAX(1,INT(((CROQUIS!$C$98)-CROQUIS!$C$107)/MAX(CROQUIS!$C$130,1))+1)))-1,0))*CROQUIS!$C$130)))*CROQUIS!$C$155)+IF(CROQUIS!$C$92="X",0,0)),-1000)</f>
        <v>-1000</v>
      </c>
      <c r="BM6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61-1)/5),MAX((MIN(80,MAX(1,INT(((CROQUIS!$C$98)-CROQUIS!$C$107)/MAX(CROQUIS!$C$130,1))+1)))-1,0))*CROQUIS!$C$130),CHOOSE(IF(INT(($A61-1)/5)&gt;MAX((MIN(80,MAX(1,INT(((CROQUIS!$C$98)-CROQUIS!$C$107)/MAX(CROQUIS!$C$130,1))+1)))-1,0),0,MOD($A61-1,5))+1,0,IF(CROQUIS!$C$103=1,-12,2),CROQUIS!$C$107/2+CROQUIS!$C$140,IF(CROQUIS!$C$103=1,-12,2),0)))*CROQUIS!$C$155)+IF(CROQUIS!$C$92="X",0,0)),-1000)</f>
        <v>-1000</v>
      </c>
      <c r="BN61">
        <f>IF(AND(CROQUIS!$C$88=1,CROQUIS!$C$91=0,CROQUIS!$C$130&gt;0,OR(CROQUIS!$C$104=1,CROQUIS!$C$142=1)),((CROQUIS!$C$156+(IF(CROQUIS!$C$92="X",CHOOSE(IF(INT(($A61-1)/5)&gt;MAX((MIN(80,MAX(1,INT(((CROQUIS!$C$98)-CROQUIS!$C$107)/MAX(CROQUIS!$C$130,1))+1)))-1,0),0,MOD($A61-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61-1)/5),MAX((MIN(80,MAX(1,INT(((CROQUIS!$C$98)-CROQUIS!$C$107)/MAX(CROQUIS!$C$130,1))+1)))-1,0))*CROQUIS!$C$130)))*CROQUIS!$C$155)+IF(CROQUIS!$C$92="X",0,0)),-1000)</f>
        <v>-1000</v>
      </c>
      <c r="BO6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61-1)/5),MAX((MIN(80,MAX(1,INT(((CROQUIS!$C$98)-CROQUIS!$C$107)/MAX(CROQUIS!$C$130,1))+1)))-1,0))*CROQUIS!$C$130),CHOOSE(IF(INT(($A61-1)/5)&gt;MAX((MIN(80,MAX(1,INT(((CROQUIS!$C$98)-CROQUIS!$C$107)/MAX(CROQUIS!$C$130,1))+1)))-1,0),0,MOD($A61-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6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61-1)/5),MAX((MIN(80,MAX(1,INT(((CROQUIS!$C$97)-CROQUIS!$C$107)/MAX(CROQUIS!$C$138,1))+1)))-1,0))*CROQUIS!$C$138),CHOOSE(IF(INT(($A61-1)/5)&gt;MAX((MIN(80,MAX(1,INT(((CROQUIS!$C$97)-CROQUIS!$C$107)/MAX(CROQUIS!$C$138,1))+1)))-1,0),0,MOD($A61-1,5))+1,0,IF(CROQUIS!$C$105=1,-12,2),CROQUIS!$C$107/2+CROQUIS!$C$141,IF(CROQUIS!$C$105=1,-12,2),0)))*CROQUIS!$C$155)+IF(CROQUIS!$C$92="X",0,0)),-1000)</f>
        <v>-1000</v>
      </c>
      <c r="BQ61">
        <f>IF(AND(CROQUIS!$C$88=1,CROQUIS!$C$91=0,CROQUIS!$C$138&gt;0,OR(CROQUIS!$C$105=1,CROQUIS!$C$143=1)),((CROQUIS!$C$157+(IF(CROQUIS!$C$92="X",CHOOSE(IF(INT(($A61-1)/5)&gt;MAX((MIN(80,MAX(1,INT(((CROQUIS!$C$97)-CROQUIS!$C$107)/MAX(CROQUIS!$C$138,1))+1)))-1,0),0,MOD($A61-1,5))+1,0,IF(CROQUIS!$C$105=1,-12,2),CROQUIS!$C$107/2+CROQUIS!$C$141,IF(CROQUIS!$C$105=1,-12,2),0),((CROQUIS!$C$107/2+(((CROQUIS!$C$97)-CROQUIS!$C$107)-(MIN(80,MAX(1,INT(((CROQUIS!$C$97)-CROQUIS!$C$107)/MAX(CROQUIS!$C$138,1))+1))-1)*CROQUIS!$C$138)/2)+MIN(INT(($A61-1)/5),MAX((MIN(80,MAX(1,INT(((CROQUIS!$C$97)-CROQUIS!$C$107)/MAX(CROQUIS!$C$138,1))+1)))-1,0))*CROQUIS!$C$138)))*CROQUIS!$C$155)+IF(CROQUIS!$C$92="X",0,0)),-1000)</f>
        <v>-1000</v>
      </c>
      <c r="BR6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61-1)/5),MAX((MIN(80,MAX(1,INT(((CROQUIS!$C$97)-CROQUIS!$C$107)/MAX(CROQUIS!$C$138,1))+1)))-1,0))*CROQUIS!$C$138),CHOOSE(IF(INT(($A61-1)/5)&gt;MAX((MIN(80,MAX(1,INT(((CROQUIS!$C$97)-CROQUIS!$C$107)/MAX(CROQUIS!$C$138,1))+1)))-1,0),0,MOD($A61-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61">
        <f>IF(AND(CROQUIS!$C$88=1,CROQUIS!$C$91=0,CROQUIS!$C$138&gt;0,OR(CROQUIS!$C$106=1,CROQUIS!$C$143=1)),((CROQUIS!$C$157+(IF(CROQUIS!$C$92="X",CHOOSE(IF(INT(($A61-1)/5)&gt;MAX((MIN(80,MAX(1,INT(((CROQUIS!$C$97)-CROQUIS!$C$107)/MAX(CROQUIS!$C$138,1))+1)))-1,0),0,MOD($A61-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61-1)/5),MAX((MIN(80,MAX(1,INT(((CROQUIS!$C$97)-CROQUIS!$C$107)/MAX(CROQUIS!$C$138,1))+1)))-1,0))*CROQUIS!$C$138)))*CROQUIS!$C$155)+IF(CROQUIS!$C$92="X",0,0)),-1000)</f>
        <v>-1000</v>
      </c>
      <c r="BT61">
        <f>IF(AND(CROQUIS!$C$88=1,CROQUIS!$C$91=1,CROQUIS!$C$130&gt;0),((CROQUIS!$C$156+(IF(CROQUIS!$C$92="X",CHOOSE(IF(INT(($A61-1)/5)&gt;MAX((MIN(80,MAX(1,INT(((CROQUIS!$C$98)-CROQUIS!$C$107)/MAX(CROQUIS!$C$130,1))+1)))-1,0),0,MOD($A61-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61-1)/5),MAX((MIN(80,MAX(1,INT(((CROQUIS!$C$98)-CROQUIS!$C$107)/MAX(CROQUIS!$C$130,1))+1)))-1,0))*CROQUIS!$C$130)))*CROQUIS!$C$155)+IF(CROQUIS!$C$92="X",0,0)),-1000)</f>
        <v>-1000</v>
      </c>
      <c r="BU61">
        <f>IF(AND(CROQUIS!$C$88=1,CROQUIS!$C$91=1,CROQUIS!$C$130&gt;0),((CROQUIS!$C$157+(IF(CROQUIS!$C$92="X",((CROQUIS!$C$107/2+(((CROQUIS!$C$98)-CROQUIS!$C$107)-(MIN(80,MAX(1,INT(((CROQUIS!$C$98)-CROQUIS!$C$107)/MAX(CROQUIS!$C$130,1))+1))-1)*CROQUIS!$C$130)/2)+MIN(INT(($A61-1)/5),MAX((MIN(80,MAX(1,INT(((CROQUIS!$C$98)-CROQUIS!$C$107)/MAX(CROQUIS!$C$130,1))+1)))-1,0))*CROQUIS!$C$130),CHOOSE(IF(INT(($A61-1)/5)&gt;MAX((MIN(80,MAX(1,INT(((CROQUIS!$C$98)-CROQUIS!$C$107)/MAX(CROQUIS!$C$130,1))+1)))-1,0),0,MOD($A61-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62">
      <c r="A62" t="n">
        <v>55</v>
      </c>
      <c r="AF62">
        <f>IF(AND(CROQUIS!$C$87=1,CROQUIS!$C$158&gt;0,CROQUIS!$C$160&gt;0),(CROQUIS!$C$156+((CROQUIS!$C$159+INT(MIN(INT(($A62-1)/2),MAX((2*CROQUIS!$C$158)-1,0))/2)*CROQUIS!$C$113+MOD(MIN(INT(($A62-1)/2),MAX((2*CROQUIS!$C$158)-1,0)),2)*CROQUIS!$C$112))*CROQUIS!$C$155),-1000)</f>
        <v>85.2010845006778</v>
      </c>
      <c r="AG62">
        <f>IF(AND(CROQUIS!$C$87=1,CROQUIS!$C$158&gt;0,CROQUIS!$C$160&gt;0),(CROQUIS!$C$157+(IF(MOD(MIN(INT(($A62-1)/2),MAX((2*CROQUIS!$C$158)-1,0)),2)=0,IF(IF(INT(($A62-1)/2)&gt;MAX((2*CROQUIS!$C$158)-1,0),1,MOD($A62-1,2))=0,CROQUIS!$C$161,(CROQUIS!$C$161+CROQUIS!$C$160*CROQUIS!$C$113-CROQUIS!$C$111)),IF(IF(INT(($A62-1)/2)&gt;MAX((2*CROQUIS!$C$158)-1,0),1,MOD($A62-1,2))=0,(CROQUIS!$C$161+CROQUIS!$C$160*CROQUIS!$C$113-CROQUIS!$C$111),CROQUIS!$C$161)))*CROQUIS!$C$155),-1000)</f>
        <v>20.8088567555355</v>
      </c>
      <c r="AH62">
        <f>IF(AND(CROQUIS!$C$87=1,CROQUIS!$C$160&gt;0,CROQUIS!$C$158&gt;0),(CROQUIS!$C$156+(IF(MOD(MIN(INT(($A62-1)/2),MAX((2*CROQUIS!$C$160)-1,0)),2)=0,IF(IF(INT(($A62-1)/2)&gt;MAX((2*CROQUIS!$C$160)-1,0),1,MOD($A62-1,2))=0,CROQUIS!$C$159,(CROQUIS!$C$159+CROQUIS!$C$158*CROQUIS!$C$113-CROQUIS!$C$111)),IF(IF(INT(($A62-1)/2)&gt;MAX((2*CROQUIS!$C$160)-1,0),1,MOD($A62-1,2))=0,(CROQUIS!$C$159+CROQUIS!$C$158*CROQUIS!$C$113-CROQUIS!$C$111),CROQUIS!$C$159)))*CROQUIS!$C$155),-1000)</f>
        <v>14.7989154993222</v>
      </c>
      <c r="AI62">
        <f>IF(AND(CROQUIS!$C$87=1,CROQUIS!$C$160&gt;0,CROQUIS!$C$158&gt;0),(CROQUIS!$C$157+((CROQUIS!$C$161+INT(MIN(INT(($A62-1)/2),MAX((2*CROQUIS!$C$160)-1,0))/2)*CROQUIS!$C$113+MOD(MIN(INT(($A62-1)/2),MAX((2*CROQUIS!$C$160)-1,0)),2)*CROQUIS!$C$112))*CROQUIS!$C$155),-1000)</f>
        <v>79.1911432444645</v>
      </c>
      <c r="AJ62">
        <f>IF(AND(CROQUIS!$C$87=1,CROQUIS!$C$158&gt;=2),(CROQUIS!$C$156+((CROQUIS!$C$159+CROQUIS!$C$112+CROQUIS!$C$111/2+MIN(INT(($A62-1)/2),MAX((CROQUIS!$C$158-1)-1,0))*CROQUIS!$C$113))*CROQUIS!$C$155),-1000)</f>
        <v>74.0397650248531</v>
      </c>
      <c r="AK62">
        <f>IF(AND(CROQUIS!$C$87=1,CROQUIS!$C$158&gt;=2),(CROQUIS!$C$157+(IF(MOD(MIN(INT(($A62-1)/2),MAX((CROQUIS!$C$158-1)-1,0)),2)=0,IF(IF(INT(($A62-1)/2)&gt;MAX((CROQUIS!$C$158-1)-1,0),1,MOD($A62-1,2))=0,CROQUIS!$C$107/2,(CROQUIS!$C$96-CROQUIS!$C$107/2)),IF(IF(INT(($A62-1)/2)&gt;MAX((CROQUIS!$C$158-1)-1,0),1,MOD($A62-1,2))=0,(CROQUIS!$C$96-CROQUIS!$C$107/2),CROQUIS!$C$107/2)))*CROQUIS!$C$155),-1000)</f>
        <v>83.0546769091731</v>
      </c>
      <c r="AL62">
        <f>IF(AND(CROQUIS!$C$87=1,CROQUIS!$C$160&gt;=2),(CROQUIS!$C$156+(IF(MOD(MIN(INT(($A62-1)/2),MAX((CROQUIS!$C$160-1)-1,0)),2)=0,IF(IF(INT(($A62-1)/2)&gt;MAX((CROQUIS!$C$160-1)-1,0),1,MOD($A62-1,2))=0,CROQUIS!$C$107/2,(CROQUIS!$C$95-CROQUIS!$C$107/2)),IF(IF(INT(($A62-1)/2)&gt;MAX((CROQUIS!$C$160-1)-1,0),1,MOD($A62-1,2))=0,(CROQUIS!$C$95-CROQUIS!$C$107/2),CROQUIS!$C$107/2)))*CROQUIS!$C$155),-1000)</f>
        <v>13.2878445549028</v>
      </c>
      <c r="AM62">
        <f>IF(AND(CROQUIS!$C$87=1,CROQUIS!$C$160&gt;=2),(CROQUIS!$C$157+((CROQUIS!$C$161+CROQUIS!$C$112+CROQUIS!$C$111/2+MIN(INT(($A62-1)/2),MAX((CROQUIS!$C$160-1)-1,0))*CROQUIS!$C$113))*CROQUIS!$C$155),-1000)</f>
        <v>68.0298237686399</v>
      </c>
      <c r="BH62">
        <f>IF(AND(CROQUIS!$C$88=1,CROQUIS!$C$126&gt;0),((CROQUIS!$C$156+(IF(CROQUIS!$C$92="X",CHOOSE(IF(INT(($A62-1)/5)&gt;MAX((MIN(80,MAX(1,INT(((CROQUIS!$C$98)-CROQUIS!$C$107)/MAX(CROQUIS!$C$126,1))+1)))-1,0),0,MOD($A62-1,5))+1,0,2,CROQUIS!$C$97-2,2,0),((CROQUIS!$C$107/2+(((CROQUIS!$C$98)-CROQUIS!$C$107)-(MIN(80,MAX(1,INT(((CROQUIS!$C$98)-CROQUIS!$C$107)/MAX(CROQUIS!$C$126,1))+1))-1)*CROQUIS!$C$126)/2)+MIN(INT(($A62-1)/5),MAX((MIN(80,MAX(1,INT(((CROQUIS!$C$98)-CROQUIS!$C$107)/MAX(CROQUIS!$C$126,1))+1)))-1,0))*CROQUIS!$C$126)))*CROQUIS!$C$155)+IF(CROQUIS!$C$92="X",0,0)),-1000)</f>
        <v>-1000</v>
      </c>
      <c r="BI62">
        <f>IF(AND(CROQUIS!$C$88=1,CROQUIS!$C$126&gt;0),((CROQUIS!$C$157+(IF(CROQUIS!$C$92="X",((CROQUIS!$C$107/2+(((CROQUIS!$C$98)-CROQUIS!$C$107)-(MIN(80,MAX(1,INT(((CROQUIS!$C$98)-CROQUIS!$C$107)/MAX(CROQUIS!$C$126,1))+1))-1)*CROQUIS!$C$126)/2)+MIN(INT(($A62-1)/5),MAX((MIN(80,MAX(1,INT(((CROQUIS!$C$98)-CROQUIS!$C$107)/MAX(CROQUIS!$C$126,1))+1)))-1,0))*CROQUIS!$C$126),CHOOSE(IF(INT(($A62-1)/5)&gt;MAX((MIN(80,MAX(1,INT(((CROQUIS!$C$98)-CROQUIS!$C$107)/MAX(CROQUIS!$C$126,1))+1)))-1,0),0,MOD($A62-1,5))+1,0,2,CROQUIS!$C$97-2,2,0)))*CROQUIS!$C$155)+IF(CROQUIS!$C$92="X",0,0)),-1000)</f>
        <v>-1000</v>
      </c>
      <c r="BJ62">
        <f>IF(AND(CROQUIS!$C$88=1,CROQUIS!$C$134&gt;0),((CROQUIS!$C$156+(IF(CROQUIS!$C$92="X",((CROQUIS!$C$107/2+(((CROQUIS!$C$97)-CROQUIS!$C$107)-(MIN(80,MAX(1,INT(((CROQUIS!$C$97)-CROQUIS!$C$107)/MAX(CROQUIS!$C$134,1))+1))-1)*CROQUIS!$C$134)/2)+MIN(INT(($A62-1)/5),MAX((MIN(80,MAX(1,INT(((CROQUIS!$C$97)-CROQUIS!$C$107)/MAX(CROQUIS!$C$134,1))+1)))-1,0))*CROQUIS!$C$134),CHOOSE(IF(INT(($A62-1)/5)&gt;MAX((MIN(80,MAX(1,INT(((CROQUIS!$C$97)-CROQUIS!$C$107)/MAX(CROQUIS!$C$134,1))+1)))-1,0),0,MOD($A62-1,5))+1,0,2,CROQUIS!$C$98-2,2,0)))*CROQUIS!$C$155)+IF(CROQUIS!$C$92="X",0,0)),-1000)</f>
        <v>-1000</v>
      </c>
      <c r="BK62">
        <f>IF(AND(CROQUIS!$C$88=1,CROQUIS!$C$134&gt;0),((CROQUIS!$C$157+(IF(CROQUIS!$C$92="X",CHOOSE(IF(INT(($A62-1)/5)&gt;MAX((MIN(80,MAX(1,INT(((CROQUIS!$C$97)-CROQUIS!$C$107)/MAX(CROQUIS!$C$134,1))+1)))-1,0),0,MOD($A62-1,5))+1,0,2,CROQUIS!$C$98-2,2,0),((CROQUIS!$C$107/2+(((CROQUIS!$C$97)-CROQUIS!$C$107)-(MIN(80,MAX(1,INT(((CROQUIS!$C$97)-CROQUIS!$C$107)/MAX(CROQUIS!$C$134,1))+1))-1)*CROQUIS!$C$134)/2)+MIN(INT(($A62-1)/5),MAX((MIN(80,MAX(1,INT(((CROQUIS!$C$97)-CROQUIS!$C$107)/MAX(CROQUIS!$C$134,1))+1)))-1,0))*CROQUIS!$C$134)))*CROQUIS!$C$155)+IF(CROQUIS!$C$92="X",0,0)),-1000)</f>
        <v>-1000</v>
      </c>
      <c r="BL62">
        <f>IF(AND(CROQUIS!$C$88=1,CROQUIS!$C$91=0,CROQUIS!$C$130&gt;0,OR(CROQUIS!$C$103=1,CROQUIS!$C$142=1)),((CROQUIS!$C$156+(IF(CROQUIS!$C$92="X",CHOOSE(IF(INT(($A62-1)/5)&gt;MAX((MIN(80,MAX(1,INT(((CROQUIS!$C$98)-CROQUIS!$C$107)/MAX(CROQUIS!$C$130,1))+1)))-1,0),0,MOD($A62-1,5))+1,0,IF(CROQUIS!$C$103=1,-12,2),CROQUIS!$C$107/2+CROQUIS!$C$140,IF(CROQUIS!$C$103=1,-12,2),0),((CROQUIS!$C$107/2+(((CROQUIS!$C$98)-CROQUIS!$C$107)-(MIN(80,MAX(1,INT(((CROQUIS!$C$98)-CROQUIS!$C$107)/MAX(CROQUIS!$C$130,1))+1))-1)*CROQUIS!$C$130)/2)+MIN(INT(($A62-1)/5),MAX((MIN(80,MAX(1,INT(((CROQUIS!$C$98)-CROQUIS!$C$107)/MAX(CROQUIS!$C$130,1))+1)))-1,0))*CROQUIS!$C$130)))*CROQUIS!$C$155)+IF(CROQUIS!$C$92="X",0,0)),-1000)</f>
        <v>-1000</v>
      </c>
      <c r="BM6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62-1)/5),MAX((MIN(80,MAX(1,INT(((CROQUIS!$C$98)-CROQUIS!$C$107)/MAX(CROQUIS!$C$130,1))+1)))-1,0))*CROQUIS!$C$130),CHOOSE(IF(INT(($A62-1)/5)&gt;MAX((MIN(80,MAX(1,INT(((CROQUIS!$C$98)-CROQUIS!$C$107)/MAX(CROQUIS!$C$130,1))+1)))-1,0),0,MOD($A62-1,5))+1,0,IF(CROQUIS!$C$103=1,-12,2),CROQUIS!$C$107/2+CROQUIS!$C$140,IF(CROQUIS!$C$103=1,-12,2),0)))*CROQUIS!$C$155)+IF(CROQUIS!$C$92="X",0,0)),-1000)</f>
        <v>-1000</v>
      </c>
      <c r="BN62">
        <f>IF(AND(CROQUIS!$C$88=1,CROQUIS!$C$91=0,CROQUIS!$C$130&gt;0,OR(CROQUIS!$C$104=1,CROQUIS!$C$142=1)),((CROQUIS!$C$156+(IF(CROQUIS!$C$92="X",CHOOSE(IF(INT(($A62-1)/5)&gt;MAX((MIN(80,MAX(1,INT(((CROQUIS!$C$98)-CROQUIS!$C$107)/MAX(CROQUIS!$C$130,1))+1)))-1,0),0,MOD($A62-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62-1)/5),MAX((MIN(80,MAX(1,INT(((CROQUIS!$C$98)-CROQUIS!$C$107)/MAX(CROQUIS!$C$130,1))+1)))-1,0))*CROQUIS!$C$130)))*CROQUIS!$C$155)+IF(CROQUIS!$C$92="X",0,0)),-1000)</f>
        <v>-1000</v>
      </c>
      <c r="BO6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62-1)/5),MAX((MIN(80,MAX(1,INT(((CROQUIS!$C$98)-CROQUIS!$C$107)/MAX(CROQUIS!$C$130,1))+1)))-1,0))*CROQUIS!$C$130),CHOOSE(IF(INT(($A62-1)/5)&gt;MAX((MIN(80,MAX(1,INT(((CROQUIS!$C$98)-CROQUIS!$C$107)/MAX(CROQUIS!$C$130,1))+1)))-1,0),0,MOD($A62-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6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62-1)/5),MAX((MIN(80,MAX(1,INT(((CROQUIS!$C$97)-CROQUIS!$C$107)/MAX(CROQUIS!$C$138,1))+1)))-1,0))*CROQUIS!$C$138),CHOOSE(IF(INT(($A62-1)/5)&gt;MAX((MIN(80,MAX(1,INT(((CROQUIS!$C$97)-CROQUIS!$C$107)/MAX(CROQUIS!$C$138,1))+1)))-1,0),0,MOD($A62-1,5))+1,0,IF(CROQUIS!$C$105=1,-12,2),CROQUIS!$C$107/2+CROQUIS!$C$141,IF(CROQUIS!$C$105=1,-12,2),0)))*CROQUIS!$C$155)+IF(CROQUIS!$C$92="X",0,0)),-1000)</f>
        <v>-1000</v>
      </c>
      <c r="BQ62">
        <f>IF(AND(CROQUIS!$C$88=1,CROQUIS!$C$91=0,CROQUIS!$C$138&gt;0,OR(CROQUIS!$C$105=1,CROQUIS!$C$143=1)),((CROQUIS!$C$157+(IF(CROQUIS!$C$92="X",CHOOSE(IF(INT(($A62-1)/5)&gt;MAX((MIN(80,MAX(1,INT(((CROQUIS!$C$97)-CROQUIS!$C$107)/MAX(CROQUIS!$C$138,1))+1)))-1,0),0,MOD($A62-1,5))+1,0,IF(CROQUIS!$C$105=1,-12,2),CROQUIS!$C$107/2+CROQUIS!$C$141,IF(CROQUIS!$C$105=1,-12,2),0),((CROQUIS!$C$107/2+(((CROQUIS!$C$97)-CROQUIS!$C$107)-(MIN(80,MAX(1,INT(((CROQUIS!$C$97)-CROQUIS!$C$107)/MAX(CROQUIS!$C$138,1))+1))-1)*CROQUIS!$C$138)/2)+MIN(INT(($A62-1)/5),MAX((MIN(80,MAX(1,INT(((CROQUIS!$C$97)-CROQUIS!$C$107)/MAX(CROQUIS!$C$138,1))+1)))-1,0))*CROQUIS!$C$138)))*CROQUIS!$C$155)+IF(CROQUIS!$C$92="X",0,0)),-1000)</f>
        <v>-1000</v>
      </c>
      <c r="BR6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62-1)/5),MAX((MIN(80,MAX(1,INT(((CROQUIS!$C$97)-CROQUIS!$C$107)/MAX(CROQUIS!$C$138,1))+1)))-1,0))*CROQUIS!$C$138),CHOOSE(IF(INT(($A62-1)/5)&gt;MAX((MIN(80,MAX(1,INT(((CROQUIS!$C$97)-CROQUIS!$C$107)/MAX(CROQUIS!$C$138,1))+1)))-1,0),0,MOD($A62-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62">
        <f>IF(AND(CROQUIS!$C$88=1,CROQUIS!$C$91=0,CROQUIS!$C$138&gt;0,OR(CROQUIS!$C$106=1,CROQUIS!$C$143=1)),((CROQUIS!$C$157+(IF(CROQUIS!$C$92="X",CHOOSE(IF(INT(($A62-1)/5)&gt;MAX((MIN(80,MAX(1,INT(((CROQUIS!$C$97)-CROQUIS!$C$107)/MAX(CROQUIS!$C$138,1))+1)))-1,0),0,MOD($A62-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62-1)/5),MAX((MIN(80,MAX(1,INT(((CROQUIS!$C$97)-CROQUIS!$C$107)/MAX(CROQUIS!$C$138,1))+1)))-1,0))*CROQUIS!$C$138)))*CROQUIS!$C$155)+IF(CROQUIS!$C$92="X",0,0)),-1000)</f>
        <v>-1000</v>
      </c>
      <c r="BT62">
        <f>IF(AND(CROQUIS!$C$88=1,CROQUIS!$C$91=1,CROQUIS!$C$130&gt;0),((CROQUIS!$C$156+(IF(CROQUIS!$C$92="X",CHOOSE(IF(INT(($A62-1)/5)&gt;MAX((MIN(80,MAX(1,INT(((CROQUIS!$C$98)-CROQUIS!$C$107)/MAX(CROQUIS!$C$130,1))+1)))-1,0),0,MOD($A62-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62-1)/5),MAX((MIN(80,MAX(1,INT(((CROQUIS!$C$98)-CROQUIS!$C$107)/MAX(CROQUIS!$C$130,1))+1)))-1,0))*CROQUIS!$C$130)))*CROQUIS!$C$155)+IF(CROQUIS!$C$92="X",0,0)),-1000)</f>
        <v>-1000</v>
      </c>
      <c r="BU62">
        <f>IF(AND(CROQUIS!$C$88=1,CROQUIS!$C$91=1,CROQUIS!$C$130&gt;0),((CROQUIS!$C$157+(IF(CROQUIS!$C$92="X",((CROQUIS!$C$107/2+(((CROQUIS!$C$98)-CROQUIS!$C$107)-(MIN(80,MAX(1,INT(((CROQUIS!$C$98)-CROQUIS!$C$107)/MAX(CROQUIS!$C$130,1))+1))-1)*CROQUIS!$C$130)/2)+MIN(INT(($A62-1)/5),MAX((MIN(80,MAX(1,INT(((CROQUIS!$C$98)-CROQUIS!$C$107)/MAX(CROQUIS!$C$130,1))+1)))-1,0))*CROQUIS!$C$130),CHOOSE(IF(INT(($A62-1)/5)&gt;MAX((MIN(80,MAX(1,INT(((CROQUIS!$C$98)-CROQUIS!$C$107)/MAX(CROQUIS!$C$130,1))+1)))-1,0),0,MOD($A62-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63">
      <c r="A63" t="n">
        <v>56</v>
      </c>
      <c r="AF63">
        <f>IF(AND(CROQUIS!$C$87=1,CROQUIS!$C$158&gt;0,CROQUIS!$C$160&gt;0),(CROQUIS!$C$156+((CROQUIS!$C$159+INT(MIN(INT(($A63-1)/2),MAX((2*CROQUIS!$C$158)-1,0))/2)*CROQUIS!$C$113+MOD(MIN(INT(($A63-1)/2),MAX((2*CROQUIS!$C$158)-1,0)),2)*CROQUIS!$C$112))*CROQUIS!$C$155),-1000)</f>
        <v>85.2010845006778</v>
      </c>
      <c r="AG63">
        <f>IF(AND(CROQUIS!$C$87=1,CROQUIS!$C$158&gt;0,CROQUIS!$C$160&gt;0),(CROQUIS!$C$157+(IF(MOD(MIN(INT(($A63-1)/2),MAX((2*CROQUIS!$C$158)-1,0)),2)=0,IF(IF(INT(($A63-1)/2)&gt;MAX((2*CROQUIS!$C$158)-1,0),1,MOD($A63-1,2))=0,CROQUIS!$C$161,(CROQUIS!$C$161+CROQUIS!$C$160*CROQUIS!$C$113-CROQUIS!$C$111)),IF(IF(INT(($A63-1)/2)&gt;MAX((2*CROQUIS!$C$158)-1,0),1,MOD($A63-1,2))=0,(CROQUIS!$C$161+CROQUIS!$C$160*CROQUIS!$C$113-CROQUIS!$C$111),CROQUIS!$C$161)))*CROQUIS!$C$155),-1000)</f>
        <v>20.8088567555355</v>
      </c>
      <c r="AH63">
        <f>IF(AND(CROQUIS!$C$87=1,CROQUIS!$C$160&gt;0,CROQUIS!$C$158&gt;0),(CROQUIS!$C$156+(IF(MOD(MIN(INT(($A63-1)/2),MAX((2*CROQUIS!$C$160)-1,0)),2)=0,IF(IF(INT(($A63-1)/2)&gt;MAX((2*CROQUIS!$C$160)-1,0),1,MOD($A63-1,2))=0,CROQUIS!$C$159,(CROQUIS!$C$159+CROQUIS!$C$158*CROQUIS!$C$113-CROQUIS!$C$111)),IF(IF(INT(($A63-1)/2)&gt;MAX((2*CROQUIS!$C$160)-1,0),1,MOD($A63-1,2))=0,(CROQUIS!$C$159+CROQUIS!$C$158*CROQUIS!$C$113-CROQUIS!$C$111),CROQUIS!$C$159)))*CROQUIS!$C$155),-1000)</f>
        <v>14.7989154993222</v>
      </c>
      <c r="AI63">
        <f>IF(AND(CROQUIS!$C$87=1,CROQUIS!$C$160&gt;0,CROQUIS!$C$158&gt;0),(CROQUIS!$C$157+((CROQUIS!$C$161+INT(MIN(INT(($A63-1)/2),MAX((2*CROQUIS!$C$160)-1,0))/2)*CROQUIS!$C$113+MOD(MIN(INT(($A63-1)/2),MAX((2*CROQUIS!$C$160)-1,0)),2)*CROQUIS!$C$112))*CROQUIS!$C$155),-1000)</f>
        <v>79.1911432444645</v>
      </c>
      <c r="AJ63">
        <f>IF(AND(CROQUIS!$C$87=1,CROQUIS!$C$158&gt;=2),(CROQUIS!$C$156+((CROQUIS!$C$159+CROQUIS!$C$112+CROQUIS!$C$111/2+MIN(INT(($A63-1)/2),MAX((CROQUIS!$C$158-1)-1,0))*CROQUIS!$C$113))*CROQUIS!$C$155),-1000)</f>
        <v>74.0397650248531</v>
      </c>
      <c r="AK63">
        <f>IF(AND(CROQUIS!$C$87=1,CROQUIS!$C$158&gt;=2),(CROQUIS!$C$157+(IF(MOD(MIN(INT(($A63-1)/2),MAX((CROQUIS!$C$158-1)-1,0)),2)=0,IF(IF(INT(($A63-1)/2)&gt;MAX((CROQUIS!$C$158-1)-1,0),1,MOD($A63-1,2))=0,CROQUIS!$C$107/2,(CROQUIS!$C$96-CROQUIS!$C$107/2)),IF(IF(INT(($A63-1)/2)&gt;MAX((CROQUIS!$C$158-1)-1,0),1,MOD($A63-1,2))=0,(CROQUIS!$C$96-CROQUIS!$C$107/2),CROQUIS!$C$107/2)))*CROQUIS!$C$155),-1000)</f>
        <v>83.0546769091731</v>
      </c>
      <c r="AL63">
        <f>IF(AND(CROQUIS!$C$87=1,CROQUIS!$C$160&gt;=2),(CROQUIS!$C$156+(IF(MOD(MIN(INT(($A63-1)/2),MAX((CROQUIS!$C$160-1)-1,0)),2)=0,IF(IF(INT(($A63-1)/2)&gt;MAX((CROQUIS!$C$160-1)-1,0),1,MOD($A63-1,2))=0,CROQUIS!$C$107/2,(CROQUIS!$C$95-CROQUIS!$C$107/2)),IF(IF(INT(($A63-1)/2)&gt;MAX((CROQUIS!$C$160-1)-1,0),1,MOD($A63-1,2))=0,(CROQUIS!$C$95-CROQUIS!$C$107/2),CROQUIS!$C$107/2)))*CROQUIS!$C$155),-1000)</f>
        <v>13.2878445549028</v>
      </c>
      <c r="AM63">
        <f>IF(AND(CROQUIS!$C$87=1,CROQUIS!$C$160&gt;=2),(CROQUIS!$C$157+((CROQUIS!$C$161+CROQUIS!$C$112+CROQUIS!$C$111/2+MIN(INT(($A63-1)/2),MAX((CROQUIS!$C$160-1)-1,0))*CROQUIS!$C$113))*CROQUIS!$C$155),-1000)</f>
        <v>68.0298237686399</v>
      </c>
      <c r="BH63">
        <f>IF(AND(CROQUIS!$C$88=1,CROQUIS!$C$126&gt;0),((CROQUIS!$C$156+(IF(CROQUIS!$C$92="X",CHOOSE(IF(INT(($A63-1)/5)&gt;MAX((MIN(80,MAX(1,INT(((CROQUIS!$C$98)-CROQUIS!$C$107)/MAX(CROQUIS!$C$126,1))+1)))-1,0),0,MOD($A63-1,5))+1,0,2,CROQUIS!$C$97-2,2,0),((CROQUIS!$C$107/2+(((CROQUIS!$C$98)-CROQUIS!$C$107)-(MIN(80,MAX(1,INT(((CROQUIS!$C$98)-CROQUIS!$C$107)/MAX(CROQUIS!$C$126,1))+1))-1)*CROQUIS!$C$126)/2)+MIN(INT(($A63-1)/5),MAX((MIN(80,MAX(1,INT(((CROQUIS!$C$98)-CROQUIS!$C$107)/MAX(CROQUIS!$C$126,1))+1)))-1,0))*CROQUIS!$C$126)))*CROQUIS!$C$155)+IF(CROQUIS!$C$92="X",0,0)),-1000)</f>
        <v>-1000</v>
      </c>
      <c r="BI63">
        <f>IF(AND(CROQUIS!$C$88=1,CROQUIS!$C$126&gt;0),((CROQUIS!$C$157+(IF(CROQUIS!$C$92="X",((CROQUIS!$C$107/2+(((CROQUIS!$C$98)-CROQUIS!$C$107)-(MIN(80,MAX(1,INT(((CROQUIS!$C$98)-CROQUIS!$C$107)/MAX(CROQUIS!$C$126,1))+1))-1)*CROQUIS!$C$126)/2)+MIN(INT(($A63-1)/5),MAX((MIN(80,MAX(1,INT(((CROQUIS!$C$98)-CROQUIS!$C$107)/MAX(CROQUIS!$C$126,1))+1)))-1,0))*CROQUIS!$C$126),CHOOSE(IF(INT(($A63-1)/5)&gt;MAX((MIN(80,MAX(1,INT(((CROQUIS!$C$98)-CROQUIS!$C$107)/MAX(CROQUIS!$C$126,1))+1)))-1,0),0,MOD($A63-1,5))+1,0,2,CROQUIS!$C$97-2,2,0)))*CROQUIS!$C$155)+IF(CROQUIS!$C$92="X",0,0)),-1000)</f>
        <v>-1000</v>
      </c>
      <c r="BJ63">
        <f>IF(AND(CROQUIS!$C$88=1,CROQUIS!$C$134&gt;0),((CROQUIS!$C$156+(IF(CROQUIS!$C$92="X",((CROQUIS!$C$107/2+(((CROQUIS!$C$97)-CROQUIS!$C$107)-(MIN(80,MAX(1,INT(((CROQUIS!$C$97)-CROQUIS!$C$107)/MAX(CROQUIS!$C$134,1))+1))-1)*CROQUIS!$C$134)/2)+MIN(INT(($A63-1)/5),MAX((MIN(80,MAX(1,INT(((CROQUIS!$C$97)-CROQUIS!$C$107)/MAX(CROQUIS!$C$134,1))+1)))-1,0))*CROQUIS!$C$134),CHOOSE(IF(INT(($A63-1)/5)&gt;MAX((MIN(80,MAX(1,INT(((CROQUIS!$C$97)-CROQUIS!$C$107)/MAX(CROQUIS!$C$134,1))+1)))-1,0),0,MOD($A63-1,5))+1,0,2,CROQUIS!$C$98-2,2,0)))*CROQUIS!$C$155)+IF(CROQUIS!$C$92="X",0,0)),-1000)</f>
        <v>-1000</v>
      </c>
      <c r="BK63">
        <f>IF(AND(CROQUIS!$C$88=1,CROQUIS!$C$134&gt;0),((CROQUIS!$C$157+(IF(CROQUIS!$C$92="X",CHOOSE(IF(INT(($A63-1)/5)&gt;MAX((MIN(80,MAX(1,INT(((CROQUIS!$C$97)-CROQUIS!$C$107)/MAX(CROQUIS!$C$134,1))+1)))-1,0),0,MOD($A63-1,5))+1,0,2,CROQUIS!$C$98-2,2,0),((CROQUIS!$C$107/2+(((CROQUIS!$C$97)-CROQUIS!$C$107)-(MIN(80,MAX(1,INT(((CROQUIS!$C$97)-CROQUIS!$C$107)/MAX(CROQUIS!$C$134,1))+1))-1)*CROQUIS!$C$134)/2)+MIN(INT(($A63-1)/5),MAX((MIN(80,MAX(1,INT(((CROQUIS!$C$97)-CROQUIS!$C$107)/MAX(CROQUIS!$C$134,1))+1)))-1,0))*CROQUIS!$C$134)))*CROQUIS!$C$155)+IF(CROQUIS!$C$92="X",0,0)),-1000)</f>
        <v>-1000</v>
      </c>
      <c r="BL63">
        <f>IF(AND(CROQUIS!$C$88=1,CROQUIS!$C$91=0,CROQUIS!$C$130&gt;0,OR(CROQUIS!$C$103=1,CROQUIS!$C$142=1)),((CROQUIS!$C$156+(IF(CROQUIS!$C$92="X",CHOOSE(IF(INT(($A63-1)/5)&gt;MAX((MIN(80,MAX(1,INT(((CROQUIS!$C$98)-CROQUIS!$C$107)/MAX(CROQUIS!$C$130,1))+1)))-1,0),0,MOD($A63-1,5))+1,0,IF(CROQUIS!$C$103=1,-12,2),CROQUIS!$C$107/2+CROQUIS!$C$140,IF(CROQUIS!$C$103=1,-12,2),0),((CROQUIS!$C$107/2+(((CROQUIS!$C$98)-CROQUIS!$C$107)-(MIN(80,MAX(1,INT(((CROQUIS!$C$98)-CROQUIS!$C$107)/MAX(CROQUIS!$C$130,1))+1))-1)*CROQUIS!$C$130)/2)+MIN(INT(($A63-1)/5),MAX((MIN(80,MAX(1,INT(((CROQUIS!$C$98)-CROQUIS!$C$107)/MAX(CROQUIS!$C$130,1))+1)))-1,0))*CROQUIS!$C$130)))*CROQUIS!$C$155)+IF(CROQUIS!$C$92="X",0,0)),-1000)</f>
        <v>-1000</v>
      </c>
      <c r="BM6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63-1)/5),MAX((MIN(80,MAX(1,INT(((CROQUIS!$C$98)-CROQUIS!$C$107)/MAX(CROQUIS!$C$130,1))+1)))-1,0))*CROQUIS!$C$130),CHOOSE(IF(INT(($A63-1)/5)&gt;MAX((MIN(80,MAX(1,INT(((CROQUIS!$C$98)-CROQUIS!$C$107)/MAX(CROQUIS!$C$130,1))+1)))-1,0),0,MOD($A63-1,5))+1,0,IF(CROQUIS!$C$103=1,-12,2),CROQUIS!$C$107/2+CROQUIS!$C$140,IF(CROQUIS!$C$103=1,-12,2),0)))*CROQUIS!$C$155)+IF(CROQUIS!$C$92="X",0,0)),-1000)</f>
        <v>-1000</v>
      </c>
      <c r="BN63">
        <f>IF(AND(CROQUIS!$C$88=1,CROQUIS!$C$91=0,CROQUIS!$C$130&gt;0,OR(CROQUIS!$C$104=1,CROQUIS!$C$142=1)),((CROQUIS!$C$156+(IF(CROQUIS!$C$92="X",CHOOSE(IF(INT(($A63-1)/5)&gt;MAX((MIN(80,MAX(1,INT(((CROQUIS!$C$98)-CROQUIS!$C$107)/MAX(CROQUIS!$C$130,1))+1)))-1,0),0,MOD($A63-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63-1)/5),MAX((MIN(80,MAX(1,INT(((CROQUIS!$C$98)-CROQUIS!$C$107)/MAX(CROQUIS!$C$130,1))+1)))-1,0))*CROQUIS!$C$130)))*CROQUIS!$C$155)+IF(CROQUIS!$C$92="X",0,0)),-1000)</f>
        <v>-1000</v>
      </c>
      <c r="BO6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63-1)/5),MAX((MIN(80,MAX(1,INT(((CROQUIS!$C$98)-CROQUIS!$C$107)/MAX(CROQUIS!$C$130,1))+1)))-1,0))*CROQUIS!$C$130),CHOOSE(IF(INT(($A63-1)/5)&gt;MAX((MIN(80,MAX(1,INT(((CROQUIS!$C$98)-CROQUIS!$C$107)/MAX(CROQUIS!$C$130,1))+1)))-1,0),0,MOD($A63-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6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63-1)/5),MAX((MIN(80,MAX(1,INT(((CROQUIS!$C$97)-CROQUIS!$C$107)/MAX(CROQUIS!$C$138,1))+1)))-1,0))*CROQUIS!$C$138),CHOOSE(IF(INT(($A63-1)/5)&gt;MAX((MIN(80,MAX(1,INT(((CROQUIS!$C$97)-CROQUIS!$C$107)/MAX(CROQUIS!$C$138,1))+1)))-1,0),0,MOD($A63-1,5))+1,0,IF(CROQUIS!$C$105=1,-12,2),CROQUIS!$C$107/2+CROQUIS!$C$141,IF(CROQUIS!$C$105=1,-12,2),0)))*CROQUIS!$C$155)+IF(CROQUIS!$C$92="X",0,0)),-1000)</f>
        <v>-1000</v>
      </c>
      <c r="BQ63">
        <f>IF(AND(CROQUIS!$C$88=1,CROQUIS!$C$91=0,CROQUIS!$C$138&gt;0,OR(CROQUIS!$C$105=1,CROQUIS!$C$143=1)),((CROQUIS!$C$157+(IF(CROQUIS!$C$92="X",CHOOSE(IF(INT(($A63-1)/5)&gt;MAX((MIN(80,MAX(1,INT(((CROQUIS!$C$97)-CROQUIS!$C$107)/MAX(CROQUIS!$C$138,1))+1)))-1,0),0,MOD($A63-1,5))+1,0,IF(CROQUIS!$C$105=1,-12,2),CROQUIS!$C$107/2+CROQUIS!$C$141,IF(CROQUIS!$C$105=1,-12,2),0),((CROQUIS!$C$107/2+(((CROQUIS!$C$97)-CROQUIS!$C$107)-(MIN(80,MAX(1,INT(((CROQUIS!$C$97)-CROQUIS!$C$107)/MAX(CROQUIS!$C$138,1))+1))-1)*CROQUIS!$C$138)/2)+MIN(INT(($A63-1)/5),MAX((MIN(80,MAX(1,INT(((CROQUIS!$C$97)-CROQUIS!$C$107)/MAX(CROQUIS!$C$138,1))+1)))-1,0))*CROQUIS!$C$138)))*CROQUIS!$C$155)+IF(CROQUIS!$C$92="X",0,0)),-1000)</f>
        <v>-1000</v>
      </c>
      <c r="BR6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63-1)/5),MAX((MIN(80,MAX(1,INT(((CROQUIS!$C$97)-CROQUIS!$C$107)/MAX(CROQUIS!$C$138,1))+1)))-1,0))*CROQUIS!$C$138),CHOOSE(IF(INT(($A63-1)/5)&gt;MAX((MIN(80,MAX(1,INT(((CROQUIS!$C$97)-CROQUIS!$C$107)/MAX(CROQUIS!$C$138,1))+1)))-1,0),0,MOD($A63-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63">
        <f>IF(AND(CROQUIS!$C$88=1,CROQUIS!$C$91=0,CROQUIS!$C$138&gt;0,OR(CROQUIS!$C$106=1,CROQUIS!$C$143=1)),((CROQUIS!$C$157+(IF(CROQUIS!$C$92="X",CHOOSE(IF(INT(($A63-1)/5)&gt;MAX((MIN(80,MAX(1,INT(((CROQUIS!$C$97)-CROQUIS!$C$107)/MAX(CROQUIS!$C$138,1))+1)))-1,0),0,MOD($A63-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63-1)/5),MAX((MIN(80,MAX(1,INT(((CROQUIS!$C$97)-CROQUIS!$C$107)/MAX(CROQUIS!$C$138,1))+1)))-1,0))*CROQUIS!$C$138)))*CROQUIS!$C$155)+IF(CROQUIS!$C$92="X",0,0)),-1000)</f>
        <v>-1000</v>
      </c>
      <c r="BT63">
        <f>IF(AND(CROQUIS!$C$88=1,CROQUIS!$C$91=1,CROQUIS!$C$130&gt;0),((CROQUIS!$C$156+(IF(CROQUIS!$C$92="X",CHOOSE(IF(INT(($A63-1)/5)&gt;MAX((MIN(80,MAX(1,INT(((CROQUIS!$C$98)-CROQUIS!$C$107)/MAX(CROQUIS!$C$130,1))+1)))-1,0),0,MOD($A63-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63-1)/5),MAX((MIN(80,MAX(1,INT(((CROQUIS!$C$98)-CROQUIS!$C$107)/MAX(CROQUIS!$C$130,1))+1)))-1,0))*CROQUIS!$C$130)))*CROQUIS!$C$155)+IF(CROQUIS!$C$92="X",0,0)),-1000)</f>
        <v>-1000</v>
      </c>
      <c r="BU63">
        <f>IF(AND(CROQUIS!$C$88=1,CROQUIS!$C$91=1,CROQUIS!$C$130&gt;0),((CROQUIS!$C$157+(IF(CROQUIS!$C$92="X",((CROQUIS!$C$107/2+(((CROQUIS!$C$98)-CROQUIS!$C$107)-(MIN(80,MAX(1,INT(((CROQUIS!$C$98)-CROQUIS!$C$107)/MAX(CROQUIS!$C$130,1))+1))-1)*CROQUIS!$C$130)/2)+MIN(INT(($A63-1)/5),MAX((MIN(80,MAX(1,INT(((CROQUIS!$C$98)-CROQUIS!$C$107)/MAX(CROQUIS!$C$130,1))+1)))-1,0))*CROQUIS!$C$130),CHOOSE(IF(INT(($A63-1)/5)&gt;MAX((MIN(80,MAX(1,INT(((CROQUIS!$C$98)-CROQUIS!$C$107)/MAX(CROQUIS!$C$130,1))+1)))-1,0),0,MOD($A63-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64">
      <c r="A64" t="n">
        <v>57</v>
      </c>
      <c r="AF64">
        <f>IF(AND(CROQUIS!$C$87=1,CROQUIS!$C$158&gt;0,CROQUIS!$C$160&gt;0),(CROQUIS!$C$156+((CROQUIS!$C$159+INT(MIN(INT(($A64-1)/2),MAX((2*CROQUIS!$C$158)-1,0))/2)*CROQUIS!$C$113+MOD(MIN(INT(($A64-1)/2),MAX((2*CROQUIS!$C$158)-1,0)),2)*CROQUIS!$C$112))*CROQUIS!$C$155),-1000)</f>
        <v>85.2010845006778</v>
      </c>
      <c r="AG64">
        <f>IF(AND(CROQUIS!$C$87=1,CROQUIS!$C$158&gt;0,CROQUIS!$C$160&gt;0),(CROQUIS!$C$157+(IF(MOD(MIN(INT(($A64-1)/2),MAX((2*CROQUIS!$C$158)-1,0)),2)=0,IF(IF(INT(($A64-1)/2)&gt;MAX((2*CROQUIS!$C$158)-1,0),1,MOD($A64-1,2))=0,CROQUIS!$C$161,(CROQUIS!$C$161+CROQUIS!$C$160*CROQUIS!$C$113-CROQUIS!$C$111)),IF(IF(INT(($A64-1)/2)&gt;MAX((2*CROQUIS!$C$158)-1,0),1,MOD($A64-1,2))=0,(CROQUIS!$C$161+CROQUIS!$C$160*CROQUIS!$C$113-CROQUIS!$C$111),CROQUIS!$C$161)))*CROQUIS!$C$155),-1000)</f>
        <v>20.8088567555355</v>
      </c>
      <c r="AH64">
        <f>IF(AND(CROQUIS!$C$87=1,CROQUIS!$C$160&gt;0,CROQUIS!$C$158&gt;0),(CROQUIS!$C$156+(IF(MOD(MIN(INT(($A64-1)/2),MAX((2*CROQUIS!$C$160)-1,0)),2)=0,IF(IF(INT(($A64-1)/2)&gt;MAX((2*CROQUIS!$C$160)-1,0),1,MOD($A64-1,2))=0,CROQUIS!$C$159,(CROQUIS!$C$159+CROQUIS!$C$158*CROQUIS!$C$113-CROQUIS!$C$111)),IF(IF(INT(($A64-1)/2)&gt;MAX((2*CROQUIS!$C$160)-1,0),1,MOD($A64-1,2))=0,(CROQUIS!$C$159+CROQUIS!$C$158*CROQUIS!$C$113-CROQUIS!$C$111),CROQUIS!$C$159)))*CROQUIS!$C$155),-1000)</f>
        <v>14.7989154993222</v>
      </c>
      <c r="AI64">
        <f>IF(AND(CROQUIS!$C$87=1,CROQUIS!$C$160&gt;0,CROQUIS!$C$158&gt;0),(CROQUIS!$C$157+((CROQUIS!$C$161+INT(MIN(INT(($A64-1)/2),MAX((2*CROQUIS!$C$160)-1,0))/2)*CROQUIS!$C$113+MOD(MIN(INT(($A64-1)/2),MAX((2*CROQUIS!$C$160)-1,0)),2)*CROQUIS!$C$112))*CROQUIS!$C$155),-1000)</f>
        <v>79.1911432444645</v>
      </c>
      <c r="AJ64">
        <f>IF(AND(CROQUIS!$C$87=1,CROQUIS!$C$158&gt;=2),(CROQUIS!$C$156+((CROQUIS!$C$159+CROQUIS!$C$112+CROQUIS!$C$111/2+MIN(INT(($A64-1)/2),MAX((CROQUIS!$C$158-1)-1,0))*CROQUIS!$C$113))*CROQUIS!$C$155),-1000)</f>
        <v>74.0397650248531</v>
      </c>
      <c r="AK64">
        <f>IF(AND(CROQUIS!$C$87=1,CROQUIS!$C$158&gt;=2),(CROQUIS!$C$157+(IF(MOD(MIN(INT(($A64-1)/2),MAX((CROQUIS!$C$158-1)-1,0)),2)=0,IF(IF(INT(($A64-1)/2)&gt;MAX((CROQUIS!$C$158-1)-1,0),1,MOD($A64-1,2))=0,CROQUIS!$C$107/2,(CROQUIS!$C$96-CROQUIS!$C$107/2)),IF(IF(INT(($A64-1)/2)&gt;MAX((CROQUIS!$C$158-1)-1,0),1,MOD($A64-1,2))=0,(CROQUIS!$C$96-CROQUIS!$C$107/2),CROQUIS!$C$107/2)))*CROQUIS!$C$155),-1000)</f>
        <v>83.0546769091731</v>
      </c>
      <c r="AL64">
        <f>IF(AND(CROQUIS!$C$87=1,CROQUIS!$C$160&gt;=2),(CROQUIS!$C$156+(IF(MOD(MIN(INT(($A64-1)/2),MAX((CROQUIS!$C$160-1)-1,0)),2)=0,IF(IF(INT(($A64-1)/2)&gt;MAX((CROQUIS!$C$160-1)-1,0),1,MOD($A64-1,2))=0,CROQUIS!$C$107/2,(CROQUIS!$C$95-CROQUIS!$C$107/2)),IF(IF(INT(($A64-1)/2)&gt;MAX((CROQUIS!$C$160-1)-1,0),1,MOD($A64-1,2))=0,(CROQUIS!$C$95-CROQUIS!$C$107/2),CROQUIS!$C$107/2)))*CROQUIS!$C$155),-1000)</f>
        <v>13.2878445549028</v>
      </c>
      <c r="AM64">
        <f>IF(AND(CROQUIS!$C$87=1,CROQUIS!$C$160&gt;=2),(CROQUIS!$C$157+((CROQUIS!$C$161+CROQUIS!$C$112+CROQUIS!$C$111/2+MIN(INT(($A64-1)/2),MAX((CROQUIS!$C$160-1)-1,0))*CROQUIS!$C$113))*CROQUIS!$C$155),-1000)</f>
        <v>68.0298237686399</v>
      </c>
      <c r="BH64">
        <f>IF(AND(CROQUIS!$C$88=1,CROQUIS!$C$126&gt;0),((CROQUIS!$C$156+(IF(CROQUIS!$C$92="X",CHOOSE(IF(INT(($A64-1)/5)&gt;MAX((MIN(80,MAX(1,INT(((CROQUIS!$C$98)-CROQUIS!$C$107)/MAX(CROQUIS!$C$126,1))+1)))-1,0),0,MOD($A64-1,5))+1,0,2,CROQUIS!$C$97-2,2,0),((CROQUIS!$C$107/2+(((CROQUIS!$C$98)-CROQUIS!$C$107)-(MIN(80,MAX(1,INT(((CROQUIS!$C$98)-CROQUIS!$C$107)/MAX(CROQUIS!$C$126,1))+1))-1)*CROQUIS!$C$126)/2)+MIN(INT(($A64-1)/5),MAX((MIN(80,MAX(1,INT(((CROQUIS!$C$98)-CROQUIS!$C$107)/MAX(CROQUIS!$C$126,1))+1)))-1,0))*CROQUIS!$C$126)))*CROQUIS!$C$155)+IF(CROQUIS!$C$92="X",0,0)),-1000)</f>
        <v>-1000</v>
      </c>
      <c r="BI64">
        <f>IF(AND(CROQUIS!$C$88=1,CROQUIS!$C$126&gt;0),((CROQUIS!$C$157+(IF(CROQUIS!$C$92="X",((CROQUIS!$C$107/2+(((CROQUIS!$C$98)-CROQUIS!$C$107)-(MIN(80,MAX(1,INT(((CROQUIS!$C$98)-CROQUIS!$C$107)/MAX(CROQUIS!$C$126,1))+1))-1)*CROQUIS!$C$126)/2)+MIN(INT(($A64-1)/5),MAX((MIN(80,MAX(1,INT(((CROQUIS!$C$98)-CROQUIS!$C$107)/MAX(CROQUIS!$C$126,1))+1)))-1,0))*CROQUIS!$C$126),CHOOSE(IF(INT(($A64-1)/5)&gt;MAX((MIN(80,MAX(1,INT(((CROQUIS!$C$98)-CROQUIS!$C$107)/MAX(CROQUIS!$C$126,1))+1)))-1,0),0,MOD($A64-1,5))+1,0,2,CROQUIS!$C$97-2,2,0)))*CROQUIS!$C$155)+IF(CROQUIS!$C$92="X",0,0)),-1000)</f>
        <v>-1000</v>
      </c>
      <c r="BJ64">
        <f>IF(AND(CROQUIS!$C$88=1,CROQUIS!$C$134&gt;0),((CROQUIS!$C$156+(IF(CROQUIS!$C$92="X",((CROQUIS!$C$107/2+(((CROQUIS!$C$97)-CROQUIS!$C$107)-(MIN(80,MAX(1,INT(((CROQUIS!$C$97)-CROQUIS!$C$107)/MAX(CROQUIS!$C$134,1))+1))-1)*CROQUIS!$C$134)/2)+MIN(INT(($A64-1)/5),MAX((MIN(80,MAX(1,INT(((CROQUIS!$C$97)-CROQUIS!$C$107)/MAX(CROQUIS!$C$134,1))+1)))-1,0))*CROQUIS!$C$134),CHOOSE(IF(INT(($A64-1)/5)&gt;MAX((MIN(80,MAX(1,INT(((CROQUIS!$C$97)-CROQUIS!$C$107)/MAX(CROQUIS!$C$134,1))+1)))-1,0),0,MOD($A64-1,5))+1,0,2,CROQUIS!$C$98-2,2,0)))*CROQUIS!$C$155)+IF(CROQUIS!$C$92="X",0,0)),-1000)</f>
        <v>-1000</v>
      </c>
      <c r="BK64">
        <f>IF(AND(CROQUIS!$C$88=1,CROQUIS!$C$134&gt;0),((CROQUIS!$C$157+(IF(CROQUIS!$C$92="X",CHOOSE(IF(INT(($A64-1)/5)&gt;MAX((MIN(80,MAX(1,INT(((CROQUIS!$C$97)-CROQUIS!$C$107)/MAX(CROQUIS!$C$134,1))+1)))-1,0),0,MOD($A64-1,5))+1,0,2,CROQUIS!$C$98-2,2,0),((CROQUIS!$C$107/2+(((CROQUIS!$C$97)-CROQUIS!$C$107)-(MIN(80,MAX(1,INT(((CROQUIS!$C$97)-CROQUIS!$C$107)/MAX(CROQUIS!$C$134,1))+1))-1)*CROQUIS!$C$134)/2)+MIN(INT(($A64-1)/5),MAX((MIN(80,MAX(1,INT(((CROQUIS!$C$97)-CROQUIS!$C$107)/MAX(CROQUIS!$C$134,1))+1)))-1,0))*CROQUIS!$C$134)))*CROQUIS!$C$155)+IF(CROQUIS!$C$92="X",0,0)),-1000)</f>
        <v>-1000</v>
      </c>
      <c r="BL64">
        <f>IF(AND(CROQUIS!$C$88=1,CROQUIS!$C$91=0,CROQUIS!$C$130&gt;0,OR(CROQUIS!$C$103=1,CROQUIS!$C$142=1)),((CROQUIS!$C$156+(IF(CROQUIS!$C$92="X",CHOOSE(IF(INT(($A64-1)/5)&gt;MAX((MIN(80,MAX(1,INT(((CROQUIS!$C$98)-CROQUIS!$C$107)/MAX(CROQUIS!$C$130,1))+1)))-1,0),0,MOD($A64-1,5))+1,0,IF(CROQUIS!$C$103=1,-12,2),CROQUIS!$C$107/2+CROQUIS!$C$140,IF(CROQUIS!$C$103=1,-12,2),0),((CROQUIS!$C$107/2+(((CROQUIS!$C$98)-CROQUIS!$C$107)-(MIN(80,MAX(1,INT(((CROQUIS!$C$98)-CROQUIS!$C$107)/MAX(CROQUIS!$C$130,1))+1))-1)*CROQUIS!$C$130)/2)+MIN(INT(($A64-1)/5),MAX((MIN(80,MAX(1,INT(((CROQUIS!$C$98)-CROQUIS!$C$107)/MAX(CROQUIS!$C$130,1))+1)))-1,0))*CROQUIS!$C$130)))*CROQUIS!$C$155)+IF(CROQUIS!$C$92="X",0,0)),-1000)</f>
        <v>-1000</v>
      </c>
      <c r="BM6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64-1)/5),MAX((MIN(80,MAX(1,INT(((CROQUIS!$C$98)-CROQUIS!$C$107)/MAX(CROQUIS!$C$130,1))+1)))-1,0))*CROQUIS!$C$130),CHOOSE(IF(INT(($A64-1)/5)&gt;MAX((MIN(80,MAX(1,INT(((CROQUIS!$C$98)-CROQUIS!$C$107)/MAX(CROQUIS!$C$130,1))+1)))-1,0),0,MOD($A64-1,5))+1,0,IF(CROQUIS!$C$103=1,-12,2),CROQUIS!$C$107/2+CROQUIS!$C$140,IF(CROQUIS!$C$103=1,-12,2),0)))*CROQUIS!$C$155)+IF(CROQUIS!$C$92="X",0,0)),-1000)</f>
        <v>-1000</v>
      </c>
      <c r="BN64">
        <f>IF(AND(CROQUIS!$C$88=1,CROQUIS!$C$91=0,CROQUIS!$C$130&gt;0,OR(CROQUIS!$C$104=1,CROQUIS!$C$142=1)),((CROQUIS!$C$156+(IF(CROQUIS!$C$92="X",CHOOSE(IF(INT(($A64-1)/5)&gt;MAX((MIN(80,MAX(1,INT(((CROQUIS!$C$98)-CROQUIS!$C$107)/MAX(CROQUIS!$C$130,1))+1)))-1,0),0,MOD($A64-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64-1)/5),MAX((MIN(80,MAX(1,INT(((CROQUIS!$C$98)-CROQUIS!$C$107)/MAX(CROQUIS!$C$130,1))+1)))-1,0))*CROQUIS!$C$130)))*CROQUIS!$C$155)+IF(CROQUIS!$C$92="X",0,0)),-1000)</f>
        <v>-1000</v>
      </c>
      <c r="BO6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64-1)/5),MAX((MIN(80,MAX(1,INT(((CROQUIS!$C$98)-CROQUIS!$C$107)/MAX(CROQUIS!$C$130,1))+1)))-1,0))*CROQUIS!$C$130),CHOOSE(IF(INT(($A64-1)/5)&gt;MAX((MIN(80,MAX(1,INT(((CROQUIS!$C$98)-CROQUIS!$C$107)/MAX(CROQUIS!$C$130,1))+1)))-1,0),0,MOD($A64-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6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64-1)/5),MAX((MIN(80,MAX(1,INT(((CROQUIS!$C$97)-CROQUIS!$C$107)/MAX(CROQUIS!$C$138,1))+1)))-1,0))*CROQUIS!$C$138),CHOOSE(IF(INT(($A64-1)/5)&gt;MAX((MIN(80,MAX(1,INT(((CROQUIS!$C$97)-CROQUIS!$C$107)/MAX(CROQUIS!$C$138,1))+1)))-1,0),0,MOD($A64-1,5))+1,0,IF(CROQUIS!$C$105=1,-12,2),CROQUIS!$C$107/2+CROQUIS!$C$141,IF(CROQUIS!$C$105=1,-12,2),0)))*CROQUIS!$C$155)+IF(CROQUIS!$C$92="X",0,0)),-1000)</f>
        <v>-1000</v>
      </c>
      <c r="BQ64">
        <f>IF(AND(CROQUIS!$C$88=1,CROQUIS!$C$91=0,CROQUIS!$C$138&gt;0,OR(CROQUIS!$C$105=1,CROQUIS!$C$143=1)),((CROQUIS!$C$157+(IF(CROQUIS!$C$92="X",CHOOSE(IF(INT(($A64-1)/5)&gt;MAX((MIN(80,MAX(1,INT(((CROQUIS!$C$97)-CROQUIS!$C$107)/MAX(CROQUIS!$C$138,1))+1)))-1,0),0,MOD($A64-1,5))+1,0,IF(CROQUIS!$C$105=1,-12,2),CROQUIS!$C$107/2+CROQUIS!$C$141,IF(CROQUIS!$C$105=1,-12,2),0),((CROQUIS!$C$107/2+(((CROQUIS!$C$97)-CROQUIS!$C$107)-(MIN(80,MAX(1,INT(((CROQUIS!$C$97)-CROQUIS!$C$107)/MAX(CROQUIS!$C$138,1))+1))-1)*CROQUIS!$C$138)/2)+MIN(INT(($A64-1)/5),MAX((MIN(80,MAX(1,INT(((CROQUIS!$C$97)-CROQUIS!$C$107)/MAX(CROQUIS!$C$138,1))+1)))-1,0))*CROQUIS!$C$138)))*CROQUIS!$C$155)+IF(CROQUIS!$C$92="X",0,0)),-1000)</f>
        <v>-1000</v>
      </c>
      <c r="BR6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64-1)/5),MAX((MIN(80,MAX(1,INT(((CROQUIS!$C$97)-CROQUIS!$C$107)/MAX(CROQUIS!$C$138,1))+1)))-1,0))*CROQUIS!$C$138),CHOOSE(IF(INT(($A64-1)/5)&gt;MAX((MIN(80,MAX(1,INT(((CROQUIS!$C$97)-CROQUIS!$C$107)/MAX(CROQUIS!$C$138,1))+1)))-1,0),0,MOD($A64-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64">
        <f>IF(AND(CROQUIS!$C$88=1,CROQUIS!$C$91=0,CROQUIS!$C$138&gt;0,OR(CROQUIS!$C$106=1,CROQUIS!$C$143=1)),((CROQUIS!$C$157+(IF(CROQUIS!$C$92="X",CHOOSE(IF(INT(($A64-1)/5)&gt;MAX((MIN(80,MAX(1,INT(((CROQUIS!$C$97)-CROQUIS!$C$107)/MAX(CROQUIS!$C$138,1))+1)))-1,0),0,MOD($A64-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64-1)/5),MAX((MIN(80,MAX(1,INT(((CROQUIS!$C$97)-CROQUIS!$C$107)/MAX(CROQUIS!$C$138,1))+1)))-1,0))*CROQUIS!$C$138)))*CROQUIS!$C$155)+IF(CROQUIS!$C$92="X",0,0)),-1000)</f>
        <v>-1000</v>
      </c>
      <c r="BT64">
        <f>IF(AND(CROQUIS!$C$88=1,CROQUIS!$C$91=1,CROQUIS!$C$130&gt;0),((CROQUIS!$C$156+(IF(CROQUIS!$C$92="X",CHOOSE(IF(INT(($A64-1)/5)&gt;MAX((MIN(80,MAX(1,INT(((CROQUIS!$C$98)-CROQUIS!$C$107)/MAX(CROQUIS!$C$130,1))+1)))-1,0),0,MOD($A64-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64-1)/5),MAX((MIN(80,MAX(1,INT(((CROQUIS!$C$98)-CROQUIS!$C$107)/MAX(CROQUIS!$C$130,1))+1)))-1,0))*CROQUIS!$C$130)))*CROQUIS!$C$155)+IF(CROQUIS!$C$92="X",0,0)),-1000)</f>
        <v>-1000</v>
      </c>
      <c r="BU64">
        <f>IF(AND(CROQUIS!$C$88=1,CROQUIS!$C$91=1,CROQUIS!$C$130&gt;0),((CROQUIS!$C$157+(IF(CROQUIS!$C$92="X",((CROQUIS!$C$107/2+(((CROQUIS!$C$98)-CROQUIS!$C$107)-(MIN(80,MAX(1,INT(((CROQUIS!$C$98)-CROQUIS!$C$107)/MAX(CROQUIS!$C$130,1))+1))-1)*CROQUIS!$C$130)/2)+MIN(INT(($A64-1)/5),MAX((MIN(80,MAX(1,INT(((CROQUIS!$C$98)-CROQUIS!$C$107)/MAX(CROQUIS!$C$130,1))+1)))-1,0))*CROQUIS!$C$130),CHOOSE(IF(INT(($A64-1)/5)&gt;MAX((MIN(80,MAX(1,INT(((CROQUIS!$C$98)-CROQUIS!$C$107)/MAX(CROQUIS!$C$130,1))+1)))-1,0),0,MOD($A64-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65">
      <c r="A65" t="n">
        <v>58</v>
      </c>
      <c r="AF65">
        <f>IF(AND(CROQUIS!$C$87=1,CROQUIS!$C$158&gt;0,CROQUIS!$C$160&gt;0),(CROQUIS!$C$156+((CROQUIS!$C$159+INT(MIN(INT(($A65-1)/2),MAX((2*CROQUIS!$C$158)-1,0))/2)*CROQUIS!$C$113+MOD(MIN(INT(($A65-1)/2),MAX((2*CROQUIS!$C$158)-1,0)),2)*CROQUIS!$C$112))*CROQUIS!$C$155),-1000)</f>
        <v>85.2010845006778</v>
      </c>
      <c r="AG65">
        <f>IF(AND(CROQUIS!$C$87=1,CROQUIS!$C$158&gt;0,CROQUIS!$C$160&gt;0),(CROQUIS!$C$157+(IF(MOD(MIN(INT(($A65-1)/2),MAX((2*CROQUIS!$C$158)-1,0)),2)=0,IF(IF(INT(($A65-1)/2)&gt;MAX((2*CROQUIS!$C$158)-1,0),1,MOD($A65-1,2))=0,CROQUIS!$C$161,(CROQUIS!$C$161+CROQUIS!$C$160*CROQUIS!$C$113-CROQUIS!$C$111)),IF(IF(INT(($A65-1)/2)&gt;MAX((2*CROQUIS!$C$158)-1,0),1,MOD($A65-1,2))=0,(CROQUIS!$C$161+CROQUIS!$C$160*CROQUIS!$C$113-CROQUIS!$C$111),CROQUIS!$C$161)))*CROQUIS!$C$155),-1000)</f>
        <v>20.8088567555355</v>
      </c>
      <c r="AH65">
        <f>IF(AND(CROQUIS!$C$87=1,CROQUIS!$C$160&gt;0,CROQUIS!$C$158&gt;0),(CROQUIS!$C$156+(IF(MOD(MIN(INT(($A65-1)/2),MAX((2*CROQUIS!$C$160)-1,0)),2)=0,IF(IF(INT(($A65-1)/2)&gt;MAX((2*CROQUIS!$C$160)-1,0),1,MOD($A65-1,2))=0,CROQUIS!$C$159,(CROQUIS!$C$159+CROQUIS!$C$158*CROQUIS!$C$113-CROQUIS!$C$111)),IF(IF(INT(($A65-1)/2)&gt;MAX((2*CROQUIS!$C$160)-1,0),1,MOD($A65-1,2))=0,(CROQUIS!$C$159+CROQUIS!$C$158*CROQUIS!$C$113-CROQUIS!$C$111),CROQUIS!$C$159)))*CROQUIS!$C$155),-1000)</f>
        <v>14.7989154993222</v>
      </c>
      <c r="AI65">
        <f>IF(AND(CROQUIS!$C$87=1,CROQUIS!$C$160&gt;0,CROQUIS!$C$158&gt;0),(CROQUIS!$C$157+((CROQUIS!$C$161+INT(MIN(INT(($A65-1)/2),MAX((2*CROQUIS!$C$160)-1,0))/2)*CROQUIS!$C$113+MOD(MIN(INT(($A65-1)/2),MAX((2*CROQUIS!$C$160)-1,0)),2)*CROQUIS!$C$112))*CROQUIS!$C$155),-1000)</f>
        <v>79.1911432444645</v>
      </c>
      <c r="AJ65">
        <f>IF(AND(CROQUIS!$C$87=1,CROQUIS!$C$158&gt;=2),(CROQUIS!$C$156+((CROQUIS!$C$159+CROQUIS!$C$112+CROQUIS!$C$111/2+MIN(INT(($A65-1)/2),MAX((CROQUIS!$C$158-1)-1,0))*CROQUIS!$C$113))*CROQUIS!$C$155),-1000)</f>
        <v>74.0397650248531</v>
      </c>
      <c r="AK65">
        <f>IF(AND(CROQUIS!$C$87=1,CROQUIS!$C$158&gt;=2),(CROQUIS!$C$157+(IF(MOD(MIN(INT(($A65-1)/2),MAX((CROQUIS!$C$158-1)-1,0)),2)=0,IF(IF(INT(($A65-1)/2)&gt;MAX((CROQUIS!$C$158-1)-1,0),1,MOD($A65-1,2))=0,CROQUIS!$C$107/2,(CROQUIS!$C$96-CROQUIS!$C$107/2)),IF(IF(INT(($A65-1)/2)&gt;MAX((CROQUIS!$C$158-1)-1,0),1,MOD($A65-1,2))=0,(CROQUIS!$C$96-CROQUIS!$C$107/2),CROQUIS!$C$107/2)))*CROQUIS!$C$155),-1000)</f>
        <v>83.0546769091731</v>
      </c>
      <c r="AL65">
        <f>IF(AND(CROQUIS!$C$87=1,CROQUIS!$C$160&gt;=2),(CROQUIS!$C$156+(IF(MOD(MIN(INT(($A65-1)/2),MAX((CROQUIS!$C$160-1)-1,0)),2)=0,IF(IF(INT(($A65-1)/2)&gt;MAX((CROQUIS!$C$160-1)-1,0),1,MOD($A65-1,2))=0,CROQUIS!$C$107/2,(CROQUIS!$C$95-CROQUIS!$C$107/2)),IF(IF(INT(($A65-1)/2)&gt;MAX((CROQUIS!$C$160-1)-1,0),1,MOD($A65-1,2))=0,(CROQUIS!$C$95-CROQUIS!$C$107/2),CROQUIS!$C$107/2)))*CROQUIS!$C$155),-1000)</f>
        <v>13.2878445549028</v>
      </c>
      <c r="AM65">
        <f>IF(AND(CROQUIS!$C$87=1,CROQUIS!$C$160&gt;=2),(CROQUIS!$C$157+((CROQUIS!$C$161+CROQUIS!$C$112+CROQUIS!$C$111/2+MIN(INT(($A65-1)/2),MAX((CROQUIS!$C$160-1)-1,0))*CROQUIS!$C$113))*CROQUIS!$C$155),-1000)</f>
        <v>68.0298237686399</v>
      </c>
      <c r="BH65">
        <f>IF(AND(CROQUIS!$C$88=1,CROQUIS!$C$126&gt;0),((CROQUIS!$C$156+(IF(CROQUIS!$C$92="X",CHOOSE(IF(INT(($A65-1)/5)&gt;MAX((MIN(80,MAX(1,INT(((CROQUIS!$C$98)-CROQUIS!$C$107)/MAX(CROQUIS!$C$126,1))+1)))-1,0),0,MOD($A65-1,5))+1,0,2,CROQUIS!$C$97-2,2,0),((CROQUIS!$C$107/2+(((CROQUIS!$C$98)-CROQUIS!$C$107)-(MIN(80,MAX(1,INT(((CROQUIS!$C$98)-CROQUIS!$C$107)/MAX(CROQUIS!$C$126,1))+1))-1)*CROQUIS!$C$126)/2)+MIN(INT(($A65-1)/5),MAX((MIN(80,MAX(1,INT(((CROQUIS!$C$98)-CROQUIS!$C$107)/MAX(CROQUIS!$C$126,1))+1)))-1,0))*CROQUIS!$C$126)))*CROQUIS!$C$155)+IF(CROQUIS!$C$92="X",0,0)),-1000)</f>
        <v>-1000</v>
      </c>
      <c r="BI65">
        <f>IF(AND(CROQUIS!$C$88=1,CROQUIS!$C$126&gt;0),((CROQUIS!$C$157+(IF(CROQUIS!$C$92="X",((CROQUIS!$C$107/2+(((CROQUIS!$C$98)-CROQUIS!$C$107)-(MIN(80,MAX(1,INT(((CROQUIS!$C$98)-CROQUIS!$C$107)/MAX(CROQUIS!$C$126,1))+1))-1)*CROQUIS!$C$126)/2)+MIN(INT(($A65-1)/5),MAX((MIN(80,MAX(1,INT(((CROQUIS!$C$98)-CROQUIS!$C$107)/MAX(CROQUIS!$C$126,1))+1)))-1,0))*CROQUIS!$C$126),CHOOSE(IF(INT(($A65-1)/5)&gt;MAX((MIN(80,MAX(1,INT(((CROQUIS!$C$98)-CROQUIS!$C$107)/MAX(CROQUIS!$C$126,1))+1)))-1,0),0,MOD($A65-1,5))+1,0,2,CROQUIS!$C$97-2,2,0)))*CROQUIS!$C$155)+IF(CROQUIS!$C$92="X",0,0)),-1000)</f>
        <v>-1000</v>
      </c>
      <c r="BJ65">
        <f>IF(AND(CROQUIS!$C$88=1,CROQUIS!$C$134&gt;0),((CROQUIS!$C$156+(IF(CROQUIS!$C$92="X",((CROQUIS!$C$107/2+(((CROQUIS!$C$97)-CROQUIS!$C$107)-(MIN(80,MAX(1,INT(((CROQUIS!$C$97)-CROQUIS!$C$107)/MAX(CROQUIS!$C$134,1))+1))-1)*CROQUIS!$C$134)/2)+MIN(INT(($A65-1)/5),MAX((MIN(80,MAX(1,INT(((CROQUIS!$C$97)-CROQUIS!$C$107)/MAX(CROQUIS!$C$134,1))+1)))-1,0))*CROQUIS!$C$134),CHOOSE(IF(INT(($A65-1)/5)&gt;MAX((MIN(80,MAX(1,INT(((CROQUIS!$C$97)-CROQUIS!$C$107)/MAX(CROQUIS!$C$134,1))+1)))-1,0),0,MOD($A65-1,5))+1,0,2,CROQUIS!$C$98-2,2,0)))*CROQUIS!$C$155)+IF(CROQUIS!$C$92="X",0,0)),-1000)</f>
        <v>-1000</v>
      </c>
      <c r="BK65">
        <f>IF(AND(CROQUIS!$C$88=1,CROQUIS!$C$134&gt;0),((CROQUIS!$C$157+(IF(CROQUIS!$C$92="X",CHOOSE(IF(INT(($A65-1)/5)&gt;MAX((MIN(80,MAX(1,INT(((CROQUIS!$C$97)-CROQUIS!$C$107)/MAX(CROQUIS!$C$134,1))+1)))-1,0),0,MOD($A65-1,5))+1,0,2,CROQUIS!$C$98-2,2,0),((CROQUIS!$C$107/2+(((CROQUIS!$C$97)-CROQUIS!$C$107)-(MIN(80,MAX(1,INT(((CROQUIS!$C$97)-CROQUIS!$C$107)/MAX(CROQUIS!$C$134,1))+1))-1)*CROQUIS!$C$134)/2)+MIN(INT(($A65-1)/5),MAX((MIN(80,MAX(1,INT(((CROQUIS!$C$97)-CROQUIS!$C$107)/MAX(CROQUIS!$C$134,1))+1)))-1,0))*CROQUIS!$C$134)))*CROQUIS!$C$155)+IF(CROQUIS!$C$92="X",0,0)),-1000)</f>
        <v>-1000</v>
      </c>
      <c r="BL65">
        <f>IF(AND(CROQUIS!$C$88=1,CROQUIS!$C$91=0,CROQUIS!$C$130&gt;0,OR(CROQUIS!$C$103=1,CROQUIS!$C$142=1)),((CROQUIS!$C$156+(IF(CROQUIS!$C$92="X",CHOOSE(IF(INT(($A65-1)/5)&gt;MAX((MIN(80,MAX(1,INT(((CROQUIS!$C$98)-CROQUIS!$C$107)/MAX(CROQUIS!$C$130,1))+1)))-1,0),0,MOD($A65-1,5))+1,0,IF(CROQUIS!$C$103=1,-12,2),CROQUIS!$C$107/2+CROQUIS!$C$140,IF(CROQUIS!$C$103=1,-12,2),0),((CROQUIS!$C$107/2+(((CROQUIS!$C$98)-CROQUIS!$C$107)-(MIN(80,MAX(1,INT(((CROQUIS!$C$98)-CROQUIS!$C$107)/MAX(CROQUIS!$C$130,1))+1))-1)*CROQUIS!$C$130)/2)+MIN(INT(($A65-1)/5),MAX((MIN(80,MAX(1,INT(((CROQUIS!$C$98)-CROQUIS!$C$107)/MAX(CROQUIS!$C$130,1))+1)))-1,0))*CROQUIS!$C$130)))*CROQUIS!$C$155)+IF(CROQUIS!$C$92="X",0,0)),-1000)</f>
        <v>-1000</v>
      </c>
      <c r="BM6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65-1)/5),MAX((MIN(80,MAX(1,INT(((CROQUIS!$C$98)-CROQUIS!$C$107)/MAX(CROQUIS!$C$130,1))+1)))-1,0))*CROQUIS!$C$130),CHOOSE(IF(INT(($A65-1)/5)&gt;MAX((MIN(80,MAX(1,INT(((CROQUIS!$C$98)-CROQUIS!$C$107)/MAX(CROQUIS!$C$130,1))+1)))-1,0),0,MOD($A65-1,5))+1,0,IF(CROQUIS!$C$103=1,-12,2),CROQUIS!$C$107/2+CROQUIS!$C$140,IF(CROQUIS!$C$103=1,-12,2),0)))*CROQUIS!$C$155)+IF(CROQUIS!$C$92="X",0,0)),-1000)</f>
        <v>-1000</v>
      </c>
      <c r="BN65">
        <f>IF(AND(CROQUIS!$C$88=1,CROQUIS!$C$91=0,CROQUIS!$C$130&gt;0,OR(CROQUIS!$C$104=1,CROQUIS!$C$142=1)),((CROQUIS!$C$156+(IF(CROQUIS!$C$92="X",CHOOSE(IF(INT(($A65-1)/5)&gt;MAX((MIN(80,MAX(1,INT(((CROQUIS!$C$98)-CROQUIS!$C$107)/MAX(CROQUIS!$C$130,1))+1)))-1,0),0,MOD($A65-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65-1)/5),MAX((MIN(80,MAX(1,INT(((CROQUIS!$C$98)-CROQUIS!$C$107)/MAX(CROQUIS!$C$130,1))+1)))-1,0))*CROQUIS!$C$130)))*CROQUIS!$C$155)+IF(CROQUIS!$C$92="X",0,0)),-1000)</f>
        <v>-1000</v>
      </c>
      <c r="BO6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65-1)/5),MAX((MIN(80,MAX(1,INT(((CROQUIS!$C$98)-CROQUIS!$C$107)/MAX(CROQUIS!$C$130,1))+1)))-1,0))*CROQUIS!$C$130),CHOOSE(IF(INT(($A65-1)/5)&gt;MAX((MIN(80,MAX(1,INT(((CROQUIS!$C$98)-CROQUIS!$C$107)/MAX(CROQUIS!$C$130,1))+1)))-1,0),0,MOD($A65-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6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65-1)/5),MAX((MIN(80,MAX(1,INT(((CROQUIS!$C$97)-CROQUIS!$C$107)/MAX(CROQUIS!$C$138,1))+1)))-1,0))*CROQUIS!$C$138),CHOOSE(IF(INT(($A65-1)/5)&gt;MAX((MIN(80,MAX(1,INT(((CROQUIS!$C$97)-CROQUIS!$C$107)/MAX(CROQUIS!$C$138,1))+1)))-1,0),0,MOD($A65-1,5))+1,0,IF(CROQUIS!$C$105=1,-12,2),CROQUIS!$C$107/2+CROQUIS!$C$141,IF(CROQUIS!$C$105=1,-12,2),0)))*CROQUIS!$C$155)+IF(CROQUIS!$C$92="X",0,0)),-1000)</f>
        <v>-1000</v>
      </c>
      <c r="BQ65">
        <f>IF(AND(CROQUIS!$C$88=1,CROQUIS!$C$91=0,CROQUIS!$C$138&gt;0,OR(CROQUIS!$C$105=1,CROQUIS!$C$143=1)),((CROQUIS!$C$157+(IF(CROQUIS!$C$92="X",CHOOSE(IF(INT(($A65-1)/5)&gt;MAX((MIN(80,MAX(1,INT(((CROQUIS!$C$97)-CROQUIS!$C$107)/MAX(CROQUIS!$C$138,1))+1)))-1,0),0,MOD($A65-1,5))+1,0,IF(CROQUIS!$C$105=1,-12,2),CROQUIS!$C$107/2+CROQUIS!$C$141,IF(CROQUIS!$C$105=1,-12,2),0),((CROQUIS!$C$107/2+(((CROQUIS!$C$97)-CROQUIS!$C$107)-(MIN(80,MAX(1,INT(((CROQUIS!$C$97)-CROQUIS!$C$107)/MAX(CROQUIS!$C$138,1))+1))-1)*CROQUIS!$C$138)/2)+MIN(INT(($A65-1)/5),MAX((MIN(80,MAX(1,INT(((CROQUIS!$C$97)-CROQUIS!$C$107)/MAX(CROQUIS!$C$138,1))+1)))-1,0))*CROQUIS!$C$138)))*CROQUIS!$C$155)+IF(CROQUIS!$C$92="X",0,0)),-1000)</f>
        <v>-1000</v>
      </c>
      <c r="BR6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65-1)/5),MAX((MIN(80,MAX(1,INT(((CROQUIS!$C$97)-CROQUIS!$C$107)/MAX(CROQUIS!$C$138,1))+1)))-1,0))*CROQUIS!$C$138),CHOOSE(IF(INT(($A65-1)/5)&gt;MAX((MIN(80,MAX(1,INT(((CROQUIS!$C$97)-CROQUIS!$C$107)/MAX(CROQUIS!$C$138,1))+1)))-1,0),0,MOD($A65-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65">
        <f>IF(AND(CROQUIS!$C$88=1,CROQUIS!$C$91=0,CROQUIS!$C$138&gt;0,OR(CROQUIS!$C$106=1,CROQUIS!$C$143=1)),((CROQUIS!$C$157+(IF(CROQUIS!$C$92="X",CHOOSE(IF(INT(($A65-1)/5)&gt;MAX((MIN(80,MAX(1,INT(((CROQUIS!$C$97)-CROQUIS!$C$107)/MAX(CROQUIS!$C$138,1))+1)))-1,0),0,MOD($A65-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65-1)/5),MAX((MIN(80,MAX(1,INT(((CROQUIS!$C$97)-CROQUIS!$C$107)/MAX(CROQUIS!$C$138,1))+1)))-1,0))*CROQUIS!$C$138)))*CROQUIS!$C$155)+IF(CROQUIS!$C$92="X",0,0)),-1000)</f>
        <v>-1000</v>
      </c>
      <c r="BT65">
        <f>IF(AND(CROQUIS!$C$88=1,CROQUIS!$C$91=1,CROQUIS!$C$130&gt;0),((CROQUIS!$C$156+(IF(CROQUIS!$C$92="X",CHOOSE(IF(INT(($A65-1)/5)&gt;MAX((MIN(80,MAX(1,INT(((CROQUIS!$C$98)-CROQUIS!$C$107)/MAX(CROQUIS!$C$130,1))+1)))-1,0),0,MOD($A65-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65-1)/5),MAX((MIN(80,MAX(1,INT(((CROQUIS!$C$98)-CROQUIS!$C$107)/MAX(CROQUIS!$C$130,1))+1)))-1,0))*CROQUIS!$C$130)))*CROQUIS!$C$155)+IF(CROQUIS!$C$92="X",0,0)),-1000)</f>
        <v>-1000</v>
      </c>
      <c r="BU65">
        <f>IF(AND(CROQUIS!$C$88=1,CROQUIS!$C$91=1,CROQUIS!$C$130&gt;0),((CROQUIS!$C$157+(IF(CROQUIS!$C$92="X",((CROQUIS!$C$107/2+(((CROQUIS!$C$98)-CROQUIS!$C$107)-(MIN(80,MAX(1,INT(((CROQUIS!$C$98)-CROQUIS!$C$107)/MAX(CROQUIS!$C$130,1))+1))-1)*CROQUIS!$C$130)/2)+MIN(INT(($A65-1)/5),MAX((MIN(80,MAX(1,INT(((CROQUIS!$C$98)-CROQUIS!$C$107)/MAX(CROQUIS!$C$130,1))+1)))-1,0))*CROQUIS!$C$130),CHOOSE(IF(INT(($A65-1)/5)&gt;MAX((MIN(80,MAX(1,INT(((CROQUIS!$C$98)-CROQUIS!$C$107)/MAX(CROQUIS!$C$130,1))+1)))-1,0),0,MOD($A65-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66">
      <c r="A66" t="n">
        <v>59</v>
      </c>
      <c r="AF66">
        <f>IF(AND(CROQUIS!$C$87=1,CROQUIS!$C$158&gt;0,CROQUIS!$C$160&gt;0),(CROQUIS!$C$156+((CROQUIS!$C$159+INT(MIN(INT(($A66-1)/2),MAX((2*CROQUIS!$C$158)-1,0))/2)*CROQUIS!$C$113+MOD(MIN(INT(($A66-1)/2),MAX((2*CROQUIS!$C$158)-1,0)),2)*CROQUIS!$C$112))*CROQUIS!$C$155),-1000)</f>
        <v>85.2010845006778</v>
      </c>
      <c r="AG66">
        <f>IF(AND(CROQUIS!$C$87=1,CROQUIS!$C$158&gt;0,CROQUIS!$C$160&gt;0),(CROQUIS!$C$157+(IF(MOD(MIN(INT(($A66-1)/2),MAX((2*CROQUIS!$C$158)-1,0)),2)=0,IF(IF(INT(($A66-1)/2)&gt;MAX((2*CROQUIS!$C$158)-1,0),1,MOD($A66-1,2))=0,CROQUIS!$C$161,(CROQUIS!$C$161+CROQUIS!$C$160*CROQUIS!$C$113-CROQUIS!$C$111)),IF(IF(INT(($A66-1)/2)&gt;MAX((2*CROQUIS!$C$158)-1,0),1,MOD($A66-1,2))=0,(CROQUIS!$C$161+CROQUIS!$C$160*CROQUIS!$C$113-CROQUIS!$C$111),CROQUIS!$C$161)))*CROQUIS!$C$155),-1000)</f>
        <v>20.8088567555355</v>
      </c>
      <c r="AH66">
        <f>IF(AND(CROQUIS!$C$87=1,CROQUIS!$C$160&gt;0,CROQUIS!$C$158&gt;0),(CROQUIS!$C$156+(IF(MOD(MIN(INT(($A66-1)/2),MAX((2*CROQUIS!$C$160)-1,0)),2)=0,IF(IF(INT(($A66-1)/2)&gt;MAX((2*CROQUIS!$C$160)-1,0),1,MOD($A66-1,2))=0,CROQUIS!$C$159,(CROQUIS!$C$159+CROQUIS!$C$158*CROQUIS!$C$113-CROQUIS!$C$111)),IF(IF(INT(($A66-1)/2)&gt;MAX((2*CROQUIS!$C$160)-1,0),1,MOD($A66-1,2))=0,(CROQUIS!$C$159+CROQUIS!$C$158*CROQUIS!$C$113-CROQUIS!$C$111),CROQUIS!$C$159)))*CROQUIS!$C$155),-1000)</f>
        <v>14.7989154993222</v>
      </c>
      <c r="AI66">
        <f>IF(AND(CROQUIS!$C$87=1,CROQUIS!$C$160&gt;0,CROQUIS!$C$158&gt;0),(CROQUIS!$C$157+((CROQUIS!$C$161+INT(MIN(INT(($A66-1)/2),MAX((2*CROQUIS!$C$160)-1,0))/2)*CROQUIS!$C$113+MOD(MIN(INT(($A66-1)/2),MAX((2*CROQUIS!$C$160)-1,0)),2)*CROQUIS!$C$112))*CROQUIS!$C$155),-1000)</f>
        <v>79.1911432444645</v>
      </c>
      <c r="AJ66">
        <f>IF(AND(CROQUIS!$C$87=1,CROQUIS!$C$158&gt;=2),(CROQUIS!$C$156+((CROQUIS!$C$159+CROQUIS!$C$112+CROQUIS!$C$111/2+MIN(INT(($A66-1)/2),MAX((CROQUIS!$C$158-1)-1,0))*CROQUIS!$C$113))*CROQUIS!$C$155),-1000)</f>
        <v>74.0397650248531</v>
      </c>
      <c r="AK66">
        <f>IF(AND(CROQUIS!$C$87=1,CROQUIS!$C$158&gt;=2),(CROQUIS!$C$157+(IF(MOD(MIN(INT(($A66-1)/2),MAX((CROQUIS!$C$158-1)-1,0)),2)=0,IF(IF(INT(($A66-1)/2)&gt;MAX((CROQUIS!$C$158-1)-1,0),1,MOD($A66-1,2))=0,CROQUIS!$C$107/2,(CROQUIS!$C$96-CROQUIS!$C$107/2)),IF(IF(INT(($A66-1)/2)&gt;MAX((CROQUIS!$C$158-1)-1,0),1,MOD($A66-1,2))=0,(CROQUIS!$C$96-CROQUIS!$C$107/2),CROQUIS!$C$107/2)))*CROQUIS!$C$155),-1000)</f>
        <v>83.0546769091731</v>
      </c>
      <c r="AL66">
        <f>IF(AND(CROQUIS!$C$87=1,CROQUIS!$C$160&gt;=2),(CROQUIS!$C$156+(IF(MOD(MIN(INT(($A66-1)/2),MAX((CROQUIS!$C$160-1)-1,0)),2)=0,IF(IF(INT(($A66-1)/2)&gt;MAX((CROQUIS!$C$160-1)-1,0),1,MOD($A66-1,2))=0,CROQUIS!$C$107/2,(CROQUIS!$C$95-CROQUIS!$C$107/2)),IF(IF(INT(($A66-1)/2)&gt;MAX((CROQUIS!$C$160-1)-1,0),1,MOD($A66-1,2))=0,(CROQUIS!$C$95-CROQUIS!$C$107/2),CROQUIS!$C$107/2)))*CROQUIS!$C$155),-1000)</f>
        <v>13.2878445549028</v>
      </c>
      <c r="AM66">
        <f>IF(AND(CROQUIS!$C$87=1,CROQUIS!$C$160&gt;=2),(CROQUIS!$C$157+((CROQUIS!$C$161+CROQUIS!$C$112+CROQUIS!$C$111/2+MIN(INT(($A66-1)/2),MAX((CROQUIS!$C$160-1)-1,0))*CROQUIS!$C$113))*CROQUIS!$C$155),-1000)</f>
        <v>68.0298237686399</v>
      </c>
      <c r="BH66">
        <f>IF(AND(CROQUIS!$C$88=1,CROQUIS!$C$126&gt;0),((CROQUIS!$C$156+(IF(CROQUIS!$C$92="X",CHOOSE(IF(INT(($A66-1)/5)&gt;MAX((MIN(80,MAX(1,INT(((CROQUIS!$C$98)-CROQUIS!$C$107)/MAX(CROQUIS!$C$126,1))+1)))-1,0),0,MOD($A66-1,5))+1,0,2,CROQUIS!$C$97-2,2,0),((CROQUIS!$C$107/2+(((CROQUIS!$C$98)-CROQUIS!$C$107)-(MIN(80,MAX(1,INT(((CROQUIS!$C$98)-CROQUIS!$C$107)/MAX(CROQUIS!$C$126,1))+1))-1)*CROQUIS!$C$126)/2)+MIN(INT(($A66-1)/5),MAX((MIN(80,MAX(1,INT(((CROQUIS!$C$98)-CROQUIS!$C$107)/MAX(CROQUIS!$C$126,1))+1)))-1,0))*CROQUIS!$C$126)))*CROQUIS!$C$155)+IF(CROQUIS!$C$92="X",0,0)),-1000)</f>
        <v>-1000</v>
      </c>
      <c r="BI66">
        <f>IF(AND(CROQUIS!$C$88=1,CROQUIS!$C$126&gt;0),((CROQUIS!$C$157+(IF(CROQUIS!$C$92="X",((CROQUIS!$C$107/2+(((CROQUIS!$C$98)-CROQUIS!$C$107)-(MIN(80,MAX(1,INT(((CROQUIS!$C$98)-CROQUIS!$C$107)/MAX(CROQUIS!$C$126,1))+1))-1)*CROQUIS!$C$126)/2)+MIN(INT(($A66-1)/5),MAX((MIN(80,MAX(1,INT(((CROQUIS!$C$98)-CROQUIS!$C$107)/MAX(CROQUIS!$C$126,1))+1)))-1,0))*CROQUIS!$C$126),CHOOSE(IF(INT(($A66-1)/5)&gt;MAX((MIN(80,MAX(1,INT(((CROQUIS!$C$98)-CROQUIS!$C$107)/MAX(CROQUIS!$C$126,1))+1)))-1,0),0,MOD($A66-1,5))+1,0,2,CROQUIS!$C$97-2,2,0)))*CROQUIS!$C$155)+IF(CROQUIS!$C$92="X",0,0)),-1000)</f>
        <v>-1000</v>
      </c>
      <c r="BJ66">
        <f>IF(AND(CROQUIS!$C$88=1,CROQUIS!$C$134&gt;0),((CROQUIS!$C$156+(IF(CROQUIS!$C$92="X",((CROQUIS!$C$107/2+(((CROQUIS!$C$97)-CROQUIS!$C$107)-(MIN(80,MAX(1,INT(((CROQUIS!$C$97)-CROQUIS!$C$107)/MAX(CROQUIS!$C$134,1))+1))-1)*CROQUIS!$C$134)/2)+MIN(INT(($A66-1)/5),MAX((MIN(80,MAX(1,INT(((CROQUIS!$C$97)-CROQUIS!$C$107)/MAX(CROQUIS!$C$134,1))+1)))-1,0))*CROQUIS!$C$134),CHOOSE(IF(INT(($A66-1)/5)&gt;MAX((MIN(80,MAX(1,INT(((CROQUIS!$C$97)-CROQUIS!$C$107)/MAX(CROQUIS!$C$134,1))+1)))-1,0),0,MOD($A66-1,5))+1,0,2,CROQUIS!$C$98-2,2,0)))*CROQUIS!$C$155)+IF(CROQUIS!$C$92="X",0,0)),-1000)</f>
        <v>-1000</v>
      </c>
      <c r="BK66">
        <f>IF(AND(CROQUIS!$C$88=1,CROQUIS!$C$134&gt;0),((CROQUIS!$C$157+(IF(CROQUIS!$C$92="X",CHOOSE(IF(INT(($A66-1)/5)&gt;MAX((MIN(80,MAX(1,INT(((CROQUIS!$C$97)-CROQUIS!$C$107)/MAX(CROQUIS!$C$134,1))+1)))-1,0),0,MOD($A66-1,5))+1,0,2,CROQUIS!$C$98-2,2,0),((CROQUIS!$C$107/2+(((CROQUIS!$C$97)-CROQUIS!$C$107)-(MIN(80,MAX(1,INT(((CROQUIS!$C$97)-CROQUIS!$C$107)/MAX(CROQUIS!$C$134,1))+1))-1)*CROQUIS!$C$134)/2)+MIN(INT(($A66-1)/5),MAX((MIN(80,MAX(1,INT(((CROQUIS!$C$97)-CROQUIS!$C$107)/MAX(CROQUIS!$C$134,1))+1)))-1,0))*CROQUIS!$C$134)))*CROQUIS!$C$155)+IF(CROQUIS!$C$92="X",0,0)),-1000)</f>
        <v>-1000</v>
      </c>
      <c r="BL66">
        <f>IF(AND(CROQUIS!$C$88=1,CROQUIS!$C$91=0,CROQUIS!$C$130&gt;0,OR(CROQUIS!$C$103=1,CROQUIS!$C$142=1)),((CROQUIS!$C$156+(IF(CROQUIS!$C$92="X",CHOOSE(IF(INT(($A66-1)/5)&gt;MAX((MIN(80,MAX(1,INT(((CROQUIS!$C$98)-CROQUIS!$C$107)/MAX(CROQUIS!$C$130,1))+1)))-1,0),0,MOD($A66-1,5))+1,0,IF(CROQUIS!$C$103=1,-12,2),CROQUIS!$C$107/2+CROQUIS!$C$140,IF(CROQUIS!$C$103=1,-12,2),0),((CROQUIS!$C$107/2+(((CROQUIS!$C$98)-CROQUIS!$C$107)-(MIN(80,MAX(1,INT(((CROQUIS!$C$98)-CROQUIS!$C$107)/MAX(CROQUIS!$C$130,1))+1))-1)*CROQUIS!$C$130)/2)+MIN(INT(($A66-1)/5),MAX((MIN(80,MAX(1,INT(((CROQUIS!$C$98)-CROQUIS!$C$107)/MAX(CROQUIS!$C$130,1))+1)))-1,0))*CROQUIS!$C$130)))*CROQUIS!$C$155)+IF(CROQUIS!$C$92="X",0,0)),-1000)</f>
        <v>-1000</v>
      </c>
      <c r="BM6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66-1)/5),MAX((MIN(80,MAX(1,INT(((CROQUIS!$C$98)-CROQUIS!$C$107)/MAX(CROQUIS!$C$130,1))+1)))-1,0))*CROQUIS!$C$130),CHOOSE(IF(INT(($A66-1)/5)&gt;MAX((MIN(80,MAX(1,INT(((CROQUIS!$C$98)-CROQUIS!$C$107)/MAX(CROQUIS!$C$130,1))+1)))-1,0),0,MOD($A66-1,5))+1,0,IF(CROQUIS!$C$103=1,-12,2),CROQUIS!$C$107/2+CROQUIS!$C$140,IF(CROQUIS!$C$103=1,-12,2),0)))*CROQUIS!$C$155)+IF(CROQUIS!$C$92="X",0,0)),-1000)</f>
        <v>-1000</v>
      </c>
      <c r="BN66">
        <f>IF(AND(CROQUIS!$C$88=1,CROQUIS!$C$91=0,CROQUIS!$C$130&gt;0,OR(CROQUIS!$C$104=1,CROQUIS!$C$142=1)),((CROQUIS!$C$156+(IF(CROQUIS!$C$92="X",CHOOSE(IF(INT(($A66-1)/5)&gt;MAX((MIN(80,MAX(1,INT(((CROQUIS!$C$98)-CROQUIS!$C$107)/MAX(CROQUIS!$C$130,1))+1)))-1,0),0,MOD($A66-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66-1)/5),MAX((MIN(80,MAX(1,INT(((CROQUIS!$C$98)-CROQUIS!$C$107)/MAX(CROQUIS!$C$130,1))+1)))-1,0))*CROQUIS!$C$130)))*CROQUIS!$C$155)+IF(CROQUIS!$C$92="X",0,0)),-1000)</f>
        <v>-1000</v>
      </c>
      <c r="BO6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66-1)/5),MAX((MIN(80,MAX(1,INT(((CROQUIS!$C$98)-CROQUIS!$C$107)/MAX(CROQUIS!$C$130,1))+1)))-1,0))*CROQUIS!$C$130),CHOOSE(IF(INT(($A66-1)/5)&gt;MAX((MIN(80,MAX(1,INT(((CROQUIS!$C$98)-CROQUIS!$C$107)/MAX(CROQUIS!$C$130,1))+1)))-1,0),0,MOD($A66-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6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66-1)/5),MAX((MIN(80,MAX(1,INT(((CROQUIS!$C$97)-CROQUIS!$C$107)/MAX(CROQUIS!$C$138,1))+1)))-1,0))*CROQUIS!$C$138),CHOOSE(IF(INT(($A66-1)/5)&gt;MAX((MIN(80,MAX(1,INT(((CROQUIS!$C$97)-CROQUIS!$C$107)/MAX(CROQUIS!$C$138,1))+1)))-1,0),0,MOD($A66-1,5))+1,0,IF(CROQUIS!$C$105=1,-12,2),CROQUIS!$C$107/2+CROQUIS!$C$141,IF(CROQUIS!$C$105=1,-12,2),0)))*CROQUIS!$C$155)+IF(CROQUIS!$C$92="X",0,0)),-1000)</f>
        <v>-1000</v>
      </c>
      <c r="BQ66">
        <f>IF(AND(CROQUIS!$C$88=1,CROQUIS!$C$91=0,CROQUIS!$C$138&gt;0,OR(CROQUIS!$C$105=1,CROQUIS!$C$143=1)),((CROQUIS!$C$157+(IF(CROQUIS!$C$92="X",CHOOSE(IF(INT(($A66-1)/5)&gt;MAX((MIN(80,MAX(1,INT(((CROQUIS!$C$97)-CROQUIS!$C$107)/MAX(CROQUIS!$C$138,1))+1)))-1,0),0,MOD($A66-1,5))+1,0,IF(CROQUIS!$C$105=1,-12,2),CROQUIS!$C$107/2+CROQUIS!$C$141,IF(CROQUIS!$C$105=1,-12,2),0),((CROQUIS!$C$107/2+(((CROQUIS!$C$97)-CROQUIS!$C$107)-(MIN(80,MAX(1,INT(((CROQUIS!$C$97)-CROQUIS!$C$107)/MAX(CROQUIS!$C$138,1))+1))-1)*CROQUIS!$C$138)/2)+MIN(INT(($A66-1)/5),MAX((MIN(80,MAX(1,INT(((CROQUIS!$C$97)-CROQUIS!$C$107)/MAX(CROQUIS!$C$138,1))+1)))-1,0))*CROQUIS!$C$138)))*CROQUIS!$C$155)+IF(CROQUIS!$C$92="X",0,0)),-1000)</f>
        <v>-1000</v>
      </c>
      <c r="BR6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66-1)/5),MAX((MIN(80,MAX(1,INT(((CROQUIS!$C$97)-CROQUIS!$C$107)/MAX(CROQUIS!$C$138,1))+1)))-1,0))*CROQUIS!$C$138),CHOOSE(IF(INT(($A66-1)/5)&gt;MAX((MIN(80,MAX(1,INT(((CROQUIS!$C$97)-CROQUIS!$C$107)/MAX(CROQUIS!$C$138,1))+1)))-1,0),0,MOD($A66-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66">
        <f>IF(AND(CROQUIS!$C$88=1,CROQUIS!$C$91=0,CROQUIS!$C$138&gt;0,OR(CROQUIS!$C$106=1,CROQUIS!$C$143=1)),((CROQUIS!$C$157+(IF(CROQUIS!$C$92="X",CHOOSE(IF(INT(($A66-1)/5)&gt;MAX((MIN(80,MAX(1,INT(((CROQUIS!$C$97)-CROQUIS!$C$107)/MAX(CROQUIS!$C$138,1))+1)))-1,0),0,MOD($A66-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66-1)/5),MAX((MIN(80,MAX(1,INT(((CROQUIS!$C$97)-CROQUIS!$C$107)/MAX(CROQUIS!$C$138,1))+1)))-1,0))*CROQUIS!$C$138)))*CROQUIS!$C$155)+IF(CROQUIS!$C$92="X",0,0)),-1000)</f>
        <v>-1000</v>
      </c>
      <c r="BT66">
        <f>IF(AND(CROQUIS!$C$88=1,CROQUIS!$C$91=1,CROQUIS!$C$130&gt;0),((CROQUIS!$C$156+(IF(CROQUIS!$C$92="X",CHOOSE(IF(INT(($A66-1)/5)&gt;MAX((MIN(80,MAX(1,INT(((CROQUIS!$C$98)-CROQUIS!$C$107)/MAX(CROQUIS!$C$130,1))+1)))-1,0),0,MOD($A66-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66-1)/5),MAX((MIN(80,MAX(1,INT(((CROQUIS!$C$98)-CROQUIS!$C$107)/MAX(CROQUIS!$C$130,1))+1)))-1,0))*CROQUIS!$C$130)))*CROQUIS!$C$155)+IF(CROQUIS!$C$92="X",0,0)),-1000)</f>
        <v>-1000</v>
      </c>
      <c r="BU66">
        <f>IF(AND(CROQUIS!$C$88=1,CROQUIS!$C$91=1,CROQUIS!$C$130&gt;0),((CROQUIS!$C$157+(IF(CROQUIS!$C$92="X",((CROQUIS!$C$107/2+(((CROQUIS!$C$98)-CROQUIS!$C$107)-(MIN(80,MAX(1,INT(((CROQUIS!$C$98)-CROQUIS!$C$107)/MAX(CROQUIS!$C$130,1))+1))-1)*CROQUIS!$C$130)/2)+MIN(INT(($A66-1)/5),MAX((MIN(80,MAX(1,INT(((CROQUIS!$C$98)-CROQUIS!$C$107)/MAX(CROQUIS!$C$130,1))+1)))-1,0))*CROQUIS!$C$130),CHOOSE(IF(INT(($A66-1)/5)&gt;MAX((MIN(80,MAX(1,INT(((CROQUIS!$C$98)-CROQUIS!$C$107)/MAX(CROQUIS!$C$130,1))+1)))-1,0),0,MOD($A66-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67">
      <c r="A67" t="n">
        <v>60</v>
      </c>
      <c r="AF67">
        <f>IF(AND(CROQUIS!$C$87=1,CROQUIS!$C$158&gt;0,CROQUIS!$C$160&gt;0),(CROQUIS!$C$156+((CROQUIS!$C$159+INT(MIN(INT(($A67-1)/2),MAX((2*CROQUIS!$C$158)-1,0))/2)*CROQUIS!$C$113+MOD(MIN(INT(($A67-1)/2),MAX((2*CROQUIS!$C$158)-1,0)),2)*CROQUIS!$C$112))*CROQUIS!$C$155),-1000)</f>
        <v>85.2010845006778</v>
      </c>
      <c r="AG67">
        <f>IF(AND(CROQUIS!$C$87=1,CROQUIS!$C$158&gt;0,CROQUIS!$C$160&gt;0),(CROQUIS!$C$157+(IF(MOD(MIN(INT(($A67-1)/2),MAX((2*CROQUIS!$C$158)-1,0)),2)=0,IF(IF(INT(($A67-1)/2)&gt;MAX((2*CROQUIS!$C$158)-1,0),1,MOD($A67-1,2))=0,CROQUIS!$C$161,(CROQUIS!$C$161+CROQUIS!$C$160*CROQUIS!$C$113-CROQUIS!$C$111)),IF(IF(INT(($A67-1)/2)&gt;MAX((2*CROQUIS!$C$158)-1,0),1,MOD($A67-1,2))=0,(CROQUIS!$C$161+CROQUIS!$C$160*CROQUIS!$C$113-CROQUIS!$C$111),CROQUIS!$C$161)))*CROQUIS!$C$155),-1000)</f>
        <v>20.8088567555355</v>
      </c>
      <c r="AH67">
        <f>IF(AND(CROQUIS!$C$87=1,CROQUIS!$C$160&gt;0,CROQUIS!$C$158&gt;0),(CROQUIS!$C$156+(IF(MOD(MIN(INT(($A67-1)/2),MAX((2*CROQUIS!$C$160)-1,0)),2)=0,IF(IF(INT(($A67-1)/2)&gt;MAX((2*CROQUIS!$C$160)-1,0),1,MOD($A67-1,2))=0,CROQUIS!$C$159,(CROQUIS!$C$159+CROQUIS!$C$158*CROQUIS!$C$113-CROQUIS!$C$111)),IF(IF(INT(($A67-1)/2)&gt;MAX((2*CROQUIS!$C$160)-1,0),1,MOD($A67-1,2))=0,(CROQUIS!$C$159+CROQUIS!$C$158*CROQUIS!$C$113-CROQUIS!$C$111),CROQUIS!$C$159)))*CROQUIS!$C$155),-1000)</f>
        <v>14.7989154993222</v>
      </c>
      <c r="AI67">
        <f>IF(AND(CROQUIS!$C$87=1,CROQUIS!$C$160&gt;0,CROQUIS!$C$158&gt;0),(CROQUIS!$C$157+((CROQUIS!$C$161+INT(MIN(INT(($A67-1)/2),MAX((2*CROQUIS!$C$160)-1,0))/2)*CROQUIS!$C$113+MOD(MIN(INT(($A67-1)/2),MAX((2*CROQUIS!$C$160)-1,0)),2)*CROQUIS!$C$112))*CROQUIS!$C$155),-1000)</f>
        <v>79.1911432444645</v>
      </c>
      <c r="AJ67">
        <f>IF(AND(CROQUIS!$C$87=1,CROQUIS!$C$158&gt;=2),(CROQUIS!$C$156+((CROQUIS!$C$159+CROQUIS!$C$112+CROQUIS!$C$111/2+MIN(INT(($A67-1)/2),MAX((CROQUIS!$C$158-1)-1,0))*CROQUIS!$C$113))*CROQUIS!$C$155),-1000)</f>
        <v>74.0397650248531</v>
      </c>
      <c r="AK67">
        <f>IF(AND(CROQUIS!$C$87=1,CROQUIS!$C$158&gt;=2),(CROQUIS!$C$157+(IF(MOD(MIN(INT(($A67-1)/2),MAX((CROQUIS!$C$158-1)-1,0)),2)=0,IF(IF(INT(($A67-1)/2)&gt;MAX((CROQUIS!$C$158-1)-1,0),1,MOD($A67-1,2))=0,CROQUIS!$C$107/2,(CROQUIS!$C$96-CROQUIS!$C$107/2)),IF(IF(INT(($A67-1)/2)&gt;MAX((CROQUIS!$C$158-1)-1,0),1,MOD($A67-1,2))=0,(CROQUIS!$C$96-CROQUIS!$C$107/2),CROQUIS!$C$107/2)))*CROQUIS!$C$155),-1000)</f>
        <v>83.0546769091731</v>
      </c>
      <c r="AL67">
        <f>IF(AND(CROQUIS!$C$87=1,CROQUIS!$C$160&gt;=2),(CROQUIS!$C$156+(IF(MOD(MIN(INT(($A67-1)/2),MAX((CROQUIS!$C$160-1)-1,0)),2)=0,IF(IF(INT(($A67-1)/2)&gt;MAX((CROQUIS!$C$160-1)-1,0),1,MOD($A67-1,2))=0,CROQUIS!$C$107/2,(CROQUIS!$C$95-CROQUIS!$C$107/2)),IF(IF(INT(($A67-1)/2)&gt;MAX((CROQUIS!$C$160-1)-1,0),1,MOD($A67-1,2))=0,(CROQUIS!$C$95-CROQUIS!$C$107/2),CROQUIS!$C$107/2)))*CROQUIS!$C$155),-1000)</f>
        <v>13.2878445549028</v>
      </c>
      <c r="AM67">
        <f>IF(AND(CROQUIS!$C$87=1,CROQUIS!$C$160&gt;=2),(CROQUIS!$C$157+((CROQUIS!$C$161+CROQUIS!$C$112+CROQUIS!$C$111/2+MIN(INT(($A67-1)/2),MAX((CROQUIS!$C$160-1)-1,0))*CROQUIS!$C$113))*CROQUIS!$C$155),-1000)</f>
        <v>68.0298237686399</v>
      </c>
      <c r="BH67">
        <f>IF(AND(CROQUIS!$C$88=1,CROQUIS!$C$126&gt;0),((CROQUIS!$C$156+(IF(CROQUIS!$C$92="X",CHOOSE(IF(INT(($A67-1)/5)&gt;MAX((MIN(80,MAX(1,INT(((CROQUIS!$C$98)-CROQUIS!$C$107)/MAX(CROQUIS!$C$126,1))+1)))-1,0),0,MOD($A67-1,5))+1,0,2,CROQUIS!$C$97-2,2,0),((CROQUIS!$C$107/2+(((CROQUIS!$C$98)-CROQUIS!$C$107)-(MIN(80,MAX(1,INT(((CROQUIS!$C$98)-CROQUIS!$C$107)/MAX(CROQUIS!$C$126,1))+1))-1)*CROQUIS!$C$126)/2)+MIN(INT(($A67-1)/5),MAX((MIN(80,MAX(1,INT(((CROQUIS!$C$98)-CROQUIS!$C$107)/MAX(CROQUIS!$C$126,1))+1)))-1,0))*CROQUIS!$C$126)))*CROQUIS!$C$155)+IF(CROQUIS!$C$92="X",0,0)),-1000)</f>
        <v>-1000</v>
      </c>
      <c r="BI67">
        <f>IF(AND(CROQUIS!$C$88=1,CROQUIS!$C$126&gt;0),((CROQUIS!$C$157+(IF(CROQUIS!$C$92="X",((CROQUIS!$C$107/2+(((CROQUIS!$C$98)-CROQUIS!$C$107)-(MIN(80,MAX(1,INT(((CROQUIS!$C$98)-CROQUIS!$C$107)/MAX(CROQUIS!$C$126,1))+1))-1)*CROQUIS!$C$126)/2)+MIN(INT(($A67-1)/5),MAX((MIN(80,MAX(1,INT(((CROQUIS!$C$98)-CROQUIS!$C$107)/MAX(CROQUIS!$C$126,1))+1)))-1,0))*CROQUIS!$C$126),CHOOSE(IF(INT(($A67-1)/5)&gt;MAX((MIN(80,MAX(1,INT(((CROQUIS!$C$98)-CROQUIS!$C$107)/MAX(CROQUIS!$C$126,1))+1)))-1,0),0,MOD($A67-1,5))+1,0,2,CROQUIS!$C$97-2,2,0)))*CROQUIS!$C$155)+IF(CROQUIS!$C$92="X",0,0)),-1000)</f>
        <v>-1000</v>
      </c>
      <c r="BJ67">
        <f>IF(AND(CROQUIS!$C$88=1,CROQUIS!$C$134&gt;0),((CROQUIS!$C$156+(IF(CROQUIS!$C$92="X",((CROQUIS!$C$107/2+(((CROQUIS!$C$97)-CROQUIS!$C$107)-(MIN(80,MAX(1,INT(((CROQUIS!$C$97)-CROQUIS!$C$107)/MAX(CROQUIS!$C$134,1))+1))-1)*CROQUIS!$C$134)/2)+MIN(INT(($A67-1)/5),MAX((MIN(80,MAX(1,INT(((CROQUIS!$C$97)-CROQUIS!$C$107)/MAX(CROQUIS!$C$134,1))+1)))-1,0))*CROQUIS!$C$134),CHOOSE(IF(INT(($A67-1)/5)&gt;MAX((MIN(80,MAX(1,INT(((CROQUIS!$C$97)-CROQUIS!$C$107)/MAX(CROQUIS!$C$134,1))+1)))-1,0),0,MOD($A67-1,5))+1,0,2,CROQUIS!$C$98-2,2,0)))*CROQUIS!$C$155)+IF(CROQUIS!$C$92="X",0,0)),-1000)</f>
        <v>-1000</v>
      </c>
      <c r="BK67">
        <f>IF(AND(CROQUIS!$C$88=1,CROQUIS!$C$134&gt;0),((CROQUIS!$C$157+(IF(CROQUIS!$C$92="X",CHOOSE(IF(INT(($A67-1)/5)&gt;MAX((MIN(80,MAX(1,INT(((CROQUIS!$C$97)-CROQUIS!$C$107)/MAX(CROQUIS!$C$134,1))+1)))-1,0),0,MOD($A67-1,5))+1,0,2,CROQUIS!$C$98-2,2,0),((CROQUIS!$C$107/2+(((CROQUIS!$C$97)-CROQUIS!$C$107)-(MIN(80,MAX(1,INT(((CROQUIS!$C$97)-CROQUIS!$C$107)/MAX(CROQUIS!$C$134,1))+1))-1)*CROQUIS!$C$134)/2)+MIN(INT(($A67-1)/5),MAX((MIN(80,MAX(1,INT(((CROQUIS!$C$97)-CROQUIS!$C$107)/MAX(CROQUIS!$C$134,1))+1)))-1,0))*CROQUIS!$C$134)))*CROQUIS!$C$155)+IF(CROQUIS!$C$92="X",0,0)),-1000)</f>
        <v>-1000</v>
      </c>
      <c r="BL67">
        <f>IF(AND(CROQUIS!$C$88=1,CROQUIS!$C$91=0,CROQUIS!$C$130&gt;0,OR(CROQUIS!$C$103=1,CROQUIS!$C$142=1)),((CROQUIS!$C$156+(IF(CROQUIS!$C$92="X",CHOOSE(IF(INT(($A67-1)/5)&gt;MAX((MIN(80,MAX(1,INT(((CROQUIS!$C$98)-CROQUIS!$C$107)/MAX(CROQUIS!$C$130,1))+1)))-1,0),0,MOD($A67-1,5))+1,0,IF(CROQUIS!$C$103=1,-12,2),CROQUIS!$C$107/2+CROQUIS!$C$140,IF(CROQUIS!$C$103=1,-12,2),0),((CROQUIS!$C$107/2+(((CROQUIS!$C$98)-CROQUIS!$C$107)-(MIN(80,MAX(1,INT(((CROQUIS!$C$98)-CROQUIS!$C$107)/MAX(CROQUIS!$C$130,1))+1))-1)*CROQUIS!$C$130)/2)+MIN(INT(($A67-1)/5),MAX((MIN(80,MAX(1,INT(((CROQUIS!$C$98)-CROQUIS!$C$107)/MAX(CROQUIS!$C$130,1))+1)))-1,0))*CROQUIS!$C$130)))*CROQUIS!$C$155)+IF(CROQUIS!$C$92="X",0,0)),-1000)</f>
        <v>-1000</v>
      </c>
      <c r="BM6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67-1)/5),MAX((MIN(80,MAX(1,INT(((CROQUIS!$C$98)-CROQUIS!$C$107)/MAX(CROQUIS!$C$130,1))+1)))-1,0))*CROQUIS!$C$130),CHOOSE(IF(INT(($A67-1)/5)&gt;MAX((MIN(80,MAX(1,INT(((CROQUIS!$C$98)-CROQUIS!$C$107)/MAX(CROQUIS!$C$130,1))+1)))-1,0),0,MOD($A67-1,5))+1,0,IF(CROQUIS!$C$103=1,-12,2),CROQUIS!$C$107/2+CROQUIS!$C$140,IF(CROQUIS!$C$103=1,-12,2),0)))*CROQUIS!$C$155)+IF(CROQUIS!$C$92="X",0,0)),-1000)</f>
        <v>-1000</v>
      </c>
      <c r="BN67">
        <f>IF(AND(CROQUIS!$C$88=1,CROQUIS!$C$91=0,CROQUIS!$C$130&gt;0,OR(CROQUIS!$C$104=1,CROQUIS!$C$142=1)),((CROQUIS!$C$156+(IF(CROQUIS!$C$92="X",CHOOSE(IF(INT(($A67-1)/5)&gt;MAX((MIN(80,MAX(1,INT(((CROQUIS!$C$98)-CROQUIS!$C$107)/MAX(CROQUIS!$C$130,1))+1)))-1,0),0,MOD($A67-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67-1)/5),MAX((MIN(80,MAX(1,INT(((CROQUIS!$C$98)-CROQUIS!$C$107)/MAX(CROQUIS!$C$130,1))+1)))-1,0))*CROQUIS!$C$130)))*CROQUIS!$C$155)+IF(CROQUIS!$C$92="X",0,0)),-1000)</f>
        <v>-1000</v>
      </c>
      <c r="BO6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67-1)/5),MAX((MIN(80,MAX(1,INT(((CROQUIS!$C$98)-CROQUIS!$C$107)/MAX(CROQUIS!$C$130,1))+1)))-1,0))*CROQUIS!$C$130),CHOOSE(IF(INT(($A67-1)/5)&gt;MAX((MIN(80,MAX(1,INT(((CROQUIS!$C$98)-CROQUIS!$C$107)/MAX(CROQUIS!$C$130,1))+1)))-1,0),0,MOD($A67-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6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67-1)/5),MAX((MIN(80,MAX(1,INT(((CROQUIS!$C$97)-CROQUIS!$C$107)/MAX(CROQUIS!$C$138,1))+1)))-1,0))*CROQUIS!$C$138),CHOOSE(IF(INT(($A67-1)/5)&gt;MAX((MIN(80,MAX(1,INT(((CROQUIS!$C$97)-CROQUIS!$C$107)/MAX(CROQUIS!$C$138,1))+1)))-1,0),0,MOD($A67-1,5))+1,0,IF(CROQUIS!$C$105=1,-12,2),CROQUIS!$C$107/2+CROQUIS!$C$141,IF(CROQUIS!$C$105=1,-12,2),0)))*CROQUIS!$C$155)+IF(CROQUIS!$C$92="X",0,0)),-1000)</f>
        <v>-1000</v>
      </c>
      <c r="BQ67">
        <f>IF(AND(CROQUIS!$C$88=1,CROQUIS!$C$91=0,CROQUIS!$C$138&gt;0,OR(CROQUIS!$C$105=1,CROQUIS!$C$143=1)),((CROQUIS!$C$157+(IF(CROQUIS!$C$92="X",CHOOSE(IF(INT(($A67-1)/5)&gt;MAX((MIN(80,MAX(1,INT(((CROQUIS!$C$97)-CROQUIS!$C$107)/MAX(CROQUIS!$C$138,1))+1)))-1,0),0,MOD($A67-1,5))+1,0,IF(CROQUIS!$C$105=1,-12,2),CROQUIS!$C$107/2+CROQUIS!$C$141,IF(CROQUIS!$C$105=1,-12,2),0),((CROQUIS!$C$107/2+(((CROQUIS!$C$97)-CROQUIS!$C$107)-(MIN(80,MAX(1,INT(((CROQUIS!$C$97)-CROQUIS!$C$107)/MAX(CROQUIS!$C$138,1))+1))-1)*CROQUIS!$C$138)/2)+MIN(INT(($A67-1)/5),MAX((MIN(80,MAX(1,INT(((CROQUIS!$C$97)-CROQUIS!$C$107)/MAX(CROQUIS!$C$138,1))+1)))-1,0))*CROQUIS!$C$138)))*CROQUIS!$C$155)+IF(CROQUIS!$C$92="X",0,0)),-1000)</f>
        <v>-1000</v>
      </c>
      <c r="BR6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67-1)/5),MAX((MIN(80,MAX(1,INT(((CROQUIS!$C$97)-CROQUIS!$C$107)/MAX(CROQUIS!$C$138,1))+1)))-1,0))*CROQUIS!$C$138),CHOOSE(IF(INT(($A67-1)/5)&gt;MAX((MIN(80,MAX(1,INT(((CROQUIS!$C$97)-CROQUIS!$C$107)/MAX(CROQUIS!$C$138,1))+1)))-1,0),0,MOD($A67-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67">
        <f>IF(AND(CROQUIS!$C$88=1,CROQUIS!$C$91=0,CROQUIS!$C$138&gt;0,OR(CROQUIS!$C$106=1,CROQUIS!$C$143=1)),((CROQUIS!$C$157+(IF(CROQUIS!$C$92="X",CHOOSE(IF(INT(($A67-1)/5)&gt;MAX((MIN(80,MAX(1,INT(((CROQUIS!$C$97)-CROQUIS!$C$107)/MAX(CROQUIS!$C$138,1))+1)))-1,0),0,MOD($A67-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67-1)/5),MAX((MIN(80,MAX(1,INT(((CROQUIS!$C$97)-CROQUIS!$C$107)/MAX(CROQUIS!$C$138,1))+1)))-1,0))*CROQUIS!$C$138)))*CROQUIS!$C$155)+IF(CROQUIS!$C$92="X",0,0)),-1000)</f>
        <v>-1000</v>
      </c>
      <c r="BT67">
        <f>IF(AND(CROQUIS!$C$88=1,CROQUIS!$C$91=1,CROQUIS!$C$130&gt;0),((CROQUIS!$C$156+(IF(CROQUIS!$C$92="X",CHOOSE(IF(INT(($A67-1)/5)&gt;MAX((MIN(80,MAX(1,INT(((CROQUIS!$C$98)-CROQUIS!$C$107)/MAX(CROQUIS!$C$130,1))+1)))-1,0),0,MOD($A67-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67-1)/5),MAX((MIN(80,MAX(1,INT(((CROQUIS!$C$98)-CROQUIS!$C$107)/MAX(CROQUIS!$C$130,1))+1)))-1,0))*CROQUIS!$C$130)))*CROQUIS!$C$155)+IF(CROQUIS!$C$92="X",0,0)),-1000)</f>
        <v>-1000</v>
      </c>
      <c r="BU67">
        <f>IF(AND(CROQUIS!$C$88=1,CROQUIS!$C$91=1,CROQUIS!$C$130&gt;0),((CROQUIS!$C$157+(IF(CROQUIS!$C$92="X",((CROQUIS!$C$107/2+(((CROQUIS!$C$98)-CROQUIS!$C$107)-(MIN(80,MAX(1,INT(((CROQUIS!$C$98)-CROQUIS!$C$107)/MAX(CROQUIS!$C$130,1))+1))-1)*CROQUIS!$C$130)/2)+MIN(INT(($A67-1)/5),MAX((MIN(80,MAX(1,INT(((CROQUIS!$C$98)-CROQUIS!$C$107)/MAX(CROQUIS!$C$130,1))+1)))-1,0))*CROQUIS!$C$130),CHOOSE(IF(INT(($A67-1)/5)&gt;MAX((MIN(80,MAX(1,INT(((CROQUIS!$C$98)-CROQUIS!$C$107)/MAX(CROQUIS!$C$130,1))+1)))-1,0),0,MOD($A67-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68">
      <c r="A68" t="n">
        <v>61</v>
      </c>
      <c r="AF68">
        <f>IF(AND(CROQUIS!$C$87=1,CROQUIS!$C$158&gt;0,CROQUIS!$C$160&gt;0),(CROQUIS!$C$156+((CROQUIS!$C$159+INT(MIN(INT(($A68-1)/2),MAX((2*CROQUIS!$C$158)-1,0))/2)*CROQUIS!$C$113+MOD(MIN(INT(($A68-1)/2),MAX((2*CROQUIS!$C$158)-1,0)),2)*CROQUIS!$C$112))*CROQUIS!$C$155),-1000)</f>
        <v>85.2010845006778</v>
      </c>
      <c r="AG68">
        <f>IF(AND(CROQUIS!$C$87=1,CROQUIS!$C$158&gt;0,CROQUIS!$C$160&gt;0),(CROQUIS!$C$157+(IF(MOD(MIN(INT(($A68-1)/2),MAX((2*CROQUIS!$C$158)-1,0)),2)=0,IF(IF(INT(($A68-1)/2)&gt;MAX((2*CROQUIS!$C$158)-1,0),1,MOD($A68-1,2))=0,CROQUIS!$C$161,(CROQUIS!$C$161+CROQUIS!$C$160*CROQUIS!$C$113-CROQUIS!$C$111)),IF(IF(INT(($A68-1)/2)&gt;MAX((2*CROQUIS!$C$158)-1,0),1,MOD($A68-1,2))=0,(CROQUIS!$C$161+CROQUIS!$C$160*CROQUIS!$C$113-CROQUIS!$C$111),CROQUIS!$C$161)))*CROQUIS!$C$155),-1000)</f>
        <v>20.8088567555355</v>
      </c>
      <c r="AH68">
        <f>IF(AND(CROQUIS!$C$87=1,CROQUIS!$C$160&gt;0,CROQUIS!$C$158&gt;0),(CROQUIS!$C$156+(IF(MOD(MIN(INT(($A68-1)/2),MAX((2*CROQUIS!$C$160)-1,0)),2)=0,IF(IF(INT(($A68-1)/2)&gt;MAX((2*CROQUIS!$C$160)-1,0),1,MOD($A68-1,2))=0,CROQUIS!$C$159,(CROQUIS!$C$159+CROQUIS!$C$158*CROQUIS!$C$113-CROQUIS!$C$111)),IF(IF(INT(($A68-1)/2)&gt;MAX((2*CROQUIS!$C$160)-1,0),1,MOD($A68-1,2))=0,(CROQUIS!$C$159+CROQUIS!$C$158*CROQUIS!$C$113-CROQUIS!$C$111),CROQUIS!$C$159)))*CROQUIS!$C$155),-1000)</f>
        <v>14.7989154993222</v>
      </c>
      <c r="AI68">
        <f>IF(AND(CROQUIS!$C$87=1,CROQUIS!$C$160&gt;0,CROQUIS!$C$158&gt;0),(CROQUIS!$C$157+((CROQUIS!$C$161+INT(MIN(INT(($A68-1)/2),MAX((2*CROQUIS!$C$160)-1,0))/2)*CROQUIS!$C$113+MOD(MIN(INT(($A68-1)/2),MAX((2*CROQUIS!$C$160)-1,0)),2)*CROQUIS!$C$112))*CROQUIS!$C$155),-1000)</f>
        <v>79.1911432444645</v>
      </c>
      <c r="BH68">
        <f>IF(AND(CROQUIS!$C$88=1,CROQUIS!$C$126&gt;0),((CROQUIS!$C$156+(IF(CROQUIS!$C$92="X",CHOOSE(IF(INT(($A68-1)/5)&gt;MAX((MIN(80,MAX(1,INT(((CROQUIS!$C$98)-CROQUIS!$C$107)/MAX(CROQUIS!$C$126,1))+1)))-1,0),0,MOD($A68-1,5))+1,0,2,CROQUIS!$C$97-2,2,0),((CROQUIS!$C$107/2+(((CROQUIS!$C$98)-CROQUIS!$C$107)-(MIN(80,MAX(1,INT(((CROQUIS!$C$98)-CROQUIS!$C$107)/MAX(CROQUIS!$C$126,1))+1))-1)*CROQUIS!$C$126)/2)+MIN(INT(($A68-1)/5),MAX((MIN(80,MAX(1,INT(((CROQUIS!$C$98)-CROQUIS!$C$107)/MAX(CROQUIS!$C$126,1))+1)))-1,0))*CROQUIS!$C$126)))*CROQUIS!$C$155)+IF(CROQUIS!$C$92="X",0,0)),-1000)</f>
        <v>-1000</v>
      </c>
      <c r="BI68">
        <f>IF(AND(CROQUIS!$C$88=1,CROQUIS!$C$126&gt;0),((CROQUIS!$C$157+(IF(CROQUIS!$C$92="X",((CROQUIS!$C$107/2+(((CROQUIS!$C$98)-CROQUIS!$C$107)-(MIN(80,MAX(1,INT(((CROQUIS!$C$98)-CROQUIS!$C$107)/MAX(CROQUIS!$C$126,1))+1))-1)*CROQUIS!$C$126)/2)+MIN(INT(($A68-1)/5),MAX((MIN(80,MAX(1,INT(((CROQUIS!$C$98)-CROQUIS!$C$107)/MAX(CROQUIS!$C$126,1))+1)))-1,0))*CROQUIS!$C$126),CHOOSE(IF(INT(($A68-1)/5)&gt;MAX((MIN(80,MAX(1,INT(((CROQUIS!$C$98)-CROQUIS!$C$107)/MAX(CROQUIS!$C$126,1))+1)))-1,0),0,MOD($A68-1,5))+1,0,2,CROQUIS!$C$97-2,2,0)))*CROQUIS!$C$155)+IF(CROQUIS!$C$92="X",0,0)),-1000)</f>
        <v>-1000</v>
      </c>
      <c r="BJ68">
        <f>IF(AND(CROQUIS!$C$88=1,CROQUIS!$C$134&gt;0),((CROQUIS!$C$156+(IF(CROQUIS!$C$92="X",((CROQUIS!$C$107/2+(((CROQUIS!$C$97)-CROQUIS!$C$107)-(MIN(80,MAX(1,INT(((CROQUIS!$C$97)-CROQUIS!$C$107)/MAX(CROQUIS!$C$134,1))+1))-1)*CROQUIS!$C$134)/2)+MIN(INT(($A68-1)/5),MAX((MIN(80,MAX(1,INT(((CROQUIS!$C$97)-CROQUIS!$C$107)/MAX(CROQUIS!$C$134,1))+1)))-1,0))*CROQUIS!$C$134),CHOOSE(IF(INT(($A68-1)/5)&gt;MAX((MIN(80,MAX(1,INT(((CROQUIS!$C$97)-CROQUIS!$C$107)/MAX(CROQUIS!$C$134,1))+1)))-1,0),0,MOD($A68-1,5))+1,0,2,CROQUIS!$C$98-2,2,0)))*CROQUIS!$C$155)+IF(CROQUIS!$C$92="X",0,0)),-1000)</f>
        <v>-1000</v>
      </c>
      <c r="BK68">
        <f>IF(AND(CROQUIS!$C$88=1,CROQUIS!$C$134&gt;0),((CROQUIS!$C$157+(IF(CROQUIS!$C$92="X",CHOOSE(IF(INT(($A68-1)/5)&gt;MAX((MIN(80,MAX(1,INT(((CROQUIS!$C$97)-CROQUIS!$C$107)/MAX(CROQUIS!$C$134,1))+1)))-1,0),0,MOD($A68-1,5))+1,0,2,CROQUIS!$C$98-2,2,0),((CROQUIS!$C$107/2+(((CROQUIS!$C$97)-CROQUIS!$C$107)-(MIN(80,MAX(1,INT(((CROQUIS!$C$97)-CROQUIS!$C$107)/MAX(CROQUIS!$C$134,1))+1))-1)*CROQUIS!$C$134)/2)+MIN(INT(($A68-1)/5),MAX((MIN(80,MAX(1,INT(((CROQUIS!$C$97)-CROQUIS!$C$107)/MAX(CROQUIS!$C$134,1))+1)))-1,0))*CROQUIS!$C$134)))*CROQUIS!$C$155)+IF(CROQUIS!$C$92="X",0,0)),-1000)</f>
        <v>-1000</v>
      </c>
      <c r="BL68">
        <f>IF(AND(CROQUIS!$C$88=1,CROQUIS!$C$91=0,CROQUIS!$C$130&gt;0,OR(CROQUIS!$C$103=1,CROQUIS!$C$142=1)),((CROQUIS!$C$156+(IF(CROQUIS!$C$92="X",CHOOSE(IF(INT(($A68-1)/5)&gt;MAX((MIN(80,MAX(1,INT(((CROQUIS!$C$98)-CROQUIS!$C$107)/MAX(CROQUIS!$C$130,1))+1)))-1,0),0,MOD($A68-1,5))+1,0,IF(CROQUIS!$C$103=1,-12,2),CROQUIS!$C$107/2+CROQUIS!$C$140,IF(CROQUIS!$C$103=1,-12,2),0),((CROQUIS!$C$107/2+(((CROQUIS!$C$98)-CROQUIS!$C$107)-(MIN(80,MAX(1,INT(((CROQUIS!$C$98)-CROQUIS!$C$107)/MAX(CROQUIS!$C$130,1))+1))-1)*CROQUIS!$C$130)/2)+MIN(INT(($A68-1)/5),MAX((MIN(80,MAX(1,INT(((CROQUIS!$C$98)-CROQUIS!$C$107)/MAX(CROQUIS!$C$130,1))+1)))-1,0))*CROQUIS!$C$130)))*CROQUIS!$C$155)+IF(CROQUIS!$C$92="X",0,0)),-1000)</f>
        <v>-1000</v>
      </c>
      <c r="BM6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68-1)/5),MAX((MIN(80,MAX(1,INT(((CROQUIS!$C$98)-CROQUIS!$C$107)/MAX(CROQUIS!$C$130,1))+1)))-1,0))*CROQUIS!$C$130),CHOOSE(IF(INT(($A68-1)/5)&gt;MAX((MIN(80,MAX(1,INT(((CROQUIS!$C$98)-CROQUIS!$C$107)/MAX(CROQUIS!$C$130,1))+1)))-1,0),0,MOD($A68-1,5))+1,0,IF(CROQUIS!$C$103=1,-12,2),CROQUIS!$C$107/2+CROQUIS!$C$140,IF(CROQUIS!$C$103=1,-12,2),0)))*CROQUIS!$C$155)+IF(CROQUIS!$C$92="X",0,0)),-1000)</f>
        <v>-1000</v>
      </c>
      <c r="BN68">
        <f>IF(AND(CROQUIS!$C$88=1,CROQUIS!$C$91=0,CROQUIS!$C$130&gt;0,OR(CROQUIS!$C$104=1,CROQUIS!$C$142=1)),((CROQUIS!$C$156+(IF(CROQUIS!$C$92="X",CHOOSE(IF(INT(($A68-1)/5)&gt;MAX((MIN(80,MAX(1,INT(((CROQUIS!$C$98)-CROQUIS!$C$107)/MAX(CROQUIS!$C$130,1))+1)))-1,0),0,MOD($A68-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68-1)/5),MAX((MIN(80,MAX(1,INT(((CROQUIS!$C$98)-CROQUIS!$C$107)/MAX(CROQUIS!$C$130,1))+1)))-1,0))*CROQUIS!$C$130)))*CROQUIS!$C$155)+IF(CROQUIS!$C$92="X",0,0)),-1000)</f>
        <v>-1000</v>
      </c>
      <c r="BO6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68-1)/5),MAX((MIN(80,MAX(1,INT(((CROQUIS!$C$98)-CROQUIS!$C$107)/MAX(CROQUIS!$C$130,1))+1)))-1,0))*CROQUIS!$C$130),CHOOSE(IF(INT(($A68-1)/5)&gt;MAX((MIN(80,MAX(1,INT(((CROQUIS!$C$98)-CROQUIS!$C$107)/MAX(CROQUIS!$C$130,1))+1)))-1,0),0,MOD($A68-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6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68-1)/5),MAX((MIN(80,MAX(1,INT(((CROQUIS!$C$97)-CROQUIS!$C$107)/MAX(CROQUIS!$C$138,1))+1)))-1,0))*CROQUIS!$C$138),CHOOSE(IF(INT(($A68-1)/5)&gt;MAX((MIN(80,MAX(1,INT(((CROQUIS!$C$97)-CROQUIS!$C$107)/MAX(CROQUIS!$C$138,1))+1)))-1,0),0,MOD($A68-1,5))+1,0,IF(CROQUIS!$C$105=1,-12,2),CROQUIS!$C$107/2+CROQUIS!$C$141,IF(CROQUIS!$C$105=1,-12,2),0)))*CROQUIS!$C$155)+IF(CROQUIS!$C$92="X",0,0)),-1000)</f>
        <v>-1000</v>
      </c>
      <c r="BQ68">
        <f>IF(AND(CROQUIS!$C$88=1,CROQUIS!$C$91=0,CROQUIS!$C$138&gt;0,OR(CROQUIS!$C$105=1,CROQUIS!$C$143=1)),((CROQUIS!$C$157+(IF(CROQUIS!$C$92="X",CHOOSE(IF(INT(($A68-1)/5)&gt;MAX((MIN(80,MAX(1,INT(((CROQUIS!$C$97)-CROQUIS!$C$107)/MAX(CROQUIS!$C$138,1))+1)))-1,0),0,MOD($A68-1,5))+1,0,IF(CROQUIS!$C$105=1,-12,2),CROQUIS!$C$107/2+CROQUIS!$C$141,IF(CROQUIS!$C$105=1,-12,2),0),((CROQUIS!$C$107/2+(((CROQUIS!$C$97)-CROQUIS!$C$107)-(MIN(80,MAX(1,INT(((CROQUIS!$C$97)-CROQUIS!$C$107)/MAX(CROQUIS!$C$138,1))+1))-1)*CROQUIS!$C$138)/2)+MIN(INT(($A68-1)/5),MAX((MIN(80,MAX(1,INT(((CROQUIS!$C$97)-CROQUIS!$C$107)/MAX(CROQUIS!$C$138,1))+1)))-1,0))*CROQUIS!$C$138)))*CROQUIS!$C$155)+IF(CROQUIS!$C$92="X",0,0)),-1000)</f>
        <v>-1000</v>
      </c>
      <c r="BR6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68-1)/5),MAX((MIN(80,MAX(1,INT(((CROQUIS!$C$97)-CROQUIS!$C$107)/MAX(CROQUIS!$C$138,1))+1)))-1,0))*CROQUIS!$C$138),CHOOSE(IF(INT(($A68-1)/5)&gt;MAX((MIN(80,MAX(1,INT(((CROQUIS!$C$97)-CROQUIS!$C$107)/MAX(CROQUIS!$C$138,1))+1)))-1,0),0,MOD($A68-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68">
        <f>IF(AND(CROQUIS!$C$88=1,CROQUIS!$C$91=0,CROQUIS!$C$138&gt;0,OR(CROQUIS!$C$106=1,CROQUIS!$C$143=1)),((CROQUIS!$C$157+(IF(CROQUIS!$C$92="X",CHOOSE(IF(INT(($A68-1)/5)&gt;MAX((MIN(80,MAX(1,INT(((CROQUIS!$C$97)-CROQUIS!$C$107)/MAX(CROQUIS!$C$138,1))+1)))-1,0),0,MOD($A68-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68-1)/5),MAX((MIN(80,MAX(1,INT(((CROQUIS!$C$97)-CROQUIS!$C$107)/MAX(CROQUIS!$C$138,1))+1)))-1,0))*CROQUIS!$C$138)))*CROQUIS!$C$155)+IF(CROQUIS!$C$92="X",0,0)),-1000)</f>
        <v>-1000</v>
      </c>
      <c r="BT68">
        <f>IF(AND(CROQUIS!$C$88=1,CROQUIS!$C$91=1,CROQUIS!$C$130&gt;0),((CROQUIS!$C$156+(IF(CROQUIS!$C$92="X",CHOOSE(IF(INT(($A68-1)/5)&gt;MAX((MIN(80,MAX(1,INT(((CROQUIS!$C$98)-CROQUIS!$C$107)/MAX(CROQUIS!$C$130,1))+1)))-1,0),0,MOD($A68-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68-1)/5),MAX((MIN(80,MAX(1,INT(((CROQUIS!$C$98)-CROQUIS!$C$107)/MAX(CROQUIS!$C$130,1))+1)))-1,0))*CROQUIS!$C$130)))*CROQUIS!$C$155)+IF(CROQUIS!$C$92="X",0,0)),-1000)</f>
        <v>-1000</v>
      </c>
      <c r="BU68">
        <f>IF(AND(CROQUIS!$C$88=1,CROQUIS!$C$91=1,CROQUIS!$C$130&gt;0),((CROQUIS!$C$157+(IF(CROQUIS!$C$92="X",((CROQUIS!$C$107/2+(((CROQUIS!$C$98)-CROQUIS!$C$107)-(MIN(80,MAX(1,INT(((CROQUIS!$C$98)-CROQUIS!$C$107)/MAX(CROQUIS!$C$130,1))+1))-1)*CROQUIS!$C$130)/2)+MIN(INT(($A68-1)/5),MAX((MIN(80,MAX(1,INT(((CROQUIS!$C$98)-CROQUIS!$C$107)/MAX(CROQUIS!$C$130,1))+1)))-1,0))*CROQUIS!$C$130),CHOOSE(IF(INT(($A68-1)/5)&gt;MAX((MIN(80,MAX(1,INT(((CROQUIS!$C$98)-CROQUIS!$C$107)/MAX(CROQUIS!$C$130,1))+1)))-1,0),0,MOD($A68-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69">
      <c r="A69" t="n">
        <v>62</v>
      </c>
      <c r="AF69">
        <f>IF(AND(CROQUIS!$C$87=1,CROQUIS!$C$158&gt;0,CROQUIS!$C$160&gt;0),(CROQUIS!$C$156+((CROQUIS!$C$159+INT(MIN(INT(($A69-1)/2),MAX((2*CROQUIS!$C$158)-1,0))/2)*CROQUIS!$C$113+MOD(MIN(INT(($A69-1)/2),MAX((2*CROQUIS!$C$158)-1,0)),2)*CROQUIS!$C$112))*CROQUIS!$C$155),-1000)</f>
        <v>85.2010845006778</v>
      </c>
      <c r="AG69">
        <f>IF(AND(CROQUIS!$C$87=1,CROQUIS!$C$158&gt;0,CROQUIS!$C$160&gt;0),(CROQUIS!$C$157+(IF(MOD(MIN(INT(($A69-1)/2),MAX((2*CROQUIS!$C$158)-1,0)),2)=0,IF(IF(INT(($A69-1)/2)&gt;MAX((2*CROQUIS!$C$158)-1,0),1,MOD($A69-1,2))=0,CROQUIS!$C$161,(CROQUIS!$C$161+CROQUIS!$C$160*CROQUIS!$C$113-CROQUIS!$C$111)),IF(IF(INT(($A69-1)/2)&gt;MAX((2*CROQUIS!$C$158)-1,0),1,MOD($A69-1,2))=0,(CROQUIS!$C$161+CROQUIS!$C$160*CROQUIS!$C$113-CROQUIS!$C$111),CROQUIS!$C$161)))*CROQUIS!$C$155),-1000)</f>
        <v>20.8088567555355</v>
      </c>
      <c r="AH69">
        <f>IF(AND(CROQUIS!$C$87=1,CROQUIS!$C$160&gt;0,CROQUIS!$C$158&gt;0),(CROQUIS!$C$156+(IF(MOD(MIN(INT(($A69-1)/2),MAX((2*CROQUIS!$C$160)-1,0)),2)=0,IF(IF(INT(($A69-1)/2)&gt;MAX((2*CROQUIS!$C$160)-1,0),1,MOD($A69-1,2))=0,CROQUIS!$C$159,(CROQUIS!$C$159+CROQUIS!$C$158*CROQUIS!$C$113-CROQUIS!$C$111)),IF(IF(INT(($A69-1)/2)&gt;MAX((2*CROQUIS!$C$160)-1,0),1,MOD($A69-1,2))=0,(CROQUIS!$C$159+CROQUIS!$C$158*CROQUIS!$C$113-CROQUIS!$C$111),CROQUIS!$C$159)))*CROQUIS!$C$155),-1000)</f>
        <v>14.7989154993222</v>
      </c>
      <c r="AI69">
        <f>IF(AND(CROQUIS!$C$87=1,CROQUIS!$C$160&gt;0,CROQUIS!$C$158&gt;0),(CROQUIS!$C$157+((CROQUIS!$C$161+INT(MIN(INT(($A69-1)/2),MAX((2*CROQUIS!$C$160)-1,0))/2)*CROQUIS!$C$113+MOD(MIN(INT(($A69-1)/2),MAX((2*CROQUIS!$C$160)-1,0)),2)*CROQUIS!$C$112))*CROQUIS!$C$155),-1000)</f>
        <v>79.1911432444645</v>
      </c>
      <c r="BH69">
        <f>IF(AND(CROQUIS!$C$88=1,CROQUIS!$C$126&gt;0),((CROQUIS!$C$156+(IF(CROQUIS!$C$92="X",CHOOSE(IF(INT(($A69-1)/5)&gt;MAX((MIN(80,MAX(1,INT(((CROQUIS!$C$98)-CROQUIS!$C$107)/MAX(CROQUIS!$C$126,1))+1)))-1,0),0,MOD($A69-1,5))+1,0,2,CROQUIS!$C$97-2,2,0),((CROQUIS!$C$107/2+(((CROQUIS!$C$98)-CROQUIS!$C$107)-(MIN(80,MAX(1,INT(((CROQUIS!$C$98)-CROQUIS!$C$107)/MAX(CROQUIS!$C$126,1))+1))-1)*CROQUIS!$C$126)/2)+MIN(INT(($A69-1)/5),MAX((MIN(80,MAX(1,INT(((CROQUIS!$C$98)-CROQUIS!$C$107)/MAX(CROQUIS!$C$126,1))+1)))-1,0))*CROQUIS!$C$126)))*CROQUIS!$C$155)+IF(CROQUIS!$C$92="X",0,0)),-1000)</f>
        <v>-1000</v>
      </c>
      <c r="BI69">
        <f>IF(AND(CROQUIS!$C$88=1,CROQUIS!$C$126&gt;0),((CROQUIS!$C$157+(IF(CROQUIS!$C$92="X",((CROQUIS!$C$107/2+(((CROQUIS!$C$98)-CROQUIS!$C$107)-(MIN(80,MAX(1,INT(((CROQUIS!$C$98)-CROQUIS!$C$107)/MAX(CROQUIS!$C$126,1))+1))-1)*CROQUIS!$C$126)/2)+MIN(INT(($A69-1)/5),MAX((MIN(80,MAX(1,INT(((CROQUIS!$C$98)-CROQUIS!$C$107)/MAX(CROQUIS!$C$126,1))+1)))-1,0))*CROQUIS!$C$126),CHOOSE(IF(INT(($A69-1)/5)&gt;MAX((MIN(80,MAX(1,INT(((CROQUIS!$C$98)-CROQUIS!$C$107)/MAX(CROQUIS!$C$126,1))+1)))-1,0),0,MOD($A69-1,5))+1,0,2,CROQUIS!$C$97-2,2,0)))*CROQUIS!$C$155)+IF(CROQUIS!$C$92="X",0,0)),-1000)</f>
        <v>-1000</v>
      </c>
      <c r="BJ69">
        <f>IF(AND(CROQUIS!$C$88=1,CROQUIS!$C$134&gt;0),((CROQUIS!$C$156+(IF(CROQUIS!$C$92="X",((CROQUIS!$C$107/2+(((CROQUIS!$C$97)-CROQUIS!$C$107)-(MIN(80,MAX(1,INT(((CROQUIS!$C$97)-CROQUIS!$C$107)/MAX(CROQUIS!$C$134,1))+1))-1)*CROQUIS!$C$134)/2)+MIN(INT(($A69-1)/5),MAX((MIN(80,MAX(1,INT(((CROQUIS!$C$97)-CROQUIS!$C$107)/MAX(CROQUIS!$C$134,1))+1)))-1,0))*CROQUIS!$C$134),CHOOSE(IF(INT(($A69-1)/5)&gt;MAX((MIN(80,MAX(1,INT(((CROQUIS!$C$97)-CROQUIS!$C$107)/MAX(CROQUIS!$C$134,1))+1)))-1,0),0,MOD($A69-1,5))+1,0,2,CROQUIS!$C$98-2,2,0)))*CROQUIS!$C$155)+IF(CROQUIS!$C$92="X",0,0)),-1000)</f>
        <v>-1000</v>
      </c>
      <c r="BK69">
        <f>IF(AND(CROQUIS!$C$88=1,CROQUIS!$C$134&gt;0),((CROQUIS!$C$157+(IF(CROQUIS!$C$92="X",CHOOSE(IF(INT(($A69-1)/5)&gt;MAX((MIN(80,MAX(1,INT(((CROQUIS!$C$97)-CROQUIS!$C$107)/MAX(CROQUIS!$C$134,1))+1)))-1,0),0,MOD($A69-1,5))+1,0,2,CROQUIS!$C$98-2,2,0),((CROQUIS!$C$107/2+(((CROQUIS!$C$97)-CROQUIS!$C$107)-(MIN(80,MAX(1,INT(((CROQUIS!$C$97)-CROQUIS!$C$107)/MAX(CROQUIS!$C$134,1))+1))-1)*CROQUIS!$C$134)/2)+MIN(INT(($A69-1)/5),MAX((MIN(80,MAX(1,INT(((CROQUIS!$C$97)-CROQUIS!$C$107)/MAX(CROQUIS!$C$134,1))+1)))-1,0))*CROQUIS!$C$134)))*CROQUIS!$C$155)+IF(CROQUIS!$C$92="X",0,0)),-1000)</f>
        <v>-1000</v>
      </c>
      <c r="BL69">
        <f>IF(AND(CROQUIS!$C$88=1,CROQUIS!$C$91=0,CROQUIS!$C$130&gt;0,OR(CROQUIS!$C$103=1,CROQUIS!$C$142=1)),((CROQUIS!$C$156+(IF(CROQUIS!$C$92="X",CHOOSE(IF(INT(($A69-1)/5)&gt;MAX((MIN(80,MAX(1,INT(((CROQUIS!$C$98)-CROQUIS!$C$107)/MAX(CROQUIS!$C$130,1))+1)))-1,0),0,MOD($A69-1,5))+1,0,IF(CROQUIS!$C$103=1,-12,2),CROQUIS!$C$107/2+CROQUIS!$C$140,IF(CROQUIS!$C$103=1,-12,2),0),((CROQUIS!$C$107/2+(((CROQUIS!$C$98)-CROQUIS!$C$107)-(MIN(80,MAX(1,INT(((CROQUIS!$C$98)-CROQUIS!$C$107)/MAX(CROQUIS!$C$130,1))+1))-1)*CROQUIS!$C$130)/2)+MIN(INT(($A69-1)/5),MAX((MIN(80,MAX(1,INT(((CROQUIS!$C$98)-CROQUIS!$C$107)/MAX(CROQUIS!$C$130,1))+1)))-1,0))*CROQUIS!$C$130)))*CROQUIS!$C$155)+IF(CROQUIS!$C$92="X",0,0)),-1000)</f>
        <v>-1000</v>
      </c>
      <c r="BM6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69-1)/5),MAX((MIN(80,MAX(1,INT(((CROQUIS!$C$98)-CROQUIS!$C$107)/MAX(CROQUIS!$C$130,1))+1)))-1,0))*CROQUIS!$C$130),CHOOSE(IF(INT(($A69-1)/5)&gt;MAX((MIN(80,MAX(1,INT(((CROQUIS!$C$98)-CROQUIS!$C$107)/MAX(CROQUIS!$C$130,1))+1)))-1,0),0,MOD($A69-1,5))+1,0,IF(CROQUIS!$C$103=1,-12,2),CROQUIS!$C$107/2+CROQUIS!$C$140,IF(CROQUIS!$C$103=1,-12,2),0)))*CROQUIS!$C$155)+IF(CROQUIS!$C$92="X",0,0)),-1000)</f>
        <v>-1000</v>
      </c>
      <c r="BN69">
        <f>IF(AND(CROQUIS!$C$88=1,CROQUIS!$C$91=0,CROQUIS!$C$130&gt;0,OR(CROQUIS!$C$104=1,CROQUIS!$C$142=1)),((CROQUIS!$C$156+(IF(CROQUIS!$C$92="X",CHOOSE(IF(INT(($A69-1)/5)&gt;MAX((MIN(80,MAX(1,INT(((CROQUIS!$C$98)-CROQUIS!$C$107)/MAX(CROQUIS!$C$130,1))+1)))-1,0),0,MOD($A69-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69-1)/5),MAX((MIN(80,MAX(1,INT(((CROQUIS!$C$98)-CROQUIS!$C$107)/MAX(CROQUIS!$C$130,1))+1)))-1,0))*CROQUIS!$C$130)))*CROQUIS!$C$155)+IF(CROQUIS!$C$92="X",0,0)),-1000)</f>
        <v>-1000</v>
      </c>
      <c r="BO6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69-1)/5),MAX((MIN(80,MAX(1,INT(((CROQUIS!$C$98)-CROQUIS!$C$107)/MAX(CROQUIS!$C$130,1))+1)))-1,0))*CROQUIS!$C$130),CHOOSE(IF(INT(($A69-1)/5)&gt;MAX((MIN(80,MAX(1,INT(((CROQUIS!$C$98)-CROQUIS!$C$107)/MAX(CROQUIS!$C$130,1))+1)))-1,0),0,MOD($A69-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6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69-1)/5),MAX((MIN(80,MAX(1,INT(((CROQUIS!$C$97)-CROQUIS!$C$107)/MAX(CROQUIS!$C$138,1))+1)))-1,0))*CROQUIS!$C$138),CHOOSE(IF(INT(($A69-1)/5)&gt;MAX((MIN(80,MAX(1,INT(((CROQUIS!$C$97)-CROQUIS!$C$107)/MAX(CROQUIS!$C$138,1))+1)))-1,0),0,MOD($A69-1,5))+1,0,IF(CROQUIS!$C$105=1,-12,2),CROQUIS!$C$107/2+CROQUIS!$C$141,IF(CROQUIS!$C$105=1,-12,2),0)))*CROQUIS!$C$155)+IF(CROQUIS!$C$92="X",0,0)),-1000)</f>
        <v>-1000</v>
      </c>
      <c r="BQ69">
        <f>IF(AND(CROQUIS!$C$88=1,CROQUIS!$C$91=0,CROQUIS!$C$138&gt;0,OR(CROQUIS!$C$105=1,CROQUIS!$C$143=1)),((CROQUIS!$C$157+(IF(CROQUIS!$C$92="X",CHOOSE(IF(INT(($A69-1)/5)&gt;MAX((MIN(80,MAX(1,INT(((CROQUIS!$C$97)-CROQUIS!$C$107)/MAX(CROQUIS!$C$138,1))+1)))-1,0),0,MOD($A69-1,5))+1,0,IF(CROQUIS!$C$105=1,-12,2),CROQUIS!$C$107/2+CROQUIS!$C$141,IF(CROQUIS!$C$105=1,-12,2),0),((CROQUIS!$C$107/2+(((CROQUIS!$C$97)-CROQUIS!$C$107)-(MIN(80,MAX(1,INT(((CROQUIS!$C$97)-CROQUIS!$C$107)/MAX(CROQUIS!$C$138,1))+1))-1)*CROQUIS!$C$138)/2)+MIN(INT(($A69-1)/5),MAX((MIN(80,MAX(1,INT(((CROQUIS!$C$97)-CROQUIS!$C$107)/MAX(CROQUIS!$C$138,1))+1)))-1,0))*CROQUIS!$C$138)))*CROQUIS!$C$155)+IF(CROQUIS!$C$92="X",0,0)),-1000)</f>
        <v>-1000</v>
      </c>
      <c r="BR6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69-1)/5),MAX((MIN(80,MAX(1,INT(((CROQUIS!$C$97)-CROQUIS!$C$107)/MAX(CROQUIS!$C$138,1))+1)))-1,0))*CROQUIS!$C$138),CHOOSE(IF(INT(($A69-1)/5)&gt;MAX((MIN(80,MAX(1,INT(((CROQUIS!$C$97)-CROQUIS!$C$107)/MAX(CROQUIS!$C$138,1))+1)))-1,0),0,MOD($A69-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69">
        <f>IF(AND(CROQUIS!$C$88=1,CROQUIS!$C$91=0,CROQUIS!$C$138&gt;0,OR(CROQUIS!$C$106=1,CROQUIS!$C$143=1)),((CROQUIS!$C$157+(IF(CROQUIS!$C$92="X",CHOOSE(IF(INT(($A69-1)/5)&gt;MAX((MIN(80,MAX(1,INT(((CROQUIS!$C$97)-CROQUIS!$C$107)/MAX(CROQUIS!$C$138,1))+1)))-1,0),0,MOD($A69-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69-1)/5),MAX((MIN(80,MAX(1,INT(((CROQUIS!$C$97)-CROQUIS!$C$107)/MAX(CROQUIS!$C$138,1))+1)))-1,0))*CROQUIS!$C$138)))*CROQUIS!$C$155)+IF(CROQUIS!$C$92="X",0,0)),-1000)</f>
        <v>-1000</v>
      </c>
      <c r="BT69">
        <f>IF(AND(CROQUIS!$C$88=1,CROQUIS!$C$91=1,CROQUIS!$C$130&gt;0),((CROQUIS!$C$156+(IF(CROQUIS!$C$92="X",CHOOSE(IF(INT(($A69-1)/5)&gt;MAX((MIN(80,MAX(1,INT(((CROQUIS!$C$98)-CROQUIS!$C$107)/MAX(CROQUIS!$C$130,1))+1)))-1,0),0,MOD($A69-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69-1)/5),MAX((MIN(80,MAX(1,INT(((CROQUIS!$C$98)-CROQUIS!$C$107)/MAX(CROQUIS!$C$130,1))+1)))-1,0))*CROQUIS!$C$130)))*CROQUIS!$C$155)+IF(CROQUIS!$C$92="X",0,0)),-1000)</f>
        <v>-1000</v>
      </c>
      <c r="BU69">
        <f>IF(AND(CROQUIS!$C$88=1,CROQUIS!$C$91=1,CROQUIS!$C$130&gt;0),((CROQUIS!$C$157+(IF(CROQUIS!$C$92="X",((CROQUIS!$C$107/2+(((CROQUIS!$C$98)-CROQUIS!$C$107)-(MIN(80,MAX(1,INT(((CROQUIS!$C$98)-CROQUIS!$C$107)/MAX(CROQUIS!$C$130,1))+1))-1)*CROQUIS!$C$130)/2)+MIN(INT(($A69-1)/5),MAX((MIN(80,MAX(1,INT(((CROQUIS!$C$98)-CROQUIS!$C$107)/MAX(CROQUIS!$C$130,1))+1)))-1,0))*CROQUIS!$C$130),CHOOSE(IF(INT(($A69-1)/5)&gt;MAX((MIN(80,MAX(1,INT(((CROQUIS!$C$98)-CROQUIS!$C$107)/MAX(CROQUIS!$C$130,1))+1)))-1,0),0,MOD($A69-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70">
      <c r="A70" t="n">
        <v>63</v>
      </c>
      <c r="AF70">
        <f>IF(AND(CROQUIS!$C$87=1,CROQUIS!$C$158&gt;0,CROQUIS!$C$160&gt;0),(CROQUIS!$C$156+((CROQUIS!$C$159+INT(MIN(INT(($A70-1)/2),MAX((2*CROQUIS!$C$158)-1,0))/2)*CROQUIS!$C$113+MOD(MIN(INT(($A70-1)/2),MAX((2*CROQUIS!$C$158)-1,0)),2)*CROQUIS!$C$112))*CROQUIS!$C$155),-1000)</f>
        <v>85.2010845006778</v>
      </c>
      <c r="AG70">
        <f>IF(AND(CROQUIS!$C$87=1,CROQUIS!$C$158&gt;0,CROQUIS!$C$160&gt;0),(CROQUIS!$C$157+(IF(MOD(MIN(INT(($A70-1)/2),MAX((2*CROQUIS!$C$158)-1,0)),2)=0,IF(IF(INT(($A70-1)/2)&gt;MAX((2*CROQUIS!$C$158)-1,0),1,MOD($A70-1,2))=0,CROQUIS!$C$161,(CROQUIS!$C$161+CROQUIS!$C$160*CROQUIS!$C$113-CROQUIS!$C$111)),IF(IF(INT(($A70-1)/2)&gt;MAX((2*CROQUIS!$C$158)-1,0),1,MOD($A70-1,2))=0,(CROQUIS!$C$161+CROQUIS!$C$160*CROQUIS!$C$113-CROQUIS!$C$111),CROQUIS!$C$161)))*CROQUIS!$C$155),-1000)</f>
        <v>20.8088567555355</v>
      </c>
      <c r="AH70">
        <f>IF(AND(CROQUIS!$C$87=1,CROQUIS!$C$160&gt;0,CROQUIS!$C$158&gt;0),(CROQUIS!$C$156+(IF(MOD(MIN(INT(($A70-1)/2),MAX((2*CROQUIS!$C$160)-1,0)),2)=0,IF(IF(INT(($A70-1)/2)&gt;MAX((2*CROQUIS!$C$160)-1,0),1,MOD($A70-1,2))=0,CROQUIS!$C$159,(CROQUIS!$C$159+CROQUIS!$C$158*CROQUIS!$C$113-CROQUIS!$C$111)),IF(IF(INT(($A70-1)/2)&gt;MAX((2*CROQUIS!$C$160)-1,0),1,MOD($A70-1,2))=0,(CROQUIS!$C$159+CROQUIS!$C$158*CROQUIS!$C$113-CROQUIS!$C$111),CROQUIS!$C$159)))*CROQUIS!$C$155),-1000)</f>
        <v>14.7989154993222</v>
      </c>
      <c r="AI70">
        <f>IF(AND(CROQUIS!$C$87=1,CROQUIS!$C$160&gt;0,CROQUIS!$C$158&gt;0),(CROQUIS!$C$157+((CROQUIS!$C$161+INT(MIN(INT(($A70-1)/2),MAX((2*CROQUIS!$C$160)-1,0))/2)*CROQUIS!$C$113+MOD(MIN(INT(($A70-1)/2),MAX((2*CROQUIS!$C$160)-1,0)),2)*CROQUIS!$C$112))*CROQUIS!$C$155),-1000)</f>
        <v>79.1911432444645</v>
      </c>
      <c r="BH70">
        <f>IF(AND(CROQUIS!$C$88=1,CROQUIS!$C$126&gt;0),((CROQUIS!$C$156+(IF(CROQUIS!$C$92="X",CHOOSE(IF(INT(($A70-1)/5)&gt;MAX((MIN(80,MAX(1,INT(((CROQUIS!$C$98)-CROQUIS!$C$107)/MAX(CROQUIS!$C$126,1))+1)))-1,0),0,MOD($A70-1,5))+1,0,2,CROQUIS!$C$97-2,2,0),((CROQUIS!$C$107/2+(((CROQUIS!$C$98)-CROQUIS!$C$107)-(MIN(80,MAX(1,INT(((CROQUIS!$C$98)-CROQUIS!$C$107)/MAX(CROQUIS!$C$126,1))+1))-1)*CROQUIS!$C$126)/2)+MIN(INT(($A70-1)/5),MAX((MIN(80,MAX(1,INT(((CROQUIS!$C$98)-CROQUIS!$C$107)/MAX(CROQUIS!$C$126,1))+1)))-1,0))*CROQUIS!$C$126)))*CROQUIS!$C$155)+IF(CROQUIS!$C$92="X",0,0)),-1000)</f>
        <v>-1000</v>
      </c>
      <c r="BI70">
        <f>IF(AND(CROQUIS!$C$88=1,CROQUIS!$C$126&gt;0),((CROQUIS!$C$157+(IF(CROQUIS!$C$92="X",((CROQUIS!$C$107/2+(((CROQUIS!$C$98)-CROQUIS!$C$107)-(MIN(80,MAX(1,INT(((CROQUIS!$C$98)-CROQUIS!$C$107)/MAX(CROQUIS!$C$126,1))+1))-1)*CROQUIS!$C$126)/2)+MIN(INT(($A70-1)/5),MAX((MIN(80,MAX(1,INT(((CROQUIS!$C$98)-CROQUIS!$C$107)/MAX(CROQUIS!$C$126,1))+1)))-1,0))*CROQUIS!$C$126),CHOOSE(IF(INT(($A70-1)/5)&gt;MAX((MIN(80,MAX(1,INT(((CROQUIS!$C$98)-CROQUIS!$C$107)/MAX(CROQUIS!$C$126,1))+1)))-1,0),0,MOD($A70-1,5))+1,0,2,CROQUIS!$C$97-2,2,0)))*CROQUIS!$C$155)+IF(CROQUIS!$C$92="X",0,0)),-1000)</f>
        <v>-1000</v>
      </c>
      <c r="BJ70">
        <f>IF(AND(CROQUIS!$C$88=1,CROQUIS!$C$134&gt;0),((CROQUIS!$C$156+(IF(CROQUIS!$C$92="X",((CROQUIS!$C$107/2+(((CROQUIS!$C$97)-CROQUIS!$C$107)-(MIN(80,MAX(1,INT(((CROQUIS!$C$97)-CROQUIS!$C$107)/MAX(CROQUIS!$C$134,1))+1))-1)*CROQUIS!$C$134)/2)+MIN(INT(($A70-1)/5),MAX((MIN(80,MAX(1,INT(((CROQUIS!$C$97)-CROQUIS!$C$107)/MAX(CROQUIS!$C$134,1))+1)))-1,0))*CROQUIS!$C$134),CHOOSE(IF(INT(($A70-1)/5)&gt;MAX((MIN(80,MAX(1,INT(((CROQUIS!$C$97)-CROQUIS!$C$107)/MAX(CROQUIS!$C$134,1))+1)))-1,0),0,MOD($A70-1,5))+1,0,2,CROQUIS!$C$98-2,2,0)))*CROQUIS!$C$155)+IF(CROQUIS!$C$92="X",0,0)),-1000)</f>
        <v>-1000</v>
      </c>
      <c r="BK70">
        <f>IF(AND(CROQUIS!$C$88=1,CROQUIS!$C$134&gt;0),((CROQUIS!$C$157+(IF(CROQUIS!$C$92="X",CHOOSE(IF(INT(($A70-1)/5)&gt;MAX((MIN(80,MAX(1,INT(((CROQUIS!$C$97)-CROQUIS!$C$107)/MAX(CROQUIS!$C$134,1))+1)))-1,0),0,MOD($A70-1,5))+1,0,2,CROQUIS!$C$98-2,2,0),((CROQUIS!$C$107/2+(((CROQUIS!$C$97)-CROQUIS!$C$107)-(MIN(80,MAX(1,INT(((CROQUIS!$C$97)-CROQUIS!$C$107)/MAX(CROQUIS!$C$134,1))+1))-1)*CROQUIS!$C$134)/2)+MIN(INT(($A70-1)/5),MAX((MIN(80,MAX(1,INT(((CROQUIS!$C$97)-CROQUIS!$C$107)/MAX(CROQUIS!$C$134,1))+1)))-1,0))*CROQUIS!$C$134)))*CROQUIS!$C$155)+IF(CROQUIS!$C$92="X",0,0)),-1000)</f>
        <v>-1000</v>
      </c>
      <c r="BL70">
        <f>IF(AND(CROQUIS!$C$88=1,CROQUIS!$C$91=0,CROQUIS!$C$130&gt;0,OR(CROQUIS!$C$103=1,CROQUIS!$C$142=1)),((CROQUIS!$C$156+(IF(CROQUIS!$C$92="X",CHOOSE(IF(INT(($A70-1)/5)&gt;MAX((MIN(80,MAX(1,INT(((CROQUIS!$C$98)-CROQUIS!$C$107)/MAX(CROQUIS!$C$130,1))+1)))-1,0),0,MOD($A70-1,5))+1,0,IF(CROQUIS!$C$103=1,-12,2),CROQUIS!$C$107/2+CROQUIS!$C$140,IF(CROQUIS!$C$103=1,-12,2),0),((CROQUIS!$C$107/2+(((CROQUIS!$C$98)-CROQUIS!$C$107)-(MIN(80,MAX(1,INT(((CROQUIS!$C$98)-CROQUIS!$C$107)/MAX(CROQUIS!$C$130,1))+1))-1)*CROQUIS!$C$130)/2)+MIN(INT(($A70-1)/5),MAX((MIN(80,MAX(1,INT(((CROQUIS!$C$98)-CROQUIS!$C$107)/MAX(CROQUIS!$C$130,1))+1)))-1,0))*CROQUIS!$C$130)))*CROQUIS!$C$155)+IF(CROQUIS!$C$92="X",0,0)),-1000)</f>
        <v>-1000</v>
      </c>
      <c r="BM7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70-1)/5),MAX((MIN(80,MAX(1,INT(((CROQUIS!$C$98)-CROQUIS!$C$107)/MAX(CROQUIS!$C$130,1))+1)))-1,0))*CROQUIS!$C$130),CHOOSE(IF(INT(($A70-1)/5)&gt;MAX((MIN(80,MAX(1,INT(((CROQUIS!$C$98)-CROQUIS!$C$107)/MAX(CROQUIS!$C$130,1))+1)))-1,0),0,MOD($A70-1,5))+1,0,IF(CROQUIS!$C$103=1,-12,2),CROQUIS!$C$107/2+CROQUIS!$C$140,IF(CROQUIS!$C$103=1,-12,2),0)))*CROQUIS!$C$155)+IF(CROQUIS!$C$92="X",0,0)),-1000)</f>
        <v>-1000</v>
      </c>
      <c r="BN70">
        <f>IF(AND(CROQUIS!$C$88=1,CROQUIS!$C$91=0,CROQUIS!$C$130&gt;0,OR(CROQUIS!$C$104=1,CROQUIS!$C$142=1)),((CROQUIS!$C$156+(IF(CROQUIS!$C$92="X",CHOOSE(IF(INT(($A70-1)/5)&gt;MAX((MIN(80,MAX(1,INT(((CROQUIS!$C$98)-CROQUIS!$C$107)/MAX(CROQUIS!$C$130,1))+1)))-1,0),0,MOD($A70-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70-1)/5),MAX((MIN(80,MAX(1,INT(((CROQUIS!$C$98)-CROQUIS!$C$107)/MAX(CROQUIS!$C$130,1))+1)))-1,0))*CROQUIS!$C$130)))*CROQUIS!$C$155)+IF(CROQUIS!$C$92="X",0,0)),-1000)</f>
        <v>-1000</v>
      </c>
      <c r="BO7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70-1)/5),MAX((MIN(80,MAX(1,INT(((CROQUIS!$C$98)-CROQUIS!$C$107)/MAX(CROQUIS!$C$130,1))+1)))-1,0))*CROQUIS!$C$130),CHOOSE(IF(INT(($A70-1)/5)&gt;MAX((MIN(80,MAX(1,INT(((CROQUIS!$C$98)-CROQUIS!$C$107)/MAX(CROQUIS!$C$130,1))+1)))-1,0),0,MOD($A70-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7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70-1)/5),MAX((MIN(80,MAX(1,INT(((CROQUIS!$C$97)-CROQUIS!$C$107)/MAX(CROQUIS!$C$138,1))+1)))-1,0))*CROQUIS!$C$138),CHOOSE(IF(INT(($A70-1)/5)&gt;MAX((MIN(80,MAX(1,INT(((CROQUIS!$C$97)-CROQUIS!$C$107)/MAX(CROQUIS!$C$138,1))+1)))-1,0),0,MOD($A70-1,5))+1,0,IF(CROQUIS!$C$105=1,-12,2),CROQUIS!$C$107/2+CROQUIS!$C$141,IF(CROQUIS!$C$105=1,-12,2),0)))*CROQUIS!$C$155)+IF(CROQUIS!$C$92="X",0,0)),-1000)</f>
        <v>-1000</v>
      </c>
      <c r="BQ70">
        <f>IF(AND(CROQUIS!$C$88=1,CROQUIS!$C$91=0,CROQUIS!$C$138&gt;0,OR(CROQUIS!$C$105=1,CROQUIS!$C$143=1)),((CROQUIS!$C$157+(IF(CROQUIS!$C$92="X",CHOOSE(IF(INT(($A70-1)/5)&gt;MAX((MIN(80,MAX(1,INT(((CROQUIS!$C$97)-CROQUIS!$C$107)/MAX(CROQUIS!$C$138,1))+1)))-1,0),0,MOD($A70-1,5))+1,0,IF(CROQUIS!$C$105=1,-12,2),CROQUIS!$C$107/2+CROQUIS!$C$141,IF(CROQUIS!$C$105=1,-12,2),0),((CROQUIS!$C$107/2+(((CROQUIS!$C$97)-CROQUIS!$C$107)-(MIN(80,MAX(1,INT(((CROQUIS!$C$97)-CROQUIS!$C$107)/MAX(CROQUIS!$C$138,1))+1))-1)*CROQUIS!$C$138)/2)+MIN(INT(($A70-1)/5),MAX((MIN(80,MAX(1,INT(((CROQUIS!$C$97)-CROQUIS!$C$107)/MAX(CROQUIS!$C$138,1))+1)))-1,0))*CROQUIS!$C$138)))*CROQUIS!$C$155)+IF(CROQUIS!$C$92="X",0,0)),-1000)</f>
        <v>-1000</v>
      </c>
      <c r="BR7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70-1)/5),MAX((MIN(80,MAX(1,INT(((CROQUIS!$C$97)-CROQUIS!$C$107)/MAX(CROQUIS!$C$138,1))+1)))-1,0))*CROQUIS!$C$138),CHOOSE(IF(INT(($A70-1)/5)&gt;MAX((MIN(80,MAX(1,INT(((CROQUIS!$C$97)-CROQUIS!$C$107)/MAX(CROQUIS!$C$138,1))+1)))-1,0),0,MOD($A70-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70">
        <f>IF(AND(CROQUIS!$C$88=1,CROQUIS!$C$91=0,CROQUIS!$C$138&gt;0,OR(CROQUIS!$C$106=1,CROQUIS!$C$143=1)),((CROQUIS!$C$157+(IF(CROQUIS!$C$92="X",CHOOSE(IF(INT(($A70-1)/5)&gt;MAX((MIN(80,MAX(1,INT(((CROQUIS!$C$97)-CROQUIS!$C$107)/MAX(CROQUIS!$C$138,1))+1)))-1,0),0,MOD($A70-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70-1)/5),MAX((MIN(80,MAX(1,INT(((CROQUIS!$C$97)-CROQUIS!$C$107)/MAX(CROQUIS!$C$138,1))+1)))-1,0))*CROQUIS!$C$138)))*CROQUIS!$C$155)+IF(CROQUIS!$C$92="X",0,0)),-1000)</f>
        <v>-1000</v>
      </c>
      <c r="BT70">
        <f>IF(AND(CROQUIS!$C$88=1,CROQUIS!$C$91=1,CROQUIS!$C$130&gt;0),((CROQUIS!$C$156+(IF(CROQUIS!$C$92="X",CHOOSE(IF(INT(($A70-1)/5)&gt;MAX((MIN(80,MAX(1,INT(((CROQUIS!$C$98)-CROQUIS!$C$107)/MAX(CROQUIS!$C$130,1))+1)))-1,0),0,MOD($A70-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70-1)/5),MAX((MIN(80,MAX(1,INT(((CROQUIS!$C$98)-CROQUIS!$C$107)/MAX(CROQUIS!$C$130,1))+1)))-1,0))*CROQUIS!$C$130)))*CROQUIS!$C$155)+IF(CROQUIS!$C$92="X",0,0)),-1000)</f>
        <v>-1000</v>
      </c>
      <c r="BU70">
        <f>IF(AND(CROQUIS!$C$88=1,CROQUIS!$C$91=1,CROQUIS!$C$130&gt;0),((CROQUIS!$C$157+(IF(CROQUIS!$C$92="X",((CROQUIS!$C$107/2+(((CROQUIS!$C$98)-CROQUIS!$C$107)-(MIN(80,MAX(1,INT(((CROQUIS!$C$98)-CROQUIS!$C$107)/MAX(CROQUIS!$C$130,1))+1))-1)*CROQUIS!$C$130)/2)+MIN(INT(($A70-1)/5),MAX((MIN(80,MAX(1,INT(((CROQUIS!$C$98)-CROQUIS!$C$107)/MAX(CROQUIS!$C$130,1))+1)))-1,0))*CROQUIS!$C$130),CHOOSE(IF(INT(($A70-1)/5)&gt;MAX((MIN(80,MAX(1,INT(((CROQUIS!$C$98)-CROQUIS!$C$107)/MAX(CROQUIS!$C$130,1))+1)))-1,0),0,MOD($A70-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71">
      <c r="A71" t="n">
        <v>64</v>
      </c>
      <c r="AF71">
        <f>IF(AND(CROQUIS!$C$87=1,CROQUIS!$C$158&gt;0,CROQUIS!$C$160&gt;0),(CROQUIS!$C$156+((CROQUIS!$C$159+INT(MIN(INT(($A71-1)/2),MAX((2*CROQUIS!$C$158)-1,0))/2)*CROQUIS!$C$113+MOD(MIN(INT(($A71-1)/2),MAX((2*CROQUIS!$C$158)-1,0)),2)*CROQUIS!$C$112))*CROQUIS!$C$155),-1000)</f>
        <v>85.2010845006778</v>
      </c>
      <c r="AG71">
        <f>IF(AND(CROQUIS!$C$87=1,CROQUIS!$C$158&gt;0,CROQUIS!$C$160&gt;0),(CROQUIS!$C$157+(IF(MOD(MIN(INT(($A71-1)/2),MAX((2*CROQUIS!$C$158)-1,0)),2)=0,IF(IF(INT(($A71-1)/2)&gt;MAX((2*CROQUIS!$C$158)-1,0),1,MOD($A71-1,2))=0,CROQUIS!$C$161,(CROQUIS!$C$161+CROQUIS!$C$160*CROQUIS!$C$113-CROQUIS!$C$111)),IF(IF(INT(($A71-1)/2)&gt;MAX((2*CROQUIS!$C$158)-1,0),1,MOD($A71-1,2))=0,(CROQUIS!$C$161+CROQUIS!$C$160*CROQUIS!$C$113-CROQUIS!$C$111),CROQUIS!$C$161)))*CROQUIS!$C$155),-1000)</f>
        <v>20.8088567555355</v>
      </c>
      <c r="AH71">
        <f>IF(AND(CROQUIS!$C$87=1,CROQUIS!$C$160&gt;0,CROQUIS!$C$158&gt;0),(CROQUIS!$C$156+(IF(MOD(MIN(INT(($A71-1)/2),MAX((2*CROQUIS!$C$160)-1,0)),2)=0,IF(IF(INT(($A71-1)/2)&gt;MAX((2*CROQUIS!$C$160)-1,0),1,MOD($A71-1,2))=0,CROQUIS!$C$159,(CROQUIS!$C$159+CROQUIS!$C$158*CROQUIS!$C$113-CROQUIS!$C$111)),IF(IF(INT(($A71-1)/2)&gt;MAX((2*CROQUIS!$C$160)-1,0),1,MOD($A71-1,2))=0,(CROQUIS!$C$159+CROQUIS!$C$158*CROQUIS!$C$113-CROQUIS!$C$111),CROQUIS!$C$159)))*CROQUIS!$C$155),-1000)</f>
        <v>14.7989154993222</v>
      </c>
      <c r="AI71">
        <f>IF(AND(CROQUIS!$C$87=1,CROQUIS!$C$160&gt;0,CROQUIS!$C$158&gt;0),(CROQUIS!$C$157+((CROQUIS!$C$161+INT(MIN(INT(($A71-1)/2),MAX((2*CROQUIS!$C$160)-1,0))/2)*CROQUIS!$C$113+MOD(MIN(INT(($A71-1)/2),MAX((2*CROQUIS!$C$160)-1,0)),2)*CROQUIS!$C$112))*CROQUIS!$C$155),-1000)</f>
        <v>79.1911432444645</v>
      </c>
      <c r="BH71">
        <f>IF(AND(CROQUIS!$C$88=1,CROQUIS!$C$126&gt;0),((CROQUIS!$C$156+(IF(CROQUIS!$C$92="X",CHOOSE(IF(INT(($A71-1)/5)&gt;MAX((MIN(80,MAX(1,INT(((CROQUIS!$C$98)-CROQUIS!$C$107)/MAX(CROQUIS!$C$126,1))+1)))-1,0),0,MOD($A71-1,5))+1,0,2,CROQUIS!$C$97-2,2,0),((CROQUIS!$C$107/2+(((CROQUIS!$C$98)-CROQUIS!$C$107)-(MIN(80,MAX(1,INT(((CROQUIS!$C$98)-CROQUIS!$C$107)/MAX(CROQUIS!$C$126,1))+1))-1)*CROQUIS!$C$126)/2)+MIN(INT(($A71-1)/5),MAX((MIN(80,MAX(1,INT(((CROQUIS!$C$98)-CROQUIS!$C$107)/MAX(CROQUIS!$C$126,1))+1)))-1,0))*CROQUIS!$C$126)))*CROQUIS!$C$155)+IF(CROQUIS!$C$92="X",0,0)),-1000)</f>
        <v>-1000</v>
      </c>
      <c r="BI71">
        <f>IF(AND(CROQUIS!$C$88=1,CROQUIS!$C$126&gt;0),((CROQUIS!$C$157+(IF(CROQUIS!$C$92="X",((CROQUIS!$C$107/2+(((CROQUIS!$C$98)-CROQUIS!$C$107)-(MIN(80,MAX(1,INT(((CROQUIS!$C$98)-CROQUIS!$C$107)/MAX(CROQUIS!$C$126,1))+1))-1)*CROQUIS!$C$126)/2)+MIN(INT(($A71-1)/5),MAX((MIN(80,MAX(1,INT(((CROQUIS!$C$98)-CROQUIS!$C$107)/MAX(CROQUIS!$C$126,1))+1)))-1,0))*CROQUIS!$C$126),CHOOSE(IF(INT(($A71-1)/5)&gt;MAX((MIN(80,MAX(1,INT(((CROQUIS!$C$98)-CROQUIS!$C$107)/MAX(CROQUIS!$C$126,1))+1)))-1,0),0,MOD($A71-1,5))+1,0,2,CROQUIS!$C$97-2,2,0)))*CROQUIS!$C$155)+IF(CROQUIS!$C$92="X",0,0)),-1000)</f>
        <v>-1000</v>
      </c>
      <c r="BJ71">
        <f>IF(AND(CROQUIS!$C$88=1,CROQUIS!$C$134&gt;0),((CROQUIS!$C$156+(IF(CROQUIS!$C$92="X",((CROQUIS!$C$107/2+(((CROQUIS!$C$97)-CROQUIS!$C$107)-(MIN(80,MAX(1,INT(((CROQUIS!$C$97)-CROQUIS!$C$107)/MAX(CROQUIS!$C$134,1))+1))-1)*CROQUIS!$C$134)/2)+MIN(INT(($A71-1)/5),MAX((MIN(80,MAX(1,INT(((CROQUIS!$C$97)-CROQUIS!$C$107)/MAX(CROQUIS!$C$134,1))+1)))-1,0))*CROQUIS!$C$134),CHOOSE(IF(INT(($A71-1)/5)&gt;MAX((MIN(80,MAX(1,INT(((CROQUIS!$C$97)-CROQUIS!$C$107)/MAX(CROQUIS!$C$134,1))+1)))-1,0),0,MOD($A71-1,5))+1,0,2,CROQUIS!$C$98-2,2,0)))*CROQUIS!$C$155)+IF(CROQUIS!$C$92="X",0,0)),-1000)</f>
        <v>-1000</v>
      </c>
      <c r="BK71">
        <f>IF(AND(CROQUIS!$C$88=1,CROQUIS!$C$134&gt;0),((CROQUIS!$C$157+(IF(CROQUIS!$C$92="X",CHOOSE(IF(INT(($A71-1)/5)&gt;MAX((MIN(80,MAX(1,INT(((CROQUIS!$C$97)-CROQUIS!$C$107)/MAX(CROQUIS!$C$134,1))+1)))-1,0),0,MOD($A71-1,5))+1,0,2,CROQUIS!$C$98-2,2,0),((CROQUIS!$C$107/2+(((CROQUIS!$C$97)-CROQUIS!$C$107)-(MIN(80,MAX(1,INT(((CROQUIS!$C$97)-CROQUIS!$C$107)/MAX(CROQUIS!$C$134,1))+1))-1)*CROQUIS!$C$134)/2)+MIN(INT(($A71-1)/5),MAX((MIN(80,MAX(1,INT(((CROQUIS!$C$97)-CROQUIS!$C$107)/MAX(CROQUIS!$C$134,1))+1)))-1,0))*CROQUIS!$C$134)))*CROQUIS!$C$155)+IF(CROQUIS!$C$92="X",0,0)),-1000)</f>
        <v>-1000</v>
      </c>
      <c r="BL71">
        <f>IF(AND(CROQUIS!$C$88=1,CROQUIS!$C$91=0,CROQUIS!$C$130&gt;0,OR(CROQUIS!$C$103=1,CROQUIS!$C$142=1)),((CROQUIS!$C$156+(IF(CROQUIS!$C$92="X",CHOOSE(IF(INT(($A71-1)/5)&gt;MAX((MIN(80,MAX(1,INT(((CROQUIS!$C$98)-CROQUIS!$C$107)/MAX(CROQUIS!$C$130,1))+1)))-1,0),0,MOD($A71-1,5))+1,0,IF(CROQUIS!$C$103=1,-12,2),CROQUIS!$C$107/2+CROQUIS!$C$140,IF(CROQUIS!$C$103=1,-12,2),0),((CROQUIS!$C$107/2+(((CROQUIS!$C$98)-CROQUIS!$C$107)-(MIN(80,MAX(1,INT(((CROQUIS!$C$98)-CROQUIS!$C$107)/MAX(CROQUIS!$C$130,1))+1))-1)*CROQUIS!$C$130)/2)+MIN(INT(($A71-1)/5),MAX((MIN(80,MAX(1,INT(((CROQUIS!$C$98)-CROQUIS!$C$107)/MAX(CROQUIS!$C$130,1))+1)))-1,0))*CROQUIS!$C$130)))*CROQUIS!$C$155)+IF(CROQUIS!$C$92="X",0,0)),-1000)</f>
        <v>-1000</v>
      </c>
      <c r="BM7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71-1)/5),MAX((MIN(80,MAX(1,INT(((CROQUIS!$C$98)-CROQUIS!$C$107)/MAX(CROQUIS!$C$130,1))+1)))-1,0))*CROQUIS!$C$130),CHOOSE(IF(INT(($A71-1)/5)&gt;MAX((MIN(80,MAX(1,INT(((CROQUIS!$C$98)-CROQUIS!$C$107)/MAX(CROQUIS!$C$130,1))+1)))-1,0),0,MOD($A71-1,5))+1,0,IF(CROQUIS!$C$103=1,-12,2),CROQUIS!$C$107/2+CROQUIS!$C$140,IF(CROQUIS!$C$103=1,-12,2),0)))*CROQUIS!$C$155)+IF(CROQUIS!$C$92="X",0,0)),-1000)</f>
        <v>-1000</v>
      </c>
      <c r="BN71">
        <f>IF(AND(CROQUIS!$C$88=1,CROQUIS!$C$91=0,CROQUIS!$C$130&gt;0,OR(CROQUIS!$C$104=1,CROQUIS!$C$142=1)),((CROQUIS!$C$156+(IF(CROQUIS!$C$92="X",CHOOSE(IF(INT(($A71-1)/5)&gt;MAX((MIN(80,MAX(1,INT(((CROQUIS!$C$98)-CROQUIS!$C$107)/MAX(CROQUIS!$C$130,1))+1)))-1,0),0,MOD($A71-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71-1)/5),MAX((MIN(80,MAX(1,INT(((CROQUIS!$C$98)-CROQUIS!$C$107)/MAX(CROQUIS!$C$130,1))+1)))-1,0))*CROQUIS!$C$130)))*CROQUIS!$C$155)+IF(CROQUIS!$C$92="X",0,0)),-1000)</f>
        <v>-1000</v>
      </c>
      <c r="BO7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71-1)/5),MAX((MIN(80,MAX(1,INT(((CROQUIS!$C$98)-CROQUIS!$C$107)/MAX(CROQUIS!$C$130,1))+1)))-1,0))*CROQUIS!$C$130),CHOOSE(IF(INT(($A71-1)/5)&gt;MAX((MIN(80,MAX(1,INT(((CROQUIS!$C$98)-CROQUIS!$C$107)/MAX(CROQUIS!$C$130,1))+1)))-1,0),0,MOD($A71-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7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71-1)/5),MAX((MIN(80,MAX(1,INT(((CROQUIS!$C$97)-CROQUIS!$C$107)/MAX(CROQUIS!$C$138,1))+1)))-1,0))*CROQUIS!$C$138),CHOOSE(IF(INT(($A71-1)/5)&gt;MAX((MIN(80,MAX(1,INT(((CROQUIS!$C$97)-CROQUIS!$C$107)/MAX(CROQUIS!$C$138,1))+1)))-1,0),0,MOD($A71-1,5))+1,0,IF(CROQUIS!$C$105=1,-12,2),CROQUIS!$C$107/2+CROQUIS!$C$141,IF(CROQUIS!$C$105=1,-12,2),0)))*CROQUIS!$C$155)+IF(CROQUIS!$C$92="X",0,0)),-1000)</f>
        <v>-1000</v>
      </c>
      <c r="BQ71">
        <f>IF(AND(CROQUIS!$C$88=1,CROQUIS!$C$91=0,CROQUIS!$C$138&gt;0,OR(CROQUIS!$C$105=1,CROQUIS!$C$143=1)),((CROQUIS!$C$157+(IF(CROQUIS!$C$92="X",CHOOSE(IF(INT(($A71-1)/5)&gt;MAX((MIN(80,MAX(1,INT(((CROQUIS!$C$97)-CROQUIS!$C$107)/MAX(CROQUIS!$C$138,1))+1)))-1,0),0,MOD($A71-1,5))+1,0,IF(CROQUIS!$C$105=1,-12,2),CROQUIS!$C$107/2+CROQUIS!$C$141,IF(CROQUIS!$C$105=1,-12,2),0),((CROQUIS!$C$107/2+(((CROQUIS!$C$97)-CROQUIS!$C$107)-(MIN(80,MAX(1,INT(((CROQUIS!$C$97)-CROQUIS!$C$107)/MAX(CROQUIS!$C$138,1))+1))-1)*CROQUIS!$C$138)/2)+MIN(INT(($A71-1)/5),MAX((MIN(80,MAX(1,INT(((CROQUIS!$C$97)-CROQUIS!$C$107)/MAX(CROQUIS!$C$138,1))+1)))-1,0))*CROQUIS!$C$138)))*CROQUIS!$C$155)+IF(CROQUIS!$C$92="X",0,0)),-1000)</f>
        <v>-1000</v>
      </c>
      <c r="BR7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71-1)/5),MAX((MIN(80,MAX(1,INT(((CROQUIS!$C$97)-CROQUIS!$C$107)/MAX(CROQUIS!$C$138,1))+1)))-1,0))*CROQUIS!$C$138),CHOOSE(IF(INT(($A71-1)/5)&gt;MAX((MIN(80,MAX(1,INT(((CROQUIS!$C$97)-CROQUIS!$C$107)/MAX(CROQUIS!$C$138,1))+1)))-1,0),0,MOD($A71-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71">
        <f>IF(AND(CROQUIS!$C$88=1,CROQUIS!$C$91=0,CROQUIS!$C$138&gt;0,OR(CROQUIS!$C$106=1,CROQUIS!$C$143=1)),((CROQUIS!$C$157+(IF(CROQUIS!$C$92="X",CHOOSE(IF(INT(($A71-1)/5)&gt;MAX((MIN(80,MAX(1,INT(((CROQUIS!$C$97)-CROQUIS!$C$107)/MAX(CROQUIS!$C$138,1))+1)))-1,0),0,MOD($A71-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71-1)/5),MAX((MIN(80,MAX(1,INT(((CROQUIS!$C$97)-CROQUIS!$C$107)/MAX(CROQUIS!$C$138,1))+1)))-1,0))*CROQUIS!$C$138)))*CROQUIS!$C$155)+IF(CROQUIS!$C$92="X",0,0)),-1000)</f>
        <v>-1000</v>
      </c>
      <c r="BT71">
        <f>IF(AND(CROQUIS!$C$88=1,CROQUIS!$C$91=1,CROQUIS!$C$130&gt;0),((CROQUIS!$C$156+(IF(CROQUIS!$C$92="X",CHOOSE(IF(INT(($A71-1)/5)&gt;MAX((MIN(80,MAX(1,INT(((CROQUIS!$C$98)-CROQUIS!$C$107)/MAX(CROQUIS!$C$130,1))+1)))-1,0),0,MOD($A71-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71-1)/5),MAX((MIN(80,MAX(1,INT(((CROQUIS!$C$98)-CROQUIS!$C$107)/MAX(CROQUIS!$C$130,1))+1)))-1,0))*CROQUIS!$C$130)))*CROQUIS!$C$155)+IF(CROQUIS!$C$92="X",0,0)),-1000)</f>
        <v>-1000</v>
      </c>
      <c r="BU71">
        <f>IF(AND(CROQUIS!$C$88=1,CROQUIS!$C$91=1,CROQUIS!$C$130&gt;0),((CROQUIS!$C$157+(IF(CROQUIS!$C$92="X",((CROQUIS!$C$107/2+(((CROQUIS!$C$98)-CROQUIS!$C$107)-(MIN(80,MAX(1,INT(((CROQUIS!$C$98)-CROQUIS!$C$107)/MAX(CROQUIS!$C$130,1))+1))-1)*CROQUIS!$C$130)/2)+MIN(INT(($A71-1)/5),MAX((MIN(80,MAX(1,INT(((CROQUIS!$C$98)-CROQUIS!$C$107)/MAX(CROQUIS!$C$130,1))+1)))-1,0))*CROQUIS!$C$130),CHOOSE(IF(INT(($A71-1)/5)&gt;MAX((MIN(80,MAX(1,INT(((CROQUIS!$C$98)-CROQUIS!$C$107)/MAX(CROQUIS!$C$130,1))+1)))-1,0),0,MOD($A71-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72">
      <c r="A72" t="n">
        <v>65</v>
      </c>
      <c r="AF72">
        <f>IF(AND(CROQUIS!$C$87=1,CROQUIS!$C$158&gt;0,CROQUIS!$C$160&gt;0),(CROQUIS!$C$156+((CROQUIS!$C$159+INT(MIN(INT(($A72-1)/2),MAX((2*CROQUIS!$C$158)-1,0))/2)*CROQUIS!$C$113+MOD(MIN(INT(($A72-1)/2),MAX((2*CROQUIS!$C$158)-1,0)),2)*CROQUIS!$C$112))*CROQUIS!$C$155),-1000)</f>
        <v>85.2010845006778</v>
      </c>
      <c r="AG72">
        <f>IF(AND(CROQUIS!$C$87=1,CROQUIS!$C$158&gt;0,CROQUIS!$C$160&gt;0),(CROQUIS!$C$157+(IF(MOD(MIN(INT(($A72-1)/2),MAX((2*CROQUIS!$C$158)-1,0)),2)=0,IF(IF(INT(($A72-1)/2)&gt;MAX((2*CROQUIS!$C$158)-1,0),1,MOD($A72-1,2))=0,CROQUIS!$C$161,(CROQUIS!$C$161+CROQUIS!$C$160*CROQUIS!$C$113-CROQUIS!$C$111)),IF(IF(INT(($A72-1)/2)&gt;MAX((2*CROQUIS!$C$158)-1,0),1,MOD($A72-1,2))=0,(CROQUIS!$C$161+CROQUIS!$C$160*CROQUIS!$C$113-CROQUIS!$C$111),CROQUIS!$C$161)))*CROQUIS!$C$155),-1000)</f>
        <v>20.8088567555355</v>
      </c>
      <c r="AH72">
        <f>IF(AND(CROQUIS!$C$87=1,CROQUIS!$C$160&gt;0,CROQUIS!$C$158&gt;0),(CROQUIS!$C$156+(IF(MOD(MIN(INT(($A72-1)/2),MAX((2*CROQUIS!$C$160)-1,0)),2)=0,IF(IF(INT(($A72-1)/2)&gt;MAX((2*CROQUIS!$C$160)-1,0),1,MOD($A72-1,2))=0,CROQUIS!$C$159,(CROQUIS!$C$159+CROQUIS!$C$158*CROQUIS!$C$113-CROQUIS!$C$111)),IF(IF(INT(($A72-1)/2)&gt;MAX((2*CROQUIS!$C$160)-1,0),1,MOD($A72-1,2))=0,(CROQUIS!$C$159+CROQUIS!$C$158*CROQUIS!$C$113-CROQUIS!$C$111),CROQUIS!$C$159)))*CROQUIS!$C$155),-1000)</f>
        <v>14.7989154993222</v>
      </c>
      <c r="AI72">
        <f>IF(AND(CROQUIS!$C$87=1,CROQUIS!$C$160&gt;0,CROQUIS!$C$158&gt;0),(CROQUIS!$C$157+((CROQUIS!$C$161+INT(MIN(INT(($A72-1)/2),MAX((2*CROQUIS!$C$160)-1,0))/2)*CROQUIS!$C$113+MOD(MIN(INT(($A72-1)/2),MAX((2*CROQUIS!$C$160)-1,0)),2)*CROQUIS!$C$112))*CROQUIS!$C$155),-1000)</f>
        <v>79.1911432444645</v>
      </c>
      <c r="BH72">
        <f>IF(AND(CROQUIS!$C$88=1,CROQUIS!$C$126&gt;0),((CROQUIS!$C$156+(IF(CROQUIS!$C$92="X",CHOOSE(IF(INT(($A72-1)/5)&gt;MAX((MIN(80,MAX(1,INT(((CROQUIS!$C$98)-CROQUIS!$C$107)/MAX(CROQUIS!$C$126,1))+1)))-1,0),0,MOD($A72-1,5))+1,0,2,CROQUIS!$C$97-2,2,0),((CROQUIS!$C$107/2+(((CROQUIS!$C$98)-CROQUIS!$C$107)-(MIN(80,MAX(1,INT(((CROQUIS!$C$98)-CROQUIS!$C$107)/MAX(CROQUIS!$C$126,1))+1))-1)*CROQUIS!$C$126)/2)+MIN(INT(($A72-1)/5),MAX((MIN(80,MAX(1,INT(((CROQUIS!$C$98)-CROQUIS!$C$107)/MAX(CROQUIS!$C$126,1))+1)))-1,0))*CROQUIS!$C$126)))*CROQUIS!$C$155)+IF(CROQUIS!$C$92="X",0,0)),-1000)</f>
        <v>-1000</v>
      </c>
      <c r="BI72">
        <f>IF(AND(CROQUIS!$C$88=1,CROQUIS!$C$126&gt;0),((CROQUIS!$C$157+(IF(CROQUIS!$C$92="X",((CROQUIS!$C$107/2+(((CROQUIS!$C$98)-CROQUIS!$C$107)-(MIN(80,MAX(1,INT(((CROQUIS!$C$98)-CROQUIS!$C$107)/MAX(CROQUIS!$C$126,1))+1))-1)*CROQUIS!$C$126)/2)+MIN(INT(($A72-1)/5),MAX((MIN(80,MAX(1,INT(((CROQUIS!$C$98)-CROQUIS!$C$107)/MAX(CROQUIS!$C$126,1))+1)))-1,0))*CROQUIS!$C$126),CHOOSE(IF(INT(($A72-1)/5)&gt;MAX((MIN(80,MAX(1,INT(((CROQUIS!$C$98)-CROQUIS!$C$107)/MAX(CROQUIS!$C$126,1))+1)))-1,0),0,MOD($A72-1,5))+1,0,2,CROQUIS!$C$97-2,2,0)))*CROQUIS!$C$155)+IF(CROQUIS!$C$92="X",0,0)),-1000)</f>
        <v>-1000</v>
      </c>
      <c r="BJ72">
        <f>IF(AND(CROQUIS!$C$88=1,CROQUIS!$C$134&gt;0),((CROQUIS!$C$156+(IF(CROQUIS!$C$92="X",((CROQUIS!$C$107/2+(((CROQUIS!$C$97)-CROQUIS!$C$107)-(MIN(80,MAX(1,INT(((CROQUIS!$C$97)-CROQUIS!$C$107)/MAX(CROQUIS!$C$134,1))+1))-1)*CROQUIS!$C$134)/2)+MIN(INT(($A72-1)/5),MAX((MIN(80,MAX(1,INT(((CROQUIS!$C$97)-CROQUIS!$C$107)/MAX(CROQUIS!$C$134,1))+1)))-1,0))*CROQUIS!$C$134),CHOOSE(IF(INT(($A72-1)/5)&gt;MAX((MIN(80,MAX(1,INT(((CROQUIS!$C$97)-CROQUIS!$C$107)/MAX(CROQUIS!$C$134,1))+1)))-1,0),0,MOD($A72-1,5))+1,0,2,CROQUIS!$C$98-2,2,0)))*CROQUIS!$C$155)+IF(CROQUIS!$C$92="X",0,0)),-1000)</f>
        <v>-1000</v>
      </c>
      <c r="BK72">
        <f>IF(AND(CROQUIS!$C$88=1,CROQUIS!$C$134&gt;0),((CROQUIS!$C$157+(IF(CROQUIS!$C$92="X",CHOOSE(IF(INT(($A72-1)/5)&gt;MAX((MIN(80,MAX(1,INT(((CROQUIS!$C$97)-CROQUIS!$C$107)/MAX(CROQUIS!$C$134,1))+1)))-1,0),0,MOD($A72-1,5))+1,0,2,CROQUIS!$C$98-2,2,0),((CROQUIS!$C$107/2+(((CROQUIS!$C$97)-CROQUIS!$C$107)-(MIN(80,MAX(1,INT(((CROQUIS!$C$97)-CROQUIS!$C$107)/MAX(CROQUIS!$C$134,1))+1))-1)*CROQUIS!$C$134)/2)+MIN(INT(($A72-1)/5),MAX((MIN(80,MAX(1,INT(((CROQUIS!$C$97)-CROQUIS!$C$107)/MAX(CROQUIS!$C$134,1))+1)))-1,0))*CROQUIS!$C$134)))*CROQUIS!$C$155)+IF(CROQUIS!$C$92="X",0,0)),-1000)</f>
        <v>-1000</v>
      </c>
      <c r="BL72">
        <f>IF(AND(CROQUIS!$C$88=1,CROQUIS!$C$91=0,CROQUIS!$C$130&gt;0,OR(CROQUIS!$C$103=1,CROQUIS!$C$142=1)),((CROQUIS!$C$156+(IF(CROQUIS!$C$92="X",CHOOSE(IF(INT(($A72-1)/5)&gt;MAX((MIN(80,MAX(1,INT(((CROQUIS!$C$98)-CROQUIS!$C$107)/MAX(CROQUIS!$C$130,1))+1)))-1,0),0,MOD($A72-1,5))+1,0,IF(CROQUIS!$C$103=1,-12,2),CROQUIS!$C$107/2+CROQUIS!$C$140,IF(CROQUIS!$C$103=1,-12,2),0),((CROQUIS!$C$107/2+(((CROQUIS!$C$98)-CROQUIS!$C$107)-(MIN(80,MAX(1,INT(((CROQUIS!$C$98)-CROQUIS!$C$107)/MAX(CROQUIS!$C$130,1))+1))-1)*CROQUIS!$C$130)/2)+MIN(INT(($A72-1)/5),MAX((MIN(80,MAX(1,INT(((CROQUIS!$C$98)-CROQUIS!$C$107)/MAX(CROQUIS!$C$130,1))+1)))-1,0))*CROQUIS!$C$130)))*CROQUIS!$C$155)+IF(CROQUIS!$C$92="X",0,0)),-1000)</f>
        <v>-1000</v>
      </c>
      <c r="BM7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72-1)/5),MAX((MIN(80,MAX(1,INT(((CROQUIS!$C$98)-CROQUIS!$C$107)/MAX(CROQUIS!$C$130,1))+1)))-1,0))*CROQUIS!$C$130),CHOOSE(IF(INT(($A72-1)/5)&gt;MAX((MIN(80,MAX(1,INT(((CROQUIS!$C$98)-CROQUIS!$C$107)/MAX(CROQUIS!$C$130,1))+1)))-1,0),0,MOD($A72-1,5))+1,0,IF(CROQUIS!$C$103=1,-12,2),CROQUIS!$C$107/2+CROQUIS!$C$140,IF(CROQUIS!$C$103=1,-12,2),0)))*CROQUIS!$C$155)+IF(CROQUIS!$C$92="X",0,0)),-1000)</f>
        <v>-1000</v>
      </c>
      <c r="BN72">
        <f>IF(AND(CROQUIS!$C$88=1,CROQUIS!$C$91=0,CROQUIS!$C$130&gt;0,OR(CROQUIS!$C$104=1,CROQUIS!$C$142=1)),((CROQUIS!$C$156+(IF(CROQUIS!$C$92="X",CHOOSE(IF(INT(($A72-1)/5)&gt;MAX((MIN(80,MAX(1,INT(((CROQUIS!$C$98)-CROQUIS!$C$107)/MAX(CROQUIS!$C$130,1))+1)))-1,0),0,MOD($A72-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72-1)/5),MAX((MIN(80,MAX(1,INT(((CROQUIS!$C$98)-CROQUIS!$C$107)/MAX(CROQUIS!$C$130,1))+1)))-1,0))*CROQUIS!$C$130)))*CROQUIS!$C$155)+IF(CROQUIS!$C$92="X",0,0)),-1000)</f>
        <v>-1000</v>
      </c>
      <c r="BO7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72-1)/5),MAX((MIN(80,MAX(1,INT(((CROQUIS!$C$98)-CROQUIS!$C$107)/MAX(CROQUIS!$C$130,1))+1)))-1,0))*CROQUIS!$C$130),CHOOSE(IF(INT(($A72-1)/5)&gt;MAX((MIN(80,MAX(1,INT(((CROQUIS!$C$98)-CROQUIS!$C$107)/MAX(CROQUIS!$C$130,1))+1)))-1,0),0,MOD($A72-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7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72-1)/5),MAX((MIN(80,MAX(1,INT(((CROQUIS!$C$97)-CROQUIS!$C$107)/MAX(CROQUIS!$C$138,1))+1)))-1,0))*CROQUIS!$C$138),CHOOSE(IF(INT(($A72-1)/5)&gt;MAX((MIN(80,MAX(1,INT(((CROQUIS!$C$97)-CROQUIS!$C$107)/MAX(CROQUIS!$C$138,1))+1)))-1,0),0,MOD($A72-1,5))+1,0,IF(CROQUIS!$C$105=1,-12,2),CROQUIS!$C$107/2+CROQUIS!$C$141,IF(CROQUIS!$C$105=1,-12,2),0)))*CROQUIS!$C$155)+IF(CROQUIS!$C$92="X",0,0)),-1000)</f>
        <v>-1000</v>
      </c>
      <c r="BQ72">
        <f>IF(AND(CROQUIS!$C$88=1,CROQUIS!$C$91=0,CROQUIS!$C$138&gt;0,OR(CROQUIS!$C$105=1,CROQUIS!$C$143=1)),((CROQUIS!$C$157+(IF(CROQUIS!$C$92="X",CHOOSE(IF(INT(($A72-1)/5)&gt;MAX((MIN(80,MAX(1,INT(((CROQUIS!$C$97)-CROQUIS!$C$107)/MAX(CROQUIS!$C$138,1))+1)))-1,0),0,MOD($A72-1,5))+1,0,IF(CROQUIS!$C$105=1,-12,2),CROQUIS!$C$107/2+CROQUIS!$C$141,IF(CROQUIS!$C$105=1,-12,2),0),((CROQUIS!$C$107/2+(((CROQUIS!$C$97)-CROQUIS!$C$107)-(MIN(80,MAX(1,INT(((CROQUIS!$C$97)-CROQUIS!$C$107)/MAX(CROQUIS!$C$138,1))+1))-1)*CROQUIS!$C$138)/2)+MIN(INT(($A72-1)/5),MAX((MIN(80,MAX(1,INT(((CROQUIS!$C$97)-CROQUIS!$C$107)/MAX(CROQUIS!$C$138,1))+1)))-1,0))*CROQUIS!$C$138)))*CROQUIS!$C$155)+IF(CROQUIS!$C$92="X",0,0)),-1000)</f>
        <v>-1000</v>
      </c>
      <c r="BR7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72-1)/5),MAX((MIN(80,MAX(1,INT(((CROQUIS!$C$97)-CROQUIS!$C$107)/MAX(CROQUIS!$C$138,1))+1)))-1,0))*CROQUIS!$C$138),CHOOSE(IF(INT(($A72-1)/5)&gt;MAX((MIN(80,MAX(1,INT(((CROQUIS!$C$97)-CROQUIS!$C$107)/MAX(CROQUIS!$C$138,1))+1)))-1,0),0,MOD($A72-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72">
        <f>IF(AND(CROQUIS!$C$88=1,CROQUIS!$C$91=0,CROQUIS!$C$138&gt;0,OR(CROQUIS!$C$106=1,CROQUIS!$C$143=1)),((CROQUIS!$C$157+(IF(CROQUIS!$C$92="X",CHOOSE(IF(INT(($A72-1)/5)&gt;MAX((MIN(80,MAX(1,INT(((CROQUIS!$C$97)-CROQUIS!$C$107)/MAX(CROQUIS!$C$138,1))+1)))-1,0),0,MOD($A72-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72-1)/5),MAX((MIN(80,MAX(1,INT(((CROQUIS!$C$97)-CROQUIS!$C$107)/MAX(CROQUIS!$C$138,1))+1)))-1,0))*CROQUIS!$C$138)))*CROQUIS!$C$155)+IF(CROQUIS!$C$92="X",0,0)),-1000)</f>
        <v>-1000</v>
      </c>
      <c r="BT72">
        <f>IF(AND(CROQUIS!$C$88=1,CROQUIS!$C$91=1,CROQUIS!$C$130&gt;0),((CROQUIS!$C$156+(IF(CROQUIS!$C$92="X",CHOOSE(IF(INT(($A72-1)/5)&gt;MAX((MIN(80,MAX(1,INT(((CROQUIS!$C$98)-CROQUIS!$C$107)/MAX(CROQUIS!$C$130,1))+1)))-1,0),0,MOD($A72-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72-1)/5),MAX((MIN(80,MAX(1,INT(((CROQUIS!$C$98)-CROQUIS!$C$107)/MAX(CROQUIS!$C$130,1))+1)))-1,0))*CROQUIS!$C$130)))*CROQUIS!$C$155)+IF(CROQUIS!$C$92="X",0,0)),-1000)</f>
        <v>-1000</v>
      </c>
      <c r="BU72">
        <f>IF(AND(CROQUIS!$C$88=1,CROQUIS!$C$91=1,CROQUIS!$C$130&gt;0),((CROQUIS!$C$157+(IF(CROQUIS!$C$92="X",((CROQUIS!$C$107/2+(((CROQUIS!$C$98)-CROQUIS!$C$107)-(MIN(80,MAX(1,INT(((CROQUIS!$C$98)-CROQUIS!$C$107)/MAX(CROQUIS!$C$130,1))+1))-1)*CROQUIS!$C$130)/2)+MIN(INT(($A72-1)/5),MAX((MIN(80,MAX(1,INT(((CROQUIS!$C$98)-CROQUIS!$C$107)/MAX(CROQUIS!$C$130,1))+1)))-1,0))*CROQUIS!$C$130),CHOOSE(IF(INT(($A72-1)/5)&gt;MAX((MIN(80,MAX(1,INT(((CROQUIS!$C$98)-CROQUIS!$C$107)/MAX(CROQUIS!$C$130,1))+1)))-1,0),0,MOD($A72-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73">
      <c r="A73" t="n">
        <v>66</v>
      </c>
      <c r="AF73">
        <f>IF(AND(CROQUIS!$C$87=1,CROQUIS!$C$158&gt;0,CROQUIS!$C$160&gt;0),(CROQUIS!$C$156+((CROQUIS!$C$159+INT(MIN(INT(($A73-1)/2),MAX((2*CROQUIS!$C$158)-1,0))/2)*CROQUIS!$C$113+MOD(MIN(INT(($A73-1)/2),MAX((2*CROQUIS!$C$158)-1,0)),2)*CROQUIS!$C$112))*CROQUIS!$C$155),-1000)</f>
        <v>85.2010845006778</v>
      </c>
      <c r="AG73">
        <f>IF(AND(CROQUIS!$C$87=1,CROQUIS!$C$158&gt;0,CROQUIS!$C$160&gt;0),(CROQUIS!$C$157+(IF(MOD(MIN(INT(($A73-1)/2),MAX((2*CROQUIS!$C$158)-1,0)),2)=0,IF(IF(INT(($A73-1)/2)&gt;MAX((2*CROQUIS!$C$158)-1,0),1,MOD($A73-1,2))=0,CROQUIS!$C$161,(CROQUIS!$C$161+CROQUIS!$C$160*CROQUIS!$C$113-CROQUIS!$C$111)),IF(IF(INT(($A73-1)/2)&gt;MAX((2*CROQUIS!$C$158)-1,0),1,MOD($A73-1,2))=0,(CROQUIS!$C$161+CROQUIS!$C$160*CROQUIS!$C$113-CROQUIS!$C$111),CROQUIS!$C$161)))*CROQUIS!$C$155),-1000)</f>
        <v>20.8088567555355</v>
      </c>
      <c r="AH73">
        <f>IF(AND(CROQUIS!$C$87=1,CROQUIS!$C$160&gt;0,CROQUIS!$C$158&gt;0),(CROQUIS!$C$156+(IF(MOD(MIN(INT(($A73-1)/2),MAX((2*CROQUIS!$C$160)-1,0)),2)=0,IF(IF(INT(($A73-1)/2)&gt;MAX((2*CROQUIS!$C$160)-1,0),1,MOD($A73-1,2))=0,CROQUIS!$C$159,(CROQUIS!$C$159+CROQUIS!$C$158*CROQUIS!$C$113-CROQUIS!$C$111)),IF(IF(INT(($A73-1)/2)&gt;MAX((2*CROQUIS!$C$160)-1,0),1,MOD($A73-1,2))=0,(CROQUIS!$C$159+CROQUIS!$C$158*CROQUIS!$C$113-CROQUIS!$C$111),CROQUIS!$C$159)))*CROQUIS!$C$155),-1000)</f>
        <v>14.7989154993222</v>
      </c>
      <c r="AI73">
        <f>IF(AND(CROQUIS!$C$87=1,CROQUIS!$C$160&gt;0,CROQUIS!$C$158&gt;0),(CROQUIS!$C$157+((CROQUIS!$C$161+INT(MIN(INT(($A73-1)/2),MAX((2*CROQUIS!$C$160)-1,0))/2)*CROQUIS!$C$113+MOD(MIN(INT(($A73-1)/2),MAX((2*CROQUIS!$C$160)-1,0)),2)*CROQUIS!$C$112))*CROQUIS!$C$155),-1000)</f>
        <v>79.1911432444645</v>
      </c>
      <c r="BH73">
        <f>IF(AND(CROQUIS!$C$88=1,CROQUIS!$C$126&gt;0),((CROQUIS!$C$156+(IF(CROQUIS!$C$92="X",CHOOSE(IF(INT(($A73-1)/5)&gt;MAX((MIN(80,MAX(1,INT(((CROQUIS!$C$98)-CROQUIS!$C$107)/MAX(CROQUIS!$C$126,1))+1)))-1,0),0,MOD($A73-1,5))+1,0,2,CROQUIS!$C$97-2,2,0),((CROQUIS!$C$107/2+(((CROQUIS!$C$98)-CROQUIS!$C$107)-(MIN(80,MAX(1,INT(((CROQUIS!$C$98)-CROQUIS!$C$107)/MAX(CROQUIS!$C$126,1))+1))-1)*CROQUIS!$C$126)/2)+MIN(INT(($A73-1)/5),MAX((MIN(80,MAX(1,INT(((CROQUIS!$C$98)-CROQUIS!$C$107)/MAX(CROQUIS!$C$126,1))+1)))-1,0))*CROQUIS!$C$126)))*CROQUIS!$C$155)+IF(CROQUIS!$C$92="X",0,0)),-1000)</f>
        <v>-1000</v>
      </c>
      <c r="BI73">
        <f>IF(AND(CROQUIS!$C$88=1,CROQUIS!$C$126&gt;0),((CROQUIS!$C$157+(IF(CROQUIS!$C$92="X",((CROQUIS!$C$107/2+(((CROQUIS!$C$98)-CROQUIS!$C$107)-(MIN(80,MAX(1,INT(((CROQUIS!$C$98)-CROQUIS!$C$107)/MAX(CROQUIS!$C$126,1))+1))-1)*CROQUIS!$C$126)/2)+MIN(INT(($A73-1)/5),MAX((MIN(80,MAX(1,INT(((CROQUIS!$C$98)-CROQUIS!$C$107)/MAX(CROQUIS!$C$126,1))+1)))-1,0))*CROQUIS!$C$126),CHOOSE(IF(INT(($A73-1)/5)&gt;MAX((MIN(80,MAX(1,INT(((CROQUIS!$C$98)-CROQUIS!$C$107)/MAX(CROQUIS!$C$126,1))+1)))-1,0),0,MOD($A73-1,5))+1,0,2,CROQUIS!$C$97-2,2,0)))*CROQUIS!$C$155)+IF(CROQUIS!$C$92="X",0,0)),-1000)</f>
        <v>-1000</v>
      </c>
      <c r="BJ73">
        <f>IF(AND(CROQUIS!$C$88=1,CROQUIS!$C$134&gt;0),((CROQUIS!$C$156+(IF(CROQUIS!$C$92="X",((CROQUIS!$C$107/2+(((CROQUIS!$C$97)-CROQUIS!$C$107)-(MIN(80,MAX(1,INT(((CROQUIS!$C$97)-CROQUIS!$C$107)/MAX(CROQUIS!$C$134,1))+1))-1)*CROQUIS!$C$134)/2)+MIN(INT(($A73-1)/5),MAX((MIN(80,MAX(1,INT(((CROQUIS!$C$97)-CROQUIS!$C$107)/MAX(CROQUIS!$C$134,1))+1)))-1,0))*CROQUIS!$C$134),CHOOSE(IF(INT(($A73-1)/5)&gt;MAX((MIN(80,MAX(1,INT(((CROQUIS!$C$97)-CROQUIS!$C$107)/MAX(CROQUIS!$C$134,1))+1)))-1,0),0,MOD($A73-1,5))+1,0,2,CROQUIS!$C$98-2,2,0)))*CROQUIS!$C$155)+IF(CROQUIS!$C$92="X",0,0)),-1000)</f>
        <v>-1000</v>
      </c>
      <c r="BK73">
        <f>IF(AND(CROQUIS!$C$88=1,CROQUIS!$C$134&gt;0),((CROQUIS!$C$157+(IF(CROQUIS!$C$92="X",CHOOSE(IF(INT(($A73-1)/5)&gt;MAX((MIN(80,MAX(1,INT(((CROQUIS!$C$97)-CROQUIS!$C$107)/MAX(CROQUIS!$C$134,1))+1)))-1,0),0,MOD($A73-1,5))+1,0,2,CROQUIS!$C$98-2,2,0),((CROQUIS!$C$107/2+(((CROQUIS!$C$97)-CROQUIS!$C$107)-(MIN(80,MAX(1,INT(((CROQUIS!$C$97)-CROQUIS!$C$107)/MAX(CROQUIS!$C$134,1))+1))-1)*CROQUIS!$C$134)/2)+MIN(INT(($A73-1)/5),MAX((MIN(80,MAX(1,INT(((CROQUIS!$C$97)-CROQUIS!$C$107)/MAX(CROQUIS!$C$134,1))+1)))-1,0))*CROQUIS!$C$134)))*CROQUIS!$C$155)+IF(CROQUIS!$C$92="X",0,0)),-1000)</f>
        <v>-1000</v>
      </c>
      <c r="BL73">
        <f>IF(AND(CROQUIS!$C$88=1,CROQUIS!$C$91=0,CROQUIS!$C$130&gt;0,OR(CROQUIS!$C$103=1,CROQUIS!$C$142=1)),((CROQUIS!$C$156+(IF(CROQUIS!$C$92="X",CHOOSE(IF(INT(($A73-1)/5)&gt;MAX((MIN(80,MAX(1,INT(((CROQUIS!$C$98)-CROQUIS!$C$107)/MAX(CROQUIS!$C$130,1))+1)))-1,0),0,MOD($A73-1,5))+1,0,IF(CROQUIS!$C$103=1,-12,2),CROQUIS!$C$107/2+CROQUIS!$C$140,IF(CROQUIS!$C$103=1,-12,2),0),((CROQUIS!$C$107/2+(((CROQUIS!$C$98)-CROQUIS!$C$107)-(MIN(80,MAX(1,INT(((CROQUIS!$C$98)-CROQUIS!$C$107)/MAX(CROQUIS!$C$130,1))+1))-1)*CROQUIS!$C$130)/2)+MIN(INT(($A73-1)/5),MAX((MIN(80,MAX(1,INT(((CROQUIS!$C$98)-CROQUIS!$C$107)/MAX(CROQUIS!$C$130,1))+1)))-1,0))*CROQUIS!$C$130)))*CROQUIS!$C$155)+IF(CROQUIS!$C$92="X",0,0)),-1000)</f>
        <v>-1000</v>
      </c>
      <c r="BM7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73-1)/5),MAX((MIN(80,MAX(1,INT(((CROQUIS!$C$98)-CROQUIS!$C$107)/MAX(CROQUIS!$C$130,1))+1)))-1,0))*CROQUIS!$C$130),CHOOSE(IF(INT(($A73-1)/5)&gt;MAX((MIN(80,MAX(1,INT(((CROQUIS!$C$98)-CROQUIS!$C$107)/MAX(CROQUIS!$C$130,1))+1)))-1,0),0,MOD($A73-1,5))+1,0,IF(CROQUIS!$C$103=1,-12,2),CROQUIS!$C$107/2+CROQUIS!$C$140,IF(CROQUIS!$C$103=1,-12,2),0)))*CROQUIS!$C$155)+IF(CROQUIS!$C$92="X",0,0)),-1000)</f>
        <v>-1000</v>
      </c>
      <c r="BN73">
        <f>IF(AND(CROQUIS!$C$88=1,CROQUIS!$C$91=0,CROQUIS!$C$130&gt;0,OR(CROQUIS!$C$104=1,CROQUIS!$C$142=1)),((CROQUIS!$C$156+(IF(CROQUIS!$C$92="X",CHOOSE(IF(INT(($A73-1)/5)&gt;MAX((MIN(80,MAX(1,INT(((CROQUIS!$C$98)-CROQUIS!$C$107)/MAX(CROQUIS!$C$130,1))+1)))-1,0),0,MOD($A73-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73-1)/5),MAX((MIN(80,MAX(1,INT(((CROQUIS!$C$98)-CROQUIS!$C$107)/MAX(CROQUIS!$C$130,1))+1)))-1,0))*CROQUIS!$C$130)))*CROQUIS!$C$155)+IF(CROQUIS!$C$92="X",0,0)),-1000)</f>
        <v>-1000</v>
      </c>
      <c r="BO7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73-1)/5),MAX((MIN(80,MAX(1,INT(((CROQUIS!$C$98)-CROQUIS!$C$107)/MAX(CROQUIS!$C$130,1))+1)))-1,0))*CROQUIS!$C$130),CHOOSE(IF(INT(($A73-1)/5)&gt;MAX((MIN(80,MAX(1,INT(((CROQUIS!$C$98)-CROQUIS!$C$107)/MAX(CROQUIS!$C$130,1))+1)))-1,0),0,MOD($A73-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7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73-1)/5),MAX((MIN(80,MAX(1,INT(((CROQUIS!$C$97)-CROQUIS!$C$107)/MAX(CROQUIS!$C$138,1))+1)))-1,0))*CROQUIS!$C$138),CHOOSE(IF(INT(($A73-1)/5)&gt;MAX((MIN(80,MAX(1,INT(((CROQUIS!$C$97)-CROQUIS!$C$107)/MAX(CROQUIS!$C$138,1))+1)))-1,0),0,MOD($A73-1,5))+1,0,IF(CROQUIS!$C$105=1,-12,2),CROQUIS!$C$107/2+CROQUIS!$C$141,IF(CROQUIS!$C$105=1,-12,2),0)))*CROQUIS!$C$155)+IF(CROQUIS!$C$92="X",0,0)),-1000)</f>
        <v>-1000</v>
      </c>
      <c r="BQ73">
        <f>IF(AND(CROQUIS!$C$88=1,CROQUIS!$C$91=0,CROQUIS!$C$138&gt;0,OR(CROQUIS!$C$105=1,CROQUIS!$C$143=1)),((CROQUIS!$C$157+(IF(CROQUIS!$C$92="X",CHOOSE(IF(INT(($A73-1)/5)&gt;MAX((MIN(80,MAX(1,INT(((CROQUIS!$C$97)-CROQUIS!$C$107)/MAX(CROQUIS!$C$138,1))+1)))-1,0),0,MOD($A73-1,5))+1,0,IF(CROQUIS!$C$105=1,-12,2),CROQUIS!$C$107/2+CROQUIS!$C$141,IF(CROQUIS!$C$105=1,-12,2),0),((CROQUIS!$C$107/2+(((CROQUIS!$C$97)-CROQUIS!$C$107)-(MIN(80,MAX(1,INT(((CROQUIS!$C$97)-CROQUIS!$C$107)/MAX(CROQUIS!$C$138,1))+1))-1)*CROQUIS!$C$138)/2)+MIN(INT(($A73-1)/5),MAX((MIN(80,MAX(1,INT(((CROQUIS!$C$97)-CROQUIS!$C$107)/MAX(CROQUIS!$C$138,1))+1)))-1,0))*CROQUIS!$C$138)))*CROQUIS!$C$155)+IF(CROQUIS!$C$92="X",0,0)),-1000)</f>
        <v>-1000</v>
      </c>
      <c r="BR7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73-1)/5),MAX((MIN(80,MAX(1,INT(((CROQUIS!$C$97)-CROQUIS!$C$107)/MAX(CROQUIS!$C$138,1))+1)))-1,0))*CROQUIS!$C$138),CHOOSE(IF(INT(($A73-1)/5)&gt;MAX((MIN(80,MAX(1,INT(((CROQUIS!$C$97)-CROQUIS!$C$107)/MAX(CROQUIS!$C$138,1))+1)))-1,0),0,MOD($A73-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73">
        <f>IF(AND(CROQUIS!$C$88=1,CROQUIS!$C$91=0,CROQUIS!$C$138&gt;0,OR(CROQUIS!$C$106=1,CROQUIS!$C$143=1)),((CROQUIS!$C$157+(IF(CROQUIS!$C$92="X",CHOOSE(IF(INT(($A73-1)/5)&gt;MAX((MIN(80,MAX(1,INT(((CROQUIS!$C$97)-CROQUIS!$C$107)/MAX(CROQUIS!$C$138,1))+1)))-1,0),0,MOD($A73-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73-1)/5),MAX((MIN(80,MAX(1,INT(((CROQUIS!$C$97)-CROQUIS!$C$107)/MAX(CROQUIS!$C$138,1))+1)))-1,0))*CROQUIS!$C$138)))*CROQUIS!$C$155)+IF(CROQUIS!$C$92="X",0,0)),-1000)</f>
        <v>-1000</v>
      </c>
      <c r="BT73">
        <f>IF(AND(CROQUIS!$C$88=1,CROQUIS!$C$91=1,CROQUIS!$C$130&gt;0),((CROQUIS!$C$156+(IF(CROQUIS!$C$92="X",CHOOSE(IF(INT(($A73-1)/5)&gt;MAX((MIN(80,MAX(1,INT(((CROQUIS!$C$98)-CROQUIS!$C$107)/MAX(CROQUIS!$C$130,1))+1)))-1,0),0,MOD($A73-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73-1)/5),MAX((MIN(80,MAX(1,INT(((CROQUIS!$C$98)-CROQUIS!$C$107)/MAX(CROQUIS!$C$130,1))+1)))-1,0))*CROQUIS!$C$130)))*CROQUIS!$C$155)+IF(CROQUIS!$C$92="X",0,0)),-1000)</f>
        <v>-1000</v>
      </c>
      <c r="BU73">
        <f>IF(AND(CROQUIS!$C$88=1,CROQUIS!$C$91=1,CROQUIS!$C$130&gt;0),((CROQUIS!$C$157+(IF(CROQUIS!$C$92="X",((CROQUIS!$C$107/2+(((CROQUIS!$C$98)-CROQUIS!$C$107)-(MIN(80,MAX(1,INT(((CROQUIS!$C$98)-CROQUIS!$C$107)/MAX(CROQUIS!$C$130,1))+1))-1)*CROQUIS!$C$130)/2)+MIN(INT(($A73-1)/5),MAX((MIN(80,MAX(1,INT(((CROQUIS!$C$98)-CROQUIS!$C$107)/MAX(CROQUIS!$C$130,1))+1)))-1,0))*CROQUIS!$C$130),CHOOSE(IF(INT(($A73-1)/5)&gt;MAX((MIN(80,MAX(1,INT(((CROQUIS!$C$98)-CROQUIS!$C$107)/MAX(CROQUIS!$C$130,1))+1)))-1,0),0,MOD($A73-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74">
      <c r="A74" t="n">
        <v>67</v>
      </c>
      <c r="AF74">
        <f>IF(AND(CROQUIS!$C$87=1,CROQUIS!$C$158&gt;0,CROQUIS!$C$160&gt;0),(CROQUIS!$C$156+((CROQUIS!$C$159+INT(MIN(INT(($A74-1)/2),MAX((2*CROQUIS!$C$158)-1,0))/2)*CROQUIS!$C$113+MOD(MIN(INT(($A74-1)/2),MAX((2*CROQUIS!$C$158)-1,0)),2)*CROQUIS!$C$112))*CROQUIS!$C$155),-1000)</f>
        <v>85.2010845006778</v>
      </c>
      <c r="AG74">
        <f>IF(AND(CROQUIS!$C$87=1,CROQUIS!$C$158&gt;0,CROQUIS!$C$160&gt;0),(CROQUIS!$C$157+(IF(MOD(MIN(INT(($A74-1)/2),MAX((2*CROQUIS!$C$158)-1,0)),2)=0,IF(IF(INT(($A74-1)/2)&gt;MAX((2*CROQUIS!$C$158)-1,0),1,MOD($A74-1,2))=0,CROQUIS!$C$161,(CROQUIS!$C$161+CROQUIS!$C$160*CROQUIS!$C$113-CROQUIS!$C$111)),IF(IF(INT(($A74-1)/2)&gt;MAX((2*CROQUIS!$C$158)-1,0),1,MOD($A74-1,2))=0,(CROQUIS!$C$161+CROQUIS!$C$160*CROQUIS!$C$113-CROQUIS!$C$111),CROQUIS!$C$161)))*CROQUIS!$C$155),-1000)</f>
        <v>20.8088567555355</v>
      </c>
      <c r="AH74">
        <f>IF(AND(CROQUIS!$C$87=1,CROQUIS!$C$160&gt;0,CROQUIS!$C$158&gt;0),(CROQUIS!$C$156+(IF(MOD(MIN(INT(($A74-1)/2),MAX((2*CROQUIS!$C$160)-1,0)),2)=0,IF(IF(INT(($A74-1)/2)&gt;MAX((2*CROQUIS!$C$160)-1,0),1,MOD($A74-1,2))=0,CROQUIS!$C$159,(CROQUIS!$C$159+CROQUIS!$C$158*CROQUIS!$C$113-CROQUIS!$C$111)),IF(IF(INT(($A74-1)/2)&gt;MAX((2*CROQUIS!$C$160)-1,0),1,MOD($A74-1,2))=0,(CROQUIS!$C$159+CROQUIS!$C$158*CROQUIS!$C$113-CROQUIS!$C$111),CROQUIS!$C$159)))*CROQUIS!$C$155),-1000)</f>
        <v>14.7989154993222</v>
      </c>
      <c r="AI74">
        <f>IF(AND(CROQUIS!$C$87=1,CROQUIS!$C$160&gt;0,CROQUIS!$C$158&gt;0),(CROQUIS!$C$157+((CROQUIS!$C$161+INT(MIN(INT(($A74-1)/2),MAX((2*CROQUIS!$C$160)-1,0))/2)*CROQUIS!$C$113+MOD(MIN(INT(($A74-1)/2),MAX((2*CROQUIS!$C$160)-1,0)),2)*CROQUIS!$C$112))*CROQUIS!$C$155),-1000)</f>
        <v>79.1911432444645</v>
      </c>
      <c r="BH74">
        <f>IF(AND(CROQUIS!$C$88=1,CROQUIS!$C$126&gt;0),((CROQUIS!$C$156+(IF(CROQUIS!$C$92="X",CHOOSE(IF(INT(($A74-1)/5)&gt;MAX((MIN(80,MAX(1,INT(((CROQUIS!$C$98)-CROQUIS!$C$107)/MAX(CROQUIS!$C$126,1))+1)))-1,0),0,MOD($A74-1,5))+1,0,2,CROQUIS!$C$97-2,2,0),((CROQUIS!$C$107/2+(((CROQUIS!$C$98)-CROQUIS!$C$107)-(MIN(80,MAX(1,INT(((CROQUIS!$C$98)-CROQUIS!$C$107)/MAX(CROQUIS!$C$126,1))+1))-1)*CROQUIS!$C$126)/2)+MIN(INT(($A74-1)/5),MAX((MIN(80,MAX(1,INT(((CROQUIS!$C$98)-CROQUIS!$C$107)/MAX(CROQUIS!$C$126,1))+1)))-1,0))*CROQUIS!$C$126)))*CROQUIS!$C$155)+IF(CROQUIS!$C$92="X",0,0)),-1000)</f>
        <v>-1000</v>
      </c>
      <c r="BI74">
        <f>IF(AND(CROQUIS!$C$88=1,CROQUIS!$C$126&gt;0),((CROQUIS!$C$157+(IF(CROQUIS!$C$92="X",((CROQUIS!$C$107/2+(((CROQUIS!$C$98)-CROQUIS!$C$107)-(MIN(80,MAX(1,INT(((CROQUIS!$C$98)-CROQUIS!$C$107)/MAX(CROQUIS!$C$126,1))+1))-1)*CROQUIS!$C$126)/2)+MIN(INT(($A74-1)/5),MAX((MIN(80,MAX(1,INT(((CROQUIS!$C$98)-CROQUIS!$C$107)/MAX(CROQUIS!$C$126,1))+1)))-1,0))*CROQUIS!$C$126),CHOOSE(IF(INT(($A74-1)/5)&gt;MAX((MIN(80,MAX(1,INT(((CROQUIS!$C$98)-CROQUIS!$C$107)/MAX(CROQUIS!$C$126,1))+1)))-1,0),0,MOD($A74-1,5))+1,0,2,CROQUIS!$C$97-2,2,0)))*CROQUIS!$C$155)+IF(CROQUIS!$C$92="X",0,0)),-1000)</f>
        <v>-1000</v>
      </c>
      <c r="BJ74">
        <f>IF(AND(CROQUIS!$C$88=1,CROQUIS!$C$134&gt;0),((CROQUIS!$C$156+(IF(CROQUIS!$C$92="X",((CROQUIS!$C$107/2+(((CROQUIS!$C$97)-CROQUIS!$C$107)-(MIN(80,MAX(1,INT(((CROQUIS!$C$97)-CROQUIS!$C$107)/MAX(CROQUIS!$C$134,1))+1))-1)*CROQUIS!$C$134)/2)+MIN(INT(($A74-1)/5),MAX((MIN(80,MAX(1,INT(((CROQUIS!$C$97)-CROQUIS!$C$107)/MAX(CROQUIS!$C$134,1))+1)))-1,0))*CROQUIS!$C$134),CHOOSE(IF(INT(($A74-1)/5)&gt;MAX((MIN(80,MAX(1,INT(((CROQUIS!$C$97)-CROQUIS!$C$107)/MAX(CROQUIS!$C$134,1))+1)))-1,0),0,MOD($A74-1,5))+1,0,2,CROQUIS!$C$98-2,2,0)))*CROQUIS!$C$155)+IF(CROQUIS!$C$92="X",0,0)),-1000)</f>
        <v>-1000</v>
      </c>
      <c r="BK74">
        <f>IF(AND(CROQUIS!$C$88=1,CROQUIS!$C$134&gt;0),((CROQUIS!$C$157+(IF(CROQUIS!$C$92="X",CHOOSE(IF(INT(($A74-1)/5)&gt;MAX((MIN(80,MAX(1,INT(((CROQUIS!$C$97)-CROQUIS!$C$107)/MAX(CROQUIS!$C$134,1))+1)))-1,0),0,MOD($A74-1,5))+1,0,2,CROQUIS!$C$98-2,2,0),((CROQUIS!$C$107/2+(((CROQUIS!$C$97)-CROQUIS!$C$107)-(MIN(80,MAX(1,INT(((CROQUIS!$C$97)-CROQUIS!$C$107)/MAX(CROQUIS!$C$134,1))+1))-1)*CROQUIS!$C$134)/2)+MIN(INT(($A74-1)/5),MAX((MIN(80,MAX(1,INT(((CROQUIS!$C$97)-CROQUIS!$C$107)/MAX(CROQUIS!$C$134,1))+1)))-1,0))*CROQUIS!$C$134)))*CROQUIS!$C$155)+IF(CROQUIS!$C$92="X",0,0)),-1000)</f>
        <v>-1000</v>
      </c>
      <c r="BL74">
        <f>IF(AND(CROQUIS!$C$88=1,CROQUIS!$C$91=0,CROQUIS!$C$130&gt;0,OR(CROQUIS!$C$103=1,CROQUIS!$C$142=1)),((CROQUIS!$C$156+(IF(CROQUIS!$C$92="X",CHOOSE(IF(INT(($A74-1)/5)&gt;MAX((MIN(80,MAX(1,INT(((CROQUIS!$C$98)-CROQUIS!$C$107)/MAX(CROQUIS!$C$130,1))+1)))-1,0),0,MOD($A74-1,5))+1,0,IF(CROQUIS!$C$103=1,-12,2),CROQUIS!$C$107/2+CROQUIS!$C$140,IF(CROQUIS!$C$103=1,-12,2),0),((CROQUIS!$C$107/2+(((CROQUIS!$C$98)-CROQUIS!$C$107)-(MIN(80,MAX(1,INT(((CROQUIS!$C$98)-CROQUIS!$C$107)/MAX(CROQUIS!$C$130,1))+1))-1)*CROQUIS!$C$130)/2)+MIN(INT(($A74-1)/5),MAX((MIN(80,MAX(1,INT(((CROQUIS!$C$98)-CROQUIS!$C$107)/MAX(CROQUIS!$C$130,1))+1)))-1,0))*CROQUIS!$C$130)))*CROQUIS!$C$155)+IF(CROQUIS!$C$92="X",0,0)),-1000)</f>
        <v>-1000</v>
      </c>
      <c r="BM7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74-1)/5),MAX((MIN(80,MAX(1,INT(((CROQUIS!$C$98)-CROQUIS!$C$107)/MAX(CROQUIS!$C$130,1))+1)))-1,0))*CROQUIS!$C$130),CHOOSE(IF(INT(($A74-1)/5)&gt;MAX((MIN(80,MAX(1,INT(((CROQUIS!$C$98)-CROQUIS!$C$107)/MAX(CROQUIS!$C$130,1))+1)))-1,0),0,MOD($A74-1,5))+1,0,IF(CROQUIS!$C$103=1,-12,2),CROQUIS!$C$107/2+CROQUIS!$C$140,IF(CROQUIS!$C$103=1,-12,2),0)))*CROQUIS!$C$155)+IF(CROQUIS!$C$92="X",0,0)),-1000)</f>
        <v>-1000</v>
      </c>
      <c r="BN74">
        <f>IF(AND(CROQUIS!$C$88=1,CROQUIS!$C$91=0,CROQUIS!$C$130&gt;0,OR(CROQUIS!$C$104=1,CROQUIS!$C$142=1)),((CROQUIS!$C$156+(IF(CROQUIS!$C$92="X",CHOOSE(IF(INT(($A74-1)/5)&gt;MAX((MIN(80,MAX(1,INT(((CROQUIS!$C$98)-CROQUIS!$C$107)/MAX(CROQUIS!$C$130,1))+1)))-1,0),0,MOD($A74-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74-1)/5),MAX((MIN(80,MAX(1,INT(((CROQUIS!$C$98)-CROQUIS!$C$107)/MAX(CROQUIS!$C$130,1))+1)))-1,0))*CROQUIS!$C$130)))*CROQUIS!$C$155)+IF(CROQUIS!$C$92="X",0,0)),-1000)</f>
        <v>-1000</v>
      </c>
      <c r="BO7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74-1)/5),MAX((MIN(80,MAX(1,INT(((CROQUIS!$C$98)-CROQUIS!$C$107)/MAX(CROQUIS!$C$130,1))+1)))-1,0))*CROQUIS!$C$130),CHOOSE(IF(INT(($A74-1)/5)&gt;MAX((MIN(80,MAX(1,INT(((CROQUIS!$C$98)-CROQUIS!$C$107)/MAX(CROQUIS!$C$130,1))+1)))-1,0),0,MOD($A74-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7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74-1)/5),MAX((MIN(80,MAX(1,INT(((CROQUIS!$C$97)-CROQUIS!$C$107)/MAX(CROQUIS!$C$138,1))+1)))-1,0))*CROQUIS!$C$138),CHOOSE(IF(INT(($A74-1)/5)&gt;MAX((MIN(80,MAX(1,INT(((CROQUIS!$C$97)-CROQUIS!$C$107)/MAX(CROQUIS!$C$138,1))+1)))-1,0),0,MOD($A74-1,5))+1,0,IF(CROQUIS!$C$105=1,-12,2),CROQUIS!$C$107/2+CROQUIS!$C$141,IF(CROQUIS!$C$105=1,-12,2),0)))*CROQUIS!$C$155)+IF(CROQUIS!$C$92="X",0,0)),-1000)</f>
        <v>-1000</v>
      </c>
      <c r="BQ74">
        <f>IF(AND(CROQUIS!$C$88=1,CROQUIS!$C$91=0,CROQUIS!$C$138&gt;0,OR(CROQUIS!$C$105=1,CROQUIS!$C$143=1)),((CROQUIS!$C$157+(IF(CROQUIS!$C$92="X",CHOOSE(IF(INT(($A74-1)/5)&gt;MAX((MIN(80,MAX(1,INT(((CROQUIS!$C$97)-CROQUIS!$C$107)/MAX(CROQUIS!$C$138,1))+1)))-1,0),0,MOD($A74-1,5))+1,0,IF(CROQUIS!$C$105=1,-12,2),CROQUIS!$C$107/2+CROQUIS!$C$141,IF(CROQUIS!$C$105=1,-12,2),0),((CROQUIS!$C$107/2+(((CROQUIS!$C$97)-CROQUIS!$C$107)-(MIN(80,MAX(1,INT(((CROQUIS!$C$97)-CROQUIS!$C$107)/MAX(CROQUIS!$C$138,1))+1))-1)*CROQUIS!$C$138)/2)+MIN(INT(($A74-1)/5),MAX((MIN(80,MAX(1,INT(((CROQUIS!$C$97)-CROQUIS!$C$107)/MAX(CROQUIS!$C$138,1))+1)))-1,0))*CROQUIS!$C$138)))*CROQUIS!$C$155)+IF(CROQUIS!$C$92="X",0,0)),-1000)</f>
        <v>-1000</v>
      </c>
      <c r="BR7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74-1)/5),MAX((MIN(80,MAX(1,INT(((CROQUIS!$C$97)-CROQUIS!$C$107)/MAX(CROQUIS!$C$138,1))+1)))-1,0))*CROQUIS!$C$138),CHOOSE(IF(INT(($A74-1)/5)&gt;MAX((MIN(80,MAX(1,INT(((CROQUIS!$C$97)-CROQUIS!$C$107)/MAX(CROQUIS!$C$138,1))+1)))-1,0),0,MOD($A74-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74">
        <f>IF(AND(CROQUIS!$C$88=1,CROQUIS!$C$91=0,CROQUIS!$C$138&gt;0,OR(CROQUIS!$C$106=1,CROQUIS!$C$143=1)),((CROQUIS!$C$157+(IF(CROQUIS!$C$92="X",CHOOSE(IF(INT(($A74-1)/5)&gt;MAX((MIN(80,MAX(1,INT(((CROQUIS!$C$97)-CROQUIS!$C$107)/MAX(CROQUIS!$C$138,1))+1)))-1,0),0,MOD($A74-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74-1)/5),MAX((MIN(80,MAX(1,INT(((CROQUIS!$C$97)-CROQUIS!$C$107)/MAX(CROQUIS!$C$138,1))+1)))-1,0))*CROQUIS!$C$138)))*CROQUIS!$C$155)+IF(CROQUIS!$C$92="X",0,0)),-1000)</f>
        <v>-1000</v>
      </c>
      <c r="BT74">
        <f>IF(AND(CROQUIS!$C$88=1,CROQUIS!$C$91=1,CROQUIS!$C$130&gt;0),((CROQUIS!$C$156+(IF(CROQUIS!$C$92="X",CHOOSE(IF(INT(($A74-1)/5)&gt;MAX((MIN(80,MAX(1,INT(((CROQUIS!$C$98)-CROQUIS!$C$107)/MAX(CROQUIS!$C$130,1))+1)))-1,0),0,MOD($A74-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74-1)/5),MAX((MIN(80,MAX(1,INT(((CROQUIS!$C$98)-CROQUIS!$C$107)/MAX(CROQUIS!$C$130,1))+1)))-1,0))*CROQUIS!$C$130)))*CROQUIS!$C$155)+IF(CROQUIS!$C$92="X",0,0)),-1000)</f>
        <v>-1000</v>
      </c>
      <c r="BU74">
        <f>IF(AND(CROQUIS!$C$88=1,CROQUIS!$C$91=1,CROQUIS!$C$130&gt;0),((CROQUIS!$C$157+(IF(CROQUIS!$C$92="X",((CROQUIS!$C$107/2+(((CROQUIS!$C$98)-CROQUIS!$C$107)-(MIN(80,MAX(1,INT(((CROQUIS!$C$98)-CROQUIS!$C$107)/MAX(CROQUIS!$C$130,1))+1))-1)*CROQUIS!$C$130)/2)+MIN(INT(($A74-1)/5),MAX((MIN(80,MAX(1,INT(((CROQUIS!$C$98)-CROQUIS!$C$107)/MAX(CROQUIS!$C$130,1))+1)))-1,0))*CROQUIS!$C$130),CHOOSE(IF(INT(($A74-1)/5)&gt;MAX((MIN(80,MAX(1,INT(((CROQUIS!$C$98)-CROQUIS!$C$107)/MAX(CROQUIS!$C$130,1))+1)))-1,0),0,MOD($A74-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75">
      <c r="A75" t="n">
        <v>68</v>
      </c>
      <c r="AF75">
        <f>IF(AND(CROQUIS!$C$87=1,CROQUIS!$C$158&gt;0,CROQUIS!$C$160&gt;0),(CROQUIS!$C$156+((CROQUIS!$C$159+INT(MIN(INT(($A75-1)/2),MAX((2*CROQUIS!$C$158)-1,0))/2)*CROQUIS!$C$113+MOD(MIN(INT(($A75-1)/2),MAX((2*CROQUIS!$C$158)-1,0)),2)*CROQUIS!$C$112))*CROQUIS!$C$155),-1000)</f>
        <v>85.2010845006778</v>
      </c>
      <c r="AG75">
        <f>IF(AND(CROQUIS!$C$87=1,CROQUIS!$C$158&gt;0,CROQUIS!$C$160&gt;0),(CROQUIS!$C$157+(IF(MOD(MIN(INT(($A75-1)/2),MAX((2*CROQUIS!$C$158)-1,0)),2)=0,IF(IF(INT(($A75-1)/2)&gt;MAX((2*CROQUIS!$C$158)-1,0),1,MOD($A75-1,2))=0,CROQUIS!$C$161,(CROQUIS!$C$161+CROQUIS!$C$160*CROQUIS!$C$113-CROQUIS!$C$111)),IF(IF(INT(($A75-1)/2)&gt;MAX((2*CROQUIS!$C$158)-1,0),1,MOD($A75-1,2))=0,(CROQUIS!$C$161+CROQUIS!$C$160*CROQUIS!$C$113-CROQUIS!$C$111),CROQUIS!$C$161)))*CROQUIS!$C$155),-1000)</f>
        <v>20.8088567555355</v>
      </c>
      <c r="AH75">
        <f>IF(AND(CROQUIS!$C$87=1,CROQUIS!$C$160&gt;0,CROQUIS!$C$158&gt;0),(CROQUIS!$C$156+(IF(MOD(MIN(INT(($A75-1)/2),MAX((2*CROQUIS!$C$160)-1,0)),2)=0,IF(IF(INT(($A75-1)/2)&gt;MAX((2*CROQUIS!$C$160)-1,0),1,MOD($A75-1,2))=0,CROQUIS!$C$159,(CROQUIS!$C$159+CROQUIS!$C$158*CROQUIS!$C$113-CROQUIS!$C$111)),IF(IF(INT(($A75-1)/2)&gt;MAX((2*CROQUIS!$C$160)-1,0),1,MOD($A75-1,2))=0,(CROQUIS!$C$159+CROQUIS!$C$158*CROQUIS!$C$113-CROQUIS!$C$111),CROQUIS!$C$159)))*CROQUIS!$C$155),-1000)</f>
        <v>14.7989154993222</v>
      </c>
      <c r="AI75">
        <f>IF(AND(CROQUIS!$C$87=1,CROQUIS!$C$160&gt;0,CROQUIS!$C$158&gt;0),(CROQUIS!$C$157+((CROQUIS!$C$161+INT(MIN(INT(($A75-1)/2),MAX((2*CROQUIS!$C$160)-1,0))/2)*CROQUIS!$C$113+MOD(MIN(INT(($A75-1)/2),MAX((2*CROQUIS!$C$160)-1,0)),2)*CROQUIS!$C$112))*CROQUIS!$C$155),-1000)</f>
        <v>79.1911432444645</v>
      </c>
      <c r="BH75">
        <f>IF(AND(CROQUIS!$C$88=1,CROQUIS!$C$126&gt;0),((CROQUIS!$C$156+(IF(CROQUIS!$C$92="X",CHOOSE(IF(INT(($A75-1)/5)&gt;MAX((MIN(80,MAX(1,INT(((CROQUIS!$C$98)-CROQUIS!$C$107)/MAX(CROQUIS!$C$126,1))+1)))-1,0),0,MOD($A75-1,5))+1,0,2,CROQUIS!$C$97-2,2,0),((CROQUIS!$C$107/2+(((CROQUIS!$C$98)-CROQUIS!$C$107)-(MIN(80,MAX(1,INT(((CROQUIS!$C$98)-CROQUIS!$C$107)/MAX(CROQUIS!$C$126,1))+1))-1)*CROQUIS!$C$126)/2)+MIN(INT(($A75-1)/5),MAX((MIN(80,MAX(1,INT(((CROQUIS!$C$98)-CROQUIS!$C$107)/MAX(CROQUIS!$C$126,1))+1)))-1,0))*CROQUIS!$C$126)))*CROQUIS!$C$155)+IF(CROQUIS!$C$92="X",0,0)),-1000)</f>
        <v>-1000</v>
      </c>
      <c r="BI75">
        <f>IF(AND(CROQUIS!$C$88=1,CROQUIS!$C$126&gt;0),((CROQUIS!$C$157+(IF(CROQUIS!$C$92="X",((CROQUIS!$C$107/2+(((CROQUIS!$C$98)-CROQUIS!$C$107)-(MIN(80,MAX(1,INT(((CROQUIS!$C$98)-CROQUIS!$C$107)/MAX(CROQUIS!$C$126,1))+1))-1)*CROQUIS!$C$126)/2)+MIN(INT(($A75-1)/5),MAX((MIN(80,MAX(1,INT(((CROQUIS!$C$98)-CROQUIS!$C$107)/MAX(CROQUIS!$C$126,1))+1)))-1,0))*CROQUIS!$C$126),CHOOSE(IF(INT(($A75-1)/5)&gt;MAX((MIN(80,MAX(1,INT(((CROQUIS!$C$98)-CROQUIS!$C$107)/MAX(CROQUIS!$C$126,1))+1)))-1,0),0,MOD($A75-1,5))+1,0,2,CROQUIS!$C$97-2,2,0)))*CROQUIS!$C$155)+IF(CROQUIS!$C$92="X",0,0)),-1000)</f>
        <v>-1000</v>
      </c>
      <c r="BJ75">
        <f>IF(AND(CROQUIS!$C$88=1,CROQUIS!$C$134&gt;0),((CROQUIS!$C$156+(IF(CROQUIS!$C$92="X",((CROQUIS!$C$107/2+(((CROQUIS!$C$97)-CROQUIS!$C$107)-(MIN(80,MAX(1,INT(((CROQUIS!$C$97)-CROQUIS!$C$107)/MAX(CROQUIS!$C$134,1))+1))-1)*CROQUIS!$C$134)/2)+MIN(INT(($A75-1)/5),MAX((MIN(80,MAX(1,INT(((CROQUIS!$C$97)-CROQUIS!$C$107)/MAX(CROQUIS!$C$134,1))+1)))-1,0))*CROQUIS!$C$134),CHOOSE(IF(INT(($A75-1)/5)&gt;MAX((MIN(80,MAX(1,INT(((CROQUIS!$C$97)-CROQUIS!$C$107)/MAX(CROQUIS!$C$134,1))+1)))-1,0),0,MOD($A75-1,5))+1,0,2,CROQUIS!$C$98-2,2,0)))*CROQUIS!$C$155)+IF(CROQUIS!$C$92="X",0,0)),-1000)</f>
        <v>-1000</v>
      </c>
      <c r="BK75">
        <f>IF(AND(CROQUIS!$C$88=1,CROQUIS!$C$134&gt;0),((CROQUIS!$C$157+(IF(CROQUIS!$C$92="X",CHOOSE(IF(INT(($A75-1)/5)&gt;MAX((MIN(80,MAX(1,INT(((CROQUIS!$C$97)-CROQUIS!$C$107)/MAX(CROQUIS!$C$134,1))+1)))-1,0),0,MOD($A75-1,5))+1,0,2,CROQUIS!$C$98-2,2,0),((CROQUIS!$C$107/2+(((CROQUIS!$C$97)-CROQUIS!$C$107)-(MIN(80,MAX(1,INT(((CROQUIS!$C$97)-CROQUIS!$C$107)/MAX(CROQUIS!$C$134,1))+1))-1)*CROQUIS!$C$134)/2)+MIN(INT(($A75-1)/5),MAX((MIN(80,MAX(1,INT(((CROQUIS!$C$97)-CROQUIS!$C$107)/MAX(CROQUIS!$C$134,1))+1)))-1,0))*CROQUIS!$C$134)))*CROQUIS!$C$155)+IF(CROQUIS!$C$92="X",0,0)),-1000)</f>
        <v>-1000</v>
      </c>
      <c r="BL75">
        <f>IF(AND(CROQUIS!$C$88=1,CROQUIS!$C$91=0,CROQUIS!$C$130&gt;0,OR(CROQUIS!$C$103=1,CROQUIS!$C$142=1)),((CROQUIS!$C$156+(IF(CROQUIS!$C$92="X",CHOOSE(IF(INT(($A75-1)/5)&gt;MAX((MIN(80,MAX(1,INT(((CROQUIS!$C$98)-CROQUIS!$C$107)/MAX(CROQUIS!$C$130,1))+1)))-1,0),0,MOD($A75-1,5))+1,0,IF(CROQUIS!$C$103=1,-12,2),CROQUIS!$C$107/2+CROQUIS!$C$140,IF(CROQUIS!$C$103=1,-12,2),0),((CROQUIS!$C$107/2+(((CROQUIS!$C$98)-CROQUIS!$C$107)-(MIN(80,MAX(1,INT(((CROQUIS!$C$98)-CROQUIS!$C$107)/MAX(CROQUIS!$C$130,1))+1))-1)*CROQUIS!$C$130)/2)+MIN(INT(($A75-1)/5),MAX((MIN(80,MAX(1,INT(((CROQUIS!$C$98)-CROQUIS!$C$107)/MAX(CROQUIS!$C$130,1))+1)))-1,0))*CROQUIS!$C$130)))*CROQUIS!$C$155)+IF(CROQUIS!$C$92="X",0,0)),-1000)</f>
        <v>-1000</v>
      </c>
      <c r="BM7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75-1)/5),MAX((MIN(80,MAX(1,INT(((CROQUIS!$C$98)-CROQUIS!$C$107)/MAX(CROQUIS!$C$130,1))+1)))-1,0))*CROQUIS!$C$130),CHOOSE(IF(INT(($A75-1)/5)&gt;MAX((MIN(80,MAX(1,INT(((CROQUIS!$C$98)-CROQUIS!$C$107)/MAX(CROQUIS!$C$130,1))+1)))-1,0),0,MOD($A75-1,5))+1,0,IF(CROQUIS!$C$103=1,-12,2),CROQUIS!$C$107/2+CROQUIS!$C$140,IF(CROQUIS!$C$103=1,-12,2),0)))*CROQUIS!$C$155)+IF(CROQUIS!$C$92="X",0,0)),-1000)</f>
        <v>-1000</v>
      </c>
      <c r="BN75">
        <f>IF(AND(CROQUIS!$C$88=1,CROQUIS!$C$91=0,CROQUIS!$C$130&gt;0,OR(CROQUIS!$C$104=1,CROQUIS!$C$142=1)),((CROQUIS!$C$156+(IF(CROQUIS!$C$92="X",CHOOSE(IF(INT(($A75-1)/5)&gt;MAX((MIN(80,MAX(1,INT(((CROQUIS!$C$98)-CROQUIS!$C$107)/MAX(CROQUIS!$C$130,1))+1)))-1,0),0,MOD($A75-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75-1)/5),MAX((MIN(80,MAX(1,INT(((CROQUIS!$C$98)-CROQUIS!$C$107)/MAX(CROQUIS!$C$130,1))+1)))-1,0))*CROQUIS!$C$130)))*CROQUIS!$C$155)+IF(CROQUIS!$C$92="X",0,0)),-1000)</f>
        <v>-1000</v>
      </c>
      <c r="BO7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75-1)/5),MAX((MIN(80,MAX(1,INT(((CROQUIS!$C$98)-CROQUIS!$C$107)/MAX(CROQUIS!$C$130,1))+1)))-1,0))*CROQUIS!$C$130),CHOOSE(IF(INT(($A75-1)/5)&gt;MAX((MIN(80,MAX(1,INT(((CROQUIS!$C$98)-CROQUIS!$C$107)/MAX(CROQUIS!$C$130,1))+1)))-1,0),0,MOD($A75-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7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75-1)/5),MAX((MIN(80,MAX(1,INT(((CROQUIS!$C$97)-CROQUIS!$C$107)/MAX(CROQUIS!$C$138,1))+1)))-1,0))*CROQUIS!$C$138),CHOOSE(IF(INT(($A75-1)/5)&gt;MAX((MIN(80,MAX(1,INT(((CROQUIS!$C$97)-CROQUIS!$C$107)/MAX(CROQUIS!$C$138,1))+1)))-1,0),0,MOD($A75-1,5))+1,0,IF(CROQUIS!$C$105=1,-12,2),CROQUIS!$C$107/2+CROQUIS!$C$141,IF(CROQUIS!$C$105=1,-12,2),0)))*CROQUIS!$C$155)+IF(CROQUIS!$C$92="X",0,0)),-1000)</f>
        <v>-1000</v>
      </c>
      <c r="BQ75">
        <f>IF(AND(CROQUIS!$C$88=1,CROQUIS!$C$91=0,CROQUIS!$C$138&gt;0,OR(CROQUIS!$C$105=1,CROQUIS!$C$143=1)),((CROQUIS!$C$157+(IF(CROQUIS!$C$92="X",CHOOSE(IF(INT(($A75-1)/5)&gt;MAX((MIN(80,MAX(1,INT(((CROQUIS!$C$97)-CROQUIS!$C$107)/MAX(CROQUIS!$C$138,1))+1)))-1,0),0,MOD($A75-1,5))+1,0,IF(CROQUIS!$C$105=1,-12,2),CROQUIS!$C$107/2+CROQUIS!$C$141,IF(CROQUIS!$C$105=1,-12,2),0),((CROQUIS!$C$107/2+(((CROQUIS!$C$97)-CROQUIS!$C$107)-(MIN(80,MAX(1,INT(((CROQUIS!$C$97)-CROQUIS!$C$107)/MAX(CROQUIS!$C$138,1))+1))-1)*CROQUIS!$C$138)/2)+MIN(INT(($A75-1)/5),MAX((MIN(80,MAX(1,INT(((CROQUIS!$C$97)-CROQUIS!$C$107)/MAX(CROQUIS!$C$138,1))+1)))-1,0))*CROQUIS!$C$138)))*CROQUIS!$C$155)+IF(CROQUIS!$C$92="X",0,0)),-1000)</f>
        <v>-1000</v>
      </c>
      <c r="BR7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75-1)/5),MAX((MIN(80,MAX(1,INT(((CROQUIS!$C$97)-CROQUIS!$C$107)/MAX(CROQUIS!$C$138,1))+1)))-1,0))*CROQUIS!$C$138),CHOOSE(IF(INT(($A75-1)/5)&gt;MAX((MIN(80,MAX(1,INT(((CROQUIS!$C$97)-CROQUIS!$C$107)/MAX(CROQUIS!$C$138,1))+1)))-1,0),0,MOD($A75-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75">
        <f>IF(AND(CROQUIS!$C$88=1,CROQUIS!$C$91=0,CROQUIS!$C$138&gt;0,OR(CROQUIS!$C$106=1,CROQUIS!$C$143=1)),((CROQUIS!$C$157+(IF(CROQUIS!$C$92="X",CHOOSE(IF(INT(($A75-1)/5)&gt;MAX((MIN(80,MAX(1,INT(((CROQUIS!$C$97)-CROQUIS!$C$107)/MAX(CROQUIS!$C$138,1))+1)))-1,0),0,MOD($A75-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75-1)/5),MAX((MIN(80,MAX(1,INT(((CROQUIS!$C$97)-CROQUIS!$C$107)/MAX(CROQUIS!$C$138,1))+1)))-1,0))*CROQUIS!$C$138)))*CROQUIS!$C$155)+IF(CROQUIS!$C$92="X",0,0)),-1000)</f>
        <v>-1000</v>
      </c>
      <c r="BT75">
        <f>IF(AND(CROQUIS!$C$88=1,CROQUIS!$C$91=1,CROQUIS!$C$130&gt;0),((CROQUIS!$C$156+(IF(CROQUIS!$C$92="X",CHOOSE(IF(INT(($A75-1)/5)&gt;MAX((MIN(80,MAX(1,INT(((CROQUIS!$C$98)-CROQUIS!$C$107)/MAX(CROQUIS!$C$130,1))+1)))-1,0),0,MOD($A75-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75-1)/5),MAX((MIN(80,MAX(1,INT(((CROQUIS!$C$98)-CROQUIS!$C$107)/MAX(CROQUIS!$C$130,1))+1)))-1,0))*CROQUIS!$C$130)))*CROQUIS!$C$155)+IF(CROQUIS!$C$92="X",0,0)),-1000)</f>
        <v>-1000</v>
      </c>
      <c r="BU75">
        <f>IF(AND(CROQUIS!$C$88=1,CROQUIS!$C$91=1,CROQUIS!$C$130&gt;0),((CROQUIS!$C$157+(IF(CROQUIS!$C$92="X",((CROQUIS!$C$107/2+(((CROQUIS!$C$98)-CROQUIS!$C$107)-(MIN(80,MAX(1,INT(((CROQUIS!$C$98)-CROQUIS!$C$107)/MAX(CROQUIS!$C$130,1))+1))-1)*CROQUIS!$C$130)/2)+MIN(INT(($A75-1)/5),MAX((MIN(80,MAX(1,INT(((CROQUIS!$C$98)-CROQUIS!$C$107)/MAX(CROQUIS!$C$130,1))+1)))-1,0))*CROQUIS!$C$130),CHOOSE(IF(INT(($A75-1)/5)&gt;MAX((MIN(80,MAX(1,INT(((CROQUIS!$C$98)-CROQUIS!$C$107)/MAX(CROQUIS!$C$130,1))+1)))-1,0),0,MOD($A75-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76">
      <c r="A76" t="n">
        <v>69</v>
      </c>
      <c r="AF76">
        <f>IF(AND(CROQUIS!$C$87=1,CROQUIS!$C$158&gt;0,CROQUIS!$C$160&gt;0),(CROQUIS!$C$156+((CROQUIS!$C$159+INT(MIN(INT(($A76-1)/2),MAX((2*CROQUIS!$C$158)-1,0))/2)*CROQUIS!$C$113+MOD(MIN(INT(($A76-1)/2),MAX((2*CROQUIS!$C$158)-1,0)),2)*CROQUIS!$C$112))*CROQUIS!$C$155),-1000)</f>
        <v>85.2010845006778</v>
      </c>
      <c r="AG76">
        <f>IF(AND(CROQUIS!$C$87=1,CROQUIS!$C$158&gt;0,CROQUIS!$C$160&gt;0),(CROQUIS!$C$157+(IF(MOD(MIN(INT(($A76-1)/2),MAX((2*CROQUIS!$C$158)-1,0)),2)=0,IF(IF(INT(($A76-1)/2)&gt;MAX((2*CROQUIS!$C$158)-1,0),1,MOD($A76-1,2))=0,CROQUIS!$C$161,(CROQUIS!$C$161+CROQUIS!$C$160*CROQUIS!$C$113-CROQUIS!$C$111)),IF(IF(INT(($A76-1)/2)&gt;MAX((2*CROQUIS!$C$158)-1,0),1,MOD($A76-1,2))=0,(CROQUIS!$C$161+CROQUIS!$C$160*CROQUIS!$C$113-CROQUIS!$C$111),CROQUIS!$C$161)))*CROQUIS!$C$155),-1000)</f>
        <v>20.8088567555355</v>
      </c>
      <c r="AH76">
        <f>IF(AND(CROQUIS!$C$87=1,CROQUIS!$C$160&gt;0,CROQUIS!$C$158&gt;0),(CROQUIS!$C$156+(IF(MOD(MIN(INT(($A76-1)/2),MAX((2*CROQUIS!$C$160)-1,0)),2)=0,IF(IF(INT(($A76-1)/2)&gt;MAX((2*CROQUIS!$C$160)-1,0),1,MOD($A76-1,2))=0,CROQUIS!$C$159,(CROQUIS!$C$159+CROQUIS!$C$158*CROQUIS!$C$113-CROQUIS!$C$111)),IF(IF(INT(($A76-1)/2)&gt;MAX((2*CROQUIS!$C$160)-1,0),1,MOD($A76-1,2))=0,(CROQUIS!$C$159+CROQUIS!$C$158*CROQUIS!$C$113-CROQUIS!$C$111),CROQUIS!$C$159)))*CROQUIS!$C$155),-1000)</f>
        <v>14.7989154993222</v>
      </c>
      <c r="AI76">
        <f>IF(AND(CROQUIS!$C$87=1,CROQUIS!$C$160&gt;0,CROQUIS!$C$158&gt;0),(CROQUIS!$C$157+((CROQUIS!$C$161+INT(MIN(INT(($A76-1)/2),MAX((2*CROQUIS!$C$160)-1,0))/2)*CROQUIS!$C$113+MOD(MIN(INT(($A76-1)/2),MAX((2*CROQUIS!$C$160)-1,0)),2)*CROQUIS!$C$112))*CROQUIS!$C$155),-1000)</f>
        <v>79.1911432444645</v>
      </c>
      <c r="BH76">
        <f>IF(AND(CROQUIS!$C$88=1,CROQUIS!$C$126&gt;0),((CROQUIS!$C$156+(IF(CROQUIS!$C$92="X",CHOOSE(IF(INT(($A76-1)/5)&gt;MAX((MIN(80,MAX(1,INT(((CROQUIS!$C$98)-CROQUIS!$C$107)/MAX(CROQUIS!$C$126,1))+1)))-1,0),0,MOD($A76-1,5))+1,0,2,CROQUIS!$C$97-2,2,0),((CROQUIS!$C$107/2+(((CROQUIS!$C$98)-CROQUIS!$C$107)-(MIN(80,MAX(1,INT(((CROQUIS!$C$98)-CROQUIS!$C$107)/MAX(CROQUIS!$C$126,1))+1))-1)*CROQUIS!$C$126)/2)+MIN(INT(($A76-1)/5),MAX((MIN(80,MAX(1,INT(((CROQUIS!$C$98)-CROQUIS!$C$107)/MAX(CROQUIS!$C$126,1))+1)))-1,0))*CROQUIS!$C$126)))*CROQUIS!$C$155)+IF(CROQUIS!$C$92="X",0,0)),-1000)</f>
        <v>-1000</v>
      </c>
      <c r="BI76">
        <f>IF(AND(CROQUIS!$C$88=1,CROQUIS!$C$126&gt;0),((CROQUIS!$C$157+(IF(CROQUIS!$C$92="X",((CROQUIS!$C$107/2+(((CROQUIS!$C$98)-CROQUIS!$C$107)-(MIN(80,MAX(1,INT(((CROQUIS!$C$98)-CROQUIS!$C$107)/MAX(CROQUIS!$C$126,1))+1))-1)*CROQUIS!$C$126)/2)+MIN(INT(($A76-1)/5),MAX((MIN(80,MAX(1,INT(((CROQUIS!$C$98)-CROQUIS!$C$107)/MAX(CROQUIS!$C$126,1))+1)))-1,0))*CROQUIS!$C$126),CHOOSE(IF(INT(($A76-1)/5)&gt;MAX((MIN(80,MAX(1,INT(((CROQUIS!$C$98)-CROQUIS!$C$107)/MAX(CROQUIS!$C$126,1))+1)))-1,0),0,MOD($A76-1,5))+1,0,2,CROQUIS!$C$97-2,2,0)))*CROQUIS!$C$155)+IF(CROQUIS!$C$92="X",0,0)),-1000)</f>
        <v>-1000</v>
      </c>
      <c r="BJ76">
        <f>IF(AND(CROQUIS!$C$88=1,CROQUIS!$C$134&gt;0),((CROQUIS!$C$156+(IF(CROQUIS!$C$92="X",((CROQUIS!$C$107/2+(((CROQUIS!$C$97)-CROQUIS!$C$107)-(MIN(80,MAX(1,INT(((CROQUIS!$C$97)-CROQUIS!$C$107)/MAX(CROQUIS!$C$134,1))+1))-1)*CROQUIS!$C$134)/2)+MIN(INT(($A76-1)/5),MAX((MIN(80,MAX(1,INT(((CROQUIS!$C$97)-CROQUIS!$C$107)/MAX(CROQUIS!$C$134,1))+1)))-1,0))*CROQUIS!$C$134),CHOOSE(IF(INT(($A76-1)/5)&gt;MAX((MIN(80,MAX(1,INT(((CROQUIS!$C$97)-CROQUIS!$C$107)/MAX(CROQUIS!$C$134,1))+1)))-1,0),0,MOD($A76-1,5))+1,0,2,CROQUIS!$C$98-2,2,0)))*CROQUIS!$C$155)+IF(CROQUIS!$C$92="X",0,0)),-1000)</f>
        <v>-1000</v>
      </c>
      <c r="BK76">
        <f>IF(AND(CROQUIS!$C$88=1,CROQUIS!$C$134&gt;0),((CROQUIS!$C$157+(IF(CROQUIS!$C$92="X",CHOOSE(IF(INT(($A76-1)/5)&gt;MAX((MIN(80,MAX(1,INT(((CROQUIS!$C$97)-CROQUIS!$C$107)/MAX(CROQUIS!$C$134,1))+1)))-1,0),0,MOD($A76-1,5))+1,0,2,CROQUIS!$C$98-2,2,0),((CROQUIS!$C$107/2+(((CROQUIS!$C$97)-CROQUIS!$C$107)-(MIN(80,MAX(1,INT(((CROQUIS!$C$97)-CROQUIS!$C$107)/MAX(CROQUIS!$C$134,1))+1))-1)*CROQUIS!$C$134)/2)+MIN(INT(($A76-1)/5),MAX((MIN(80,MAX(1,INT(((CROQUIS!$C$97)-CROQUIS!$C$107)/MAX(CROQUIS!$C$134,1))+1)))-1,0))*CROQUIS!$C$134)))*CROQUIS!$C$155)+IF(CROQUIS!$C$92="X",0,0)),-1000)</f>
        <v>-1000</v>
      </c>
      <c r="BL76">
        <f>IF(AND(CROQUIS!$C$88=1,CROQUIS!$C$91=0,CROQUIS!$C$130&gt;0,OR(CROQUIS!$C$103=1,CROQUIS!$C$142=1)),((CROQUIS!$C$156+(IF(CROQUIS!$C$92="X",CHOOSE(IF(INT(($A76-1)/5)&gt;MAX((MIN(80,MAX(1,INT(((CROQUIS!$C$98)-CROQUIS!$C$107)/MAX(CROQUIS!$C$130,1))+1)))-1,0),0,MOD($A76-1,5))+1,0,IF(CROQUIS!$C$103=1,-12,2),CROQUIS!$C$107/2+CROQUIS!$C$140,IF(CROQUIS!$C$103=1,-12,2),0),((CROQUIS!$C$107/2+(((CROQUIS!$C$98)-CROQUIS!$C$107)-(MIN(80,MAX(1,INT(((CROQUIS!$C$98)-CROQUIS!$C$107)/MAX(CROQUIS!$C$130,1))+1))-1)*CROQUIS!$C$130)/2)+MIN(INT(($A76-1)/5),MAX((MIN(80,MAX(1,INT(((CROQUIS!$C$98)-CROQUIS!$C$107)/MAX(CROQUIS!$C$130,1))+1)))-1,0))*CROQUIS!$C$130)))*CROQUIS!$C$155)+IF(CROQUIS!$C$92="X",0,0)),-1000)</f>
        <v>-1000</v>
      </c>
      <c r="BM7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76-1)/5),MAX((MIN(80,MAX(1,INT(((CROQUIS!$C$98)-CROQUIS!$C$107)/MAX(CROQUIS!$C$130,1))+1)))-1,0))*CROQUIS!$C$130),CHOOSE(IF(INT(($A76-1)/5)&gt;MAX((MIN(80,MAX(1,INT(((CROQUIS!$C$98)-CROQUIS!$C$107)/MAX(CROQUIS!$C$130,1))+1)))-1,0),0,MOD($A76-1,5))+1,0,IF(CROQUIS!$C$103=1,-12,2),CROQUIS!$C$107/2+CROQUIS!$C$140,IF(CROQUIS!$C$103=1,-12,2),0)))*CROQUIS!$C$155)+IF(CROQUIS!$C$92="X",0,0)),-1000)</f>
        <v>-1000</v>
      </c>
      <c r="BN76">
        <f>IF(AND(CROQUIS!$C$88=1,CROQUIS!$C$91=0,CROQUIS!$C$130&gt;0,OR(CROQUIS!$C$104=1,CROQUIS!$C$142=1)),((CROQUIS!$C$156+(IF(CROQUIS!$C$92="X",CHOOSE(IF(INT(($A76-1)/5)&gt;MAX((MIN(80,MAX(1,INT(((CROQUIS!$C$98)-CROQUIS!$C$107)/MAX(CROQUIS!$C$130,1))+1)))-1,0),0,MOD($A76-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76-1)/5),MAX((MIN(80,MAX(1,INT(((CROQUIS!$C$98)-CROQUIS!$C$107)/MAX(CROQUIS!$C$130,1))+1)))-1,0))*CROQUIS!$C$130)))*CROQUIS!$C$155)+IF(CROQUIS!$C$92="X",0,0)),-1000)</f>
        <v>-1000</v>
      </c>
      <c r="BO7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76-1)/5),MAX((MIN(80,MAX(1,INT(((CROQUIS!$C$98)-CROQUIS!$C$107)/MAX(CROQUIS!$C$130,1))+1)))-1,0))*CROQUIS!$C$130),CHOOSE(IF(INT(($A76-1)/5)&gt;MAX((MIN(80,MAX(1,INT(((CROQUIS!$C$98)-CROQUIS!$C$107)/MAX(CROQUIS!$C$130,1))+1)))-1,0),0,MOD($A76-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7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76-1)/5),MAX((MIN(80,MAX(1,INT(((CROQUIS!$C$97)-CROQUIS!$C$107)/MAX(CROQUIS!$C$138,1))+1)))-1,0))*CROQUIS!$C$138),CHOOSE(IF(INT(($A76-1)/5)&gt;MAX((MIN(80,MAX(1,INT(((CROQUIS!$C$97)-CROQUIS!$C$107)/MAX(CROQUIS!$C$138,1))+1)))-1,0),0,MOD($A76-1,5))+1,0,IF(CROQUIS!$C$105=1,-12,2),CROQUIS!$C$107/2+CROQUIS!$C$141,IF(CROQUIS!$C$105=1,-12,2),0)))*CROQUIS!$C$155)+IF(CROQUIS!$C$92="X",0,0)),-1000)</f>
        <v>-1000</v>
      </c>
      <c r="BQ76">
        <f>IF(AND(CROQUIS!$C$88=1,CROQUIS!$C$91=0,CROQUIS!$C$138&gt;0,OR(CROQUIS!$C$105=1,CROQUIS!$C$143=1)),((CROQUIS!$C$157+(IF(CROQUIS!$C$92="X",CHOOSE(IF(INT(($A76-1)/5)&gt;MAX((MIN(80,MAX(1,INT(((CROQUIS!$C$97)-CROQUIS!$C$107)/MAX(CROQUIS!$C$138,1))+1)))-1,0),0,MOD($A76-1,5))+1,0,IF(CROQUIS!$C$105=1,-12,2),CROQUIS!$C$107/2+CROQUIS!$C$141,IF(CROQUIS!$C$105=1,-12,2),0),((CROQUIS!$C$107/2+(((CROQUIS!$C$97)-CROQUIS!$C$107)-(MIN(80,MAX(1,INT(((CROQUIS!$C$97)-CROQUIS!$C$107)/MAX(CROQUIS!$C$138,1))+1))-1)*CROQUIS!$C$138)/2)+MIN(INT(($A76-1)/5),MAX((MIN(80,MAX(1,INT(((CROQUIS!$C$97)-CROQUIS!$C$107)/MAX(CROQUIS!$C$138,1))+1)))-1,0))*CROQUIS!$C$138)))*CROQUIS!$C$155)+IF(CROQUIS!$C$92="X",0,0)),-1000)</f>
        <v>-1000</v>
      </c>
      <c r="BR7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76-1)/5),MAX((MIN(80,MAX(1,INT(((CROQUIS!$C$97)-CROQUIS!$C$107)/MAX(CROQUIS!$C$138,1))+1)))-1,0))*CROQUIS!$C$138),CHOOSE(IF(INT(($A76-1)/5)&gt;MAX((MIN(80,MAX(1,INT(((CROQUIS!$C$97)-CROQUIS!$C$107)/MAX(CROQUIS!$C$138,1))+1)))-1,0),0,MOD($A76-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76">
        <f>IF(AND(CROQUIS!$C$88=1,CROQUIS!$C$91=0,CROQUIS!$C$138&gt;0,OR(CROQUIS!$C$106=1,CROQUIS!$C$143=1)),((CROQUIS!$C$157+(IF(CROQUIS!$C$92="X",CHOOSE(IF(INT(($A76-1)/5)&gt;MAX((MIN(80,MAX(1,INT(((CROQUIS!$C$97)-CROQUIS!$C$107)/MAX(CROQUIS!$C$138,1))+1)))-1,0),0,MOD($A76-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76-1)/5),MAX((MIN(80,MAX(1,INT(((CROQUIS!$C$97)-CROQUIS!$C$107)/MAX(CROQUIS!$C$138,1))+1)))-1,0))*CROQUIS!$C$138)))*CROQUIS!$C$155)+IF(CROQUIS!$C$92="X",0,0)),-1000)</f>
        <v>-1000</v>
      </c>
      <c r="BT76">
        <f>IF(AND(CROQUIS!$C$88=1,CROQUIS!$C$91=1,CROQUIS!$C$130&gt;0),((CROQUIS!$C$156+(IF(CROQUIS!$C$92="X",CHOOSE(IF(INT(($A76-1)/5)&gt;MAX((MIN(80,MAX(1,INT(((CROQUIS!$C$98)-CROQUIS!$C$107)/MAX(CROQUIS!$C$130,1))+1)))-1,0),0,MOD($A76-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76-1)/5),MAX((MIN(80,MAX(1,INT(((CROQUIS!$C$98)-CROQUIS!$C$107)/MAX(CROQUIS!$C$130,1))+1)))-1,0))*CROQUIS!$C$130)))*CROQUIS!$C$155)+IF(CROQUIS!$C$92="X",0,0)),-1000)</f>
        <v>-1000</v>
      </c>
      <c r="BU76">
        <f>IF(AND(CROQUIS!$C$88=1,CROQUIS!$C$91=1,CROQUIS!$C$130&gt;0),((CROQUIS!$C$157+(IF(CROQUIS!$C$92="X",((CROQUIS!$C$107/2+(((CROQUIS!$C$98)-CROQUIS!$C$107)-(MIN(80,MAX(1,INT(((CROQUIS!$C$98)-CROQUIS!$C$107)/MAX(CROQUIS!$C$130,1))+1))-1)*CROQUIS!$C$130)/2)+MIN(INT(($A76-1)/5),MAX((MIN(80,MAX(1,INT(((CROQUIS!$C$98)-CROQUIS!$C$107)/MAX(CROQUIS!$C$130,1))+1)))-1,0))*CROQUIS!$C$130),CHOOSE(IF(INT(($A76-1)/5)&gt;MAX((MIN(80,MAX(1,INT(((CROQUIS!$C$98)-CROQUIS!$C$107)/MAX(CROQUIS!$C$130,1))+1)))-1,0),0,MOD($A76-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77">
      <c r="A77" t="n">
        <v>70</v>
      </c>
      <c r="AF77">
        <f>IF(AND(CROQUIS!$C$87=1,CROQUIS!$C$158&gt;0,CROQUIS!$C$160&gt;0),(CROQUIS!$C$156+((CROQUIS!$C$159+INT(MIN(INT(($A77-1)/2),MAX((2*CROQUIS!$C$158)-1,0))/2)*CROQUIS!$C$113+MOD(MIN(INT(($A77-1)/2),MAX((2*CROQUIS!$C$158)-1,0)),2)*CROQUIS!$C$112))*CROQUIS!$C$155),-1000)</f>
        <v>85.2010845006778</v>
      </c>
      <c r="AG77">
        <f>IF(AND(CROQUIS!$C$87=1,CROQUIS!$C$158&gt;0,CROQUIS!$C$160&gt;0),(CROQUIS!$C$157+(IF(MOD(MIN(INT(($A77-1)/2),MAX((2*CROQUIS!$C$158)-1,0)),2)=0,IF(IF(INT(($A77-1)/2)&gt;MAX((2*CROQUIS!$C$158)-1,0),1,MOD($A77-1,2))=0,CROQUIS!$C$161,(CROQUIS!$C$161+CROQUIS!$C$160*CROQUIS!$C$113-CROQUIS!$C$111)),IF(IF(INT(($A77-1)/2)&gt;MAX((2*CROQUIS!$C$158)-1,0),1,MOD($A77-1,2))=0,(CROQUIS!$C$161+CROQUIS!$C$160*CROQUIS!$C$113-CROQUIS!$C$111),CROQUIS!$C$161)))*CROQUIS!$C$155),-1000)</f>
        <v>20.8088567555355</v>
      </c>
      <c r="AH77">
        <f>IF(AND(CROQUIS!$C$87=1,CROQUIS!$C$160&gt;0,CROQUIS!$C$158&gt;0),(CROQUIS!$C$156+(IF(MOD(MIN(INT(($A77-1)/2),MAX((2*CROQUIS!$C$160)-1,0)),2)=0,IF(IF(INT(($A77-1)/2)&gt;MAX((2*CROQUIS!$C$160)-1,0),1,MOD($A77-1,2))=0,CROQUIS!$C$159,(CROQUIS!$C$159+CROQUIS!$C$158*CROQUIS!$C$113-CROQUIS!$C$111)),IF(IF(INT(($A77-1)/2)&gt;MAX((2*CROQUIS!$C$160)-1,0),1,MOD($A77-1,2))=0,(CROQUIS!$C$159+CROQUIS!$C$158*CROQUIS!$C$113-CROQUIS!$C$111),CROQUIS!$C$159)))*CROQUIS!$C$155),-1000)</f>
        <v>14.7989154993222</v>
      </c>
      <c r="AI77">
        <f>IF(AND(CROQUIS!$C$87=1,CROQUIS!$C$160&gt;0,CROQUIS!$C$158&gt;0),(CROQUIS!$C$157+((CROQUIS!$C$161+INT(MIN(INT(($A77-1)/2),MAX((2*CROQUIS!$C$160)-1,0))/2)*CROQUIS!$C$113+MOD(MIN(INT(($A77-1)/2),MAX((2*CROQUIS!$C$160)-1,0)),2)*CROQUIS!$C$112))*CROQUIS!$C$155),-1000)</f>
        <v>79.1911432444645</v>
      </c>
      <c r="BH77">
        <f>IF(AND(CROQUIS!$C$88=1,CROQUIS!$C$126&gt;0),((CROQUIS!$C$156+(IF(CROQUIS!$C$92="X",CHOOSE(IF(INT(($A77-1)/5)&gt;MAX((MIN(80,MAX(1,INT(((CROQUIS!$C$98)-CROQUIS!$C$107)/MAX(CROQUIS!$C$126,1))+1)))-1,0),0,MOD($A77-1,5))+1,0,2,CROQUIS!$C$97-2,2,0),((CROQUIS!$C$107/2+(((CROQUIS!$C$98)-CROQUIS!$C$107)-(MIN(80,MAX(1,INT(((CROQUIS!$C$98)-CROQUIS!$C$107)/MAX(CROQUIS!$C$126,1))+1))-1)*CROQUIS!$C$126)/2)+MIN(INT(($A77-1)/5),MAX((MIN(80,MAX(1,INT(((CROQUIS!$C$98)-CROQUIS!$C$107)/MAX(CROQUIS!$C$126,1))+1)))-1,0))*CROQUIS!$C$126)))*CROQUIS!$C$155)+IF(CROQUIS!$C$92="X",0,0)),-1000)</f>
        <v>-1000</v>
      </c>
      <c r="BI77">
        <f>IF(AND(CROQUIS!$C$88=1,CROQUIS!$C$126&gt;0),((CROQUIS!$C$157+(IF(CROQUIS!$C$92="X",((CROQUIS!$C$107/2+(((CROQUIS!$C$98)-CROQUIS!$C$107)-(MIN(80,MAX(1,INT(((CROQUIS!$C$98)-CROQUIS!$C$107)/MAX(CROQUIS!$C$126,1))+1))-1)*CROQUIS!$C$126)/2)+MIN(INT(($A77-1)/5),MAX((MIN(80,MAX(1,INT(((CROQUIS!$C$98)-CROQUIS!$C$107)/MAX(CROQUIS!$C$126,1))+1)))-1,0))*CROQUIS!$C$126),CHOOSE(IF(INT(($A77-1)/5)&gt;MAX((MIN(80,MAX(1,INT(((CROQUIS!$C$98)-CROQUIS!$C$107)/MAX(CROQUIS!$C$126,1))+1)))-1,0),0,MOD($A77-1,5))+1,0,2,CROQUIS!$C$97-2,2,0)))*CROQUIS!$C$155)+IF(CROQUIS!$C$92="X",0,0)),-1000)</f>
        <v>-1000</v>
      </c>
      <c r="BJ77">
        <f>IF(AND(CROQUIS!$C$88=1,CROQUIS!$C$134&gt;0),((CROQUIS!$C$156+(IF(CROQUIS!$C$92="X",((CROQUIS!$C$107/2+(((CROQUIS!$C$97)-CROQUIS!$C$107)-(MIN(80,MAX(1,INT(((CROQUIS!$C$97)-CROQUIS!$C$107)/MAX(CROQUIS!$C$134,1))+1))-1)*CROQUIS!$C$134)/2)+MIN(INT(($A77-1)/5),MAX((MIN(80,MAX(1,INT(((CROQUIS!$C$97)-CROQUIS!$C$107)/MAX(CROQUIS!$C$134,1))+1)))-1,0))*CROQUIS!$C$134),CHOOSE(IF(INT(($A77-1)/5)&gt;MAX((MIN(80,MAX(1,INT(((CROQUIS!$C$97)-CROQUIS!$C$107)/MAX(CROQUIS!$C$134,1))+1)))-1,0),0,MOD($A77-1,5))+1,0,2,CROQUIS!$C$98-2,2,0)))*CROQUIS!$C$155)+IF(CROQUIS!$C$92="X",0,0)),-1000)</f>
        <v>-1000</v>
      </c>
      <c r="BK77">
        <f>IF(AND(CROQUIS!$C$88=1,CROQUIS!$C$134&gt;0),((CROQUIS!$C$157+(IF(CROQUIS!$C$92="X",CHOOSE(IF(INT(($A77-1)/5)&gt;MAX((MIN(80,MAX(1,INT(((CROQUIS!$C$97)-CROQUIS!$C$107)/MAX(CROQUIS!$C$134,1))+1)))-1,0),0,MOD($A77-1,5))+1,0,2,CROQUIS!$C$98-2,2,0),((CROQUIS!$C$107/2+(((CROQUIS!$C$97)-CROQUIS!$C$107)-(MIN(80,MAX(1,INT(((CROQUIS!$C$97)-CROQUIS!$C$107)/MAX(CROQUIS!$C$134,1))+1))-1)*CROQUIS!$C$134)/2)+MIN(INT(($A77-1)/5),MAX((MIN(80,MAX(1,INT(((CROQUIS!$C$97)-CROQUIS!$C$107)/MAX(CROQUIS!$C$134,1))+1)))-1,0))*CROQUIS!$C$134)))*CROQUIS!$C$155)+IF(CROQUIS!$C$92="X",0,0)),-1000)</f>
        <v>-1000</v>
      </c>
      <c r="BL77">
        <f>IF(AND(CROQUIS!$C$88=1,CROQUIS!$C$91=0,CROQUIS!$C$130&gt;0,OR(CROQUIS!$C$103=1,CROQUIS!$C$142=1)),((CROQUIS!$C$156+(IF(CROQUIS!$C$92="X",CHOOSE(IF(INT(($A77-1)/5)&gt;MAX((MIN(80,MAX(1,INT(((CROQUIS!$C$98)-CROQUIS!$C$107)/MAX(CROQUIS!$C$130,1))+1)))-1,0),0,MOD($A77-1,5))+1,0,IF(CROQUIS!$C$103=1,-12,2),CROQUIS!$C$107/2+CROQUIS!$C$140,IF(CROQUIS!$C$103=1,-12,2),0),((CROQUIS!$C$107/2+(((CROQUIS!$C$98)-CROQUIS!$C$107)-(MIN(80,MAX(1,INT(((CROQUIS!$C$98)-CROQUIS!$C$107)/MAX(CROQUIS!$C$130,1))+1))-1)*CROQUIS!$C$130)/2)+MIN(INT(($A77-1)/5),MAX((MIN(80,MAX(1,INT(((CROQUIS!$C$98)-CROQUIS!$C$107)/MAX(CROQUIS!$C$130,1))+1)))-1,0))*CROQUIS!$C$130)))*CROQUIS!$C$155)+IF(CROQUIS!$C$92="X",0,0)),-1000)</f>
        <v>-1000</v>
      </c>
      <c r="BM7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77-1)/5),MAX((MIN(80,MAX(1,INT(((CROQUIS!$C$98)-CROQUIS!$C$107)/MAX(CROQUIS!$C$130,1))+1)))-1,0))*CROQUIS!$C$130),CHOOSE(IF(INT(($A77-1)/5)&gt;MAX((MIN(80,MAX(1,INT(((CROQUIS!$C$98)-CROQUIS!$C$107)/MAX(CROQUIS!$C$130,1))+1)))-1,0),0,MOD($A77-1,5))+1,0,IF(CROQUIS!$C$103=1,-12,2),CROQUIS!$C$107/2+CROQUIS!$C$140,IF(CROQUIS!$C$103=1,-12,2),0)))*CROQUIS!$C$155)+IF(CROQUIS!$C$92="X",0,0)),-1000)</f>
        <v>-1000</v>
      </c>
      <c r="BN77">
        <f>IF(AND(CROQUIS!$C$88=1,CROQUIS!$C$91=0,CROQUIS!$C$130&gt;0,OR(CROQUIS!$C$104=1,CROQUIS!$C$142=1)),((CROQUIS!$C$156+(IF(CROQUIS!$C$92="X",CHOOSE(IF(INT(($A77-1)/5)&gt;MAX((MIN(80,MAX(1,INT(((CROQUIS!$C$98)-CROQUIS!$C$107)/MAX(CROQUIS!$C$130,1))+1)))-1,0),0,MOD($A77-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77-1)/5),MAX((MIN(80,MAX(1,INT(((CROQUIS!$C$98)-CROQUIS!$C$107)/MAX(CROQUIS!$C$130,1))+1)))-1,0))*CROQUIS!$C$130)))*CROQUIS!$C$155)+IF(CROQUIS!$C$92="X",0,0)),-1000)</f>
        <v>-1000</v>
      </c>
      <c r="BO7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77-1)/5),MAX((MIN(80,MAX(1,INT(((CROQUIS!$C$98)-CROQUIS!$C$107)/MAX(CROQUIS!$C$130,1))+1)))-1,0))*CROQUIS!$C$130),CHOOSE(IF(INT(($A77-1)/5)&gt;MAX((MIN(80,MAX(1,INT(((CROQUIS!$C$98)-CROQUIS!$C$107)/MAX(CROQUIS!$C$130,1))+1)))-1,0),0,MOD($A77-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7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77-1)/5),MAX((MIN(80,MAX(1,INT(((CROQUIS!$C$97)-CROQUIS!$C$107)/MAX(CROQUIS!$C$138,1))+1)))-1,0))*CROQUIS!$C$138),CHOOSE(IF(INT(($A77-1)/5)&gt;MAX((MIN(80,MAX(1,INT(((CROQUIS!$C$97)-CROQUIS!$C$107)/MAX(CROQUIS!$C$138,1))+1)))-1,0),0,MOD($A77-1,5))+1,0,IF(CROQUIS!$C$105=1,-12,2),CROQUIS!$C$107/2+CROQUIS!$C$141,IF(CROQUIS!$C$105=1,-12,2),0)))*CROQUIS!$C$155)+IF(CROQUIS!$C$92="X",0,0)),-1000)</f>
        <v>-1000</v>
      </c>
      <c r="BQ77">
        <f>IF(AND(CROQUIS!$C$88=1,CROQUIS!$C$91=0,CROQUIS!$C$138&gt;0,OR(CROQUIS!$C$105=1,CROQUIS!$C$143=1)),((CROQUIS!$C$157+(IF(CROQUIS!$C$92="X",CHOOSE(IF(INT(($A77-1)/5)&gt;MAX((MIN(80,MAX(1,INT(((CROQUIS!$C$97)-CROQUIS!$C$107)/MAX(CROQUIS!$C$138,1))+1)))-1,0),0,MOD($A77-1,5))+1,0,IF(CROQUIS!$C$105=1,-12,2),CROQUIS!$C$107/2+CROQUIS!$C$141,IF(CROQUIS!$C$105=1,-12,2),0),((CROQUIS!$C$107/2+(((CROQUIS!$C$97)-CROQUIS!$C$107)-(MIN(80,MAX(1,INT(((CROQUIS!$C$97)-CROQUIS!$C$107)/MAX(CROQUIS!$C$138,1))+1))-1)*CROQUIS!$C$138)/2)+MIN(INT(($A77-1)/5),MAX((MIN(80,MAX(1,INT(((CROQUIS!$C$97)-CROQUIS!$C$107)/MAX(CROQUIS!$C$138,1))+1)))-1,0))*CROQUIS!$C$138)))*CROQUIS!$C$155)+IF(CROQUIS!$C$92="X",0,0)),-1000)</f>
        <v>-1000</v>
      </c>
      <c r="BR7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77-1)/5),MAX((MIN(80,MAX(1,INT(((CROQUIS!$C$97)-CROQUIS!$C$107)/MAX(CROQUIS!$C$138,1))+1)))-1,0))*CROQUIS!$C$138),CHOOSE(IF(INT(($A77-1)/5)&gt;MAX((MIN(80,MAX(1,INT(((CROQUIS!$C$97)-CROQUIS!$C$107)/MAX(CROQUIS!$C$138,1))+1)))-1,0),0,MOD($A77-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77">
        <f>IF(AND(CROQUIS!$C$88=1,CROQUIS!$C$91=0,CROQUIS!$C$138&gt;0,OR(CROQUIS!$C$106=1,CROQUIS!$C$143=1)),((CROQUIS!$C$157+(IF(CROQUIS!$C$92="X",CHOOSE(IF(INT(($A77-1)/5)&gt;MAX((MIN(80,MAX(1,INT(((CROQUIS!$C$97)-CROQUIS!$C$107)/MAX(CROQUIS!$C$138,1))+1)))-1,0),0,MOD($A77-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77-1)/5),MAX((MIN(80,MAX(1,INT(((CROQUIS!$C$97)-CROQUIS!$C$107)/MAX(CROQUIS!$C$138,1))+1)))-1,0))*CROQUIS!$C$138)))*CROQUIS!$C$155)+IF(CROQUIS!$C$92="X",0,0)),-1000)</f>
        <v>-1000</v>
      </c>
      <c r="BT77">
        <f>IF(AND(CROQUIS!$C$88=1,CROQUIS!$C$91=1,CROQUIS!$C$130&gt;0),((CROQUIS!$C$156+(IF(CROQUIS!$C$92="X",CHOOSE(IF(INT(($A77-1)/5)&gt;MAX((MIN(80,MAX(1,INT(((CROQUIS!$C$98)-CROQUIS!$C$107)/MAX(CROQUIS!$C$130,1))+1)))-1,0),0,MOD($A77-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77-1)/5),MAX((MIN(80,MAX(1,INT(((CROQUIS!$C$98)-CROQUIS!$C$107)/MAX(CROQUIS!$C$130,1))+1)))-1,0))*CROQUIS!$C$130)))*CROQUIS!$C$155)+IF(CROQUIS!$C$92="X",0,0)),-1000)</f>
        <v>-1000</v>
      </c>
      <c r="BU77">
        <f>IF(AND(CROQUIS!$C$88=1,CROQUIS!$C$91=1,CROQUIS!$C$130&gt;0),((CROQUIS!$C$157+(IF(CROQUIS!$C$92="X",((CROQUIS!$C$107/2+(((CROQUIS!$C$98)-CROQUIS!$C$107)-(MIN(80,MAX(1,INT(((CROQUIS!$C$98)-CROQUIS!$C$107)/MAX(CROQUIS!$C$130,1))+1))-1)*CROQUIS!$C$130)/2)+MIN(INT(($A77-1)/5),MAX((MIN(80,MAX(1,INT(((CROQUIS!$C$98)-CROQUIS!$C$107)/MAX(CROQUIS!$C$130,1))+1)))-1,0))*CROQUIS!$C$130),CHOOSE(IF(INT(($A77-1)/5)&gt;MAX((MIN(80,MAX(1,INT(((CROQUIS!$C$98)-CROQUIS!$C$107)/MAX(CROQUIS!$C$130,1))+1)))-1,0),0,MOD($A77-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78">
      <c r="A78" t="n">
        <v>71</v>
      </c>
      <c r="AF78">
        <f>IF(AND(CROQUIS!$C$87=1,CROQUIS!$C$158&gt;0,CROQUIS!$C$160&gt;0),(CROQUIS!$C$156+((CROQUIS!$C$159+INT(MIN(INT(($A78-1)/2),MAX((2*CROQUIS!$C$158)-1,0))/2)*CROQUIS!$C$113+MOD(MIN(INT(($A78-1)/2),MAX((2*CROQUIS!$C$158)-1,0)),2)*CROQUIS!$C$112))*CROQUIS!$C$155),-1000)</f>
        <v>85.2010845006778</v>
      </c>
      <c r="AG78">
        <f>IF(AND(CROQUIS!$C$87=1,CROQUIS!$C$158&gt;0,CROQUIS!$C$160&gt;0),(CROQUIS!$C$157+(IF(MOD(MIN(INT(($A78-1)/2),MAX((2*CROQUIS!$C$158)-1,0)),2)=0,IF(IF(INT(($A78-1)/2)&gt;MAX((2*CROQUIS!$C$158)-1,0),1,MOD($A78-1,2))=0,CROQUIS!$C$161,(CROQUIS!$C$161+CROQUIS!$C$160*CROQUIS!$C$113-CROQUIS!$C$111)),IF(IF(INT(($A78-1)/2)&gt;MAX((2*CROQUIS!$C$158)-1,0),1,MOD($A78-1,2))=0,(CROQUIS!$C$161+CROQUIS!$C$160*CROQUIS!$C$113-CROQUIS!$C$111),CROQUIS!$C$161)))*CROQUIS!$C$155),-1000)</f>
        <v>20.8088567555355</v>
      </c>
      <c r="AH78">
        <f>IF(AND(CROQUIS!$C$87=1,CROQUIS!$C$160&gt;0,CROQUIS!$C$158&gt;0),(CROQUIS!$C$156+(IF(MOD(MIN(INT(($A78-1)/2),MAX((2*CROQUIS!$C$160)-1,0)),2)=0,IF(IF(INT(($A78-1)/2)&gt;MAX((2*CROQUIS!$C$160)-1,0),1,MOD($A78-1,2))=0,CROQUIS!$C$159,(CROQUIS!$C$159+CROQUIS!$C$158*CROQUIS!$C$113-CROQUIS!$C$111)),IF(IF(INT(($A78-1)/2)&gt;MAX((2*CROQUIS!$C$160)-1,0),1,MOD($A78-1,2))=0,(CROQUIS!$C$159+CROQUIS!$C$158*CROQUIS!$C$113-CROQUIS!$C$111),CROQUIS!$C$159)))*CROQUIS!$C$155),-1000)</f>
        <v>14.7989154993222</v>
      </c>
      <c r="AI78">
        <f>IF(AND(CROQUIS!$C$87=1,CROQUIS!$C$160&gt;0,CROQUIS!$C$158&gt;0),(CROQUIS!$C$157+((CROQUIS!$C$161+INT(MIN(INT(($A78-1)/2),MAX((2*CROQUIS!$C$160)-1,0))/2)*CROQUIS!$C$113+MOD(MIN(INT(($A78-1)/2),MAX((2*CROQUIS!$C$160)-1,0)),2)*CROQUIS!$C$112))*CROQUIS!$C$155),-1000)</f>
        <v>79.1911432444645</v>
      </c>
      <c r="BH78">
        <f>IF(AND(CROQUIS!$C$88=1,CROQUIS!$C$126&gt;0),((CROQUIS!$C$156+(IF(CROQUIS!$C$92="X",CHOOSE(IF(INT(($A78-1)/5)&gt;MAX((MIN(80,MAX(1,INT(((CROQUIS!$C$98)-CROQUIS!$C$107)/MAX(CROQUIS!$C$126,1))+1)))-1,0),0,MOD($A78-1,5))+1,0,2,CROQUIS!$C$97-2,2,0),((CROQUIS!$C$107/2+(((CROQUIS!$C$98)-CROQUIS!$C$107)-(MIN(80,MAX(1,INT(((CROQUIS!$C$98)-CROQUIS!$C$107)/MAX(CROQUIS!$C$126,1))+1))-1)*CROQUIS!$C$126)/2)+MIN(INT(($A78-1)/5),MAX((MIN(80,MAX(1,INT(((CROQUIS!$C$98)-CROQUIS!$C$107)/MAX(CROQUIS!$C$126,1))+1)))-1,0))*CROQUIS!$C$126)))*CROQUIS!$C$155)+IF(CROQUIS!$C$92="X",0,0)),-1000)</f>
        <v>-1000</v>
      </c>
      <c r="BI78">
        <f>IF(AND(CROQUIS!$C$88=1,CROQUIS!$C$126&gt;0),((CROQUIS!$C$157+(IF(CROQUIS!$C$92="X",((CROQUIS!$C$107/2+(((CROQUIS!$C$98)-CROQUIS!$C$107)-(MIN(80,MAX(1,INT(((CROQUIS!$C$98)-CROQUIS!$C$107)/MAX(CROQUIS!$C$126,1))+1))-1)*CROQUIS!$C$126)/2)+MIN(INT(($A78-1)/5),MAX((MIN(80,MAX(1,INT(((CROQUIS!$C$98)-CROQUIS!$C$107)/MAX(CROQUIS!$C$126,1))+1)))-1,0))*CROQUIS!$C$126),CHOOSE(IF(INT(($A78-1)/5)&gt;MAX((MIN(80,MAX(1,INT(((CROQUIS!$C$98)-CROQUIS!$C$107)/MAX(CROQUIS!$C$126,1))+1)))-1,0),0,MOD($A78-1,5))+1,0,2,CROQUIS!$C$97-2,2,0)))*CROQUIS!$C$155)+IF(CROQUIS!$C$92="X",0,0)),-1000)</f>
        <v>-1000</v>
      </c>
      <c r="BJ78">
        <f>IF(AND(CROQUIS!$C$88=1,CROQUIS!$C$134&gt;0),((CROQUIS!$C$156+(IF(CROQUIS!$C$92="X",((CROQUIS!$C$107/2+(((CROQUIS!$C$97)-CROQUIS!$C$107)-(MIN(80,MAX(1,INT(((CROQUIS!$C$97)-CROQUIS!$C$107)/MAX(CROQUIS!$C$134,1))+1))-1)*CROQUIS!$C$134)/2)+MIN(INT(($A78-1)/5),MAX((MIN(80,MAX(1,INT(((CROQUIS!$C$97)-CROQUIS!$C$107)/MAX(CROQUIS!$C$134,1))+1)))-1,0))*CROQUIS!$C$134),CHOOSE(IF(INT(($A78-1)/5)&gt;MAX((MIN(80,MAX(1,INT(((CROQUIS!$C$97)-CROQUIS!$C$107)/MAX(CROQUIS!$C$134,1))+1)))-1,0),0,MOD($A78-1,5))+1,0,2,CROQUIS!$C$98-2,2,0)))*CROQUIS!$C$155)+IF(CROQUIS!$C$92="X",0,0)),-1000)</f>
        <v>-1000</v>
      </c>
      <c r="BK78">
        <f>IF(AND(CROQUIS!$C$88=1,CROQUIS!$C$134&gt;0),((CROQUIS!$C$157+(IF(CROQUIS!$C$92="X",CHOOSE(IF(INT(($A78-1)/5)&gt;MAX((MIN(80,MAX(1,INT(((CROQUIS!$C$97)-CROQUIS!$C$107)/MAX(CROQUIS!$C$134,1))+1)))-1,0),0,MOD($A78-1,5))+1,0,2,CROQUIS!$C$98-2,2,0),((CROQUIS!$C$107/2+(((CROQUIS!$C$97)-CROQUIS!$C$107)-(MIN(80,MAX(1,INT(((CROQUIS!$C$97)-CROQUIS!$C$107)/MAX(CROQUIS!$C$134,1))+1))-1)*CROQUIS!$C$134)/2)+MIN(INT(($A78-1)/5),MAX((MIN(80,MAX(1,INT(((CROQUIS!$C$97)-CROQUIS!$C$107)/MAX(CROQUIS!$C$134,1))+1)))-1,0))*CROQUIS!$C$134)))*CROQUIS!$C$155)+IF(CROQUIS!$C$92="X",0,0)),-1000)</f>
        <v>-1000</v>
      </c>
      <c r="BL78">
        <f>IF(AND(CROQUIS!$C$88=1,CROQUIS!$C$91=0,CROQUIS!$C$130&gt;0,OR(CROQUIS!$C$103=1,CROQUIS!$C$142=1)),((CROQUIS!$C$156+(IF(CROQUIS!$C$92="X",CHOOSE(IF(INT(($A78-1)/5)&gt;MAX((MIN(80,MAX(1,INT(((CROQUIS!$C$98)-CROQUIS!$C$107)/MAX(CROQUIS!$C$130,1))+1)))-1,0),0,MOD($A78-1,5))+1,0,IF(CROQUIS!$C$103=1,-12,2),CROQUIS!$C$107/2+CROQUIS!$C$140,IF(CROQUIS!$C$103=1,-12,2),0),((CROQUIS!$C$107/2+(((CROQUIS!$C$98)-CROQUIS!$C$107)-(MIN(80,MAX(1,INT(((CROQUIS!$C$98)-CROQUIS!$C$107)/MAX(CROQUIS!$C$130,1))+1))-1)*CROQUIS!$C$130)/2)+MIN(INT(($A78-1)/5),MAX((MIN(80,MAX(1,INT(((CROQUIS!$C$98)-CROQUIS!$C$107)/MAX(CROQUIS!$C$130,1))+1)))-1,0))*CROQUIS!$C$130)))*CROQUIS!$C$155)+IF(CROQUIS!$C$92="X",0,0)),-1000)</f>
        <v>-1000</v>
      </c>
      <c r="BM7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78-1)/5),MAX((MIN(80,MAX(1,INT(((CROQUIS!$C$98)-CROQUIS!$C$107)/MAX(CROQUIS!$C$130,1))+1)))-1,0))*CROQUIS!$C$130),CHOOSE(IF(INT(($A78-1)/5)&gt;MAX((MIN(80,MAX(1,INT(((CROQUIS!$C$98)-CROQUIS!$C$107)/MAX(CROQUIS!$C$130,1))+1)))-1,0),0,MOD($A78-1,5))+1,0,IF(CROQUIS!$C$103=1,-12,2),CROQUIS!$C$107/2+CROQUIS!$C$140,IF(CROQUIS!$C$103=1,-12,2),0)))*CROQUIS!$C$155)+IF(CROQUIS!$C$92="X",0,0)),-1000)</f>
        <v>-1000</v>
      </c>
      <c r="BN78">
        <f>IF(AND(CROQUIS!$C$88=1,CROQUIS!$C$91=0,CROQUIS!$C$130&gt;0,OR(CROQUIS!$C$104=1,CROQUIS!$C$142=1)),((CROQUIS!$C$156+(IF(CROQUIS!$C$92="X",CHOOSE(IF(INT(($A78-1)/5)&gt;MAX((MIN(80,MAX(1,INT(((CROQUIS!$C$98)-CROQUIS!$C$107)/MAX(CROQUIS!$C$130,1))+1)))-1,0),0,MOD($A78-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78-1)/5),MAX((MIN(80,MAX(1,INT(((CROQUIS!$C$98)-CROQUIS!$C$107)/MAX(CROQUIS!$C$130,1))+1)))-1,0))*CROQUIS!$C$130)))*CROQUIS!$C$155)+IF(CROQUIS!$C$92="X",0,0)),-1000)</f>
        <v>-1000</v>
      </c>
      <c r="BO7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78-1)/5),MAX((MIN(80,MAX(1,INT(((CROQUIS!$C$98)-CROQUIS!$C$107)/MAX(CROQUIS!$C$130,1))+1)))-1,0))*CROQUIS!$C$130),CHOOSE(IF(INT(($A78-1)/5)&gt;MAX((MIN(80,MAX(1,INT(((CROQUIS!$C$98)-CROQUIS!$C$107)/MAX(CROQUIS!$C$130,1))+1)))-1,0),0,MOD($A78-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7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78-1)/5),MAX((MIN(80,MAX(1,INT(((CROQUIS!$C$97)-CROQUIS!$C$107)/MAX(CROQUIS!$C$138,1))+1)))-1,0))*CROQUIS!$C$138),CHOOSE(IF(INT(($A78-1)/5)&gt;MAX((MIN(80,MAX(1,INT(((CROQUIS!$C$97)-CROQUIS!$C$107)/MAX(CROQUIS!$C$138,1))+1)))-1,0),0,MOD($A78-1,5))+1,0,IF(CROQUIS!$C$105=1,-12,2),CROQUIS!$C$107/2+CROQUIS!$C$141,IF(CROQUIS!$C$105=1,-12,2),0)))*CROQUIS!$C$155)+IF(CROQUIS!$C$92="X",0,0)),-1000)</f>
        <v>-1000</v>
      </c>
      <c r="BQ78">
        <f>IF(AND(CROQUIS!$C$88=1,CROQUIS!$C$91=0,CROQUIS!$C$138&gt;0,OR(CROQUIS!$C$105=1,CROQUIS!$C$143=1)),((CROQUIS!$C$157+(IF(CROQUIS!$C$92="X",CHOOSE(IF(INT(($A78-1)/5)&gt;MAX((MIN(80,MAX(1,INT(((CROQUIS!$C$97)-CROQUIS!$C$107)/MAX(CROQUIS!$C$138,1))+1)))-1,0),0,MOD($A78-1,5))+1,0,IF(CROQUIS!$C$105=1,-12,2),CROQUIS!$C$107/2+CROQUIS!$C$141,IF(CROQUIS!$C$105=1,-12,2),0),((CROQUIS!$C$107/2+(((CROQUIS!$C$97)-CROQUIS!$C$107)-(MIN(80,MAX(1,INT(((CROQUIS!$C$97)-CROQUIS!$C$107)/MAX(CROQUIS!$C$138,1))+1))-1)*CROQUIS!$C$138)/2)+MIN(INT(($A78-1)/5),MAX((MIN(80,MAX(1,INT(((CROQUIS!$C$97)-CROQUIS!$C$107)/MAX(CROQUIS!$C$138,1))+1)))-1,0))*CROQUIS!$C$138)))*CROQUIS!$C$155)+IF(CROQUIS!$C$92="X",0,0)),-1000)</f>
        <v>-1000</v>
      </c>
      <c r="BR7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78-1)/5),MAX((MIN(80,MAX(1,INT(((CROQUIS!$C$97)-CROQUIS!$C$107)/MAX(CROQUIS!$C$138,1))+1)))-1,0))*CROQUIS!$C$138),CHOOSE(IF(INT(($A78-1)/5)&gt;MAX((MIN(80,MAX(1,INT(((CROQUIS!$C$97)-CROQUIS!$C$107)/MAX(CROQUIS!$C$138,1))+1)))-1,0),0,MOD($A78-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78">
        <f>IF(AND(CROQUIS!$C$88=1,CROQUIS!$C$91=0,CROQUIS!$C$138&gt;0,OR(CROQUIS!$C$106=1,CROQUIS!$C$143=1)),((CROQUIS!$C$157+(IF(CROQUIS!$C$92="X",CHOOSE(IF(INT(($A78-1)/5)&gt;MAX((MIN(80,MAX(1,INT(((CROQUIS!$C$97)-CROQUIS!$C$107)/MAX(CROQUIS!$C$138,1))+1)))-1,0),0,MOD($A78-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78-1)/5),MAX((MIN(80,MAX(1,INT(((CROQUIS!$C$97)-CROQUIS!$C$107)/MAX(CROQUIS!$C$138,1))+1)))-1,0))*CROQUIS!$C$138)))*CROQUIS!$C$155)+IF(CROQUIS!$C$92="X",0,0)),-1000)</f>
        <v>-1000</v>
      </c>
      <c r="BT78">
        <f>IF(AND(CROQUIS!$C$88=1,CROQUIS!$C$91=1,CROQUIS!$C$130&gt;0),((CROQUIS!$C$156+(IF(CROQUIS!$C$92="X",CHOOSE(IF(INT(($A78-1)/5)&gt;MAX((MIN(80,MAX(1,INT(((CROQUIS!$C$98)-CROQUIS!$C$107)/MAX(CROQUIS!$C$130,1))+1)))-1,0),0,MOD($A78-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78-1)/5),MAX((MIN(80,MAX(1,INT(((CROQUIS!$C$98)-CROQUIS!$C$107)/MAX(CROQUIS!$C$130,1))+1)))-1,0))*CROQUIS!$C$130)))*CROQUIS!$C$155)+IF(CROQUIS!$C$92="X",0,0)),-1000)</f>
        <v>-1000</v>
      </c>
      <c r="BU78">
        <f>IF(AND(CROQUIS!$C$88=1,CROQUIS!$C$91=1,CROQUIS!$C$130&gt;0),((CROQUIS!$C$157+(IF(CROQUIS!$C$92="X",((CROQUIS!$C$107/2+(((CROQUIS!$C$98)-CROQUIS!$C$107)-(MIN(80,MAX(1,INT(((CROQUIS!$C$98)-CROQUIS!$C$107)/MAX(CROQUIS!$C$130,1))+1))-1)*CROQUIS!$C$130)/2)+MIN(INT(($A78-1)/5),MAX((MIN(80,MAX(1,INT(((CROQUIS!$C$98)-CROQUIS!$C$107)/MAX(CROQUIS!$C$130,1))+1)))-1,0))*CROQUIS!$C$130),CHOOSE(IF(INT(($A78-1)/5)&gt;MAX((MIN(80,MAX(1,INT(((CROQUIS!$C$98)-CROQUIS!$C$107)/MAX(CROQUIS!$C$130,1))+1)))-1,0),0,MOD($A78-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79">
      <c r="A79" t="n">
        <v>72</v>
      </c>
      <c r="AF79">
        <f>IF(AND(CROQUIS!$C$87=1,CROQUIS!$C$158&gt;0,CROQUIS!$C$160&gt;0),(CROQUIS!$C$156+((CROQUIS!$C$159+INT(MIN(INT(($A79-1)/2),MAX((2*CROQUIS!$C$158)-1,0))/2)*CROQUIS!$C$113+MOD(MIN(INT(($A79-1)/2),MAX((2*CROQUIS!$C$158)-1,0)),2)*CROQUIS!$C$112))*CROQUIS!$C$155),-1000)</f>
        <v>85.2010845006778</v>
      </c>
      <c r="AG79">
        <f>IF(AND(CROQUIS!$C$87=1,CROQUIS!$C$158&gt;0,CROQUIS!$C$160&gt;0),(CROQUIS!$C$157+(IF(MOD(MIN(INT(($A79-1)/2),MAX((2*CROQUIS!$C$158)-1,0)),2)=0,IF(IF(INT(($A79-1)/2)&gt;MAX((2*CROQUIS!$C$158)-1,0),1,MOD($A79-1,2))=0,CROQUIS!$C$161,(CROQUIS!$C$161+CROQUIS!$C$160*CROQUIS!$C$113-CROQUIS!$C$111)),IF(IF(INT(($A79-1)/2)&gt;MAX((2*CROQUIS!$C$158)-1,0),1,MOD($A79-1,2))=0,(CROQUIS!$C$161+CROQUIS!$C$160*CROQUIS!$C$113-CROQUIS!$C$111),CROQUIS!$C$161)))*CROQUIS!$C$155),-1000)</f>
        <v>20.8088567555355</v>
      </c>
      <c r="AH79">
        <f>IF(AND(CROQUIS!$C$87=1,CROQUIS!$C$160&gt;0,CROQUIS!$C$158&gt;0),(CROQUIS!$C$156+(IF(MOD(MIN(INT(($A79-1)/2),MAX((2*CROQUIS!$C$160)-1,0)),2)=0,IF(IF(INT(($A79-1)/2)&gt;MAX((2*CROQUIS!$C$160)-1,0),1,MOD($A79-1,2))=0,CROQUIS!$C$159,(CROQUIS!$C$159+CROQUIS!$C$158*CROQUIS!$C$113-CROQUIS!$C$111)),IF(IF(INT(($A79-1)/2)&gt;MAX((2*CROQUIS!$C$160)-1,0),1,MOD($A79-1,2))=0,(CROQUIS!$C$159+CROQUIS!$C$158*CROQUIS!$C$113-CROQUIS!$C$111),CROQUIS!$C$159)))*CROQUIS!$C$155),-1000)</f>
        <v>14.7989154993222</v>
      </c>
      <c r="AI79">
        <f>IF(AND(CROQUIS!$C$87=1,CROQUIS!$C$160&gt;0,CROQUIS!$C$158&gt;0),(CROQUIS!$C$157+((CROQUIS!$C$161+INT(MIN(INT(($A79-1)/2),MAX((2*CROQUIS!$C$160)-1,0))/2)*CROQUIS!$C$113+MOD(MIN(INT(($A79-1)/2),MAX((2*CROQUIS!$C$160)-1,0)),2)*CROQUIS!$C$112))*CROQUIS!$C$155),-1000)</f>
        <v>79.1911432444645</v>
      </c>
      <c r="BH79">
        <f>IF(AND(CROQUIS!$C$88=1,CROQUIS!$C$126&gt;0),((CROQUIS!$C$156+(IF(CROQUIS!$C$92="X",CHOOSE(IF(INT(($A79-1)/5)&gt;MAX((MIN(80,MAX(1,INT(((CROQUIS!$C$98)-CROQUIS!$C$107)/MAX(CROQUIS!$C$126,1))+1)))-1,0),0,MOD($A79-1,5))+1,0,2,CROQUIS!$C$97-2,2,0),((CROQUIS!$C$107/2+(((CROQUIS!$C$98)-CROQUIS!$C$107)-(MIN(80,MAX(1,INT(((CROQUIS!$C$98)-CROQUIS!$C$107)/MAX(CROQUIS!$C$126,1))+1))-1)*CROQUIS!$C$126)/2)+MIN(INT(($A79-1)/5),MAX((MIN(80,MAX(1,INT(((CROQUIS!$C$98)-CROQUIS!$C$107)/MAX(CROQUIS!$C$126,1))+1)))-1,0))*CROQUIS!$C$126)))*CROQUIS!$C$155)+IF(CROQUIS!$C$92="X",0,0)),-1000)</f>
        <v>-1000</v>
      </c>
      <c r="BI79">
        <f>IF(AND(CROQUIS!$C$88=1,CROQUIS!$C$126&gt;0),((CROQUIS!$C$157+(IF(CROQUIS!$C$92="X",((CROQUIS!$C$107/2+(((CROQUIS!$C$98)-CROQUIS!$C$107)-(MIN(80,MAX(1,INT(((CROQUIS!$C$98)-CROQUIS!$C$107)/MAX(CROQUIS!$C$126,1))+1))-1)*CROQUIS!$C$126)/2)+MIN(INT(($A79-1)/5),MAX((MIN(80,MAX(1,INT(((CROQUIS!$C$98)-CROQUIS!$C$107)/MAX(CROQUIS!$C$126,1))+1)))-1,0))*CROQUIS!$C$126),CHOOSE(IF(INT(($A79-1)/5)&gt;MAX((MIN(80,MAX(1,INT(((CROQUIS!$C$98)-CROQUIS!$C$107)/MAX(CROQUIS!$C$126,1))+1)))-1,0),0,MOD($A79-1,5))+1,0,2,CROQUIS!$C$97-2,2,0)))*CROQUIS!$C$155)+IF(CROQUIS!$C$92="X",0,0)),-1000)</f>
        <v>-1000</v>
      </c>
      <c r="BJ79">
        <f>IF(AND(CROQUIS!$C$88=1,CROQUIS!$C$134&gt;0),((CROQUIS!$C$156+(IF(CROQUIS!$C$92="X",((CROQUIS!$C$107/2+(((CROQUIS!$C$97)-CROQUIS!$C$107)-(MIN(80,MAX(1,INT(((CROQUIS!$C$97)-CROQUIS!$C$107)/MAX(CROQUIS!$C$134,1))+1))-1)*CROQUIS!$C$134)/2)+MIN(INT(($A79-1)/5),MAX((MIN(80,MAX(1,INT(((CROQUIS!$C$97)-CROQUIS!$C$107)/MAX(CROQUIS!$C$134,1))+1)))-1,0))*CROQUIS!$C$134),CHOOSE(IF(INT(($A79-1)/5)&gt;MAX((MIN(80,MAX(1,INT(((CROQUIS!$C$97)-CROQUIS!$C$107)/MAX(CROQUIS!$C$134,1))+1)))-1,0),0,MOD($A79-1,5))+1,0,2,CROQUIS!$C$98-2,2,0)))*CROQUIS!$C$155)+IF(CROQUIS!$C$92="X",0,0)),-1000)</f>
        <v>-1000</v>
      </c>
      <c r="BK79">
        <f>IF(AND(CROQUIS!$C$88=1,CROQUIS!$C$134&gt;0),((CROQUIS!$C$157+(IF(CROQUIS!$C$92="X",CHOOSE(IF(INT(($A79-1)/5)&gt;MAX((MIN(80,MAX(1,INT(((CROQUIS!$C$97)-CROQUIS!$C$107)/MAX(CROQUIS!$C$134,1))+1)))-1,0),0,MOD($A79-1,5))+1,0,2,CROQUIS!$C$98-2,2,0),((CROQUIS!$C$107/2+(((CROQUIS!$C$97)-CROQUIS!$C$107)-(MIN(80,MAX(1,INT(((CROQUIS!$C$97)-CROQUIS!$C$107)/MAX(CROQUIS!$C$134,1))+1))-1)*CROQUIS!$C$134)/2)+MIN(INT(($A79-1)/5),MAX((MIN(80,MAX(1,INT(((CROQUIS!$C$97)-CROQUIS!$C$107)/MAX(CROQUIS!$C$134,1))+1)))-1,0))*CROQUIS!$C$134)))*CROQUIS!$C$155)+IF(CROQUIS!$C$92="X",0,0)),-1000)</f>
        <v>-1000</v>
      </c>
      <c r="BL79">
        <f>IF(AND(CROQUIS!$C$88=1,CROQUIS!$C$91=0,CROQUIS!$C$130&gt;0,OR(CROQUIS!$C$103=1,CROQUIS!$C$142=1)),((CROQUIS!$C$156+(IF(CROQUIS!$C$92="X",CHOOSE(IF(INT(($A79-1)/5)&gt;MAX((MIN(80,MAX(1,INT(((CROQUIS!$C$98)-CROQUIS!$C$107)/MAX(CROQUIS!$C$130,1))+1)))-1,0),0,MOD($A79-1,5))+1,0,IF(CROQUIS!$C$103=1,-12,2),CROQUIS!$C$107/2+CROQUIS!$C$140,IF(CROQUIS!$C$103=1,-12,2),0),((CROQUIS!$C$107/2+(((CROQUIS!$C$98)-CROQUIS!$C$107)-(MIN(80,MAX(1,INT(((CROQUIS!$C$98)-CROQUIS!$C$107)/MAX(CROQUIS!$C$130,1))+1))-1)*CROQUIS!$C$130)/2)+MIN(INT(($A79-1)/5),MAX((MIN(80,MAX(1,INT(((CROQUIS!$C$98)-CROQUIS!$C$107)/MAX(CROQUIS!$C$130,1))+1)))-1,0))*CROQUIS!$C$130)))*CROQUIS!$C$155)+IF(CROQUIS!$C$92="X",0,0)),-1000)</f>
        <v>-1000</v>
      </c>
      <c r="BM7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79-1)/5),MAX((MIN(80,MAX(1,INT(((CROQUIS!$C$98)-CROQUIS!$C$107)/MAX(CROQUIS!$C$130,1))+1)))-1,0))*CROQUIS!$C$130),CHOOSE(IF(INT(($A79-1)/5)&gt;MAX((MIN(80,MAX(1,INT(((CROQUIS!$C$98)-CROQUIS!$C$107)/MAX(CROQUIS!$C$130,1))+1)))-1,0),0,MOD($A79-1,5))+1,0,IF(CROQUIS!$C$103=1,-12,2),CROQUIS!$C$107/2+CROQUIS!$C$140,IF(CROQUIS!$C$103=1,-12,2),0)))*CROQUIS!$C$155)+IF(CROQUIS!$C$92="X",0,0)),-1000)</f>
        <v>-1000</v>
      </c>
      <c r="BN79">
        <f>IF(AND(CROQUIS!$C$88=1,CROQUIS!$C$91=0,CROQUIS!$C$130&gt;0,OR(CROQUIS!$C$104=1,CROQUIS!$C$142=1)),((CROQUIS!$C$156+(IF(CROQUIS!$C$92="X",CHOOSE(IF(INT(($A79-1)/5)&gt;MAX((MIN(80,MAX(1,INT(((CROQUIS!$C$98)-CROQUIS!$C$107)/MAX(CROQUIS!$C$130,1))+1)))-1,0),0,MOD($A79-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79-1)/5),MAX((MIN(80,MAX(1,INT(((CROQUIS!$C$98)-CROQUIS!$C$107)/MAX(CROQUIS!$C$130,1))+1)))-1,0))*CROQUIS!$C$130)))*CROQUIS!$C$155)+IF(CROQUIS!$C$92="X",0,0)),-1000)</f>
        <v>-1000</v>
      </c>
      <c r="BO7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79-1)/5),MAX((MIN(80,MAX(1,INT(((CROQUIS!$C$98)-CROQUIS!$C$107)/MAX(CROQUIS!$C$130,1))+1)))-1,0))*CROQUIS!$C$130),CHOOSE(IF(INT(($A79-1)/5)&gt;MAX((MIN(80,MAX(1,INT(((CROQUIS!$C$98)-CROQUIS!$C$107)/MAX(CROQUIS!$C$130,1))+1)))-1,0),0,MOD($A79-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7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79-1)/5),MAX((MIN(80,MAX(1,INT(((CROQUIS!$C$97)-CROQUIS!$C$107)/MAX(CROQUIS!$C$138,1))+1)))-1,0))*CROQUIS!$C$138),CHOOSE(IF(INT(($A79-1)/5)&gt;MAX((MIN(80,MAX(1,INT(((CROQUIS!$C$97)-CROQUIS!$C$107)/MAX(CROQUIS!$C$138,1))+1)))-1,0),0,MOD($A79-1,5))+1,0,IF(CROQUIS!$C$105=1,-12,2),CROQUIS!$C$107/2+CROQUIS!$C$141,IF(CROQUIS!$C$105=1,-12,2),0)))*CROQUIS!$C$155)+IF(CROQUIS!$C$92="X",0,0)),-1000)</f>
        <v>-1000</v>
      </c>
      <c r="BQ79">
        <f>IF(AND(CROQUIS!$C$88=1,CROQUIS!$C$91=0,CROQUIS!$C$138&gt;0,OR(CROQUIS!$C$105=1,CROQUIS!$C$143=1)),((CROQUIS!$C$157+(IF(CROQUIS!$C$92="X",CHOOSE(IF(INT(($A79-1)/5)&gt;MAX((MIN(80,MAX(1,INT(((CROQUIS!$C$97)-CROQUIS!$C$107)/MAX(CROQUIS!$C$138,1))+1)))-1,0),0,MOD($A79-1,5))+1,0,IF(CROQUIS!$C$105=1,-12,2),CROQUIS!$C$107/2+CROQUIS!$C$141,IF(CROQUIS!$C$105=1,-12,2),0),((CROQUIS!$C$107/2+(((CROQUIS!$C$97)-CROQUIS!$C$107)-(MIN(80,MAX(1,INT(((CROQUIS!$C$97)-CROQUIS!$C$107)/MAX(CROQUIS!$C$138,1))+1))-1)*CROQUIS!$C$138)/2)+MIN(INT(($A79-1)/5),MAX((MIN(80,MAX(1,INT(((CROQUIS!$C$97)-CROQUIS!$C$107)/MAX(CROQUIS!$C$138,1))+1)))-1,0))*CROQUIS!$C$138)))*CROQUIS!$C$155)+IF(CROQUIS!$C$92="X",0,0)),-1000)</f>
        <v>-1000</v>
      </c>
      <c r="BR7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79-1)/5),MAX((MIN(80,MAX(1,INT(((CROQUIS!$C$97)-CROQUIS!$C$107)/MAX(CROQUIS!$C$138,1))+1)))-1,0))*CROQUIS!$C$138),CHOOSE(IF(INT(($A79-1)/5)&gt;MAX((MIN(80,MAX(1,INT(((CROQUIS!$C$97)-CROQUIS!$C$107)/MAX(CROQUIS!$C$138,1))+1)))-1,0),0,MOD($A79-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79">
        <f>IF(AND(CROQUIS!$C$88=1,CROQUIS!$C$91=0,CROQUIS!$C$138&gt;0,OR(CROQUIS!$C$106=1,CROQUIS!$C$143=1)),((CROQUIS!$C$157+(IF(CROQUIS!$C$92="X",CHOOSE(IF(INT(($A79-1)/5)&gt;MAX((MIN(80,MAX(1,INT(((CROQUIS!$C$97)-CROQUIS!$C$107)/MAX(CROQUIS!$C$138,1))+1)))-1,0),0,MOD($A79-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79-1)/5),MAX((MIN(80,MAX(1,INT(((CROQUIS!$C$97)-CROQUIS!$C$107)/MAX(CROQUIS!$C$138,1))+1)))-1,0))*CROQUIS!$C$138)))*CROQUIS!$C$155)+IF(CROQUIS!$C$92="X",0,0)),-1000)</f>
        <v>-1000</v>
      </c>
      <c r="BT79">
        <f>IF(AND(CROQUIS!$C$88=1,CROQUIS!$C$91=1,CROQUIS!$C$130&gt;0),((CROQUIS!$C$156+(IF(CROQUIS!$C$92="X",CHOOSE(IF(INT(($A79-1)/5)&gt;MAX((MIN(80,MAX(1,INT(((CROQUIS!$C$98)-CROQUIS!$C$107)/MAX(CROQUIS!$C$130,1))+1)))-1,0),0,MOD($A79-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79-1)/5),MAX((MIN(80,MAX(1,INT(((CROQUIS!$C$98)-CROQUIS!$C$107)/MAX(CROQUIS!$C$130,1))+1)))-1,0))*CROQUIS!$C$130)))*CROQUIS!$C$155)+IF(CROQUIS!$C$92="X",0,0)),-1000)</f>
        <v>-1000</v>
      </c>
      <c r="BU79">
        <f>IF(AND(CROQUIS!$C$88=1,CROQUIS!$C$91=1,CROQUIS!$C$130&gt;0),((CROQUIS!$C$157+(IF(CROQUIS!$C$92="X",((CROQUIS!$C$107/2+(((CROQUIS!$C$98)-CROQUIS!$C$107)-(MIN(80,MAX(1,INT(((CROQUIS!$C$98)-CROQUIS!$C$107)/MAX(CROQUIS!$C$130,1))+1))-1)*CROQUIS!$C$130)/2)+MIN(INT(($A79-1)/5),MAX((MIN(80,MAX(1,INT(((CROQUIS!$C$98)-CROQUIS!$C$107)/MAX(CROQUIS!$C$130,1))+1)))-1,0))*CROQUIS!$C$130),CHOOSE(IF(INT(($A79-1)/5)&gt;MAX((MIN(80,MAX(1,INT(((CROQUIS!$C$98)-CROQUIS!$C$107)/MAX(CROQUIS!$C$130,1))+1)))-1,0),0,MOD($A79-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80">
      <c r="A80" t="n">
        <v>73</v>
      </c>
      <c r="AF80">
        <f>IF(AND(CROQUIS!$C$87=1,CROQUIS!$C$158&gt;0,CROQUIS!$C$160&gt;0),(CROQUIS!$C$156+((CROQUIS!$C$159+INT(MIN(INT(($A80-1)/2),MAX((2*CROQUIS!$C$158)-1,0))/2)*CROQUIS!$C$113+MOD(MIN(INT(($A80-1)/2),MAX((2*CROQUIS!$C$158)-1,0)),2)*CROQUIS!$C$112))*CROQUIS!$C$155),-1000)</f>
        <v>85.2010845006778</v>
      </c>
      <c r="AG80">
        <f>IF(AND(CROQUIS!$C$87=1,CROQUIS!$C$158&gt;0,CROQUIS!$C$160&gt;0),(CROQUIS!$C$157+(IF(MOD(MIN(INT(($A80-1)/2),MAX((2*CROQUIS!$C$158)-1,0)),2)=0,IF(IF(INT(($A80-1)/2)&gt;MAX((2*CROQUIS!$C$158)-1,0),1,MOD($A80-1,2))=0,CROQUIS!$C$161,(CROQUIS!$C$161+CROQUIS!$C$160*CROQUIS!$C$113-CROQUIS!$C$111)),IF(IF(INT(($A80-1)/2)&gt;MAX((2*CROQUIS!$C$158)-1,0),1,MOD($A80-1,2))=0,(CROQUIS!$C$161+CROQUIS!$C$160*CROQUIS!$C$113-CROQUIS!$C$111),CROQUIS!$C$161)))*CROQUIS!$C$155),-1000)</f>
        <v>20.8088567555355</v>
      </c>
      <c r="AH80">
        <f>IF(AND(CROQUIS!$C$87=1,CROQUIS!$C$160&gt;0,CROQUIS!$C$158&gt;0),(CROQUIS!$C$156+(IF(MOD(MIN(INT(($A80-1)/2),MAX((2*CROQUIS!$C$160)-1,0)),2)=0,IF(IF(INT(($A80-1)/2)&gt;MAX((2*CROQUIS!$C$160)-1,0),1,MOD($A80-1,2))=0,CROQUIS!$C$159,(CROQUIS!$C$159+CROQUIS!$C$158*CROQUIS!$C$113-CROQUIS!$C$111)),IF(IF(INT(($A80-1)/2)&gt;MAX((2*CROQUIS!$C$160)-1,0),1,MOD($A80-1,2))=0,(CROQUIS!$C$159+CROQUIS!$C$158*CROQUIS!$C$113-CROQUIS!$C$111),CROQUIS!$C$159)))*CROQUIS!$C$155),-1000)</f>
        <v>14.7989154993222</v>
      </c>
      <c r="AI80">
        <f>IF(AND(CROQUIS!$C$87=1,CROQUIS!$C$160&gt;0,CROQUIS!$C$158&gt;0),(CROQUIS!$C$157+((CROQUIS!$C$161+INT(MIN(INT(($A80-1)/2),MAX((2*CROQUIS!$C$160)-1,0))/2)*CROQUIS!$C$113+MOD(MIN(INT(($A80-1)/2),MAX((2*CROQUIS!$C$160)-1,0)),2)*CROQUIS!$C$112))*CROQUIS!$C$155),-1000)</f>
        <v>79.1911432444645</v>
      </c>
      <c r="BH80">
        <f>IF(AND(CROQUIS!$C$88=1,CROQUIS!$C$126&gt;0),((CROQUIS!$C$156+(IF(CROQUIS!$C$92="X",CHOOSE(IF(INT(($A80-1)/5)&gt;MAX((MIN(80,MAX(1,INT(((CROQUIS!$C$98)-CROQUIS!$C$107)/MAX(CROQUIS!$C$126,1))+1)))-1,0),0,MOD($A80-1,5))+1,0,2,CROQUIS!$C$97-2,2,0),((CROQUIS!$C$107/2+(((CROQUIS!$C$98)-CROQUIS!$C$107)-(MIN(80,MAX(1,INT(((CROQUIS!$C$98)-CROQUIS!$C$107)/MAX(CROQUIS!$C$126,1))+1))-1)*CROQUIS!$C$126)/2)+MIN(INT(($A80-1)/5),MAX((MIN(80,MAX(1,INT(((CROQUIS!$C$98)-CROQUIS!$C$107)/MAX(CROQUIS!$C$126,1))+1)))-1,0))*CROQUIS!$C$126)))*CROQUIS!$C$155)+IF(CROQUIS!$C$92="X",0,0)),-1000)</f>
        <v>-1000</v>
      </c>
      <c r="BI80">
        <f>IF(AND(CROQUIS!$C$88=1,CROQUIS!$C$126&gt;0),((CROQUIS!$C$157+(IF(CROQUIS!$C$92="X",((CROQUIS!$C$107/2+(((CROQUIS!$C$98)-CROQUIS!$C$107)-(MIN(80,MAX(1,INT(((CROQUIS!$C$98)-CROQUIS!$C$107)/MAX(CROQUIS!$C$126,1))+1))-1)*CROQUIS!$C$126)/2)+MIN(INT(($A80-1)/5),MAX((MIN(80,MAX(1,INT(((CROQUIS!$C$98)-CROQUIS!$C$107)/MAX(CROQUIS!$C$126,1))+1)))-1,0))*CROQUIS!$C$126),CHOOSE(IF(INT(($A80-1)/5)&gt;MAX((MIN(80,MAX(1,INT(((CROQUIS!$C$98)-CROQUIS!$C$107)/MAX(CROQUIS!$C$126,1))+1)))-1,0),0,MOD($A80-1,5))+1,0,2,CROQUIS!$C$97-2,2,0)))*CROQUIS!$C$155)+IF(CROQUIS!$C$92="X",0,0)),-1000)</f>
        <v>-1000</v>
      </c>
      <c r="BJ80">
        <f>IF(AND(CROQUIS!$C$88=1,CROQUIS!$C$134&gt;0),((CROQUIS!$C$156+(IF(CROQUIS!$C$92="X",((CROQUIS!$C$107/2+(((CROQUIS!$C$97)-CROQUIS!$C$107)-(MIN(80,MAX(1,INT(((CROQUIS!$C$97)-CROQUIS!$C$107)/MAX(CROQUIS!$C$134,1))+1))-1)*CROQUIS!$C$134)/2)+MIN(INT(($A80-1)/5),MAX((MIN(80,MAX(1,INT(((CROQUIS!$C$97)-CROQUIS!$C$107)/MAX(CROQUIS!$C$134,1))+1)))-1,0))*CROQUIS!$C$134),CHOOSE(IF(INT(($A80-1)/5)&gt;MAX((MIN(80,MAX(1,INT(((CROQUIS!$C$97)-CROQUIS!$C$107)/MAX(CROQUIS!$C$134,1))+1)))-1,0),0,MOD($A80-1,5))+1,0,2,CROQUIS!$C$98-2,2,0)))*CROQUIS!$C$155)+IF(CROQUIS!$C$92="X",0,0)),-1000)</f>
        <v>-1000</v>
      </c>
      <c r="BK80">
        <f>IF(AND(CROQUIS!$C$88=1,CROQUIS!$C$134&gt;0),((CROQUIS!$C$157+(IF(CROQUIS!$C$92="X",CHOOSE(IF(INT(($A80-1)/5)&gt;MAX((MIN(80,MAX(1,INT(((CROQUIS!$C$97)-CROQUIS!$C$107)/MAX(CROQUIS!$C$134,1))+1)))-1,0),0,MOD($A80-1,5))+1,0,2,CROQUIS!$C$98-2,2,0),((CROQUIS!$C$107/2+(((CROQUIS!$C$97)-CROQUIS!$C$107)-(MIN(80,MAX(1,INT(((CROQUIS!$C$97)-CROQUIS!$C$107)/MAX(CROQUIS!$C$134,1))+1))-1)*CROQUIS!$C$134)/2)+MIN(INT(($A80-1)/5),MAX((MIN(80,MAX(1,INT(((CROQUIS!$C$97)-CROQUIS!$C$107)/MAX(CROQUIS!$C$134,1))+1)))-1,0))*CROQUIS!$C$134)))*CROQUIS!$C$155)+IF(CROQUIS!$C$92="X",0,0)),-1000)</f>
        <v>-1000</v>
      </c>
      <c r="BL80">
        <f>IF(AND(CROQUIS!$C$88=1,CROQUIS!$C$91=0,CROQUIS!$C$130&gt;0,OR(CROQUIS!$C$103=1,CROQUIS!$C$142=1)),((CROQUIS!$C$156+(IF(CROQUIS!$C$92="X",CHOOSE(IF(INT(($A80-1)/5)&gt;MAX((MIN(80,MAX(1,INT(((CROQUIS!$C$98)-CROQUIS!$C$107)/MAX(CROQUIS!$C$130,1))+1)))-1,0),0,MOD($A80-1,5))+1,0,IF(CROQUIS!$C$103=1,-12,2),CROQUIS!$C$107/2+CROQUIS!$C$140,IF(CROQUIS!$C$103=1,-12,2),0),((CROQUIS!$C$107/2+(((CROQUIS!$C$98)-CROQUIS!$C$107)-(MIN(80,MAX(1,INT(((CROQUIS!$C$98)-CROQUIS!$C$107)/MAX(CROQUIS!$C$130,1))+1))-1)*CROQUIS!$C$130)/2)+MIN(INT(($A80-1)/5),MAX((MIN(80,MAX(1,INT(((CROQUIS!$C$98)-CROQUIS!$C$107)/MAX(CROQUIS!$C$130,1))+1)))-1,0))*CROQUIS!$C$130)))*CROQUIS!$C$155)+IF(CROQUIS!$C$92="X",0,0)),-1000)</f>
        <v>-1000</v>
      </c>
      <c r="BM8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80-1)/5),MAX((MIN(80,MAX(1,INT(((CROQUIS!$C$98)-CROQUIS!$C$107)/MAX(CROQUIS!$C$130,1))+1)))-1,0))*CROQUIS!$C$130),CHOOSE(IF(INT(($A80-1)/5)&gt;MAX((MIN(80,MAX(1,INT(((CROQUIS!$C$98)-CROQUIS!$C$107)/MAX(CROQUIS!$C$130,1))+1)))-1,0),0,MOD($A80-1,5))+1,0,IF(CROQUIS!$C$103=1,-12,2),CROQUIS!$C$107/2+CROQUIS!$C$140,IF(CROQUIS!$C$103=1,-12,2),0)))*CROQUIS!$C$155)+IF(CROQUIS!$C$92="X",0,0)),-1000)</f>
        <v>-1000</v>
      </c>
      <c r="BN80">
        <f>IF(AND(CROQUIS!$C$88=1,CROQUIS!$C$91=0,CROQUIS!$C$130&gt;0,OR(CROQUIS!$C$104=1,CROQUIS!$C$142=1)),((CROQUIS!$C$156+(IF(CROQUIS!$C$92="X",CHOOSE(IF(INT(($A80-1)/5)&gt;MAX((MIN(80,MAX(1,INT(((CROQUIS!$C$98)-CROQUIS!$C$107)/MAX(CROQUIS!$C$130,1))+1)))-1,0),0,MOD($A80-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80-1)/5),MAX((MIN(80,MAX(1,INT(((CROQUIS!$C$98)-CROQUIS!$C$107)/MAX(CROQUIS!$C$130,1))+1)))-1,0))*CROQUIS!$C$130)))*CROQUIS!$C$155)+IF(CROQUIS!$C$92="X",0,0)),-1000)</f>
        <v>-1000</v>
      </c>
      <c r="BO8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80-1)/5),MAX((MIN(80,MAX(1,INT(((CROQUIS!$C$98)-CROQUIS!$C$107)/MAX(CROQUIS!$C$130,1))+1)))-1,0))*CROQUIS!$C$130),CHOOSE(IF(INT(($A80-1)/5)&gt;MAX((MIN(80,MAX(1,INT(((CROQUIS!$C$98)-CROQUIS!$C$107)/MAX(CROQUIS!$C$130,1))+1)))-1,0),0,MOD($A80-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8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80-1)/5),MAX((MIN(80,MAX(1,INT(((CROQUIS!$C$97)-CROQUIS!$C$107)/MAX(CROQUIS!$C$138,1))+1)))-1,0))*CROQUIS!$C$138),CHOOSE(IF(INT(($A80-1)/5)&gt;MAX((MIN(80,MAX(1,INT(((CROQUIS!$C$97)-CROQUIS!$C$107)/MAX(CROQUIS!$C$138,1))+1)))-1,0),0,MOD($A80-1,5))+1,0,IF(CROQUIS!$C$105=1,-12,2),CROQUIS!$C$107/2+CROQUIS!$C$141,IF(CROQUIS!$C$105=1,-12,2),0)))*CROQUIS!$C$155)+IF(CROQUIS!$C$92="X",0,0)),-1000)</f>
        <v>-1000</v>
      </c>
      <c r="BQ80">
        <f>IF(AND(CROQUIS!$C$88=1,CROQUIS!$C$91=0,CROQUIS!$C$138&gt;0,OR(CROQUIS!$C$105=1,CROQUIS!$C$143=1)),((CROQUIS!$C$157+(IF(CROQUIS!$C$92="X",CHOOSE(IF(INT(($A80-1)/5)&gt;MAX((MIN(80,MAX(1,INT(((CROQUIS!$C$97)-CROQUIS!$C$107)/MAX(CROQUIS!$C$138,1))+1)))-1,0),0,MOD($A80-1,5))+1,0,IF(CROQUIS!$C$105=1,-12,2),CROQUIS!$C$107/2+CROQUIS!$C$141,IF(CROQUIS!$C$105=1,-12,2),0),((CROQUIS!$C$107/2+(((CROQUIS!$C$97)-CROQUIS!$C$107)-(MIN(80,MAX(1,INT(((CROQUIS!$C$97)-CROQUIS!$C$107)/MAX(CROQUIS!$C$138,1))+1))-1)*CROQUIS!$C$138)/2)+MIN(INT(($A80-1)/5),MAX((MIN(80,MAX(1,INT(((CROQUIS!$C$97)-CROQUIS!$C$107)/MAX(CROQUIS!$C$138,1))+1)))-1,0))*CROQUIS!$C$138)))*CROQUIS!$C$155)+IF(CROQUIS!$C$92="X",0,0)),-1000)</f>
        <v>-1000</v>
      </c>
      <c r="BR8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80-1)/5),MAX((MIN(80,MAX(1,INT(((CROQUIS!$C$97)-CROQUIS!$C$107)/MAX(CROQUIS!$C$138,1))+1)))-1,0))*CROQUIS!$C$138),CHOOSE(IF(INT(($A80-1)/5)&gt;MAX((MIN(80,MAX(1,INT(((CROQUIS!$C$97)-CROQUIS!$C$107)/MAX(CROQUIS!$C$138,1))+1)))-1,0),0,MOD($A80-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80">
        <f>IF(AND(CROQUIS!$C$88=1,CROQUIS!$C$91=0,CROQUIS!$C$138&gt;0,OR(CROQUIS!$C$106=1,CROQUIS!$C$143=1)),((CROQUIS!$C$157+(IF(CROQUIS!$C$92="X",CHOOSE(IF(INT(($A80-1)/5)&gt;MAX((MIN(80,MAX(1,INT(((CROQUIS!$C$97)-CROQUIS!$C$107)/MAX(CROQUIS!$C$138,1))+1)))-1,0),0,MOD($A80-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80-1)/5),MAX((MIN(80,MAX(1,INT(((CROQUIS!$C$97)-CROQUIS!$C$107)/MAX(CROQUIS!$C$138,1))+1)))-1,0))*CROQUIS!$C$138)))*CROQUIS!$C$155)+IF(CROQUIS!$C$92="X",0,0)),-1000)</f>
        <v>-1000</v>
      </c>
      <c r="BT80">
        <f>IF(AND(CROQUIS!$C$88=1,CROQUIS!$C$91=1,CROQUIS!$C$130&gt;0),((CROQUIS!$C$156+(IF(CROQUIS!$C$92="X",CHOOSE(IF(INT(($A80-1)/5)&gt;MAX((MIN(80,MAX(1,INT(((CROQUIS!$C$98)-CROQUIS!$C$107)/MAX(CROQUIS!$C$130,1))+1)))-1,0),0,MOD($A80-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80-1)/5),MAX((MIN(80,MAX(1,INT(((CROQUIS!$C$98)-CROQUIS!$C$107)/MAX(CROQUIS!$C$130,1))+1)))-1,0))*CROQUIS!$C$130)))*CROQUIS!$C$155)+IF(CROQUIS!$C$92="X",0,0)),-1000)</f>
        <v>-1000</v>
      </c>
      <c r="BU80">
        <f>IF(AND(CROQUIS!$C$88=1,CROQUIS!$C$91=1,CROQUIS!$C$130&gt;0),((CROQUIS!$C$157+(IF(CROQUIS!$C$92="X",((CROQUIS!$C$107/2+(((CROQUIS!$C$98)-CROQUIS!$C$107)-(MIN(80,MAX(1,INT(((CROQUIS!$C$98)-CROQUIS!$C$107)/MAX(CROQUIS!$C$130,1))+1))-1)*CROQUIS!$C$130)/2)+MIN(INT(($A80-1)/5),MAX((MIN(80,MAX(1,INT(((CROQUIS!$C$98)-CROQUIS!$C$107)/MAX(CROQUIS!$C$130,1))+1)))-1,0))*CROQUIS!$C$130),CHOOSE(IF(INT(($A80-1)/5)&gt;MAX((MIN(80,MAX(1,INT(((CROQUIS!$C$98)-CROQUIS!$C$107)/MAX(CROQUIS!$C$130,1))+1)))-1,0),0,MOD($A80-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81">
      <c r="A81" t="n">
        <v>74</v>
      </c>
      <c r="AF81">
        <f>IF(AND(CROQUIS!$C$87=1,CROQUIS!$C$158&gt;0,CROQUIS!$C$160&gt;0),(CROQUIS!$C$156+((CROQUIS!$C$159+INT(MIN(INT(($A81-1)/2),MAX((2*CROQUIS!$C$158)-1,0))/2)*CROQUIS!$C$113+MOD(MIN(INT(($A81-1)/2),MAX((2*CROQUIS!$C$158)-1,0)),2)*CROQUIS!$C$112))*CROQUIS!$C$155),-1000)</f>
        <v>85.2010845006778</v>
      </c>
      <c r="AG81">
        <f>IF(AND(CROQUIS!$C$87=1,CROQUIS!$C$158&gt;0,CROQUIS!$C$160&gt;0),(CROQUIS!$C$157+(IF(MOD(MIN(INT(($A81-1)/2),MAX((2*CROQUIS!$C$158)-1,0)),2)=0,IF(IF(INT(($A81-1)/2)&gt;MAX((2*CROQUIS!$C$158)-1,0),1,MOD($A81-1,2))=0,CROQUIS!$C$161,(CROQUIS!$C$161+CROQUIS!$C$160*CROQUIS!$C$113-CROQUIS!$C$111)),IF(IF(INT(($A81-1)/2)&gt;MAX((2*CROQUIS!$C$158)-1,0),1,MOD($A81-1,2))=0,(CROQUIS!$C$161+CROQUIS!$C$160*CROQUIS!$C$113-CROQUIS!$C$111),CROQUIS!$C$161)))*CROQUIS!$C$155),-1000)</f>
        <v>20.8088567555355</v>
      </c>
      <c r="AH81">
        <f>IF(AND(CROQUIS!$C$87=1,CROQUIS!$C$160&gt;0,CROQUIS!$C$158&gt;0),(CROQUIS!$C$156+(IF(MOD(MIN(INT(($A81-1)/2),MAX((2*CROQUIS!$C$160)-1,0)),2)=0,IF(IF(INT(($A81-1)/2)&gt;MAX((2*CROQUIS!$C$160)-1,0),1,MOD($A81-1,2))=0,CROQUIS!$C$159,(CROQUIS!$C$159+CROQUIS!$C$158*CROQUIS!$C$113-CROQUIS!$C$111)),IF(IF(INT(($A81-1)/2)&gt;MAX((2*CROQUIS!$C$160)-1,0),1,MOD($A81-1,2))=0,(CROQUIS!$C$159+CROQUIS!$C$158*CROQUIS!$C$113-CROQUIS!$C$111),CROQUIS!$C$159)))*CROQUIS!$C$155),-1000)</f>
        <v>14.7989154993222</v>
      </c>
      <c r="AI81">
        <f>IF(AND(CROQUIS!$C$87=1,CROQUIS!$C$160&gt;0,CROQUIS!$C$158&gt;0),(CROQUIS!$C$157+((CROQUIS!$C$161+INT(MIN(INT(($A81-1)/2),MAX((2*CROQUIS!$C$160)-1,0))/2)*CROQUIS!$C$113+MOD(MIN(INT(($A81-1)/2),MAX((2*CROQUIS!$C$160)-1,0)),2)*CROQUIS!$C$112))*CROQUIS!$C$155),-1000)</f>
        <v>79.1911432444645</v>
      </c>
      <c r="BH81">
        <f>IF(AND(CROQUIS!$C$88=1,CROQUIS!$C$126&gt;0),((CROQUIS!$C$156+(IF(CROQUIS!$C$92="X",CHOOSE(IF(INT(($A81-1)/5)&gt;MAX((MIN(80,MAX(1,INT(((CROQUIS!$C$98)-CROQUIS!$C$107)/MAX(CROQUIS!$C$126,1))+1)))-1,0),0,MOD($A81-1,5))+1,0,2,CROQUIS!$C$97-2,2,0),((CROQUIS!$C$107/2+(((CROQUIS!$C$98)-CROQUIS!$C$107)-(MIN(80,MAX(1,INT(((CROQUIS!$C$98)-CROQUIS!$C$107)/MAX(CROQUIS!$C$126,1))+1))-1)*CROQUIS!$C$126)/2)+MIN(INT(($A81-1)/5),MAX((MIN(80,MAX(1,INT(((CROQUIS!$C$98)-CROQUIS!$C$107)/MAX(CROQUIS!$C$126,1))+1)))-1,0))*CROQUIS!$C$126)))*CROQUIS!$C$155)+IF(CROQUIS!$C$92="X",0,0)),-1000)</f>
        <v>-1000</v>
      </c>
      <c r="BI81">
        <f>IF(AND(CROQUIS!$C$88=1,CROQUIS!$C$126&gt;0),((CROQUIS!$C$157+(IF(CROQUIS!$C$92="X",((CROQUIS!$C$107/2+(((CROQUIS!$C$98)-CROQUIS!$C$107)-(MIN(80,MAX(1,INT(((CROQUIS!$C$98)-CROQUIS!$C$107)/MAX(CROQUIS!$C$126,1))+1))-1)*CROQUIS!$C$126)/2)+MIN(INT(($A81-1)/5),MAX((MIN(80,MAX(1,INT(((CROQUIS!$C$98)-CROQUIS!$C$107)/MAX(CROQUIS!$C$126,1))+1)))-1,0))*CROQUIS!$C$126),CHOOSE(IF(INT(($A81-1)/5)&gt;MAX((MIN(80,MAX(1,INT(((CROQUIS!$C$98)-CROQUIS!$C$107)/MAX(CROQUIS!$C$126,1))+1)))-1,0),0,MOD($A81-1,5))+1,0,2,CROQUIS!$C$97-2,2,0)))*CROQUIS!$C$155)+IF(CROQUIS!$C$92="X",0,0)),-1000)</f>
        <v>-1000</v>
      </c>
      <c r="BJ81">
        <f>IF(AND(CROQUIS!$C$88=1,CROQUIS!$C$134&gt;0),((CROQUIS!$C$156+(IF(CROQUIS!$C$92="X",((CROQUIS!$C$107/2+(((CROQUIS!$C$97)-CROQUIS!$C$107)-(MIN(80,MAX(1,INT(((CROQUIS!$C$97)-CROQUIS!$C$107)/MAX(CROQUIS!$C$134,1))+1))-1)*CROQUIS!$C$134)/2)+MIN(INT(($A81-1)/5),MAX((MIN(80,MAX(1,INT(((CROQUIS!$C$97)-CROQUIS!$C$107)/MAX(CROQUIS!$C$134,1))+1)))-1,0))*CROQUIS!$C$134),CHOOSE(IF(INT(($A81-1)/5)&gt;MAX((MIN(80,MAX(1,INT(((CROQUIS!$C$97)-CROQUIS!$C$107)/MAX(CROQUIS!$C$134,1))+1)))-1,0),0,MOD($A81-1,5))+1,0,2,CROQUIS!$C$98-2,2,0)))*CROQUIS!$C$155)+IF(CROQUIS!$C$92="X",0,0)),-1000)</f>
        <v>-1000</v>
      </c>
      <c r="BK81">
        <f>IF(AND(CROQUIS!$C$88=1,CROQUIS!$C$134&gt;0),((CROQUIS!$C$157+(IF(CROQUIS!$C$92="X",CHOOSE(IF(INT(($A81-1)/5)&gt;MAX((MIN(80,MAX(1,INT(((CROQUIS!$C$97)-CROQUIS!$C$107)/MAX(CROQUIS!$C$134,1))+1)))-1,0),0,MOD($A81-1,5))+1,0,2,CROQUIS!$C$98-2,2,0),((CROQUIS!$C$107/2+(((CROQUIS!$C$97)-CROQUIS!$C$107)-(MIN(80,MAX(1,INT(((CROQUIS!$C$97)-CROQUIS!$C$107)/MAX(CROQUIS!$C$134,1))+1))-1)*CROQUIS!$C$134)/2)+MIN(INT(($A81-1)/5),MAX((MIN(80,MAX(1,INT(((CROQUIS!$C$97)-CROQUIS!$C$107)/MAX(CROQUIS!$C$134,1))+1)))-1,0))*CROQUIS!$C$134)))*CROQUIS!$C$155)+IF(CROQUIS!$C$92="X",0,0)),-1000)</f>
        <v>-1000</v>
      </c>
      <c r="BL81">
        <f>IF(AND(CROQUIS!$C$88=1,CROQUIS!$C$91=0,CROQUIS!$C$130&gt;0,OR(CROQUIS!$C$103=1,CROQUIS!$C$142=1)),((CROQUIS!$C$156+(IF(CROQUIS!$C$92="X",CHOOSE(IF(INT(($A81-1)/5)&gt;MAX((MIN(80,MAX(1,INT(((CROQUIS!$C$98)-CROQUIS!$C$107)/MAX(CROQUIS!$C$130,1))+1)))-1,0),0,MOD($A81-1,5))+1,0,IF(CROQUIS!$C$103=1,-12,2),CROQUIS!$C$107/2+CROQUIS!$C$140,IF(CROQUIS!$C$103=1,-12,2),0),((CROQUIS!$C$107/2+(((CROQUIS!$C$98)-CROQUIS!$C$107)-(MIN(80,MAX(1,INT(((CROQUIS!$C$98)-CROQUIS!$C$107)/MAX(CROQUIS!$C$130,1))+1))-1)*CROQUIS!$C$130)/2)+MIN(INT(($A81-1)/5),MAX((MIN(80,MAX(1,INT(((CROQUIS!$C$98)-CROQUIS!$C$107)/MAX(CROQUIS!$C$130,1))+1)))-1,0))*CROQUIS!$C$130)))*CROQUIS!$C$155)+IF(CROQUIS!$C$92="X",0,0)),-1000)</f>
        <v>-1000</v>
      </c>
      <c r="BM8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81-1)/5),MAX((MIN(80,MAX(1,INT(((CROQUIS!$C$98)-CROQUIS!$C$107)/MAX(CROQUIS!$C$130,1))+1)))-1,0))*CROQUIS!$C$130),CHOOSE(IF(INT(($A81-1)/5)&gt;MAX((MIN(80,MAX(1,INT(((CROQUIS!$C$98)-CROQUIS!$C$107)/MAX(CROQUIS!$C$130,1))+1)))-1,0),0,MOD($A81-1,5))+1,0,IF(CROQUIS!$C$103=1,-12,2),CROQUIS!$C$107/2+CROQUIS!$C$140,IF(CROQUIS!$C$103=1,-12,2),0)))*CROQUIS!$C$155)+IF(CROQUIS!$C$92="X",0,0)),-1000)</f>
        <v>-1000</v>
      </c>
      <c r="BN81">
        <f>IF(AND(CROQUIS!$C$88=1,CROQUIS!$C$91=0,CROQUIS!$C$130&gt;0,OR(CROQUIS!$C$104=1,CROQUIS!$C$142=1)),((CROQUIS!$C$156+(IF(CROQUIS!$C$92="X",CHOOSE(IF(INT(($A81-1)/5)&gt;MAX((MIN(80,MAX(1,INT(((CROQUIS!$C$98)-CROQUIS!$C$107)/MAX(CROQUIS!$C$130,1))+1)))-1,0),0,MOD($A81-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81-1)/5),MAX((MIN(80,MAX(1,INT(((CROQUIS!$C$98)-CROQUIS!$C$107)/MAX(CROQUIS!$C$130,1))+1)))-1,0))*CROQUIS!$C$130)))*CROQUIS!$C$155)+IF(CROQUIS!$C$92="X",0,0)),-1000)</f>
        <v>-1000</v>
      </c>
      <c r="BO8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81-1)/5),MAX((MIN(80,MAX(1,INT(((CROQUIS!$C$98)-CROQUIS!$C$107)/MAX(CROQUIS!$C$130,1))+1)))-1,0))*CROQUIS!$C$130),CHOOSE(IF(INT(($A81-1)/5)&gt;MAX((MIN(80,MAX(1,INT(((CROQUIS!$C$98)-CROQUIS!$C$107)/MAX(CROQUIS!$C$130,1))+1)))-1,0),0,MOD($A81-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8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81-1)/5),MAX((MIN(80,MAX(1,INT(((CROQUIS!$C$97)-CROQUIS!$C$107)/MAX(CROQUIS!$C$138,1))+1)))-1,0))*CROQUIS!$C$138),CHOOSE(IF(INT(($A81-1)/5)&gt;MAX((MIN(80,MAX(1,INT(((CROQUIS!$C$97)-CROQUIS!$C$107)/MAX(CROQUIS!$C$138,1))+1)))-1,0),0,MOD($A81-1,5))+1,0,IF(CROQUIS!$C$105=1,-12,2),CROQUIS!$C$107/2+CROQUIS!$C$141,IF(CROQUIS!$C$105=1,-12,2),0)))*CROQUIS!$C$155)+IF(CROQUIS!$C$92="X",0,0)),-1000)</f>
        <v>-1000</v>
      </c>
      <c r="BQ81">
        <f>IF(AND(CROQUIS!$C$88=1,CROQUIS!$C$91=0,CROQUIS!$C$138&gt;0,OR(CROQUIS!$C$105=1,CROQUIS!$C$143=1)),((CROQUIS!$C$157+(IF(CROQUIS!$C$92="X",CHOOSE(IF(INT(($A81-1)/5)&gt;MAX((MIN(80,MAX(1,INT(((CROQUIS!$C$97)-CROQUIS!$C$107)/MAX(CROQUIS!$C$138,1))+1)))-1,0),0,MOD($A81-1,5))+1,0,IF(CROQUIS!$C$105=1,-12,2),CROQUIS!$C$107/2+CROQUIS!$C$141,IF(CROQUIS!$C$105=1,-12,2),0),((CROQUIS!$C$107/2+(((CROQUIS!$C$97)-CROQUIS!$C$107)-(MIN(80,MAX(1,INT(((CROQUIS!$C$97)-CROQUIS!$C$107)/MAX(CROQUIS!$C$138,1))+1))-1)*CROQUIS!$C$138)/2)+MIN(INT(($A81-1)/5),MAX((MIN(80,MAX(1,INT(((CROQUIS!$C$97)-CROQUIS!$C$107)/MAX(CROQUIS!$C$138,1))+1)))-1,0))*CROQUIS!$C$138)))*CROQUIS!$C$155)+IF(CROQUIS!$C$92="X",0,0)),-1000)</f>
        <v>-1000</v>
      </c>
      <c r="BR8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81-1)/5),MAX((MIN(80,MAX(1,INT(((CROQUIS!$C$97)-CROQUIS!$C$107)/MAX(CROQUIS!$C$138,1))+1)))-1,0))*CROQUIS!$C$138),CHOOSE(IF(INT(($A81-1)/5)&gt;MAX((MIN(80,MAX(1,INT(((CROQUIS!$C$97)-CROQUIS!$C$107)/MAX(CROQUIS!$C$138,1))+1)))-1,0),0,MOD($A81-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81">
        <f>IF(AND(CROQUIS!$C$88=1,CROQUIS!$C$91=0,CROQUIS!$C$138&gt;0,OR(CROQUIS!$C$106=1,CROQUIS!$C$143=1)),((CROQUIS!$C$157+(IF(CROQUIS!$C$92="X",CHOOSE(IF(INT(($A81-1)/5)&gt;MAX((MIN(80,MAX(1,INT(((CROQUIS!$C$97)-CROQUIS!$C$107)/MAX(CROQUIS!$C$138,1))+1)))-1,0),0,MOD($A81-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81-1)/5),MAX((MIN(80,MAX(1,INT(((CROQUIS!$C$97)-CROQUIS!$C$107)/MAX(CROQUIS!$C$138,1))+1)))-1,0))*CROQUIS!$C$138)))*CROQUIS!$C$155)+IF(CROQUIS!$C$92="X",0,0)),-1000)</f>
        <v>-1000</v>
      </c>
      <c r="BT81">
        <f>IF(AND(CROQUIS!$C$88=1,CROQUIS!$C$91=1,CROQUIS!$C$130&gt;0),((CROQUIS!$C$156+(IF(CROQUIS!$C$92="X",CHOOSE(IF(INT(($A81-1)/5)&gt;MAX((MIN(80,MAX(1,INT(((CROQUIS!$C$98)-CROQUIS!$C$107)/MAX(CROQUIS!$C$130,1))+1)))-1,0),0,MOD($A81-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81-1)/5),MAX((MIN(80,MAX(1,INT(((CROQUIS!$C$98)-CROQUIS!$C$107)/MAX(CROQUIS!$C$130,1))+1)))-1,0))*CROQUIS!$C$130)))*CROQUIS!$C$155)+IF(CROQUIS!$C$92="X",0,0)),-1000)</f>
        <v>-1000</v>
      </c>
      <c r="BU81">
        <f>IF(AND(CROQUIS!$C$88=1,CROQUIS!$C$91=1,CROQUIS!$C$130&gt;0),((CROQUIS!$C$157+(IF(CROQUIS!$C$92="X",((CROQUIS!$C$107/2+(((CROQUIS!$C$98)-CROQUIS!$C$107)-(MIN(80,MAX(1,INT(((CROQUIS!$C$98)-CROQUIS!$C$107)/MAX(CROQUIS!$C$130,1))+1))-1)*CROQUIS!$C$130)/2)+MIN(INT(($A81-1)/5),MAX((MIN(80,MAX(1,INT(((CROQUIS!$C$98)-CROQUIS!$C$107)/MAX(CROQUIS!$C$130,1))+1)))-1,0))*CROQUIS!$C$130),CHOOSE(IF(INT(($A81-1)/5)&gt;MAX((MIN(80,MAX(1,INT(((CROQUIS!$C$98)-CROQUIS!$C$107)/MAX(CROQUIS!$C$130,1))+1)))-1,0),0,MOD($A81-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82">
      <c r="A82" t="n">
        <v>75</v>
      </c>
      <c r="AF82">
        <f>IF(AND(CROQUIS!$C$87=1,CROQUIS!$C$158&gt;0,CROQUIS!$C$160&gt;0),(CROQUIS!$C$156+((CROQUIS!$C$159+INT(MIN(INT(($A82-1)/2),MAX((2*CROQUIS!$C$158)-1,0))/2)*CROQUIS!$C$113+MOD(MIN(INT(($A82-1)/2),MAX((2*CROQUIS!$C$158)-1,0)),2)*CROQUIS!$C$112))*CROQUIS!$C$155),-1000)</f>
        <v>85.2010845006778</v>
      </c>
      <c r="AG82">
        <f>IF(AND(CROQUIS!$C$87=1,CROQUIS!$C$158&gt;0,CROQUIS!$C$160&gt;0),(CROQUIS!$C$157+(IF(MOD(MIN(INT(($A82-1)/2),MAX((2*CROQUIS!$C$158)-1,0)),2)=0,IF(IF(INT(($A82-1)/2)&gt;MAX((2*CROQUIS!$C$158)-1,0),1,MOD($A82-1,2))=0,CROQUIS!$C$161,(CROQUIS!$C$161+CROQUIS!$C$160*CROQUIS!$C$113-CROQUIS!$C$111)),IF(IF(INT(($A82-1)/2)&gt;MAX((2*CROQUIS!$C$158)-1,0),1,MOD($A82-1,2))=0,(CROQUIS!$C$161+CROQUIS!$C$160*CROQUIS!$C$113-CROQUIS!$C$111),CROQUIS!$C$161)))*CROQUIS!$C$155),-1000)</f>
        <v>20.8088567555355</v>
      </c>
      <c r="AH82">
        <f>IF(AND(CROQUIS!$C$87=1,CROQUIS!$C$160&gt;0,CROQUIS!$C$158&gt;0),(CROQUIS!$C$156+(IF(MOD(MIN(INT(($A82-1)/2),MAX((2*CROQUIS!$C$160)-1,0)),2)=0,IF(IF(INT(($A82-1)/2)&gt;MAX((2*CROQUIS!$C$160)-1,0),1,MOD($A82-1,2))=0,CROQUIS!$C$159,(CROQUIS!$C$159+CROQUIS!$C$158*CROQUIS!$C$113-CROQUIS!$C$111)),IF(IF(INT(($A82-1)/2)&gt;MAX((2*CROQUIS!$C$160)-1,0),1,MOD($A82-1,2))=0,(CROQUIS!$C$159+CROQUIS!$C$158*CROQUIS!$C$113-CROQUIS!$C$111),CROQUIS!$C$159)))*CROQUIS!$C$155),-1000)</f>
        <v>14.7989154993222</v>
      </c>
      <c r="AI82">
        <f>IF(AND(CROQUIS!$C$87=1,CROQUIS!$C$160&gt;0,CROQUIS!$C$158&gt;0),(CROQUIS!$C$157+((CROQUIS!$C$161+INT(MIN(INT(($A82-1)/2),MAX((2*CROQUIS!$C$160)-1,0))/2)*CROQUIS!$C$113+MOD(MIN(INT(($A82-1)/2),MAX((2*CROQUIS!$C$160)-1,0)),2)*CROQUIS!$C$112))*CROQUIS!$C$155),-1000)</f>
        <v>79.1911432444645</v>
      </c>
      <c r="BH82">
        <f>IF(AND(CROQUIS!$C$88=1,CROQUIS!$C$126&gt;0),((CROQUIS!$C$156+(IF(CROQUIS!$C$92="X",CHOOSE(IF(INT(($A82-1)/5)&gt;MAX((MIN(80,MAX(1,INT(((CROQUIS!$C$98)-CROQUIS!$C$107)/MAX(CROQUIS!$C$126,1))+1)))-1,0),0,MOD($A82-1,5))+1,0,2,CROQUIS!$C$97-2,2,0),((CROQUIS!$C$107/2+(((CROQUIS!$C$98)-CROQUIS!$C$107)-(MIN(80,MAX(1,INT(((CROQUIS!$C$98)-CROQUIS!$C$107)/MAX(CROQUIS!$C$126,1))+1))-1)*CROQUIS!$C$126)/2)+MIN(INT(($A82-1)/5),MAX((MIN(80,MAX(1,INT(((CROQUIS!$C$98)-CROQUIS!$C$107)/MAX(CROQUIS!$C$126,1))+1)))-1,0))*CROQUIS!$C$126)))*CROQUIS!$C$155)+IF(CROQUIS!$C$92="X",0,0)),-1000)</f>
        <v>-1000</v>
      </c>
      <c r="BI82">
        <f>IF(AND(CROQUIS!$C$88=1,CROQUIS!$C$126&gt;0),((CROQUIS!$C$157+(IF(CROQUIS!$C$92="X",((CROQUIS!$C$107/2+(((CROQUIS!$C$98)-CROQUIS!$C$107)-(MIN(80,MAX(1,INT(((CROQUIS!$C$98)-CROQUIS!$C$107)/MAX(CROQUIS!$C$126,1))+1))-1)*CROQUIS!$C$126)/2)+MIN(INT(($A82-1)/5),MAX((MIN(80,MAX(1,INT(((CROQUIS!$C$98)-CROQUIS!$C$107)/MAX(CROQUIS!$C$126,1))+1)))-1,0))*CROQUIS!$C$126),CHOOSE(IF(INT(($A82-1)/5)&gt;MAX((MIN(80,MAX(1,INT(((CROQUIS!$C$98)-CROQUIS!$C$107)/MAX(CROQUIS!$C$126,1))+1)))-1,0),0,MOD($A82-1,5))+1,0,2,CROQUIS!$C$97-2,2,0)))*CROQUIS!$C$155)+IF(CROQUIS!$C$92="X",0,0)),-1000)</f>
        <v>-1000</v>
      </c>
      <c r="BJ82">
        <f>IF(AND(CROQUIS!$C$88=1,CROQUIS!$C$134&gt;0),((CROQUIS!$C$156+(IF(CROQUIS!$C$92="X",((CROQUIS!$C$107/2+(((CROQUIS!$C$97)-CROQUIS!$C$107)-(MIN(80,MAX(1,INT(((CROQUIS!$C$97)-CROQUIS!$C$107)/MAX(CROQUIS!$C$134,1))+1))-1)*CROQUIS!$C$134)/2)+MIN(INT(($A82-1)/5),MAX((MIN(80,MAX(1,INT(((CROQUIS!$C$97)-CROQUIS!$C$107)/MAX(CROQUIS!$C$134,1))+1)))-1,0))*CROQUIS!$C$134),CHOOSE(IF(INT(($A82-1)/5)&gt;MAX((MIN(80,MAX(1,INT(((CROQUIS!$C$97)-CROQUIS!$C$107)/MAX(CROQUIS!$C$134,1))+1)))-1,0),0,MOD($A82-1,5))+1,0,2,CROQUIS!$C$98-2,2,0)))*CROQUIS!$C$155)+IF(CROQUIS!$C$92="X",0,0)),-1000)</f>
        <v>-1000</v>
      </c>
      <c r="BK82">
        <f>IF(AND(CROQUIS!$C$88=1,CROQUIS!$C$134&gt;0),((CROQUIS!$C$157+(IF(CROQUIS!$C$92="X",CHOOSE(IF(INT(($A82-1)/5)&gt;MAX((MIN(80,MAX(1,INT(((CROQUIS!$C$97)-CROQUIS!$C$107)/MAX(CROQUIS!$C$134,1))+1)))-1,0),0,MOD($A82-1,5))+1,0,2,CROQUIS!$C$98-2,2,0),((CROQUIS!$C$107/2+(((CROQUIS!$C$97)-CROQUIS!$C$107)-(MIN(80,MAX(1,INT(((CROQUIS!$C$97)-CROQUIS!$C$107)/MAX(CROQUIS!$C$134,1))+1))-1)*CROQUIS!$C$134)/2)+MIN(INT(($A82-1)/5),MAX((MIN(80,MAX(1,INT(((CROQUIS!$C$97)-CROQUIS!$C$107)/MAX(CROQUIS!$C$134,1))+1)))-1,0))*CROQUIS!$C$134)))*CROQUIS!$C$155)+IF(CROQUIS!$C$92="X",0,0)),-1000)</f>
        <v>-1000</v>
      </c>
      <c r="BL82">
        <f>IF(AND(CROQUIS!$C$88=1,CROQUIS!$C$91=0,CROQUIS!$C$130&gt;0,OR(CROQUIS!$C$103=1,CROQUIS!$C$142=1)),((CROQUIS!$C$156+(IF(CROQUIS!$C$92="X",CHOOSE(IF(INT(($A82-1)/5)&gt;MAX((MIN(80,MAX(1,INT(((CROQUIS!$C$98)-CROQUIS!$C$107)/MAX(CROQUIS!$C$130,1))+1)))-1,0),0,MOD($A82-1,5))+1,0,IF(CROQUIS!$C$103=1,-12,2),CROQUIS!$C$107/2+CROQUIS!$C$140,IF(CROQUIS!$C$103=1,-12,2),0),((CROQUIS!$C$107/2+(((CROQUIS!$C$98)-CROQUIS!$C$107)-(MIN(80,MAX(1,INT(((CROQUIS!$C$98)-CROQUIS!$C$107)/MAX(CROQUIS!$C$130,1))+1))-1)*CROQUIS!$C$130)/2)+MIN(INT(($A82-1)/5),MAX((MIN(80,MAX(1,INT(((CROQUIS!$C$98)-CROQUIS!$C$107)/MAX(CROQUIS!$C$130,1))+1)))-1,0))*CROQUIS!$C$130)))*CROQUIS!$C$155)+IF(CROQUIS!$C$92="X",0,0)),-1000)</f>
        <v>-1000</v>
      </c>
      <c r="BM8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82-1)/5),MAX((MIN(80,MAX(1,INT(((CROQUIS!$C$98)-CROQUIS!$C$107)/MAX(CROQUIS!$C$130,1))+1)))-1,0))*CROQUIS!$C$130),CHOOSE(IF(INT(($A82-1)/5)&gt;MAX((MIN(80,MAX(1,INT(((CROQUIS!$C$98)-CROQUIS!$C$107)/MAX(CROQUIS!$C$130,1))+1)))-1,0),0,MOD($A82-1,5))+1,0,IF(CROQUIS!$C$103=1,-12,2),CROQUIS!$C$107/2+CROQUIS!$C$140,IF(CROQUIS!$C$103=1,-12,2),0)))*CROQUIS!$C$155)+IF(CROQUIS!$C$92="X",0,0)),-1000)</f>
        <v>-1000</v>
      </c>
      <c r="BN82">
        <f>IF(AND(CROQUIS!$C$88=1,CROQUIS!$C$91=0,CROQUIS!$C$130&gt;0,OR(CROQUIS!$C$104=1,CROQUIS!$C$142=1)),((CROQUIS!$C$156+(IF(CROQUIS!$C$92="X",CHOOSE(IF(INT(($A82-1)/5)&gt;MAX((MIN(80,MAX(1,INT(((CROQUIS!$C$98)-CROQUIS!$C$107)/MAX(CROQUIS!$C$130,1))+1)))-1,0),0,MOD($A82-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82-1)/5),MAX((MIN(80,MAX(1,INT(((CROQUIS!$C$98)-CROQUIS!$C$107)/MAX(CROQUIS!$C$130,1))+1)))-1,0))*CROQUIS!$C$130)))*CROQUIS!$C$155)+IF(CROQUIS!$C$92="X",0,0)),-1000)</f>
        <v>-1000</v>
      </c>
      <c r="BO8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82-1)/5),MAX((MIN(80,MAX(1,INT(((CROQUIS!$C$98)-CROQUIS!$C$107)/MAX(CROQUIS!$C$130,1))+1)))-1,0))*CROQUIS!$C$130),CHOOSE(IF(INT(($A82-1)/5)&gt;MAX((MIN(80,MAX(1,INT(((CROQUIS!$C$98)-CROQUIS!$C$107)/MAX(CROQUIS!$C$130,1))+1)))-1,0),0,MOD($A82-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8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82-1)/5),MAX((MIN(80,MAX(1,INT(((CROQUIS!$C$97)-CROQUIS!$C$107)/MAX(CROQUIS!$C$138,1))+1)))-1,0))*CROQUIS!$C$138),CHOOSE(IF(INT(($A82-1)/5)&gt;MAX((MIN(80,MAX(1,INT(((CROQUIS!$C$97)-CROQUIS!$C$107)/MAX(CROQUIS!$C$138,1))+1)))-1,0),0,MOD($A82-1,5))+1,0,IF(CROQUIS!$C$105=1,-12,2),CROQUIS!$C$107/2+CROQUIS!$C$141,IF(CROQUIS!$C$105=1,-12,2),0)))*CROQUIS!$C$155)+IF(CROQUIS!$C$92="X",0,0)),-1000)</f>
        <v>-1000</v>
      </c>
      <c r="BQ82">
        <f>IF(AND(CROQUIS!$C$88=1,CROQUIS!$C$91=0,CROQUIS!$C$138&gt;0,OR(CROQUIS!$C$105=1,CROQUIS!$C$143=1)),((CROQUIS!$C$157+(IF(CROQUIS!$C$92="X",CHOOSE(IF(INT(($A82-1)/5)&gt;MAX((MIN(80,MAX(1,INT(((CROQUIS!$C$97)-CROQUIS!$C$107)/MAX(CROQUIS!$C$138,1))+1)))-1,0),0,MOD($A82-1,5))+1,0,IF(CROQUIS!$C$105=1,-12,2),CROQUIS!$C$107/2+CROQUIS!$C$141,IF(CROQUIS!$C$105=1,-12,2),0),((CROQUIS!$C$107/2+(((CROQUIS!$C$97)-CROQUIS!$C$107)-(MIN(80,MAX(1,INT(((CROQUIS!$C$97)-CROQUIS!$C$107)/MAX(CROQUIS!$C$138,1))+1))-1)*CROQUIS!$C$138)/2)+MIN(INT(($A82-1)/5),MAX((MIN(80,MAX(1,INT(((CROQUIS!$C$97)-CROQUIS!$C$107)/MAX(CROQUIS!$C$138,1))+1)))-1,0))*CROQUIS!$C$138)))*CROQUIS!$C$155)+IF(CROQUIS!$C$92="X",0,0)),-1000)</f>
        <v>-1000</v>
      </c>
      <c r="BR8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82-1)/5),MAX((MIN(80,MAX(1,INT(((CROQUIS!$C$97)-CROQUIS!$C$107)/MAX(CROQUIS!$C$138,1))+1)))-1,0))*CROQUIS!$C$138),CHOOSE(IF(INT(($A82-1)/5)&gt;MAX((MIN(80,MAX(1,INT(((CROQUIS!$C$97)-CROQUIS!$C$107)/MAX(CROQUIS!$C$138,1))+1)))-1,0),0,MOD($A82-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82">
        <f>IF(AND(CROQUIS!$C$88=1,CROQUIS!$C$91=0,CROQUIS!$C$138&gt;0,OR(CROQUIS!$C$106=1,CROQUIS!$C$143=1)),((CROQUIS!$C$157+(IF(CROQUIS!$C$92="X",CHOOSE(IF(INT(($A82-1)/5)&gt;MAX((MIN(80,MAX(1,INT(((CROQUIS!$C$97)-CROQUIS!$C$107)/MAX(CROQUIS!$C$138,1))+1)))-1,0),0,MOD($A82-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82-1)/5),MAX((MIN(80,MAX(1,INT(((CROQUIS!$C$97)-CROQUIS!$C$107)/MAX(CROQUIS!$C$138,1))+1)))-1,0))*CROQUIS!$C$138)))*CROQUIS!$C$155)+IF(CROQUIS!$C$92="X",0,0)),-1000)</f>
        <v>-1000</v>
      </c>
      <c r="BT82">
        <f>IF(AND(CROQUIS!$C$88=1,CROQUIS!$C$91=1,CROQUIS!$C$130&gt;0),((CROQUIS!$C$156+(IF(CROQUIS!$C$92="X",CHOOSE(IF(INT(($A82-1)/5)&gt;MAX((MIN(80,MAX(1,INT(((CROQUIS!$C$98)-CROQUIS!$C$107)/MAX(CROQUIS!$C$130,1))+1)))-1,0),0,MOD($A82-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82-1)/5),MAX((MIN(80,MAX(1,INT(((CROQUIS!$C$98)-CROQUIS!$C$107)/MAX(CROQUIS!$C$130,1))+1)))-1,0))*CROQUIS!$C$130)))*CROQUIS!$C$155)+IF(CROQUIS!$C$92="X",0,0)),-1000)</f>
        <v>-1000</v>
      </c>
      <c r="BU82">
        <f>IF(AND(CROQUIS!$C$88=1,CROQUIS!$C$91=1,CROQUIS!$C$130&gt;0),((CROQUIS!$C$157+(IF(CROQUIS!$C$92="X",((CROQUIS!$C$107/2+(((CROQUIS!$C$98)-CROQUIS!$C$107)-(MIN(80,MAX(1,INT(((CROQUIS!$C$98)-CROQUIS!$C$107)/MAX(CROQUIS!$C$130,1))+1))-1)*CROQUIS!$C$130)/2)+MIN(INT(($A82-1)/5),MAX((MIN(80,MAX(1,INT(((CROQUIS!$C$98)-CROQUIS!$C$107)/MAX(CROQUIS!$C$130,1))+1)))-1,0))*CROQUIS!$C$130),CHOOSE(IF(INT(($A82-1)/5)&gt;MAX((MIN(80,MAX(1,INT(((CROQUIS!$C$98)-CROQUIS!$C$107)/MAX(CROQUIS!$C$130,1))+1)))-1,0),0,MOD($A82-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83">
      <c r="A83" t="n">
        <v>76</v>
      </c>
      <c r="AF83">
        <f>IF(AND(CROQUIS!$C$87=1,CROQUIS!$C$158&gt;0,CROQUIS!$C$160&gt;0),(CROQUIS!$C$156+((CROQUIS!$C$159+INT(MIN(INT(($A83-1)/2),MAX((2*CROQUIS!$C$158)-1,0))/2)*CROQUIS!$C$113+MOD(MIN(INT(($A83-1)/2),MAX((2*CROQUIS!$C$158)-1,0)),2)*CROQUIS!$C$112))*CROQUIS!$C$155),-1000)</f>
        <v>85.2010845006778</v>
      </c>
      <c r="AG83">
        <f>IF(AND(CROQUIS!$C$87=1,CROQUIS!$C$158&gt;0,CROQUIS!$C$160&gt;0),(CROQUIS!$C$157+(IF(MOD(MIN(INT(($A83-1)/2),MAX((2*CROQUIS!$C$158)-1,0)),2)=0,IF(IF(INT(($A83-1)/2)&gt;MAX((2*CROQUIS!$C$158)-1,0),1,MOD($A83-1,2))=0,CROQUIS!$C$161,(CROQUIS!$C$161+CROQUIS!$C$160*CROQUIS!$C$113-CROQUIS!$C$111)),IF(IF(INT(($A83-1)/2)&gt;MAX((2*CROQUIS!$C$158)-1,0),1,MOD($A83-1,2))=0,(CROQUIS!$C$161+CROQUIS!$C$160*CROQUIS!$C$113-CROQUIS!$C$111),CROQUIS!$C$161)))*CROQUIS!$C$155),-1000)</f>
        <v>20.8088567555355</v>
      </c>
      <c r="AH83">
        <f>IF(AND(CROQUIS!$C$87=1,CROQUIS!$C$160&gt;0,CROQUIS!$C$158&gt;0),(CROQUIS!$C$156+(IF(MOD(MIN(INT(($A83-1)/2),MAX((2*CROQUIS!$C$160)-1,0)),2)=0,IF(IF(INT(($A83-1)/2)&gt;MAX((2*CROQUIS!$C$160)-1,0),1,MOD($A83-1,2))=0,CROQUIS!$C$159,(CROQUIS!$C$159+CROQUIS!$C$158*CROQUIS!$C$113-CROQUIS!$C$111)),IF(IF(INT(($A83-1)/2)&gt;MAX((2*CROQUIS!$C$160)-1,0),1,MOD($A83-1,2))=0,(CROQUIS!$C$159+CROQUIS!$C$158*CROQUIS!$C$113-CROQUIS!$C$111),CROQUIS!$C$159)))*CROQUIS!$C$155),-1000)</f>
        <v>14.7989154993222</v>
      </c>
      <c r="AI83">
        <f>IF(AND(CROQUIS!$C$87=1,CROQUIS!$C$160&gt;0,CROQUIS!$C$158&gt;0),(CROQUIS!$C$157+((CROQUIS!$C$161+INT(MIN(INT(($A83-1)/2),MAX((2*CROQUIS!$C$160)-1,0))/2)*CROQUIS!$C$113+MOD(MIN(INT(($A83-1)/2),MAX((2*CROQUIS!$C$160)-1,0)),2)*CROQUIS!$C$112))*CROQUIS!$C$155),-1000)</f>
        <v>79.1911432444645</v>
      </c>
      <c r="BH83">
        <f>IF(AND(CROQUIS!$C$88=1,CROQUIS!$C$126&gt;0),((CROQUIS!$C$156+(IF(CROQUIS!$C$92="X",CHOOSE(IF(INT(($A83-1)/5)&gt;MAX((MIN(80,MAX(1,INT(((CROQUIS!$C$98)-CROQUIS!$C$107)/MAX(CROQUIS!$C$126,1))+1)))-1,0),0,MOD($A83-1,5))+1,0,2,CROQUIS!$C$97-2,2,0),((CROQUIS!$C$107/2+(((CROQUIS!$C$98)-CROQUIS!$C$107)-(MIN(80,MAX(1,INT(((CROQUIS!$C$98)-CROQUIS!$C$107)/MAX(CROQUIS!$C$126,1))+1))-1)*CROQUIS!$C$126)/2)+MIN(INT(($A83-1)/5),MAX((MIN(80,MAX(1,INT(((CROQUIS!$C$98)-CROQUIS!$C$107)/MAX(CROQUIS!$C$126,1))+1)))-1,0))*CROQUIS!$C$126)))*CROQUIS!$C$155)+IF(CROQUIS!$C$92="X",0,0)),-1000)</f>
        <v>-1000</v>
      </c>
      <c r="BI83">
        <f>IF(AND(CROQUIS!$C$88=1,CROQUIS!$C$126&gt;0),((CROQUIS!$C$157+(IF(CROQUIS!$C$92="X",((CROQUIS!$C$107/2+(((CROQUIS!$C$98)-CROQUIS!$C$107)-(MIN(80,MAX(1,INT(((CROQUIS!$C$98)-CROQUIS!$C$107)/MAX(CROQUIS!$C$126,1))+1))-1)*CROQUIS!$C$126)/2)+MIN(INT(($A83-1)/5),MAX((MIN(80,MAX(1,INT(((CROQUIS!$C$98)-CROQUIS!$C$107)/MAX(CROQUIS!$C$126,1))+1)))-1,0))*CROQUIS!$C$126),CHOOSE(IF(INT(($A83-1)/5)&gt;MAX((MIN(80,MAX(1,INT(((CROQUIS!$C$98)-CROQUIS!$C$107)/MAX(CROQUIS!$C$126,1))+1)))-1,0),0,MOD($A83-1,5))+1,0,2,CROQUIS!$C$97-2,2,0)))*CROQUIS!$C$155)+IF(CROQUIS!$C$92="X",0,0)),-1000)</f>
        <v>-1000</v>
      </c>
      <c r="BJ83">
        <f>IF(AND(CROQUIS!$C$88=1,CROQUIS!$C$134&gt;0),((CROQUIS!$C$156+(IF(CROQUIS!$C$92="X",((CROQUIS!$C$107/2+(((CROQUIS!$C$97)-CROQUIS!$C$107)-(MIN(80,MAX(1,INT(((CROQUIS!$C$97)-CROQUIS!$C$107)/MAX(CROQUIS!$C$134,1))+1))-1)*CROQUIS!$C$134)/2)+MIN(INT(($A83-1)/5),MAX((MIN(80,MAX(1,INT(((CROQUIS!$C$97)-CROQUIS!$C$107)/MAX(CROQUIS!$C$134,1))+1)))-1,0))*CROQUIS!$C$134),CHOOSE(IF(INT(($A83-1)/5)&gt;MAX((MIN(80,MAX(1,INT(((CROQUIS!$C$97)-CROQUIS!$C$107)/MAX(CROQUIS!$C$134,1))+1)))-1,0),0,MOD($A83-1,5))+1,0,2,CROQUIS!$C$98-2,2,0)))*CROQUIS!$C$155)+IF(CROQUIS!$C$92="X",0,0)),-1000)</f>
        <v>-1000</v>
      </c>
      <c r="BK83">
        <f>IF(AND(CROQUIS!$C$88=1,CROQUIS!$C$134&gt;0),((CROQUIS!$C$157+(IF(CROQUIS!$C$92="X",CHOOSE(IF(INT(($A83-1)/5)&gt;MAX((MIN(80,MAX(1,INT(((CROQUIS!$C$97)-CROQUIS!$C$107)/MAX(CROQUIS!$C$134,1))+1)))-1,0),0,MOD($A83-1,5))+1,0,2,CROQUIS!$C$98-2,2,0),((CROQUIS!$C$107/2+(((CROQUIS!$C$97)-CROQUIS!$C$107)-(MIN(80,MAX(1,INT(((CROQUIS!$C$97)-CROQUIS!$C$107)/MAX(CROQUIS!$C$134,1))+1))-1)*CROQUIS!$C$134)/2)+MIN(INT(($A83-1)/5),MAX((MIN(80,MAX(1,INT(((CROQUIS!$C$97)-CROQUIS!$C$107)/MAX(CROQUIS!$C$134,1))+1)))-1,0))*CROQUIS!$C$134)))*CROQUIS!$C$155)+IF(CROQUIS!$C$92="X",0,0)),-1000)</f>
        <v>-1000</v>
      </c>
      <c r="BL83">
        <f>IF(AND(CROQUIS!$C$88=1,CROQUIS!$C$91=0,CROQUIS!$C$130&gt;0,OR(CROQUIS!$C$103=1,CROQUIS!$C$142=1)),((CROQUIS!$C$156+(IF(CROQUIS!$C$92="X",CHOOSE(IF(INT(($A83-1)/5)&gt;MAX((MIN(80,MAX(1,INT(((CROQUIS!$C$98)-CROQUIS!$C$107)/MAX(CROQUIS!$C$130,1))+1)))-1,0),0,MOD($A83-1,5))+1,0,IF(CROQUIS!$C$103=1,-12,2),CROQUIS!$C$107/2+CROQUIS!$C$140,IF(CROQUIS!$C$103=1,-12,2),0),((CROQUIS!$C$107/2+(((CROQUIS!$C$98)-CROQUIS!$C$107)-(MIN(80,MAX(1,INT(((CROQUIS!$C$98)-CROQUIS!$C$107)/MAX(CROQUIS!$C$130,1))+1))-1)*CROQUIS!$C$130)/2)+MIN(INT(($A83-1)/5),MAX((MIN(80,MAX(1,INT(((CROQUIS!$C$98)-CROQUIS!$C$107)/MAX(CROQUIS!$C$130,1))+1)))-1,0))*CROQUIS!$C$130)))*CROQUIS!$C$155)+IF(CROQUIS!$C$92="X",0,0)),-1000)</f>
        <v>-1000</v>
      </c>
      <c r="BM8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83-1)/5),MAX((MIN(80,MAX(1,INT(((CROQUIS!$C$98)-CROQUIS!$C$107)/MAX(CROQUIS!$C$130,1))+1)))-1,0))*CROQUIS!$C$130),CHOOSE(IF(INT(($A83-1)/5)&gt;MAX((MIN(80,MAX(1,INT(((CROQUIS!$C$98)-CROQUIS!$C$107)/MAX(CROQUIS!$C$130,1))+1)))-1,0),0,MOD($A83-1,5))+1,0,IF(CROQUIS!$C$103=1,-12,2),CROQUIS!$C$107/2+CROQUIS!$C$140,IF(CROQUIS!$C$103=1,-12,2),0)))*CROQUIS!$C$155)+IF(CROQUIS!$C$92="X",0,0)),-1000)</f>
        <v>-1000</v>
      </c>
      <c r="BN83">
        <f>IF(AND(CROQUIS!$C$88=1,CROQUIS!$C$91=0,CROQUIS!$C$130&gt;0,OR(CROQUIS!$C$104=1,CROQUIS!$C$142=1)),((CROQUIS!$C$156+(IF(CROQUIS!$C$92="X",CHOOSE(IF(INT(($A83-1)/5)&gt;MAX((MIN(80,MAX(1,INT(((CROQUIS!$C$98)-CROQUIS!$C$107)/MAX(CROQUIS!$C$130,1))+1)))-1,0),0,MOD($A83-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83-1)/5),MAX((MIN(80,MAX(1,INT(((CROQUIS!$C$98)-CROQUIS!$C$107)/MAX(CROQUIS!$C$130,1))+1)))-1,0))*CROQUIS!$C$130)))*CROQUIS!$C$155)+IF(CROQUIS!$C$92="X",0,0)),-1000)</f>
        <v>-1000</v>
      </c>
      <c r="BO8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83-1)/5),MAX((MIN(80,MAX(1,INT(((CROQUIS!$C$98)-CROQUIS!$C$107)/MAX(CROQUIS!$C$130,1))+1)))-1,0))*CROQUIS!$C$130),CHOOSE(IF(INT(($A83-1)/5)&gt;MAX((MIN(80,MAX(1,INT(((CROQUIS!$C$98)-CROQUIS!$C$107)/MAX(CROQUIS!$C$130,1))+1)))-1,0),0,MOD($A83-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8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83-1)/5),MAX((MIN(80,MAX(1,INT(((CROQUIS!$C$97)-CROQUIS!$C$107)/MAX(CROQUIS!$C$138,1))+1)))-1,0))*CROQUIS!$C$138),CHOOSE(IF(INT(($A83-1)/5)&gt;MAX((MIN(80,MAX(1,INT(((CROQUIS!$C$97)-CROQUIS!$C$107)/MAX(CROQUIS!$C$138,1))+1)))-1,0),0,MOD($A83-1,5))+1,0,IF(CROQUIS!$C$105=1,-12,2),CROQUIS!$C$107/2+CROQUIS!$C$141,IF(CROQUIS!$C$105=1,-12,2),0)))*CROQUIS!$C$155)+IF(CROQUIS!$C$92="X",0,0)),-1000)</f>
        <v>-1000</v>
      </c>
      <c r="BQ83">
        <f>IF(AND(CROQUIS!$C$88=1,CROQUIS!$C$91=0,CROQUIS!$C$138&gt;0,OR(CROQUIS!$C$105=1,CROQUIS!$C$143=1)),((CROQUIS!$C$157+(IF(CROQUIS!$C$92="X",CHOOSE(IF(INT(($A83-1)/5)&gt;MAX((MIN(80,MAX(1,INT(((CROQUIS!$C$97)-CROQUIS!$C$107)/MAX(CROQUIS!$C$138,1))+1)))-1,0),0,MOD($A83-1,5))+1,0,IF(CROQUIS!$C$105=1,-12,2),CROQUIS!$C$107/2+CROQUIS!$C$141,IF(CROQUIS!$C$105=1,-12,2),0),((CROQUIS!$C$107/2+(((CROQUIS!$C$97)-CROQUIS!$C$107)-(MIN(80,MAX(1,INT(((CROQUIS!$C$97)-CROQUIS!$C$107)/MAX(CROQUIS!$C$138,1))+1))-1)*CROQUIS!$C$138)/2)+MIN(INT(($A83-1)/5),MAX((MIN(80,MAX(1,INT(((CROQUIS!$C$97)-CROQUIS!$C$107)/MAX(CROQUIS!$C$138,1))+1)))-1,0))*CROQUIS!$C$138)))*CROQUIS!$C$155)+IF(CROQUIS!$C$92="X",0,0)),-1000)</f>
        <v>-1000</v>
      </c>
      <c r="BR8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83-1)/5),MAX((MIN(80,MAX(1,INT(((CROQUIS!$C$97)-CROQUIS!$C$107)/MAX(CROQUIS!$C$138,1))+1)))-1,0))*CROQUIS!$C$138),CHOOSE(IF(INT(($A83-1)/5)&gt;MAX((MIN(80,MAX(1,INT(((CROQUIS!$C$97)-CROQUIS!$C$107)/MAX(CROQUIS!$C$138,1))+1)))-1,0),0,MOD($A83-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83">
        <f>IF(AND(CROQUIS!$C$88=1,CROQUIS!$C$91=0,CROQUIS!$C$138&gt;0,OR(CROQUIS!$C$106=1,CROQUIS!$C$143=1)),((CROQUIS!$C$157+(IF(CROQUIS!$C$92="X",CHOOSE(IF(INT(($A83-1)/5)&gt;MAX((MIN(80,MAX(1,INT(((CROQUIS!$C$97)-CROQUIS!$C$107)/MAX(CROQUIS!$C$138,1))+1)))-1,0),0,MOD($A83-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83-1)/5),MAX((MIN(80,MAX(1,INT(((CROQUIS!$C$97)-CROQUIS!$C$107)/MAX(CROQUIS!$C$138,1))+1)))-1,0))*CROQUIS!$C$138)))*CROQUIS!$C$155)+IF(CROQUIS!$C$92="X",0,0)),-1000)</f>
        <v>-1000</v>
      </c>
      <c r="BT83">
        <f>IF(AND(CROQUIS!$C$88=1,CROQUIS!$C$91=1,CROQUIS!$C$130&gt;0),((CROQUIS!$C$156+(IF(CROQUIS!$C$92="X",CHOOSE(IF(INT(($A83-1)/5)&gt;MAX((MIN(80,MAX(1,INT(((CROQUIS!$C$98)-CROQUIS!$C$107)/MAX(CROQUIS!$C$130,1))+1)))-1,0),0,MOD($A83-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83-1)/5),MAX((MIN(80,MAX(1,INT(((CROQUIS!$C$98)-CROQUIS!$C$107)/MAX(CROQUIS!$C$130,1))+1)))-1,0))*CROQUIS!$C$130)))*CROQUIS!$C$155)+IF(CROQUIS!$C$92="X",0,0)),-1000)</f>
        <v>-1000</v>
      </c>
      <c r="BU83">
        <f>IF(AND(CROQUIS!$C$88=1,CROQUIS!$C$91=1,CROQUIS!$C$130&gt;0),((CROQUIS!$C$157+(IF(CROQUIS!$C$92="X",((CROQUIS!$C$107/2+(((CROQUIS!$C$98)-CROQUIS!$C$107)-(MIN(80,MAX(1,INT(((CROQUIS!$C$98)-CROQUIS!$C$107)/MAX(CROQUIS!$C$130,1))+1))-1)*CROQUIS!$C$130)/2)+MIN(INT(($A83-1)/5),MAX((MIN(80,MAX(1,INT(((CROQUIS!$C$98)-CROQUIS!$C$107)/MAX(CROQUIS!$C$130,1))+1)))-1,0))*CROQUIS!$C$130),CHOOSE(IF(INT(($A83-1)/5)&gt;MAX((MIN(80,MAX(1,INT(((CROQUIS!$C$98)-CROQUIS!$C$107)/MAX(CROQUIS!$C$130,1))+1)))-1,0),0,MOD($A83-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84">
      <c r="A84" t="n">
        <v>77</v>
      </c>
      <c r="AF84">
        <f>IF(AND(CROQUIS!$C$87=1,CROQUIS!$C$158&gt;0,CROQUIS!$C$160&gt;0),(CROQUIS!$C$156+((CROQUIS!$C$159+INT(MIN(INT(($A84-1)/2),MAX((2*CROQUIS!$C$158)-1,0))/2)*CROQUIS!$C$113+MOD(MIN(INT(($A84-1)/2),MAX((2*CROQUIS!$C$158)-1,0)),2)*CROQUIS!$C$112))*CROQUIS!$C$155),-1000)</f>
        <v>85.2010845006778</v>
      </c>
      <c r="AG84">
        <f>IF(AND(CROQUIS!$C$87=1,CROQUIS!$C$158&gt;0,CROQUIS!$C$160&gt;0),(CROQUIS!$C$157+(IF(MOD(MIN(INT(($A84-1)/2),MAX((2*CROQUIS!$C$158)-1,0)),2)=0,IF(IF(INT(($A84-1)/2)&gt;MAX((2*CROQUIS!$C$158)-1,0),1,MOD($A84-1,2))=0,CROQUIS!$C$161,(CROQUIS!$C$161+CROQUIS!$C$160*CROQUIS!$C$113-CROQUIS!$C$111)),IF(IF(INT(($A84-1)/2)&gt;MAX((2*CROQUIS!$C$158)-1,0),1,MOD($A84-1,2))=0,(CROQUIS!$C$161+CROQUIS!$C$160*CROQUIS!$C$113-CROQUIS!$C$111),CROQUIS!$C$161)))*CROQUIS!$C$155),-1000)</f>
        <v>20.8088567555355</v>
      </c>
      <c r="AH84">
        <f>IF(AND(CROQUIS!$C$87=1,CROQUIS!$C$160&gt;0,CROQUIS!$C$158&gt;0),(CROQUIS!$C$156+(IF(MOD(MIN(INT(($A84-1)/2),MAX((2*CROQUIS!$C$160)-1,0)),2)=0,IF(IF(INT(($A84-1)/2)&gt;MAX((2*CROQUIS!$C$160)-1,0),1,MOD($A84-1,2))=0,CROQUIS!$C$159,(CROQUIS!$C$159+CROQUIS!$C$158*CROQUIS!$C$113-CROQUIS!$C$111)),IF(IF(INT(($A84-1)/2)&gt;MAX((2*CROQUIS!$C$160)-1,0),1,MOD($A84-1,2))=0,(CROQUIS!$C$159+CROQUIS!$C$158*CROQUIS!$C$113-CROQUIS!$C$111),CROQUIS!$C$159)))*CROQUIS!$C$155),-1000)</f>
        <v>14.7989154993222</v>
      </c>
      <c r="AI84">
        <f>IF(AND(CROQUIS!$C$87=1,CROQUIS!$C$160&gt;0,CROQUIS!$C$158&gt;0),(CROQUIS!$C$157+((CROQUIS!$C$161+INT(MIN(INT(($A84-1)/2),MAX((2*CROQUIS!$C$160)-1,0))/2)*CROQUIS!$C$113+MOD(MIN(INT(($A84-1)/2),MAX((2*CROQUIS!$C$160)-1,0)),2)*CROQUIS!$C$112))*CROQUIS!$C$155),-1000)</f>
        <v>79.1911432444645</v>
      </c>
      <c r="BH84">
        <f>IF(AND(CROQUIS!$C$88=1,CROQUIS!$C$126&gt;0),((CROQUIS!$C$156+(IF(CROQUIS!$C$92="X",CHOOSE(IF(INT(($A84-1)/5)&gt;MAX((MIN(80,MAX(1,INT(((CROQUIS!$C$98)-CROQUIS!$C$107)/MAX(CROQUIS!$C$126,1))+1)))-1,0),0,MOD($A84-1,5))+1,0,2,CROQUIS!$C$97-2,2,0),((CROQUIS!$C$107/2+(((CROQUIS!$C$98)-CROQUIS!$C$107)-(MIN(80,MAX(1,INT(((CROQUIS!$C$98)-CROQUIS!$C$107)/MAX(CROQUIS!$C$126,1))+1))-1)*CROQUIS!$C$126)/2)+MIN(INT(($A84-1)/5),MAX((MIN(80,MAX(1,INT(((CROQUIS!$C$98)-CROQUIS!$C$107)/MAX(CROQUIS!$C$126,1))+1)))-1,0))*CROQUIS!$C$126)))*CROQUIS!$C$155)+IF(CROQUIS!$C$92="X",0,0)),-1000)</f>
        <v>-1000</v>
      </c>
      <c r="BI84">
        <f>IF(AND(CROQUIS!$C$88=1,CROQUIS!$C$126&gt;0),((CROQUIS!$C$157+(IF(CROQUIS!$C$92="X",((CROQUIS!$C$107/2+(((CROQUIS!$C$98)-CROQUIS!$C$107)-(MIN(80,MAX(1,INT(((CROQUIS!$C$98)-CROQUIS!$C$107)/MAX(CROQUIS!$C$126,1))+1))-1)*CROQUIS!$C$126)/2)+MIN(INT(($A84-1)/5),MAX((MIN(80,MAX(1,INT(((CROQUIS!$C$98)-CROQUIS!$C$107)/MAX(CROQUIS!$C$126,1))+1)))-1,0))*CROQUIS!$C$126),CHOOSE(IF(INT(($A84-1)/5)&gt;MAX((MIN(80,MAX(1,INT(((CROQUIS!$C$98)-CROQUIS!$C$107)/MAX(CROQUIS!$C$126,1))+1)))-1,0),0,MOD($A84-1,5))+1,0,2,CROQUIS!$C$97-2,2,0)))*CROQUIS!$C$155)+IF(CROQUIS!$C$92="X",0,0)),-1000)</f>
        <v>-1000</v>
      </c>
      <c r="BJ84">
        <f>IF(AND(CROQUIS!$C$88=1,CROQUIS!$C$134&gt;0),((CROQUIS!$C$156+(IF(CROQUIS!$C$92="X",((CROQUIS!$C$107/2+(((CROQUIS!$C$97)-CROQUIS!$C$107)-(MIN(80,MAX(1,INT(((CROQUIS!$C$97)-CROQUIS!$C$107)/MAX(CROQUIS!$C$134,1))+1))-1)*CROQUIS!$C$134)/2)+MIN(INT(($A84-1)/5),MAX((MIN(80,MAX(1,INT(((CROQUIS!$C$97)-CROQUIS!$C$107)/MAX(CROQUIS!$C$134,1))+1)))-1,0))*CROQUIS!$C$134),CHOOSE(IF(INT(($A84-1)/5)&gt;MAX((MIN(80,MAX(1,INT(((CROQUIS!$C$97)-CROQUIS!$C$107)/MAX(CROQUIS!$C$134,1))+1)))-1,0),0,MOD($A84-1,5))+1,0,2,CROQUIS!$C$98-2,2,0)))*CROQUIS!$C$155)+IF(CROQUIS!$C$92="X",0,0)),-1000)</f>
        <v>-1000</v>
      </c>
      <c r="BK84">
        <f>IF(AND(CROQUIS!$C$88=1,CROQUIS!$C$134&gt;0),((CROQUIS!$C$157+(IF(CROQUIS!$C$92="X",CHOOSE(IF(INT(($A84-1)/5)&gt;MAX((MIN(80,MAX(1,INT(((CROQUIS!$C$97)-CROQUIS!$C$107)/MAX(CROQUIS!$C$134,1))+1)))-1,0),0,MOD($A84-1,5))+1,0,2,CROQUIS!$C$98-2,2,0),((CROQUIS!$C$107/2+(((CROQUIS!$C$97)-CROQUIS!$C$107)-(MIN(80,MAX(1,INT(((CROQUIS!$C$97)-CROQUIS!$C$107)/MAX(CROQUIS!$C$134,1))+1))-1)*CROQUIS!$C$134)/2)+MIN(INT(($A84-1)/5),MAX((MIN(80,MAX(1,INT(((CROQUIS!$C$97)-CROQUIS!$C$107)/MAX(CROQUIS!$C$134,1))+1)))-1,0))*CROQUIS!$C$134)))*CROQUIS!$C$155)+IF(CROQUIS!$C$92="X",0,0)),-1000)</f>
        <v>-1000</v>
      </c>
      <c r="BL84">
        <f>IF(AND(CROQUIS!$C$88=1,CROQUIS!$C$91=0,CROQUIS!$C$130&gt;0,OR(CROQUIS!$C$103=1,CROQUIS!$C$142=1)),((CROQUIS!$C$156+(IF(CROQUIS!$C$92="X",CHOOSE(IF(INT(($A84-1)/5)&gt;MAX((MIN(80,MAX(1,INT(((CROQUIS!$C$98)-CROQUIS!$C$107)/MAX(CROQUIS!$C$130,1))+1)))-1,0),0,MOD($A84-1,5))+1,0,IF(CROQUIS!$C$103=1,-12,2),CROQUIS!$C$107/2+CROQUIS!$C$140,IF(CROQUIS!$C$103=1,-12,2),0),((CROQUIS!$C$107/2+(((CROQUIS!$C$98)-CROQUIS!$C$107)-(MIN(80,MAX(1,INT(((CROQUIS!$C$98)-CROQUIS!$C$107)/MAX(CROQUIS!$C$130,1))+1))-1)*CROQUIS!$C$130)/2)+MIN(INT(($A84-1)/5),MAX((MIN(80,MAX(1,INT(((CROQUIS!$C$98)-CROQUIS!$C$107)/MAX(CROQUIS!$C$130,1))+1)))-1,0))*CROQUIS!$C$130)))*CROQUIS!$C$155)+IF(CROQUIS!$C$92="X",0,0)),-1000)</f>
        <v>-1000</v>
      </c>
      <c r="BM8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84-1)/5),MAX((MIN(80,MAX(1,INT(((CROQUIS!$C$98)-CROQUIS!$C$107)/MAX(CROQUIS!$C$130,1))+1)))-1,0))*CROQUIS!$C$130),CHOOSE(IF(INT(($A84-1)/5)&gt;MAX((MIN(80,MAX(1,INT(((CROQUIS!$C$98)-CROQUIS!$C$107)/MAX(CROQUIS!$C$130,1))+1)))-1,0),0,MOD($A84-1,5))+1,0,IF(CROQUIS!$C$103=1,-12,2),CROQUIS!$C$107/2+CROQUIS!$C$140,IF(CROQUIS!$C$103=1,-12,2),0)))*CROQUIS!$C$155)+IF(CROQUIS!$C$92="X",0,0)),-1000)</f>
        <v>-1000</v>
      </c>
      <c r="BN84">
        <f>IF(AND(CROQUIS!$C$88=1,CROQUIS!$C$91=0,CROQUIS!$C$130&gt;0,OR(CROQUIS!$C$104=1,CROQUIS!$C$142=1)),((CROQUIS!$C$156+(IF(CROQUIS!$C$92="X",CHOOSE(IF(INT(($A84-1)/5)&gt;MAX((MIN(80,MAX(1,INT(((CROQUIS!$C$98)-CROQUIS!$C$107)/MAX(CROQUIS!$C$130,1))+1)))-1,0),0,MOD($A84-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84-1)/5),MAX((MIN(80,MAX(1,INT(((CROQUIS!$C$98)-CROQUIS!$C$107)/MAX(CROQUIS!$C$130,1))+1)))-1,0))*CROQUIS!$C$130)))*CROQUIS!$C$155)+IF(CROQUIS!$C$92="X",0,0)),-1000)</f>
        <v>-1000</v>
      </c>
      <c r="BO8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84-1)/5),MAX((MIN(80,MAX(1,INT(((CROQUIS!$C$98)-CROQUIS!$C$107)/MAX(CROQUIS!$C$130,1))+1)))-1,0))*CROQUIS!$C$130),CHOOSE(IF(INT(($A84-1)/5)&gt;MAX((MIN(80,MAX(1,INT(((CROQUIS!$C$98)-CROQUIS!$C$107)/MAX(CROQUIS!$C$130,1))+1)))-1,0),0,MOD($A84-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8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84-1)/5),MAX((MIN(80,MAX(1,INT(((CROQUIS!$C$97)-CROQUIS!$C$107)/MAX(CROQUIS!$C$138,1))+1)))-1,0))*CROQUIS!$C$138),CHOOSE(IF(INT(($A84-1)/5)&gt;MAX((MIN(80,MAX(1,INT(((CROQUIS!$C$97)-CROQUIS!$C$107)/MAX(CROQUIS!$C$138,1))+1)))-1,0),0,MOD($A84-1,5))+1,0,IF(CROQUIS!$C$105=1,-12,2),CROQUIS!$C$107/2+CROQUIS!$C$141,IF(CROQUIS!$C$105=1,-12,2),0)))*CROQUIS!$C$155)+IF(CROQUIS!$C$92="X",0,0)),-1000)</f>
        <v>-1000</v>
      </c>
      <c r="BQ84">
        <f>IF(AND(CROQUIS!$C$88=1,CROQUIS!$C$91=0,CROQUIS!$C$138&gt;0,OR(CROQUIS!$C$105=1,CROQUIS!$C$143=1)),((CROQUIS!$C$157+(IF(CROQUIS!$C$92="X",CHOOSE(IF(INT(($A84-1)/5)&gt;MAX((MIN(80,MAX(1,INT(((CROQUIS!$C$97)-CROQUIS!$C$107)/MAX(CROQUIS!$C$138,1))+1)))-1,0),0,MOD($A84-1,5))+1,0,IF(CROQUIS!$C$105=1,-12,2),CROQUIS!$C$107/2+CROQUIS!$C$141,IF(CROQUIS!$C$105=1,-12,2),0),((CROQUIS!$C$107/2+(((CROQUIS!$C$97)-CROQUIS!$C$107)-(MIN(80,MAX(1,INT(((CROQUIS!$C$97)-CROQUIS!$C$107)/MAX(CROQUIS!$C$138,1))+1))-1)*CROQUIS!$C$138)/2)+MIN(INT(($A84-1)/5),MAX((MIN(80,MAX(1,INT(((CROQUIS!$C$97)-CROQUIS!$C$107)/MAX(CROQUIS!$C$138,1))+1)))-1,0))*CROQUIS!$C$138)))*CROQUIS!$C$155)+IF(CROQUIS!$C$92="X",0,0)),-1000)</f>
        <v>-1000</v>
      </c>
      <c r="BR8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84-1)/5),MAX((MIN(80,MAX(1,INT(((CROQUIS!$C$97)-CROQUIS!$C$107)/MAX(CROQUIS!$C$138,1))+1)))-1,0))*CROQUIS!$C$138),CHOOSE(IF(INT(($A84-1)/5)&gt;MAX((MIN(80,MAX(1,INT(((CROQUIS!$C$97)-CROQUIS!$C$107)/MAX(CROQUIS!$C$138,1))+1)))-1,0),0,MOD($A84-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84">
        <f>IF(AND(CROQUIS!$C$88=1,CROQUIS!$C$91=0,CROQUIS!$C$138&gt;0,OR(CROQUIS!$C$106=1,CROQUIS!$C$143=1)),((CROQUIS!$C$157+(IF(CROQUIS!$C$92="X",CHOOSE(IF(INT(($A84-1)/5)&gt;MAX((MIN(80,MAX(1,INT(((CROQUIS!$C$97)-CROQUIS!$C$107)/MAX(CROQUIS!$C$138,1))+1)))-1,0),0,MOD($A84-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84-1)/5),MAX((MIN(80,MAX(1,INT(((CROQUIS!$C$97)-CROQUIS!$C$107)/MAX(CROQUIS!$C$138,1))+1)))-1,0))*CROQUIS!$C$138)))*CROQUIS!$C$155)+IF(CROQUIS!$C$92="X",0,0)),-1000)</f>
        <v>-1000</v>
      </c>
      <c r="BT84">
        <f>IF(AND(CROQUIS!$C$88=1,CROQUIS!$C$91=1,CROQUIS!$C$130&gt;0),((CROQUIS!$C$156+(IF(CROQUIS!$C$92="X",CHOOSE(IF(INT(($A84-1)/5)&gt;MAX((MIN(80,MAX(1,INT(((CROQUIS!$C$98)-CROQUIS!$C$107)/MAX(CROQUIS!$C$130,1))+1)))-1,0),0,MOD($A84-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84-1)/5),MAX((MIN(80,MAX(1,INT(((CROQUIS!$C$98)-CROQUIS!$C$107)/MAX(CROQUIS!$C$130,1))+1)))-1,0))*CROQUIS!$C$130)))*CROQUIS!$C$155)+IF(CROQUIS!$C$92="X",0,0)),-1000)</f>
        <v>-1000</v>
      </c>
      <c r="BU84">
        <f>IF(AND(CROQUIS!$C$88=1,CROQUIS!$C$91=1,CROQUIS!$C$130&gt;0),((CROQUIS!$C$157+(IF(CROQUIS!$C$92="X",((CROQUIS!$C$107/2+(((CROQUIS!$C$98)-CROQUIS!$C$107)-(MIN(80,MAX(1,INT(((CROQUIS!$C$98)-CROQUIS!$C$107)/MAX(CROQUIS!$C$130,1))+1))-1)*CROQUIS!$C$130)/2)+MIN(INT(($A84-1)/5),MAX((MIN(80,MAX(1,INT(((CROQUIS!$C$98)-CROQUIS!$C$107)/MAX(CROQUIS!$C$130,1))+1)))-1,0))*CROQUIS!$C$130),CHOOSE(IF(INT(($A84-1)/5)&gt;MAX((MIN(80,MAX(1,INT(((CROQUIS!$C$98)-CROQUIS!$C$107)/MAX(CROQUIS!$C$130,1))+1)))-1,0),0,MOD($A84-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85">
      <c r="A85" t="n">
        <v>78</v>
      </c>
      <c r="AF85">
        <f>IF(AND(CROQUIS!$C$87=1,CROQUIS!$C$158&gt;0,CROQUIS!$C$160&gt;0),(CROQUIS!$C$156+((CROQUIS!$C$159+INT(MIN(INT(($A85-1)/2),MAX((2*CROQUIS!$C$158)-1,0))/2)*CROQUIS!$C$113+MOD(MIN(INT(($A85-1)/2),MAX((2*CROQUIS!$C$158)-1,0)),2)*CROQUIS!$C$112))*CROQUIS!$C$155),-1000)</f>
        <v>85.2010845006778</v>
      </c>
      <c r="AG85">
        <f>IF(AND(CROQUIS!$C$87=1,CROQUIS!$C$158&gt;0,CROQUIS!$C$160&gt;0),(CROQUIS!$C$157+(IF(MOD(MIN(INT(($A85-1)/2),MAX((2*CROQUIS!$C$158)-1,0)),2)=0,IF(IF(INT(($A85-1)/2)&gt;MAX((2*CROQUIS!$C$158)-1,0),1,MOD($A85-1,2))=0,CROQUIS!$C$161,(CROQUIS!$C$161+CROQUIS!$C$160*CROQUIS!$C$113-CROQUIS!$C$111)),IF(IF(INT(($A85-1)/2)&gt;MAX((2*CROQUIS!$C$158)-1,0),1,MOD($A85-1,2))=0,(CROQUIS!$C$161+CROQUIS!$C$160*CROQUIS!$C$113-CROQUIS!$C$111),CROQUIS!$C$161)))*CROQUIS!$C$155),-1000)</f>
        <v>20.8088567555355</v>
      </c>
      <c r="AH85">
        <f>IF(AND(CROQUIS!$C$87=1,CROQUIS!$C$160&gt;0,CROQUIS!$C$158&gt;0),(CROQUIS!$C$156+(IF(MOD(MIN(INT(($A85-1)/2),MAX((2*CROQUIS!$C$160)-1,0)),2)=0,IF(IF(INT(($A85-1)/2)&gt;MAX((2*CROQUIS!$C$160)-1,0),1,MOD($A85-1,2))=0,CROQUIS!$C$159,(CROQUIS!$C$159+CROQUIS!$C$158*CROQUIS!$C$113-CROQUIS!$C$111)),IF(IF(INT(($A85-1)/2)&gt;MAX((2*CROQUIS!$C$160)-1,0),1,MOD($A85-1,2))=0,(CROQUIS!$C$159+CROQUIS!$C$158*CROQUIS!$C$113-CROQUIS!$C$111),CROQUIS!$C$159)))*CROQUIS!$C$155),-1000)</f>
        <v>14.7989154993222</v>
      </c>
      <c r="AI85">
        <f>IF(AND(CROQUIS!$C$87=1,CROQUIS!$C$160&gt;0,CROQUIS!$C$158&gt;0),(CROQUIS!$C$157+((CROQUIS!$C$161+INT(MIN(INT(($A85-1)/2),MAX((2*CROQUIS!$C$160)-1,0))/2)*CROQUIS!$C$113+MOD(MIN(INT(($A85-1)/2),MAX((2*CROQUIS!$C$160)-1,0)),2)*CROQUIS!$C$112))*CROQUIS!$C$155),-1000)</f>
        <v>79.1911432444645</v>
      </c>
      <c r="BH85">
        <f>IF(AND(CROQUIS!$C$88=1,CROQUIS!$C$126&gt;0),((CROQUIS!$C$156+(IF(CROQUIS!$C$92="X",CHOOSE(IF(INT(($A85-1)/5)&gt;MAX((MIN(80,MAX(1,INT(((CROQUIS!$C$98)-CROQUIS!$C$107)/MAX(CROQUIS!$C$126,1))+1)))-1,0),0,MOD($A85-1,5))+1,0,2,CROQUIS!$C$97-2,2,0),((CROQUIS!$C$107/2+(((CROQUIS!$C$98)-CROQUIS!$C$107)-(MIN(80,MAX(1,INT(((CROQUIS!$C$98)-CROQUIS!$C$107)/MAX(CROQUIS!$C$126,1))+1))-1)*CROQUIS!$C$126)/2)+MIN(INT(($A85-1)/5),MAX((MIN(80,MAX(1,INT(((CROQUIS!$C$98)-CROQUIS!$C$107)/MAX(CROQUIS!$C$126,1))+1)))-1,0))*CROQUIS!$C$126)))*CROQUIS!$C$155)+IF(CROQUIS!$C$92="X",0,0)),-1000)</f>
        <v>-1000</v>
      </c>
      <c r="BI85">
        <f>IF(AND(CROQUIS!$C$88=1,CROQUIS!$C$126&gt;0),((CROQUIS!$C$157+(IF(CROQUIS!$C$92="X",((CROQUIS!$C$107/2+(((CROQUIS!$C$98)-CROQUIS!$C$107)-(MIN(80,MAX(1,INT(((CROQUIS!$C$98)-CROQUIS!$C$107)/MAX(CROQUIS!$C$126,1))+1))-1)*CROQUIS!$C$126)/2)+MIN(INT(($A85-1)/5),MAX((MIN(80,MAX(1,INT(((CROQUIS!$C$98)-CROQUIS!$C$107)/MAX(CROQUIS!$C$126,1))+1)))-1,0))*CROQUIS!$C$126),CHOOSE(IF(INT(($A85-1)/5)&gt;MAX((MIN(80,MAX(1,INT(((CROQUIS!$C$98)-CROQUIS!$C$107)/MAX(CROQUIS!$C$126,1))+1)))-1,0),0,MOD($A85-1,5))+1,0,2,CROQUIS!$C$97-2,2,0)))*CROQUIS!$C$155)+IF(CROQUIS!$C$92="X",0,0)),-1000)</f>
        <v>-1000</v>
      </c>
      <c r="BJ85">
        <f>IF(AND(CROQUIS!$C$88=1,CROQUIS!$C$134&gt;0),((CROQUIS!$C$156+(IF(CROQUIS!$C$92="X",((CROQUIS!$C$107/2+(((CROQUIS!$C$97)-CROQUIS!$C$107)-(MIN(80,MAX(1,INT(((CROQUIS!$C$97)-CROQUIS!$C$107)/MAX(CROQUIS!$C$134,1))+1))-1)*CROQUIS!$C$134)/2)+MIN(INT(($A85-1)/5),MAX((MIN(80,MAX(1,INT(((CROQUIS!$C$97)-CROQUIS!$C$107)/MAX(CROQUIS!$C$134,1))+1)))-1,0))*CROQUIS!$C$134),CHOOSE(IF(INT(($A85-1)/5)&gt;MAX((MIN(80,MAX(1,INT(((CROQUIS!$C$97)-CROQUIS!$C$107)/MAX(CROQUIS!$C$134,1))+1)))-1,0),0,MOD($A85-1,5))+1,0,2,CROQUIS!$C$98-2,2,0)))*CROQUIS!$C$155)+IF(CROQUIS!$C$92="X",0,0)),-1000)</f>
        <v>-1000</v>
      </c>
      <c r="BK85">
        <f>IF(AND(CROQUIS!$C$88=1,CROQUIS!$C$134&gt;0),((CROQUIS!$C$157+(IF(CROQUIS!$C$92="X",CHOOSE(IF(INT(($A85-1)/5)&gt;MAX((MIN(80,MAX(1,INT(((CROQUIS!$C$97)-CROQUIS!$C$107)/MAX(CROQUIS!$C$134,1))+1)))-1,0),0,MOD($A85-1,5))+1,0,2,CROQUIS!$C$98-2,2,0),((CROQUIS!$C$107/2+(((CROQUIS!$C$97)-CROQUIS!$C$107)-(MIN(80,MAX(1,INT(((CROQUIS!$C$97)-CROQUIS!$C$107)/MAX(CROQUIS!$C$134,1))+1))-1)*CROQUIS!$C$134)/2)+MIN(INT(($A85-1)/5),MAX((MIN(80,MAX(1,INT(((CROQUIS!$C$97)-CROQUIS!$C$107)/MAX(CROQUIS!$C$134,1))+1)))-1,0))*CROQUIS!$C$134)))*CROQUIS!$C$155)+IF(CROQUIS!$C$92="X",0,0)),-1000)</f>
        <v>-1000</v>
      </c>
      <c r="BL85">
        <f>IF(AND(CROQUIS!$C$88=1,CROQUIS!$C$91=0,CROQUIS!$C$130&gt;0,OR(CROQUIS!$C$103=1,CROQUIS!$C$142=1)),((CROQUIS!$C$156+(IF(CROQUIS!$C$92="X",CHOOSE(IF(INT(($A85-1)/5)&gt;MAX((MIN(80,MAX(1,INT(((CROQUIS!$C$98)-CROQUIS!$C$107)/MAX(CROQUIS!$C$130,1))+1)))-1,0),0,MOD($A85-1,5))+1,0,IF(CROQUIS!$C$103=1,-12,2),CROQUIS!$C$107/2+CROQUIS!$C$140,IF(CROQUIS!$C$103=1,-12,2),0),((CROQUIS!$C$107/2+(((CROQUIS!$C$98)-CROQUIS!$C$107)-(MIN(80,MAX(1,INT(((CROQUIS!$C$98)-CROQUIS!$C$107)/MAX(CROQUIS!$C$130,1))+1))-1)*CROQUIS!$C$130)/2)+MIN(INT(($A85-1)/5),MAX((MIN(80,MAX(1,INT(((CROQUIS!$C$98)-CROQUIS!$C$107)/MAX(CROQUIS!$C$130,1))+1)))-1,0))*CROQUIS!$C$130)))*CROQUIS!$C$155)+IF(CROQUIS!$C$92="X",0,0)),-1000)</f>
        <v>-1000</v>
      </c>
      <c r="BM8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85-1)/5),MAX((MIN(80,MAX(1,INT(((CROQUIS!$C$98)-CROQUIS!$C$107)/MAX(CROQUIS!$C$130,1))+1)))-1,0))*CROQUIS!$C$130),CHOOSE(IF(INT(($A85-1)/5)&gt;MAX((MIN(80,MAX(1,INT(((CROQUIS!$C$98)-CROQUIS!$C$107)/MAX(CROQUIS!$C$130,1))+1)))-1,0),0,MOD($A85-1,5))+1,0,IF(CROQUIS!$C$103=1,-12,2),CROQUIS!$C$107/2+CROQUIS!$C$140,IF(CROQUIS!$C$103=1,-12,2),0)))*CROQUIS!$C$155)+IF(CROQUIS!$C$92="X",0,0)),-1000)</f>
        <v>-1000</v>
      </c>
      <c r="BN85">
        <f>IF(AND(CROQUIS!$C$88=1,CROQUIS!$C$91=0,CROQUIS!$C$130&gt;0,OR(CROQUIS!$C$104=1,CROQUIS!$C$142=1)),((CROQUIS!$C$156+(IF(CROQUIS!$C$92="X",CHOOSE(IF(INT(($A85-1)/5)&gt;MAX((MIN(80,MAX(1,INT(((CROQUIS!$C$98)-CROQUIS!$C$107)/MAX(CROQUIS!$C$130,1))+1)))-1,0),0,MOD($A85-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85-1)/5),MAX((MIN(80,MAX(1,INT(((CROQUIS!$C$98)-CROQUIS!$C$107)/MAX(CROQUIS!$C$130,1))+1)))-1,0))*CROQUIS!$C$130)))*CROQUIS!$C$155)+IF(CROQUIS!$C$92="X",0,0)),-1000)</f>
        <v>-1000</v>
      </c>
      <c r="BO8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85-1)/5),MAX((MIN(80,MAX(1,INT(((CROQUIS!$C$98)-CROQUIS!$C$107)/MAX(CROQUIS!$C$130,1))+1)))-1,0))*CROQUIS!$C$130),CHOOSE(IF(INT(($A85-1)/5)&gt;MAX((MIN(80,MAX(1,INT(((CROQUIS!$C$98)-CROQUIS!$C$107)/MAX(CROQUIS!$C$130,1))+1)))-1,0),0,MOD($A85-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8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85-1)/5),MAX((MIN(80,MAX(1,INT(((CROQUIS!$C$97)-CROQUIS!$C$107)/MAX(CROQUIS!$C$138,1))+1)))-1,0))*CROQUIS!$C$138),CHOOSE(IF(INT(($A85-1)/5)&gt;MAX((MIN(80,MAX(1,INT(((CROQUIS!$C$97)-CROQUIS!$C$107)/MAX(CROQUIS!$C$138,1))+1)))-1,0),0,MOD($A85-1,5))+1,0,IF(CROQUIS!$C$105=1,-12,2),CROQUIS!$C$107/2+CROQUIS!$C$141,IF(CROQUIS!$C$105=1,-12,2),0)))*CROQUIS!$C$155)+IF(CROQUIS!$C$92="X",0,0)),-1000)</f>
        <v>-1000</v>
      </c>
      <c r="BQ85">
        <f>IF(AND(CROQUIS!$C$88=1,CROQUIS!$C$91=0,CROQUIS!$C$138&gt;0,OR(CROQUIS!$C$105=1,CROQUIS!$C$143=1)),((CROQUIS!$C$157+(IF(CROQUIS!$C$92="X",CHOOSE(IF(INT(($A85-1)/5)&gt;MAX((MIN(80,MAX(1,INT(((CROQUIS!$C$97)-CROQUIS!$C$107)/MAX(CROQUIS!$C$138,1))+1)))-1,0),0,MOD($A85-1,5))+1,0,IF(CROQUIS!$C$105=1,-12,2),CROQUIS!$C$107/2+CROQUIS!$C$141,IF(CROQUIS!$C$105=1,-12,2),0),((CROQUIS!$C$107/2+(((CROQUIS!$C$97)-CROQUIS!$C$107)-(MIN(80,MAX(1,INT(((CROQUIS!$C$97)-CROQUIS!$C$107)/MAX(CROQUIS!$C$138,1))+1))-1)*CROQUIS!$C$138)/2)+MIN(INT(($A85-1)/5),MAX((MIN(80,MAX(1,INT(((CROQUIS!$C$97)-CROQUIS!$C$107)/MAX(CROQUIS!$C$138,1))+1)))-1,0))*CROQUIS!$C$138)))*CROQUIS!$C$155)+IF(CROQUIS!$C$92="X",0,0)),-1000)</f>
        <v>-1000</v>
      </c>
      <c r="BR8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85-1)/5),MAX((MIN(80,MAX(1,INT(((CROQUIS!$C$97)-CROQUIS!$C$107)/MAX(CROQUIS!$C$138,1))+1)))-1,0))*CROQUIS!$C$138),CHOOSE(IF(INT(($A85-1)/5)&gt;MAX((MIN(80,MAX(1,INT(((CROQUIS!$C$97)-CROQUIS!$C$107)/MAX(CROQUIS!$C$138,1))+1)))-1,0),0,MOD($A85-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85">
        <f>IF(AND(CROQUIS!$C$88=1,CROQUIS!$C$91=0,CROQUIS!$C$138&gt;0,OR(CROQUIS!$C$106=1,CROQUIS!$C$143=1)),((CROQUIS!$C$157+(IF(CROQUIS!$C$92="X",CHOOSE(IF(INT(($A85-1)/5)&gt;MAX((MIN(80,MAX(1,INT(((CROQUIS!$C$97)-CROQUIS!$C$107)/MAX(CROQUIS!$C$138,1))+1)))-1,0),0,MOD($A85-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85-1)/5),MAX((MIN(80,MAX(1,INT(((CROQUIS!$C$97)-CROQUIS!$C$107)/MAX(CROQUIS!$C$138,1))+1)))-1,0))*CROQUIS!$C$138)))*CROQUIS!$C$155)+IF(CROQUIS!$C$92="X",0,0)),-1000)</f>
        <v>-1000</v>
      </c>
      <c r="BT85">
        <f>IF(AND(CROQUIS!$C$88=1,CROQUIS!$C$91=1,CROQUIS!$C$130&gt;0),((CROQUIS!$C$156+(IF(CROQUIS!$C$92="X",CHOOSE(IF(INT(($A85-1)/5)&gt;MAX((MIN(80,MAX(1,INT(((CROQUIS!$C$98)-CROQUIS!$C$107)/MAX(CROQUIS!$C$130,1))+1)))-1,0),0,MOD($A85-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85-1)/5),MAX((MIN(80,MAX(1,INT(((CROQUIS!$C$98)-CROQUIS!$C$107)/MAX(CROQUIS!$C$130,1))+1)))-1,0))*CROQUIS!$C$130)))*CROQUIS!$C$155)+IF(CROQUIS!$C$92="X",0,0)),-1000)</f>
        <v>-1000</v>
      </c>
      <c r="BU85">
        <f>IF(AND(CROQUIS!$C$88=1,CROQUIS!$C$91=1,CROQUIS!$C$130&gt;0),((CROQUIS!$C$157+(IF(CROQUIS!$C$92="X",((CROQUIS!$C$107/2+(((CROQUIS!$C$98)-CROQUIS!$C$107)-(MIN(80,MAX(1,INT(((CROQUIS!$C$98)-CROQUIS!$C$107)/MAX(CROQUIS!$C$130,1))+1))-1)*CROQUIS!$C$130)/2)+MIN(INT(($A85-1)/5),MAX((MIN(80,MAX(1,INT(((CROQUIS!$C$98)-CROQUIS!$C$107)/MAX(CROQUIS!$C$130,1))+1)))-1,0))*CROQUIS!$C$130),CHOOSE(IF(INT(($A85-1)/5)&gt;MAX((MIN(80,MAX(1,INT(((CROQUIS!$C$98)-CROQUIS!$C$107)/MAX(CROQUIS!$C$130,1))+1)))-1,0),0,MOD($A85-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86">
      <c r="A86" t="n">
        <v>79</v>
      </c>
      <c r="AF86">
        <f>IF(AND(CROQUIS!$C$87=1,CROQUIS!$C$158&gt;0,CROQUIS!$C$160&gt;0),(CROQUIS!$C$156+((CROQUIS!$C$159+INT(MIN(INT(($A86-1)/2),MAX((2*CROQUIS!$C$158)-1,0))/2)*CROQUIS!$C$113+MOD(MIN(INT(($A86-1)/2),MAX((2*CROQUIS!$C$158)-1,0)),2)*CROQUIS!$C$112))*CROQUIS!$C$155),-1000)</f>
        <v>85.2010845006778</v>
      </c>
      <c r="AG86">
        <f>IF(AND(CROQUIS!$C$87=1,CROQUIS!$C$158&gt;0,CROQUIS!$C$160&gt;0),(CROQUIS!$C$157+(IF(MOD(MIN(INT(($A86-1)/2),MAX((2*CROQUIS!$C$158)-1,0)),2)=0,IF(IF(INT(($A86-1)/2)&gt;MAX((2*CROQUIS!$C$158)-1,0),1,MOD($A86-1,2))=0,CROQUIS!$C$161,(CROQUIS!$C$161+CROQUIS!$C$160*CROQUIS!$C$113-CROQUIS!$C$111)),IF(IF(INT(($A86-1)/2)&gt;MAX((2*CROQUIS!$C$158)-1,0),1,MOD($A86-1,2))=0,(CROQUIS!$C$161+CROQUIS!$C$160*CROQUIS!$C$113-CROQUIS!$C$111),CROQUIS!$C$161)))*CROQUIS!$C$155),-1000)</f>
        <v>20.8088567555355</v>
      </c>
      <c r="AH86">
        <f>IF(AND(CROQUIS!$C$87=1,CROQUIS!$C$160&gt;0,CROQUIS!$C$158&gt;0),(CROQUIS!$C$156+(IF(MOD(MIN(INT(($A86-1)/2),MAX((2*CROQUIS!$C$160)-1,0)),2)=0,IF(IF(INT(($A86-1)/2)&gt;MAX((2*CROQUIS!$C$160)-1,0),1,MOD($A86-1,2))=0,CROQUIS!$C$159,(CROQUIS!$C$159+CROQUIS!$C$158*CROQUIS!$C$113-CROQUIS!$C$111)),IF(IF(INT(($A86-1)/2)&gt;MAX((2*CROQUIS!$C$160)-1,0),1,MOD($A86-1,2))=0,(CROQUIS!$C$159+CROQUIS!$C$158*CROQUIS!$C$113-CROQUIS!$C$111),CROQUIS!$C$159)))*CROQUIS!$C$155),-1000)</f>
        <v>14.7989154993222</v>
      </c>
      <c r="AI86">
        <f>IF(AND(CROQUIS!$C$87=1,CROQUIS!$C$160&gt;0,CROQUIS!$C$158&gt;0),(CROQUIS!$C$157+((CROQUIS!$C$161+INT(MIN(INT(($A86-1)/2),MAX((2*CROQUIS!$C$160)-1,0))/2)*CROQUIS!$C$113+MOD(MIN(INT(($A86-1)/2),MAX((2*CROQUIS!$C$160)-1,0)),2)*CROQUIS!$C$112))*CROQUIS!$C$155),-1000)</f>
        <v>79.1911432444645</v>
      </c>
      <c r="BH86">
        <f>IF(AND(CROQUIS!$C$88=1,CROQUIS!$C$126&gt;0),((CROQUIS!$C$156+(IF(CROQUIS!$C$92="X",CHOOSE(IF(INT(($A86-1)/5)&gt;MAX((MIN(80,MAX(1,INT(((CROQUIS!$C$98)-CROQUIS!$C$107)/MAX(CROQUIS!$C$126,1))+1)))-1,0),0,MOD($A86-1,5))+1,0,2,CROQUIS!$C$97-2,2,0),((CROQUIS!$C$107/2+(((CROQUIS!$C$98)-CROQUIS!$C$107)-(MIN(80,MAX(1,INT(((CROQUIS!$C$98)-CROQUIS!$C$107)/MAX(CROQUIS!$C$126,1))+1))-1)*CROQUIS!$C$126)/2)+MIN(INT(($A86-1)/5),MAX((MIN(80,MAX(1,INT(((CROQUIS!$C$98)-CROQUIS!$C$107)/MAX(CROQUIS!$C$126,1))+1)))-1,0))*CROQUIS!$C$126)))*CROQUIS!$C$155)+IF(CROQUIS!$C$92="X",0,0)),-1000)</f>
        <v>-1000</v>
      </c>
      <c r="BI86">
        <f>IF(AND(CROQUIS!$C$88=1,CROQUIS!$C$126&gt;0),((CROQUIS!$C$157+(IF(CROQUIS!$C$92="X",((CROQUIS!$C$107/2+(((CROQUIS!$C$98)-CROQUIS!$C$107)-(MIN(80,MAX(1,INT(((CROQUIS!$C$98)-CROQUIS!$C$107)/MAX(CROQUIS!$C$126,1))+1))-1)*CROQUIS!$C$126)/2)+MIN(INT(($A86-1)/5),MAX((MIN(80,MAX(1,INT(((CROQUIS!$C$98)-CROQUIS!$C$107)/MAX(CROQUIS!$C$126,1))+1)))-1,0))*CROQUIS!$C$126),CHOOSE(IF(INT(($A86-1)/5)&gt;MAX((MIN(80,MAX(1,INT(((CROQUIS!$C$98)-CROQUIS!$C$107)/MAX(CROQUIS!$C$126,1))+1)))-1,0),0,MOD($A86-1,5))+1,0,2,CROQUIS!$C$97-2,2,0)))*CROQUIS!$C$155)+IF(CROQUIS!$C$92="X",0,0)),-1000)</f>
        <v>-1000</v>
      </c>
      <c r="BJ86">
        <f>IF(AND(CROQUIS!$C$88=1,CROQUIS!$C$134&gt;0),((CROQUIS!$C$156+(IF(CROQUIS!$C$92="X",((CROQUIS!$C$107/2+(((CROQUIS!$C$97)-CROQUIS!$C$107)-(MIN(80,MAX(1,INT(((CROQUIS!$C$97)-CROQUIS!$C$107)/MAX(CROQUIS!$C$134,1))+1))-1)*CROQUIS!$C$134)/2)+MIN(INT(($A86-1)/5),MAX((MIN(80,MAX(1,INT(((CROQUIS!$C$97)-CROQUIS!$C$107)/MAX(CROQUIS!$C$134,1))+1)))-1,0))*CROQUIS!$C$134),CHOOSE(IF(INT(($A86-1)/5)&gt;MAX((MIN(80,MAX(1,INT(((CROQUIS!$C$97)-CROQUIS!$C$107)/MAX(CROQUIS!$C$134,1))+1)))-1,0),0,MOD($A86-1,5))+1,0,2,CROQUIS!$C$98-2,2,0)))*CROQUIS!$C$155)+IF(CROQUIS!$C$92="X",0,0)),-1000)</f>
        <v>-1000</v>
      </c>
      <c r="BK86">
        <f>IF(AND(CROQUIS!$C$88=1,CROQUIS!$C$134&gt;0),((CROQUIS!$C$157+(IF(CROQUIS!$C$92="X",CHOOSE(IF(INT(($A86-1)/5)&gt;MAX((MIN(80,MAX(1,INT(((CROQUIS!$C$97)-CROQUIS!$C$107)/MAX(CROQUIS!$C$134,1))+1)))-1,0),0,MOD($A86-1,5))+1,0,2,CROQUIS!$C$98-2,2,0),((CROQUIS!$C$107/2+(((CROQUIS!$C$97)-CROQUIS!$C$107)-(MIN(80,MAX(1,INT(((CROQUIS!$C$97)-CROQUIS!$C$107)/MAX(CROQUIS!$C$134,1))+1))-1)*CROQUIS!$C$134)/2)+MIN(INT(($A86-1)/5),MAX((MIN(80,MAX(1,INT(((CROQUIS!$C$97)-CROQUIS!$C$107)/MAX(CROQUIS!$C$134,1))+1)))-1,0))*CROQUIS!$C$134)))*CROQUIS!$C$155)+IF(CROQUIS!$C$92="X",0,0)),-1000)</f>
        <v>-1000</v>
      </c>
      <c r="BL86">
        <f>IF(AND(CROQUIS!$C$88=1,CROQUIS!$C$91=0,CROQUIS!$C$130&gt;0,OR(CROQUIS!$C$103=1,CROQUIS!$C$142=1)),((CROQUIS!$C$156+(IF(CROQUIS!$C$92="X",CHOOSE(IF(INT(($A86-1)/5)&gt;MAX((MIN(80,MAX(1,INT(((CROQUIS!$C$98)-CROQUIS!$C$107)/MAX(CROQUIS!$C$130,1))+1)))-1,0),0,MOD($A86-1,5))+1,0,IF(CROQUIS!$C$103=1,-12,2),CROQUIS!$C$107/2+CROQUIS!$C$140,IF(CROQUIS!$C$103=1,-12,2),0),((CROQUIS!$C$107/2+(((CROQUIS!$C$98)-CROQUIS!$C$107)-(MIN(80,MAX(1,INT(((CROQUIS!$C$98)-CROQUIS!$C$107)/MAX(CROQUIS!$C$130,1))+1))-1)*CROQUIS!$C$130)/2)+MIN(INT(($A86-1)/5),MAX((MIN(80,MAX(1,INT(((CROQUIS!$C$98)-CROQUIS!$C$107)/MAX(CROQUIS!$C$130,1))+1)))-1,0))*CROQUIS!$C$130)))*CROQUIS!$C$155)+IF(CROQUIS!$C$92="X",0,0)),-1000)</f>
        <v>-1000</v>
      </c>
      <c r="BM8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86-1)/5),MAX((MIN(80,MAX(1,INT(((CROQUIS!$C$98)-CROQUIS!$C$107)/MAX(CROQUIS!$C$130,1))+1)))-1,0))*CROQUIS!$C$130),CHOOSE(IF(INT(($A86-1)/5)&gt;MAX((MIN(80,MAX(1,INT(((CROQUIS!$C$98)-CROQUIS!$C$107)/MAX(CROQUIS!$C$130,1))+1)))-1,0),0,MOD($A86-1,5))+1,0,IF(CROQUIS!$C$103=1,-12,2),CROQUIS!$C$107/2+CROQUIS!$C$140,IF(CROQUIS!$C$103=1,-12,2),0)))*CROQUIS!$C$155)+IF(CROQUIS!$C$92="X",0,0)),-1000)</f>
        <v>-1000</v>
      </c>
      <c r="BN86">
        <f>IF(AND(CROQUIS!$C$88=1,CROQUIS!$C$91=0,CROQUIS!$C$130&gt;0,OR(CROQUIS!$C$104=1,CROQUIS!$C$142=1)),((CROQUIS!$C$156+(IF(CROQUIS!$C$92="X",CHOOSE(IF(INT(($A86-1)/5)&gt;MAX((MIN(80,MAX(1,INT(((CROQUIS!$C$98)-CROQUIS!$C$107)/MAX(CROQUIS!$C$130,1))+1)))-1,0),0,MOD($A86-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86-1)/5),MAX((MIN(80,MAX(1,INT(((CROQUIS!$C$98)-CROQUIS!$C$107)/MAX(CROQUIS!$C$130,1))+1)))-1,0))*CROQUIS!$C$130)))*CROQUIS!$C$155)+IF(CROQUIS!$C$92="X",0,0)),-1000)</f>
        <v>-1000</v>
      </c>
      <c r="BO8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86-1)/5),MAX((MIN(80,MAX(1,INT(((CROQUIS!$C$98)-CROQUIS!$C$107)/MAX(CROQUIS!$C$130,1))+1)))-1,0))*CROQUIS!$C$130),CHOOSE(IF(INT(($A86-1)/5)&gt;MAX((MIN(80,MAX(1,INT(((CROQUIS!$C$98)-CROQUIS!$C$107)/MAX(CROQUIS!$C$130,1))+1)))-1,0),0,MOD($A86-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8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86-1)/5),MAX((MIN(80,MAX(1,INT(((CROQUIS!$C$97)-CROQUIS!$C$107)/MAX(CROQUIS!$C$138,1))+1)))-1,0))*CROQUIS!$C$138),CHOOSE(IF(INT(($A86-1)/5)&gt;MAX((MIN(80,MAX(1,INT(((CROQUIS!$C$97)-CROQUIS!$C$107)/MAX(CROQUIS!$C$138,1))+1)))-1,0),0,MOD($A86-1,5))+1,0,IF(CROQUIS!$C$105=1,-12,2),CROQUIS!$C$107/2+CROQUIS!$C$141,IF(CROQUIS!$C$105=1,-12,2),0)))*CROQUIS!$C$155)+IF(CROQUIS!$C$92="X",0,0)),-1000)</f>
        <v>-1000</v>
      </c>
      <c r="BQ86">
        <f>IF(AND(CROQUIS!$C$88=1,CROQUIS!$C$91=0,CROQUIS!$C$138&gt;0,OR(CROQUIS!$C$105=1,CROQUIS!$C$143=1)),((CROQUIS!$C$157+(IF(CROQUIS!$C$92="X",CHOOSE(IF(INT(($A86-1)/5)&gt;MAX((MIN(80,MAX(1,INT(((CROQUIS!$C$97)-CROQUIS!$C$107)/MAX(CROQUIS!$C$138,1))+1)))-1,0),0,MOD($A86-1,5))+1,0,IF(CROQUIS!$C$105=1,-12,2),CROQUIS!$C$107/2+CROQUIS!$C$141,IF(CROQUIS!$C$105=1,-12,2),0),((CROQUIS!$C$107/2+(((CROQUIS!$C$97)-CROQUIS!$C$107)-(MIN(80,MAX(1,INT(((CROQUIS!$C$97)-CROQUIS!$C$107)/MAX(CROQUIS!$C$138,1))+1))-1)*CROQUIS!$C$138)/2)+MIN(INT(($A86-1)/5),MAX((MIN(80,MAX(1,INT(((CROQUIS!$C$97)-CROQUIS!$C$107)/MAX(CROQUIS!$C$138,1))+1)))-1,0))*CROQUIS!$C$138)))*CROQUIS!$C$155)+IF(CROQUIS!$C$92="X",0,0)),-1000)</f>
        <v>-1000</v>
      </c>
      <c r="BR8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86-1)/5),MAX((MIN(80,MAX(1,INT(((CROQUIS!$C$97)-CROQUIS!$C$107)/MAX(CROQUIS!$C$138,1))+1)))-1,0))*CROQUIS!$C$138),CHOOSE(IF(INT(($A86-1)/5)&gt;MAX((MIN(80,MAX(1,INT(((CROQUIS!$C$97)-CROQUIS!$C$107)/MAX(CROQUIS!$C$138,1))+1)))-1,0),0,MOD($A86-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86">
        <f>IF(AND(CROQUIS!$C$88=1,CROQUIS!$C$91=0,CROQUIS!$C$138&gt;0,OR(CROQUIS!$C$106=1,CROQUIS!$C$143=1)),((CROQUIS!$C$157+(IF(CROQUIS!$C$92="X",CHOOSE(IF(INT(($A86-1)/5)&gt;MAX((MIN(80,MAX(1,INT(((CROQUIS!$C$97)-CROQUIS!$C$107)/MAX(CROQUIS!$C$138,1))+1)))-1,0),0,MOD($A86-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86-1)/5),MAX((MIN(80,MAX(1,INT(((CROQUIS!$C$97)-CROQUIS!$C$107)/MAX(CROQUIS!$C$138,1))+1)))-1,0))*CROQUIS!$C$138)))*CROQUIS!$C$155)+IF(CROQUIS!$C$92="X",0,0)),-1000)</f>
        <v>-1000</v>
      </c>
      <c r="BT86">
        <f>IF(AND(CROQUIS!$C$88=1,CROQUIS!$C$91=1,CROQUIS!$C$130&gt;0),((CROQUIS!$C$156+(IF(CROQUIS!$C$92="X",CHOOSE(IF(INT(($A86-1)/5)&gt;MAX((MIN(80,MAX(1,INT(((CROQUIS!$C$98)-CROQUIS!$C$107)/MAX(CROQUIS!$C$130,1))+1)))-1,0),0,MOD($A86-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86-1)/5),MAX((MIN(80,MAX(1,INT(((CROQUIS!$C$98)-CROQUIS!$C$107)/MAX(CROQUIS!$C$130,1))+1)))-1,0))*CROQUIS!$C$130)))*CROQUIS!$C$155)+IF(CROQUIS!$C$92="X",0,0)),-1000)</f>
        <v>-1000</v>
      </c>
      <c r="BU86">
        <f>IF(AND(CROQUIS!$C$88=1,CROQUIS!$C$91=1,CROQUIS!$C$130&gt;0),((CROQUIS!$C$157+(IF(CROQUIS!$C$92="X",((CROQUIS!$C$107/2+(((CROQUIS!$C$98)-CROQUIS!$C$107)-(MIN(80,MAX(1,INT(((CROQUIS!$C$98)-CROQUIS!$C$107)/MAX(CROQUIS!$C$130,1))+1))-1)*CROQUIS!$C$130)/2)+MIN(INT(($A86-1)/5),MAX((MIN(80,MAX(1,INT(((CROQUIS!$C$98)-CROQUIS!$C$107)/MAX(CROQUIS!$C$130,1))+1)))-1,0))*CROQUIS!$C$130),CHOOSE(IF(INT(($A86-1)/5)&gt;MAX((MIN(80,MAX(1,INT(((CROQUIS!$C$98)-CROQUIS!$C$107)/MAX(CROQUIS!$C$130,1))+1)))-1,0),0,MOD($A86-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87">
      <c r="A87" t="n">
        <v>80</v>
      </c>
      <c r="AF87">
        <f>IF(AND(CROQUIS!$C$87=1,CROQUIS!$C$158&gt;0,CROQUIS!$C$160&gt;0),(CROQUIS!$C$156+((CROQUIS!$C$159+INT(MIN(INT(($A87-1)/2),MAX((2*CROQUIS!$C$158)-1,0))/2)*CROQUIS!$C$113+MOD(MIN(INT(($A87-1)/2),MAX((2*CROQUIS!$C$158)-1,0)),2)*CROQUIS!$C$112))*CROQUIS!$C$155),-1000)</f>
        <v>85.2010845006778</v>
      </c>
      <c r="AG87">
        <f>IF(AND(CROQUIS!$C$87=1,CROQUIS!$C$158&gt;0,CROQUIS!$C$160&gt;0),(CROQUIS!$C$157+(IF(MOD(MIN(INT(($A87-1)/2),MAX((2*CROQUIS!$C$158)-1,0)),2)=0,IF(IF(INT(($A87-1)/2)&gt;MAX((2*CROQUIS!$C$158)-1,0),1,MOD($A87-1,2))=0,CROQUIS!$C$161,(CROQUIS!$C$161+CROQUIS!$C$160*CROQUIS!$C$113-CROQUIS!$C$111)),IF(IF(INT(($A87-1)/2)&gt;MAX((2*CROQUIS!$C$158)-1,0),1,MOD($A87-1,2))=0,(CROQUIS!$C$161+CROQUIS!$C$160*CROQUIS!$C$113-CROQUIS!$C$111),CROQUIS!$C$161)))*CROQUIS!$C$155),-1000)</f>
        <v>20.8088567555355</v>
      </c>
      <c r="AH87">
        <f>IF(AND(CROQUIS!$C$87=1,CROQUIS!$C$160&gt;0,CROQUIS!$C$158&gt;0),(CROQUIS!$C$156+(IF(MOD(MIN(INT(($A87-1)/2),MAX((2*CROQUIS!$C$160)-1,0)),2)=0,IF(IF(INT(($A87-1)/2)&gt;MAX((2*CROQUIS!$C$160)-1,0),1,MOD($A87-1,2))=0,CROQUIS!$C$159,(CROQUIS!$C$159+CROQUIS!$C$158*CROQUIS!$C$113-CROQUIS!$C$111)),IF(IF(INT(($A87-1)/2)&gt;MAX((2*CROQUIS!$C$160)-1,0),1,MOD($A87-1,2))=0,(CROQUIS!$C$159+CROQUIS!$C$158*CROQUIS!$C$113-CROQUIS!$C$111),CROQUIS!$C$159)))*CROQUIS!$C$155),-1000)</f>
        <v>14.7989154993222</v>
      </c>
      <c r="AI87">
        <f>IF(AND(CROQUIS!$C$87=1,CROQUIS!$C$160&gt;0,CROQUIS!$C$158&gt;0),(CROQUIS!$C$157+((CROQUIS!$C$161+INT(MIN(INT(($A87-1)/2),MAX((2*CROQUIS!$C$160)-1,0))/2)*CROQUIS!$C$113+MOD(MIN(INT(($A87-1)/2),MAX((2*CROQUIS!$C$160)-1,0)),2)*CROQUIS!$C$112))*CROQUIS!$C$155),-1000)</f>
        <v>79.1911432444645</v>
      </c>
      <c r="BH87">
        <f>IF(AND(CROQUIS!$C$88=1,CROQUIS!$C$126&gt;0),((CROQUIS!$C$156+(IF(CROQUIS!$C$92="X",CHOOSE(IF(INT(($A87-1)/5)&gt;MAX((MIN(80,MAX(1,INT(((CROQUIS!$C$98)-CROQUIS!$C$107)/MAX(CROQUIS!$C$126,1))+1)))-1,0),0,MOD($A87-1,5))+1,0,2,CROQUIS!$C$97-2,2,0),((CROQUIS!$C$107/2+(((CROQUIS!$C$98)-CROQUIS!$C$107)-(MIN(80,MAX(1,INT(((CROQUIS!$C$98)-CROQUIS!$C$107)/MAX(CROQUIS!$C$126,1))+1))-1)*CROQUIS!$C$126)/2)+MIN(INT(($A87-1)/5),MAX((MIN(80,MAX(1,INT(((CROQUIS!$C$98)-CROQUIS!$C$107)/MAX(CROQUIS!$C$126,1))+1)))-1,0))*CROQUIS!$C$126)))*CROQUIS!$C$155)+IF(CROQUIS!$C$92="X",0,0)),-1000)</f>
        <v>-1000</v>
      </c>
      <c r="BI87">
        <f>IF(AND(CROQUIS!$C$88=1,CROQUIS!$C$126&gt;0),((CROQUIS!$C$157+(IF(CROQUIS!$C$92="X",((CROQUIS!$C$107/2+(((CROQUIS!$C$98)-CROQUIS!$C$107)-(MIN(80,MAX(1,INT(((CROQUIS!$C$98)-CROQUIS!$C$107)/MAX(CROQUIS!$C$126,1))+1))-1)*CROQUIS!$C$126)/2)+MIN(INT(($A87-1)/5),MAX((MIN(80,MAX(1,INT(((CROQUIS!$C$98)-CROQUIS!$C$107)/MAX(CROQUIS!$C$126,1))+1)))-1,0))*CROQUIS!$C$126),CHOOSE(IF(INT(($A87-1)/5)&gt;MAX((MIN(80,MAX(1,INT(((CROQUIS!$C$98)-CROQUIS!$C$107)/MAX(CROQUIS!$C$126,1))+1)))-1,0),0,MOD($A87-1,5))+1,0,2,CROQUIS!$C$97-2,2,0)))*CROQUIS!$C$155)+IF(CROQUIS!$C$92="X",0,0)),-1000)</f>
        <v>-1000</v>
      </c>
      <c r="BJ87">
        <f>IF(AND(CROQUIS!$C$88=1,CROQUIS!$C$134&gt;0),((CROQUIS!$C$156+(IF(CROQUIS!$C$92="X",((CROQUIS!$C$107/2+(((CROQUIS!$C$97)-CROQUIS!$C$107)-(MIN(80,MAX(1,INT(((CROQUIS!$C$97)-CROQUIS!$C$107)/MAX(CROQUIS!$C$134,1))+1))-1)*CROQUIS!$C$134)/2)+MIN(INT(($A87-1)/5),MAX((MIN(80,MAX(1,INT(((CROQUIS!$C$97)-CROQUIS!$C$107)/MAX(CROQUIS!$C$134,1))+1)))-1,0))*CROQUIS!$C$134),CHOOSE(IF(INT(($A87-1)/5)&gt;MAX((MIN(80,MAX(1,INT(((CROQUIS!$C$97)-CROQUIS!$C$107)/MAX(CROQUIS!$C$134,1))+1)))-1,0),0,MOD($A87-1,5))+1,0,2,CROQUIS!$C$98-2,2,0)))*CROQUIS!$C$155)+IF(CROQUIS!$C$92="X",0,0)),-1000)</f>
        <v>-1000</v>
      </c>
      <c r="BK87">
        <f>IF(AND(CROQUIS!$C$88=1,CROQUIS!$C$134&gt;0),((CROQUIS!$C$157+(IF(CROQUIS!$C$92="X",CHOOSE(IF(INT(($A87-1)/5)&gt;MAX((MIN(80,MAX(1,INT(((CROQUIS!$C$97)-CROQUIS!$C$107)/MAX(CROQUIS!$C$134,1))+1)))-1,0),0,MOD($A87-1,5))+1,0,2,CROQUIS!$C$98-2,2,0),((CROQUIS!$C$107/2+(((CROQUIS!$C$97)-CROQUIS!$C$107)-(MIN(80,MAX(1,INT(((CROQUIS!$C$97)-CROQUIS!$C$107)/MAX(CROQUIS!$C$134,1))+1))-1)*CROQUIS!$C$134)/2)+MIN(INT(($A87-1)/5),MAX((MIN(80,MAX(1,INT(((CROQUIS!$C$97)-CROQUIS!$C$107)/MAX(CROQUIS!$C$134,1))+1)))-1,0))*CROQUIS!$C$134)))*CROQUIS!$C$155)+IF(CROQUIS!$C$92="X",0,0)),-1000)</f>
        <v>-1000</v>
      </c>
      <c r="BL87">
        <f>IF(AND(CROQUIS!$C$88=1,CROQUIS!$C$91=0,CROQUIS!$C$130&gt;0,OR(CROQUIS!$C$103=1,CROQUIS!$C$142=1)),((CROQUIS!$C$156+(IF(CROQUIS!$C$92="X",CHOOSE(IF(INT(($A87-1)/5)&gt;MAX((MIN(80,MAX(1,INT(((CROQUIS!$C$98)-CROQUIS!$C$107)/MAX(CROQUIS!$C$130,1))+1)))-1,0),0,MOD($A87-1,5))+1,0,IF(CROQUIS!$C$103=1,-12,2),CROQUIS!$C$107/2+CROQUIS!$C$140,IF(CROQUIS!$C$103=1,-12,2),0),((CROQUIS!$C$107/2+(((CROQUIS!$C$98)-CROQUIS!$C$107)-(MIN(80,MAX(1,INT(((CROQUIS!$C$98)-CROQUIS!$C$107)/MAX(CROQUIS!$C$130,1))+1))-1)*CROQUIS!$C$130)/2)+MIN(INT(($A87-1)/5),MAX((MIN(80,MAX(1,INT(((CROQUIS!$C$98)-CROQUIS!$C$107)/MAX(CROQUIS!$C$130,1))+1)))-1,0))*CROQUIS!$C$130)))*CROQUIS!$C$155)+IF(CROQUIS!$C$92="X",0,0)),-1000)</f>
        <v>-1000</v>
      </c>
      <c r="BM8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87-1)/5),MAX((MIN(80,MAX(1,INT(((CROQUIS!$C$98)-CROQUIS!$C$107)/MAX(CROQUIS!$C$130,1))+1)))-1,0))*CROQUIS!$C$130),CHOOSE(IF(INT(($A87-1)/5)&gt;MAX((MIN(80,MAX(1,INT(((CROQUIS!$C$98)-CROQUIS!$C$107)/MAX(CROQUIS!$C$130,1))+1)))-1,0),0,MOD($A87-1,5))+1,0,IF(CROQUIS!$C$103=1,-12,2),CROQUIS!$C$107/2+CROQUIS!$C$140,IF(CROQUIS!$C$103=1,-12,2),0)))*CROQUIS!$C$155)+IF(CROQUIS!$C$92="X",0,0)),-1000)</f>
        <v>-1000</v>
      </c>
      <c r="BN87">
        <f>IF(AND(CROQUIS!$C$88=1,CROQUIS!$C$91=0,CROQUIS!$C$130&gt;0,OR(CROQUIS!$C$104=1,CROQUIS!$C$142=1)),((CROQUIS!$C$156+(IF(CROQUIS!$C$92="X",CHOOSE(IF(INT(($A87-1)/5)&gt;MAX((MIN(80,MAX(1,INT(((CROQUIS!$C$98)-CROQUIS!$C$107)/MAX(CROQUIS!$C$130,1))+1)))-1,0),0,MOD($A87-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87-1)/5),MAX((MIN(80,MAX(1,INT(((CROQUIS!$C$98)-CROQUIS!$C$107)/MAX(CROQUIS!$C$130,1))+1)))-1,0))*CROQUIS!$C$130)))*CROQUIS!$C$155)+IF(CROQUIS!$C$92="X",0,0)),-1000)</f>
        <v>-1000</v>
      </c>
      <c r="BO8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87-1)/5),MAX((MIN(80,MAX(1,INT(((CROQUIS!$C$98)-CROQUIS!$C$107)/MAX(CROQUIS!$C$130,1))+1)))-1,0))*CROQUIS!$C$130),CHOOSE(IF(INT(($A87-1)/5)&gt;MAX((MIN(80,MAX(1,INT(((CROQUIS!$C$98)-CROQUIS!$C$107)/MAX(CROQUIS!$C$130,1))+1)))-1,0),0,MOD($A87-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8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87-1)/5),MAX((MIN(80,MAX(1,INT(((CROQUIS!$C$97)-CROQUIS!$C$107)/MAX(CROQUIS!$C$138,1))+1)))-1,0))*CROQUIS!$C$138),CHOOSE(IF(INT(($A87-1)/5)&gt;MAX((MIN(80,MAX(1,INT(((CROQUIS!$C$97)-CROQUIS!$C$107)/MAX(CROQUIS!$C$138,1))+1)))-1,0),0,MOD($A87-1,5))+1,0,IF(CROQUIS!$C$105=1,-12,2),CROQUIS!$C$107/2+CROQUIS!$C$141,IF(CROQUIS!$C$105=1,-12,2),0)))*CROQUIS!$C$155)+IF(CROQUIS!$C$92="X",0,0)),-1000)</f>
        <v>-1000</v>
      </c>
      <c r="BQ87">
        <f>IF(AND(CROQUIS!$C$88=1,CROQUIS!$C$91=0,CROQUIS!$C$138&gt;0,OR(CROQUIS!$C$105=1,CROQUIS!$C$143=1)),((CROQUIS!$C$157+(IF(CROQUIS!$C$92="X",CHOOSE(IF(INT(($A87-1)/5)&gt;MAX((MIN(80,MAX(1,INT(((CROQUIS!$C$97)-CROQUIS!$C$107)/MAX(CROQUIS!$C$138,1))+1)))-1,0),0,MOD($A87-1,5))+1,0,IF(CROQUIS!$C$105=1,-12,2),CROQUIS!$C$107/2+CROQUIS!$C$141,IF(CROQUIS!$C$105=1,-12,2),0),((CROQUIS!$C$107/2+(((CROQUIS!$C$97)-CROQUIS!$C$107)-(MIN(80,MAX(1,INT(((CROQUIS!$C$97)-CROQUIS!$C$107)/MAX(CROQUIS!$C$138,1))+1))-1)*CROQUIS!$C$138)/2)+MIN(INT(($A87-1)/5),MAX((MIN(80,MAX(1,INT(((CROQUIS!$C$97)-CROQUIS!$C$107)/MAX(CROQUIS!$C$138,1))+1)))-1,0))*CROQUIS!$C$138)))*CROQUIS!$C$155)+IF(CROQUIS!$C$92="X",0,0)),-1000)</f>
        <v>-1000</v>
      </c>
      <c r="BR8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87-1)/5),MAX((MIN(80,MAX(1,INT(((CROQUIS!$C$97)-CROQUIS!$C$107)/MAX(CROQUIS!$C$138,1))+1)))-1,0))*CROQUIS!$C$138),CHOOSE(IF(INT(($A87-1)/5)&gt;MAX((MIN(80,MAX(1,INT(((CROQUIS!$C$97)-CROQUIS!$C$107)/MAX(CROQUIS!$C$138,1))+1)))-1,0),0,MOD($A87-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87">
        <f>IF(AND(CROQUIS!$C$88=1,CROQUIS!$C$91=0,CROQUIS!$C$138&gt;0,OR(CROQUIS!$C$106=1,CROQUIS!$C$143=1)),((CROQUIS!$C$157+(IF(CROQUIS!$C$92="X",CHOOSE(IF(INT(($A87-1)/5)&gt;MAX((MIN(80,MAX(1,INT(((CROQUIS!$C$97)-CROQUIS!$C$107)/MAX(CROQUIS!$C$138,1))+1)))-1,0),0,MOD($A87-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87-1)/5),MAX((MIN(80,MAX(1,INT(((CROQUIS!$C$97)-CROQUIS!$C$107)/MAX(CROQUIS!$C$138,1))+1)))-1,0))*CROQUIS!$C$138)))*CROQUIS!$C$155)+IF(CROQUIS!$C$92="X",0,0)),-1000)</f>
        <v>-1000</v>
      </c>
      <c r="BT87">
        <f>IF(AND(CROQUIS!$C$88=1,CROQUIS!$C$91=1,CROQUIS!$C$130&gt;0),((CROQUIS!$C$156+(IF(CROQUIS!$C$92="X",CHOOSE(IF(INT(($A87-1)/5)&gt;MAX((MIN(80,MAX(1,INT(((CROQUIS!$C$98)-CROQUIS!$C$107)/MAX(CROQUIS!$C$130,1))+1)))-1,0),0,MOD($A87-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87-1)/5),MAX((MIN(80,MAX(1,INT(((CROQUIS!$C$98)-CROQUIS!$C$107)/MAX(CROQUIS!$C$130,1))+1)))-1,0))*CROQUIS!$C$130)))*CROQUIS!$C$155)+IF(CROQUIS!$C$92="X",0,0)),-1000)</f>
        <v>-1000</v>
      </c>
      <c r="BU87">
        <f>IF(AND(CROQUIS!$C$88=1,CROQUIS!$C$91=1,CROQUIS!$C$130&gt;0),((CROQUIS!$C$157+(IF(CROQUIS!$C$92="X",((CROQUIS!$C$107/2+(((CROQUIS!$C$98)-CROQUIS!$C$107)-(MIN(80,MAX(1,INT(((CROQUIS!$C$98)-CROQUIS!$C$107)/MAX(CROQUIS!$C$130,1))+1))-1)*CROQUIS!$C$130)/2)+MIN(INT(($A87-1)/5),MAX((MIN(80,MAX(1,INT(((CROQUIS!$C$98)-CROQUIS!$C$107)/MAX(CROQUIS!$C$130,1))+1)))-1,0))*CROQUIS!$C$130),CHOOSE(IF(INT(($A87-1)/5)&gt;MAX((MIN(80,MAX(1,INT(((CROQUIS!$C$98)-CROQUIS!$C$107)/MAX(CROQUIS!$C$130,1))+1)))-1,0),0,MOD($A87-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88">
      <c r="A88" t="n">
        <v>81</v>
      </c>
      <c r="AF88">
        <f>IF(AND(CROQUIS!$C$87=1,CROQUIS!$C$158&gt;0,CROQUIS!$C$160&gt;0),(CROQUIS!$C$156+((CROQUIS!$C$159+INT(MIN(INT(($A88-1)/2),MAX((2*CROQUIS!$C$158)-1,0))/2)*CROQUIS!$C$113+MOD(MIN(INT(($A88-1)/2),MAX((2*CROQUIS!$C$158)-1,0)),2)*CROQUIS!$C$112))*CROQUIS!$C$155),-1000)</f>
        <v>85.2010845006778</v>
      </c>
      <c r="AG88">
        <f>IF(AND(CROQUIS!$C$87=1,CROQUIS!$C$158&gt;0,CROQUIS!$C$160&gt;0),(CROQUIS!$C$157+(IF(MOD(MIN(INT(($A88-1)/2),MAX((2*CROQUIS!$C$158)-1,0)),2)=0,IF(IF(INT(($A88-1)/2)&gt;MAX((2*CROQUIS!$C$158)-1,0),1,MOD($A88-1,2))=0,CROQUIS!$C$161,(CROQUIS!$C$161+CROQUIS!$C$160*CROQUIS!$C$113-CROQUIS!$C$111)),IF(IF(INT(($A88-1)/2)&gt;MAX((2*CROQUIS!$C$158)-1,0),1,MOD($A88-1,2))=0,(CROQUIS!$C$161+CROQUIS!$C$160*CROQUIS!$C$113-CROQUIS!$C$111),CROQUIS!$C$161)))*CROQUIS!$C$155),-1000)</f>
        <v>20.8088567555355</v>
      </c>
      <c r="AH88">
        <f>IF(AND(CROQUIS!$C$87=1,CROQUIS!$C$160&gt;0,CROQUIS!$C$158&gt;0),(CROQUIS!$C$156+(IF(MOD(MIN(INT(($A88-1)/2),MAX((2*CROQUIS!$C$160)-1,0)),2)=0,IF(IF(INT(($A88-1)/2)&gt;MAX((2*CROQUIS!$C$160)-1,0),1,MOD($A88-1,2))=0,CROQUIS!$C$159,(CROQUIS!$C$159+CROQUIS!$C$158*CROQUIS!$C$113-CROQUIS!$C$111)),IF(IF(INT(($A88-1)/2)&gt;MAX((2*CROQUIS!$C$160)-1,0),1,MOD($A88-1,2))=0,(CROQUIS!$C$159+CROQUIS!$C$158*CROQUIS!$C$113-CROQUIS!$C$111),CROQUIS!$C$159)))*CROQUIS!$C$155),-1000)</f>
        <v>14.7989154993222</v>
      </c>
      <c r="AI88">
        <f>IF(AND(CROQUIS!$C$87=1,CROQUIS!$C$160&gt;0,CROQUIS!$C$158&gt;0),(CROQUIS!$C$157+((CROQUIS!$C$161+INT(MIN(INT(($A88-1)/2),MAX((2*CROQUIS!$C$160)-1,0))/2)*CROQUIS!$C$113+MOD(MIN(INT(($A88-1)/2),MAX((2*CROQUIS!$C$160)-1,0)),2)*CROQUIS!$C$112))*CROQUIS!$C$155),-1000)</f>
        <v>79.1911432444645</v>
      </c>
      <c r="BH88">
        <f>IF(AND(CROQUIS!$C$88=1,CROQUIS!$C$126&gt;0),((CROQUIS!$C$156+(IF(CROQUIS!$C$92="X",CHOOSE(IF(INT(($A88-1)/5)&gt;MAX((MIN(80,MAX(1,INT(((CROQUIS!$C$98)-CROQUIS!$C$107)/MAX(CROQUIS!$C$126,1))+1)))-1,0),0,MOD($A88-1,5))+1,0,2,CROQUIS!$C$97-2,2,0),((CROQUIS!$C$107/2+(((CROQUIS!$C$98)-CROQUIS!$C$107)-(MIN(80,MAX(1,INT(((CROQUIS!$C$98)-CROQUIS!$C$107)/MAX(CROQUIS!$C$126,1))+1))-1)*CROQUIS!$C$126)/2)+MIN(INT(($A88-1)/5),MAX((MIN(80,MAX(1,INT(((CROQUIS!$C$98)-CROQUIS!$C$107)/MAX(CROQUIS!$C$126,1))+1)))-1,0))*CROQUIS!$C$126)))*CROQUIS!$C$155)+IF(CROQUIS!$C$92="X",0,0)),-1000)</f>
        <v>-1000</v>
      </c>
      <c r="BI88">
        <f>IF(AND(CROQUIS!$C$88=1,CROQUIS!$C$126&gt;0),((CROQUIS!$C$157+(IF(CROQUIS!$C$92="X",((CROQUIS!$C$107/2+(((CROQUIS!$C$98)-CROQUIS!$C$107)-(MIN(80,MAX(1,INT(((CROQUIS!$C$98)-CROQUIS!$C$107)/MAX(CROQUIS!$C$126,1))+1))-1)*CROQUIS!$C$126)/2)+MIN(INT(($A88-1)/5),MAX((MIN(80,MAX(1,INT(((CROQUIS!$C$98)-CROQUIS!$C$107)/MAX(CROQUIS!$C$126,1))+1)))-1,0))*CROQUIS!$C$126),CHOOSE(IF(INT(($A88-1)/5)&gt;MAX((MIN(80,MAX(1,INT(((CROQUIS!$C$98)-CROQUIS!$C$107)/MAX(CROQUIS!$C$126,1))+1)))-1,0),0,MOD($A88-1,5))+1,0,2,CROQUIS!$C$97-2,2,0)))*CROQUIS!$C$155)+IF(CROQUIS!$C$92="X",0,0)),-1000)</f>
        <v>-1000</v>
      </c>
      <c r="BJ88">
        <f>IF(AND(CROQUIS!$C$88=1,CROQUIS!$C$134&gt;0),((CROQUIS!$C$156+(IF(CROQUIS!$C$92="X",((CROQUIS!$C$107/2+(((CROQUIS!$C$97)-CROQUIS!$C$107)-(MIN(80,MAX(1,INT(((CROQUIS!$C$97)-CROQUIS!$C$107)/MAX(CROQUIS!$C$134,1))+1))-1)*CROQUIS!$C$134)/2)+MIN(INT(($A88-1)/5),MAX((MIN(80,MAX(1,INT(((CROQUIS!$C$97)-CROQUIS!$C$107)/MAX(CROQUIS!$C$134,1))+1)))-1,0))*CROQUIS!$C$134),CHOOSE(IF(INT(($A88-1)/5)&gt;MAX((MIN(80,MAX(1,INT(((CROQUIS!$C$97)-CROQUIS!$C$107)/MAX(CROQUIS!$C$134,1))+1)))-1,0),0,MOD($A88-1,5))+1,0,2,CROQUIS!$C$98-2,2,0)))*CROQUIS!$C$155)+IF(CROQUIS!$C$92="X",0,0)),-1000)</f>
        <v>-1000</v>
      </c>
      <c r="BK88">
        <f>IF(AND(CROQUIS!$C$88=1,CROQUIS!$C$134&gt;0),((CROQUIS!$C$157+(IF(CROQUIS!$C$92="X",CHOOSE(IF(INT(($A88-1)/5)&gt;MAX((MIN(80,MAX(1,INT(((CROQUIS!$C$97)-CROQUIS!$C$107)/MAX(CROQUIS!$C$134,1))+1)))-1,0),0,MOD($A88-1,5))+1,0,2,CROQUIS!$C$98-2,2,0),((CROQUIS!$C$107/2+(((CROQUIS!$C$97)-CROQUIS!$C$107)-(MIN(80,MAX(1,INT(((CROQUIS!$C$97)-CROQUIS!$C$107)/MAX(CROQUIS!$C$134,1))+1))-1)*CROQUIS!$C$134)/2)+MIN(INT(($A88-1)/5),MAX((MIN(80,MAX(1,INT(((CROQUIS!$C$97)-CROQUIS!$C$107)/MAX(CROQUIS!$C$134,1))+1)))-1,0))*CROQUIS!$C$134)))*CROQUIS!$C$155)+IF(CROQUIS!$C$92="X",0,0)),-1000)</f>
        <v>-1000</v>
      </c>
      <c r="BL88">
        <f>IF(AND(CROQUIS!$C$88=1,CROQUIS!$C$91=0,CROQUIS!$C$130&gt;0,OR(CROQUIS!$C$103=1,CROQUIS!$C$142=1)),((CROQUIS!$C$156+(IF(CROQUIS!$C$92="X",CHOOSE(IF(INT(($A88-1)/5)&gt;MAX((MIN(80,MAX(1,INT(((CROQUIS!$C$98)-CROQUIS!$C$107)/MAX(CROQUIS!$C$130,1))+1)))-1,0),0,MOD($A88-1,5))+1,0,IF(CROQUIS!$C$103=1,-12,2),CROQUIS!$C$107/2+CROQUIS!$C$140,IF(CROQUIS!$C$103=1,-12,2),0),((CROQUIS!$C$107/2+(((CROQUIS!$C$98)-CROQUIS!$C$107)-(MIN(80,MAX(1,INT(((CROQUIS!$C$98)-CROQUIS!$C$107)/MAX(CROQUIS!$C$130,1))+1))-1)*CROQUIS!$C$130)/2)+MIN(INT(($A88-1)/5),MAX((MIN(80,MAX(1,INT(((CROQUIS!$C$98)-CROQUIS!$C$107)/MAX(CROQUIS!$C$130,1))+1)))-1,0))*CROQUIS!$C$130)))*CROQUIS!$C$155)+IF(CROQUIS!$C$92="X",0,0)),-1000)</f>
        <v>-1000</v>
      </c>
      <c r="BM8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88-1)/5),MAX((MIN(80,MAX(1,INT(((CROQUIS!$C$98)-CROQUIS!$C$107)/MAX(CROQUIS!$C$130,1))+1)))-1,0))*CROQUIS!$C$130),CHOOSE(IF(INT(($A88-1)/5)&gt;MAX((MIN(80,MAX(1,INT(((CROQUIS!$C$98)-CROQUIS!$C$107)/MAX(CROQUIS!$C$130,1))+1)))-1,0),0,MOD($A88-1,5))+1,0,IF(CROQUIS!$C$103=1,-12,2),CROQUIS!$C$107/2+CROQUIS!$C$140,IF(CROQUIS!$C$103=1,-12,2),0)))*CROQUIS!$C$155)+IF(CROQUIS!$C$92="X",0,0)),-1000)</f>
        <v>-1000</v>
      </c>
      <c r="BN88">
        <f>IF(AND(CROQUIS!$C$88=1,CROQUIS!$C$91=0,CROQUIS!$C$130&gt;0,OR(CROQUIS!$C$104=1,CROQUIS!$C$142=1)),((CROQUIS!$C$156+(IF(CROQUIS!$C$92="X",CHOOSE(IF(INT(($A88-1)/5)&gt;MAX((MIN(80,MAX(1,INT(((CROQUIS!$C$98)-CROQUIS!$C$107)/MAX(CROQUIS!$C$130,1))+1)))-1,0),0,MOD($A88-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88-1)/5),MAX((MIN(80,MAX(1,INT(((CROQUIS!$C$98)-CROQUIS!$C$107)/MAX(CROQUIS!$C$130,1))+1)))-1,0))*CROQUIS!$C$130)))*CROQUIS!$C$155)+IF(CROQUIS!$C$92="X",0,0)),-1000)</f>
        <v>-1000</v>
      </c>
      <c r="BO8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88-1)/5),MAX((MIN(80,MAX(1,INT(((CROQUIS!$C$98)-CROQUIS!$C$107)/MAX(CROQUIS!$C$130,1))+1)))-1,0))*CROQUIS!$C$130),CHOOSE(IF(INT(($A88-1)/5)&gt;MAX((MIN(80,MAX(1,INT(((CROQUIS!$C$98)-CROQUIS!$C$107)/MAX(CROQUIS!$C$130,1))+1)))-1,0),0,MOD($A88-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8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88-1)/5),MAX((MIN(80,MAX(1,INT(((CROQUIS!$C$97)-CROQUIS!$C$107)/MAX(CROQUIS!$C$138,1))+1)))-1,0))*CROQUIS!$C$138),CHOOSE(IF(INT(($A88-1)/5)&gt;MAX((MIN(80,MAX(1,INT(((CROQUIS!$C$97)-CROQUIS!$C$107)/MAX(CROQUIS!$C$138,1))+1)))-1,0),0,MOD($A88-1,5))+1,0,IF(CROQUIS!$C$105=1,-12,2),CROQUIS!$C$107/2+CROQUIS!$C$141,IF(CROQUIS!$C$105=1,-12,2),0)))*CROQUIS!$C$155)+IF(CROQUIS!$C$92="X",0,0)),-1000)</f>
        <v>-1000</v>
      </c>
      <c r="BQ88">
        <f>IF(AND(CROQUIS!$C$88=1,CROQUIS!$C$91=0,CROQUIS!$C$138&gt;0,OR(CROQUIS!$C$105=1,CROQUIS!$C$143=1)),((CROQUIS!$C$157+(IF(CROQUIS!$C$92="X",CHOOSE(IF(INT(($A88-1)/5)&gt;MAX((MIN(80,MAX(1,INT(((CROQUIS!$C$97)-CROQUIS!$C$107)/MAX(CROQUIS!$C$138,1))+1)))-1,0),0,MOD($A88-1,5))+1,0,IF(CROQUIS!$C$105=1,-12,2),CROQUIS!$C$107/2+CROQUIS!$C$141,IF(CROQUIS!$C$105=1,-12,2),0),((CROQUIS!$C$107/2+(((CROQUIS!$C$97)-CROQUIS!$C$107)-(MIN(80,MAX(1,INT(((CROQUIS!$C$97)-CROQUIS!$C$107)/MAX(CROQUIS!$C$138,1))+1))-1)*CROQUIS!$C$138)/2)+MIN(INT(($A88-1)/5),MAX((MIN(80,MAX(1,INT(((CROQUIS!$C$97)-CROQUIS!$C$107)/MAX(CROQUIS!$C$138,1))+1)))-1,0))*CROQUIS!$C$138)))*CROQUIS!$C$155)+IF(CROQUIS!$C$92="X",0,0)),-1000)</f>
        <v>-1000</v>
      </c>
      <c r="BR8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88-1)/5),MAX((MIN(80,MAX(1,INT(((CROQUIS!$C$97)-CROQUIS!$C$107)/MAX(CROQUIS!$C$138,1))+1)))-1,0))*CROQUIS!$C$138),CHOOSE(IF(INT(($A88-1)/5)&gt;MAX((MIN(80,MAX(1,INT(((CROQUIS!$C$97)-CROQUIS!$C$107)/MAX(CROQUIS!$C$138,1))+1)))-1,0),0,MOD($A88-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88">
        <f>IF(AND(CROQUIS!$C$88=1,CROQUIS!$C$91=0,CROQUIS!$C$138&gt;0,OR(CROQUIS!$C$106=1,CROQUIS!$C$143=1)),((CROQUIS!$C$157+(IF(CROQUIS!$C$92="X",CHOOSE(IF(INT(($A88-1)/5)&gt;MAX((MIN(80,MAX(1,INT(((CROQUIS!$C$97)-CROQUIS!$C$107)/MAX(CROQUIS!$C$138,1))+1)))-1,0),0,MOD($A88-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88-1)/5),MAX((MIN(80,MAX(1,INT(((CROQUIS!$C$97)-CROQUIS!$C$107)/MAX(CROQUIS!$C$138,1))+1)))-1,0))*CROQUIS!$C$138)))*CROQUIS!$C$155)+IF(CROQUIS!$C$92="X",0,0)),-1000)</f>
        <v>-1000</v>
      </c>
      <c r="BT88">
        <f>IF(AND(CROQUIS!$C$88=1,CROQUIS!$C$91=1,CROQUIS!$C$130&gt;0),((CROQUIS!$C$156+(IF(CROQUIS!$C$92="X",CHOOSE(IF(INT(($A88-1)/5)&gt;MAX((MIN(80,MAX(1,INT(((CROQUIS!$C$98)-CROQUIS!$C$107)/MAX(CROQUIS!$C$130,1))+1)))-1,0),0,MOD($A88-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88-1)/5),MAX((MIN(80,MAX(1,INT(((CROQUIS!$C$98)-CROQUIS!$C$107)/MAX(CROQUIS!$C$130,1))+1)))-1,0))*CROQUIS!$C$130)))*CROQUIS!$C$155)+IF(CROQUIS!$C$92="X",0,0)),-1000)</f>
        <v>-1000</v>
      </c>
      <c r="BU88">
        <f>IF(AND(CROQUIS!$C$88=1,CROQUIS!$C$91=1,CROQUIS!$C$130&gt;0),((CROQUIS!$C$157+(IF(CROQUIS!$C$92="X",((CROQUIS!$C$107/2+(((CROQUIS!$C$98)-CROQUIS!$C$107)-(MIN(80,MAX(1,INT(((CROQUIS!$C$98)-CROQUIS!$C$107)/MAX(CROQUIS!$C$130,1))+1))-1)*CROQUIS!$C$130)/2)+MIN(INT(($A88-1)/5),MAX((MIN(80,MAX(1,INT(((CROQUIS!$C$98)-CROQUIS!$C$107)/MAX(CROQUIS!$C$130,1))+1)))-1,0))*CROQUIS!$C$130),CHOOSE(IF(INT(($A88-1)/5)&gt;MAX((MIN(80,MAX(1,INT(((CROQUIS!$C$98)-CROQUIS!$C$107)/MAX(CROQUIS!$C$130,1))+1)))-1,0),0,MOD($A88-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89">
      <c r="A89" t="n">
        <v>82</v>
      </c>
      <c r="AF89">
        <f>IF(AND(CROQUIS!$C$87=1,CROQUIS!$C$158&gt;0,CROQUIS!$C$160&gt;0),(CROQUIS!$C$156+((CROQUIS!$C$159+INT(MIN(INT(($A89-1)/2),MAX((2*CROQUIS!$C$158)-1,0))/2)*CROQUIS!$C$113+MOD(MIN(INT(($A89-1)/2),MAX((2*CROQUIS!$C$158)-1,0)),2)*CROQUIS!$C$112))*CROQUIS!$C$155),-1000)</f>
        <v>85.2010845006778</v>
      </c>
      <c r="AG89">
        <f>IF(AND(CROQUIS!$C$87=1,CROQUIS!$C$158&gt;0,CROQUIS!$C$160&gt;0),(CROQUIS!$C$157+(IF(MOD(MIN(INT(($A89-1)/2),MAX((2*CROQUIS!$C$158)-1,0)),2)=0,IF(IF(INT(($A89-1)/2)&gt;MAX((2*CROQUIS!$C$158)-1,0),1,MOD($A89-1,2))=0,CROQUIS!$C$161,(CROQUIS!$C$161+CROQUIS!$C$160*CROQUIS!$C$113-CROQUIS!$C$111)),IF(IF(INT(($A89-1)/2)&gt;MAX((2*CROQUIS!$C$158)-1,0),1,MOD($A89-1,2))=0,(CROQUIS!$C$161+CROQUIS!$C$160*CROQUIS!$C$113-CROQUIS!$C$111),CROQUIS!$C$161)))*CROQUIS!$C$155),-1000)</f>
        <v>20.8088567555355</v>
      </c>
      <c r="AH89">
        <f>IF(AND(CROQUIS!$C$87=1,CROQUIS!$C$160&gt;0,CROQUIS!$C$158&gt;0),(CROQUIS!$C$156+(IF(MOD(MIN(INT(($A89-1)/2),MAX((2*CROQUIS!$C$160)-1,0)),2)=0,IF(IF(INT(($A89-1)/2)&gt;MAX((2*CROQUIS!$C$160)-1,0),1,MOD($A89-1,2))=0,CROQUIS!$C$159,(CROQUIS!$C$159+CROQUIS!$C$158*CROQUIS!$C$113-CROQUIS!$C$111)),IF(IF(INT(($A89-1)/2)&gt;MAX((2*CROQUIS!$C$160)-1,0),1,MOD($A89-1,2))=0,(CROQUIS!$C$159+CROQUIS!$C$158*CROQUIS!$C$113-CROQUIS!$C$111),CROQUIS!$C$159)))*CROQUIS!$C$155),-1000)</f>
        <v>14.7989154993222</v>
      </c>
      <c r="AI89">
        <f>IF(AND(CROQUIS!$C$87=1,CROQUIS!$C$160&gt;0,CROQUIS!$C$158&gt;0),(CROQUIS!$C$157+((CROQUIS!$C$161+INT(MIN(INT(($A89-1)/2),MAX((2*CROQUIS!$C$160)-1,0))/2)*CROQUIS!$C$113+MOD(MIN(INT(($A89-1)/2),MAX((2*CROQUIS!$C$160)-1,0)),2)*CROQUIS!$C$112))*CROQUIS!$C$155),-1000)</f>
        <v>79.1911432444645</v>
      </c>
      <c r="BH89">
        <f>IF(AND(CROQUIS!$C$88=1,CROQUIS!$C$126&gt;0),((CROQUIS!$C$156+(IF(CROQUIS!$C$92="X",CHOOSE(IF(INT(($A89-1)/5)&gt;MAX((MIN(80,MAX(1,INT(((CROQUIS!$C$98)-CROQUIS!$C$107)/MAX(CROQUIS!$C$126,1))+1)))-1,0),0,MOD($A89-1,5))+1,0,2,CROQUIS!$C$97-2,2,0),((CROQUIS!$C$107/2+(((CROQUIS!$C$98)-CROQUIS!$C$107)-(MIN(80,MAX(1,INT(((CROQUIS!$C$98)-CROQUIS!$C$107)/MAX(CROQUIS!$C$126,1))+1))-1)*CROQUIS!$C$126)/2)+MIN(INT(($A89-1)/5),MAX((MIN(80,MAX(1,INT(((CROQUIS!$C$98)-CROQUIS!$C$107)/MAX(CROQUIS!$C$126,1))+1)))-1,0))*CROQUIS!$C$126)))*CROQUIS!$C$155)+IF(CROQUIS!$C$92="X",0,0)),-1000)</f>
        <v>-1000</v>
      </c>
      <c r="BI89">
        <f>IF(AND(CROQUIS!$C$88=1,CROQUIS!$C$126&gt;0),((CROQUIS!$C$157+(IF(CROQUIS!$C$92="X",((CROQUIS!$C$107/2+(((CROQUIS!$C$98)-CROQUIS!$C$107)-(MIN(80,MAX(1,INT(((CROQUIS!$C$98)-CROQUIS!$C$107)/MAX(CROQUIS!$C$126,1))+1))-1)*CROQUIS!$C$126)/2)+MIN(INT(($A89-1)/5),MAX((MIN(80,MAX(1,INT(((CROQUIS!$C$98)-CROQUIS!$C$107)/MAX(CROQUIS!$C$126,1))+1)))-1,0))*CROQUIS!$C$126),CHOOSE(IF(INT(($A89-1)/5)&gt;MAX((MIN(80,MAX(1,INT(((CROQUIS!$C$98)-CROQUIS!$C$107)/MAX(CROQUIS!$C$126,1))+1)))-1,0),0,MOD($A89-1,5))+1,0,2,CROQUIS!$C$97-2,2,0)))*CROQUIS!$C$155)+IF(CROQUIS!$C$92="X",0,0)),-1000)</f>
        <v>-1000</v>
      </c>
      <c r="BJ89">
        <f>IF(AND(CROQUIS!$C$88=1,CROQUIS!$C$134&gt;0),((CROQUIS!$C$156+(IF(CROQUIS!$C$92="X",((CROQUIS!$C$107/2+(((CROQUIS!$C$97)-CROQUIS!$C$107)-(MIN(80,MAX(1,INT(((CROQUIS!$C$97)-CROQUIS!$C$107)/MAX(CROQUIS!$C$134,1))+1))-1)*CROQUIS!$C$134)/2)+MIN(INT(($A89-1)/5),MAX((MIN(80,MAX(1,INT(((CROQUIS!$C$97)-CROQUIS!$C$107)/MAX(CROQUIS!$C$134,1))+1)))-1,0))*CROQUIS!$C$134),CHOOSE(IF(INT(($A89-1)/5)&gt;MAX((MIN(80,MAX(1,INT(((CROQUIS!$C$97)-CROQUIS!$C$107)/MAX(CROQUIS!$C$134,1))+1)))-1,0),0,MOD($A89-1,5))+1,0,2,CROQUIS!$C$98-2,2,0)))*CROQUIS!$C$155)+IF(CROQUIS!$C$92="X",0,0)),-1000)</f>
        <v>-1000</v>
      </c>
      <c r="BK89">
        <f>IF(AND(CROQUIS!$C$88=1,CROQUIS!$C$134&gt;0),((CROQUIS!$C$157+(IF(CROQUIS!$C$92="X",CHOOSE(IF(INT(($A89-1)/5)&gt;MAX((MIN(80,MAX(1,INT(((CROQUIS!$C$97)-CROQUIS!$C$107)/MAX(CROQUIS!$C$134,1))+1)))-1,0),0,MOD($A89-1,5))+1,0,2,CROQUIS!$C$98-2,2,0),((CROQUIS!$C$107/2+(((CROQUIS!$C$97)-CROQUIS!$C$107)-(MIN(80,MAX(1,INT(((CROQUIS!$C$97)-CROQUIS!$C$107)/MAX(CROQUIS!$C$134,1))+1))-1)*CROQUIS!$C$134)/2)+MIN(INT(($A89-1)/5),MAX((MIN(80,MAX(1,INT(((CROQUIS!$C$97)-CROQUIS!$C$107)/MAX(CROQUIS!$C$134,1))+1)))-1,0))*CROQUIS!$C$134)))*CROQUIS!$C$155)+IF(CROQUIS!$C$92="X",0,0)),-1000)</f>
        <v>-1000</v>
      </c>
      <c r="BL89">
        <f>IF(AND(CROQUIS!$C$88=1,CROQUIS!$C$91=0,CROQUIS!$C$130&gt;0,OR(CROQUIS!$C$103=1,CROQUIS!$C$142=1)),((CROQUIS!$C$156+(IF(CROQUIS!$C$92="X",CHOOSE(IF(INT(($A89-1)/5)&gt;MAX((MIN(80,MAX(1,INT(((CROQUIS!$C$98)-CROQUIS!$C$107)/MAX(CROQUIS!$C$130,1))+1)))-1,0),0,MOD($A89-1,5))+1,0,IF(CROQUIS!$C$103=1,-12,2),CROQUIS!$C$107/2+CROQUIS!$C$140,IF(CROQUIS!$C$103=1,-12,2),0),((CROQUIS!$C$107/2+(((CROQUIS!$C$98)-CROQUIS!$C$107)-(MIN(80,MAX(1,INT(((CROQUIS!$C$98)-CROQUIS!$C$107)/MAX(CROQUIS!$C$130,1))+1))-1)*CROQUIS!$C$130)/2)+MIN(INT(($A89-1)/5),MAX((MIN(80,MAX(1,INT(((CROQUIS!$C$98)-CROQUIS!$C$107)/MAX(CROQUIS!$C$130,1))+1)))-1,0))*CROQUIS!$C$130)))*CROQUIS!$C$155)+IF(CROQUIS!$C$92="X",0,0)),-1000)</f>
        <v>-1000</v>
      </c>
      <c r="BM8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89-1)/5),MAX((MIN(80,MAX(1,INT(((CROQUIS!$C$98)-CROQUIS!$C$107)/MAX(CROQUIS!$C$130,1))+1)))-1,0))*CROQUIS!$C$130),CHOOSE(IF(INT(($A89-1)/5)&gt;MAX((MIN(80,MAX(1,INT(((CROQUIS!$C$98)-CROQUIS!$C$107)/MAX(CROQUIS!$C$130,1))+1)))-1,0),0,MOD($A89-1,5))+1,0,IF(CROQUIS!$C$103=1,-12,2),CROQUIS!$C$107/2+CROQUIS!$C$140,IF(CROQUIS!$C$103=1,-12,2),0)))*CROQUIS!$C$155)+IF(CROQUIS!$C$92="X",0,0)),-1000)</f>
        <v>-1000</v>
      </c>
      <c r="BN89">
        <f>IF(AND(CROQUIS!$C$88=1,CROQUIS!$C$91=0,CROQUIS!$C$130&gt;0,OR(CROQUIS!$C$104=1,CROQUIS!$C$142=1)),((CROQUIS!$C$156+(IF(CROQUIS!$C$92="X",CHOOSE(IF(INT(($A89-1)/5)&gt;MAX((MIN(80,MAX(1,INT(((CROQUIS!$C$98)-CROQUIS!$C$107)/MAX(CROQUIS!$C$130,1))+1)))-1,0),0,MOD($A89-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89-1)/5),MAX((MIN(80,MAX(1,INT(((CROQUIS!$C$98)-CROQUIS!$C$107)/MAX(CROQUIS!$C$130,1))+1)))-1,0))*CROQUIS!$C$130)))*CROQUIS!$C$155)+IF(CROQUIS!$C$92="X",0,0)),-1000)</f>
        <v>-1000</v>
      </c>
      <c r="BO8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89-1)/5),MAX((MIN(80,MAX(1,INT(((CROQUIS!$C$98)-CROQUIS!$C$107)/MAX(CROQUIS!$C$130,1))+1)))-1,0))*CROQUIS!$C$130),CHOOSE(IF(INT(($A89-1)/5)&gt;MAX((MIN(80,MAX(1,INT(((CROQUIS!$C$98)-CROQUIS!$C$107)/MAX(CROQUIS!$C$130,1))+1)))-1,0),0,MOD($A89-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8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89-1)/5),MAX((MIN(80,MAX(1,INT(((CROQUIS!$C$97)-CROQUIS!$C$107)/MAX(CROQUIS!$C$138,1))+1)))-1,0))*CROQUIS!$C$138),CHOOSE(IF(INT(($A89-1)/5)&gt;MAX((MIN(80,MAX(1,INT(((CROQUIS!$C$97)-CROQUIS!$C$107)/MAX(CROQUIS!$C$138,1))+1)))-1,0),0,MOD($A89-1,5))+1,0,IF(CROQUIS!$C$105=1,-12,2),CROQUIS!$C$107/2+CROQUIS!$C$141,IF(CROQUIS!$C$105=1,-12,2),0)))*CROQUIS!$C$155)+IF(CROQUIS!$C$92="X",0,0)),-1000)</f>
        <v>-1000</v>
      </c>
      <c r="BQ89">
        <f>IF(AND(CROQUIS!$C$88=1,CROQUIS!$C$91=0,CROQUIS!$C$138&gt;0,OR(CROQUIS!$C$105=1,CROQUIS!$C$143=1)),((CROQUIS!$C$157+(IF(CROQUIS!$C$92="X",CHOOSE(IF(INT(($A89-1)/5)&gt;MAX((MIN(80,MAX(1,INT(((CROQUIS!$C$97)-CROQUIS!$C$107)/MAX(CROQUIS!$C$138,1))+1)))-1,0),0,MOD($A89-1,5))+1,0,IF(CROQUIS!$C$105=1,-12,2),CROQUIS!$C$107/2+CROQUIS!$C$141,IF(CROQUIS!$C$105=1,-12,2),0),((CROQUIS!$C$107/2+(((CROQUIS!$C$97)-CROQUIS!$C$107)-(MIN(80,MAX(1,INT(((CROQUIS!$C$97)-CROQUIS!$C$107)/MAX(CROQUIS!$C$138,1))+1))-1)*CROQUIS!$C$138)/2)+MIN(INT(($A89-1)/5),MAX((MIN(80,MAX(1,INT(((CROQUIS!$C$97)-CROQUIS!$C$107)/MAX(CROQUIS!$C$138,1))+1)))-1,0))*CROQUIS!$C$138)))*CROQUIS!$C$155)+IF(CROQUIS!$C$92="X",0,0)),-1000)</f>
        <v>-1000</v>
      </c>
      <c r="BR8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89-1)/5),MAX((MIN(80,MAX(1,INT(((CROQUIS!$C$97)-CROQUIS!$C$107)/MAX(CROQUIS!$C$138,1))+1)))-1,0))*CROQUIS!$C$138),CHOOSE(IF(INT(($A89-1)/5)&gt;MAX((MIN(80,MAX(1,INT(((CROQUIS!$C$97)-CROQUIS!$C$107)/MAX(CROQUIS!$C$138,1))+1)))-1,0),0,MOD($A89-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89">
        <f>IF(AND(CROQUIS!$C$88=1,CROQUIS!$C$91=0,CROQUIS!$C$138&gt;0,OR(CROQUIS!$C$106=1,CROQUIS!$C$143=1)),((CROQUIS!$C$157+(IF(CROQUIS!$C$92="X",CHOOSE(IF(INT(($A89-1)/5)&gt;MAX((MIN(80,MAX(1,INT(((CROQUIS!$C$97)-CROQUIS!$C$107)/MAX(CROQUIS!$C$138,1))+1)))-1,0),0,MOD($A89-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89-1)/5),MAX((MIN(80,MAX(1,INT(((CROQUIS!$C$97)-CROQUIS!$C$107)/MAX(CROQUIS!$C$138,1))+1)))-1,0))*CROQUIS!$C$138)))*CROQUIS!$C$155)+IF(CROQUIS!$C$92="X",0,0)),-1000)</f>
        <v>-1000</v>
      </c>
      <c r="BT89">
        <f>IF(AND(CROQUIS!$C$88=1,CROQUIS!$C$91=1,CROQUIS!$C$130&gt;0),((CROQUIS!$C$156+(IF(CROQUIS!$C$92="X",CHOOSE(IF(INT(($A89-1)/5)&gt;MAX((MIN(80,MAX(1,INT(((CROQUIS!$C$98)-CROQUIS!$C$107)/MAX(CROQUIS!$C$130,1))+1)))-1,0),0,MOD($A89-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89-1)/5),MAX((MIN(80,MAX(1,INT(((CROQUIS!$C$98)-CROQUIS!$C$107)/MAX(CROQUIS!$C$130,1))+1)))-1,0))*CROQUIS!$C$130)))*CROQUIS!$C$155)+IF(CROQUIS!$C$92="X",0,0)),-1000)</f>
        <v>-1000</v>
      </c>
      <c r="BU89">
        <f>IF(AND(CROQUIS!$C$88=1,CROQUIS!$C$91=1,CROQUIS!$C$130&gt;0),((CROQUIS!$C$157+(IF(CROQUIS!$C$92="X",((CROQUIS!$C$107/2+(((CROQUIS!$C$98)-CROQUIS!$C$107)-(MIN(80,MAX(1,INT(((CROQUIS!$C$98)-CROQUIS!$C$107)/MAX(CROQUIS!$C$130,1))+1))-1)*CROQUIS!$C$130)/2)+MIN(INT(($A89-1)/5),MAX((MIN(80,MAX(1,INT(((CROQUIS!$C$98)-CROQUIS!$C$107)/MAX(CROQUIS!$C$130,1))+1)))-1,0))*CROQUIS!$C$130),CHOOSE(IF(INT(($A89-1)/5)&gt;MAX((MIN(80,MAX(1,INT(((CROQUIS!$C$98)-CROQUIS!$C$107)/MAX(CROQUIS!$C$130,1))+1)))-1,0),0,MOD($A89-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90">
      <c r="A90" t="n">
        <v>83</v>
      </c>
      <c r="AF90">
        <f>IF(AND(CROQUIS!$C$87=1,CROQUIS!$C$158&gt;0,CROQUIS!$C$160&gt;0),(CROQUIS!$C$156+((CROQUIS!$C$159+INT(MIN(INT(($A90-1)/2),MAX((2*CROQUIS!$C$158)-1,0))/2)*CROQUIS!$C$113+MOD(MIN(INT(($A90-1)/2),MAX((2*CROQUIS!$C$158)-1,0)),2)*CROQUIS!$C$112))*CROQUIS!$C$155),-1000)</f>
        <v>85.2010845006778</v>
      </c>
      <c r="AG90">
        <f>IF(AND(CROQUIS!$C$87=1,CROQUIS!$C$158&gt;0,CROQUIS!$C$160&gt;0),(CROQUIS!$C$157+(IF(MOD(MIN(INT(($A90-1)/2),MAX((2*CROQUIS!$C$158)-1,0)),2)=0,IF(IF(INT(($A90-1)/2)&gt;MAX((2*CROQUIS!$C$158)-1,0),1,MOD($A90-1,2))=0,CROQUIS!$C$161,(CROQUIS!$C$161+CROQUIS!$C$160*CROQUIS!$C$113-CROQUIS!$C$111)),IF(IF(INT(($A90-1)/2)&gt;MAX((2*CROQUIS!$C$158)-1,0),1,MOD($A90-1,2))=0,(CROQUIS!$C$161+CROQUIS!$C$160*CROQUIS!$C$113-CROQUIS!$C$111),CROQUIS!$C$161)))*CROQUIS!$C$155),-1000)</f>
        <v>20.8088567555355</v>
      </c>
      <c r="AH90">
        <f>IF(AND(CROQUIS!$C$87=1,CROQUIS!$C$160&gt;0,CROQUIS!$C$158&gt;0),(CROQUIS!$C$156+(IF(MOD(MIN(INT(($A90-1)/2),MAX((2*CROQUIS!$C$160)-1,0)),2)=0,IF(IF(INT(($A90-1)/2)&gt;MAX((2*CROQUIS!$C$160)-1,0),1,MOD($A90-1,2))=0,CROQUIS!$C$159,(CROQUIS!$C$159+CROQUIS!$C$158*CROQUIS!$C$113-CROQUIS!$C$111)),IF(IF(INT(($A90-1)/2)&gt;MAX((2*CROQUIS!$C$160)-1,0),1,MOD($A90-1,2))=0,(CROQUIS!$C$159+CROQUIS!$C$158*CROQUIS!$C$113-CROQUIS!$C$111),CROQUIS!$C$159)))*CROQUIS!$C$155),-1000)</f>
        <v>14.7989154993222</v>
      </c>
      <c r="AI90">
        <f>IF(AND(CROQUIS!$C$87=1,CROQUIS!$C$160&gt;0,CROQUIS!$C$158&gt;0),(CROQUIS!$C$157+((CROQUIS!$C$161+INT(MIN(INT(($A90-1)/2),MAX((2*CROQUIS!$C$160)-1,0))/2)*CROQUIS!$C$113+MOD(MIN(INT(($A90-1)/2),MAX((2*CROQUIS!$C$160)-1,0)),2)*CROQUIS!$C$112))*CROQUIS!$C$155),-1000)</f>
        <v>79.1911432444645</v>
      </c>
      <c r="BH90">
        <f>IF(AND(CROQUIS!$C$88=1,CROQUIS!$C$126&gt;0),((CROQUIS!$C$156+(IF(CROQUIS!$C$92="X",CHOOSE(IF(INT(($A90-1)/5)&gt;MAX((MIN(80,MAX(1,INT(((CROQUIS!$C$98)-CROQUIS!$C$107)/MAX(CROQUIS!$C$126,1))+1)))-1,0),0,MOD($A90-1,5))+1,0,2,CROQUIS!$C$97-2,2,0),((CROQUIS!$C$107/2+(((CROQUIS!$C$98)-CROQUIS!$C$107)-(MIN(80,MAX(1,INT(((CROQUIS!$C$98)-CROQUIS!$C$107)/MAX(CROQUIS!$C$126,1))+1))-1)*CROQUIS!$C$126)/2)+MIN(INT(($A90-1)/5),MAX((MIN(80,MAX(1,INT(((CROQUIS!$C$98)-CROQUIS!$C$107)/MAX(CROQUIS!$C$126,1))+1)))-1,0))*CROQUIS!$C$126)))*CROQUIS!$C$155)+IF(CROQUIS!$C$92="X",0,0)),-1000)</f>
        <v>-1000</v>
      </c>
      <c r="BI90">
        <f>IF(AND(CROQUIS!$C$88=1,CROQUIS!$C$126&gt;0),((CROQUIS!$C$157+(IF(CROQUIS!$C$92="X",((CROQUIS!$C$107/2+(((CROQUIS!$C$98)-CROQUIS!$C$107)-(MIN(80,MAX(1,INT(((CROQUIS!$C$98)-CROQUIS!$C$107)/MAX(CROQUIS!$C$126,1))+1))-1)*CROQUIS!$C$126)/2)+MIN(INT(($A90-1)/5),MAX((MIN(80,MAX(1,INT(((CROQUIS!$C$98)-CROQUIS!$C$107)/MAX(CROQUIS!$C$126,1))+1)))-1,0))*CROQUIS!$C$126),CHOOSE(IF(INT(($A90-1)/5)&gt;MAX((MIN(80,MAX(1,INT(((CROQUIS!$C$98)-CROQUIS!$C$107)/MAX(CROQUIS!$C$126,1))+1)))-1,0),0,MOD($A90-1,5))+1,0,2,CROQUIS!$C$97-2,2,0)))*CROQUIS!$C$155)+IF(CROQUIS!$C$92="X",0,0)),-1000)</f>
        <v>-1000</v>
      </c>
      <c r="BJ90">
        <f>IF(AND(CROQUIS!$C$88=1,CROQUIS!$C$134&gt;0),((CROQUIS!$C$156+(IF(CROQUIS!$C$92="X",((CROQUIS!$C$107/2+(((CROQUIS!$C$97)-CROQUIS!$C$107)-(MIN(80,MAX(1,INT(((CROQUIS!$C$97)-CROQUIS!$C$107)/MAX(CROQUIS!$C$134,1))+1))-1)*CROQUIS!$C$134)/2)+MIN(INT(($A90-1)/5),MAX((MIN(80,MAX(1,INT(((CROQUIS!$C$97)-CROQUIS!$C$107)/MAX(CROQUIS!$C$134,1))+1)))-1,0))*CROQUIS!$C$134),CHOOSE(IF(INT(($A90-1)/5)&gt;MAX((MIN(80,MAX(1,INT(((CROQUIS!$C$97)-CROQUIS!$C$107)/MAX(CROQUIS!$C$134,1))+1)))-1,0),0,MOD($A90-1,5))+1,0,2,CROQUIS!$C$98-2,2,0)))*CROQUIS!$C$155)+IF(CROQUIS!$C$92="X",0,0)),-1000)</f>
        <v>-1000</v>
      </c>
      <c r="BK90">
        <f>IF(AND(CROQUIS!$C$88=1,CROQUIS!$C$134&gt;0),((CROQUIS!$C$157+(IF(CROQUIS!$C$92="X",CHOOSE(IF(INT(($A90-1)/5)&gt;MAX((MIN(80,MAX(1,INT(((CROQUIS!$C$97)-CROQUIS!$C$107)/MAX(CROQUIS!$C$134,1))+1)))-1,0),0,MOD($A90-1,5))+1,0,2,CROQUIS!$C$98-2,2,0),((CROQUIS!$C$107/2+(((CROQUIS!$C$97)-CROQUIS!$C$107)-(MIN(80,MAX(1,INT(((CROQUIS!$C$97)-CROQUIS!$C$107)/MAX(CROQUIS!$C$134,1))+1))-1)*CROQUIS!$C$134)/2)+MIN(INT(($A90-1)/5),MAX((MIN(80,MAX(1,INT(((CROQUIS!$C$97)-CROQUIS!$C$107)/MAX(CROQUIS!$C$134,1))+1)))-1,0))*CROQUIS!$C$134)))*CROQUIS!$C$155)+IF(CROQUIS!$C$92="X",0,0)),-1000)</f>
        <v>-1000</v>
      </c>
      <c r="BL90">
        <f>IF(AND(CROQUIS!$C$88=1,CROQUIS!$C$91=0,CROQUIS!$C$130&gt;0,OR(CROQUIS!$C$103=1,CROQUIS!$C$142=1)),((CROQUIS!$C$156+(IF(CROQUIS!$C$92="X",CHOOSE(IF(INT(($A90-1)/5)&gt;MAX((MIN(80,MAX(1,INT(((CROQUIS!$C$98)-CROQUIS!$C$107)/MAX(CROQUIS!$C$130,1))+1)))-1,0),0,MOD($A90-1,5))+1,0,IF(CROQUIS!$C$103=1,-12,2),CROQUIS!$C$107/2+CROQUIS!$C$140,IF(CROQUIS!$C$103=1,-12,2),0),((CROQUIS!$C$107/2+(((CROQUIS!$C$98)-CROQUIS!$C$107)-(MIN(80,MAX(1,INT(((CROQUIS!$C$98)-CROQUIS!$C$107)/MAX(CROQUIS!$C$130,1))+1))-1)*CROQUIS!$C$130)/2)+MIN(INT(($A90-1)/5),MAX((MIN(80,MAX(1,INT(((CROQUIS!$C$98)-CROQUIS!$C$107)/MAX(CROQUIS!$C$130,1))+1)))-1,0))*CROQUIS!$C$130)))*CROQUIS!$C$155)+IF(CROQUIS!$C$92="X",0,0)),-1000)</f>
        <v>-1000</v>
      </c>
      <c r="BM9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90-1)/5),MAX((MIN(80,MAX(1,INT(((CROQUIS!$C$98)-CROQUIS!$C$107)/MAX(CROQUIS!$C$130,1))+1)))-1,0))*CROQUIS!$C$130),CHOOSE(IF(INT(($A90-1)/5)&gt;MAX((MIN(80,MAX(1,INT(((CROQUIS!$C$98)-CROQUIS!$C$107)/MAX(CROQUIS!$C$130,1))+1)))-1,0),0,MOD($A90-1,5))+1,0,IF(CROQUIS!$C$103=1,-12,2),CROQUIS!$C$107/2+CROQUIS!$C$140,IF(CROQUIS!$C$103=1,-12,2),0)))*CROQUIS!$C$155)+IF(CROQUIS!$C$92="X",0,0)),-1000)</f>
        <v>-1000</v>
      </c>
      <c r="BN90">
        <f>IF(AND(CROQUIS!$C$88=1,CROQUIS!$C$91=0,CROQUIS!$C$130&gt;0,OR(CROQUIS!$C$104=1,CROQUIS!$C$142=1)),((CROQUIS!$C$156+(IF(CROQUIS!$C$92="X",CHOOSE(IF(INT(($A90-1)/5)&gt;MAX((MIN(80,MAX(1,INT(((CROQUIS!$C$98)-CROQUIS!$C$107)/MAX(CROQUIS!$C$130,1))+1)))-1,0),0,MOD($A90-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90-1)/5),MAX((MIN(80,MAX(1,INT(((CROQUIS!$C$98)-CROQUIS!$C$107)/MAX(CROQUIS!$C$130,1))+1)))-1,0))*CROQUIS!$C$130)))*CROQUIS!$C$155)+IF(CROQUIS!$C$92="X",0,0)),-1000)</f>
        <v>-1000</v>
      </c>
      <c r="BO9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90-1)/5),MAX((MIN(80,MAX(1,INT(((CROQUIS!$C$98)-CROQUIS!$C$107)/MAX(CROQUIS!$C$130,1))+1)))-1,0))*CROQUIS!$C$130),CHOOSE(IF(INT(($A90-1)/5)&gt;MAX((MIN(80,MAX(1,INT(((CROQUIS!$C$98)-CROQUIS!$C$107)/MAX(CROQUIS!$C$130,1))+1)))-1,0),0,MOD($A90-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9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90-1)/5),MAX((MIN(80,MAX(1,INT(((CROQUIS!$C$97)-CROQUIS!$C$107)/MAX(CROQUIS!$C$138,1))+1)))-1,0))*CROQUIS!$C$138),CHOOSE(IF(INT(($A90-1)/5)&gt;MAX((MIN(80,MAX(1,INT(((CROQUIS!$C$97)-CROQUIS!$C$107)/MAX(CROQUIS!$C$138,1))+1)))-1,0),0,MOD($A90-1,5))+1,0,IF(CROQUIS!$C$105=1,-12,2),CROQUIS!$C$107/2+CROQUIS!$C$141,IF(CROQUIS!$C$105=1,-12,2),0)))*CROQUIS!$C$155)+IF(CROQUIS!$C$92="X",0,0)),-1000)</f>
        <v>-1000</v>
      </c>
      <c r="BQ90">
        <f>IF(AND(CROQUIS!$C$88=1,CROQUIS!$C$91=0,CROQUIS!$C$138&gt;0,OR(CROQUIS!$C$105=1,CROQUIS!$C$143=1)),((CROQUIS!$C$157+(IF(CROQUIS!$C$92="X",CHOOSE(IF(INT(($A90-1)/5)&gt;MAX((MIN(80,MAX(1,INT(((CROQUIS!$C$97)-CROQUIS!$C$107)/MAX(CROQUIS!$C$138,1))+1)))-1,0),0,MOD($A90-1,5))+1,0,IF(CROQUIS!$C$105=1,-12,2),CROQUIS!$C$107/2+CROQUIS!$C$141,IF(CROQUIS!$C$105=1,-12,2),0),((CROQUIS!$C$107/2+(((CROQUIS!$C$97)-CROQUIS!$C$107)-(MIN(80,MAX(1,INT(((CROQUIS!$C$97)-CROQUIS!$C$107)/MAX(CROQUIS!$C$138,1))+1))-1)*CROQUIS!$C$138)/2)+MIN(INT(($A90-1)/5),MAX((MIN(80,MAX(1,INT(((CROQUIS!$C$97)-CROQUIS!$C$107)/MAX(CROQUIS!$C$138,1))+1)))-1,0))*CROQUIS!$C$138)))*CROQUIS!$C$155)+IF(CROQUIS!$C$92="X",0,0)),-1000)</f>
        <v>-1000</v>
      </c>
      <c r="BR9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90-1)/5),MAX((MIN(80,MAX(1,INT(((CROQUIS!$C$97)-CROQUIS!$C$107)/MAX(CROQUIS!$C$138,1))+1)))-1,0))*CROQUIS!$C$138),CHOOSE(IF(INT(($A90-1)/5)&gt;MAX((MIN(80,MAX(1,INT(((CROQUIS!$C$97)-CROQUIS!$C$107)/MAX(CROQUIS!$C$138,1))+1)))-1,0),0,MOD($A90-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90">
        <f>IF(AND(CROQUIS!$C$88=1,CROQUIS!$C$91=0,CROQUIS!$C$138&gt;0,OR(CROQUIS!$C$106=1,CROQUIS!$C$143=1)),((CROQUIS!$C$157+(IF(CROQUIS!$C$92="X",CHOOSE(IF(INT(($A90-1)/5)&gt;MAX((MIN(80,MAX(1,INT(((CROQUIS!$C$97)-CROQUIS!$C$107)/MAX(CROQUIS!$C$138,1))+1)))-1,0),0,MOD($A90-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90-1)/5),MAX((MIN(80,MAX(1,INT(((CROQUIS!$C$97)-CROQUIS!$C$107)/MAX(CROQUIS!$C$138,1))+1)))-1,0))*CROQUIS!$C$138)))*CROQUIS!$C$155)+IF(CROQUIS!$C$92="X",0,0)),-1000)</f>
        <v>-1000</v>
      </c>
      <c r="BT90">
        <f>IF(AND(CROQUIS!$C$88=1,CROQUIS!$C$91=1,CROQUIS!$C$130&gt;0),((CROQUIS!$C$156+(IF(CROQUIS!$C$92="X",CHOOSE(IF(INT(($A90-1)/5)&gt;MAX((MIN(80,MAX(1,INT(((CROQUIS!$C$98)-CROQUIS!$C$107)/MAX(CROQUIS!$C$130,1))+1)))-1,0),0,MOD($A90-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90-1)/5),MAX((MIN(80,MAX(1,INT(((CROQUIS!$C$98)-CROQUIS!$C$107)/MAX(CROQUIS!$C$130,1))+1)))-1,0))*CROQUIS!$C$130)))*CROQUIS!$C$155)+IF(CROQUIS!$C$92="X",0,0)),-1000)</f>
        <v>-1000</v>
      </c>
      <c r="BU90">
        <f>IF(AND(CROQUIS!$C$88=1,CROQUIS!$C$91=1,CROQUIS!$C$130&gt;0),((CROQUIS!$C$157+(IF(CROQUIS!$C$92="X",((CROQUIS!$C$107/2+(((CROQUIS!$C$98)-CROQUIS!$C$107)-(MIN(80,MAX(1,INT(((CROQUIS!$C$98)-CROQUIS!$C$107)/MAX(CROQUIS!$C$130,1))+1))-1)*CROQUIS!$C$130)/2)+MIN(INT(($A90-1)/5),MAX((MIN(80,MAX(1,INT(((CROQUIS!$C$98)-CROQUIS!$C$107)/MAX(CROQUIS!$C$130,1))+1)))-1,0))*CROQUIS!$C$130),CHOOSE(IF(INT(($A90-1)/5)&gt;MAX((MIN(80,MAX(1,INT(((CROQUIS!$C$98)-CROQUIS!$C$107)/MAX(CROQUIS!$C$130,1))+1)))-1,0),0,MOD($A90-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91">
      <c r="A91" t="n">
        <v>84</v>
      </c>
      <c r="AF91">
        <f>IF(AND(CROQUIS!$C$87=1,CROQUIS!$C$158&gt;0,CROQUIS!$C$160&gt;0),(CROQUIS!$C$156+((CROQUIS!$C$159+INT(MIN(INT(($A91-1)/2),MAX((2*CROQUIS!$C$158)-1,0))/2)*CROQUIS!$C$113+MOD(MIN(INT(($A91-1)/2),MAX((2*CROQUIS!$C$158)-1,0)),2)*CROQUIS!$C$112))*CROQUIS!$C$155),-1000)</f>
        <v>85.2010845006778</v>
      </c>
      <c r="AG91">
        <f>IF(AND(CROQUIS!$C$87=1,CROQUIS!$C$158&gt;0,CROQUIS!$C$160&gt;0),(CROQUIS!$C$157+(IF(MOD(MIN(INT(($A91-1)/2),MAX((2*CROQUIS!$C$158)-1,0)),2)=0,IF(IF(INT(($A91-1)/2)&gt;MAX((2*CROQUIS!$C$158)-1,0),1,MOD($A91-1,2))=0,CROQUIS!$C$161,(CROQUIS!$C$161+CROQUIS!$C$160*CROQUIS!$C$113-CROQUIS!$C$111)),IF(IF(INT(($A91-1)/2)&gt;MAX((2*CROQUIS!$C$158)-1,0),1,MOD($A91-1,2))=0,(CROQUIS!$C$161+CROQUIS!$C$160*CROQUIS!$C$113-CROQUIS!$C$111),CROQUIS!$C$161)))*CROQUIS!$C$155),-1000)</f>
        <v>20.8088567555355</v>
      </c>
      <c r="AH91">
        <f>IF(AND(CROQUIS!$C$87=1,CROQUIS!$C$160&gt;0,CROQUIS!$C$158&gt;0),(CROQUIS!$C$156+(IF(MOD(MIN(INT(($A91-1)/2),MAX((2*CROQUIS!$C$160)-1,0)),2)=0,IF(IF(INT(($A91-1)/2)&gt;MAX((2*CROQUIS!$C$160)-1,0),1,MOD($A91-1,2))=0,CROQUIS!$C$159,(CROQUIS!$C$159+CROQUIS!$C$158*CROQUIS!$C$113-CROQUIS!$C$111)),IF(IF(INT(($A91-1)/2)&gt;MAX((2*CROQUIS!$C$160)-1,0),1,MOD($A91-1,2))=0,(CROQUIS!$C$159+CROQUIS!$C$158*CROQUIS!$C$113-CROQUIS!$C$111),CROQUIS!$C$159)))*CROQUIS!$C$155),-1000)</f>
        <v>14.7989154993222</v>
      </c>
      <c r="AI91">
        <f>IF(AND(CROQUIS!$C$87=1,CROQUIS!$C$160&gt;0,CROQUIS!$C$158&gt;0),(CROQUIS!$C$157+((CROQUIS!$C$161+INT(MIN(INT(($A91-1)/2),MAX((2*CROQUIS!$C$160)-1,0))/2)*CROQUIS!$C$113+MOD(MIN(INT(($A91-1)/2),MAX((2*CROQUIS!$C$160)-1,0)),2)*CROQUIS!$C$112))*CROQUIS!$C$155),-1000)</f>
        <v>79.1911432444645</v>
      </c>
      <c r="BH91">
        <f>IF(AND(CROQUIS!$C$88=1,CROQUIS!$C$126&gt;0),((CROQUIS!$C$156+(IF(CROQUIS!$C$92="X",CHOOSE(IF(INT(($A91-1)/5)&gt;MAX((MIN(80,MAX(1,INT(((CROQUIS!$C$98)-CROQUIS!$C$107)/MAX(CROQUIS!$C$126,1))+1)))-1,0),0,MOD($A91-1,5))+1,0,2,CROQUIS!$C$97-2,2,0),((CROQUIS!$C$107/2+(((CROQUIS!$C$98)-CROQUIS!$C$107)-(MIN(80,MAX(1,INT(((CROQUIS!$C$98)-CROQUIS!$C$107)/MAX(CROQUIS!$C$126,1))+1))-1)*CROQUIS!$C$126)/2)+MIN(INT(($A91-1)/5),MAX((MIN(80,MAX(1,INT(((CROQUIS!$C$98)-CROQUIS!$C$107)/MAX(CROQUIS!$C$126,1))+1)))-1,0))*CROQUIS!$C$126)))*CROQUIS!$C$155)+IF(CROQUIS!$C$92="X",0,0)),-1000)</f>
        <v>-1000</v>
      </c>
      <c r="BI91">
        <f>IF(AND(CROQUIS!$C$88=1,CROQUIS!$C$126&gt;0),((CROQUIS!$C$157+(IF(CROQUIS!$C$92="X",((CROQUIS!$C$107/2+(((CROQUIS!$C$98)-CROQUIS!$C$107)-(MIN(80,MAX(1,INT(((CROQUIS!$C$98)-CROQUIS!$C$107)/MAX(CROQUIS!$C$126,1))+1))-1)*CROQUIS!$C$126)/2)+MIN(INT(($A91-1)/5),MAX((MIN(80,MAX(1,INT(((CROQUIS!$C$98)-CROQUIS!$C$107)/MAX(CROQUIS!$C$126,1))+1)))-1,0))*CROQUIS!$C$126),CHOOSE(IF(INT(($A91-1)/5)&gt;MAX((MIN(80,MAX(1,INT(((CROQUIS!$C$98)-CROQUIS!$C$107)/MAX(CROQUIS!$C$126,1))+1)))-1,0),0,MOD($A91-1,5))+1,0,2,CROQUIS!$C$97-2,2,0)))*CROQUIS!$C$155)+IF(CROQUIS!$C$92="X",0,0)),-1000)</f>
        <v>-1000</v>
      </c>
      <c r="BJ91">
        <f>IF(AND(CROQUIS!$C$88=1,CROQUIS!$C$134&gt;0),((CROQUIS!$C$156+(IF(CROQUIS!$C$92="X",((CROQUIS!$C$107/2+(((CROQUIS!$C$97)-CROQUIS!$C$107)-(MIN(80,MAX(1,INT(((CROQUIS!$C$97)-CROQUIS!$C$107)/MAX(CROQUIS!$C$134,1))+1))-1)*CROQUIS!$C$134)/2)+MIN(INT(($A91-1)/5),MAX((MIN(80,MAX(1,INT(((CROQUIS!$C$97)-CROQUIS!$C$107)/MAX(CROQUIS!$C$134,1))+1)))-1,0))*CROQUIS!$C$134),CHOOSE(IF(INT(($A91-1)/5)&gt;MAX((MIN(80,MAX(1,INT(((CROQUIS!$C$97)-CROQUIS!$C$107)/MAX(CROQUIS!$C$134,1))+1)))-1,0),0,MOD($A91-1,5))+1,0,2,CROQUIS!$C$98-2,2,0)))*CROQUIS!$C$155)+IF(CROQUIS!$C$92="X",0,0)),-1000)</f>
        <v>-1000</v>
      </c>
      <c r="BK91">
        <f>IF(AND(CROQUIS!$C$88=1,CROQUIS!$C$134&gt;0),((CROQUIS!$C$157+(IF(CROQUIS!$C$92="X",CHOOSE(IF(INT(($A91-1)/5)&gt;MAX((MIN(80,MAX(1,INT(((CROQUIS!$C$97)-CROQUIS!$C$107)/MAX(CROQUIS!$C$134,1))+1)))-1,0),0,MOD($A91-1,5))+1,0,2,CROQUIS!$C$98-2,2,0),((CROQUIS!$C$107/2+(((CROQUIS!$C$97)-CROQUIS!$C$107)-(MIN(80,MAX(1,INT(((CROQUIS!$C$97)-CROQUIS!$C$107)/MAX(CROQUIS!$C$134,1))+1))-1)*CROQUIS!$C$134)/2)+MIN(INT(($A91-1)/5),MAX((MIN(80,MAX(1,INT(((CROQUIS!$C$97)-CROQUIS!$C$107)/MAX(CROQUIS!$C$134,1))+1)))-1,0))*CROQUIS!$C$134)))*CROQUIS!$C$155)+IF(CROQUIS!$C$92="X",0,0)),-1000)</f>
        <v>-1000</v>
      </c>
      <c r="BL91">
        <f>IF(AND(CROQUIS!$C$88=1,CROQUIS!$C$91=0,CROQUIS!$C$130&gt;0,OR(CROQUIS!$C$103=1,CROQUIS!$C$142=1)),((CROQUIS!$C$156+(IF(CROQUIS!$C$92="X",CHOOSE(IF(INT(($A91-1)/5)&gt;MAX((MIN(80,MAX(1,INT(((CROQUIS!$C$98)-CROQUIS!$C$107)/MAX(CROQUIS!$C$130,1))+1)))-1,0),0,MOD($A91-1,5))+1,0,IF(CROQUIS!$C$103=1,-12,2),CROQUIS!$C$107/2+CROQUIS!$C$140,IF(CROQUIS!$C$103=1,-12,2),0),((CROQUIS!$C$107/2+(((CROQUIS!$C$98)-CROQUIS!$C$107)-(MIN(80,MAX(1,INT(((CROQUIS!$C$98)-CROQUIS!$C$107)/MAX(CROQUIS!$C$130,1))+1))-1)*CROQUIS!$C$130)/2)+MIN(INT(($A91-1)/5),MAX((MIN(80,MAX(1,INT(((CROQUIS!$C$98)-CROQUIS!$C$107)/MAX(CROQUIS!$C$130,1))+1)))-1,0))*CROQUIS!$C$130)))*CROQUIS!$C$155)+IF(CROQUIS!$C$92="X",0,0)),-1000)</f>
        <v>-1000</v>
      </c>
      <c r="BM9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91-1)/5),MAX((MIN(80,MAX(1,INT(((CROQUIS!$C$98)-CROQUIS!$C$107)/MAX(CROQUIS!$C$130,1))+1)))-1,0))*CROQUIS!$C$130),CHOOSE(IF(INT(($A91-1)/5)&gt;MAX((MIN(80,MAX(1,INT(((CROQUIS!$C$98)-CROQUIS!$C$107)/MAX(CROQUIS!$C$130,1))+1)))-1,0),0,MOD($A91-1,5))+1,0,IF(CROQUIS!$C$103=1,-12,2),CROQUIS!$C$107/2+CROQUIS!$C$140,IF(CROQUIS!$C$103=1,-12,2),0)))*CROQUIS!$C$155)+IF(CROQUIS!$C$92="X",0,0)),-1000)</f>
        <v>-1000</v>
      </c>
      <c r="BN91">
        <f>IF(AND(CROQUIS!$C$88=1,CROQUIS!$C$91=0,CROQUIS!$C$130&gt;0,OR(CROQUIS!$C$104=1,CROQUIS!$C$142=1)),((CROQUIS!$C$156+(IF(CROQUIS!$C$92="X",CHOOSE(IF(INT(($A91-1)/5)&gt;MAX((MIN(80,MAX(1,INT(((CROQUIS!$C$98)-CROQUIS!$C$107)/MAX(CROQUIS!$C$130,1))+1)))-1,0),0,MOD($A91-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91-1)/5),MAX((MIN(80,MAX(1,INT(((CROQUIS!$C$98)-CROQUIS!$C$107)/MAX(CROQUIS!$C$130,1))+1)))-1,0))*CROQUIS!$C$130)))*CROQUIS!$C$155)+IF(CROQUIS!$C$92="X",0,0)),-1000)</f>
        <v>-1000</v>
      </c>
      <c r="BO9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91-1)/5),MAX((MIN(80,MAX(1,INT(((CROQUIS!$C$98)-CROQUIS!$C$107)/MAX(CROQUIS!$C$130,1))+1)))-1,0))*CROQUIS!$C$130),CHOOSE(IF(INT(($A91-1)/5)&gt;MAX((MIN(80,MAX(1,INT(((CROQUIS!$C$98)-CROQUIS!$C$107)/MAX(CROQUIS!$C$130,1))+1)))-1,0),0,MOD($A91-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9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91-1)/5),MAX((MIN(80,MAX(1,INT(((CROQUIS!$C$97)-CROQUIS!$C$107)/MAX(CROQUIS!$C$138,1))+1)))-1,0))*CROQUIS!$C$138),CHOOSE(IF(INT(($A91-1)/5)&gt;MAX((MIN(80,MAX(1,INT(((CROQUIS!$C$97)-CROQUIS!$C$107)/MAX(CROQUIS!$C$138,1))+1)))-1,0),0,MOD($A91-1,5))+1,0,IF(CROQUIS!$C$105=1,-12,2),CROQUIS!$C$107/2+CROQUIS!$C$141,IF(CROQUIS!$C$105=1,-12,2),0)))*CROQUIS!$C$155)+IF(CROQUIS!$C$92="X",0,0)),-1000)</f>
        <v>-1000</v>
      </c>
      <c r="BQ91">
        <f>IF(AND(CROQUIS!$C$88=1,CROQUIS!$C$91=0,CROQUIS!$C$138&gt;0,OR(CROQUIS!$C$105=1,CROQUIS!$C$143=1)),((CROQUIS!$C$157+(IF(CROQUIS!$C$92="X",CHOOSE(IF(INT(($A91-1)/5)&gt;MAX((MIN(80,MAX(1,INT(((CROQUIS!$C$97)-CROQUIS!$C$107)/MAX(CROQUIS!$C$138,1))+1)))-1,0),0,MOD($A91-1,5))+1,0,IF(CROQUIS!$C$105=1,-12,2),CROQUIS!$C$107/2+CROQUIS!$C$141,IF(CROQUIS!$C$105=1,-12,2),0),((CROQUIS!$C$107/2+(((CROQUIS!$C$97)-CROQUIS!$C$107)-(MIN(80,MAX(1,INT(((CROQUIS!$C$97)-CROQUIS!$C$107)/MAX(CROQUIS!$C$138,1))+1))-1)*CROQUIS!$C$138)/2)+MIN(INT(($A91-1)/5),MAX((MIN(80,MAX(1,INT(((CROQUIS!$C$97)-CROQUIS!$C$107)/MAX(CROQUIS!$C$138,1))+1)))-1,0))*CROQUIS!$C$138)))*CROQUIS!$C$155)+IF(CROQUIS!$C$92="X",0,0)),-1000)</f>
        <v>-1000</v>
      </c>
      <c r="BR9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91-1)/5),MAX((MIN(80,MAX(1,INT(((CROQUIS!$C$97)-CROQUIS!$C$107)/MAX(CROQUIS!$C$138,1))+1)))-1,0))*CROQUIS!$C$138),CHOOSE(IF(INT(($A91-1)/5)&gt;MAX((MIN(80,MAX(1,INT(((CROQUIS!$C$97)-CROQUIS!$C$107)/MAX(CROQUIS!$C$138,1))+1)))-1,0),0,MOD($A91-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91">
        <f>IF(AND(CROQUIS!$C$88=1,CROQUIS!$C$91=0,CROQUIS!$C$138&gt;0,OR(CROQUIS!$C$106=1,CROQUIS!$C$143=1)),((CROQUIS!$C$157+(IF(CROQUIS!$C$92="X",CHOOSE(IF(INT(($A91-1)/5)&gt;MAX((MIN(80,MAX(1,INT(((CROQUIS!$C$97)-CROQUIS!$C$107)/MAX(CROQUIS!$C$138,1))+1)))-1,0),0,MOD($A91-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91-1)/5),MAX((MIN(80,MAX(1,INT(((CROQUIS!$C$97)-CROQUIS!$C$107)/MAX(CROQUIS!$C$138,1))+1)))-1,0))*CROQUIS!$C$138)))*CROQUIS!$C$155)+IF(CROQUIS!$C$92="X",0,0)),-1000)</f>
        <v>-1000</v>
      </c>
      <c r="BT91">
        <f>IF(AND(CROQUIS!$C$88=1,CROQUIS!$C$91=1,CROQUIS!$C$130&gt;0),((CROQUIS!$C$156+(IF(CROQUIS!$C$92="X",CHOOSE(IF(INT(($A91-1)/5)&gt;MAX((MIN(80,MAX(1,INT(((CROQUIS!$C$98)-CROQUIS!$C$107)/MAX(CROQUIS!$C$130,1))+1)))-1,0),0,MOD($A91-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91-1)/5),MAX((MIN(80,MAX(1,INT(((CROQUIS!$C$98)-CROQUIS!$C$107)/MAX(CROQUIS!$C$130,1))+1)))-1,0))*CROQUIS!$C$130)))*CROQUIS!$C$155)+IF(CROQUIS!$C$92="X",0,0)),-1000)</f>
        <v>-1000</v>
      </c>
      <c r="BU91">
        <f>IF(AND(CROQUIS!$C$88=1,CROQUIS!$C$91=1,CROQUIS!$C$130&gt;0),((CROQUIS!$C$157+(IF(CROQUIS!$C$92="X",((CROQUIS!$C$107/2+(((CROQUIS!$C$98)-CROQUIS!$C$107)-(MIN(80,MAX(1,INT(((CROQUIS!$C$98)-CROQUIS!$C$107)/MAX(CROQUIS!$C$130,1))+1))-1)*CROQUIS!$C$130)/2)+MIN(INT(($A91-1)/5),MAX((MIN(80,MAX(1,INT(((CROQUIS!$C$98)-CROQUIS!$C$107)/MAX(CROQUIS!$C$130,1))+1)))-1,0))*CROQUIS!$C$130),CHOOSE(IF(INT(($A91-1)/5)&gt;MAX((MIN(80,MAX(1,INT(((CROQUIS!$C$98)-CROQUIS!$C$107)/MAX(CROQUIS!$C$130,1))+1)))-1,0),0,MOD($A91-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92">
      <c r="A92" t="n">
        <v>85</v>
      </c>
      <c r="AF92">
        <f>IF(AND(CROQUIS!$C$87=1,CROQUIS!$C$158&gt;0,CROQUIS!$C$160&gt;0),(CROQUIS!$C$156+((CROQUIS!$C$159+INT(MIN(INT(($A92-1)/2),MAX((2*CROQUIS!$C$158)-1,0))/2)*CROQUIS!$C$113+MOD(MIN(INT(($A92-1)/2),MAX((2*CROQUIS!$C$158)-1,0)),2)*CROQUIS!$C$112))*CROQUIS!$C$155),-1000)</f>
        <v>85.2010845006778</v>
      </c>
      <c r="AG92">
        <f>IF(AND(CROQUIS!$C$87=1,CROQUIS!$C$158&gt;0,CROQUIS!$C$160&gt;0),(CROQUIS!$C$157+(IF(MOD(MIN(INT(($A92-1)/2),MAX((2*CROQUIS!$C$158)-1,0)),2)=0,IF(IF(INT(($A92-1)/2)&gt;MAX((2*CROQUIS!$C$158)-1,0),1,MOD($A92-1,2))=0,CROQUIS!$C$161,(CROQUIS!$C$161+CROQUIS!$C$160*CROQUIS!$C$113-CROQUIS!$C$111)),IF(IF(INT(($A92-1)/2)&gt;MAX((2*CROQUIS!$C$158)-1,0),1,MOD($A92-1,2))=0,(CROQUIS!$C$161+CROQUIS!$C$160*CROQUIS!$C$113-CROQUIS!$C$111),CROQUIS!$C$161)))*CROQUIS!$C$155),-1000)</f>
        <v>20.8088567555355</v>
      </c>
      <c r="AH92">
        <f>IF(AND(CROQUIS!$C$87=1,CROQUIS!$C$160&gt;0,CROQUIS!$C$158&gt;0),(CROQUIS!$C$156+(IF(MOD(MIN(INT(($A92-1)/2),MAX((2*CROQUIS!$C$160)-1,0)),2)=0,IF(IF(INT(($A92-1)/2)&gt;MAX((2*CROQUIS!$C$160)-1,0),1,MOD($A92-1,2))=0,CROQUIS!$C$159,(CROQUIS!$C$159+CROQUIS!$C$158*CROQUIS!$C$113-CROQUIS!$C$111)),IF(IF(INT(($A92-1)/2)&gt;MAX((2*CROQUIS!$C$160)-1,0),1,MOD($A92-1,2))=0,(CROQUIS!$C$159+CROQUIS!$C$158*CROQUIS!$C$113-CROQUIS!$C$111),CROQUIS!$C$159)))*CROQUIS!$C$155),-1000)</f>
        <v>14.7989154993222</v>
      </c>
      <c r="AI92">
        <f>IF(AND(CROQUIS!$C$87=1,CROQUIS!$C$160&gt;0,CROQUIS!$C$158&gt;0),(CROQUIS!$C$157+((CROQUIS!$C$161+INT(MIN(INT(($A92-1)/2),MAX((2*CROQUIS!$C$160)-1,0))/2)*CROQUIS!$C$113+MOD(MIN(INT(($A92-1)/2),MAX((2*CROQUIS!$C$160)-1,0)),2)*CROQUIS!$C$112))*CROQUIS!$C$155),-1000)</f>
        <v>79.1911432444645</v>
      </c>
      <c r="BH92">
        <f>IF(AND(CROQUIS!$C$88=1,CROQUIS!$C$126&gt;0),((CROQUIS!$C$156+(IF(CROQUIS!$C$92="X",CHOOSE(IF(INT(($A92-1)/5)&gt;MAX((MIN(80,MAX(1,INT(((CROQUIS!$C$98)-CROQUIS!$C$107)/MAX(CROQUIS!$C$126,1))+1)))-1,0),0,MOD($A92-1,5))+1,0,2,CROQUIS!$C$97-2,2,0),((CROQUIS!$C$107/2+(((CROQUIS!$C$98)-CROQUIS!$C$107)-(MIN(80,MAX(1,INT(((CROQUIS!$C$98)-CROQUIS!$C$107)/MAX(CROQUIS!$C$126,1))+1))-1)*CROQUIS!$C$126)/2)+MIN(INT(($A92-1)/5),MAX((MIN(80,MAX(1,INT(((CROQUIS!$C$98)-CROQUIS!$C$107)/MAX(CROQUIS!$C$126,1))+1)))-1,0))*CROQUIS!$C$126)))*CROQUIS!$C$155)+IF(CROQUIS!$C$92="X",0,0)),-1000)</f>
        <v>-1000</v>
      </c>
      <c r="BI92">
        <f>IF(AND(CROQUIS!$C$88=1,CROQUIS!$C$126&gt;0),((CROQUIS!$C$157+(IF(CROQUIS!$C$92="X",((CROQUIS!$C$107/2+(((CROQUIS!$C$98)-CROQUIS!$C$107)-(MIN(80,MAX(1,INT(((CROQUIS!$C$98)-CROQUIS!$C$107)/MAX(CROQUIS!$C$126,1))+1))-1)*CROQUIS!$C$126)/2)+MIN(INT(($A92-1)/5),MAX((MIN(80,MAX(1,INT(((CROQUIS!$C$98)-CROQUIS!$C$107)/MAX(CROQUIS!$C$126,1))+1)))-1,0))*CROQUIS!$C$126),CHOOSE(IF(INT(($A92-1)/5)&gt;MAX((MIN(80,MAX(1,INT(((CROQUIS!$C$98)-CROQUIS!$C$107)/MAX(CROQUIS!$C$126,1))+1)))-1,0),0,MOD($A92-1,5))+1,0,2,CROQUIS!$C$97-2,2,0)))*CROQUIS!$C$155)+IF(CROQUIS!$C$92="X",0,0)),-1000)</f>
        <v>-1000</v>
      </c>
      <c r="BJ92">
        <f>IF(AND(CROQUIS!$C$88=1,CROQUIS!$C$134&gt;0),((CROQUIS!$C$156+(IF(CROQUIS!$C$92="X",((CROQUIS!$C$107/2+(((CROQUIS!$C$97)-CROQUIS!$C$107)-(MIN(80,MAX(1,INT(((CROQUIS!$C$97)-CROQUIS!$C$107)/MAX(CROQUIS!$C$134,1))+1))-1)*CROQUIS!$C$134)/2)+MIN(INT(($A92-1)/5),MAX((MIN(80,MAX(1,INT(((CROQUIS!$C$97)-CROQUIS!$C$107)/MAX(CROQUIS!$C$134,1))+1)))-1,0))*CROQUIS!$C$134),CHOOSE(IF(INT(($A92-1)/5)&gt;MAX((MIN(80,MAX(1,INT(((CROQUIS!$C$97)-CROQUIS!$C$107)/MAX(CROQUIS!$C$134,1))+1)))-1,0),0,MOD($A92-1,5))+1,0,2,CROQUIS!$C$98-2,2,0)))*CROQUIS!$C$155)+IF(CROQUIS!$C$92="X",0,0)),-1000)</f>
        <v>-1000</v>
      </c>
      <c r="BK92">
        <f>IF(AND(CROQUIS!$C$88=1,CROQUIS!$C$134&gt;0),((CROQUIS!$C$157+(IF(CROQUIS!$C$92="X",CHOOSE(IF(INT(($A92-1)/5)&gt;MAX((MIN(80,MAX(1,INT(((CROQUIS!$C$97)-CROQUIS!$C$107)/MAX(CROQUIS!$C$134,1))+1)))-1,0),0,MOD($A92-1,5))+1,0,2,CROQUIS!$C$98-2,2,0),((CROQUIS!$C$107/2+(((CROQUIS!$C$97)-CROQUIS!$C$107)-(MIN(80,MAX(1,INT(((CROQUIS!$C$97)-CROQUIS!$C$107)/MAX(CROQUIS!$C$134,1))+1))-1)*CROQUIS!$C$134)/2)+MIN(INT(($A92-1)/5),MAX((MIN(80,MAX(1,INT(((CROQUIS!$C$97)-CROQUIS!$C$107)/MAX(CROQUIS!$C$134,1))+1)))-1,0))*CROQUIS!$C$134)))*CROQUIS!$C$155)+IF(CROQUIS!$C$92="X",0,0)),-1000)</f>
        <v>-1000</v>
      </c>
      <c r="BL92">
        <f>IF(AND(CROQUIS!$C$88=1,CROQUIS!$C$91=0,CROQUIS!$C$130&gt;0,OR(CROQUIS!$C$103=1,CROQUIS!$C$142=1)),((CROQUIS!$C$156+(IF(CROQUIS!$C$92="X",CHOOSE(IF(INT(($A92-1)/5)&gt;MAX((MIN(80,MAX(1,INT(((CROQUIS!$C$98)-CROQUIS!$C$107)/MAX(CROQUIS!$C$130,1))+1)))-1,0),0,MOD($A92-1,5))+1,0,IF(CROQUIS!$C$103=1,-12,2),CROQUIS!$C$107/2+CROQUIS!$C$140,IF(CROQUIS!$C$103=1,-12,2),0),((CROQUIS!$C$107/2+(((CROQUIS!$C$98)-CROQUIS!$C$107)-(MIN(80,MAX(1,INT(((CROQUIS!$C$98)-CROQUIS!$C$107)/MAX(CROQUIS!$C$130,1))+1))-1)*CROQUIS!$C$130)/2)+MIN(INT(($A92-1)/5),MAX((MIN(80,MAX(1,INT(((CROQUIS!$C$98)-CROQUIS!$C$107)/MAX(CROQUIS!$C$130,1))+1)))-1,0))*CROQUIS!$C$130)))*CROQUIS!$C$155)+IF(CROQUIS!$C$92="X",0,0)),-1000)</f>
        <v>-1000</v>
      </c>
      <c r="BM9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92-1)/5),MAX((MIN(80,MAX(1,INT(((CROQUIS!$C$98)-CROQUIS!$C$107)/MAX(CROQUIS!$C$130,1))+1)))-1,0))*CROQUIS!$C$130),CHOOSE(IF(INT(($A92-1)/5)&gt;MAX((MIN(80,MAX(1,INT(((CROQUIS!$C$98)-CROQUIS!$C$107)/MAX(CROQUIS!$C$130,1))+1)))-1,0),0,MOD($A92-1,5))+1,0,IF(CROQUIS!$C$103=1,-12,2),CROQUIS!$C$107/2+CROQUIS!$C$140,IF(CROQUIS!$C$103=1,-12,2),0)))*CROQUIS!$C$155)+IF(CROQUIS!$C$92="X",0,0)),-1000)</f>
        <v>-1000</v>
      </c>
      <c r="BN92">
        <f>IF(AND(CROQUIS!$C$88=1,CROQUIS!$C$91=0,CROQUIS!$C$130&gt;0,OR(CROQUIS!$C$104=1,CROQUIS!$C$142=1)),((CROQUIS!$C$156+(IF(CROQUIS!$C$92="X",CHOOSE(IF(INT(($A92-1)/5)&gt;MAX((MIN(80,MAX(1,INT(((CROQUIS!$C$98)-CROQUIS!$C$107)/MAX(CROQUIS!$C$130,1))+1)))-1,0),0,MOD($A92-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92-1)/5),MAX((MIN(80,MAX(1,INT(((CROQUIS!$C$98)-CROQUIS!$C$107)/MAX(CROQUIS!$C$130,1))+1)))-1,0))*CROQUIS!$C$130)))*CROQUIS!$C$155)+IF(CROQUIS!$C$92="X",0,0)),-1000)</f>
        <v>-1000</v>
      </c>
      <c r="BO9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92-1)/5),MAX((MIN(80,MAX(1,INT(((CROQUIS!$C$98)-CROQUIS!$C$107)/MAX(CROQUIS!$C$130,1))+1)))-1,0))*CROQUIS!$C$130),CHOOSE(IF(INT(($A92-1)/5)&gt;MAX((MIN(80,MAX(1,INT(((CROQUIS!$C$98)-CROQUIS!$C$107)/MAX(CROQUIS!$C$130,1))+1)))-1,0),0,MOD($A92-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9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92-1)/5),MAX((MIN(80,MAX(1,INT(((CROQUIS!$C$97)-CROQUIS!$C$107)/MAX(CROQUIS!$C$138,1))+1)))-1,0))*CROQUIS!$C$138),CHOOSE(IF(INT(($A92-1)/5)&gt;MAX((MIN(80,MAX(1,INT(((CROQUIS!$C$97)-CROQUIS!$C$107)/MAX(CROQUIS!$C$138,1))+1)))-1,0),0,MOD($A92-1,5))+1,0,IF(CROQUIS!$C$105=1,-12,2),CROQUIS!$C$107/2+CROQUIS!$C$141,IF(CROQUIS!$C$105=1,-12,2),0)))*CROQUIS!$C$155)+IF(CROQUIS!$C$92="X",0,0)),-1000)</f>
        <v>-1000</v>
      </c>
      <c r="BQ92">
        <f>IF(AND(CROQUIS!$C$88=1,CROQUIS!$C$91=0,CROQUIS!$C$138&gt;0,OR(CROQUIS!$C$105=1,CROQUIS!$C$143=1)),((CROQUIS!$C$157+(IF(CROQUIS!$C$92="X",CHOOSE(IF(INT(($A92-1)/5)&gt;MAX((MIN(80,MAX(1,INT(((CROQUIS!$C$97)-CROQUIS!$C$107)/MAX(CROQUIS!$C$138,1))+1)))-1,0),0,MOD($A92-1,5))+1,0,IF(CROQUIS!$C$105=1,-12,2),CROQUIS!$C$107/2+CROQUIS!$C$141,IF(CROQUIS!$C$105=1,-12,2),0),((CROQUIS!$C$107/2+(((CROQUIS!$C$97)-CROQUIS!$C$107)-(MIN(80,MAX(1,INT(((CROQUIS!$C$97)-CROQUIS!$C$107)/MAX(CROQUIS!$C$138,1))+1))-1)*CROQUIS!$C$138)/2)+MIN(INT(($A92-1)/5),MAX((MIN(80,MAX(1,INT(((CROQUIS!$C$97)-CROQUIS!$C$107)/MAX(CROQUIS!$C$138,1))+1)))-1,0))*CROQUIS!$C$138)))*CROQUIS!$C$155)+IF(CROQUIS!$C$92="X",0,0)),-1000)</f>
        <v>-1000</v>
      </c>
      <c r="BR9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92-1)/5),MAX((MIN(80,MAX(1,INT(((CROQUIS!$C$97)-CROQUIS!$C$107)/MAX(CROQUIS!$C$138,1))+1)))-1,0))*CROQUIS!$C$138),CHOOSE(IF(INT(($A92-1)/5)&gt;MAX((MIN(80,MAX(1,INT(((CROQUIS!$C$97)-CROQUIS!$C$107)/MAX(CROQUIS!$C$138,1))+1)))-1,0),0,MOD($A92-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92">
        <f>IF(AND(CROQUIS!$C$88=1,CROQUIS!$C$91=0,CROQUIS!$C$138&gt;0,OR(CROQUIS!$C$106=1,CROQUIS!$C$143=1)),((CROQUIS!$C$157+(IF(CROQUIS!$C$92="X",CHOOSE(IF(INT(($A92-1)/5)&gt;MAX((MIN(80,MAX(1,INT(((CROQUIS!$C$97)-CROQUIS!$C$107)/MAX(CROQUIS!$C$138,1))+1)))-1,0),0,MOD($A92-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92-1)/5),MAX((MIN(80,MAX(1,INT(((CROQUIS!$C$97)-CROQUIS!$C$107)/MAX(CROQUIS!$C$138,1))+1)))-1,0))*CROQUIS!$C$138)))*CROQUIS!$C$155)+IF(CROQUIS!$C$92="X",0,0)),-1000)</f>
        <v>-1000</v>
      </c>
      <c r="BT92">
        <f>IF(AND(CROQUIS!$C$88=1,CROQUIS!$C$91=1,CROQUIS!$C$130&gt;0),((CROQUIS!$C$156+(IF(CROQUIS!$C$92="X",CHOOSE(IF(INT(($A92-1)/5)&gt;MAX((MIN(80,MAX(1,INT(((CROQUIS!$C$98)-CROQUIS!$C$107)/MAX(CROQUIS!$C$130,1))+1)))-1,0),0,MOD($A92-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92-1)/5),MAX((MIN(80,MAX(1,INT(((CROQUIS!$C$98)-CROQUIS!$C$107)/MAX(CROQUIS!$C$130,1))+1)))-1,0))*CROQUIS!$C$130)))*CROQUIS!$C$155)+IF(CROQUIS!$C$92="X",0,0)),-1000)</f>
        <v>-1000</v>
      </c>
      <c r="BU92">
        <f>IF(AND(CROQUIS!$C$88=1,CROQUIS!$C$91=1,CROQUIS!$C$130&gt;0),((CROQUIS!$C$157+(IF(CROQUIS!$C$92="X",((CROQUIS!$C$107/2+(((CROQUIS!$C$98)-CROQUIS!$C$107)-(MIN(80,MAX(1,INT(((CROQUIS!$C$98)-CROQUIS!$C$107)/MAX(CROQUIS!$C$130,1))+1))-1)*CROQUIS!$C$130)/2)+MIN(INT(($A92-1)/5),MAX((MIN(80,MAX(1,INT(((CROQUIS!$C$98)-CROQUIS!$C$107)/MAX(CROQUIS!$C$130,1))+1)))-1,0))*CROQUIS!$C$130),CHOOSE(IF(INT(($A92-1)/5)&gt;MAX((MIN(80,MAX(1,INT(((CROQUIS!$C$98)-CROQUIS!$C$107)/MAX(CROQUIS!$C$130,1))+1)))-1,0),0,MOD($A92-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93">
      <c r="A93" t="n">
        <v>86</v>
      </c>
      <c r="AF93">
        <f>IF(AND(CROQUIS!$C$87=1,CROQUIS!$C$158&gt;0,CROQUIS!$C$160&gt;0),(CROQUIS!$C$156+((CROQUIS!$C$159+INT(MIN(INT(($A93-1)/2),MAX((2*CROQUIS!$C$158)-1,0))/2)*CROQUIS!$C$113+MOD(MIN(INT(($A93-1)/2),MAX((2*CROQUIS!$C$158)-1,0)),2)*CROQUIS!$C$112))*CROQUIS!$C$155),-1000)</f>
        <v>85.2010845006778</v>
      </c>
      <c r="AG93">
        <f>IF(AND(CROQUIS!$C$87=1,CROQUIS!$C$158&gt;0,CROQUIS!$C$160&gt;0),(CROQUIS!$C$157+(IF(MOD(MIN(INT(($A93-1)/2),MAX((2*CROQUIS!$C$158)-1,0)),2)=0,IF(IF(INT(($A93-1)/2)&gt;MAX((2*CROQUIS!$C$158)-1,0),1,MOD($A93-1,2))=0,CROQUIS!$C$161,(CROQUIS!$C$161+CROQUIS!$C$160*CROQUIS!$C$113-CROQUIS!$C$111)),IF(IF(INT(($A93-1)/2)&gt;MAX((2*CROQUIS!$C$158)-1,0),1,MOD($A93-1,2))=0,(CROQUIS!$C$161+CROQUIS!$C$160*CROQUIS!$C$113-CROQUIS!$C$111),CROQUIS!$C$161)))*CROQUIS!$C$155),-1000)</f>
        <v>20.8088567555355</v>
      </c>
      <c r="AH93">
        <f>IF(AND(CROQUIS!$C$87=1,CROQUIS!$C$160&gt;0,CROQUIS!$C$158&gt;0),(CROQUIS!$C$156+(IF(MOD(MIN(INT(($A93-1)/2),MAX((2*CROQUIS!$C$160)-1,0)),2)=0,IF(IF(INT(($A93-1)/2)&gt;MAX((2*CROQUIS!$C$160)-1,0),1,MOD($A93-1,2))=0,CROQUIS!$C$159,(CROQUIS!$C$159+CROQUIS!$C$158*CROQUIS!$C$113-CROQUIS!$C$111)),IF(IF(INT(($A93-1)/2)&gt;MAX((2*CROQUIS!$C$160)-1,0),1,MOD($A93-1,2))=0,(CROQUIS!$C$159+CROQUIS!$C$158*CROQUIS!$C$113-CROQUIS!$C$111),CROQUIS!$C$159)))*CROQUIS!$C$155),-1000)</f>
        <v>14.7989154993222</v>
      </c>
      <c r="AI93">
        <f>IF(AND(CROQUIS!$C$87=1,CROQUIS!$C$160&gt;0,CROQUIS!$C$158&gt;0),(CROQUIS!$C$157+((CROQUIS!$C$161+INT(MIN(INT(($A93-1)/2),MAX((2*CROQUIS!$C$160)-1,0))/2)*CROQUIS!$C$113+MOD(MIN(INT(($A93-1)/2),MAX((2*CROQUIS!$C$160)-1,0)),2)*CROQUIS!$C$112))*CROQUIS!$C$155),-1000)</f>
        <v>79.1911432444645</v>
      </c>
      <c r="BH93">
        <f>IF(AND(CROQUIS!$C$88=1,CROQUIS!$C$126&gt;0),((CROQUIS!$C$156+(IF(CROQUIS!$C$92="X",CHOOSE(IF(INT(($A93-1)/5)&gt;MAX((MIN(80,MAX(1,INT(((CROQUIS!$C$98)-CROQUIS!$C$107)/MAX(CROQUIS!$C$126,1))+1)))-1,0),0,MOD($A93-1,5))+1,0,2,CROQUIS!$C$97-2,2,0),((CROQUIS!$C$107/2+(((CROQUIS!$C$98)-CROQUIS!$C$107)-(MIN(80,MAX(1,INT(((CROQUIS!$C$98)-CROQUIS!$C$107)/MAX(CROQUIS!$C$126,1))+1))-1)*CROQUIS!$C$126)/2)+MIN(INT(($A93-1)/5),MAX((MIN(80,MAX(1,INT(((CROQUIS!$C$98)-CROQUIS!$C$107)/MAX(CROQUIS!$C$126,1))+1)))-1,0))*CROQUIS!$C$126)))*CROQUIS!$C$155)+IF(CROQUIS!$C$92="X",0,0)),-1000)</f>
        <v>-1000</v>
      </c>
      <c r="BI93">
        <f>IF(AND(CROQUIS!$C$88=1,CROQUIS!$C$126&gt;0),((CROQUIS!$C$157+(IF(CROQUIS!$C$92="X",((CROQUIS!$C$107/2+(((CROQUIS!$C$98)-CROQUIS!$C$107)-(MIN(80,MAX(1,INT(((CROQUIS!$C$98)-CROQUIS!$C$107)/MAX(CROQUIS!$C$126,1))+1))-1)*CROQUIS!$C$126)/2)+MIN(INT(($A93-1)/5),MAX((MIN(80,MAX(1,INT(((CROQUIS!$C$98)-CROQUIS!$C$107)/MAX(CROQUIS!$C$126,1))+1)))-1,0))*CROQUIS!$C$126),CHOOSE(IF(INT(($A93-1)/5)&gt;MAX((MIN(80,MAX(1,INT(((CROQUIS!$C$98)-CROQUIS!$C$107)/MAX(CROQUIS!$C$126,1))+1)))-1,0),0,MOD($A93-1,5))+1,0,2,CROQUIS!$C$97-2,2,0)))*CROQUIS!$C$155)+IF(CROQUIS!$C$92="X",0,0)),-1000)</f>
        <v>-1000</v>
      </c>
      <c r="BJ93">
        <f>IF(AND(CROQUIS!$C$88=1,CROQUIS!$C$134&gt;0),((CROQUIS!$C$156+(IF(CROQUIS!$C$92="X",((CROQUIS!$C$107/2+(((CROQUIS!$C$97)-CROQUIS!$C$107)-(MIN(80,MAX(1,INT(((CROQUIS!$C$97)-CROQUIS!$C$107)/MAX(CROQUIS!$C$134,1))+1))-1)*CROQUIS!$C$134)/2)+MIN(INT(($A93-1)/5),MAX((MIN(80,MAX(1,INT(((CROQUIS!$C$97)-CROQUIS!$C$107)/MAX(CROQUIS!$C$134,1))+1)))-1,0))*CROQUIS!$C$134),CHOOSE(IF(INT(($A93-1)/5)&gt;MAX((MIN(80,MAX(1,INT(((CROQUIS!$C$97)-CROQUIS!$C$107)/MAX(CROQUIS!$C$134,1))+1)))-1,0),0,MOD($A93-1,5))+1,0,2,CROQUIS!$C$98-2,2,0)))*CROQUIS!$C$155)+IF(CROQUIS!$C$92="X",0,0)),-1000)</f>
        <v>-1000</v>
      </c>
      <c r="BK93">
        <f>IF(AND(CROQUIS!$C$88=1,CROQUIS!$C$134&gt;0),((CROQUIS!$C$157+(IF(CROQUIS!$C$92="X",CHOOSE(IF(INT(($A93-1)/5)&gt;MAX((MIN(80,MAX(1,INT(((CROQUIS!$C$97)-CROQUIS!$C$107)/MAX(CROQUIS!$C$134,1))+1)))-1,0),0,MOD($A93-1,5))+1,0,2,CROQUIS!$C$98-2,2,0),((CROQUIS!$C$107/2+(((CROQUIS!$C$97)-CROQUIS!$C$107)-(MIN(80,MAX(1,INT(((CROQUIS!$C$97)-CROQUIS!$C$107)/MAX(CROQUIS!$C$134,1))+1))-1)*CROQUIS!$C$134)/2)+MIN(INT(($A93-1)/5),MAX((MIN(80,MAX(1,INT(((CROQUIS!$C$97)-CROQUIS!$C$107)/MAX(CROQUIS!$C$134,1))+1)))-1,0))*CROQUIS!$C$134)))*CROQUIS!$C$155)+IF(CROQUIS!$C$92="X",0,0)),-1000)</f>
        <v>-1000</v>
      </c>
      <c r="BL93">
        <f>IF(AND(CROQUIS!$C$88=1,CROQUIS!$C$91=0,CROQUIS!$C$130&gt;0,OR(CROQUIS!$C$103=1,CROQUIS!$C$142=1)),((CROQUIS!$C$156+(IF(CROQUIS!$C$92="X",CHOOSE(IF(INT(($A93-1)/5)&gt;MAX((MIN(80,MAX(1,INT(((CROQUIS!$C$98)-CROQUIS!$C$107)/MAX(CROQUIS!$C$130,1))+1)))-1,0),0,MOD($A93-1,5))+1,0,IF(CROQUIS!$C$103=1,-12,2),CROQUIS!$C$107/2+CROQUIS!$C$140,IF(CROQUIS!$C$103=1,-12,2),0),((CROQUIS!$C$107/2+(((CROQUIS!$C$98)-CROQUIS!$C$107)-(MIN(80,MAX(1,INT(((CROQUIS!$C$98)-CROQUIS!$C$107)/MAX(CROQUIS!$C$130,1))+1))-1)*CROQUIS!$C$130)/2)+MIN(INT(($A93-1)/5),MAX((MIN(80,MAX(1,INT(((CROQUIS!$C$98)-CROQUIS!$C$107)/MAX(CROQUIS!$C$130,1))+1)))-1,0))*CROQUIS!$C$130)))*CROQUIS!$C$155)+IF(CROQUIS!$C$92="X",0,0)),-1000)</f>
        <v>-1000</v>
      </c>
      <c r="BM9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93-1)/5),MAX((MIN(80,MAX(1,INT(((CROQUIS!$C$98)-CROQUIS!$C$107)/MAX(CROQUIS!$C$130,1))+1)))-1,0))*CROQUIS!$C$130),CHOOSE(IF(INT(($A93-1)/5)&gt;MAX((MIN(80,MAX(1,INT(((CROQUIS!$C$98)-CROQUIS!$C$107)/MAX(CROQUIS!$C$130,1))+1)))-1,0),0,MOD($A93-1,5))+1,0,IF(CROQUIS!$C$103=1,-12,2),CROQUIS!$C$107/2+CROQUIS!$C$140,IF(CROQUIS!$C$103=1,-12,2),0)))*CROQUIS!$C$155)+IF(CROQUIS!$C$92="X",0,0)),-1000)</f>
        <v>-1000</v>
      </c>
      <c r="BN93">
        <f>IF(AND(CROQUIS!$C$88=1,CROQUIS!$C$91=0,CROQUIS!$C$130&gt;0,OR(CROQUIS!$C$104=1,CROQUIS!$C$142=1)),((CROQUIS!$C$156+(IF(CROQUIS!$C$92="X",CHOOSE(IF(INT(($A93-1)/5)&gt;MAX((MIN(80,MAX(1,INT(((CROQUIS!$C$98)-CROQUIS!$C$107)/MAX(CROQUIS!$C$130,1))+1)))-1,0),0,MOD($A93-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93-1)/5),MAX((MIN(80,MAX(1,INT(((CROQUIS!$C$98)-CROQUIS!$C$107)/MAX(CROQUIS!$C$130,1))+1)))-1,0))*CROQUIS!$C$130)))*CROQUIS!$C$155)+IF(CROQUIS!$C$92="X",0,0)),-1000)</f>
        <v>-1000</v>
      </c>
      <c r="BO9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93-1)/5),MAX((MIN(80,MAX(1,INT(((CROQUIS!$C$98)-CROQUIS!$C$107)/MAX(CROQUIS!$C$130,1))+1)))-1,0))*CROQUIS!$C$130),CHOOSE(IF(INT(($A93-1)/5)&gt;MAX((MIN(80,MAX(1,INT(((CROQUIS!$C$98)-CROQUIS!$C$107)/MAX(CROQUIS!$C$130,1))+1)))-1,0),0,MOD($A93-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9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93-1)/5),MAX((MIN(80,MAX(1,INT(((CROQUIS!$C$97)-CROQUIS!$C$107)/MAX(CROQUIS!$C$138,1))+1)))-1,0))*CROQUIS!$C$138),CHOOSE(IF(INT(($A93-1)/5)&gt;MAX((MIN(80,MAX(1,INT(((CROQUIS!$C$97)-CROQUIS!$C$107)/MAX(CROQUIS!$C$138,1))+1)))-1,0),0,MOD($A93-1,5))+1,0,IF(CROQUIS!$C$105=1,-12,2),CROQUIS!$C$107/2+CROQUIS!$C$141,IF(CROQUIS!$C$105=1,-12,2),0)))*CROQUIS!$C$155)+IF(CROQUIS!$C$92="X",0,0)),-1000)</f>
        <v>-1000</v>
      </c>
      <c r="BQ93">
        <f>IF(AND(CROQUIS!$C$88=1,CROQUIS!$C$91=0,CROQUIS!$C$138&gt;0,OR(CROQUIS!$C$105=1,CROQUIS!$C$143=1)),((CROQUIS!$C$157+(IF(CROQUIS!$C$92="X",CHOOSE(IF(INT(($A93-1)/5)&gt;MAX((MIN(80,MAX(1,INT(((CROQUIS!$C$97)-CROQUIS!$C$107)/MAX(CROQUIS!$C$138,1))+1)))-1,0),0,MOD($A93-1,5))+1,0,IF(CROQUIS!$C$105=1,-12,2),CROQUIS!$C$107/2+CROQUIS!$C$141,IF(CROQUIS!$C$105=1,-12,2),0),((CROQUIS!$C$107/2+(((CROQUIS!$C$97)-CROQUIS!$C$107)-(MIN(80,MAX(1,INT(((CROQUIS!$C$97)-CROQUIS!$C$107)/MAX(CROQUIS!$C$138,1))+1))-1)*CROQUIS!$C$138)/2)+MIN(INT(($A93-1)/5),MAX((MIN(80,MAX(1,INT(((CROQUIS!$C$97)-CROQUIS!$C$107)/MAX(CROQUIS!$C$138,1))+1)))-1,0))*CROQUIS!$C$138)))*CROQUIS!$C$155)+IF(CROQUIS!$C$92="X",0,0)),-1000)</f>
        <v>-1000</v>
      </c>
      <c r="BR9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93-1)/5),MAX((MIN(80,MAX(1,INT(((CROQUIS!$C$97)-CROQUIS!$C$107)/MAX(CROQUIS!$C$138,1))+1)))-1,0))*CROQUIS!$C$138),CHOOSE(IF(INT(($A93-1)/5)&gt;MAX((MIN(80,MAX(1,INT(((CROQUIS!$C$97)-CROQUIS!$C$107)/MAX(CROQUIS!$C$138,1))+1)))-1,0),0,MOD($A93-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93">
        <f>IF(AND(CROQUIS!$C$88=1,CROQUIS!$C$91=0,CROQUIS!$C$138&gt;0,OR(CROQUIS!$C$106=1,CROQUIS!$C$143=1)),((CROQUIS!$C$157+(IF(CROQUIS!$C$92="X",CHOOSE(IF(INT(($A93-1)/5)&gt;MAX((MIN(80,MAX(1,INT(((CROQUIS!$C$97)-CROQUIS!$C$107)/MAX(CROQUIS!$C$138,1))+1)))-1,0),0,MOD($A93-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93-1)/5),MAX((MIN(80,MAX(1,INT(((CROQUIS!$C$97)-CROQUIS!$C$107)/MAX(CROQUIS!$C$138,1))+1)))-1,0))*CROQUIS!$C$138)))*CROQUIS!$C$155)+IF(CROQUIS!$C$92="X",0,0)),-1000)</f>
        <v>-1000</v>
      </c>
      <c r="BT93">
        <f>IF(AND(CROQUIS!$C$88=1,CROQUIS!$C$91=1,CROQUIS!$C$130&gt;0),((CROQUIS!$C$156+(IF(CROQUIS!$C$92="X",CHOOSE(IF(INT(($A93-1)/5)&gt;MAX((MIN(80,MAX(1,INT(((CROQUIS!$C$98)-CROQUIS!$C$107)/MAX(CROQUIS!$C$130,1))+1)))-1,0),0,MOD($A93-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93-1)/5),MAX((MIN(80,MAX(1,INT(((CROQUIS!$C$98)-CROQUIS!$C$107)/MAX(CROQUIS!$C$130,1))+1)))-1,0))*CROQUIS!$C$130)))*CROQUIS!$C$155)+IF(CROQUIS!$C$92="X",0,0)),-1000)</f>
        <v>-1000</v>
      </c>
      <c r="BU93">
        <f>IF(AND(CROQUIS!$C$88=1,CROQUIS!$C$91=1,CROQUIS!$C$130&gt;0),((CROQUIS!$C$157+(IF(CROQUIS!$C$92="X",((CROQUIS!$C$107/2+(((CROQUIS!$C$98)-CROQUIS!$C$107)-(MIN(80,MAX(1,INT(((CROQUIS!$C$98)-CROQUIS!$C$107)/MAX(CROQUIS!$C$130,1))+1))-1)*CROQUIS!$C$130)/2)+MIN(INT(($A93-1)/5),MAX((MIN(80,MAX(1,INT(((CROQUIS!$C$98)-CROQUIS!$C$107)/MAX(CROQUIS!$C$130,1))+1)))-1,0))*CROQUIS!$C$130),CHOOSE(IF(INT(($A93-1)/5)&gt;MAX((MIN(80,MAX(1,INT(((CROQUIS!$C$98)-CROQUIS!$C$107)/MAX(CROQUIS!$C$130,1))+1)))-1,0),0,MOD($A93-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94">
      <c r="A94" t="n">
        <v>87</v>
      </c>
      <c r="AF94">
        <f>IF(AND(CROQUIS!$C$87=1,CROQUIS!$C$158&gt;0,CROQUIS!$C$160&gt;0),(CROQUIS!$C$156+((CROQUIS!$C$159+INT(MIN(INT(($A94-1)/2),MAX((2*CROQUIS!$C$158)-1,0))/2)*CROQUIS!$C$113+MOD(MIN(INT(($A94-1)/2),MAX((2*CROQUIS!$C$158)-1,0)),2)*CROQUIS!$C$112))*CROQUIS!$C$155),-1000)</f>
        <v>85.2010845006778</v>
      </c>
      <c r="AG94">
        <f>IF(AND(CROQUIS!$C$87=1,CROQUIS!$C$158&gt;0,CROQUIS!$C$160&gt;0),(CROQUIS!$C$157+(IF(MOD(MIN(INT(($A94-1)/2),MAX((2*CROQUIS!$C$158)-1,0)),2)=0,IF(IF(INT(($A94-1)/2)&gt;MAX((2*CROQUIS!$C$158)-1,0),1,MOD($A94-1,2))=0,CROQUIS!$C$161,(CROQUIS!$C$161+CROQUIS!$C$160*CROQUIS!$C$113-CROQUIS!$C$111)),IF(IF(INT(($A94-1)/2)&gt;MAX((2*CROQUIS!$C$158)-1,0),1,MOD($A94-1,2))=0,(CROQUIS!$C$161+CROQUIS!$C$160*CROQUIS!$C$113-CROQUIS!$C$111),CROQUIS!$C$161)))*CROQUIS!$C$155),-1000)</f>
        <v>20.8088567555355</v>
      </c>
      <c r="AH94">
        <f>IF(AND(CROQUIS!$C$87=1,CROQUIS!$C$160&gt;0,CROQUIS!$C$158&gt;0),(CROQUIS!$C$156+(IF(MOD(MIN(INT(($A94-1)/2),MAX((2*CROQUIS!$C$160)-1,0)),2)=0,IF(IF(INT(($A94-1)/2)&gt;MAX((2*CROQUIS!$C$160)-1,0),1,MOD($A94-1,2))=0,CROQUIS!$C$159,(CROQUIS!$C$159+CROQUIS!$C$158*CROQUIS!$C$113-CROQUIS!$C$111)),IF(IF(INT(($A94-1)/2)&gt;MAX((2*CROQUIS!$C$160)-1,0),1,MOD($A94-1,2))=0,(CROQUIS!$C$159+CROQUIS!$C$158*CROQUIS!$C$113-CROQUIS!$C$111),CROQUIS!$C$159)))*CROQUIS!$C$155),-1000)</f>
        <v>14.7989154993222</v>
      </c>
      <c r="AI94">
        <f>IF(AND(CROQUIS!$C$87=1,CROQUIS!$C$160&gt;0,CROQUIS!$C$158&gt;0),(CROQUIS!$C$157+((CROQUIS!$C$161+INT(MIN(INT(($A94-1)/2),MAX((2*CROQUIS!$C$160)-1,0))/2)*CROQUIS!$C$113+MOD(MIN(INT(($A94-1)/2),MAX((2*CROQUIS!$C$160)-1,0)),2)*CROQUIS!$C$112))*CROQUIS!$C$155),-1000)</f>
        <v>79.1911432444645</v>
      </c>
      <c r="BH94">
        <f>IF(AND(CROQUIS!$C$88=1,CROQUIS!$C$126&gt;0),((CROQUIS!$C$156+(IF(CROQUIS!$C$92="X",CHOOSE(IF(INT(($A94-1)/5)&gt;MAX((MIN(80,MAX(1,INT(((CROQUIS!$C$98)-CROQUIS!$C$107)/MAX(CROQUIS!$C$126,1))+1)))-1,0),0,MOD($A94-1,5))+1,0,2,CROQUIS!$C$97-2,2,0),((CROQUIS!$C$107/2+(((CROQUIS!$C$98)-CROQUIS!$C$107)-(MIN(80,MAX(1,INT(((CROQUIS!$C$98)-CROQUIS!$C$107)/MAX(CROQUIS!$C$126,1))+1))-1)*CROQUIS!$C$126)/2)+MIN(INT(($A94-1)/5),MAX((MIN(80,MAX(1,INT(((CROQUIS!$C$98)-CROQUIS!$C$107)/MAX(CROQUIS!$C$126,1))+1)))-1,0))*CROQUIS!$C$126)))*CROQUIS!$C$155)+IF(CROQUIS!$C$92="X",0,0)),-1000)</f>
        <v>-1000</v>
      </c>
      <c r="BI94">
        <f>IF(AND(CROQUIS!$C$88=1,CROQUIS!$C$126&gt;0),((CROQUIS!$C$157+(IF(CROQUIS!$C$92="X",((CROQUIS!$C$107/2+(((CROQUIS!$C$98)-CROQUIS!$C$107)-(MIN(80,MAX(1,INT(((CROQUIS!$C$98)-CROQUIS!$C$107)/MAX(CROQUIS!$C$126,1))+1))-1)*CROQUIS!$C$126)/2)+MIN(INT(($A94-1)/5),MAX((MIN(80,MAX(1,INT(((CROQUIS!$C$98)-CROQUIS!$C$107)/MAX(CROQUIS!$C$126,1))+1)))-1,0))*CROQUIS!$C$126),CHOOSE(IF(INT(($A94-1)/5)&gt;MAX((MIN(80,MAX(1,INT(((CROQUIS!$C$98)-CROQUIS!$C$107)/MAX(CROQUIS!$C$126,1))+1)))-1,0),0,MOD($A94-1,5))+1,0,2,CROQUIS!$C$97-2,2,0)))*CROQUIS!$C$155)+IF(CROQUIS!$C$92="X",0,0)),-1000)</f>
        <v>-1000</v>
      </c>
      <c r="BJ94">
        <f>IF(AND(CROQUIS!$C$88=1,CROQUIS!$C$134&gt;0),((CROQUIS!$C$156+(IF(CROQUIS!$C$92="X",((CROQUIS!$C$107/2+(((CROQUIS!$C$97)-CROQUIS!$C$107)-(MIN(80,MAX(1,INT(((CROQUIS!$C$97)-CROQUIS!$C$107)/MAX(CROQUIS!$C$134,1))+1))-1)*CROQUIS!$C$134)/2)+MIN(INT(($A94-1)/5),MAX((MIN(80,MAX(1,INT(((CROQUIS!$C$97)-CROQUIS!$C$107)/MAX(CROQUIS!$C$134,1))+1)))-1,0))*CROQUIS!$C$134),CHOOSE(IF(INT(($A94-1)/5)&gt;MAX((MIN(80,MAX(1,INT(((CROQUIS!$C$97)-CROQUIS!$C$107)/MAX(CROQUIS!$C$134,1))+1)))-1,0),0,MOD($A94-1,5))+1,0,2,CROQUIS!$C$98-2,2,0)))*CROQUIS!$C$155)+IF(CROQUIS!$C$92="X",0,0)),-1000)</f>
        <v>-1000</v>
      </c>
      <c r="BK94">
        <f>IF(AND(CROQUIS!$C$88=1,CROQUIS!$C$134&gt;0),((CROQUIS!$C$157+(IF(CROQUIS!$C$92="X",CHOOSE(IF(INT(($A94-1)/5)&gt;MAX((MIN(80,MAX(1,INT(((CROQUIS!$C$97)-CROQUIS!$C$107)/MAX(CROQUIS!$C$134,1))+1)))-1,0),0,MOD($A94-1,5))+1,0,2,CROQUIS!$C$98-2,2,0),((CROQUIS!$C$107/2+(((CROQUIS!$C$97)-CROQUIS!$C$107)-(MIN(80,MAX(1,INT(((CROQUIS!$C$97)-CROQUIS!$C$107)/MAX(CROQUIS!$C$134,1))+1))-1)*CROQUIS!$C$134)/2)+MIN(INT(($A94-1)/5),MAX((MIN(80,MAX(1,INT(((CROQUIS!$C$97)-CROQUIS!$C$107)/MAX(CROQUIS!$C$134,1))+1)))-1,0))*CROQUIS!$C$134)))*CROQUIS!$C$155)+IF(CROQUIS!$C$92="X",0,0)),-1000)</f>
        <v>-1000</v>
      </c>
      <c r="BL94">
        <f>IF(AND(CROQUIS!$C$88=1,CROQUIS!$C$91=0,CROQUIS!$C$130&gt;0,OR(CROQUIS!$C$103=1,CROQUIS!$C$142=1)),((CROQUIS!$C$156+(IF(CROQUIS!$C$92="X",CHOOSE(IF(INT(($A94-1)/5)&gt;MAX((MIN(80,MAX(1,INT(((CROQUIS!$C$98)-CROQUIS!$C$107)/MAX(CROQUIS!$C$130,1))+1)))-1,0),0,MOD($A94-1,5))+1,0,IF(CROQUIS!$C$103=1,-12,2),CROQUIS!$C$107/2+CROQUIS!$C$140,IF(CROQUIS!$C$103=1,-12,2),0),((CROQUIS!$C$107/2+(((CROQUIS!$C$98)-CROQUIS!$C$107)-(MIN(80,MAX(1,INT(((CROQUIS!$C$98)-CROQUIS!$C$107)/MAX(CROQUIS!$C$130,1))+1))-1)*CROQUIS!$C$130)/2)+MIN(INT(($A94-1)/5),MAX((MIN(80,MAX(1,INT(((CROQUIS!$C$98)-CROQUIS!$C$107)/MAX(CROQUIS!$C$130,1))+1)))-1,0))*CROQUIS!$C$130)))*CROQUIS!$C$155)+IF(CROQUIS!$C$92="X",0,0)),-1000)</f>
        <v>-1000</v>
      </c>
      <c r="BM9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94-1)/5),MAX((MIN(80,MAX(1,INT(((CROQUIS!$C$98)-CROQUIS!$C$107)/MAX(CROQUIS!$C$130,1))+1)))-1,0))*CROQUIS!$C$130),CHOOSE(IF(INT(($A94-1)/5)&gt;MAX((MIN(80,MAX(1,INT(((CROQUIS!$C$98)-CROQUIS!$C$107)/MAX(CROQUIS!$C$130,1))+1)))-1,0),0,MOD($A94-1,5))+1,0,IF(CROQUIS!$C$103=1,-12,2),CROQUIS!$C$107/2+CROQUIS!$C$140,IF(CROQUIS!$C$103=1,-12,2),0)))*CROQUIS!$C$155)+IF(CROQUIS!$C$92="X",0,0)),-1000)</f>
        <v>-1000</v>
      </c>
      <c r="BN94">
        <f>IF(AND(CROQUIS!$C$88=1,CROQUIS!$C$91=0,CROQUIS!$C$130&gt;0,OR(CROQUIS!$C$104=1,CROQUIS!$C$142=1)),((CROQUIS!$C$156+(IF(CROQUIS!$C$92="X",CHOOSE(IF(INT(($A94-1)/5)&gt;MAX((MIN(80,MAX(1,INT(((CROQUIS!$C$98)-CROQUIS!$C$107)/MAX(CROQUIS!$C$130,1))+1)))-1,0),0,MOD($A94-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94-1)/5),MAX((MIN(80,MAX(1,INT(((CROQUIS!$C$98)-CROQUIS!$C$107)/MAX(CROQUIS!$C$130,1))+1)))-1,0))*CROQUIS!$C$130)))*CROQUIS!$C$155)+IF(CROQUIS!$C$92="X",0,0)),-1000)</f>
        <v>-1000</v>
      </c>
      <c r="BO9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94-1)/5),MAX((MIN(80,MAX(1,INT(((CROQUIS!$C$98)-CROQUIS!$C$107)/MAX(CROQUIS!$C$130,1))+1)))-1,0))*CROQUIS!$C$130),CHOOSE(IF(INT(($A94-1)/5)&gt;MAX((MIN(80,MAX(1,INT(((CROQUIS!$C$98)-CROQUIS!$C$107)/MAX(CROQUIS!$C$130,1))+1)))-1,0),0,MOD($A94-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9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94-1)/5),MAX((MIN(80,MAX(1,INT(((CROQUIS!$C$97)-CROQUIS!$C$107)/MAX(CROQUIS!$C$138,1))+1)))-1,0))*CROQUIS!$C$138),CHOOSE(IF(INT(($A94-1)/5)&gt;MAX((MIN(80,MAX(1,INT(((CROQUIS!$C$97)-CROQUIS!$C$107)/MAX(CROQUIS!$C$138,1))+1)))-1,0),0,MOD($A94-1,5))+1,0,IF(CROQUIS!$C$105=1,-12,2),CROQUIS!$C$107/2+CROQUIS!$C$141,IF(CROQUIS!$C$105=1,-12,2),0)))*CROQUIS!$C$155)+IF(CROQUIS!$C$92="X",0,0)),-1000)</f>
        <v>-1000</v>
      </c>
      <c r="BQ94">
        <f>IF(AND(CROQUIS!$C$88=1,CROQUIS!$C$91=0,CROQUIS!$C$138&gt;0,OR(CROQUIS!$C$105=1,CROQUIS!$C$143=1)),((CROQUIS!$C$157+(IF(CROQUIS!$C$92="X",CHOOSE(IF(INT(($A94-1)/5)&gt;MAX((MIN(80,MAX(1,INT(((CROQUIS!$C$97)-CROQUIS!$C$107)/MAX(CROQUIS!$C$138,1))+1)))-1,0),0,MOD($A94-1,5))+1,0,IF(CROQUIS!$C$105=1,-12,2),CROQUIS!$C$107/2+CROQUIS!$C$141,IF(CROQUIS!$C$105=1,-12,2),0),((CROQUIS!$C$107/2+(((CROQUIS!$C$97)-CROQUIS!$C$107)-(MIN(80,MAX(1,INT(((CROQUIS!$C$97)-CROQUIS!$C$107)/MAX(CROQUIS!$C$138,1))+1))-1)*CROQUIS!$C$138)/2)+MIN(INT(($A94-1)/5),MAX((MIN(80,MAX(1,INT(((CROQUIS!$C$97)-CROQUIS!$C$107)/MAX(CROQUIS!$C$138,1))+1)))-1,0))*CROQUIS!$C$138)))*CROQUIS!$C$155)+IF(CROQUIS!$C$92="X",0,0)),-1000)</f>
        <v>-1000</v>
      </c>
      <c r="BR9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94-1)/5),MAX((MIN(80,MAX(1,INT(((CROQUIS!$C$97)-CROQUIS!$C$107)/MAX(CROQUIS!$C$138,1))+1)))-1,0))*CROQUIS!$C$138),CHOOSE(IF(INT(($A94-1)/5)&gt;MAX((MIN(80,MAX(1,INT(((CROQUIS!$C$97)-CROQUIS!$C$107)/MAX(CROQUIS!$C$138,1))+1)))-1,0),0,MOD($A94-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94">
        <f>IF(AND(CROQUIS!$C$88=1,CROQUIS!$C$91=0,CROQUIS!$C$138&gt;0,OR(CROQUIS!$C$106=1,CROQUIS!$C$143=1)),((CROQUIS!$C$157+(IF(CROQUIS!$C$92="X",CHOOSE(IF(INT(($A94-1)/5)&gt;MAX((MIN(80,MAX(1,INT(((CROQUIS!$C$97)-CROQUIS!$C$107)/MAX(CROQUIS!$C$138,1))+1)))-1,0),0,MOD($A94-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94-1)/5),MAX((MIN(80,MAX(1,INT(((CROQUIS!$C$97)-CROQUIS!$C$107)/MAX(CROQUIS!$C$138,1))+1)))-1,0))*CROQUIS!$C$138)))*CROQUIS!$C$155)+IF(CROQUIS!$C$92="X",0,0)),-1000)</f>
        <v>-1000</v>
      </c>
      <c r="BT94">
        <f>IF(AND(CROQUIS!$C$88=1,CROQUIS!$C$91=1,CROQUIS!$C$130&gt;0),((CROQUIS!$C$156+(IF(CROQUIS!$C$92="X",CHOOSE(IF(INT(($A94-1)/5)&gt;MAX((MIN(80,MAX(1,INT(((CROQUIS!$C$98)-CROQUIS!$C$107)/MAX(CROQUIS!$C$130,1))+1)))-1,0),0,MOD($A94-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94-1)/5),MAX((MIN(80,MAX(1,INT(((CROQUIS!$C$98)-CROQUIS!$C$107)/MAX(CROQUIS!$C$130,1))+1)))-1,0))*CROQUIS!$C$130)))*CROQUIS!$C$155)+IF(CROQUIS!$C$92="X",0,0)),-1000)</f>
        <v>-1000</v>
      </c>
      <c r="BU94">
        <f>IF(AND(CROQUIS!$C$88=1,CROQUIS!$C$91=1,CROQUIS!$C$130&gt;0),((CROQUIS!$C$157+(IF(CROQUIS!$C$92="X",((CROQUIS!$C$107/2+(((CROQUIS!$C$98)-CROQUIS!$C$107)-(MIN(80,MAX(1,INT(((CROQUIS!$C$98)-CROQUIS!$C$107)/MAX(CROQUIS!$C$130,1))+1))-1)*CROQUIS!$C$130)/2)+MIN(INT(($A94-1)/5),MAX((MIN(80,MAX(1,INT(((CROQUIS!$C$98)-CROQUIS!$C$107)/MAX(CROQUIS!$C$130,1))+1)))-1,0))*CROQUIS!$C$130),CHOOSE(IF(INT(($A94-1)/5)&gt;MAX((MIN(80,MAX(1,INT(((CROQUIS!$C$98)-CROQUIS!$C$107)/MAX(CROQUIS!$C$130,1))+1)))-1,0),0,MOD($A94-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95">
      <c r="A95" t="n">
        <v>88</v>
      </c>
      <c r="AF95">
        <f>IF(AND(CROQUIS!$C$87=1,CROQUIS!$C$158&gt;0,CROQUIS!$C$160&gt;0),(CROQUIS!$C$156+((CROQUIS!$C$159+INT(MIN(INT(($A95-1)/2),MAX((2*CROQUIS!$C$158)-1,0))/2)*CROQUIS!$C$113+MOD(MIN(INT(($A95-1)/2),MAX((2*CROQUIS!$C$158)-1,0)),2)*CROQUIS!$C$112))*CROQUIS!$C$155),-1000)</f>
        <v>85.2010845006778</v>
      </c>
      <c r="AG95">
        <f>IF(AND(CROQUIS!$C$87=1,CROQUIS!$C$158&gt;0,CROQUIS!$C$160&gt;0),(CROQUIS!$C$157+(IF(MOD(MIN(INT(($A95-1)/2),MAX((2*CROQUIS!$C$158)-1,0)),2)=0,IF(IF(INT(($A95-1)/2)&gt;MAX((2*CROQUIS!$C$158)-1,0),1,MOD($A95-1,2))=0,CROQUIS!$C$161,(CROQUIS!$C$161+CROQUIS!$C$160*CROQUIS!$C$113-CROQUIS!$C$111)),IF(IF(INT(($A95-1)/2)&gt;MAX((2*CROQUIS!$C$158)-1,0),1,MOD($A95-1,2))=0,(CROQUIS!$C$161+CROQUIS!$C$160*CROQUIS!$C$113-CROQUIS!$C$111),CROQUIS!$C$161)))*CROQUIS!$C$155),-1000)</f>
        <v>20.8088567555355</v>
      </c>
      <c r="AH95">
        <f>IF(AND(CROQUIS!$C$87=1,CROQUIS!$C$160&gt;0,CROQUIS!$C$158&gt;0),(CROQUIS!$C$156+(IF(MOD(MIN(INT(($A95-1)/2),MAX((2*CROQUIS!$C$160)-1,0)),2)=0,IF(IF(INT(($A95-1)/2)&gt;MAX((2*CROQUIS!$C$160)-1,0),1,MOD($A95-1,2))=0,CROQUIS!$C$159,(CROQUIS!$C$159+CROQUIS!$C$158*CROQUIS!$C$113-CROQUIS!$C$111)),IF(IF(INT(($A95-1)/2)&gt;MAX((2*CROQUIS!$C$160)-1,0),1,MOD($A95-1,2))=0,(CROQUIS!$C$159+CROQUIS!$C$158*CROQUIS!$C$113-CROQUIS!$C$111),CROQUIS!$C$159)))*CROQUIS!$C$155),-1000)</f>
        <v>14.7989154993222</v>
      </c>
      <c r="AI95">
        <f>IF(AND(CROQUIS!$C$87=1,CROQUIS!$C$160&gt;0,CROQUIS!$C$158&gt;0),(CROQUIS!$C$157+((CROQUIS!$C$161+INT(MIN(INT(($A95-1)/2),MAX((2*CROQUIS!$C$160)-1,0))/2)*CROQUIS!$C$113+MOD(MIN(INT(($A95-1)/2),MAX((2*CROQUIS!$C$160)-1,0)),2)*CROQUIS!$C$112))*CROQUIS!$C$155),-1000)</f>
        <v>79.1911432444645</v>
      </c>
      <c r="BH95">
        <f>IF(AND(CROQUIS!$C$88=1,CROQUIS!$C$126&gt;0),((CROQUIS!$C$156+(IF(CROQUIS!$C$92="X",CHOOSE(IF(INT(($A95-1)/5)&gt;MAX((MIN(80,MAX(1,INT(((CROQUIS!$C$98)-CROQUIS!$C$107)/MAX(CROQUIS!$C$126,1))+1)))-1,0),0,MOD($A95-1,5))+1,0,2,CROQUIS!$C$97-2,2,0),((CROQUIS!$C$107/2+(((CROQUIS!$C$98)-CROQUIS!$C$107)-(MIN(80,MAX(1,INT(((CROQUIS!$C$98)-CROQUIS!$C$107)/MAX(CROQUIS!$C$126,1))+1))-1)*CROQUIS!$C$126)/2)+MIN(INT(($A95-1)/5),MAX((MIN(80,MAX(1,INT(((CROQUIS!$C$98)-CROQUIS!$C$107)/MAX(CROQUIS!$C$126,1))+1)))-1,0))*CROQUIS!$C$126)))*CROQUIS!$C$155)+IF(CROQUIS!$C$92="X",0,0)),-1000)</f>
        <v>-1000</v>
      </c>
      <c r="BI95">
        <f>IF(AND(CROQUIS!$C$88=1,CROQUIS!$C$126&gt;0),((CROQUIS!$C$157+(IF(CROQUIS!$C$92="X",((CROQUIS!$C$107/2+(((CROQUIS!$C$98)-CROQUIS!$C$107)-(MIN(80,MAX(1,INT(((CROQUIS!$C$98)-CROQUIS!$C$107)/MAX(CROQUIS!$C$126,1))+1))-1)*CROQUIS!$C$126)/2)+MIN(INT(($A95-1)/5),MAX((MIN(80,MAX(1,INT(((CROQUIS!$C$98)-CROQUIS!$C$107)/MAX(CROQUIS!$C$126,1))+1)))-1,0))*CROQUIS!$C$126),CHOOSE(IF(INT(($A95-1)/5)&gt;MAX((MIN(80,MAX(1,INT(((CROQUIS!$C$98)-CROQUIS!$C$107)/MAX(CROQUIS!$C$126,1))+1)))-1,0),0,MOD($A95-1,5))+1,0,2,CROQUIS!$C$97-2,2,0)))*CROQUIS!$C$155)+IF(CROQUIS!$C$92="X",0,0)),-1000)</f>
        <v>-1000</v>
      </c>
      <c r="BJ95">
        <f>IF(AND(CROQUIS!$C$88=1,CROQUIS!$C$134&gt;0),((CROQUIS!$C$156+(IF(CROQUIS!$C$92="X",((CROQUIS!$C$107/2+(((CROQUIS!$C$97)-CROQUIS!$C$107)-(MIN(80,MAX(1,INT(((CROQUIS!$C$97)-CROQUIS!$C$107)/MAX(CROQUIS!$C$134,1))+1))-1)*CROQUIS!$C$134)/2)+MIN(INT(($A95-1)/5),MAX((MIN(80,MAX(1,INT(((CROQUIS!$C$97)-CROQUIS!$C$107)/MAX(CROQUIS!$C$134,1))+1)))-1,0))*CROQUIS!$C$134),CHOOSE(IF(INT(($A95-1)/5)&gt;MAX((MIN(80,MAX(1,INT(((CROQUIS!$C$97)-CROQUIS!$C$107)/MAX(CROQUIS!$C$134,1))+1)))-1,0),0,MOD($A95-1,5))+1,0,2,CROQUIS!$C$98-2,2,0)))*CROQUIS!$C$155)+IF(CROQUIS!$C$92="X",0,0)),-1000)</f>
        <v>-1000</v>
      </c>
      <c r="BK95">
        <f>IF(AND(CROQUIS!$C$88=1,CROQUIS!$C$134&gt;0),((CROQUIS!$C$157+(IF(CROQUIS!$C$92="X",CHOOSE(IF(INT(($A95-1)/5)&gt;MAX((MIN(80,MAX(1,INT(((CROQUIS!$C$97)-CROQUIS!$C$107)/MAX(CROQUIS!$C$134,1))+1)))-1,0),0,MOD($A95-1,5))+1,0,2,CROQUIS!$C$98-2,2,0),((CROQUIS!$C$107/2+(((CROQUIS!$C$97)-CROQUIS!$C$107)-(MIN(80,MAX(1,INT(((CROQUIS!$C$97)-CROQUIS!$C$107)/MAX(CROQUIS!$C$134,1))+1))-1)*CROQUIS!$C$134)/2)+MIN(INT(($A95-1)/5),MAX((MIN(80,MAX(1,INT(((CROQUIS!$C$97)-CROQUIS!$C$107)/MAX(CROQUIS!$C$134,1))+1)))-1,0))*CROQUIS!$C$134)))*CROQUIS!$C$155)+IF(CROQUIS!$C$92="X",0,0)),-1000)</f>
        <v>-1000</v>
      </c>
      <c r="BL95">
        <f>IF(AND(CROQUIS!$C$88=1,CROQUIS!$C$91=0,CROQUIS!$C$130&gt;0,OR(CROQUIS!$C$103=1,CROQUIS!$C$142=1)),((CROQUIS!$C$156+(IF(CROQUIS!$C$92="X",CHOOSE(IF(INT(($A95-1)/5)&gt;MAX((MIN(80,MAX(1,INT(((CROQUIS!$C$98)-CROQUIS!$C$107)/MAX(CROQUIS!$C$130,1))+1)))-1,0),0,MOD($A95-1,5))+1,0,IF(CROQUIS!$C$103=1,-12,2),CROQUIS!$C$107/2+CROQUIS!$C$140,IF(CROQUIS!$C$103=1,-12,2),0),((CROQUIS!$C$107/2+(((CROQUIS!$C$98)-CROQUIS!$C$107)-(MIN(80,MAX(1,INT(((CROQUIS!$C$98)-CROQUIS!$C$107)/MAX(CROQUIS!$C$130,1))+1))-1)*CROQUIS!$C$130)/2)+MIN(INT(($A95-1)/5),MAX((MIN(80,MAX(1,INT(((CROQUIS!$C$98)-CROQUIS!$C$107)/MAX(CROQUIS!$C$130,1))+1)))-1,0))*CROQUIS!$C$130)))*CROQUIS!$C$155)+IF(CROQUIS!$C$92="X",0,0)),-1000)</f>
        <v>-1000</v>
      </c>
      <c r="BM9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95-1)/5),MAX((MIN(80,MAX(1,INT(((CROQUIS!$C$98)-CROQUIS!$C$107)/MAX(CROQUIS!$C$130,1))+1)))-1,0))*CROQUIS!$C$130),CHOOSE(IF(INT(($A95-1)/5)&gt;MAX((MIN(80,MAX(1,INT(((CROQUIS!$C$98)-CROQUIS!$C$107)/MAX(CROQUIS!$C$130,1))+1)))-1,0),0,MOD($A95-1,5))+1,0,IF(CROQUIS!$C$103=1,-12,2),CROQUIS!$C$107/2+CROQUIS!$C$140,IF(CROQUIS!$C$103=1,-12,2),0)))*CROQUIS!$C$155)+IF(CROQUIS!$C$92="X",0,0)),-1000)</f>
        <v>-1000</v>
      </c>
      <c r="BN95">
        <f>IF(AND(CROQUIS!$C$88=1,CROQUIS!$C$91=0,CROQUIS!$C$130&gt;0,OR(CROQUIS!$C$104=1,CROQUIS!$C$142=1)),((CROQUIS!$C$156+(IF(CROQUIS!$C$92="X",CHOOSE(IF(INT(($A95-1)/5)&gt;MAX((MIN(80,MAX(1,INT(((CROQUIS!$C$98)-CROQUIS!$C$107)/MAX(CROQUIS!$C$130,1))+1)))-1,0),0,MOD($A95-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95-1)/5),MAX((MIN(80,MAX(1,INT(((CROQUIS!$C$98)-CROQUIS!$C$107)/MAX(CROQUIS!$C$130,1))+1)))-1,0))*CROQUIS!$C$130)))*CROQUIS!$C$155)+IF(CROQUIS!$C$92="X",0,0)),-1000)</f>
        <v>-1000</v>
      </c>
      <c r="BO9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95-1)/5),MAX((MIN(80,MAX(1,INT(((CROQUIS!$C$98)-CROQUIS!$C$107)/MAX(CROQUIS!$C$130,1))+1)))-1,0))*CROQUIS!$C$130),CHOOSE(IF(INT(($A95-1)/5)&gt;MAX((MIN(80,MAX(1,INT(((CROQUIS!$C$98)-CROQUIS!$C$107)/MAX(CROQUIS!$C$130,1))+1)))-1,0),0,MOD($A95-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9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95-1)/5),MAX((MIN(80,MAX(1,INT(((CROQUIS!$C$97)-CROQUIS!$C$107)/MAX(CROQUIS!$C$138,1))+1)))-1,0))*CROQUIS!$C$138),CHOOSE(IF(INT(($A95-1)/5)&gt;MAX((MIN(80,MAX(1,INT(((CROQUIS!$C$97)-CROQUIS!$C$107)/MAX(CROQUIS!$C$138,1))+1)))-1,0),0,MOD($A95-1,5))+1,0,IF(CROQUIS!$C$105=1,-12,2),CROQUIS!$C$107/2+CROQUIS!$C$141,IF(CROQUIS!$C$105=1,-12,2),0)))*CROQUIS!$C$155)+IF(CROQUIS!$C$92="X",0,0)),-1000)</f>
        <v>-1000</v>
      </c>
      <c r="BQ95">
        <f>IF(AND(CROQUIS!$C$88=1,CROQUIS!$C$91=0,CROQUIS!$C$138&gt;0,OR(CROQUIS!$C$105=1,CROQUIS!$C$143=1)),((CROQUIS!$C$157+(IF(CROQUIS!$C$92="X",CHOOSE(IF(INT(($A95-1)/5)&gt;MAX((MIN(80,MAX(1,INT(((CROQUIS!$C$97)-CROQUIS!$C$107)/MAX(CROQUIS!$C$138,1))+1)))-1,0),0,MOD($A95-1,5))+1,0,IF(CROQUIS!$C$105=1,-12,2),CROQUIS!$C$107/2+CROQUIS!$C$141,IF(CROQUIS!$C$105=1,-12,2),0),((CROQUIS!$C$107/2+(((CROQUIS!$C$97)-CROQUIS!$C$107)-(MIN(80,MAX(1,INT(((CROQUIS!$C$97)-CROQUIS!$C$107)/MAX(CROQUIS!$C$138,1))+1))-1)*CROQUIS!$C$138)/2)+MIN(INT(($A95-1)/5),MAX((MIN(80,MAX(1,INT(((CROQUIS!$C$97)-CROQUIS!$C$107)/MAX(CROQUIS!$C$138,1))+1)))-1,0))*CROQUIS!$C$138)))*CROQUIS!$C$155)+IF(CROQUIS!$C$92="X",0,0)),-1000)</f>
        <v>-1000</v>
      </c>
      <c r="BR9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95-1)/5),MAX((MIN(80,MAX(1,INT(((CROQUIS!$C$97)-CROQUIS!$C$107)/MAX(CROQUIS!$C$138,1))+1)))-1,0))*CROQUIS!$C$138),CHOOSE(IF(INT(($A95-1)/5)&gt;MAX((MIN(80,MAX(1,INT(((CROQUIS!$C$97)-CROQUIS!$C$107)/MAX(CROQUIS!$C$138,1))+1)))-1,0),0,MOD($A95-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95">
        <f>IF(AND(CROQUIS!$C$88=1,CROQUIS!$C$91=0,CROQUIS!$C$138&gt;0,OR(CROQUIS!$C$106=1,CROQUIS!$C$143=1)),((CROQUIS!$C$157+(IF(CROQUIS!$C$92="X",CHOOSE(IF(INT(($A95-1)/5)&gt;MAX((MIN(80,MAX(1,INT(((CROQUIS!$C$97)-CROQUIS!$C$107)/MAX(CROQUIS!$C$138,1))+1)))-1,0),0,MOD($A95-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95-1)/5),MAX((MIN(80,MAX(1,INT(((CROQUIS!$C$97)-CROQUIS!$C$107)/MAX(CROQUIS!$C$138,1))+1)))-1,0))*CROQUIS!$C$138)))*CROQUIS!$C$155)+IF(CROQUIS!$C$92="X",0,0)),-1000)</f>
        <v>-1000</v>
      </c>
      <c r="BT95">
        <f>IF(AND(CROQUIS!$C$88=1,CROQUIS!$C$91=1,CROQUIS!$C$130&gt;0),((CROQUIS!$C$156+(IF(CROQUIS!$C$92="X",CHOOSE(IF(INT(($A95-1)/5)&gt;MAX((MIN(80,MAX(1,INT(((CROQUIS!$C$98)-CROQUIS!$C$107)/MAX(CROQUIS!$C$130,1))+1)))-1,0),0,MOD($A95-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95-1)/5),MAX((MIN(80,MAX(1,INT(((CROQUIS!$C$98)-CROQUIS!$C$107)/MAX(CROQUIS!$C$130,1))+1)))-1,0))*CROQUIS!$C$130)))*CROQUIS!$C$155)+IF(CROQUIS!$C$92="X",0,0)),-1000)</f>
        <v>-1000</v>
      </c>
      <c r="BU95">
        <f>IF(AND(CROQUIS!$C$88=1,CROQUIS!$C$91=1,CROQUIS!$C$130&gt;0),((CROQUIS!$C$157+(IF(CROQUIS!$C$92="X",((CROQUIS!$C$107/2+(((CROQUIS!$C$98)-CROQUIS!$C$107)-(MIN(80,MAX(1,INT(((CROQUIS!$C$98)-CROQUIS!$C$107)/MAX(CROQUIS!$C$130,1))+1))-1)*CROQUIS!$C$130)/2)+MIN(INT(($A95-1)/5),MAX((MIN(80,MAX(1,INT(((CROQUIS!$C$98)-CROQUIS!$C$107)/MAX(CROQUIS!$C$130,1))+1)))-1,0))*CROQUIS!$C$130),CHOOSE(IF(INT(($A95-1)/5)&gt;MAX((MIN(80,MAX(1,INT(((CROQUIS!$C$98)-CROQUIS!$C$107)/MAX(CROQUIS!$C$130,1))+1)))-1,0),0,MOD($A95-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96">
      <c r="A96" t="n">
        <v>89</v>
      </c>
      <c r="AF96">
        <f>IF(AND(CROQUIS!$C$87=1,CROQUIS!$C$158&gt;0,CROQUIS!$C$160&gt;0),(CROQUIS!$C$156+((CROQUIS!$C$159+INT(MIN(INT(($A96-1)/2),MAX((2*CROQUIS!$C$158)-1,0))/2)*CROQUIS!$C$113+MOD(MIN(INT(($A96-1)/2),MAX((2*CROQUIS!$C$158)-1,0)),2)*CROQUIS!$C$112))*CROQUIS!$C$155),-1000)</f>
        <v>85.2010845006778</v>
      </c>
      <c r="AG96">
        <f>IF(AND(CROQUIS!$C$87=1,CROQUIS!$C$158&gt;0,CROQUIS!$C$160&gt;0),(CROQUIS!$C$157+(IF(MOD(MIN(INT(($A96-1)/2),MAX((2*CROQUIS!$C$158)-1,0)),2)=0,IF(IF(INT(($A96-1)/2)&gt;MAX((2*CROQUIS!$C$158)-1,0),1,MOD($A96-1,2))=0,CROQUIS!$C$161,(CROQUIS!$C$161+CROQUIS!$C$160*CROQUIS!$C$113-CROQUIS!$C$111)),IF(IF(INT(($A96-1)/2)&gt;MAX((2*CROQUIS!$C$158)-1,0),1,MOD($A96-1,2))=0,(CROQUIS!$C$161+CROQUIS!$C$160*CROQUIS!$C$113-CROQUIS!$C$111),CROQUIS!$C$161)))*CROQUIS!$C$155),-1000)</f>
        <v>20.8088567555355</v>
      </c>
      <c r="AH96">
        <f>IF(AND(CROQUIS!$C$87=1,CROQUIS!$C$160&gt;0,CROQUIS!$C$158&gt;0),(CROQUIS!$C$156+(IF(MOD(MIN(INT(($A96-1)/2),MAX((2*CROQUIS!$C$160)-1,0)),2)=0,IF(IF(INT(($A96-1)/2)&gt;MAX((2*CROQUIS!$C$160)-1,0),1,MOD($A96-1,2))=0,CROQUIS!$C$159,(CROQUIS!$C$159+CROQUIS!$C$158*CROQUIS!$C$113-CROQUIS!$C$111)),IF(IF(INT(($A96-1)/2)&gt;MAX((2*CROQUIS!$C$160)-1,0),1,MOD($A96-1,2))=0,(CROQUIS!$C$159+CROQUIS!$C$158*CROQUIS!$C$113-CROQUIS!$C$111),CROQUIS!$C$159)))*CROQUIS!$C$155),-1000)</f>
        <v>14.7989154993222</v>
      </c>
      <c r="AI96">
        <f>IF(AND(CROQUIS!$C$87=1,CROQUIS!$C$160&gt;0,CROQUIS!$C$158&gt;0),(CROQUIS!$C$157+((CROQUIS!$C$161+INT(MIN(INT(($A96-1)/2),MAX((2*CROQUIS!$C$160)-1,0))/2)*CROQUIS!$C$113+MOD(MIN(INT(($A96-1)/2),MAX((2*CROQUIS!$C$160)-1,0)),2)*CROQUIS!$C$112))*CROQUIS!$C$155),-1000)</f>
        <v>79.1911432444645</v>
      </c>
      <c r="BH96">
        <f>IF(AND(CROQUIS!$C$88=1,CROQUIS!$C$126&gt;0),((CROQUIS!$C$156+(IF(CROQUIS!$C$92="X",CHOOSE(IF(INT(($A96-1)/5)&gt;MAX((MIN(80,MAX(1,INT(((CROQUIS!$C$98)-CROQUIS!$C$107)/MAX(CROQUIS!$C$126,1))+1)))-1,0),0,MOD($A96-1,5))+1,0,2,CROQUIS!$C$97-2,2,0),((CROQUIS!$C$107/2+(((CROQUIS!$C$98)-CROQUIS!$C$107)-(MIN(80,MAX(1,INT(((CROQUIS!$C$98)-CROQUIS!$C$107)/MAX(CROQUIS!$C$126,1))+1))-1)*CROQUIS!$C$126)/2)+MIN(INT(($A96-1)/5),MAX((MIN(80,MAX(1,INT(((CROQUIS!$C$98)-CROQUIS!$C$107)/MAX(CROQUIS!$C$126,1))+1)))-1,0))*CROQUIS!$C$126)))*CROQUIS!$C$155)+IF(CROQUIS!$C$92="X",0,0)),-1000)</f>
        <v>-1000</v>
      </c>
      <c r="BI96">
        <f>IF(AND(CROQUIS!$C$88=1,CROQUIS!$C$126&gt;0),((CROQUIS!$C$157+(IF(CROQUIS!$C$92="X",((CROQUIS!$C$107/2+(((CROQUIS!$C$98)-CROQUIS!$C$107)-(MIN(80,MAX(1,INT(((CROQUIS!$C$98)-CROQUIS!$C$107)/MAX(CROQUIS!$C$126,1))+1))-1)*CROQUIS!$C$126)/2)+MIN(INT(($A96-1)/5),MAX((MIN(80,MAX(1,INT(((CROQUIS!$C$98)-CROQUIS!$C$107)/MAX(CROQUIS!$C$126,1))+1)))-1,0))*CROQUIS!$C$126),CHOOSE(IF(INT(($A96-1)/5)&gt;MAX((MIN(80,MAX(1,INT(((CROQUIS!$C$98)-CROQUIS!$C$107)/MAX(CROQUIS!$C$126,1))+1)))-1,0),0,MOD($A96-1,5))+1,0,2,CROQUIS!$C$97-2,2,0)))*CROQUIS!$C$155)+IF(CROQUIS!$C$92="X",0,0)),-1000)</f>
        <v>-1000</v>
      </c>
      <c r="BJ96">
        <f>IF(AND(CROQUIS!$C$88=1,CROQUIS!$C$134&gt;0),((CROQUIS!$C$156+(IF(CROQUIS!$C$92="X",((CROQUIS!$C$107/2+(((CROQUIS!$C$97)-CROQUIS!$C$107)-(MIN(80,MAX(1,INT(((CROQUIS!$C$97)-CROQUIS!$C$107)/MAX(CROQUIS!$C$134,1))+1))-1)*CROQUIS!$C$134)/2)+MIN(INT(($A96-1)/5),MAX((MIN(80,MAX(1,INT(((CROQUIS!$C$97)-CROQUIS!$C$107)/MAX(CROQUIS!$C$134,1))+1)))-1,0))*CROQUIS!$C$134),CHOOSE(IF(INT(($A96-1)/5)&gt;MAX((MIN(80,MAX(1,INT(((CROQUIS!$C$97)-CROQUIS!$C$107)/MAX(CROQUIS!$C$134,1))+1)))-1,0),0,MOD($A96-1,5))+1,0,2,CROQUIS!$C$98-2,2,0)))*CROQUIS!$C$155)+IF(CROQUIS!$C$92="X",0,0)),-1000)</f>
        <v>-1000</v>
      </c>
      <c r="BK96">
        <f>IF(AND(CROQUIS!$C$88=1,CROQUIS!$C$134&gt;0),((CROQUIS!$C$157+(IF(CROQUIS!$C$92="X",CHOOSE(IF(INT(($A96-1)/5)&gt;MAX((MIN(80,MAX(1,INT(((CROQUIS!$C$97)-CROQUIS!$C$107)/MAX(CROQUIS!$C$134,1))+1)))-1,0),0,MOD($A96-1,5))+1,0,2,CROQUIS!$C$98-2,2,0),((CROQUIS!$C$107/2+(((CROQUIS!$C$97)-CROQUIS!$C$107)-(MIN(80,MAX(1,INT(((CROQUIS!$C$97)-CROQUIS!$C$107)/MAX(CROQUIS!$C$134,1))+1))-1)*CROQUIS!$C$134)/2)+MIN(INT(($A96-1)/5),MAX((MIN(80,MAX(1,INT(((CROQUIS!$C$97)-CROQUIS!$C$107)/MAX(CROQUIS!$C$134,1))+1)))-1,0))*CROQUIS!$C$134)))*CROQUIS!$C$155)+IF(CROQUIS!$C$92="X",0,0)),-1000)</f>
        <v>-1000</v>
      </c>
      <c r="BL96">
        <f>IF(AND(CROQUIS!$C$88=1,CROQUIS!$C$91=0,CROQUIS!$C$130&gt;0,OR(CROQUIS!$C$103=1,CROQUIS!$C$142=1)),((CROQUIS!$C$156+(IF(CROQUIS!$C$92="X",CHOOSE(IF(INT(($A96-1)/5)&gt;MAX((MIN(80,MAX(1,INT(((CROQUIS!$C$98)-CROQUIS!$C$107)/MAX(CROQUIS!$C$130,1))+1)))-1,0),0,MOD($A96-1,5))+1,0,IF(CROQUIS!$C$103=1,-12,2),CROQUIS!$C$107/2+CROQUIS!$C$140,IF(CROQUIS!$C$103=1,-12,2),0),((CROQUIS!$C$107/2+(((CROQUIS!$C$98)-CROQUIS!$C$107)-(MIN(80,MAX(1,INT(((CROQUIS!$C$98)-CROQUIS!$C$107)/MAX(CROQUIS!$C$130,1))+1))-1)*CROQUIS!$C$130)/2)+MIN(INT(($A96-1)/5),MAX((MIN(80,MAX(1,INT(((CROQUIS!$C$98)-CROQUIS!$C$107)/MAX(CROQUIS!$C$130,1))+1)))-1,0))*CROQUIS!$C$130)))*CROQUIS!$C$155)+IF(CROQUIS!$C$92="X",0,0)),-1000)</f>
        <v>-1000</v>
      </c>
      <c r="BM9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96-1)/5),MAX((MIN(80,MAX(1,INT(((CROQUIS!$C$98)-CROQUIS!$C$107)/MAX(CROQUIS!$C$130,1))+1)))-1,0))*CROQUIS!$C$130),CHOOSE(IF(INT(($A96-1)/5)&gt;MAX((MIN(80,MAX(1,INT(((CROQUIS!$C$98)-CROQUIS!$C$107)/MAX(CROQUIS!$C$130,1))+1)))-1,0),0,MOD($A96-1,5))+1,0,IF(CROQUIS!$C$103=1,-12,2),CROQUIS!$C$107/2+CROQUIS!$C$140,IF(CROQUIS!$C$103=1,-12,2),0)))*CROQUIS!$C$155)+IF(CROQUIS!$C$92="X",0,0)),-1000)</f>
        <v>-1000</v>
      </c>
      <c r="BN96">
        <f>IF(AND(CROQUIS!$C$88=1,CROQUIS!$C$91=0,CROQUIS!$C$130&gt;0,OR(CROQUIS!$C$104=1,CROQUIS!$C$142=1)),((CROQUIS!$C$156+(IF(CROQUIS!$C$92="X",CHOOSE(IF(INT(($A96-1)/5)&gt;MAX((MIN(80,MAX(1,INT(((CROQUIS!$C$98)-CROQUIS!$C$107)/MAX(CROQUIS!$C$130,1))+1)))-1,0),0,MOD($A96-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96-1)/5),MAX((MIN(80,MAX(1,INT(((CROQUIS!$C$98)-CROQUIS!$C$107)/MAX(CROQUIS!$C$130,1))+1)))-1,0))*CROQUIS!$C$130)))*CROQUIS!$C$155)+IF(CROQUIS!$C$92="X",0,0)),-1000)</f>
        <v>-1000</v>
      </c>
      <c r="BO9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96-1)/5),MAX((MIN(80,MAX(1,INT(((CROQUIS!$C$98)-CROQUIS!$C$107)/MAX(CROQUIS!$C$130,1))+1)))-1,0))*CROQUIS!$C$130),CHOOSE(IF(INT(($A96-1)/5)&gt;MAX((MIN(80,MAX(1,INT(((CROQUIS!$C$98)-CROQUIS!$C$107)/MAX(CROQUIS!$C$130,1))+1)))-1,0),0,MOD($A96-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9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96-1)/5),MAX((MIN(80,MAX(1,INT(((CROQUIS!$C$97)-CROQUIS!$C$107)/MAX(CROQUIS!$C$138,1))+1)))-1,0))*CROQUIS!$C$138),CHOOSE(IF(INT(($A96-1)/5)&gt;MAX((MIN(80,MAX(1,INT(((CROQUIS!$C$97)-CROQUIS!$C$107)/MAX(CROQUIS!$C$138,1))+1)))-1,0),0,MOD($A96-1,5))+1,0,IF(CROQUIS!$C$105=1,-12,2),CROQUIS!$C$107/2+CROQUIS!$C$141,IF(CROQUIS!$C$105=1,-12,2),0)))*CROQUIS!$C$155)+IF(CROQUIS!$C$92="X",0,0)),-1000)</f>
        <v>-1000</v>
      </c>
      <c r="BQ96">
        <f>IF(AND(CROQUIS!$C$88=1,CROQUIS!$C$91=0,CROQUIS!$C$138&gt;0,OR(CROQUIS!$C$105=1,CROQUIS!$C$143=1)),((CROQUIS!$C$157+(IF(CROQUIS!$C$92="X",CHOOSE(IF(INT(($A96-1)/5)&gt;MAX((MIN(80,MAX(1,INT(((CROQUIS!$C$97)-CROQUIS!$C$107)/MAX(CROQUIS!$C$138,1))+1)))-1,0),0,MOD($A96-1,5))+1,0,IF(CROQUIS!$C$105=1,-12,2),CROQUIS!$C$107/2+CROQUIS!$C$141,IF(CROQUIS!$C$105=1,-12,2),0),((CROQUIS!$C$107/2+(((CROQUIS!$C$97)-CROQUIS!$C$107)-(MIN(80,MAX(1,INT(((CROQUIS!$C$97)-CROQUIS!$C$107)/MAX(CROQUIS!$C$138,1))+1))-1)*CROQUIS!$C$138)/2)+MIN(INT(($A96-1)/5),MAX((MIN(80,MAX(1,INT(((CROQUIS!$C$97)-CROQUIS!$C$107)/MAX(CROQUIS!$C$138,1))+1)))-1,0))*CROQUIS!$C$138)))*CROQUIS!$C$155)+IF(CROQUIS!$C$92="X",0,0)),-1000)</f>
        <v>-1000</v>
      </c>
      <c r="BR9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96-1)/5),MAX((MIN(80,MAX(1,INT(((CROQUIS!$C$97)-CROQUIS!$C$107)/MAX(CROQUIS!$C$138,1))+1)))-1,0))*CROQUIS!$C$138),CHOOSE(IF(INT(($A96-1)/5)&gt;MAX((MIN(80,MAX(1,INT(((CROQUIS!$C$97)-CROQUIS!$C$107)/MAX(CROQUIS!$C$138,1))+1)))-1,0),0,MOD($A96-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96">
        <f>IF(AND(CROQUIS!$C$88=1,CROQUIS!$C$91=0,CROQUIS!$C$138&gt;0,OR(CROQUIS!$C$106=1,CROQUIS!$C$143=1)),((CROQUIS!$C$157+(IF(CROQUIS!$C$92="X",CHOOSE(IF(INT(($A96-1)/5)&gt;MAX((MIN(80,MAX(1,INT(((CROQUIS!$C$97)-CROQUIS!$C$107)/MAX(CROQUIS!$C$138,1))+1)))-1,0),0,MOD($A96-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96-1)/5),MAX((MIN(80,MAX(1,INT(((CROQUIS!$C$97)-CROQUIS!$C$107)/MAX(CROQUIS!$C$138,1))+1)))-1,0))*CROQUIS!$C$138)))*CROQUIS!$C$155)+IF(CROQUIS!$C$92="X",0,0)),-1000)</f>
        <v>-1000</v>
      </c>
      <c r="BT96">
        <f>IF(AND(CROQUIS!$C$88=1,CROQUIS!$C$91=1,CROQUIS!$C$130&gt;0),((CROQUIS!$C$156+(IF(CROQUIS!$C$92="X",CHOOSE(IF(INT(($A96-1)/5)&gt;MAX((MIN(80,MAX(1,INT(((CROQUIS!$C$98)-CROQUIS!$C$107)/MAX(CROQUIS!$C$130,1))+1)))-1,0),0,MOD($A96-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96-1)/5),MAX((MIN(80,MAX(1,INT(((CROQUIS!$C$98)-CROQUIS!$C$107)/MAX(CROQUIS!$C$130,1))+1)))-1,0))*CROQUIS!$C$130)))*CROQUIS!$C$155)+IF(CROQUIS!$C$92="X",0,0)),-1000)</f>
        <v>-1000</v>
      </c>
      <c r="BU96">
        <f>IF(AND(CROQUIS!$C$88=1,CROQUIS!$C$91=1,CROQUIS!$C$130&gt;0),((CROQUIS!$C$157+(IF(CROQUIS!$C$92="X",((CROQUIS!$C$107/2+(((CROQUIS!$C$98)-CROQUIS!$C$107)-(MIN(80,MAX(1,INT(((CROQUIS!$C$98)-CROQUIS!$C$107)/MAX(CROQUIS!$C$130,1))+1))-1)*CROQUIS!$C$130)/2)+MIN(INT(($A96-1)/5),MAX((MIN(80,MAX(1,INT(((CROQUIS!$C$98)-CROQUIS!$C$107)/MAX(CROQUIS!$C$130,1))+1)))-1,0))*CROQUIS!$C$130),CHOOSE(IF(INT(($A96-1)/5)&gt;MAX((MIN(80,MAX(1,INT(((CROQUIS!$C$98)-CROQUIS!$C$107)/MAX(CROQUIS!$C$130,1))+1)))-1,0),0,MOD($A96-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97">
      <c r="A97" t="n">
        <v>90</v>
      </c>
      <c r="AF97">
        <f>IF(AND(CROQUIS!$C$87=1,CROQUIS!$C$158&gt;0,CROQUIS!$C$160&gt;0),(CROQUIS!$C$156+((CROQUIS!$C$159+INT(MIN(INT(($A97-1)/2),MAX((2*CROQUIS!$C$158)-1,0))/2)*CROQUIS!$C$113+MOD(MIN(INT(($A97-1)/2),MAX((2*CROQUIS!$C$158)-1,0)),2)*CROQUIS!$C$112))*CROQUIS!$C$155),-1000)</f>
        <v>85.2010845006778</v>
      </c>
      <c r="AG97">
        <f>IF(AND(CROQUIS!$C$87=1,CROQUIS!$C$158&gt;0,CROQUIS!$C$160&gt;0),(CROQUIS!$C$157+(IF(MOD(MIN(INT(($A97-1)/2),MAX((2*CROQUIS!$C$158)-1,0)),2)=0,IF(IF(INT(($A97-1)/2)&gt;MAX((2*CROQUIS!$C$158)-1,0),1,MOD($A97-1,2))=0,CROQUIS!$C$161,(CROQUIS!$C$161+CROQUIS!$C$160*CROQUIS!$C$113-CROQUIS!$C$111)),IF(IF(INT(($A97-1)/2)&gt;MAX((2*CROQUIS!$C$158)-1,0),1,MOD($A97-1,2))=0,(CROQUIS!$C$161+CROQUIS!$C$160*CROQUIS!$C$113-CROQUIS!$C$111),CROQUIS!$C$161)))*CROQUIS!$C$155),-1000)</f>
        <v>20.8088567555355</v>
      </c>
      <c r="AH97">
        <f>IF(AND(CROQUIS!$C$87=1,CROQUIS!$C$160&gt;0,CROQUIS!$C$158&gt;0),(CROQUIS!$C$156+(IF(MOD(MIN(INT(($A97-1)/2),MAX((2*CROQUIS!$C$160)-1,0)),2)=0,IF(IF(INT(($A97-1)/2)&gt;MAX((2*CROQUIS!$C$160)-1,0),1,MOD($A97-1,2))=0,CROQUIS!$C$159,(CROQUIS!$C$159+CROQUIS!$C$158*CROQUIS!$C$113-CROQUIS!$C$111)),IF(IF(INT(($A97-1)/2)&gt;MAX((2*CROQUIS!$C$160)-1,0),1,MOD($A97-1,2))=0,(CROQUIS!$C$159+CROQUIS!$C$158*CROQUIS!$C$113-CROQUIS!$C$111),CROQUIS!$C$159)))*CROQUIS!$C$155),-1000)</f>
        <v>14.7989154993222</v>
      </c>
      <c r="AI97">
        <f>IF(AND(CROQUIS!$C$87=1,CROQUIS!$C$160&gt;0,CROQUIS!$C$158&gt;0),(CROQUIS!$C$157+((CROQUIS!$C$161+INT(MIN(INT(($A97-1)/2),MAX((2*CROQUIS!$C$160)-1,0))/2)*CROQUIS!$C$113+MOD(MIN(INT(($A97-1)/2),MAX((2*CROQUIS!$C$160)-1,0)),2)*CROQUIS!$C$112))*CROQUIS!$C$155),-1000)</f>
        <v>79.1911432444645</v>
      </c>
      <c r="BH97">
        <f>IF(AND(CROQUIS!$C$88=1,CROQUIS!$C$126&gt;0),((CROQUIS!$C$156+(IF(CROQUIS!$C$92="X",CHOOSE(IF(INT(($A97-1)/5)&gt;MAX((MIN(80,MAX(1,INT(((CROQUIS!$C$98)-CROQUIS!$C$107)/MAX(CROQUIS!$C$126,1))+1)))-1,0),0,MOD($A97-1,5))+1,0,2,CROQUIS!$C$97-2,2,0),((CROQUIS!$C$107/2+(((CROQUIS!$C$98)-CROQUIS!$C$107)-(MIN(80,MAX(1,INT(((CROQUIS!$C$98)-CROQUIS!$C$107)/MAX(CROQUIS!$C$126,1))+1))-1)*CROQUIS!$C$126)/2)+MIN(INT(($A97-1)/5),MAX((MIN(80,MAX(1,INT(((CROQUIS!$C$98)-CROQUIS!$C$107)/MAX(CROQUIS!$C$126,1))+1)))-1,0))*CROQUIS!$C$126)))*CROQUIS!$C$155)+IF(CROQUIS!$C$92="X",0,0)),-1000)</f>
        <v>-1000</v>
      </c>
      <c r="BI97">
        <f>IF(AND(CROQUIS!$C$88=1,CROQUIS!$C$126&gt;0),((CROQUIS!$C$157+(IF(CROQUIS!$C$92="X",((CROQUIS!$C$107/2+(((CROQUIS!$C$98)-CROQUIS!$C$107)-(MIN(80,MAX(1,INT(((CROQUIS!$C$98)-CROQUIS!$C$107)/MAX(CROQUIS!$C$126,1))+1))-1)*CROQUIS!$C$126)/2)+MIN(INT(($A97-1)/5),MAX((MIN(80,MAX(1,INT(((CROQUIS!$C$98)-CROQUIS!$C$107)/MAX(CROQUIS!$C$126,1))+1)))-1,0))*CROQUIS!$C$126),CHOOSE(IF(INT(($A97-1)/5)&gt;MAX((MIN(80,MAX(1,INT(((CROQUIS!$C$98)-CROQUIS!$C$107)/MAX(CROQUIS!$C$126,1))+1)))-1,0),0,MOD($A97-1,5))+1,0,2,CROQUIS!$C$97-2,2,0)))*CROQUIS!$C$155)+IF(CROQUIS!$C$92="X",0,0)),-1000)</f>
        <v>-1000</v>
      </c>
      <c r="BJ97">
        <f>IF(AND(CROQUIS!$C$88=1,CROQUIS!$C$134&gt;0),((CROQUIS!$C$156+(IF(CROQUIS!$C$92="X",((CROQUIS!$C$107/2+(((CROQUIS!$C$97)-CROQUIS!$C$107)-(MIN(80,MAX(1,INT(((CROQUIS!$C$97)-CROQUIS!$C$107)/MAX(CROQUIS!$C$134,1))+1))-1)*CROQUIS!$C$134)/2)+MIN(INT(($A97-1)/5),MAX((MIN(80,MAX(1,INT(((CROQUIS!$C$97)-CROQUIS!$C$107)/MAX(CROQUIS!$C$134,1))+1)))-1,0))*CROQUIS!$C$134),CHOOSE(IF(INT(($A97-1)/5)&gt;MAX((MIN(80,MAX(1,INT(((CROQUIS!$C$97)-CROQUIS!$C$107)/MAX(CROQUIS!$C$134,1))+1)))-1,0),0,MOD($A97-1,5))+1,0,2,CROQUIS!$C$98-2,2,0)))*CROQUIS!$C$155)+IF(CROQUIS!$C$92="X",0,0)),-1000)</f>
        <v>-1000</v>
      </c>
      <c r="BK97">
        <f>IF(AND(CROQUIS!$C$88=1,CROQUIS!$C$134&gt;0),((CROQUIS!$C$157+(IF(CROQUIS!$C$92="X",CHOOSE(IF(INT(($A97-1)/5)&gt;MAX((MIN(80,MAX(1,INT(((CROQUIS!$C$97)-CROQUIS!$C$107)/MAX(CROQUIS!$C$134,1))+1)))-1,0),0,MOD($A97-1,5))+1,0,2,CROQUIS!$C$98-2,2,0),((CROQUIS!$C$107/2+(((CROQUIS!$C$97)-CROQUIS!$C$107)-(MIN(80,MAX(1,INT(((CROQUIS!$C$97)-CROQUIS!$C$107)/MAX(CROQUIS!$C$134,1))+1))-1)*CROQUIS!$C$134)/2)+MIN(INT(($A97-1)/5),MAX((MIN(80,MAX(1,INT(((CROQUIS!$C$97)-CROQUIS!$C$107)/MAX(CROQUIS!$C$134,1))+1)))-1,0))*CROQUIS!$C$134)))*CROQUIS!$C$155)+IF(CROQUIS!$C$92="X",0,0)),-1000)</f>
        <v>-1000</v>
      </c>
      <c r="BL97">
        <f>IF(AND(CROQUIS!$C$88=1,CROQUIS!$C$91=0,CROQUIS!$C$130&gt;0,OR(CROQUIS!$C$103=1,CROQUIS!$C$142=1)),((CROQUIS!$C$156+(IF(CROQUIS!$C$92="X",CHOOSE(IF(INT(($A97-1)/5)&gt;MAX((MIN(80,MAX(1,INT(((CROQUIS!$C$98)-CROQUIS!$C$107)/MAX(CROQUIS!$C$130,1))+1)))-1,0),0,MOD($A97-1,5))+1,0,IF(CROQUIS!$C$103=1,-12,2),CROQUIS!$C$107/2+CROQUIS!$C$140,IF(CROQUIS!$C$103=1,-12,2),0),((CROQUIS!$C$107/2+(((CROQUIS!$C$98)-CROQUIS!$C$107)-(MIN(80,MAX(1,INT(((CROQUIS!$C$98)-CROQUIS!$C$107)/MAX(CROQUIS!$C$130,1))+1))-1)*CROQUIS!$C$130)/2)+MIN(INT(($A97-1)/5),MAX((MIN(80,MAX(1,INT(((CROQUIS!$C$98)-CROQUIS!$C$107)/MAX(CROQUIS!$C$130,1))+1)))-1,0))*CROQUIS!$C$130)))*CROQUIS!$C$155)+IF(CROQUIS!$C$92="X",0,0)),-1000)</f>
        <v>-1000</v>
      </c>
      <c r="BM9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97-1)/5),MAX((MIN(80,MAX(1,INT(((CROQUIS!$C$98)-CROQUIS!$C$107)/MAX(CROQUIS!$C$130,1))+1)))-1,0))*CROQUIS!$C$130),CHOOSE(IF(INT(($A97-1)/5)&gt;MAX((MIN(80,MAX(1,INT(((CROQUIS!$C$98)-CROQUIS!$C$107)/MAX(CROQUIS!$C$130,1))+1)))-1,0),0,MOD($A97-1,5))+1,0,IF(CROQUIS!$C$103=1,-12,2),CROQUIS!$C$107/2+CROQUIS!$C$140,IF(CROQUIS!$C$103=1,-12,2),0)))*CROQUIS!$C$155)+IF(CROQUIS!$C$92="X",0,0)),-1000)</f>
        <v>-1000</v>
      </c>
      <c r="BN97">
        <f>IF(AND(CROQUIS!$C$88=1,CROQUIS!$C$91=0,CROQUIS!$C$130&gt;0,OR(CROQUIS!$C$104=1,CROQUIS!$C$142=1)),((CROQUIS!$C$156+(IF(CROQUIS!$C$92="X",CHOOSE(IF(INT(($A97-1)/5)&gt;MAX((MIN(80,MAX(1,INT(((CROQUIS!$C$98)-CROQUIS!$C$107)/MAX(CROQUIS!$C$130,1))+1)))-1,0),0,MOD($A97-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97-1)/5),MAX((MIN(80,MAX(1,INT(((CROQUIS!$C$98)-CROQUIS!$C$107)/MAX(CROQUIS!$C$130,1))+1)))-1,0))*CROQUIS!$C$130)))*CROQUIS!$C$155)+IF(CROQUIS!$C$92="X",0,0)),-1000)</f>
        <v>-1000</v>
      </c>
      <c r="BO9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97-1)/5),MAX((MIN(80,MAX(1,INT(((CROQUIS!$C$98)-CROQUIS!$C$107)/MAX(CROQUIS!$C$130,1))+1)))-1,0))*CROQUIS!$C$130),CHOOSE(IF(INT(($A97-1)/5)&gt;MAX((MIN(80,MAX(1,INT(((CROQUIS!$C$98)-CROQUIS!$C$107)/MAX(CROQUIS!$C$130,1))+1)))-1,0),0,MOD($A97-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9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97-1)/5),MAX((MIN(80,MAX(1,INT(((CROQUIS!$C$97)-CROQUIS!$C$107)/MAX(CROQUIS!$C$138,1))+1)))-1,0))*CROQUIS!$C$138),CHOOSE(IF(INT(($A97-1)/5)&gt;MAX((MIN(80,MAX(1,INT(((CROQUIS!$C$97)-CROQUIS!$C$107)/MAX(CROQUIS!$C$138,1))+1)))-1,0),0,MOD($A97-1,5))+1,0,IF(CROQUIS!$C$105=1,-12,2),CROQUIS!$C$107/2+CROQUIS!$C$141,IF(CROQUIS!$C$105=1,-12,2),0)))*CROQUIS!$C$155)+IF(CROQUIS!$C$92="X",0,0)),-1000)</f>
        <v>-1000</v>
      </c>
      <c r="BQ97">
        <f>IF(AND(CROQUIS!$C$88=1,CROQUIS!$C$91=0,CROQUIS!$C$138&gt;0,OR(CROQUIS!$C$105=1,CROQUIS!$C$143=1)),((CROQUIS!$C$157+(IF(CROQUIS!$C$92="X",CHOOSE(IF(INT(($A97-1)/5)&gt;MAX((MIN(80,MAX(1,INT(((CROQUIS!$C$97)-CROQUIS!$C$107)/MAX(CROQUIS!$C$138,1))+1)))-1,0),0,MOD($A97-1,5))+1,0,IF(CROQUIS!$C$105=1,-12,2),CROQUIS!$C$107/2+CROQUIS!$C$141,IF(CROQUIS!$C$105=1,-12,2),0),((CROQUIS!$C$107/2+(((CROQUIS!$C$97)-CROQUIS!$C$107)-(MIN(80,MAX(1,INT(((CROQUIS!$C$97)-CROQUIS!$C$107)/MAX(CROQUIS!$C$138,1))+1))-1)*CROQUIS!$C$138)/2)+MIN(INT(($A97-1)/5),MAX((MIN(80,MAX(1,INT(((CROQUIS!$C$97)-CROQUIS!$C$107)/MAX(CROQUIS!$C$138,1))+1)))-1,0))*CROQUIS!$C$138)))*CROQUIS!$C$155)+IF(CROQUIS!$C$92="X",0,0)),-1000)</f>
        <v>-1000</v>
      </c>
      <c r="BR9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97-1)/5),MAX((MIN(80,MAX(1,INT(((CROQUIS!$C$97)-CROQUIS!$C$107)/MAX(CROQUIS!$C$138,1))+1)))-1,0))*CROQUIS!$C$138),CHOOSE(IF(INT(($A97-1)/5)&gt;MAX((MIN(80,MAX(1,INT(((CROQUIS!$C$97)-CROQUIS!$C$107)/MAX(CROQUIS!$C$138,1))+1)))-1,0),0,MOD($A97-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97">
        <f>IF(AND(CROQUIS!$C$88=1,CROQUIS!$C$91=0,CROQUIS!$C$138&gt;0,OR(CROQUIS!$C$106=1,CROQUIS!$C$143=1)),((CROQUIS!$C$157+(IF(CROQUIS!$C$92="X",CHOOSE(IF(INT(($A97-1)/5)&gt;MAX((MIN(80,MAX(1,INT(((CROQUIS!$C$97)-CROQUIS!$C$107)/MAX(CROQUIS!$C$138,1))+1)))-1,0),0,MOD($A97-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97-1)/5),MAX((MIN(80,MAX(1,INT(((CROQUIS!$C$97)-CROQUIS!$C$107)/MAX(CROQUIS!$C$138,1))+1)))-1,0))*CROQUIS!$C$138)))*CROQUIS!$C$155)+IF(CROQUIS!$C$92="X",0,0)),-1000)</f>
        <v>-1000</v>
      </c>
      <c r="BT97">
        <f>IF(AND(CROQUIS!$C$88=1,CROQUIS!$C$91=1,CROQUIS!$C$130&gt;0),((CROQUIS!$C$156+(IF(CROQUIS!$C$92="X",CHOOSE(IF(INT(($A97-1)/5)&gt;MAX((MIN(80,MAX(1,INT(((CROQUIS!$C$98)-CROQUIS!$C$107)/MAX(CROQUIS!$C$130,1))+1)))-1,0),0,MOD($A97-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97-1)/5),MAX((MIN(80,MAX(1,INT(((CROQUIS!$C$98)-CROQUIS!$C$107)/MAX(CROQUIS!$C$130,1))+1)))-1,0))*CROQUIS!$C$130)))*CROQUIS!$C$155)+IF(CROQUIS!$C$92="X",0,0)),-1000)</f>
        <v>-1000</v>
      </c>
      <c r="BU97">
        <f>IF(AND(CROQUIS!$C$88=1,CROQUIS!$C$91=1,CROQUIS!$C$130&gt;0),((CROQUIS!$C$157+(IF(CROQUIS!$C$92="X",((CROQUIS!$C$107/2+(((CROQUIS!$C$98)-CROQUIS!$C$107)-(MIN(80,MAX(1,INT(((CROQUIS!$C$98)-CROQUIS!$C$107)/MAX(CROQUIS!$C$130,1))+1))-1)*CROQUIS!$C$130)/2)+MIN(INT(($A97-1)/5),MAX((MIN(80,MAX(1,INT(((CROQUIS!$C$98)-CROQUIS!$C$107)/MAX(CROQUIS!$C$130,1))+1)))-1,0))*CROQUIS!$C$130),CHOOSE(IF(INT(($A97-1)/5)&gt;MAX((MIN(80,MAX(1,INT(((CROQUIS!$C$98)-CROQUIS!$C$107)/MAX(CROQUIS!$C$130,1))+1)))-1,0),0,MOD($A97-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98">
      <c r="A98" t="n">
        <v>91</v>
      </c>
      <c r="AF98">
        <f>IF(AND(CROQUIS!$C$87=1,CROQUIS!$C$158&gt;0,CROQUIS!$C$160&gt;0),(CROQUIS!$C$156+((CROQUIS!$C$159+INT(MIN(INT(($A98-1)/2),MAX((2*CROQUIS!$C$158)-1,0))/2)*CROQUIS!$C$113+MOD(MIN(INT(($A98-1)/2),MAX((2*CROQUIS!$C$158)-1,0)),2)*CROQUIS!$C$112))*CROQUIS!$C$155),-1000)</f>
        <v>85.2010845006778</v>
      </c>
      <c r="AG98">
        <f>IF(AND(CROQUIS!$C$87=1,CROQUIS!$C$158&gt;0,CROQUIS!$C$160&gt;0),(CROQUIS!$C$157+(IF(MOD(MIN(INT(($A98-1)/2),MAX((2*CROQUIS!$C$158)-1,0)),2)=0,IF(IF(INT(($A98-1)/2)&gt;MAX((2*CROQUIS!$C$158)-1,0),1,MOD($A98-1,2))=0,CROQUIS!$C$161,(CROQUIS!$C$161+CROQUIS!$C$160*CROQUIS!$C$113-CROQUIS!$C$111)),IF(IF(INT(($A98-1)/2)&gt;MAX((2*CROQUIS!$C$158)-1,0),1,MOD($A98-1,2))=0,(CROQUIS!$C$161+CROQUIS!$C$160*CROQUIS!$C$113-CROQUIS!$C$111),CROQUIS!$C$161)))*CROQUIS!$C$155),-1000)</f>
        <v>20.8088567555355</v>
      </c>
      <c r="AH98">
        <f>IF(AND(CROQUIS!$C$87=1,CROQUIS!$C$160&gt;0,CROQUIS!$C$158&gt;0),(CROQUIS!$C$156+(IF(MOD(MIN(INT(($A98-1)/2),MAX((2*CROQUIS!$C$160)-1,0)),2)=0,IF(IF(INT(($A98-1)/2)&gt;MAX((2*CROQUIS!$C$160)-1,0),1,MOD($A98-1,2))=0,CROQUIS!$C$159,(CROQUIS!$C$159+CROQUIS!$C$158*CROQUIS!$C$113-CROQUIS!$C$111)),IF(IF(INT(($A98-1)/2)&gt;MAX((2*CROQUIS!$C$160)-1,0),1,MOD($A98-1,2))=0,(CROQUIS!$C$159+CROQUIS!$C$158*CROQUIS!$C$113-CROQUIS!$C$111),CROQUIS!$C$159)))*CROQUIS!$C$155),-1000)</f>
        <v>14.7989154993222</v>
      </c>
      <c r="AI98">
        <f>IF(AND(CROQUIS!$C$87=1,CROQUIS!$C$160&gt;0,CROQUIS!$C$158&gt;0),(CROQUIS!$C$157+((CROQUIS!$C$161+INT(MIN(INT(($A98-1)/2),MAX((2*CROQUIS!$C$160)-1,0))/2)*CROQUIS!$C$113+MOD(MIN(INT(($A98-1)/2),MAX((2*CROQUIS!$C$160)-1,0)),2)*CROQUIS!$C$112))*CROQUIS!$C$155),-1000)</f>
        <v>79.1911432444645</v>
      </c>
      <c r="BH98">
        <f>IF(AND(CROQUIS!$C$88=1,CROQUIS!$C$126&gt;0),((CROQUIS!$C$156+(IF(CROQUIS!$C$92="X",CHOOSE(IF(INT(($A98-1)/5)&gt;MAX((MIN(80,MAX(1,INT(((CROQUIS!$C$98)-CROQUIS!$C$107)/MAX(CROQUIS!$C$126,1))+1)))-1,0),0,MOD($A98-1,5))+1,0,2,CROQUIS!$C$97-2,2,0),((CROQUIS!$C$107/2+(((CROQUIS!$C$98)-CROQUIS!$C$107)-(MIN(80,MAX(1,INT(((CROQUIS!$C$98)-CROQUIS!$C$107)/MAX(CROQUIS!$C$126,1))+1))-1)*CROQUIS!$C$126)/2)+MIN(INT(($A98-1)/5),MAX((MIN(80,MAX(1,INT(((CROQUIS!$C$98)-CROQUIS!$C$107)/MAX(CROQUIS!$C$126,1))+1)))-1,0))*CROQUIS!$C$126)))*CROQUIS!$C$155)+IF(CROQUIS!$C$92="X",0,0)),-1000)</f>
        <v>-1000</v>
      </c>
      <c r="BI98">
        <f>IF(AND(CROQUIS!$C$88=1,CROQUIS!$C$126&gt;0),((CROQUIS!$C$157+(IF(CROQUIS!$C$92="X",((CROQUIS!$C$107/2+(((CROQUIS!$C$98)-CROQUIS!$C$107)-(MIN(80,MAX(1,INT(((CROQUIS!$C$98)-CROQUIS!$C$107)/MAX(CROQUIS!$C$126,1))+1))-1)*CROQUIS!$C$126)/2)+MIN(INT(($A98-1)/5),MAX((MIN(80,MAX(1,INT(((CROQUIS!$C$98)-CROQUIS!$C$107)/MAX(CROQUIS!$C$126,1))+1)))-1,0))*CROQUIS!$C$126),CHOOSE(IF(INT(($A98-1)/5)&gt;MAX((MIN(80,MAX(1,INT(((CROQUIS!$C$98)-CROQUIS!$C$107)/MAX(CROQUIS!$C$126,1))+1)))-1,0),0,MOD($A98-1,5))+1,0,2,CROQUIS!$C$97-2,2,0)))*CROQUIS!$C$155)+IF(CROQUIS!$C$92="X",0,0)),-1000)</f>
        <v>-1000</v>
      </c>
      <c r="BJ98">
        <f>IF(AND(CROQUIS!$C$88=1,CROQUIS!$C$134&gt;0),((CROQUIS!$C$156+(IF(CROQUIS!$C$92="X",((CROQUIS!$C$107/2+(((CROQUIS!$C$97)-CROQUIS!$C$107)-(MIN(80,MAX(1,INT(((CROQUIS!$C$97)-CROQUIS!$C$107)/MAX(CROQUIS!$C$134,1))+1))-1)*CROQUIS!$C$134)/2)+MIN(INT(($A98-1)/5),MAX((MIN(80,MAX(1,INT(((CROQUIS!$C$97)-CROQUIS!$C$107)/MAX(CROQUIS!$C$134,1))+1)))-1,0))*CROQUIS!$C$134),CHOOSE(IF(INT(($A98-1)/5)&gt;MAX((MIN(80,MAX(1,INT(((CROQUIS!$C$97)-CROQUIS!$C$107)/MAX(CROQUIS!$C$134,1))+1)))-1,0),0,MOD($A98-1,5))+1,0,2,CROQUIS!$C$98-2,2,0)))*CROQUIS!$C$155)+IF(CROQUIS!$C$92="X",0,0)),-1000)</f>
        <v>-1000</v>
      </c>
      <c r="BK98">
        <f>IF(AND(CROQUIS!$C$88=1,CROQUIS!$C$134&gt;0),((CROQUIS!$C$157+(IF(CROQUIS!$C$92="X",CHOOSE(IF(INT(($A98-1)/5)&gt;MAX((MIN(80,MAX(1,INT(((CROQUIS!$C$97)-CROQUIS!$C$107)/MAX(CROQUIS!$C$134,1))+1)))-1,0),0,MOD($A98-1,5))+1,0,2,CROQUIS!$C$98-2,2,0),((CROQUIS!$C$107/2+(((CROQUIS!$C$97)-CROQUIS!$C$107)-(MIN(80,MAX(1,INT(((CROQUIS!$C$97)-CROQUIS!$C$107)/MAX(CROQUIS!$C$134,1))+1))-1)*CROQUIS!$C$134)/2)+MIN(INT(($A98-1)/5),MAX((MIN(80,MAX(1,INT(((CROQUIS!$C$97)-CROQUIS!$C$107)/MAX(CROQUIS!$C$134,1))+1)))-1,0))*CROQUIS!$C$134)))*CROQUIS!$C$155)+IF(CROQUIS!$C$92="X",0,0)),-1000)</f>
        <v>-1000</v>
      </c>
      <c r="BL98">
        <f>IF(AND(CROQUIS!$C$88=1,CROQUIS!$C$91=0,CROQUIS!$C$130&gt;0,OR(CROQUIS!$C$103=1,CROQUIS!$C$142=1)),((CROQUIS!$C$156+(IF(CROQUIS!$C$92="X",CHOOSE(IF(INT(($A98-1)/5)&gt;MAX((MIN(80,MAX(1,INT(((CROQUIS!$C$98)-CROQUIS!$C$107)/MAX(CROQUIS!$C$130,1))+1)))-1,0),0,MOD($A98-1,5))+1,0,IF(CROQUIS!$C$103=1,-12,2),CROQUIS!$C$107/2+CROQUIS!$C$140,IF(CROQUIS!$C$103=1,-12,2),0),((CROQUIS!$C$107/2+(((CROQUIS!$C$98)-CROQUIS!$C$107)-(MIN(80,MAX(1,INT(((CROQUIS!$C$98)-CROQUIS!$C$107)/MAX(CROQUIS!$C$130,1))+1))-1)*CROQUIS!$C$130)/2)+MIN(INT(($A98-1)/5),MAX((MIN(80,MAX(1,INT(((CROQUIS!$C$98)-CROQUIS!$C$107)/MAX(CROQUIS!$C$130,1))+1)))-1,0))*CROQUIS!$C$130)))*CROQUIS!$C$155)+IF(CROQUIS!$C$92="X",0,0)),-1000)</f>
        <v>-1000</v>
      </c>
      <c r="BM9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98-1)/5),MAX((MIN(80,MAX(1,INT(((CROQUIS!$C$98)-CROQUIS!$C$107)/MAX(CROQUIS!$C$130,1))+1)))-1,0))*CROQUIS!$C$130),CHOOSE(IF(INT(($A98-1)/5)&gt;MAX((MIN(80,MAX(1,INT(((CROQUIS!$C$98)-CROQUIS!$C$107)/MAX(CROQUIS!$C$130,1))+1)))-1,0),0,MOD($A98-1,5))+1,0,IF(CROQUIS!$C$103=1,-12,2),CROQUIS!$C$107/2+CROQUIS!$C$140,IF(CROQUIS!$C$103=1,-12,2),0)))*CROQUIS!$C$155)+IF(CROQUIS!$C$92="X",0,0)),-1000)</f>
        <v>-1000</v>
      </c>
      <c r="BN98">
        <f>IF(AND(CROQUIS!$C$88=1,CROQUIS!$C$91=0,CROQUIS!$C$130&gt;0,OR(CROQUIS!$C$104=1,CROQUIS!$C$142=1)),((CROQUIS!$C$156+(IF(CROQUIS!$C$92="X",CHOOSE(IF(INT(($A98-1)/5)&gt;MAX((MIN(80,MAX(1,INT(((CROQUIS!$C$98)-CROQUIS!$C$107)/MAX(CROQUIS!$C$130,1))+1)))-1,0),0,MOD($A98-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98-1)/5),MAX((MIN(80,MAX(1,INT(((CROQUIS!$C$98)-CROQUIS!$C$107)/MAX(CROQUIS!$C$130,1))+1)))-1,0))*CROQUIS!$C$130)))*CROQUIS!$C$155)+IF(CROQUIS!$C$92="X",0,0)),-1000)</f>
        <v>-1000</v>
      </c>
      <c r="BO9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98-1)/5),MAX((MIN(80,MAX(1,INT(((CROQUIS!$C$98)-CROQUIS!$C$107)/MAX(CROQUIS!$C$130,1))+1)))-1,0))*CROQUIS!$C$130),CHOOSE(IF(INT(($A98-1)/5)&gt;MAX((MIN(80,MAX(1,INT(((CROQUIS!$C$98)-CROQUIS!$C$107)/MAX(CROQUIS!$C$130,1))+1)))-1,0),0,MOD($A98-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9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98-1)/5),MAX((MIN(80,MAX(1,INT(((CROQUIS!$C$97)-CROQUIS!$C$107)/MAX(CROQUIS!$C$138,1))+1)))-1,0))*CROQUIS!$C$138),CHOOSE(IF(INT(($A98-1)/5)&gt;MAX((MIN(80,MAX(1,INT(((CROQUIS!$C$97)-CROQUIS!$C$107)/MAX(CROQUIS!$C$138,1))+1)))-1,0),0,MOD($A98-1,5))+1,0,IF(CROQUIS!$C$105=1,-12,2),CROQUIS!$C$107/2+CROQUIS!$C$141,IF(CROQUIS!$C$105=1,-12,2),0)))*CROQUIS!$C$155)+IF(CROQUIS!$C$92="X",0,0)),-1000)</f>
        <v>-1000</v>
      </c>
      <c r="BQ98">
        <f>IF(AND(CROQUIS!$C$88=1,CROQUIS!$C$91=0,CROQUIS!$C$138&gt;0,OR(CROQUIS!$C$105=1,CROQUIS!$C$143=1)),((CROQUIS!$C$157+(IF(CROQUIS!$C$92="X",CHOOSE(IF(INT(($A98-1)/5)&gt;MAX((MIN(80,MAX(1,INT(((CROQUIS!$C$97)-CROQUIS!$C$107)/MAX(CROQUIS!$C$138,1))+1)))-1,0),0,MOD($A98-1,5))+1,0,IF(CROQUIS!$C$105=1,-12,2),CROQUIS!$C$107/2+CROQUIS!$C$141,IF(CROQUIS!$C$105=1,-12,2),0),((CROQUIS!$C$107/2+(((CROQUIS!$C$97)-CROQUIS!$C$107)-(MIN(80,MAX(1,INT(((CROQUIS!$C$97)-CROQUIS!$C$107)/MAX(CROQUIS!$C$138,1))+1))-1)*CROQUIS!$C$138)/2)+MIN(INT(($A98-1)/5),MAX((MIN(80,MAX(1,INT(((CROQUIS!$C$97)-CROQUIS!$C$107)/MAX(CROQUIS!$C$138,1))+1)))-1,0))*CROQUIS!$C$138)))*CROQUIS!$C$155)+IF(CROQUIS!$C$92="X",0,0)),-1000)</f>
        <v>-1000</v>
      </c>
      <c r="BR9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98-1)/5),MAX((MIN(80,MAX(1,INT(((CROQUIS!$C$97)-CROQUIS!$C$107)/MAX(CROQUIS!$C$138,1))+1)))-1,0))*CROQUIS!$C$138),CHOOSE(IF(INT(($A98-1)/5)&gt;MAX((MIN(80,MAX(1,INT(((CROQUIS!$C$97)-CROQUIS!$C$107)/MAX(CROQUIS!$C$138,1))+1)))-1,0),0,MOD($A98-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98">
        <f>IF(AND(CROQUIS!$C$88=1,CROQUIS!$C$91=0,CROQUIS!$C$138&gt;0,OR(CROQUIS!$C$106=1,CROQUIS!$C$143=1)),((CROQUIS!$C$157+(IF(CROQUIS!$C$92="X",CHOOSE(IF(INT(($A98-1)/5)&gt;MAX((MIN(80,MAX(1,INT(((CROQUIS!$C$97)-CROQUIS!$C$107)/MAX(CROQUIS!$C$138,1))+1)))-1,0),0,MOD($A98-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98-1)/5),MAX((MIN(80,MAX(1,INT(((CROQUIS!$C$97)-CROQUIS!$C$107)/MAX(CROQUIS!$C$138,1))+1)))-1,0))*CROQUIS!$C$138)))*CROQUIS!$C$155)+IF(CROQUIS!$C$92="X",0,0)),-1000)</f>
        <v>-1000</v>
      </c>
      <c r="BT98">
        <f>IF(AND(CROQUIS!$C$88=1,CROQUIS!$C$91=1,CROQUIS!$C$130&gt;0),((CROQUIS!$C$156+(IF(CROQUIS!$C$92="X",CHOOSE(IF(INT(($A98-1)/5)&gt;MAX((MIN(80,MAX(1,INT(((CROQUIS!$C$98)-CROQUIS!$C$107)/MAX(CROQUIS!$C$130,1))+1)))-1,0),0,MOD($A98-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98-1)/5),MAX((MIN(80,MAX(1,INT(((CROQUIS!$C$98)-CROQUIS!$C$107)/MAX(CROQUIS!$C$130,1))+1)))-1,0))*CROQUIS!$C$130)))*CROQUIS!$C$155)+IF(CROQUIS!$C$92="X",0,0)),-1000)</f>
        <v>-1000</v>
      </c>
      <c r="BU98">
        <f>IF(AND(CROQUIS!$C$88=1,CROQUIS!$C$91=1,CROQUIS!$C$130&gt;0),((CROQUIS!$C$157+(IF(CROQUIS!$C$92="X",((CROQUIS!$C$107/2+(((CROQUIS!$C$98)-CROQUIS!$C$107)-(MIN(80,MAX(1,INT(((CROQUIS!$C$98)-CROQUIS!$C$107)/MAX(CROQUIS!$C$130,1))+1))-1)*CROQUIS!$C$130)/2)+MIN(INT(($A98-1)/5),MAX((MIN(80,MAX(1,INT(((CROQUIS!$C$98)-CROQUIS!$C$107)/MAX(CROQUIS!$C$130,1))+1)))-1,0))*CROQUIS!$C$130),CHOOSE(IF(INT(($A98-1)/5)&gt;MAX((MIN(80,MAX(1,INT(((CROQUIS!$C$98)-CROQUIS!$C$107)/MAX(CROQUIS!$C$130,1))+1)))-1,0),0,MOD($A98-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99">
      <c r="A99" t="n">
        <v>92</v>
      </c>
      <c r="AF99">
        <f>IF(AND(CROQUIS!$C$87=1,CROQUIS!$C$158&gt;0,CROQUIS!$C$160&gt;0),(CROQUIS!$C$156+((CROQUIS!$C$159+INT(MIN(INT(($A99-1)/2),MAX((2*CROQUIS!$C$158)-1,0))/2)*CROQUIS!$C$113+MOD(MIN(INT(($A99-1)/2),MAX((2*CROQUIS!$C$158)-1,0)),2)*CROQUIS!$C$112))*CROQUIS!$C$155),-1000)</f>
        <v>85.2010845006778</v>
      </c>
      <c r="AG99">
        <f>IF(AND(CROQUIS!$C$87=1,CROQUIS!$C$158&gt;0,CROQUIS!$C$160&gt;0),(CROQUIS!$C$157+(IF(MOD(MIN(INT(($A99-1)/2),MAX((2*CROQUIS!$C$158)-1,0)),2)=0,IF(IF(INT(($A99-1)/2)&gt;MAX((2*CROQUIS!$C$158)-1,0),1,MOD($A99-1,2))=0,CROQUIS!$C$161,(CROQUIS!$C$161+CROQUIS!$C$160*CROQUIS!$C$113-CROQUIS!$C$111)),IF(IF(INT(($A99-1)/2)&gt;MAX((2*CROQUIS!$C$158)-1,0),1,MOD($A99-1,2))=0,(CROQUIS!$C$161+CROQUIS!$C$160*CROQUIS!$C$113-CROQUIS!$C$111),CROQUIS!$C$161)))*CROQUIS!$C$155),-1000)</f>
        <v>20.8088567555355</v>
      </c>
      <c r="AH99">
        <f>IF(AND(CROQUIS!$C$87=1,CROQUIS!$C$160&gt;0,CROQUIS!$C$158&gt;0),(CROQUIS!$C$156+(IF(MOD(MIN(INT(($A99-1)/2),MAX((2*CROQUIS!$C$160)-1,0)),2)=0,IF(IF(INT(($A99-1)/2)&gt;MAX((2*CROQUIS!$C$160)-1,0),1,MOD($A99-1,2))=0,CROQUIS!$C$159,(CROQUIS!$C$159+CROQUIS!$C$158*CROQUIS!$C$113-CROQUIS!$C$111)),IF(IF(INT(($A99-1)/2)&gt;MAX((2*CROQUIS!$C$160)-1,0),1,MOD($A99-1,2))=0,(CROQUIS!$C$159+CROQUIS!$C$158*CROQUIS!$C$113-CROQUIS!$C$111),CROQUIS!$C$159)))*CROQUIS!$C$155),-1000)</f>
        <v>14.7989154993222</v>
      </c>
      <c r="AI99">
        <f>IF(AND(CROQUIS!$C$87=1,CROQUIS!$C$160&gt;0,CROQUIS!$C$158&gt;0),(CROQUIS!$C$157+((CROQUIS!$C$161+INT(MIN(INT(($A99-1)/2),MAX((2*CROQUIS!$C$160)-1,0))/2)*CROQUIS!$C$113+MOD(MIN(INT(($A99-1)/2),MAX((2*CROQUIS!$C$160)-1,0)),2)*CROQUIS!$C$112))*CROQUIS!$C$155),-1000)</f>
        <v>79.1911432444645</v>
      </c>
      <c r="BH99">
        <f>IF(AND(CROQUIS!$C$88=1,CROQUIS!$C$126&gt;0),((CROQUIS!$C$156+(IF(CROQUIS!$C$92="X",CHOOSE(IF(INT(($A99-1)/5)&gt;MAX((MIN(80,MAX(1,INT(((CROQUIS!$C$98)-CROQUIS!$C$107)/MAX(CROQUIS!$C$126,1))+1)))-1,0),0,MOD($A99-1,5))+1,0,2,CROQUIS!$C$97-2,2,0),((CROQUIS!$C$107/2+(((CROQUIS!$C$98)-CROQUIS!$C$107)-(MIN(80,MAX(1,INT(((CROQUIS!$C$98)-CROQUIS!$C$107)/MAX(CROQUIS!$C$126,1))+1))-1)*CROQUIS!$C$126)/2)+MIN(INT(($A99-1)/5),MAX((MIN(80,MAX(1,INT(((CROQUIS!$C$98)-CROQUIS!$C$107)/MAX(CROQUIS!$C$126,1))+1)))-1,0))*CROQUIS!$C$126)))*CROQUIS!$C$155)+IF(CROQUIS!$C$92="X",0,0)),-1000)</f>
        <v>-1000</v>
      </c>
      <c r="BI99">
        <f>IF(AND(CROQUIS!$C$88=1,CROQUIS!$C$126&gt;0),((CROQUIS!$C$157+(IF(CROQUIS!$C$92="X",((CROQUIS!$C$107/2+(((CROQUIS!$C$98)-CROQUIS!$C$107)-(MIN(80,MAX(1,INT(((CROQUIS!$C$98)-CROQUIS!$C$107)/MAX(CROQUIS!$C$126,1))+1))-1)*CROQUIS!$C$126)/2)+MIN(INT(($A99-1)/5),MAX((MIN(80,MAX(1,INT(((CROQUIS!$C$98)-CROQUIS!$C$107)/MAX(CROQUIS!$C$126,1))+1)))-1,0))*CROQUIS!$C$126),CHOOSE(IF(INT(($A99-1)/5)&gt;MAX((MIN(80,MAX(1,INT(((CROQUIS!$C$98)-CROQUIS!$C$107)/MAX(CROQUIS!$C$126,1))+1)))-1,0),0,MOD($A99-1,5))+1,0,2,CROQUIS!$C$97-2,2,0)))*CROQUIS!$C$155)+IF(CROQUIS!$C$92="X",0,0)),-1000)</f>
        <v>-1000</v>
      </c>
      <c r="BJ99">
        <f>IF(AND(CROQUIS!$C$88=1,CROQUIS!$C$134&gt;0),((CROQUIS!$C$156+(IF(CROQUIS!$C$92="X",((CROQUIS!$C$107/2+(((CROQUIS!$C$97)-CROQUIS!$C$107)-(MIN(80,MAX(1,INT(((CROQUIS!$C$97)-CROQUIS!$C$107)/MAX(CROQUIS!$C$134,1))+1))-1)*CROQUIS!$C$134)/2)+MIN(INT(($A99-1)/5),MAX((MIN(80,MAX(1,INT(((CROQUIS!$C$97)-CROQUIS!$C$107)/MAX(CROQUIS!$C$134,1))+1)))-1,0))*CROQUIS!$C$134),CHOOSE(IF(INT(($A99-1)/5)&gt;MAX((MIN(80,MAX(1,INT(((CROQUIS!$C$97)-CROQUIS!$C$107)/MAX(CROQUIS!$C$134,1))+1)))-1,0),0,MOD($A99-1,5))+1,0,2,CROQUIS!$C$98-2,2,0)))*CROQUIS!$C$155)+IF(CROQUIS!$C$92="X",0,0)),-1000)</f>
        <v>-1000</v>
      </c>
      <c r="BK99">
        <f>IF(AND(CROQUIS!$C$88=1,CROQUIS!$C$134&gt;0),((CROQUIS!$C$157+(IF(CROQUIS!$C$92="X",CHOOSE(IF(INT(($A99-1)/5)&gt;MAX((MIN(80,MAX(1,INT(((CROQUIS!$C$97)-CROQUIS!$C$107)/MAX(CROQUIS!$C$134,1))+1)))-1,0),0,MOD($A99-1,5))+1,0,2,CROQUIS!$C$98-2,2,0),((CROQUIS!$C$107/2+(((CROQUIS!$C$97)-CROQUIS!$C$107)-(MIN(80,MAX(1,INT(((CROQUIS!$C$97)-CROQUIS!$C$107)/MAX(CROQUIS!$C$134,1))+1))-1)*CROQUIS!$C$134)/2)+MIN(INT(($A99-1)/5),MAX((MIN(80,MAX(1,INT(((CROQUIS!$C$97)-CROQUIS!$C$107)/MAX(CROQUIS!$C$134,1))+1)))-1,0))*CROQUIS!$C$134)))*CROQUIS!$C$155)+IF(CROQUIS!$C$92="X",0,0)),-1000)</f>
        <v>-1000</v>
      </c>
      <c r="BL99">
        <f>IF(AND(CROQUIS!$C$88=1,CROQUIS!$C$91=0,CROQUIS!$C$130&gt;0,OR(CROQUIS!$C$103=1,CROQUIS!$C$142=1)),((CROQUIS!$C$156+(IF(CROQUIS!$C$92="X",CHOOSE(IF(INT(($A99-1)/5)&gt;MAX((MIN(80,MAX(1,INT(((CROQUIS!$C$98)-CROQUIS!$C$107)/MAX(CROQUIS!$C$130,1))+1)))-1,0),0,MOD($A99-1,5))+1,0,IF(CROQUIS!$C$103=1,-12,2),CROQUIS!$C$107/2+CROQUIS!$C$140,IF(CROQUIS!$C$103=1,-12,2),0),((CROQUIS!$C$107/2+(((CROQUIS!$C$98)-CROQUIS!$C$107)-(MIN(80,MAX(1,INT(((CROQUIS!$C$98)-CROQUIS!$C$107)/MAX(CROQUIS!$C$130,1))+1))-1)*CROQUIS!$C$130)/2)+MIN(INT(($A99-1)/5),MAX((MIN(80,MAX(1,INT(((CROQUIS!$C$98)-CROQUIS!$C$107)/MAX(CROQUIS!$C$130,1))+1)))-1,0))*CROQUIS!$C$130)))*CROQUIS!$C$155)+IF(CROQUIS!$C$92="X",0,0)),-1000)</f>
        <v>-1000</v>
      </c>
      <c r="BM9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99-1)/5),MAX((MIN(80,MAX(1,INT(((CROQUIS!$C$98)-CROQUIS!$C$107)/MAX(CROQUIS!$C$130,1))+1)))-1,0))*CROQUIS!$C$130),CHOOSE(IF(INT(($A99-1)/5)&gt;MAX((MIN(80,MAX(1,INT(((CROQUIS!$C$98)-CROQUIS!$C$107)/MAX(CROQUIS!$C$130,1))+1)))-1,0),0,MOD($A99-1,5))+1,0,IF(CROQUIS!$C$103=1,-12,2),CROQUIS!$C$107/2+CROQUIS!$C$140,IF(CROQUIS!$C$103=1,-12,2),0)))*CROQUIS!$C$155)+IF(CROQUIS!$C$92="X",0,0)),-1000)</f>
        <v>-1000</v>
      </c>
      <c r="BN99">
        <f>IF(AND(CROQUIS!$C$88=1,CROQUIS!$C$91=0,CROQUIS!$C$130&gt;0,OR(CROQUIS!$C$104=1,CROQUIS!$C$142=1)),((CROQUIS!$C$156+(IF(CROQUIS!$C$92="X",CHOOSE(IF(INT(($A99-1)/5)&gt;MAX((MIN(80,MAX(1,INT(((CROQUIS!$C$98)-CROQUIS!$C$107)/MAX(CROQUIS!$C$130,1))+1)))-1,0),0,MOD($A99-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99-1)/5),MAX((MIN(80,MAX(1,INT(((CROQUIS!$C$98)-CROQUIS!$C$107)/MAX(CROQUIS!$C$130,1))+1)))-1,0))*CROQUIS!$C$130)))*CROQUIS!$C$155)+IF(CROQUIS!$C$92="X",0,0)),-1000)</f>
        <v>-1000</v>
      </c>
      <c r="BO9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99-1)/5),MAX((MIN(80,MAX(1,INT(((CROQUIS!$C$98)-CROQUIS!$C$107)/MAX(CROQUIS!$C$130,1))+1)))-1,0))*CROQUIS!$C$130),CHOOSE(IF(INT(($A99-1)/5)&gt;MAX((MIN(80,MAX(1,INT(((CROQUIS!$C$98)-CROQUIS!$C$107)/MAX(CROQUIS!$C$130,1))+1)))-1,0),0,MOD($A99-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9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99-1)/5),MAX((MIN(80,MAX(1,INT(((CROQUIS!$C$97)-CROQUIS!$C$107)/MAX(CROQUIS!$C$138,1))+1)))-1,0))*CROQUIS!$C$138),CHOOSE(IF(INT(($A99-1)/5)&gt;MAX((MIN(80,MAX(1,INT(((CROQUIS!$C$97)-CROQUIS!$C$107)/MAX(CROQUIS!$C$138,1))+1)))-1,0),0,MOD($A99-1,5))+1,0,IF(CROQUIS!$C$105=1,-12,2),CROQUIS!$C$107/2+CROQUIS!$C$141,IF(CROQUIS!$C$105=1,-12,2),0)))*CROQUIS!$C$155)+IF(CROQUIS!$C$92="X",0,0)),-1000)</f>
        <v>-1000</v>
      </c>
      <c r="BQ99">
        <f>IF(AND(CROQUIS!$C$88=1,CROQUIS!$C$91=0,CROQUIS!$C$138&gt;0,OR(CROQUIS!$C$105=1,CROQUIS!$C$143=1)),((CROQUIS!$C$157+(IF(CROQUIS!$C$92="X",CHOOSE(IF(INT(($A99-1)/5)&gt;MAX((MIN(80,MAX(1,INT(((CROQUIS!$C$97)-CROQUIS!$C$107)/MAX(CROQUIS!$C$138,1))+1)))-1,0),0,MOD($A99-1,5))+1,0,IF(CROQUIS!$C$105=1,-12,2),CROQUIS!$C$107/2+CROQUIS!$C$141,IF(CROQUIS!$C$105=1,-12,2),0),((CROQUIS!$C$107/2+(((CROQUIS!$C$97)-CROQUIS!$C$107)-(MIN(80,MAX(1,INT(((CROQUIS!$C$97)-CROQUIS!$C$107)/MAX(CROQUIS!$C$138,1))+1))-1)*CROQUIS!$C$138)/2)+MIN(INT(($A99-1)/5),MAX((MIN(80,MAX(1,INT(((CROQUIS!$C$97)-CROQUIS!$C$107)/MAX(CROQUIS!$C$138,1))+1)))-1,0))*CROQUIS!$C$138)))*CROQUIS!$C$155)+IF(CROQUIS!$C$92="X",0,0)),-1000)</f>
        <v>-1000</v>
      </c>
      <c r="BR9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99-1)/5),MAX((MIN(80,MAX(1,INT(((CROQUIS!$C$97)-CROQUIS!$C$107)/MAX(CROQUIS!$C$138,1))+1)))-1,0))*CROQUIS!$C$138),CHOOSE(IF(INT(($A99-1)/5)&gt;MAX((MIN(80,MAX(1,INT(((CROQUIS!$C$97)-CROQUIS!$C$107)/MAX(CROQUIS!$C$138,1))+1)))-1,0),0,MOD($A99-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99">
        <f>IF(AND(CROQUIS!$C$88=1,CROQUIS!$C$91=0,CROQUIS!$C$138&gt;0,OR(CROQUIS!$C$106=1,CROQUIS!$C$143=1)),((CROQUIS!$C$157+(IF(CROQUIS!$C$92="X",CHOOSE(IF(INT(($A99-1)/5)&gt;MAX((MIN(80,MAX(1,INT(((CROQUIS!$C$97)-CROQUIS!$C$107)/MAX(CROQUIS!$C$138,1))+1)))-1,0),0,MOD($A99-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99-1)/5),MAX((MIN(80,MAX(1,INT(((CROQUIS!$C$97)-CROQUIS!$C$107)/MAX(CROQUIS!$C$138,1))+1)))-1,0))*CROQUIS!$C$138)))*CROQUIS!$C$155)+IF(CROQUIS!$C$92="X",0,0)),-1000)</f>
        <v>-1000</v>
      </c>
      <c r="BT99">
        <f>IF(AND(CROQUIS!$C$88=1,CROQUIS!$C$91=1,CROQUIS!$C$130&gt;0),((CROQUIS!$C$156+(IF(CROQUIS!$C$92="X",CHOOSE(IF(INT(($A99-1)/5)&gt;MAX((MIN(80,MAX(1,INT(((CROQUIS!$C$98)-CROQUIS!$C$107)/MAX(CROQUIS!$C$130,1))+1)))-1,0),0,MOD($A99-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99-1)/5),MAX((MIN(80,MAX(1,INT(((CROQUIS!$C$98)-CROQUIS!$C$107)/MAX(CROQUIS!$C$130,1))+1)))-1,0))*CROQUIS!$C$130)))*CROQUIS!$C$155)+IF(CROQUIS!$C$92="X",0,0)),-1000)</f>
        <v>-1000</v>
      </c>
      <c r="BU99">
        <f>IF(AND(CROQUIS!$C$88=1,CROQUIS!$C$91=1,CROQUIS!$C$130&gt;0),((CROQUIS!$C$157+(IF(CROQUIS!$C$92="X",((CROQUIS!$C$107/2+(((CROQUIS!$C$98)-CROQUIS!$C$107)-(MIN(80,MAX(1,INT(((CROQUIS!$C$98)-CROQUIS!$C$107)/MAX(CROQUIS!$C$130,1))+1))-1)*CROQUIS!$C$130)/2)+MIN(INT(($A99-1)/5),MAX((MIN(80,MAX(1,INT(((CROQUIS!$C$98)-CROQUIS!$C$107)/MAX(CROQUIS!$C$130,1))+1)))-1,0))*CROQUIS!$C$130),CHOOSE(IF(INT(($A99-1)/5)&gt;MAX((MIN(80,MAX(1,INT(((CROQUIS!$C$98)-CROQUIS!$C$107)/MAX(CROQUIS!$C$130,1))+1)))-1,0),0,MOD($A99-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00">
      <c r="A100" t="n">
        <v>93</v>
      </c>
      <c r="AF100">
        <f>IF(AND(CROQUIS!$C$87=1,CROQUIS!$C$158&gt;0,CROQUIS!$C$160&gt;0),(CROQUIS!$C$156+((CROQUIS!$C$159+INT(MIN(INT(($A100-1)/2),MAX((2*CROQUIS!$C$158)-1,0))/2)*CROQUIS!$C$113+MOD(MIN(INT(($A100-1)/2),MAX((2*CROQUIS!$C$158)-1,0)),2)*CROQUIS!$C$112))*CROQUIS!$C$155),-1000)</f>
        <v>85.2010845006778</v>
      </c>
      <c r="AG100">
        <f>IF(AND(CROQUIS!$C$87=1,CROQUIS!$C$158&gt;0,CROQUIS!$C$160&gt;0),(CROQUIS!$C$157+(IF(MOD(MIN(INT(($A100-1)/2),MAX((2*CROQUIS!$C$158)-1,0)),2)=0,IF(IF(INT(($A100-1)/2)&gt;MAX((2*CROQUIS!$C$158)-1,0),1,MOD($A100-1,2))=0,CROQUIS!$C$161,(CROQUIS!$C$161+CROQUIS!$C$160*CROQUIS!$C$113-CROQUIS!$C$111)),IF(IF(INT(($A100-1)/2)&gt;MAX((2*CROQUIS!$C$158)-1,0),1,MOD($A100-1,2))=0,(CROQUIS!$C$161+CROQUIS!$C$160*CROQUIS!$C$113-CROQUIS!$C$111),CROQUIS!$C$161)))*CROQUIS!$C$155),-1000)</f>
        <v>20.8088567555355</v>
      </c>
      <c r="AH100">
        <f>IF(AND(CROQUIS!$C$87=1,CROQUIS!$C$160&gt;0,CROQUIS!$C$158&gt;0),(CROQUIS!$C$156+(IF(MOD(MIN(INT(($A100-1)/2),MAX((2*CROQUIS!$C$160)-1,0)),2)=0,IF(IF(INT(($A100-1)/2)&gt;MAX((2*CROQUIS!$C$160)-1,0),1,MOD($A100-1,2))=0,CROQUIS!$C$159,(CROQUIS!$C$159+CROQUIS!$C$158*CROQUIS!$C$113-CROQUIS!$C$111)),IF(IF(INT(($A100-1)/2)&gt;MAX((2*CROQUIS!$C$160)-1,0),1,MOD($A100-1,2))=0,(CROQUIS!$C$159+CROQUIS!$C$158*CROQUIS!$C$113-CROQUIS!$C$111),CROQUIS!$C$159)))*CROQUIS!$C$155),-1000)</f>
        <v>14.7989154993222</v>
      </c>
      <c r="AI100">
        <f>IF(AND(CROQUIS!$C$87=1,CROQUIS!$C$160&gt;0,CROQUIS!$C$158&gt;0),(CROQUIS!$C$157+((CROQUIS!$C$161+INT(MIN(INT(($A100-1)/2),MAX((2*CROQUIS!$C$160)-1,0))/2)*CROQUIS!$C$113+MOD(MIN(INT(($A100-1)/2),MAX((2*CROQUIS!$C$160)-1,0)),2)*CROQUIS!$C$112))*CROQUIS!$C$155),-1000)</f>
        <v>79.1911432444645</v>
      </c>
      <c r="BH100">
        <f>IF(AND(CROQUIS!$C$88=1,CROQUIS!$C$126&gt;0),((CROQUIS!$C$156+(IF(CROQUIS!$C$92="X",CHOOSE(IF(INT(($A100-1)/5)&gt;MAX((MIN(80,MAX(1,INT(((CROQUIS!$C$98)-CROQUIS!$C$107)/MAX(CROQUIS!$C$126,1))+1)))-1,0),0,MOD($A100-1,5))+1,0,2,CROQUIS!$C$97-2,2,0),((CROQUIS!$C$107/2+(((CROQUIS!$C$98)-CROQUIS!$C$107)-(MIN(80,MAX(1,INT(((CROQUIS!$C$98)-CROQUIS!$C$107)/MAX(CROQUIS!$C$126,1))+1))-1)*CROQUIS!$C$126)/2)+MIN(INT(($A100-1)/5),MAX((MIN(80,MAX(1,INT(((CROQUIS!$C$98)-CROQUIS!$C$107)/MAX(CROQUIS!$C$126,1))+1)))-1,0))*CROQUIS!$C$126)))*CROQUIS!$C$155)+IF(CROQUIS!$C$92="X",0,0)),-1000)</f>
        <v>-1000</v>
      </c>
      <c r="BI100">
        <f>IF(AND(CROQUIS!$C$88=1,CROQUIS!$C$126&gt;0),((CROQUIS!$C$157+(IF(CROQUIS!$C$92="X",((CROQUIS!$C$107/2+(((CROQUIS!$C$98)-CROQUIS!$C$107)-(MIN(80,MAX(1,INT(((CROQUIS!$C$98)-CROQUIS!$C$107)/MAX(CROQUIS!$C$126,1))+1))-1)*CROQUIS!$C$126)/2)+MIN(INT(($A100-1)/5),MAX((MIN(80,MAX(1,INT(((CROQUIS!$C$98)-CROQUIS!$C$107)/MAX(CROQUIS!$C$126,1))+1)))-1,0))*CROQUIS!$C$126),CHOOSE(IF(INT(($A100-1)/5)&gt;MAX((MIN(80,MAX(1,INT(((CROQUIS!$C$98)-CROQUIS!$C$107)/MAX(CROQUIS!$C$126,1))+1)))-1,0),0,MOD($A100-1,5))+1,0,2,CROQUIS!$C$97-2,2,0)))*CROQUIS!$C$155)+IF(CROQUIS!$C$92="X",0,0)),-1000)</f>
        <v>-1000</v>
      </c>
      <c r="BJ100">
        <f>IF(AND(CROQUIS!$C$88=1,CROQUIS!$C$134&gt;0),((CROQUIS!$C$156+(IF(CROQUIS!$C$92="X",((CROQUIS!$C$107/2+(((CROQUIS!$C$97)-CROQUIS!$C$107)-(MIN(80,MAX(1,INT(((CROQUIS!$C$97)-CROQUIS!$C$107)/MAX(CROQUIS!$C$134,1))+1))-1)*CROQUIS!$C$134)/2)+MIN(INT(($A100-1)/5),MAX((MIN(80,MAX(1,INT(((CROQUIS!$C$97)-CROQUIS!$C$107)/MAX(CROQUIS!$C$134,1))+1)))-1,0))*CROQUIS!$C$134),CHOOSE(IF(INT(($A100-1)/5)&gt;MAX((MIN(80,MAX(1,INT(((CROQUIS!$C$97)-CROQUIS!$C$107)/MAX(CROQUIS!$C$134,1))+1)))-1,0),0,MOD($A100-1,5))+1,0,2,CROQUIS!$C$98-2,2,0)))*CROQUIS!$C$155)+IF(CROQUIS!$C$92="X",0,0)),-1000)</f>
        <v>-1000</v>
      </c>
      <c r="BK100">
        <f>IF(AND(CROQUIS!$C$88=1,CROQUIS!$C$134&gt;0),((CROQUIS!$C$157+(IF(CROQUIS!$C$92="X",CHOOSE(IF(INT(($A100-1)/5)&gt;MAX((MIN(80,MAX(1,INT(((CROQUIS!$C$97)-CROQUIS!$C$107)/MAX(CROQUIS!$C$134,1))+1)))-1,0),0,MOD($A100-1,5))+1,0,2,CROQUIS!$C$98-2,2,0),((CROQUIS!$C$107/2+(((CROQUIS!$C$97)-CROQUIS!$C$107)-(MIN(80,MAX(1,INT(((CROQUIS!$C$97)-CROQUIS!$C$107)/MAX(CROQUIS!$C$134,1))+1))-1)*CROQUIS!$C$134)/2)+MIN(INT(($A100-1)/5),MAX((MIN(80,MAX(1,INT(((CROQUIS!$C$97)-CROQUIS!$C$107)/MAX(CROQUIS!$C$134,1))+1)))-1,0))*CROQUIS!$C$134)))*CROQUIS!$C$155)+IF(CROQUIS!$C$92="X",0,0)),-1000)</f>
        <v>-1000</v>
      </c>
      <c r="BL100">
        <f>IF(AND(CROQUIS!$C$88=1,CROQUIS!$C$91=0,CROQUIS!$C$130&gt;0,OR(CROQUIS!$C$103=1,CROQUIS!$C$142=1)),((CROQUIS!$C$156+(IF(CROQUIS!$C$92="X",CHOOSE(IF(INT(($A100-1)/5)&gt;MAX((MIN(80,MAX(1,INT(((CROQUIS!$C$98)-CROQUIS!$C$107)/MAX(CROQUIS!$C$130,1))+1)))-1,0),0,MOD($A100-1,5))+1,0,IF(CROQUIS!$C$103=1,-12,2),CROQUIS!$C$107/2+CROQUIS!$C$140,IF(CROQUIS!$C$103=1,-12,2),0),((CROQUIS!$C$107/2+(((CROQUIS!$C$98)-CROQUIS!$C$107)-(MIN(80,MAX(1,INT(((CROQUIS!$C$98)-CROQUIS!$C$107)/MAX(CROQUIS!$C$130,1))+1))-1)*CROQUIS!$C$130)/2)+MIN(INT(($A100-1)/5),MAX((MIN(80,MAX(1,INT(((CROQUIS!$C$98)-CROQUIS!$C$107)/MAX(CROQUIS!$C$130,1))+1)))-1,0))*CROQUIS!$C$130)))*CROQUIS!$C$155)+IF(CROQUIS!$C$92="X",0,0)),-1000)</f>
        <v>-1000</v>
      </c>
      <c r="BM10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100-1)/5),MAX((MIN(80,MAX(1,INT(((CROQUIS!$C$98)-CROQUIS!$C$107)/MAX(CROQUIS!$C$130,1))+1)))-1,0))*CROQUIS!$C$130),CHOOSE(IF(INT(($A100-1)/5)&gt;MAX((MIN(80,MAX(1,INT(((CROQUIS!$C$98)-CROQUIS!$C$107)/MAX(CROQUIS!$C$130,1))+1)))-1,0),0,MOD($A100-1,5))+1,0,IF(CROQUIS!$C$103=1,-12,2),CROQUIS!$C$107/2+CROQUIS!$C$140,IF(CROQUIS!$C$103=1,-12,2),0)))*CROQUIS!$C$155)+IF(CROQUIS!$C$92="X",0,0)),-1000)</f>
        <v>-1000</v>
      </c>
      <c r="BN100">
        <f>IF(AND(CROQUIS!$C$88=1,CROQUIS!$C$91=0,CROQUIS!$C$130&gt;0,OR(CROQUIS!$C$104=1,CROQUIS!$C$142=1)),((CROQUIS!$C$156+(IF(CROQUIS!$C$92="X",CHOOSE(IF(INT(($A100-1)/5)&gt;MAX((MIN(80,MAX(1,INT(((CROQUIS!$C$98)-CROQUIS!$C$107)/MAX(CROQUIS!$C$130,1))+1)))-1,0),0,MOD($A100-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100-1)/5),MAX((MIN(80,MAX(1,INT(((CROQUIS!$C$98)-CROQUIS!$C$107)/MAX(CROQUIS!$C$130,1))+1)))-1,0))*CROQUIS!$C$130)))*CROQUIS!$C$155)+IF(CROQUIS!$C$92="X",0,0)),-1000)</f>
        <v>-1000</v>
      </c>
      <c r="BO10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100-1)/5),MAX((MIN(80,MAX(1,INT(((CROQUIS!$C$98)-CROQUIS!$C$107)/MAX(CROQUIS!$C$130,1))+1)))-1,0))*CROQUIS!$C$130),CHOOSE(IF(INT(($A100-1)/5)&gt;MAX((MIN(80,MAX(1,INT(((CROQUIS!$C$98)-CROQUIS!$C$107)/MAX(CROQUIS!$C$130,1))+1)))-1,0),0,MOD($A100-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0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100-1)/5),MAX((MIN(80,MAX(1,INT(((CROQUIS!$C$97)-CROQUIS!$C$107)/MAX(CROQUIS!$C$138,1))+1)))-1,0))*CROQUIS!$C$138),CHOOSE(IF(INT(($A100-1)/5)&gt;MAX((MIN(80,MAX(1,INT(((CROQUIS!$C$97)-CROQUIS!$C$107)/MAX(CROQUIS!$C$138,1))+1)))-1,0),0,MOD($A100-1,5))+1,0,IF(CROQUIS!$C$105=1,-12,2),CROQUIS!$C$107/2+CROQUIS!$C$141,IF(CROQUIS!$C$105=1,-12,2),0)))*CROQUIS!$C$155)+IF(CROQUIS!$C$92="X",0,0)),-1000)</f>
        <v>-1000</v>
      </c>
      <c r="BQ100">
        <f>IF(AND(CROQUIS!$C$88=1,CROQUIS!$C$91=0,CROQUIS!$C$138&gt;0,OR(CROQUIS!$C$105=1,CROQUIS!$C$143=1)),((CROQUIS!$C$157+(IF(CROQUIS!$C$92="X",CHOOSE(IF(INT(($A100-1)/5)&gt;MAX((MIN(80,MAX(1,INT(((CROQUIS!$C$97)-CROQUIS!$C$107)/MAX(CROQUIS!$C$138,1))+1)))-1,0),0,MOD($A100-1,5))+1,0,IF(CROQUIS!$C$105=1,-12,2),CROQUIS!$C$107/2+CROQUIS!$C$141,IF(CROQUIS!$C$105=1,-12,2),0),((CROQUIS!$C$107/2+(((CROQUIS!$C$97)-CROQUIS!$C$107)-(MIN(80,MAX(1,INT(((CROQUIS!$C$97)-CROQUIS!$C$107)/MAX(CROQUIS!$C$138,1))+1))-1)*CROQUIS!$C$138)/2)+MIN(INT(($A100-1)/5),MAX((MIN(80,MAX(1,INT(((CROQUIS!$C$97)-CROQUIS!$C$107)/MAX(CROQUIS!$C$138,1))+1)))-1,0))*CROQUIS!$C$138)))*CROQUIS!$C$155)+IF(CROQUIS!$C$92="X",0,0)),-1000)</f>
        <v>-1000</v>
      </c>
      <c r="BR10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100-1)/5),MAX((MIN(80,MAX(1,INT(((CROQUIS!$C$97)-CROQUIS!$C$107)/MAX(CROQUIS!$C$138,1))+1)))-1,0))*CROQUIS!$C$138),CHOOSE(IF(INT(($A100-1)/5)&gt;MAX((MIN(80,MAX(1,INT(((CROQUIS!$C$97)-CROQUIS!$C$107)/MAX(CROQUIS!$C$138,1))+1)))-1,0),0,MOD($A100-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00">
        <f>IF(AND(CROQUIS!$C$88=1,CROQUIS!$C$91=0,CROQUIS!$C$138&gt;0,OR(CROQUIS!$C$106=1,CROQUIS!$C$143=1)),((CROQUIS!$C$157+(IF(CROQUIS!$C$92="X",CHOOSE(IF(INT(($A100-1)/5)&gt;MAX((MIN(80,MAX(1,INT(((CROQUIS!$C$97)-CROQUIS!$C$107)/MAX(CROQUIS!$C$138,1))+1)))-1,0),0,MOD($A100-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100-1)/5),MAX((MIN(80,MAX(1,INT(((CROQUIS!$C$97)-CROQUIS!$C$107)/MAX(CROQUIS!$C$138,1))+1)))-1,0))*CROQUIS!$C$138)))*CROQUIS!$C$155)+IF(CROQUIS!$C$92="X",0,0)),-1000)</f>
        <v>-1000</v>
      </c>
      <c r="BT100">
        <f>IF(AND(CROQUIS!$C$88=1,CROQUIS!$C$91=1,CROQUIS!$C$130&gt;0),((CROQUIS!$C$156+(IF(CROQUIS!$C$92="X",CHOOSE(IF(INT(($A100-1)/5)&gt;MAX((MIN(80,MAX(1,INT(((CROQUIS!$C$98)-CROQUIS!$C$107)/MAX(CROQUIS!$C$130,1))+1)))-1,0),0,MOD($A100-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100-1)/5),MAX((MIN(80,MAX(1,INT(((CROQUIS!$C$98)-CROQUIS!$C$107)/MAX(CROQUIS!$C$130,1))+1)))-1,0))*CROQUIS!$C$130)))*CROQUIS!$C$155)+IF(CROQUIS!$C$92="X",0,0)),-1000)</f>
        <v>-1000</v>
      </c>
      <c r="BU100">
        <f>IF(AND(CROQUIS!$C$88=1,CROQUIS!$C$91=1,CROQUIS!$C$130&gt;0),((CROQUIS!$C$157+(IF(CROQUIS!$C$92="X",((CROQUIS!$C$107/2+(((CROQUIS!$C$98)-CROQUIS!$C$107)-(MIN(80,MAX(1,INT(((CROQUIS!$C$98)-CROQUIS!$C$107)/MAX(CROQUIS!$C$130,1))+1))-1)*CROQUIS!$C$130)/2)+MIN(INT(($A100-1)/5),MAX((MIN(80,MAX(1,INT(((CROQUIS!$C$98)-CROQUIS!$C$107)/MAX(CROQUIS!$C$130,1))+1)))-1,0))*CROQUIS!$C$130),CHOOSE(IF(INT(($A100-1)/5)&gt;MAX((MIN(80,MAX(1,INT(((CROQUIS!$C$98)-CROQUIS!$C$107)/MAX(CROQUIS!$C$130,1))+1)))-1,0),0,MOD($A100-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01">
      <c r="A101" t="n">
        <v>94</v>
      </c>
      <c r="AF101">
        <f>IF(AND(CROQUIS!$C$87=1,CROQUIS!$C$158&gt;0,CROQUIS!$C$160&gt;0),(CROQUIS!$C$156+((CROQUIS!$C$159+INT(MIN(INT(($A101-1)/2),MAX((2*CROQUIS!$C$158)-1,0))/2)*CROQUIS!$C$113+MOD(MIN(INT(($A101-1)/2),MAX((2*CROQUIS!$C$158)-1,0)),2)*CROQUIS!$C$112))*CROQUIS!$C$155),-1000)</f>
        <v>85.2010845006778</v>
      </c>
      <c r="AG101">
        <f>IF(AND(CROQUIS!$C$87=1,CROQUIS!$C$158&gt;0,CROQUIS!$C$160&gt;0),(CROQUIS!$C$157+(IF(MOD(MIN(INT(($A101-1)/2),MAX((2*CROQUIS!$C$158)-1,0)),2)=0,IF(IF(INT(($A101-1)/2)&gt;MAX((2*CROQUIS!$C$158)-1,0),1,MOD($A101-1,2))=0,CROQUIS!$C$161,(CROQUIS!$C$161+CROQUIS!$C$160*CROQUIS!$C$113-CROQUIS!$C$111)),IF(IF(INT(($A101-1)/2)&gt;MAX((2*CROQUIS!$C$158)-1,0),1,MOD($A101-1,2))=0,(CROQUIS!$C$161+CROQUIS!$C$160*CROQUIS!$C$113-CROQUIS!$C$111),CROQUIS!$C$161)))*CROQUIS!$C$155),-1000)</f>
        <v>20.8088567555355</v>
      </c>
      <c r="AH101">
        <f>IF(AND(CROQUIS!$C$87=1,CROQUIS!$C$160&gt;0,CROQUIS!$C$158&gt;0),(CROQUIS!$C$156+(IF(MOD(MIN(INT(($A101-1)/2),MAX((2*CROQUIS!$C$160)-1,0)),2)=0,IF(IF(INT(($A101-1)/2)&gt;MAX((2*CROQUIS!$C$160)-1,0),1,MOD($A101-1,2))=0,CROQUIS!$C$159,(CROQUIS!$C$159+CROQUIS!$C$158*CROQUIS!$C$113-CROQUIS!$C$111)),IF(IF(INT(($A101-1)/2)&gt;MAX((2*CROQUIS!$C$160)-1,0),1,MOD($A101-1,2))=0,(CROQUIS!$C$159+CROQUIS!$C$158*CROQUIS!$C$113-CROQUIS!$C$111),CROQUIS!$C$159)))*CROQUIS!$C$155),-1000)</f>
        <v>14.7989154993222</v>
      </c>
      <c r="AI101">
        <f>IF(AND(CROQUIS!$C$87=1,CROQUIS!$C$160&gt;0,CROQUIS!$C$158&gt;0),(CROQUIS!$C$157+((CROQUIS!$C$161+INT(MIN(INT(($A101-1)/2),MAX((2*CROQUIS!$C$160)-1,0))/2)*CROQUIS!$C$113+MOD(MIN(INT(($A101-1)/2),MAX((2*CROQUIS!$C$160)-1,0)),2)*CROQUIS!$C$112))*CROQUIS!$C$155),-1000)</f>
        <v>79.1911432444645</v>
      </c>
      <c r="BH101">
        <f>IF(AND(CROQUIS!$C$88=1,CROQUIS!$C$126&gt;0),((CROQUIS!$C$156+(IF(CROQUIS!$C$92="X",CHOOSE(IF(INT(($A101-1)/5)&gt;MAX((MIN(80,MAX(1,INT(((CROQUIS!$C$98)-CROQUIS!$C$107)/MAX(CROQUIS!$C$126,1))+1)))-1,0),0,MOD($A101-1,5))+1,0,2,CROQUIS!$C$97-2,2,0),((CROQUIS!$C$107/2+(((CROQUIS!$C$98)-CROQUIS!$C$107)-(MIN(80,MAX(1,INT(((CROQUIS!$C$98)-CROQUIS!$C$107)/MAX(CROQUIS!$C$126,1))+1))-1)*CROQUIS!$C$126)/2)+MIN(INT(($A101-1)/5),MAX((MIN(80,MAX(1,INT(((CROQUIS!$C$98)-CROQUIS!$C$107)/MAX(CROQUIS!$C$126,1))+1)))-1,0))*CROQUIS!$C$126)))*CROQUIS!$C$155)+IF(CROQUIS!$C$92="X",0,0)),-1000)</f>
        <v>-1000</v>
      </c>
      <c r="BI101">
        <f>IF(AND(CROQUIS!$C$88=1,CROQUIS!$C$126&gt;0),((CROQUIS!$C$157+(IF(CROQUIS!$C$92="X",((CROQUIS!$C$107/2+(((CROQUIS!$C$98)-CROQUIS!$C$107)-(MIN(80,MAX(1,INT(((CROQUIS!$C$98)-CROQUIS!$C$107)/MAX(CROQUIS!$C$126,1))+1))-1)*CROQUIS!$C$126)/2)+MIN(INT(($A101-1)/5),MAX((MIN(80,MAX(1,INT(((CROQUIS!$C$98)-CROQUIS!$C$107)/MAX(CROQUIS!$C$126,1))+1)))-1,0))*CROQUIS!$C$126),CHOOSE(IF(INT(($A101-1)/5)&gt;MAX((MIN(80,MAX(1,INT(((CROQUIS!$C$98)-CROQUIS!$C$107)/MAX(CROQUIS!$C$126,1))+1)))-1,0),0,MOD($A101-1,5))+1,0,2,CROQUIS!$C$97-2,2,0)))*CROQUIS!$C$155)+IF(CROQUIS!$C$92="X",0,0)),-1000)</f>
        <v>-1000</v>
      </c>
      <c r="BJ101">
        <f>IF(AND(CROQUIS!$C$88=1,CROQUIS!$C$134&gt;0),((CROQUIS!$C$156+(IF(CROQUIS!$C$92="X",((CROQUIS!$C$107/2+(((CROQUIS!$C$97)-CROQUIS!$C$107)-(MIN(80,MAX(1,INT(((CROQUIS!$C$97)-CROQUIS!$C$107)/MAX(CROQUIS!$C$134,1))+1))-1)*CROQUIS!$C$134)/2)+MIN(INT(($A101-1)/5),MAX((MIN(80,MAX(1,INT(((CROQUIS!$C$97)-CROQUIS!$C$107)/MAX(CROQUIS!$C$134,1))+1)))-1,0))*CROQUIS!$C$134),CHOOSE(IF(INT(($A101-1)/5)&gt;MAX((MIN(80,MAX(1,INT(((CROQUIS!$C$97)-CROQUIS!$C$107)/MAX(CROQUIS!$C$134,1))+1)))-1,0),0,MOD($A101-1,5))+1,0,2,CROQUIS!$C$98-2,2,0)))*CROQUIS!$C$155)+IF(CROQUIS!$C$92="X",0,0)),-1000)</f>
        <v>-1000</v>
      </c>
      <c r="BK101">
        <f>IF(AND(CROQUIS!$C$88=1,CROQUIS!$C$134&gt;0),((CROQUIS!$C$157+(IF(CROQUIS!$C$92="X",CHOOSE(IF(INT(($A101-1)/5)&gt;MAX((MIN(80,MAX(1,INT(((CROQUIS!$C$97)-CROQUIS!$C$107)/MAX(CROQUIS!$C$134,1))+1)))-1,0),0,MOD($A101-1,5))+1,0,2,CROQUIS!$C$98-2,2,0),((CROQUIS!$C$107/2+(((CROQUIS!$C$97)-CROQUIS!$C$107)-(MIN(80,MAX(1,INT(((CROQUIS!$C$97)-CROQUIS!$C$107)/MAX(CROQUIS!$C$134,1))+1))-1)*CROQUIS!$C$134)/2)+MIN(INT(($A101-1)/5),MAX((MIN(80,MAX(1,INT(((CROQUIS!$C$97)-CROQUIS!$C$107)/MAX(CROQUIS!$C$134,1))+1)))-1,0))*CROQUIS!$C$134)))*CROQUIS!$C$155)+IF(CROQUIS!$C$92="X",0,0)),-1000)</f>
        <v>-1000</v>
      </c>
      <c r="BL101">
        <f>IF(AND(CROQUIS!$C$88=1,CROQUIS!$C$91=0,CROQUIS!$C$130&gt;0,OR(CROQUIS!$C$103=1,CROQUIS!$C$142=1)),((CROQUIS!$C$156+(IF(CROQUIS!$C$92="X",CHOOSE(IF(INT(($A101-1)/5)&gt;MAX((MIN(80,MAX(1,INT(((CROQUIS!$C$98)-CROQUIS!$C$107)/MAX(CROQUIS!$C$130,1))+1)))-1,0),0,MOD($A101-1,5))+1,0,IF(CROQUIS!$C$103=1,-12,2),CROQUIS!$C$107/2+CROQUIS!$C$140,IF(CROQUIS!$C$103=1,-12,2),0),((CROQUIS!$C$107/2+(((CROQUIS!$C$98)-CROQUIS!$C$107)-(MIN(80,MAX(1,INT(((CROQUIS!$C$98)-CROQUIS!$C$107)/MAX(CROQUIS!$C$130,1))+1))-1)*CROQUIS!$C$130)/2)+MIN(INT(($A101-1)/5),MAX((MIN(80,MAX(1,INT(((CROQUIS!$C$98)-CROQUIS!$C$107)/MAX(CROQUIS!$C$130,1))+1)))-1,0))*CROQUIS!$C$130)))*CROQUIS!$C$155)+IF(CROQUIS!$C$92="X",0,0)),-1000)</f>
        <v>-1000</v>
      </c>
      <c r="BM10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101-1)/5),MAX((MIN(80,MAX(1,INT(((CROQUIS!$C$98)-CROQUIS!$C$107)/MAX(CROQUIS!$C$130,1))+1)))-1,0))*CROQUIS!$C$130),CHOOSE(IF(INT(($A101-1)/5)&gt;MAX((MIN(80,MAX(1,INT(((CROQUIS!$C$98)-CROQUIS!$C$107)/MAX(CROQUIS!$C$130,1))+1)))-1,0),0,MOD($A101-1,5))+1,0,IF(CROQUIS!$C$103=1,-12,2),CROQUIS!$C$107/2+CROQUIS!$C$140,IF(CROQUIS!$C$103=1,-12,2),0)))*CROQUIS!$C$155)+IF(CROQUIS!$C$92="X",0,0)),-1000)</f>
        <v>-1000</v>
      </c>
      <c r="BN101">
        <f>IF(AND(CROQUIS!$C$88=1,CROQUIS!$C$91=0,CROQUIS!$C$130&gt;0,OR(CROQUIS!$C$104=1,CROQUIS!$C$142=1)),((CROQUIS!$C$156+(IF(CROQUIS!$C$92="X",CHOOSE(IF(INT(($A101-1)/5)&gt;MAX((MIN(80,MAX(1,INT(((CROQUIS!$C$98)-CROQUIS!$C$107)/MAX(CROQUIS!$C$130,1))+1)))-1,0),0,MOD($A101-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101-1)/5),MAX((MIN(80,MAX(1,INT(((CROQUIS!$C$98)-CROQUIS!$C$107)/MAX(CROQUIS!$C$130,1))+1)))-1,0))*CROQUIS!$C$130)))*CROQUIS!$C$155)+IF(CROQUIS!$C$92="X",0,0)),-1000)</f>
        <v>-1000</v>
      </c>
      <c r="BO10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101-1)/5),MAX((MIN(80,MAX(1,INT(((CROQUIS!$C$98)-CROQUIS!$C$107)/MAX(CROQUIS!$C$130,1))+1)))-1,0))*CROQUIS!$C$130),CHOOSE(IF(INT(($A101-1)/5)&gt;MAX((MIN(80,MAX(1,INT(((CROQUIS!$C$98)-CROQUIS!$C$107)/MAX(CROQUIS!$C$130,1))+1)))-1,0),0,MOD($A101-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0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101-1)/5),MAX((MIN(80,MAX(1,INT(((CROQUIS!$C$97)-CROQUIS!$C$107)/MAX(CROQUIS!$C$138,1))+1)))-1,0))*CROQUIS!$C$138),CHOOSE(IF(INT(($A101-1)/5)&gt;MAX((MIN(80,MAX(1,INT(((CROQUIS!$C$97)-CROQUIS!$C$107)/MAX(CROQUIS!$C$138,1))+1)))-1,0),0,MOD($A101-1,5))+1,0,IF(CROQUIS!$C$105=1,-12,2),CROQUIS!$C$107/2+CROQUIS!$C$141,IF(CROQUIS!$C$105=1,-12,2),0)))*CROQUIS!$C$155)+IF(CROQUIS!$C$92="X",0,0)),-1000)</f>
        <v>-1000</v>
      </c>
      <c r="BQ101">
        <f>IF(AND(CROQUIS!$C$88=1,CROQUIS!$C$91=0,CROQUIS!$C$138&gt;0,OR(CROQUIS!$C$105=1,CROQUIS!$C$143=1)),((CROQUIS!$C$157+(IF(CROQUIS!$C$92="X",CHOOSE(IF(INT(($A101-1)/5)&gt;MAX((MIN(80,MAX(1,INT(((CROQUIS!$C$97)-CROQUIS!$C$107)/MAX(CROQUIS!$C$138,1))+1)))-1,0),0,MOD($A101-1,5))+1,0,IF(CROQUIS!$C$105=1,-12,2),CROQUIS!$C$107/2+CROQUIS!$C$141,IF(CROQUIS!$C$105=1,-12,2),0),((CROQUIS!$C$107/2+(((CROQUIS!$C$97)-CROQUIS!$C$107)-(MIN(80,MAX(1,INT(((CROQUIS!$C$97)-CROQUIS!$C$107)/MAX(CROQUIS!$C$138,1))+1))-1)*CROQUIS!$C$138)/2)+MIN(INT(($A101-1)/5),MAX((MIN(80,MAX(1,INT(((CROQUIS!$C$97)-CROQUIS!$C$107)/MAX(CROQUIS!$C$138,1))+1)))-1,0))*CROQUIS!$C$138)))*CROQUIS!$C$155)+IF(CROQUIS!$C$92="X",0,0)),-1000)</f>
        <v>-1000</v>
      </c>
      <c r="BR10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101-1)/5),MAX((MIN(80,MAX(1,INT(((CROQUIS!$C$97)-CROQUIS!$C$107)/MAX(CROQUIS!$C$138,1))+1)))-1,0))*CROQUIS!$C$138),CHOOSE(IF(INT(($A101-1)/5)&gt;MAX((MIN(80,MAX(1,INT(((CROQUIS!$C$97)-CROQUIS!$C$107)/MAX(CROQUIS!$C$138,1))+1)))-1,0),0,MOD($A101-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01">
        <f>IF(AND(CROQUIS!$C$88=1,CROQUIS!$C$91=0,CROQUIS!$C$138&gt;0,OR(CROQUIS!$C$106=1,CROQUIS!$C$143=1)),((CROQUIS!$C$157+(IF(CROQUIS!$C$92="X",CHOOSE(IF(INT(($A101-1)/5)&gt;MAX((MIN(80,MAX(1,INT(((CROQUIS!$C$97)-CROQUIS!$C$107)/MAX(CROQUIS!$C$138,1))+1)))-1,0),0,MOD($A101-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101-1)/5),MAX((MIN(80,MAX(1,INT(((CROQUIS!$C$97)-CROQUIS!$C$107)/MAX(CROQUIS!$C$138,1))+1)))-1,0))*CROQUIS!$C$138)))*CROQUIS!$C$155)+IF(CROQUIS!$C$92="X",0,0)),-1000)</f>
        <v>-1000</v>
      </c>
      <c r="BT101">
        <f>IF(AND(CROQUIS!$C$88=1,CROQUIS!$C$91=1,CROQUIS!$C$130&gt;0),((CROQUIS!$C$156+(IF(CROQUIS!$C$92="X",CHOOSE(IF(INT(($A101-1)/5)&gt;MAX((MIN(80,MAX(1,INT(((CROQUIS!$C$98)-CROQUIS!$C$107)/MAX(CROQUIS!$C$130,1))+1)))-1,0),0,MOD($A101-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101-1)/5),MAX((MIN(80,MAX(1,INT(((CROQUIS!$C$98)-CROQUIS!$C$107)/MAX(CROQUIS!$C$130,1))+1)))-1,0))*CROQUIS!$C$130)))*CROQUIS!$C$155)+IF(CROQUIS!$C$92="X",0,0)),-1000)</f>
        <v>-1000</v>
      </c>
      <c r="BU101">
        <f>IF(AND(CROQUIS!$C$88=1,CROQUIS!$C$91=1,CROQUIS!$C$130&gt;0),((CROQUIS!$C$157+(IF(CROQUIS!$C$92="X",((CROQUIS!$C$107/2+(((CROQUIS!$C$98)-CROQUIS!$C$107)-(MIN(80,MAX(1,INT(((CROQUIS!$C$98)-CROQUIS!$C$107)/MAX(CROQUIS!$C$130,1))+1))-1)*CROQUIS!$C$130)/2)+MIN(INT(($A101-1)/5),MAX((MIN(80,MAX(1,INT(((CROQUIS!$C$98)-CROQUIS!$C$107)/MAX(CROQUIS!$C$130,1))+1)))-1,0))*CROQUIS!$C$130),CHOOSE(IF(INT(($A101-1)/5)&gt;MAX((MIN(80,MAX(1,INT(((CROQUIS!$C$98)-CROQUIS!$C$107)/MAX(CROQUIS!$C$130,1))+1)))-1,0),0,MOD($A101-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02">
      <c r="A102" t="n">
        <v>95</v>
      </c>
      <c r="AF102">
        <f>IF(AND(CROQUIS!$C$87=1,CROQUIS!$C$158&gt;0,CROQUIS!$C$160&gt;0),(CROQUIS!$C$156+((CROQUIS!$C$159+INT(MIN(INT(($A102-1)/2),MAX((2*CROQUIS!$C$158)-1,0))/2)*CROQUIS!$C$113+MOD(MIN(INT(($A102-1)/2),MAX((2*CROQUIS!$C$158)-1,0)),2)*CROQUIS!$C$112))*CROQUIS!$C$155),-1000)</f>
        <v>85.2010845006778</v>
      </c>
      <c r="AG102">
        <f>IF(AND(CROQUIS!$C$87=1,CROQUIS!$C$158&gt;0,CROQUIS!$C$160&gt;0),(CROQUIS!$C$157+(IF(MOD(MIN(INT(($A102-1)/2),MAX((2*CROQUIS!$C$158)-1,0)),2)=0,IF(IF(INT(($A102-1)/2)&gt;MAX((2*CROQUIS!$C$158)-1,0),1,MOD($A102-1,2))=0,CROQUIS!$C$161,(CROQUIS!$C$161+CROQUIS!$C$160*CROQUIS!$C$113-CROQUIS!$C$111)),IF(IF(INT(($A102-1)/2)&gt;MAX((2*CROQUIS!$C$158)-1,0),1,MOD($A102-1,2))=0,(CROQUIS!$C$161+CROQUIS!$C$160*CROQUIS!$C$113-CROQUIS!$C$111),CROQUIS!$C$161)))*CROQUIS!$C$155),-1000)</f>
        <v>20.8088567555355</v>
      </c>
      <c r="AH102">
        <f>IF(AND(CROQUIS!$C$87=1,CROQUIS!$C$160&gt;0,CROQUIS!$C$158&gt;0),(CROQUIS!$C$156+(IF(MOD(MIN(INT(($A102-1)/2),MAX((2*CROQUIS!$C$160)-1,0)),2)=0,IF(IF(INT(($A102-1)/2)&gt;MAX((2*CROQUIS!$C$160)-1,0),1,MOD($A102-1,2))=0,CROQUIS!$C$159,(CROQUIS!$C$159+CROQUIS!$C$158*CROQUIS!$C$113-CROQUIS!$C$111)),IF(IF(INT(($A102-1)/2)&gt;MAX((2*CROQUIS!$C$160)-1,0),1,MOD($A102-1,2))=0,(CROQUIS!$C$159+CROQUIS!$C$158*CROQUIS!$C$113-CROQUIS!$C$111),CROQUIS!$C$159)))*CROQUIS!$C$155),-1000)</f>
        <v>14.7989154993222</v>
      </c>
      <c r="AI102">
        <f>IF(AND(CROQUIS!$C$87=1,CROQUIS!$C$160&gt;0,CROQUIS!$C$158&gt;0),(CROQUIS!$C$157+((CROQUIS!$C$161+INT(MIN(INT(($A102-1)/2),MAX((2*CROQUIS!$C$160)-1,0))/2)*CROQUIS!$C$113+MOD(MIN(INT(($A102-1)/2),MAX((2*CROQUIS!$C$160)-1,0)),2)*CROQUIS!$C$112))*CROQUIS!$C$155),-1000)</f>
        <v>79.1911432444645</v>
      </c>
      <c r="BH102">
        <f>IF(AND(CROQUIS!$C$88=1,CROQUIS!$C$126&gt;0),((CROQUIS!$C$156+(IF(CROQUIS!$C$92="X",CHOOSE(IF(INT(($A102-1)/5)&gt;MAX((MIN(80,MAX(1,INT(((CROQUIS!$C$98)-CROQUIS!$C$107)/MAX(CROQUIS!$C$126,1))+1)))-1,0),0,MOD($A102-1,5))+1,0,2,CROQUIS!$C$97-2,2,0),((CROQUIS!$C$107/2+(((CROQUIS!$C$98)-CROQUIS!$C$107)-(MIN(80,MAX(1,INT(((CROQUIS!$C$98)-CROQUIS!$C$107)/MAX(CROQUIS!$C$126,1))+1))-1)*CROQUIS!$C$126)/2)+MIN(INT(($A102-1)/5),MAX((MIN(80,MAX(1,INT(((CROQUIS!$C$98)-CROQUIS!$C$107)/MAX(CROQUIS!$C$126,1))+1)))-1,0))*CROQUIS!$C$126)))*CROQUIS!$C$155)+IF(CROQUIS!$C$92="X",0,0)),-1000)</f>
        <v>-1000</v>
      </c>
      <c r="BI102">
        <f>IF(AND(CROQUIS!$C$88=1,CROQUIS!$C$126&gt;0),((CROQUIS!$C$157+(IF(CROQUIS!$C$92="X",((CROQUIS!$C$107/2+(((CROQUIS!$C$98)-CROQUIS!$C$107)-(MIN(80,MAX(1,INT(((CROQUIS!$C$98)-CROQUIS!$C$107)/MAX(CROQUIS!$C$126,1))+1))-1)*CROQUIS!$C$126)/2)+MIN(INT(($A102-1)/5),MAX((MIN(80,MAX(1,INT(((CROQUIS!$C$98)-CROQUIS!$C$107)/MAX(CROQUIS!$C$126,1))+1)))-1,0))*CROQUIS!$C$126),CHOOSE(IF(INT(($A102-1)/5)&gt;MAX((MIN(80,MAX(1,INT(((CROQUIS!$C$98)-CROQUIS!$C$107)/MAX(CROQUIS!$C$126,1))+1)))-1,0),0,MOD($A102-1,5))+1,0,2,CROQUIS!$C$97-2,2,0)))*CROQUIS!$C$155)+IF(CROQUIS!$C$92="X",0,0)),-1000)</f>
        <v>-1000</v>
      </c>
      <c r="BJ102">
        <f>IF(AND(CROQUIS!$C$88=1,CROQUIS!$C$134&gt;0),((CROQUIS!$C$156+(IF(CROQUIS!$C$92="X",((CROQUIS!$C$107/2+(((CROQUIS!$C$97)-CROQUIS!$C$107)-(MIN(80,MAX(1,INT(((CROQUIS!$C$97)-CROQUIS!$C$107)/MAX(CROQUIS!$C$134,1))+1))-1)*CROQUIS!$C$134)/2)+MIN(INT(($A102-1)/5),MAX((MIN(80,MAX(1,INT(((CROQUIS!$C$97)-CROQUIS!$C$107)/MAX(CROQUIS!$C$134,1))+1)))-1,0))*CROQUIS!$C$134),CHOOSE(IF(INT(($A102-1)/5)&gt;MAX((MIN(80,MAX(1,INT(((CROQUIS!$C$97)-CROQUIS!$C$107)/MAX(CROQUIS!$C$134,1))+1)))-1,0),0,MOD($A102-1,5))+1,0,2,CROQUIS!$C$98-2,2,0)))*CROQUIS!$C$155)+IF(CROQUIS!$C$92="X",0,0)),-1000)</f>
        <v>-1000</v>
      </c>
      <c r="BK102">
        <f>IF(AND(CROQUIS!$C$88=1,CROQUIS!$C$134&gt;0),((CROQUIS!$C$157+(IF(CROQUIS!$C$92="X",CHOOSE(IF(INT(($A102-1)/5)&gt;MAX((MIN(80,MAX(1,INT(((CROQUIS!$C$97)-CROQUIS!$C$107)/MAX(CROQUIS!$C$134,1))+1)))-1,0),0,MOD($A102-1,5))+1,0,2,CROQUIS!$C$98-2,2,0),((CROQUIS!$C$107/2+(((CROQUIS!$C$97)-CROQUIS!$C$107)-(MIN(80,MAX(1,INT(((CROQUIS!$C$97)-CROQUIS!$C$107)/MAX(CROQUIS!$C$134,1))+1))-1)*CROQUIS!$C$134)/2)+MIN(INT(($A102-1)/5),MAX((MIN(80,MAX(1,INT(((CROQUIS!$C$97)-CROQUIS!$C$107)/MAX(CROQUIS!$C$134,1))+1)))-1,0))*CROQUIS!$C$134)))*CROQUIS!$C$155)+IF(CROQUIS!$C$92="X",0,0)),-1000)</f>
        <v>-1000</v>
      </c>
      <c r="BL102">
        <f>IF(AND(CROQUIS!$C$88=1,CROQUIS!$C$91=0,CROQUIS!$C$130&gt;0,OR(CROQUIS!$C$103=1,CROQUIS!$C$142=1)),((CROQUIS!$C$156+(IF(CROQUIS!$C$92="X",CHOOSE(IF(INT(($A102-1)/5)&gt;MAX((MIN(80,MAX(1,INT(((CROQUIS!$C$98)-CROQUIS!$C$107)/MAX(CROQUIS!$C$130,1))+1)))-1,0),0,MOD($A102-1,5))+1,0,IF(CROQUIS!$C$103=1,-12,2),CROQUIS!$C$107/2+CROQUIS!$C$140,IF(CROQUIS!$C$103=1,-12,2),0),((CROQUIS!$C$107/2+(((CROQUIS!$C$98)-CROQUIS!$C$107)-(MIN(80,MAX(1,INT(((CROQUIS!$C$98)-CROQUIS!$C$107)/MAX(CROQUIS!$C$130,1))+1))-1)*CROQUIS!$C$130)/2)+MIN(INT(($A102-1)/5),MAX((MIN(80,MAX(1,INT(((CROQUIS!$C$98)-CROQUIS!$C$107)/MAX(CROQUIS!$C$130,1))+1)))-1,0))*CROQUIS!$C$130)))*CROQUIS!$C$155)+IF(CROQUIS!$C$92="X",0,0)),-1000)</f>
        <v>-1000</v>
      </c>
      <c r="BM10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102-1)/5),MAX((MIN(80,MAX(1,INT(((CROQUIS!$C$98)-CROQUIS!$C$107)/MAX(CROQUIS!$C$130,1))+1)))-1,0))*CROQUIS!$C$130),CHOOSE(IF(INT(($A102-1)/5)&gt;MAX((MIN(80,MAX(1,INT(((CROQUIS!$C$98)-CROQUIS!$C$107)/MAX(CROQUIS!$C$130,1))+1)))-1,0),0,MOD($A102-1,5))+1,0,IF(CROQUIS!$C$103=1,-12,2),CROQUIS!$C$107/2+CROQUIS!$C$140,IF(CROQUIS!$C$103=1,-12,2),0)))*CROQUIS!$C$155)+IF(CROQUIS!$C$92="X",0,0)),-1000)</f>
        <v>-1000</v>
      </c>
      <c r="BN102">
        <f>IF(AND(CROQUIS!$C$88=1,CROQUIS!$C$91=0,CROQUIS!$C$130&gt;0,OR(CROQUIS!$C$104=1,CROQUIS!$C$142=1)),((CROQUIS!$C$156+(IF(CROQUIS!$C$92="X",CHOOSE(IF(INT(($A102-1)/5)&gt;MAX((MIN(80,MAX(1,INT(((CROQUIS!$C$98)-CROQUIS!$C$107)/MAX(CROQUIS!$C$130,1))+1)))-1,0),0,MOD($A102-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102-1)/5),MAX((MIN(80,MAX(1,INT(((CROQUIS!$C$98)-CROQUIS!$C$107)/MAX(CROQUIS!$C$130,1))+1)))-1,0))*CROQUIS!$C$130)))*CROQUIS!$C$155)+IF(CROQUIS!$C$92="X",0,0)),-1000)</f>
        <v>-1000</v>
      </c>
      <c r="BO10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102-1)/5),MAX((MIN(80,MAX(1,INT(((CROQUIS!$C$98)-CROQUIS!$C$107)/MAX(CROQUIS!$C$130,1))+1)))-1,0))*CROQUIS!$C$130),CHOOSE(IF(INT(($A102-1)/5)&gt;MAX((MIN(80,MAX(1,INT(((CROQUIS!$C$98)-CROQUIS!$C$107)/MAX(CROQUIS!$C$130,1))+1)))-1,0),0,MOD($A102-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0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102-1)/5),MAX((MIN(80,MAX(1,INT(((CROQUIS!$C$97)-CROQUIS!$C$107)/MAX(CROQUIS!$C$138,1))+1)))-1,0))*CROQUIS!$C$138),CHOOSE(IF(INT(($A102-1)/5)&gt;MAX((MIN(80,MAX(1,INT(((CROQUIS!$C$97)-CROQUIS!$C$107)/MAX(CROQUIS!$C$138,1))+1)))-1,0),0,MOD($A102-1,5))+1,0,IF(CROQUIS!$C$105=1,-12,2),CROQUIS!$C$107/2+CROQUIS!$C$141,IF(CROQUIS!$C$105=1,-12,2),0)))*CROQUIS!$C$155)+IF(CROQUIS!$C$92="X",0,0)),-1000)</f>
        <v>-1000</v>
      </c>
      <c r="BQ102">
        <f>IF(AND(CROQUIS!$C$88=1,CROQUIS!$C$91=0,CROQUIS!$C$138&gt;0,OR(CROQUIS!$C$105=1,CROQUIS!$C$143=1)),((CROQUIS!$C$157+(IF(CROQUIS!$C$92="X",CHOOSE(IF(INT(($A102-1)/5)&gt;MAX((MIN(80,MAX(1,INT(((CROQUIS!$C$97)-CROQUIS!$C$107)/MAX(CROQUIS!$C$138,1))+1)))-1,0),0,MOD($A102-1,5))+1,0,IF(CROQUIS!$C$105=1,-12,2),CROQUIS!$C$107/2+CROQUIS!$C$141,IF(CROQUIS!$C$105=1,-12,2),0),((CROQUIS!$C$107/2+(((CROQUIS!$C$97)-CROQUIS!$C$107)-(MIN(80,MAX(1,INT(((CROQUIS!$C$97)-CROQUIS!$C$107)/MAX(CROQUIS!$C$138,1))+1))-1)*CROQUIS!$C$138)/2)+MIN(INT(($A102-1)/5),MAX((MIN(80,MAX(1,INT(((CROQUIS!$C$97)-CROQUIS!$C$107)/MAX(CROQUIS!$C$138,1))+1)))-1,0))*CROQUIS!$C$138)))*CROQUIS!$C$155)+IF(CROQUIS!$C$92="X",0,0)),-1000)</f>
        <v>-1000</v>
      </c>
      <c r="BR10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102-1)/5),MAX((MIN(80,MAX(1,INT(((CROQUIS!$C$97)-CROQUIS!$C$107)/MAX(CROQUIS!$C$138,1))+1)))-1,0))*CROQUIS!$C$138),CHOOSE(IF(INT(($A102-1)/5)&gt;MAX((MIN(80,MAX(1,INT(((CROQUIS!$C$97)-CROQUIS!$C$107)/MAX(CROQUIS!$C$138,1))+1)))-1,0),0,MOD($A102-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02">
        <f>IF(AND(CROQUIS!$C$88=1,CROQUIS!$C$91=0,CROQUIS!$C$138&gt;0,OR(CROQUIS!$C$106=1,CROQUIS!$C$143=1)),((CROQUIS!$C$157+(IF(CROQUIS!$C$92="X",CHOOSE(IF(INT(($A102-1)/5)&gt;MAX((MIN(80,MAX(1,INT(((CROQUIS!$C$97)-CROQUIS!$C$107)/MAX(CROQUIS!$C$138,1))+1)))-1,0),0,MOD($A102-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102-1)/5),MAX((MIN(80,MAX(1,INT(((CROQUIS!$C$97)-CROQUIS!$C$107)/MAX(CROQUIS!$C$138,1))+1)))-1,0))*CROQUIS!$C$138)))*CROQUIS!$C$155)+IF(CROQUIS!$C$92="X",0,0)),-1000)</f>
        <v>-1000</v>
      </c>
      <c r="BT102">
        <f>IF(AND(CROQUIS!$C$88=1,CROQUIS!$C$91=1,CROQUIS!$C$130&gt;0),((CROQUIS!$C$156+(IF(CROQUIS!$C$92="X",CHOOSE(IF(INT(($A102-1)/5)&gt;MAX((MIN(80,MAX(1,INT(((CROQUIS!$C$98)-CROQUIS!$C$107)/MAX(CROQUIS!$C$130,1))+1)))-1,0),0,MOD($A102-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102-1)/5),MAX((MIN(80,MAX(1,INT(((CROQUIS!$C$98)-CROQUIS!$C$107)/MAX(CROQUIS!$C$130,1))+1)))-1,0))*CROQUIS!$C$130)))*CROQUIS!$C$155)+IF(CROQUIS!$C$92="X",0,0)),-1000)</f>
        <v>-1000</v>
      </c>
      <c r="BU102">
        <f>IF(AND(CROQUIS!$C$88=1,CROQUIS!$C$91=1,CROQUIS!$C$130&gt;0),((CROQUIS!$C$157+(IF(CROQUIS!$C$92="X",((CROQUIS!$C$107/2+(((CROQUIS!$C$98)-CROQUIS!$C$107)-(MIN(80,MAX(1,INT(((CROQUIS!$C$98)-CROQUIS!$C$107)/MAX(CROQUIS!$C$130,1))+1))-1)*CROQUIS!$C$130)/2)+MIN(INT(($A102-1)/5),MAX((MIN(80,MAX(1,INT(((CROQUIS!$C$98)-CROQUIS!$C$107)/MAX(CROQUIS!$C$130,1))+1)))-1,0))*CROQUIS!$C$130),CHOOSE(IF(INT(($A102-1)/5)&gt;MAX((MIN(80,MAX(1,INT(((CROQUIS!$C$98)-CROQUIS!$C$107)/MAX(CROQUIS!$C$130,1))+1)))-1,0),0,MOD($A102-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03">
      <c r="A103" t="n">
        <v>96</v>
      </c>
      <c r="AF103">
        <f>IF(AND(CROQUIS!$C$87=1,CROQUIS!$C$158&gt;0,CROQUIS!$C$160&gt;0),(CROQUIS!$C$156+((CROQUIS!$C$159+INT(MIN(INT(($A103-1)/2),MAX((2*CROQUIS!$C$158)-1,0))/2)*CROQUIS!$C$113+MOD(MIN(INT(($A103-1)/2),MAX((2*CROQUIS!$C$158)-1,0)),2)*CROQUIS!$C$112))*CROQUIS!$C$155),-1000)</f>
        <v>85.2010845006778</v>
      </c>
      <c r="AG103">
        <f>IF(AND(CROQUIS!$C$87=1,CROQUIS!$C$158&gt;0,CROQUIS!$C$160&gt;0),(CROQUIS!$C$157+(IF(MOD(MIN(INT(($A103-1)/2),MAX((2*CROQUIS!$C$158)-1,0)),2)=0,IF(IF(INT(($A103-1)/2)&gt;MAX((2*CROQUIS!$C$158)-1,0),1,MOD($A103-1,2))=0,CROQUIS!$C$161,(CROQUIS!$C$161+CROQUIS!$C$160*CROQUIS!$C$113-CROQUIS!$C$111)),IF(IF(INT(($A103-1)/2)&gt;MAX((2*CROQUIS!$C$158)-1,0),1,MOD($A103-1,2))=0,(CROQUIS!$C$161+CROQUIS!$C$160*CROQUIS!$C$113-CROQUIS!$C$111),CROQUIS!$C$161)))*CROQUIS!$C$155),-1000)</f>
        <v>20.8088567555355</v>
      </c>
      <c r="AH103">
        <f>IF(AND(CROQUIS!$C$87=1,CROQUIS!$C$160&gt;0,CROQUIS!$C$158&gt;0),(CROQUIS!$C$156+(IF(MOD(MIN(INT(($A103-1)/2),MAX((2*CROQUIS!$C$160)-1,0)),2)=0,IF(IF(INT(($A103-1)/2)&gt;MAX((2*CROQUIS!$C$160)-1,0),1,MOD($A103-1,2))=0,CROQUIS!$C$159,(CROQUIS!$C$159+CROQUIS!$C$158*CROQUIS!$C$113-CROQUIS!$C$111)),IF(IF(INT(($A103-1)/2)&gt;MAX((2*CROQUIS!$C$160)-1,0),1,MOD($A103-1,2))=0,(CROQUIS!$C$159+CROQUIS!$C$158*CROQUIS!$C$113-CROQUIS!$C$111),CROQUIS!$C$159)))*CROQUIS!$C$155),-1000)</f>
        <v>14.7989154993222</v>
      </c>
      <c r="AI103">
        <f>IF(AND(CROQUIS!$C$87=1,CROQUIS!$C$160&gt;0,CROQUIS!$C$158&gt;0),(CROQUIS!$C$157+((CROQUIS!$C$161+INT(MIN(INT(($A103-1)/2),MAX((2*CROQUIS!$C$160)-1,0))/2)*CROQUIS!$C$113+MOD(MIN(INT(($A103-1)/2),MAX((2*CROQUIS!$C$160)-1,0)),2)*CROQUIS!$C$112))*CROQUIS!$C$155),-1000)</f>
        <v>79.1911432444645</v>
      </c>
      <c r="BH103">
        <f>IF(AND(CROQUIS!$C$88=1,CROQUIS!$C$126&gt;0),((CROQUIS!$C$156+(IF(CROQUIS!$C$92="X",CHOOSE(IF(INT(($A103-1)/5)&gt;MAX((MIN(80,MAX(1,INT(((CROQUIS!$C$98)-CROQUIS!$C$107)/MAX(CROQUIS!$C$126,1))+1)))-1,0),0,MOD($A103-1,5))+1,0,2,CROQUIS!$C$97-2,2,0),((CROQUIS!$C$107/2+(((CROQUIS!$C$98)-CROQUIS!$C$107)-(MIN(80,MAX(1,INT(((CROQUIS!$C$98)-CROQUIS!$C$107)/MAX(CROQUIS!$C$126,1))+1))-1)*CROQUIS!$C$126)/2)+MIN(INT(($A103-1)/5),MAX((MIN(80,MAX(1,INT(((CROQUIS!$C$98)-CROQUIS!$C$107)/MAX(CROQUIS!$C$126,1))+1)))-1,0))*CROQUIS!$C$126)))*CROQUIS!$C$155)+IF(CROQUIS!$C$92="X",0,0)),-1000)</f>
        <v>-1000</v>
      </c>
      <c r="BI103">
        <f>IF(AND(CROQUIS!$C$88=1,CROQUIS!$C$126&gt;0),((CROQUIS!$C$157+(IF(CROQUIS!$C$92="X",((CROQUIS!$C$107/2+(((CROQUIS!$C$98)-CROQUIS!$C$107)-(MIN(80,MAX(1,INT(((CROQUIS!$C$98)-CROQUIS!$C$107)/MAX(CROQUIS!$C$126,1))+1))-1)*CROQUIS!$C$126)/2)+MIN(INT(($A103-1)/5),MAX((MIN(80,MAX(1,INT(((CROQUIS!$C$98)-CROQUIS!$C$107)/MAX(CROQUIS!$C$126,1))+1)))-1,0))*CROQUIS!$C$126),CHOOSE(IF(INT(($A103-1)/5)&gt;MAX((MIN(80,MAX(1,INT(((CROQUIS!$C$98)-CROQUIS!$C$107)/MAX(CROQUIS!$C$126,1))+1)))-1,0),0,MOD($A103-1,5))+1,0,2,CROQUIS!$C$97-2,2,0)))*CROQUIS!$C$155)+IF(CROQUIS!$C$92="X",0,0)),-1000)</f>
        <v>-1000</v>
      </c>
      <c r="BJ103">
        <f>IF(AND(CROQUIS!$C$88=1,CROQUIS!$C$134&gt;0),((CROQUIS!$C$156+(IF(CROQUIS!$C$92="X",((CROQUIS!$C$107/2+(((CROQUIS!$C$97)-CROQUIS!$C$107)-(MIN(80,MAX(1,INT(((CROQUIS!$C$97)-CROQUIS!$C$107)/MAX(CROQUIS!$C$134,1))+1))-1)*CROQUIS!$C$134)/2)+MIN(INT(($A103-1)/5),MAX((MIN(80,MAX(1,INT(((CROQUIS!$C$97)-CROQUIS!$C$107)/MAX(CROQUIS!$C$134,1))+1)))-1,0))*CROQUIS!$C$134),CHOOSE(IF(INT(($A103-1)/5)&gt;MAX((MIN(80,MAX(1,INT(((CROQUIS!$C$97)-CROQUIS!$C$107)/MAX(CROQUIS!$C$134,1))+1)))-1,0),0,MOD($A103-1,5))+1,0,2,CROQUIS!$C$98-2,2,0)))*CROQUIS!$C$155)+IF(CROQUIS!$C$92="X",0,0)),-1000)</f>
        <v>-1000</v>
      </c>
      <c r="BK103">
        <f>IF(AND(CROQUIS!$C$88=1,CROQUIS!$C$134&gt;0),((CROQUIS!$C$157+(IF(CROQUIS!$C$92="X",CHOOSE(IF(INT(($A103-1)/5)&gt;MAX((MIN(80,MAX(1,INT(((CROQUIS!$C$97)-CROQUIS!$C$107)/MAX(CROQUIS!$C$134,1))+1)))-1,0),0,MOD($A103-1,5))+1,0,2,CROQUIS!$C$98-2,2,0),((CROQUIS!$C$107/2+(((CROQUIS!$C$97)-CROQUIS!$C$107)-(MIN(80,MAX(1,INT(((CROQUIS!$C$97)-CROQUIS!$C$107)/MAX(CROQUIS!$C$134,1))+1))-1)*CROQUIS!$C$134)/2)+MIN(INT(($A103-1)/5),MAX((MIN(80,MAX(1,INT(((CROQUIS!$C$97)-CROQUIS!$C$107)/MAX(CROQUIS!$C$134,1))+1)))-1,0))*CROQUIS!$C$134)))*CROQUIS!$C$155)+IF(CROQUIS!$C$92="X",0,0)),-1000)</f>
        <v>-1000</v>
      </c>
      <c r="BL103">
        <f>IF(AND(CROQUIS!$C$88=1,CROQUIS!$C$91=0,CROQUIS!$C$130&gt;0,OR(CROQUIS!$C$103=1,CROQUIS!$C$142=1)),((CROQUIS!$C$156+(IF(CROQUIS!$C$92="X",CHOOSE(IF(INT(($A103-1)/5)&gt;MAX((MIN(80,MAX(1,INT(((CROQUIS!$C$98)-CROQUIS!$C$107)/MAX(CROQUIS!$C$130,1))+1)))-1,0),0,MOD($A103-1,5))+1,0,IF(CROQUIS!$C$103=1,-12,2),CROQUIS!$C$107/2+CROQUIS!$C$140,IF(CROQUIS!$C$103=1,-12,2),0),((CROQUIS!$C$107/2+(((CROQUIS!$C$98)-CROQUIS!$C$107)-(MIN(80,MAX(1,INT(((CROQUIS!$C$98)-CROQUIS!$C$107)/MAX(CROQUIS!$C$130,1))+1))-1)*CROQUIS!$C$130)/2)+MIN(INT(($A103-1)/5),MAX((MIN(80,MAX(1,INT(((CROQUIS!$C$98)-CROQUIS!$C$107)/MAX(CROQUIS!$C$130,1))+1)))-1,0))*CROQUIS!$C$130)))*CROQUIS!$C$155)+IF(CROQUIS!$C$92="X",0,0)),-1000)</f>
        <v>-1000</v>
      </c>
      <c r="BM10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103-1)/5),MAX((MIN(80,MAX(1,INT(((CROQUIS!$C$98)-CROQUIS!$C$107)/MAX(CROQUIS!$C$130,1))+1)))-1,0))*CROQUIS!$C$130),CHOOSE(IF(INT(($A103-1)/5)&gt;MAX((MIN(80,MAX(1,INT(((CROQUIS!$C$98)-CROQUIS!$C$107)/MAX(CROQUIS!$C$130,1))+1)))-1,0),0,MOD($A103-1,5))+1,0,IF(CROQUIS!$C$103=1,-12,2),CROQUIS!$C$107/2+CROQUIS!$C$140,IF(CROQUIS!$C$103=1,-12,2),0)))*CROQUIS!$C$155)+IF(CROQUIS!$C$92="X",0,0)),-1000)</f>
        <v>-1000</v>
      </c>
      <c r="BN103">
        <f>IF(AND(CROQUIS!$C$88=1,CROQUIS!$C$91=0,CROQUIS!$C$130&gt;0,OR(CROQUIS!$C$104=1,CROQUIS!$C$142=1)),((CROQUIS!$C$156+(IF(CROQUIS!$C$92="X",CHOOSE(IF(INT(($A103-1)/5)&gt;MAX((MIN(80,MAX(1,INT(((CROQUIS!$C$98)-CROQUIS!$C$107)/MAX(CROQUIS!$C$130,1))+1)))-1,0),0,MOD($A103-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103-1)/5),MAX((MIN(80,MAX(1,INT(((CROQUIS!$C$98)-CROQUIS!$C$107)/MAX(CROQUIS!$C$130,1))+1)))-1,0))*CROQUIS!$C$130)))*CROQUIS!$C$155)+IF(CROQUIS!$C$92="X",0,0)),-1000)</f>
        <v>-1000</v>
      </c>
      <c r="BO10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103-1)/5),MAX((MIN(80,MAX(1,INT(((CROQUIS!$C$98)-CROQUIS!$C$107)/MAX(CROQUIS!$C$130,1))+1)))-1,0))*CROQUIS!$C$130),CHOOSE(IF(INT(($A103-1)/5)&gt;MAX((MIN(80,MAX(1,INT(((CROQUIS!$C$98)-CROQUIS!$C$107)/MAX(CROQUIS!$C$130,1))+1)))-1,0),0,MOD($A103-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0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103-1)/5),MAX((MIN(80,MAX(1,INT(((CROQUIS!$C$97)-CROQUIS!$C$107)/MAX(CROQUIS!$C$138,1))+1)))-1,0))*CROQUIS!$C$138),CHOOSE(IF(INT(($A103-1)/5)&gt;MAX((MIN(80,MAX(1,INT(((CROQUIS!$C$97)-CROQUIS!$C$107)/MAX(CROQUIS!$C$138,1))+1)))-1,0),0,MOD($A103-1,5))+1,0,IF(CROQUIS!$C$105=1,-12,2),CROQUIS!$C$107/2+CROQUIS!$C$141,IF(CROQUIS!$C$105=1,-12,2),0)))*CROQUIS!$C$155)+IF(CROQUIS!$C$92="X",0,0)),-1000)</f>
        <v>-1000</v>
      </c>
      <c r="BQ103">
        <f>IF(AND(CROQUIS!$C$88=1,CROQUIS!$C$91=0,CROQUIS!$C$138&gt;0,OR(CROQUIS!$C$105=1,CROQUIS!$C$143=1)),((CROQUIS!$C$157+(IF(CROQUIS!$C$92="X",CHOOSE(IF(INT(($A103-1)/5)&gt;MAX((MIN(80,MAX(1,INT(((CROQUIS!$C$97)-CROQUIS!$C$107)/MAX(CROQUIS!$C$138,1))+1)))-1,0),0,MOD($A103-1,5))+1,0,IF(CROQUIS!$C$105=1,-12,2),CROQUIS!$C$107/2+CROQUIS!$C$141,IF(CROQUIS!$C$105=1,-12,2),0),((CROQUIS!$C$107/2+(((CROQUIS!$C$97)-CROQUIS!$C$107)-(MIN(80,MAX(1,INT(((CROQUIS!$C$97)-CROQUIS!$C$107)/MAX(CROQUIS!$C$138,1))+1))-1)*CROQUIS!$C$138)/2)+MIN(INT(($A103-1)/5),MAX((MIN(80,MAX(1,INT(((CROQUIS!$C$97)-CROQUIS!$C$107)/MAX(CROQUIS!$C$138,1))+1)))-1,0))*CROQUIS!$C$138)))*CROQUIS!$C$155)+IF(CROQUIS!$C$92="X",0,0)),-1000)</f>
        <v>-1000</v>
      </c>
      <c r="BR10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103-1)/5),MAX((MIN(80,MAX(1,INT(((CROQUIS!$C$97)-CROQUIS!$C$107)/MAX(CROQUIS!$C$138,1))+1)))-1,0))*CROQUIS!$C$138),CHOOSE(IF(INT(($A103-1)/5)&gt;MAX((MIN(80,MAX(1,INT(((CROQUIS!$C$97)-CROQUIS!$C$107)/MAX(CROQUIS!$C$138,1))+1)))-1,0),0,MOD($A103-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03">
        <f>IF(AND(CROQUIS!$C$88=1,CROQUIS!$C$91=0,CROQUIS!$C$138&gt;0,OR(CROQUIS!$C$106=1,CROQUIS!$C$143=1)),((CROQUIS!$C$157+(IF(CROQUIS!$C$92="X",CHOOSE(IF(INT(($A103-1)/5)&gt;MAX((MIN(80,MAX(1,INT(((CROQUIS!$C$97)-CROQUIS!$C$107)/MAX(CROQUIS!$C$138,1))+1)))-1,0),0,MOD($A103-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103-1)/5),MAX((MIN(80,MAX(1,INT(((CROQUIS!$C$97)-CROQUIS!$C$107)/MAX(CROQUIS!$C$138,1))+1)))-1,0))*CROQUIS!$C$138)))*CROQUIS!$C$155)+IF(CROQUIS!$C$92="X",0,0)),-1000)</f>
        <v>-1000</v>
      </c>
      <c r="BT103">
        <f>IF(AND(CROQUIS!$C$88=1,CROQUIS!$C$91=1,CROQUIS!$C$130&gt;0),((CROQUIS!$C$156+(IF(CROQUIS!$C$92="X",CHOOSE(IF(INT(($A103-1)/5)&gt;MAX((MIN(80,MAX(1,INT(((CROQUIS!$C$98)-CROQUIS!$C$107)/MAX(CROQUIS!$C$130,1))+1)))-1,0),0,MOD($A103-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103-1)/5),MAX((MIN(80,MAX(1,INT(((CROQUIS!$C$98)-CROQUIS!$C$107)/MAX(CROQUIS!$C$130,1))+1)))-1,0))*CROQUIS!$C$130)))*CROQUIS!$C$155)+IF(CROQUIS!$C$92="X",0,0)),-1000)</f>
        <v>-1000</v>
      </c>
      <c r="BU103">
        <f>IF(AND(CROQUIS!$C$88=1,CROQUIS!$C$91=1,CROQUIS!$C$130&gt;0),((CROQUIS!$C$157+(IF(CROQUIS!$C$92="X",((CROQUIS!$C$107/2+(((CROQUIS!$C$98)-CROQUIS!$C$107)-(MIN(80,MAX(1,INT(((CROQUIS!$C$98)-CROQUIS!$C$107)/MAX(CROQUIS!$C$130,1))+1))-1)*CROQUIS!$C$130)/2)+MIN(INT(($A103-1)/5),MAX((MIN(80,MAX(1,INT(((CROQUIS!$C$98)-CROQUIS!$C$107)/MAX(CROQUIS!$C$130,1))+1)))-1,0))*CROQUIS!$C$130),CHOOSE(IF(INT(($A103-1)/5)&gt;MAX((MIN(80,MAX(1,INT(((CROQUIS!$C$98)-CROQUIS!$C$107)/MAX(CROQUIS!$C$130,1))+1)))-1,0),0,MOD($A103-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04">
      <c r="A104" t="n">
        <v>97</v>
      </c>
      <c r="AF104">
        <f>IF(AND(CROQUIS!$C$87=1,CROQUIS!$C$158&gt;0,CROQUIS!$C$160&gt;0),(CROQUIS!$C$156+((CROQUIS!$C$159+INT(MIN(INT(($A104-1)/2),MAX((2*CROQUIS!$C$158)-1,0))/2)*CROQUIS!$C$113+MOD(MIN(INT(($A104-1)/2),MAX((2*CROQUIS!$C$158)-1,0)),2)*CROQUIS!$C$112))*CROQUIS!$C$155),-1000)</f>
        <v>85.2010845006778</v>
      </c>
      <c r="AG104">
        <f>IF(AND(CROQUIS!$C$87=1,CROQUIS!$C$158&gt;0,CROQUIS!$C$160&gt;0),(CROQUIS!$C$157+(IF(MOD(MIN(INT(($A104-1)/2),MAX((2*CROQUIS!$C$158)-1,0)),2)=0,IF(IF(INT(($A104-1)/2)&gt;MAX((2*CROQUIS!$C$158)-1,0),1,MOD($A104-1,2))=0,CROQUIS!$C$161,(CROQUIS!$C$161+CROQUIS!$C$160*CROQUIS!$C$113-CROQUIS!$C$111)),IF(IF(INT(($A104-1)/2)&gt;MAX((2*CROQUIS!$C$158)-1,0),1,MOD($A104-1,2))=0,(CROQUIS!$C$161+CROQUIS!$C$160*CROQUIS!$C$113-CROQUIS!$C$111),CROQUIS!$C$161)))*CROQUIS!$C$155),-1000)</f>
        <v>20.8088567555355</v>
      </c>
      <c r="AH104">
        <f>IF(AND(CROQUIS!$C$87=1,CROQUIS!$C$160&gt;0,CROQUIS!$C$158&gt;0),(CROQUIS!$C$156+(IF(MOD(MIN(INT(($A104-1)/2),MAX((2*CROQUIS!$C$160)-1,0)),2)=0,IF(IF(INT(($A104-1)/2)&gt;MAX((2*CROQUIS!$C$160)-1,0),1,MOD($A104-1,2))=0,CROQUIS!$C$159,(CROQUIS!$C$159+CROQUIS!$C$158*CROQUIS!$C$113-CROQUIS!$C$111)),IF(IF(INT(($A104-1)/2)&gt;MAX((2*CROQUIS!$C$160)-1,0),1,MOD($A104-1,2))=0,(CROQUIS!$C$159+CROQUIS!$C$158*CROQUIS!$C$113-CROQUIS!$C$111),CROQUIS!$C$159)))*CROQUIS!$C$155),-1000)</f>
        <v>14.7989154993222</v>
      </c>
      <c r="AI104">
        <f>IF(AND(CROQUIS!$C$87=1,CROQUIS!$C$160&gt;0,CROQUIS!$C$158&gt;0),(CROQUIS!$C$157+((CROQUIS!$C$161+INT(MIN(INT(($A104-1)/2),MAX((2*CROQUIS!$C$160)-1,0))/2)*CROQUIS!$C$113+MOD(MIN(INT(($A104-1)/2),MAX((2*CROQUIS!$C$160)-1,0)),2)*CROQUIS!$C$112))*CROQUIS!$C$155),-1000)</f>
        <v>79.1911432444645</v>
      </c>
      <c r="BH104">
        <f>IF(AND(CROQUIS!$C$88=1,CROQUIS!$C$126&gt;0),((CROQUIS!$C$156+(IF(CROQUIS!$C$92="X",CHOOSE(IF(INT(($A104-1)/5)&gt;MAX((MIN(80,MAX(1,INT(((CROQUIS!$C$98)-CROQUIS!$C$107)/MAX(CROQUIS!$C$126,1))+1)))-1,0),0,MOD($A104-1,5))+1,0,2,CROQUIS!$C$97-2,2,0),((CROQUIS!$C$107/2+(((CROQUIS!$C$98)-CROQUIS!$C$107)-(MIN(80,MAX(1,INT(((CROQUIS!$C$98)-CROQUIS!$C$107)/MAX(CROQUIS!$C$126,1))+1))-1)*CROQUIS!$C$126)/2)+MIN(INT(($A104-1)/5),MAX((MIN(80,MAX(1,INT(((CROQUIS!$C$98)-CROQUIS!$C$107)/MAX(CROQUIS!$C$126,1))+1)))-1,0))*CROQUIS!$C$126)))*CROQUIS!$C$155)+IF(CROQUIS!$C$92="X",0,0)),-1000)</f>
        <v>-1000</v>
      </c>
      <c r="BI104">
        <f>IF(AND(CROQUIS!$C$88=1,CROQUIS!$C$126&gt;0),((CROQUIS!$C$157+(IF(CROQUIS!$C$92="X",((CROQUIS!$C$107/2+(((CROQUIS!$C$98)-CROQUIS!$C$107)-(MIN(80,MAX(1,INT(((CROQUIS!$C$98)-CROQUIS!$C$107)/MAX(CROQUIS!$C$126,1))+1))-1)*CROQUIS!$C$126)/2)+MIN(INT(($A104-1)/5),MAX((MIN(80,MAX(1,INT(((CROQUIS!$C$98)-CROQUIS!$C$107)/MAX(CROQUIS!$C$126,1))+1)))-1,0))*CROQUIS!$C$126),CHOOSE(IF(INT(($A104-1)/5)&gt;MAX((MIN(80,MAX(1,INT(((CROQUIS!$C$98)-CROQUIS!$C$107)/MAX(CROQUIS!$C$126,1))+1)))-1,0),0,MOD($A104-1,5))+1,0,2,CROQUIS!$C$97-2,2,0)))*CROQUIS!$C$155)+IF(CROQUIS!$C$92="X",0,0)),-1000)</f>
        <v>-1000</v>
      </c>
      <c r="BJ104">
        <f>IF(AND(CROQUIS!$C$88=1,CROQUIS!$C$134&gt;0),((CROQUIS!$C$156+(IF(CROQUIS!$C$92="X",((CROQUIS!$C$107/2+(((CROQUIS!$C$97)-CROQUIS!$C$107)-(MIN(80,MAX(1,INT(((CROQUIS!$C$97)-CROQUIS!$C$107)/MAX(CROQUIS!$C$134,1))+1))-1)*CROQUIS!$C$134)/2)+MIN(INT(($A104-1)/5),MAX((MIN(80,MAX(1,INT(((CROQUIS!$C$97)-CROQUIS!$C$107)/MAX(CROQUIS!$C$134,1))+1)))-1,0))*CROQUIS!$C$134),CHOOSE(IF(INT(($A104-1)/5)&gt;MAX((MIN(80,MAX(1,INT(((CROQUIS!$C$97)-CROQUIS!$C$107)/MAX(CROQUIS!$C$134,1))+1)))-1,0),0,MOD($A104-1,5))+1,0,2,CROQUIS!$C$98-2,2,0)))*CROQUIS!$C$155)+IF(CROQUIS!$C$92="X",0,0)),-1000)</f>
        <v>-1000</v>
      </c>
      <c r="BK104">
        <f>IF(AND(CROQUIS!$C$88=1,CROQUIS!$C$134&gt;0),((CROQUIS!$C$157+(IF(CROQUIS!$C$92="X",CHOOSE(IF(INT(($A104-1)/5)&gt;MAX((MIN(80,MAX(1,INT(((CROQUIS!$C$97)-CROQUIS!$C$107)/MAX(CROQUIS!$C$134,1))+1)))-1,0),0,MOD($A104-1,5))+1,0,2,CROQUIS!$C$98-2,2,0),((CROQUIS!$C$107/2+(((CROQUIS!$C$97)-CROQUIS!$C$107)-(MIN(80,MAX(1,INT(((CROQUIS!$C$97)-CROQUIS!$C$107)/MAX(CROQUIS!$C$134,1))+1))-1)*CROQUIS!$C$134)/2)+MIN(INT(($A104-1)/5),MAX((MIN(80,MAX(1,INT(((CROQUIS!$C$97)-CROQUIS!$C$107)/MAX(CROQUIS!$C$134,1))+1)))-1,0))*CROQUIS!$C$134)))*CROQUIS!$C$155)+IF(CROQUIS!$C$92="X",0,0)),-1000)</f>
        <v>-1000</v>
      </c>
      <c r="BL104">
        <f>IF(AND(CROQUIS!$C$88=1,CROQUIS!$C$91=0,CROQUIS!$C$130&gt;0,OR(CROQUIS!$C$103=1,CROQUIS!$C$142=1)),((CROQUIS!$C$156+(IF(CROQUIS!$C$92="X",CHOOSE(IF(INT(($A104-1)/5)&gt;MAX((MIN(80,MAX(1,INT(((CROQUIS!$C$98)-CROQUIS!$C$107)/MAX(CROQUIS!$C$130,1))+1)))-1,0),0,MOD($A104-1,5))+1,0,IF(CROQUIS!$C$103=1,-12,2),CROQUIS!$C$107/2+CROQUIS!$C$140,IF(CROQUIS!$C$103=1,-12,2),0),((CROQUIS!$C$107/2+(((CROQUIS!$C$98)-CROQUIS!$C$107)-(MIN(80,MAX(1,INT(((CROQUIS!$C$98)-CROQUIS!$C$107)/MAX(CROQUIS!$C$130,1))+1))-1)*CROQUIS!$C$130)/2)+MIN(INT(($A104-1)/5),MAX((MIN(80,MAX(1,INT(((CROQUIS!$C$98)-CROQUIS!$C$107)/MAX(CROQUIS!$C$130,1))+1)))-1,0))*CROQUIS!$C$130)))*CROQUIS!$C$155)+IF(CROQUIS!$C$92="X",0,0)),-1000)</f>
        <v>-1000</v>
      </c>
      <c r="BM10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104-1)/5),MAX((MIN(80,MAX(1,INT(((CROQUIS!$C$98)-CROQUIS!$C$107)/MAX(CROQUIS!$C$130,1))+1)))-1,0))*CROQUIS!$C$130),CHOOSE(IF(INT(($A104-1)/5)&gt;MAX((MIN(80,MAX(1,INT(((CROQUIS!$C$98)-CROQUIS!$C$107)/MAX(CROQUIS!$C$130,1))+1)))-1,0),0,MOD($A104-1,5))+1,0,IF(CROQUIS!$C$103=1,-12,2),CROQUIS!$C$107/2+CROQUIS!$C$140,IF(CROQUIS!$C$103=1,-12,2),0)))*CROQUIS!$C$155)+IF(CROQUIS!$C$92="X",0,0)),-1000)</f>
        <v>-1000</v>
      </c>
      <c r="BN104">
        <f>IF(AND(CROQUIS!$C$88=1,CROQUIS!$C$91=0,CROQUIS!$C$130&gt;0,OR(CROQUIS!$C$104=1,CROQUIS!$C$142=1)),((CROQUIS!$C$156+(IF(CROQUIS!$C$92="X",CHOOSE(IF(INT(($A104-1)/5)&gt;MAX((MIN(80,MAX(1,INT(((CROQUIS!$C$98)-CROQUIS!$C$107)/MAX(CROQUIS!$C$130,1))+1)))-1,0),0,MOD($A104-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104-1)/5),MAX((MIN(80,MAX(1,INT(((CROQUIS!$C$98)-CROQUIS!$C$107)/MAX(CROQUIS!$C$130,1))+1)))-1,0))*CROQUIS!$C$130)))*CROQUIS!$C$155)+IF(CROQUIS!$C$92="X",0,0)),-1000)</f>
        <v>-1000</v>
      </c>
      <c r="BO10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104-1)/5),MAX((MIN(80,MAX(1,INT(((CROQUIS!$C$98)-CROQUIS!$C$107)/MAX(CROQUIS!$C$130,1))+1)))-1,0))*CROQUIS!$C$130),CHOOSE(IF(INT(($A104-1)/5)&gt;MAX((MIN(80,MAX(1,INT(((CROQUIS!$C$98)-CROQUIS!$C$107)/MAX(CROQUIS!$C$130,1))+1)))-1,0),0,MOD($A104-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0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104-1)/5),MAX((MIN(80,MAX(1,INT(((CROQUIS!$C$97)-CROQUIS!$C$107)/MAX(CROQUIS!$C$138,1))+1)))-1,0))*CROQUIS!$C$138),CHOOSE(IF(INT(($A104-1)/5)&gt;MAX((MIN(80,MAX(1,INT(((CROQUIS!$C$97)-CROQUIS!$C$107)/MAX(CROQUIS!$C$138,1))+1)))-1,0),0,MOD($A104-1,5))+1,0,IF(CROQUIS!$C$105=1,-12,2),CROQUIS!$C$107/2+CROQUIS!$C$141,IF(CROQUIS!$C$105=1,-12,2),0)))*CROQUIS!$C$155)+IF(CROQUIS!$C$92="X",0,0)),-1000)</f>
        <v>-1000</v>
      </c>
      <c r="BQ104">
        <f>IF(AND(CROQUIS!$C$88=1,CROQUIS!$C$91=0,CROQUIS!$C$138&gt;0,OR(CROQUIS!$C$105=1,CROQUIS!$C$143=1)),((CROQUIS!$C$157+(IF(CROQUIS!$C$92="X",CHOOSE(IF(INT(($A104-1)/5)&gt;MAX((MIN(80,MAX(1,INT(((CROQUIS!$C$97)-CROQUIS!$C$107)/MAX(CROQUIS!$C$138,1))+1)))-1,0),0,MOD($A104-1,5))+1,0,IF(CROQUIS!$C$105=1,-12,2),CROQUIS!$C$107/2+CROQUIS!$C$141,IF(CROQUIS!$C$105=1,-12,2),0),((CROQUIS!$C$107/2+(((CROQUIS!$C$97)-CROQUIS!$C$107)-(MIN(80,MAX(1,INT(((CROQUIS!$C$97)-CROQUIS!$C$107)/MAX(CROQUIS!$C$138,1))+1))-1)*CROQUIS!$C$138)/2)+MIN(INT(($A104-1)/5),MAX((MIN(80,MAX(1,INT(((CROQUIS!$C$97)-CROQUIS!$C$107)/MAX(CROQUIS!$C$138,1))+1)))-1,0))*CROQUIS!$C$138)))*CROQUIS!$C$155)+IF(CROQUIS!$C$92="X",0,0)),-1000)</f>
        <v>-1000</v>
      </c>
      <c r="BR10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104-1)/5),MAX((MIN(80,MAX(1,INT(((CROQUIS!$C$97)-CROQUIS!$C$107)/MAX(CROQUIS!$C$138,1))+1)))-1,0))*CROQUIS!$C$138),CHOOSE(IF(INT(($A104-1)/5)&gt;MAX((MIN(80,MAX(1,INT(((CROQUIS!$C$97)-CROQUIS!$C$107)/MAX(CROQUIS!$C$138,1))+1)))-1,0),0,MOD($A104-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04">
        <f>IF(AND(CROQUIS!$C$88=1,CROQUIS!$C$91=0,CROQUIS!$C$138&gt;0,OR(CROQUIS!$C$106=1,CROQUIS!$C$143=1)),((CROQUIS!$C$157+(IF(CROQUIS!$C$92="X",CHOOSE(IF(INT(($A104-1)/5)&gt;MAX((MIN(80,MAX(1,INT(((CROQUIS!$C$97)-CROQUIS!$C$107)/MAX(CROQUIS!$C$138,1))+1)))-1,0),0,MOD($A104-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104-1)/5),MAX((MIN(80,MAX(1,INT(((CROQUIS!$C$97)-CROQUIS!$C$107)/MAX(CROQUIS!$C$138,1))+1)))-1,0))*CROQUIS!$C$138)))*CROQUIS!$C$155)+IF(CROQUIS!$C$92="X",0,0)),-1000)</f>
        <v>-1000</v>
      </c>
      <c r="BT104">
        <f>IF(AND(CROQUIS!$C$88=1,CROQUIS!$C$91=1,CROQUIS!$C$130&gt;0),((CROQUIS!$C$156+(IF(CROQUIS!$C$92="X",CHOOSE(IF(INT(($A104-1)/5)&gt;MAX((MIN(80,MAX(1,INT(((CROQUIS!$C$98)-CROQUIS!$C$107)/MAX(CROQUIS!$C$130,1))+1)))-1,0),0,MOD($A104-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104-1)/5),MAX((MIN(80,MAX(1,INT(((CROQUIS!$C$98)-CROQUIS!$C$107)/MAX(CROQUIS!$C$130,1))+1)))-1,0))*CROQUIS!$C$130)))*CROQUIS!$C$155)+IF(CROQUIS!$C$92="X",0,0)),-1000)</f>
        <v>-1000</v>
      </c>
      <c r="BU104">
        <f>IF(AND(CROQUIS!$C$88=1,CROQUIS!$C$91=1,CROQUIS!$C$130&gt;0),((CROQUIS!$C$157+(IF(CROQUIS!$C$92="X",((CROQUIS!$C$107/2+(((CROQUIS!$C$98)-CROQUIS!$C$107)-(MIN(80,MAX(1,INT(((CROQUIS!$C$98)-CROQUIS!$C$107)/MAX(CROQUIS!$C$130,1))+1))-1)*CROQUIS!$C$130)/2)+MIN(INT(($A104-1)/5),MAX((MIN(80,MAX(1,INT(((CROQUIS!$C$98)-CROQUIS!$C$107)/MAX(CROQUIS!$C$130,1))+1)))-1,0))*CROQUIS!$C$130),CHOOSE(IF(INT(($A104-1)/5)&gt;MAX((MIN(80,MAX(1,INT(((CROQUIS!$C$98)-CROQUIS!$C$107)/MAX(CROQUIS!$C$130,1))+1)))-1,0),0,MOD($A104-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05">
      <c r="A105" t="n">
        <v>98</v>
      </c>
      <c r="AF105">
        <f>IF(AND(CROQUIS!$C$87=1,CROQUIS!$C$158&gt;0,CROQUIS!$C$160&gt;0),(CROQUIS!$C$156+((CROQUIS!$C$159+INT(MIN(INT(($A105-1)/2),MAX((2*CROQUIS!$C$158)-1,0))/2)*CROQUIS!$C$113+MOD(MIN(INT(($A105-1)/2),MAX((2*CROQUIS!$C$158)-1,0)),2)*CROQUIS!$C$112))*CROQUIS!$C$155),-1000)</f>
        <v>85.2010845006778</v>
      </c>
      <c r="AG105">
        <f>IF(AND(CROQUIS!$C$87=1,CROQUIS!$C$158&gt;0,CROQUIS!$C$160&gt;0),(CROQUIS!$C$157+(IF(MOD(MIN(INT(($A105-1)/2),MAX((2*CROQUIS!$C$158)-1,0)),2)=0,IF(IF(INT(($A105-1)/2)&gt;MAX((2*CROQUIS!$C$158)-1,0),1,MOD($A105-1,2))=0,CROQUIS!$C$161,(CROQUIS!$C$161+CROQUIS!$C$160*CROQUIS!$C$113-CROQUIS!$C$111)),IF(IF(INT(($A105-1)/2)&gt;MAX((2*CROQUIS!$C$158)-1,0),1,MOD($A105-1,2))=0,(CROQUIS!$C$161+CROQUIS!$C$160*CROQUIS!$C$113-CROQUIS!$C$111),CROQUIS!$C$161)))*CROQUIS!$C$155),-1000)</f>
        <v>20.8088567555355</v>
      </c>
      <c r="AH105">
        <f>IF(AND(CROQUIS!$C$87=1,CROQUIS!$C$160&gt;0,CROQUIS!$C$158&gt;0),(CROQUIS!$C$156+(IF(MOD(MIN(INT(($A105-1)/2),MAX((2*CROQUIS!$C$160)-1,0)),2)=0,IF(IF(INT(($A105-1)/2)&gt;MAX((2*CROQUIS!$C$160)-1,0),1,MOD($A105-1,2))=0,CROQUIS!$C$159,(CROQUIS!$C$159+CROQUIS!$C$158*CROQUIS!$C$113-CROQUIS!$C$111)),IF(IF(INT(($A105-1)/2)&gt;MAX((2*CROQUIS!$C$160)-1,0),1,MOD($A105-1,2))=0,(CROQUIS!$C$159+CROQUIS!$C$158*CROQUIS!$C$113-CROQUIS!$C$111),CROQUIS!$C$159)))*CROQUIS!$C$155),-1000)</f>
        <v>14.7989154993222</v>
      </c>
      <c r="AI105">
        <f>IF(AND(CROQUIS!$C$87=1,CROQUIS!$C$160&gt;0,CROQUIS!$C$158&gt;0),(CROQUIS!$C$157+((CROQUIS!$C$161+INT(MIN(INT(($A105-1)/2),MAX((2*CROQUIS!$C$160)-1,0))/2)*CROQUIS!$C$113+MOD(MIN(INT(($A105-1)/2),MAX((2*CROQUIS!$C$160)-1,0)),2)*CROQUIS!$C$112))*CROQUIS!$C$155),-1000)</f>
        <v>79.1911432444645</v>
      </c>
      <c r="BH105">
        <f>IF(AND(CROQUIS!$C$88=1,CROQUIS!$C$126&gt;0),((CROQUIS!$C$156+(IF(CROQUIS!$C$92="X",CHOOSE(IF(INT(($A105-1)/5)&gt;MAX((MIN(80,MAX(1,INT(((CROQUIS!$C$98)-CROQUIS!$C$107)/MAX(CROQUIS!$C$126,1))+1)))-1,0),0,MOD($A105-1,5))+1,0,2,CROQUIS!$C$97-2,2,0),((CROQUIS!$C$107/2+(((CROQUIS!$C$98)-CROQUIS!$C$107)-(MIN(80,MAX(1,INT(((CROQUIS!$C$98)-CROQUIS!$C$107)/MAX(CROQUIS!$C$126,1))+1))-1)*CROQUIS!$C$126)/2)+MIN(INT(($A105-1)/5),MAX((MIN(80,MAX(1,INT(((CROQUIS!$C$98)-CROQUIS!$C$107)/MAX(CROQUIS!$C$126,1))+1)))-1,0))*CROQUIS!$C$126)))*CROQUIS!$C$155)+IF(CROQUIS!$C$92="X",0,0)),-1000)</f>
        <v>-1000</v>
      </c>
      <c r="BI105">
        <f>IF(AND(CROQUIS!$C$88=1,CROQUIS!$C$126&gt;0),((CROQUIS!$C$157+(IF(CROQUIS!$C$92="X",((CROQUIS!$C$107/2+(((CROQUIS!$C$98)-CROQUIS!$C$107)-(MIN(80,MAX(1,INT(((CROQUIS!$C$98)-CROQUIS!$C$107)/MAX(CROQUIS!$C$126,1))+1))-1)*CROQUIS!$C$126)/2)+MIN(INT(($A105-1)/5),MAX((MIN(80,MAX(1,INT(((CROQUIS!$C$98)-CROQUIS!$C$107)/MAX(CROQUIS!$C$126,1))+1)))-1,0))*CROQUIS!$C$126),CHOOSE(IF(INT(($A105-1)/5)&gt;MAX((MIN(80,MAX(1,INT(((CROQUIS!$C$98)-CROQUIS!$C$107)/MAX(CROQUIS!$C$126,1))+1)))-1,0),0,MOD($A105-1,5))+1,0,2,CROQUIS!$C$97-2,2,0)))*CROQUIS!$C$155)+IF(CROQUIS!$C$92="X",0,0)),-1000)</f>
        <v>-1000</v>
      </c>
      <c r="BJ105">
        <f>IF(AND(CROQUIS!$C$88=1,CROQUIS!$C$134&gt;0),((CROQUIS!$C$156+(IF(CROQUIS!$C$92="X",((CROQUIS!$C$107/2+(((CROQUIS!$C$97)-CROQUIS!$C$107)-(MIN(80,MAX(1,INT(((CROQUIS!$C$97)-CROQUIS!$C$107)/MAX(CROQUIS!$C$134,1))+1))-1)*CROQUIS!$C$134)/2)+MIN(INT(($A105-1)/5),MAX((MIN(80,MAX(1,INT(((CROQUIS!$C$97)-CROQUIS!$C$107)/MAX(CROQUIS!$C$134,1))+1)))-1,0))*CROQUIS!$C$134),CHOOSE(IF(INT(($A105-1)/5)&gt;MAX((MIN(80,MAX(1,INT(((CROQUIS!$C$97)-CROQUIS!$C$107)/MAX(CROQUIS!$C$134,1))+1)))-1,0),0,MOD($A105-1,5))+1,0,2,CROQUIS!$C$98-2,2,0)))*CROQUIS!$C$155)+IF(CROQUIS!$C$92="X",0,0)),-1000)</f>
        <v>-1000</v>
      </c>
      <c r="BK105">
        <f>IF(AND(CROQUIS!$C$88=1,CROQUIS!$C$134&gt;0),((CROQUIS!$C$157+(IF(CROQUIS!$C$92="X",CHOOSE(IF(INT(($A105-1)/5)&gt;MAX((MIN(80,MAX(1,INT(((CROQUIS!$C$97)-CROQUIS!$C$107)/MAX(CROQUIS!$C$134,1))+1)))-1,0),0,MOD($A105-1,5))+1,0,2,CROQUIS!$C$98-2,2,0),((CROQUIS!$C$107/2+(((CROQUIS!$C$97)-CROQUIS!$C$107)-(MIN(80,MAX(1,INT(((CROQUIS!$C$97)-CROQUIS!$C$107)/MAX(CROQUIS!$C$134,1))+1))-1)*CROQUIS!$C$134)/2)+MIN(INT(($A105-1)/5),MAX((MIN(80,MAX(1,INT(((CROQUIS!$C$97)-CROQUIS!$C$107)/MAX(CROQUIS!$C$134,1))+1)))-1,0))*CROQUIS!$C$134)))*CROQUIS!$C$155)+IF(CROQUIS!$C$92="X",0,0)),-1000)</f>
        <v>-1000</v>
      </c>
      <c r="BL105">
        <f>IF(AND(CROQUIS!$C$88=1,CROQUIS!$C$91=0,CROQUIS!$C$130&gt;0,OR(CROQUIS!$C$103=1,CROQUIS!$C$142=1)),((CROQUIS!$C$156+(IF(CROQUIS!$C$92="X",CHOOSE(IF(INT(($A105-1)/5)&gt;MAX((MIN(80,MAX(1,INT(((CROQUIS!$C$98)-CROQUIS!$C$107)/MAX(CROQUIS!$C$130,1))+1)))-1,0),0,MOD($A105-1,5))+1,0,IF(CROQUIS!$C$103=1,-12,2),CROQUIS!$C$107/2+CROQUIS!$C$140,IF(CROQUIS!$C$103=1,-12,2),0),((CROQUIS!$C$107/2+(((CROQUIS!$C$98)-CROQUIS!$C$107)-(MIN(80,MAX(1,INT(((CROQUIS!$C$98)-CROQUIS!$C$107)/MAX(CROQUIS!$C$130,1))+1))-1)*CROQUIS!$C$130)/2)+MIN(INT(($A105-1)/5),MAX((MIN(80,MAX(1,INT(((CROQUIS!$C$98)-CROQUIS!$C$107)/MAX(CROQUIS!$C$130,1))+1)))-1,0))*CROQUIS!$C$130)))*CROQUIS!$C$155)+IF(CROQUIS!$C$92="X",0,0)),-1000)</f>
        <v>-1000</v>
      </c>
      <c r="BM10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105-1)/5),MAX((MIN(80,MAX(1,INT(((CROQUIS!$C$98)-CROQUIS!$C$107)/MAX(CROQUIS!$C$130,1))+1)))-1,0))*CROQUIS!$C$130),CHOOSE(IF(INT(($A105-1)/5)&gt;MAX((MIN(80,MAX(1,INT(((CROQUIS!$C$98)-CROQUIS!$C$107)/MAX(CROQUIS!$C$130,1))+1)))-1,0),0,MOD($A105-1,5))+1,0,IF(CROQUIS!$C$103=1,-12,2),CROQUIS!$C$107/2+CROQUIS!$C$140,IF(CROQUIS!$C$103=1,-12,2),0)))*CROQUIS!$C$155)+IF(CROQUIS!$C$92="X",0,0)),-1000)</f>
        <v>-1000</v>
      </c>
      <c r="BN105">
        <f>IF(AND(CROQUIS!$C$88=1,CROQUIS!$C$91=0,CROQUIS!$C$130&gt;0,OR(CROQUIS!$C$104=1,CROQUIS!$C$142=1)),((CROQUIS!$C$156+(IF(CROQUIS!$C$92="X",CHOOSE(IF(INT(($A105-1)/5)&gt;MAX((MIN(80,MAX(1,INT(((CROQUIS!$C$98)-CROQUIS!$C$107)/MAX(CROQUIS!$C$130,1))+1)))-1,0),0,MOD($A105-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105-1)/5),MAX((MIN(80,MAX(1,INT(((CROQUIS!$C$98)-CROQUIS!$C$107)/MAX(CROQUIS!$C$130,1))+1)))-1,0))*CROQUIS!$C$130)))*CROQUIS!$C$155)+IF(CROQUIS!$C$92="X",0,0)),-1000)</f>
        <v>-1000</v>
      </c>
      <c r="BO10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105-1)/5),MAX((MIN(80,MAX(1,INT(((CROQUIS!$C$98)-CROQUIS!$C$107)/MAX(CROQUIS!$C$130,1))+1)))-1,0))*CROQUIS!$C$130),CHOOSE(IF(INT(($A105-1)/5)&gt;MAX((MIN(80,MAX(1,INT(((CROQUIS!$C$98)-CROQUIS!$C$107)/MAX(CROQUIS!$C$130,1))+1)))-1,0),0,MOD($A105-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0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105-1)/5),MAX((MIN(80,MAX(1,INT(((CROQUIS!$C$97)-CROQUIS!$C$107)/MAX(CROQUIS!$C$138,1))+1)))-1,0))*CROQUIS!$C$138),CHOOSE(IF(INT(($A105-1)/5)&gt;MAX((MIN(80,MAX(1,INT(((CROQUIS!$C$97)-CROQUIS!$C$107)/MAX(CROQUIS!$C$138,1))+1)))-1,0),0,MOD($A105-1,5))+1,0,IF(CROQUIS!$C$105=1,-12,2),CROQUIS!$C$107/2+CROQUIS!$C$141,IF(CROQUIS!$C$105=1,-12,2),0)))*CROQUIS!$C$155)+IF(CROQUIS!$C$92="X",0,0)),-1000)</f>
        <v>-1000</v>
      </c>
      <c r="BQ105">
        <f>IF(AND(CROQUIS!$C$88=1,CROQUIS!$C$91=0,CROQUIS!$C$138&gt;0,OR(CROQUIS!$C$105=1,CROQUIS!$C$143=1)),((CROQUIS!$C$157+(IF(CROQUIS!$C$92="X",CHOOSE(IF(INT(($A105-1)/5)&gt;MAX((MIN(80,MAX(1,INT(((CROQUIS!$C$97)-CROQUIS!$C$107)/MAX(CROQUIS!$C$138,1))+1)))-1,0),0,MOD($A105-1,5))+1,0,IF(CROQUIS!$C$105=1,-12,2),CROQUIS!$C$107/2+CROQUIS!$C$141,IF(CROQUIS!$C$105=1,-12,2),0),((CROQUIS!$C$107/2+(((CROQUIS!$C$97)-CROQUIS!$C$107)-(MIN(80,MAX(1,INT(((CROQUIS!$C$97)-CROQUIS!$C$107)/MAX(CROQUIS!$C$138,1))+1))-1)*CROQUIS!$C$138)/2)+MIN(INT(($A105-1)/5),MAX((MIN(80,MAX(1,INT(((CROQUIS!$C$97)-CROQUIS!$C$107)/MAX(CROQUIS!$C$138,1))+1)))-1,0))*CROQUIS!$C$138)))*CROQUIS!$C$155)+IF(CROQUIS!$C$92="X",0,0)),-1000)</f>
        <v>-1000</v>
      </c>
      <c r="BR10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105-1)/5),MAX((MIN(80,MAX(1,INT(((CROQUIS!$C$97)-CROQUIS!$C$107)/MAX(CROQUIS!$C$138,1))+1)))-1,0))*CROQUIS!$C$138),CHOOSE(IF(INT(($A105-1)/5)&gt;MAX((MIN(80,MAX(1,INT(((CROQUIS!$C$97)-CROQUIS!$C$107)/MAX(CROQUIS!$C$138,1))+1)))-1,0),0,MOD($A105-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05">
        <f>IF(AND(CROQUIS!$C$88=1,CROQUIS!$C$91=0,CROQUIS!$C$138&gt;0,OR(CROQUIS!$C$106=1,CROQUIS!$C$143=1)),((CROQUIS!$C$157+(IF(CROQUIS!$C$92="X",CHOOSE(IF(INT(($A105-1)/5)&gt;MAX((MIN(80,MAX(1,INT(((CROQUIS!$C$97)-CROQUIS!$C$107)/MAX(CROQUIS!$C$138,1))+1)))-1,0),0,MOD($A105-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105-1)/5),MAX((MIN(80,MAX(1,INT(((CROQUIS!$C$97)-CROQUIS!$C$107)/MAX(CROQUIS!$C$138,1))+1)))-1,0))*CROQUIS!$C$138)))*CROQUIS!$C$155)+IF(CROQUIS!$C$92="X",0,0)),-1000)</f>
        <v>-1000</v>
      </c>
      <c r="BT105">
        <f>IF(AND(CROQUIS!$C$88=1,CROQUIS!$C$91=1,CROQUIS!$C$130&gt;0),((CROQUIS!$C$156+(IF(CROQUIS!$C$92="X",CHOOSE(IF(INT(($A105-1)/5)&gt;MAX((MIN(80,MAX(1,INT(((CROQUIS!$C$98)-CROQUIS!$C$107)/MAX(CROQUIS!$C$130,1))+1)))-1,0),0,MOD($A105-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105-1)/5),MAX((MIN(80,MAX(1,INT(((CROQUIS!$C$98)-CROQUIS!$C$107)/MAX(CROQUIS!$C$130,1))+1)))-1,0))*CROQUIS!$C$130)))*CROQUIS!$C$155)+IF(CROQUIS!$C$92="X",0,0)),-1000)</f>
        <v>-1000</v>
      </c>
      <c r="BU105">
        <f>IF(AND(CROQUIS!$C$88=1,CROQUIS!$C$91=1,CROQUIS!$C$130&gt;0),((CROQUIS!$C$157+(IF(CROQUIS!$C$92="X",((CROQUIS!$C$107/2+(((CROQUIS!$C$98)-CROQUIS!$C$107)-(MIN(80,MAX(1,INT(((CROQUIS!$C$98)-CROQUIS!$C$107)/MAX(CROQUIS!$C$130,1))+1))-1)*CROQUIS!$C$130)/2)+MIN(INT(($A105-1)/5),MAX((MIN(80,MAX(1,INT(((CROQUIS!$C$98)-CROQUIS!$C$107)/MAX(CROQUIS!$C$130,1))+1)))-1,0))*CROQUIS!$C$130),CHOOSE(IF(INT(($A105-1)/5)&gt;MAX((MIN(80,MAX(1,INT(((CROQUIS!$C$98)-CROQUIS!$C$107)/MAX(CROQUIS!$C$130,1))+1)))-1,0),0,MOD($A105-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06">
      <c r="A106" t="n">
        <v>99</v>
      </c>
      <c r="AF106">
        <f>IF(AND(CROQUIS!$C$87=1,CROQUIS!$C$158&gt;0,CROQUIS!$C$160&gt;0),(CROQUIS!$C$156+((CROQUIS!$C$159+INT(MIN(INT(($A106-1)/2),MAX((2*CROQUIS!$C$158)-1,0))/2)*CROQUIS!$C$113+MOD(MIN(INT(($A106-1)/2),MAX((2*CROQUIS!$C$158)-1,0)),2)*CROQUIS!$C$112))*CROQUIS!$C$155),-1000)</f>
        <v>85.2010845006778</v>
      </c>
      <c r="AG106">
        <f>IF(AND(CROQUIS!$C$87=1,CROQUIS!$C$158&gt;0,CROQUIS!$C$160&gt;0),(CROQUIS!$C$157+(IF(MOD(MIN(INT(($A106-1)/2),MAX((2*CROQUIS!$C$158)-1,0)),2)=0,IF(IF(INT(($A106-1)/2)&gt;MAX((2*CROQUIS!$C$158)-1,0),1,MOD($A106-1,2))=0,CROQUIS!$C$161,(CROQUIS!$C$161+CROQUIS!$C$160*CROQUIS!$C$113-CROQUIS!$C$111)),IF(IF(INT(($A106-1)/2)&gt;MAX((2*CROQUIS!$C$158)-1,0),1,MOD($A106-1,2))=0,(CROQUIS!$C$161+CROQUIS!$C$160*CROQUIS!$C$113-CROQUIS!$C$111),CROQUIS!$C$161)))*CROQUIS!$C$155),-1000)</f>
        <v>20.8088567555355</v>
      </c>
      <c r="AH106">
        <f>IF(AND(CROQUIS!$C$87=1,CROQUIS!$C$160&gt;0,CROQUIS!$C$158&gt;0),(CROQUIS!$C$156+(IF(MOD(MIN(INT(($A106-1)/2),MAX((2*CROQUIS!$C$160)-1,0)),2)=0,IF(IF(INT(($A106-1)/2)&gt;MAX((2*CROQUIS!$C$160)-1,0),1,MOD($A106-1,2))=0,CROQUIS!$C$159,(CROQUIS!$C$159+CROQUIS!$C$158*CROQUIS!$C$113-CROQUIS!$C$111)),IF(IF(INT(($A106-1)/2)&gt;MAX((2*CROQUIS!$C$160)-1,0),1,MOD($A106-1,2))=0,(CROQUIS!$C$159+CROQUIS!$C$158*CROQUIS!$C$113-CROQUIS!$C$111),CROQUIS!$C$159)))*CROQUIS!$C$155),-1000)</f>
        <v>14.7989154993222</v>
      </c>
      <c r="AI106">
        <f>IF(AND(CROQUIS!$C$87=1,CROQUIS!$C$160&gt;0,CROQUIS!$C$158&gt;0),(CROQUIS!$C$157+((CROQUIS!$C$161+INT(MIN(INT(($A106-1)/2),MAX((2*CROQUIS!$C$160)-1,0))/2)*CROQUIS!$C$113+MOD(MIN(INT(($A106-1)/2),MAX((2*CROQUIS!$C$160)-1,0)),2)*CROQUIS!$C$112))*CROQUIS!$C$155),-1000)</f>
        <v>79.1911432444645</v>
      </c>
      <c r="BH106">
        <f>IF(AND(CROQUIS!$C$88=1,CROQUIS!$C$126&gt;0),((CROQUIS!$C$156+(IF(CROQUIS!$C$92="X",CHOOSE(IF(INT(($A106-1)/5)&gt;MAX((MIN(80,MAX(1,INT(((CROQUIS!$C$98)-CROQUIS!$C$107)/MAX(CROQUIS!$C$126,1))+1)))-1,0),0,MOD($A106-1,5))+1,0,2,CROQUIS!$C$97-2,2,0),((CROQUIS!$C$107/2+(((CROQUIS!$C$98)-CROQUIS!$C$107)-(MIN(80,MAX(1,INT(((CROQUIS!$C$98)-CROQUIS!$C$107)/MAX(CROQUIS!$C$126,1))+1))-1)*CROQUIS!$C$126)/2)+MIN(INT(($A106-1)/5),MAX((MIN(80,MAX(1,INT(((CROQUIS!$C$98)-CROQUIS!$C$107)/MAX(CROQUIS!$C$126,1))+1)))-1,0))*CROQUIS!$C$126)))*CROQUIS!$C$155)+IF(CROQUIS!$C$92="X",0,0)),-1000)</f>
        <v>-1000</v>
      </c>
      <c r="BI106">
        <f>IF(AND(CROQUIS!$C$88=1,CROQUIS!$C$126&gt;0),((CROQUIS!$C$157+(IF(CROQUIS!$C$92="X",((CROQUIS!$C$107/2+(((CROQUIS!$C$98)-CROQUIS!$C$107)-(MIN(80,MAX(1,INT(((CROQUIS!$C$98)-CROQUIS!$C$107)/MAX(CROQUIS!$C$126,1))+1))-1)*CROQUIS!$C$126)/2)+MIN(INT(($A106-1)/5),MAX((MIN(80,MAX(1,INT(((CROQUIS!$C$98)-CROQUIS!$C$107)/MAX(CROQUIS!$C$126,1))+1)))-1,0))*CROQUIS!$C$126),CHOOSE(IF(INT(($A106-1)/5)&gt;MAX((MIN(80,MAX(1,INT(((CROQUIS!$C$98)-CROQUIS!$C$107)/MAX(CROQUIS!$C$126,1))+1)))-1,0),0,MOD($A106-1,5))+1,0,2,CROQUIS!$C$97-2,2,0)))*CROQUIS!$C$155)+IF(CROQUIS!$C$92="X",0,0)),-1000)</f>
        <v>-1000</v>
      </c>
      <c r="BJ106">
        <f>IF(AND(CROQUIS!$C$88=1,CROQUIS!$C$134&gt;0),((CROQUIS!$C$156+(IF(CROQUIS!$C$92="X",((CROQUIS!$C$107/2+(((CROQUIS!$C$97)-CROQUIS!$C$107)-(MIN(80,MAX(1,INT(((CROQUIS!$C$97)-CROQUIS!$C$107)/MAX(CROQUIS!$C$134,1))+1))-1)*CROQUIS!$C$134)/2)+MIN(INT(($A106-1)/5),MAX((MIN(80,MAX(1,INT(((CROQUIS!$C$97)-CROQUIS!$C$107)/MAX(CROQUIS!$C$134,1))+1)))-1,0))*CROQUIS!$C$134),CHOOSE(IF(INT(($A106-1)/5)&gt;MAX((MIN(80,MAX(1,INT(((CROQUIS!$C$97)-CROQUIS!$C$107)/MAX(CROQUIS!$C$134,1))+1)))-1,0),0,MOD($A106-1,5))+1,0,2,CROQUIS!$C$98-2,2,0)))*CROQUIS!$C$155)+IF(CROQUIS!$C$92="X",0,0)),-1000)</f>
        <v>-1000</v>
      </c>
      <c r="BK106">
        <f>IF(AND(CROQUIS!$C$88=1,CROQUIS!$C$134&gt;0),((CROQUIS!$C$157+(IF(CROQUIS!$C$92="X",CHOOSE(IF(INT(($A106-1)/5)&gt;MAX((MIN(80,MAX(1,INT(((CROQUIS!$C$97)-CROQUIS!$C$107)/MAX(CROQUIS!$C$134,1))+1)))-1,0),0,MOD($A106-1,5))+1,0,2,CROQUIS!$C$98-2,2,0),((CROQUIS!$C$107/2+(((CROQUIS!$C$97)-CROQUIS!$C$107)-(MIN(80,MAX(1,INT(((CROQUIS!$C$97)-CROQUIS!$C$107)/MAX(CROQUIS!$C$134,1))+1))-1)*CROQUIS!$C$134)/2)+MIN(INT(($A106-1)/5),MAX((MIN(80,MAX(1,INT(((CROQUIS!$C$97)-CROQUIS!$C$107)/MAX(CROQUIS!$C$134,1))+1)))-1,0))*CROQUIS!$C$134)))*CROQUIS!$C$155)+IF(CROQUIS!$C$92="X",0,0)),-1000)</f>
        <v>-1000</v>
      </c>
      <c r="BL106">
        <f>IF(AND(CROQUIS!$C$88=1,CROQUIS!$C$91=0,CROQUIS!$C$130&gt;0,OR(CROQUIS!$C$103=1,CROQUIS!$C$142=1)),((CROQUIS!$C$156+(IF(CROQUIS!$C$92="X",CHOOSE(IF(INT(($A106-1)/5)&gt;MAX((MIN(80,MAX(1,INT(((CROQUIS!$C$98)-CROQUIS!$C$107)/MAX(CROQUIS!$C$130,1))+1)))-1,0),0,MOD($A106-1,5))+1,0,IF(CROQUIS!$C$103=1,-12,2),CROQUIS!$C$107/2+CROQUIS!$C$140,IF(CROQUIS!$C$103=1,-12,2),0),((CROQUIS!$C$107/2+(((CROQUIS!$C$98)-CROQUIS!$C$107)-(MIN(80,MAX(1,INT(((CROQUIS!$C$98)-CROQUIS!$C$107)/MAX(CROQUIS!$C$130,1))+1))-1)*CROQUIS!$C$130)/2)+MIN(INT(($A106-1)/5),MAX((MIN(80,MAX(1,INT(((CROQUIS!$C$98)-CROQUIS!$C$107)/MAX(CROQUIS!$C$130,1))+1)))-1,0))*CROQUIS!$C$130)))*CROQUIS!$C$155)+IF(CROQUIS!$C$92="X",0,0)),-1000)</f>
        <v>-1000</v>
      </c>
      <c r="BM10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106-1)/5),MAX((MIN(80,MAX(1,INT(((CROQUIS!$C$98)-CROQUIS!$C$107)/MAX(CROQUIS!$C$130,1))+1)))-1,0))*CROQUIS!$C$130),CHOOSE(IF(INT(($A106-1)/5)&gt;MAX((MIN(80,MAX(1,INT(((CROQUIS!$C$98)-CROQUIS!$C$107)/MAX(CROQUIS!$C$130,1))+1)))-1,0),0,MOD($A106-1,5))+1,0,IF(CROQUIS!$C$103=1,-12,2),CROQUIS!$C$107/2+CROQUIS!$C$140,IF(CROQUIS!$C$103=1,-12,2),0)))*CROQUIS!$C$155)+IF(CROQUIS!$C$92="X",0,0)),-1000)</f>
        <v>-1000</v>
      </c>
      <c r="BN106">
        <f>IF(AND(CROQUIS!$C$88=1,CROQUIS!$C$91=0,CROQUIS!$C$130&gt;0,OR(CROQUIS!$C$104=1,CROQUIS!$C$142=1)),((CROQUIS!$C$156+(IF(CROQUIS!$C$92="X",CHOOSE(IF(INT(($A106-1)/5)&gt;MAX((MIN(80,MAX(1,INT(((CROQUIS!$C$98)-CROQUIS!$C$107)/MAX(CROQUIS!$C$130,1))+1)))-1,0),0,MOD($A106-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106-1)/5),MAX((MIN(80,MAX(1,INT(((CROQUIS!$C$98)-CROQUIS!$C$107)/MAX(CROQUIS!$C$130,1))+1)))-1,0))*CROQUIS!$C$130)))*CROQUIS!$C$155)+IF(CROQUIS!$C$92="X",0,0)),-1000)</f>
        <v>-1000</v>
      </c>
      <c r="BO10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106-1)/5),MAX((MIN(80,MAX(1,INT(((CROQUIS!$C$98)-CROQUIS!$C$107)/MAX(CROQUIS!$C$130,1))+1)))-1,0))*CROQUIS!$C$130),CHOOSE(IF(INT(($A106-1)/5)&gt;MAX((MIN(80,MAX(1,INT(((CROQUIS!$C$98)-CROQUIS!$C$107)/MAX(CROQUIS!$C$130,1))+1)))-1,0),0,MOD($A106-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0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106-1)/5),MAX((MIN(80,MAX(1,INT(((CROQUIS!$C$97)-CROQUIS!$C$107)/MAX(CROQUIS!$C$138,1))+1)))-1,0))*CROQUIS!$C$138),CHOOSE(IF(INT(($A106-1)/5)&gt;MAX((MIN(80,MAX(1,INT(((CROQUIS!$C$97)-CROQUIS!$C$107)/MAX(CROQUIS!$C$138,1))+1)))-1,0),0,MOD($A106-1,5))+1,0,IF(CROQUIS!$C$105=1,-12,2),CROQUIS!$C$107/2+CROQUIS!$C$141,IF(CROQUIS!$C$105=1,-12,2),0)))*CROQUIS!$C$155)+IF(CROQUIS!$C$92="X",0,0)),-1000)</f>
        <v>-1000</v>
      </c>
      <c r="BQ106">
        <f>IF(AND(CROQUIS!$C$88=1,CROQUIS!$C$91=0,CROQUIS!$C$138&gt;0,OR(CROQUIS!$C$105=1,CROQUIS!$C$143=1)),((CROQUIS!$C$157+(IF(CROQUIS!$C$92="X",CHOOSE(IF(INT(($A106-1)/5)&gt;MAX((MIN(80,MAX(1,INT(((CROQUIS!$C$97)-CROQUIS!$C$107)/MAX(CROQUIS!$C$138,1))+1)))-1,0),0,MOD($A106-1,5))+1,0,IF(CROQUIS!$C$105=1,-12,2),CROQUIS!$C$107/2+CROQUIS!$C$141,IF(CROQUIS!$C$105=1,-12,2),0),((CROQUIS!$C$107/2+(((CROQUIS!$C$97)-CROQUIS!$C$107)-(MIN(80,MAX(1,INT(((CROQUIS!$C$97)-CROQUIS!$C$107)/MAX(CROQUIS!$C$138,1))+1))-1)*CROQUIS!$C$138)/2)+MIN(INT(($A106-1)/5),MAX((MIN(80,MAX(1,INT(((CROQUIS!$C$97)-CROQUIS!$C$107)/MAX(CROQUIS!$C$138,1))+1)))-1,0))*CROQUIS!$C$138)))*CROQUIS!$C$155)+IF(CROQUIS!$C$92="X",0,0)),-1000)</f>
        <v>-1000</v>
      </c>
      <c r="BR10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106-1)/5),MAX((MIN(80,MAX(1,INT(((CROQUIS!$C$97)-CROQUIS!$C$107)/MAX(CROQUIS!$C$138,1))+1)))-1,0))*CROQUIS!$C$138),CHOOSE(IF(INT(($A106-1)/5)&gt;MAX((MIN(80,MAX(1,INT(((CROQUIS!$C$97)-CROQUIS!$C$107)/MAX(CROQUIS!$C$138,1))+1)))-1,0),0,MOD($A106-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06">
        <f>IF(AND(CROQUIS!$C$88=1,CROQUIS!$C$91=0,CROQUIS!$C$138&gt;0,OR(CROQUIS!$C$106=1,CROQUIS!$C$143=1)),((CROQUIS!$C$157+(IF(CROQUIS!$C$92="X",CHOOSE(IF(INT(($A106-1)/5)&gt;MAX((MIN(80,MAX(1,INT(((CROQUIS!$C$97)-CROQUIS!$C$107)/MAX(CROQUIS!$C$138,1))+1)))-1,0),0,MOD($A106-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106-1)/5),MAX((MIN(80,MAX(1,INT(((CROQUIS!$C$97)-CROQUIS!$C$107)/MAX(CROQUIS!$C$138,1))+1)))-1,0))*CROQUIS!$C$138)))*CROQUIS!$C$155)+IF(CROQUIS!$C$92="X",0,0)),-1000)</f>
        <v>-1000</v>
      </c>
      <c r="BT106">
        <f>IF(AND(CROQUIS!$C$88=1,CROQUIS!$C$91=1,CROQUIS!$C$130&gt;0),((CROQUIS!$C$156+(IF(CROQUIS!$C$92="X",CHOOSE(IF(INT(($A106-1)/5)&gt;MAX((MIN(80,MAX(1,INT(((CROQUIS!$C$98)-CROQUIS!$C$107)/MAX(CROQUIS!$C$130,1))+1)))-1,0),0,MOD($A106-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106-1)/5),MAX((MIN(80,MAX(1,INT(((CROQUIS!$C$98)-CROQUIS!$C$107)/MAX(CROQUIS!$C$130,1))+1)))-1,0))*CROQUIS!$C$130)))*CROQUIS!$C$155)+IF(CROQUIS!$C$92="X",0,0)),-1000)</f>
        <v>-1000</v>
      </c>
      <c r="BU106">
        <f>IF(AND(CROQUIS!$C$88=1,CROQUIS!$C$91=1,CROQUIS!$C$130&gt;0),((CROQUIS!$C$157+(IF(CROQUIS!$C$92="X",((CROQUIS!$C$107/2+(((CROQUIS!$C$98)-CROQUIS!$C$107)-(MIN(80,MAX(1,INT(((CROQUIS!$C$98)-CROQUIS!$C$107)/MAX(CROQUIS!$C$130,1))+1))-1)*CROQUIS!$C$130)/2)+MIN(INT(($A106-1)/5),MAX((MIN(80,MAX(1,INT(((CROQUIS!$C$98)-CROQUIS!$C$107)/MAX(CROQUIS!$C$130,1))+1)))-1,0))*CROQUIS!$C$130),CHOOSE(IF(INT(($A106-1)/5)&gt;MAX((MIN(80,MAX(1,INT(((CROQUIS!$C$98)-CROQUIS!$C$107)/MAX(CROQUIS!$C$130,1))+1)))-1,0),0,MOD($A106-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07">
      <c r="A107" t="n">
        <v>100</v>
      </c>
      <c r="AF107">
        <f>IF(AND(CROQUIS!$C$87=1,CROQUIS!$C$158&gt;0,CROQUIS!$C$160&gt;0),(CROQUIS!$C$156+((CROQUIS!$C$159+INT(MIN(INT(($A107-1)/2),MAX((2*CROQUIS!$C$158)-1,0))/2)*CROQUIS!$C$113+MOD(MIN(INT(($A107-1)/2),MAX((2*CROQUIS!$C$158)-1,0)),2)*CROQUIS!$C$112))*CROQUIS!$C$155),-1000)</f>
        <v>85.2010845006778</v>
      </c>
      <c r="AG107">
        <f>IF(AND(CROQUIS!$C$87=1,CROQUIS!$C$158&gt;0,CROQUIS!$C$160&gt;0),(CROQUIS!$C$157+(IF(MOD(MIN(INT(($A107-1)/2),MAX((2*CROQUIS!$C$158)-1,0)),2)=0,IF(IF(INT(($A107-1)/2)&gt;MAX((2*CROQUIS!$C$158)-1,0),1,MOD($A107-1,2))=0,CROQUIS!$C$161,(CROQUIS!$C$161+CROQUIS!$C$160*CROQUIS!$C$113-CROQUIS!$C$111)),IF(IF(INT(($A107-1)/2)&gt;MAX((2*CROQUIS!$C$158)-1,0),1,MOD($A107-1,2))=0,(CROQUIS!$C$161+CROQUIS!$C$160*CROQUIS!$C$113-CROQUIS!$C$111),CROQUIS!$C$161)))*CROQUIS!$C$155),-1000)</f>
        <v>20.8088567555355</v>
      </c>
      <c r="AH107">
        <f>IF(AND(CROQUIS!$C$87=1,CROQUIS!$C$160&gt;0,CROQUIS!$C$158&gt;0),(CROQUIS!$C$156+(IF(MOD(MIN(INT(($A107-1)/2),MAX((2*CROQUIS!$C$160)-1,0)),2)=0,IF(IF(INT(($A107-1)/2)&gt;MAX((2*CROQUIS!$C$160)-1,0),1,MOD($A107-1,2))=0,CROQUIS!$C$159,(CROQUIS!$C$159+CROQUIS!$C$158*CROQUIS!$C$113-CROQUIS!$C$111)),IF(IF(INT(($A107-1)/2)&gt;MAX((2*CROQUIS!$C$160)-1,0),1,MOD($A107-1,2))=0,(CROQUIS!$C$159+CROQUIS!$C$158*CROQUIS!$C$113-CROQUIS!$C$111),CROQUIS!$C$159)))*CROQUIS!$C$155),-1000)</f>
        <v>14.7989154993222</v>
      </c>
      <c r="AI107">
        <f>IF(AND(CROQUIS!$C$87=1,CROQUIS!$C$160&gt;0,CROQUIS!$C$158&gt;0),(CROQUIS!$C$157+((CROQUIS!$C$161+INT(MIN(INT(($A107-1)/2),MAX((2*CROQUIS!$C$160)-1,0))/2)*CROQUIS!$C$113+MOD(MIN(INT(($A107-1)/2),MAX((2*CROQUIS!$C$160)-1,0)),2)*CROQUIS!$C$112))*CROQUIS!$C$155),-1000)</f>
        <v>79.1911432444645</v>
      </c>
      <c r="BH107">
        <f>IF(AND(CROQUIS!$C$88=1,CROQUIS!$C$126&gt;0),((CROQUIS!$C$156+(IF(CROQUIS!$C$92="X",CHOOSE(IF(INT(($A107-1)/5)&gt;MAX((MIN(80,MAX(1,INT(((CROQUIS!$C$98)-CROQUIS!$C$107)/MAX(CROQUIS!$C$126,1))+1)))-1,0),0,MOD($A107-1,5))+1,0,2,CROQUIS!$C$97-2,2,0),((CROQUIS!$C$107/2+(((CROQUIS!$C$98)-CROQUIS!$C$107)-(MIN(80,MAX(1,INT(((CROQUIS!$C$98)-CROQUIS!$C$107)/MAX(CROQUIS!$C$126,1))+1))-1)*CROQUIS!$C$126)/2)+MIN(INT(($A107-1)/5),MAX((MIN(80,MAX(1,INT(((CROQUIS!$C$98)-CROQUIS!$C$107)/MAX(CROQUIS!$C$126,1))+1)))-1,0))*CROQUIS!$C$126)))*CROQUIS!$C$155)+IF(CROQUIS!$C$92="X",0,0)),-1000)</f>
        <v>-1000</v>
      </c>
      <c r="BI107">
        <f>IF(AND(CROQUIS!$C$88=1,CROQUIS!$C$126&gt;0),((CROQUIS!$C$157+(IF(CROQUIS!$C$92="X",((CROQUIS!$C$107/2+(((CROQUIS!$C$98)-CROQUIS!$C$107)-(MIN(80,MAX(1,INT(((CROQUIS!$C$98)-CROQUIS!$C$107)/MAX(CROQUIS!$C$126,1))+1))-1)*CROQUIS!$C$126)/2)+MIN(INT(($A107-1)/5),MAX((MIN(80,MAX(1,INT(((CROQUIS!$C$98)-CROQUIS!$C$107)/MAX(CROQUIS!$C$126,1))+1)))-1,0))*CROQUIS!$C$126),CHOOSE(IF(INT(($A107-1)/5)&gt;MAX((MIN(80,MAX(1,INT(((CROQUIS!$C$98)-CROQUIS!$C$107)/MAX(CROQUIS!$C$126,1))+1)))-1,0),0,MOD($A107-1,5))+1,0,2,CROQUIS!$C$97-2,2,0)))*CROQUIS!$C$155)+IF(CROQUIS!$C$92="X",0,0)),-1000)</f>
        <v>-1000</v>
      </c>
      <c r="BJ107">
        <f>IF(AND(CROQUIS!$C$88=1,CROQUIS!$C$134&gt;0),((CROQUIS!$C$156+(IF(CROQUIS!$C$92="X",((CROQUIS!$C$107/2+(((CROQUIS!$C$97)-CROQUIS!$C$107)-(MIN(80,MAX(1,INT(((CROQUIS!$C$97)-CROQUIS!$C$107)/MAX(CROQUIS!$C$134,1))+1))-1)*CROQUIS!$C$134)/2)+MIN(INT(($A107-1)/5),MAX((MIN(80,MAX(1,INT(((CROQUIS!$C$97)-CROQUIS!$C$107)/MAX(CROQUIS!$C$134,1))+1)))-1,0))*CROQUIS!$C$134),CHOOSE(IF(INT(($A107-1)/5)&gt;MAX((MIN(80,MAX(1,INT(((CROQUIS!$C$97)-CROQUIS!$C$107)/MAX(CROQUIS!$C$134,1))+1)))-1,0),0,MOD($A107-1,5))+1,0,2,CROQUIS!$C$98-2,2,0)))*CROQUIS!$C$155)+IF(CROQUIS!$C$92="X",0,0)),-1000)</f>
        <v>-1000</v>
      </c>
      <c r="BK107">
        <f>IF(AND(CROQUIS!$C$88=1,CROQUIS!$C$134&gt;0),((CROQUIS!$C$157+(IF(CROQUIS!$C$92="X",CHOOSE(IF(INT(($A107-1)/5)&gt;MAX((MIN(80,MAX(1,INT(((CROQUIS!$C$97)-CROQUIS!$C$107)/MAX(CROQUIS!$C$134,1))+1)))-1,0),0,MOD($A107-1,5))+1,0,2,CROQUIS!$C$98-2,2,0),((CROQUIS!$C$107/2+(((CROQUIS!$C$97)-CROQUIS!$C$107)-(MIN(80,MAX(1,INT(((CROQUIS!$C$97)-CROQUIS!$C$107)/MAX(CROQUIS!$C$134,1))+1))-1)*CROQUIS!$C$134)/2)+MIN(INT(($A107-1)/5),MAX((MIN(80,MAX(1,INT(((CROQUIS!$C$97)-CROQUIS!$C$107)/MAX(CROQUIS!$C$134,1))+1)))-1,0))*CROQUIS!$C$134)))*CROQUIS!$C$155)+IF(CROQUIS!$C$92="X",0,0)),-1000)</f>
        <v>-1000</v>
      </c>
      <c r="BL107">
        <f>IF(AND(CROQUIS!$C$88=1,CROQUIS!$C$91=0,CROQUIS!$C$130&gt;0,OR(CROQUIS!$C$103=1,CROQUIS!$C$142=1)),((CROQUIS!$C$156+(IF(CROQUIS!$C$92="X",CHOOSE(IF(INT(($A107-1)/5)&gt;MAX((MIN(80,MAX(1,INT(((CROQUIS!$C$98)-CROQUIS!$C$107)/MAX(CROQUIS!$C$130,1))+1)))-1,0),0,MOD($A107-1,5))+1,0,IF(CROQUIS!$C$103=1,-12,2),CROQUIS!$C$107/2+CROQUIS!$C$140,IF(CROQUIS!$C$103=1,-12,2),0),((CROQUIS!$C$107/2+(((CROQUIS!$C$98)-CROQUIS!$C$107)-(MIN(80,MAX(1,INT(((CROQUIS!$C$98)-CROQUIS!$C$107)/MAX(CROQUIS!$C$130,1))+1))-1)*CROQUIS!$C$130)/2)+MIN(INT(($A107-1)/5),MAX((MIN(80,MAX(1,INT(((CROQUIS!$C$98)-CROQUIS!$C$107)/MAX(CROQUIS!$C$130,1))+1)))-1,0))*CROQUIS!$C$130)))*CROQUIS!$C$155)+IF(CROQUIS!$C$92="X",0,0)),-1000)</f>
        <v>-1000</v>
      </c>
      <c r="BM10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107-1)/5),MAX((MIN(80,MAX(1,INT(((CROQUIS!$C$98)-CROQUIS!$C$107)/MAX(CROQUIS!$C$130,1))+1)))-1,0))*CROQUIS!$C$130),CHOOSE(IF(INT(($A107-1)/5)&gt;MAX((MIN(80,MAX(1,INT(((CROQUIS!$C$98)-CROQUIS!$C$107)/MAX(CROQUIS!$C$130,1))+1)))-1,0),0,MOD($A107-1,5))+1,0,IF(CROQUIS!$C$103=1,-12,2),CROQUIS!$C$107/2+CROQUIS!$C$140,IF(CROQUIS!$C$103=1,-12,2),0)))*CROQUIS!$C$155)+IF(CROQUIS!$C$92="X",0,0)),-1000)</f>
        <v>-1000</v>
      </c>
      <c r="BN107">
        <f>IF(AND(CROQUIS!$C$88=1,CROQUIS!$C$91=0,CROQUIS!$C$130&gt;0,OR(CROQUIS!$C$104=1,CROQUIS!$C$142=1)),((CROQUIS!$C$156+(IF(CROQUIS!$C$92="X",CHOOSE(IF(INT(($A107-1)/5)&gt;MAX((MIN(80,MAX(1,INT(((CROQUIS!$C$98)-CROQUIS!$C$107)/MAX(CROQUIS!$C$130,1))+1)))-1,0),0,MOD($A107-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107-1)/5),MAX((MIN(80,MAX(1,INT(((CROQUIS!$C$98)-CROQUIS!$C$107)/MAX(CROQUIS!$C$130,1))+1)))-1,0))*CROQUIS!$C$130)))*CROQUIS!$C$155)+IF(CROQUIS!$C$92="X",0,0)),-1000)</f>
        <v>-1000</v>
      </c>
      <c r="BO10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107-1)/5),MAX((MIN(80,MAX(1,INT(((CROQUIS!$C$98)-CROQUIS!$C$107)/MAX(CROQUIS!$C$130,1))+1)))-1,0))*CROQUIS!$C$130),CHOOSE(IF(INT(($A107-1)/5)&gt;MAX((MIN(80,MAX(1,INT(((CROQUIS!$C$98)-CROQUIS!$C$107)/MAX(CROQUIS!$C$130,1))+1)))-1,0),0,MOD($A107-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0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107-1)/5),MAX((MIN(80,MAX(1,INT(((CROQUIS!$C$97)-CROQUIS!$C$107)/MAX(CROQUIS!$C$138,1))+1)))-1,0))*CROQUIS!$C$138),CHOOSE(IF(INT(($A107-1)/5)&gt;MAX((MIN(80,MAX(1,INT(((CROQUIS!$C$97)-CROQUIS!$C$107)/MAX(CROQUIS!$C$138,1))+1)))-1,0),0,MOD($A107-1,5))+1,0,IF(CROQUIS!$C$105=1,-12,2),CROQUIS!$C$107/2+CROQUIS!$C$141,IF(CROQUIS!$C$105=1,-12,2),0)))*CROQUIS!$C$155)+IF(CROQUIS!$C$92="X",0,0)),-1000)</f>
        <v>-1000</v>
      </c>
      <c r="BQ107">
        <f>IF(AND(CROQUIS!$C$88=1,CROQUIS!$C$91=0,CROQUIS!$C$138&gt;0,OR(CROQUIS!$C$105=1,CROQUIS!$C$143=1)),((CROQUIS!$C$157+(IF(CROQUIS!$C$92="X",CHOOSE(IF(INT(($A107-1)/5)&gt;MAX((MIN(80,MAX(1,INT(((CROQUIS!$C$97)-CROQUIS!$C$107)/MAX(CROQUIS!$C$138,1))+1)))-1,0),0,MOD($A107-1,5))+1,0,IF(CROQUIS!$C$105=1,-12,2),CROQUIS!$C$107/2+CROQUIS!$C$141,IF(CROQUIS!$C$105=1,-12,2),0),((CROQUIS!$C$107/2+(((CROQUIS!$C$97)-CROQUIS!$C$107)-(MIN(80,MAX(1,INT(((CROQUIS!$C$97)-CROQUIS!$C$107)/MAX(CROQUIS!$C$138,1))+1))-1)*CROQUIS!$C$138)/2)+MIN(INT(($A107-1)/5),MAX((MIN(80,MAX(1,INT(((CROQUIS!$C$97)-CROQUIS!$C$107)/MAX(CROQUIS!$C$138,1))+1)))-1,0))*CROQUIS!$C$138)))*CROQUIS!$C$155)+IF(CROQUIS!$C$92="X",0,0)),-1000)</f>
        <v>-1000</v>
      </c>
      <c r="BR10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107-1)/5),MAX((MIN(80,MAX(1,INT(((CROQUIS!$C$97)-CROQUIS!$C$107)/MAX(CROQUIS!$C$138,1))+1)))-1,0))*CROQUIS!$C$138),CHOOSE(IF(INT(($A107-1)/5)&gt;MAX((MIN(80,MAX(1,INT(((CROQUIS!$C$97)-CROQUIS!$C$107)/MAX(CROQUIS!$C$138,1))+1)))-1,0),0,MOD($A107-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07">
        <f>IF(AND(CROQUIS!$C$88=1,CROQUIS!$C$91=0,CROQUIS!$C$138&gt;0,OR(CROQUIS!$C$106=1,CROQUIS!$C$143=1)),((CROQUIS!$C$157+(IF(CROQUIS!$C$92="X",CHOOSE(IF(INT(($A107-1)/5)&gt;MAX((MIN(80,MAX(1,INT(((CROQUIS!$C$97)-CROQUIS!$C$107)/MAX(CROQUIS!$C$138,1))+1)))-1,0),0,MOD($A107-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107-1)/5),MAX((MIN(80,MAX(1,INT(((CROQUIS!$C$97)-CROQUIS!$C$107)/MAX(CROQUIS!$C$138,1))+1)))-1,0))*CROQUIS!$C$138)))*CROQUIS!$C$155)+IF(CROQUIS!$C$92="X",0,0)),-1000)</f>
        <v>-1000</v>
      </c>
      <c r="BT107">
        <f>IF(AND(CROQUIS!$C$88=1,CROQUIS!$C$91=1,CROQUIS!$C$130&gt;0),((CROQUIS!$C$156+(IF(CROQUIS!$C$92="X",CHOOSE(IF(INT(($A107-1)/5)&gt;MAX((MIN(80,MAX(1,INT(((CROQUIS!$C$98)-CROQUIS!$C$107)/MAX(CROQUIS!$C$130,1))+1)))-1,0),0,MOD($A107-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107-1)/5),MAX((MIN(80,MAX(1,INT(((CROQUIS!$C$98)-CROQUIS!$C$107)/MAX(CROQUIS!$C$130,1))+1)))-1,0))*CROQUIS!$C$130)))*CROQUIS!$C$155)+IF(CROQUIS!$C$92="X",0,0)),-1000)</f>
        <v>-1000</v>
      </c>
      <c r="BU107">
        <f>IF(AND(CROQUIS!$C$88=1,CROQUIS!$C$91=1,CROQUIS!$C$130&gt;0),((CROQUIS!$C$157+(IF(CROQUIS!$C$92="X",((CROQUIS!$C$107/2+(((CROQUIS!$C$98)-CROQUIS!$C$107)-(MIN(80,MAX(1,INT(((CROQUIS!$C$98)-CROQUIS!$C$107)/MAX(CROQUIS!$C$130,1))+1))-1)*CROQUIS!$C$130)/2)+MIN(INT(($A107-1)/5),MAX((MIN(80,MAX(1,INT(((CROQUIS!$C$98)-CROQUIS!$C$107)/MAX(CROQUIS!$C$130,1))+1)))-1,0))*CROQUIS!$C$130),CHOOSE(IF(INT(($A107-1)/5)&gt;MAX((MIN(80,MAX(1,INT(((CROQUIS!$C$98)-CROQUIS!$C$107)/MAX(CROQUIS!$C$130,1))+1)))-1,0),0,MOD($A107-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08">
      <c r="A108" t="n">
        <v>101</v>
      </c>
      <c r="BH108">
        <f>IF(AND(CROQUIS!$C$88=1,CROQUIS!$C$126&gt;0),((CROQUIS!$C$156+(IF(CROQUIS!$C$92="X",CHOOSE(IF(INT(($A108-1)/5)&gt;MAX((MIN(80,MAX(1,INT(((CROQUIS!$C$98)-CROQUIS!$C$107)/MAX(CROQUIS!$C$126,1))+1)))-1,0),0,MOD($A108-1,5))+1,0,2,CROQUIS!$C$97-2,2,0),((CROQUIS!$C$107/2+(((CROQUIS!$C$98)-CROQUIS!$C$107)-(MIN(80,MAX(1,INT(((CROQUIS!$C$98)-CROQUIS!$C$107)/MAX(CROQUIS!$C$126,1))+1))-1)*CROQUIS!$C$126)/2)+MIN(INT(($A108-1)/5),MAX((MIN(80,MAX(1,INT(((CROQUIS!$C$98)-CROQUIS!$C$107)/MAX(CROQUIS!$C$126,1))+1)))-1,0))*CROQUIS!$C$126)))*CROQUIS!$C$155)+IF(CROQUIS!$C$92="X",0,0)),-1000)</f>
        <v>-1000</v>
      </c>
      <c r="BI108">
        <f>IF(AND(CROQUIS!$C$88=1,CROQUIS!$C$126&gt;0),((CROQUIS!$C$157+(IF(CROQUIS!$C$92="X",((CROQUIS!$C$107/2+(((CROQUIS!$C$98)-CROQUIS!$C$107)-(MIN(80,MAX(1,INT(((CROQUIS!$C$98)-CROQUIS!$C$107)/MAX(CROQUIS!$C$126,1))+1))-1)*CROQUIS!$C$126)/2)+MIN(INT(($A108-1)/5),MAX((MIN(80,MAX(1,INT(((CROQUIS!$C$98)-CROQUIS!$C$107)/MAX(CROQUIS!$C$126,1))+1)))-1,0))*CROQUIS!$C$126),CHOOSE(IF(INT(($A108-1)/5)&gt;MAX((MIN(80,MAX(1,INT(((CROQUIS!$C$98)-CROQUIS!$C$107)/MAX(CROQUIS!$C$126,1))+1)))-1,0),0,MOD($A108-1,5))+1,0,2,CROQUIS!$C$97-2,2,0)))*CROQUIS!$C$155)+IF(CROQUIS!$C$92="X",0,0)),-1000)</f>
        <v>-1000</v>
      </c>
      <c r="BJ108">
        <f>IF(AND(CROQUIS!$C$88=1,CROQUIS!$C$134&gt;0),((CROQUIS!$C$156+(IF(CROQUIS!$C$92="X",((CROQUIS!$C$107/2+(((CROQUIS!$C$97)-CROQUIS!$C$107)-(MIN(80,MAX(1,INT(((CROQUIS!$C$97)-CROQUIS!$C$107)/MAX(CROQUIS!$C$134,1))+1))-1)*CROQUIS!$C$134)/2)+MIN(INT(($A108-1)/5),MAX((MIN(80,MAX(1,INT(((CROQUIS!$C$97)-CROQUIS!$C$107)/MAX(CROQUIS!$C$134,1))+1)))-1,0))*CROQUIS!$C$134),CHOOSE(IF(INT(($A108-1)/5)&gt;MAX((MIN(80,MAX(1,INT(((CROQUIS!$C$97)-CROQUIS!$C$107)/MAX(CROQUIS!$C$134,1))+1)))-1,0),0,MOD($A108-1,5))+1,0,2,CROQUIS!$C$98-2,2,0)))*CROQUIS!$C$155)+IF(CROQUIS!$C$92="X",0,0)),-1000)</f>
        <v>-1000</v>
      </c>
      <c r="BK108">
        <f>IF(AND(CROQUIS!$C$88=1,CROQUIS!$C$134&gt;0),((CROQUIS!$C$157+(IF(CROQUIS!$C$92="X",CHOOSE(IF(INT(($A108-1)/5)&gt;MAX((MIN(80,MAX(1,INT(((CROQUIS!$C$97)-CROQUIS!$C$107)/MAX(CROQUIS!$C$134,1))+1)))-1,0),0,MOD($A108-1,5))+1,0,2,CROQUIS!$C$98-2,2,0),((CROQUIS!$C$107/2+(((CROQUIS!$C$97)-CROQUIS!$C$107)-(MIN(80,MAX(1,INT(((CROQUIS!$C$97)-CROQUIS!$C$107)/MAX(CROQUIS!$C$134,1))+1))-1)*CROQUIS!$C$134)/2)+MIN(INT(($A108-1)/5),MAX((MIN(80,MAX(1,INT(((CROQUIS!$C$97)-CROQUIS!$C$107)/MAX(CROQUIS!$C$134,1))+1)))-1,0))*CROQUIS!$C$134)))*CROQUIS!$C$155)+IF(CROQUIS!$C$92="X",0,0)),-1000)</f>
        <v>-1000</v>
      </c>
      <c r="BL108">
        <f>IF(AND(CROQUIS!$C$88=1,CROQUIS!$C$91=0,CROQUIS!$C$130&gt;0,OR(CROQUIS!$C$103=1,CROQUIS!$C$142=1)),((CROQUIS!$C$156+(IF(CROQUIS!$C$92="X",CHOOSE(IF(INT(($A108-1)/5)&gt;MAX((MIN(80,MAX(1,INT(((CROQUIS!$C$98)-CROQUIS!$C$107)/MAX(CROQUIS!$C$130,1))+1)))-1,0),0,MOD($A108-1,5))+1,0,IF(CROQUIS!$C$103=1,-12,2),CROQUIS!$C$107/2+CROQUIS!$C$140,IF(CROQUIS!$C$103=1,-12,2),0),((CROQUIS!$C$107/2+(((CROQUIS!$C$98)-CROQUIS!$C$107)-(MIN(80,MAX(1,INT(((CROQUIS!$C$98)-CROQUIS!$C$107)/MAX(CROQUIS!$C$130,1))+1))-1)*CROQUIS!$C$130)/2)+MIN(INT(($A108-1)/5),MAX((MIN(80,MAX(1,INT(((CROQUIS!$C$98)-CROQUIS!$C$107)/MAX(CROQUIS!$C$130,1))+1)))-1,0))*CROQUIS!$C$130)))*CROQUIS!$C$155)+IF(CROQUIS!$C$92="X",0,0)),-1000)</f>
        <v>-1000</v>
      </c>
      <c r="BM10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108-1)/5),MAX((MIN(80,MAX(1,INT(((CROQUIS!$C$98)-CROQUIS!$C$107)/MAX(CROQUIS!$C$130,1))+1)))-1,0))*CROQUIS!$C$130),CHOOSE(IF(INT(($A108-1)/5)&gt;MAX((MIN(80,MAX(1,INT(((CROQUIS!$C$98)-CROQUIS!$C$107)/MAX(CROQUIS!$C$130,1))+1)))-1,0),0,MOD($A108-1,5))+1,0,IF(CROQUIS!$C$103=1,-12,2),CROQUIS!$C$107/2+CROQUIS!$C$140,IF(CROQUIS!$C$103=1,-12,2),0)))*CROQUIS!$C$155)+IF(CROQUIS!$C$92="X",0,0)),-1000)</f>
        <v>-1000</v>
      </c>
      <c r="BN108">
        <f>IF(AND(CROQUIS!$C$88=1,CROQUIS!$C$91=0,CROQUIS!$C$130&gt;0,OR(CROQUIS!$C$104=1,CROQUIS!$C$142=1)),((CROQUIS!$C$156+(IF(CROQUIS!$C$92="X",CHOOSE(IF(INT(($A108-1)/5)&gt;MAX((MIN(80,MAX(1,INT(((CROQUIS!$C$98)-CROQUIS!$C$107)/MAX(CROQUIS!$C$130,1))+1)))-1,0),0,MOD($A108-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108-1)/5),MAX((MIN(80,MAX(1,INT(((CROQUIS!$C$98)-CROQUIS!$C$107)/MAX(CROQUIS!$C$130,1))+1)))-1,0))*CROQUIS!$C$130)))*CROQUIS!$C$155)+IF(CROQUIS!$C$92="X",0,0)),-1000)</f>
        <v>-1000</v>
      </c>
      <c r="BO10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108-1)/5),MAX((MIN(80,MAX(1,INT(((CROQUIS!$C$98)-CROQUIS!$C$107)/MAX(CROQUIS!$C$130,1))+1)))-1,0))*CROQUIS!$C$130),CHOOSE(IF(INT(($A108-1)/5)&gt;MAX((MIN(80,MAX(1,INT(((CROQUIS!$C$98)-CROQUIS!$C$107)/MAX(CROQUIS!$C$130,1))+1)))-1,0),0,MOD($A108-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0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108-1)/5),MAX((MIN(80,MAX(1,INT(((CROQUIS!$C$97)-CROQUIS!$C$107)/MAX(CROQUIS!$C$138,1))+1)))-1,0))*CROQUIS!$C$138),CHOOSE(IF(INT(($A108-1)/5)&gt;MAX((MIN(80,MAX(1,INT(((CROQUIS!$C$97)-CROQUIS!$C$107)/MAX(CROQUIS!$C$138,1))+1)))-1,0),0,MOD($A108-1,5))+1,0,IF(CROQUIS!$C$105=1,-12,2),CROQUIS!$C$107/2+CROQUIS!$C$141,IF(CROQUIS!$C$105=1,-12,2),0)))*CROQUIS!$C$155)+IF(CROQUIS!$C$92="X",0,0)),-1000)</f>
        <v>-1000</v>
      </c>
      <c r="BQ108">
        <f>IF(AND(CROQUIS!$C$88=1,CROQUIS!$C$91=0,CROQUIS!$C$138&gt;0,OR(CROQUIS!$C$105=1,CROQUIS!$C$143=1)),((CROQUIS!$C$157+(IF(CROQUIS!$C$92="X",CHOOSE(IF(INT(($A108-1)/5)&gt;MAX((MIN(80,MAX(1,INT(((CROQUIS!$C$97)-CROQUIS!$C$107)/MAX(CROQUIS!$C$138,1))+1)))-1,0),0,MOD($A108-1,5))+1,0,IF(CROQUIS!$C$105=1,-12,2),CROQUIS!$C$107/2+CROQUIS!$C$141,IF(CROQUIS!$C$105=1,-12,2),0),((CROQUIS!$C$107/2+(((CROQUIS!$C$97)-CROQUIS!$C$107)-(MIN(80,MAX(1,INT(((CROQUIS!$C$97)-CROQUIS!$C$107)/MAX(CROQUIS!$C$138,1))+1))-1)*CROQUIS!$C$138)/2)+MIN(INT(($A108-1)/5),MAX((MIN(80,MAX(1,INT(((CROQUIS!$C$97)-CROQUIS!$C$107)/MAX(CROQUIS!$C$138,1))+1)))-1,0))*CROQUIS!$C$138)))*CROQUIS!$C$155)+IF(CROQUIS!$C$92="X",0,0)),-1000)</f>
        <v>-1000</v>
      </c>
      <c r="BR10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108-1)/5),MAX((MIN(80,MAX(1,INT(((CROQUIS!$C$97)-CROQUIS!$C$107)/MAX(CROQUIS!$C$138,1))+1)))-1,0))*CROQUIS!$C$138),CHOOSE(IF(INT(($A108-1)/5)&gt;MAX((MIN(80,MAX(1,INT(((CROQUIS!$C$97)-CROQUIS!$C$107)/MAX(CROQUIS!$C$138,1))+1)))-1,0),0,MOD($A108-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08">
        <f>IF(AND(CROQUIS!$C$88=1,CROQUIS!$C$91=0,CROQUIS!$C$138&gt;0,OR(CROQUIS!$C$106=1,CROQUIS!$C$143=1)),((CROQUIS!$C$157+(IF(CROQUIS!$C$92="X",CHOOSE(IF(INT(($A108-1)/5)&gt;MAX((MIN(80,MAX(1,INT(((CROQUIS!$C$97)-CROQUIS!$C$107)/MAX(CROQUIS!$C$138,1))+1)))-1,0),0,MOD($A108-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108-1)/5),MAX((MIN(80,MAX(1,INT(((CROQUIS!$C$97)-CROQUIS!$C$107)/MAX(CROQUIS!$C$138,1))+1)))-1,0))*CROQUIS!$C$138)))*CROQUIS!$C$155)+IF(CROQUIS!$C$92="X",0,0)),-1000)</f>
        <v>-1000</v>
      </c>
      <c r="BT108">
        <f>IF(AND(CROQUIS!$C$88=1,CROQUIS!$C$91=1,CROQUIS!$C$130&gt;0),((CROQUIS!$C$156+(IF(CROQUIS!$C$92="X",CHOOSE(IF(INT(($A108-1)/5)&gt;MAX((MIN(80,MAX(1,INT(((CROQUIS!$C$98)-CROQUIS!$C$107)/MAX(CROQUIS!$C$130,1))+1)))-1,0),0,MOD($A108-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108-1)/5),MAX((MIN(80,MAX(1,INT(((CROQUIS!$C$98)-CROQUIS!$C$107)/MAX(CROQUIS!$C$130,1))+1)))-1,0))*CROQUIS!$C$130)))*CROQUIS!$C$155)+IF(CROQUIS!$C$92="X",0,0)),-1000)</f>
        <v>-1000</v>
      </c>
      <c r="BU108">
        <f>IF(AND(CROQUIS!$C$88=1,CROQUIS!$C$91=1,CROQUIS!$C$130&gt;0),((CROQUIS!$C$157+(IF(CROQUIS!$C$92="X",((CROQUIS!$C$107/2+(((CROQUIS!$C$98)-CROQUIS!$C$107)-(MIN(80,MAX(1,INT(((CROQUIS!$C$98)-CROQUIS!$C$107)/MAX(CROQUIS!$C$130,1))+1))-1)*CROQUIS!$C$130)/2)+MIN(INT(($A108-1)/5),MAX((MIN(80,MAX(1,INT(((CROQUIS!$C$98)-CROQUIS!$C$107)/MAX(CROQUIS!$C$130,1))+1)))-1,0))*CROQUIS!$C$130),CHOOSE(IF(INT(($A108-1)/5)&gt;MAX((MIN(80,MAX(1,INT(((CROQUIS!$C$98)-CROQUIS!$C$107)/MAX(CROQUIS!$C$130,1))+1)))-1,0),0,MOD($A108-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09">
      <c r="A109" t="n">
        <v>102</v>
      </c>
      <c r="BH109">
        <f>IF(AND(CROQUIS!$C$88=1,CROQUIS!$C$126&gt;0),((CROQUIS!$C$156+(IF(CROQUIS!$C$92="X",CHOOSE(IF(INT(($A109-1)/5)&gt;MAX((MIN(80,MAX(1,INT(((CROQUIS!$C$98)-CROQUIS!$C$107)/MAX(CROQUIS!$C$126,1))+1)))-1,0),0,MOD($A109-1,5))+1,0,2,CROQUIS!$C$97-2,2,0),((CROQUIS!$C$107/2+(((CROQUIS!$C$98)-CROQUIS!$C$107)-(MIN(80,MAX(1,INT(((CROQUIS!$C$98)-CROQUIS!$C$107)/MAX(CROQUIS!$C$126,1))+1))-1)*CROQUIS!$C$126)/2)+MIN(INT(($A109-1)/5),MAX((MIN(80,MAX(1,INT(((CROQUIS!$C$98)-CROQUIS!$C$107)/MAX(CROQUIS!$C$126,1))+1)))-1,0))*CROQUIS!$C$126)))*CROQUIS!$C$155)+IF(CROQUIS!$C$92="X",0,0)),-1000)</f>
        <v>-1000</v>
      </c>
      <c r="BI109">
        <f>IF(AND(CROQUIS!$C$88=1,CROQUIS!$C$126&gt;0),((CROQUIS!$C$157+(IF(CROQUIS!$C$92="X",((CROQUIS!$C$107/2+(((CROQUIS!$C$98)-CROQUIS!$C$107)-(MIN(80,MAX(1,INT(((CROQUIS!$C$98)-CROQUIS!$C$107)/MAX(CROQUIS!$C$126,1))+1))-1)*CROQUIS!$C$126)/2)+MIN(INT(($A109-1)/5),MAX((MIN(80,MAX(1,INT(((CROQUIS!$C$98)-CROQUIS!$C$107)/MAX(CROQUIS!$C$126,1))+1)))-1,0))*CROQUIS!$C$126),CHOOSE(IF(INT(($A109-1)/5)&gt;MAX((MIN(80,MAX(1,INT(((CROQUIS!$C$98)-CROQUIS!$C$107)/MAX(CROQUIS!$C$126,1))+1)))-1,0),0,MOD($A109-1,5))+1,0,2,CROQUIS!$C$97-2,2,0)))*CROQUIS!$C$155)+IF(CROQUIS!$C$92="X",0,0)),-1000)</f>
        <v>-1000</v>
      </c>
      <c r="BJ109">
        <f>IF(AND(CROQUIS!$C$88=1,CROQUIS!$C$134&gt;0),((CROQUIS!$C$156+(IF(CROQUIS!$C$92="X",((CROQUIS!$C$107/2+(((CROQUIS!$C$97)-CROQUIS!$C$107)-(MIN(80,MAX(1,INT(((CROQUIS!$C$97)-CROQUIS!$C$107)/MAX(CROQUIS!$C$134,1))+1))-1)*CROQUIS!$C$134)/2)+MIN(INT(($A109-1)/5),MAX((MIN(80,MAX(1,INT(((CROQUIS!$C$97)-CROQUIS!$C$107)/MAX(CROQUIS!$C$134,1))+1)))-1,0))*CROQUIS!$C$134),CHOOSE(IF(INT(($A109-1)/5)&gt;MAX((MIN(80,MAX(1,INT(((CROQUIS!$C$97)-CROQUIS!$C$107)/MAX(CROQUIS!$C$134,1))+1)))-1,0),0,MOD($A109-1,5))+1,0,2,CROQUIS!$C$98-2,2,0)))*CROQUIS!$C$155)+IF(CROQUIS!$C$92="X",0,0)),-1000)</f>
        <v>-1000</v>
      </c>
      <c r="BK109">
        <f>IF(AND(CROQUIS!$C$88=1,CROQUIS!$C$134&gt;0),((CROQUIS!$C$157+(IF(CROQUIS!$C$92="X",CHOOSE(IF(INT(($A109-1)/5)&gt;MAX((MIN(80,MAX(1,INT(((CROQUIS!$C$97)-CROQUIS!$C$107)/MAX(CROQUIS!$C$134,1))+1)))-1,0),0,MOD($A109-1,5))+1,0,2,CROQUIS!$C$98-2,2,0),((CROQUIS!$C$107/2+(((CROQUIS!$C$97)-CROQUIS!$C$107)-(MIN(80,MAX(1,INT(((CROQUIS!$C$97)-CROQUIS!$C$107)/MAX(CROQUIS!$C$134,1))+1))-1)*CROQUIS!$C$134)/2)+MIN(INT(($A109-1)/5),MAX((MIN(80,MAX(1,INT(((CROQUIS!$C$97)-CROQUIS!$C$107)/MAX(CROQUIS!$C$134,1))+1)))-1,0))*CROQUIS!$C$134)))*CROQUIS!$C$155)+IF(CROQUIS!$C$92="X",0,0)),-1000)</f>
        <v>-1000</v>
      </c>
      <c r="BL109">
        <f>IF(AND(CROQUIS!$C$88=1,CROQUIS!$C$91=0,CROQUIS!$C$130&gt;0,OR(CROQUIS!$C$103=1,CROQUIS!$C$142=1)),((CROQUIS!$C$156+(IF(CROQUIS!$C$92="X",CHOOSE(IF(INT(($A109-1)/5)&gt;MAX((MIN(80,MAX(1,INT(((CROQUIS!$C$98)-CROQUIS!$C$107)/MAX(CROQUIS!$C$130,1))+1)))-1,0),0,MOD($A109-1,5))+1,0,IF(CROQUIS!$C$103=1,-12,2),CROQUIS!$C$107/2+CROQUIS!$C$140,IF(CROQUIS!$C$103=1,-12,2),0),((CROQUIS!$C$107/2+(((CROQUIS!$C$98)-CROQUIS!$C$107)-(MIN(80,MAX(1,INT(((CROQUIS!$C$98)-CROQUIS!$C$107)/MAX(CROQUIS!$C$130,1))+1))-1)*CROQUIS!$C$130)/2)+MIN(INT(($A109-1)/5),MAX((MIN(80,MAX(1,INT(((CROQUIS!$C$98)-CROQUIS!$C$107)/MAX(CROQUIS!$C$130,1))+1)))-1,0))*CROQUIS!$C$130)))*CROQUIS!$C$155)+IF(CROQUIS!$C$92="X",0,0)),-1000)</f>
        <v>-1000</v>
      </c>
      <c r="BM10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109-1)/5),MAX((MIN(80,MAX(1,INT(((CROQUIS!$C$98)-CROQUIS!$C$107)/MAX(CROQUIS!$C$130,1))+1)))-1,0))*CROQUIS!$C$130),CHOOSE(IF(INT(($A109-1)/5)&gt;MAX((MIN(80,MAX(1,INT(((CROQUIS!$C$98)-CROQUIS!$C$107)/MAX(CROQUIS!$C$130,1))+1)))-1,0),0,MOD($A109-1,5))+1,0,IF(CROQUIS!$C$103=1,-12,2),CROQUIS!$C$107/2+CROQUIS!$C$140,IF(CROQUIS!$C$103=1,-12,2),0)))*CROQUIS!$C$155)+IF(CROQUIS!$C$92="X",0,0)),-1000)</f>
        <v>-1000</v>
      </c>
      <c r="BN109">
        <f>IF(AND(CROQUIS!$C$88=1,CROQUIS!$C$91=0,CROQUIS!$C$130&gt;0,OR(CROQUIS!$C$104=1,CROQUIS!$C$142=1)),((CROQUIS!$C$156+(IF(CROQUIS!$C$92="X",CHOOSE(IF(INT(($A109-1)/5)&gt;MAX((MIN(80,MAX(1,INT(((CROQUIS!$C$98)-CROQUIS!$C$107)/MAX(CROQUIS!$C$130,1))+1)))-1,0),0,MOD($A109-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109-1)/5),MAX((MIN(80,MAX(1,INT(((CROQUIS!$C$98)-CROQUIS!$C$107)/MAX(CROQUIS!$C$130,1))+1)))-1,0))*CROQUIS!$C$130)))*CROQUIS!$C$155)+IF(CROQUIS!$C$92="X",0,0)),-1000)</f>
        <v>-1000</v>
      </c>
      <c r="BO10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109-1)/5),MAX((MIN(80,MAX(1,INT(((CROQUIS!$C$98)-CROQUIS!$C$107)/MAX(CROQUIS!$C$130,1))+1)))-1,0))*CROQUIS!$C$130),CHOOSE(IF(INT(($A109-1)/5)&gt;MAX((MIN(80,MAX(1,INT(((CROQUIS!$C$98)-CROQUIS!$C$107)/MAX(CROQUIS!$C$130,1))+1)))-1,0),0,MOD($A109-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0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109-1)/5),MAX((MIN(80,MAX(1,INT(((CROQUIS!$C$97)-CROQUIS!$C$107)/MAX(CROQUIS!$C$138,1))+1)))-1,0))*CROQUIS!$C$138),CHOOSE(IF(INT(($A109-1)/5)&gt;MAX((MIN(80,MAX(1,INT(((CROQUIS!$C$97)-CROQUIS!$C$107)/MAX(CROQUIS!$C$138,1))+1)))-1,0),0,MOD($A109-1,5))+1,0,IF(CROQUIS!$C$105=1,-12,2),CROQUIS!$C$107/2+CROQUIS!$C$141,IF(CROQUIS!$C$105=1,-12,2),0)))*CROQUIS!$C$155)+IF(CROQUIS!$C$92="X",0,0)),-1000)</f>
        <v>-1000</v>
      </c>
      <c r="BQ109">
        <f>IF(AND(CROQUIS!$C$88=1,CROQUIS!$C$91=0,CROQUIS!$C$138&gt;0,OR(CROQUIS!$C$105=1,CROQUIS!$C$143=1)),((CROQUIS!$C$157+(IF(CROQUIS!$C$92="X",CHOOSE(IF(INT(($A109-1)/5)&gt;MAX((MIN(80,MAX(1,INT(((CROQUIS!$C$97)-CROQUIS!$C$107)/MAX(CROQUIS!$C$138,1))+1)))-1,0),0,MOD($A109-1,5))+1,0,IF(CROQUIS!$C$105=1,-12,2),CROQUIS!$C$107/2+CROQUIS!$C$141,IF(CROQUIS!$C$105=1,-12,2),0),((CROQUIS!$C$107/2+(((CROQUIS!$C$97)-CROQUIS!$C$107)-(MIN(80,MAX(1,INT(((CROQUIS!$C$97)-CROQUIS!$C$107)/MAX(CROQUIS!$C$138,1))+1))-1)*CROQUIS!$C$138)/2)+MIN(INT(($A109-1)/5),MAX((MIN(80,MAX(1,INT(((CROQUIS!$C$97)-CROQUIS!$C$107)/MAX(CROQUIS!$C$138,1))+1)))-1,0))*CROQUIS!$C$138)))*CROQUIS!$C$155)+IF(CROQUIS!$C$92="X",0,0)),-1000)</f>
        <v>-1000</v>
      </c>
      <c r="BR10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109-1)/5),MAX((MIN(80,MAX(1,INT(((CROQUIS!$C$97)-CROQUIS!$C$107)/MAX(CROQUIS!$C$138,1))+1)))-1,0))*CROQUIS!$C$138),CHOOSE(IF(INT(($A109-1)/5)&gt;MAX((MIN(80,MAX(1,INT(((CROQUIS!$C$97)-CROQUIS!$C$107)/MAX(CROQUIS!$C$138,1))+1)))-1,0),0,MOD($A109-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09">
        <f>IF(AND(CROQUIS!$C$88=1,CROQUIS!$C$91=0,CROQUIS!$C$138&gt;0,OR(CROQUIS!$C$106=1,CROQUIS!$C$143=1)),((CROQUIS!$C$157+(IF(CROQUIS!$C$92="X",CHOOSE(IF(INT(($A109-1)/5)&gt;MAX((MIN(80,MAX(1,INT(((CROQUIS!$C$97)-CROQUIS!$C$107)/MAX(CROQUIS!$C$138,1))+1)))-1,0),0,MOD($A109-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109-1)/5),MAX((MIN(80,MAX(1,INT(((CROQUIS!$C$97)-CROQUIS!$C$107)/MAX(CROQUIS!$C$138,1))+1)))-1,0))*CROQUIS!$C$138)))*CROQUIS!$C$155)+IF(CROQUIS!$C$92="X",0,0)),-1000)</f>
        <v>-1000</v>
      </c>
      <c r="BT109">
        <f>IF(AND(CROQUIS!$C$88=1,CROQUIS!$C$91=1,CROQUIS!$C$130&gt;0),((CROQUIS!$C$156+(IF(CROQUIS!$C$92="X",CHOOSE(IF(INT(($A109-1)/5)&gt;MAX((MIN(80,MAX(1,INT(((CROQUIS!$C$98)-CROQUIS!$C$107)/MAX(CROQUIS!$C$130,1))+1)))-1,0),0,MOD($A109-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109-1)/5),MAX((MIN(80,MAX(1,INT(((CROQUIS!$C$98)-CROQUIS!$C$107)/MAX(CROQUIS!$C$130,1))+1)))-1,0))*CROQUIS!$C$130)))*CROQUIS!$C$155)+IF(CROQUIS!$C$92="X",0,0)),-1000)</f>
        <v>-1000</v>
      </c>
      <c r="BU109">
        <f>IF(AND(CROQUIS!$C$88=1,CROQUIS!$C$91=1,CROQUIS!$C$130&gt;0),((CROQUIS!$C$157+(IF(CROQUIS!$C$92="X",((CROQUIS!$C$107/2+(((CROQUIS!$C$98)-CROQUIS!$C$107)-(MIN(80,MAX(1,INT(((CROQUIS!$C$98)-CROQUIS!$C$107)/MAX(CROQUIS!$C$130,1))+1))-1)*CROQUIS!$C$130)/2)+MIN(INT(($A109-1)/5),MAX((MIN(80,MAX(1,INT(((CROQUIS!$C$98)-CROQUIS!$C$107)/MAX(CROQUIS!$C$130,1))+1)))-1,0))*CROQUIS!$C$130),CHOOSE(IF(INT(($A109-1)/5)&gt;MAX((MIN(80,MAX(1,INT(((CROQUIS!$C$98)-CROQUIS!$C$107)/MAX(CROQUIS!$C$130,1))+1)))-1,0),0,MOD($A109-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10">
      <c r="A110" t="n">
        <v>103</v>
      </c>
      <c r="BH110">
        <f>IF(AND(CROQUIS!$C$88=1,CROQUIS!$C$126&gt;0),((CROQUIS!$C$156+(IF(CROQUIS!$C$92="X",CHOOSE(IF(INT(($A110-1)/5)&gt;MAX((MIN(80,MAX(1,INT(((CROQUIS!$C$98)-CROQUIS!$C$107)/MAX(CROQUIS!$C$126,1))+1)))-1,0),0,MOD($A110-1,5))+1,0,2,CROQUIS!$C$97-2,2,0),((CROQUIS!$C$107/2+(((CROQUIS!$C$98)-CROQUIS!$C$107)-(MIN(80,MAX(1,INT(((CROQUIS!$C$98)-CROQUIS!$C$107)/MAX(CROQUIS!$C$126,1))+1))-1)*CROQUIS!$C$126)/2)+MIN(INT(($A110-1)/5),MAX((MIN(80,MAX(1,INT(((CROQUIS!$C$98)-CROQUIS!$C$107)/MAX(CROQUIS!$C$126,1))+1)))-1,0))*CROQUIS!$C$126)))*CROQUIS!$C$155)+IF(CROQUIS!$C$92="X",0,0)),-1000)</f>
        <v>-1000</v>
      </c>
      <c r="BI110">
        <f>IF(AND(CROQUIS!$C$88=1,CROQUIS!$C$126&gt;0),((CROQUIS!$C$157+(IF(CROQUIS!$C$92="X",((CROQUIS!$C$107/2+(((CROQUIS!$C$98)-CROQUIS!$C$107)-(MIN(80,MAX(1,INT(((CROQUIS!$C$98)-CROQUIS!$C$107)/MAX(CROQUIS!$C$126,1))+1))-1)*CROQUIS!$C$126)/2)+MIN(INT(($A110-1)/5),MAX((MIN(80,MAX(1,INT(((CROQUIS!$C$98)-CROQUIS!$C$107)/MAX(CROQUIS!$C$126,1))+1)))-1,0))*CROQUIS!$C$126),CHOOSE(IF(INT(($A110-1)/5)&gt;MAX((MIN(80,MAX(1,INT(((CROQUIS!$C$98)-CROQUIS!$C$107)/MAX(CROQUIS!$C$126,1))+1)))-1,0),0,MOD($A110-1,5))+1,0,2,CROQUIS!$C$97-2,2,0)))*CROQUIS!$C$155)+IF(CROQUIS!$C$92="X",0,0)),-1000)</f>
        <v>-1000</v>
      </c>
      <c r="BJ110">
        <f>IF(AND(CROQUIS!$C$88=1,CROQUIS!$C$134&gt;0),((CROQUIS!$C$156+(IF(CROQUIS!$C$92="X",((CROQUIS!$C$107/2+(((CROQUIS!$C$97)-CROQUIS!$C$107)-(MIN(80,MAX(1,INT(((CROQUIS!$C$97)-CROQUIS!$C$107)/MAX(CROQUIS!$C$134,1))+1))-1)*CROQUIS!$C$134)/2)+MIN(INT(($A110-1)/5),MAX((MIN(80,MAX(1,INT(((CROQUIS!$C$97)-CROQUIS!$C$107)/MAX(CROQUIS!$C$134,1))+1)))-1,0))*CROQUIS!$C$134),CHOOSE(IF(INT(($A110-1)/5)&gt;MAX((MIN(80,MAX(1,INT(((CROQUIS!$C$97)-CROQUIS!$C$107)/MAX(CROQUIS!$C$134,1))+1)))-1,0),0,MOD($A110-1,5))+1,0,2,CROQUIS!$C$98-2,2,0)))*CROQUIS!$C$155)+IF(CROQUIS!$C$92="X",0,0)),-1000)</f>
        <v>-1000</v>
      </c>
      <c r="BK110">
        <f>IF(AND(CROQUIS!$C$88=1,CROQUIS!$C$134&gt;0),((CROQUIS!$C$157+(IF(CROQUIS!$C$92="X",CHOOSE(IF(INT(($A110-1)/5)&gt;MAX((MIN(80,MAX(1,INT(((CROQUIS!$C$97)-CROQUIS!$C$107)/MAX(CROQUIS!$C$134,1))+1)))-1,0),0,MOD($A110-1,5))+1,0,2,CROQUIS!$C$98-2,2,0),((CROQUIS!$C$107/2+(((CROQUIS!$C$97)-CROQUIS!$C$107)-(MIN(80,MAX(1,INT(((CROQUIS!$C$97)-CROQUIS!$C$107)/MAX(CROQUIS!$C$134,1))+1))-1)*CROQUIS!$C$134)/2)+MIN(INT(($A110-1)/5),MAX((MIN(80,MAX(1,INT(((CROQUIS!$C$97)-CROQUIS!$C$107)/MAX(CROQUIS!$C$134,1))+1)))-1,0))*CROQUIS!$C$134)))*CROQUIS!$C$155)+IF(CROQUIS!$C$92="X",0,0)),-1000)</f>
        <v>-1000</v>
      </c>
      <c r="BL110">
        <f>IF(AND(CROQUIS!$C$88=1,CROQUIS!$C$91=0,CROQUIS!$C$130&gt;0,OR(CROQUIS!$C$103=1,CROQUIS!$C$142=1)),((CROQUIS!$C$156+(IF(CROQUIS!$C$92="X",CHOOSE(IF(INT(($A110-1)/5)&gt;MAX((MIN(80,MAX(1,INT(((CROQUIS!$C$98)-CROQUIS!$C$107)/MAX(CROQUIS!$C$130,1))+1)))-1,0),0,MOD($A110-1,5))+1,0,IF(CROQUIS!$C$103=1,-12,2),CROQUIS!$C$107/2+CROQUIS!$C$140,IF(CROQUIS!$C$103=1,-12,2),0),((CROQUIS!$C$107/2+(((CROQUIS!$C$98)-CROQUIS!$C$107)-(MIN(80,MAX(1,INT(((CROQUIS!$C$98)-CROQUIS!$C$107)/MAX(CROQUIS!$C$130,1))+1))-1)*CROQUIS!$C$130)/2)+MIN(INT(($A110-1)/5),MAX((MIN(80,MAX(1,INT(((CROQUIS!$C$98)-CROQUIS!$C$107)/MAX(CROQUIS!$C$130,1))+1)))-1,0))*CROQUIS!$C$130)))*CROQUIS!$C$155)+IF(CROQUIS!$C$92="X",0,0)),-1000)</f>
        <v>-1000</v>
      </c>
      <c r="BM11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110-1)/5),MAX((MIN(80,MAX(1,INT(((CROQUIS!$C$98)-CROQUIS!$C$107)/MAX(CROQUIS!$C$130,1))+1)))-1,0))*CROQUIS!$C$130),CHOOSE(IF(INT(($A110-1)/5)&gt;MAX((MIN(80,MAX(1,INT(((CROQUIS!$C$98)-CROQUIS!$C$107)/MAX(CROQUIS!$C$130,1))+1)))-1,0),0,MOD($A110-1,5))+1,0,IF(CROQUIS!$C$103=1,-12,2),CROQUIS!$C$107/2+CROQUIS!$C$140,IF(CROQUIS!$C$103=1,-12,2),0)))*CROQUIS!$C$155)+IF(CROQUIS!$C$92="X",0,0)),-1000)</f>
        <v>-1000</v>
      </c>
      <c r="BN110">
        <f>IF(AND(CROQUIS!$C$88=1,CROQUIS!$C$91=0,CROQUIS!$C$130&gt;0,OR(CROQUIS!$C$104=1,CROQUIS!$C$142=1)),((CROQUIS!$C$156+(IF(CROQUIS!$C$92="X",CHOOSE(IF(INT(($A110-1)/5)&gt;MAX((MIN(80,MAX(1,INT(((CROQUIS!$C$98)-CROQUIS!$C$107)/MAX(CROQUIS!$C$130,1))+1)))-1,0),0,MOD($A110-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110-1)/5),MAX((MIN(80,MAX(1,INT(((CROQUIS!$C$98)-CROQUIS!$C$107)/MAX(CROQUIS!$C$130,1))+1)))-1,0))*CROQUIS!$C$130)))*CROQUIS!$C$155)+IF(CROQUIS!$C$92="X",0,0)),-1000)</f>
        <v>-1000</v>
      </c>
      <c r="BO11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110-1)/5),MAX((MIN(80,MAX(1,INT(((CROQUIS!$C$98)-CROQUIS!$C$107)/MAX(CROQUIS!$C$130,1))+1)))-1,0))*CROQUIS!$C$130),CHOOSE(IF(INT(($A110-1)/5)&gt;MAX((MIN(80,MAX(1,INT(((CROQUIS!$C$98)-CROQUIS!$C$107)/MAX(CROQUIS!$C$130,1))+1)))-1,0),0,MOD($A110-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1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110-1)/5),MAX((MIN(80,MAX(1,INT(((CROQUIS!$C$97)-CROQUIS!$C$107)/MAX(CROQUIS!$C$138,1))+1)))-1,0))*CROQUIS!$C$138),CHOOSE(IF(INT(($A110-1)/5)&gt;MAX((MIN(80,MAX(1,INT(((CROQUIS!$C$97)-CROQUIS!$C$107)/MAX(CROQUIS!$C$138,1))+1)))-1,0),0,MOD($A110-1,5))+1,0,IF(CROQUIS!$C$105=1,-12,2),CROQUIS!$C$107/2+CROQUIS!$C$141,IF(CROQUIS!$C$105=1,-12,2),0)))*CROQUIS!$C$155)+IF(CROQUIS!$C$92="X",0,0)),-1000)</f>
        <v>-1000</v>
      </c>
      <c r="BQ110">
        <f>IF(AND(CROQUIS!$C$88=1,CROQUIS!$C$91=0,CROQUIS!$C$138&gt;0,OR(CROQUIS!$C$105=1,CROQUIS!$C$143=1)),((CROQUIS!$C$157+(IF(CROQUIS!$C$92="X",CHOOSE(IF(INT(($A110-1)/5)&gt;MAX((MIN(80,MAX(1,INT(((CROQUIS!$C$97)-CROQUIS!$C$107)/MAX(CROQUIS!$C$138,1))+1)))-1,0),0,MOD($A110-1,5))+1,0,IF(CROQUIS!$C$105=1,-12,2),CROQUIS!$C$107/2+CROQUIS!$C$141,IF(CROQUIS!$C$105=1,-12,2),0),((CROQUIS!$C$107/2+(((CROQUIS!$C$97)-CROQUIS!$C$107)-(MIN(80,MAX(1,INT(((CROQUIS!$C$97)-CROQUIS!$C$107)/MAX(CROQUIS!$C$138,1))+1))-1)*CROQUIS!$C$138)/2)+MIN(INT(($A110-1)/5),MAX((MIN(80,MAX(1,INT(((CROQUIS!$C$97)-CROQUIS!$C$107)/MAX(CROQUIS!$C$138,1))+1)))-1,0))*CROQUIS!$C$138)))*CROQUIS!$C$155)+IF(CROQUIS!$C$92="X",0,0)),-1000)</f>
        <v>-1000</v>
      </c>
      <c r="BR11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110-1)/5),MAX((MIN(80,MAX(1,INT(((CROQUIS!$C$97)-CROQUIS!$C$107)/MAX(CROQUIS!$C$138,1))+1)))-1,0))*CROQUIS!$C$138),CHOOSE(IF(INT(($A110-1)/5)&gt;MAX((MIN(80,MAX(1,INT(((CROQUIS!$C$97)-CROQUIS!$C$107)/MAX(CROQUIS!$C$138,1))+1)))-1,0),0,MOD($A110-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10">
        <f>IF(AND(CROQUIS!$C$88=1,CROQUIS!$C$91=0,CROQUIS!$C$138&gt;0,OR(CROQUIS!$C$106=1,CROQUIS!$C$143=1)),((CROQUIS!$C$157+(IF(CROQUIS!$C$92="X",CHOOSE(IF(INT(($A110-1)/5)&gt;MAX((MIN(80,MAX(1,INT(((CROQUIS!$C$97)-CROQUIS!$C$107)/MAX(CROQUIS!$C$138,1))+1)))-1,0),0,MOD($A110-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110-1)/5),MAX((MIN(80,MAX(1,INT(((CROQUIS!$C$97)-CROQUIS!$C$107)/MAX(CROQUIS!$C$138,1))+1)))-1,0))*CROQUIS!$C$138)))*CROQUIS!$C$155)+IF(CROQUIS!$C$92="X",0,0)),-1000)</f>
        <v>-1000</v>
      </c>
      <c r="BT110">
        <f>IF(AND(CROQUIS!$C$88=1,CROQUIS!$C$91=1,CROQUIS!$C$130&gt;0),((CROQUIS!$C$156+(IF(CROQUIS!$C$92="X",CHOOSE(IF(INT(($A110-1)/5)&gt;MAX((MIN(80,MAX(1,INT(((CROQUIS!$C$98)-CROQUIS!$C$107)/MAX(CROQUIS!$C$130,1))+1)))-1,0),0,MOD($A110-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110-1)/5),MAX((MIN(80,MAX(1,INT(((CROQUIS!$C$98)-CROQUIS!$C$107)/MAX(CROQUIS!$C$130,1))+1)))-1,0))*CROQUIS!$C$130)))*CROQUIS!$C$155)+IF(CROQUIS!$C$92="X",0,0)),-1000)</f>
        <v>-1000</v>
      </c>
      <c r="BU110">
        <f>IF(AND(CROQUIS!$C$88=1,CROQUIS!$C$91=1,CROQUIS!$C$130&gt;0),((CROQUIS!$C$157+(IF(CROQUIS!$C$92="X",((CROQUIS!$C$107/2+(((CROQUIS!$C$98)-CROQUIS!$C$107)-(MIN(80,MAX(1,INT(((CROQUIS!$C$98)-CROQUIS!$C$107)/MAX(CROQUIS!$C$130,1))+1))-1)*CROQUIS!$C$130)/2)+MIN(INT(($A110-1)/5),MAX((MIN(80,MAX(1,INT(((CROQUIS!$C$98)-CROQUIS!$C$107)/MAX(CROQUIS!$C$130,1))+1)))-1,0))*CROQUIS!$C$130),CHOOSE(IF(INT(($A110-1)/5)&gt;MAX((MIN(80,MAX(1,INT(((CROQUIS!$C$98)-CROQUIS!$C$107)/MAX(CROQUIS!$C$130,1))+1)))-1,0),0,MOD($A110-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11">
      <c r="A111" t="n">
        <v>104</v>
      </c>
      <c r="BH111">
        <f>IF(AND(CROQUIS!$C$88=1,CROQUIS!$C$126&gt;0),((CROQUIS!$C$156+(IF(CROQUIS!$C$92="X",CHOOSE(IF(INT(($A111-1)/5)&gt;MAX((MIN(80,MAX(1,INT(((CROQUIS!$C$98)-CROQUIS!$C$107)/MAX(CROQUIS!$C$126,1))+1)))-1,0),0,MOD($A111-1,5))+1,0,2,CROQUIS!$C$97-2,2,0),((CROQUIS!$C$107/2+(((CROQUIS!$C$98)-CROQUIS!$C$107)-(MIN(80,MAX(1,INT(((CROQUIS!$C$98)-CROQUIS!$C$107)/MAX(CROQUIS!$C$126,1))+1))-1)*CROQUIS!$C$126)/2)+MIN(INT(($A111-1)/5),MAX((MIN(80,MAX(1,INT(((CROQUIS!$C$98)-CROQUIS!$C$107)/MAX(CROQUIS!$C$126,1))+1)))-1,0))*CROQUIS!$C$126)))*CROQUIS!$C$155)+IF(CROQUIS!$C$92="X",0,0)),-1000)</f>
        <v>-1000</v>
      </c>
      <c r="BI111">
        <f>IF(AND(CROQUIS!$C$88=1,CROQUIS!$C$126&gt;0),((CROQUIS!$C$157+(IF(CROQUIS!$C$92="X",((CROQUIS!$C$107/2+(((CROQUIS!$C$98)-CROQUIS!$C$107)-(MIN(80,MAX(1,INT(((CROQUIS!$C$98)-CROQUIS!$C$107)/MAX(CROQUIS!$C$126,1))+1))-1)*CROQUIS!$C$126)/2)+MIN(INT(($A111-1)/5),MAX((MIN(80,MAX(1,INT(((CROQUIS!$C$98)-CROQUIS!$C$107)/MAX(CROQUIS!$C$126,1))+1)))-1,0))*CROQUIS!$C$126),CHOOSE(IF(INT(($A111-1)/5)&gt;MAX((MIN(80,MAX(1,INT(((CROQUIS!$C$98)-CROQUIS!$C$107)/MAX(CROQUIS!$C$126,1))+1)))-1,0),0,MOD($A111-1,5))+1,0,2,CROQUIS!$C$97-2,2,0)))*CROQUIS!$C$155)+IF(CROQUIS!$C$92="X",0,0)),-1000)</f>
        <v>-1000</v>
      </c>
      <c r="BJ111">
        <f>IF(AND(CROQUIS!$C$88=1,CROQUIS!$C$134&gt;0),((CROQUIS!$C$156+(IF(CROQUIS!$C$92="X",((CROQUIS!$C$107/2+(((CROQUIS!$C$97)-CROQUIS!$C$107)-(MIN(80,MAX(1,INT(((CROQUIS!$C$97)-CROQUIS!$C$107)/MAX(CROQUIS!$C$134,1))+1))-1)*CROQUIS!$C$134)/2)+MIN(INT(($A111-1)/5),MAX((MIN(80,MAX(1,INT(((CROQUIS!$C$97)-CROQUIS!$C$107)/MAX(CROQUIS!$C$134,1))+1)))-1,0))*CROQUIS!$C$134),CHOOSE(IF(INT(($A111-1)/5)&gt;MAX((MIN(80,MAX(1,INT(((CROQUIS!$C$97)-CROQUIS!$C$107)/MAX(CROQUIS!$C$134,1))+1)))-1,0),0,MOD($A111-1,5))+1,0,2,CROQUIS!$C$98-2,2,0)))*CROQUIS!$C$155)+IF(CROQUIS!$C$92="X",0,0)),-1000)</f>
        <v>-1000</v>
      </c>
      <c r="BK111">
        <f>IF(AND(CROQUIS!$C$88=1,CROQUIS!$C$134&gt;0),((CROQUIS!$C$157+(IF(CROQUIS!$C$92="X",CHOOSE(IF(INT(($A111-1)/5)&gt;MAX((MIN(80,MAX(1,INT(((CROQUIS!$C$97)-CROQUIS!$C$107)/MAX(CROQUIS!$C$134,1))+1)))-1,0),0,MOD($A111-1,5))+1,0,2,CROQUIS!$C$98-2,2,0),((CROQUIS!$C$107/2+(((CROQUIS!$C$97)-CROQUIS!$C$107)-(MIN(80,MAX(1,INT(((CROQUIS!$C$97)-CROQUIS!$C$107)/MAX(CROQUIS!$C$134,1))+1))-1)*CROQUIS!$C$134)/2)+MIN(INT(($A111-1)/5),MAX((MIN(80,MAX(1,INT(((CROQUIS!$C$97)-CROQUIS!$C$107)/MAX(CROQUIS!$C$134,1))+1)))-1,0))*CROQUIS!$C$134)))*CROQUIS!$C$155)+IF(CROQUIS!$C$92="X",0,0)),-1000)</f>
        <v>-1000</v>
      </c>
      <c r="BL111">
        <f>IF(AND(CROQUIS!$C$88=1,CROQUIS!$C$91=0,CROQUIS!$C$130&gt;0,OR(CROQUIS!$C$103=1,CROQUIS!$C$142=1)),((CROQUIS!$C$156+(IF(CROQUIS!$C$92="X",CHOOSE(IF(INT(($A111-1)/5)&gt;MAX((MIN(80,MAX(1,INT(((CROQUIS!$C$98)-CROQUIS!$C$107)/MAX(CROQUIS!$C$130,1))+1)))-1,0),0,MOD($A111-1,5))+1,0,IF(CROQUIS!$C$103=1,-12,2),CROQUIS!$C$107/2+CROQUIS!$C$140,IF(CROQUIS!$C$103=1,-12,2),0),((CROQUIS!$C$107/2+(((CROQUIS!$C$98)-CROQUIS!$C$107)-(MIN(80,MAX(1,INT(((CROQUIS!$C$98)-CROQUIS!$C$107)/MAX(CROQUIS!$C$130,1))+1))-1)*CROQUIS!$C$130)/2)+MIN(INT(($A111-1)/5),MAX((MIN(80,MAX(1,INT(((CROQUIS!$C$98)-CROQUIS!$C$107)/MAX(CROQUIS!$C$130,1))+1)))-1,0))*CROQUIS!$C$130)))*CROQUIS!$C$155)+IF(CROQUIS!$C$92="X",0,0)),-1000)</f>
        <v>-1000</v>
      </c>
      <c r="BM11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111-1)/5),MAX((MIN(80,MAX(1,INT(((CROQUIS!$C$98)-CROQUIS!$C$107)/MAX(CROQUIS!$C$130,1))+1)))-1,0))*CROQUIS!$C$130),CHOOSE(IF(INT(($A111-1)/5)&gt;MAX((MIN(80,MAX(1,INT(((CROQUIS!$C$98)-CROQUIS!$C$107)/MAX(CROQUIS!$C$130,1))+1)))-1,0),0,MOD($A111-1,5))+1,0,IF(CROQUIS!$C$103=1,-12,2),CROQUIS!$C$107/2+CROQUIS!$C$140,IF(CROQUIS!$C$103=1,-12,2),0)))*CROQUIS!$C$155)+IF(CROQUIS!$C$92="X",0,0)),-1000)</f>
        <v>-1000</v>
      </c>
      <c r="BN111">
        <f>IF(AND(CROQUIS!$C$88=1,CROQUIS!$C$91=0,CROQUIS!$C$130&gt;0,OR(CROQUIS!$C$104=1,CROQUIS!$C$142=1)),((CROQUIS!$C$156+(IF(CROQUIS!$C$92="X",CHOOSE(IF(INT(($A111-1)/5)&gt;MAX((MIN(80,MAX(1,INT(((CROQUIS!$C$98)-CROQUIS!$C$107)/MAX(CROQUIS!$C$130,1))+1)))-1,0),0,MOD($A111-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111-1)/5),MAX((MIN(80,MAX(1,INT(((CROQUIS!$C$98)-CROQUIS!$C$107)/MAX(CROQUIS!$C$130,1))+1)))-1,0))*CROQUIS!$C$130)))*CROQUIS!$C$155)+IF(CROQUIS!$C$92="X",0,0)),-1000)</f>
        <v>-1000</v>
      </c>
      <c r="BO11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111-1)/5),MAX((MIN(80,MAX(1,INT(((CROQUIS!$C$98)-CROQUIS!$C$107)/MAX(CROQUIS!$C$130,1))+1)))-1,0))*CROQUIS!$C$130),CHOOSE(IF(INT(($A111-1)/5)&gt;MAX((MIN(80,MAX(1,INT(((CROQUIS!$C$98)-CROQUIS!$C$107)/MAX(CROQUIS!$C$130,1))+1)))-1,0),0,MOD($A111-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1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111-1)/5),MAX((MIN(80,MAX(1,INT(((CROQUIS!$C$97)-CROQUIS!$C$107)/MAX(CROQUIS!$C$138,1))+1)))-1,0))*CROQUIS!$C$138),CHOOSE(IF(INT(($A111-1)/5)&gt;MAX((MIN(80,MAX(1,INT(((CROQUIS!$C$97)-CROQUIS!$C$107)/MAX(CROQUIS!$C$138,1))+1)))-1,0),0,MOD($A111-1,5))+1,0,IF(CROQUIS!$C$105=1,-12,2),CROQUIS!$C$107/2+CROQUIS!$C$141,IF(CROQUIS!$C$105=1,-12,2),0)))*CROQUIS!$C$155)+IF(CROQUIS!$C$92="X",0,0)),-1000)</f>
        <v>-1000</v>
      </c>
      <c r="BQ111">
        <f>IF(AND(CROQUIS!$C$88=1,CROQUIS!$C$91=0,CROQUIS!$C$138&gt;0,OR(CROQUIS!$C$105=1,CROQUIS!$C$143=1)),((CROQUIS!$C$157+(IF(CROQUIS!$C$92="X",CHOOSE(IF(INT(($A111-1)/5)&gt;MAX((MIN(80,MAX(1,INT(((CROQUIS!$C$97)-CROQUIS!$C$107)/MAX(CROQUIS!$C$138,1))+1)))-1,0),0,MOD($A111-1,5))+1,0,IF(CROQUIS!$C$105=1,-12,2),CROQUIS!$C$107/2+CROQUIS!$C$141,IF(CROQUIS!$C$105=1,-12,2),0),((CROQUIS!$C$107/2+(((CROQUIS!$C$97)-CROQUIS!$C$107)-(MIN(80,MAX(1,INT(((CROQUIS!$C$97)-CROQUIS!$C$107)/MAX(CROQUIS!$C$138,1))+1))-1)*CROQUIS!$C$138)/2)+MIN(INT(($A111-1)/5),MAX((MIN(80,MAX(1,INT(((CROQUIS!$C$97)-CROQUIS!$C$107)/MAX(CROQUIS!$C$138,1))+1)))-1,0))*CROQUIS!$C$138)))*CROQUIS!$C$155)+IF(CROQUIS!$C$92="X",0,0)),-1000)</f>
        <v>-1000</v>
      </c>
      <c r="BR11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111-1)/5),MAX((MIN(80,MAX(1,INT(((CROQUIS!$C$97)-CROQUIS!$C$107)/MAX(CROQUIS!$C$138,1))+1)))-1,0))*CROQUIS!$C$138),CHOOSE(IF(INT(($A111-1)/5)&gt;MAX((MIN(80,MAX(1,INT(((CROQUIS!$C$97)-CROQUIS!$C$107)/MAX(CROQUIS!$C$138,1))+1)))-1,0),0,MOD($A111-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11">
        <f>IF(AND(CROQUIS!$C$88=1,CROQUIS!$C$91=0,CROQUIS!$C$138&gt;0,OR(CROQUIS!$C$106=1,CROQUIS!$C$143=1)),((CROQUIS!$C$157+(IF(CROQUIS!$C$92="X",CHOOSE(IF(INT(($A111-1)/5)&gt;MAX((MIN(80,MAX(1,INT(((CROQUIS!$C$97)-CROQUIS!$C$107)/MAX(CROQUIS!$C$138,1))+1)))-1,0),0,MOD($A111-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111-1)/5),MAX((MIN(80,MAX(1,INT(((CROQUIS!$C$97)-CROQUIS!$C$107)/MAX(CROQUIS!$C$138,1))+1)))-1,0))*CROQUIS!$C$138)))*CROQUIS!$C$155)+IF(CROQUIS!$C$92="X",0,0)),-1000)</f>
        <v>-1000</v>
      </c>
      <c r="BT111">
        <f>IF(AND(CROQUIS!$C$88=1,CROQUIS!$C$91=1,CROQUIS!$C$130&gt;0),((CROQUIS!$C$156+(IF(CROQUIS!$C$92="X",CHOOSE(IF(INT(($A111-1)/5)&gt;MAX((MIN(80,MAX(1,INT(((CROQUIS!$C$98)-CROQUIS!$C$107)/MAX(CROQUIS!$C$130,1))+1)))-1,0),0,MOD($A111-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111-1)/5),MAX((MIN(80,MAX(1,INT(((CROQUIS!$C$98)-CROQUIS!$C$107)/MAX(CROQUIS!$C$130,1))+1)))-1,0))*CROQUIS!$C$130)))*CROQUIS!$C$155)+IF(CROQUIS!$C$92="X",0,0)),-1000)</f>
        <v>-1000</v>
      </c>
      <c r="BU111">
        <f>IF(AND(CROQUIS!$C$88=1,CROQUIS!$C$91=1,CROQUIS!$C$130&gt;0),((CROQUIS!$C$157+(IF(CROQUIS!$C$92="X",((CROQUIS!$C$107/2+(((CROQUIS!$C$98)-CROQUIS!$C$107)-(MIN(80,MAX(1,INT(((CROQUIS!$C$98)-CROQUIS!$C$107)/MAX(CROQUIS!$C$130,1))+1))-1)*CROQUIS!$C$130)/2)+MIN(INT(($A111-1)/5),MAX((MIN(80,MAX(1,INT(((CROQUIS!$C$98)-CROQUIS!$C$107)/MAX(CROQUIS!$C$130,1))+1)))-1,0))*CROQUIS!$C$130),CHOOSE(IF(INT(($A111-1)/5)&gt;MAX((MIN(80,MAX(1,INT(((CROQUIS!$C$98)-CROQUIS!$C$107)/MAX(CROQUIS!$C$130,1))+1)))-1,0),0,MOD($A111-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12">
      <c r="A112" t="n">
        <v>105</v>
      </c>
      <c r="BH112">
        <f>IF(AND(CROQUIS!$C$88=1,CROQUIS!$C$126&gt;0),((CROQUIS!$C$156+(IF(CROQUIS!$C$92="X",CHOOSE(IF(INT(($A112-1)/5)&gt;MAX((MIN(80,MAX(1,INT(((CROQUIS!$C$98)-CROQUIS!$C$107)/MAX(CROQUIS!$C$126,1))+1)))-1,0),0,MOD($A112-1,5))+1,0,2,CROQUIS!$C$97-2,2,0),((CROQUIS!$C$107/2+(((CROQUIS!$C$98)-CROQUIS!$C$107)-(MIN(80,MAX(1,INT(((CROQUIS!$C$98)-CROQUIS!$C$107)/MAX(CROQUIS!$C$126,1))+1))-1)*CROQUIS!$C$126)/2)+MIN(INT(($A112-1)/5),MAX((MIN(80,MAX(1,INT(((CROQUIS!$C$98)-CROQUIS!$C$107)/MAX(CROQUIS!$C$126,1))+1)))-1,0))*CROQUIS!$C$126)))*CROQUIS!$C$155)+IF(CROQUIS!$C$92="X",0,0)),-1000)</f>
        <v>-1000</v>
      </c>
      <c r="BI112">
        <f>IF(AND(CROQUIS!$C$88=1,CROQUIS!$C$126&gt;0),((CROQUIS!$C$157+(IF(CROQUIS!$C$92="X",((CROQUIS!$C$107/2+(((CROQUIS!$C$98)-CROQUIS!$C$107)-(MIN(80,MAX(1,INT(((CROQUIS!$C$98)-CROQUIS!$C$107)/MAX(CROQUIS!$C$126,1))+1))-1)*CROQUIS!$C$126)/2)+MIN(INT(($A112-1)/5),MAX((MIN(80,MAX(1,INT(((CROQUIS!$C$98)-CROQUIS!$C$107)/MAX(CROQUIS!$C$126,1))+1)))-1,0))*CROQUIS!$C$126),CHOOSE(IF(INT(($A112-1)/5)&gt;MAX((MIN(80,MAX(1,INT(((CROQUIS!$C$98)-CROQUIS!$C$107)/MAX(CROQUIS!$C$126,1))+1)))-1,0),0,MOD($A112-1,5))+1,0,2,CROQUIS!$C$97-2,2,0)))*CROQUIS!$C$155)+IF(CROQUIS!$C$92="X",0,0)),-1000)</f>
        <v>-1000</v>
      </c>
      <c r="BJ112">
        <f>IF(AND(CROQUIS!$C$88=1,CROQUIS!$C$134&gt;0),((CROQUIS!$C$156+(IF(CROQUIS!$C$92="X",((CROQUIS!$C$107/2+(((CROQUIS!$C$97)-CROQUIS!$C$107)-(MIN(80,MAX(1,INT(((CROQUIS!$C$97)-CROQUIS!$C$107)/MAX(CROQUIS!$C$134,1))+1))-1)*CROQUIS!$C$134)/2)+MIN(INT(($A112-1)/5),MAX((MIN(80,MAX(1,INT(((CROQUIS!$C$97)-CROQUIS!$C$107)/MAX(CROQUIS!$C$134,1))+1)))-1,0))*CROQUIS!$C$134),CHOOSE(IF(INT(($A112-1)/5)&gt;MAX((MIN(80,MAX(1,INT(((CROQUIS!$C$97)-CROQUIS!$C$107)/MAX(CROQUIS!$C$134,1))+1)))-1,0),0,MOD($A112-1,5))+1,0,2,CROQUIS!$C$98-2,2,0)))*CROQUIS!$C$155)+IF(CROQUIS!$C$92="X",0,0)),-1000)</f>
        <v>-1000</v>
      </c>
      <c r="BK112">
        <f>IF(AND(CROQUIS!$C$88=1,CROQUIS!$C$134&gt;0),((CROQUIS!$C$157+(IF(CROQUIS!$C$92="X",CHOOSE(IF(INT(($A112-1)/5)&gt;MAX((MIN(80,MAX(1,INT(((CROQUIS!$C$97)-CROQUIS!$C$107)/MAX(CROQUIS!$C$134,1))+1)))-1,0),0,MOD($A112-1,5))+1,0,2,CROQUIS!$C$98-2,2,0),((CROQUIS!$C$107/2+(((CROQUIS!$C$97)-CROQUIS!$C$107)-(MIN(80,MAX(1,INT(((CROQUIS!$C$97)-CROQUIS!$C$107)/MAX(CROQUIS!$C$134,1))+1))-1)*CROQUIS!$C$134)/2)+MIN(INT(($A112-1)/5),MAX((MIN(80,MAX(1,INT(((CROQUIS!$C$97)-CROQUIS!$C$107)/MAX(CROQUIS!$C$134,1))+1)))-1,0))*CROQUIS!$C$134)))*CROQUIS!$C$155)+IF(CROQUIS!$C$92="X",0,0)),-1000)</f>
        <v>-1000</v>
      </c>
      <c r="BL112">
        <f>IF(AND(CROQUIS!$C$88=1,CROQUIS!$C$91=0,CROQUIS!$C$130&gt;0,OR(CROQUIS!$C$103=1,CROQUIS!$C$142=1)),((CROQUIS!$C$156+(IF(CROQUIS!$C$92="X",CHOOSE(IF(INT(($A112-1)/5)&gt;MAX((MIN(80,MAX(1,INT(((CROQUIS!$C$98)-CROQUIS!$C$107)/MAX(CROQUIS!$C$130,1))+1)))-1,0),0,MOD($A112-1,5))+1,0,IF(CROQUIS!$C$103=1,-12,2),CROQUIS!$C$107/2+CROQUIS!$C$140,IF(CROQUIS!$C$103=1,-12,2),0),((CROQUIS!$C$107/2+(((CROQUIS!$C$98)-CROQUIS!$C$107)-(MIN(80,MAX(1,INT(((CROQUIS!$C$98)-CROQUIS!$C$107)/MAX(CROQUIS!$C$130,1))+1))-1)*CROQUIS!$C$130)/2)+MIN(INT(($A112-1)/5),MAX((MIN(80,MAX(1,INT(((CROQUIS!$C$98)-CROQUIS!$C$107)/MAX(CROQUIS!$C$130,1))+1)))-1,0))*CROQUIS!$C$130)))*CROQUIS!$C$155)+IF(CROQUIS!$C$92="X",0,0)),-1000)</f>
        <v>-1000</v>
      </c>
      <c r="BM11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112-1)/5),MAX((MIN(80,MAX(1,INT(((CROQUIS!$C$98)-CROQUIS!$C$107)/MAX(CROQUIS!$C$130,1))+1)))-1,0))*CROQUIS!$C$130),CHOOSE(IF(INT(($A112-1)/5)&gt;MAX((MIN(80,MAX(1,INT(((CROQUIS!$C$98)-CROQUIS!$C$107)/MAX(CROQUIS!$C$130,1))+1)))-1,0),0,MOD($A112-1,5))+1,0,IF(CROQUIS!$C$103=1,-12,2),CROQUIS!$C$107/2+CROQUIS!$C$140,IF(CROQUIS!$C$103=1,-12,2),0)))*CROQUIS!$C$155)+IF(CROQUIS!$C$92="X",0,0)),-1000)</f>
        <v>-1000</v>
      </c>
      <c r="BN112">
        <f>IF(AND(CROQUIS!$C$88=1,CROQUIS!$C$91=0,CROQUIS!$C$130&gt;0,OR(CROQUIS!$C$104=1,CROQUIS!$C$142=1)),((CROQUIS!$C$156+(IF(CROQUIS!$C$92="X",CHOOSE(IF(INT(($A112-1)/5)&gt;MAX((MIN(80,MAX(1,INT(((CROQUIS!$C$98)-CROQUIS!$C$107)/MAX(CROQUIS!$C$130,1))+1)))-1,0),0,MOD($A112-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112-1)/5),MAX((MIN(80,MAX(1,INT(((CROQUIS!$C$98)-CROQUIS!$C$107)/MAX(CROQUIS!$C$130,1))+1)))-1,0))*CROQUIS!$C$130)))*CROQUIS!$C$155)+IF(CROQUIS!$C$92="X",0,0)),-1000)</f>
        <v>-1000</v>
      </c>
      <c r="BO11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112-1)/5),MAX((MIN(80,MAX(1,INT(((CROQUIS!$C$98)-CROQUIS!$C$107)/MAX(CROQUIS!$C$130,1))+1)))-1,0))*CROQUIS!$C$130),CHOOSE(IF(INT(($A112-1)/5)&gt;MAX((MIN(80,MAX(1,INT(((CROQUIS!$C$98)-CROQUIS!$C$107)/MAX(CROQUIS!$C$130,1))+1)))-1,0),0,MOD($A112-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1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112-1)/5),MAX((MIN(80,MAX(1,INT(((CROQUIS!$C$97)-CROQUIS!$C$107)/MAX(CROQUIS!$C$138,1))+1)))-1,0))*CROQUIS!$C$138),CHOOSE(IF(INT(($A112-1)/5)&gt;MAX((MIN(80,MAX(1,INT(((CROQUIS!$C$97)-CROQUIS!$C$107)/MAX(CROQUIS!$C$138,1))+1)))-1,0),0,MOD($A112-1,5))+1,0,IF(CROQUIS!$C$105=1,-12,2),CROQUIS!$C$107/2+CROQUIS!$C$141,IF(CROQUIS!$C$105=1,-12,2),0)))*CROQUIS!$C$155)+IF(CROQUIS!$C$92="X",0,0)),-1000)</f>
        <v>-1000</v>
      </c>
      <c r="BQ112">
        <f>IF(AND(CROQUIS!$C$88=1,CROQUIS!$C$91=0,CROQUIS!$C$138&gt;0,OR(CROQUIS!$C$105=1,CROQUIS!$C$143=1)),((CROQUIS!$C$157+(IF(CROQUIS!$C$92="X",CHOOSE(IF(INT(($A112-1)/5)&gt;MAX((MIN(80,MAX(1,INT(((CROQUIS!$C$97)-CROQUIS!$C$107)/MAX(CROQUIS!$C$138,1))+1)))-1,0),0,MOD($A112-1,5))+1,0,IF(CROQUIS!$C$105=1,-12,2),CROQUIS!$C$107/2+CROQUIS!$C$141,IF(CROQUIS!$C$105=1,-12,2),0),((CROQUIS!$C$107/2+(((CROQUIS!$C$97)-CROQUIS!$C$107)-(MIN(80,MAX(1,INT(((CROQUIS!$C$97)-CROQUIS!$C$107)/MAX(CROQUIS!$C$138,1))+1))-1)*CROQUIS!$C$138)/2)+MIN(INT(($A112-1)/5),MAX((MIN(80,MAX(1,INT(((CROQUIS!$C$97)-CROQUIS!$C$107)/MAX(CROQUIS!$C$138,1))+1)))-1,0))*CROQUIS!$C$138)))*CROQUIS!$C$155)+IF(CROQUIS!$C$92="X",0,0)),-1000)</f>
        <v>-1000</v>
      </c>
      <c r="BR11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112-1)/5),MAX((MIN(80,MAX(1,INT(((CROQUIS!$C$97)-CROQUIS!$C$107)/MAX(CROQUIS!$C$138,1))+1)))-1,0))*CROQUIS!$C$138),CHOOSE(IF(INT(($A112-1)/5)&gt;MAX((MIN(80,MAX(1,INT(((CROQUIS!$C$97)-CROQUIS!$C$107)/MAX(CROQUIS!$C$138,1))+1)))-1,0),0,MOD($A112-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12">
        <f>IF(AND(CROQUIS!$C$88=1,CROQUIS!$C$91=0,CROQUIS!$C$138&gt;0,OR(CROQUIS!$C$106=1,CROQUIS!$C$143=1)),((CROQUIS!$C$157+(IF(CROQUIS!$C$92="X",CHOOSE(IF(INT(($A112-1)/5)&gt;MAX((MIN(80,MAX(1,INT(((CROQUIS!$C$97)-CROQUIS!$C$107)/MAX(CROQUIS!$C$138,1))+1)))-1,0),0,MOD($A112-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112-1)/5),MAX((MIN(80,MAX(1,INT(((CROQUIS!$C$97)-CROQUIS!$C$107)/MAX(CROQUIS!$C$138,1))+1)))-1,0))*CROQUIS!$C$138)))*CROQUIS!$C$155)+IF(CROQUIS!$C$92="X",0,0)),-1000)</f>
        <v>-1000</v>
      </c>
      <c r="BT112">
        <f>IF(AND(CROQUIS!$C$88=1,CROQUIS!$C$91=1,CROQUIS!$C$130&gt;0),((CROQUIS!$C$156+(IF(CROQUIS!$C$92="X",CHOOSE(IF(INT(($A112-1)/5)&gt;MAX((MIN(80,MAX(1,INT(((CROQUIS!$C$98)-CROQUIS!$C$107)/MAX(CROQUIS!$C$130,1))+1)))-1,0),0,MOD($A112-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112-1)/5),MAX((MIN(80,MAX(1,INT(((CROQUIS!$C$98)-CROQUIS!$C$107)/MAX(CROQUIS!$C$130,1))+1)))-1,0))*CROQUIS!$C$130)))*CROQUIS!$C$155)+IF(CROQUIS!$C$92="X",0,0)),-1000)</f>
        <v>-1000</v>
      </c>
      <c r="BU112">
        <f>IF(AND(CROQUIS!$C$88=1,CROQUIS!$C$91=1,CROQUIS!$C$130&gt;0),((CROQUIS!$C$157+(IF(CROQUIS!$C$92="X",((CROQUIS!$C$107/2+(((CROQUIS!$C$98)-CROQUIS!$C$107)-(MIN(80,MAX(1,INT(((CROQUIS!$C$98)-CROQUIS!$C$107)/MAX(CROQUIS!$C$130,1))+1))-1)*CROQUIS!$C$130)/2)+MIN(INT(($A112-1)/5),MAX((MIN(80,MAX(1,INT(((CROQUIS!$C$98)-CROQUIS!$C$107)/MAX(CROQUIS!$C$130,1))+1)))-1,0))*CROQUIS!$C$130),CHOOSE(IF(INT(($A112-1)/5)&gt;MAX((MIN(80,MAX(1,INT(((CROQUIS!$C$98)-CROQUIS!$C$107)/MAX(CROQUIS!$C$130,1))+1)))-1,0),0,MOD($A112-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13">
      <c r="A113" t="n">
        <v>106</v>
      </c>
      <c r="BH113">
        <f>IF(AND(CROQUIS!$C$88=1,CROQUIS!$C$126&gt;0),((CROQUIS!$C$156+(IF(CROQUIS!$C$92="X",CHOOSE(IF(INT(($A113-1)/5)&gt;MAX((MIN(80,MAX(1,INT(((CROQUIS!$C$98)-CROQUIS!$C$107)/MAX(CROQUIS!$C$126,1))+1)))-1,0),0,MOD($A113-1,5))+1,0,2,CROQUIS!$C$97-2,2,0),((CROQUIS!$C$107/2+(((CROQUIS!$C$98)-CROQUIS!$C$107)-(MIN(80,MAX(1,INT(((CROQUIS!$C$98)-CROQUIS!$C$107)/MAX(CROQUIS!$C$126,1))+1))-1)*CROQUIS!$C$126)/2)+MIN(INT(($A113-1)/5),MAX((MIN(80,MAX(1,INT(((CROQUIS!$C$98)-CROQUIS!$C$107)/MAX(CROQUIS!$C$126,1))+1)))-1,0))*CROQUIS!$C$126)))*CROQUIS!$C$155)+IF(CROQUIS!$C$92="X",0,0)),-1000)</f>
        <v>-1000</v>
      </c>
      <c r="BI113">
        <f>IF(AND(CROQUIS!$C$88=1,CROQUIS!$C$126&gt;0),((CROQUIS!$C$157+(IF(CROQUIS!$C$92="X",((CROQUIS!$C$107/2+(((CROQUIS!$C$98)-CROQUIS!$C$107)-(MIN(80,MAX(1,INT(((CROQUIS!$C$98)-CROQUIS!$C$107)/MAX(CROQUIS!$C$126,1))+1))-1)*CROQUIS!$C$126)/2)+MIN(INT(($A113-1)/5),MAX((MIN(80,MAX(1,INT(((CROQUIS!$C$98)-CROQUIS!$C$107)/MAX(CROQUIS!$C$126,1))+1)))-1,0))*CROQUIS!$C$126),CHOOSE(IF(INT(($A113-1)/5)&gt;MAX((MIN(80,MAX(1,INT(((CROQUIS!$C$98)-CROQUIS!$C$107)/MAX(CROQUIS!$C$126,1))+1)))-1,0),0,MOD($A113-1,5))+1,0,2,CROQUIS!$C$97-2,2,0)))*CROQUIS!$C$155)+IF(CROQUIS!$C$92="X",0,0)),-1000)</f>
        <v>-1000</v>
      </c>
      <c r="BJ113">
        <f>IF(AND(CROQUIS!$C$88=1,CROQUIS!$C$134&gt;0),((CROQUIS!$C$156+(IF(CROQUIS!$C$92="X",((CROQUIS!$C$107/2+(((CROQUIS!$C$97)-CROQUIS!$C$107)-(MIN(80,MAX(1,INT(((CROQUIS!$C$97)-CROQUIS!$C$107)/MAX(CROQUIS!$C$134,1))+1))-1)*CROQUIS!$C$134)/2)+MIN(INT(($A113-1)/5),MAX((MIN(80,MAX(1,INT(((CROQUIS!$C$97)-CROQUIS!$C$107)/MAX(CROQUIS!$C$134,1))+1)))-1,0))*CROQUIS!$C$134),CHOOSE(IF(INT(($A113-1)/5)&gt;MAX((MIN(80,MAX(1,INT(((CROQUIS!$C$97)-CROQUIS!$C$107)/MAX(CROQUIS!$C$134,1))+1)))-1,0),0,MOD($A113-1,5))+1,0,2,CROQUIS!$C$98-2,2,0)))*CROQUIS!$C$155)+IF(CROQUIS!$C$92="X",0,0)),-1000)</f>
        <v>-1000</v>
      </c>
      <c r="BK113">
        <f>IF(AND(CROQUIS!$C$88=1,CROQUIS!$C$134&gt;0),((CROQUIS!$C$157+(IF(CROQUIS!$C$92="X",CHOOSE(IF(INT(($A113-1)/5)&gt;MAX((MIN(80,MAX(1,INT(((CROQUIS!$C$97)-CROQUIS!$C$107)/MAX(CROQUIS!$C$134,1))+1)))-1,0),0,MOD($A113-1,5))+1,0,2,CROQUIS!$C$98-2,2,0),((CROQUIS!$C$107/2+(((CROQUIS!$C$97)-CROQUIS!$C$107)-(MIN(80,MAX(1,INT(((CROQUIS!$C$97)-CROQUIS!$C$107)/MAX(CROQUIS!$C$134,1))+1))-1)*CROQUIS!$C$134)/2)+MIN(INT(($A113-1)/5),MAX((MIN(80,MAX(1,INT(((CROQUIS!$C$97)-CROQUIS!$C$107)/MAX(CROQUIS!$C$134,1))+1)))-1,0))*CROQUIS!$C$134)))*CROQUIS!$C$155)+IF(CROQUIS!$C$92="X",0,0)),-1000)</f>
        <v>-1000</v>
      </c>
      <c r="BL113">
        <f>IF(AND(CROQUIS!$C$88=1,CROQUIS!$C$91=0,CROQUIS!$C$130&gt;0,OR(CROQUIS!$C$103=1,CROQUIS!$C$142=1)),((CROQUIS!$C$156+(IF(CROQUIS!$C$92="X",CHOOSE(IF(INT(($A113-1)/5)&gt;MAX((MIN(80,MAX(1,INT(((CROQUIS!$C$98)-CROQUIS!$C$107)/MAX(CROQUIS!$C$130,1))+1)))-1,0),0,MOD($A113-1,5))+1,0,IF(CROQUIS!$C$103=1,-12,2),CROQUIS!$C$107/2+CROQUIS!$C$140,IF(CROQUIS!$C$103=1,-12,2),0),((CROQUIS!$C$107/2+(((CROQUIS!$C$98)-CROQUIS!$C$107)-(MIN(80,MAX(1,INT(((CROQUIS!$C$98)-CROQUIS!$C$107)/MAX(CROQUIS!$C$130,1))+1))-1)*CROQUIS!$C$130)/2)+MIN(INT(($A113-1)/5),MAX((MIN(80,MAX(1,INT(((CROQUIS!$C$98)-CROQUIS!$C$107)/MAX(CROQUIS!$C$130,1))+1)))-1,0))*CROQUIS!$C$130)))*CROQUIS!$C$155)+IF(CROQUIS!$C$92="X",0,0)),-1000)</f>
        <v>-1000</v>
      </c>
      <c r="BM11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113-1)/5),MAX((MIN(80,MAX(1,INT(((CROQUIS!$C$98)-CROQUIS!$C$107)/MAX(CROQUIS!$C$130,1))+1)))-1,0))*CROQUIS!$C$130),CHOOSE(IF(INT(($A113-1)/5)&gt;MAX((MIN(80,MAX(1,INT(((CROQUIS!$C$98)-CROQUIS!$C$107)/MAX(CROQUIS!$C$130,1))+1)))-1,0),0,MOD($A113-1,5))+1,0,IF(CROQUIS!$C$103=1,-12,2),CROQUIS!$C$107/2+CROQUIS!$C$140,IF(CROQUIS!$C$103=1,-12,2),0)))*CROQUIS!$C$155)+IF(CROQUIS!$C$92="X",0,0)),-1000)</f>
        <v>-1000</v>
      </c>
      <c r="BN113">
        <f>IF(AND(CROQUIS!$C$88=1,CROQUIS!$C$91=0,CROQUIS!$C$130&gt;0,OR(CROQUIS!$C$104=1,CROQUIS!$C$142=1)),((CROQUIS!$C$156+(IF(CROQUIS!$C$92="X",CHOOSE(IF(INT(($A113-1)/5)&gt;MAX((MIN(80,MAX(1,INT(((CROQUIS!$C$98)-CROQUIS!$C$107)/MAX(CROQUIS!$C$130,1))+1)))-1,0),0,MOD($A113-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113-1)/5),MAX((MIN(80,MAX(1,INT(((CROQUIS!$C$98)-CROQUIS!$C$107)/MAX(CROQUIS!$C$130,1))+1)))-1,0))*CROQUIS!$C$130)))*CROQUIS!$C$155)+IF(CROQUIS!$C$92="X",0,0)),-1000)</f>
        <v>-1000</v>
      </c>
      <c r="BO11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113-1)/5),MAX((MIN(80,MAX(1,INT(((CROQUIS!$C$98)-CROQUIS!$C$107)/MAX(CROQUIS!$C$130,1))+1)))-1,0))*CROQUIS!$C$130),CHOOSE(IF(INT(($A113-1)/5)&gt;MAX((MIN(80,MAX(1,INT(((CROQUIS!$C$98)-CROQUIS!$C$107)/MAX(CROQUIS!$C$130,1))+1)))-1,0),0,MOD($A113-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1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113-1)/5),MAX((MIN(80,MAX(1,INT(((CROQUIS!$C$97)-CROQUIS!$C$107)/MAX(CROQUIS!$C$138,1))+1)))-1,0))*CROQUIS!$C$138),CHOOSE(IF(INT(($A113-1)/5)&gt;MAX((MIN(80,MAX(1,INT(((CROQUIS!$C$97)-CROQUIS!$C$107)/MAX(CROQUIS!$C$138,1))+1)))-1,0),0,MOD($A113-1,5))+1,0,IF(CROQUIS!$C$105=1,-12,2),CROQUIS!$C$107/2+CROQUIS!$C$141,IF(CROQUIS!$C$105=1,-12,2),0)))*CROQUIS!$C$155)+IF(CROQUIS!$C$92="X",0,0)),-1000)</f>
        <v>-1000</v>
      </c>
      <c r="BQ113">
        <f>IF(AND(CROQUIS!$C$88=1,CROQUIS!$C$91=0,CROQUIS!$C$138&gt;0,OR(CROQUIS!$C$105=1,CROQUIS!$C$143=1)),((CROQUIS!$C$157+(IF(CROQUIS!$C$92="X",CHOOSE(IF(INT(($A113-1)/5)&gt;MAX((MIN(80,MAX(1,INT(((CROQUIS!$C$97)-CROQUIS!$C$107)/MAX(CROQUIS!$C$138,1))+1)))-1,0),0,MOD($A113-1,5))+1,0,IF(CROQUIS!$C$105=1,-12,2),CROQUIS!$C$107/2+CROQUIS!$C$141,IF(CROQUIS!$C$105=1,-12,2),0),((CROQUIS!$C$107/2+(((CROQUIS!$C$97)-CROQUIS!$C$107)-(MIN(80,MAX(1,INT(((CROQUIS!$C$97)-CROQUIS!$C$107)/MAX(CROQUIS!$C$138,1))+1))-1)*CROQUIS!$C$138)/2)+MIN(INT(($A113-1)/5),MAX((MIN(80,MAX(1,INT(((CROQUIS!$C$97)-CROQUIS!$C$107)/MAX(CROQUIS!$C$138,1))+1)))-1,0))*CROQUIS!$C$138)))*CROQUIS!$C$155)+IF(CROQUIS!$C$92="X",0,0)),-1000)</f>
        <v>-1000</v>
      </c>
      <c r="BR11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113-1)/5),MAX((MIN(80,MAX(1,INT(((CROQUIS!$C$97)-CROQUIS!$C$107)/MAX(CROQUIS!$C$138,1))+1)))-1,0))*CROQUIS!$C$138),CHOOSE(IF(INT(($A113-1)/5)&gt;MAX((MIN(80,MAX(1,INT(((CROQUIS!$C$97)-CROQUIS!$C$107)/MAX(CROQUIS!$C$138,1))+1)))-1,0),0,MOD($A113-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13">
        <f>IF(AND(CROQUIS!$C$88=1,CROQUIS!$C$91=0,CROQUIS!$C$138&gt;0,OR(CROQUIS!$C$106=1,CROQUIS!$C$143=1)),((CROQUIS!$C$157+(IF(CROQUIS!$C$92="X",CHOOSE(IF(INT(($A113-1)/5)&gt;MAX((MIN(80,MAX(1,INT(((CROQUIS!$C$97)-CROQUIS!$C$107)/MAX(CROQUIS!$C$138,1))+1)))-1,0),0,MOD($A113-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113-1)/5),MAX((MIN(80,MAX(1,INT(((CROQUIS!$C$97)-CROQUIS!$C$107)/MAX(CROQUIS!$C$138,1))+1)))-1,0))*CROQUIS!$C$138)))*CROQUIS!$C$155)+IF(CROQUIS!$C$92="X",0,0)),-1000)</f>
        <v>-1000</v>
      </c>
      <c r="BT113">
        <f>IF(AND(CROQUIS!$C$88=1,CROQUIS!$C$91=1,CROQUIS!$C$130&gt;0),((CROQUIS!$C$156+(IF(CROQUIS!$C$92="X",CHOOSE(IF(INT(($A113-1)/5)&gt;MAX((MIN(80,MAX(1,INT(((CROQUIS!$C$98)-CROQUIS!$C$107)/MAX(CROQUIS!$C$130,1))+1)))-1,0),0,MOD($A113-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113-1)/5),MAX((MIN(80,MAX(1,INT(((CROQUIS!$C$98)-CROQUIS!$C$107)/MAX(CROQUIS!$C$130,1))+1)))-1,0))*CROQUIS!$C$130)))*CROQUIS!$C$155)+IF(CROQUIS!$C$92="X",0,0)),-1000)</f>
        <v>-1000</v>
      </c>
      <c r="BU113">
        <f>IF(AND(CROQUIS!$C$88=1,CROQUIS!$C$91=1,CROQUIS!$C$130&gt;0),((CROQUIS!$C$157+(IF(CROQUIS!$C$92="X",((CROQUIS!$C$107/2+(((CROQUIS!$C$98)-CROQUIS!$C$107)-(MIN(80,MAX(1,INT(((CROQUIS!$C$98)-CROQUIS!$C$107)/MAX(CROQUIS!$C$130,1))+1))-1)*CROQUIS!$C$130)/2)+MIN(INT(($A113-1)/5),MAX((MIN(80,MAX(1,INT(((CROQUIS!$C$98)-CROQUIS!$C$107)/MAX(CROQUIS!$C$130,1))+1)))-1,0))*CROQUIS!$C$130),CHOOSE(IF(INT(($A113-1)/5)&gt;MAX((MIN(80,MAX(1,INT(((CROQUIS!$C$98)-CROQUIS!$C$107)/MAX(CROQUIS!$C$130,1))+1)))-1,0),0,MOD($A113-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14">
      <c r="A114" t="n">
        <v>107</v>
      </c>
      <c r="BH114">
        <f>IF(AND(CROQUIS!$C$88=1,CROQUIS!$C$126&gt;0),((CROQUIS!$C$156+(IF(CROQUIS!$C$92="X",CHOOSE(IF(INT(($A114-1)/5)&gt;MAX((MIN(80,MAX(1,INT(((CROQUIS!$C$98)-CROQUIS!$C$107)/MAX(CROQUIS!$C$126,1))+1)))-1,0),0,MOD($A114-1,5))+1,0,2,CROQUIS!$C$97-2,2,0),((CROQUIS!$C$107/2+(((CROQUIS!$C$98)-CROQUIS!$C$107)-(MIN(80,MAX(1,INT(((CROQUIS!$C$98)-CROQUIS!$C$107)/MAX(CROQUIS!$C$126,1))+1))-1)*CROQUIS!$C$126)/2)+MIN(INT(($A114-1)/5),MAX((MIN(80,MAX(1,INT(((CROQUIS!$C$98)-CROQUIS!$C$107)/MAX(CROQUIS!$C$126,1))+1)))-1,0))*CROQUIS!$C$126)))*CROQUIS!$C$155)+IF(CROQUIS!$C$92="X",0,0)),-1000)</f>
        <v>-1000</v>
      </c>
      <c r="BI114">
        <f>IF(AND(CROQUIS!$C$88=1,CROQUIS!$C$126&gt;0),((CROQUIS!$C$157+(IF(CROQUIS!$C$92="X",((CROQUIS!$C$107/2+(((CROQUIS!$C$98)-CROQUIS!$C$107)-(MIN(80,MAX(1,INT(((CROQUIS!$C$98)-CROQUIS!$C$107)/MAX(CROQUIS!$C$126,1))+1))-1)*CROQUIS!$C$126)/2)+MIN(INT(($A114-1)/5),MAX((MIN(80,MAX(1,INT(((CROQUIS!$C$98)-CROQUIS!$C$107)/MAX(CROQUIS!$C$126,1))+1)))-1,0))*CROQUIS!$C$126),CHOOSE(IF(INT(($A114-1)/5)&gt;MAX((MIN(80,MAX(1,INT(((CROQUIS!$C$98)-CROQUIS!$C$107)/MAX(CROQUIS!$C$126,1))+1)))-1,0),0,MOD($A114-1,5))+1,0,2,CROQUIS!$C$97-2,2,0)))*CROQUIS!$C$155)+IF(CROQUIS!$C$92="X",0,0)),-1000)</f>
        <v>-1000</v>
      </c>
      <c r="BJ114">
        <f>IF(AND(CROQUIS!$C$88=1,CROQUIS!$C$134&gt;0),((CROQUIS!$C$156+(IF(CROQUIS!$C$92="X",((CROQUIS!$C$107/2+(((CROQUIS!$C$97)-CROQUIS!$C$107)-(MIN(80,MAX(1,INT(((CROQUIS!$C$97)-CROQUIS!$C$107)/MAX(CROQUIS!$C$134,1))+1))-1)*CROQUIS!$C$134)/2)+MIN(INT(($A114-1)/5),MAX((MIN(80,MAX(1,INT(((CROQUIS!$C$97)-CROQUIS!$C$107)/MAX(CROQUIS!$C$134,1))+1)))-1,0))*CROQUIS!$C$134),CHOOSE(IF(INT(($A114-1)/5)&gt;MAX((MIN(80,MAX(1,INT(((CROQUIS!$C$97)-CROQUIS!$C$107)/MAX(CROQUIS!$C$134,1))+1)))-1,0),0,MOD($A114-1,5))+1,0,2,CROQUIS!$C$98-2,2,0)))*CROQUIS!$C$155)+IF(CROQUIS!$C$92="X",0,0)),-1000)</f>
        <v>-1000</v>
      </c>
      <c r="BK114">
        <f>IF(AND(CROQUIS!$C$88=1,CROQUIS!$C$134&gt;0),((CROQUIS!$C$157+(IF(CROQUIS!$C$92="X",CHOOSE(IF(INT(($A114-1)/5)&gt;MAX((MIN(80,MAX(1,INT(((CROQUIS!$C$97)-CROQUIS!$C$107)/MAX(CROQUIS!$C$134,1))+1)))-1,0),0,MOD($A114-1,5))+1,0,2,CROQUIS!$C$98-2,2,0),((CROQUIS!$C$107/2+(((CROQUIS!$C$97)-CROQUIS!$C$107)-(MIN(80,MAX(1,INT(((CROQUIS!$C$97)-CROQUIS!$C$107)/MAX(CROQUIS!$C$134,1))+1))-1)*CROQUIS!$C$134)/2)+MIN(INT(($A114-1)/5),MAX((MIN(80,MAX(1,INT(((CROQUIS!$C$97)-CROQUIS!$C$107)/MAX(CROQUIS!$C$134,1))+1)))-1,0))*CROQUIS!$C$134)))*CROQUIS!$C$155)+IF(CROQUIS!$C$92="X",0,0)),-1000)</f>
        <v>-1000</v>
      </c>
      <c r="BL114">
        <f>IF(AND(CROQUIS!$C$88=1,CROQUIS!$C$91=0,CROQUIS!$C$130&gt;0,OR(CROQUIS!$C$103=1,CROQUIS!$C$142=1)),((CROQUIS!$C$156+(IF(CROQUIS!$C$92="X",CHOOSE(IF(INT(($A114-1)/5)&gt;MAX((MIN(80,MAX(1,INT(((CROQUIS!$C$98)-CROQUIS!$C$107)/MAX(CROQUIS!$C$130,1))+1)))-1,0),0,MOD($A114-1,5))+1,0,IF(CROQUIS!$C$103=1,-12,2),CROQUIS!$C$107/2+CROQUIS!$C$140,IF(CROQUIS!$C$103=1,-12,2),0),((CROQUIS!$C$107/2+(((CROQUIS!$C$98)-CROQUIS!$C$107)-(MIN(80,MAX(1,INT(((CROQUIS!$C$98)-CROQUIS!$C$107)/MAX(CROQUIS!$C$130,1))+1))-1)*CROQUIS!$C$130)/2)+MIN(INT(($A114-1)/5),MAX((MIN(80,MAX(1,INT(((CROQUIS!$C$98)-CROQUIS!$C$107)/MAX(CROQUIS!$C$130,1))+1)))-1,0))*CROQUIS!$C$130)))*CROQUIS!$C$155)+IF(CROQUIS!$C$92="X",0,0)),-1000)</f>
        <v>-1000</v>
      </c>
      <c r="BM11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114-1)/5),MAX((MIN(80,MAX(1,INT(((CROQUIS!$C$98)-CROQUIS!$C$107)/MAX(CROQUIS!$C$130,1))+1)))-1,0))*CROQUIS!$C$130),CHOOSE(IF(INT(($A114-1)/5)&gt;MAX((MIN(80,MAX(1,INT(((CROQUIS!$C$98)-CROQUIS!$C$107)/MAX(CROQUIS!$C$130,1))+1)))-1,0),0,MOD($A114-1,5))+1,0,IF(CROQUIS!$C$103=1,-12,2),CROQUIS!$C$107/2+CROQUIS!$C$140,IF(CROQUIS!$C$103=1,-12,2),0)))*CROQUIS!$C$155)+IF(CROQUIS!$C$92="X",0,0)),-1000)</f>
        <v>-1000</v>
      </c>
      <c r="BN114">
        <f>IF(AND(CROQUIS!$C$88=1,CROQUIS!$C$91=0,CROQUIS!$C$130&gt;0,OR(CROQUIS!$C$104=1,CROQUIS!$C$142=1)),((CROQUIS!$C$156+(IF(CROQUIS!$C$92="X",CHOOSE(IF(INT(($A114-1)/5)&gt;MAX((MIN(80,MAX(1,INT(((CROQUIS!$C$98)-CROQUIS!$C$107)/MAX(CROQUIS!$C$130,1))+1)))-1,0),0,MOD($A114-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114-1)/5),MAX((MIN(80,MAX(1,INT(((CROQUIS!$C$98)-CROQUIS!$C$107)/MAX(CROQUIS!$C$130,1))+1)))-1,0))*CROQUIS!$C$130)))*CROQUIS!$C$155)+IF(CROQUIS!$C$92="X",0,0)),-1000)</f>
        <v>-1000</v>
      </c>
      <c r="BO11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114-1)/5),MAX((MIN(80,MAX(1,INT(((CROQUIS!$C$98)-CROQUIS!$C$107)/MAX(CROQUIS!$C$130,1))+1)))-1,0))*CROQUIS!$C$130),CHOOSE(IF(INT(($A114-1)/5)&gt;MAX((MIN(80,MAX(1,INT(((CROQUIS!$C$98)-CROQUIS!$C$107)/MAX(CROQUIS!$C$130,1))+1)))-1,0),0,MOD($A114-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1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114-1)/5),MAX((MIN(80,MAX(1,INT(((CROQUIS!$C$97)-CROQUIS!$C$107)/MAX(CROQUIS!$C$138,1))+1)))-1,0))*CROQUIS!$C$138),CHOOSE(IF(INT(($A114-1)/5)&gt;MAX((MIN(80,MAX(1,INT(((CROQUIS!$C$97)-CROQUIS!$C$107)/MAX(CROQUIS!$C$138,1))+1)))-1,0),0,MOD($A114-1,5))+1,0,IF(CROQUIS!$C$105=1,-12,2),CROQUIS!$C$107/2+CROQUIS!$C$141,IF(CROQUIS!$C$105=1,-12,2),0)))*CROQUIS!$C$155)+IF(CROQUIS!$C$92="X",0,0)),-1000)</f>
        <v>-1000</v>
      </c>
      <c r="BQ114">
        <f>IF(AND(CROQUIS!$C$88=1,CROQUIS!$C$91=0,CROQUIS!$C$138&gt;0,OR(CROQUIS!$C$105=1,CROQUIS!$C$143=1)),((CROQUIS!$C$157+(IF(CROQUIS!$C$92="X",CHOOSE(IF(INT(($A114-1)/5)&gt;MAX((MIN(80,MAX(1,INT(((CROQUIS!$C$97)-CROQUIS!$C$107)/MAX(CROQUIS!$C$138,1))+1)))-1,0),0,MOD($A114-1,5))+1,0,IF(CROQUIS!$C$105=1,-12,2),CROQUIS!$C$107/2+CROQUIS!$C$141,IF(CROQUIS!$C$105=1,-12,2),0),((CROQUIS!$C$107/2+(((CROQUIS!$C$97)-CROQUIS!$C$107)-(MIN(80,MAX(1,INT(((CROQUIS!$C$97)-CROQUIS!$C$107)/MAX(CROQUIS!$C$138,1))+1))-1)*CROQUIS!$C$138)/2)+MIN(INT(($A114-1)/5),MAX((MIN(80,MAX(1,INT(((CROQUIS!$C$97)-CROQUIS!$C$107)/MAX(CROQUIS!$C$138,1))+1)))-1,0))*CROQUIS!$C$138)))*CROQUIS!$C$155)+IF(CROQUIS!$C$92="X",0,0)),-1000)</f>
        <v>-1000</v>
      </c>
      <c r="BR11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114-1)/5),MAX((MIN(80,MAX(1,INT(((CROQUIS!$C$97)-CROQUIS!$C$107)/MAX(CROQUIS!$C$138,1))+1)))-1,0))*CROQUIS!$C$138),CHOOSE(IF(INT(($A114-1)/5)&gt;MAX((MIN(80,MAX(1,INT(((CROQUIS!$C$97)-CROQUIS!$C$107)/MAX(CROQUIS!$C$138,1))+1)))-1,0),0,MOD($A114-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14">
        <f>IF(AND(CROQUIS!$C$88=1,CROQUIS!$C$91=0,CROQUIS!$C$138&gt;0,OR(CROQUIS!$C$106=1,CROQUIS!$C$143=1)),((CROQUIS!$C$157+(IF(CROQUIS!$C$92="X",CHOOSE(IF(INT(($A114-1)/5)&gt;MAX((MIN(80,MAX(1,INT(((CROQUIS!$C$97)-CROQUIS!$C$107)/MAX(CROQUIS!$C$138,1))+1)))-1,0),0,MOD($A114-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114-1)/5),MAX((MIN(80,MAX(1,INT(((CROQUIS!$C$97)-CROQUIS!$C$107)/MAX(CROQUIS!$C$138,1))+1)))-1,0))*CROQUIS!$C$138)))*CROQUIS!$C$155)+IF(CROQUIS!$C$92="X",0,0)),-1000)</f>
        <v>-1000</v>
      </c>
      <c r="BT114">
        <f>IF(AND(CROQUIS!$C$88=1,CROQUIS!$C$91=1,CROQUIS!$C$130&gt;0),((CROQUIS!$C$156+(IF(CROQUIS!$C$92="X",CHOOSE(IF(INT(($A114-1)/5)&gt;MAX((MIN(80,MAX(1,INT(((CROQUIS!$C$98)-CROQUIS!$C$107)/MAX(CROQUIS!$C$130,1))+1)))-1,0),0,MOD($A114-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114-1)/5),MAX((MIN(80,MAX(1,INT(((CROQUIS!$C$98)-CROQUIS!$C$107)/MAX(CROQUIS!$C$130,1))+1)))-1,0))*CROQUIS!$C$130)))*CROQUIS!$C$155)+IF(CROQUIS!$C$92="X",0,0)),-1000)</f>
        <v>-1000</v>
      </c>
      <c r="BU114">
        <f>IF(AND(CROQUIS!$C$88=1,CROQUIS!$C$91=1,CROQUIS!$C$130&gt;0),((CROQUIS!$C$157+(IF(CROQUIS!$C$92="X",((CROQUIS!$C$107/2+(((CROQUIS!$C$98)-CROQUIS!$C$107)-(MIN(80,MAX(1,INT(((CROQUIS!$C$98)-CROQUIS!$C$107)/MAX(CROQUIS!$C$130,1))+1))-1)*CROQUIS!$C$130)/2)+MIN(INT(($A114-1)/5),MAX((MIN(80,MAX(1,INT(((CROQUIS!$C$98)-CROQUIS!$C$107)/MAX(CROQUIS!$C$130,1))+1)))-1,0))*CROQUIS!$C$130),CHOOSE(IF(INT(($A114-1)/5)&gt;MAX((MIN(80,MAX(1,INT(((CROQUIS!$C$98)-CROQUIS!$C$107)/MAX(CROQUIS!$C$130,1))+1)))-1,0),0,MOD($A114-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15">
      <c r="A115" t="n">
        <v>108</v>
      </c>
      <c r="BH115">
        <f>IF(AND(CROQUIS!$C$88=1,CROQUIS!$C$126&gt;0),((CROQUIS!$C$156+(IF(CROQUIS!$C$92="X",CHOOSE(IF(INT(($A115-1)/5)&gt;MAX((MIN(80,MAX(1,INT(((CROQUIS!$C$98)-CROQUIS!$C$107)/MAX(CROQUIS!$C$126,1))+1)))-1,0),0,MOD($A115-1,5))+1,0,2,CROQUIS!$C$97-2,2,0),((CROQUIS!$C$107/2+(((CROQUIS!$C$98)-CROQUIS!$C$107)-(MIN(80,MAX(1,INT(((CROQUIS!$C$98)-CROQUIS!$C$107)/MAX(CROQUIS!$C$126,1))+1))-1)*CROQUIS!$C$126)/2)+MIN(INT(($A115-1)/5),MAX((MIN(80,MAX(1,INT(((CROQUIS!$C$98)-CROQUIS!$C$107)/MAX(CROQUIS!$C$126,1))+1)))-1,0))*CROQUIS!$C$126)))*CROQUIS!$C$155)+IF(CROQUIS!$C$92="X",0,0)),-1000)</f>
        <v>-1000</v>
      </c>
      <c r="BI115">
        <f>IF(AND(CROQUIS!$C$88=1,CROQUIS!$C$126&gt;0),((CROQUIS!$C$157+(IF(CROQUIS!$C$92="X",((CROQUIS!$C$107/2+(((CROQUIS!$C$98)-CROQUIS!$C$107)-(MIN(80,MAX(1,INT(((CROQUIS!$C$98)-CROQUIS!$C$107)/MAX(CROQUIS!$C$126,1))+1))-1)*CROQUIS!$C$126)/2)+MIN(INT(($A115-1)/5),MAX((MIN(80,MAX(1,INT(((CROQUIS!$C$98)-CROQUIS!$C$107)/MAX(CROQUIS!$C$126,1))+1)))-1,0))*CROQUIS!$C$126),CHOOSE(IF(INT(($A115-1)/5)&gt;MAX((MIN(80,MAX(1,INT(((CROQUIS!$C$98)-CROQUIS!$C$107)/MAX(CROQUIS!$C$126,1))+1)))-1,0),0,MOD($A115-1,5))+1,0,2,CROQUIS!$C$97-2,2,0)))*CROQUIS!$C$155)+IF(CROQUIS!$C$92="X",0,0)),-1000)</f>
        <v>-1000</v>
      </c>
      <c r="BJ115">
        <f>IF(AND(CROQUIS!$C$88=1,CROQUIS!$C$134&gt;0),((CROQUIS!$C$156+(IF(CROQUIS!$C$92="X",((CROQUIS!$C$107/2+(((CROQUIS!$C$97)-CROQUIS!$C$107)-(MIN(80,MAX(1,INT(((CROQUIS!$C$97)-CROQUIS!$C$107)/MAX(CROQUIS!$C$134,1))+1))-1)*CROQUIS!$C$134)/2)+MIN(INT(($A115-1)/5),MAX((MIN(80,MAX(1,INT(((CROQUIS!$C$97)-CROQUIS!$C$107)/MAX(CROQUIS!$C$134,1))+1)))-1,0))*CROQUIS!$C$134),CHOOSE(IF(INT(($A115-1)/5)&gt;MAX((MIN(80,MAX(1,INT(((CROQUIS!$C$97)-CROQUIS!$C$107)/MAX(CROQUIS!$C$134,1))+1)))-1,0),0,MOD($A115-1,5))+1,0,2,CROQUIS!$C$98-2,2,0)))*CROQUIS!$C$155)+IF(CROQUIS!$C$92="X",0,0)),-1000)</f>
        <v>-1000</v>
      </c>
      <c r="BK115">
        <f>IF(AND(CROQUIS!$C$88=1,CROQUIS!$C$134&gt;0),((CROQUIS!$C$157+(IF(CROQUIS!$C$92="X",CHOOSE(IF(INT(($A115-1)/5)&gt;MAX((MIN(80,MAX(1,INT(((CROQUIS!$C$97)-CROQUIS!$C$107)/MAX(CROQUIS!$C$134,1))+1)))-1,0),0,MOD($A115-1,5))+1,0,2,CROQUIS!$C$98-2,2,0),((CROQUIS!$C$107/2+(((CROQUIS!$C$97)-CROQUIS!$C$107)-(MIN(80,MAX(1,INT(((CROQUIS!$C$97)-CROQUIS!$C$107)/MAX(CROQUIS!$C$134,1))+1))-1)*CROQUIS!$C$134)/2)+MIN(INT(($A115-1)/5),MAX((MIN(80,MAX(1,INT(((CROQUIS!$C$97)-CROQUIS!$C$107)/MAX(CROQUIS!$C$134,1))+1)))-1,0))*CROQUIS!$C$134)))*CROQUIS!$C$155)+IF(CROQUIS!$C$92="X",0,0)),-1000)</f>
        <v>-1000</v>
      </c>
      <c r="BL115">
        <f>IF(AND(CROQUIS!$C$88=1,CROQUIS!$C$91=0,CROQUIS!$C$130&gt;0,OR(CROQUIS!$C$103=1,CROQUIS!$C$142=1)),((CROQUIS!$C$156+(IF(CROQUIS!$C$92="X",CHOOSE(IF(INT(($A115-1)/5)&gt;MAX((MIN(80,MAX(1,INT(((CROQUIS!$C$98)-CROQUIS!$C$107)/MAX(CROQUIS!$C$130,1))+1)))-1,0),0,MOD($A115-1,5))+1,0,IF(CROQUIS!$C$103=1,-12,2),CROQUIS!$C$107/2+CROQUIS!$C$140,IF(CROQUIS!$C$103=1,-12,2),0),((CROQUIS!$C$107/2+(((CROQUIS!$C$98)-CROQUIS!$C$107)-(MIN(80,MAX(1,INT(((CROQUIS!$C$98)-CROQUIS!$C$107)/MAX(CROQUIS!$C$130,1))+1))-1)*CROQUIS!$C$130)/2)+MIN(INT(($A115-1)/5),MAX((MIN(80,MAX(1,INT(((CROQUIS!$C$98)-CROQUIS!$C$107)/MAX(CROQUIS!$C$130,1))+1)))-1,0))*CROQUIS!$C$130)))*CROQUIS!$C$155)+IF(CROQUIS!$C$92="X",0,0)),-1000)</f>
        <v>-1000</v>
      </c>
      <c r="BM11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115-1)/5),MAX((MIN(80,MAX(1,INT(((CROQUIS!$C$98)-CROQUIS!$C$107)/MAX(CROQUIS!$C$130,1))+1)))-1,0))*CROQUIS!$C$130),CHOOSE(IF(INT(($A115-1)/5)&gt;MAX((MIN(80,MAX(1,INT(((CROQUIS!$C$98)-CROQUIS!$C$107)/MAX(CROQUIS!$C$130,1))+1)))-1,0),0,MOD($A115-1,5))+1,0,IF(CROQUIS!$C$103=1,-12,2),CROQUIS!$C$107/2+CROQUIS!$C$140,IF(CROQUIS!$C$103=1,-12,2),0)))*CROQUIS!$C$155)+IF(CROQUIS!$C$92="X",0,0)),-1000)</f>
        <v>-1000</v>
      </c>
      <c r="BN115">
        <f>IF(AND(CROQUIS!$C$88=1,CROQUIS!$C$91=0,CROQUIS!$C$130&gt;0,OR(CROQUIS!$C$104=1,CROQUIS!$C$142=1)),((CROQUIS!$C$156+(IF(CROQUIS!$C$92="X",CHOOSE(IF(INT(($A115-1)/5)&gt;MAX((MIN(80,MAX(1,INT(((CROQUIS!$C$98)-CROQUIS!$C$107)/MAX(CROQUIS!$C$130,1))+1)))-1,0),0,MOD($A115-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115-1)/5),MAX((MIN(80,MAX(1,INT(((CROQUIS!$C$98)-CROQUIS!$C$107)/MAX(CROQUIS!$C$130,1))+1)))-1,0))*CROQUIS!$C$130)))*CROQUIS!$C$155)+IF(CROQUIS!$C$92="X",0,0)),-1000)</f>
        <v>-1000</v>
      </c>
      <c r="BO11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115-1)/5),MAX((MIN(80,MAX(1,INT(((CROQUIS!$C$98)-CROQUIS!$C$107)/MAX(CROQUIS!$C$130,1))+1)))-1,0))*CROQUIS!$C$130),CHOOSE(IF(INT(($A115-1)/5)&gt;MAX((MIN(80,MAX(1,INT(((CROQUIS!$C$98)-CROQUIS!$C$107)/MAX(CROQUIS!$C$130,1))+1)))-1,0),0,MOD($A115-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1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115-1)/5),MAX((MIN(80,MAX(1,INT(((CROQUIS!$C$97)-CROQUIS!$C$107)/MAX(CROQUIS!$C$138,1))+1)))-1,0))*CROQUIS!$C$138),CHOOSE(IF(INT(($A115-1)/5)&gt;MAX((MIN(80,MAX(1,INT(((CROQUIS!$C$97)-CROQUIS!$C$107)/MAX(CROQUIS!$C$138,1))+1)))-1,0),0,MOD($A115-1,5))+1,0,IF(CROQUIS!$C$105=1,-12,2),CROQUIS!$C$107/2+CROQUIS!$C$141,IF(CROQUIS!$C$105=1,-12,2),0)))*CROQUIS!$C$155)+IF(CROQUIS!$C$92="X",0,0)),-1000)</f>
        <v>-1000</v>
      </c>
      <c r="BQ115">
        <f>IF(AND(CROQUIS!$C$88=1,CROQUIS!$C$91=0,CROQUIS!$C$138&gt;0,OR(CROQUIS!$C$105=1,CROQUIS!$C$143=1)),((CROQUIS!$C$157+(IF(CROQUIS!$C$92="X",CHOOSE(IF(INT(($A115-1)/5)&gt;MAX((MIN(80,MAX(1,INT(((CROQUIS!$C$97)-CROQUIS!$C$107)/MAX(CROQUIS!$C$138,1))+1)))-1,0),0,MOD($A115-1,5))+1,0,IF(CROQUIS!$C$105=1,-12,2),CROQUIS!$C$107/2+CROQUIS!$C$141,IF(CROQUIS!$C$105=1,-12,2),0),((CROQUIS!$C$107/2+(((CROQUIS!$C$97)-CROQUIS!$C$107)-(MIN(80,MAX(1,INT(((CROQUIS!$C$97)-CROQUIS!$C$107)/MAX(CROQUIS!$C$138,1))+1))-1)*CROQUIS!$C$138)/2)+MIN(INT(($A115-1)/5),MAX((MIN(80,MAX(1,INT(((CROQUIS!$C$97)-CROQUIS!$C$107)/MAX(CROQUIS!$C$138,1))+1)))-1,0))*CROQUIS!$C$138)))*CROQUIS!$C$155)+IF(CROQUIS!$C$92="X",0,0)),-1000)</f>
        <v>-1000</v>
      </c>
      <c r="BR11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115-1)/5),MAX((MIN(80,MAX(1,INT(((CROQUIS!$C$97)-CROQUIS!$C$107)/MAX(CROQUIS!$C$138,1))+1)))-1,0))*CROQUIS!$C$138),CHOOSE(IF(INT(($A115-1)/5)&gt;MAX((MIN(80,MAX(1,INT(((CROQUIS!$C$97)-CROQUIS!$C$107)/MAX(CROQUIS!$C$138,1))+1)))-1,0),0,MOD($A115-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15">
        <f>IF(AND(CROQUIS!$C$88=1,CROQUIS!$C$91=0,CROQUIS!$C$138&gt;0,OR(CROQUIS!$C$106=1,CROQUIS!$C$143=1)),((CROQUIS!$C$157+(IF(CROQUIS!$C$92="X",CHOOSE(IF(INT(($A115-1)/5)&gt;MAX((MIN(80,MAX(1,INT(((CROQUIS!$C$97)-CROQUIS!$C$107)/MAX(CROQUIS!$C$138,1))+1)))-1,0),0,MOD($A115-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115-1)/5),MAX((MIN(80,MAX(1,INT(((CROQUIS!$C$97)-CROQUIS!$C$107)/MAX(CROQUIS!$C$138,1))+1)))-1,0))*CROQUIS!$C$138)))*CROQUIS!$C$155)+IF(CROQUIS!$C$92="X",0,0)),-1000)</f>
        <v>-1000</v>
      </c>
      <c r="BT115">
        <f>IF(AND(CROQUIS!$C$88=1,CROQUIS!$C$91=1,CROQUIS!$C$130&gt;0),((CROQUIS!$C$156+(IF(CROQUIS!$C$92="X",CHOOSE(IF(INT(($A115-1)/5)&gt;MAX((MIN(80,MAX(1,INT(((CROQUIS!$C$98)-CROQUIS!$C$107)/MAX(CROQUIS!$C$130,1))+1)))-1,0),0,MOD($A115-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115-1)/5),MAX((MIN(80,MAX(1,INT(((CROQUIS!$C$98)-CROQUIS!$C$107)/MAX(CROQUIS!$C$130,1))+1)))-1,0))*CROQUIS!$C$130)))*CROQUIS!$C$155)+IF(CROQUIS!$C$92="X",0,0)),-1000)</f>
        <v>-1000</v>
      </c>
      <c r="BU115">
        <f>IF(AND(CROQUIS!$C$88=1,CROQUIS!$C$91=1,CROQUIS!$C$130&gt;0),((CROQUIS!$C$157+(IF(CROQUIS!$C$92="X",((CROQUIS!$C$107/2+(((CROQUIS!$C$98)-CROQUIS!$C$107)-(MIN(80,MAX(1,INT(((CROQUIS!$C$98)-CROQUIS!$C$107)/MAX(CROQUIS!$C$130,1))+1))-1)*CROQUIS!$C$130)/2)+MIN(INT(($A115-1)/5),MAX((MIN(80,MAX(1,INT(((CROQUIS!$C$98)-CROQUIS!$C$107)/MAX(CROQUIS!$C$130,1))+1)))-1,0))*CROQUIS!$C$130),CHOOSE(IF(INT(($A115-1)/5)&gt;MAX((MIN(80,MAX(1,INT(((CROQUIS!$C$98)-CROQUIS!$C$107)/MAX(CROQUIS!$C$130,1))+1)))-1,0),0,MOD($A115-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16">
      <c r="A116" t="n">
        <v>109</v>
      </c>
      <c r="BH116">
        <f>IF(AND(CROQUIS!$C$88=1,CROQUIS!$C$126&gt;0),((CROQUIS!$C$156+(IF(CROQUIS!$C$92="X",CHOOSE(IF(INT(($A116-1)/5)&gt;MAX((MIN(80,MAX(1,INT(((CROQUIS!$C$98)-CROQUIS!$C$107)/MAX(CROQUIS!$C$126,1))+1)))-1,0),0,MOD($A116-1,5))+1,0,2,CROQUIS!$C$97-2,2,0),((CROQUIS!$C$107/2+(((CROQUIS!$C$98)-CROQUIS!$C$107)-(MIN(80,MAX(1,INT(((CROQUIS!$C$98)-CROQUIS!$C$107)/MAX(CROQUIS!$C$126,1))+1))-1)*CROQUIS!$C$126)/2)+MIN(INT(($A116-1)/5),MAX((MIN(80,MAX(1,INT(((CROQUIS!$C$98)-CROQUIS!$C$107)/MAX(CROQUIS!$C$126,1))+1)))-1,0))*CROQUIS!$C$126)))*CROQUIS!$C$155)+IF(CROQUIS!$C$92="X",0,0)),-1000)</f>
        <v>-1000</v>
      </c>
      <c r="BI116">
        <f>IF(AND(CROQUIS!$C$88=1,CROQUIS!$C$126&gt;0),((CROQUIS!$C$157+(IF(CROQUIS!$C$92="X",((CROQUIS!$C$107/2+(((CROQUIS!$C$98)-CROQUIS!$C$107)-(MIN(80,MAX(1,INT(((CROQUIS!$C$98)-CROQUIS!$C$107)/MAX(CROQUIS!$C$126,1))+1))-1)*CROQUIS!$C$126)/2)+MIN(INT(($A116-1)/5),MAX((MIN(80,MAX(1,INT(((CROQUIS!$C$98)-CROQUIS!$C$107)/MAX(CROQUIS!$C$126,1))+1)))-1,0))*CROQUIS!$C$126),CHOOSE(IF(INT(($A116-1)/5)&gt;MAX((MIN(80,MAX(1,INT(((CROQUIS!$C$98)-CROQUIS!$C$107)/MAX(CROQUIS!$C$126,1))+1)))-1,0),0,MOD($A116-1,5))+1,0,2,CROQUIS!$C$97-2,2,0)))*CROQUIS!$C$155)+IF(CROQUIS!$C$92="X",0,0)),-1000)</f>
        <v>-1000</v>
      </c>
      <c r="BJ116">
        <f>IF(AND(CROQUIS!$C$88=1,CROQUIS!$C$134&gt;0),((CROQUIS!$C$156+(IF(CROQUIS!$C$92="X",((CROQUIS!$C$107/2+(((CROQUIS!$C$97)-CROQUIS!$C$107)-(MIN(80,MAX(1,INT(((CROQUIS!$C$97)-CROQUIS!$C$107)/MAX(CROQUIS!$C$134,1))+1))-1)*CROQUIS!$C$134)/2)+MIN(INT(($A116-1)/5),MAX((MIN(80,MAX(1,INT(((CROQUIS!$C$97)-CROQUIS!$C$107)/MAX(CROQUIS!$C$134,1))+1)))-1,0))*CROQUIS!$C$134),CHOOSE(IF(INT(($A116-1)/5)&gt;MAX((MIN(80,MAX(1,INT(((CROQUIS!$C$97)-CROQUIS!$C$107)/MAX(CROQUIS!$C$134,1))+1)))-1,0),0,MOD($A116-1,5))+1,0,2,CROQUIS!$C$98-2,2,0)))*CROQUIS!$C$155)+IF(CROQUIS!$C$92="X",0,0)),-1000)</f>
        <v>-1000</v>
      </c>
      <c r="BK116">
        <f>IF(AND(CROQUIS!$C$88=1,CROQUIS!$C$134&gt;0),((CROQUIS!$C$157+(IF(CROQUIS!$C$92="X",CHOOSE(IF(INT(($A116-1)/5)&gt;MAX((MIN(80,MAX(1,INT(((CROQUIS!$C$97)-CROQUIS!$C$107)/MAX(CROQUIS!$C$134,1))+1)))-1,0),0,MOD($A116-1,5))+1,0,2,CROQUIS!$C$98-2,2,0),((CROQUIS!$C$107/2+(((CROQUIS!$C$97)-CROQUIS!$C$107)-(MIN(80,MAX(1,INT(((CROQUIS!$C$97)-CROQUIS!$C$107)/MAX(CROQUIS!$C$134,1))+1))-1)*CROQUIS!$C$134)/2)+MIN(INT(($A116-1)/5),MAX((MIN(80,MAX(1,INT(((CROQUIS!$C$97)-CROQUIS!$C$107)/MAX(CROQUIS!$C$134,1))+1)))-1,0))*CROQUIS!$C$134)))*CROQUIS!$C$155)+IF(CROQUIS!$C$92="X",0,0)),-1000)</f>
        <v>-1000</v>
      </c>
      <c r="BL116">
        <f>IF(AND(CROQUIS!$C$88=1,CROQUIS!$C$91=0,CROQUIS!$C$130&gt;0,OR(CROQUIS!$C$103=1,CROQUIS!$C$142=1)),((CROQUIS!$C$156+(IF(CROQUIS!$C$92="X",CHOOSE(IF(INT(($A116-1)/5)&gt;MAX((MIN(80,MAX(1,INT(((CROQUIS!$C$98)-CROQUIS!$C$107)/MAX(CROQUIS!$C$130,1))+1)))-1,0),0,MOD($A116-1,5))+1,0,IF(CROQUIS!$C$103=1,-12,2),CROQUIS!$C$107/2+CROQUIS!$C$140,IF(CROQUIS!$C$103=1,-12,2),0),((CROQUIS!$C$107/2+(((CROQUIS!$C$98)-CROQUIS!$C$107)-(MIN(80,MAX(1,INT(((CROQUIS!$C$98)-CROQUIS!$C$107)/MAX(CROQUIS!$C$130,1))+1))-1)*CROQUIS!$C$130)/2)+MIN(INT(($A116-1)/5),MAX((MIN(80,MAX(1,INT(((CROQUIS!$C$98)-CROQUIS!$C$107)/MAX(CROQUIS!$C$130,1))+1)))-1,0))*CROQUIS!$C$130)))*CROQUIS!$C$155)+IF(CROQUIS!$C$92="X",0,0)),-1000)</f>
        <v>-1000</v>
      </c>
      <c r="BM11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116-1)/5),MAX((MIN(80,MAX(1,INT(((CROQUIS!$C$98)-CROQUIS!$C$107)/MAX(CROQUIS!$C$130,1))+1)))-1,0))*CROQUIS!$C$130),CHOOSE(IF(INT(($A116-1)/5)&gt;MAX((MIN(80,MAX(1,INT(((CROQUIS!$C$98)-CROQUIS!$C$107)/MAX(CROQUIS!$C$130,1))+1)))-1,0),0,MOD($A116-1,5))+1,0,IF(CROQUIS!$C$103=1,-12,2),CROQUIS!$C$107/2+CROQUIS!$C$140,IF(CROQUIS!$C$103=1,-12,2),0)))*CROQUIS!$C$155)+IF(CROQUIS!$C$92="X",0,0)),-1000)</f>
        <v>-1000</v>
      </c>
      <c r="BN116">
        <f>IF(AND(CROQUIS!$C$88=1,CROQUIS!$C$91=0,CROQUIS!$C$130&gt;0,OR(CROQUIS!$C$104=1,CROQUIS!$C$142=1)),((CROQUIS!$C$156+(IF(CROQUIS!$C$92="X",CHOOSE(IF(INT(($A116-1)/5)&gt;MAX((MIN(80,MAX(1,INT(((CROQUIS!$C$98)-CROQUIS!$C$107)/MAX(CROQUIS!$C$130,1))+1)))-1,0),0,MOD($A116-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116-1)/5),MAX((MIN(80,MAX(1,INT(((CROQUIS!$C$98)-CROQUIS!$C$107)/MAX(CROQUIS!$C$130,1))+1)))-1,0))*CROQUIS!$C$130)))*CROQUIS!$C$155)+IF(CROQUIS!$C$92="X",0,0)),-1000)</f>
        <v>-1000</v>
      </c>
      <c r="BO11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116-1)/5),MAX((MIN(80,MAX(1,INT(((CROQUIS!$C$98)-CROQUIS!$C$107)/MAX(CROQUIS!$C$130,1))+1)))-1,0))*CROQUIS!$C$130),CHOOSE(IF(INT(($A116-1)/5)&gt;MAX((MIN(80,MAX(1,INT(((CROQUIS!$C$98)-CROQUIS!$C$107)/MAX(CROQUIS!$C$130,1))+1)))-1,0),0,MOD($A116-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1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116-1)/5),MAX((MIN(80,MAX(1,INT(((CROQUIS!$C$97)-CROQUIS!$C$107)/MAX(CROQUIS!$C$138,1))+1)))-1,0))*CROQUIS!$C$138),CHOOSE(IF(INT(($A116-1)/5)&gt;MAX((MIN(80,MAX(1,INT(((CROQUIS!$C$97)-CROQUIS!$C$107)/MAX(CROQUIS!$C$138,1))+1)))-1,0),0,MOD($A116-1,5))+1,0,IF(CROQUIS!$C$105=1,-12,2),CROQUIS!$C$107/2+CROQUIS!$C$141,IF(CROQUIS!$C$105=1,-12,2),0)))*CROQUIS!$C$155)+IF(CROQUIS!$C$92="X",0,0)),-1000)</f>
        <v>-1000</v>
      </c>
      <c r="BQ116">
        <f>IF(AND(CROQUIS!$C$88=1,CROQUIS!$C$91=0,CROQUIS!$C$138&gt;0,OR(CROQUIS!$C$105=1,CROQUIS!$C$143=1)),((CROQUIS!$C$157+(IF(CROQUIS!$C$92="X",CHOOSE(IF(INT(($A116-1)/5)&gt;MAX((MIN(80,MAX(1,INT(((CROQUIS!$C$97)-CROQUIS!$C$107)/MAX(CROQUIS!$C$138,1))+1)))-1,0),0,MOD($A116-1,5))+1,0,IF(CROQUIS!$C$105=1,-12,2),CROQUIS!$C$107/2+CROQUIS!$C$141,IF(CROQUIS!$C$105=1,-12,2),0),((CROQUIS!$C$107/2+(((CROQUIS!$C$97)-CROQUIS!$C$107)-(MIN(80,MAX(1,INT(((CROQUIS!$C$97)-CROQUIS!$C$107)/MAX(CROQUIS!$C$138,1))+1))-1)*CROQUIS!$C$138)/2)+MIN(INT(($A116-1)/5),MAX((MIN(80,MAX(1,INT(((CROQUIS!$C$97)-CROQUIS!$C$107)/MAX(CROQUIS!$C$138,1))+1)))-1,0))*CROQUIS!$C$138)))*CROQUIS!$C$155)+IF(CROQUIS!$C$92="X",0,0)),-1000)</f>
        <v>-1000</v>
      </c>
      <c r="BR11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116-1)/5),MAX((MIN(80,MAX(1,INT(((CROQUIS!$C$97)-CROQUIS!$C$107)/MAX(CROQUIS!$C$138,1))+1)))-1,0))*CROQUIS!$C$138),CHOOSE(IF(INT(($A116-1)/5)&gt;MAX((MIN(80,MAX(1,INT(((CROQUIS!$C$97)-CROQUIS!$C$107)/MAX(CROQUIS!$C$138,1))+1)))-1,0),0,MOD($A116-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16">
        <f>IF(AND(CROQUIS!$C$88=1,CROQUIS!$C$91=0,CROQUIS!$C$138&gt;0,OR(CROQUIS!$C$106=1,CROQUIS!$C$143=1)),((CROQUIS!$C$157+(IF(CROQUIS!$C$92="X",CHOOSE(IF(INT(($A116-1)/5)&gt;MAX((MIN(80,MAX(1,INT(((CROQUIS!$C$97)-CROQUIS!$C$107)/MAX(CROQUIS!$C$138,1))+1)))-1,0),0,MOD($A116-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116-1)/5),MAX((MIN(80,MAX(1,INT(((CROQUIS!$C$97)-CROQUIS!$C$107)/MAX(CROQUIS!$C$138,1))+1)))-1,0))*CROQUIS!$C$138)))*CROQUIS!$C$155)+IF(CROQUIS!$C$92="X",0,0)),-1000)</f>
        <v>-1000</v>
      </c>
      <c r="BT116">
        <f>IF(AND(CROQUIS!$C$88=1,CROQUIS!$C$91=1,CROQUIS!$C$130&gt;0),((CROQUIS!$C$156+(IF(CROQUIS!$C$92="X",CHOOSE(IF(INT(($A116-1)/5)&gt;MAX((MIN(80,MAX(1,INT(((CROQUIS!$C$98)-CROQUIS!$C$107)/MAX(CROQUIS!$C$130,1))+1)))-1,0),0,MOD($A116-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116-1)/5),MAX((MIN(80,MAX(1,INT(((CROQUIS!$C$98)-CROQUIS!$C$107)/MAX(CROQUIS!$C$130,1))+1)))-1,0))*CROQUIS!$C$130)))*CROQUIS!$C$155)+IF(CROQUIS!$C$92="X",0,0)),-1000)</f>
        <v>-1000</v>
      </c>
      <c r="BU116">
        <f>IF(AND(CROQUIS!$C$88=1,CROQUIS!$C$91=1,CROQUIS!$C$130&gt;0),((CROQUIS!$C$157+(IF(CROQUIS!$C$92="X",((CROQUIS!$C$107/2+(((CROQUIS!$C$98)-CROQUIS!$C$107)-(MIN(80,MAX(1,INT(((CROQUIS!$C$98)-CROQUIS!$C$107)/MAX(CROQUIS!$C$130,1))+1))-1)*CROQUIS!$C$130)/2)+MIN(INT(($A116-1)/5),MAX((MIN(80,MAX(1,INT(((CROQUIS!$C$98)-CROQUIS!$C$107)/MAX(CROQUIS!$C$130,1))+1)))-1,0))*CROQUIS!$C$130),CHOOSE(IF(INT(($A116-1)/5)&gt;MAX((MIN(80,MAX(1,INT(((CROQUIS!$C$98)-CROQUIS!$C$107)/MAX(CROQUIS!$C$130,1))+1)))-1,0),0,MOD($A116-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17">
      <c r="A117" t="n">
        <v>110</v>
      </c>
      <c r="BH117">
        <f>IF(AND(CROQUIS!$C$88=1,CROQUIS!$C$126&gt;0),((CROQUIS!$C$156+(IF(CROQUIS!$C$92="X",CHOOSE(IF(INT(($A117-1)/5)&gt;MAX((MIN(80,MAX(1,INT(((CROQUIS!$C$98)-CROQUIS!$C$107)/MAX(CROQUIS!$C$126,1))+1)))-1,0),0,MOD($A117-1,5))+1,0,2,CROQUIS!$C$97-2,2,0),((CROQUIS!$C$107/2+(((CROQUIS!$C$98)-CROQUIS!$C$107)-(MIN(80,MAX(1,INT(((CROQUIS!$C$98)-CROQUIS!$C$107)/MAX(CROQUIS!$C$126,1))+1))-1)*CROQUIS!$C$126)/2)+MIN(INT(($A117-1)/5),MAX((MIN(80,MAX(1,INT(((CROQUIS!$C$98)-CROQUIS!$C$107)/MAX(CROQUIS!$C$126,1))+1)))-1,0))*CROQUIS!$C$126)))*CROQUIS!$C$155)+IF(CROQUIS!$C$92="X",0,0)),-1000)</f>
        <v>-1000</v>
      </c>
      <c r="BI117">
        <f>IF(AND(CROQUIS!$C$88=1,CROQUIS!$C$126&gt;0),((CROQUIS!$C$157+(IF(CROQUIS!$C$92="X",((CROQUIS!$C$107/2+(((CROQUIS!$C$98)-CROQUIS!$C$107)-(MIN(80,MAX(1,INT(((CROQUIS!$C$98)-CROQUIS!$C$107)/MAX(CROQUIS!$C$126,1))+1))-1)*CROQUIS!$C$126)/2)+MIN(INT(($A117-1)/5),MAX((MIN(80,MAX(1,INT(((CROQUIS!$C$98)-CROQUIS!$C$107)/MAX(CROQUIS!$C$126,1))+1)))-1,0))*CROQUIS!$C$126),CHOOSE(IF(INT(($A117-1)/5)&gt;MAX((MIN(80,MAX(1,INT(((CROQUIS!$C$98)-CROQUIS!$C$107)/MAX(CROQUIS!$C$126,1))+1)))-1,0),0,MOD($A117-1,5))+1,0,2,CROQUIS!$C$97-2,2,0)))*CROQUIS!$C$155)+IF(CROQUIS!$C$92="X",0,0)),-1000)</f>
        <v>-1000</v>
      </c>
      <c r="BJ117">
        <f>IF(AND(CROQUIS!$C$88=1,CROQUIS!$C$134&gt;0),((CROQUIS!$C$156+(IF(CROQUIS!$C$92="X",((CROQUIS!$C$107/2+(((CROQUIS!$C$97)-CROQUIS!$C$107)-(MIN(80,MAX(1,INT(((CROQUIS!$C$97)-CROQUIS!$C$107)/MAX(CROQUIS!$C$134,1))+1))-1)*CROQUIS!$C$134)/2)+MIN(INT(($A117-1)/5),MAX((MIN(80,MAX(1,INT(((CROQUIS!$C$97)-CROQUIS!$C$107)/MAX(CROQUIS!$C$134,1))+1)))-1,0))*CROQUIS!$C$134),CHOOSE(IF(INT(($A117-1)/5)&gt;MAX((MIN(80,MAX(1,INT(((CROQUIS!$C$97)-CROQUIS!$C$107)/MAX(CROQUIS!$C$134,1))+1)))-1,0),0,MOD($A117-1,5))+1,0,2,CROQUIS!$C$98-2,2,0)))*CROQUIS!$C$155)+IF(CROQUIS!$C$92="X",0,0)),-1000)</f>
        <v>-1000</v>
      </c>
      <c r="BK117">
        <f>IF(AND(CROQUIS!$C$88=1,CROQUIS!$C$134&gt;0),((CROQUIS!$C$157+(IF(CROQUIS!$C$92="X",CHOOSE(IF(INT(($A117-1)/5)&gt;MAX((MIN(80,MAX(1,INT(((CROQUIS!$C$97)-CROQUIS!$C$107)/MAX(CROQUIS!$C$134,1))+1)))-1,0),0,MOD($A117-1,5))+1,0,2,CROQUIS!$C$98-2,2,0),((CROQUIS!$C$107/2+(((CROQUIS!$C$97)-CROQUIS!$C$107)-(MIN(80,MAX(1,INT(((CROQUIS!$C$97)-CROQUIS!$C$107)/MAX(CROQUIS!$C$134,1))+1))-1)*CROQUIS!$C$134)/2)+MIN(INT(($A117-1)/5),MAX((MIN(80,MAX(1,INT(((CROQUIS!$C$97)-CROQUIS!$C$107)/MAX(CROQUIS!$C$134,1))+1)))-1,0))*CROQUIS!$C$134)))*CROQUIS!$C$155)+IF(CROQUIS!$C$92="X",0,0)),-1000)</f>
        <v>-1000</v>
      </c>
      <c r="BL117">
        <f>IF(AND(CROQUIS!$C$88=1,CROQUIS!$C$91=0,CROQUIS!$C$130&gt;0,OR(CROQUIS!$C$103=1,CROQUIS!$C$142=1)),((CROQUIS!$C$156+(IF(CROQUIS!$C$92="X",CHOOSE(IF(INT(($A117-1)/5)&gt;MAX((MIN(80,MAX(1,INT(((CROQUIS!$C$98)-CROQUIS!$C$107)/MAX(CROQUIS!$C$130,1))+1)))-1,0),0,MOD($A117-1,5))+1,0,IF(CROQUIS!$C$103=1,-12,2),CROQUIS!$C$107/2+CROQUIS!$C$140,IF(CROQUIS!$C$103=1,-12,2),0),((CROQUIS!$C$107/2+(((CROQUIS!$C$98)-CROQUIS!$C$107)-(MIN(80,MAX(1,INT(((CROQUIS!$C$98)-CROQUIS!$C$107)/MAX(CROQUIS!$C$130,1))+1))-1)*CROQUIS!$C$130)/2)+MIN(INT(($A117-1)/5),MAX((MIN(80,MAX(1,INT(((CROQUIS!$C$98)-CROQUIS!$C$107)/MAX(CROQUIS!$C$130,1))+1)))-1,0))*CROQUIS!$C$130)))*CROQUIS!$C$155)+IF(CROQUIS!$C$92="X",0,0)),-1000)</f>
        <v>-1000</v>
      </c>
      <c r="BM11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117-1)/5),MAX((MIN(80,MAX(1,INT(((CROQUIS!$C$98)-CROQUIS!$C$107)/MAX(CROQUIS!$C$130,1))+1)))-1,0))*CROQUIS!$C$130),CHOOSE(IF(INT(($A117-1)/5)&gt;MAX((MIN(80,MAX(1,INT(((CROQUIS!$C$98)-CROQUIS!$C$107)/MAX(CROQUIS!$C$130,1))+1)))-1,0),0,MOD($A117-1,5))+1,0,IF(CROQUIS!$C$103=1,-12,2),CROQUIS!$C$107/2+CROQUIS!$C$140,IF(CROQUIS!$C$103=1,-12,2),0)))*CROQUIS!$C$155)+IF(CROQUIS!$C$92="X",0,0)),-1000)</f>
        <v>-1000</v>
      </c>
      <c r="BN117">
        <f>IF(AND(CROQUIS!$C$88=1,CROQUIS!$C$91=0,CROQUIS!$C$130&gt;0,OR(CROQUIS!$C$104=1,CROQUIS!$C$142=1)),((CROQUIS!$C$156+(IF(CROQUIS!$C$92="X",CHOOSE(IF(INT(($A117-1)/5)&gt;MAX((MIN(80,MAX(1,INT(((CROQUIS!$C$98)-CROQUIS!$C$107)/MAX(CROQUIS!$C$130,1))+1)))-1,0),0,MOD($A117-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117-1)/5),MAX((MIN(80,MAX(1,INT(((CROQUIS!$C$98)-CROQUIS!$C$107)/MAX(CROQUIS!$C$130,1))+1)))-1,0))*CROQUIS!$C$130)))*CROQUIS!$C$155)+IF(CROQUIS!$C$92="X",0,0)),-1000)</f>
        <v>-1000</v>
      </c>
      <c r="BO11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117-1)/5),MAX((MIN(80,MAX(1,INT(((CROQUIS!$C$98)-CROQUIS!$C$107)/MAX(CROQUIS!$C$130,1))+1)))-1,0))*CROQUIS!$C$130),CHOOSE(IF(INT(($A117-1)/5)&gt;MAX((MIN(80,MAX(1,INT(((CROQUIS!$C$98)-CROQUIS!$C$107)/MAX(CROQUIS!$C$130,1))+1)))-1,0),0,MOD($A117-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1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117-1)/5),MAX((MIN(80,MAX(1,INT(((CROQUIS!$C$97)-CROQUIS!$C$107)/MAX(CROQUIS!$C$138,1))+1)))-1,0))*CROQUIS!$C$138),CHOOSE(IF(INT(($A117-1)/5)&gt;MAX((MIN(80,MAX(1,INT(((CROQUIS!$C$97)-CROQUIS!$C$107)/MAX(CROQUIS!$C$138,1))+1)))-1,0),0,MOD($A117-1,5))+1,0,IF(CROQUIS!$C$105=1,-12,2),CROQUIS!$C$107/2+CROQUIS!$C$141,IF(CROQUIS!$C$105=1,-12,2),0)))*CROQUIS!$C$155)+IF(CROQUIS!$C$92="X",0,0)),-1000)</f>
        <v>-1000</v>
      </c>
      <c r="BQ117">
        <f>IF(AND(CROQUIS!$C$88=1,CROQUIS!$C$91=0,CROQUIS!$C$138&gt;0,OR(CROQUIS!$C$105=1,CROQUIS!$C$143=1)),((CROQUIS!$C$157+(IF(CROQUIS!$C$92="X",CHOOSE(IF(INT(($A117-1)/5)&gt;MAX((MIN(80,MAX(1,INT(((CROQUIS!$C$97)-CROQUIS!$C$107)/MAX(CROQUIS!$C$138,1))+1)))-1,0),0,MOD($A117-1,5))+1,0,IF(CROQUIS!$C$105=1,-12,2),CROQUIS!$C$107/2+CROQUIS!$C$141,IF(CROQUIS!$C$105=1,-12,2),0),((CROQUIS!$C$107/2+(((CROQUIS!$C$97)-CROQUIS!$C$107)-(MIN(80,MAX(1,INT(((CROQUIS!$C$97)-CROQUIS!$C$107)/MAX(CROQUIS!$C$138,1))+1))-1)*CROQUIS!$C$138)/2)+MIN(INT(($A117-1)/5),MAX((MIN(80,MAX(1,INT(((CROQUIS!$C$97)-CROQUIS!$C$107)/MAX(CROQUIS!$C$138,1))+1)))-1,0))*CROQUIS!$C$138)))*CROQUIS!$C$155)+IF(CROQUIS!$C$92="X",0,0)),-1000)</f>
        <v>-1000</v>
      </c>
      <c r="BR11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117-1)/5),MAX((MIN(80,MAX(1,INT(((CROQUIS!$C$97)-CROQUIS!$C$107)/MAX(CROQUIS!$C$138,1))+1)))-1,0))*CROQUIS!$C$138),CHOOSE(IF(INT(($A117-1)/5)&gt;MAX((MIN(80,MAX(1,INT(((CROQUIS!$C$97)-CROQUIS!$C$107)/MAX(CROQUIS!$C$138,1))+1)))-1,0),0,MOD($A117-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17">
        <f>IF(AND(CROQUIS!$C$88=1,CROQUIS!$C$91=0,CROQUIS!$C$138&gt;0,OR(CROQUIS!$C$106=1,CROQUIS!$C$143=1)),((CROQUIS!$C$157+(IF(CROQUIS!$C$92="X",CHOOSE(IF(INT(($A117-1)/5)&gt;MAX((MIN(80,MAX(1,INT(((CROQUIS!$C$97)-CROQUIS!$C$107)/MAX(CROQUIS!$C$138,1))+1)))-1,0),0,MOD($A117-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117-1)/5),MAX((MIN(80,MAX(1,INT(((CROQUIS!$C$97)-CROQUIS!$C$107)/MAX(CROQUIS!$C$138,1))+1)))-1,0))*CROQUIS!$C$138)))*CROQUIS!$C$155)+IF(CROQUIS!$C$92="X",0,0)),-1000)</f>
        <v>-1000</v>
      </c>
      <c r="BT117">
        <f>IF(AND(CROQUIS!$C$88=1,CROQUIS!$C$91=1,CROQUIS!$C$130&gt;0),((CROQUIS!$C$156+(IF(CROQUIS!$C$92="X",CHOOSE(IF(INT(($A117-1)/5)&gt;MAX((MIN(80,MAX(1,INT(((CROQUIS!$C$98)-CROQUIS!$C$107)/MAX(CROQUIS!$C$130,1))+1)))-1,0),0,MOD($A117-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117-1)/5),MAX((MIN(80,MAX(1,INT(((CROQUIS!$C$98)-CROQUIS!$C$107)/MAX(CROQUIS!$C$130,1))+1)))-1,0))*CROQUIS!$C$130)))*CROQUIS!$C$155)+IF(CROQUIS!$C$92="X",0,0)),-1000)</f>
        <v>-1000</v>
      </c>
      <c r="BU117">
        <f>IF(AND(CROQUIS!$C$88=1,CROQUIS!$C$91=1,CROQUIS!$C$130&gt;0),((CROQUIS!$C$157+(IF(CROQUIS!$C$92="X",((CROQUIS!$C$107/2+(((CROQUIS!$C$98)-CROQUIS!$C$107)-(MIN(80,MAX(1,INT(((CROQUIS!$C$98)-CROQUIS!$C$107)/MAX(CROQUIS!$C$130,1))+1))-1)*CROQUIS!$C$130)/2)+MIN(INT(($A117-1)/5),MAX((MIN(80,MAX(1,INT(((CROQUIS!$C$98)-CROQUIS!$C$107)/MAX(CROQUIS!$C$130,1))+1)))-1,0))*CROQUIS!$C$130),CHOOSE(IF(INT(($A117-1)/5)&gt;MAX((MIN(80,MAX(1,INT(((CROQUIS!$C$98)-CROQUIS!$C$107)/MAX(CROQUIS!$C$130,1))+1)))-1,0),0,MOD($A117-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18">
      <c r="A118" t="n">
        <v>111</v>
      </c>
      <c r="BH118">
        <f>IF(AND(CROQUIS!$C$88=1,CROQUIS!$C$126&gt;0),((CROQUIS!$C$156+(IF(CROQUIS!$C$92="X",CHOOSE(IF(INT(($A118-1)/5)&gt;MAX((MIN(80,MAX(1,INT(((CROQUIS!$C$98)-CROQUIS!$C$107)/MAX(CROQUIS!$C$126,1))+1)))-1,0),0,MOD($A118-1,5))+1,0,2,CROQUIS!$C$97-2,2,0),((CROQUIS!$C$107/2+(((CROQUIS!$C$98)-CROQUIS!$C$107)-(MIN(80,MAX(1,INT(((CROQUIS!$C$98)-CROQUIS!$C$107)/MAX(CROQUIS!$C$126,1))+1))-1)*CROQUIS!$C$126)/2)+MIN(INT(($A118-1)/5),MAX((MIN(80,MAX(1,INT(((CROQUIS!$C$98)-CROQUIS!$C$107)/MAX(CROQUIS!$C$126,1))+1)))-1,0))*CROQUIS!$C$126)))*CROQUIS!$C$155)+IF(CROQUIS!$C$92="X",0,0)),-1000)</f>
        <v>-1000</v>
      </c>
      <c r="BI118">
        <f>IF(AND(CROQUIS!$C$88=1,CROQUIS!$C$126&gt;0),((CROQUIS!$C$157+(IF(CROQUIS!$C$92="X",((CROQUIS!$C$107/2+(((CROQUIS!$C$98)-CROQUIS!$C$107)-(MIN(80,MAX(1,INT(((CROQUIS!$C$98)-CROQUIS!$C$107)/MAX(CROQUIS!$C$126,1))+1))-1)*CROQUIS!$C$126)/2)+MIN(INT(($A118-1)/5),MAX((MIN(80,MAX(1,INT(((CROQUIS!$C$98)-CROQUIS!$C$107)/MAX(CROQUIS!$C$126,1))+1)))-1,0))*CROQUIS!$C$126),CHOOSE(IF(INT(($A118-1)/5)&gt;MAX((MIN(80,MAX(1,INT(((CROQUIS!$C$98)-CROQUIS!$C$107)/MAX(CROQUIS!$C$126,1))+1)))-1,0),0,MOD($A118-1,5))+1,0,2,CROQUIS!$C$97-2,2,0)))*CROQUIS!$C$155)+IF(CROQUIS!$C$92="X",0,0)),-1000)</f>
        <v>-1000</v>
      </c>
      <c r="BJ118">
        <f>IF(AND(CROQUIS!$C$88=1,CROQUIS!$C$134&gt;0),((CROQUIS!$C$156+(IF(CROQUIS!$C$92="X",((CROQUIS!$C$107/2+(((CROQUIS!$C$97)-CROQUIS!$C$107)-(MIN(80,MAX(1,INT(((CROQUIS!$C$97)-CROQUIS!$C$107)/MAX(CROQUIS!$C$134,1))+1))-1)*CROQUIS!$C$134)/2)+MIN(INT(($A118-1)/5),MAX((MIN(80,MAX(1,INT(((CROQUIS!$C$97)-CROQUIS!$C$107)/MAX(CROQUIS!$C$134,1))+1)))-1,0))*CROQUIS!$C$134),CHOOSE(IF(INT(($A118-1)/5)&gt;MAX((MIN(80,MAX(1,INT(((CROQUIS!$C$97)-CROQUIS!$C$107)/MAX(CROQUIS!$C$134,1))+1)))-1,0),0,MOD($A118-1,5))+1,0,2,CROQUIS!$C$98-2,2,0)))*CROQUIS!$C$155)+IF(CROQUIS!$C$92="X",0,0)),-1000)</f>
        <v>-1000</v>
      </c>
      <c r="BK118">
        <f>IF(AND(CROQUIS!$C$88=1,CROQUIS!$C$134&gt;0),((CROQUIS!$C$157+(IF(CROQUIS!$C$92="X",CHOOSE(IF(INT(($A118-1)/5)&gt;MAX((MIN(80,MAX(1,INT(((CROQUIS!$C$97)-CROQUIS!$C$107)/MAX(CROQUIS!$C$134,1))+1)))-1,0),0,MOD($A118-1,5))+1,0,2,CROQUIS!$C$98-2,2,0),((CROQUIS!$C$107/2+(((CROQUIS!$C$97)-CROQUIS!$C$107)-(MIN(80,MAX(1,INT(((CROQUIS!$C$97)-CROQUIS!$C$107)/MAX(CROQUIS!$C$134,1))+1))-1)*CROQUIS!$C$134)/2)+MIN(INT(($A118-1)/5),MAX((MIN(80,MAX(1,INT(((CROQUIS!$C$97)-CROQUIS!$C$107)/MAX(CROQUIS!$C$134,1))+1)))-1,0))*CROQUIS!$C$134)))*CROQUIS!$C$155)+IF(CROQUIS!$C$92="X",0,0)),-1000)</f>
        <v>-1000</v>
      </c>
      <c r="BL118">
        <f>IF(AND(CROQUIS!$C$88=1,CROQUIS!$C$91=0,CROQUIS!$C$130&gt;0,OR(CROQUIS!$C$103=1,CROQUIS!$C$142=1)),((CROQUIS!$C$156+(IF(CROQUIS!$C$92="X",CHOOSE(IF(INT(($A118-1)/5)&gt;MAX((MIN(80,MAX(1,INT(((CROQUIS!$C$98)-CROQUIS!$C$107)/MAX(CROQUIS!$C$130,1))+1)))-1,0),0,MOD($A118-1,5))+1,0,IF(CROQUIS!$C$103=1,-12,2),CROQUIS!$C$107/2+CROQUIS!$C$140,IF(CROQUIS!$C$103=1,-12,2),0),((CROQUIS!$C$107/2+(((CROQUIS!$C$98)-CROQUIS!$C$107)-(MIN(80,MAX(1,INT(((CROQUIS!$C$98)-CROQUIS!$C$107)/MAX(CROQUIS!$C$130,1))+1))-1)*CROQUIS!$C$130)/2)+MIN(INT(($A118-1)/5),MAX((MIN(80,MAX(1,INT(((CROQUIS!$C$98)-CROQUIS!$C$107)/MAX(CROQUIS!$C$130,1))+1)))-1,0))*CROQUIS!$C$130)))*CROQUIS!$C$155)+IF(CROQUIS!$C$92="X",0,0)),-1000)</f>
        <v>-1000</v>
      </c>
      <c r="BM11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118-1)/5),MAX((MIN(80,MAX(1,INT(((CROQUIS!$C$98)-CROQUIS!$C$107)/MAX(CROQUIS!$C$130,1))+1)))-1,0))*CROQUIS!$C$130),CHOOSE(IF(INT(($A118-1)/5)&gt;MAX((MIN(80,MAX(1,INT(((CROQUIS!$C$98)-CROQUIS!$C$107)/MAX(CROQUIS!$C$130,1))+1)))-1,0),0,MOD($A118-1,5))+1,0,IF(CROQUIS!$C$103=1,-12,2),CROQUIS!$C$107/2+CROQUIS!$C$140,IF(CROQUIS!$C$103=1,-12,2),0)))*CROQUIS!$C$155)+IF(CROQUIS!$C$92="X",0,0)),-1000)</f>
        <v>-1000</v>
      </c>
      <c r="BN118">
        <f>IF(AND(CROQUIS!$C$88=1,CROQUIS!$C$91=0,CROQUIS!$C$130&gt;0,OR(CROQUIS!$C$104=1,CROQUIS!$C$142=1)),((CROQUIS!$C$156+(IF(CROQUIS!$C$92="X",CHOOSE(IF(INT(($A118-1)/5)&gt;MAX((MIN(80,MAX(1,INT(((CROQUIS!$C$98)-CROQUIS!$C$107)/MAX(CROQUIS!$C$130,1))+1)))-1,0),0,MOD($A118-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118-1)/5),MAX((MIN(80,MAX(1,INT(((CROQUIS!$C$98)-CROQUIS!$C$107)/MAX(CROQUIS!$C$130,1))+1)))-1,0))*CROQUIS!$C$130)))*CROQUIS!$C$155)+IF(CROQUIS!$C$92="X",0,0)),-1000)</f>
        <v>-1000</v>
      </c>
      <c r="BO11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118-1)/5),MAX((MIN(80,MAX(1,INT(((CROQUIS!$C$98)-CROQUIS!$C$107)/MAX(CROQUIS!$C$130,1))+1)))-1,0))*CROQUIS!$C$130),CHOOSE(IF(INT(($A118-1)/5)&gt;MAX((MIN(80,MAX(1,INT(((CROQUIS!$C$98)-CROQUIS!$C$107)/MAX(CROQUIS!$C$130,1))+1)))-1,0),0,MOD($A118-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1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118-1)/5),MAX((MIN(80,MAX(1,INT(((CROQUIS!$C$97)-CROQUIS!$C$107)/MAX(CROQUIS!$C$138,1))+1)))-1,0))*CROQUIS!$C$138),CHOOSE(IF(INT(($A118-1)/5)&gt;MAX((MIN(80,MAX(1,INT(((CROQUIS!$C$97)-CROQUIS!$C$107)/MAX(CROQUIS!$C$138,1))+1)))-1,0),0,MOD($A118-1,5))+1,0,IF(CROQUIS!$C$105=1,-12,2),CROQUIS!$C$107/2+CROQUIS!$C$141,IF(CROQUIS!$C$105=1,-12,2),0)))*CROQUIS!$C$155)+IF(CROQUIS!$C$92="X",0,0)),-1000)</f>
        <v>-1000</v>
      </c>
      <c r="BQ118">
        <f>IF(AND(CROQUIS!$C$88=1,CROQUIS!$C$91=0,CROQUIS!$C$138&gt;0,OR(CROQUIS!$C$105=1,CROQUIS!$C$143=1)),((CROQUIS!$C$157+(IF(CROQUIS!$C$92="X",CHOOSE(IF(INT(($A118-1)/5)&gt;MAX((MIN(80,MAX(1,INT(((CROQUIS!$C$97)-CROQUIS!$C$107)/MAX(CROQUIS!$C$138,1))+1)))-1,0),0,MOD($A118-1,5))+1,0,IF(CROQUIS!$C$105=1,-12,2),CROQUIS!$C$107/2+CROQUIS!$C$141,IF(CROQUIS!$C$105=1,-12,2),0),((CROQUIS!$C$107/2+(((CROQUIS!$C$97)-CROQUIS!$C$107)-(MIN(80,MAX(1,INT(((CROQUIS!$C$97)-CROQUIS!$C$107)/MAX(CROQUIS!$C$138,1))+1))-1)*CROQUIS!$C$138)/2)+MIN(INT(($A118-1)/5),MAX((MIN(80,MAX(1,INT(((CROQUIS!$C$97)-CROQUIS!$C$107)/MAX(CROQUIS!$C$138,1))+1)))-1,0))*CROQUIS!$C$138)))*CROQUIS!$C$155)+IF(CROQUIS!$C$92="X",0,0)),-1000)</f>
        <v>-1000</v>
      </c>
      <c r="BR11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118-1)/5),MAX((MIN(80,MAX(1,INT(((CROQUIS!$C$97)-CROQUIS!$C$107)/MAX(CROQUIS!$C$138,1))+1)))-1,0))*CROQUIS!$C$138),CHOOSE(IF(INT(($A118-1)/5)&gt;MAX((MIN(80,MAX(1,INT(((CROQUIS!$C$97)-CROQUIS!$C$107)/MAX(CROQUIS!$C$138,1))+1)))-1,0),0,MOD($A118-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18">
        <f>IF(AND(CROQUIS!$C$88=1,CROQUIS!$C$91=0,CROQUIS!$C$138&gt;0,OR(CROQUIS!$C$106=1,CROQUIS!$C$143=1)),((CROQUIS!$C$157+(IF(CROQUIS!$C$92="X",CHOOSE(IF(INT(($A118-1)/5)&gt;MAX((MIN(80,MAX(1,INT(((CROQUIS!$C$97)-CROQUIS!$C$107)/MAX(CROQUIS!$C$138,1))+1)))-1,0),0,MOD($A118-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118-1)/5),MAX((MIN(80,MAX(1,INT(((CROQUIS!$C$97)-CROQUIS!$C$107)/MAX(CROQUIS!$C$138,1))+1)))-1,0))*CROQUIS!$C$138)))*CROQUIS!$C$155)+IF(CROQUIS!$C$92="X",0,0)),-1000)</f>
        <v>-1000</v>
      </c>
      <c r="BT118">
        <f>IF(AND(CROQUIS!$C$88=1,CROQUIS!$C$91=1,CROQUIS!$C$130&gt;0),((CROQUIS!$C$156+(IF(CROQUIS!$C$92="X",CHOOSE(IF(INT(($A118-1)/5)&gt;MAX((MIN(80,MAX(1,INT(((CROQUIS!$C$98)-CROQUIS!$C$107)/MAX(CROQUIS!$C$130,1))+1)))-1,0),0,MOD($A118-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118-1)/5),MAX((MIN(80,MAX(1,INT(((CROQUIS!$C$98)-CROQUIS!$C$107)/MAX(CROQUIS!$C$130,1))+1)))-1,0))*CROQUIS!$C$130)))*CROQUIS!$C$155)+IF(CROQUIS!$C$92="X",0,0)),-1000)</f>
        <v>-1000</v>
      </c>
      <c r="BU118">
        <f>IF(AND(CROQUIS!$C$88=1,CROQUIS!$C$91=1,CROQUIS!$C$130&gt;0),((CROQUIS!$C$157+(IF(CROQUIS!$C$92="X",((CROQUIS!$C$107/2+(((CROQUIS!$C$98)-CROQUIS!$C$107)-(MIN(80,MAX(1,INT(((CROQUIS!$C$98)-CROQUIS!$C$107)/MAX(CROQUIS!$C$130,1))+1))-1)*CROQUIS!$C$130)/2)+MIN(INT(($A118-1)/5),MAX((MIN(80,MAX(1,INT(((CROQUIS!$C$98)-CROQUIS!$C$107)/MAX(CROQUIS!$C$130,1))+1)))-1,0))*CROQUIS!$C$130),CHOOSE(IF(INT(($A118-1)/5)&gt;MAX((MIN(80,MAX(1,INT(((CROQUIS!$C$98)-CROQUIS!$C$107)/MAX(CROQUIS!$C$130,1))+1)))-1,0),0,MOD($A118-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19">
      <c r="A119" t="n">
        <v>112</v>
      </c>
      <c r="BH119">
        <f>IF(AND(CROQUIS!$C$88=1,CROQUIS!$C$126&gt;0),((CROQUIS!$C$156+(IF(CROQUIS!$C$92="X",CHOOSE(IF(INT(($A119-1)/5)&gt;MAX((MIN(80,MAX(1,INT(((CROQUIS!$C$98)-CROQUIS!$C$107)/MAX(CROQUIS!$C$126,1))+1)))-1,0),0,MOD($A119-1,5))+1,0,2,CROQUIS!$C$97-2,2,0),((CROQUIS!$C$107/2+(((CROQUIS!$C$98)-CROQUIS!$C$107)-(MIN(80,MAX(1,INT(((CROQUIS!$C$98)-CROQUIS!$C$107)/MAX(CROQUIS!$C$126,1))+1))-1)*CROQUIS!$C$126)/2)+MIN(INT(($A119-1)/5),MAX((MIN(80,MAX(1,INT(((CROQUIS!$C$98)-CROQUIS!$C$107)/MAX(CROQUIS!$C$126,1))+1)))-1,0))*CROQUIS!$C$126)))*CROQUIS!$C$155)+IF(CROQUIS!$C$92="X",0,0)),-1000)</f>
        <v>-1000</v>
      </c>
      <c r="BI119">
        <f>IF(AND(CROQUIS!$C$88=1,CROQUIS!$C$126&gt;0),((CROQUIS!$C$157+(IF(CROQUIS!$C$92="X",((CROQUIS!$C$107/2+(((CROQUIS!$C$98)-CROQUIS!$C$107)-(MIN(80,MAX(1,INT(((CROQUIS!$C$98)-CROQUIS!$C$107)/MAX(CROQUIS!$C$126,1))+1))-1)*CROQUIS!$C$126)/2)+MIN(INT(($A119-1)/5),MAX((MIN(80,MAX(1,INT(((CROQUIS!$C$98)-CROQUIS!$C$107)/MAX(CROQUIS!$C$126,1))+1)))-1,0))*CROQUIS!$C$126),CHOOSE(IF(INT(($A119-1)/5)&gt;MAX((MIN(80,MAX(1,INT(((CROQUIS!$C$98)-CROQUIS!$C$107)/MAX(CROQUIS!$C$126,1))+1)))-1,0),0,MOD($A119-1,5))+1,0,2,CROQUIS!$C$97-2,2,0)))*CROQUIS!$C$155)+IF(CROQUIS!$C$92="X",0,0)),-1000)</f>
        <v>-1000</v>
      </c>
      <c r="BJ119">
        <f>IF(AND(CROQUIS!$C$88=1,CROQUIS!$C$134&gt;0),((CROQUIS!$C$156+(IF(CROQUIS!$C$92="X",((CROQUIS!$C$107/2+(((CROQUIS!$C$97)-CROQUIS!$C$107)-(MIN(80,MAX(1,INT(((CROQUIS!$C$97)-CROQUIS!$C$107)/MAX(CROQUIS!$C$134,1))+1))-1)*CROQUIS!$C$134)/2)+MIN(INT(($A119-1)/5),MAX((MIN(80,MAX(1,INT(((CROQUIS!$C$97)-CROQUIS!$C$107)/MAX(CROQUIS!$C$134,1))+1)))-1,0))*CROQUIS!$C$134),CHOOSE(IF(INT(($A119-1)/5)&gt;MAX((MIN(80,MAX(1,INT(((CROQUIS!$C$97)-CROQUIS!$C$107)/MAX(CROQUIS!$C$134,1))+1)))-1,0),0,MOD($A119-1,5))+1,0,2,CROQUIS!$C$98-2,2,0)))*CROQUIS!$C$155)+IF(CROQUIS!$C$92="X",0,0)),-1000)</f>
        <v>-1000</v>
      </c>
      <c r="BK119">
        <f>IF(AND(CROQUIS!$C$88=1,CROQUIS!$C$134&gt;0),((CROQUIS!$C$157+(IF(CROQUIS!$C$92="X",CHOOSE(IF(INT(($A119-1)/5)&gt;MAX((MIN(80,MAX(1,INT(((CROQUIS!$C$97)-CROQUIS!$C$107)/MAX(CROQUIS!$C$134,1))+1)))-1,0),0,MOD($A119-1,5))+1,0,2,CROQUIS!$C$98-2,2,0),((CROQUIS!$C$107/2+(((CROQUIS!$C$97)-CROQUIS!$C$107)-(MIN(80,MAX(1,INT(((CROQUIS!$C$97)-CROQUIS!$C$107)/MAX(CROQUIS!$C$134,1))+1))-1)*CROQUIS!$C$134)/2)+MIN(INT(($A119-1)/5),MAX((MIN(80,MAX(1,INT(((CROQUIS!$C$97)-CROQUIS!$C$107)/MAX(CROQUIS!$C$134,1))+1)))-1,0))*CROQUIS!$C$134)))*CROQUIS!$C$155)+IF(CROQUIS!$C$92="X",0,0)),-1000)</f>
        <v>-1000</v>
      </c>
      <c r="BL119">
        <f>IF(AND(CROQUIS!$C$88=1,CROQUIS!$C$91=0,CROQUIS!$C$130&gt;0,OR(CROQUIS!$C$103=1,CROQUIS!$C$142=1)),((CROQUIS!$C$156+(IF(CROQUIS!$C$92="X",CHOOSE(IF(INT(($A119-1)/5)&gt;MAX((MIN(80,MAX(1,INT(((CROQUIS!$C$98)-CROQUIS!$C$107)/MAX(CROQUIS!$C$130,1))+1)))-1,0),0,MOD($A119-1,5))+1,0,IF(CROQUIS!$C$103=1,-12,2),CROQUIS!$C$107/2+CROQUIS!$C$140,IF(CROQUIS!$C$103=1,-12,2),0),((CROQUIS!$C$107/2+(((CROQUIS!$C$98)-CROQUIS!$C$107)-(MIN(80,MAX(1,INT(((CROQUIS!$C$98)-CROQUIS!$C$107)/MAX(CROQUIS!$C$130,1))+1))-1)*CROQUIS!$C$130)/2)+MIN(INT(($A119-1)/5),MAX((MIN(80,MAX(1,INT(((CROQUIS!$C$98)-CROQUIS!$C$107)/MAX(CROQUIS!$C$130,1))+1)))-1,0))*CROQUIS!$C$130)))*CROQUIS!$C$155)+IF(CROQUIS!$C$92="X",0,0)),-1000)</f>
        <v>-1000</v>
      </c>
      <c r="BM11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119-1)/5),MAX((MIN(80,MAX(1,INT(((CROQUIS!$C$98)-CROQUIS!$C$107)/MAX(CROQUIS!$C$130,1))+1)))-1,0))*CROQUIS!$C$130),CHOOSE(IF(INT(($A119-1)/5)&gt;MAX((MIN(80,MAX(1,INT(((CROQUIS!$C$98)-CROQUIS!$C$107)/MAX(CROQUIS!$C$130,1))+1)))-1,0),0,MOD($A119-1,5))+1,0,IF(CROQUIS!$C$103=1,-12,2),CROQUIS!$C$107/2+CROQUIS!$C$140,IF(CROQUIS!$C$103=1,-12,2),0)))*CROQUIS!$C$155)+IF(CROQUIS!$C$92="X",0,0)),-1000)</f>
        <v>-1000</v>
      </c>
      <c r="BN119">
        <f>IF(AND(CROQUIS!$C$88=1,CROQUIS!$C$91=0,CROQUIS!$C$130&gt;0,OR(CROQUIS!$C$104=1,CROQUIS!$C$142=1)),((CROQUIS!$C$156+(IF(CROQUIS!$C$92="X",CHOOSE(IF(INT(($A119-1)/5)&gt;MAX((MIN(80,MAX(1,INT(((CROQUIS!$C$98)-CROQUIS!$C$107)/MAX(CROQUIS!$C$130,1))+1)))-1,0),0,MOD($A119-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119-1)/5),MAX((MIN(80,MAX(1,INT(((CROQUIS!$C$98)-CROQUIS!$C$107)/MAX(CROQUIS!$C$130,1))+1)))-1,0))*CROQUIS!$C$130)))*CROQUIS!$C$155)+IF(CROQUIS!$C$92="X",0,0)),-1000)</f>
        <v>-1000</v>
      </c>
      <c r="BO11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119-1)/5),MAX((MIN(80,MAX(1,INT(((CROQUIS!$C$98)-CROQUIS!$C$107)/MAX(CROQUIS!$C$130,1))+1)))-1,0))*CROQUIS!$C$130),CHOOSE(IF(INT(($A119-1)/5)&gt;MAX((MIN(80,MAX(1,INT(((CROQUIS!$C$98)-CROQUIS!$C$107)/MAX(CROQUIS!$C$130,1))+1)))-1,0),0,MOD($A119-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1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119-1)/5),MAX((MIN(80,MAX(1,INT(((CROQUIS!$C$97)-CROQUIS!$C$107)/MAX(CROQUIS!$C$138,1))+1)))-1,0))*CROQUIS!$C$138),CHOOSE(IF(INT(($A119-1)/5)&gt;MAX((MIN(80,MAX(1,INT(((CROQUIS!$C$97)-CROQUIS!$C$107)/MAX(CROQUIS!$C$138,1))+1)))-1,0),0,MOD($A119-1,5))+1,0,IF(CROQUIS!$C$105=1,-12,2),CROQUIS!$C$107/2+CROQUIS!$C$141,IF(CROQUIS!$C$105=1,-12,2),0)))*CROQUIS!$C$155)+IF(CROQUIS!$C$92="X",0,0)),-1000)</f>
        <v>-1000</v>
      </c>
      <c r="BQ119">
        <f>IF(AND(CROQUIS!$C$88=1,CROQUIS!$C$91=0,CROQUIS!$C$138&gt;0,OR(CROQUIS!$C$105=1,CROQUIS!$C$143=1)),((CROQUIS!$C$157+(IF(CROQUIS!$C$92="X",CHOOSE(IF(INT(($A119-1)/5)&gt;MAX((MIN(80,MAX(1,INT(((CROQUIS!$C$97)-CROQUIS!$C$107)/MAX(CROQUIS!$C$138,1))+1)))-1,0),0,MOD($A119-1,5))+1,0,IF(CROQUIS!$C$105=1,-12,2),CROQUIS!$C$107/2+CROQUIS!$C$141,IF(CROQUIS!$C$105=1,-12,2),0),((CROQUIS!$C$107/2+(((CROQUIS!$C$97)-CROQUIS!$C$107)-(MIN(80,MAX(1,INT(((CROQUIS!$C$97)-CROQUIS!$C$107)/MAX(CROQUIS!$C$138,1))+1))-1)*CROQUIS!$C$138)/2)+MIN(INT(($A119-1)/5),MAX((MIN(80,MAX(1,INT(((CROQUIS!$C$97)-CROQUIS!$C$107)/MAX(CROQUIS!$C$138,1))+1)))-1,0))*CROQUIS!$C$138)))*CROQUIS!$C$155)+IF(CROQUIS!$C$92="X",0,0)),-1000)</f>
        <v>-1000</v>
      </c>
      <c r="BR11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119-1)/5),MAX((MIN(80,MAX(1,INT(((CROQUIS!$C$97)-CROQUIS!$C$107)/MAX(CROQUIS!$C$138,1))+1)))-1,0))*CROQUIS!$C$138),CHOOSE(IF(INT(($A119-1)/5)&gt;MAX((MIN(80,MAX(1,INT(((CROQUIS!$C$97)-CROQUIS!$C$107)/MAX(CROQUIS!$C$138,1))+1)))-1,0),0,MOD($A119-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19">
        <f>IF(AND(CROQUIS!$C$88=1,CROQUIS!$C$91=0,CROQUIS!$C$138&gt;0,OR(CROQUIS!$C$106=1,CROQUIS!$C$143=1)),((CROQUIS!$C$157+(IF(CROQUIS!$C$92="X",CHOOSE(IF(INT(($A119-1)/5)&gt;MAX((MIN(80,MAX(1,INT(((CROQUIS!$C$97)-CROQUIS!$C$107)/MAX(CROQUIS!$C$138,1))+1)))-1,0),0,MOD($A119-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119-1)/5),MAX((MIN(80,MAX(1,INT(((CROQUIS!$C$97)-CROQUIS!$C$107)/MAX(CROQUIS!$C$138,1))+1)))-1,0))*CROQUIS!$C$138)))*CROQUIS!$C$155)+IF(CROQUIS!$C$92="X",0,0)),-1000)</f>
        <v>-1000</v>
      </c>
      <c r="BT119">
        <f>IF(AND(CROQUIS!$C$88=1,CROQUIS!$C$91=1,CROQUIS!$C$130&gt;0),((CROQUIS!$C$156+(IF(CROQUIS!$C$92="X",CHOOSE(IF(INT(($A119-1)/5)&gt;MAX((MIN(80,MAX(1,INT(((CROQUIS!$C$98)-CROQUIS!$C$107)/MAX(CROQUIS!$C$130,1))+1)))-1,0),0,MOD($A119-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119-1)/5),MAX((MIN(80,MAX(1,INT(((CROQUIS!$C$98)-CROQUIS!$C$107)/MAX(CROQUIS!$C$130,1))+1)))-1,0))*CROQUIS!$C$130)))*CROQUIS!$C$155)+IF(CROQUIS!$C$92="X",0,0)),-1000)</f>
        <v>-1000</v>
      </c>
      <c r="BU119">
        <f>IF(AND(CROQUIS!$C$88=1,CROQUIS!$C$91=1,CROQUIS!$C$130&gt;0),((CROQUIS!$C$157+(IF(CROQUIS!$C$92="X",((CROQUIS!$C$107/2+(((CROQUIS!$C$98)-CROQUIS!$C$107)-(MIN(80,MAX(1,INT(((CROQUIS!$C$98)-CROQUIS!$C$107)/MAX(CROQUIS!$C$130,1))+1))-1)*CROQUIS!$C$130)/2)+MIN(INT(($A119-1)/5),MAX((MIN(80,MAX(1,INT(((CROQUIS!$C$98)-CROQUIS!$C$107)/MAX(CROQUIS!$C$130,1))+1)))-1,0))*CROQUIS!$C$130),CHOOSE(IF(INT(($A119-1)/5)&gt;MAX((MIN(80,MAX(1,INT(((CROQUIS!$C$98)-CROQUIS!$C$107)/MAX(CROQUIS!$C$130,1))+1)))-1,0),0,MOD($A119-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20">
      <c r="A120" t="n">
        <v>113</v>
      </c>
      <c r="BH120">
        <f>IF(AND(CROQUIS!$C$88=1,CROQUIS!$C$126&gt;0),((CROQUIS!$C$156+(IF(CROQUIS!$C$92="X",CHOOSE(IF(INT(($A120-1)/5)&gt;MAX((MIN(80,MAX(1,INT(((CROQUIS!$C$98)-CROQUIS!$C$107)/MAX(CROQUIS!$C$126,1))+1)))-1,0),0,MOD($A120-1,5))+1,0,2,CROQUIS!$C$97-2,2,0),((CROQUIS!$C$107/2+(((CROQUIS!$C$98)-CROQUIS!$C$107)-(MIN(80,MAX(1,INT(((CROQUIS!$C$98)-CROQUIS!$C$107)/MAX(CROQUIS!$C$126,1))+1))-1)*CROQUIS!$C$126)/2)+MIN(INT(($A120-1)/5),MAX((MIN(80,MAX(1,INT(((CROQUIS!$C$98)-CROQUIS!$C$107)/MAX(CROQUIS!$C$126,1))+1)))-1,0))*CROQUIS!$C$126)))*CROQUIS!$C$155)+IF(CROQUIS!$C$92="X",0,0)),-1000)</f>
        <v>-1000</v>
      </c>
      <c r="BI120">
        <f>IF(AND(CROQUIS!$C$88=1,CROQUIS!$C$126&gt;0),((CROQUIS!$C$157+(IF(CROQUIS!$C$92="X",((CROQUIS!$C$107/2+(((CROQUIS!$C$98)-CROQUIS!$C$107)-(MIN(80,MAX(1,INT(((CROQUIS!$C$98)-CROQUIS!$C$107)/MAX(CROQUIS!$C$126,1))+1))-1)*CROQUIS!$C$126)/2)+MIN(INT(($A120-1)/5),MAX((MIN(80,MAX(1,INT(((CROQUIS!$C$98)-CROQUIS!$C$107)/MAX(CROQUIS!$C$126,1))+1)))-1,0))*CROQUIS!$C$126),CHOOSE(IF(INT(($A120-1)/5)&gt;MAX((MIN(80,MAX(1,INT(((CROQUIS!$C$98)-CROQUIS!$C$107)/MAX(CROQUIS!$C$126,1))+1)))-1,0),0,MOD($A120-1,5))+1,0,2,CROQUIS!$C$97-2,2,0)))*CROQUIS!$C$155)+IF(CROQUIS!$C$92="X",0,0)),-1000)</f>
        <v>-1000</v>
      </c>
      <c r="BJ120">
        <f>IF(AND(CROQUIS!$C$88=1,CROQUIS!$C$134&gt;0),((CROQUIS!$C$156+(IF(CROQUIS!$C$92="X",((CROQUIS!$C$107/2+(((CROQUIS!$C$97)-CROQUIS!$C$107)-(MIN(80,MAX(1,INT(((CROQUIS!$C$97)-CROQUIS!$C$107)/MAX(CROQUIS!$C$134,1))+1))-1)*CROQUIS!$C$134)/2)+MIN(INT(($A120-1)/5),MAX((MIN(80,MAX(1,INT(((CROQUIS!$C$97)-CROQUIS!$C$107)/MAX(CROQUIS!$C$134,1))+1)))-1,0))*CROQUIS!$C$134),CHOOSE(IF(INT(($A120-1)/5)&gt;MAX((MIN(80,MAX(1,INT(((CROQUIS!$C$97)-CROQUIS!$C$107)/MAX(CROQUIS!$C$134,1))+1)))-1,0),0,MOD($A120-1,5))+1,0,2,CROQUIS!$C$98-2,2,0)))*CROQUIS!$C$155)+IF(CROQUIS!$C$92="X",0,0)),-1000)</f>
        <v>-1000</v>
      </c>
      <c r="BK120">
        <f>IF(AND(CROQUIS!$C$88=1,CROQUIS!$C$134&gt;0),((CROQUIS!$C$157+(IF(CROQUIS!$C$92="X",CHOOSE(IF(INT(($A120-1)/5)&gt;MAX((MIN(80,MAX(1,INT(((CROQUIS!$C$97)-CROQUIS!$C$107)/MAX(CROQUIS!$C$134,1))+1)))-1,0),0,MOD($A120-1,5))+1,0,2,CROQUIS!$C$98-2,2,0),((CROQUIS!$C$107/2+(((CROQUIS!$C$97)-CROQUIS!$C$107)-(MIN(80,MAX(1,INT(((CROQUIS!$C$97)-CROQUIS!$C$107)/MAX(CROQUIS!$C$134,1))+1))-1)*CROQUIS!$C$134)/2)+MIN(INT(($A120-1)/5),MAX((MIN(80,MAX(1,INT(((CROQUIS!$C$97)-CROQUIS!$C$107)/MAX(CROQUIS!$C$134,1))+1)))-1,0))*CROQUIS!$C$134)))*CROQUIS!$C$155)+IF(CROQUIS!$C$92="X",0,0)),-1000)</f>
        <v>-1000</v>
      </c>
      <c r="BL120">
        <f>IF(AND(CROQUIS!$C$88=1,CROQUIS!$C$91=0,CROQUIS!$C$130&gt;0,OR(CROQUIS!$C$103=1,CROQUIS!$C$142=1)),((CROQUIS!$C$156+(IF(CROQUIS!$C$92="X",CHOOSE(IF(INT(($A120-1)/5)&gt;MAX((MIN(80,MAX(1,INT(((CROQUIS!$C$98)-CROQUIS!$C$107)/MAX(CROQUIS!$C$130,1))+1)))-1,0),0,MOD($A120-1,5))+1,0,IF(CROQUIS!$C$103=1,-12,2),CROQUIS!$C$107/2+CROQUIS!$C$140,IF(CROQUIS!$C$103=1,-12,2),0),((CROQUIS!$C$107/2+(((CROQUIS!$C$98)-CROQUIS!$C$107)-(MIN(80,MAX(1,INT(((CROQUIS!$C$98)-CROQUIS!$C$107)/MAX(CROQUIS!$C$130,1))+1))-1)*CROQUIS!$C$130)/2)+MIN(INT(($A120-1)/5),MAX((MIN(80,MAX(1,INT(((CROQUIS!$C$98)-CROQUIS!$C$107)/MAX(CROQUIS!$C$130,1))+1)))-1,0))*CROQUIS!$C$130)))*CROQUIS!$C$155)+IF(CROQUIS!$C$92="X",0,0)),-1000)</f>
        <v>-1000</v>
      </c>
      <c r="BM12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120-1)/5),MAX((MIN(80,MAX(1,INT(((CROQUIS!$C$98)-CROQUIS!$C$107)/MAX(CROQUIS!$C$130,1))+1)))-1,0))*CROQUIS!$C$130),CHOOSE(IF(INT(($A120-1)/5)&gt;MAX((MIN(80,MAX(1,INT(((CROQUIS!$C$98)-CROQUIS!$C$107)/MAX(CROQUIS!$C$130,1))+1)))-1,0),0,MOD($A120-1,5))+1,0,IF(CROQUIS!$C$103=1,-12,2),CROQUIS!$C$107/2+CROQUIS!$C$140,IF(CROQUIS!$C$103=1,-12,2),0)))*CROQUIS!$C$155)+IF(CROQUIS!$C$92="X",0,0)),-1000)</f>
        <v>-1000</v>
      </c>
      <c r="BN120">
        <f>IF(AND(CROQUIS!$C$88=1,CROQUIS!$C$91=0,CROQUIS!$C$130&gt;0,OR(CROQUIS!$C$104=1,CROQUIS!$C$142=1)),((CROQUIS!$C$156+(IF(CROQUIS!$C$92="X",CHOOSE(IF(INT(($A120-1)/5)&gt;MAX((MIN(80,MAX(1,INT(((CROQUIS!$C$98)-CROQUIS!$C$107)/MAX(CROQUIS!$C$130,1))+1)))-1,0),0,MOD($A120-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120-1)/5),MAX((MIN(80,MAX(1,INT(((CROQUIS!$C$98)-CROQUIS!$C$107)/MAX(CROQUIS!$C$130,1))+1)))-1,0))*CROQUIS!$C$130)))*CROQUIS!$C$155)+IF(CROQUIS!$C$92="X",0,0)),-1000)</f>
        <v>-1000</v>
      </c>
      <c r="BO12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120-1)/5),MAX((MIN(80,MAX(1,INT(((CROQUIS!$C$98)-CROQUIS!$C$107)/MAX(CROQUIS!$C$130,1))+1)))-1,0))*CROQUIS!$C$130),CHOOSE(IF(INT(($A120-1)/5)&gt;MAX((MIN(80,MAX(1,INT(((CROQUIS!$C$98)-CROQUIS!$C$107)/MAX(CROQUIS!$C$130,1))+1)))-1,0),0,MOD($A120-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2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120-1)/5),MAX((MIN(80,MAX(1,INT(((CROQUIS!$C$97)-CROQUIS!$C$107)/MAX(CROQUIS!$C$138,1))+1)))-1,0))*CROQUIS!$C$138),CHOOSE(IF(INT(($A120-1)/5)&gt;MAX((MIN(80,MAX(1,INT(((CROQUIS!$C$97)-CROQUIS!$C$107)/MAX(CROQUIS!$C$138,1))+1)))-1,0),0,MOD($A120-1,5))+1,0,IF(CROQUIS!$C$105=1,-12,2),CROQUIS!$C$107/2+CROQUIS!$C$141,IF(CROQUIS!$C$105=1,-12,2),0)))*CROQUIS!$C$155)+IF(CROQUIS!$C$92="X",0,0)),-1000)</f>
        <v>-1000</v>
      </c>
      <c r="BQ120">
        <f>IF(AND(CROQUIS!$C$88=1,CROQUIS!$C$91=0,CROQUIS!$C$138&gt;0,OR(CROQUIS!$C$105=1,CROQUIS!$C$143=1)),((CROQUIS!$C$157+(IF(CROQUIS!$C$92="X",CHOOSE(IF(INT(($A120-1)/5)&gt;MAX((MIN(80,MAX(1,INT(((CROQUIS!$C$97)-CROQUIS!$C$107)/MAX(CROQUIS!$C$138,1))+1)))-1,0),0,MOD($A120-1,5))+1,0,IF(CROQUIS!$C$105=1,-12,2),CROQUIS!$C$107/2+CROQUIS!$C$141,IF(CROQUIS!$C$105=1,-12,2),0),((CROQUIS!$C$107/2+(((CROQUIS!$C$97)-CROQUIS!$C$107)-(MIN(80,MAX(1,INT(((CROQUIS!$C$97)-CROQUIS!$C$107)/MAX(CROQUIS!$C$138,1))+1))-1)*CROQUIS!$C$138)/2)+MIN(INT(($A120-1)/5),MAX((MIN(80,MAX(1,INT(((CROQUIS!$C$97)-CROQUIS!$C$107)/MAX(CROQUIS!$C$138,1))+1)))-1,0))*CROQUIS!$C$138)))*CROQUIS!$C$155)+IF(CROQUIS!$C$92="X",0,0)),-1000)</f>
        <v>-1000</v>
      </c>
      <c r="BR12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120-1)/5),MAX((MIN(80,MAX(1,INT(((CROQUIS!$C$97)-CROQUIS!$C$107)/MAX(CROQUIS!$C$138,1))+1)))-1,0))*CROQUIS!$C$138),CHOOSE(IF(INT(($A120-1)/5)&gt;MAX((MIN(80,MAX(1,INT(((CROQUIS!$C$97)-CROQUIS!$C$107)/MAX(CROQUIS!$C$138,1))+1)))-1,0),0,MOD($A120-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20">
        <f>IF(AND(CROQUIS!$C$88=1,CROQUIS!$C$91=0,CROQUIS!$C$138&gt;0,OR(CROQUIS!$C$106=1,CROQUIS!$C$143=1)),((CROQUIS!$C$157+(IF(CROQUIS!$C$92="X",CHOOSE(IF(INT(($A120-1)/5)&gt;MAX((MIN(80,MAX(1,INT(((CROQUIS!$C$97)-CROQUIS!$C$107)/MAX(CROQUIS!$C$138,1))+1)))-1,0),0,MOD($A120-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120-1)/5),MAX((MIN(80,MAX(1,INT(((CROQUIS!$C$97)-CROQUIS!$C$107)/MAX(CROQUIS!$C$138,1))+1)))-1,0))*CROQUIS!$C$138)))*CROQUIS!$C$155)+IF(CROQUIS!$C$92="X",0,0)),-1000)</f>
        <v>-1000</v>
      </c>
      <c r="BT120">
        <f>IF(AND(CROQUIS!$C$88=1,CROQUIS!$C$91=1,CROQUIS!$C$130&gt;0),((CROQUIS!$C$156+(IF(CROQUIS!$C$92="X",CHOOSE(IF(INT(($A120-1)/5)&gt;MAX((MIN(80,MAX(1,INT(((CROQUIS!$C$98)-CROQUIS!$C$107)/MAX(CROQUIS!$C$130,1))+1)))-1,0),0,MOD($A120-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120-1)/5),MAX((MIN(80,MAX(1,INT(((CROQUIS!$C$98)-CROQUIS!$C$107)/MAX(CROQUIS!$C$130,1))+1)))-1,0))*CROQUIS!$C$130)))*CROQUIS!$C$155)+IF(CROQUIS!$C$92="X",0,0)),-1000)</f>
        <v>-1000</v>
      </c>
      <c r="BU120">
        <f>IF(AND(CROQUIS!$C$88=1,CROQUIS!$C$91=1,CROQUIS!$C$130&gt;0),((CROQUIS!$C$157+(IF(CROQUIS!$C$92="X",((CROQUIS!$C$107/2+(((CROQUIS!$C$98)-CROQUIS!$C$107)-(MIN(80,MAX(1,INT(((CROQUIS!$C$98)-CROQUIS!$C$107)/MAX(CROQUIS!$C$130,1))+1))-1)*CROQUIS!$C$130)/2)+MIN(INT(($A120-1)/5),MAX((MIN(80,MAX(1,INT(((CROQUIS!$C$98)-CROQUIS!$C$107)/MAX(CROQUIS!$C$130,1))+1)))-1,0))*CROQUIS!$C$130),CHOOSE(IF(INT(($A120-1)/5)&gt;MAX((MIN(80,MAX(1,INT(((CROQUIS!$C$98)-CROQUIS!$C$107)/MAX(CROQUIS!$C$130,1))+1)))-1,0),0,MOD($A120-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21">
      <c r="A121" t="n">
        <v>114</v>
      </c>
      <c r="BH121">
        <f>IF(AND(CROQUIS!$C$88=1,CROQUIS!$C$126&gt;0),((CROQUIS!$C$156+(IF(CROQUIS!$C$92="X",CHOOSE(IF(INT(($A121-1)/5)&gt;MAX((MIN(80,MAX(1,INT(((CROQUIS!$C$98)-CROQUIS!$C$107)/MAX(CROQUIS!$C$126,1))+1)))-1,0),0,MOD($A121-1,5))+1,0,2,CROQUIS!$C$97-2,2,0),((CROQUIS!$C$107/2+(((CROQUIS!$C$98)-CROQUIS!$C$107)-(MIN(80,MAX(1,INT(((CROQUIS!$C$98)-CROQUIS!$C$107)/MAX(CROQUIS!$C$126,1))+1))-1)*CROQUIS!$C$126)/2)+MIN(INT(($A121-1)/5),MAX((MIN(80,MAX(1,INT(((CROQUIS!$C$98)-CROQUIS!$C$107)/MAX(CROQUIS!$C$126,1))+1)))-1,0))*CROQUIS!$C$126)))*CROQUIS!$C$155)+IF(CROQUIS!$C$92="X",0,0)),-1000)</f>
        <v>-1000</v>
      </c>
      <c r="BI121">
        <f>IF(AND(CROQUIS!$C$88=1,CROQUIS!$C$126&gt;0),((CROQUIS!$C$157+(IF(CROQUIS!$C$92="X",((CROQUIS!$C$107/2+(((CROQUIS!$C$98)-CROQUIS!$C$107)-(MIN(80,MAX(1,INT(((CROQUIS!$C$98)-CROQUIS!$C$107)/MAX(CROQUIS!$C$126,1))+1))-1)*CROQUIS!$C$126)/2)+MIN(INT(($A121-1)/5),MAX((MIN(80,MAX(1,INT(((CROQUIS!$C$98)-CROQUIS!$C$107)/MAX(CROQUIS!$C$126,1))+1)))-1,0))*CROQUIS!$C$126),CHOOSE(IF(INT(($A121-1)/5)&gt;MAX((MIN(80,MAX(1,INT(((CROQUIS!$C$98)-CROQUIS!$C$107)/MAX(CROQUIS!$C$126,1))+1)))-1,0),0,MOD($A121-1,5))+1,0,2,CROQUIS!$C$97-2,2,0)))*CROQUIS!$C$155)+IF(CROQUIS!$C$92="X",0,0)),-1000)</f>
        <v>-1000</v>
      </c>
      <c r="BJ121">
        <f>IF(AND(CROQUIS!$C$88=1,CROQUIS!$C$134&gt;0),((CROQUIS!$C$156+(IF(CROQUIS!$C$92="X",((CROQUIS!$C$107/2+(((CROQUIS!$C$97)-CROQUIS!$C$107)-(MIN(80,MAX(1,INT(((CROQUIS!$C$97)-CROQUIS!$C$107)/MAX(CROQUIS!$C$134,1))+1))-1)*CROQUIS!$C$134)/2)+MIN(INT(($A121-1)/5),MAX((MIN(80,MAX(1,INT(((CROQUIS!$C$97)-CROQUIS!$C$107)/MAX(CROQUIS!$C$134,1))+1)))-1,0))*CROQUIS!$C$134),CHOOSE(IF(INT(($A121-1)/5)&gt;MAX((MIN(80,MAX(1,INT(((CROQUIS!$C$97)-CROQUIS!$C$107)/MAX(CROQUIS!$C$134,1))+1)))-1,0),0,MOD($A121-1,5))+1,0,2,CROQUIS!$C$98-2,2,0)))*CROQUIS!$C$155)+IF(CROQUIS!$C$92="X",0,0)),-1000)</f>
        <v>-1000</v>
      </c>
      <c r="BK121">
        <f>IF(AND(CROQUIS!$C$88=1,CROQUIS!$C$134&gt;0),((CROQUIS!$C$157+(IF(CROQUIS!$C$92="X",CHOOSE(IF(INT(($A121-1)/5)&gt;MAX((MIN(80,MAX(1,INT(((CROQUIS!$C$97)-CROQUIS!$C$107)/MAX(CROQUIS!$C$134,1))+1)))-1,0),0,MOD($A121-1,5))+1,0,2,CROQUIS!$C$98-2,2,0),((CROQUIS!$C$107/2+(((CROQUIS!$C$97)-CROQUIS!$C$107)-(MIN(80,MAX(1,INT(((CROQUIS!$C$97)-CROQUIS!$C$107)/MAX(CROQUIS!$C$134,1))+1))-1)*CROQUIS!$C$134)/2)+MIN(INT(($A121-1)/5),MAX((MIN(80,MAX(1,INT(((CROQUIS!$C$97)-CROQUIS!$C$107)/MAX(CROQUIS!$C$134,1))+1)))-1,0))*CROQUIS!$C$134)))*CROQUIS!$C$155)+IF(CROQUIS!$C$92="X",0,0)),-1000)</f>
        <v>-1000</v>
      </c>
      <c r="BL121">
        <f>IF(AND(CROQUIS!$C$88=1,CROQUIS!$C$91=0,CROQUIS!$C$130&gt;0,OR(CROQUIS!$C$103=1,CROQUIS!$C$142=1)),((CROQUIS!$C$156+(IF(CROQUIS!$C$92="X",CHOOSE(IF(INT(($A121-1)/5)&gt;MAX((MIN(80,MAX(1,INT(((CROQUIS!$C$98)-CROQUIS!$C$107)/MAX(CROQUIS!$C$130,1))+1)))-1,0),0,MOD($A121-1,5))+1,0,IF(CROQUIS!$C$103=1,-12,2),CROQUIS!$C$107/2+CROQUIS!$C$140,IF(CROQUIS!$C$103=1,-12,2),0),((CROQUIS!$C$107/2+(((CROQUIS!$C$98)-CROQUIS!$C$107)-(MIN(80,MAX(1,INT(((CROQUIS!$C$98)-CROQUIS!$C$107)/MAX(CROQUIS!$C$130,1))+1))-1)*CROQUIS!$C$130)/2)+MIN(INT(($A121-1)/5),MAX((MIN(80,MAX(1,INT(((CROQUIS!$C$98)-CROQUIS!$C$107)/MAX(CROQUIS!$C$130,1))+1)))-1,0))*CROQUIS!$C$130)))*CROQUIS!$C$155)+IF(CROQUIS!$C$92="X",0,0)),-1000)</f>
        <v>-1000</v>
      </c>
      <c r="BM12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121-1)/5),MAX((MIN(80,MAX(1,INT(((CROQUIS!$C$98)-CROQUIS!$C$107)/MAX(CROQUIS!$C$130,1))+1)))-1,0))*CROQUIS!$C$130),CHOOSE(IF(INT(($A121-1)/5)&gt;MAX((MIN(80,MAX(1,INT(((CROQUIS!$C$98)-CROQUIS!$C$107)/MAX(CROQUIS!$C$130,1))+1)))-1,0),0,MOD($A121-1,5))+1,0,IF(CROQUIS!$C$103=1,-12,2),CROQUIS!$C$107/2+CROQUIS!$C$140,IF(CROQUIS!$C$103=1,-12,2),0)))*CROQUIS!$C$155)+IF(CROQUIS!$C$92="X",0,0)),-1000)</f>
        <v>-1000</v>
      </c>
      <c r="BN121">
        <f>IF(AND(CROQUIS!$C$88=1,CROQUIS!$C$91=0,CROQUIS!$C$130&gt;0,OR(CROQUIS!$C$104=1,CROQUIS!$C$142=1)),((CROQUIS!$C$156+(IF(CROQUIS!$C$92="X",CHOOSE(IF(INT(($A121-1)/5)&gt;MAX((MIN(80,MAX(1,INT(((CROQUIS!$C$98)-CROQUIS!$C$107)/MAX(CROQUIS!$C$130,1))+1)))-1,0),0,MOD($A121-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121-1)/5),MAX((MIN(80,MAX(1,INT(((CROQUIS!$C$98)-CROQUIS!$C$107)/MAX(CROQUIS!$C$130,1))+1)))-1,0))*CROQUIS!$C$130)))*CROQUIS!$C$155)+IF(CROQUIS!$C$92="X",0,0)),-1000)</f>
        <v>-1000</v>
      </c>
      <c r="BO12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121-1)/5),MAX((MIN(80,MAX(1,INT(((CROQUIS!$C$98)-CROQUIS!$C$107)/MAX(CROQUIS!$C$130,1))+1)))-1,0))*CROQUIS!$C$130),CHOOSE(IF(INT(($A121-1)/5)&gt;MAX((MIN(80,MAX(1,INT(((CROQUIS!$C$98)-CROQUIS!$C$107)/MAX(CROQUIS!$C$130,1))+1)))-1,0),0,MOD($A121-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2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121-1)/5),MAX((MIN(80,MAX(1,INT(((CROQUIS!$C$97)-CROQUIS!$C$107)/MAX(CROQUIS!$C$138,1))+1)))-1,0))*CROQUIS!$C$138),CHOOSE(IF(INT(($A121-1)/5)&gt;MAX((MIN(80,MAX(1,INT(((CROQUIS!$C$97)-CROQUIS!$C$107)/MAX(CROQUIS!$C$138,1))+1)))-1,0),0,MOD($A121-1,5))+1,0,IF(CROQUIS!$C$105=1,-12,2),CROQUIS!$C$107/2+CROQUIS!$C$141,IF(CROQUIS!$C$105=1,-12,2),0)))*CROQUIS!$C$155)+IF(CROQUIS!$C$92="X",0,0)),-1000)</f>
        <v>-1000</v>
      </c>
      <c r="BQ121">
        <f>IF(AND(CROQUIS!$C$88=1,CROQUIS!$C$91=0,CROQUIS!$C$138&gt;0,OR(CROQUIS!$C$105=1,CROQUIS!$C$143=1)),((CROQUIS!$C$157+(IF(CROQUIS!$C$92="X",CHOOSE(IF(INT(($A121-1)/5)&gt;MAX((MIN(80,MAX(1,INT(((CROQUIS!$C$97)-CROQUIS!$C$107)/MAX(CROQUIS!$C$138,1))+1)))-1,0),0,MOD($A121-1,5))+1,0,IF(CROQUIS!$C$105=1,-12,2),CROQUIS!$C$107/2+CROQUIS!$C$141,IF(CROQUIS!$C$105=1,-12,2),0),((CROQUIS!$C$107/2+(((CROQUIS!$C$97)-CROQUIS!$C$107)-(MIN(80,MAX(1,INT(((CROQUIS!$C$97)-CROQUIS!$C$107)/MAX(CROQUIS!$C$138,1))+1))-1)*CROQUIS!$C$138)/2)+MIN(INT(($A121-1)/5),MAX((MIN(80,MAX(1,INT(((CROQUIS!$C$97)-CROQUIS!$C$107)/MAX(CROQUIS!$C$138,1))+1)))-1,0))*CROQUIS!$C$138)))*CROQUIS!$C$155)+IF(CROQUIS!$C$92="X",0,0)),-1000)</f>
        <v>-1000</v>
      </c>
      <c r="BR12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121-1)/5),MAX((MIN(80,MAX(1,INT(((CROQUIS!$C$97)-CROQUIS!$C$107)/MAX(CROQUIS!$C$138,1))+1)))-1,0))*CROQUIS!$C$138),CHOOSE(IF(INT(($A121-1)/5)&gt;MAX((MIN(80,MAX(1,INT(((CROQUIS!$C$97)-CROQUIS!$C$107)/MAX(CROQUIS!$C$138,1))+1)))-1,0),0,MOD($A121-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21">
        <f>IF(AND(CROQUIS!$C$88=1,CROQUIS!$C$91=0,CROQUIS!$C$138&gt;0,OR(CROQUIS!$C$106=1,CROQUIS!$C$143=1)),((CROQUIS!$C$157+(IF(CROQUIS!$C$92="X",CHOOSE(IF(INT(($A121-1)/5)&gt;MAX((MIN(80,MAX(1,INT(((CROQUIS!$C$97)-CROQUIS!$C$107)/MAX(CROQUIS!$C$138,1))+1)))-1,0),0,MOD($A121-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121-1)/5),MAX((MIN(80,MAX(1,INT(((CROQUIS!$C$97)-CROQUIS!$C$107)/MAX(CROQUIS!$C$138,1))+1)))-1,0))*CROQUIS!$C$138)))*CROQUIS!$C$155)+IF(CROQUIS!$C$92="X",0,0)),-1000)</f>
        <v>-1000</v>
      </c>
      <c r="BT121">
        <f>IF(AND(CROQUIS!$C$88=1,CROQUIS!$C$91=1,CROQUIS!$C$130&gt;0),((CROQUIS!$C$156+(IF(CROQUIS!$C$92="X",CHOOSE(IF(INT(($A121-1)/5)&gt;MAX((MIN(80,MAX(1,INT(((CROQUIS!$C$98)-CROQUIS!$C$107)/MAX(CROQUIS!$C$130,1))+1)))-1,0),0,MOD($A121-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121-1)/5),MAX((MIN(80,MAX(1,INT(((CROQUIS!$C$98)-CROQUIS!$C$107)/MAX(CROQUIS!$C$130,1))+1)))-1,0))*CROQUIS!$C$130)))*CROQUIS!$C$155)+IF(CROQUIS!$C$92="X",0,0)),-1000)</f>
        <v>-1000</v>
      </c>
      <c r="BU121">
        <f>IF(AND(CROQUIS!$C$88=1,CROQUIS!$C$91=1,CROQUIS!$C$130&gt;0),((CROQUIS!$C$157+(IF(CROQUIS!$C$92="X",((CROQUIS!$C$107/2+(((CROQUIS!$C$98)-CROQUIS!$C$107)-(MIN(80,MAX(1,INT(((CROQUIS!$C$98)-CROQUIS!$C$107)/MAX(CROQUIS!$C$130,1))+1))-1)*CROQUIS!$C$130)/2)+MIN(INT(($A121-1)/5),MAX((MIN(80,MAX(1,INT(((CROQUIS!$C$98)-CROQUIS!$C$107)/MAX(CROQUIS!$C$130,1))+1)))-1,0))*CROQUIS!$C$130),CHOOSE(IF(INT(($A121-1)/5)&gt;MAX((MIN(80,MAX(1,INT(((CROQUIS!$C$98)-CROQUIS!$C$107)/MAX(CROQUIS!$C$130,1))+1)))-1,0),0,MOD($A121-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22">
      <c r="A122" t="n">
        <v>115</v>
      </c>
      <c r="BH122">
        <f>IF(AND(CROQUIS!$C$88=1,CROQUIS!$C$126&gt;0),((CROQUIS!$C$156+(IF(CROQUIS!$C$92="X",CHOOSE(IF(INT(($A122-1)/5)&gt;MAX((MIN(80,MAX(1,INT(((CROQUIS!$C$98)-CROQUIS!$C$107)/MAX(CROQUIS!$C$126,1))+1)))-1,0),0,MOD($A122-1,5))+1,0,2,CROQUIS!$C$97-2,2,0),((CROQUIS!$C$107/2+(((CROQUIS!$C$98)-CROQUIS!$C$107)-(MIN(80,MAX(1,INT(((CROQUIS!$C$98)-CROQUIS!$C$107)/MAX(CROQUIS!$C$126,1))+1))-1)*CROQUIS!$C$126)/2)+MIN(INT(($A122-1)/5),MAX((MIN(80,MAX(1,INT(((CROQUIS!$C$98)-CROQUIS!$C$107)/MAX(CROQUIS!$C$126,1))+1)))-1,0))*CROQUIS!$C$126)))*CROQUIS!$C$155)+IF(CROQUIS!$C$92="X",0,0)),-1000)</f>
        <v>-1000</v>
      </c>
      <c r="BI122">
        <f>IF(AND(CROQUIS!$C$88=1,CROQUIS!$C$126&gt;0),((CROQUIS!$C$157+(IF(CROQUIS!$C$92="X",((CROQUIS!$C$107/2+(((CROQUIS!$C$98)-CROQUIS!$C$107)-(MIN(80,MAX(1,INT(((CROQUIS!$C$98)-CROQUIS!$C$107)/MAX(CROQUIS!$C$126,1))+1))-1)*CROQUIS!$C$126)/2)+MIN(INT(($A122-1)/5),MAX((MIN(80,MAX(1,INT(((CROQUIS!$C$98)-CROQUIS!$C$107)/MAX(CROQUIS!$C$126,1))+1)))-1,0))*CROQUIS!$C$126),CHOOSE(IF(INT(($A122-1)/5)&gt;MAX((MIN(80,MAX(1,INT(((CROQUIS!$C$98)-CROQUIS!$C$107)/MAX(CROQUIS!$C$126,1))+1)))-1,0),0,MOD($A122-1,5))+1,0,2,CROQUIS!$C$97-2,2,0)))*CROQUIS!$C$155)+IF(CROQUIS!$C$92="X",0,0)),-1000)</f>
        <v>-1000</v>
      </c>
      <c r="BJ122">
        <f>IF(AND(CROQUIS!$C$88=1,CROQUIS!$C$134&gt;0),((CROQUIS!$C$156+(IF(CROQUIS!$C$92="X",((CROQUIS!$C$107/2+(((CROQUIS!$C$97)-CROQUIS!$C$107)-(MIN(80,MAX(1,INT(((CROQUIS!$C$97)-CROQUIS!$C$107)/MAX(CROQUIS!$C$134,1))+1))-1)*CROQUIS!$C$134)/2)+MIN(INT(($A122-1)/5),MAX((MIN(80,MAX(1,INT(((CROQUIS!$C$97)-CROQUIS!$C$107)/MAX(CROQUIS!$C$134,1))+1)))-1,0))*CROQUIS!$C$134),CHOOSE(IF(INT(($A122-1)/5)&gt;MAX((MIN(80,MAX(1,INT(((CROQUIS!$C$97)-CROQUIS!$C$107)/MAX(CROQUIS!$C$134,1))+1)))-1,0),0,MOD($A122-1,5))+1,0,2,CROQUIS!$C$98-2,2,0)))*CROQUIS!$C$155)+IF(CROQUIS!$C$92="X",0,0)),-1000)</f>
        <v>-1000</v>
      </c>
      <c r="BK122">
        <f>IF(AND(CROQUIS!$C$88=1,CROQUIS!$C$134&gt;0),((CROQUIS!$C$157+(IF(CROQUIS!$C$92="X",CHOOSE(IF(INT(($A122-1)/5)&gt;MAX((MIN(80,MAX(1,INT(((CROQUIS!$C$97)-CROQUIS!$C$107)/MAX(CROQUIS!$C$134,1))+1)))-1,0),0,MOD($A122-1,5))+1,0,2,CROQUIS!$C$98-2,2,0),((CROQUIS!$C$107/2+(((CROQUIS!$C$97)-CROQUIS!$C$107)-(MIN(80,MAX(1,INT(((CROQUIS!$C$97)-CROQUIS!$C$107)/MAX(CROQUIS!$C$134,1))+1))-1)*CROQUIS!$C$134)/2)+MIN(INT(($A122-1)/5),MAX((MIN(80,MAX(1,INT(((CROQUIS!$C$97)-CROQUIS!$C$107)/MAX(CROQUIS!$C$134,1))+1)))-1,0))*CROQUIS!$C$134)))*CROQUIS!$C$155)+IF(CROQUIS!$C$92="X",0,0)),-1000)</f>
        <v>-1000</v>
      </c>
      <c r="BL122">
        <f>IF(AND(CROQUIS!$C$88=1,CROQUIS!$C$91=0,CROQUIS!$C$130&gt;0,OR(CROQUIS!$C$103=1,CROQUIS!$C$142=1)),((CROQUIS!$C$156+(IF(CROQUIS!$C$92="X",CHOOSE(IF(INT(($A122-1)/5)&gt;MAX((MIN(80,MAX(1,INT(((CROQUIS!$C$98)-CROQUIS!$C$107)/MAX(CROQUIS!$C$130,1))+1)))-1,0),0,MOD($A122-1,5))+1,0,IF(CROQUIS!$C$103=1,-12,2),CROQUIS!$C$107/2+CROQUIS!$C$140,IF(CROQUIS!$C$103=1,-12,2),0),((CROQUIS!$C$107/2+(((CROQUIS!$C$98)-CROQUIS!$C$107)-(MIN(80,MAX(1,INT(((CROQUIS!$C$98)-CROQUIS!$C$107)/MAX(CROQUIS!$C$130,1))+1))-1)*CROQUIS!$C$130)/2)+MIN(INT(($A122-1)/5),MAX((MIN(80,MAX(1,INT(((CROQUIS!$C$98)-CROQUIS!$C$107)/MAX(CROQUIS!$C$130,1))+1)))-1,0))*CROQUIS!$C$130)))*CROQUIS!$C$155)+IF(CROQUIS!$C$92="X",0,0)),-1000)</f>
        <v>-1000</v>
      </c>
      <c r="BM12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122-1)/5),MAX((MIN(80,MAX(1,INT(((CROQUIS!$C$98)-CROQUIS!$C$107)/MAX(CROQUIS!$C$130,1))+1)))-1,0))*CROQUIS!$C$130),CHOOSE(IF(INT(($A122-1)/5)&gt;MAX((MIN(80,MAX(1,INT(((CROQUIS!$C$98)-CROQUIS!$C$107)/MAX(CROQUIS!$C$130,1))+1)))-1,0),0,MOD($A122-1,5))+1,0,IF(CROQUIS!$C$103=1,-12,2),CROQUIS!$C$107/2+CROQUIS!$C$140,IF(CROQUIS!$C$103=1,-12,2),0)))*CROQUIS!$C$155)+IF(CROQUIS!$C$92="X",0,0)),-1000)</f>
        <v>-1000</v>
      </c>
      <c r="BN122">
        <f>IF(AND(CROQUIS!$C$88=1,CROQUIS!$C$91=0,CROQUIS!$C$130&gt;0,OR(CROQUIS!$C$104=1,CROQUIS!$C$142=1)),((CROQUIS!$C$156+(IF(CROQUIS!$C$92="X",CHOOSE(IF(INT(($A122-1)/5)&gt;MAX((MIN(80,MAX(1,INT(((CROQUIS!$C$98)-CROQUIS!$C$107)/MAX(CROQUIS!$C$130,1))+1)))-1,0),0,MOD($A122-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122-1)/5),MAX((MIN(80,MAX(1,INT(((CROQUIS!$C$98)-CROQUIS!$C$107)/MAX(CROQUIS!$C$130,1))+1)))-1,0))*CROQUIS!$C$130)))*CROQUIS!$C$155)+IF(CROQUIS!$C$92="X",0,0)),-1000)</f>
        <v>-1000</v>
      </c>
      <c r="BO12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122-1)/5),MAX((MIN(80,MAX(1,INT(((CROQUIS!$C$98)-CROQUIS!$C$107)/MAX(CROQUIS!$C$130,1))+1)))-1,0))*CROQUIS!$C$130),CHOOSE(IF(INT(($A122-1)/5)&gt;MAX((MIN(80,MAX(1,INT(((CROQUIS!$C$98)-CROQUIS!$C$107)/MAX(CROQUIS!$C$130,1))+1)))-1,0),0,MOD($A122-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2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122-1)/5),MAX((MIN(80,MAX(1,INT(((CROQUIS!$C$97)-CROQUIS!$C$107)/MAX(CROQUIS!$C$138,1))+1)))-1,0))*CROQUIS!$C$138),CHOOSE(IF(INT(($A122-1)/5)&gt;MAX((MIN(80,MAX(1,INT(((CROQUIS!$C$97)-CROQUIS!$C$107)/MAX(CROQUIS!$C$138,1))+1)))-1,0),0,MOD($A122-1,5))+1,0,IF(CROQUIS!$C$105=1,-12,2),CROQUIS!$C$107/2+CROQUIS!$C$141,IF(CROQUIS!$C$105=1,-12,2),0)))*CROQUIS!$C$155)+IF(CROQUIS!$C$92="X",0,0)),-1000)</f>
        <v>-1000</v>
      </c>
      <c r="BQ122">
        <f>IF(AND(CROQUIS!$C$88=1,CROQUIS!$C$91=0,CROQUIS!$C$138&gt;0,OR(CROQUIS!$C$105=1,CROQUIS!$C$143=1)),((CROQUIS!$C$157+(IF(CROQUIS!$C$92="X",CHOOSE(IF(INT(($A122-1)/5)&gt;MAX((MIN(80,MAX(1,INT(((CROQUIS!$C$97)-CROQUIS!$C$107)/MAX(CROQUIS!$C$138,1))+1)))-1,0),0,MOD($A122-1,5))+1,0,IF(CROQUIS!$C$105=1,-12,2),CROQUIS!$C$107/2+CROQUIS!$C$141,IF(CROQUIS!$C$105=1,-12,2),0),((CROQUIS!$C$107/2+(((CROQUIS!$C$97)-CROQUIS!$C$107)-(MIN(80,MAX(1,INT(((CROQUIS!$C$97)-CROQUIS!$C$107)/MAX(CROQUIS!$C$138,1))+1))-1)*CROQUIS!$C$138)/2)+MIN(INT(($A122-1)/5),MAX((MIN(80,MAX(1,INT(((CROQUIS!$C$97)-CROQUIS!$C$107)/MAX(CROQUIS!$C$138,1))+1)))-1,0))*CROQUIS!$C$138)))*CROQUIS!$C$155)+IF(CROQUIS!$C$92="X",0,0)),-1000)</f>
        <v>-1000</v>
      </c>
      <c r="BR12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122-1)/5),MAX((MIN(80,MAX(1,INT(((CROQUIS!$C$97)-CROQUIS!$C$107)/MAX(CROQUIS!$C$138,1))+1)))-1,0))*CROQUIS!$C$138),CHOOSE(IF(INT(($A122-1)/5)&gt;MAX((MIN(80,MAX(1,INT(((CROQUIS!$C$97)-CROQUIS!$C$107)/MAX(CROQUIS!$C$138,1))+1)))-1,0),0,MOD($A122-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22">
        <f>IF(AND(CROQUIS!$C$88=1,CROQUIS!$C$91=0,CROQUIS!$C$138&gt;0,OR(CROQUIS!$C$106=1,CROQUIS!$C$143=1)),((CROQUIS!$C$157+(IF(CROQUIS!$C$92="X",CHOOSE(IF(INT(($A122-1)/5)&gt;MAX((MIN(80,MAX(1,INT(((CROQUIS!$C$97)-CROQUIS!$C$107)/MAX(CROQUIS!$C$138,1))+1)))-1,0),0,MOD($A122-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122-1)/5),MAX((MIN(80,MAX(1,INT(((CROQUIS!$C$97)-CROQUIS!$C$107)/MAX(CROQUIS!$C$138,1))+1)))-1,0))*CROQUIS!$C$138)))*CROQUIS!$C$155)+IF(CROQUIS!$C$92="X",0,0)),-1000)</f>
        <v>-1000</v>
      </c>
      <c r="BT122">
        <f>IF(AND(CROQUIS!$C$88=1,CROQUIS!$C$91=1,CROQUIS!$C$130&gt;0),((CROQUIS!$C$156+(IF(CROQUIS!$C$92="X",CHOOSE(IF(INT(($A122-1)/5)&gt;MAX((MIN(80,MAX(1,INT(((CROQUIS!$C$98)-CROQUIS!$C$107)/MAX(CROQUIS!$C$130,1))+1)))-1,0),0,MOD($A122-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122-1)/5),MAX((MIN(80,MAX(1,INT(((CROQUIS!$C$98)-CROQUIS!$C$107)/MAX(CROQUIS!$C$130,1))+1)))-1,0))*CROQUIS!$C$130)))*CROQUIS!$C$155)+IF(CROQUIS!$C$92="X",0,0)),-1000)</f>
        <v>-1000</v>
      </c>
      <c r="BU122">
        <f>IF(AND(CROQUIS!$C$88=1,CROQUIS!$C$91=1,CROQUIS!$C$130&gt;0),((CROQUIS!$C$157+(IF(CROQUIS!$C$92="X",((CROQUIS!$C$107/2+(((CROQUIS!$C$98)-CROQUIS!$C$107)-(MIN(80,MAX(1,INT(((CROQUIS!$C$98)-CROQUIS!$C$107)/MAX(CROQUIS!$C$130,1))+1))-1)*CROQUIS!$C$130)/2)+MIN(INT(($A122-1)/5),MAX((MIN(80,MAX(1,INT(((CROQUIS!$C$98)-CROQUIS!$C$107)/MAX(CROQUIS!$C$130,1))+1)))-1,0))*CROQUIS!$C$130),CHOOSE(IF(INT(($A122-1)/5)&gt;MAX((MIN(80,MAX(1,INT(((CROQUIS!$C$98)-CROQUIS!$C$107)/MAX(CROQUIS!$C$130,1))+1)))-1,0),0,MOD($A122-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23">
      <c r="A123" t="n">
        <v>116</v>
      </c>
      <c r="BH123">
        <f>IF(AND(CROQUIS!$C$88=1,CROQUIS!$C$126&gt;0),((CROQUIS!$C$156+(IF(CROQUIS!$C$92="X",CHOOSE(IF(INT(($A123-1)/5)&gt;MAX((MIN(80,MAX(1,INT(((CROQUIS!$C$98)-CROQUIS!$C$107)/MAX(CROQUIS!$C$126,1))+1)))-1,0),0,MOD($A123-1,5))+1,0,2,CROQUIS!$C$97-2,2,0),((CROQUIS!$C$107/2+(((CROQUIS!$C$98)-CROQUIS!$C$107)-(MIN(80,MAX(1,INT(((CROQUIS!$C$98)-CROQUIS!$C$107)/MAX(CROQUIS!$C$126,1))+1))-1)*CROQUIS!$C$126)/2)+MIN(INT(($A123-1)/5),MAX((MIN(80,MAX(1,INT(((CROQUIS!$C$98)-CROQUIS!$C$107)/MAX(CROQUIS!$C$126,1))+1)))-1,0))*CROQUIS!$C$126)))*CROQUIS!$C$155)+IF(CROQUIS!$C$92="X",0,0)),-1000)</f>
        <v>-1000</v>
      </c>
      <c r="BI123">
        <f>IF(AND(CROQUIS!$C$88=1,CROQUIS!$C$126&gt;0),((CROQUIS!$C$157+(IF(CROQUIS!$C$92="X",((CROQUIS!$C$107/2+(((CROQUIS!$C$98)-CROQUIS!$C$107)-(MIN(80,MAX(1,INT(((CROQUIS!$C$98)-CROQUIS!$C$107)/MAX(CROQUIS!$C$126,1))+1))-1)*CROQUIS!$C$126)/2)+MIN(INT(($A123-1)/5),MAX((MIN(80,MAX(1,INT(((CROQUIS!$C$98)-CROQUIS!$C$107)/MAX(CROQUIS!$C$126,1))+1)))-1,0))*CROQUIS!$C$126),CHOOSE(IF(INT(($A123-1)/5)&gt;MAX((MIN(80,MAX(1,INT(((CROQUIS!$C$98)-CROQUIS!$C$107)/MAX(CROQUIS!$C$126,1))+1)))-1,0),0,MOD($A123-1,5))+1,0,2,CROQUIS!$C$97-2,2,0)))*CROQUIS!$C$155)+IF(CROQUIS!$C$92="X",0,0)),-1000)</f>
        <v>-1000</v>
      </c>
      <c r="BJ123">
        <f>IF(AND(CROQUIS!$C$88=1,CROQUIS!$C$134&gt;0),((CROQUIS!$C$156+(IF(CROQUIS!$C$92="X",((CROQUIS!$C$107/2+(((CROQUIS!$C$97)-CROQUIS!$C$107)-(MIN(80,MAX(1,INT(((CROQUIS!$C$97)-CROQUIS!$C$107)/MAX(CROQUIS!$C$134,1))+1))-1)*CROQUIS!$C$134)/2)+MIN(INT(($A123-1)/5),MAX((MIN(80,MAX(1,INT(((CROQUIS!$C$97)-CROQUIS!$C$107)/MAX(CROQUIS!$C$134,1))+1)))-1,0))*CROQUIS!$C$134),CHOOSE(IF(INT(($A123-1)/5)&gt;MAX((MIN(80,MAX(1,INT(((CROQUIS!$C$97)-CROQUIS!$C$107)/MAX(CROQUIS!$C$134,1))+1)))-1,0),0,MOD($A123-1,5))+1,0,2,CROQUIS!$C$98-2,2,0)))*CROQUIS!$C$155)+IF(CROQUIS!$C$92="X",0,0)),-1000)</f>
        <v>-1000</v>
      </c>
      <c r="BK123">
        <f>IF(AND(CROQUIS!$C$88=1,CROQUIS!$C$134&gt;0),((CROQUIS!$C$157+(IF(CROQUIS!$C$92="X",CHOOSE(IF(INT(($A123-1)/5)&gt;MAX((MIN(80,MAX(1,INT(((CROQUIS!$C$97)-CROQUIS!$C$107)/MAX(CROQUIS!$C$134,1))+1)))-1,0),0,MOD($A123-1,5))+1,0,2,CROQUIS!$C$98-2,2,0),((CROQUIS!$C$107/2+(((CROQUIS!$C$97)-CROQUIS!$C$107)-(MIN(80,MAX(1,INT(((CROQUIS!$C$97)-CROQUIS!$C$107)/MAX(CROQUIS!$C$134,1))+1))-1)*CROQUIS!$C$134)/2)+MIN(INT(($A123-1)/5),MAX((MIN(80,MAX(1,INT(((CROQUIS!$C$97)-CROQUIS!$C$107)/MAX(CROQUIS!$C$134,1))+1)))-1,0))*CROQUIS!$C$134)))*CROQUIS!$C$155)+IF(CROQUIS!$C$92="X",0,0)),-1000)</f>
        <v>-1000</v>
      </c>
      <c r="BL123">
        <f>IF(AND(CROQUIS!$C$88=1,CROQUIS!$C$91=0,CROQUIS!$C$130&gt;0,OR(CROQUIS!$C$103=1,CROQUIS!$C$142=1)),((CROQUIS!$C$156+(IF(CROQUIS!$C$92="X",CHOOSE(IF(INT(($A123-1)/5)&gt;MAX((MIN(80,MAX(1,INT(((CROQUIS!$C$98)-CROQUIS!$C$107)/MAX(CROQUIS!$C$130,1))+1)))-1,0),0,MOD($A123-1,5))+1,0,IF(CROQUIS!$C$103=1,-12,2),CROQUIS!$C$107/2+CROQUIS!$C$140,IF(CROQUIS!$C$103=1,-12,2),0),((CROQUIS!$C$107/2+(((CROQUIS!$C$98)-CROQUIS!$C$107)-(MIN(80,MAX(1,INT(((CROQUIS!$C$98)-CROQUIS!$C$107)/MAX(CROQUIS!$C$130,1))+1))-1)*CROQUIS!$C$130)/2)+MIN(INT(($A123-1)/5),MAX((MIN(80,MAX(1,INT(((CROQUIS!$C$98)-CROQUIS!$C$107)/MAX(CROQUIS!$C$130,1))+1)))-1,0))*CROQUIS!$C$130)))*CROQUIS!$C$155)+IF(CROQUIS!$C$92="X",0,0)),-1000)</f>
        <v>-1000</v>
      </c>
      <c r="BM12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123-1)/5),MAX((MIN(80,MAX(1,INT(((CROQUIS!$C$98)-CROQUIS!$C$107)/MAX(CROQUIS!$C$130,1))+1)))-1,0))*CROQUIS!$C$130),CHOOSE(IF(INT(($A123-1)/5)&gt;MAX((MIN(80,MAX(1,INT(((CROQUIS!$C$98)-CROQUIS!$C$107)/MAX(CROQUIS!$C$130,1))+1)))-1,0),0,MOD($A123-1,5))+1,0,IF(CROQUIS!$C$103=1,-12,2),CROQUIS!$C$107/2+CROQUIS!$C$140,IF(CROQUIS!$C$103=1,-12,2),0)))*CROQUIS!$C$155)+IF(CROQUIS!$C$92="X",0,0)),-1000)</f>
        <v>-1000</v>
      </c>
      <c r="BN123">
        <f>IF(AND(CROQUIS!$C$88=1,CROQUIS!$C$91=0,CROQUIS!$C$130&gt;0,OR(CROQUIS!$C$104=1,CROQUIS!$C$142=1)),((CROQUIS!$C$156+(IF(CROQUIS!$C$92="X",CHOOSE(IF(INT(($A123-1)/5)&gt;MAX((MIN(80,MAX(1,INT(((CROQUIS!$C$98)-CROQUIS!$C$107)/MAX(CROQUIS!$C$130,1))+1)))-1,0),0,MOD($A123-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123-1)/5),MAX((MIN(80,MAX(1,INT(((CROQUIS!$C$98)-CROQUIS!$C$107)/MAX(CROQUIS!$C$130,1))+1)))-1,0))*CROQUIS!$C$130)))*CROQUIS!$C$155)+IF(CROQUIS!$C$92="X",0,0)),-1000)</f>
        <v>-1000</v>
      </c>
      <c r="BO12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123-1)/5),MAX((MIN(80,MAX(1,INT(((CROQUIS!$C$98)-CROQUIS!$C$107)/MAX(CROQUIS!$C$130,1))+1)))-1,0))*CROQUIS!$C$130),CHOOSE(IF(INT(($A123-1)/5)&gt;MAX((MIN(80,MAX(1,INT(((CROQUIS!$C$98)-CROQUIS!$C$107)/MAX(CROQUIS!$C$130,1))+1)))-1,0),0,MOD($A123-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2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123-1)/5),MAX((MIN(80,MAX(1,INT(((CROQUIS!$C$97)-CROQUIS!$C$107)/MAX(CROQUIS!$C$138,1))+1)))-1,0))*CROQUIS!$C$138),CHOOSE(IF(INT(($A123-1)/5)&gt;MAX((MIN(80,MAX(1,INT(((CROQUIS!$C$97)-CROQUIS!$C$107)/MAX(CROQUIS!$C$138,1))+1)))-1,0),0,MOD($A123-1,5))+1,0,IF(CROQUIS!$C$105=1,-12,2),CROQUIS!$C$107/2+CROQUIS!$C$141,IF(CROQUIS!$C$105=1,-12,2),0)))*CROQUIS!$C$155)+IF(CROQUIS!$C$92="X",0,0)),-1000)</f>
        <v>-1000</v>
      </c>
      <c r="BQ123">
        <f>IF(AND(CROQUIS!$C$88=1,CROQUIS!$C$91=0,CROQUIS!$C$138&gt;0,OR(CROQUIS!$C$105=1,CROQUIS!$C$143=1)),((CROQUIS!$C$157+(IF(CROQUIS!$C$92="X",CHOOSE(IF(INT(($A123-1)/5)&gt;MAX((MIN(80,MAX(1,INT(((CROQUIS!$C$97)-CROQUIS!$C$107)/MAX(CROQUIS!$C$138,1))+1)))-1,0),0,MOD($A123-1,5))+1,0,IF(CROQUIS!$C$105=1,-12,2),CROQUIS!$C$107/2+CROQUIS!$C$141,IF(CROQUIS!$C$105=1,-12,2),0),((CROQUIS!$C$107/2+(((CROQUIS!$C$97)-CROQUIS!$C$107)-(MIN(80,MAX(1,INT(((CROQUIS!$C$97)-CROQUIS!$C$107)/MAX(CROQUIS!$C$138,1))+1))-1)*CROQUIS!$C$138)/2)+MIN(INT(($A123-1)/5),MAX((MIN(80,MAX(1,INT(((CROQUIS!$C$97)-CROQUIS!$C$107)/MAX(CROQUIS!$C$138,1))+1)))-1,0))*CROQUIS!$C$138)))*CROQUIS!$C$155)+IF(CROQUIS!$C$92="X",0,0)),-1000)</f>
        <v>-1000</v>
      </c>
      <c r="BR12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123-1)/5),MAX((MIN(80,MAX(1,INT(((CROQUIS!$C$97)-CROQUIS!$C$107)/MAX(CROQUIS!$C$138,1))+1)))-1,0))*CROQUIS!$C$138),CHOOSE(IF(INT(($A123-1)/5)&gt;MAX((MIN(80,MAX(1,INT(((CROQUIS!$C$97)-CROQUIS!$C$107)/MAX(CROQUIS!$C$138,1))+1)))-1,0),0,MOD($A123-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23">
        <f>IF(AND(CROQUIS!$C$88=1,CROQUIS!$C$91=0,CROQUIS!$C$138&gt;0,OR(CROQUIS!$C$106=1,CROQUIS!$C$143=1)),((CROQUIS!$C$157+(IF(CROQUIS!$C$92="X",CHOOSE(IF(INT(($A123-1)/5)&gt;MAX((MIN(80,MAX(1,INT(((CROQUIS!$C$97)-CROQUIS!$C$107)/MAX(CROQUIS!$C$138,1))+1)))-1,0),0,MOD($A123-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123-1)/5),MAX((MIN(80,MAX(1,INT(((CROQUIS!$C$97)-CROQUIS!$C$107)/MAX(CROQUIS!$C$138,1))+1)))-1,0))*CROQUIS!$C$138)))*CROQUIS!$C$155)+IF(CROQUIS!$C$92="X",0,0)),-1000)</f>
        <v>-1000</v>
      </c>
      <c r="BT123">
        <f>IF(AND(CROQUIS!$C$88=1,CROQUIS!$C$91=1,CROQUIS!$C$130&gt;0),((CROQUIS!$C$156+(IF(CROQUIS!$C$92="X",CHOOSE(IF(INT(($A123-1)/5)&gt;MAX((MIN(80,MAX(1,INT(((CROQUIS!$C$98)-CROQUIS!$C$107)/MAX(CROQUIS!$C$130,1))+1)))-1,0),0,MOD($A123-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123-1)/5),MAX((MIN(80,MAX(1,INT(((CROQUIS!$C$98)-CROQUIS!$C$107)/MAX(CROQUIS!$C$130,1))+1)))-1,0))*CROQUIS!$C$130)))*CROQUIS!$C$155)+IF(CROQUIS!$C$92="X",0,0)),-1000)</f>
        <v>-1000</v>
      </c>
      <c r="BU123">
        <f>IF(AND(CROQUIS!$C$88=1,CROQUIS!$C$91=1,CROQUIS!$C$130&gt;0),((CROQUIS!$C$157+(IF(CROQUIS!$C$92="X",((CROQUIS!$C$107/2+(((CROQUIS!$C$98)-CROQUIS!$C$107)-(MIN(80,MAX(1,INT(((CROQUIS!$C$98)-CROQUIS!$C$107)/MAX(CROQUIS!$C$130,1))+1))-1)*CROQUIS!$C$130)/2)+MIN(INT(($A123-1)/5),MAX((MIN(80,MAX(1,INT(((CROQUIS!$C$98)-CROQUIS!$C$107)/MAX(CROQUIS!$C$130,1))+1)))-1,0))*CROQUIS!$C$130),CHOOSE(IF(INT(($A123-1)/5)&gt;MAX((MIN(80,MAX(1,INT(((CROQUIS!$C$98)-CROQUIS!$C$107)/MAX(CROQUIS!$C$130,1))+1)))-1,0),0,MOD($A123-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24">
      <c r="A124" t="n">
        <v>117</v>
      </c>
      <c r="BH124">
        <f>IF(AND(CROQUIS!$C$88=1,CROQUIS!$C$126&gt;0),((CROQUIS!$C$156+(IF(CROQUIS!$C$92="X",CHOOSE(IF(INT(($A124-1)/5)&gt;MAX((MIN(80,MAX(1,INT(((CROQUIS!$C$98)-CROQUIS!$C$107)/MAX(CROQUIS!$C$126,1))+1)))-1,0),0,MOD($A124-1,5))+1,0,2,CROQUIS!$C$97-2,2,0),((CROQUIS!$C$107/2+(((CROQUIS!$C$98)-CROQUIS!$C$107)-(MIN(80,MAX(1,INT(((CROQUIS!$C$98)-CROQUIS!$C$107)/MAX(CROQUIS!$C$126,1))+1))-1)*CROQUIS!$C$126)/2)+MIN(INT(($A124-1)/5),MAX((MIN(80,MAX(1,INT(((CROQUIS!$C$98)-CROQUIS!$C$107)/MAX(CROQUIS!$C$126,1))+1)))-1,0))*CROQUIS!$C$126)))*CROQUIS!$C$155)+IF(CROQUIS!$C$92="X",0,0)),-1000)</f>
        <v>-1000</v>
      </c>
      <c r="BI124">
        <f>IF(AND(CROQUIS!$C$88=1,CROQUIS!$C$126&gt;0),((CROQUIS!$C$157+(IF(CROQUIS!$C$92="X",((CROQUIS!$C$107/2+(((CROQUIS!$C$98)-CROQUIS!$C$107)-(MIN(80,MAX(1,INT(((CROQUIS!$C$98)-CROQUIS!$C$107)/MAX(CROQUIS!$C$126,1))+1))-1)*CROQUIS!$C$126)/2)+MIN(INT(($A124-1)/5),MAX((MIN(80,MAX(1,INT(((CROQUIS!$C$98)-CROQUIS!$C$107)/MAX(CROQUIS!$C$126,1))+1)))-1,0))*CROQUIS!$C$126),CHOOSE(IF(INT(($A124-1)/5)&gt;MAX((MIN(80,MAX(1,INT(((CROQUIS!$C$98)-CROQUIS!$C$107)/MAX(CROQUIS!$C$126,1))+1)))-1,0),0,MOD($A124-1,5))+1,0,2,CROQUIS!$C$97-2,2,0)))*CROQUIS!$C$155)+IF(CROQUIS!$C$92="X",0,0)),-1000)</f>
        <v>-1000</v>
      </c>
      <c r="BJ124">
        <f>IF(AND(CROQUIS!$C$88=1,CROQUIS!$C$134&gt;0),((CROQUIS!$C$156+(IF(CROQUIS!$C$92="X",((CROQUIS!$C$107/2+(((CROQUIS!$C$97)-CROQUIS!$C$107)-(MIN(80,MAX(1,INT(((CROQUIS!$C$97)-CROQUIS!$C$107)/MAX(CROQUIS!$C$134,1))+1))-1)*CROQUIS!$C$134)/2)+MIN(INT(($A124-1)/5),MAX((MIN(80,MAX(1,INT(((CROQUIS!$C$97)-CROQUIS!$C$107)/MAX(CROQUIS!$C$134,1))+1)))-1,0))*CROQUIS!$C$134),CHOOSE(IF(INT(($A124-1)/5)&gt;MAX((MIN(80,MAX(1,INT(((CROQUIS!$C$97)-CROQUIS!$C$107)/MAX(CROQUIS!$C$134,1))+1)))-1,0),0,MOD($A124-1,5))+1,0,2,CROQUIS!$C$98-2,2,0)))*CROQUIS!$C$155)+IF(CROQUIS!$C$92="X",0,0)),-1000)</f>
        <v>-1000</v>
      </c>
      <c r="BK124">
        <f>IF(AND(CROQUIS!$C$88=1,CROQUIS!$C$134&gt;0),((CROQUIS!$C$157+(IF(CROQUIS!$C$92="X",CHOOSE(IF(INT(($A124-1)/5)&gt;MAX((MIN(80,MAX(1,INT(((CROQUIS!$C$97)-CROQUIS!$C$107)/MAX(CROQUIS!$C$134,1))+1)))-1,0),0,MOD($A124-1,5))+1,0,2,CROQUIS!$C$98-2,2,0),((CROQUIS!$C$107/2+(((CROQUIS!$C$97)-CROQUIS!$C$107)-(MIN(80,MAX(1,INT(((CROQUIS!$C$97)-CROQUIS!$C$107)/MAX(CROQUIS!$C$134,1))+1))-1)*CROQUIS!$C$134)/2)+MIN(INT(($A124-1)/5),MAX((MIN(80,MAX(1,INT(((CROQUIS!$C$97)-CROQUIS!$C$107)/MAX(CROQUIS!$C$134,1))+1)))-1,0))*CROQUIS!$C$134)))*CROQUIS!$C$155)+IF(CROQUIS!$C$92="X",0,0)),-1000)</f>
        <v>-1000</v>
      </c>
      <c r="BL124">
        <f>IF(AND(CROQUIS!$C$88=1,CROQUIS!$C$91=0,CROQUIS!$C$130&gt;0,OR(CROQUIS!$C$103=1,CROQUIS!$C$142=1)),((CROQUIS!$C$156+(IF(CROQUIS!$C$92="X",CHOOSE(IF(INT(($A124-1)/5)&gt;MAX((MIN(80,MAX(1,INT(((CROQUIS!$C$98)-CROQUIS!$C$107)/MAX(CROQUIS!$C$130,1))+1)))-1,0),0,MOD($A124-1,5))+1,0,IF(CROQUIS!$C$103=1,-12,2),CROQUIS!$C$107/2+CROQUIS!$C$140,IF(CROQUIS!$C$103=1,-12,2),0),((CROQUIS!$C$107/2+(((CROQUIS!$C$98)-CROQUIS!$C$107)-(MIN(80,MAX(1,INT(((CROQUIS!$C$98)-CROQUIS!$C$107)/MAX(CROQUIS!$C$130,1))+1))-1)*CROQUIS!$C$130)/2)+MIN(INT(($A124-1)/5),MAX((MIN(80,MAX(1,INT(((CROQUIS!$C$98)-CROQUIS!$C$107)/MAX(CROQUIS!$C$130,1))+1)))-1,0))*CROQUIS!$C$130)))*CROQUIS!$C$155)+IF(CROQUIS!$C$92="X",0,0)),-1000)</f>
        <v>-1000</v>
      </c>
      <c r="BM12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124-1)/5),MAX((MIN(80,MAX(1,INT(((CROQUIS!$C$98)-CROQUIS!$C$107)/MAX(CROQUIS!$C$130,1))+1)))-1,0))*CROQUIS!$C$130),CHOOSE(IF(INT(($A124-1)/5)&gt;MAX((MIN(80,MAX(1,INT(((CROQUIS!$C$98)-CROQUIS!$C$107)/MAX(CROQUIS!$C$130,1))+1)))-1,0),0,MOD($A124-1,5))+1,0,IF(CROQUIS!$C$103=1,-12,2),CROQUIS!$C$107/2+CROQUIS!$C$140,IF(CROQUIS!$C$103=1,-12,2),0)))*CROQUIS!$C$155)+IF(CROQUIS!$C$92="X",0,0)),-1000)</f>
        <v>-1000</v>
      </c>
      <c r="BN124">
        <f>IF(AND(CROQUIS!$C$88=1,CROQUIS!$C$91=0,CROQUIS!$C$130&gt;0,OR(CROQUIS!$C$104=1,CROQUIS!$C$142=1)),((CROQUIS!$C$156+(IF(CROQUIS!$C$92="X",CHOOSE(IF(INT(($A124-1)/5)&gt;MAX((MIN(80,MAX(1,INT(((CROQUIS!$C$98)-CROQUIS!$C$107)/MAX(CROQUIS!$C$130,1))+1)))-1,0),0,MOD($A124-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124-1)/5),MAX((MIN(80,MAX(1,INT(((CROQUIS!$C$98)-CROQUIS!$C$107)/MAX(CROQUIS!$C$130,1))+1)))-1,0))*CROQUIS!$C$130)))*CROQUIS!$C$155)+IF(CROQUIS!$C$92="X",0,0)),-1000)</f>
        <v>-1000</v>
      </c>
      <c r="BO12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124-1)/5),MAX((MIN(80,MAX(1,INT(((CROQUIS!$C$98)-CROQUIS!$C$107)/MAX(CROQUIS!$C$130,1))+1)))-1,0))*CROQUIS!$C$130),CHOOSE(IF(INT(($A124-1)/5)&gt;MAX((MIN(80,MAX(1,INT(((CROQUIS!$C$98)-CROQUIS!$C$107)/MAX(CROQUIS!$C$130,1))+1)))-1,0),0,MOD($A124-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2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124-1)/5),MAX((MIN(80,MAX(1,INT(((CROQUIS!$C$97)-CROQUIS!$C$107)/MAX(CROQUIS!$C$138,1))+1)))-1,0))*CROQUIS!$C$138),CHOOSE(IF(INT(($A124-1)/5)&gt;MAX((MIN(80,MAX(1,INT(((CROQUIS!$C$97)-CROQUIS!$C$107)/MAX(CROQUIS!$C$138,1))+1)))-1,0),0,MOD($A124-1,5))+1,0,IF(CROQUIS!$C$105=1,-12,2),CROQUIS!$C$107/2+CROQUIS!$C$141,IF(CROQUIS!$C$105=1,-12,2),0)))*CROQUIS!$C$155)+IF(CROQUIS!$C$92="X",0,0)),-1000)</f>
        <v>-1000</v>
      </c>
      <c r="BQ124">
        <f>IF(AND(CROQUIS!$C$88=1,CROQUIS!$C$91=0,CROQUIS!$C$138&gt;0,OR(CROQUIS!$C$105=1,CROQUIS!$C$143=1)),((CROQUIS!$C$157+(IF(CROQUIS!$C$92="X",CHOOSE(IF(INT(($A124-1)/5)&gt;MAX((MIN(80,MAX(1,INT(((CROQUIS!$C$97)-CROQUIS!$C$107)/MAX(CROQUIS!$C$138,1))+1)))-1,0),0,MOD($A124-1,5))+1,0,IF(CROQUIS!$C$105=1,-12,2),CROQUIS!$C$107/2+CROQUIS!$C$141,IF(CROQUIS!$C$105=1,-12,2),0),((CROQUIS!$C$107/2+(((CROQUIS!$C$97)-CROQUIS!$C$107)-(MIN(80,MAX(1,INT(((CROQUIS!$C$97)-CROQUIS!$C$107)/MAX(CROQUIS!$C$138,1))+1))-1)*CROQUIS!$C$138)/2)+MIN(INT(($A124-1)/5),MAX((MIN(80,MAX(1,INT(((CROQUIS!$C$97)-CROQUIS!$C$107)/MAX(CROQUIS!$C$138,1))+1)))-1,0))*CROQUIS!$C$138)))*CROQUIS!$C$155)+IF(CROQUIS!$C$92="X",0,0)),-1000)</f>
        <v>-1000</v>
      </c>
      <c r="BR12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124-1)/5),MAX((MIN(80,MAX(1,INT(((CROQUIS!$C$97)-CROQUIS!$C$107)/MAX(CROQUIS!$C$138,1))+1)))-1,0))*CROQUIS!$C$138),CHOOSE(IF(INT(($A124-1)/5)&gt;MAX((MIN(80,MAX(1,INT(((CROQUIS!$C$97)-CROQUIS!$C$107)/MAX(CROQUIS!$C$138,1))+1)))-1,0),0,MOD($A124-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24">
        <f>IF(AND(CROQUIS!$C$88=1,CROQUIS!$C$91=0,CROQUIS!$C$138&gt;0,OR(CROQUIS!$C$106=1,CROQUIS!$C$143=1)),((CROQUIS!$C$157+(IF(CROQUIS!$C$92="X",CHOOSE(IF(INT(($A124-1)/5)&gt;MAX((MIN(80,MAX(1,INT(((CROQUIS!$C$97)-CROQUIS!$C$107)/MAX(CROQUIS!$C$138,1))+1)))-1,0),0,MOD($A124-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124-1)/5),MAX((MIN(80,MAX(1,INT(((CROQUIS!$C$97)-CROQUIS!$C$107)/MAX(CROQUIS!$C$138,1))+1)))-1,0))*CROQUIS!$C$138)))*CROQUIS!$C$155)+IF(CROQUIS!$C$92="X",0,0)),-1000)</f>
        <v>-1000</v>
      </c>
      <c r="BT124">
        <f>IF(AND(CROQUIS!$C$88=1,CROQUIS!$C$91=1,CROQUIS!$C$130&gt;0),((CROQUIS!$C$156+(IF(CROQUIS!$C$92="X",CHOOSE(IF(INT(($A124-1)/5)&gt;MAX((MIN(80,MAX(1,INT(((CROQUIS!$C$98)-CROQUIS!$C$107)/MAX(CROQUIS!$C$130,1))+1)))-1,0),0,MOD($A124-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124-1)/5),MAX((MIN(80,MAX(1,INT(((CROQUIS!$C$98)-CROQUIS!$C$107)/MAX(CROQUIS!$C$130,1))+1)))-1,0))*CROQUIS!$C$130)))*CROQUIS!$C$155)+IF(CROQUIS!$C$92="X",0,0)),-1000)</f>
        <v>-1000</v>
      </c>
      <c r="BU124">
        <f>IF(AND(CROQUIS!$C$88=1,CROQUIS!$C$91=1,CROQUIS!$C$130&gt;0),((CROQUIS!$C$157+(IF(CROQUIS!$C$92="X",((CROQUIS!$C$107/2+(((CROQUIS!$C$98)-CROQUIS!$C$107)-(MIN(80,MAX(1,INT(((CROQUIS!$C$98)-CROQUIS!$C$107)/MAX(CROQUIS!$C$130,1))+1))-1)*CROQUIS!$C$130)/2)+MIN(INT(($A124-1)/5),MAX((MIN(80,MAX(1,INT(((CROQUIS!$C$98)-CROQUIS!$C$107)/MAX(CROQUIS!$C$130,1))+1)))-1,0))*CROQUIS!$C$130),CHOOSE(IF(INT(($A124-1)/5)&gt;MAX((MIN(80,MAX(1,INT(((CROQUIS!$C$98)-CROQUIS!$C$107)/MAX(CROQUIS!$C$130,1))+1)))-1,0),0,MOD($A124-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25">
      <c r="A125" t="n">
        <v>118</v>
      </c>
      <c r="BH125">
        <f>IF(AND(CROQUIS!$C$88=1,CROQUIS!$C$126&gt;0),((CROQUIS!$C$156+(IF(CROQUIS!$C$92="X",CHOOSE(IF(INT(($A125-1)/5)&gt;MAX((MIN(80,MAX(1,INT(((CROQUIS!$C$98)-CROQUIS!$C$107)/MAX(CROQUIS!$C$126,1))+1)))-1,0),0,MOD($A125-1,5))+1,0,2,CROQUIS!$C$97-2,2,0),((CROQUIS!$C$107/2+(((CROQUIS!$C$98)-CROQUIS!$C$107)-(MIN(80,MAX(1,INT(((CROQUIS!$C$98)-CROQUIS!$C$107)/MAX(CROQUIS!$C$126,1))+1))-1)*CROQUIS!$C$126)/2)+MIN(INT(($A125-1)/5),MAX((MIN(80,MAX(1,INT(((CROQUIS!$C$98)-CROQUIS!$C$107)/MAX(CROQUIS!$C$126,1))+1)))-1,0))*CROQUIS!$C$126)))*CROQUIS!$C$155)+IF(CROQUIS!$C$92="X",0,0)),-1000)</f>
        <v>-1000</v>
      </c>
      <c r="BI125">
        <f>IF(AND(CROQUIS!$C$88=1,CROQUIS!$C$126&gt;0),((CROQUIS!$C$157+(IF(CROQUIS!$C$92="X",((CROQUIS!$C$107/2+(((CROQUIS!$C$98)-CROQUIS!$C$107)-(MIN(80,MAX(1,INT(((CROQUIS!$C$98)-CROQUIS!$C$107)/MAX(CROQUIS!$C$126,1))+1))-1)*CROQUIS!$C$126)/2)+MIN(INT(($A125-1)/5),MAX((MIN(80,MAX(1,INT(((CROQUIS!$C$98)-CROQUIS!$C$107)/MAX(CROQUIS!$C$126,1))+1)))-1,0))*CROQUIS!$C$126),CHOOSE(IF(INT(($A125-1)/5)&gt;MAX((MIN(80,MAX(1,INT(((CROQUIS!$C$98)-CROQUIS!$C$107)/MAX(CROQUIS!$C$126,1))+1)))-1,0),0,MOD($A125-1,5))+1,0,2,CROQUIS!$C$97-2,2,0)))*CROQUIS!$C$155)+IF(CROQUIS!$C$92="X",0,0)),-1000)</f>
        <v>-1000</v>
      </c>
      <c r="BJ125">
        <f>IF(AND(CROQUIS!$C$88=1,CROQUIS!$C$134&gt;0),((CROQUIS!$C$156+(IF(CROQUIS!$C$92="X",((CROQUIS!$C$107/2+(((CROQUIS!$C$97)-CROQUIS!$C$107)-(MIN(80,MAX(1,INT(((CROQUIS!$C$97)-CROQUIS!$C$107)/MAX(CROQUIS!$C$134,1))+1))-1)*CROQUIS!$C$134)/2)+MIN(INT(($A125-1)/5),MAX((MIN(80,MAX(1,INT(((CROQUIS!$C$97)-CROQUIS!$C$107)/MAX(CROQUIS!$C$134,1))+1)))-1,0))*CROQUIS!$C$134),CHOOSE(IF(INT(($A125-1)/5)&gt;MAX((MIN(80,MAX(1,INT(((CROQUIS!$C$97)-CROQUIS!$C$107)/MAX(CROQUIS!$C$134,1))+1)))-1,0),0,MOD($A125-1,5))+1,0,2,CROQUIS!$C$98-2,2,0)))*CROQUIS!$C$155)+IF(CROQUIS!$C$92="X",0,0)),-1000)</f>
        <v>-1000</v>
      </c>
      <c r="BK125">
        <f>IF(AND(CROQUIS!$C$88=1,CROQUIS!$C$134&gt;0),((CROQUIS!$C$157+(IF(CROQUIS!$C$92="X",CHOOSE(IF(INT(($A125-1)/5)&gt;MAX((MIN(80,MAX(1,INT(((CROQUIS!$C$97)-CROQUIS!$C$107)/MAX(CROQUIS!$C$134,1))+1)))-1,0),0,MOD($A125-1,5))+1,0,2,CROQUIS!$C$98-2,2,0),((CROQUIS!$C$107/2+(((CROQUIS!$C$97)-CROQUIS!$C$107)-(MIN(80,MAX(1,INT(((CROQUIS!$C$97)-CROQUIS!$C$107)/MAX(CROQUIS!$C$134,1))+1))-1)*CROQUIS!$C$134)/2)+MIN(INT(($A125-1)/5),MAX((MIN(80,MAX(1,INT(((CROQUIS!$C$97)-CROQUIS!$C$107)/MAX(CROQUIS!$C$134,1))+1)))-1,0))*CROQUIS!$C$134)))*CROQUIS!$C$155)+IF(CROQUIS!$C$92="X",0,0)),-1000)</f>
        <v>-1000</v>
      </c>
      <c r="BL125">
        <f>IF(AND(CROQUIS!$C$88=1,CROQUIS!$C$91=0,CROQUIS!$C$130&gt;0,OR(CROQUIS!$C$103=1,CROQUIS!$C$142=1)),((CROQUIS!$C$156+(IF(CROQUIS!$C$92="X",CHOOSE(IF(INT(($A125-1)/5)&gt;MAX((MIN(80,MAX(1,INT(((CROQUIS!$C$98)-CROQUIS!$C$107)/MAX(CROQUIS!$C$130,1))+1)))-1,0),0,MOD($A125-1,5))+1,0,IF(CROQUIS!$C$103=1,-12,2),CROQUIS!$C$107/2+CROQUIS!$C$140,IF(CROQUIS!$C$103=1,-12,2),0),((CROQUIS!$C$107/2+(((CROQUIS!$C$98)-CROQUIS!$C$107)-(MIN(80,MAX(1,INT(((CROQUIS!$C$98)-CROQUIS!$C$107)/MAX(CROQUIS!$C$130,1))+1))-1)*CROQUIS!$C$130)/2)+MIN(INT(($A125-1)/5),MAX((MIN(80,MAX(1,INT(((CROQUIS!$C$98)-CROQUIS!$C$107)/MAX(CROQUIS!$C$130,1))+1)))-1,0))*CROQUIS!$C$130)))*CROQUIS!$C$155)+IF(CROQUIS!$C$92="X",0,0)),-1000)</f>
        <v>-1000</v>
      </c>
      <c r="BM12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125-1)/5),MAX((MIN(80,MAX(1,INT(((CROQUIS!$C$98)-CROQUIS!$C$107)/MAX(CROQUIS!$C$130,1))+1)))-1,0))*CROQUIS!$C$130),CHOOSE(IF(INT(($A125-1)/5)&gt;MAX((MIN(80,MAX(1,INT(((CROQUIS!$C$98)-CROQUIS!$C$107)/MAX(CROQUIS!$C$130,1))+1)))-1,0),0,MOD($A125-1,5))+1,0,IF(CROQUIS!$C$103=1,-12,2),CROQUIS!$C$107/2+CROQUIS!$C$140,IF(CROQUIS!$C$103=1,-12,2),0)))*CROQUIS!$C$155)+IF(CROQUIS!$C$92="X",0,0)),-1000)</f>
        <v>-1000</v>
      </c>
      <c r="BN125">
        <f>IF(AND(CROQUIS!$C$88=1,CROQUIS!$C$91=0,CROQUIS!$C$130&gt;0,OR(CROQUIS!$C$104=1,CROQUIS!$C$142=1)),((CROQUIS!$C$156+(IF(CROQUIS!$C$92="X",CHOOSE(IF(INT(($A125-1)/5)&gt;MAX((MIN(80,MAX(1,INT(((CROQUIS!$C$98)-CROQUIS!$C$107)/MAX(CROQUIS!$C$130,1))+1)))-1,0),0,MOD($A125-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125-1)/5),MAX((MIN(80,MAX(1,INT(((CROQUIS!$C$98)-CROQUIS!$C$107)/MAX(CROQUIS!$C$130,1))+1)))-1,0))*CROQUIS!$C$130)))*CROQUIS!$C$155)+IF(CROQUIS!$C$92="X",0,0)),-1000)</f>
        <v>-1000</v>
      </c>
      <c r="BO12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125-1)/5),MAX((MIN(80,MAX(1,INT(((CROQUIS!$C$98)-CROQUIS!$C$107)/MAX(CROQUIS!$C$130,1))+1)))-1,0))*CROQUIS!$C$130),CHOOSE(IF(INT(($A125-1)/5)&gt;MAX((MIN(80,MAX(1,INT(((CROQUIS!$C$98)-CROQUIS!$C$107)/MAX(CROQUIS!$C$130,1))+1)))-1,0),0,MOD($A125-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2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125-1)/5),MAX((MIN(80,MAX(1,INT(((CROQUIS!$C$97)-CROQUIS!$C$107)/MAX(CROQUIS!$C$138,1))+1)))-1,0))*CROQUIS!$C$138),CHOOSE(IF(INT(($A125-1)/5)&gt;MAX((MIN(80,MAX(1,INT(((CROQUIS!$C$97)-CROQUIS!$C$107)/MAX(CROQUIS!$C$138,1))+1)))-1,0),0,MOD($A125-1,5))+1,0,IF(CROQUIS!$C$105=1,-12,2),CROQUIS!$C$107/2+CROQUIS!$C$141,IF(CROQUIS!$C$105=1,-12,2),0)))*CROQUIS!$C$155)+IF(CROQUIS!$C$92="X",0,0)),-1000)</f>
        <v>-1000</v>
      </c>
      <c r="BQ125">
        <f>IF(AND(CROQUIS!$C$88=1,CROQUIS!$C$91=0,CROQUIS!$C$138&gt;0,OR(CROQUIS!$C$105=1,CROQUIS!$C$143=1)),((CROQUIS!$C$157+(IF(CROQUIS!$C$92="X",CHOOSE(IF(INT(($A125-1)/5)&gt;MAX((MIN(80,MAX(1,INT(((CROQUIS!$C$97)-CROQUIS!$C$107)/MAX(CROQUIS!$C$138,1))+1)))-1,0),0,MOD($A125-1,5))+1,0,IF(CROQUIS!$C$105=1,-12,2),CROQUIS!$C$107/2+CROQUIS!$C$141,IF(CROQUIS!$C$105=1,-12,2),0),((CROQUIS!$C$107/2+(((CROQUIS!$C$97)-CROQUIS!$C$107)-(MIN(80,MAX(1,INT(((CROQUIS!$C$97)-CROQUIS!$C$107)/MAX(CROQUIS!$C$138,1))+1))-1)*CROQUIS!$C$138)/2)+MIN(INT(($A125-1)/5),MAX((MIN(80,MAX(1,INT(((CROQUIS!$C$97)-CROQUIS!$C$107)/MAX(CROQUIS!$C$138,1))+1)))-1,0))*CROQUIS!$C$138)))*CROQUIS!$C$155)+IF(CROQUIS!$C$92="X",0,0)),-1000)</f>
        <v>-1000</v>
      </c>
      <c r="BR12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125-1)/5),MAX((MIN(80,MAX(1,INT(((CROQUIS!$C$97)-CROQUIS!$C$107)/MAX(CROQUIS!$C$138,1))+1)))-1,0))*CROQUIS!$C$138),CHOOSE(IF(INT(($A125-1)/5)&gt;MAX((MIN(80,MAX(1,INT(((CROQUIS!$C$97)-CROQUIS!$C$107)/MAX(CROQUIS!$C$138,1))+1)))-1,0),0,MOD($A125-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25">
        <f>IF(AND(CROQUIS!$C$88=1,CROQUIS!$C$91=0,CROQUIS!$C$138&gt;0,OR(CROQUIS!$C$106=1,CROQUIS!$C$143=1)),((CROQUIS!$C$157+(IF(CROQUIS!$C$92="X",CHOOSE(IF(INT(($A125-1)/5)&gt;MAX((MIN(80,MAX(1,INT(((CROQUIS!$C$97)-CROQUIS!$C$107)/MAX(CROQUIS!$C$138,1))+1)))-1,0),0,MOD($A125-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125-1)/5),MAX((MIN(80,MAX(1,INT(((CROQUIS!$C$97)-CROQUIS!$C$107)/MAX(CROQUIS!$C$138,1))+1)))-1,0))*CROQUIS!$C$138)))*CROQUIS!$C$155)+IF(CROQUIS!$C$92="X",0,0)),-1000)</f>
        <v>-1000</v>
      </c>
      <c r="BT125">
        <f>IF(AND(CROQUIS!$C$88=1,CROQUIS!$C$91=1,CROQUIS!$C$130&gt;0),((CROQUIS!$C$156+(IF(CROQUIS!$C$92="X",CHOOSE(IF(INT(($A125-1)/5)&gt;MAX((MIN(80,MAX(1,INT(((CROQUIS!$C$98)-CROQUIS!$C$107)/MAX(CROQUIS!$C$130,1))+1)))-1,0),0,MOD($A125-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125-1)/5),MAX((MIN(80,MAX(1,INT(((CROQUIS!$C$98)-CROQUIS!$C$107)/MAX(CROQUIS!$C$130,1))+1)))-1,0))*CROQUIS!$C$130)))*CROQUIS!$C$155)+IF(CROQUIS!$C$92="X",0,0)),-1000)</f>
        <v>-1000</v>
      </c>
      <c r="BU125">
        <f>IF(AND(CROQUIS!$C$88=1,CROQUIS!$C$91=1,CROQUIS!$C$130&gt;0),((CROQUIS!$C$157+(IF(CROQUIS!$C$92="X",((CROQUIS!$C$107/2+(((CROQUIS!$C$98)-CROQUIS!$C$107)-(MIN(80,MAX(1,INT(((CROQUIS!$C$98)-CROQUIS!$C$107)/MAX(CROQUIS!$C$130,1))+1))-1)*CROQUIS!$C$130)/2)+MIN(INT(($A125-1)/5),MAX((MIN(80,MAX(1,INT(((CROQUIS!$C$98)-CROQUIS!$C$107)/MAX(CROQUIS!$C$130,1))+1)))-1,0))*CROQUIS!$C$130),CHOOSE(IF(INT(($A125-1)/5)&gt;MAX((MIN(80,MAX(1,INT(((CROQUIS!$C$98)-CROQUIS!$C$107)/MAX(CROQUIS!$C$130,1))+1)))-1,0),0,MOD($A125-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26">
      <c r="A126" t="n">
        <v>119</v>
      </c>
      <c r="BH126">
        <f>IF(AND(CROQUIS!$C$88=1,CROQUIS!$C$126&gt;0),((CROQUIS!$C$156+(IF(CROQUIS!$C$92="X",CHOOSE(IF(INT(($A126-1)/5)&gt;MAX((MIN(80,MAX(1,INT(((CROQUIS!$C$98)-CROQUIS!$C$107)/MAX(CROQUIS!$C$126,1))+1)))-1,0),0,MOD($A126-1,5))+1,0,2,CROQUIS!$C$97-2,2,0),((CROQUIS!$C$107/2+(((CROQUIS!$C$98)-CROQUIS!$C$107)-(MIN(80,MAX(1,INT(((CROQUIS!$C$98)-CROQUIS!$C$107)/MAX(CROQUIS!$C$126,1))+1))-1)*CROQUIS!$C$126)/2)+MIN(INT(($A126-1)/5),MAX((MIN(80,MAX(1,INT(((CROQUIS!$C$98)-CROQUIS!$C$107)/MAX(CROQUIS!$C$126,1))+1)))-1,0))*CROQUIS!$C$126)))*CROQUIS!$C$155)+IF(CROQUIS!$C$92="X",0,0)),-1000)</f>
        <v>-1000</v>
      </c>
      <c r="BI126">
        <f>IF(AND(CROQUIS!$C$88=1,CROQUIS!$C$126&gt;0),((CROQUIS!$C$157+(IF(CROQUIS!$C$92="X",((CROQUIS!$C$107/2+(((CROQUIS!$C$98)-CROQUIS!$C$107)-(MIN(80,MAX(1,INT(((CROQUIS!$C$98)-CROQUIS!$C$107)/MAX(CROQUIS!$C$126,1))+1))-1)*CROQUIS!$C$126)/2)+MIN(INT(($A126-1)/5),MAX((MIN(80,MAX(1,INT(((CROQUIS!$C$98)-CROQUIS!$C$107)/MAX(CROQUIS!$C$126,1))+1)))-1,0))*CROQUIS!$C$126),CHOOSE(IF(INT(($A126-1)/5)&gt;MAX((MIN(80,MAX(1,INT(((CROQUIS!$C$98)-CROQUIS!$C$107)/MAX(CROQUIS!$C$126,1))+1)))-1,0),0,MOD($A126-1,5))+1,0,2,CROQUIS!$C$97-2,2,0)))*CROQUIS!$C$155)+IF(CROQUIS!$C$92="X",0,0)),-1000)</f>
        <v>-1000</v>
      </c>
      <c r="BJ126">
        <f>IF(AND(CROQUIS!$C$88=1,CROQUIS!$C$134&gt;0),((CROQUIS!$C$156+(IF(CROQUIS!$C$92="X",((CROQUIS!$C$107/2+(((CROQUIS!$C$97)-CROQUIS!$C$107)-(MIN(80,MAX(1,INT(((CROQUIS!$C$97)-CROQUIS!$C$107)/MAX(CROQUIS!$C$134,1))+1))-1)*CROQUIS!$C$134)/2)+MIN(INT(($A126-1)/5),MAX((MIN(80,MAX(1,INT(((CROQUIS!$C$97)-CROQUIS!$C$107)/MAX(CROQUIS!$C$134,1))+1)))-1,0))*CROQUIS!$C$134),CHOOSE(IF(INT(($A126-1)/5)&gt;MAX((MIN(80,MAX(1,INT(((CROQUIS!$C$97)-CROQUIS!$C$107)/MAX(CROQUIS!$C$134,1))+1)))-1,0),0,MOD($A126-1,5))+1,0,2,CROQUIS!$C$98-2,2,0)))*CROQUIS!$C$155)+IF(CROQUIS!$C$92="X",0,0)),-1000)</f>
        <v>-1000</v>
      </c>
      <c r="BK126">
        <f>IF(AND(CROQUIS!$C$88=1,CROQUIS!$C$134&gt;0),((CROQUIS!$C$157+(IF(CROQUIS!$C$92="X",CHOOSE(IF(INT(($A126-1)/5)&gt;MAX((MIN(80,MAX(1,INT(((CROQUIS!$C$97)-CROQUIS!$C$107)/MAX(CROQUIS!$C$134,1))+1)))-1,0),0,MOD($A126-1,5))+1,0,2,CROQUIS!$C$98-2,2,0),((CROQUIS!$C$107/2+(((CROQUIS!$C$97)-CROQUIS!$C$107)-(MIN(80,MAX(1,INT(((CROQUIS!$C$97)-CROQUIS!$C$107)/MAX(CROQUIS!$C$134,1))+1))-1)*CROQUIS!$C$134)/2)+MIN(INT(($A126-1)/5),MAX((MIN(80,MAX(1,INT(((CROQUIS!$C$97)-CROQUIS!$C$107)/MAX(CROQUIS!$C$134,1))+1)))-1,0))*CROQUIS!$C$134)))*CROQUIS!$C$155)+IF(CROQUIS!$C$92="X",0,0)),-1000)</f>
        <v>-1000</v>
      </c>
      <c r="BL126">
        <f>IF(AND(CROQUIS!$C$88=1,CROQUIS!$C$91=0,CROQUIS!$C$130&gt;0,OR(CROQUIS!$C$103=1,CROQUIS!$C$142=1)),((CROQUIS!$C$156+(IF(CROQUIS!$C$92="X",CHOOSE(IF(INT(($A126-1)/5)&gt;MAX((MIN(80,MAX(1,INT(((CROQUIS!$C$98)-CROQUIS!$C$107)/MAX(CROQUIS!$C$130,1))+1)))-1,0),0,MOD($A126-1,5))+1,0,IF(CROQUIS!$C$103=1,-12,2),CROQUIS!$C$107/2+CROQUIS!$C$140,IF(CROQUIS!$C$103=1,-12,2),0),((CROQUIS!$C$107/2+(((CROQUIS!$C$98)-CROQUIS!$C$107)-(MIN(80,MAX(1,INT(((CROQUIS!$C$98)-CROQUIS!$C$107)/MAX(CROQUIS!$C$130,1))+1))-1)*CROQUIS!$C$130)/2)+MIN(INT(($A126-1)/5),MAX((MIN(80,MAX(1,INT(((CROQUIS!$C$98)-CROQUIS!$C$107)/MAX(CROQUIS!$C$130,1))+1)))-1,0))*CROQUIS!$C$130)))*CROQUIS!$C$155)+IF(CROQUIS!$C$92="X",0,0)),-1000)</f>
        <v>-1000</v>
      </c>
      <c r="BM12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126-1)/5),MAX((MIN(80,MAX(1,INT(((CROQUIS!$C$98)-CROQUIS!$C$107)/MAX(CROQUIS!$C$130,1))+1)))-1,0))*CROQUIS!$C$130),CHOOSE(IF(INT(($A126-1)/5)&gt;MAX((MIN(80,MAX(1,INT(((CROQUIS!$C$98)-CROQUIS!$C$107)/MAX(CROQUIS!$C$130,1))+1)))-1,0),0,MOD($A126-1,5))+1,0,IF(CROQUIS!$C$103=1,-12,2),CROQUIS!$C$107/2+CROQUIS!$C$140,IF(CROQUIS!$C$103=1,-12,2),0)))*CROQUIS!$C$155)+IF(CROQUIS!$C$92="X",0,0)),-1000)</f>
        <v>-1000</v>
      </c>
      <c r="BN126">
        <f>IF(AND(CROQUIS!$C$88=1,CROQUIS!$C$91=0,CROQUIS!$C$130&gt;0,OR(CROQUIS!$C$104=1,CROQUIS!$C$142=1)),((CROQUIS!$C$156+(IF(CROQUIS!$C$92="X",CHOOSE(IF(INT(($A126-1)/5)&gt;MAX((MIN(80,MAX(1,INT(((CROQUIS!$C$98)-CROQUIS!$C$107)/MAX(CROQUIS!$C$130,1))+1)))-1,0),0,MOD($A126-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126-1)/5),MAX((MIN(80,MAX(1,INT(((CROQUIS!$C$98)-CROQUIS!$C$107)/MAX(CROQUIS!$C$130,1))+1)))-1,0))*CROQUIS!$C$130)))*CROQUIS!$C$155)+IF(CROQUIS!$C$92="X",0,0)),-1000)</f>
        <v>-1000</v>
      </c>
      <c r="BO12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126-1)/5),MAX((MIN(80,MAX(1,INT(((CROQUIS!$C$98)-CROQUIS!$C$107)/MAX(CROQUIS!$C$130,1))+1)))-1,0))*CROQUIS!$C$130),CHOOSE(IF(INT(($A126-1)/5)&gt;MAX((MIN(80,MAX(1,INT(((CROQUIS!$C$98)-CROQUIS!$C$107)/MAX(CROQUIS!$C$130,1))+1)))-1,0),0,MOD($A126-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2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126-1)/5),MAX((MIN(80,MAX(1,INT(((CROQUIS!$C$97)-CROQUIS!$C$107)/MAX(CROQUIS!$C$138,1))+1)))-1,0))*CROQUIS!$C$138),CHOOSE(IF(INT(($A126-1)/5)&gt;MAX((MIN(80,MAX(1,INT(((CROQUIS!$C$97)-CROQUIS!$C$107)/MAX(CROQUIS!$C$138,1))+1)))-1,0),0,MOD($A126-1,5))+1,0,IF(CROQUIS!$C$105=1,-12,2),CROQUIS!$C$107/2+CROQUIS!$C$141,IF(CROQUIS!$C$105=1,-12,2),0)))*CROQUIS!$C$155)+IF(CROQUIS!$C$92="X",0,0)),-1000)</f>
        <v>-1000</v>
      </c>
      <c r="BQ126">
        <f>IF(AND(CROQUIS!$C$88=1,CROQUIS!$C$91=0,CROQUIS!$C$138&gt;0,OR(CROQUIS!$C$105=1,CROQUIS!$C$143=1)),((CROQUIS!$C$157+(IF(CROQUIS!$C$92="X",CHOOSE(IF(INT(($A126-1)/5)&gt;MAX((MIN(80,MAX(1,INT(((CROQUIS!$C$97)-CROQUIS!$C$107)/MAX(CROQUIS!$C$138,1))+1)))-1,0),0,MOD($A126-1,5))+1,0,IF(CROQUIS!$C$105=1,-12,2),CROQUIS!$C$107/2+CROQUIS!$C$141,IF(CROQUIS!$C$105=1,-12,2),0),((CROQUIS!$C$107/2+(((CROQUIS!$C$97)-CROQUIS!$C$107)-(MIN(80,MAX(1,INT(((CROQUIS!$C$97)-CROQUIS!$C$107)/MAX(CROQUIS!$C$138,1))+1))-1)*CROQUIS!$C$138)/2)+MIN(INT(($A126-1)/5),MAX((MIN(80,MAX(1,INT(((CROQUIS!$C$97)-CROQUIS!$C$107)/MAX(CROQUIS!$C$138,1))+1)))-1,0))*CROQUIS!$C$138)))*CROQUIS!$C$155)+IF(CROQUIS!$C$92="X",0,0)),-1000)</f>
        <v>-1000</v>
      </c>
      <c r="BR12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126-1)/5),MAX((MIN(80,MAX(1,INT(((CROQUIS!$C$97)-CROQUIS!$C$107)/MAX(CROQUIS!$C$138,1))+1)))-1,0))*CROQUIS!$C$138),CHOOSE(IF(INT(($A126-1)/5)&gt;MAX((MIN(80,MAX(1,INT(((CROQUIS!$C$97)-CROQUIS!$C$107)/MAX(CROQUIS!$C$138,1))+1)))-1,0),0,MOD($A126-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26">
        <f>IF(AND(CROQUIS!$C$88=1,CROQUIS!$C$91=0,CROQUIS!$C$138&gt;0,OR(CROQUIS!$C$106=1,CROQUIS!$C$143=1)),((CROQUIS!$C$157+(IF(CROQUIS!$C$92="X",CHOOSE(IF(INT(($A126-1)/5)&gt;MAX((MIN(80,MAX(1,INT(((CROQUIS!$C$97)-CROQUIS!$C$107)/MAX(CROQUIS!$C$138,1))+1)))-1,0),0,MOD($A126-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126-1)/5),MAX((MIN(80,MAX(1,INT(((CROQUIS!$C$97)-CROQUIS!$C$107)/MAX(CROQUIS!$C$138,1))+1)))-1,0))*CROQUIS!$C$138)))*CROQUIS!$C$155)+IF(CROQUIS!$C$92="X",0,0)),-1000)</f>
        <v>-1000</v>
      </c>
      <c r="BT126">
        <f>IF(AND(CROQUIS!$C$88=1,CROQUIS!$C$91=1,CROQUIS!$C$130&gt;0),((CROQUIS!$C$156+(IF(CROQUIS!$C$92="X",CHOOSE(IF(INT(($A126-1)/5)&gt;MAX((MIN(80,MAX(1,INT(((CROQUIS!$C$98)-CROQUIS!$C$107)/MAX(CROQUIS!$C$130,1))+1)))-1,0),0,MOD($A126-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126-1)/5),MAX((MIN(80,MAX(1,INT(((CROQUIS!$C$98)-CROQUIS!$C$107)/MAX(CROQUIS!$C$130,1))+1)))-1,0))*CROQUIS!$C$130)))*CROQUIS!$C$155)+IF(CROQUIS!$C$92="X",0,0)),-1000)</f>
        <v>-1000</v>
      </c>
      <c r="BU126">
        <f>IF(AND(CROQUIS!$C$88=1,CROQUIS!$C$91=1,CROQUIS!$C$130&gt;0),((CROQUIS!$C$157+(IF(CROQUIS!$C$92="X",((CROQUIS!$C$107/2+(((CROQUIS!$C$98)-CROQUIS!$C$107)-(MIN(80,MAX(1,INT(((CROQUIS!$C$98)-CROQUIS!$C$107)/MAX(CROQUIS!$C$130,1))+1))-1)*CROQUIS!$C$130)/2)+MIN(INT(($A126-1)/5),MAX((MIN(80,MAX(1,INT(((CROQUIS!$C$98)-CROQUIS!$C$107)/MAX(CROQUIS!$C$130,1))+1)))-1,0))*CROQUIS!$C$130),CHOOSE(IF(INT(($A126-1)/5)&gt;MAX((MIN(80,MAX(1,INT(((CROQUIS!$C$98)-CROQUIS!$C$107)/MAX(CROQUIS!$C$130,1))+1)))-1,0),0,MOD($A126-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27">
      <c r="A127" t="n">
        <v>120</v>
      </c>
      <c r="BH127">
        <f>IF(AND(CROQUIS!$C$88=1,CROQUIS!$C$126&gt;0),((CROQUIS!$C$156+(IF(CROQUIS!$C$92="X",CHOOSE(IF(INT(($A127-1)/5)&gt;MAX((MIN(80,MAX(1,INT(((CROQUIS!$C$98)-CROQUIS!$C$107)/MAX(CROQUIS!$C$126,1))+1)))-1,0),0,MOD($A127-1,5))+1,0,2,CROQUIS!$C$97-2,2,0),((CROQUIS!$C$107/2+(((CROQUIS!$C$98)-CROQUIS!$C$107)-(MIN(80,MAX(1,INT(((CROQUIS!$C$98)-CROQUIS!$C$107)/MAX(CROQUIS!$C$126,1))+1))-1)*CROQUIS!$C$126)/2)+MIN(INT(($A127-1)/5),MAX((MIN(80,MAX(1,INT(((CROQUIS!$C$98)-CROQUIS!$C$107)/MAX(CROQUIS!$C$126,1))+1)))-1,0))*CROQUIS!$C$126)))*CROQUIS!$C$155)+IF(CROQUIS!$C$92="X",0,0)),-1000)</f>
        <v>-1000</v>
      </c>
      <c r="BI127">
        <f>IF(AND(CROQUIS!$C$88=1,CROQUIS!$C$126&gt;0),((CROQUIS!$C$157+(IF(CROQUIS!$C$92="X",((CROQUIS!$C$107/2+(((CROQUIS!$C$98)-CROQUIS!$C$107)-(MIN(80,MAX(1,INT(((CROQUIS!$C$98)-CROQUIS!$C$107)/MAX(CROQUIS!$C$126,1))+1))-1)*CROQUIS!$C$126)/2)+MIN(INT(($A127-1)/5),MAX((MIN(80,MAX(1,INT(((CROQUIS!$C$98)-CROQUIS!$C$107)/MAX(CROQUIS!$C$126,1))+1)))-1,0))*CROQUIS!$C$126),CHOOSE(IF(INT(($A127-1)/5)&gt;MAX((MIN(80,MAX(1,INT(((CROQUIS!$C$98)-CROQUIS!$C$107)/MAX(CROQUIS!$C$126,1))+1)))-1,0),0,MOD($A127-1,5))+1,0,2,CROQUIS!$C$97-2,2,0)))*CROQUIS!$C$155)+IF(CROQUIS!$C$92="X",0,0)),-1000)</f>
        <v>-1000</v>
      </c>
      <c r="BJ127">
        <f>IF(AND(CROQUIS!$C$88=1,CROQUIS!$C$134&gt;0),((CROQUIS!$C$156+(IF(CROQUIS!$C$92="X",((CROQUIS!$C$107/2+(((CROQUIS!$C$97)-CROQUIS!$C$107)-(MIN(80,MAX(1,INT(((CROQUIS!$C$97)-CROQUIS!$C$107)/MAX(CROQUIS!$C$134,1))+1))-1)*CROQUIS!$C$134)/2)+MIN(INT(($A127-1)/5),MAX((MIN(80,MAX(1,INT(((CROQUIS!$C$97)-CROQUIS!$C$107)/MAX(CROQUIS!$C$134,1))+1)))-1,0))*CROQUIS!$C$134),CHOOSE(IF(INT(($A127-1)/5)&gt;MAX((MIN(80,MAX(1,INT(((CROQUIS!$C$97)-CROQUIS!$C$107)/MAX(CROQUIS!$C$134,1))+1)))-1,0),0,MOD($A127-1,5))+1,0,2,CROQUIS!$C$98-2,2,0)))*CROQUIS!$C$155)+IF(CROQUIS!$C$92="X",0,0)),-1000)</f>
        <v>-1000</v>
      </c>
      <c r="BK127">
        <f>IF(AND(CROQUIS!$C$88=1,CROQUIS!$C$134&gt;0),((CROQUIS!$C$157+(IF(CROQUIS!$C$92="X",CHOOSE(IF(INT(($A127-1)/5)&gt;MAX((MIN(80,MAX(1,INT(((CROQUIS!$C$97)-CROQUIS!$C$107)/MAX(CROQUIS!$C$134,1))+1)))-1,0),0,MOD($A127-1,5))+1,0,2,CROQUIS!$C$98-2,2,0),((CROQUIS!$C$107/2+(((CROQUIS!$C$97)-CROQUIS!$C$107)-(MIN(80,MAX(1,INT(((CROQUIS!$C$97)-CROQUIS!$C$107)/MAX(CROQUIS!$C$134,1))+1))-1)*CROQUIS!$C$134)/2)+MIN(INT(($A127-1)/5),MAX((MIN(80,MAX(1,INT(((CROQUIS!$C$97)-CROQUIS!$C$107)/MAX(CROQUIS!$C$134,1))+1)))-1,0))*CROQUIS!$C$134)))*CROQUIS!$C$155)+IF(CROQUIS!$C$92="X",0,0)),-1000)</f>
        <v>-1000</v>
      </c>
      <c r="BL127">
        <f>IF(AND(CROQUIS!$C$88=1,CROQUIS!$C$91=0,CROQUIS!$C$130&gt;0,OR(CROQUIS!$C$103=1,CROQUIS!$C$142=1)),((CROQUIS!$C$156+(IF(CROQUIS!$C$92="X",CHOOSE(IF(INT(($A127-1)/5)&gt;MAX((MIN(80,MAX(1,INT(((CROQUIS!$C$98)-CROQUIS!$C$107)/MAX(CROQUIS!$C$130,1))+1)))-1,0),0,MOD($A127-1,5))+1,0,IF(CROQUIS!$C$103=1,-12,2),CROQUIS!$C$107/2+CROQUIS!$C$140,IF(CROQUIS!$C$103=1,-12,2),0),((CROQUIS!$C$107/2+(((CROQUIS!$C$98)-CROQUIS!$C$107)-(MIN(80,MAX(1,INT(((CROQUIS!$C$98)-CROQUIS!$C$107)/MAX(CROQUIS!$C$130,1))+1))-1)*CROQUIS!$C$130)/2)+MIN(INT(($A127-1)/5),MAX((MIN(80,MAX(1,INT(((CROQUIS!$C$98)-CROQUIS!$C$107)/MAX(CROQUIS!$C$130,1))+1)))-1,0))*CROQUIS!$C$130)))*CROQUIS!$C$155)+IF(CROQUIS!$C$92="X",0,0)),-1000)</f>
        <v>-1000</v>
      </c>
      <c r="BM12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127-1)/5),MAX((MIN(80,MAX(1,INT(((CROQUIS!$C$98)-CROQUIS!$C$107)/MAX(CROQUIS!$C$130,1))+1)))-1,0))*CROQUIS!$C$130),CHOOSE(IF(INT(($A127-1)/5)&gt;MAX((MIN(80,MAX(1,INT(((CROQUIS!$C$98)-CROQUIS!$C$107)/MAX(CROQUIS!$C$130,1))+1)))-1,0),0,MOD($A127-1,5))+1,0,IF(CROQUIS!$C$103=1,-12,2),CROQUIS!$C$107/2+CROQUIS!$C$140,IF(CROQUIS!$C$103=1,-12,2),0)))*CROQUIS!$C$155)+IF(CROQUIS!$C$92="X",0,0)),-1000)</f>
        <v>-1000</v>
      </c>
      <c r="BN127">
        <f>IF(AND(CROQUIS!$C$88=1,CROQUIS!$C$91=0,CROQUIS!$C$130&gt;0,OR(CROQUIS!$C$104=1,CROQUIS!$C$142=1)),((CROQUIS!$C$156+(IF(CROQUIS!$C$92="X",CHOOSE(IF(INT(($A127-1)/5)&gt;MAX((MIN(80,MAX(1,INT(((CROQUIS!$C$98)-CROQUIS!$C$107)/MAX(CROQUIS!$C$130,1))+1)))-1,0),0,MOD($A127-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127-1)/5),MAX((MIN(80,MAX(1,INT(((CROQUIS!$C$98)-CROQUIS!$C$107)/MAX(CROQUIS!$C$130,1))+1)))-1,0))*CROQUIS!$C$130)))*CROQUIS!$C$155)+IF(CROQUIS!$C$92="X",0,0)),-1000)</f>
        <v>-1000</v>
      </c>
      <c r="BO12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127-1)/5),MAX((MIN(80,MAX(1,INT(((CROQUIS!$C$98)-CROQUIS!$C$107)/MAX(CROQUIS!$C$130,1))+1)))-1,0))*CROQUIS!$C$130),CHOOSE(IF(INT(($A127-1)/5)&gt;MAX((MIN(80,MAX(1,INT(((CROQUIS!$C$98)-CROQUIS!$C$107)/MAX(CROQUIS!$C$130,1))+1)))-1,0),0,MOD($A127-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2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127-1)/5),MAX((MIN(80,MAX(1,INT(((CROQUIS!$C$97)-CROQUIS!$C$107)/MAX(CROQUIS!$C$138,1))+1)))-1,0))*CROQUIS!$C$138),CHOOSE(IF(INT(($A127-1)/5)&gt;MAX((MIN(80,MAX(1,INT(((CROQUIS!$C$97)-CROQUIS!$C$107)/MAX(CROQUIS!$C$138,1))+1)))-1,0),0,MOD($A127-1,5))+1,0,IF(CROQUIS!$C$105=1,-12,2),CROQUIS!$C$107/2+CROQUIS!$C$141,IF(CROQUIS!$C$105=1,-12,2),0)))*CROQUIS!$C$155)+IF(CROQUIS!$C$92="X",0,0)),-1000)</f>
        <v>-1000</v>
      </c>
      <c r="BQ127">
        <f>IF(AND(CROQUIS!$C$88=1,CROQUIS!$C$91=0,CROQUIS!$C$138&gt;0,OR(CROQUIS!$C$105=1,CROQUIS!$C$143=1)),((CROQUIS!$C$157+(IF(CROQUIS!$C$92="X",CHOOSE(IF(INT(($A127-1)/5)&gt;MAX((MIN(80,MAX(1,INT(((CROQUIS!$C$97)-CROQUIS!$C$107)/MAX(CROQUIS!$C$138,1))+1)))-1,0),0,MOD($A127-1,5))+1,0,IF(CROQUIS!$C$105=1,-12,2),CROQUIS!$C$107/2+CROQUIS!$C$141,IF(CROQUIS!$C$105=1,-12,2),0),((CROQUIS!$C$107/2+(((CROQUIS!$C$97)-CROQUIS!$C$107)-(MIN(80,MAX(1,INT(((CROQUIS!$C$97)-CROQUIS!$C$107)/MAX(CROQUIS!$C$138,1))+1))-1)*CROQUIS!$C$138)/2)+MIN(INT(($A127-1)/5),MAX((MIN(80,MAX(1,INT(((CROQUIS!$C$97)-CROQUIS!$C$107)/MAX(CROQUIS!$C$138,1))+1)))-1,0))*CROQUIS!$C$138)))*CROQUIS!$C$155)+IF(CROQUIS!$C$92="X",0,0)),-1000)</f>
        <v>-1000</v>
      </c>
      <c r="BR12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127-1)/5),MAX((MIN(80,MAX(1,INT(((CROQUIS!$C$97)-CROQUIS!$C$107)/MAX(CROQUIS!$C$138,1))+1)))-1,0))*CROQUIS!$C$138),CHOOSE(IF(INT(($A127-1)/5)&gt;MAX((MIN(80,MAX(1,INT(((CROQUIS!$C$97)-CROQUIS!$C$107)/MAX(CROQUIS!$C$138,1))+1)))-1,0),0,MOD($A127-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27">
        <f>IF(AND(CROQUIS!$C$88=1,CROQUIS!$C$91=0,CROQUIS!$C$138&gt;0,OR(CROQUIS!$C$106=1,CROQUIS!$C$143=1)),((CROQUIS!$C$157+(IF(CROQUIS!$C$92="X",CHOOSE(IF(INT(($A127-1)/5)&gt;MAX((MIN(80,MAX(1,INT(((CROQUIS!$C$97)-CROQUIS!$C$107)/MAX(CROQUIS!$C$138,1))+1)))-1,0),0,MOD($A127-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127-1)/5),MAX((MIN(80,MAX(1,INT(((CROQUIS!$C$97)-CROQUIS!$C$107)/MAX(CROQUIS!$C$138,1))+1)))-1,0))*CROQUIS!$C$138)))*CROQUIS!$C$155)+IF(CROQUIS!$C$92="X",0,0)),-1000)</f>
        <v>-1000</v>
      </c>
      <c r="BT127">
        <f>IF(AND(CROQUIS!$C$88=1,CROQUIS!$C$91=1,CROQUIS!$C$130&gt;0),((CROQUIS!$C$156+(IF(CROQUIS!$C$92="X",CHOOSE(IF(INT(($A127-1)/5)&gt;MAX((MIN(80,MAX(1,INT(((CROQUIS!$C$98)-CROQUIS!$C$107)/MAX(CROQUIS!$C$130,1))+1)))-1,0),0,MOD($A127-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127-1)/5),MAX((MIN(80,MAX(1,INT(((CROQUIS!$C$98)-CROQUIS!$C$107)/MAX(CROQUIS!$C$130,1))+1)))-1,0))*CROQUIS!$C$130)))*CROQUIS!$C$155)+IF(CROQUIS!$C$92="X",0,0)),-1000)</f>
        <v>-1000</v>
      </c>
      <c r="BU127">
        <f>IF(AND(CROQUIS!$C$88=1,CROQUIS!$C$91=1,CROQUIS!$C$130&gt;0),((CROQUIS!$C$157+(IF(CROQUIS!$C$92="X",((CROQUIS!$C$107/2+(((CROQUIS!$C$98)-CROQUIS!$C$107)-(MIN(80,MAX(1,INT(((CROQUIS!$C$98)-CROQUIS!$C$107)/MAX(CROQUIS!$C$130,1))+1))-1)*CROQUIS!$C$130)/2)+MIN(INT(($A127-1)/5),MAX((MIN(80,MAX(1,INT(((CROQUIS!$C$98)-CROQUIS!$C$107)/MAX(CROQUIS!$C$130,1))+1)))-1,0))*CROQUIS!$C$130),CHOOSE(IF(INT(($A127-1)/5)&gt;MAX((MIN(80,MAX(1,INT(((CROQUIS!$C$98)-CROQUIS!$C$107)/MAX(CROQUIS!$C$130,1))+1)))-1,0),0,MOD($A127-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28">
      <c r="A128" t="n">
        <v>121</v>
      </c>
      <c r="BH128">
        <f>IF(AND(CROQUIS!$C$88=1,CROQUIS!$C$126&gt;0),((CROQUIS!$C$156+(IF(CROQUIS!$C$92="X",CHOOSE(IF(INT(($A128-1)/5)&gt;MAX((MIN(80,MAX(1,INT(((CROQUIS!$C$98)-CROQUIS!$C$107)/MAX(CROQUIS!$C$126,1))+1)))-1,0),0,MOD($A128-1,5))+1,0,2,CROQUIS!$C$97-2,2,0),((CROQUIS!$C$107/2+(((CROQUIS!$C$98)-CROQUIS!$C$107)-(MIN(80,MAX(1,INT(((CROQUIS!$C$98)-CROQUIS!$C$107)/MAX(CROQUIS!$C$126,1))+1))-1)*CROQUIS!$C$126)/2)+MIN(INT(($A128-1)/5),MAX((MIN(80,MAX(1,INT(((CROQUIS!$C$98)-CROQUIS!$C$107)/MAX(CROQUIS!$C$126,1))+1)))-1,0))*CROQUIS!$C$126)))*CROQUIS!$C$155)+IF(CROQUIS!$C$92="X",0,0)),-1000)</f>
        <v>-1000</v>
      </c>
      <c r="BI128">
        <f>IF(AND(CROQUIS!$C$88=1,CROQUIS!$C$126&gt;0),((CROQUIS!$C$157+(IF(CROQUIS!$C$92="X",((CROQUIS!$C$107/2+(((CROQUIS!$C$98)-CROQUIS!$C$107)-(MIN(80,MAX(1,INT(((CROQUIS!$C$98)-CROQUIS!$C$107)/MAX(CROQUIS!$C$126,1))+1))-1)*CROQUIS!$C$126)/2)+MIN(INT(($A128-1)/5),MAX((MIN(80,MAX(1,INT(((CROQUIS!$C$98)-CROQUIS!$C$107)/MAX(CROQUIS!$C$126,1))+1)))-1,0))*CROQUIS!$C$126),CHOOSE(IF(INT(($A128-1)/5)&gt;MAX((MIN(80,MAX(1,INT(((CROQUIS!$C$98)-CROQUIS!$C$107)/MAX(CROQUIS!$C$126,1))+1)))-1,0),0,MOD($A128-1,5))+1,0,2,CROQUIS!$C$97-2,2,0)))*CROQUIS!$C$155)+IF(CROQUIS!$C$92="X",0,0)),-1000)</f>
        <v>-1000</v>
      </c>
      <c r="BJ128">
        <f>IF(AND(CROQUIS!$C$88=1,CROQUIS!$C$134&gt;0),((CROQUIS!$C$156+(IF(CROQUIS!$C$92="X",((CROQUIS!$C$107/2+(((CROQUIS!$C$97)-CROQUIS!$C$107)-(MIN(80,MAX(1,INT(((CROQUIS!$C$97)-CROQUIS!$C$107)/MAX(CROQUIS!$C$134,1))+1))-1)*CROQUIS!$C$134)/2)+MIN(INT(($A128-1)/5),MAX((MIN(80,MAX(1,INT(((CROQUIS!$C$97)-CROQUIS!$C$107)/MAX(CROQUIS!$C$134,1))+1)))-1,0))*CROQUIS!$C$134),CHOOSE(IF(INT(($A128-1)/5)&gt;MAX((MIN(80,MAX(1,INT(((CROQUIS!$C$97)-CROQUIS!$C$107)/MAX(CROQUIS!$C$134,1))+1)))-1,0),0,MOD($A128-1,5))+1,0,2,CROQUIS!$C$98-2,2,0)))*CROQUIS!$C$155)+IF(CROQUIS!$C$92="X",0,0)),-1000)</f>
        <v>-1000</v>
      </c>
      <c r="BK128">
        <f>IF(AND(CROQUIS!$C$88=1,CROQUIS!$C$134&gt;0),((CROQUIS!$C$157+(IF(CROQUIS!$C$92="X",CHOOSE(IF(INT(($A128-1)/5)&gt;MAX((MIN(80,MAX(1,INT(((CROQUIS!$C$97)-CROQUIS!$C$107)/MAX(CROQUIS!$C$134,1))+1)))-1,0),0,MOD($A128-1,5))+1,0,2,CROQUIS!$C$98-2,2,0),((CROQUIS!$C$107/2+(((CROQUIS!$C$97)-CROQUIS!$C$107)-(MIN(80,MAX(1,INT(((CROQUIS!$C$97)-CROQUIS!$C$107)/MAX(CROQUIS!$C$134,1))+1))-1)*CROQUIS!$C$134)/2)+MIN(INT(($A128-1)/5),MAX((MIN(80,MAX(1,INT(((CROQUIS!$C$97)-CROQUIS!$C$107)/MAX(CROQUIS!$C$134,1))+1)))-1,0))*CROQUIS!$C$134)))*CROQUIS!$C$155)+IF(CROQUIS!$C$92="X",0,0)),-1000)</f>
        <v>-1000</v>
      </c>
      <c r="BL128">
        <f>IF(AND(CROQUIS!$C$88=1,CROQUIS!$C$91=0,CROQUIS!$C$130&gt;0,OR(CROQUIS!$C$103=1,CROQUIS!$C$142=1)),((CROQUIS!$C$156+(IF(CROQUIS!$C$92="X",CHOOSE(IF(INT(($A128-1)/5)&gt;MAX((MIN(80,MAX(1,INT(((CROQUIS!$C$98)-CROQUIS!$C$107)/MAX(CROQUIS!$C$130,1))+1)))-1,0),0,MOD($A128-1,5))+1,0,IF(CROQUIS!$C$103=1,-12,2),CROQUIS!$C$107/2+CROQUIS!$C$140,IF(CROQUIS!$C$103=1,-12,2),0),((CROQUIS!$C$107/2+(((CROQUIS!$C$98)-CROQUIS!$C$107)-(MIN(80,MAX(1,INT(((CROQUIS!$C$98)-CROQUIS!$C$107)/MAX(CROQUIS!$C$130,1))+1))-1)*CROQUIS!$C$130)/2)+MIN(INT(($A128-1)/5),MAX((MIN(80,MAX(1,INT(((CROQUIS!$C$98)-CROQUIS!$C$107)/MAX(CROQUIS!$C$130,1))+1)))-1,0))*CROQUIS!$C$130)))*CROQUIS!$C$155)+IF(CROQUIS!$C$92="X",0,0)),-1000)</f>
        <v>-1000</v>
      </c>
      <c r="BM12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128-1)/5),MAX((MIN(80,MAX(1,INT(((CROQUIS!$C$98)-CROQUIS!$C$107)/MAX(CROQUIS!$C$130,1))+1)))-1,0))*CROQUIS!$C$130),CHOOSE(IF(INT(($A128-1)/5)&gt;MAX((MIN(80,MAX(1,INT(((CROQUIS!$C$98)-CROQUIS!$C$107)/MAX(CROQUIS!$C$130,1))+1)))-1,0),0,MOD($A128-1,5))+1,0,IF(CROQUIS!$C$103=1,-12,2),CROQUIS!$C$107/2+CROQUIS!$C$140,IF(CROQUIS!$C$103=1,-12,2),0)))*CROQUIS!$C$155)+IF(CROQUIS!$C$92="X",0,0)),-1000)</f>
        <v>-1000</v>
      </c>
      <c r="BN128">
        <f>IF(AND(CROQUIS!$C$88=1,CROQUIS!$C$91=0,CROQUIS!$C$130&gt;0,OR(CROQUIS!$C$104=1,CROQUIS!$C$142=1)),((CROQUIS!$C$156+(IF(CROQUIS!$C$92="X",CHOOSE(IF(INT(($A128-1)/5)&gt;MAX((MIN(80,MAX(1,INT(((CROQUIS!$C$98)-CROQUIS!$C$107)/MAX(CROQUIS!$C$130,1))+1)))-1,0),0,MOD($A128-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128-1)/5),MAX((MIN(80,MAX(1,INT(((CROQUIS!$C$98)-CROQUIS!$C$107)/MAX(CROQUIS!$C$130,1))+1)))-1,0))*CROQUIS!$C$130)))*CROQUIS!$C$155)+IF(CROQUIS!$C$92="X",0,0)),-1000)</f>
        <v>-1000</v>
      </c>
      <c r="BO12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128-1)/5),MAX((MIN(80,MAX(1,INT(((CROQUIS!$C$98)-CROQUIS!$C$107)/MAX(CROQUIS!$C$130,1))+1)))-1,0))*CROQUIS!$C$130),CHOOSE(IF(INT(($A128-1)/5)&gt;MAX((MIN(80,MAX(1,INT(((CROQUIS!$C$98)-CROQUIS!$C$107)/MAX(CROQUIS!$C$130,1))+1)))-1,0),0,MOD($A128-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2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128-1)/5),MAX((MIN(80,MAX(1,INT(((CROQUIS!$C$97)-CROQUIS!$C$107)/MAX(CROQUIS!$C$138,1))+1)))-1,0))*CROQUIS!$C$138),CHOOSE(IF(INT(($A128-1)/5)&gt;MAX((MIN(80,MAX(1,INT(((CROQUIS!$C$97)-CROQUIS!$C$107)/MAX(CROQUIS!$C$138,1))+1)))-1,0),0,MOD($A128-1,5))+1,0,IF(CROQUIS!$C$105=1,-12,2),CROQUIS!$C$107/2+CROQUIS!$C$141,IF(CROQUIS!$C$105=1,-12,2),0)))*CROQUIS!$C$155)+IF(CROQUIS!$C$92="X",0,0)),-1000)</f>
        <v>-1000</v>
      </c>
      <c r="BQ128">
        <f>IF(AND(CROQUIS!$C$88=1,CROQUIS!$C$91=0,CROQUIS!$C$138&gt;0,OR(CROQUIS!$C$105=1,CROQUIS!$C$143=1)),((CROQUIS!$C$157+(IF(CROQUIS!$C$92="X",CHOOSE(IF(INT(($A128-1)/5)&gt;MAX((MIN(80,MAX(1,INT(((CROQUIS!$C$97)-CROQUIS!$C$107)/MAX(CROQUIS!$C$138,1))+1)))-1,0),0,MOD($A128-1,5))+1,0,IF(CROQUIS!$C$105=1,-12,2),CROQUIS!$C$107/2+CROQUIS!$C$141,IF(CROQUIS!$C$105=1,-12,2),0),((CROQUIS!$C$107/2+(((CROQUIS!$C$97)-CROQUIS!$C$107)-(MIN(80,MAX(1,INT(((CROQUIS!$C$97)-CROQUIS!$C$107)/MAX(CROQUIS!$C$138,1))+1))-1)*CROQUIS!$C$138)/2)+MIN(INT(($A128-1)/5),MAX((MIN(80,MAX(1,INT(((CROQUIS!$C$97)-CROQUIS!$C$107)/MAX(CROQUIS!$C$138,1))+1)))-1,0))*CROQUIS!$C$138)))*CROQUIS!$C$155)+IF(CROQUIS!$C$92="X",0,0)),-1000)</f>
        <v>-1000</v>
      </c>
      <c r="BR12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128-1)/5),MAX((MIN(80,MAX(1,INT(((CROQUIS!$C$97)-CROQUIS!$C$107)/MAX(CROQUIS!$C$138,1))+1)))-1,0))*CROQUIS!$C$138),CHOOSE(IF(INT(($A128-1)/5)&gt;MAX((MIN(80,MAX(1,INT(((CROQUIS!$C$97)-CROQUIS!$C$107)/MAX(CROQUIS!$C$138,1))+1)))-1,0),0,MOD($A128-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28">
        <f>IF(AND(CROQUIS!$C$88=1,CROQUIS!$C$91=0,CROQUIS!$C$138&gt;0,OR(CROQUIS!$C$106=1,CROQUIS!$C$143=1)),((CROQUIS!$C$157+(IF(CROQUIS!$C$92="X",CHOOSE(IF(INT(($A128-1)/5)&gt;MAX((MIN(80,MAX(1,INT(((CROQUIS!$C$97)-CROQUIS!$C$107)/MAX(CROQUIS!$C$138,1))+1)))-1,0),0,MOD($A128-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128-1)/5),MAX((MIN(80,MAX(1,INT(((CROQUIS!$C$97)-CROQUIS!$C$107)/MAX(CROQUIS!$C$138,1))+1)))-1,0))*CROQUIS!$C$138)))*CROQUIS!$C$155)+IF(CROQUIS!$C$92="X",0,0)),-1000)</f>
        <v>-1000</v>
      </c>
      <c r="BT128">
        <f>IF(AND(CROQUIS!$C$88=1,CROQUIS!$C$91=1,CROQUIS!$C$130&gt;0),((CROQUIS!$C$156+(IF(CROQUIS!$C$92="X",CHOOSE(IF(INT(($A128-1)/5)&gt;MAX((MIN(80,MAX(1,INT(((CROQUIS!$C$98)-CROQUIS!$C$107)/MAX(CROQUIS!$C$130,1))+1)))-1,0),0,MOD($A128-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128-1)/5),MAX((MIN(80,MAX(1,INT(((CROQUIS!$C$98)-CROQUIS!$C$107)/MAX(CROQUIS!$C$130,1))+1)))-1,0))*CROQUIS!$C$130)))*CROQUIS!$C$155)+IF(CROQUIS!$C$92="X",0,0)),-1000)</f>
        <v>-1000</v>
      </c>
      <c r="BU128">
        <f>IF(AND(CROQUIS!$C$88=1,CROQUIS!$C$91=1,CROQUIS!$C$130&gt;0),((CROQUIS!$C$157+(IF(CROQUIS!$C$92="X",((CROQUIS!$C$107/2+(((CROQUIS!$C$98)-CROQUIS!$C$107)-(MIN(80,MAX(1,INT(((CROQUIS!$C$98)-CROQUIS!$C$107)/MAX(CROQUIS!$C$130,1))+1))-1)*CROQUIS!$C$130)/2)+MIN(INT(($A128-1)/5),MAX((MIN(80,MAX(1,INT(((CROQUIS!$C$98)-CROQUIS!$C$107)/MAX(CROQUIS!$C$130,1))+1)))-1,0))*CROQUIS!$C$130),CHOOSE(IF(INT(($A128-1)/5)&gt;MAX((MIN(80,MAX(1,INT(((CROQUIS!$C$98)-CROQUIS!$C$107)/MAX(CROQUIS!$C$130,1))+1)))-1,0),0,MOD($A128-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29">
      <c r="A129" t="n">
        <v>122</v>
      </c>
      <c r="BH129">
        <f>IF(AND(CROQUIS!$C$88=1,CROQUIS!$C$126&gt;0),((CROQUIS!$C$156+(IF(CROQUIS!$C$92="X",CHOOSE(IF(INT(($A129-1)/5)&gt;MAX((MIN(80,MAX(1,INT(((CROQUIS!$C$98)-CROQUIS!$C$107)/MAX(CROQUIS!$C$126,1))+1)))-1,0),0,MOD($A129-1,5))+1,0,2,CROQUIS!$C$97-2,2,0),((CROQUIS!$C$107/2+(((CROQUIS!$C$98)-CROQUIS!$C$107)-(MIN(80,MAX(1,INT(((CROQUIS!$C$98)-CROQUIS!$C$107)/MAX(CROQUIS!$C$126,1))+1))-1)*CROQUIS!$C$126)/2)+MIN(INT(($A129-1)/5),MAX((MIN(80,MAX(1,INT(((CROQUIS!$C$98)-CROQUIS!$C$107)/MAX(CROQUIS!$C$126,1))+1)))-1,0))*CROQUIS!$C$126)))*CROQUIS!$C$155)+IF(CROQUIS!$C$92="X",0,0)),-1000)</f>
        <v>-1000</v>
      </c>
      <c r="BI129">
        <f>IF(AND(CROQUIS!$C$88=1,CROQUIS!$C$126&gt;0),((CROQUIS!$C$157+(IF(CROQUIS!$C$92="X",((CROQUIS!$C$107/2+(((CROQUIS!$C$98)-CROQUIS!$C$107)-(MIN(80,MAX(1,INT(((CROQUIS!$C$98)-CROQUIS!$C$107)/MAX(CROQUIS!$C$126,1))+1))-1)*CROQUIS!$C$126)/2)+MIN(INT(($A129-1)/5),MAX((MIN(80,MAX(1,INT(((CROQUIS!$C$98)-CROQUIS!$C$107)/MAX(CROQUIS!$C$126,1))+1)))-1,0))*CROQUIS!$C$126),CHOOSE(IF(INT(($A129-1)/5)&gt;MAX((MIN(80,MAX(1,INT(((CROQUIS!$C$98)-CROQUIS!$C$107)/MAX(CROQUIS!$C$126,1))+1)))-1,0),0,MOD($A129-1,5))+1,0,2,CROQUIS!$C$97-2,2,0)))*CROQUIS!$C$155)+IF(CROQUIS!$C$92="X",0,0)),-1000)</f>
        <v>-1000</v>
      </c>
      <c r="BJ129">
        <f>IF(AND(CROQUIS!$C$88=1,CROQUIS!$C$134&gt;0),((CROQUIS!$C$156+(IF(CROQUIS!$C$92="X",((CROQUIS!$C$107/2+(((CROQUIS!$C$97)-CROQUIS!$C$107)-(MIN(80,MAX(1,INT(((CROQUIS!$C$97)-CROQUIS!$C$107)/MAX(CROQUIS!$C$134,1))+1))-1)*CROQUIS!$C$134)/2)+MIN(INT(($A129-1)/5),MAX((MIN(80,MAX(1,INT(((CROQUIS!$C$97)-CROQUIS!$C$107)/MAX(CROQUIS!$C$134,1))+1)))-1,0))*CROQUIS!$C$134),CHOOSE(IF(INT(($A129-1)/5)&gt;MAX((MIN(80,MAX(1,INT(((CROQUIS!$C$97)-CROQUIS!$C$107)/MAX(CROQUIS!$C$134,1))+1)))-1,0),0,MOD($A129-1,5))+1,0,2,CROQUIS!$C$98-2,2,0)))*CROQUIS!$C$155)+IF(CROQUIS!$C$92="X",0,0)),-1000)</f>
        <v>-1000</v>
      </c>
      <c r="BK129">
        <f>IF(AND(CROQUIS!$C$88=1,CROQUIS!$C$134&gt;0),((CROQUIS!$C$157+(IF(CROQUIS!$C$92="X",CHOOSE(IF(INT(($A129-1)/5)&gt;MAX((MIN(80,MAX(1,INT(((CROQUIS!$C$97)-CROQUIS!$C$107)/MAX(CROQUIS!$C$134,1))+1)))-1,0),0,MOD($A129-1,5))+1,0,2,CROQUIS!$C$98-2,2,0),((CROQUIS!$C$107/2+(((CROQUIS!$C$97)-CROQUIS!$C$107)-(MIN(80,MAX(1,INT(((CROQUIS!$C$97)-CROQUIS!$C$107)/MAX(CROQUIS!$C$134,1))+1))-1)*CROQUIS!$C$134)/2)+MIN(INT(($A129-1)/5),MAX((MIN(80,MAX(1,INT(((CROQUIS!$C$97)-CROQUIS!$C$107)/MAX(CROQUIS!$C$134,1))+1)))-1,0))*CROQUIS!$C$134)))*CROQUIS!$C$155)+IF(CROQUIS!$C$92="X",0,0)),-1000)</f>
        <v>-1000</v>
      </c>
      <c r="BL129">
        <f>IF(AND(CROQUIS!$C$88=1,CROQUIS!$C$91=0,CROQUIS!$C$130&gt;0,OR(CROQUIS!$C$103=1,CROQUIS!$C$142=1)),((CROQUIS!$C$156+(IF(CROQUIS!$C$92="X",CHOOSE(IF(INT(($A129-1)/5)&gt;MAX((MIN(80,MAX(1,INT(((CROQUIS!$C$98)-CROQUIS!$C$107)/MAX(CROQUIS!$C$130,1))+1)))-1,0),0,MOD($A129-1,5))+1,0,IF(CROQUIS!$C$103=1,-12,2),CROQUIS!$C$107/2+CROQUIS!$C$140,IF(CROQUIS!$C$103=1,-12,2),0),((CROQUIS!$C$107/2+(((CROQUIS!$C$98)-CROQUIS!$C$107)-(MIN(80,MAX(1,INT(((CROQUIS!$C$98)-CROQUIS!$C$107)/MAX(CROQUIS!$C$130,1))+1))-1)*CROQUIS!$C$130)/2)+MIN(INT(($A129-1)/5),MAX((MIN(80,MAX(1,INT(((CROQUIS!$C$98)-CROQUIS!$C$107)/MAX(CROQUIS!$C$130,1))+1)))-1,0))*CROQUIS!$C$130)))*CROQUIS!$C$155)+IF(CROQUIS!$C$92="X",0,0)),-1000)</f>
        <v>-1000</v>
      </c>
      <c r="BM12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129-1)/5),MAX((MIN(80,MAX(1,INT(((CROQUIS!$C$98)-CROQUIS!$C$107)/MAX(CROQUIS!$C$130,1))+1)))-1,0))*CROQUIS!$C$130),CHOOSE(IF(INT(($A129-1)/5)&gt;MAX((MIN(80,MAX(1,INT(((CROQUIS!$C$98)-CROQUIS!$C$107)/MAX(CROQUIS!$C$130,1))+1)))-1,0),0,MOD($A129-1,5))+1,0,IF(CROQUIS!$C$103=1,-12,2),CROQUIS!$C$107/2+CROQUIS!$C$140,IF(CROQUIS!$C$103=1,-12,2),0)))*CROQUIS!$C$155)+IF(CROQUIS!$C$92="X",0,0)),-1000)</f>
        <v>-1000</v>
      </c>
      <c r="BN129">
        <f>IF(AND(CROQUIS!$C$88=1,CROQUIS!$C$91=0,CROQUIS!$C$130&gt;0,OR(CROQUIS!$C$104=1,CROQUIS!$C$142=1)),((CROQUIS!$C$156+(IF(CROQUIS!$C$92="X",CHOOSE(IF(INT(($A129-1)/5)&gt;MAX((MIN(80,MAX(1,INT(((CROQUIS!$C$98)-CROQUIS!$C$107)/MAX(CROQUIS!$C$130,1))+1)))-1,0),0,MOD($A129-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129-1)/5),MAX((MIN(80,MAX(1,INT(((CROQUIS!$C$98)-CROQUIS!$C$107)/MAX(CROQUIS!$C$130,1))+1)))-1,0))*CROQUIS!$C$130)))*CROQUIS!$C$155)+IF(CROQUIS!$C$92="X",0,0)),-1000)</f>
        <v>-1000</v>
      </c>
      <c r="BO12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129-1)/5),MAX((MIN(80,MAX(1,INT(((CROQUIS!$C$98)-CROQUIS!$C$107)/MAX(CROQUIS!$C$130,1))+1)))-1,0))*CROQUIS!$C$130),CHOOSE(IF(INT(($A129-1)/5)&gt;MAX((MIN(80,MAX(1,INT(((CROQUIS!$C$98)-CROQUIS!$C$107)/MAX(CROQUIS!$C$130,1))+1)))-1,0),0,MOD($A129-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2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129-1)/5),MAX((MIN(80,MAX(1,INT(((CROQUIS!$C$97)-CROQUIS!$C$107)/MAX(CROQUIS!$C$138,1))+1)))-1,0))*CROQUIS!$C$138),CHOOSE(IF(INT(($A129-1)/5)&gt;MAX((MIN(80,MAX(1,INT(((CROQUIS!$C$97)-CROQUIS!$C$107)/MAX(CROQUIS!$C$138,1))+1)))-1,0),0,MOD($A129-1,5))+1,0,IF(CROQUIS!$C$105=1,-12,2),CROQUIS!$C$107/2+CROQUIS!$C$141,IF(CROQUIS!$C$105=1,-12,2),0)))*CROQUIS!$C$155)+IF(CROQUIS!$C$92="X",0,0)),-1000)</f>
        <v>-1000</v>
      </c>
      <c r="BQ129">
        <f>IF(AND(CROQUIS!$C$88=1,CROQUIS!$C$91=0,CROQUIS!$C$138&gt;0,OR(CROQUIS!$C$105=1,CROQUIS!$C$143=1)),((CROQUIS!$C$157+(IF(CROQUIS!$C$92="X",CHOOSE(IF(INT(($A129-1)/5)&gt;MAX((MIN(80,MAX(1,INT(((CROQUIS!$C$97)-CROQUIS!$C$107)/MAX(CROQUIS!$C$138,1))+1)))-1,0),0,MOD($A129-1,5))+1,0,IF(CROQUIS!$C$105=1,-12,2),CROQUIS!$C$107/2+CROQUIS!$C$141,IF(CROQUIS!$C$105=1,-12,2),0),((CROQUIS!$C$107/2+(((CROQUIS!$C$97)-CROQUIS!$C$107)-(MIN(80,MAX(1,INT(((CROQUIS!$C$97)-CROQUIS!$C$107)/MAX(CROQUIS!$C$138,1))+1))-1)*CROQUIS!$C$138)/2)+MIN(INT(($A129-1)/5),MAX((MIN(80,MAX(1,INT(((CROQUIS!$C$97)-CROQUIS!$C$107)/MAX(CROQUIS!$C$138,1))+1)))-1,0))*CROQUIS!$C$138)))*CROQUIS!$C$155)+IF(CROQUIS!$C$92="X",0,0)),-1000)</f>
        <v>-1000</v>
      </c>
      <c r="BR12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129-1)/5),MAX((MIN(80,MAX(1,INT(((CROQUIS!$C$97)-CROQUIS!$C$107)/MAX(CROQUIS!$C$138,1))+1)))-1,0))*CROQUIS!$C$138),CHOOSE(IF(INT(($A129-1)/5)&gt;MAX((MIN(80,MAX(1,INT(((CROQUIS!$C$97)-CROQUIS!$C$107)/MAX(CROQUIS!$C$138,1))+1)))-1,0),0,MOD($A129-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29">
        <f>IF(AND(CROQUIS!$C$88=1,CROQUIS!$C$91=0,CROQUIS!$C$138&gt;0,OR(CROQUIS!$C$106=1,CROQUIS!$C$143=1)),((CROQUIS!$C$157+(IF(CROQUIS!$C$92="X",CHOOSE(IF(INT(($A129-1)/5)&gt;MAX((MIN(80,MAX(1,INT(((CROQUIS!$C$97)-CROQUIS!$C$107)/MAX(CROQUIS!$C$138,1))+1)))-1,0),0,MOD($A129-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129-1)/5),MAX((MIN(80,MAX(1,INT(((CROQUIS!$C$97)-CROQUIS!$C$107)/MAX(CROQUIS!$C$138,1))+1)))-1,0))*CROQUIS!$C$138)))*CROQUIS!$C$155)+IF(CROQUIS!$C$92="X",0,0)),-1000)</f>
        <v>-1000</v>
      </c>
      <c r="BT129">
        <f>IF(AND(CROQUIS!$C$88=1,CROQUIS!$C$91=1,CROQUIS!$C$130&gt;0),((CROQUIS!$C$156+(IF(CROQUIS!$C$92="X",CHOOSE(IF(INT(($A129-1)/5)&gt;MAX((MIN(80,MAX(1,INT(((CROQUIS!$C$98)-CROQUIS!$C$107)/MAX(CROQUIS!$C$130,1))+1)))-1,0),0,MOD($A129-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129-1)/5),MAX((MIN(80,MAX(1,INT(((CROQUIS!$C$98)-CROQUIS!$C$107)/MAX(CROQUIS!$C$130,1))+1)))-1,0))*CROQUIS!$C$130)))*CROQUIS!$C$155)+IF(CROQUIS!$C$92="X",0,0)),-1000)</f>
        <v>-1000</v>
      </c>
      <c r="BU129">
        <f>IF(AND(CROQUIS!$C$88=1,CROQUIS!$C$91=1,CROQUIS!$C$130&gt;0),((CROQUIS!$C$157+(IF(CROQUIS!$C$92="X",((CROQUIS!$C$107/2+(((CROQUIS!$C$98)-CROQUIS!$C$107)-(MIN(80,MAX(1,INT(((CROQUIS!$C$98)-CROQUIS!$C$107)/MAX(CROQUIS!$C$130,1))+1))-1)*CROQUIS!$C$130)/2)+MIN(INT(($A129-1)/5),MAX((MIN(80,MAX(1,INT(((CROQUIS!$C$98)-CROQUIS!$C$107)/MAX(CROQUIS!$C$130,1))+1)))-1,0))*CROQUIS!$C$130),CHOOSE(IF(INT(($A129-1)/5)&gt;MAX((MIN(80,MAX(1,INT(((CROQUIS!$C$98)-CROQUIS!$C$107)/MAX(CROQUIS!$C$130,1))+1)))-1,0),0,MOD($A129-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30">
      <c r="A130" t="n">
        <v>123</v>
      </c>
      <c r="BH130">
        <f>IF(AND(CROQUIS!$C$88=1,CROQUIS!$C$126&gt;0),((CROQUIS!$C$156+(IF(CROQUIS!$C$92="X",CHOOSE(IF(INT(($A130-1)/5)&gt;MAX((MIN(80,MAX(1,INT(((CROQUIS!$C$98)-CROQUIS!$C$107)/MAX(CROQUIS!$C$126,1))+1)))-1,0),0,MOD($A130-1,5))+1,0,2,CROQUIS!$C$97-2,2,0),((CROQUIS!$C$107/2+(((CROQUIS!$C$98)-CROQUIS!$C$107)-(MIN(80,MAX(1,INT(((CROQUIS!$C$98)-CROQUIS!$C$107)/MAX(CROQUIS!$C$126,1))+1))-1)*CROQUIS!$C$126)/2)+MIN(INT(($A130-1)/5),MAX((MIN(80,MAX(1,INT(((CROQUIS!$C$98)-CROQUIS!$C$107)/MAX(CROQUIS!$C$126,1))+1)))-1,0))*CROQUIS!$C$126)))*CROQUIS!$C$155)+IF(CROQUIS!$C$92="X",0,0)),-1000)</f>
        <v>-1000</v>
      </c>
      <c r="BI130">
        <f>IF(AND(CROQUIS!$C$88=1,CROQUIS!$C$126&gt;0),((CROQUIS!$C$157+(IF(CROQUIS!$C$92="X",((CROQUIS!$C$107/2+(((CROQUIS!$C$98)-CROQUIS!$C$107)-(MIN(80,MAX(1,INT(((CROQUIS!$C$98)-CROQUIS!$C$107)/MAX(CROQUIS!$C$126,1))+1))-1)*CROQUIS!$C$126)/2)+MIN(INT(($A130-1)/5),MAX((MIN(80,MAX(1,INT(((CROQUIS!$C$98)-CROQUIS!$C$107)/MAX(CROQUIS!$C$126,1))+1)))-1,0))*CROQUIS!$C$126),CHOOSE(IF(INT(($A130-1)/5)&gt;MAX((MIN(80,MAX(1,INT(((CROQUIS!$C$98)-CROQUIS!$C$107)/MAX(CROQUIS!$C$126,1))+1)))-1,0),0,MOD($A130-1,5))+1,0,2,CROQUIS!$C$97-2,2,0)))*CROQUIS!$C$155)+IF(CROQUIS!$C$92="X",0,0)),-1000)</f>
        <v>-1000</v>
      </c>
      <c r="BJ130">
        <f>IF(AND(CROQUIS!$C$88=1,CROQUIS!$C$134&gt;0),((CROQUIS!$C$156+(IF(CROQUIS!$C$92="X",((CROQUIS!$C$107/2+(((CROQUIS!$C$97)-CROQUIS!$C$107)-(MIN(80,MAX(1,INT(((CROQUIS!$C$97)-CROQUIS!$C$107)/MAX(CROQUIS!$C$134,1))+1))-1)*CROQUIS!$C$134)/2)+MIN(INT(($A130-1)/5),MAX((MIN(80,MAX(1,INT(((CROQUIS!$C$97)-CROQUIS!$C$107)/MAX(CROQUIS!$C$134,1))+1)))-1,0))*CROQUIS!$C$134),CHOOSE(IF(INT(($A130-1)/5)&gt;MAX((MIN(80,MAX(1,INT(((CROQUIS!$C$97)-CROQUIS!$C$107)/MAX(CROQUIS!$C$134,1))+1)))-1,0),0,MOD($A130-1,5))+1,0,2,CROQUIS!$C$98-2,2,0)))*CROQUIS!$C$155)+IF(CROQUIS!$C$92="X",0,0)),-1000)</f>
        <v>-1000</v>
      </c>
      <c r="BK130">
        <f>IF(AND(CROQUIS!$C$88=1,CROQUIS!$C$134&gt;0),((CROQUIS!$C$157+(IF(CROQUIS!$C$92="X",CHOOSE(IF(INT(($A130-1)/5)&gt;MAX((MIN(80,MAX(1,INT(((CROQUIS!$C$97)-CROQUIS!$C$107)/MAX(CROQUIS!$C$134,1))+1)))-1,0),0,MOD($A130-1,5))+1,0,2,CROQUIS!$C$98-2,2,0),((CROQUIS!$C$107/2+(((CROQUIS!$C$97)-CROQUIS!$C$107)-(MIN(80,MAX(1,INT(((CROQUIS!$C$97)-CROQUIS!$C$107)/MAX(CROQUIS!$C$134,1))+1))-1)*CROQUIS!$C$134)/2)+MIN(INT(($A130-1)/5),MAX((MIN(80,MAX(1,INT(((CROQUIS!$C$97)-CROQUIS!$C$107)/MAX(CROQUIS!$C$134,1))+1)))-1,0))*CROQUIS!$C$134)))*CROQUIS!$C$155)+IF(CROQUIS!$C$92="X",0,0)),-1000)</f>
        <v>-1000</v>
      </c>
      <c r="BL130">
        <f>IF(AND(CROQUIS!$C$88=1,CROQUIS!$C$91=0,CROQUIS!$C$130&gt;0,OR(CROQUIS!$C$103=1,CROQUIS!$C$142=1)),((CROQUIS!$C$156+(IF(CROQUIS!$C$92="X",CHOOSE(IF(INT(($A130-1)/5)&gt;MAX((MIN(80,MAX(1,INT(((CROQUIS!$C$98)-CROQUIS!$C$107)/MAX(CROQUIS!$C$130,1))+1)))-1,0),0,MOD($A130-1,5))+1,0,IF(CROQUIS!$C$103=1,-12,2),CROQUIS!$C$107/2+CROQUIS!$C$140,IF(CROQUIS!$C$103=1,-12,2),0),((CROQUIS!$C$107/2+(((CROQUIS!$C$98)-CROQUIS!$C$107)-(MIN(80,MAX(1,INT(((CROQUIS!$C$98)-CROQUIS!$C$107)/MAX(CROQUIS!$C$130,1))+1))-1)*CROQUIS!$C$130)/2)+MIN(INT(($A130-1)/5),MAX((MIN(80,MAX(1,INT(((CROQUIS!$C$98)-CROQUIS!$C$107)/MAX(CROQUIS!$C$130,1))+1)))-1,0))*CROQUIS!$C$130)))*CROQUIS!$C$155)+IF(CROQUIS!$C$92="X",0,0)),-1000)</f>
        <v>-1000</v>
      </c>
      <c r="BM13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130-1)/5),MAX((MIN(80,MAX(1,INT(((CROQUIS!$C$98)-CROQUIS!$C$107)/MAX(CROQUIS!$C$130,1))+1)))-1,0))*CROQUIS!$C$130),CHOOSE(IF(INT(($A130-1)/5)&gt;MAX((MIN(80,MAX(1,INT(((CROQUIS!$C$98)-CROQUIS!$C$107)/MAX(CROQUIS!$C$130,1))+1)))-1,0),0,MOD($A130-1,5))+1,0,IF(CROQUIS!$C$103=1,-12,2),CROQUIS!$C$107/2+CROQUIS!$C$140,IF(CROQUIS!$C$103=1,-12,2),0)))*CROQUIS!$C$155)+IF(CROQUIS!$C$92="X",0,0)),-1000)</f>
        <v>-1000</v>
      </c>
      <c r="BN130">
        <f>IF(AND(CROQUIS!$C$88=1,CROQUIS!$C$91=0,CROQUIS!$C$130&gt;0,OR(CROQUIS!$C$104=1,CROQUIS!$C$142=1)),((CROQUIS!$C$156+(IF(CROQUIS!$C$92="X",CHOOSE(IF(INT(($A130-1)/5)&gt;MAX((MIN(80,MAX(1,INT(((CROQUIS!$C$98)-CROQUIS!$C$107)/MAX(CROQUIS!$C$130,1))+1)))-1,0),0,MOD($A130-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130-1)/5),MAX((MIN(80,MAX(1,INT(((CROQUIS!$C$98)-CROQUIS!$C$107)/MAX(CROQUIS!$C$130,1))+1)))-1,0))*CROQUIS!$C$130)))*CROQUIS!$C$155)+IF(CROQUIS!$C$92="X",0,0)),-1000)</f>
        <v>-1000</v>
      </c>
      <c r="BO13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130-1)/5),MAX((MIN(80,MAX(1,INT(((CROQUIS!$C$98)-CROQUIS!$C$107)/MAX(CROQUIS!$C$130,1))+1)))-1,0))*CROQUIS!$C$130),CHOOSE(IF(INT(($A130-1)/5)&gt;MAX((MIN(80,MAX(1,INT(((CROQUIS!$C$98)-CROQUIS!$C$107)/MAX(CROQUIS!$C$130,1))+1)))-1,0),0,MOD($A130-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3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130-1)/5),MAX((MIN(80,MAX(1,INT(((CROQUIS!$C$97)-CROQUIS!$C$107)/MAX(CROQUIS!$C$138,1))+1)))-1,0))*CROQUIS!$C$138),CHOOSE(IF(INT(($A130-1)/5)&gt;MAX((MIN(80,MAX(1,INT(((CROQUIS!$C$97)-CROQUIS!$C$107)/MAX(CROQUIS!$C$138,1))+1)))-1,0),0,MOD($A130-1,5))+1,0,IF(CROQUIS!$C$105=1,-12,2),CROQUIS!$C$107/2+CROQUIS!$C$141,IF(CROQUIS!$C$105=1,-12,2),0)))*CROQUIS!$C$155)+IF(CROQUIS!$C$92="X",0,0)),-1000)</f>
        <v>-1000</v>
      </c>
      <c r="BQ130">
        <f>IF(AND(CROQUIS!$C$88=1,CROQUIS!$C$91=0,CROQUIS!$C$138&gt;0,OR(CROQUIS!$C$105=1,CROQUIS!$C$143=1)),((CROQUIS!$C$157+(IF(CROQUIS!$C$92="X",CHOOSE(IF(INT(($A130-1)/5)&gt;MAX((MIN(80,MAX(1,INT(((CROQUIS!$C$97)-CROQUIS!$C$107)/MAX(CROQUIS!$C$138,1))+1)))-1,0),0,MOD($A130-1,5))+1,0,IF(CROQUIS!$C$105=1,-12,2),CROQUIS!$C$107/2+CROQUIS!$C$141,IF(CROQUIS!$C$105=1,-12,2),0),((CROQUIS!$C$107/2+(((CROQUIS!$C$97)-CROQUIS!$C$107)-(MIN(80,MAX(1,INT(((CROQUIS!$C$97)-CROQUIS!$C$107)/MAX(CROQUIS!$C$138,1))+1))-1)*CROQUIS!$C$138)/2)+MIN(INT(($A130-1)/5),MAX((MIN(80,MAX(1,INT(((CROQUIS!$C$97)-CROQUIS!$C$107)/MAX(CROQUIS!$C$138,1))+1)))-1,0))*CROQUIS!$C$138)))*CROQUIS!$C$155)+IF(CROQUIS!$C$92="X",0,0)),-1000)</f>
        <v>-1000</v>
      </c>
      <c r="BR13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130-1)/5),MAX((MIN(80,MAX(1,INT(((CROQUIS!$C$97)-CROQUIS!$C$107)/MAX(CROQUIS!$C$138,1))+1)))-1,0))*CROQUIS!$C$138),CHOOSE(IF(INT(($A130-1)/5)&gt;MAX((MIN(80,MAX(1,INT(((CROQUIS!$C$97)-CROQUIS!$C$107)/MAX(CROQUIS!$C$138,1))+1)))-1,0),0,MOD($A130-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30">
        <f>IF(AND(CROQUIS!$C$88=1,CROQUIS!$C$91=0,CROQUIS!$C$138&gt;0,OR(CROQUIS!$C$106=1,CROQUIS!$C$143=1)),((CROQUIS!$C$157+(IF(CROQUIS!$C$92="X",CHOOSE(IF(INT(($A130-1)/5)&gt;MAX((MIN(80,MAX(1,INT(((CROQUIS!$C$97)-CROQUIS!$C$107)/MAX(CROQUIS!$C$138,1))+1)))-1,0),0,MOD($A130-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130-1)/5),MAX((MIN(80,MAX(1,INT(((CROQUIS!$C$97)-CROQUIS!$C$107)/MAX(CROQUIS!$C$138,1))+1)))-1,0))*CROQUIS!$C$138)))*CROQUIS!$C$155)+IF(CROQUIS!$C$92="X",0,0)),-1000)</f>
        <v>-1000</v>
      </c>
      <c r="BT130">
        <f>IF(AND(CROQUIS!$C$88=1,CROQUIS!$C$91=1,CROQUIS!$C$130&gt;0),((CROQUIS!$C$156+(IF(CROQUIS!$C$92="X",CHOOSE(IF(INT(($A130-1)/5)&gt;MAX((MIN(80,MAX(1,INT(((CROQUIS!$C$98)-CROQUIS!$C$107)/MAX(CROQUIS!$C$130,1))+1)))-1,0),0,MOD($A130-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130-1)/5),MAX((MIN(80,MAX(1,INT(((CROQUIS!$C$98)-CROQUIS!$C$107)/MAX(CROQUIS!$C$130,1))+1)))-1,0))*CROQUIS!$C$130)))*CROQUIS!$C$155)+IF(CROQUIS!$C$92="X",0,0)),-1000)</f>
        <v>-1000</v>
      </c>
      <c r="BU130">
        <f>IF(AND(CROQUIS!$C$88=1,CROQUIS!$C$91=1,CROQUIS!$C$130&gt;0),((CROQUIS!$C$157+(IF(CROQUIS!$C$92="X",((CROQUIS!$C$107/2+(((CROQUIS!$C$98)-CROQUIS!$C$107)-(MIN(80,MAX(1,INT(((CROQUIS!$C$98)-CROQUIS!$C$107)/MAX(CROQUIS!$C$130,1))+1))-1)*CROQUIS!$C$130)/2)+MIN(INT(($A130-1)/5),MAX((MIN(80,MAX(1,INT(((CROQUIS!$C$98)-CROQUIS!$C$107)/MAX(CROQUIS!$C$130,1))+1)))-1,0))*CROQUIS!$C$130),CHOOSE(IF(INT(($A130-1)/5)&gt;MAX((MIN(80,MAX(1,INT(((CROQUIS!$C$98)-CROQUIS!$C$107)/MAX(CROQUIS!$C$130,1))+1)))-1,0),0,MOD($A130-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31">
      <c r="A131" t="n">
        <v>124</v>
      </c>
      <c r="BH131">
        <f>IF(AND(CROQUIS!$C$88=1,CROQUIS!$C$126&gt;0),((CROQUIS!$C$156+(IF(CROQUIS!$C$92="X",CHOOSE(IF(INT(($A131-1)/5)&gt;MAX((MIN(80,MAX(1,INT(((CROQUIS!$C$98)-CROQUIS!$C$107)/MAX(CROQUIS!$C$126,1))+1)))-1,0),0,MOD($A131-1,5))+1,0,2,CROQUIS!$C$97-2,2,0),((CROQUIS!$C$107/2+(((CROQUIS!$C$98)-CROQUIS!$C$107)-(MIN(80,MAX(1,INT(((CROQUIS!$C$98)-CROQUIS!$C$107)/MAX(CROQUIS!$C$126,1))+1))-1)*CROQUIS!$C$126)/2)+MIN(INT(($A131-1)/5),MAX((MIN(80,MAX(1,INT(((CROQUIS!$C$98)-CROQUIS!$C$107)/MAX(CROQUIS!$C$126,1))+1)))-1,0))*CROQUIS!$C$126)))*CROQUIS!$C$155)+IF(CROQUIS!$C$92="X",0,0)),-1000)</f>
        <v>-1000</v>
      </c>
      <c r="BI131">
        <f>IF(AND(CROQUIS!$C$88=1,CROQUIS!$C$126&gt;0),((CROQUIS!$C$157+(IF(CROQUIS!$C$92="X",((CROQUIS!$C$107/2+(((CROQUIS!$C$98)-CROQUIS!$C$107)-(MIN(80,MAX(1,INT(((CROQUIS!$C$98)-CROQUIS!$C$107)/MAX(CROQUIS!$C$126,1))+1))-1)*CROQUIS!$C$126)/2)+MIN(INT(($A131-1)/5),MAX((MIN(80,MAX(1,INT(((CROQUIS!$C$98)-CROQUIS!$C$107)/MAX(CROQUIS!$C$126,1))+1)))-1,0))*CROQUIS!$C$126),CHOOSE(IF(INT(($A131-1)/5)&gt;MAX((MIN(80,MAX(1,INT(((CROQUIS!$C$98)-CROQUIS!$C$107)/MAX(CROQUIS!$C$126,1))+1)))-1,0),0,MOD($A131-1,5))+1,0,2,CROQUIS!$C$97-2,2,0)))*CROQUIS!$C$155)+IF(CROQUIS!$C$92="X",0,0)),-1000)</f>
        <v>-1000</v>
      </c>
      <c r="BJ131">
        <f>IF(AND(CROQUIS!$C$88=1,CROQUIS!$C$134&gt;0),((CROQUIS!$C$156+(IF(CROQUIS!$C$92="X",((CROQUIS!$C$107/2+(((CROQUIS!$C$97)-CROQUIS!$C$107)-(MIN(80,MAX(1,INT(((CROQUIS!$C$97)-CROQUIS!$C$107)/MAX(CROQUIS!$C$134,1))+1))-1)*CROQUIS!$C$134)/2)+MIN(INT(($A131-1)/5),MAX((MIN(80,MAX(1,INT(((CROQUIS!$C$97)-CROQUIS!$C$107)/MAX(CROQUIS!$C$134,1))+1)))-1,0))*CROQUIS!$C$134),CHOOSE(IF(INT(($A131-1)/5)&gt;MAX((MIN(80,MAX(1,INT(((CROQUIS!$C$97)-CROQUIS!$C$107)/MAX(CROQUIS!$C$134,1))+1)))-1,0),0,MOD($A131-1,5))+1,0,2,CROQUIS!$C$98-2,2,0)))*CROQUIS!$C$155)+IF(CROQUIS!$C$92="X",0,0)),-1000)</f>
        <v>-1000</v>
      </c>
      <c r="BK131">
        <f>IF(AND(CROQUIS!$C$88=1,CROQUIS!$C$134&gt;0),((CROQUIS!$C$157+(IF(CROQUIS!$C$92="X",CHOOSE(IF(INT(($A131-1)/5)&gt;MAX((MIN(80,MAX(1,INT(((CROQUIS!$C$97)-CROQUIS!$C$107)/MAX(CROQUIS!$C$134,1))+1)))-1,0),0,MOD($A131-1,5))+1,0,2,CROQUIS!$C$98-2,2,0),((CROQUIS!$C$107/2+(((CROQUIS!$C$97)-CROQUIS!$C$107)-(MIN(80,MAX(1,INT(((CROQUIS!$C$97)-CROQUIS!$C$107)/MAX(CROQUIS!$C$134,1))+1))-1)*CROQUIS!$C$134)/2)+MIN(INT(($A131-1)/5),MAX((MIN(80,MAX(1,INT(((CROQUIS!$C$97)-CROQUIS!$C$107)/MAX(CROQUIS!$C$134,1))+1)))-1,0))*CROQUIS!$C$134)))*CROQUIS!$C$155)+IF(CROQUIS!$C$92="X",0,0)),-1000)</f>
        <v>-1000</v>
      </c>
      <c r="BL131">
        <f>IF(AND(CROQUIS!$C$88=1,CROQUIS!$C$91=0,CROQUIS!$C$130&gt;0,OR(CROQUIS!$C$103=1,CROQUIS!$C$142=1)),((CROQUIS!$C$156+(IF(CROQUIS!$C$92="X",CHOOSE(IF(INT(($A131-1)/5)&gt;MAX((MIN(80,MAX(1,INT(((CROQUIS!$C$98)-CROQUIS!$C$107)/MAX(CROQUIS!$C$130,1))+1)))-1,0),0,MOD($A131-1,5))+1,0,IF(CROQUIS!$C$103=1,-12,2),CROQUIS!$C$107/2+CROQUIS!$C$140,IF(CROQUIS!$C$103=1,-12,2),0),((CROQUIS!$C$107/2+(((CROQUIS!$C$98)-CROQUIS!$C$107)-(MIN(80,MAX(1,INT(((CROQUIS!$C$98)-CROQUIS!$C$107)/MAX(CROQUIS!$C$130,1))+1))-1)*CROQUIS!$C$130)/2)+MIN(INT(($A131-1)/5),MAX((MIN(80,MAX(1,INT(((CROQUIS!$C$98)-CROQUIS!$C$107)/MAX(CROQUIS!$C$130,1))+1)))-1,0))*CROQUIS!$C$130)))*CROQUIS!$C$155)+IF(CROQUIS!$C$92="X",0,0)),-1000)</f>
        <v>-1000</v>
      </c>
      <c r="BM13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131-1)/5),MAX((MIN(80,MAX(1,INT(((CROQUIS!$C$98)-CROQUIS!$C$107)/MAX(CROQUIS!$C$130,1))+1)))-1,0))*CROQUIS!$C$130),CHOOSE(IF(INT(($A131-1)/5)&gt;MAX((MIN(80,MAX(1,INT(((CROQUIS!$C$98)-CROQUIS!$C$107)/MAX(CROQUIS!$C$130,1))+1)))-1,0),0,MOD($A131-1,5))+1,0,IF(CROQUIS!$C$103=1,-12,2),CROQUIS!$C$107/2+CROQUIS!$C$140,IF(CROQUIS!$C$103=1,-12,2),0)))*CROQUIS!$C$155)+IF(CROQUIS!$C$92="X",0,0)),-1000)</f>
        <v>-1000</v>
      </c>
      <c r="BN131">
        <f>IF(AND(CROQUIS!$C$88=1,CROQUIS!$C$91=0,CROQUIS!$C$130&gt;0,OR(CROQUIS!$C$104=1,CROQUIS!$C$142=1)),((CROQUIS!$C$156+(IF(CROQUIS!$C$92="X",CHOOSE(IF(INT(($A131-1)/5)&gt;MAX((MIN(80,MAX(1,INT(((CROQUIS!$C$98)-CROQUIS!$C$107)/MAX(CROQUIS!$C$130,1))+1)))-1,0),0,MOD($A131-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131-1)/5),MAX((MIN(80,MAX(1,INT(((CROQUIS!$C$98)-CROQUIS!$C$107)/MAX(CROQUIS!$C$130,1))+1)))-1,0))*CROQUIS!$C$130)))*CROQUIS!$C$155)+IF(CROQUIS!$C$92="X",0,0)),-1000)</f>
        <v>-1000</v>
      </c>
      <c r="BO13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131-1)/5),MAX((MIN(80,MAX(1,INT(((CROQUIS!$C$98)-CROQUIS!$C$107)/MAX(CROQUIS!$C$130,1))+1)))-1,0))*CROQUIS!$C$130),CHOOSE(IF(INT(($A131-1)/5)&gt;MAX((MIN(80,MAX(1,INT(((CROQUIS!$C$98)-CROQUIS!$C$107)/MAX(CROQUIS!$C$130,1))+1)))-1,0),0,MOD($A131-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3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131-1)/5),MAX((MIN(80,MAX(1,INT(((CROQUIS!$C$97)-CROQUIS!$C$107)/MAX(CROQUIS!$C$138,1))+1)))-1,0))*CROQUIS!$C$138),CHOOSE(IF(INT(($A131-1)/5)&gt;MAX((MIN(80,MAX(1,INT(((CROQUIS!$C$97)-CROQUIS!$C$107)/MAX(CROQUIS!$C$138,1))+1)))-1,0),0,MOD($A131-1,5))+1,0,IF(CROQUIS!$C$105=1,-12,2),CROQUIS!$C$107/2+CROQUIS!$C$141,IF(CROQUIS!$C$105=1,-12,2),0)))*CROQUIS!$C$155)+IF(CROQUIS!$C$92="X",0,0)),-1000)</f>
        <v>-1000</v>
      </c>
      <c r="BQ131">
        <f>IF(AND(CROQUIS!$C$88=1,CROQUIS!$C$91=0,CROQUIS!$C$138&gt;0,OR(CROQUIS!$C$105=1,CROQUIS!$C$143=1)),((CROQUIS!$C$157+(IF(CROQUIS!$C$92="X",CHOOSE(IF(INT(($A131-1)/5)&gt;MAX((MIN(80,MAX(1,INT(((CROQUIS!$C$97)-CROQUIS!$C$107)/MAX(CROQUIS!$C$138,1))+1)))-1,0),0,MOD($A131-1,5))+1,0,IF(CROQUIS!$C$105=1,-12,2),CROQUIS!$C$107/2+CROQUIS!$C$141,IF(CROQUIS!$C$105=1,-12,2),0),((CROQUIS!$C$107/2+(((CROQUIS!$C$97)-CROQUIS!$C$107)-(MIN(80,MAX(1,INT(((CROQUIS!$C$97)-CROQUIS!$C$107)/MAX(CROQUIS!$C$138,1))+1))-1)*CROQUIS!$C$138)/2)+MIN(INT(($A131-1)/5),MAX((MIN(80,MAX(1,INT(((CROQUIS!$C$97)-CROQUIS!$C$107)/MAX(CROQUIS!$C$138,1))+1)))-1,0))*CROQUIS!$C$138)))*CROQUIS!$C$155)+IF(CROQUIS!$C$92="X",0,0)),-1000)</f>
        <v>-1000</v>
      </c>
      <c r="BR13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131-1)/5),MAX((MIN(80,MAX(1,INT(((CROQUIS!$C$97)-CROQUIS!$C$107)/MAX(CROQUIS!$C$138,1))+1)))-1,0))*CROQUIS!$C$138),CHOOSE(IF(INT(($A131-1)/5)&gt;MAX((MIN(80,MAX(1,INT(((CROQUIS!$C$97)-CROQUIS!$C$107)/MAX(CROQUIS!$C$138,1))+1)))-1,0),0,MOD($A131-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31">
        <f>IF(AND(CROQUIS!$C$88=1,CROQUIS!$C$91=0,CROQUIS!$C$138&gt;0,OR(CROQUIS!$C$106=1,CROQUIS!$C$143=1)),((CROQUIS!$C$157+(IF(CROQUIS!$C$92="X",CHOOSE(IF(INT(($A131-1)/5)&gt;MAX((MIN(80,MAX(1,INT(((CROQUIS!$C$97)-CROQUIS!$C$107)/MAX(CROQUIS!$C$138,1))+1)))-1,0),0,MOD($A131-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131-1)/5),MAX((MIN(80,MAX(1,INT(((CROQUIS!$C$97)-CROQUIS!$C$107)/MAX(CROQUIS!$C$138,1))+1)))-1,0))*CROQUIS!$C$138)))*CROQUIS!$C$155)+IF(CROQUIS!$C$92="X",0,0)),-1000)</f>
        <v>-1000</v>
      </c>
      <c r="BT131">
        <f>IF(AND(CROQUIS!$C$88=1,CROQUIS!$C$91=1,CROQUIS!$C$130&gt;0),((CROQUIS!$C$156+(IF(CROQUIS!$C$92="X",CHOOSE(IF(INT(($A131-1)/5)&gt;MAX((MIN(80,MAX(1,INT(((CROQUIS!$C$98)-CROQUIS!$C$107)/MAX(CROQUIS!$C$130,1))+1)))-1,0),0,MOD($A131-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131-1)/5),MAX((MIN(80,MAX(1,INT(((CROQUIS!$C$98)-CROQUIS!$C$107)/MAX(CROQUIS!$C$130,1))+1)))-1,0))*CROQUIS!$C$130)))*CROQUIS!$C$155)+IF(CROQUIS!$C$92="X",0,0)),-1000)</f>
        <v>-1000</v>
      </c>
      <c r="BU131">
        <f>IF(AND(CROQUIS!$C$88=1,CROQUIS!$C$91=1,CROQUIS!$C$130&gt;0),((CROQUIS!$C$157+(IF(CROQUIS!$C$92="X",((CROQUIS!$C$107/2+(((CROQUIS!$C$98)-CROQUIS!$C$107)-(MIN(80,MAX(1,INT(((CROQUIS!$C$98)-CROQUIS!$C$107)/MAX(CROQUIS!$C$130,1))+1))-1)*CROQUIS!$C$130)/2)+MIN(INT(($A131-1)/5),MAX((MIN(80,MAX(1,INT(((CROQUIS!$C$98)-CROQUIS!$C$107)/MAX(CROQUIS!$C$130,1))+1)))-1,0))*CROQUIS!$C$130),CHOOSE(IF(INT(($A131-1)/5)&gt;MAX((MIN(80,MAX(1,INT(((CROQUIS!$C$98)-CROQUIS!$C$107)/MAX(CROQUIS!$C$130,1))+1)))-1,0),0,MOD($A131-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32">
      <c r="A132" t="n">
        <v>125</v>
      </c>
      <c r="BH132">
        <f>IF(AND(CROQUIS!$C$88=1,CROQUIS!$C$126&gt;0),((CROQUIS!$C$156+(IF(CROQUIS!$C$92="X",CHOOSE(IF(INT(($A132-1)/5)&gt;MAX((MIN(80,MAX(1,INT(((CROQUIS!$C$98)-CROQUIS!$C$107)/MAX(CROQUIS!$C$126,1))+1)))-1,0),0,MOD($A132-1,5))+1,0,2,CROQUIS!$C$97-2,2,0),((CROQUIS!$C$107/2+(((CROQUIS!$C$98)-CROQUIS!$C$107)-(MIN(80,MAX(1,INT(((CROQUIS!$C$98)-CROQUIS!$C$107)/MAX(CROQUIS!$C$126,1))+1))-1)*CROQUIS!$C$126)/2)+MIN(INT(($A132-1)/5),MAX((MIN(80,MAX(1,INT(((CROQUIS!$C$98)-CROQUIS!$C$107)/MAX(CROQUIS!$C$126,1))+1)))-1,0))*CROQUIS!$C$126)))*CROQUIS!$C$155)+IF(CROQUIS!$C$92="X",0,0)),-1000)</f>
        <v>-1000</v>
      </c>
      <c r="BI132">
        <f>IF(AND(CROQUIS!$C$88=1,CROQUIS!$C$126&gt;0),((CROQUIS!$C$157+(IF(CROQUIS!$C$92="X",((CROQUIS!$C$107/2+(((CROQUIS!$C$98)-CROQUIS!$C$107)-(MIN(80,MAX(1,INT(((CROQUIS!$C$98)-CROQUIS!$C$107)/MAX(CROQUIS!$C$126,1))+1))-1)*CROQUIS!$C$126)/2)+MIN(INT(($A132-1)/5),MAX((MIN(80,MAX(1,INT(((CROQUIS!$C$98)-CROQUIS!$C$107)/MAX(CROQUIS!$C$126,1))+1)))-1,0))*CROQUIS!$C$126),CHOOSE(IF(INT(($A132-1)/5)&gt;MAX((MIN(80,MAX(1,INT(((CROQUIS!$C$98)-CROQUIS!$C$107)/MAX(CROQUIS!$C$126,1))+1)))-1,0),0,MOD($A132-1,5))+1,0,2,CROQUIS!$C$97-2,2,0)))*CROQUIS!$C$155)+IF(CROQUIS!$C$92="X",0,0)),-1000)</f>
        <v>-1000</v>
      </c>
      <c r="BJ132">
        <f>IF(AND(CROQUIS!$C$88=1,CROQUIS!$C$134&gt;0),((CROQUIS!$C$156+(IF(CROQUIS!$C$92="X",((CROQUIS!$C$107/2+(((CROQUIS!$C$97)-CROQUIS!$C$107)-(MIN(80,MAX(1,INT(((CROQUIS!$C$97)-CROQUIS!$C$107)/MAX(CROQUIS!$C$134,1))+1))-1)*CROQUIS!$C$134)/2)+MIN(INT(($A132-1)/5),MAX((MIN(80,MAX(1,INT(((CROQUIS!$C$97)-CROQUIS!$C$107)/MAX(CROQUIS!$C$134,1))+1)))-1,0))*CROQUIS!$C$134),CHOOSE(IF(INT(($A132-1)/5)&gt;MAX((MIN(80,MAX(1,INT(((CROQUIS!$C$97)-CROQUIS!$C$107)/MAX(CROQUIS!$C$134,1))+1)))-1,0),0,MOD($A132-1,5))+1,0,2,CROQUIS!$C$98-2,2,0)))*CROQUIS!$C$155)+IF(CROQUIS!$C$92="X",0,0)),-1000)</f>
        <v>-1000</v>
      </c>
      <c r="BK132">
        <f>IF(AND(CROQUIS!$C$88=1,CROQUIS!$C$134&gt;0),((CROQUIS!$C$157+(IF(CROQUIS!$C$92="X",CHOOSE(IF(INT(($A132-1)/5)&gt;MAX((MIN(80,MAX(1,INT(((CROQUIS!$C$97)-CROQUIS!$C$107)/MAX(CROQUIS!$C$134,1))+1)))-1,0),0,MOD($A132-1,5))+1,0,2,CROQUIS!$C$98-2,2,0),((CROQUIS!$C$107/2+(((CROQUIS!$C$97)-CROQUIS!$C$107)-(MIN(80,MAX(1,INT(((CROQUIS!$C$97)-CROQUIS!$C$107)/MAX(CROQUIS!$C$134,1))+1))-1)*CROQUIS!$C$134)/2)+MIN(INT(($A132-1)/5),MAX((MIN(80,MAX(1,INT(((CROQUIS!$C$97)-CROQUIS!$C$107)/MAX(CROQUIS!$C$134,1))+1)))-1,0))*CROQUIS!$C$134)))*CROQUIS!$C$155)+IF(CROQUIS!$C$92="X",0,0)),-1000)</f>
        <v>-1000</v>
      </c>
      <c r="BL132">
        <f>IF(AND(CROQUIS!$C$88=1,CROQUIS!$C$91=0,CROQUIS!$C$130&gt;0,OR(CROQUIS!$C$103=1,CROQUIS!$C$142=1)),((CROQUIS!$C$156+(IF(CROQUIS!$C$92="X",CHOOSE(IF(INT(($A132-1)/5)&gt;MAX((MIN(80,MAX(1,INT(((CROQUIS!$C$98)-CROQUIS!$C$107)/MAX(CROQUIS!$C$130,1))+1)))-1,0),0,MOD($A132-1,5))+1,0,IF(CROQUIS!$C$103=1,-12,2),CROQUIS!$C$107/2+CROQUIS!$C$140,IF(CROQUIS!$C$103=1,-12,2),0),((CROQUIS!$C$107/2+(((CROQUIS!$C$98)-CROQUIS!$C$107)-(MIN(80,MAX(1,INT(((CROQUIS!$C$98)-CROQUIS!$C$107)/MAX(CROQUIS!$C$130,1))+1))-1)*CROQUIS!$C$130)/2)+MIN(INT(($A132-1)/5),MAX((MIN(80,MAX(1,INT(((CROQUIS!$C$98)-CROQUIS!$C$107)/MAX(CROQUIS!$C$130,1))+1)))-1,0))*CROQUIS!$C$130)))*CROQUIS!$C$155)+IF(CROQUIS!$C$92="X",0,0)),-1000)</f>
        <v>-1000</v>
      </c>
      <c r="BM13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132-1)/5),MAX((MIN(80,MAX(1,INT(((CROQUIS!$C$98)-CROQUIS!$C$107)/MAX(CROQUIS!$C$130,1))+1)))-1,0))*CROQUIS!$C$130),CHOOSE(IF(INT(($A132-1)/5)&gt;MAX((MIN(80,MAX(1,INT(((CROQUIS!$C$98)-CROQUIS!$C$107)/MAX(CROQUIS!$C$130,1))+1)))-1,0),0,MOD($A132-1,5))+1,0,IF(CROQUIS!$C$103=1,-12,2),CROQUIS!$C$107/2+CROQUIS!$C$140,IF(CROQUIS!$C$103=1,-12,2),0)))*CROQUIS!$C$155)+IF(CROQUIS!$C$92="X",0,0)),-1000)</f>
        <v>-1000</v>
      </c>
      <c r="BN132">
        <f>IF(AND(CROQUIS!$C$88=1,CROQUIS!$C$91=0,CROQUIS!$C$130&gt;0,OR(CROQUIS!$C$104=1,CROQUIS!$C$142=1)),((CROQUIS!$C$156+(IF(CROQUIS!$C$92="X",CHOOSE(IF(INT(($A132-1)/5)&gt;MAX((MIN(80,MAX(1,INT(((CROQUIS!$C$98)-CROQUIS!$C$107)/MAX(CROQUIS!$C$130,1))+1)))-1,0),0,MOD($A132-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132-1)/5),MAX((MIN(80,MAX(1,INT(((CROQUIS!$C$98)-CROQUIS!$C$107)/MAX(CROQUIS!$C$130,1))+1)))-1,0))*CROQUIS!$C$130)))*CROQUIS!$C$155)+IF(CROQUIS!$C$92="X",0,0)),-1000)</f>
        <v>-1000</v>
      </c>
      <c r="BO13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132-1)/5),MAX((MIN(80,MAX(1,INT(((CROQUIS!$C$98)-CROQUIS!$C$107)/MAX(CROQUIS!$C$130,1))+1)))-1,0))*CROQUIS!$C$130),CHOOSE(IF(INT(($A132-1)/5)&gt;MAX((MIN(80,MAX(1,INT(((CROQUIS!$C$98)-CROQUIS!$C$107)/MAX(CROQUIS!$C$130,1))+1)))-1,0),0,MOD($A132-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3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132-1)/5),MAX((MIN(80,MAX(1,INT(((CROQUIS!$C$97)-CROQUIS!$C$107)/MAX(CROQUIS!$C$138,1))+1)))-1,0))*CROQUIS!$C$138),CHOOSE(IF(INT(($A132-1)/5)&gt;MAX((MIN(80,MAX(1,INT(((CROQUIS!$C$97)-CROQUIS!$C$107)/MAX(CROQUIS!$C$138,1))+1)))-1,0),0,MOD($A132-1,5))+1,0,IF(CROQUIS!$C$105=1,-12,2),CROQUIS!$C$107/2+CROQUIS!$C$141,IF(CROQUIS!$C$105=1,-12,2),0)))*CROQUIS!$C$155)+IF(CROQUIS!$C$92="X",0,0)),-1000)</f>
        <v>-1000</v>
      </c>
      <c r="BQ132">
        <f>IF(AND(CROQUIS!$C$88=1,CROQUIS!$C$91=0,CROQUIS!$C$138&gt;0,OR(CROQUIS!$C$105=1,CROQUIS!$C$143=1)),((CROQUIS!$C$157+(IF(CROQUIS!$C$92="X",CHOOSE(IF(INT(($A132-1)/5)&gt;MAX((MIN(80,MAX(1,INT(((CROQUIS!$C$97)-CROQUIS!$C$107)/MAX(CROQUIS!$C$138,1))+1)))-1,0),0,MOD($A132-1,5))+1,0,IF(CROQUIS!$C$105=1,-12,2),CROQUIS!$C$107/2+CROQUIS!$C$141,IF(CROQUIS!$C$105=1,-12,2),0),((CROQUIS!$C$107/2+(((CROQUIS!$C$97)-CROQUIS!$C$107)-(MIN(80,MAX(1,INT(((CROQUIS!$C$97)-CROQUIS!$C$107)/MAX(CROQUIS!$C$138,1))+1))-1)*CROQUIS!$C$138)/2)+MIN(INT(($A132-1)/5),MAX((MIN(80,MAX(1,INT(((CROQUIS!$C$97)-CROQUIS!$C$107)/MAX(CROQUIS!$C$138,1))+1)))-1,0))*CROQUIS!$C$138)))*CROQUIS!$C$155)+IF(CROQUIS!$C$92="X",0,0)),-1000)</f>
        <v>-1000</v>
      </c>
      <c r="BR13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132-1)/5),MAX((MIN(80,MAX(1,INT(((CROQUIS!$C$97)-CROQUIS!$C$107)/MAX(CROQUIS!$C$138,1))+1)))-1,0))*CROQUIS!$C$138),CHOOSE(IF(INT(($A132-1)/5)&gt;MAX((MIN(80,MAX(1,INT(((CROQUIS!$C$97)-CROQUIS!$C$107)/MAX(CROQUIS!$C$138,1))+1)))-1,0),0,MOD($A132-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32">
        <f>IF(AND(CROQUIS!$C$88=1,CROQUIS!$C$91=0,CROQUIS!$C$138&gt;0,OR(CROQUIS!$C$106=1,CROQUIS!$C$143=1)),((CROQUIS!$C$157+(IF(CROQUIS!$C$92="X",CHOOSE(IF(INT(($A132-1)/5)&gt;MAX((MIN(80,MAX(1,INT(((CROQUIS!$C$97)-CROQUIS!$C$107)/MAX(CROQUIS!$C$138,1))+1)))-1,0),0,MOD($A132-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132-1)/5),MAX((MIN(80,MAX(1,INT(((CROQUIS!$C$97)-CROQUIS!$C$107)/MAX(CROQUIS!$C$138,1))+1)))-1,0))*CROQUIS!$C$138)))*CROQUIS!$C$155)+IF(CROQUIS!$C$92="X",0,0)),-1000)</f>
        <v>-1000</v>
      </c>
      <c r="BT132">
        <f>IF(AND(CROQUIS!$C$88=1,CROQUIS!$C$91=1,CROQUIS!$C$130&gt;0),((CROQUIS!$C$156+(IF(CROQUIS!$C$92="X",CHOOSE(IF(INT(($A132-1)/5)&gt;MAX((MIN(80,MAX(1,INT(((CROQUIS!$C$98)-CROQUIS!$C$107)/MAX(CROQUIS!$C$130,1))+1)))-1,0),0,MOD($A132-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132-1)/5),MAX((MIN(80,MAX(1,INT(((CROQUIS!$C$98)-CROQUIS!$C$107)/MAX(CROQUIS!$C$130,1))+1)))-1,0))*CROQUIS!$C$130)))*CROQUIS!$C$155)+IF(CROQUIS!$C$92="X",0,0)),-1000)</f>
        <v>-1000</v>
      </c>
      <c r="BU132">
        <f>IF(AND(CROQUIS!$C$88=1,CROQUIS!$C$91=1,CROQUIS!$C$130&gt;0),((CROQUIS!$C$157+(IF(CROQUIS!$C$92="X",((CROQUIS!$C$107/2+(((CROQUIS!$C$98)-CROQUIS!$C$107)-(MIN(80,MAX(1,INT(((CROQUIS!$C$98)-CROQUIS!$C$107)/MAX(CROQUIS!$C$130,1))+1))-1)*CROQUIS!$C$130)/2)+MIN(INT(($A132-1)/5),MAX((MIN(80,MAX(1,INT(((CROQUIS!$C$98)-CROQUIS!$C$107)/MAX(CROQUIS!$C$130,1))+1)))-1,0))*CROQUIS!$C$130),CHOOSE(IF(INT(($A132-1)/5)&gt;MAX((MIN(80,MAX(1,INT(((CROQUIS!$C$98)-CROQUIS!$C$107)/MAX(CROQUIS!$C$130,1))+1)))-1,0),0,MOD($A132-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33">
      <c r="A133" t="n">
        <v>126</v>
      </c>
      <c r="BH133">
        <f>IF(AND(CROQUIS!$C$88=1,CROQUIS!$C$126&gt;0),((CROQUIS!$C$156+(IF(CROQUIS!$C$92="X",CHOOSE(IF(INT(($A133-1)/5)&gt;MAX((MIN(80,MAX(1,INT(((CROQUIS!$C$98)-CROQUIS!$C$107)/MAX(CROQUIS!$C$126,1))+1)))-1,0),0,MOD($A133-1,5))+1,0,2,CROQUIS!$C$97-2,2,0),((CROQUIS!$C$107/2+(((CROQUIS!$C$98)-CROQUIS!$C$107)-(MIN(80,MAX(1,INT(((CROQUIS!$C$98)-CROQUIS!$C$107)/MAX(CROQUIS!$C$126,1))+1))-1)*CROQUIS!$C$126)/2)+MIN(INT(($A133-1)/5),MAX((MIN(80,MAX(1,INT(((CROQUIS!$C$98)-CROQUIS!$C$107)/MAX(CROQUIS!$C$126,1))+1)))-1,0))*CROQUIS!$C$126)))*CROQUIS!$C$155)+IF(CROQUIS!$C$92="X",0,0)),-1000)</f>
        <v>-1000</v>
      </c>
      <c r="BI133">
        <f>IF(AND(CROQUIS!$C$88=1,CROQUIS!$C$126&gt;0),((CROQUIS!$C$157+(IF(CROQUIS!$C$92="X",((CROQUIS!$C$107/2+(((CROQUIS!$C$98)-CROQUIS!$C$107)-(MIN(80,MAX(1,INT(((CROQUIS!$C$98)-CROQUIS!$C$107)/MAX(CROQUIS!$C$126,1))+1))-1)*CROQUIS!$C$126)/2)+MIN(INT(($A133-1)/5),MAX((MIN(80,MAX(1,INT(((CROQUIS!$C$98)-CROQUIS!$C$107)/MAX(CROQUIS!$C$126,1))+1)))-1,0))*CROQUIS!$C$126),CHOOSE(IF(INT(($A133-1)/5)&gt;MAX((MIN(80,MAX(1,INT(((CROQUIS!$C$98)-CROQUIS!$C$107)/MAX(CROQUIS!$C$126,1))+1)))-1,0),0,MOD($A133-1,5))+1,0,2,CROQUIS!$C$97-2,2,0)))*CROQUIS!$C$155)+IF(CROQUIS!$C$92="X",0,0)),-1000)</f>
        <v>-1000</v>
      </c>
      <c r="BJ133">
        <f>IF(AND(CROQUIS!$C$88=1,CROQUIS!$C$134&gt;0),((CROQUIS!$C$156+(IF(CROQUIS!$C$92="X",((CROQUIS!$C$107/2+(((CROQUIS!$C$97)-CROQUIS!$C$107)-(MIN(80,MAX(1,INT(((CROQUIS!$C$97)-CROQUIS!$C$107)/MAX(CROQUIS!$C$134,1))+1))-1)*CROQUIS!$C$134)/2)+MIN(INT(($A133-1)/5),MAX((MIN(80,MAX(1,INT(((CROQUIS!$C$97)-CROQUIS!$C$107)/MAX(CROQUIS!$C$134,1))+1)))-1,0))*CROQUIS!$C$134),CHOOSE(IF(INT(($A133-1)/5)&gt;MAX((MIN(80,MAX(1,INT(((CROQUIS!$C$97)-CROQUIS!$C$107)/MAX(CROQUIS!$C$134,1))+1)))-1,0),0,MOD($A133-1,5))+1,0,2,CROQUIS!$C$98-2,2,0)))*CROQUIS!$C$155)+IF(CROQUIS!$C$92="X",0,0)),-1000)</f>
        <v>-1000</v>
      </c>
      <c r="BK133">
        <f>IF(AND(CROQUIS!$C$88=1,CROQUIS!$C$134&gt;0),((CROQUIS!$C$157+(IF(CROQUIS!$C$92="X",CHOOSE(IF(INT(($A133-1)/5)&gt;MAX((MIN(80,MAX(1,INT(((CROQUIS!$C$97)-CROQUIS!$C$107)/MAX(CROQUIS!$C$134,1))+1)))-1,0),0,MOD($A133-1,5))+1,0,2,CROQUIS!$C$98-2,2,0),((CROQUIS!$C$107/2+(((CROQUIS!$C$97)-CROQUIS!$C$107)-(MIN(80,MAX(1,INT(((CROQUIS!$C$97)-CROQUIS!$C$107)/MAX(CROQUIS!$C$134,1))+1))-1)*CROQUIS!$C$134)/2)+MIN(INT(($A133-1)/5),MAX((MIN(80,MAX(1,INT(((CROQUIS!$C$97)-CROQUIS!$C$107)/MAX(CROQUIS!$C$134,1))+1)))-1,0))*CROQUIS!$C$134)))*CROQUIS!$C$155)+IF(CROQUIS!$C$92="X",0,0)),-1000)</f>
        <v>-1000</v>
      </c>
      <c r="BL133">
        <f>IF(AND(CROQUIS!$C$88=1,CROQUIS!$C$91=0,CROQUIS!$C$130&gt;0,OR(CROQUIS!$C$103=1,CROQUIS!$C$142=1)),((CROQUIS!$C$156+(IF(CROQUIS!$C$92="X",CHOOSE(IF(INT(($A133-1)/5)&gt;MAX((MIN(80,MAX(1,INT(((CROQUIS!$C$98)-CROQUIS!$C$107)/MAX(CROQUIS!$C$130,1))+1)))-1,0),0,MOD($A133-1,5))+1,0,IF(CROQUIS!$C$103=1,-12,2),CROQUIS!$C$107/2+CROQUIS!$C$140,IF(CROQUIS!$C$103=1,-12,2),0),((CROQUIS!$C$107/2+(((CROQUIS!$C$98)-CROQUIS!$C$107)-(MIN(80,MAX(1,INT(((CROQUIS!$C$98)-CROQUIS!$C$107)/MAX(CROQUIS!$C$130,1))+1))-1)*CROQUIS!$C$130)/2)+MIN(INT(($A133-1)/5),MAX((MIN(80,MAX(1,INT(((CROQUIS!$C$98)-CROQUIS!$C$107)/MAX(CROQUIS!$C$130,1))+1)))-1,0))*CROQUIS!$C$130)))*CROQUIS!$C$155)+IF(CROQUIS!$C$92="X",0,0)),-1000)</f>
        <v>-1000</v>
      </c>
      <c r="BM13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133-1)/5),MAX((MIN(80,MAX(1,INT(((CROQUIS!$C$98)-CROQUIS!$C$107)/MAX(CROQUIS!$C$130,1))+1)))-1,0))*CROQUIS!$C$130),CHOOSE(IF(INT(($A133-1)/5)&gt;MAX((MIN(80,MAX(1,INT(((CROQUIS!$C$98)-CROQUIS!$C$107)/MAX(CROQUIS!$C$130,1))+1)))-1,0),0,MOD($A133-1,5))+1,0,IF(CROQUIS!$C$103=1,-12,2),CROQUIS!$C$107/2+CROQUIS!$C$140,IF(CROQUIS!$C$103=1,-12,2),0)))*CROQUIS!$C$155)+IF(CROQUIS!$C$92="X",0,0)),-1000)</f>
        <v>-1000</v>
      </c>
      <c r="BN133">
        <f>IF(AND(CROQUIS!$C$88=1,CROQUIS!$C$91=0,CROQUIS!$C$130&gt;0,OR(CROQUIS!$C$104=1,CROQUIS!$C$142=1)),((CROQUIS!$C$156+(IF(CROQUIS!$C$92="X",CHOOSE(IF(INT(($A133-1)/5)&gt;MAX((MIN(80,MAX(1,INT(((CROQUIS!$C$98)-CROQUIS!$C$107)/MAX(CROQUIS!$C$130,1))+1)))-1,0),0,MOD($A133-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133-1)/5),MAX((MIN(80,MAX(1,INT(((CROQUIS!$C$98)-CROQUIS!$C$107)/MAX(CROQUIS!$C$130,1))+1)))-1,0))*CROQUIS!$C$130)))*CROQUIS!$C$155)+IF(CROQUIS!$C$92="X",0,0)),-1000)</f>
        <v>-1000</v>
      </c>
      <c r="BO13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133-1)/5),MAX((MIN(80,MAX(1,INT(((CROQUIS!$C$98)-CROQUIS!$C$107)/MAX(CROQUIS!$C$130,1))+1)))-1,0))*CROQUIS!$C$130),CHOOSE(IF(INT(($A133-1)/5)&gt;MAX((MIN(80,MAX(1,INT(((CROQUIS!$C$98)-CROQUIS!$C$107)/MAX(CROQUIS!$C$130,1))+1)))-1,0),0,MOD($A133-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3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133-1)/5),MAX((MIN(80,MAX(1,INT(((CROQUIS!$C$97)-CROQUIS!$C$107)/MAX(CROQUIS!$C$138,1))+1)))-1,0))*CROQUIS!$C$138),CHOOSE(IF(INT(($A133-1)/5)&gt;MAX((MIN(80,MAX(1,INT(((CROQUIS!$C$97)-CROQUIS!$C$107)/MAX(CROQUIS!$C$138,1))+1)))-1,0),0,MOD($A133-1,5))+1,0,IF(CROQUIS!$C$105=1,-12,2),CROQUIS!$C$107/2+CROQUIS!$C$141,IF(CROQUIS!$C$105=1,-12,2),0)))*CROQUIS!$C$155)+IF(CROQUIS!$C$92="X",0,0)),-1000)</f>
        <v>-1000</v>
      </c>
      <c r="BQ133">
        <f>IF(AND(CROQUIS!$C$88=1,CROQUIS!$C$91=0,CROQUIS!$C$138&gt;0,OR(CROQUIS!$C$105=1,CROQUIS!$C$143=1)),((CROQUIS!$C$157+(IF(CROQUIS!$C$92="X",CHOOSE(IF(INT(($A133-1)/5)&gt;MAX((MIN(80,MAX(1,INT(((CROQUIS!$C$97)-CROQUIS!$C$107)/MAX(CROQUIS!$C$138,1))+1)))-1,0),0,MOD($A133-1,5))+1,0,IF(CROQUIS!$C$105=1,-12,2),CROQUIS!$C$107/2+CROQUIS!$C$141,IF(CROQUIS!$C$105=1,-12,2),0),((CROQUIS!$C$107/2+(((CROQUIS!$C$97)-CROQUIS!$C$107)-(MIN(80,MAX(1,INT(((CROQUIS!$C$97)-CROQUIS!$C$107)/MAX(CROQUIS!$C$138,1))+1))-1)*CROQUIS!$C$138)/2)+MIN(INT(($A133-1)/5),MAX((MIN(80,MAX(1,INT(((CROQUIS!$C$97)-CROQUIS!$C$107)/MAX(CROQUIS!$C$138,1))+1)))-1,0))*CROQUIS!$C$138)))*CROQUIS!$C$155)+IF(CROQUIS!$C$92="X",0,0)),-1000)</f>
        <v>-1000</v>
      </c>
      <c r="BR13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133-1)/5),MAX((MIN(80,MAX(1,INT(((CROQUIS!$C$97)-CROQUIS!$C$107)/MAX(CROQUIS!$C$138,1))+1)))-1,0))*CROQUIS!$C$138),CHOOSE(IF(INT(($A133-1)/5)&gt;MAX((MIN(80,MAX(1,INT(((CROQUIS!$C$97)-CROQUIS!$C$107)/MAX(CROQUIS!$C$138,1))+1)))-1,0),0,MOD($A133-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33">
        <f>IF(AND(CROQUIS!$C$88=1,CROQUIS!$C$91=0,CROQUIS!$C$138&gt;0,OR(CROQUIS!$C$106=1,CROQUIS!$C$143=1)),((CROQUIS!$C$157+(IF(CROQUIS!$C$92="X",CHOOSE(IF(INT(($A133-1)/5)&gt;MAX((MIN(80,MAX(1,INT(((CROQUIS!$C$97)-CROQUIS!$C$107)/MAX(CROQUIS!$C$138,1))+1)))-1,0),0,MOD($A133-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133-1)/5),MAX((MIN(80,MAX(1,INT(((CROQUIS!$C$97)-CROQUIS!$C$107)/MAX(CROQUIS!$C$138,1))+1)))-1,0))*CROQUIS!$C$138)))*CROQUIS!$C$155)+IF(CROQUIS!$C$92="X",0,0)),-1000)</f>
        <v>-1000</v>
      </c>
      <c r="BT133">
        <f>IF(AND(CROQUIS!$C$88=1,CROQUIS!$C$91=1,CROQUIS!$C$130&gt;0),((CROQUIS!$C$156+(IF(CROQUIS!$C$92="X",CHOOSE(IF(INT(($A133-1)/5)&gt;MAX((MIN(80,MAX(1,INT(((CROQUIS!$C$98)-CROQUIS!$C$107)/MAX(CROQUIS!$C$130,1))+1)))-1,0),0,MOD($A133-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133-1)/5),MAX((MIN(80,MAX(1,INT(((CROQUIS!$C$98)-CROQUIS!$C$107)/MAX(CROQUIS!$C$130,1))+1)))-1,0))*CROQUIS!$C$130)))*CROQUIS!$C$155)+IF(CROQUIS!$C$92="X",0,0)),-1000)</f>
        <v>-1000</v>
      </c>
      <c r="BU133">
        <f>IF(AND(CROQUIS!$C$88=1,CROQUIS!$C$91=1,CROQUIS!$C$130&gt;0),((CROQUIS!$C$157+(IF(CROQUIS!$C$92="X",((CROQUIS!$C$107/2+(((CROQUIS!$C$98)-CROQUIS!$C$107)-(MIN(80,MAX(1,INT(((CROQUIS!$C$98)-CROQUIS!$C$107)/MAX(CROQUIS!$C$130,1))+1))-1)*CROQUIS!$C$130)/2)+MIN(INT(($A133-1)/5),MAX((MIN(80,MAX(1,INT(((CROQUIS!$C$98)-CROQUIS!$C$107)/MAX(CROQUIS!$C$130,1))+1)))-1,0))*CROQUIS!$C$130),CHOOSE(IF(INT(($A133-1)/5)&gt;MAX((MIN(80,MAX(1,INT(((CROQUIS!$C$98)-CROQUIS!$C$107)/MAX(CROQUIS!$C$130,1))+1)))-1,0),0,MOD($A133-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34">
      <c r="A134" t="n">
        <v>127</v>
      </c>
      <c r="BH134">
        <f>IF(AND(CROQUIS!$C$88=1,CROQUIS!$C$126&gt;0),((CROQUIS!$C$156+(IF(CROQUIS!$C$92="X",CHOOSE(IF(INT(($A134-1)/5)&gt;MAX((MIN(80,MAX(1,INT(((CROQUIS!$C$98)-CROQUIS!$C$107)/MAX(CROQUIS!$C$126,1))+1)))-1,0),0,MOD($A134-1,5))+1,0,2,CROQUIS!$C$97-2,2,0),((CROQUIS!$C$107/2+(((CROQUIS!$C$98)-CROQUIS!$C$107)-(MIN(80,MAX(1,INT(((CROQUIS!$C$98)-CROQUIS!$C$107)/MAX(CROQUIS!$C$126,1))+1))-1)*CROQUIS!$C$126)/2)+MIN(INT(($A134-1)/5),MAX((MIN(80,MAX(1,INT(((CROQUIS!$C$98)-CROQUIS!$C$107)/MAX(CROQUIS!$C$126,1))+1)))-1,0))*CROQUIS!$C$126)))*CROQUIS!$C$155)+IF(CROQUIS!$C$92="X",0,0)),-1000)</f>
        <v>-1000</v>
      </c>
      <c r="BI134">
        <f>IF(AND(CROQUIS!$C$88=1,CROQUIS!$C$126&gt;0),((CROQUIS!$C$157+(IF(CROQUIS!$C$92="X",((CROQUIS!$C$107/2+(((CROQUIS!$C$98)-CROQUIS!$C$107)-(MIN(80,MAX(1,INT(((CROQUIS!$C$98)-CROQUIS!$C$107)/MAX(CROQUIS!$C$126,1))+1))-1)*CROQUIS!$C$126)/2)+MIN(INT(($A134-1)/5),MAX((MIN(80,MAX(1,INT(((CROQUIS!$C$98)-CROQUIS!$C$107)/MAX(CROQUIS!$C$126,1))+1)))-1,0))*CROQUIS!$C$126),CHOOSE(IF(INT(($A134-1)/5)&gt;MAX((MIN(80,MAX(1,INT(((CROQUIS!$C$98)-CROQUIS!$C$107)/MAX(CROQUIS!$C$126,1))+1)))-1,0),0,MOD($A134-1,5))+1,0,2,CROQUIS!$C$97-2,2,0)))*CROQUIS!$C$155)+IF(CROQUIS!$C$92="X",0,0)),-1000)</f>
        <v>-1000</v>
      </c>
      <c r="BJ134">
        <f>IF(AND(CROQUIS!$C$88=1,CROQUIS!$C$134&gt;0),((CROQUIS!$C$156+(IF(CROQUIS!$C$92="X",((CROQUIS!$C$107/2+(((CROQUIS!$C$97)-CROQUIS!$C$107)-(MIN(80,MAX(1,INT(((CROQUIS!$C$97)-CROQUIS!$C$107)/MAX(CROQUIS!$C$134,1))+1))-1)*CROQUIS!$C$134)/2)+MIN(INT(($A134-1)/5),MAX((MIN(80,MAX(1,INT(((CROQUIS!$C$97)-CROQUIS!$C$107)/MAX(CROQUIS!$C$134,1))+1)))-1,0))*CROQUIS!$C$134),CHOOSE(IF(INT(($A134-1)/5)&gt;MAX((MIN(80,MAX(1,INT(((CROQUIS!$C$97)-CROQUIS!$C$107)/MAX(CROQUIS!$C$134,1))+1)))-1,0),0,MOD($A134-1,5))+1,0,2,CROQUIS!$C$98-2,2,0)))*CROQUIS!$C$155)+IF(CROQUIS!$C$92="X",0,0)),-1000)</f>
        <v>-1000</v>
      </c>
      <c r="BK134">
        <f>IF(AND(CROQUIS!$C$88=1,CROQUIS!$C$134&gt;0),((CROQUIS!$C$157+(IF(CROQUIS!$C$92="X",CHOOSE(IF(INT(($A134-1)/5)&gt;MAX((MIN(80,MAX(1,INT(((CROQUIS!$C$97)-CROQUIS!$C$107)/MAX(CROQUIS!$C$134,1))+1)))-1,0),0,MOD($A134-1,5))+1,0,2,CROQUIS!$C$98-2,2,0),((CROQUIS!$C$107/2+(((CROQUIS!$C$97)-CROQUIS!$C$107)-(MIN(80,MAX(1,INT(((CROQUIS!$C$97)-CROQUIS!$C$107)/MAX(CROQUIS!$C$134,1))+1))-1)*CROQUIS!$C$134)/2)+MIN(INT(($A134-1)/5),MAX((MIN(80,MAX(1,INT(((CROQUIS!$C$97)-CROQUIS!$C$107)/MAX(CROQUIS!$C$134,1))+1)))-1,0))*CROQUIS!$C$134)))*CROQUIS!$C$155)+IF(CROQUIS!$C$92="X",0,0)),-1000)</f>
        <v>-1000</v>
      </c>
      <c r="BL134">
        <f>IF(AND(CROQUIS!$C$88=1,CROQUIS!$C$91=0,CROQUIS!$C$130&gt;0,OR(CROQUIS!$C$103=1,CROQUIS!$C$142=1)),((CROQUIS!$C$156+(IF(CROQUIS!$C$92="X",CHOOSE(IF(INT(($A134-1)/5)&gt;MAX((MIN(80,MAX(1,INT(((CROQUIS!$C$98)-CROQUIS!$C$107)/MAX(CROQUIS!$C$130,1))+1)))-1,0),0,MOD($A134-1,5))+1,0,IF(CROQUIS!$C$103=1,-12,2),CROQUIS!$C$107/2+CROQUIS!$C$140,IF(CROQUIS!$C$103=1,-12,2),0),((CROQUIS!$C$107/2+(((CROQUIS!$C$98)-CROQUIS!$C$107)-(MIN(80,MAX(1,INT(((CROQUIS!$C$98)-CROQUIS!$C$107)/MAX(CROQUIS!$C$130,1))+1))-1)*CROQUIS!$C$130)/2)+MIN(INT(($A134-1)/5),MAX((MIN(80,MAX(1,INT(((CROQUIS!$C$98)-CROQUIS!$C$107)/MAX(CROQUIS!$C$130,1))+1)))-1,0))*CROQUIS!$C$130)))*CROQUIS!$C$155)+IF(CROQUIS!$C$92="X",0,0)),-1000)</f>
        <v>-1000</v>
      </c>
      <c r="BM13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134-1)/5),MAX((MIN(80,MAX(1,INT(((CROQUIS!$C$98)-CROQUIS!$C$107)/MAX(CROQUIS!$C$130,1))+1)))-1,0))*CROQUIS!$C$130),CHOOSE(IF(INT(($A134-1)/5)&gt;MAX((MIN(80,MAX(1,INT(((CROQUIS!$C$98)-CROQUIS!$C$107)/MAX(CROQUIS!$C$130,1))+1)))-1,0),0,MOD($A134-1,5))+1,0,IF(CROQUIS!$C$103=1,-12,2),CROQUIS!$C$107/2+CROQUIS!$C$140,IF(CROQUIS!$C$103=1,-12,2),0)))*CROQUIS!$C$155)+IF(CROQUIS!$C$92="X",0,0)),-1000)</f>
        <v>-1000</v>
      </c>
      <c r="BN134">
        <f>IF(AND(CROQUIS!$C$88=1,CROQUIS!$C$91=0,CROQUIS!$C$130&gt;0,OR(CROQUIS!$C$104=1,CROQUIS!$C$142=1)),((CROQUIS!$C$156+(IF(CROQUIS!$C$92="X",CHOOSE(IF(INT(($A134-1)/5)&gt;MAX((MIN(80,MAX(1,INT(((CROQUIS!$C$98)-CROQUIS!$C$107)/MAX(CROQUIS!$C$130,1))+1)))-1,0),0,MOD($A134-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134-1)/5),MAX((MIN(80,MAX(1,INT(((CROQUIS!$C$98)-CROQUIS!$C$107)/MAX(CROQUIS!$C$130,1))+1)))-1,0))*CROQUIS!$C$130)))*CROQUIS!$C$155)+IF(CROQUIS!$C$92="X",0,0)),-1000)</f>
        <v>-1000</v>
      </c>
      <c r="BO13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134-1)/5),MAX((MIN(80,MAX(1,INT(((CROQUIS!$C$98)-CROQUIS!$C$107)/MAX(CROQUIS!$C$130,1))+1)))-1,0))*CROQUIS!$C$130),CHOOSE(IF(INT(($A134-1)/5)&gt;MAX((MIN(80,MAX(1,INT(((CROQUIS!$C$98)-CROQUIS!$C$107)/MAX(CROQUIS!$C$130,1))+1)))-1,0),0,MOD($A134-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3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134-1)/5),MAX((MIN(80,MAX(1,INT(((CROQUIS!$C$97)-CROQUIS!$C$107)/MAX(CROQUIS!$C$138,1))+1)))-1,0))*CROQUIS!$C$138),CHOOSE(IF(INT(($A134-1)/5)&gt;MAX((MIN(80,MAX(1,INT(((CROQUIS!$C$97)-CROQUIS!$C$107)/MAX(CROQUIS!$C$138,1))+1)))-1,0),0,MOD($A134-1,5))+1,0,IF(CROQUIS!$C$105=1,-12,2),CROQUIS!$C$107/2+CROQUIS!$C$141,IF(CROQUIS!$C$105=1,-12,2),0)))*CROQUIS!$C$155)+IF(CROQUIS!$C$92="X",0,0)),-1000)</f>
        <v>-1000</v>
      </c>
      <c r="BQ134">
        <f>IF(AND(CROQUIS!$C$88=1,CROQUIS!$C$91=0,CROQUIS!$C$138&gt;0,OR(CROQUIS!$C$105=1,CROQUIS!$C$143=1)),((CROQUIS!$C$157+(IF(CROQUIS!$C$92="X",CHOOSE(IF(INT(($A134-1)/5)&gt;MAX((MIN(80,MAX(1,INT(((CROQUIS!$C$97)-CROQUIS!$C$107)/MAX(CROQUIS!$C$138,1))+1)))-1,0),0,MOD($A134-1,5))+1,0,IF(CROQUIS!$C$105=1,-12,2),CROQUIS!$C$107/2+CROQUIS!$C$141,IF(CROQUIS!$C$105=1,-12,2),0),((CROQUIS!$C$107/2+(((CROQUIS!$C$97)-CROQUIS!$C$107)-(MIN(80,MAX(1,INT(((CROQUIS!$C$97)-CROQUIS!$C$107)/MAX(CROQUIS!$C$138,1))+1))-1)*CROQUIS!$C$138)/2)+MIN(INT(($A134-1)/5),MAX((MIN(80,MAX(1,INT(((CROQUIS!$C$97)-CROQUIS!$C$107)/MAX(CROQUIS!$C$138,1))+1)))-1,0))*CROQUIS!$C$138)))*CROQUIS!$C$155)+IF(CROQUIS!$C$92="X",0,0)),-1000)</f>
        <v>-1000</v>
      </c>
      <c r="BR13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134-1)/5),MAX((MIN(80,MAX(1,INT(((CROQUIS!$C$97)-CROQUIS!$C$107)/MAX(CROQUIS!$C$138,1))+1)))-1,0))*CROQUIS!$C$138),CHOOSE(IF(INT(($A134-1)/5)&gt;MAX((MIN(80,MAX(1,INT(((CROQUIS!$C$97)-CROQUIS!$C$107)/MAX(CROQUIS!$C$138,1))+1)))-1,0),0,MOD($A134-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34">
        <f>IF(AND(CROQUIS!$C$88=1,CROQUIS!$C$91=0,CROQUIS!$C$138&gt;0,OR(CROQUIS!$C$106=1,CROQUIS!$C$143=1)),((CROQUIS!$C$157+(IF(CROQUIS!$C$92="X",CHOOSE(IF(INT(($A134-1)/5)&gt;MAX((MIN(80,MAX(1,INT(((CROQUIS!$C$97)-CROQUIS!$C$107)/MAX(CROQUIS!$C$138,1))+1)))-1,0),0,MOD($A134-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134-1)/5),MAX((MIN(80,MAX(1,INT(((CROQUIS!$C$97)-CROQUIS!$C$107)/MAX(CROQUIS!$C$138,1))+1)))-1,0))*CROQUIS!$C$138)))*CROQUIS!$C$155)+IF(CROQUIS!$C$92="X",0,0)),-1000)</f>
        <v>-1000</v>
      </c>
      <c r="BT134">
        <f>IF(AND(CROQUIS!$C$88=1,CROQUIS!$C$91=1,CROQUIS!$C$130&gt;0),((CROQUIS!$C$156+(IF(CROQUIS!$C$92="X",CHOOSE(IF(INT(($A134-1)/5)&gt;MAX((MIN(80,MAX(1,INT(((CROQUIS!$C$98)-CROQUIS!$C$107)/MAX(CROQUIS!$C$130,1))+1)))-1,0),0,MOD($A134-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134-1)/5),MAX((MIN(80,MAX(1,INT(((CROQUIS!$C$98)-CROQUIS!$C$107)/MAX(CROQUIS!$C$130,1))+1)))-1,0))*CROQUIS!$C$130)))*CROQUIS!$C$155)+IF(CROQUIS!$C$92="X",0,0)),-1000)</f>
        <v>-1000</v>
      </c>
      <c r="BU134">
        <f>IF(AND(CROQUIS!$C$88=1,CROQUIS!$C$91=1,CROQUIS!$C$130&gt;0),((CROQUIS!$C$157+(IF(CROQUIS!$C$92="X",((CROQUIS!$C$107/2+(((CROQUIS!$C$98)-CROQUIS!$C$107)-(MIN(80,MAX(1,INT(((CROQUIS!$C$98)-CROQUIS!$C$107)/MAX(CROQUIS!$C$130,1))+1))-1)*CROQUIS!$C$130)/2)+MIN(INT(($A134-1)/5),MAX((MIN(80,MAX(1,INT(((CROQUIS!$C$98)-CROQUIS!$C$107)/MAX(CROQUIS!$C$130,1))+1)))-1,0))*CROQUIS!$C$130),CHOOSE(IF(INT(($A134-1)/5)&gt;MAX((MIN(80,MAX(1,INT(((CROQUIS!$C$98)-CROQUIS!$C$107)/MAX(CROQUIS!$C$130,1))+1)))-1,0),0,MOD($A134-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35">
      <c r="A135" t="n">
        <v>128</v>
      </c>
      <c r="BH135">
        <f>IF(AND(CROQUIS!$C$88=1,CROQUIS!$C$126&gt;0),((CROQUIS!$C$156+(IF(CROQUIS!$C$92="X",CHOOSE(IF(INT(($A135-1)/5)&gt;MAX((MIN(80,MAX(1,INT(((CROQUIS!$C$98)-CROQUIS!$C$107)/MAX(CROQUIS!$C$126,1))+1)))-1,0),0,MOD($A135-1,5))+1,0,2,CROQUIS!$C$97-2,2,0),((CROQUIS!$C$107/2+(((CROQUIS!$C$98)-CROQUIS!$C$107)-(MIN(80,MAX(1,INT(((CROQUIS!$C$98)-CROQUIS!$C$107)/MAX(CROQUIS!$C$126,1))+1))-1)*CROQUIS!$C$126)/2)+MIN(INT(($A135-1)/5),MAX((MIN(80,MAX(1,INT(((CROQUIS!$C$98)-CROQUIS!$C$107)/MAX(CROQUIS!$C$126,1))+1)))-1,0))*CROQUIS!$C$126)))*CROQUIS!$C$155)+IF(CROQUIS!$C$92="X",0,0)),-1000)</f>
        <v>-1000</v>
      </c>
      <c r="BI135">
        <f>IF(AND(CROQUIS!$C$88=1,CROQUIS!$C$126&gt;0),((CROQUIS!$C$157+(IF(CROQUIS!$C$92="X",((CROQUIS!$C$107/2+(((CROQUIS!$C$98)-CROQUIS!$C$107)-(MIN(80,MAX(1,INT(((CROQUIS!$C$98)-CROQUIS!$C$107)/MAX(CROQUIS!$C$126,1))+1))-1)*CROQUIS!$C$126)/2)+MIN(INT(($A135-1)/5),MAX((MIN(80,MAX(1,INT(((CROQUIS!$C$98)-CROQUIS!$C$107)/MAX(CROQUIS!$C$126,1))+1)))-1,0))*CROQUIS!$C$126),CHOOSE(IF(INT(($A135-1)/5)&gt;MAX((MIN(80,MAX(1,INT(((CROQUIS!$C$98)-CROQUIS!$C$107)/MAX(CROQUIS!$C$126,1))+1)))-1,0),0,MOD($A135-1,5))+1,0,2,CROQUIS!$C$97-2,2,0)))*CROQUIS!$C$155)+IF(CROQUIS!$C$92="X",0,0)),-1000)</f>
        <v>-1000</v>
      </c>
      <c r="BJ135">
        <f>IF(AND(CROQUIS!$C$88=1,CROQUIS!$C$134&gt;0),((CROQUIS!$C$156+(IF(CROQUIS!$C$92="X",((CROQUIS!$C$107/2+(((CROQUIS!$C$97)-CROQUIS!$C$107)-(MIN(80,MAX(1,INT(((CROQUIS!$C$97)-CROQUIS!$C$107)/MAX(CROQUIS!$C$134,1))+1))-1)*CROQUIS!$C$134)/2)+MIN(INT(($A135-1)/5),MAX((MIN(80,MAX(1,INT(((CROQUIS!$C$97)-CROQUIS!$C$107)/MAX(CROQUIS!$C$134,1))+1)))-1,0))*CROQUIS!$C$134),CHOOSE(IF(INT(($A135-1)/5)&gt;MAX((MIN(80,MAX(1,INT(((CROQUIS!$C$97)-CROQUIS!$C$107)/MAX(CROQUIS!$C$134,1))+1)))-1,0),0,MOD($A135-1,5))+1,0,2,CROQUIS!$C$98-2,2,0)))*CROQUIS!$C$155)+IF(CROQUIS!$C$92="X",0,0)),-1000)</f>
        <v>-1000</v>
      </c>
      <c r="BK135">
        <f>IF(AND(CROQUIS!$C$88=1,CROQUIS!$C$134&gt;0),((CROQUIS!$C$157+(IF(CROQUIS!$C$92="X",CHOOSE(IF(INT(($A135-1)/5)&gt;MAX((MIN(80,MAX(1,INT(((CROQUIS!$C$97)-CROQUIS!$C$107)/MAX(CROQUIS!$C$134,1))+1)))-1,0),0,MOD($A135-1,5))+1,0,2,CROQUIS!$C$98-2,2,0),((CROQUIS!$C$107/2+(((CROQUIS!$C$97)-CROQUIS!$C$107)-(MIN(80,MAX(1,INT(((CROQUIS!$C$97)-CROQUIS!$C$107)/MAX(CROQUIS!$C$134,1))+1))-1)*CROQUIS!$C$134)/2)+MIN(INT(($A135-1)/5),MAX((MIN(80,MAX(1,INT(((CROQUIS!$C$97)-CROQUIS!$C$107)/MAX(CROQUIS!$C$134,1))+1)))-1,0))*CROQUIS!$C$134)))*CROQUIS!$C$155)+IF(CROQUIS!$C$92="X",0,0)),-1000)</f>
        <v>-1000</v>
      </c>
      <c r="BL135">
        <f>IF(AND(CROQUIS!$C$88=1,CROQUIS!$C$91=0,CROQUIS!$C$130&gt;0,OR(CROQUIS!$C$103=1,CROQUIS!$C$142=1)),((CROQUIS!$C$156+(IF(CROQUIS!$C$92="X",CHOOSE(IF(INT(($A135-1)/5)&gt;MAX((MIN(80,MAX(1,INT(((CROQUIS!$C$98)-CROQUIS!$C$107)/MAX(CROQUIS!$C$130,1))+1)))-1,0),0,MOD($A135-1,5))+1,0,IF(CROQUIS!$C$103=1,-12,2),CROQUIS!$C$107/2+CROQUIS!$C$140,IF(CROQUIS!$C$103=1,-12,2),0),((CROQUIS!$C$107/2+(((CROQUIS!$C$98)-CROQUIS!$C$107)-(MIN(80,MAX(1,INT(((CROQUIS!$C$98)-CROQUIS!$C$107)/MAX(CROQUIS!$C$130,1))+1))-1)*CROQUIS!$C$130)/2)+MIN(INT(($A135-1)/5),MAX((MIN(80,MAX(1,INT(((CROQUIS!$C$98)-CROQUIS!$C$107)/MAX(CROQUIS!$C$130,1))+1)))-1,0))*CROQUIS!$C$130)))*CROQUIS!$C$155)+IF(CROQUIS!$C$92="X",0,0)),-1000)</f>
        <v>-1000</v>
      </c>
      <c r="BM13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135-1)/5),MAX((MIN(80,MAX(1,INT(((CROQUIS!$C$98)-CROQUIS!$C$107)/MAX(CROQUIS!$C$130,1))+1)))-1,0))*CROQUIS!$C$130),CHOOSE(IF(INT(($A135-1)/5)&gt;MAX((MIN(80,MAX(1,INT(((CROQUIS!$C$98)-CROQUIS!$C$107)/MAX(CROQUIS!$C$130,1))+1)))-1,0),0,MOD($A135-1,5))+1,0,IF(CROQUIS!$C$103=1,-12,2),CROQUIS!$C$107/2+CROQUIS!$C$140,IF(CROQUIS!$C$103=1,-12,2),0)))*CROQUIS!$C$155)+IF(CROQUIS!$C$92="X",0,0)),-1000)</f>
        <v>-1000</v>
      </c>
      <c r="BN135">
        <f>IF(AND(CROQUIS!$C$88=1,CROQUIS!$C$91=0,CROQUIS!$C$130&gt;0,OR(CROQUIS!$C$104=1,CROQUIS!$C$142=1)),((CROQUIS!$C$156+(IF(CROQUIS!$C$92="X",CHOOSE(IF(INT(($A135-1)/5)&gt;MAX((MIN(80,MAX(1,INT(((CROQUIS!$C$98)-CROQUIS!$C$107)/MAX(CROQUIS!$C$130,1))+1)))-1,0),0,MOD($A135-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135-1)/5),MAX((MIN(80,MAX(1,INT(((CROQUIS!$C$98)-CROQUIS!$C$107)/MAX(CROQUIS!$C$130,1))+1)))-1,0))*CROQUIS!$C$130)))*CROQUIS!$C$155)+IF(CROQUIS!$C$92="X",0,0)),-1000)</f>
        <v>-1000</v>
      </c>
      <c r="BO13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135-1)/5),MAX((MIN(80,MAX(1,INT(((CROQUIS!$C$98)-CROQUIS!$C$107)/MAX(CROQUIS!$C$130,1))+1)))-1,0))*CROQUIS!$C$130),CHOOSE(IF(INT(($A135-1)/5)&gt;MAX((MIN(80,MAX(1,INT(((CROQUIS!$C$98)-CROQUIS!$C$107)/MAX(CROQUIS!$C$130,1))+1)))-1,0),0,MOD($A135-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3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135-1)/5),MAX((MIN(80,MAX(1,INT(((CROQUIS!$C$97)-CROQUIS!$C$107)/MAX(CROQUIS!$C$138,1))+1)))-1,0))*CROQUIS!$C$138),CHOOSE(IF(INT(($A135-1)/5)&gt;MAX((MIN(80,MAX(1,INT(((CROQUIS!$C$97)-CROQUIS!$C$107)/MAX(CROQUIS!$C$138,1))+1)))-1,0),0,MOD($A135-1,5))+1,0,IF(CROQUIS!$C$105=1,-12,2),CROQUIS!$C$107/2+CROQUIS!$C$141,IF(CROQUIS!$C$105=1,-12,2),0)))*CROQUIS!$C$155)+IF(CROQUIS!$C$92="X",0,0)),-1000)</f>
        <v>-1000</v>
      </c>
      <c r="BQ135">
        <f>IF(AND(CROQUIS!$C$88=1,CROQUIS!$C$91=0,CROQUIS!$C$138&gt;0,OR(CROQUIS!$C$105=1,CROQUIS!$C$143=1)),((CROQUIS!$C$157+(IF(CROQUIS!$C$92="X",CHOOSE(IF(INT(($A135-1)/5)&gt;MAX((MIN(80,MAX(1,INT(((CROQUIS!$C$97)-CROQUIS!$C$107)/MAX(CROQUIS!$C$138,1))+1)))-1,0),0,MOD($A135-1,5))+1,0,IF(CROQUIS!$C$105=1,-12,2),CROQUIS!$C$107/2+CROQUIS!$C$141,IF(CROQUIS!$C$105=1,-12,2),0),((CROQUIS!$C$107/2+(((CROQUIS!$C$97)-CROQUIS!$C$107)-(MIN(80,MAX(1,INT(((CROQUIS!$C$97)-CROQUIS!$C$107)/MAX(CROQUIS!$C$138,1))+1))-1)*CROQUIS!$C$138)/2)+MIN(INT(($A135-1)/5),MAX((MIN(80,MAX(1,INT(((CROQUIS!$C$97)-CROQUIS!$C$107)/MAX(CROQUIS!$C$138,1))+1)))-1,0))*CROQUIS!$C$138)))*CROQUIS!$C$155)+IF(CROQUIS!$C$92="X",0,0)),-1000)</f>
        <v>-1000</v>
      </c>
      <c r="BR13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135-1)/5),MAX((MIN(80,MAX(1,INT(((CROQUIS!$C$97)-CROQUIS!$C$107)/MAX(CROQUIS!$C$138,1))+1)))-1,0))*CROQUIS!$C$138),CHOOSE(IF(INT(($A135-1)/5)&gt;MAX((MIN(80,MAX(1,INT(((CROQUIS!$C$97)-CROQUIS!$C$107)/MAX(CROQUIS!$C$138,1))+1)))-1,0),0,MOD($A135-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35">
        <f>IF(AND(CROQUIS!$C$88=1,CROQUIS!$C$91=0,CROQUIS!$C$138&gt;0,OR(CROQUIS!$C$106=1,CROQUIS!$C$143=1)),((CROQUIS!$C$157+(IF(CROQUIS!$C$92="X",CHOOSE(IF(INT(($A135-1)/5)&gt;MAX((MIN(80,MAX(1,INT(((CROQUIS!$C$97)-CROQUIS!$C$107)/MAX(CROQUIS!$C$138,1))+1)))-1,0),0,MOD($A135-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135-1)/5),MAX((MIN(80,MAX(1,INT(((CROQUIS!$C$97)-CROQUIS!$C$107)/MAX(CROQUIS!$C$138,1))+1)))-1,0))*CROQUIS!$C$138)))*CROQUIS!$C$155)+IF(CROQUIS!$C$92="X",0,0)),-1000)</f>
        <v>-1000</v>
      </c>
      <c r="BT135">
        <f>IF(AND(CROQUIS!$C$88=1,CROQUIS!$C$91=1,CROQUIS!$C$130&gt;0),((CROQUIS!$C$156+(IF(CROQUIS!$C$92="X",CHOOSE(IF(INT(($A135-1)/5)&gt;MAX((MIN(80,MAX(1,INT(((CROQUIS!$C$98)-CROQUIS!$C$107)/MAX(CROQUIS!$C$130,1))+1)))-1,0),0,MOD($A135-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135-1)/5),MAX((MIN(80,MAX(1,INT(((CROQUIS!$C$98)-CROQUIS!$C$107)/MAX(CROQUIS!$C$130,1))+1)))-1,0))*CROQUIS!$C$130)))*CROQUIS!$C$155)+IF(CROQUIS!$C$92="X",0,0)),-1000)</f>
        <v>-1000</v>
      </c>
      <c r="BU135">
        <f>IF(AND(CROQUIS!$C$88=1,CROQUIS!$C$91=1,CROQUIS!$C$130&gt;0),((CROQUIS!$C$157+(IF(CROQUIS!$C$92="X",((CROQUIS!$C$107/2+(((CROQUIS!$C$98)-CROQUIS!$C$107)-(MIN(80,MAX(1,INT(((CROQUIS!$C$98)-CROQUIS!$C$107)/MAX(CROQUIS!$C$130,1))+1))-1)*CROQUIS!$C$130)/2)+MIN(INT(($A135-1)/5),MAX((MIN(80,MAX(1,INT(((CROQUIS!$C$98)-CROQUIS!$C$107)/MAX(CROQUIS!$C$130,1))+1)))-1,0))*CROQUIS!$C$130),CHOOSE(IF(INT(($A135-1)/5)&gt;MAX((MIN(80,MAX(1,INT(((CROQUIS!$C$98)-CROQUIS!$C$107)/MAX(CROQUIS!$C$130,1))+1)))-1,0),0,MOD($A135-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36">
      <c r="A136" t="n">
        <v>129</v>
      </c>
      <c r="BH136">
        <f>IF(AND(CROQUIS!$C$88=1,CROQUIS!$C$126&gt;0),((CROQUIS!$C$156+(IF(CROQUIS!$C$92="X",CHOOSE(IF(INT(($A136-1)/5)&gt;MAX((MIN(80,MAX(1,INT(((CROQUIS!$C$98)-CROQUIS!$C$107)/MAX(CROQUIS!$C$126,1))+1)))-1,0),0,MOD($A136-1,5))+1,0,2,CROQUIS!$C$97-2,2,0),((CROQUIS!$C$107/2+(((CROQUIS!$C$98)-CROQUIS!$C$107)-(MIN(80,MAX(1,INT(((CROQUIS!$C$98)-CROQUIS!$C$107)/MAX(CROQUIS!$C$126,1))+1))-1)*CROQUIS!$C$126)/2)+MIN(INT(($A136-1)/5),MAX((MIN(80,MAX(1,INT(((CROQUIS!$C$98)-CROQUIS!$C$107)/MAX(CROQUIS!$C$126,1))+1)))-1,0))*CROQUIS!$C$126)))*CROQUIS!$C$155)+IF(CROQUIS!$C$92="X",0,0)),-1000)</f>
        <v>-1000</v>
      </c>
      <c r="BI136">
        <f>IF(AND(CROQUIS!$C$88=1,CROQUIS!$C$126&gt;0),((CROQUIS!$C$157+(IF(CROQUIS!$C$92="X",((CROQUIS!$C$107/2+(((CROQUIS!$C$98)-CROQUIS!$C$107)-(MIN(80,MAX(1,INT(((CROQUIS!$C$98)-CROQUIS!$C$107)/MAX(CROQUIS!$C$126,1))+1))-1)*CROQUIS!$C$126)/2)+MIN(INT(($A136-1)/5),MAX((MIN(80,MAX(1,INT(((CROQUIS!$C$98)-CROQUIS!$C$107)/MAX(CROQUIS!$C$126,1))+1)))-1,0))*CROQUIS!$C$126),CHOOSE(IF(INT(($A136-1)/5)&gt;MAX((MIN(80,MAX(1,INT(((CROQUIS!$C$98)-CROQUIS!$C$107)/MAX(CROQUIS!$C$126,1))+1)))-1,0),0,MOD($A136-1,5))+1,0,2,CROQUIS!$C$97-2,2,0)))*CROQUIS!$C$155)+IF(CROQUIS!$C$92="X",0,0)),-1000)</f>
        <v>-1000</v>
      </c>
      <c r="BJ136">
        <f>IF(AND(CROQUIS!$C$88=1,CROQUIS!$C$134&gt;0),((CROQUIS!$C$156+(IF(CROQUIS!$C$92="X",((CROQUIS!$C$107/2+(((CROQUIS!$C$97)-CROQUIS!$C$107)-(MIN(80,MAX(1,INT(((CROQUIS!$C$97)-CROQUIS!$C$107)/MAX(CROQUIS!$C$134,1))+1))-1)*CROQUIS!$C$134)/2)+MIN(INT(($A136-1)/5),MAX((MIN(80,MAX(1,INT(((CROQUIS!$C$97)-CROQUIS!$C$107)/MAX(CROQUIS!$C$134,1))+1)))-1,0))*CROQUIS!$C$134),CHOOSE(IF(INT(($A136-1)/5)&gt;MAX((MIN(80,MAX(1,INT(((CROQUIS!$C$97)-CROQUIS!$C$107)/MAX(CROQUIS!$C$134,1))+1)))-1,0),0,MOD($A136-1,5))+1,0,2,CROQUIS!$C$98-2,2,0)))*CROQUIS!$C$155)+IF(CROQUIS!$C$92="X",0,0)),-1000)</f>
        <v>-1000</v>
      </c>
      <c r="BK136">
        <f>IF(AND(CROQUIS!$C$88=1,CROQUIS!$C$134&gt;0),((CROQUIS!$C$157+(IF(CROQUIS!$C$92="X",CHOOSE(IF(INT(($A136-1)/5)&gt;MAX((MIN(80,MAX(1,INT(((CROQUIS!$C$97)-CROQUIS!$C$107)/MAX(CROQUIS!$C$134,1))+1)))-1,0),0,MOD($A136-1,5))+1,0,2,CROQUIS!$C$98-2,2,0),((CROQUIS!$C$107/2+(((CROQUIS!$C$97)-CROQUIS!$C$107)-(MIN(80,MAX(1,INT(((CROQUIS!$C$97)-CROQUIS!$C$107)/MAX(CROQUIS!$C$134,1))+1))-1)*CROQUIS!$C$134)/2)+MIN(INT(($A136-1)/5),MAX((MIN(80,MAX(1,INT(((CROQUIS!$C$97)-CROQUIS!$C$107)/MAX(CROQUIS!$C$134,1))+1)))-1,0))*CROQUIS!$C$134)))*CROQUIS!$C$155)+IF(CROQUIS!$C$92="X",0,0)),-1000)</f>
        <v>-1000</v>
      </c>
      <c r="BL136">
        <f>IF(AND(CROQUIS!$C$88=1,CROQUIS!$C$91=0,CROQUIS!$C$130&gt;0,OR(CROQUIS!$C$103=1,CROQUIS!$C$142=1)),((CROQUIS!$C$156+(IF(CROQUIS!$C$92="X",CHOOSE(IF(INT(($A136-1)/5)&gt;MAX((MIN(80,MAX(1,INT(((CROQUIS!$C$98)-CROQUIS!$C$107)/MAX(CROQUIS!$C$130,1))+1)))-1,0),0,MOD($A136-1,5))+1,0,IF(CROQUIS!$C$103=1,-12,2),CROQUIS!$C$107/2+CROQUIS!$C$140,IF(CROQUIS!$C$103=1,-12,2),0),((CROQUIS!$C$107/2+(((CROQUIS!$C$98)-CROQUIS!$C$107)-(MIN(80,MAX(1,INT(((CROQUIS!$C$98)-CROQUIS!$C$107)/MAX(CROQUIS!$C$130,1))+1))-1)*CROQUIS!$C$130)/2)+MIN(INT(($A136-1)/5),MAX((MIN(80,MAX(1,INT(((CROQUIS!$C$98)-CROQUIS!$C$107)/MAX(CROQUIS!$C$130,1))+1)))-1,0))*CROQUIS!$C$130)))*CROQUIS!$C$155)+IF(CROQUIS!$C$92="X",0,0)),-1000)</f>
        <v>-1000</v>
      </c>
      <c r="BM13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136-1)/5),MAX((MIN(80,MAX(1,INT(((CROQUIS!$C$98)-CROQUIS!$C$107)/MAX(CROQUIS!$C$130,1))+1)))-1,0))*CROQUIS!$C$130),CHOOSE(IF(INT(($A136-1)/5)&gt;MAX((MIN(80,MAX(1,INT(((CROQUIS!$C$98)-CROQUIS!$C$107)/MAX(CROQUIS!$C$130,1))+1)))-1,0),0,MOD($A136-1,5))+1,0,IF(CROQUIS!$C$103=1,-12,2),CROQUIS!$C$107/2+CROQUIS!$C$140,IF(CROQUIS!$C$103=1,-12,2),0)))*CROQUIS!$C$155)+IF(CROQUIS!$C$92="X",0,0)),-1000)</f>
        <v>-1000</v>
      </c>
      <c r="BN136">
        <f>IF(AND(CROQUIS!$C$88=1,CROQUIS!$C$91=0,CROQUIS!$C$130&gt;0,OR(CROQUIS!$C$104=1,CROQUIS!$C$142=1)),((CROQUIS!$C$156+(IF(CROQUIS!$C$92="X",CHOOSE(IF(INT(($A136-1)/5)&gt;MAX((MIN(80,MAX(1,INT(((CROQUIS!$C$98)-CROQUIS!$C$107)/MAX(CROQUIS!$C$130,1))+1)))-1,0),0,MOD($A136-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136-1)/5),MAX((MIN(80,MAX(1,INT(((CROQUIS!$C$98)-CROQUIS!$C$107)/MAX(CROQUIS!$C$130,1))+1)))-1,0))*CROQUIS!$C$130)))*CROQUIS!$C$155)+IF(CROQUIS!$C$92="X",0,0)),-1000)</f>
        <v>-1000</v>
      </c>
      <c r="BO13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136-1)/5),MAX((MIN(80,MAX(1,INT(((CROQUIS!$C$98)-CROQUIS!$C$107)/MAX(CROQUIS!$C$130,1))+1)))-1,0))*CROQUIS!$C$130),CHOOSE(IF(INT(($A136-1)/5)&gt;MAX((MIN(80,MAX(1,INT(((CROQUIS!$C$98)-CROQUIS!$C$107)/MAX(CROQUIS!$C$130,1))+1)))-1,0),0,MOD($A136-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3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136-1)/5),MAX((MIN(80,MAX(1,INT(((CROQUIS!$C$97)-CROQUIS!$C$107)/MAX(CROQUIS!$C$138,1))+1)))-1,0))*CROQUIS!$C$138),CHOOSE(IF(INT(($A136-1)/5)&gt;MAX((MIN(80,MAX(1,INT(((CROQUIS!$C$97)-CROQUIS!$C$107)/MAX(CROQUIS!$C$138,1))+1)))-1,0),0,MOD($A136-1,5))+1,0,IF(CROQUIS!$C$105=1,-12,2),CROQUIS!$C$107/2+CROQUIS!$C$141,IF(CROQUIS!$C$105=1,-12,2),0)))*CROQUIS!$C$155)+IF(CROQUIS!$C$92="X",0,0)),-1000)</f>
        <v>-1000</v>
      </c>
      <c r="BQ136">
        <f>IF(AND(CROQUIS!$C$88=1,CROQUIS!$C$91=0,CROQUIS!$C$138&gt;0,OR(CROQUIS!$C$105=1,CROQUIS!$C$143=1)),((CROQUIS!$C$157+(IF(CROQUIS!$C$92="X",CHOOSE(IF(INT(($A136-1)/5)&gt;MAX((MIN(80,MAX(1,INT(((CROQUIS!$C$97)-CROQUIS!$C$107)/MAX(CROQUIS!$C$138,1))+1)))-1,0),0,MOD($A136-1,5))+1,0,IF(CROQUIS!$C$105=1,-12,2),CROQUIS!$C$107/2+CROQUIS!$C$141,IF(CROQUIS!$C$105=1,-12,2),0),((CROQUIS!$C$107/2+(((CROQUIS!$C$97)-CROQUIS!$C$107)-(MIN(80,MAX(1,INT(((CROQUIS!$C$97)-CROQUIS!$C$107)/MAX(CROQUIS!$C$138,1))+1))-1)*CROQUIS!$C$138)/2)+MIN(INT(($A136-1)/5),MAX((MIN(80,MAX(1,INT(((CROQUIS!$C$97)-CROQUIS!$C$107)/MAX(CROQUIS!$C$138,1))+1)))-1,0))*CROQUIS!$C$138)))*CROQUIS!$C$155)+IF(CROQUIS!$C$92="X",0,0)),-1000)</f>
        <v>-1000</v>
      </c>
      <c r="BR13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136-1)/5),MAX((MIN(80,MAX(1,INT(((CROQUIS!$C$97)-CROQUIS!$C$107)/MAX(CROQUIS!$C$138,1))+1)))-1,0))*CROQUIS!$C$138),CHOOSE(IF(INT(($A136-1)/5)&gt;MAX((MIN(80,MAX(1,INT(((CROQUIS!$C$97)-CROQUIS!$C$107)/MAX(CROQUIS!$C$138,1))+1)))-1,0),0,MOD($A136-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36">
        <f>IF(AND(CROQUIS!$C$88=1,CROQUIS!$C$91=0,CROQUIS!$C$138&gt;0,OR(CROQUIS!$C$106=1,CROQUIS!$C$143=1)),((CROQUIS!$C$157+(IF(CROQUIS!$C$92="X",CHOOSE(IF(INT(($A136-1)/5)&gt;MAX((MIN(80,MAX(1,INT(((CROQUIS!$C$97)-CROQUIS!$C$107)/MAX(CROQUIS!$C$138,1))+1)))-1,0),0,MOD($A136-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136-1)/5),MAX((MIN(80,MAX(1,INT(((CROQUIS!$C$97)-CROQUIS!$C$107)/MAX(CROQUIS!$C$138,1))+1)))-1,0))*CROQUIS!$C$138)))*CROQUIS!$C$155)+IF(CROQUIS!$C$92="X",0,0)),-1000)</f>
        <v>-1000</v>
      </c>
      <c r="BT136">
        <f>IF(AND(CROQUIS!$C$88=1,CROQUIS!$C$91=1,CROQUIS!$C$130&gt;0),((CROQUIS!$C$156+(IF(CROQUIS!$C$92="X",CHOOSE(IF(INT(($A136-1)/5)&gt;MAX((MIN(80,MAX(1,INT(((CROQUIS!$C$98)-CROQUIS!$C$107)/MAX(CROQUIS!$C$130,1))+1)))-1,0),0,MOD($A136-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136-1)/5),MAX((MIN(80,MAX(1,INT(((CROQUIS!$C$98)-CROQUIS!$C$107)/MAX(CROQUIS!$C$130,1))+1)))-1,0))*CROQUIS!$C$130)))*CROQUIS!$C$155)+IF(CROQUIS!$C$92="X",0,0)),-1000)</f>
        <v>-1000</v>
      </c>
      <c r="BU136">
        <f>IF(AND(CROQUIS!$C$88=1,CROQUIS!$C$91=1,CROQUIS!$C$130&gt;0),((CROQUIS!$C$157+(IF(CROQUIS!$C$92="X",((CROQUIS!$C$107/2+(((CROQUIS!$C$98)-CROQUIS!$C$107)-(MIN(80,MAX(1,INT(((CROQUIS!$C$98)-CROQUIS!$C$107)/MAX(CROQUIS!$C$130,1))+1))-1)*CROQUIS!$C$130)/2)+MIN(INT(($A136-1)/5),MAX((MIN(80,MAX(1,INT(((CROQUIS!$C$98)-CROQUIS!$C$107)/MAX(CROQUIS!$C$130,1))+1)))-1,0))*CROQUIS!$C$130),CHOOSE(IF(INT(($A136-1)/5)&gt;MAX((MIN(80,MAX(1,INT(((CROQUIS!$C$98)-CROQUIS!$C$107)/MAX(CROQUIS!$C$130,1))+1)))-1,0),0,MOD($A136-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37">
      <c r="A137" t="n">
        <v>130</v>
      </c>
      <c r="BH137">
        <f>IF(AND(CROQUIS!$C$88=1,CROQUIS!$C$126&gt;0),((CROQUIS!$C$156+(IF(CROQUIS!$C$92="X",CHOOSE(IF(INT(($A137-1)/5)&gt;MAX((MIN(80,MAX(1,INT(((CROQUIS!$C$98)-CROQUIS!$C$107)/MAX(CROQUIS!$C$126,1))+1)))-1,0),0,MOD($A137-1,5))+1,0,2,CROQUIS!$C$97-2,2,0),((CROQUIS!$C$107/2+(((CROQUIS!$C$98)-CROQUIS!$C$107)-(MIN(80,MAX(1,INT(((CROQUIS!$C$98)-CROQUIS!$C$107)/MAX(CROQUIS!$C$126,1))+1))-1)*CROQUIS!$C$126)/2)+MIN(INT(($A137-1)/5),MAX((MIN(80,MAX(1,INT(((CROQUIS!$C$98)-CROQUIS!$C$107)/MAX(CROQUIS!$C$126,1))+1)))-1,0))*CROQUIS!$C$126)))*CROQUIS!$C$155)+IF(CROQUIS!$C$92="X",0,0)),-1000)</f>
        <v>-1000</v>
      </c>
      <c r="BI137">
        <f>IF(AND(CROQUIS!$C$88=1,CROQUIS!$C$126&gt;0),((CROQUIS!$C$157+(IF(CROQUIS!$C$92="X",((CROQUIS!$C$107/2+(((CROQUIS!$C$98)-CROQUIS!$C$107)-(MIN(80,MAX(1,INT(((CROQUIS!$C$98)-CROQUIS!$C$107)/MAX(CROQUIS!$C$126,1))+1))-1)*CROQUIS!$C$126)/2)+MIN(INT(($A137-1)/5),MAX((MIN(80,MAX(1,INT(((CROQUIS!$C$98)-CROQUIS!$C$107)/MAX(CROQUIS!$C$126,1))+1)))-1,0))*CROQUIS!$C$126),CHOOSE(IF(INT(($A137-1)/5)&gt;MAX((MIN(80,MAX(1,INT(((CROQUIS!$C$98)-CROQUIS!$C$107)/MAX(CROQUIS!$C$126,1))+1)))-1,0),0,MOD($A137-1,5))+1,0,2,CROQUIS!$C$97-2,2,0)))*CROQUIS!$C$155)+IF(CROQUIS!$C$92="X",0,0)),-1000)</f>
        <v>-1000</v>
      </c>
      <c r="BJ137">
        <f>IF(AND(CROQUIS!$C$88=1,CROQUIS!$C$134&gt;0),((CROQUIS!$C$156+(IF(CROQUIS!$C$92="X",((CROQUIS!$C$107/2+(((CROQUIS!$C$97)-CROQUIS!$C$107)-(MIN(80,MAX(1,INT(((CROQUIS!$C$97)-CROQUIS!$C$107)/MAX(CROQUIS!$C$134,1))+1))-1)*CROQUIS!$C$134)/2)+MIN(INT(($A137-1)/5),MAX((MIN(80,MAX(1,INT(((CROQUIS!$C$97)-CROQUIS!$C$107)/MAX(CROQUIS!$C$134,1))+1)))-1,0))*CROQUIS!$C$134),CHOOSE(IF(INT(($A137-1)/5)&gt;MAX((MIN(80,MAX(1,INT(((CROQUIS!$C$97)-CROQUIS!$C$107)/MAX(CROQUIS!$C$134,1))+1)))-1,0),0,MOD($A137-1,5))+1,0,2,CROQUIS!$C$98-2,2,0)))*CROQUIS!$C$155)+IF(CROQUIS!$C$92="X",0,0)),-1000)</f>
        <v>-1000</v>
      </c>
      <c r="BK137">
        <f>IF(AND(CROQUIS!$C$88=1,CROQUIS!$C$134&gt;0),((CROQUIS!$C$157+(IF(CROQUIS!$C$92="X",CHOOSE(IF(INT(($A137-1)/5)&gt;MAX((MIN(80,MAX(1,INT(((CROQUIS!$C$97)-CROQUIS!$C$107)/MAX(CROQUIS!$C$134,1))+1)))-1,0),0,MOD($A137-1,5))+1,0,2,CROQUIS!$C$98-2,2,0),((CROQUIS!$C$107/2+(((CROQUIS!$C$97)-CROQUIS!$C$107)-(MIN(80,MAX(1,INT(((CROQUIS!$C$97)-CROQUIS!$C$107)/MAX(CROQUIS!$C$134,1))+1))-1)*CROQUIS!$C$134)/2)+MIN(INT(($A137-1)/5),MAX((MIN(80,MAX(1,INT(((CROQUIS!$C$97)-CROQUIS!$C$107)/MAX(CROQUIS!$C$134,1))+1)))-1,0))*CROQUIS!$C$134)))*CROQUIS!$C$155)+IF(CROQUIS!$C$92="X",0,0)),-1000)</f>
        <v>-1000</v>
      </c>
      <c r="BL137">
        <f>IF(AND(CROQUIS!$C$88=1,CROQUIS!$C$91=0,CROQUIS!$C$130&gt;0,OR(CROQUIS!$C$103=1,CROQUIS!$C$142=1)),((CROQUIS!$C$156+(IF(CROQUIS!$C$92="X",CHOOSE(IF(INT(($A137-1)/5)&gt;MAX((MIN(80,MAX(1,INT(((CROQUIS!$C$98)-CROQUIS!$C$107)/MAX(CROQUIS!$C$130,1))+1)))-1,0),0,MOD($A137-1,5))+1,0,IF(CROQUIS!$C$103=1,-12,2),CROQUIS!$C$107/2+CROQUIS!$C$140,IF(CROQUIS!$C$103=1,-12,2),0),((CROQUIS!$C$107/2+(((CROQUIS!$C$98)-CROQUIS!$C$107)-(MIN(80,MAX(1,INT(((CROQUIS!$C$98)-CROQUIS!$C$107)/MAX(CROQUIS!$C$130,1))+1))-1)*CROQUIS!$C$130)/2)+MIN(INT(($A137-1)/5),MAX((MIN(80,MAX(1,INT(((CROQUIS!$C$98)-CROQUIS!$C$107)/MAX(CROQUIS!$C$130,1))+1)))-1,0))*CROQUIS!$C$130)))*CROQUIS!$C$155)+IF(CROQUIS!$C$92="X",0,0)),-1000)</f>
        <v>-1000</v>
      </c>
      <c r="BM13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137-1)/5),MAX((MIN(80,MAX(1,INT(((CROQUIS!$C$98)-CROQUIS!$C$107)/MAX(CROQUIS!$C$130,1))+1)))-1,0))*CROQUIS!$C$130),CHOOSE(IF(INT(($A137-1)/5)&gt;MAX((MIN(80,MAX(1,INT(((CROQUIS!$C$98)-CROQUIS!$C$107)/MAX(CROQUIS!$C$130,1))+1)))-1,0),0,MOD($A137-1,5))+1,0,IF(CROQUIS!$C$103=1,-12,2),CROQUIS!$C$107/2+CROQUIS!$C$140,IF(CROQUIS!$C$103=1,-12,2),0)))*CROQUIS!$C$155)+IF(CROQUIS!$C$92="X",0,0)),-1000)</f>
        <v>-1000</v>
      </c>
      <c r="BN137">
        <f>IF(AND(CROQUIS!$C$88=1,CROQUIS!$C$91=0,CROQUIS!$C$130&gt;0,OR(CROQUIS!$C$104=1,CROQUIS!$C$142=1)),((CROQUIS!$C$156+(IF(CROQUIS!$C$92="X",CHOOSE(IF(INT(($A137-1)/5)&gt;MAX((MIN(80,MAX(1,INT(((CROQUIS!$C$98)-CROQUIS!$C$107)/MAX(CROQUIS!$C$130,1))+1)))-1,0),0,MOD($A137-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137-1)/5),MAX((MIN(80,MAX(1,INT(((CROQUIS!$C$98)-CROQUIS!$C$107)/MAX(CROQUIS!$C$130,1))+1)))-1,0))*CROQUIS!$C$130)))*CROQUIS!$C$155)+IF(CROQUIS!$C$92="X",0,0)),-1000)</f>
        <v>-1000</v>
      </c>
      <c r="BO13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137-1)/5),MAX((MIN(80,MAX(1,INT(((CROQUIS!$C$98)-CROQUIS!$C$107)/MAX(CROQUIS!$C$130,1))+1)))-1,0))*CROQUIS!$C$130),CHOOSE(IF(INT(($A137-1)/5)&gt;MAX((MIN(80,MAX(1,INT(((CROQUIS!$C$98)-CROQUIS!$C$107)/MAX(CROQUIS!$C$130,1))+1)))-1,0),0,MOD($A137-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3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137-1)/5),MAX((MIN(80,MAX(1,INT(((CROQUIS!$C$97)-CROQUIS!$C$107)/MAX(CROQUIS!$C$138,1))+1)))-1,0))*CROQUIS!$C$138),CHOOSE(IF(INT(($A137-1)/5)&gt;MAX((MIN(80,MAX(1,INT(((CROQUIS!$C$97)-CROQUIS!$C$107)/MAX(CROQUIS!$C$138,1))+1)))-1,0),0,MOD($A137-1,5))+1,0,IF(CROQUIS!$C$105=1,-12,2),CROQUIS!$C$107/2+CROQUIS!$C$141,IF(CROQUIS!$C$105=1,-12,2),0)))*CROQUIS!$C$155)+IF(CROQUIS!$C$92="X",0,0)),-1000)</f>
        <v>-1000</v>
      </c>
      <c r="BQ137">
        <f>IF(AND(CROQUIS!$C$88=1,CROQUIS!$C$91=0,CROQUIS!$C$138&gt;0,OR(CROQUIS!$C$105=1,CROQUIS!$C$143=1)),((CROQUIS!$C$157+(IF(CROQUIS!$C$92="X",CHOOSE(IF(INT(($A137-1)/5)&gt;MAX((MIN(80,MAX(1,INT(((CROQUIS!$C$97)-CROQUIS!$C$107)/MAX(CROQUIS!$C$138,1))+1)))-1,0),0,MOD($A137-1,5))+1,0,IF(CROQUIS!$C$105=1,-12,2),CROQUIS!$C$107/2+CROQUIS!$C$141,IF(CROQUIS!$C$105=1,-12,2),0),((CROQUIS!$C$107/2+(((CROQUIS!$C$97)-CROQUIS!$C$107)-(MIN(80,MAX(1,INT(((CROQUIS!$C$97)-CROQUIS!$C$107)/MAX(CROQUIS!$C$138,1))+1))-1)*CROQUIS!$C$138)/2)+MIN(INT(($A137-1)/5),MAX((MIN(80,MAX(1,INT(((CROQUIS!$C$97)-CROQUIS!$C$107)/MAX(CROQUIS!$C$138,1))+1)))-1,0))*CROQUIS!$C$138)))*CROQUIS!$C$155)+IF(CROQUIS!$C$92="X",0,0)),-1000)</f>
        <v>-1000</v>
      </c>
      <c r="BR13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137-1)/5),MAX((MIN(80,MAX(1,INT(((CROQUIS!$C$97)-CROQUIS!$C$107)/MAX(CROQUIS!$C$138,1))+1)))-1,0))*CROQUIS!$C$138),CHOOSE(IF(INT(($A137-1)/5)&gt;MAX((MIN(80,MAX(1,INT(((CROQUIS!$C$97)-CROQUIS!$C$107)/MAX(CROQUIS!$C$138,1))+1)))-1,0),0,MOD($A137-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37">
        <f>IF(AND(CROQUIS!$C$88=1,CROQUIS!$C$91=0,CROQUIS!$C$138&gt;0,OR(CROQUIS!$C$106=1,CROQUIS!$C$143=1)),((CROQUIS!$C$157+(IF(CROQUIS!$C$92="X",CHOOSE(IF(INT(($A137-1)/5)&gt;MAX((MIN(80,MAX(1,INT(((CROQUIS!$C$97)-CROQUIS!$C$107)/MAX(CROQUIS!$C$138,1))+1)))-1,0),0,MOD($A137-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137-1)/5),MAX((MIN(80,MAX(1,INT(((CROQUIS!$C$97)-CROQUIS!$C$107)/MAX(CROQUIS!$C$138,1))+1)))-1,0))*CROQUIS!$C$138)))*CROQUIS!$C$155)+IF(CROQUIS!$C$92="X",0,0)),-1000)</f>
        <v>-1000</v>
      </c>
      <c r="BT137">
        <f>IF(AND(CROQUIS!$C$88=1,CROQUIS!$C$91=1,CROQUIS!$C$130&gt;0),((CROQUIS!$C$156+(IF(CROQUIS!$C$92="X",CHOOSE(IF(INT(($A137-1)/5)&gt;MAX((MIN(80,MAX(1,INT(((CROQUIS!$C$98)-CROQUIS!$C$107)/MAX(CROQUIS!$C$130,1))+1)))-1,0),0,MOD($A137-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137-1)/5),MAX((MIN(80,MAX(1,INT(((CROQUIS!$C$98)-CROQUIS!$C$107)/MAX(CROQUIS!$C$130,1))+1)))-1,0))*CROQUIS!$C$130)))*CROQUIS!$C$155)+IF(CROQUIS!$C$92="X",0,0)),-1000)</f>
        <v>-1000</v>
      </c>
      <c r="BU137">
        <f>IF(AND(CROQUIS!$C$88=1,CROQUIS!$C$91=1,CROQUIS!$C$130&gt;0),((CROQUIS!$C$157+(IF(CROQUIS!$C$92="X",((CROQUIS!$C$107/2+(((CROQUIS!$C$98)-CROQUIS!$C$107)-(MIN(80,MAX(1,INT(((CROQUIS!$C$98)-CROQUIS!$C$107)/MAX(CROQUIS!$C$130,1))+1))-1)*CROQUIS!$C$130)/2)+MIN(INT(($A137-1)/5),MAX((MIN(80,MAX(1,INT(((CROQUIS!$C$98)-CROQUIS!$C$107)/MAX(CROQUIS!$C$130,1))+1)))-1,0))*CROQUIS!$C$130),CHOOSE(IF(INT(($A137-1)/5)&gt;MAX((MIN(80,MAX(1,INT(((CROQUIS!$C$98)-CROQUIS!$C$107)/MAX(CROQUIS!$C$130,1))+1)))-1,0),0,MOD($A137-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38">
      <c r="A138" t="n">
        <v>131</v>
      </c>
      <c r="BH138">
        <f>IF(AND(CROQUIS!$C$88=1,CROQUIS!$C$126&gt;0),((CROQUIS!$C$156+(IF(CROQUIS!$C$92="X",CHOOSE(IF(INT(($A138-1)/5)&gt;MAX((MIN(80,MAX(1,INT(((CROQUIS!$C$98)-CROQUIS!$C$107)/MAX(CROQUIS!$C$126,1))+1)))-1,0),0,MOD($A138-1,5))+1,0,2,CROQUIS!$C$97-2,2,0),((CROQUIS!$C$107/2+(((CROQUIS!$C$98)-CROQUIS!$C$107)-(MIN(80,MAX(1,INT(((CROQUIS!$C$98)-CROQUIS!$C$107)/MAX(CROQUIS!$C$126,1))+1))-1)*CROQUIS!$C$126)/2)+MIN(INT(($A138-1)/5),MAX((MIN(80,MAX(1,INT(((CROQUIS!$C$98)-CROQUIS!$C$107)/MAX(CROQUIS!$C$126,1))+1)))-1,0))*CROQUIS!$C$126)))*CROQUIS!$C$155)+IF(CROQUIS!$C$92="X",0,0)),-1000)</f>
        <v>-1000</v>
      </c>
      <c r="BI138">
        <f>IF(AND(CROQUIS!$C$88=1,CROQUIS!$C$126&gt;0),((CROQUIS!$C$157+(IF(CROQUIS!$C$92="X",((CROQUIS!$C$107/2+(((CROQUIS!$C$98)-CROQUIS!$C$107)-(MIN(80,MAX(1,INT(((CROQUIS!$C$98)-CROQUIS!$C$107)/MAX(CROQUIS!$C$126,1))+1))-1)*CROQUIS!$C$126)/2)+MIN(INT(($A138-1)/5),MAX((MIN(80,MAX(1,INT(((CROQUIS!$C$98)-CROQUIS!$C$107)/MAX(CROQUIS!$C$126,1))+1)))-1,0))*CROQUIS!$C$126),CHOOSE(IF(INT(($A138-1)/5)&gt;MAX((MIN(80,MAX(1,INT(((CROQUIS!$C$98)-CROQUIS!$C$107)/MAX(CROQUIS!$C$126,1))+1)))-1,0),0,MOD($A138-1,5))+1,0,2,CROQUIS!$C$97-2,2,0)))*CROQUIS!$C$155)+IF(CROQUIS!$C$92="X",0,0)),-1000)</f>
        <v>-1000</v>
      </c>
      <c r="BJ138">
        <f>IF(AND(CROQUIS!$C$88=1,CROQUIS!$C$134&gt;0),((CROQUIS!$C$156+(IF(CROQUIS!$C$92="X",((CROQUIS!$C$107/2+(((CROQUIS!$C$97)-CROQUIS!$C$107)-(MIN(80,MAX(1,INT(((CROQUIS!$C$97)-CROQUIS!$C$107)/MAX(CROQUIS!$C$134,1))+1))-1)*CROQUIS!$C$134)/2)+MIN(INT(($A138-1)/5),MAX((MIN(80,MAX(1,INT(((CROQUIS!$C$97)-CROQUIS!$C$107)/MAX(CROQUIS!$C$134,1))+1)))-1,0))*CROQUIS!$C$134),CHOOSE(IF(INT(($A138-1)/5)&gt;MAX((MIN(80,MAX(1,INT(((CROQUIS!$C$97)-CROQUIS!$C$107)/MAX(CROQUIS!$C$134,1))+1)))-1,0),0,MOD($A138-1,5))+1,0,2,CROQUIS!$C$98-2,2,0)))*CROQUIS!$C$155)+IF(CROQUIS!$C$92="X",0,0)),-1000)</f>
        <v>-1000</v>
      </c>
      <c r="BK138">
        <f>IF(AND(CROQUIS!$C$88=1,CROQUIS!$C$134&gt;0),((CROQUIS!$C$157+(IF(CROQUIS!$C$92="X",CHOOSE(IF(INT(($A138-1)/5)&gt;MAX((MIN(80,MAX(1,INT(((CROQUIS!$C$97)-CROQUIS!$C$107)/MAX(CROQUIS!$C$134,1))+1)))-1,0),0,MOD($A138-1,5))+1,0,2,CROQUIS!$C$98-2,2,0),((CROQUIS!$C$107/2+(((CROQUIS!$C$97)-CROQUIS!$C$107)-(MIN(80,MAX(1,INT(((CROQUIS!$C$97)-CROQUIS!$C$107)/MAX(CROQUIS!$C$134,1))+1))-1)*CROQUIS!$C$134)/2)+MIN(INT(($A138-1)/5),MAX((MIN(80,MAX(1,INT(((CROQUIS!$C$97)-CROQUIS!$C$107)/MAX(CROQUIS!$C$134,1))+1)))-1,0))*CROQUIS!$C$134)))*CROQUIS!$C$155)+IF(CROQUIS!$C$92="X",0,0)),-1000)</f>
        <v>-1000</v>
      </c>
      <c r="BL138">
        <f>IF(AND(CROQUIS!$C$88=1,CROQUIS!$C$91=0,CROQUIS!$C$130&gt;0,OR(CROQUIS!$C$103=1,CROQUIS!$C$142=1)),((CROQUIS!$C$156+(IF(CROQUIS!$C$92="X",CHOOSE(IF(INT(($A138-1)/5)&gt;MAX((MIN(80,MAX(1,INT(((CROQUIS!$C$98)-CROQUIS!$C$107)/MAX(CROQUIS!$C$130,1))+1)))-1,0),0,MOD($A138-1,5))+1,0,IF(CROQUIS!$C$103=1,-12,2),CROQUIS!$C$107/2+CROQUIS!$C$140,IF(CROQUIS!$C$103=1,-12,2),0),((CROQUIS!$C$107/2+(((CROQUIS!$C$98)-CROQUIS!$C$107)-(MIN(80,MAX(1,INT(((CROQUIS!$C$98)-CROQUIS!$C$107)/MAX(CROQUIS!$C$130,1))+1))-1)*CROQUIS!$C$130)/2)+MIN(INT(($A138-1)/5),MAX((MIN(80,MAX(1,INT(((CROQUIS!$C$98)-CROQUIS!$C$107)/MAX(CROQUIS!$C$130,1))+1)))-1,0))*CROQUIS!$C$130)))*CROQUIS!$C$155)+IF(CROQUIS!$C$92="X",0,0)),-1000)</f>
        <v>-1000</v>
      </c>
      <c r="BM13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138-1)/5),MAX((MIN(80,MAX(1,INT(((CROQUIS!$C$98)-CROQUIS!$C$107)/MAX(CROQUIS!$C$130,1))+1)))-1,0))*CROQUIS!$C$130),CHOOSE(IF(INT(($A138-1)/5)&gt;MAX((MIN(80,MAX(1,INT(((CROQUIS!$C$98)-CROQUIS!$C$107)/MAX(CROQUIS!$C$130,1))+1)))-1,0),0,MOD($A138-1,5))+1,0,IF(CROQUIS!$C$103=1,-12,2),CROQUIS!$C$107/2+CROQUIS!$C$140,IF(CROQUIS!$C$103=1,-12,2),0)))*CROQUIS!$C$155)+IF(CROQUIS!$C$92="X",0,0)),-1000)</f>
        <v>-1000</v>
      </c>
      <c r="BN138">
        <f>IF(AND(CROQUIS!$C$88=1,CROQUIS!$C$91=0,CROQUIS!$C$130&gt;0,OR(CROQUIS!$C$104=1,CROQUIS!$C$142=1)),((CROQUIS!$C$156+(IF(CROQUIS!$C$92="X",CHOOSE(IF(INT(($A138-1)/5)&gt;MAX((MIN(80,MAX(1,INT(((CROQUIS!$C$98)-CROQUIS!$C$107)/MAX(CROQUIS!$C$130,1))+1)))-1,0),0,MOD($A138-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138-1)/5),MAX((MIN(80,MAX(1,INT(((CROQUIS!$C$98)-CROQUIS!$C$107)/MAX(CROQUIS!$C$130,1))+1)))-1,0))*CROQUIS!$C$130)))*CROQUIS!$C$155)+IF(CROQUIS!$C$92="X",0,0)),-1000)</f>
        <v>-1000</v>
      </c>
      <c r="BO13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138-1)/5),MAX((MIN(80,MAX(1,INT(((CROQUIS!$C$98)-CROQUIS!$C$107)/MAX(CROQUIS!$C$130,1))+1)))-1,0))*CROQUIS!$C$130),CHOOSE(IF(INT(($A138-1)/5)&gt;MAX((MIN(80,MAX(1,INT(((CROQUIS!$C$98)-CROQUIS!$C$107)/MAX(CROQUIS!$C$130,1))+1)))-1,0),0,MOD($A138-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3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138-1)/5),MAX((MIN(80,MAX(1,INT(((CROQUIS!$C$97)-CROQUIS!$C$107)/MAX(CROQUIS!$C$138,1))+1)))-1,0))*CROQUIS!$C$138),CHOOSE(IF(INT(($A138-1)/5)&gt;MAX((MIN(80,MAX(1,INT(((CROQUIS!$C$97)-CROQUIS!$C$107)/MAX(CROQUIS!$C$138,1))+1)))-1,0),0,MOD($A138-1,5))+1,0,IF(CROQUIS!$C$105=1,-12,2),CROQUIS!$C$107/2+CROQUIS!$C$141,IF(CROQUIS!$C$105=1,-12,2),0)))*CROQUIS!$C$155)+IF(CROQUIS!$C$92="X",0,0)),-1000)</f>
        <v>-1000</v>
      </c>
      <c r="BQ138">
        <f>IF(AND(CROQUIS!$C$88=1,CROQUIS!$C$91=0,CROQUIS!$C$138&gt;0,OR(CROQUIS!$C$105=1,CROQUIS!$C$143=1)),((CROQUIS!$C$157+(IF(CROQUIS!$C$92="X",CHOOSE(IF(INT(($A138-1)/5)&gt;MAX((MIN(80,MAX(1,INT(((CROQUIS!$C$97)-CROQUIS!$C$107)/MAX(CROQUIS!$C$138,1))+1)))-1,0),0,MOD($A138-1,5))+1,0,IF(CROQUIS!$C$105=1,-12,2),CROQUIS!$C$107/2+CROQUIS!$C$141,IF(CROQUIS!$C$105=1,-12,2),0),((CROQUIS!$C$107/2+(((CROQUIS!$C$97)-CROQUIS!$C$107)-(MIN(80,MAX(1,INT(((CROQUIS!$C$97)-CROQUIS!$C$107)/MAX(CROQUIS!$C$138,1))+1))-1)*CROQUIS!$C$138)/2)+MIN(INT(($A138-1)/5),MAX((MIN(80,MAX(1,INT(((CROQUIS!$C$97)-CROQUIS!$C$107)/MAX(CROQUIS!$C$138,1))+1)))-1,0))*CROQUIS!$C$138)))*CROQUIS!$C$155)+IF(CROQUIS!$C$92="X",0,0)),-1000)</f>
        <v>-1000</v>
      </c>
      <c r="BR13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138-1)/5),MAX((MIN(80,MAX(1,INT(((CROQUIS!$C$97)-CROQUIS!$C$107)/MAX(CROQUIS!$C$138,1))+1)))-1,0))*CROQUIS!$C$138),CHOOSE(IF(INT(($A138-1)/5)&gt;MAX((MIN(80,MAX(1,INT(((CROQUIS!$C$97)-CROQUIS!$C$107)/MAX(CROQUIS!$C$138,1))+1)))-1,0),0,MOD($A138-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38">
        <f>IF(AND(CROQUIS!$C$88=1,CROQUIS!$C$91=0,CROQUIS!$C$138&gt;0,OR(CROQUIS!$C$106=1,CROQUIS!$C$143=1)),((CROQUIS!$C$157+(IF(CROQUIS!$C$92="X",CHOOSE(IF(INT(($A138-1)/5)&gt;MAX((MIN(80,MAX(1,INT(((CROQUIS!$C$97)-CROQUIS!$C$107)/MAX(CROQUIS!$C$138,1))+1)))-1,0),0,MOD($A138-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138-1)/5),MAX((MIN(80,MAX(1,INT(((CROQUIS!$C$97)-CROQUIS!$C$107)/MAX(CROQUIS!$C$138,1))+1)))-1,0))*CROQUIS!$C$138)))*CROQUIS!$C$155)+IF(CROQUIS!$C$92="X",0,0)),-1000)</f>
        <v>-1000</v>
      </c>
      <c r="BT138">
        <f>IF(AND(CROQUIS!$C$88=1,CROQUIS!$C$91=1,CROQUIS!$C$130&gt;0),((CROQUIS!$C$156+(IF(CROQUIS!$C$92="X",CHOOSE(IF(INT(($A138-1)/5)&gt;MAX((MIN(80,MAX(1,INT(((CROQUIS!$C$98)-CROQUIS!$C$107)/MAX(CROQUIS!$C$130,1))+1)))-1,0),0,MOD($A138-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138-1)/5),MAX((MIN(80,MAX(1,INT(((CROQUIS!$C$98)-CROQUIS!$C$107)/MAX(CROQUIS!$C$130,1))+1)))-1,0))*CROQUIS!$C$130)))*CROQUIS!$C$155)+IF(CROQUIS!$C$92="X",0,0)),-1000)</f>
        <v>-1000</v>
      </c>
      <c r="BU138">
        <f>IF(AND(CROQUIS!$C$88=1,CROQUIS!$C$91=1,CROQUIS!$C$130&gt;0),((CROQUIS!$C$157+(IF(CROQUIS!$C$92="X",((CROQUIS!$C$107/2+(((CROQUIS!$C$98)-CROQUIS!$C$107)-(MIN(80,MAX(1,INT(((CROQUIS!$C$98)-CROQUIS!$C$107)/MAX(CROQUIS!$C$130,1))+1))-1)*CROQUIS!$C$130)/2)+MIN(INT(($A138-1)/5),MAX((MIN(80,MAX(1,INT(((CROQUIS!$C$98)-CROQUIS!$C$107)/MAX(CROQUIS!$C$130,1))+1)))-1,0))*CROQUIS!$C$130),CHOOSE(IF(INT(($A138-1)/5)&gt;MAX((MIN(80,MAX(1,INT(((CROQUIS!$C$98)-CROQUIS!$C$107)/MAX(CROQUIS!$C$130,1))+1)))-1,0),0,MOD($A138-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39">
      <c r="A139" t="n">
        <v>132</v>
      </c>
      <c r="BH139">
        <f>IF(AND(CROQUIS!$C$88=1,CROQUIS!$C$126&gt;0),((CROQUIS!$C$156+(IF(CROQUIS!$C$92="X",CHOOSE(IF(INT(($A139-1)/5)&gt;MAX((MIN(80,MAX(1,INT(((CROQUIS!$C$98)-CROQUIS!$C$107)/MAX(CROQUIS!$C$126,1))+1)))-1,0),0,MOD($A139-1,5))+1,0,2,CROQUIS!$C$97-2,2,0),((CROQUIS!$C$107/2+(((CROQUIS!$C$98)-CROQUIS!$C$107)-(MIN(80,MAX(1,INT(((CROQUIS!$C$98)-CROQUIS!$C$107)/MAX(CROQUIS!$C$126,1))+1))-1)*CROQUIS!$C$126)/2)+MIN(INT(($A139-1)/5),MAX((MIN(80,MAX(1,INT(((CROQUIS!$C$98)-CROQUIS!$C$107)/MAX(CROQUIS!$C$126,1))+1)))-1,0))*CROQUIS!$C$126)))*CROQUIS!$C$155)+IF(CROQUIS!$C$92="X",0,0)),-1000)</f>
        <v>-1000</v>
      </c>
      <c r="BI139">
        <f>IF(AND(CROQUIS!$C$88=1,CROQUIS!$C$126&gt;0),((CROQUIS!$C$157+(IF(CROQUIS!$C$92="X",((CROQUIS!$C$107/2+(((CROQUIS!$C$98)-CROQUIS!$C$107)-(MIN(80,MAX(1,INT(((CROQUIS!$C$98)-CROQUIS!$C$107)/MAX(CROQUIS!$C$126,1))+1))-1)*CROQUIS!$C$126)/2)+MIN(INT(($A139-1)/5),MAX((MIN(80,MAX(1,INT(((CROQUIS!$C$98)-CROQUIS!$C$107)/MAX(CROQUIS!$C$126,1))+1)))-1,0))*CROQUIS!$C$126),CHOOSE(IF(INT(($A139-1)/5)&gt;MAX((MIN(80,MAX(1,INT(((CROQUIS!$C$98)-CROQUIS!$C$107)/MAX(CROQUIS!$C$126,1))+1)))-1,0),0,MOD($A139-1,5))+1,0,2,CROQUIS!$C$97-2,2,0)))*CROQUIS!$C$155)+IF(CROQUIS!$C$92="X",0,0)),-1000)</f>
        <v>-1000</v>
      </c>
      <c r="BJ139">
        <f>IF(AND(CROQUIS!$C$88=1,CROQUIS!$C$134&gt;0),((CROQUIS!$C$156+(IF(CROQUIS!$C$92="X",((CROQUIS!$C$107/2+(((CROQUIS!$C$97)-CROQUIS!$C$107)-(MIN(80,MAX(1,INT(((CROQUIS!$C$97)-CROQUIS!$C$107)/MAX(CROQUIS!$C$134,1))+1))-1)*CROQUIS!$C$134)/2)+MIN(INT(($A139-1)/5),MAX((MIN(80,MAX(1,INT(((CROQUIS!$C$97)-CROQUIS!$C$107)/MAX(CROQUIS!$C$134,1))+1)))-1,0))*CROQUIS!$C$134),CHOOSE(IF(INT(($A139-1)/5)&gt;MAX((MIN(80,MAX(1,INT(((CROQUIS!$C$97)-CROQUIS!$C$107)/MAX(CROQUIS!$C$134,1))+1)))-1,0),0,MOD($A139-1,5))+1,0,2,CROQUIS!$C$98-2,2,0)))*CROQUIS!$C$155)+IF(CROQUIS!$C$92="X",0,0)),-1000)</f>
        <v>-1000</v>
      </c>
      <c r="BK139">
        <f>IF(AND(CROQUIS!$C$88=1,CROQUIS!$C$134&gt;0),((CROQUIS!$C$157+(IF(CROQUIS!$C$92="X",CHOOSE(IF(INT(($A139-1)/5)&gt;MAX((MIN(80,MAX(1,INT(((CROQUIS!$C$97)-CROQUIS!$C$107)/MAX(CROQUIS!$C$134,1))+1)))-1,0),0,MOD($A139-1,5))+1,0,2,CROQUIS!$C$98-2,2,0),((CROQUIS!$C$107/2+(((CROQUIS!$C$97)-CROQUIS!$C$107)-(MIN(80,MAX(1,INT(((CROQUIS!$C$97)-CROQUIS!$C$107)/MAX(CROQUIS!$C$134,1))+1))-1)*CROQUIS!$C$134)/2)+MIN(INT(($A139-1)/5),MAX((MIN(80,MAX(1,INT(((CROQUIS!$C$97)-CROQUIS!$C$107)/MAX(CROQUIS!$C$134,1))+1)))-1,0))*CROQUIS!$C$134)))*CROQUIS!$C$155)+IF(CROQUIS!$C$92="X",0,0)),-1000)</f>
        <v>-1000</v>
      </c>
      <c r="BL139">
        <f>IF(AND(CROQUIS!$C$88=1,CROQUIS!$C$91=0,CROQUIS!$C$130&gt;0,OR(CROQUIS!$C$103=1,CROQUIS!$C$142=1)),((CROQUIS!$C$156+(IF(CROQUIS!$C$92="X",CHOOSE(IF(INT(($A139-1)/5)&gt;MAX((MIN(80,MAX(1,INT(((CROQUIS!$C$98)-CROQUIS!$C$107)/MAX(CROQUIS!$C$130,1))+1)))-1,0),0,MOD($A139-1,5))+1,0,IF(CROQUIS!$C$103=1,-12,2),CROQUIS!$C$107/2+CROQUIS!$C$140,IF(CROQUIS!$C$103=1,-12,2),0),((CROQUIS!$C$107/2+(((CROQUIS!$C$98)-CROQUIS!$C$107)-(MIN(80,MAX(1,INT(((CROQUIS!$C$98)-CROQUIS!$C$107)/MAX(CROQUIS!$C$130,1))+1))-1)*CROQUIS!$C$130)/2)+MIN(INT(($A139-1)/5),MAX((MIN(80,MAX(1,INT(((CROQUIS!$C$98)-CROQUIS!$C$107)/MAX(CROQUIS!$C$130,1))+1)))-1,0))*CROQUIS!$C$130)))*CROQUIS!$C$155)+IF(CROQUIS!$C$92="X",0,0)),-1000)</f>
        <v>-1000</v>
      </c>
      <c r="BM13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139-1)/5),MAX((MIN(80,MAX(1,INT(((CROQUIS!$C$98)-CROQUIS!$C$107)/MAX(CROQUIS!$C$130,1))+1)))-1,0))*CROQUIS!$C$130),CHOOSE(IF(INT(($A139-1)/5)&gt;MAX((MIN(80,MAX(1,INT(((CROQUIS!$C$98)-CROQUIS!$C$107)/MAX(CROQUIS!$C$130,1))+1)))-1,0),0,MOD($A139-1,5))+1,0,IF(CROQUIS!$C$103=1,-12,2),CROQUIS!$C$107/2+CROQUIS!$C$140,IF(CROQUIS!$C$103=1,-12,2),0)))*CROQUIS!$C$155)+IF(CROQUIS!$C$92="X",0,0)),-1000)</f>
        <v>-1000</v>
      </c>
      <c r="BN139">
        <f>IF(AND(CROQUIS!$C$88=1,CROQUIS!$C$91=0,CROQUIS!$C$130&gt;0,OR(CROQUIS!$C$104=1,CROQUIS!$C$142=1)),((CROQUIS!$C$156+(IF(CROQUIS!$C$92="X",CHOOSE(IF(INT(($A139-1)/5)&gt;MAX((MIN(80,MAX(1,INT(((CROQUIS!$C$98)-CROQUIS!$C$107)/MAX(CROQUIS!$C$130,1))+1)))-1,0),0,MOD($A139-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139-1)/5),MAX((MIN(80,MAX(1,INT(((CROQUIS!$C$98)-CROQUIS!$C$107)/MAX(CROQUIS!$C$130,1))+1)))-1,0))*CROQUIS!$C$130)))*CROQUIS!$C$155)+IF(CROQUIS!$C$92="X",0,0)),-1000)</f>
        <v>-1000</v>
      </c>
      <c r="BO13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139-1)/5),MAX((MIN(80,MAX(1,INT(((CROQUIS!$C$98)-CROQUIS!$C$107)/MAX(CROQUIS!$C$130,1))+1)))-1,0))*CROQUIS!$C$130),CHOOSE(IF(INT(($A139-1)/5)&gt;MAX((MIN(80,MAX(1,INT(((CROQUIS!$C$98)-CROQUIS!$C$107)/MAX(CROQUIS!$C$130,1))+1)))-1,0),0,MOD($A139-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3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139-1)/5),MAX((MIN(80,MAX(1,INT(((CROQUIS!$C$97)-CROQUIS!$C$107)/MAX(CROQUIS!$C$138,1))+1)))-1,0))*CROQUIS!$C$138),CHOOSE(IF(INT(($A139-1)/5)&gt;MAX((MIN(80,MAX(1,INT(((CROQUIS!$C$97)-CROQUIS!$C$107)/MAX(CROQUIS!$C$138,1))+1)))-1,0),0,MOD($A139-1,5))+1,0,IF(CROQUIS!$C$105=1,-12,2),CROQUIS!$C$107/2+CROQUIS!$C$141,IF(CROQUIS!$C$105=1,-12,2),0)))*CROQUIS!$C$155)+IF(CROQUIS!$C$92="X",0,0)),-1000)</f>
        <v>-1000</v>
      </c>
      <c r="BQ139">
        <f>IF(AND(CROQUIS!$C$88=1,CROQUIS!$C$91=0,CROQUIS!$C$138&gt;0,OR(CROQUIS!$C$105=1,CROQUIS!$C$143=1)),((CROQUIS!$C$157+(IF(CROQUIS!$C$92="X",CHOOSE(IF(INT(($A139-1)/5)&gt;MAX((MIN(80,MAX(1,INT(((CROQUIS!$C$97)-CROQUIS!$C$107)/MAX(CROQUIS!$C$138,1))+1)))-1,0),0,MOD($A139-1,5))+1,0,IF(CROQUIS!$C$105=1,-12,2),CROQUIS!$C$107/2+CROQUIS!$C$141,IF(CROQUIS!$C$105=1,-12,2),0),((CROQUIS!$C$107/2+(((CROQUIS!$C$97)-CROQUIS!$C$107)-(MIN(80,MAX(1,INT(((CROQUIS!$C$97)-CROQUIS!$C$107)/MAX(CROQUIS!$C$138,1))+1))-1)*CROQUIS!$C$138)/2)+MIN(INT(($A139-1)/5),MAX((MIN(80,MAX(1,INT(((CROQUIS!$C$97)-CROQUIS!$C$107)/MAX(CROQUIS!$C$138,1))+1)))-1,0))*CROQUIS!$C$138)))*CROQUIS!$C$155)+IF(CROQUIS!$C$92="X",0,0)),-1000)</f>
        <v>-1000</v>
      </c>
      <c r="BR13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139-1)/5),MAX((MIN(80,MAX(1,INT(((CROQUIS!$C$97)-CROQUIS!$C$107)/MAX(CROQUIS!$C$138,1))+1)))-1,0))*CROQUIS!$C$138),CHOOSE(IF(INT(($A139-1)/5)&gt;MAX((MIN(80,MAX(1,INT(((CROQUIS!$C$97)-CROQUIS!$C$107)/MAX(CROQUIS!$C$138,1))+1)))-1,0),0,MOD($A139-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39">
        <f>IF(AND(CROQUIS!$C$88=1,CROQUIS!$C$91=0,CROQUIS!$C$138&gt;0,OR(CROQUIS!$C$106=1,CROQUIS!$C$143=1)),((CROQUIS!$C$157+(IF(CROQUIS!$C$92="X",CHOOSE(IF(INT(($A139-1)/5)&gt;MAX((MIN(80,MAX(1,INT(((CROQUIS!$C$97)-CROQUIS!$C$107)/MAX(CROQUIS!$C$138,1))+1)))-1,0),0,MOD($A139-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139-1)/5),MAX((MIN(80,MAX(1,INT(((CROQUIS!$C$97)-CROQUIS!$C$107)/MAX(CROQUIS!$C$138,1))+1)))-1,0))*CROQUIS!$C$138)))*CROQUIS!$C$155)+IF(CROQUIS!$C$92="X",0,0)),-1000)</f>
        <v>-1000</v>
      </c>
      <c r="BT139">
        <f>IF(AND(CROQUIS!$C$88=1,CROQUIS!$C$91=1,CROQUIS!$C$130&gt;0),((CROQUIS!$C$156+(IF(CROQUIS!$C$92="X",CHOOSE(IF(INT(($A139-1)/5)&gt;MAX((MIN(80,MAX(1,INT(((CROQUIS!$C$98)-CROQUIS!$C$107)/MAX(CROQUIS!$C$130,1))+1)))-1,0),0,MOD($A139-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139-1)/5),MAX((MIN(80,MAX(1,INT(((CROQUIS!$C$98)-CROQUIS!$C$107)/MAX(CROQUIS!$C$130,1))+1)))-1,0))*CROQUIS!$C$130)))*CROQUIS!$C$155)+IF(CROQUIS!$C$92="X",0,0)),-1000)</f>
        <v>-1000</v>
      </c>
      <c r="BU139">
        <f>IF(AND(CROQUIS!$C$88=1,CROQUIS!$C$91=1,CROQUIS!$C$130&gt;0),((CROQUIS!$C$157+(IF(CROQUIS!$C$92="X",((CROQUIS!$C$107/2+(((CROQUIS!$C$98)-CROQUIS!$C$107)-(MIN(80,MAX(1,INT(((CROQUIS!$C$98)-CROQUIS!$C$107)/MAX(CROQUIS!$C$130,1))+1))-1)*CROQUIS!$C$130)/2)+MIN(INT(($A139-1)/5),MAX((MIN(80,MAX(1,INT(((CROQUIS!$C$98)-CROQUIS!$C$107)/MAX(CROQUIS!$C$130,1))+1)))-1,0))*CROQUIS!$C$130),CHOOSE(IF(INT(($A139-1)/5)&gt;MAX((MIN(80,MAX(1,INT(((CROQUIS!$C$98)-CROQUIS!$C$107)/MAX(CROQUIS!$C$130,1))+1)))-1,0),0,MOD($A139-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40">
      <c r="A140" t="n">
        <v>133</v>
      </c>
      <c r="BH140">
        <f>IF(AND(CROQUIS!$C$88=1,CROQUIS!$C$126&gt;0),((CROQUIS!$C$156+(IF(CROQUIS!$C$92="X",CHOOSE(IF(INT(($A140-1)/5)&gt;MAX((MIN(80,MAX(1,INT(((CROQUIS!$C$98)-CROQUIS!$C$107)/MAX(CROQUIS!$C$126,1))+1)))-1,0),0,MOD($A140-1,5))+1,0,2,CROQUIS!$C$97-2,2,0),((CROQUIS!$C$107/2+(((CROQUIS!$C$98)-CROQUIS!$C$107)-(MIN(80,MAX(1,INT(((CROQUIS!$C$98)-CROQUIS!$C$107)/MAX(CROQUIS!$C$126,1))+1))-1)*CROQUIS!$C$126)/2)+MIN(INT(($A140-1)/5),MAX((MIN(80,MAX(1,INT(((CROQUIS!$C$98)-CROQUIS!$C$107)/MAX(CROQUIS!$C$126,1))+1)))-1,0))*CROQUIS!$C$126)))*CROQUIS!$C$155)+IF(CROQUIS!$C$92="X",0,0)),-1000)</f>
        <v>-1000</v>
      </c>
      <c r="BI140">
        <f>IF(AND(CROQUIS!$C$88=1,CROQUIS!$C$126&gt;0),((CROQUIS!$C$157+(IF(CROQUIS!$C$92="X",((CROQUIS!$C$107/2+(((CROQUIS!$C$98)-CROQUIS!$C$107)-(MIN(80,MAX(1,INT(((CROQUIS!$C$98)-CROQUIS!$C$107)/MAX(CROQUIS!$C$126,1))+1))-1)*CROQUIS!$C$126)/2)+MIN(INT(($A140-1)/5),MAX((MIN(80,MAX(1,INT(((CROQUIS!$C$98)-CROQUIS!$C$107)/MAX(CROQUIS!$C$126,1))+1)))-1,0))*CROQUIS!$C$126),CHOOSE(IF(INT(($A140-1)/5)&gt;MAX((MIN(80,MAX(1,INT(((CROQUIS!$C$98)-CROQUIS!$C$107)/MAX(CROQUIS!$C$126,1))+1)))-1,0),0,MOD($A140-1,5))+1,0,2,CROQUIS!$C$97-2,2,0)))*CROQUIS!$C$155)+IF(CROQUIS!$C$92="X",0,0)),-1000)</f>
        <v>-1000</v>
      </c>
      <c r="BJ140">
        <f>IF(AND(CROQUIS!$C$88=1,CROQUIS!$C$134&gt;0),((CROQUIS!$C$156+(IF(CROQUIS!$C$92="X",((CROQUIS!$C$107/2+(((CROQUIS!$C$97)-CROQUIS!$C$107)-(MIN(80,MAX(1,INT(((CROQUIS!$C$97)-CROQUIS!$C$107)/MAX(CROQUIS!$C$134,1))+1))-1)*CROQUIS!$C$134)/2)+MIN(INT(($A140-1)/5),MAX((MIN(80,MAX(1,INT(((CROQUIS!$C$97)-CROQUIS!$C$107)/MAX(CROQUIS!$C$134,1))+1)))-1,0))*CROQUIS!$C$134),CHOOSE(IF(INT(($A140-1)/5)&gt;MAX((MIN(80,MAX(1,INT(((CROQUIS!$C$97)-CROQUIS!$C$107)/MAX(CROQUIS!$C$134,1))+1)))-1,0),0,MOD($A140-1,5))+1,0,2,CROQUIS!$C$98-2,2,0)))*CROQUIS!$C$155)+IF(CROQUIS!$C$92="X",0,0)),-1000)</f>
        <v>-1000</v>
      </c>
      <c r="BK140">
        <f>IF(AND(CROQUIS!$C$88=1,CROQUIS!$C$134&gt;0),((CROQUIS!$C$157+(IF(CROQUIS!$C$92="X",CHOOSE(IF(INT(($A140-1)/5)&gt;MAX((MIN(80,MAX(1,INT(((CROQUIS!$C$97)-CROQUIS!$C$107)/MAX(CROQUIS!$C$134,1))+1)))-1,0),0,MOD($A140-1,5))+1,0,2,CROQUIS!$C$98-2,2,0),((CROQUIS!$C$107/2+(((CROQUIS!$C$97)-CROQUIS!$C$107)-(MIN(80,MAX(1,INT(((CROQUIS!$C$97)-CROQUIS!$C$107)/MAX(CROQUIS!$C$134,1))+1))-1)*CROQUIS!$C$134)/2)+MIN(INT(($A140-1)/5),MAX((MIN(80,MAX(1,INT(((CROQUIS!$C$97)-CROQUIS!$C$107)/MAX(CROQUIS!$C$134,1))+1)))-1,0))*CROQUIS!$C$134)))*CROQUIS!$C$155)+IF(CROQUIS!$C$92="X",0,0)),-1000)</f>
        <v>-1000</v>
      </c>
      <c r="BL140">
        <f>IF(AND(CROQUIS!$C$88=1,CROQUIS!$C$91=0,CROQUIS!$C$130&gt;0,OR(CROQUIS!$C$103=1,CROQUIS!$C$142=1)),((CROQUIS!$C$156+(IF(CROQUIS!$C$92="X",CHOOSE(IF(INT(($A140-1)/5)&gt;MAX((MIN(80,MAX(1,INT(((CROQUIS!$C$98)-CROQUIS!$C$107)/MAX(CROQUIS!$C$130,1))+1)))-1,0),0,MOD($A140-1,5))+1,0,IF(CROQUIS!$C$103=1,-12,2),CROQUIS!$C$107/2+CROQUIS!$C$140,IF(CROQUIS!$C$103=1,-12,2),0),((CROQUIS!$C$107/2+(((CROQUIS!$C$98)-CROQUIS!$C$107)-(MIN(80,MAX(1,INT(((CROQUIS!$C$98)-CROQUIS!$C$107)/MAX(CROQUIS!$C$130,1))+1))-1)*CROQUIS!$C$130)/2)+MIN(INT(($A140-1)/5),MAX((MIN(80,MAX(1,INT(((CROQUIS!$C$98)-CROQUIS!$C$107)/MAX(CROQUIS!$C$130,1))+1)))-1,0))*CROQUIS!$C$130)))*CROQUIS!$C$155)+IF(CROQUIS!$C$92="X",0,0)),-1000)</f>
        <v>-1000</v>
      </c>
      <c r="BM14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140-1)/5),MAX((MIN(80,MAX(1,INT(((CROQUIS!$C$98)-CROQUIS!$C$107)/MAX(CROQUIS!$C$130,1))+1)))-1,0))*CROQUIS!$C$130),CHOOSE(IF(INT(($A140-1)/5)&gt;MAX((MIN(80,MAX(1,INT(((CROQUIS!$C$98)-CROQUIS!$C$107)/MAX(CROQUIS!$C$130,1))+1)))-1,0),0,MOD($A140-1,5))+1,0,IF(CROQUIS!$C$103=1,-12,2),CROQUIS!$C$107/2+CROQUIS!$C$140,IF(CROQUIS!$C$103=1,-12,2),0)))*CROQUIS!$C$155)+IF(CROQUIS!$C$92="X",0,0)),-1000)</f>
        <v>-1000</v>
      </c>
      <c r="BN140">
        <f>IF(AND(CROQUIS!$C$88=1,CROQUIS!$C$91=0,CROQUIS!$C$130&gt;0,OR(CROQUIS!$C$104=1,CROQUIS!$C$142=1)),((CROQUIS!$C$156+(IF(CROQUIS!$C$92="X",CHOOSE(IF(INT(($A140-1)/5)&gt;MAX((MIN(80,MAX(1,INT(((CROQUIS!$C$98)-CROQUIS!$C$107)/MAX(CROQUIS!$C$130,1))+1)))-1,0),0,MOD($A140-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140-1)/5),MAX((MIN(80,MAX(1,INT(((CROQUIS!$C$98)-CROQUIS!$C$107)/MAX(CROQUIS!$C$130,1))+1)))-1,0))*CROQUIS!$C$130)))*CROQUIS!$C$155)+IF(CROQUIS!$C$92="X",0,0)),-1000)</f>
        <v>-1000</v>
      </c>
      <c r="BO14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140-1)/5),MAX((MIN(80,MAX(1,INT(((CROQUIS!$C$98)-CROQUIS!$C$107)/MAX(CROQUIS!$C$130,1))+1)))-1,0))*CROQUIS!$C$130),CHOOSE(IF(INT(($A140-1)/5)&gt;MAX((MIN(80,MAX(1,INT(((CROQUIS!$C$98)-CROQUIS!$C$107)/MAX(CROQUIS!$C$130,1))+1)))-1,0),0,MOD($A140-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4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140-1)/5),MAX((MIN(80,MAX(1,INT(((CROQUIS!$C$97)-CROQUIS!$C$107)/MAX(CROQUIS!$C$138,1))+1)))-1,0))*CROQUIS!$C$138),CHOOSE(IF(INT(($A140-1)/5)&gt;MAX((MIN(80,MAX(1,INT(((CROQUIS!$C$97)-CROQUIS!$C$107)/MAX(CROQUIS!$C$138,1))+1)))-1,0),0,MOD($A140-1,5))+1,0,IF(CROQUIS!$C$105=1,-12,2),CROQUIS!$C$107/2+CROQUIS!$C$141,IF(CROQUIS!$C$105=1,-12,2),0)))*CROQUIS!$C$155)+IF(CROQUIS!$C$92="X",0,0)),-1000)</f>
        <v>-1000</v>
      </c>
      <c r="BQ140">
        <f>IF(AND(CROQUIS!$C$88=1,CROQUIS!$C$91=0,CROQUIS!$C$138&gt;0,OR(CROQUIS!$C$105=1,CROQUIS!$C$143=1)),((CROQUIS!$C$157+(IF(CROQUIS!$C$92="X",CHOOSE(IF(INT(($A140-1)/5)&gt;MAX((MIN(80,MAX(1,INT(((CROQUIS!$C$97)-CROQUIS!$C$107)/MAX(CROQUIS!$C$138,1))+1)))-1,0),0,MOD($A140-1,5))+1,0,IF(CROQUIS!$C$105=1,-12,2),CROQUIS!$C$107/2+CROQUIS!$C$141,IF(CROQUIS!$C$105=1,-12,2),0),((CROQUIS!$C$107/2+(((CROQUIS!$C$97)-CROQUIS!$C$107)-(MIN(80,MAX(1,INT(((CROQUIS!$C$97)-CROQUIS!$C$107)/MAX(CROQUIS!$C$138,1))+1))-1)*CROQUIS!$C$138)/2)+MIN(INT(($A140-1)/5),MAX((MIN(80,MAX(1,INT(((CROQUIS!$C$97)-CROQUIS!$C$107)/MAX(CROQUIS!$C$138,1))+1)))-1,0))*CROQUIS!$C$138)))*CROQUIS!$C$155)+IF(CROQUIS!$C$92="X",0,0)),-1000)</f>
        <v>-1000</v>
      </c>
      <c r="BR14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140-1)/5),MAX((MIN(80,MAX(1,INT(((CROQUIS!$C$97)-CROQUIS!$C$107)/MAX(CROQUIS!$C$138,1))+1)))-1,0))*CROQUIS!$C$138),CHOOSE(IF(INT(($A140-1)/5)&gt;MAX((MIN(80,MAX(1,INT(((CROQUIS!$C$97)-CROQUIS!$C$107)/MAX(CROQUIS!$C$138,1))+1)))-1,0),0,MOD($A140-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40">
        <f>IF(AND(CROQUIS!$C$88=1,CROQUIS!$C$91=0,CROQUIS!$C$138&gt;0,OR(CROQUIS!$C$106=1,CROQUIS!$C$143=1)),((CROQUIS!$C$157+(IF(CROQUIS!$C$92="X",CHOOSE(IF(INT(($A140-1)/5)&gt;MAX((MIN(80,MAX(1,INT(((CROQUIS!$C$97)-CROQUIS!$C$107)/MAX(CROQUIS!$C$138,1))+1)))-1,0),0,MOD($A140-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140-1)/5),MAX((MIN(80,MAX(1,INT(((CROQUIS!$C$97)-CROQUIS!$C$107)/MAX(CROQUIS!$C$138,1))+1)))-1,0))*CROQUIS!$C$138)))*CROQUIS!$C$155)+IF(CROQUIS!$C$92="X",0,0)),-1000)</f>
        <v>-1000</v>
      </c>
      <c r="BT140">
        <f>IF(AND(CROQUIS!$C$88=1,CROQUIS!$C$91=1,CROQUIS!$C$130&gt;0),((CROQUIS!$C$156+(IF(CROQUIS!$C$92="X",CHOOSE(IF(INT(($A140-1)/5)&gt;MAX((MIN(80,MAX(1,INT(((CROQUIS!$C$98)-CROQUIS!$C$107)/MAX(CROQUIS!$C$130,1))+1)))-1,0),0,MOD($A140-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140-1)/5),MAX((MIN(80,MAX(1,INT(((CROQUIS!$C$98)-CROQUIS!$C$107)/MAX(CROQUIS!$C$130,1))+1)))-1,0))*CROQUIS!$C$130)))*CROQUIS!$C$155)+IF(CROQUIS!$C$92="X",0,0)),-1000)</f>
        <v>-1000</v>
      </c>
      <c r="BU140">
        <f>IF(AND(CROQUIS!$C$88=1,CROQUIS!$C$91=1,CROQUIS!$C$130&gt;0),((CROQUIS!$C$157+(IF(CROQUIS!$C$92="X",((CROQUIS!$C$107/2+(((CROQUIS!$C$98)-CROQUIS!$C$107)-(MIN(80,MAX(1,INT(((CROQUIS!$C$98)-CROQUIS!$C$107)/MAX(CROQUIS!$C$130,1))+1))-1)*CROQUIS!$C$130)/2)+MIN(INT(($A140-1)/5),MAX((MIN(80,MAX(1,INT(((CROQUIS!$C$98)-CROQUIS!$C$107)/MAX(CROQUIS!$C$130,1))+1)))-1,0))*CROQUIS!$C$130),CHOOSE(IF(INT(($A140-1)/5)&gt;MAX((MIN(80,MAX(1,INT(((CROQUIS!$C$98)-CROQUIS!$C$107)/MAX(CROQUIS!$C$130,1))+1)))-1,0),0,MOD($A140-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41">
      <c r="A141" t="n">
        <v>134</v>
      </c>
      <c r="BH141">
        <f>IF(AND(CROQUIS!$C$88=1,CROQUIS!$C$126&gt;0),((CROQUIS!$C$156+(IF(CROQUIS!$C$92="X",CHOOSE(IF(INT(($A141-1)/5)&gt;MAX((MIN(80,MAX(1,INT(((CROQUIS!$C$98)-CROQUIS!$C$107)/MAX(CROQUIS!$C$126,1))+1)))-1,0),0,MOD($A141-1,5))+1,0,2,CROQUIS!$C$97-2,2,0),((CROQUIS!$C$107/2+(((CROQUIS!$C$98)-CROQUIS!$C$107)-(MIN(80,MAX(1,INT(((CROQUIS!$C$98)-CROQUIS!$C$107)/MAX(CROQUIS!$C$126,1))+1))-1)*CROQUIS!$C$126)/2)+MIN(INT(($A141-1)/5),MAX((MIN(80,MAX(1,INT(((CROQUIS!$C$98)-CROQUIS!$C$107)/MAX(CROQUIS!$C$126,1))+1)))-1,0))*CROQUIS!$C$126)))*CROQUIS!$C$155)+IF(CROQUIS!$C$92="X",0,0)),-1000)</f>
        <v>-1000</v>
      </c>
      <c r="BI141">
        <f>IF(AND(CROQUIS!$C$88=1,CROQUIS!$C$126&gt;0),((CROQUIS!$C$157+(IF(CROQUIS!$C$92="X",((CROQUIS!$C$107/2+(((CROQUIS!$C$98)-CROQUIS!$C$107)-(MIN(80,MAX(1,INT(((CROQUIS!$C$98)-CROQUIS!$C$107)/MAX(CROQUIS!$C$126,1))+1))-1)*CROQUIS!$C$126)/2)+MIN(INT(($A141-1)/5),MAX((MIN(80,MAX(1,INT(((CROQUIS!$C$98)-CROQUIS!$C$107)/MAX(CROQUIS!$C$126,1))+1)))-1,0))*CROQUIS!$C$126),CHOOSE(IF(INT(($A141-1)/5)&gt;MAX((MIN(80,MAX(1,INT(((CROQUIS!$C$98)-CROQUIS!$C$107)/MAX(CROQUIS!$C$126,1))+1)))-1,0),0,MOD($A141-1,5))+1,0,2,CROQUIS!$C$97-2,2,0)))*CROQUIS!$C$155)+IF(CROQUIS!$C$92="X",0,0)),-1000)</f>
        <v>-1000</v>
      </c>
      <c r="BJ141">
        <f>IF(AND(CROQUIS!$C$88=1,CROQUIS!$C$134&gt;0),((CROQUIS!$C$156+(IF(CROQUIS!$C$92="X",((CROQUIS!$C$107/2+(((CROQUIS!$C$97)-CROQUIS!$C$107)-(MIN(80,MAX(1,INT(((CROQUIS!$C$97)-CROQUIS!$C$107)/MAX(CROQUIS!$C$134,1))+1))-1)*CROQUIS!$C$134)/2)+MIN(INT(($A141-1)/5),MAX((MIN(80,MAX(1,INT(((CROQUIS!$C$97)-CROQUIS!$C$107)/MAX(CROQUIS!$C$134,1))+1)))-1,0))*CROQUIS!$C$134),CHOOSE(IF(INT(($A141-1)/5)&gt;MAX((MIN(80,MAX(1,INT(((CROQUIS!$C$97)-CROQUIS!$C$107)/MAX(CROQUIS!$C$134,1))+1)))-1,0),0,MOD($A141-1,5))+1,0,2,CROQUIS!$C$98-2,2,0)))*CROQUIS!$C$155)+IF(CROQUIS!$C$92="X",0,0)),-1000)</f>
        <v>-1000</v>
      </c>
      <c r="BK141">
        <f>IF(AND(CROQUIS!$C$88=1,CROQUIS!$C$134&gt;0),((CROQUIS!$C$157+(IF(CROQUIS!$C$92="X",CHOOSE(IF(INT(($A141-1)/5)&gt;MAX((MIN(80,MAX(1,INT(((CROQUIS!$C$97)-CROQUIS!$C$107)/MAX(CROQUIS!$C$134,1))+1)))-1,0),0,MOD($A141-1,5))+1,0,2,CROQUIS!$C$98-2,2,0),((CROQUIS!$C$107/2+(((CROQUIS!$C$97)-CROQUIS!$C$107)-(MIN(80,MAX(1,INT(((CROQUIS!$C$97)-CROQUIS!$C$107)/MAX(CROQUIS!$C$134,1))+1))-1)*CROQUIS!$C$134)/2)+MIN(INT(($A141-1)/5),MAX((MIN(80,MAX(1,INT(((CROQUIS!$C$97)-CROQUIS!$C$107)/MAX(CROQUIS!$C$134,1))+1)))-1,0))*CROQUIS!$C$134)))*CROQUIS!$C$155)+IF(CROQUIS!$C$92="X",0,0)),-1000)</f>
        <v>-1000</v>
      </c>
      <c r="BL141">
        <f>IF(AND(CROQUIS!$C$88=1,CROQUIS!$C$91=0,CROQUIS!$C$130&gt;0,OR(CROQUIS!$C$103=1,CROQUIS!$C$142=1)),((CROQUIS!$C$156+(IF(CROQUIS!$C$92="X",CHOOSE(IF(INT(($A141-1)/5)&gt;MAX((MIN(80,MAX(1,INT(((CROQUIS!$C$98)-CROQUIS!$C$107)/MAX(CROQUIS!$C$130,1))+1)))-1,0),0,MOD($A141-1,5))+1,0,IF(CROQUIS!$C$103=1,-12,2),CROQUIS!$C$107/2+CROQUIS!$C$140,IF(CROQUIS!$C$103=1,-12,2),0),((CROQUIS!$C$107/2+(((CROQUIS!$C$98)-CROQUIS!$C$107)-(MIN(80,MAX(1,INT(((CROQUIS!$C$98)-CROQUIS!$C$107)/MAX(CROQUIS!$C$130,1))+1))-1)*CROQUIS!$C$130)/2)+MIN(INT(($A141-1)/5),MAX((MIN(80,MAX(1,INT(((CROQUIS!$C$98)-CROQUIS!$C$107)/MAX(CROQUIS!$C$130,1))+1)))-1,0))*CROQUIS!$C$130)))*CROQUIS!$C$155)+IF(CROQUIS!$C$92="X",0,0)),-1000)</f>
        <v>-1000</v>
      </c>
      <c r="BM14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141-1)/5),MAX((MIN(80,MAX(1,INT(((CROQUIS!$C$98)-CROQUIS!$C$107)/MAX(CROQUIS!$C$130,1))+1)))-1,0))*CROQUIS!$C$130),CHOOSE(IF(INT(($A141-1)/5)&gt;MAX((MIN(80,MAX(1,INT(((CROQUIS!$C$98)-CROQUIS!$C$107)/MAX(CROQUIS!$C$130,1))+1)))-1,0),0,MOD($A141-1,5))+1,0,IF(CROQUIS!$C$103=1,-12,2),CROQUIS!$C$107/2+CROQUIS!$C$140,IF(CROQUIS!$C$103=1,-12,2),0)))*CROQUIS!$C$155)+IF(CROQUIS!$C$92="X",0,0)),-1000)</f>
        <v>-1000</v>
      </c>
      <c r="BN141">
        <f>IF(AND(CROQUIS!$C$88=1,CROQUIS!$C$91=0,CROQUIS!$C$130&gt;0,OR(CROQUIS!$C$104=1,CROQUIS!$C$142=1)),((CROQUIS!$C$156+(IF(CROQUIS!$C$92="X",CHOOSE(IF(INT(($A141-1)/5)&gt;MAX((MIN(80,MAX(1,INT(((CROQUIS!$C$98)-CROQUIS!$C$107)/MAX(CROQUIS!$C$130,1))+1)))-1,0),0,MOD($A141-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141-1)/5),MAX((MIN(80,MAX(1,INT(((CROQUIS!$C$98)-CROQUIS!$C$107)/MAX(CROQUIS!$C$130,1))+1)))-1,0))*CROQUIS!$C$130)))*CROQUIS!$C$155)+IF(CROQUIS!$C$92="X",0,0)),-1000)</f>
        <v>-1000</v>
      </c>
      <c r="BO14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141-1)/5),MAX((MIN(80,MAX(1,INT(((CROQUIS!$C$98)-CROQUIS!$C$107)/MAX(CROQUIS!$C$130,1))+1)))-1,0))*CROQUIS!$C$130),CHOOSE(IF(INT(($A141-1)/5)&gt;MAX((MIN(80,MAX(1,INT(((CROQUIS!$C$98)-CROQUIS!$C$107)/MAX(CROQUIS!$C$130,1))+1)))-1,0),0,MOD($A141-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4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141-1)/5),MAX((MIN(80,MAX(1,INT(((CROQUIS!$C$97)-CROQUIS!$C$107)/MAX(CROQUIS!$C$138,1))+1)))-1,0))*CROQUIS!$C$138),CHOOSE(IF(INT(($A141-1)/5)&gt;MAX((MIN(80,MAX(1,INT(((CROQUIS!$C$97)-CROQUIS!$C$107)/MAX(CROQUIS!$C$138,1))+1)))-1,0),0,MOD($A141-1,5))+1,0,IF(CROQUIS!$C$105=1,-12,2),CROQUIS!$C$107/2+CROQUIS!$C$141,IF(CROQUIS!$C$105=1,-12,2),0)))*CROQUIS!$C$155)+IF(CROQUIS!$C$92="X",0,0)),-1000)</f>
        <v>-1000</v>
      </c>
      <c r="BQ141">
        <f>IF(AND(CROQUIS!$C$88=1,CROQUIS!$C$91=0,CROQUIS!$C$138&gt;0,OR(CROQUIS!$C$105=1,CROQUIS!$C$143=1)),((CROQUIS!$C$157+(IF(CROQUIS!$C$92="X",CHOOSE(IF(INT(($A141-1)/5)&gt;MAX((MIN(80,MAX(1,INT(((CROQUIS!$C$97)-CROQUIS!$C$107)/MAX(CROQUIS!$C$138,1))+1)))-1,0),0,MOD($A141-1,5))+1,0,IF(CROQUIS!$C$105=1,-12,2),CROQUIS!$C$107/2+CROQUIS!$C$141,IF(CROQUIS!$C$105=1,-12,2),0),((CROQUIS!$C$107/2+(((CROQUIS!$C$97)-CROQUIS!$C$107)-(MIN(80,MAX(1,INT(((CROQUIS!$C$97)-CROQUIS!$C$107)/MAX(CROQUIS!$C$138,1))+1))-1)*CROQUIS!$C$138)/2)+MIN(INT(($A141-1)/5),MAX((MIN(80,MAX(1,INT(((CROQUIS!$C$97)-CROQUIS!$C$107)/MAX(CROQUIS!$C$138,1))+1)))-1,0))*CROQUIS!$C$138)))*CROQUIS!$C$155)+IF(CROQUIS!$C$92="X",0,0)),-1000)</f>
        <v>-1000</v>
      </c>
      <c r="BR14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141-1)/5),MAX((MIN(80,MAX(1,INT(((CROQUIS!$C$97)-CROQUIS!$C$107)/MAX(CROQUIS!$C$138,1))+1)))-1,0))*CROQUIS!$C$138),CHOOSE(IF(INT(($A141-1)/5)&gt;MAX((MIN(80,MAX(1,INT(((CROQUIS!$C$97)-CROQUIS!$C$107)/MAX(CROQUIS!$C$138,1))+1)))-1,0),0,MOD($A141-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41">
        <f>IF(AND(CROQUIS!$C$88=1,CROQUIS!$C$91=0,CROQUIS!$C$138&gt;0,OR(CROQUIS!$C$106=1,CROQUIS!$C$143=1)),((CROQUIS!$C$157+(IF(CROQUIS!$C$92="X",CHOOSE(IF(INT(($A141-1)/5)&gt;MAX((MIN(80,MAX(1,INT(((CROQUIS!$C$97)-CROQUIS!$C$107)/MAX(CROQUIS!$C$138,1))+1)))-1,0),0,MOD($A141-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141-1)/5),MAX((MIN(80,MAX(1,INT(((CROQUIS!$C$97)-CROQUIS!$C$107)/MAX(CROQUIS!$C$138,1))+1)))-1,0))*CROQUIS!$C$138)))*CROQUIS!$C$155)+IF(CROQUIS!$C$92="X",0,0)),-1000)</f>
        <v>-1000</v>
      </c>
      <c r="BT141">
        <f>IF(AND(CROQUIS!$C$88=1,CROQUIS!$C$91=1,CROQUIS!$C$130&gt;0),((CROQUIS!$C$156+(IF(CROQUIS!$C$92="X",CHOOSE(IF(INT(($A141-1)/5)&gt;MAX((MIN(80,MAX(1,INT(((CROQUIS!$C$98)-CROQUIS!$C$107)/MAX(CROQUIS!$C$130,1))+1)))-1,0),0,MOD($A141-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141-1)/5),MAX((MIN(80,MAX(1,INT(((CROQUIS!$C$98)-CROQUIS!$C$107)/MAX(CROQUIS!$C$130,1))+1)))-1,0))*CROQUIS!$C$130)))*CROQUIS!$C$155)+IF(CROQUIS!$C$92="X",0,0)),-1000)</f>
        <v>-1000</v>
      </c>
      <c r="BU141">
        <f>IF(AND(CROQUIS!$C$88=1,CROQUIS!$C$91=1,CROQUIS!$C$130&gt;0),((CROQUIS!$C$157+(IF(CROQUIS!$C$92="X",((CROQUIS!$C$107/2+(((CROQUIS!$C$98)-CROQUIS!$C$107)-(MIN(80,MAX(1,INT(((CROQUIS!$C$98)-CROQUIS!$C$107)/MAX(CROQUIS!$C$130,1))+1))-1)*CROQUIS!$C$130)/2)+MIN(INT(($A141-1)/5),MAX((MIN(80,MAX(1,INT(((CROQUIS!$C$98)-CROQUIS!$C$107)/MAX(CROQUIS!$C$130,1))+1)))-1,0))*CROQUIS!$C$130),CHOOSE(IF(INT(($A141-1)/5)&gt;MAX((MIN(80,MAX(1,INT(((CROQUIS!$C$98)-CROQUIS!$C$107)/MAX(CROQUIS!$C$130,1))+1)))-1,0),0,MOD($A141-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42">
      <c r="A142" t="n">
        <v>135</v>
      </c>
      <c r="BH142">
        <f>IF(AND(CROQUIS!$C$88=1,CROQUIS!$C$126&gt;0),((CROQUIS!$C$156+(IF(CROQUIS!$C$92="X",CHOOSE(IF(INT(($A142-1)/5)&gt;MAX((MIN(80,MAX(1,INT(((CROQUIS!$C$98)-CROQUIS!$C$107)/MAX(CROQUIS!$C$126,1))+1)))-1,0),0,MOD($A142-1,5))+1,0,2,CROQUIS!$C$97-2,2,0),((CROQUIS!$C$107/2+(((CROQUIS!$C$98)-CROQUIS!$C$107)-(MIN(80,MAX(1,INT(((CROQUIS!$C$98)-CROQUIS!$C$107)/MAX(CROQUIS!$C$126,1))+1))-1)*CROQUIS!$C$126)/2)+MIN(INT(($A142-1)/5),MAX((MIN(80,MAX(1,INT(((CROQUIS!$C$98)-CROQUIS!$C$107)/MAX(CROQUIS!$C$126,1))+1)))-1,0))*CROQUIS!$C$126)))*CROQUIS!$C$155)+IF(CROQUIS!$C$92="X",0,0)),-1000)</f>
        <v>-1000</v>
      </c>
      <c r="BI142">
        <f>IF(AND(CROQUIS!$C$88=1,CROQUIS!$C$126&gt;0),((CROQUIS!$C$157+(IF(CROQUIS!$C$92="X",((CROQUIS!$C$107/2+(((CROQUIS!$C$98)-CROQUIS!$C$107)-(MIN(80,MAX(1,INT(((CROQUIS!$C$98)-CROQUIS!$C$107)/MAX(CROQUIS!$C$126,1))+1))-1)*CROQUIS!$C$126)/2)+MIN(INT(($A142-1)/5),MAX((MIN(80,MAX(1,INT(((CROQUIS!$C$98)-CROQUIS!$C$107)/MAX(CROQUIS!$C$126,1))+1)))-1,0))*CROQUIS!$C$126),CHOOSE(IF(INT(($A142-1)/5)&gt;MAX((MIN(80,MAX(1,INT(((CROQUIS!$C$98)-CROQUIS!$C$107)/MAX(CROQUIS!$C$126,1))+1)))-1,0),0,MOD($A142-1,5))+1,0,2,CROQUIS!$C$97-2,2,0)))*CROQUIS!$C$155)+IF(CROQUIS!$C$92="X",0,0)),-1000)</f>
        <v>-1000</v>
      </c>
      <c r="BJ142">
        <f>IF(AND(CROQUIS!$C$88=1,CROQUIS!$C$134&gt;0),((CROQUIS!$C$156+(IF(CROQUIS!$C$92="X",((CROQUIS!$C$107/2+(((CROQUIS!$C$97)-CROQUIS!$C$107)-(MIN(80,MAX(1,INT(((CROQUIS!$C$97)-CROQUIS!$C$107)/MAX(CROQUIS!$C$134,1))+1))-1)*CROQUIS!$C$134)/2)+MIN(INT(($A142-1)/5),MAX((MIN(80,MAX(1,INT(((CROQUIS!$C$97)-CROQUIS!$C$107)/MAX(CROQUIS!$C$134,1))+1)))-1,0))*CROQUIS!$C$134),CHOOSE(IF(INT(($A142-1)/5)&gt;MAX((MIN(80,MAX(1,INT(((CROQUIS!$C$97)-CROQUIS!$C$107)/MAX(CROQUIS!$C$134,1))+1)))-1,0),0,MOD($A142-1,5))+1,0,2,CROQUIS!$C$98-2,2,0)))*CROQUIS!$C$155)+IF(CROQUIS!$C$92="X",0,0)),-1000)</f>
        <v>-1000</v>
      </c>
      <c r="BK142">
        <f>IF(AND(CROQUIS!$C$88=1,CROQUIS!$C$134&gt;0),((CROQUIS!$C$157+(IF(CROQUIS!$C$92="X",CHOOSE(IF(INT(($A142-1)/5)&gt;MAX((MIN(80,MAX(1,INT(((CROQUIS!$C$97)-CROQUIS!$C$107)/MAX(CROQUIS!$C$134,1))+1)))-1,0),0,MOD($A142-1,5))+1,0,2,CROQUIS!$C$98-2,2,0),((CROQUIS!$C$107/2+(((CROQUIS!$C$97)-CROQUIS!$C$107)-(MIN(80,MAX(1,INT(((CROQUIS!$C$97)-CROQUIS!$C$107)/MAX(CROQUIS!$C$134,1))+1))-1)*CROQUIS!$C$134)/2)+MIN(INT(($A142-1)/5),MAX((MIN(80,MAX(1,INT(((CROQUIS!$C$97)-CROQUIS!$C$107)/MAX(CROQUIS!$C$134,1))+1)))-1,0))*CROQUIS!$C$134)))*CROQUIS!$C$155)+IF(CROQUIS!$C$92="X",0,0)),-1000)</f>
        <v>-1000</v>
      </c>
      <c r="BL142">
        <f>IF(AND(CROQUIS!$C$88=1,CROQUIS!$C$91=0,CROQUIS!$C$130&gt;0,OR(CROQUIS!$C$103=1,CROQUIS!$C$142=1)),((CROQUIS!$C$156+(IF(CROQUIS!$C$92="X",CHOOSE(IF(INT(($A142-1)/5)&gt;MAX((MIN(80,MAX(1,INT(((CROQUIS!$C$98)-CROQUIS!$C$107)/MAX(CROQUIS!$C$130,1))+1)))-1,0),0,MOD($A142-1,5))+1,0,IF(CROQUIS!$C$103=1,-12,2),CROQUIS!$C$107/2+CROQUIS!$C$140,IF(CROQUIS!$C$103=1,-12,2),0),((CROQUIS!$C$107/2+(((CROQUIS!$C$98)-CROQUIS!$C$107)-(MIN(80,MAX(1,INT(((CROQUIS!$C$98)-CROQUIS!$C$107)/MAX(CROQUIS!$C$130,1))+1))-1)*CROQUIS!$C$130)/2)+MIN(INT(($A142-1)/5),MAX((MIN(80,MAX(1,INT(((CROQUIS!$C$98)-CROQUIS!$C$107)/MAX(CROQUIS!$C$130,1))+1)))-1,0))*CROQUIS!$C$130)))*CROQUIS!$C$155)+IF(CROQUIS!$C$92="X",0,0)),-1000)</f>
        <v>-1000</v>
      </c>
      <c r="BM14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142-1)/5),MAX((MIN(80,MAX(1,INT(((CROQUIS!$C$98)-CROQUIS!$C$107)/MAX(CROQUIS!$C$130,1))+1)))-1,0))*CROQUIS!$C$130),CHOOSE(IF(INT(($A142-1)/5)&gt;MAX((MIN(80,MAX(1,INT(((CROQUIS!$C$98)-CROQUIS!$C$107)/MAX(CROQUIS!$C$130,1))+1)))-1,0),0,MOD($A142-1,5))+1,0,IF(CROQUIS!$C$103=1,-12,2),CROQUIS!$C$107/2+CROQUIS!$C$140,IF(CROQUIS!$C$103=1,-12,2),0)))*CROQUIS!$C$155)+IF(CROQUIS!$C$92="X",0,0)),-1000)</f>
        <v>-1000</v>
      </c>
      <c r="BN142">
        <f>IF(AND(CROQUIS!$C$88=1,CROQUIS!$C$91=0,CROQUIS!$C$130&gt;0,OR(CROQUIS!$C$104=1,CROQUIS!$C$142=1)),((CROQUIS!$C$156+(IF(CROQUIS!$C$92="X",CHOOSE(IF(INT(($A142-1)/5)&gt;MAX((MIN(80,MAX(1,INT(((CROQUIS!$C$98)-CROQUIS!$C$107)/MAX(CROQUIS!$C$130,1))+1)))-1,0),0,MOD($A142-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142-1)/5),MAX((MIN(80,MAX(1,INT(((CROQUIS!$C$98)-CROQUIS!$C$107)/MAX(CROQUIS!$C$130,1))+1)))-1,0))*CROQUIS!$C$130)))*CROQUIS!$C$155)+IF(CROQUIS!$C$92="X",0,0)),-1000)</f>
        <v>-1000</v>
      </c>
      <c r="BO14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142-1)/5),MAX((MIN(80,MAX(1,INT(((CROQUIS!$C$98)-CROQUIS!$C$107)/MAX(CROQUIS!$C$130,1))+1)))-1,0))*CROQUIS!$C$130),CHOOSE(IF(INT(($A142-1)/5)&gt;MAX((MIN(80,MAX(1,INT(((CROQUIS!$C$98)-CROQUIS!$C$107)/MAX(CROQUIS!$C$130,1))+1)))-1,0),0,MOD($A142-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4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142-1)/5),MAX((MIN(80,MAX(1,INT(((CROQUIS!$C$97)-CROQUIS!$C$107)/MAX(CROQUIS!$C$138,1))+1)))-1,0))*CROQUIS!$C$138),CHOOSE(IF(INT(($A142-1)/5)&gt;MAX((MIN(80,MAX(1,INT(((CROQUIS!$C$97)-CROQUIS!$C$107)/MAX(CROQUIS!$C$138,1))+1)))-1,0),0,MOD($A142-1,5))+1,0,IF(CROQUIS!$C$105=1,-12,2),CROQUIS!$C$107/2+CROQUIS!$C$141,IF(CROQUIS!$C$105=1,-12,2),0)))*CROQUIS!$C$155)+IF(CROQUIS!$C$92="X",0,0)),-1000)</f>
        <v>-1000</v>
      </c>
      <c r="BQ142">
        <f>IF(AND(CROQUIS!$C$88=1,CROQUIS!$C$91=0,CROQUIS!$C$138&gt;0,OR(CROQUIS!$C$105=1,CROQUIS!$C$143=1)),((CROQUIS!$C$157+(IF(CROQUIS!$C$92="X",CHOOSE(IF(INT(($A142-1)/5)&gt;MAX((MIN(80,MAX(1,INT(((CROQUIS!$C$97)-CROQUIS!$C$107)/MAX(CROQUIS!$C$138,1))+1)))-1,0),0,MOD($A142-1,5))+1,0,IF(CROQUIS!$C$105=1,-12,2),CROQUIS!$C$107/2+CROQUIS!$C$141,IF(CROQUIS!$C$105=1,-12,2),0),((CROQUIS!$C$107/2+(((CROQUIS!$C$97)-CROQUIS!$C$107)-(MIN(80,MAX(1,INT(((CROQUIS!$C$97)-CROQUIS!$C$107)/MAX(CROQUIS!$C$138,1))+1))-1)*CROQUIS!$C$138)/2)+MIN(INT(($A142-1)/5),MAX((MIN(80,MAX(1,INT(((CROQUIS!$C$97)-CROQUIS!$C$107)/MAX(CROQUIS!$C$138,1))+1)))-1,0))*CROQUIS!$C$138)))*CROQUIS!$C$155)+IF(CROQUIS!$C$92="X",0,0)),-1000)</f>
        <v>-1000</v>
      </c>
      <c r="BR14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142-1)/5),MAX((MIN(80,MAX(1,INT(((CROQUIS!$C$97)-CROQUIS!$C$107)/MAX(CROQUIS!$C$138,1))+1)))-1,0))*CROQUIS!$C$138),CHOOSE(IF(INT(($A142-1)/5)&gt;MAX((MIN(80,MAX(1,INT(((CROQUIS!$C$97)-CROQUIS!$C$107)/MAX(CROQUIS!$C$138,1))+1)))-1,0),0,MOD($A142-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42">
        <f>IF(AND(CROQUIS!$C$88=1,CROQUIS!$C$91=0,CROQUIS!$C$138&gt;0,OR(CROQUIS!$C$106=1,CROQUIS!$C$143=1)),((CROQUIS!$C$157+(IF(CROQUIS!$C$92="X",CHOOSE(IF(INT(($A142-1)/5)&gt;MAX((MIN(80,MAX(1,INT(((CROQUIS!$C$97)-CROQUIS!$C$107)/MAX(CROQUIS!$C$138,1))+1)))-1,0),0,MOD($A142-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142-1)/5),MAX((MIN(80,MAX(1,INT(((CROQUIS!$C$97)-CROQUIS!$C$107)/MAX(CROQUIS!$C$138,1))+1)))-1,0))*CROQUIS!$C$138)))*CROQUIS!$C$155)+IF(CROQUIS!$C$92="X",0,0)),-1000)</f>
        <v>-1000</v>
      </c>
      <c r="BT142">
        <f>IF(AND(CROQUIS!$C$88=1,CROQUIS!$C$91=1,CROQUIS!$C$130&gt;0),((CROQUIS!$C$156+(IF(CROQUIS!$C$92="X",CHOOSE(IF(INT(($A142-1)/5)&gt;MAX((MIN(80,MAX(1,INT(((CROQUIS!$C$98)-CROQUIS!$C$107)/MAX(CROQUIS!$C$130,1))+1)))-1,0),0,MOD($A142-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142-1)/5),MAX((MIN(80,MAX(1,INT(((CROQUIS!$C$98)-CROQUIS!$C$107)/MAX(CROQUIS!$C$130,1))+1)))-1,0))*CROQUIS!$C$130)))*CROQUIS!$C$155)+IF(CROQUIS!$C$92="X",0,0)),-1000)</f>
        <v>-1000</v>
      </c>
      <c r="BU142">
        <f>IF(AND(CROQUIS!$C$88=1,CROQUIS!$C$91=1,CROQUIS!$C$130&gt;0),((CROQUIS!$C$157+(IF(CROQUIS!$C$92="X",((CROQUIS!$C$107/2+(((CROQUIS!$C$98)-CROQUIS!$C$107)-(MIN(80,MAX(1,INT(((CROQUIS!$C$98)-CROQUIS!$C$107)/MAX(CROQUIS!$C$130,1))+1))-1)*CROQUIS!$C$130)/2)+MIN(INT(($A142-1)/5),MAX((MIN(80,MAX(1,INT(((CROQUIS!$C$98)-CROQUIS!$C$107)/MAX(CROQUIS!$C$130,1))+1)))-1,0))*CROQUIS!$C$130),CHOOSE(IF(INT(($A142-1)/5)&gt;MAX((MIN(80,MAX(1,INT(((CROQUIS!$C$98)-CROQUIS!$C$107)/MAX(CROQUIS!$C$130,1))+1)))-1,0),0,MOD($A142-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43">
      <c r="A143" t="n">
        <v>136</v>
      </c>
      <c r="BH143">
        <f>IF(AND(CROQUIS!$C$88=1,CROQUIS!$C$126&gt;0),((CROQUIS!$C$156+(IF(CROQUIS!$C$92="X",CHOOSE(IF(INT(($A143-1)/5)&gt;MAX((MIN(80,MAX(1,INT(((CROQUIS!$C$98)-CROQUIS!$C$107)/MAX(CROQUIS!$C$126,1))+1)))-1,0),0,MOD($A143-1,5))+1,0,2,CROQUIS!$C$97-2,2,0),((CROQUIS!$C$107/2+(((CROQUIS!$C$98)-CROQUIS!$C$107)-(MIN(80,MAX(1,INT(((CROQUIS!$C$98)-CROQUIS!$C$107)/MAX(CROQUIS!$C$126,1))+1))-1)*CROQUIS!$C$126)/2)+MIN(INT(($A143-1)/5),MAX((MIN(80,MAX(1,INT(((CROQUIS!$C$98)-CROQUIS!$C$107)/MAX(CROQUIS!$C$126,1))+1)))-1,0))*CROQUIS!$C$126)))*CROQUIS!$C$155)+IF(CROQUIS!$C$92="X",0,0)),-1000)</f>
        <v>-1000</v>
      </c>
      <c r="BI143">
        <f>IF(AND(CROQUIS!$C$88=1,CROQUIS!$C$126&gt;0),((CROQUIS!$C$157+(IF(CROQUIS!$C$92="X",((CROQUIS!$C$107/2+(((CROQUIS!$C$98)-CROQUIS!$C$107)-(MIN(80,MAX(1,INT(((CROQUIS!$C$98)-CROQUIS!$C$107)/MAX(CROQUIS!$C$126,1))+1))-1)*CROQUIS!$C$126)/2)+MIN(INT(($A143-1)/5),MAX((MIN(80,MAX(1,INT(((CROQUIS!$C$98)-CROQUIS!$C$107)/MAX(CROQUIS!$C$126,1))+1)))-1,0))*CROQUIS!$C$126),CHOOSE(IF(INT(($A143-1)/5)&gt;MAX((MIN(80,MAX(1,INT(((CROQUIS!$C$98)-CROQUIS!$C$107)/MAX(CROQUIS!$C$126,1))+1)))-1,0),0,MOD($A143-1,5))+1,0,2,CROQUIS!$C$97-2,2,0)))*CROQUIS!$C$155)+IF(CROQUIS!$C$92="X",0,0)),-1000)</f>
        <v>-1000</v>
      </c>
      <c r="BJ143">
        <f>IF(AND(CROQUIS!$C$88=1,CROQUIS!$C$134&gt;0),((CROQUIS!$C$156+(IF(CROQUIS!$C$92="X",((CROQUIS!$C$107/2+(((CROQUIS!$C$97)-CROQUIS!$C$107)-(MIN(80,MAX(1,INT(((CROQUIS!$C$97)-CROQUIS!$C$107)/MAX(CROQUIS!$C$134,1))+1))-1)*CROQUIS!$C$134)/2)+MIN(INT(($A143-1)/5),MAX((MIN(80,MAX(1,INT(((CROQUIS!$C$97)-CROQUIS!$C$107)/MAX(CROQUIS!$C$134,1))+1)))-1,0))*CROQUIS!$C$134),CHOOSE(IF(INT(($A143-1)/5)&gt;MAX((MIN(80,MAX(1,INT(((CROQUIS!$C$97)-CROQUIS!$C$107)/MAX(CROQUIS!$C$134,1))+1)))-1,0),0,MOD($A143-1,5))+1,0,2,CROQUIS!$C$98-2,2,0)))*CROQUIS!$C$155)+IF(CROQUIS!$C$92="X",0,0)),-1000)</f>
        <v>-1000</v>
      </c>
      <c r="BK143">
        <f>IF(AND(CROQUIS!$C$88=1,CROQUIS!$C$134&gt;0),((CROQUIS!$C$157+(IF(CROQUIS!$C$92="X",CHOOSE(IF(INT(($A143-1)/5)&gt;MAX((MIN(80,MAX(1,INT(((CROQUIS!$C$97)-CROQUIS!$C$107)/MAX(CROQUIS!$C$134,1))+1)))-1,0),0,MOD($A143-1,5))+1,0,2,CROQUIS!$C$98-2,2,0),((CROQUIS!$C$107/2+(((CROQUIS!$C$97)-CROQUIS!$C$107)-(MIN(80,MAX(1,INT(((CROQUIS!$C$97)-CROQUIS!$C$107)/MAX(CROQUIS!$C$134,1))+1))-1)*CROQUIS!$C$134)/2)+MIN(INT(($A143-1)/5),MAX((MIN(80,MAX(1,INT(((CROQUIS!$C$97)-CROQUIS!$C$107)/MAX(CROQUIS!$C$134,1))+1)))-1,0))*CROQUIS!$C$134)))*CROQUIS!$C$155)+IF(CROQUIS!$C$92="X",0,0)),-1000)</f>
        <v>-1000</v>
      </c>
      <c r="BL143">
        <f>IF(AND(CROQUIS!$C$88=1,CROQUIS!$C$91=0,CROQUIS!$C$130&gt;0,OR(CROQUIS!$C$103=1,CROQUIS!$C$142=1)),((CROQUIS!$C$156+(IF(CROQUIS!$C$92="X",CHOOSE(IF(INT(($A143-1)/5)&gt;MAX((MIN(80,MAX(1,INT(((CROQUIS!$C$98)-CROQUIS!$C$107)/MAX(CROQUIS!$C$130,1))+1)))-1,0),0,MOD($A143-1,5))+1,0,IF(CROQUIS!$C$103=1,-12,2),CROQUIS!$C$107/2+CROQUIS!$C$140,IF(CROQUIS!$C$103=1,-12,2),0),((CROQUIS!$C$107/2+(((CROQUIS!$C$98)-CROQUIS!$C$107)-(MIN(80,MAX(1,INT(((CROQUIS!$C$98)-CROQUIS!$C$107)/MAX(CROQUIS!$C$130,1))+1))-1)*CROQUIS!$C$130)/2)+MIN(INT(($A143-1)/5),MAX((MIN(80,MAX(1,INT(((CROQUIS!$C$98)-CROQUIS!$C$107)/MAX(CROQUIS!$C$130,1))+1)))-1,0))*CROQUIS!$C$130)))*CROQUIS!$C$155)+IF(CROQUIS!$C$92="X",0,0)),-1000)</f>
        <v>-1000</v>
      </c>
      <c r="BM14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143-1)/5),MAX((MIN(80,MAX(1,INT(((CROQUIS!$C$98)-CROQUIS!$C$107)/MAX(CROQUIS!$C$130,1))+1)))-1,0))*CROQUIS!$C$130),CHOOSE(IF(INT(($A143-1)/5)&gt;MAX((MIN(80,MAX(1,INT(((CROQUIS!$C$98)-CROQUIS!$C$107)/MAX(CROQUIS!$C$130,1))+1)))-1,0),0,MOD($A143-1,5))+1,0,IF(CROQUIS!$C$103=1,-12,2),CROQUIS!$C$107/2+CROQUIS!$C$140,IF(CROQUIS!$C$103=1,-12,2),0)))*CROQUIS!$C$155)+IF(CROQUIS!$C$92="X",0,0)),-1000)</f>
        <v>-1000</v>
      </c>
      <c r="BN143">
        <f>IF(AND(CROQUIS!$C$88=1,CROQUIS!$C$91=0,CROQUIS!$C$130&gt;0,OR(CROQUIS!$C$104=1,CROQUIS!$C$142=1)),((CROQUIS!$C$156+(IF(CROQUIS!$C$92="X",CHOOSE(IF(INT(($A143-1)/5)&gt;MAX((MIN(80,MAX(1,INT(((CROQUIS!$C$98)-CROQUIS!$C$107)/MAX(CROQUIS!$C$130,1))+1)))-1,0),0,MOD($A143-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143-1)/5),MAX((MIN(80,MAX(1,INT(((CROQUIS!$C$98)-CROQUIS!$C$107)/MAX(CROQUIS!$C$130,1))+1)))-1,0))*CROQUIS!$C$130)))*CROQUIS!$C$155)+IF(CROQUIS!$C$92="X",0,0)),-1000)</f>
        <v>-1000</v>
      </c>
      <c r="BO14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143-1)/5),MAX((MIN(80,MAX(1,INT(((CROQUIS!$C$98)-CROQUIS!$C$107)/MAX(CROQUIS!$C$130,1))+1)))-1,0))*CROQUIS!$C$130),CHOOSE(IF(INT(($A143-1)/5)&gt;MAX((MIN(80,MAX(1,INT(((CROQUIS!$C$98)-CROQUIS!$C$107)/MAX(CROQUIS!$C$130,1))+1)))-1,0),0,MOD($A143-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4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143-1)/5),MAX((MIN(80,MAX(1,INT(((CROQUIS!$C$97)-CROQUIS!$C$107)/MAX(CROQUIS!$C$138,1))+1)))-1,0))*CROQUIS!$C$138),CHOOSE(IF(INT(($A143-1)/5)&gt;MAX((MIN(80,MAX(1,INT(((CROQUIS!$C$97)-CROQUIS!$C$107)/MAX(CROQUIS!$C$138,1))+1)))-1,0),0,MOD($A143-1,5))+1,0,IF(CROQUIS!$C$105=1,-12,2),CROQUIS!$C$107/2+CROQUIS!$C$141,IF(CROQUIS!$C$105=1,-12,2),0)))*CROQUIS!$C$155)+IF(CROQUIS!$C$92="X",0,0)),-1000)</f>
        <v>-1000</v>
      </c>
      <c r="BQ143">
        <f>IF(AND(CROQUIS!$C$88=1,CROQUIS!$C$91=0,CROQUIS!$C$138&gt;0,OR(CROQUIS!$C$105=1,CROQUIS!$C$143=1)),((CROQUIS!$C$157+(IF(CROQUIS!$C$92="X",CHOOSE(IF(INT(($A143-1)/5)&gt;MAX((MIN(80,MAX(1,INT(((CROQUIS!$C$97)-CROQUIS!$C$107)/MAX(CROQUIS!$C$138,1))+1)))-1,0),0,MOD($A143-1,5))+1,0,IF(CROQUIS!$C$105=1,-12,2),CROQUIS!$C$107/2+CROQUIS!$C$141,IF(CROQUIS!$C$105=1,-12,2),0),((CROQUIS!$C$107/2+(((CROQUIS!$C$97)-CROQUIS!$C$107)-(MIN(80,MAX(1,INT(((CROQUIS!$C$97)-CROQUIS!$C$107)/MAX(CROQUIS!$C$138,1))+1))-1)*CROQUIS!$C$138)/2)+MIN(INT(($A143-1)/5),MAX((MIN(80,MAX(1,INT(((CROQUIS!$C$97)-CROQUIS!$C$107)/MAX(CROQUIS!$C$138,1))+1)))-1,0))*CROQUIS!$C$138)))*CROQUIS!$C$155)+IF(CROQUIS!$C$92="X",0,0)),-1000)</f>
        <v>-1000</v>
      </c>
      <c r="BR14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143-1)/5),MAX((MIN(80,MAX(1,INT(((CROQUIS!$C$97)-CROQUIS!$C$107)/MAX(CROQUIS!$C$138,1))+1)))-1,0))*CROQUIS!$C$138),CHOOSE(IF(INT(($A143-1)/5)&gt;MAX((MIN(80,MAX(1,INT(((CROQUIS!$C$97)-CROQUIS!$C$107)/MAX(CROQUIS!$C$138,1))+1)))-1,0),0,MOD($A143-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43">
        <f>IF(AND(CROQUIS!$C$88=1,CROQUIS!$C$91=0,CROQUIS!$C$138&gt;0,OR(CROQUIS!$C$106=1,CROQUIS!$C$143=1)),((CROQUIS!$C$157+(IF(CROQUIS!$C$92="X",CHOOSE(IF(INT(($A143-1)/5)&gt;MAX((MIN(80,MAX(1,INT(((CROQUIS!$C$97)-CROQUIS!$C$107)/MAX(CROQUIS!$C$138,1))+1)))-1,0),0,MOD($A143-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143-1)/5),MAX((MIN(80,MAX(1,INT(((CROQUIS!$C$97)-CROQUIS!$C$107)/MAX(CROQUIS!$C$138,1))+1)))-1,0))*CROQUIS!$C$138)))*CROQUIS!$C$155)+IF(CROQUIS!$C$92="X",0,0)),-1000)</f>
        <v>-1000</v>
      </c>
      <c r="BT143">
        <f>IF(AND(CROQUIS!$C$88=1,CROQUIS!$C$91=1,CROQUIS!$C$130&gt;0),((CROQUIS!$C$156+(IF(CROQUIS!$C$92="X",CHOOSE(IF(INT(($A143-1)/5)&gt;MAX((MIN(80,MAX(1,INT(((CROQUIS!$C$98)-CROQUIS!$C$107)/MAX(CROQUIS!$C$130,1))+1)))-1,0),0,MOD($A143-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143-1)/5),MAX((MIN(80,MAX(1,INT(((CROQUIS!$C$98)-CROQUIS!$C$107)/MAX(CROQUIS!$C$130,1))+1)))-1,0))*CROQUIS!$C$130)))*CROQUIS!$C$155)+IF(CROQUIS!$C$92="X",0,0)),-1000)</f>
        <v>-1000</v>
      </c>
      <c r="BU143">
        <f>IF(AND(CROQUIS!$C$88=1,CROQUIS!$C$91=1,CROQUIS!$C$130&gt;0),((CROQUIS!$C$157+(IF(CROQUIS!$C$92="X",((CROQUIS!$C$107/2+(((CROQUIS!$C$98)-CROQUIS!$C$107)-(MIN(80,MAX(1,INT(((CROQUIS!$C$98)-CROQUIS!$C$107)/MAX(CROQUIS!$C$130,1))+1))-1)*CROQUIS!$C$130)/2)+MIN(INT(($A143-1)/5),MAX((MIN(80,MAX(1,INT(((CROQUIS!$C$98)-CROQUIS!$C$107)/MAX(CROQUIS!$C$130,1))+1)))-1,0))*CROQUIS!$C$130),CHOOSE(IF(INT(($A143-1)/5)&gt;MAX((MIN(80,MAX(1,INT(((CROQUIS!$C$98)-CROQUIS!$C$107)/MAX(CROQUIS!$C$130,1))+1)))-1,0),0,MOD($A143-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44">
      <c r="A144" t="n">
        <v>137</v>
      </c>
      <c r="BH144">
        <f>IF(AND(CROQUIS!$C$88=1,CROQUIS!$C$126&gt;0),((CROQUIS!$C$156+(IF(CROQUIS!$C$92="X",CHOOSE(IF(INT(($A144-1)/5)&gt;MAX((MIN(80,MAX(1,INT(((CROQUIS!$C$98)-CROQUIS!$C$107)/MAX(CROQUIS!$C$126,1))+1)))-1,0),0,MOD($A144-1,5))+1,0,2,CROQUIS!$C$97-2,2,0),((CROQUIS!$C$107/2+(((CROQUIS!$C$98)-CROQUIS!$C$107)-(MIN(80,MAX(1,INT(((CROQUIS!$C$98)-CROQUIS!$C$107)/MAX(CROQUIS!$C$126,1))+1))-1)*CROQUIS!$C$126)/2)+MIN(INT(($A144-1)/5),MAX((MIN(80,MAX(1,INT(((CROQUIS!$C$98)-CROQUIS!$C$107)/MAX(CROQUIS!$C$126,1))+1)))-1,0))*CROQUIS!$C$126)))*CROQUIS!$C$155)+IF(CROQUIS!$C$92="X",0,0)),-1000)</f>
        <v>-1000</v>
      </c>
      <c r="BI144">
        <f>IF(AND(CROQUIS!$C$88=1,CROQUIS!$C$126&gt;0),((CROQUIS!$C$157+(IF(CROQUIS!$C$92="X",((CROQUIS!$C$107/2+(((CROQUIS!$C$98)-CROQUIS!$C$107)-(MIN(80,MAX(1,INT(((CROQUIS!$C$98)-CROQUIS!$C$107)/MAX(CROQUIS!$C$126,1))+1))-1)*CROQUIS!$C$126)/2)+MIN(INT(($A144-1)/5),MAX((MIN(80,MAX(1,INT(((CROQUIS!$C$98)-CROQUIS!$C$107)/MAX(CROQUIS!$C$126,1))+1)))-1,0))*CROQUIS!$C$126),CHOOSE(IF(INT(($A144-1)/5)&gt;MAX((MIN(80,MAX(1,INT(((CROQUIS!$C$98)-CROQUIS!$C$107)/MAX(CROQUIS!$C$126,1))+1)))-1,0),0,MOD($A144-1,5))+1,0,2,CROQUIS!$C$97-2,2,0)))*CROQUIS!$C$155)+IF(CROQUIS!$C$92="X",0,0)),-1000)</f>
        <v>-1000</v>
      </c>
      <c r="BJ144">
        <f>IF(AND(CROQUIS!$C$88=1,CROQUIS!$C$134&gt;0),((CROQUIS!$C$156+(IF(CROQUIS!$C$92="X",((CROQUIS!$C$107/2+(((CROQUIS!$C$97)-CROQUIS!$C$107)-(MIN(80,MAX(1,INT(((CROQUIS!$C$97)-CROQUIS!$C$107)/MAX(CROQUIS!$C$134,1))+1))-1)*CROQUIS!$C$134)/2)+MIN(INT(($A144-1)/5),MAX((MIN(80,MAX(1,INT(((CROQUIS!$C$97)-CROQUIS!$C$107)/MAX(CROQUIS!$C$134,1))+1)))-1,0))*CROQUIS!$C$134),CHOOSE(IF(INT(($A144-1)/5)&gt;MAX((MIN(80,MAX(1,INT(((CROQUIS!$C$97)-CROQUIS!$C$107)/MAX(CROQUIS!$C$134,1))+1)))-1,0),0,MOD($A144-1,5))+1,0,2,CROQUIS!$C$98-2,2,0)))*CROQUIS!$C$155)+IF(CROQUIS!$C$92="X",0,0)),-1000)</f>
        <v>-1000</v>
      </c>
      <c r="BK144">
        <f>IF(AND(CROQUIS!$C$88=1,CROQUIS!$C$134&gt;0),((CROQUIS!$C$157+(IF(CROQUIS!$C$92="X",CHOOSE(IF(INT(($A144-1)/5)&gt;MAX((MIN(80,MAX(1,INT(((CROQUIS!$C$97)-CROQUIS!$C$107)/MAX(CROQUIS!$C$134,1))+1)))-1,0),0,MOD($A144-1,5))+1,0,2,CROQUIS!$C$98-2,2,0),((CROQUIS!$C$107/2+(((CROQUIS!$C$97)-CROQUIS!$C$107)-(MIN(80,MAX(1,INT(((CROQUIS!$C$97)-CROQUIS!$C$107)/MAX(CROQUIS!$C$134,1))+1))-1)*CROQUIS!$C$134)/2)+MIN(INT(($A144-1)/5),MAX((MIN(80,MAX(1,INT(((CROQUIS!$C$97)-CROQUIS!$C$107)/MAX(CROQUIS!$C$134,1))+1)))-1,0))*CROQUIS!$C$134)))*CROQUIS!$C$155)+IF(CROQUIS!$C$92="X",0,0)),-1000)</f>
        <v>-1000</v>
      </c>
      <c r="BL144">
        <f>IF(AND(CROQUIS!$C$88=1,CROQUIS!$C$91=0,CROQUIS!$C$130&gt;0,OR(CROQUIS!$C$103=1,CROQUIS!$C$142=1)),((CROQUIS!$C$156+(IF(CROQUIS!$C$92="X",CHOOSE(IF(INT(($A144-1)/5)&gt;MAX((MIN(80,MAX(1,INT(((CROQUIS!$C$98)-CROQUIS!$C$107)/MAX(CROQUIS!$C$130,1))+1)))-1,0),0,MOD($A144-1,5))+1,0,IF(CROQUIS!$C$103=1,-12,2),CROQUIS!$C$107/2+CROQUIS!$C$140,IF(CROQUIS!$C$103=1,-12,2),0),((CROQUIS!$C$107/2+(((CROQUIS!$C$98)-CROQUIS!$C$107)-(MIN(80,MAX(1,INT(((CROQUIS!$C$98)-CROQUIS!$C$107)/MAX(CROQUIS!$C$130,1))+1))-1)*CROQUIS!$C$130)/2)+MIN(INT(($A144-1)/5),MAX((MIN(80,MAX(1,INT(((CROQUIS!$C$98)-CROQUIS!$C$107)/MAX(CROQUIS!$C$130,1))+1)))-1,0))*CROQUIS!$C$130)))*CROQUIS!$C$155)+IF(CROQUIS!$C$92="X",0,0)),-1000)</f>
        <v>-1000</v>
      </c>
      <c r="BM14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144-1)/5),MAX((MIN(80,MAX(1,INT(((CROQUIS!$C$98)-CROQUIS!$C$107)/MAX(CROQUIS!$C$130,1))+1)))-1,0))*CROQUIS!$C$130),CHOOSE(IF(INT(($A144-1)/5)&gt;MAX((MIN(80,MAX(1,INT(((CROQUIS!$C$98)-CROQUIS!$C$107)/MAX(CROQUIS!$C$130,1))+1)))-1,0),0,MOD($A144-1,5))+1,0,IF(CROQUIS!$C$103=1,-12,2),CROQUIS!$C$107/2+CROQUIS!$C$140,IF(CROQUIS!$C$103=1,-12,2),0)))*CROQUIS!$C$155)+IF(CROQUIS!$C$92="X",0,0)),-1000)</f>
        <v>-1000</v>
      </c>
      <c r="BN144">
        <f>IF(AND(CROQUIS!$C$88=1,CROQUIS!$C$91=0,CROQUIS!$C$130&gt;0,OR(CROQUIS!$C$104=1,CROQUIS!$C$142=1)),((CROQUIS!$C$156+(IF(CROQUIS!$C$92="X",CHOOSE(IF(INT(($A144-1)/5)&gt;MAX((MIN(80,MAX(1,INT(((CROQUIS!$C$98)-CROQUIS!$C$107)/MAX(CROQUIS!$C$130,1))+1)))-1,0),0,MOD($A144-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144-1)/5),MAX((MIN(80,MAX(1,INT(((CROQUIS!$C$98)-CROQUIS!$C$107)/MAX(CROQUIS!$C$130,1))+1)))-1,0))*CROQUIS!$C$130)))*CROQUIS!$C$155)+IF(CROQUIS!$C$92="X",0,0)),-1000)</f>
        <v>-1000</v>
      </c>
      <c r="BO14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144-1)/5),MAX((MIN(80,MAX(1,INT(((CROQUIS!$C$98)-CROQUIS!$C$107)/MAX(CROQUIS!$C$130,1))+1)))-1,0))*CROQUIS!$C$130),CHOOSE(IF(INT(($A144-1)/5)&gt;MAX((MIN(80,MAX(1,INT(((CROQUIS!$C$98)-CROQUIS!$C$107)/MAX(CROQUIS!$C$130,1))+1)))-1,0),0,MOD($A144-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4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144-1)/5),MAX((MIN(80,MAX(1,INT(((CROQUIS!$C$97)-CROQUIS!$C$107)/MAX(CROQUIS!$C$138,1))+1)))-1,0))*CROQUIS!$C$138),CHOOSE(IF(INT(($A144-1)/5)&gt;MAX((MIN(80,MAX(1,INT(((CROQUIS!$C$97)-CROQUIS!$C$107)/MAX(CROQUIS!$C$138,1))+1)))-1,0),0,MOD($A144-1,5))+1,0,IF(CROQUIS!$C$105=1,-12,2),CROQUIS!$C$107/2+CROQUIS!$C$141,IF(CROQUIS!$C$105=1,-12,2),0)))*CROQUIS!$C$155)+IF(CROQUIS!$C$92="X",0,0)),-1000)</f>
        <v>-1000</v>
      </c>
      <c r="BQ144">
        <f>IF(AND(CROQUIS!$C$88=1,CROQUIS!$C$91=0,CROQUIS!$C$138&gt;0,OR(CROQUIS!$C$105=1,CROQUIS!$C$143=1)),((CROQUIS!$C$157+(IF(CROQUIS!$C$92="X",CHOOSE(IF(INT(($A144-1)/5)&gt;MAX((MIN(80,MAX(1,INT(((CROQUIS!$C$97)-CROQUIS!$C$107)/MAX(CROQUIS!$C$138,1))+1)))-1,0),0,MOD($A144-1,5))+1,0,IF(CROQUIS!$C$105=1,-12,2),CROQUIS!$C$107/2+CROQUIS!$C$141,IF(CROQUIS!$C$105=1,-12,2),0),((CROQUIS!$C$107/2+(((CROQUIS!$C$97)-CROQUIS!$C$107)-(MIN(80,MAX(1,INT(((CROQUIS!$C$97)-CROQUIS!$C$107)/MAX(CROQUIS!$C$138,1))+1))-1)*CROQUIS!$C$138)/2)+MIN(INT(($A144-1)/5),MAX((MIN(80,MAX(1,INT(((CROQUIS!$C$97)-CROQUIS!$C$107)/MAX(CROQUIS!$C$138,1))+1)))-1,0))*CROQUIS!$C$138)))*CROQUIS!$C$155)+IF(CROQUIS!$C$92="X",0,0)),-1000)</f>
        <v>-1000</v>
      </c>
      <c r="BR14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144-1)/5),MAX((MIN(80,MAX(1,INT(((CROQUIS!$C$97)-CROQUIS!$C$107)/MAX(CROQUIS!$C$138,1))+1)))-1,0))*CROQUIS!$C$138),CHOOSE(IF(INT(($A144-1)/5)&gt;MAX((MIN(80,MAX(1,INT(((CROQUIS!$C$97)-CROQUIS!$C$107)/MAX(CROQUIS!$C$138,1))+1)))-1,0),0,MOD($A144-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44">
        <f>IF(AND(CROQUIS!$C$88=1,CROQUIS!$C$91=0,CROQUIS!$C$138&gt;0,OR(CROQUIS!$C$106=1,CROQUIS!$C$143=1)),((CROQUIS!$C$157+(IF(CROQUIS!$C$92="X",CHOOSE(IF(INT(($A144-1)/5)&gt;MAX((MIN(80,MAX(1,INT(((CROQUIS!$C$97)-CROQUIS!$C$107)/MAX(CROQUIS!$C$138,1))+1)))-1,0),0,MOD($A144-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144-1)/5),MAX((MIN(80,MAX(1,INT(((CROQUIS!$C$97)-CROQUIS!$C$107)/MAX(CROQUIS!$C$138,1))+1)))-1,0))*CROQUIS!$C$138)))*CROQUIS!$C$155)+IF(CROQUIS!$C$92="X",0,0)),-1000)</f>
        <v>-1000</v>
      </c>
      <c r="BT144">
        <f>IF(AND(CROQUIS!$C$88=1,CROQUIS!$C$91=1,CROQUIS!$C$130&gt;0),((CROQUIS!$C$156+(IF(CROQUIS!$C$92="X",CHOOSE(IF(INT(($A144-1)/5)&gt;MAX((MIN(80,MAX(1,INT(((CROQUIS!$C$98)-CROQUIS!$C$107)/MAX(CROQUIS!$C$130,1))+1)))-1,0),0,MOD($A144-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144-1)/5),MAX((MIN(80,MAX(1,INT(((CROQUIS!$C$98)-CROQUIS!$C$107)/MAX(CROQUIS!$C$130,1))+1)))-1,0))*CROQUIS!$C$130)))*CROQUIS!$C$155)+IF(CROQUIS!$C$92="X",0,0)),-1000)</f>
        <v>-1000</v>
      </c>
      <c r="BU144">
        <f>IF(AND(CROQUIS!$C$88=1,CROQUIS!$C$91=1,CROQUIS!$C$130&gt;0),((CROQUIS!$C$157+(IF(CROQUIS!$C$92="X",((CROQUIS!$C$107/2+(((CROQUIS!$C$98)-CROQUIS!$C$107)-(MIN(80,MAX(1,INT(((CROQUIS!$C$98)-CROQUIS!$C$107)/MAX(CROQUIS!$C$130,1))+1))-1)*CROQUIS!$C$130)/2)+MIN(INT(($A144-1)/5),MAX((MIN(80,MAX(1,INT(((CROQUIS!$C$98)-CROQUIS!$C$107)/MAX(CROQUIS!$C$130,1))+1)))-1,0))*CROQUIS!$C$130),CHOOSE(IF(INT(($A144-1)/5)&gt;MAX((MIN(80,MAX(1,INT(((CROQUIS!$C$98)-CROQUIS!$C$107)/MAX(CROQUIS!$C$130,1))+1)))-1,0),0,MOD($A144-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45">
      <c r="A145" t="n">
        <v>138</v>
      </c>
      <c r="BH145">
        <f>IF(AND(CROQUIS!$C$88=1,CROQUIS!$C$126&gt;0),((CROQUIS!$C$156+(IF(CROQUIS!$C$92="X",CHOOSE(IF(INT(($A145-1)/5)&gt;MAX((MIN(80,MAX(1,INT(((CROQUIS!$C$98)-CROQUIS!$C$107)/MAX(CROQUIS!$C$126,1))+1)))-1,0),0,MOD($A145-1,5))+1,0,2,CROQUIS!$C$97-2,2,0),((CROQUIS!$C$107/2+(((CROQUIS!$C$98)-CROQUIS!$C$107)-(MIN(80,MAX(1,INT(((CROQUIS!$C$98)-CROQUIS!$C$107)/MAX(CROQUIS!$C$126,1))+1))-1)*CROQUIS!$C$126)/2)+MIN(INT(($A145-1)/5),MAX((MIN(80,MAX(1,INT(((CROQUIS!$C$98)-CROQUIS!$C$107)/MAX(CROQUIS!$C$126,1))+1)))-1,0))*CROQUIS!$C$126)))*CROQUIS!$C$155)+IF(CROQUIS!$C$92="X",0,0)),-1000)</f>
        <v>-1000</v>
      </c>
      <c r="BI145">
        <f>IF(AND(CROQUIS!$C$88=1,CROQUIS!$C$126&gt;0),((CROQUIS!$C$157+(IF(CROQUIS!$C$92="X",((CROQUIS!$C$107/2+(((CROQUIS!$C$98)-CROQUIS!$C$107)-(MIN(80,MAX(1,INT(((CROQUIS!$C$98)-CROQUIS!$C$107)/MAX(CROQUIS!$C$126,1))+1))-1)*CROQUIS!$C$126)/2)+MIN(INT(($A145-1)/5),MAX((MIN(80,MAX(1,INT(((CROQUIS!$C$98)-CROQUIS!$C$107)/MAX(CROQUIS!$C$126,1))+1)))-1,0))*CROQUIS!$C$126),CHOOSE(IF(INT(($A145-1)/5)&gt;MAX((MIN(80,MAX(1,INT(((CROQUIS!$C$98)-CROQUIS!$C$107)/MAX(CROQUIS!$C$126,1))+1)))-1,0),0,MOD($A145-1,5))+1,0,2,CROQUIS!$C$97-2,2,0)))*CROQUIS!$C$155)+IF(CROQUIS!$C$92="X",0,0)),-1000)</f>
        <v>-1000</v>
      </c>
      <c r="BJ145">
        <f>IF(AND(CROQUIS!$C$88=1,CROQUIS!$C$134&gt;0),((CROQUIS!$C$156+(IF(CROQUIS!$C$92="X",((CROQUIS!$C$107/2+(((CROQUIS!$C$97)-CROQUIS!$C$107)-(MIN(80,MAX(1,INT(((CROQUIS!$C$97)-CROQUIS!$C$107)/MAX(CROQUIS!$C$134,1))+1))-1)*CROQUIS!$C$134)/2)+MIN(INT(($A145-1)/5),MAX((MIN(80,MAX(1,INT(((CROQUIS!$C$97)-CROQUIS!$C$107)/MAX(CROQUIS!$C$134,1))+1)))-1,0))*CROQUIS!$C$134),CHOOSE(IF(INT(($A145-1)/5)&gt;MAX((MIN(80,MAX(1,INT(((CROQUIS!$C$97)-CROQUIS!$C$107)/MAX(CROQUIS!$C$134,1))+1)))-1,0),0,MOD($A145-1,5))+1,0,2,CROQUIS!$C$98-2,2,0)))*CROQUIS!$C$155)+IF(CROQUIS!$C$92="X",0,0)),-1000)</f>
        <v>-1000</v>
      </c>
      <c r="BK145">
        <f>IF(AND(CROQUIS!$C$88=1,CROQUIS!$C$134&gt;0),((CROQUIS!$C$157+(IF(CROQUIS!$C$92="X",CHOOSE(IF(INT(($A145-1)/5)&gt;MAX((MIN(80,MAX(1,INT(((CROQUIS!$C$97)-CROQUIS!$C$107)/MAX(CROQUIS!$C$134,1))+1)))-1,0),0,MOD($A145-1,5))+1,0,2,CROQUIS!$C$98-2,2,0),((CROQUIS!$C$107/2+(((CROQUIS!$C$97)-CROQUIS!$C$107)-(MIN(80,MAX(1,INT(((CROQUIS!$C$97)-CROQUIS!$C$107)/MAX(CROQUIS!$C$134,1))+1))-1)*CROQUIS!$C$134)/2)+MIN(INT(($A145-1)/5),MAX((MIN(80,MAX(1,INT(((CROQUIS!$C$97)-CROQUIS!$C$107)/MAX(CROQUIS!$C$134,1))+1)))-1,0))*CROQUIS!$C$134)))*CROQUIS!$C$155)+IF(CROQUIS!$C$92="X",0,0)),-1000)</f>
        <v>-1000</v>
      </c>
      <c r="BL145">
        <f>IF(AND(CROQUIS!$C$88=1,CROQUIS!$C$91=0,CROQUIS!$C$130&gt;0,OR(CROQUIS!$C$103=1,CROQUIS!$C$142=1)),((CROQUIS!$C$156+(IF(CROQUIS!$C$92="X",CHOOSE(IF(INT(($A145-1)/5)&gt;MAX((MIN(80,MAX(1,INT(((CROQUIS!$C$98)-CROQUIS!$C$107)/MAX(CROQUIS!$C$130,1))+1)))-1,0),0,MOD($A145-1,5))+1,0,IF(CROQUIS!$C$103=1,-12,2),CROQUIS!$C$107/2+CROQUIS!$C$140,IF(CROQUIS!$C$103=1,-12,2),0),((CROQUIS!$C$107/2+(((CROQUIS!$C$98)-CROQUIS!$C$107)-(MIN(80,MAX(1,INT(((CROQUIS!$C$98)-CROQUIS!$C$107)/MAX(CROQUIS!$C$130,1))+1))-1)*CROQUIS!$C$130)/2)+MIN(INT(($A145-1)/5),MAX((MIN(80,MAX(1,INT(((CROQUIS!$C$98)-CROQUIS!$C$107)/MAX(CROQUIS!$C$130,1))+1)))-1,0))*CROQUIS!$C$130)))*CROQUIS!$C$155)+IF(CROQUIS!$C$92="X",0,0)),-1000)</f>
        <v>-1000</v>
      </c>
      <c r="BM14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145-1)/5),MAX((MIN(80,MAX(1,INT(((CROQUIS!$C$98)-CROQUIS!$C$107)/MAX(CROQUIS!$C$130,1))+1)))-1,0))*CROQUIS!$C$130),CHOOSE(IF(INT(($A145-1)/5)&gt;MAX((MIN(80,MAX(1,INT(((CROQUIS!$C$98)-CROQUIS!$C$107)/MAX(CROQUIS!$C$130,1))+1)))-1,0),0,MOD($A145-1,5))+1,0,IF(CROQUIS!$C$103=1,-12,2),CROQUIS!$C$107/2+CROQUIS!$C$140,IF(CROQUIS!$C$103=1,-12,2),0)))*CROQUIS!$C$155)+IF(CROQUIS!$C$92="X",0,0)),-1000)</f>
        <v>-1000</v>
      </c>
      <c r="BN145">
        <f>IF(AND(CROQUIS!$C$88=1,CROQUIS!$C$91=0,CROQUIS!$C$130&gt;0,OR(CROQUIS!$C$104=1,CROQUIS!$C$142=1)),((CROQUIS!$C$156+(IF(CROQUIS!$C$92="X",CHOOSE(IF(INT(($A145-1)/5)&gt;MAX((MIN(80,MAX(1,INT(((CROQUIS!$C$98)-CROQUIS!$C$107)/MAX(CROQUIS!$C$130,1))+1)))-1,0),0,MOD($A145-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145-1)/5),MAX((MIN(80,MAX(1,INT(((CROQUIS!$C$98)-CROQUIS!$C$107)/MAX(CROQUIS!$C$130,1))+1)))-1,0))*CROQUIS!$C$130)))*CROQUIS!$C$155)+IF(CROQUIS!$C$92="X",0,0)),-1000)</f>
        <v>-1000</v>
      </c>
      <c r="BO14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145-1)/5),MAX((MIN(80,MAX(1,INT(((CROQUIS!$C$98)-CROQUIS!$C$107)/MAX(CROQUIS!$C$130,1))+1)))-1,0))*CROQUIS!$C$130),CHOOSE(IF(INT(($A145-1)/5)&gt;MAX((MIN(80,MAX(1,INT(((CROQUIS!$C$98)-CROQUIS!$C$107)/MAX(CROQUIS!$C$130,1))+1)))-1,0),0,MOD($A145-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4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145-1)/5),MAX((MIN(80,MAX(1,INT(((CROQUIS!$C$97)-CROQUIS!$C$107)/MAX(CROQUIS!$C$138,1))+1)))-1,0))*CROQUIS!$C$138),CHOOSE(IF(INT(($A145-1)/5)&gt;MAX((MIN(80,MAX(1,INT(((CROQUIS!$C$97)-CROQUIS!$C$107)/MAX(CROQUIS!$C$138,1))+1)))-1,0),0,MOD($A145-1,5))+1,0,IF(CROQUIS!$C$105=1,-12,2),CROQUIS!$C$107/2+CROQUIS!$C$141,IF(CROQUIS!$C$105=1,-12,2),0)))*CROQUIS!$C$155)+IF(CROQUIS!$C$92="X",0,0)),-1000)</f>
        <v>-1000</v>
      </c>
      <c r="BQ145">
        <f>IF(AND(CROQUIS!$C$88=1,CROQUIS!$C$91=0,CROQUIS!$C$138&gt;0,OR(CROQUIS!$C$105=1,CROQUIS!$C$143=1)),((CROQUIS!$C$157+(IF(CROQUIS!$C$92="X",CHOOSE(IF(INT(($A145-1)/5)&gt;MAX((MIN(80,MAX(1,INT(((CROQUIS!$C$97)-CROQUIS!$C$107)/MAX(CROQUIS!$C$138,1))+1)))-1,0),0,MOD($A145-1,5))+1,0,IF(CROQUIS!$C$105=1,-12,2),CROQUIS!$C$107/2+CROQUIS!$C$141,IF(CROQUIS!$C$105=1,-12,2),0),((CROQUIS!$C$107/2+(((CROQUIS!$C$97)-CROQUIS!$C$107)-(MIN(80,MAX(1,INT(((CROQUIS!$C$97)-CROQUIS!$C$107)/MAX(CROQUIS!$C$138,1))+1))-1)*CROQUIS!$C$138)/2)+MIN(INT(($A145-1)/5),MAX((MIN(80,MAX(1,INT(((CROQUIS!$C$97)-CROQUIS!$C$107)/MAX(CROQUIS!$C$138,1))+1)))-1,0))*CROQUIS!$C$138)))*CROQUIS!$C$155)+IF(CROQUIS!$C$92="X",0,0)),-1000)</f>
        <v>-1000</v>
      </c>
      <c r="BR14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145-1)/5),MAX((MIN(80,MAX(1,INT(((CROQUIS!$C$97)-CROQUIS!$C$107)/MAX(CROQUIS!$C$138,1))+1)))-1,0))*CROQUIS!$C$138),CHOOSE(IF(INT(($A145-1)/5)&gt;MAX((MIN(80,MAX(1,INT(((CROQUIS!$C$97)-CROQUIS!$C$107)/MAX(CROQUIS!$C$138,1))+1)))-1,0),0,MOD($A145-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45">
        <f>IF(AND(CROQUIS!$C$88=1,CROQUIS!$C$91=0,CROQUIS!$C$138&gt;0,OR(CROQUIS!$C$106=1,CROQUIS!$C$143=1)),((CROQUIS!$C$157+(IF(CROQUIS!$C$92="X",CHOOSE(IF(INT(($A145-1)/5)&gt;MAX((MIN(80,MAX(1,INT(((CROQUIS!$C$97)-CROQUIS!$C$107)/MAX(CROQUIS!$C$138,1))+1)))-1,0),0,MOD($A145-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145-1)/5),MAX((MIN(80,MAX(1,INT(((CROQUIS!$C$97)-CROQUIS!$C$107)/MAX(CROQUIS!$C$138,1))+1)))-1,0))*CROQUIS!$C$138)))*CROQUIS!$C$155)+IF(CROQUIS!$C$92="X",0,0)),-1000)</f>
        <v>-1000</v>
      </c>
      <c r="BT145">
        <f>IF(AND(CROQUIS!$C$88=1,CROQUIS!$C$91=1,CROQUIS!$C$130&gt;0),((CROQUIS!$C$156+(IF(CROQUIS!$C$92="X",CHOOSE(IF(INT(($A145-1)/5)&gt;MAX((MIN(80,MAX(1,INT(((CROQUIS!$C$98)-CROQUIS!$C$107)/MAX(CROQUIS!$C$130,1))+1)))-1,0),0,MOD($A145-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145-1)/5),MAX((MIN(80,MAX(1,INT(((CROQUIS!$C$98)-CROQUIS!$C$107)/MAX(CROQUIS!$C$130,1))+1)))-1,0))*CROQUIS!$C$130)))*CROQUIS!$C$155)+IF(CROQUIS!$C$92="X",0,0)),-1000)</f>
        <v>-1000</v>
      </c>
      <c r="BU145">
        <f>IF(AND(CROQUIS!$C$88=1,CROQUIS!$C$91=1,CROQUIS!$C$130&gt;0),((CROQUIS!$C$157+(IF(CROQUIS!$C$92="X",((CROQUIS!$C$107/2+(((CROQUIS!$C$98)-CROQUIS!$C$107)-(MIN(80,MAX(1,INT(((CROQUIS!$C$98)-CROQUIS!$C$107)/MAX(CROQUIS!$C$130,1))+1))-1)*CROQUIS!$C$130)/2)+MIN(INT(($A145-1)/5),MAX((MIN(80,MAX(1,INT(((CROQUIS!$C$98)-CROQUIS!$C$107)/MAX(CROQUIS!$C$130,1))+1)))-1,0))*CROQUIS!$C$130),CHOOSE(IF(INT(($A145-1)/5)&gt;MAX((MIN(80,MAX(1,INT(((CROQUIS!$C$98)-CROQUIS!$C$107)/MAX(CROQUIS!$C$130,1))+1)))-1,0),0,MOD($A145-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46">
      <c r="A146" t="n">
        <v>139</v>
      </c>
      <c r="BH146">
        <f>IF(AND(CROQUIS!$C$88=1,CROQUIS!$C$126&gt;0),((CROQUIS!$C$156+(IF(CROQUIS!$C$92="X",CHOOSE(IF(INT(($A146-1)/5)&gt;MAX((MIN(80,MAX(1,INT(((CROQUIS!$C$98)-CROQUIS!$C$107)/MAX(CROQUIS!$C$126,1))+1)))-1,0),0,MOD($A146-1,5))+1,0,2,CROQUIS!$C$97-2,2,0),((CROQUIS!$C$107/2+(((CROQUIS!$C$98)-CROQUIS!$C$107)-(MIN(80,MAX(1,INT(((CROQUIS!$C$98)-CROQUIS!$C$107)/MAX(CROQUIS!$C$126,1))+1))-1)*CROQUIS!$C$126)/2)+MIN(INT(($A146-1)/5),MAX((MIN(80,MAX(1,INT(((CROQUIS!$C$98)-CROQUIS!$C$107)/MAX(CROQUIS!$C$126,1))+1)))-1,0))*CROQUIS!$C$126)))*CROQUIS!$C$155)+IF(CROQUIS!$C$92="X",0,0)),-1000)</f>
        <v>-1000</v>
      </c>
      <c r="BI146">
        <f>IF(AND(CROQUIS!$C$88=1,CROQUIS!$C$126&gt;0),((CROQUIS!$C$157+(IF(CROQUIS!$C$92="X",((CROQUIS!$C$107/2+(((CROQUIS!$C$98)-CROQUIS!$C$107)-(MIN(80,MAX(1,INT(((CROQUIS!$C$98)-CROQUIS!$C$107)/MAX(CROQUIS!$C$126,1))+1))-1)*CROQUIS!$C$126)/2)+MIN(INT(($A146-1)/5),MAX((MIN(80,MAX(1,INT(((CROQUIS!$C$98)-CROQUIS!$C$107)/MAX(CROQUIS!$C$126,1))+1)))-1,0))*CROQUIS!$C$126),CHOOSE(IF(INT(($A146-1)/5)&gt;MAX((MIN(80,MAX(1,INT(((CROQUIS!$C$98)-CROQUIS!$C$107)/MAX(CROQUIS!$C$126,1))+1)))-1,0),0,MOD($A146-1,5))+1,0,2,CROQUIS!$C$97-2,2,0)))*CROQUIS!$C$155)+IF(CROQUIS!$C$92="X",0,0)),-1000)</f>
        <v>-1000</v>
      </c>
      <c r="BJ146">
        <f>IF(AND(CROQUIS!$C$88=1,CROQUIS!$C$134&gt;0),((CROQUIS!$C$156+(IF(CROQUIS!$C$92="X",((CROQUIS!$C$107/2+(((CROQUIS!$C$97)-CROQUIS!$C$107)-(MIN(80,MAX(1,INT(((CROQUIS!$C$97)-CROQUIS!$C$107)/MAX(CROQUIS!$C$134,1))+1))-1)*CROQUIS!$C$134)/2)+MIN(INT(($A146-1)/5),MAX((MIN(80,MAX(1,INT(((CROQUIS!$C$97)-CROQUIS!$C$107)/MAX(CROQUIS!$C$134,1))+1)))-1,0))*CROQUIS!$C$134),CHOOSE(IF(INT(($A146-1)/5)&gt;MAX((MIN(80,MAX(1,INT(((CROQUIS!$C$97)-CROQUIS!$C$107)/MAX(CROQUIS!$C$134,1))+1)))-1,0),0,MOD($A146-1,5))+1,0,2,CROQUIS!$C$98-2,2,0)))*CROQUIS!$C$155)+IF(CROQUIS!$C$92="X",0,0)),-1000)</f>
        <v>-1000</v>
      </c>
      <c r="BK146">
        <f>IF(AND(CROQUIS!$C$88=1,CROQUIS!$C$134&gt;0),((CROQUIS!$C$157+(IF(CROQUIS!$C$92="X",CHOOSE(IF(INT(($A146-1)/5)&gt;MAX((MIN(80,MAX(1,INT(((CROQUIS!$C$97)-CROQUIS!$C$107)/MAX(CROQUIS!$C$134,1))+1)))-1,0),0,MOD($A146-1,5))+1,0,2,CROQUIS!$C$98-2,2,0),((CROQUIS!$C$107/2+(((CROQUIS!$C$97)-CROQUIS!$C$107)-(MIN(80,MAX(1,INT(((CROQUIS!$C$97)-CROQUIS!$C$107)/MAX(CROQUIS!$C$134,1))+1))-1)*CROQUIS!$C$134)/2)+MIN(INT(($A146-1)/5),MAX((MIN(80,MAX(1,INT(((CROQUIS!$C$97)-CROQUIS!$C$107)/MAX(CROQUIS!$C$134,1))+1)))-1,0))*CROQUIS!$C$134)))*CROQUIS!$C$155)+IF(CROQUIS!$C$92="X",0,0)),-1000)</f>
        <v>-1000</v>
      </c>
      <c r="BL146">
        <f>IF(AND(CROQUIS!$C$88=1,CROQUIS!$C$91=0,CROQUIS!$C$130&gt;0,OR(CROQUIS!$C$103=1,CROQUIS!$C$142=1)),((CROQUIS!$C$156+(IF(CROQUIS!$C$92="X",CHOOSE(IF(INT(($A146-1)/5)&gt;MAX((MIN(80,MAX(1,INT(((CROQUIS!$C$98)-CROQUIS!$C$107)/MAX(CROQUIS!$C$130,1))+1)))-1,0),0,MOD($A146-1,5))+1,0,IF(CROQUIS!$C$103=1,-12,2),CROQUIS!$C$107/2+CROQUIS!$C$140,IF(CROQUIS!$C$103=1,-12,2),0),((CROQUIS!$C$107/2+(((CROQUIS!$C$98)-CROQUIS!$C$107)-(MIN(80,MAX(1,INT(((CROQUIS!$C$98)-CROQUIS!$C$107)/MAX(CROQUIS!$C$130,1))+1))-1)*CROQUIS!$C$130)/2)+MIN(INT(($A146-1)/5),MAX((MIN(80,MAX(1,INT(((CROQUIS!$C$98)-CROQUIS!$C$107)/MAX(CROQUIS!$C$130,1))+1)))-1,0))*CROQUIS!$C$130)))*CROQUIS!$C$155)+IF(CROQUIS!$C$92="X",0,0)),-1000)</f>
        <v>-1000</v>
      </c>
      <c r="BM14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146-1)/5),MAX((MIN(80,MAX(1,INT(((CROQUIS!$C$98)-CROQUIS!$C$107)/MAX(CROQUIS!$C$130,1))+1)))-1,0))*CROQUIS!$C$130),CHOOSE(IF(INT(($A146-1)/5)&gt;MAX((MIN(80,MAX(1,INT(((CROQUIS!$C$98)-CROQUIS!$C$107)/MAX(CROQUIS!$C$130,1))+1)))-1,0),0,MOD($A146-1,5))+1,0,IF(CROQUIS!$C$103=1,-12,2),CROQUIS!$C$107/2+CROQUIS!$C$140,IF(CROQUIS!$C$103=1,-12,2),0)))*CROQUIS!$C$155)+IF(CROQUIS!$C$92="X",0,0)),-1000)</f>
        <v>-1000</v>
      </c>
      <c r="BN146">
        <f>IF(AND(CROQUIS!$C$88=1,CROQUIS!$C$91=0,CROQUIS!$C$130&gt;0,OR(CROQUIS!$C$104=1,CROQUIS!$C$142=1)),((CROQUIS!$C$156+(IF(CROQUIS!$C$92="X",CHOOSE(IF(INT(($A146-1)/5)&gt;MAX((MIN(80,MAX(1,INT(((CROQUIS!$C$98)-CROQUIS!$C$107)/MAX(CROQUIS!$C$130,1))+1)))-1,0),0,MOD($A146-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146-1)/5),MAX((MIN(80,MAX(1,INT(((CROQUIS!$C$98)-CROQUIS!$C$107)/MAX(CROQUIS!$C$130,1))+1)))-1,0))*CROQUIS!$C$130)))*CROQUIS!$C$155)+IF(CROQUIS!$C$92="X",0,0)),-1000)</f>
        <v>-1000</v>
      </c>
      <c r="BO14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146-1)/5),MAX((MIN(80,MAX(1,INT(((CROQUIS!$C$98)-CROQUIS!$C$107)/MAX(CROQUIS!$C$130,1))+1)))-1,0))*CROQUIS!$C$130),CHOOSE(IF(INT(($A146-1)/5)&gt;MAX((MIN(80,MAX(1,INT(((CROQUIS!$C$98)-CROQUIS!$C$107)/MAX(CROQUIS!$C$130,1))+1)))-1,0),0,MOD($A146-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4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146-1)/5),MAX((MIN(80,MAX(1,INT(((CROQUIS!$C$97)-CROQUIS!$C$107)/MAX(CROQUIS!$C$138,1))+1)))-1,0))*CROQUIS!$C$138),CHOOSE(IF(INT(($A146-1)/5)&gt;MAX((MIN(80,MAX(1,INT(((CROQUIS!$C$97)-CROQUIS!$C$107)/MAX(CROQUIS!$C$138,1))+1)))-1,0),0,MOD($A146-1,5))+1,0,IF(CROQUIS!$C$105=1,-12,2),CROQUIS!$C$107/2+CROQUIS!$C$141,IF(CROQUIS!$C$105=1,-12,2),0)))*CROQUIS!$C$155)+IF(CROQUIS!$C$92="X",0,0)),-1000)</f>
        <v>-1000</v>
      </c>
      <c r="BQ146">
        <f>IF(AND(CROQUIS!$C$88=1,CROQUIS!$C$91=0,CROQUIS!$C$138&gt;0,OR(CROQUIS!$C$105=1,CROQUIS!$C$143=1)),((CROQUIS!$C$157+(IF(CROQUIS!$C$92="X",CHOOSE(IF(INT(($A146-1)/5)&gt;MAX((MIN(80,MAX(1,INT(((CROQUIS!$C$97)-CROQUIS!$C$107)/MAX(CROQUIS!$C$138,1))+1)))-1,0),0,MOD($A146-1,5))+1,0,IF(CROQUIS!$C$105=1,-12,2),CROQUIS!$C$107/2+CROQUIS!$C$141,IF(CROQUIS!$C$105=1,-12,2),0),((CROQUIS!$C$107/2+(((CROQUIS!$C$97)-CROQUIS!$C$107)-(MIN(80,MAX(1,INT(((CROQUIS!$C$97)-CROQUIS!$C$107)/MAX(CROQUIS!$C$138,1))+1))-1)*CROQUIS!$C$138)/2)+MIN(INT(($A146-1)/5),MAX((MIN(80,MAX(1,INT(((CROQUIS!$C$97)-CROQUIS!$C$107)/MAX(CROQUIS!$C$138,1))+1)))-1,0))*CROQUIS!$C$138)))*CROQUIS!$C$155)+IF(CROQUIS!$C$92="X",0,0)),-1000)</f>
        <v>-1000</v>
      </c>
      <c r="BR14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146-1)/5),MAX((MIN(80,MAX(1,INT(((CROQUIS!$C$97)-CROQUIS!$C$107)/MAX(CROQUIS!$C$138,1))+1)))-1,0))*CROQUIS!$C$138),CHOOSE(IF(INT(($A146-1)/5)&gt;MAX((MIN(80,MAX(1,INT(((CROQUIS!$C$97)-CROQUIS!$C$107)/MAX(CROQUIS!$C$138,1))+1)))-1,0),0,MOD($A146-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46">
        <f>IF(AND(CROQUIS!$C$88=1,CROQUIS!$C$91=0,CROQUIS!$C$138&gt;0,OR(CROQUIS!$C$106=1,CROQUIS!$C$143=1)),((CROQUIS!$C$157+(IF(CROQUIS!$C$92="X",CHOOSE(IF(INT(($A146-1)/5)&gt;MAX((MIN(80,MAX(1,INT(((CROQUIS!$C$97)-CROQUIS!$C$107)/MAX(CROQUIS!$C$138,1))+1)))-1,0),0,MOD($A146-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146-1)/5),MAX((MIN(80,MAX(1,INT(((CROQUIS!$C$97)-CROQUIS!$C$107)/MAX(CROQUIS!$C$138,1))+1)))-1,0))*CROQUIS!$C$138)))*CROQUIS!$C$155)+IF(CROQUIS!$C$92="X",0,0)),-1000)</f>
        <v>-1000</v>
      </c>
      <c r="BT146">
        <f>IF(AND(CROQUIS!$C$88=1,CROQUIS!$C$91=1,CROQUIS!$C$130&gt;0),((CROQUIS!$C$156+(IF(CROQUIS!$C$92="X",CHOOSE(IF(INT(($A146-1)/5)&gt;MAX((MIN(80,MAX(1,INT(((CROQUIS!$C$98)-CROQUIS!$C$107)/MAX(CROQUIS!$C$130,1))+1)))-1,0),0,MOD($A146-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146-1)/5),MAX((MIN(80,MAX(1,INT(((CROQUIS!$C$98)-CROQUIS!$C$107)/MAX(CROQUIS!$C$130,1))+1)))-1,0))*CROQUIS!$C$130)))*CROQUIS!$C$155)+IF(CROQUIS!$C$92="X",0,0)),-1000)</f>
        <v>-1000</v>
      </c>
      <c r="BU146">
        <f>IF(AND(CROQUIS!$C$88=1,CROQUIS!$C$91=1,CROQUIS!$C$130&gt;0),((CROQUIS!$C$157+(IF(CROQUIS!$C$92="X",((CROQUIS!$C$107/2+(((CROQUIS!$C$98)-CROQUIS!$C$107)-(MIN(80,MAX(1,INT(((CROQUIS!$C$98)-CROQUIS!$C$107)/MAX(CROQUIS!$C$130,1))+1))-1)*CROQUIS!$C$130)/2)+MIN(INT(($A146-1)/5),MAX((MIN(80,MAX(1,INT(((CROQUIS!$C$98)-CROQUIS!$C$107)/MAX(CROQUIS!$C$130,1))+1)))-1,0))*CROQUIS!$C$130),CHOOSE(IF(INT(($A146-1)/5)&gt;MAX((MIN(80,MAX(1,INT(((CROQUIS!$C$98)-CROQUIS!$C$107)/MAX(CROQUIS!$C$130,1))+1)))-1,0),0,MOD($A146-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47">
      <c r="A147" t="n">
        <v>140</v>
      </c>
      <c r="BH147">
        <f>IF(AND(CROQUIS!$C$88=1,CROQUIS!$C$126&gt;0),((CROQUIS!$C$156+(IF(CROQUIS!$C$92="X",CHOOSE(IF(INT(($A147-1)/5)&gt;MAX((MIN(80,MAX(1,INT(((CROQUIS!$C$98)-CROQUIS!$C$107)/MAX(CROQUIS!$C$126,1))+1)))-1,0),0,MOD($A147-1,5))+1,0,2,CROQUIS!$C$97-2,2,0),((CROQUIS!$C$107/2+(((CROQUIS!$C$98)-CROQUIS!$C$107)-(MIN(80,MAX(1,INT(((CROQUIS!$C$98)-CROQUIS!$C$107)/MAX(CROQUIS!$C$126,1))+1))-1)*CROQUIS!$C$126)/2)+MIN(INT(($A147-1)/5),MAX((MIN(80,MAX(1,INT(((CROQUIS!$C$98)-CROQUIS!$C$107)/MAX(CROQUIS!$C$126,1))+1)))-1,0))*CROQUIS!$C$126)))*CROQUIS!$C$155)+IF(CROQUIS!$C$92="X",0,0)),-1000)</f>
        <v>-1000</v>
      </c>
      <c r="BI147">
        <f>IF(AND(CROQUIS!$C$88=1,CROQUIS!$C$126&gt;0),((CROQUIS!$C$157+(IF(CROQUIS!$C$92="X",((CROQUIS!$C$107/2+(((CROQUIS!$C$98)-CROQUIS!$C$107)-(MIN(80,MAX(1,INT(((CROQUIS!$C$98)-CROQUIS!$C$107)/MAX(CROQUIS!$C$126,1))+1))-1)*CROQUIS!$C$126)/2)+MIN(INT(($A147-1)/5),MAX((MIN(80,MAX(1,INT(((CROQUIS!$C$98)-CROQUIS!$C$107)/MAX(CROQUIS!$C$126,1))+1)))-1,0))*CROQUIS!$C$126),CHOOSE(IF(INT(($A147-1)/5)&gt;MAX((MIN(80,MAX(1,INT(((CROQUIS!$C$98)-CROQUIS!$C$107)/MAX(CROQUIS!$C$126,1))+1)))-1,0),0,MOD($A147-1,5))+1,0,2,CROQUIS!$C$97-2,2,0)))*CROQUIS!$C$155)+IF(CROQUIS!$C$92="X",0,0)),-1000)</f>
        <v>-1000</v>
      </c>
      <c r="BJ147">
        <f>IF(AND(CROQUIS!$C$88=1,CROQUIS!$C$134&gt;0),((CROQUIS!$C$156+(IF(CROQUIS!$C$92="X",((CROQUIS!$C$107/2+(((CROQUIS!$C$97)-CROQUIS!$C$107)-(MIN(80,MAX(1,INT(((CROQUIS!$C$97)-CROQUIS!$C$107)/MAX(CROQUIS!$C$134,1))+1))-1)*CROQUIS!$C$134)/2)+MIN(INT(($A147-1)/5),MAX((MIN(80,MAX(1,INT(((CROQUIS!$C$97)-CROQUIS!$C$107)/MAX(CROQUIS!$C$134,1))+1)))-1,0))*CROQUIS!$C$134),CHOOSE(IF(INT(($A147-1)/5)&gt;MAX((MIN(80,MAX(1,INT(((CROQUIS!$C$97)-CROQUIS!$C$107)/MAX(CROQUIS!$C$134,1))+1)))-1,0),0,MOD($A147-1,5))+1,0,2,CROQUIS!$C$98-2,2,0)))*CROQUIS!$C$155)+IF(CROQUIS!$C$92="X",0,0)),-1000)</f>
        <v>-1000</v>
      </c>
      <c r="BK147">
        <f>IF(AND(CROQUIS!$C$88=1,CROQUIS!$C$134&gt;0),((CROQUIS!$C$157+(IF(CROQUIS!$C$92="X",CHOOSE(IF(INT(($A147-1)/5)&gt;MAX((MIN(80,MAX(1,INT(((CROQUIS!$C$97)-CROQUIS!$C$107)/MAX(CROQUIS!$C$134,1))+1)))-1,0),0,MOD($A147-1,5))+1,0,2,CROQUIS!$C$98-2,2,0),((CROQUIS!$C$107/2+(((CROQUIS!$C$97)-CROQUIS!$C$107)-(MIN(80,MAX(1,INT(((CROQUIS!$C$97)-CROQUIS!$C$107)/MAX(CROQUIS!$C$134,1))+1))-1)*CROQUIS!$C$134)/2)+MIN(INT(($A147-1)/5),MAX((MIN(80,MAX(1,INT(((CROQUIS!$C$97)-CROQUIS!$C$107)/MAX(CROQUIS!$C$134,1))+1)))-1,0))*CROQUIS!$C$134)))*CROQUIS!$C$155)+IF(CROQUIS!$C$92="X",0,0)),-1000)</f>
        <v>-1000</v>
      </c>
      <c r="BL147">
        <f>IF(AND(CROQUIS!$C$88=1,CROQUIS!$C$91=0,CROQUIS!$C$130&gt;0,OR(CROQUIS!$C$103=1,CROQUIS!$C$142=1)),((CROQUIS!$C$156+(IF(CROQUIS!$C$92="X",CHOOSE(IF(INT(($A147-1)/5)&gt;MAX((MIN(80,MAX(1,INT(((CROQUIS!$C$98)-CROQUIS!$C$107)/MAX(CROQUIS!$C$130,1))+1)))-1,0),0,MOD($A147-1,5))+1,0,IF(CROQUIS!$C$103=1,-12,2),CROQUIS!$C$107/2+CROQUIS!$C$140,IF(CROQUIS!$C$103=1,-12,2),0),((CROQUIS!$C$107/2+(((CROQUIS!$C$98)-CROQUIS!$C$107)-(MIN(80,MAX(1,INT(((CROQUIS!$C$98)-CROQUIS!$C$107)/MAX(CROQUIS!$C$130,1))+1))-1)*CROQUIS!$C$130)/2)+MIN(INT(($A147-1)/5),MAX((MIN(80,MAX(1,INT(((CROQUIS!$C$98)-CROQUIS!$C$107)/MAX(CROQUIS!$C$130,1))+1)))-1,0))*CROQUIS!$C$130)))*CROQUIS!$C$155)+IF(CROQUIS!$C$92="X",0,0)),-1000)</f>
        <v>-1000</v>
      </c>
      <c r="BM14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147-1)/5),MAX((MIN(80,MAX(1,INT(((CROQUIS!$C$98)-CROQUIS!$C$107)/MAX(CROQUIS!$C$130,1))+1)))-1,0))*CROQUIS!$C$130),CHOOSE(IF(INT(($A147-1)/5)&gt;MAX((MIN(80,MAX(1,INT(((CROQUIS!$C$98)-CROQUIS!$C$107)/MAX(CROQUIS!$C$130,1))+1)))-1,0),0,MOD($A147-1,5))+1,0,IF(CROQUIS!$C$103=1,-12,2),CROQUIS!$C$107/2+CROQUIS!$C$140,IF(CROQUIS!$C$103=1,-12,2),0)))*CROQUIS!$C$155)+IF(CROQUIS!$C$92="X",0,0)),-1000)</f>
        <v>-1000</v>
      </c>
      <c r="BN147">
        <f>IF(AND(CROQUIS!$C$88=1,CROQUIS!$C$91=0,CROQUIS!$C$130&gt;0,OR(CROQUIS!$C$104=1,CROQUIS!$C$142=1)),((CROQUIS!$C$156+(IF(CROQUIS!$C$92="X",CHOOSE(IF(INT(($A147-1)/5)&gt;MAX((MIN(80,MAX(1,INT(((CROQUIS!$C$98)-CROQUIS!$C$107)/MAX(CROQUIS!$C$130,1))+1)))-1,0),0,MOD($A147-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147-1)/5),MAX((MIN(80,MAX(1,INT(((CROQUIS!$C$98)-CROQUIS!$C$107)/MAX(CROQUIS!$C$130,1))+1)))-1,0))*CROQUIS!$C$130)))*CROQUIS!$C$155)+IF(CROQUIS!$C$92="X",0,0)),-1000)</f>
        <v>-1000</v>
      </c>
      <c r="BO14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147-1)/5),MAX((MIN(80,MAX(1,INT(((CROQUIS!$C$98)-CROQUIS!$C$107)/MAX(CROQUIS!$C$130,1))+1)))-1,0))*CROQUIS!$C$130),CHOOSE(IF(INT(($A147-1)/5)&gt;MAX((MIN(80,MAX(1,INT(((CROQUIS!$C$98)-CROQUIS!$C$107)/MAX(CROQUIS!$C$130,1))+1)))-1,0),0,MOD($A147-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4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147-1)/5),MAX((MIN(80,MAX(1,INT(((CROQUIS!$C$97)-CROQUIS!$C$107)/MAX(CROQUIS!$C$138,1))+1)))-1,0))*CROQUIS!$C$138),CHOOSE(IF(INT(($A147-1)/5)&gt;MAX((MIN(80,MAX(1,INT(((CROQUIS!$C$97)-CROQUIS!$C$107)/MAX(CROQUIS!$C$138,1))+1)))-1,0),0,MOD($A147-1,5))+1,0,IF(CROQUIS!$C$105=1,-12,2),CROQUIS!$C$107/2+CROQUIS!$C$141,IF(CROQUIS!$C$105=1,-12,2),0)))*CROQUIS!$C$155)+IF(CROQUIS!$C$92="X",0,0)),-1000)</f>
        <v>-1000</v>
      </c>
      <c r="BQ147">
        <f>IF(AND(CROQUIS!$C$88=1,CROQUIS!$C$91=0,CROQUIS!$C$138&gt;0,OR(CROQUIS!$C$105=1,CROQUIS!$C$143=1)),((CROQUIS!$C$157+(IF(CROQUIS!$C$92="X",CHOOSE(IF(INT(($A147-1)/5)&gt;MAX((MIN(80,MAX(1,INT(((CROQUIS!$C$97)-CROQUIS!$C$107)/MAX(CROQUIS!$C$138,1))+1)))-1,0),0,MOD($A147-1,5))+1,0,IF(CROQUIS!$C$105=1,-12,2),CROQUIS!$C$107/2+CROQUIS!$C$141,IF(CROQUIS!$C$105=1,-12,2),0),((CROQUIS!$C$107/2+(((CROQUIS!$C$97)-CROQUIS!$C$107)-(MIN(80,MAX(1,INT(((CROQUIS!$C$97)-CROQUIS!$C$107)/MAX(CROQUIS!$C$138,1))+1))-1)*CROQUIS!$C$138)/2)+MIN(INT(($A147-1)/5),MAX((MIN(80,MAX(1,INT(((CROQUIS!$C$97)-CROQUIS!$C$107)/MAX(CROQUIS!$C$138,1))+1)))-1,0))*CROQUIS!$C$138)))*CROQUIS!$C$155)+IF(CROQUIS!$C$92="X",0,0)),-1000)</f>
        <v>-1000</v>
      </c>
      <c r="BR14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147-1)/5),MAX((MIN(80,MAX(1,INT(((CROQUIS!$C$97)-CROQUIS!$C$107)/MAX(CROQUIS!$C$138,1))+1)))-1,0))*CROQUIS!$C$138),CHOOSE(IF(INT(($A147-1)/5)&gt;MAX((MIN(80,MAX(1,INT(((CROQUIS!$C$97)-CROQUIS!$C$107)/MAX(CROQUIS!$C$138,1))+1)))-1,0),0,MOD($A147-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47">
        <f>IF(AND(CROQUIS!$C$88=1,CROQUIS!$C$91=0,CROQUIS!$C$138&gt;0,OR(CROQUIS!$C$106=1,CROQUIS!$C$143=1)),((CROQUIS!$C$157+(IF(CROQUIS!$C$92="X",CHOOSE(IF(INT(($A147-1)/5)&gt;MAX((MIN(80,MAX(1,INT(((CROQUIS!$C$97)-CROQUIS!$C$107)/MAX(CROQUIS!$C$138,1))+1)))-1,0),0,MOD($A147-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147-1)/5),MAX((MIN(80,MAX(1,INT(((CROQUIS!$C$97)-CROQUIS!$C$107)/MAX(CROQUIS!$C$138,1))+1)))-1,0))*CROQUIS!$C$138)))*CROQUIS!$C$155)+IF(CROQUIS!$C$92="X",0,0)),-1000)</f>
        <v>-1000</v>
      </c>
      <c r="BT147">
        <f>IF(AND(CROQUIS!$C$88=1,CROQUIS!$C$91=1,CROQUIS!$C$130&gt;0),((CROQUIS!$C$156+(IF(CROQUIS!$C$92="X",CHOOSE(IF(INT(($A147-1)/5)&gt;MAX((MIN(80,MAX(1,INT(((CROQUIS!$C$98)-CROQUIS!$C$107)/MAX(CROQUIS!$C$130,1))+1)))-1,0),0,MOD($A147-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147-1)/5),MAX((MIN(80,MAX(1,INT(((CROQUIS!$C$98)-CROQUIS!$C$107)/MAX(CROQUIS!$C$130,1))+1)))-1,0))*CROQUIS!$C$130)))*CROQUIS!$C$155)+IF(CROQUIS!$C$92="X",0,0)),-1000)</f>
        <v>-1000</v>
      </c>
      <c r="BU147">
        <f>IF(AND(CROQUIS!$C$88=1,CROQUIS!$C$91=1,CROQUIS!$C$130&gt;0),((CROQUIS!$C$157+(IF(CROQUIS!$C$92="X",((CROQUIS!$C$107/2+(((CROQUIS!$C$98)-CROQUIS!$C$107)-(MIN(80,MAX(1,INT(((CROQUIS!$C$98)-CROQUIS!$C$107)/MAX(CROQUIS!$C$130,1))+1))-1)*CROQUIS!$C$130)/2)+MIN(INT(($A147-1)/5),MAX((MIN(80,MAX(1,INT(((CROQUIS!$C$98)-CROQUIS!$C$107)/MAX(CROQUIS!$C$130,1))+1)))-1,0))*CROQUIS!$C$130),CHOOSE(IF(INT(($A147-1)/5)&gt;MAX((MIN(80,MAX(1,INT(((CROQUIS!$C$98)-CROQUIS!$C$107)/MAX(CROQUIS!$C$130,1))+1)))-1,0),0,MOD($A147-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48">
      <c r="A148" t="n">
        <v>141</v>
      </c>
      <c r="BH148">
        <f>IF(AND(CROQUIS!$C$88=1,CROQUIS!$C$126&gt;0),((CROQUIS!$C$156+(IF(CROQUIS!$C$92="X",CHOOSE(IF(INT(($A148-1)/5)&gt;MAX((MIN(80,MAX(1,INT(((CROQUIS!$C$98)-CROQUIS!$C$107)/MAX(CROQUIS!$C$126,1))+1)))-1,0),0,MOD($A148-1,5))+1,0,2,CROQUIS!$C$97-2,2,0),((CROQUIS!$C$107/2+(((CROQUIS!$C$98)-CROQUIS!$C$107)-(MIN(80,MAX(1,INT(((CROQUIS!$C$98)-CROQUIS!$C$107)/MAX(CROQUIS!$C$126,1))+1))-1)*CROQUIS!$C$126)/2)+MIN(INT(($A148-1)/5),MAX((MIN(80,MAX(1,INT(((CROQUIS!$C$98)-CROQUIS!$C$107)/MAX(CROQUIS!$C$126,1))+1)))-1,0))*CROQUIS!$C$126)))*CROQUIS!$C$155)+IF(CROQUIS!$C$92="X",0,0)),-1000)</f>
        <v>-1000</v>
      </c>
      <c r="BI148">
        <f>IF(AND(CROQUIS!$C$88=1,CROQUIS!$C$126&gt;0),((CROQUIS!$C$157+(IF(CROQUIS!$C$92="X",((CROQUIS!$C$107/2+(((CROQUIS!$C$98)-CROQUIS!$C$107)-(MIN(80,MAX(1,INT(((CROQUIS!$C$98)-CROQUIS!$C$107)/MAX(CROQUIS!$C$126,1))+1))-1)*CROQUIS!$C$126)/2)+MIN(INT(($A148-1)/5),MAX((MIN(80,MAX(1,INT(((CROQUIS!$C$98)-CROQUIS!$C$107)/MAX(CROQUIS!$C$126,1))+1)))-1,0))*CROQUIS!$C$126),CHOOSE(IF(INT(($A148-1)/5)&gt;MAX((MIN(80,MAX(1,INT(((CROQUIS!$C$98)-CROQUIS!$C$107)/MAX(CROQUIS!$C$126,1))+1)))-1,0),0,MOD($A148-1,5))+1,0,2,CROQUIS!$C$97-2,2,0)))*CROQUIS!$C$155)+IF(CROQUIS!$C$92="X",0,0)),-1000)</f>
        <v>-1000</v>
      </c>
      <c r="BJ148">
        <f>IF(AND(CROQUIS!$C$88=1,CROQUIS!$C$134&gt;0),((CROQUIS!$C$156+(IF(CROQUIS!$C$92="X",((CROQUIS!$C$107/2+(((CROQUIS!$C$97)-CROQUIS!$C$107)-(MIN(80,MAX(1,INT(((CROQUIS!$C$97)-CROQUIS!$C$107)/MAX(CROQUIS!$C$134,1))+1))-1)*CROQUIS!$C$134)/2)+MIN(INT(($A148-1)/5),MAX((MIN(80,MAX(1,INT(((CROQUIS!$C$97)-CROQUIS!$C$107)/MAX(CROQUIS!$C$134,1))+1)))-1,0))*CROQUIS!$C$134),CHOOSE(IF(INT(($A148-1)/5)&gt;MAX((MIN(80,MAX(1,INT(((CROQUIS!$C$97)-CROQUIS!$C$107)/MAX(CROQUIS!$C$134,1))+1)))-1,0),0,MOD($A148-1,5))+1,0,2,CROQUIS!$C$98-2,2,0)))*CROQUIS!$C$155)+IF(CROQUIS!$C$92="X",0,0)),-1000)</f>
        <v>-1000</v>
      </c>
      <c r="BK148">
        <f>IF(AND(CROQUIS!$C$88=1,CROQUIS!$C$134&gt;0),((CROQUIS!$C$157+(IF(CROQUIS!$C$92="X",CHOOSE(IF(INT(($A148-1)/5)&gt;MAX((MIN(80,MAX(1,INT(((CROQUIS!$C$97)-CROQUIS!$C$107)/MAX(CROQUIS!$C$134,1))+1)))-1,0),0,MOD($A148-1,5))+1,0,2,CROQUIS!$C$98-2,2,0),((CROQUIS!$C$107/2+(((CROQUIS!$C$97)-CROQUIS!$C$107)-(MIN(80,MAX(1,INT(((CROQUIS!$C$97)-CROQUIS!$C$107)/MAX(CROQUIS!$C$134,1))+1))-1)*CROQUIS!$C$134)/2)+MIN(INT(($A148-1)/5),MAX((MIN(80,MAX(1,INT(((CROQUIS!$C$97)-CROQUIS!$C$107)/MAX(CROQUIS!$C$134,1))+1)))-1,0))*CROQUIS!$C$134)))*CROQUIS!$C$155)+IF(CROQUIS!$C$92="X",0,0)),-1000)</f>
        <v>-1000</v>
      </c>
      <c r="BL148">
        <f>IF(AND(CROQUIS!$C$88=1,CROQUIS!$C$91=0,CROQUIS!$C$130&gt;0,OR(CROQUIS!$C$103=1,CROQUIS!$C$142=1)),((CROQUIS!$C$156+(IF(CROQUIS!$C$92="X",CHOOSE(IF(INT(($A148-1)/5)&gt;MAX((MIN(80,MAX(1,INT(((CROQUIS!$C$98)-CROQUIS!$C$107)/MAX(CROQUIS!$C$130,1))+1)))-1,0),0,MOD($A148-1,5))+1,0,IF(CROQUIS!$C$103=1,-12,2),CROQUIS!$C$107/2+CROQUIS!$C$140,IF(CROQUIS!$C$103=1,-12,2),0),((CROQUIS!$C$107/2+(((CROQUIS!$C$98)-CROQUIS!$C$107)-(MIN(80,MAX(1,INT(((CROQUIS!$C$98)-CROQUIS!$C$107)/MAX(CROQUIS!$C$130,1))+1))-1)*CROQUIS!$C$130)/2)+MIN(INT(($A148-1)/5),MAX((MIN(80,MAX(1,INT(((CROQUIS!$C$98)-CROQUIS!$C$107)/MAX(CROQUIS!$C$130,1))+1)))-1,0))*CROQUIS!$C$130)))*CROQUIS!$C$155)+IF(CROQUIS!$C$92="X",0,0)),-1000)</f>
        <v>-1000</v>
      </c>
      <c r="BM14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148-1)/5),MAX((MIN(80,MAX(1,INT(((CROQUIS!$C$98)-CROQUIS!$C$107)/MAX(CROQUIS!$C$130,1))+1)))-1,0))*CROQUIS!$C$130),CHOOSE(IF(INT(($A148-1)/5)&gt;MAX((MIN(80,MAX(1,INT(((CROQUIS!$C$98)-CROQUIS!$C$107)/MAX(CROQUIS!$C$130,1))+1)))-1,0),0,MOD($A148-1,5))+1,0,IF(CROQUIS!$C$103=1,-12,2),CROQUIS!$C$107/2+CROQUIS!$C$140,IF(CROQUIS!$C$103=1,-12,2),0)))*CROQUIS!$C$155)+IF(CROQUIS!$C$92="X",0,0)),-1000)</f>
        <v>-1000</v>
      </c>
      <c r="BN148">
        <f>IF(AND(CROQUIS!$C$88=1,CROQUIS!$C$91=0,CROQUIS!$C$130&gt;0,OR(CROQUIS!$C$104=1,CROQUIS!$C$142=1)),((CROQUIS!$C$156+(IF(CROQUIS!$C$92="X",CHOOSE(IF(INT(($A148-1)/5)&gt;MAX((MIN(80,MAX(1,INT(((CROQUIS!$C$98)-CROQUIS!$C$107)/MAX(CROQUIS!$C$130,1))+1)))-1,0),0,MOD($A148-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148-1)/5),MAX((MIN(80,MAX(1,INT(((CROQUIS!$C$98)-CROQUIS!$C$107)/MAX(CROQUIS!$C$130,1))+1)))-1,0))*CROQUIS!$C$130)))*CROQUIS!$C$155)+IF(CROQUIS!$C$92="X",0,0)),-1000)</f>
        <v>-1000</v>
      </c>
      <c r="BO14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148-1)/5),MAX((MIN(80,MAX(1,INT(((CROQUIS!$C$98)-CROQUIS!$C$107)/MAX(CROQUIS!$C$130,1))+1)))-1,0))*CROQUIS!$C$130),CHOOSE(IF(INT(($A148-1)/5)&gt;MAX((MIN(80,MAX(1,INT(((CROQUIS!$C$98)-CROQUIS!$C$107)/MAX(CROQUIS!$C$130,1))+1)))-1,0),0,MOD($A148-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4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148-1)/5),MAX((MIN(80,MAX(1,INT(((CROQUIS!$C$97)-CROQUIS!$C$107)/MAX(CROQUIS!$C$138,1))+1)))-1,0))*CROQUIS!$C$138),CHOOSE(IF(INT(($A148-1)/5)&gt;MAX((MIN(80,MAX(1,INT(((CROQUIS!$C$97)-CROQUIS!$C$107)/MAX(CROQUIS!$C$138,1))+1)))-1,0),0,MOD($A148-1,5))+1,0,IF(CROQUIS!$C$105=1,-12,2),CROQUIS!$C$107/2+CROQUIS!$C$141,IF(CROQUIS!$C$105=1,-12,2),0)))*CROQUIS!$C$155)+IF(CROQUIS!$C$92="X",0,0)),-1000)</f>
        <v>-1000</v>
      </c>
      <c r="BQ148">
        <f>IF(AND(CROQUIS!$C$88=1,CROQUIS!$C$91=0,CROQUIS!$C$138&gt;0,OR(CROQUIS!$C$105=1,CROQUIS!$C$143=1)),((CROQUIS!$C$157+(IF(CROQUIS!$C$92="X",CHOOSE(IF(INT(($A148-1)/5)&gt;MAX((MIN(80,MAX(1,INT(((CROQUIS!$C$97)-CROQUIS!$C$107)/MAX(CROQUIS!$C$138,1))+1)))-1,0),0,MOD($A148-1,5))+1,0,IF(CROQUIS!$C$105=1,-12,2),CROQUIS!$C$107/2+CROQUIS!$C$141,IF(CROQUIS!$C$105=1,-12,2),0),((CROQUIS!$C$107/2+(((CROQUIS!$C$97)-CROQUIS!$C$107)-(MIN(80,MAX(1,INT(((CROQUIS!$C$97)-CROQUIS!$C$107)/MAX(CROQUIS!$C$138,1))+1))-1)*CROQUIS!$C$138)/2)+MIN(INT(($A148-1)/5),MAX((MIN(80,MAX(1,INT(((CROQUIS!$C$97)-CROQUIS!$C$107)/MAX(CROQUIS!$C$138,1))+1)))-1,0))*CROQUIS!$C$138)))*CROQUIS!$C$155)+IF(CROQUIS!$C$92="X",0,0)),-1000)</f>
        <v>-1000</v>
      </c>
      <c r="BR14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148-1)/5),MAX((MIN(80,MAX(1,INT(((CROQUIS!$C$97)-CROQUIS!$C$107)/MAX(CROQUIS!$C$138,1))+1)))-1,0))*CROQUIS!$C$138),CHOOSE(IF(INT(($A148-1)/5)&gt;MAX((MIN(80,MAX(1,INT(((CROQUIS!$C$97)-CROQUIS!$C$107)/MAX(CROQUIS!$C$138,1))+1)))-1,0),0,MOD($A148-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48">
        <f>IF(AND(CROQUIS!$C$88=1,CROQUIS!$C$91=0,CROQUIS!$C$138&gt;0,OR(CROQUIS!$C$106=1,CROQUIS!$C$143=1)),((CROQUIS!$C$157+(IF(CROQUIS!$C$92="X",CHOOSE(IF(INT(($A148-1)/5)&gt;MAX((MIN(80,MAX(1,INT(((CROQUIS!$C$97)-CROQUIS!$C$107)/MAX(CROQUIS!$C$138,1))+1)))-1,0),0,MOD($A148-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148-1)/5),MAX((MIN(80,MAX(1,INT(((CROQUIS!$C$97)-CROQUIS!$C$107)/MAX(CROQUIS!$C$138,1))+1)))-1,0))*CROQUIS!$C$138)))*CROQUIS!$C$155)+IF(CROQUIS!$C$92="X",0,0)),-1000)</f>
        <v>-1000</v>
      </c>
      <c r="BT148">
        <f>IF(AND(CROQUIS!$C$88=1,CROQUIS!$C$91=1,CROQUIS!$C$130&gt;0),((CROQUIS!$C$156+(IF(CROQUIS!$C$92="X",CHOOSE(IF(INT(($A148-1)/5)&gt;MAX((MIN(80,MAX(1,INT(((CROQUIS!$C$98)-CROQUIS!$C$107)/MAX(CROQUIS!$C$130,1))+1)))-1,0),0,MOD($A148-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148-1)/5),MAX((MIN(80,MAX(1,INT(((CROQUIS!$C$98)-CROQUIS!$C$107)/MAX(CROQUIS!$C$130,1))+1)))-1,0))*CROQUIS!$C$130)))*CROQUIS!$C$155)+IF(CROQUIS!$C$92="X",0,0)),-1000)</f>
        <v>-1000</v>
      </c>
      <c r="BU148">
        <f>IF(AND(CROQUIS!$C$88=1,CROQUIS!$C$91=1,CROQUIS!$C$130&gt;0),((CROQUIS!$C$157+(IF(CROQUIS!$C$92="X",((CROQUIS!$C$107/2+(((CROQUIS!$C$98)-CROQUIS!$C$107)-(MIN(80,MAX(1,INT(((CROQUIS!$C$98)-CROQUIS!$C$107)/MAX(CROQUIS!$C$130,1))+1))-1)*CROQUIS!$C$130)/2)+MIN(INT(($A148-1)/5),MAX((MIN(80,MAX(1,INT(((CROQUIS!$C$98)-CROQUIS!$C$107)/MAX(CROQUIS!$C$130,1))+1)))-1,0))*CROQUIS!$C$130),CHOOSE(IF(INT(($A148-1)/5)&gt;MAX((MIN(80,MAX(1,INT(((CROQUIS!$C$98)-CROQUIS!$C$107)/MAX(CROQUIS!$C$130,1))+1)))-1,0),0,MOD($A148-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49">
      <c r="A149" t="n">
        <v>142</v>
      </c>
      <c r="BH149">
        <f>IF(AND(CROQUIS!$C$88=1,CROQUIS!$C$126&gt;0),((CROQUIS!$C$156+(IF(CROQUIS!$C$92="X",CHOOSE(IF(INT(($A149-1)/5)&gt;MAX((MIN(80,MAX(1,INT(((CROQUIS!$C$98)-CROQUIS!$C$107)/MAX(CROQUIS!$C$126,1))+1)))-1,0),0,MOD($A149-1,5))+1,0,2,CROQUIS!$C$97-2,2,0),((CROQUIS!$C$107/2+(((CROQUIS!$C$98)-CROQUIS!$C$107)-(MIN(80,MAX(1,INT(((CROQUIS!$C$98)-CROQUIS!$C$107)/MAX(CROQUIS!$C$126,1))+1))-1)*CROQUIS!$C$126)/2)+MIN(INT(($A149-1)/5),MAX((MIN(80,MAX(1,INT(((CROQUIS!$C$98)-CROQUIS!$C$107)/MAX(CROQUIS!$C$126,1))+1)))-1,0))*CROQUIS!$C$126)))*CROQUIS!$C$155)+IF(CROQUIS!$C$92="X",0,0)),-1000)</f>
        <v>-1000</v>
      </c>
      <c r="BI149">
        <f>IF(AND(CROQUIS!$C$88=1,CROQUIS!$C$126&gt;0),((CROQUIS!$C$157+(IF(CROQUIS!$C$92="X",((CROQUIS!$C$107/2+(((CROQUIS!$C$98)-CROQUIS!$C$107)-(MIN(80,MAX(1,INT(((CROQUIS!$C$98)-CROQUIS!$C$107)/MAX(CROQUIS!$C$126,1))+1))-1)*CROQUIS!$C$126)/2)+MIN(INT(($A149-1)/5),MAX((MIN(80,MAX(1,INT(((CROQUIS!$C$98)-CROQUIS!$C$107)/MAX(CROQUIS!$C$126,1))+1)))-1,0))*CROQUIS!$C$126),CHOOSE(IF(INT(($A149-1)/5)&gt;MAX((MIN(80,MAX(1,INT(((CROQUIS!$C$98)-CROQUIS!$C$107)/MAX(CROQUIS!$C$126,1))+1)))-1,0),0,MOD($A149-1,5))+1,0,2,CROQUIS!$C$97-2,2,0)))*CROQUIS!$C$155)+IF(CROQUIS!$C$92="X",0,0)),-1000)</f>
        <v>-1000</v>
      </c>
      <c r="BJ149">
        <f>IF(AND(CROQUIS!$C$88=1,CROQUIS!$C$134&gt;0),((CROQUIS!$C$156+(IF(CROQUIS!$C$92="X",((CROQUIS!$C$107/2+(((CROQUIS!$C$97)-CROQUIS!$C$107)-(MIN(80,MAX(1,INT(((CROQUIS!$C$97)-CROQUIS!$C$107)/MAX(CROQUIS!$C$134,1))+1))-1)*CROQUIS!$C$134)/2)+MIN(INT(($A149-1)/5),MAX((MIN(80,MAX(1,INT(((CROQUIS!$C$97)-CROQUIS!$C$107)/MAX(CROQUIS!$C$134,1))+1)))-1,0))*CROQUIS!$C$134),CHOOSE(IF(INT(($A149-1)/5)&gt;MAX((MIN(80,MAX(1,INT(((CROQUIS!$C$97)-CROQUIS!$C$107)/MAX(CROQUIS!$C$134,1))+1)))-1,0),0,MOD($A149-1,5))+1,0,2,CROQUIS!$C$98-2,2,0)))*CROQUIS!$C$155)+IF(CROQUIS!$C$92="X",0,0)),-1000)</f>
        <v>-1000</v>
      </c>
      <c r="BK149">
        <f>IF(AND(CROQUIS!$C$88=1,CROQUIS!$C$134&gt;0),((CROQUIS!$C$157+(IF(CROQUIS!$C$92="X",CHOOSE(IF(INT(($A149-1)/5)&gt;MAX((MIN(80,MAX(1,INT(((CROQUIS!$C$97)-CROQUIS!$C$107)/MAX(CROQUIS!$C$134,1))+1)))-1,0),0,MOD($A149-1,5))+1,0,2,CROQUIS!$C$98-2,2,0),((CROQUIS!$C$107/2+(((CROQUIS!$C$97)-CROQUIS!$C$107)-(MIN(80,MAX(1,INT(((CROQUIS!$C$97)-CROQUIS!$C$107)/MAX(CROQUIS!$C$134,1))+1))-1)*CROQUIS!$C$134)/2)+MIN(INT(($A149-1)/5),MAX((MIN(80,MAX(1,INT(((CROQUIS!$C$97)-CROQUIS!$C$107)/MAX(CROQUIS!$C$134,1))+1)))-1,0))*CROQUIS!$C$134)))*CROQUIS!$C$155)+IF(CROQUIS!$C$92="X",0,0)),-1000)</f>
        <v>-1000</v>
      </c>
      <c r="BL149">
        <f>IF(AND(CROQUIS!$C$88=1,CROQUIS!$C$91=0,CROQUIS!$C$130&gt;0,OR(CROQUIS!$C$103=1,CROQUIS!$C$142=1)),((CROQUIS!$C$156+(IF(CROQUIS!$C$92="X",CHOOSE(IF(INT(($A149-1)/5)&gt;MAX((MIN(80,MAX(1,INT(((CROQUIS!$C$98)-CROQUIS!$C$107)/MAX(CROQUIS!$C$130,1))+1)))-1,0),0,MOD($A149-1,5))+1,0,IF(CROQUIS!$C$103=1,-12,2),CROQUIS!$C$107/2+CROQUIS!$C$140,IF(CROQUIS!$C$103=1,-12,2),0),((CROQUIS!$C$107/2+(((CROQUIS!$C$98)-CROQUIS!$C$107)-(MIN(80,MAX(1,INT(((CROQUIS!$C$98)-CROQUIS!$C$107)/MAX(CROQUIS!$C$130,1))+1))-1)*CROQUIS!$C$130)/2)+MIN(INT(($A149-1)/5),MAX((MIN(80,MAX(1,INT(((CROQUIS!$C$98)-CROQUIS!$C$107)/MAX(CROQUIS!$C$130,1))+1)))-1,0))*CROQUIS!$C$130)))*CROQUIS!$C$155)+IF(CROQUIS!$C$92="X",0,0)),-1000)</f>
        <v>-1000</v>
      </c>
      <c r="BM14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149-1)/5),MAX((MIN(80,MAX(1,INT(((CROQUIS!$C$98)-CROQUIS!$C$107)/MAX(CROQUIS!$C$130,1))+1)))-1,0))*CROQUIS!$C$130),CHOOSE(IF(INT(($A149-1)/5)&gt;MAX((MIN(80,MAX(1,INT(((CROQUIS!$C$98)-CROQUIS!$C$107)/MAX(CROQUIS!$C$130,1))+1)))-1,0),0,MOD($A149-1,5))+1,0,IF(CROQUIS!$C$103=1,-12,2),CROQUIS!$C$107/2+CROQUIS!$C$140,IF(CROQUIS!$C$103=1,-12,2),0)))*CROQUIS!$C$155)+IF(CROQUIS!$C$92="X",0,0)),-1000)</f>
        <v>-1000</v>
      </c>
      <c r="BN149">
        <f>IF(AND(CROQUIS!$C$88=1,CROQUIS!$C$91=0,CROQUIS!$C$130&gt;0,OR(CROQUIS!$C$104=1,CROQUIS!$C$142=1)),((CROQUIS!$C$156+(IF(CROQUIS!$C$92="X",CHOOSE(IF(INT(($A149-1)/5)&gt;MAX((MIN(80,MAX(1,INT(((CROQUIS!$C$98)-CROQUIS!$C$107)/MAX(CROQUIS!$C$130,1))+1)))-1,0),0,MOD($A149-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149-1)/5),MAX((MIN(80,MAX(1,INT(((CROQUIS!$C$98)-CROQUIS!$C$107)/MAX(CROQUIS!$C$130,1))+1)))-1,0))*CROQUIS!$C$130)))*CROQUIS!$C$155)+IF(CROQUIS!$C$92="X",0,0)),-1000)</f>
        <v>-1000</v>
      </c>
      <c r="BO14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149-1)/5),MAX((MIN(80,MAX(1,INT(((CROQUIS!$C$98)-CROQUIS!$C$107)/MAX(CROQUIS!$C$130,1))+1)))-1,0))*CROQUIS!$C$130),CHOOSE(IF(INT(($A149-1)/5)&gt;MAX((MIN(80,MAX(1,INT(((CROQUIS!$C$98)-CROQUIS!$C$107)/MAX(CROQUIS!$C$130,1))+1)))-1,0),0,MOD($A149-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4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149-1)/5),MAX((MIN(80,MAX(1,INT(((CROQUIS!$C$97)-CROQUIS!$C$107)/MAX(CROQUIS!$C$138,1))+1)))-1,0))*CROQUIS!$C$138),CHOOSE(IF(INT(($A149-1)/5)&gt;MAX((MIN(80,MAX(1,INT(((CROQUIS!$C$97)-CROQUIS!$C$107)/MAX(CROQUIS!$C$138,1))+1)))-1,0),0,MOD($A149-1,5))+1,0,IF(CROQUIS!$C$105=1,-12,2),CROQUIS!$C$107/2+CROQUIS!$C$141,IF(CROQUIS!$C$105=1,-12,2),0)))*CROQUIS!$C$155)+IF(CROQUIS!$C$92="X",0,0)),-1000)</f>
        <v>-1000</v>
      </c>
      <c r="BQ149">
        <f>IF(AND(CROQUIS!$C$88=1,CROQUIS!$C$91=0,CROQUIS!$C$138&gt;0,OR(CROQUIS!$C$105=1,CROQUIS!$C$143=1)),((CROQUIS!$C$157+(IF(CROQUIS!$C$92="X",CHOOSE(IF(INT(($A149-1)/5)&gt;MAX((MIN(80,MAX(1,INT(((CROQUIS!$C$97)-CROQUIS!$C$107)/MAX(CROQUIS!$C$138,1))+1)))-1,0),0,MOD($A149-1,5))+1,0,IF(CROQUIS!$C$105=1,-12,2),CROQUIS!$C$107/2+CROQUIS!$C$141,IF(CROQUIS!$C$105=1,-12,2),0),((CROQUIS!$C$107/2+(((CROQUIS!$C$97)-CROQUIS!$C$107)-(MIN(80,MAX(1,INT(((CROQUIS!$C$97)-CROQUIS!$C$107)/MAX(CROQUIS!$C$138,1))+1))-1)*CROQUIS!$C$138)/2)+MIN(INT(($A149-1)/5),MAX((MIN(80,MAX(1,INT(((CROQUIS!$C$97)-CROQUIS!$C$107)/MAX(CROQUIS!$C$138,1))+1)))-1,0))*CROQUIS!$C$138)))*CROQUIS!$C$155)+IF(CROQUIS!$C$92="X",0,0)),-1000)</f>
        <v>-1000</v>
      </c>
      <c r="BR14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149-1)/5),MAX((MIN(80,MAX(1,INT(((CROQUIS!$C$97)-CROQUIS!$C$107)/MAX(CROQUIS!$C$138,1))+1)))-1,0))*CROQUIS!$C$138),CHOOSE(IF(INT(($A149-1)/5)&gt;MAX((MIN(80,MAX(1,INT(((CROQUIS!$C$97)-CROQUIS!$C$107)/MAX(CROQUIS!$C$138,1))+1)))-1,0),0,MOD($A149-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49">
        <f>IF(AND(CROQUIS!$C$88=1,CROQUIS!$C$91=0,CROQUIS!$C$138&gt;0,OR(CROQUIS!$C$106=1,CROQUIS!$C$143=1)),((CROQUIS!$C$157+(IF(CROQUIS!$C$92="X",CHOOSE(IF(INT(($A149-1)/5)&gt;MAX((MIN(80,MAX(1,INT(((CROQUIS!$C$97)-CROQUIS!$C$107)/MAX(CROQUIS!$C$138,1))+1)))-1,0),0,MOD($A149-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149-1)/5),MAX((MIN(80,MAX(1,INT(((CROQUIS!$C$97)-CROQUIS!$C$107)/MAX(CROQUIS!$C$138,1))+1)))-1,0))*CROQUIS!$C$138)))*CROQUIS!$C$155)+IF(CROQUIS!$C$92="X",0,0)),-1000)</f>
        <v>-1000</v>
      </c>
      <c r="BT149">
        <f>IF(AND(CROQUIS!$C$88=1,CROQUIS!$C$91=1,CROQUIS!$C$130&gt;0),((CROQUIS!$C$156+(IF(CROQUIS!$C$92="X",CHOOSE(IF(INT(($A149-1)/5)&gt;MAX((MIN(80,MAX(1,INT(((CROQUIS!$C$98)-CROQUIS!$C$107)/MAX(CROQUIS!$C$130,1))+1)))-1,0),0,MOD($A149-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149-1)/5),MAX((MIN(80,MAX(1,INT(((CROQUIS!$C$98)-CROQUIS!$C$107)/MAX(CROQUIS!$C$130,1))+1)))-1,0))*CROQUIS!$C$130)))*CROQUIS!$C$155)+IF(CROQUIS!$C$92="X",0,0)),-1000)</f>
        <v>-1000</v>
      </c>
      <c r="BU149">
        <f>IF(AND(CROQUIS!$C$88=1,CROQUIS!$C$91=1,CROQUIS!$C$130&gt;0),((CROQUIS!$C$157+(IF(CROQUIS!$C$92="X",((CROQUIS!$C$107/2+(((CROQUIS!$C$98)-CROQUIS!$C$107)-(MIN(80,MAX(1,INT(((CROQUIS!$C$98)-CROQUIS!$C$107)/MAX(CROQUIS!$C$130,1))+1))-1)*CROQUIS!$C$130)/2)+MIN(INT(($A149-1)/5),MAX((MIN(80,MAX(1,INT(((CROQUIS!$C$98)-CROQUIS!$C$107)/MAX(CROQUIS!$C$130,1))+1)))-1,0))*CROQUIS!$C$130),CHOOSE(IF(INT(($A149-1)/5)&gt;MAX((MIN(80,MAX(1,INT(((CROQUIS!$C$98)-CROQUIS!$C$107)/MAX(CROQUIS!$C$130,1))+1)))-1,0),0,MOD($A149-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50">
      <c r="A150" t="n">
        <v>143</v>
      </c>
      <c r="BH150">
        <f>IF(AND(CROQUIS!$C$88=1,CROQUIS!$C$126&gt;0),((CROQUIS!$C$156+(IF(CROQUIS!$C$92="X",CHOOSE(IF(INT(($A150-1)/5)&gt;MAX((MIN(80,MAX(1,INT(((CROQUIS!$C$98)-CROQUIS!$C$107)/MAX(CROQUIS!$C$126,1))+1)))-1,0),0,MOD($A150-1,5))+1,0,2,CROQUIS!$C$97-2,2,0),((CROQUIS!$C$107/2+(((CROQUIS!$C$98)-CROQUIS!$C$107)-(MIN(80,MAX(1,INT(((CROQUIS!$C$98)-CROQUIS!$C$107)/MAX(CROQUIS!$C$126,1))+1))-1)*CROQUIS!$C$126)/2)+MIN(INT(($A150-1)/5),MAX((MIN(80,MAX(1,INT(((CROQUIS!$C$98)-CROQUIS!$C$107)/MAX(CROQUIS!$C$126,1))+1)))-1,0))*CROQUIS!$C$126)))*CROQUIS!$C$155)+IF(CROQUIS!$C$92="X",0,0)),-1000)</f>
        <v>-1000</v>
      </c>
      <c r="BI150">
        <f>IF(AND(CROQUIS!$C$88=1,CROQUIS!$C$126&gt;0),((CROQUIS!$C$157+(IF(CROQUIS!$C$92="X",((CROQUIS!$C$107/2+(((CROQUIS!$C$98)-CROQUIS!$C$107)-(MIN(80,MAX(1,INT(((CROQUIS!$C$98)-CROQUIS!$C$107)/MAX(CROQUIS!$C$126,1))+1))-1)*CROQUIS!$C$126)/2)+MIN(INT(($A150-1)/5),MAX((MIN(80,MAX(1,INT(((CROQUIS!$C$98)-CROQUIS!$C$107)/MAX(CROQUIS!$C$126,1))+1)))-1,0))*CROQUIS!$C$126),CHOOSE(IF(INT(($A150-1)/5)&gt;MAX((MIN(80,MAX(1,INT(((CROQUIS!$C$98)-CROQUIS!$C$107)/MAX(CROQUIS!$C$126,1))+1)))-1,0),0,MOD($A150-1,5))+1,0,2,CROQUIS!$C$97-2,2,0)))*CROQUIS!$C$155)+IF(CROQUIS!$C$92="X",0,0)),-1000)</f>
        <v>-1000</v>
      </c>
      <c r="BJ150">
        <f>IF(AND(CROQUIS!$C$88=1,CROQUIS!$C$134&gt;0),((CROQUIS!$C$156+(IF(CROQUIS!$C$92="X",((CROQUIS!$C$107/2+(((CROQUIS!$C$97)-CROQUIS!$C$107)-(MIN(80,MAX(1,INT(((CROQUIS!$C$97)-CROQUIS!$C$107)/MAX(CROQUIS!$C$134,1))+1))-1)*CROQUIS!$C$134)/2)+MIN(INT(($A150-1)/5),MAX((MIN(80,MAX(1,INT(((CROQUIS!$C$97)-CROQUIS!$C$107)/MAX(CROQUIS!$C$134,1))+1)))-1,0))*CROQUIS!$C$134),CHOOSE(IF(INT(($A150-1)/5)&gt;MAX((MIN(80,MAX(1,INT(((CROQUIS!$C$97)-CROQUIS!$C$107)/MAX(CROQUIS!$C$134,1))+1)))-1,0),0,MOD($A150-1,5))+1,0,2,CROQUIS!$C$98-2,2,0)))*CROQUIS!$C$155)+IF(CROQUIS!$C$92="X",0,0)),-1000)</f>
        <v>-1000</v>
      </c>
      <c r="BK150">
        <f>IF(AND(CROQUIS!$C$88=1,CROQUIS!$C$134&gt;0),((CROQUIS!$C$157+(IF(CROQUIS!$C$92="X",CHOOSE(IF(INT(($A150-1)/5)&gt;MAX((MIN(80,MAX(1,INT(((CROQUIS!$C$97)-CROQUIS!$C$107)/MAX(CROQUIS!$C$134,1))+1)))-1,0),0,MOD($A150-1,5))+1,0,2,CROQUIS!$C$98-2,2,0),((CROQUIS!$C$107/2+(((CROQUIS!$C$97)-CROQUIS!$C$107)-(MIN(80,MAX(1,INT(((CROQUIS!$C$97)-CROQUIS!$C$107)/MAX(CROQUIS!$C$134,1))+1))-1)*CROQUIS!$C$134)/2)+MIN(INT(($A150-1)/5),MAX((MIN(80,MAX(1,INT(((CROQUIS!$C$97)-CROQUIS!$C$107)/MAX(CROQUIS!$C$134,1))+1)))-1,0))*CROQUIS!$C$134)))*CROQUIS!$C$155)+IF(CROQUIS!$C$92="X",0,0)),-1000)</f>
        <v>-1000</v>
      </c>
      <c r="BL150">
        <f>IF(AND(CROQUIS!$C$88=1,CROQUIS!$C$91=0,CROQUIS!$C$130&gt;0,OR(CROQUIS!$C$103=1,CROQUIS!$C$142=1)),((CROQUIS!$C$156+(IF(CROQUIS!$C$92="X",CHOOSE(IF(INT(($A150-1)/5)&gt;MAX((MIN(80,MAX(1,INT(((CROQUIS!$C$98)-CROQUIS!$C$107)/MAX(CROQUIS!$C$130,1))+1)))-1,0),0,MOD($A150-1,5))+1,0,IF(CROQUIS!$C$103=1,-12,2),CROQUIS!$C$107/2+CROQUIS!$C$140,IF(CROQUIS!$C$103=1,-12,2),0),((CROQUIS!$C$107/2+(((CROQUIS!$C$98)-CROQUIS!$C$107)-(MIN(80,MAX(1,INT(((CROQUIS!$C$98)-CROQUIS!$C$107)/MAX(CROQUIS!$C$130,1))+1))-1)*CROQUIS!$C$130)/2)+MIN(INT(($A150-1)/5),MAX((MIN(80,MAX(1,INT(((CROQUIS!$C$98)-CROQUIS!$C$107)/MAX(CROQUIS!$C$130,1))+1)))-1,0))*CROQUIS!$C$130)))*CROQUIS!$C$155)+IF(CROQUIS!$C$92="X",0,0)),-1000)</f>
        <v>-1000</v>
      </c>
      <c r="BM15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150-1)/5),MAX((MIN(80,MAX(1,INT(((CROQUIS!$C$98)-CROQUIS!$C$107)/MAX(CROQUIS!$C$130,1))+1)))-1,0))*CROQUIS!$C$130),CHOOSE(IF(INT(($A150-1)/5)&gt;MAX((MIN(80,MAX(1,INT(((CROQUIS!$C$98)-CROQUIS!$C$107)/MAX(CROQUIS!$C$130,1))+1)))-1,0),0,MOD($A150-1,5))+1,0,IF(CROQUIS!$C$103=1,-12,2),CROQUIS!$C$107/2+CROQUIS!$C$140,IF(CROQUIS!$C$103=1,-12,2),0)))*CROQUIS!$C$155)+IF(CROQUIS!$C$92="X",0,0)),-1000)</f>
        <v>-1000</v>
      </c>
      <c r="BN150">
        <f>IF(AND(CROQUIS!$C$88=1,CROQUIS!$C$91=0,CROQUIS!$C$130&gt;0,OR(CROQUIS!$C$104=1,CROQUIS!$C$142=1)),((CROQUIS!$C$156+(IF(CROQUIS!$C$92="X",CHOOSE(IF(INT(($A150-1)/5)&gt;MAX((MIN(80,MAX(1,INT(((CROQUIS!$C$98)-CROQUIS!$C$107)/MAX(CROQUIS!$C$130,1))+1)))-1,0),0,MOD($A150-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150-1)/5),MAX((MIN(80,MAX(1,INT(((CROQUIS!$C$98)-CROQUIS!$C$107)/MAX(CROQUIS!$C$130,1))+1)))-1,0))*CROQUIS!$C$130)))*CROQUIS!$C$155)+IF(CROQUIS!$C$92="X",0,0)),-1000)</f>
        <v>-1000</v>
      </c>
      <c r="BO15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150-1)/5),MAX((MIN(80,MAX(1,INT(((CROQUIS!$C$98)-CROQUIS!$C$107)/MAX(CROQUIS!$C$130,1))+1)))-1,0))*CROQUIS!$C$130),CHOOSE(IF(INT(($A150-1)/5)&gt;MAX((MIN(80,MAX(1,INT(((CROQUIS!$C$98)-CROQUIS!$C$107)/MAX(CROQUIS!$C$130,1))+1)))-1,0),0,MOD($A150-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5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150-1)/5),MAX((MIN(80,MAX(1,INT(((CROQUIS!$C$97)-CROQUIS!$C$107)/MAX(CROQUIS!$C$138,1))+1)))-1,0))*CROQUIS!$C$138),CHOOSE(IF(INT(($A150-1)/5)&gt;MAX((MIN(80,MAX(1,INT(((CROQUIS!$C$97)-CROQUIS!$C$107)/MAX(CROQUIS!$C$138,1))+1)))-1,0),0,MOD($A150-1,5))+1,0,IF(CROQUIS!$C$105=1,-12,2),CROQUIS!$C$107/2+CROQUIS!$C$141,IF(CROQUIS!$C$105=1,-12,2),0)))*CROQUIS!$C$155)+IF(CROQUIS!$C$92="X",0,0)),-1000)</f>
        <v>-1000</v>
      </c>
      <c r="BQ150">
        <f>IF(AND(CROQUIS!$C$88=1,CROQUIS!$C$91=0,CROQUIS!$C$138&gt;0,OR(CROQUIS!$C$105=1,CROQUIS!$C$143=1)),((CROQUIS!$C$157+(IF(CROQUIS!$C$92="X",CHOOSE(IF(INT(($A150-1)/5)&gt;MAX((MIN(80,MAX(1,INT(((CROQUIS!$C$97)-CROQUIS!$C$107)/MAX(CROQUIS!$C$138,1))+1)))-1,0),0,MOD($A150-1,5))+1,0,IF(CROQUIS!$C$105=1,-12,2),CROQUIS!$C$107/2+CROQUIS!$C$141,IF(CROQUIS!$C$105=1,-12,2),0),((CROQUIS!$C$107/2+(((CROQUIS!$C$97)-CROQUIS!$C$107)-(MIN(80,MAX(1,INT(((CROQUIS!$C$97)-CROQUIS!$C$107)/MAX(CROQUIS!$C$138,1))+1))-1)*CROQUIS!$C$138)/2)+MIN(INT(($A150-1)/5),MAX((MIN(80,MAX(1,INT(((CROQUIS!$C$97)-CROQUIS!$C$107)/MAX(CROQUIS!$C$138,1))+1)))-1,0))*CROQUIS!$C$138)))*CROQUIS!$C$155)+IF(CROQUIS!$C$92="X",0,0)),-1000)</f>
        <v>-1000</v>
      </c>
      <c r="BR15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150-1)/5),MAX((MIN(80,MAX(1,INT(((CROQUIS!$C$97)-CROQUIS!$C$107)/MAX(CROQUIS!$C$138,1))+1)))-1,0))*CROQUIS!$C$138),CHOOSE(IF(INT(($A150-1)/5)&gt;MAX((MIN(80,MAX(1,INT(((CROQUIS!$C$97)-CROQUIS!$C$107)/MAX(CROQUIS!$C$138,1))+1)))-1,0),0,MOD($A150-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50">
        <f>IF(AND(CROQUIS!$C$88=1,CROQUIS!$C$91=0,CROQUIS!$C$138&gt;0,OR(CROQUIS!$C$106=1,CROQUIS!$C$143=1)),((CROQUIS!$C$157+(IF(CROQUIS!$C$92="X",CHOOSE(IF(INT(($A150-1)/5)&gt;MAX((MIN(80,MAX(1,INT(((CROQUIS!$C$97)-CROQUIS!$C$107)/MAX(CROQUIS!$C$138,1))+1)))-1,0),0,MOD($A150-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150-1)/5),MAX((MIN(80,MAX(1,INT(((CROQUIS!$C$97)-CROQUIS!$C$107)/MAX(CROQUIS!$C$138,1))+1)))-1,0))*CROQUIS!$C$138)))*CROQUIS!$C$155)+IF(CROQUIS!$C$92="X",0,0)),-1000)</f>
        <v>-1000</v>
      </c>
      <c r="BT150">
        <f>IF(AND(CROQUIS!$C$88=1,CROQUIS!$C$91=1,CROQUIS!$C$130&gt;0),((CROQUIS!$C$156+(IF(CROQUIS!$C$92="X",CHOOSE(IF(INT(($A150-1)/5)&gt;MAX((MIN(80,MAX(1,INT(((CROQUIS!$C$98)-CROQUIS!$C$107)/MAX(CROQUIS!$C$130,1))+1)))-1,0),0,MOD($A150-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150-1)/5),MAX((MIN(80,MAX(1,INT(((CROQUIS!$C$98)-CROQUIS!$C$107)/MAX(CROQUIS!$C$130,1))+1)))-1,0))*CROQUIS!$C$130)))*CROQUIS!$C$155)+IF(CROQUIS!$C$92="X",0,0)),-1000)</f>
        <v>-1000</v>
      </c>
      <c r="BU150">
        <f>IF(AND(CROQUIS!$C$88=1,CROQUIS!$C$91=1,CROQUIS!$C$130&gt;0),((CROQUIS!$C$157+(IF(CROQUIS!$C$92="X",((CROQUIS!$C$107/2+(((CROQUIS!$C$98)-CROQUIS!$C$107)-(MIN(80,MAX(1,INT(((CROQUIS!$C$98)-CROQUIS!$C$107)/MAX(CROQUIS!$C$130,1))+1))-1)*CROQUIS!$C$130)/2)+MIN(INT(($A150-1)/5),MAX((MIN(80,MAX(1,INT(((CROQUIS!$C$98)-CROQUIS!$C$107)/MAX(CROQUIS!$C$130,1))+1)))-1,0))*CROQUIS!$C$130),CHOOSE(IF(INT(($A150-1)/5)&gt;MAX((MIN(80,MAX(1,INT(((CROQUIS!$C$98)-CROQUIS!$C$107)/MAX(CROQUIS!$C$130,1))+1)))-1,0),0,MOD($A150-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51">
      <c r="A151" t="n">
        <v>144</v>
      </c>
      <c r="BH151">
        <f>IF(AND(CROQUIS!$C$88=1,CROQUIS!$C$126&gt;0),((CROQUIS!$C$156+(IF(CROQUIS!$C$92="X",CHOOSE(IF(INT(($A151-1)/5)&gt;MAX((MIN(80,MAX(1,INT(((CROQUIS!$C$98)-CROQUIS!$C$107)/MAX(CROQUIS!$C$126,1))+1)))-1,0),0,MOD($A151-1,5))+1,0,2,CROQUIS!$C$97-2,2,0),((CROQUIS!$C$107/2+(((CROQUIS!$C$98)-CROQUIS!$C$107)-(MIN(80,MAX(1,INT(((CROQUIS!$C$98)-CROQUIS!$C$107)/MAX(CROQUIS!$C$126,1))+1))-1)*CROQUIS!$C$126)/2)+MIN(INT(($A151-1)/5),MAX((MIN(80,MAX(1,INT(((CROQUIS!$C$98)-CROQUIS!$C$107)/MAX(CROQUIS!$C$126,1))+1)))-1,0))*CROQUIS!$C$126)))*CROQUIS!$C$155)+IF(CROQUIS!$C$92="X",0,0)),-1000)</f>
        <v>-1000</v>
      </c>
      <c r="BI151">
        <f>IF(AND(CROQUIS!$C$88=1,CROQUIS!$C$126&gt;0),((CROQUIS!$C$157+(IF(CROQUIS!$C$92="X",((CROQUIS!$C$107/2+(((CROQUIS!$C$98)-CROQUIS!$C$107)-(MIN(80,MAX(1,INT(((CROQUIS!$C$98)-CROQUIS!$C$107)/MAX(CROQUIS!$C$126,1))+1))-1)*CROQUIS!$C$126)/2)+MIN(INT(($A151-1)/5),MAX((MIN(80,MAX(1,INT(((CROQUIS!$C$98)-CROQUIS!$C$107)/MAX(CROQUIS!$C$126,1))+1)))-1,0))*CROQUIS!$C$126),CHOOSE(IF(INT(($A151-1)/5)&gt;MAX((MIN(80,MAX(1,INT(((CROQUIS!$C$98)-CROQUIS!$C$107)/MAX(CROQUIS!$C$126,1))+1)))-1,0),0,MOD($A151-1,5))+1,0,2,CROQUIS!$C$97-2,2,0)))*CROQUIS!$C$155)+IF(CROQUIS!$C$92="X",0,0)),-1000)</f>
        <v>-1000</v>
      </c>
      <c r="BJ151">
        <f>IF(AND(CROQUIS!$C$88=1,CROQUIS!$C$134&gt;0),((CROQUIS!$C$156+(IF(CROQUIS!$C$92="X",((CROQUIS!$C$107/2+(((CROQUIS!$C$97)-CROQUIS!$C$107)-(MIN(80,MAX(1,INT(((CROQUIS!$C$97)-CROQUIS!$C$107)/MAX(CROQUIS!$C$134,1))+1))-1)*CROQUIS!$C$134)/2)+MIN(INT(($A151-1)/5),MAX((MIN(80,MAX(1,INT(((CROQUIS!$C$97)-CROQUIS!$C$107)/MAX(CROQUIS!$C$134,1))+1)))-1,0))*CROQUIS!$C$134),CHOOSE(IF(INT(($A151-1)/5)&gt;MAX((MIN(80,MAX(1,INT(((CROQUIS!$C$97)-CROQUIS!$C$107)/MAX(CROQUIS!$C$134,1))+1)))-1,0),0,MOD($A151-1,5))+1,0,2,CROQUIS!$C$98-2,2,0)))*CROQUIS!$C$155)+IF(CROQUIS!$C$92="X",0,0)),-1000)</f>
        <v>-1000</v>
      </c>
      <c r="BK151">
        <f>IF(AND(CROQUIS!$C$88=1,CROQUIS!$C$134&gt;0),((CROQUIS!$C$157+(IF(CROQUIS!$C$92="X",CHOOSE(IF(INT(($A151-1)/5)&gt;MAX((MIN(80,MAX(1,INT(((CROQUIS!$C$97)-CROQUIS!$C$107)/MAX(CROQUIS!$C$134,1))+1)))-1,0),0,MOD($A151-1,5))+1,0,2,CROQUIS!$C$98-2,2,0),((CROQUIS!$C$107/2+(((CROQUIS!$C$97)-CROQUIS!$C$107)-(MIN(80,MAX(1,INT(((CROQUIS!$C$97)-CROQUIS!$C$107)/MAX(CROQUIS!$C$134,1))+1))-1)*CROQUIS!$C$134)/2)+MIN(INT(($A151-1)/5),MAX((MIN(80,MAX(1,INT(((CROQUIS!$C$97)-CROQUIS!$C$107)/MAX(CROQUIS!$C$134,1))+1)))-1,0))*CROQUIS!$C$134)))*CROQUIS!$C$155)+IF(CROQUIS!$C$92="X",0,0)),-1000)</f>
        <v>-1000</v>
      </c>
      <c r="BL151">
        <f>IF(AND(CROQUIS!$C$88=1,CROQUIS!$C$91=0,CROQUIS!$C$130&gt;0,OR(CROQUIS!$C$103=1,CROQUIS!$C$142=1)),((CROQUIS!$C$156+(IF(CROQUIS!$C$92="X",CHOOSE(IF(INT(($A151-1)/5)&gt;MAX((MIN(80,MAX(1,INT(((CROQUIS!$C$98)-CROQUIS!$C$107)/MAX(CROQUIS!$C$130,1))+1)))-1,0),0,MOD($A151-1,5))+1,0,IF(CROQUIS!$C$103=1,-12,2),CROQUIS!$C$107/2+CROQUIS!$C$140,IF(CROQUIS!$C$103=1,-12,2),0),((CROQUIS!$C$107/2+(((CROQUIS!$C$98)-CROQUIS!$C$107)-(MIN(80,MAX(1,INT(((CROQUIS!$C$98)-CROQUIS!$C$107)/MAX(CROQUIS!$C$130,1))+1))-1)*CROQUIS!$C$130)/2)+MIN(INT(($A151-1)/5),MAX((MIN(80,MAX(1,INT(((CROQUIS!$C$98)-CROQUIS!$C$107)/MAX(CROQUIS!$C$130,1))+1)))-1,0))*CROQUIS!$C$130)))*CROQUIS!$C$155)+IF(CROQUIS!$C$92="X",0,0)),-1000)</f>
        <v>-1000</v>
      </c>
      <c r="BM15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151-1)/5),MAX((MIN(80,MAX(1,INT(((CROQUIS!$C$98)-CROQUIS!$C$107)/MAX(CROQUIS!$C$130,1))+1)))-1,0))*CROQUIS!$C$130),CHOOSE(IF(INT(($A151-1)/5)&gt;MAX((MIN(80,MAX(1,INT(((CROQUIS!$C$98)-CROQUIS!$C$107)/MAX(CROQUIS!$C$130,1))+1)))-1,0),0,MOD($A151-1,5))+1,0,IF(CROQUIS!$C$103=1,-12,2),CROQUIS!$C$107/2+CROQUIS!$C$140,IF(CROQUIS!$C$103=1,-12,2),0)))*CROQUIS!$C$155)+IF(CROQUIS!$C$92="X",0,0)),-1000)</f>
        <v>-1000</v>
      </c>
      <c r="BN151">
        <f>IF(AND(CROQUIS!$C$88=1,CROQUIS!$C$91=0,CROQUIS!$C$130&gt;0,OR(CROQUIS!$C$104=1,CROQUIS!$C$142=1)),((CROQUIS!$C$156+(IF(CROQUIS!$C$92="X",CHOOSE(IF(INT(($A151-1)/5)&gt;MAX((MIN(80,MAX(1,INT(((CROQUIS!$C$98)-CROQUIS!$C$107)/MAX(CROQUIS!$C$130,1))+1)))-1,0),0,MOD($A151-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151-1)/5),MAX((MIN(80,MAX(1,INT(((CROQUIS!$C$98)-CROQUIS!$C$107)/MAX(CROQUIS!$C$130,1))+1)))-1,0))*CROQUIS!$C$130)))*CROQUIS!$C$155)+IF(CROQUIS!$C$92="X",0,0)),-1000)</f>
        <v>-1000</v>
      </c>
      <c r="BO15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151-1)/5),MAX((MIN(80,MAX(1,INT(((CROQUIS!$C$98)-CROQUIS!$C$107)/MAX(CROQUIS!$C$130,1))+1)))-1,0))*CROQUIS!$C$130),CHOOSE(IF(INT(($A151-1)/5)&gt;MAX((MIN(80,MAX(1,INT(((CROQUIS!$C$98)-CROQUIS!$C$107)/MAX(CROQUIS!$C$130,1))+1)))-1,0),0,MOD($A151-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5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151-1)/5),MAX((MIN(80,MAX(1,INT(((CROQUIS!$C$97)-CROQUIS!$C$107)/MAX(CROQUIS!$C$138,1))+1)))-1,0))*CROQUIS!$C$138),CHOOSE(IF(INT(($A151-1)/5)&gt;MAX((MIN(80,MAX(1,INT(((CROQUIS!$C$97)-CROQUIS!$C$107)/MAX(CROQUIS!$C$138,1))+1)))-1,0),0,MOD($A151-1,5))+1,0,IF(CROQUIS!$C$105=1,-12,2),CROQUIS!$C$107/2+CROQUIS!$C$141,IF(CROQUIS!$C$105=1,-12,2),0)))*CROQUIS!$C$155)+IF(CROQUIS!$C$92="X",0,0)),-1000)</f>
        <v>-1000</v>
      </c>
      <c r="BQ151">
        <f>IF(AND(CROQUIS!$C$88=1,CROQUIS!$C$91=0,CROQUIS!$C$138&gt;0,OR(CROQUIS!$C$105=1,CROQUIS!$C$143=1)),((CROQUIS!$C$157+(IF(CROQUIS!$C$92="X",CHOOSE(IF(INT(($A151-1)/5)&gt;MAX((MIN(80,MAX(1,INT(((CROQUIS!$C$97)-CROQUIS!$C$107)/MAX(CROQUIS!$C$138,1))+1)))-1,0),0,MOD($A151-1,5))+1,0,IF(CROQUIS!$C$105=1,-12,2),CROQUIS!$C$107/2+CROQUIS!$C$141,IF(CROQUIS!$C$105=1,-12,2),0),((CROQUIS!$C$107/2+(((CROQUIS!$C$97)-CROQUIS!$C$107)-(MIN(80,MAX(1,INT(((CROQUIS!$C$97)-CROQUIS!$C$107)/MAX(CROQUIS!$C$138,1))+1))-1)*CROQUIS!$C$138)/2)+MIN(INT(($A151-1)/5),MAX((MIN(80,MAX(1,INT(((CROQUIS!$C$97)-CROQUIS!$C$107)/MAX(CROQUIS!$C$138,1))+1)))-1,0))*CROQUIS!$C$138)))*CROQUIS!$C$155)+IF(CROQUIS!$C$92="X",0,0)),-1000)</f>
        <v>-1000</v>
      </c>
      <c r="BR15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151-1)/5),MAX((MIN(80,MAX(1,INT(((CROQUIS!$C$97)-CROQUIS!$C$107)/MAX(CROQUIS!$C$138,1))+1)))-1,0))*CROQUIS!$C$138),CHOOSE(IF(INT(($A151-1)/5)&gt;MAX((MIN(80,MAX(1,INT(((CROQUIS!$C$97)-CROQUIS!$C$107)/MAX(CROQUIS!$C$138,1))+1)))-1,0),0,MOD($A151-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51">
        <f>IF(AND(CROQUIS!$C$88=1,CROQUIS!$C$91=0,CROQUIS!$C$138&gt;0,OR(CROQUIS!$C$106=1,CROQUIS!$C$143=1)),((CROQUIS!$C$157+(IF(CROQUIS!$C$92="X",CHOOSE(IF(INT(($A151-1)/5)&gt;MAX((MIN(80,MAX(1,INT(((CROQUIS!$C$97)-CROQUIS!$C$107)/MAX(CROQUIS!$C$138,1))+1)))-1,0),0,MOD($A151-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151-1)/5),MAX((MIN(80,MAX(1,INT(((CROQUIS!$C$97)-CROQUIS!$C$107)/MAX(CROQUIS!$C$138,1))+1)))-1,0))*CROQUIS!$C$138)))*CROQUIS!$C$155)+IF(CROQUIS!$C$92="X",0,0)),-1000)</f>
        <v>-1000</v>
      </c>
      <c r="BT151">
        <f>IF(AND(CROQUIS!$C$88=1,CROQUIS!$C$91=1,CROQUIS!$C$130&gt;0),((CROQUIS!$C$156+(IF(CROQUIS!$C$92="X",CHOOSE(IF(INT(($A151-1)/5)&gt;MAX((MIN(80,MAX(1,INT(((CROQUIS!$C$98)-CROQUIS!$C$107)/MAX(CROQUIS!$C$130,1))+1)))-1,0),0,MOD($A151-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151-1)/5),MAX((MIN(80,MAX(1,INT(((CROQUIS!$C$98)-CROQUIS!$C$107)/MAX(CROQUIS!$C$130,1))+1)))-1,0))*CROQUIS!$C$130)))*CROQUIS!$C$155)+IF(CROQUIS!$C$92="X",0,0)),-1000)</f>
        <v>-1000</v>
      </c>
      <c r="BU151">
        <f>IF(AND(CROQUIS!$C$88=1,CROQUIS!$C$91=1,CROQUIS!$C$130&gt;0),((CROQUIS!$C$157+(IF(CROQUIS!$C$92="X",((CROQUIS!$C$107/2+(((CROQUIS!$C$98)-CROQUIS!$C$107)-(MIN(80,MAX(1,INT(((CROQUIS!$C$98)-CROQUIS!$C$107)/MAX(CROQUIS!$C$130,1))+1))-1)*CROQUIS!$C$130)/2)+MIN(INT(($A151-1)/5),MAX((MIN(80,MAX(1,INT(((CROQUIS!$C$98)-CROQUIS!$C$107)/MAX(CROQUIS!$C$130,1))+1)))-1,0))*CROQUIS!$C$130),CHOOSE(IF(INT(($A151-1)/5)&gt;MAX((MIN(80,MAX(1,INT(((CROQUIS!$C$98)-CROQUIS!$C$107)/MAX(CROQUIS!$C$130,1))+1)))-1,0),0,MOD($A151-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52">
      <c r="A152" t="n">
        <v>145</v>
      </c>
      <c r="BH152">
        <f>IF(AND(CROQUIS!$C$88=1,CROQUIS!$C$126&gt;0),((CROQUIS!$C$156+(IF(CROQUIS!$C$92="X",CHOOSE(IF(INT(($A152-1)/5)&gt;MAX((MIN(80,MAX(1,INT(((CROQUIS!$C$98)-CROQUIS!$C$107)/MAX(CROQUIS!$C$126,1))+1)))-1,0),0,MOD($A152-1,5))+1,0,2,CROQUIS!$C$97-2,2,0),((CROQUIS!$C$107/2+(((CROQUIS!$C$98)-CROQUIS!$C$107)-(MIN(80,MAX(1,INT(((CROQUIS!$C$98)-CROQUIS!$C$107)/MAX(CROQUIS!$C$126,1))+1))-1)*CROQUIS!$C$126)/2)+MIN(INT(($A152-1)/5),MAX((MIN(80,MAX(1,INT(((CROQUIS!$C$98)-CROQUIS!$C$107)/MAX(CROQUIS!$C$126,1))+1)))-1,0))*CROQUIS!$C$126)))*CROQUIS!$C$155)+IF(CROQUIS!$C$92="X",0,0)),-1000)</f>
        <v>-1000</v>
      </c>
      <c r="BI152">
        <f>IF(AND(CROQUIS!$C$88=1,CROQUIS!$C$126&gt;0),((CROQUIS!$C$157+(IF(CROQUIS!$C$92="X",((CROQUIS!$C$107/2+(((CROQUIS!$C$98)-CROQUIS!$C$107)-(MIN(80,MAX(1,INT(((CROQUIS!$C$98)-CROQUIS!$C$107)/MAX(CROQUIS!$C$126,1))+1))-1)*CROQUIS!$C$126)/2)+MIN(INT(($A152-1)/5),MAX((MIN(80,MAX(1,INT(((CROQUIS!$C$98)-CROQUIS!$C$107)/MAX(CROQUIS!$C$126,1))+1)))-1,0))*CROQUIS!$C$126),CHOOSE(IF(INT(($A152-1)/5)&gt;MAX((MIN(80,MAX(1,INT(((CROQUIS!$C$98)-CROQUIS!$C$107)/MAX(CROQUIS!$C$126,1))+1)))-1,0),0,MOD($A152-1,5))+1,0,2,CROQUIS!$C$97-2,2,0)))*CROQUIS!$C$155)+IF(CROQUIS!$C$92="X",0,0)),-1000)</f>
        <v>-1000</v>
      </c>
      <c r="BJ152">
        <f>IF(AND(CROQUIS!$C$88=1,CROQUIS!$C$134&gt;0),((CROQUIS!$C$156+(IF(CROQUIS!$C$92="X",((CROQUIS!$C$107/2+(((CROQUIS!$C$97)-CROQUIS!$C$107)-(MIN(80,MAX(1,INT(((CROQUIS!$C$97)-CROQUIS!$C$107)/MAX(CROQUIS!$C$134,1))+1))-1)*CROQUIS!$C$134)/2)+MIN(INT(($A152-1)/5),MAX((MIN(80,MAX(1,INT(((CROQUIS!$C$97)-CROQUIS!$C$107)/MAX(CROQUIS!$C$134,1))+1)))-1,0))*CROQUIS!$C$134),CHOOSE(IF(INT(($A152-1)/5)&gt;MAX((MIN(80,MAX(1,INT(((CROQUIS!$C$97)-CROQUIS!$C$107)/MAX(CROQUIS!$C$134,1))+1)))-1,0),0,MOD($A152-1,5))+1,0,2,CROQUIS!$C$98-2,2,0)))*CROQUIS!$C$155)+IF(CROQUIS!$C$92="X",0,0)),-1000)</f>
        <v>-1000</v>
      </c>
      <c r="BK152">
        <f>IF(AND(CROQUIS!$C$88=1,CROQUIS!$C$134&gt;0),((CROQUIS!$C$157+(IF(CROQUIS!$C$92="X",CHOOSE(IF(INT(($A152-1)/5)&gt;MAX((MIN(80,MAX(1,INT(((CROQUIS!$C$97)-CROQUIS!$C$107)/MAX(CROQUIS!$C$134,1))+1)))-1,0),0,MOD($A152-1,5))+1,0,2,CROQUIS!$C$98-2,2,0),((CROQUIS!$C$107/2+(((CROQUIS!$C$97)-CROQUIS!$C$107)-(MIN(80,MAX(1,INT(((CROQUIS!$C$97)-CROQUIS!$C$107)/MAX(CROQUIS!$C$134,1))+1))-1)*CROQUIS!$C$134)/2)+MIN(INT(($A152-1)/5),MAX((MIN(80,MAX(1,INT(((CROQUIS!$C$97)-CROQUIS!$C$107)/MAX(CROQUIS!$C$134,1))+1)))-1,0))*CROQUIS!$C$134)))*CROQUIS!$C$155)+IF(CROQUIS!$C$92="X",0,0)),-1000)</f>
        <v>-1000</v>
      </c>
      <c r="BL152">
        <f>IF(AND(CROQUIS!$C$88=1,CROQUIS!$C$91=0,CROQUIS!$C$130&gt;0,OR(CROQUIS!$C$103=1,CROQUIS!$C$142=1)),((CROQUIS!$C$156+(IF(CROQUIS!$C$92="X",CHOOSE(IF(INT(($A152-1)/5)&gt;MAX((MIN(80,MAX(1,INT(((CROQUIS!$C$98)-CROQUIS!$C$107)/MAX(CROQUIS!$C$130,1))+1)))-1,0),0,MOD($A152-1,5))+1,0,IF(CROQUIS!$C$103=1,-12,2),CROQUIS!$C$107/2+CROQUIS!$C$140,IF(CROQUIS!$C$103=1,-12,2),0),((CROQUIS!$C$107/2+(((CROQUIS!$C$98)-CROQUIS!$C$107)-(MIN(80,MAX(1,INT(((CROQUIS!$C$98)-CROQUIS!$C$107)/MAX(CROQUIS!$C$130,1))+1))-1)*CROQUIS!$C$130)/2)+MIN(INT(($A152-1)/5),MAX((MIN(80,MAX(1,INT(((CROQUIS!$C$98)-CROQUIS!$C$107)/MAX(CROQUIS!$C$130,1))+1)))-1,0))*CROQUIS!$C$130)))*CROQUIS!$C$155)+IF(CROQUIS!$C$92="X",0,0)),-1000)</f>
        <v>-1000</v>
      </c>
      <c r="BM15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152-1)/5),MAX((MIN(80,MAX(1,INT(((CROQUIS!$C$98)-CROQUIS!$C$107)/MAX(CROQUIS!$C$130,1))+1)))-1,0))*CROQUIS!$C$130),CHOOSE(IF(INT(($A152-1)/5)&gt;MAX((MIN(80,MAX(1,INT(((CROQUIS!$C$98)-CROQUIS!$C$107)/MAX(CROQUIS!$C$130,1))+1)))-1,0),0,MOD($A152-1,5))+1,0,IF(CROQUIS!$C$103=1,-12,2),CROQUIS!$C$107/2+CROQUIS!$C$140,IF(CROQUIS!$C$103=1,-12,2),0)))*CROQUIS!$C$155)+IF(CROQUIS!$C$92="X",0,0)),-1000)</f>
        <v>-1000</v>
      </c>
      <c r="BN152">
        <f>IF(AND(CROQUIS!$C$88=1,CROQUIS!$C$91=0,CROQUIS!$C$130&gt;0,OR(CROQUIS!$C$104=1,CROQUIS!$C$142=1)),((CROQUIS!$C$156+(IF(CROQUIS!$C$92="X",CHOOSE(IF(INT(($A152-1)/5)&gt;MAX((MIN(80,MAX(1,INT(((CROQUIS!$C$98)-CROQUIS!$C$107)/MAX(CROQUIS!$C$130,1))+1)))-1,0),0,MOD($A152-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152-1)/5),MAX((MIN(80,MAX(1,INT(((CROQUIS!$C$98)-CROQUIS!$C$107)/MAX(CROQUIS!$C$130,1))+1)))-1,0))*CROQUIS!$C$130)))*CROQUIS!$C$155)+IF(CROQUIS!$C$92="X",0,0)),-1000)</f>
        <v>-1000</v>
      </c>
      <c r="BO15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152-1)/5),MAX((MIN(80,MAX(1,INT(((CROQUIS!$C$98)-CROQUIS!$C$107)/MAX(CROQUIS!$C$130,1))+1)))-1,0))*CROQUIS!$C$130),CHOOSE(IF(INT(($A152-1)/5)&gt;MAX((MIN(80,MAX(1,INT(((CROQUIS!$C$98)-CROQUIS!$C$107)/MAX(CROQUIS!$C$130,1))+1)))-1,0),0,MOD($A152-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5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152-1)/5),MAX((MIN(80,MAX(1,INT(((CROQUIS!$C$97)-CROQUIS!$C$107)/MAX(CROQUIS!$C$138,1))+1)))-1,0))*CROQUIS!$C$138),CHOOSE(IF(INT(($A152-1)/5)&gt;MAX((MIN(80,MAX(1,INT(((CROQUIS!$C$97)-CROQUIS!$C$107)/MAX(CROQUIS!$C$138,1))+1)))-1,0),0,MOD($A152-1,5))+1,0,IF(CROQUIS!$C$105=1,-12,2),CROQUIS!$C$107/2+CROQUIS!$C$141,IF(CROQUIS!$C$105=1,-12,2),0)))*CROQUIS!$C$155)+IF(CROQUIS!$C$92="X",0,0)),-1000)</f>
        <v>-1000</v>
      </c>
      <c r="BQ152">
        <f>IF(AND(CROQUIS!$C$88=1,CROQUIS!$C$91=0,CROQUIS!$C$138&gt;0,OR(CROQUIS!$C$105=1,CROQUIS!$C$143=1)),((CROQUIS!$C$157+(IF(CROQUIS!$C$92="X",CHOOSE(IF(INT(($A152-1)/5)&gt;MAX((MIN(80,MAX(1,INT(((CROQUIS!$C$97)-CROQUIS!$C$107)/MAX(CROQUIS!$C$138,1))+1)))-1,0),0,MOD($A152-1,5))+1,0,IF(CROQUIS!$C$105=1,-12,2),CROQUIS!$C$107/2+CROQUIS!$C$141,IF(CROQUIS!$C$105=1,-12,2),0),((CROQUIS!$C$107/2+(((CROQUIS!$C$97)-CROQUIS!$C$107)-(MIN(80,MAX(1,INT(((CROQUIS!$C$97)-CROQUIS!$C$107)/MAX(CROQUIS!$C$138,1))+1))-1)*CROQUIS!$C$138)/2)+MIN(INT(($A152-1)/5),MAX((MIN(80,MAX(1,INT(((CROQUIS!$C$97)-CROQUIS!$C$107)/MAX(CROQUIS!$C$138,1))+1)))-1,0))*CROQUIS!$C$138)))*CROQUIS!$C$155)+IF(CROQUIS!$C$92="X",0,0)),-1000)</f>
        <v>-1000</v>
      </c>
      <c r="BR15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152-1)/5),MAX((MIN(80,MAX(1,INT(((CROQUIS!$C$97)-CROQUIS!$C$107)/MAX(CROQUIS!$C$138,1))+1)))-1,0))*CROQUIS!$C$138),CHOOSE(IF(INT(($A152-1)/5)&gt;MAX((MIN(80,MAX(1,INT(((CROQUIS!$C$97)-CROQUIS!$C$107)/MAX(CROQUIS!$C$138,1))+1)))-1,0),0,MOD($A152-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52">
        <f>IF(AND(CROQUIS!$C$88=1,CROQUIS!$C$91=0,CROQUIS!$C$138&gt;0,OR(CROQUIS!$C$106=1,CROQUIS!$C$143=1)),((CROQUIS!$C$157+(IF(CROQUIS!$C$92="X",CHOOSE(IF(INT(($A152-1)/5)&gt;MAX((MIN(80,MAX(1,INT(((CROQUIS!$C$97)-CROQUIS!$C$107)/MAX(CROQUIS!$C$138,1))+1)))-1,0),0,MOD($A152-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152-1)/5),MAX((MIN(80,MAX(1,INT(((CROQUIS!$C$97)-CROQUIS!$C$107)/MAX(CROQUIS!$C$138,1))+1)))-1,0))*CROQUIS!$C$138)))*CROQUIS!$C$155)+IF(CROQUIS!$C$92="X",0,0)),-1000)</f>
        <v>-1000</v>
      </c>
      <c r="BT152">
        <f>IF(AND(CROQUIS!$C$88=1,CROQUIS!$C$91=1,CROQUIS!$C$130&gt;0),((CROQUIS!$C$156+(IF(CROQUIS!$C$92="X",CHOOSE(IF(INT(($A152-1)/5)&gt;MAX((MIN(80,MAX(1,INT(((CROQUIS!$C$98)-CROQUIS!$C$107)/MAX(CROQUIS!$C$130,1))+1)))-1,0),0,MOD($A152-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152-1)/5),MAX((MIN(80,MAX(1,INT(((CROQUIS!$C$98)-CROQUIS!$C$107)/MAX(CROQUIS!$C$130,1))+1)))-1,0))*CROQUIS!$C$130)))*CROQUIS!$C$155)+IF(CROQUIS!$C$92="X",0,0)),-1000)</f>
        <v>-1000</v>
      </c>
      <c r="BU152">
        <f>IF(AND(CROQUIS!$C$88=1,CROQUIS!$C$91=1,CROQUIS!$C$130&gt;0),((CROQUIS!$C$157+(IF(CROQUIS!$C$92="X",((CROQUIS!$C$107/2+(((CROQUIS!$C$98)-CROQUIS!$C$107)-(MIN(80,MAX(1,INT(((CROQUIS!$C$98)-CROQUIS!$C$107)/MAX(CROQUIS!$C$130,1))+1))-1)*CROQUIS!$C$130)/2)+MIN(INT(($A152-1)/5),MAX((MIN(80,MAX(1,INT(((CROQUIS!$C$98)-CROQUIS!$C$107)/MAX(CROQUIS!$C$130,1))+1)))-1,0))*CROQUIS!$C$130),CHOOSE(IF(INT(($A152-1)/5)&gt;MAX((MIN(80,MAX(1,INT(((CROQUIS!$C$98)-CROQUIS!$C$107)/MAX(CROQUIS!$C$130,1))+1)))-1,0),0,MOD($A152-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53">
      <c r="A153" t="n">
        <v>146</v>
      </c>
      <c r="BH153">
        <f>IF(AND(CROQUIS!$C$88=1,CROQUIS!$C$126&gt;0),((CROQUIS!$C$156+(IF(CROQUIS!$C$92="X",CHOOSE(IF(INT(($A153-1)/5)&gt;MAX((MIN(80,MAX(1,INT(((CROQUIS!$C$98)-CROQUIS!$C$107)/MAX(CROQUIS!$C$126,1))+1)))-1,0),0,MOD($A153-1,5))+1,0,2,CROQUIS!$C$97-2,2,0),((CROQUIS!$C$107/2+(((CROQUIS!$C$98)-CROQUIS!$C$107)-(MIN(80,MAX(1,INT(((CROQUIS!$C$98)-CROQUIS!$C$107)/MAX(CROQUIS!$C$126,1))+1))-1)*CROQUIS!$C$126)/2)+MIN(INT(($A153-1)/5),MAX((MIN(80,MAX(1,INT(((CROQUIS!$C$98)-CROQUIS!$C$107)/MAX(CROQUIS!$C$126,1))+1)))-1,0))*CROQUIS!$C$126)))*CROQUIS!$C$155)+IF(CROQUIS!$C$92="X",0,0)),-1000)</f>
        <v>-1000</v>
      </c>
      <c r="BI153">
        <f>IF(AND(CROQUIS!$C$88=1,CROQUIS!$C$126&gt;0),((CROQUIS!$C$157+(IF(CROQUIS!$C$92="X",((CROQUIS!$C$107/2+(((CROQUIS!$C$98)-CROQUIS!$C$107)-(MIN(80,MAX(1,INT(((CROQUIS!$C$98)-CROQUIS!$C$107)/MAX(CROQUIS!$C$126,1))+1))-1)*CROQUIS!$C$126)/2)+MIN(INT(($A153-1)/5),MAX((MIN(80,MAX(1,INT(((CROQUIS!$C$98)-CROQUIS!$C$107)/MAX(CROQUIS!$C$126,1))+1)))-1,0))*CROQUIS!$C$126),CHOOSE(IF(INT(($A153-1)/5)&gt;MAX((MIN(80,MAX(1,INT(((CROQUIS!$C$98)-CROQUIS!$C$107)/MAX(CROQUIS!$C$126,1))+1)))-1,0),0,MOD($A153-1,5))+1,0,2,CROQUIS!$C$97-2,2,0)))*CROQUIS!$C$155)+IF(CROQUIS!$C$92="X",0,0)),-1000)</f>
        <v>-1000</v>
      </c>
      <c r="BJ153">
        <f>IF(AND(CROQUIS!$C$88=1,CROQUIS!$C$134&gt;0),((CROQUIS!$C$156+(IF(CROQUIS!$C$92="X",((CROQUIS!$C$107/2+(((CROQUIS!$C$97)-CROQUIS!$C$107)-(MIN(80,MAX(1,INT(((CROQUIS!$C$97)-CROQUIS!$C$107)/MAX(CROQUIS!$C$134,1))+1))-1)*CROQUIS!$C$134)/2)+MIN(INT(($A153-1)/5),MAX((MIN(80,MAX(1,INT(((CROQUIS!$C$97)-CROQUIS!$C$107)/MAX(CROQUIS!$C$134,1))+1)))-1,0))*CROQUIS!$C$134),CHOOSE(IF(INT(($A153-1)/5)&gt;MAX((MIN(80,MAX(1,INT(((CROQUIS!$C$97)-CROQUIS!$C$107)/MAX(CROQUIS!$C$134,1))+1)))-1,0),0,MOD($A153-1,5))+1,0,2,CROQUIS!$C$98-2,2,0)))*CROQUIS!$C$155)+IF(CROQUIS!$C$92="X",0,0)),-1000)</f>
        <v>-1000</v>
      </c>
      <c r="BK153">
        <f>IF(AND(CROQUIS!$C$88=1,CROQUIS!$C$134&gt;0),((CROQUIS!$C$157+(IF(CROQUIS!$C$92="X",CHOOSE(IF(INT(($A153-1)/5)&gt;MAX((MIN(80,MAX(1,INT(((CROQUIS!$C$97)-CROQUIS!$C$107)/MAX(CROQUIS!$C$134,1))+1)))-1,0),0,MOD($A153-1,5))+1,0,2,CROQUIS!$C$98-2,2,0),((CROQUIS!$C$107/2+(((CROQUIS!$C$97)-CROQUIS!$C$107)-(MIN(80,MAX(1,INT(((CROQUIS!$C$97)-CROQUIS!$C$107)/MAX(CROQUIS!$C$134,1))+1))-1)*CROQUIS!$C$134)/2)+MIN(INT(($A153-1)/5),MAX((MIN(80,MAX(1,INT(((CROQUIS!$C$97)-CROQUIS!$C$107)/MAX(CROQUIS!$C$134,1))+1)))-1,0))*CROQUIS!$C$134)))*CROQUIS!$C$155)+IF(CROQUIS!$C$92="X",0,0)),-1000)</f>
        <v>-1000</v>
      </c>
      <c r="BL153">
        <f>IF(AND(CROQUIS!$C$88=1,CROQUIS!$C$91=0,CROQUIS!$C$130&gt;0,OR(CROQUIS!$C$103=1,CROQUIS!$C$142=1)),((CROQUIS!$C$156+(IF(CROQUIS!$C$92="X",CHOOSE(IF(INT(($A153-1)/5)&gt;MAX((MIN(80,MAX(1,INT(((CROQUIS!$C$98)-CROQUIS!$C$107)/MAX(CROQUIS!$C$130,1))+1)))-1,0),0,MOD($A153-1,5))+1,0,IF(CROQUIS!$C$103=1,-12,2),CROQUIS!$C$107/2+CROQUIS!$C$140,IF(CROQUIS!$C$103=1,-12,2),0),((CROQUIS!$C$107/2+(((CROQUIS!$C$98)-CROQUIS!$C$107)-(MIN(80,MAX(1,INT(((CROQUIS!$C$98)-CROQUIS!$C$107)/MAX(CROQUIS!$C$130,1))+1))-1)*CROQUIS!$C$130)/2)+MIN(INT(($A153-1)/5),MAX((MIN(80,MAX(1,INT(((CROQUIS!$C$98)-CROQUIS!$C$107)/MAX(CROQUIS!$C$130,1))+1)))-1,0))*CROQUIS!$C$130)))*CROQUIS!$C$155)+IF(CROQUIS!$C$92="X",0,0)),-1000)</f>
        <v>-1000</v>
      </c>
      <c r="BM15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153-1)/5),MAX((MIN(80,MAX(1,INT(((CROQUIS!$C$98)-CROQUIS!$C$107)/MAX(CROQUIS!$C$130,1))+1)))-1,0))*CROQUIS!$C$130),CHOOSE(IF(INT(($A153-1)/5)&gt;MAX((MIN(80,MAX(1,INT(((CROQUIS!$C$98)-CROQUIS!$C$107)/MAX(CROQUIS!$C$130,1))+1)))-1,0),0,MOD($A153-1,5))+1,0,IF(CROQUIS!$C$103=1,-12,2),CROQUIS!$C$107/2+CROQUIS!$C$140,IF(CROQUIS!$C$103=1,-12,2),0)))*CROQUIS!$C$155)+IF(CROQUIS!$C$92="X",0,0)),-1000)</f>
        <v>-1000</v>
      </c>
      <c r="BN153">
        <f>IF(AND(CROQUIS!$C$88=1,CROQUIS!$C$91=0,CROQUIS!$C$130&gt;0,OR(CROQUIS!$C$104=1,CROQUIS!$C$142=1)),((CROQUIS!$C$156+(IF(CROQUIS!$C$92="X",CHOOSE(IF(INT(($A153-1)/5)&gt;MAX((MIN(80,MAX(1,INT(((CROQUIS!$C$98)-CROQUIS!$C$107)/MAX(CROQUIS!$C$130,1))+1)))-1,0),0,MOD($A153-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153-1)/5),MAX((MIN(80,MAX(1,INT(((CROQUIS!$C$98)-CROQUIS!$C$107)/MAX(CROQUIS!$C$130,1))+1)))-1,0))*CROQUIS!$C$130)))*CROQUIS!$C$155)+IF(CROQUIS!$C$92="X",0,0)),-1000)</f>
        <v>-1000</v>
      </c>
      <c r="BO15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153-1)/5),MAX((MIN(80,MAX(1,INT(((CROQUIS!$C$98)-CROQUIS!$C$107)/MAX(CROQUIS!$C$130,1))+1)))-1,0))*CROQUIS!$C$130),CHOOSE(IF(INT(($A153-1)/5)&gt;MAX((MIN(80,MAX(1,INT(((CROQUIS!$C$98)-CROQUIS!$C$107)/MAX(CROQUIS!$C$130,1))+1)))-1,0),0,MOD($A153-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5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153-1)/5),MAX((MIN(80,MAX(1,INT(((CROQUIS!$C$97)-CROQUIS!$C$107)/MAX(CROQUIS!$C$138,1))+1)))-1,0))*CROQUIS!$C$138),CHOOSE(IF(INT(($A153-1)/5)&gt;MAX((MIN(80,MAX(1,INT(((CROQUIS!$C$97)-CROQUIS!$C$107)/MAX(CROQUIS!$C$138,1))+1)))-1,0),0,MOD($A153-1,5))+1,0,IF(CROQUIS!$C$105=1,-12,2),CROQUIS!$C$107/2+CROQUIS!$C$141,IF(CROQUIS!$C$105=1,-12,2),0)))*CROQUIS!$C$155)+IF(CROQUIS!$C$92="X",0,0)),-1000)</f>
        <v>-1000</v>
      </c>
      <c r="BQ153">
        <f>IF(AND(CROQUIS!$C$88=1,CROQUIS!$C$91=0,CROQUIS!$C$138&gt;0,OR(CROQUIS!$C$105=1,CROQUIS!$C$143=1)),((CROQUIS!$C$157+(IF(CROQUIS!$C$92="X",CHOOSE(IF(INT(($A153-1)/5)&gt;MAX((MIN(80,MAX(1,INT(((CROQUIS!$C$97)-CROQUIS!$C$107)/MAX(CROQUIS!$C$138,1))+1)))-1,0),0,MOD($A153-1,5))+1,0,IF(CROQUIS!$C$105=1,-12,2),CROQUIS!$C$107/2+CROQUIS!$C$141,IF(CROQUIS!$C$105=1,-12,2),0),((CROQUIS!$C$107/2+(((CROQUIS!$C$97)-CROQUIS!$C$107)-(MIN(80,MAX(1,INT(((CROQUIS!$C$97)-CROQUIS!$C$107)/MAX(CROQUIS!$C$138,1))+1))-1)*CROQUIS!$C$138)/2)+MIN(INT(($A153-1)/5),MAX((MIN(80,MAX(1,INT(((CROQUIS!$C$97)-CROQUIS!$C$107)/MAX(CROQUIS!$C$138,1))+1)))-1,0))*CROQUIS!$C$138)))*CROQUIS!$C$155)+IF(CROQUIS!$C$92="X",0,0)),-1000)</f>
        <v>-1000</v>
      </c>
      <c r="BR15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153-1)/5),MAX((MIN(80,MAX(1,INT(((CROQUIS!$C$97)-CROQUIS!$C$107)/MAX(CROQUIS!$C$138,1))+1)))-1,0))*CROQUIS!$C$138),CHOOSE(IF(INT(($A153-1)/5)&gt;MAX((MIN(80,MAX(1,INT(((CROQUIS!$C$97)-CROQUIS!$C$107)/MAX(CROQUIS!$C$138,1))+1)))-1,0),0,MOD($A153-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53">
        <f>IF(AND(CROQUIS!$C$88=1,CROQUIS!$C$91=0,CROQUIS!$C$138&gt;0,OR(CROQUIS!$C$106=1,CROQUIS!$C$143=1)),((CROQUIS!$C$157+(IF(CROQUIS!$C$92="X",CHOOSE(IF(INT(($A153-1)/5)&gt;MAX((MIN(80,MAX(1,INT(((CROQUIS!$C$97)-CROQUIS!$C$107)/MAX(CROQUIS!$C$138,1))+1)))-1,0),0,MOD($A153-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153-1)/5),MAX((MIN(80,MAX(1,INT(((CROQUIS!$C$97)-CROQUIS!$C$107)/MAX(CROQUIS!$C$138,1))+1)))-1,0))*CROQUIS!$C$138)))*CROQUIS!$C$155)+IF(CROQUIS!$C$92="X",0,0)),-1000)</f>
        <v>-1000</v>
      </c>
      <c r="BT153">
        <f>IF(AND(CROQUIS!$C$88=1,CROQUIS!$C$91=1,CROQUIS!$C$130&gt;0),((CROQUIS!$C$156+(IF(CROQUIS!$C$92="X",CHOOSE(IF(INT(($A153-1)/5)&gt;MAX((MIN(80,MAX(1,INT(((CROQUIS!$C$98)-CROQUIS!$C$107)/MAX(CROQUIS!$C$130,1))+1)))-1,0),0,MOD($A153-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153-1)/5),MAX((MIN(80,MAX(1,INT(((CROQUIS!$C$98)-CROQUIS!$C$107)/MAX(CROQUIS!$C$130,1))+1)))-1,0))*CROQUIS!$C$130)))*CROQUIS!$C$155)+IF(CROQUIS!$C$92="X",0,0)),-1000)</f>
        <v>-1000</v>
      </c>
      <c r="BU153">
        <f>IF(AND(CROQUIS!$C$88=1,CROQUIS!$C$91=1,CROQUIS!$C$130&gt;0),((CROQUIS!$C$157+(IF(CROQUIS!$C$92="X",((CROQUIS!$C$107/2+(((CROQUIS!$C$98)-CROQUIS!$C$107)-(MIN(80,MAX(1,INT(((CROQUIS!$C$98)-CROQUIS!$C$107)/MAX(CROQUIS!$C$130,1))+1))-1)*CROQUIS!$C$130)/2)+MIN(INT(($A153-1)/5),MAX((MIN(80,MAX(1,INT(((CROQUIS!$C$98)-CROQUIS!$C$107)/MAX(CROQUIS!$C$130,1))+1)))-1,0))*CROQUIS!$C$130),CHOOSE(IF(INT(($A153-1)/5)&gt;MAX((MIN(80,MAX(1,INT(((CROQUIS!$C$98)-CROQUIS!$C$107)/MAX(CROQUIS!$C$130,1))+1)))-1,0),0,MOD($A153-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54">
      <c r="A154" t="n">
        <v>147</v>
      </c>
      <c r="BH154">
        <f>IF(AND(CROQUIS!$C$88=1,CROQUIS!$C$126&gt;0),((CROQUIS!$C$156+(IF(CROQUIS!$C$92="X",CHOOSE(IF(INT(($A154-1)/5)&gt;MAX((MIN(80,MAX(1,INT(((CROQUIS!$C$98)-CROQUIS!$C$107)/MAX(CROQUIS!$C$126,1))+1)))-1,0),0,MOD($A154-1,5))+1,0,2,CROQUIS!$C$97-2,2,0),((CROQUIS!$C$107/2+(((CROQUIS!$C$98)-CROQUIS!$C$107)-(MIN(80,MAX(1,INT(((CROQUIS!$C$98)-CROQUIS!$C$107)/MAX(CROQUIS!$C$126,1))+1))-1)*CROQUIS!$C$126)/2)+MIN(INT(($A154-1)/5),MAX((MIN(80,MAX(1,INT(((CROQUIS!$C$98)-CROQUIS!$C$107)/MAX(CROQUIS!$C$126,1))+1)))-1,0))*CROQUIS!$C$126)))*CROQUIS!$C$155)+IF(CROQUIS!$C$92="X",0,0)),-1000)</f>
        <v>-1000</v>
      </c>
      <c r="BI154">
        <f>IF(AND(CROQUIS!$C$88=1,CROQUIS!$C$126&gt;0),((CROQUIS!$C$157+(IF(CROQUIS!$C$92="X",((CROQUIS!$C$107/2+(((CROQUIS!$C$98)-CROQUIS!$C$107)-(MIN(80,MAX(1,INT(((CROQUIS!$C$98)-CROQUIS!$C$107)/MAX(CROQUIS!$C$126,1))+1))-1)*CROQUIS!$C$126)/2)+MIN(INT(($A154-1)/5),MAX((MIN(80,MAX(1,INT(((CROQUIS!$C$98)-CROQUIS!$C$107)/MAX(CROQUIS!$C$126,1))+1)))-1,0))*CROQUIS!$C$126),CHOOSE(IF(INT(($A154-1)/5)&gt;MAX((MIN(80,MAX(1,INT(((CROQUIS!$C$98)-CROQUIS!$C$107)/MAX(CROQUIS!$C$126,1))+1)))-1,0),0,MOD($A154-1,5))+1,0,2,CROQUIS!$C$97-2,2,0)))*CROQUIS!$C$155)+IF(CROQUIS!$C$92="X",0,0)),-1000)</f>
        <v>-1000</v>
      </c>
      <c r="BJ154">
        <f>IF(AND(CROQUIS!$C$88=1,CROQUIS!$C$134&gt;0),((CROQUIS!$C$156+(IF(CROQUIS!$C$92="X",((CROQUIS!$C$107/2+(((CROQUIS!$C$97)-CROQUIS!$C$107)-(MIN(80,MAX(1,INT(((CROQUIS!$C$97)-CROQUIS!$C$107)/MAX(CROQUIS!$C$134,1))+1))-1)*CROQUIS!$C$134)/2)+MIN(INT(($A154-1)/5),MAX((MIN(80,MAX(1,INT(((CROQUIS!$C$97)-CROQUIS!$C$107)/MAX(CROQUIS!$C$134,1))+1)))-1,0))*CROQUIS!$C$134),CHOOSE(IF(INT(($A154-1)/5)&gt;MAX((MIN(80,MAX(1,INT(((CROQUIS!$C$97)-CROQUIS!$C$107)/MAX(CROQUIS!$C$134,1))+1)))-1,0),0,MOD($A154-1,5))+1,0,2,CROQUIS!$C$98-2,2,0)))*CROQUIS!$C$155)+IF(CROQUIS!$C$92="X",0,0)),-1000)</f>
        <v>-1000</v>
      </c>
      <c r="BK154">
        <f>IF(AND(CROQUIS!$C$88=1,CROQUIS!$C$134&gt;0),((CROQUIS!$C$157+(IF(CROQUIS!$C$92="X",CHOOSE(IF(INT(($A154-1)/5)&gt;MAX((MIN(80,MAX(1,INT(((CROQUIS!$C$97)-CROQUIS!$C$107)/MAX(CROQUIS!$C$134,1))+1)))-1,0),0,MOD($A154-1,5))+1,0,2,CROQUIS!$C$98-2,2,0),((CROQUIS!$C$107/2+(((CROQUIS!$C$97)-CROQUIS!$C$107)-(MIN(80,MAX(1,INT(((CROQUIS!$C$97)-CROQUIS!$C$107)/MAX(CROQUIS!$C$134,1))+1))-1)*CROQUIS!$C$134)/2)+MIN(INT(($A154-1)/5),MAX((MIN(80,MAX(1,INT(((CROQUIS!$C$97)-CROQUIS!$C$107)/MAX(CROQUIS!$C$134,1))+1)))-1,0))*CROQUIS!$C$134)))*CROQUIS!$C$155)+IF(CROQUIS!$C$92="X",0,0)),-1000)</f>
        <v>-1000</v>
      </c>
      <c r="BL154">
        <f>IF(AND(CROQUIS!$C$88=1,CROQUIS!$C$91=0,CROQUIS!$C$130&gt;0,OR(CROQUIS!$C$103=1,CROQUIS!$C$142=1)),((CROQUIS!$C$156+(IF(CROQUIS!$C$92="X",CHOOSE(IF(INT(($A154-1)/5)&gt;MAX((MIN(80,MAX(1,INT(((CROQUIS!$C$98)-CROQUIS!$C$107)/MAX(CROQUIS!$C$130,1))+1)))-1,0),0,MOD($A154-1,5))+1,0,IF(CROQUIS!$C$103=1,-12,2),CROQUIS!$C$107/2+CROQUIS!$C$140,IF(CROQUIS!$C$103=1,-12,2),0),((CROQUIS!$C$107/2+(((CROQUIS!$C$98)-CROQUIS!$C$107)-(MIN(80,MAX(1,INT(((CROQUIS!$C$98)-CROQUIS!$C$107)/MAX(CROQUIS!$C$130,1))+1))-1)*CROQUIS!$C$130)/2)+MIN(INT(($A154-1)/5),MAX((MIN(80,MAX(1,INT(((CROQUIS!$C$98)-CROQUIS!$C$107)/MAX(CROQUIS!$C$130,1))+1)))-1,0))*CROQUIS!$C$130)))*CROQUIS!$C$155)+IF(CROQUIS!$C$92="X",0,0)),-1000)</f>
        <v>-1000</v>
      </c>
      <c r="BM15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154-1)/5),MAX((MIN(80,MAX(1,INT(((CROQUIS!$C$98)-CROQUIS!$C$107)/MAX(CROQUIS!$C$130,1))+1)))-1,0))*CROQUIS!$C$130),CHOOSE(IF(INT(($A154-1)/5)&gt;MAX((MIN(80,MAX(1,INT(((CROQUIS!$C$98)-CROQUIS!$C$107)/MAX(CROQUIS!$C$130,1))+1)))-1,0),0,MOD($A154-1,5))+1,0,IF(CROQUIS!$C$103=1,-12,2),CROQUIS!$C$107/2+CROQUIS!$C$140,IF(CROQUIS!$C$103=1,-12,2),0)))*CROQUIS!$C$155)+IF(CROQUIS!$C$92="X",0,0)),-1000)</f>
        <v>-1000</v>
      </c>
      <c r="BN154">
        <f>IF(AND(CROQUIS!$C$88=1,CROQUIS!$C$91=0,CROQUIS!$C$130&gt;0,OR(CROQUIS!$C$104=1,CROQUIS!$C$142=1)),((CROQUIS!$C$156+(IF(CROQUIS!$C$92="X",CHOOSE(IF(INT(($A154-1)/5)&gt;MAX((MIN(80,MAX(1,INT(((CROQUIS!$C$98)-CROQUIS!$C$107)/MAX(CROQUIS!$C$130,1))+1)))-1,0),0,MOD($A154-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154-1)/5),MAX((MIN(80,MAX(1,INT(((CROQUIS!$C$98)-CROQUIS!$C$107)/MAX(CROQUIS!$C$130,1))+1)))-1,0))*CROQUIS!$C$130)))*CROQUIS!$C$155)+IF(CROQUIS!$C$92="X",0,0)),-1000)</f>
        <v>-1000</v>
      </c>
      <c r="BO15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154-1)/5),MAX((MIN(80,MAX(1,INT(((CROQUIS!$C$98)-CROQUIS!$C$107)/MAX(CROQUIS!$C$130,1))+1)))-1,0))*CROQUIS!$C$130),CHOOSE(IF(INT(($A154-1)/5)&gt;MAX((MIN(80,MAX(1,INT(((CROQUIS!$C$98)-CROQUIS!$C$107)/MAX(CROQUIS!$C$130,1))+1)))-1,0),0,MOD($A154-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5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154-1)/5),MAX((MIN(80,MAX(1,INT(((CROQUIS!$C$97)-CROQUIS!$C$107)/MAX(CROQUIS!$C$138,1))+1)))-1,0))*CROQUIS!$C$138),CHOOSE(IF(INT(($A154-1)/5)&gt;MAX((MIN(80,MAX(1,INT(((CROQUIS!$C$97)-CROQUIS!$C$107)/MAX(CROQUIS!$C$138,1))+1)))-1,0),0,MOD($A154-1,5))+1,0,IF(CROQUIS!$C$105=1,-12,2),CROQUIS!$C$107/2+CROQUIS!$C$141,IF(CROQUIS!$C$105=1,-12,2),0)))*CROQUIS!$C$155)+IF(CROQUIS!$C$92="X",0,0)),-1000)</f>
        <v>-1000</v>
      </c>
      <c r="BQ154">
        <f>IF(AND(CROQUIS!$C$88=1,CROQUIS!$C$91=0,CROQUIS!$C$138&gt;0,OR(CROQUIS!$C$105=1,CROQUIS!$C$143=1)),((CROQUIS!$C$157+(IF(CROQUIS!$C$92="X",CHOOSE(IF(INT(($A154-1)/5)&gt;MAX((MIN(80,MAX(1,INT(((CROQUIS!$C$97)-CROQUIS!$C$107)/MAX(CROQUIS!$C$138,1))+1)))-1,0),0,MOD($A154-1,5))+1,0,IF(CROQUIS!$C$105=1,-12,2),CROQUIS!$C$107/2+CROQUIS!$C$141,IF(CROQUIS!$C$105=1,-12,2),0),((CROQUIS!$C$107/2+(((CROQUIS!$C$97)-CROQUIS!$C$107)-(MIN(80,MAX(1,INT(((CROQUIS!$C$97)-CROQUIS!$C$107)/MAX(CROQUIS!$C$138,1))+1))-1)*CROQUIS!$C$138)/2)+MIN(INT(($A154-1)/5),MAX((MIN(80,MAX(1,INT(((CROQUIS!$C$97)-CROQUIS!$C$107)/MAX(CROQUIS!$C$138,1))+1)))-1,0))*CROQUIS!$C$138)))*CROQUIS!$C$155)+IF(CROQUIS!$C$92="X",0,0)),-1000)</f>
        <v>-1000</v>
      </c>
      <c r="BR15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154-1)/5),MAX((MIN(80,MAX(1,INT(((CROQUIS!$C$97)-CROQUIS!$C$107)/MAX(CROQUIS!$C$138,1))+1)))-1,0))*CROQUIS!$C$138),CHOOSE(IF(INT(($A154-1)/5)&gt;MAX((MIN(80,MAX(1,INT(((CROQUIS!$C$97)-CROQUIS!$C$107)/MAX(CROQUIS!$C$138,1))+1)))-1,0),0,MOD($A154-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54">
        <f>IF(AND(CROQUIS!$C$88=1,CROQUIS!$C$91=0,CROQUIS!$C$138&gt;0,OR(CROQUIS!$C$106=1,CROQUIS!$C$143=1)),((CROQUIS!$C$157+(IF(CROQUIS!$C$92="X",CHOOSE(IF(INT(($A154-1)/5)&gt;MAX((MIN(80,MAX(1,INT(((CROQUIS!$C$97)-CROQUIS!$C$107)/MAX(CROQUIS!$C$138,1))+1)))-1,0),0,MOD($A154-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154-1)/5),MAX((MIN(80,MAX(1,INT(((CROQUIS!$C$97)-CROQUIS!$C$107)/MAX(CROQUIS!$C$138,1))+1)))-1,0))*CROQUIS!$C$138)))*CROQUIS!$C$155)+IF(CROQUIS!$C$92="X",0,0)),-1000)</f>
        <v>-1000</v>
      </c>
      <c r="BT154">
        <f>IF(AND(CROQUIS!$C$88=1,CROQUIS!$C$91=1,CROQUIS!$C$130&gt;0),((CROQUIS!$C$156+(IF(CROQUIS!$C$92="X",CHOOSE(IF(INT(($A154-1)/5)&gt;MAX((MIN(80,MAX(1,INT(((CROQUIS!$C$98)-CROQUIS!$C$107)/MAX(CROQUIS!$C$130,1))+1)))-1,0),0,MOD($A154-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154-1)/5),MAX((MIN(80,MAX(1,INT(((CROQUIS!$C$98)-CROQUIS!$C$107)/MAX(CROQUIS!$C$130,1))+1)))-1,0))*CROQUIS!$C$130)))*CROQUIS!$C$155)+IF(CROQUIS!$C$92="X",0,0)),-1000)</f>
        <v>-1000</v>
      </c>
      <c r="BU154">
        <f>IF(AND(CROQUIS!$C$88=1,CROQUIS!$C$91=1,CROQUIS!$C$130&gt;0),((CROQUIS!$C$157+(IF(CROQUIS!$C$92="X",((CROQUIS!$C$107/2+(((CROQUIS!$C$98)-CROQUIS!$C$107)-(MIN(80,MAX(1,INT(((CROQUIS!$C$98)-CROQUIS!$C$107)/MAX(CROQUIS!$C$130,1))+1))-1)*CROQUIS!$C$130)/2)+MIN(INT(($A154-1)/5),MAX((MIN(80,MAX(1,INT(((CROQUIS!$C$98)-CROQUIS!$C$107)/MAX(CROQUIS!$C$130,1))+1)))-1,0))*CROQUIS!$C$130),CHOOSE(IF(INT(($A154-1)/5)&gt;MAX((MIN(80,MAX(1,INT(((CROQUIS!$C$98)-CROQUIS!$C$107)/MAX(CROQUIS!$C$130,1))+1)))-1,0),0,MOD($A154-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55">
      <c r="A155" t="n">
        <v>148</v>
      </c>
      <c r="BH155">
        <f>IF(AND(CROQUIS!$C$88=1,CROQUIS!$C$126&gt;0),((CROQUIS!$C$156+(IF(CROQUIS!$C$92="X",CHOOSE(IF(INT(($A155-1)/5)&gt;MAX((MIN(80,MAX(1,INT(((CROQUIS!$C$98)-CROQUIS!$C$107)/MAX(CROQUIS!$C$126,1))+1)))-1,0),0,MOD($A155-1,5))+1,0,2,CROQUIS!$C$97-2,2,0),((CROQUIS!$C$107/2+(((CROQUIS!$C$98)-CROQUIS!$C$107)-(MIN(80,MAX(1,INT(((CROQUIS!$C$98)-CROQUIS!$C$107)/MAX(CROQUIS!$C$126,1))+1))-1)*CROQUIS!$C$126)/2)+MIN(INT(($A155-1)/5),MAX((MIN(80,MAX(1,INT(((CROQUIS!$C$98)-CROQUIS!$C$107)/MAX(CROQUIS!$C$126,1))+1)))-1,0))*CROQUIS!$C$126)))*CROQUIS!$C$155)+IF(CROQUIS!$C$92="X",0,0)),-1000)</f>
        <v>-1000</v>
      </c>
      <c r="BI155">
        <f>IF(AND(CROQUIS!$C$88=1,CROQUIS!$C$126&gt;0),((CROQUIS!$C$157+(IF(CROQUIS!$C$92="X",((CROQUIS!$C$107/2+(((CROQUIS!$C$98)-CROQUIS!$C$107)-(MIN(80,MAX(1,INT(((CROQUIS!$C$98)-CROQUIS!$C$107)/MAX(CROQUIS!$C$126,1))+1))-1)*CROQUIS!$C$126)/2)+MIN(INT(($A155-1)/5),MAX((MIN(80,MAX(1,INT(((CROQUIS!$C$98)-CROQUIS!$C$107)/MAX(CROQUIS!$C$126,1))+1)))-1,0))*CROQUIS!$C$126),CHOOSE(IF(INT(($A155-1)/5)&gt;MAX((MIN(80,MAX(1,INT(((CROQUIS!$C$98)-CROQUIS!$C$107)/MAX(CROQUIS!$C$126,1))+1)))-1,0),0,MOD($A155-1,5))+1,0,2,CROQUIS!$C$97-2,2,0)))*CROQUIS!$C$155)+IF(CROQUIS!$C$92="X",0,0)),-1000)</f>
        <v>-1000</v>
      </c>
      <c r="BJ155">
        <f>IF(AND(CROQUIS!$C$88=1,CROQUIS!$C$134&gt;0),((CROQUIS!$C$156+(IF(CROQUIS!$C$92="X",((CROQUIS!$C$107/2+(((CROQUIS!$C$97)-CROQUIS!$C$107)-(MIN(80,MAX(1,INT(((CROQUIS!$C$97)-CROQUIS!$C$107)/MAX(CROQUIS!$C$134,1))+1))-1)*CROQUIS!$C$134)/2)+MIN(INT(($A155-1)/5),MAX((MIN(80,MAX(1,INT(((CROQUIS!$C$97)-CROQUIS!$C$107)/MAX(CROQUIS!$C$134,1))+1)))-1,0))*CROQUIS!$C$134),CHOOSE(IF(INT(($A155-1)/5)&gt;MAX((MIN(80,MAX(1,INT(((CROQUIS!$C$97)-CROQUIS!$C$107)/MAX(CROQUIS!$C$134,1))+1)))-1,0),0,MOD($A155-1,5))+1,0,2,CROQUIS!$C$98-2,2,0)))*CROQUIS!$C$155)+IF(CROQUIS!$C$92="X",0,0)),-1000)</f>
        <v>-1000</v>
      </c>
      <c r="BK155">
        <f>IF(AND(CROQUIS!$C$88=1,CROQUIS!$C$134&gt;0),((CROQUIS!$C$157+(IF(CROQUIS!$C$92="X",CHOOSE(IF(INT(($A155-1)/5)&gt;MAX((MIN(80,MAX(1,INT(((CROQUIS!$C$97)-CROQUIS!$C$107)/MAX(CROQUIS!$C$134,1))+1)))-1,0),0,MOD($A155-1,5))+1,0,2,CROQUIS!$C$98-2,2,0),((CROQUIS!$C$107/2+(((CROQUIS!$C$97)-CROQUIS!$C$107)-(MIN(80,MAX(1,INT(((CROQUIS!$C$97)-CROQUIS!$C$107)/MAX(CROQUIS!$C$134,1))+1))-1)*CROQUIS!$C$134)/2)+MIN(INT(($A155-1)/5),MAX((MIN(80,MAX(1,INT(((CROQUIS!$C$97)-CROQUIS!$C$107)/MAX(CROQUIS!$C$134,1))+1)))-1,0))*CROQUIS!$C$134)))*CROQUIS!$C$155)+IF(CROQUIS!$C$92="X",0,0)),-1000)</f>
        <v>-1000</v>
      </c>
      <c r="BL155">
        <f>IF(AND(CROQUIS!$C$88=1,CROQUIS!$C$91=0,CROQUIS!$C$130&gt;0,OR(CROQUIS!$C$103=1,CROQUIS!$C$142=1)),((CROQUIS!$C$156+(IF(CROQUIS!$C$92="X",CHOOSE(IF(INT(($A155-1)/5)&gt;MAX((MIN(80,MAX(1,INT(((CROQUIS!$C$98)-CROQUIS!$C$107)/MAX(CROQUIS!$C$130,1))+1)))-1,0),0,MOD($A155-1,5))+1,0,IF(CROQUIS!$C$103=1,-12,2),CROQUIS!$C$107/2+CROQUIS!$C$140,IF(CROQUIS!$C$103=1,-12,2),0),((CROQUIS!$C$107/2+(((CROQUIS!$C$98)-CROQUIS!$C$107)-(MIN(80,MAX(1,INT(((CROQUIS!$C$98)-CROQUIS!$C$107)/MAX(CROQUIS!$C$130,1))+1))-1)*CROQUIS!$C$130)/2)+MIN(INT(($A155-1)/5),MAX((MIN(80,MAX(1,INT(((CROQUIS!$C$98)-CROQUIS!$C$107)/MAX(CROQUIS!$C$130,1))+1)))-1,0))*CROQUIS!$C$130)))*CROQUIS!$C$155)+IF(CROQUIS!$C$92="X",0,0)),-1000)</f>
        <v>-1000</v>
      </c>
      <c r="BM15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155-1)/5),MAX((MIN(80,MAX(1,INT(((CROQUIS!$C$98)-CROQUIS!$C$107)/MAX(CROQUIS!$C$130,1))+1)))-1,0))*CROQUIS!$C$130),CHOOSE(IF(INT(($A155-1)/5)&gt;MAX((MIN(80,MAX(1,INT(((CROQUIS!$C$98)-CROQUIS!$C$107)/MAX(CROQUIS!$C$130,1))+1)))-1,0),0,MOD($A155-1,5))+1,0,IF(CROQUIS!$C$103=1,-12,2),CROQUIS!$C$107/2+CROQUIS!$C$140,IF(CROQUIS!$C$103=1,-12,2),0)))*CROQUIS!$C$155)+IF(CROQUIS!$C$92="X",0,0)),-1000)</f>
        <v>-1000</v>
      </c>
      <c r="BN155">
        <f>IF(AND(CROQUIS!$C$88=1,CROQUIS!$C$91=0,CROQUIS!$C$130&gt;0,OR(CROQUIS!$C$104=1,CROQUIS!$C$142=1)),((CROQUIS!$C$156+(IF(CROQUIS!$C$92="X",CHOOSE(IF(INT(($A155-1)/5)&gt;MAX((MIN(80,MAX(1,INT(((CROQUIS!$C$98)-CROQUIS!$C$107)/MAX(CROQUIS!$C$130,1))+1)))-1,0),0,MOD($A155-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155-1)/5),MAX((MIN(80,MAX(1,INT(((CROQUIS!$C$98)-CROQUIS!$C$107)/MAX(CROQUIS!$C$130,1))+1)))-1,0))*CROQUIS!$C$130)))*CROQUIS!$C$155)+IF(CROQUIS!$C$92="X",0,0)),-1000)</f>
        <v>-1000</v>
      </c>
      <c r="BO15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155-1)/5),MAX((MIN(80,MAX(1,INT(((CROQUIS!$C$98)-CROQUIS!$C$107)/MAX(CROQUIS!$C$130,1))+1)))-1,0))*CROQUIS!$C$130),CHOOSE(IF(INT(($A155-1)/5)&gt;MAX((MIN(80,MAX(1,INT(((CROQUIS!$C$98)-CROQUIS!$C$107)/MAX(CROQUIS!$C$130,1))+1)))-1,0),0,MOD($A155-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5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155-1)/5),MAX((MIN(80,MAX(1,INT(((CROQUIS!$C$97)-CROQUIS!$C$107)/MAX(CROQUIS!$C$138,1))+1)))-1,0))*CROQUIS!$C$138),CHOOSE(IF(INT(($A155-1)/5)&gt;MAX((MIN(80,MAX(1,INT(((CROQUIS!$C$97)-CROQUIS!$C$107)/MAX(CROQUIS!$C$138,1))+1)))-1,0),0,MOD($A155-1,5))+1,0,IF(CROQUIS!$C$105=1,-12,2),CROQUIS!$C$107/2+CROQUIS!$C$141,IF(CROQUIS!$C$105=1,-12,2),0)))*CROQUIS!$C$155)+IF(CROQUIS!$C$92="X",0,0)),-1000)</f>
        <v>-1000</v>
      </c>
      <c r="BQ155">
        <f>IF(AND(CROQUIS!$C$88=1,CROQUIS!$C$91=0,CROQUIS!$C$138&gt;0,OR(CROQUIS!$C$105=1,CROQUIS!$C$143=1)),((CROQUIS!$C$157+(IF(CROQUIS!$C$92="X",CHOOSE(IF(INT(($A155-1)/5)&gt;MAX((MIN(80,MAX(1,INT(((CROQUIS!$C$97)-CROQUIS!$C$107)/MAX(CROQUIS!$C$138,1))+1)))-1,0),0,MOD($A155-1,5))+1,0,IF(CROQUIS!$C$105=1,-12,2),CROQUIS!$C$107/2+CROQUIS!$C$141,IF(CROQUIS!$C$105=1,-12,2),0),((CROQUIS!$C$107/2+(((CROQUIS!$C$97)-CROQUIS!$C$107)-(MIN(80,MAX(1,INT(((CROQUIS!$C$97)-CROQUIS!$C$107)/MAX(CROQUIS!$C$138,1))+1))-1)*CROQUIS!$C$138)/2)+MIN(INT(($A155-1)/5),MAX((MIN(80,MAX(1,INT(((CROQUIS!$C$97)-CROQUIS!$C$107)/MAX(CROQUIS!$C$138,1))+1)))-1,0))*CROQUIS!$C$138)))*CROQUIS!$C$155)+IF(CROQUIS!$C$92="X",0,0)),-1000)</f>
        <v>-1000</v>
      </c>
      <c r="BR15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155-1)/5),MAX((MIN(80,MAX(1,INT(((CROQUIS!$C$97)-CROQUIS!$C$107)/MAX(CROQUIS!$C$138,1))+1)))-1,0))*CROQUIS!$C$138),CHOOSE(IF(INT(($A155-1)/5)&gt;MAX((MIN(80,MAX(1,INT(((CROQUIS!$C$97)-CROQUIS!$C$107)/MAX(CROQUIS!$C$138,1))+1)))-1,0),0,MOD($A155-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55">
        <f>IF(AND(CROQUIS!$C$88=1,CROQUIS!$C$91=0,CROQUIS!$C$138&gt;0,OR(CROQUIS!$C$106=1,CROQUIS!$C$143=1)),((CROQUIS!$C$157+(IF(CROQUIS!$C$92="X",CHOOSE(IF(INT(($A155-1)/5)&gt;MAX((MIN(80,MAX(1,INT(((CROQUIS!$C$97)-CROQUIS!$C$107)/MAX(CROQUIS!$C$138,1))+1)))-1,0),0,MOD($A155-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155-1)/5),MAX((MIN(80,MAX(1,INT(((CROQUIS!$C$97)-CROQUIS!$C$107)/MAX(CROQUIS!$C$138,1))+1)))-1,0))*CROQUIS!$C$138)))*CROQUIS!$C$155)+IF(CROQUIS!$C$92="X",0,0)),-1000)</f>
        <v>-1000</v>
      </c>
      <c r="BT155">
        <f>IF(AND(CROQUIS!$C$88=1,CROQUIS!$C$91=1,CROQUIS!$C$130&gt;0),((CROQUIS!$C$156+(IF(CROQUIS!$C$92="X",CHOOSE(IF(INT(($A155-1)/5)&gt;MAX((MIN(80,MAX(1,INT(((CROQUIS!$C$98)-CROQUIS!$C$107)/MAX(CROQUIS!$C$130,1))+1)))-1,0),0,MOD($A155-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155-1)/5),MAX((MIN(80,MAX(1,INT(((CROQUIS!$C$98)-CROQUIS!$C$107)/MAX(CROQUIS!$C$130,1))+1)))-1,0))*CROQUIS!$C$130)))*CROQUIS!$C$155)+IF(CROQUIS!$C$92="X",0,0)),-1000)</f>
        <v>-1000</v>
      </c>
      <c r="BU155">
        <f>IF(AND(CROQUIS!$C$88=1,CROQUIS!$C$91=1,CROQUIS!$C$130&gt;0),((CROQUIS!$C$157+(IF(CROQUIS!$C$92="X",((CROQUIS!$C$107/2+(((CROQUIS!$C$98)-CROQUIS!$C$107)-(MIN(80,MAX(1,INT(((CROQUIS!$C$98)-CROQUIS!$C$107)/MAX(CROQUIS!$C$130,1))+1))-1)*CROQUIS!$C$130)/2)+MIN(INT(($A155-1)/5),MAX((MIN(80,MAX(1,INT(((CROQUIS!$C$98)-CROQUIS!$C$107)/MAX(CROQUIS!$C$130,1))+1)))-1,0))*CROQUIS!$C$130),CHOOSE(IF(INT(($A155-1)/5)&gt;MAX((MIN(80,MAX(1,INT(((CROQUIS!$C$98)-CROQUIS!$C$107)/MAX(CROQUIS!$C$130,1))+1)))-1,0),0,MOD($A155-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56">
      <c r="A156" t="n">
        <v>149</v>
      </c>
      <c r="BH156">
        <f>IF(AND(CROQUIS!$C$88=1,CROQUIS!$C$126&gt;0),((CROQUIS!$C$156+(IF(CROQUIS!$C$92="X",CHOOSE(IF(INT(($A156-1)/5)&gt;MAX((MIN(80,MAX(1,INT(((CROQUIS!$C$98)-CROQUIS!$C$107)/MAX(CROQUIS!$C$126,1))+1)))-1,0),0,MOD($A156-1,5))+1,0,2,CROQUIS!$C$97-2,2,0),((CROQUIS!$C$107/2+(((CROQUIS!$C$98)-CROQUIS!$C$107)-(MIN(80,MAX(1,INT(((CROQUIS!$C$98)-CROQUIS!$C$107)/MAX(CROQUIS!$C$126,1))+1))-1)*CROQUIS!$C$126)/2)+MIN(INT(($A156-1)/5),MAX((MIN(80,MAX(1,INT(((CROQUIS!$C$98)-CROQUIS!$C$107)/MAX(CROQUIS!$C$126,1))+1)))-1,0))*CROQUIS!$C$126)))*CROQUIS!$C$155)+IF(CROQUIS!$C$92="X",0,0)),-1000)</f>
        <v>-1000</v>
      </c>
      <c r="BI156">
        <f>IF(AND(CROQUIS!$C$88=1,CROQUIS!$C$126&gt;0),((CROQUIS!$C$157+(IF(CROQUIS!$C$92="X",((CROQUIS!$C$107/2+(((CROQUIS!$C$98)-CROQUIS!$C$107)-(MIN(80,MAX(1,INT(((CROQUIS!$C$98)-CROQUIS!$C$107)/MAX(CROQUIS!$C$126,1))+1))-1)*CROQUIS!$C$126)/2)+MIN(INT(($A156-1)/5),MAX((MIN(80,MAX(1,INT(((CROQUIS!$C$98)-CROQUIS!$C$107)/MAX(CROQUIS!$C$126,1))+1)))-1,0))*CROQUIS!$C$126),CHOOSE(IF(INT(($A156-1)/5)&gt;MAX((MIN(80,MAX(1,INT(((CROQUIS!$C$98)-CROQUIS!$C$107)/MAX(CROQUIS!$C$126,1))+1)))-1,0),0,MOD($A156-1,5))+1,0,2,CROQUIS!$C$97-2,2,0)))*CROQUIS!$C$155)+IF(CROQUIS!$C$92="X",0,0)),-1000)</f>
        <v>-1000</v>
      </c>
      <c r="BJ156">
        <f>IF(AND(CROQUIS!$C$88=1,CROQUIS!$C$134&gt;0),((CROQUIS!$C$156+(IF(CROQUIS!$C$92="X",((CROQUIS!$C$107/2+(((CROQUIS!$C$97)-CROQUIS!$C$107)-(MIN(80,MAX(1,INT(((CROQUIS!$C$97)-CROQUIS!$C$107)/MAX(CROQUIS!$C$134,1))+1))-1)*CROQUIS!$C$134)/2)+MIN(INT(($A156-1)/5),MAX((MIN(80,MAX(1,INT(((CROQUIS!$C$97)-CROQUIS!$C$107)/MAX(CROQUIS!$C$134,1))+1)))-1,0))*CROQUIS!$C$134),CHOOSE(IF(INT(($A156-1)/5)&gt;MAX((MIN(80,MAX(1,INT(((CROQUIS!$C$97)-CROQUIS!$C$107)/MAX(CROQUIS!$C$134,1))+1)))-1,0),0,MOD($A156-1,5))+1,0,2,CROQUIS!$C$98-2,2,0)))*CROQUIS!$C$155)+IF(CROQUIS!$C$92="X",0,0)),-1000)</f>
        <v>-1000</v>
      </c>
      <c r="BK156">
        <f>IF(AND(CROQUIS!$C$88=1,CROQUIS!$C$134&gt;0),((CROQUIS!$C$157+(IF(CROQUIS!$C$92="X",CHOOSE(IF(INT(($A156-1)/5)&gt;MAX((MIN(80,MAX(1,INT(((CROQUIS!$C$97)-CROQUIS!$C$107)/MAX(CROQUIS!$C$134,1))+1)))-1,0),0,MOD($A156-1,5))+1,0,2,CROQUIS!$C$98-2,2,0),((CROQUIS!$C$107/2+(((CROQUIS!$C$97)-CROQUIS!$C$107)-(MIN(80,MAX(1,INT(((CROQUIS!$C$97)-CROQUIS!$C$107)/MAX(CROQUIS!$C$134,1))+1))-1)*CROQUIS!$C$134)/2)+MIN(INT(($A156-1)/5),MAX((MIN(80,MAX(1,INT(((CROQUIS!$C$97)-CROQUIS!$C$107)/MAX(CROQUIS!$C$134,1))+1)))-1,0))*CROQUIS!$C$134)))*CROQUIS!$C$155)+IF(CROQUIS!$C$92="X",0,0)),-1000)</f>
        <v>-1000</v>
      </c>
      <c r="BL156">
        <f>IF(AND(CROQUIS!$C$88=1,CROQUIS!$C$91=0,CROQUIS!$C$130&gt;0,OR(CROQUIS!$C$103=1,CROQUIS!$C$142=1)),((CROQUIS!$C$156+(IF(CROQUIS!$C$92="X",CHOOSE(IF(INT(($A156-1)/5)&gt;MAX((MIN(80,MAX(1,INT(((CROQUIS!$C$98)-CROQUIS!$C$107)/MAX(CROQUIS!$C$130,1))+1)))-1,0),0,MOD($A156-1,5))+1,0,IF(CROQUIS!$C$103=1,-12,2),CROQUIS!$C$107/2+CROQUIS!$C$140,IF(CROQUIS!$C$103=1,-12,2),0),((CROQUIS!$C$107/2+(((CROQUIS!$C$98)-CROQUIS!$C$107)-(MIN(80,MAX(1,INT(((CROQUIS!$C$98)-CROQUIS!$C$107)/MAX(CROQUIS!$C$130,1))+1))-1)*CROQUIS!$C$130)/2)+MIN(INT(($A156-1)/5),MAX((MIN(80,MAX(1,INT(((CROQUIS!$C$98)-CROQUIS!$C$107)/MAX(CROQUIS!$C$130,1))+1)))-1,0))*CROQUIS!$C$130)))*CROQUIS!$C$155)+IF(CROQUIS!$C$92="X",0,0)),-1000)</f>
        <v>-1000</v>
      </c>
      <c r="BM15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156-1)/5),MAX((MIN(80,MAX(1,INT(((CROQUIS!$C$98)-CROQUIS!$C$107)/MAX(CROQUIS!$C$130,1))+1)))-1,0))*CROQUIS!$C$130),CHOOSE(IF(INT(($A156-1)/5)&gt;MAX((MIN(80,MAX(1,INT(((CROQUIS!$C$98)-CROQUIS!$C$107)/MAX(CROQUIS!$C$130,1))+1)))-1,0),0,MOD($A156-1,5))+1,0,IF(CROQUIS!$C$103=1,-12,2),CROQUIS!$C$107/2+CROQUIS!$C$140,IF(CROQUIS!$C$103=1,-12,2),0)))*CROQUIS!$C$155)+IF(CROQUIS!$C$92="X",0,0)),-1000)</f>
        <v>-1000</v>
      </c>
      <c r="BN156">
        <f>IF(AND(CROQUIS!$C$88=1,CROQUIS!$C$91=0,CROQUIS!$C$130&gt;0,OR(CROQUIS!$C$104=1,CROQUIS!$C$142=1)),((CROQUIS!$C$156+(IF(CROQUIS!$C$92="X",CHOOSE(IF(INT(($A156-1)/5)&gt;MAX((MIN(80,MAX(1,INT(((CROQUIS!$C$98)-CROQUIS!$C$107)/MAX(CROQUIS!$C$130,1))+1)))-1,0),0,MOD($A156-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156-1)/5),MAX((MIN(80,MAX(1,INT(((CROQUIS!$C$98)-CROQUIS!$C$107)/MAX(CROQUIS!$C$130,1))+1)))-1,0))*CROQUIS!$C$130)))*CROQUIS!$C$155)+IF(CROQUIS!$C$92="X",0,0)),-1000)</f>
        <v>-1000</v>
      </c>
      <c r="BO15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156-1)/5),MAX((MIN(80,MAX(1,INT(((CROQUIS!$C$98)-CROQUIS!$C$107)/MAX(CROQUIS!$C$130,1))+1)))-1,0))*CROQUIS!$C$130),CHOOSE(IF(INT(($A156-1)/5)&gt;MAX((MIN(80,MAX(1,INT(((CROQUIS!$C$98)-CROQUIS!$C$107)/MAX(CROQUIS!$C$130,1))+1)))-1,0),0,MOD($A156-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5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156-1)/5),MAX((MIN(80,MAX(1,INT(((CROQUIS!$C$97)-CROQUIS!$C$107)/MAX(CROQUIS!$C$138,1))+1)))-1,0))*CROQUIS!$C$138),CHOOSE(IF(INT(($A156-1)/5)&gt;MAX((MIN(80,MAX(1,INT(((CROQUIS!$C$97)-CROQUIS!$C$107)/MAX(CROQUIS!$C$138,1))+1)))-1,0),0,MOD($A156-1,5))+1,0,IF(CROQUIS!$C$105=1,-12,2),CROQUIS!$C$107/2+CROQUIS!$C$141,IF(CROQUIS!$C$105=1,-12,2),0)))*CROQUIS!$C$155)+IF(CROQUIS!$C$92="X",0,0)),-1000)</f>
        <v>-1000</v>
      </c>
      <c r="BQ156">
        <f>IF(AND(CROQUIS!$C$88=1,CROQUIS!$C$91=0,CROQUIS!$C$138&gt;0,OR(CROQUIS!$C$105=1,CROQUIS!$C$143=1)),((CROQUIS!$C$157+(IF(CROQUIS!$C$92="X",CHOOSE(IF(INT(($A156-1)/5)&gt;MAX((MIN(80,MAX(1,INT(((CROQUIS!$C$97)-CROQUIS!$C$107)/MAX(CROQUIS!$C$138,1))+1)))-1,0),0,MOD($A156-1,5))+1,0,IF(CROQUIS!$C$105=1,-12,2),CROQUIS!$C$107/2+CROQUIS!$C$141,IF(CROQUIS!$C$105=1,-12,2),0),((CROQUIS!$C$107/2+(((CROQUIS!$C$97)-CROQUIS!$C$107)-(MIN(80,MAX(1,INT(((CROQUIS!$C$97)-CROQUIS!$C$107)/MAX(CROQUIS!$C$138,1))+1))-1)*CROQUIS!$C$138)/2)+MIN(INT(($A156-1)/5),MAX((MIN(80,MAX(1,INT(((CROQUIS!$C$97)-CROQUIS!$C$107)/MAX(CROQUIS!$C$138,1))+1)))-1,0))*CROQUIS!$C$138)))*CROQUIS!$C$155)+IF(CROQUIS!$C$92="X",0,0)),-1000)</f>
        <v>-1000</v>
      </c>
      <c r="BR15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156-1)/5),MAX((MIN(80,MAX(1,INT(((CROQUIS!$C$97)-CROQUIS!$C$107)/MAX(CROQUIS!$C$138,1))+1)))-1,0))*CROQUIS!$C$138),CHOOSE(IF(INT(($A156-1)/5)&gt;MAX((MIN(80,MAX(1,INT(((CROQUIS!$C$97)-CROQUIS!$C$107)/MAX(CROQUIS!$C$138,1))+1)))-1,0),0,MOD($A156-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56">
        <f>IF(AND(CROQUIS!$C$88=1,CROQUIS!$C$91=0,CROQUIS!$C$138&gt;0,OR(CROQUIS!$C$106=1,CROQUIS!$C$143=1)),((CROQUIS!$C$157+(IF(CROQUIS!$C$92="X",CHOOSE(IF(INT(($A156-1)/5)&gt;MAX((MIN(80,MAX(1,INT(((CROQUIS!$C$97)-CROQUIS!$C$107)/MAX(CROQUIS!$C$138,1))+1)))-1,0),0,MOD($A156-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156-1)/5),MAX((MIN(80,MAX(1,INT(((CROQUIS!$C$97)-CROQUIS!$C$107)/MAX(CROQUIS!$C$138,1))+1)))-1,0))*CROQUIS!$C$138)))*CROQUIS!$C$155)+IF(CROQUIS!$C$92="X",0,0)),-1000)</f>
        <v>-1000</v>
      </c>
      <c r="BT156">
        <f>IF(AND(CROQUIS!$C$88=1,CROQUIS!$C$91=1,CROQUIS!$C$130&gt;0),((CROQUIS!$C$156+(IF(CROQUIS!$C$92="X",CHOOSE(IF(INT(($A156-1)/5)&gt;MAX((MIN(80,MAX(1,INT(((CROQUIS!$C$98)-CROQUIS!$C$107)/MAX(CROQUIS!$C$130,1))+1)))-1,0),0,MOD($A156-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156-1)/5),MAX((MIN(80,MAX(1,INT(((CROQUIS!$C$98)-CROQUIS!$C$107)/MAX(CROQUIS!$C$130,1))+1)))-1,0))*CROQUIS!$C$130)))*CROQUIS!$C$155)+IF(CROQUIS!$C$92="X",0,0)),-1000)</f>
        <v>-1000</v>
      </c>
      <c r="BU156">
        <f>IF(AND(CROQUIS!$C$88=1,CROQUIS!$C$91=1,CROQUIS!$C$130&gt;0),((CROQUIS!$C$157+(IF(CROQUIS!$C$92="X",((CROQUIS!$C$107/2+(((CROQUIS!$C$98)-CROQUIS!$C$107)-(MIN(80,MAX(1,INT(((CROQUIS!$C$98)-CROQUIS!$C$107)/MAX(CROQUIS!$C$130,1))+1))-1)*CROQUIS!$C$130)/2)+MIN(INT(($A156-1)/5),MAX((MIN(80,MAX(1,INT(((CROQUIS!$C$98)-CROQUIS!$C$107)/MAX(CROQUIS!$C$130,1))+1)))-1,0))*CROQUIS!$C$130),CHOOSE(IF(INT(($A156-1)/5)&gt;MAX((MIN(80,MAX(1,INT(((CROQUIS!$C$98)-CROQUIS!$C$107)/MAX(CROQUIS!$C$130,1))+1)))-1,0),0,MOD($A156-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57">
      <c r="A157" t="n">
        <v>150</v>
      </c>
      <c r="BH157">
        <f>IF(AND(CROQUIS!$C$88=1,CROQUIS!$C$126&gt;0),((CROQUIS!$C$156+(IF(CROQUIS!$C$92="X",CHOOSE(IF(INT(($A157-1)/5)&gt;MAX((MIN(80,MAX(1,INT(((CROQUIS!$C$98)-CROQUIS!$C$107)/MAX(CROQUIS!$C$126,1))+1)))-1,0),0,MOD($A157-1,5))+1,0,2,CROQUIS!$C$97-2,2,0),((CROQUIS!$C$107/2+(((CROQUIS!$C$98)-CROQUIS!$C$107)-(MIN(80,MAX(1,INT(((CROQUIS!$C$98)-CROQUIS!$C$107)/MAX(CROQUIS!$C$126,1))+1))-1)*CROQUIS!$C$126)/2)+MIN(INT(($A157-1)/5),MAX((MIN(80,MAX(1,INT(((CROQUIS!$C$98)-CROQUIS!$C$107)/MAX(CROQUIS!$C$126,1))+1)))-1,0))*CROQUIS!$C$126)))*CROQUIS!$C$155)+IF(CROQUIS!$C$92="X",0,0)),-1000)</f>
        <v>-1000</v>
      </c>
      <c r="BI157">
        <f>IF(AND(CROQUIS!$C$88=1,CROQUIS!$C$126&gt;0),((CROQUIS!$C$157+(IF(CROQUIS!$C$92="X",((CROQUIS!$C$107/2+(((CROQUIS!$C$98)-CROQUIS!$C$107)-(MIN(80,MAX(1,INT(((CROQUIS!$C$98)-CROQUIS!$C$107)/MAX(CROQUIS!$C$126,1))+1))-1)*CROQUIS!$C$126)/2)+MIN(INT(($A157-1)/5),MAX((MIN(80,MAX(1,INT(((CROQUIS!$C$98)-CROQUIS!$C$107)/MAX(CROQUIS!$C$126,1))+1)))-1,0))*CROQUIS!$C$126),CHOOSE(IF(INT(($A157-1)/5)&gt;MAX((MIN(80,MAX(1,INT(((CROQUIS!$C$98)-CROQUIS!$C$107)/MAX(CROQUIS!$C$126,1))+1)))-1,0),0,MOD($A157-1,5))+1,0,2,CROQUIS!$C$97-2,2,0)))*CROQUIS!$C$155)+IF(CROQUIS!$C$92="X",0,0)),-1000)</f>
        <v>-1000</v>
      </c>
      <c r="BJ157">
        <f>IF(AND(CROQUIS!$C$88=1,CROQUIS!$C$134&gt;0),((CROQUIS!$C$156+(IF(CROQUIS!$C$92="X",((CROQUIS!$C$107/2+(((CROQUIS!$C$97)-CROQUIS!$C$107)-(MIN(80,MAX(1,INT(((CROQUIS!$C$97)-CROQUIS!$C$107)/MAX(CROQUIS!$C$134,1))+1))-1)*CROQUIS!$C$134)/2)+MIN(INT(($A157-1)/5),MAX((MIN(80,MAX(1,INT(((CROQUIS!$C$97)-CROQUIS!$C$107)/MAX(CROQUIS!$C$134,1))+1)))-1,0))*CROQUIS!$C$134),CHOOSE(IF(INT(($A157-1)/5)&gt;MAX((MIN(80,MAX(1,INT(((CROQUIS!$C$97)-CROQUIS!$C$107)/MAX(CROQUIS!$C$134,1))+1)))-1,0),0,MOD($A157-1,5))+1,0,2,CROQUIS!$C$98-2,2,0)))*CROQUIS!$C$155)+IF(CROQUIS!$C$92="X",0,0)),-1000)</f>
        <v>-1000</v>
      </c>
      <c r="BK157">
        <f>IF(AND(CROQUIS!$C$88=1,CROQUIS!$C$134&gt;0),((CROQUIS!$C$157+(IF(CROQUIS!$C$92="X",CHOOSE(IF(INT(($A157-1)/5)&gt;MAX((MIN(80,MAX(1,INT(((CROQUIS!$C$97)-CROQUIS!$C$107)/MAX(CROQUIS!$C$134,1))+1)))-1,0),0,MOD($A157-1,5))+1,0,2,CROQUIS!$C$98-2,2,0),((CROQUIS!$C$107/2+(((CROQUIS!$C$97)-CROQUIS!$C$107)-(MIN(80,MAX(1,INT(((CROQUIS!$C$97)-CROQUIS!$C$107)/MAX(CROQUIS!$C$134,1))+1))-1)*CROQUIS!$C$134)/2)+MIN(INT(($A157-1)/5),MAX((MIN(80,MAX(1,INT(((CROQUIS!$C$97)-CROQUIS!$C$107)/MAX(CROQUIS!$C$134,1))+1)))-1,0))*CROQUIS!$C$134)))*CROQUIS!$C$155)+IF(CROQUIS!$C$92="X",0,0)),-1000)</f>
        <v>-1000</v>
      </c>
      <c r="BL157">
        <f>IF(AND(CROQUIS!$C$88=1,CROQUIS!$C$91=0,CROQUIS!$C$130&gt;0,OR(CROQUIS!$C$103=1,CROQUIS!$C$142=1)),((CROQUIS!$C$156+(IF(CROQUIS!$C$92="X",CHOOSE(IF(INT(($A157-1)/5)&gt;MAX((MIN(80,MAX(1,INT(((CROQUIS!$C$98)-CROQUIS!$C$107)/MAX(CROQUIS!$C$130,1))+1)))-1,0),0,MOD($A157-1,5))+1,0,IF(CROQUIS!$C$103=1,-12,2),CROQUIS!$C$107/2+CROQUIS!$C$140,IF(CROQUIS!$C$103=1,-12,2),0),((CROQUIS!$C$107/2+(((CROQUIS!$C$98)-CROQUIS!$C$107)-(MIN(80,MAX(1,INT(((CROQUIS!$C$98)-CROQUIS!$C$107)/MAX(CROQUIS!$C$130,1))+1))-1)*CROQUIS!$C$130)/2)+MIN(INT(($A157-1)/5),MAX((MIN(80,MAX(1,INT(((CROQUIS!$C$98)-CROQUIS!$C$107)/MAX(CROQUIS!$C$130,1))+1)))-1,0))*CROQUIS!$C$130)))*CROQUIS!$C$155)+IF(CROQUIS!$C$92="X",0,0)),-1000)</f>
        <v>-1000</v>
      </c>
      <c r="BM15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157-1)/5),MAX((MIN(80,MAX(1,INT(((CROQUIS!$C$98)-CROQUIS!$C$107)/MAX(CROQUIS!$C$130,1))+1)))-1,0))*CROQUIS!$C$130),CHOOSE(IF(INT(($A157-1)/5)&gt;MAX((MIN(80,MAX(1,INT(((CROQUIS!$C$98)-CROQUIS!$C$107)/MAX(CROQUIS!$C$130,1))+1)))-1,0),0,MOD($A157-1,5))+1,0,IF(CROQUIS!$C$103=1,-12,2),CROQUIS!$C$107/2+CROQUIS!$C$140,IF(CROQUIS!$C$103=1,-12,2),0)))*CROQUIS!$C$155)+IF(CROQUIS!$C$92="X",0,0)),-1000)</f>
        <v>-1000</v>
      </c>
      <c r="BN157">
        <f>IF(AND(CROQUIS!$C$88=1,CROQUIS!$C$91=0,CROQUIS!$C$130&gt;0,OR(CROQUIS!$C$104=1,CROQUIS!$C$142=1)),((CROQUIS!$C$156+(IF(CROQUIS!$C$92="X",CHOOSE(IF(INT(($A157-1)/5)&gt;MAX((MIN(80,MAX(1,INT(((CROQUIS!$C$98)-CROQUIS!$C$107)/MAX(CROQUIS!$C$130,1))+1)))-1,0),0,MOD($A157-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157-1)/5),MAX((MIN(80,MAX(1,INT(((CROQUIS!$C$98)-CROQUIS!$C$107)/MAX(CROQUIS!$C$130,1))+1)))-1,0))*CROQUIS!$C$130)))*CROQUIS!$C$155)+IF(CROQUIS!$C$92="X",0,0)),-1000)</f>
        <v>-1000</v>
      </c>
      <c r="BO15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157-1)/5),MAX((MIN(80,MAX(1,INT(((CROQUIS!$C$98)-CROQUIS!$C$107)/MAX(CROQUIS!$C$130,1))+1)))-1,0))*CROQUIS!$C$130),CHOOSE(IF(INT(($A157-1)/5)&gt;MAX((MIN(80,MAX(1,INT(((CROQUIS!$C$98)-CROQUIS!$C$107)/MAX(CROQUIS!$C$130,1))+1)))-1,0),0,MOD($A157-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5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157-1)/5),MAX((MIN(80,MAX(1,INT(((CROQUIS!$C$97)-CROQUIS!$C$107)/MAX(CROQUIS!$C$138,1))+1)))-1,0))*CROQUIS!$C$138),CHOOSE(IF(INT(($A157-1)/5)&gt;MAX((MIN(80,MAX(1,INT(((CROQUIS!$C$97)-CROQUIS!$C$107)/MAX(CROQUIS!$C$138,1))+1)))-1,0),0,MOD($A157-1,5))+1,0,IF(CROQUIS!$C$105=1,-12,2),CROQUIS!$C$107/2+CROQUIS!$C$141,IF(CROQUIS!$C$105=1,-12,2),0)))*CROQUIS!$C$155)+IF(CROQUIS!$C$92="X",0,0)),-1000)</f>
        <v>-1000</v>
      </c>
      <c r="BQ157">
        <f>IF(AND(CROQUIS!$C$88=1,CROQUIS!$C$91=0,CROQUIS!$C$138&gt;0,OR(CROQUIS!$C$105=1,CROQUIS!$C$143=1)),((CROQUIS!$C$157+(IF(CROQUIS!$C$92="X",CHOOSE(IF(INT(($A157-1)/5)&gt;MAX((MIN(80,MAX(1,INT(((CROQUIS!$C$97)-CROQUIS!$C$107)/MAX(CROQUIS!$C$138,1))+1)))-1,0),0,MOD($A157-1,5))+1,0,IF(CROQUIS!$C$105=1,-12,2),CROQUIS!$C$107/2+CROQUIS!$C$141,IF(CROQUIS!$C$105=1,-12,2),0),((CROQUIS!$C$107/2+(((CROQUIS!$C$97)-CROQUIS!$C$107)-(MIN(80,MAX(1,INT(((CROQUIS!$C$97)-CROQUIS!$C$107)/MAX(CROQUIS!$C$138,1))+1))-1)*CROQUIS!$C$138)/2)+MIN(INT(($A157-1)/5),MAX((MIN(80,MAX(1,INT(((CROQUIS!$C$97)-CROQUIS!$C$107)/MAX(CROQUIS!$C$138,1))+1)))-1,0))*CROQUIS!$C$138)))*CROQUIS!$C$155)+IF(CROQUIS!$C$92="X",0,0)),-1000)</f>
        <v>-1000</v>
      </c>
      <c r="BR15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157-1)/5),MAX((MIN(80,MAX(1,INT(((CROQUIS!$C$97)-CROQUIS!$C$107)/MAX(CROQUIS!$C$138,1))+1)))-1,0))*CROQUIS!$C$138),CHOOSE(IF(INT(($A157-1)/5)&gt;MAX((MIN(80,MAX(1,INT(((CROQUIS!$C$97)-CROQUIS!$C$107)/MAX(CROQUIS!$C$138,1))+1)))-1,0),0,MOD($A157-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57">
        <f>IF(AND(CROQUIS!$C$88=1,CROQUIS!$C$91=0,CROQUIS!$C$138&gt;0,OR(CROQUIS!$C$106=1,CROQUIS!$C$143=1)),((CROQUIS!$C$157+(IF(CROQUIS!$C$92="X",CHOOSE(IF(INT(($A157-1)/5)&gt;MAX((MIN(80,MAX(1,INT(((CROQUIS!$C$97)-CROQUIS!$C$107)/MAX(CROQUIS!$C$138,1))+1)))-1,0),0,MOD($A157-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157-1)/5),MAX((MIN(80,MAX(1,INT(((CROQUIS!$C$97)-CROQUIS!$C$107)/MAX(CROQUIS!$C$138,1))+1)))-1,0))*CROQUIS!$C$138)))*CROQUIS!$C$155)+IF(CROQUIS!$C$92="X",0,0)),-1000)</f>
        <v>-1000</v>
      </c>
      <c r="BT157">
        <f>IF(AND(CROQUIS!$C$88=1,CROQUIS!$C$91=1,CROQUIS!$C$130&gt;0),((CROQUIS!$C$156+(IF(CROQUIS!$C$92="X",CHOOSE(IF(INT(($A157-1)/5)&gt;MAX((MIN(80,MAX(1,INT(((CROQUIS!$C$98)-CROQUIS!$C$107)/MAX(CROQUIS!$C$130,1))+1)))-1,0),0,MOD($A157-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157-1)/5),MAX((MIN(80,MAX(1,INT(((CROQUIS!$C$98)-CROQUIS!$C$107)/MAX(CROQUIS!$C$130,1))+1)))-1,0))*CROQUIS!$C$130)))*CROQUIS!$C$155)+IF(CROQUIS!$C$92="X",0,0)),-1000)</f>
        <v>-1000</v>
      </c>
      <c r="BU157">
        <f>IF(AND(CROQUIS!$C$88=1,CROQUIS!$C$91=1,CROQUIS!$C$130&gt;0),((CROQUIS!$C$157+(IF(CROQUIS!$C$92="X",((CROQUIS!$C$107/2+(((CROQUIS!$C$98)-CROQUIS!$C$107)-(MIN(80,MAX(1,INT(((CROQUIS!$C$98)-CROQUIS!$C$107)/MAX(CROQUIS!$C$130,1))+1))-1)*CROQUIS!$C$130)/2)+MIN(INT(($A157-1)/5),MAX((MIN(80,MAX(1,INT(((CROQUIS!$C$98)-CROQUIS!$C$107)/MAX(CROQUIS!$C$130,1))+1)))-1,0))*CROQUIS!$C$130),CHOOSE(IF(INT(($A157-1)/5)&gt;MAX((MIN(80,MAX(1,INT(((CROQUIS!$C$98)-CROQUIS!$C$107)/MAX(CROQUIS!$C$130,1))+1)))-1,0),0,MOD($A157-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58">
      <c r="A158" t="n">
        <v>151</v>
      </c>
      <c r="BH158">
        <f>IF(AND(CROQUIS!$C$88=1,CROQUIS!$C$126&gt;0),((CROQUIS!$C$156+(IF(CROQUIS!$C$92="X",CHOOSE(IF(INT(($A158-1)/5)&gt;MAX((MIN(80,MAX(1,INT(((CROQUIS!$C$98)-CROQUIS!$C$107)/MAX(CROQUIS!$C$126,1))+1)))-1,0),0,MOD($A158-1,5))+1,0,2,CROQUIS!$C$97-2,2,0),((CROQUIS!$C$107/2+(((CROQUIS!$C$98)-CROQUIS!$C$107)-(MIN(80,MAX(1,INT(((CROQUIS!$C$98)-CROQUIS!$C$107)/MAX(CROQUIS!$C$126,1))+1))-1)*CROQUIS!$C$126)/2)+MIN(INT(($A158-1)/5),MAX((MIN(80,MAX(1,INT(((CROQUIS!$C$98)-CROQUIS!$C$107)/MAX(CROQUIS!$C$126,1))+1)))-1,0))*CROQUIS!$C$126)))*CROQUIS!$C$155)+IF(CROQUIS!$C$92="X",0,0)),-1000)</f>
        <v>-1000</v>
      </c>
      <c r="BI158">
        <f>IF(AND(CROQUIS!$C$88=1,CROQUIS!$C$126&gt;0),((CROQUIS!$C$157+(IF(CROQUIS!$C$92="X",((CROQUIS!$C$107/2+(((CROQUIS!$C$98)-CROQUIS!$C$107)-(MIN(80,MAX(1,INT(((CROQUIS!$C$98)-CROQUIS!$C$107)/MAX(CROQUIS!$C$126,1))+1))-1)*CROQUIS!$C$126)/2)+MIN(INT(($A158-1)/5),MAX((MIN(80,MAX(1,INT(((CROQUIS!$C$98)-CROQUIS!$C$107)/MAX(CROQUIS!$C$126,1))+1)))-1,0))*CROQUIS!$C$126),CHOOSE(IF(INT(($A158-1)/5)&gt;MAX((MIN(80,MAX(1,INT(((CROQUIS!$C$98)-CROQUIS!$C$107)/MAX(CROQUIS!$C$126,1))+1)))-1,0),0,MOD($A158-1,5))+1,0,2,CROQUIS!$C$97-2,2,0)))*CROQUIS!$C$155)+IF(CROQUIS!$C$92="X",0,0)),-1000)</f>
        <v>-1000</v>
      </c>
      <c r="BJ158">
        <f>IF(AND(CROQUIS!$C$88=1,CROQUIS!$C$134&gt;0),((CROQUIS!$C$156+(IF(CROQUIS!$C$92="X",((CROQUIS!$C$107/2+(((CROQUIS!$C$97)-CROQUIS!$C$107)-(MIN(80,MAX(1,INT(((CROQUIS!$C$97)-CROQUIS!$C$107)/MAX(CROQUIS!$C$134,1))+1))-1)*CROQUIS!$C$134)/2)+MIN(INT(($A158-1)/5),MAX((MIN(80,MAX(1,INT(((CROQUIS!$C$97)-CROQUIS!$C$107)/MAX(CROQUIS!$C$134,1))+1)))-1,0))*CROQUIS!$C$134),CHOOSE(IF(INT(($A158-1)/5)&gt;MAX((MIN(80,MAX(1,INT(((CROQUIS!$C$97)-CROQUIS!$C$107)/MAX(CROQUIS!$C$134,1))+1)))-1,0),0,MOD($A158-1,5))+1,0,2,CROQUIS!$C$98-2,2,0)))*CROQUIS!$C$155)+IF(CROQUIS!$C$92="X",0,0)),-1000)</f>
        <v>-1000</v>
      </c>
      <c r="BK158">
        <f>IF(AND(CROQUIS!$C$88=1,CROQUIS!$C$134&gt;0),((CROQUIS!$C$157+(IF(CROQUIS!$C$92="X",CHOOSE(IF(INT(($A158-1)/5)&gt;MAX((MIN(80,MAX(1,INT(((CROQUIS!$C$97)-CROQUIS!$C$107)/MAX(CROQUIS!$C$134,1))+1)))-1,0),0,MOD($A158-1,5))+1,0,2,CROQUIS!$C$98-2,2,0),((CROQUIS!$C$107/2+(((CROQUIS!$C$97)-CROQUIS!$C$107)-(MIN(80,MAX(1,INT(((CROQUIS!$C$97)-CROQUIS!$C$107)/MAX(CROQUIS!$C$134,1))+1))-1)*CROQUIS!$C$134)/2)+MIN(INT(($A158-1)/5),MAX((MIN(80,MAX(1,INT(((CROQUIS!$C$97)-CROQUIS!$C$107)/MAX(CROQUIS!$C$134,1))+1)))-1,0))*CROQUIS!$C$134)))*CROQUIS!$C$155)+IF(CROQUIS!$C$92="X",0,0)),-1000)</f>
        <v>-1000</v>
      </c>
      <c r="BL158">
        <f>IF(AND(CROQUIS!$C$88=1,CROQUIS!$C$91=0,CROQUIS!$C$130&gt;0,OR(CROQUIS!$C$103=1,CROQUIS!$C$142=1)),((CROQUIS!$C$156+(IF(CROQUIS!$C$92="X",CHOOSE(IF(INT(($A158-1)/5)&gt;MAX((MIN(80,MAX(1,INT(((CROQUIS!$C$98)-CROQUIS!$C$107)/MAX(CROQUIS!$C$130,1))+1)))-1,0),0,MOD($A158-1,5))+1,0,IF(CROQUIS!$C$103=1,-12,2),CROQUIS!$C$107/2+CROQUIS!$C$140,IF(CROQUIS!$C$103=1,-12,2),0),((CROQUIS!$C$107/2+(((CROQUIS!$C$98)-CROQUIS!$C$107)-(MIN(80,MAX(1,INT(((CROQUIS!$C$98)-CROQUIS!$C$107)/MAX(CROQUIS!$C$130,1))+1))-1)*CROQUIS!$C$130)/2)+MIN(INT(($A158-1)/5),MAX((MIN(80,MAX(1,INT(((CROQUIS!$C$98)-CROQUIS!$C$107)/MAX(CROQUIS!$C$130,1))+1)))-1,0))*CROQUIS!$C$130)))*CROQUIS!$C$155)+IF(CROQUIS!$C$92="X",0,0)),-1000)</f>
        <v>-1000</v>
      </c>
      <c r="BM15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158-1)/5),MAX((MIN(80,MAX(1,INT(((CROQUIS!$C$98)-CROQUIS!$C$107)/MAX(CROQUIS!$C$130,1))+1)))-1,0))*CROQUIS!$C$130),CHOOSE(IF(INT(($A158-1)/5)&gt;MAX((MIN(80,MAX(1,INT(((CROQUIS!$C$98)-CROQUIS!$C$107)/MAX(CROQUIS!$C$130,1))+1)))-1,0),0,MOD($A158-1,5))+1,0,IF(CROQUIS!$C$103=1,-12,2),CROQUIS!$C$107/2+CROQUIS!$C$140,IF(CROQUIS!$C$103=1,-12,2),0)))*CROQUIS!$C$155)+IF(CROQUIS!$C$92="X",0,0)),-1000)</f>
        <v>-1000</v>
      </c>
      <c r="BN158">
        <f>IF(AND(CROQUIS!$C$88=1,CROQUIS!$C$91=0,CROQUIS!$C$130&gt;0,OR(CROQUIS!$C$104=1,CROQUIS!$C$142=1)),((CROQUIS!$C$156+(IF(CROQUIS!$C$92="X",CHOOSE(IF(INT(($A158-1)/5)&gt;MAX((MIN(80,MAX(1,INT(((CROQUIS!$C$98)-CROQUIS!$C$107)/MAX(CROQUIS!$C$130,1))+1)))-1,0),0,MOD($A158-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158-1)/5),MAX((MIN(80,MAX(1,INT(((CROQUIS!$C$98)-CROQUIS!$C$107)/MAX(CROQUIS!$C$130,1))+1)))-1,0))*CROQUIS!$C$130)))*CROQUIS!$C$155)+IF(CROQUIS!$C$92="X",0,0)),-1000)</f>
        <v>-1000</v>
      </c>
      <c r="BO15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158-1)/5),MAX((MIN(80,MAX(1,INT(((CROQUIS!$C$98)-CROQUIS!$C$107)/MAX(CROQUIS!$C$130,1))+1)))-1,0))*CROQUIS!$C$130),CHOOSE(IF(INT(($A158-1)/5)&gt;MAX((MIN(80,MAX(1,INT(((CROQUIS!$C$98)-CROQUIS!$C$107)/MAX(CROQUIS!$C$130,1))+1)))-1,0),0,MOD($A158-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5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158-1)/5),MAX((MIN(80,MAX(1,INT(((CROQUIS!$C$97)-CROQUIS!$C$107)/MAX(CROQUIS!$C$138,1))+1)))-1,0))*CROQUIS!$C$138),CHOOSE(IF(INT(($A158-1)/5)&gt;MAX((MIN(80,MAX(1,INT(((CROQUIS!$C$97)-CROQUIS!$C$107)/MAX(CROQUIS!$C$138,1))+1)))-1,0),0,MOD($A158-1,5))+1,0,IF(CROQUIS!$C$105=1,-12,2),CROQUIS!$C$107/2+CROQUIS!$C$141,IF(CROQUIS!$C$105=1,-12,2),0)))*CROQUIS!$C$155)+IF(CROQUIS!$C$92="X",0,0)),-1000)</f>
        <v>-1000</v>
      </c>
      <c r="BQ158">
        <f>IF(AND(CROQUIS!$C$88=1,CROQUIS!$C$91=0,CROQUIS!$C$138&gt;0,OR(CROQUIS!$C$105=1,CROQUIS!$C$143=1)),((CROQUIS!$C$157+(IF(CROQUIS!$C$92="X",CHOOSE(IF(INT(($A158-1)/5)&gt;MAX((MIN(80,MAX(1,INT(((CROQUIS!$C$97)-CROQUIS!$C$107)/MAX(CROQUIS!$C$138,1))+1)))-1,0),0,MOD($A158-1,5))+1,0,IF(CROQUIS!$C$105=1,-12,2),CROQUIS!$C$107/2+CROQUIS!$C$141,IF(CROQUIS!$C$105=1,-12,2),0),((CROQUIS!$C$107/2+(((CROQUIS!$C$97)-CROQUIS!$C$107)-(MIN(80,MAX(1,INT(((CROQUIS!$C$97)-CROQUIS!$C$107)/MAX(CROQUIS!$C$138,1))+1))-1)*CROQUIS!$C$138)/2)+MIN(INT(($A158-1)/5),MAX((MIN(80,MAX(1,INT(((CROQUIS!$C$97)-CROQUIS!$C$107)/MAX(CROQUIS!$C$138,1))+1)))-1,0))*CROQUIS!$C$138)))*CROQUIS!$C$155)+IF(CROQUIS!$C$92="X",0,0)),-1000)</f>
        <v>-1000</v>
      </c>
      <c r="BR15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158-1)/5),MAX((MIN(80,MAX(1,INT(((CROQUIS!$C$97)-CROQUIS!$C$107)/MAX(CROQUIS!$C$138,1))+1)))-1,0))*CROQUIS!$C$138),CHOOSE(IF(INT(($A158-1)/5)&gt;MAX((MIN(80,MAX(1,INT(((CROQUIS!$C$97)-CROQUIS!$C$107)/MAX(CROQUIS!$C$138,1))+1)))-1,0),0,MOD($A158-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58">
        <f>IF(AND(CROQUIS!$C$88=1,CROQUIS!$C$91=0,CROQUIS!$C$138&gt;0,OR(CROQUIS!$C$106=1,CROQUIS!$C$143=1)),((CROQUIS!$C$157+(IF(CROQUIS!$C$92="X",CHOOSE(IF(INT(($A158-1)/5)&gt;MAX((MIN(80,MAX(1,INT(((CROQUIS!$C$97)-CROQUIS!$C$107)/MAX(CROQUIS!$C$138,1))+1)))-1,0),0,MOD($A158-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158-1)/5),MAX((MIN(80,MAX(1,INT(((CROQUIS!$C$97)-CROQUIS!$C$107)/MAX(CROQUIS!$C$138,1))+1)))-1,0))*CROQUIS!$C$138)))*CROQUIS!$C$155)+IF(CROQUIS!$C$92="X",0,0)),-1000)</f>
        <v>-1000</v>
      </c>
      <c r="BT158">
        <f>IF(AND(CROQUIS!$C$88=1,CROQUIS!$C$91=1,CROQUIS!$C$130&gt;0),((CROQUIS!$C$156+(IF(CROQUIS!$C$92="X",CHOOSE(IF(INT(($A158-1)/5)&gt;MAX((MIN(80,MAX(1,INT(((CROQUIS!$C$98)-CROQUIS!$C$107)/MAX(CROQUIS!$C$130,1))+1)))-1,0),0,MOD($A158-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158-1)/5),MAX((MIN(80,MAX(1,INT(((CROQUIS!$C$98)-CROQUIS!$C$107)/MAX(CROQUIS!$C$130,1))+1)))-1,0))*CROQUIS!$C$130)))*CROQUIS!$C$155)+IF(CROQUIS!$C$92="X",0,0)),-1000)</f>
        <v>-1000</v>
      </c>
      <c r="BU158">
        <f>IF(AND(CROQUIS!$C$88=1,CROQUIS!$C$91=1,CROQUIS!$C$130&gt;0),((CROQUIS!$C$157+(IF(CROQUIS!$C$92="X",((CROQUIS!$C$107/2+(((CROQUIS!$C$98)-CROQUIS!$C$107)-(MIN(80,MAX(1,INT(((CROQUIS!$C$98)-CROQUIS!$C$107)/MAX(CROQUIS!$C$130,1))+1))-1)*CROQUIS!$C$130)/2)+MIN(INT(($A158-1)/5),MAX((MIN(80,MAX(1,INT(((CROQUIS!$C$98)-CROQUIS!$C$107)/MAX(CROQUIS!$C$130,1))+1)))-1,0))*CROQUIS!$C$130),CHOOSE(IF(INT(($A158-1)/5)&gt;MAX((MIN(80,MAX(1,INT(((CROQUIS!$C$98)-CROQUIS!$C$107)/MAX(CROQUIS!$C$130,1))+1)))-1,0),0,MOD($A158-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59">
      <c r="A159" t="n">
        <v>152</v>
      </c>
      <c r="BH159">
        <f>IF(AND(CROQUIS!$C$88=1,CROQUIS!$C$126&gt;0),((CROQUIS!$C$156+(IF(CROQUIS!$C$92="X",CHOOSE(IF(INT(($A159-1)/5)&gt;MAX((MIN(80,MAX(1,INT(((CROQUIS!$C$98)-CROQUIS!$C$107)/MAX(CROQUIS!$C$126,1))+1)))-1,0),0,MOD($A159-1,5))+1,0,2,CROQUIS!$C$97-2,2,0),((CROQUIS!$C$107/2+(((CROQUIS!$C$98)-CROQUIS!$C$107)-(MIN(80,MAX(1,INT(((CROQUIS!$C$98)-CROQUIS!$C$107)/MAX(CROQUIS!$C$126,1))+1))-1)*CROQUIS!$C$126)/2)+MIN(INT(($A159-1)/5),MAX((MIN(80,MAX(1,INT(((CROQUIS!$C$98)-CROQUIS!$C$107)/MAX(CROQUIS!$C$126,1))+1)))-1,0))*CROQUIS!$C$126)))*CROQUIS!$C$155)+IF(CROQUIS!$C$92="X",0,0)),-1000)</f>
        <v>-1000</v>
      </c>
      <c r="BI159">
        <f>IF(AND(CROQUIS!$C$88=1,CROQUIS!$C$126&gt;0),((CROQUIS!$C$157+(IF(CROQUIS!$C$92="X",((CROQUIS!$C$107/2+(((CROQUIS!$C$98)-CROQUIS!$C$107)-(MIN(80,MAX(1,INT(((CROQUIS!$C$98)-CROQUIS!$C$107)/MAX(CROQUIS!$C$126,1))+1))-1)*CROQUIS!$C$126)/2)+MIN(INT(($A159-1)/5),MAX((MIN(80,MAX(1,INT(((CROQUIS!$C$98)-CROQUIS!$C$107)/MAX(CROQUIS!$C$126,1))+1)))-1,0))*CROQUIS!$C$126),CHOOSE(IF(INT(($A159-1)/5)&gt;MAX((MIN(80,MAX(1,INT(((CROQUIS!$C$98)-CROQUIS!$C$107)/MAX(CROQUIS!$C$126,1))+1)))-1,0),0,MOD($A159-1,5))+1,0,2,CROQUIS!$C$97-2,2,0)))*CROQUIS!$C$155)+IF(CROQUIS!$C$92="X",0,0)),-1000)</f>
        <v>-1000</v>
      </c>
      <c r="BJ159">
        <f>IF(AND(CROQUIS!$C$88=1,CROQUIS!$C$134&gt;0),((CROQUIS!$C$156+(IF(CROQUIS!$C$92="X",((CROQUIS!$C$107/2+(((CROQUIS!$C$97)-CROQUIS!$C$107)-(MIN(80,MAX(1,INT(((CROQUIS!$C$97)-CROQUIS!$C$107)/MAX(CROQUIS!$C$134,1))+1))-1)*CROQUIS!$C$134)/2)+MIN(INT(($A159-1)/5),MAX((MIN(80,MAX(1,INT(((CROQUIS!$C$97)-CROQUIS!$C$107)/MAX(CROQUIS!$C$134,1))+1)))-1,0))*CROQUIS!$C$134),CHOOSE(IF(INT(($A159-1)/5)&gt;MAX((MIN(80,MAX(1,INT(((CROQUIS!$C$97)-CROQUIS!$C$107)/MAX(CROQUIS!$C$134,1))+1)))-1,0),0,MOD($A159-1,5))+1,0,2,CROQUIS!$C$98-2,2,0)))*CROQUIS!$C$155)+IF(CROQUIS!$C$92="X",0,0)),-1000)</f>
        <v>-1000</v>
      </c>
      <c r="BK159">
        <f>IF(AND(CROQUIS!$C$88=1,CROQUIS!$C$134&gt;0),((CROQUIS!$C$157+(IF(CROQUIS!$C$92="X",CHOOSE(IF(INT(($A159-1)/5)&gt;MAX((MIN(80,MAX(1,INT(((CROQUIS!$C$97)-CROQUIS!$C$107)/MAX(CROQUIS!$C$134,1))+1)))-1,0),0,MOD($A159-1,5))+1,0,2,CROQUIS!$C$98-2,2,0),((CROQUIS!$C$107/2+(((CROQUIS!$C$97)-CROQUIS!$C$107)-(MIN(80,MAX(1,INT(((CROQUIS!$C$97)-CROQUIS!$C$107)/MAX(CROQUIS!$C$134,1))+1))-1)*CROQUIS!$C$134)/2)+MIN(INT(($A159-1)/5),MAX((MIN(80,MAX(1,INT(((CROQUIS!$C$97)-CROQUIS!$C$107)/MAX(CROQUIS!$C$134,1))+1)))-1,0))*CROQUIS!$C$134)))*CROQUIS!$C$155)+IF(CROQUIS!$C$92="X",0,0)),-1000)</f>
        <v>-1000</v>
      </c>
      <c r="BL159">
        <f>IF(AND(CROQUIS!$C$88=1,CROQUIS!$C$91=0,CROQUIS!$C$130&gt;0,OR(CROQUIS!$C$103=1,CROQUIS!$C$142=1)),((CROQUIS!$C$156+(IF(CROQUIS!$C$92="X",CHOOSE(IF(INT(($A159-1)/5)&gt;MAX((MIN(80,MAX(1,INT(((CROQUIS!$C$98)-CROQUIS!$C$107)/MAX(CROQUIS!$C$130,1))+1)))-1,0),0,MOD($A159-1,5))+1,0,IF(CROQUIS!$C$103=1,-12,2),CROQUIS!$C$107/2+CROQUIS!$C$140,IF(CROQUIS!$C$103=1,-12,2),0),((CROQUIS!$C$107/2+(((CROQUIS!$C$98)-CROQUIS!$C$107)-(MIN(80,MAX(1,INT(((CROQUIS!$C$98)-CROQUIS!$C$107)/MAX(CROQUIS!$C$130,1))+1))-1)*CROQUIS!$C$130)/2)+MIN(INT(($A159-1)/5),MAX((MIN(80,MAX(1,INT(((CROQUIS!$C$98)-CROQUIS!$C$107)/MAX(CROQUIS!$C$130,1))+1)))-1,0))*CROQUIS!$C$130)))*CROQUIS!$C$155)+IF(CROQUIS!$C$92="X",0,0)),-1000)</f>
        <v>-1000</v>
      </c>
      <c r="BM15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159-1)/5),MAX((MIN(80,MAX(1,INT(((CROQUIS!$C$98)-CROQUIS!$C$107)/MAX(CROQUIS!$C$130,1))+1)))-1,0))*CROQUIS!$C$130),CHOOSE(IF(INT(($A159-1)/5)&gt;MAX((MIN(80,MAX(1,INT(((CROQUIS!$C$98)-CROQUIS!$C$107)/MAX(CROQUIS!$C$130,1))+1)))-1,0),0,MOD($A159-1,5))+1,0,IF(CROQUIS!$C$103=1,-12,2),CROQUIS!$C$107/2+CROQUIS!$C$140,IF(CROQUIS!$C$103=1,-12,2),0)))*CROQUIS!$C$155)+IF(CROQUIS!$C$92="X",0,0)),-1000)</f>
        <v>-1000</v>
      </c>
      <c r="BN159">
        <f>IF(AND(CROQUIS!$C$88=1,CROQUIS!$C$91=0,CROQUIS!$C$130&gt;0,OR(CROQUIS!$C$104=1,CROQUIS!$C$142=1)),((CROQUIS!$C$156+(IF(CROQUIS!$C$92="X",CHOOSE(IF(INT(($A159-1)/5)&gt;MAX((MIN(80,MAX(1,INT(((CROQUIS!$C$98)-CROQUIS!$C$107)/MAX(CROQUIS!$C$130,1))+1)))-1,0),0,MOD($A159-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159-1)/5),MAX((MIN(80,MAX(1,INT(((CROQUIS!$C$98)-CROQUIS!$C$107)/MAX(CROQUIS!$C$130,1))+1)))-1,0))*CROQUIS!$C$130)))*CROQUIS!$C$155)+IF(CROQUIS!$C$92="X",0,0)),-1000)</f>
        <v>-1000</v>
      </c>
      <c r="BO15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159-1)/5),MAX((MIN(80,MAX(1,INT(((CROQUIS!$C$98)-CROQUIS!$C$107)/MAX(CROQUIS!$C$130,1))+1)))-1,0))*CROQUIS!$C$130),CHOOSE(IF(INT(($A159-1)/5)&gt;MAX((MIN(80,MAX(1,INT(((CROQUIS!$C$98)-CROQUIS!$C$107)/MAX(CROQUIS!$C$130,1))+1)))-1,0),0,MOD($A159-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5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159-1)/5),MAX((MIN(80,MAX(1,INT(((CROQUIS!$C$97)-CROQUIS!$C$107)/MAX(CROQUIS!$C$138,1))+1)))-1,0))*CROQUIS!$C$138),CHOOSE(IF(INT(($A159-1)/5)&gt;MAX((MIN(80,MAX(1,INT(((CROQUIS!$C$97)-CROQUIS!$C$107)/MAX(CROQUIS!$C$138,1))+1)))-1,0),0,MOD($A159-1,5))+1,0,IF(CROQUIS!$C$105=1,-12,2),CROQUIS!$C$107/2+CROQUIS!$C$141,IF(CROQUIS!$C$105=1,-12,2),0)))*CROQUIS!$C$155)+IF(CROQUIS!$C$92="X",0,0)),-1000)</f>
        <v>-1000</v>
      </c>
      <c r="BQ159">
        <f>IF(AND(CROQUIS!$C$88=1,CROQUIS!$C$91=0,CROQUIS!$C$138&gt;0,OR(CROQUIS!$C$105=1,CROQUIS!$C$143=1)),((CROQUIS!$C$157+(IF(CROQUIS!$C$92="X",CHOOSE(IF(INT(($A159-1)/5)&gt;MAX((MIN(80,MAX(1,INT(((CROQUIS!$C$97)-CROQUIS!$C$107)/MAX(CROQUIS!$C$138,1))+1)))-1,0),0,MOD($A159-1,5))+1,0,IF(CROQUIS!$C$105=1,-12,2),CROQUIS!$C$107/2+CROQUIS!$C$141,IF(CROQUIS!$C$105=1,-12,2),0),((CROQUIS!$C$107/2+(((CROQUIS!$C$97)-CROQUIS!$C$107)-(MIN(80,MAX(1,INT(((CROQUIS!$C$97)-CROQUIS!$C$107)/MAX(CROQUIS!$C$138,1))+1))-1)*CROQUIS!$C$138)/2)+MIN(INT(($A159-1)/5),MAX((MIN(80,MAX(1,INT(((CROQUIS!$C$97)-CROQUIS!$C$107)/MAX(CROQUIS!$C$138,1))+1)))-1,0))*CROQUIS!$C$138)))*CROQUIS!$C$155)+IF(CROQUIS!$C$92="X",0,0)),-1000)</f>
        <v>-1000</v>
      </c>
      <c r="BR15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159-1)/5),MAX((MIN(80,MAX(1,INT(((CROQUIS!$C$97)-CROQUIS!$C$107)/MAX(CROQUIS!$C$138,1))+1)))-1,0))*CROQUIS!$C$138),CHOOSE(IF(INT(($A159-1)/5)&gt;MAX((MIN(80,MAX(1,INT(((CROQUIS!$C$97)-CROQUIS!$C$107)/MAX(CROQUIS!$C$138,1))+1)))-1,0),0,MOD($A159-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59">
        <f>IF(AND(CROQUIS!$C$88=1,CROQUIS!$C$91=0,CROQUIS!$C$138&gt;0,OR(CROQUIS!$C$106=1,CROQUIS!$C$143=1)),((CROQUIS!$C$157+(IF(CROQUIS!$C$92="X",CHOOSE(IF(INT(($A159-1)/5)&gt;MAX((MIN(80,MAX(1,INT(((CROQUIS!$C$97)-CROQUIS!$C$107)/MAX(CROQUIS!$C$138,1))+1)))-1,0),0,MOD($A159-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159-1)/5),MAX((MIN(80,MAX(1,INT(((CROQUIS!$C$97)-CROQUIS!$C$107)/MAX(CROQUIS!$C$138,1))+1)))-1,0))*CROQUIS!$C$138)))*CROQUIS!$C$155)+IF(CROQUIS!$C$92="X",0,0)),-1000)</f>
        <v>-1000</v>
      </c>
      <c r="BT159">
        <f>IF(AND(CROQUIS!$C$88=1,CROQUIS!$C$91=1,CROQUIS!$C$130&gt;0),((CROQUIS!$C$156+(IF(CROQUIS!$C$92="X",CHOOSE(IF(INT(($A159-1)/5)&gt;MAX((MIN(80,MAX(1,INT(((CROQUIS!$C$98)-CROQUIS!$C$107)/MAX(CROQUIS!$C$130,1))+1)))-1,0),0,MOD($A159-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159-1)/5),MAX((MIN(80,MAX(1,INT(((CROQUIS!$C$98)-CROQUIS!$C$107)/MAX(CROQUIS!$C$130,1))+1)))-1,0))*CROQUIS!$C$130)))*CROQUIS!$C$155)+IF(CROQUIS!$C$92="X",0,0)),-1000)</f>
        <v>-1000</v>
      </c>
      <c r="BU159">
        <f>IF(AND(CROQUIS!$C$88=1,CROQUIS!$C$91=1,CROQUIS!$C$130&gt;0),((CROQUIS!$C$157+(IF(CROQUIS!$C$92="X",((CROQUIS!$C$107/2+(((CROQUIS!$C$98)-CROQUIS!$C$107)-(MIN(80,MAX(1,INT(((CROQUIS!$C$98)-CROQUIS!$C$107)/MAX(CROQUIS!$C$130,1))+1))-1)*CROQUIS!$C$130)/2)+MIN(INT(($A159-1)/5),MAX((MIN(80,MAX(1,INT(((CROQUIS!$C$98)-CROQUIS!$C$107)/MAX(CROQUIS!$C$130,1))+1)))-1,0))*CROQUIS!$C$130),CHOOSE(IF(INT(($A159-1)/5)&gt;MAX((MIN(80,MAX(1,INT(((CROQUIS!$C$98)-CROQUIS!$C$107)/MAX(CROQUIS!$C$130,1))+1)))-1,0),0,MOD($A159-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60">
      <c r="A160" t="n">
        <v>153</v>
      </c>
      <c r="BH160">
        <f>IF(AND(CROQUIS!$C$88=1,CROQUIS!$C$126&gt;0),((CROQUIS!$C$156+(IF(CROQUIS!$C$92="X",CHOOSE(IF(INT(($A160-1)/5)&gt;MAX((MIN(80,MAX(1,INT(((CROQUIS!$C$98)-CROQUIS!$C$107)/MAX(CROQUIS!$C$126,1))+1)))-1,0),0,MOD($A160-1,5))+1,0,2,CROQUIS!$C$97-2,2,0),((CROQUIS!$C$107/2+(((CROQUIS!$C$98)-CROQUIS!$C$107)-(MIN(80,MAX(1,INT(((CROQUIS!$C$98)-CROQUIS!$C$107)/MAX(CROQUIS!$C$126,1))+1))-1)*CROQUIS!$C$126)/2)+MIN(INT(($A160-1)/5),MAX((MIN(80,MAX(1,INT(((CROQUIS!$C$98)-CROQUIS!$C$107)/MAX(CROQUIS!$C$126,1))+1)))-1,0))*CROQUIS!$C$126)))*CROQUIS!$C$155)+IF(CROQUIS!$C$92="X",0,0)),-1000)</f>
        <v>-1000</v>
      </c>
      <c r="BI160">
        <f>IF(AND(CROQUIS!$C$88=1,CROQUIS!$C$126&gt;0),((CROQUIS!$C$157+(IF(CROQUIS!$C$92="X",((CROQUIS!$C$107/2+(((CROQUIS!$C$98)-CROQUIS!$C$107)-(MIN(80,MAX(1,INT(((CROQUIS!$C$98)-CROQUIS!$C$107)/MAX(CROQUIS!$C$126,1))+1))-1)*CROQUIS!$C$126)/2)+MIN(INT(($A160-1)/5),MAX((MIN(80,MAX(1,INT(((CROQUIS!$C$98)-CROQUIS!$C$107)/MAX(CROQUIS!$C$126,1))+1)))-1,0))*CROQUIS!$C$126),CHOOSE(IF(INT(($A160-1)/5)&gt;MAX((MIN(80,MAX(1,INT(((CROQUIS!$C$98)-CROQUIS!$C$107)/MAX(CROQUIS!$C$126,1))+1)))-1,0),0,MOD($A160-1,5))+1,0,2,CROQUIS!$C$97-2,2,0)))*CROQUIS!$C$155)+IF(CROQUIS!$C$92="X",0,0)),-1000)</f>
        <v>-1000</v>
      </c>
      <c r="BJ160">
        <f>IF(AND(CROQUIS!$C$88=1,CROQUIS!$C$134&gt;0),((CROQUIS!$C$156+(IF(CROQUIS!$C$92="X",((CROQUIS!$C$107/2+(((CROQUIS!$C$97)-CROQUIS!$C$107)-(MIN(80,MAX(1,INT(((CROQUIS!$C$97)-CROQUIS!$C$107)/MAX(CROQUIS!$C$134,1))+1))-1)*CROQUIS!$C$134)/2)+MIN(INT(($A160-1)/5),MAX((MIN(80,MAX(1,INT(((CROQUIS!$C$97)-CROQUIS!$C$107)/MAX(CROQUIS!$C$134,1))+1)))-1,0))*CROQUIS!$C$134),CHOOSE(IF(INT(($A160-1)/5)&gt;MAX((MIN(80,MAX(1,INT(((CROQUIS!$C$97)-CROQUIS!$C$107)/MAX(CROQUIS!$C$134,1))+1)))-1,0),0,MOD($A160-1,5))+1,0,2,CROQUIS!$C$98-2,2,0)))*CROQUIS!$C$155)+IF(CROQUIS!$C$92="X",0,0)),-1000)</f>
        <v>-1000</v>
      </c>
      <c r="BK160">
        <f>IF(AND(CROQUIS!$C$88=1,CROQUIS!$C$134&gt;0),((CROQUIS!$C$157+(IF(CROQUIS!$C$92="X",CHOOSE(IF(INT(($A160-1)/5)&gt;MAX((MIN(80,MAX(1,INT(((CROQUIS!$C$97)-CROQUIS!$C$107)/MAX(CROQUIS!$C$134,1))+1)))-1,0),0,MOD($A160-1,5))+1,0,2,CROQUIS!$C$98-2,2,0),((CROQUIS!$C$107/2+(((CROQUIS!$C$97)-CROQUIS!$C$107)-(MIN(80,MAX(1,INT(((CROQUIS!$C$97)-CROQUIS!$C$107)/MAX(CROQUIS!$C$134,1))+1))-1)*CROQUIS!$C$134)/2)+MIN(INT(($A160-1)/5),MAX((MIN(80,MAX(1,INT(((CROQUIS!$C$97)-CROQUIS!$C$107)/MAX(CROQUIS!$C$134,1))+1)))-1,0))*CROQUIS!$C$134)))*CROQUIS!$C$155)+IF(CROQUIS!$C$92="X",0,0)),-1000)</f>
        <v>-1000</v>
      </c>
      <c r="BL160">
        <f>IF(AND(CROQUIS!$C$88=1,CROQUIS!$C$91=0,CROQUIS!$C$130&gt;0,OR(CROQUIS!$C$103=1,CROQUIS!$C$142=1)),((CROQUIS!$C$156+(IF(CROQUIS!$C$92="X",CHOOSE(IF(INT(($A160-1)/5)&gt;MAX((MIN(80,MAX(1,INT(((CROQUIS!$C$98)-CROQUIS!$C$107)/MAX(CROQUIS!$C$130,1))+1)))-1,0),0,MOD($A160-1,5))+1,0,IF(CROQUIS!$C$103=1,-12,2),CROQUIS!$C$107/2+CROQUIS!$C$140,IF(CROQUIS!$C$103=1,-12,2),0),((CROQUIS!$C$107/2+(((CROQUIS!$C$98)-CROQUIS!$C$107)-(MIN(80,MAX(1,INT(((CROQUIS!$C$98)-CROQUIS!$C$107)/MAX(CROQUIS!$C$130,1))+1))-1)*CROQUIS!$C$130)/2)+MIN(INT(($A160-1)/5),MAX((MIN(80,MAX(1,INT(((CROQUIS!$C$98)-CROQUIS!$C$107)/MAX(CROQUIS!$C$130,1))+1)))-1,0))*CROQUIS!$C$130)))*CROQUIS!$C$155)+IF(CROQUIS!$C$92="X",0,0)),-1000)</f>
        <v>-1000</v>
      </c>
      <c r="BM16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160-1)/5),MAX((MIN(80,MAX(1,INT(((CROQUIS!$C$98)-CROQUIS!$C$107)/MAX(CROQUIS!$C$130,1))+1)))-1,0))*CROQUIS!$C$130),CHOOSE(IF(INT(($A160-1)/5)&gt;MAX((MIN(80,MAX(1,INT(((CROQUIS!$C$98)-CROQUIS!$C$107)/MAX(CROQUIS!$C$130,1))+1)))-1,0),0,MOD($A160-1,5))+1,0,IF(CROQUIS!$C$103=1,-12,2),CROQUIS!$C$107/2+CROQUIS!$C$140,IF(CROQUIS!$C$103=1,-12,2),0)))*CROQUIS!$C$155)+IF(CROQUIS!$C$92="X",0,0)),-1000)</f>
        <v>-1000</v>
      </c>
      <c r="BN160">
        <f>IF(AND(CROQUIS!$C$88=1,CROQUIS!$C$91=0,CROQUIS!$C$130&gt;0,OR(CROQUIS!$C$104=1,CROQUIS!$C$142=1)),((CROQUIS!$C$156+(IF(CROQUIS!$C$92="X",CHOOSE(IF(INT(($A160-1)/5)&gt;MAX((MIN(80,MAX(1,INT(((CROQUIS!$C$98)-CROQUIS!$C$107)/MAX(CROQUIS!$C$130,1))+1)))-1,0),0,MOD($A160-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160-1)/5),MAX((MIN(80,MAX(1,INT(((CROQUIS!$C$98)-CROQUIS!$C$107)/MAX(CROQUIS!$C$130,1))+1)))-1,0))*CROQUIS!$C$130)))*CROQUIS!$C$155)+IF(CROQUIS!$C$92="X",0,0)),-1000)</f>
        <v>-1000</v>
      </c>
      <c r="BO16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160-1)/5),MAX((MIN(80,MAX(1,INT(((CROQUIS!$C$98)-CROQUIS!$C$107)/MAX(CROQUIS!$C$130,1))+1)))-1,0))*CROQUIS!$C$130),CHOOSE(IF(INT(($A160-1)/5)&gt;MAX((MIN(80,MAX(1,INT(((CROQUIS!$C$98)-CROQUIS!$C$107)/MAX(CROQUIS!$C$130,1))+1)))-1,0),0,MOD($A160-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6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160-1)/5),MAX((MIN(80,MAX(1,INT(((CROQUIS!$C$97)-CROQUIS!$C$107)/MAX(CROQUIS!$C$138,1))+1)))-1,0))*CROQUIS!$C$138),CHOOSE(IF(INT(($A160-1)/5)&gt;MAX((MIN(80,MAX(1,INT(((CROQUIS!$C$97)-CROQUIS!$C$107)/MAX(CROQUIS!$C$138,1))+1)))-1,0),0,MOD($A160-1,5))+1,0,IF(CROQUIS!$C$105=1,-12,2),CROQUIS!$C$107/2+CROQUIS!$C$141,IF(CROQUIS!$C$105=1,-12,2),0)))*CROQUIS!$C$155)+IF(CROQUIS!$C$92="X",0,0)),-1000)</f>
        <v>-1000</v>
      </c>
      <c r="BQ160">
        <f>IF(AND(CROQUIS!$C$88=1,CROQUIS!$C$91=0,CROQUIS!$C$138&gt;0,OR(CROQUIS!$C$105=1,CROQUIS!$C$143=1)),((CROQUIS!$C$157+(IF(CROQUIS!$C$92="X",CHOOSE(IF(INT(($A160-1)/5)&gt;MAX((MIN(80,MAX(1,INT(((CROQUIS!$C$97)-CROQUIS!$C$107)/MAX(CROQUIS!$C$138,1))+1)))-1,0),0,MOD($A160-1,5))+1,0,IF(CROQUIS!$C$105=1,-12,2),CROQUIS!$C$107/2+CROQUIS!$C$141,IF(CROQUIS!$C$105=1,-12,2),0),((CROQUIS!$C$107/2+(((CROQUIS!$C$97)-CROQUIS!$C$107)-(MIN(80,MAX(1,INT(((CROQUIS!$C$97)-CROQUIS!$C$107)/MAX(CROQUIS!$C$138,1))+1))-1)*CROQUIS!$C$138)/2)+MIN(INT(($A160-1)/5),MAX((MIN(80,MAX(1,INT(((CROQUIS!$C$97)-CROQUIS!$C$107)/MAX(CROQUIS!$C$138,1))+1)))-1,0))*CROQUIS!$C$138)))*CROQUIS!$C$155)+IF(CROQUIS!$C$92="X",0,0)),-1000)</f>
        <v>-1000</v>
      </c>
      <c r="BR16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160-1)/5),MAX((MIN(80,MAX(1,INT(((CROQUIS!$C$97)-CROQUIS!$C$107)/MAX(CROQUIS!$C$138,1))+1)))-1,0))*CROQUIS!$C$138),CHOOSE(IF(INT(($A160-1)/5)&gt;MAX((MIN(80,MAX(1,INT(((CROQUIS!$C$97)-CROQUIS!$C$107)/MAX(CROQUIS!$C$138,1))+1)))-1,0),0,MOD($A160-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60">
        <f>IF(AND(CROQUIS!$C$88=1,CROQUIS!$C$91=0,CROQUIS!$C$138&gt;0,OR(CROQUIS!$C$106=1,CROQUIS!$C$143=1)),((CROQUIS!$C$157+(IF(CROQUIS!$C$92="X",CHOOSE(IF(INT(($A160-1)/5)&gt;MAX((MIN(80,MAX(1,INT(((CROQUIS!$C$97)-CROQUIS!$C$107)/MAX(CROQUIS!$C$138,1))+1)))-1,0),0,MOD($A160-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160-1)/5),MAX((MIN(80,MAX(1,INT(((CROQUIS!$C$97)-CROQUIS!$C$107)/MAX(CROQUIS!$C$138,1))+1)))-1,0))*CROQUIS!$C$138)))*CROQUIS!$C$155)+IF(CROQUIS!$C$92="X",0,0)),-1000)</f>
        <v>-1000</v>
      </c>
      <c r="BT160">
        <f>IF(AND(CROQUIS!$C$88=1,CROQUIS!$C$91=1,CROQUIS!$C$130&gt;0),((CROQUIS!$C$156+(IF(CROQUIS!$C$92="X",CHOOSE(IF(INT(($A160-1)/5)&gt;MAX((MIN(80,MAX(1,INT(((CROQUIS!$C$98)-CROQUIS!$C$107)/MAX(CROQUIS!$C$130,1))+1)))-1,0),0,MOD($A160-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160-1)/5),MAX((MIN(80,MAX(1,INT(((CROQUIS!$C$98)-CROQUIS!$C$107)/MAX(CROQUIS!$C$130,1))+1)))-1,0))*CROQUIS!$C$130)))*CROQUIS!$C$155)+IF(CROQUIS!$C$92="X",0,0)),-1000)</f>
        <v>-1000</v>
      </c>
      <c r="BU160">
        <f>IF(AND(CROQUIS!$C$88=1,CROQUIS!$C$91=1,CROQUIS!$C$130&gt;0),((CROQUIS!$C$157+(IF(CROQUIS!$C$92="X",((CROQUIS!$C$107/2+(((CROQUIS!$C$98)-CROQUIS!$C$107)-(MIN(80,MAX(1,INT(((CROQUIS!$C$98)-CROQUIS!$C$107)/MAX(CROQUIS!$C$130,1))+1))-1)*CROQUIS!$C$130)/2)+MIN(INT(($A160-1)/5),MAX((MIN(80,MAX(1,INT(((CROQUIS!$C$98)-CROQUIS!$C$107)/MAX(CROQUIS!$C$130,1))+1)))-1,0))*CROQUIS!$C$130),CHOOSE(IF(INT(($A160-1)/5)&gt;MAX((MIN(80,MAX(1,INT(((CROQUIS!$C$98)-CROQUIS!$C$107)/MAX(CROQUIS!$C$130,1))+1)))-1,0),0,MOD($A160-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61">
      <c r="A161" t="n">
        <v>154</v>
      </c>
      <c r="BH161">
        <f>IF(AND(CROQUIS!$C$88=1,CROQUIS!$C$126&gt;0),((CROQUIS!$C$156+(IF(CROQUIS!$C$92="X",CHOOSE(IF(INT(($A161-1)/5)&gt;MAX((MIN(80,MAX(1,INT(((CROQUIS!$C$98)-CROQUIS!$C$107)/MAX(CROQUIS!$C$126,1))+1)))-1,0),0,MOD($A161-1,5))+1,0,2,CROQUIS!$C$97-2,2,0),((CROQUIS!$C$107/2+(((CROQUIS!$C$98)-CROQUIS!$C$107)-(MIN(80,MAX(1,INT(((CROQUIS!$C$98)-CROQUIS!$C$107)/MAX(CROQUIS!$C$126,1))+1))-1)*CROQUIS!$C$126)/2)+MIN(INT(($A161-1)/5),MAX((MIN(80,MAX(1,INT(((CROQUIS!$C$98)-CROQUIS!$C$107)/MAX(CROQUIS!$C$126,1))+1)))-1,0))*CROQUIS!$C$126)))*CROQUIS!$C$155)+IF(CROQUIS!$C$92="X",0,0)),-1000)</f>
        <v>-1000</v>
      </c>
      <c r="BI161">
        <f>IF(AND(CROQUIS!$C$88=1,CROQUIS!$C$126&gt;0),((CROQUIS!$C$157+(IF(CROQUIS!$C$92="X",((CROQUIS!$C$107/2+(((CROQUIS!$C$98)-CROQUIS!$C$107)-(MIN(80,MAX(1,INT(((CROQUIS!$C$98)-CROQUIS!$C$107)/MAX(CROQUIS!$C$126,1))+1))-1)*CROQUIS!$C$126)/2)+MIN(INT(($A161-1)/5),MAX((MIN(80,MAX(1,INT(((CROQUIS!$C$98)-CROQUIS!$C$107)/MAX(CROQUIS!$C$126,1))+1)))-1,0))*CROQUIS!$C$126),CHOOSE(IF(INT(($A161-1)/5)&gt;MAX((MIN(80,MAX(1,INT(((CROQUIS!$C$98)-CROQUIS!$C$107)/MAX(CROQUIS!$C$126,1))+1)))-1,0),0,MOD($A161-1,5))+1,0,2,CROQUIS!$C$97-2,2,0)))*CROQUIS!$C$155)+IF(CROQUIS!$C$92="X",0,0)),-1000)</f>
        <v>-1000</v>
      </c>
      <c r="BJ161">
        <f>IF(AND(CROQUIS!$C$88=1,CROQUIS!$C$134&gt;0),((CROQUIS!$C$156+(IF(CROQUIS!$C$92="X",((CROQUIS!$C$107/2+(((CROQUIS!$C$97)-CROQUIS!$C$107)-(MIN(80,MAX(1,INT(((CROQUIS!$C$97)-CROQUIS!$C$107)/MAX(CROQUIS!$C$134,1))+1))-1)*CROQUIS!$C$134)/2)+MIN(INT(($A161-1)/5),MAX((MIN(80,MAX(1,INT(((CROQUIS!$C$97)-CROQUIS!$C$107)/MAX(CROQUIS!$C$134,1))+1)))-1,0))*CROQUIS!$C$134),CHOOSE(IF(INT(($A161-1)/5)&gt;MAX((MIN(80,MAX(1,INT(((CROQUIS!$C$97)-CROQUIS!$C$107)/MAX(CROQUIS!$C$134,1))+1)))-1,0),0,MOD($A161-1,5))+1,0,2,CROQUIS!$C$98-2,2,0)))*CROQUIS!$C$155)+IF(CROQUIS!$C$92="X",0,0)),-1000)</f>
        <v>-1000</v>
      </c>
      <c r="BK161">
        <f>IF(AND(CROQUIS!$C$88=1,CROQUIS!$C$134&gt;0),((CROQUIS!$C$157+(IF(CROQUIS!$C$92="X",CHOOSE(IF(INT(($A161-1)/5)&gt;MAX((MIN(80,MAX(1,INT(((CROQUIS!$C$97)-CROQUIS!$C$107)/MAX(CROQUIS!$C$134,1))+1)))-1,0),0,MOD($A161-1,5))+1,0,2,CROQUIS!$C$98-2,2,0),((CROQUIS!$C$107/2+(((CROQUIS!$C$97)-CROQUIS!$C$107)-(MIN(80,MAX(1,INT(((CROQUIS!$C$97)-CROQUIS!$C$107)/MAX(CROQUIS!$C$134,1))+1))-1)*CROQUIS!$C$134)/2)+MIN(INT(($A161-1)/5),MAX((MIN(80,MAX(1,INT(((CROQUIS!$C$97)-CROQUIS!$C$107)/MAX(CROQUIS!$C$134,1))+1)))-1,0))*CROQUIS!$C$134)))*CROQUIS!$C$155)+IF(CROQUIS!$C$92="X",0,0)),-1000)</f>
        <v>-1000</v>
      </c>
      <c r="BL161">
        <f>IF(AND(CROQUIS!$C$88=1,CROQUIS!$C$91=0,CROQUIS!$C$130&gt;0,OR(CROQUIS!$C$103=1,CROQUIS!$C$142=1)),((CROQUIS!$C$156+(IF(CROQUIS!$C$92="X",CHOOSE(IF(INT(($A161-1)/5)&gt;MAX((MIN(80,MAX(1,INT(((CROQUIS!$C$98)-CROQUIS!$C$107)/MAX(CROQUIS!$C$130,1))+1)))-1,0),0,MOD($A161-1,5))+1,0,IF(CROQUIS!$C$103=1,-12,2),CROQUIS!$C$107/2+CROQUIS!$C$140,IF(CROQUIS!$C$103=1,-12,2),0),((CROQUIS!$C$107/2+(((CROQUIS!$C$98)-CROQUIS!$C$107)-(MIN(80,MAX(1,INT(((CROQUIS!$C$98)-CROQUIS!$C$107)/MAX(CROQUIS!$C$130,1))+1))-1)*CROQUIS!$C$130)/2)+MIN(INT(($A161-1)/5),MAX((MIN(80,MAX(1,INT(((CROQUIS!$C$98)-CROQUIS!$C$107)/MAX(CROQUIS!$C$130,1))+1)))-1,0))*CROQUIS!$C$130)))*CROQUIS!$C$155)+IF(CROQUIS!$C$92="X",0,0)),-1000)</f>
        <v>-1000</v>
      </c>
      <c r="BM16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161-1)/5),MAX((MIN(80,MAX(1,INT(((CROQUIS!$C$98)-CROQUIS!$C$107)/MAX(CROQUIS!$C$130,1))+1)))-1,0))*CROQUIS!$C$130),CHOOSE(IF(INT(($A161-1)/5)&gt;MAX((MIN(80,MAX(1,INT(((CROQUIS!$C$98)-CROQUIS!$C$107)/MAX(CROQUIS!$C$130,1))+1)))-1,0),0,MOD($A161-1,5))+1,0,IF(CROQUIS!$C$103=1,-12,2),CROQUIS!$C$107/2+CROQUIS!$C$140,IF(CROQUIS!$C$103=1,-12,2),0)))*CROQUIS!$C$155)+IF(CROQUIS!$C$92="X",0,0)),-1000)</f>
        <v>-1000</v>
      </c>
      <c r="BN161">
        <f>IF(AND(CROQUIS!$C$88=1,CROQUIS!$C$91=0,CROQUIS!$C$130&gt;0,OR(CROQUIS!$C$104=1,CROQUIS!$C$142=1)),((CROQUIS!$C$156+(IF(CROQUIS!$C$92="X",CHOOSE(IF(INT(($A161-1)/5)&gt;MAX((MIN(80,MAX(1,INT(((CROQUIS!$C$98)-CROQUIS!$C$107)/MAX(CROQUIS!$C$130,1))+1)))-1,0),0,MOD($A161-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161-1)/5),MAX((MIN(80,MAX(1,INT(((CROQUIS!$C$98)-CROQUIS!$C$107)/MAX(CROQUIS!$C$130,1))+1)))-1,0))*CROQUIS!$C$130)))*CROQUIS!$C$155)+IF(CROQUIS!$C$92="X",0,0)),-1000)</f>
        <v>-1000</v>
      </c>
      <c r="BO16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161-1)/5),MAX((MIN(80,MAX(1,INT(((CROQUIS!$C$98)-CROQUIS!$C$107)/MAX(CROQUIS!$C$130,1))+1)))-1,0))*CROQUIS!$C$130),CHOOSE(IF(INT(($A161-1)/5)&gt;MAX((MIN(80,MAX(1,INT(((CROQUIS!$C$98)-CROQUIS!$C$107)/MAX(CROQUIS!$C$130,1))+1)))-1,0),0,MOD($A161-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6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161-1)/5),MAX((MIN(80,MAX(1,INT(((CROQUIS!$C$97)-CROQUIS!$C$107)/MAX(CROQUIS!$C$138,1))+1)))-1,0))*CROQUIS!$C$138),CHOOSE(IF(INT(($A161-1)/5)&gt;MAX((MIN(80,MAX(1,INT(((CROQUIS!$C$97)-CROQUIS!$C$107)/MAX(CROQUIS!$C$138,1))+1)))-1,0),0,MOD($A161-1,5))+1,0,IF(CROQUIS!$C$105=1,-12,2),CROQUIS!$C$107/2+CROQUIS!$C$141,IF(CROQUIS!$C$105=1,-12,2),0)))*CROQUIS!$C$155)+IF(CROQUIS!$C$92="X",0,0)),-1000)</f>
        <v>-1000</v>
      </c>
      <c r="BQ161">
        <f>IF(AND(CROQUIS!$C$88=1,CROQUIS!$C$91=0,CROQUIS!$C$138&gt;0,OR(CROQUIS!$C$105=1,CROQUIS!$C$143=1)),((CROQUIS!$C$157+(IF(CROQUIS!$C$92="X",CHOOSE(IF(INT(($A161-1)/5)&gt;MAX((MIN(80,MAX(1,INT(((CROQUIS!$C$97)-CROQUIS!$C$107)/MAX(CROQUIS!$C$138,1))+1)))-1,0),0,MOD($A161-1,5))+1,0,IF(CROQUIS!$C$105=1,-12,2),CROQUIS!$C$107/2+CROQUIS!$C$141,IF(CROQUIS!$C$105=1,-12,2),0),((CROQUIS!$C$107/2+(((CROQUIS!$C$97)-CROQUIS!$C$107)-(MIN(80,MAX(1,INT(((CROQUIS!$C$97)-CROQUIS!$C$107)/MAX(CROQUIS!$C$138,1))+1))-1)*CROQUIS!$C$138)/2)+MIN(INT(($A161-1)/5),MAX((MIN(80,MAX(1,INT(((CROQUIS!$C$97)-CROQUIS!$C$107)/MAX(CROQUIS!$C$138,1))+1)))-1,0))*CROQUIS!$C$138)))*CROQUIS!$C$155)+IF(CROQUIS!$C$92="X",0,0)),-1000)</f>
        <v>-1000</v>
      </c>
      <c r="BR16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161-1)/5),MAX((MIN(80,MAX(1,INT(((CROQUIS!$C$97)-CROQUIS!$C$107)/MAX(CROQUIS!$C$138,1))+1)))-1,0))*CROQUIS!$C$138),CHOOSE(IF(INT(($A161-1)/5)&gt;MAX((MIN(80,MAX(1,INT(((CROQUIS!$C$97)-CROQUIS!$C$107)/MAX(CROQUIS!$C$138,1))+1)))-1,0),0,MOD($A161-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61">
        <f>IF(AND(CROQUIS!$C$88=1,CROQUIS!$C$91=0,CROQUIS!$C$138&gt;0,OR(CROQUIS!$C$106=1,CROQUIS!$C$143=1)),((CROQUIS!$C$157+(IF(CROQUIS!$C$92="X",CHOOSE(IF(INT(($A161-1)/5)&gt;MAX((MIN(80,MAX(1,INT(((CROQUIS!$C$97)-CROQUIS!$C$107)/MAX(CROQUIS!$C$138,1))+1)))-1,0),0,MOD($A161-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161-1)/5),MAX((MIN(80,MAX(1,INT(((CROQUIS!$C$97)-CROQUIS!$C$107)/MAX(CROQUIS!$C$138,1))+1)))-1,0))*CROQUIS!$C$138)))*CROQUIS!$C$155)+IF(CROQUIS!$C$92="X",0,0)),-1000)</f>
        <v>-1000</v>
      </c>
      <c r="BT161">
        <f>IF(AND(CROQUIS!$C$88=1,CROQUIS!$C$91=1,CROQUIS!$C$130&gt;0),((CROQUIS!$C$156+(IF(CROQUIS!$C$92="X",CHOOSE(IF(INT(($A161-1)/5)&gt;MAX((MIN(80,MAX(1,INT(((CROQUIS!$C$98)-CROQUIS!$C$107)/MAX(CROQUIS!$C$130,1))+1)))-1,0),0,MOD($A161-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161-1)/5),MAX((MIN(80,MAX(1,INT(((CROQUIS!$C$98)-CROQUIS!$C$107)/MAX(CROQUIS!$C$130,1))+1)))-1,0))*CROQUIS!$C$130)))*CROQUIS!$C$155)+IF(CROQUIS!$C$92="X",0,0)),-1000)</f>
        <v>-1000</v>
      </c>
      <c r="BU161">
        <f>IF(AND(CROQUIS!$C$88=1,CROQUIS!$C$91=1,CROQUIS!$C$130&gt;0),((CROQUIS!$C$157+(IF(CROQUIS!$C$92="X",((CROQUIS!$C$107/2+(((CROQUIS!$C$98)-CROQUIS!$C$107)-(MIN(80,MAX(1,INT(((CROQUIS!$C$98)-CROQUIS!$C$107)/MAX(CROQUIS!$C$130,1))+1))-1)*CROQUIS!$C$130)/2)+MIN(INT(($A161-1)/5),MAX((MIN(80,MAX(1,INT(((CROQUIS!$C$98)-CROQUIS!$C$107)/MAX(CROQUIS!$C$130,1))+1)))-1,0))*CROQUIS!$C$130),CHOOSE(IF(INT(($A161-1)/5)&gt;MAX((MIN(80,MAX(1,INT(((CROQUIS!$C$98)-CROQUIS!$C$107)/MAX(CROQUIS!$C$130,1))+1)))-1,0),0,MOD($A161-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62">
      <c r="A162" t="n">
        <v>155</v>
      </c>
      <c r="BH162">
        <f>IF(AND(CROQUIS!$C$88=1,CROQUIS!$C$126&gt;0),((CROQUIS!$C$156+(IF(CROQUIS!$C$92="X",CHOOSE(IF(INT(($A162-1)/5)&gt;MAX((MIN(80,MAX(1,INT(((CROQUIS!$C$98)-CROQUIS!$C$107)/MAX(CROQUIS!$C$126,1))+1)))-1,0),0,MOD($A162-1,5))+1,0,2,CROQUIS!$C$97-2,2,0),((CROQUIS!$C$107/2+(((CROQUIS!$C$98)-CROQUIS!$C$107)-(MIN(80,MAX(1,INT(((CROQUIS!$C$98)-CROQUIS!$C$107)/MAX(CROQUIS!$C$126,1))+1))-1)*CROQUIS!$C$126)/2)+MIN(INT(($A162-1)/5),MAX((MIN(80,MAX(1,INT(((CROQUIS!$C$98)-CROQUIS!$C$107)/MAX(CROQUIS!$C$126,1))+1)))-1,0))*CROQUIS!$C$126)))*CROQUIS!$C$155)+IF(CROQUIS!$C$92="X",0,0)),-1000)</f>
        <v>-1000</v>
      </c>
      <c r="BI162">
        <f>IF(AND(CROQUIS!$C$88=1,CROQUIS!$C$126&gt;0),((CROQUIS!$C$157+(IF(CROQUIS!$C$92="X",((CROQUIS!$C$107/2+(((CROQUIS!$C$98)-CROQUIS!$C$107)-(MIN(80,MAX(1,INT(((CROQUIS!$C$98)-CROQUIS!$C$107)/MAX(CROQUIS!$C$126,1))+1))-1)*CROQUIS!$C$126)/2)+MIN(INT(($A162-1)/5),MAX((MIN(80,MAX(1,INT(((CROQUIS!$C$98)-CROQUIS!$C$107)/MAX(CROQUIS!$C$126,1))+1)))-1,0))*CROQUIS!$C$126),CHOOSE(IF(INT(($A162-1)/5)&gt;MAX((MIN(80,MAX(1,INT(((CROQUIS!$C$98)-CROQUIS!$C$107)/MAX(CROQUIS!$C$126,1))+1)))-1,0),0,MOD($A162-1,5))+1,0,2,CROQUIS!$C$97-2,2,0)))*CROQUIS!$C$155)+IF(CROQUIS!$C$92="X",0,0)),-1000)</f>
        <v>-1000</v>
      </c>
      <c r="BJ162">
        <f>IF(AND(CROQUIS!$C$88=1,CROQUIS!$C$134&gt;0),((CROQUIS!$C$156+(IF(CROQUIS!$C$92="X",((CROQUIS!$C$107/2+(((CROQUIS!$C$97)-CROQUIS!$C$107)-(MIN(80,MAX(1,INT(((CROQUIS!$C$97)-CROQUIS!$C$107)/MAX(CROQUIS!$C$134,1))+1))-1)*CROQUIS!$C$134)/2)+MIN(INT(($A162-1)/5),MAX((MIN(80,MAX(1,INT(((CROQUIS!$C$97)-CROQUIS!$C$107)/MAX(CROQUIS!$C$134,1))+1)))-1,0))*CROQUIS!$C$134),CHOOSE(IF(INT(($A162-1)/5)&gt;MAX((MIN(80,MAX(1,INT(((CROQUIS!$C$97)-CROQUIS!$C$107)/MAX(CROQUIS!$C$134,1))+1)))-1,0),0,MOD($A162-1,5))+1,0,2,CROQUIS!$C$98-2,2,0)))*CROQUIS!$C$155)+IF(CROQUIS!$C$92="X",0,0)),-1000)</f>
        <v>-1000</v>
      </c>
      <c r="BK162">
        <f>IF(AND(CROQUIS!$C$88=1,CROQUIS!$C$134&gt;0),((CROQUIS!$C$157+(IF(CROQUIS!$C$92="X",CHOOSE(IF(INT(($A162-1)/5)&gt;MAX((MIN(80,MAX(1,INT(((CROQUIS!$C$97)-CROQUIS!$C$107)/MAX(CROQUIS!$C$134,1))+1)))-1,0),0,MOD($A162-1,5))+1,0,2,CROQUIS!$C$98-2,2,0),((CROQUIS!$C$107/2+(((CROQUIS!$C$97)-CROQUIS!$C$107)-(MIN(80,MAX(1,INT(((CROQUIS!$C$97)-CROQUIS!$C$107)/MAX(CROQUIS!$C$134,1))+1))-1)*CROQUIS!$C$134)/2)+MIN(INT(($A162-1)/5),MAX((MIN(80,MAX(1,INT(((CROQUIS!$C$97)-CROQUIS!$C$107)/MAX(CROQUIS!$C$134,1))+1)))-1,0))*CROQUIS!$C$134)))*CROQUIS!$C$155)+IF(CROQUIS!$C$92="X",0,0)),-1000)</f>
        <v>-1000</v>
      </c>
      <c r="BL162">
        <f>IF(AND(CROQUIS!$C$88=1,CROQUIS!$C$91=0,CROQUIS!$C$130&gt;0,OR(CROQUIS!$C$103=1,CROQUIS!$C$142=1)),((CROQUIS!$C$156+(IF(CROQUIS!$C$92="X",CHOOSE(IF(INT(($A162-1)/5)&gt;MAX((MIN(80,MAX(1,INT(((CROQUIS!$C$98)-CROQUIS!$C$107)/MAX(CROQUIS!$C$130,1))+1)))-1,0),0,MOD($A162-1,5))+1,0,IF(CROQUIS!$C$103=1,-12,2),CROQUIS!$C$107/2+CROQUIS!$C$140,IF(CROQUIS!$C$103=1,-12,2),0),((CROQUIS!$C$107/2+(((CROQUIS!$C$98)-CROQUIS!$C$107)-(MIN(80,MAX(1,INT(((CROQUIS!$C$98)-CROQUIS!$C$107)/MAX(CROQUIS!$C$130,1))+1))-1)*CROQUIS!$C$130)/2)+MIN(INT(($A162-1)/5),MAX((MIN(80,MAX(1,INT(((CROQUIS!$C$98)-CROQUIS!$C$107)/MAX(CROQUIS!$C$130,1))+1)))-1,0))*CROQUIS!$C$130)))*CROQUIS!$C$155)+IF(CROQUIS!$C$92="X",0,0)),-1000)</f>
        <v>-1000</v>
      </c>
      <c r="BM16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162-1)/5),MAX((MIN(80,MAX(1,INT(((CROQUIS!$C$98)-CROQUIS!$C$107)/MAX(CROQUIS!$C$130,1))+1)))-1,0))*CROQUIS!$C$130),CHOOSE(IF(INT(($A162-1)/5)&gt;MAX((MIN(80,MAX(1,INT(((CROQUIS!$C$98)-CROQUIS!$C$107)/MAX(CROQUIS!$C$130,1))+1)))-1,0),0,MOD($A162-1,5))+1,0,IF(CROQUIS!$C$103=1,-12,2),CROQUIS!$C$107/2+CROQUIS!$C$140,IF(CROQUIS!$C$103=1,-12,2),0)))*CROQUIS!$C$155)+IF(CROQUIS!$C$92="X",0,0)),-1000)</f>
        <v>-1000</v>
      </c>
      <c r="BN162">
        <f>IF(AND(CROQUIS!$C$88=1,CROQUIS!$C$91=0,CROQUIS!$C$130&gt;0,OR(CROQUIS!$C$104=1,CROQUIS!$C$142=1)),((CROQUIS!$C$156+(IF(CROQUIS!$C$92="X",CHOOSE(IF(INT(($A162-1)/5)&gt;MAX((MIN(80,MAX(1,INT(((CROQUIS!$C$98)-CROQUIS!$C$107)/MAX(CROQUIS!$C$130,1))+1)))-1,0),0,MOD($A162-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162-1)/5),MAX((MIN(80,MAX(1,INT(((CROQUIS!$C$98)-CROQUIS!$C$107)/MAX(CROQUIS!$C$130,1))+1)))-1,0))*CROQUIS!$C$130)))*CROQUIS!$C$155)+IF(CROQUIS!$C$92="X",0,0)),-1000)</f>
        <v>-1000</v>
      </c>
      <c r="BO16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162-1)/5),MAX((MIN(80,MAX(1,INT(((CROQUIS!$C$98)-CROQUIS!$C$107)/MAX(CROQUIS!$C$130,1))+1)))-1,0))*CROQUIS!$C$130),CHOOSE(IF(INT(($A162-1)/5)&gt;MAX((MIN(80,MAX(1,INT(((CROQUIS!$C$98)-CROQUIS!$C$107)/MAX(CROQUIS!$C$130,1))+1)))-1,0),0,MOD($A162-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6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162-1)/5),MAX((MIN(80,MAX(1,INT(((CROQUIS!$C$97)-CROQUIS!$C$107)/MAX(CROQUIS!$C$138,1))+1)))-1,0))*CROQUIS!$C$138),CHOOSE(IF(INT(($A162-1)/5)&gt;MAX((MIN(80,MAX(1,INT(((CROQUIS!$C$97)-CROQUIS!$C$107)/MAX(CROQUIS!$C$138,1))+1)))-1,0),0,MOD($A162-1,5))+1,0,IF(CROQUIS!$C$105=1,-12,2),CROQUIS!$C$107/2+CROQUIS!$C$141,IF(CROQUIS!$C$105=1,-12,2),0)))*CROQUIS!$C$155)+IF(CROQUIS!$C$92="X",0,0)),-1000)</f>
        <v>-1000</v>
      </c>
      <c r="BQ162">
        <f>IF(AND(CROQUIS!$C$88=1,CROQUIS!$C$91=0,CROQUIS!$C$138&gt;0,OR(CROQUIS!$C$105=1,CROQUIS!$C$143=1)),((CROQUIS!$C$157+(IF(CROQUIS!$C$92="X",CHOOSE(IF(INT(($A162-1)/5)&gt;MAX((MIN(80,MAX(1,INT(((CROQUIS!$C$97)-CROQUIS!$C$107)/MAX(CROQUIS!$C$138,1))+1)))-1,0),0,MOD($A162-1,5))+1,0,IF(CROQUIS!$C$105=1,-12,2),CROQUIS!$C$107/2+CROQUIS!$C$141,IF(CROQUIS!$C$105=1,-12,2),0),((CROQUIS!$C$107/2+(((CROQUIS!$C$97)-CROQUIS!$C$107)-(MIN(80,MAX(1,INT(((CROQUIS!$C$97)-CROQUIS!$C$107)/MAX(CROQUIS!$C$138,1))+1))-1)*CROQUIS!$C$138)/2)+MIN(INT(($A162-1)/5),MAX((MIN(80,MAX(1,INT(((CROQUIS!$C$97)-CROQUIS!$C$107)/MAX(CROQUIS!$C$138,1))+1)))-1,0))*CROQUIS!$C$138)))*CROQUIS!$C$155)+IF(CROQUIS!$C$92="X",0,0)),-1000)</f>
        <v>-1000</v>
      </c>
      <c r="BR16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162-1)/5),MAX((MIN(80,MAX(1,INT(((CROQUIS!$C$97)-CROQUIS!$C$107)/MAX(CROQUIS!$C$138,1))+1)))-1,0))*CROQUIS!$C$138),CHOOSE(IF(INT(($A162-1)/5)&gt;MAX((MIN(80,MAX(1,INT(((CROQUIS!$C$97)-CROQUIS!$C$107)/MAX(CROQUIS!$C$138,1))+1)))-1,0),0,MOD($A162-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62">
        <f>IF(AND(CROQUIS!$C$88=1,CROQUIS!$C$91=0,CROQUIS!$C$138&gt;0,OR(CROQUIS!$C$106=1,CROQUIS!$C$143=1)),((CROQUIS!$C$157+(IF(CROQUIS!$C$92="X",CHOOSE(IF(INT(($A162-1)/5)&gt;MAX((MIN(80,MAX(1,INT(((CROQUIS!$C$97)-CROQUIS!$C$107)/MAX(CROQUIS!$C$138,1))+1)))-1,0),0,MOD($A162-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162-1)/5),MAX((MIN(80,MAX(1,INT(((CROQUIS!$C$97)-CROQUIS!$C$107)/MAX(CROQUIS!$C$138,1))+1)))-1,0))*CROQUIS!$C$138)))*CROQUIS!$C$155)+IF(CROQUIS!$C$92="X",0,0)),-1000)</f>
        <v>-1000</v>
      </c>
      <c r="BT162">
        <f>IF(AND(CROQUIS!$C$88=1,CROQUIS!$C$91=1,CROQUIS!$C$130&gt;0),((CROQUIS!$C$156+(IF(CROQUIS!$C$92="X",CHOOSE(IF(INT(($A162-1)/5)&gt;MAX((MIN(80,MAX(1,INT(((CROQUIS!$C$98)-CROQUIS!$C$107)/MAX(CROQUIS!$C$130,1))+1)))-1,0),0,MOD($A162-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162-1)/5),MAX((MIN(80,MAX(1,INT(((CROQUIS!$C$98)-CROQUIS!$C$107)/MAX(CROQUIS!$C$130,1))+1)))-1,0))*CROQUIS!$C$130)))*CROQUIS!$C$155)+IF(CROQUIS!$C$92="X",0,0)),-1000)</f>
        <v>-1000</v>
      </c>
      <c r="BU162">
        <f>IF(AND(CROQUIS!$C$88=1,CROQUIS!$C$91=1,CROQUIS!$C$130&gt;0),((CROQUIS!$C$157+(IF(CROQUIS!$C$92="X",((CROQUIS!$C$107/2+(((CROQUIS!$C$98)-CROQUIS!$C$107)-(MIN(80,MAX(1,INT(((CROQUIS!$C$98)-CROQUIS!$C$107)/MAX(CROQUIS!$C$130,1))+1))-1)*CROQUIS!$C$130)/2)+MIN(INT(($A162-1)/5),MAX((MIN(80,MAX(1,INT(((CROQUIS!$C$98)-CROQUIS!$C$107)/MAX(CROQUIS!$C$130,1))+1)))-1,0))*CROQUIS!$C$130),CHOOSE(IF(INT(($A162-1)/5)&gt;MAX((MIN(80,MAX(1,INT(((CROQUIS!$C$98)-CROQUIS!$C$107)/MAX(CROQUIS!$C$130,1))+1)))-1,0),0,MOD($A162-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63">
      <c r="A163" t="n">
        <v>156</v>
      </c>
      <c r="BH163">
        <f>IF(AND(CROQUIS!$C$88=1,CROQUIS!$C$126&gt;0),((CROQUIS!$C$156+(IF(CROQUIS!$C$92="X",CHOOSE(IF(INT(($A163-1)/5)&gt;MAX((MIN(80,MAX(1,INT(((CROQUIS!$C$98)-CROQUIS!$C$107)/MAX(CROQUIS!$C$126,1))+1)))-1,0),0,MOD($A163-1,5))+1,0,2,CROQUIS!$C$97-2,2,0),((CROQUIS!$C$107/2+(((CROQUIS!$C$98)-CROQUIS!$C$107)-(MIN(80,MAX(1,INT(((CROQUIS!$C$98)-CROQUIS!$C$107)/MAX(CROQUIS!$C$126,1))+1))-1)*CROQUIS!$C$126)/2)+MIN(INT(($A163-1)/5),MAX((MIN(80,MAX(1,INT(((CROQUIS!$C$98)-CROQUIS!$C$107)/MAX(CROQUIS!$C$126,1))+1)))-1,0))*CROQUIS!$C$126)))*CROQUIS!$C$155)+IF(CROQUIS!$C$92="X",0,0)),-1000)</f>
        <v>-1000</v>
      </c>
      <c r="BI163">
        <f>IF(AND(CROQUIS!$C$88=1,CROQUIS!$C$126&gt;0),((CROQUIS!$C$157+(IF(CROQUIS!$C$92="X",((CROQUIS!$C$107/2+(((CROQUIS!$C$98)-CROQUIS!$C$107)-(MIN(80,MAX(1,INT(((CROQUIS!$C$98)-CROQUIS!$C$107)/MAX(CROQUIS!$C$126,1))+1))-1)*CROQUIS!$C$126)/2)+MIN(INT(($A163-1)/5),MAX((MIN(80,MAX(1,INT(((CROQUIS!$C$98)-CROQUIS!$C$107)/MAX(CROQUIS!$C$126,1))+1)))-1,0))*CROQUIS!$C$126),CHOOSE(IF(INT(($A163-1)/5)&gt;MAX((MIN(80,MAX(1,INT(((CROQUIS!$C$98)-CROQUIS!$C$107)/MAX(CROQUIS!$C$126,1))+1)))-1,0),0,MOD($A163-1,5))+1,0,2,CROQUIS!$C$97-2,2,0)))*CROQUIS!$C$155)+IF(CROQUIS!$C$92="X",0,0)),-1000)</f>
        <v>-1000</v>
      </c>
      <c r="BJ163">
        <f>IF(AND(CROQUIS!$C$88=1,CROQUIS!$C$134&gt;0),((CROQUIS!$C$156+(IF(CROQUIS!$C$92="X",((CROQUIS!$C$107/2+(((CROQUIS!$C$97)-CROQUIS!$C$107)-(MIN(80,MAX(1,INT(((CROQUIS!$C$97)-CROQUIS!$C$107)/MAX(CROQUIS!$C$134,1))+1))-1)*CROQUIS!$C$134)/2)+MIN(INT(($A163-1)/5),MAX((MIN(80,MAX(1,INT(((CROQUIS!$C$97)-CROQUIS!$C$107)/MAX(CROQUIS!$C$134,1))+1)))-1,0))*CROQUIS!$C$134),CHOOSE(IF(INT(($A163-1)/5)&gt;MAX((MIN(80,MAX(1,INT(((CROQUIS!$C$97)-CROQUIS!$C$107)/MAX(CROQUIS!$C$134,1))+1)))-1,0),0,MOD($A163-1,5))+1,0,2,CROQUIS!$C$98-2,2,0)))*CROQUIS!$C$155)+IF(CROQUIS!$C$92="X",0,0)),-1000)</f>
        <v>-1000</v>
      </c>
      <c r="BK163">
        <f>IF(AND(CROQUIS!$C$88=1,CROQUIS!$C$134&gt;0),((CROQUIS!$C$157+(IF(CROQUIS!$C$92="X",CHOOSE(IF(INT(($A163-1)/5)&gt;MAX((MIN(80,MAX(1,INT(((CROQUIS!$C$97)-CROQUIS!$C$107)/MAX(CROQUIS!$C$134,1))+1)))-1,0),0,MOD($A163-1,5))+1,0,2,CROQUIS!$C$98-2,2,0),((CROQUIS!$C$107/2+(((CROQUIS!$C$97)-CROQUIS!$C$107)-(MIN(80,MAX(1,INT(((CROQUIS!$C$97)-CROQUIS!$C$107)/MAX(CROQUIS!$C$134,1))+1))-1)*CROQUIS!$C$134)/2)+MIN(INT(($A163-1)/5),MAX((MIN(80,MAX(1,INT(((CROQUIS!$C$97)-CROQUIS!$C$107)/MAX(CROQUIS!$C$134,1))+1)))-1,0))*CROQUIS!$C$134)))*CROQUIS!$C$155)+IF(CROQUIS!$C$92="X",0,0)),-1000)</f>
        <v>-1000</v>
      </c>
      <c r="BL163">
        <f>IF(AND(CROQUIS!$C$88=1,CROQUIS!$C$91=0,CROQUIS!$C$130&gt;0,OR(CROQUIS!$C$103=1,CROQUIS!$C$142=1)),((CROQUIS!$C$156+(IF(CROQUIS!$C$92="X",CHOOSE(IF(INT(($A163-1)/5)&gt;MAX((MIN(80,MAX(1,INT(((CROQUIS!$C$98)-CROQUIS!$C$107)/MAX(CROQUIS!$C$130,1))+1)))-1,0),0,MOD($A163-1,5))+1,0,IF(CROQUIS!$C$103=1,-12,2),CROQUIS!$C$107/2+CROQUIS!$C$140,IF(CROQUIS!$C$103=1,-12,2),0),((CROQUIS!$C$107/2+(((CROQUIS!$C$98)-CROQUIS!$C$107)-(MIN(80,MAX(1,INT(((CROQUIS!$C$98)-CROQUIS!$C$107)/MAX(CROQUIS!$C$130,1))+1))-1)*CROQUIS!$C$130)/2)+MIN(INT(($A163-1)/5),MAX((MIN(80,MAX(1,INT(((CROQUIS!$C$98)-CROQUIS!$C$107)/MAX(CROQUIS!$C$130,1))+1)))-1,0))*CROQUIS!$C$130)))*CROQUIS!$C$155)+IF(CROQUIS!$C$92="X",0,0)),-1000)</f>
        <v>-1000</v>
      </c>
      <c r="BM16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163-1)/5),MAX((MIN(80,MAX(1,INT(((CROQUIS!$C$98)-CROQUIS!$C$107)/MAX(CROQUIS!$C$130,1))+1)))-1,0))*CROQUIS!$C$130),CHOOSE(IF(INT(($A163-1)/5)&gt;MAX((MIN(80,MAX(1,INT(((CROQUIS!$C$98)-CROQUIS!$C$107)/MAX(CROQUIS!$C$130,1))+1)))-1,0),0,MOD($A163-1,5))+1,0,IF(CROQUIS!$C$103=1,-12,2),CROQUIS!$C$107/2+CROQUIS!$C$140,IF(CROQUIS!$C$103=1,-12,2),0)))*CROQUIS!$C$155)+IF(CROQUIS!$C$92="X",0,0)),-1000)</f>
        <v>-1000</v>
      </c>
      <c r="BN163">
        <f>IF(AND(CROQUIS!$C$88=1,CROQUIS!$C$91=0,CROQUIS!$C$130&gt;0,OR(CROQUIS!$C$104=1,CROQUIS!$C$142=1)),((CROQUIS!$C$156+(IF(CROQUIS!$C$92="X",CHOOSE(IF(INT(($A163-1)/5)&gt;MAX((MIN(80,MAX(1,INT(((CROQUIS!$C$98)-CROQUIS!$C$107)/MAX(CROQUIS!$C$130,1))+1)))-1,0),0,MOD($A163-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163-1)/5),MAX((MIN(80,MAX(1,INT(((CROQUIS!$C$98)-CROQUIS!$C$107)/MAX(CROQUIS!$C$130,1))+1)))-1,0))*CROQUIS!$C$130)))*CROQUIS!$C$155)+IF(CROQUIS!$C$92="X",0,0)),-1000)</f>
        <v>-1000</v>
      </c>
      <c r="BO16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163-1)/5),MAX((MIN(80,MAX(1,INT(((CROQUIS!$C$98)-CROQUIS!$C$107)/MAX(CROQUIS!$C$130,1))+1)))-1,0))*CROQUIS!$C$130),CHOOSE(IF(INT(($A163-1)/5)&gt;MAX((MIN(80,MAX(1,INT(((CROQUIS!$C$98)-CROQUIS!$C$107)/MAX(CROQUIS!$C$130,1))+1)))-1,0),0,MOD($A163-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6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163-1)/5),MAX((MIN(80,MAX(1,INT(((CROQUIS!$C$97)-CROQUIS!$C$107)/MAX(CROQUIS!$C$138,1))+1)))-1,0))*CROQUIS!$C$138),CHOOSE(IF(INT(($A163-1)/5)&gt;MAX((MIN(80,MAX(1,INT(((CROQUIS!$C$97)-CROQUIS!$C$107)/MAX(CROQUIS!$C$138,1))+1)))-1,0),0,MOD($A163-1,5))+1,0,IF(CROQUIS!$C$105=1,-12,2),CROQUIS!$C$107/2+CROQUIS!$C$141,IF(CROQUIS!$C$105=1,-12,2),0)))*CROQUIS!$C$155)+IF(CROQUIS!$C$92="X",0,0)),-1000)</f>
        <v>-1000</v>
      </c>
      <c r="BQ163">
        <f>IF(AND(CROQUIS!$C$88=1,CROQUIS!$C$91=0,CROQUIS!$C$138&gt;0,OR(CROQUIS!$C$105=1,CROQUIS!$C$143=1)),((CROQUIS!$C$157+(IF(CROQUIS!$C$92="X",CHOOSE(IF(INT(($A163-1)/5)&gt;MAX((MIN(80,MAX(1,INT(((CROQUIS!$C$97)-CROQUIS!$C$107)/MAX(CROQUIS!$C$138,1))+1)))-1,0),0,MOD($A163-1,5))+1,0,IF(CROQUIS!$C$105=1,-12,2),CROQUIS!$C$107/2+CROQUIS!$C$141,IF(CROQUIS!$C$105=1,-12,2),0),((CROQUIS!$C$107/2+(((CROQUIS!$C$97)-CROQUIS!$C$107)-(MIN(80,MAX(1,INT(((CROQUIS!$C$97)-CROQUIS!$C$107)/MAX(CROQUIS!$C$138,1))+1))-1)*CROQUIS!$C$138)/2)+MIN(INT(($A163-1)/5),MAX((MIN(80,MAX(1,INT(((CROQUIS!$C$97)-CROQUIS!$C$107)/MAX(CROQUIS!$C$138,1))+1)))-1,0))*CROQUIS!$C$138)))*CROQUIS!$C$155)+IF(CROQUIS!$C$92="X",0,0)),-1000)</f>
        <v>-1000</v>
      </c>
      <c r="BR16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163-1)/5),MAX((MIN(80,MAX(1,INT(((CROQUIS!$C$97)-CROQUIS!$C$107)/MAX(CROQUIS!$C$138,1))+1)))-1,0))*CROQUIS!$C$138),CHOOSE(IF(INT(($A163-1)/5)&gt;MAX((MIN(80,MAX(1,INT(((CROQUIS!$C$97)-CROQUIS!$C$107)/MAX(CROQUIS!$C$138,1))+1)))-1,0),0,MOD($A163-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63">
        <f>IF(AND(CROQUIS!$C$88=1,CROQUIS!$C$91=0,CROQUIS!$C$138&gt;0,OR(CROQUIS!$C$106=1,CROQUIS!$C$143=1)),((CROQUIS!$C$157+(IF(CROQUIS!$C$92="X",CHOOSE(IF(INT(($A163-1)/5)&gt;MAX((MIN(80,MAX(1,INT(((CROQUIS!$C$97)-CROQUIS!$C$107)/MAX(CROQUIS!$C$138,1))+1)))-1,0),0,MOD($A163-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163-1)/5),MAX((MIN(80,MAX(1,INT(((CROQUIS!$C$97)-CROQUIS!$C$107)/MAX(CROQUIS!$C$138,1))+1)))-1,0))*CROQUIS!$C$138)))*CROQUIS!$C$155)+IF(CROQUIS!$C$92="X",0,0)),-1000)</f>
        <v>-1000</v>
      </c>
      <c r="BT163">
        <f>IF(AND(CROQUIS!$C$88=1,CROQUIS!$C$91=1,CROQUIS!$C$130&gt;0),((CROQUIS!$C$156+(IF(CROQUIS!$C$92="X",CHOOSE(IF(INT(($A163-1)/5)&gt;MAX((MIN(80,MAX(1,INT(((CROQUIS!$C$98)-CROQUIS!$C$107)/MAX(CROQUIS!$C$130,1))+1)))-1,0),0,MOD($A163-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163-1)/5),MAX((MIN(80,MAX(1,INT(((CROQUIS!$C$98)-CROQUIS!$C$107)/MAX(CROQUIS!$C$130,1))+1)))-1,0))*CROQUIS!$C$130)))*CROQUIS!$C$155)+IF(CROQUIS!$C$92="X",0,0)),-1000)</f>
        <v>-1000</v>
      </c>
      <c r="BU163">
        <f>IF(AND(CROQUIS!$C$88=1,CROQUIS!$C$91=1,CROQUIS!$C$130&gt;0),((CROQUIS!$C$157+(IF(CROQUIS!$C$92="X",((CROQUIS!$C$107/2+(((CROQUIS!$C$98)-CROQUIS!$C$107)-(MIN(80,MAX(1,INT(((CROQUIS!$C$98)-CROQUIS!$C$107)/MAX(CROQUIS!$C$130,1))+1))-1)*CROQUIS!$C$130)/2)+MIN(INT(($A163-1)/5),MAX((MIN(80,MAX(1,INT(((CROQUIS!$C$98)-CROQUIS!$C$107)/MAX(CROQUIS!$C$130,1))+1)))-1,0))*CROQUIS!$C$130),CHOOSE(IF(INT(($A163-1)/5)&gt;MAX((MIN(80,MAX(1,INT(((CROQUIS!$C$98)-CROQUIS!$C$107)/MAX(CROQUIS!$C$130,1))+1)))-1,0),0,MOD($A163-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64">
      <c r="A164" t="n">
        <v>157</v>
      </c>
      <c r="BH164">
        <f>IF(AND(CROQUIS!$C$88=1,CROQUIS!$C$126&gt;0),((CROQUIS!$C$156+(IF(CROQUIS!$C$92="X",CHOOSE(IF(INT(($A164-1)/5)&gt;MAX((MIN(80,MAX(1,INT(((CROQUIS!$C$98)-CROQUIS!$C$107)/MAX(CROQUIS!$C$126,1))+1)))-1,0),0,MOD($A164-1,5))+1,0,2,CROQUIS!$C$97-2,2,0),((CROQUIS!$C$107/2+(((CROQUIS!$C$98)-CROQUIS!$C$107)-(MIN(80,MAX(1,INT(((CROQUIS!$C$98)-CROQUIS!$C$107)/MAX(CROQUIS!$C$126,1))+1))-1)*CROQUIS!$C$126)/2)+MIN(INT(($A164-1)/5),MAX((MIN(80,MAX(1,INT(((CROQUIS!$C$98)-CROQUIS!$C$107)/MAX(CROQUIS!$C$126,1))+1)))-1,0))*CROQUIS!$C$126)))*CROQUIS!$C$155)+IF(CROQUIS!$C$92="X",0,0)),-1000)</f>
        <v>-1000</v>
      </c>
      <c r="BI164">
        <f>IF(AND(CROQUIS!$C$88=1,CROQUIS!$C$126&gt;0),((CROQUIS!$C$157+(IF(CROQUIS!$C$92="X",((CROQUIS!$C$107/2+(((CROQUIS!$C$98)-CROQUIS!$C$107)-(MIN(80,MAX(1,INT(((CROQUIS!$C$98)-CROQUIS!$C$107)/MAX(CROQUIS!$C$126,1))+1))-1)*CROQUIS!$C$126)/2)+MIN(INT(($A164-1)/5),MAX((MIN(80,MAX(1,INT(((CROQUIS!$C$98)-CROQUIS!$C$107)/MAX(CROQUIS!$C$126,1))+1)))-1,0))*CROQUIS!$C$126),CHOOSE(IF(INT(($A164-1)/5)&gt;MAX((MIN(80,MAX(1,INT(((CROQUIS!$C$98)-CROQUIS!$C$107)/MAX(CROQUIS!$C$126,1))+1)))-1,0),0,MOD($A164-1,5))+1,0,2,CROQUIS!$C$97-2,2,0)))*CROQUIS!$C$155)+IF(CROQUIS!$C$92="X",0,0)),-1000)</f>
        <v>-1000</v>
      </c>
      <c r="BJ164">
        <f>IF(AND(CROQUIS!$C$88=1,CROQUIS!$C$134&gt;0),((CROQUIS!$C$156+(IF(CROQUIS!$C$92="X",((CROQUIS!$C$107/2+(((CROQUIS!$C$97)-CROQUIS!$C$107)-(MIN(80,MAX(1,INT(((CROQUIS!$C$97)-CROQUIS!$C$107)/MAX(CROQUIS!$C$134,1))+1))-1)*CROQUIS!$C$134)/2)+MIN(INT(($A164-1)/5),MAX((MIN(80,MAX(1,INT(((CROQUIS!$C$97)-CROQUIS!$C$107)/MAX(CROQUIS!$C$134,1))+1)))-1,0))*CROQUIS!$C$134),CHOOSE(IF(INT(($A164-1)/5)&gt;MAX((MIN(80,MAX(1,INT(((CROQUIS!$C$97)-CROQUIS!$C$107)/MAX(CROQUIS!$C$134,1))+1)))-1,0),0,MOD($A164-1,5))+1,0,2,CROQUIS!$C$98-2,2,0)))*CROQUIS!$C$155)+IF(CROQUIS!$C$92="X",0,0)),-1000)</f>
        <v>-1000</v>
      </c>
      <c r="BK164">
        <f>IF(AND(CROQUIS!$C$88=1,CROQUIS!$C$134&gt;0),((CROQUIS!$C$157+(IF(CROQUIS!$C$92="X",CHOOSE(IF(INT(($A164-1)/5)&gt;MAX((MIN(80,MAX(1,INT(((CROQUIS!$C$97)-CROQUIS!$C$107)/MAX(CROQUIS!$C$134,1))+1)))-1,0),0,MOD($A164-1,5))+1,0,2,CROQUIS!$C$98-2,2,0),((CROQUIS!$C$107/2+(((CROQUIS!$C$97)-CROQUIS!$C$107)-(MIN(80,MAX(1,INT(((CROQUIS!$C$97)-CROQUIS!$C$107)/MAX(CROQUIS!$C$134,1))+1))-1)*CROQUIS!$C$134)/2)+MIN(INT(($A164-1)/5),MAX((MIN(80,MAX(1,INT(((CROQUIS!$C$97)-CROQUIS!$C$107)/MAX(CROQUIS!$C$134,1))+1)))-1,0))*CROQUIS!$C$134)))*CROQUIS!$C$155)+IF(CROQUIS!$C$92="X",0,0)),-1000)</f>
        <v>-1000</v>
      </c>
      <c r="BL164">
        <f>IF(AND(CROQUIS!$C$88=1,CROQUIS!$C$91=0,CROQUIS!$C$130&gt;0,OR(CROQUIS!$C$103=1,CROQUIS!$C$142=1)),((CROQUIS!$C$156+(IF(CROQUIS!$C$92="X",CHOOSE(IF(INT(($A164-1)/5)&gt;MAX((MIN(80,MAX(1,INT(((CROQUIS!$C$98)-CROQUIS!$C$107)/MAX(CROQUIS!$C$130,1))+1)))-1,0),0,MOD($A164-1,5))+1,0,IF(CROQUIS!$C$103=1,-12,2),CROQUIS!$C$107/2+CROQUIS!$C$140,IF(CROQUIS!$C$103=1,-12,2),0),((CROQUIS!$C$107/2+(((CROQUIS!$C$98)-CROQUIS!$C$107)-(MIN(80,MAX(1,INT(((CROQUIS!$C$98)-CROQUIS!$C$107)/MAX(CROQUIS!$C$130,1))+1))-1)*CROQUIS!$C$130)/2)+MIN(INT(($A164-1)/5),MAX((MIN(80,MAX(1,INT(((CROQUIS!$C$98)-CROQUIS!$C$107)/MAX(CROQUIS!$C$130,1))+1)))-1,0))*CROQUIS!$C$130)))*CROQUIS!$C$155)+IF(CROQUIS!$C$92="X",0,0)),-1000)</f>
        <v>-1000</v>
      </c>
      <c r="BM16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164-1)/5),MAX((MIN(80,MAX(1,INT(((CROQUIS!$C$98)-CROQUIS!$C$107)/MAX(CROQUIS!$C$130,1))+1)))-1,0))*CROQUIS!$C$130),CHOOSE(IF(INT(($A164-1)/5)&gt;MAX((MIN(80,MAX(1,INT(((CROQUIS!$C$98)-CROQUIS!$C$107)/MAX(CROQUIS!$C$130,1))+1)))-1,0),0,MOD($A164-1,5))+1,0,IF(CROQUIS!$C$103=1,-12,2),CROQUIS!$C$107/2+CROQUIS!$C$140,IF(CROQUIS!$C$103=1,-12,2),0)))*CROQUIS!$C$155)+IF(CROQUIS!$C$92="X",0,0)),-1000)</f>
        <v>-1000</v>
      </c>
      <c r="BN164">
        <f>IF(AND(CROQUIS!$C$88=1,CROQUIS!$C$91=0,CROQUIS!$C$130&gt;0,OR(CROQUIS!$C$104=1,CROQUIS!$C$142=1)),((CROQUIS!$C$156+(IF(CROQUIS!$C$92="X",CHOOSE(IF(INT(($A164-1)/5)&gt;MAX((MIN(80,MAX(1,INT(((CROQUIS!$C$98)-CROQUIS!$C$107)/MAX(CROQUIS!$C$130,1))+1)))-1,0),0,MOD($A164-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164-1)/5),MAX((MIN(80,MAX(1,INT(((CROQUIS!$C$98)-CROQUIS!$C$107)/MAX(CROQUIS!$C$130,1))+1)))-1,0))*CROQUIS!$C$130)))*CROQUIS!$C$155)+IF(CROQUIS!$C$92="X",0,0)),-1000)</f>
        <v>-1000</v>
      </c>
      <c r="BO16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164-1)/5),MAX((MIN(80,MAX(1,INT(((CROQUIS!$C$98)-CROQUIS!$C$107)/MAX(CROQUIS!$C$130,1))+1)))-1,0))*CROQUIS!$C$130),CHOOSE(IF(INT(($A164-1)/5)&gt;MAX((MIN(80,MAX(1,INT(((CROQUIS!$C$98)-CROQUIS!$C$107)/MAX(CROQUIS!$C$130,1))+1)))-1,0),0,MOD($A164-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6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164-1)/5),MAX((MIN(80,MAX(1,INT(((CROQUIS!$C$97)-CROQUIS!$C$107)/MAX(CROQUIS!$C$138,1))+1)))-1,0))*CROQUIS!$C$138),CHOOSE(IF(INT(($A164-1)/5)&gt;MAX((MIN(80,MAX(1,INT(((CROQUIS!$C$97)-CROQUIS!$C$107)/MAX(CROQUIS!$C$138,1))+1)))-1,0),0,MOD($A164-1,5))+1,0,IF(CROQUIS!$C$105=1,-12,2),CROQUIS!$C$107/2+CROQUIS!$C$141,IF(CROQUIS!$C$105=1,-12,2),0)))*CROQUIS!$C$155)+IF(CROQUIS!$C$92="X",0,0)),-1000)</f>
        <v>-1000</v>
      </c>
      <c r="BQ164">
        <f>IF(AND(CROQUIS!$C$88=1,CROQUIS!$C$91=0,CROQUIS!$C$138&gt;0,OR(CROQUIS!$C$105=1,CROQUIS!$C$143=1)),((CROQUIS!$C$157+(IF(CROQUIS!$C$92="X",CHOOSE(IF(INT(($A164-1)/5)&gt;MAX((MIN(80,MAX(1,INT(((CROQUIS!$C$97)-CROQUIS!$C$107)/MAX(CROQUIS!$C$138,1))+1)))-1,0),0,MOD($A164-1,5))+1,0,IF(CROQUIS!$C$105=1,-12,2),CROQUIS!$C$107/2+CROQUIS!$C$141,IF(CROQUIS!$C$105=1,-12,2),0),((CROQUIS!$C$107/2+(((CROQUIS!$C$97)-CROQUIS!$C$107)-(MIN(80,MAX(1,INT(((CROQUIS!$C$97)-CROQUIS!$C$107)/MAX(CROQUIS!$C$138,1))+1))-1)*CROQUIS!$C$138)/2)+MIN(INT(($A164-1)/5),MAX((MIN(80,MAX(1,INT(((CROQUIS!$C$97)-CROQUIS!$C$107)/MAX(CROQUIS!$C$138,1))+1)))-1,0))*CROQUIS!$C$138)))*CROQUIS!$C$155)+IF(CROQUIS!$C$92="X",0,0)),-1000)</f>
        <v>-1000</v>
      </c>
      <c r="BR16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164-1)/5),MAX((MIN(80,MAX(1,INT(((CROQUIS!$C$97)-CROQUIS!$C$107)/MAX(CROQUIS!$C$138,1))+1)))-1,0))*CROQUIS!$C$138),CHOOSE(IF(INT(($A164-1)/5)&gt;MAX((MIN(80,MAX(1,INT(((CROQUIS!$C$97)-CROQUIS!$C$107)/MAX(CROQUIS!$C$138,1))+1)))-1,0),0,MOD($A164-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64">
        <f>IF(AND(CROQUIS!$C$88=1,CROQUIS!$C$91=0,CROQUIS!$C$138&gt;0,OR(CROQUIS!$C$106=1,CROQUIS!$C$143=1)),((CROQUIS!$C$157+(IF(CROQUIS!$C$92="X",CHOOSE(IF(INT(($A164-1)/5)&gt;MAX((MIN(80,MAX(1,INT(((CROQUIS!$C$97)-CROQUIS!$C$107)/MAX(CROQUIS!$C$138,1))+1)))-1,0),0,MOD($A164-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164-1)/5),MAX((MIN(80,MAX(1,INT(((CROQUIS!$C$97)-CROQUIS!$C$107)/MAX(CROQUIS!$C$138,1))+1)))-1,0))*CROQUIS!$C$138)))*CROQUIS!$C$155)+IF(CROQUIS!$C$92="X",0,0)),-1000)</f>
        <v>-1000</v>
      </c>
      <c r="BT164">
        <f>IF(AND(CROQUIS!$C$88=1,CROQUIS!$C$91=1,CROQUIS!$C$130&gt;0),((CROQUIS!$C$156+(IF(CROQUIS!$C$92="X",CHOOSE(IF(INT(($A164-1)/5)&gt;MAX((MIN(80,MAX(1,INT(((CROQUIS!$C$98)-CROQUIS!$C$107)/MAX(CROQUIS!$C$130,1))+1)))-1,0),0,MOD($A164-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164-1)/5),MAX((MIN(80,MAX(1,INT(((CROQUIS!$C$98)-CROQUIS!$C$107)/MAX(CROQUIS!$C$130,1))+1)))-1,0))*CROQUIS!$C$130)))*CROQUIS!$C$155)+IF(CROQUIS!$C$92="X",0,0)),-1000)</f>
        <v>-1000</v>
      </c>
      <c r="BU164">
        <f>IF(AND(CROQUIS!$C$88=1,CROQUIS!$C$91=1,CROQUIS!$C$130&gt;0),((CROQUIS!$C$157+(IF(CROQUIS!$C$92="X",((CROQUIS!$C$107/2+(((CROQUIS!$C$98)-CROQUIS!$C$107)-(MIN(80,MAX(1,INT(((CROQUIS!$C$98)-CROQUIS!$C$107)/MAX(CROQUIS!$C$130,1))+1))-1)*CROQUIS!$C$130)/2)+MIN(INT(($A164-1)/5),MAX((MIN(80,MAX(1,INT(((CROQUIS!$C$98)-CROQUIS!$C$107)/MAX(CROQUIS!$C$130,1))+1)))-1,0))*CROQUIS!$C$130),CHOOSE(IF(INT(($A164-1)/5)&gt;MAX((MIN(80,MAX(1,INT(((CROQUIS!$C$98)-CROQUIS!$C$107)/MAX(CROQUIS!$C$130,1))+1)))-1,0),0,MOD($A164-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65">
      <c r="A165" t="n">
        <v>158</v>
      </c>
      <c r="BH165">
        <f>IF(AND(CROQUIS!$C$88=1,CROQUIS!$C$126&gt;0),((CROQUIS!$C$156+(IF(CROQUIS!$C$92="X",CHOOSE(IF(INT(($A165-1)/5)&gt;MAX((MIN(80,MAX(1,INT(((CROQUIS!$C$98)-CROQUIS!$C$107)/MAX(CROQUIS!$C$126,1))+1)))-1,0),0,MOD($A165-1,5))+1,0,2,CROQUIS!$C$97-2,2,0),((CROQUIS!$C$107/2+(((CROQUIS!$C$98)-CROQUIS!$C$107)-(MIN(80,MAX(1,INT(((CROQUIS!$C$98)-CROQUIS!$C$107)/MAX(CROQUIS!$C$126,1))+1))-1)*CROQUIS!$C$126)/2)+MIN(INT(($A165-1)/5),MAX((MIN(80,MAX(1,INT(((CROQUIS!$C$98)-CROQUIS!$C$107)/MAX(CROQUIS!$C$126,1))+1)))-1,0))*CROQUIS!$C$126)))*CROQUIS!$C$155)+IF(CROQUIS!$C$92="X",0,0)),-1000)</f>
        <v>-1000</v>
      </c>
      <c r="BI165">
        <f>IF(AND(CROQUIS!$C$88=1,CROQUIS!$C$126&gt;0),((CROQUIS!$C$157+(IF(CROQUIS!$C$92="X",((CROQUIS!$C$107/2+(((CROQUIS!$C$98)-CROQUIS!$C$107)-(MIN(80,MAX(1,INT(((CROQUIS!$C$98)-CROQUIS!$C$107)/MAX(CROQUIS!$C$126,1))+1))-1)*CROQUIS!$C$126)/2)+MIN(INT(($A165-1)/5),MAX((MIN(80,MAX(1,INT(((CROQUIS!$C$98)-CROQUIS!$C$107)/MAX(CROQUIS!$C$126,1))+1)))-1,0))*CROQUIS!$C$126),CHOOSE(IF(INT(($A165-1)/5)&gt;MAX((MIN(80,MAX(1,INT(((CROQUIS!$C$98)-CROQUIS!$C$107)/MAX(CROQUIS!$C$126,1))+1)))-1,0),0,MOD($A165-1,5))+1,0,2,CROQUIS!$C$97-2,2,0)))*CROQUIS!$C$155)+IF(CROQUIS!$C$92="X",0,0)),-1000)</f>
        <v>-1000</v>
      </c>
      <c r="BJ165">
        <f>IF(AND(CROQUIS!$C$88=1,CROQUIS!$C$134&gt;0),((CROQUIS!$C$156+(IF(CROQUIS!$C$92="X",((CROQUIS!$C$107/2+(((CROQUIS!$C$97)-CROQUIS!$C$107)-(MIN(80,MAX(1,INT(((CROQUIS!$C$97)-CROQUIS!$C$107)/MAX(CROQUIS!$C$134,1))+1))-1)*CROQUIS!$C$134)/2)+MIN(INT(($A165-1)/5),MAX((MIN(80,MAX(1,INT(((CROQUIS!$C$97)-CROQUIS!$C$107)/MAX(CROQUIS!$C$134,1))+1)))-1,0))*CROQUIS!$C$134),CHOOSE(IF(INT(($A165-1)/5)&gt;MAX((MIN(80,MAX(1,INT(((CROQUIS!$C$97)-CROQUIS!$C$107)/MAX(CROQUIS!$C$134,1))+1)))-1,0),0,MOD($A165-1,5))+1,0,2,CROQUIS!$C$98-2,2,0)))*CROQUIS!$C$155)+IF(CROQUIS!$C$92="X",0,0)),-1000)</f>
        <v>-1000</v>
      </c>
      <c r="BK165">
        <f>IF(AND(CROQUIS!$C$88=1,CROQUIS!$C$134&gt;0),((CROQUIS!$C$157+(IF(CROQUIS!$C$92="X",CHOOSE(IF(INT(($A165-1)/5)&gt;MAX((MIN(80,MAX(1,INT(((CROQUIS!$C$97)-CROQUIS!$C$107)/MAX(CROQUIS!$C$134,1))+1)))-1,0),0,MOD($A165-1,5))+1,0,2,CROQUIS!$C$98-2,2,0),((CROQUIS!$C$107/2+(((CROQUIS!$C$97)-CROQUIS!$C$107)-(MIN(80,MAX(1,INT(((CROQUIS!$C$97)-CROQUIS!$C$107)/MAX(CROQUIS!$C$134,1))+1))-1)*CROQUIS!$C$134)/2)+MIN(INT(($A165-1)/5),MAX((MIN(80,MAX(1,INT(((CROQUIS!$C$97)-CROQUIS!$C$107)/MAX(CROQUIS!$C$134,1))+1)))-1,0))*CROQUIS!$C$134)))*CROQUIS!$C$155)+IF(CROQUIS!$C$92="X",0,0)),-1000)</f>
        <v>-1000</v>
      </c>
      <c r="BL165">
        <f>IF(AND(CROQUIS!$C$88=1,CROQUIS!$C$91=0,CROQUIS!$C$130&gt;0,OR(CROQUIS!$C$103=1,CROQUIS!$C$142=1)),((CROQUIS!$C$156+(IF(CROQUIS!$C$92="X",CHOOSE(IF(INT(($A165-1)/5)&gt;MAX((MIN(80,MAX(1,INT(((CROQUIS!$C$98)-CROQUIS!$C$107)/MAX(CROQUIS!$C$130,1))+1)))-1,0),0,MOD($A165-1,5))+1,0,IF(CROQUIS!$C$103=1,-12,2),CROQUIS!$C$107/2+CROQUIS!$C$140,IF(CROQUIS!$C$103=1,-12,2),0),((CROQUIS!$C$107/2+(((CROQUIS!$C$98)-CROQUIS!$C$107)-(MIN(80,MAX(1,INT(((CROQUIS!$C$98)-CROQUIS!$C$107)/MAX(CROQUIS!$C$130,1))+1))-1)*CROQUIS!$C$130)/2)+MIN(INT(($A165-1)/5),MAX((MIN(80,MAX(1,INT(((CROQUIS!$C$98)-CROQUIS!$C$107)/MAX(CROQUIS!$C$130,1))+1)))-1,0))*CROQUIS!$C$130)))*CROQUIS!$C$155)+IF(CROQUIS!$C$92="X",0,0)),-1000)</f>
        <v>-1000</v>
      </c>
      <c r="BM16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165-1)/5),MAX((MIN(80,MAX(1,INT(((CROQUIS!$C$98)-CROQUIS!$C$107)/MAX(CROQUIS!$C$130,1))+1)))-1,0))*CROQUIS!$C$130),CHOOSE(IF(INT(($A165-1)/5)&gt;MAX((MIN(80,MAX(1,INT(((CROQUIS!$C$98)-CROQUIS!$C$107)/MAX(CROQUIS!$C$130,1))+1)))-1,0),0,MOD($A165-1,5))+1,0,IF(CROQUIS!$C$103=1,-12,2),CROQUIS!$C$107/2+CROQUIS!$C$140,IF(CROQUIS!$C$103=1,-12,2),0)))*CROQUIS!$C$155)+IF(CROQUIS!$C$92="X",0,0)),-1000)</f>
        <v>-1000</v>
      </c>
      <c r="BN165">
        <f>IF(AND(CROQUIS!$C$88=1,CROQUIS!$C$91=0,CROQUIS!$C$130&gt;0,OR(CROQUIS!$C$104=1,CROQUIS!$C$142=1)),((CROQUIS!$C$156+(IF(CROQUIS!$C$92="X",CHOOSE(IF(INT(($A165-1)/5)&gt;MAX((MIN(80,MAX(1,INT(((CROQUIS!$C$98)-CROQUIS!$C$107)/MAX(CROQUIS!$C$130,1))+1)))-1,0),0,MOD($A165-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165-1)/5),MAX((MIN(80,MAX(1,INT(((CROQUIS!$C$98)-CROQUIS!$C$107)/MAX(CROQUIS!$C$130,1))+1)))-1,0))*CROQUIS!$C$130)))*CROQUIS!$C$155)+IF(CROQUIS!$C$92="X",0,0)),-1000)</f>
        <v>-1000</v>
      </c>
      <c r="BO16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165-1)/5),MAX((MIN(80,MAX(1,INT(((CROQUIS!$C$98)-CROQUIS!$C$107)/MAX(CROQUIS!$C$130,1))+1)))-1,0))*CROQUIS!$C$130),CHOOSE(IF(INT(($A165-1)/5)&gt;MAX((MIN(80,MAX(1,INT(((CROQUIS!$C$98)-CROQUIS!$C$107)/MAX(CROQUIS!$C$130,1))+1)))-1,0),0,MOD($A165-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6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165-1)/5),MAX((MIN(80,MAX(1,INT(((CROQUIS!$C$97)-CROQUIS!$C$107)/MAX(CROQUIS!$C$138,1))+1)))-1,0))*CROQUIS!$C$138),CHOOSE(IF(INT(($A165-1)/5)&gt;MAX((MIN(80,MAX(1,INT(((CROQUIS!$C$97)-CROQUIS!$C$107)/MAX(CROQUIS!$C$138,1))+1)))-1,0),0,MOD($A165-1,5))+1,0,IF(CROQUIS!$C$105=1,-12,2),CROQUIS!$C$107/2+CROQUIS!$C$141,IF(CROQUIS!$C$105=1,-12,2),0)))*CROQUIS!$C$155)+IF(CROQUIS!$C$92="X",0,0)),-1000)</f>
        <v>-1000</v>
      </c>
      <c r="BQ165">
        <f>IF(AND(CROQUIS!$C$88=1,CROQUIS!$C$91=0,CROQUIS!$C$138&gt;0,OR(CROQUIS!$C$105=1,CROQUIS!$C$143=1)),((CROQUIS!$C$157+(IF(CROQUIS!$C$92="X",CHOOSE(IF(INT(($A165-1)/5)&gt;MAX((MIN(80,MAX(1,INT(((CROQUIS!$C$97)-CROQUIS!$C$107)/MAX(CROQUIS!$C$138,1))+1)))-1,0),0,MOD($A165-1,5))+1,0,IF(CROQUIS!$C$105=1,-12,2),CROQUIS!$C$107/2+CROQUIS!$C$141,IF(CROQUIS!$C$105=1,-12,2),0),((CROQUIS!$C$107/2+(((CROQUIS!$C$97)-CROQUIS!$C$107)-(MIN(80,MAX(1,INT(((CROQUIS!$C$97)-CROQUIS!$C$107)/MAX(CROQUIS!$C$138,1))+1))-1)*CROQUIS!$C$138)/2)+MIN(INT(($A165-1)/5),MAX((MIN(80,MAX(1,INT(((CROQUIS!$C$97)-CROQUIS!$C$107)/MAX(CROQUIS!$C$138,1))+1)))-1,0))*CROQUIS!$C$138)))*CROQUIS!$C$155)+IF(CROQUIS!$C$92="X",0,0)),-1000)</f>
        <v>-1000</v>
      </c>
      <c r="BR16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165-1)/5),MAX((MIN(80,MAX(1,INT(((CROQUIS!$C$97)-CROQUIS!$C$107)/MAX(CROQUIS!$C$138,1))+1)))-1,0))*CROQUIS!$C$138),CHOOSE(IF(INT(($A165-1)/5)&gt;MAX((MIN(80,MAX(1,INT(((CROQUIS!$C$97)-CROQUIS!$C$107)/MAX(CROQUIS!$C$138,1))+1)))-1,0),0,MOD($A165-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65">
        <f>IF(AND(CROQUIS!$C$88=1,CROQUIS!$C$91=0,CROQUIS!$C$138&gt;0,OR(CROQUIS!$C$106=1,CROQUIS!$C$143=1)),((CROQUIS!$C$157+(IF(CROQUIS!$C$92="X",CHOOSE(IF(INT(($A165-1)/5)&gt;MAX((MIN(80,MAX(1,INT(((CROQUIS!$C$97)-CROQUIS!$C$107)/MAX(CROQUIS!$C$138,1))+1)))-1,0),0,MOD($A165-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165-1)/5),MAX((MIN(80,MAX(1,INT(((CROQUIS!$C$97)-CROQUIS!$C$107)/MAX(CROQUIS!$C$138,1))+1)))-1,0))*CROQUIS!$C$138)))*CROQUIS!$C$155)+IF(CROQUIS!$C$92="X",0,0)),-1000)</f>
        <v>-1000</v>
      </c>
      <c r="BT165">
        <f>IF(AND(CROQUIS!$C$88=1,CROQUIS!$C$91=1,CROQUIS!$C$130&gt;0),((CROQUIS!$C$156+(IF(CROQUIS!$C$92="X",CHOOSE(IF(INT(($A165-1)/5)&gt;MAX((MIN(80,MAX(1,INT(((CROQUIS!$C$98)-CROQUIS!$C$107)/MAX(CROQUIS!$C$130,1))+1)))-1,0),0,MOD($A165-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165-1)/5),MAX((MIN(80,MAX(1,INT(((CROQUIS!$C$98)-CROQUIS!$C$107)/MAX(CROQUIS!$C$130,1))+1)))-1,0))*CROQUIS!$C$130)))*CROQUIS!$C$155)+IF(CROQUIS!$C$92="X",0,0)),-1000)</f>
        <v>-1000</v>
      </c>
      <c r="BU165">
        <f>IF(AND(CROQUIS!$C$88=1,CROQUIS!$C$91=1,CROQUIS!$C$130&gt;0),((CROQUIS!$C$157+(IF(CROQUIS!$C$92="X",((CROQUIS!$C$107/2+(((CROQUIS!$C$98)-CROQUIS!$C$107)-(MIN(80,MAX(1,INT(((CROQUIS!$C$98)-CROQUIS!$C$107)/MAX(CROQUIS!$C$130,1))+1))-1)*CROQUIS!$C$130)/2)+MIN(INT(($A165-1)/5),MAX((MIN(80,MAX(1,INT(((CROQUIS!$C$98)-CROQUIS!$C$107)/MAX(CROQUIS!$C$130,1))+1)))-1,0))*CROQUIS!$C$130),CHOOSE(IF(INT(($A165-1)/5)&gt;MAX((MIN(80,MAX(1,INT(((CROQUIS!$C$98)-CROQUIS!$C$107)/MAX(CROQUIS!$C$130,1))+1)))-1,0),0,MOD($A165-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66">
      <c r="A166" t="n">
        <v>159</v>
      </c>
      <c r="BH166">
        <f>IF(AND(CROQUIS!$C$88=1,CROQUIS!$C$126&gt;0),((CROQUIS!$C$156+(IF(CROQUIS!$C$92="X",CHOOSE(IF(INT(($A166-1)/5)&gt;MAX((MIN(80,MAX(1,INT(((CROQUIS!$C$98)-CROQUIS!$C$107)/MAX(CROQUIS!$C$126,1))+1)))-1,0),0,MOD($A166-1,5))+1,0,2,CROQUIS!$C$97-2,2,0),((CROQUIS!$C$107/2+(((CROQUIS!$C$98)-CROQUIS!$C$107)-(MIN(80,MAX(1,INT(((CROQUIS!$C$98)-CROQUIS!$C$107)/MAX(CROQUIS!$C$126,1))+1))-1)*CROQUIS!$C$126)/2)+MIN(INT(($A166-1)/5),MAX((MIN(80,MAX(1,INT(((CROQUIS!$C$98)-CROQUIS!$C$107)/MAX(CROQUIS!$C$126,1))+1)))-1,0))*CROQUIS!$C$126)))*CROQUIS!$C$155)+IF(CROQUIS!$C$92="X",0,0)),-1000)</f>
        <v>-1000</v>
      </c>
      <c r="BI166">
        <f>IF(AND(CROQUIS!$C$88=1,CROQUIS!$C$126&gt;0),((CROQUIS!$C$157+(IF(CROQUIS!$C$92="X",((CROQUIS!$C$107/2+(((CROQUIS!$C$98)-CROQUIS!$C$107)-(MIN(80,MAX(1,INT(((CROQUIS!$C$98)-CROQUIS!$C$107)/MAX(CROQUIS!$C$126,1))+1))-1)*CROQUIS!$C$126)/2)+MIN(INT(($A166-1)/5),MAX((MIN(80,MAX(1,INT(((CROQUIS!$C$98)-CROQUIS!$C$107)/MAX(CROQUIS!$C$126,1))+1)))-1,0))*CROQUIS!$C$126),CHOOSE(IF(INT(($A166-1)/5)&gt;MAX((MIN(80,MAX(1,INT(((CROQUIS!$C$98)-CROQUIS!$C$107)/MAX(CROQUIS!$C$126,1))+1)))-1,0),0,MOD($A166-1,5))+1,0,2,CROQUIS!$C$97-2,2,0)))*CROQUIS!$C$155)+IF(CROQUIS!$C$92="X",0,0)),-1000)</f>
        <v>-1000</v>
      </c>
      <c r="BJ166">
        <f>IF(AND(CROQUIS!$C$88=1,CROQUIS!$C$134&gt;0),((CROQUIS!$C$156+(IF(CROQUIS!$C$92="X",((CROQUIS!$C$107/2+(((CROQUIS!$C$97)-CROQUIS!$C$107)-(MIN(80,MAX(1,INT(((CROQUIS!$C$97)-CROQUIS!$C$107)/MAX(CROQUIS!$C$134,1))+1))-1)*CROQUIS!$C$134)/2)+MIN(INT(($A166-1)/5),MAX((MIN(80,MAX(1,INT(((CROQUIS!$C$97)-CROQUIS!$C$107)/MAX(CROQUIS!$C$134,1))+1)))-1,0))*CROQUIS!$C$134),CHOOSE(IF(INT(($A166-1)/5)&gt;MAX((MIN(80,MAX(1,INT(((CROQUIS!$C$97)-CROQUIS!$C$107)/MAX(CROQUIS!$C$134,1))+1)))-1,0),0,MOD($A166-1,5))+1,0,2,CROQUIS!$C$98-2,2,0)))*CROQUIS!$C$155)+IF(CROQUIS!$C$92="X",0,0)),-1000)</f>
        <v>-1000</v>
      </c>
      <c r="BK166">
        <f>IF(AND(CROQUIS!$C$88=1,CROQUIS!$C$134&gt;0),((CROQUIS!$C$157+(IF(CROQUIS!$C$92="X",CHOOSE(IF(INT(($A166-1)/5)&gt;MAX((MIN(80,MAX(1,INT(((CROQUIS!$C$97)-CROQUIS!$C$107)/MAX(CROQUIS!$C$134,1))+1)))-1,0),0,MOD($A166-1,5))+1,0,2,CROQUIS!$C$98-2,2,0),((CROQUIS!$C$107/2+(((CROQUIS!$C$97)-CROQUIS!$C$107)-(MIN(80,MAX(1,INT(((CROQUIS!$C$97)-CROQUIS!$C$107)/MAX(CROQUIS!$C$134,1))+1))-1)*CROQUIS!$C$134)/2)+MIN(INT(($A166-1)/5),MAX((MIN(80,MAX(1,INT(((CROQUIS!$C$97)-CROQUIS!$C$107)/MAX(CROQUIS!$C$134,1))+1)))-1,0))*CROQUIS!$C$134)))*CROQUIS!$C$155)+IF(CROQUIS!$C$92="X",0,0)),-1000)</f>
        <v>-1000</v>
      </c>
      <c r="BL166">
        <f>IF(AND(CROQUIS!$C$88=1,CROQUIS!$C$91=0,CROQUIS!$C$130&gt;0,OR(CROQUIS!$C$103=1,CROQUIS!$C$142=1)),((CROQUIS!$C$156+(IF(CROQUIS!$C$92="X",CHOOSE(IF(INT(($A166-1)/5)&gt;MAX((MIN(80,MAX(1,INT(((CROQUIS!$C$98)-CROQUIS!$C$107)/MAX(CROQUIS!$C$130,1))+1)))-1,0),0,MOD($A166-1,5))+1,0,IF(CROQUIS!$C$103=1,-12,2),CROQUIS!$C$107/2+CROQUIS!$C$140,IF(CROQUIS!$C$103=1,-12,2),0),((CROQUIS!$C$107/2+(((CROQUIS!$C$98)-CROQUIS!$C$107)-(MIN(80,MAX(1,INT(((CROQUIS!$C$98)-CROQUIS!$C$107)/MAX(CROQUIS!$C$130,1))+1))-1)*CROQUIS!$C$130)/2)+MIN(INT(($A166-1)/5),MAX((MIN(80,MAX(1,INT(((CROQUIS!$C$98)-CROQUIS!$C$107)/MAX(CROQUIS!$C$130,1))+1)))-1,0))*CROQUIS!$C$130)))*CROQUIS!$C$155)+IF(CROQUIS!$C$92="X",0,0)),-1000)</f>
        <v>-1000</v>
      </c>
      <c r="BM16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166-1)/5),MAX((MIN(80,MAX(1,INT(((CROQUIS!$C$98)-CROQUIS!$C$107)/MAX(CROQUIS!$C$130,1))+1)))-1,0))*CROQUIS!$C$130),CHOOSE(IF(INT(($A166-1)/5)&gt;MAX((MIN(80,MAX(1,INT(((CROQUIS!$C$98)-CROQUIS!$C$107)/MAX(CROQUIS!$C$130,1))+1)))-1,0),0,MOD($A166-1,5))+1,0,IF(CROQUIS!$C$103=1,-12,2),CROQUIS!$C$107/2+CROQUIS!$C$140,IF(CROQUIS!$C$103=1,-12,2),0)))*CROQUIS!$C$155)+IF(CROQUIS!$C$92="X",0,0)),-1000)</f>
        <v>-1000</v>
      </c>
      <c r="BN166">
        <f>IF(AND(CROQUIS!$C$88=1,CROQUIS!$C$91=0,CROQUIS!$C$130&gt;0,OR(CROQUIS!$C$104=1,CROQUIS!$C$142=1)),((CROQUIS!$C$156+(IF(CROQUIS!$C$92="X",CHOOSE(IF(INT(($A166-1)/5)&gt;MAX((MIN(80,MAX(1,INT(((CROQUIS!$C$98)-CROQUIS!$C$107)/MAX(CROQUIS!$C$130,1))+1)))-1,0),0,MOD($A166-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166-1)/5),MAX((MIN(80,MAX(1,INT(((CROQUIS!$C$98)-CROQUIS!$C$107)/MAX(CROQUIS!$C$130,1))+1)))-1,0))*CROQUIS!$C$130)))*CROQUIS!$C$155)+IF(CROQUIS!$C$92="X",0,0)),-1000)</f>
        <v>-1000</v>
      </c>
      <c r="BO16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166-1)/5),MAX((MIN(80,MAX(1,INT(((CROQUIS!$C$98)-CROQUIS!$C$107)/MAX(CROQUIS!$C$130,1))+1)))-1,0))*CROQUIS!$C$130),CHOOSE(IF(INT(($A166-1)/5)&gt;MAX((MIN(80,MAX(1,INT(((CROQUIS!$C$98)-CROQUIS!$C$107)/MAX(CROQUIS!$C$130,1))+1)))-1,0),0,MOD($A166-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6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166-1)/5),MAX((MIN(80,MAX(1,INT(((CROQUIS!$C$97)-CROQUIS!$C$107)/MAX(CROQUIS!$C$138,1))+1)))-1,0))*CROQUIS!$C$138),CHOOSE(IF(INT(($A166-1)/5)&gt;MAX((MIN(80,MAX(1,INT(((CROQUIS!$C$97)-CROQUIS!$C$107)/MAX(CROQUIS!$C$138,1))+1)))-1,0),0,MOD($A166-1,5))+1,0,IF(CROQUIS!$C$105=1,-12,2),CROQUIS!$C$107/2+CROQUIS!$C$141,IF(CROQUIS!$C$105=1,-12,2),0)))*CROQUIS!$C$155)+IF(CROQUIS!$C$92="X",0,0)),-1000)</f>
        <v>-1000</v>
      </c>
      <c r="BQ166">
        <f>IF(AND(CROQUIS!$C$88=1,CROQUIS!$C$91=0,CROQUIS!$C$138&gt;0,OR(CROQUIS!$C$105=1,CROQUIS!$C$143=1)),((CROQUIS!$C$157+(IF(CROQUIS!$C$92="X",CHOOSE(IF(INT(($A166-1)/5)&gt;MAX((MIN(80,MAX(1,INT(((CROQUIS!$C$97)-CROQUIS!$C$107)/MAX(CROQUIS!$C$138,1))+1)))-1,0),0,MOD($A166-1,5))+1,0,IF(CROQUIS!$C$105=1,-12,2),CROQUIS!$C$107/2+CROQUIS!$C$141,IF(CROQUIS!$C$105=1,-12,2),0),((CROQUIS!$C$107/2+(((CROQUIS!$C$97)-CROQUIS!$C$107)-(MIN(80,MAX(1,INT(((CROQUIS!$C$97)-CROQUIS!$C$107)/MAX(CROQUIS!$C$138,1))+1))-1)*CROQUIS!$C$138)/2)+MIN(INT(($A166-1)/5),MAX((MIN(80,MAX(1,INT(((CROQUIS!$C$97)-CROQUIS!$C$107)/MAX(CROQUIS!$C$138,1))+1)))-1,0))*CROQUIS!$C$138)))*CROQUIS!$C$155)+IF(CROQUIS!$C$92="X",0,0)),-1000)</f>
        <v>-1000</v>
      </c>
      <c r="BR16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166-1)/5),MAX((MIN(80,MAX(1,INT(((CROQUIS!$C$97)-CROQUIS!$C$107)/MAX(CROQUIS!$C$138,1))+1)))-1,0))*CROQUIS!$C$138),CHOOSE(IF(INT(($A166-1)/5)&gt;MAX((MIN(80,MAX(1,INT(((CROQUIS!$C$97)-CROQUIS!$C$107)/MAX(CROQUIS!$C$138,1))+1)))-1,0),0,MOD($A166-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66">
        <f>IF(AND(CROQUIS!$C$88=1,CROQUIS!$C$91=0,CROQUIS!$C$138&gt;0,OR(CROQUIS!$C$106=1,CROQUIS!$C$143=1)),((CROQUIS!$C$157+(IF(CROQUIS!$C$92="X",CHOOSE(IF(INT(($A166-1)/5)&gt;MAX((MIN(80,MAX(1,INT(((CROQUIS!$C$97)-CROQUIS!$C$107)/MAX(CROQUIS!$C$138,1))+1)))-1,0),0,MOD($A166-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166-1)/5),MAX((MIN(80,MAX(1,INT(((CROQUIS!$C$97)-CROQUIS!$C$107)/MAX(CROQUIS!$C$138,1))+1)))-1,0))*CROQUIS!$C$138)))*CROQUIS!$C$155)+IF(CROQUIS!$C$92="X",0,0)),-1000)</f>
        <v>-1000</v>
      </c>
      <c r="BT166">
        <f>IF(AND(CROQUIS!$C$88=1,CROQUIS!$C$91=1,CROQUIS!$C$130&gt;0),((CROQUIS!$C$156+(IF(CROQUIS!$C$92="X",CHOOSE(IF(INT(($A166-1)/5)&gt;MAX((MIN(80,MAX(1,INT(((CROQUIS!$C$98)-CROQUIS!$C$107)/MAX(CROQUIS!$C$130,1))+1)))-1,0),0,MOD($A166-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166-1)/5),MAX((MIN(80,MAX(1,INT(((CROQUIS!$C$98)-CROQUIS!$C$107)/MAX(CROQUIS!$C$130,1))+1)))-1,0))*CROQUIS!$C$130)))*CROQUIS!$C$155)+IF(CROQUIS!$C$92="X",0,0)),-1000)</f>
        <v>-1000</v>
      </c>
      <c r="BU166">
        <f>IF(AND(CROQUIS!$C$88=1,CROQUIS!$C$91=1,CROQUIS!$C$130&gt;0),((CROQUIS!$C$157+(IF(CROQUIS!$C$92="X",((CROQUIS!$C$107/2+(((CROQUIS!$C$98)-CROQUIS!$C$107)-(MIN(80,MAX(1,INT(((CROQUIS!$C$98)-CROQUIS!$C$107)/MAX(CROQUIS!$C$130,1))+1))-1)*CROQUIS!$C$130)/2)+MIN(INT(($A166-1)/5),MAX((MIN(80,MAX(1,INT(((CROQUIS!$C$98)-CROQUIS!$C$107)/MAX(CROQUIS!$C$130,1))+1)))-1,0))*CROQUIS!$C$130),CHOOSE(IF(INT(($A166-1)/5)&gt;MAX((MIN(80,MAX(1,INT(((CROQUIS!$C$98)-CROQUIS!$C$107)/MAX(CROQUIS!$C$130,1))+1)))-1,0),0,MOD($A166-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67">
      <c r="A167" t="n">
        <v>160</v>
      </c>
      <c r="BH167">
        <f>IF(AND(CROQUIS!$C$88=1,CROQUIS!$C$126&gt;0),((CROQUIS!$C$156+(IF(CROQUIS!$C$92="X",CHOOSE(IF(INT(($A167-1)/5)&gt;MAX((MIN(80,MAX(1,INT(((CROQUIS!$C$98)-CROQUIS!$C$107)/MAX(CROQUIS!$C$126,1))+1)))-1,0),0,MOD($A167-1,5))+1,0,2,CROQUIS!$C$97-2,2,0),((CROQUIS!$C$107/2+(((CROQUIS!$C$98)-CROQUIS!$C$107)-(MIN(80,MAX(1,INT(((CROQUIS!$C$98)-CROQUIS!$C$107)/MAX(CROQUIS!$C$126,1))+1))-1)*CROQUIS!$C$126)/2)+MIN(INT(($A167-1)/5),MAX((MIN(80,MAX(1,INT(((CROQUIS!$C$98)-CROQUIS!$C$107)/MAX(CROQUIS!$C$126,1))+1)))-1,0))*CROQUIS!$C$126)))*CROQUIS!$C$155)+IF(CROQUIS!$C$92="X",0,0)),-1000)</f>
        <v>-1000</v>
      </c>
      <c r="BI167">
        <f>IF(AND(CROQUIS!$C$88=1,CROQUIS!$C$126&gt;0),((CROQUIS!$C$157+(IF(CROQUIS!$C$92="X",((CROQUIS!$C$107/2+(((CROQUIS!$C$98)-CROQUIS!$C$107)-(MIN(80,MAX(1,INT(((CROQUIS!$C$98)-CROQUIS!$C$107)/MAX(CROQUIS!$C$126,1))+1))-1)*CROQUIS!$C$126)/2)+MIN(INT(($A167-1)/5),MAX((MIN(80,MAX(1,INT(((CROQUIS!$C$98)-CROQUIS!$C$107)/MAX(CROQUIS!$C$126,1))+1)))-1,0))*CROQUIS!$C$126),CHOOSE(IF(INT(($A167-1)/5)&gt;MAX((MIN(80,MAX(1,INT(((CROQUIS!$C$98)-CROQUIS!$C$107)/MAX(CROQUIS!$C$126,1))+1)))-1,0),0,MOD($A167-1,5))+1,0,2,CROQUIS!$C$97-2,2,0)))*CROQUIS!$C$155)+IF(CROQUIS!$C$92="X",0,0)),-1000)</f>
        <v>-1000</v>
      </c>
      <c r="BJ167">
        <f>IF(AND(CROQUIS!$C$88=1,CROQUIS!$C$134&gt;0),((CROQUIS!$C$156+(IF(CROQUIS!$C$92="X",((CROQUIS!$C$107/2+(((CROQUIS!$C$97)-CROQUIS!$C$107)-(MIN(80,MAX(1,INT(((CROQUIS!$C$97)-CROQUIS!$C$107)/MAX(CROQUIS!$C$134,1))+1))-1)*CROQUIS!$C$134)/2)+MIN(INT(($A167-1)/5),MAX((MIN(80,MAX(1,INT(((CROQUIS!$C$97)-CROQUIS!$C$107)/MAX(CROQUIS!$C$134,1))+1)))-1,0))*CROQUIS!$C$134),CHOOSE(IF(INT(($A167-1)/5)&gt;MAX((MIN(80,MAX(1,INT(((CROQUIS!$C$97)-CROQUIS!$C$107)/MAX(CROQUIS!$C$134,1))+1)))-1,0),0,MOD($A167-1,5))+1,0,2,CROQUIS!$C$98-2,2,0)))*CROQUIS!$C$155)+IF(CROQUIS!$C$92="X",0,0)),-1000)</f>
        <v>-1000</v>
      </c>
      <c r="BK167">
        <f>IF(AND(CROQUIS!$C$88=1,CROQUIS!$C$134&gt;0),((CROQUIS!$C$157+(IF(CROQUIS!$C$92="X",CHOOSE(IF(INT(($A167-1)/5)&gt;MAX((MIN(80,MAX(1,INT(((CROQUIS!$C$97)-CROQUIS!$C$107)/MAX(CROQUIS!$C$134,1))+1)))-1,0),0,MOD($A167-1,5))+1,0,2,CROQUIS!$C$98-2,2,0),((CROQUIS!$C$107/2+(((CROQUIS!$C$97)-CROQUIS!$C$107)-(MIN(80,MAX(1,INT(((CROQUIS!$C$97)-CROQUIS!$C$107)/MAX(CROQUIS!$C$134,1))+1))-1)*CROQUIS!$C$134)/2)+MIN(INT(($A167-1)/5),MAX((MIN(80,MAX(1,INT(((CROQUIS!$C$97)-CROQUIS!$C$107)/MAX(CROQUIS!$C$134,1))+1)))-1,0))*CROQUIS!$C$134)))*CROQUIS!$C$155)+IF(CROQUIS!$C$92="X",0,0)),-1000)</f>
        <v>-1000</v>
      </c>
      <c r="BL167">
        <f>IF(AND(CROQUIS!$C$88=1,CROQUIS!$C$91=0,CROQUIS!$C$130&gt;0,OR(CROQUIS!$C$103=1,CROQUIS!$C$142=1)),((CROQUIS!$C$156+(IF(CROQUIS!$C$92="X",CHOOSE(IF(INT(($A167-1)/5)&gt;MAX((MIN(80,MAX(1,INT(((CROQUIS!$C$98)-CROQUIS!$C$107)/MAX(CROQUIS!$C$130,1))+1)))-1,0),0,MOD($A167-1,5))+1,0,IF(CROQUIS!$C$103=1,-12,2),CROQUIS!$C$107/2+CROQUIS!$C$140,IF(CROQUIS!$C$103=1,-12,2),0),((CROQUIS!$C$107/2+(((CROQUIS!$C$98)-CROQUIS!$C$107)-(MIN(80,MAX(1,INT(((CROQUIS!$C$98)-CROQUIS!$C$107)/MAX(CROQUIS!$C$130,1))+1))-1)*CROQUIS!$C$130)/2)+MIN(INT(($A167-1)/5),MAX((MIN(80,MAX(1,INT(((CROQUIS!$C$98)-CROQUIS!$C$107)/MAX(CROQUIS!$C$130,1))+1)))-1,0))*CROQUIS!$C$130)))*CROQUIS!$C$155)+IF(CROQUIS!$C$92="X",0,0)),-1000)</f>
        <v>-1000</v>
      </c>
      <c r="BM16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167-1)/5),MAX((MIN(80,MAX(1,INT(((CROQUIS!$C$98)-CROQUIS!$C$107)/MAX(CROQUIS!$C$130,1))+1)))-1,0))*CROQUIS!$C$130),CHOOSE(IF(INT(($A167-1)/5)&gt;MAX((MIN(80,MAX(1,INT(((CROQUIS!$C$98)-CROQUIS!$C$107)/MAX(CROQUIS!$C$130,1))+1)))-1,0),0,MOD($A167-1,5))+1,0,IF(CROQUIS!$C$103=1,-12,2),CROQUIS!$C$107/2+CROQUIS!$C$140,IF(CROQUIS!$C$103=1,-12,2),0)))*CROQUIS!$C$155)+IF(CROQUIS!$C$92="X",0,0)),-1000)</f>
        <v>-1000</v>
      </c>
      <c r="BN167">
        <f>IF(AND(CROQUIS!$C$88=1,CROQUIS!$C$91=0,CROQUIS!$C$130&gt;0,OR(CROQUIS!$C$104=1,CROQUIS!$C$142=1)),((CROQUIS!$C$156+(IF(CROQUIS!$C$92="X",CHOOSE(IF(INT(($A167-1)/5)&gt;MAX((MIN(80,MAX(1,INT(((CROQUIS!$C$98)-CROQUIS!$C$107)/MAX(CROQUIS!$C$130,1))+1)))-1,0),0,MOD($A167-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167-1)/5),MAX((MIN(80,MAX(1,INT(((CROQUIS!$C$98)-CROQUIS!$C$107)/MAX(CROQUIS!$C$130,1))+1)))-1,0))*CROQUIS!$C$130)))*CROQUIS!$C$155)+IF(CROQUIS!$C$92="X",0,0)),-1000)</f>
        <v>-1000</v>
      </c>
      <c r="BO16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167-1)/5),MAX((MIN(80,MAX(1,INT(((CROQUIS!$C$98)-CROQUIS!$C$107)/MAX(CROQUIS!$C$130,1))+1)))-1,0))*CROQUIS!$C$130),CHOOSE(IF(INT(($A167-1)/5)&gt;MAX((MIN(80,MAX(1,INT(((CROQUIS!$C$98)-CROQUIS!$C$107)/MAX(CROQUIS!$C$130,1))+1)))-1,0),0,MOD($A167-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6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167-1)/5),MAX((MIN(80,MAX(1,INT(((CROQUIS!$C$97)-CROQUIS!$C$107)/MAX(CROQUIS!$C$138,1))+1)))-1,0))*CROQUIS!$C$138),CHOOSE(IF(INT(($A167-1)/5)&gt;MAX((MIN(80,MAX(1,INT(((CROQUIS!$C$97)-CROQUIS!$C$107)/MAX(CROQUIS!$C$138,1))+1)))-1,0),0,MOD($A167-1,5))+1,0,IF(CROQUIS!$C$105=1,-12,2),CROQUIS!$C$107/2+CROQUIS!$C$141,IF(CROQUIS!$C$105=1,-12,2),0)))*CROQUIS!$C$155)+IF(CROQUIS!$C$92="X",0,0)),-1000)</f>
        <v>-1000</v>
      </c>
      <c r="BQ167">
        <f>IF(AND(CROQUIS!$C$88=1,CROQUIS!$C$91=0,CROQUIS!$C$138&gt;0,OR(CROQUIS!$C$105=1,CROQUIS!$C$143=1)),((CROQUIS!$C$157+(IF(CROQUIS!$C$92="X",CHOOSE(IF(INT(($A167-1)/5)&gt;MAX((MIN(80,MAX(1,INT(((CROQUIS!$C$97)-CROQUIS!$C$107)/MAX(CROQUIS!$C$138,1))+1)))-1,0),0,MOD($A167-1,5))+1,0,IF(CROQUIS!$C$105=1,-12,2),CROQUIS!$C$107/2+CROQUIS!$C$141,IF(CROQUIS!$C$105=1,-12,2),0),((CROQUIS!$C$107/2+(((CROQUIS!$C$97)-CROQUIS!$C$107)-(MIN(80,MAX(1,INT(((CROQUIS!$C$97)-CROQUIS!$C$107)/MAX(CROQUIS!$C$138,1))+1))-1)*CROQUIS!$C$138)/2)+MIN(INT(($A167-1)/5),MAX((MIN(80,MAX(1,INT(((CROQUIS!$C$97)-CROQUIS!$C$107)/MAX(CROQUIS!$C$138,1))+1)))-1,0))*CROQUIS!$C$138)))*CROQUIS!$C$155)+IF(CROQUIS!$C$92="X",0,0)),-1000)</f>
        <v>-1000</v>
      </c>
      <c r="BR16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167-1)/5),MAX((MIN(80,MAX(1,INT(((CROQUIS!$C$97)-CROQUIS!$C$107)/MAX(CROQUIS!$C$138,1))+1)))-1,0))*CROQUIS!$C$138),CHOOSE(IF(INT(($A167-1)/5)&gt;MAX((MIN(80,MAX(1,INT(((CROQUIS!$C$97)-CROQUIS!$C$107)/MAX(CROQUIS!$C$138,1))+1)))-1,0),0,MOD($A167-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67">
        <f>IF(AND(CROQUIS!$C$88=1,CROQUIS!$C$91=0,CROQUIS!$C$138&gt;0,OR(CROQUIS!$C$106=1,CROQUIS!$C$143=1)),((CROQUIS!$C$157+(IF(CROQUIS!$C$92="X",CHOOSE(IF(INT(($A167-1)/5)&gt;MAX((MIN(80,MAX(1,INT(((CROQUIS!$C$97)-CROQUIS!$C$107)/MAX(CROQUIS!$C$138,1))+1)))-1,0),0,MOD($A167-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167-1)/5),MAX((MIN(80,MAX(1,INT(((CROQUIS!$C$97)-CROQUIS!$C$107)/MAX(CROQUIS!$C$138,1))+1)))-1,0))*CROQUIS!$C$138)))*CROQUIS!$C$155)+IF(CROQUIS!$C$92="X",0,0)),-1000)</f>
        <v>-1000</v>
      </c>
      <c r="BT167">
        <f>IF(AND(CROQUIS!$C$88=1,CROQUIS!$C$91=1,CROQUIS!$C$130&gt;0),((CROQUIS!$C$156+(IF(CROQUIS!$C$92="X",CHOOSE(IF(INT(($A167-1)/5)&gt;MAX((MIN(80,MAX(1,INT(((CROQUIS!$C$98)-CROQUIS!$C$107)/MAX(CROQUIS!$C$130,1))+1)))-1,0),0,MOD($A167-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167-1)/5),MAX((MIN(80,MAX(1,INT(((CROQUIS!$C$98)-CROQUIS!$C$107)/MAX(CROQUIS!$C$130,1))+1)))-1,0))*CROQUIS!$C$130)))*CROQUIS!$C$155)+IF(CROQUIS!$C$92="X",0,0)),-1000)</f>
        <v>-1000</v>
      </c>
      <c r="BU167">
        <f>IF(AND(CROQUIS!$C$88=1,CROQUIS!$C$91=1,CROQUIS!$C$130&gt;0),((CROQUIS!$C$157+(IF(CROQUIS!$C$92="X",((CROQUIS!$C$107/2+(((CROQUIS!$C$98)-CROQUIS!$C$107)-(MIN(80,MAX(1,INT(((CROQUIS!$C$98)-CROQUIS!$C$107)/MAX(CROQUIS!$C$130,1))+1))-1)*CROQUIS!$C$130)/2)+MIN(INT(($A167-1)/5),MAX((MIN(80,MAX(1,INT(((CROQUIS!$C$98)-CROQUIS!$C$107)/MAX(CROQUIS!$C$130,1))+1)))-1,0))*CROQUIS!$C$130),CHOOSE(IF(INT(($A167-1)/5)&gt;MAX((MIN(80,MAX(1,INT(((CROQUIS!$C$98)-CROQUIS!$C$107)/MAX(CROQUIS!$C$130,1))+1)))-1,0),0,MOD($A167-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68">
      <c r="A168" t="n">
        <v>161</v>
      </c>
      <c r="BH168">
        <f>IF(AND(CROQUIS!$C$88=1,CROQUIS!$C$126&gt;0),((CROQUIS!$C$156+(IF(CROQUIS!$C$92="X",CHOOSE(IF(INT(($A168-1)/5)&gt;MAX((MIN(80,MAX(1,INT(((CROQUIS!$C$98)-CROQUIS!$C$107)/MAX(CROQUIS!$C$126,1))+1)))-1,0),0,MOD($A168-1,5))+1,0,2,CROQUIS!$C$97-2,2,0),((CROQUIS!$C$107/2+(((CROQUIS!$C$98)-CROQUIS!$C$107)-(MIN(80,MAX(1,INT(((CROQUIS!$C$98)-CROQUIS!$C$107)/MAX(CROQUIS!$C$126,1))+1))-1)*CROQUIS!$C$126)/2)+MIN(INT(($A168-1)/5),MAX((MIN(80,MAX(1,INT(((CROQUIS!$C$98)-CROQUIS!$C$107)/MAX(CROQUIS!$C$126,1))+1)))-1,0))*CROQUIS!$C$126)))*CROQUIS!$C$155)+IF(CROQUIS!$C$92="X",0,0)),-1000)</f>
        <v>-1000</v>
      </c>
      <c r="BI168">
        <f>IF(AND(CROQUIS!$C$88=1,CROQUIS!$C$126&gt;0),((CROQUIS!$C$157+(IF(CROQUIS!$C$92="X",((CROQUIS!$C$107/2+(((CROQUIS!$C$98)-CROQUIS!$C$107)-(MIN(80,MAX(1,INT(((CROQUIS!$C$98)-CROQUIS!$C$107)/MAX(CROQUIS!$C$126,1))+1))-1)*CROQUIS!$C$126)/2)+MIN(INT(($A168-1)/5),MAX((MIN(80,MAX(1,INT(((CROQUIS!$C$98)-CROQUIS!$C$107)/MAX(CROQUIS!$C$126,1))+1)))-1,0))*CROQUIS!$C$126),CHOOSE(IF(INT(($A168-1)/5)&gt;MAX((MIN(80,MAX(1,INT(((CROQUIS!$C$98)-CROQUIS!$C$107)/MAX(CROQUIS!$C$126,1))+1)))-1,0),0,MOD($A168-1,5))+1,0,2,CROQUIS!$C$97-2,2,0)))*CROQUIS!$C$155)+IF(CROQUIS!$C$92="X",0,0)),-1000)</f>
        <v>-1000</v>
      </c>
      <c r="BJ168">
        <f>IF(AND(CROQUIS!$C$88=1,CROQUIS!$C$134&gt;0),((CROQUIS!$C$156+(IF(CROQUIS!$C$92="X",((CROQUIS!$C$107/2+(((CROQUIS!$C$97)-CROQUIS!$C$107)-(MIN(80,MAX(1,INT(((CROQUIS!$C$97)-CROQUIS!$C$107)/MAX(CROQUIS!$C$134,1))+1))-1)*CROQUIS!$C$134)/2)+MIN(INT(($A168-1)/5),MAX((MIN(80,MAX(1,INT(((CROQUIS!$C$97)-CROQUIS!$C$107)/MAX(CROQUIS!$C$134,1))+1)))-1,0))*CROQUIS!$C$134),CHOOSE(IF(INT(($A168-1)/5)&gt;MAX((MIN(80,MAX(1,INT(((CROQUIS!$C$97)-CROQUIS!$C$107)/MAX(CROQUIS!$C$134,1))+1)))-1,0),0,MOD($A168-1,5))+1,0,2,CROQUIS!$C$98-2,2,0)))*CROQUIS!$C$155)+IF(CROQUIS!$C$92="X",0,0)),-1000)</f>
        <v>-1000</v>
      </c>
      <c r="BK168">
        <f>IF(AND(CROQUIS!$C$88=1,CROQUIS!$C$134&gt;0),((CROQUIS!$C$157+(IF(CROQUIS!$C$92="X",CHOOSE(IF(INT(($A168-1)/5)&gt;MAX((MIN(80,MAX(1,INT(((CROQUIS!$C$97)-CROQUIS!$C$107)/MAX(CROQUIS!$C$134,1))+1)))-1,0),0,MOD($A168-1,5))+1,0,2,CROQUIS!$C$98-2,2,0),((CROQUIS!$C$107/2+(((CROQUIS!$C$97)-CROQUIS!$C$107)-(MIN(80,MAX(1,INT(((CROQUIS!$C$97)-CROQUIS!$C$107)/MAX(CROQUIS!$C$134,1))+1))-1)*CROQUIS!$C$134)/2)+MIN(INT(($A168-1)/5),MAX((MIN(80,MAX(1,INT(((CROQUIS!$C$97)-CROQUIS!$C$107)/MAX(CROQUIS!$C$134,1))+1)))-1,0))*CROQUIS!$C$134)))*CROQUIS!$C$155)+IF(CROQUIS!$C$92="X",0,0)),-1000)</f>
        <v>-1000</v>
      </c>
      <c r="BL168">
        <f>IF(AND(CROQUIS!$C$88=1,CROQUIS!$C$91=0,CROQUIS!$C$130&gt;0,OR(CROQUIS!$C$103=1,CROQUIS!$C$142=1)),((CROQUIS!$C$156+(IF(CROQUIS!$C$92="X",CHOOSE(IF(INT(($A168-1)/5)&gt;MAX((MIN(80,MAX(1,INT(((CROQUIS!$C$98)-CROQUIS!$C$107)/MAX(CROQUIS!$C$130,1))+1)))-1,0),0,MOD($A168-1,5))+1,0,IF(CROQUIS!$C$103=1,-12,2),CROQUIS!$C$107/2+CROQUIS!$C$140,IF(CROQUIS!$C$103=1,-12,2),0),((CROQUIS!$C$107/2+(((CROQUIS!$C$98)-CROQUIS!$C$107)-(MIN(80,MAX(1,INT(((CROQUIS!$C$98)-CROQUIS!$C$107)/MAX(CROQUIS!$C$130,1))+1))-1)*CROQUIS!$C$130)/2)+MIN(INT(($A168-1)/5),MAX((MIN(80,MAX(1,INT(((CROQUIS!$C$98)-CROQUIS!$C$107)/MAX(CROQUIS!$C$130,1))+1)))-1,0))*CROQUIS!$C$130)))*CROQUIS!$C$155)+IF(CROQUIS!$C$92="X",0,0)),-1000)</f>
        <v>-1000</v>
      </c>
      <c r="BM16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168-1)/5),MAX((MIN(80,MAX(1,INT(((CROQUIS!$C$98)-CROQUIS!$C$107)/MAX(CROQUIS!$C$130,1))+1)))-1,0))*CROQUIS!$C$130),CHOOSE(IF(INT(($A168-1)/5)&gt;MAX((MIN(80,MAX(1,INT(((CROQUIS!$C$98)-CROQUIS!$C$107)/MAX(CROQUIS!$C$130,1))+1)))-1,0),0,MOD($A168-1,5))+1,0,IF(CROQUIS!$C$103=1,-12,2),CROQUIS!$C$107/2+CROQUIS!$C$140,IF(CROQUIS!$C$103=1,-12,2),0)))*CROQUIS!$C$155)+IF(CROQUIS!$C$92="X",0,0)),-1000)</f>
        <v>-1000</v>
      </c>
      <c r="BN168">
        <f>IF(AND(CROQUIS!$C$88=1,CROQUIS!$C$91=0,CROQUIS!$C$130&gt;0,OR(CROQUIS!$C$104=1,CROQUIS!$C$142=1)),((CROQUIS!$C$156+(IF(CROQUIS!$C$92="X",CHOOSE(IF(INT(($A168-1)/5)&gt;MAX((MIN(80,MAX(1,INT(((CROQUIS!$C$98)-CROQUIS!$C$107)/MAX(CROQUIS!$C$130,1))+1)))-1,0),0,MOD($A168-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168-1)/5),MAX((MIN(80,MAX(1,INT(((CROQUIS!$C$98)-CROQUIS!$C$107)/MAX(CROQUIS!$C$130,1))+1)))-1,0))*CROQUIS!$C$130)))*CROQUIS!$C$155)+IF(CROQUIS!$C$92="X",0,0)),-1000)</f>
        <v>-1000</v>
      </c>
      <c r="BO16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168-1)/5),MAX((MIN(80,MAX(1,INT(((CROQUIS!$C$98)-CROQUIS!$C$107)/MAX(CROQUIS!$C$130,1))+1)))-1,0))*CROQUIS!$C$130),CHOOSE(IF(INT(($A168-1)/5)&gt;MAX((MIN(80,MAX(1,INT(((CROQUIS!$C$98)-CROQUIS!$C$107)/MAX(CROQUIS!$C$130,1))+1)))-1,0),0,MOD($A168-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6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168-1)/5),MAX((MIN(80,MAX(1,INT(((CROQUIS!$C$97)-CROQUIS!$C$107)/MAX(CROQUIS!$C$138,1))+1)))-1,0))*CROQUIS!$C$138),CHOOSE(IF(INT(($A168-1)/5)&gt;MAX((MIN(80,MAX(1,INT(((CROQUIS!$C$97)-CROQUIS!$C$107)/MAX(CROQUIS!$C$138,1))+1)))-1,0),0,MOD($A168-1,5))+1,0,IF(CROQUIS!$C$105=1,-12,2),CROQUIS!$C$107/2+CROQUIS!$C$141,IF(CROQUIS!$C$105=1,-12,2),0)))*CROQUIS!$C$155)+IF(CROQUIS!$C$92="X",0,0)),-1000)</f>
        <v>-1000</v>
      </c>
      <c r="BQ168">
        <f>IF(AND(CROQUIS!$C$88=1,CROQUIS!$C$91=0,CROQUIS!$C$138&gt;0,OR(CROQUIS!$C$105=1,CROQUIS!$C$143=1)),((CROQUIS!$C$157+(IF(CROQUIS!$C$92="X",CHOOSE(IF(INT(($A168-1)/5)&gt;MAX((MIN(80,MAX(1,INT(((CROQUIS!$C$97)-CROQUIS!$C$107)/MAX(CROQUIS!$C$138,1))+1)))-1,0),0,MOD($A168-1,5))+1,0,IF(CROQUIS!$C$105=1,-12,2),CROQUIS!$C$107/2+CROQUIS!$C$141,IF(CROQUIS!$C$105=1,-12,2),0),((CROQUIS!$C$107/2+(((CROQUIS!$C$97)-CROQUIS!$C$107)-(MIN(80,MAX(1,INT(((CROQUIS!$C$97)-CROQUIS!$C$107)/MAX(CROQUIS!$C$138,1))+1))-1)*CROQUIS!$C$138)/2)+MIN(INT(($A168-1)/5),MAX((MIN(80,MAX(1,INT(((CROQUIS!$C$97)-CROQUIS!$C$107)/MAX(CROQUIS!$C$138,1))+1)))-1,0))*CROQUIS!$C$138)))*CROQUIS!$C$155)+IF(CROQUIS!$C$92="X",0,0)),-1000)</f>
        <v>-1000</v>
      </c>
      <c r="BR16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168-1)/5),MAX((MIN(80,MAX(1,INT(((CROQUIS!$C$97)-CROQUIS!$C$107)/MAX(CROQUIS!$C$138,1))+1)))-1,0))*CROQUIS!$C$138),CHOOSE(IF(INT(($A168-1)/5)&gt;MAX((MIN(80,MAX(1,INT(((CROQUIS!$C$97)-CROQUIS!$C$107)/MAX(CROQUIS!$C$138,1))+1)))-1,0),0,MOD($A168-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68">
        <f>IF(AND(CROQUIS!$C$88=1,CROQUIS!$C$91=0,CROQUIS!$C$138&gt;0,OR(CROQUIS!$C$106=1,CROQUIS!$C$143=1)),((CROQUIS!$C$157+(IF(CROQUIS!$C$92="X",CHOOSE(IF(INT(($A168-1)/5)&gt;MAX((MIN(80,MAX(1,INT(((CROQUIS!$C$97)-CROQUIS!$C$107)/MAX(CROQUIS!$C$138,1))+1)))-1,0),0,MOD($A168-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168-1)/5),MAX((MIN(80,MAX(1,INT(((CROQUIS!$C$97)-CROQUIS!$C$107)/MAX(CROQUIS!$C$138,1))+1)))-1,0))*CROQUIS!$C$138)))*CROQUIS!$C$155)+IF(CROQUIS!$C$92="X",0,0)),-1000)</f>
        <v>-1000</v>
      </c>
      <c r="BT168">
        <f>IF(AND(CROQUIS!$C$88=1,CROQUIS!$C$91=1,CROQUIS!$C$130&gt;0),((CROQUIS!$C$156+(IF(CROQUIS!$C$92="X",CHOOSE(IF(INT(($A168-1)/5)&gt;MAX((MIN(80,MAX(1,INT(((CROQUIS!$C$98)-CROQUIS!$C$107)/MAX(CROQUIS!$C$130,1))+1)))-1,0),0,MOD($A168-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168-1)/5),MAX((MIN(80,MAX(1,INT(((CROQUIS!$C$98)-CROQUIS!$C$107)/MAX(CROQUIS!$C$130,1))+1)))-1,0))*CROQUIS!$C$130)))*CROQUIS!$C$155)+IF(CROQUIS!$C$92="X",0,0)),-1000)</f>
        <v>-1000</v>
      </c>
      <c r="BU168">
        <f>IF(AND(CROQUIS!$C$88=1,CROQUIS!$C$91=1,CROQUIS!$C$130&gt;0),((CROQUIS!$C$157+(IF(CROQUIS!$C$92="X",((CROQUIS!$C$107/2+(((CROQUIS!$C$98)-CROQUIS!$C$107)-(MIN(80,MAX(1,INT(((CROQUIS!$C$98)-CROQUIS!$C$107)/MAX(CROQUIS!$C$130,1))+1))-1)*CROQUIS!$C$130)/2)+MIN(INT(($A168-1)/5),MAX((MIN(80,MAX(1,INT(((CROQUIS!$C$98)-CROQUIS!$C$107)/MAX(CROQUIS!$C$130,1))+1)))-1,0))*CROQUIS!$C$130),CHOOSE(IF(INT(($A168-1)/5)&gt;MAX((MIN(80,MAX(1,INT(((CROQUIS!$C$98)-CROQUIS!$C$107)/MAX(CROQUIS!$C$130,1))+1)))-1,0),0,MOD($A168-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69">
      <c r="A169" t="n">
        <v>162</v>
      </c>
      <c r="BH169">
        <f>IF(AND(CROQUIS!$C$88=1,CROQUIS!$C$126&gt;0),((CROQUIS!$C$156+(IF(CROQUIS!$C$92="X",CHOOSE(IF(INT(($A169-1)/5)&gt;MAX((MIN(80,MAX(1,INT(((CROQUIS!$C$98)-CROQUIS!$C$107)/MAX(CROQUIS!$C$126,1))+1)))-1,0),0,MOD($A169-1,5))+1,0,2,CROQUIS!$C$97-2,2,0),((CROQUIS!$C$107/2+(((CROQUIS!$C$98)-CROQUIS!$C$107)-(MIN(80,MAX(1,INT(((CROQUIS!$C$98)-CROQUIS!$C$107)/MAX(CROQUIS!$C$126,1))+1))-1)*CROQUIS!$C$126)/2)+MIN(INT(($A169-1)/5),MAX((MIN(80,MAX(1,INT(((CROQUIS!$C$98)-CROQUIS!$C$107)/MAX(CROQUIS!$C$126,1))+1)))-1,0))*CROQUIS!$C$126)))*CROQUIS!$C$155)+IF(CROQUIS!$C$92="X",0,0)),-1000)</f>
        <v>-1000</v>
      </c>
      <c r="BI169">
        <f>IF(AND(CROQUIS!$C$88=1,CROQUIS!$C$126&gt;0),((CROQUIS!$C$157+(IF(CROQUIS!$C$92="X",((CROQUIS!$C$107/2+(((CROQUIS!$C$98)-CROQUIS!$C$107)-(MIN(80,MAX(1,INT(((CROQUIS!$C$98)-CROQUIS!$C$107)/MAX(CROQUIS!$C$126,1))+1))-1)*CROQUIS!$C$126)/2)+MIN(INT(($A169-1)/5),MAX((MIN(80,MAX(1,INT(((CROQUIS!$C$98)-CROQUIS!$C$107)/MAX(CROQUIS!$C$126,1))+1)))-1,0))*CROQUIS!$C$126),CHOOSE(IF(INT(($A169-1)/5)&gt;MAX((MIN(80,MAX(1,INT(((CROQUIS!$C$98)-CROQUIS!$C$107)/MAX(CROQUIS!$C$126,1))+1)))-1,0),0,MOD($A169-1,5))+1,0,2,CROQUIS!$C$97-2,2,0)))*CROQUIS!$C$155)+IF(CROQUIS!$C$92="X",0,0)),-1000)</f>
        <v>-1000</v>
      </c>
      <c r="BJ169">
        <f>IF(AND(CROQUIS!$C$88=1,CROQUIS!$C$134&gt;0),((CROQUIS!$C$156+(IF(CROQUIS!$C$92="X",((CROQUIS!$C$107/2+(((CROQUIS!$C$97)-CROQUIS!$C$107)-(MIN(80,MAX(1,INT(((CROQUIS!$C$97)-CROQUIS!$C$107)/MAX(CROQUIS!$C$134,1))+1))-1)*CROQUIS!$C$134)/2)+MIN(INT(($A169-1)/5),MAX((MIN(80,MAX(1,INT(((CROQUIS!$C$97)-CROQUIS!$C$107)/MAX(CROQUIS!$C$134,1))+1)))-1,0))*CROQUIS!$C$134),CHOOSE(IF(INT(($A169-1)/5)&gt;MAX((MIN(80,MAX(1,INT(((CROQUIS!$C$97)-CROQUIS!$C$107)/MAX(CROQUIS!$C$134,1))+1)))-1,0),0,MOD($A169-1,5))+1,0,2,CROQUIS!$C$98-2,2,0)))*CROQUIS!$C$155)+IF(CROQUIS!$C$92="X",0,0)),-1000)</f>
        <v>-1000</v>
      </c>
      <c r="BK169">
        <f>IF(AND(CROQUIS!$C$88=1,CROQUIS!$C$134&gt;0),((CROQUIS!$C$157+(IF(CROQUIS!$C$92="X",CHOOSE(IF(INT(($A169-1)/5)&gt;MAX((MIN(80,MAX(1,INT(((CROQUIS!$C$97)-CROQUIS!$C$107)/MAX(CROQUIS!$C$134,1))+1)))-1,0),0,MOD($A169-1,5))+1,0,2,CROQUIS!$C$98-2,2,0),((CROQUIS!$C$107/2+(((CROQUIS!$C$97)-CROQUIS!$C$107)-(MIN(80,MAX(1,INT(((CROQUIS!$C$97)-CROQUIS!$C$107)/MAX(CROQUIS!$C$134,1))+1))-1)*CROQUIS!$C$134)/2)+MIN(INT(($A169-1)/5),MAX((MIN(80,MAX(1,INT(((CROQUIS!$C$97)-CROQUIS!$C$107)/MAX(CROQUIS!$C$134,1))+1)))-1,0))*CROQUIS!$C$134)))*CROQUIS!$C$155)+IF(CROQUIS!$C$92="X",0,0)),-1000)</f>
        <v>-1000</v>
      </c>
      <c r="BL169">
        <f>IF(AND(CROQUIS!$C$88=1,CROQUIS!$C$91=0,CROQUIS!$C$130&gt;0,OR(CROQUIS!$C$103=1,CROQUIS!$C$142=1)),((CROQUIS!$C$156+(IF(CROQUIS!$C$92="X",CHOOSE(IF(INT(($A169-1)/5)&gt;MAX((MIN(80,MAX(1,INT(((CROQUIS!$C$98)-CROQUIS!$C$107)/MAX(CROQUIS!$C$130,1))+1)))-1,0),0,MOD($A169-1,5))+1,0,IF(CROQUIS!$C$103=1,-12,2),CROQUIS!$C$107/2+CROQUIS!$C$140,IF(CROQUIS!$C$103=1,-12,2),0),((CROQUIS!$C$107/2+(((CROQUIS!$C$98)-CROQUIS!$C$107)-(MIN(80,MAX(1,INT(((CROQUIS!$C$98)-CROQUIS!$C$107)/MAX(CROQUIS!$C$130,1))+1))-1)*CROQUIS!$C$130)/2)+MIN(INT(($A169-1)/5),MAX((MIN(80,MAX(1,INT(((CROQUIS!$C$98)-CROQUIS!$C$107)/MAX(CROQUIS!$C$130,1))+1)))-1,0))*CROQUIS!$C$130)))*CROQUIS!$C$155)+IF(CROQUIS!$C$92="X",0,0)),-1000)</f>
        <v>-1000</v>
      </c>
      <c r="BM16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169-1)/5),MAX((MIN(80,MAX(1,INT(((CROQUIS!$C$98)-CROQUIS!$C$107)/MAX(CROQUIS!$C$130,1))+1)))-1,0))*CROQUIS!$C$130),CHOOSE(IF(INT(($A169-1)/5)&gt;MAX((MIN(80,MAX(1,INT(((CROQUIS!$C$98)-CROQUIS!$C$107)/MAX(CROQUIS!$C$130,1))+1)))-1,0),0,MOD($A169-1,5))+1,0,IF(CROQUIS!$C$103=1,-12,2),CROQUIS!$C$107/2+CROQUIS!$C$140,IF(CROQUIS!$C$103=1,-12,2),0)))*CROQUIS!$C$155)+IF(CROQUIS!$C$92="X",0,0)),-1000)</f>
        <v>-1000</v>
      </c>
      <c r="BN169">
        <f>IF(AND(CROQUIS!$C$88=1,CROQUIS!$C$91=0,CROQUIS!$C$130&gt;0,OR(CROQUIS!$C$104=1,CROQUIS!$C$142=1)),((CROQUIS!$C$156+(IF(CROQUIS!$C$92="X",CHOOSE(IF(INT(($A169-1)/5)&gt;MAX((MIN(80,MAX(1,INT(((CROQUIS!$C$98)-CROQUIS!$C$107)/MAX(CROQUIS!$C$130,1))+1)))-1,0),0,MOD($A169-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169-1)/5),MAX((MIN(80,MAX(1,INT(((CROQUIS!$C$98)-CROQUIS!$C$107)/MAX(CROQUIS!$C$130,1))+1)))-1,0))*CROQUIS!$C$130)))*CROQUIS!$C$155)+IF(CROQUIS!$C$92="X",0,0)),-1000)</f>
        <v>-1000</v>
      </c>
      <c r="BO16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169-1)/5),MAX((MIN(80,MAX(1,INT(((CROQUIS!$C$98)-CROQUIS!$C$107)/MAX(CROQUIS!$C$130,1))+1)))-1,0))*CROQUIS!$C$130),CHOOSE(IF(INT(($A169-1)/5)&gt;MAX((MIN(80,MAX(1,INT(((CROQUIS!$C$98)-CROQUIS!$C$107)/MAX(CROQUIS!$C$130,1))+1)))-1,0),0,MOD($A169-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6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169-1)/5),MAX((MIN(80,MAX(1,INT(((CROQUIS!$C$97)-CROQUIS!$C$107)/MAX(CROQUIS!$C$138,1))+1)))-1,0))*CROQUIS!$C$138),CHOOSE(IF(INT(($A169-1)/5)&gt;MAX((MIN(80,MAX(1,INT(((CROQUIS!$C$97)-CROQUIS!$C$107)/MAX(CROQUIS!$C$138,1))+1)))-1,0),0,MOD($A169-1,5))+1,0,IF(CROQUIS!$C$105=1,-12,2),CROQUIS!$C$107/2+CROQUIS!$C$141,IF(CROQUIS!$C$105=1,-12,2),0)))*CROQUIS!$C$155)+IF(CROQUIS!$C$92="X",0,0)),-1000)</f>
        <v>-1000</v>
      </c>
      <c r="BQ169">
        <f>IF(AND(CROQUIS!$C$88=1,CROQUIS!$C$91=0,CROQUIS!$C$138&gt;0,OR(CROQUIS!$C$105=1,CROQUIS!$C$143=1)),((CROQUIS!$C$157+(IF(CROQUIS!$C$92="X",CHOOSE(IF(INT(($A169-1)/5)&gt;MAX((MIN(80,MAX(1,INT(((CROQUIS!$C$97)-CROQUIS!$C$107)/MAX(CROQUIS!$C$138,1))+1)))-1,0),0,MOD($A169-1,5))+1,0,IF(CROQUIS!$C$105=1,-12,2),CROQUIS!$C$107/2+CROQUIS!$C$141,IF(CROQUIS!$C$105=1,-12,2),0),((CROQUIS!$C$107/2+(((CROQUIS!$C$97)-CROQUIS!$C$107)-(MIN(80,MAX(1,INT(((CROQUIS!$C$97)-CROQUIS!$C$107)/MAX(CROQUIS!$C$138,1))+1))-1)*CROQUIS!$C$138)/2)+MIN(INT(($A169-1)/5),MAX((MIN(80,MAX(1,INT(((CROQUIS!$C$97)-CROQUIS!$C$107)/MAX(CROQUIS!$C$138,1))+1)))-1,0))*CROQUIS!$C$138)))*CROQUIS!$C$155)+IF(CROQUIS!$C$92="X",0,0)),-1000)</f>
        <v>-1000</v>
      </c>
      <c r="BR16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169-1)/5),MAX((MIN(80,MAX(1,INT(((CROQUIS!$C$97)-CROQUIS!$C$107)/MAX(CROQUIS!$C$138,1))+1)))-1,0))*CROQUIS!$C$138),CHOOSE(IF(INT(($A169-1)/5)&gt;MAX((MIN(80,MAX(1,INT(((CROQUIS!$C$97)-CROQUIS!$C$107)/MAX(CROQUIS!$C$138,1))+1)))-1,0),0,MOD($A169-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69">
        <f>IF(AND(CROQUIS!$C$88=1,CROQUIS!$C$91=0,CROQUIS!$C$138&gt;0,OR(CROQUIS!$C$106=1,CROQUIS!$C$143=1)),((CROQUIS!$C$157+(IF(CROQUIS!$C$92="X",CHOOSE(IF(INT(($A169-1)/5)&gt;MAX((MIN(80,MAX(1,INT(((CROQUIS!$C$97)-CROQUIS!$C$107)/MAX(CROQUIS!$C$138,1))+1)))-1,0),0,MOD($A169-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169-1)/5),MAX((MIN(80,MAX(1,INT(((CROQUIS!$C$97)-CROQUIS!$C$107)/MAX(CROQUIS!$C$138,1))+1)))-1,0))*CROQUIS!$C$138)))*CROQUIS!$C$155)+IF(CROQUIS!$C$92="X",0,0)),-1000)</f>
        <v>-1000</v>
      </c>
      <c r="BT169">
        <f>IF(AND(CROQUIS!$C$88=1,CROQUIS!$C$91=1,CROQUIS!$C$130&gt;0),((CROQUIS!$C$156+(IF(CROQUIS!$C$92="X",CHOOSE(IF(INT(($A169-1)/5)&gt;MAX((MIN(80,MAX(1,INT(((CROQUIS!$C$98)-CROQUIS!$C$107)/MAX(CROQUIS!$C$130,1))+1)))-1,0),0,MOD($A169-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169-1)/5),MAX((MIN(80,MAX(1,INT(((CROQUIS!$C$98)-CROQUIS!$C$107)/MAX(CROQUIS!$C$130,1))+1)))-1,0))*CROQUIS!$C$130)))*CROQUIS!$C$155)+IF(CROQUIS!$C$92="X",0,0)),-1000)</f>
        <v>-1000</v>
      </c>
      <c r="BU169">
        <f>IF(AND(CROQUIS!$C$88=1,CROQUIS!$C$91=1,CROQUIS!$C$130&gt;0),((CROQUIS!$C$157+(IF(CROQUIS!$C$92="X",((CROQUIS!$C$107/2+(((CROQUIS!$C$98)-CROQUIS!$C$107)-(MIN(80,MAX(1,INT(((CROQUIS!$C$98)-CROQUIS!$C$107)/MAX(CROQUIS!$C$130,1))+1))-1)*CROQUIS!$C$130)/2)+MIN(INT(($A169-1)/5),MAX((MIN(80,MAX(1,INT(((CROQUIS!$C$98)-CROQUIS!$C$107)/MAX(CROQUIS!$C$130,1))+1)))-1,0))*CROQUIS!$C$130),CHOOSE(IF(INT(($A169-1)/5)&gt;MAX((MIN(80,MAX(1,INT(((CROQUIS!$C$98)-CROQUIS!$C$107)/MAX(CROQUIS!$C$130,1))+1)))-1,0),0,MOD($A169-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70">
      <c r="A170" t="n">
        <v>163</v>
      </c>
      <c r="BH170">
        <f>IF(AND(CROQUIS!$C$88=1,CROQUIS!$C$126&gt;0),((CROQUIS!$C$156+(IF(CROQUIS!$C$92="X",CHOOSE(IF(INT(($A170-1)/5)&gt;MAX((MIN(80,MAX(1,INT(((CROQUIS!$C$98)-CROQUIS!$C$107)/MAX(CROQUIS!$C$126,1))+1)))-1,0),0,MOD($A170-1,5))+1,0,2,CROQUIS!$C$97-2,2,0),((CROQUIS!$C$107/2+(((CROQUIS!$C$98)-CROQUIS!$C$107)-(MIN(80,MAX(1,INT(((CROQUIS!$C$98)-CROQUIS!$C$107)/MAX(CROQUIS!$C$126,1))+1))-1)*CROQUIS!$C$126)/2)+MIN(INT(($A170-1)/5),MAX((MIN(80,MAX(1,INT(((CROQUIS!$C$98)-CROQUIS!$C$107)/MAX(CROQUIS!$C$126,1))+1)))-1,0))*CROQUIS!$C$126)))*CROQUIS!$C$155)+IF(CROQUIS!$C$92="X",0,0)),-1000)</f>
        <v>-1000</v>
      </c>
      <c r="BI170">
        <f>IF(AND(CROQUIS!$C$88=1,CROQUIS!$C$126&gt;0),((CROQUIS!$C$157+(IF(CROQUIS!$C$92="X",((CROQUIS!$C$107/2+(((CROQUIS!$C$98)-CROQUIS!$C$107)-(MIN(80,MAX(1,INT(((CROQUIS!$C$98)-CROQUIS!$C$107)/MAX(CROQUIS!$C$126,1))+1))-1)*CROQUIS!$C$126)/2)+MIN(INT(($A170-1)/5),MAX((MIN(80,MAX(1,INT(((CROQUIS!$C$98)-CROQUIS!$C$107)/MAX(CROQUIS!$C$126,1))+1)))-1,0))*CROQUIS!$C$126),CHOOSE(IF(INT(($A170-1)/5)&gt;MAX((MIN(80,MAX(1,INT(((CROQUIS!$C$98)-CROQUIS!$C$107)/MAX(CROQUIS!$C$126,1))+1)))-1,0),0,MOD($A170-1,5))+1,0,2,CROQUIS!$C$97-2,2,0)))*CROQUIS!$C$155)+IF(CROQUIS!$C$92="X",0,0)),-1000)</f>
        <v>-1000</v>
      </c>
      <c r="BJ170">
        <f>IF(AND(CROQUIS!$C$88=1,CROQUIS!$C$134&gt;0),((CROQUIS!$C$156+(IF(CROQUIS!$C$92="X",((CROQUIS!$C$107/2+(((CROQUIS!$C$97)-CROQUIS!$C$107)-(MIN(80,MAX(1,INT(((CROQUIS!$C$97)-CROQUIS!$C$107)/MAX(CROQUIS!$C$134,1))+1))-1)*CROQUIS!$C$134)/2)+MIN(INT(($A170-1)/5),MAX((MIN(80,MAX(1,INT(((CROQUIS!$C$97)-CROQUIS!$C$107)/MAX(CROQUIS!$C$134,1))+1)))-1,0))*CROQUIS!$C$134),CHOOSE(IF(INT(($A170-1)/5)&gt;MAX((MIN(80,MAX(1,INT(((CROQUIS!$C$97)-CROQUIS!$C$107)/MAX(CROQUIS!$C$134,1))+1)))-1,0),0,MOD($A170-1,5))+1,0,2,CROQUIS!$C$98-2,2,0)))*CROQUIS!$C$155)+IF(CROQUIS!$C$92="X",0,0)),-1000)</f>
        <v>-1000</v>
      </c>
      <c r="BK170">
        <f>IF(AND(CROQUIS!$C$88=1,CROQUIS!$C$134&gt;0),((CROQUIS!$C$157+(IF(CROQUIS!$C$92="X",CHOOSE(IF(INT(($A170-1)/5)&gt;MAX((MIN(80,MAX(1,INT(((CROQUIS!$C$97)-CROQUIS!$C$107)/MAX(CROQUIS!$C$134,1))+1)))-1,0),0,MOD($A170-1,5))+1,0,2,CROQUIS!$C$98-2,2,0),((CROQUIS!$C$107/2+(((CROQUIS!$C$97)-CROQUIS!$C$107)-(MIN(80,MAX(1,INT(((CROQUIS!$C$97)-CROQUIS!$C$107)/MAX(CROQUIS!$C$134,1))+1))-1)*CROQUIS!$C$134)/2)+MIN(INT(($A170-1)/5),MAX((MIN(80,MAX(1,INT(((CROQUIS!$C$97)-CROQUIS!$C$107)/MAX(CROQUIS!$C$134,1))+1)))-1,0))*CROQUIS!$C$134)))*CROQUIS!$C$155)+IF(CROQUIS!$C$92="X",0,0)),-1000)</f>
        <v>-1000</v>
      </c>
      <c r="BL170">
        <f>IF(AND(CROQUIS!$C$88=1,CROQUIS!$C$91=0,CROQUIS!$C$130&gt;0,OR(CROQUIS!$C$103=1,CROQUIS!$C$142=1)),((CROQUIS!$C$156+(IF(CROQUIS!$C$92="X",CHOOSE(IF(INT(($A170-1)/5)&gt;MAX((MIN(80,MAX(1,INT(((CROQUIS!$C$98)-CROQUIS!$C$107)/MAX(CROQUIS!$C$130,1))+1)))-1,0),0,MOD($A170-1,5))+1,0,IF(CROQUIS!$C$103=1,-12,2),CROQUIS!$C$107/2+CROQUIS!$C$140,IF(CROQUIS!$C$103=1,-12,2),0),((CROQUIS!$C$107/2+(((CROQUIS!$C$98)-CROQUIS!$C$107)-(MIN(80,MAX(1,INT(((CROQUIS!$C$98)-CROQUIS!$C$107)/MAX(CROQUIS!$C$130,1))+1))-1)*CROQUIS!$C$130)/2)+MIN(INT(($A170-1)/5),MAX((MIN(80,MAX(1,INT(((CROQUIS!$C$98)-CROQUIS!$C$107)/MAX(CROQUIS!$C$130,1))+1)))-1,0))*CROQUIS!$C$130)))*CROQUIS!$C$155)+IF(CROQUIS!$C$92="X",0,0)),-1000)</f>
        <v>-1000</v>
      </c>
      <c r="BM17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170-1)/5),MAX((MIN(80,MAX(1,INT(((CROQUIS!$C$98)-CROQUIS!$C$107)/MAX(CROQUIS!$C$130,1))+1)))-1,0))*CROQUIS!$C$130),CHOOSE(IF(INT(($A170-1)/5)&gt;MAX((MIN(80,MAX(1,INT(((CROQUIS!$C$98)-CROQUIS!$C$107)/MAX(CROQUIS!$C$130,1))+1)))-1,0),0,MOD($A170-1,5))+1,0,IF(CROQUIS!$C$103=1,-12,2),CROQUIS!$C$107/2+CROQUIS!$C$140,IF(CROQUIS!$C$103=1,-12,2),0)))*CROQUIS!$C$155)+IF(CROQUIS!$C$92="X",0,0)),-1000)</f>
        <v>-1000</v>
      </c>
      <c r="BN170">
        <f>IF(AND(CROQUIS!$C$88=1,CROQUIS!$C$91=0,CROQUIS!$C$130&gt;0,OR(CROQUIS!$C$104=1,CROQUIS!$C$142=1)),((CROQUIS!$C$156+(IF(CROQUIS!$C$92="X",CHOOSE(IF(INT(($A170-1)/5)&gt;MAX((MIN(80,MAX(1,INT(((CROQUIS!$C$98)-CROQUIS!$C$107)/MAX(CROQUIS!$C$130,1))+1)))-1,0),0,MOD($A170-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170-1)/5),MAX((MIN(80,MAX(1,INT(((CROQUIS!$C$98)-CROQUIS!$C$107)/MAX(CROQUIS!$C$130,1))+1)))-1,0))*CROQUIS!$C$130)))*CROQUIS!$C$155)+IF(CROQUIS!$C$92="X",0,0)),-1000)</f>
        <v>-1000</v>
      </c>
      <c r="BO17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170-1)/5),MAX((MIN(80,MAX(1,INT(((CROQUIS!$C$98)-CROQUIS!$C$107)/MAX(CROQUIS!$C$130,1))+1)))-1,0))*CROQUIS!$C$130),CHOOSE(IF(INT(($A170-1)/5)&gt;MAX((MIN(80,MAX(1,INT(((CROQUIS!$C$98)-CROQUIS!$C$107)/MAX(CROQUIS!$C$130,1))+1)))-1,0),0,MOD($A170-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7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170-1)/5),MAX((MIN(80,MAX(1,INT(((CROQUIS!$C$97)-CROQUIS!$C$107)/MAX(CROQUIS!$C$138,1))+1)))-1,0))*CROQUIS!$C$138),CHOOSE(IF(INT(($A170-1)/5)&gt;MAX((MIN(80,MAX(1,INT(((CROQUIS!$C$97)-CROQUIS!$C$107)/MAX(CROQUIS!$C$138,1))+1)))-1,0),0,MOD($A170-1,5))+1,0,IF(CROQUIS!$C$105=1,-12,2),CROQUIS!$C$107/2+CROQUIS!$C$141,IF(CROQUIS!$C$105=1,-12,2),0)))*CROQUIS!$C$155)+IF(CROQUIS!$C$92="X",0,0)),-1000)</f>
        <v>-1000</v>
      </c>
      <c r="BQ170">
        <f>IF(AND(CROQUIS!$C$88=1,CROQUIS!$C$91=0,CROQUIS!$C$138&gt;0,OR(CROQUIS!$C$105=1,CROQUIS!$C$143=1)),((CROQUIS!$C$157+(IF(CROQUIS!$C$92="X",CHOOSE(IF(INT(($A170-1)/5)&gt;MAX((MIN(80,MAX(1,INT(((CROQUIS!$C$97)-CROQUIS!$C$107)/MAX(CROQUIS!$C$138,1))+1)))-1,0),0,MOD($A170-1,5))+1,0,IF(CROQUIS!$C$105=1,-12,2),CROQUIS!$C$107/2+CROQUIS!$C$141,IF(CROQUIS!$C$105=1,-12,2),0),((CROQUIS!$C$107/2+(((CROQUIS!$C$97)-CROQUIS!$C$107)-(MIN(80,MAX(1,INT(((CROQUIS!$C$97)-CROQUIS!$C$107)/MAX(CROQUIS!$C$138,1))+1))-1)*CROQUIS!$C$138)/2)+MIN(INT(($A170-1)/5),MAX((MIN(80,MAX(1,INT(((CROQUIS!$C$97)-CROQUIS!$C$107)/MAX(CROQUIS!$C$138,1))+1)))-1,0))*CROQUIS!$C$138)))*CROQUIS!$C$155)+IF(CROQUIS!$C$92="X",0,0)),-1000)</f>
        <v>-1000</v>
      </c>
      <c r="BR17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170-1)/5),MAX((MIN(80,MAX(1,INT(((CROQUIS!$C$97)-CROQUIS!$C$107)/MAX(CROQUIS!$C$138,1))+1)))-1,0))*CROQUIS!$C$138),CHOOSE(IF(INT(($A170-1)/5)&gt;MAX((MIN(80,MAX(1,INT(((CROQUIS!$C$97)-CROQUIS!$C$107)/MAX(CROQUIS!$C$138,1))+1)))-1,0),0,MOD($A170-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70">
        <f>IF(AND(CROQUIS!$C$88=1,CROQUIS!$C$91=0,CROQUIS!$C$138&gt;0,OR(CROQUIS!$C$106=1,CROQUIS!$C$143=1)),((CROQUIS!$C$157+(IF(CROQUIS!$C$92="X",CHOOSE(IF(INT(($A170-1)/5)&gt;MAX((MIN(80,MAX(1,INT(((CROQUIS!$C$97)-CROQUIS!$C$107)/MAX(CROQUIS!$C$138,1))+1)))-1,0),0,MOD($A170-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170-1)/5),MAX((MIN(80,MAX(1,INT(((CROQUIS!$C$97)-CROQUIS!$C$107)/MAX(CROQUIS!$C$138,1))+1)))-1,0))*CROQUIS!$C$138)))*CROQUIS!$C$155)+IF(CROQUIS!$C$92="X",0,0)),-1000)</f>
        <v>-1000</v>
      </c>
      <c r="BT170">
        <f>IF(AND(CROQUIS!$C$88=1,CROQUIS!$C$91=1,CROQUIS!$C$130&gt;0),((CROQUIS!$C$156+(IF(CROQUIS!$C$92="X",CHOOSE(IF(INT(($A170-1)/5)&gt;MAX((MIN(80,MAX(1,INT(((CROQUIS!$C$98)-CROQUIS!$C$107)/MAX(CROQUIS!$C$130,1))+1)))-1,0),0,MOD($A170-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170-1)/5),MAX((MIN(80,MAX(1,INT(((CROQUIS!$C$98)-CROQUIS!$C$107)/MAX(CROQUIS!$C$130,1))+1)))-1,0))*CROQUIS!$C$130)))*CROQUIS!$C$155)+IF(CROQUIS!$C$92="X",0,0)),-1000)</f>
        <v>-1000</v>
      </c>
      <c r="BU170">
        <f>IF(AND(CROQUIS!$C$88=1,CROQUIS!$C$91=1,CROQUIS!$C$130&gt;0),((CROQUIS!$C$157+(IF(CROQUIS!$C$92="X",((CROQUIS!$C$107/2+(((CROQUIS!$C$98)-CROQUIS!$C$107)-(MIN(80,MAX(1,INT(((CROQUIS!$C$98)-CROQUIS!$C$107)/MAX(CROQUIS!$C$130,1))+1))-1)*CROQUIS!$C$130)/2)+MIN(INT(($A170-1)/5),MAX((MIN(80,MAX(1,INT(((CROQUIS!$C$98)-CROQUIS!$C$107)/MAX(CROQUIS!$C$130,1))+1)))-1,0))*CROQUIS!$C$130),CHOOSE(IF(INT(($A170-1)/5)&gt;MAX((MIN(80,MAX(1,INT(((CROQUIS!$C$98)-CROQUIS!$C$107)/MAX(CROQUIS!$C$130,1))+1)))-1,0),0,MOD($A170-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71">
      <c r="A171" t="n">
        <v>164</v>
      </c>
      <c r="BH171">
        <f>IF(AND(CROQUIS!$C$88=1,CROQUIS!$C$126&gt;0),((CROQUIS!$C$156+(IF(CROQUIS!$C$92="X",CHOOSE(IF(INT(($A171-1)/5)&gt;MAX((MIN(80,MAX(1,INT(((CROQUIS!$C$98)-CROQUIS!$C$107)/MAX(CROQUIS!$C$126,1))+1)))-1,0),0,MOD($A171-1,5))+1,0,2,CROQUIS!$C$97-2,2,0),((CROQUIS!$C$107/2+(((CROQUIS!$C$98)-CROQUIS!$C$107)-(MIN(80,MAX(1,INT(((CROQUIS!$C$98)-CROQUIS!$C$107)/MAX(CROQUIS!$C$126,1))+1))-1)*CROQUIS!$C$126)/2)+MIN(INT(($A171-1)/5),MAX((MIN(80,MAX(1,INT(((CROQUIS!$C$98)-CROQUIS!$C$107)/MAX(CROQUIS!$C$126,1))+1)))-1,0))*CROQUIS!$C$126)))*CROQUIS!$C$155)+IF(CROQUIS!$C$92="X",0,0)),-1000)</f>
        <v>-1000</v>
      </c>
      <c r="BI171">
        <f>IF(AND(CROQUIS!$C$88=1,CROQUIS!$C$126&gt;0),((CROQUIS!$C$157+(IF(CROQUIS!$C$92="X",((CROQUIS!$C$107/2+(((CROQUIS!$C$98)-CROQUIS!$C$107)-(MIN(80,MAX(1,INT(((CROQUIS!$C$98)-CROQUIS!$C$107)/MAX(CROQUIS!$C$126,1))+1))-1)*CROQUIS!$C$126)/2)+MIN(INT(($A171-1)/5),MAX((MIN(80,MAX(1,INT(((CROQUIS!$C$98)-CROQUIS!$C$107)/MAX(CROQUIS!$C$126,1))+1)))-1,0))*CROQUIS!$C$126),CHOOSE(IF(INT(($A171-1)/5)&gt;MAX((MIN(80,MAX(1,INT(((CROQUIS!$C$98)-CROQUIS!$C$107)/MAX(CROQUIS!$C$126,1))+1)))-1,0),0,MOD($A171-1,5))+1,0,2,CROQUIS!$C$97-2,2,0)))*CROQUIS!$C$155)+IF(CROQUIS!$C$92="X",0,0)),-1000)</f>
        <v>-1000</v>
      </c>
      <c r="BJ171">
        <f>IF(AND(CROQUIS!$C$88=1,CROQUIS!$C$134&gt;0),((CROQUIS!$C$156+(IF(CROQUIS!$C$92="X",((CROQUIS!$C$107/2+(((CROQUIS!$C$97)-CROQUIS!$C$107)-(MIN(80,MAX(1,INT(((CROQUIS!$C$97)-CROQUIS!$C$107)/MAX(CROQUIS!$C$134,1))+1))-1)*CROQUIS!$C$134)/2)+MIN(INT(($A171-1)/5),MAX((MIN(80,MAX(1,INT(((CROQUIS!$C$97)-CROQUIS!$C$107)/MAX(CROQUIS!$C$134,1))+1)))-1,0))*CROQUIS!$C$134),CHOOSE(IF(INT(($A171-1)/5)&gt;MAX((MIN(80,MAX(1,INT(((CROQUIS!$C$97)-CROQUIS!$C$107)/MAX(CROQUIS!$C$134,1))+1)))-1,0),0,MOD($A171-1,5))+1,0,2,CROQUIS!$C$98-2,2,0)))*CROQUIS!$C$155)+IF(CROQUIS!$C$92="X",0,0)),-1000)</f>
        <v>-1000</v>
      </c>
      <c r="BK171">
        <f>IF(AND(CROQUIS!$C$88=1,CROQUIS!$C$134&gt;0),((CROQUIS!$C$157+(IF(CROQUIS!$C$92="X",CHOOSE(IF(INT(($A171-1)/5)&gt;MAX((MIN(80,MAX(1,INT(((CROQUIS!$C$97)-CROQUIS!$C$107)/MAX(CROQUIS!$C$134,1))+1)))-1,0),0,MOD($A171-1,5))+1,0,2,CROQUIS!$C$98-2,2,0),((CROQUIS!$C$107/2+(((CROQUIS!$C$97)-CROQUIS!$C$107)-(MIN(80,MAX(1,INT(((CROQUIS!$C$97)-CROQUIS!$C$107)/MAX(CROQUIS!$C$134,1))+1))-1)*CROQUIS!$C$134)/2)+MIN(INT(($A171-1)/5),MAX((MIN(80,MAX(1,INT(((CROQUIS!$C$97)-CROQUIS!$C$107)/MAX(CROQUIS!$C$134,1))+1)))-1,0))*CROQUIS!$C$134)))*CROQUIS!$C$155)+IF(CROQUIS!$C$92="X",0,0)),-1000)</f>
        <v>-1000</v>
      </c>
      <c r="BL171">
        <f>IF(AND(CROQUIS!$C$88=1,CROQUIS!$C$91=0,CROQUIS!$C$130&gt;0,OR(CROQUIS!$C$103=1,CROQUIS!$C$142=1)),((CROQUIS!$C$156+(IF(CROQUIS!$C$92="X",CHOOSE(IF(INT(($A171-1)/5)&gt;MAX((MIN(80,MAX(1,INT(((CROQUIS!$C$98)-CROQUIS!$C$107)/MAX(CROQUIS!$C$130,1))+1)))-1,0),0,MOD($A171-1,5))+1,0,IF(CROQUIS!$C$103=1,-12,2),CROQUIS!$C$107/2+CROQUIS!$C$140,IF(CROQUIS!$C$103=1,-12,2),0),((CROQUIS!$C$107/2+(((CROQUIS!$C$98)-CROQUIS!$C$107)-(MIN(80,MAX(1,INT(((CROQUIS!$C$98)-CROQUIS!$C$107)/MAX(CROQUIS!$C$130,1))+1))-1)*CROQUIS!$C$130)/2)+MIN(INT(($A171-1)/5),MAX((MIN(80,MAX(1,INT(((CROQUIS!$C$98)-CROQUIS!$C$107)/MAX(CROQUIS!$C$130,1))+1)))-1,0))*CROQUIS!$C$130)))*CROQUIS!$C$155)+IF(CROQUIS!$C$92="X",0,0)),-1000)</f>
        <v>-1000</v>
      </c>
      <c r="BM17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171-1)/5),MAX((MIN(80,MAX(1,INT(((CROQUIS!$C$98)-CROQUIS!$C$107)/MAX(CROQUIS!$C$130,1))+1)))-1,0))*CROQUIS!$C$130),CHOOSE(IF(INT(($A171-1)/5)&gt;MAX((MIN(80,MAX(1,INT(((CROQUIS!$C$98)-CROQUIS!$C$107)/MAX(CROQUIS!$C$130,1))+1)))-1,0),0,MOD($A171-1,5))+1,0,IF(CROQUIS!$C$103=1,-12,2),CROQUIS!$C$107/2+CROQUIS!$C$140,IF(CROQUIS!$C$103=1,-12,2),0)))*CROQUIS!$C$155)+IF(CROQUIS!$C$92="X",0,0)),-1000)</f>
        <v>-1000</v>
      </c>
      <c r="BN171">
        <f>IF(AND(CROQUIS!$C$88=1,CROQUIS!$C$91=0,CROQUIS!$C$130&gt;0,OR(CROQUIS!$C$104=1,CROQUIS!$C$142=1)),((CROQUIS!$C$156+(IF(CROQUIS!$C$92="X",CHOOSE(IF(INT(($A171-1)/5)&gt;MAX((MIN(80,MAX(1,INT(((CROQUIS!$C$98)-CROQUIS!$C$107)/MAX(CROQUIS!$C$130,1))+1)))-1,0),0,MOD($A171-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171-1)/5),MAX((MIN(80,MAX(1,INT(((CROQUIS!$C$98)-CROQUIS!$C$107)/MAX(CROQUIS!$C$130,1))+1)))-1,0))*CROQUIS!$C$130)))*CROQUIS!$C$155)+IF(CROQUIS!$C$92="X",0,0)),-1000)</f>
        <v>-1000</v>
      </c>
      <c r="BO17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171-1)/5),MAX((MIN(80,MAX(1,INT(((CROQUIS!$C$98)-CROQUIS!$C$107)/MAX(CROQUIS!$C$130,1))+1)))-1,0))*CROQUIS!$C$130),CHOOSE(IF(INT(($A171-1)/5)&gt;MAX((MIN(80,MAX(1,INT(((CROQUIS!$C$98)-CROQUIS!$C$107)/MAX(CROQUIS!$C$130,1))+1)))-1,0),0,MOD($A171-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7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171-1)/5),MAX((MIN(80,MAX(1,INT(((CROQUIS!$C$97)-CROQUIS!$C$107)/MAX(CROQUIS!$C$138,1))+1)))-1,0))*CROQUIS!$C$138),CHOOSE(IF(INT(($A171-1)/5)&gt;MAX((MIN(80,MAX(1,INT(((CROQUIS!$C$97)-CROQUIS!$C$107)/MAX(CROQUIS!$C$138,1))+1)))-1,0),0,MOD($A171-1,5))+1,0,IF(CROQUIS!$C$105=1,-12,2),CROQUIS!$C$107/2+CROQUIS!$C$141,IF(CROQUIS!$C$105=1,-12,2),0)))*CROQUIS!$C$155)+IF(CROQUIS!$C$92="X",0,0)),-1000)</f>
        <v>-1000</v>
      </c>
      <c r="BQ171">
        <f>IF(AND(CROQUIS!$C$88=1,CROQUIS!$C$91=0,CROQUIS!$C$138&gt;0,OR(CROQUIS!$C$105=1,CROQUIS!$C$143=1)),((CROQUIS!$C$157+(IF(CROQUIS!$C$92="X",CHOOSE(IF(INT(($A171-1)/5)&gt;MAX((MIN(80,MAX(1,INT(((CROQUIS!$C$97)-CROQUIS!$C$107)/MAX(CROQUIS!$C$138,1))+1)))-1,0),0,MOD($A171-1,5))+1,0,IF(CROQUIS!$C$105=1,-12,2),CROQUIS!$C$107/2+CROQUIS!$C$141,IF(CROQUIS!$C$105=1,-12,2),0),((CROQUIS!$C$107/2+(((CROQUIS!$C$97)-CROQUIS!$C$107)-(MIN(80,MAX(1,INT(((CROQUIS!$C$97)-CROQUIS!$C$107)/MAX(CROQUIS!$C$138,1))+1))-1)*CROQUIS!$C$138)/2)+MIN(INT(($A171-1)/5),MAX((MIN(80,MAX(1,INT(((CROQUIS!$C$97)-CROQUIS!$C$107)/MAX(CROQUIS!$C$138,1))+1)))-1,0))*CROQUIS!$C$138)))*CROQUIS!$C$155)+IF(CROQUIS!$C$92="X",0,0)),-1000)</f>
        <v>-1000</v>
      </c>
      <c r="BR17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171-1)/5),MAX((MIN(80,MAX(1,INT(((CROQUIS!$C$97)-CROQUIS!$C$107)/MAX(CROQUIS!$C$138,1))+1)))-1,0))*CROQUIS!$C$138),CHOOSE(IF(INT(($A171-1)/5)&gt;MAX((MIN(80,MAX(1,INT(((CROQUIS!$C$97)-CROQUIS!$C$107)/MAX(CROQUIS!$C$138,1))+1)))-1,0),0,MOD($A171-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71">
        <f>IF(AND(CROQUIS!$C$88=1,CROQUIS!$C$91=0,CROQUIS!$C$138&gt;0,OR(CROQUIS!$C$106=1,CROQUIS!$C$143=1)),((CROQUIS!$C$157+(IF(CROQUIS!$C$92="X",CHOOSE(IF(INT(($A171-1)/5)&gt;MAX((MIN(80,MAX(1,INT(((CROQUIS!$C$97)-CROQUIS!$C$107)/MAX(CROQUIS!$C$138,1))+1)))-1,0),0,MOD($A171-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171-1)/5),MAX((MIN(80,MAX(1,INT(((CROQUIS!$C$97)-CROQUIS!$C$107)/MAX(CROQUIS!$C$138,1))+1)))-1,0))*CROQUIS!$C$138)))*CROQUIS!$C$155)+IF(CROQUIS!$C$92="X",0,0)),-1000)</f>
        <v>-1000</v>
      </c>
      <c r="BT171">
        <f>IF(AND(CROQUIS!$C$88=1,CROQUIS!$C$91=1,CROQUIS!$C$130&gt;0),((CROQUIS!$C$156+(IF(CROQUIS!$C$92="X",CHOOSE(IF(INT(($A171-1)/5)&gt;MAX((MIN(80,MAX(1,INT(((CROQUIS!$C$98)-CROQUIS!$C$107)/MAX(CROQUIS!$C$130,1))+1)))-1,0),0,MOD($A171-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171-1)/5),MAX((MIN(80,MAX(1,INT(((CROQUIS!$C$98)-CROQUIS!$C$107)/MAX(CROQUIS!$C$130,1))+1)))-1,0))*CROQUIS!$C$130)))*CROQUIS!$C$155)+IF(CROQUIS!$C$92="X",0,0)),-1000)</f>
        <v>-1000</v>
      </c>
      <c r="BU171">
        <f>IF(AND(CROQUIS!$C$88=1,CROQUIS!$C$91=1,CROQUIS!$C$130&gt;0),((CROQUIS!$C$157+(IF(CROQUIS!$C$92="X",((CROQUIS!$C$107/2+(((CROQUIS!$C$98)-CROQUIS!$C$107)-(MIN(80,MAX(1,INT(((CROQUIS!$C$98)-CROQUIS!$C$107)/MAX(CROQUIS!$C$130,1))+1))-1)*CROQUIS!$C$130)/2)+MIN(INT(($A171-1)/5),MAX((MIN(80,MAX(1,INT(((CROQUIS!$C$98)-CROQUIS!$C$107)/MAX(CROQUIS!$C$130,1))+1)))-1,0))*CROQUIS!$C$130),CHOOSE(IF(INT(($A171-1)/5)&gt;MAX((MIN(80,MAX(1,INT(((CROQUIS!$C$98)-CROQUIS!$C$107)/MAX(CROQUIS!$C$130,1))+1)))-1,0),0,MOD($A171-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72">
      <c r="A172" t="n">
        <v>165</v>
      </c>
      <c r="BH172">
        <f>IF(AND(CROQUIS!$C$88=1,CROQUIS!$C$126&gt;0),((CROQUIS!$C$156+(IF(CROQUIS!$C$92="X",CHOOSE(IF(INT(($A172-1)/5)&gt;MAX((MIN(80,MAX(1,INT(((CROQUIS!$C$98)-CROQUIS!$C$107)/MAX(CROQUIS!$C$126,1))+1)))-1,0),0,MOD($A172-1,5))+1,0,2,CROQUIS!$C$97-2,2,0),((CROQUIS!$C$107/2+(((CROQUIS!$C$98)-CROQUIS!$C$107)-(MIN(80,MAX(1,INT(((CROQUIS!$C$98)-CROQUIS!$C$107)/MAX(CROQUIS!$C$126,1))+1))-1)*CROQUIS!$C$126)/2)+MIN(INT(($A172-1)/5),MAX((MIN(80,MAX(1,INT(((CROQUIS!$C$98)-CROQUIS!$C$107)/MAX(CROQUIS!$C$126,1))+1)))-1,0))*CROQUIS!$C$126)))*CROQUIS!$C$155)+IF(CROQUIS!$C$92="X",0,0)),-1000)</f>
        <v>-1000</v>
      </c>
      <c r="BI172">
        <f>IF(AND(CROQUIS!$C$88=1,CROQUIS!$C$126&gt;0),((CROQUIS!$C$157+(IF(CROQUIS!$C$92="X",((CROQUIS!$C$107/2+(((CROQUIS!$C$98)-CROQUIS!$C$107)-(MIN(80,MAX(1,INT(((CROQUIS!$C$98)-CROQUIS!$C$107)/MAX(CROQUIS!$C$126,1))+1))-1)*CROQUIS!$C$126)/2)+MIN(INT(($A172-1)/5),MAX((MIN(80,MAX(1,INT(((CROQUIS!$C$98)-CROQUIS!$C$107)/MAX(CROQUIS!$C$126,1))+1)))-1,0))*CROQUIS!$C$126),CHOOSE(IF(INT(($A172-1)/5)&gt;MAX((MIN(80,MAX(1,INT(((CROQUIS!$C$98)-CROQUIS!$C$107)/MAX(CROQUIS!$C$126,1))+1)))-1,0),0,MOD($A172-1,5))+1,0,2,CROQUIS!$C$97-2,2,0)))*CROQUIS!$C$155)+IF(CROQUIS!$C$92="X",0,0)),-1000)</f>
        <v>-1000</v>
      </c>
      <c r="BJ172">
        <f>IF(AND(CROQUIS!$C$88=1,CROQUIS!$C$134&gt;0),((CROQUIS!$C$156+(IF(CROQUIS!$C$92="X",((CROQUIS!$C$107/2+(((CROQUIS!$C$97)-CROQUIS!$C$107)-(MIN(80,MAX(1,INT(((CROQUIS!$C$97)-CROQUIS!$C$107)/MAX(CROQUIS!$C$134,1))+1))-1)*CROQUIS!$C$134)/2)+MIN(INT(($A172-1)/5),MAX((MIN(80,MAX(1,INT(((CROQUIS!$C$97)-CROQUIS!$C$107)/MAX(CROQUIS!$C$134,1))+1)))-1,0))*CROQUIS!$C$134),CHOOSE(IF(INT(($A172-1)/5)&gt;MAX((MIN(80,MAX(1,INT(((CROQUIS!$C$97)-CROQUIS!$C$107)/MAX(CROQUIS!$C$134,1))+1)))-1,0),0,MOD($A172-1,5))+1,0,2,CROQUIS!$C$98-2,2,0)))*CROQUIS!$C$155)+IF(CROQUIS!$C$92="X",0,0)),-1000)</f>
        <v>-1000</v>
      </c>
      <c r="BK172">
        <f>IF(AND(CROQUIS!$C$88=1,CROQUIS!$C$134&gt;0),((CROQUIS!$C$157+(IF(CROQUIS!$C$92="X",CHOOSE(IF(INT(($A172-1)/5)&gt;MAX((MIN(80,MAX(1,INT(((CROQUIS!$C$97)-CROQUIS!$C$107)/MAX(CROQUIS!$C$134,1))+1)))-1,0),0,MOD($A172-1,5))+1,0,2,CROQUIS!$C$98-2,2,0),((CROQUIS!$C$107/2+(((CROQUIS!$C$97)-CROQUIS!$C$107)-(MIN(80,MAX(1,INT(((CROQUIS!$C$97)-CROQUIS!$C$107)/MAX(CROQUIS!$C$134,1))+1))-1)*CROQUIS!$C$134)/2)+MIN(INT(($A172-1)/5),MAX((MIN(80,MAX(1,INT(((CROQUIS!$C$97)-CROQUIS!$C$107)/MAX(CROQUIS!$C$134,1))+1)))-1,0))*CROQUIS!$C$134)))*CROQUIS!$C$155)+IF(CROQUIS!$C$92="X",0,0)),-1000)</f>
        <v>-1000</v>
      </c>
      <c r="BL172">
        <f>IF(AND(CROQUIS!$C$88=1,CROQUIS!$C$91=0,CROQUIS!$C$130&gt;0,OR(CROQUIS!$C$103=1,CROQUIS!$C$142=1)),((CROQUIS!$C$156+(IF(CROQUIS!$C$92="X",CHOOSE(IF(INT(($A172-1)/5)&gt;MAX((MIN(80,MAX(1,INT(((CROQUIS!$C$98)-CROQUIS!$C$107)/MAX(CROQUIS!$C$130,1))+1)))-1,0),0,MOD($A172-1,5))+1,0,IF(CROQUIS!$C$103=1,-12,2),CROQUIS!$C$107/2+CROQUIS!$C$140,IF(CROQUIS!$C$103=1,-12,2),0),((CROQUIS!$C$107/2+(((CROQUIS!$C$98)-CROQUIS!$C$107)-(MIN(80,MAX(1,INT(((CROQUIS!$C$98)-CROQUIS!$C$107)/MAX(CROQUIS!$C$130,1))+1))-1)*CROQUIS!$C$130)/2)+MIN(INT(($A172-1)/5),MAX((MIN(80,MAX(1,INT(((CROQUIS!$C$98)-CROQUIS!$C$107)/MAX(CROQUIS!$C$130,1))+1)))-1,0))*CROQUIS!$C$130)))*CROQUIS!$C$155)+IF(CROQUIS!$C$92="X",0,0)),-1000)</f>
        <v>-1000</v>
      </c>
      <c r="BM17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172-1)/5),MAX((MIN(80,MAX(1,INT(((CROQUIS!$C$98)-CROQUIS!$C$107)/MAX(CROQUIS!$C$130,1))+1)))-1,0))*CROQUIS!$C$130),CHOOSE(IF(INT(($A172-1)/5)&gt;MAX((MIN(80,MAX(1,INT(((CROQUIS!$C$98)-CROQUIS!$C$107)/MAX(CROQUIS!$C$130,1))+1)))-1,0),0,MOD($A172-1,5))+1,0,IF(CROQUIS!$C$103=1,-12,2),CROQUIS!$C$107/2+CROQUIS!$C$140,IF(CROQUIS!$C$103=1,-12,2),0)))*CROQUIS!$C$155)+IF(CROQUIS!$C$92="X",0,0)),-1000)</f>
        <v>-1000</v>
      </c>
      <c r="BN172">
        <f>IF(AND(CROQUIS!$C$88=1,CROQUIS!$C$91=0,CROQUIS!$C$130&gt;0,OR(CROQUIS!$C$104=1,CROQUIS!$C$142=1)),((CROQUIS!$C$156+(IF(CROQUIS!$C$92="X",CHOOSE(IF(INT(($A172-1)/5)&gt;MAX((MIN(80,MAX(1,INT(((CROQUIS!$C$98)-CROQUIS!$C$107)/MAX(CROQUIS!$C$130,1))+1)))-1,0),0,MOD($A172-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172-1)/5),MAX((MIN(80,MAX(1,INT(((CROQUIS!$C$98)-CROQUIS!$C$107)/MAX(CROQUIS!$C$130,1))+1)))-1,0))*CROQUIS!$C$130)))*CROQUIS!$C$155)+IF(CROQUIS!$C$92="X",0,0)),-1000)</f>
        <v>-1000</v>
      </c>
      <c r="BO17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172-1)/5),MAX((MIN(80,MAX(1,INT(((CROQUIS!$C$98)-CROQUIS!$C$107)/MAX(CROQUIS!$C$130,1))+1)))-1,0))*CROQUIS!$C$130),CHOOSE(IF(INT(($A172-1)/5)&gt;MAX((MIN(80,MAX(1,INT(((CROQUIS!$C$98)-CROQUIS!$C$107)/MAX(CROQUIS!$C$130,1))+1)))-1,0),0,MOD($A172-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7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172-1)/5),MAX((MIN(80,MAX(1,INT(((CROQUIS!$C$97)-CROQUIS!$C$107)/MAX(CROQUIS!$C$138,1))+1)))-1,0))*CROQUIS!$C$138),CHOOSE(IF(INT(($A172-1)/5)&gt;MAX((MIN(80,MAX(1,INT(((CROQUIS!$C$97)-CROQUIS!$C$107)/MAX(CROQUIS!$C$138,1))+1)))-1,0),0,MOD($A172-1,5))+1,0,IF(CROQUIS!$C$105=1,-12,2),CROQUIS!$C$107/2+CROQUIS!$C$141,IF(CROQUIS!$C$105=1,-12,2),0)))*CROQUIS!$C$155)+IF(CROQUIS!$C$92="X",0,0)),-1000)</f>
        <v>-1000</v>
      </c>
      <c r="BQ172">
        <f>IF(AND(CROQUIS!$C$88=1,CROQUIS!$C$91=0,CROQUIS!$C$138&gt;0,OR(CROQUIS!$C$105=1,CROQUIS!$C$143=1)),((CROQUIS!$C$157+(IF(CROQUIS!$C$92="X",CHOOSE(IF(INT(($A172-1)/5)&gt;MAX((MIN(80,MAX(1,INT(((CROQUIS!$C$97)-CROQUIS!$C$107)/MAX(CROQUIS!$C$138,1))+1)))-1,0),0,MOD($A172-1,5))+1,0,IF(CROQUIS!$C$105=1,-12,2),CROQUIS!$C$107/2+CROQUIS!$C$141,IF(CROQUIS!$C$105=1,-12,2),0),((CROQUIS!$C$107/2+(((CROQUIS!$C$97)-CROQUIS!$C$107)-(MIN(80,MAX(1,INT(((CROQUIS!$C$97)-CROQUIS!$C$107)/MAX(CROQUIS!$C$138,1))+1))-1)*CROQUIS!$C$138)/2)+MIN(INT(($A172-1)/5),MAX((MIN(80,MAX(1,INT(((CROQUIS!$C$97)-CROQUIS!$C$107)/MAX(CROQUIS!$C$138,1))+1)))-1,0))*CROQUIS!$C$138)))*CROQUIS!$C$155)+IF(CROQUIS!$C$92="X",0,0)),-1000)</f>
        <v>-1000</v>
      </c>
      <c r="BR17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172-1)/5),MAX((MIN(80,MAX(1,INT(((CROQUIS!$C$97)-CROQUIS!$C$107)/MAX(CROQUIS!$C$138,1))+1)))-1,0))*CROQUIS!$C$138),CHOOSE(IF(INT(($A172-1)/5)&gt;MAX((MIN(80,MAX(1,INT(((CROQUIS!$C$97)-CROQUIS!$C$107)/MAX(CROQUIS!$C$138,1))+1)))-1,0),0,MOD($A172-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72">
        <f>IF(AND(CROQUIS!$C$88=1,CROQUIS!$C$91=0,CROQUIS!$C$138&gt;0,OR(CROQUIS!$C$106=1,CROQUIS!$C$143=1)),((CROQUIS!$C$157+(IF(CROQUIS!$C$92="X",CHOOSE(IF(INT(($A172-1)/5)&gt;MAX((MIN(80,MAX(1,INT(((CROQUIS!$C$97)-CROQUIS!$C$107)/MAX(CROQUIS!$C$138,1))+1)))-1,0),0,MOD($A172-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172-1)/5),MAX((MIN(80,MAX(1,INT(((CROQUIS!$C$97)-CROQUIS!$C$107)/MAX(CROQUIS!$C$138,1))+1)))-1,0))*CROQUIS!$C$138)))*CROQUIS!$C$155)+IF(CROQUIS!$C$92="X",0,0)),-1000)</f>
        <v>-1000</v>
      </c>
      <c r="BT172">
        <f>IF(AND(CROQUIS!$C$88=1,CROQUIS!$C$91=1,CROQUIS!$C$130&gt;0),((CROQUIS!$C$156+(IF(CROQUIS!$C$92="X",CHOOSE(IF(INT(($A172-1)/5)&gt;MAX((MIN(80,MAX(1,INT(((CROQUIS!$C$98)-CROQUIS!$C$107)/MAX(CROQUIS!$C$130,1))+1)))-1,0),0,MOD($A172-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172-1)/5),MAX((MIN(80,MAX(1,INT(((CROQUIS!$C$98)-CROQUIS!$C$107)/MAX(CROQUIS!$C$130,1))+1)))-1,0))*CROQUIS!$C$130)))*CROQUIS!$C$155)+IF(CROQUIS!$C$92="X",0,0)),-1000)</f>
        <v>-1000</v>
      </c>
      <c r="BU172">
        <f>IF(AND(CROQUIS!$C$88=1,CROQUIS!$C$91=1,CROQUIS!$C$130&gt;0),((CROQUIS!$C$157+(IF(CROQUIS!$C$92="X",((CROQUIS!$C$107/2+(((CROQUIS!$C$98)-CROQUIS!$C$107)-(MIN(80,MAX(1,INT(((CROQUIS!$C$98)-CROQUIS!$C$107)/MAX(CROQUIS!$C$130,1))+1))-1)*CROQUIS!$C$130)/2)+MIN(INT(($A172-1)/5),MAX((MIN(80,MAX(1,INT(((CROQUIS!$C$98)-CROQUIS!$C$107)/MAX(CROQUIS!$C$130,1))+1)))-1,0))*CROQUIS!$C$130),CHOOSE(IF(INT(($A172-1)/5)&gt;MAX((MIN(80,MAX(1,INT(((CROQUIS!$C$98)-CROQUIS!$C$107)/MAX(CROQUIS!$C$130,1))+1)))-1,0),0,MOD($A172-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73">
      <c r="A173" t="n">
        <v>166</v>
      </c>
      <c r="BH173">
        <f>IF(AND(CROQUIS!$C$88=1,CROQUIS!$C$126&gt;0),((CROQUIS!$C$156+(IF(CROQUIS!$C$92="X",CHOOSE(IF(INT(($A173-1)/5)&gt;MAX((MIN(80,MAX(1,INT(((CROQUIS!$C$98)-CROQUIS!$C$107)/MAX(CROQUIS!$C$126,1))+1)))-1,0),0,MOD($A173-1,5))+1,0,2,CROQUIS!$C$97-2,2,0),((CROQUIS!$C$107/2+(((CROQUIS!$C$98)-CROQUIS!$C$107)-(MIN(80,MAX(1,INT(((CROQUIS!$C$98)-CROQUIS!$C$107)/MAX(CROQUIS!$C$126,1))+1))-1)*CROQUIS!$C$126)/2)+MIN(INT(($A173-1)/5),MAX((MIN(80,MAX(1,INT(((CROQUIS!$C$98)-CROQUIS!$C$107)/MAX(CROQUIS!$C$126,1))+1)))-1,0))*CROQUIS!$C$126)))*CROQUIS!$C$155)+IF(CROQUIS!$C$92="X",0,0)),-1000)</f>
        <v>-1000</v>
      </c>
      <c r="BI173">
        <f>IF(AND(CROQUIS!$C$88=1,CROQUIS!$C$126&gt;0),((CROQUIS!$C$157+(IF(CROQUIS!$C$92="X",((CROQUIS!$C$107/2+(((CROQUIS!$C$98)-CROQUIS!$C$107)-(MIN(80,MAX(1,INT(((CROQUIS!$C$98)-CROQUIS!$C$107)/MAX(CROQUIS!$C$126,1))+1))-1)*CROQUIS!$C$126)/2)+MIN(INT(($A173-1)/5),MAX((MIN(80,MAX(1,INT(((CROQUIS!$C$98)-CROQUIS!$C$107)/MAX(CROQUIS!$C$126,1))+1)))-1,0))*CROQUIS!$C$126),CHOOSE(IF(INT(($A173-1)/5)&gt;MAX((MIN(80,MAX(1,INT(((CROQUIS!$C$98)-CROQUIS!$C$107)/MAX(CROQUIS!$C$126,1))+1)))-1,0),0,MOD($A173-1,5))+1,0,2,CROQUIS!$C$97-2,2,0)))*CROQUIS!$C$155)+IF(CROQUIS!$C$92="X",0,0)),-1000)</f>
        <v>-1000</v>
      </c>
      <c r="BJ173">
        <f>IF(AND(CROQUIS!$C$88=1,CROQUIS!$C$134&gt;0),((CROQUIS!$C$156+(IF(CROQUIS!$C$92="X",((CROQUIS!$C$107/2+(((CROQUIS!$C$97)-CROQUIS!$C$107)-(MIN(80,MAX(1,INT(((CROQUIS!$C$97)-CROQUIS!$C$107)/MAX(CROQUIS!$C$134,1))+1))-1)*CROQUIS!$C$134)/2)+MIN(INT(($A173-1)/5),MAX((MIN(80,MAX(1,INT(((CROQUIS!$C$97)-CROQUIS!$C$107)/MAX(CROQUIS!$C$134,1))+1)))-1,0))*CROQUIS!$C$134),CHOOSE(IF(INT(($A173-1)/5)&gt;MAX((MIN(80,MAX(1,INT(((CROQUIS!$C$97)-CROQUIS!$C$107)/MAX(CROQUIS!$C$134,1))+1)))-1,0),0,MOD($A173-1,5))+1,0,2,CROQUIS!$C$98-2,2,0)))*CROQUIS!$C$155)+IF(CROQUIS!$C$92="X",0,0)),-1000)</f>
        <v>-1000</v>
      </c>
      <c r="BK173">
        <f>IF(AND(CROQUIS!$C$88=1,CROQUIS!$C$134&gt;0),((CROQUIS!$C$157+(IF(CROQUIS!$C$92="X",CHOOSE(IF(INT(($A173-1)/5)&gt;MAX((MIN(80,MAX(1,INT(((CROQUIS!$C$97)-CROQUIS!$C$107)/MAX(CROQUIS!$C$134,1))+1)))-1,0),0,MOD($A173-1,5))+1,0,2,CROQUIS!$C$98-2,2,0),((CROQUIS!$C$107/2+(((CROQUIS!$C$97)-CROQUIS!$C$107)-(MIN(80,MAX(1,INT(((CROQUIS!$C$97)-CROQUIS!$C$107)/MAX(CROQUIS!$C$134,1))+1))-1)*CROQUIS!$C$134)/2)+MIN(INT(($A173-1)/5),MAX((MIN(80,MAX(1,INT(((CROQUIS!$C$97)-CROQUIS!$C$107)/MAX(CROQUIS!$C$134,1))+1)))-1,0))*CROQUIS!$C$134)))*CROQUIS!$C$155)+IF(CROQUIS!$C$92="X",0,0)),-1000)</f>
        <v>-1000</v>
      </c>
      <c r="BL173">
        <f>IF(AND(CROQUIS!$C$88=1,CROQUIS!$C$91=0,CROQUIS!$C$130&gt;0,OR(CROQUIS!$C$103=1,CROQUIS!$C$142=1)),((CROQUIS!$C$156+(IF(CROQUIS!$C$92="X",CHOOSE(IF(INT(($A173-1)/5)&gt;MAX((MIN(80,MAX(1,INT(((CROQUIS!$C$98)-CROQUIS!$C$107)/MAX(CROQUIS!$C$130,1))+1)))-1,0),0,MOD($A173-1,5))+1,0,IF(CROQUIS!$C$103=1,-12,2),CROQUIS!$C$107/2+CROQUIS!$C$140,IF(CROQUIS!$C$103=1,-12,2),0),((CROQUIS!$C$107/2+(((CROQUIS!$C$98)-CROQUIS!$C$107)-(MIN(80,MAX(1,INT(((CROQUIS!$C$98)-CROQUIS!$C$107)/MAX(CROQUIS!$C$130,1))+1))-1)*CROQUIS!$C$130)/2)+MIN(INT(($A173-1)/5),MAX((MIN(80,MAX(1,INT(((CROQUIS!$C$98)-CROQUIS!$C$107)/MAX(CROQUIS!$C$130,1))+1)))-1,0))*CROQUIS!$C$130)))*CROQUIS!$C$155)+IF(CROQUIS!$C$92="X",0,0)),-1000)</f>
        <v>-1000</v>
      </c>
      <c r="BM17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173-1)/5),MAX((MIN(80,MAX(1,INT(((CROQUIS!$C$98)-CROQUIS!$C$107)/MAX(CROQUIS!$C$130,1))+1)))-1,0))*CROQUIS!$C$130),CHOOSE(IF(INT(($A173-1)/5)&gt;MAX((MIN(80,MAX(1,INT(((CROQUIS!$C$98)-CROQUIS!$C$107)/MAX(CROQUIS!$C$130,1))+1)))-1,0),0,MOD($A173-1,5))+1,0,IF(CROQUIS!$C$103=1,-12,2),CROQUIS!$C$107/2+CROQUIS!$C$140,IF(CROQUIS!$C$103=1,-12,2),0)))*CROQUIS!$C$155)+IF(CROQUIS!$C$92="X",0,0)),-1000)</f>
        <v>-1000</v>
      </c>
      <c r="BN173">
        <f>IF(AND(CROQUIS!$C$88=1,CROQUIS!$C$91=0,CROQUIS!$C$130&gt;0,OR(CROQUIS!$C$104=1,CROQUIS!$C$142=1)),((CROQUIS!$C$156+(IF(CROQUIS!$C$92="X",CHOOSE(IF(INT(($A173-1)/5)&gt;MAX((MIN(80,MAX(1,INT(((CROQUIS!$C$98)-CROQUIS!$C$107)/MAX(CROQUIS!$C$130,1))+1)))-1,0),0,MOD($A173-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173-1)/5),MAX((MIN(80,MAX(1,INT(((CROQUIS!$C$98)-CROQUIS!$C$107)/MAX(CROQUIS!$C$130,1))+1)))-1,0))*CROQUIS!$C$130)))*CROQUIS!$C$155)+IF(CROQUIS!$C$92="X",0,0)),-1000)</f>
        <v>-1000</v>
      </c>
      <c r="BO17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173-1)/5),MAX((MIN(80,MAX(1,INT(((CROQUIS!$C$98)-CROQUIS!$C$107)/MAX(CROQUIS!$C$130,1))+1)))-1,0))*CROQUIS!$C$130),CHOOSE(IF(INT(($A173-1)/5)&gt;MAX((MIN(80,MAX(1,INT(((CROQUIS!$C$98)-CROQUIS!$C$107)/MAX(CROQUIS!$C$130,1))+1)))-1,0),0,MOD($A173-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7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173-1)/5),MAX((MIN(80,MAX(1,INT(((CROQUIS!$C$97)-CROQUIS!$C$107)/MAX(CROQUIS!$C$138,1))+1)))-1,0))*CROQUIS!$C$138),CHOOSE(IF(INT(($A173-1)/5)&gt;MAX((MIN(80,MAX(1,INT(((CROQUIS!$C$97)-CROQUIS!$C$107)/MAX(CROQUIS!$C$138,1))+1)))-1,0),0,MOD($A173-1,5))+1,0,IF(CROQUIS!$C$105=1,-12,2),CROQUIS!$C$107/2+CROQUIS!$C$141,IF(CROQUIS!$C$105=1,-12,2),0)))*CROQUIS!$C$155)+IF(CROQUIS!$C$92="X",0,0)),-1000)</f>
        <v>-1000</v>
      </c>
      <c r="BQ173">
        <f>IF(AND(CROQUIS!$C$88=1,CROQUIS!$C$91=0,CROQUIS!$C$138&gt;0,OR(CROQUIS!$C$105=1,CROQUIS!$C$143=1)),((CROQUIS!$C$157+(IF(CROQUIS!$C$92="X",CHOOSE(IF(INT(($A173-1)/5)&gt;MAX((MIN(80,MAX(1,INT(((CROQUIS!$C$97)-CROQUIS!$C$107)/MAX(CROQUIS!$C$138,1))+1)))-1,0),0,MOD($A173-1,5))+1,0,IF(CROQUIS!$C$105=1,-12,2),CROQUIS!$C$107/2+CROQUIS!$C$141,IF(CROQUIS!$C$105=1,-12,2),0),((CROQUIS!$C$107/2+(((CROQUIS!$C$97)-CROQUIS!$C$107)-(MIN(80,MAX(1,INT(((CROQUIS!$C$97)-CROQUIS!$C$107)/MAX(CROQUIS!$C$138,1))+1))-1)*CROQUIS!$C$138)/2)+MIN(INT(($A173-1)/5),MAX((MIN(80,MAX(1,INT(((CROQUIS!$C$97)-CROQUIS!$C$107)/MAX(CROQUIS!$C$138,1))+1)))-1,0))*CROQUIS!$C$138)))*CROQUIS!$C$155)+IF(CROQUIS!$C$92="X",0,0)),-1000)</f>
        <v>-1000</v>
      </c>
      <c r="BR17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173-1)/5),MAX((MIN(80,MAX(1,INT(((CROQUIS!$C$97)-CROQUIS!$C$107)/MAX(CROQUIS!$C$138,1))+1)))-1,0))*CROQUIS!$C$138),CHOOSE(IF(INT(($A173-1)/5)&gt;MAX((MIN(80,MAX(1,INT(((CROQUIS!$C$97)-CROQUIS!$C$107)/MAX(CROQUIS!$C$138,1))+1)))-1,0),0,MOD($A173-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73">
        <f>IF(AND(CROQUIS!$C$88=1,CROQUIS!$C$91=0,CROQUIS!$C$138&gt;0,OR(CROQUIS!$C$106=1,CROQUIS!$C$143=1)),((CROQUIS!$C$157+(IF(CROQUIS!$C$92="X",CHOOSE(IF(INT(($A173-1)/5)&gt;MAX((MIN(80,MAX(1,INT(((CROQUIS!$C$97)-CROQUIS!$C$107)/MAX(CROQUIS!$C$138,1))+1)))-1,0),0,MOD($A173-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173-1)/5),MAX((MIN(80,MAX(1,INT(((CROQUIS!$C$97)-CROQUIS!$C$107)/MAX(CROQUIS!$C$138,1))+1)))-1,0))*CROQUIS!$C$138)))*CROQUIS!$C$155)+IF(CROQUIS!$C$92="X",0,0)),-1000)</f>
        <v>-1000</v>
      </c>
      <c r="BT173">
        <f>IF(AND(CROQUIS!$C$88=1,CROQUIS!$C$91=1,CROQUIS!$C$130&gt;0),((CROQUIS!$C$156+(IF(CROQUIS!$C$92="X",CHOOSE(IF(INT(($A173-1)/5)&gt;MAX((MIN(80,MAX(1,INT(((CROQUIS!$C$98)-CROQUIS!$C$107)/MAX(CROQUIS!$C$130,1))+1)))-1,0),0,MOD($A173-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173-1)/5),MAX((MIN(80,MAX(1,INT(((CROQUIS!$C$98)-CROQUIS!$C$107)/MAX(CROQUIS!$C$130,1))+1)))-1,0))*CROQUIS!$C$130)))*CROQUIS!$C$155)+IF(CROQUIS!$C$92="X",0,0)),-1000)</f>
        <v>-1000</v>
      </c>
      <c r="BU173">
        <f>IF(AND(CROQUIS!$C$88=1,CROQUIS!$C$91=1,CROQUIS!$C$130&gt;0),((CROQUIS!$C$157+(IF(CROQUIS!$C$92="X",((CROQUIS!$C$107/2+(((CROQUIS!$C$98)-CROQUIS!$C$107)-(MIN(80,MAX(1,INT(((CROQUIS!$C$98)-CROQUIS!$C$107)/MAX(CROQUIS!$C$130,1))+1))-1)*CROQUIS!$C$130)/2)+MIN(INT(($A173-1)/5),MAX((MIN(80,MAX(1,INT(((CROQUIS!$C$98)-CROQUIS!$C$107)/MAX(CROQUIS!$C$130,1))+1)))-1,0))*CROQUIS!$C$130),CHOOSE(IF(INT(($A173-1)/5)&gt;MAX((MIN(80,MAX(1,INT(((CROQUIS!$C$98)-CROQUIS!$C$107)/MAX(CROQUIS!$C$130,1))+1)))-1,0),0,MOD($A173-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74">
      <c r="A174" t="n">
        <v>167</v>
      </c>
      <c r="BH174">
        <f>IF(AND(CROQUIS!$C$88=1,CROQUIS!$C$126&gt;0),((CROQUIS!$C$156+(IF(CROQUIS!$C$92="X",CHOOSE(IF(INT(($A174-1)/5)&gt;MAX((MIN(80,MAX(1,INT(((CROQUIS!$C$98)-CROQUIS!$C$107)/MAX(CROQUIS!$C$126,1))+1)))-1,0),0,MOD($A174-1,5))+1,0,2,CROQUIS!$C$97-2,2,0),((CROQUIS!$C$107/2+(((CROQUIS!$C$98)-CROQUIS!$C$107)-(MIN(80,MAX(1,INT(((CROQUIS!$C$98)-CROQUIS!$C$107)/MAX(CROQUIS!$C$126,1))+1))-1)*CROQUIS!$C$126)/2)+MIN(INT(($A174-1)/5),MAX((MIN(80,MAX(1,INT(((CROQUIS!$C$98)-CROQUIS!$C$107)/MAX(CROQUIS!$C$126,1))+1)))-1,0))*CROQUIS!$C$126)))*CROQUIS!$C$155)+IF(CROQUIS!$C$92="X",0,0)),-1000)</f>
        <v>-1000</v>
      </c>
      <c r="BI174">
        <f>IF(AND(CROQUIS!$C$88=1,CROQUIS!$C$126&gt;0),((CROQUIS!$C$157+(IF(CROQUIS!$C$92="X",((CROQUIS!$C$107/2+(((CROQUIS!$C$98)-CROQUIS!$C$107)-(MIN(80,MAX(1,INT(((CROQUIS!$C$98)-CROQUIS!$C$107)/MAX(CROQUIS!$C$126,1))+1))-1)*CROQUIS!$C$126)/2)+MIN(INT(($A174-1)/5),MAX((MIN(80,MAX(1,INT(((CROQUIS!$C$98)-CROQUIS!$C$107)/MAX(CROQUIS!$C$126,1))+1)))-1,0))*CROQUIS!$C$126),CHOOSE(IF(INT(($A174-1)/5)&gt;MAX((MIN(80,MAX(1,INT(((CROQUIS!$C$98)-CROQUIS!$C$107)/MAX(CROQUIS!$C$126,1))+1)))-1,0),0,MOD($A174-1,5))+1,0,2,CROQUIS!$C$97-2,2,0)))*CROQUIS!$C$155)+IF(CROQUIS!$C$92="X",0,0)),-1000)</f>
        <v>-1000</v>
      </c>
      <c r="BJ174">
        <f>IF(AND(CROQUIS!$C$88=1,CROQUIS!$C$134&gt;0),((CROQUIS!$C$156+(IF(CROQUIS!$C$92="X",((CROQUIS!$C$107/2+(((CROQUIS!$C$97)-CROQUIS!$C$107)-(MIN(80,MAX(1,INT(((CROQUIS!$C$97)-CROQUIS!$C$107)/MAX(CROQUIS!$C$134,1))+1))-1)*CROQUIS!$C$134)/2)+MIN(INT(($A174-1)/5),MAX((MIN(80,MAX(1,INT(((CROQUIS!$C$97)-CROQUIS!$C$107)/MAX(CROQUIS!$C$134,1))+1)))-1,0))*CROQUIS!$C$134),CHOOSE(IF(INT(($A174-1)/5)&gt;MAX((MIN(80,MAX(1,INT(((CROQUIS!$C$97)-CROQUIS!$C$107)/MAX(CROQUIS!$C$134,1))+1)))-1,0),0,MOD($A174-1,5))+1,0,2,CROQUIS!$C$98-2,2,0)))*CROQUIS!$C$155)+IF(CROQUIS!$C$92="X",0,0)),-1000)</f>
        <v>-1000</v>
      </c>
      <c r="BK174">
        <f>IF(AND(CROQUIS!$C$88=1,CROQUIS!$C$134&gt;0),((CROQUIS!$C$157+(IF(CROQUIS!$C$92="X",CHOOSE(IF(INT(($A174-1)/5)&gt;MAX((MIN(80,MAX(1,INT(((CROQUIS!$C$97)-CROQUIS!$C$107)/MAX(CROQUIS!$C$134,1))+1)))-1,0),0,MOD($A174-1,5))+1,0,2,CROQUIS!$C$98-2,2,0),((CROQUIS!$C$107/2+(((CROQUIS!$C$97)-CROQUIS!$C$107)-(MIN(80,MAX(1,INT(((CROQUIS!$C$97)-CROQUIS!$C$107)/MAX(CROQUIS!$C$134,1))+1))-1)*CROQUIS!$C$134)/2)+MIN(INT(($A174-1)/5),MAX((MIN(80,MAX(1,INT(((CROQUIS!$C$97)-CROQUIS!$C$107)/MAX(CROQUIS!$C$134,1))+1)))-1,0))*CROQUIS!$C$134)))*CROQUIS!$C$155)+IF(CROQUIS!$C$92="X",0,0)),-1000)</f>
        <v>-1000</v>
      </c>
      <c r="BL174">
        <f>IF(AND(CROQUIS!$C$88=1,CROQUIS!$C$91=0,CROQUIS!$C$130&gt;0,OR(CROQUIS!$C$103=1,CROQUIS!$C$142=1)),((CROQUIS!$C$156+(IF(CROQUIS!$C$92="X",CHOOSE(IF(INT(($A174-1)/5)&gt;MAX((MIN(80,MAX(1,INT(((CROQUIS!$C$98)-CROQUIS!$C$107)/MAX(CROQUIS!$C$130,1))+1)))-1,0),0,MOD($A174-1,5))+1,0,IF(CROQUIS!$C$103=1,-12,2),CROQUIS!$C$107/2+CROQUIS!$C$140,IF(CROQUIS!$C$103=1,-12,2),0),((CROQUIS!$C$107/2+(((CROQUIS!$C$98)-CROQUIS!$C$107)-(MIN(80,MAX(1,INT(((CROQUIS!$C$98)-CROQUIS!$C$107)/MAX(CROQUIS!$C$130,1))+1))-1)*CROQUIS!$C$130)/2)+MIN(INT(($A174-1)/5),MAX((MIN(80,MAX(1,INT(((CROQUIS!$C$98)-CROQUIS!$C$107)/MAX(CROQUIS!$C$130,1))+1)))-1,0))*CROQUIS!$C$130)))*CROQUIS!$C$155)+IF(CROQUIS!$C$92="X",0,0)),-1000)</f>
        <v>-1000</v>
      </c>
      <c r="BM17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174-1)/5),MAX((MIN(80,MAX(1,INT(((CROQUIS!$C$98)-CROQUIS!$C$107)/MAX(CROQUIS!$C$130,1))+1)))-1,0))*CROQUIS!$C$130),CHOOSE(IF(INT(($A174-1)/5)&gt;MAX((MIN(80,MAX(1,INT(((CROQUIS!$C$98)-CROQUIS!$C$107)/MAX(CROQUIS!$C$130,1))+1)))-1,0),0,MOD($A174-1,5))+1,0,IF(CROQUIS!$C$103=1,-12,2),CROQUIS!$C$107/2+CROQUIS!$C$140,IF(CROQUIS!$C$103=1,-12,2),0)))*CROQUIS!$C$155)+IF(CROQUIS!$C$92="X",0,0)),-1000)</f>
        <v>-1000</v>
      </c>
      <c r="BN174">
        <f>IF(AND(CROQUIS!$C$88=1,CROQUIS!$C$91=0,CROQUIS!$C$130&gt;0,OR(CROQUIS!$C$104=1,CROQUIS!$C$142=1)),((CROQUIS!$C$156+(IF(CROQUIS!$C$92="X",CHOOSE(IF(INT(($A174-1)/5)&gt;MAX((MIN(80,MAX(1,INT(((CROQUIS!$C$98)-CROQUIS!$C$107)/MAX(CROQUIS!$C$130,1))+1)))-1,0),0,MOD($A174-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174-1)/5),MAX((MIN(80,MAX(1,INT(((CROQUIS!$C$98)-CROQUIS!$C$107)/MAX(CROQUIS!$C$130,1))+1)))-1,0))*CROQUIS!$C$130)))*CROQUIS!$C$155)+IF(CROQUIS!$C$92="X",0,0)),-1000)</f>
        <v>-1000</v>
      </c>
      <c r="BO17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174-1)/5),MAX((MIN(80,MAX(1,INT(((CROQUIS!$C$98)-CROQUIS!$C$107)/MAX(CROQUIS!$C$130,1))+1)))-1,0))*CROQUIS!$C$130),CHOOSE(IF(INT(($A174-1)/5)&gt;MAX((MIN(80,MAX(1,INT(((CROQUIS!$C$98)-CROQUIS!$C$107)/MAX(CROQUIS!$C$130,1))+1)))-1,0),0,MOD($A174-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7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174-1)/5),MAX((MIN(80,MAX(1,INT(((CROQUIS!$C$97)-CROQUIS!$C$107)/MAX(CROQUIS!$C$138,1))+1)))-1,0))*CROQUIS!$C$138),CHOOSE(IF(INT(($A174-1)/5)&gt;MAX((MIN(80,MAX(1,INT(((CROQUIS!$C$97)-CROQUIS!$C$107)/MAX(CROQUIS!$C$138,1))+1)))-1,0),0,MOD($A174-1,5))+1,0,IF(CROQUIS!$C$105=1,-12,2),CROQUIS!$C$107/2+CROQUIS!$C$141,IF(CROQUIS!$C$105=1,-12,2),0)))*CROQUIS!$C$155)+IF(CROQUIS!$C$92="X",0,0)),-1000)</f>
        <v>-1000</v>
      </c>
      <c r="BQ174">
        <f>IF(AND(CROQUIS!$C$88=1,CROQUIS!$C$91=0,CROQUIS!$C$138&gt;0,OR(CROQUIS!$C$105=1,CROQUIS!$C$143=1)),((CROQUIS!$C$157+(IF(CROQUIS!$C$92="X",CHOOSE(IF(INT(($A174-1)/5)&gt;MAX((MIN(80,MAX(1,INT(((CROQUIS!$C$97)-CROQUIS!$C$107)/MAX(CROQUIS!$C$138,1))+1)))-1,0),0,MOD($A174-1,5))+1,0,IF(CROQUIS!$C$105=1,-12,2),CROQUIS!$C$107/2+CROQUIS!$C$141,IF(CROQUIS!$C$105=1,-12,2),0),((CROQUIS!$C$107/2+(((CROQUIS!$C$97)-CROQUIS!$C$107)-(MIN(80,MAX(1,INT(((CROQUIS!$C$97)-CROQUIS!$C$107)/MAX(CROQUIS!$C$138,1))+1))-1)*CROQUIS!$C$138)/2)+MIN(INT(($A174-1)/5),MAX((MIN(80,MAX(1,INT(((CROQUIS!$C$97)-CROQUIS!$C$107)/MAX(CROQUIS!$C$138,1))+1)))-1,0))*CROQUIS!$C$138)))*CROQUIS!$C$155)+IF(CROQUIS!$C$92="X",0,0)),-1000)</f>
        <v>-1000</v>
      </c>
      <c r="BR17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174-1)/5),MAX((MIN(80,MAX(1,INT(((CROQUIS!$C$97)-CROQUIS!$C$107)/MAX(CROQUIS!$C$138,1))+1)))-1,0))*CROQUIS!$C$138),CHOOSE(IF(INT(($A174-1)/5)&gt;MAX((MIN(80,MAX(1,INT(((CROQUIS!$C$97)-CROQUIS!$C$107)/MAX(CROQUIS!$C$138,1))+1)))-1,0),0,MOD($A174-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74">
        <f>IF(AND(CROQUIS!$C$88=1,CROQUIS!$C$91=0,CROQUIS!$C$138&gt;0,OR(CROQUIS!$C$106=1,CROQUIS!$C$143=1)),((CROQUIS!$C$157+(IF(CROQUIS!$C$92="X",CHOOSE(IF(INT(($A174-1)/5)&gt;MAX((MIN(80,MAX(1,INT(((CROQUIS!$C$97)-CROQUIS!$C$107)/MAX(CROQUIS!$C$138,1))+1)))-1,0),0,MOD($A174-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174-1)/5),MAX((MIN(80,MAX(1,INT(((CROQUIS!$C$97)-CROQUIS!$C$107)/MAX(CROQUIS!$C$138,1))+1)))-1,0))*CROQUIS!$C$138)))*CROQUIS!$C$155)+IF(CROQUIS!$C$92="X",0,0)),-1000)</f>
        <v>-1000</v>
      </c>
      <c r="BT174">
        <f>IF(AND(CROQUIS!$C$88=1,CROQUIS!$C$91=1,CROQUIS!$C$130&gt;0),((CROQUIS!$C$156+(IF(CROQUIS!$C$92="X",CHOOSE(IF(INT(($A174-1)/5)&gt;MAX((MIN(80,MAX(1,INT(((CROQUIS!$C$98)-CROQUIS!$C$107)/MAX(CROQUIS!$C$130,1))+1)))-1,0),0,MOD($A174-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174-1)/5),MAX((MIN(80,MAX(1,INT(((CROQUIS!$C$98)-CROQUIS!$C$107)/MAX(CROQUIS!$C$130,1))+1)))-1,0))*CROQUIS!$C$130)))*CROQUIS!$C$155)+IF(CROQUIS!$C$92="X",0,0)),-1000)</f>
        <v>-1000</v>
      </c>
      <c r="BU174">
        <f>IF(AND(CROQUIS!$C$88=1,CROQUIS!$C$91=1,CROQUIS!$C$130&gt;0),((CROQUIS!$C$157+(IF(CROQUIS!$C$92="X",((CROQUIS!$C$107/2+(((CROQUIS!$C$98)-CROQUIS!$C$107)-(MIN(80,MAX(1,INT(((CROQUIS!$C$98)-CROQUIS!$C$107)/MAX(CROQUIS!$C$130,1))+1))-1)*CROQUIS!$C$130)/2)+MIN(INT(($A174-1)/5),MAX((MIN(80,MAX(1,INT(((CROQUIS!$C$98)-CROQUIS!$C$107)/MAX(CROQUIS!$C$130,1))+1)))-1,0))*CROQUIS!$C$130),CHOOSE(IF(INT(($A174-1)/5)&gt;MAX((MIN(80,MAX(1,INT(((CROQUIS!$C$98)-CROQUIS!$C$107)/MAX(CROQUIS!$C$130,1))+1)))-1,0),0,MOD($A174-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75">
      <c r="A175" t="n">
        <v>168</v>
      </c>
      <c r="BH175">
        <f>IF(AND(CROQUIS!$C$88=1,CROQUIS!$C$126&gt;0),((CROQUIS!$C$156+(IF(CROQUIS!$C$92="X",CHOOSE(IF(INT(($A175-1)/5)&gt;MAX((MIN(80,MAX(1,INT(((CROQUIS!$C$98)-CROQUIS!$C$107)/MAX(CROQUIS!$C$126,1))+1)))-1,0),0,MOD($A175-1,5))+1,0,2,CROQUIS!$C$97-2,2,0),((CROQUIS!$C$107/2+(((CROQUIS!$C$98)-CROQUIS!$C$107)-(MIN(80,MAX(1,INT(((CROQUIS!$C$98)-CROQUIS!$C$107)/MAX(CROQUIS!$C$126,1))+1))-1)*CROQUIS!$C$126)/2)+MIN(INT(($A175-1)/5),MAX((MIN(80,MAX(1,INT(((CROQUIS!$C$98)-CROQUIS!$C$107)/MAX(CROQUIS!$C$126,1))+1)))-1,0))*CROQUIS!$C$126)))*CROQUIS!$C$155)+IF(CROQUIS!$C$92="X",0,0)),-1000)</f>
        <v>-1000</v>
      </c>
      <c r="BI175">
        <f>IF(AND(CROQUIS!$C$88=1,CROQUIS!$C$126&gt;0),((CROQUIS!$C$157+(IF(CROQUIS!$C$92="X",((CROQUIS!$C$107/2+(((CROQUIS!$C$98)-CROQUIS!$C$107)-(MIN(80,MAX(1,INT(((CROQUIS!$C$98)-CROQUIS!$C$107)/MAX(CROQUIS!$C$126,1))+1))-1)*CROQUIS!$C$126)/2)+MIN(INT(($A175-1)/5),MAX((MIN(80,MAX(1,INT(((CROQUIS!$C$98)-CROQUIS!$C$107)/MAX(CROQUIS!$C$126,1))+1)))-1,0))*CROQUIS!$C$126),CHOOSE(IF(INT(($A175-1)/5)&gt;MAX((MIN(80,MAX(1,INT(((CROQUIS!$C$98)-CROQUIS!$C$107)/MAX(CROQUIS!$C$126,1))+1)))-1,0),0,MOD($A175-1,5))+1,0,2,CROQUIS!$C$97-2,2,0)))*CROQUIS!$C$155)+IF(CROQUIS!$C$92="X",0,0)),-1000)</f>
        <v>-1000</v>
      </c>
      <c r="BJ175">
        <f>IF(AND(CROQUIS!$C$88=1,CROQUIS!$C$134&gt;0),((CROQUIS!$C$156+(IF(CROQUIS!$C$92="X",((CROQUIS!$C$107/2+(((CROQUIS!$C$97)-CROQUIS!$C$107)-(MIN(80,MAX(1,INT(((CROQUIS!$C$97)-CROQUIS!$C$107)/MAX(CROQUIS!$C$134,1))+1))-1)*CROQUIS!$C$134)/2)+MIN(INT(($A175-1)/5),MAX((MIN(80,MAX(1,INT(((CROQUIS!$C$97)-CROQUIS!$C$107)/MAX(CROQUIS!$C$134,1))+1)))-1,0))*CROQUIS!$C$134),CHOOSE(IF(INT(($A175-1)/5)&gt;MAX((MIN(80,MAX(1,INT(((CROQUIS!$C$97)-CROQUIS!$C$107)/MAX(CROQUIS!$C$134,1))+1)))-1,0),0,MOD($A175-1,5))+1,0,2,CROQUIS!$C$98-2,2,0)))*CROQUIS!$C$155)+IF(CROQUIS!$C$92="X",0,0)),-1000)</f>
        <v>-1000</v>
      </c>
      <c r="BK175">
        <f>IF(AND(CROQUIS!$C$88=1,CROQUIS!$C$134&gt;0),((CROQUIS!$C$157+(IF(CROQUIS!$C$92="X",CHOOSE(IF(INT(($A175-1)/5)&gt;MAX((MIN(80,MAX(1,INT(((CROQUIS!$C$97)-CROQUIS!$C$107)/MAX(CROQUIS!$C$134,1))+1)))-1,0),0,MOD($A175-1,5))+1,0,2,CROQUIS!$C$98-2,2,0),((CROQUIS!$C$107/2+(((CROQUIS!$C$97)-CROQUIS!$C$107)-(MIN(80,MAX(1,INT(((CROQUIS!$C$97)-CROQUIS!$C$107)/MAX(CROQUIS!$C$134,1))+1))-1)*CROQUIS!$C$134)/2)+MIN(INT(($A175-1)/5),MAX((MIN(80,MAX(1,INT(((CROQUIS!$C$97)-CROQUIS!$C$107)/MAX(CROQUIS!$C$134,1))+1)))-1,0))*CROQUIS!$C$134)))*CROQUIS!$C$155)+IF(CROQUIS!$C$92="X",0,0)),-1000)</f>
        <v>-1000</v>
      </c>
      <c r="BL175">
        <f>IF(AND(CROQUIS!$C$88=1,CROQUIS!$C$91=0,CROQUIS!$C$130&gt;0,OR(CROQUIS!$C$103=1,CROQUIS!$C$142=1)),((CROQUIS!$C$156+(IF(CROQUIS!$C$92="X",CHOOSE(IF(INT(($A175-1)/5)&gt;MAX((MIN(80,MAX(1,INT(((CROQUIS!$C$98)-CROQUIS!$C$107)/MAX(CROQUIS!$C$130,1))+1)))-1,0),0,MOD($A175-1,5))+1,0,IF(CROQUIS!$C$103=1,-12,2),CROQUIS!$C$107/2+CROQUIS!$C$140,IF(CROQUIS!$C$103=1,-12,2),0),((CROQUIS!$C$107/2+(((CROQUIS!$C$98)-CROQUIS!$C$107)-(MIN(80,MAX(1,INT(((CROQUIS!$C$98)-CROQUIS!$C$107)/MAX(CROQUIS!$C$130,1))+1))-1)*CROQUIS!$C$130)/2)+MIN(INT(($A175-1)/5),MAX((MIN(80,MAX(1,INT(((CROQUIS!$C$98)-CROQUIS!$C$107)/MAX(CROQUIS!$C$130,1))+1)))-1,0))*CROQUIS!$C$130)))*CROQUIS!$C$155)+IF(CROQUIS!$C$92="X",0,0)),-1000)</f>
        <v>-1000</v>
      </c>
      <c r="BM17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175-1)/5),MAX((MIN(80,MAX(1,INT(((CROQUIS!$C$98)-CROQUIS!$C$107)/MAX(CROQUIS!$C$130,1))+1)))-1,0))*CROQUIS!$C$130),CHOOSE(IF(INT(($A175-1)/5)&gt;MAX((MIN(80,MAX(1,INT(((CROQUIS!$C$98)-CROQUIS!$C$107)/MAX(CROQUIS!$C$130,1))+1)))-1,0),0,MOD($A175-1,5))+1,0,IF(CROQUIS!$C$103=1,-12,2),CROQUIS!$C$107/2+CROQUIS!$C$140,IF(CROQUIS!$C$103=1,-12,2),0)))*CROQUIS!$C$155)+IF(CROQUIS!$C$92="X",0,0)),-1000)</f>
        <v>-1000</v>
      </c>
      <c r="BN175">
        <f>IF(AND(CROQUIS!$C$88=1,CROQUIS!$C$91=0,CROQUIS!$C$130&gt;0,OR(CROQUIS!$C$104=1,CROQUIS!$C$142=1)),((CROQUIS!$C$156+(IF(CROQUIS!$C$92="X",CHOOSE(IF(INT(($A175-1)/5)&gt;MAX((MIN(80,MAX(1,INT(((CROQUIS!$C$98)-CROQUIS!$C$107)/MAX(CROQUIS!$C$130,1))+1)))-1,0),0,MOD($A175-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175-1)/5),MAX((MIN(80,MAX(1,INT(((CROQUIS!$C$98)-CROQUIS!$C$107)/MAX(CROQUIS!$C$130,1))+1)))-1,0))*CROQUIS!$C$130)))*CROQUIS!$C$155)+IF(CROQUIS!$C$92="X",0,0)),-1000)</f>
        <v>-1000</v>
      </c>
      <c r="BO17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175-1)/5),MAX((MIN(80,MAX(1,INT(((CROQUIS!$C$98)-CROQUIS!$C$107)/MAX(CROQUIS!$C$130,1))+1)))-1,0))*CROQUIS!$C$130),CHOOSE(IF(INT(($A175-1)/5)&gt;MAX((MIN(80,MAX(1,INT(((CROQUIS!$C$98)-CROQUIS!$C$107)/MAX(CROQUIS!$C$130,1))+1)))-1,0),0,MOD($A175-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7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175-1)/5),MAX((MIN(80,MAX(1,INT(((CROQUIS!$C$97)-CROQUIS!$C$107)/MAX(CROQUIS!$C$138,1))+1)))-1,0))*CROQUIS!$C$138),CHOOSE(IF(INT(($A175-1)/5)&gt;MAX((MIN(80,MAX(1,INT(((CROQUIS!$C$97)-CROQUIS!$C$107)/MAX(CROQUIS!$C$138,1))+1)))-1,0),0,MOD($A175-1,5))+1,0,IF(CROQUIS!$C$105=1,-12,2),CROQUIS!$C$107/2+CROQUIS!$C$141,IF(CROQUIS!$C$105=1,-12,2),0)))*CROQUIS!$C$155)+IF(CROQUIS!$C$92="X",0,0)),-1000)</f>
        <v>-1000</v>
      </c>
      <c r="BQ175">
        <f>IF(AND(CROQUIS!$C$88=1,CROQUIS!$C$91=0,CROQUIS!$C$138&gt;0,OR(CROQUIS!$C$105=1,CROQUIS!$C$143=1)),((CROQUIS!$C$157+(IF(CROQUIS!$C$92="X",CHOOSE(IF(INT(($A175-1)/5)&gt;MAX((MIN(80,MAX(1,INT(((CROQUIS!$C$97)-CROQUIS!$C$107)/MAX(CROQUIS!$C$138,1))+1)))-1,0),0,MOD($A175-1,5))+1,0,IF(CROQUIS!$C$105=1,-12,2),CROQUIS!$C$107/2+CROQUIS!$C$141,IF(CROQUIS!$C$105=1,-12,2),0),((CROQUIS!$C$107/2+(((CROQUIS!$C$97)-CROQUIS!$C$107)-(MIN(80,MAX(1,INT(((CROQUIS!$C$97)-CROQUIS!$C$107)/MAX(CROQUIS!$C$138,1))+1))-1)*CROQUIS!$C$138)/2)+MIN(INT(($A175-1)/5),MAX((MIN(80,MAX(1,INT(((CROQUIS!$C$97)-CROQUIS!$C$107)/MAX(CROQUIS!$C$138,1))+1)))-1,0))*CROQUIS!$C$138)))*CROQUIS!$C$155)+IF(CROQUIS!$C$92="X",0,0)),-1000)</f>
        <v>-1000</v>
      </c>
      <c r="BR17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175-1)/5),MAX((MIN(80,MAX(1,INT(((CROQUIS!$C$97)-CROQUIS!$C$107)/MAX(CROQUIS!$C$138,1))+1)))-1,0))*CROQUIS!$C$138),CHOOSE(IF(INT(($A175-1)/5)&gt;MAX((MIN(80,MAX(1,INT(((CROQUIS!$C$97)-CROQUIS!$C$107)/MAX(CROQUIS!$C$138,1))+1)))-1,0),0,MOD($A175-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75">
        <f>IF(AND(CROQUIS!$C$88=1,CROQUIS!$C$91=0,CROQUIS!$C$138&gt;0,OR(CROQUIS!$C$106=1,CROQUIS!$C$143=1)),((CROQUIS!$C$157+(IF(CROQUIS!$C$92="X",CHOOSE(IF(INT(($A175-1)/5)&gt;MAX((MIN(80,MAX(1,INT(((CROQUIS!$C$97)-CROQUIS!$C$107)/MAX(CROQUIS!$C$138,1))+1)))-1,0),0,MOD($A175-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175-1)/5),MAX((MIN(80,MAX(1,INT(((CROQUIS!$C$97)-CROQUIS!$C$107)/MAX(CROQUIS!$C$138,1))+1)))-1,0))*CROQUIS!$C$138)))*CROQUIS!$C$155)+IF(CROQUIS!$C$92="X",0,0)),-1000)</f>
        <v>-1000</v>
      </c>
      <c r="BT175">
        <f>IF(AND(CROQUIS!$C$88=1,CROQUIS!$C$91=1,CROQUIS!$C$130&gt;0),((CROQUIS!$C$156+(IF(CROQUIS!$C$92="X",CHOOSE(IF(INT(($A175-1)/5)&gt;MAX((MIN(80,MAX(1,INT(((CROQUIS!$C$98)-CROQUIS!$C$107)/MAX(CROQUIS!$C$130,1))+1)))-1,0),0,MOD($A175-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175-1)/5),MAX((MIN(80,MAX(1,INT(((CROQUIS!$C$98)-CROQUIS!$C$107)/MAX(CROQUIS!$C$130,1))+1)))-1,0))*CROQUIS!$C$130)))*CROQUIS!$C$155)+IF(CROQUIS!$C$92="X",0,0)),-1000)</f>
        <v>-1000</v>
      </c>
      <c r="BU175">
        <f>IF(AND(CROQUIS!$C$88=1,CROQUIS!$C$91=1,CROQUIS!$C$130&gt;0),((CROQUIS!$C$157+(IF(CROQUIS!$C$92="X",((CROQUIS!$C$107/2+(((CROQUIS!$C$98)-CROQUIS!$C$107)-(MIN(80,MAX(1,INT(((CROQUIS!$C$98)-CROQUIS!$C$107)/MAX(CROQUIS!$C$130,1))+1))-1)*CROQUIS!$C$130)/2)+MIN(INT(($A175-1)/5),MAX((MIN(80,MAX(1,INT(((CROQUIS!$C$98)-CROQUIS!$C$107)/MAX(CROQUIS!$C$130,1))+1)))-1,0))*CROQUIS!$C$130),CHOOSE(IF(INT(($A175-1)/5)&gt;MAX((MIN(80,MAX(1,INT(((CROQUIS!$C$98)-CROQUIS!$C$107)/MAX(CROQUIS!$C$130,1))+1)))-1,0),0,MOD($A175-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76">
      <c r="A176" t="n">
        <v>169</v>
      </c>
      <c r="BH176">
        <f>IF(AND(CROQUIS!$C$88=1,CROQUIS!$C$126&gt;0),((CROQUIS!$C$156+(IF(CROQUIS!$C$92="X",CHOOSE(IF(INT(($A176-1)/5)&gt;MAX((MIN(80,MAX(1,INT(((CROQUIS!$C$98)-CROQUIS!$C$107)/MAX(CROQUIS!$C$126,1))+1)))-1,0),0,MOD($A176-1,5))+1,0,2,CROQUIS!$C$97-2,2,0),((CROQUIS!$C$107/2+(((CROQUIS!$C$98)-CROQUIS!$C$107)-(MIN(80,MAX(1,INT(((CROQUIS!$C$98)-CROQUIS!$C$107)/MAX(CROQUIS!$C$126,1))+1))-1)*CROQUIS!$C$126)/2)+MIN(INT(($A176-1)/5),MAX((MIN(80,MAX(1,INT(((CROQUIS!$C$98)-CROQUIS!$C$107)/MAX(CROQUIS!$C$126,1))+1)))-1,0))*CROQUIS!$C$126)))*CROQUIS!$C$155)+IF(CROQUIS!$C$92="X",0,0)),-1000)</f>
        <v>-1000</v>
      </c>
      <c r="BI176">
        <f>IF(AND(CROQUIS!$C$88=1,CROQUIS!$C$126&gt;0),((CROQUIS!$C$157+(IF(CROQUIS!$C$92="X",((CROQUIS!$C$107/2+(((CROQUIS!$C$98)-CROQUIS!$C$107)-(MIN(80,MAX(1,INT(((CROQUIS!$C$98)-CROQUIS!$C$107)/MAX(CROQUIS!$C$126,1))+1))-1)*CROQUIS!$C$126)/2)+MIN(INT(($A176-1)/5),MAX((MIN(80,MAX(1,INT(((CROQUIS!$C$98)-CROQUIS!$C$107)/MAX(CROQUIS!$C$126,1))+1)))-1,0))*CROQUIS!$C$126),CHOOSE(IF(INT(($A176-1)/5)&gt;MAX((MIN(80,MAX(1,INT(((CROQUIS!$C$98)-CROQUIS!$C$107)/MAX(CROQUIS!$C$126,1))+1)))-1,0),0,MOD($A176-1,5))+1,0,2,CROQUIS!$C$97-2,2,0)))*CROQUIS!$C$155)+IF(CROQUIS!$C$92="X",0,0)),-1000)</f>
        <v>-1000</v>
      </c>
      <c r="BJ176">
        <f>IF(AND(CROQUIS!$C$88=1,CROQUIS!$C$134&gt;0),((CROQUIS!$C$156+(IF(CROQUIS!$C$92="X",((CROQUIS!$C$107/2+(((CROQUIS!$C$97)-CROQUIS!$C$107)-(MIN(80,MAX(1,INT(((CROQUIS!$C$97)-CROQUIS!$C$107)/MAX(CROQUIS!$C$134,1))+1))-1)*CROQUIS!$C$134)/2)+MIN(INT(($A176-1)/5),MAX((MIN(80,MAX(1,INT(((CROQUIS!$C$97)-CROQUIS!$C$107)/MAX(CROQUIS!$C$134,1))+1)))-1,0))*CROQUIS!$C$134),CHOOSE(IF(INT(($A176-1)/5)&gt;MAX((MIN(80,MAX(1,INT(((CROQUIS!$C$97)-CROQUIS!$C$107)/MAX(CROQUIS!$C$134,1))+1)))-1,0),0,MOD($A176-1,5))+1,0,2,CROQUIS!$C$98-2,2,0)))*CROQUIS!$C$155)+IF(CROQUIS!$C$92="X",0,0)),-1000)</f>
        <v>-1000</v>
      </c>
      <c r="BK176">
        <f>IF(AND(CROQUIS!$C$88=1,CROQUIS!$C$134&gt;0),((CROQUIS!$C$157+(IF(CROQUIS!$C$92="X",CHOOSE(IF(INT(($A176-1)/5)&gt;MAX((MIN(80,MAX(1,INT(((CROQUIS!$C$97)-CROQUIS!$C$107)/MAX(CROQUIS!$C$134,1))+1)))-1,0),0,MOD($A176-1,5))+1,0,2,CROQUIS!$C$98-2,2,0),((CROQUIS!$C$107/2+(((CROQUIS!$C$97)-CROQUIS!$C$107)-(MIN(80,MAX(1,INT(((CROQUIS!$C$97)-CROQUIS!$C$107)/MAX(CROQUIS!$C$134,1))+1))-1)*CROQUIS!$C$134)/2)+MIN(INT(($A176-1)/5),MAX((MIN(80,MAX(1,INT(((CROQUIS!$C$97)-CROQUIS!$C$107)/MAX(CROQUIS!$C$134,1))+1)))-1,0))*CROQUIS!$C$134)))*CROQUIS!$C$155)+IF(CROQUIS!$C$92="X",0,0)),-1000)</f>
        <v>-1000</v>
      </c>
      <c r="BL176">
        <f>IF(AND(CROQUIS!$C$88=1,CROQUIS!$C$91=0,CROQUIS!$C$130&gt;0,OR(CROQUIS!$C$103=1,CROQUIS!$C$142=1)),((CROQUIS!$C$156+(IF(CROQUIS!$C$92="X",CHOOSE(IF(INT(($A176-1)/5)&gt;MAX((MIN(80,MAX(1,INT(((CROQUIS!$C$98)-CROQUIS!$C$107)/MAX(CROQUIS!$C$130,1))+1)))-1,0),0,MOD($A176-1,5))+1,0,IF(CROQUIS!$C$103=1,-12,2),CROQUIS!$C$107/2+CROQUIS!$C$140,IF(CROQUIS!$C$103=1,-12,2),0),((CROQUIS!$C$107/2+(((CROQUIS!$C$98)-CROQUIS!$C$107)-(MIN(80,MAX(1,INT(((CROQUIS!$C$98)-CROQUIS!$C$107)/MAX(CROQUIS!$C$130,1))+1))-1)*CROQUIS!$C$130)/2)+MIN(INT(($A176-1)/5),MAX((MIN(80,MAX(1,INT(((CROQUIS!$C$98)-CROQUIS!$C$107)/MAX(CROQUIS!$C$130,1))+1)))-1,0))*CROQUIS!$C$130)))*CROQUIS!$C$155)+IF(CROQUIS!$C$92="X",0,0)),-1000)</f>
        <v>-1000</v>
      </c>
      <c r="BM17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176-1)/5),MAX((MIN(80,MAX(1,INT(((CROQUIS!$C$98)-CROQUIS!$C$107)/MAX(CROQUIS!$C$130,1))+1)))-1,0))*CROQUIS!$C$130),CHOOSE(IF(INT(($A176-1)/5)&gt;MAX((MIN(80,MAX(1,INT(((CROQUIS!$C$98)-CROQUIS!$C$107)/MAX(CROQUIS!$C$130,1))+1)))-1,0),0,MOD($A176-1,5))+1,0,IF(CROQUIS!$C$103=1,-12,2),CROQUIS!$C$107/2+CROQUIS!$C$140,IF(CROQUIS!$C$103=1,-12,2),0)))*CROQUIS!$C$155)+IF(CROQUIS!$C$92="X",0,0)),-1000)</f>
        <v>-1000</v>
      </c>
      <c r="BN176">
        <f>IF(AND(CROQUIS!$C$88=1,CROQUIS!$C$91=0,CROQUIS!$C$130&gt;0,OR(CROQUIS!$C$104=1,CROQUIS!$C$142=1)),((CROQUIS!$C$156+(IF(CROQUIS!$C$92="X",CHOOSE(IF(INT(($A176-1)/5)&gt;MAX((MIN(80,MAX(1,INT(((CROQUIS!$C$98)-CROQUIS!$C$107)/MAX(CROQUIS!$C$130,1))+1)))-1,0),0,MOD($A176-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176-1)/5),MAX((MIN(80,MAX(1,INT(((CROQUIS!$C$98)-CROQUIS!$C$107)/MAX(CROQUIS!$C$130,1))+1)))-1,0))*CROQUIS!$C$130)))*CROQUIS!$C$155)+IF(CROQUIS!$C$92="X",0,0)),-1000)</f>
        <v>-1000</v>
      </c>
      <c r="BO17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176-1)/5),MAX((MIN(80,MAX(1,INT(((CROQUIS!$C$98)-CROQUIS!$C$107)/MAX(CROQUIS!$C$130,1))+1)))-1,0))*CROQUIS!$C$130),CHOOSE(IF(INT(($A176-1)/5)&gt;MAX((MIN(80,MAX(1,INT(((CROQUIS!$C$98)-CROQUIS!$C$107)/MAX(CROQUIS!$C$130,1))+1)))-1,0),0,MOD($A176-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7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176-1)/5),MAX((MIN(80,MAX(1,INT(((CROQUIS!$C$97)-CROQUIS!$C$107)/MAX(CROQUIS!$C$138,1))+1)))-1,0))*CROQUIS!$C$138),CHOOSE(IF(INT(($A176-1)/5)&gt;MAX((MIN(80,MAX(1,INT(((CROQUIS!$C$97)-CROQUIS!$C$107)/MAX(CROQUIS!$C$138,1))+1)))-1,0),0,MOD($A176-1,5))+1,0,IF(CROQUIS!$C$105=1,-12,2),CROQUIS!$C$107/2+CROQUIS!$C$141,IF(CROQUIS!$C$105=1,-12,2),0)))*CROQUIS!$C$155)+IF(CROQUIS!$C$92="X",0,0)),-1000)</f>
        <v>-1000</v>
      </c>
      <c r="BQ176">
        <f>IF(AND(CROQUIS!$C$88=1,CROQUIS!$C$91=0,CROQUIS!$C$138&gt;0,OR(CROQUIS!$C$105=1,CROQUIS!$C$143=1)),((CROQUIS!$C$157+(IF(CROQUIS!$C$92="X",CHOOSE(IF(INT(($A176-1)/5)&gt;MAX((MIN(80,MAX(1,INT(((CROQUIS!$C$97)-CROQUIS!$C$107)/MAX(CROQUIS!$C$138,1))+1)))-1,0),0,MOD($A176-1,5))+1,0,IF(CROQUIS!$C$105=1,-12,2),CROQUIS!$C$107/2+CROQUIS!$C$141,IF(CROQUIS!$C$105=1,-12,2),0),((CROQUIS!$C$107/2+(((CROQUIS!$C$97)-CROQUIS!$C$107)-(MIN(80,MAX(1,INT(((CROQUIS!$C$97)-CROQUIS!$C$107)/MAX(CROQUIS!$C$138,1))+1))-1)*CROQUIS!$C$138)/2)+MIN(INT(($A176-1)/5),MAX((MIN(80,MAX(1,INT(((CROQUIS!$C$97)-CROQUIS!$C$107)/MAX(CROQUIS!$C$138,1))+1)))-1,0))*CROQUIS!$C$138)))*CROQUIS!$C$155)+IF(CROQUIS!$C$92="X",0,0)),-1000)</f>
        <v>-1000</v>
      </c>
      <c r="BR17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176-1)/5),MAX((MIN(80,MAX(1,INT(((CROQUIS!$C$97)-CROQUIS!$C$107)/MAX(CROQUIS!$C$138,1))+1)))-1,0))*CROQUIS!$C$138),CHOOSE(IF(INT(($A176-1)/5)&gt;MAX((MIN(80,MAX(1,INT(((CROQUIS!$C$97)-CROQUIS!$C$107)/MAX(CROQUIS!$C$138,1))+1)))-1,0),0,MOD($A176-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76">
        <f>IF(AND(CROQUIS!$C$88=1,CROQUIS!$C$91=0,CROQUIS!$C$138&gt;0,OR(CROQUIS!$C$106=1,CROQUIS!$C$143=1)),((CROQUIS!$C$157+(IF(CROQUIS!$C$92="X",CHOOSE(IF(INT(($A176-1)/5)&gt;MAX((MIN(80,MAX(1,INT(((CROQUIS!$C$97)-CROQUIS!$C$107)/MAX(CROQUIS!$C$138,1))+1)))-1,0),0,MOD($A176-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176-1)/5),MAX((MIN(80,MAX(1,INT(((CROQUIS!$C$97)-CROQUIS!$C$107)/MAX(CROQUIS!$C$138,1))+1)))-1,0))*CROQUIS!$C$138)))*CROQUIS!$C$155)+IF(CROQUIS!$C$92="X",0,0)),-1000)</f>
        <v>-1000</v>
      </c>
      <c r="BT176">
        <f>IF(AND(CROQUIS!$C$88=1,CROQUIS!$C$91=1,CROQUIS!$C$130&gt;0),((CROQUIS!$C$156+(IF(CROQUIS!$C$92="X",CHOOSE(IF(INT(($A176-1)/5)&gt;MAX((MIN(80,MAX(1,INT(((CROQUIS!$C$98)-CROQUIS!$C$107)/MAX(CROQUIS!$C$130,1))+1)))-1,0),0,MOD($A176-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176-1)/5),MAX((MIN(80,MAX(1,INT(((CROQUIS!$C$98)-CROQUIS!$C$107)/MAX(CROQUIS!$C$130,1))+1)))-1,0))*CROQUIS!$C$130)))*CROQUIS!$C$155)+IF(CROQUIS!$C$92="X",0,0)),-1000)</f>
        <v>-1000</v>
      </c>
      <c r="BU176">
        <f>IF(AND(CROQUIS!$C$88=1,CROQUIS!$C$91=1,CROQUIS!$C$130&gt;0),((CROQUIS!$C$157+(IF(CROQUIS!$C$92="X",((CROQUIS!$C$107/2+(((CROQUIS!$C$98)-CROQUIS!$C$107)-(MIN(80,MAX(1,INT(((CROQUIS!$C$98)-CROQUIS!$C$107)/MAX(CROQUIS!$C$130,1))+1))-1)*CROQUIS!$C$130)/2)+MIN(INT(($A176-1)/5),MAX((MIN(80,MAX(1,INT(((CROQUIS!$C$98)-CROQUIS!$C$107)/MAX(CROQUIS!$C$130,1))+1)))-1,0))*CROQUIS!$C$130),CHOOSE(IF(INT(($A176-1)/5)&gt;MAX((MIN(80,MAX(1,INT(((CROQUIS!$C$98)-CROQUIS!$C$107)/MAX(CROQUIS!$C$130,1))+1)))-1,0),0,MOD($A176-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77">
      <c r="A177" t="n">
        <v>170</v>
      </c>
      <c r="BH177">
        <f>IF(AND(CROQUIS!$C$88=1,CROQUIS!$C$126&gt;0),((CROQUIS!$C$156+(IF(CROQUIS!$C$92="X",CHOOSE(IF(INT(($A177-1)/5)&gt;MAX((MIN(80,MAX(1,INT(((CROQUIS!$C$98)-CROQUIS!$C$107)/MAX(CROQUIS!$C$126,1))+1)))-1,0),0,MOD($A177-1,5))+1,0,2,CROQUIS!$C$97-2,2,0),((CROQUIS!$C$107/2+(((CROQUIS!$C$98)-CROQUIS!$C$107)-(MIN(80,MAX(1,INT(((CROQUIS!$C$98)-CROQUIS!$C$107)/MAX(CROQUIS!$C$126,1))+1))-1)*CROQUIS!$C$126)/2)+MIN(INT(($A177-1)/5),MAX((MIN(80,MAX(1,INT(((CROQUIS!$C$98)-CROQUIS!$C$107)/MAX(CROQUIS!$C$126,1))+1)))-1,0))*CROQUIS!$C$126)))*CROQUIS!$C$155)+IF(CROQUIS!$C$92="X",0,0)),-1000)</f>
        <v>-1000</v>
      </c>
      <c r="BI177">
        <f>IF(AND(CROQUIS!$C$88=1,CROQUIS!$C$126&gt;0),((CROQUIS!$C$157+(IF(CROQUIS!$C$92="X",((CROQUIS!$C$107/2+(((CROQUIS!$C$98)-CROQUIS!$C$107)-(MIN(80,MAX(1,INT(((CROQUIS!$C$98)-CROQUIS!$C$107)/MAX(CROQUIS!$C$126,1))+1))-1)*CROQUIS!$C$126)/2)+MIN(INT(($A177-1)/5),MAX((MIN(80,MAX(1,INT(((CROQUIS!$C$98)-CROQUIS!$C$107)/MAX(CROQUIS!$C$126,1))+1)))-1,0))*CROQUIS!$C$126),CHOOSE(IF(INT(($A177-1)/5)&gt;MAX((MIN(80,MAX(1,INT(((CROQUIS!$C$98)-CROQUIS!$C$107)/MAX(CROQUIS!$C$126,1))+1)))-1,0),0,MOD($A177-1,5))+1,0,2,CROQUIS!$C$97-2,2,0)))*CROQUIS!$C$155)+IF(CROQUIS!$C$92="X",0,0)),-1000)</f>
        <v>-1000</v>
      </c>
      <c r="BJ177">
        <f>IF(AND(CROQUIS!$C$88=1,CROQUIS!$C$134&gt;0),((CROQUIS!$C$156+(IF(CROQUIS!$C$92="X",((CROQUIS!$C$107/2+(((CROQUIS!$C$97)-CROQUIS!$C$107)-(MIN(80,MAX(1,INT(((CROQUIS!$C$97)-CROQUIS!$C$107)/MAX(CROQUIS!$C$134,1))+1))-1)*CROQUIS!$C$134)/2)+MIN(INT(($A177-1)/5),MAX((MIN(80,MAX(1,INT(((CROQUIS!$C$97)-CROQUIS!$C$107)/MAX(CROQUIS!$C$134,1))+1)))-1,0))*CROQUIS!$C$134),CHOOSE(IF(INT(($A177-1)/5)&gt;MAX((MIN(80,MAX(1,INT(((CROQUIS!$C$97)-CROQUIS!$C$107)/MAX(CROQUIS!$C$134,1))+1)))-1,0),0,MOD($A177-1,5))+1,0,2,CROQUIS!$C$98-2,2,0)))*CROQUIS!$C$155)+IF(CROQUIS!$C$92="X",0,0)),-1000)</f>
        <v>-1000</v>
      </c>
      <c r="BK177">
        <f>IF(AND(CROQUIS!$C$88=1,CROQUIS!$C$134&gt;0),((CROQUIS!$C$157+(IF(CROQUIS!$C$92="X",CHOOSE(IF(INT(($A177-1)/5)&gt;MAX((MIN(80,MAX(1,INT(((CROQUIS!$C$97)-CROQUIS!$C$107)/MAX(CROQUIS!$C$134,1))+1)))-1,0),0,MOD($A177-1,5))+1,0,2,CROQUIS!$C$98-2,2,0),((CROQUIS!$C$107/2+(((CROQUIS!$C$97)-CROQUIS!$C$107)-(MIN(80,MAX(1,INT(((CROQUIS!$C$97)-CROQUIS!$C$107)/MAX(CROQUIS!$C$134,1))+1))-1)*CROQUIS!$C$134)/2)+MIN(INT(($A177-1)/5),MAX((MIN(80,MAX(1,INT(((CROQUIS!$C$97)-CROQUIS!$C$107)/MAX(CROQUIS!$C$134,1))+1)))-1,0))*CROQUIS!$C$134)))*CROQUIS!$C$155)+IF(CROQUIS!$C$92="X",0,0)),-1000)</f>
        <v>-1000</v>
      </c>
      <c r="BL177">
        <f>IF(AND(CROQUIS!$C$88=1,CROQUIS!$C$91=0,CROQUIS!$C$130&gt;0,OR(CROQUIS!$C$103=1,CROQUIS!$C$142=1)),((CROQUIS!$C$156+(IF(CROQUIS!$C$92="X",CHOOSE(IF(INT(($A177-1)/5)&gt;MAX((MIN(80,MAX(1,INT(((CROQUIS!$C$98)-CROQUIS!$C$107)/MAX(CROQUIS!$C$130,1))+1)))-1,0),0,MOD($A177-1,5))+1,0,IF(CROQUIS!$C$103=1,-12,2),CROQUIS!$C$107/2+CROQUIS!$C$140,IF(CROQUIS!$C$103=1,-12,2),0),((CROQUIS!$C$107/2+(((CROQUIS!$C$98)-CROQUIS!$C$107)-(MIN(80,MAX(1,INT(((CROQUIS!$C$98)-CROQUIS!$C$107)/MAX(CROQUIS!$C$130,1))+1))-1)*CROQUIS!$C$130)/2)+MIN(INT(($A177-1)/5),MAX((MIN(80,MAX(1,INT(((CROQUIS!$C$98)-CROQUIS!$C$107)/MAX(CROQUIS!$C$130,1))+1)))-1,0))*CROQUIS!$C$130)))*CROQUIS!$C$155)+IF(CROQUIS!$C$92="X",0,0)),-1000)</f>
        <v>-1000</v>
      </c>
      <c r="BM17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177-1)/5),MAX((MIN(80,MAX(1,INT(((CROQUIS!$C$98)-CROQUIS!$C$107)/MAX(CROQUIS!$C$130,1))+1)))-1,0))*CROQUIS!$C$130),CHOOSE(IF(INT(($A177-1)/5)&gt;MAX((MIN(80,MAX(1,INT(((CROQUIS!$C$98)-CROQUIS!$C$107)/MAX(CROQUIS!$C$130,1))+1)))-1,0),0,MOD($A177-1,5))+1,0,IF(CROQUIS!$C$103=1,-12,2),CROQUIS!$C$107/2+CROQUIS!$C$140,IF(CROQUIS!$C$103=1,-12,2),0)))*CROQUIS!$C$155)+IF(CROQUIS!$C$92="X",0,0)),-1000)</f>
        <v>-1000</v>
      </c>
      <c r="BN177">
        <f>IF(AND(CROQUIS!$C$88=1,CROQUIS!$C$91=0,CROQUIS!$C$130&gt;0,OR(CROQUIS!$C$104=1,CROQUIS!$C$142=1)),((CROQUIS!$C$156+(IF(CROQUIS!$C$92="X",CHOOSE(IF(INT(($A177-1)/5)&gt;MAX((MIN(80,MAX(1,INT(((CROQUIS!$C$98)-CROQUIS!$C$107)/MAX(CROQUIS!$C$130,1))+1)))-1,0),0,MOD($A177-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177-1)/5),MAX((MIN(80,MAX(1,INT(((CROQUIS!$C$98)-CROQUIS!$C$107)/MAX(CROQUIS!$C$130,1))+1)))-1,0))*CROQUIS!$C$130)))*CROQUIS!$C$155)+IF(CROQUIS!$C$92="X",0,0)),-1000)</f>
        <v>-1000</v>
      </c>
      <c r="BO17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177-1)/5),MAX((MIN(80,MAX(1,INT(((CROQUIS!$C$98)-CROQUIS!$C$107)/MAX(CROQUIS!$C$130,1))+1)))-1,0))*CROQUIS!$C$130),CHOOSE(IF(INT(($A177-1)/5)&gt;MAX((MIN(80,MAX(1,INT(((CROQUIS!$C$98)-CROQUIS!$C$107)/MAX(CROQUIS!$C$130,1))+1)))-1,0),0,MOD($A177-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7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177-1)/5),MAX((MIN(80,MAX(1,INT(((CROQUIS!$C$97)-CROQUIS!$C$107)/MAX(CROQUIS!$C$138,1))+1)))-1,0))*CROQUIS!$C$138),CHOOSE(IF(INT(($A177-1)/5)&gt;MAX((MIN(80,MAX(1,INT(((CROQUIS!$C$97)-CROQUIS!$C$107)/MAX(CROQUIS!$C$138,1))+1)))-1,0),0,MOD($A177-1,5))+1,0,IF(CROQUIS!$C$105=1,-12,2),CROQUIS!$C$107/2+CROQUIS!$C$141,IF(CROQUIS!$C$105=1,-12,2),0)))*CROQUIS!$C$155)+IF(CROQUIS!$C$92="X",0,0)),-1000)</f>
        <v>-1000</v>
      </c>
      <c r="BQ177">
        <f>IF(AND(CROQUIS!$C$88=1,CROQUIS!$C$91=0,CROQUIS!$C$138&gt;0,OR(CROQUIS!$C$105=1,CROQUIS!$C$143=1)),((CROQUIS!$C$157+(IF(CROQUIS!$C$92="X",CHOOSE(IF(INT(($A177-1)/5)&gt;MAX((MIN(80,MAX(1,INT(((CROQUIS!$C$97)-CROQUIS!$C$107)/MAX(CROQUIS!$C$138,1))+1)))-1,0),0,MOD($A177-1,5))+1,0,IF(CROQUIS!$C$105=1,-12,2),CROQUIS!$C$107/2+CROQUIS!$C$141,IF(CROQUIS!$C$105=1,-12,2),0),((CROQUIS!$C$107/2+(((CROQUIS!$C$97)-CROQUIS!$C$107)-(MIN(80,MAX(1,INT(((CROQUIS!$C$97)-CROQUIS!$C$107)/MAX(CROQUIS!$C$138,1))+1))-1)*CROQUIS!$C$138)/2)+MIN(INT(($A177-1)/5),MAX((MIN(80,MAX(1,INT(((CROQUIS!$C$97)-CROQUIS!$C$107)/MAX(CROQUIS!$C$138,1))+1)))-1,0))*CROQUIS!$C$138)))*CROQUIS!$C$155)+IF(CROQUIS!$C$92="X",0,0)),-1000)</f>
        <v>-1000</v>
      </c>
      <c r="BR17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177-1)/5),MAX((MIN(80,MAX(1,INT(((CROQUIS!$C$97)-CROQUIS!$C$107)/MAX(CROQUIS!$C$138,1))+1)))-1,0))*CROQUIS!$C$138),CHOOSE(IF(INT(($A177-1)/5)&gt;MAX((MIN(80,MAX(1,INT(((CROQUIS!$C$97)-CROQUIS!$C$107)/MAX(CROQUIS!$C$138,1))+1)))-1,0),0,MOD($A177-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77">
        <f>IF(AND(CROQUIS!$C$88=1,CROQUIS!$C$91=0,CROQUIS!$C$138&gt;0,OR(CROQUIS!$C$106=1,CROQUIS!$C$143=1)),((CROQUIS!$C$157+(IF(CROQUIS!$C$92="X",CHOOSE(IF(INT(($A177-1)/5)&gt;MAX((MIN(80,MAX(1,INT(((CROQUIS!$C$97)-CROQUIS!$C$107)/MAX(CROQUIS!$C$138,1))+1)))-1,0),0,MOD($A177-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177-1)/5),MAX((MIN(80,MAX(1,INT(((CROQUIS!$C$97)-CROQUIS!$C$107)/MAX(CROQUIS!$C$138,1))+1)))-1,0))*CROQUIS!$C$138)))*CROQUIS!$C$155)+IF(CROQUIS!$C$92="X",0,0)),-1000)</f>
        <v>-1000</v>
      </c>
      <c r="BT177">
        <f>IF(AND(CROQUIS!$C$88=1,CROQUIS!$C$91=1,CROQUIS!$C$130&gt;0),((CROQUIS!$C$156+(IF(CROQUIS!$C$92="X",CHOOSE(IF(INT(($A177-1)/5)&gt;MAX((MIN(80,MAX(1,INT(((CROQUIS!$C$98)-CROQUIS!$C$107)/MAX(CROQUIS!$C$130,1))+1)))-1,0),0,MOD($A177-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177-1)/5),MAX((MIN(80,MAX(1,INT(((CROQUIS!$C$98)-CROQUIS!$C$107)/MAX(CROQUIS!$C$130,1))+1)))-1,0))*CROQUIS!$C$130)))*CROQUIS!$C$155)+IF(CROQUIS!$C$92="X",0,0)),-1000)</f>
        <v>-1000</v>
      </c>
      <c r="BU177">
        <f>IF(AND(CROQUIS!$C$88=1,CROQUIS!$C$91=1,CROQUIS!$C$130&gt;0),((CROQUIS!$C$157+(IF(CROQUIS!$C$92="X",((CROQUIS!$C$107/2+(((CROQUIS!$C$98)-CROQUIS!$C$107)-(MIN(80,MAX(1,INT(((CROQUIS!$C$98)-CROQUIS!$C$107)/MAX(CROQUIS!$C$130,1))+1))-1)*CROQUIS!$C$130)/2)+MIN(INT(($A177-1)/5),MAX((MIN(80,MAX(1,INT(((CROQUIS!$C$98)-CROQUIS!$C$107)/MAX(CROQUIS!$C$130,1))+1)))-1,0))*CROQUIS!$C$130),CHOOSE(IF(INT(($A177-1)/5)&gt;MAX((MIN(80,MAX(1,INT(((CROQUIS!$C$98)-CROQUIS!$C$107)/MAX(CROQUIS!$C$130,1))+1)))-1,0),0,MOD($A177-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78">
      <c r="A178" t="n">
        <v>171</v>
      </c>
      <c r="BH178">
        <f>IF(AND(CROQUIS!$C$88=1,CROQUIS!$C$126&gt;0),((CROQUIS!$C$156+(IF(CROQUIS!$C$92="X",CHOOSE(IF(INT(($A178-1)/5)&gt;MAX((MIN(80,MAX(1,INT(((CROQUIS!$C$98)-CROQUIS!$C$107)/MAX(CROQUIS!$C$126,1))+1)))-1,0),0,MOD($A178-1,5))+1,0,2,CROQUIS!$C$97-2,2,0),((CROQUIS!$C$107/2+(((CROQUIS!$C$98)-CROQUIS!$C$107)-(MIN(80,MAX(1,INT(((CROQUIS!$C$98)-CROQUIS!$C$107)/MAX(CROQUIS!$C$126,1))+1))-1)*CROQUIS!$C$126)/2)+MIN(INT(($A178-1)/5),MAX((MIN(80,MAX(1,INT(((CROQUIS!$C$98)-CROQUIS!$C$107)/MAX(CROQUIS!$C$126,1))+1)))-1,0))*CROQUIS!$C$126)))*CROQUIS!$C$155)+IF(CROQUIS!$C$92="X",0,0)),-1000)</f>
        <v>-1000</v>
      </c>
      <c r="BI178">
        <f>IF(AND(CROQUIS!$C$88=1,CROQUIS!$C$126&gt;0),((CROQUIS!$C$157+(IF(CROQUIS!$C$92="X",((CROQUIS!$C$107/2+(((CROQUIS!$C$98)-CROQUIS!$C$107)-(MIN(80,MAX(1,INT(((CROQUIS!$C$98)-CROQUIS!$C$107)/MAX(CROQUIS!$C$126,1))+1))-1)*CROQUIS!$C$126)/2)+MIN(INT(($A178-1)/5),MAX((MIN(80,MAX(1,INT(((CROQUIS!$C$98)-CROQUIS!$C$107)/MAX(CROQUIS!$C$126,1))+1)))-1,0))*CROQUIS!$C$126),CHOOSE(IF(INT(($A178-1)/5)&gt;MAX((MIN(80,MAX(1,INT(((CROQUIS!$C$98)-CROQUIS!$C$107)/MAX(CROQUIS!$C$126,1))+1)))-1,0),0,MOD($A178-1,5))+1,0,2,CROQUIS!$C$97-2,2,0)))*CROQUIS!$C$155)+IF(CROQUIS!$C$92="X",0,0)),-1000)</f>
        <v>-1000</v>
      </c>
      <c r="BJ178">
        <f>IF(AND(CROQUIS!$C$88=1,CROQUIS!$C$134&gt;0),((CROQUIS!$C$156+(IF(CROQUIS!$C$92="X",((CROQUIS!$C$107/2+(((CROQUIS!$C$97)-CROQUIS!$C$107)-(MIN(80,MAX(1,INT(((CROQUIS!$C$97)-CROQUIS!$C$107)/MAX(CROQUIS!$C$134,1))+1))-1)*CROQUIS!$C$134)/2)+MIN(INT(($A178-1)/5),MAX((MIN(80,MAX(1,INT(((CROQUIS!$C$97)-CROQUIS!$C$107)/MAX(CROQUIS!$C$134,1))+1)))-1,0))*CROQUIS!$C$134),CHOOSE(IF(INT(($A178-1)/5)&gt;MAX((MIN(80,MAX(1,INT(((CROQUIS!$C$97)-CROQUIS!$C$107)/MAX(CROQUIS!$C$134,1))+1)))-1,0),0,MOD($A178-1,5))+1,0,2,CROQUIS!$C$98-2,2,0)))*CROQUIS!$C$155)+IF(CROQUIS!$C$92="X",0,0)),-1000)</f>
        <v>-1000</v>
      </c>
      <c r="BK178">
        <f>IF(AND(CROQUIS!$C$88=1,CROQUIS!$C$134&gt;0),((CROQUIS!$C$157+(IF(CROQUIS!$C$92="X",CHOOSE(IF(INT(($A178-1)/5)&gt;MAX((MIN(80,MAX(1,INT(((CROQUIS!$C$97)-CROQUIS!$C$107)/MAX(CROQUIS!$C$134,1))+1)))-1,0),0,MOD($A178-1,5))+1,0,2,CROQUIS!$C$98-2,2,0),((CROQUIS!$C$107/2+(((CROQUIS!$C$97)-CROQUIS!$C$107)-(MIN(80,MAX(1,INT(((CROQUIS!$C$97)-CROQUIS!$C$107)/MAX(CROQUIS!$C$134,1))+1))-1)*CROQUIS!$C$134)/2)+MIN(INT(($A178-1)/5),MAX((MIN(80,MAX(1,INT(((CROQUIS!$C$97)-CROQUIS!$C$107)/MAX(CROQUIS!$C$134,1))+1)))-1,0))*CROQUIS!$C$134)))*CROQUIS!$C$155)+IF(CROQUIS!$C$92="X",0,0)),-1000)</f>
        <v>-1000</v>
      </c>
      <c r="BL178">
        <f>IF(AND(CROQUIS!$C$88=1,CROQUIS!$C$91=0,CROQUIS!$C$130&gt;0,OR(CROQUIS!$C$103=1,CROQUIS!$C$142=1)),((CROQUIS!$C$156+(IF(CROQUIS!$C$92="X",CHOOSE(IF(INT(($A178-1)/5)&gt;MAX((MIN(80,MAX(1,INT(((CROQUIS!$C$98)-CROQUIS!$C$107)/MAX(CROQUIS!$C$130,1))+1)))-1,0),0,MOD($A178-1,5))+1,0,IF(CROQUIS!$C$103=1,-12,2),CROQUIS!$C$107/2+CROQUIS!$C$140,IF(CROQUIS!$C$103=1,-12,2),0),((CROQUIS!$C$107/2+(((CROQUIS!$C$98)-CROQUIS!$C$107)-(MIN(80,MAX(1,INT(((CROQUIS!$C$98)-CROQUIS!$C$107)/MAX(CROQUIS!$C$130,1))+1))-1)*CROQUIS!$C$130)/2)+MIN(INT(($A178-1)/5),MAX((MIN(80,MAX(1,INT(((CROQUIS!$C$98)-CROQUIS!$C$107)/MAX(CROQUIS!$C$130,1))+1)))-1,0))*CROQUIS!$C$130)))*CROQUIS!$C$155)+IF(CROQUIS!$C$92="X",0,0)),-1000)</f>
        <v>-1000</v>
      </c>
      <c r="BM17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178-1)/5),MAX((MIN(80,MAX(1,INT(((CROQUIS!$C$98)-CROQUIS!$C$107)/MAX(CROQUIS!$C$130,1))+1)))-1,0))*CROQUIS!$C$130),CHOOSE(IF(INT(($A178-1)/5)&gt;MAX((MIN(80,MAX(1,INT(((CROQUIS!$C$98)-CROQUIS!$C$107)/MAX(CROQUIS!$C$130,1))+1)))-1,0),0,MOD($A178-1,5))+1,0,IF(CROQUIS!$C$103=1,-12,2),CROQUIS!$C$107/2+CROQUIS!$C$140,IF(CROQUIS!$C$103=1,-12,2),0)))*CROQUIS!$C$155)+IF(CROQUIS!$C$92="X",0,0)),-1000)</f>
        <v>-1000</v>
      </c>
      <c r="BN178">
        <f>IF(AND(CROQUIS!$C$88=1,CROQUIS!$C$91=0,CROQUIS!$C$130&gt;0,OR(CROQUIS!$C$104=1,CROQUIS!$C$142=1)),((CROQUIS!$C$156+(IF(CROQUIS!$C$92="X",CHOOSE(IF(INT(($A178-1)/5)&gt;MAX((MIN(80,MAX(1,INT(((CROQUIS!$C$98)-CROQUIS!$C$107)/MAX(CROQUIS!$C$130,1))+1)))-1,0),0,MOD($A178-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178-1)/5),MAX((MIN(80,MAX(1,INT(((CROQUIS!$C$98)-CROQUIS!$C$107)/MAX(CROQUIS!$C$130,1))+1)))-1,0))*CROQUIS!$C$130)))*CROQUIS!$C$155)+IF(CROQUIS!$C$92="X",0,0)),-1000)</f>
        <v>-1000</v>
      </c>
      <c r="BO17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178-1)/5),MAX((MIN(80,MAX(1,INT(((CROQUIS!$C$98)-CROQUIS!$C$107)/MAX(CROQUIS!$C$130,1))+1)))-1,0))*CROQUIS!$C$130),CHOOSE(IF(INT(($A178-1)/5)&gt;MAX((MIN(80,MAX(1,INT(((CROQUIS!$C$98)-CROQUIS!$C$107)/MAX(CROQUIS!$C$130,1))+1)))-1,0),0,MOD($A178-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7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178-1)/5),MAX((MIN(80,MAX(1,INT(((CROQUIS!$C$97)-CROQUIS!$C$107)/MAX(CROQUIS!$C$138,1))+1)))-1,0))*CROQUIS!$C$138),CHOOSE(IF(INT(($A178-1)/5)&gt;MAX((MIN(80,MAX(1,INT(((CROQUIS!$C$97)-CROQUIS!$C$107)/MAX(CROQUIS!$C$138,1))+1)))-1,0),0,MOD($A178-1,5))+1,0,IF(CROQUIS!$C$105=1,-12,2),CROQUIS!$C$107/2+CROQUIS!$C$141,IF(CROQUIS!$C$105=1,-12,2),0)))*CROQUIS!$C$155)+IF(CROQUIS!$C$92="X",0,0)),-1000)</f>
        <v>-1000</v>
      </c>
      <c r="BQ178">
        <f>IF(AND(CROQUIS!$C$88=1,CROQUIS!$C$91=0,CROQUIS!$C$138&gt;0,OR(CROQUIS!$C$105=1,CROQUIS!$C$143=1)),((CROQUIS!$C$157+(IF(CROQUIS!$C$92="X",CHOOSE(IF(INT(($A178-1)/5)&gt;MAX((MIN(80,MAX(1,INT(((CROQUIS!$C$97)-CROQUIS!$C$107)/MAX(CROQUIS!$C$138,1))+1)))-1,0),0,MOD($A178-1,5))+1,0,IF(CROQUIS!$C$105=1,-12,2),CROQUIS!$C$107/2+CROQUIS!$C$141,IF(CROQUIS!$C$105=1,-12,2),0),((CROQUIS!$C$107/2+(((CROQUIS!$C$97)-CROQUIS!$C$107)-(MIN(80,MAX(1,INT(((CROQUIS!$C$97)-CROQUIS!$C$107)/MAX(CROQUIS!$C$138,1))+1))-1)*CROQUIS!$C$138)/2)+MIN(INT(($A178-1)/5),MAX((MIN(80,MAX(1,INT(((CROQUIS!$C$97)-CROQUIS!$C$107)/MAX(CROQUIS!$C$138,1))+1)))-1,0))*CROQUIS!$C$138)))*CROQUIS!$C$155)+IF(CROQUIS!$C$92="X",0,0)),-1000)</f>
        <v>-1000</v>
      </c>
      <c r="BR17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178-1)/5),MAX((MIN(80,MAX(1,INT(((CROQUIS!$C$97)-CROQUIS!$C$107)/MAX(CROQUIS!$C$138,1))+1)))-1,0))*CROQUIS!$C$138),CHOOSE(IF(INT(($A178-1)/5)&gt;MAX((MIN(80,MAX(1,INT(((CROQUIS!$C$97)-CROQUIS!$C$107)/MAX(CROQUIS!$C$138,1))+1)))-1,0),0,MOD($A178-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78">
        <f>IF(AND(CROQUIS!$C$88=1,CROQUIS!$C$91=0,CROQUIS!$C$138&gt;0,OR(CROQUIS!$C$106=1,CROQUIS!$C$143=1)),((CROQUIS!$C$157+(IF(CROQUIS!$C$92="X",CHOOSE(IF(INT(($A178-1)/5)&gt;MAX((MIN(80,MAX(1,INT(((CROQUIS!$C$97)-CROQUIS!$C$107)/MAX(CROQUIS!$C$138,1))+1)))-1,0),0,MOD($A178-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178-1)/5),MAX((MIN(80,MAX(1,INT(((CROQUIS!$C$97)-CROQUIS!$C$107)/MAX(CROQUIS!$C$138,1))+1)))-1,0))*CROQUIS!$C$138)))*CROQUIS!$C$155)+IF(CROQUIS!$C$92="X",0,0)),-1000)</f>
        <v>-1000</v>
      </c>
      <c r="BT178">
        <f>IF(AND(CROQUIS!$C$88=1,CROQUIS!$C$91=1,CROQUIS!$C$130&gt;0),((CROQUIS!$C$156+(IF(CROQUIS!$C$92="X",CHOOSE(IF(INT(($A178-1)/5)&gt;MAX((MIN(80,MAX(1,INT(((CROQUIS!$C$98)-CROQUIS!$C$107)/MAX(CROQUIS!$C$130,1))+1)))-1,0),0,MOD($A178-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178-1)/5),MAX((MIN(80,MAX(1,INT(((CROQUIS!$C$98)-CROQUIS!$C$107)/MAX(CROQUIS!$C$130,1))+1)))-1,0))*CROQUIS!$C$130)))*CROQUIS!$C$155)+IF(CROQUIS!$C$92="X",0,0)),-1000)</f>
        <v>-1000</v>
      </c>
      <c r="BU178">
        <f>IF(AND(CROQUIS!$C$88=1,CROQUIS!$C$91=1,CROQUIS!$C$130&gt;0),((CROQUIS!$C$157+(IF(CROQUIS!$C$92="X",((CROQUIS!$C$107/2+(((CROQUIS!$C$98)-CROQUIS!$C$107)-(MIN(80,MAX(1,INT(((CROQUIS!$C$98)-CROQUIS!$C$107)/MAX(CROQUIS!$C$130,1))+1))-1)*CROQUIS!$C$130)/2)+MIN(INT(($A178-1)/5),MAX((MIN(80,MAX(1,INT(((CROQUIS!$C$98)-CROQUIS!$C$107)/MAX(CROQUIS!$C$130,1))+1)))-1,0))*CROQUIS!$C$130),CHOOSE(IF(INT(($A178-1)/5)&gt;MAX((MIN(80,MAX(1,INT(((CROQUIS!$C$98)-CROQUIS!$C$107)/MAX(CROQUIS!$C$130,1))+1)))-1,0),0,MOD($A178-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79">
      <c r="A179" t="n">
        <v>172</v>
      </c>
      <c r="BH179">
        <f>IF(AND(CROQUIS!$C$88=1,CROQUIS!$C$126&gt;0),((CROQUIS!$C$156+(IF(CROQUIS!$C$92="X",CHOOSE(IF(INT(($A179-1)/5)&gt;MAX((MIN(80,MAX(1,INT(((CROQUIS!$C$98)-CROQUIS!$C$107)/MAX(CROQUIS!$C$126,1))+1)))-1,0),0,MOD($A179-1,5))+1,0,2,CROQUIS!$C$97-2,2,0),((CROQUIS!$C$107/2+(((CROQUIS!$C$98)-CROQUIS!$C$107)-(MIN(80,MAX(1,INT(((CROQUIS!$C$98)-CROQUIS!$C$107)/MAX(CROQUIS!$C$126,1))+1))-1)*CROQUIS!$C$126)/2)+MIN(INT(($A179-1)/5),MAX((MIN(80,MAX(1,INT(((CROQUIS!$C$98)-CROQUIS!$C$107)/MAX(CROQUIS!$C$126,1))+1)))-1,0))*CROQUIS!$C$126)))*CROQUIS!$C$155)+IF(CROQUIS!$C$92="X",0,0)),-1000)</f>
        <v>-1000</v>
      </c>
      <c r="BI179">
        <f>IF(AND(CROQUIS!$C$88=1,CROQUIS!$C$126&gt;0),((CROQUIS!$C$157+(IF(CROQUIS!$C$92="X",((CROQUIS!$C$107/2+(((CROQUIS!$C$98)-CROQUIS!$C$107)-(MIN(80,MAX(1,INT(((CROQUIS!$C$98)-CROQUIS!$C$107)/MAX(CROQUIS!$C$126,1))+1))-1)*CROQUIS!$C$126)/2)+MIN(INT(($A179-1)/5),MAX((MIN(80,MAX(1,INT(((CROQUIS!$C$98)-CROQUIS!$C$107)/MAX(CROQUIS!$C$126,1))+1)))-1,0))*CROQUIS!$C$126),CHOOSE(IF(INT(($A179-1)/5)&gt;MAX((MIN(80,MAX(1,INT(((CROQUIS!$C$98)-CROQUIS!$C$107)/MAX(CROQUIS!$C$126,1))+1)))-1,0),0,MOD($A179-1,5))+1,0,2,CROQUIS!$C$97-2,2,0)))*CROQUIS!$C$155)+IF(CROQUIS!$C$92="X",0,0)),-1000)</f>
        <v>-1000</v>
      </c>
      <c r="BJ179">
        <f>IF(AND(CROQUIS!$C$88=1,CROQUIS!$C$134&gt;0),((CROQUIS!$C$156+(IF(CROQUIS!$C$92="X",((CROQUIS!$C$107/2+(((CROQUIS!$C$97)-CROQUIS!$C$107)-(MIN(80,MAX(1,INT(((CROQUIS!$C$97)-CROQUIS!$C$107)/MAX(CROQUIS!$C$134,1))+1))-1)*CROQUIS!$C$134)/2)+MIN(INT(($A179-1)/5),MAX((MIN(80,MAX(1,INT(((CROQUIS!$C$97)-CROQUIS!$C$107)/MAX(CROQUIS!$C$134,1))+1)))-1,0))*CROQUIS!$C$134),CHOOSE(IF(INT(($A179-1)/5)&gt;MAX((MIN(80,MAX(1,INT(((CROQUIS!$C$97)-CROQUIS!$C$107)/MAX(CROQUIS!$C$134,1))+1)))-1,0),0,MOD($A179-1,5))+1,0,2,CROQUIS!$C$98-2,2,0)))*CROQUIS!$C$155)+IF(CROQUIS!$C$92="X",0,0)),-1000)</f>
        <v>-1000</v>
      </c>
      <c r="BK179">
        <f>IF(AND(CROQUIS!$C$88=1,CROQUIS!$C$134&gt;0),((CROQUIS!$C$157+(IF(CROQUIS!$C$92="X",CHOOSE(IF(INT(($A179-1)/5)&gt;MAX((MIN(80,MAX(1,INT(((CROQUIS!$C$97)-CROQUIS!$C$107)/MAX(CROQUIS!$C$134,1))+1)))-1,0),0,MOD($A179-1,5))+1,0,2,CROQUIS!$C$98-2,2,0),((CROQUIS!$C$107/2+(((CROQUIS!$C$97)-CROQUIS!$C$107)-(MIN(80,MAX(1,INT(((CROQUIS!$C$97)-CROQUIS!$C$107)/MAX(CROQUIS!$C$134,1))+1))-1)*CROQUIS!$C$134)/2)+MIN(INT(($A179-1)/5),MAX((MIN(80,MAX(1,INT(((CROQUIS!$C$97)-CROQUIS!$C$107)/MAX(CROQUIS!$C$134,1))+1)))-1,0))*CROQUIS!$C$134)))*CROQUIS!$C$155)+IF(CROQUIS!$C$92="X",0,0)),-1000)</f>
        <v>-1000</v>
      </c>
      <c r="BL179">
        <f>IF(AND(CROQUIS!$C$88=1,CROQUIS!$C$91=0,CROQUIS!$C$130&gt;0,OR(CROQUIS!$C$103=1,CROQUIS!$C$142=1)),((CROQUIS!$C$156+(IF(CROQUIS!$C$92="X",CHOOSE(IF(INT(($A179-1)/5)&gt;MAX((MIN(80,MAX(1,INT(((CROQUIS!$C$98)-CROQUIS!$C$107)/MAX(CROQUIS!$C$130,1))+1)))-1,0),0,MOD($A179-1,5))+1,0,IF(CROQUIS!$C$103=1,-12,2),CROQUIS!$C$107/2+CROQUIS!$C$140,IF(CROQUIS!$C$103=1,-12,2),0),((CROQUIS!$C$107/2+(((CROQUIS!$C$98)-CROQUIS!$C$107)-(MIN(80,MAX(1,INT(((CROQUIS!$C$98)-CROQUIS!$C$107)/MAX(CROQUIS!$C$130,1))+1))-1)*CROQUIS!$C$130)/2)+MIN(INT(($A179-1)/5),MAX((MIN(80,MAX(1,INT(((CROQUIS!$C$98)-CROQUIS!$C$107)/MAX(CROQUIS!$C$130,1))+1)))-1,0))*CROQUIS!$C$130)))*CROQUIS!$C$155)+IF(CROQUIS!$C$92="X",0,0)),-1000)</f>
        <v>-1000</v>
      </c>
      <c r="BM17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179-1)/5),MAX((MIN(80,MAX(1,INT(((CROQUIS!$C$98)-CROQUIS!$C$107)/MAX(CROQUIS!$C$130,1))+1)))-1,0))*CROQUIS!$C$130),CHOOSE(IF(INT(($A179-1)/5)&gt;MAX((MIN(80,MAX(1,INT(((CROQUIS!$C$98)-CROQUIS!$C$107)/MAX(CROQUIS!$C$130,1))+1)))-1,0),0,MOD($A179-1,5))+1,0,IF(CROQUIS!$C$103=1,-12,2),CROQUIS!$C$107/2+CROQUIS!$C$140,IF(CROQUIS!$C$103=1,-12,2),0)))*CROQUIS!$C$155)+IF(CROQUIS!$C$92="X",0,0)),-1000)</f>
        <v>-1000</v>
      </c>
      <c r="BN179">
        <f>IF(AND(CROQUIS!$C$88=1,CROQUIS!$C$91=0,CROQUIS!$C$130&gt;0,OR(CROQUIS!$C$104=1,CROQUIS!$C$142=1)),((CROQUIS!$C$156+(IF(CROQUIS!$C$92="X",CHOOSE(IF(INT(($A179-1)/5)&gt;MAX((MIN(80,MAX(1,INT(((CROQUIS!$C$98)-CROQUIS!$C$107)/MAX(CROQUIS!$C$130,1))+1)))-1,0),0,MOD($A179-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179-1)/5),MAX((MIN(80,MAX(1,INT(((CROQUIS!$C$98)-CROQUIS!$C$107)/MAX(CROQUIS!$C$130,1))+1)))-1,0))*CROQUIS!$C$130)))*CROQUIS!$C$155)+IF(CROQUIS!$C$92="X",0,0)),-1000)</f>
        <v>-1000</v>
      </c>
      <c r="BO17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179-1)/5),MAX((MIN(80,MAX(1,INT(((CROQUIS!$C$98)-CROQUIS!$C$107)/MAX(CROQUIS!$C$130,1))+1)))-1,0))*CROQUIS!$C$130),CHOOSE(IF(INT(($A179-1)/5)&gt;MAX((MIN(80,MAX(1,INT(((CROQUIS!$C$98)-CROQUIS!$C$107)/MAX(CROQUIS!$C$130,1))+1)))-1,0),0,MOD($A179-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7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179-1)/5),MAX((MIN(80,MAX(1,INT(((CROQUIS!$C$97)-CROQUIS!$C$107)/MAX(CROQUIS!$C$138,1))+1)))-1,0))*CROQUIS!$C$138),CHOOSE(IF(INT(($A179-1)/5)&gt;MAX((MIN(80,MAX(1,INT(((CROQUIS!$C$97)-CROQUIS!$C$107)/MAX(CROQUIS!$C$138,1))+1)))-1,0),0,MOD($A179-1,5))+1,0,IF(CROQUIS!$C$105=1,-12,2),CROQUIS!$C$107/2+CROQUIS!$C$141,IF(CROQUIS!$C$105=1,-12,2),0)))*CROQUIS!$C$155)+IF(CROQUIS!$C$92="X",0,0)),-1000)</f>
        <v>-1000</v>
      </c>
      <c r="BQ179">
        <f>IF(AND(CROQUIS!$C$88=1,CROQUIS!$C$91=0,CROQUIS!$C$138&gt;0,OR(CROQUIS!$C$105=1,CROQUIS!$C$143=1)),((CROQUIS!$C$157+(IF(CROQUIS!$C$92="X",CHOOSE(IF(INT(($A179-1)/5)&gt;MAX((MIN(80,MAX(1,INT(((CROQUIS!$C$97)-CROQUIS!$C$107)/MAX(CROQUIS!$C$138,1))+1)))-1,0),0,MOD($A179-1,5))+1,0,IF(CROQUIS!$C$105=1,-12,2),CROQUIS!$C$107/2+CROQUIS!$C$141,IF(CROQUIS!$C$105=1,-12,2),0),((CROQUIS!$C$107/2+(((CROQUIS!$C$97)-CROQUIS!$C$107)-(MIN(80,MAX(1,INT(((CROQUIS!$C$97)-CROQUIS!$C$107)/MAX(CROQUIS!$C$138,1))+1))-1)*CROQUIS!$C$138)/2)+MIN(INT(($A179-1)/5),MAX((MIN(80,MAX(1,INT(((CROQUIS!$C$97)-CROQUIS!$C$107)/MAX(CROQUIS!$C$138,1))+1)))-1,0))*CROQUIS!$C$138)))*CROQUIS!$C$155)+IF(CROQUIS!$C$92="X",0,0)),-1000)</f>
        <v>-1000</v>
      </c>
      <c r="BR17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179-1)/5),MAX((MIN(80,MAX(1,INT(((CROQUIS!$C$97)-CROQUIS!$C$107)/MAX(CROQUIS!$C$138,1))+1)))-1,0))*CROQUIS!$C$138),CHOOSE(IF(INT(($A179-1)/5)&gt;MAX((MIN(80,MAX(1,INT(((CROQUIS!$C$97)-CROQUIS!$C$107)/MAX(CROQUIS!$C$138,1))+1)))-1,0),0,MOD($A179-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79">
        <f>IF(AND(CROQUIS!$C$88=1,CROQUIS!$C$91=0,CROQUIS!$C$138&gt;0,OR(CROQUIS!$C$106=1,CROQUIS!$C$143=1)),((CROQUIS!$C$157+(IF(CROQUIS!$C$92="X",CHOOSE(IF(INT(($A179-1)/5)&gt;MAX((MIN(80,MAX(1,INT(((CROQUIS!$C$97)-CROQUIS!$C$107)/MAX(CROQUIS!$C$138,1))+1)))-1,0),0,MOD($A179-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179-1)/5),MAX((MIN(80,MAX(1,INT(((CROQUIS!$C$97)-CROQUIS!$C$107)/MAX(CROQUIS!$C$138,1))+1)))-1,0))*CROQUIS!$C$138)))*CROQUIS!$C$155)+IF(CROQUIS!$C$92="X",0,0)),-1000)</f>
        <v>-1000</v>
      </c>
      <c r="BT179">
        <f>IF(AND(CROQUIS!$C$88=1,CROQUIS!$C$91=1,CROQUIS!$C$130&gt;0),((CROQUIS!$C$156+(IF(CROQUIS!$C$92="X",CHOOSE(IF(INT(($A179-1)/5)&gt;MAX((MIN(80,MAX(1,INT(((CROQUIS!$C$98)-CROQUIS!$C$107)/MAX(CROQUIS!$C$130,1))+1)))-1,0),0,MOD($A179-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179-1)/5),MAX((MIN(80,MAX(1,INT(((CROQUIS!$C$98)-CROQUIS!$C$107)/MAX(CROQUIS!$C$130,1))+1)))-1,0))*CROQUIS!$C$130)))*CROQUIS!$C$155)+IF(CROQUIS!$C$92="X",0,0)),-1000)</f>
        <v>-1000</v>
      </c>
      <c r="BU179">
        <f>IF(AND(CROQUIS!$C$88=1,CROQUIS!$C$91=1,CROQUIS!$C$130&gt;0),((CROQUIS!$C$157+(IF(CROQUIS!$C$92="X",((CROQUIS!$C$107/2+(((CROQUIS!$C$98)-CROQUIS!$C$107)-(MIN(80,MAX(1,INT(((CROQUIS!$C$98)-CROQUIS!$C$107)/MAX(CROQUIS!$C$130,1))+1))-1)*CROQUIS!$C$130)/2)+MIN(INT(($A179-1)/5),MAX((MIN(80,MAX(1,INT(((CROQUIS!$C$98)-CROQUIS!$C$107)/MAX(CROQUIS!$C$130,1))+1)))-1,0))*CROQUIS!$C$130),CHOOSE(IF(INT(($A179-1)/5)&gt;MAX((MIN(80,MAX(1,INT(((CROQUIS!$C$98)-CROQUIS!$C$107)/MAX(CROQUIS!$C$130,1))+1)))-1,0),0,MOD($A179-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80">
      <c r="A180" t="n">
        <v>173</v>
      </c>
      <c r="BH180">
        <f>IF(AND(CROQUIS!$C$88=1,CROQUIS!$C$126&gt;0),((CROQUIS!$C$156+(IF(CROQUIS!$C$92="X",CHOOSE(IF(INT(($A180-1)/5)&gt;MAX((MIN(80,MAX(1,INT(((CROQUIS!$C$98)-CROQUIS!$C$107)/MAX(CROQUIS!$C$126,1))+1)))-1,0),0,MOD($A180-1,5))+1,0,2,CROQUIS!$C$97-2,2,0),((CROQUIS!$C$107/2+(((CROQUIS!$C$98)-CROQUIS!$C$107)-(MIN(80,MAX(1,INT(((CROQUIS!$C$98)-CROQUIS!$C$107)/MAX(CROQUIS!$C$126,1))+1))-1)*CROQUIS!$C$126)/2)+MIN(INT(($A180-1)/5),MAX((MIN(80,MAX(1,INT(((CROQUIS!$C$98)-CROQUIS!$C$107)/MAX(CROQUIS!$C$126,1))+1)))-1,0))*CROQUIS!$C$126)))*CROQUIS!$C$155)+IF(CROQUIS!$C$92="X",0,0)),-1000)</f>
        <v>-1000</v>
      </c>
      <c r="BI180">
        <f>IF(AND(CROQUIS!$C$88=1,CROQUIS!$C$126&gt;0),((CROQUIS!$C$157+(IF(CROQUIS!$C$92="X",((CROQUIS!$C$107/2+(((CROQUIS!$C$98)-CROQUIS!$C$107)-(MIN(80,MAX(1,INT(((CROQUIS!$C$98)-CROQUIS!$C$107)/MAX(CROQUIS!$C$126,1))+1))-1)*CROQUIS!$C$126)/2)+MIN(INT(($A180-1)/5),MAX((MIN(80,MAX(1,INT(((CROQUIS!$C$98)-CROQUIS!$C$107)/MAX(CROQUIS!$C$126,1))+1)))-1,0))*CROQUIS!$C$126),CHOOSE(IF(INT(($A180-1)/5)&gt;MAX((MIN(80,MAX(1,INT(((CROQUIS!$C$98)-CROQUIS!$C$107)/MAX(CROQUIS!$C$126,1))+1)))-1,0),0,MOD($A180-1,5))+1,0,2,CROQUIS!$C$97-2,2,0)))*CROQUIS!$C$155)+IF(CROQUIS!$C$92="X",0,0)),-1000)</f>
        <v>-1000</v>
      </c>
      <c r="BJ180">
        <f>IF(AND(CROQUIS!$C$88=1,CROQUIS!$C$134&gt;0),((CROQUIS!$C$156+(IF(CROQUIS!$C$92="X",((CROQUIS!$C$107/2+(((CROQUIS!$C$97)-CROQUIS!$C$107)-(MIN(80,MAX(1,INT(((CROQUIS!$C$97)-CROQUIS!$C$107)/MAX(CROQUIS!$C$134,1))+1))-1)*CROQUIS!$C$134)/2)+MIN(INT(($A180-1)/5),MAX((MIN(80,MAX(1,INT(((CROQUIS!$C$97)-CROQUIS!$C$107)/MAX(CROQUIS!$C$134,1))+1)))-1,0))*CROQUIS!$C$134),CHOOSE(IF(INT(($A180-1)/5)&gt;MAX((MIN(80,MAX(1,INT(((CROQUIS!$C$97)-CROQUIS!$C$107)/MAX(CROQUIS!$C$134,1))+1)))-1,0),0,MOD($A180-1,5))+1,0,2,CROQUIS!$C$98-2,2,0)))*CROQUIS!$C$155)+IF(CROQUIS!$C$92="X",0,0)),-1000)</f>
        <v>-1000</v>
      </c>
      <c r="BK180">
        <f>IF(AND(CROQUIS!$C$88=1,CROQUIS!$C$134&gt;0),((CROQUIS!$C$157+(IF(CROQUIS!$C$92="X",CHOOSE(IF(INT(($A180-1)/5)&gt;MAX((MIN(80,MAX(1,INT(((CROQUIS!$C$97)-CROQUIS!$C$107)/MAX(CROQUIS!$C$134,1))+1)))-1,0),0,MOD($A180-1,5))+1,0,2,CROQUIS!$C$98-2,2,0),((CROQUIS!$C$107/2+(((CROQUIS!$C$97)-CROQUIS!$C$107)-(MIN(80,MAX(1,INT(((CROQUIS!$C$97)-CROQUIS!$C$107)/MAX(CROQUIS!$C$134,1))+1))-1)*CROQUIS!$C$134)/2)+MIN(INT(($A180-1)/5),MAX((MIN(80,MAX(1,INT(((CROQUIS!$C$97)-CROQUIS!$C$107)/MAX(CROQUIS!$C$134,1))+1)))-1,0))*CROQUIS!$C$134)))*CROQUIS!$C$155)+IF(CROQUIS!$C$92="X",0,0)),-1000)</f>
        <v>-1000</v>
      </c>
      <c r="BL180">
        <f>IF(AND(CROQUIS!$C$88=1,CROQUIS!$C$91=0,CROQUIS!$C$130&gt;0,OR(CROQUIS!$C$103=1,CROQUIS!$C$142=1)),((CROQUIS!$C$156+(IF(CROQUIS!$C$92="X",CHOOSE(IF(INT(($A180-1)/5)&gt;MAX((MIN(80,MAX(1,INT(((CROQUIS!$C$98)-CROQUIS!$C$107)/MAX(CROQUIS!$C$130,1))+1)))-1,0),0,MOD($A180-1,5))+1,0,IF(CROQUIS!$C$103=1,-12,2),CROQUIS!$C$107/2+CROQUIS!$C$140,IF(CROQUIS!$C$103=1,-12,2),0),((CROQUIS!$C$107/2+(((CROQUIS!$C$98)-CROQUIS!$C$107)-(MIN(80,MAX(1,INT(((CROQUIS!$C$98)-CROQUIS!$C$107)/MAX(CROQUIS!$C$130,1))+1))-1)*CROQUIS!$C$130)/2)+MIN(INT(($A180-1)/5),MAX((MIN(80,MAX(1,INT(((CROQUIS!$C$98)-CROQUIS!$C$107)/MAX(CROQUIS!$C$130,1))+1)))-1,0))*CROQUIS!$C$130)))*CROQUIS!$C$155)+IF(CROQUIS!$C$92="X",0,0)),-1000)</f>
        <v>-1000</v>
      </c>
      <c r="BM18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180-1)/5),MAX((MIN(80,MAX(1,INT(((CROQUIS!$C$98)-CROQUIS!$C$107)/MAX(CROQUIS!$C$130,1))+1)))-1,0))*CROQUIS!$C$130),CHOOSE(IF(INT(($A180-1)/5)&gt;MAX((MIN(80,MAX(1,INT(((CROQUIS!$C$98)-CROQUIS!$C$107)/MAX(CROQUIS!$C$130,1))+1)))-1,0),0,MOD($A180-1,5))+1,0,IF(CROQUIS!$C$103=1,-12,2),CROQUIS!$C$107/2+CROQUIS!$C$140,IF(CROQUIS!$C$103=1,-12,2),0)))*CROQUIS!$C$155)+IF(CROQUIS!$C$92="X",0,0)),-1000)</f>
        <v>-1000</v>
      </c>
      <c r="BN180">
        <f>IF(AND(CROQUIS!$C$88=1,CROQUIS!$C$91=0,CROQUIS!$C$130&gt;0,OR(CROQUIS!$C$104=1,CROQUIS!$C$142=1)),((CROQUIS!$C$156+(IF(CROQUIS!$C$92="X",CHOOSE(IF(INT(($A180-1)/5)&gt;MAX((MIN(80,MAX(1,INT(((CROQUIS!$C$98)-CROQUIS!$C$107)/MAX(CROQUIS!$C$130,1))+1)))-1,0),0,MOD($A180-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180-1)/5),MAX((MIN(80,MAX(1,INT(((CROQUIS!$C$98)-CROQUIS!$C$107)/MAX(CROQUIS!$C$130,1))+1)))-1,0))*CROQUIS!$C$130)))*CROQUIS!$C$155)+IF(CROQUIS!$C$92="X",0,0)),-1000)</f>
        <v>-1000</v>
      </c>
      <c r="BO18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180-1)/5),MAX((MIN(80,MAX(1,INT(((CROQUIS!$C$98)-CROQUIS!$C$107)/MAX(CROQUIS!$C$130,1))+1)))-1,0))*CROQUIS!$C$130),CHOOSE(IF(INT(($A180-1)/5)&gt;MAX((MIN(80,MAX(1,INT(((CROQUIS!$C$98)-CROQUIS!$C$107)/MAX(CROQUIS!$C$130,1))+1)))-1,0),0,MOD($A180-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8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180-1)/5),MAX((MIN(80,MAX(1,INT(((CROQUIS!$C$97)-CROQUIS!$C$107)/MAX(CROQUIS!$C$138,1))+1)))-1,0))*CROQUIS!$C$138),CHOOSE(IF(INT(($A180-1)/5)&gt;MAX((MIN(80,MAX(1,INT(((CROQUIS!$C$97)-CROQUIS!$C$107)/MAX(CROQUIS!$C$138,1))+1)))-1,0),0,MOD($A180-1,5))+1,0,IF(CROQUIS!$C$105=1,-12,2),CROQUIS!$C$107/2+CROQUIS!$C$141,IF(CROQUIS!$C$105=1,-12,2),0)))*CROQUIS!$C$155)+IF(CROQUIS!$C$92="X",0,0)),-1000)</f>
        <v>-1000</v>
      </c>
      <c r="BQ180">
        <f>IF(AND(CROQUIS!$C$88=1,CROQUIS!$C$91=0,CROQUIS!$C$138&gt;0,OR(CROQUIS!$C$105=1,CROQUIS!$C$143=1)),((CROQUIS!$C$157+(IF(CROQUIS!$C$92="X",CHOOSE(IF(INT(($A180-1)/5)&gt;MAX((MIN(80,MAX(1,INT(((CROQUIS!$C$97)-CROQUIS!$C$107)/MAX(CROQUIS!$C$138,1))+1)))-1,0),0,MOD($A180-1,5))+1,0,IF(CROQUIS!$C$105=1,-12,2),CROQUIS!$C$107/2+CROQUIS!$C$141,IF(CROQUIS!$C$105=1,-12,2),0),((CROQUIS!$C$107/2+(((CROQUIS!$C$97)-CROQUIS!$C$107)-(MIN(80,MAX(1,INT(((CROQUIS!$C$97)-CROQUIS!$C$107)/MAX(CROQUIS!$C$138,1))+1))-1)*CROQUIS!$C$138)/2)+MIN(INT(($A180-1)/5),MAX((MIN(80,MAX(1,INT(((CROQUIS!$C$97)-CROQUIS!$C$107)/MAX(CROQUIS!$C$138,1))+1)))-1,0))*CROQUIS!$C$138)))*CROQUIS!$C$155)+IF(CROQUIS!$C$92="X",0,0)),-1000)</f>
        <v>-1000</v>
      </c>
      <c r="BR18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180-1)/5),MAX((MIN(80,MAX(1,INT(((CROQUIS!$C$97)-CROQUIS!$C$107)/MAX(CROQUIS!$C$138,1))+1)))-1,0))*CROQUIS!$C$138),CHOOSE(IF(INT(($A180-1)/5)&gt;MAX((MIN(80,MAX(1,INT(((CROQUIS!$C$97)-CROQUIS!$C$107)/MAX(CROQUIS!$C$138,1))+1)))-1,0),0,MOD($A180-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80">
        <f>IF(AND(CROQUIS!$C$88=1,CROQUIS!$C$91=0,CROQUIS!$C$138&gt;0,OR(CROQUIS!$C$106=1,CROQUIS!$C$143=1)),((CROQUIS!$C$157+(IF(CROQUIS!$C$92="X",CHOOSE(IF(INT(($A180-1)/5)&gt;MAX((MIN(80,MAX(1,INT(((CROQUIS!$C$97)-CROQUIS!$C$107)/MAX(CROQUIS!$C$138,1))+1)))-1,0),0,MOD($A180-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180-1)/5),MAX((MIN(80,MAX(1,INT(((CROQUIS!$C$97)-CROQUIS!$C$107)/MAX(CROQUIS!$C$138,1))+1)))-1,0))*CROQUIS!$C$138)))*CROQUIS!$C$155)+IF(CROQUIS!$C$92="X",0,0)),-1000)</f>
        <v>-1000</v>
      </c>
      <c r="BT180">
        <f>IF(AND(CROQUIS!$C$88=1,CROQUIS!$C$91=1,CROQUIS!$C$130&gt;0),((CROQUIS!$C$156+(IF(CROQUIS!$C$92="X",CHOOSE(IF(INT(($A180-1)/5)&gt;MAX((MIN(80,MAX(1,INT(((CROQUIS!$C$98)-CROQUIS!$C$107)/MAX(CROQUIS!$C$130,1))+1)))-1,0),0,MOD($A180-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180-1)/5),MAX((MIN(80,MAX(1,INT(((CROQUIS!$C$98)-CROQUIS!$C$107)/MAX(CROQUIS!$C$130,1))+1)))-1,0))*CROQUIS!$C$130)))*CROQUIS!$C$155)+IF(CROQUIS!$C$92="X",0,0)),-1000)</f>
        <v>-1000</v>
      </c>
      <c r="BU180">
        <f>IF(AND(CROQUIS!$C$88=1,CROQUIS!$C$91=1,CROQUIS!$C$130&gt;0),((CROQUIS!$C$157+(IF(CROQUIS!$C$92="X",((CROQUIS!$C$107/2+(((CROQUIS!$C$98)-CROQUIS!$C$107)-(MIN(80,MAX(1,INT(((CROQUIS!$C$98)-CROQUIS!$C$107)/MAX(CROQUIS!$C$130,1))+1))-1)*CROQUIS!$C$130)/2)+MIN(INT(($A180-1)/5),MAX((MIN(80,MAX(1,INT(((CROQUIS!$C$98)-CROQUIS!$C$107)/MAX(CROQUIS!$C$130,1))+1)))-1,0))*CROQUIS!$C$130),CHOOSE(IF(INT(($A180-1)/5)&gt;MAX((MIN(80,MAX(1,INT(((CROQUIS!$C$98)-CROQUIS!$C$107)/MAX(CROQUIS!$C$130,1))+1)))-1,0),0,MOD($A180-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81">
      <c r="A181" t="n">
        <v>174</v>
      </c>
      <c r="BH181">
        <f>IF(AND(CROQUIS!$C$88=1,CROQUIS!$C$126&gt;0),((CROQUIS!$C$156+(IF(CROQUIS!$C$92="X",CHOOSE(IF(INT(($A181-1)/5)&gt;MAX((MIN(80,MAX(1,INT(((CROQUIS!$C$98)-CROQUIS!$C$107)/MAX(CROQUIS!$C$126,1))+1)))-1,0),0,MOD($A181-1,5))+1,0,2,CROQUIS!$C$97-2,2,0),((CROQUIS!$C$107/2+(((CROQUIS!$C$98)-CROQUIS!$C$107)-(MIN(80,MAX(1,INT(((CROQUIS!$C$98)-CROQUIS!$C$107)/MAX(CROQUIS!$C$126,1))+1))-1)*CROQUIS!$C$126)/2)+MIN(INT(($A181-1)/5),MAX((MIN(80,MAX(1,INT(((CROQUIS!$C$98)-CROQUIS!$C$107)/MAX(CROQUIS!$C$126,1))+1)))-1,0))*CROQUIS!$C$126)))*CROQUIS!$C$155)+IF(CROQUIS!$C$92="X",0,0)),-1000)</f>
        <v>-1000</v>
      </c>
      <c r="BI181">
        <f>IF(AND(CROQUIS!$C$88=1,CROQUIS!$C$126&gt;0),((CROQUIS!$C$157+(IF(CROQUIS!$C$92="X",((CROQUIS!$C$107/2+(((CROQUIS!$C$98)-CROQUIS!$C$107)-(MIN(80,MAX(1,INT(((CROQUIS!$C$98)-CROQUIS!$C$107)/MAX(CROQUIS!$C$126,1))+1))-1)*CROQUIS!$C$126)/2)+MIN(INT(($A181-1)/5),MAX((MIN(80,MAX(1,INT(((CROQUIS!$C$98)-CROQUIS!$C$107)/MAX(CROQUIS!$C$126,1))+1)))-1,0))*CROQUIS!$C$126),CHOOSE(IF(INT(($A181-1)/5)&gt;MAX((MIN(80,MAX(1,INT(((CROQUIS!$C$98)-CROQUIS!$C$107)/MAX(CROQUIS!$C$126,1))+1)))-1,0),0,MOD($A181-1,5))+1,0,2,CROQUIS!$C$97-2,2,0)))*CROQUIS!$C$155)+IF(CROQUIS!$C$92="X",0,0)),-1000)</f>
        <v>-1000</v>
      </c>
      <c r="BJ181">
        <f>IF(AND(CROQUIS!$C$88=1,CROQUIS!$C$134&gt;0),((CROQUIS!$C$156+(IF(CROQUIS!$C$92="X",((CROQUIS!$C$107/2+(((CROQUIS!$C$97)-CROQUIS!$C$107)-(MIN(80,MAX(1,INT(((CROQUIS!$C$97)-CROQUIS!$C$107)/MAX(CROQUIS!$C$134,1))+1))-1)*CROQUIS!$C$134)/2)+MIN(INT(($A181-1)/5),MAX((MIN(80,MAX(1,INT(((CROQUIS!$C$97)-CROQUIS!$C$107)/MAX(CROQUIS!$C$134,1))+1)))-1,0))*CROQUIS!$C$134),CHOOSE(IF(INT(($A181-1)/5)&gt;MAX((MIN(80,MAX(1,INT(((CROQUIS!$C$97)-CROQUIS!$C$107)/MAX(CROQUIS!$C$134,1))+1)))-1,0),0,MOD($A181-1,5))+1,0,2,CROQUIS!$C$98-2,2,0)))*CROQUIS!$C$155)+IF(CROQUIS!$C$92="X",0,0)),-1000)</f>
        <v>-1000</v>
      </c>
      <c r="BK181">
        <f>IF(AND(CROQUIS!$C$88=1,CROQUIS!$C$134&gt;0),((CROQUIS!$C$157+(IF(CROQUIS!$C$92="X",CHOOSE(IF(INT(($A181-1)/5)&gt;MAX((MIN(80,MAX(1,INT(((CROQUIS!$C$97)-CROQUIS!$C$107)/MAX(CROQUIS!$C$134,1))+1)))-1,0),0,MOD($A181-1,5))+1,0,2,CROQUIS!$C$98-2,2,0),((CROQUIS!$C$107/2+(((CROQUIS!$C$97)-CROQUIS!$C$107)-(MIN(80,MAX(1,INT(((CROQUIS!$C$97)-CROQUIS!$C$107)/MAX(CROQUIS!$C$134,1))+1))-1)*CROQUIS!$C$134)/2)+MIN(INT(($A181-1)/5),MAX((MIN(80,MAX(1,INT(((CROQUIS!$C$97)-CROQUIS!$C$107)/MAX(CROQUIS!$C$134,1))+1)))-1,0))*CROQUIS!$C$134)))*CROQUIS!$C$155)+IF(CROQUIS!$C$92="X",0,0)),-1000)</f>
        <v>-1000</v>
      </c>
      <c r="BL181">
        <f>IF(AND(CROQUIS!$C$88=1,CROQUIS!$C$91=0,CROQUIS!$C$130&gt;0,OR(CROQUIS!$C$103=1,CROQUIS!$C$142=1)),((CROQUIS!$C$156+(IF(CROQUIS!$C$92="X",CHOOSE(IF(INT(($A181-1)/5)&gt;MAX((MIN(80,MAX(1,INT(((CROQUIS!$C$98)-CROQUIS!$C$107)/MAX(CROQUIS!$C$130,1))+1)))-1,0),0,MOD($A181-1,5))+1,0,IF(CROQUIS!$C$103=1,-12,2),CROQUIS!$C$107/2+CROQUIS!$C$140,IF(CROQUIS!$C$103=1,-12,2),0),((CROQUIS!$C$107/2+(((CROQUIS!$C$98)-CROQUIS!$C$107)-(MIN(80,MAX(1,INT(((CROQUIS!$C$98)-CROQUIS!$C$107)/MAX(CROQUIS!$C$130,1))+1))-1)*CROQUIS!$C$130)/2)+MIN(INT(($A181-1)/5),MAX((MIN(80,MAX(1,INT(((CROQUIS!$C$98)-CROQUIS!$C$107)/MAX(CROQUIS!$C$130,1))+1)))-1,0))*CROQUIS!$C$130)))*CROQUIS!$C$155)+IF(CROQUIS!$C$92="X",0,0)),-1000)</f>
        <v>-1000</v>
      </c>
      <c r="BM18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181-1)/5),MAX((MIN(80,MAX(1,INT(((CROQUIS!$C$98)-CROQUIS!$C$107)/MAX(CROQUIS!$C$130,1))+1)))-1,0))*CROQUIS!$C$130),CHOOSE(IF(INT(($A181-1)/5)&gt;MAX((MIN(80,MAX(1,INT(((CROQUIS!$C$98)-CROQUIS!$C$107)/MAX(CROQUIS!$C$130,1))+1)))-1,0),0,MOD($A181-1,5))+1,0,IF(CROQUIS!$C$103=1,-12,2),CROQUIS!$C$107/2+CROQUIS!$C$140,IF(CROQUIS!$C$103=1,-12,2),0)))*CROQUIS!$C$155)+IF(CROQUIS!$C$92="X",0,0)),-1000)</f>
        <v>-1000</v>
      </c>
      <c r="BN181">
        <f>IF(AND(CROQUIS!$C$88=1,CROQUIS!$C$91=0,CROQUIS!$C$130&gt;0,OR(CROQUIS!$C$104=1,CROQUIS!$C$142=1)),((CROQUIS!$C$156+(IF(CROQUIS!$C$92="X",CHOOSE(IF(INT(($A181-1)/5)&gt;MAX((MIN(80,MAX(1,INT(((CROQUIS!$C$98)-CROQUIS!$C$107)/MAX(CROQUIS!$C$130,1))+1)))-1,0),0,MOD($A181-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181-1)/5),MAX((MIN(80,MAX(1,INT(((CROQUIS!$C$98)-CROQUIS!$C$107)/MAX(CROQUIS!$C$130,1))+1)))-1,0))*CROQUIS!$C$130)))*CROQUIS!$C$155)+IF(CROQUIS!$C$92="X",0,0)),-1000)</f>
        <v>-1000</v>
      </c>
      <c r="BO18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181-1)/5),MAX((MIN(80,MAX(1,INT(((CROQUIS!$C$98)-CROQUIS!$C$107)/MAX(CROQUIS!$C$130,1))+1)))-1,0))*CROQUIS!$C$130),CHOOSE(IF(INT(($A181-1)/5)&gt;MAX((MIN(80,MAX(1,INT(((CROQUIS!$C$98)-CROQUIS!$C$107)/MAX(CROQUIS!$C$130,1))+1)))-1,0),0,MOD($A181-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8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181-1)/5),MAX((MIN(80,MAX(1,INT(((CROQUIS!$C$97)-CROQUIS!$C$107)/MAX(CROQUIS!$C$138,1))+1)))-1,0))*CROQUIS!$C$138),CHOOSE(IF(INT(($A181-1)/5)&gt;MAX((MIN(80,MAX(1,INT(((CROQUIS!$C$97)-CROQUIS!$C$107)/MAX(CROQUIS!$C$138,1))+1)))-1,0),0,MOD($A181-1,5))+1,0,IF(CROQUIS!$C$105=1,-12,2),CROQUIS!$C$107/2+CROQUIS!$C$141,IF(CROQUIS!$C$105=1,-12,2),0)))*CROQUIS!$C$155)+IF(CROQUIS!$C$92="X",0,0)),-1000)</f>
        <v>-1000</v>
      </c>
      <c r="BQ181">
        <f>IF(AND(CROQUIS!$C$88=1,CROQUIS!$C$91=0,CROQUIS!$C$138&gt;0,OR(CROQUIS!$C$105=1,CROQUIS!$C$143=1)),((CROQUIS!$C$157+(IF(CROQUIS!$C$92="X",CHOOSE(IF(INT(($A181-1)/5)&gt;MAX((MIN(80,MAX(1,INT(((CROQUIS!$C$97)-CROQUIS!$C$107)/MAX(CROQUIS!$C$138,1))+1)))-1,0),0,MOD($A181-1,5))+1,0,IF(CROQUIS!$C$105=1,-12,2),CROQUIS!$C$107/2+CROQUIS!$C$141,IF(CROQUIS!$C$105=1,-12,2),0),((CROQUIS!$C$107/2+(((CROQUIS!$C$97)-CROQUIS!$C$107)-(MIN(80,MAX(1,INT(((CROQUIS!$C$97)-CROQUIS!$C$107)/MAX(CROQUIS!$C$138,1))+1))-1)*CROQUIS!$C$138)/2)+MIN(INT(($A181-1)/5),MAX((MIN(80,MAX(1,INT(((CROQUIS!$C$97)-CROQUIS!$C$107)/MAX(CROQUIS!$C$138,1))+1)))-1,0))*CROQUIS!$C$138)))*CROQUIS!$C$155)+IF(CROQUIS!$C$92="X",0,0)),-1000)</f>
        <v>-1000</v>
      </c>
      <c r="BR18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181-1)/5),MAX((MIN(80,MAX(1,INT(((CROQUIS!$C$97)-CROQUIS!$C$107)/MAX(CROQUIS!$C$138,1))+1)))-1,0))*CROQUIS!$C$138),CHOOSE(IF(INT(($A181-1)/5)&gt;MAX((MIN(80,MAX(1,INT(((CROQUIS!$C$97)-CROQUIS!$C$107)/MAX(CROQUIS!$C$138,1))+1)))-1,0),0,MOD($A181-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81">
        <f>IF(AND(CROQUIS!$C$88=1,CROQUIS!$C$91=0,CROQUIS!$C$138&gt;0,OR(CROQUIS!$C$106=1,CROQUIS!$C$143=1)),((CROQUIS!$C$157+(IF(CROQUIS!$C$92="X",CHOOSE(IF(INT(($A181-1)/5)&gt;MAX((MIN(80,MAX(1,INT(((CROQUIS!$C$97)-CROQUIS!$C$107)/MAX(CROQUIS!$C$138,1))+1)))-1,0),0,MOD($A181-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181-1)/5),MAX((MIN(80,MAX(1,INT(((CROQUIS!$C$97)-CROQUIS!$C$107)/MAX(CROQUIS!$C$138,1))+1)))-1,0))*CROQUIS!$C$138)))*CROQUIS!$C$155)+IF(CROQUIS!$C$92="X",0,0)),-1000)</f>
        <v>-1000</v>
      </c>
      <c r="BT181">
        <f>IF(AND(CROQUIS!$C$88=1,CROQUIS!$C$91=1,CROQUIS!$C$130&gt;0),((CROQUIS!$C$156+(IF(CROQUIS!$C$92="X",CHOOSE(IF(INT(($A181-1)/5)&gt;MAX((MIN(80,MAX(1,INT(((CROQUIS!$C$98)-CROQUIS!$C$107)/MAX(CROQUIS!$C$130,1))+1)))-1,0),0,MOD($A181-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181-1)/5),MAX((MIN(80,MAX(1,INT(((CROQUIS!$C$98)-CROQUIS!$C$107)/MAX(CROQUIS!$C$130,1))+1)))-1,0))*CROQUIS!$C$130)))*CROQUIS!$C$155)+IF(CROQUIS!$C$92="X",0,0)),-1000)</f>
        <v>-1000</v>
      </c>
      <c r="BU181">
        <f>IF(AND(CROQUIS!$C$88=1,CROQUIS!$C$91=1,CROQUIS!$C$130&gt;0),((CROQUIS!$C$157+(IF(CROQUIS!$C$92="X",((CROQUIS!$C$107/2+(((CROQUIS!$C$98)-CROQUIS!$C$107)-(MIN(80,MAX(1,INT(((CROQUIS!$C$98)-CROQUIS!$C$107)/MAX(CROQUIS!$C$130,1))+1))-1)*CROQUIS!$C$130)/2)+MIN(INT(($A181-1)/5),MAX((MIN(80,MAX(1,INT(((CROQUIS!$C$98)-CROQUIS!$C$107)/MAX(CROQUIS!$C$130,1))+1)))-1,0))*CROQUIS!$C$130),CHOOSE(IF(INT(($A181-1)/5)&gt;MAX((MIN(80,MAX(1,INT(((CROQUIS!$C$98)-CROQUIS!$C$107)/MAX(CROQUIS!$C$130,1))+1)))-1,0),0,MOD($A181-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82">
      <c r="A182" t="n">
        <v>175</v>
      </c>
      <c r="BH182">
        <f>IF(AND(CROQUIS!$C$88=1,CROQUIS!$C$126&gt;0),((CROQUIS!$C$156+(IF(CROQUIS!$C$92="X",CHOOSE(IF(INT(($A182-1)/5)&gt;MAX((MIN(80,MAX(1,INT(((CROQUIS!$C$98)-CROQUIS!$C$107)/MAX(CROQUIS!$C$126,1))+1)))-1,0),0,MOD($A182-1,5))+1,0,2,CROQUIS!$C$97-2,2,0),((CROQUIS!$C$107/2+(((CROQUIS!$C$98)-CROQUIS!$C$107)-(MIN(80,MAX(1,INT(((CROQUIS!$C$98)-CROQUIS!$C$107)/MAX(CROQUIS!$C$126,1))+1))-1)*CROQUIS!$C$126)/2)+MIN(INT(($A182-1)/5),MAX((MIN(80,MAX(1,INT(((CROQUIS!$C$98)-CROQUIS!$C$107)/MAX(CROQUIS!$C$126,1))+1)))-1,0))*CROQUIS!$C$126)))*CROQUIS!$C$155)+IF(CROQUIS!$C$92="X",0,0)),-1000)</f>
        <v>-1000</v>
      </c>
      <c r="BI182">
        <f>IF(AND(CROQUIS!$C$88=1,CROQUIS!$C$126&gt;0),((CROQUIS!$C$157+(IF(CROQUIS!$C$92="X",((CROQUIS!$C$107/2+(((CROQUIS!$C$98)-CROQUIS!$C$107)-(MIN(80,MAX(1,INT(((CROQUIS!$C$98)-CROQUIS!$C$107)/MAX(CROQUIS!$C$126,1))+1))-1)*CROQUIS!$C$126)/2)+MIN(INT(($A182-1)/5),MAX((MIN(80,MAX(1,INT(((CROQUIS!$C$98)-CROQUIS!$C$107)/MAX(CROQUIS!$C$126,1))+1)))-1,0))*CROQUIS!$C$126),CHOOSE(IF(INT(($A182-1)/5)&gt;MAX((MIN(80,MAX(1,INT(((CROQUIS!$C$98)-CROQUIS!$C$107)/MAX(CROQUIS!$C$126,1))+1)))-1,0),0,MOD($A182-1,5))+1,0,2,CROQUIS!$C$97-2,2,0)))*CROQUIS!$C$155)+IF(CROQUIS!$C$92="X",0,0)),-1000)</f>
        <v>-1000</v>
      </c>
      <c r="BJ182">
        <f>IF(AND(CROQUIS!$C$88=1,CROQUIS!$C$134&gt;0),((CROQUIS!$C$156+(IF(CROQUIS!$C$92="X",((CROQUIS!$C$107/2+(((CROQUIS!$C$97)-CROQUIS!$C$107)-(MIN(80,MAX(1,INT(((CROQUIS!$C$97)-CROQUIS!$C$107)/MAX(CROQUIS!$C$134,1))+1))-1)*CROQUIS!$C$134)/2)+MIN(INT(($A182-1)/5),MAX((MIN(80,MAX(1,INT(((CROQUIS!$C$97)-CROQUIS!$C$107)/MAX(CROQUIS!$C$134,1))+1)))-1,0))*CROQUIS!$C$134),CHOOSE(IF(INT(($A182-1)/5)&gt;MAX((MIN(80,MAX(1,INT(((CROQUIS!$C$97)-CROQUIS!$C$107)/MAX(CROQUIS!$C$134,1))+1)))-1,0),0,MOD($A182-1,5))+1,0,2,CROQUIS!$C$98-2,2,0)))*CROQUIS!$C$155)+IF(CROQUIS!$C$92="X",0,0)),-1000)</f>
        <v>-1000</v>
      </c>
      <c r="BK182">
        <f>IF(AND(CROQUIS!$C$88=1,CROQUIS!$C$134&gt;0),((CROQUIS!$C$157+(IF(CROQUIS!$C$92="X",CHOOSE(IF(INT(($A182-1)/5)&gt;MAX((MIN(80,MAX(1,INT(((CROQUIS!$C$97)-CROQUIS!$C$107)/MAX(CROQUIS!$C$134,1))+1)))-1,0),0,MOD($A182-1,5))+1,0,2,CROQUIS!$C$98-2,2,0),((CROQUIS!$C$107/2+(((CROQUIS!$C$97)-CROQUIS!$C$107)-(MIN(80,MAX(1,INT(((CROQUIS!$C$97)-CROQUIS!$C$107)/MAX(CROQUIS!$C$134,1))+1))-1)*CROQUIS!$C$134)/2)+MIN(INT(($A182-1)/5),MAX((MIN(80,MAX(1,INT(((CROQUIS!$C$97)-CROQUIS!$C$107)/MAX(CROQUIS!$C$134,1))+1)))-1,0))*CROQUIS!$C$134)))*CROQUIS!$C$155)+IF(CROQUIS!$C$92="X",0,0)),-1000)</f>
        <v>-1000</v>
      </c>
      <c r="BL182">
        <f>IF(AND(CROQUIS!$C$88=1,CROQUIS!$C$91=0,CROQUIS!$C$130&gt;0,OR(CROQUIS!$C$103=1,CROQUIS!$C$142=1)),((CROQUIS!$C$156+(IF(CROQUIS!$C$92="X",CHOOSE(IF(INT(($A182-1)/5)&gt;MAX((MIN(80,MAX(1,INT(((CROQUIS!$C$98)-CROQUIS!$C$107)/MAX(CROQUIS!$C$130,1))+1)))-1,0),0,MOD($A182-1,5))+1,0,IF(CROQUIS!$C$103=1,-12,2),CROQUIS!$C$107/2+CROQUIS!$C$140,IF(CROQUIS!$C$103=1,-12,2),0),((CROQUIS!$C$107/2+(((CROQUIS!$C$98)-CROQUIS!$C$107)-(MIN(80,MAX(1,INT(((CROQUIS!$C$98)-CROQUIS!$C$107)/MAX(CROQUIS!$C$130,1))+1))-1)*CROQUIS!$C$130)/2)+MIN(INT(($A182-1)/5),MAX((MIN(80,MAX(1,INT(((CROQUIS!$C$98)-CROQUIS!$C$107)/MAX(CROQUIS!$C$130,1))+1)))-1,0))*CROQUIS!$C$130)))*CROQUIS!$C$155)+IF(CROQUIS!$C$92="X",0,0)),-1000)</f>
        <v>-1000</v>
      </c>
      <c r="BM18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182-1)/5),MAX((MIN(80,MAX(1,INT(((CROQUIS!$C$98)-CROQUIS!$C$107)/MAX(CROQUIS!$C$130,1))+1)))-1,0))*CROQUIS!$C$130),CHOOSE(IF(INT(($A182-1)/5)&gt;MAX((MIN(80,MAX(1,INT(((CROQUIS!$C$98)-CROQUIS!$C$107)/MAX(CROQUIS!$C$130,1))+1)))-1,0),0,MOD($A182-1,5))+1,0,IF(CROQUIS!$C$103=1,-12,2),CROQUIS!$C$107/2+CROQUIS!$C$140,IF(CROQUIS!$C$103=1,-12,2),0)))*CROQUIS!$C$155)+IF(CROQUIS!$C$92="X",0,0)),-1000)</f>
        <v>-1000</v>
      </c>
      <c r="BN182">
        <f>IF(AND(CROQUIS!$C$88=1,CROQUIS!$C$91=0,CROQUIS!$C$130&gt;0,OR(CROQUIS!$C$104=1,CROQUIS!$C$142=1)),((CROQUIS!$C$156+(IF(CROQUIS!$C$92="X",CHOOSE(IF(INT(($A182-1)/5)&gt;MAX((MIN(80,MAX(1,INT(((CROQUIS!$C$98)-CROQUIS!$C$107)/MAX(CROQUIS!$C$130,1))+1)))-1,0),0,MOD($A182-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182-1)/5),MAX((MIN(80,MAX(1,INT(((CROQUIS!$C$98)-CROQUIS!$C$107)/MAX(CROQUIS!$C$130,1))+1)))-1,0))*CROQUIS!$C$130)))*CROQUIS!$C$155)+IF(CROQUIS!$C$92="X",0,0)),-1000)</f>
        <v>-1000</v>
      </c>
      <c r="BO18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182-1)/5),MAX((MIN(80,MAX(1,INT(((CROQUIS!$C$98)-CROQUIS!$C$107)/MAX(CROQUIS!$C$130,1))+1)))-1,0))*CROQUIS!$C$130),CHOOSE(IF(INT(($A182-1)/5)&gt;MAX((MIN(80,MAX(1,INT(((CROQUIS!$C$98)-CROQUIS!$C$107)/MAX(CROQUIS!$C$130,1))+1)))-1,0),0,MOD($A182-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8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182-1)/5),MAX((MIN(80,MAX(1,INT(((CROQUIS!$C$97)-CROQUIS!$C$107)/MAX(CROQUIS!$C$138,1))+1)))-1,0))*CROQUIS!$C$138),CHOOSE(IF(INT(($A182-1)/5)&gt;MAX((MIN(80,MAX(1,INT(((CROQUIS!$C$97)-CROQUIS!$C$107)/MAX(CROQUIS!$C$138,1))+1)))-1,0),0,MOD($A182-1,5))+1,0,IF(CROQUIS!$C$105=1,-12,2),CROQUIS!$C$107/2+CROQUIS!$C$141,IF(CROQUIS!$C$105=1,-12,2),0)))*CROQUIS!$C$155)+IF(CROQUIS!$C$92="X",0,0)),-1000)</f>
        <v>-1000</v>
      </c>
      <c r="BQ182">
        <f>IF(AND(CROQUIS!$C$88=1,CROQUIS!$C$91=0,CROQUIS!$C$138&gt;0,OR(CROQUIS!$C$105=1,CROQUIS!$C$143=1)),((CROQUIS!$C$157+(IF(CROQUIS!$C$92="X",CHOOSE(IF(INT(($A182-1)/5)&gt;MAX((MIN(80,MAX(1,INT(((CROQUIS!$C$97)-CROQUIS!$C$107)/MAX(CROQUIS!$C$138,1))+1)))-1,0),0,MOD($A182-1,5))+1,0,IF(CROQUIS!$C$105=1,-12,2),CROQUIS!$C$107/2+CROQUIS!$C$141,IF(CROQUIS!$C$105=1,-12,2),0),((CROQUIS!$C$107/2+(((CROQUIS!$C$97)-CROQUIS!$C$107)-(MIN(80,MAX(1,INT(((CROQUIS!$C$97)-CROQUIS!$C$107)/MAX(CROQUIS!$C$138,1))+1))-1)*CROQUIS!$C$138)/2)+MIN(INT(($A182-1)/5),MAX((MIN(80,MAX(1,INT(((CROQUIS!$C$97)-CROQUIS!$C$107)/MAX(CROQUIS!$C$138,1))+1)))-1,0))*CROQUIS!$C$138)))*CROQUIS!$C$155)+IF(CROQUIS!$C$92="X",0,0)),-1000)</f>
        <v>-1000</v>
      </c>
      <c r="BR18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182-1)/5),MAX((MIN(80,MAX(1,INT(((CROQUIS!$C$97)-CROQUIS!$C$107)/MAX(CROQUIS!$C$138,1))+1)))-1,0))*CROQUIS!$C$138),CHOOSE(IF(INT(($A182-1)/5)&gt;MAX((MIN(80,MAX(1,INT(((CROQUIS!$C$97)-CROQUIS!$C$107)/MAX(CROQUIS!$C$138,1))+1)))-1,0),0,MOD($A182-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82">
        <f>IF(AND(CROQUIS!$C$88=1,CROQUIS!$C$91=0,CROQUIS!$C$138&gt;0,OR(CROQUIS!$C$106=1,CROQUIS!$C$143=1)),((CROQUIS!$C$157+(IF(CROQUIS!$C$92="X",CHOOSE(IF(INT(($A182-1)/5)&gt;MAX((MIN(80,MAX(1,INT(((CROQUIS!$C$97)-CROQUIS!$C$107)/MAX(CROQUIS!$C$138,1))+1)))-1,0),0,MOD($A182-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182-1)/5),MAX((MIN(80,MAX(1,INT(((CROQUIS!$C$97)-CROQUIS!$C$107)/MAX(CROQUIS!$C$138,1))+1)))-1,0))*CROQUIS!$C$138)))*CROQUIS!$C$155)+IF(CROQUIS!$C$92="X",0,0)),-1000)</f>
        <v>-1000</v>
      </c>
      <c r="BT182">
        <f>IF(AND(CROQUIS!$C$88=1,CROQUIS!$C$91=1,CROQUIS!$C$130&gt;0),((CROQUIS!$C$156+(IF(CROQUIS!$C$92="X",CHOOSE(IF(INT(($A182-1)/5)&gt;MAX((MIN(80,MAX(1,INT(((CROQUIS!$C$98)-CROQUIS!$C$107)/MAX(CROQUIS!$C$130,1))+1)))-1,0),0,MOD($A182-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182-1)/5),MAX((MIN(80,MAX(1,INT(((CROQUIS!$C$98)-CROQUIS!$C$107)/MAX(CROQUIS!$C$130,1))+1)))-1,0))*CROQUIS!$C$130)))*CROQUIS!$C$155)+IF(CROQUIS!$C$92="X",0,0)),-1000)</f>
        <v>-1000</v>
      </c>
      <c r="BU182">
        <f>IF(AND(CROQUIS!$C$88=1,CROQUIS!$C$91=1,CROQUIS!$C$130&gt;0),((CROQUIS!$C$157+(IF(CROQUIS!$C$92="X",((CROQUIS!$C$107/2+(((CROQUIS!$C$98)-CROQUIS!$C$107)-(MIN(80,MAX(1,INT(((CROQUIS!$C$98)-CROQUIS!$C$107)/MAX(CROQUIS!$C$130,1))+1))-1)*CROQUIS!$C$130)/2)+MIN(INT(($A182-1)/5),MAX((MIN(80,MAX(1,INT(((CROQUIS!$C$98)-CROQUIS!$C$107)/MAX(CROQUIS!$C$130,1))+1)))-1,0))*CROQUIS!$C$130),CHOOSE(IF(INT(($A182-1)/5)&gt;MAX((MIN(80,MAX(1,INT(((CROQUIS!$C$98)-CROQUIS!$C$107)/MAX(CROQUIS!$C$130,1))+1)))-1,0),0,MOD($A182-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83">
      <c r="A183" t="n">
        <v>176</v>
      </c>
      <c r="BH183">
        <f>IF(AND(CROQUIS!$C$88=1,CROQUIS!$C$126&gt;0),((CROQUIS!$C$156+(IF(CROQUIS!$C$92="X",CHOOSE(IF(INT(($A183-1)/5)&gt;MAX((MIN(80,MAX(1,INT(((CROQUIS!$C$98)-CROQUIS!$C$107)/MAX(CROQUIS!$C$126,1))+1)))-1,0),0,MOD($A183-1,5))+1,0,2,CROQUIS!$C$97-2,2,0),((CROQUIS!$C$107/2+(((CROQUIS!$C$98)-CROQUIS!$C$107)-(MIN(80,MAX(1,INT(((CROQUIS!$C$98)-CROQUIS!$C$107)/MAX(CROQUIS!$C$126,1))+1))-1)*CROQUIS!$C$126)/2)+MIN(INT(($A183-1)/5),MAX((MIN(80,MAX(1,INT(((CROQUIS!$C$98)-CROQUIS!$C$107)/MAX(CROQUIS!$C$126,1))+1)))-1,0))*CROQUIS!$C$126)))*CROQUIS!$C$155)+IF(CROQUIS!$C$92="X",0,0)),-1000)</f>
        <v>-1000</v>
      </c>
      <c r="BI183">
        <f>IF(AND(CROQUIS!$C$88=1,CROQUIS!$C$126&gt;0),((CROQUIS!$C$157+(IF(CROQUIS!$C$92="X",((CROQUIS!$C$107/2+(((CROQUIS!$C$98)-CROQUIS!$C$107)-(MIN(80,MAX(1,INT(((CROQUIS!$C$98)-CROQUIS!$C$107)/MAX(CROQUIS!$C$126,1))+1))-1)*CROQUIS!$C$126)/2)+MIN(INT(($A183-1)/5),MAX((MIN(80,MAX(1,INT(((CROQUIS!$C$98)-CROQUIS!$C$107)/MAX(CROQUIS!$C$126,1))+1)))-1,0))*CROQUIS!$C$126),CHOOSE(IF(INT(($A183-1)/5)&gt;MAX((MIN(80,MAX(1,INT(((CROQUIS!$C$98)-CROQUIS!$C$107)/MAX(CROQUIS!$C$126,1))+1)))-1,0),0,MOD($A183-1,5))+1,0,2,CROQUIS!$C$97-2,2,0)))*CROQUIS!$C$155)+IF(CROQUIS!$C$92="X",0,0)),-1000)</f>
        <v>-1000</v>
      </c>
      <c r="BJ183">
        <f>IF(AND(CROQUIS!$C$88=1,CROQUIS!$C$134&gt;0),((CROQUIS!$C$156+(IF(CROQUIS!$C$92="X",((CROQUIS!$C$107/2+(((CROQUIS!$C$97)-CROQUIS!$C$107)-(MIN(80,MAX(1,INT(((CROQUIS!$C$97)-CROQUIS!$C$107)/MAX(CROQUIS!$C$134,1))+1))-1)*CROQUIS!$C$134)/2)+MIN(INT(($A183-1)/5),MAX((MIN(80,MAX(1,INT(((CROQUIS!$C$97)-CROQUIS!$C$107)/MAX(CROQUIS!$C$134,1))+1)))-1,0))*CROQUIS!$C$134),CHOOSE(IF(INT(($A183-1)/5)&gt;MAX((MIN(80,MAX(1,INT(((CROQUIS!$C$97)-CROQUIS!$C$107)/MAX(CROQUIS!$C$134,1))+1)))-1,0),0,MOD($A183-1,5))+1,0,2,CROQUIS!$C$98-2,2,0)))*CROQUIS!$C$155)+IF(CROQUIS!$C$92="X",0,0)),-1000)</f>
        <v>-1000</v>
      </c>
      <c r="BK183">
        <f>IF(AND(CROQUIS!$C$88=1,CROQUIS!$C$134&gt;0),((CROQUIS!$C$157+(IF(CROQUIS!$C$92="X",CHOOSE(IF(INT(($A183-1)/5)&gt;MAX((MIN(80,MAX(1,INT(((CROQUIS!$C$97)-CROQUIS!$C$107)/MAX(CROQUIS!$C$134,1))+1)))-1,0),0,MOD($A183-1,5))+1,0,2,CROQUIS!$C$98-2,2,0),((CROQUIS!$C$107/2+(((CROQUIS!$C$97)-CROQUIS!$C$107)-(MIN(80,MAX(1,INT(((CROQUIS!$C$97)-CROQUIS!$C$107)/MAX(CROQUIS!$C$134,1))+1))-1)*CROQUIS!$C$134)/2)+MIN(INT(($A183-1)/5),MAX((MIN(80,MAX(1,INT(((CROQUIS!$C$97)-CROQUIS!$C$107)/MAX(CROQUIS!$C$134,1))+1)))-1,0))*CROQUIS!$C$134)))*CROQUIS!$C$155)+IF(CROQUIS!$C$92="X",0,0)),-1000)</f>
        <v>-1000</v>
      </c>
      <c r="BL183">
        <f>IF(AND(CROQUIS!$C$88=1,CROQUIS!$C$91=0,CROQUIS!$C$130&gt;0,OR(CROQUIS!$C$103=1,CROQUIS!$C$142=1)),((CROQUIS!$C$156+(IF(CROQUIS!$C$92="X",CHOOSE(IF(INT(($A183-1)/5)&gt;MAX((MIN(80,MAX(1,INT(((CROQUIS!$C$98)-CROQUIS!$C$107)/MAX(CROQUIS!$C$130,1))+1)))-1,0),0,MOD($A183-1,5))+1,0,IF(CROQUIS!$C$103=1,-12,2),CROQUIS!$C$107/2+CROQUIS!$C$140,IF(CROQUIS!$C$103=1,-12,2),0),((CROQUIS!$C$107/2+(((CROQUIS!$C$98)-CROQUIS!$C$107)-(MIN(80,MAX(1,INT(((CROQUIS!$C$98)-CROQUIS!$C$107)/MAX(CROQUIS!$C$130,1))+1))-1)*CROQUIS!$C$130)/2)+MIN(INT(($A183-1)/5),MAX((MIN(80,MAX(1,INT(((CROQUIS!$C$98)-CROQUIS!$C$107)/MAX(CROQUIS!$C$130,1))+1)))-1,0))*CROQUIS!$C$130)))*CROQUIS!$C$155)+IF(CROQUIS!$C$92="X",0,0)),-1000)</f>
        <v>-1000</v>
      </c>
      <c r="BM18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183-1)/5),MAX((MIN(80,MAX(1,INT(((CROQUIS!$C$98)-CROQUIS!$C$107)/MAX(CROQUIS!$C$130,1))+1)))-1,0))*CROQUIS!$C$130),CHOOSE(IF(INT(($A183-1)/5)&gt;MAX((MIN(80,MAX(1,INT(((CROQUIS!$C$98)-CROQUIS!$C$107)/MAX(CROQUIS!$C$130,1))+1)))-1,0),0,MOD($A183-1,5))+1,0,IF(CROQUIS!$C$103=1,-12,2),CROQUIS!$C$107/2+CROQUIS!$C$140,IF(CROQUIS!$C$103=1,-12,2),0)))*CROQUIS!$C$155)+IF(CROQUIS!$C$92="X",0,0)),-1000)</f>
        <v>-1000</v>
      </c>
      <c r="BN183">
        <f>IF(AND(CROQUIS!$C$88=1,CROQUIS!$C$91=0,CROQUIS!$C$130&gt;0,OR(CROQUIS!$C$104=1,CROQUIS!$C$142=1)),((CROQUIS!$C$156+(IF(CROQUIS!$C$92="X",CHOOSE(IF(INT(($A183-1)/5)&gt;MAX((MIN(80,MAX(1,INT(((CROQUIS!$C$98)-CROQUIS!$C$107)/MAX(CROQUIS!$C$130,1))+1)))-1,0),0,MOD($A183-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183-1)/5),MAX((MIN(80,MAX(1,INT(((CROQUIS!$C$98)-CROQUIS!$C$107)/MAX(CROQUIS!$C$130,1))+1)))-1,0))*CROQUIS!$C$130)))*CROQUIS!$C$155)+IF(CROQUIS!$C$92="X",0,0)),-1000)</f>
        <v>-1000</v>
      </c>
      <c r="BO18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183-1)/5),MAX((MIN(80,MAX(1,INT(((CROQUIS!$C$98)-CROQUIS!$C$107)/MAX(CROQUIS!$C$130,1))+1)))-1,0))*CROQUIS!$C$130),CHOOSE(IF(INT(($A183-1)/5)&gt;MAX((MIN(80,MAX(1,INT(((CROQUIS!$C$98)-CROQUIS!$C$107)/MAX(CROQUIS!$C$130,1))+1)))-1,0),0,MOD($A183-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8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183-1)/5),MAX((MIN(80,MAX(1,INT(((CROQUIS!$C$97)-CROQUIS!$C$107)/MAX(CROQUIS!$C$138,1))+1)))-1,0))*CROQUIS!$C$138),CHOOSE(IF(INT(($A183-1)/5)&gt;MAX((MIN(80,MAX(1,INT(((CROQUIS!$C$97)-CROQUIS!$C$107)/MAX(CROQUIS!$C$138,1))+1)))-1,0),0,MOD($A183-1,5))+1,0,IF(CROQUIS!$C$105=1,-12,2),CROQUIS!$C$107/2+CROQUIS!$C$141,IF(CROQUIS!$C$105=1,-12,2),0)))*CROQUIS!$C$155)+IF(CROQUIS!$C$92="X",0,0)),-1000)</f>
        <v>-1000</v>
      </c>
      <c r="BQ183">
        <f>IF(AND(CROQUIS!$C$88=1,CROQUIS!$C$91=0,CROQUIS!$C$138&gt;0,OR(CROQUIS!$C$105=1,CROQUIS!$C$143=1)),((CROQUIS!$C$157+(IF(CROQUIS!$C$92="X",CHOOSE(IF(INT(($A183-1)/5)&gt;MAX((MIN(80,MAX(1,INT(((CROQUIS!$C$97)-CROQUIS!$C$107)/MAX(CROQUIS!$C$138,1))+1)))-1,0),0,MOD($A183-1,5))+1,0,IF(CROQUIS!$C$105=1,-12,2),CROQUIS!$C$107/2+CROQUIS!$C$141,IF(CROQUIS!$C$105=1,-12,2),0),((CROQUIS!$C$107/2+(((CROQUIS!$C$97)-CROQUIS!$C$107)-(MIN(80,MAX(1,INT(((CROQUIS!$C$97)-CROQUIS!$C$107)/MAX(CROQUIS!$C$138,1))+1))-1)*CROQUIS!$C$138)/2)+MIN(INT(($A183-1)/5),MAX((MIN(80,MAX(1,INT(((CROQUIS!$C$97)-CROQUIS!$C$107)/MAX(CROQUIS!$C$138,1))+1)))-1,0))*CROQUIS!$C$138)))*CROQUIS!$C$155)+IF(CROQUIS!$C$92="X",0,0)),-1000)</f>
        <v>-1000</v>
      </c>
      <c r="BR18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183-1)/5),MAX((MIN(80,MAX(1,INT(((CROQUIS!$C$97)-CROQUIS!$C$107)/MAX(CROQUIS!$C$138,1))+1)))-1,0))*CROQUIS!$C$138),CHOOSE(IF(INT(($A183-1)/5)&gt;MAX((MIN(80,MAX(1,INT(((CROQUIS!$C$97)-CROQUIS!$C$107)/MAX(CROQUIS!$C$138,1))+1)))-1,0),0,MOD($A183-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83">
        <f>IF(AND(CROQUIS!$C$88=1,CROQUIS!$C$91=0,CROQUIS!$C$138&gt;0,OR(CROQUIS!$C$106=1,CROQUIS!$C$143=1)),((CROQUIS!$C$157+(IF(CROQUIS!$C$92="X",CHOOSE(IF(INT(($A183-1)/5)&gt;MAX((MIN(80,MAX(1,INT(((CROQUIS!$C$97)-CROQUIS!$C$107)/MAX(CROQUIS!$C$138,1))+1)))-1,0),0,MOD($A183-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183-1)/5),MAX((MIN(80,MAX(1,INT(((CROQUIS!$C$97)-CROQUIS!$C$107)/MAX(CROQUIS!$C$138,1))+1)))-1,0))*CROQUIS!$C$138)))*CROQUIS!$C$155)+IF(CROQUIS!$C$92="X",0,0)),-1000)</f>
        <v>-1000</v>
      </c>
      <c r="BT183">
        <f>IF(AND(CROQUIS!$C$88=1,CROQUIS!$C$91=1,CROQUIS!$C$130&gt;0),((CROQUIS!$C$156+(IF(CROQUIS!$C$92="X",CHOOSE(IF(INT(($A183-1)/5)&gt;MAX((MIN(80,MAX(1,INT(((CROQUIS!$C$98)-CROQUIS!$C$107)/MAX(CROQUIS!$C$130,1))+1)))-1,0),0,MOD($A183-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183-1)/5),MAX((MIN(80,MAX(1,INT(((CROQUIS!$C$98)-CROQUIS!$C$107)/MAX(CROQUIS!$C$130,1))+1)))-1,0))*CROQUIS!$C$130)))*CROQUIS!$C$155)+IF(CROQUIS!$C$92="X",0,0)),-1000)</f>
        <v>-1000</v>
      </c>
      <c r="BU183">
        <f>IF(AND(CROQUIS!$C$88=1,CROQUIS!$C$91=1,CROQUIS!$C$130&gt;0),((CROQUIS!$C$157+(IF(CROQUIS!$C$92="X",((CROQUIS!$C$107/2+(((CROQUIS!$C$98)-CROQUIS!$C$107)-(MIN(80,MAX(1,INT(((CROQUIS!$C$98)-CROQUIS!$C$107)/MAX(CROQUIS!$C$130,1))+1))-1)*CROQUIS!$C$130)/2)+MIN(INT(($A183-1)/5),MAX((MIN(80,MAX(1,INT(((CROQUIS!$C$98)-CROQUIS!$C$107)/MAX(CROQUIS!$C$130,1))+1)))-1,0))*CROQUIS!$C$130),CHOOSE(IF(INT(($A183-1)/5)&gt;MAX((MIN(80,MAX(1,INT(((CROQUIS!$C$98)-CROQUIS!$C$107)/MAX(CROQUIS!$C$130,1))+1)))-1,0),0,MOD($A183-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84">
      <c r="A184" t="n">
        <v>177</v>
      </c>
      <c r="BH184">
        <f>IF(AND(CROQUIS!$C$88=1,CROQUIS!$C$126&gt;0),((CROQUIS!$C$156+(IF(CROQUIS!$C$92="X",CHOOSE(IF(INT(($A184-1)/5)&gt;MAX((MIN(80,MAX(1,INT(((CROQUIS!$C$98)-CROQUIS!$C$107)/MAX(CROQUIS!$C$126,1))+1)))-1,0),0,MOD($A184-1,5))+1,0,2,CROQUIS!$C$97-2,2,0),((CROQUIS!$C$107/2+(((CROQUIS!$C$98)-CROQUIS!$C$107)-(MIN(80,MAX(1,INT(((CROQUIS!$C$98)-CROQUIS!$C$107)/MAX(CROQUIS!$C$126,1))+1))-1)*CROQUIS!$C$126)/2)+MIN(INT(($A184-1)/5),MAX((MIN(80,MAX(1,INT(((CROQUIS!$C$98)-CROQUIS!$C$107)/MAX(CROQUIS!$C$126,1))+1)))-1,0))*CROQUIS!$C$126)))*CROQUIS!$C$155)+IF(CROQUIS!$C$92="X",0,0)),-1000)</f>
        <v>-1000</v>
      </c>
      <c r="BI184">
        <f>IF(AND(CROQUIS!$C$88=1,CROQUIS!$C$126&gt;0),((CROQUIS!$C$157+(IF(CROQUIS!$C$92="X",((CROQUIS!$C$107/2+(((CROQUIS!$C$98)-CROQUIS!$C$107)-(MIN(80,MAX(1,INT(((CROQUIS!$C$98)-CROQUIS!$C$107)/MAX(CROQUIS!$C$126,1))+1))-1)*CROQUIS!$C$126)/2)+MIN(INT(($A184-1)/5),MAX((MIN(80,MAX(1,INT(((CROQUIS!$C$98)-CROQUIS!$C$107)/MAX(CROQUIS!$C$126,1))+1)))-1,0))*CROQUIS!$C$126),CHOOSE(IF(INT(($A184-1)/5)&gt;MAX((MIN(80,MAX(1,INT(((CROQUIS!$C$98)-CROQUIS!$C$107)/MAX(CROQUIS!$C$126,1))+1)))-1,0),0,MOD($A184-1,5))+1,0,2,CROQUIS!$C$97-2,2,0)))*CROQUIS!$C$155)+IF(CROQUIS!$C$92="X",0,0)),-1000)</f>
        <v>-1000</v>
      </c>
      <c r="BJ184">
        <f>IF(AND(CROQUIS!$C$88=1,CROQUIS!$C$134&gt;0),((CROQUIS!$C$156+(IF(CROQUIS!$C$92="X",((CROQUIS!$C$107/2+(((CROQUIS!$C$97)-CROQUIS!$C$107)-(MIN(80,MAX(1,INT(((CROQUIS!$C$97)-CROQUIS!$C$107)/MAX(CROQUIS!$C$134,1))+1))-1)*CROQUIS!$C$134)/2)+MIN(INT(($A184-1)/5),MAX((MIN(80,MAX(1,INT(((CROQUIS!$C$97)-CROQUIS!$C$107)/MAX(CROQUIS!$C$134,1))+1)))-1,0))*CROQUIS!$C$134),CHOOSE(IF(INT(($A184-1)/5)&gt;MAX((MIN(80,MAX(1,INT(((CROQUIS!$C$97)-CROQUIS!$C$107)/MAX(CROQUIS!$C$134,1))+1)))-1,0),0,MOD($A184-1,5))+1,0,2,CROQUIS!$C$98-2,2,0)))*CROQUIS!$C$155)+IF(CROQUIS!$C$92="X",0,0)),-1000)</f>
        <v>-1000</v>
      </c>
      <c r="BK184">
        <f>IF(AND(CROQUIS!$C$88=1,CROQUIS!$C$134&gt;0),((CROQUIS!$C$157+(IF(CROQUIS!$C$92="X",CHOOSE(IF(INT(($A184-1)/5)&gt;MAX((MIN(80,MAX(1,INT(((CROQUIS!$C$97)-CROQUIS!$C$107)/MAX(CROQUIS!$C$134,1))+1)))-1,0),0,MOD($A184-1,5))+1,0,2,CROQUIS!$C$98-2,2,0),((CROQUIS!$C$107/2+(((CROQUIS!$C$97)-CROQUIS!$C$107)-(MIN(80,MAX(1,INT(((CROQUIS!$C$97)-CROQUIS!$C$107)/MAX(CROQUIS!$C$134,1))+1))-1)*CROQUIS!$C$134)/2)+MIN(INT(($A184-1)/5),MAX((MIN(80,MAX(1,INT(((CROQUIS!$C$97)-CROQUIS!$C$107)/MAX(CROQUIS!$C$134,1))+1)))-1,0))*CROQUIS!$C$134)))*CROQUIS!$C$155)+IF(CROQUIS!$C$92="X",0,0)),-1000)</f>
        <v>-1000</v>
      </c>
      <c r="BL184">
        <f>IF(AND(CROQUIS!$C$88=1,CROQUIS!$C$91=0,CROQUIS!$C$130&gt;0,OR(CROQUIS!$C$103=1,CROQUIS!$C$142=1)),((CROQUIS!$C$156+(IF(CROQUIS!$C$92="X",CHOOSE(IF(INT(($A184-1)/5)&gt;MAX((MIN(80,MAX(1,INT(((CROQUIS!$C$98)-CROQUIS!$C$107)/MAX(CROQUIS!$C$130,1))+1)))-1,0),0,MOD($A184-1,5))+1,0,IF(CROQUIS!$C$103=1,-12,2),CROQUIS!$C$107/2+CROQUIS!$C$140,IF(CROQUIS!$C$103=1,-12,2),0),((CROQUIS!$C$107/2+(((CROQUIS!$C$98)-CROQUIS!$C$107)-(MIN(80,MAX(1,INT(((CROQUIS!$C$98)-CROQUIS!$C$107)/MAX(CROQUIS!$C$130,1))+1))-1)*CROQUIS!$C$130)/2)+MIN(INT(($A184-1)/5),MAX((MIN(80,MAX(1,INT(((CROQUIS!$C$98)-CROQUIS!$C$107)/MAX(CROQUIS!$C$130,1))+1)))-1,0))*CROQUIS!$C$130)))*CROQUIS!$C$155)+IF(CROQUIS!$C$92="X",0,0)),-1000)</f>
        <v>-1000</v>
      </c>
      <c r="BM18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184-1)/5),MAX((MIN(80,MAX(1,INT(((CROQUIS!$C$98)-CROQUIS!$C$107)/MAX(CROQUIS!$C$130,1))+1)))-1,0))*CROQUIS!$C$130),CHOOSE(IF(INT(($A184-1)/5)&gt;MAX((MIN(80,MAX(1,INT(((CROQUIS!$C$98)-CROQUIS!$C$107)/MAX(CROQUIS!$C$130,1))+1)))-1,0),0,MOD($A184-1,5))+1,0,IF(CROQUIS!$C$103=1,-12,2),CROQUIS!$C$107/2+CROQUIS!$C$140,IF(CROQUIS!$C$103=1,-12,2),0)))*CROQUIS!$C$155)+IF(CROQUIS!$C$92="X",0,0)),-1000)</f>
        <v>-1000</v>
      </c>
      <c r="BN184">
        <f>IF(AND(CROQUIS!$C$88=1,CROQUIS!$C$91=0,CROQUIS!$C$130&gt;0,OR(CROQUIS!$C$104=1,CROQUIS!$C$142=1)),((CROQUIS!$C$156+(IF(CROQUIS!$C$92="X",CHOOSE(IF(INT(($A184-1)/5)&gt;MAX((MIN(80,MAX(1,INT(((CROQUIS!$C$98)-CROQUIS!$C$107)/MAX(CROQUIS!$C$130,1))+1)))-1,0),0,MOD($A184-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184-1)/5),MAX((MIN(80,MAX(1,INT(((CROQUIS!$C$98)-CROQUIS!$C$107)/MAX(CROQUIS!$C$130,1))+1)))-1,0))*CROQUIS!$C$130)))*CROQUIS!$C$155)+IF(CROQUIS!$C$92="X",0,0)),-1000)</f>
        <v>-1000</v>
      </c>
      <c r="BO18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184-1)/5),MAX((MIN(80,MAX(1,INT(((CROQUIS!$C$98)-CROQUIS!$C$107)/MAX(CROQUIS!$C$130,1))+1)))-1,0))*CROQUIS!$C$130),CHOOSE(IF(INT(($A184-1)/5)&gt;MAX((MIN(80,MAX(1,INT(((CROQUIS!$C$98)-CROQUIS!$C$107)/MAX(CROQUIS!$C$130,1))+1)))-1,0),0,MOD($A184-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8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184-1)/5),MAX((MIN(80,MAX(1,INT(((CROQUIS!$C$97)-CROQUIS!$C$107)/MAX(CROQUIS!$C$138,1))+1)))-1,0))*CROQUIS!$C$138),CHOOSE(IF(INT(($A184-1)/5)&gt;MAX((MIN(80,MAX(1,INT(((CROQUIS!$C$97)-CROQUIS!$C$107)/MAX(CROQUIS!$C$138,1))+1)))-1,0),0,MOD($A184-1,5))+1,0,IF(CROQUIS!$C$105=1,-12,2),CROQUIS!$C$107/2+CROQUIS!$C$141,IF(CROQUIS!$C$105=1,-12,2),0)))*CROQUIS!$C$155)+IF(CROQUIS!$C$92="X",0,0)),-1000)</f>
        <v>-1000</v>
      </c>
      <c r="BQ184">
        <f>IF(AND(CROQUIS!$C$88=1,CROQUIS!$C$91=0,CROQUIS!$C$138&gt;0,OR(CROQUIS!$C$105=1,CROQUIS!$C$143=1)),((CROQUIS!$C$157+(IF(CROQUIS!$C$92="X",CHOOSE(IF(INT(($A184-1)/5)&gt;MAX((MIN(80,MAX(1,INT(((CROQUIS!$C$97)-CROQUIS!$C$107)/MAX(CROQUIS!$C$138,1))+1)))-1,0),0,MOD($A184-1,5))+1,0,IF(CROQUIS!$C$105=1,-12,2),CROQUIS!$C$107/2+CROQUIS!$C$141,IF(CROQUIS!$C$105=1,-12,2),0),((CROQUIS!$C$107/2+(((CROQUIS!$C$97)-CROQUIS!$C$107)-(MIN(80,MAX(1,INT(((CROQUIS!$C$97)-CROQUIS!$C$107)/MAX(CROQUIS!$C$138,1))+1))-1)*CROQUIS!$C$138)/2)+MIN(INT(($A184-1)/5),MAX((MIN(80,MAX(1,INT(((CROQUIS!$C$97)-CROQUIS!$C$107)/MAX(CROQUIS!$C$138,1))+1)))-1,0))*CROQUIS!$C$138)))*CROQUIS!$C$155)+IF(CROQUIS!$C$92="X",0,0)),-1000)</f>
        <v>-1000</v>
      </c>
      <c r="BR18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184-1)/5),MAX((MIN(80,MAX(1,INT(((CROQUIS!$C$97)-CROQUIS!$C$107)/MAX(CROQUIS!$C$138,1))+1)))-1,0))*CROQUIS!$C$138),CHOOSE(IF(INT(($A184-1)/5)&gt;MAX((MIN(80,MAX(1,INT(((CROQUIS!$C$97)-CROQUIS!$C$107)/MAX(CROQUIS!$C$138,1))+1)))-1,0),0,MOD($A184-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84">
        <f>IF(AND(CROQUIS!$C$88=1,CROQUIS!$C$91=0,CROQUIS!$C$138&gt;0,OR(CROQUIS!$C$106=1,CROQUIS!$C$143=1)),((CROQUIS!$C$157+(IF(CROQUIS!$C$92="X",CHOOSE(IF(INT(($A184-1)/5)&gt;MAX((MIN(80,MAX(1,INT(((CROQUIS!$C$97)-CROQUIS!$C$107)/MAX(CROQUIS!$C$138,1))+1)))-1,0),0,MOD($A184-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184-1)/5),MAX((MIN(80,MAX(1,INT(((CROQUIS!$C$97)-CROQUIS!$C$107)/MAX(CROQUIS!$C$138,1))+1)))-1,0))*CROQUIS!$C$138)))*CROQUIS!$C$155)+IF(CROQUIS!$C$92="X",0,0)),-1000)</f>
        <v>-1000</v>
      </c>
      <c r="BT184">
        <f>IF(AND(CROQUIS!$C$88=1,CROQUIS!$C$91=1,CROQUIS!$C$130&gt;0),((CROQUIS!$C$156+(IF(CROQUIS!$C$92="X",CHOOSE(IF(INT(($A184-1)/5)&gt;MAX((MIN(80,MAX(1,INT(((CROQUIS!$C$98)-CROQUIS!$C$107)/MAX(CROQUIS!$C$130,1))+1)))-1,0),0,MOD($A184-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184-1)/5),MAX((MIN(80,MAX(1,INT(((CROQUIS!$C$98)-CROQUIS!$C$107)/MAX(CROQUIS!$C$130,1))+1)))-1,0))*CROQUIS!$C$130)))*CROQUIS!$C$155)+IF(CROQUIS!$C$92="X",0,0)),-1000)</f>
        <v>-1000</v>
      </c>
      <c r="BU184">
        <f>IF(AND(CROQUIS!$C$88=1,CROQUIS!$C$91=1,CROQUIS!$C$130&gt;0),((CROQUIS!$C$157+(IF(CROQUIS!$C$92="X",((CROQUIS!$C$107/2+(((CROQUIS!$C$98)-CROQUIS!$C$107)-(MIN(80,MAX(1,INT(((CROQUIS!$C$98)-CROQUIS!$C$107)/MAX(CROQUIS!$C$130,1))+1))-1)*CROQUIS!$C$130)/2)+MIN(INT(($A184-1)/5),MAX((MIN(80,MAX(1,INT(((CROQUIS!$C$98)-CROQUIS!$C$107)/MAX(CROQUIS!$C$130,1))+1)))-1,0))*CROQUIS!$C$130),CHOOSE(IF(INT(($A184-1)/5)&gt;MAX((MIN(80,MAX(1,INT(((CROQUIS!$C$98)-CROQUIS!$C$107)/MAX(CROQUIS!$C$130,1))+1)))-1,0),0,MOD($A184-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85">
      <c r="A185" t="n">
        <v>178</v>
      </c>
      <c r="BH185">
        <f>IF(AND(CROQUIS!$C$88=1,CROQUIS!$C$126&gt;0),((CROQUIS!$C$156+(IF(CROQUIS!$C$92="X",CHOOSE(IF(INT(($A185-1)/5)&gt;MAX((MIN(80,MAX(1,INT(((CROQUIS!$C$98)-CROQUIS!$C$107)/MAX(CROQUIS!$C$126,1))+1)))-1,0),0,MOD($A185-1,5))+1,0,2,CROQUIS!$C$97-2,2,0),((CROQUIS!$C$107/2+(((CROQUIS!$C$98)-CROQUIS!$C$107)-(MIN(80,MAX(1,INT(((CROQUIS!$C$98)-CROQUIS!$C$107)/MAX(CROQUIS!$C$126,1))+1))-1)*CROQUIS!$C$126)/2)+MIN(INT(($A185-1)/5),MAX((MIN(80,MAX(1,INT(((CROQUIS!$C$98)-CROQUIS!$C$107)/MAX(CROQUIS!$C$126,1))+1)))-1,0))*CROQUIS!$C$126)))*CROQUIS!$C$155)+IF(CROQUIS!$C$92="X",0,0)),-1000)</f>
        <v>-1000</v>
      </c>
      <c r="BI185">
        <f>IF(AND(CROQUIS!$C$88=1,CROQUIS!$C$126&gt;0),((CROQUIS!$C$157+(IF(CROQUIS!$C$92="X",((CROQUIS!$C$107/2+(((CROQUIS!$C$98)-CROQUIS!$C$107)-(MIN(80,MAX(1,INT(((CROQUIS!$C$98)-CROQUIS!$C$107)/MAX(CROQUIS!$C$126,1))+1))-1)*CROQUIS!$C$126)/2)+MIN(INT(($A185-1)/5),MAX((MIN(80,MAX(1,INT(((CROQUIS!$C$98)-CROQUIS!$C$107)/MAX(CROQUIS!$C$126,1))+1)))-1,0))*CROQUIS!$C$126),CHOOSE(IF(INT(($A185-1)/5)&gt;MAX((MIN(80,MAX(1,INT(((CROQUIS!$C$98)-CROQUIS!$C$107)/MAX(CROQUIS!$C$126,1))+1)))-1,0),0,MOD($A185-1,5))+1,0,2,CROQUIS!$C$97-2,2,0)))*CROQUIS!$C$155)+IF(CROQUIS!$C$92="X",0,0)),-1000)</f>
        <v>-1000</v>
      </c>
      <c r="BJ185">
        <f>IF(AND(CROQUIS!$C$88=1,CROQUIS!$C$134&gt;0),((CROQUIS!$C$156+(IF(CROQUIS!$C$92="X",((CROQUIS!$C$107/2+(((CROQUIS!$C$97)-CROQUIS!$C$107)-(MIN(80,MAX(1,INT(((CROQUIS!$C$97)-CROQUIS!$C$107)/MAX(CROQUIS!$C$134,1))+1))-1)*CROQUIS!$C$134)/2)+MIN(INT(($A185-1)/5),MAX((MIN(80,MAX(1,INT(((CROQUIS!$C$97)-CROQUIS!$C$107)/MAX(CROQUIS!$C$134,1))+1)))-1,0))*CROQUIS!$C$134),CHOOSE(IF(INT(($A185-1)/5)&gt;MAX((MIN(80,MAX(1,INT(((CROQUIS!$C$97)-CROQUIS!$C$107)/MAX(CROQUIS!$C$134,1))+1)))-1,0),0,MOD($A185-1,5))+1,0,2,CROQUIS!$C$98-2,2,0)))*CROQUIS!$C$155)+IF(CROQUIS!$C$92="X",0,0)),-1000)</f>
        <v>-1000</v>
      </c>
      <c r="BK185">
        <f>IF(AND(CROQUIS!$C$88=1,CROQUIS!$C$134&gt;0),((CROQUIS!$C$157+(IF(CROQUIS!$C$92="X",CHOOSE(IF(INT(($A185-1)/5)&gt;MAX((MIN(80,MAX(1,INT(((CROQUIS!$C$97)-CROQUIS!$C$107)/MAX(CROQUIS!$C$134,1))+1)))-1,0),0,MOD($A185-1,5))+1,0,2,CROQUIS!$C$98-2,2,0),((CROQUIS!$C$107/2+(((CROQUIS!$C$97)-CROQUIS!$C$107)-(MIN(80,MAX(1,INT(((CROQUIS!$C$97)-CROQUIS!$C$107)/MAX(CROQUIS!$C$134,1))+1))-1)*CROQUIS!$C$134)/2)+MIN(INT(($A185-1)/5),MAX((MIN(80,MAX(1,INT(((CROQUIS!$C$97)-CROQUIS!$C$107)/MAX(CROQUIS!$C$134,1))+1)))-1,0))*CROQUIS!$C$134)))*CROQUIS!$C$155)+IF(CROQUIS!$C$92="X",0,0)),-1000)</f>
        <v>-1000</v>
      </c>
      <c r="BL185">
        <f>IF(AND(CROQUIS!$C$88=1,CROQUIS!$C$91=0,CROQUIS!$C$130&gt;0,OR(CROQUIS!$C$103=1,CROQUIS!$C$142=1)),((CROQUIS!$C$156+(IF(CROQUIS!$C$92="X",CHOOSE(IF(INT(($A185-1)/5)&gt;MAX((MIN(80,MAX(1,INT(((CROQUIS!$C$98)-CROQUIS!$C$107)/MAX(CROQUIS!$C$130,1))+1)))-1,0),0,MOD($A185-1,5))+1,0,IF(CROQUIS!$C$103=1,-12,2),CROQUIS!$C$107/2+CROQUIS!$C$140,IF(CROQUIS!$C$103=1,-12,2),0),((CROQUIS!$C$107/2+(((CROQUIS!$C$98)-CROQUIS!$C$107)-(MIN(80,MAX(1,INT(((CROQUIS!$C$98)-CROQUIS!$C$107)/MAX(CROQUIS!$C$130,1))+1))-1)*CROQUIS!$C$130)/2)+MIN(INT(($A185-1)/5),MAX((MIN(80,MAX(1,INT(((CROQUIS!$C$98)-CROQUIS!$C$107)/MAX(CROQUIS!$C$130,1))+1)))-1,0))*CROQUIS!$C$130)))*CROQUIS!$C$155)+IF(CROQUIS!$C$92="X",0,0)),-1000)</f>
        <v>-1000</v>
      </c>
      <c r="BM18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185-1)/5),MAX((MIN(80,MAX(1,INT(((CROQUIS!$C$98)-CROQUIS!$C$107)/MAX(CROQUIS!$C$130,1))+1)))-1,0))*CROQUIS!$C$130),CHOOSE(IF(INT(($A185-1)/5)&gt;MAX((MIN(80,MAX(1,INT(((CROQUIS!$C$98)-CROQUIS!$C$107)/MAX(CROQUIS!$C$130,1))+1)))-1,0),0,MOD($A185-1,5))+1,0,IF(CROQUIS!$C$103=1,-12,2),CROQUIS!$C$107/2+CROQUIS!$C$140,IF(CROQUIS!$C$103=1,-12,2),0)))*CROQUIS!$C$155)+IF(CROQUIS!$C$92="X",0,0)),-1000)</f>
        <v>-1000</v>
      </c>
      <c r="BN185">
        <f>IF(AND(CROQUIS!$C$88=1,CROQUIS!$C$91=0,CROQUIS!$C$130&gt;0,OR(CROQUIS!$C$104=1,CROQUIS!$C$142=1)),((CROQUIS!$C$156+(IF(CROQUIS!$C$92="X",CHOOSE(IF(INT(($A185-1)/5)&gt;MAX((MIN(80,MAX(1,INT(((CROQUIS!$C$98)-CROQUIS!$C$107)/MAX(CROQUIS!$C$130,1))+1)))-1,0),0,MOD($A185-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185-1)/5),MAX((MIN(80,MAX(1,INT(((CROQUIS!$C$98)-CROQUIS!$C$107)/MAX(CROQUIS!$C$130,1))+1)))-1,0))*CROQUIS!$C$130)))*CROQUIS!$C$155)+IF(CROQUIS!$C$92="X",0,0)),-1000)</f>
        <v>-1000</v>
      </c>
      <c r="BO18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185-1)/5),MAX((MIN(80,MAX(1,INT(((CROQUIS!$C$98)-CROQUIS!$C$107)/MAX(CROQUIS!$C$130,1))+1)))-1,0))*CROQUIS!$C$130),CHOOSE(IF(INT(($A185-1)/5)&gt;MAX((MIN(80,MAX(1,INT(((CROQUIS!$C$98)-CROQUIS!$C$107)/MAX(CROQUIS!$C$130,1))+1)))-1,0),0,MOD($A185-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8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185-1)/5),MAX((MIN(80,MAX(1,INT(((CROQUIS!$C$97)-CROQUIS!$C$107)/MAX(CROQUIS!$C$138,1))+1)))-1,0))*CROQUIS!$C$138),CHOOSE(IF(INT(($A185-1)/5)&gt;MAX((MIN(80,MAX(1,INT(((CROQUIS!$C$97)-CROQUIS!$C$107)/MAX(CROQUIS!$C$138,1))+1)))-1,0),0,MOD($A185-1,5))+1,0,IF(CROQUIS!$C$105=1,-12,2),CROQUIS!$C$107/2+CROQUIS!$C$141,IF(CROQUIS!$C$105=1,-12,2),0)))*CROQUIS!$C$155)+IF(CROQUIS!$C$92="X",0,0)),-1000)</f>
        <v>-1000</v>
      </c>
      <c r="BQ185">
        <f>IF(AND(CROQUIS!$C$88=1,CROQUIS!$C$91=0,CROQUIS!$C$138&gt;0,OR(CROQUIS!$C$105=1,CROQUIS!$C$143=1)),((CROQUIS!$C$157+(IF(CROQUIS!$C$92="X",CHOOSE(IF(INT(($A185-1)/5)&gt;MAX((MIN(80,MAX(1,INT(((CROQUIS!$C$97)-CROQUIS!$C$107)/MAX(CROQUIS!$C$138,1))+1)))-1,0),0,MOD($A185-1,5))+1,0,IF(CROQUIS!$C$105=1,-12,2),CROQUIS!$C$107/2+CROQUIS!$C$141,IF(CROQUIS!$C$105=1,-12,2),0),((CROQUIS!$C$107/2+(((CROQUIS!$C$97)-CROQUIS!$C$107)-(MIN(80,MAX(1,INT(((CROQUIS!$C$97)-CROQUIS!$C$107)/MAX(CROQUIS!$C$138,1))+1))-1)*CROQUIS!$C$138)/2)+MIN(INT(($A185-1)/5),MAX((MIN(80,MAX(1,INT(((CROQUIS!$C$97)-CROQUIS!$C$107)/MAX(CROQUIS!$C$138,1))+1)))-1,0))*CROQUIS!$C$138)))*CROQUIS!$C$155)+IF(CROQUIS!$C$92="X",0,0)),-1000)</f>
        <v>-1000</v>
      </c>
      <c r="BR18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185-1)/5),MAX((MIN(80,MAX(1,INT(((CROQUIS!$C$97)-CROQUIS!$C$107)/MAX(CROQUIS!$C$138,1))+1)))-1,0))*CROQUIS!$C$138),CHOOSE(IF(INT(($A185-1)/5)&gt;MAX((MIN(80,MAX(1,INT(((CROQUIS!$C$97)-CROQUIS!$C$107)/MAX(CROQUIS!$C$138,1))+1)))-1,0),0,MOD($A185-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85">
        <f>IF(AND(CROQUIS!$C$88=1,CROQUIS!$C$91=0,CROQUIS!$C$138&gt;0,OR(CROQUIS!$C$106=1,CROQUIS!$C$143=1)),((CROQUIS!$C$157+(IF(CROQUIS!$C$92="X",CHOOSE(IF(INT(($A185-1)/5)&gt;MAX((MIN(80,MAX(1,INT(((CROQUIS!$C$97)-CROQUIS!$C$107)/MAX(CROQUIS!$C$138,1))+1)))-1,0),0,MOD($A185-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185-1)/5),MAX((MIN(80,MAX(1,INT(((CROQUIS!$C$97)-CROQUIS!$C$107)/MAX(CROQUIS!$C$138,1))+1)))-1,0))*CROQUIS!$C$138)))*CROQUIS!$C$155)+IF(CROQUIS!$C$92="X",0,0)),-1000)</f>
        <v>-1000</v>
      </c>
      <c r="BT185">
        <f>IF(AND(CROQUIS!$C$88=1,CROQUIS!$C$91=1,CROQUIS!$C$130&gt;0),((CROQUIS!$C$156+(IF(CROQUIS!$C$92="X",CHOOSE(IF(INT(($A185-1)/5)&gt;MAX((MIN(80,MAX(1,INT(((CROQUIS!$C$98)-CROQUIS!$C$107)/MAX(CROQUIS!$C$130,1))+1)))-1,0),0,MOD($A185-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185-1)/5),MAX((MIN(80,MAX(1,INT(((CROQUIS!$C$98)-CROQUIS!$C$107)/MAX(CROQUIS!$C$130,1))+1)))-1,0))*CROQUIS!$C$130)))*CROQUIS!$C$155)+IF(CROQUIS!$C$92="X",0,0)),-1000)</f>
        <v>-1000</v>
      </c>
      <c r="BU185">
        <f>IF(AND(CROQUIS!$C$88=1,CROQUIS!$C$91=1,CROQUIS!$C$130&gt;0),((CROQUIS!$C$157+(IF(CROQUIS!$C$92="X",((CROQUIS!$C$107/2+(((CROQUIS!$C$98)-CROQUIS!$C$107)-(MIN(80,MAX(1,INT(((CROQUIS!$C$98)-CROQUIS!$C$107)/MAX(CROQUIS!$C$130,1))+1))-1)*CROQUIS!$C$130)/2)+MIN(INT(($A185-1)/5),MAX((MIN(80,MAX(1,INT(((CROQUIS!$C$98)-CROQUIS!$C$107)/MAX(CROQUIS!$C$130,1))+1)))-1,0))*CROQUIS!$C$130),CHOOSE(IF(INT(($A185-1)/5)&gt;MAX((MIN(80,MAX(1,INT(((CROQUIS!$C$98)-CROQUIS!$C$107)/MAX(CROQUIS!$C$130,1))+1)))-1,0),0,MOD($A185-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86">
      <c r="A186" t="n">
        <v>179</v>
      </c>
      <c r="BH186">
        <f>IF(AND(CROQUIS!$C$88=1,CROQUIS!$C$126&gt;0),((CROQUIS!$C$156+(IF(CROQUIS!$C$92="X",CHOOSE(IF(INT(($A186-1)/5)&gt;MAX((MIN(80,MAX(1,INT(((CROQUIS!$C$98)-CROQUIS!$C$107)/MAX(CROQUIS!$C$126,1))+1)))-1,0),0,MOD($A186-1,5))+1,0,2,CROQUIS!$C$97-2,2,0),((CROQUIS!$C$107/2+(((CROQUIS!$C$98)-CROQUIS!$C$107)-(MIN(80,MAX(1,INT(((CROQUIS!$C$98)-CROQUIS!$C$107)/MAX(CROQUIS!$C$126,1))+1))-1)*CROQUIS!$C$126)/2)+MIN(INT(($A186-1)/5),MAX((MIN(80,MAX(1,INT(((CROQUIS!$C$98)-CROQUIS!$C$107)/MAX(CROQUIS!$C$126,1))+1)))-1,0))*CROQUIS!$C$126)))*CROQUIS!$C$155)+IF(CROQUIS!$C$92="X",0,0)),-1000)</f>
        <v>-1000</v>
      </c>
      <c r="BI186">
        <f>IF(AND(CROQUIS!$C$88=1,CROQUIS!$C$126&gt;0),((CROQUIS!$C$157+(IF(CROQUIS!$C$92="X",((CROQUIS!$C$107/2+(((CROQUIS!$C$98)-CROQUIS!$C$107)-(MIN(80,MAX(1,INT(((CROQUIS!$C$98)-CROQUIS!$C$107)/MAX(CROQUIS!$C$126,1))+1))-1)*CROQUIS!$C$126)/2)+MIN(INT(($A186-1)/5),MAX((MIN(80,MAX(1,INT(((CROQUIS!$C$98)-CROQUIS!$C$107)/MAX(CROQUIS!$C$126,1))+1)))-1,0))*CROQUIS!$C$126),CHOOSE(IF(INT(($A186-1)/5)&gt;MAX((MIN(80,MAX(1,INT(((CROQUIS!$C$98)-CROQUIS!$C$107)/MAX(CROQUIS!$C$126,1))+1)))-1,0),0,MOD($A186-1,5))+1,0,2,CROQUIS!$C$97-2,2,0)))*CROQUIS!$C$155)+IF(CROQUIS!$C$92="X",0,0)),-1000)</f>
        <v>-1000</v>
      </c>
      <c r="BJ186">
        <f>IF(AND(CROQUIS!$C$88=1,CROQUIS!$C$134&gt;0),((CROQUIS!$C$156+(IF(CROQUIS!$C$92="X",((CROQUIS!$C$107/2+(((CROQUIS!$C$97)-CROQUIS!$C$107)-(MIN(80,MAX(1,INT(((CROQUIS!$C$97)-CROQUIS!$C$107)/MAX(CROQUIS!$C$134,1))+1))-1)*CROQUIS!$C$134)/2)+MIN(INT(($A186-1)/5),MAX((MIN(80,MAX(1,INT(((CROQUIS!$C$97)-CROQUIS!$C$107)/MAX(CROQUIS!$C$134,1))+1)))-1,0))*CROQUIS!$C$134),CHOOSE(IF(INT(($A186-1)/5)&gt;MAX((MIN(80,MAX(1,INT(((CROQUIS!$C$97)-CROQUIS!$C$107)/MAX(CROQUIS!$C$134,1))+1)))-1,0),0,MOD($A186-1,5))+1,0,2,CROQUIS!$C$98-2,2,0)))*CROQUIS!$C$155)+IF(CROQUIS!$C$92="X",0,0)),-1000)</f>
        <v>-1000</v>
      </c>
      <c r="BK186">
        <f>IF(AND(CROQUIS!$C$88=1,CROQUIS!$C$134&gt;0),((CROQUIS!$C$157+(IF(CROQUIS!$C$92="X",CHOOSE(IF(INT(($A186-1)/5)&gt;MAX((MIN(80,MAX(1,INT(((CROQUIS!$C$97)-CROQUIS!$C$107)/MAX(CROQUIS!$C$134,1))+1)))-1,0),0,MOD($A186-1,5))+1,0,2,CROQUIS!$C$98-2,2,0),((CROQUIS!$C$107/2+(((CROQUIS!$C$97)-CROQUIS!$C$107)-(MIN(80,MAX(1,INT(((CROQUIS!$C$97)-CROQUIS!$C$107)/MAX(CROQUIS!$C$134,1))+1))-1)*CROQUIS!$C$134)/2)+MIN(INT(($A186-1)/5),MAX((MIN(80,MAX(1,INT(((CROQUIS!$C$97)-CROQUIS!$C$107)/MAX(CROQUIS!$C$134,1))+1)))-1,0))*CROQUIS!$C$134)))*CROQUIS!$C$155)+IF(CROQUIS!$C$92="X",0,0)),-1000)</f>
        <v>-1000</v>
      </c>
      <c r="BL186">
        <f>IF(AND(CROQUIS!$C$88=1,CROQUIS!$C$91=0,CROQUIS!$C$130&gt;0,OR(CROQUIS!$C$103=1,CROQUIS!$C$142=1)),((CROQUIS!$C$156+(IF(CROQUIS!$C$92="X",CHOOSE(IF(INT(($A186-1)/5)&gt;MAX((MIN(80,MAX(1,INT(((CROQUIS!$C$98)-CROQUIS!$C$107)/MAX(CROQUIS!$C$130,1))+1)))-1,0),0,MOD($A186-1,5))+1,0,IF(CROQUIS!$C$103=1,-12,2),CROQUIS!$C$107/2+CROQUIS!$C$140,IF(CROQUIS!$C$103=1,-12,2),0),((CROQUIS!$C$107/2+(((CROQUIS!$C$98)-CROQUIS!$C$107)-(MIN(80,MAX(1,INT(((CROQUIS!$C$98)-CROQUIS!$C$107)/MAX(CROQUIS!$C$130,1))+1))-1)*CROQUIS!$C$130)/2)+MIN(INT(($A186-1)/5),MAX((MIN(80,MAX(1,INT(((CROQUIS!$C$98)-CROQUIS!$C$107)/MAX(CROQUIS!$C$130,1))+1)))-1,0))*CROQUIS!$C$130)))*CROQUIS!$C$155)+IF(CROQUIS!$C$92="X",0,0)),-1000)</f>
        <v>-1000</v>
      </c>
      <c r="BM18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186-1)/5),MAX((MIN(80,MAX(1,INT(((CROQUIS!$C$98)-CROQUIS!$C$107)/MAX(CROQUIS!$C$130,1))+1)))-1,0))*CROQUIS!$C$130),CHOOSE(IF(INT(($A186-1)/5)&gt;MAX((MIN(80,MAX(1,INT(((CROQUIS!$C$98)-CROQUIS!$C$107)/MAX(CROQUIS!$C$130,1))+1)))-1,0),0,MOD($A186-1,5))+1,0,IF(CROQUIS!$C$103=1,-12,2),CROQUIS!$C$107/2+CROQUIS!$C$140,IF(CROQUIS!$C$103=1,-12,2),0)))*CROQUIS!$C$155)+IF(CROQUIS!$C$92="X",0,0)),-1000)</f>
        <v>-1000</v>
      </c>
      <c r="BN186">
        <f>IF(AND(CROQUIS!$C$88=1,CROQUIS!$C$91=0,CROQUIS!$C$130&gt;0,OR(CROQUIS!$C$104=1,CROQUIS!$C$142=1)),((CROQUIS!$C$156+(IF(CROQUIS!$C$92="X",CHOOSE(IF(INT(($A186-1)/5)&gt;MAX((MIN(80,MAX(1,INT(((CROQUIS!$C$98)-CROQUIS!$C$107)/MAX(CROQUIS!$C$130,1))+1)))-1,0),0,MOD($A186-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186-1)/5),MAX((MIN(80,MAX(1,INT(((CROQUIS!$C$98)-CROQUIS!$C$107)/MAX(CROQUIS!$C$130,1))+1)))-1,0))*CROQUIS!$C$130)))*CROQUIS!$C$155)+IF(CROQUIS!$C$92="X",0,0)),-1000)</f>
        <v>-1000</v>
      </c>
      <c r="BO18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186-1)/5),MAX((MIN(80,MAX(1,INT(((CROQUIS!$C$98)-CROQUIS!$C$107)/MAX(CROQUIS!$C$130,1))+1)))-1,0))*CROQUIS!$C$130),CHOOSE(IF(INT(($A186-1)/5)&gt;MAX((MIN(80,MAX(1,INT(((CROQUIS!$C$98)-CROQUIS!$C$107)/MAX(CROQUIS!$C$130,1))+1)))-1,0),0,MOD($A186-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8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186-1)/5),MAX((MIN(80,MAX(1,INT(((CROQUIS!$C$97)-CROQUIS!$C$107)/MAX(CROQUIS!$C$138,1))+1)))-1,0))*CROQUIS!$C$138),CHOOSE(IF(INT(($A186-1)/5)&gt;MAX((MIN(80,MAX(1,INT(((CROQUIS!$C$97)-CROQUIS!$C$107)/MAX(CROQUIS!$C$138,1))+1)))-1,0),0,MOD($A186-1,5))+1,0,IF(CROQUIS!$C$105=1,-12,2),CROQUIS!$C$107/2+CROQUIS!$C$141,IF(CROQUIS!$C$105=1,-12,2),0)))*CROQUIS!$C$155)+IF(CROQUIS!$C$92="X",0,0)),-1000)</f>
        <v>-1000</v>
      </c>
      <c r="BQ186">
        <f>IF(AND(CROQUIS!$C$88=1,CROQUIS!$C$91=0,CROQUIS!$C$138&gt;0,OR(CROQUIS!$C$105=1,CROQUIS!$C$143=1)),((CROQUIS!$C$157+(IF(CROQUIS!$C$92="X",CHOOSE(IF(INT(($A186-1)/5)&gt;MAX((MIN(80,MAX(1,INT(((CROQUIS!$C$97)-CROQUIS!$C$107)/MAX(CROQUIS!$C$138,1))+1)))-1,0),0,MOD($A186-1,5))+1,0,IF(CROQUIS!$C$105=1,-12,2),CROQUIS!$C$107/2+CROQUIS!$C$141,IF(CROQUIS!$C$105=1,-12,2),0),((CROQUIS!$C$107/2+(((CROQUIS!$C$97)-CROQUIS!$C$107)-(MIN(80,MAX(1,INT(((CROQUIS!$C$97)-CROQUIS!$C$107)/MAX(CROQUIS!$C$138,1))+1))-1)*CROQUIS!$C$138)/2)+MIN(INT(($A186-1)/5),MAX((MIN(80,MAX(1,INT(((CROQUIS!$C$97)-CROQUIS!$C$107)/MAX(CROQUIS!$C$138,1))+1)))-1,0))*CROQUIS!$C$138)))*CROQUIS!$C$155)+IF(CROQUIS!$C$92="X",0,0)),-1000)</f>
        <v>-1000</v>
      </c>
      <c r="BR18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186-1)/5),MAX((MIN(80,MAX(1,INT(((CROQUIS!$C$97)-CROQUIS!$C$107)/MAX(CROQUIS!$C$138,1))+1)))-1,0))*CROQUIS!$C$138),CHOOSE(IF(INT(($A186-1)/5)&gt;MAX((MIN(80,MAX(1,INT(((CROQUIS!$C$97)-CROQUIS!$C$107)/MAX(CROQUIS!$C$138,1))+1)))-1,0),0,MOD($A186-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86">
        <f>IF(AND(CROQUIS!$C$88=1,CROQUIS!$C$91=0,CROQUIS!$C$138&gt;0,OR(CROQUIS!$C$106=1,CROQUIS!$C$143=1)),((CROQUIS!$C$157+(IF(CROQUIS!$C$92="X",CHOOSE(IF(INT(($A186-1)/5)&gt;MAX((MIN(80,MAX(1,INT(((CROQUIS!$C$97)-CROQUIS!$C$107)/MAX(CROQUIS!$C$138,1))+1)))-1,0),0,MOD($A186-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186-1)/5),MAX((MIN(80,MAX(1,INT(((CROQUIS!$C$97)-CROQUIS!$C$107)/MAX(CROQUIS!$C$138,1))+1)))-1,0))*CROQUIS!$C$138)))*CROQUIS!$C$155)+IF(CROQUIS!$C$92="X",0,0)),-1000)</f>
        <v>-1000</v>
      </c>
      <c r="BT186">
        <f>IF(AND(CROQUIS!$C$88=1,CROQUIS!$C$91=1,CROQUIS!$C$130&gt;0),((CROQUIS!$C$156+(IF(CROQUIS!$C$92="X",CHOOSE(IF(INT(($A186-1)/5)&gt;MAX((MIN(80,MAX(1,INT(((CROQUIS!$C$98)-CROQUIS!$C$107)/MAX(CROQUIS!$C$130,1))+1)))-1,0),0,MOD($A186-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186-1)/5),MAX((MIN(80,MAX(1,INT(((CROQUIS!$C$98)-CROQUIS!$C$107)/MAX(CROQUIS!$C$130,1))+1)))-1,0))*CROQUIS!$C$130)))*CROQUIS!$C$155)+IF(CROQUIS!$C$92="X",0,0)),-1000)</f>
        <v>-1000</v>
      </c>
      <c r="BU186">
        <f>IF(AND(CROQUIS!$C$88=1,CROQUIS!$C$91=1,CROQUIS!$C$130&gt;0),((CROQUIS!$C$157+(IF(CROQUIS!$C$92="X",((CROQUIS!$C$107/2+(((CROQUIS!$C$98)-CROQUIS!$C$107)-(MIN(80,MAX(1,INT(((CROQUIS!$C$98)-CROQUIS!$C$107)/MAX(CROQUIS!$C$130,1))+1))-1)*CROQUIS!$C$130)/2)+MIN(INT(($A186-1)/5),MAX((MIN(80,MAX(1,INT(((CROQUIS!$C$98)-CROQUIS!$C$107)/MAX(CROQUIS!$C$130,1))+1)))-1,0))*CROQUIS!$C$130),CHOOSE(IF(INT(($A186-1)/5)&gt;MAX((MIN(80,MAX(1,INT(((CROQUIS!$C$98)-CROQUIS!$C$107)/MAX(CROQUIS!$C$130,1))+1)))-1,0),0,MOD($A186-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87">
      <c r="A187" t="n">
        <v>180</v>
      </c>
      <c r="BH187">
        <f>IF(AND(CROQUIS!$C$88=1,CROQUIS!$C$126&gt;0),((CROQUIS!$C$156+(IF(CROQUIS!$C$92="X",CHOOSE(IF(INT(($A187-1)/5)&gt;MAX((MIN(80,MAX(1,INT(((CROQUIS!$C$98)-CROQUIS!$C$107)/MAX(CROQUIS!$C$126,1))+1)))-1,0),0,MOD($A187-1,5))+1,0,2,CROQUIS!$C$97-2,2,0),((CROQUIS!$C$107/2+(((CROQUIS!$C$98)-CROQUIS!$C$107)-(MIN(80,MAX(1,INT(((CROQUIS!$C$98)-CROQUIS!$C$107)/MAX(CROQUIS!$C$126,1))+1))-1)*CROQUIS!$C$126)/2)+MIN(INT(($A187-1)/5),MAX((MIN(80,MAX(1,INT(((CROQUIS!$C$98)-CROQUIS!$C$107)/MAX(CROQUIS!$C$126,1))+1)))-1,0))*CROQUIS!$C$126)))*CROQUIS!$C$155)+IF(CROQUIS!$C$92="X",0,0)),-1000)</f>
        <v>-1000</v>
      </c>
      <c r="BI187">
        <f>IF(AND(CROQUIS!$C$88=1,CROQUIS!$C$126&gt;0),((CROQUIS!$C$157+(IF(CROQUIS!$C$92="X",((CROQUIS!$C$107/2+(((CROQUIS!$C$98)-CROQUIS!$C$107)-(MIN(80,MAX(1,INT(((CROQUIS!$C$98)-CROQUIS!$C$107)/MAX(CROQUIS!$C$126,1))+1))-1)*CROQUIS!$C$126)/2)+MIN(INT(($A187-1)/5),MAX((MIN(80,MAX(1,INT(((CROQUIS!$C$98)-CROQUIS!$C$107)/MAX(CROQUIS!$C$126,1))+1)))-1,0))*CROQUIS!$C$126),CHOOSE(IF(INT(($A187-1)/5)&gt;MAX((MIN(80,MAX(1,INT(((CROQUIS!$C$98)-CROQUIS!$C$107)/MAX(CROQUIS!$C$126,1))+1)))-1,0),0,MOD($A187-1,5))+1,0,2,CROQUIS!$C$97-2,2,0)))*CROQUIS!$C$155)+IF(CROQUIS!$C$92="X",0,0)),-1000)</f>
        <v>-1000</v>
      </c>
      <c r="BJ187">
        <f>IF(AND(CROQUIS!$C$88=1,CROQUIS!$C$134&gt;0),((CROQUIS!$C$156+(IF(CROQUIS!$C$92="X",((CROQUIS!$C$107/2+(((CROQUIS!$C$97)-CROQUIS!$C$107)-(MIN(80,MAX(1,INT(((CROQUIS!$C$97)-CROQUIS!$C$107)/MAX(CROQUIS!$C$134,1))+1))-1)*CROQUIS!$C$134)/2)+MIN(INT(($A187-1)/5),MAX((MIN(80,MAX(1,INT(((CROQUIS!$C$97)-CROQUIS!$C$107)/MAX(CROQUIS!$C$134,1))+1)))-1,0))*CROQUIS!$C$134),CHOOSE(IF(INT(($A187-1)/5)&gt;MAX((MIN(80,MAX(1,INT(((CROQUIS!$C$97)-CROQUIS!$C$107)/MAX(CROQUIS!$C$134,1))+1)))-1,0),0,MOD($A187-1,5))+1,0,2,CROQUIS!$C$98-2,2,0)))*CROQUIS!$C$155)+IF(CROQUIS!$C$92="X",0,0)),-1000)</f>
        <v>-1000</v>
      </c>
      <c r="BK187">
        <f>IF(AND(CROQUIS!$C$88=1,CROQUIS!$C$134&gt;0),((CROQUIS!$C$157+(IF(CROQUIS!$C$92="X",CHOOSE(IF(INT(($A187-1)/5)&gt;MAX((MIN(80,MAX(1,INT(((CROQUIS!$C$97)-CROQUIS!$C$107)/MAX(CROQUIS!$C$134,1))+1)))-1,0),0,MOD($A187-1,5))+1,0,2,CROQUIS!$C$98-2,2,0),((CROQUIS!$C$107/2+(((CROQUIS!$C$97)-CROQUIS!$C$107)-(MIN(80,MAX(1,INT(((CROQUIS!$C$97)-CROQUIS!$C$107)/MAX(CROQUIS!$C$134,1))+1))-1)*CROQUIS!$C$134)/2)+MIN(INT(($A187-1)/5),MAX((MIN(80,MAX(1,INT(((CROQUIS!$C$97)-CROQUIS!$C$107)/MAX(CROQUIS!$C$134,1))+1)))-1,0))*CROQUIS!$C$134)))*CROQUIS!$C$155)+IF(CROQUIS!$C$92="X",0,0)),-1000)</f>
        <v>-1000</v>
      </c>
      <c r="BL187">
        <f>IF(AND(CROQUIS!$C$88=1,CROQUIS!$C$91=0,CROQUIS!$C$130&gt;0,OR(CROQUIS!$C$103=1,CROQUIS!$C$142=1)),((CROQUIS!$C$156+(IF(CROQUIS!$C$92="X",CHOOSE(IF(INT(($A187-1)/5)&gt;MAX((MIN(80,MAX(1,INT(((CROQUIS!$C$98)-CROQUIS!$C$107)/MAX(CROQUIS!$C$130,1))+1)))-1,0),0,MOD($A187-1,5))+1,0,IF(CROQUIS!$C$103=1,-12,2),CROQUIS!$C$107/2+CROQUIS!$C$140,IF(CROQUIS!$C$103=1,-12,2),0),((CROQUIS!$C$107/2+(((CROQUIS!$C$98)-CROQUIS!$C$107)-(MIN(80,MAX(1,INT(((CROQUIS!$C$98)-CROQUIS!$C$107)/MAX(CROQUIS!$C$130,1))+1))-1)*CROQUIS!$C$130)/2)+MIN(INT(($A187-1)/5),MAX((MIN(80,MAX(1,INT(((CROQUIS!$C$98)-CROQUIS!$C$107)/MAX(CROQUIS!$C$130,1))+1)))-1,0))*CROQUIS!$C$130)))*CROQUIS!$C$155)+IF(CROQUIS!$C$92="X",0,0)),-1000)</f>
        <v>-1000</v>
      </c>
      <c r="BM18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187-1)/5),MAX((MIN(80,MAX(1,INT(((CROQUIS!$C$98)-CROQUIS!$C$107)/MAX(CROQUIS!$C$130,1))+1)))-1,0))*CROQUIS!$C$130),CHOOSE(IF(INT(($A187-1)/5)&gt;MAX((MIN(80,MAX(1,INT(((CROQUIS!$C$98)-CROQUIS!$C$107)/MAX(CROQUIS!$C$130,1))+1)))-1,0),0,MOD($A187-1,5))+1,0,IF(CROQUIS!$C$103=1,-12,2),CROQUIS!$C$107/2+CROQUIS!$C$140,IF(CROQUIS!$C$103=1,-12,2),0)))*CROQUIS!$C$155)+IF(CROQUIS!$C$92="X",0,0)),-1000)</f>
        <v>-1000</v>
      </c>
      <c r="BN187">
        <f>IF(AND(CROQUIS!$C$88=1,CROQUIS!$C$91=0,CROQUIS!$C$130&gt;0,OR(CROQUIS!$C$104=1,CROQUIS!$C$142=1)),((CROQUIS!$C$156+(IF(CROQUIS!$C$92="X",CHOOSE(IF(INT(($A187-1)/5)&gt;MAX((MIN(80,MAX(1,INT(((CROQUIS!$C$98)-CROQUIS!$C$107)/MAX(CROQUIS!$C$130,1))+1)))-1,0),0,MOD($A187-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187-1)/5),MAX((MIN(80,MAX(1,INT(((CROQUIS!$C$98)-CROQUIS!$C$107)/MAX(CROQUIS!$C$130,1))+1)))-1,0))*CROQUIS!$C$130)))*CROQUIS!$C$155)+IF(CROQUIS!$C$92="X",0,0)),-1000)</f>
        <v>-1000</v>
      </c>
      <c r="BO18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187-1)/5),MAX((MIN(80,MAX(1,INT(((CROQUIS!$C$98)-CROQUIS!$C$107)/MAX(CROQUIS!$C$130,1))+1)))-1,0))*CROQUIS!$C$130),CHOOSE(IF(INT(($A187-1)/5)&gt;MAX((MIN(80,MAX(1,INT(((CROQUIS!$C$98)-CROQUIS!$C$107)/MAX(CROQUIS!$C$130,1))+1)))-1,0),0,MOD($A187-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8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187-1)/5),MAX((MIN(80,MAX(1,INT(((CROQUIS!$C$97)-CROQUIS!$C$107)/MAX(CROQUIS!$C$138,1))+1)))-1,0))*CROQUIS!$C$138),CHOOSE(IF(INT(($A187-1)/5)&gt;MAX((MIN(80,MAX(1,INT(((CROQUIS!$C$97)-CROQUIS!$C$107)/MAX(CROQUIS!$C$138,1))+1)))-1,0),0,MOD($A187-1,5))+1,0,IF(CROQUIS!$C$105=1,-12,2),CROQUIS!$C$107/2+CROQUIS!$C$141,IF(CROQUIS!$C$105=1,-12,2),0)))*CROQUIS!$C$155)+IF(CROQUIS!$C$92="X",0,0)),-1000)</f>
        <v>-1000</v>
      </c>
      <c r="BQ187">
        <f>IF(AND(CROQUIS!$C$88=1,CROQUIS!$C$91=0,CROQUIS!$C$138&gt;0,OR(CROQUIS!$C$105=1,CROQUIS!$C$143=1)),((CROQUIS!$C$157+(IF(CROQUIS!$C$92="X",CHOOSE(IF(INT(($A187-1)/5)&gt;MAX((MIN(80,MAX(1,INT(((CROQUIS!$C$97)-CROQUIS!$C$107)/MAX(CROQUIS!$C$138,1))+1)))-1,0),0,MOD($A187-1,5))+1,0,IF(CROQUIS!$C$105=1,-12,2),CROQUIS!$C$107/2+CROQUIS!$C$141,IF(CROQUIS!$C$105=1,-12,2),0),((CROQUIS!$C$107/2+(((CROQUIS!$C$97)-CROQUIS!$C$107)-(MIN(80,MAX(1,INT(((CROQUIS!$C$97)-CROQUIS!$C$107)/MAX(CROQUIS!$C$138,1))+1))-1)*CROQUIS!$C$138)/2)+MIN(INT(($A187-1)/5),MAX((MIN(80,MAX(1,INT(((CROQUIS!$C$97)-CROQUIS!$C$107)/MAX(CROQUIS!$C$138,1))+1)))-1,0))*CROQUIS!$C$138)))*CROQUIS!$C$155)+IF(CROQUIS!$C$92="X",0,0)),-1000)</f>
        <v>-1000</v>
      </c>
      <c r="BR18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187-1)/5),MAX((MIN(80,MAX(1,INT(((CROQUIS!$C$97)-CROQUIS!$C$107)/MAX(CROQUIS!$C$138,1))+1)))-1,0))*CROQUIS!$C$138),CHOOSE(IF(INT(($A187-1)/5)&gt;MAX((MIN(80,MAX(1,INT(((CROQUIS!$C$97)-CROQUIS!$C$107)/MAX(CROQUIS!$C$138,1))+1)))-1,0),0,MOD($A187-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87">
        <f>IF(AND(CROQUIS!$C$88=1,CROQUIS!$C$91=0,CROQUIS!$C$138&gt;0,OR(CROQUIS!$C$106=1,CROQUIS!$C$143=1)),((CROQUIS!$C$157+(IF(CROQUIS!$C$92="X",CHOOSE(IF(INT(($A187-1)/5)&gt;MAX((MIN(80,MAX(1,INT(((CROQUIS!$C$97)-CROQUIS!$C$107)/MAX(CROQUIS!$C$138,1))+1)))-1,0),0,MOD($A187-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187-1)/5),MAX((MIN(80,MAX(1,INT(((CROQUIS!$C$97)-CROQUIS!$C$107)/MAX(CROQUIS!$C$138,1))+1)))-1,0))*CROQUIS!$C$138)))*CROQUIS!$C$155)+IF(CROQUIS!$C$92="X",0,0)),-1000)</f>
        <v>-1000</v>
      </c>
      <c r="BT187">
        <f>IF(AND(CROQUIS!$C$88=1,CROQUIS!$C$91=1,CROQUIS!$C$130&gt;0),((CROQUIS!$C$156+(IF(CROQUIS!$C$92="X",CHOOSE(IF(INT(($A187-1)/5)&gt;MAX((MIN(80,MAX(1,INT(((CROQUIS!$C$98)-CROQUIS!$C$107)/MAX(CROQUIS!$C$130,1))+1)))-1,0),0,MOD($A187-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187-1)/5),MAX((MIN(80,MAX(1,INT(((CROQUIS!$C$98)-CROQUIS!$C$107)/MAX(CROQUIS!$C$130,1))+1)))-1,0))*CROQUIS!$C$130)))*CROQUIS!$C$155)+IF(CROQUIS!$C$92="X",0,0)),-1000)</f>
        <v>-1000</v>
      </c>
      <c r="BU187">
        <f>IF(AND(CROQUIS!$C$88=1,CROQUIS!$C$91=1,CROQUIS!$C$130&gt;0),((CROQUIS!$C$157+(IF(CROQUIS!$C$92="X",((CROQUIS!$C$107/2+(((CROQUIS!$C$98)-CROQUIS!$C$107)-(MIN(80,MAX(1,INT(((CROQUIS!$C$98)-CROQUIS!$C$107)/MAX(CROQUIS!$C$130,1))+1))-1)*CROQUIS!$C$130)/2)+MIN(INT(($A187-1)/5),MAX((MIN(80,MAX(1,INT(((CROQUIS!$C$98)-CROQUIS!$C$107)/MAX(CROQUIS!$C$130,1))+1)))-1,0))*CROQUIS!$C$130),CHOOSE(IF(INT(($A187-1)/5)&gt;MAX((MIN(80,MAX(1,INT(((CROQUIS!$C$98)-CROQUIS!$C$107)/MAX(CROQUIS!$C$130,1))+1)))-1,0),0,MOD($A187-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88">
      <c r="A188" t="n">
        <v>181</v>
      </c>
      <c r="BH188">
        <f>IF(AND(CROQUIS!$C$88=1,CROQUIS!$C$126&gt;0),((CROQUIS!$C$156+(IF(CROQUIS!$C$92="X",CHOOSE(IF(INT(($A188-1)/5)&gt;MAX((MIN(80,MAX(1,INT(((CROQUIS!$C$98)-CROQUIS!$C$107)/MAX(CROQUIS!$C$126,1))+1)))-1,0),0,MOD($A188-1,5))+1,0,2,CROQUIS!$C$97-2,2,0),((CROQUIS!$C$107/2+(((CROQUIS!$C$98)-CROQUIS!$C$107)-(MIN(80,MAX(1,INT(((CROQUIS!$C$98)-CROQUIS!$C$107)/MAX(CROQUIS!$C$126,1))+1))-1)*CROQUIS!$C$126)/2)+MIN(INT(($A188-1)/5),MAX((MIN(80,MAX(1,INT(((CROQUIS!$C$98)-CROQUIS!$C$107)/MAX(CROQUIS!$C$126,1))+1)))-1,0))*CROQUIS!$C$126)))*CROQUIS!$C$155)+IF(CROQUIS!$C$92="X",0,0)),-1000)</f>
        <v>-1000</v>
      </c>
      <c r="BI188">
        <f>IF(AND(CROQUIS!$C$88=1,CROQUIS!$C$126&gt;0),((CROQUIS!$C$157+(IF(CROQUIS!$C$92="X",((CROQUIS!$C$107/2+(((CROQUIS!$C$98)-CROQUIS!$C$107)-(MIN(80,MAX(1,INT(((CROQUIS!$C$98)-CROQUIS!$C$107)/MAX(CROQUIS!$C$126,1))+1))-1)*CROQUIS!$C$126)/2)+MIN(INT(($A188-1)/5),MAX((MIN(80,MAX(1,INT(((CROQUIS!$C$98)-CROQUIS!$C$107)/MAX(CROQUIS!$C$126,1))+1)))-1,0))*CROQUIS!$C$126),CHOOSE(IF(INT(($A188-1)/5)&gt;MAX((MIN(80,MAX(1,INT(((CROQUIS!$C$98)-CROQUIS!$C$107)/MAX(CROQUIS!$C$126,1))+1)))-1,0),0,MOD($A188-1,5))+1,0,2,CROQUIS!$C$97-2,2,0)))*CROQUIS!$C$155)+IF(CROQUIS!$C$92="X",0,0)),-1000)</f>
        <v>-1000</v>
      </c>
      <c r="BJ188">
        <f>IF(AND(CROQUIS!$C$88=1,CROQUIS!$C$134&gt;0),((CROQUIS!$C$156+(IF(CROQUIS!$C$92="X",((CROQUIS!$C$107/2+(((CROQUIS!$C$97)-CROQUIS!$C$107)-(MIN(80,MAX(1,INT(((CROQUIS!$C$97)-CROQUIS!$C$107)/MAX(CROQUIS!$C$134,1))+1))-1)*CROQUIS!$C$134)/2)+MIN(INT(($A188-1)/5),MAX((MIN(80,MAX(1,INT(((CROQUIS!$C$97)-CROQUIS!$C$107)/MAX(CROQUIS!$C$134,1))+1)))-1,0))*CROQUIS!$C$134),CHOOSE(IF(INT(($A188-1)/5)&gt;MAX((MIN(80,MAX(1,INT(((CROQUIS!$C$97)-CROQUIS!$C$107)/MAX(CROQUIS!$C$134,1))+1)))-1,0),0,MOD($A188-1,5))+1,0,2,CROQUIS!$C$98-2,2,0)))*CROQUIS!$C$155)+IF(CROQUIS!$C$92="X",0,0)),-1000)</f>
        <v>-1000</v>
      </c>
      <c r="BK188">
        <f>IF(AND(CROQUIS!$C$88=1,CROQUIS!$C$134&gt;0),((CROQUIS!$C$157+(IF(CROQUIS!$C$92="X",CHOOSE(IF(INT(($A188-1)/5)&gt;MAX((MIN(80,MAX(1,INT(((CROQUIS!$C$97)-CROQUIS!$C$107)/MAX(CROQUIS!$C$134,1))+1)))-1,0),0,MOD($A188-1,5))+1,0,2,CROQUIS!$C$98-2,2,0),((CROQUIS!$C$107/2+(((CROQUIS!$C$97)-CROQUIS!$C$107)-(MIN(80,MAX(1,INT(((CROQUIS!$C$97)-CROQUIS!$C$107)/MAX(CROQUIS!$C$134,1))+1))-1)*CROQUIS!$C$134)/2)+MIN(INT(($A188-1)/5),MAX((MIN(80,MAX(1,INT(((CROQUIS!$C$97)-CROQUIS!$C$107)/MAX(CROQUIS!$C$134,1))+1)))-1,0))*CROQUIS!$C$134)))*CROQUIS!$C$155)+IF(CROQUIS!$C$92="X",0,0)),-1000)</f>
        <v>-1000</v>
      </c>
      <c r="BL188">
        <f>IF(AND(CROQUIS!$C$88=1,CROQUIS!$C$91=0,CROQUIS!$C$130&gt;0,OR(CROQUIS!$C$103=1,CROQUIS!$C$142=1)),((CROQUIS!$C$156+(IF(CROQUIS!$C$92="X",CHOOSE(IF(INT(($A188-1)/5)&gt;MAX((MIN(80,MAX(1,INT(((CROQUIS!$C$98)-CROQUIS!$C$107)/MAX(CROQUIS!$C$130,1))+1)))-1,0),0,MOD($A188-1,5))+1,0,IF(CROQUIS!$C$103=1,-12,2),CROQUIS!$C$107/2+CROQUIS!$C$140,IF(CROQUIS!$C$103=1,-12,2),0),((CROQUIS!$C$107/2+(((CROQUIS!$C$98)-CROQUIS!$C$107)-(MIN(80,MAX(1,INT(((CROQUIS!$C$98)-CROQUIS!$C$107)/MAX(CROQUIS!$C$130,1))+1))-1)*CROQUIS!$C$130)/2)+MIN(INT(($A188-1)/5),MAX((MIN(80,MAX(1,INT(((CROQUIS!$C$98)-CROQUIS!$C$107)/MAX(CROQUIS!$C$130,1))+1)))-1,0))*CROQUIS!$C$130)))*CROQUIS!$C$155)+IF(CROQUIS!$C$92="X",0,0)),-1000)</f>
        <v>-1000</v>
      </c>
      <c r="BM18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188-1)/5),MAX((MIN(80,MAX(1,INT(((CROQUIS!$C$98)-CROQUIS!$C$107)/MAX(CROQUIS!$C$130,1))+1)))-1,0))*CROQUIS!$C$130),CHOOSE(IF(INT(($A188-1)/5)&gt;MAX((MIN(80,MAX(1,INT(((CROQUIS!$C$98)-CROQUIS!$C$107)/MAX(CROQUIS!$C$130,1))+1)))-1,0),0,MOD($A188-1,5))+1,0,IF(CROQUIS!$C$103=1,-12,2),CROQUIS!$C$107/2+CROQUIS!$C$140,IF(CROQUIS!$C$103=1,-12,2),0)))*CROQUIS!$C$155)+IF(CROQUIS!$C$92="X",0,0)),-1000)</f>
        <v>-1000</v>
      </c>
      <c r="BN188">
        <f>IF(AND(CROQUIS!$C$88=1,CROQUIS!$C$91=0,CROQUIS!$C$130&gt;0,OR(CROQUIS!$C$104=1,CROQUIS!$C$142=1)),((CROQUIS!$C$156+(IF(CROQUIS!$C$92="X",CHOOSE(IF(INT(($A188-1)/5)&gt;MAX((MIN(80,MAX(1,INT(((CROQUIS!$C$98)-CROQUIS!$C$107)/MAX(CROQUIS!$C$130,1))+1)))-1,0),0,MOD($A188-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188-1)/5),MAX((MIN(80,MAX(1,INT(((CROQUIS!$C$98)-CROQUIS!$C$107)/MAX(CROQUIS!$C$130,1))+1)))-1,0))*CROQUIS!$C$130)))*CROQUIS!$C$155)+IF(CROQUIS!$C$92="X",0,0)),-1000)</f>
        <v>-1000</v>
      </c>
      <c r="BO18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188-1)/5),MAX((MIN(80,MAX(1,INT(((CROQUIS!$C$98)-CROQUIS!$C$107)/MAX(CROQUIS!$C$130,1))+1)))-1,0))*CROQUIS!$C$130),CHOOSE(IF(INT(($A188-1)/5)&gt;MAX((MIN(80,MAX(1,INT(((CROQUIS!$C$98)-CROQUIS!$C$107)/MAX(CROQUIS!$C$130,1))+1)))-1,0),0,MOD($A188-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8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188-1)/5),MAX((MIN(80,MAX(1,INT(((CROQUIS!$C$97)-CROQUIS!$C$107)/MAX(CROQUIS!$C$138,1))+1)))-1,0))*CROQUIS!$C$138),CHOOSE(IF(INT(($A188-1)/5)&gt;MAX((MIN(80,MAX(1,INT(((CROQUIS!$C$97)-CROQUIS!$C$107)/MAX(CROQUIS!$C$138,1))+1)))-1,0),0,MOD($A188-1,5))+1,0,IF(CROQUIS!$C$105=1,-12,2),CROQUIS!$C$107/2+CROQUIS!$C$141,IF(CROQUIS!$C$105=1,-12,2),0)))*CROQUIS!$C$155)+IF(CROQUIS!$C$92="X",0,0)),-1000)</f>
        <v>-1000</v>
      </c>
      <c r="BQ188">
        <f>IF(AND(CROQUIS!$C$88=1,CROQUIS!$C$91=0,CROQUIS!$C$138&gt;0,OR(CROQUIS!$C$105=1,CROQUIS!$C$143=1)),((CROQUIS!$C$157+(IF(CROQUIS!$C$92="X",CHOOSE(IF(INT(($A188-1)/5)&gt;MAX((MIN(80,MAX(1,INT(((CROQUIS!$C$97)-CROQUIS!$C$107)/MAX(CROQUIS!$C$138,1))+1)))-1,0),0,MOD($A188-1,5))+1,0,IF(CROQUIS!$C$105=1,-12,2),CROQUIS!$C$107/2+CROQUIS!$C$141,IF(CROQUIS!$C$105=1,-12,2),0),((CROQUIS!$C$107/2+(((CROQUIS!$C$97)-CROQUIS!$C$107)-(MIN(80,MAX(1,INT(((CROQUIS!$C$97)-CROQUIS!$C$107)/MAX(CROQUIS!$C$138,1))+1))-1)*CROQUIS!$C$138)/2)+MIN(INT(($A188-1)/5),MAX((MIN(80,MAX(1,INT(((CROQUIS!$C$97)-CROQUIS!$C$107)/MAX(CROQUIS!$C$138,1))+1)))-1,0))*CROQUIS!$C$138)))*CROQUIS!$C$155)+IF(CROQUIS!$C$92="X",0,0)),-1000)</f>
        <v>-1000</v>
      </c>
      <c r="BR18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188-1)/5),MAX((MIN(80,MAX(1,INT(((CROQUIS!$C$97)-CROQUIS!$C$107)/MAX(CROQUIS!$C$138,1))+1)))-1,0))*CROQUIS!$C$138),CHOOSE(IF(INT(($A188-1)/5)&gt;MAX((MIN(80,MAX(1,INT(((CROQUIS!$C$97)-CROQUIS!$C$107)/MAX(CROQUIS!$C$138,1))+1)))-1,0),0,MOD($A188-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88">
        <f>IF(AND(CROQUIS!$C$88=1,CROQUIS!$C$91=0,CROQUIS!$C$138&gt;0,OR(CROQUIS!$C$106=1,CROQUIS!$C$143=1)),((CROQUIS!$C$157+(IF(CROQUIS!$C$92="X",CHOOSE(IF(INT(($A188-1)/5)&gt;MAX((MIN(80,MAX(1,INT(((CROQUIS!$C$97)-CROQUIS!$C$107)/MAX(CROQUIS!$C$138,1))+1)))-1,0),0,MOD($A188-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188-1)/5),MAX((MIN(80,MAX(1,INT(((CROQUIS!$C$97)-CROQUIS!$C$107)/MAX(CROQUIS!$C$138,1))+1)))-1,0))*CROQUIS!$C$138)))*CROQUIS!$C$155)+IF(CROQUIS!$C$92="X",0,0)),-1000)</f>
        <v>-1000</v>
      </c>
      <c r="BT188">
        <f>IF(AND(CROQUIS!$C$88=1,CROQUIS!$C$91=1,CROQUIS!$C$130&gt;0),((CROQUIS!$C$156+(IF(CROQUIS!$C$92="X",CHOOSE(IF(INT(($A188-1)/5)&gt;MAX((MIN(80,MAX(1,INT(((CROQUIS!$C$98)-CROQUIS!$C$107)/MAX(CROQUIS!$C$130,1))+1)))-1,0),0,MOD($A188-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188-1)/5),MAX((MIN(80,MAX(1,INT(((CROQUIS!$C$98)-CROQUIS!$C$107)/MAX(CROQUIS!$C$130,1))+1)))-1,0))*CROQUIS!$C$130)))*CROQUIS!$C$155)+IF(CROQUIS!$C$92="X",0,0)),-1000)</f>
        <v>-1000</v>
      </c>
      <c r="BU188">
        <f>IF(AND(CROQUIS!$C$88=1,CROQUIS!$C$91=1,CROQUIS!$C$130&gt;0),((CROQUIS!$C$157+(IF(CROQUIS!$C$92="X",((CROQUIS!$C$107/2+(((CROQUIS!$C$98)-CROQUIS!$C$107)-(MIN(80,MAX(1,INT(((CROQUIS!$C$98)-CROQUIS!$C$107)/MAX(CROQUIS!$C$130,1))+1))-1)*CROQUIS!$C$130)/2)+MIN(INT(($A188-1)/5),MAX((MIN(80,MAX(1,INT(((CROQUIS!$C$98)-CROQUIS!$C$107)/MAX(CROQUIS!$C$130,1))+1)))-1,0))*CROQUIS!$C$130),CHOOSE(IF(INT(($A188-1)/5)&gt;MAX((MIN(80,MAX(1,INT(((CROQUIS!$C$98)-CROQUIS!$C$107)/MAX(CROQUIS!$C$130,1))+1)))-1,0),0,MOD($A188-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89">
      <c r="A189" t="n">
        <v>182</v>
      </c>
      <c r="BH189">
        <f>IF(AND(CROQUIS!$C$88=1,CROQUIS!$C$126&gt;0),((CROQUIS!$C$156+(IF(CROQUIS!$C$92="X",CHOOSE(IF(INT(($A189-1)/5)&gt;MAX((MIN(80,MAX(1,INT(((CROQUIS!$C$98)-CROQUIS!$C$107)/MAX(CROQUIS!$C$126,1))+1)))-1,0),0,MOD($A189-1,5))+1,0,2,CROQUIS!$C$97-2,2,0),((CROQUIS!$C$107/2+(((CROQUIS!$C$98)-CROQUIS!$C$107)-(MIN(80,MAX(1,INT(((CROQUIS!$C$98)-CROQUIS!$C$107)/MAX(CROQUIS!$C$126,1))+1))-1)*CROQUIS!$C$126)/2)+MIN(INT(($A189-1)/5),MAX((MIN(80,MAX(1,INT(((CROQUIS!$C$98)-CROQUIS!$C$107)/MAX(CROQUIS!$C$126,1))+1)))-1,0))*CROQUIS!$C$126)))*CROQUIS!$C$155)+IF(CROQUIS!$C$92="X",0,0)),-1000)</f>
        <v>-1000</v>
      </c>
      <c r="BI189">
        <f>IF(AND(CROQUIS!$C$88=1,CROQUIS!$C$126&gt;0),((CROQUIS!$C$157+(IF(CROQUIS!$C$92="X",((CROQUIS!$C$107/2+(((CROQUIS!$C$98)-CROQUIS!$C$107)-(MIN(80,MAX(1,INT(((CROQUIS!$C$98)-CROQUIS!$C$107)/MAX(CROQUIS!$C$126,1))+1))-1)*CROQUIS!$C$126)/2)+MIN(INT(($A189-1)/5),MAX((MIN(80,MAX(1,INT(((CROQUIS!$C$98)-CROQUIS!$C$107)/MAX(CROQUIS!$C$126,1))+1)))-1,0))*CROQUIS!$C$126),CHOOSE(IF(INT(($A189-1)/5)&gt;MAX((MIN(80,MAX(1,INT(((CROQUIS!$C$98)-CROQUIS!$C$107)/MAX(CROQUIS!$C$126,1))+1)))-1,0),0,MOD($A189-1,5))+1,0,2,CROQUIS!$C$97-2,2,0)))*CROQUIS!$C$155)+IF(CROQUIS!$C$92="X",0,0)),-1000)</f>
        <v>-1000</v>
      </c>
      <c r="BJ189">
        <f>IF(AND(CROQUIS!$C$88=1,CROQUIS!$C$134&gt;0),((CROQUIS!$C$156+(IF(CROQUIS!$C$92="X",((CROQUIS!$C$107/2+(((CROQUIS!$C$97)-CROQUIS!$C$107)-(MIN(80,MAX(1,INT(((CROQUIS!$C$97)-CROQUIS!$C$107)/MAX(CROQUIS!$C$134,1))+1))-1)*CROQUIS!$C$134)/2)+MIN(INT(($A189-1)/5),MAX((MIN(80,MAX(1,INT(((CROQUIS!$C$97)-CROQUIS!$C$107)/MAX(CROQUIS!$C$134,1))+1)))-1,0))*CROQUIS!$C$134),CHOOSE(IF(INT(($A189-1)/5)&gt;MAX((MIN(80,MAX(1,INT(((CROQUIS!$C$97)-CROQUIS!$C$107)/MAX(CROQUIS!$C$134,1))+1)))-1,0),0,MOD($A189-1,5))+1,0,2,CROQUIS!$C$98-2,2,0)))*CROQUIS!$C$155)+IF(CROQUIS!$C$92="X",0,0)),-1000)</f>
        <v>-1000</v>
      </c>
      <c r="BK189">
        <f>IF(AND(CROQUIS!$C$88=1,CROQUIS!$C$134&gt;0),((CROQUIS!$C$157+(IF(CROQUIS!$C$92="X",CHOOSE(IF(INT(($A189-1)/5)&gt;MAX((MIN(80,MAX(1,INT(((CROQUIS!$C$97)-CROQUIS!$C$107)/MAX(CROQUIS!$C$134,1))+1)))-1,0),0,MOD($A189-1,5))+1,0,2,CROQUIS!$C$98-2,2,0),((CROQUIS!$C$107/2+(((CROQUIS!$C$97)-CROQUIS!$C$107)-(MIN(80,MAX(1,INT(((CROQUIS!$C$97)-CROQUIS!$C$107)/MAX(CROQUIS!$C$134,1))+1))-1)*CROQUIS!$C$134)/2)+MIN(INT(($A189-1)/5),MAX((MIN(80,MAX(1,INT(((CROQUIS!$C$97)-CROQUIS!$C$107)/MAX(CROQUIS!$C$134,1))+1)))-1,0))*CROQUIS!$C$134)))*CROQUIS!$C$155)+IF(CROQUIS!$C$92="X",0,0)),-1000)</f>
        <v>-1000</v>
      </c>
      <c r="BL189">
        <f>IF(AND(CROQUIS!$C$88=1,CROQUIS!$C$91=0,CROQUIS!$C$130&gt;0,OR(CROQUIS!$C$103=1,CROQUIS!$C$142=1)),((CROQUIS!$C$156+(IF(CROQUIS!$C$92="X",CHOOSE(IF(INT(($A189-1)/5)&gt;MAX((MIN(80,MAX(1,INT(((CROQUIS!$C$98)-CROQUIS!$C$107)/MAX(CROQUIS!$C$130,1))+1)))-1,0),0,MOD($A189-1,5))+1,0,IF(CROQUIS!$C$103=1,-12,2),CROQUIS!$C$107/2+CROQUIS!$C$140,IF(CROQUIS!$C$103=1,-12,2),0),((CROQUIS!$C$107/2+(((CROQUIS!$C$98)-CROQUIS!$C$107)-(MIN(80,MAX(1,INT(((CROQUIS!$C$98)-CROQUIS!$C$107)/MAX(CROQUIS!$C$130,1))+1))-1)*CROQUIS!$C$130)/2)+MIN(INT(($A189-1)/5),MAX((MIN(80,MAX(1,INT(((CROQUIS!$C$98)-CROQUIS!$C$107)/MAX(CROQUIS!$C$130,1))+1)))-1,0))*CROQUIS!$C$130)))*CROQUIS!$C$155)+IF(CROQUIS!$C$92="X",0,0)),-1000)</f>
        <v>-1000</v>
      </c>
      <c r="BM18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189-1)/5),MAX((MIN(80,MAX(1,INT(((CROQUIS!$C$98)-CROQUIS!$C$107)/MAX(CROQUIS!$C$130,1))+1)))-1,0))*CROQUIS!$C$130),CHOOSE(IF(INT(($A189-1)/5)&gt;MAX((MIN(80,MAX(1,INT(((CROQUIS!$C$98)-CROQUIS!$C$107)/MAX(CROQUIS!$C$130,1))+1)))-1,0),0,MOD($A189-1,5))+1,0,IF(CROQUIS!$C$103=1,-12,2),CROQUIS!$C$107/2+CROQUIS!$C$140,IF(CROQUIS!$C$103=1,-12,2),0)))*CROQUIS!$C$155)+IF(CROQUIS!$C$92="X",0,0)),-1000)</f>
        <v>-1000</v>
      </c>
      <c r="BN189">
        <f>IF(AND(CROQUIS!$C$88=1,CROQUIS!$C$91=0,CROQUIS!$C$130&gt;0,OR(CROQUIS!$C$104=1,CROQUIS!$C$142=1)),((CROQUIS!$C$156+(IF(CROQUIS!$C$92="X",CHOOSE(IF(INT(($A189-1)/5)&gt;MAX((MIN(80,MAX(1,INT(((CROQUIS!$C$98)-CROQUIS!$C$107)/MAX(CROQUIS!$C$130,1))+1)))-1,0),0,MOD($A189-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189-1)/5),MAX((MIN(80,MAX(1,INT(((CROQUIS!$C$98)-CROQUIS!$C$107)/MAX(CROQUIS!$C$130,1))+1)))-1,0))*CROQUIS!$C$130)))*CROQUIS!$C$155)+IF(CROQUIS!$C$92="X",0,0)),-1000)</f>
        <v>-1000</v>
      </c>
      <c r="BO18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189-1)/5),MAX((MIN(80,MAX(1,INT(((CROQUIS!$C$98)-CROQUIS!$C$107)/MAX(CROQUIS!$C$130,1))+1)))-1,0))*CROQUIS!$C$130),CHOOSE(IF(INT(($A189-1)/5)&gt;MAX((MIN(80,MAX(1,INT(((CROQUIS!$C$98)-CROQUIS!$C$107)/MAX(CROQUIS!$C$130,1))+1)))-1,0),0,MOD($A189-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8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189-1)/5),MAX((MIN(80,MAX(1,INT(((CROQUIS!$C$97)-CROQUIS!$C$107)/MAX(CROQUIS!$C$138,1))+1)))-1,0))*CROQUIS!$C$138),CHOOSE(IF(INT(($A189-1)/5)&gt;MAX((MIN(80,MAX(1,INT(((CROQUIS!$C$97)-CROQUIS!$C$107)/MAX(CROQUIS!$C$138,1))+1)))-1,0),0,MOD($A189-1,5))+1,0,IF(CROQUIS!$C$105=1,-12,2),CROQUIS!$C$107/2+CROQUIS!$C$141,IF(CROQUIS!$C$105=1,-12,2),0)))*CROQUIS!$C$155)+IF(CROQUIS!$C$92="X",0,0)),-1000)</f>
        <v>-1000</v>
      </c>
      <c r="BQ189">
        <f>IF(AND(CROQUIS!$C$88=1,CROQUIS!$C$91=0,CROQUIS!$C$138&gt;0,OR(CROQUIS!$C$105=1,CROQUIS!$C$143=1)),((CROQUIS!$C$157+(IF(CROQUIS!$C$92="X",CHOOSE(IF(INT(($A189-1)/5)&gt;MAX((MIN(80,MAX(1,INT(((CROQUIS!$C$97)-CROQUIS!$C$107)/MAX(CROQUIS!$C$138,1))+1)))-1,0),0,MOD($A189-1,5))+1,0,IF(CROQUIS!$C$105=1,-12,2),CROQUIS!$C$107/2+CROQUIS!$C$141,IF(CROQUIS!$C$105=1,-12,2),0),((CROQUIS!$C$107/2+(((CROQUIS!$C$97)-CROQUIS!$C$107)-(MIN(80,MAX(1,INT(((CROQUIS!$C$97)-CROQUIS!$C$107)/MAX(CROQUIS!$C$138,1))+1))-1)*CROQUIS!$C$138)/2)+MIN(INT(($A189-1)/5),MAX((MIN(80,MAX(1,INT(((CROQUIS!$C$97)-CROQUIS!$C$107)/MAX(CROQUIS!$C$138,1))+1)))-1,0))*CROQUIS!$C$138)))*CROQUIS!$C$155)+IF(CROQUIS!$C$92="X",0,0)),-1000)</f>
        <v>-1000</v>
      </c>
      <c r="BR18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189-1)/5),MAX((MIN(80,MAX(1,INT(((CROQUIS!$C$97)-CROQUIS!$C$107)/MAX(CROQUIS!$C$138,1))+1)))-1,0))*CROQUIS!$C$138),CHOOSE(IF(INT(($A189-1)/5)&gt;MAX((MIN(80,MAX(1,INT(((CROQUIS!$C$97)-CROQUIS!$C$107)/MAX(CROQUIS!$C$138,1))+1)))-1,0),0,MOD($A189-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89">
        <f>IF(AND(CROQUIS!$C$88=1,CROQUIS!$C$91=0,CROQUIS!$C$138&gt;0,OR(CROQUIS!$C$106=1,CROQUIS!$C$143=1)),((CROQUIS!$C$157+(IF(CROQUIS!$C$92="X",CHOOSE(IF(INT(($A189-1)/5)&gt;MAX((MIN(80,MAX(1,INT(((CROQUIS!$C$97)-CROQUIS!$C$107)/MAX(CROQUIS!$C$138,1))+1)))-1,0),0,MOD($A189-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189-1)/5),MAX((MIN(80,MAX(1,INT(((CROQUIS!$C$97)-CROQUIS!$C$107)/MAX(CROQUIS!$C$138,1))+1)))-1,0))*CROQUIS!$C$138)))*CROQUIS!$C$155)+IF(CROQUIS!$C$92="X",0,0)),-1000)</f>
        <v>-1000</v>
      </c>
      <c r="BT189">
        <f>IF(AND(CROQUIS!$C$88=1,CROQUIS!$C$91=1,CROQUIS!$C$130&gt;0),((CROQUIS!$C$156+(IF(CROQUIS!$C$92="X",CHOOSE(IF(INT(($A189-1)/5)&gt;MAX((MIN(80,MAX(1,INT(((CROQUIS!$C$98)-CROQUIS!$C$107)/MAX(CROQUIS!$C$130,1))+1)))-1,0),0,MOD($A189-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189-1)/5),MAX((MIN(80,MAX(1,INT(((CROQUIS!$C$98)-CROQUIS!$C$107)/MAX(CROQUIS!$C$130,1))+1)))-1,0))*CROQUIS!$C$130)))*CROQUIS!$C$155)+IF(CROQUIS!$C$92="X",0,0)),-1000)</f>
        <v>-1000</v>
      </c>
      <c r="BU189">
        <f>IF(AND(CROQUIS!$C$88=1,CROQUIS!$C$91=1,CROQUIS!$C$130&gt;0),((CROQUIS!$C$157+(IF(CROQUIS!$C$92="X",((CROQUIS!$C$107/2+(((CROQUIS!$C$98)-CROQUIS!$C$107)-(MIN(80,MAX(1,INT(((CROQUIS!$C$98)-CROQUIS!$C$107)/MAX(CROQUIS!$C$130,1))+1))-1)*CROQUIS!$C$130)/2)+MIN(INT(($A189-1)/5),MAX((MIN(80,MAX(1,INT(((CROQUIS!$C$98)-CROQUIS!$C$107)/MAX(CROQUIS!$C$130,1))+1)))-1,0))*CROQUIS!$C$130),CHOOSE(IF(INT(($A189-1)/5)&gt;MAX((MIN(80,MAX(1,INT(((CROQUIS!$C$98)-CROQUIS!$C$107)/MAX(CROQUIS!$C$130,1))+1)))-1,0),0,MOD($A189-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90">
      <c r="A190" t="n">
        <v>183</v>
      </c>
      <c r="BH190">
        <f>IF(AND(CROQUIS!$C$88=1,CROQUIS!$C$126&gt;0),((CROQUIS!$C$156+(IF(CROQUIS!$C$92="X",CHOOSE(IF(INT(($A190-1)/5)&gt;MAX((MIN(80,MAX(1,INT(((CROQUIS!$C$98)-CROQUIS!$C$107)/MAX(CROQUIS!$C$126,1))+1)))-1,0),0,MOD($A190-1,5))+1,0,2,CROQUIS!$C$97-2,2,0),((CROQUIS!$C$107/2+(((CROQUIS!$C$98)-CROQUIS!$C$107)-(MIN(80,MAX(1,INT(((CROQUIS!$C$98)-CROQUIS!$C$107)/MAX(CROQUIS!$C$126,1))+1))-1)*CROQUIS!$C$126)/2)+MIN(INT(($A190-1)/5),MAX((MIN(80,MAX(1,INT(((CROQUIS!$C$98)-CROQUIS!$C$107)/MAX(CROQUIS!$C$126,1))+1)))-1,0))*CROQUIS!$C$126)))*CROQUIS!$C$155)+IF(CROQUIS!$C$92="X",0,0)),-1000)</f>
        <v>-1000</v>
      </c>
      <c r="BI190">
        <f>IF(AND(CROQUIS!$C$88=1,CROQUIS!$C$126&gt;0),((CROQUIS!$C$157+(IF(CROQUIS!$C$92="X",((CROQUIS!$C$107/2+(((CROQUIS!$C$98)-CROQUIS!$C$107)-(MIN(80,MAX(1,INT(((CROQUIS!$C$98)-CROQUIS!$C$107)/MAX(CROQUIS!$C$126,1))+1))-1)*CROQUIS!$C$126)/2)+MIN(INT(($A190-1)/5),MAX((MIN(80,MAX(1,INT(((CROQUIS!$C$98)-CROQUIS!$C$107)/MAX(CROQUIS!$C$126,1))+1)))-1,0))*CROQUIS!$C$126),CHOOSE(IF(INT(($A190-1)/5)&gt;MAX((MIN(80,MAX(1,INT(((CROQUIS!$C$98)-CROQUIS!$C$107)/MAX(CROQUIS!$C$126,1))+1)))-1,0),0,MOD($A190-1,5))+1,0,2,CROQUIS!$C$97-2,2,0)))*CROQUIS!$C$155)+IF(CROQUIS!$C$92="X",0,0)),-1000)</f>
        <v>-1000</v>
      </c>
      <c r="BJ190">
        <f>IF(AND(CROQUIS!$C$88=1,CROQUIS!$C$134&gt;0),((CROQUIS!$C$156+(IF(CROQUIS!$C$92="X",((CROQUIS!$C$107/2+(((CROQUIS!$C$97)-CROQUIS!$C$107)-(MIN(80,MAX(1,INT(((CROQUIS!$C$97)-CROQUIS!$C$107)/MAX(CROQUIS!$C$134,1))+1))-1)*CROQUIS!$C$134)/2)+MIN(INT(($A190-1)/5),MAX((MIN(80,MAX(1,INT(((CROQUIS!$C$97)-CROQUIS!$C$107)/MAX(CROQUIS!$C$134,1))+1)))-1,0))*CROQUIS!$C$134),CHOOSE(IF(INT(($A190-1)/5)&gt;MAX((MIN(80,MAX(1,INT(((CROQUIS!$C$97)-CROQUIS!$C$107)/MAX(CROQUIS!$C$134,1))+1)))-1,0),0,MOD($A190-1,5))+1,0,2,CROQUIS!$C$98-2,2,0)))*CROQUIS!$C$155)+IF(CROQUIS!$C$92="X",0,0)),-1000)</f>
        <v>-1000</v>
      </c>
      <c r="BK190">
        <f>IF(AND(CROQUIS!$C$88=1,CROQUIS!$C$134&gt;0),((CROQUIS!$C$157+(IF(CROQUIS!$C$92="X",CHOOSE(IF(INT(($A190-1)/5)&gt;MAX((MIN(80,MAX(1,INT(((CROQUIS!$C$97)-CROQUIS!$C$107)/MAX(CROQUIS!$C$134,1))+1)))-1,0),0,MOD($A190-1,5))+1,0,2,CROQUIS!$C$98-2,2,0),((CROQUIS!$C$107/2+(((CROQUIS!$C$97)-CROQUIS!$C$107)-(MIN(80,MAX(1,INT(((CROQUIS!$C$97)-CROQUIS!$C$107)/MAX(CROQUIS!$C$134,1))+1))-1)*CROQUIS!$C$134)/2)+MIN(INT(($A190-1)/5),MAX((MIN(80,MAX(1,INT(((CROQUIS!$C$97)-CROQUIS!$C$107)/MAX(CROQUIS!$C$134,1))+1)))-1,0))*CROQUIS!$C$134)))*CROQUIS!$C$155)+IF(CROQUIS!$C$92="X",0,0)),-1000)</f>
        <v>-1000</v>
      </c>
      <c r="BL190">
        <f>IF(AND(CROQUIS!$C$88=1,CROQUIS!$C$91=0,CROQUIS!$C$130&gt;0,OR(CROQUIS!$C$103=1,CROQUIS!$C$142=1)),((CROQUIS!$C$156+(IF(CROQUIS!$C$92="X",CHOOSE(IF(INT(($A190-1)/5)&gt;MAX((MIN(80,MAX(1,INT(((CROQUIS!$C$98)-CROQUIS!$C$107)/MAX(CROQUIS!$C$130,1))+1)))-1,0),0,MOD($A190-1,5))+1,0,IF(CROQUIS!$C$103=1,-12,2),CROQUIS!$C$107/2+CROQUIS!$C$140,IF(CROQUIS!$C$103=1,-12,2),0),((CROQUIS!$C$107/2+(((CROQUIS!$C$98)-CROQUIS!$C$107)-(MIN(80,MAX(1,INT(((CROQUIS!$C$98)-CROQUIS!$C$107)/MAX(CROQUIS!$C$130,1))+1))-1)*CROQUIS!$C$130)/2)+MIN(INT(($A190-1)/5),MAX((MIN(80,MAX(1,INT(((CROQUIS!$C$98)-CROQUIS!$C$107)/MAX(CROQUIS!$C$130,1))+1)))-1,0))*CROQUIS!$C$130)))*CROQUIS!$C$155)+IF(CROQUIS!$C$92="X",0,0)),-1000)</f>
        <v>-1000</v>
      </c>
      <c r="BM19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190-1)/5),MAX((MIN(80,MAX(1,INT(((CROQUIS!$C$98)-CROQUIS!$C$107)/MAX(CROQUIS!$C$130,1))+1)))-1,0))*CROQUIS!$C$130),CHOOSE(IF(INT(($A190-1)/5)&gt;MAX((MIN(80,MAX(1,INT(((CROQUIS!$C$98)-CROQUIS!$C$107)/MAX(CROQUIS!$C$130,1))+1)))-1,0),0,MOD($A190-1,5))+1,0,IF(CROQUIS!$C$103=1,-12,2),CROQUIS!$C$107/2+CROQUIS!$C$140,IF(CROQUIS!$C$103=1,-12,2),0)))*CROQUIS!$C$155)+IF(CROQUIS!$C$92="X",0,0)),-1000)</f>
        <v>-1000</v>
      </c>
      <c r="BN190">
        <f>IF(AND(CROQUIS!$C$88=1,CROQUIS!$C$91=0,CROQUIS!$C$130&gt;0,OR(CROQUIS!$C$104=1,CROQUIS!$C$142=1)),((CROQUIS!$C$156+(IF(CROQUIS!$C$92="X",CHOOSE(IF(INT(($A190-1)/5)&gt;MAX((MIN(80,MAX(1,INT(((CROQUIS!$C$98)-CROQUIS!$C$107)/MAX(CROQUIS!$C$130,1))+1)))-1,0),0,MOD($A190-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190-1)/5),MAX((MIN(80,MAX(1,INT(((CROQUIS!$C$98)-CROQUIS!$C$107)/MAX(CROQUIS!$C$130,1))+1)))-1,0))*CROQUIS!$C$130)))*CROQUIS!$C$155)+IF(CROQUIS!$C$92="X",0,0)),-1000)</f>
        <v>-1000</v>
      </c>
      <c r="BO19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190-1)/5),MAX((MIN(80,MAX(1,INT(((CROQUIS!$C$98)-CROQUIS!$C$107)/MAX(CROQUIS!$C$130,1))+1)))-1,0))*CROQUIS!$C$130),CHOOSE(IF(INT(($A190-1)/5)&gt;MAX((MIN(80,MAX(1,INT(((CROQUIS!$C$98)-CROQUIS!$C$107)/MAX(CROQUIS!$C$130,1))+1)))-1,0),0,MOD($A190-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9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190-1)/5),MAX((MIN(80,MAX(1,INT(((CROQUIS!$C$97)-CROQUIS!$C$107)/MAX(CROQUIS!$C$138,1))+1)))-1,0))*CROQUIS!$C$138),CHOOSE(IF(INT(($A190-1)/5)&gt;MAX((MIN(80,MAX(1,INT(((CROQUIS!$C$97)-CROQUIS!$C$107)/MAX(CROQUIS!$C$138,1))+1)))-1,0),0,MOD($A190-1,5))+1,0,IF(CROQUIS!$C$105=1,-12,2),CROQUIS!$C$107/2+CROQUIS!$C$141,IF(CROQUIS!$C$105=1,-12,2),0)))*CROQUIS!$C$155)+IF(CROQUIS!$C$92="X",0,0)),-1000)</f>
        <v>-1000</v>
      </c>
      <c r="BQ190">
        <f>IF(AND(CROQUIS!$C$88=1,CROQUIS!$C$91=0,CROQUIS!$C$138&gt;0,OR(CROQUIS!$C$105=1,CROQUIS!$C$143=1)),((CROQUIS!$C$157+(IF(CROQUIS!$C$92="X",CHOOSE(IF(INT(($A190-1)/5)&gt;MAX((MIN(80,MAX(1,INT(((CROQUIS!$C$97)-CROQUIS!$C$107)/MAX(CROQUIS!$C$138,1))+1)))-1,0),0,MOD($A190-1,5))+1,0,IF(CROQUIS!$C$105=1,-12,2),CROQUIS!$C$107/2+CROQUIS!$C$141,IF(CROQUIS!$C$105=1,-12,2),0),((CROQUIS!$C$107/2+(((CROQUIS!$C$97)-CROQUIS!$C$107)-(MIN(80,MAX(1,INT(((CROQUIS!$C$97)-CROQUIS!$C$107)/MAX(CROQUIS!$C$138,1))+1))-1)*CROQUIS!$C$138)/2)+MIN(INT(($A190-1)/5),MAX((MIN(80,MAX(1,INT(((CROQUIS!$C$97)-CROQUIS!$C$107)/MAX(CROQUIS!$C$138,1))+1)))-1,0))*CROQUIS!$C$138)))*CROQUIS!$C$155)+IF(CROQUIS!$C$92="X",0,0)),-1000)</f>
        <v>-1000</v>
      </c>
      <c r="BR19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190-1)/5),MAX((MIN(80,MAX(1,INT(((CROQUIS!$C$97)-CROQUIS!$C$107)/MAX(CROQUIS!$C$138,1))+1)))-1,0))*CROQUIS!$C$138),CHOOSE(IF(INT(($A190-1)/5)&gt;MAX((MIN(80,MAX(1,INT(((CROQUIS!$C$97)-CROQUIS!$C$107)/MAX(CROQUIS!$C$138,1))+1)))-1,0),0,MOD($A190-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90">
        <f>IF(AND(CROQUIS!$C$88=1,CROQUIS!$C$91=0,CROQUIS!$C$138&gt;0,OR(CROQUIS!$C$106=1,CROQUIS!$C$143=1)),((CROQUIS!$C$157+(IF(CROQUIS!$C$92="X",CHOOSE(IF(INT(($A190-1)/5)&gt;MAX((MIN(80,MAX(1,INT(((CROQUIS!$C$97)-CROQUIS!$C$107)/MAX(CROQUIS!$C$138,1))+1)))-1,0),0,MOD($A190-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190-1)/5),MAX((MIN(80,MAX(1,INT(((CROQUIS!$C$97)-CROQUIS!$C$107)/MAX(CROQUIS!$C$138,1))+1)))-1,0))*CROQUIS!$C$138)))*CROQUIS!$C$155)+IF(CROQUIS!$C$92="X",0,0)),-1000)</f>
        <v>-1000</v>
      </c>
      <c r="BT190">
        <f>IF(AND(CROQUIS!$C$88=1,CROQUIS!$C$91=1,CROQUIS!$C$130&gt;0),((CROQUIS!$C$156+(IF(CROQUIS!$C$92="X",CHOOSE(IF(INT(($A190-1)/5)&gt;MAX((MIN(80,MAX(1,INT(((CROQUIS!$C$98)-CROQUIS!$C$107)/MAX(CROQUIS!$C$130,1))+1)))-1,0),0,MOD($A190-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190-1)/5),MAX((MIN(80,MAX(1,INT(((CROQUIS!$C$98)-CROQUIS!$C$107)/MAX(CROQUIS!$C$130,1))+1)))-1,0))*CROQUIS!$C$130)))*CROQUIS!$C$155)+IF(CROQUIS!$C$92="X",0,0)),-1000)</f>
        <v>-1000</v>
      </c>
      <c r="BU190">
        <f>IF(AND(CROQUIS!$C$88=1,CROQUIS!$C$91=1,CROQUIS!$C$130&gt;0),((CROQUIS!$C$157+(IF(CROQUIS!$C$92="X",((CROQUIS!$C$107/2+(((CROQUIS!$C$98)-CROQUIS!$C$107)-(MIN(80,MAX(1,INT(((CROQUIS!$C$98)-CROQUIS!$C$107)/MAX(CROQUIS!$C$130,1))+1))-1)*CROQUIS!$C$130)/2)+MIN(INT(($A190-1)/5),MAX((MIN(80,MAX(1,INT(((CROQUIS!$C$98)-CROQUIS!$C$107)/MAX(CROQUIS!$C$130,1))+1)))-1,0))*CROQUIS!$C$130),CHOOSE(IF(INT(($A190-1)/5)&gt;MAX((MIN(80,MAX(1,INT(((CROQUIS!$C$98)-CROQUIS!$C$107)/MAX(CROQUIS!$C$130,1))+1)))-1,0),0,MOD($A190-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91">
      <c r="A191" t="n">
        <v>184</v>
      </c>
      <c r="BH191">
        <f>IF(AND(CROQUIS!$C$88=1,CROQUIS!$C$126&gt;0),((CROQUIS!$C$156+(IF(CROQUIS!$C$92="X",CHOOSE(IF(INT(($A191-1)/5)&gt;MAX((MIN(80,MAX(1,INT(((CROQUIS!$C$98)-CROQUIS!$C$107)/MAX(CROQUIS!$C$126,1))+1)))-1,0),0,MOD($A191-1,5))+1,0,2,CROQUIS!$C$97-2,2,0),((CROQUIS!$C$107/2+(((CROQUIS!$C$98)-CROQUIS!$C$107)-(MIN(80,MAX(1,INT(((CROQUIS!$C$98)-CROQUIS!$C$107)/MAX(CROQUIS!$C$126,1))+1))-1)*CROQUIS!$C$126)/2)+MIN(INT(($A191-1)/5),MAX((MIN(80,MAX(1,INT(((CROQUIS!$C$98)-CROQUIS!$C$107)/MAX(CROQUIS!$C$126,1))+1)))-1,0))*CROQUIS!$C$126)))*CROQUIS!$C$155)+IF(CROQUIS!$C$92="X",0,0)),-1000)</f>
        <v>-1000</v>
      </c>
      <c r="BI191">
        <f>IF(AND(CROQUIS!$C$88=1,CROQUIS!$C$126&gt;0),((CROQUIS!$C$157+(IF(CROQUIS!$C$92="X",((CROQUIS!$C$107/2+(((CROQUIS!$C$98)-CROQUIS!$C$107)-(MIN(80,MAX(1,INT(((CROQUIS!$C$98)-CROQUIS!$C$107)/MAX(CROQUIS!$C$126,1))+1))-1)*CROQUIS!$C$126)/2)+MIN(INT(($A191-1)/5),MAX((MIN(80,MAX(1,INT(((CROQUIS!$C$98)-CROQUIS!$C$107)/MAX(CROQUIS!$C$126,1))+1)))-1,0))*CROQUIS!$C$126),CHOOSE(IF(INT(($A191-1)/5)&gt;MAX((MIN(80,MAX(1,INT(((CROQUIS!$C$98)-CROQUIS!$C$107)/MAX(CROQUIS!$C$126,1))+1)))-1,0),0,MOD($A191-1,5))+1,0,2,CROQUIS!$C$97-2,2,0)))*CROQUIS!$C$155)+IF(CROQUIS!$C$92="X",0,0)),-1000)</f>
        <v>-1000</v>
      </c>
      <c r="BJ191">
        <f>IF(AND(CROQUIS!$C$88=1,CROQUIS!$C$134&gt;0),((CROQUIS!$C$156+(IF(CROQUIS!$C$92="X",((CROQUIS!$C$107/2+(((CROQUIS!$C$97)-CROQUIS!$C$107)-(MIN(80,MAX(1,INT(((CROQUIS!$C$97)-CROQUIS!$C$107)/MAX(CROQUIS!$C$134,1))+1))-1)*CROQUIS!$C$134)/2)+MIN(INT(($A191-1)/5),MAX((MIN(80,MAX(1,INT(((CROQUIS!$C$97)-CROQUIS!$C$107)/MAX(CROQUIS!$C$134,1))+1)))-1,0))*CROQUIS!$C$134),CHOOSE(IF(INT(($A191-1)/5)&gt;MAX((MIN(80,MAX(1,INT(((CROQUIS!$C$97)-CROQUIS!$C$107)/MAX(CROQUIS!$C$134,1))+1)))-1,0),0,MOD($A191-1,5))+1,0,2,CROQUIS!$C$98-2,2,0)))*CROQUIS!$C$155)+IF(CROQUIS!$C$92="X",0,0)),-1000)</f>
        <v>-1000</v>
      </c>
      <c r="BK191">
        <f>IF(AND(CROQUIS!$C$88=1,CROQUIS!$C$134&gt;0),((CROQUIS!$C$157+(IF(CROQUIS!$C$92="X",CHOOSE(IF(INT(($A191-1)/5)&gt;MAX((MIN(80,MAX(1,INT(((CROQUIS!$C$97)-CROQUIS!$C$107)/MAX(CROQUIS!$C$134,1))+1)))-1,0),0,MOD($A191-1,5))+1,0,2,CROQUIS!$C$98-2,2,0),((CROQUIS!$C$107/2+(((CROQUIS!$C$97)-CROQUIS!$C$107)-(MIN(80,MAX(1,INT(((CROQUIS!$C$97)-CROQUIS!$C$107)/MAX(CROQUIS!$C$134,1))+1))-1)*CROQUIS!$C$134)/2)+MIN(INT(($A191-1)/5),MAX((MIN(80,MAX(1,INT(((CROQUIS!$C$97)-CROQUIS!$C$107)/MAX(CROQUIS!$C$134,1))+1)))-1,0))*CROQUIS!$C$134)))*CROQUIS!$C$155)+IF(CROQUIS!$C$92="X",0,0)),-1000)</f>
        <v>-1000</v>
      </c>
      <c r="BL191">
        <f>IF(AND(CROQUIS!$C$88=1,CROQUIS!$C$91=0,CROQUIS!$C$130&gt;0,OR(CROQUIS!$C$103=1,CROQUIS!$C$142=1)),((CROQUIS!$C$156+(IF(CROQUIS!$C$92="X",CHOOSE(IF(INT(($A191-1)/5)&gt;MAX((MIN(80,MAX(1,INT(((CROQUIS!$C$98)-CROQUIS!$C$107)/MAX(CROQUIS!$C$130,1))+1)))-1,0),0,MOD($A191-1,5))+1,0,IF(CROQUIS!$C$103=1,-12,2),CROQUIS!$C$107/2+CROQUIS!$C$140,IF(CROQUIS!$C$103=1,-12,2),0),((CROQUIS!$C$107/2+(((CROQUIS!$C$98)-CROQUIS!$C$107)-(MIN(80,MAX(1,INT(((CROQUIS!$C$98)-CROQUIS!$C$107)/MAX(CROQUIS!$C$130,1))+1))-1)*CROQUIS!$C$130)/2)+MIN(INT(($A191-1)/5),MAX((MIN(80,MAX(1,INT(((CROQUIS!$C$98)-CROQUIS!$C$107)/MAX(CROQUIS!$C$130,1))+1)))-1,0))*CROQUIS!$C$130)))*CROQUIS!$C$155)+IF(CROQUIS!$C$92="X",0,0)),-1000)</f>
        <v>-1000</v>
      </c>
      <c r="BM19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191-1)/5),MAX((MIN(80,MAX(1,INT(((CROQUIS!$C$98)-CROQUIS!$C$107)/MAX(CROQUIS!$C$130,1))+1)))-1,0))*CROQUIS!$C$130),CHOOSE(IF(INT(($A191-1)/5)&gt;MAX((MIN(80,MAX(1,INT(((CROQUIS!$C$98)-CROQUIS!$C$107)/MAX(CROQUIS!$C$130,1))+1)))-1,0),0,MOD($A191-1,5))+1,0,IF(CROQUIS!$C$103=1,-12,2),CROQUIS!$C$107/2+CROQUIS!$C$140,IF(CROQUIS!$C$103=1,-12,2),0)))*CROQUIS!$C$155)+IF(CROQUIS!$C$92="X",0,0)),-1000)</f>
        <v>-1000</v>
      </c>
      <c r="BN191">
        <f>IF(AND(CROQUIS!$C$88=1,CROQUIS!$C$91=0,CROQUIS!$C$130&gt;0,OR(CROQUIS!$C$104=1,CROQUIS!$C$142=1)),((CROQUIS!$C$156+(IF(CROQUIS!$C$92="X",CHOOSE(IF(INT(($A191-1)/5)&gt;MAX((MIN(80,MAX(1,INT(((CROQUIS!$C$98)-CROQUIS!$C$107)/MAX(CROQUIS!$C$130,1))+1)))-1,0),0,MOD($A191-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191-1)/5),MAX((MIN(80,MAX(1,INT(((CROQUIS!$C$98)-CROQUIS!$C$107)/MAX(CROQUIS!$C$130,1))+1)))-1,0))*CROQUIS!$C$130)))*CROQUIS!$C$155)+IF(CROQUIS!$C$92="X",0,0)),-1000)</f>
        <v>-1000</v>
      </c>
      <c r="BO19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191-1)/5),MAX((MIN(80,MAX(1,INT(((CROQUIS!$C$98)-CROQUIS!$C$107)/MAX(CROQUIS!$C$130,1))+1)))-1,0))*CROQUIS!$C$130),CHOOSE(IF(INT(($A191-1)/5)&gt;MAX((MIN(80,MAX(1,INT(((CROQUIS!$C$98)-CROQUIS!$C$107)/MAX(CROQUIS!$C$130,1))+1)))-1,0),0,MOD($A191-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9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191-1)/5),MAX((MIN(80,MAX(1,INT(((CROQUIS!$C$97)-CROQUIS!$C$107)/MAX(CROQUIS!$C$138,1))+1)))-1,0))*CROQUIS!$C$138),CHOOSE(IF(INT(($A191-1)/5)&gt;MAX((MIN(80,MAX(1,INT(((CROQUIS!$C$97)-CROQUIS!$C$107)/MAX(CROQUIS!$C$138,1))+1)))-1,0),0,MOD($A191-1,5))+1,0,IF(CROQUIS!$C$105=1,-12,2),CROQUIS!$C$107/2+CROQUIS!$C$141,IF(CROQUIS!$C$105=1,-12,2),0)))*CROQUIS!$C$155)+IF(CROQUIS!$C$92="X",0,0)),-1000)</f>
        <v>-1000</v>
      </c>
      <c r="BQ191">
        <f>IF(AND(CROQUIS!$C$88=1,CROQUIS!$C$91=0,CROQUIS!$C$138&gt;0,OR(CROQUIS!$C$105=1,CROQUIS!$C$143=1)),((CROQUIS!$C$157+(IF(CROQUIS!$C$92="X",CHOOSE(IF(INT(($A191-1)/5)&gt;MAX((MIN(80,MAX(1,INT(((CROQUIS!$C$97)-CROQUIS!$C$107)/MAX(CROQUIS!$C$138,1))+1)))-1,0),0,MOD($A191-1,5))+1,0,IF(CROQUIS!$C$105=1,-12,2),CROQUIS!$C$107/2+CROQUIS!$C$141,IF(CROQUIS!$C$105=1,-12,2),0),((CROQUIS!$C$107/2+(((CROQUIS!$C$97)-CROQUIS!$C$107)-(MIN(80,MAX(1,INT(((CROQUIS!$C$97)-CROQUIS!$C$107)/MAX(CROQUIS!$C$138,1))+1))-1)*CROQUIS!$C$138)/2)+MIN(INT(($A191-1)/5),MAX((MIN(80,MAX(1,INT(((CROQUIS!$C$97)-CROQUIS!$C$107)/MAX(CROQUIS!$C$138,1))+1)))-1,0))*CROQUIS!$C$138)))*CROQUIS!$C$155)+IF(CROQUIS!$C$92="X",0,0)),-1000)</f>
        <v>-1000</v>
      </c>
      <c r="BR19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191-1)/5),MAX((MIN(80,MAX(1,INT(((CROQUIS!$C$97)-CROQUIS!$C$107)/MAX(CROQUIS!$C$138,1))+1)))-1,0))*CROQUIS!$C$138),CHOOSE(IF(INT(($A191-1)/5)&gt;MAX((MIN(80,MAX(1,INT(((CROQUIS!$C$97)-CROQUIS!$C$107)/MAX(CROQUIS!$C$138,1))+1)))-1,0),0,MOD($A191-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91">
        <f>IF(AND(CROQUIS!$C$88=1,CROQUIS!$C$91=0,CROQUIS!$C$138&gt;0,OR(CROQUIS!$C$106=1,CROQUIS!$C$143=1)),((CROQUIS!$C$157+(IF(CROQUIS!$C$92="X",CHOOSE(IF(INT(($A191-1)/5)&gt;MAX((MIN(80,MAX(1,INT(((CROQUIS!$C$97)-CROQUIS!$C$107)/MAX(CROQUIS!$C$138,1))+1)))-1,0),0,MOD($A191-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191-1)/5),MAX((MIN(80,MAX(1,INT(((CROQUIS!$C$97)-CROQUIS!$C$107)/MAX(CROQUIS!$C$138,1))+1)))-1,0))*CROQUIS!$C$138)))*CROQUIS!$C$155)+IF(CROQUIS!$C$92="X",0,0)),-1000)</f>
        <v>-1000</v>
      </c>
      <c r="BT191">
        <f>IF(AND(CROQUIS!$C$88=1,CROQUIS!$C$91=1,CROQUIS!$C$130&gt;0),((CROQUIS!$C$156+(IF(CROQUIS!$C$92="X",CHOOSE(IF(INT(($A191-1)/5)&gt;MAX((MIN(80,MAX(1,INT(((CROQUIS!$C$98)-CROQUIS!$C$107)/MAX(CROQUIS!$C$130,1))+1)))-1,0),0,MOD($A191-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191-1)/5),MAX((MIN(80,MAX(1,INT(((CROQUIS!$C$98)-CROQUIS!$C$107)/MAX(CROQUIS!$C$130,1))+1)))-1,0))*CROQUIS!$C$130)))*CROQUIS!$C$155)+IF(CROQUIS!$C$92="X",0,0)),-1000)</f>
        <v>-1000</v>
      </c>
      <c r="BU191">
        <f>IF(AND(CROQUIS!$C$88=1,CROQUIS!$C$91=1,CROQUIS!$C$130&gt;0),((CROQUIS!$C$157+(IF(CROQUIS!$C$92="X",((CROQUIS!$C$107/2+(((CROQUIS!$C$98)-CROQUIS!$C$107)-(MIN(80,MAX(1,INT(((CROQUIS!$C$98)-CROQUIS!$C$107)/MAX(CROQUIS!$C$130,1))+1))-1)*CROQUIS!$C$130)/2)+MIN(INT(($A191-1)/5),MAX((MIN(80,MAX(1,INT(((CROQUIS!$C$98)-CROQUIS!$C$107)/MAX(CROQUIS!$C$130,1))+1)))-1,0))*CROQUIS!$C$130),CHOOSE(IF(INT(($A191-1)/5)&gt;MAX((MIN(80,MAX(1,INT(((CROQUIS!$C$98)-CROQUIS!$C$107)/MAX(CROQUIS!$C$130,1))+1)))-1,0),0,MOD($A191-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92">
      <c r="A192" t="n">
        <v>185</v>
      </c>
      <c r="BH192">
        <f>IF(AND(CROQUIS!$C$88=1,CROQUIS!$C$126&gt;0),((CROQUIS!$C$156+(IF(CROQUIS!$C$92="X",CHOOSE(IF(INT(($A192-1)/5)&gt;MAX((MIN(80,MAX(1,INT(((CROQUIS!$C$98)-CROQUIS!$C$107)/MAX(CROQUIS!$C$126,1))+1)))-1,0),0,MOD($A192-1,5))+1,0,2,CROQUIS!$C$97-2,2,0),((CROQUIS!$C$107/2+(((CROQUIS!$C$98)-CROQUIS!$C$107)-(MIN(80,MAX(1,INT(((CROQUIS!$C$98)-CROQUIS!$C$107)/MAX(CROQUIS!$C$126,1))+1))-1)*CROQUIS!$C$126)/2)+MIN(INT(($A192-1)/5),MAX((MIN(80,MAX(1,INT(((CROQUIS!$C$98)-CROQUIS!$C$107)/MAX(CROQUIS!$C$126,1))+1)))-1,0))*CROQUIS!$C$126)))*CROQUIS!$C$155)+IF(CROQUIS!$C$92="X",0,0)),-1000)</f>
        <v>-1000</v>
      </c>
      <c r="BI192">
        <f>IF(AND(CROQUIS!$C$88=1,CROQUIS!$C$126&gt;0),((CROQUIS!$C$157+(IF(CROQUIS!$C$92="X",((CROQUIS!$C$107/2+(((CROQUIS!$C$98)-CROQUIS!$C$107)-(MIN(80,MAX(1,INT(((CROQUIS!$C$98)-CROQUIS!$C$107)/MAX(CROQUIS!$C$126,1))+1))-1)*CROQUIS!$C$126)/2)+MIN(INT(($A192-1)/5),MAX((MIN(80,MAX(1,INT(((CROQUIS!$C$98)-CROQUIS!$C$107)/MAX(CROQUIS!$C$126,1))+1)))-1,0))*CROQUIS!$C$126),CHOOSE(IF(INT(($A192-1)/5)&gt;MAX((MIN(80,MAX(1,INT(((CROQUIS!$C$98)-CROQUIS!$C$107)/MAX(CROQUIS!$C$126,1))+1)))-1,0),0,MOD($A192-1,5))+1,0,2,CROQUIS!$C$97-2,2,0)))*CROQUIS!$C$155)+IF(CROQUIS!$C$92="X",0,0)),-1000)</f>
        <v>-1000</v>
      </c>
      <c r="BJ192">
        <f>IF(AND(CROQUIS!$C$88=1,CROQUIS!$C$134&gt;0),((CROQUIS!$C$156+(IF(CROQUIS!$C$92="X",((CROQUIS!$C$107/2+(((CROQUIS!$C$97)-CROQUIS!$C$107)-(MIN(80,MAX(1,INT(((CROQUIS!$C$97)-CROQUIS!$C$107)/MAX(CROQUIS!$C$134,1))+1))-1)*CROQUIS!$C$134)/2)+MIN(INT(($A192-1)/5),MAX((MIN(80,MAX(1,INT(((CROQUIS!$C$97)-CROQUIS!$C$107)/MAX(CROQUIS!$C$134,1))+1)))-1,0))*CROQUIS!$C$134),CHOOSE(IF(INT(($A192-1)/5)&gt;MAX((MIN(80,MAX(1,INT(((CROQUIS!$C$97)-CROQUIS!$C$107)/MAX(CROQUIS!$C$134,1))+1)))-1,0),0,MOD($A192-1,5))+1,0,2,CROQUIS!$C$98-2,2,0)))*CROQUIS!$C$155)+IF(CROQUIS!$C$92="X",0,0)),-1000)</f>
        <v>-1000</v>
      </c>
      <c r="BK192">
        <f>IF(AND(CROQUIS!$C$88=1,CROQUIS!$C$134&gt;0),((CROQUIS!$C$157+(IF(CROQUIS!$C$92="X",CHOOSE(IF(INT(($A192-1)/5)&gt;MAX((MIN(80,MAX(1,INT(((CROQUIS!$C$97)-CROQUIS!$C$107)/MAX(CROQUIS!$C$134,1))+1)))-1,0),0,MOD($A192-1,5))+1,0,2,CROQUIS!$C$98-2,2,0),((CROQUIS!$C$107/2+(((CROQUIS!$C$97)-CROQUIS!$C$107)-(MIN(80,MAX(1,INT(((CROQUIS!$C$97)-CROQUIS!$C$107)/MAX(CROQUIS!$C$134,1))+1))-1)*CROQUIS!$C$134)/2)+MIN(INT(($A192-1)/5),MAX((MIN(80,MAX(1,INT(((CROQUIS!$C$97)-CROQUIS!$C$107)/MAX(CROQUIS!$C$134,1))+1)))-1,0))*CROQUIS!$C$134)))*CROQUIS!$C$155)+IF(CROQUIS!$C$92="X",0,0)),-1000)</f>
        <v>-1000</v>
      </c>
      <c r="BL192">
        <f>IF(AND(CROQUIS!$C$88=1,CROQUIS!$C$91=0,CROQUIS!$C$130&gt;0,OR(CROQUIS!$C$103=1,CROQUIS!$C$142=1)),((CROQUIS!$C$156+(IF(CROQUIS!$C$92="X",CHOOSE(IF(INT(($A192-1)/5)&gt;MAX((MIN(80,MAX(1,INT(((CROQUIS!$C$98)-CROQUIS!$C$107)/MAX(CROQUIS!$C$130,1))+1)))-1,0),0,MOD($A192-1,5))+1,0,IF(CROQUIS!$C$103=1,-12,2),CROQUIS!$C$107/2+CROQUIS!$C$140,IF(CROQUIS!$C$103=1,-12,2),0),((CROQUIS!$C$107/2+(((CROQUIS!$C$98)-CROQUIS!$C$107)-(MIN(80,MAX(1,INT(((CROQUIS!$C$98)-CROQUIS!$C$107)/MAX(CROQUIS!$C$130,1))+1))-1)*CROQUIS!$C$130)/2)+MIN(INT(($A192-1)/5),MAX((MIN(80,MAX(1,INT(((CROQUIS!$C$98)-CROQUIS!$C$107)/MAX(CROQUIS!$C$130,1))+1)))-1,0))*CROQUIS!$C$130)))*CROQUIS!$C$155)+IF(CROQUIS!$C$92="X",0,0)),-1000)</f>
        <v>-1000</v>
      </c>
      <c r="BM19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192-1)/5),MAX((MIN(80,MAX(1,INT(((CROQUIS!$C$98)-CROQUIS!$C$107)/MAX(CROQUIS!$C$130,1))+1)))-1,0))*CROQUIS!$C$130),CHOOSE(IF(INT(($A192-1)/5)&gt;MAX((MIN(80,MAX(1,INT(((CROQUIS!$C$98)-CROQUIS!$C$107)/MAX(CROQUIS!$C$130,1))+1)))-1,0),0,MOD($A192-1,5))+1,0,IF(CROQUIS!$C$103=1,-12,2),CROQUIS!$C$107/2+CROQUIS!$C$140,IF(CROQUIS!$C$103=1,-12,2),0)))*CROQUIS!$C$155)+IF(CROQUIS!$C$92="X",0,0)),-1000)</f>
        <v>-1000</v>
      </c>
      <c r="BN192">
        <f>IF(AND(CROQUIS!$C$88=1,CROQUIS!$C$91=0,CROQUIS!$C$130&gt;0,OR(CROQUIS!$C$104=1,CROQUIS!$C$142=1)),((CROQUIS!$C$156+(IF(CROQUIS!$C$92="X",CHOOSE(IF(INT(($A192-1)/5)&gt;MAX((MIN(80,MAX(1,INT(((CROQUIS!$C$98)-CROQUIS!$C$107)/MAX(CROQUIS!$C$130,1))+1)))-1,0),0,MOD($A192-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192-1)/5),MAX((MIN(80,MAX(1,INT(((CROQUIS!$C$98)-CROQUIS!$C$107)/MAX(CROQUIS!$C$130,1))+1)))-1,0))*CROQUIS!$C$130)))*CROQUIS!$C$155)+IF(CROQUIS!$C$92="X",0,0)),-1000)</f>
        <v>-1000</v>
      </c>
      <c r="BO19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192-1)/5),MAX((MIN(80,MAX(1,INT(((CROQUIS!$C$98)-CROQUIS!$C$107)/MAX(CROQUIS!$C$130,1))+1)))-1,0))*CROQUIS!$C$130),CHOOSE(IF(INT(($A192-1)/5)&gt;MAX((MIN(80,MAX(1,INT(((CROQUIS!$C$98)-CROQUIS!$C$107)/MAX(CROQUIS!$C$130,1))+1)))-1,0),0,MOD($A192-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9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192-1)/5),MAX((MIN(80,MAX(1,INT(((CROQUIS!$C$97)-CROQUIS!$C$107)/MAX(CROQUIS!$C$138,1))+1)))-1,0))*CROQUIS!$C$138),CHOOSE(IF(INT(($A192-1)/5)&gt;MAX((MIN(80,MAX(1,INT(((CROQUIS!$C$97)-CROQUIS!$C$107)/MAX(CROQUIS!$C$138,1))+1)))-1,0),0,MOD($A192-1,5))+1,0,IF(CROQUIS!$C$105=1,-12,2),CROQUIS!$C$107/2+CROQUIS!$C$141,IF(CROQUIS!$C$105=1,-12,2),0)))*CROQUIS!$C$155)+IF(CROQUIS!$C$92="X",0,0)),-1000)</f>
        <v>-1000</v>
      </c>
      <c r="BQ192">
        <f>IF(AND(CROQUIS!$C$88=1,CROQUIS!$C$91=0,CROQUIS!$C$138&gt;0,OR(CROQUIS!$C$105=1,CROQUIS!$C$143=1)),((CROQUIS!$C$157+(IF(CROQUIS!$C$92="X",CHOOSE(IF(INT(($A192-1)/5)&gt;MAX((MIN(80,MAX(1,INT(((CROQUIS!$C$97)-CROQUIS!$C$107)/MAX(CROQUIS!$C$138,1))+1)))-1,0),0,MOD($A192-1,5))+1,0,IF(CROQUIS!$C$105=1,-12,2),CROQUIS!$C$107/2+CROQUIS!$C$141,IF(CROQUIS!$C$105=1,-12,2),0),((CROQUIS!$C$107/2+(((CROQUIS!$C$97)-CROQUIS!$C$107)-(MIN(80,MAX(1,INT(((CROQUIS!$C$97)-CROQUIS!$C$107)/MAX(CROQUIS!$C$138,1))+1))-1)*CROQUIS!$C$138)/2)+MIN(INT(($A192-1)/5),MAX((MIN(80,MAX(1,INT(((CROQUIS!$C$97)-CROQUIS!$C$107)/MAX(CROQUIS!$C$138,1))+1)))-1,0))*CROQUIS!$C$138)))*CROQUIS!$C$155)+IF(CROQUIS!$C$92="X",0,0)),-1000)</f>
        <v>-1000</v>
      </c>
      <c r="BR19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192-1)/5),MAX((MIN(80,MAX(1,INT(((CROQUIS!$C$97)-CROQUIS!$C$107)/MAX(CROQUIS!$C$138,1))+1)))-1,0))*CROQUIS!$C$138),CHOOSE(IF(INT(($A192-1)/5)&gt;MAX((MIN(80,MAX(1,INT(((CROQUIS!$C$97)-CROQUIS!$C$107)/MAX(CROQUIS!$C$138,1))+1)))-1,0),0,MOD($A192-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92">
        <f>IF(AND(CROQUIS!$C$88=1,CROQUIS!$C$91=0,CROQUIS!$C$138&gt;0,OR(CROQUIS!$C$106=1,CROQUIS!$C$143=1)),((CROQUIS!$C$157+(IF(CROQUIS!$C$92="X",CHOOSE(IF(INT(($A192-1)/5)&gt;MAX((MIN(80,MAX(1,INT(((CROQUIS!$C$97)-CROQUIS!$C$107)/MAX(CROQUIS!$C$138,1))+1)))-1,0),0,MOD($A192-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192-1)/5),MAX((MIN(80,MAX(1,INT(((CROQUIS!$C$97)-CROQUIS!$C$107)/MAX(CROQUIS!$C$138,1))+1)))-1,0))*CROQUIS!$C$138)))*CROQUIS!$C$155)+IF(CROQUIS!$C$92="X",0,0)),-1000)</f>
        <v>-1000</v>
      </c>
      <c r="BT192">
        <f>IF(AND(CROQUIS!$C$88=1,CROQUIS!$C$91=1,CROQUIS!$C$130&gt;0),((CROQUIS!$C$156+(IF(CROQUIS!$C$92="X",CHOOSE(IF(INT(($A192-1)/5)&gt;MAX((MIN(80,MAX(1,INT(((CROQUIS!$C$98)-CROQUIS!$C$107)/MAX(CROQUIS!$C$130,1))+1)))-1,0),0,MOD($A192-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192-1)/5),MAX((MIN(80,MAX(1,INT(((CROQUIS!$C$98)-CROQUIS!$C$107)/MAX(CROQUIS!$C$130,1))+1)))-1,0))*CROQUIS!$C$130)))*CROQUIS!$C$155)+IF(CROQUIS!$C$92="X",0,0)),-1000)</f>
        <v>-1000</v>
      </c>
      <c r="BU192">
        <f>IF(AND(CROQUIS!$C$88=1,CROQUIS!$C$91=1,CROQUIS!$C$130&gt;0),((CROQUIS!$C$157+(IF(CROQUIS!$C$92="X",((CROQUIS!$C$107/2+(((CROQUIS!$C$98)-CROQUIS!$C$107)-(MIN(80,MAX(1,INT(((CROQUIS!$C$98)-CROQUIS!$C$107)/MAX(CROQUIS!$C$130,1))+1))-1)*CROQUIS!$C$130)/2)+MIN(INT(($A192-1)/5),MAX((MIN(80,MAX(1,INT(((CROQUIS!$C$98)-CROQUIS!$C$107)/MAX(CROQUIS!$C$130,1))+1)))-1,0))*CROQUIS!$C$130),CHOOSE(IF(INT(($A192-1)/5)&gt;MAX((MIN(80,MAX(1,INT(((CROQUIS!$C$98)-CROQUIS!$C$107)/MAX(CROQUIS!$C$130,1))+1)))-1,0),0,MOD($A192-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93">
      <c r="A193" t="n">
        <v>186</v>
      </c>
      <c r="BH193">
        <f>IF(AND(CROQUIS!$C$88=1,CROQUIS!$C$126&gt;0),((CROQUIS!$C$156+(IF(CROQUIS!$C$92="X",CHOOSE(IF(INT(($A193-1)/5)&gt;MAX((MIN(80,MAX(1,INT(((CROQUIS!$C$98)-CROQUIS!$C$107)/MAX(CROQUIS!$C$126,1))+1)))-1,0),0,MOD($A193-1,5))+1,0,2,CROQUIS!$C$97-2,2,0),((CROQUIS!$C$107/2+(((CROQUIS!$C$98)-CROQUIS!$C$107)-(MIN(80,MAX(1,INT(((CROQUIS!$C$98)-CROQUIS!$C$107)/MAX(CROQUIS!$C$126,1))+1))-1)*CROQUIS!$C$126)/2)+MIN(INT(($A193-1)/5),MAX((MIN(80,MAX(1,INT(((CROQUIS!$C$98)-CROQUIS!$C$107)/MAX(CROQUIS!$C$126,1))+1)))-1,0))*CROQUIS!$C$126)))*CROQUIS!$C$155)+IF(CROQUIS!$C$92="X",0,0)),-1000)</f>
        <v>-1000</v>
      </c>
      <c r="BI193">
        <f>IF(AND(CROQUIS!$C$88=1,CROQUIS!$C$126&gt;0),((CROQUIS!$C$157+(IF(CROQUIS!$C$92="X",((CROQUIS!$C$107/2+(((CROQUIS!$C$98)-CROQUIS!$C$107)-(MIN(80,MAX(1,INT(((CROQUIS!$C$98)-CROQUIS!$C$107)/MAX(CROQUIS!$C$126,1))+1))-1)*CROQUIS!$C$126)/2)+MIN(INT(($A193-1)/5),MAX((MIN(80,MAX(1,INT(((CROQUIS!$C$98)-CROQUIS!$C$107)/MAX(CROQUIS!$C$126,1))+1)))-1,0))*CROQUIS!$C$126),CHOOSE(IF(INT(($A193-1)/5)&gt;MAX((MIN(80,MAX(1,INT(((CROQUIS!$C$98)-CROQUIS!$C$107)/MAX(CROQUIS!$C$126,1))+1)))-1,0),0,MOD($A193-1,5))+1,0,2,CROQUIS!$C$97-2,2,0)))*CROQUIS!$C$155)+IF(CROQUIS!$C$92="X",0,0)),-1000)</f>
        <v>-1000</v>
      </c>
      <c r="BJ193">
        <f>IF(AND(CROQUIS!$C$88=1,CROQUIS!$C$134&gt;0),((CROQUIS!$C$156+(IF(CROQUIS!$C$92="X",((CROQUIS!$C$107/2+(((CROQUIS!$C$97)-CROQUIS!$C$107)-(MIN(80,MAX(1,INT(((CROQUIS!$C$97)-CROQUIS!$C$107)/MAX(CROQUIS!$C$134,1))+1))-1)*CROQUIS!$C$134)/2)+MIN(INT(($A193-1)/5),MAX((MIN(80,MAX(1,INT(((CROQUIS!$C$97)-CROQUIS!$C$107)/MAX(CROQUIS!$C$134,1))+1)))-1,0))*CROQUIS!$C$134),CHOOSE(IF(INT(($A193-1)/5)&gt;MAX((MIN(80,MAX(1,INT(((CROQUIS!$C$97)-CROQUIS!$C$107)/MAX(CROQUIS!$C$134,1))+1)))-1,0),0,MOD($A193-1,5))+1,0,2,CROQUIS!$C$98-2,2,0)))*CROQUIS!$C$155)+IF(CROQUIS!$C$92="X",0,0)),-1000)</f>
        <v>-1000</v>
      </c>
      <c r="BK193">
        <f>IF(AND(CROQUIS!$C$88=1,CROQUIS!$C$134&gt;0),((CROQUIS!$C$157+(IF(CROQUIS!$C$92="X",CHOOSE(IF(INT(($A193-1)/5)&gt;MAX((MIN(80,MAX(1,INT(((CROQUIS!$C$97)-CROQUIS!$C$107)/MAX(CROQUIS!$C$134,1))+1)))-1,0),0,MOD($A193-1,5))+1,0,2,CROQUIS!$C$98-2,2,0),((CROQUIS!$C$107/2+(((CROQUIS!$C$97)-CROQUIS!$C$107)-(MIN(80,MAX(1,INT(((CROQUIS!$C$97)-CROQUIS!$C$107)/MAX(CROQUIS!$C$134,1))+1))-1)*CROQUIS!$C$134)/2)+MIN(INT(($A193-1)/5),MAX((MIN(80,MAX(1,INT(((CROQUIS!$C$97)-CROQUIS!$C$107)/MAX(CROQUIS!$C$134,1))+1)))-1,0))*CROQUIS!$C$134)))*CROQUIS!$C$155)+IF(CROQUIS!$C$92="X",0,0)),-1000)</f>
        <v>-1000</v>
      </c>
      <c r="BL193">
        <f>IF(AND(CROQUIS!$C$88=1,CROQUIS!$C$91=0,CROQUIS!$C$130&gt;0,OR(CROQUIS!$C$103=1,CROQUIS!$C$142=1)),((CROQUIS!$C$156+(IF(CROQUIS!$C$92="X",CHOOSE(IF(INT(($A193-1)/5)&gt;MAX((MIN(80,MAX(1,INT(((CROQUIS!$C$98)-CROQUIS!$C$107)/MAX(CROQUIS!$C$130,1))+1)))-1,0),0,MOD($A193-1,5))+1,0,IF(CROQUIS!$C$103=1,-12,2),CROQUIS!$C$107/2+CROQUIS!$C$140,IF(CROQUIS!$C$103=1,-12,2),0),((CROQUIS!$C$107/2+(((CROQUIS!$C$98)-CROQUIS!$C$107)-(MIN(80,MAX(1,INT(((CROQUIS!$C$98)-CROQUIS!$C$107)/MAX(CROQUIS!$C$130,1))+1))-1)*CROQUIS!$C$130)/2)+MIN(INT(($A193-1)/5),MAX((MIN(80,MAX(1,INT(((CROQUIS!$C$98)-CROQUIS!$C$107)/MAX(CROQUIS!$C$130,1))+1)))-1,0))*CROQUIS!$C$130)))*CROQUIS!$C$155)+IF(CROQUIS!$C$92="X",0,0)),-1000)</f>
        <v>-1000</v>
      </c>
      <c r="BM19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193-1)/5),MAX((MIN(80,MAX(1,INT(((CROQUIS!$C$98)-CROQUIS!$C$107)/MAX(CROQUIS!$C$130,1))+1)))-1,0))*CROQUIS!$C$130),CHOOSE(IF(INT(($A193-1)/5)&gt;MAX((MIN(80,MAX(1,INT(((CROQUIS!$C$98)-CROQUIS!$C$107)/MAX(CROQUIS!$C$130,1))+1)))-1,0),0,MOD($A193-1,5))+1,0,IF(CROQUIS!$C$103=1,-12,2),CROQUIS!$C$107/2+CROQUIS!$C$140,IF(CROQUIS!$C$103=1,-12,2),0)))*CROQUIS!$C$155)+IF(CROQUIS!$C$92="X",0,0)),-1000)</f>
        <v>-1000</v>
      </c>
      <c r="BN193">
        <f>IF(AND(CROQUIS!$C$88=1,CROQUIS!$C$91=0,CROQUIS!$C$130&gt;0,OR(CROQUIS!$C$104=1,CROQUIS!$C$142=1)),((CROQUIS!$C$156+(IF(CROQUIS!$C$92="X",CHOOSE(IF(INT(($A193-1)/5)&gt;MAX((MIN(80,MAX(1,INT(((CROQUIS!$C$98)-CROQUIS!$C$107)/MAX(CROQUIS!$C$130,1))+1)))-1,0),0,MOD($A193-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193-1)/5),MAX((MIN(80,MAX(1,INT(((CROQUIS!$C$98)-CROQUIS!$C$107)/MAX(CROQUIS!$C$130,1))+1)))-1,0))*CROQUIS!$C$130)))*CROQUIS!$C$155)+IF(CROQUIS!$C$92="X",0,0)),-1000)</f>
        <v>-1000</v>
      </c>
      <c r="BO19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193-1)/5),MAX((MIN(80,MAX(1,INT(((CROQUIS!$C$98)-CROQUIS!$C$107)/MAX(CROQUIS!$C$130,1))+1)))-1,0))*CROQUIS!$C$130),CHOOSE(IF(INT(($A193-1)/5)&gt;MAX((MIN(80,MAX(1,INT(((CROQUIS!$C$98)-CROQUIS!$C$107)/MAX(CROQUIS!$C$130,1))+1)))-1,0),0,MOD($A193-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9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193-1)/5),MAX((MIN(80,MAX(1,INT(((CROQUIS!$C$97)-CROQUIS!$C$107)/MAX(CROQUIS!$C$138,1))+1)))-1,0))*CROQUIS!$C$138),CHOOSE(IF(INT(($A193-1)/5)&gt;MAX((MIN(80,MAX(1,INT(((CROQUIS!$C$97)-CROQUIS!$C$107)/MAX(CROQUIS!$C$138,1))+1)))-1,0),0,MOD($A193-1,5))+1,0,IF(CROQUIS!$C$105=1,-12,2),CROQUIS!$C$107/2+CROQUIS!$C$141,IF(CROQUIS!$C$105=1,-12,2),0)))*CROQUIS!$C$155)+IF(CROQUIS!$C$92="X",0,0)),-1000)</f>
        <v>-1000</v>
      </c>
      <c r="BQ193">
        <f>IF(AND(CROQUIS!$C$88=1,CROQUIS!$C$91=0,CROQUIS!$C$138&gt;0,OR(CROQUIS!$C$105=1,CROQUIS!$C$143=1)),((CROQUIS!$C$157+(IF(CROQUIS!$C$92="X",CHOOSE(IF(INT(($A193-1)/5)&gt;MAX((MIN(80,MAX(1,INT(((CROQUIS!$C$97)-CROQUIS!$C$107)/MAX(CROQUIS!$C$138,1))+1)))-1,0),0,MOD($A193-1,5))+1,0,IF(CROQUIS!$C$105=1,-12,2),CROQUIS!$C$107/2+CROQUIS!$C$141,IF(CROQUIS!$C$105=1,-12,2),0),((CROQUIS!$C$107/2+(((CROQUIS!$C$97)-CROQUIS!$C$107)-(MIN(80,MAX(1,INT(((CROQUIS!$C$97)-CROQUIS!$C$107)/MAX(CROQUIS!$C$138,1))+1))-1)*CROQUIS!$C$138)/2)+MIN(INT(($A193-1)/5),MAX((MIN(80,MAX(1,INT(((CROQUIS!$C$97)-CROQUIS!$C$107)/MAX(CROQUIS!$C$138,1))+1)))-1,0))*CROQUIS!$C$138)))*CROQUIS!$C$155)+IF(CROQUIS!$C$92="X",0,0)),-1000)</f>
        <v>-1000</v>
      </c>
      <c r="BR19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193-1)/5),MAX((MIN(80,MAX(1,INT(((CROQUIS!$C$97)-CROQUIS!$C$107)/MAX(CROQUIS!$C$138,1))+1)))-1,0))*CROQUIS!$C$138),CHOOSE(IF(INT(($A193-1)/5)&gt;MAX((MIN(80,MAX(1,INT(((CROQUIS!$C$97)-CROQUIS!$C$107)/MAX(CROQUIS!$C$138,1))+1)))-1,0),0,MOD($A193-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93">
        <f>IF(AND(CROQUIS!$C$88=1,CROQUIS!$C$91=0,CROQUIS!$C$138&gt;0,OR(CROQUIS!$C$106=1,CROQUIS!$C$143=1)),((CROQUIS!$C$157+(IF(CROQUIS!$C$92="X",CHOOSE(IF(INT(($A193-1)/5)&gt;MAX((MIN(80,MAX(1,INT(((CROQUIS!$C$97)-CROQUIS!$C$107)/MAX(CROQUIS!$C$138,1))+1)))-1,0),0,MOD($A193-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193-1)/5),MAX((MIN(80,MAX(1,INT(((CROQUIS!$C$97)-CROQUIS!$C$107)/MAX(CROQUIS!$C$138,1))+1)))-1,0))*CROQUIS!$C$138)))*CROQUIS!$C$155)+IF(CROQUIS!$C$92="X",0,0)),-1000)</f>
        <v>-1000</v>
      </c>
      <c r="BT193">
        <f>IF(AND(CROQUIS!$C$88=1,CROQUIS!$C$91=1,CROQUIS!$C$130&gt;0),((CROQUIS!$C$156+(IF(CROQUIS!$C$92="X",CHOOSE(IF(INT(($A193-1)/5)&gt;MAX((MIN(80,MAX(1,INT(((CROQUIS!$C$98)-CROQUIS!$C$107)/MAX(CROQUIS!$C$130,1))+1)))-1,0),0,MOD($A193-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193-1)/5),MAX((MIN(80,MAX(1,INT(((CROQUIS!$C$98)-CROQUIS!$C$107)/MAX(CROQUIS!$C$130,1))+1)))-1,0))*CROQUIS!$C$130)))*CROQUIS!$C$155)+IF(CROQUIS!$C$92="X",0,0)),-1000)</f>
        <v>-1000</v>
      </c>
      <c r="BU193">
        <f>IF(AND(CROQUIS!$C$88=1,CROQUIS!$C$91=1,CROQUIS!$C$130&gt;0),((CROQUIS!$C$157+(IF(CROQUIS!$C$92="X",((CROQUIS!$C$107/2+(((CROQUIS!$C$98)-CROQUIS!$C$107)-(MIN(80,MAX(1,INT(((CROQUIS!$C$98)-CROQUIS!$C$107)/MAX(CROQUIS!$C$130,1))+1))-1)*CROQUIS!$C$130)/2)+MIN(INT(($A193-1)/5),MAX((MIN(80,MAX(1,INT(((CROQUIS!$C$98)-CROQUIS!$C$107)/MAX(CROQUIS!$C$130,1))+1)))-1,0))*CROQUIS!$C$130),CHOOSE(IF(INT(($A193-1)/5)&gt;MAX((MIN(80,MAX(1,INT(((CROQUIS!$C$98)-CROQUIS!$C$107)/MAX(CROQUIS!$C$130,1))+1)))-1,0),0,MOD($A193-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94">
      <c r="A194" t="n">
        <v>187</v>
      </c>
      <c r="BH194">
        <f>IF(AND(CROQUIS!$C$88=1,CROQUIS!$C$126&gt;0),((CROQUIS!$C$156+(IF(CROQUIS!$C$92="X",CHOOSE(IF(INT(($A194-1)/5)&gt;MAX((MIN(80,MAX(1,INT(((CROQUIS!$C$98)-CROQUIS!$C$107)/MAX(CROQUIS!$C$126,1))+1)))-1,0),0,MOD($A194-1,5))+1,0,2,CROQUIS!$C$97-2,2,0),((CROQUIS!$C$107/2+(((CROQUIS!$C$98)-CROQUIS!$C$107)-(MIN(80,MAX(1,INT(((CROQUIS!$C$98)-CROQUIS!$C$107)/MAX(CROQUIS!$C$126,1))+1))-1)*CROQUIS!$C$126)/2)+MIN(INT(($A194-1)/5),MAX((MIN(80,MAX(1,INT(((CROQUIS!$C$98)-CROQUIS!$C$107)/MAX(CROQUIS!$C$126,1))+1)))-1,0))*CROQUIS!$C$126)))*CROQUIS!$C$155)+IF(CROQUIS!$C$92="X",0,0)),-1000)</f>
        <v>-1000</v>
      </c>
      <c r="BI194">
        <f>IF(AND(CROQUIS!$C$88=1,CROQUIS!$C$126&gt;0),((CROQUIS!$C$157+(IF(CROQUIS!$C$92="X",((CROQUIS!$C$107/2+(((CROQUIS!$C$98)-CROQUIS!$C$107)-(MIN(80,MAX(1,INT(((CROQUIS!$C$98)-CROQUIS!$C$107)/MAX(CROQUIS!$C$126,1))+1))-1)*CROQUIS!$C$126)/2)+MIN(INT(($A194-1)/5),MAX((MIN(80,MAX(1,INT(((CROQUIS!$C$98)-CROQUIS!$C$107)/MAX(CROQUIS!$C$126,1))+1)))-1,0))*CROQUIS!$C$126),CHOOSE(IF(INT(($A194-1)/5)&gt;MAX((MIN(80,MAX(1,INT(((CROQUIS!$C$98)-CROQUIS!$C$107)/MAX(CROQUIS!$C$126,1))+1)))-1,0),0,MOD($A194-1,5))+1,0,2,CROQUIS!$C$97-2,2,0)))*CROQUIS!$C$155)+IF(CROQUIS!$C$92="X",0,0)),-1000)</f>
        <v>-1000</v>
      </c>
      <c r="BJ194">
        <f>IF(AND(CROQUIS!$C$88=1,CROQUIS!$C$134&gt;0),((CROQUIS!$C$156+(IF(CROQUIS!$C$92="X",((CROQUIS!$C$107/2+(((CROQUIS!$C$97)-CROQUIS!$C$107)-(MIN(80,MAX(1,INT(((CROQUIS!$C$97)-CROQUIS!$C$107)/MAX(CROQUIS!$C$134,1))+1))-1)*CROQUIS!$C$134)/2)+MIN(INT(($A194-1)/5),MAX((MIN(80,MAX(1,INT(((CROQUIS!$C$97)-CROQUIS!$C$107)/MAX(CROQUIS!$C$134,1))+1)))-1,0))*CROQUIS!$C$134),CHOOSE(IF(INT(($A194-1)/5)&gt;MAX((MIN(80,MAX(1,INT(((CROQUIS!$C$97)-CROQUIS!$C$107)/MAX(CROQUIS!$C$134,1))+1)))-1,0),0,MOD($A194-1,5))+1,0,2,CROQUIS!$C$98-2,2,0)))*CROQUIS!$C$155)+IF(CROQUIS!$C$92="X",0,0)),-1000)</f>
        <v>-1000</v>
      </c>
      <c r="BK194">
        <f>IF(AND(CROQUIS!$C$88=1,CROQUIS!$C$134&gt;0),((CROQUIS!$C$157+(IF(CROQUIS!$C$92="X",CHOOSE(IF(INT(($A194-1)/5)&gt;MAX((MIN(80,MAX(1,INT(((CROQUIS!$C$97)-CROQUIS!$C$107)/MAX(CROQUIS!$C$134,1))+1)))-1,0),0,MOD($A194-1,5))+1,0,2,CROQUIS!$C$98-2,2,0),((CROQUIS!$C$107/2+(((CROQUIS!$C$97)-CROQUIS!$C$107)-(MIN(80,MAX(1,INT(((CROQUIS!$C$97)-CROQUIS!$C$107)/MAX(CROQUIS!$C$134,1))+1))-1)*CROQUIS!$C$134)/2)+MIN(INT(($A194-1)/5),MAX((MIN(80,MAX(1,INT(((CROQUIS!$C$97)-CROQUIS!$C$107)/MAX(CROQUIS!$C$134,1))+1)))-1,0))*CROQUIS!$C$134)))*CROQUIS!$C$155)+IF(CROQUIS!$C$92="X",0,0)),-1000)</f>
        <v>-1000</v>
      </c>
      <c r="BL194">
        <f>IF(AND(CROQUIS!$C$88=1,CROQUIS!$C$91=0,CROQUIS!$C$130&gt;0,OR(CROQUIS!$C$103=1,CROQUIS!$C$142=1)),((CROQUIS!$C$156+(IF(CROQUIS!$C$92="X",CHOOSE(IF(INT(($A194-1)/5)&gt;MAX((MIN(80,MAX(1,INT(((CROQUIS!$C$98)-CROQUIS!$C$107)/MAX(CROQUIS!$C$130,1))+1)))-1,0),0,MOD($A194-1,5))+1,0,IF(CROQUIS!$C$103=1,-12,2),CROQUIS!$C$107/2+CROQUIS!$C$140,IF(CROQUIS!$C$103=1,-12,2),0),((CROQUIS!$C$107/2+(((CROQUIS!$C$98)-CROQUIS!$C$107)-(MIN(80,MAX(1,INT(((CROQUIS!$C$98)-CROQUIS!$C$107)/MAX(CROQUIS!$C$130,1))+1))-1)*CROQUIS!$C$130)/2)+MIN(INT(($A194-1)/5),MAX((MIN(80,MAX(1,INT(((CROQUIS!$C$98)-CROQUIS!$C$107)/MAX(CROQUIS!$C$130,1))+1)))-1,0))*CROQUIS!$C$130)))*CROQUIS!$C$155)+IF(CROQUIS!$C$92="X",0,0)),-1000)</f>
        <v>-1000</v>
      </c>
      <c r="BM19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194-1)/5),MAX((MIN(80,MAX(1,INT(((CROQUIS!$C$98)-CROQUIS!$C$107)/MAX(CROQUIS!$C$130,1))+1)))-1,0))*CROQUIS!$C$130),CHOOSE(IF(INT(($A194-1)/5)&gt;MAX((MIN(80,MAX(1,INT(((CROQUIS!$C$98)-CROQUIS!$C$107)/MAX(CROQUIS!$C$130,1))+1)))-1,0),0,MOD($A194-1,5))+1,0,IF(CROQUIS!$C$103=1,-12,2),CROQUIS!$C$107/2+CROQUIS!$C$140,IF(CROQUIS!$C$103=1,-12,2),0)))*CROQUIS!$C$155)+IF(CROQUIS!$C$92="X",0,0)),-1000)</f>
        <v>-1000</v>
      </c>
      <c r="BN194">
        <f>IF(AND(CROQUIS!$C$88=1,CROQUIS!$C$91=0,CROQUIS!$C$130&gt;0,OR(CROQUIS!$C$104=1,CROQUIS!$C$142=1)),((CROQUIS!$C$156+(IF(CROQUIS!$C$92="X",CHOOSE(IF(INT(($A194-1)/5)&gt;MAX((MIN(80,MAX(1,INT(((CROQUIS!$C$98)-CROQUIS!$C$107)/MAX(CROQUIS!$C$130,1))+1)))-1,0),0,MOD($A194-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194-1)/5),MAX((MIN(80,MAX(1,INT(((CROQUIS!$C$98)-CROQUIS!$C$107)/MAX(CROQUIS!$C$130,1))+1)))-1,0))*CROQUIS!$C$130)))*CROQUIS!$C$155)+IF(CROQUIS!$C$92="X",0,0)),-1000)</f>
        <v>-1000</v>
      </c>
      <c r="BO19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194-1)/5),MAX((MIN(80,MAX(1,INT(((CROQUIS!$C$98)-CROQUIS!$C$107)/MAX(CROQUIS!$C$130,1))+1)))-1,0))*CROQUIS!$C$130),CHOOSE(IF(INT(($A194-1)/5)&gt;MAX((MIN(80,MAX(1,INT(((CROQUIS!$C$98)-CROQUIS!$C$107)/MAX(CROQUIS!$C$130,1))+1)))-1,0),0,MOD($A194-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9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194-1)/5),MAX((MIN(80,MAX(1,INT(((CROQUIS!$C$97)-CROQUIS!$C$107)/MAX(CROQUIS!$C$138,1))+1)))-1,0))*CROQUIS!$C$138),CHOOSE(IF(INT(($A194-1)/5)&gt;MAX((MIN(80,MAX(1,INT(((CROQUIS!$C$97)-CROQUIS!$C$107)/MAX(CROQUIS!$C$138,1))+1)))-1,0),0,MOD($A194-1,5))+1,0,IF(CROQUIS!$C$105=1,-12,2),CROQUIS!$C$107/2+CROQUIS!$C$141,IF(CROQUIS!$C$105=1,-12,2),0)))*CROQUIS!$C$155)+IF(CROQUIS!$C$92="X",0,0)),-1000)</f>
        <v>-1000</v>
      </c>
      <c r="BQ194">
        <f>IF(AND(CROQUIS!$C$88=1,CROQUIS!$C$91=0,CROQUIS!$C$138&gt;0,OR(CROQUIS!$C$105=1,CROQUIS!$C$143=1)),((CROQUIS!$C$157+(IF(CROQUIS!$C$92="X",CHOOSE(IF(INT(($A194-1)/5)&gt;MAX((MIN(80,MAX(1,INT(((CROQUIS!$C$97)-CROQUIS!$C$107)/MAX(CROQUIS!$C$138,1))+1)))-1,0),0,MOD($A194-1,5))+1,0,IF(CROQUIS!$C$105=1,-12,2),CROQUIS!$C$107/2+CROQUIS!$C$141,IF(CROQUIS!$C$105=1,-12,2),0),((CROQUIS!$C$107/2+(((CROQUIS!$C$97)-CROQUIS!$C$107)-(MIN(80,MAX(1,INT(((CROQUIS!$C$97)-CROQUIS!$C$107)/MAX(CROQUIS!$C$138,1))+1))-1)*CROQUIS!$C$138)/2)+MIN(INT(($A194-1)/5),MAX((MIN(80,MAX(1,INT(((CROQUIS!$C$97)-CROQUIS!$C$107)/MAX(CROQUIS!$C$138,1))+1)))-1,0))*CROQUIS!$C$138)))*CROQUIS!$C$155)+IF(CROQUIS!$C$92="X",0,0)),-1000)</f>
        <v>-1000</v>
      </c>
      <c r="BR19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194-1)/5),MAX((MIN(80,MAX(1,INT(((CROQUIS!$C$97)-CROQUIS!$C$107)/MAX(CROQUIS!$C$138,1))+1)))-1,0))*CROQUIS!$C$138),CHOOSE(IF(INT(($A194-1)/5)&gt;MAX((MIN(80,MAX(1,INT(((CROQUIS!$C$97)-CROQUIS!$C$107)/MAX(CROQUIS!$C$138,1))+1)))-1,0),0,MOD($A194-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94">
        <f>IF(AND(CROQUIS!$C$88=1,CROQUIS!$C$91=0,CROQUIS!$C$138&gt;0,OR(CROQUIS!$C$106=1,CROQUIS!$C$143=1)),((CROQUIS!$C$157+(IF(CROQUIS!$C$92="X",CHOOSE(IF(INT(($A194-1)/5)&gt;MAX((MIN(80,MAX(1,INT(((CROQUIS!$C$97)-CROQUIS!$C$107)/MAX(CROQUIS!$C$138,1))+1)))-1,0),0,MOD($A194-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194-1)/5),MAX((MIN(80,MAX(1,INT(((CROQUIS!$C$97)-CROQUIS!$C$107)/MAX(CROQUIS!$C$138,1))+1)))-1,0))*CROQUIS!$C$138)))*CROQUIS!$C$155)+IF(CROQUIS!$C$92="X",0,0)),-1000)</f>
        <v>-1000</v>
      </c>
      <c r="BT194">
        <f>IF(AND(CROQUIS!$C$88=1,CROQUIS!$C$91=1,CROQUIS!$C$130&gt;0),((CROQUIS!$C$156+(IF(CROQUIS!$C$92="X",CHOOSE(IF(INT(($A194-1)/5)&gt;MAX((MIN(80,MAX(1,INT(((CROQUIS!$C$98)-CROQUIS!$C$107)/MAX(CROQUIS!$C$130,1))+1)))-1,0),0,MOD($A194-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194-1)/5),MAX((MIN(80,MAX(1,INT(((CROQUIS!$C$98)-CROQUIS!$C$107)/MAX(CROQUIS!$C$130,1))+1)))-1,0))*CROQUIS!$C$130)))*CROQUIS!$C$155)+IF(CROQUIS!$C$92="X",0,0)),-1000)</f>
        <v>-1000</v>
      </c>
      <c r="BU194">
        <f>IF(AND(CROQUIS!$C$88=1,CROQUIS!$C$91=1,CROQUIS!$C$130&gt;0),((CROQUIS!$C$157+(IF(CROQUIS!$C$92="X",((CROQUIS!$C$107/2+(((CROQUIS!$C$98)-CROQUIS!$C$107)-(MIN(80,MAX(1,INT(((CROQUIS!$C$98)-CROQUIS!$C$107)/MAX(CROQUIS!$C$130,1))+1))-1)*CROQUIS!$C$130)/2)+MIN(INT(($A194-1)/5),MAX((MIN(80,MAX(1,INT(((CROQUIS!$C$98)-CROQUIS!$C$107)/MAX(CROQUIS!$C$130,1))+1)))-1,0))*CROQUIS!$C$130),CHOOSE(IF(INT(($A194-1)/5)&gt;MAX((MIN(80,MAX(1,INT(((CROQUIS!$C$98)-CROQUIS!$C$107)/MAX(CROQUIS!$C$130,1))+1)))-1,0),0,MOD($A194-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95">
      <c r="A195" t="n">
        <v>188</v>
      </c>
      <c r="BH195">
        <f>IF(AND(CROQUIS!$C$88=1,CROQUIS!$C$126&gt;0),((CROQUIS!$C$156+(IF(CROQUIS!$C$92="X",CHOOSE(IF(INT(($A195-1)/5)&gt;MAX((MIN(80,MAX(1,INT(((CROQUIS!$C$98)-CROQUIS!$C$107)/MAX(CROQUIS!$C$126,1))+1)))-1,0),0,MOD($A195-1,5))+1,0,2,CROQUIS!$C$97-2,2,0),((CROQUIS!$C$107/2+(((CROQUIS!$C$98)-CROQUIS!$C$107)-(MIN(80,MAX(1,INT(((CROQUIS!$C$98)-CROQUIS!$C$107)/MAX(CROQUIS!$C$126,1))+1))-1)*CROQUIS!$C$126)/2)+MIN(INT(($A195-1)/5),MAX((MIN(80,MAX(1,INT(((CROQUIS!$C$98)-CROQUIS!$C$107)/MAX(CROQUIS!$C$126,1))+1)))-1,0))*CROQUIS!$C$126)))*CROQUIS!$C$155)+IF(CROQUIS!$C$92="X",0,0)),-1000)</f>
        <v>-1000</v>
      </c>
      <c r="BI195">
        <f>IF(AND(CROQUIS!$C$88=1,CROQUIS!$C$126&gt;0),((CROQUIS!$C$157+(IF(CROQUIS!$C$92="X",((CROQUIS!$C$107/2+(((CROQUIS!$C$98)-CROQUIS!$C$107)-(MIN(80,MAX(1,INT(((CROQUIS!$C$98)-CROQUIS!$C$107)/MAX(CROQUIS!$C$126,1))+1))-1)*CROQUIS!$C$126)/2)+MIN(INT(($A195-1)/5),MAX((MIN(80,MAX(1,INT(((CROQUIS!$C$98)-CROQUIS!$C$107)/MAX(CROQUIS!$C$126,1))+1)))-1,0))*CROQUIS!$C$126),CHOOSE(IF(INT(($A195-1)/5)&gt;MAX((MIN(80,MAX(1,INT(((CROQUIS!$C$98)-CROQUIS!$C$107)/MAX(CROQUIS!$C$126,1))+1)))-1,0),0,MOD($A195-1,5))+1,0,2,CROQUIS!$C$97-2,2,0)))*CROQUIS!$C$155)+IF(CROQUIS!$C$92="X",0,0)),-1000)</f>
        <v>-1000</v>
      </c>
      <c r="BJ195">
        <f>IF(AND(CROQUIS!$C$88=1,CROQUIS!$C$134&gt;0),((CROQUIS!$C$156+(IF(CROQUIS!$C$92="X",((CROQUIS!$C$107/2+(((CROQUIS!$C$97)-CROQUIS!$C$107)-(MIN(80,MAX(1,INT(((CROQUIS!$C$97)-CROQUIS!$C$107)/MAX(CROQUIS!$C$134,1))+1))-1)*CROQUIS!$C$134)/2)+MIN(INT(($A195-1)/5),MAX((MIN(80,MAX(1,INT(((CROQUIS!$C$97)-CROQUIS!$C$107)/MAX(CROQUIS!$C$134,1))+1)))-1,0))*CROQUIS!$C$134),CHOOSE(IF(INT(($A195-1)/5)&gt;MAX((MIN(80,MAX(1,INT(((CROQUIS!$C$97)-CROQUIS!$C$107)/MAX(CROQUIS!$C$134,1))+1)))-1,0),0,MOD($A195-1,5))+1,0,2,CROQUIS!$C$98-2,2,0)))*CROQUIS!$C$155)+IF(CROQUIS!$C$92="X",0,0)),-1000)</f>
        <v>-1000</v>
      </c>
      <c r="BK195">
        <f>IF(AND(CROQUIS!$C$88=1,CROQUIS!$C$134&gt;0),((CROQUIS!$C$157+(IF(CROQUIS!$C$92="X",CHOOSE(IF(INT(($A195-1)/5)&gt;MAX((MIN(80,MAX(1,INT(((CROQUIS!$C$97)-CROQUIS!$C$107)/MAX(CROQUIS!$C$134,1))+1)))-1,0),0,MOD($A195-1,5))+1,0,2,CROQUIS!$C$98-2,2,0),((CROQUIS!$C$107/2+(((CROQUIS!$C$97)-CROQUIS!$C$107)-(MIN(80,MAX(1,INT(((CROQUIS!$C$97)-CROQUIS!$C$107)/MAX(CROQUIS!$C$134,1))+1))-1)*CROQUIS!$C$134)/2)+MIN(INT(($A195-1)/5),MAX((MIN(80,MAX(1,INT(((CROQUIS!$C$97)-CROQUIS!$C$107)/MAX(CROQUIS!$C$134,1))+1)))-1,0))*CROQUIS!$C$134)))*CROQUIS!$C$155)+IF(CROQUIS!$C$92="X",0,0)),-1000)</f>
        <v>-1000</v>
      </c>
      <c r="BL195">
        <f>IF(AND(CROQUIS!$C$88=1,CROQUIS!$C$91=0,CROQUIS!$C$130&gt;0,OR(CROQUIS!$C$103=1,CROQUIS!$C$142=1)),((CROQUIS!$C$156+(IF(CROQUIS!$C$92="X",CHOOSE(IF(INT(($A195-1)/5)&gt;MAX((MIN(80,MAX(1,INT(((CROQUIS!$C$98)-CROQUIS!$C$107)/MAX(CROQUIS!$C$130,1))+1)))-1,0),0,MOD($A195-1,5))+1,0,IF(CROQUIS!$C$103=1,-12,2),CROQUIS!$C$107/2+CROQUIS!$C$140,IF(CROQUIS!$C$103=1,-12,2),0),((CROQUIS!$C$107/2+(((CROQUIS!$C$98)-CROQUIS!$C$107)-(MIN(80,MAX(1,INT(((CROQUIS!$C$98)-CROQUIS!$C$107)/MAX(CROQUIS!$C$130,1))+1))-1)*CROQUIS!$C$130)/2)+MIN(INT(($A195-1)/5),MAX((MIN(80,MAX(1,INT(((CROQUIS!$C$98)-CROQUIS!$C$107)/MAX(CROQUIS!$C$130,1))+1)))-1,0))*CROQUIS!$C$130)))*CROQUIS!$C$155)+IF(CROQUIS!$C$92="X",0,0)),-1000)</f>
        <v>-1000</v>
      </c>
      <c r="BM19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195-1)/5),MAX((MIN(80,MAX(1,INT(((CROQUIS!$C$98)-CROQUIS!$C$107)/MAX(CROQUIS!$C$130,1))+1)))-1,0))*CROQUIS!$C$130),CHOOSE(IF(INT(($A195-1)/5)&gt;MAX((MIN(80,MAX(1,INT(((CROQUIS!$C$98)-CROQUIS!$C$107)/MAX(CROQUIS!$C$130,1))+1)))-1,0),0,MOD($A195-1,5))+1,0,IF(CROQUIS!$C$103=1,-12,2),CROQUIS!$C$107/2+CROQUIS!$C$140,IF(CROQUIS!$C$103=1,-12,2),0)))*CROQUIS!$C$155)+IF(CROQUIS!$C$92="X",0,0)),-1000)</f>
        <v>-1000</v>
      </c>
      <c r="BN195">
        <f>IF(AND(CROQUIS!$C$88=1,CROQUIS!$C$91=0,CROQUIS!$C$130&gt;0,OR(CROQUIS!$C$104=1,CROQUIS!$C$142=1)),((CROQUIS!$C$156+(IF(CROQUIS!$C$92="X",CHOOSE(IF(INT(($A195-1)/5)&gt;MAX((MIN(80,MAX(1,INT(((CROQUIS!$C$98)-CROQUIS!$C$107)/MAX(CROQUIS!$C$130,1))+1)))-1,0),0,MOD($A195-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195-1)/5),MAX((MIN(80,MAX(1,INT(((CROQUIS!$C$98)-CROQUIS!$C$107)/MAX(CROQUIS!$C$130,1))+1)))-1,0))*CROQUIS!$C$130)))*CROQUIS!$C$155)+IF(CROQUIS!$C$92="X",0,0)),-1000)</f>
        <v>-1000</v>
      </c>
      <c r="BO19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195-1)/5),MAX((MIN(80,MAX(1,INT(((CROQUIS!$C$98)-CROQUIS!$C$107)/MAX(CROQUIS!$C$130,1))+1)))-1,0))*CROQUIS!$C$130),CHOOSE(IF(INT(($A195-1)/5)&gt;MAX((MIN(80,MAX(1,INT(((CROQUIS!$C$98)-CROQUIS!$C$107)/MAX(CROQUIS!$C$130,1))+1)))-1,0),0,MOD($A195-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9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195-1)/5),MAX((MIN(80,MAX(1,INT(((CROQUIS!$C$97)-CROQUIS!$C$107)/MAX(CROQUIS!$C$138,1))+1)))-1,0))*CROQUIS!$C$138),CHOOSE(IF(INT(($A195-1)/5)&gt;MAX((MIN(80,MAX(1,INT(((CROQUIS!$C$97)-CROQUIS!$C$107)/MAX(CROQUIS!$C$138,1))+1)))-1,0),0,MOD($A195-1,5))+1,0,IF(CROQUIS!$C$105=1,-12,2),CROQUIS!$C$107/2+CROQUIS!$C$141,IF(CROQUIS!$C$105=1,-12,2),0)))*CROQUIS!$C$155)+IF(CROQUIS!$C$92="X",0,0)),-1000)</f>
        <v>-1000</v>
      </c>
      <c r="BQ195">
        <f>IF(AND(CROQUIS!$C$88=1,CROQUIS!$C$91=0,CROQUIS!$C$138&gt;0,OR(CROQUIS!$C$105=1,CROQUIS!$C$143=1)),((CROQUIS!$C$157+(IF(CROQUIS!$C$92="X",CHOOSE(IF(INT(($A195-1)/5)&gt;MAX((MIN(80,MAX(1,INT(((CROQUIS!$C$97)-CROQUIS!$C$107)/MAX(CROQUIS!$C$138,1))+1)))-1,0),0,MOD($A195-1,5))+1,0,IF(CROQUIS!$C$105=1,-12,2),CROQUIS!$C$107/2+CROQUIS!$C$141,IF(CROQUIS!$C$105=1,-12,2),0),((CROQUIS!$C$107/2+(((CROQUIS!$C$97)-CROQUIS!$C$107)-(MIN(80,MAX(1,INT(((CROQUIS!$C$97)-CROQUIS!$C$107)/MAX(CROQUIS!$C$138,1))+1))-1)*CROQUIS!$C$138)/2)+MIN(INT(($A195-1)/5),MAX((MIN(80,MAX(1,INT(((CROQUIS!$C$97)-CROQUIS!$C$107)/MAX(CROQUIS!$C$138,1))+1)))-1,0))*CROQUIS!$C$138)))*CROQUIS!$C$155)+IF(CROQUIS!$C$92="X",0,0)),-1000)</f>
        <v>-1000</v>
      </c>
      <c r="BR19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195-1)/5),MAX((MIN(80,MAX(1,INT(((CROQUIS!$C$97)-CROQUIS!$C$107)/MAX(CROQUIS!$C$138,1))+1)))-1,0))*CROQUIS!$C$138),CHOOSE(IF(INT(($A195-1)/5)&gt;MAX((MIN(80,MAX(1,INT(((CROQUIS!$C$97)-CROQUIS!$C$107)/MAX(CROQUIS!$C$138,1))+1)))-1,0),0,MOD($A195-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95">
        <f>IF(AND(CROQUIS!$C$88=1,CROQUIS!$C$91=0,CROQUIS!$C$138&gt;0,OR(CROQUIS!$C$106=1,CROQUIS!$C$143=1)),((CROQUIS!$C$157+(IF(CROQUIS!$C$92="X",CHOOSE(IF(INT(($A195-1)/5)&gt;MAX((MIN(80,MAX(1,INT(((CROQUIS!$C$97)-CROQUIS!$C$107)/MAX(CROQUIS!$C$138,1))+1)))-1,0),0,MOD($A195-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195-1)/5),MAX((MIN(80,MAX(1,INT(((CROQUIS!$C$97)-CROQUIS!$C$107)/MAX(CROQUIS!$C$138,1))+1)))-1,0))*CROQUIS!$C$138)))*CROQUIS!$C$155)+IF(CROQUIS!$C$92="X",0,0)),-1000)</f>
        <v>-1000</v>
      </c>
      <c r="BT195">
        <f>IF(AND(CROQUIS!$C$88=1,CROQUIS!$C$91=1,CROQUIS!$C$130&gt;0),((CROQUIS!$C$156+(IF(CROQUIS!$C$92="X",CHOOSE(IF(INT(($A195-1)/5)&gt;MAX((MIN(80,MAX(1,INT(((CROQUIS!$C$98)-CROQUIS!$C$107)/MAX(CROQUIS!$C$130,1))+1)))-1,0),0,MOD($A195-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195-1)/5),MAX((MIN(80,MAX(1,INT(((CROQUIS!$C$98)-CROQUIS!$C$107)/MAX(CROQUIS!$C$130,1))+1)))-1,0))*CROQUIS!$C$130)))*CROQUIS!$C$155)+IF(CROQUIS!$C$92="X",0,0)),-1000)</f>
        <v>-1000</v>
      </c>
      <c r="BU195">
        <f>IF(AND(CROQUIS!$C$88=1,CROQUIS!$C$91=1,CROQUIS!$C$130&gt;0),((CROQUIS!$C$157+(IF(CROQUIS!$C$92="X",((CROQUIS!$C$107/2+(((CROQUIS!$C$98)-CROQUIS!$C$107)-(MIN(80,MAX(1,INT(((CROQUIS!$C$98)-CROQUIS!$C$107)/MAX(CROQUIS!$C$130,1))+1))-1)*CROQUIS!$C$130)/2)+MIN(INT(($A195-1)/5),MAX((MIN(80,MAX(1,INT(((CROQUIS!$C$98)-CROQUIS!$C$107)/MAX(CROQUIS!$C$130,1))+1)))-1,0))*CROQUIS!$C$130),CHOOSE(IF(INT(($A195-1)/5)&gt;MAX((MIN(80,MAX(1,INT(((CROQUIS!$C$98)-CROQUIS!$C$107)/MAX(CROQUIS!$C$130,1))+1)))-1,0),0,MOD($A195-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96">
      <c r="A196" t="n">
        <v>189</v>
      </c>
      <c r="BH196">
        <f>IF(AND(CROQUIS!$C$88=1,CROQUIS!$C$126&gt;0),((CROQUIS!$C$156+(IF(CROQUIS!$C$92="X",CHOOSE(IF(INT(($A196-1)/5)&gt;MAX((MIN(80,MAX(1,INT(((CROQUIS!$C$98)-CROQUIS!$C$107)/MAX(CROQUIS!$C$126,1))+1)))-1,0),0,MOD($A196-1,5))+1,0,2,CROQUIS!$C$97-2,2,0),((CROQUIS!$C$107/2+(((CROQUIS!$C$98)-CROQUIS!$C$107)-(MIN(80,MAX(1,INT(((CROQUIS!$C$98)-CROQUIS!$C$107)/MAX(CROQUIS!$C$126,1))+1))-1)*CROQUIS!$C$126)/2)+MIN(INT(($A196-1)/5),MAX((MIN(80,MAX(1,INT(((CROQUIS!$C$98)-CROQUIS!$C$107)/MAX(CROQUIS!$C$126,1))+1)))-1,0))*CROQUIS!$C$126)))*CROQUIS!$C$155)+IF(CROQUIS!$C$92="X",0,0)),-1000)</f>
        <v>-1000</v>
      </c>
      <c r="BI196">
        <f>IF(AND(CROQUIS!$C$88=1,CROQUIS!$C$126&gt;0),((CROQUIS!$C$157+(IF(CROQUIS!$C$92="X",((CROQUIS!$C$107/2+(((CROQUIS!$C$98)-CROQUIS!$C$107)-(MIN(80,MAX(1,INT(((CROQUIS!$C$98)-CROQUIS!$C$107)/MAX(CROQUIS!$C$126,1))+1))-1)*CROQUIS!$C$126)/2)+MIN(INT(($A196-1)/5),MAX((MIN(80,MAX(1,INT(((CROQUIS!$C$98)-CROQUIS!$C$107)/MAX(CROQUIS!$C$126,1))+1)))-1,0))*CROQUIS!$C$126),CHOOSE(IF(INT(($A196-1)/5)&gt;MAX((MIN(80,MAX(1,INT(((CROQUIS!$C$98)-CROQUIS!$C$107)/MAX(CROQUIS!$C$126,1))+1)))-1,0),0,MOD($A196-1,5))+1,0,2,CROQUIS!$C$97-2,2,0)))*CROQUIS!$C$155)+IF(CROQUIS!$C$92="X",0,0)),-1000)</f>
        <v>-1000</v>
      </c>
      <c r="BJ196">
        <f>IF(AND(CROQUIS!$C$88=1,CROQUIS!$C$134&gt;0),((CROQUIS!$C$156+(IF(CROQUIS!$C$92="X",((CROQUIS!$C$107/2+(((CROQUIS!$C$97)-CROQUIS!$C$107)-(MIN(80,MAX(1,INT(((CROQUIS!$C$97)-CROQUIS!$C$107)/MAX(CROQUIS!$C$134,1))+1))-1)*CROQUIS!$C$134)/2)+MIN(INT(($A196-1)/5),MAX((MIN(80,MAX(1,INT(((CROQUIS!$C$97)-CROQUIS!$C$107)/MAX(CROQUIS!$C$134,1))+1)))-1,0))*CROQUIS!$C$134),CHOOSE(IF(INT(($A196-1)/5)&gt;MAX((MIN(80,MAX(1,INT(((CROQUIS!$C$97)-CROQUIS!$C$107)/MAX(CROQUIS!$C$134,1))+1)))-1,0),0,MOD($A196-1,5))+1,0,2,CROQUIS!$C$98-2,2,0)))*CROQUIS!$C$155)+IF(CROQUIS!$C$92="X",0,0)),-1000)</f>
        <v>-1000</v>
      </c>
      <c r="BK196">
        <f>IF(AND(CROQUIS!$C$88=1,CROQUIS!$C$134&gt;0),((CROQUIS!$C$157+(IF(CROQUIS!$C$92="X",CHOOSE(IF(INT(($A196-1)/5)&gt;MAX((MIN(80,MAX(1,INT(((CROQUIS!$C$97)-CROQUIS!$C$107)/MAX(CROQUIS!$C$134,1))+1)))-1,0),0,MOD($A196-1,5))+1,0,2,CROQUIS!$C$98-2,2,0),((CROQUIS!$C$107/2+(((CROQUIS!$C$97)-CROQUIS!$C$107)-(MIN(80,MAX(1,INT(((CROQUIS!$C$97)-CROQUIS!$C$107)/MAX(CROQUIS!$C$134,1))+1))-1)*CROQUIS!$C$134)/2)+MIN(INT(($A196-1)/5),MAX((MIN(80,MAX(1,INT(((CROQUIS!$C$97)-CROQUIS!$C$107)/MAX(CROQUIS!$C$134,1))+1)))-1,0))*CROQUIS!$C$134)))*CROQUIS!$C$155)+IF(CROQUIS!$C$92="X",0,0)),-1000)</f>
        <v>-1000</v>
      </c>
      <c r="BL196">
        <f>IF(AND(CROQUIS!$C$88=1,CROQUIS!$C$91=0,CROQUIS!$C$130&gt;0,OR(CROQUIS!$C$103=1,CROQUIS!$C$142=1)),((CROQUIS!$C$156+(IF(CROQUIS!$C$92="X",CHOOSE(IF(INT(($A196-1)/5)&gt;MAX((MIN(80,MAX(1,INT(((CROQUIS!$C$98)-CROQUIS!$C$107)/MAX(CROQUIS!$C$130,1))+1)))-1,0),0,MOD($A196-1,5))+1,0,IF(CROQUIS!$C$103=1,-12,2),CROQUIS!$C$107/2+CROQUIS!$C$140,IF(CROQUIS!$C$103=1,-12,2),0),((CROQUIS!$C$107/2+(((CROQUIS!$C$98)-CROQUIS!$C$107)-(MIN(80,MAX(1,INT(((CROQUIS!$C$98)-CROQUIS!$C$107)/MAX(CROQUIS!$C$130,1))+1))-1)*CROQUIS!$C$130)/2)+MIN(INT(($A196-1)/5),MAX((MIN(80,MAX(1,INT(((CROQUIS!$C$98)-CROQUIS!$C$107)/MAX(CROQUIS!$C$130,1))+1)))-1,0))*CROQUIS!$C$130)))*CROQUIS!$C$155)+IF(CROQUIS!$C$92="X",0,0)),-1000)</f>
        <v>-1000</v>
      </c>
      <c r="BM19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196-1)/5),MAX((MIN(80,MAX(1,INT(((CROQUIS!$C$98)-CROQUIS!$C$107)/MAX(CROQUIS!$C$130,1))+1)))-1,0))*CROQUIS!$C$130),CHOOSE(IF(INT(($A196-1)/5)&gt;MAX((MIN(80,MAX(1,INT(((CROQUIS!$C$98)-CROQUIS!$C$107)/MAX(CROQUIS!$C$130,1))+1)))-1,0),0,MOD($A196-1,5))+1,0,IF(CROQUIS!$C$103=1,-12,2),CROQUIS!$C$107/2+CROQUIS!$C$140,IF(CROQUIS!$C$103=1,-12,2),0)))*CROQUIS!$C$155)+IF(CROQUIS!$C$92="X",0,0)),-1000)</f>
        <v>-1000</v>
      </c>
      <c r="BN196">
        <f>IF(AND(CROQUIS!$C$88=1,CROQUIS!$C$91=0,CROQUIS!$C$130&gt;0,OR(CROQUIS!$C$104=1,CROQUIS!$C$142=1)),((CROQUIS!$C$156+(IF(CROQUIS!$C$92="X",CHOOSE(IF(INT(($A196-1)/5)&gt;MAX((MIN(80,MAX(1,INT(((CROQUIS!$C$98)-CROQUIS!$C$107)/MAX(CROQUIS!$C$130,1))+1)))-1,0),0,MOD($A196-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196-1)/5),MAX((MIN(80,MAX(1,INT(((CROQUIS!$C$98)-CROQUIS!$C$107)/MAX(CROQUIS!$C$130,1))+1)))-1,0))*CROQUIS!$C$130)))*CROQUIS!$C$155)+IF(CROQUIS!$C$92="X",0,0)),-1000)</f>
        <v>-1000</v>
      </c>
      <c r="BO19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196-1)/5),MAX((MIN(80,MAX(1,INT(((CROQUIS!$C$98)-CROQUIS!$C$107)/MAX(CROQUIS!$C$130,1))+1)))-1,0))*CROQUIS!$C$130),CHOOSE(IF(INT(($A196-1)/5)&gt;MAX((MIN(80,MAX(1,INT(((CROQUIS!$C$98)-CROQUIS!$C$107)/MAX(CROQUIS!$C$130,1))+1)))-1,0),0,MOD($A196-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9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196-1)/5),MAX((MIN(80,MAX(1,INT(((CROQUIS!$C$97)-CROQUIS!$C$107)/MAX(CROQUIS!$C$138,1))+1)))-1,0))*CROQUIS!$C$138),CHOOSE(IF(INT(($A196-1)/5)&gt;MAX((MIN(80,MAX(1,INT(((CROQUIS!$C$97)-CROQUIS!$C$107)/MAX(CROQUIS!$C$138,1))+1)))-1,0),0,MOD($A196-1,5))+1,0,IF(CROQUIS!$C$105=1,-12,2),CROQUIS!$C$107/2+CROQUIS!$C$141,IF(CROQUIS!$C$105=1,-12,2),0)))*CROQUIS!$C$155)+IF(CROQUIS!$C$92="X",0,0)),-1000)</f>
        <v>-1000</v>
      </c>
      <c r="BQ196">
        <f>IF(AND(CROQUIS!$C$88=1,CROQUIS!$C$91=0,CROQUIS!$C$138&gt;0,OR(CROQUIS!$C$105=1,CROQUIS!$C$143=1)),((CROQUIS!$C$157+(IF(CROQUIS!$C$92="X",CHOOSE(IF(INT(($A196-1)/5)&gt;MAX((MIN(80,MAX(1,INT(((CROQUIS!$C$97)-CROQUIS!$C$107)/MAX(CROQUIS!$C$138,1))+1)))-1,0),0,MOD($A196-1,5))+1,0,IF(CROQUIS!$C$105=1,-12,2),CROQUIS!$C$107/2+CROQUIS!$C$141,IF(CROQUIS!$C$105=1,-12,2),0),((CROQUIS!$C$107/2+(((CROQUIS!$C$97)-CROQUIS!$C$107)-(MIN(80,MAX(1,INT(((CROQUIS!$C$97)-CROQUIS!$C$107)/MAX(CROQUIS!$C$138,1))+1))-1)*CROQUIS!$C$138)/2)+MIN(INT(($A196-1)/5),MAX((MIN(80,MAX(1,INT(((CROQUIS!$C$97)-CROQUIS!$C$107)/MAX(CROQUIS!$C$138,1))+1)))-1,0))*CROQUIS!$C$138)))*CROQUIS!$C$155)+IF(CROQUIS!$C$92="X",0,0)),-1000)</f>
        <v>-1000</v>
      </c>
      <c r="BR19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196-1)/5),MAX((MIN(80,MAX(1,INT(((CROQUIS!$C$97)-CROQUIS!$C$107)/MAX(CROQUIS!$C$138,1))+1)))-1,0))*CROQUIS!$C$138),CHOOSE(IF(INT(($A196-1)/5)&gt;MAX((MIN(80,MAX(1,INT(((CROQUIS!$C$97)-CROQUIS!$C$107)/MAX(CROQUIS!$C$138,1))+1)))-1,0),0,MOD($A196-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96">
        <f>IF(AND(CROQUIS!$C$88=1,CROQUIS!$C$91=0,CROQUIS!$C$138&gt;0,OR(CROQUIS!$C$106=1,CROQUIS!$C$143=1)),((CROQUIS!$C$157+(IF(CROQUIS!$C$92="X",CHOOSE(IF(INT(($A196-1)/5)&gt;MAX((MIN(80,MAX(1,INT(((CROQUIS!$C$97)-CROQUIS!$C$107)/MAX(CROQUIS!$C$138,1))+1)))-1,0),0,MOD($A196-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196-1)/5),MAX((MIN(80,MAX(1,INT(((CROQUIS!$C$97)-CROQUIS!$C$107)/MAX(CROQUIS!$C$138,1))+1)))-1,0))*CROQUIS!$C$138)))*CROQUIS!$C$155)+IF(CROQUIS!$C$92="X",0,0)),-1000)</f>
        <v>-1000</v>
      </c>
      <c r="BT196">
        <f>IF(AND(CROQUIS!$C$88=1,CROQUIS!$C$91=1,CROQUIS!$C$130&gt;0),((CROQUIS!$C$156+(IF(CROQUIS!$C$92="X",CHOOSE(IF(INT(($A196-1)/5)&gt;MAX((MIN(80,MAX(1,INT(((CROQUIS!$C$98)-CROQUIS!$C$107)/MAX(CROQUIS!$C$130,1))+1)))-1,0),0,MOD($A196-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196-1)/5),MAX((MIN(80,MAX(1,INT(((CROQUIS!$C$98)-CROQUIS!$C$107)/MAX(CROQUIS!$C$130,1))+1)))-1,0))*CROQUIS!$C$130)))*CROQUIS!$C$155)+IF(CROQUIS!$C$92="X",0,0)),-1000)</f>
        <v>-1000</v>
      </c>
      <c r="BU196">
        <f>IF(AND(CROQUIS!$C$88=1,CROQUIS!$C$91=1,CROQUIS!$C$130&gt;0),((CROQUIS!$C$157+(IF(CROQUIS!$C$92="X",((CROQUIS!$C$107/2+(((CROQUIS!$C$98)-CROQUIS!$C$107)-(MIN(80,MAX(1,INT(((CROQUIS!$C$98)-CROQUIS!$C$107)/MAX(CROQUIS!$C$130,1))+1))-1)*CROQUIS!$C$130)/2)+MIN(INT(($A196-1)/5),MAX((MIN(80,MAX(1,INT(((CROQUIS!$C$98)-CROQUIS!$C$107)/MAX(CROQUIS!$C$130,1))+1)))-1,0))*CROQUIS!$C$130),CHOOSE(IF(INT(($A196-1)/5)&gt;MAX((MIN(80,MAX(1,INT(((CROQUIS!$C$98)-CROQUIS!$C$107)/MAX(CROQUIS!$C$130,1))+1)))-1,0),0,MOD($A196-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97">
      <c r="A197" t="n">
        <v>190</v>
      </c>
      <c r="BH197">
        <f>IF(AND(CROQUIS!$C$88=1,CROQUIS!$C$126&gt;0),((CROQUIS!$C$156+(IF(CROQUIS!$C$92="X",CHOOSE(IF(INT(($A197-1)/5)&gt;MAX((MIN(80,MAX(1,INT(((CROQUIS!$C$98)-CROQUIS!$C$107)/MAX(CROQUIS!$C$126,1))+1)))-1,0),0,MOD($A197-1,5))+1,0,2,CROQUIS!$C$97-2,2,0),((CROQUIS!$C$107/2+(((CROQUIS!$C$98)-CROQUIS!$C$107)-(MIN(80,MAX(1,INT(((CROQUIS!$C$98)-CROQUIS!$C$107)/MAX(CROQUIS!$C$126,1))+1))-1)*CROQUIS!$C$126)/2)+MIN(INT(($A197-1)/5),MAX((MIN(80,MAX(1,INT(((CROQUIS!$C$98)-CROQUIS!$C$107)/MAX(CROQUIS!$C$126,1))+1)))-1,0))*CROQUIS!$C$126)))*CROQUIS!$C$155)+IF(CROQUIS!$C$92="X",0,0)),-1000)</f>
        <v>-1000</v>
      </c>
      <c r="BI197">
        <f>IF(AND(CROQUIS!$C$88=1,CROQUIS!$C$126&gt;0),((CROQUIS!$C$157+(IF(CROQUIS!$C$92="X",((CROQUIS!$C$107/2+(((CROQUIS!$C$98)-CROQUIS!$C$107)-(MIN(80,MAX(1,INT(((CROQUIS!$C$98)-CROQUIS!$C$107)/MAX(CROQUIS!$C$126,1))+1))-1)*CROQUIS!$C$126)/2)+MIN(INT(($A197-1)/5),MAX((MIN(80,MAX(1,INT(((CROQUIS!$C$98)-CROQUIS!$C$107)/MAX(CROQUIS!$C$126,1))+1)))-1,0))*CROQUIS!$C$126),CHOOSE(IF(INT(($A197-1)/5)&gt;MAX((MIN(80,MAX(1,INT(((CROQUIS!$C$98)-CROQUIS!$C$107)/MAX(CROQUIS!$C$126,1))+1)))-1,0),0,MOD($A197-1,5))+1,0,2,CROQUIS!$C$97-2,2,0)))*CROQUIS!$C$155)+IF(CROQUIS!$C$92="X",0,0)),-1000)</f>
        <v>-1000</v>
      </c>
      <c r="BJ197">
        <f>IF(AND(CROQUIS!$C$88=1,CROQUIS!$C$134&gt;0),((CROQUIS!$C$156+(IF(CROQUIS!$C$92="X",((CROQUIS!$C$107/2+(((CROQUIS!$C$97)-CROQUIS!$C$107)-(MIN(80,MAX(1,INT(((CROQUIS!$C$97)-CROQUIS!$C$107)/MAX(CROQUIS!$C$134,1))+1))-1)*CROQUIS!$C$134)/2)+MIN(INT(($A197-1)/5),MAX((MIN(80,MAX(1,INT(((CROQUIS!$C$97)-CROQUIS!$C$107)/MAX(CROQUIS!$C$134,1))+1)))-1,0))*CROQUIS!$C$134),CHOOSE(IF(INT(($A197-1)/5)&gt;MAX((MIN(80,MAX(1,INT(((CROQUIS!$C$97)-CROQUIS!$C$107)/MAX(CROQUIS!$C$134,1))+1)))-1,0),0,MOD($A197-1,5))+1,0,2,CROQUIS!$C$98-2,2,0)))*CROQUIS!$C$155)+IF(CROQUIS!$C$92="X",0,0)),-1000)</f>
        <v>-1000</v>
      </c>
      <c r="BK197">
        <f>IF(AND(CROQUIS!$C$88=1,CROQUIS!$C$134&gt;0),((CROQUIS!$C$157+(IF(CROQUIS!$C$92="X",CHOOSE(IF(INT(($A197-1)/5)&gt;MAX((MIN(80,MAX(1,INT(((CROQUIS!$C$97)-CROQUIS!$C$107)/MAX(CROQUIS!$C$134,1))+1)))-1,0),0,MOD($A197-1,5))+1,0,2,CROQUIS!$C$98-2,2,0),((CROQUIS!$C$107/2+(((CROQUIS!$C$97)-CROQUIS!$C$107)-(MIN(80,MAX(1,INT(((CROQUIS!$C$97)-CROQUIS!$C$107)/MAX(CROQUIS!$C$134,1))+1))-1)*CROQUIS!$C$134)/2)+MIN(INT(($A197-1)/5),MAX((MIN(80,MAX(1,INT(((CROQUIS!$C$97)-CROQUIS!$C$107)/MAX(CROQUIS!$C$134,1))+1)))-1,0))*CROQUIS!$C$134)))*CROQUIS!$C$155)+IF(CROQUIS!$C$92="X",0,0)),-1000)</f>
        <v>-1000</v>
      </c>
      <c r="BL197">
        <f>IF(AND(CROQUIS!$C$88=1,CROQUIS!$C$91=0,CROQUIS!$C$130&gt;0,OR(CROQUIS!$C$103=1,CROQUIS!$C$142=1)),((CROQUIS!$C$156+(IF(CROQUIS!$C$92="X",CHOOSE(IF(INT(($A197-1)/5)&gt;MAX((MIN(80,MAX(1,INT(((CROQUIS!$C$98)-CROQUIS!$C$107)/MAX(CROQUIS!$C$130,1))+1)))-1,0),0,MOD($A197-1,5))+1,0,IF(CROQUIS!$C$103=1,-12,2),CROQUIS!$C$107/2+CROQUIS!$C$140,IF(CROQUIS!$C$103=1,-12,2),0),((CROQUIS!$C$107/2+(((CROQUIS!$C$98)-CROQUIS!$C$107)-(MIN(80,MAX(1,INT(((CROQUIS!$C$98)-CROQUIS!$C$107)/MAX(CROQUIS!$C$130,1))+1))-1)*CROQUIS!$C$130)/2)+MIN(INT(($A197-1)/5),MAX((MIN(80,MAX(1,INT(((CROQUIS!$C$98)-CROQUIS!$C$107)/MAX(CROQUIS!$C$130,1))+1)))-1,0))*CROQUIS!$C$130)))*CROQUIS!$C$155)+IF(CROQUIS!$C$92="X",0,0)),-1000)</f>
        <v>-1000</v>
      </c>
      <c r="BM19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197-1)/5),MAX((MIN(80,MAX(1,INT(((CROQUIS!$C$98)-CROQUIS!$C$107)/MAX(CROQUIS!$C$130,1))+1)))-1,0))*CROQUIS!$C$130),CHOOSE(IF(INT(($A197-1)/5)&gt;MAX((MIN(80,MAX(1,INT(((CROQUIS!$C$98)-CROQUIS!$C$107)/MAX(CROQUIS!$C$130,1))+1)))-1,0),0,MOD($A197-1,5))+1,0,IF(CROQUIS!$C$103=1,-12,2),CROQUIS!$C$107/2+CROQUIS!$C$140,IF(CROQUIS!$C$103=1,-12,2),0)))*CROQUIS!$C$155)+IF(CROQUIS!$C$92="X",0,0)),-1000)</f>
        <v>-1000</v>
      </c>
      <c r="BN197">
        <f>IF(AND(CROQUIS!$C$88=1,CROQUIS!$C$91=0,CROQUIS!$C$130&gt;0,OR(CROQUIS!$C$104=1,CROQUIS!$C$142=1)),((CROQUIS!$C$156+(IF(CROQUIS!$C$92="X",CHOOSE(IF(INT(($A197-1)/5)&gt;MAX((MIN(80,MAX(1,INT(((CROQUIS!$C$98)-CROQUIS!$C$107)/MAX(CROQUIS!$C$130,1))+1)))-1,0),0,MOD($A197-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197-1)/5),MAX((MIN(80,MAX(1,INT(((CROQUIS!$C$98)-CROQUIS!$C$107)/MAX(CROQUIS!$C$130,1))+1)))-1,0))*CROQUIS!$C$130)))*CROQUIS!$C$155)+IF(CROQUIS!$C$92="X",0,0)),-1000)</f>
        <v>-1000</v>
      </c>
      <c r="BO19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197-1)/5),MAX((MIN(80,MAX(1,INT(((CROQUIS!$C$98)-CROQUIS!$C$107)/MAX(CROQUIS!$C$130,1))+1)))-1,0))*CROQUIS!$C$130),CHOOSE(IF(INT(($A197-1)/5)&gt;MAX((MIN(80,MAX(1,INT(((CROQUIS!$C$98)-CROQUIS!$C$107)/MAX(CROQUIS!$C$130,1))+1)))-1,0),0,MOD($A197-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9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197-1)/5),MAX((MIN(80,MAX(1,INT(((CROQUIS!$C$97)-CROQUIS!$C$107)/MAX(CROQUIS!$C$138,1))+1)))-1,0))*CROQUIS!$C$138),CHOOSE(IF(INT(($A197-1)/5)&gt;MAX((MIN(80,MAX(1,INT(((CROQUIS!$C$97)-CROQUIS!$C$107)/MAX(CROQUIS!$C$138,1))+1)))-1,0),0,MOD($A197-1,5))+1,0,IF(CROQUIS!$C$105=1,-12,2),CROQUIS!$C$107/2+CROQUIS!$C$141,IF(CROQUIS!$C$105=1,-12,2),0)))*CROQUIS!$C$155)+IF(CROQUIS!$C$92="X",0,0)),-1000)</f>
        <v>-1000</v>
      </c>
      <c r="BQ197">
        <f>IF(AND(CROQUIS!$C$88=1,CROQUIS!$C$91=0,CROQUIS!$C$138&gt;0,OR(CROQUIS!$C$105=1,CROQUIS!$C$143=1)),((CROQUIS!$C$157+(IF(CROQUIS!$C$92="X",CHOOSE(IF(INT(($A197-1)/5)&gt;MAX((MIN(80,MAX(1,INT(((CROQUIS!$C$97)-CROQUIS!$C$107)/MAX(CROQUIS!$C$138,1))+1)))-1,0),0,MOD($A197-1,5))+1,0,IF(CROQUIS!$C$105=1,-12,2),CROQUIS!$C$107/2+CROQUIS!$C$141,IF(CROQUIS!$C$105=1,-12,2),0),((CROQUIS!$C$107/2+(((CROQUIS!$C$97)-CROQUIS!$C$107)-(MIN(80,MAX(1,INT(((CROQUIS!$C$97)-CROQUIS!$C$107)/MAX(CROQUIS!$C$138,1))+1))-1)*CROQUIS!$C$138)/2)+MIN(INT(($A197-1)/5),MAX((MIN(80,MAX(1,INT(((CROQUIS!$C$97)-CROQUIS!$C$107)/MAX(CROQUIS!$C$138,1))+1)))-1,0))*CROQUIS!$C$138)))*CROQUIS!$C$155)+IF(CROQUIS!$C$92="X",0,0)),-1000)</f>
        <v>-1000</v>
      </c>
      <c r="BR19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197-1)/5),MAX((MIN(80,MAX(1,INT(((CROQUIS!$C$97)-CROQUIS!$C$107)/MAX(CROQUIS!$C$138,1))+1)))-1,0))*CROQUIS!$C$138),CHOOSE(IF(INT(($A197-1)/5)&gt;MAX((MIN(80,MAX(1,INT(((CROQUIS!$C$97)-CROQUIS!$C$107)/MAX(CROQUIS!$C$138,1))+1)))-1,0),0,MOD($A197-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97">
        <f>IF(AND(CROQUIS!$C$88=1,CROQUIS!$C$91=0,CROQUIS!$C$138&gt;0,OR(CROQUIS!$C$106=1,CROQUIS!$C$143=1)),((CROQUIS!$C$157+(IF(CROQUIS!$C$92="X",CHOOSE(IF(INT(($A197-1)/5)&gt;MAX((MIN(80,MAX(1,INT(((CROQUIS!$C$97)-CROQUIS!$C$107)/MAX(CROQUIS!$C$138,1))+1)))-1,0),0,MOD($A197-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197-1)/5),MAX((MIN(80,MAX(1,INT(((CROQUIS!$C$97)-CROQUIS!$C$107)/MAX(CROQUIS!$C$138,1))+1)))-1,0))*CROQUIS!$C$138)))*CROQUIS!$C$155)+IF(CROQUIS!$C$92="X",0,0)),-1000)</f>
        <v>-1000</v>
      </c>
      <c r="BT197">
        <f>IF(AND(CROQUIS!$C$88=1,CROQUIS!$C$91=1,CROQUIS!$C$130&gt;0),((CROQUIS!$C$156+(IF(CROQUIS!$C$92="X",CHOOSE(IF(INT(($A197-1)/5)&gt;MAX((MIN(80,MAX(1,INT(((CROQUIS!$C$98)-CROQUIS!$C$107)/MAX(CROQUIS!$C$130,1))+1)))-1,0),0,MOD($A197-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197-1)/5),MAX((MIN(80,MAX(1,INT(((CROQUIS!$C$98)-CROQUIS!$C$107)/MAX(CROQUIS!$C$130,1))+1)))-1,0))*CROQUIS!$C$130)))*CROQUIS!$C$155)+IF(CROQUIS!$C$92="X",0,0)),-1000)</f>
        <v>-1000</v>
      </c>
      <c r="BU197">
        <f>IF(AND(CROQUIS!$C$88=1,CROQUIS!$C$91=1,CROQUIS!$C$130&gt;0),((CROQUIS!$C$157+(IF(CROQUIS!$C$92="X",((CROQUIS!$C$107/2+(((CROQUIS!$C$98)-CROQUIS!$C$107)-(MIN(80,MAX(1,INT(((CROQUIS!$C$98)-CROQUIS!$C$107)/MAX(CROQUIS!$C$130,1))+1))-1)*CROQUIS!$C$130)/2)+MIN(INT(($A197-1)/5),MAX((MIN(80,MAX(1,INT(((CROQUIS!$C$98)-CROQUIS!$C$107)/MAX(CROQUIS!$C$130,1))+1)))-1,0))*CROQUIS!$C$130),CHOOSE(IF(INT(($A197-1)/5)&gt;MAX((MIN(80,MAX(1,INT(((CROQUIS!$C$98)-CROQUIS!$C$107)/MAX(CROQUIS!$C$130,1))+1)))-1,0),0,MOD($A197-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98">
      <c r="A198" t="n">
        <v>191</v>
      </c>
      <c r="BH198">
        <f>IF(AND(CROQUIS!$C$88=1,CROQUIS!$C$126&gt;0),((CROQUIS!$C$156+(IF(CROQUIS!$C$92="X",CHOOSE(IF(INT(($A198-1)/5)&gt;MAX((MIN(80,MAX(1,INT(((CROQUIS!$C$98)-CROQUIS!$C$107)/MAX(CROQUIS!$C$126,1))+1)))-1,0),0,MOD($A198-1,5))+1,0,2,CROQUIS!$C$97-2,2,0),((CROQUIS!$C$107/2+(((CROQUIS!$C$98)-CROQUIS!$C$107)-(MIN(80,MAX(1,INT(((CROQUIS!$C$98)-CROQUIS!$C$107)/MAX(CROQUIS!$C$126,1))+1))-1)*CROQUIS!$C$126)/2)+MIN(INT(($A198-1)/5),MAX((MIN(80,MAX(1,INT(((CROQUIS!$C$98)-CROQUIS!$C$107)/MAX(CROQUIS!$C$126,1))+1)))-1,0))*CROQUIS!$C$126)))*CROQUIS!$C$155)+IF(CROQUIS!$C$92="X",0,0)),-1000)</f>
        <v>-1000</v>
      </c>
      <c r="BI198">
        <f>IF(AND(CROQUIS!$C$88=1,CROQUIS!$C$126&gt;0),((CROQUIS!$C$157+(IF(CROQUIS!$C$92="X",((CROQUIS!$C$107/2+(((CROQUIS!$C$98)-CROQUIS!$C$107)-(MIN(80,MAX(1,INT(((CROQUIS!$C$98)-CROQUIS!$C$107)/MAX(CROQUIS!$C$126,1))+1))-1)*CROQUIS!$C$126)/2)+MIN(INT(($A198-1)/5),MAX((MIN(80,MAX(1,INT(((CROQUIS!$C$98)-CROQUIS!$C$107)/MAX(CROQUIS!$C$126,1))+1)))-1,0))*CROQUIS!$C$126),CHOOSE(IF(INT(($A198-1)/5)&gt;MAX((MIN(80,MAX(1,INT(((CROQUIS!$C$98)-CROQUIS!$C$107)/MAX(CROQUIS!$C$126,1))+1)))-1,0),0,MOD($A198-1,5))+1,0,2,CROQUIS!$C$97-2,2,0)))*CROQUIS!$C$155)+IF(CROQUIS!$C$92="X",0,0)),-1000)</f>
        <v>-1000</v>
      </c>
      <c r="BJ198">
        <f>IF(AND(CROQUIS!$C$88=1,CROQUIS!$C$134&gt;0),((CROQUIS!$C$156+(IF(CROQUIS!$C$92="X",((CROQUIS!$C$107/2+(((CROQUIS!$C$97)-CROQUIS!$C$107)-(MIN(80,MAX(1,INT(((CROQUIS!$C$97)-CROQUIS!$C$107)/MAX(CROQUIS!$C$134,1))+1))-1)*CROQUIS!$C$134)/2)+MIN(INT(($A198-1)/5),MAX((MIN(80,MAX(1,INT(((CROQUIS!$C$97)-CROQUIS!$C$107)/MAX(CROQUIS!$C$134,1))+1)))-1,0))*CROQUIS!$C$134),CHOOSE(IF(INT(($A198-1)/5)&gt;MAX((MIN(80,MAX(1,INT(((CROQUIS!$C$97)-CROQUIS!$C$107)/MAX(CROQUIS!$C$134,1))+1)))-1,0),0,MOD($A198-1,5))+1,0,2,CROQUIS!$C$98-2,2,0)))*CROQUIS!$C$155)+IF(CROQUIS!$C$92="X",0,0)),-1000)</f>
        <v>-1000</v>
      </c>
      <c r="BK198">
        <f>IF(AND(CROQUIS!$C$88=1,CROQUIS!$C$134&gt;0),((CROQUIS!$C$157+(IF(CROQUIS!$C$92="X",CHOOSE(IF(INT(($A198-1)/5)&gt;MAX((MIN(80,MAX(1,INT(((CROQUIS!$C$97)-CROQUIS!$C$107)/MAX(CROQUIS!$C$134,1))+1)))-1,0),0,MOD($A198-1,5))+1,0,2,CROQUIS!$C$98-2,2,0),((CROQUIS!$C$107/2+(((CROQUIS!$C$97)-CROQUIS!$C$107)-(MIN(80,MAX(1,INT(((CROQUIS!$C$97)-CROQUIS!$C$107)/MAX(CROQUIS!$C$134,1))+1))-1)*CROQUIS!$C$134)/2)+MIN(INT(($A198-1)/5),MAX((MIN(80,MAX(1,INT(((CROQUIS!$C$97)-CROQUIS!$C$107)/MAX(CROQUIS!$C$134,1))+1)))-1,0))*CROQUIS!$C$134)))*CROQUIS!$C$155)+IF(CROQUIS!$C$92="X",0,0)),-1000)</f>
        <v>-1000</v>
      </c>
      <c r="BL198">
        <f>IF(AND(CROQUIS!$C$88=1,CROQUIS!$C$91=0,CROQUIS!$C$130&gt;0,OR(CROQUIS!$C$103=1,CROQUIS!$C$142=1)),((CROQUIS!$C$156+(IF(CROQUIS!$C$92="X",CHOOSE(IF(INT(($A198-1)/5)&gt;MAX((MIN(80,MAX(1,INT(((CROQUIS!$C$98)-CROQUIS!$C$107)/MAX(CROQUIS!$C$130,1))+1)))-1,0),0,MOD($A198-1,5))+1,0,IF(CROQUIS!$C$103=1,-12,2),CROQUIS!$C$107/2+CROQUIS!$C$140,IF(CROQUIS!$C$103=1,-12,2),0),((CROQUIS!$C$107/2+(((CROQUIS!$C$98)-CROQUIS!$C$107)-(MIN(80,MAX(1,INT(((CROQUIS!$C$98)-CROQUIS!$C$107)/MAX(CROQUIS!$C$130,1))+1))-1)*CROQUIS!$C$130)/2)+MIN(INT(($A198-1)/5),MAX((MIN(80,MAX(1,INT(((CROQUIS!$C$98)-CROQUIS!$C$107)/MAX(CROQUIS!$C$130,1))+1)))-1,0))*CROQUIS!$C$130)))*CROQUIS!$C$155)+IF(CROQUIS!$C$92="X",0,0)),-1000)</f>
        <v>-1000</v>
      </c>
      <c r="BM19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198-1)/5),MAX((MIN(80,MAX(1,INT(((CROQUIS!$C$98)-CROQUIS!$C$107)/MAX(CROQUIS!$C$130,1))+1)))-1,0))*CROQUIS!$C$130),CHOOSE(IF(INT(($A198-1)/5)&gt;MAX((MIN(80,MAX(1,INT(((CROQUIS!$C$98)-CROQUIS!$C$107)/MAX(CROQUIS!$C$130,1))+1)))-1,0),0,MOD($A198-1,5))+1,0,IF(CROQUIS!$C$103=1,-12,2),CROQUIS!$C$107/2+CROQUIS!$C$140,IF(CROQUIS!$C$103=1,-12,2),0)))*CROQUIS!$C$155)+IF(CROQUIS!$C$92="X",0,0)),-1000)</f>
        <v>-1000</v>
      </c>
      <c r="BN198">
        <f>IF(AND(CROQUIS!$C$88=1,CROQUIS!$C$91=0,CROQUIS!$C$130&gt;0,OR(CROQUIS!$C$104=1,CROQUIS!$C$142=1)),((CROQUIS!$C$156+(IF(CROQUIS!$C$92="X",CHOOSE(IF(INT(($A198-1)/5)&gt;MAX((MIN(80,MAX(1,INT(((CROQUIS!$C$98)-CROQUIS!$C$107)/MAX(CROQUIS!$C$130,1))+1)))-1,0),0,MOD($A198-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198-1)/5),MAX((MIN(80,MAX(1,INT(((CROQUIS!$C$98)-CROQUIS!$C$107)/MAX(CROQUIS!$C$130,1))+1)))-1,0))*CROQUIS!$C$130)))*CROQUIS!$C$155)+IF(CROQUIS!$C$92="X",0,0)),-1000)</f>
        <v>-1000</v>
      </c>
      <c r="BO19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198-1)/5),MAX((MIN(80,MAX(1,INT(((CROQUIS!$C$98)-CROQUIS!$C$107)/MAX(CROQUIS!$C$130,1))+1)))-1,0))*CROQUIS!$C$130),CHOOSE(IF(INT(($A198-1)/5)&gt;MAX((MIN(80,MAX(1,INT(((CROQUIS!$C$98)-CROQUIS!$C$107)/MAX(CROQUIS!$C$130,1))+1)))-1,0),0,MOD($A198-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9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198-1)/5),MAX((MIN(80,MAX(1,INT(((CROQUIS!$C$97)-CROQUIS!$C$107)/MAX(CROQUIS!$C$138,1))+1)))-1,0))*CROQUIS!$C$138),CHOOSE(IF(INT(($A198-1)/5)&gt;MAX((MIN(80,MAX(1,INT(((CROQUIS!$C$97)-CROQUIS!$C$107)/MAX(CROQUIS!$C$138,1))+1)))-1,0),0,MOD($A198-1,5))+1,0,IF(CROQUIS!$C$105=1,-12,2),CROQUIS!$C$107/2+CROQUIS!$C$141,IF(CROQUIS!$C$105=1,-12,2),0)))*CROQUIS!$C$155)+IF(CROQUIS!$C$92="X",0,0)),-1000)</f>
        <v>-1000</v>
      </c>
      <c r="BQ198">
        <f>IF(AND(CROQUIS!$C$88=1,CROQUIS!$C$91=0,CROQUIS!$C$138&gt;0,OR(CROQUIS!$C$105=1,CROQUIS!$C$143=1)),((CROQUIS!$C$157+(IF(CROQUIS!$C$92="X",CHOOSE(IF(INT(($A198-1)/5)&gt;MAX((MIN(80,MAX(1,INT(((CROQUIS!$C$97)-CROQUIS!$C$107)/MAX(CROQUIS!$C$138,1))+1)))-1,0),0,MOD($A198-1,5))+1,0,IF(CROQUIS!$C$105=1,-12,2),CROQUIS!$C$107/2+CROQUIS!$C$141,IF(CROQUIS!$C$105=1,-12,2),0),((CROQUIS!$C$107/2+(((CROQUIS!$C$97)-CROQUIS!$C$107)-(MIN(80,MAX(1,INT(((CROQUIS!$C$97)-CROQUIS!$C$107)/MAX(CROQUIS!$C$138,1))+1))-1)*CROQUIS!$C$138)/2)+MIN(INT(($A198-1)/5),MAX((MIN(80,MAX(1,INT(((CROQUIS!$C$97)-CROQUIS!$C$107)/MAX(CROQUIS!$C$138,1))+1)))-1,0))*CROQUIS!$C$138)))*CROQUIS!$C$155)+IF(CROQUIS!$C$92="X",0,0)),-1000)</f>
        <v>-1000</v>
      </c>
      <c r="BR19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198-1)/5),MAX((MIN(80,MAX(1,INT(((CROQUIS!$C$97)-CROQUIS!$C$107)/MAX(CROQUIS!$C$138,1))+1)))-1,0))*CROQUIS!$C$138),CHOOSE(IF(INT(($A198-1)/5)&gt;MAX((MIN(80,MAX(1,INT(((CROQUIS!$C$97)-CROQUIS!$C$107)/MAX(CROQUIS!$C$138,1))+1)))-1,0),0,MOD($A198-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98">
        <f>IF(AND(CROQUIS!$C$88=1,CROQUIS!$C$91=0,CROQUIS!$C$138&gt;0,OR(CROQUIS!$C$106=1,CROQUIS!$C$143=1)),((CROQUIS!$C$157+(IF(CROQUIS!$C$92="X",CHOOSE(IF(INT(($A198-1)/5)&gt;MAX((MIN(80,MAX(1,INT(((CROQUIS!$C$97)-CROQUIS!$C$107)/MAX(CROQUIS!$C$138,1))+1)))-1,0),0,MOD($A198-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198-1)/5),MAX((MIN(80,MAX(1,INT(((CROQUIS!$C$97)-CROQUIS!$C$107)/MAX(CROQUIS!$C$138,1))+1)))-1,0))*CROQUIS!$C$138)))*CROQUIS!$C$155)+IF(CROQUIS!$C$92="X",0,0)),-1000)</f>
        <v>-1000</v>
      </c>
      <c r="BT198">
        <f>IF(AND(CROQUIS!$C$88=1,CROQUIS!$C$91=1,CROQUIS!$C$130&gt;0),((CROQUIS!$C$156+(IF(CROQUIS!$C$92="X",CHOOSE(IF(INT(($A198-1)/5)&gt;MAX((MIN(80,MAX(1,INT(((CROQUIS!$C$98)-CROQUIS!$C$107)/MAX(CROQUIS!$C$130,1))+1)))-1,0),0,MOD($A198-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198-1)/5),MAX((MIN(80,MAX(1,INT(((CROQUIS!$C$98)-CROQUIS!$C$107)/MAX(CROQUIS!$C$130,1))+1)))-1,0))*CROQUIS!$C$130)))*CROQUIS!$C$155)+IF(CROQUIS!$C$92="X",0,0)),-1000)</f>
        <v>-1000</v>
      </c>
      <c r="BU198">
        <f>IF(AND(CROQUIS!$C$88=1,CROQUIS!$C$91=1,CROQUIS!$C$130&gt;0),((CROQUIS!$C$157+(IF(CROQUIS!$C$92="X",((CROQUIS!$C$107/2+(((CROQUIS!$C$98)-CROQUIS!$C$107)-(MIN(80,MAX(1,INT(((CROQUIS!$C$98)-CROQUIS!$C$107)/MAX(CROQUIS!$C$130,1))+1))-1)*CROQUIS!$C$130)/2)+MIN(INT(($A198-1)/5),MAX((MIN(80,MAX(1,INT(((CROQUIS!$C$98)-CROQUIS!$C$107)/MAX(CROQUIS!$C$130,1))+1)))-1,0))*CROQUIS!$C$130),CHOOSE(IF(INT(($A198-1)/5)&gt;MAX((MIN(80,MAX(1,INT(((CROQUIS!$C$98)-CROQUIS!$C$107)/MAX(CROQUIS!$C$130,1))+1)))-1,0),0,MOD($A198-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199">
      <c r="A199" t="n">
        <v>192</v>
      </c>
      <c r="BH199">
        <f>IF(AND(CROQUIS!$C$88=1,CROQUIS!$C$126&gt;0),((CROQUIS!$C$156+(IF(CROQUIS!$C$92="X",CHOOSE(IF(INT(($A199-1)/5)&gt;MAX((MIN(80,MAX(1,INT(((CROQUIS!$C$98)-CROQUIS!$C$107)/MAX(CROQUIS!$C$126,1))+1)))-1,0),0,MOD($A199-1,5))+1,0,2,CROQUIS!$C$97-2,2,0),((CROQUIS!$C$107/2+(((CROQUIS!$C$98)-CROQUIS!$C$107)-(MIN(80,MAX(1,INT(((CROQUIS!$C$98)-CROQUIS!$C$107)/MAX(CROQUIS!$C$126,1))+1))-1)*CROQUIS!$C$126)/2)+MIN(INT(($A199-1)/5),MAX((MIN(80,MAX(1,INT(((CROQUIS!$C$98)-CROQUIS!$C$107)/MAX(CROQUIS!$C$126,1))+1)))-1,0))*CROQUIS!$C$126)))*CROQUIS!$C$155)+IF(CROQUIS!$C$92="X",0,0)),-1000)</f>
        <v>-1000</v>
      </c>
      <c r="BI199">
        <f>IF(AND(CROQUIS!$C$88=1,CROQUIS!$C$126&gt;0),((CROQUIS!$C$157+(IF(CROQUIS!$C$92="X",((CROQUIS!$C$107/2+(((CROQUIS!$C$98)-CROQUIS!$C$107)-(MIN(80,MAX(1,INT(((CROQUIS!$C$98)-CROQUIS!$C$107)/MAX(CROQUIS!$C$126,1))+1))-1)*CROQUIS!$C$126)/2)+MIN(INT(($A199-1)/5),MAX((MIN(80,MAX(1,INT(((CROQUIS!$C$98)-CROQUIS!$C$107)/MAX(CROQUIS!$C$126,1))+1)))-1,0))*CROQUIS!$C$126),CHOOSE(IF(INT(($A199-1)/5)&gt;MAX((MIN(80,MAX(1,INT(((CROQUIS!$C$98)-CROQUIS!$C$107)/MAX(CROQUIS!$C$126,1))+1)))-1,0),0,MOD($A199-1,5))+1,0,2,CROQUIS!$C$97-2,2,0)))*CROQUIS!$C$155)+IF(CROQUIS!$C$92="X",0,0)),-1000)</f>
        <v>-1000</v>
      </c>
      <c r="BJ199">
        <f>IF(AND(CROQUIS!$C$88=1,CROQUIS!$C$134&gt;0),((CROQUIS!$C$156+(IF(CROQUIS!$C$92="X",((CROQUIS!$C$107/2+(((CROQUIS!$C$97)-CROQUIS!$C$107)-(MIN(80,MAX(1,INT(((CROQUIS!$C$97)-CROQUIS!$C$107)/MAX(CROQUIS!$C$134,1))+1))-1)*CROQUIS!$C$134)/2)+MIN(INT(($A199-1)/5),MAX((MIN(80,MAX(1,INT(((CROQUIS!$C$97)-CROQUIS!$C$107)/MAX(CROQUIS!$C$134,1))+1)))-1,0))*CROQUIS!$C$134),CHOOSE(IF(INT(($A199-1)/5)&gt;MAX((MIN(80,MAX(1,INT(((CROQUIS!$C$97)-CROQUIS!$C$107)/MAX(CROQUIS!$C$134,1))+1)))-1,0),0,MOD($A199-1,5))+1,0,2,CROQUIS!$C$98-2,2,0)))*CROQUIS!$C$155)+IF(CROQUIS!$C$92="X",0,0)),-1000)</f>
        <v>-1000</v>
      </c>
      <c r="BK199">
        <f>IF(AND(CROQUIS!$C$88=1,CROQUIS!$C$134&gt;0),((CROQUIS!$C$157+(IF(CROQUIS!$C$92="X",CHOOSE(IF(INT(($A199-1)/5)&gt;MAX((MIN(80,MAX(1,INT(((CROQUIS!$C$97)-CROQUIS!$C$107)/MAX(CROQUIS!$C$134,1))+1)))-1,0),0,MOD($A199-1,5))+1,0,2,CROQUIS!$C$98-2,2,0),((CROQUIS!$C$107/2+(((CROQUIS!$C$97)-CROQUIS!$C$107)-(MIN(80,MAX(1,INT(((CROQUIS!$C$97)-CROQUIS!$C$107)/MAX(CROQUIS!$C$134,1))+1))-1)*CROQUIS!$C$134)/2)+MIN(INT(($A199-1)/5),MAX((MIN(80,MAX(1,INT(((CROQUIS!$C$97)-CROQUIS!$C$107)/MAX(CROQUIS!$C$134,1))+1)))-1,0))*CROQUIS!$C$134)))*CROQUIS!$C$155)+IF(CROQUIS!$C$92="X",0,0)),-1000)</f>
        <v>-1000</v>
      </c>
      <c r="BL199">
        <f>IF(AND(CROQUIS!$C$88=1,CROQUIS!$C$91=0,CROQUIS!$C$130&gt;0,OR(CROQUIS!$C$103=1,CROQUIS!$C$142=1)),((CROQUIS!$C$156+(IF(CROQUIS!$C$92="X",CHOOSE(IF(INT(($A199-1)/5)&gt;MAX((MIN(80,MAX(1,INT(((CROQUIS!$C$98)-CROQUIS!$C$107)/MAX(CROQUIS!$C$130,1))+1)))-1,0),0,MOD($A199-1,5))+1,0,IF(CROQUIS!$C$103=1,-12,2),CROQUIS!$C$107/2+CROQUIS!$C$140,IF(CROQUIS!$C$103=1,-12,2),0),((CROQUIS!$C$107/2+(((CROQUIS!$C$98)-CROQUIS!$C$107)-(MIN(80,MAX(1,INT(((CROQUIS!$C$98)-CROQUIS!$C$107)/MAX(CROQUIS!$C$130,1))+1))-1)*CROQUIS!$C$130)/2)+MIN(INT(($A199-1)/5),MAX((MIN(80,MAX(1,INT(((CROQUIS!$C$98)-CROQUIS!$C$107)/MAX(CROQUIS!$C$130,1))+1)))-1,0))*CROQUIS!$C$130)))*CROQUIS!$C$155)+IF(CROQUIS!$C$92="X",0,0)),-1000)</f>
        <v>-1000</v>
      </c>
      <c r="BM19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199-1)/5),MAX((MIN(80,MAX(1,INT(((CROQUIS!$C$98)-CROQUIS!$C$107)/MAX(CROQUIS!$C$130,1))+1)))-1,0))*CROQUIS!$C$130),CHOOSE(IF(INT(($A199-1)/5)&gt;MAX((MIN(80,MAX(1,INT(((CROQUIS!$C$98)-CROQUIS!$C$107)/MAX(CROQUIS!$C$130,1))+1)))-1,0),0,MOD($A199-1,5))+1,0,IF(CROQUIS!$C$103=1,-12,2),CROQUIS!$C$107/2+CROQUIS!$C$140,IF(CROQUIS!$C$103=1,-12,2),0)))*CROQUIS!$C$155)+IF(CROQUIS!$C$92="X",0,0)),-1000)</f>
        <v>-1000</v>
      </c>
      <c r="BN199">
        <f>IF(AND(CROQUIS!$C$88=1,CROQUIS!$C$91=0,CROQUIS!$C$130&gt;0,OR(CROQUIS!$C$104=1,CROQUIS!$C$142=1)),((CROQUIS!$C$156+(IF(CROQUIS!$C$92="X",CHOOSE(IF(INT(($A199-1)/5)&gt;MAX((MIN(80,MAX(1,INT(((CROQUIS!$C$98)-CROQUIS!$C$107)/MAX(CROQUIS!$C$130,1))+1)))-1,0),0,MOD($A199-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199-1)/5),MAX((MIN(80,MAX(1,INT(((CROQUIS!$C$98)-CROQUIS!$C$107)/MAX(CROQUIS!$C$130,1))+1)))-1,0))*CROQUIS!$C$130)))*CROQUIS!$C$155)+IF(CROQUIS!$C$92="X",0,0)),-1000)</f>
        <v>-1000</v>
      </c>
      <c r="BO19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199-1)/5),MAX((MIN(80,MAX(1,INT(((CROQUIS!$C$98)-CROQUIS!$C$107)/MAX(CROQUIS!$C$130,1))+1)))-1,0))*CROQUIS!$C$130),CHOOSE(IF(INT(($A199-1)/5)&gt;MAX((MIN(80,MAX(1,INT(((CROQUIS!$C$98)-CROQUIS!$C$107)/MAX(CROQUIS!$C$130,1))+1)))-1,0),0,MOD($A199-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19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199-1)/5),MAX((MIN(80,MAX(1,INT(((CROQUIS!$C$97)-CROQUIS!$C$107)/MAX(CROQUIS!$C$138,1))+1)))-1,0))*CROQUIS!$C$138),CHOOSE(IF(INT(($A199-1)/5)&gt;MAX((MIN(80,MAX(1,INT(((CROQUIS!$C$97)-CROQUIS!$C$107)/MAX(CROQUIS!$C$138,1))+1)))-1,0),0,MOD($A199-1,5))+1,0,IF(CROQUIS!$C$105=1,-12,2),CROQUIS!$C$107/2+CROQUIS!$C$141,IF(CROQUIS!$C$105=1,-12,2),0)))*CROQUIS!$C$155)+IF(CROQUIS!$C$92="X",0,0)),-1000)</f>
        <v>-1000</v>
      </c>
      <c r="BQ199">
        <f>IF(AND(CROQUIS!$C$88=1,CROQUIS!$C$91=0,CROQUIS!$C$138&gt;0,OR(CROQUIS!$C$105=1,CROQUIS!$C$143=1)),((CROQUIS!$C$157+(IF(CROQUIS!$C$92="X",CHOOSE(IF(INT(($A199-1)/5)&gt;MAX((MIN(80,MAX(1,INT(((CROQUIS!$C$97)-CROQUIS!$C$107)/MAX(CROQUIS!$C$138,1))+1)))-1,0),0,MOD($A199-1,5))+1,0,IF(CROQUIS!$C$105=1,-12,2),CROQUIS!$C$107/2+CROQUIS!$C$141,IF(CROQUIS!$C$105=1,-12,2),0),((CROQUIS!$C$107/2+(((CROQUIS!$C$97)-CROQUIS!$C$107)-(MIN(80,MAX(1,INT(((CROQUIS!$C$97)-CROQUIS!$C$107)/MAX(CROQUIS!$C$138,1))+1))-1)*CROQUIS!$C$138)/2)+MIN(INT(($A199-1)/5),MAX((MIN(80,MAX(1,INT(((CROQUIS!$C$97)-CROQUIS!$C$107)/MAX(CROQUIS!$C$138,1))+1)))-1,0))*CROQUIS!$C$138)))*CROQUIS!$C$155)+IF(CROQUIS!$C$92="X",0,0)),-1000)</f>
        <v>-1000</v>
      </c>
      <c r="BR19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199-1)/5),MAX((MIN(80,MAX(1,INT(((CROQUIS!$C$97)-CROQUIS!$C$107)/MAX(CROQUIS!$C$138,1))+1)))-1,0))*CROQUIS!$C$138),CHOOSE(IF(INT(($A199-1)/5)&gt;MAX((MIN(80,MAX(1,INT(((CROQUIS!$C$97)-CROQUIS!$C$107)/MAX(CROQUIS!$C$138,1))+1)))-1,0),0,MOD($A199-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199">
        <f>IF(AND(CROQUIS!$C$88=1,CROQUIS!$C$91=0,CROQUIS!$C$138&gt;0,OR(CROQUIS!$C$106=1,CROQUIS!$C$143=1)),((CROQUIS!$C$157+(IF(CROQUIS!$C$92="X",CHOOSE(IF(INT(($A199-1)/5)&gt;MAX((MIN(80,MAX(1,INT(((CROQUIS!$C$97)-CROQUIS!$C$107)/MAX(CROQUIS!$C$138,1))+1)))-1,0),0,MOD($A199-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199-1)/5),MAX((MIN(80,MAX(1,INT(((CROQUIS!$C$97)-CROQUIS!$C$107)/MAX(CROQUIS!$C$138,1))+1)))-1,0))*CROQUIS!$C$138)))*CROQUIS!$C$155)+IF(CROQUIS!$C$92="X",0,0)),-1000)</f>
        <v>-1000</v>
      </c>
      <c r="BT199">
        <f>IF(AND(CROQUIS!$C$88=1,CROQUIS!$C$91=1,CROQUIS!$C$130&gt;0),((CROQUIS!$C$156+(IF(CROQUIS!$C$92="X",CHOOSE(IF(INT(($A199-1)/5)&gt;MAX((MIN(80,MAX(1,INT(((CROQUIS!$C$98)-CROQUIS!$C$107)/MAX(CROQUIS!$C$130,1))+1)))-1,0),0,MOD($A199-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199-1)/5),MAX((MIN(80,MAX(1,INT(((CROQUIS!$C$98)-CROQUIS!$C$107)/MAX(CROQUIS!$C$130,1))+1)))-1,0))*CROQUIS!$C$130)))*CROQUIS!$C$155)+IF(CROQUIS!$C$92="X",0,0)),-1000)</f>
        <v>-1000</v>
      </c>
      <c r="BU199">
        <f>IF(AND(CROQUIS!$C$88=1,CROQUIS!$C$91=1,CROQUIS!$C$130&gt;0),((CROQUIS!$C$157+(IF(CROQUIS!$C$92="X",((CROQUIS!$C$107/2+(((CROQUIS!$C$98)-CROQUIS!$C$107)-(MIN(80,MAX(1,INT(((CROQUIS!$C$98)-CROQUIS!$C$107)/MAX(CROQUIS!$C$130,1))+1))-1)*CROQUIS!$C$130)/2)+MIN(INT(($A199-1)/5),MAX((MIN(80,MAX(1,INT(((CROQUIS!$C$98)-CROQUIS!$C$107)/MAX(CROQUIS!$C$130,1))+1)))-1,0))*CROQUIS!$C$130),CHOOSE(IF(INT(($A199-1)/5)&gt;MAX((MIN(80,MAX(1,INT(((CROQUIS!$C$98)-CROQUIS!$C$107)/MAX(CROQUIS!$C$130,1))+1)))-1,0),0,MOD($A199-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00">
      <c r="A200" t="n">
        <v>193</v>
      </c>
      <c r="BH200">
        <f>IF(AND(CROQUIS!$C$88=1,CROQUIS!$C$126&gt;0),((CROQUIS!$C$156+(IF(CROQUIS!$C$92="X",CHOOSE(IF(INT(($A200-1)/5)&gt;MAX((MIN(80,MAX(1,INT(((CROQUIS!$C$98)-CROQUIS!$C$107)/MAX(CROQUIS!$C$126,1))+1)))-1,0),0,MOD($A200-1,5))+1,0,2,CROQUIS!$C$97-2,2,0),((CROQUIS!$C$107/2+(((CROQUIS!$C$98)-CROQUIS!$C$107)-(MIN(80,MAX(1,INT(((CROQUIS!$C$98)-CROQUIS!$C$107)/MAX(CROQUIS!$C$126,1))+1))-1)*CROQUIS!$C$126)/2)+MIN(INT(($A200-1)/5),MAX((MIN(80,MAX(1,INT(((CROQUIS!$C$98)-CROQUIS!$C$107)/MAX(CROQUIS!$C$126,1))+1)))-1,0))*CROQUIS!$C$126)))*CROQUIS!$C$155)+IF(CROQUIS!$C$92="X",0,0)),-1000)</f>
        <v>-1000</v>
      </c>
      <c r="BI200">
        <f>IF(AND(CROQUIS!$C$88=1,CROQUIS!$C$126&gt;0),((CROQUIS!$C$157+(IF(CROQUIS!$C$92="X",((CROQUIS!$C$107/2+(((CROQUIS!$C$98)-CROQUIS!$C$107)-(MIN(80,MAX(1,INT(((CROQUIS!$C$98)-CROQUIS!$C$107)/MAX(CROQUIS!$C$126,1))+1))-1)*CROQUIS!$C$126)/2)+MIN(INT(($A200-1)/5),MAX((MIN(80,MAX(1,INT(((CROQUIS!$C$98)-CROQUIS!$C$107)/MAX(CROQUIS!$C$126,1))+1)))-1,0))*CROQUIS!$C$126),CHOOSE(IF(INT(($A200-1)/5)&gt;MAX((MIN(80,MAX(1,INT(((CROQUIS!$C$98)-CROQUIS!$C$107)/MAX(CROQUIS!$C$126,1))+1)))-1,0),0,MOD($A200-1,5))+1,0,2,CROQUIS!$C$97-2,2,0)))*CROQUIS!$C$155)+IF(CROQUIS!$C$92="X",0,0)),-1000)</f>
        <v>-1000</v>
      </c>
      <c r="BJ200">
        <f>IF(AND(CROQUIS!$C$88=1,CROQUIS!$C$134&gt;0),((CROQUIS!$C$156+(IF(CROQUIS!$C$92="X",((CROQUIS!$C$107/2+(((CROQUIS!$C$97)-CROQUIS!$C$107)-(MIN(80,MAX(1,INT(((CROQUIS!$C$97)-CROQUIS!$C$107)/MAX(CROQUIS!$C$134,1))+1))-1)*CROQUIS!$C$134)/2)+MIN(INT(($A200-1)/5),MAX((MIN(80,MAX(1,INT(((CROQUIS!$C$97)-CROQUIS!$C$107)/MAX(CROQUIS!$C$134,1))+1)))-1,0))*CROQUIS!$C$134),CHOOSE(IF(INT(($A200-1)/5)&gt;MAX((MIN(80,MAX(1,INT(((CROQUIS!$C$97)-CROQUIS!$C$107)/MAX(CROQUIS!$C$134,1))+1)))-1,0),0,MOD($A200-1,5))+1,0,2,CROQUIS!$C$98-2,2,0)))*CROQUIS!$C$155)+IF(CROQUIS!$C$92="X",0,0)),-1000)</f>
        <v>-1000</v>
      </c>
      <c r="BK200">
        <f>IF(AND(CROQUIS!$C$88=1,CROQUIS!$C$134&gt;0),((CROQUIS!$C$157+(IF(CROQUIS!$C$92="X",CHOOSE(IF(INT(($A200-1)/5)&gt;MAX((MIN(80,MAX(1,INT(((CROQUIS!$C$97)-CROQUIS!$C$107)/MAX(CROQUIS!$C$134,1))+1)))-1,0),0,MOD($A200-1,5))+1,0,2,CROQUIS!$C$98-2,2,0),((CROQUIS!$C$107/2+(((CROQUIS!$C$97)-CROQUIS!$C$107)-(MIN(80,MAX(1,INT(((CROQUIS!$C$97)-CROQUIS!$C$107)/MAX(CROQUIS!$C$134,1))+1))-1)*CROQUIS!$C$134)/2)+MIN(INT(($A200-1)/5),MAX((MIN(80,MAX(1,INT(((CROQUIS!$C$97)-CROQUIS!$C$107)/MAX(CROQUIS!$C$134,1))+1)))-1,0))*CROQUIS!$C$134)))*CROQUIS!$C$155)+IF(CROQUIS!$C$92="X",0,0)),-1000)</f>
        <v>-1000</v>
      </c>
      <c r="BL200">
        <f>IF(AND(CROQUIS!$C$88=1,CROQUIS!$C$91=0,CROQUIS!$C$130&gt;0,OR(CROQUIS!$C$103=1,CROQUIS!$C$142=1)),((CROQUIS!$C$156+(IF(CROQUIS!$C$92="X",CHOOSE(IF(INT(($A200-1)/5)&gt;MAX((MIN(80,MAX(1,INT(((CROQUIS!$C$98)-CROQUIS!$C$107)/MAX(CROQUIS!$C$130,1))+1)))-1,0),0,MOD($A200-1,5))+1,0,IF(CROQUIS!$C$103=1,-12,2),CROQUIS!$C$107/2+CROQUIS!$C$140,IF(CROQUIS!$C$103=1,-12,2),0),((CROQUIS!$C$107/2+(((CROQUIS!$C$98)-CROQUIS!$C$107)-(MIN(80,MAX(1,INT(((CROQUIS!$C$98)-CROQUIS!$C$107)/MAX(CROQUIS!$C$130,1))+1))-1)*CROQUIS!$C$130)/2)+MIN(INT(($A200-1)/5),MAX((MIN(80,MAX(1,INT(((CROQUIS!$C$98)-CROQUIS!$C$107)/MAX(CROQUIS!$C$130,1))+1)))-1,0))*CROQUIS!$C$130)))*CROQUIS!$C$155)+IF(CROQUIS!$C$92="X",0,0)),-1000)</f>
        <v>-1000</v>
      </c>
      <c r="BM20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200-1)/5),MAX((MIN(80,MAX(1,INT(((CROQUIS!$C$98)-CROQUIS!$C$107)/MAX(CROQUIS!$C$130,1))+1)))-1,0))*CROQUIS!$C$130),CHOOSE(IF(INT(($A200-1)/5)&gt;MAX((MIN(80,MAX(1,INT(((CROQUIS!$C$98)-CROQUIS!$C$107)/MAX(CROQUIS!$C$130,1))+1)))-1,0),0,MOD($A200-1,5))+1,0,IF(CROQUIS!$C$103=1,-12,2),CROQUIS!$C$107/2+CROQUIS!$C$140,IF(CROQUIS!$C$103=1,-12,2),0)))*CROQUIS!$C$155)+IF(CROQUIS!$C$92="X",0,0)),-1000)</f>
        <v>-1000</v>
      </c>
      <c r="BN200">
        <f>IF(AND(CROQUIS!$C$88=1,CROQUIS!$C$91=0,CROQUIS!$C$130&gt;0,OR(CROQUIS!$C$104=1,CROQUIS!$C$142=1)),((CROQUIS!$C$156+(IF(CROQUIS!$C$92="X",CHOOSE(IF(INT(($A200-1)/5)&gt;MAX((MIN(80,MAX(1,INT(((CROQUIS!$C$98)-CROQUIS!$C$107)/MAX(CROQUIS!$C$130,1))+1)))-1,0),0,MOD($A200-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200-1)/5),MAX((MIN(80,MAX(1,INT(((CROQUIS!$C$98)-CROQUIS!$C$107)/MAX(CROQUIS!$C$130,1))+1)))-1,0))*CROQUIS!$C$130)))*CROQUIS!$C$155)+IF(CROQUIS!$C$92="X",0,0)),-1000)</f>
        <v>-1000</v>
      </c>
      <c r="BO20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200-1)/5),MAX((MIN(80,MAX(1,INT(((CROQUIS!$C$98)-CROQUIS!$C$107)/MAX(CROQUIS!$C$130,1))+1)))-1,0))*CROQUIS!$C$130),CHOOSE(IF(INT(($A200-1)/5)&gt;MAX((MIN(80,MAX(1,INT(((CROQUIS!$C$98)-CROQUIS!$C$107)/MAX(CROQUIS!$C$130,1))+1)))-1,0),0,MOD($A200-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0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200-1)/5),MAX((MIN(80,MAX(1,INT(((CROQUIS!$C$97)-CROQUIS!$C$107)/MAX(CROQUIS!$C$138,1))+1)))-1,0))*CROQUIS!$C$138),CHOOSE(IF(INT(($A200-1)/5)&gt;MAX((MIN(80,MAX(1,INT(((CROQUIS!$C$97)-CROQUIS!$C$107)/MAX(CROQUIS!$C$138,1))+1)))-1,0),0,MOD($A200-1,5))+1,0,IF(CROQUIS!$C$105=1,-12,2),CROQUIS!$C$107/2+CROQUIS!$C$141,IF(CROQUIS!$C$105=1,-12,2),0)))*CROQUIS!$C$155)+IF(CROQUIS!$C$92="X",0,0)),-1000)</f>
        <v>-1000</v>
      </c>
      <c r="BQ200">
        <f>IF(AND(CROQUIS!$C$88=1,CROQUIS!$C$91=0,CROQUIS!$C$138&gt;0,OR(CROQUIS!$C$105=1,CROQUIS!$C$143=1)),((CROQUIS!$C$157+(IF(CROQUIS!$C$92="X",CHOOSE(IF(INT(($A200-1)/5)&gt;MAX((MIN(80,MAX(1,INT(((CROQUIS!$C$97)-CROQUIS!$C$107)/MAX(CROQUIS!$C$138,1))+1)))-1,0),0,MOD($A200-1,5))+1,0,IF(CROQUIS!$C$105=1,-12,2),CROQUIS!$C$107/2+CROQUIS!$C$141,IF(CROQUIS!$C$105=1,-12,2),0),((CROQUIS!$C$107/2+(((CROQUIS!$C$97)-CROQUIS!$C$107)-(MIN(80,MAX(1,INT(((CROQUIS!$C$97)-CROQUIS!$C$107)/MAX(CROQUIS!$C$138,1))+1))-1)*CROQUIS!$C$138)/2)+MIN(INT(($A200-1)/5),MAX((MIN(80,MAX(1,INT(((CROQUIS!$C$97)-CROQUIS!$C$107)/MAX(CROQUIS!$C$138,1))+1)))-1,0))*CROQUIS!$C$138)))*CROQUIS!$C$155)+IF(CROQUIS!$C$92="X",0,0)),-1000)</f>
        <v>-1000</v>
      </c>
      <c r="BR20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200-1)/5),MAX((MIN(80,MAX(1,INT(((CROQUIS!$C$97)-CROQUIS!$C$107)/MAX(CROQUIS!$C$138,1))+1)))-1,0))*CROQUIS!$C$138),CHOOSE(IF(INT(($A200-1)/5)&gt;MAX((MIN(80,MAX(1,INT(((CROQUIS!$C$97)-CROQUIS!$C$107)/MAX(CROQUIS!$C$138,1))+1)))-1,0),0,MOD($A200-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00">
        <f>IF(AND(CROQUIS!$C$88=1,CROQUIS!$C$91=0,CROQUIS!$C$138&gt;0,OR(CROQUIS!$C$106=1,CROQUIS!$C$143=1)),((CROQUIS!$C$157+(IF(CROQUIS!$C$92="X",CHOOSE(IF(INT(($A200-1)/5)&gt;MAX((MIN(80,MAX(1,INT(((CROQUIS!$C$97)-CROQUIS!$C$107)/MAX(CROQUIS!$C$138,1))+1)))-1,0),0,MOD($A200-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200-1)/5),MAX((MIN(80,MAX(1,INT(((CROQUIS!$C$97)-CROQUIS!$C$107)/MAX(CROQUIS!$C$138,1))+1)))-1,0))*CROQUIS!$C$138)))*CROQUIS!$C$155)+IF(CROQUIS!$C$92="X",0,0)),-1000)</f>
        <v>-1000</v>
      </c>
      <c r="BT200">
        <f>IF(AND(CROQUIS!$C$88=1,CROQUIS!$C$91=1,CROQUIS!$C$130&gt;0),((CROQUIS!$C$156+(IF(CROQUIS!$C$92="X",CHOOSE(IF(INT(($A200-1)/5)&gt;MAX((MIN(80,MAX(1,INT(((CROQUIS!$C$98)-CROQUIS!$C$107)/MAX(CROQUIS!$C$130,1))+1)))-1,0),0,MOD($A200-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200-1)/5),MAX((MIN(80,MAX(1,INT(((CROQUIS!$C$98)-CROQUIS!$C$107)/MAX(CROQUIS!$C$130,1))+1)))-1,0))*CROQUIS!$C$130)))*CROQUIS!$C$155)+IF(CROQUIS!$C$92="X",0,0)),-1000)</f>
        <v>-1000</v>
      </c>
      <c r="BU200">
        <f>IF(AND(CROQUIS!$C$88=1,CROQUIS!$C$91=1,CROQUIS!$C$130&gt;0),((CROQUIS!$C$157+(IF(CROQUIS!$C$92="X",((CROQUIS!$C$107/2+(((CROQUIS!$C$98)-CROQUIS!$C$107)-(MIN(80,MAX(1,INT(((CROQUIS!$C$98)-CROQUIS!$C$107)/MAX(CROQUIS!$C$130,1))+1))-1)*CROQUIS!$C$130)/2)+MIN(INT(($A200-1)/5),MAX((MIN(80,MAX(1,INT(((CROQUIS!$C$98)-CROQUIS!$C$107)/MAX(CROQUIS!$C$130,1))+1)))-1,0))*CROQUIS!$C$130),CHOOSE(IF(INT(($A200-1)/5)&gt;MAX((MIN(80,MAX(1,INT(((CROQUIS!$C$98)-CROQUIS!$C$107)/MAX(CROQUIS!$C$130,1))+1)))-1,0),0,MOD($A200-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01">
      <c r="A201" t="n">
        <v>194</v>
      </c>
      <c r="BH201">
        <f>IF(AND(CROQUIS!$C$88=1,CROQUIS!$C$126&gt;0),((CROQUIS!$C$156+(IF(CROQUIS!$C$92="X",CHOOSE(IF(INT(($A201-1)/5)&gt;MAX((MIN(80,MAX(1,INT(((CROQUIS!$C$98)-CROQUIS!$C$107)/MAX(CROQUIS!$C$126,1))+1)))-1,0),0,MOD($A201-1,5))+1,0,2,CROQUIS!$C$97-2,2,0),((CROQUIS!$C$107/2+(((CROQUIS!$C$98)-CROQUIS!$C$107)-(MIN(80,MAX(1,INT(((CROQUIS!$C$98)-CROQUIS!$C$107)/MAX(CROQUIS!$C$126,1))+1))-1)*CROQUIS!$C$126)/2)+MIN(INT(($A201-1)/5),MAX((MIN(80,MAX(1,INT(((CROQUIS!$C$98)-CROQUIS!$C$107)/MAX(CROQUIS!$C$126,1))+1)))-1,0))*CROQUIS!$C$126)))*CROQUIS!$C$155)+IF(CROQUIS!$C$92="X",0,0)),-1000)</f>
        <v>-1000</v>
      </c>
      <c r="BI201">
        <f>IF(AND(CROQUIS!$C$88=1,CROQUIS!$C$126&gt;0),((CROQUIS!$C$157+(IF(CROQUIS!$C$92="X",((CROQUIS!$C$107/2+(((CROQUIS!$C$98)-CROQUIS!$C$107)-(MIN(80,MAX(1,INT(((CROQUIS!$C$98)-CROQUIS!$C$107)/MAX(CROQUIS!$C$126,1))+1))-1)*CROQUIS!$C$126)/2)+MIN(INT(($A201-1)/5),MAX((MIN(80,MAX(1,INT(((CROQUIS!$C$98)-CROQUIS!$C$107)/MAX(CROQUIS!$C$126,1))+1)))-1,0))*CROQUIS!$C$126),CHOOSE(IF(INT(($A201-1)/5)&gt;MAX((MIN(80,MAX(1,INT(((CROQUIS!$C$98)-CROQUIS!$C$107)/MAX(CROQUIS!$C$126,1))+1)))-1,0),0,MOD($A201-1,5))+1,0,2,CROQUIS!$C$97-2,2,0)))*CROQUIS!$C$155)+IF(CROQUIS!$C$92="X",0,0)),-1000)</f>
        <v>-1000</v>
      </c>
      <c r="BJ201">
        <f>IF(AND(CROQUIS!$C$88=1,CROQUIS!$C$134&gt;0),((CROQUIS!$C$156+(IF(CROQUIS!$C$92="X",((CROQUIS!$C$107/2+(((CROQUIS!$C$97)-CROQUIS!$C$107)-(MIN(80,MAX(1,INT(((CROQUIS!$C$97)-CROQUIS!$C$107)/MAX(CROQUIS!$C$134,1))+1))-1)*CROQUIS!$C$134)/2)+MIN(INT(($A201-1)/5),MAX((MIN(80,MAX(1,INT(((CROQUIS!$C$97)-CROQUIS!$C$107)/MAX(CROQUIS!$C$134,1))+1)))-1,0))*CROQUIS!$C$134),CHOOSE(IF(INT(($A201-1)/5)&gt;MAX((MIN(80,MAX(1,INT(((CROQUIS!$C$97)-CROQUIS!$C$107)/MAX(CROQUIS!$C$134,1))+1)))-1,0),0,MOD($A201-1,5))+1,0,2,CROQUIS!$C$98-2,2,0)))*CROQUIS!$C$155)+IF(CROQUIS!$C$92="X",0,0)),-1000)</f>
        <v>-1000</v>
      </c>
      <c r="BK201">
        <f>IF(AND(CROQUIS!$C$88=1,CROQUIS!$C$134&gt;0),((CROQUIS!$C$157+(IF(CROQUIS!$C$92="X",CHOOSE(IF(INT(($A201-1)/5)&gt;MAX((MIN(80,MAX(1,INT(((CROQUIS!$C$97)-CROQUIS!$C$107)/MAX(CROQUIS!$C$134,1))+1)))-1,0),0,MOD($A201-1,5))+1,0,2,CROQUIS!$C$98-2,2,0),((CROQUIS!$C$107/2+(((CROQUIS!$C$97)-CROQUIS!$C$107)-(MIN(80,MAX(1,INT(((CROQUIS!$C$97)-CROQUIS!$C$107)/MAX(CROQUIS!$C$134,1))+1))-1)*CROQUIS!$C$134)/2)+MIN(INT(($A201-1)/5),MAX((MIN(80,MAX(1,INT(((CROQUIS!$C$97)-CROQUIS!$C$107)/MAX(CROQUIS!$C$134,1))+1)))-1,0))*CROQUIS!$C$134)))*CROQUIS!$C$155)+IF(CROQUIS!$C$92="X",0,0)),-1000)</f>
        <v>-1000</v>
      </c>
      <c r="BL201">
        <f>IF(AND(CROQUIS!$C$88=1,CROQUIS!$C$91=0,CROQUIS!$C$130&gt;0,OR(CROQUIS!$C$103=1,CROQUIS!$C$142=1)),((CROQUIS!$C$156+(IF(CROQUIS!$C$92="X",CHOOSE(IF(INT(($A201-1)/5)&gt;MAX((MIN(80,MAX(1,INT(((CROQUIS!$C$98)-CROQUIS!$C$107)/MAX(CROQUIS!$C$130,1))+1)))-1,0),0,MOD($A201-1,5))+1,0,IF(CROQUIS!$C$103=1,-12,2),CROQUIS!$C$107/2+CROQUIS!$C$140,IF(CROQUIS!$C$103=1,-12,2),0),((CROQUIS!$C$107/2+(((CROQUIS!$C$98)-CROQUIS!$C$107)-(MIN(80,MAX(1,INT(((CROQUIS!$C$98)-CROQUIS!$C$107)/MAX(CROQUIS!$C$130,1))+1))-1)*CROQUIS!$C$130)/2)+MIN(INT(($A201-1)/5),MAX((MIN(80,MAX(1,INT(((CROQUIS!$C$98)-CROQUIS!$C$107)/MAX(CROQUIS!$C$130,1))+1)))-1,0))*CROQUIS!$C$130)))*CROQUIS!$C$155)+IF(CROQUIS!$C$92="X",0,0)),-1000)</f>
        <v>-1000</v>
      </c>
      <c r="BM20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201-1)/5),MAX((MIN(80,MAX(1,INT(((CROQUIS!$C$98)-CROQUIS!$C$107)/MAX(CROQUIS!$C$130,1))+1)))-1,0))*CROQUIS!$C$130),CHOOSE(IF(INT(($A201-1)/5)&gt;MAX((MIN(80,MAX(1,INT(((CROQUIS!$C$98)-CROQUIS!$C$107)/MAX(CROQUIS!$C$130,1))+1)))-1,0),0,MOD($A201-1,5))+1,0,IF(CROQUIS!$C$103=1,-12,2),CROQUIS!$C$107/2+CROQUIS!$C$140,IF(CROQUIS!$C$103=1,-12,2),0)))*CROQUIS!$C$155)+IF(CROQUIS!$C$92="X",0,0)),-1000)</f>
        <v>-1000</v>
      </c>
      <c r="BN201">
        <f>IF(AND(CROQUIS!$C$88=1,CROQUIS!$C$91=0,CROQUIS!$C$130&gt;0,OR(CROQUIS!$C$104=1,CROQUIS!$C$142=1)),((CROQUIS!$C$156+(IF(CROQUIS!$C$92="X",CHOOSE(IF(INT(($A201-1)/5)&gt;MAX((MIN(80,MAX(1,INT(((CROQUIS!$C$98)-CROQUIS!$C$107)/MAX(CROQUIS!$C$130,1))+1)))-1,0),0,MOD($A201-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201-1)/5),MAX((MIN(80,MAX(1,INT(((CROQUIS!$C$98)-CROQUIS!$C$107)/MAX(CROQUIS!$C$130,1))+1)))-1,0))*CROQUIS!$C$130)))*CROQUIS!$C$155)+IF(CROQUIS!$C$92="X",0,0)),-1000)</f>
        <v>-1000</v>
      </c>
      <c r="BO20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201-1)/5),MAX((MIN(80,MAX(1,INT(((CROQUIS!$C$98)-CROQUIS!$C$107)/MAX(CROQUIS!$C$130,1))+1)))-1,0))*CROQUIS!$C$130),CHOOSE(IF(INT(($A201-1)/5)&gt;MAX((MIN(80,MAX(1,INT(((CROQUIS!$C$98)-CROQUIS!$C$107)/MAX(CROQUIS!$C$130,1))+1)))-1,0),0,MOD($A201-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0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201-1)/5),MAX((MIN(80,MAX(1,INT(((CROQUIS!$C$97)-CROQUIS!$C$107)/MAX(CROQUIS!$C$138,1))+1)))-1,0))*CROQUIS!$C$138),CHOOSE(IF(INT(($A201-1)/5)&gt;MAX((MIN(80,MAX(1,INT(((CROQUIS!$C$97)-CROQUIS!$C$107)/MAX(CROQUIS!$C$138,1))+1)))-1,0),0,MOD($A201-1,5))+1,0,IF(CROQUIS!$C$105=1,-12,2),CROQUIS!$C$107/2+CROQUIS!$C$141,IF(CROQUIS!$C$105=1,-12,2),0)))*CROQUIS!$C$155)+IF(CROQUIS!$C$92="X",0,0)),-1000)</f>
        <v>-1000</v>
      </c>
      <c r="BQ201">
        <f>IF(AND(CROQUIS!$C$88=1,CROQUIS!$C$91=0,CROQUIS!$C$138&gt;0,OR(CROQUIS!$C$105=1,CROQUIS!$C$143=1)),((CROQUIS!$C$157+(IF(CROQUIS!$C$92="X",CHOOSE(IF(INT(($A201-1)/5)&gt;MAX((MIN(80,MAX(1,INT(((CROQUIS!$C$97)-CROQUIS!$C$107)/MAX(CROQUIS!$C$138,1))+1)))-1,0),0,MOD($A201-1,5))+1,0,IF(CROQUIS!$C$105=1,-12,2),CROQUIS!$C$107/2+CROQUIS!$C$141,IF(CROQUIS!$C$105=1,-12,2),0),((CROQUIS!$C$107/2+(((CROQUIS!$C$97)-CROQUIS!$C$107)-(MIN(80,MAX(1,INT(((CROQUIS!$C$97)-CROQUIS!$C$107)/MAX(CROQUIS!$C$138,1))+1))-1)*CROQUIS!$C$138)/2)+MIN(INT(($A201-1)/5),MAX((MIN(80,MAX(1,INT(((CROQUIS!$C$97)-CROQUIS!$C$107)/MAX(CROQUIS!$C$138,1))+1)))-1,0))*CROQUIS!$C$138)))*CROQUIS!$C$155)+IF(CROQUIS!$C$92="X",0,0)),-1000)</f>
        <v>-1000</v>
      </c>
      <c r="BR20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201-1)/5),MAX((MIN(80,MAX(1,INT(((CROQUIS!$C$97)-CROQUIS!$C$107)/MAX(CROQUIS!$C$138,1))+1)))-1,0))*CROQUIS!$C$138),CHOOSE(IF(INT(($A201-1)/5)&gt;MAX((MIN(80,MAX(1,INT(((CROQUIS!$C$97)-CROQUIS!$C$107)/MAX(CROQUIS!$C$138,1))+1)))-1,0),0,MOD($A201-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01">
        <f>IF(AND(CROQUIS!$C$88=1,CROQUIS!$C$91=0,CROQUIS!$C$138&gt;0,OR(CROQUIS!$C$106=1,CROQUIS!$C$143=1)),((CROQUIS!$C$157+(IF(CROQUIS!$C$92="X",CHOOSE(IF(INT(($A201-1)/5)&gt;MAX((MIN(80,MAX(1,INT(((CROQUIS!$C$97)-CROQUIS!$C$107)/MAX(CROQUIS!$C$138,1))+1)))-1,0),0,MOD($A201-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201-1)/5),MAX((MIN(80,MAX(1,INT(((CROQUIS!$C$97)-CROQUIS!$C$107)/MAX(CROQUIS!$C$138,1))+1)))-1,0))*CROQUIS!$C$138)))*CROQUIS!$C$155)+IF(CROQUIS!$C$92="X",0,0)),-1000)</f>
        <v>-1000</v>
      </c>
      <c r="BT201">
        <f>IF(AND(CROQUIS!$C$88=1,CROQUIS!$C$91=1,CROQUIS!$C$130&gt;0),((CROQUIS!$C$156+(IF(CROQUIS!$C$92="X",CHOOSE(IF(INT(($A201-1)/5)&gt;MAX((MIN(80,MAX(1,INT(((CROQUIS!$C$98)-CROQUIS!$C$107)/MAX(CROQUIS!$C$130,1))+1)))-1,0),0,MOD($A201-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201-1)/5),MAX((MIN(80,MAX(1,INT(((CROQUIS!$C$98)-CROQUIS!$C$107)/MAX(CROQUIS!$C$130,1))+1)))-1,0))*CROQUIS!$C$130)))*CROQUIS!$C$155)+IF(CROQUIS!$C$92="X",0,0)),-1000)</f>
        <v>-1000</v>
      </c>
      <c r="BU201">
        <f>IF(AND(CROQUIS!$C$88=1,CROQUIS!$C$91=1,CROQUIS!$C$130&gt;0),((CROQUIS!$C$157+(IF(CROQUIS!$C$92="X",((CROQUIS!$C$107/2+(((CROQUIS!$C$98)-CROQUIS!$C$107)-(MIN(80,MAX(1,INT(((CROQUIS!$C$98)-CROQUIS!$C$107)/MAX(CROQUIS!$C$130,1))+1))-1)*CROQUIS!$C$130)/2)+MIN(INT(($A201-1)/5),MAX((MIN(80,MAX(1,INT(((CROQUIS!$C$98)-CROQUIS!$C$107)/MAX(CROQUIS!$C$130,1))+1)))-1,0))*CROQUIS!$C$130),CHOOSE(IF(INT(($A201-1)/5)&gt;MAX((MIN(80,MAX(1,INT(((CROQUIS!$C$98)-CROQUIS!$C$107)/MAX(CROQUIS!$C$130,1))+1)))-1,0),0,MOD($A201-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02">
      <c r="A202" t="n">
        <v>195</v>
      </c>
      <c r="BH202">
        <f>IF(AND(CROQUIS!$C$88=1,CROQUIS!$C$126&gt;0),((CROQUIS!$C$156+(IF(CROQUIS!$C$92="X",CHOOSE(IF(INT(($A202-1)/5)&gt;MAX((MIN(80,MAX(1,INT(((CROQUIS!$C$98)-CROQUIS!$C$107)/MAX(CROQUIS!$C$126,1))+1)))-1,0),0,MOD($A202-1,5))+1,0,2,CROQUIS!$C$97-2,2,0),((CROQUIS!$C$107/2+(((CROQUIS!$C$98)-CROQUIS!$C$107)-(MIN(80,MAX(1,INT(((CROQUIS!$C$98)-CROQUIS!$C$107)/MAX(CROQUIS!$C$126,1))+1))-1)*CROQUIS!$C$126)/2)+MIN(INT(($A202-1)/5),MAX((MIN(80,MAX(1,INT(((CROQUIS!$C$98)-CROQUIS!$C$107)/MAX(CROQUIS!$C$126,1))+1)))-1,0))*CROQUIS!$C$126)))*CROQUIS!$C$155)+IF(CROQUIS!$C$92="X",0,0)),-1000)</f>
        <v>-1000</v>
      </c>
      <c r="BI202">
        <f>IF(AND(CROQUIS!$C$88=1,CROQUIS!$C$126&gt;0),((CROQUIS!$C$157+(IF(CROQUIS!$C$92="X",((CROQUIS!$C$107/2+(((CROQUIS!$C$98)-CROQUIS!$C$107)-(MIN(80,MAX(1,INT(((CROQUIS!$C$98)-CROQUIS!$C$107)/MAX(CROQUIS!$C$126,1))+1))-1)*CROQUIS!$C$126)/2)+MIN(INT(($A202-1)/5),MAX((MIN(80,MAX(1,INT(((CROQUIS!$C$98)-CROQUIS!$C$107)/MAX(CROQUIS!$C$126,1))+1)))-1,0))*CROQUIS!$C$126),CHOOSE(IF(INT(($A202-1)/5)&gt;MAX((MIN(80,MAX(1,INT(((CROQUIS!$C$98)-CROQUIS!$C$107)/MAX(CROQUIS!$C$126,1))+1)))-1,0),0,MOD($A202-1,5))+1,0,2,CROQUIS!$C$97-2,2,0)))*CROQUIS!$C$155)+IF(CROQUIS!$C$92="X",0,0)),-1000)</f>
        <v>-1000</v>
      </c>
      <c r="BJ202">
        <f>IF(AND(CROQUIS!$C$88=1,CROQUIS!$C$134&gt;0),((CROQUIS!$C$156+(IF(CROQUIS!$C$92="X",((CROQUIS!$C$107/2+(((CROQUIS!$C$97)-CROQUIS!$C$107)-(MIN(80,MAX(1,INT(((CROQUIS!$C$97)-CROQUIS!$C$107)/MAX(CROQUIS!$C$134,1))+1))-1)*CROQUIS!$C$134)/2)+MIN(INT(($A202-1)/5),MAX((MIN(80,MAX(1,INT(((CROQUIS!$C$97)-CROQUIS!$C$107)/MAX(CROQUIS!$C$134,1))+1)))-1,0))*CROQUIS!$C$134),CHOOSE(IF(INT(($A202-1)/5)&gt;MAX((MIN(80,MAX(1,INT(((CROQUIS!$C$97)-CROQUIS!$C$107)/MAX(CROQUIS!$C$134,1))+1)))-1,0),0,MOD($A202-1,5))+1,0,2,CROQUIS!$C$98-2,2,0)))*CROQUIS!$C$155)+IF(CROQUIS!$C$92="X",0,0)),-1000)</f>
        <v>-1000</v>
      </c>
      <c r="BK202">
        <f>IF(AND(CROQUIS!$C$88=1,CROQUIS!$C$134&gt;0),((CROQUIS!$C$157+(IF(CROQUIS!$C$92="X",CHOOSE(IF(INT(($A202-1)/5)&gt;MAX((MIN(80,MAX(1,INT(((CROQUIS!$C$97)-CROQUIS!$C$107)/MAX(CROQUIS!$C$134,1))+1)))-1,0),0,MOD($A202-1,5))+1,0,2,CROQUIS!$C$98-2,2,0),((CROQUIS!$C$107/2+(((CROQUIS!$C$97)-CROQUIS!$C$107)-(MIN(80,MAX(1,INT(((CROQUIS!$C$97)-CROQUIS!$C$107)/MAX(CROQUIS!$C$134,1))+1))-1)*CROQUIS!$C$134)/2)+MIN(INT(($A202-1)/5),MAX((MIN(80,MAX(1,INT(((CROQUIS!$C$97)-CROQUIS!$C$107)/MAX(CROQUIS!$C$134,1))+1)))-1,0))*CROQUIS!$C$134)))*CROQUIS!$C$155)+IF(CROQUIS!$C$92="X",0,0)),-1000)</f>
        <v>-1000</v>
      </c>
      <c r="BL202">
        <f>IF(AND(CROQUIS!$C$88=1,CROQUIS!$C$91=0,CROQUIS!$C$130&gt;0,OR(CROQUIS!$C$103=1,CROQUIS!$C$142=1)),((CROQUIS!$C$156+(IF(CROQUIS!$C$92="X",CHOOSE(IF(INT(($A202-1)/5)&gt;MAX((MIN(80,MAX(1,INT(((CROQUIS!$C$98)-CROQUIS!$C$107)/MAX(CROQUIS!$C$130,1))+1)))-1,0),0,MOD($A202-1,5))+1,0,IF(CROQUIS!$C$103=1,-12,2),CROQUIS!$C$107/2+CROQUIS!$C$140,IF(CROQUIS!$C$103=1,-12,2),0),((CROQUIS!$C$107/2+(((CROQUIS!$C$98)-CROQUIS!$C$107)-(MIN(80,MAX(1,INT(((CROQUIS!$C$98)-CROQUIS!$C$107)/MAX(CROQUIS!$C$130,1))+1))-1)*CROQUIS!$C$130)/2)+MIN(INT(($A202-1)/5),MAX((MIN(80,MAX(1,INT(((CROQUIS!$C$98)-CROQUIS!$C$107)/MAX(CROQUIS!$C$130,1))+1)))-1,0))*CROQUIS!$C$130)))*CROQUIS!$C$155)+IF(CROQUIS!$C$92="X",0,0)),-1000)</f>
        <v>-1000</v>
      </c>
      <c r="BM20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202-1)/5),MAX((MIN(80,MAX(1,INT(((CROQUIS!$C$98)-CROQUIS!$C$107)/MAX(CROQUIS!$C$130,1))+1)))-1,0))*CROQUIS!$C$130),CHOOSE(IF(INT(($A202-1)/5)&gt;MAX((MIN(80,MAX(1,INT(((CROQUIS!$C$98)-CROQUIS!$C$107)/MAX(CROQUIS!$C$130,1))+1)))-1,0),0,MOD($A202-1,5))+1,0,IF(CROQUIS!$C$103=1,-12,2),CROQUIS!$C$107/2+CROQUIS!$C$140,IF(CROQUIS!$C$103=1,-12,2),0)))*CROQUIS!$C$155)+IF(CROQUIS!$C$92="X",0,0)),-1000)</f>
        <v>-1000</v>
      </c>
      <c r="BN202">
        <f>IF(AND(CROQUIS!$C$88=1,CROQUIS!$C$91=0,CROQUIS!$C$130&gt;0,OR(CROQUIS!$C$104=1,CROQUIS!$C$142=1)),((CROQUIS!$C$156+(IF(CROQUIS!$C$92="X",CHOOSE(IF(INT(($A202-1)/5)&gt;MAX((MIN(80,MAX(1,INT(((CROQUIS!$C$98)-CROQUIS!$C$107)/MAX(CROQUIS!$C$130,1))+1)))-1,0),0,MOD($A202-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202-1)/5),MAX((MIN(80,MAX(1,INT(((CROQUIS!$C$98)-CROQUIS!$C$107)/MAX(CROQUIS!$C$130,1))+1)))-1,0))*CROQUIS!$C$130)))*CROQUIS!$C$155)+IF(CROQUIS!$C$92="X",0,0)),-1000)</f>
        <v>-1000</v>
      </c>
      <c r="BO20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202-1)/5),MAX((MIN(80,MAX(1,INT(((CROQUIS!$C$98)-CROQUIS!$C$107)/MAX(CROQUIS!$C$130,1))+1)))-1,0))*CROQUIS!$C$130),CHOOSE(IF(INT(($A202-1)/5)&gt;MAX((MIN(80,MAX(1,INT(((CROQUIS!$C$98)-CROQUIS!$C$107)/MAX(CROQUIS!$C$130,1))+1)))-1,0),0,MOD($A202-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0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202-1)/5),MAX((MIN(80,MAX(1,INT(((CROQUIS!$C$97)-CROQUIS!$C$107)/MAX(CROQUIS!$C$138,1))+1)))-1,0))*CROQUIS!$C$138),CHOOSE(IF(INT(($A202-1)/5)&gt;MAX((MIN(80,MAX(1,INT(((CROQUIS!$C$97)-CROQUIS!$C$107)/MAX(CROQUIS!$C$138,1))+1)))-1,0),0,MOD($A202-1,5))+1,0,IF(CROQUIS!$C$105=1,-12,2),CROQUIS!$C$107/2+CROQUIS!$C$141,IF(CROQUIS!$C$105=1,-12,2),0)))*CROQUIS!$C$155)+IF(CROQUIS!$C$92="X",0,0)),-1000)</f>
        <v>-1000</v>
      </c>
      <c r="BQ202">
        <f>IF(AND(CROQUIS!$C$88=1,CROQUIS!$C$91=0,CROQUIS!$C$138&gt;0,OR(CROQUIS!$C$105=1,CROQUIS!$C$143=1)),((CROQUIS!$C$157+(IF(CROQUIS!$C$92="X",CHOOSE(IF(INT(($A202-1)/5)&gt;MAX((MIN(80,MAX(1,INT(((CROQUIS!$C$97)-CROQUIS!$C$107)/MAX(CROQUIS!$C$138,1))+1)))-1,0),0,MOD($A202-1,5))+1,0,IF(CROQUIS!$C$105=1,-12,2),CROQUIS!$C$107/2+CROQUIS!$C$141,IF(CROQUIS!$C$105=1,-12,2),0),((CROQUIS!$C$107/2+(((CROQUIS!$C$97)-CROQUIS!$C$107)-(MIN(80,MAX(1,INT(((CROQUIS!$C$97)-CROQUIS!$C$107)/MAX(CROQUIS!$C$138,1))+1))-1)*CROQUIS!$C$138)/2)+MIN(INT(($A202-1)/5),MAX((MIN(80,MAX(1,INT(((CROQUIS!$C$97)-CROQUIS!$C$107)/MAX(CROQUIS!$C$138,1))+1)))-1,0))*CROQUIS!$C$138)))*CROQUIS!$C$155)+IF(CROQUIS!$C$92="X",0,0)),-1000)</f>
        <v>-1000</v>
      </c>
      <c r="BR20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202-1)/5),MAX((MIN(80,MAX(1,INT(((CROQUIS!$C$97)-CROQUIS!$C$107)/MAX(CROQUIS!$C$138,1))+1)))-1,0))*CROQUIS!$C$138),CHOOSE(IF(INT(($A202-1)/5)&gt;MAX((MIN(80,MAX(1,INT(((CROQUIS!$C$97)-CROQUIS!$C$107)/MAX(CROQUIS!$C$138,1))+1)))-1,0),0,MOD($A202-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02">
        <f>IF(AND(CROQUIS!$C$88=1,CROQUIS!$C$91=0,CROQUIS!$C$138&gt;0,OR(CROQUIS!$C$106=1,CROQUIS!$C$143=1)),((CROQUIS!$C$157+(IF(CROQUIS!$C$92="X",CHOOSE(IF(INT(($A202-1)/5)&gt;MAX((MIN(80,MAX(1,INT(((CROQUIS!$C$97)-CROQUIS!$C$107)/MAX(CROQUIS!$C$138,1))+1)))-1,0),0,MOD($A202-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202-1)/5),MAX((MIN(80,MAX(1,INT(((CROQUIS!$C$97)-CROQUIS!$C$107)/MAX(CROQUIS!$C$138,1))+1)))-1,0))*CROQUIS!$C$138)))*CROQUIS!$C$155)+IF(CROQUIS!$C$92="X",0,0)),-1000)</f>
        <v>-1000</v>
      </c>
      <c r="BT202">
        <f>IF(AND(CROQUIS!$C$88=1,CROQUIS!$C$91=1,CROQUIS!$C$130&gt;0),((CROQUIS!$C$156+(IF(CROQUIS!$C$92="X",CHOOSE(IF(INT(($A202-1)/5)&gt;MAX((MIN(80,MAX(1,INT(((CROQUIS!$C$98)-CROQUIS!$C$107)/MAX(CROQUIS!$C$130,1))+1)))-1,0),0,MOD($A202-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202-1)/5),MAX((MIN(80,MAX(1,INT(((CROQUIS!$C$98)-CROQUIS!$C$107)/MAX(CROQUIS!$C$130,1))+1)))-1,0))*CROQUIS!$C$130)))*CROQUIS!$C$155)+IF(CROQUIS!$C$92="X",0,0)),-1000)</f>
        <v>-1000</v>
      </c>
      <c r="BU202">
        <f>IF(AND(CROQUIS!$C$88=1,CROQUIS!$C$91=1,CROQUIS!$C$130&gt;0),((CROQUIS!$C$157+(IF(CROQUIS!$C$92="X",((CROQUIS!$C$107/2+(((CROQUIS!$C$98)-CROQUIS!$C$107)-(MIN(80,MAX(1,INT(((CROQUIS!$C$98)-CROQUIS!$C$107)/MAX(CROQUIS!$C$130,1))+1))-1)*CROQUIS!$C$130)/2)+MIN(INT(($A202-1)/5),MAX((MIN(80,MAX(1,INT(((CROQUIS!$C$98)-CROQUIS!$C$107)/MAX(CROQUIS!$C$130,1))+1)))-1,0))*CROQUIS!$C$130),CHOOSE(IF(INT(($A202-1)/5)&gt;MAX((MIN(80,MAX(1,INT(((CROQUIS!$C$98)-CROQUIS!$C$107)/MAX(CROQUIS!$C$130,1))+1)))-1,0),0,MOD($A202-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03">
      <c r="A203" t="n">
        <v>196</v>
      </c>
      <c r="BH203">
        <f>IF(AND(CROQUIS!$C$88=1,CROQUIS!$C$126&gt;0),((CROQUIS!$C$156+(IF(CROQUIS!$C$92="X",CHOOSE(IF(INT(($A203-1)/5)&gt;MAX((MIN(80,MAX(1,INT(((CROQUIS!$C$98)-CROQUIS!$C$107)/MAX(CROQUIS!$C$126,1))+1)))-1,0),0,MOD($A203-1,5))+1,0,2,CROQUIS!$C$97-2,2,0),((CROQUIS!$C$107/2+(((CROQUIS!$C$98)-CROQUIS!$C$107)-(MIN(80,MAX(1,INT(((CROQUIS!$C$98)-CROQUIS!$C$107)/MAX(CROQUIS!$C$126,1))+1))-1)*CROQUIS!$C$126)/2)+MIN(INT(($A203-1)/5),MAX((MIN(80,MAX(1,INT(((CROQUIS!$C$98)-CROQUIS!$C$107)/MAX(CROQUIS!$C$126,1))+1)))-1,0))*CROQUIS!$C$126)))*CROQUIS!$C$155)+IF(CROQUIS!$C$92="X",0,0)),-1000)</f>
        <v>-1000</v>
      </c>
      <c r="BI203">
        <f>IF(AND(CROQUIS!$C$88=1,CROQUIS!$C$126&gt;0),((CROQUIS!$C$157+(IF(CROQUIS!$C$92="X",((CROQUIS!$C$107/2+(((CROQUIS!$C$98)-CROQUIS!$C$107)-(MIN(80,MAX(1,INT(((CROQUIS!$C$98)-CROQUIS!$C$107)/MAX(CROQUIS!$C$126,1))+1))-1)*CROQUIS!$C$126)/2)+MIN(INT(($A203-1)/5),MAX((MIN(80,MAX(1,INT(((CROQUIS!$C$98)-CROQUIS!$C$107)/MAX(CROQUIS!$C$126,1))+1)))-1,0))*CROQUIS!$C$126),CHOOSE(IF(INT(($A203-1)/5)&gt;MAX((MIN(80,MAX(1,INT(((CROQUIS!$C$98)-CROQUIS!$C$107)/MAX(CROQUIS!$C$126,1))+1)))-1,0),0,MOD($A203-1,5))+1,0,2,CROQUIS!$C$97-2,2,0)))*CROQUIS!$C$155)+IF(CROQUIS!$C$92="X",0,0)),-1000)</f>
        <v>-1000</v>
      </c>
      <c r="BJ203">
        <f>IF(AND(CROQUIS!$C$88=1,CROQUIS!$C$134&gt;0),((CROQUIS!$C$156+(IF(CROQUIS!$C$92="X",((CROQUIS!$C$107/2+(((CROQUIS!$C$97)-CROQUIS!$C$107)-(MIN(80,MAX(1,INT(((CROQUIS!$C$97)-CROQUIS!$C$107)/MAX(CROQUIS!$C$134,1))+1))-1)*CROQUIS!$C$134)/2)+MIN(INT(($A203-1)/5),MAX((MIN(80,MAX(1,INT(((CROQUIS!$C$97)-CROQUIS!$C$107)/MAX(CROQUIS!$C$134,1))+1)))-1,0))*CROQUIS!$C$134),CHOOSE(IF(INT(($A203-1)/5)&gt;MAX((MIN(80,MAX(1,INT(((CROQUIS!$C$97)-CROQUIS!$C$107)/MAX(CROQUIS!$C$134,1))+1)))-1,0),0,MOD($A203-1,5))+1,0,2,CROQUIS!$C$98-2,2,0)))*CROQUIS!$C$155)+IF(CROQUIS!$C$92="X",0,0)),-1000)</f>
        <v>-1000</v>
      </c>
      <c r="BK203">
        <f>IF(AND(CROQUIS!$C$88=1,CROQUIS!$C$134&gt;0),((CROQUIS!$C$157+(IF(CROQUIS!$C$92="X",CHOOSE(IF(INT(($A203-1)/5)&gt;MAX((MIN(80,MAX(1,INT(((CROQUIS!$C$97)-CROQUIS!$C$107)/MAX(CROQUIS!$C$134,1))+1)))-1,0),0,MOD($A203-1,5))+1,0,2,CROQUIS!$C$98-2,2,0),((CROQUIS!$C$107/2+(((CROQUIS!$C$97)-CROQUIS!$C$107)-(MIN(80,MAX(1,INT(((CROQUIS!$C$97)-CROQUIS!$C$107)/MAX(CROQUIS!$C$134,1))+1))-1)*CROQUIS!$C$134)/2)+MIN(INT(($A203-1)/5),MAX((MIN(80,MAX(1,INT(((CROQUIS!$C$97)-CROQUIS!$C$107)/MAX(CROQUIS!$C$134,1))+1)))-1,0))*CROQUIS!$C$134)))*CROQUIS!$C$155)+IF(CROQUIS!$C$92="X",0,0)),-1000)</f>
        <v>-1000</v>
      </c>
      <c r="BL203">
        <f>IF(AND(CROQUIS!$C$88=1,CROQUIS!$C$91=0,CROQUIS!$C$130&gt;0,OR(CROQUIS!$C$103=1,CROQUIS!$C$142=1)),((CROQUIS!$C$156+(IF(CROQUIS!$C$92="X",CHOOSE(IF(INT(($A203-1)/5)&gt;MAX((MIN(80,MAX(1,INT(((CROQUIS!$C$98)-CROQUIS!$C$107)/MAX(CROQUIS!$C$130,1))+1)))-1,0),0,MOD($A203-1,5))+1,0,IF(CROQUIS!$C$103=1,-12,2),CROQUIS!$C$107/2+CROQUIS!$C$140,IF(CROQUIS!$C$103=1,-12,2),0),((CROQUIS!$C$107/2+(((CROQUIS!$C$98)-CROQUIS!$C$107)-(MIN(80,MAX(1,INT(((CROQUIS!$C$98)-CROQUIS!$C$107)/MAX(CROQUIS!$C$130,1))+1))-1)*CROQUIS!$C$130)/2)+MIN(INT(($A203-1)/5),MAX((MIN(80,MAX(1,INT(((CROQUIS!$C$98)-CROQUIS!$C$107)/MAX(CROQUIS!$C$130,1))+1)))-1,0))*CROQUIS!$C$130)))*CROQUIS!$C$155)+IF(CROQUIS!$C$92="X",0,0)),-1000)</f>
        <v>-1000</v>
      </c>
      <c r="BM20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203-1)/5),MAX((MIN(80,MAX(1,INT(((CROQUIS!$C$98)-CROQUIS!$C$107)/MAX(CROQUIS!$C$130,1))+1)))-1,0))*CROQUIS!$C$130),CHOOSE(IF(INT(($A203-1)/5)&gt;MAX((MIN(80,MAX(1,INT(((CROQUIS!$C$98)-CROQUIS!$C$107)/MAX(CROQUIS!$C$130,1))+1)))-1,0),0,MOD($A203-1,5))+1,0,IF(CROQUIS!$C$103=1,-12,2),CROQUIS!$C$107/2+CROQUIS!$C$140,IF(CROQUIS!$C$103=1,-12,2),0)))*CROQUIS!$C$155)+IF(CROQUIS!$C$92="X",0,0)),-1000)</f>
        <v>-1000</v>
      </c>
      <c r="BN203">
        <f>IF(AND(CROQUIS!$C$88=1,CROQUIS!$C$91=0,CROQUIS!$C$130&gt;0,OR(CROQUIS!$C$104=1,CROQUIS!$C$142=1)),((CROQUIS!$C$156+(IF(CROQUIS!$C$92="X",CHOOSE(IF(INT(($A203-1)/5)&gt;MAX((MIN(80,MAX(1,INT(((CROQUIS!$C$98)-CROQUIS!$C$107)/MAX(CROQUIS!$C$130,1))+1)))-1,0),0,MOD($A203-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203-1)/5),MAX((MIN(80,MAX(1,INT(((CROQUIS!$C$98)-CROQUIS!$C$107)/MAX(CROQUIS!$C$130,1))+1)))-1,0))*CROQUIS!$C$130)))*CROQUIS!$C$155)+IF(CROQUIS!$C$92="X",0,0)),-1000)</f>
        <v>-1000</v>
      </c>
      <c r="BO20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203-1)/5),MAX((MIN(80,MAX(1,INT(((CROQUIS!$C$98)-CROQUIS!$C$107)/MAX(CROQUIS!$C$130,1))+1)))-1,0))*CROQUIS!$C$130),CHOOSE(IF(INT(($A203-1)/5)&gt;MAX((MIN(80,MAX(1,INT(((CROQUIS!$C$98)-CROQUIS!$C$107)/MAX(CROQUIS!$C$130,1))+1)))-1,0),0,MOD($A203-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0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203-1)/5),MAX((MIN(80,MAX(1,INT(((CROQUIS!$C$97)-CROQUIS!$C$107)/MAX(CROQUIS!$C$138,1))+1)))-1,0))*CROQUIS!$C$138),CHOOSE(IF(INT(($A203-1)/5)&gt;MAX((MIN(80,MAX(1,INT(((CROQUIS!$C$97)-CROQUIS!$C$107)/MAX(CROQUIS!$C$138,1))+1)))-1,0),0,MOD($A203-1,5))+1,0,IF(CROQUIS!$C$105=1,-12,2),CROQUIS!$C$107/2+CROQUIS!$C$141,IF(CROQUIS!$C$105=1,-12,2),0)))*CROQUIS!$C$155)+IF(CROQUIS!$C$92="X",0,0)),-1000)</f>
        <v>-1000</v>
      </c>
      <c r="BQ203">
        <f>IF(AND(CROQUIS!$C$88=1,CROQUIS!$C$91=0,CROQUIS!$C$138&gt;0,OR(CROQUIS!$C$105=1,CROQUIS!$C$143=1)),((CROQUIS!$C$157+(IF(CROQUIS!$C$92="X",CHOOSE(IF(INT(($A203-1)/5)&gt;MAX((MIN(80,MAX(1,INT(((CROQUIS!$C$97)-CROQUIS!$C$107)/MAX(CROQUIS!$C$138,1))+1)))-1,0),0,MOD($A203-1,5))+1,0,IF(CROQUIS!$C$105=1,-12,2),CROQUIS!$C$107/2+CROQUIS!$C$141,IF(CROQUIS!$C$105=1,-12,2),0),((CROQUIS!$C$107/2+(((CROQUIS!$C$97)-CROQUIS!$C$107)-(MIN(80,MAX(1,INT(((CROQUIS!$C$97)-CROQUIS!$C$107)/MAX(CROQUIS!$C$138,1))+1))-1)*CROQUIS!$C$138)/2)+MIN(INT(($A203-1)/5),MAX((MIN(80,MAX(1,INT(((CROQUIS!$C$97)-CROQUIS!$C$107)/MAX(CROQUIS!$C$138,1))+1)))-1,0))*CROQUIS!$C$138)))*CROQUIS!$C$155)+IF(CROQUIS!$C$92="X",0,0)),-1000)</f>
        <v>-1000</v>
      </c>
      <c r="BR20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203-1)/5),MAX((MIN(80,MAX(1,INT(((CROQUIS!$C$97)-CROQUIS!$C$107)/MAX(CROQUIS!$C$138,1))+1)))-1,0))*CROQUIS!$C$138),CHOOSE(IF(INT(($A203-1)/5)&gt;MAX((MIN(80,MAX(1,INT(((CROQUIS!$C$97)-CROQUIS!$C$107)/MAX(CROQUIS!$C$138,1))+1)))-1,0),0,MOD($A203-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03">
        <f>IF(AND(CROQUIS!$C$88=1,CROQUIS!$C$91=0,CROQUIS!$C$138&gt;0,OR(CROQUIS!$C$106=1,CROQUIS!$C$143=1)),((CROQUIS!$C$157+(IF(CROQUIS!$C$92="X",CHOOSE(IF(INT(($A203-1)/5)&gt;MAX((MIN(80,MAX(1,INT(((CROQUIS!$C$97)-CROQUIS!$C$107)/MAX(CROQUIS!$C$138,1))+1)))-1,0),0,MOD($A203-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203-1)/5),MAX((MIN(80,MAX(1,INT(((CROQUIS!$C$97)-CROQUIS!$C$107)/MAX(CROQUIS!$C$138,1))+1)))-1,0))*CROQUIS!$C$138)))*CROQUIS!$C$155)+IF(CROQUIS!$C$92="X",0,0)),-1000)</f>
        <v>-1000</v>
      </c>
      <c r="BT203">
        <f>IF(AND(CROQUIS!$C$88=1,CROQUIS!$C$91=1,CROQUIS!$C$130&gt;0),((CROQUIS!$C$156+(IF(CROQUIS!$C$92="X",CHOOSE(IF(INT(($A203-1)/5)&gt;MAX((MIN(80,MAX(1,INT(((CROQUIS!$C$98)-CROQUIS!$C$107)/MAX(CROQUIS!$C$130,1))+1)))-1,0),0,MOD($A203-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203-1)/5),MAX((MIN(80,MAX(1,INT(((CROQUIS!$C$98)-CROQUIS!$C$107)/MAX(CROQUIS!$C$130,1))+1)))-1,0))*CROQUIS!$C$130)))*CROQUIS!$C$155)+IF(CROQUIS!$C$92="X",0,0)),-1000)</f>
        <v>-1000</v>
      </c>
      <c r="BU203">
        <f>IF(AND(CROQUIS!$C$88=1,CROQUIS!$C$91=1,CROQUIS!$C$130&gt;0),((CROQUIS!$C$157+(IF(CROQUIS!$C$92="X",((CROQUIS!$C$107/2+(((CROQUIS!$C$98)-CROQUIS!$C$107)-(MIN(80,MAX(1,INT(((CROQUIS!$C$98)-CROQUIS!$C$107)/MAX(CROQUIS!$C$130,1))+1))-1)*CROQUIS!$C$130)/2)+MIN(INT(($A203-1)/5),MAX((MIN(80,MAX(1,INT(((CROQUIS!$C$98)-CROQUIS!$C$107)/MAX(CROQUIS!$C$130,1))+1)))-1,0))*CROQUIS!$C$130),CHOOSE(IF(INT(($A203-1)/5)&gt;MAX((MIN(80,MAX(1,INT(((CROQUIS!$C$98)-CROQUIS!$C$107)/MAX(CROQUIS!$C$130,1))+1)))-1,0),0,MOD($A203-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04">
      <c r="A204" t="n">
        <v>197</v>
      </c>
      <c r="BH204">
        <f>IF(AND(CROQUIS!$C$88=1,CROQUIS!$C$126&gt;0),((CROQUIS!$C$156+(IF(CROQUIS!$C$92="X",CHOOSE(IF(INT(($A204-1)/5)&gt;MAX((MIN(80,MAX(1,INT(((CROQUIS!$C$98)-CROQUIS!$C$107)/MAX(CROQUIS!$C$126,1))+1)))-1,0),0,MOD($A204-1,5))+1,0,2,CROQUIS!$C$97-2,2,0),((CROQUIS!$C$107/2+(((CROQUIS!$C$98)-CROQUIS!$C$107)-(MIN(80,MAX(1,INT(((CROQUIS!$C$98)-CROQUIS!$C$107)/MAX(CROQUIS!$C$126,1))+1))-1)*CROQUIS!$C$126)/2)+MIN(INT(($A204-1)/5),MAX((MIN(80,MAX(1,INT(((CROQUIS!$C$98)-CROQUIS!$C$107)/MAX(CROQUIS!$C$126,1))+1)))-1,0))*CROQUIS!$C$126)))*CROQUIS!$C$155)+IF(CROQUIS!$C$92="X",0,0)),-1000)</f>
        <v>-1000</v>
      </c>
      <c r="BI204">
        <f>IF(AND(CROQUIS!$C$88=1,CROQUIS!$C$126&gt;0),((CROQUIS!$C$157+(IF(CROQUIS!$C$92="X",((CROQUIS!$C$107/2+(((CROQUIS!$C$98)-CROQUIS!$C$107)-(MIN(80,MAX(1,INT(((CROQUIS!$C$98)-CROQUIS!$C$107)/MAX(CROQUIS!$C$126,1))+1))-1)*CROQUIS!$C$126)/2)+MIN(INT(($A204-1)/5),MAX((MIN(80,MAX(1,INT(((CROQUIS!$C$98)-CROQUIS!$C$107)/MAX(CROQUIS!$C$126,1))+1)))-1,0))*CROQUIS!$C$126),CHOOSE(IF(INT(($A204-1)/5)&gt;MAX((MIN(80,MAX(1,INT(((CROQUIS!$C$98)-CROQUIS!$C$107)/MAX(CROQUIS!$C$126,1))+1)))-1,0),0,MOD($A204-1,5))+1,0,2,CROQUIS!$C$97-2,2,0)))*CROQUIS!$C$155)+IF(CROQUIS!$C$92="X",0,0)),-1000)</f>
        <v>-1000</v>
      </c>
      <c r="BJ204">
        <f>IF(AND(CROQUIS!$C$88=1,CROQUIS!$C$134&gt;0),((CROQUIS!$C$156+(IF(CROQUIS!$C$92="X",((CROQUIS!$C$107/2+(((CROQUIS!$C$97)-CROQUIS!$C$107)-(MIN(80,MAX(1,INT(((CROQUIS!$C$97)-CROQUIS!$C$107)/MAX(CROQUIS!$C$134,1))+1))-1)*CROQUIS!$C$134)/2)+MIN(INT(($A204-1)/5),MAX((MIN(80,MAX(1,INT(((CROQUIS!$C$97)-CROQUIS!$C$107)/MAX(CROQUIS!$C$134,1))+1)))-1,0))*CROQUIS!$C$134),CHOOSE(IF(INT(($A204-1)/5)&gt;MAX((MIN(80,MAX(1,INT(((CROQUIS!$C$97)-CROQUIS!$C$107)/MAX(CROQUIS!$C$134,1))+1)))-1,0),0,MOD($A204-1,5))+1,0,2,CROQUIS!$C$98-2,2,0)))*CROQUIS!$C$155)+IF(CROQUIS!$C$92="X",0,0)),-1000)</f>
        <v>-1000</v>
      </c>
      <c r="BK204">
        <f>IF(AND(CROQUIS!$C$88=1,CROQUIS!$C$134&gt;0),((CROQUIS!$C$157+(IF(CROQUIS!$C$92="X",CHOOSE(IF(INT(($A204-1)/5)&gt;MAX((MIN(80,MAX(1,INT(((CROQUIS!$C$97)-CROQUIS!$C$107)/MAX(CROQUIS!$C$134,1))+1)))-1,0),0,MOD($A204-1,5))+1,0,2,CROQUIS!$C$98-2,2,0),((CROQUIS!$C$107/2+(((CROQUIS!$C$97)-CROQUIS!$C$107)-(MIN(80,MAX(1,INT(((CROQUIS!$C$97)-CROQUIS!$C$107)/MAX(CROQUIS!$C$134,1))+1))-1)*CROQUIS!$C$134)/2)+MIN(INT(($A204-1)/5),MAX((MIN(80,MAX(1,INT(((CROQUIS!$C$97)-CROQUIS!$C$107)/MAX(CROQUIS!$C$134,1))+1)))-1,0))*CROQUIS!$C$134)))*CROQUIS!$C$155)+IF(CROQUIS!$C$92="X",0,0)),-1000)</f>
        <v>-1000</v>
      </c>
      <c r="BL204">
        <f>IF(AND(CROQUIS!$C$88=1,CROQUIS!$C$91=0,CROQUIS!$C$130&gt;0,OR(CROQUIS!$C$103=1,CROQUIS!$C$142=1)),((CROQUIS!$C$156+(IF(CROQUIS!$C$92="X",CHOOSE(IF(INT(($A204-1)/5)&gt;MAX((MIN(80,MAX(1,INT(((CROQUIS!$C$98)-CROQUIS!$C$107)/MAX(CROQUIS!$C$130,1))+1)))-1,0),0,MOD($A204-1,5))+1,0,IF(CROQUIS!$C$103=1,-12,2),CROQUIS!$C$107/2+CROQUIS!$C$140,IF(CROQUIS!$C$103=1,-12,2),0),((CROQUIS!$C$107/2+(((CROQUIS!$C$98)-CROQUIS!$C$107)-(MIN(80,MAX(1,INT(((CROQUIS!$C$98)-CROQUIS!$C$107)/MAX(CROQUIS!$C$130,1))+1))-1)*CROQUIS!$C$130)/2)+MIN(INT(($A204-1)/5),MAX((MIN(80,MAX(1,INT(((CROQUIS!$C$98)-CROQUIS!$C$107)/MAX(CROQUIS!$C$130,1))+1)))-1,0))*CROQUIS!$C$130)))*CROQUIS!$C$155)+IF(CROQUIS!$C$92="X",0,0)),-1000)</f>
        <v>-1000</v>
      </c>
      <c r="BM20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204-1)/5),MAX((MIN(80,MAX(1,INT(((CROQUIS!$C$98)-CROQUIS!$C$107)/MAX(CROQUIS!$C$130,1))+1)))-1,0))*CROQUIS!$C$130),CHOOSE(IF(INT(($A204-1)/5)&gt;MAX((MIN(80,MAX(1,INT(((CROQUIS!$C$98)-CROQUIS!$C$107)/MAX(CROQUIS!$C$130,1))+1)))-1,0),0,MOD($A204-1,5))+1,0,IF(CROQUIS!$C$103=1,-12,2),CROQUIS!$C$107/2+CROQUIS!$C$140,IF(CROQUIS!$C$103=1,-12,2),0)))*CROQUIS!$C$155)+IF(CROQUIS!$C$92="X",0,0)),-1000)</f>
        <v>-1000</v>
      </c>
      <c r="BN204">
        <f>IF(AND(CROQUIS!$C$88=1,CROQUIS!$C$91=0,CROQUIS!$C$130&gt;0,OR(CROQUIS!$C$104=1,CROQUIS!$C$142=1)),((CROQUIS!$C$156+(IF(CROQUIS!$C$92="X",CHOOSE(IF(INT(($A204-1)/5)&gt;MAX((MIN(80,MAX(1,INT(((CROQUIS!$C$98)-CROQUIS!$C$107)/MAX(CROQUIS!$C$130,1))+1)))-1,0),0,MOD($A204-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204-1)/5),MAX((MIN(80,MAX(1,INT(((CROQUIS!$C$98)-CROQUIS!$C$107)/MAX(CROQUIS!$C$130,1))+1)))-1,0))*CROQUIS!$C$130)))*CROQUIS!$C$155)+IF(CROQUIS!$C$92="X",0,0)),-1000)</f>
        <v>-1000</v>
      </c>
      <c r="BO20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204-1)/5),MAX((MIN(80,MAX(1,INT(((CROQUIS!$C$98)-CROQUIS!$C$107)/MAX(CROQUIS!$C$130,1))+1)))-1,0))*CROQUIS!$C$130),CHOOSE(IF(INT(($A204-1)/5)&gt;MAX((MIN(80,MAX(1,INT(((CROQUIS!$C$98)-CROQUIS!$C$107)/MAX(CROQUIS!$C$130,1))+1)))-1,0),0,MOD($A204-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0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204-1)/5),MAX((MIN(80,MAX(1,INT(((CROQUIS!$C$97)-CROQUIS!$C$107)/MAX(CROQUIS!$C$138,1))+1)))-1,0))*CROQUIS!$C$138),CHOOSE(IF(INT(($A204-1)/5)&gt;MAX((MIN(80,MAX(1,INT(((CROQUIS!$C$97)-CROQUIS!$C$107)/MAX(CROQUIS!$C$138,1))+1)))-1,0),0,MOD($A204-1,5))+1,0,IF(CROQUIS!$C$105=1,-12,2),CROQUIS!$C$107/2+CROQUIS!$C$141,IF(CROQUIS!$C$105=1,-12,2),0)))*CROQUIS!$C$155)+IF(CROQUIS!$C$92="X",0,0)),-1000)</f>
        <v>-1000</v>
      </c>
      <c r="BQ204">
        <f>IF(AND(CROQUIS!$C$88=1,CROQUIS!$C$91=0,CROQUIS!$C$138&gt;0,OR(CROQUIS!$C$105=1,CROQUIS!$C$143=1)),((CROQUIS!$C$157+(IF(CROQUIS!$C$92="X",CHOOSE(IF(INT(($A204-1)/5)&gt;MAX((MIN(80,MAX(1,INT(((CROQUIS!$C$97)-CROQUIS!$C$107)/MAX(CROQUIS!$C$138,1))+1)))-1,0),0,MOD($A204-1,5))+1,0,IF(CROQUIS!$C$105=1,-12,2),CROQUIS!$C$107/2+CROQUIS!$C$141,IF(CROQUIS!$C$105=1,-12,2),0),((CROQUIS!$C$107/2+(((CROQUIS!$C$97)-CROQUIS!$C$107)-(MIN(80,MAX(1,INT(((CROQUIS!$C$97)-CROQUIS!$C$107)/MAX(CROQUIS!$C$138,1))+1))-1)*CROQUIS!$C$138)/2)+MIN(INT(($A204-1)/5),MAX((MIN(80,MAX(1,INT(((CROQUIS!$C$97)-CROQUIS!$C$107)/MAX(CROQUIS!$C$138,1))+1)))-1,0))*CROQUIS!$C$138)))*CROQUIS!$C$155)+IF(CROQUIS!$C$92="X",0,0)),-1000)</f>
        <v>-1000</v>
      </c>
      <c r="BR20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204-1)/5),MAX((MIN(80,MAX(1,INT(((CROQUIS!$C$97)-CROQUIS!$C$107)/MAX(CROQUIS!$C$138,1))+1)))-1,0))*CROQUIS!$C$138),CHOOSE(IF(INT(($A204-1)/5)&gt;MAX((MIN(80,MAX(1,INT(((CROQUIS!$C$97)-CROQUIS!$C$107)/MAX(CROQUIS!$C$138,1))+1)))-1,0),0,MOD($A204-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04">
        <f>IF(AND(CROQUIS!$C$88=1,CROQUIS!$C$91=0,CROQUIS!$C$138&gt;0,OR(CROQUIS!$C$106=1,CROQUIS!$C$143=1)),((CROQUIS!$C$157+(IF(CROQUIS!$C$92="X",CHOOSE(IF(INT(($A204-1)/5)&gt;MAX((MIN(80,MAX(1,INT(((CROQUIS!$C$97)-CROQUIS!$C$107)/MAX(CROQUIS!$C$138,1))+1)))-1,0),0,MOD($A204-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204-1)/5),MAX((MIN(80,MAX(1,INT(((CROQUIS!$C$97)-CROQUIS!$C$107)/MAX(CROQUIS!$C$138,1))+1)))-1,0))*CROQUIS!$C$138)))*CROQUIS!$C$155)+IF(CROQUIS!$C$92="X",0,0)),-1000)</f>
        <v>-1000</v>
      </c>
      <c r="BT204">
        <f>IF(AND(CROQUIS!$C$88=1,CROQUIS!$C$91=1,CROQUIS!$C$130&gt;0),((CROQUIS!$C$156+(IF(CROQUIS!$C$92="X",CHOOSE(IF(INT(($A204-1)/5)&gt;MAX((MIN(80,MAX(1,INT(((CROQUIS!$C$98)-CROQUIS!$C$107)/MAX(CROQUIS!$C$130,1))+1)))-1,0),0,MOD($A204-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204-1)/5),MAX((MIN(80,MAX(1,INT(((CROQUIS!$C$98)-CROQUIS!$C$107)/MAX(CROQUIS!$C$130,1))+1)))-1,0))*CROQUIS!$C$130)))*CROQUIS!$C$155)+IF(CROQUIS!$C$92="X",0,0)),-1000)</f>
        <v>-1000</v>
      </c>
      <c r="BU204">
        <f>IF(AND(CROQUIS!$C$88=1,CROQUIS!$C$91=1,CROQUIS!$C$130&gt;0),((CROQUIS!$C$157+(IF(CROQUIS!$C$92="X",((CROQUIS!$C$107/2+(((CROQUIS!$C$98)-CROQUIS!$C$107)-(MIN(80,MAX(1,INT(((CROQUIS!$C$98)-CROQUIS!$C$107)/MAX(CROQUIS!$C$130,1))+1))-1)*CROQUIS!$C$130)/2)+MIN(INT(($A204-1)/5),MAX((MIN(80,MAX(1,INT(((CROQUIS!$C$98)-CROQUIS!$C$107)/MAX(CROQUIS!$C$130,1))+1)))-1,0))*CROQUIS!$C$130),CHOOSE(IF(INT(($A204-1)/5)&gt;MAX((MIN(80,MAX(1,INT(((CROQUIS!$C$98)-CROQUIS!$C$107)/MAX(CROQUIS!$C$130,1))+1)))-1,0),0,MOD($A204-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05">
      <c r="A205" t="n">
        <v>198</v>
      </c>
      <c r="BH205">
        <f>IF(AND(CROQUIS!$C$88=1,CROQUIS!$C$126&gt;0),((CROQUIS!$C$156+(IF(CROQUIS!$C$92="X",CHOOSE(IF(INT(($A205-1)/5)&gt;MAX((MIN(80,MAX(1,INT(((CROQUIS!$C$98)-CROQUIS!$C$107)/MAX(CROQUIS!$C$126,1))+1)))-1,0),0,MOD($A205-1,5))+1,0,2,CROQUIS!$C$97-2,2,0),((CROQUIS!$C$107/2+(((CROQUIS!$C$98)-CROQUIS!$C$107)-(MIN(80,MAX(1,INT(((CROQUIS!$C$98)-CROQUIS!$C$107)/MAX(CROQUIS!$C$126,1))+1))-1)*CROQUIS!$C$126)/2)+MIN(INT(($A205-1)/5),MAX((MIN(80,MAX(1,INT(((CROQUIS!$C$98)-CROQUIS!$C$107)/MAX(CROQUIS!$C$126,1))+1)))-1,0))*CROQUIS!$C$126)))*CROQUIS!$C$155)+IF(CROQUIS!$C$92="X",0,0)),-1000)</f>
        <v>-1000</v>
      </c>
      <c r="BI205">
        <f>IF(AND(CROQUIS!$C$88=1,CROQUIS!$C$126&gt;0),((CROQUIS!$C$157+(IF(CROQUIS!$C$92="X",((CROQUIS!$C$107/2+(((CROQUIS!$C$98)-CROQUIS!$C$107)-(MIN(80,MAX(1,INT(((CROQUIS!$C$98)-CROQUIS!$C$107)/MAX(CROQUIS!$C$126,1))+1))-1)*CROQUIS!$C$126)/2)+MIN(INT(($A205-1)/5),MAX((MIN(80,MAX(1,INT(((CROQUIS!$C$98)-CROQUIS!$C$107)/MAX(CROQUIS!$C$126,1))+1)))-1,0))*CROQUIS!$C$126),CHOOSE(IF(INT(($A205-1)/5)&gt;MAX((MIN(80,MAX(1,INT(((CROQUIS!$C$98)-CROQUIS!$C$107)/MAX(CROQUIS!$C$126,1))+1)))-1,0),0,MOD($A205-1,5))+1,0,2,CROQUIS!$C$97-2,2,0)))*CROQUIS!$C$155)+IF(CROQUIS!$C$92="X",0,0)),-1000)</f>
        <v>-1000</v>
      </c>
      <c r="BJ205">
        <f>IF(AND(CROQUIS!$C$88=1,CROQUIS!$C$134&gt;0),((CROQUIS!$C$156+(IF(CROQUIS!$C$92="X",((CROQUIS!$C$107/2+(((CROQUIS!$C$97)-CROQUIS!$C$107)-(MIN(80,MAX(1,INT(((CROQUIS!$C$97)-CROQUIS!$C$107)/MAX(CROQUIS!$C$134,1))+1))-1)*CROQUIS!$C$134)/2)+MIN(INT(($A205-1)/5),MAX((MIN(80,MAX(1,INT(((CROQUIS!$C$97)-CROQUIS!$C$107)/MAX(CROQUIS!$C$134,1))+1)))-1,0))*CROQUIS!$C$134),CHOOSE(IF(INT(($A205-1)/5)&gt;MAX((MIN(80,MAX(1,INT(((CROQUIS!$C$97)-CROQUIS!$C$107)/MAX(CROQUIS!$C$134,1))+1)))-1,0),0,MOD($A205-1,5))+1,0,2,CROQUIS!$C$98-2,2,0)))*CROQUIS!$C$155)+IF(CROQUIS!$C$92="X",0,0)),-1000)</f>
        <v>-1000</v>
      </c>
      <c r="BK205">
        <f>IF(AND(CROQUIS!$C$88=1,CROQUIS!$C$134&gt;0),((CROQUIS!$C$157+(IF(CROQUIS!$C$92="X",CHOOSE(IF(INT(($A205-1)/5)&gt;MAX((MIN(80,MAX(1,INT(((CROQUIS!$C$97)-CROQUIS!$C$107)/MAX(CROQUIS!$C$134,1))+1)))-1,0),0,MOD($A205-1,5))+1,0,2,CROQUIS!$C$98-2,2,0),((CROQUIS!$C$107/2+(((CROQUIS!$C$97)-CROQUIS!$C$107)-(MIN(80,MAX(1,INT(((CROQUIS!$C$97)-CROQUIS!$C$107)/MAX(CROQUIS!$C$134,1))+1))-1)*CROQUIS!$C$134)/2)+MIN(INT(($A205-1)/5),MAX((MIN(80,MAX(1,INT(((CROQUIS!$C$97)-CROQUIS!$C$107)/MAX(CROQUIS!$C$134,1))+1)))-1,0))*CROQUIS!$C$134)))*CROQUIS!$C$155)+IF(CROQUIS!$C$92="X",0,0)),-1000)</f>
        <v>-1000</v>
      </c>
      <c r="BL205">
        <f>IF(AND(CROQUIS!$C$88=1,CROQUIS!$C$91=0,CROQUIS!$C$130&gt;0,OR(CROQUIS!$C$103=1,CROQUIS!$C$142=1)),((CROQUIS!$C$156+(IF(CROQUIS!$C$92="X",CHOOSE(IF(INT(($A205-1)/5)&gt;MAX((MIN(80,MAX(1,INT(((CROQUIS!$C$98)-CROQUIS!$C$107)/MAX(CROQUIS!$C$130,1))+1)))-1,0),0,MOD($A205-1,5))+1,0,IF(CROQUIS!$C$103=1,-12,2),CROQUIS!$C$107/2+CROQUIS!$C$140,IF(CROQUIS!$C$103=1,-12,2),0),((CROQUIS!$C$107/2+(((CROQUIS!$C$98)-CROQUIS!$C$107)-(MIN(80,MAX(1,INT(((CROQUIS!$C$98)-CROQUIS!$C$107)/MAX(CROQUIS!$C$130,1))+1))-1)*CROQUIS!$C$130)/2)+MIN(INT(($A205-1)/5),MAX((MIN(80,MAX(1,INT(((CROQUIS!$C$98)-CROQUIS!$C$107)/MAX(CROQUIS!$C$130,1))+1)))-1,0))*CROQUIS!$C$130)))*CROQUIS!$C$155)+IF(CROQUIS!$C$92="X",0,0)),-1000)</f>
        <v>-1000</v>
      </c>
      <c r="BM20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205-1)/5),MAX((MIN(80,MAX(1,INT(((CROQUIS!$C$98)-CROQUIS!$C$107)/MAX(CROQUIS!$C$130,1))+1)))-1,0))*CROQUIS!$C$130),CHOOSE(IF(INT(($A205-1)/5)&gt;MAX((MIN(80,MAX(1,INT(((CROQUIS!$C$98)-CROQUIS!$C$107)/MAX(CROQUIS!$C$130,1))+1)))-1,0),0,MOD($A205-1,5))+1,0,IF(CROQUIS!$C$103=1,-12,2),CROQUIS!$C$107/2+CROQUIS!$C$140,IF(CROQUIS!$C$103=1,-12,2),0)))*CROQUIS!$C$155)+IF(CROQUIS!$C$92="X",0,0)),-1000)</f>
        <v>-1000</v>
      </c>
      <c r="BN205">
        <f>IF(AND(CROQUIS!$C$88=1,CROQUIS!$C$91=0,CROQUIS!$C$130&gt;0,OR(CROQUIS!$C$104=1,CROQUIS!$C$142=1)),((CROQUIS!$C$156+(IF(CROQUIS!$C$92="X",CHOOSE(IF(INT(($A205-1)/5)&gt;MAX((MIN(80,MAX(1,INT(((CROQUIS!$C$98)-CROQUIS!$C$107)/MAX(CROQUIS!$C$130,1))+1)))-1,0),0,MOD($A205-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205-1)/5),MAX((MIN(80,MAX(1,INT(((CROQUIS!$C$98)-CROQUIS!$C$107)/MAX(CROQUIS!$C$130,1))+1)))-1,0))*CROQUIS!$C$130)))*CROQUIS!$C$155)+IF(CROQUIS!$C$92="X",0,0)),-1000)</f>
        <v>-1000</v>
      </c>
      <c r="BO20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205-1)/5),MAX((MIN(80,MAX(1,INT(((CROQUIS!$C$98)-CROQUIS!$C$107)/MAX(CROQUIS!$C$130,1))+1)))-1,0))*CROQUIS!$C$130),CHOOSE(IF(INT(($A205-1)/5)&gt;MAX((MIN(80,MAX(1,INT(((CROQUIS!$C$98)-CROQUIS!$C$107)/MAX(CROQUIS!$C$130,1))+1)))-1,0),0,MOD($A205-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0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205-1)/5),MAX((MIN(80,MAX(1,INT(((CROQUIS!$C$97)-CROQUIS!$C$107)/MAX(CROQUIS!$C$138,1))+1)))-1,0))*CROQUIS!$C$138),CHOOSE(IF(INT(($A205-1)/5)&gt;MAX((MIN(80,MAX(1,INT(((CROQUIS!$C$97)-CROQUIS!$C$107)/MAX(CROQUIS!$C$138,1))+1)))-1,0),0,MOD($A205-1,5))+1,0,IF(CROQUIS!$C$105=1,-12,2),CROQUIS!$C$107/2+CROQUIS!$C$141,IF(CROQUIS!$C$105=1,-12,2),0)))*CROQUIS!$C$155)+IF(CROQUIS!$C$92="X",0,0)),-1000)</f>
        <v>-1000</v>
      </c>
      <c r="BQ205">
        <f>IF(AND(CROQUIS!$C$88=1,CROQUIS!$C$91=0,CROQUIS!$C$138&gt;0,OR(CROQUIS!$C$105=1,CROQUIS!$C$143=1)),((CROQUIS!$C$157+(IF(CROQUIS!$C$92="X",CHOOSE(IF(INT(($A205-1)/5)&gt;MAX((MIN(80,MAX(1,INT(((CROQUIS!$C$97)-CROQUIS!$C$107)/MAX(CROQUIS!$C$138,1))+1)))-1,0),0,MOD($A205-1,5))+1,0,IF(CROQUIS!$C$105=1,-12,2),CROQUIS!$C$107/2+CROQUIS!$C$141,IF(CROQUIS!$C$105=1,-12,2),0),((CROQUIS!$C$107/2+(((CROQUIS!$C$97)-CROQUIS!$C$107)-(MIN(80,MAX(1,INT(((CROQUIS!$C$97)-CROQUIS!$C$107)/MAX(CROQUIS!$C$138,1))+1))-1)*CROQUIS!$C$138)/2)+MIN(INT(($A205-1)/5),MAX((MIN(80,MAX(1,INT(((CROQUIS!$C$97)-CROQUIS!$C$107)/MAX(CROQUIS!$C$138,1))+1)))-1,0))*CROQUIS!$C$138)))*CROQUIS!$C$155)+IF(CROQUIS!$C$92="X",0,0)),-1000)</f>
        <v>-1000</v>
      </c>
      <c r="BR20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205-1)/5),MAX((MIN(80,MAX(1,INT(((CROQUIS!$C$97)-CROQUIS!$C$107)/MAX(CROQUIS!$C$138,1))+1)))-1,0))*CROQUIS!$C$138),CHOOSE(IF(INT(($A205-1)/5)&gt;MAX((MIN(80,MAX(1,INT(((CROQUIS!$C$97)-CROQUIS!$C$107)/MAX(CROQUIS!$C$138,1))+1)))-1,0),0,MOD($A205-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05">
        <f>IF(AND(CROQUIS!$C$88=1,CROQUIS!$C$91=0,CROQUIS!$C$138&gt;0,OR(CROQUIS!$C$106=1,CROQUIS!$C$143=1)),((CROQUIS!$C$157+(IF(CROQUIS!$C$92="X",CHOOSE(IF(INT(($A205-1)/5)&gt;MAX((MIN(80,MAX(1,INT(((CROQUIS!$C$97)-CROQUIS!$C$107)/MAX(CROQUIS!$C$138,1))+1)))-1,0),0,MOD($A205-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205-1)/5),MAX((MIN(80,MAX(1,INT(((CROQUIS!$C$97)-CROQUIS!$C$107)/MAX(CROQUIS!$C$138,1))+1)))-1,0))*CROQUIS!$C$138)))*CROQUIS!$C$155)+IF(CROQUIS!$C$92="X",0,0)),-1000)</f>
        <v>-1000</v>
      </c>
      <c r="BT205">
        <f>IF(AND(CROQUIS!$C$88=1,CROQUIS!$C$91=1,CROQUIS!$C$130&gt;0),((CROQUIS!$C$156+(IF(CROQUIS!$C$92="X",CHOOSE(IF(INT(($A205-1)/5)&gt;MAX((MIN(80,MAX(1,INT(((CROQUIS!$C$98)-CROQUIS!$C$107)/MAX(CROQUIS!$C$130,1))+1)))-1,0),0,MOD($A205-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205-1)/5),MAX((MIN(80,MAX(1,INT(((CROQUIS!$C$98)-CROQUIS!$C$107)/MAX(CROQUIS!$C$130,1))+1)))-1,0))*CROQUIS!$C$130)))*CROQUIS!$C$155)+IF(CROQUIS!$C$92="X",0,0)),-1000)</f>
        <v>-1000</v>
      </c>
      <c r="BU205">
        <f>IF(AND(CROQUIS!$C$88=1,CROQUIS!$C$91=1,CROQUIS!$C$130&gt;0),((CROQUIS!$C$157+(IF(CROQUIS!$C$92="X",((CROQUIS!$C$107/2+(((CROQUIS!$C$98)-CROQUIS!$C$107)-(MIN(80,MAX(1,INT(((CROQUIS!$C$98)-CROQUIS!$C$107)/MAX(CROQUIS!$C$130,1))+1))-1)*CROQUIS!$C$130)/2)+MIN(INT(($A205-1)/5),MAX((MIN(80,MAX(1,INT(((CROQUIS!$C$98)-CROQUIS!$C$107)/MAX(CROQUIS!$C$130,1))+1)))-1,0))*CROQUIS!$C$130),CHOOSE(IF(INT(($A205-1)/5)&gt;MAX((MIN(80,MAX(1,INT(((CROQUIS!$C$98)-CROQUIS!$C$107)/MAX(CROQUIS!$C$130,1))+1)))-1,0),0,MOD($A205-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06">
      <c r="A206" t="n">
        <v>199</v>
      </c>
      <c r="BH206">
        <f>IF(AND(CROQUIS!$C$88=1,CROQUIS!$C$126&gt;0),((CROQUIS!$C$156+(IF(CROQUIS!$C$92="X",CHOOSE(IF(INT(($A206-1)/5)&gt;MAX((MIN(80,MAX(1,INT(((CROQUIS!$C$98)-CROQUIS!$C$107)/MAX(CROQUIS!$C$126,1))+1)))-1,0),0,MOD($A206-1,5))+1,0,2,CROQUIS!$C$97-2,2,0),((CROQUIS!$C$107/2+(((CROQUIS!$C$98)-CROQUIS!$C$107)-(MIN(80,MAX(1,INT(((CROQUIS!$C$98)-CROQUIS!$C$107)/MAX(CROQUIS!$C$126,1))+1))-1)*CROQUIS!$C$126)/2)+MIN(INT(($A206-1)/5),MAX((MIN(80,MAX(1,INT(((CROQUIS!$C$98)-CROQUIS!$C$107)/MAX(CROQUIS!$C$126,1))+1)))-1,0))*CROQUIS!$C$126)))*CROQUIS!$C$155)+IF(CROQUIS!$C$92="X",0,0)),-1000)</f>
        <v>-1000</v>
      </c>
      <c r="BI206">
        <f>IF(AND(CROQUIS!$C$88=1,CROQUIS!$C$126&gt;0),((CROQUIS!$C$157+(IF(CROQUIS!$C$92="X",((CROQUIS!$C$107/2+(((CROQUIS!$C$98)-CROQUIS!$C$107)-(MIN(80,MAX(1,INT(((CROQUIS!$C$98)-CROQUIS!$C$107)/MAX(CROQUIS!$C$126,1))+1))-1)*CROQUIS!$C$126)/2)+MIN(INT(($A206-1)/5),MAX((MIN(80,MAX(1,INT(((CROQUIS!$C$98)-CROQUIS!$C$107)/MAX(CROQUIS!$C$126,1))+1)))-1,0))*CROQUIS!$C$126),CHOOSE(IF(INT(($A206-1)/5)&gt;MAX((MIN(80,MAX(1,INT(((CROQUIS!$C$98)-CROQUIS!$C$107)/MAX(CROQUIS!$C$126,1))+1)))-1,0),0,MOD($A206-1,5))+1,0,2,CROQUIS!$C$97-2,2,0)))*CROQUIS!$C$155)+IF(CROQUIS!$C$92="X",0,0)),-1000)</f>
        <v>-1000</v>
      </c>
      <c r="BJ206">
        <f>IF(AND(CROQUIS!$C$88=1,CROQUIS!$C$134&gt;0),((CROQUIS!$C$156+(IF(CROQUIS!$C$92="X",((CROQUIS!$C$107/2+(((CROQUIS!$C$97)-CROQUIS!$C$107)-(MIN(80,MAX(1,INT(((CROQUIS!$C$97)-CROQUIS!$C$107)/MAX(CROQUIS!$C$134,1))+1))-1)*CROQUIS!$C$134)/2)+MIN(INT(($A206-1)/5),MAX((MIN(80,MAX(1,INT(((CROQUIS!$C$97)-CROQUIS!$C$107)/MAX(CROQUIS!$C$134,1))+1)))-1,0))*CROQUIS!$C$134),CHOOSE(IF(INT(($A206-1)/5)&gt;MAX((MIN(80,MAX(1,INT(((CROQUIS!$C$97)-CROQUIS!$C$107)/MAX(CROQUIS!$C$134,1))+1)))-1,0),0,MOD($A206-1,5))+1,0,2,CROQUIS!$C$98-2,2,0)))*CROQUIS!$C$155)+IF(CROQUIS!$C$92="X",0,0)),-1000)</f>
        <v>-1000</v>
      </c>
      <c r="BK206">
        <f>IF(AND(CROQUIS!$C$88=1,CROQUIS!$C$134&gt;0),((CROQUIS!$C$157+(IF(CROQUIS!$C$92="X",CHOOSE(IF(INT(($A206-1)/5)&gt;MAX((MIN(80,MAX(1,INT(((CROQUIS!$C$97)-CROQUIS!$C$107)/MAX(CROQUIS!$C$134,1))+1)))-1,0),0,MOD($A206-1,5))+1,0,2,CROQUIS!$C$98-2,2,0),((CROQUIS!$C$107/2+(((CROQUIS!$C$97)-CROQUIS!$C$107)-(MIN(80,MAX(1,INT(((CROQUIS!$C$97)-CROQUIS!$C$107)/MAX(CROQUIS!$C$134,1))+1))-1)*CROQUIS!$C$134)/2)+MIN(INT(($A206-1)/5),MAX((MIN(80,MAX(1,INT(((CROQUIS!$C$97)-CROQUIS!$C$107)/MAX(CROQUIS!$C$134,1))+1)))-1,0))*CROQUIS!$C$134)))*CROQUIS!$C$155)+IF(CROQUIS!$C$92="X",0,0)),-1000)</f>
        <v>-1000</v>
      </c>
      <c r="BL206">
        <f>IF(AND(CROQUIS!$C$88=1,CROQUIS!$C$91=0,CROQUIS!$C$130&gt;0,OR(CROQUIS!$C$103=1,CROQUIS!$C$142=1)),((CROQUIS!$C$156+(IF(CROQUIS!$C$92="X",CHOOSE(IF(INT(($A206-1)/5)&gt;MAX((MIN(80,MAX(1,INT(((CROQUIS!$C$98)-CROQUIS!$C$107)/MAX(CROQUIS!$C$130,1))+1)))-1,0),0,MOD($A206-1,5))+1,0,IF(CROQUIS!$C$103=1,-12,2),CROQUIS!$C$107/2+CROQUIS!$C$140,IF(CROQUIS!$C$103=1,-12,2),0),((CROQUIS!$C$107/2+(((CROQUIS!$C$98)-CROQUIS!$C$107)-(MIN(80,MAX(1,INT(((CROQUIS!$C$98)-CROQUIS!$C$107)/MAX(CROQUIS!$C$130,1))+1))-1)*CROQUIS!$C$130)/2)+MIN(INT(($A206-1)/5),MAX((MIN(80,MAX(1,INT(((CROQUIS!$C$98)-CROQUIS!$C$107)/MAX(CROQUIS!$C$130,1))+1)))-1,0))*CROQUIS!$C$130)))*CROQUIS!$C$155)+IF(CROQUIS!$C$92="X",0,0)),-1000)</f>
        <v>-1000</v>
      </c>
      <c r="BM20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206-1)/5),MAX((MIN(80,MAX(1,INT(((CROQUIS!$C$98)-CROQUIS!$C$107)/MAX(CROQUIS!$C$130,1))+1)))-1,0))*CROQUIS!$C$130),CHOOSE(IF(INT(($A206-1)/5)&gt;MAX((MIN(80,MAX(1,INT(((CROQUIS!$C$98)-CROQUIS!$C$107)/MAX(CROQUIS!$C$130,1))+1)))-1,0),0,MOD($A206-1,5))+1,0,IF(CROQUIS!$C$103=1,-12,2),CROQUIS!$C$107/2+CROQUIS!$C$140,IF(CROQUIS!$C$103=1,-12,2),0)))*CROQUIS!$C$155)+IF(CROQUIS!$C$92="X",0,0)),-1000)</f>
        <v>-1000</v>
      </c>
      <c r="BN206">
        <f>IF(AND(CROQUIS!$C$88=1,CROQUIS!$C$91=0,CROQUIS!$C$130&gt;0,OR(CROQUIS!$C$104=1,CROQUIS!$C$142=1)),((CROQUIS!$C$156+(IF(CROQUIS!$C$92="X",CHOOSE(IF(INT(($A206-1)/5)&gt;MAX((MIN(80,MAX(1,INT(((CROQUIS!$C$98)-CROQUIS!$C$107)/MAX(CROQUIS!$C$130,1))+1)))-1,0),0,MOD($A206-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206-1)/5),MAX((MIN(80,MAX(1,INT(((CROQUIS!$C$98)-CROQUIS!$C$107)/MAX(CROQUIS!$C$130,1))+1)))-1,0))*CROQUIS!$C$130)))*CROQUIS!$C$155)+IF(CROQUIS!$C$92="X",0,0)),-1000)</f>
        <v>-1000</v>
      </c>
      <c r="BO20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206-1)/5),MAX((MIN(80,MAX(1,INT(((CROQUIS!$C$98)-CROQUIS!$C$107)/MAX(CROQUIS!$C$130,1))+1)))-1,0))*CROQUIS!$C$130),CHOOSE(IF(INT(($A206-1)/5)&gt;MAX((MIN(80,MAX(1,INT(((CROQUIS!$C$98)-CROQUIS!$C$107)/MAX(CROQUIS!$C$130,1))+1)))-1,0),0,MOD($A206-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0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206-1)/5),MAX((MIN(80,MAX(1,INT(((CROQUIS!$C$97)-CROQUIS!$C$107)/MAX(CROQUIS!$C$138,1))+1)))-1,0))*CROQUIS!$C$138),CHOOSE(IF(INT(($A206-1)/5)&gt;MAX((MIN(80,MAX(1,INT(((CROQUIS!$C$97)-CROQUIS!$C$107)/MAX(CROQUIS!$C$138,1))+1)))-1,0),0,MOD($A206-1,5))+1,0,IF(CROQUIS!$C$105=1,-12,2),CROQUIS!$C$107/2+CROQUIS!$C$141,IF(CROQUIS!$C$105=1,-12,2),0)))*CROQUIS!$C$155)+IF(CROQUIS!$C$92="X",0,0)),-1000)</f>
        <v>-1000</v>
      </c>
      <c r="BQ206">
        <f>IF(AND(CROQUIS!$C$88=1,CROQUIS!$C$91=0,CROQUIS!$C$138&gt;0,OR(CROQUIS!$C$105=1,CROQUIS!$C$143=1)),((CROQUIS!$C$157+(IF(CROQUIS!$C$92="X",CHOOSE(IF(INT(($A206-1)/5)&gt;MAX((MIN(80,MAX(1,INT(((CROQUIS!$C$97)-CROQUIS!$C$107)/MAX(CROQUIS!$C$138,1))+1)))-1,0),0,MOD($A206-1,5))+1,0,IF(CROQUIS!$C$105=1,-12,2),CROQUIS!$C$107/2+CROQUIS!$C$141,IF(CROQUIS!$C$105=1,-12,2),0),((CROQUIS!$C$107/2+(((CROQUIS!$C$97)-CROQUIS!$C$107)-(MIN(80,MAX(1,INT(((CROQUIS!$C$97)-CROQUIS!$C$107)/MAX(CROQUIS!$C$138,1))+1))-1)*CROQUIS!$C$138)/2)+MIN(INT(($A206-1)/5),MAX((MIN(80,MAX(1,INT(((CROQUIS!$C$97)-CROQUIS!$C$107)/MAX(CROQUIS!$C$138,1))+1)))-1,0))*CROQUIS!$C$138)))*CROQUIS!$C$155)+IF(CROQUIS!$C$92="X",0,0)),-1000)</f>
        <v>-1000</v>
      </c>
      <c r="BR20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206-1)/5),MAX((MIN(80,MAX(1,INT(((CROQUIS!$C$97)-CROQUIS!$C$107)/MAX(CROQUIS!$C$138,1))+1)))-1,0))*CROQUIS!$C$138),CHOOSE(IF(INT(($A206-1)/5)&gt;MAX((MIN(80,MAX(1,INT(((CROQUIS!$C$97)-CROQUIS!$C$107)/MAX(CROQUIS!$C$138,1))+1)))-1,0),0,MOD($A206-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06">
        <f>IF(AND(CROQUIS!$C$88=1,CROQUIS!$C$91=0,CROQUIS!$C$138&gt;0,OR(CROQUIS!$C$106=1,CROQUIS!$C$143=1)),((CROQUIS!$C$157+(IF(CROQUIS!$C$92="X",CHOOSE(IF(INT(($A206-1)/5)&gt;MAX((MIN(80,MAX(1,INT(((CROQUIS!$C$97)-CROQUIS!$C$107)/MAX(CROQUIS!$C$138,1))+1)))-1,0),0,MOD($A206-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206-1)/5),MAX((MIN(80,MAX(1,INT(((CROQUIS!$C$97)-CROQUIS!$C$107)/MAX(CROQUIS!$C$138,1))+1)))-1,0))*CROQUIS!$C$138)))*CROQUIS!$C$155)+IF(CROQUIS!$C$92="X",0,0)),-1000)</f>
        <v>-1000</v>
      </c>
      <c r="BT206">
        <f>IF(AND(CROQUIS!$C$88=1,CROQUIS!$C$91=1,CROQUIS!$C$130&gt;0),((CROQUIS!$C$156+(IF(CROQUIS!$C$92="X",CHOOSE(IF(INT(($A206-1)/5)&gt;MAX((MIN(80,MAX(1,INT(((CROQUIS!$C$98)-CROQUIS!$C$107)/MAX(CROQUIS!$C$130,1))+1)))-1,0),0,MOD($A206-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206-1)/5),MAX((MIN(80,MAX(1,INT(((CROQUIS!$C$98)-CROQUIS!$C$107)/MAX(CROQUIS!$C$130,1))+1)))-1,0))*CROQUIS!$C$130)))*CROQUIS!$C$155)+IF(CROQUIS!$C$92="X",0,0)),-1000)</f>
        <v>-1000</v>
      </c>
      <c r="BU206">
        <f>IF(AND(CROQUIS!$C$88=1,CROQUIS!$C$91=1,CROQUIS!$C$130&gt;0),((CROQUIS!$C$157+(IF(CROQUIS!$C$92="X",((CROQUIS!$C$107/2+(((CROQUIS!$C$98)-CROQUIS!$C$107)-(MIN(80,MAX(1,INT(((CROQUIS!$C$98)-CROQUIS!$C$107)/MAX(CROQUIS!$C$130,1))+1))-1)*CROQUIS!$C$130)/2)+MIN(INT(($A206-1)/5),MAX((MIN(80,MAX(1,INT(((CROQUIS!$C$98)-CROQUIS!$C$107)/MAX(CROQUIS!$C$130,1))+1)))-1,0))*CROQUIS!$C$130),CHOOSE(IF(INT(($A206-1)/5)&gt;MAX((MIN(80,MAX(1,INT(((CROQUIS!$C$98)-CROQUIS!$C$107)/MAX(CROQUIS!$C$130,1))+1)))-1,0),0,MOD($A206-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07">
      <c r="A207" t="n">
        <v>200</v>
      </c>
      <c r="BH207">
        <f>IF(AND(CROQUIS!$C$88=1,CROQUIS!$C$126&gt;0),((CROQUIS!$C$156+(IF(CROQUIS!$C$92="X",CHOOSE(IF(INT(($A207-1)/5)&gt;MAX((MIN(80,MAX(1,INT(((CROQUIS!$C$98)-CROQUIS!$C$107)/MAX(CROQUIS!$C$126,1))+1)))-1,0),0,MOD($A207-1,5))+1,0,2,CROQUIS!$C$97-2,2,0),((CROQUIS!$C$107/2+(((CROQUIS!$C$98)-CROQUIS!$C$107)-(MIN(80,MAX(1,INT(((CROQUIS!$C$98)-CROQUIS!$C$107)/MAX(CROQUIS!$C$126,1))+1))-1)*CROQUIS!$C$126)/2)+MIN(INT(($A207-1)/5),MAX((MIN(80,MAX(1,INT(((CROQUIS!$C$98)-CROQUIS!$C$107)/MAX(CROQUIS!$C$126,1))+1)))-1,0))*CROQUIS!$C$126)))*CROQUIS!$C$155)+IF(CROQUIS!$C$92="X",0,0)),-1000)</f>
        <v>-1000</v>
      </c>
      <c r="BI207">
        <f>IF(AND(CROQUIS!$C$88=1,CROQUIS!$C$126&gt;0),((CROQUIS!$C$157+(IF(CROQUIS!$C$92="X",((CROQUIS!$C$107/2+(((CROQUIS!$C$98)-CROQUIS!$C$107)-(MIN(80,MAX(1,INT(((CROQUIS!$C$98)-CROQUIS!$C$107)/MAX(CROQUIS!$C$126,1))+1))-1)*CROQUIS!$C$126)/2)+MIN(INT(($A207-1)/5),MAX((MIN(80,MAX(1,INT(((CROQUIS!$C$98)-CROQUIS!$C$107)/MAX(CROQUIS!$C$126,1))+1)))-1,0))*CROQUIS!$C$126),CHOOSE(IF(INT(($A207-1)/5)&gt;MAX((MIN(80,MAX(1,INT(((CROQUIS!$C$98)-CROQUIS!$C$107)/MAX(CROQUIS!$C$126,1))+1)))-1,0),0,MOD($A207-1,5))+1,0,2,CROQUIS!$C$97-2,2,0)))*CROQUIS!$C$155)+IF(CROQUIS!$C$92="X",0,0)),-1000)</f>
        <v>-1000</v>
      </c>
      <c r="BJ207">
        <f>IF(AND(CROQUIS!$C$88=1,CROQUIS!$C$134&gt;0),((CROQUIS!$C$156+(IF(CROQUIS!$C$92="X",((CROQUIS!$C$107/2+(((CROQUIS!$C$97)-CROQUIS!$C$107)-(MIN(80,MAX(1,INT(((CROQUIS!$C$97)-CROQUIS!$C$107)/MAX(CROQUIS!$C$134,1))+1))-1)*CROQUIS!$C$134)/2)+MIN(INT(($A207-1)/5),MAX((MIN(80,MAX(1,INT(((CROQUIS!$C$97)-CROQUIS!$C$107)/MAX(CROQUIS!$C$134,1))+1)))-1,0))*CROQUIS!$C$134),CHOOSE(IF(INT(($A207-1)/5)&gt;MAX((MIN(80,MAX(1,INT(((CROQUIS!$C$97)-CROQUIS!$C$107)/MAX(CROQUIS!$C$134,1))+1)))-1,0),0,MOD($A207-1,5))+1,0,2,CROQUIS!$C$98-2,2,0)))*CROQUIS!$C$155)+IF(CROQUIS!$C$92="X",0,0)),-1000)</f>
        <v>-1000</v>
      </c>
      <c r="BK207">
        <f>IF(AND(CROQUIS!$C$88=1,CROQUIS!$C$134&gt;0),((CROQUIS!$C$157+(IF(CROQUIS!$C$92="X",CHOOSE(IF(INT(($A207-1)/5)&gt;MAX((MIN(80,MAX(1,INT(((CROQUIS!$C$97)-CROQUIS!$C$107)/MAX(CROQUIS!$C$134,1))+1)))-1,0),0,MOD($A207-1,5))+1,0,2,CROQUIS!$C$98-2,2,0),((CROQUIS!$C$107/2+(((CROQUIS!$C$97)-CROQUIS!$C$107)-(MIN(80,MAX(1,INT(((CROQUIS!$C$97)-CROQUIS!$C$107)/MAX(CROQUIS!$C$134,1))+1))-1)*CROQUIS!$C$134)/2)+MIN(INT(($A207-1)/5),MAX((MIN(80,MAX(1,INT(((CROQUIS!$C$97)-CROQUIS!$C$107)/MAX(CROQUIS!$C$134,1))+1)))-1,0))*CROQUIS!$C$134)))*CROQUIS!$C$155)+IF(CROQUIS!$C$92="X",0,0)),-1000)</f>
        <v>-1000</v>
      </c>
      <c r="BL207">
        <f>IF(AND(CROQUIS!$C$88=1,CROQUIS!$C$91=0,CROQUIS!$C$130&gt;0,OR(CROQUIS!$C$103=1,CROQUIS!$C$142=1)),((CROQUIS!$C$156+(IF(CROQUIS!$C$92="X",CHOOSE(IF(INT(($A207-1)/5)&gt;MAX((MIN(80,MAX(1,INT(((CROQUIS!$C$98)-CROQUIS!$C$107)/MAX(CROQUIS!$C$130,1))+1)))-1,0),0,MOD($A207-1,5))+1,0,IF(CROQUIS!$C$103=1,-12,2),CROQUIS!$C$107/2+CROQUIS!$C$140,IF(CROQUIS!$C$103=1,-12,2),0),((CROQUIS!$C$107/2+(((CROQUIS!$C$98)-CROQUIS!$C$107)-(MIN(80,MAX(1,INT(((CROQUIS!$C$98)-CROQUIS!$C$107)/MAX(CROQUIS!$C$130,1))+1))-1)*CROQUIS!$C$130)/2)+MIN(INT(($A207-1)/5),MAX((MIN(80,MAX(1,INT(((CROQUIS!$C$98)-CROQUIS!$C$107)/MAX(CROQUIS!$C$130,1))+1)))-1,0))*CROQUIS!$C$130)))*CROQUIS!$C$155)+IF(CROQUIS!$C$92="X",0,0)),-1000)</f>
        <v>-1000</v>
      </c>
      <c r="BM20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207-1)/5),MAX((MIN(80,MAX(1,INT(((CROQUIS!$C$98)-CROQUIS!$C$107)/MAX(CROQUIS!$C$130,1))+1)))-1,0))*CROQUIS!$C$130),CHOOSE(IF(INT(($A207-1)/5)&gt;MAX((MIN(80,MAX(1,INT(((CROQUIS!$C$98)-CROQUIS!$C$107)/MAX(CROQUIS!$C$130,1))+1)))-1,0),0,MOD($A207-1,5))+1,0,IF(CROQUIS!$C$103=1,-12,2),CROQUIS!$C$107/2+CROQUIS!$C$140,IF(CROQUIS!$C$103=1,-12,2),0)))*CROQUIS!$C$155)+IF(CROQUIS!$C$92="X",0,0)),-1000)</f>
        <v>-1000</v>
      </c>
      <c r="BN207">
        <f>IF(AND(CROQUIS!$C$88=1,CROQUIS!$C$91=0,CROQUIS!$C$130&gt;0,OR(CROQUIS!$C$104=1,CROQUIS!$C$142=1)),((CROQUIS!$C$156+(IF(CROQUIS!$C$92="X",CHOOSE(IF(INT(($A207-1)/5)&gt;MAX((MIN(80,MAX(1,INT(((CROQUIS!$C$98)-CROQUIS!$C$107)/MAX(CROQUIS!$C$130,1))+1)))-1,0),0,MOD($A207-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207-1)/5),MAX((MIN(80,MAX(1,INT(((CROQUIS!$C$98)-CROQUIS!$C$107)/MAX(CROQUIS!$C$130,1))+1)))-1,0))*CROQUIS!$C$130)))*CROQUIS!$C$155)+IF(CROQUIS!$C$92="X",0,0)),-1000)</f>
        <v>-1000</v>
      </c>
      <c r="BO20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207-1)/5),MAX((MIN(80,MAX(1,INT(((CROQUIS!$C$98)-CROQUIS!$C$107)/MAX(CROQUIS!$C$130,1))+1)))-1,0))*CROQUIS!$C$130),CHOOSE(IF(INT(($A207-1)/5)&gt;MAX((MIN(80,MAX(1,INT(((CROQUIS!$C$98)-CROQUIS!$C$107)/MAX(CROQUIS!$C$130,1))+1)))-1,0),0,MOD($A207-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0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207-1)/5),MAX((MIN(80,MAX(1,INT(((CROQUIS!$C$97)-CROQUIS!$C$107)/MAX(CROQUIS!$C$138,1))+1)))-1,0))*CROQUIS!$C$138),CHOOSE(IF(INT(($A207-1)/5)&gt;MAX((MIN(80,MAX(1,INT(((CROQUIS!$C$97)-CROQUIS!$C$107)/MAX(CROQUIS!$C$138,1))+1)))-1,0),0,MOD($A207-1,5))+1,0,IF(CROQUIS!$C$105=1,-12,2),CROQUIS!$C$107/2+CROQUIS!$C$141,IF(CROQUIS!$C$105=1,-12,2),0)))*CROQUIS!$C$155)+IF(CROQUIS!$C$92="X",0,0)),-1000)</f>
        <v>-1000</v>
      </c>
      <c r="BQ207">
        <f>IF(AND(CROQUIS!$C$88=1,CROQUIS!$C$91=0,CROQUIS!$C$138&gt;0,OR(CROQUIS!$C$105=1,CROQUIS!$C$143=1)),((CROQUIS!$C$157+(IF(CROQUIS!$C$92="X",CHOOSE(IF(INT(($A207-1)/5)&gt;MAX((MIN(80,MAX(1,INT(((CROQUIS!$C$97)-CROQUIS!$C$107)/MAX(CROQUIS!$C$138,1))+1)))-1,0),0,MOD($A207-1,5))+1,0,IF(CROQUIS!$C$105=1,-12,2),CROQUIS!$C$107/2+CROQUIS!$C$141,IF(CROQUIS!$C$105=1,-12,2),0),((CROQUIS!$C$107/2+(((CROQUIS!$C$97)-CROQUIS!$C$107)-(MIN(80,MAX(1,INT(((CROQUIS!$C$97)-CROQUIS!$C$107)/MAX(CROQUIS!$C$138,1))+1))-1)*CROQUIS!$C$138)/2)+MIN(INT(($A207-1)/5),MAX((MIN(80,MAX(1,INT(((CROQUIS!$C$97)-CROQUIS!$C$107)/MAX(CROQUIS!$C$138,1))+1)))-1,0))*CROQUIS!$C$138)))*CROQUIS!$C$155)+IF(CROQUIS!$C$92="X",0,0)),-1000)</f>
        <v>-1000</v>
      </c>
      <c r="BR20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207-1)/5),MAX((MIN(80,MAX(1,INT(((CROQUIS!$C$97)-CROQUIS!$C$107)/MAX(CROQUIS!$C$138,1))+1)))-1,0))*CROQUIS!$C$138),CHOOSE(IF(INT(($A207-1)/5)&gt;MAX((MIN(80,MAX(1,INT(((CROQUIS!$C$97)-CROQUIS!$C$107)/MAX(CROQUIS!$C$138,1))+1)))-1,0),0,MOD($A207-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07">
        <f>IF(AND(CROQUIS!$C$88=1,CROQUIS!$C$91=0,CROQUIS!$C$138&gt;0,OR(CROQUIS!$C$106=1,CROQUIS!$C$143=1)),((CROQUIS!$C$157+(IF(CROQUIS!$C$92="X",CHOOSE(IF(INT(($A207-1)/5)&gt;MAX((MIN(80,MAX(1,INT(((CROQUIS!$C$97)-CROQUIS!$C$107)/MAX(CROQUIS!$C$138,1))+1)))-1,0),0,MOD($A207-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207-1)/5),MAX((MIN(80,MAX(1,INT(((CROQUIS!$C$97)-CROQUIS!$C$107)/MAX(CROQUIS!$C$138,1))+1)))-1,0))*CROQUIS!$C$138)))*CROQUIS!$C$155)+IF(CROQUIS!$C$92="X",0,0)),-1000)</f>
        <v>-1000</v>
      </c>
      <c r="BT207">
        <f>IF(AND(CROQUIS!$C$88=1,CROQUIS!$C$91=1,CROQUIS!$C$130&gt;0),((CROQUIS!$C$156+(IF(CROQUIS!$C$92="X",CHOOSE(IF(INT(($A207-1)/5)&gt;MAX((MIN(80,MAX(1,INT(((CROQUIS!$C$98)-CROQUIS!$C$107)/MAX(CROQUIS!$C$130,1))+1)))-1,0),0,MOD($A207-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207-1)/5),MAX((MIN(80,MAX(1,INT(((CROQUIS!$C$98)-CROQUIS!$C$107)/MAX(CROQUIS!$C$130,1))+1)))-1,0))*CROQUIS!$C$130)))*CROQUIS!$C$155)+IF(CROQUIS!$C$92="X",0,0)),-1000)</f>
        <v>-1000</v>
      </c>
      <c r="BU207">
        <f>IF(AND(CROQUIS!$C$88=1,CROQUIS!$C$91=1,CROQUIS!$C$130&gt;0),((CROQUIS!$C$157+(IF(CROQUIS!$C$92="X",((CROQUIS!$C$107/2+(((CROQUIS!$C$98)-CROQUIS!$C$107)-(MIN(80,MAX(1,INT(((CROQUIS!$C$98)-CROQUIS!$C$107)/MAX(CROQUIS!$C$130,1))+1))-1)*CROQUIS!$C$130)/2)+MIN(INT(($A207-1)/5),MAX((MIN(80,MAX(1,INT(((CROQUIS!$C$98)-CROQUIS!$C$107)/MAX(CROQUIS!$C$130,1))+1)))-1,0))*CROQUIS!$C$130),CHOOSE(IF(INT(($A207-1)/5)&gt;MAX((MIN(80,MAX(1,INT(((CROQUIS!$C$98)-CROQUIS!$C$107)/MAX(CROQUIS!$C$130,1))+1)))-1,0),0,MOD($A207-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08">
      <c r="A208" t="n">
        <v>201</v>
      </c>
      <c r="BH208">
        <f>IF(AND(CROQUIS!$C$88=1,CROQUIS!$C$126&gt;0),((CROQUIS!$C$156+(IF(CROQUIS!$C$92="X",CHOOSE(IF(INT(($A208-1)/5)&gt;MAX((MIN(80,MAX(1,INT(((CROQUIS!$C$98)-CROQUIS!$C$107)/MAX(CROQUIS!$C$126,1))+1)))-1,0),0,MOD($A208-1,5))+1,0,2,CROQUIS!$C$97-2,2,0),((CROQUIS!$C$107/2+(((CROQUIS!$C$98)-CROQUIS!$C$107)-(MIN(80,MAX(1,INT(((CROQUIS!$C$98)-CROQUIS!$C$107)/MAX(CROQUIS!$C$126,1))+1))-1)*CROQUIS!$C$126)/2)+MIN(INT(($A208-1)/5),MAX((MIN(80,MAX(1,INT(((CROQUIS!$C$98)-CROQUIS!$C$107)/MAX(CROQUIS!$C$126,1))+1)))-1,0))*CROQUIS!$C$126)))*CROQUIS!$C$155)+IF(CROQUIS!$C$92="X",0,0)),-1000)</f>
        <v>-1000</v>
      </c>
      <c r="BI208">
        <f>IF(AND(CROQUIS!$C$88=1,CROQUIS!$C$126&gt;0),((CROQUIS!$C$157+(IF(CROQUIS!$C$92="X",((CROQUIS!$C$107/2+(((CROQUIS!$C$98)-CROQUIS!$C$107)-(MIN(80,MAX(1,INT(((CROQUIS!$C$98)-CROQUIS!$C$107)/MAX(CROQUIS!$C$126,1))+1))-1)*CROQUIS!$C$126)/2)+MIN(INT(($A208-1)/5),MAX((MIN(80,MAX(1,INT(((CROQUIS!$C$98)-CROQUIS!$C$107)/MAX(CROQUIS!$C$126,1))+1)))-1,0))*CROQUIS!$C$126),CHOOSE(IF(INT(($A208-1)/5)&gt;MAX((MIN(80,MAX(1,INT(((CROQUIS!$C$98)-CROQUIS!$C$107)/MAX(CROQUIS!$C$126,1))+1)))-1,0),0,MOD($A208-1,5))+1,0,2,CROQUIS!$C$97-2,2,0)))*CROQUIS!$C$155)+IF(CROQUIS!$C$92="X",0,0)),-1000)</f>
        <v>-1000</v>
      </c>
      <c r="BJ208">
        <f>IF(AND(CROQUIS!$C$88=1,CROQUIS!$C$134&gt;0),((CROQUIS!$C$156+(IF(CROQUIS!$C$92="X",((CROQUIS!$C$107/2+(((CROQUIS!$C$97)-CROQUIS!$C$107)-(MIN(80,MAX(1,INT(((CROQUIS!$C$97)-CROQUIS!$C$107)/MAX(CROQUIS!$C$134,1))+1))-1)*CROQUIS!$C$134)/2)+MIN(INT(($A208-1)/5),MAX((MIN(80,MAX(1,INT(((CROQUIS!$C$97)-CROQUIS!$C$107)/MAX(CROQUIS!$C$134,1))+1)))-1,0))*CROQUIS!$C$134),CHOOSE(IF(INT(($A208-1)/5)&gt;MAX((MIN(80,MAX(1,INT(((CROQUIS!$C$97)-CROQUIS!$C$107)/MAX(CROQUIS!$C$134,1))+1)))-1,0),0,MOD($A208-1,5))+1,0,2,CROQUIS!$C$98-2,2,0)))*CROQUIS!$C$155)+IF(CROQUIS!$C$92="X",0,0)),-1000)</f>
        <v>-1000</v>
      </c>
      <c r="BK208">
        <f>IF(AND(CROQUIS!$C$88=1,CROQUIS!$C$134&gt;0),((CROQUIS!$C$157+(IF(CROQUIS!$C$92="X",CHOOSE(IF(INT(($A208-1)/5)&gt;MAX((MIN(80,MAX(1,INT(((CROQUIS!$C$97)-CROQUIS!$C$107)/MAX(CROQUIS!$C$134,1))+1)))-1,0),0,MOD($A208-1,5))+1,0,2,CROQUIS!$C$98-2,2,0),((CROQUIS!$C$107/2+(((CROQUIS!$C$97)-CROQUIS!$C$107)-(MIN(80,MAX(1,INT(((CROQUIS!$C$97)-CROQUIS!$C$107)/MAX(CROQUIS!$C$134,1))+1))-1)*CROQUIS!$C$134)/2)+MIN(INT(($A208-1)/5),MAX((MIN(80,MAX(1,INT(((CROQUIS!$C$97)-CROQUIS!$C$107)/MAX(CROQUIS!$C$134,1))+1)))-1,0))*CROQUIS!$C$134)))*CROQUIS!$C$155)+IF(CROQUIS!$C$92="X",0,0)),-1000)</f>
        <v>-1000</v>
      </c>
      <c r="BL208">
        <f>IF(AND(CROQUIS!$C$88=1,CROQUIS!$C$91=0,CROQUIS!$C$130&gt;0,OR(CROQUIS!$C$103=1,CROQUIS!$C$142=1)),((CROQUIS!$C$156+(IF(CROQUIS!$C$92="X",CHOOSE(IF(INT(($A208-1)/5)&gt;MAX((MIN(80,MAX(1,INT(((CROQUIS!$C$98)-CROQUIS!$C$107)/MAX(CROQUIS!$C$130,1))+1)))-1,0),0,MOD($A208-1,5))+1,0,IF(CROQUIS!$C$103=1,-12,2),CROQUIS!$C$107/2+CROQUIS!$C$140,IF(CROQUIS!$C$103=1,-12,2),0),((CROQUIS!$C$107/2+(((CROQUIS!$C$98)-CROQUIS!$C$107)-(MIN(80,MAX(1,INT(((CROQUIS!$C$98)-CROQUIS!$C$107)/MAX(CROQUIS!$C$130,1))+1))-1)*CROQUIS!$C$130)/2)+MIN(INT(($A208-1)/5),MAX((MIN(80,MAX(1,INT(((CROQUIS!$C$98)-CROQUIS!$C$107)/MAX(CROQUIS!$C$130,1))+1)))-1,0))*CROQUIS!$C$130)))*CROQUIS!$C$155)+IF(CROQUIS!$C$92="X",0,0)),-1000)</f>
        <v>-1000</v>
      </c>
      <c r="BM20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208-1)/5),MAX((MIN(80,MAX(1,INT(((CROQUIS!$C$98)-CROQUIS!$C$107)/MAX(CROQUIS!$C$130,1))+1)))-1,0))*CROQUIS!$C$130),CHOOSE(IF(INT(($A208-1)/5)&gt;MAX((MIN(80,MAX(1,INT(((CROQUIS!$C$98)-CROQUIS!$C$107)/MAX(CROQUIS!$C$130,1))+1)))-1,0),0,MOD($A208-1,5))+1,0,IF(CROQUIS!$C$103=1,-12,2),CROQUIS!$C$107/2+CROQUIS!$C$140,IF(CROQUIS!$C$103=1,-12,2),0)))*CROQUIS!$C$155)+IF(CROQUIS!$C$92="X",0,0)),-1000)</f>
        <v>-1000</v>
      </c>
      <c r="BN208">
        <f>IF(AND(CROQUIS!$C$88=1,CROQUIS!$C$91=0,CROQUIS!$C$130&gt;0,OR(CROQUIS!$C$104=1,CROQUIS!$C$142=1)),((CROQUIS!$C$156+(IF(CROQUIS!$C$92="X",CHOOSE(IF(INT(($A208-1)/5)&gt;MAX((MIN(80,MAX(1,INT(((CROQUIS!$C$98)-CROQUIS!$C$107)/MAX(CROQUIS!$C$130,1))+1)))-1,0),0,MOD($A208-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208-1)/5),MAX((MIN(80,MAX(1,INT(((CROQUIS!$C$98)-CROQUIS!$C$107)/MAX(CROQUIS!$C$130,1))+1)))-1,0))*CROQUIS!$C$130)))*CROQUIS!$C$155)+IF(CROQUIS!$C$92="X",0,0)),-1000)</f>
        <v>-1000</v>
      </c>
      <c r="BO20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208-1)/5),MAX((MIN(80,MAX(1,INT(((CROQUIS!$C$98)-CROQUIS!$C$107)/MAX(CROQUIS!$C$130,1))+1)))-1,0))*CROQUIS!$C$130),CHOOSE(IF(INT(($A208-1)/5)&gt;MAX((MIN(80,MAX(1,INT(((CROQUIS!$C$98)-CROQUIS!$C$107)/MAX(CROQUIS!$C$130,1))+1)))-1,0),0,MOD($A208-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0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208-1)/5),MAX((MIN(80,MAX(1,INT(((CROQUIS!$C$97)-CROQUIS!$C$107)/MAX(CROQUIS!$C$138,1))+1)))-1,0))*CROQUIS!$C$138),CHOOSE(IF(INT(($A208-1)/5)&gt;MAX((MIN(80,MAX(1,INT(((CROQUIS!$C$97)-CROQUIS!$C$107)/MAX(CROQUIS!$C$138,1))+1)))-1,0),0,MOD($A208-1,5))+1,0,IF(CROQUIS!$C$105=1,-12,2),CROQUIS!$C$107/2+CROQUIS!$C$141,IF(CROQUIS!$C$105=1,-12,2),0)))*CROQUIS!$C$155)+IF(CROQUIS!$C$92="X",0,0)),-1000)</f>
        <v>-1000</v>
      </c>
      <c r="BQ208">
        <f>IF(AND(CROQUIS!$C$88=1,CROQUIS!$C$91=0,CROQUIS!$C$138&gt;0,OR(CROQUIS!$C$105=1,CROQUIS!$C$143=1)),((CROQUIS!$C$157+(IF(CROQUIS!$C$92="X",CHOOSE(IF(INT(($A208-1)/5)&gt;MAX((MIN(80,MAX(1,INT(((CROQUIS!$C$97)-CROQUIS!$C$107)/MAX(CROQUIS!$C$138,1))+1)))-1,0),0,MOD($A208-1,5))+1,0,IF(CROQUIS!$C$105=1,-12,2),CROQUIS!$C$107/2+CROQUIS!$C$141,IF(CROQUIS!$C$105=1,-12,2),0),((CROQUIS!$C$107/2+(((CROQUIS!$C$97)-CROQUIS!$C$107)-(MIN(80,MAX(1,INT(((CROQUIS!$C$97)-CROQUIS!$C$107)/MAX(CROQUIS!$C$138,1))+1))-1)*CROQUIS!$C$138)/2)+MIN(INT(($A208-1)/5),MAX((MIN(80,MAX(1,INT(((CROQUIS!$C$97)-CROQUIS!$C$107)/MAX(CROQUIS!$C$138,1))+1)))-1,0))*CROQUIS!$C$138)))*CROQUIS!$C$155)+IF(CROQUIS!$C$92="X",0,0)),-1000)</f>
        <v>-1000</v>
      </c>
      <c r="BR20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208-1)/5),MAX((MIN(80,MAX(1,INT(((CROQUIS!$C$97)-CROQUIS!$C$107)/MAX(CROQUIS!$C$138,1))+1)))-1,0))*CROQUIS!$C$138),CHOOSE(IF(INT(($A208-1)/5)&gt;MAX((MIN(80,MAX(1,INT(((CROQUIS!$C$97)-CROQUIS!$C$107)/MAX(CROQUIS!$C$138,1))+1)))-1,0),0,MOD($A208-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08">
        <f>IF(AND(CROQUIS!$C$88=1,CROQUIS!$C$91=0,CROQUIS!$C$138&gt;0,OR(CROQUIS!$C$106=1,CROQUIS!$C$143=1)),((CROQUIS!$C$157+(IF(CROQUIS!$C$92="X",CHOOSE(IF(INT(($A208-1)/5)&gt;MAX((MIN(80,MAX(1,INT(((CROQUIS!$C$97)-CROQUIS!$C$107)/MAX(CROQUIS!$C$138,1))+1)))-1,0),0,MOD($A208-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208-1)/5),MAX((MIN(80,MAX(1,INT(((CROQUIS!$C$97)-CROQUIS!$C$107)/MAX(CROQUIS!$C$138,1))+1)))-1,0))*CROQUIS!$C$138)))*CROQUIS!$C$155)+IF(CROQUIS!$C$92="X",0,0)),-1000)</f>
        <v>-1000</v>
      </c>
      <c r="BT208">
        <f>IF(AND(CROQUIS!$C$88=1,CROQUIS!$C$91=1,CROQUIS!$C$130&gt;0),((CROQUIS!$C$156+(IF(CROQUIS!$C$92="X",CHOOSE(IF(INT(($A208-1)/5)&gt;MAX((MIN(80,MAX(1,INT(((CROQUIS!$C$98)-CROQUIS!$C$107)/MAX(CROQUIS!$C$130,1))+1)))-1,0),0,MOD($A208-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208-1)/5),MAX((MIN(80,MAX(1,INT(((CROQUIS!$C$98)-CROQUIS!$C$107)/MAX(CROQUIS!$C$130,1))+1)))-1,0))*CROQUIS!$C$130)))*CROQUIS!$C$155)+IF(CROQUIS!$C$92="X",0,0)),-1000)</f>
        <v>-1000</v>
      </c>
      <c r="BU208">
        <f>IF(AND(CROQUIS!$C$88=1,CROQUIS!$C$91=1,CROQUIS!$C$130&gt;0),((CROQUIS!$C$157+(IF(CROQUIS!$C$92="X",((CROQUIS!$C$107/2+(((CROQUIS!$C$98)-CROQUIS!$C$107)-(MIN(80,MAX(1,INT(((CROQUIS!$C$98)-CROQUIS!$C$107)/MAX(CROQUIS!$C$130,1))+1))-1)*CROQUIS!$C$130)/2)+MIN(INT(($A208-1)/5),MAX((MIN(80,MAX(1,INT(((CROQUIS!$C$98)-CROQUIS!$C$107)/MAX(CROQUIS!$C$130,1))+1)))-1,0))*CROQUIS!$C$130),CHOOSE(IF(INT(($A208-1)/5)&gt;MAX((MIN(80,MAX(1,INT(((CROQUIS!$C$98)-CROQUIS!$C$107)/MAX(CROQUIS!$C$130,1))+1)))-1,0),0,MOD($A208-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09">
      <c r="A209" t="n">
        <v>202</v>
      </c>
      <c r="BH209">
        <f>IF(AND(CROQUIS!$C$88=1,CROQUIS!$C$126&gt;0),((CROQUIS!$C$156+(IF(CROQUIS!$C$92="X",CHOOSE(IF(INT(($A209-1)/5)&gt;MAX((MIN(80,MAX(1,INT(((CROQUIS!$C$98)-CROQUIS!$C$107)/MAX(CROQUIS!$C$126,1))+1)))-1,0),0,MOD($A209-1,5))+1,0,2,CROQUIS!$C$97-2,2,0),((CROQUIS!$C$107/2+(((CROQUIS!$C$98)-CROQUIS!$C$107)-(MIN(80,MAX(1,INT(((CROQUIS!$C$98)-CROQUIS!$C$107)/MAX(CROQUIS!$C$126,1))+1))-1)*CROQUIS!$C$126)/2)+MIN(INT(($A209-1)/5),MAX((MIN(80,MAX(1,INT(((CROQUIS!$C$98)-CROQUIS!$C$107)/MAX(CROQUIS!$C$126,1))+1)))-1,0))*CROQUIS!$C$126)))*CROQUIS!$C$155)+IF(CROQUIS!$C$92="X",0,0)),-1000)</f>
        <v>-1000</v>
      </c>
      <c r="BI209">
        <f>IF(AND(CROQUIS!$C$88=1,CROQUIS!$C$126&gt;0),((CROQUIS!$C$157+(IF(CROQUIS!$C$92="X",((CROQUIS!$C$107/2+(((CROQUIS!$C$98)-CROQUIS!$C$107)-(MIN(80,MAX(1,INT(((CROQUIS!$C$98)-CROQUIS!$C$107)/MAX(CROQUIS!$C$126,1))+1))-1)*CROQUIS!$C$126)/2)+MIN(INT(($A209-1)/5),MAX((MIN(80,MAX(1,INT(((CROQUIS!$C$98)-CROQUIS!$C$107)/MAX(CROQUIS!$C$126,1))+1)))-1,0))*CROQUIS!$C$126),CHOOSE(IF(INT(($A209-1)/5)&gt;MAX((MIN(80,MAX(1,INT(((CROQUIS!$C$98)-CROQUIS!$C$107)/MAX(CROQUIS!$C$126,1))+1)))-1,0),0,MOD($A209-1,5))+1,0,2,CROQUIS!$C$97-2,2,0)))*CROQUIS!$C$155)+IF(CROQUIS!$C$92="X",0,0)),-1000)</f>
        <v>-1000</v>
      </c>
      <c r="BJ209">
        <f>IF(AND(CROQUIS!$C$88=1,CROQUIS!$C$134&gt;0),((CROQUIS!$C$156+(IF(CROQUIS!$C$92="X",((CROQUIS!$C$107/2+(((CROQUIS!$C$97)-CROQUIS!$C$107)-(MIN(80,MAX(1,INT(((CROQUIS!$C$97)-CROQUIS!$C$107)/MAX(CROQUIS!$C$134,1))+1))-1)*CROQUIS!$C$134)/2)+MIN(INT(($A209-1)/5),MAX((MIN(80,MAX(1,INT(((CROQUIS!$C$97)-CROQUIS!$C$107)/MAX(CROQUIS!$C$134,1))+1)))-1,0))*CROQUIS!$C$134),CHOOSE(IF(INT(($A209-1)/5)&gt;MAX((MIN(80,MAX(1,INT(((CROQUIS!$C$97)-CROQUIS!$C$107)/MAX(CROQUIS!$C$134,1))+1)))-1,0),0,MOD($A209-1,5))+1,0,2,CROQUIS!$C$98-2,2,0)))*CROQUIS!$C$155)+IF(CROQUIS!$C$92="X",0,0)),-1000)</f>
        <v>-1000</v>
      </c>
      <c r="BK209">
        <f>IF(AND(CROQUIS!$C$88=1,CROQUIS!$C$134&gt;0),((CROQUIS!$C$157+(IF(CROQUIS!$C$92="X",CHOOSE(IF(INT(($A209-1)/5)&gt;MAX((MIN(80,MAX(1,INT(((CROQUIS!$C$97)-CROQUIS!$C$107)/MAX(CROQUIS!$C$134,1))+1)))-1,0),0,MOD($A209-1,5))+1,0,2,CROQUIS!$C$98-2,2,0),((CROQUIS!$C$107/2+(((CROQUIS!$C$97)-CROQUIS!$C$107)-(MIN(80,MAX(1,INT(((CROQUIS!$C$97)-CROQUIS!$C$107)/MAX(CROQUIS!$C$134,1))+1))-1)*CROQUIS!$C$134)/2)+MIN(INT(($A209-1)/5),MAX((MIN(80,MAX(1,INT(((CROQUIS!$C$97)-CROQUIS!$C$107)/MAX(CROQUIS!$C$134,1))+1)))-1,0))*CROQUIS!$C$134)))*CROQUIS!$C$155)+IF(CROQUIS!$C$92="X",0,0)),-1000)</f>
        <v>-1000</v>
      </c>
      <c r="BL209">
        <f>IF(AND(CROQUIS!$C$88=1,CROQUIS!$C$91=0,CROQUIS!$C$130&gt;0,OR(CROQUIS!$C$103=1,CROQUIS!$C$142=1)),((CROQUIS!$C$156+(IF(CROQUIS!$C$92="X",CHOOSE(IF(INT(($A209-1)/5)&gt;MAX((MIN(80,MAX(1,INT(((CROQUIS!$C$98)-CROQUIS!$C$107)/MAX(CROQUIS!$C$130,1))+1)))-1,0),0,MOD($A209-1,5))+1,0,IF(CROQUIS!$C$103=1,-12,2),CROQUIS!$C$107/2+CROQUIS!$C$140,IF(CROQUIS!$C$103=1,-12,2),0),((CROQUIS!$C$107/2+(((CROQUIS!$C$98)-CROQUIS!$C$107)-(MIN(80,MAX(1,INT(((CROQUIS!$C$98)-CROQUIS!$C$107)/MAX(CROQUIS!$C$130,1))+1))-1)*CROQUIS!$C$130)/2)+MIN(INT(($A209-1)/5),MAX((MIN(80,MAX(1,INT(((CROQUIS!$C$98)-CROQUIS!$C$107)/MAX(CROQUIS!$C$130,1))+1)))-1,0))*CROQUIS!$C$130)))*CROQUIS!$C$155)+IF(CROQUIS!$C$92="X",0,0)),-1000)</f>
        <v>-1000</v>
      </c>
      <c r="BM20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209-1)/5),MAX((MIN(80,MAX(1,INT(((CROQUIS!$C$98)-CROQUIS!$C$107)/MAX(CROQUIS!$C$130,1))+1)))-1,0))*CROQUIS!$C$130),CHOOSE(IF(INT(($A209-1)/5)&gt;MAX((MIN(80,MAX(1,INT(((CROQUIS!$C$98)-CROQUIS!$C$107)/MAX(CROQUIS!$C$130,1))+1)))-1,0),0,MOD($A209-1,5))+1,0,IF(CROQUIS!$C$103=1,-12,2),CROQUIS!$C$107/2+CROQUIS!$C$140,IF(CROQUIS!$C$103=1,-12,2),0)))*CROQUIS!$C$155)+IF(CROQUIS!$C$92="X",0,0)),-1000)</f>
        <v>-1000</v>
      </c>
      <c r="BN209">
        <f>IF(AND(CROQUIS!$C$88=1,CROQUIS!$C$91=0,CROQUIS!$C$130&gt;0,OR(CROQUIS!$C$104=1,CROQUIS!$C$142=1)),((CROQUIS!$C$156+(IF(CROQUIS!$C$92="X",CHOOSE(IF(INT(($A209-1)/5)&gt;MAX((MIN(80,MAX(1,INT(((CROQUIS!$C$98)-CROQUIS!$C$107)/MAX(CROQUIS!$C$130,1))+1)))-1,0),0,MOD($A209-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209-1)/5),MAX((MIN(80,MAX(1,INT(((CROQUIS!$C$98)-CROQUIS!$C$107)/MAX(CROQUIS!$C$130,1))+1)))-1,0))*CROQUIS!$C$130)))*CROQUIS!$C$155)+IF(CROQUIS!$C$92="X",0,0)),-1000)</f>
        <v>-1000</v>
      </c>
      <c r="BO20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209-1)/5),MAX((MIN(80,MAX(1,INT(((CROQUIS!$C$98)-CROQUIS!$C$107)/MAX(CROQUIS!$C$130,1))+1)))-1,0))*CROQUIS!$C$130),CHOOSE(IF(INT(($A209-1)/5)&gt;MAX((MIN(80,MAX(1,INT(((CROQUIS!$C$98)-CROQUIS!$C$107)/MAX(CROQUIS!$C$130,1))+1)))-1,0),0,MOD($A209-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0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209-1)/5),MAX((MIN(80,MAX(1,INT(((CROQUIS!$C$97)-CROQUIS!$C$107)/MAX(CROQUIS!$C$138,1))+1)))-1,0))*CROQUIS!$C$138),CHOOSE(IF(INT(($A209-1)/5)&gt;MAX((MIN(80,MAX(1,INT(((CROQUIS!$C$97)-CROQUIS!$C$107)/MAX(CROQUIS!$C$138,1))+1)))-1,0),0,MOD($A209-1,5))+1,0,IF(CROQUIS!$C$105=1,-12,2),CROQUIS!$C$107/2+CROQUIS!$C$141,IF(CROQUIS!$C$105=1,-12,2),0)))*CROQUIS!$C$155)+IF(CROQUIS!$C$92="X",0,0)),-1000)</f>
        <v>-1000</v>
      </c>
      <c r="BQ209">
        <f>IF(AND(CROQUIS!$C$88=1,CROQUIS!$C$91=0,CROQUIS!$C$138&gt;0,OR(CROQUIS!$C$105=1,CROQUIS!$C$143=1)),((CROQUIS!$C$157+(IF(CROQUIS!$C$92="X",CHOOSE(IF(INT(($A209-1)/5)&gt;MAX((MIN(80,MAX(1,INT(((CROQUIS!$C$97)-CROQUIS!$C$107)/MAX(CROQUIS!$C$138,1))+1)))-1,0),0,MOD($A209-1,5))+1,0,IF(CROQUIS!$C$105=1,-12,2),CROQUIS!$C$107/2+CROQUIS!$C$141,IF(CROQUIS!$C$105=1,-12,2),0),((CROQUIS!$C$107/2+(((CROQUIS!$C$97)-CROQUIS!$C$107)-(MIN(80,MAX(1,INT(((CROQUIS!$C$97)-CROQUIS!$C$107)/MAX(CROQUIS!$C$138,1))+1))-1)*CROQUIS!$C$138)/2)+MIN(INT(($A209-1)/5),MAX((MIN(80,MAX(1,INT(((CROQUIS!$C$97)-CROQUIS!$C$107)/MAX(CROQUIS!$C$138,1))+1)))-1,0))*CROQUIS!$C$138)))*CROQUIS!$C$155)+IF(CROQUIS!$C$92="X",0,0)),-1000)</f>
        <v>-1000</v>
      </c>
      <c r="BR20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209-1)/5),MAX((MIN(80,MAX(1,INT(((CROQUIS!$C$97)-CROQUIS!$C$107)/MAX(CROQUIS!$C$138,1))+1)))-1,0))*CROQUIS!$C$138),CHOOSE(IF(INT(($A209-1)/5)&gt;MAX((MIN(80,MAX(1,INT(((CROQUIS!$C$97)-CROQUIS!$C$107)/MAX(CROQUIS!$C$138,1))+1)))-1,0),0,MOD($A209-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09">
        <f>IF(AND(CROQUIS!$C$88=1,CROQUIS!$C$91=0,CROQUIS!$C$138&gt;0,OR(CROQUIS!$C$106=1,CROQUIS!$C$143=1)),((CROQUIS!$C$157+(IF(CROQUIS!$C$92="X",CHOOSE(IF(INT(($A209-1)/5)&gt;MAX((MIN(80,MAX(1,INT(((CROQUIS!$C$97)-CROQUIS!$C$107)/MAX(CROQUIS!$C$138,1))+1)))-1,0),0,MOD($A209-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209-1)/5),MAX((MIN(80,MAX(1,INT(((CROQUIS!$C$97)-CROQUIS!$C$107)/MAX(CROQUIS!$C$138,1))+1)))-1,0))*CROQUIS!$C$138)))*CROQUIS!$C$155)+IF(CROQUIS!$C$92="X",0,0)),-1000)</f>
        <v>-1000</v>
      </c>
      <c r="BT209">
        <f>IF(AND(CROQUIS!$C$88=1,CROQUIS!$C$91=1,CROQUIS!$C$130&gt;0),((CROQUIS!$C$156+(IF(CROQUIS!$C$92="X",CHOOSE(IF(INT(($A209-1)/5)&gt;MAX((MIN(80,MAX(1,INT(((CROQUIS!$C$98)-CROQUIS!$C$107)/MAX(CROQUIS!$C$130,1))+1)))-1,0),0,MOD($A209-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209-1)/5),MAX((MIN(80,MAX(1,INT(((CROQUIS!$C$98)-CROQUIS!$C$107)/MAX(CROQUIS!$C$130,1))+1)))-1,0))*CROQUIS!$C$130)))*CROQUIS!$C$155)+IF(CROQUIS!$C$92="X",0,0)),-1000)</f>
        <v>-1000</v>
      </c>
      <c r="BU209">
        <f>IF(AND(CROQUIS!$C$88=1,CROQUIS!$C$91=1,CROQUIS!$C$130&gt;0),((CROQUIS!$C$157+(IF(CROQUIS!$C$92="X",((CROQUIS!$C$107/2+(((CROQUIS!$C$98)-CROQUIS!$C$107)-(MIN(80,MAX(1,INT(((CROQUIS!$C$98)-CROQUIS!$C$107)/MAX(CROQUIS!$C$130,1))+1))-1)*CROQUIS!$C$130)/2)+MIN(INT(($A209-1)/5),MAX((MIN(80,MAX(1,INT(((CROQUIS!$C$98)-CROQUIS!$C$107)/MAX(CROQUIS!$C$130,1))+1)))-1,0))*CROQUIS!$C$130),CHOOSE(IF(INT(($A209-1)/5)&gt;MAX((MIN(80,MAX(1,INT(((CROQUIS!$C$98)-CROQUIS!$C$107)/MAX(CROQUIS!$C$130,1))+1)))-1,0),0,MOD($A209-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10">
      <c r="A210" t="n">
        <v>203</v>
      </c>
      <c r="BH210">
        <f>IF(AND(CROQUIS!$C$88=1,CROQUIS!$C$126&gt;0),((CROQUIS!$C$156+(IF(CROQUIS!$C$92="X",CHOOSE(IF(INT(($A210-1)/5)&gt;MAX((MIN(80,MAX(1,INT(((CROQUIS!$C$98)-CROQUIS!$C$107)/MAX(CROQUIS!$C$126,1))+1)))-1,0),0,MOD($A210-1,5))+1,0,2,CROQUIS!$C$97-2,2,0),((CROQUIS!$C$107/2+(((CROQUIS!$C$98)-CROQUIS!$C$107)-(MIN(80,MAX(1,INT(((CROQUIS!$C$98)-CROQUIS!$C$107)/MAX(CROQUIS!$C$126,1))+1))-1)*CROQUIS!$C$126)/2)+MIN(INT(($A210-1)/5),MAX((MIN(80,MAX(1,INT(((CROQUIS!$C$98)-CROQUIS!$C$107)/MAX(CROQUIS!$C$126,1))+1)))-1,0))*CROQUIS!$C$126)))*CROQUIS!$C$155)+IF(CROQUIS!$C$92="X",0,0)),-1000)</f>
        <v>-1000</v>
      </c>
      <c r="BI210">
        <f>IF(AND(CROQUIS!$C$88=1,CROQUIS!$C$126&gt;0),((CROQUIS!$C$157+(IF(CROQUIS!$C$92="X",((CROQUIS!$C$107/2+(((CROQUIS!$C$98)-CROQUIS!$C$107)-(MIN(80,MAX(1,INT(((CROQUIS!$C$98)-CROQUIS!$C$107)/MAX(CROQUIS!$C$126,1))+1))-1)*CROQUIS!$C$126)/2)+MIN(INT(($A210-1)/5),MAX((MIN(80,MAX(1,INT(((CROQUIS!$C$98)-CROQUIS!$C$107)/MAX(CROQUIS!$C$126,1))+1)))-1,0))*CROQUIS!$C$126),CHOOSE(IF(INT(($A210-1)/5)&gt;MAX((MIN(80,MAX(1,INT(((CROQUIS!$C$98)-CROQUIS!$C$107)/MAX(CROQUIS!$C$126,1))+1)))-1,0),0,MOD($A210-1,5))+1,0,2,CROQUIS!$C$97-2,2,0)))*CROQUIS!$C$155)+IF(CROQUIS!$C$92="X",0,0)),-1000)</f>
        <v>-1000</v>
      </c>
      <c r="BJ210">
        <f>IF(AND(CROQUIS!$C$88=1,CROQUIS!$C$134&gt;0),((CROQUIS!$C$156+(IF(CROQUIS!$C$92="X",((CROQUIS!$C$107/2+(((CROQUIS!$C$97)-CROQUIS!$C$107)-(MIN(80,MAX(1,INT(((CROQUIS!$C$97)-CROQUIS!$C$107)/MAX(CROQUIS!$C$134,1))+1))-1)*CROQUIS!$C$134)/2)+MIN(INT(($A210-1)/5),MAX((MIN(80,MAX(1,INT(((CROQUIS!$C$97)-CROQUIS!$C$107)/MAX(CROQUIS!$C$134,1))+1)))-1,0))*CROQUIS!$C$134),CHOOSE(IF(INT(($A210-1)/5)&gt;MAX((MIN(80,MAX(1,INT(((CROQUIS!$C$97)-CROQUIS!$C$107)/MAX(CROQUIS!$C$134,1))+1)))-1,0),0,MOD($A210-1,5))+1,0,2,CROQUIS!$C$98-2,2,0)))*CROQUIS!$C$155)+IF(CROQUIS!$C$92="X",0,0)),-1000)</f>
        <v>-1000</v>
      </c>
      <c r="BK210">
        <f>IF(AND(CROQUIS!$C$88=1,CROQUIS!$C$134&gt;0),((CROQUIS!$C$157+(IF(CROQUIS!$C$92="X",CHOOSE(IF(INT(($A210-1)/5)&gt;MAX((MIN(80,MAX(1,INT(((CROQUIS!$C$97)-CROQUIS!$C$107)/MAX(CROQUIS!$C$134,1))+1)))-1,0),0,MOD($A210-1,5))+1,0,2,CROQUIS!$C$98-2,2,0),((CROQUIS!$C$107/2+(((CROQUIS!$C$97)-CROQUIS!$C$107)-(MIN(80,MAX(1,INT(((CROQUIS!$C$97)-CROQUIS!$C$107)/MAX(CROQUIS!$C$134,1))+1))-1)*CROQUIS!$C$134)/2)+MIN(INT(($A210-1)/5),MAX((MIN(80,MAX(1,INT(((CROQUIS!$C$97)-CROQUIS!$C$107)/MAX(CROQUIS!$C$134,1))+1)))-1,0))*CROQUIS!$C$134)))*CROQUIS!$C$155)+IF(CROQUIS!$C$92="X",0,0)),-1000)</f>
        <v>-1000</v>
      </c>
      <c r="BL210">
        <f>IF(AND(CROQUIS!$C$88=1,CROQUIS!$C$91=0,CROQUIS!$C$130&gt;0,OR(CROQUIS!$C$103=1,CROQUIS!$C$142=1)),((CROQUIS!$C$156+(IF(CROQUIS!$C$92="X",CHOOSE(IF(INT(($A210-1)/5)&gt;MAX((MIN(80,MAX(1,INT(((CROQUIS!$C$98)-CROQUIS!$C$107)/MAX(CROQUIS!$C$130,1))+1)))-1,0),0,MOD($A210-1,5))+1,0,IF(CROQUIS!$C$103=1,-12,2),CROQUIS!$C$107/2+CROQUIS!$C$140,IF(CROQUIS!$C$103=1,-12,2),0),((CROQUIS!$C$107/2+(((CROQUIS!$C$98)-CROQUIS!$C$107)-(MIN(80,MAX(1,INT(((CROQUIS!$C$98)-CROQUIS!$C$107)/MAX(CROQUIS!$C$130,1))+1))-1)*CROQUIS!$C$130)/2)+MIN(INT(($A210-1)/5),MAX((MIN(80,MAX(1,INT(((CROQUIS!$C$98)-CROQUIS!$C$107)/MAX(CROQUIS!$C$130,1))+1)))-1,0))*CROQUIS!$C$130)))*CROQUIS!$C$155)+IF(CROQUIS!$C$92="X",0,0)),-1000)</f>
        <v>-1000</v>
      </c>
      <c r="BM21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210-1)/5),MAX((MIN(80,MAX(1,INT(((CROQUIS!$C$98)-CROQUIS!$C$107)/MAX(CROQUIS!$C$130,1))+1)))-1,0))*CROQUIS!$C$130),CHOOSE(IF(INT(($A210-1)/5)&gt;MAX((MIN(80,MAX(1,INT(((CROQUIS!$C$98)-CROQUIS!$C$107)/MAX(CROQUIS!$C$130,1))+1)))-1,0),0,MOD($A210-1,5))+1,0,IF(CROQUIS!$C$103=1,-12,2),CROQUIS!$C$107/2+CROQUIS!$C$140,IF(CROQUIS!$C$103=1,-12,2),0)))*CROQUIS!$C$155)+IF(CROQUIS!$C$92="X",0,0)),-1000)</f>
        <v>-1000</v>
      </c>
      <c r="BN210">
        <f>IF(AND(CROQUIS!$C$88=1,CROQUIS!$C$91=0,CROQUIS!$C$130&gt;0,OR(CROQUIS!$C$104=1,CROQUIS!$C$142=1)),((CROQUIS!$C$156+(IF(CROQUIS!$C$92="X",CHOOSE(IF(INT(($A210-1)/5)&gt;MAX((MIN(80,MAX(1,INT(((CROQUIS!$C$98)-CROQUIS!$C$107)/MAX(CROQUIS!$C$130,1))+1)))-1,0),0,MOD($A210-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210-1)/5),MAX((MIN(80,MAX(1,INT(((CROQUIS!$C$98)-CROQUIS!$C$107)/MAX(CROQUIS!$C$130,1))+1)))-1,0))*CROQUIS!$C$130)))*CROQUIS!$C$155)+IF(CROQUIS!$C$92="X",0,0)),-1000)</f>
        <v>-1000</v>
      </c>
      <c r="BO21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210-1)/5),MAX((MIN(80,MAX(1,INT(((CROQUIS!$C$98)-CROQUIS!$C$107)/MAX(CROQUIS!$C$130,1))+1)))-1,0))*CROQUIS!$C$130),CHOOSE(IF(INT(($A210-1)/5)&gt;MAX((MIN(80,MAX(1,INT(((CROQUIS!$C$98)-CROQUIS!$C$107)/MAX(CROQUIS!$C$130,1))+1)))-1,0),0,MOD($A210-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1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210-1)/5),MAX((MIN(80,MAX(1,INT(((CROQUIS!$C$97)-CROQUIS!$C$107)/MAX(CROQUIS!$C$138,1))+1)))-1,0))*CROQUIS!$C$138),CHOOSE(IF(INT(($A210-1)/5)&gt;MAX((MIN(80,MAX(1,INT(((CROQUIS!$C$97)-CROQUIS!$C$107)/MAX(CROQUIS!$C$138,1))+1)))-1,0),0,MOD($A210-1,5))+1,0,IF(CROQUIS!$C$105=1,-12,2),CROQUIS!$C$107/2+CROQUIS!$C$141,IF(CROQUIS!$C$105=1,-12,2),0)))*CROQUIS!$C$155)+IF(CROQUIS!$C$92="X",0,0)),-1000)</f>
        <v>-1000</v>
      </c>
      <c r="BQ210">
        <f>IF(AND(CROQUIS!$C$88=1,CROQUIS!$C$91=0,CROQUIS!$C$138&gt;0,OR(CROQUIS!$C$105=1,CROQUIS!$C$143=1)),((CROQUIS!$C$157+(IF(CROQUIS!$C$92="X",CHOOSE(IF(INT(($A210-1)/5)&gt;MAX((MIN(80,MAX(1,INT(((CROQUIS!$C$97)-CROQUIS!$C$107)/MAX(CROQUIS!$C$138,1))+1)))-1,0),0,MOD($A210-1,5))+1,0,IF(CROQUIS!$C$105=1,-12,2),CROQUIS!$C$107/2+CROQUIS!$C$141,IF(CROQUIS!$C$105=1,-12,2),0),((CROQUIS!$C$107/2+(((CROQUIS!$C$97)-CROQUIS!$C$107)-(MIN(80,MAX(1,INT(((CROQUIS!$C$97)-CROQUIS!$C$107)/MAX(CROQUIS!$C$138,1))+1))-1)*CROQUIS!$C$138)/2)+MIN(INT(($A210-1)/5),MAX((MIN(80,MAX(1,INT(((CROQUIS!$C$97)-CROQUIS!$C$107)/MAX(CROQUIS!$C$138,1))+1)))-1,0))*CROQUIS!$C$138)))*CROQUIS!$C$155)+IF(CROQUIS!$C$92="X",0,0)),-1000)</f>
        <v>-1000</v>
      </c>
      <c r="BR21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210-1)/5),MAX((MIN(80,MAX(1,INT(((CROQUIS!$C$97)-CROQUIS!$C$107)/MAX(CROQUIS!$C$138,1))+1)))-1,0))*CROQUIS!$C$138),CHOOSE(IF(INT(($A210-1)/5)&gt;MAX((MIN(80,MAX(1,INT(((CROQUIS!$C$97)-CROQUIS!$C$107)/MAX(CROQUIS!$C$138,1))+1)))-1,0),0,MOD($A210-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10">
        <f>IF(AND(CROQUIS!$C$88=1,CROQUIS!$C$91=0,CROQUIS!$C$138&gt;0,OR(CROQUIS!$C$106=1,CROQUIS!$C$143=1)),((CROQUIS!$C$157+(IF(CROQUIS!$C$92="X",CHOOSE(IF(INT(($A210-1)/5)&gt;MAX((MIN(80,MAX(1,INT(((CROQUIS!$C$97)-CROQUIS!$C$107)/MAX(CROQUIS!$C$138,1))+1)))-1,0),0,MOD($A210-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210-1)/5),MAX((MIN(80,MAX(1,INT(((CROQUIS!$C$97)-CROQUIS!$C$107)/MAX(CROQUIS!$C$138,1))+1)))-1,0))*CROQUIS!$C$138)))*CROQUIS!$C$155)+IF(CROQUIS!$C$92="X",0,0)),-1000)</f>
        <v>-1000</v>
      </c>
      <c r="BT210">
        <f>IF(AND(CROQUIS!$C$88=1,CROQUIS!$C$91=1,CROQUIS!$C$130&gt;0),((CROQUIS!$C$156+(IF(CROQUIS!$C$92="X",CHOOSE(IF(INT(($A210-1)/5)&gt;MAX((MIN(80,MAX(1,INT(((CROQUIS!$C$98)-CROQUIS!$C$107)/MAX(CROQUIS!$C$130,1))+1)))-1,0),0,MOD($A210-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210-1)/5),MAX((MIN(80,MAX(1,INT(((CROQUIS!$C$98)-CROQUIS!$C$107)/MAX(CROQUIS!$C$130,1))+1)))-1,0))*CROQUIS!$C$130)))*CROQUIS!$C$155)+IF(CROQUIS!$C$92="X",0,0)),-1000)</f>
        <v>-1000</v>
      </c>
      <c r="BU210">
        <f>IF(AND(CROQUIS!$C$88=1,CROQUIS!$C$91=1,CROQUIS!$C$130&gt;0),((CROQUIS!$C$157+(IF(CROQUIS!$C$92="X",((CROQUIS!$C$107/2+(((CROQUIS!$C$98)-CROQUIS!$C$107)-(MIN(80,MAX(1,INT(((CROQUIS!$C$98)-CROQUIS!$C$107)/MAX(CROQUIS!$C$130,1))+1))-1)*CROQUIS!$C$130)/2)+MIN(INT(($A210-1)/5),MAX((MIN(80,MAX(1,INT(((CROQUIS!$C$98)-CROQUIS!$C$107)/MAX(CROQUIS!$C$130,1))+1)))-1,0))*CROQUIS!$C$130),CHOOSE(IF(INT(($A210-1)/5)&gt;MAX((MIN(80,MAX(1,INT(((CROQUIS!$C$98)-CROQUIS!$C$107)/MAX(CROQUIS!$C$130,1))+1)))-1,0),0,MOD($A210-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11">
      <c r="A211" t="n">
        <v>204</v>
      </c>
      <c r="BH211">
        <f>IF(AND(CROQUIS!$C$88=1,CROQUIS!$C$126&gt;0),((CROQUIS!$C$156+(IF(CROQUIS!$C$92="X",CHOOSE(IF(INT(($A211-1)/5)&gt;MAX((MIN(80,MAX(1,INT(((CROQUIS!$C$98)-CROQUIS!$C$107)/MAX(CROQUIS!$C$126,1))+1)))-1,0),0,MOD($A211-1,5))+1,0,2,CROQUIS!$C$97-2,2,0),((CROQUIS!$C$107/2+(((CROQUIS!$C$98)-CROQUIS!$C$107)-(MIN(80,MAX(1,INT(((CROQUIS!$C$98)-CROQUIS!$C$107)/MAX(CROQUIS!$C$126,1))+1))-1)*CROQUIS!$C$126)/2)+MIN(INT(($A211-1)/5),MAX((MIN(80,MAX(1,INT(((CROQUIS!$C$98)-CROQUIS!$C$107)/MAX(CROQUIS!$C$126,1))+1)))-1,0))*CROQUIS!$C$126)))*CROQUIS!$C$155)+IF(CROQUIS!$C$92="X",0,0)),-1000)</f>
        <v>-1000</v>
      </c>
      <c r="BI211">
        <f>IF(AND(CROQUIS!$C$88=1,CROQUIS!$C$126&gt;0),((CROQUIS!$C$157+(IF(CROQUIS!$C$92="X",((CROQUIS!$C$107/2+(((CROQUIS!$C$98)-CROQUIS!$C$107)-(MIN(80,MAX(1,INT(((CROQUIS!$C$98)-CROQUIS!$C$107)/MAX(CROQUIS!$C$126,1))+1))-1)*CROQUIS!$C$126)/2)+MIN(INT(($A211-1)/5),MAX((MIN(80,MAX(1,INT(((CROQUIS!$C$98)-CROQUIS!$C$107)/MAX(CROQUIS!$C$126,1))+1)))-1,0))*CROQUIS!$C$126),CHOOSE(IF(INT(($A211-1)/5)&gt;MAX((MIN(80,MAX(1,INT(((CROQUIS!$C$98)-CROQUIS!$C$107)/MAX(CROQUIS!$C$126,1))+1)))-1,0),0,MOD($A211-1,5))+1,0,2,CROQUIS!$C$97-2,2,0)))*CROQUIS!$C$155)+IF(CROQUIS!$C$92="X",0,0)),-1000)</f>
        <v>-1000</v>
      </c>
      <c r="BJ211">
        <f>IF(AND(CROQUIS!$C$88=1,CROQUIS!$C$134&gt;0),((CROQUIS!$C$156+(IF(CROQUIS!$C$92="X",((CROQUIS!$C$107/2+(((CROQUIS!$C$97)-CROQUIS!$C$107)-(MIN(80,MAX(1,INT(((CROQUIS!$C$97)-CROQUIS!$C$107)/MAX(CROQUIS!$C$134,1))+1))-1)*CROQUIS!$C$134)/2)+MIN(INT(($A211-1)/5),MAX((MIN(80,MAX(1,INT(((CROQUIS!$C$97)-CROQUIS!$C$107)/MAX(CROQUIS!$C$134,1))+1)))-1,0))*CROQUIS!$C$134),CHOOSE(IF(INT(($A211-1)/5)&gt;MAX((MIN(80,MAX(1,INT(((CROQUIS!$C$97)-CROQUIS!$C$107)/MAX(CROQUIS!$C$134,1))+1)))-1,0),0,MOD($A211-1,5))+1,0,2,CROQUIS!$C$98-2,2,0)))*CROQUIS!$C$155)+IF(CROQUIS!$C$92="X",0,0)),-1000)</f>
        <v>-1000</v>
      </c>
      <c r="BK211">
        <f>IF(AND(CROQUIS!$C$88=1,CROQUIS!$C$134&gt;0),((CROQUIS!$C$157+(IF(CROQUIS!$C$92="X",CHOOSE(IF(INT(($A211-1)/5)&gt;MAX((MIN(80,MAX(1,INT(((CROQUIS!$C$97)-CROQUIS!$C$107)/MAX(CROQUIS!$C$134,1))+1)))-1,0),0,MOD($A211-1,5))+1,0,2,CROQUIS!$C$98-2,2,0),((CROQUIS!$C$107/2+(((CROQUIS!$C$97)-CROQUIS!$C$107)-(MIN(80,MAX(1,INT(((CROQUIS!$C$97)-CROQUIS!$C$107)/MAX(CROQUIS!$C$134,1))+1))-1)*CROQUIS!$C$134)/2)+MIN(INT(($A211-1)/5),MAX((MIN(80,MAX(1,INT(((CROQUIS!$C$97)-CROQUIS!$C$107)/MAX(CROQUIS!$C$134,1))+1)))-1,0))*CROQUIS!$C$134)))*CROQUIS!$C$155)+IF(CROQUIS!$C$92="X",0,0)),-1000)</f>
        <v>-1000</v>
      </c>
      <c r="BL211">
        <f>IF(AND(CROQUIS!$C$88=1,CROQUIS!$C$91=0,CROQUIS!$C$130&gt;0,OR(CROQUIS!$C$103=1,CROQUIS!$C$142=1)),((CROQUIS!$C$156+(IF(CROQUIS!$C$92="X",CHOOSE(IF(INT(($A211-1)/5)&gt;MAX((MIN(80,MAX(1,INT(((CROQUIS!$C$98)-CROQUIS!$C$107)/MAX(CROQUIS!$C$130,1))+1)))-1,0),0,MOD($A211-1,5))+1,0,IF(CROQUIS!$C$103=1,-12,2),CROQUIS!$C$107/2+CROQUIS!$C$140,IF(CROQUIS!$C$103=1,-12,2),0),((CROQUIS!$C$107/2+(((CROQUIS!$C$98)-CROQUIS!$C$107)-(MIN(80,MAX(1,INT(((CROQUIS!$C$98)-CROQUIS!$C$107)/MAX(CROQUIS!$C$130,1))+1))-1)*CROQUIS!$C$130)/2)+MIN(INT(($A211-1)/5),MAX((MIN(80,MAX(1,INT(((CROQUIS!$C$98)-CROQUIS!$C$107)/MAX(CROQUIS!$C$130,1))+1)))-1,0))*CROQUIS!$C$130)))*CROQUIS!$C$155)+IF(CROQUIS!$C$92="X",0,0)),-1000)</f>
        <v>-1000</v>
      </c>
      <c r="BM21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211-1)/5),MAX((MIN(80,MAX(1,INT(((CROQUIS!$C$98)-CROQUIS!$C$107)/MAX(CROQUIS!$C$130,1))+1)))-1,0))*CROQUIS!$C$130),CHOOSE(IF(INT(($A211-1)/5)&gt;MAX((MIN(80,MAX(1,INT(((CROQUIS!$C$98)-CROQUIS!$C$107)/MAX(CROQUIS!$C$130,1))+1)))-1,0),0,MOD($A211-1,5))+1,0,IF(CROQUIS!$C$103=1,-12,2),CROQUIS!$C$107/2+CROQUIS!$C$140,IF(CROQUIS!$C$103=1,-12,2),0)))*CROQUIS!$C$155)+IF(CROQUIS!$C$92="X",0,0)),-1000)</f>
        <v>-1000</v>
      </c>
      <c r="BN211">
        <f>IF(AND(CROQUIS!$C$88=1,CROQUIS!$C$91=0,CROQUIS!$C$130&gt;0,OR(CROQUIS!$C$104=1,CROQUIS!$C$142=1)),((CROQUIS!$C$156+(IF(CROQUIS!$C$92="X",CHOOSE(IF(INT(($A211-1)/5)&gt;MAX((MIN(80,MAX(1,INT(((CROQUIS!$C$98)-CROQUIS!$C$107)/MAX(CROQUIS!$C$130,1))+1)))-1,0),0,MOD($A211-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211-1)/5),MAX((MIN(80,MAX(1,INT(((CROQUIS!$C$98)-CROQUIS!$C$107)/MAX(CROQUIS!$C$130,1))+1)))-1,0))*CROQUIS!$C$130)))*CROQUIS!$C$155)+IF(CROQUIS!$C$92="X",0,0)),-1000)</f>
        <v>-1000</v>
      </c>
      <c r="BO21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211-1)/5),MAX((MIN(80,MAX(1,INT(((CROQUIS!$C$98)-CROQUIS!$C$107)/MAX(CROQUIS!$C$130,1))+1)))-1,0))*CROQUIS!$C$130),CHOOSE(IF(INT(($A211-1)/5)&gt;MAX((MIN(80,MAX(1,INT(((CROQUIS!$C$98)-CROQUIS!$C$107)/MAX(CROQUIS!$C$130,1))+1)))-1,0),0,MOD($A211-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1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211-1)/5),MAX((MIN(80,MAX(1,INT(((CROQUIS!$C$97)-CROQUIS!$C$107)/MAX(CROQUIS!$C$138,1))+1)))-1,0))*CROQUIS!$C$138),CHOOSE(IF(INT(($A211-1)/5)&gt;MAX((MIN(80,MAX(1,INT(((CROQUIS!$C$97)-CROQUIS!$C$107)/MAX(CROQUIS!$C$138,1))+1)))-1,0),0,MOD($A211-1,5))+1,0,IF(CROQUIS!$C$105=1,-12,2),CROQUIS!$C$107/2+CROQUIS!$C$141,IF(CROQUIS!$C$105=1,-12,2),0)))*CROQUIS!$C$155)+IF(CROQUIS!$C$92="X",0,0)),-1000)</f>
        <v>-1000</v>
      </c>
      <c r="BQ211">
        <f>IF(AND(CROQUIS!$C$88=1,CROQUIS!$C$91=0,CROQUIS!$C$138&gt;0,OR(CROQUIS!$C$105=1,CROQUIS!$C$143=1)),((CROQUIS!$C$157+(IF(CROQUIS!$C$92="X",CHOOSE(IF(INT(($A211-1)/5)&gt;MAX((MIN(80,MAX(1,INT(((CROQUIS!$C$97)-CROQUIS!$C$107)/MAX(CROQUIS!$C$138,1))+1)))-1,0),0,MOD($A211-1,5))+1,0,IF(CROQUIS!$C$105=1,-12,2),CROQUIS!$C$107/2+CROQUIS!$C$141,IF(CROQUIS!$C$105=1,-12,2),0),((CROQUIS!$C$107/2+(((CROQUIS!$C$97)-CROQUIS!$C$107)-(MIN(80,MAX(1,INT(((CROQUIS!$C$97)-CROQUIS!$C$107)/MAX(CROQUIS!$C$138,1))+1))-1)*CROQUIS!$C$138)/2)+MIN(INT(($A211-1)/5),MAX((MIN(80,MAX(1,INT(((CROQUIS!$C$97)-CROQUIS!$C$107)/MAX(CROQUIS!$C$138,1))+1)))-1,0))*CROQUIS!$C$138)))*CROQUIS!$C$155)+IF(CROQUIS!$C$92="X",0,0)),-1000)</f>
        <v>-1000</v>
      </c>
      <c r="BR21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211-1)/5),MAX((MIN(80,MAX(1,INT(((CROQUIS!$C$97)-CROQUIS!$C$107)/MAX(CROQUIS!$C$138,1))+1)))-1,0))*CROQUIS!$C$138),CHOOSE(IF(INT(($A211-1)/5)&gt;MAX((MIN(80,MAX(1,INT(((CROQUIS!$C$97)-CROQUIS!$C$107)/MAX(CROQUIS!$C$138,1))+1)))-1,0),0,MOD($A211-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11">
        <f>IF(AND(CROQUIS!$C$88=1,CROQUIS!$C$91=0,CROQUIS!$C$138&gt;0,OR(CROQUIS!$C$106=1,CROQUIS!$C$143=1)),((CROQUIS!$C$157+(IF(CROQUIS!$C$92="X",CHOOSE(IF(INT(($A211-1)/5)&gt;MAX((MIN(80,MAX(1,INT(((CROQUIS!$C$97)-CROQUIS!$C$107)/MAX(CROQUIS!$C$138,1))+1)))-1,0),0,MOD($A211-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211-1)/5),MAX((MIN(80,MAX(1,INT(((CROQUIS!$C$97)-CROQUIS!$C$107)/MAX(CROQUIS!$C$138,1))+1)))-1,0))*CROQUIS!$C$138)))*CROQUIS!$C$155)+IF(CROQUIS!$C$92="X",0,0)),-1000)</f>
        <v>-1000</v>
      </c>
      <c r="BT211">
        <f>IF(AND(CROQUIS!$C$88=1,CROQUIS!$C$91=1,CROQUIS!$C$130&gt;0),((CROQUIS!$C$156+(IF(CROQUIS!$C$92="X",CHOOSE(IF(INT(($A211-1)/5)&gt;MAX((MIN(80,MAX(1,INT(((CROQUIS!$C$98)-CROQUIS!$C$107)/MAX(CROQUIS!$C$130,1))+1)))-1,0),0,MOD($A211-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211-1)/5),MAX((MIN(80,MAX(1,INT(((CROQUIS!$C$98)-CROQUIS!$C$107)/MAX(CROQUIS!$C$130,1))+1)))-1,0))*CROQUIS!$C$130)))*CROQUIS!$C$155)+IF(CROQUIS!$C$92="X",0,0)),-1000)</f>
        <v>-1000</v>
      </c>
      <c r="BU211">
        <f>IF(AND(CROQUIS!$C$88=1,CROQUIS!$C$91=1,CROQUIS!$C$130&gt;0),((CROQUIS!$C$157+(IF(CROQUIS!$C$92="X",((CROQUIS!$C$107/2+(((CROQUIS!$C$98)-CROQUIS!$C$107)-(MIN(80,MAX(1,INT(((CROQUIS!$C$98)-CROQUIS!$C$107)/MAX(CROQUIS!$C$130,1))+1))-1)*CROQUIS!$C$130)/2)+MIN(INT(($A211-1)/5),MAX((MIN(80,MAX(1,INT(((CROQUIS!$C$98)-CROQUIS!$C$107)/MAX(CROQUIS!$C$130,1))+1)))-1,0))*CROQUIS!$C$130),CHOOSE(IF(INT(($A211-1)/5)&gt;MAX((MIN(80,MAX(1,INT(((CROQUIS!$C$98)-CROQUIS!$C$107)/MAX(CROQUIS!$C$130,1))+1)))-1,0),0,MOD($A211-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12">
      <c r="A212" t="n">
        <v>205</v>
      </c>
      <c r="BH212">
        <f>IF(AND(CROQUIS!$C$88=1,CROQUIS!$C$126&gt;0),((CROQUIS!$C$156+(IF(CROQUIS!$C$92="X",CHOOSE(IF(INT(($A212-1)/5)&gt;MAX((MIN(80,MAX(1,INT(((CROQUIS!$C$98)-CROQUIS!$C$107)/MAX(CROQUIS!$C$126,1))+1)))-1,0),0,MOD($A212-1,5))+1,0,2,CROQUIS!$C$97-2,2,0),((CROQUIS!$C$107/2+(((CROQUIS!$C$98)-CROQUIS!$C$107)-(MIN(80,MAX(1,INT(((CROQUIS!$C$98)-CROQUIS!$C$107)/MAX(CROQUIS!$C$126,1))+1))-1)*CROQUIS!$C$126)/2)+MIN(INT(($A212-1)/5),MAX((MIN(80,MAX(1,INT(((CROQUIS!$C$98)-CROQUIS!$C$107)/MAX(CROQUIS!$C$126,1))+1)))-1,0))*CROQUIS!$C$126)))*CROQUIS!$C$155)+IF(CROQUIS!$C$92="X",0,0)),-1000)</f>
        <v>-1000</v>
      </c>
      <c r="BI212">
        <f>IF(AND(CROQUIS!$C$88=1,CROQUIS!$C$126&gt;0),((CROQUIS!$C$157+(IF(CROQUIS!$C$92="X",((CROQUIS!$C$107/2+(((CROQUIS!$C$98)-CROQUIS!$C$107)-(MIN(80,MAX(1,INT(((CROQUIS!$C$98)-CROQUIS!$C$107)/MAX(CROQUIS!$C$126,1))+1))-1)*CROQUIS!$C$126)/2)+MIN(INT(($A212-1)/5),MAX((MIN(80,MAX(1,INT(((CROQUIS!$C$98)-CROQUIS!$C$107)/MAX(CROQUIS!$C$126,1))+1)))-1,0))*CROQUIS!$C$126),CHOOSE(IF(INT(($A212-1)/5)&gt;MAX((MIN(80,MAX(1,INT(((CROQUIS!$C$98)-CROQUIS!$C$107)/MAX(CROQUIS!$C$126,1))+1)))-1,0),0,MOD($A212-1,5))+1,0,2,CROQUIS!$C$97-2,2,0)))*CROQUIS!$C$155)+IF(CROQUIS!$C$92="X",0,0)),-1000)</f>
        <v>-1000</v>
      </c>
      <c r="BJ212">
        <f>IF(AND(CROQUIS!$C$88=1,CROQUIS!$C$134&gt;0),((CROQUIS!$C$156+(IF(CROQUIS!$C$92="X",((CROQUIS!$C$107/2+(((CROQUIS!$C$97)-CROQUIS!$C$107)-(MIN(80,MAX(1,INT(((CROQUIS!$C$97)-CROQUIS!$C$107)/MAX(CROQUIS!$C$134,1))+1))-1)*CROQUIS!$C$134)/2)+MIN(INT(($A212-1)/5),MAX((MIN(80,MAX(1,INT(((CROQUIS!$C$97)-CROQUIS!$C$107)/MAX(CROQUIS!$C$134,1))+1)))-1,0))*CROQUIS!$C$134),CHOOSE(IF(INT(($A212-1)/5)&gt;MAX((MIN(80,MAX(1,INT(((CROQUIS!$C$97)-CROQUIS!$C$107)/MAX(CROQUIS!$C$134,1))+1)))-1,0),0,MOD($A212-1,5))+1,0,2,CROQUIS!$C$98-2,2,0)))*CROQUIS!$C$155)+IF(CROQUIS!$C$92="X",0,0)),-1000)</f>
        <v>-1000</v>
      </c>
      <c r="BK212">
        <f>IF(AND(CROQUIS!$C$88=1,CROQUIS!$C$134&gt;0),((CROQUIS!$C$157+(IF(CROQUIS!$C$92="X",CHOOSE(IF(INT(($A212-1)/5)&gt;MAX((MIN(80,MAX(1,INT(((CROQUIS!$C$97)-CROQUIS!$C$107)/MAX(CROQUIS!$C$134,1))+1)))-1,0),0,MOD($A212-1,5))+1,0,2,CROQUIS!$C$98-2,2,0),((CROQUIS!$C$107/2+(((CROQUIS!$C$97)-CROQUIS!$C$107)-(MIN(80,MAX(1,INT(((CROQUIS!$C$97)-CROQUIS!$C$107)/MAX(CROQUIS!$C$134,1))+1))-1)*CROQUIS!$C$134)/2)+MIN(INT(($A212-1)/5),MAX((MIN(80,MAX(1,INT(((CROQUIS!$C$97)-CROQUIS!$C$107)/MAX(CROQUIS!$C$134,1))+1)))-1,0))*CROQUIS!$C$134)))*CROQUIS!$C$155)+IF(CROQUIS!$C$92="X",0,0)),-1000)</f>
        <v>-1000</v>
      </c>
      <c r="BL212">
        <f>IF(AND(CROQUIS!$C$88=1,CROQUIS!$C$91=0,CROQUIS!$C$130&gt;0,OR(CROQUIS!$C$103=1,CROQUIS!$C$142=1)),((CROQUIS!$C$156+(IF(CROQUIS!$C$92="X",CHOOSE(IF(INT(($A212-1)/5)&gt;MAX((MIN(80,MAX(1,INT(((CROQUIS!$C$98)-CROQUIS!$C$107)/MAX(CROQUIS!$C$130,1))+1)))-1,0),0,MOD($A212-1,5))+1,0,IF(CROQUIS!$C$103=1,-12,2),CROQUIS!$C$107/2+CROQUIS!$C$140,IF(CROQUIS!$C$103=1,-12,2),0),((CROQUIS!$C$107/2+(((CROQUIS!$C$98)-CROQUIS!$C$107)-(MIN(80,MAX(1,INT(((CROQUIS!$C$98)-CROQUIS!$C$107)/MAX(CROQUIS!$C$130,1))+1))-1)*CROQUIS!$C$130)/2)+MIN(INT(($A212-1)/5),MAX((MIN(80,MAX(1,INT(((CROQUIS!$C$98)-CROQUIS!$C$107)/MAX(CROQUIS!$C$130,1))+1)))-1,0))*CROQUIS!$C$130)))*CROQUIS!$C$155)+IF(CROQUIS!$C$92="X",0,0)),-1000)</f>
        <v>-1000</v>
      </c>
      <c r="BM21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212-1)/5),MAX((MIN(80,MAX(1,INT(((CROQUIS!$C$98)-CROQUIS!$C$107)/MAX(CROQUIS!$C$130,1))+1)))-1,0))*CROQUIS!$C$130),CHOOSE(IF(INT(($A212-1)/5)&gt;MAX((MIN(80,MAX(1,INT(((CROQUIS!$C$98)-CROQUIS!$C$107)/MAX(CROQUIS!$C$130,1))+1)))-1,0),0,MOD($A212-1,5))+1,0,IF(CROQUIS!$C$103=1,-12,2),CROQUIS!$C$107/2+CROQUIS!$C$140,IF(CROQUIS!$C$103=1,-12,2),0)))*CROQUIS!$C$155)+IF(CROQUIS!$C$92="X",0,0)),-1000)</f>
        <v>-1000</v>
      </c>
      <c r="BN212">
        <f>IF(AND(CROQUIS!$C$88=1,CROQUIS!$C$91=0,CROQUIS!$C$130&gt;0,OR(CROQUIS!$C$104=1,CROQUIS!$C$142=1)),((CROQUIS!$C$156+(IF(CROQUIS!$C$92="X",CHOOSE(IF(INT(($A212-1)/5)&gt;MAX((MIN(80,MAX(1,INT(((CROQUIS!$C$98)-CROQUIS!$C$107)/MAX(CROQUIS!$C$130,1))+1)))-1,0),0,MOD($A212-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212-1)/5),MAX((MIN(80,MAX(1,INT(((CROQUIS!$C$98)-CROQUIS!$C$107)/MAX(CROQUIS!$C$130,1))+1)))-1,0))*CROQUIS!$C$130)))*CROQUIS!$C$155)+IF(CROQUIS!$C$92="X",0,0)),-1000)</f>
        <v>-1000</v>
      </c>
      <c r="BO21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212-1)/5),MAX((MIN(80,MAX(1,INT(((CROQUIS!$C$98)-CROQUIS!$C$107)/MAX(CROQUIS!$C$130,1))+1)))-1,0))*CROQUIS!$C$130),CHOOSE(IF(INT(($A212-1)/5)&gt;MAX((MIN(80,MAX(1,INT(((CROQUIS!$C$98)-CROQUIS!$C$107)/MAX(CROQUIS!$C$130,1))+1)))-1,0),0,MOD($A212-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1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212-1)/5),MAX((MIN(80,MAX(1,INT(((CROQUIS!$C$97)-CROQUIS!$C$107)/MAX(CROQUIS!$C$138,1))+1)))-1,0))*CROQUIS!$C$138),CHOOSE(IF(INT(($A212-1)/5)&gt;MAX((MIN(80,MAX(1,INT(((CROQUIS!$C$97)-CROQUIS!$C$107)/MAX(CROQUIS!$C$138,1))+1)))-1,0),0,MOD($A212-1,5))+1,0,IF(CROQUIS!$C$105=1,-12,2),CROQUIS!$C$107/2+CROQUIS!$C$141,IF(CROQUIS!$C$105=1,-12,2),0)))*CROQUIS!$C$155)+IF(CROQUIS!$C$92="X",0,0)),-1000)</f>
        <v>-1000</v>
      </c>
      <c r="BQ212">
        <f>IF(AND(CROQUIS!$C$88=1,CROQUIS!$C$91=0,CROQUIS!$C$138&gt;0,OR(CROQUIS!$C$105=1,CROQUIS!$C$143=1)),((CROQUIS!$C$157+(IF(CROQUIS!$C$92="X",CHOOSE(IF(INT(($A212-1)/5)&gt;MAX((MIN(80,MAX(1,INT(((CROQUIS!$C$97)-CROQUIS!$C$107)/MAX(CROQUIS!$C$138,1))+1)))-1,0),0,MOD($A212-1,5))+1,0,IF(CROQUIS!$C$105=1,-12,2),CROQUIS!$C$107/2+CROQUIS!$C$141,IF(CROQUIS!$C$105=1,-12,2),0),((CROQUIS!$C$107/2+(((CROQUIS!$C$97)-CROQUIS!$C$107)-(MIN(80,MAX(1,INT(((CROQUIS!$C$97)-CROQUIS!$C$107)/MAX(CROQUIS!$C$138,1))+1))-1)*CROQUIS!$C$138)/2)+MIN(INT(($A212-1)/5),MAX((MIN(80,MAX(1,INT(((CROQUIS!$C$97)-CROQUIS!$C$107)/MAX(CROQUIS!$C$138,1))+1)))-1,0))*CROQUIS!$C$138)))*CROQUIS!$C$155)+IF(CROQUIS!$C$92="X",0,0)),-1000)</f>
        <v>-1000</v>
      </c>
      <c r="BR21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212-1)/5),MAX((MIN(80,MAX(1,INT(((CROQUIS!$C$97)-CROQUIS!$C$107)/MAX(CROQUIS!$C$138,1))+1)))-1,0))*CROQUIS!$C$138),CHOOSE(IF(INT(($A212-1)/5)&gt;MAX((MIN(80,MAX(1,INT(((CROQUIS!$C$97)-CROQUIS!$C$107)/MAX(CROQUIS!$C$138,1))+1)))-1,0),0,MOD($A212-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12">
        <f>IF(AND(CROQUIS!$C$88=1,CROQUIS!$C$91=0,CROQUIS!$C$138&gt;0,OR(CROQUIS!$C$106=1,CROQUIS!$C$143=1)),((CROQUIS!$C$157+(IF(CROQUIS!$C$92="X",CHOOSE(IF(INT(($A212-1)/5)&gt;MAX((MIN(80,MAX(1,INT(((CROQUIS!$C$97)-CROQUIS!$C$107)/MAX(CROQUIS!$C$138,1))+1)))-1,0),0,MOD($A212-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212-1)/5),MAX((MIN(80,MAX(1,INT(((CROQUIS!$C$97)-CROQUIS!$C$107)/MAX(CROQUIS!$C$138,1))+1)))-1,0))*CROQUIS!$C$138)))*CROQUIS!$C$155)+IF(CROQUIS!$C$92="X",0,0)),-1000)</f>
        <v>-1000</v>
      </c>
      <c r="BT212">
        <f>IF(AND(CROQUIS!$C$88=1,CROQUIS!$C$91=1,CROQUIS!$C$130&gt;0),((CROQUIS!$C$156+(IF(CROQUIS!$C$92="X",CHOOSE(IF(INT(($A212-1)/5)&gt;MAX((MIN(80,MAX(1,INT(((CROQUIS!$C$98)-CROQUIS!$C$107)/MAX(CROQUIS!$C$130,1))+1)))-1,0),0,MOD($A212-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212-1)/5),MAX((MIN(80,MAX(1,INT(((CROQUIS!$C$98)-CROQUIS!$C$107)/MAX(CROQUIS!$C$130,1))+1)))-1,0))*CROQUIS!$C$130)))*CROQUIS!$C$155)+IF(CROQUIS!$C$92="X",0,0)),-1000)</f>
        <v>-1000</v>
      </c>
      <c r="BU212">
        <f>IF(AND(CROQUIS!$C$88=1,CROQUIS!$C$91=1,CROQUIS!$C$130&gt;0),((CROQUIS!$C$157+(IF(CROQUIS!$C$92="X",((CROQUIS!$C$107/2+(((CROQUIS!$C$98)-CROQUIS!$C$107)-(MIN(80,MAX(1,INT(((CROQUIS!$C$98)-CROQUIS!$C$107)/MAX(CROQUIS!$C$130,1))+1))-1)*CROQUIS!$C$130)/2)+MIN(INT(($A212-1)/5),MAX((MIN(80,MAX(1,INT(((CROQUIS!$C$98)-CROQUIS!$C$107)/MAX(CROQUIS!$C$130,1))+1)))-1,0))*CROQUIS!$C$130),CHOOSE(IF(INT(($A212-1)/5)&gt;MAX((MIN(80,MAX(1,INT(((CROQUIS!$C$98)-CROQUIS!$C$107)/MAX(CROQUIS!$C$130,1))+1)))-1,0),0,MOD($A212-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13">
      <c r="A213" t="n">
        <v>206</v>
      </c>
      <c r="BH213">
        <f>IF(AND(CROQUIS!$C$88=1,CROQUIS!$C$126&gt;0),((CROQUIS!$C$156+(IF(CROQUIS!$C$92="X",CHOOSE(IF(INT(($A213-1)/5)&gt;MAX((MIN(80,MAX(1,INT(((CROQUIS!$C$98)-CROQUIS!$C$107)/MAX(CROQUIS!$C$126,1))+1)))-1,0),0,MOD($A213-1,5))+1,0,2,CROQUIS!$C$97-2,2,0),((CROQUIS!$C$107/2+(((CROQUIS!$C$98)-CROQUIS!$C$107)-(MIN(80,MAX(1,INT(((CROQUIS!$C$98)-CROQUIS!$C$107)/MAX(CROQUIS!$C$126,1))+1))-1)*CROQUIS!$C$126)/2)+MIN(INT(($A213-1)/5),MAX((MIN(80,MAX(1,INT(((CROQUIS!$C$98)-CROQUIS!$C$107)/MAX(CROQUIS!$C$126,1))+1)))-1,0))*CROQUIS!$C$126)))*CROQUIS!$C$155)+IF(CROQUIS!$C$92="X",0,0)),-1000)</f>
        <v>-1000</v>
      </c>
      <c r="BI213">
        <f>IF(AND(CROQUIS!$C$88=1,CROQUIS!$C$126&gt;0),((CROQUIS!$C$157+(IF(CROQUIS!$C$92="X",((CROQUIS!$C$107/2+(((CROQUIS!$C$98)-CROQUIS!$C$107)-(MIN(80,MAX(1,INT(((CROQUIS!$C$98)-CROQUIS!$C$107)/MAX(CROQUIS!$C$126,1))+1))-1)*CROQUIS!$C$126)/2)+MIN(INT(($A213-1)/5),MAX((MIN(80,MAX(1,INT(((CROQUIS!$C$98)-CROQUIS!$C$107)/MAX(CROQUIS!$C$126,1))+1)))-1,0))*CROQUIS!$C$126),CHOOSE(IF(INT(($A213-1)/5)&gt;MAX((MIN(80,MAX(1,INT(((CROQUIS!$C$98)-CROQUIS!$C$107)/MAX(CROQUIS!$C$126,1))+1)))-1,0),0,MOD($A213-1,5))+1,0,2,CROQUIS!$C$97-2,2,0)))*CROQUIS!$C$155)+IF(CROQUIS!$C$92="X",0,0)),-1000)</f>
        <v>-1000</v>
      </c>
      <c r="BJ213">
        <f>IF(AND(CROQUIS!$C$88=1,CROQUIS!$C$134&gt;0),((CROQUIS!$C$156+(IF(CROQUIS!$C$92="X",((CROQUIS!$C$107/2+(((CROQUIS!$C$97)-CROQUIS!$C$107)-(MIN(80,MAX(1,INT(((CROQUIS!$C$97)-CROQUIS!$C$107)/MAX(CROQUIS!$C$134,1))+1))-1)*CROQUIS!$C$134)/2)+MIN(INT(($A213-1)/5),MAX((MIN(80,MAX(1,INT(((CROQUIS!$C$97)-CROQUIS!$C$107)/MAX(CROQUIS!$C$134,1))+1)))-1,0))*CROQUIS!$C$134),CHOOSE(IF(INT(($A213-1)/5)&gt;MAX((MIN(80,MAX(1,INT(((CROQUIS!$C$97)-CROQUIS!$C$107)/MAX(CROQUIS!$C$134,1))+1)))-1,0),0,MOD($A213-1,5))+1,0,2,CROQUIS!$C$98-2,2,0)))*CROQUIS!$C$155)+IF(CROQUIS!$C$92="X",0,0)),-1000)</f>
        <v>-1000</v>
      </c>
      <c r="BK213">
        <f>IF(AND(CROQUIS!$C$88=1,CROQUIS!$C$134&gt;0),((CROQUIS!$C$157+(IF(CROQUIS!$C$92="X",CHOOSE(IF(INT(($A213-1)/5)&gt;MAX((MIN(80,MAX(1,INT(((CROQUIS!$C$97)-CROQUIS!$C$107)/MAX(CROQUIS!$C$134,1))+1)))-1,0),0,MOD($A213-1,5))+1,0,2,CROQUIS!$C$98-2,2,0),((CROQUIS!$C$107/2+(((CROQUIS!$C$97)-CROQUIS!$C$107)-(MIN(80,MAX(1,INT(((CROQUIS!$C$97)-CROQUIS!$C$107)/MAX(CROQUIS!$C$134,1))+1))-1)*CROQUIS!$C$134)/2)+MIN(INT(($A213-1)/5),MAX((MIN(80,MAX(1,INT(((CROQUIS!$C$97)-CROQUIS!$C$107)/MAX(CROQUIS!$C$134,1))+1)))-1,0))*CROQUIS!$C$134)))*CROQUIS!$C$155)+IF(CROQUIS!$C$92="X",0,0)),-1000)</f>
        <v>-1000</v>
      </c>
      <c r="BL213">
        <f>IF(AND(CROQUIS!$C$88=1,CROQUIS!$C$91=0,CROQUIS!$C$130&gt;0,OR(CROQUIS!$C$103=1,CROQUIS!$C$142=1)),((CROQUIS!$C$156+(IF(CROQUIS!$C$92="X",CHOOSE(IF(INT(($A213-1)/5)&gt;MAX((MIN(80,MAX(1,INT(((CROQUIS!$C$98)-CROQUIS!$C$107)/MAX(CROQUIS!$C$130,1))+1)))-1,0),0,MOD($A213-1,5))+1,0,IF(CROQUIS!$C$103=1,-12,2),CROQUIS!$C$107/2+CROQUIS!$C$140,IF(CROQUIS!$C$103=1,-12,2),0),((CROQUIS!$C$107/2+(((CROQUIS!$C$98)-CROQUIS!$C$107)-(MIN(80,MAX(1,INT(((CROQUIS!$C$98)-CROQUIS!$C$107)/MAX(CROQUIS!$C$130,1))+1))-1)*CROQUIS!$C$130)/2)+MIN(INT(($A213-1)/5),MAX((MIN(80,MAX(1,INT(((CROQUIS!$C$98)-CROQUIS!$C$107)/MAX(CROQUIS!$C$130,1))+1)))-1,0))*CROQUIS!$C$130)))*CROQUIS!$C$155)+IF(CROQUIS!$C$92="X",0,0)),-1000)</f>
        <v>-1000</v>
      </c>
      <c r="BM21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213-1)/5),MAX((MIN(80,MAX(1,INT(((CROQUIS!$C$98)-CROQUIS!$C$107)/MAX(CROQUIS!$C$130,1))+1)))-1,0))*CROQUIS!$C$130),CHOOSE(IF(INT(($A213-1)/5)&gt;MAX((MIN(80,MAX(1,INT(((CROQUIS!$C$98)-CROQUIS!$C$107)/MAX(CROQUIS!$C$130,1))+1)))-1,0),0,MOD($A213-1,5))+1,0,IF(CROQUIS!$C$103=1,-12,2),CROQUIS!$C$107/2+CROQUIS!$C$140,IF(CROQUIS!$C$103=1,-12,2),0)))*CROQUIS!$C$155)+IF(CROQUIS!$C$92="X",0,0)),-1000)</f>
        <v>-1000</v>
      </c>
      <c r="BN213">
        <f>IF(AND(CROQUIS!$C$88=1,CROQUIS!$C$91=0,CROQUIS!$C$130&gt;0,OR(CROQUIS!$C$104=1,CROQUIS!$C$142=1)),((CROQUIS!$C$156+(IF(CROQUIS!$C$92="X",CHOOSE(IF(INT(($A213-1)/5)&gt;MAX((MIN(80,MAX(1,INT(((CROQUIS!$C$98)-CROQUIS!$C$107)/MAX(CROQUIS!$C$130,1))+1)))-1,0),0,MOD($A213-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213-1)/5),MAX((MIN(80,MAX(1,INT(((CROQUIS!$C$98)-CROQUIS!$C$107)/MAX(CROQUIS!$C$130,1))+1)))-1,0))*CROQUIS!$C$130)))*CROQUIS!$C$155)+IF(CROQUIS!$C$92="X",0,0)),-1000)</f>
        <v>-1000</v>
      </c>
      <c r="BO21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213-1)/5),MAX((MIN(80,MAX(1,INT(((CROQUIS!$C$98)-CROQUIS!$C$107)/MAX(CROQUIS!$C$130,1))+1)))-1,0))*CROQUIS!$C$130),CHOOSE(IF(INT(($A213-1)/5)&gt;MAX((MIN(80,MAX(1,INT(((CROQUIS!$C$98)-CROQUIS!$C$107)/MAX(CROQUIS!$C$130,1))+1)))-1,0),0,MOD($A213-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1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213-1)/5),MAX((MIN(80,MAX(1,INT(((CROQUIS!$C$97)-CROQUIS!$C$107)/MAX(CROQUIS!$C$138,1))+1)))-1,0))*CROQUIS!$C$138),CHOOSE(IF(INT(($A213-1)/5)&gt;MAX((MIN(80,MAX(1,INT(((CROQUIS!$C$97)-CROQUIS!$C$107)/MAX(CROQUIS!$C$138,1))+1)))-1,0),0,MOD($A213-1,5))+1,0,IF(CROQUIS!$C$105=1,-12,2),CROQUIS!$C$107/2+CROQUIS!$C$141,IF(CROQUIS!$C$105=1,-12,2),0)))*CROQUIS!$C$155)+IF(CROQUIS!$C$92="X",0,0)),-1000)</f>
        <v>-1000</v>
      </c>
      <c r="BQ213">
        <f>IF(AND(CROQUIS!$C$88=1,CROQUIS!$C$91=0,CROQUIS!$C$138&gt;0,OR(CROQUIS!$C$105=1,CROQUIS!$C$143=1)),((CROQUIS!$C$157+(IF(CROQUIS!$C$92="X",CHOOSE(IF(INT(($A213-1)/5)&gt;MAX((MIN(80,MAX(1,INT(((CROQUIS!$C$97)-CROQUIS!$C$107)/MAX(CROQUIS!$C$138,1))+1)))-1,0),0,MOD($A213-1,5))+1,0,IF(CROQUIS!$C$105=1,-12,2),CROQUIS!$C$107/2+CROQUIS!$C$141,IF(CROQUIS!$C$105=1,-12,2),0),((CROQUIS!$C$107/2+(((CROQUIS!$C$97)-CROQUIS!$C$107)-(MIN(80,MAX(1,INT(((CROQUIS!$C$97)-CROQUIS!$C$107)/MAX(CROQUIS!$C$138,1))+1))-1)*CROQUIS!$C$138)/2)+MIN(INT(($A213-1)/5),MAX((MIN(80,MAX(1,INT(((CROQUIS!$C$97)-CROQUIS!$C$107)/MAX(CROQUIS!$C$138,1))+1)))-1,0))*CROQUIS!$C$138)))*CROQUIS!$C$155)+IF(CROQUIS!$C$92="X",0,0)),-1000)</f>
        <v>-1000</v>
      </c>
      <c r="BR21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213-1)/5),MAX((MIN(80,MAX(1,INT(((CROQUIS!$C$97)-CROQUIS!$C$107)/MAX(CROQUIS!$C$138,1))+1)))-1,0))*CROQUIS!$C$138),CHOOSE(IF(INT(($A213-1)/5)&gt;MAX((MIN(80,MAX(1,INT(((CROQUIS!$C$97)-CROQUIS!$C$107)/MAX(CROQUIS!$C$138,1))+1)))-1,0),0,MOD($A213-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13">
        <f>IF(AND(CROQUIS!$C$88=1,CROQUIS!$C$91=0,CROQUIS!$C$138&gt;0,OR(CROQUIS!$C$106=1,CROQUIS!$C$143=1)),((CROQUIS!$C$157+(IF(CROQUIS!$C$92="X",CHOOSE(IF(INT(($A213-1)/5)&gt;MAX((MIN(80,MAX(1,INT(((CROQUIS!$C$97)-CROQUIS!$C$107)/MAX(CROQUIS!$C$138,1))+1)))-1,0),0,MOD($A213-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213-1)/5),MAX((MIN(80,MAX(1,INT(((CROQUIS!$C$97)-CROQUIS!$C$107)/MAX(CROQUIS!$C$138,1))+1)))-1,0))*CROQUIS!$C$138)))*CROQUIS!$C$155)+IF(CROQUIS!$C$92="X",0,0)),-1000)</f>
        <v>-1000</v>
      </c>
      <c r="BT213">
        <f>IF(AND(CROQUIS!$C$88=1,CROQUIS!$C$91=1,CROQUIS!$C$130&gt;0),((CROQUIS!$C$156+(IF(CROQUIS!$C$92="X",CHOOSE(IF(INT(($A213-1)/5)&gt;MAX((MIN(80,MAX(1,INT(((CROQUIS!$C$98)-CROQUIS!$C$107)/MAX(CROQUIS!$C$130,1))+1)))-1,0),0,MOD($A213-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213-1)/5),MAX((MIN(80,MAX(1,INT(((CROQUIS!$C$98)-CROQUIS!$C$107)/MAX(CROQUIS!$C$130,1))+1)))-1,0))*CROQUIS!$C$130)))*CROQUIS!$C$155)+IF(CROQUIS!$C$92="X",0,0)),-1000)</f>
        <v>-1000</v>
      </c>
      <c r="BU213">
        <f>IF(AND(CROQUIS!$C$88=1,CROQUIS!$C$91=1,CROQUIS!$C$130&gt;0),((CROQUIS!$C$157+(IF(CROQUIS!$C$92="X",((CROQUIS!$C$107/2+(((CROQUIS!$C$98)-CROQUIS!$C$107)-(MIN(80,MAX(1,INT(((CROQUIS!$C$98)-CROQUIS!$C$107)/MAX(CROQUIS!$C$130,1))+1))-1)*CROQUIS!$C$130)/2)+MIN(INT(($A213-1)/5),MAX((MIN(80,MAX(1,INT(((CROQUIS!$C$98)-CROQUIS!$C$107)/MAX(CROQUIS!$C$130,1))+1)))-1,0))*CROQUIS!$C$130),CHOOSE(IF(INT(($A213-1)/5)&gt;MAX((MIN(80,MAX(1,INT(((CROQUIS!$C$98)-CROQUIS!$C$107)/MAX(CROQUIS!$C$130,1))+1)))-1,0),0,MOD($A213-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14">
      <c r="A214" t="n">
        <v>207</v>
      </c>
      <c r="BH214">
        <f>IF(AND(CROQUIS!$C$88=1,CROQUIS!$C$126&gt;0),((CROQUIS!$C$156+(IF(CROQUIS!$C$92="X",CHOOSE(IF(INT(($A214-1)/5)&gt;MAX((MIN(80,MAX(1,INT(((CROQUIS!$C$98)-CROQUIS!$C$107)/MAX(CROQUIS!$C$126,1))+1)))-1,0),0,MOD($A214-1,5))+1,0,2,CROQUIS!$C$97-2,2,0),((CROQUIS!$C$107/2+(((CROQUIS!$C$98)-CROQUIS!$C$107)-(MIN(80,MAX(1,INT(((CROQUIS!$C$98)-CROQUIS!$C$107)/MAX(CROQUIS!$C$126,1))+1))-1)*CROQUIS!$C$126)/2)+MIN(INT(($A214-1)/5),MAX((MIN(80,MAX(1,INT(((CROQUIS!$C$98)-CROQUIS!$C$107)/MAX(CROQUIS!$C$126,1))+1)))-1,0))*CROQUIS!$C$126)))*CROQUIS!$C$155)+IF(CROQUIS!$C$92="X",0,0)),-1000)</f>
        <v>-1000</v>
      </c>
      <c r="BI214">
        <f>IF(AND(CROQUIS!$C$88=1,CROQUIS!$C$126&gt;0),((CROQUIS!$C$157+(IF(CROQUIS!$C$92="X",((CROQUIS!$C$107/2+(((CROQUIS!$C$98)-CROQUIS!$C$107)-(MIN(80,MAX(1,INT(((CROQUIS!$C$98)-CROQUIS!$C$107)/MAX(CROQUIS!$C$126,1))+1))-1)*CROQUIS!$C$126)/2)+MIN(INT(($A214-1)/5),MAX((MIN(80,MAX(1,INT(((CROQUIS!$C$98)-CROQUIS!$C$107)/MAX(CROQUIS!$C$126,1))+1)))-1,0))*CROQUIS!$C$126),CHOOSE(IF(INT(($A214-1)/5)&gt;MAX((MIN(80,MAX(1,INT(((CROQUIS!$C$98)-CROQUIS!$C$107)/MAX(CROQUIS!$C$126,1))+1)))-1,0),0,MOD($A214-1,5))+1,0,2,CROQUIS!$C$97-2,2,0)))*CROQUIS!$C$155)+IF(CROQUIS!$C$92="X",0,0)),-1000)</f>
        <v>-1000</v>
      </c>
      <c r="BJ214">
        <f>IF(AND(CROQUIS!$C$88=1,CROQUIS!$C$134&gt;0),((CROQUIS!$C$156+(IF(CROQUIS!$C$92="X",((CROQUIS!$C$107/2+(((CROQUIS!$C$97)-CROQUIS!$C$107)-(MIN(80,MAX(1,INT(((CROQUIS!$C$97)-CROQUIS!$C$107)/MAX(CROQUIS!$C$134,1))+1))-1)*CROQUIS!$C$134)/2)+MIN(INT(($A214-1)/5),MAX((MIN(80,MAX(1,INT(((CROQUIS!$C$97)-CROQUIS!$C$107)/MAX(CROQUIS!$C$134,1))+1)))-1,0))*CROQUIS!$C$134),CHOOSE(IF(INT(($A214-1)/5)&gt;MAX((MIN(80,MAX(1,INT(((CROQUIS!$C$97)-CROQUIS!$C$107)/MAX(CROQUIS!$C$134,1))+1)))-1,0),0,MOD($A214-1,5))+1,0,2,CROQUIS!$C$98-2,2,0)))*CROQUIS!$C$155)+IF(CROQUIS!$C$92="X",0,0)),-1000)</f>
        <v>-1000</v>
      </c>
      <c r="BK214">
        <f>IF(AND(CROQUIS!$C$88=1,CROQUIS!$C$134&gt;0),((CROQUIS!$C$157+(IF(CROQUIS!$C$92="X",CHOOSE(IF(INT(($A214-1)/5)&gt;MAX((MIN(80,MAX(1,INT(((CROQUIS!$C$97)-CROQUIS!$C$107)/MAX(CROQUIS!$C$134,1))+1)))-1,0),0,MOD($A214-1,5))+1,0,2,CROQUIS!$C$98-2,2,0),((CROQUIS!$C$107/2+(((CROQUIS!$C$97)-CROQUIS!$C$107)-(MIN(80,MAX(1,INT(((CROQUIS!$C$97)-CROQUIS!$C$107)/MAX(CROQUIS!$C$134,1))+1))-1)*CROQUIS!$C$134)/2)+MIN(INT(($A214-1)/5),MAX((MIN(80,MAX(1,INT(((CROQUIS!$C$97)-CROQUIS!$C$107)/MAX(CROQUIS!$C$134,1))+1)))-1,0))*CROQUIS!$C$134)))*CROQUIS!$C$155)+IF(CROQUIS!$C$92="X",0,0)),-1000)</f>
        <v>-1000</v>
      </c>
      <c r="BL214">
        <f>IF(AND(CROQUIS!$C$88=1,CROQUIS!$C$91=0,CROQUIS!$C$130&gt;0,OR(CROQUIS!$C$103=1,CROQUIS!$C$142=1)),((CROQUIS!$C$156+(IF(CROQUIS!$C$92="X",CHOOSE(IF(INT(($A214-1)/5)&gt;MAX((MIN(80,MAX(1,INT(((CROQUIS!$C$98)-CROQUIS!$C$107)/MAX(CROQUIS!$C$130,1))+1)))-1,0),0,MOD($A214-1,5))+1,0,IF(CROQUIS!$C$103=1,-12,2),CROQUIS!$C$107/2+CROQUIS!$C$140,IF(CROQUIS!$C$103=1,-12,2),0),((CROQUIS!$C$107/2+(((CROQUIS!$C$98)-CROQUIS!$C$107)-(MIN(80,MAX(1,INT(((CROQUIS!$C$98)-CROQUIS!$C$107)/MAX(CROQUIS!$C$130,1))+1))-1)*CROQUIS!$C$130)/2)+MIN(INT(($A214-1)/5),MAX((MIN(80,MAX(1,INT(((CROQUIS!$C$98)-CROQUIS!$C$107)/MAX(CROQUIS!$C$130,1))+1)))-1,0))*CROQUIS!$C$130)))*CROQUIS!$C$155)+IF(CROQUIS!$C$92="X",0,0)),-1000)</f>
        <v>-1000</v>
      </c>
      <c r="BM21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214-1)/5),MAX((MIN(80,MAX(1,INT(((CROQUIS!$C$98)-CROQUIS!$C$107)/MAX(CROQUIS!$C$130,1))+1)))-1,0))*CROQUIS!$C$130),CHOOSE(IF(INT(($A214-1)/5)&gt;MAX((MIN(80,MAX(1,INT(((CROQUIS!$C$98)-CROQUIS!$C$107)/MAX(CROQUIS!$C$130,1))+1)))-1,0),0,MOD($A214-1,5))+1,0,IF(CROQUIS!$C$103=1,-12,2),CROQUIS!$C$107/2+CROQUIS!$C$140,IF(CROQUIS!$C$103=1,-12,2),0)))*CROQUIS!$C$155)+IF(CROQUIS!$C$92="X",0,0)),-1000)</f>
        <v>-1000</v>
      </c>
      <c r="BN214">
        <f>IF(AND(CROQUIS!$C$88=1,CROQUIS!$C$91=0,CROQUIS!$C$130&gt;0,OR(CROQUIS!$C$104=1,CROQUIS!$C$142=1)),((CROQUIS!$C$156+(IF(CROQUIS!$C$92="X",CHOOSE(IF(INT(($A214-1)/5)&gt;MAX((MIN(80,MAX(1,INT(((CROQUIS!$C$98)-CROQUIS!$C$107)/MAX(CROQUIS!$C$130,1))+1)))-1,0),0,MOD($A214-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214-1)/5),MAX((MIN(80,MAX(1,INT(((CROQUIS!$C$98)-CROQUIS!$C$107)/MAX(CROQUIS!$C$130,1))+1)))-1,0))*CROQUIS!$C$130)))*CROQUIS!$C$155)+IF(CROQUIS!$C$92="X",0,0)),-1000)</f>
        <v>-1000</v>
      </c>
      <c r="BO21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214-1)/5),MAX((MIN(80,MAX(1,INT(((CROQUIS!$C$98)-CROQUIS!$C$107)/MAX(CROQUIS!$C$130,1))+1)))-1,0))*CROQUIS!$C$130),CHOOSE(IF(INT(($A214-1)/5)&gt;MAX((MIN(80,MAX(1,INT(((CROQUIS!$C$98)-CROQUIS!$C$107)/MAX(CROQUIS!$C$130,1))+1)))-1,0),0,MOD($A214-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1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214-1)/5),MAX((MIN(80,MAX(1,INT(((CROQUIS!$C$97)-CROQUIS!$C$107)/MAX(CROQUIS!$C$138,1))+1)))-1,0))*CROQUIS!$C$138),CHOOSE(IF(INT(($A214-1)/5)&gt;MAX((MIN(80,MAX(1,INT(((CROQUIS!$C$97)-CROQUIS!$C$107)/MAX(CROQUIS!$C$138,1))+1)))-1,0),0,MOD($A214-1,5))+1,0,IF(CROQUIS!$C$105=1,-12,2),CROQUIS!$C$107/2+CROQUIS!$C$141,IF(CROQUIS!$C$105=1,-12,2),0)))*CROQUIS!$C$155)+IF(CROQUIS!$C$92="X",0,0)),-1000)</f>
        <v>-1000</v>
      </c>
      <c r="BQ214">
        <f>IF(AND(CROQUIS!$C$88=1,CROQUIS!$C$91=0,CROQUIS!$C$138&gt;0,OR(CROQUIS!$C$105=1,CROQUIS!$C$143=1)),((CROQUIS!$C$157+(IF(CROQUIS!$C$92="X",CHOOSE(IF(INT(($A214-1)/5)&gt;MAX((MIN(80,MAX(1,INT(((CROQUIS!$C$97)-CROQUIS!$C$107)/MAX(CROQUIS!$C$138,1))+1)))-1,0),0,MOD($A214-1,5))+1,0,IF(CROQUIS!$C$105=1,-12,2),CROQUIS!$C$107/2+CROQUIS!$C$141,IF(CROQUIS!$C$105=1,-12,2),0),((CROQUIS!$C$107/2+(((CROQUIS!$C$97)-CROQUIS!$C$107)-(MIN(80,MAX(1,INT(((CROQUIS!$C$97)-CROQUIS!$C$107)/MAX(CROQUIS!$C$138,1))+1))-1)*CROQUIS!$C$138)/2)+MIN(INT(($A214-1)/5),MAX((MIN(80,MAX(1,INT(((CROQUIS!$C$97)-CROQUIS!$C$107)/MAX(CROQUIS!$C$138,1))+1)))-1,0))*CROQUIS!$C$138)))*CROQUIS!$C$155)+IF(CROQUIS!$C$92="X",0,0)),-1000)</f>
        <v>-1000</v>
      </c>
      <c r="BR21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214-1)/5),MAX((MIN(80,MAX(1,INT(((CROQUIS!$C$97)-CROQUIS!$C$107)/MAX(CROQUIS!$C$138,1))+1)))-1,0))*CROQUIS!$C$138),CHOOSE(IF(INT(($A214-1)/5)&gt;MAX((MIN(80,MAX(1,INT(((CROQUIS!$C$97)-CROQUIS!$C$107)/MAX(CROQUIS!$C$138,1))+1)))-1,0),0,MOD($A214-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14">
        <f>IF(AND(CROQUIS!$C$88=1,CROQUIS!$C$91=0,CROQUIS!$C$138&gt;0,OR(CROQUIS!$C$106=1,CROQUIS!$C$143=1)),((CROQUIS!$C$157+(IF(CROQUIS!$C$92="X",CHOOSE(IF(INT(($A214-1)/5)&gt;MAX((MIN(80,MAX(1,INT(((CROQUIS!$C$97)-CROQUIS!$C$107)/MAX(CROQUIS!$C$138,1))+1)))-1,0),0,MOD($A214-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214-1)/5),MAX((MIN(80,MAX(1,INT(((CROQUIS!$C$97)-CROQUIS!$C$107)/MAX(CROQUIS!$C$138,1))+1)))-1,0))*CROQUIS!$C$138)))*CROQUIS!$C$155)+IF(CROQUIS!$C$92="X",0,0)),-1000)</f>
        <v>-1000</v>
      </c>
      <c r="BT214">
        <f>IF(AND(CROQUIS!$C$88=1,CROQUIS!$C$91=1,CROQUIS!$C$130&gt;0),((CROQUIS!$C$156+(IF(CROQUIS!$C$92="X",CHOOSE(IF(INT(($A214-1)/5)&gt;MAX((MIN(80,MAX(1,INT(((CROQUIS!$C$98)-CROQUIS!$C$107)/MAX(CROQUIS!$C$130,1))+1)))-1,0),0,MOD($A214-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214-1)/5),MAX((MIN(80,MAX(1,INT(((CROQUIS!$C$98)-CROQUIS!$C$107)/MAX(CROQUIS!$C$130,1))+1)))-1,0))*CROQUIS!$C$130)))*CROQUIS!$C$155)+IF(CROQUIS!$C$92="X",0,0)),-1000)</f>
        <v>-1000</v>
      </c>
      <c r="BU214">
        <f>IF(AND(CROQUIS!$C$88=1,CROQUIS!$C$91=1,CROQUIS!$C$130&gt;0),((CROQUIS!$C$157+(IF(CROQUIS!$C$92="X",((CROQUIS!$C$107/2+(((CROQUIS!$C$98)-CROQUIS!$C$107)-(MIN(80,MAX(1,INT(((CROQUIS!$C$98)-CROQUIS!$C$107)/MAX(CROQUIS!$C$130,1))+1))-1)*CROQUIS!$C$130)/2)+MIN(INT(($A214-1)/5),MAX((MIN(80,MAX(1,INT(((CROQUIS!$C$98)-CROQUIS!$C$107)/MAX(CROQUIS!$C$130,1))+1)))-1,0))*CROQUIS!$C$130),CHOOSE(IF(INT(($A214-1)/5)&gt;MAX((MIN(80,MAX(1,INT(((CROQUIS!$C$98)-CROQUIS!$C$107)/MAX(CROQUIS!$C$130,1))+1)))-1,0),0,MOD($A214-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15">
      <c r="A215" t="n">
        <v>208</v>
      </c>
      <c r="BH215">
        <f>IF(AND(CROQUIS!$C$88=1,CROQUIS!$C$126&gt;0),((CROQUIS!$C$156+(IF(CROQUIS!$C$92="X",CHOOSE(IF(INT(($A215-1)/5)&gt;MAX((MIN(80,MAX(1,INT(((CROQUIS!$C$98)-CROQUIS!$C$107)/MAX(CROQUIS!$C$126,1))+1)))-1,0),0,MOD($A215-1,5))+1,0,2,CROQUIS!$C$97-2,2,0),((CROQUIS!$C$107/2+(((CROQUIS!$C$98)-CROQUIS!$C$107)-(MIN(80,MAX(1,INT(((CROQUIS!$C$98)-CROQUIS!$C$107)/MAX(CROQUIS!$C$126,1))+1))-1)*CROQUIS!$C$126)/2)+MIN(INT(($A215-1)/5),MAX((MIN(80,MAX(1,INT(((CROQUIS!$C$98)-CROQUIS!$C$107)/MAX(CROQUIS!$C$126,1))+1)))-1,0))*CROQUIS!$C$126)))*CROQUIS!$C$155)+IF(CROQUIS!$C$92="X",0,0)),-1000)</f>
        <v>-1000</v>
      </c>
      <c r="BI215">
        <f>IF(AND(CROQUIS!$C$88=1,CROQUIS!$C$126&gt;0),((CROQUIS!$C$157+(IF(CROQUIS!$C$92="X",((CROQUIS!$C$107/2+(((CROQUIS!$C$98)-CROQUIS!$C$107)-(MIN(80,MAX(1,INT(((CROQUIS!$C$98)-CROQUIS!$C$107)/MAX(CROQUIS!$C$126,1))+1))-1)*CROQUIS!$C$126)/2)+MIN(INT(($A215-1)/5),MAX((MIN(80,MAX(1,INT(((CROQUIS!$C$98)-CROQUIS!$C$107)/MAX(CROQUIS!$C$126,1))+1)))-1,0))*CROQUIS!$C$126),CHOOSE(IF(INT(($A215-1)/5)&gt;MAX((MIN(80,MAX(1,INT(((CROQUIS!$C$98)-CROQUIS!$C$107)/MAX(CROQUIS!$C$126,1))+1)))-1,0),0,MOD($A215-1,5))+1,0,2,CROQUIS!$C$97-2,2,0)))*CROQUIS!$C$155)+IF(CROQUIS!$C$92="X",0,0)),-1000)</f>
        <v>-1000</v>
      </c>
      <c r="BJ215">
        <f>IF(AND(CROQUIS!$C$88=1,CROQUIS!$C$134&gt;0),((CROQUIS!$C$156+(IF(CROQUIS!$C$92="X",((CROQUIS!$C$107/2+(((CROQUIS!$C$97)-CROQUIS!$C$107)-(MIN(80,MAX(1,INT(((CROQUIS!$C$97)-CROQUIS!$C$107)/MAX(CROQUIS!$C$134,1))+1))-1)*CROQUIS!$C$134)/2)+MIN(INT(($A215-1)/5),MAX((MIN(80,MAX(1,INT(((CROQUIS!$C$97)-CROQUIS!$C$107)/MAX(CROQUIS!$C$134,1))+1)))-1,0))*CROQUIS!$C$134),CHOOSE(IF(INT(($A215-1)/5)&gt;MAX((MIN(80,MAX(1,INT(((CROQUIS!$C$97)-CROQUIS!$C$107)/MAX(CROQUIS!$C$134,1))+1)))-1,0),0,MOD($A215-1,5))+1,0,2,CROQUIS!$C$98-2,2,0)))*CROQUIS!$C$155)+IF(CROQUIS!$C$92="X",0,0)),-1000)</f>
        <v>-1000</v>
      </c>
      <c r="BK215">
        <f>IF(AND(CROQUIS!$C$88=1,CROQUIS!$C$134&gt;0),((CROQUIS!$C$157+(IF(CROQUIS!$C$92="X",CHOOSE(IF(INT(($A215-1)/5)&gt;MAX((MIN(80,MAX(1,INT(((CROQUIS!$C$97)-CROQUIS!$C$107)/MAX(CROQUIS!$C$134,1))+1)))-1,0),0,MOD($A215-1,5))+1,0,2,CROQUIS!$C$98-2,2,0),((CROQUIS!$C$107/2+(((CROQUIS!$C$97)-CROQUIS!$C$107)-(MIN(80,MAX(1,INT(((CROQUIS!$C$97)-CROQUIS!$C$107)/MAX(CROQUIS!$C$134,1))+1))-1)*CROQUIS!$C$134)/2)+MIN(INT(($A215-1)/5),MAX((MIN(80,MAX(1,INT(((CROQUIS!$C$97)-CROQUIS!$C$107)/MAX(CROQUIS!$C$134,1))+1)))-1,0))*CROQUIS!$C$134)))*CROQUIS!$C$155)+IF(CROQUIS!$C$92="X",0,0)),-1000)</f>
        <v>-1000</v>
      </c>
      <c r="BL215">
        <f>IF(AND(CROQUIS!$C$88=1,CROQUIS!$C$91=0,CROQUIS!$C$130&gt;0,OR(CROQUIS!$C$103=1,CROQUIS!$C$142=1)),((CROQUIS!$C$156+(IF(CROQUIS!$C$92="X",CHOOSE(IF(INT(($A215-1)/5)&gt;MAX((MIN(80,MAX(1,INT(((CROQUIS!$C$98)-CROQUIS!$C$107)/MAX(CROQUIS!$C$130,1))+1)))-1,0),0,MOD($A215-1,5))+1,0,IF(CROQUIS!$C$103=1,-12,2),CROQUIS!$C$107/2+CROQUIS!$C$140,IF(CROQUIS!$C$103=1,-12,2),0),((CROQUIS!$C$107/2+(((CROQUIS!$C$98)-CROQUIS!$C$107)-(MIN(80,MAX(1,INT(((CROQUIS!$C$98)-CROQUIS!$C$107)/MAX(CROQUIS!$C$130,1))+1))-1)*CROQUIS!$C$130)/2)+MIN(INT(($A215-1)/5),MAX((MIN(80,MAX(1,INT(((CROQUIS!$C$98)-CROQUIS!$C$107)/MAX(CROQUIS!$C$130,1))+1)))-1,0))*CROQUIS!$C$130)))*CROQUIS!$C$155)+IF(CROQUIS!$C$92="X",0,0)),-1000)</f>
        <v>-1000</v>
      </c>
      <c r="BM21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215-1)/5),MAX((MIN(80,MAX(1,INT(((CROQUIS!$C$98)-CROQUIS!$C$107)/MAX(CROQUIS!$C$130,1))+1)))-1,0))*CROQUIS!$C$130),CHOOSE(IF(INT(($A215-1)/5)&gt;MAX((MIN(80,MAX(1,INT(((CROQUIS!$C$98)-CROQUIS!$C$107)/MAX(CROQUIS!$C$130,1))+1)))-1,0),0,MOD($A215-1,5))+1,0,IF(CROQUIS!$C$103=1,-12,2),CROQUIS!$C$107/2+CROQUIS!$C$140,IF(CROQUIS!$C$103=1,-12,2),0)))*CROQUIS!$C$155)+IF(CROQUIS!$C$92="X",0,0)),-1000)</f>
        <v>-1000</v>
      </c>
      <c r="BN215">
        <f>IF(AND(CROQUIS!$C$88=1,CROQUIS!$C$91=0,CROQUIS!$C$130&gt;0,OR(CROQUIS!$C$104=1,CROQUIS!$C$142=1)),((CROQUIS!$C$156+(IF(CROQUIS!$C$92="X",CHOOSE(IF(INT(($A215-1)/5)&gt;MAX((MIN(80,MAX(1,INT(((CROQUIS!$C$98)-CROQUIS!$C$107)/MAX(CROQUIS!$C$130,1))+1)))-1,0),0,MOD($A215-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215-1)/5),MAX((MIN(80,MAX(1,INT(((CROQUIS!$C$98)-CROQUIS!$C$107)/MAX(CROQUIS!$C$130,1))+1)))-1,0))*CROQUIS!$C$130)))*CROQUIS!$C$155)+IF(CROQUIS!$C$92="X",0,0)),-1000)</f>
        <v>-1000</v>
      </c>
      <c r="BO21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215-1)/5),MAX((MIN(80,MAX(1,INT(((CROQUIS!$C$98)-CROQUIS!$C$107)/MAX(CROQUIS!$C$130,1))+1)))-1,0))*CROQUIS!$C$130),CHOOSE(IF(INT(($A215-1)/5)&gt;MAX((MIN(80,MAX(1,INT(((CROQUIS!$C$98)-CROQUIS!$C$107)/MAX(CROQUIS!$C$130,1))+1)))-1,0),0,MOD($A215-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1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215-1)/5),MAX((MIN(80,MAX(1,INT(((CROQUIS!$C$97)-CROQUIS!$C$107)/MAX(CROQUIS!$C$138,1))+1)))-1,0))*CROQUIS!$C$138),CHOOSE(IF(INT(($A215-1)/5)&gt;MAX((MIN(80,MAX(1,INT(((CROQUIS!$C$97)-CROQUIS!$C$107)/MAX(CROQUIS!$C$138,1))+1)))-1,0),0,MOD($A215-1,5))+1,0,IF(CROQUIS!$C$105=1,-12,2),CROQUIS!$C$107/2+CROQUIS!$C$141,IF(CROQUIS!$C$105=1,-12,2),0)))*CROQUIS!$C$155)+IF(CROQUIS!$C$92="X",0,0)),-1000)</f>
        <v>-1000</v>
      </c>
      <c r="BQ215">
        <f>IF(AND(CROQUIS!$C$88=1,CROQUIS!$C$91=0,CROQUIS!$C$138&gt;0,OR(CROQUIS!$C$105=1,CROQUIS!$C$143=1)),((CROQUIS!$C$157+(IF(CROQUIS!$C$92="X",CHOOSE(IF(INT(($A215-1)/5)&gt;MAX((MIN(80,MAX(1,INT(((CROQUIS!$C$97)-CROQUIS!$C$107)/MAX(CROQUIS!$C$138,1))+1)))-1,0),0,MOD($A215-1,5))+1,0,IF(CROQUIS!$C$105=1,-12,2),CROQUIS!$C$107/2+CROQUIS!$C$141,IF(CROQUIS!$C$105=1,-12,2),0),((CROQUIS!$C$107/2+(((CROQUIS!$C$97)-CROQUIS!$C$107)-(MIN(80,MAX(1,INT(((CROQUIS!$C$97)-CROQUIS!$C$107)/MAX(CROQUIS!$C$138,1))+1))-1)*CROQUIS!$C$138)/2)+MIN(INT(($A215-1)/5),MAX((MIN(80,MAX(1,INT(((CROQUIS!$C$97)-CROQUIS!$C$107)/MAX(CROQUIS!$C$138,1))+1)))-1,0))*CROQUIS!$C$138)))*CROQUIS!$C$155)+IF(CROQUIS!$C$92="X",0,0)),-1000)</f>
        <v>-1000</v>
      </c>
      <c r="BR21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215-1)/5),MAX((MIN(80,MAX(1,INT(((CROQUIS!$C$97)-CROQUIS!$C$107)/MAX(CROQUIS!$C$138,1))+1)))-1,0))*CROQUIS!$C$138),CHOOSE(IF(INT(($A215-1)/5)&gt;MAX((MIN(80,MAX(1,INT(((CROQUIS!$C$97)-CROQUIS!$C$107)/MAX(CROQUIS!$C$138,1))+1)))-1,0),0,MOD($A215-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15">
        <f>IF(AND(CROQUIS!$C$88=1,CROQUIS!$C$91=0,CROQUIS!$C$138&gt;0,OR(CROQUIS!$C$106=1,CROQUIS!$C$143=1)),((CROQUIS!$C$157+(IF(CROQUIS!$C$92="X",CHOOSE(IF(INT(($A215-1)/5)&gt;MAX((MIN(80,MAX(1,INT(((CROQUIS!$C$97)-CROQUIS!$C$107)/MAX(CROQUIS!$C$138,1))+1)))-1,0),0,MOD($A215-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215-1)/5),MAX((MIN(80,MAX(1,INT(((CROQUIS!$C$97)-CROQUIS!$C$107)/MAX(CROQUIS!$C$138,1))+1)))-1,0))*CROQUIS!$C$138)))*CROQUIS!$C$155)+IF(CROQUIS!$C$92="X",0,0)),-1000)</f>
        <v>-1000</v>
      </c>
      <c r="BT215">
        <f>IF(AND(CROQUIS!$C$88=1,CROQUIS!$C$91=1,CROQUIS!$C$130&gt;0),((CROQUIS!$C$156+(IF(CROQUIS!$C$92="X",CHOOSE(IF(INT(($A215-1)/5)&gt;MAX((MIN(80,MAX(1,INT(((CROQUIS!$C$98)-CROQUIS!$C$107)/MAX(CROQUIS!$C$130,1))+1)))-1,0),0,MOD($A215-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215-1)/5),MAX((MIN(80,MAX(1,INT(((CROQUIS!$C$98)-CROQUIS!$C$107)/MAX(CROQUIS!$C$130,1))+1)))-1,0))*CROQUIS!$C$130)))*CROQUIS!$C$155)+IF(CROQUIS!$C$92="X",0,0)),-1000)</f>
        <v>-1000</v>
      </c>
      <c r="BU215">
        <f>IF(AND(CROQUIS!$C$88=1,CROQUIS!$C$91=1,CROQUIS!$C$130&gt;0),((CROQUIS!$C$157+(IF(CROQUIS!$C$92="X",((CROQUIS!$C$107/2+(((CROQUIS!$C$98)-CROQUIS!$C$107)-(MIN(80,MAX(1,INT(((CROQUIS!$C$98)-CROQUIS!$C$107)/MAX(CROQUIS!$C$130,1))+1))-1)*CROQUIS!$C$130)/2)+MIN(INT(($A215-1)/5),MAX((MIN(80,MAX(1,INT(((CROQUIS!$C$98)-CROQUIS!$C$107)/MAX(CROQUIS!$C$130,1))+1)))-1,0))*CROQUIS!$C$130),CHOOSE(IF(INT(($A215-1)/5)&gt;MAX((MIN(80,MAX(1,INT(((CROQUIS!$C$98)-CROQUIS!$C$107)/MAX(CROQUIS!$C$130,1))+1)))-1,0),0,MOD($A215-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16">
      <c r="A216" t="n">
        <v>209</v>
      </c>
      <c r="BH216">
        <f>IF(AND(CROQUIS!$C$88=1,CROQUIS!$C$126&gt;0),((CROQUIS!$C$156+(IF(CROQUIS!$C$92="X",CHOOSE(IF(INT(($A216-1)/5)&gt;MAX((MIN(80,MAX(1,INT(((CROQUIS!$C$98)-CROQUIS!$C$107)/MAX(CROQUIS!$C$126,1))+1)))-1,0),0,MOD($A216-1,5))+1,0,2,CROQUIS!$C$97-2,2,0),((CROQUIS!$C$107/2+(((CROQUIS!$C$98)-CROQUIS!$C$107)-(MIN(80,MAX(1,INT(((CROQUIS!$C$98)-CROQUIS!$C$107)/MAX(CROQUIS!$C$126,1))+1))-1)*CROQUIS!$C$126)/2)+MIN(INT(($A216-1)/5),MAX((MIN(80,MAX(1,INT(((CROQUIS!$C$98)-CROQUIS!$C$107)/MAX(CROQUIS!$C$126,1))+1)))-1,0))*CROQUIS!$C$126)))*CROQUIS!$C$155)+IF(CROQUIS!$C$92="X",0,0)),-1000)</f>
        <v>-1000</v>
      </c>
      <c r="BI216">
        <f>IF(AND(CROQUIS!$C$88=1,CROQUIS!$C$126&gt;0),((CROQUIS!$C$157+(IF(CROQUIS!$C$92="X",((CROQUIS!$C$107/2+(((CROQUIS!$C$98)-CROQUIS!$C$107)-(MIN(80,MAX(1,INT(((CROQUIS!$C$98)-CROQUIS!$C$107)/MAX(CROQUIS!$C$126,1))+1))-1)*CROQUIS!$C$126)/2)+MIN(INT(($A216-1)/5),MAX((MIN(80,MAX(1,INT(((CROQUIS!$C$98)-CROQUIS!$C$107)/MAX(CROQUIS!$C$126,1))+1)))-1,0))*CROQUIS!$C$126),CHOOSE(IF(INT(($A216-1)/5)&gt;MAX((MIN(80,MAX(1,INT(((CROQUIS!$C$98)-CROQUIS!$C$107)/MAX(CROQUIS!$C$126,1))+1)))-1,0),0,MOD($A216-1,5))+1,0,2,CROQUIS!$C$97-2,2,0)))*CROQUIS!$C$155)+IF(CROQUIS!$C$92="X",0,0)),-1000)</f>
        <v>-1000</v>
      </c>
      <c r="BJ216">
        <f>IF(AND(CROQUIS!$C$88=1,CROQUIS!$C$134&gt;0),((CROQUIS!$C$156+(IF(CROQUIS!$C$92="X",((CROQUIS!$C$107/2+(((CROQUIS!$C$97)-CROQUIS!$C$107)-(MIN(80,MAX(1,INT(((CROQUIS!$C$97)-CROQUIS!$C$107)/MAX(CROQUIS!$C$134,1))+1))-1)*CROQUIS!$C$134)/2)+MIN(INT(($A216-1)/5),MAX((MIN(80,MAX(1,INT(((CROQUIS!$C$97)-CROQUIS!$C$107)/MAX(CROQUIS!$C$134,1))+1)))-1,0))*CROQUIS!$C$134),CHOOSE(IF(INT(($A216-1)/5)&gt;MAX((MIN(80,MAX(1,INT(((CROQUIS!$C$97)-CROQUIS!$C$107)/MAX(CROQUIS!$C$134,1))+1)))-1,0),0,MOD($A216-1,5))+1,0,2,CROQUIS!$C$98-2,2,0)))*CROQUIS!$C$155)+IF(CROQUIS!$C$92="X",0,0)),-1000)</f>
        <v>-1000</v>
      </c>
      <c r="BK216">
        <f>IF(AND(CROQUIS!$C$88=1,CROQUIS!$C$134&gt;0),((CROQUIS!$C$157+(IF(CROQUIS!$C$92="X",CHOOSE(IF(INT(($A216-1)/5)&gt;MAX((MIN(80,MAX(1,INT(((CROQUIS!$C$97)-CROQUIS!$C$107)/MAX(CROQUIS!$C$134,1))+1)))-1,0),0,MOD($A216-1,5))+1,0,2,CROQUIS!$C$98-2,2,0),((CROQUIS!$C$107/2+(((CROQUIS!$C$97)-CROQUIS!$C$107)-(MIN(80,MAX(1,INT(((CROQUIS!$C$97)-CROQUIS!$C$107)/MAX(CROQUIS!$C$134,1))+1))-1)*CROQUIS!$C$134)/2)+MIN(INT(($A216-1)/5),MAX((MIN(80,MAX(1,INT(((CROQUIS!$C$97)-CROQUIS!$C$107)/MAX(CROQUIS!$C$134,1))+1)))-1,0))*CROQUIS!$C$134)))*CROQUIS!$C$155)+IF(CROQUIS!$C$92="X",0,0)),-1000)</f>
        <v>-1000</v>
      </c>
      <c r="BL216">
        <f>IF(AND(CROQUIS!$C$88=1,CROQUIS!$C$91=0,CROQUIS!$C$130&gt;0,OR(CROQUIS!$C$103=1,CROQUIS!$C$142=1)),((CROQUIS!$C$156+(IF(CROQUIS!$C$92="X",CHOOSE(IF(INT(($A216-1)/5)&gt;MAX((MIN(80,MAX(1,INT(((CROQUIS!$C$98)-CROQUIS!$C$107)/MAX(CROQUIS!$C$130,1))+1)))-1,0),0,MOD($A216-1,5))+1,0,IF(CROQUIS!$C$103=1,-12,2),CROQUIS!$C$107/2+CROQUIS!$C$140,IF(CROQUIS!$C$103=1,-12,2),0),((CROQUIS!$C$107/2+(((CROQUIS!$C$98)-CROQUIS!$C$107)-(MIN(80,MAX(1,INT(((CROQUIS!$C$98)-CROQUIS!$C$107)/MAX(CROQUIS!$C$130,1))+1))-1)*CROQUIS!$C$130)/2)+MIN(INT(($A216-1)/5),MAX((MIN(80,MAX(1,INT(((CROQUIS!$C$98)-CROQUIS!$C$107)/MAX(CROQUIS!$C$130,1))+1)))-1,0))*CROQUIS!$C$130)))*CROQUIS!$C$155)+IF(CROQUIS!$C$92="X",0,0)),-1000)</f>
        <v>-1000</v>
      </c>
      <c r="BM21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216-1)/5),MAX((MIN(80,MAX(1,INT(((CROQUIS!$C$98)-CROQUIS!$C$107)/MAX(CROQUIS!$C$130,1))+1)))-1,0))*CROQUIS!$C$130),CHOOSE(IF(INT(($A216-1)/5)&gt;MAX((MIN(80,MAX(1,INT(((CROQUIS!$C$98)-CROQUIS!$C$107)/MAX(CROQUIS!$C$130,1))+1)))-1,0),0,MOD($A216-1,5))+1,0,IF(CROQUIS!$C$103=1,-12,2),CROQUIS!$C$107/2+CROQUIS!$C$140,IF(CROQUIS!$C$103=1,-12,2),0)))*CROQUIS!$C$155)+IF(CROQUIS!$C$92="X",0,0)),-1000)</f>
        <v>-1000</v>
      </c>
      <c r="BN216">
        <f>IF(AND(CROQUIS!$C$88=1,CROQUIS!$C$91=0,CROQUIS!$C$130&gt;0,OR(CROQUIS!$C$104=1,CROQUIS!$C$142=1)),((CROQUIS!$C$156+(IF(CROQUIS!$C$92="X",CHOOSE(IF(INT(($A216-1)/5)&gt;MAX((MIN(80,MAX(1,INT(((CROQUIS!$C$98)-CROQUIS!$C$107)/MAX(CROQUIS!$C$130,1))+1)))-1,0),0,MOD($A216-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216-1)/5),MAX((MIN(80,MAX(1,INT(((CROQUIS!$C$98)-CROQUIS!$C$107)/MAX(CROQUIS!$C$130,1))+1)))-1,0))*CROQUIS!$C$130)))*CROQUIS!$C$155)+IF(CROQUIS!$C$92="X",0,0)),-1000)</f>
        <v>-1000</v>
      </c>
      <c r="BO21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216-1)/5),MAX((MIN(80,MAX(1,INT(((CROQUIS!$C$98)-CROQUIS!$C$107)/MAX(CROQUIS!$C$130,1))+1)))-1,0))*CROQUIS!$C$130),CHOOSE(IF(INT(($A216-1)/5)&gt;MAX((MIN(80,MAX(1,INT(((CROQUIS!$C$98)-CROQUIS!$C$107)/MAX(CROQUIS!$C$130,1))+1)))-1,0),0,MOD($A216-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1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216-1)/5),MAX((MIN(80,MAX(1,INT(((CROQUIS!$C$97)-CROQUIS!$C$107)/MAX(CROQUIS!$C$138,1))+1)))-1,0))*CROQUIS!$C$138),CHOOSE(IF(INT(($A216-1)/5)&gt;MAX((MIN(80,MAX(1,INT(((CROQUIS!$C$97)-CROQUIS!$C$107)/MAX(CROQUIS!$C$138,1))+1)))-1,0),0,MOD($A216-1,5))+1,0,IF(CROQUIS!$C$105=1,-12,2),CROQUIS!$C$107/2+CROQUIS!$C$141,IF(CROQUIS!$C$105=1,-12,2),0)))*CROQUIS!$C$155)+IF(CROQUIS!$C$92="X",0,0)),-1000)</f>
        <v>-1000</v>
      </c>
      <c r="BQ216">
        <f>IF(AND(CROQUIS!$C$88=1,CROQUIS!$C$91=0,CROQUIS!$C$138&gt;0,OR(CROQUIS!$C$105=1,CROQUIS!$C$143=1)),((CROQUIS!$C$157+(IF(CROQUIS!$C$92="X",CHOOSE(IF(INT(($A216-1)/5)&gt;MAX((MIN(80,MAX(1,INT(((CROQUIS!$C$97)-CROQUIS!$C$107)/MAX(CROQUIS!$C$138,1))+1)))-1,0),0,MOD($A216-1,5))+1,0,IF(CROQUIS!$C$105=1,-12,2),CROQUIS!$C$107/2+CROQUIS!$C$141,IF(CROQUIS!$C$105=1,-12,2),0),((CROQUIS!$C$107/2+(((CROQUIS!$C$97)-CROQUIS!$C$107)-(MIN(80,MAX(1,INT(((CROQUIS!$C$97)-CROQUIS!$C$107)/MAX(CROQUIS!$C$138,1))+1))-1)*CROQUIS!$C$138)/2)+MIN(INT(($A216-1)/5),MAX((MIN(80,MAX(1,INT(((CROQUIS!$C$97)-CROQUIS!$C$107)/MAX(CROQUIS!$C$138,1))+1)))-1,0))*CROQUIS!$C$138)))*CROQUIS!$C$155)+IF(CROQUIS!$C$92="X",0,0)),-1000)</f>
        <v>-1000</v>
      </c>
      <c r="BR21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216-1)/5),MAX((MIN(80,MAX(1,INT(((CROQUIS!$C$97)-CROQUIS!$C$107)/MAX(CROQUIS!$C$138,1))+1)))-1,0))*CROQUIS!$C$138),CHOOSE(IF(INT(($A216-1)/5)&gt;MAX((MIN(80,MAX(1,INT(((CROQUIS!$C$97)-CROQUIS!$C$107)/MAX(CROQUIS!$C$138,1))+1)))-1,0),0,MOD($A216-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16">
        <f>IF(AND(CROQUIS!$C$88=1,CROQUIS!$C$91=0,CROQUIS!$C$138&gt;0,OR(CROQUIS!$C$106=1,CROQUIS!$C$143=1)),((CROQUIS!$C$157+(IF(CROQUIS!$C$92="X",CHOOSE(IF(INT(($A216-1)/5)&gt;MAX((MIN(80,MAX(1,INT(((CROQUIS!$C$97)-CROQUIS!$C$107)/MAX(CROQUIS!$C$138,1))+1)))-1,0),0,MOD($A216-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216-1)/5),MAX((MIN(80,MAX(1,INT(((CROQUIS!$C$97)-CROQUIS!$C$107)/MAX(CROQUIS!$C$138,1))+1)))-1,0))*CROQUIS!$C$138)))*CROQUIS!$C$155)+IF(CROQUIS!$C$92="X",0,0)),-1000)</f>
        <v>-1000</v>
      </c>
      <c r="BT216">
        <f>IF(AND(CROQUIS!$C$88=1,CROQUIS!$C$91=1,CROQUIS!$C$130&gt;0),((CROQUIS!$C$156+(IF(CROQUIS!$C$92="X",CHOOSE(IF(INT(($A216-1)/5)&gt;MAX((MIN(80,MAX(1,INT(((CROQUIS!$C$98)-CROQUIS!$C$107)/MAX(CROQUIS!$C$130,1))+1)))-1,0),0,MOD($A216-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216-1)/5),MAX((MIN(80,MAX(1,INT(((CROQUIS!$C$98)-CROQUIS!$C$107)/MAX(CROQUIS!$C$130,1))+1)))-1,0))*CROQUIS!$C$130)))*CROQUIS!$C$155)+IF(CROQUIS!$C$92="X",0,0)),-1000)</f>
        <v>-1000</v>
      </c>
      <c r="BU216">
        <f>IF(AND(CROQUIS!$C$88=1,CROQUIS!$C$91=1,CROQUIS!$C$130&gt;0),((CROQUIS!$C$157+(IF(CROQUIS!$C$92="X",((CROQUIS!$C$107/2+(((CROQUIS!$C$98)-CROQUIS!$C$107)-(MIN(80,MAX(1,INT(((CROQUIS!$C$98)-CROQUIS!$C$107)/MAX(CROQUIS!$C$130,1))+1))-1)*CROQUIS!$C$130)/2)+MIN(INT(($A216-1)/5),MAX((MIN(80,MAX(1,INT(((CROQUIS!$C$98)-CROQUIS!$C$107)/MAX(CROQUIS!$C$130,1))+1)))-1,0))*CROQUIS!$C$130),CHOOSE(IF(INT(($A216-1)/5)&gt;MAX((MIN(80,MAX(1,INT(((CROQUIS!$C$98)-CROQUIS!$C$107)/MAX(CROQUIS!$C$130,1))+1)))-1,0),0,MOD($A216-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17">
      <c r="A217" t="n">
        <v>210</v>
      </c>
      <c r="BH217">
        <f>IF(AND(CROQUIS!$C$88=1,CROQUIS!$C$126&gt;0),((CROQUIS!$C$156+(IF(CROQUIS!$C$92="X",CHOOSE(IF(INT(($A217-1)/5)&gt;MAX((MIN(80,MAX(1,INT(((CROQUIS!$C$98)-CROQUIS!$C$107)/MAX(CROQUIS!$C$126,1))+1)))-1,0),0,MOD($A217-1,5))+1,0,2,CROQUIS!$C$97-2,2,0),((CROQUIS!$C$107/2+(((CROQUIS!$C$98)-CROQUIS!$C$107)-(MIN(80,MAX(1,INT(((CROQUIS!$C$98)-CROQUIS!$C$107)/MAX(CROQUIS!$C$126,1))+1))-1)*CROQUIS!$C$126)/2)+MIN(INT(($A217-1)/5),MAX((MIN(80,MAX(1,INT(((CROQUIS!$C$98)-CROQUIS!$C$107)/MAX(CROQUIS!$C$126,1))+1)))-1,0))*CROQUIS!$C$126)))*CROQUIS!$C$155)+IF(CROQUIS!$C$92="X",0,0)),-1000)</f>
        <v>-1000</v>
      </c>
      <c r="BI217">
        <f>IF(AND(CROQUIS!$C$88=1,CROQUIS!$C$126&gt;0),((CROQUIS!$C$157+(IF(CROQUIS!$C$92="X",((CROQUIS!$C$107/2+(((CROQUIS!$C$98)-CROQUIS!$C$107)-(MIN(80,MAX(1,INT(((CROQUIS!$C$98)-CROQUIS!$C$107)/MAX(CROQUIS!$C$126,1))+1))-1)*CROQUIS!$C$126)/2)+MIN(INT(($A217-1)/5),MAX((MIN(80,MAX(1,INT(((CROQUIS!$C$98)-CROQUIS!$C$107)/MAX(CROQUIS!$C$126,1))+1)))-1,0))*CROQUIS!$C$126),CHOOSE(IF(INT(($A217-1)/5)&gt;MAX((MIN(80,MAX(1,INT(((CROQUIS!$C$98)-CROQUIS!$C$107)/MAX(CROQUIS!$C$126,1))+1)))-1,0),0,MOD($A217-1,5))+1,0,2,CROQUIS!$C$97-2,2,0)))*CROQUIS!$C$155)+IF(CROQUIS!$C$92="X",0,0)),-1000)</f>
        <v>-1000</v>
      </c>
      <c r="BJ217">
        <f>IF(AND(CROQUIS!$C$88=1,CROQUIS!$C$134&gt;0),((CROQUIS!$C$156+(IF(CROQUIS!$C$92="X",((CROQUIS!$C$107/2+(((CROQUIS!$C$97)-CROQUIS!$C$107)-(MIN(80,MAX(1,INT(((CROQUIS!$C$97)-CROQUIS!$C$107)/MAX(CROQUIS!$C$134,1))+1))-1)*CROQUIS!$C$134)/2)+MIN(INT(($A217-1)/5),MAX((MIN(80,MAX(1,INT(((CROQUIS!$C$97)-CROQUIS!$C$107)/MAX(CROQUIS!$C$134,1))+1)))-1,0))*CROQUIS!$C$134),CHOOSE(IF(INT(($A217-1)/5)&gt;MAX((MIN(80,MAX(1,INT(((CROQUIS!$C$97)-CROQUIS!$C$107)/MAX(CROQUIS!$C$134,1))+1)))-1,0),0,MOD($A217-1,5))+1,0,2,CROQUIS!$C$98-2,2,0)))*CROQUIS!$C$155)+IF(CROQUIS!$C$92="X",0,0)),-1000)</f>
        <v>-1000</v>
      </c>
      <c r="BK217">
        <f>IF(AND(CROQUIS!$C$88=1,CROQUIS!$C$134&gt;0),((CROQUIS!$C$157+(IF(CROQUIS!$C$92="X",CHOOSE(IF(INT(($A217-1)/5)&gt;MAX((MIN(80,MAX(1,INT(((CROQUIS!$C$97)-CROQUIS!$C$107)/MAX(CROQUIS!$C$134,1))+1)))-1,0),0,MOD($A217-1,5))+1,0,2,CROQUIS!$C$98-2,2,0),((CROQUIS!$C$107/2+(((CROQUIS!$C$97)-CROQUIS!$C$107)-(MIN(80,MAX(1,INT(((CROQUIS!$C$97)-CROQUIS!$C$107)/MAX(CROQUIS!$C$134,1))+1))-1)*CROQUIS!$C$134)/2)+MIN(INT(($A217-1)/5),MAX((MIN(80,MAX(1,INT(((CROQUIS!$C$97)-CROQUIS!$C$107)/MAX(CROQUIS!$C$134,1))+1)))-1,0))*CROQUIS!$C$134)))*CROQUIS!$C$155)+IF(CROQUIS!$C$92="X",0,0)),-1000)</f>
        <v>-1000</v>
      </c>
      <c r="BL217">
        <f>IF(AND(CROQUIS!$C$88=1,CROQUIS!$C$91=0,CROQUIS!$C$130&gt;0,OR(CROQUIS!$C$103=1,CROQUIS!$C$142=1)),((CROQUIS!$C$156+(IF(CROQUIS!$C$92="X",CHOOSE(IF(INT(($A217-1)/5)&gt;MAX((MIN(80,MAX(1,INT(((CROQUIS!$C$98)-CROQUIS!$C$107)/MAX(CROQUIS!$C$130,1))+1)))-1,0),0,MOD($A217-1,5))+1,0,IF(CROQUIS!$C$103=1,-12,2),CROQUIS!$C$107/2+CROQUIS!$C$140,IF(CROQUIS!$C$103=1,-12,2),0),((CROQUIS!$C$107/2+(((CROQUIS!$C$98)-CROQUIS!$C$107)-(MIN(80,MAX(1,INT(((CROQUIS!$C$98)-CROQUIS!$C$107)/MAX(CROQUIS!$C$130,1))+1))-1)*CROQUIS!$C$130)/2)+MIN(INT(($A217-1)/5),MAX((MIN(80,MAX(1,INT(((CROQUIS!$C$98)-CROQUIS!$C$107)/MAX(CROQUIS!$C$130,1))+1)))-1,0))*CROQUIS!$C$130)))*CROQUIS!$C$155)+IF(CROQUIS!$C$92="X",0,0)),-1000)</f>
        <v>-1000</v>
      </c>
      <c r="BM21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217-1)/5),MAX((MIN(80,MAX(1,INT(((CROQUIS!$C$98)-CROQUIS!$C$107)/MAX(CROQUIS!$C$130,1))+1)))-1,0))*CROQUIS!$C$130),CHOOSE(IF(INT(($A217-1)/5)&gt;MAX((MIN(80,MAX(1,INT(((CROQUIS!$C$98)-CROQUIS!$C$107)/MAX(CROQUIS!$C$130,1))+1)))-1,0),0,MOD($A217-1,5))+1,0,IF(CROQUIS!$C$103=1,-12,2),CROQUIS!$C$107/2+CROQUIS!$C$140,IF(CROQUIS!$C$103=1,-12,2),0)))*CROQUIS!$C$155)+IF(CROQUIS!$C$92="X",0,0)),-1000)</f>
        <v>-1000</v>
      </c>
      <c r="BN217">
        <f>IF(AND(CROQUIS!$C$88=1,CROQUIS!$C$91=0,CROQUIS!$C$130&gt;0,OR(CROQUIS!$C$104=1,CROQUIS!$C$142=1)),((CROQUIS!$C$156+(IF(CROQUIS!$C$92="X",CHOOSE(IF(INT(($A217-1)/5)&gt;MAX((MIN(80,MAX(1,INT(((CROQUIS!$C$98)-CROQUIS!$C$107)/MAX(CROQUIS!$C$130,1))+1)))-1,0),0,MOD($A217-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217-1)/5),MAX((MIN(80,MAX(1,INT(((CROQUIS!$C$98)-CROQUIS!$C$107)/MAX(CROQUIS!$C$130,1))+1)))-1,0))*CROQUIS!$C$130)))*CROQUIS!$C$155)+IF(CROQUIS!$C$92="X",0,0)),-1000)</f>
        <v>-1000</v>
      </c>
      <c r="BO21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217-1)/5),MAX((MIN(80,MAX(1,INT(((CROQUIS!$C$98)-CROQUIS!$C$107)/MAX(CROQUIS!$C$130,1))+1)))-1,0))*CROQUIS!$C$130),CHOOSE(IF(INT(($A217-1)/5)&gt;MAX((MIN(80,MAX(1,INT(((CROQUIS!$C$98)-CROQUIS!$C$107)/MAX(CROQUIS!$C$130,1))+1)))-1,0),0,MOD($A217-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1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217-1)/5),MAX((MIN(80,MAX(1,INT(((CROQUIS!$C$97)-CROQUIS!$C$107)/MAX(CROQUIS!$C$138,1))+1)))-1,0))*CROQUIS!$C$138),CHOOSE(IF(INT(($A217-1)/5)&gt;MAX((MIN(80,MAX(1,INT(((CROQUIS!$C$97)-CROQUIS!$C$107)/MAX(CROQUIS!$C$138,1))+1)))-1,0),0,MOD($A217-1,5))+1,0,IF(CROQUIS!$C$105=1,-12,2),CROQUIS!$C$107/2+CROQUIS!$C$141,IF(CROQUIS!$C$105=1,-12,2),0)))*CROQUIS!$C$155)+IF(CROQUIS!$C$92="X",0,0)),-1000)</f>
        <v>-1000</v>
      </c>
      <c r="BQ217">
        <f>IF(AND(CROQUIS!$C$88=1,CROQUIS!$C$91=0,CROQUIS!$C$138&gt;0,OR(CROQUIS!$C$105=1,CROQUIS!$C$143=1)),((CROQUIS!$C$157+(IF(CROQUIS!$C$92="X",CHOOSE(IF(INT(($A217-1)/5)&gt;MAX((MIN(80,MAX(1,INT(((CROQUIS!$C$97)-CROQUIS!$C$107)/MAX(CROQUIS!$C$138,1))+1)))-1,0),0,MOD($A217-1,5))+1,0,IF(CROQUIS!$C$105=1,-12,2),CROQUIS!$C$107/2+CROQUIS!$C$141,IF(CROQUIS!$C$105=1,-12,2),0),((CROQUIS!$C$107/2+(((CROQUIS!$C$97)-CROQUIS!$C$107)-(MIN(80,MAX(1,INT(((CROQUIS!$C$97)-CROQUIS!$C$107)/MAX(CROQUIS!$C$138,1))+1))-1)*CROQUIS!$C$138)/2)+MIN(INT(($A217-1)/5),MAX((MIN(80,MAX(1,INT(((CROQUIS!$C$97)-CROQUIS!$C$107)/MAX(CROQUIS!$C$138,1))+1)))-1,0))*CROQUIS!$C$138)))*CROQUIS!$C$155)+IF(CROQUIS!$C$92="X",0,0)),-1000)</f>
        <v>-1000</v>
      </c>
      <c r="BR21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217-1)/5),MAX((MIN(80,MAX(1,INT(((CROQUIS!$C$97)-CROQUIS!$C$107)/MAX(CROQUIS!$C$138,1))+1)))-1,0))*CROQUIS!$C$138),CHOOSE(IF(INT(($A217-1)/5)&gt;MAX((MIN(80,MAX(1,INT(((CROQUIS!$C$97)-CROQUIS!$C$107)/MAX(CROQUIS!$C$138,1))+1)))-1,0),0,MOD($A217-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17">
        <f>IF(AND(CROQUIS!$C$88=1,CROQUIS!$C$91=0,CROQUIS!$C$138&gt;0,OR(CROQUIS!$C$106=1,CROQUIS!$C$143=1)),((CROQUIS!$C$157+(IF(CROQUIS!$C$92="X",CHOOSE(IF(INT(($A217-1)/5)&gt;MAX((MIN(80,MAX(1,INT(((CROQUIS!$C$97)-CROQUIS!$C$107)/MAX(CROQUIS!$C$138,1))+1)))-1,0),0,MOD($A217-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217-1)/5),MAX((MIN(80,MAX(1,INT(((CROQUIS!$C$97)-CROQUIS!$C$107)/MAX(CROQUIS!$C$138,1))+1)))-1,0))*CROQUIS!$C$138)))*CROQUIS!$C$155)+IF(CROQUIS!$C$92="X",0,0)),-1000)</f>
        <v>-1000</v>
      </c>
      <c r="BT217">
        <f>IF(AND(CROQUIS!$C$88=1,CROQUIS!$C$91=1,CROQUIS!$C$130&gt;0),((CROQUIS!$C$156+(IF(CROQUIS!$C$92="X",CHOOSE(IF(INT(($A217-1)/5)&gt;MAX((MIN(80,MAX(1,INT(((CROQUIS!$C$98)-CROQUIS!$C$107)/MAX(CROQUIS!$C$130,1))+1)))-1,0),0,MOD($A217-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217-1)/5),MAX((MIN(80,MAX(1,INT(((CROQUIS!$C$98)-CROQUIS!$C$107)/MAX(CROQUIS!$C$130,1))+1)))-1,0))*CROQUIS!$C$130)))*CROQUIS!$C$155)+IF(CROQUIS!$C$92="X",0,0)),-1000)</f>
        <v>-1000</v>
      </c>
      <c r="BU217">
        <f>IF(AND(CROQUIS!$C$88=1,CROQUIS!$C$91=1,CROQUIS!$C$130&gt;0),((CROQUIS!$C$157+(IF(CROQUIS!$C$92="X",((CROQUIS!$C$107/2+(((CROQUIS!$C$98)-CROQUIS!$C$107)-(MIN(80,MAX(1,INT(((CROQUIS!$C$98)-CROQUIS!$C$107)/MAX(CROQUIS!$C$130,1))+1))-1)*CROQUIS!$C$130)/2)+MIN(INT(($A217-1)/5),MAX((MIN(80,MAX(1,INT(((CROQUIS!$C$98)-CROQUIS!$C$107)/MAX(CROQUIS!$C$130,1))+1)))-1,0))*CROQUIS!$C$130),CHOOSE(IF(INT(($A217-1)/5)&gt;MAX((MIN(80,MAX(1,INT(((CROQUIS!$C$98)-CROQUIS!$C$107)/MAX(CROQUIS!$C$130,1))+1)))-1,0),0,MOD($A217-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18">
      <c r="A218" t="n">
        <v>211</v>
      </c>
      <c r="BH218">
        <f>IF(AND(CROQUIS!$C$88=1,CROQUIS!$C$126&gt;0),((CROQUIS!$C$156+(IF(CROQUIS!$C$92="X",CHOOSE(IF(INT(($A218-1)/5)&gt;MAX((MIN(80,MAX(1,INT(((CROQUIS!$C$98)-CROQUIS!$C$107)/MAX(CROQUIS!$C$126,1))+1)))-1,0),0,MOD($A218-1,5))+1,0,2,CROQUIS!$C$97-2,2,0),((CROQUIS!$C$107/2+(((CROQUIS!$C$98)-CROQUIS!$C$107)-(MIN(80,MAX(1,INT(((CROQUIS!$C$98)-CROQUIS!$C$107)/MAX(CROQUIS!$C$126,1))+1))-1)*CROQUIS!$C$126)/2)+MIN(INT(($A218-1)/5),MAX((MIN(80,MAX(1,INT(((CROQUIS!$C$98)-CROQUIS!$C$107)/MAX(CROQUIS!$C$126,1))+1)))-1,0))*CROQUIS!$C$126)))*CROQUIS!$C$155)+IF(CROQUIS!$C$92="X",0,0)),-1000)</f>
        <v>-1000</v>
      </c>
      <c r="BI218">
        <f>IF(AND(CROQUIS!$C$88=1,CROQUIS!$C$126&gt;0),((CROQUIS!$C$157+(IF(CROQUIS!$C$92="X",((CROQUIS!$C$107/2+(((CROQUIS!$C$98)-CROQUIS!$C$107)-(MIN(80,MAX(1,INT(((CROQUIS!$C$98)-CROQUIS!$C$107)/MAX(CROQUIS!$C$126,1))+1))-1)*CROQUIS!$C$126)/2)+MIN(INT(($A218-1)/5),MAX((MIN(80,MAX(1,INT(((CROQUIS!$C$98)-CROQUIS!$C$107)/MAX(CROQUIS!$C$126,1))+1)))-1,0))*CROQUIS!$C$126),CHOOSE(IF(INT(($A218-1)/5)&gt;MAX((MIN(80,MAX(1,INT(((CROQUIS!$C$98)-CROQUIS!$C$107)/MAX(CROQUIS!$C$126,1))+1)))-1,0),0,MOD($A218-1,5))+1,0,2,CROQUIS!$C$97-2,2,0)))*CROQUIS!$C$155)+IF(CROQUIS!$C$92="X",0,0)),-1000)</f>
        <v>-1000</v>
      </c>
      <c r="BJ218">
        <f>IF(AND(CROQUIS!$C$88=1,CROQUIS!$C$134&gt;0),((CROQUIS!$C$156+(IF(CROQUIS!$C$92="X",((CROQUIS!$C$107/2+(((CROQUIS!$C$97)-CROQUIS!$C$107)-(MIN(80,MAX(1,INT(((CROQUIS!$C$97)-CROQUIS!$C$107)/MAX(CROQUIS!$C$134,1))+1))-1)*CROQUIS!$C$134)/2)+MIN(INT(($A218-1)/5),MAX((MIN(80,MAX(1,INT(((CROQUIS!$C$97)-CROQUIS!$C$107)/MAX(CROQUIS!$C$134,1))+1)))-1,0))*CROQUIS!$C$134),CHOOSE(IF(INT(($A218-1)/5)&gt;MAX((MIN(80,MAX(1,INT(((CROQUIS!$C$97)-CROQUIS!$C$107)/MAX(CROQUIS!$C$134,1))+1)))-1,0),0,MOD($A218-1,5))+1,0,2,CROQUIS!$C$98-2,2,0)))*CROQUIS!$C$155)+IF(CROQUIS!$C$92="X",0,0)),-1000)</f>
        <v>-1000</v>
      </c>
      <c r="BK218">
        <f>IF(AND(CROQUIS!$C$88=1,CROQUIS!$C$134&gt;0),((CROQUIS!$C$157+(IF(CROQUIS!$C$92="X",CHOOSE(IF(INT(($A218-1)/5)&gt;MAX((MIN(80,MAX(1,INT(((CROQUIS!$C$97)-CROQUIS!$C$107)/MAX(CROQUIS!$C$134,1))+1)))-1,0),0,MOD($A218-1,5))+1,0,2,CROQUIS!$C$98-2,2,0),((CROQUIS!$C$107/2+(((CROQUIS!$C$97)-CROQUIS!$C$107)-(MIN(80,MAX(1,INT(((CROQUIS!$C$97)-CROQUIS!$C$107)/MAX(CROQUIS!$C$134,1))+1))-1)*CROQUIS!$C$134)/2)+MIN(INT(($A218-1)/5),MAX((MIN(80,MAX(1,INT(((CROQUIS!$C$97)-CROQUIS!$C$107)/MAX(CROQUIS!$C$134,1))+1)))-1,0))*CROQUIS!$C$134)))*CROQUIS!$C$155)+IF(CROQUIS!$C$92="X",0,0)),-1000)</f>
        <v>-1000</v>
      </c>
      <c r="BL218">
        <f>IF(AND(CROQUIS!$C$88=1,CROQUIS!$C$91=0,CROQUIS!$C$130&gt;0,OR(CROQUIS!$C$103=1,CROQUIS!$C$142=1)),((CROQUIS!$C$156+(IF(CROQUIS!$C$92="X",CHOOSE(IF(INT(($A218-1)/5)&gt;MAX((MIN(80,MAX(1,INT(((CROQUIS!$C$98)-CROQUIS!$C$107)/MAX(CROQUIS!$C$130,1))+1)))-1,0),0,MOD($A218-1,5))+1,0,IF(CROQUIS!$C$103=1,-12,2),CROQUIS!$C$107/2+CROQUIS!$C$140,IF(CROQUIS!$C$103=1,-12,2),0),((CROQUIS!$C$107/2+(((CROQUIS!$C$98)-CROQUIS!$C$107)-(MIN(80,MAX(1,INT(((CROQUIS!$C$98)-CROQUIS!$C$107)/MAX(CROQUIS!$C$130,1))+1))-1)*CROQUIS!$C$130)/2)+MIN(INT(($A218-1)/5),MAX((MIN(80,MAX(1,INT(((CROQUIS!$C$98)-CROQUIS!$C$107)/MAX(CROQUIS!$C$130,1))+1)))-1,0))*CROQUIS!$C$130)))*CROQUIS!$C$155)+IF(CROQUIS!$C$92="X",0,0)),-1000)</f>
        <v>-1000</v>
      </c>
      <c r="BM21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218-1)/5),MAX((MIN(80,MAX(1,INT(((CROQUIS!$C$98)-CROQUIS!$C$107)/MAX(CROQUIS!$C$130,1))+1)))-1,0))*CROQUIS!$C$130),CHOOSE(IF(INT(($A218-1)/5)&gt;MAX((MIN(80,MAX(1,INT(((CROQUIS!$C$98)-CROQUIS!$C$107)/MAX(CROQUIS!$C$130,1))+1)))-1,0),0,MOD($A218-1,5))+1,0,IF(CROQUIS!$C$103=1,-12,2),CROQUIS!$C$107/2+CROQUIS!$C$140,IF(CROQUIS!$C$103=1,-12,2),0)))*CROQUIS!$C$155)+IF(CROQUIS!$C$92="X",0,0)),-1000)</f>
        <v>-1000</v>
      </c>
      <c r="BN218">
        <f>IF(AND(CROQUIS!$C$88=1,CROQUIS!$C$91=0,CROQUIS!$C$130&gt;0,OR(CROQUIS!$C$104=1,CROQUIS!$C$142=1)),((CROQUIS!$C$156+(IF(CROQUIS!$C$92="X",CHOOSE(IF(INT(($A218-1)/5)&gt;MAX((MIN(80,MAX(1,INT(((CROQUIS!$C$98)-CROQUIS!$C$107)/MAX(CROQUIS!$C$130,1))+1)))-1,0),0,MOD($A218-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218-1)/5),MAX((MIN(80,MAX(1,INT(((CROQUIS!$C$98)-CROQUIS!$C$107)/MAX(CROQUIS!$C$130,1))+1)))-1,0))*CROQUIS!$C$130)))*CROQUIS!$C$155)+IF(CROQUIS!$C$92="X",0,0)),-1000)</f>
        <v>-1000</v>
      </c>
      <c r="BO21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218-1)/5),MAX((MIN(80,MAX(1,INT(((CROQUIS!$C$98)-CROQUIS!$C$107)/MAX(CROQUIS!$C$130,1))+1)))-1,0))*CROQUIS!$C$130),CHOOSE(IF(INT(($A218-1)/5)&gt;MAX((MIN(80,MAX(1,INT(((CROQUIS!$C$98)-CROQUIS!$C$107)/MAX(CROQUIS!$C$130,1))+1)))-1,0),0,MOD($A218-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1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218-1)/5),MAX((MIN(80,MAX(1,INT(((CROQUIS!$C$97)-CROQUIS!$C$107)/MAX(CROQUIS!$C$138,1))+1)))-1,0))*CROQUIS!$C$138),CHOOSE(IF(INT(($A218-1)/5)&gt;MAX((MIN(80,MAX(1,INT(((CROQUIS!$C$97)-CROQUIS!$C$107)/MAX(CROQUIS!$C$138,1))+1)))-1,0),0,MOD($A218-1,5))+1,0,IF(CROQUIS!$C$105=1,-12,2),CROQUIS!$C$107/2+CROQUIS!$C$141,IF(CROQUIS!$C$105=1,-12,2),0)))*CROQUIS!$C$155)+IF(CROQUIS!$C$92="X",0,0)),-1000)</f>
        <v>-1000</v>
      </c>
      <c r="BQ218">
        <f>IF(AND(CROQUIS!$C$88=1,CROQUIS!$C$91=0,CROQUIS!$C$138&gt;0,OR(CROQUIS!$C$105=1,CROQUIS!$C$143=1)),((CROQUIS!$C$157+(IF(CROQUIS!$C$92="X",CHOOSE(IF(INT(($A218-1)/5)&gt;MAX((MIN(80,MAX(1,INT(((CROQUIS!$C$97)-CROQUIS!$C$107)/MAX(CROQUIS!$C$138,1))+1)))-1,0),0,MOD($A218-1,5))+1,0,IF(CROQUIS!$C$105=1,-12,2),CROQUIS!$C$107/2+CROQUIS!$C$141,IF(CROQUIS!$C$105=1,-12,2),0),((CROQUIS!$C$107/2+(((CROQUIS!$C$97)-CROQUIS!$C$107)-(MIN(80,MAX(1,INT(((CROQUIS!$C$97)-CROQUIS!$C$107)/MAX(CROQUIS!$C$138,1))+1))-1)*CROQUIS!$C$138)/2)+MIN(INT(($A218-1)/5),MAX((MIN(80,MAX(1,INT(((CROQUIS!$C$97)-CROQUIS!$C$107)/MAX(CROQUIS!$C$138,1))+1)))-1,0))*CROQUIS!$C$138)))*CROQUIS!$C$155)+IF(CROQUIS!$C$92="X",0,0)),-1000)</f>
        <v>-1000</v>
      </c>
      <c r="BR21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218-1)/5),MAX((MIN(80,MAX(1,INT(((CROQUIS!$C$97)-CROQUIS!$C$107)/MAX(CROQUIS!$C$138,1))+1)))-1,0))*CROQUIS!$C$138),CHOOSE(IF(INT(($A218-1)/5)&gt;MAX((MIN(80,MAX(1,INT(((CROQUIS!$C$97)-CROQUIS!$C$107)/MAX(CROQUIS!$C$138,1))+1)))-1,0),0,MOD($A218-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18">
        <f>IF(AND(CROQUIS!$C$88=1,CROQUIS!$C$91=0,CROQUIS!$C$138&gt;0,OR(CROQUIS!$C$106=1,CROQUIS!$C$143=1)),((CROQUIS!$C$157+(IF(CROQUIS!$C$92="X",CHOOSE(IF(INT(($A218-1)/5)&gt;MAX((MIN(80,MAX(1,INT(((CROQUIS!$C$97)-CROQUIS!$C$107)/MAX(CROQUIS!$C$138,1))+1)))-1,0),0,MOD($A218-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218-1)/5),MAX((MIN(80,MAX(1,INT(((CROQUIS!$C$97)-CROQUIS!$C$107)/MAX(CROQUIS!$C$138,1))+1)))-1,0))*CROQUIS!$C$138)))*CROQUIS!$C$155)+IF(CROQUIS!$C$92="X",0,0)),-1000)</f>
        <v>-1000</v>
      </c>
      <c r="BT218">
        <f>IF(AND(CROQUIS!$C$88=1,CROQUIS!$C$91=1,CROQUIS!$C$130&gt;0),((CROQUIS!$C$156+(IF(CROQUIS!$C$92="X",CHOOSE(IF(INT(($A218-1)/5)&gt;MAX((MIN(80,MAX(1,INT(((CROQUIS!$C$98)-CROQUIS!$C$107)/MAX(CROQUIS!$C$130,1))+1)))-1,0),0,MOD($A218-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218-1)/5),MAX((MIN(80,MAX(1,INT(((CROQUIS!$C$98)-CROQUIS!$C$107)/MAX(CROQUIS!$C$130,1))+1)))-1,0))*CROQUIS!$C$130)))*CROQUIS!$C$155)+IF(CROQUIS!$C$92="X",0,0)),-1000)</f>
        <v>-1000</v>
      </c>
      <c r="BU218">
        <f>IF(AND(CROQUIS!$C$88=1,CROQUIS!$C$91=1,CROQUIS!$C$130&gt;0),((CROQUIS!$C$157+(IF(CROQUIS!$C$92="X",((CROQUIS!$C$107/2+(((CROQUIS!$C$98)-CROQUIS!$C$107)-(MIN(80,MAX(1,INT(((CROQUIS!$C$98)-CROQUIS!$C$107)/MAX(CROQUIS!$C$130,1))+1))-1)*CROQUIS!$C$130)/2)+MIN(INT(($A218-1)/5),MAX((MIN(80,MAX(1,INT(((CROQUIS!$C$98)-CROQUIS!$C$107)/MAX(CROQUIS!$C$130,1))+1)))-1,0))*CROQUIS!$C$130),CHOOSE(IF(INT(($A218-1)/5)&gt;MAX((MIN(80,MAX(1,INT(((CROQUIS!$C$98)-CROQUIS!$C$107)/MAX(CROQUIS!$C$130,1))+1)))-1,0),0,MOD($A218-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19">
      <c r="A219" t="n">
        <v>212</v>
      </c>
      <c r="BH219">
        <f>IF(AND(CROQUIS!$C$88=1,CROQUIS!$C$126&gt;0),((CROQUIS!$C$156+(IF(CROQUIS!$C$92="X",CHOOSE(IF(INT(($A219-1)/5)&gt;MAX((MIN(80,MAX(1,INT(((CROQUIS!$C$98)-CROQUIS!$C$107)/MAX(CROQUIS!$C$126,1))+1)))-1,0),0,MOD($A219-1,5))+1,0,2,CROQUIS!$C$97-2,2,0),((CROQUIS!$C$107/2+(((CROQUIS!$C$98)-CROQUIS!$C$107)-(MIN(80,MAX(1,INT(((CROQUIS!$C$98)-CROQUIS!$C$107)/MAX(CROQUIS!$C$126,1))+1))-1)*CROQUIS!$C$126)/2)+MIN(INT(($A219-1)/5),MAX((MIN(80,MAX(1,INT(((CROQUIS!$C$98)-CROQUIS!$C$107)/MAX(CROQUIS!$C$126,1))+1)))-1,0))*CROQUIS!$C$126)))*CROQUIS!$C$155)+IF(CROQUIS!$C$92="X",0,0)),-1000)</f>
        <v>-1000</v>
      </c>
      <c r="BI219">
        <f>IF(AND(CROQUIS!$C$88=1,CROQUIS!$C$126&gt;0),((CROQUIS!$C$157+(IF(CROQUIS!$C$92="X",((CROQUIS!$C$107/2+(((CROQUIS!$C$98)-CROQUIS!$C$107)-(MIN(80,MAX(1,INT(((CROQUIS!$C$98)-CROQUIS!$C$107)/MAX(CROQUIS!$C$126,1))+1))-1)*CROQUIS!$C$126)/2)+MIN(INT(($A219-1)/5),MAX((MIN(80,MAX(1,INT(((CROQUIS!$C$98)-CROQUIS!$C$107)/MAX(CROQUIS!$C$126,1))+1)))-1,0))*CROQUIS!$C$126),CHOOSE(IF(INT(($A219-1)/5)&gt;MAX((MIN(80,MAX(1,INT(((CROQUIS!$C$98)-CROQUIS!$C$107)/MAX(CROQUIS!$C$126,1))+1)))-1,0),0,MOD($A219-1,5))+1,0,2,CROQUIS!$C$97-2,2,0)))*CROQUIS!$C$155)+IF(CROQUIS!$C$92="X",0,0)),-1000)</f>
        <v>-1000</v>
      </c>
      <c r="BJ219">
        <f>IF(AND(CROQUIS!$C$88=1,CROQUIS!$C$134&gt;0),((CROQUIS!$C$156+(IF(CROQUIS!$C$92="X",((CROQUIS!$C$107/2+(((CROQUIS!$C$97)-CROQUIS!$C$107)-(MIN(80,MAX(1,INT(((CROQUIS!$C$97)-CROQUIS!$C$107)/MAX(CROQUIS!$C$134,1))+1))-1)*CROQUIS!$C$134)/2)+MIN(INT(($A219-1)/5),MAX((MIN(80,MAX(1,INT(((CROQUIS!$C$97)-CROQUIS!$C$107)/MAX(CROQUIS!$C$134,1))+1)))-1,0))*CROQUIS!$C$134),CHOOSE(IF(INT(($A219-1)/5)&gt;MAX((MIN(80,MAX(1,INT(((CROQUIS!$C$97)-CROQUIS!$C$107)/MAX(CROQUIS!$C$134,1))+1)))-1,0),0,MOD($A219-1,5))+1,0,2,CROQUIS!$C$98-2,2,0)))*CROQUIS!$C$155)+IF(CROQUIS!$C$92="X",0,0)),-1000)</f>
        <v>-1000</v>
      </c>
      <c r="BK219">
        <f>IF(AND(CROQUIS!$C$88=1,CROQUIS!$C$134&gt;0),((CROQUIS!$C$157+(IF(CROQUIS!$C$92="X",CHOOSE(IF(INT(($A219-1)/5)&gt;MAX((MIN(80,MAX(1,INT(((CROQUIS!$C$97)-CROQUIS!$C$107)/MAX(CROQUIS!$C$134,1))+1)))-1,0),0,MOD($A219-1,5))+1,0,2,CROQUIS!$C$98-2,2,0),((CROQUIS!$C$107/2+(((CROQUIS!$C$97)-CROQUIS!$C$107)-(MIN(80,MAX(1,INT(((CROQUIS!$C$97)-CROQUIS!$C$107)/MAX(CROQUIS!$C$134,1))+1))-1)*CROQUIS!$C$134)/2)+MIN(INT(($A219-1)/5),MAX((MIN(80,MAX(1,INT(((CROQUIS!$C$97)-CROQUIS!$C$107)/MAX(CROQUIS!$C$134,1))+1)))-1,0))*CROQUIS!$C$134)))*CROQUIS!$C$155)+IF(CROQUIS!$C$92="X",0,0)),-1000)</f>
        <v>-1000</v>
      </c>
      <c r="BL219">
        <f>IF(AND(CROQUIS!$C$88=1,CROQUIS!$C$91=0,CROQUIS!$C$130&gt;0,OR(CROQUIS!$C$103=1,CROQUIS!$C$142=1)),((CROQUIS!$C$156+(IF(CROQUIS!$C$92="X",CHOOSE(IF(INT(($A219-1)/5)&gt;MAX((MIN(80,MAX(1,INT(((CROQUIS!$C$98)-CROQUIS!$C$107)/MAX(CROQUIS!$C$130,1))+1)))-1,0),0,MOD($A219-1,5))+1,0,IF(CROQUIS!$C$103=1,-12,2),CROQUIS!$C$107/2+CROQUIS!$C$140,IF(CROQUIS!$C$103=1,-12,2),0),((CROQUIS!$C$107/2+(((CROQUIS!$C$98)-CROQUIS!$C$107)-(MIN(80,MAX(1,INT(((CROQUIS!$C$98)-CROQUIS!$C$107)/MAX(CROQUIS!$C$130,1))+1))-1)*CROQUIS!$C$130)/2)+MIN(INT(($A219-1)/5),MAX((MIN(80,MAX(1,INT(((CROQUIS!$C$98)-CROQUIS!$C$107)/MAX(CROQUIS!$C$130,1))+1)))-1,0))*CROQUIS!$C$130)))*CROQUIS!$C$155)+IF(CROQUIS!$C$92="X",0,0)),-1000)</f>
        <v>-1000</v>
      </c>
      <c r="BM21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219-1)/5),MAX((MIN(80,MAX(1,INT(((CROQUIS!$C$98)-CROQUIS!$C$107)/MAX(CROQUIS!$C$130,1))+1)))-1,0))*CROQUIS!$C$130),CHOOSE(IF(INT(($A219-1)/5)&gt;MAX((MIN(80,MAX(1,INT(((CROQUIS!$C$98)-CROQUIS!$C$107)/MAX(CROQUIS!$C$130,1))+1)))-1,0),0,MOD($A219-1,5))+1,0,IF(CROQUIS!$C$103=1,-12,2),CROQUIS!$C$107/2+CROQUIS!$C$140,IF(CROQUIS!$C$103=1,-12,2),0)))*CROQUIS!$C$155)+IF(CROQUIS!$C$92="X",0,0)),-1000)</f>
        <v>-1000</v>
      </c>
      <c r="BN219">
        <f>IF(AND(CROQUIS!$C$88=1,CROQUIS!$C$91=0,CROQUIS!$C$130&gt;0,OR(CROQUIS!$C$104=1,CROQUIS!$C$142=1)),((CROQUIS!$C$156+(IF(CROQUIS!$C$92="X",CHOOSE(IF(INT(($A219-1)/5)&gt;MAX((MIN(80,MAX(1,INT(((CROQUIS!$C$98)-CROQUIS!$C$107)/MAX(CROQUIS!$C$130,1))+1)))-1,0),0,MOD($A219-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219-1)/5),MAX((MIN(80,MAX(1,INT(((CROQUIS!$C$98)-CROQUIS!$C$107)/MAX(CROQUIS!$C$130,1))+1)))-1,0))*CROQUIS!$C$130)))*CROQUIS!$C$155)+IF(CROQUIS!$C$92="X",0,0)),-1000)</f>
        <v>-1000</v>
      </c>
      <c r="BO21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219-1)/5),MAX((MIN(80,MAX(1,INT(((CROQUIS!$C$98)-CROQUIS!$C$107)/MAX(CROQUIS!$C$130,1))+1)))-1,0))*CROQUIS!$C$130),CHOOSE(IF(INT(($A219-1)/5)&gt;MAX((MIN(80,MAX(1,INT(((CROQUIS!$C$98)-CROQUIS!$C$107)/MAX(CROQUIS!$C$130,1))+1)))-1,0),0,MOD($A219-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1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219-1)/5),MAX((MIN(80,MAX(1,INT(((CROQUIS!$C$97)-CROQUIS!$C$107)/MAX(CROQUIS!$C$138,1))+1)))-1,0))*CROQUIS!$C$138),CHOOSE(IF(INT(($A219-1)/5)&gt;MAX((MIN(80,MAX(1,INT(((CROQUIS!$C$97)-CROQUIS!$C$107)/MAX(CROQUIS!$C$138,1))+1)))-1,0),0,MOD($A219-1,5))+1,0,IF(CROQUIS!$C$105=1,-12,2),CROQUIS!$C$107/2+CROQUIS!$C$141,IF(CROQUIS!$C$105=1,-12,2),0)))*CROQUIS!$C$155)+IF(CROQUIS!$C$92="X",0,0)),-1000)</f>
        <v>-1000</v>
      </c>
      <c r="BQ219">
        <f>IF(AND(CROQUIS!$C$88=1,CROQUIS!$C$91=0,CROQUIS!$C$138&gt;0,OR(CROQUIS!$C$105=1,CROQUIS!$C$143=1)),((CROQUIS!$C$157+(IF(CROQUIS!$C$92="X",CHOOSE(IF(INT(($A219-1)/5)&gt;MAX((MIN(80,MAX(1,INT(((CROQUIS!$C$97)-CROQUIS!$C$107)/MAX(CROQUIS!$C$138,1))+1)))-1,0),0,MOD($A219-1,5))+1,0,IF(CROQUIS!$C$105=1,-12,2),CROQUIS!$C$107/2+CROQUIS!$C$141,IF(CROQUIS!$C$105=1,-12,2),0),((CROQUIS!$C$107/2+(((CROQUIS!$C$97)-CROQUIS!$C$107)-(MIN(80,MAX(1,INT(((CROQUIS!$C$97)-CROQUIS!$C$107)/MAX(CROQUIS!$C$138,1))+1))-1)*CROQUIS!$C$138)/2)+MIN(INT(($A219-1)/5),MAX((MIN(80,MAX(1,INT(((CROQUIS!$C$97)-CROQUIS!$C$107)/MAX(CROQUIS!$C$138,1))+1)))-1,0))*CROQUIS!$C$138)))*CROQUIS!$C$155)+IF(CROQUIS!$C$92="X",0,0)),-1000)</f>
        <v>-1000</v>
      </c>
      <c r="BR21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219-1)/5),MAX((MIN(80,MAX(1,INT(((CROQUIS!$C$97)-CROQUIS!$C$107)/MAX(CROQUIS!$C$138,1))+1)))-1,0))*CROQUIS!$C$138),CHOOSE(IF(INT(($A219-1)/5)&gt;MAX((MIN(80,MAX(1,INT(((CROQUIS!$C$97)-CROQUIS!$C$107)/MAX(CROQUIS!$C$138,1))+1)))-1,0),0,MOD($A219-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19">
        <f>IF(AND(CROQUIS!$C$88=1,CROQUIS!$C$91=0,CROQUIS!$C$138&gt;0,OR(CROQUIS!$C$106=1,CROQUIS!$C$143=1)),((CROQUIS!$C$157+(IF(CROQUIS!$C$92="X",CHOOSE(IF(INT(($A219-1)/5)&gt;MAX((MIN(80,MAX(1,INT(((CROQUIS!$C$97)-CROQUIS!$C$107)/MAX(CROQUIS!$C$138,1))+1)))-1,0),0,MOD($A219-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219-1)/5),MAX((MIN(80,MAX(1,INT(((CROQUIS!$C$97)-CROQUIS!$C$107)/MAX(CROQUIS!$C$138,1))+1)))-1,0))*CROQUIS!$C$138)))*CROQUIS!$C$155)+IF(CROQUIS!$C$92="X",0,0)),-1000)</f>
        <v>-1000</v>
      </c>
      <c r="BT219">
        <f>IF(AND(CROQUIS!$C$88=1,CROQUIS!$C$91=1,CROQUIS!$C$130&gt;0),((CROQUIS!$C$156+(IF(CROQUIS!$C$92="X",CHOOSE(IF(INT(($A219-1)/5)&gt;MAX((MIN(80,MAX(1,INT(((CROQUIS!$C$98)-CROQUIS!$C$107)/MAX(CROQUIS!$C$130,1))+1)))-1,0),0,MOD($A219-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219-1)/5),MAX((MIN(80,MAX(1,INT(((CROQUIS!$C$98)-CROQUIS!$C$107)/MAX(CROQUIS!$C$130,1))+1)))-1,0))*CROQUIS!$C$130)))*CROQUIS!$C$155)+IF(CROQUIS!$C$92="X",0,0)),-1000)</f>
        <v>-1000</v>
      </c>
      <c r="BU219">
        <f>IF(AND(CROQUIS!$C$88=1,CROQUIS!$C$91=1,CROQUIS!$C$130&gt;0),((CROQUIS!$C$157+(IF(CROQUIS!$C$92="X",((CROQUIS!$C$107/2+(((CROQUIS!$C$98)-CROQUIS!$C$107)-(MIN(80,MAX(1,INT(((CROQUIS!$C$98)-CROQUIS!$C$107)/MAX(CROQUIS!$C$130,1))+1))-1)*CROQUIS!$C$130)/2)+MIN(INT(($A219-1)/5),MAX((MIN(80,MAX(1,INT(((CROQUIS!$C$98)-CROQUIS!$C$107)/MAX(CROQUIS!$C$130,1))+1)))-1,0))*CROQUIS!$C$130),CHOOSE(IF(INT(($A219-1)/5)&gt;MAX((MIN(80,MAX(1,INT(((CROQUIS!$C$98)-CROQUIS!$C$107)/MAX(CROQUIS!$C$130,1))+1)))-1,0),0,MOD($A219-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20">
      <c r="A220" t="n">
        <v>213</v>
      </c>
      <c r="BH220">
        <f>IF(AND(CROQUIS!$C$88=1,CROQUIS!$C$126&gt;0),((CROQUIS!$C$156+(IF(CROQUIS!$C$92="X",CHOOSE(IF(INT(($A220-1)/5)&gt;MAX((MIN(80,MAX(1,INT(((CROQUIS!$C$98)-CROQUIS!$C$107)/MAX(CROQUIS!$C$126,1))+1)))-1,0),0,MOD($A220-1,5))+1,0,2,CROQUIS!$C$97-2,2,0),((CROQUIS!$C$107/2+(((CROQUIS!$C$98)-CROQUIS!$C$107)-(MIN(80,MAX(1,INT(((CROQUIS!$C$98)-CROQUIS!$C$107)/MAX(CROQUIS!$C$126,1))+1))-1)*CROQUIS!$C$126)/2)+MIN(INT(($A220-1)/5),MAX((MIN(80,MAX(1,INT(((CROQUIS!$C$98)-CROQUIS!$C$107)/MAX(CROQUIS!$C$126,1))+1)))-1,0))*CROQUIS!$C$126)))*CROQUIS!$C$155)+IF(CROQUIS!$C$92="X",0,0)),-1000)</f>
        <v>-1000</v>
      </c>
      <c r="BI220">
        <f>IF(AND(CROQUIS!$C$88=1,CROQUIS!$C$126&gt;0),((CROQUIS!$C$157+(IF(CROQUIS!$C$92="X",((CROQUIS!$C$107/2+(((CROQUIS!$C$98)-CROQUIS!$C$107)-(MIN(80,MAX(1,INT(((CROQUIS!$C$98)-CROQUIS!$C$107)/MAX(CROQUIS!$C$126,1))+1))-1)*CROQUIS!$C$126)/2)+MIN(INT(($A220-1)/5),MAX((MIN(80,MAX(1,INT(((CROQUIS!$C$98)-CROQUIS!$C$107)/MAX(CROQUIS!$C$126,1))+1)))-1,0))*CROQUIS!$C$126),CHOOSE(IF(INT(($A220-1)/5)&gt;MAX((MIN(80,MAX(1,INT(((CROQUIS!$C$98)-CROQUIS!$C$107)/MAX(CROQUIS!$C$126,1))+1)))-1,0),0,MOD($A220-1,5))+1,0,2,CROQUIS!$C$97-2,2,0)))*CROQUIS!$C$155)+IF(CROQUIS!$C$92="X",0,0)),-1000)</f>
        <v>-1000</v>
      </c>
      <c r="BJ220">
        <f>IF(AND(CROQUIS!$C$88=1,CROQUIS!$C$134&gt;0),((CROQUIS!$C$156+(IF(CROQUIS!$C$92="X",((CROQUIS!$C$107/2+(((CROQUIS!$C$97)-CROQUIS!$C$107)-(MIN(80,MAX(1,INT(((CROQUIS!$C$97)-CROQUIS!$C$107)/MAX(CROQUIS!$C$134,1))+1))-1)*CROQUIS!$C$134)/2)+MIN(INT(($A220-1)/5),MAX((MIN(80,MAX(1,INT(((CROQUIS!$C$97)-CROQUIS!$C$107)/MAX(CROQUIS!$C$134,1))+1)))-1,0))*CROQUIS!$C$134),CHOOSE(IF(INT(($A220-1)/5)&gt;MAX((MIN(80,MAX(1,INT(((CROQUIS!$C$97)-CROQUIS!$C$107)/MAX(CROQUIS!$C$134,1))+1)))-1,0),0,MOD($A220-1,5))+1,0,2,CROQUIS!$C$98-2,2,0)))*CROQUIS!$C$155)+IF(CROQUIS!$C$92="X",0,0)),-1000)</f>
        <v>-1000</v>
      </c>
      <c r="BK220">
        <f>IF(AND(CROQUIS!$C$88=1,CROQUIS!$C$134&gt;0),((CROQUIS!$C$157+(IF(CROQUIS!$C$92="X",CHOOSE(IF(INT(($A220-1)/5)&gt;MAX((MIN(80,MAX(1,INT(((CROQUIS!$C$97)-CROQUIS!$C$107)/MAX(CROQUIS!$C$134,1))+1)))-1,0),0,MOD($A220-1,5))+1,0,2,CROQUIS!$C$98-2,2,0),((CROQUIS!$C$107/2+(((CROQUIS!$C$97)-CROQUIS!$C$107)-(MIN(80,MAX(1,INT(((CROQUIS!$C$97)-CROQUIS!$C$107)/MAX(CROQUIS!$C$134,1))+1))-1)*CROQUIS!$C$134)/2)+MIN(INT(($A220-1)/5),MAX((MIN(80,MAX(1,INT(((CROQUIS!$C$97)-CROQUIS!$C$107)/MAX(CROQUIS!$C$134,1))+1)))-1,0))*CROQUIS!$C$134)))*CROQUIS!$C$155)+IF(CROQUIS!$C$92="X",0,0)),-1000)</f>
        <v>-1000</v>
      </c>
      <c r="BL220">
        <f>IF(AND(CROQUIS!$C$88=1,CROQUIS!$C$91=0,CROQUIS!$C$130&gt;0,OR(CROQUIS!$C$103=1,CROQUIS!$C$142=1)),((CROQUIS!$C$156+(IF(CROQUIS!$C$92="X",CHOOSE(IF(INT(($A220-1)/5)&gt;MAX((MIN(80,MAX(1,INT(((CROQUIS!$C$98)-CROQUIS!$C$107)/MAX(CROQUIS!$C$130,1))+1)))-1,0),0,MOD($A220-1,5))+1,0,IF(CROQUIS!$C$103=1,-12,2),CROQUIS!$C$107/2+CROQUIS!$C$140,IF(CROQUIS!$C$103=1,-12,2),0),((CROQUIS!$C$107/2+(((CROQUIS!$C$98)-CROQUIS!$C$107)-(MIN(80,MAX(1,INT(((CROQUIS!$C$98)-CROQUIS!$C$107)/MAX(CROQUIS!$C$130,1))+1))-1)*CROQUIS!$C$130)/2)+MIN(INT(($A220-1)/5),MAX((MIN(80,MAX(1,INT(((CROQUIS!$C$98)-CROQUIS!$C$107)/MAX(CROQUIS!$C$130,1))+1)))-1,0))*CROQUIS!$C$130)))*CROQUIS!$C$155)+IF(CROQUIS!$C$92="X",0,0)),-1000)</f>
        <v>-1000</v>
      </c>
      <c r="BM22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220-1)/5),MAX((MIN(80,MAX(1,INT(((CROQUIS!$C$98)-CROQUIS!$C$107)/MAX(CROQUIS!$C$130,1))+1)))-1,0))*CROQUIS!$C$130),CHOOSE(IF(INT(($A220-1)/5)&gt;MAX((MIN(80,MAX(1,INT(((CROQUIS!$C$98)-CROQUIS!$C$107)/MAX(CROQUIS!$C$130,1))+1)))-1,0),0,MOD($A220-1,5))+1,0,IF(CROQUIS!$C$103=1,-12,2),CROQUIS!$C$107/2+CROQUIS!$C$140,IF(CROQUIS!$C$103=1,-12,2),0)))*CROQUIS!$C$155)+IF(CROQUIS!$C$92="X",0,0)),-1000)</f>
        <v>-1000</v>
      </c>
      <c r="BN220">
        <f>IF(AND(CROQUIS!$C$88=1,CROQUIS!$C$91=0,CROQUIS!$C$130&gt;0,OR(CROQUIS!$C$104=1,CROQUIS!$C$142=1)),((CROQUIS!$C$156+(IF(CROQUIS!$C$92="X",CHOOSE(IF(INT(($A220-1)/5)&gt;MAX((MIN(80,MAX(1,INT(((CROQUIS!$C$98)-CROQUIS!$C$107)/MAX(CROQUIS!$C$130,1))+1)))-1,0),0,MOD($A220-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220-1)/5),MAX((MIN(80,MAX(1,INT(((CROQUIS!$C$98)-CROQUIS!$C$107)/MAX(CROQUIS!$C$130,1))+1)))-1,0))*CROQUIS!$C$130)))*CROQUIS!$C$155)+IF(CROQUIS!$C$92="X",0,0)),-1000)</f>
        <v>-1000</v>
      </c>
      <c r="BO22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220-1)/5),MAX((MIN(80,MAX(1,INT(((CROQUIS!$C$98)-CROQUIS!$C$107)/MAX(CROQUIS!$C$130,1))+1)))-1,0))*CROQUIS!$C$130),CHOOSE(IF(INT(($A220-1)/5)&gt;MAX((MIN(80,MAX(1,INT(((CROQUIS!$C$98)-CROQUIS!$C$107)/MAX(CROQUIS!$C$130,1))+1)))-1,0),0,MOD($A220-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2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220-1)/5),MAX((MIN(80,MAX(1,INT(((CROQUIS!$C$97)-CROQUIS!$C$107)/MAX(CROQUIS!$C$138,1))+1)))-1,0))*CROQUIS!$C$138),CHOOSE(IF(INT(($A220-1)/5)&gt;MAX((MIN(80,MAX(1,INT(((CROQUIS!$C$97)-CROQUIS!$C$107)/MAX(CROQUIS!$C$138,1))+1)))-1,0),0,MOD($A220-1,5))+1,0,IF(CROQUIS!$C$105=1,-12,2),CROQUIS!$C$107/2+CROQUIS!$C$141,IF(CROQUIS!$C$105=1,-12,2),0)))*CROQUIS!$C$155)+IF(CROQUIS!$C$92="X",0,0)),-1000)</f>
        <v>-1000</v>
      </c>
      <c r="BQ220">
        <f>IF(AND(CROQUIS!$C$88=1,CROQUIS!$C$91=0,CROQUIS!$C$138&gt;0,OR(CROQUIS!$C$105=1,CROQUIS!$C$143=1)),((CROQUIS!$C$157+(IF(CROQUIS!$C$92="X",CHOOSE(IF(INT(($A220-1)/5)&gt;MAX((MIN(80,MAX(1,INT(((CROQUIS!$C$97)-CROQUIS!$C$107)/MAX(CROQUIS!$C$138,1))+1)))-1,0),0,MOD($A220-1,5))+1,0,IF(CROQUIS!$C$105=1,-12,2),CROQUIS!$C$107/2+CROQUIS!$C$141,IF(CROQUIS!$C$105=1,-12,2),0),((CROQUIS!$C$107/2+(((CROQUIS!$C$97)-CROQUIS!$C$107)-(MIN(80,MAX(1,INT(((CROQUIS!$C$97)-CROQUIS!$C$107)/MAX(CROQUIS!$C$138,1))+1))-1)*CROQUIS!$C$138)/2)+MIN(INT(($A220-1)/5),MAX((MIN(80,MAX(1,INT(((CROQUIS!$C$97)-CROQUIS!$C$107)/MAX(CROQUIS!$C$138,1))+1)))-1,0))*CROQUIS!$C$138)))*CROQUIS!$C$155)+IF(CROQUIS!$C$92="X",0,0)),-1000)</f>
        <v>-1000</v>
      </c>
      <c r="BR22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220-1)/5),MAX((MIN(80,MAX(1,INT(((CROQUIS!$C$97)-CROQUIS!$C$107)/MAX(CROQUIS!$C$138,1))+1)))-1,0))*CROQUIS!$C$138),CHOOSE(IF(INT(($A220-1)/5)&gt;MAX((MIN(80,MAX(1,INT(((CROQUIS!$C$97)-CROQUIS!$C$107)/MAX(CROQUIS!$C$138,1))+1)))-1,0),0,MOD($A220-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20">
        <f>IF(AND(CROQUIS!$C$88=1,CROQUIS!$C$91=0,CROQUIS!$C$138&gt;0,OR(CROQUIS!$C$106=1,CROQUIS!$C$143=1)),((CROQUIS!$C$157+(IF(CROQUIS!$C$92="X",CHOOSE(IF(INT(($A220-1)/5)&gt;MAX((MIN(80,MAX(1,INT(((CROQUIS!$C$97)-CROQUIS!$C$107)/MAX(CROQUIS!$C$138,1))+1)))-1,0),0,MOD($A220-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220-1)/5),MAX((MIN(80,MAX(1,INT(((CROQUIS!$C$97)-CROQUIS!$C$107)/MAX(CROQUIS!$C$138,1))+1)))-1,0))*CROQUIS!$C$138)))*CROQUIS!$C$155)+IF(CROQUIS!$C$92="X",0,0)),-1000)</f>
        <v>-1000</v>
      </c>
      <c r="BT220">
        <f>IF(AND(CROQUIS!$C$88=1,CROQUIS!$C$91=1,CROQUIS!$C$130&gt;0),((CROQUIS!$C$156+(IF(CROQUIS!$C$92="X",CHOOSE(IF(INT(($A220-1)/5)&gt;MAX((MIN(80,MAX(1,INT(((CROQUIS!$C$98)-CROQUIS!$C$107)/MAX(CROQUIS!$C$130,1))+1)))-1,0),0,MOD($A220-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220-1)/5),MAX((MIN(80,MAX(1,INT(((CROQUIS!$C$98)-CROQUIS!$C$107)/MAX(CROQUIS!$C$130,1))+1)))-1,0))*CROQUIS!$C$130)))*CROQUIS!$C$155)+IF(CROQUIS!$C$92="X",0,0)),-1000)</f>
        <v>-1000</v>
      </c>
      <c r="BU220">
        <f>IF(AND(CROQUIS!$C$88=1,CROQUIS!$C$91=1,CROQUIS!$C$130&gt;0),((CROQUIS!$C$157+(IF(CROQUIS!$C$92="X",((CROQUIS!$C$107/2+(((CROQUIS!$C$98)-CROQUIS!$C$107)-(MIN(80,MAX(1,INT(((CROQUIS!$C$98)-CROQUIS!$C$107)/MAX(CROQUIS!$C$130,1))+1))-1)*CROQUIS!$C$130)/2)+MIN(INT(($A220-1)/5),MAX((MIN(80,MAX(1,INT(((CROQUIS!$C$98)-CROQUIS!$C$107)/MAX(CROQUIS!$C$130,1))+1)))-1,0))*CROQUIS!$C$130),CHOOSE(IF(INT(($A220-1)/5)&gt;MAX((MIN(80,MAX(1,INT(((CROQUIS!$C$98)-CROQUIS!$C$107)/MAX(CROQUIS!$C$130,1))+1)))-1,0),0,MOD($A220-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21">
      <c r="A221" t="n">
        <v>214</v>
      </c>
      <c r="BH221">
        <f>IF(AND(CROQUIS!$C$88=1,CROQUIS!$C$126&gt;0),((CROQUIS!$C$156+(IF(CROQUIS!$C$92="X",CHOOSE(IF(INT(($A221-1)/5)&gt;MAX((MIN(80,MAX(1,INT(((CROQUIS!$C$98)-CROQUIS!$C$107)/MAX(CROQUIS!$C$126,1))+1)))-1,0),0,MOD($A221-1,5))+1,0,2,CROQUIS!$C$97-2,2,0),((CROQUIS!$C$107/2+(((CROQUIS!$C$98)-CROQUIS!$C$107)-(MIN(80,MAX(1,INT(((CROQUIS!$C$98)-CROQUIS!$C$107)/MAX(CROQUIS!$C$126,1))+1))-1)*CROQUIS!$C$126)/2)+MIN(INT(($A221-1)/5),MAX((MIN(80,MAX(1,INT(((CROQUIS!$C$98)-CROQUIS!$C$107)/MAX(CROQUIS!$C$126,1))+1)))-1,0))*CROQUIS!$C$126)))*CROQUIS!$C$155)+IF(CROQUIS!$C$92="X",0,0)),-1000)</f>
        <v>-1000</v>
      </c>
      <c r="BI221">
        <f>IF(AND(CROQUIS!$C$88=1,CROQUIS!$C$126&gt;0),((CROQUIS!$C$157+(IF(CROQUIS!$C$92="X",((CROQUIS!$C$107/2+(((CROQUIS!$C$98)-CROQUIS!$C$107)-(MIN(80,MAX(1,INT(((CROQUIS!$C$98)-CROQUIS!$C$107)/MAX(CROQUIS!$C$126,1))+1))-1)*CROQUIS!$C$126)/2)+MIN(INT(($A221-1)/5),MAX((MIN(80,MAX(1,INT(((CROQUIS!$C$98)-CROQUIS!$C$107)/MAX(CROQUIS!$C$126,1))+1)))-1,0))*CROQUIS!$C$126),CHOOSE(IF(INT(($A221-1)/5)&gt;MAX((MIN(80,MAX(1,INT(((CROQUIS!$C$98)-CROQUIS!$C$107)/MAX(CROQUIS!$C$126,1))+1)))-1,0),0,MOD($A221-1,5))+1,0,2,CROQUIS!$C$97-2,2,0)))*CROQUIS!$C$155)+IF(CROQUIS!$C$92="X",0,0)),-1000)</f>
        <v>-1000</v>
      </c>
      <c r="BJ221">
        <f>IF(AND(CROQUIS!$C$88=1,CROQUIS!$C$134&gt;0),((CROQUIS!$C$156+(IF(CROQUIS!$C$92="X",((CROQUIS!$C$107/2+(((CROQUIS!$C$97)-CROQUIS!$C$107)-(MIN(80,MAX(1,INT(((CROQUIS!$C$97)-CROQUIS!$C$107)/MAX(CROQUIS!$C$134,1))+1))-1)*CROQUIS!$C$134)/2)+MIN(INT(($A221-1)/5),MAX((MIN(80,MAX(1,INT(((CROQUIS!$C$97)-CROQUIS!$C$107)/MAX(CROQUIS!$C$134,1))+1)))-1,0))*CROQUIS!$C$134),CHOOSE(IF(INT(($A221-1)/5)&gt;MAX((MIN(80,MAX(1,INT(((CROQUIS!$C$97)-CROQUIS!$C$107)/MAX(CROQUIS!$C$134,1))+1)))-1,0),0,MOD($A221-1,5))+1,0,2,CROQUIS!$C$98-2,2,0)))*CROQUIS!$C$155)+IF(CROQUIS!$C$92="X",0,0)),-1000)</f>
        <v>-1000</v>
      </c>
      <c r="BK221">
        <f>IF(AND(CROQUIS!$C$88=1,CROQUIS!$C$134&gt;0),((CROQUIS!$C$157+(IF(CROQUIS!$C$92="X",CHOOSE(IF(INT(($A221-1)/5)&gt;MAX((MIN(80,MAX(1,INT(((CROQUIS!$C$97)-CROQUIS!$C$107)/MAX(CROQUIS!$C$134,1))+1)))-1,0),0,MOD($A221-1,5))+1,0,2,CROQUIS!$C$98-2,2,0),((CROQUIS!$C$107/2+(((CROQUIS!$C$97)-CROQUIS!$C$107)-(MIN(80,MAX(1,INT(((CROQUIS!$C$97)-CROQUIS!$C$107)/MAX(CROQUIS!$C$134,1))+1))-1)*CROQUIS!$C$134)/2)+MIN(INT(($A221-1)/5),MAX((MIN(80,MAX(1,INT(((CROQUIS!$C$97)-CROQUIS!$C$107)/MAX(CROQUIS!$C$134,1))+1)))-1,0))*CROQUIS!$C$134)))*CROQUIS!$C$155)+IF(CROQUIS!$C$92="X",0,0)),-1000)</f>
        <v>-1000</v>
      </c>
      <c r="BL221">
        <f>IF(AND(CROQUIS!$C$88=1,CROQUIS!$C$91=0,CROQUIS!$C$130&gt;0,OR(CROQUIS!$C$103=1,CROQUIS!$C$142=1)),((CROQUIS!$C$156+(IF(CROQUIS!$C$92="X",CHOOSE(IF(INT(($A221-1)/5)&gt;MAX((MIN(80,MAX(1,INT(((CROQUIS!$C$98)-CROQUIS!$C$107)/MAX(CROQUIS!$C$130,1))+1)))-1,0),0,MOD($A221-1,5))+1,0,IF(CROQUIS!$C$103=1,-12,2),CROQUIS!$C$107/2+CROQUIS!$C$140,IF(CROQUIS!$C$103=1,-12,2),0),((CROQUIS!$C$107/2+(((CROQUIS!$C$98)-CROQUIS!$C$107)-(MIN(80,MAX(1,INT(((CROQUIS!$C$98)-CROQUIS!$C$107)/MAX(CROQUIS!$C$130,1))+1))-1)*CROQUIS!$C$130)/2)+MIN(INT(($A221-1)/5),MAX((MIN(80,MAX(1,INT(((CROQUIS!$C$98)-CROQUIS!$C$107)/MAX(CROQUIS!$C$130,1))+1)))-1,0))*CROQUIS!$C$130)))*CROQUIS!$C$155)+IF(CROQUIS!$C$92="X",0,0)),-1000)</f>
        <v>-1000</v>
      </c>
      <c r="BM22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221-1)/5),MAX((MIN(80,MAX(1,INT(((CROQUIS!$C$98)-CROQUIS!$C$107)/MAX(CROQUIS!$C$130,1))+1)))-1,0))*CROQUIS!$C$130),CHOOSE(IF(INT(($A221-1)/5)&gt;MAX((MIN(80,MAX(1,INT(((CROQUIS!$C$98)-CROQUIS!$C$107)/MAX(CROQUIS!$C$130,1))+1)))-1,0),0,MOD($A221-1,5))+1,0,IF(CROQUIS!$C$103=1,-12,2),CROQUIS!$C$107/2+CROQUIS!$C$140,IF(CROQUIS!$C$103=1,-12,2),0)))*CROQUIS!$C$155)+IF(CROQUIS!$C$92="X",0,0)),-1000)</f>
        <v>-1000</v>
      </c>
      <c r="BN221">
        <f>IF(AND(CROQUIS!$C$88=1,CROQUIS!$C$91=0,CROQUIS!$C$130&gt;0,OR(CROQUIS!$C$104=1,CROQUIS!$C$142=1)),((CROQUIS!$C$156+(IF(CROQUIS!$C$92="X",CHOOSE(IF(INT(($A221-1)/5)&gt;MAX((MIN(80,MAX(1,INT(((CROQUIS!$C$98)-CROQUIS!$C$107)/MAX(CROQUIS!$C$130,1))+1)))-1,0),0,MOD($A221-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221-1)/5),MAX((MIN(80,MAX(1,INT(((CROQUIS!$C$98)-CROQUIS!$C$107)/MAX(CROQUIS!$C$130,1))+1)))-1,0))*CROQUIS!$C$130)))*CROQUIS!$C$155)+IF(CROQUIS!$C$92="X",0,0)),-1000)</f>
        <v>-1000</v>
      </c>
      <c r="BO22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221-1)/5),MAX((MIN(80,MAX(1,INT(((CROQUIS!$C$98)-CROQUIS!$C$107)/MAX(CROQUIS!$C$130,1))+1)))-1,0))*CROQUIS!$C$130),CHOOSE(IF(INT(($A221-1)/5)&gt;MAX((MIN(80,MAX(1,INT(((CROQUIS!$C$98)-CROQUIS!$C$107)/MAX(CROQUIS!$C$130,1))+1)))-1,0),0,MOD($A221-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2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221-1)/5),MAX((MIN(80,MAX(1,INT(((CROQUIS!$C$97)-CROQUIS!$C$107)/MAX(CROQUIS!$C$138,1))+1)))-1,0))*CROQUIS!$C$138),CHOOSE(IF(INT(($A221-1)/5)&gt;MAX((MIN(80,MAX(1,INT(((CROQUIS!$C$97)-CROQUIS!$C$107)/MAX(CROQUIS!$C$138,1))+1)))-1,0),0,MOD($A221-1,5))+1,0,IF(CROQUIS!$C$105=1,-12,2),CROQUIS!$C$107/2+CROQUIS!$C$141,IF(CROQUIS!$C$105=1,-12,2),0)))*CROQUIS!$C$155)+IF(CROQUIS!$C$92="X",0,0)),-1000)</f>
        <v>-1000</v>
      </c>
      <c r="BQ221">
        <f>IF(AND(CROQUIS!$C$88=1,CROQUIS!$C$91=0,CROQUIS!$C$138&gt;0,OR(CROQUIS!$C$105=1,CROQUIS!$C$143=1)),((CROQUIS!$C$157+(IF(CROQUIS!$C$92="X",CHOOSE(IF(INT(($A221-1)/5)&gt;MAX((MIN(80,MAX(1,INT(((CROQUIS!$C$97)-CROQUIS!$C$107)/MAX(CROQUIS!$C$138,1))+1)))-1,0),0,MOD($A221-1,5))+1,0,IF(CROQUIS!$C$105=1,-12,2),CROQUIS!$C$107/2+CROQUIS!$C$141,IF(CROQUIS!$C$105=1,-12,2),0),((CROQUIS!$C$107/2+(((CROQUIS!$C$97)-CROQUIS!$C$107)-(MIN(80,MAX(1,INT(((CROQUIS!$C$97)-CROQUIS!$C$107)/MAX(CROQUIS!$C$138,1))+1))-1)*CROQUIS!$C$138)/2)+MIN(INT(($A221-1)/5),MAX((MIN(80,MAX(1,INT(((CROQUIS!$C$97)-CROQUIS!$C$107)/MAX(CROQUIS!$C$138,1))+1)))-1,0))*CROQUIS!$C$138)))*CROQUIS!$C$155)+IF(CROQUIS!$C$92="X",0,0)),-1000)</f>
        <v>-1000</v>
      </c>
      <c r="BR22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221-1)/5),MAX((MIN(80,MAX(1,INT(((CROQUIS!$C$97)-CROQUIS!$C$107)/MAX(CROQUIS!$C$138,1))+1)))-1,0))*CROQUIS!$C$138),CHOOSE(IF(INT(($A221-1)/5)&gt;MAX((MIN(80,MAX(1,INT(((CROQUIS!$C$97)-CROQUIS!$C$107)/MAX(CROQUIS!$C$138,1))+1)))-1,0),0,MOD($A221-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21">
        <f>IF(AND(CROQUIS!$C$88=1,CROQUIS!$C$91=0,CROQUIS!$C$138&gt;0,OR(CROQUIS!$C$106=1,CROQUIS!$C$143=1)),((CROQUIS!$C$157+(IF(CROQUIS!$C$92="X",CHOOSE(IF(INT(($A221-1)/5)&gt;MAX((MIN(80,MAX(1,INT(((CROQUIS!$C$97)-CROQUIS!$C$107)/MAX(CROQUIS!$C$138,1))+1)))-1,0),0,MOD($A221-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221-1)/5),MAX((MIN(80,MAX(1,INT(((CROQUIS!$C$97)-CROQUIS!$C$107)/MAX(CROQUIS!$C$138,1))+1)))-1,0))*CROQUIS!$C$138)))*CROQUIS!$C$155)+IF(CROQUIS!$C$92="X",0,0)),-1000)</f>
        <v>-1000</v>
      </c>
      <c r="BT221">
        <f>IF(AND(CROQUIS!$C$88=1,CROQUIS!$C$91=1,CROQUIS!$C$130&gt;0),((CROQUIS!$C$156+(IF(CROQUIS!$C$92="X",CHOOSE(IF(INT(($A221-1)/5)&gt;MAX((MIN(80,MAX(1,INT(((CROQUIS!$C$98)-CROQUIS!$C$107)/MAX(CROQUIS!$C$130,1))+1)))-1,0),0,MOD($A221-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221-1)/5),MAX((MIN(80,MAX(1,INT(((CROQUIS!$C$98)-CROQUIS!$C$107)/MAX(CROQUIS!$C$130,1))+1)))-1,0))*CROQUIS!$C$130)))*CROQUIS!$C$155)+IF(CROQUIS!$C$92="X",0,0)),-1000)</f>
        <v>-1000</v>
      </c>
      <c r="BU221">
        <f>IF(AND(CROQUIS!$C$88=1,CROQUIS!$C$91=1,CROQUIS!$C$130&gt;0),((CROQUIS!$C$157+(IF(CROQUIS!$C$92="X",((CROQUIS!$C$107/2+(((CROQUIS!$C$98)-CROQUIS!$C$107)-(MIN(80,MAX(1,INT(((CROQUIS!$C$98)-CROQUIS!$C$107)/MAX(CROQUIS!$C$130,1))+1))-1)*CROQUIS!$C$130)/2)+MIN(INT(($A221-1)/5),MAX((MIN(80,MAX(1,INT(((CROQUIS!$C$98)-CROQUIS!$C$107)/MAX(CROQUIS!$C$130,1))+1)))-1,0))*CROQUIS!$C$130),CHOOSE(IF(INT(($A221-1)/5)&gt;MAX((MIN(80,MAX(1,INT(((CROQUIS!$C$98)-CROQUIS!$C$107)/MAX(CROQUIS!$C$130,1))+1)))-1,0),0,MOD($A221-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22">
      <c r="A222" t="n">
        <v>215</v>
      </c>
      <c r="BH222">
        <f>IF(AND(CROQUIS!$C$88=1,CROQUIS!$C$126&gt;0),((CROQUIS!$C$156+(IF(CROQUIS!$C$92="X",CHOOSE(IF(INT(($A222-1)/5)&gt;MAX((MIN(80,MAX(1,INT(((CROQUIS!$C$98)-CROQUIS!$C$107)/MAX(CROQUIS!$C$126,1))+1)))-1,0),0,MOD($A222-1,5))+1,0,2,CROQUIS!$C$97-2,2,0),((CROQUIS!$C$107/2+(((CROQUIS!$C$98)-CROQUIS!$C$107)-(MIN(80,MAX(1,INT(((CROQUIS!$C$98)-CROQUIS!$C$107)/MAX(CROQUIS!$C$126,1))+1))-1)*CROQUIS!$C$126)/2)+MIN(INT(($A222-1)/5),MAX((MIN(80,MAX(1,INT(((CROQUIS!$C$98)-CROQUIS!$C$107)/MAX(CROQUIS!$C$126,1))+1)))-1,0))*CROQUIS!$C$126)))*CROQUIS!$C$155)+IF(CROQUIS!$C$92="X",0,0)),-1000)</f>
        <v>-1000</v>
      </c>
      <c r="BI222">
        <f>IF(AND(CROQUIS!$C$88=1,CROQUIS!$C$126&gt;0),((CROQUIS!$C$157+(IF(CROQUIS!$C$92="X",((CROQUIS!$C$107/2+(((CROQUIS!$C$98)-CROQUIS!$C$107)-(MIN(80,MAX(1,INT(((CROQUIS!$C$98)-CROQUIS!$C$107)/MAX(CROQUIS!$C$126,1))+1))-1)*CROQUIS!$C$126)/2)+MIN(INT(($A222-1)/5),MAX((MIN(80,MAX(1,INT(((CROQUIS!$C$98)-CROQUIS!$C$107)/MAX(CROQUIS!$C$126,1))+1)))-1,0))*CROQUIS!$C$126),CHOOSE(IF(INT(($A222-1)/5)&gt;MAX((MIN(80,MAX(1,INT(((CROQUIS!$C$98)-CROQUIS!$C$107)/MAX(CROQUIS!$C$126,1))+1)))-1,0),0,MOD($A222-1,5))+1,0,2,CROQUIS!$C$97-2,2,0)))*CROQUIS!$C$155)+IF(CROQUIS!$C$92="X",0,0)),-1000)</f>
        <v>-1000</v>
      </c>
      <c r="BJ222">
        <f>IF(AND(CROQUIS!$C$88=1,CROQUIS!$C$134&gt;0),((CROQUIS!$C$156+(IF(CROQUIS!$C$92="X",((CROQUIS!$C$107/2+(((CROQUIS!$C$97)-CROQUIS!$C$107)-(MIN(80,MAX(1,INT(((CROQUIS!$C$97)-CROQUIS!$C$107)/MAX(CROQUIS!$C$134,1))+1))-1)*CROQUIS!$C$134)/2)+MIN(INT(($A222-1)/5),MAX((MIN(80,MAX(1,INT(((CROQUIS!$C$97)-CROQUIS!$C$107)/MAX(CROQUIS!$C$134,1))+1)))-1,0))*CROQUIS!$C$134),CHOOSE(IF(INT(($A222-1)/5)&gt;MAX((MIN(80,MAX(1,INT(((CROQUIS!$C$97)-CROQUIS!$C$107)/MAX(CROQUIS!$C$134,1))+1)))-1,0),0,MOD($A222-1,5))+1,0,2,CROQUIS!$C$98-2,2,0)))*CROQUIS!$C$155)+IF(CROQUIS!$C$92="X",0,0)),-1000)</f>
        <v>-1000</v>
      </c>
      <c r="BK222">
        <f>IF(AND(CROQUIS!$C$88=1,CROQUIS!$C$134&gt;0),((CROQUIS!$C$157+(IF(CROQUIS!$C$92="X",CHOOSE(IF(INT(($A222-1)/5)&gt;MAX((MIN(80,MAX(1,INT(((CROQUIS!$C$97)-CROQUIS!$C$107)/MAX(CROQUIS!$C$134,1))+1)))-1,0),0,MOD($A222-1,5))+1,0,2,CROQUIS!$C$98-2,2,0),((CROQUIS!$C$107/2+(((CROQUIS!$C$97)-CROQUIS!$C$107)-(MIN(80,MAX(1,INT(((CROQUIS!$C$97)-CROQUIS!$C$107)/MAX(CROQUIS!$C$134,1))+1))-1)*CROQUIS!$C$134)/2)+MIN(INT(($A222-1)/5),MAX((MIN(80,MAX(1,INT(((CROQUIS!$C$97)-CROQUIS!$C$107)/MAX(CROQUIS!$C$134,1))+1)))-1,0))*CROQUIS!$C$134)))*CROQUIS!$C$155)+IF(CROQUIS!$C$92="X",0,0)),-1000)</f>
        <v>-1000</v>
      </c>
      <c r="BL222">
        <f>IF(AND(CROQUIS!$C$88=1,CROQUIS!$C$91=0,CROQUIS!$C$130&gt;0,OR(CROQUIS!$C$103=1,CROQUIS!$C$142=1)),((CROQUIS!$C$156+(IF(CROQUIS!$C$92="X",CHOOSE(IF(INT(($A222-1)/5)&gt;MAX((MIN(80,MAX(1,INT(((CROQUIS!$C$98)-CROQUIS!$C$107)/MAX(CROQUIS!$C$130,1))+1)))-1,0),0,MOD($A222-1,5))+1,0,IF(CROQUIS!$C$103=1,-12,2),CROQUIS!$C$107/2+CROQUIS!$C$140,IF(CROQUIS!$C$103=1,-12,2),0),((CROQUIS!$C$107/2+(((CROQUIS!$C$98)-CROQUIS!$C$107)-(MIN(80,MAX(1,INT(((CROQUIS!$C$98)-CROQUIS!$C$107)/MAX(CROQUIS!$C$130,1))+1))-1)*CROQUIS!$C$130)/2)+MIN(INT(($A222-1)/5),MAX((MIN(80,MAX(1,INT(((CROQUIS!$C$98)-CROQUIS!$C$107)/MAX(CROQUIS!$C$130,1))+1)))-1,0))*CROQUIS!$C$130)))*CROQUIS!$C$155)+IF(CROQUIS!$C$92="X",0,0)),-1000)</f>
        <v>-1000</v>
      </c>
      <c r="BM22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222-1)/5),MAX((MIN(80,MAX(1,INT(((CROQUIS!$C$98)-CROQUIS!$C$107)/MAX(CROQUIS!$C$130,1))+1)))-1,0))*CROQUIS!$C$130),CHOOSE(IF(INT(($A222-1)/5)&gt;MAX((MIN(80,MAX(1,INT(((CROQUIS!$C$98)-CROQUIS!$C$107)/MAX(CROQUIS!$C$130,1))+1)))-1,0),0,MOD($A222-1,5))+1,0,IF(CROQUIS!$C$103=1,-12,2),CROQUIS!$C$107/2+CROQUIS!$C$140,IF(CROQUIS!$C$103=1,-12,2),0)))*CROQUIS!$C$155)+IF(CROQUIS!$C$92="X",0,0)),-1000)</f>
        <v>-1000</v>
      </c>
      <c r="BN222">
        <f>IF(AND(CROQUIS!$C$88=1,CROQUIS!$C$91=0,CROQUIS!$C$130&gt;0,OR(CROQUIS!$C$104=1,CROQUIS!$C$142=1)),((CROQUIS!$C$156+(IF(CROQUIS!$C$92="X",CHOOSE(IF(INT(($A222-1)/5)&gt;MAX((MIN(80,MAX(1,INT(((CROQUIS!$C$98)-CROQUIS!$C$107)/MAX(CROQUIS!$C$130,1))+1)))-1,0),0,MOD($A222-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222-1)/5),MAX((MIN(80,MAX(1,INT(((CROQUIS!$C$98)-CROQUIS!$C$107)/MAX(CROQUIS!$C$130,1))+1)))-1,0))*CROQUIS!$C$130)))*CROQUIS!$C$155)+IF(CROQUIS!$C$92="X",0,0)),-1000)</f>
        <v>-1000</v>
      </c>
      <c r="BO22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222-1)/5),MAX((MIN(80,MAX(1,INT(((CROQUIS!$C$98)-CROQUIS!$C$107)/MAX(CROQUIS!$C$130,1))+1)))-1,0))*CROQUIS!$C$130),CHOOSE(IF(INT(($A222-1)/5)&gt;MAX((MIN(80,MAX(1,INT(((CROQUIS!$C$98)-CROQUIS!$C$107)/MAX(CROQUIS!$C$130,1))+1)))-1,0),0,MOD($A222-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2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222-1)/5),MAX((MIN(80,MAX(1,INT(((CROQUIS!$C$97)-CROQUIS!$C$107)/MAX(CROQUIS!$C$138,1))+1)))-1,0))*CROQUIS!$C$138),CHOOSE(IF(INT(($A222-1)/5)&gt;MAX((MIN(80,MAX(1,INT(((CROQUIS!$C$97)-CROQUIS!$C$107)/MAX(CROQUIS!$C$138,1))+1)))-1,0),0,MOD($A222-1,5))+1,0,IF(CROQUIS!$C$105=1,-12,2),CROQUIS!$C$107/2+CROQUIS!$C$141,IF(CROQUIS!$C$105=1,-12,2),0)))*CROQUIS!$C$155)+IF(CROQUIS!$C$92="X",0,0)),-1000)</f>
        <v>-1000</v>
      </c>
      <c r="BQ222">
        <f>IF(AND(CROQUIS!$C$88=1,CROQUIS!$C$91=0,CROQUIS!$C$138&gt;0,OR(CROQUIS!$C$105=1,CROQUIS!$C$143=1)),((CROQUIS!$C$157+(IF(CROQUIS!$C$92="X",CHOOSE(IF(INT(($A222-1)/5)&gt;MAX((MIN(80,MAX(1,INT(((CROQUIS!$C$97)-CROQUIS!$C$107)/MAX(CROQUIS!$C$138,1))+1)))-1,0),0,MOD($A222-1,5))+1,0,IF(CROQUIS!$C$105=1,-12,2),CROQUIS!$C$107/2+CROQUIS!$C$141,IF(CROQUIS!$C$105=1,-12,2),0),((CROQUIS!$C$107/2+(((CROQUIS!$C$97)-CROQUIS!$C$107)-(MIN(80,MAX(1,INT(((CROQUIS!$C$97)-CROQUIS!$C$107)/MAX(CROQUIS!$C$138,1))+1))-1)*CROQUIS!$C$138)/2)+MIN(INT(($A222-1)/5),MAX((MIN(80,MAX(1,INT(((CROQUIS!$C$97)-CROQUIS!$C$107)/MAX(CROQUIS!$C$138,1))+1)))-1,0))*CROQUIS!$C$138)))*CROQUIS!$C$155)+IF(CROQUIS!$C$92="X",0,0)),-1000)</f>
        <v>-1000</v>
      </c>
      <c r="BR22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222-1)/5),MAX((MIN(80,MAX(1,INT(((CROQUIS!$C$97)-CROQUIS!$C$107)/MAX(CROQUIS!$C$138,1))+1)))-1,0))*CROQUIS!$C$138),CHOOSE(IF(INT(($A222-1)/5)&gt;MAX((MIN(80,MAX(1,INT(((CROQUIS!$C$97)-CROQUIS!$C$107)/MAX(CROQUIS!$C$138,1))+1)))-1,0),0,MOD($A222-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22">
        <f>IF(AND(CROQUIS!$C$88=1,CROQUIS!$C$91=0,CROQUIS!$C$138&gt;0,OR(CROQUIS!$C$106=1,CROQUIS!$C$143=1)),((CROQUIS!$C$157+(IF(CROQUIS!$C$92="X",CHOOSE(IF(INT(($A222-1)/5)&gt;MAX((MIN(80,MAX(1,INT(((CROQUIS!$C$97)-CROQUIS!$C$107)/MAX(CROQUIS!$C$138,1))+1)))-1,0),0,MOD($A222-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222-1)/5),MAX((MIN(80,MAX(1,INT(((CROQUIS!$C$97)-CROQUIS!$C$107)/MAX(CROQUIS!$C$138,1))+1)))-1,0))*CROQUIS!$C$138)))*CROQUIS!$C$155)+IF(CROQUIS!$C$92="X",0,0)),-1000)</f>
        <v>-1000</v>
      </c>
      <c r="BT222">
        <f>IF(AND(CROQUIS!$C$88=1,CROQUIS!$C$91=1,CROQUIS!$C$130&gt;0),((CROQUIS!$C$156+(IF(CROQUIS!$C$92="X",CHOOSE(IF(INT(($A222-1)/5)&gt;MAX((MIN(80,MAX(1,INT(((CROQUIS!$C$98)-CROQUIS!$C$107)/MAX(CROQUIS!$C$130,1))+1)))-1,0),0,MOD($A222-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222-1)/5),MAX((MIN(80,MAX(1,INT(((CROQUIS!$C$98)-CROQUIS!$C$107)/MAX(CROQUIS!$C$130,1))+1)))-1,0))*CROQUIS!$C$130)))*CROQUIS!$C$155)+IF(CROQUIS!$C$92="X",0,0)),-1000)</f>
        <v>-1000</v>
      </c>
      <c r="BU222">
        <f>IF(AND(CROQUIS!$C$88=1,CROQUIS!$C$91=1,CROQUIS!$C$130&gt;0),((CROQUIS!$C$157+(IF(CROQUIS!$C$92="X",((CROQUIS!$C$107/2+(((CROQUIS!$C$98)-CROQUIS!$C$107)-(MIN(80,MAX(1,INT(((CROQUIS!$C$98)-CROQUIS!$C$107)/MAX(CROQUIS!$C$130,1))+1))-1)*CROQUIS!$C$130)/2)+MIN(INT(($A222-1)/5),MAX((MIN(80,MAX(1,INT(((CROQUIS!$C$98)-CROQUIS!$C$107)/MAX(CROQUIS!$C$130,1))+1)))-1,0))*CROQUIS!$C$130),CHOOSE(IF(INT(($A222-1)/5)&gt;MAX((MIN(80,MAX(1,INT(((CROQUIS!$C$98)-CROQUIS!$C$107)/MAX(CROQUIS!$C$130,1))+1)))-1,0),0,MOD($A222-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23">
      <c r="A223" t="n">
        <v>216</v>
      </c>
      <c r="BH223">
        <f>IF(AND(CROQUIS!$C$88=1,CROQUIS!$C$126&gt;0),((CROQUIS!$C$156+(IF(CROQUIS!$C$92="X",CHOOSE(IF(INT(($A223-1)/5)&gt;MAX((MIN(80,MAX(1,INT(((CROQUIS!$C$98)-CROQUIS!$C$107)/MAX(CROQUIS!$C$126,1))+1)))-1,0),0,MOD($A223-1,5))+1,0,2,CROQUIS!$C$97-2,2,0),((CROQUIS!$C$107/2+(((CROQUIS!$C$98)-CROQUIS!$C$107)-(MIN(80,MAX(1,INT(((CROQUIS!$C$98)-CROQUIS!$C$107)/MAX(CROQUIS!$C$126,1))+1))-1)*CROQUIS!$C$126)/2)+MIN(INT(($A223-1)/5),MAX((MIN(80,MAX(1,INT(((CROQUIS!$C$98)-CROQUIS!$C$107)/MAX(CROQUIS!$C$126,1))+1)))-1,0))*CROQUIS!$C$126)))*CROQUIS!$C$155)+IF(CROQUIS!$C$92="X",0,0)),-1000)</f>
        <v>-1000</v>
      </c>
      <c r="BI223">
        <f>IF(AND(CROQUIS!$C$88=1,CROQUIS!$C$126&gt;0),((CROQUIS!$C$157+(IF(CROQUIS!$C$92="X",((CROQUIS!$C$107/2+(((CROQUIS!$C$98)-CROQUIS!$C$107)-(MIN(80,MAX(1,INT(((CROQUIS!$C$98)-CROQUIS!$C$107)/MAX(CROQUIS!$C$126,1))+1))-1)*CROQUIS!$C$126)/2)+MIN(INT(($A223-1)/5),MAX((MIN(80,MAX(1,INT(((CROQUIS!$C$98)-CROQUIS!$C$107)/MAX(CROQUIS!$C$126,1))+1)))-1,0))*CROQUIS!$C$126),CHOOSE(IF(INT(($A223-1)/5)&gt;MAX((MIN(80,MAX(1,INT(((CROQUIS!$C$98)-CROQUIS!$C$107)/MAX(CROQUIS!$C$126,1))+1)))-1,0),0,MOD($A223-1,5))+1,0,2,CROQUIS!$C$97-2,2,0)))*CROQUIS!$C$155)+IF(CROQUIS!$C$92="X",0,0)),-1000)</f>
        <v>-1000</v>
      </c>
      <c r="BJ223">
        <f>IF(AND(CROQUIS!$C$88=1,CROQUIS!$C$134&gt;0),((CROQUIS!$C$156+(IF(CROQUIS!$C$92="X",((CROQUIS!$C$107/2+(((CROQUIS!$C$97)-CROQUIS!$C$107)-(MIN(80,MAX(1,INT(((CROQUIS!$C$97)-CROQUIS!$C$107)/MAX(CROQUIS!$C$134,1))+1))-1)*CROQUIS!$C$134)/2)+MIN(INT(($A223-1)/5),MAX((MIN(80,MAX(1,INT(((CROQUIS!$C$97)-CROQUIS!$C$107)/MAX(CROQUIS!$C$134,1))+1)))-1,0))*CROQUIS!$C$134),CHOOSE(IF(INT(($A223-1)/5)&gt;MAX((MIN(80,MAX(1,INT(((CROQUIS!$C$97)-CROQUIS!$C$107)/MAX(CROQUIS!$C$134,1))+1)))-1,0),0,MOD($A223-1,5))+1,0,2,CROQUIS!$C$98-2,2,0)))*CROQUIS!$C$155)+IF(CROQUIS!$C$92="X",0,0)),-1000)</f>
        <v>-1000</v>
      </c>
      <c r="BK223">
        <f>IF(AND(CROQUIS!$C$88=1,CROQUIS!$C$134&gt;0),((CROQUIS!$C$157+(IF(CROQUIS!$C$92="X",CHOOSE(IF(INT(($A223-1)/5)&gt;MAX((MIN(80,MAX(1,INT(((CROQUIS!$C$97)-CROQUIS!$C$107)/MAX(CROQUIS!$C$134,1))+1)))-1,0),0,MOD($A223-1,5))+1,0,2,CROQUIS!$C$98-2,2,0),((CROQUIS!$C$107/2+(((CROQUIS!$C$97)-CROQUIS!$C$107)-(MIN(80,MAX(1,INT(((CROQUIS!$C$97)-CROQUIS!$C$107)/MAX(CROQUIS!$C$134,1))+1))-1)*CROQUIS!$C$134)/2)+MIN(INT(($A223-1)/5),MAX((MIN(80,MAX(1,INT(((CROQUIS!$C$97)-CROQUIS!$C$107)/MAX(CROQUIS!$C$134,1))+1)))-1,0))*CROQUIS!$C$134)))*CROQUIS!$C$155)+IF(CROQUIS!$C$92="X",0,0)),-1000)</f>
        <v>-1000</v>
      </c>
      <c r="BL223">
        <f>IF(AND(CROQUIS!$C$88=1,CROQUIS!$C$91=0,CROQUIS!$C$130&gt;0,OR(CROQUIS!$C$103=1,CROQUIS!$C$142=1)),((CROQUIS!$C$156+(IF(CROQUIS!$C$92="X",CHOOSE(IF(INT(($A223-1)/5)&gt;MAX((MIN(80,MAX(1,INT(((CROQUIS!$C$98)-CROQUIS!$C$107)/MAX(CROQUIS!$C$130,1))+1)))-1,0),0,MOD($A223-1,5))+1,0,IF(CROQUIS!$C$103=1,-12,2),CROQUIS!$C$107/2+CROQUIS!$C$140,IF(CROQUIS!$C$103=1,-12,2),0),((CROQUIS!$C$107/2+(((CROQUIS!$C$98)-CROQUIS!$C$107)-(MIN(80,MAX(1,INT(((CROQUIS!$C$98)-CROQUIS!$C$107)/MAX(CROQUIS!$C$130,1))+1))-1)*CROQUIS!$C$130)/2)+MIN(INT(($A223-1)/5),MAX((MIN(80,MAX(1,INT(((CROQUIS!$C$98)-CROQUIS!$C$107)/MAX(CROQUIS!$C$130,1))+1)))-1,0))*CROQUIS!$C$130)))*CROQUIS!$C$155)+IF(CROQUIS!$C$92="X",0,0)),-1000)</f>
        <v>-1000</v>
      </c>
      <c r="BM22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223-1)/5),MAX((MIN(80,MAX(1,INT(((CROQUIS!$C$98)-CROQUIS!$C$107)/MAX(CROQUIS!$C$130,1))+1)))-1,0))*CROQUIS!$C$130),CHOOSE(IF(INT(($A223-1)/5)&gt;MAX((MIN(80,MAX(1,INT(((CROQUIS!$C$98)-CROQUIS!$C$107)/MAX(CROQUIS!$C$130,1))+1)))-1,0),0,MOD($A223-1,5))+1,0,IF(CROQUIS!$C$103=1,-12,2),CROQUIS!$C$107/2+CROQUIS!$C$140,IF(CROQUIS!$C$103=1,-12,2),0)))*CROQUIS!$C$155)+IF(CROQUIS!$C$92="X",0,0)),-1000)</f>
        <v>-1000</v>
      </c>
      <c r="BN223">
        <f>IF(AND(CROQUIS!$C$88=1,CROQUIS!$C$91=0,CROQUIS!$C$130&gt;0,OR(CROQUIS!$C$104=1,CROQUIS!$C$142=1)),((CROQUIS!$C$156+(IF(CROQUIS!$C$92="X",CHOOSE(IF(INT(($A223-1)/5)&gt;MAX((MIN(80,MAX(1,INT(((CROQUIS!$C$98)-CROQUIS!$C$107)/MAX(CROQUIS!$C$130,1))+1)))-1,0),0,MOD($A223-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223-1)/5),MAX((MIN(80,MAX(1,INT(((CROQUIS!$C$98)-CROQUIS!$C$107)/MAX(CROQUIS!$C$130,1))+1)))-1,0))*CROQUIS!$C$130)))*CROQUIS!$C$155)+IF(CROQUIS!$C$92="X",0,0)),-1000)</f>
        <v>-1000</v>
      </c>
      <c r="BO22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223-1)/5),MAX((MIN(80,MAX(1,INT(((CROQUIS!$C$98)-CROQUIS!$C$107)/MAX(CROQUIS!$C$130,1))+1)))-1,0))*CROQUIS!$C$130),CHOOSE(IF(INT(($A223-1)/5)&gt;MAX((MIN(80,MAX(1,INT(((CROQUIS!$C$98)-CROQUIS!$C$107)/MAX(CROQUIS!$C$130,1))+1)))-1,0),0,MOD($A223-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2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223-1)/5),MAX((MIN(80,MAX(1,INT(((CROQUIS!$C$97)-CROQUIS!$C$107)/MAX(CROQUIS!$C$138,1))+1)))-1,0))*CROQUIS!$C$138),CHOOSE(IF(INT(($A223-1)/5)&gt;MAX((MIN(80,MAX(1,INT(((CROQUIS!$C$97)-CROQUIS!$C$107)/MAX(CROQUIS!$C$138,1))+1)))-1,0),0,MOD($A223-1,5))+1,0,IF(CROQUIS!$C$105=1,-12,2),CROQUIS!$C$107/2+CROQUIS!$C$141,IF(CROQUIS!$C$105=1,-12,2),0)))*CROQUIS!$C$155)+IF(CROQUIS!$C$92="X",0,0)),-1000)</f>
        <v>-1000</v>
      </c>
      <c r="BQ223">
        <f>IF(AND(CROQUIS!$C$88=1,CROQUIS!$C$91=0,CROQUIS!$C$138&gt;0,OR(CROQUIS!$C$105=1,CROQUIS!$C$143=1)),((CROQUIS!$C$157+(IF(CROQUIS!$C$92="X",CHOOSE(IF(INT(($A223-1)/5)&gt;MAX((MIN(80,MAX(1,INT(((CROQUIS!$C$97)-CROQUIS!$C$107)/MAX(CROQUIS!$C$138,1))+1)))-1,0),0,MOD($A223-1,5))+1,0,IF(CROQUIS!$C$105=1,-12,2),CROQUIS!$C$107/2+CROQUIS!$C$141,IF(CROQUIS!$C$105=1,-12,2),0),((CROQUIS!$C$107/2+(((CROQUIS!$C$97)-CROQUIS!$C$107)-(MIN(80,MAX(1,INT(((CROQUIS!$C$97)-CROQUIS!$C$107)/MAX(CROQUIS!$C$138,1))+1))-1)*CROQUIS!$C$138)/2)+MIN(INT(($A223-1)/5),MAX((MIN(80,MAX(1,INT(((CROQUIS!$C$97)-CROQUIS!$C$107)/MAX(CROQUIS!$C$138,1))+1)))-1,0))*CROQUIS!$C$138)))*CROQUIS!$C$155)+IF(CROQUIS!$C$92="X",0,0)),-1000)</f>
        <v>-1000</v>
      </c>
      <c r="BR22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223-1)/5),MAX((MIN(80,MAX(1,INT(((CROQUIS!$C$97)-CROQUIS!$C$107)/MAX(CROQUIS!$C$138,1))+1)))-1,0))*CROQUIS!$C$138),CHOOSE(IF(INT(($A223-1)/5)&gt;MAX((MIN(80,MAX(1,INT(((CROQUIS!$C$97)-CROQUIS!$C$107)/MAX(CROQUIS!$C$138,1))+1)))-1,0),0,MOD($A223-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23">
        <f>IF(AND(CROQUIS!$C$88=1,CROQUIS!$C$91=0,CROQUIS!$C$138&gt;0,OR(CROQUIS!$C$106=1,CROQUIS!$C$143=1)),((CROQUIS!$C$157+(IF(CROQUIS!$C$92="X",CHOOSE(IF(INT(($A223-1)/5)&gt;MAX((MIN(80,MAX(1,INT(((CROQUIS!$C$97)-CROQUIS!$C$107)/MAX(CROQUIS!$C$138,1))+1)))-1,0),0,MOD($A223-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223-1)/5),MAX((MIN(80,MAX(1,INT(((CROQUIS!$C$97)-CROQUIS!$C$107)/MAX(CROQUIS!$C$138,1))+1)))-1,0))*CROQUIS!$C$138)))*CROQUIS!$C$155)+IF(CROQUIS!$C$92="X",0,0)),-1000)</f>
        <v>-1000</v>
      </c>
      <c r="BT223">
        <f>IF(AND(CROQUIS!$C$88=1,CROQUIS!$C$91=1,CROQUIS!$C$130&gt;0),((CROQUIS!$C$156+(IF(CROQUIS!$C$92="X",CHOOSE(IF(INT(($A223-1)/5)&gt;MAX((MIN(80,MAX(1,INT(((CROQUIS!$C$98)-CROQUIS!$C$107)/MAX(CROQUIS!$C$130,1))+1)))-1,0),0,MOD($A223-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223-1)/5),MAX((MIN(80,MAX(1,INT(((CROQUIS!$C$98)-CROQUIS!$C$107)/MAX(CROQUIS!$C$130,1))+1)))-1,0))*CROQUIS!$C$130)))*CROQUIS!$C$155)+IF(CROQUIS!$C$92="X",0,0)),-1000)</f>
        <v>-1000</v>
      </c>
      <c r="BU223">
        <f>IF(AND(CROQUIS!$C$88=1,CROQUIS!$C$91=1,CROQUIS!$C$130&gt;0),((CROQUIS!$C$157+(IF(CROQUIS!$C$92="X",((CROQUIS!$C$107/2+(((CROQUIS!$C$98)-CROQUIS!$C$107)-(MIN(80,MAX(1,INT(((CROQUIS!$C$98)-CROQUIS!$C$107)/MAX(CROQUIS!$C$130,1))+1))-1)*CROQUIS!$C$130)/2)+MIN(INT(($A223-1)/5),MAX((MIN(80,MAX(1,INT(((CROQUIS!$C$98)-CROQUIS!$C$107)/MAX(CROQUIS!$C$130,1))+1)))-1,0))*CROQUIS!$C$130),CHOOSE(IF(INT(($A223-1)/5)&gt;MAX((MIN(80,MAX(1,INT(((CROQUIS!$C$98)-CROQUIS!$C$107)/MAX(CROQUIS!$C$130,1))+1)))-1,0),0,MOD($A223-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24">
      <c r="A224" t="n">
        <v>217</v>
      </c>
      <c r="BH224">
        <f>IF(AND(CROQUIS!$C$88=1,CROQUIS!$C$126&gt;0),((CROQUIS!$C$156+(IF(CROQUIS!$C$92="X",CHOOSE(IF(INT(($A224-1)/5)&gt;MAX((MIN(80,MAX(1,INT(((CROQUIS!$C$98)-CROQUIS!$C$107)/MAX(CROQUIS!$C$126,1))+1)))-1,0),0,MOD($A224-1,5))+1,0,2,CROQUIS!$C$97-2,2,0),((CROQUIS!$C$107/2+(((CROQUIS!$C$98)-CROQUIS!$C$107)-(MIN(80,MAX(1,INT(((CROQUIS!$C$98)-CROQUIS!$C$107)/MAX(CROQUIS!$C$126,1))+1))-1)*CROQUIS!$C$126)/2)+MIN(INT(($A224-1)/5),MAX((MIN(80,MAX(1,INT(((CROQUIS!$C$98)-CROQUIS!$C$107)/MAX(CROQUIS!$C$126,1))+1)))-1,0))*CROQUIS!$C$126)))*CROQUIS!$C$155)+IF(CROQUIS!$C$92="X",0,0)),-1000)</f>
        <v>-1000</v>
      </c>
      <c r="BI224">
        <f>IF(AND(CROQUIS!$C$88=1,CROQUIS!$C$126&gt;0),((CROQUIS!$C$157+(IF(CROQUIS!$C$92="X",((CROQUIS!$C$107/2+(((CROQUIS!$C$98)-CROQUIS!$C$107)-(MIN(80,MAX(1,INT(((CROQUIS!$C$98)-CROQUIS!$C$107)/MAX(CROQUIS!$C$126,1))+1))-1)*CROQUIS!$C$126)/2)+MIN(INT(($A224-1)/5),MAX((MIN(80,MAX(1,INT(((CROQUIS!$C$98)-CROQUIS!$C$107)/MAX(CROQUIS!$C$126,1))+1)))-1,0))*CROQUIS!$C$126),CHOOSE(IF(INT(($A224-1)/5)&gt;MAX((MIN(80,MAX(1,INT(((CROQUIS!$C$98)-CROQUIS!$C$107)/MAX(CROQUIS!$C$126,1))+1)))-1,0),0,MOD($A224-1,5))+1,0,2,CROQUIS!$C$97-2,2,0)))*CROQUIS!$C$155)+IF(CROQUIS!$C$92="X",0,0)),-1000)</f>
        <v>-1000</v>
      </c>
      <c r="BJ224">
        <f>IF(AND(CROQUIS!$C$88=1,CROQUIS!$C$134&gt;0),((CROQUIS!$C$156+(IF(CROQUIS!$C$92="X",((CROQUIS!$C$107/2+(((CROQUIS!$C$97)-CROQUIS!$C$107)-(MIN(80,MAX(1,INT(((CROQUIS!$C$97)-CROQUIS!$C$107)/MAX(CROQUIS!$C$134,1))+1))-1)*CROQUIS!$C$134)/2)+MIN(INT(($A224-1)/5),MAX((MIN(80,MAX(1,INT(((CROQUIS!$C$97)-CROQUIS!$C$107)/MAX(CROQUIS!$C$134,1))+1)))-1,0))*CROQUIS!$C$134),CHOOSE(IF(INT(($A224-1)/5)&gt;MAX((MIN(80,MAX(1,INT(((CROQUIS!$C$97)-CROQUIS!$C$107)/MAX(CROQUIS!$C$134,1))+1)))-1,0),0,MOD($A224-1,5))+1,0,2,CROQUIS!$C$98-2,2,0)))*CROQUIS!$C$155)+IF(CROQUIS!$C$92="X",0,0)),-1000)</f>
        <v>-1000</v>
      </c>
      <c r="BK224">
        <f>IF(AND(CROQUIS!$C$88=1,CROQUIS!$C$134&gt;0),((CROQUIS!$C$157+(IF(CROQUIS!$C$92="X",CHOOSE(IF(INT(($A224-1)/5)&gt;MAX((MIN(80,MAX(1,INT(((CROQUIS!$C$97)-CROQUIS!$C$107)/MAX(CROQUIS!$C$134,1))+1)))-1,0),0,MOD($A224-1,5))+1,0,2,CROQUIS!$C$98-2,2,0),((CROQUIS!$C$107/2+(((CROQUIS!$C$97)-CROQUIS!$C$107)-(MIN(80,MAX(1,INT(((CROQUIS!$C$97)-CROQUIS!$C$107)/MAX(CROQUIS!$C$134,1))+1))-1)*CROQUIS!$C$134)/2)+MIN(INT(($A224-1)/5),MAX((MIN(80,MAX(1,INT(((CROQUIS!$C$97)-CROQUIS!$C$107)/MAX(CROQUIS!$C$134,1))+1)))-1,0))*CROQUIS!$C$134)))*CROQUIS!$C$155)+IF(CROQUIS!$C$92="X",0,0)),-1000)</f>
        <v>-1000</v>
      </c>
      <c r="BL224">
        <f>IF(AND(CROQUIS!$C$88=1,CROQUIS!$C$91=0,CROQUIS!$C$130&gt;0,OR(CROQUIS!$C$103=1,CROQUIS!$C$142=1)),((CROQUIS!$C$156+(IF(CROQUIS!$C$92="X",CHOOSE(IF(INT(($A224-1)/5)&gt;MAX((MIN(80,MAX(1,INT(((CROQUIS!$C$98)-CROQUIS!$C$107)/MAX(CROQUIS!$C$130,1))+1)))-1,0),0,MOD($A224-1,5))+1,0,IF(CROQUIS!$C$103=1,-12,2),CROQUIS!$C$107/2+CROQUIS!$C$140,IF(CROQUIS!$C$103=1,-12,2),0),((CROQUIS!$C$107/2+(((CROQUIS!$C$98)-CROQUIS!$C$107)-(MIN(80,MAX(1,INT(((CROQUIS!$C$98)-CROQUIS!$C$107)/MAX(CROQUIS!$C$130,1))+1))-1)*CROQUIS!$C$130)/2)+MIN(INT(($A224-1)/5),MAX((MIN(80,MAX(1,INT(((CROQUIS!$C$98)-CROQUIS!$C$107)/MAX(CROQUIS!$C$130,1))+1)))-1,0))*CROQUIS!$C$130)))*CROQUIS!$C$155)+IF(CROQUIS!$C$92="X",0,0)),-1000)</f>
        <v>-1000</v>
      </c>
      <c r="BM22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224-1)/5),MAX((MIN(80,MAX(1,INT(((CROQUIS!$C$98)-CROQUIS!$C$107)/MAX(CROQUIS!$C$130,1))+1)))-1,0))*CROQUIS!$C$130),CHOOSE(IF(INT(($A224-1)/5)&gt;MAX((MIN(80,MAX(1,INT(((CROQUIS!$C$98)-CROQUIS!$C$107)/MAX(CROQUIS!$C$130,1))+1)))-1,0),0,MOD($A224-1,5))+1,0,IF(CROQUIS!$C$103=1,-12,2),CROQUIS!$C$107/2+CROQUIS!$C$140,IF(CROQUIS!$C$103=1,-12,2),0)))*CROQUIS!$C$155)+IF(CROQUIS!$C$92="X",0,0)),-1000)</f>
        <v>-1000</v>
      </c>
      <c r="BN224">
        <f>IF(AND(CROQUIS!$C$88=1,CROQUIS!$C$91=0,CROQUIS!$C$130&gt;0,OR(CROQUIS!$C$104=1,CROQUIS!$C$142=1)),((CROQUIS!$C$156+(IF(CROQUIS!$C$92="X",CHOOSE(IF(INT(($A224-1)/5)&gt;MAX((MIN(80,MAX(1,INT(((CROQUIS!$C$98)-CROQUIS!$C$107)/MAX(CROQUIS!$C$130,1))+1)))-1,0),0,MOD($A224-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224-1)/5),MAX((MIN(80,MAX(1,INT(((CROQUIS!$C$98)-CROQUIS!$C$107)/MAX(CROQUIS!$C$130,1))+1)))-1,0))*CROQUIS!$C$130)))*CROQUIS!$C$155)+IF(CROQUIS!$C$92="X",0,0)),-1000)</f>
        <v>-1000</v>
      </c>
      <c r="BO22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224-1)/5),MAX((MIN(80,MAX(1,INT(((CROQUIS!$C$98)-CROQUIS!$C$107)/MAX(CROQUIS!$C$130,1))+1)))-1,0))*CROQUIS!$C$130),CHOOSE(IF(INT(($A224-1)/5)&gt;MAX((MIN(80,MAX(1,INT(((CROQUIS!$C$98)-CROQUIS!$C$107)/MAX(CROQUIS!$C$130,1))+1)))-1,0),0,MOD($A224-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2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224-1)/5),MAX((MIN(80,MAX(1,INT(((CROQUIS!$C$97)-CROQUIS!$C$107)/MAX(CROQUIS!$C$138,1))+1)))-1,0))*CROQUIS!$C$138),CHOOSE(IF(INT(($A224-1)/5)&gt;MAX((MIN(80,MAX(1,INT(((CROQUIS!$C$97)-CROQUIS!$C$107)/MAX(CROQUIS!$C$138,1))+1)))-1,0),0,MOD($A224-1,5))+1,0,IF(CROQUIS!$C$105=1,-12,2),CROQUIS!$C$107/2+CROQUIS!$C$141,IF(CROQUIS!$C$105=1,-12,2),0)))*CROQUIS!$C$155)+IF(CROQUIS!$C$92="X",0,0)),-1000)</f>
        <v>-1000</v>
      </c>
      <c r="BQ224">
        <f>IF(AND(CROQUIS!$C$88=1,CROQUIS!$C$91=0,CROQUIS!$C$138&gt;0,OR(CROQUIS!$C$105=1,CROQUIS!$C$143=1)),((CROQUIS!$C$157+(IF(CROQUIS!$C$92="X",CHOOSE(IF(INT(($A224-1)/5)&gt;MAX((MIN(80,MAX(1,INT(((CROQUIS!$C$97)-CROQUIS!$C$107)/MAX(CROQUIS!$C$138,1))+1)))-1,0),0,MOD($A224-1,5))+1,0,IF(CROQUIS!$C$105=1,-12,2),CROQUIS!$C$107/2+CROQUIS!$C$141,IF(CROQUIS!$C$105=1,-12,2),0),((CROQUIS!$C$107/2+(((CROQUIS!$C$97)-CROQUIS!$C$107)-(MIN(80,MAX(1,INT(((CROQUIS!$C$97)-CROQUIS!$C$107)/MAX(CROQUIS!$C$138,1))+1))-1)*CROQUIS!$C$138)/2)+MIN(INT(($A224-1)/5),MAX((MIN(80,MAX(1,INT(((CROQUIS!$C$97)-CROQUIS!$C$107)/MAX(CROQUIS!$C$138,1))+1)))-1,0))*CROQUIS!$C$138)))*CROQUIS!$C$155)+IF(CROQUIS!$C$92="X",0,0)),-1000)</f>
        <v>-1000</v>
      </c>
      <c r="BR22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224-1)/5),MAX((MIN(80,MAX(1,INT(((CROQUIS!$C$97)-CROQUIS!$C$107)/MAX(CROQUIS!$C$138,1))+1)))-1,0))*CROQUIS!$C$138),CHOOSE(IF(INT(($A224-1)/5)&gt;MAX((MIN(80,MAX(1,INT(((CROQUIS!$C$97)-CROQUIS!$C$107)/MAX(CROQUIS!$C$138,1))+1)))-1,0),0,MOD($A224-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24">
        <f>IF(AND(CROQUIS!$C$88=1,CROQUIS!$C$91=0,CROQUIS!$C$138&gt;0,OR(CROQUIS!$C$106=1,CROQUIS!$C$143=1)),((CROQUIS!$C$157+(IF(CROQUIS!$C$92="X",CHOOSE(IF(INT(($A224-1)/5)&gt;MAX((MIN(80,MAX(1,INT(((CROQUIS!$C$97)-CROQUIS!$C$107)/MAX(CROQUIS!$C$138,1))+1)))-1,0),0,MOD($A224-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224-1)/5),MAX((MIN(80,MAX(1,INT(((CROQUIS!$C$97)-CROQUIS!$C$107)/MAX(CROQUIS!$C$138,1))+1)))-1,0))*CROQUIS!$C$138)))*CROQUIS!$C$155)+IF(CROQUIS!$C$92="X",0,0)),-1000)</f>
        <v>-1000</v>
      </c>
      <c r="BT224">
        <f>IF(AND(CROQUIS!$C$88=1,CROQUIS!$C$91=1,CROQUIS!$C$130&gt;0),((CROQUIS!$C$156+(IF(CROQUIS!$C$92="X",CHOOSE(IF(INT(($A224-1)/5)&gt;MAX((MIN(80,MAX(1,INT(((CROQUIS!$C$98)-CROQUIS!$C$107)/MAX(CROQUIS!$C$130,1))+1)))-1,0),0,MOD($A224-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224-1)/5),MAX((MIN(80,MAX(1,INT(((CROQUIS!$C$98)-CROQUIS!$C$107)/MAX(CROQUIS!$C$130,1))+1)))-1,0))*CROQUIS!$C$130)))*CROQUIS!$C$155)+IF(CROQUIS!$C$92="X",0,0)),-1000)</f>
        <v>-1000</v>
      </c>
      <c r="BU224">
        <f>IF(AND(CROQUIS!$C$88=1,CROQUIS!$C$91=1,CROQUIS!$C$130&gt;0),((CROQUIS!$C$157+(IF(CROQUIS!$C$92="X",((CROQUIS!$C$107/2+(((CROQUIS!$C$98)-CROQUIS!$C$107)-(MIN(80,MAX(1,INT(((CROQUIS!$C$98)-CROQUIS!$C$107)/MAX(CROQUIS!$C$130,1))+1))-1)*CROQUIS!$C$130)/2)+MIN(INT(($A224-1)/5),MAX((MIN(80,MAX(1,INT(((CROQUIS!$C$98)-CROQUIS!$C$107)/MAX(CROQUIS!$C$130,1))+1)))-1,0))*CROQUIS!$C$130),CHOOSE(IF(INT(($A224-1)/5)&gt;MAX((MIN(80,MAX(1,INT(((CROQUIS!$C$98)-CROQUIS!$C$107)/MAX(CROQUIS!$C$130,1))+1)))-1,0),0,MOD($A224-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25">
      <c r="A225" t="n">
        <v>218</v>
      </c>
      <c r="BH225">
        <f>IF(AND(CROQUIS!$C$88=1,CROQUIS!$C$126&gt;0),((CROQUIS!$C$156+(IF(CROQUIS!$C$92="X",CHOOSE(IF(INT(($A225-1)/5)&gt;MAX((MIN(80,MAX(1,INT(((CROQUIS!$C$98)-CROQUIS!$C$107)/MAX(CROQUIS!$C$126,1))+1)))-1,0),0,MOD($A225-1,5))+1,0,2,CROQUIS!$C$97-2,2,0),((CROQUIS!$C$107/2+(((CROQUIS!$C$98)-CROQUIS!$C$107)-(MIN(80,MAX(1,INT(((CROQUIS!$C$98)-CROQUIS!$C$107)/MAX(CROQUIS!$C$126,1))+1))-1)*CROQUIS!$C$126)/2)+MIN(INT(($A225-1)/5),MAX((MIN(80,MAX(1,INT(((CROQUIS!$C$98)-CROQUIS!$C$107)/MAX(CROQUIS!$C$126,1))+1)))-1,0))*CROQUIS!$C$126)))*CROQUIS!$C$155)+IF(CROQUIS!$C$92="X",0,0)),-1000)</f>
        <v>-1000</v>
      </c>
      <c r="BI225">
        <f>IF(AND(CROQUIS!$C$88=1,CROQUIS!$C$126&gt;0),((CROQUIS!$C$157+(IF(CROQUIS!$C$92="X",((CROQUIS!$C$107/2+(((CROQUIS!$C$98)-CROQUIS!$C$107)-(MIN(80,MAX(1,INT(((CROQUIS!$C$98)-CROQUIS!$C$107)/MAX(CROQUIS!$C$126,1))+1))-1)*CROQUIS!$C$126)/2)+MIN(INT(($A225-1)/5),MAX((MIN(80,MAX(1,INT(((CROQUIS!$C$98)-CROQUIS!$C$107)/MAX(CROQUIS!$C$126,1))+1)))-1,0))*CROQUIS!$C$126),CHOOSE(IF(INT(($A225-1)/5)&gt;MAX((MIN(80,MAX(1,INT(((CROQUIS!$C$98)-CROQUIS!$C$107)/MAX(CROQUIS!$C$126,1))+1)))-1,0),0,MOD($A225-1,5))+1,0,2,CROQUIS!$C$97-2,2,0)))*CROQUIS!$C$155)+IF(CROQUIS!$C$92="X",0,0)),-1000)</f>
        <v>-1000</v>
      </c>
      <c r="BJ225">
        <f>IF(AND(CROQUIS!$C$88=1,CROQUIS!$C$134&gt;0),((CROQUIS!$C$156+(IF(CROQUIS!$C$92="X",((CROQUIS!$C$107/2+(((CROQUIS!$C$97)-CROQUIS!$C$107)-(MIN(80,MAX(1,INT(((CROQUIS!$C$97)-CROQUIS!$C$107)/MAX(CROQUIS!$C$134,1))+1))-1)*CROQUIS!$C$134)/2)+MIN(INT(($A225-1)/5),MAX((MIN(80,MAX(1,INT(((CROQUIS!$C$97)-CROQUIS!$C$107)/MAX(CROQUIS!$C$134,1))+1)))-1,0))*CROQUIS!$C$134),CHOOSE(IF(INT(($A225-1)/5)&gt;MAX((MIN(80,MAX(1,INT(((CROQUIS!$C$97)-CROQUIS!$C$107)/MAX(CROQUIS!$C$134,1))+1)))-1,0),0,MOD($A225-1,5))+1,0,2,CROQUIS!$C$98-2,2,0)))*CROQUIS!$C$155)+IF(CROQUIS!$C$92="X",0,0)),-1000)</f>
        <v>-1000</v>
      </c>
      <c r="BK225">
        <f>IF(AND(CROQUIS!$C$88=1,CROQUIS!$C$134&gt;0),((CROQUIS!$C$157+(IF(CROQUIS!$C$92="X",CHOOSE(IF(INT(($A225-1)/5)&gt;MAX((MIN(80,MAX(1,INT(((CROQUIS!$C$97)-CROQUIS!$C$107)/MAX(CROQUIS!$C$134,1))+1)))-1,0),0,MOD($A225-1,5))+1,0,2,CROQUIS!$C$98-2,2,0),((CROQUIS!$C$107/2+(((CROQUIS!$C$97)-CROQUIS!$C$107)-(MIN(80,MAX(1,INT(((CROQUIS!$C$97)-CROQUIS!$C$107)/MAX(CROQUIS!$C$134,1))+1))-1)*CROQUIS!$C$134)/2)+MIN(INT(($A225-1)/5),MAX((MIN(80,MAX(1,INT(((CROQUIS!$C$97)-CROQUIS!$C$107)/MAX(CROQUIS!$C$134,1))+1)))-1,0))*CROQUIS!$C$134)))*CROQUIS!$C$155)+IF(CROQUIS!$C$92="X",0,0)),-1000)</f>
        <v>-1000</v>
      </c>
      <c r="BL225">
        <f>IF(AND(CROQUIS!$C$88=1,CROQUIS!$C$91=0,CROQUIS!$C$130&gt;0,OR(CROQUIS!$C$103=1,CROQUIS!$C$142=1)),((CROQUIS!$C$156+(IF(CROQUIS!$C$92="X",CHOOSE(IF(INT(($A225-1)/5)&gt;MAX((MIN(80,MAX(1,INT(((CROQUIS!$C$98)-CROQUIS!$C$107)/MAX(CROQUIS!$C$130,1))+1)))-1,0),0,MOD($A225-1,5))+1,0,IF(CROQUIS!$C$103=1,-12,2),CROQUIS!$C$107/2+CROQUIS!$C$140,IF(CROQUIS!$C$103=1,-12,2),0),((CROQUIS!$C$107/2+(((CROQUIS!$C$98)-CROQUIS!$C$107)-(MIN(80,MAX(1,INT(((CROQUIS!$C$98)-CROQUIS!$C$107)/MAX(CROQUIS!$C$130,1))+1))-1)*CROQUIS!$C$130)/2)+MIN(INT(($A225-1)/5),MAX((MIN(80,MAX(1,INT(((CROQUIS!$C$98)-CROQUIS!$C$107)/MAX(CROQUIS!$C$130,1))+1)))-1,0))*CROQUIS!$C$130)))*CROQUIS!$C$155)+IF(CROQUIS!$C$92="X",0,0)),-1000)</f>
        <v>-1000</v>
      </c>
      <c r="BM22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225-1)/5),MAX((MIN(80,MAX(1,INT(((CROQUIS!$C$98)-CROQUIS!$C$107)/MAX(CROQUIS!$C$130,1))+1)))-1,0))*CROQUIS!$C$130),CHOOSE(IF(INT(($A225-1)/5)&gt;MAX((MIN(80,MAX(1,INT(((CROQUIS!$C$98)-CROQUIS!$C$107)/MAX(CROQUIS!$C$130,1))+1)))-1,0),0,MOD($A225-1,5))+1,0,IF(CROQUIS!$C$103=1,-12,2),CROQUIS!$C$107/2+CROQUIS!$C$140,IF(CROQUIS!$C$103=1,-12,2),0)))*CROQUIS!$C$155)+IF(CROQUIS!$C$92="X",0,0)),-1000)</f>
        <v>-1000</v>
      </c>
      <c r="BN225">
        <f>IF(AND(CROQUIS!$C$88=1,CROQUIS!$C$91=0,CROQUIS!$C$130&gt;0,OR(CROQUIS!$C$104=1,CROQUIS!$C$142=1)),((CROQUIS!$C$156+(IF(CROQUIS!$C$92="X",CHOOSE(IF(INT(($A225-1)/5)&gt;MAX((MIN(80,MAX(1,INT(((CROQUIS!$C$98)-CROQUIS!$C$107)/MAX(CROQUIS!$C$130,1))+1)))-1,0),0,MOD($A225-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225-1)/5),MAX((MIN(80,MAX(1,INT(((CROQUIS!$C$98)-CROQUIS!$C$107)/MAX(CROQUIS!$C$130,1))+1)))-1,0))*CROQUIS!$C$130)))*CROQUIS!$C$155)+IF(CROQUIS!$C$92="X",0,0)),-1000)</f>
        <v>-1000</v>
      </c>
      <c r="BO22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225-1)/5),MAX((MIN(80,MAX(1,INT(((CROQUIS!$C$98)-CROQUIS!$C$107)/MAX(CROQUIS!$C$130,1))+1)))-1,0))*CROQUIS!$C$130),CHOOSE(IF(INT(($A225-1)/5)&gt;MAX((MIN(80,MAX(1,INT(((CROQUIS!$C$98)-CROQUIS!$C$107)/MAX(CROQUIS!$C$130,1))+1)))-1,0),0,MOD($A225-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2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225-1)/5),MAX((MIN(80,MAX(1,INT(((CROQUIS!$C$97)-CROQUIS!$C$107)/MAX(CROQUIS!$C$138,1))+1)))-1,0))*CROQUIS!$C$138),CHOOSE(IF(INT(($A225-1)/5)&gt;MAX((MIN(80,MAX(1,INT(((CROQUIS!$C$97)-CROQUIS!$C$107)/MAX(CROQUIS!$C$138,1))+1)))-1,0),0,MOD($A225-1,5))+1,0,IF(CROQUIS!$C$105=1,-12,2),CROQUIS!$C$107/2+CROQUIS!$C$141,IF(CROQUIS!$C$105=1,-12,2),0)))*CROQUIS!$C$155)+IF(CROQUIS!$C$92="X",0,0)),-1000)</f>
        <v>-1000</v>
      </c>
      <c r="BQ225">
        <f>IF(AND(CROQUIS!$C$88=1,CROQUIS!$C$91=0,CROQUIS!$C$138&gt;0,OR(CROQUIS!$C$105=1,CROQUIS!$C$143=1)),((CROQUIS!$C$157+(IF(CROQUIS!$C$92="X",CHOOSE(IF(INT(($A225-1)/5)&gt;MAX((MIN(80,MAX(1,INT(((CROQUIS!$C$97)-CROQUIS!$C$107)/MAX(CROQUIS!$C$138,1))+1)))-1,0),0,MOD($A225-1,5))+1,0,IF(CROQUIS!$C$105=1,-12,2),CROQUIS!$C$107/2+CROQUIS!$C$141,IF(CROQUIS!$C$105=1,-12,2),0),((CROQUIS!$C$107/2+(((CROQUIS!$C$97)-CROQUIS!$C$107)-(MIN(80,MAX(1,INT(((CROQUIS!$C$97)-CROQUIS!$C$107)/MAX(CROQUIS!$C$138,1))+1))-1)*CROQUIS!$C$138)/2)+MIN(INT(($A225-1)/5),MAX((MIN(80,MAX(1,INT(((CROQUIS!$C$97)-CROQUIS!$C$107)/MAX(CROQUIS!$C$138,1))+1)))-1,0))*CROQUIS!$C$138)))*CROQUIS!$C$155)+IF(CROQUIS!$C$92="X",0,0)),-1000)</f>
        <v>-1000</v>
      </c>
      <c r="BR22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225-1)/5),MAX((MIN(80,MAX(1,INT(((CROQUIS!$C$97)-CROQUIS!$C$107)/MAX(CROQUIS!$C$138,1))+1)))-1,0))*CROQUIS!$C$138),CHOOSE(IF(INT(($A225-1)/5)&gt;MAX((MIN(80,MAX(1,INT(((CROQUIS!$C$97)-CROQUIS!$C$107)/MAX(CROQUIS!$C$138,1))+1)))-1,0),0,MOD($A225-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25">
        <f>IF(AND(CROQUIS!$C$88=1,CROQUIS!$C$91=0,CROQUIS!$C$138&gt;0,OR(CROQUIS!$C$106=1,CROQUIS!$C$143=1)),((CROQUIS!$C$157+(IF(CROQUIS!$C$92="X",CHOOSE(IF(INT(($A225-1)/5)&gt;MAX((MIN(80,MAX(1,INT(((CROQUIS!$C$97)-CROQUIS!$C$107)/MAX(CROQUIS!$C$138,1))+1)))-1,0),0,MOD($A225-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225-1)/5),MAX((MIN(80,MAX(1,INT(((CROQUIS!$C$97)-CROQUIS!$C$107)/MAX(CROQUIS!$C$138,1))+1)))-1,0))*CROQUIS!$C$138)))*CROQUIS!$C$155)+IF(CROQUIS!$C$92="X",0,0)),-1000)</f>
        <v>-1000</v>
      </c>
      <c r="BT225">
        <f>IF(AND(CROQUIS!$C$88=1,CROQUIS!$C$91=1,CROQUIS!$C$130&gt;0),((CROQUIS!$C$156+(IF(CROQUIS!$C$92="X",CHOOSE(IF(INT(($A225-1)/5)&gt;MAX((MIN(80,MAX(1,INT(((CROQUIS!$C$98)-CROQUIS!$C$107)/MAX(CROQUIS!$C$130,1))+1)))-1,0),0,MOD($A225-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225-1)/5),MAX((MIN(80,MAX(1,INT(((CROQUIS!$C$98)-CROQUIS!$C$107)/MAX(CROQUIS!$C$130,1))+1)))-1,0))*CROQUIS!$C$130)))*CROQUIS!$C$155)+IF(CROQUIS!$C$92="X",0,0)),-1000)</f>
        <v>-1000</v>
      </c>
      <c r="BU225">
        <f>IF(AND(CROQUIS!$C$88=1,CROQUIS!$C$91=1,CROQUIS!$C$130&gt;0),((CROQUIS!$C$157+(IF(CROQUIS!$C$92="X",((CROQUIS!$C$107/2+(((CROQUIS!$C$98)-CROQUIS!$C$107)-(MIN(80,MAX(1,INT(((CROQUIS!$C$98)-CROQUIS!$C$107)/MAX(CROQUIS!$C$130,1))+1))-1)*CROQUIS!$C$130)/2)+MIN(INT(($A225-1)/5),MAX((MIN(80,MAX(1,INT(((CROQUIS!$C$98)-CROQUIS!$C$107)/MAX(CROQUIS!$C$130,1))+1)))-1,0))*CROQUIS!$C$130),CHOOSE(IF(INT(($A225-1)/5)&gt;MAX((MIN(80,MAX(1,INT(((CROQUIS!$C$98)-CROQUIS!$C$107)/MAX(CROQUIS!$C$130,1))+1)))-1,0),0,MOD($A225-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26">
      <c r="A226" t="n">
        <v>219</v>
      </c>
      <c r="BH226">
        <f>IF(AND(CROQUIS!$C$88=1,CROQUIS!$C$126&gt;0),((CROQUIS!$C$156+(IF(CROQUIS!$C$92="X",CHOOSE(IF(INT(($A226-1)/5)&gt;MAX((MIN(80,MAX(1,INT(((CROQUIS!$C$98)-CROQUIS!$C$107)/MAX(CROQUIS!$C$126,1))+1)))-1,0),0,MOD($A226-1,5))+1,0,2,CROQUIS!$C$97-2,2,0),((CROQUIS!$C$107/2+(((CROQUIS!$C$98)-CROQUIS!$C$107)-(MIN(80,MAX(1,INT(((CROQUIS!$C$98)-CROQUIS!$C$107)/MAX(CROQUIS!$C$126,1))+1))-1)*CROQUIS!$C$126)/2)+MIN(INT(($A226-1)/5),MAX((MIN(80,MAX(1,INT(((CROQUIS!$C$98)-CROQUIS!$C$107)/MAX(CROQUIS!$C$126,1))+1)))-1,0))*CROQUIS!$C$126)))*CROQUIS!$C$155)+IF(CROQUIS!$C$92="X",0,0)),-1000)</f>
        <v>-1000</v>
      </c>
      <c r="BI226">
        <f>IF(AND(CROQUIS!$C$88=1,CROQUIS!$C$126&gt;0),((CROQUIS!$C$157+(IF(CROQUIS!$C$92="X",((CROQUIS!$C$107/2+(((CROQUIS!$C$98)-CROQUIS!$C$107)-(MIN(80,MAX(1,INT(((CROQUIS!$C$98)-CROQUIS!$C$107)/MAX(CROQUIS!$C$126,1))+1))-1)*CROQUIS!$C$126)/2)+MIN(INT(($A226-1)/5),MAX((MIN(80,MAX(1,INT(((CROQUIS!$C$98)-CROQUIS!$C$107)/MAX(CROQUIS!$C$126,1))+1)))-1,0))*CROQUIS!$C$126),CHOOSE(IF(INT(($A226-1)/5)&gt;MAX((MIN(80,MAX(1,INT(((CROQUIS!$C$98)-CROQUIS!$C$107)/MAX(CROQUIS!$C$126,1))+1)))-1,0),0,MOD($A226-1,5))+1,0,2,CROQUIS!$C$97-2,2,0)))*CROQUIS!$C$155)+IF(CROQUIS!$C$92="X",0,0)),-1000)</f>
        <v>-1000</v>
      </c>
      <c r="BJ226">
        <f>IF(AND(CROQUIS!$C$88=1,CROQUIS!$C$134&gt;0),((CROQUIS!$C$156+(IF(CROQUIS!$C$92="X",((CROQUIS!$C$107/2+(((CROQUIS!$C$97)-CROQUIS!$C$107)-(MIN(80,MAX(1,INT(((CROQUIS!$C$97)-CROQUIS!$C$107)/MAX(CROQUIS!$C$134,1))+1))-1)*CROQUIS!$C$134)/2)+MIN(INT(($A226-1)/5),MAX((MIN(80,MAX(1,INT(((CROQUIS!$C$97)-CROQUIS!$C$107)/MAX(CROQUIS!$C$134,1))+1)))-1,0))*CROQUIS!$C$134),CHOOSE(IF(INT(($A226-1)/5)&gt;MAX((MIN(80,MAX(1,INT(((CROQUIS!$C$97)-CROQUIS!$C$107)/MAX(CROQUIS!$C$134,1))+1)))-1,0),0,MOD($A226-1,5))+1,0,2,CROQUIS!$C$98-2,2,0)))*CROQUIS!$C$155)+IF(CROQUIS!$C$92="X",0,0)),-1000)</f>
        <v>-1000</v>
      </c>
      <c r="BK226">
        <f>IF(AND(CROQUIS!$C$88=1,CROQUIS!$C$134&gt;0),((CROQUIS!$C$157+(IF(CROQUIS!$C$92="X",CHOOSE(IF(INT(($A226-1)/5)&gt;MAX((MIN(80,MAX(1,INT(((CROQUIS!$C$97)-CROQUIS!$C$107)/MAX(CROQUIS!$C$134,1))+1)))-1,0),0,MOD($A226-1,5))+1,0,2,CROQUIS!$C$98-2,2,0),((CROQUIS!$C$107/2+(((CROQUIS!$C$97)-CROQUIS!$C$107)-(MIN(80,MAX(1,INT(((CROQUIS!$C$97)-CROQUIS!$C$107)/MAX(CROQUIS!$C$134,1))+1))-1)*CROQUIS!$C$134)/2)+MIN(INT(($A226-1)/5),MAX((MIN(80,MAX(1,INT(((CROQUIS!$C$97)-CROQUIS!$C$107)/MAX(CROQUIS!$C$134,1))+1)))-1,0))*CROQUIS!$C$134)))*CROQUIS!$C$155)+IF(CROQUIS!$C$92="X",0,0)),-1000)</f>
        <v>-1000</v>
      </c>
      <c r="BL226">
        <f>IF(AND(CROQUIS!$C$88=1,CROQUIS!$C$91=0,CROQUIS!$C$130&gt;0,OR(CROQUIS!$C$103=1,CROQUIS!$C$142=1)),((CROQUIS!$C$156+(IF(CROQUIS!$C$92="X",CHOOSE(IF(INT(($A226-1)/5)&gt;MAX((MIN(80,MAX(1,INT(((CROQUIS!$C$98)-CROQUIS!$C$107)/MAX(CROQUIS!$C$130,1))+1)))-1,0),0,MOD($A226-1,5))+1,0,IF(CROQUIS!$C$103=1,-12,2),CROQUIS!$C$107/2+CROQUIS!$C$140,IF(CROQUIS!$C$103=1,-12,2),0),((CROQUIS!$C$107/2+(((CROQUIS!$C$98)-CROQUIS!$C$107)-(MIN(80,MAX(1,INT(((CROQUIS!$C$98)-CROQUIS!$C$107)/MAX(CROQUIS!$C$130,1))+1))-1)*CROQUIS!$C$130)/2)+MIN(INT(($A226-1)/5),MAX((MIN(80,MAX(1,INT(((CROQUIS!$C$98)-CROQUIS!$C$107)/MAX(CROQUIS!$C$130,1))+1)))-1,0))*CROQUIS!$C$130)))*CROQUIS!$C$155)+IF(CROQUIS!$C$92="X",0,0)),-1000)</f>
        <v>-1000</v>
      </c>
      <c r="BM22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226-1)/5),MAX((MIN(80,MAX(1,INT(((CROQUIS!$C$98)-CROQUIS!$C$107)/MAX(CROQUIS!$C$130,1))+1)))-1,0))*CROQUIS!$C$130),CHOOSE(IF(INT(($A226-1)/5)&gt;MAX((MIN(80,MAX(1,INT(((CROQUIS!$C$98)-CROQUIS!$C$107)/MAX(CROQUIS!$C$130,1))+1)))-1,0),0,MOD($A226-1,5))+1,0,IF(CROQUIS!$C$103=1,-12,2),CROQUIS!$C$107/2+CROQUIS!$C$140,IF(CROQUIS!$C$103=1,-12,2),0)))*CROQUIS!$C$155)+IF(CROQUIS!$C$92="X",0,0)),-1000)</f>
        <v>-1000</v>
      </c>
      <c r="BN226">
        <f>IF(AND(CROQUIS!$C$88=1,CROQUIS!$C$91=0,CROQUIS!$C$130&gt;0,OR(CROQUIS!$C$104=1,CROQUIS!$C$142=1)),((CROQUIS!$C$156+(IF(CROQUIS!$C$92="X",CHOOSE(IF(INT(($A226-1)/5)&gt;MAX((MIN(80,MAX(1,INT(((CROQUIS!$C$98)-CROQUIS!$C$107)/MAX(CROQUIS!$C$130,1))+1)))-1,0),0,MOD($A226-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226-1)/5),MAX((MIN(80,MAX(1,INT(((CROQUIS!$C$98)-CROQUIS!$C$107)/MAX(CROQUIS!$C$130,1))+1)))-1,0))*CROQUIS!$C$130)))*CROQUIS!$C$155)+IF(CROQUIS!$C$92="X",0,0)),-1000)</f>
        <v>-1000</v>
      </c>
      <c r="BO22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226-1)/5),MAX((MIN(80,MAX(1,INT(((CROQUIS!$C$98)-CROQUIS!$C$107)/MAX(CROQUIS!$C$130,1))+1)))-1,0))*CROQUIS!$C$130),CHOOSE(IF(INT(($A226-1)/5)&gt;MAX((MIN(80,MAX(1,INT(((CROQUIS!$C$98)-CROQUIS!$C$107)/MAX(CROQUIS!$C$130,1))+1)))-1,0),0,MOD($A226-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2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226-1)/5),MAX((MIN(80,MAX(1,INT(((CROQUIS!$C$97)-CROQUIS!$C$107)/MAX(CROQUIS!$C$138,1))+1)))-1,0))*CROQUIS!$C$138),CHOOSE(IF(INT(($A226-1)/5)&gt;MAX((MIN(80,MAX(1,INT(((CROQUIS!$C$97)-CROQUIS!$C$107)/MAX(CROQUIS!$C$138,1))+1)))-1,0),0,MOD($A226-1,5))+1,0,IF(CROQUIS!$C$105=1,-12,2),CROQUIS!$C$107/2+CROQUIS!$C$141,IF(CROQUIS!$C$105=1,-12,2),0)))*CROQUIS!$C$155)+IF(CROQUIS!$C$92="X",0,0)),-1000)</f>
        <v>-1000</v>
      </c>
      <c r="BQ226">
        <f>IF(AND(CROQUIS!$C$88=1,CROQUIS!$C$91=0,CROQUIS!$C$138&gt;0,OR(CROQUIS!$C$105=1,CROQUIS!$C$143=1)),((CROQUIS!$C$157+(IF(CROQUIS!$C$92="X",CHOOSE(IF(INT(($A226-1)/5)&gt;MAX((MIN(80,MAX(1,INT(((CROQUIS!$C$97)-CROQUIS!$C$107)/MAX(CROQUIS!$C$138,1))+1)))-1,0),0,MOD($A226-1,5))+1,0,IF(CROQUIS!$C$105=1,-12,2),CROQUIS!$C$107/2+CROQUIS!$C$141,IF(CROQUIS!$C$105=1,-12,2),0),((CROQUIS!$C$107/2+(((CROQUIS!$C$97)-CROQUIS!$C$107)-(MIN(80,MAX(1,INT(((CROQUIS!$C$97)-CROQUIS!$C$107)/MAX(CROQUIS!$C$138,1))+1))-1)*CROQUIS!$C$138)/2)+MIN(INT(($A226-1)/5),MAX((MIN(80,MAX(1,INT(((CROQUIS!$C$97)-CROQUIS!$C$107)/MAX(CROQUIS!$C$138,1))+1)))-1,0))*CROQUIS!$C$138)))*CROQUIS!$C$155)+IF(CROQUIS!$C$92="X",0,0)),-1000)</f>
        <v>-1000</v>
      </c>
      <c r="BR22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226-1)/5),MAX((MIN(80,MAX(1,INT(((CROQUIS!$C$97)-CROQUIS!$C$107)/MAX(CROQUIS!$C$138,1))+1)))-1,0))*CROQUIS!$C$138),CHOOSE(IF(INT(($A226-1)/5)&gt;MAX((MIN(80,MAX(1,INT(((CROQUIS!$C$97)-CROQUIS!$C$107)/MAX(CROQUIS!$C$138,1))+1)))-1,0),0,MOD($A226-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26">
        <f>IF(AND(CROQUIS!$C$88=1,CROQUIS!$C$91=0,CROQUIS!$C$138&gt;0,OR(CROQUIS!$C$106=1,CROQUIS!$C$143=1)),((CROQUIS!$C$157+(IF(CROQUIS!$C$92="X",CHOOSE(IF(INT(($A226-1)/5)&gt;MAX((MIN(80,MAX(1,INT(((CROQUIS!$C$97)-CROQUIS!$C$107)/MAX(CROQUIS!$C$138,1))+1)))-1,0),0,MOD($A226-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226-1)/5),MAX((MIN(80,MAX(1,INT(((CROQUIS!$C$97)-CROQUIS!$C$107)/MAX(CROQUIS!$C$138,1))+1)))-1,0))*CROQUIS!$C$138)))*CROQUIS!$C$155)+IF(CROQUIS!$C$92="X",0,0)),-1000)</f>
        <v>-1000</v>
      </c>
      <c r="BT226">
        <f>IF(AND(CROQUIS!$C$88=1,CROQUIS!$C$91=1,CROQUIS!$C$130&gt;0),((CROQUIS!$C$156+(IF(CROQUIS!$C$92="X",CHOOSE(IF(INT(($A226-1)/5)&gt;MAX((MIN(80,MAX(1,INT(((CROQUIS!$C$98)-CROQUIS!$C$107)/MAX(CROQUIS!$C$130,1))+1)))-1,0),0,MOD($A226-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226-1)/5),MAX((MIN(80,MAX(1,INT(((CROQUIS!$C$98)-CROQUIS!$C$107)/MAX(CROQUIS!$C$130,1))+1)))-1,0))*CROQUIS!$C$130)))*CROQUIS!$C$155)+IF(CROQUIS!$C$92="X",0,0)),-1000)</f>
        <v>-1000</v>
      </c>
      <c r="BU226">
        <f>IF(AND(CROQUIS!$C$88=1,CROQUIS!$C$91=1,CROQUIS!$C$130&gt;0),((CROQUIS!$C$157+(IF(CROQUIS!$C$92="X",((CROQUIS!$C$107/2+(((CROQUIS!$C$98)-CROQUIS!$C$107)-(MIN(80,MAX(1,INT(((CROQUIS!$C$98)-CROQUIS!$C$107)/MAX(CROQUIS!$C$130,1))+1))-1)*CROQUIS!$C$130)/2)+MIN(INT(($A226-1)/5),MAX((MIN(80,MAX(1,INT(((CROQUIS!$C$98)-CROQUIS!$C$107)/MAX(CROQUIS!$C$130,1))+1)))-1,0))*CROQUIS!$C$130),CHOOSE(IF(INT(($A226-1)/5)&gt;MAX((MIN(80,MAX(1,INT(((CROQUIS!$C$98)-CROQUIS!$C$107)/MAX(CROQUIS!$C$130,1))+1)))-1,0),0,MOD($A226-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27">
      <c r="A227" t="n">
        <v>220</v>
      </c>
      <c r="BH227">
        <f>IF(AND(CROQUIS!$C$88=1,CROQUIS!$C$126&gt;0),((CROQUIS!$C$156+(IF(CROQUIS!$C$92="X",CHOOSE(IF(INT(($A227-1)/5)&gt;MAX((MIN(80,MAX(1,INT(((CROQUIS!$C$98)-CROQUIS!$C$107)/MAX(CROQUIS!$C$126,1))+1)))-1,0),0,MOD($A227-1,5))+1,0,2,CROQUIS!$C$97-2,2,0),((CROQUIS!$C$107/2+(((CROQUIS!$C$98)-CROQUIS!$C$107)-(MIN(80,MAX(1,INT(((CROQUIS!$C$98)-CROQUIS!$C$107)/MAX(CROQUIS!$C$126,1))+1))-1)*CROQUIS!$C$126)/2)+MIN(INT(($A227-1)/5),MAX((MIN(80,MAX(1,INT(((CROQUIS!$C$98)-CROQUIS!$C$107)/MAX(CROQUIS!$C$126,1))+1)))-1,0))*CROQUIS!$C$126)))*CROQUIS!$C$155)+IF(CROQUIS!$C$92="X",0,0)),-1000)</f>
        <v>-1000</v>
      </c>
      <c r="BI227">
        <f>IF(AND(CROQUIS!$C$88=1,CROQUIS!$C$126&gt;0),((CROQUIS!$C$157+(IF(CROQUIS!$C$92="X",((CROQUIS!$C$107/2+(((CROQUIS!$C$98)-CROQUIS!$C$107)-(MIN(80,MAX(1,INT(((CROQUIS!$C$98)-CROQUIS!$C$107)/MAX(CROQUIS!$C$126,1))+1))-1)*CROQUIS!$C$126)/2)+MIN(INT(($A227-1)/5),MAX((MIN(80,MAX(1,INT(((CROQUIS!$C$98)-CROQUIS!$C$107)/MAX(CROQUIS!$C$126,1))+1)))-1,0))*CROQUIS!$C$126),CHOOSE(IF(INT(($A227-1)/5)&gt;MAX((MIN(80,MAX(1,INT(((CROQUIS!$C$98)-CROQUIS!$C$107)/MAX(CROQUIS!$C$126,1))+1)))-1,0),0,MOD($A227-1,5))+1,0,2,CROQUIS!$C$97-2,2,0)))*CROQUIS!$C$155)+IF(CROQUIS!$C$92="X",0,0)),-1000)</f>
        <v>-1000</v>
      </c>
      <c r="BJ227">
        <f>IF(AND(CROQUIS!$C$88=1,CROQUIS!$C$134&gt;0),((CROQUIS!$C$156+(IF(CROQUIS!$C$92="X",((CROQUIS!$C$107/2+(((CROQUIS!$C$97)-CROQUIS!$C$107)-(MIN(80,MAX(1,INT(((CROQUIS!$C$97)-CROQUIS!$C$107)/MAX(CROQUIS!$C$134,1))+1))-1)*CROQUIS!$C$134)/2)+MIN(INT(($A227-1)/5),MAX((MIN(80,MAX(1,INT(((CROQUIS!$C$97)-CROQUIS!$C$107)/MAX(CROQUIS!$C$134,1))+1)))-1,0))*CROQUIS!$C$134),CHOOSE(IF(INT(($A227-1)/5)&gt;MAX((MIN(80,MAX(1,INT(((CROQUIS!$C$97)-CROQUIS!$C$107)/MAX(CROQUIS!$C$134,1))+1)))-1,0),0,MOD($A227-1,5))+1,0,2,CROQUIS!$C$98-2,2,0)))*CROQUIS!$C$155)+IF(CROQUIS!$C$92="X",0,0)),-1000)</f>
        <v>-1000</v>
      </c>
      <c r="BK227">
        <f>IF(AND(CROQUIS!$C$88=1,CROQUIS!$C$134&gt;0),((CROQUIS!$C$157+(IF(CROQUIS!$C$92="X",CHOOSE(IF(INT(($A227-1)/5)&gt;MAX((MIN(80,MAX(1,INT(((CROQUIS!$C$97)-CROQUIS!$C$107)/MAX(CROQUIS!$C$134,1))+1)))-1,0),0,MOD($A227-1,5))+1,0,2,CROQUIS!$C$98-2,2,0),((CROQUIS!$C$107/2+(((CROQUIS!$C$97)-CROQUIS!$C$107)-(MIN(80,MAX(1,INT(((CROQUIS!$C$97)-CROQUIS!$C$107)/MAX(CROQUIS!$C$134,1))+1))-1)*CROQUIS!$C$134)/2)+MIN(INT(($A227-1)/5),MAX((MIN(80,MAX(1,INT(((CROQUIS!$C$97)-CROQUIS!$C$107)/MAX(CROQUIS!$C$134,1))+1)))-1,0))*CROQUIS!$C$134)))*CROQUIS!$C$155)+IF(CROQUIS!$C$92="X",0,0)),-1000)</f>
        <v>-1000</v>
      </c>
      <c r="BL227">
        <f>IF(AND(CROQUIS!$C$88=1,CROQUIS!$C$91=0,CROQUIS!$C$130&gt;0,OR(CROQUIS!$C$103=1,CROQUIS!$C$142=1)),((CROQUIS!$C$156+(IF(CROQUIS!$C$92="X",CHOOSE(IF(INT(($A227-1)/5)&gt;MAX((MIN(80,MAX(1,INT(((CROQUIS!$C$98)-CROQUIS!$C$107)/MAX(CROQUIS!$C$130,1))+1)))-1,0),0,MOD($A227-1,5))+1,0,IF(CROQUIS!$C$103=1,-12,2),CROQUIS!$C$107/2+CROQUIS!$C$140,IF(CROQUIS!$C$103=1,-12,2),0),((CROQUIS!$C$107/2+(((CROQUIS!$C$98)-CROQUIS!$C$107)-(MIN(80,MAX(1,INT(((CROQUIS!$C$98)-CROQUIS!$C$107)/MAX(CROQUIS!$C$130,1))+1))-1)*CROQUIS!$C$130)/2)+MIN(INT(($A227-1)/5),MAX((MIN(80,MAX(1,INT(((CROQUIS!$C$98)-CROQUIS!$C$107)/MAX(CROQUIS!$C$130,1))+1)))-1,0))*CROQUIS!$C$130)))*CROQUIS!$C$155)+IF(CROQUIS!$C$92="X",0,0)),-1000)</f>
        <v>-1000</v>
      </c>
      <c r="BM22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227-1)/5),MAX((MIN(80,MAX(1,INT(((CROQUIS!$C$98)-CROQUIS!$C$107)/MAX(CROQUIS!$C$130,1))+1)))-1,0))*CROQUIS!$C$130),CHOOSE(IF(INT(($A227-1)/5)&gt;MAX((MIN(80,MAX(1,INT(((CROQUIS!$C$98)-CROQUIS!$C$107)/MAX(CROQUIS!$C$130,1))+1)))-1,0),0,MOD($A227-1,5))+1,0,IF(CROQUIS!$C$103=1,-12,2),CROQUIS!$C$107/2+CROQUIS!$C$140,IF(CROQUIS!$C$103=1,-12,2),0)))*CROQUIS!$C$155)+IF(CROQUIS!$C$92="X",0,0)),-1000)</f>
        <v>-1000</v>
      </c>
      <c r="BN227">
        <f>IF(AND(CROQUIS!$C$88=1,CROQUIS!$C$91=0,CROQUIS!$C$130&gt;0,OR(CROQUIS!$C$104=1,CROQUIS!$C$142=1)),((CROQUIS!$C$156+(IF(CROQUIS!$C$92="X",CHOOSE(IF(INT(($A227-1)/5)&gt;MAX((MIN(80,MAX(1,INT(((CROQUIS!$C$98)-CROQUIS!$C$107)/MAX(CROQUIS!$C$130,1))+1)))-1,0),0,MOD($A227-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227-1)/5),MAX((MIN(80,MAX(1,INT(((CROQUIS!$C$98)-CROQUIS!$C$107)/MAX(CROQUIS!$C$130,1))+1)))-1,0))*CROQUIS!$C$130)))*CROQUIS!$C$155)+IF(CROQUIS!$C$92="X",0,0)),-1000)</f>
        <v>-1000</v>
      </c>
      <c r="BO22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227-1)/5),MAX((MIN(80,MAX(1,INT(((CROQUIS!$C$98)-CROQUIS!$C$107)/MAX(CROQUIS!$C$130,1))+1)))-1,0))*CROQUIS!$C$130),CHOOSE(IF(INT(($A227-1)/5)&gt;MAX((MIN(80,MAX(1,INT(((CROQUIS!$C$98)-CROQUIS!$C$107)/MAX(CROQUIS!$C$130,1))+1)))-1,0),0,MOD($A227-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2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227-1)/5),MAX((MIN(80,MAX(1,INT(((CROQUIS!$C$97)-CROQUIS!$C$107)/MAX(CROQUIS!$C$138,1))+1)))-1,0))*CROQUIS!$C$138),CHOOSE(IF(INT(($A227-1)/5)&gt;MAX((MIN(80,MAX(1,INT(((CROQUIS!$C$97)-CROQUIS!$C$107)/MAX(CROQUIS!$C$138,1))+1)))-1,0),0,MOD($A227-1,5))+1,0,IF(CROQUIS!$C$105=1,-12,2),CROQUIS!$C$107/2+CROQUIS!$C$141,IF(CROQUIS!$C$105=1,-12,2),0)))*CROQUIS!$C$155)+IF(CROQUIS!$C$92="X",0,0)),-1000)</f>
        <v>-1000</v>
      </c>
      <c r="BQ227">
        <f>IF(AND(CROQUIS!$C$88=1,CROQUIS!$C$91=0,CROQUIS!$C$138&gt;0,OR(CROQUIS!$C$105=1,CROQUIS!$C$143=1)),((CROQUIS!$C$157+(IF(CROQUIS!$C$92="X",CHOOSE(IF(INT(($A227-1)/5)&gt;MAX((MIN(80,MAX(1,INT(((CROQUIS!$C$97)-CROQUIS!$C$107)/MAX(CROQUIS!$C$138,1))+1)))-1,0),0,MOD($A227-1,5))+1,0,IF(CROQUIS!$C$105=1,-12,2),CROQUIS!$C$107/2+CROQUIS!$C$141,IF(CROQUIS!$C$105=1,-12,2),0),((CROQUIS!$C$107/2+(((CROQUIS!$C$97)-CROQUIS!$C$107)-(MIN(80,MAX(1,INT(((CROQUIS!$C$97)-CROQUIS!$C$107)/MAX(CROQUIS!$C$138,1))+1))-1)*CROQUIS!$C$138)/2)+MIN(INT(($A227-1)/5),MAX((MIN(80,MAX(1,INT(((CROQUIS!$C$97)-CROQUIS!$C$107)/MAX(CROQUIS!$C$138,1))+1)))-1,0))*CROQUIS!$C$138)))*CROQUIS!$C$155)+IF(CROQUIS!$C$92="X",0,0)),-1000)</f>
        <v>-1000</v>
      </c>
      <c r="BR22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227-1)/5),MAX((MIN(80,MAX(1,INT(((CROQUIS!$C$97)-CROQUIS!$C$107)/MAX(CROQUIS!$C$138,1))+1)))-1,0))*CROQUIS!$C$138),CHOOSE(IF(INT(($A227-1)/5)&gt;MAX((MIN(80,MAX(1,INT(((CROQUIS!$C$97)-CROQUIS!$C$107)/MAX(CROQUIS!$C$138,1))+1)))-1,0),0,MOD($A227-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27">
        <f>IF(AND(CROQUIS!$C$88=1,CROQUIS!$C$91=0,CROQUIS!$C$138&gt;0,OR(CROQUIS!$C$106=1,CROQUIS!$C$143=1)),((CROQUIS!$C$157+(IF(CROQUIS!$C$92="X",CHOOSE(IF(INT(($A227-1)/5)&gt;MAX((MIN(80,MAX(1,INT(((CROQUIS!$C$97)-CROQUIS!$C$107)/MAX(CROQUIS!$C$138,1))+1)))-1,0),0,MOD($A227-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227-1)/5),MAX((MIN(80,MAX(1,INT(((CROQUIS!$C$97)-CROQUIS!$C$107)/MAX(CROQUIS!$C$138,1))+1)))-1,0))*CROQUIS!$C$138)))*CROQUIS!$C$155)+IF(CROQUIS!$C$92="X",0,0)),-1000)</f>
        <v>-1000</v>
      </c>
      <c r="BT227">
        <f>IF(AND(CROQUIS!$C$88=1,CROQUIS!$C$91=1,CROQUIS!$C$130&gt;0),((CROQUIS!$C$156+(IF(CROQUIS!$C$92="X",CHOOSE(IF(INT(($A227-1)/5)&gt;MAX((MIN(80,MAX(1,INT(((CROQUIS!$C$98)-CROQUIS!$C$107)/MAX(CROQUIS!$C$130,1))+1)))-1,0),0,MOD($A227-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227-1)/5),MAX((MIN(80,MAX(1,INT(((CROQUIS!$C$98)-CROQUIS!$C$107)/MAX(CROQUIS!$C$130,1))+1)))-1,0))*CROQUIS!$C$130)))*CROQUIS!$C$155)+IF(CROQUIS!$C$92="X",0,0)),-1000)</f>
        <v>-1000</v>
      </c>
      <c r="BU227">
        <f>IF(AND(CROQUIS!$C$88=1,CROQUIS!$C$91=1,CROQUIS!$C$130&gt;0),((CROQUIS!$C$157+(IF(CROQUIS!$C$92="X",((CROQUIS!$C$107/2+(((CROQUIS!$C$98)-CROQUIS!$C$107)-(MIN(80,MAX(1,INT(((CROQUIS!$C$98)-CROQUIS!$C$107)/MAX(CROQUIS!$C$130,1))+1))-1)*CROQUIS!$C$130)/2)+MIN(INT(($A227-1)/5),MAX((MIN(80,MAX(1,INT(((CROQUIS!$C$98)-CROQUIS!$C$107)/MAX(CROQUIS!$C$130,1))+1)))-1,0))*CROQUIS!$C$130),CHOOSE(IF(INT(($A227-1)/5)&gt;MAX((MIN(80,MAX(1,INT(((CROQUIS!$C$98)-CROQUIS!$C$107)/MAX(CROQUIS!$C$130,1))+1)))-1,0),0,MOD($A227-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28">
      <c r="A228" t="n">
        <v>221</v>
      </c>
      <c r="BH228">
        <f>IF(AND(CROQUIS!$C$88=1,CROQUIS!$C$126&gt;0),((CROQUIS!$C$156+(IF(CROQUIS!$C$92="X",CHOOSE(IF(INT(($A228-1)/5)&gt;MAX((MIN(80,MAX(1,INT(((CROQUIS!$C$98)-CROQUIS!$C$107)/MAX(CROQUIS!$C$126,1))+1)))-1,0),0,MOD($A228-1,5))+1,0,2,CROQUIS!$C$97-2,2,0),((CROQUIS!$C$107/2+(((CROQUIS!$C$98)-CROQUIS!$C$107)-(MIN(80,MAX(1,INT(((CROQUIS!$C$98)-CROQUIS!$C$107)/MAX(CROQUIS!$C$126,1))+1))-1)*CROQUIS!$C$126)/2)+MIN(INT(($A228-1)/5),MAX((MIN(80,MAX(1,INT(((CROQUIS!$C$98)-CROQUIS!$C$107)/MAX(CROQUIS!$C$126,1))+1)))-1,0))*CROQUIS!$C$126)))*CROQUIS!$C$155)+IF(CROQUIS!$C$92="X",0,0)),-1000)</f>
        <v>-1000</v>
      </c>
      <c r="BI228">
        <f>IF(AND(CROQUIS!$C$88=1,CROQUIS!$C$126&gt;0),((CROQUIS!$C$157+(IF(CROQUIS!$C$92="X",((CROQUIS!$C$107/2+(((CROQUIS!$C$98)-CROQUIS!$C$107)-(MIN(80,MAX(1,INT(((CROQUIS!$C$98)-CROQUIS!$C$107)/MAX(CROQUIS!$C$126,1))+1))-1)*CROQUIS!$C$126)/2)+MIN(INT(($A228-1)/5),MAX((MIN(80,MAX(1,INT(((CROQUIS!$C$98)-CROQUIS!$C$107)/MAX(CROQUIS!$C$126,1))+1)))-1,0))*CROQUIS!$C$126),CHOOSE(IF(INT(($A228-1)/5)&gt;MAX((MIN(80,MAX(1,INT(((CROQUIS!$C$98)-CROQUIS!$C$107)/MAX(CROQUIS!$C$126,1))+1)))-1,0),0,MOD($A228-1,5))+1,0,2,CROQUIS!$C$97-2,2,0)))*CROQUIS!$C$155)+IF(CROQUIS!$C$92="X",0,0)),-1000)</f>
        <v>-1000</v>
      </c>
      <c r="BJ228">
        <f>IF(AND(CROQUIS!$C$88=1,CROQUIS!$C$134&gt;0),((CROQUIS!$C$156+(IF(CROQUIS!$C$92="X",((CROQUIS!$C$107/2+(((CROQUIS!$C$97)-CROQUIS!$C$107)-(MIN(80,MAX(1,INT(((CROQUIS!$C$97)-CROQUIS!$C$107)/MAX(CROQUIS!$C$134,1))+1))-1)*CROQUIS!$C$134)/2)+MIN(INT(($A228-1)/5),MAX((MIN(80,MAX(1,INT(((CROQUIS!$C$97)-CROQUIS!$C$107)/MAX(CROQUIS!$C$134,1))+1)))-1,0))*CROQUIS!$C$134),CHOOSE(IF(INT(($A228-1)/5)&gt;MAX((MIN(80,MAX(1,INT(((CROQUIS!$C$97)-CROQUIS!$C$107)/MAX(CROQUIS!$C$134,1))+1)))-1,0),0,MOD($A228-1,5))+1,0,2,CROQUIS!$C$98-2,2,0)))*CROQUIS!$C$155)+IF(CROQUIS!$C$92="X",0,0)),-1000)</f>
        <v>-1000</v>
      </c>
      <c r="BK228">
        <f>IF(AND(CROQUIS!$C$88=1,CROQUIS!$C$134&gt;0),((CROQUIS!$C$157+(IF(CROQUIS!$C$92="X",CHOOSE(IF(INT(($A228-1)/5)&gt;MAX((MIN(80,MAX(1,INT(((CROQUIS!$C$97)-CROQUIS!$C$107)/MAX(CROQUIS!$C$134,1))+1)))-1,0),0,MOD($A228-1,5))+1,0,2,CROQUIS!$C$98-2,2,0),((CROQUIS!$C$107/2+(((CROQUIS!$C$97)-CROQUIS!$C$107)-(MIN(80,MAX(1,INT(((CROQUIS!$C$97)-CROQUIS!$C$107)/MAX(CROQUIS!$C$134,1))+1))-1)*CROQUIS!$C$134)/2)+MIN(INT(($A228-1)/5),MAX((MIN(80,MAX(1,INT(((CROQUIS!$C$97)-CROQUIS!$C$107)/MAX(CROQUIS!$C$134,1))+1)))-1,0))*CROQUIS!$C$134)))*CROQUIS!$C$155)+IF(CROQUIS!$C$92="X",0,0)),-1000)</f>
        <v>-1000</v>
      </c>
      <c r="BL228">
        <f>IF(AND(CROQUIS!$C$88=1,CROQUIS!$C$91=0,CROQUIS!$C$130&gt;0,OR(CROQUIS!$C$103=1,CROQUIS!$C$142=1)),((CROQUIS!$C$156+(IF(CROQUIS!$C$92="X",CHOOSE(IF(INT(($A228-1)/5)&gt;MAX((MIN(80,MAX(1,INT(((CROQUIS!$C$98)-CROQUIS!$C$107)/MAX(CROQUIS!$C$130,1))+1)))-1,0),0,MOD($A228-1,5))+1,0,IF(CROQUIS!$C$103=1,-12,2),CROQUIS!$C$107/2+CROQUIS!$C$140,IF(CROQUIS!$C$103=1,-12,2),0),((CROQUIS!$C$107/2+(((CROQUIS!$C$98)-CROQUIS!$C$107)-(MIN(80,MAX(1,INT(((CROQUIS!$C$98)-CROQUIS!$C$107)/MAX(CROQUIS!$C$130,1))+1))-1)*CROQUIS!$C$130)/2)+MIN(INT(($A228-1)/5),MAX((MIN(80,MAX(1,INT(((CROQUIS!$C$98)-CROQUIS!$C$107)/MAX(CROQUIS!$C$130,1))+1)))-1,0))*CROQUIS!$C$130)))*CROQUIS!$C$155)+IF(CROQUIS!$C$92="X",0,0)),-1000)</f>
        <v>-1000</v>
      </c>
      <c r="BM22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228-1)/5),MAX((MIN(80,MAX(1,INT(((CROQUIS!$C$98)-CROQUIS!$C$107)/MAX(CROQUIS!$C$130,1))+1)))-1,0))*CROQUIS!$C$130),CHOOSE(IF(INT(($A228-1)/5)&gt;MAX((MIN(80,MAX(1,INT(((CROQUIS!$C$98)-CROQUIS!$C$107)/MAX(CROQUIS!$C$130,1))+1)))-1,0),0,MOD($A228-1,5))+1,0,IF(CROQUIS!$C$103=1,-12,2),CROQUIS!$C$107/2+CROQUIS!$C$140,IF(CROQUIS!$C$103=1,-12,2),0)))*CROQUIS!$C$155)+IF(CROQUIS!$C$92="X",0,0)),-1000)</f>
        <v>-1000</v>
      </c>
      <c r="BN228">
        <f>IF(AND(CROQUIS!$C$88=1,CROQUIS!$C$91=0,CROQUIS!$C$130&gt;0,OR(CROQUIS!$C$104=1,CROQUIS!$C$142=1)),((CROQUIS!$C$156+(IF(CROQUIS!$C$92="X",CHOOSE(IF(INT(($A228-1)/5)&gt;MAX((MIN(80,MAX(1,INT(((CROQUIS!$C$98)-CROQUIS!$C$107)/MAX(CROQUIS!$C$130,1))+1)))-1,0),0,MOD($A228-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228-1)/5),MAX((MIN(80,MAX(1,INT(((CROQUIS!$C$98)-CROQUIS!$C$107)/MAX(CROQUIS!$C$130,1))+1)))-1,0))*CROQUIS!$C$130)))*CROQUIS!$C$155)+IF(CROQUIS!$C$92="X",0,0)),-1000)</f>
        <v>-1000</v>
      </c>
      <c r="BO22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228-1)/5),MAX((MIN(80,MAX(1,INT(((CROQUIS!$C$98)-CROQUIS!$C$107)/MAX(CROQUIS!$C$130,1))+1)))-1,0))*CROQUIS!$C$130),CHOOSE(IF(INT(($A228-1)/5)&gt;MAX((MIN(80,MAX(1,INT(((CROQUIS!$C$98)-CROQUIS!$C$107)/MAX(CROQUIS!$C$130,1))+1)))-1,0),0,MOD($A228-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2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228-1)/5),MAX((MIN(80,MAX(1,INT(((CROQUIS!$C$97)-CROQUIS!$C$107)/MAX(CROQUIS!$C$138,1))+1)))-1,0))*CROQUIS!$C$138),CHOOSE(IF(INT(($A228-1)/5)&gt;MAX((MIN(80,MAX(1,INT(((CROQUIS!$C$97)-CROQUIS!$C$107)/MAX(CROQUIS!$C$138,1))+1)))-1,0),0,MOD($A228-1,5))+1,0,IF(CROQUIS!$C$105=1,-12,2),CROQUIS!$C$107/2+CROQUIS!$C$141,IF(CROQUIS!$C$105=1,-12,2),0)))*CROQUIS!$C$155)+IF(CROQUIS!$C$92="X",0,0)),-1000)</f>
        <v>-1000</v>
      </c>
      <c r="BQ228">
        <f>IF(AND(CROQUIS!$C$88=1,CROQUIS!$C$91=0,CROQUIS!$C$138&gt;0,OR(CROQUIS!$C$105=1,CROQUIS!$C$143=1)),((CROQUIS!$C$157+(IF(CROQUIS!$C$92="X",CHOOSE(IF(INT(($A228-1)/5)&gt;MAX((MIN(80,MAX(1,INT(((CROQUIS!$C$97)-CROQUIS!$C$107)/MAX(CROQUIS!$C$138,1))+1)))-1,0),0,MOD($A228-1,5))+1,0,IF(CROQUIS!$C$105=1,-12,2),CROQUIS!$C$107/2+CROQUIS!$C$141,IF(CROQUIS!$C$105=1,-12,2),0),((CROQUIS!$C$107/2+(((CROQUIS!$C$97)-CROQUIS!$C$107)-(MIN(80,MAX(1,INT(((CROQUIS!$C$97)-CROQUIS!$C$107)/MAX(CROQUIS!$C$138,1))+1))-1)*CROQUIS!$C$138)/2)+MIN(INT(($A228-1)/5),MAX((MIN(80,MAX(1,INT(((CROQUIS!$C$97)-CROQUIS!$C$107)/MAX(CROQUIS!$C$138,1))+1)))-1,0))*CROQUIS!$C$138)))*CROQUIS!$C$155)+IF(CROQUIS!$C$92="X",0,0)),-1000)</f>
        <v>-1000</v>
      </c>
      <c r="BR22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228-1)/5),MAX((MIN(80,MAX(1,INT(((CROQUIS!$C$97)-CROQUIS!$C$107)/MAX(CROQUIS!$C$138,1))+1)))-1,0))*CROQUIS!$C$138),CHOOSE(IF(INT(($A228-1)/5)&gt;MAX((MIN(80,MAX(1,INT(((CROQUIS!$C$97)-CROQUIS!$C$107)/MAX(CROQUIS!$C$138,1))+1)))-1,0),0,MOD($A228-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28">
        <f>IF(AND(CROQUIS!$C$88=1,CROQUIS!$C$91=0,CROQUIS!$C$138&gt;0,OR(CROQUIS!$C$106=1,CROQUIS!$C$143=1)),((CROQUIS!$C$157+(IF(CROQUIS!$C$92="X",CHOOSE(IF(INT(($A228-1)/5)&gt;MAX((MIN(80,MAX(1,INT(((CROQUIS!$C$97)-CROQUIS!$C$107)/MAX(CROQUIS!$C$138,1))+1)))-1,0),0,MOD($A228-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228-1)/5),MAX((MIN(80,MAX(1,INT(((CROQUIS!$C$97)-CROQUIS!$C$107)/MAX(CROQUIS!$C$138,1))+1)))-1,0))*CROQUIS!$C$138)))*CROQUIS!$C$155)+IF(CROQUIS!$C$92="X",0,0)),-1000)</f>
        <v>-1000</v>
      </c>
      <c r="BT228">
        <f>IF(AND(CROQUIS!$C$88=1,CROQUIS!$C$91=1,CROQUIS!$C$130&gt;0),((CROQUIS!$C$156+(IF(CROQUIS!$C$92="X",CHOOSE(IF(INT(($A228-1)/5)&gt;MAX((MIN(80,MAX(1,INT(((CROQUIS!$C$98)-CROQUIS!$C$107)/MAX(CROQUIS!$C$130,1))+1)))-1,0),0,MOD($A228-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228-1)/5),MAX((MIN(80,MAX(1,INT(((CROQUIS!$C$98)-CROQUIS!$C$107)/MAX(CROQUIS!$C$130,1))+1)))-1,0))*CROQUIS!$C$130)))*CROQUIS!$C$155)+IF(CROQUIS!$C$92="X",0,0)),-1000)</f>
        <v>-1000</v>
      </c>
      <c r="BU228">
        <f>IF(AND(CROQUIS!$C$88=1,CROQUIS!$C$91=1,CROQUIS!$C$130&gt;0),((CROQUIS!$C$157+(IF(CROQUIS!$C$92="X",((CROQUIS!$C$107/2+(((CROQUIS!$C$98)-CROQUIS!$C$107)-(MIN(80,MAX(1,INT(((CROQUIS!$C$98)-CROQUIS!$C$107)/MAX(CROQUIS!$C$130,1))+1))-1)*CROQUIS!$C$130)/2)+MIN(INT(($A228-1)/5),MAX((MIN(80,MAX(1,INT(((CROQUIS!$C$98)-CROQUIS!$C$107)/MAX(CROQUIS!$C$130,1))+1)))-1,0))*CROQUIS!$C$130),CHOOSE(IF(INT(($A228-1)/5)&gt;MAX((MIN(80,MAX(1,INT(((CROQUIS!$C$98)-CROQUIS!$C$107)/MAX(CROQUIS!$C$130,1))+1)))-1,0),0,MOD($A228-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29">
      <c r="A229" t="n">
        <v>222</v>
      </c>
      <c r="BH229">
        <f>IF(AND(CROQUIS!$C$88=1,CROQUIS!$C$126&gt;0),((CROQUIS!$C$156+(IF(CROQUIS!$C$92="X",CHOOSE(IF(INT(($A229-1)/5)&gt;MAX((MIN(80,MAX(1,INT(((CROQUIS!$C$98)-CROQUIS!$C$107)/MAX(CROQUIS!$C$126,1))+1)))-1,0),0,MOD($A229-1,5))+1,0,2,CROQUIS!$C$97-2,2,0),((CROQUIS!$C$107/2+(((CROQUIS!$C$98)-CROQUIS!$C$107)-(MIN(80,MAX(1,INT(((CROQUIS!$C$98)-CROQUIS!$C$107)/MAX(CROQUIS!$C$126,1))+1))-1)*CROQUIS!$C$126)/2)+MIN(INT(($A229-1)/5),MAX((MIN(80,MAX(1,INT(((CROQUIS!$C$98)-CROQUIS!$C$107)/MAX(CROQUIS!$C$126,1))+1)))-1,0))*CROQUIS!$C$126)))*CROQUIS!$C$155)+IF(CROQUIS!$C$92="X",0,0)),-1000)</f>
        <v>-1000</v>
      </c>
      <c r="BI229">
        <f>IF(AND(CROQUIS!$C$88=1,CROQUIS!$C$126&gt;0),((CROQUIS!$C$157+(IF(CROQUIS!$C$92="X",((CROQUIS!$C$107/2+(((CROQUIS!$C$98)-CROQUIS!$C$107)-(MIN(80,MAX(1,INT(((CROQUIS!$C$98)-CROQUIS!$C$107)/MAX(CROQUIS!$C$126,1))+1))-1)*CROQUIS!$C$126)/2)+MIN(INT(($A229-1)/5),MAX((MIN(80,MAX(1,INT(((CROQUIS!$C$98)-CROQUIS!$C$107)/MAX(CROQUIS!$C$126,1))+1)))-1,0))*CROQUIS!$C$126),CHOOSE(IF(INT(($A229-1)/5)&gt;MAX((MIN(80,MAX(1,INT(((CROQUIS!$C$98)-CROQUIS!$C$107)/MAX(CROQUIS!$C$126,1))+1)))-1,0),0,MOD($A229-1,5))+1,0,2,CROQUIS!$C$97-2,2,0)))*CROQUIS!$C$155)+IF(CROQUIS!$C$92="X",0,0)),-1000)</f>
        <v>-1000</v>
      </c>
      <c r="BJ229">
        <f>IF(AND(CROQUIS!$C$88=1,CROQUIS!$C$134&gt;0),((CROQUIS!$C$156+(IF(CROQUIS!$C$92="X",((CROQUIS!$C$107/2+(((CROQUIS!$C$97)-CROQUIS!$C$107)-(MIN(80,MAX(1,INT(((CROQUIS!$C$97)-CROQUIS!$C$107)/MAX(CROQUIS!$C$134,1))+1))-1)*CROQUIS!$C$134)/2)+MIN(INT(($A229-1)/5),MAX((MIN(80,MAX(1,INT(((CROQUIS!$C$97)-CROQUIS!$C$107)/MAX(CROQUIS!$C$134,1))+1)))-1,0))*CROQUIS!$C$134),CHOOSE(IF(INT(($A229-1)/5)&gt;MAX((MIN(80,MAX(1,INT(((CROQUIS!$C$97)-CROQUIS!$C$107)/MAX(CROQUIS!$C$134,1))+1)))-1,0),0,MOD($A229-1,5))+1,0,2,CROQUIS!$C$98-2,2,0)))*CROQUIS!$C$155)+IF(CROQUIS!$C$92="X",0,0)),-1000)</f>
        <v>-1000</v>
      </c>
      <c r="BK229">
        <f>IF(AND(CROQUIS!$C$88=1,CROQUIS!$C$134&gt;0),((CROQUIS!$C$157+(IF(CROQUIS!$C$92="X",CHOOSE(IF(INT(($A229-1)/5)&gt;MAX((MIN(80,MAX(1,INT(((CROQUIS!$C$97)-CROQUIS!$C$107)/MAX(CROQUIS!$C$134,1))+1)))-1,0),0,MOD($A229-1,5))+1,0,2,CROQUIS!$C$98-2,2,0),((CROQUIS!$C$107/2+(((CROQUIS!$C$97)-CROQUIS!$C$107)-(MIN(80,MAX(1,INT(((CROQUIS!$C$97)-CROQUIS!$C$107)/MAX(CROQUIS!$C$134,1))+1))-1)*CROQUIS!$C$134)/2)+MIN(INT(($A229-1)/5),MAX((MIN(80,MAX(1,INT(((CROQUIS!$C$97)-CROQUIS!$C$107)/MAX(CROQUIS!$C$134,1))+1)))-1,0))*CROQUIS!$C$134)))*CROQUIS!$C$155)+IF(CROQUIS!$C$92="X",0,0)),-1000)</f>
        <v>-1000</v>
      </c>
      <c r="BL229">
        <f>IF(AND(CROQUIS!$C$88=1,CROQUIS!$C$91=0,CROQUIS!$C$130&gt;0,OR(CROQUIS!$C$103=1,CROQUIS!$C$142=1)),((CROQUIS!$C$156+(IF(CROQUIS!$C$92="X",CHOOSE(IF(INT(($A229-1)/5)&gt;MAX((MIN(80,MAX(1,INT(((CROQUIS!$C$98)-CROQUIS!$C$107)/MAX(CROQUIS!$C$130,1))+1)))-1,0),0,MOD($A229-1,5))+1,0,IF(CROQUIS!$C$103=1,-12,2),CROQUIS!$C$107/2+CROQUIS!$C$140,IF(CROQUIS!$C$103=1,-12,2),0),((CROQUIS!$C$107/2+(((CROQUIS!$C$98)-CROQUIS!$C$107)-(MIN(80,MAX(1,INT(((CROQUIS!$C$98)-CROQUIS!$C$107)/MAX(CROQUIS!$C$130,1))+1))-1)*CROQUIS!$C$130)/2)+MIN(INT(($A229-1)/5),MAX((MIN(80,MAX(1,INT(((CROQUIS!$C$98)-CROQUIS!$C$107)/MAX(CROQUIS!$C$130,1))+1)))-1,0))*CROQUIS!$C$130)))*CROQUIS!$C$155)+IF(CROQUIS!$C$92="X",0,0)),-1000)</f>
        <v>-1000</v>
      </c>
      <c r="BM22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229-1)/5),MAX((MIN(80,MAX(1,INT(((CROQUIS!$C$98)-CROQUIS!$C$107)/MAX(CROQUIS!$C$130,1))+1)))-1,0))*CROQUIS!$C$130),CHOOSE(IF(INT(($A229-1)/5)&gt;MAX((MIN(80,MAX(1,INT(((CROQUIS!$C$98)-CROQUIS!$C$107)/MAX(CROQUIS!$C$130,1))+1)))-1,0),0,MOD($A229-1,5))+1,0,IF(CROQUIS!$C$103=1,-12,2),CROQUIS!$C$107/2+CROQUIS!$C$140,IF(CROQUIS!$C$103=1,-12,2),0)))*CROQUIS!$C$155)+IF(CROQUIS!$C$92="X",0,0)),-1000)</f>
        <v>-1000</v>
      </c>
      <c r="BN229">
        <f>IF(AND(CROQUIS!$C$88=1,CROQUIS!$C$91=0,CROQUIS!$C$130&gt;0,OR(CROQUIS!$C$104=1,CROQUIS!$C$142=1)),((CROQUIS!$C$156+(IF(CROQUIS!$C$92="X",CHOOSE(IF(INT(($A229-1)/5)&gt;MAX((MIN(80,MAX(1,INT(((CROQUIS!$C$98)-CROQUIS!$C$107)/MAX(CROQUIS!$C$130,1))+1)))-1,0),0,MOD($A229-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229-1)/5),MAX((MIN(80,MAX(1,INT(((CROQUIS!$C$98)-CROQUIS!$C$107)/MAX(CROQUIS!$C$130,1))+1)))-1,0))*CROQUIS!$C$130)))*CROQUIS!$C$155)+IF(CROQUIS!$C$92="X",0,0)),-1000)</f>
        <v>-1000</v>
      </c>
      <c r="BO22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229-1)/5),MAX((MIN(80,MAX(1,INT(((CROQUIS!$C$98)-CROQUIS!$C$107)/MAX(CROQUIS!$C$130,1))+1)))-1,0))*CROQUIS!$C$130),CHOOSE(IF(INT(($A229-1)/5)&gt;MAX((MIN(80,MAX(1,INT(((CROQUIS!$C$98)-CROQUIS!$C$107)/MAX(CROQUIS!$C$130,1))+1)))-1,0),0,MOD($A229-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2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229-1)/5),MAX((MIN(80,MAX(1,INT(((CROQUIS!$C$97)-CROQUIS!$C$107)/MAX(CROQUIS!$C$138,1))+1)))-1,0))*CROQUIS!$C$138),CHOOSE(IF(INT(($A229-1)/5)&gt;MAX((MIN(80,MAX(1,INT(((CROQUIS!$C$97)-CROQUIS!$C$107)/MAX(CROQUIS!$C$138,1))+1)))-1,0),0,MOD($A229-1,5))+1,0,IF(CROQUIS!$C$105=1,-12,2),CROQUIS!$C$107/2+CROQUIS!$C$141,IF(CROQUIS!$C$105=1,-12,2),0)))*CROQUIS!$C$155)+IF(CROQUIS!$C$92="X",0,0)),-1000)</f>
        <v>-1000</v>
      </c>
      <c r="BQ229">
        <f>IF(AND(CROQUIS!$C$88=1,CROQUIS!$C$91=0,CROQUIS!$C$138&gt;0,OR(CROQUIS!$C$105=1,CROQUIS!$C$143=1)),((CROQUIS!$C$157+(IF(CROQUIS!$C$92="X",CHOOSE(IF(INT(($A229-1)/5)&gt;MAX((MIN(80,MAX(1,INT(((CROQUIS!$C$97)-CROQUIS!$C$107)/MAX(CROQUIS!$C$138,1))+1)))-1,0),0,MOD($A229-1,5))+1,0,IF(CROQUIS!$C$105=1,-12,2),CROQUIS!$C$107/2+CROQUIS!$C$141,IF(CROQUIS!$C$105=1,-12,2),0),((CROQUIS!$C$107/2+(((CROQUIS!$C$97)-CROQUIS!$C$107)-(MIN(80,MAX(1,INT(((CROQUIS!$C$97)-CROQUIS!$C$107)/MAX(CROQUIS!$C$138,1))+1))-1)*CROQUIS!$C$138)/2)+MIN(INT(($A229-1)/5),MAX((MIN(80,MAX(1,INT(((CROQUIS!$C$97)-CROQUIS!$C$107)/MAX(CROQUIS!$C$138,1))+1)))-1,0))*CROQUIS!$C$138)))*CROQUIS!$C$155)+IF(CROQUIS!$C$92="X",0,0)),-1000)</f>
        <v>-1000</v>
      </c>
      <c r="BR22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229-1)/5),MAX((MIN(80,MAX(1,INT(((CROQUIS!$C$97)-CROQUIS!$C$107)/MAX(CROQUIS!$C$138,1))+1)))-1,0))*CROQUIS!$C$138),CHOOSE(IF(INT(($A229-1)/5)&gt;MAX((MIN(80,MAX(1,INT(((CROQUIS!$C$97)-CROQUIS!$C$107)/MAX(CROQUIS!$C$138,1))+1)))-1,0),0,MOD($A229-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29">
        <f>IF(AND(CROQUIS!$C$88=1,CROQUIS!$C$91=0,CROQUIS!$C$138&gt;0,OR(CROQUIS!$C$106=1,CROQUIS!$C$143=1)),((CROQUIS!$C$157+(IF(CROQUIS!$C$92="X",CHOOSE(IF(INT(($A229-1)/5)&gt;MAX((MIN(80,MAX(1,INT(((CROQUIS!$C$97)-CROQUIS!$C$107)/MAX(CROQUIS!$C$138,1))+1)))-1,0),0,MOD($A229-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229-1)/5),MAX((MIN(80,MAX(1,INT(((CROQUIS!$C$97)-CROQUIS!$C$107)/MAX(CROQUIS!$C$138,1))+1)))-1,0))*CROQUIS!$C$138)))*CROQUIS!$C$155)+IF(CROQUIS!$C$92="X",0,0)),-1000)</f>
        <v>-1000</v>
      </c>
      <c r="BT229">
        <f>IF(AND(CROQUIS!$C$88=1,CROQUIS!$C$91=1,CROQUIS!$C$130&gt;0),((CROQUIS!$C$156+(IF(CROQUIS!$C$92="X",CHOOSE(IF(INT(($A229-1)/5)&gt;MAX((MIN(80,MAX(1,INT(((CROQUIS!$C$98)-CROQUIS!$C$107)/MAX(CROQUIS!$C$130,1))+1)))-1,0),0,MOD($A229-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229-1)/5),MAX((MIN(80,MAX(1,INT(((CROQUIS!$C$98)-CROQUIS!$C$107)/MAX(CROQUIS!$C$130,1))+1)))-1,0))*CROQUIS!$C$130)))*CROQUIS!$C$155)+IF(CROQUIS!$C$92="X",0,0)),-1000)</f>
        <v>-1000</v>
      </c>
      <c r="BU229">
        <f>IF(AND(CROQUIS!$C$88=1,CROQUIS!$C$91=1,CROQUIS!$C$130&gt;0),((CROQUIS!$C$157+(IF(CROQUIS!$C$92="X",((CROQUIS!$C$107/2+(((CROQUIS!$C$98)-CROQUIS!$C$107)-(MIN(80,MAX(1,INT(((CROQUIS!$C$98)-CROQUIS!$C$107)/MAX(CROQUIS!$C$130,1))+1))-1)*CROQUIS!$C$130)/2)+MIN(INT(($A229-1)/5),MAX((MIN(80,MAX(1,INT(((CROQUIS!$C$98)-CROQUIS!$C$107)/MAX(CROQUIS!$C$130,1))+1)))-1,0))*CROQUIS!$C$130),CHOOSE(IF(INT(($A229-1)/5)&gt;MAX((MIN(80,MAX(1,INT(((CROQUIS!$C$98)-CROQUIS!$C$107)/MAX(CROQUIS!$C$130,1))+1)))-1,0),0,MOD($A229-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30">
      <c r="A230" t="n">
        <v>223</v>
      </c>
      <c r="BH230">
        <f>IF(AND(CROQUIS!$C$88=1,CROQUIS!$C$126&gt;0),((CROQUIS!$C$156+(IF(CROQUIS!$C$92="X",CHOOSE(IF(INT(($A230-1)/5)&gt;MAX((MIN(80,MAX(1,INT(((CROQUIS!$C$98)-CROQUIS!$C$107)/MAX(CROQUIS!$C$126,1))+1)))-1,0),0,MOD($A230-1,5))+1,0,2,CROQUIS!$C$97-2,2,0),((CROQUIS!$C$107/2+(((CROQUIS!$C$98)-CROQUIS!$C$107)-(MIN(80,MAX(1,INT(((CROQUIS!$C$98)-CROQUIS!$C$107)/MAX(CROQUIS!$C$126,1))+1))-1)*CROQUIS!$C$126)/2)+MIN(INT(($A230-1)/5),MAX((MIN(80,MAX(1,INT(((CROQUIS!$C$98)-CROQUIS!$C$107)/MAX(CROQUIS!$C$126,1))+1)))-1,0))*CROQUIS!$C$126)))*CROQUIS!$C$155)+IF(CROQUIS!$C$92="X",0,0)),-1000)</f>
        <v>-1000</v>
      </c>
      <c r="BI230">
        <f>IF(AND(CROQUIS!$C$88=1,CROQUIS!$C$126&gt;0),((CROQUIS!$C$157+(IF(CROQUIS!$C$92="X",((CROQUIS!$C$107/2+(((CROQUIS!$C$98)-CROQUIS!$C$107)-(MIN(80,MAX(1,INT(((CROQUIS!$C$98)-CROQUIS!$C$107)/MAX(CROQUIS!$C$126,1))+1))-1)*CROQUIS!$C$126)/2)+MIN(INT(($A230-1)/5),MAX((MIN(80,MAX(1,INT(((CROQUIS!$C$98)-CROQUIS!$C$107)/MAX(CROQUIS!$C$126,1))+1)))-1,0))*CROQUIS!$C$126),CHOOSE(IF(INT(($A230-1)/5)&gt;MAX((MIN(80,MAX(1,INT(((CROQUIS!$C$98)-CROQUIS!$C$107)/MAX(CROQUIS!$C$126,1))+1)))-1,0),0,MOD($A230-1,5))+1,0,2,CROQUIS!$C$97-2,2,0)))*CROQUIS!$C$155)+IF(CROQUIS!$C$92="X",0,0)),-1000)</f>
        <v>-1000</v>
      </c>
      <c r="BJ230">
        <f>IF(AND(CROQUIS!$C$88=1,CROQUIS!$C$134&gt;0),((CROQUIS!$C$156+(IF(CROQUIS!$C$92="X",((CROQUIS!$C$107/2+(((CROQUIS!$C$97)-CROQUIS!$C$107)-(MIN(80,MAX(1,INT(((CROQUIS!$C$97)-CROQUIS!$C$107)/MAX(CROQUIS!$C$134,1))+1))-1)*CROQUIS!$C$134)/2)+MIN(INT(($A230-1)/5),MAX((MIN(80,MAX(1,INT(((CROQUIS!$C$97)-CROQUIS!$C$107)/MAX(CROQUIS!$C$134,1))+1)))-1,0))*CROQUIS!$C$134),CHOOSE(IF(INT(($A230-1)/5)&gt;MAX((MIN(80,MAX(1,INT(((CROQUIS!$C$97)-CROQUIS!$C$107)/MAX(CROQUIS!$C$134,1))+1)))-1,0),0,MOD($A230-1,5))+1,0,2,CROQUIS!$C$98-2,2,0)))*CROQUIS!$C$155)+IF(CROQUIS!$C$92="X",0,0)),-1000)</f>
        <v>-1000</v>
      </c>
      <c r="BK230">
        <f>IF(AND(CROQUIS!$C$88=1,CROQUIS!$C$134&gt;0),((CROQUIS!$C$157+(IF(CROQUIS!$C$92="X",CHOOSE(IF(INT(($A230-1)/5)&gt;MAX((MIN(80,MAX(1,INT(((CROQUIS!$C$97)-CROQUIS!$C$107)/MAX(CROQUIS!$C$134,1))+1)))-1,0),0,MOD($A230-1,5))+1,0,2,CROQUIS!$C$98-2,2,0),((CROQUIS!$C$107/2+(((CROQUIS!$C$97)-CROQUIS!$C$107)-(MIN(80,MAX(1,INT(((CROQUIS!$C$97)-CROQUIS!$C$107)/MAX(CROQUIS!$C$134,1))+1))-1)*CROQUIS!$C$134)/2)+MIN(INT(($A230-1)/5),MAX((MIN(80,MAX(1,INT(((CROQUIS!$C$97)-CROQUIS!$C$107)/MAX(CROQUIS!$C$134,1))+1)))-1,0))*CROQUIS!$C$134)))*CROQUIS!$C$155)+IF(CROQUIS!$C$92="X",0,0)),-1000)</f>
        <v>-1000</v>
      </c>
      <c r="BL230">
        <f>IF(AND(CROQUIS!$C$88=1,CROQUIS!$C$91=0,CROQUIS!$C$130&gt;0,OR(CROQUIS!$C$103=1,CROQUIS!$C$142=1)),((CROQUIS!$C$156+(IF(CROQUIS!$C$92="X",CHOOSE(IF(INT(($A230-1)/5)&gt;MAX((MIN(80,MAX(1,INT(((CROQUIS!$C$98)-CROQUIS!$C$107)/MAX(CROQUIS!$C$130,1))+1)))-1,0),0,MOD($A230-1,5))+1,0,IF(CROQUIS!$C$103=1,-12,2),CROQUIS!$C$107/2+CROQUIS!$C$140,IF(CROQUIS!$C$103=1,-12,2),0),((CROQUIS!$C$107/2+(((CROQUIS!$C$98)-CROQUIS!$C$107)-(MIN(80,MAX(1,INT(((CROQUIS!$C$98)-CROQUIS!$C$107)/MAX(CROQUIS!$C$130,1))+1))-1)*CROQUIS!$C$130)/2)+MIN(INT(($A230-1)/5),MAX((MIN(80,MAX(1,INT(((CROQUIS!$C$98)-CROQUIS!$C$107)/MAX(CROQUIS!$C$130,1))+1)))-1,0))*CROQUIS!$C$130)))*CROQUIS!$C$155)+IF(CROQUIS!$C$92="X",0,0)),-1000)</f>
        <v>-1000</v>
      </c>
      <c r="BM23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230-1)/5),MAX((MIN(80,MAX(1,INT(((CROQUIS!$C$98)-CROQUIS!$C$107)/MAX(CROQUIS!$C$130,1))+1)))-1,0))*CROQUIS!$C$130),CHOOSE(IF(INT(($A230-1)/5)&gt;MAX((MIN(80,MAX(1,INT(((CROQUIS!$C$98)-CROQUIS!$C$107)/MAX(CROQUIS!$C$130,1))+1)))-1,0),0,MOD($A230-1,5))+1,0,IF(CROQUIS!$C$103=1,-12,2),CROQUIS!$C$107/2+CROQUIS!$C$140,IF(CROQUIS!$C$103=1,-12,2),0)))*CROQUIS!$C$155)+IF(CROQUIS!$C$92="X",0,0)),-1000)</f>
        <v>-1000</v>
      </c>
      <c r="BN230">
        <f>IF(AND(CROQUIS!$C$88=1,CROQUIS!$C$91=0,CROQUIS!$C$130&gt;0,OR(CROQUIS!$C$104=1,CROQUIS!$C$142=1)),((CROQUIS!$C$156+(IF(CROQUIS!$C$92="X",CHOOSE(IF(INT(($A230-1)/5)&gt;MAX((MIN(80,MAX(1,INT(((CROQUIS!$C$98)-CROQUIS!$C$107)/MAX(CROQUIS!$C$130,1))+1)))-1,0),0,MOD($A230-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230-1)/5),MAX((MIN(80,MAX(1,INT(((CROQUIS!$C$98)-CROQUIS!$C$107)/MAX(CROQUIS!$C$130,1))+1)))-1,0))*CROQUIS!$C$130)))*CROQUIS!$C$155)+IF(CROQUIS!$C$92="X",0,0)),-1000)</f>
        <v>-1000</v>
      </c>
      <c r="BO23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230-1)/5),MAX((MIN(80,MAX(1,INT(((CROQUIS!$C$98)-CROQUIS!$C$107)/MAX(CROQUIS!$C$130,1))+1)))-1,0))*CROQUIS!$C$130),CHOOSE(IF(INT(($A230-1)/5)&gt;MAX((MIN(80,MAX(1,INT(((CROQUIS!$C$98)-CROQUIS!$C$107)/MAX(CROQUIS!$C$130,1))+1)))-1,0),0,MOD($A230-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3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230-1)/5),MAX((MIN(80,MAX(1,INT(((CROQUIS!$C$97)-CROQUIS!$C$107)/MAX(CROQUIS!$C$138,1))+1)))-1,0))*CROQUIS!$C$138),CHOOSE(IF(INT(($A230-1)/5)&gt;MAX((MIN(80,MAX(1,INT(((CROQUIS!$C$97)-CROQUIS!$C$107)/MAX(CROQUIS!$C$138,1))+1)))-1,0),0,MOD($A230-1,5))+1,0,IF(CROQUIS!$C$105=1,-12,2),CROQUIS!$C$107/2+CROQUIS!$C$141,IF(CROQUIS!$C$105=1,-12,2),0)))*CROQUIS!$C$155)+IF(CROQUIS!$C$92="X",0,0)),-1000)</f>
        <v>-1000</v>
      </c>
      <c r="BQ230">
        <f>IF(AND(CROQUIS!$C$88=1,CROQUIS!$C$91=0,CROQUIS!$C$138&gt;0,OR(CROQUIS!$C$105=1,CROQUIS!$C$143=1)),((CROQUIS!$C$157+(IF(CROQUIS!$C$92="X",CHOOSE(IF(INT(($A230-1)/5)&gt;MAX((MIN(80,MAX(1,INT(((CROQUIS!$C$97)-CROQUIS!$C$107)/MAX(CROQUIS!$C$138,1))+1)))-1,0),0,MOD($A230-1,5))+1,0,IF(CROQUIS!$C$105=1,-12,2),CROQUIS!$C$107/2+CROQUIS!$C$141,IF(CROQUIS!$C$105=1,-12,2),0),((CROQUIS!$C$107/2+(((CROQUIS!$C$97)-CROQUIS!$C$107)-(MIN(80,MAX(1,INT(((CROQUIS!$C$97)-CROQUIS!$C$107)/MAX(CROQUIS!$C$138,1))+1))-1)*CROQUIS!$C$138)/2)+MIN(INT(($A230-1)/5),MAX((MIN(80,MAX(1,INT(((CROQUIS!$C$97)-CROQUIS!$C$107)/MAX(CROQUIS!$C$138,1))+1)))-1,0))*CROQUIS!$C$138)))*CROQUIS!$C$155)+IF(CROQUIS!$C$92="X",0,0)),-1000)</f>
        <v>-1000</v>
      </c>
      <c r="BR23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230-1)/5),MAX((MIN(80,MAX(1,INT(((CROQUIS!$C$97)-CROQUIS!$C$107)/MAX(CROQUIS!$C$138,1))+1)))-1,0))*CROQUIS!$C$138),CHOOSE(IF(INT(($A230-1)/5)&gt;MAX((MIN(80,MAX(1,INT(((CROQUIS!$C$97)-CROQUIS!$C$107)/MAX(CROQUIS!$C$138,1))+1)))-1,0),0,MOD($A230-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30">
        <f>IF(AND(CROQUIS!$C$88=1,CROQUIS!$C$91=0,CROQUIS!$C$138&gt;0,OR(CROQUIS!$C$106=1,CROQUIS!$C$143=1)),((CROQUIS!$C$157+(IF(CROQUIS!$C$92="X",CHOOSE(IF(INT(($A230-1)/5)&gt;MAX((MIN(80,MAX(1,INT(((CROQUIS!$C$97)-CROQUIS!$C$107)/MAX(CROQUIS!$C$138,1))+1)))-1,0),0,MOD($A230-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230-1)/5),MAX((MIN(80,MAX(1,INT(((CROQUIS!$C$97)-CROQUIS!$C$107)/MAX(CROQUIS!$C$138,1))+1)))-1,0))*CROQUIS!$C$138)))*CROQUIS!$C$155)+IF(CROQUIS!$C$92="X",0,0)),-1000)</f>
        <v>-1000</v>
      </c>
      <c r="BT230">
        <f>IF(AND(CROQUIS!$C$88=1,CROQUIS!$C$91=1,CROQUIS!$C$130&gt;0),((CROQUIS!$C$156+(IF(CROQUIS!$C$92="X",CHOOSE(IF(INT(($A230-1)/5)&gt;MAX((MIN(80,MAX(1,INT(((CROQUIS!$C$98)-CROQUIS!$C$107)/MAX(CROQUIS!$C$130,1))+1)))-1,0),0,MOD($A230-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230-1)/5),MAX((MIN(80,MAX(1,INT(((CROQUIS!$C$98)-CROQUIS!$C$107)/MAX(CROQUIS!$C$130,1))+1)))-1,0))*CROQUIS!$C$130)))*CROQUIS!$C$155)+IF(CROQUIS!$C$92="X",0,0)),-1000)</f>
        <v>-1000</v>
      </c>
      <c r="BU230">
        <f>IF(AND(CROQUIS!$C$88=1,CROQUIS!$C$91=1,CROQUIS!$C$130&gt;0),((CROQUIS!$C$157+(IF(CROQUIS!$C$92="X",((CROQUIS!$C$107/2+(((CROQUIS!$C$98)-CROQUIS!$C$107)-(MIN(80,MAX(1,INT(((CROQUIS!$C$98)-CROQUIS!$C$107)/MAX(CROQUIS!$C$130,1))+1))-1)*CROQUIS!$C$130)/2)+MIN(INT(($A230-1)/5),MAX((MIN(80,MAX(1,INT(((CROQUIS!$C$98)-CROQUIS!$C$107)/MAX(CROQUIS!$C$130,1))+1)))-1,0))*CROQUIS!$C$130),CHOOSE(IF(INT(($A230-1)/5)&gt;MAX((MIN(80,MAX(1,INT(((CROQUIS!$C$98)-CROQUIS!$C$107)/MAX(CROQUIS!$C$130,1))+1)))-1,0),0,MOD($A230-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31">
      <c r="A231" t="n">
        <v>224</v>
      </c>
      <c r="BH231">
        <f>IF(AND(CROQUIS!$C$88=1,CROQUIS!$C$126&gt;0),((CROQUIS!$C$156+(IF(CROQUIS!$C$92="X",CHOOSE(IF(INT(($A231-1)/5)&gt;MAX((MIN(80,MAX(1,INT(((CROQUIS!$C$98)-CROQUIS!$C$107)/MAX(CROQUIS!$C$126,1))+1)))-1,0),0,MOD($A231-1,5))+1,0,2,CROQUIS!$C$97-2,2,0),((CROQUIS!$C$107/2+(((CROQUIS!$C$98)-CROQUIS!$C$107)-(MIN(80,MAX(1,INT(((CROQUIS!$C$98)-CROQUIS!$C$107)/MAX(CROQUIS!$C$126,1))+1))-1)*CROQUIS!$C$126)/2)+MIN(INT(($A231-1)/5),MAX((MIN(80,MAX(1,INT(((CROQUIS!$C$98)-CROQUIS!$C$107)/MAX(CROQUIS!$C$126,1))+1)))-1,0))*CROQUIS!$C$126)))*CROQUIS!$C$155)+IF(CROQUIS!$C$92="X",0,0)),-1000)</f>
        <v>-1000</v>
      </c>
      <c r="BI231">
        <f>IF(AND(CROQUIS!$C$88=1,CROQUIS!$C$126&gt;0),((CROQUIS!$C$157+(IF(CROQUIS!$C$92="X",((CROQUIS!$C$107/2+(((CROQUIS!$C$98)-CROQUIS!$C$107)-(MIN(80,MAX(1,INT(((CROQUIS!$C$98)-CROQUIS!$C$107)/MAX(CROQUIS!$C$126,1))+1))-1)*CROQUIS!$C$126)/2)+MIN(INT(($A231-1)/5),MAX((MIN(80,MAX(1,INT(((CROQUIS!$C$98)-CROQUIS!$C$107)/MAX(CROQUIS!$C$126,1))+1)))-1,0))*CROQUIS!$C$126),CHOOSE(IF(INT(($A231-1)/5)&gt;MAX((MIN(80,MAX(1,INT(((CROQUIS!$C$98)-CROQUIS!$C$107)/MAX(CROQUIS!$C$126,1))+1)))-1,0),0,MOD($A231-1,5))+1,0,2,CROQUIS!$C$97-2,2,0)))*CROQUIS!$C$155)+IF(CROQUIS!$C$92="X",0,0)),-1000)</f>
        <v>-1000</v>
      </c>
      <c r="BJ231">
        <f>IF(AND(CROQUIS!$C$88=1,CROQUIS!$C$134&gt;0),((CROQUIS!$C$156+(IF(CROQUIS!$C$92="X",((CROQUIS!$C$107/2+(((CROQUIS!$C$97)-CROQUIS!$C$107)-(MIN(80,MAX(1,INT(((CROQUIS!$C$97)-CROQUIS!$C$107)/MAX(CROQUIS!$C$134,1))+1))-1)*CROQUIS!$C$134)/2)+MIN(INT(($A231-1)/5),MAX((MIN(80,MAX(1,INT(((CROQUIS!$C$97)-CROQUIS!$C$107)/MAX(CROQUIS!$C$134,1))+1)))-1,0))*CROQUIS!$C$134),CHOOSE(IF(INT(($A231-1)/5)&gt;MAX((MIN(80,MAX(1,INT(((CROQUIS!$C$97)-CROQUIS!$C$107)/MAX(CROQUIS!$C$134,1))+1)))-1,0),0,MOD($A231-1,5))+1,0,2,CROQUIS!$C$98-2,2,0)))*CROQUIS!$C$155)+IF(CROQUIS!$C$92="X",0,0)),-1000)</f>
        <v>-1000</v>
      </c>
      <c r="BK231">
        <f>IF(AND(CROQUIS!$C$88=1,CROQUIS!$C$134&gt;0),((CROQUIS!$C$157+(IF(CROQUIS!$C$92="X",CHOOSE(IF(INT(($A231-1)/5)&gt;MAX((MIN(80,MAX(1,INT(((CROQUIS!$C$97)-CROQUIS!$C$107)/MAX(CROQUIS!$C$134,1))+1)))-1,0),0,MOD($A231-1,5))+1,0,2,CROQUIS!$C$98-2,2,0),((CROQUIS!$C$107/2+(((CROQUIS!$C$97)-CROQUIS!$C$107)-(MIN(80,MAX(1,INT(((CROQUIS!$C$97)-CROQUIS!$C$107)/MAX(CROQUIS!$C$134,1))+1))-1)*CROQUIS!$C$134)/2)+MIN(INT(($A231-1)/5),MAX((MIN(80,MAX(1,INT(((CROQUIS!$C$97)-CROQUIS!$C$107)/MAX(CROQUIS!$C$134,1))+1)))-1,0))*CROQUIS!$C$134)))*CROQUIS!$C$155)+IF(CROQUIS!$C$92="X",0,0)),-1000)</f>
        <v>-1000</v>
      </c>
      <c r="BL231">
        <f>IF(AND(CROQUIS!$C$88=1,CROQUIS!$C$91=0,CROQUIS!$C$130&gt;0,OR(CROQUIS!$C$103=1,CROQUIS!$C$142=1)),((CROQUIS!$C$156+(IF(CROQUIS!$C$92="X",CHOOSE(IF(INT(($A231-1)/5)&gt;MAX((MIN(80,MAX(1,INT(((CROQUIS!$C$98)-CROQUIS!$C$107)/MAX(CROQUIS!$C$130,1))+1)))-1,0),0,MOD($A231-1,5))+1,0,IF(CROQUIS!$C$103=1,-12,2),CROQUIS!$C$107/2+CROQUIS!$C$140,IF(CROQUIS!$C$103=1,-12,2),0),((CROQUIS!$C$107/2+(((CROQUIS!$C$98)-CROQUIS!$C$107)-(MIN(80,MAX(1,INT(((CROQUIS!$C$98)-CROQUIS!$C$107)/MAX(CROQUIS!$C$130,1))+1))-1)*CROQUIS!$C$130)/2)+MIN(INT(($A231-1)/5),MAX((MIN(80,MAX(1,INT(((CROQUIS!$C$98)-CROQUIS!$C$107)/MAX(CROQUIS!$C$130,1))+1)))-1,0))*CROQUIS!$C$130)))*CROQUIS!$C$155)+IF(CROQUIS!$C$92="X",0,0)),-1000)</f>
        <v>-1000</v>
      </c>
      <c r="BM23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231-1)/5),MAX((MIN(80,MAX(1,INT(((CROQUIS!$C$98)-CROQUIS!$C$107)/MAX(CROQUIS!$C$130,1))+1)))-1,0))*CROQUIS!$C$130),CHOOSE(IF(INT(($A231-1)/5)&gt;MAX((MIN(80,MAX(1,INT(((CROQUIS!$C$98)-CROQUIS!$C$107)/MAX(CROQUIS!$C$130,1))+1)))-1,0),0,MOD($A231-1,5))+1,0,IF(CROQUIS!$C$103=1,-12,2),CROQUIS!$C$107/2+CROQUIS!$C$140,IF(CROQUIS!$C$103=1,-12,2),0)))*CROQUIS!$C$155)+IF(CROQUIS!$C$92="X",0,0)),-1000)</f>
        <v>-1000</v>
      </c>
      <c r="BN231">
        <f>IF(AND(CROQUIS!$C$88=1,CROQUIS!$C$91=0,CROQUIS!$C$130&gt;0,OR(CROQUIS!$C$104=1,CROQUIS!$C$142=1)),((CROQUIS!$C$156+(IF(CROQUIS!$C$92="X",CHOOSE(IF(INT(($A231-1)/5)&gt;MAX((MIN(80,MAX(1,INT(((CROQUIS!$C$98)-CROQUIS!$C$107)/MAX(CROQUIS!$C$130,1))+1)))-1,0),0,MOD($A231-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231-1)/5),MAX((MIN(80,MAX(1,INT(((CROQUIS!$C$98)-CROQUIS!$C$107)/MAX(CROQUIS!$C$130,1))+1)))-1,0))*CROQUIS!$C$130)))*CROQUIS!$C$155)+IF(CROQUIS!$C$92="X",0,0)),-1000)</f>
        <v>-1000</v>
      </c>
      <c r="BO23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231-1)/5),MAX((MIN(80,MAX(1,INT(((CROQUIS!$C$98)-CROQUIS!$C$107)/MAX(CROQUIS!$C$130,1))+1)))-1,0))*CROQUIS!$C$130),CHOOSE(IF(INT(($A231-1)/5)&gt;MAX((MIN(80,MAX(1,INT(((CROQUIS!$C$98)-CROQUIS!$C$107)/MAX(CROQUIS!$C$130,1))+1)))-1,0),0,MOD($A231-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3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231-1)/5),MAX((MIN(80,MAX(1,INT(((CROQUIS!$C$97)-CROQUIS!$C$107)/MAX(CROQUIS!$C$138,1))+1)))-1,0))*CROQUIS!$C$138),CHOOSE(IF(INT(($A231-1)/5)&gt;MAX((MIN(80,MAX(1,INT(((CROQUIS!$C$97)-CROQUIS!$C$107)/MAX(CROQUIS!$C$138,1))+1)))-1,0),0,MOD($A231-1,5))+1,0,IF(CROQUIS!$C$105=1,-12,2),CROQUIS!$C$107/2+CROQUIS!$C$141,IF(CROQUIS!$C$105=1,-12,2),0)))*CROQUIS!$C$155)+IF(CROQUIS!$C$92="X",0,0)),-1000)</f>
        <v>-1000</v>
      </c>
      <c r="BQ231">
        <f>IF(AND(CROQUIS!$C$88=1,CROQUIS!$C$91=0,CROQUIS!$C$138&gt;0,OR(CROQUIS!$C$105=1,CROQUIS!$C$143=1)),((CROQUIS!$C$157+(IF(CROQUIS!$C$92="X",CHOOSE(IF(INT(($A231-1)/5)&gt;MAX((MIN(80,MAX(1,INT(((CROQUIS!$C$97)-CROQUIS!$C$107)/MAX(CROQUIS!$C$138,1))+1)))-1,0),0,MOD($A231-1,5))+1,0,IF(CROQUIS!$C$105=1,-12,2),CROQUIS!$C$107/2+CROQUIS!$C$141,IF(CROQUIS!$C$105=1,-12,2),0),((CROQUIS!$C$107/2+(((CROQUIS!$C$97)-CROQUIS!$C$107)-(MIN(80,MAX(1,INT(((CROQUIS!$C$97)-CROQUIS!$C$107)/MAX(CROQUIS!$C$138,1))+1))-1)*CROQUIS!$C$138)/2)+MIN(INT(($A231-1)/5),MAX((MIN(80,MAX(1,INT(((CROQUIS!$C$97)-CROQUIS!$C$107)/MAX(CROQUIS!$C$138,1))+1)))-1,0))*CROQUIS!$C$138)))*CROQUIS!$C$155)+IF(CROQUIS!$C$92="X",0,0)),-1000)</f>
        <v>-1000</v>
      </c>
      <c r="BR23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231-1)/5),MAX((MIN(80,MAX(1,INT(((CROQUIS!$C$97)-CROQUIS!$C$107)/MAX(CROQUIS!$C$138,1))+1)))-1,0))*CROQUIS!$C$138),CHOOSE(IF(INT(($A231-1)/5)&gt;MAX((MIN(80,MAX(1,INT(((CROQUIS!$C$97)-CROQUIS!$C$107)/MAX(CROQUIS!$C$138,1))+1)))-1,0),0,MOD($A231-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31">
        <f>IF(AND(CROQUIS!$C$88=1,CROQUIS!$C$91=0,CROQUIS!$C$138&gt;0,OR(CROQUIS!$C$106=1,CROQUIS!$C$143=1)),((CROQUIS!$C$157+(IF(CROQUIS!$C$92="X",CHOOSE(IF(INT(($A231-1)/5)&gt;MAX((MIN(80,MAX(1,INT(((CROQUIS!$C$97)-CROQUIS!$C$107)/MAX(CROQUIS!$C$138,1))+1)))-1,0),0,MOD($A231-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231-1)/5),MAX((MIN(80,MAX(1,INT(((CROQUIS!$C$97)-CROQUIS!$C$107)/MAX(CROQUIS!$C$138,1))+1)))-1,0))*CROQUIS!$C$138)))*CROQUIS!$C$155)+IF(CROQUIS!$C$92="X",0,0)),-1000)</f>
        <v>-1000</v>
      </c>
      <c r="BT231">
        <f>IF(AND(CROQUIS!$C$88=1,CROQUIS!$C$91=1,CROQUIS!$C$130&gt;0),((CROQUIS!$C$156+(IF(CROQUIS!$C$92="X",CHOOSE(IF(INT(($A231-1)/5)&gt;MAX((MIN(80,MAX(1,INT(((CROQUIS!$C$98)-CROQUIS!$C$107)/MAX(CROQUIS!$C$130,1))+1)))-1,0),0,MOD($A231-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231-1)/5),MAX((MIN(80,MAX(1,INT(((CROQUIS!$C$98)-CROQUIS!$C$107)/MAX(CROQUIS!$C$130,1))+1)))-1,0))*CROQUIS!$C$130)))*CROQUIS!$C$155)+IF(CROQUIS!$C$92="X",0,0)),-1000)</f>
        <v>-1000</v>
      </c>
      <c r="BU231">
        <f>IF(AND(CROQUIS!$C$88=1,CROQUIS!$C$91=1,CROQUIS!$C$130&gt;0),((CROQUIS!$C$157+(IF(CROQUIS!$C$92="X",((CROQUIS!$C$107/2+(((CROQUIS!$C$98)-CROQUIS!$C$107)-(MIN(80,MAX(1,INT(((CROQUIS!$C$98)-CROQUIS!$C$107)/MAX(CROQUIS!$C$130,1))+1))-1)*CROQUIS!$C$130)/2)+MIN(INT(($A231-1)/5),MAX((MIN(80,MAX(1,INT(((CROQUIS!$C$98)-CROQUIS!$C$107)/MAX(CROQUIS!$C$130,1))+1)))-1,0))*CROQUIS!$C$130),CHOOSE(IF(INT(($A231-1)/5)&gt;MAX((MIN(80,MAX(1,INT(((CROQUIS!$C$98)-CROQUIS!$C$107)/MAX(CROQUIS!$C$130,1))+1)))-1,0),0,MOD($A231-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32">
      <c r="A232" t="n">
        <v>225</v>
      </c>
      <c r="BH232">
        <f>IF(AND(CROQUIS!$C$88=1,CROQUIS!$C$126&gt;0),((CROQUIS!$C$156+(IF(CROQUIS!$C$92="X",CHOOSE(IF(INT(($A232-1)/5)&gt;MAX((MIN(80,MAX(1,INT(((CROQUIS!$C$98)-CROQUIS!$C$107)/MAX(CROQUIS!$C$126,1))+1)))-1,0),0,MOD($A232-1,5))+1,0,2,CROQUIS!$C$97-2,2,0),((CROQUIS!$C$107/2+(((CROQUIS!$C$98)-CROQUIS!$C$107)-(MIN(80,MAX(1,INT(((CROQUIS!$C$98)-CROQUIS!$C$107)/MAX(CROQUIS!$C$126,1))+1))-1)*CROQUIS!$C$126)/2)+MIN(INT(($A232-1)/5),MAX((MIN(80,MAX(1,INT(((CROQUIS!$C$98)-CROQUIS!$C$107)/MAX(CROQUIS!$C$126,1))+1)))-1,0))*CROQUIS!$C$126)))*CROQUIS!$C$155)+IF(CROQUIS!$C$92="X",0,0)),-1000)</f>
        <v>-1000</v>
      </c>
      <c r="BI232">
        <f>IF(AND(CROQUIS!$C$88=1,CROQUIS!$C$126&gt;0),((CROQUIS!$C$157+(IF(CROQUIS!$C$92="X",((CROQUIS!$C$107/2+(((CROQUIS!$C$98)-CROQUIS!$C$107)-(MIN(80,MAX(1,INT(((CROQUIS!$C$98)-CROQUIS!$C$107)/MAX(CROQUIS!$C$126,1))+1))-1)*CROQUIS!$C$126)/2)+MIN(INT(($A232-1)/5),MAX((MIN(80,MAX(1,INT(((CROQUIS!$C$98)-CROQUIS!$C$107)/MAX(CROQUIS!$C$126,1))+1)))-1,0))*CROQUIS!$C$126),CHOOSE(IF(INT(($A232-1)/5)&gt;MAX((MIN(80,MAX(1,INT(((CROQUIS!$C$98)-CROQUIS!$C$107)/MAX(CROQUIS!$C$126,1))+1)))-1,0),0,MOD($A232-1,5))+1,0,2,CROQUIS!$C$97-2,2,0)))*CROQUIS!$C$155)+IF(CROQUIS!$C$92="X",0,0)),-1000)</f>
        <v>-1000</v>
      </c>
      <c r="BJ232">
        <f>IF(AND(CROQUIS!$C$88=1,CROQUIS!$C$134&gt;0),((CROQUIS!$C$156+(IF(CROQUIS!$C$92="X",((CROQUIS!$C$107/2+(((CROQUIS!$C$97)-CROQUIS!$C$107)-(MIN(80,MAX(1,INT(((CROQUIS!$C$97)-CROQUIS!$C$107)/MAX(CROQUIS!$C$134,1))+1))-1)*CROQUIS!$C$134)/2)+MIN(INT(($A232-1)/5),MAX((MIN(80,MAX(1,INT(((CROQUIS!$C$97)-CROQUIS!$C$107)/MAX(CROQUIS!$C$134,1))+1)))-1,0))*CROQUIS!$C$134),CHOOSE(IF(INT(($A232-1)/5)&gt;MAX((MIN(80,MAX(1,INT(((CROQUIS!$C$97)-CROQUIS!$C$107)/MAX(CROQUIS!$C$134,1))+1)))-1,0),0,MOD($A232-1,5))+1,0,2,CROQUIS!$C$98-2,2,0)))*CROQUIS!$C$155)+IF(CROQUIS!$C$92="X",0,0)),-1000)</f>
        <v>-1000</v>
      </c>
      <c r="BK232">
        <f>IF(AND(CROQUIS!$C$88=1,CROQUIS!$C$134&gt;0),((CROQUIS!$C$157+(IF(CROQUIS!$C$92="X",CHOOSE(IF(INT(($A232-1)/5)&gt;MAX((MIN(80,MAX(1,INT(((CROQUIS!$C$97)-CROQUIS!$C$107)/MAX(CROQUIS!$C$134,1))+1)))-1,0),0,MOD($A232-1,5))+1,0,2,CROQUIS!$C$98-2,2,0),((CROQUIS!$C$107/2+(((CROQUIS!$C$97)-CROQUIS!$C$107)-(MIN(80,MAX(1,INT(((CROQUIS!$C$97)-CROQUIS!$C$107)/MAX(CROQUIS!$C$134,1))+1))-1)*CROQUIS!$C$134)/2)+MIN(INT(($A232-1)/5),MAX((MIN(80,MAX(1,INT(((CROQUIS!$C$97)-CROQUIS!$C$107)/MAX(CROQUIS!$C$134,1))+1)))-1,0))*CROQUIS!$C$134)))*CROQUIS!$C$155)+IF(CROQUIS!$C$92="X",0,0)),-1000)</f>
        <v>-1000</v>
      </c>
      <c r="BL232">
        <f>IF(AND(CROQUIS!$C$88=1,CROQUIS!$C$91=0,CROQUIS!$C$130&gt;0,OR(CROQUIS!$C$103=1,CROQUIS!$C$142=1)),((CROQUIS!$C$156+(IF(CROQUIS!$C$92="X",CHOOSE(IF(INT(($A232-1)/5)&gt;MAX((MIN(80,MAX(1,INT(((CROQUIS!$C$98)-CROQUIS!$C$107)/MAX(CROQUIS!$C$130,1))+1)))-1,0),0,MOD($A232-1,5))+1,0,IF(CROQUIS!$C$103=1,-12,2),CROQUIS!$C$107/2+CROQUIS!$C$140,IF(CROQUIS!$C$103=1,-12,2),0),((CROQUIS!$C$107/2+(((CROQUIS!$C$98)-CROQUIS!$C$107)-(MIN(80,MAX(1,INT(((CROQUIS!$C$98)-CROQUIS!$C$107)/MAX(CROQUIS!$C$130,1))+1))-1)*CROQUIS!$C$130)/2)+MIN(INT(($A232-1)/5),MAX((MIN(80,MAX(1,INT(((CROQUIS!$C$98)-CROQUIS!$C$107)/MAX(CROQUIS!$C$130,1))+1)))-1,0))*CROQUIS!$C$130)))*CROQUIS!$C$155)+IF(CROQUIS!$C$92="X",0,0)),-1000)</f>
        <v>-1000</v>
      </c>
      <c r="BM23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232-1)/5),MAX((MIN(80,MAX(1,INT(((CROQUIS!$C$98)-CROQUIS!$C$107)/MAX(CROQUIS!$C$130,1))+1)))-1,0))*CROQUIS!$C$130),CHOOSE(IF(INT(($A232-1)/5)&gt;MAX((MIN(80,MAX(1,INT(((CROQUIS!$C$98)-CROQUIS!$C$107)/MAX(CROQUIS!$C$130,1))+1)))-1,0),0,MOD($A232-1,5))+1,0,IF(CROQUIS!$C$103=1,-12,2),CROQUIS!$C$107/2+CROQUIS!$C$140,IF(CROQUIS!$C$103=1,-12,2),0)))*CROQUIS!$C$155)+IF(CROQUIS!$C$92="X",0,0)),-1000)</f>
        <v>-1000</v>
      </c>
      <c r="BN232">
        <f>IF(AND(CROQUIS!$C$88=1,CROQUIS!$C$91=0,CROQUIS!$C$130&gt;0,OR(CROQUIS!$C$104=1,CROQUIS!$C$142=1)),((CROQUIS!$C$156+(IF(CROQUIS!$C$92="X",CHOOSE(IF(INT(($A232-1)/5)&gt;MAX((MIN(80,MAX(1,INT(((CROQUIS!$C$98)-CROQUIS!$C$107)/MAX(CROQUIS!$C$130,1))+1)))-1,0),0,MOD($A232-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232-1)/5),MAX((MIN(80,MAX(1,INT(((CROQUIS!$C$98)-CROQUIS!$C$107)/MAX(CROQUIS!$C$130,1))+1)))-1,0))*CROQUIS!$C$130)))*CROQUIS!$C$155)+IF(CROQUIS!$C$92="X",0,0)),-1000)</f>
        <v>-1000</v>
      </c>
      <c r="BO23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232-1)/5),MAX((MIN(80,MAX(1,INT(((CROQUIS!$C$98)-CROQUIS!$C$107)/MAX(CROQUIS!$C$130,1))+1)))-1,0))*CROQUIS!$C$130),CHOOSE(IF(INT(($A232-1)/5)&gt;MAX((MIN(80,MAX(1,INT(((CROQUIS!$C$98)-CROQUIS!$C$107)/MAX(CROQUIS!$C$130,1))+1)))-1,0),0,MOD($A232-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3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232-1)/5),MAX((MIN(80,MAX(1,INT(((CROQUIS!$C$97)-CROQUIS!$C$107)/MAX(CROQUIS!$C$138,1))+1)))-1,0))*CROQUIS!$C$138),CHOOSE(IF(INT(($A232-1)/5)&gt;MAX((MIN(80,MAX(1,INT(((CROQUIS!$C$97)-CROQUIS!$C$107)/MAX(CROQUIS!$C$138,1))+1)))-1,0),0,MOD($A232-1,5))+1,0,IF(CROQUIS!$C$105=1,-12,2),CROQUIS!$C$107/2+CROQUIS!$C$141,IF(CROQUIS!$C$105=1,-12,2),0)))*CROQUIS!$C$155)+IF(CROQUIS!$C$92="X",0,0)),-1000)</f>
        <v>-1000</v>
      </c>
      <c r="BQ232">
        <f>IF(AND(CROQUIS!$C$88=1,CROQUIS!$C$91=0,CROQUIS!$C$138&gt;0,OR(CROQUIS!$C$105=1,CROQUIS!$C$143=1)),((CROQUIS!$C$157+(IF(CROQUIS!$C$92="X",CHOOSE(IF(INT(($A232-1)/5)&gt;MAX((MIN(80,MAX(1,INT(((CROQUIS!$C$97)-CROQUIS!$C$107)/MAX(CROQUIS!$C$138,1))+1)))-1,0),0,MOD($A232-1,5))+1,0,IF(CROQUIS!$C$105=1,-12,2),CROQUIS!$C$107/2+CROQUIS!$C$141,IF(CROQUIS!$C$105=1,-12,2),0),((CROQUIS!$C$107/2+(((CROQUIS!$C$97)-CROQUIS!$C$107)-(MIN(80,MAX(1,INT(((CROQUIS!$C$97)-CROQUIS!$C$107)/MAX(CROQUIS!$C$138,1))+1))-1)*CROQUIS!$C$138)/2)+MIN(INT(($A232-1)/5),MAX((MIN(80,MAX(1,INT(((CROQUIS!$C$97)-CROQUIS!$C$107)/MAX(CROQUIS!$C$138,1))+1)))-1,0))*CROQUIS!$C$138)))*CROQUIS!$C$155)+IF(CROQUIS!$C$92="X",0,0)),-1000)</f>
        <v>-1000</v>
      </c>
      <c r="BR23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232-1)/5),MAX((MIN(80,MAX(1,INT(((CROQUIS!$C$97)-CROQUIS!$C$107)/MAX(CROQUIS!$C$138,1))+1)))-1,0))*CROQUIS!$C$138),CHOOSE(IF(INT(($A232-1)/5)&gt;MAX((MIN(80,MAX(1,INT(((CROQUIS!$C$97)-CROQUIS!$C$107)/MAX(CROQUIS!$C$138,1))+1)))-1,0),0,MOD($A232-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32">
        <f>IF(AND(CROQUIS!$C$88=1,CROQUIS!$C$91=0,CROQUIS!$C$138&gt;0,OR(CROQUIS!$C$106=1,CROQUIS!$C$143=1)),((CROQUIS!$C$157+(IF(CROQUIS!$C$92="X",CHOOSE(IF(INT(($A232-1)/5)&gt;MAX((MIN(80,MAX(1,INT(((CROQUIS!$C$97)-CROQUIS!$C$107)/MAX(CROQUIS!$C$138,1))+1)))-1,0),0,MOD($A232-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232-1)/5),MAX((MIN(80,MAX(1,INT(((CROQUIS!$C$97)-CROQUIS!$C$107)/MAX(CROQUIS!$C$138,1))+1)))-1,0))*CROQUIS!$C$138)))*CROQUIS!$C$155)+IF(CROQUIS!$C$92="X",0,0)),-1000)</f>
        <v>-1000</v>
      </c>
      <c r="BT232">
        <f>IF(AND(CROQUIS!$C$88=1,CROQUIS!$C$91=1,CROQUIS!$C$130&gt;0),((CROQUIS!$C$156+(IF(CROQUIS!$C$92="X",CHOOSE(IF(INT(($A232-1)/5)&gt;MAX((MIN(80,MAX(1,INT(((CROQUIS!$C$98)-CROQUIS!$C$107)/MAX(CROQUIS!$C$130,1))+1)))-1,0),0,MOD($A232-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232-1)/5),MAX((MIN(80,MAX(1,INT(((CROQUIS!$C$98)-CROQUIS!$C$107)/MAX(CROQUIS!$C$130,1))+1)))-1,0))*CROQUIS!$C$130)))*CROQUIS!$C$155)+IF(CROQUIS!$C$92="X",0,0)),-1000)</f>
        <v>-1000</v>
      </c>
      <c r="BU232">
        <f>IF(AND(CROQUIS!$C$88=1,CROQUIS!$C$91=1,CROQUIS!$C$130&gt;0),((CROQUIS!$C$157+(IF(CROQUIS!$C$92="X",((CROQUIS!$C$107/2+(((CROQUIS!$C$98)-CROQUIS!$C$107)-(MIN(80,MAX(1,INT(((CROQUIS!$C$98)-CROQUIS!$C$107)/MAX(CROQUIS!$C$130,1))+1))-1)*CROQUIS!$C$130)/2)+MIN(INT(($A232-1)/5),MAX((MIN(80,MAX(1,INT(((CROQUIS!$C$98)-CROQUIS!$C$107)/MAX(CROQUIS!$C$130,1))+1)))-1,0))*CROQUIS!$C$130),CHOOSE(IF(INT(($A232-1)/5)&gt;MAX((MIN(80,MAX(1,INT(((CROQUIS!$C$98)-CROQUIS!$C$107)/MAX(CROQUIS!$C$130,1))+1)))-1,0),0,MOD($A232-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33">
      <c r="A233" t="n">
        <v>226</v>
      </c>
      <c r="BH233">
        <f>IF(AND(CROQUIS!$C$88=1,CROQUIS!$C$126&gt;0),((CROQUIS!$C$156+(IF(CROQUIS!$C$92="X",CHOOSE(IF(INT(($A233-1)/5)&gt;MAX((MIN(80,MAX(1,INT(((CROQUIS!$C$98)-CROQUIS!$C$107)/MAX(CROQUIS!$C$126,1))+1)))-1,0),0,MOD($A233-1,5))+1,0,2,CROQUIS!$C$97-2,2,0),((CROQUIS!$C$107/2+(((CROQUIS!$C$98)-CROQUIS!$C$107)-(MIN(80,MAX(1,INT(((CROQUIS!$C$98)-CROQUIS!$C$107)/MAX(CROQUIS!$C$126,1))+1))-1)*CROQUIS!$C$126)/2)+MIN(INT(($A233-1)/5),MAX((MIN(80,MAX(1,INT(((CROQUIS!$C$98)-CROQUIS!$C$107)/MAX(CROQUIS!$C$126,1))+1)))-1,0))*CROQUIS!$C$126)))*CROQUIS!$C$155)+IF(CROQUIS!$C$92="X",0,0)),-1000)</f>
        <v>-1000</v>
      </c>
      <c r="BI233">
        <f>IF(AND(CROQUIS!$C$88=1,CROQUIS!$C$126&gt;0),((CROQUIS!$C$157+(IF(CROQUIS!$C$92="X",((CROQUIS!$C$107/2+(((CROQUIS!$C$98)-CROQUIS!$C$107)-(MIN(80,MAX(1,INT(((CROQUIS!$C$98)-CROQUIS!$C$107)/MAX(CROQUIS!$C$126,1))+1))-1)*CROQUIS!$C$126)/2)+MIN(INT(($A233-1)/5),MAX((MIN(80,MAX(1,INT(((CROQUIS!$C$98)-CROQUIS!$C$107)/MAX(CROQUIS!$C$126,1))+1)))-1,0))*CROQUIS!$C$126),CHOOSE(IF(INT(($A233-1)/5)&gt;MAX((MIN(80,MAX(1,INT(((CROQUIS!$C$98)-CROQUIS!$C$107)/MAX(CROQUIS!$C$126,1))+1)))-1,0),0,MOD($A233-1,5))+1,0,2,CROQUIS!$C$97-2,2,0)))*CROQUIS!$C$155)+IF(CROQUIS!$C$92="X",0,0)),-1000)</f>
        <v>-1000</v>
      </c>
      <c r="BJ233">
        <f>IF(AND(CROQUIS!$C$88=1,CROQUIS!$C$134&gt;0),((CROQUIS!$C$156+(IF(CROQUIS!$C$92="X",((CROQUIS!$C$107/2+(((CROQUIS!$C$97)-CROQUIS!$C$107)-(MIN(80,MAX(1,INT(((CROQUIS!$C$97)-CROQUIS!$C$107)/MAX(CROQUIS!$C$134,1))+1))-1)*CROQUIS!$C$134)/2)+MIN(INT(($A233-1)/5),MAX((MIN(80,MAX(1,INT(((CROQUIS!$C$97)-CROQUIS!$C$107)/MAX(CROQUIS!$C$134,1))+1)))-1,0))*CROQUIS!$C$134),CHOOSE(IF(INT(($A233-1)/5)&gt;MAX((MIN(80,MAX(1,INT(((CROQUIS!$C$97)-CROQUIS!$C$107)/MAX(CROQUIS!$C$134,1))+1)))-1,0),0,MOD($A233-1,5))+1,0,2,CROQUIS!$C$98-2,2,0)))*CROQUIS!$C$155)+IF(CROQUIS!$C$92="X",0,0)),-1000)</f>
        <v>-1000</v>
      </c>
      <c r="BK233">
        <f>IF(AND(CROQUIS!$C$88=1,CROQUIS!$C$134&gt;0),((CROQUIS!$C$157+(IF(CROQUIS!$C$92="X",CHOOSE(IF(INT(($A233-1)/5)&gt;MAX((MIN(80,MAX(1,INT(((CROQUIS!$C$97)-CROQUIS!$C$107)/MAX(CROQUIS!$C$134,1))+1)))-1,0),0,MOD($A233-1,5))+1,0,2,CROQUIS!$C$98-2,2,0),((CROQUIS!$C$107/2+(((CROQUIS!$C$97)-CROQUIS!$C$107)-(MIN(80,MAX(1,INT(((CROQUIS!$C$97)-CROQUIS!$C$107)/MAX(CROQUIS!$C$134,1))+1))-1)*CROQUIS!$C$134)/2)+MIN(INT(($A233-1)/5),MAX((MIN(80,MAX(1,INT(((CROQUIS!$C$97)-CROQUIS!$C$107)/MAX(CROQUIS!$C$134,1))+1)))-1,0))*CROQUIS!$C$134)))*CROQUIS!$C$155)+IF(CROQUIS!$C$92="X",0,0)),-1000)</f>
        <v>-1000</v>
      </c>
      <c r="BL233">
        <f>IF(AND(CROQUIS!$C$88=1,CROQUIS!$C$91=0,CROQUIS!$C$130&gt;0,OR(CROQUIS!$C$103=1,CROQUIS!$C$142=1)),((CROQUIS!$C$156+(IF(CROQUIS!$C$92="X",CHOOSE(IF(INT(($A233-1)/5)&gt;MAX((MIN(80,MAX(1,INT(((CROQUIS!$C$98)-CROQUIS!$C$107)/MAX(CROQUIS!$C$130,1))+1)))-1,0),0,MOD($A233-1,5))+1,0,IF(CROQUIS!$C$103=1,-12,2),CROQUIS!$C$107/2+CROQUIS!$C$140,IF(CROQUIS!$C$103=1,-12,2),0),((CROQUIS!$C$107/2+(((CROQUIS!$C$98)-CROQUIS!$C$107)-(MIN(80,MAX(1,INT(((CROQUIS!$C$98)-CROQUIS!$C$107)/MAX(CROQUIS!$C$130,1))+1))-1)*CROQUIS!$C$130)/2)+MIN(INT(($A233-1)/5),MAX((MIN(80,MAX(1,INT(((CROQUIS!$C$98)-CROQUIS!$C$107)/MAX(CROQUIS!$C$130,1))+1)))-1,0))*CROQUIS!$C$130)))*CROQUIS!$C$155)+IF(CROQUIS!$C$92="X",0,0)),-1000)</f>
        <v>-1000</v>
      </c>
      <c r="BM23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233-1)/5),MAX((MIN(80,MAX(1,INT(((CROQUIS!$C$98)-CROQUIS!$C$107)/MAX(CROQUIS!$C$130,1))+1)))-1,0))*CROQUIS!$C$130),CHOOSE(IF(INT(($A233-1)/5)&gt;MAX((MIN(80,MAX(1,INT(((CROQUIS!$C$98)-CROQUIS!$C$107)/MAX(CROQUIS!$C$130,1))+1)))-1,0),0,MOD($A233-1,5))+1,0,IF(CROQUIS!$C$103=1,-12,2),CROQUIS!$C$107/2+CROQUIS!$C$140,IF(CROQUIS!$C$103=1,-12,2),0)))*CROQUIS!$C$155)+IF(CROQUIS!$C$92="X",0,0)),-1000)</f>
        <v>-1000</v>
      </c>
      <c r="BN233">
        <f>IF(AND(CROQUIS!$C$88=1,CROQUIS!$C$91=0,CROQUIS!$C$130&gt;0,OR(CROQUIS!$C$104=1,CROQUIS!$C$142=1)),((CROQUIS!$C$156+(IF(CROQUIS!$C$92="X",CHOOSE(IF(INT(($A233-1)/5)&gt;MAX((MIN(80,MAX(1,INT(((CROQUIS!$C$98)-CROQUIS!$C$107)/MAX(CROQUIS!$C$130,1))+1)))-1,0),0,MOD($A233-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233-1)/5),MAX((MIN(80,MAX(1,INT(((CROQUIS!$C$98)-CROQUIS!$C$107)/MAX(CROQUIS!$C$130,1))+1)))-1,0))*CROQUIS!$C$130)))*CROQUIS!$C$155)+IF(CROQUIS!$C$92="X",0,0)),-1000)</f>
        <v>-1000</v>
      </c>
      <c r="BO23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233-1)/5),MAX((MIN(80,MAX(1,INT(((CROQUIS!$C$98)-CROQUIS!$C$107)/MAX(CROQUIS!$C$130,1))+1)))-1,0))*CROQUIS!$C$130),CHOOSE(IF(INT(($A233-1)/5)&gt;MAX((MIN(80,MAX(1,INT(((CROQUIS!$C$98)-CROQUIS!$C$107)/MAX(CROQUIS!$C$130,1))+1)))-1,0),0,MOD($A233-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3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233-1)/5),MAX((MIN(80,MAX(1,INT(((CROQUIS!$C$97)-CROQUIS!$C$107)/MAX(CROQUIS!$C$138,1))+1)))-1,0))*CROQUIS!$C$138),CHOOSE(IF(INT(($A233-1)/5)&gt;MAX((MIN(80,MAX(1,INT(((CROQUIS!$C$97)-CROQUIS!$C$107)/MAX(CROQUIS!$C$138,1))+1)))-1,0),0,MOD($A233-1,5))+1,0,IF(CROQUIS!$C$105=1,-12,2),CROQUIS!$C$107/2+CROQUIS!$C$141,IF(CROQUIS!$C$105=1,-12,2),0)))*CROQUIS!$C$155)+IF(CROQUIS!$C$92="X",0,0)),-1000)</f>
        <v>-1000</v>
      </c>
      <c r="BQ233">
        <f>IF(AND(CROQUIS!$C$88=1,CROQUIS!$C$91=0,CROQUIS!$C$138&gt;0,OR(CROQUIS!$C$105=1,CROQUIS!$C$143=1)),((CROQUIS!$C$157+(IF(CROQUIS!$C$92="X",CHOOSE(IF(INT(($A233-1)/5)&gt;MAX((MIN(80,MAX(1,INT(((CROQUIS!$C$97)-CROQUIS!$C$107)/MAX(CROQUIS!$C$138,1))+1)))-1,0),0,MOD($A233-1,5))+1,0,IF(CROQUIS!$C$105=1,-12,2),CROQUIS!$C$107/2+CROQUIS!$C$141,IF(CROQUIS!$C$105=1,-12,2),0),((CROQUIS!$C$107/2+(((CROQUIS!$C$97)-CROQUIS!$C$107)-(MIN(80,MAX(1,INT(((CROQUIS!$C$97)-CROQUIS!$C$107)/MAX(CROQUIS!$C$138,1))+1))-1)*CROQUIS!$C$138)/2)+MIN(INT(($A233-1)/5),MAX((MIN(80,MAX(1,INT(((CROQUIS!$C$97)-CROQUIS!$C$107)/MAX(CROQUIS!$C$138,1))+1)))-1,0))*CROQUIS!$C$138)))*CROQUIS!$C$155)+IF(CROQUIS!$C$92="X",0,0)),-1000)</f>
        <v>-1000</v>
      </c>
      <c r="BR23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233-1)/5),MAX((MIN(80,MAX(1,INT(((CROQUIS!$C$97)-CROQUIS!$C$107)/MAX(CROQUIS!$C$138,1))+1)))-1,0))*CROQUIS!$C$138),CHOOSE(IF(INT(($A233-1)/5)&gt;MAX((MIN(80,MAX(1,INT(((CROQUIS!$C$97)-CROQUIS!$C$107)/MAX(CROQUIS!$C$138,1))+1)))-1,0),0,MOD($A233-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33">
        <f>IF(AND(CROQUIS!$C$88=1,CROQUIS!$C$91=0,CROQUIS!$C$138&gt;0,OR(CROQUIS!$C$106=1,CROQUIS!$C$143=1)),((CROQUIS!$C$157+(IF(CROQUIS!$C$92="X",CHOOSE(IF(INT(($A233-1)/5)&gt;MAX((MIN(80,MAX(1,INT(((CROQUIS!$C$97)-CROQUIS!$C$107)/MAX(CROQUIS!$C$138,1))+1)))-1,0),0,MOD($A233-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233-1)/5),MAX((MIN(80,MAX(1,INT(((CROQUIS!$C$97)-CROQUIS!$C$107)/MAX(CROQUIS!$C$138,1))+1)))-1,0))*CROQUIS!$C$138)))*CROQUIS!$C$155)+IF(CROQUIS!$C$92="X",0,0)),-1000)</f>
        <v>-1000</v>
      </c>
      <c r="BT233">
        <f>IF(AND(CROQUIS!$C$88=1,CROQUIS!$C$91=1,CROQUIS!$C$130&gt;0),((CROQUIS!$C$156+(IF(CROQUIS!$C$92="X",CHOOSE(IF(INT(($A233-1)/5)&gt;MAX((MIN(80,MAX(1,INT(((CROQUIS!$C$98)-CROQUIS!$C$107)/MAX(CROQUIS!$C$130,1))+1)))-1,0),0,MOD($A233-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233-1)/5),MAX((MIN(80,MAX(1,INT(((CROQUIS!$C$98)-CROQUIS!$C$107)/MAX(CROQUIS!$C$130,1))+1)))-1,0))*CROQUIS!$C$130)))*CROQUIS!$C$155)+IF(CROQUIS!$C$92="X",0,0)),-1000)</f>
        <v>-1000</v>
      </c>
      <c r="BU233">
        <f>IF(AND(CROQUIS!$C$88=1,CROQUIS!$C$91=1,CROQUIS!$C$130&gt;0),((CROQUIS!$C$157+(IF(CROQUIS!$C$92="X",((CROQUIS!$C$107/2+(((CROQUIS!$C$98)-CROQUIS!$C$107)-(MIN(80,MAX(1,INT(((CROQUIS!$C$98)-CROQUIS!$C$107)/MAX(CROQUIS!$C$130,1))+1))-1)*CROQUIS!$C$130)/2)+MIN(INT(($A233-1)/5),MAX((MIN(80,MAX(1,INT(((CROQUIS!$C$98)-CROQUIS!$C$107)/MAX(CROQUIS!$C$130,1))+1)))-1,0))*CROQUIS!$C$130),CHOOSE(IF(INT(($A233-1)/5)&gt;MAX((MIN(80,MAX(1,INT(((CROQUIS!$C$98)-CROQUIS!$C$107)/MAX(CROQUIS!$C$130,1))+1)))-1,0),0,MOD($A233-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34">
      <c r="A234" t="n">
        <v>227</v>
      </c>
      <c r="BH234">
        <f>IF(AND(CROQUIS!$C$88=1,CROQUIS!$C$126&gt;0),((CROQUIS!$C$156+(IF(CROQUIS!$C$92="X",CHOOSE(IF(INT(($A234-1)/5)&gt;MAX((MIN(80,MAX(1,INT(((CROQUIS!$C$98)-CROQUIS!$C$107)/MAX(CROQUIS!$C$126,1))+1)))-1,0),0,MOD($A234-1,5))+1,0,2,CROQUIS!$C$97-2,2,0),((CROQUIS!$C$107/2+(((CROQUIS!$C$98)-CROQUIS!$C$107)-(MIN(80,MAX(1,INT(((CROQUIS!$C$98)-CROQUIS!$C$107)/MAX(CROQUIS!$C$126,1))+1))-1)*CROQUIS!$C$126)/2)+MIN(INT(($A234-1)/5),MAX((MIN(80,MAX(1,INT(((CROQUIS!$C$98)-CROQUIS!$C$107)/MAX(CROQUIS!$C$126,1))+1)))-1,0))*CROQUIS!$C$126)))*CROQUIS!$C$155)+IF(CROQUIS!$C$92="X",0,0)),-1000)</f>
        <v>-1000</v>
      </c>
      <c r="BI234">
        <f>IF(AND(CROQUIS!$C$88=1,CROQUIS!$C$126&gt;0),((CROQUIS!$C$157+(IF(CROQUIS!$C$92="X",((CROQUIS!$C$107/2+(((CROQUIS!$C$98)-CROQUIS!$C$107)-(MIN(80,MAX(1,INT(((CROQUIS!$C$98)-CROQUIS!$C$107)/MAX(CROQUIS!$C$126,1))+1))-1)*CROQUIS!$C$126)/2)+MIN(INT(($A234-1)/5),MAX((MIN(80,MAX(1,INT(((CROQUIS!$C$98)-CROQUIS!$C$107)/MAX(CROQUIS!$C$126,1))+1)))-1,0))*CROQUIS!$C$126),CHOOSE(IF(INT(($A234-1)/5)&gt;MAX((MIN(80,MAX(1,INT(((CROQUIS!$C$98)-CROQUIS!$C$107)/MAX(CROQUIS!$C$126,1))+1)))-1,0),0,MOD($A234-1,5))+1,0,2,CROQUIS!$C$97-2,2,0)))*CROQUIS!$C$155)+IF(CROQUIS!$C$92="X",0,0)),-1000)</f>
        <v>-1000</v>
      </c>
      <c r="BJ234">
        <f>IF(AND(CROQUIS!$C$88=1,CROQUIS!$C$134&gt;0),((CROQUIS!$C$156+(IF(CROQUIS!$C$92="X",((CROQUIS!$C$107/2+(((CROQUIS!$C$97)-CROQUIS!$C$107)-(MIN(80,MAX(1,INT(((CROQUIS!$C$97)-CROQUIS!$C$107)/MAX(CROQUIS!$C$134,1))+1))-1)*CROQUIS!$C$134)/2)+MIN(INT(($A234-1)/5),MAX((MIN(80,MAX(1,INT(((CROQUIS!$C$97)-CROQUIS!$C$107)/MAX(CROQUIS!$C$134,1))+1)))-1,0))*CROQUIS!$C$134),CHOOSE(IF(INT(($A234-1)/5)&gt;MAX((MIN(80,MAX(1,INT(((CROQUIS!$C$97)-CROQUIS!$C$107)/MAX(CROQUIS!$C$134,1))+1)))-1,0),0,MOD($A234-1,5))+1,0,2,CROQUIS!$C$98-2,2,0)))*CROQUIS!$C$155)+IF(CROQUIS!$C$92="X",0,0)),-1000)</f>
        <v>-1000</v>
      </c>
      <c r="BK234">
        <f>IF(AND(CROQUIS!$C$88=1,CROQUIS!$C$134&gt;0),((CROQUIS!$C$157+(IF(CROQUIS!$C$92="X",CHOOSE(IF(INT(($A234-1)/5)&gt;MAX((MIN(80,MAX(1,INT(((CROQUIS!$C$97)-CROQUIS!$C$107)/MAX(CROQUIS!$C$134,1))+1)))-1,0),0,MOD($A234-1,5))+1,0,2,CROQUIS!$C$98-2,2,0),((CROQUIS!$C$107/2+(((CROQUIS!$C$97)-CROQUIS!$C$107)-(MIN(80,MAX(1,INT(((CROQUIS!$C$97)-CROQUIS!$C$107)/MAX(CROQUIS!$C$134,1))+1))-1)*CROQUIS!$C$134)/2)+MIN(INT(($A234-1)/5),MAX((MIN(80,MAX(1,INT(((CROQUIS!$C$97)-CROQUIS!$C$107)/MAX(CROQUIS!$C$134,1))+1)))-1,0))*CROQUIS!$C$134)))*CROQUIS!$C$155)+IF(CROQUIS!$C$92="X",0,0)),-1000)</f>
        <v>-1000</v>
      </c>
      <c r="BL234">
        <f>IF(AND(CROQUIS!$C$88=1,CROQUIS!$C$91=0,CROQUIS!$C$130&gt;0,OR(CROQUIS!$C$103=1,CROQUIS!$C$142=1)),((CROQUIS!$C$156+(IF(CROQUIS!$C$92="X",CHOOSE(IF(INT(($A234-1)/5)&gt;MAX((MIN(80,MAX(1,INT(((CROQUIS!$C$98)-CROQUIS!$C$107)/MAX(CROQUIS!$C$130,1))+1)))-1,0),0,MOD($A234-1,5))+1,0,IF(CROQUIS!$C$103=1,-12,2),CROQUIS!$C$107/2+CROQUIS!$C$140,IF(CROQUIS!$C$103=1,-12,2),0),((CROQUIS!$C$107/2+(((CROQUIS!$C$98)-CROQUIS!$C$107)-(MIN(80,MAX(1,INT(((CROQUIS!$C$98)-CROQUIS!$C$107)/MAX(CROQUIS!$C$130,1))+1))-1)*CROQUIS!$C$130)/2)+MIN(INT(($A234-1)/5),MAX((MIN(80,MAX(1,INT(((CROQUIS!$C$98)-CROQUIS!$C$107)/MAX(CROQUIS!$C$130,1))+1)))-1,0))*CROQUIS!$C$130)))*CROQUIS!$C$155)+IF(CROQUIS!$C$92="X",0,0)),-1000)</f>
        <v>-1000</v>
      </c>
      <c r="BM23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234-1)/5),MAX((MIN(80,MAX(1,INT(((CROQUIS!$C$98)-CROQUIS!$C$107)/MAX(CROQUIS!$C$130,1))+1)))-1,0))*CROQUIS!$C$130),CHOOSE(IF(INT(($A234-1)/5)&gt;MAX((MIN(80,MAX(1,INT(((CROQUIS!$C$98)-CROQUIS!$C$107)/MAX(CROQUIS!$C$130,1))+1)))-1,0),0,MOD($A234-1,5))+1,0,IF(CROQUIS!$C$103=1,-12,2),CROQUIS!$C$107/2+CROQUIS!$C$140,IF(CROQUIS!$C$103=1,-12,2),0)))*CROQUIS!$C$155)+IF(CROQUIS!$C$92="X",0,0)),-1000)</f>
        <v>-1000</v>
      </c>
      <c r="BN234">
        <f>IF(AND(CROQUIS!$C$88=1,CROQUIS!$C$91=0,CROQUIS!$C$130&gt;0,OR(CROQUIS!$C$104=1,CROQUIS!$C$142=1)),((CROQUIS!$C$156+(IF(CROQUIS!$C$92="X",CHOOSE(IF(INT(($A234-1)/5)&gt;MAX((MIN(80,MAX(1,INT(((CROQUIS!$C$98)-CROQUIS!$C$107)/MAX(CROQUIS!$C$130,1))+1)))-1,0),0,MOD($A234-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234-1)/5),MAX((MIN(80,MAX(1,INT(((CROQUIS!$C$98)-CROQUIS!$C$107)/MAX(CROQUIS!$C$130,1))+1)))-1,0))*CROQUIS!$C$130)))*CROQUIS!$C$155)+IF(CROQUIS!$C$92="X",0,0)),-1000)</f>
        <v>-1000</v>
      </c>
      <c r="BO23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234-1)/5),MAX((MIN(80,MAX(1,INT(((CROQUIS!$C$98)-CROQUIS!$C$107)/MAX(CROQUIS!$C$130,1))+1)))-1,0))*CROQUIS!$C$130),CHOOSE(IF(INT(($A234-1)/5)&gt;MAX((MIN(80,MAX(1,INT(((CROQUIS!$C$98)-CROQUIS!$C$107)/MAX(CROQUIS!$C$130,1))+1)))-1,0),0,MOD($A234-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3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234-1)/5),MAX((MIN(80,MAX(1,INT(((CROQUIS!$C$97)-CROQUIS!$C$107)/MAX(CROQUIS!$C$138,1))+1)))-1,0))*CROQUIS!$C$138),CHOOSE(IF(INT(($A234-1)/5)&gt;MAX((MIN(80,MAX(1,INT(((CROQUIS!$C$97)-CROQUIS!$C$107)/MAX(CROQUIS!$C$138,1))+1)))-1,0),0,MOD($A234-1,5))+1,0,IF(CROQUIS!$C$105=1,-12,2),CROQUIS!$C$107/2+CROQUIS!$C$141,IF(CROQUIS!$C$105=1,-12,2),0)))*CROQUIS!$C$155)+IF(CROQUIS!$C$92="X",0,0)),-1000)</f>
        <v>-1000</v>
      </c>
      <c r="BQ234">
        <f>IF(AND(CROQUIS!$C$88=1,CROQUIS!$C$91=0,CROQUIS!$C$138&gt;0,OR(CROQUIS!$C$105=1,CROQUIS!$C$143=1)),((CROQUIS!$C$157+(IF(CROQUIS!$C$92="X",CHOOSE(IF(INT(($A234-1)/5)&gt;MAX((MIN(80,MAX(1,INT(((CROQUIS!$C$97)-CROQUIS!$C$107)/MAX(CROQUIS!$C$138,1))+1)))-1,0),0,MOD($A234-1,5))+1,0,IF(CROQUIS!$C$105=1,-12,2),CROQUIS!$C$107/2+CROQUIS!$C$141,IF(CROQUIS!$C$105=1,-12,2),0),((CROQUIS!$C$107/2+(((CROQUIS!$C$97)-CROQUIS!$C$107)-(MIN(80,MAX(1,INT(((CROQUIS!$C$97)-CROQUIS!$C$107)/MAX(CROQUIS!$C$138,1))+1))-1)*CROQUIS!$C$138)/2)+MIN(INT(($A234-1)/5),MAX((MIN(80,MAX(1,INT(((CROQUIS!$C$97)-CROQUIS!$C$107)/MAX(CROQUIS!$C$138,1))+1)))-1,0))*CROQUIS!$C$138)))*CROQUIS!$C$155)+IF(CROQUIS!$C$92="X",0,0)),-1000)</f>
        <v>-1000</v>
      </c>
      <c r="BR23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234-1)/5),MAX((MIN(80,MAX(1,INT(((CROQUIS!$C$97)-CROQUIS!$C$107)/MAX(CROQUIS!$C$138,1))+1)))-1,0))*CROQUIS!$C$138),CHOOSE(IF(INT(($A234-1)/5)&gt;MAX((MIN(80,MAX(1,INT(((CROQUIS!$C$97)-CROQUIS!$C$107)/MAX(CROQUIS!$C$138,1))+1)))-1,0),0,MOD($A234-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34">
        <f>IF(AND(CROQUIS!$C$88=1,CROQUIS!$C$91=0,CROQUIS!$C$138&gt;0,OR(CROQUIS!$C$106=1,CROQUIS!$C$143=1)),((CROQUIS!$C$157+(IF(CROQUIS!$C$92="X",CHOOSE(IF(INT(($A234-1)/5)&gt;MAX((MIN(80,MAX(1,INT(((CROQUIS!$C$97)-CROQUIS!$C$107)/MAX(CROQUIS!$C$138,1))+1)))-1,0),0,MOD($A234-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234-1)/5),MAX((MIN(80,MAX(1,INT(((CROQUIS!$C$97)-CROQUIS!$C$107)/MAX(CROQUIS!$C$138,1))+1)))-1,0))*CROQUIS!$C$138)))*CROQUIS!$C$155)+IF(CROQUIS!$C$92="X",0,0)),-1000)</f>
        <v>-1000</v>
      </c>
      <c r="BT234">
        <f>IF(AND(CROQUIS!$C$88=1,CROQUIS!$C$91=1,CROQUIS!$C$130&gt;0),((CROQUIS!$C$156+(IF(CROQUIS!$C$92="X",CHOOSE(IF(INT(($A234-1)/5)&gt;MAX((MIN(80,MAX(1,INT(((CROQUIS!$C$98)-CROQUIS!$C$107)/MAX(CROQUIS!$C$130,1))+1)))-1,0),0,MOD($A234-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234-1)/5),MAX((MIN(80,MAX(1,INT(((CROQUIS!$C$98)-CROQUIS!$C$107)/MAX(CROQUIS!$C$130,1))+1)))-1,0))*CROQUIS!$C$130)))*CROQUIS!$C$155)+IF(CROQUIS!$C$92="X",0,0)),-1000)</f>
        <v>-1000</v>
      </c>
      <c r="BU234">
        <f>IF(AND(CROQUIS!$C$88=1,CROQUIS!$C$91=1,CROQUIS!$C$130&gt;0),((CROQUIS!$C$157+(IF(CROQUIS!$C$92="X",((CROQUIS!$C$107/2+(((CROQUIS!$C$98)-CROQUIS!$C$107)-(MIN(80,MAX(1,INT(((CROQUIS!$C$98)-CROQUIS!$C$107)/MAX(CROQUIS!$C$130,1))+1))-1)*CROQUIS!$C$130)/2)+MIN(INT(($A234-1)/5),MAX((MIN(80,MAX(1,INT(((CROQUIS!$C$98)-CROQUIS!$C$107)/MAX(CROQUIS!$C$130,1))+1)))-1,0))*CROQUIS!$C$130),CHOOSE(IF(INT(($A234-1)/5)&gt;MAX((MIN(80,MAX(1,INT(((CROQUIS!$C$98)-CROQUIS!$C$107)/MAX(CROQUIS!$C$130,1))+1)))-1,0),0,MOD($A234-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35">
      <c r="A235" t="n">
        <v>228</v>
      </c>
      <c r="BH235">
        <f>IF(AND(CROQUIS!$C$88=1,CROQUIS!$C$126&gt;0),((CROQUIS!$C$156+(IF(CROQUIS!$C$92="X",CHOOSE(IF(INT(($A235-1)/5)&gt;MAX((MIN(80,MAX(1,INT(((CROQUIS!$C$98)-CROQUIS!$C$107)/MAX(CROQUIS!$C$126,1))+1)))-1,0),0,MOD($A235-1,5))+1,0,2,CROQUIS!$C$97-2,2,0),((CROQUIS!$C$107/2+(((CROQUIS!$C$98)-CROQUIS!$C$107)-(MIN(80,MAX(1,INT(((CROQUIS!$C$98)-CROQUIS!$C$107)/MAX(CROQUIS!$C$126,1))+1))-1)*CROQUIS!$C$126)/2)+MIN(INT(($A235-1)/5),MAX((MIN(80,MAX(1,INT(((CROQUIS!$C$98)-CROQUIS!$C$107)/MAX(CROQUIS!$C$126,1))+1)))-1,0))*CROQUIS!$C$126)))*CROQUIS!$C$155)+IF(CROQUIS!$C$92="X",0,0)),-1000)</f>
        <v>-1000</v>
      </c>
      <c r="BI235">
        <f>IF(AND(CROQUIS!$C$88=1,CROQUIS!$C$126&gt;0),((CROQUIS!$C$157+(IF(CROQUIS!$C$92="X",((CROQUIS!$C$107/2+(((CROQUIS!$C$98)-CROQUIS!$C$107)-(MIN(80,MAX(1,INT(((CROQUIS!$C$98)-CROQUIS!$C$107)/MAX(CROQUIS!$C$126,1))+1))-1)*CROQUIS!$C$126)/2)+MIN(INT(($A235-1)/5),MAX((MIN(80,MAX(1,INT(((CROQUIS!$C$98)-CROQUIS!$C$107)/MAX(CROQUIS!$C$126,1))+1)))-1,0))*CROQUIS!$C$126),CHOOSE(IF(INT(($A235-1)/5)&gt;MAX((MIN(80,MAX(1,INT(((CROQUIS!$C$98)-CROQUIS!$C$107)/MAX(CROQUIS!$C$126,1))+1)))-1,0),0,MOD($A235-1,5))+1,0,2,CROQUIS!$C$97-2,2,0)))*CROQUIS!$C$155)+IF(CROQUIS!$C$92="X",0,0)),-1000)</f>
        <v>-1000</v>
      </c>
      <c r="BJ235">
        <f>IF(AND(CROQUIS!$C$88=1,CROQUIS!$C$134&gt;0),((CROQUIS!$C$156+(IF(CROQUIS!$C$92="X",((CROQUIS!$C$107/2+(((CROQUIS!$C$97)-CROQUIS!$C$107)-(MIN(80,MAX(1,INT(((CROQUIS!$C$97)-CROQUIS!$C$107)/MAX(CROQUIS!$C$134,1))+1))-1)*CROQUIS!$C$134)/2)+MIN(INT(($A235-1)/5),MAX((MIN(80,MAX(1,INT(((CROQUIS!$C$97)-CROQUIS!$C$107)/MAX(CROQUIS!$C$134,1))+1)))-1,0))*CROQUIS!$C$134),CHOOSE(IF(INT(($A235-1)/5)&gt;MAX((MIN(80,MAX(1,INT(((CROQUIS!$C$97)-CROQUIS!$C$107)/MAX(CROQUIS!$C$134,1))+1)))-1,0),0,MOD($A235-1,5))+1,0,2,CROQUIS!$C$98-2,2,0)))*CROQUIS!$C$155)+IF(CROQUIS!$C$92="X",0,0)),-1000)</f>
        <v>-1000</v>
      </c>
      <c r="BK235">
        <f>IF(AND(CROQUIS!$C$88=1,CROQUIS!$C$134&gt;0),((CROQUIS!$C$157+(IF(CROQUIS!$C$92="X",CHOOSE(IF(INT(($A235-1)/5)&gt;MAX((MIN(80,MAX(1,INT(((CROQUIS!$C$97)-CROQUIS!$C$107)/MAX(CROQUIS!$C$134,1))+1)))-1,0),0,MOD($A235-1,5))+1,0,2,CROQUIS!$C$98-2,2,0),((CROQUIS!$C$107/2+(((CROQUIS!$C$97)-CROQUIS!$C$107)-(MIN(80,MAX(1,INT(((CROQUIS!$C$97)-CROQUIS!$C$107)/MAX(CROQUIS!$C$134,1))+1))-1)*CROQUIS!$C$134)/2)+MIN(INT(($A235-1)/5),MAX((MIN(80,MAX(1,INT(((CROQUIS!$C$97)-CROQUIS!$C$107)/MAX(CROQUIS!$C$134,1))+1)))-1,0))*CROQUIS!$C$134)))*CROQUIS!$C$155)+IF(CROQUIS!$C$92="X",0,0)),-1000)</f>
        <v>-1000</v>
      </c>
      <c r="BL235">
        <f>IF(AND(CROQUIS!$C$88=1,CROQUIS!$C$91=0,CROQUIS!$C$130&gt;0,OR(CROQUIS!$C$103=1,CROQUIS!$C$142=1)),((CROQUIS!$C$156+(IF(CROQUIS!$C$92="X",CHOOSE(IF(INT(($A235-1)/5)&gt;MAX((MIN(80,MAX(1,INT(((CROQUIS!$C$98)-CROQUIS!$C$107)/MAX(CROQUIS!$C$130,1))+1)))-1,0),0,MOD($A235-1,5))+1,0,IF(CROQUIS!$C$103=1,-12,2),CROQUIS!$C$107/2+CROQUIS!$C$140,IF(CROQUIS!$C$103=1,-12,2),0),((CROQUIS!$C$107/2+(((CROQUIS!$C$98)-CROQUIS!$C$107)-(MIN(80,MAX(1,INT(((CROQUIS!$C$98)-CROQUIS!$C$107)/MAX(CROQUIS!$C$130,1))+1))-1)*CROQUIS!$C$130)/2)+MIN(INT(($A235-1)/5),MAX((MIN(80,MAX(1,INT(((CROQUIS!$C$98)-CROQUIS!$C$107)/MAX(CROQUIS!$C$130,1))+1)))-1,0))*CROQUIS!$C$130)))*CROQUIS!$C$155)+IF(CROQUIS!$C$92="X",0,0)),-1000)</f>
        <v>-1000</v>
      </c>
      <c r="BM23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235-1)/5),MAX((MIN(80,MAX(1,INT(((CROQUIS!$C$98)-CROQUIS!$C$107)/MAX(CROQUIS!$C$130,1))+1)))-1,0))*CROQUIS!$C$130),CHOOSE(IF(INT(($A235-1)/5)&gt;MAX((MIN(80,MAX(1,INT(((CROQUIS!$C$98)-CROQUIS!$C$107)/MAX(CROQUIS!$C$130,1))+1)))-1,0),0,MOD($A235-1,5))+1,0,IF(CROQUIS!$C$103=1,-12,2),CROQUIS!$C$107/2+CROQUIS!$C$140,IF(CROQUIS!$C$103=1,-12,2),0)))*CROQUIS!$C$155)+IF(CROQUIS!$C$92="X",0,0)),-1000)</f>
        <v>-1000</v>
      </c>
      <c r="BN235">
        <f>IF(AND(CROQUIS!$C$88=1,CROQUIS!$C$91=0,CROQUIS!$C$130&gt;0,OR(CROQUIS!$C$104=1,CROQUIS!$C$142=1)),((CROQUIS!$C$156+(IF(CROQUIS!$C$92="X",CHOOSE(IF(INT(($A235-1)/5)&gt;MAX((MIN(80,MAX(1,INT(((CROQUIS!$C$98)-CROQUIS!$C$107)/MAX(CROQUIS!$C$130,1))+1)))-1,0),0,MOD($A235-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235-1)/5),MAX((MIN(80,MAX(1,INT(((CROQUIS!$C$98)-CROQUIS!$C$107)/MAX(CROQUIS!$C$130,1))+1)))-1,0))*CROQUIS!$C$130)))*CROQUIS!$C$155)+IF(CROQUIS!$C$92="X",0,0)),-1000)</f>
        <v>-1000</v>
      </c>
      <c r="BO23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235-1)/5),MAX((MIN(80,MAX(1,INT(((CROQUIS!$C$98)-CROQUIS!$C$107)/MAX(CROQUIS!$C$130,1))+1)))-1,0))*CROQUIS!$C$130),CHOOSE(IF(INT(($A235-1)/5)&gt;MAX((MIN(80,MAX(1,INT(((CROQUIS!$C$98)-CROQUIS!$C$107)/MAX(CROQUIS!$C$130,1))+1)))-1,0),0,MOD($A235-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3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235-1)/5),MAX((MIN(80,MAX(1,INT(((CROQUIS!$C$97)-CROQUIS!$C$107)/MAX(CROQUIS!$C$138,1))+1)))-1,0))*CROQUIS!$C$138),CHOOSE(IF(INT(($A235-1)/5)&gt;MAX((MIN(80,MAX(1,INT(((CROQUIS!$C$97)-CROQUIS!$C$107)/MAX(CROQUIS!$C$138,1))+1)))-1,0),0,MOD($A235-1,5))+1,0,IF(CROQUIS!$C$105=1,-12,2),CROQUIS!$C$107/2+CROQUIS!$C$141,IF(CROQUIS!$C$105=1,-12,2),0)))*CROQUIS!$C$155)+IF(CROQUIS!$C$92="X",0,0)),-1000)</f>
        <v>-1000</v>
      </c>
      <c r="BQ235">
        <f>IF(AND(CROQUIS!$C$88=1,CROQUIS!$C$91=0,CROQUIS!$C$138&gt;0,OR(CROQUIS!$C$105=1,CROQUIS!$C$143=1)),((CROQUIS!$C$157+(IF(CROQUIS!$C$92="X",CHOOSE(IF(INT(($A235-1)/5)&gt;MAX((MIN(80,MAX(1,INT(((CROQUIS!$C$97)-CROQUIS!$C$107)/MAX(CROQUIS!$C$138,1))+1)))-1,0),0,MOD($A235-1,5))+1,0,IF(CROQUIS!$C$105=1,-12,2),CROQUIS!$C$107/2+CROQUIS!$C$141,IF(CROQUIS!$C$105=1,-12,2),0),((CROQUIS!$C$107/2+(((CROQUIS!$C$97)-CROQUIS!$C$107)-(MIN(80,MAX(1,INT(((CROQUIS!$C$97)-CROQUIS!$C$107)/MAX(CROQUIS!$C$138,1))+1))-1)*CROQUIS!$C$138)/2)+MIN(INT(($A235-1)/5),MAX((MIN(80,MAX(1,INT(((CROQUIS!$C$97)-CROQUIS!$C$107)/MAX(CROQUIS!$C$138,1))+1)))-1,0))*CROQUIS!$C$138)))*CROQUIS!$C$155)+IF(CROQUIS!$C$92="X",0,0)),-1000)</f>
        <v>-1000</v>
      </c>
      <c r="BR23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235-1)/5),MAX((MIN(80,MAX(1,INT(((CROQUIS!$C$97)-CROQUIS!$C$107)/MAX(CROQUIS!$C$138,1))+1)))-1,0))*CROQUIS!$C$138),CHOOSE(IF(INT(($A235-1)/5)&gt;MAX((MIN(80,MAX(1,INT(((CROQUIS!$C$97)-CROQUIS!$C$107)/MAX(CROQUIS!$C$138,1))+1)))-1,0),0,MOD($A235-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35">
        <f>IF(AND(CROQUIS!$C$88=1,CROQUIS!$C$91=0,CROQUIS!$C$138&gt;0,OR(CROQUIS!$C$106=1,CROQUIS!$C$143=1)),((CROQUIS!$C$157+(IF(CROQUIS!$C$92="X",CHOOSE(IF(INT(($A235-1)/5)&gt;MAX((MIN(80,MAX(1,INT(((CROQUIS!$C$97)-CROQUIS!$C$107)/MAX(CROQUIS!$C$138,1))+1)))-1,0),0,MOD($A235-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235-1)/5),MAX((MIN(80,MAX(1,INT(((CROQUIS!$C$97)-CROQUIS!$C$107)/MAX(CROQUIS!$C$138,1))+1)))-1,0))*CROQUIS!$C$138)))*CROQUIS!$C$155)+IF(CROQUIS!$C$92="X",0,0)),-1000)</f>
        <v>-1000</v>
      </c>
      <c r="BT235">
        <f>IF(AND(CROQUIS!$C$88=1,CROQUIS!$C$91=1,CROQUIS!$C$130&gt;0),((CROQUIS!$C$156+(IF(CROQUIS!$C$92="X",CHOOSE(IF(INT(($A235-1)/5)&gt;MAX((MIN(80,MAX(1,INT(((CROQUIS!$C$98)-CROQUIS!$C$107)/MAX(CROQUIS!$C$130,1))+1)))-1,0),0,MOD($A235-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235-1)/5),MAX((MIN(80,MAX(1,INT(((CROQUIS!$C$98)-CROQUIS!$C$107)/MAX(CROQUIS!$C$130,1))+1)))-1,0))*CROQUIS!$C$130)))*CROQUIS!$C$155)+IF(CROQUIS!$C$92="X",0,0)),-1000)</f>
        <v>-1000</v>
      </c>
      <c r="BU235">
        <f>IF(AND(CROQUIS!$C$88=1,CROQUIS!$C$91=1,CROQUIS!$C$130&gt;0),((CROQUIS!$C$157+(IF(CROQUIS!$C$92="X",((CROQUIS!$C$107/2+(((CROQUIS!$C$98)-CROQUIS!$C$107)-(MIN(80,MAX(1,INT(((CROQUIS!$C$98)-CROQUIS!$C$107)/MAX(CROQUIS!$C$130,1))+1))-1)*CROQUIS!$C$130)/2)+MIN(INT(($A235-1)/5),MAX((MIN(80,MAX(1,INT(((CROQUIS!$C$98)-CROQUIS!$C$107)/MAX(CROQUIS!$C$130,1))+1)))-1,0))*CROQUIS!$C$130),CHOOSE(IF(INT(($A235-1)/5)&gt;MAX((MIN(80,MAX(1,INT(((CROQUIS!$C$98)-CROQUIS!$C$107)/MAX(CROQUIS!$C$130,1))+1)))-1,0),0,MOD($A235-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36">
      <c r="A236" t="n">
        <v>229</v>
      </c>
      <c r="BH236">
        <f>IF(AND(CROQUIS!$C$88=1,CROQUIS!$C$126&gt;0),((CROQUIS!$C$156+(IF(CROQUIS!$C$92="X",CHOOSE(IF(INT(($A236-1)/5)&gt;MAX((MIN(80,MAX(1,INT(((CROQUIS!$C$98)-CROQUIS!$C$107)/MAX(CROQUIS!$C$126,1))+1)))-1,0),0,MOD($A236-1,5))+1,0,2,CROQUIS!$C$97-2,2,0),((CROQUIS!$C$107/2+(((CROQUIS!$C$98)-CROQUIS!$C$107)-(MIN(80,MAX(1,INT(((CROQUIS!$C$98)-CROQUIS!$C$107)/MAX(CROQUIS!$C$126,1))+1))-1)*CROQUIS!$C$126)/2)+MIN(INT(($A236-1)/5),MAX((MIN(80,MAX(1,INT(((CROQUIS!$C$98)-CROQUIS!$C$107)/MAX(CROQUIS!$C$126,1))+1)))-1,0))*CROQUIS!$C$126)))*CROQUIS!$C$155)+IF(CROQUIS!$C$92="X",0,0)),-1000)</f>
        <v>-1000</v>
      </c>
      <c r="BI236">
        <f>IF(AND(CROQUIS!$C$88=1,CROQUIS!$C$126&gt;0),((CROQUIS!$C$157+(IF(CROQUIS!$C$92="X",((CROQUIS!$C$107/2+(((CROQUIS!$C$98)-CROQUIS!$C$107)-(MIN(80,MAX(1,INT(((CROQUIS!$C$98)-CROQUIS!$C$107)/MAX(CROQUIS!$C$126,1))+1))-1)*CROQUIS!$C$126)/2)+MIN(INT(($A236-1)/5),MAX((MIN(80,MAX(1,INT(((CROQUIS!$C$98)-CROQUIS!$C$107)/MAX(CROQUIS!$C$126,1))+1)))-1,0))*CROQUIS!$C$126),CHOOSE(IF(INT(($A236-1)/5)&gt;MAX((MIN(80,MAX(1,INT(((CROQUIS!$C$98)-CROQUIS!$C$107)/MAX(CROQUIS!$C$126,1))+1)))-1,0),0,MOD($A236-1,5))+1,0,2,CROQUIS!$C$97-2,2,0)))*CROQUIS!$C$155)+IF(CROQUIS!$C$92="X",0,0)),-1000)</f>
        <v>-1000</v>
      </c>
      <c r="BJ236">
        <f>IF(AND(CROQUIS!$C$88=1,CROQUIS!$C$134&gt;0),((CROQUIS!$C$156+(IF(CROQUIS!$C$92="X",((CROQUIS!$C$107/2+(((CROQUIS!$C$97)-CROQUIS!$C$107)-(MIN(80,MAX(1,INT(((CROQUIS!$C$97)-CROQUIS!$C$107)/MAX(CROQUIS!$C$134,1))+1))-1)*CROQUIS!$C$134)/2)+MIN(INT(($A236-1)/5),MAX((MIN(80,MAX(1,INT(((CROQUIS!$C$97)-CROQUIS!$C$107)/MAX(CROQUIS!$C$134,1))+1)))-1,0))*CROQUIS!$C$134),CHOOSE(IF(INT(($A236-1)/5)&gt;MAX((MIN(80,MAX(1,INT(((CROQUIS!$C$97)-CROQUIS!$C$107)/MAX(CROQUIS!$C$134,1))+1)))-1,0),0,MOD($A236-1,5))+1,0,2,CROQUIS!$C$98-2,2,0)))*CROQUIS!$C$155)+IF(CROQUIS!$C$92="X",0,0)),-1000)</f>
        <v>-1000</v>
      </c>
      <c r="BK236">
        <f>IF(AND(CROQUIS!$C$88=1,CROQUIS!$C$134&gt;0),((CROQUIS!$C$157+(IF(CROQUIS!$C$92="X",CHOOSE(IF(INT(($A236-1)/5)&gt;MAX((MIN(80,MAX(1,INT(((CROQUIS!$C$97)-CROQUIS!$C$107)/MAX(CROQUIS!$C$134,1))+1)))-1,0),0,MOD($A236-1,5))+1,0,2,CROQUIS!$C$98-2,2,0),((CROQUIS!$C$107/2+(((CROQUIS!$C$97)-CROQUIS!$C$107)-(MIN(80,MAX(1,INT(((CROQUIS!$C$97)-CROQUIS!$C$107)/MAX(CROQUIS!$C$134,1))+1))-1)*CROQUIS!$C$134)/2)+MIN(INT(($A236-1)/5),MAX((MIN(80,MAX(1,INT(((CROQUIS!$C$97)-CROQUIS!$C$107)/MAX(CROQUIS!$C$134,1))+1)))-1,0))*CROQUIS!$C$134)))*CROQUIS!$C$155)+IF(CROQUIS!$C$92="X",0,0)),-1000)</f>
        <v>-1000</v>
      </c>
      <c r="BL236">
        <f>IF(AND(CROQUIS!$C$88=1,CROQUIS!$C$91=0,CROQUIS!$C$130&gt;0,OR(CROQUIS!$C$103=1,CROQUIS!$C$142=1)),((CROQUIS!$C$156+(IF(CROQUIS!$C$92="X",CHOOSE(IF(INT(($A236-1)/5)&gt;MAX((MIN(80,MAX(1,INT(((CROQUIS!$C$98)-CROQUIS!$C$107)/MAX(CROQUIS!$C$130,1))+1)))-1,0),0,MOD($A236-1,5))+1,0,IF(CROQUIS!$C$103=1,-12,2),CROQUIS!$C$107/2+CROQUIS!$C$140,IF(CROQUIS!$C$103=1,-12,2),0),((CROQUIS!$C$107/2+(((CROQUIS!$C$98)-CROQUIS!$C$107)-(MIN(80,MAX(1,INT(((CROQUIS!$C$98)-CROQUIS!$C$107)/MAX(CROQUIS!$C$130,1))+1))-1)*CROQUIS!$C$130)/2)+MIN(INT(($A236-1)/5),MAX((MIN(80,MAX(1,INT(((CROQUIS!$C$98)-CROQUIS!$C$107)/MAX(CROQUIS!$C$130,1))+1)))-1,0))*CROQUIS!$C$130)))*CROQUIS!$C$155)+IF(CROQUIS!$C$92="X",0,0)),-1000)</f>
        <v>-1000</v>
      </c>
      <c r="BM23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236-1)/5),MAX((MIN(80,MAX(1,INT(((CROQUIS!$C$98)-CROQUIS!$C$107)/MAX(CROQUIS!$C$130,1))+1)))-1,0))*CROQUIS!$C$130),CHOOSE(IF(INT(($A236-1)/5)&gt;MAX((MIN(80,MAX(1,INT(((CROQUIS!$C$98)-CROQUIS!$C$107)/MAX(CROQUIS!$C$130,1))+1)))-1,0),0,MOD($A236-1,5))+1,0,IF(CROQUIS!$C$103=1,-12,2),CROQUIS!$C$107/2+CROQUIS!$C$140,IF(CROQUIS!$C$103=1,-12,2),0)))*CROQUIS!$C$155)+IF(CROQUIS!$C$92="X",0,0)),-1000)</f>
        <v>-1000</v>
      </c>
      <c r="BN236">
        <f>IF(AND(CROQUIS!$C$88=1,CROQUIS!$C$91=0,CROQUIS!$C$130&gt;0,OR(CROQUIS!$C$104=1,CROQUIS!$C$142=1)),((CROQUIS!$C$156+(IF(CROQUIS!$C$92="X",CHOOSE(IF(INT(($A236-1)/5)&gt;MAX((MIN(80,MAX(1,INT(((CROQUIS!$C$98)-CROQUIS!$C$107)/MAX(CROQUIS!$C$130,1))+1)))-1,0),0,MOD($A236-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236-1)/5),MAX((MIN(80,MAX(1,INT(((CROQUIS!$C$98)-CROQUIS!$C$107)/MAX(CROQUIS!$C$130,1))+1)))-1,0))*CROQUIS!$C$130)))*CROQUIS!$C$155)+IF(CROQUIS!$C$92="X",0,0)),-1000)</f>
        <v>-1000</v>
      </c>
      <c r="BO23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236-1)/5),MAX((MIN(80,MAX(1,INT(((CROQUIS!$C$98)-CROQUIS!$C$107)/MAX(CROQUIS!$C$130,1))+1)))-1,0))*CROQUIS!$C$130),CHOOSE(IF(INT(($A236-1)/5)&gt;MAX((MIN(80,MAX(1,INT(((CROQUIS!$C$98)-CROQUIS!$C$107)/MAX(CROQUIS!$C$130,1))+1)))-1,0),0,MOD($A236-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3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236-1)/5),MAX((MIN(80,MAX(1,INT(((CROQUIS!$C$97)-CROQUIS!$C$107)/MAX(CROQUIS!$C$138,1))+1)))-1,0))*CROQUIS!$C$138),CHOOSE(IF(INT(($A236-1)/5)&gt;MAX((MIN(80,MAX(1,INT(((CROQUIS!$C$97)-CROQUIS!$C$107)/MAX(CROQUIS!$C$138,1))+1)))-1,0),0,MOD($A236-1,5))+1,0,IF(CROQUIS!$C$105=1,-12,2),CROQUIS!$C$107/2+CROQUIS!$C$141,IF(CROQUIS!$C$105=1,-12,2),0)))*CROQUIS!$C$155)+IF(CROQUIS!$C$92="X",0,0)),-1000)</f>
        <v>-1000</v>
      </c>
      <c r="BQ236">
        <f>IF(AND(CROQUIS!$C$88=1,CROQUIS!$C$91=0,CROQUIS!$C$138&gt;0,OR(CROQUIS!$C$105=1,CROQUIS!$C$143=1)),((CROQUIS!$C$157+(IF(CROQUIS!$C$92="X",CHOOSE(IF(INT(($A236-1)/5)&gt;MAX((MIN(80,MAX(1,INT(((CROQUIS!$C$97)-CROQUIS!$C$107)/MAX(CROQUIS!$C$138,1))+1)))-1,0),0,MOD($A236-1,5))+1,0,IF(CROQUIS!$C$105=1,-12,2),CROQUIS!$C$107/2+CROQUIS!$C$141,IF(CROQUIS!$C$105=1,-12,2),0),((CROQUIS!$C$107/2+(((CROQUIS!$C$97)-CROQUIS!$C$107)-(MIN(80,MAX(1,INT(((CROQUIS!$C$97)-CROQUIS!$C$107)/MAX(CROQUIS!$C$138,1))+1))-1)*CROQUIS!$C$138)/2)+MIN(INT(($A236-1)/5),MAX((MIN(80,MAX(1,INT(((CROQUIS!$C$97)-CROQUIS!$C$107)/MAX(CROQUIS!$C$138,1))+1)))-1,0))*CROQUIS!$C$138)))*CROQUIS!$C$155)+IF(CROQUIS!$C$92="X",0,0)),-1000)</f>
        <v>-1000</v>
      </c>
      <c r="BR23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236-1)/5),MAX((MIN(80,MAX(1,INT(((CROQUIS!$C$97)-CROQUIS!$C$107)/MAX(CROQUIS!$C$138,1))+1)))-1,0))*CROQUIS!$C$138),CHOOSE(IF(INT(($A236-1)/5)&gt;MAX((MIN(80,MAX(1,INT(((CROQUIS!$C$97)-CROQUIS!$C$107)/MAX(CROQUIS!$C$138,1))+1)))-1,0),0,MOD($A236-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36">
        <f>IF(AND(CROQUIS!$C$88=1,CROQUIS!$C$91=0,CROQUIS!$C$138&gt;0,OR(CROQUIS!$C$106=1,CROQUIS!$C$143=1)),((CROQUIS!$C$157+(IF(CROQUIS!$C$92="X",CHOOSE(IF(INT(($A236-1)/5)&gt;MAX((MIN(80,MAX(1,INT(((CROQUIS!$C$97)-CROQUIS!$C$107)/MAX(CROQUIS!$C$138,1))+1)))-1,0),0,MOD($A236-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236-1)/5),MAX((MIN(80,MAX(1,INT(((CROQUIS!$C$97)-CROQUIS!$C$107)/MAX(CROQUIS!$C$138,1))+1)))-1,0))*CROQUIS!$C$138)))*CROQUIS!$C$155)+IF(CROQUIS!$C$92="X",0,0)),-1000)</f>
        <v>-1000</v>
      </c>
      <c r="BT236">
        <f>IF(AND(CROQUIS!$C$88=1,CROQUIS!$C$91=1,CROQUIS!$C$130&gt;0),((CROQUIS!$C$156+(IF(CROQUIS!$C$92="X",CHOOSE(IF(INT(($A236-1)/5)&gt;MAX((MIN(80,MAX(1,INT(((CROQUIS!$C$98)-CROQUIS!$C$107)/MAX(CROQUIS!$C$130,1))+1)))-1,0),0,MOD($A236-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236-1)/5),MAX((MIN(80,MAX(1,INT(((CROQUIS!$C$98)-CROQUIS!$C$107)/MAX(CROQUIS!$C$130,1))+1)))-1,0))*CROQUIS!$C$130)))*CROQUIS!$C$155)+IF(CROQUIS!$C$92="X",0,0)),-1000)</f>
        <v>-1000</v>
      </c>
      <c r="BU236">
        <f>IF(AND(CROQUIS!$C$88=1,CROQUIS!$C$91=1,CROQUIS!$C$130&gt;0),((CROQUIS!$C$157+(IF(CROQUIS!$C$92="X",((CROQUIS!$C$107/2+(((CROQUIS!$C$98)-CROQUIS!$C$107)-(MIN(80,MAX(1,INT(((CROQUIS!$C$98)-CROQUIS!$C$107)/MAX(CROQUIS!$C$130,1))+1))-1)*CROQUIS!$C$130)/2)+MIN(INT(($A236-1)/5),MAX((MIN(80,MAX(1,INT(((CROQUIS!$C$98)-CROQUIS!$C$107)/MAX(CROQUIS!$C$130,1))+1)))-1,0))*CROQUIS!$C$130),CHOOSE(IF(INT(($A236-1)/5)&gt;MAX((MIN(80,MAX(1,INT(((CROQUIS!$C$98)-CROQUIS!$C$107)/MAX(CROQUIS!$C$130,1))+1)))-1,0),0,MOD($A236-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37">
      <c r="A237" t="n">
        <v>230</v>
      </c>
      <c r="BH237">
        <f>IF(AND(CROQUIS!$C$88=1,CROQUIS!$C$126&gt;0),((CROQUIS!$C$156+(IF(CROQUIS!$C$92="X",CHOOSE(IF(INT(($A237-1)/5)&gt;MAX((MIN(80,MAX(1,INT(((CROQUIS!$C$98)-CROQUIS!$C$107)/MAX(CROQUIS!$C$126,1))+1)))-1,0),0,MOD($A237-1,5))+1,0,2,CROQUIS!$C$97-2,2,0),((CROQUIS!$C$107/2+(((CROQUIS!$C$98)-CROQUIS!$C$107)-(MIN(80,MAX(1,INT(((CROQUIS!$C$98)-CROQUIS!$C$107)/MAX(CROQUIS!$C$126,1))+1))-1)*CROQUIS!$C$126)/2)+MIN(INT(($A237-1)/5),MAX((MIN(80,MAX(1,INT(((CROQUIS!$C$98)-CROQUIS!$C$107)/MAX(CROQUIS!$C$126,1))+1)))-1,0))*CROQUIS!$C$126)))*CROQUIS!$C$155)+IF(CROQUIS!$C$92="X",0,0)),-1000)</f>
        <v>-1000</v>
      </c>
      <c r="BI237">
        <f>IF(AND(CROQUIS!$C$88=1,CROQUIS!$C$126&gt;0),((CROQUIS!$C$157+(IF(CROQUIS!$C$92="X",((CROQUIS!$C$107/2+(((CROQUIS!$C$98)-CROQUIS!$C$107)-(MIN(80,MAX(1,INT(((CROQUIS!$C$98)-CROQUIS!$C$107)/MAX(CROQUIS!$C$126,1))+1))-1)*CROQUIS!$C$126)/2)+MIN(INT(($A237-1)/5),MAX((MIN(80,MAX(1,INT(((CROQUIS!$C$98)-CROQUIS!$C$107)/MAX(CROQUIS!$C$126,1))+1)))-1,0))*CROQUIS!$C$126),CHOOSE(IF(INT(($A237-1)/5)&gt;MAX((MIN(80,MAX(1,INT(((CROQUIS!$C$98)-CROQUIS!$C$107)/MAX(CROQUIS!$C$126,1))+1)))-1,0),0,MOD($A237-1,5))+1,0,2,CROQUIS!$C$97-2,2,0)))*CROQUIS!$C$155)+IF(CROQUIS!$C$92="X",0,0)),-1000)</f>
        <v>-1000</v>
      </c>
      <c r="BJ237">
        <f>IF(AND(CROQUIS!$C$88=1,CROQUIS!$C$134&gt;0),((CROQUIS!$C$156+(IF(CROQUIS!$C$92="X",((CROQUIS!$C$107/2+(((CROQUIS!$C$97)-CROQUIS!$C$107)-(MIN(80,MAX(1,INT(((CROQUIS!$C$97)-CROQUIS!$C$107)/MAX(CROQUIS!$C$134,1))+1))-1)*CROQUIS!$C$134)/2)+MIN(INT(($A237-1)/5),MAX((MIN(80,MAX(1,INT(((CROQUIS!$C$97)-CROQUIS!$C$107)/MAX(CROQUIS!$C$134,1))+1)))-1,0))*CROQUIS!$C$134),CHOOSE(IF(INT(($A237-1)/5)&gt;MAX((MIN(80,MAX(1,INT(((CROQUIS!$C$97)-CROQUIS!$C$107)/MAX(CROQUIS!$C$134,1))+1)))-1,0),0,MOD($A237-1,5))+1,0,2,CROQUIS!$C$98-2,2,0)))*CROQUIS!$C$155)+IF(CROQUIS!$C$92="X",0,0)),-1000)</f>
        <v>-1000</v>
      </c>
      <c r="BK237">
        <f>IF(AND(CROQUIS!$C$88=1,CROQUIS!$C$134&gt;0),((CROQUIS!$C$157+(IF(CROQUIS!$C$92="X",CHOOSE(IF(INT(($A237-1)/5)&gt;MAX((MIN(80,MAX(1,INT(((CROQUIS!$C$97)-CROQUIS!$C$107)/MAX(CROQUIS!$C$134,1))+1)))-1,0),0,MOD($A237-1,5))+1,0,2,CROQUIS!$C$98-2,2,0),((CROQUIS!$C$107/2+(((CROQUIS!$C$97)-CROQUIS!$C$107)-(MIN(80,MAX(1,INT(((CROQUIS!$C$97)-CROQUIS!$C$107)/MAX(CROQUIS!$C$134,1))+1))-1)*CROQUIS!$C$134)/2)+MIN(INT(($A237-1)/5),MAX((MIN(80,MAX(1,INT(((CROQUIS!$C$97)-CROQUIS!$C$107)/MAX(CROQUIS!$C$134,1))+1)))-1,0))*CROQUIS!$C$134)))*CROQUIS!$C$155)+IF(CROQUIS!$C$92="X",0,0)),-1000)</f>
        <v>-1000</v>
      </c>
      <c r="BL237">
        <f>IF(AND(CROQUIS!$C$88=1,CROQUIS!$C$91=0,CROQUIS!$C$130&gt;0,OR(CROQUIS!$C$103=1,CROQUIS!$C$142=1)),((CROQUIS!$C$156+(IF(CROQUIS!$C$92="X",CHOOSE(IF(INT(($A237-1)/5)&gt;MAX((MIN(80,MAX(1,INT(((CROQUIS!$C$98)-CROQUIS!$C$107)/MAX(CROQUIS!$C$130,1))+1)))-1,0),0,MOD($A237-1,5))+1,0,IF(CROQUIS!$C$103=1,-12,2),CROQUIS!$C$107/2+CROQUIS!$C$140,IF(CROQUIS!$C$103=1,-12,2),0),((CROQUIS!$C$107/2+(((CROQUIS!$C$98)-CROQUIS!$C$107)-(MIN(80,MAX(1,INT(((CROQUIS!$C$98)-CROQUIS!$C$107)/MAX(CROQUIS!$C$130,1))+1))-1)*CROQUIS!$C$130)/2)+MIN(INT(($A237-1)/5),MAX((MIN(80,MAX(1,INT(((CROQUIS!$C$98)-CROQUIS!$C$107)/MAX(CROQUIS!$C$130,1))+1)))-1,0))*CROQUIS!$C$130)))*CROQUIS!$C$155)+IF(CROQUIS!$C$92="X",0,0)),-1000)</f>
        <v>-1000</v>
      </c>
      <c r="BM23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237-1)/5),MAX((MIN(80,MAX(1,INT(((CROQUIS!$C$98)-CROQUIS!$C$107)/MAX(CROQUIS!$C$130,1))+1)))-1,0))*CROQUIS!$C$130),CHOOSE(IF(INT(($A237-1)/5)&gt;MAX((MIN(80,MAX(1,INT(((CROQUIS!$C$98)-CROQUIS!$C$107)/MAX(CROQUIS!$C$130,1))+1)))-1,0),0,MOD($A237-1,5))+1,0,IF(CROQUIS!$C$103=1,-12,2),CROQUIS!$C$107/2+CROQUIS!$C$140,IF(CROQUIS!$C$103=1,-12,2),0)))*CROQUIS!$C$155)+IF(CROQUIS!$C$92="X",0,0)),-1000)</f>
        <v>-1000</v>
      </c>
      <c r="BN237">
        <f>IF(AND(CROQUIS!$C$88=1,CROQUIS!$C$91=0,CROQUIS!$C$130&gt;0,OR(CROQUIS!$C$104=1,CROQUIS!$C$142=1)),((CROQUIS!$C$156+(IF(CROQUIS!$C$92="X",CHOOSE(IF(INT(($A237-1)/5)&gt;MAX((MIN(80,MAX(1,INT(((CROQUIS!$C$98)-CROQUIS!$C$107)/MAX(CROQUIS!$C$130,1))+1)))-1,0),0,MOD($A237-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237-1)/5),MAX((MIN(80,MAX(1,INT(((CROQUIS!$C$98)-CROQUIS!$C$107)/MAX(CROQUIS!$C$130,1))+1)))-1,0))*CROQUIS!$C$130)))*CROQUIS!$C$155)+IF(CROQUIS!$C$92="X",0,0)),-1000)</f>
        <v>-1000</v>
      </c>
      <c r="BO23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237-1)/5),MAX((MIN(80,MAX(1,INT(((CROQUIS!$C$98)-CROQUIS!$C$107)/MAX(CROQUIS!$C$130,1))+1)))-1,0))*CROQUIS!$C$130),CHOOSE(IF(INT(($A237-1)/5)&gt;MAX((MIN(80,MAX(1,INT(((CROQUIS!$C$98)-CROQUIS!$C$107)/MAX(CROQUIS!$C$130,1))+1)))-1,0),0,MOD($A237-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3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237-1)/5),MAX((MIN(80,MAX(1,INT(((CROQUIS!$C$97)-CROQUIS!$C$107)/MAX(CROQUIS!$C$138,1))+1)))-1,0))*CROQUIS!$C$138),CHOOSE(IF(INT(($A237-1)/5)&gt;MAX((MIN(80,MAX(1,INT(((CROQUIS!$C$97)-CROQUIS!$C$107)/MAX(CROQUIS!$C$138,1))+1)))-1,0),0,MOD($A237-1,5))+1,0,IF(CROQUIS!$C$105=1,-12,2),CROQUIS!$C$107/2+CROQUIS!$C$141,IF(CROQUIS!$C$105=1,-12,2),0)))*CROQUIS!$C$155)+IF(CROQUIS!$C$92="X",0,0)),-1000)</f>
        <v>-1000</v>
      </c>
      <c r="BQ237">
        <f>IF(AND(CROQUIS!$C$88=1,CROQUIS!$C$91=0,CROQUIS!$C$138&gt;0,OR(CROQUIS!$C$105=1,CROQUIS!$C$143=1)),((CROQUIS!$C$157+(IF(CROQUIS!$C$92="X",CHOOSE(IF(INT(($A237-1)/5)&gt;MAX((MIN(80,MAX(1,INT(((CROQUIS!$C$97)-CROQUIS!$C$107)/MAX(CROQUIS!$C$138,1))+1)))-1,0),0,MOD($A237-1,5))+1,0,IF(CROQUIS!$C$105=1,-12,2),CROQUIS!$C$107/2+CROQUIS!$C$141,IF(CROQUIS!$C$105=1,-12,2),0),((CROQUIS!$C$107/2+(((CROQUIS!$C$97)-CROQUIS!$C$107)-(MIN(80,MAX(1,INT(((CROQUIS!$C$97)-CROQUIS!$C$107)/MAX(CROQUIS!$C$138,1))+1))-1)*CROQUIS!$C$138)/2)+MIN(INT(($A237-1)/5),MAX((MIN(80,MAX(1,INT(((CROQUIS!$C$97)-CROQUIS!$C$107)/MAX(CROQUIS!$C$138,1))+1)))-1,0))*CROQUIS!$C$138)))*CROQUIS!$C$155)+IF(CROQUIS!$C$92="X",0,0)),-1000)</f>
        <v>-1000</v>
      </c>
      <c r="BR23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237-1)/5),MAX((MIN(80,MAX(1,INT(((CROQUIS!$C$97)-CROQUIS!$C$107)/MAX(CROQUIS!$C$138,1))+1)))-1,0))*CROQUIS!$C$138),CHOOSE(IF(INT(($A237-1)/5)&gt;MAX((MIN(80,MAX(1,INT(((CROQUIS!$C$97)-CROQUIS!$C$107)/MAX(CROQUIS!$C$138,1))+1)))-1,0),0,MOD($A237-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37">
        <f>IF(AND(CROQUIS!$C$88=1,CROQUIS!$C$91=0,CROQUIS!$C$138&gt;0,OR(CROQUIS!$C$106=1,CROQUIS!$C$143=1)),((CROQUIS!$C$157+(IF(CROQUIS!$C$92="X",CHOOSE(IF(INT(($A237-1)/5)&gt;MAX((MIN(80,MAX(1,INT(((CROQUIS!$C$97)-CROQUIS!$C$107)/MAX(CROQUIS!$C$138,1))+1)))-1,0),0,MOD($A237-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237-1)/5),MAX((MIN(80,MAX(1,INT(((CROQUIS!$C$97)-CROQUIS!$C$107)/MAX(CROQUIS!$C$138,1))+1)))-1,0))*CROQUIS!$C$138)))*CROQUIS!$C$155)+IF(CROQUIS!$C$92="X",0,0)),-1000)</f>
        <v>-1000</v>
      </c>
      <c r="BT237">
        <f>IF(AND(CROQUIS!$C$88=1,CROQUIS!$C$91=1,CROQUIS!$C$130&gt;0),((CROQUIS!$C$156+(IF(CROQUIS!$C$92="X",CHOOSE(IF(INT(($A237-1)/5)&gt;MAX((MIN(80,MAX(1,INT(((CROQUIS!$C$98)-CROQUIS!$C$107)/MAX(CROQUIS!$C$130,1))+1)))-1,0),0,MOD($A237-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237-1)/5),MAX((MIN(80,MAX(1,INT(((CROQUIS!$C$98)-CROQUIS!$C$107)/MAX(CROQUIS!$C$130,1))+1)))-1,0))*CROQUIS!$C$130)))*CROQUIS!$C$155)+IF(CROQUIS!$C$92="X",0,0)),-1000)</f>
        <v>-1000</v>
      </c>
      <c r="BU237">
        <f>IF(AND(CROQUIS!$C$88=1,CROQUIS!$C$91=1,CROQUIS!$C$130&gt;0),((CROQUIS!$C$157+(IF(CROQUIS!$C$92="X",((CROQUIS!$C$107/2+(((CROQUIS!$C$98)-CROQUIS!$C$107)-(MIN(80,MAX(1,INT(((CROQUIS!$C$98)-CROQUIS!$C$107)/MAX(CROQUIS!$C$130,1))+1))-1)*CROQUIS!$C$130)/2)+MIN(INT(($A237-1)/5),MAX((MIN(80,MAX(1,INT(((CROQUIS!$C$98)-CROQUIS!$C$107)/MAX(CROQUIS!$C$130,1))+1)))-1,0))*CROQUIS!$C$130),CHOOSE(IF(INT(($A237-1)/5)&gt;MAX((MIN(80,MAX(1,INT(((CROQUIS!$C$98)-CROQUIS!$C$107)/MAX(CROQUIS!$C$130,1))+1)))-1,0),0,MOD($A237-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38">
      <c r="A238" t="n">
        <v>231</v>
      </c>
      <c r="BH238">
        <f>IF(AND(CROQUIS!$C$88=1,CROQUIS!$C$126&gt;0),((CROQUIS!$C$156+(IF(CROQUIS!$C$92="X",CHOOSE(IF(INT(($A238-1)/5)&gt;MAX((MIN(80,MAX(1,INT(((CROQUIS!$C$98)-CROQUIS!$C$107)/MAX(CROQUIS!$C$126,1))+1)))-1,0),0,MOD($A238-1,5))+1,0,2,CROQUIS!$C$97-2,2,0),((CROQUIS!$C$107/2+(((CROQUIS!$C$98)-CROQUIS!$C$107)-(MIN(80,MAX(1,INT(((CROQUIS!$C$98)-CROQUIS!$C$107)/MAX(CROQUIS!$C$126,1))+1))-1)*CROQUIS!$C$126)/2)+MIN(INT(($A238-1)/5),MAX((MIN(80,MAX(1,INT(((CROQUIS!$C$98)-CROQUIS!$C$107)/MAX(CROQUIS!$C$126,1))+1)))-1,0))*CROQUIS!$C$126)))*CROQUIS!$C$155)+IF(CROQUIS!$C$92="X",0,0)),-1000)</f>
        <v>-1000</v>
      </c>
      <c r="BI238">
        <f>IF(AND(CROQUIS!$C$88=1,CROQUIS!$C$126&gt;0),((CROQUIS!$C$157+(IF(CROQUIS!$C$92="X",((CROQUIS!$C$107/2+(((CROQUIS!$C$98)-CROQUIS!$C$107)-(MIN(80,MAX(1,INT(((CROQUIS!$C$98)-CROQUIS!$C$107)/MAX(CROQUIS!$C$126,1))+1))-1)*CROQUIS!$C$126)/2)+MIN(INT(($A238-1)/5),MAX((MIN(80,MAX(1,INT(((CROQUIS!$C$98)-CROQUIS!$C$107)/MAX(CROQUIS!$C$126,1))+1)))-1,0))*CROQUIS!$C$126),CHOOSE(IF(INT(($A238-1)/5)&gt;MAX((MIN(80,MAX(1,INT(((CROQUIS!$C$98)-CROQUIS!$C$107)/MAX(CROQUIS!$C$126,1))+1)))-1,0),0,MOD($A238-1,5))+1,0,2,CROQUIS!$C$97-2,2,0)))*CROQUIS!$C$155)+IF(CROQUIS!$C$92="X",0,0)),-1000)</f>
        <v>-1000</v>
      </c>
      <c r="BJ238">
        <f>IF(AND(CROQUIS!$C$88=1,CROQUIS!$C$134&gt;0),((CROQUIS!$C$156+(IF(CROQUIS!$C$92="X",((CROQUIS!$C$107/2+(((CROQUIS!$C$97)-CROQUIS!$C$107)-(MIN(80,MAX(1,INT(((CROQUIS!$C$97)-CROQUIS!$C$107)/MAX(CROQUIS!$C$134,1))+1))-1)*CROQUIS!$C$134)/2)+MIN(INT(($A238-1)/5),MAX((MIN(80,MAX(1,INT(((CROQUIS!$C$97)-CROQUIS!$C$107)/MAX(CROQUIS!$C$134,1))+1)))-1,0))*CROQUIS!$C$134),CHOOSE(IF(INT(($A238-1)/5)&gt;MAX((MIN(80,MAX(1,INT(((CROQUIS!$C$97)-CROQUIS!$C$107)/MAX(CROQUIS!$C$134,1))+1)))-1,0),0,MOD($A238-1,5))+1,0,2,CROQUIS!$C$98-2,2,0)))*CROQUIS!$C$155)+IF(CROQUIS!$C$92="X",0,0)),-1000)</f>
        <v>-1000</v>
      </c>
      <c r="BK238">
        <f>IF(AND(CROQUIS!$C$88=1,CROQUIS!$C$134&gt;0),((CROQUIS!$C$157+(IF(CROQUIS!$C$92="X",CHOOSE(IF(INT(($A238-1)/5)&gt;MAX((MIN(80,MAX(1,INT(((CROQUIS!$C$97)-CROQUIS!$C$107)/MAX(CROQUIS!$C$134,1))+1)))-1,0),0,MOD($A238-1,5))+1,0,2,CROQUIS!$C$98-2,2,0),((CROQUIS!$C$107/2+(((CROQUIS!$C$97)-CROQUIS!$C$107)-(MIN(80,MAX(1,INT(((CROQUIS!$C$97)-CROQUIS!$C$107)/MAX(CROQUIS!$C$134,1))+1))-1)*CROQUIS!$C$134)/2)+MIN(INT(($A238-1)/5),MAX((MIN(80,MAX(1,INT(((CROQUIS!$C$97)-CROQUIS!$C$107)/MAX(CROQUIS!$C$134,1))+1)))-1,0))*CROQUIS!$C$134)))*CROQUIS!$C$155)+IF(CROQUIS!$C$92="X",0,0)),-1000)</f>
        <v>-1000</v>
      </c>
      <c r="BL238">
        <f>IF(AND(CROQUIS!$C$88=1,CROQUIS!$C$91=0,CROQUIS!$C$130&gt;0,OR(CROQUIS!$C$103=1,CROQUIS!$C$142=1)),((CROQUIS!$C$156+(IF(CROQUIS!$C$92="X",CHOOSE(IF(INT(($A238-1)/5)&gt;MAX((MIN(80,MAX(1,INT(((CROQUIS!$C$98)-CROQUIS!$C$107)/MAX(CROQUIS!$C$130,1))+1)))-1,0),0,MOD($A238-1,5))+1,0,IF(CROQUIS!$C$103=1,-12,2),CROQUIS!$C$107/2+CROQUIS!$C$140,IF(CROQUIS!$C$103=1,-12,2),0),((CROQUIS!$C$107/2+(((CROQUIS!$C$98)-CROQUIS!$C$107)-(MIN(80,MAX(1,INT(((CROQUIS!$C$98)-CROQUIS!$C$107)/MAX(CROQUIS!$C$130,1))+1))-1)*CROQUIS!$C$130)/2)+MIN(INT(($A238-1)/5),MAX((MIN(80,MAX(1,INT(((CROQUIS!$C$98)-CROQUIS!$C$107)/MAX(CROQUIS!$C$130,1))+1)))-1,0))*CROQUIS!$C$130)))*CROQUIS!$C$155)+IF(CROQUIS!$C$92="X",0,0)),-1000)</f>
        <v>-1000</v>
      </c>
      <c r="BM23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238-1)/5),MAX((MIN(80,MAX(1,INT(((CROQUIS!$C$98)-CROQUIS!$C$107)/MAX(CROQUIS!$C$130,1))+1)))-1,0))*CROQUIS!$C$130),CHOOSE(IF(INT(($A238-1)/5)&gt;MAX((MIN(80,MAX(1,INT(((CROQUIS!$C$98)-CROQUIS!$C$107)/MAX(CROQUIS!$C$130,1))+1)))-1,0),0,MOD($A238-1,5))+1,0,IF(CROQUIS!$C$103=1,-12,2),CROQUIS!$C$107/2+CROQUIS!$C$140,IF(CROQUIS!$C$103=1,-12,2),0)))*CROQUIS!$C$155)+IF(CROQUIS!$C$92="X",0,0)),-1000)</f>
        <v>-1000</v>
      </c>
      <c r="BN238">
        <f>IF(AND(CROQUIS!$C$88=1,CROQUIS!$C$91=0,CROQUIS!$C$130&gt;0,OR(CROQUIS!$C$104=1,CROQUIS!$C$142=1)),((CROQUIS!$C$156+(IF(CROQUIS!$C$92="X",CHOOSE(IF(INT(($A238-1)/5)&gt;MAX((MIN(80,MAX(1,INT(((CROQUIS!$C$98)-CROQUIS!$C$107)/MAX(CROQUIS!$C$130,1))+1)))-1,0),0,MOD($A238-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238-1)/5),MAX((MIN(80,MAX(1,INT(((CROQUIS!$C$98)-CROQUIS!$C$107)/MAX(CROQUIS!$C$130,1))+1)))-1,0))*CROQUIS!$C$130)))*CROQUIS!$C$155)+IF(CROQUIS!$C$92="X",0,0)),-1000)</f>
        <v>-1000</v>
      </c>
      <c r="BO23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238-1)/5),MAX((MIN(80,MAX(1,INT(((CROQUIS!$C$98)-CROQUIS!$C$107)/MAX(CROQUIS!$C$130,1))+1)))-1,0))*CROQUIS!$C$130),CHOOSE(IF(INT(($A238-1)/5)&gt;MAX((MIN(80,MAX(1,INT(((CROQUIS!$C$98)-CROQUIS!$C$107)/MAX(CROQUIS!$C$130,1))+1)))-1,0),0,MOD($A238-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3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238-1)/5),MAX((MIN(80,MAX(1,INT(((CROQUIS!$C$97)-CROQUIS!$C$107)/MAX(CROQUIS!$C$138,1))+1)))-1,0))*CROQUIS!$C$138),CHOOSE(IF(INT(($A238-1)/5)&gt;MAX((MIN(80,MAX(1,INT(((CROQUIS!$C$97)-CROQUIS!$C$107)/MAX(CROQUIS!$C$138,1))+1)))-1,0),0,MOD($A238-1,5))+1,0,IF(CROQUIS!$C$105=1,-12,2),CROQUIS!$C$107/2+CROQUIS!$C$141,IF(CROQUIS!$C$105=1,-12,2),0)))*CROQUIS!$C$155)+IF(CROQUIS!$C$92="X",0,0)),-1000)</f>
        <v>-1000</v>
      </c>
      <c r="BQ238">
        <f>IF(AND(CROQUIS!$C$88=1,CROQUIS!$C$91=0,CROQUIS!$C$138&gt;0,OR(CROQUIS!$C$105=1,CROQUIS!$C$143=1)),((CROQUIS!$C$157+(IF(CROQUIS!$C$92="X",CHOOSE(IF(INT(($A238-1)/5)&gt;MAX((MIN(80,MAX(1,INT(((CROQUIS!$C$97)-CROQUIS!$C$107)/MAX(CROQUIS!$C$138,1))+1)))-1,0),0,MOD($A238-1,5))+1,0,IF(CROQUIS!$C$105=1,-12,2),CROQUIS!$C$107/2+CROQUIS!$C$141,IF(CROQUIS!$C$105=1,-12,2),0),((CROQUIS!$C$107/2+(((CROQUIS!$C$97)-CROQUIS!$C$107)-(MIN(80,MAX(1,INT(((CROQUIS!$C$97)-CROQUIS!$C$107)/MAX(CROQUIS!$C$138,1))+1))-1)*CROQUIS!$C$138)/2)+MIN(INT(($A238-1)/5),MAX((MIN(80,MAX(1,INT(((CROQUIS!$C$97)-CROQUIS!$C$107)/MAX(CROQUIS!$C$138,1))+1)))-1,0))*CROQUIS!$C$138)))*CROQUIS!$C$155)+IF(CROQUIS!$C$92="X",0,0)),-1000)</f>
        <v>-1000</v>
      </c>
      <c r="BR23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238-1)/5),MAX((MIN(80,MAX(1,INT(((CROQUIS!$C$97)-CROQUIS!$C$107)/MAX(CROQUIS!$C$138,1))+1)))-1,0))*CROQUIS!$C$138),CHOOSE(IF(INT(($A238-1)/5)&gt;MAX((MIN(80,MAX(1,INT(((CROQUIS!$C$97)-CROQUIS!$C$107)/MAX(CROQUIS!$C$138,1))+1)))-1,0),0,MOD($A238-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38">
        <f>IF(AND(CROQUIS!$C$88=1,CROQUIS!$C$91=0,CROQUIS!$C$138&gt;0,OR(CROQUIS!$C$106=1,CROQUIS!$C$143=1)),((CROQUIS!$C$157+(IF(CROQUIS!$C$92="X",CHOOSE(IF(INT(($A238-1)/5)&gt;MAX((MIN(80,MAX(1,INT(((CROQUIS!$C$97)-CROQUIS!$C$107)/MAX(CROQUIS!$C$138,1))+1)))-1,0),0,MOD($A238-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238-1)/5),MAX((MIN(80,MAX(1,INT(((CROQUIS!$C$97)-CROQUIS!$C$107)/MAX(CROQUIS!$C$138,1))+1)))-1,0))*CROQUIS!$C$138)))*CROQUIS!$C$155)+IF(CROQUIS!$C$92="X",0,0)),-1000)</f>
        <v>-1000</v>
      </c>
      <c r="BT238">
        <f>IF(AND(CROQUIS!$C$88=1,CROQUIS!$C$91=1,CROQUIS!$C$130&gt;0),((CROQUIS!$C$156+(IF(CROQUIS!$C$92="X",CHOOSE(IF(INT(($A238-1)/5)&gt;MAX((MIN(80,MAX(1,INT(((CROQUIS!$C$98)-CROQUIS!$C$107)/MAX(CROQUIS!$C$130,1))+1)))-1,0),0,MOD($A238-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238-1)/5),MAX((MIN(80,MAX(1,INT(((CROQUIS!$C$98)-CROQUIS!$C$107)/MAX(CROQUIS!$C$130,1))+1)))-1,0))*CROQUIS!$C$130)))*CROQUIS!$C$155)+IF(CROQUIS!$C$92="X",0,0)),-1000)</f>
        <v>-1000</v>
      </c>
      <c r="BU238">
        <f>IF(AND(CROQUIS!$C$88=1,CROQUIS!$C$91=1,CROQUIS!$C$130&gt;0),((CROQUIS!$C$157+(IF(CROQUIS!$C$92="X",((CROQUIS!$C$107/2+(((CROQUIS!$C$98)-CROQUIS!$C$107)-(MIN(80,MAX(1,INT(((CROQUIS!$C$98)-CROQUIS!$C$107)/MAX(CROQUIS!$C$130,1))+1))-1)*CROQUIS!$C$130)/2)+MIN(INT(($A238-1)/5),MAX((MIN(80,MAX(1,INT(((CROQUIS!$C$98)-CROQUIS!$C$107)/MAX(CROQUIS!$C$130,1))+1)))-1,0))*CROQUIS!$C$130),CHOOSE(IF(INT(($A238-1)/5)&gt;MAX((MIN(80,MAX(1,INT(((CROQUIS!$C$98)-CROQUIS!$C$107)/MAX(CROQUIS!$C$130,1))+1)))-1,0),0,MOD($A238-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39">
      <c r="A239" t="n">
        <v>232</v>
      </c>
      <c r="BH239">
        <f>IF(AND(CROQUIS!$C$88=1,CROQUIS!$C$126&gt;0),((CROQUIS!$C$156+(IF(CROQUIS!$C$92="X",CHOOSE(IF(INT(($A239-1)/5)&gt;MAX((MIN(80,MAX(1,INT(((CROQUIS!$C$98)-CROQUIS!$C$107)/MAX(CROQUIS!$C$126,1))+1)))-1,0),0,MOD($A239-1,5))+1,0,2,CROQUIS!$C$97-2,2,0),((CROQUIS!$C$107/2+(((CROQUIS!$C$98)-CROQUIS!$C$107)-(MIN(80,MAX(1,INT(((CROQUIS!$C$98)-CROQUIS!$C$107)/MAX(CROQUIS!$C$126,1))+1))-1)*CROQUIS!$C$126)/2)+MIN(INT(($A239-1)/5),MAX((MIN(80,MAX(1,INT(((CROQUIS!$C$98)-CROQUIS!$C$107)/MAX(CROQUIS!$C$126,1))+1)))-1,0))*CROQUIS!$C$126)))*CROQUIS!$C$155)+IF(CROQUIS!$C$92="X",0,0)),-1000)</f>
        <v>-1000</v>
      </c>
      <c r="BI239">
        <f>IF(AND(CROQUIS!$C$88=1,CROQUIS!$C$126&gt;0),((CROQUIS!$C$157+(IF(CROQUIS!$C$92="X",((CROQUIS!$C$107/2+(((CROQUIS!$C$98)-CROQUIS!$C$107)-(MIN(80,MAX(1,INT(((CROQUIS!$C$98)-CROQUIS!$C$107)/MAX(CROQUIS!$C$126,1))+1))-1)*CROQUIS!$C$126)/2)+MIN(INT(($A239-1)/5),MAX((MIN(80,MAX(1,INT(((CROQUIS!$C$98)-CROQUIS!$C$107)/MAX(CROQUIS!$C$126,1))+1)))-1,0))*CROQUIS!$C$126),CHOOSE(IF(INT(($A239-1)/5)&gt;MAX((MIN(80,MAX(1,INT(((CROQUIS!$C$98)-CROQUIS!$C$107)/MAX(CROQUIS!$C$126,1))+1)))-1,0),0,MOD($A239-1,5))+1,0,2,CROQUIS!$C$97-2,2,0)))*CROQUIS!$C$155)+IF(CROQUIS!$C$92="X",0,0)),-1000)</f>
        <v>-1000</v>
      </c>
      <c r="BJ239">
        <f>IF(AND(CROQUIS!$C$88=1,CROQUIS!$C$134&gt;0),((CROQUIS!$C$156+(IF(CROQUIS!$C$92="X",((CROQUIS!$C$107/2+(((CROQUIS!$C$97)-CROQUIS!$C$107)-(MIN(80,MAX(1,INT(((CROQUIS!$C$97)-CROQUIS!$C$107)/MAX(CROQUIS!$C$134,1))+1))-1)*CROQUIS!$C$134)/2)+MIN(INT(($A239-1)/5),MAX((MIN(80,MAX(1,INT(((CROQUIS!$C$97)-CROQUIS!$C$107)/MAX(CROQUIS!$C$134,1))+1)))-1,0))*CROQUIS!$C$134),CHOOSE(IF(INT(($A239-1)/5)&gt;MAX((MIN(80,MAX(1,INT(((CROQUIS!$C$97)-CROQUIS!$C$107)/MAX(CROQUIS!$C$134,1))+1)))-1,0),0,MOD($A239-1,5))+1,0,2,CROQUIS!$C$98-2,2,0)))*CROQUIS!$C$155)+IF(CROQUIS!$C$92="X",0,0)),-1000)</f>
        <v>-1000</v>
      </c>
      <c r="BK239">
        <f>IF(AND(CROQUIS!$C$88=1,CROQUIS!$C$134&gt;0),((CROQUIS!$C$157+(IF(CROQUIS!$C$92="X",CHOOSE(IF(INT(($A239-1)/5)&gt;MAX((MIN(80,MAX(1,INT(((CROQUIS!$C$97)-CROQUIS!$C$107)/MAX(CROQUIS!$C$134,1))+1)))-1,0),0,MOD($A239-1,5))+1,0,2,CROQUIS!$C$98-2,2,0),((CROQUIS!$C$107/2+(((CROQUIS!$C$97)-CROQUIS!$C$107)-(MIN(80,MAX(1,INT(((CROQUIS!$C$97)-CROQUIS!$C$107)/MAX(CROQUIS!$C$134,1))+1))-1)*CROQUIS!$C$134)/2)+MIN(INT(($A239-1)/5),MAX((MIN(80,MAX(1,INT(((CROQUIS!$C$97)-CROQUIS!$C$107)/MAX(CROQUIS!$C$134,1))+1)))-1,0))*CROQUIS!$C$134)))*CROQUIS!$C$155)+IF(CROQUIS!$C$92="X",0,0)),-1000)</f>
        <v>-1000</v>
      </c>
      <c r="BL239">
        <f>IF(AND(CROQUIS!$C$88=1,CROQUIS!$C$91=0,CROQUIS!$C$130&gt;0,OR(CROQUIS!$C$103=1,CROQUIS!$C$142=1)),((CROQUIS!$C$156+(IF(CROQUIS!$C$92="X",CHOOSE(IF(INT(($A239-1)/5)&gt;MAX((MIN(80,MAX(1,INT(((CROQUIS!$C$98)-CROQUIS!$C$107)/MAX(CROQUIS!$C$130,1))+1)))-1,0),0,MOD($A239-1,5))+1,0,IF(CROQUIS!$C$103=1,-12,2),CROQUIS!$C$107/2+CROQUIS!$C$140,IF(CROQUIS!$C$103=1,-12,2),0),((CROQUIS!$C$107/2+(((CROQUIS!$C$98)-CROQUIS!$C$107)-(MIN(80,MAX(1,INT(((CROQUIS!$C$98)-CROQUIS!$C$107)/MAX(CROQUIS!$C$130,1))+1))-1)*CROQUIS!$C$130)/2)+MIN(INT(($A239-1)/5),MAX((MIN(80,MAX(1,INT(((CROQUIS!$C$98)-CROQUIS!$C$107)/MAX(CROQUIS!$C$130,1))+1)))-1,0))*CROQUIS!$C$130)))*CROQUIS!$C$155)+IF(CROQUIS!$C$92="X",0,0)),-1000)</f>
        <v>-1000</v>
      </c>
      <c r="BM23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239-1)/5),MAX((MIN(80,MAX(1,INT(((CROQUIS!$C$98)-CROQUIS!$C$107)/MAX(CROQUIS!$C$130,1))+1)))-1,0))*CROQUIS!$C$130),CHOOSE(IF(INT(($A239-1)/5)&gt;MAX((MIN(80,MAX(1,INT(((CROQUIS!$C$98)-CROQUIS!$C$107)/MAX(CROQUIS!$C$130,1))+1)))-1,0),0,MOD($A239-1,5))+1,0,IF(CROQUIS!$C$103=1,-12,2),CROQUIS!$C$107/2+CROQUIS!$C$140,IF(CROQUIS!$C$103=1,-12,2),0)))*CROQUIS!$C$155)+IF(CROQUIS!$C$92="X",0,0)),-1000)</f>
        <v>-1000</v>
      </c>
      <c r="BN239">
        <f>IF(AND(CROQUIS!$C$88=1,CROQUIS!$C$91=0,CROQUIS!$C$130&gt;0,OR(CROQUIS!$C$104=1,CROQUIS!$C$142=1)),((CROQUIS!$C$156+(IF(CROQUIS!$C$92="X",CHOOSE(IF(INT(($A239-1)/5)&gt;MAX((MIN(80,MAX(1,INT(((CROQUIS!$C$98)-CROQUIS!$C$107)/MAX(CROQUIS!$C$130,1))+1)))-1,0),0,MOD($A239-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239-1)/5),MAX((MIN(80,MAX(1,INT(((CROQUIS!$C$98)-CROQUIS!$C$107)/MAX(CROQUIS!$C$130,1))+1)))-1,0))*CROQUIS!$C$130)))*CROQUIS!$C$155)+IF(CROQUIS!$C$92="X",0,0)),-1000)</f>
        <v>-1000</v>
      </c>
      <c r="BO23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239-1)/5),MAX((MIN(80,MAX(1,INT(((CROQUIS!$C$98)-CROQUIS!$C$107)/MAX(CROQUIS!$C$130,1))+1)))-1,0))*CROQUIS!$C$130),CHOOSE(IF(INT(($A239-1)/5)&gt;MAX((MIN(80,MAX(1,INT(((CROQUIS!$C$98)-CROQUIS!$C$107)/MAX(CROQUIS!$C$130,1))+1)))-1,0),0,MOD($A239-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3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239-1)/5),MAX((MIN(80,MAX(1,INT(((CROQUIS!$C$97)-CROQUIS!$C$107)/MAX(CROQUIS!$C$138,1))+1)))-1,0))*CROQUIS!$C$138),CHOOSE(IF(INT(($A239-1)/5)&gt;MAX((MIN(80,MAX(1,INT(((CROQUIS!$C$97)-CROQUIS!$C$107)/MAX(CROQUIS!$C$138,1))+1)))-1,0),0,MOD($A239-1,5))+1,0,IF(CROQUIS!$C$105=1,-12,2),CROQUIS!$C$107/2+CROQUIS!$C$141,IF(CROQUIS!$C$105=1,-12,2),0)))*CROQUIS!$C$155)+IF(CROQUIS!$C$92="X",0,0)),-1000)</f>
        <v>-1000</v>
      </c>
      <c r="BQ239">
        <f>IF(AND(CROQUIS!$C$88=1,CROQUIS!$C$91=0,CROQUIS!$C$138&gt;0,OR(CROQUIS!$C$105=1,CROQUIS!$C$143=1)),((CROQUIS!$C$157+(IF(CROQUIS!$C$92="X",CHOOSE(IF(INT(($A239-1)/5)&gt;MAX((MIN(80,MAX(1,INT(((CROQUIS!$C$97)-CROQUIS!$C$107)/MAX(CROQUIS!$C$138,1))+1)))-1,0),0,MOD($A239-1,5))+1,0,IF(CROQUIS!$C$105=1,-12,2),CROQUIS!$C$107/2+CROQUIS!$C$141,IF(CROQUIS!$C$105=1,-12,2),0),((CROQUIS!$C$107/2+(((CROQUIS!$C$97)-CROQUIS!$C$107)-(MIN(80,MAX(1,INT(((CROQUIS!$C$97)-CROQUIS!$C$107)/MAX(CROQUIS!$C$138,1))+1))-1)*CROQUIS!$C$138)/2)+MIN(INT(($A239-1)/5),MAX((MIN(80,MAX(1,INT(((CROQUIS!$C$97)-CROQUIS!$C$107)/MAX(CROQUIS!$C$138,1))+1)))-1,0))*CROQUIS!$C$138)))*CROQUIS!$C$155)+IF(CROQUIS!$C$92="X",0,0)),-1000)</f>
        <v>-1000</v>
      </c>
      <c r="BR23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239-1)/5),MAX((MIN(80,MAX(1,INT(((CROQUIS!$C$97)-CROQUIS!$C$107)/MAX(CROQUIS!$C$138,1))+1)))-1,0))*CROQUIS!$C$138),CHOOSE(IF(INT(($A239-1)/5)&gt;MAX((MIN(80,MAX(1,INT(((CROQUIS!$C$97)-CROQUIS!$C$107)/MAX(CROQUIS!$C$138,1))+1)))-1,0),0,MOD($A239-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39">
        <f>IF(AND(CROQUIS!$C$88=1,CROQUIS!$C$91=0,CROQUIS!$C$138&gt;0,OR(CROQUIS!$C$106=1,CROQUIS!$C$143=1)),((CROQUIS!$C$157+(IF(CROQUIS!$C$92="X",CHOOSE(IF(INT(($A239-1)/5)&gt;MAX((MIN(80,MAX(1,INT(((CROQUIS!$C$97)-CROQUIS!$C$107)/MAX(CROQUIS!$C$138,1))+1)))-1,0),0,MOD($A239-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239-1)/5),MAX((MIN(80,MAX(1,INT(((CROQUIS!$C$97)-CROQUIS!$C$107)/MAX(CROQUIS!$C$138,1))+1)))-1,0))*CROQUIS!$C$138)))*CROQUIS!$C$155)+IF(CROQUIS!$C$92="X",0,0)),-1000)</f>
        <v>-1000</v>
      </c>
      <c r="BT239">
        <f>IF(AND(CROQUIS!$C$88=1,CROQUIS!$C$91=1,CROQUIS!$C$130&gt;0),((CROQUIS!$C$156+(IF(CROQUIS!$C$92="X",CHOOSE(IF(INT(($A239-1)/5)&gt;MAX((MIN(80,MAX(1,INT(((CROQUIS!$C$98)-CROQUIS!$C$107)/MAX(CROQUIS!$C$130,1))+1)))-1,0),0,MOD($A239-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239-1)/5),MAX((MIN(80,MAX(1,INT(((CROQUIS!$C$98)-CROQUIS!$C$107)/MAX(CROQUIS!$C$130,1))+1)))-1,0))*CROQUIS!$C$130)))*CROQUIS!$C$155)+IF(CROQUIS!$C$92="X",0,0)),-1000)</f>
        <v>-1000</v>
      </c>
      <c r="BU239">
        <f>IF(AND(CROQUIS!$C$88=1,CROQUIS!$C$91=1,CROQUIS!$C$130&gt;0),((CROQUIS!$C$157+(IF(CROQUIS!$C$92="X",((CROQUIS!$C$107/2+(((CROQUIS!$C$98)-CROQUIS!$C$107)-(MIN(80,MAX(1,INT(((CROQUIS!$C$98)-CROQUIS!$C$107)/MAX(CROQUIS!$C$130,1))+1))-1)*CROQUIS!$C$130)/2)+MIN(INT(($A239-1)/5),MAX((MIN(80,MAX(1,INT(((CROQUIS!$C$98)-CROQUIS!$C$107)/MAX(CROQUIS!$C$130,1))+1)))-1,0))*CROQUIS!$C$130),CHOOSE(IF(INT(($A239-1)/5)&gt;MAX((MIN(80,MAX(1,INT(((CROQUIS!$C$98)-CROQUIS!$C$107)/MAX(CROQUIS!$C$130,1))+1)))-1,0),0,MOD($A239-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40">
      <c r="A240" t="n">
        <v>233</v>
      </c>
      <c r="BH240">
        <f>IF(AND(CROQUIS!$C$88=1,CROQUIS!$C$126&gt;0),((CROQUIS!$C$156+(IF(CROQUIS!$C$92="X",CHOOSE(IF(INT(($A240-1)/5)&gt;MAX((MIN(80,MAX(1,INT(((CROQUIS!$C$98)-CROQUIS!$C$107)/MAX(CROQUIS!$C$126,1))+1)))-1,0),0,MOD($A240-1,5))+1,0,2,CROQUIS!$C$97-2,2,0),((CROQUIS!$C$107/2+(((CROQUIS!$C$98)-CROQUIS!$C$107)-(MIN(80,MAX(1,INT(((CROQUIS!$C$98)-CROQUIS!$C$107)/MAX(CROQUIS!$C$126,1))+1))-1)*CROQUIS!$C$126)/2)+MIN(INT(($A240-1)/5),MAX((MIN(80,MAX(1,INT(((CROQUIS!$C$98)-CROQUIS!$C$107)/MAX(CROQUIS!$C$126,1))+1)))-1,0))*CROQUIS!$C$126)))*CROQUIS!$C$155)+IF(CROQUIS!$C$92="X",0,0)),-1000)</f>
        <v>-1000</v>
      </c>
      <c r="BI240">
        <f>IF(AND(CROQUIS!$C$88=1,CROQUIS!$C$126&gt;0),((CROQUIS!$C$157+(IF(CROQUIS!$C$92="X",((CROQUIS!$C$107/2+(((CROQUIS!$C$98)-CROQUIS!$C$107)-(MIN(80,MAX(1,INT(((CROQUIS!$C$98)-CROQUIS!$C$107)/MAX(CROQUIS!$C$126,1))+1))-1)*CROQUIS!$C$126)/2)+MIN(INT(($A240-1)/5),MAX((MIN(80,MAX(1,INT(((CROQUIS!$C$98)-CROQUIS!$C$107)/MAX(CROQUIS!$C$126,1))+1)))-1,0))*CROQUIS!$C$126),CHOOSE(IF(INT(($A240-1)/5)&gt;MAX((MIN(80,MAX(1,INT(((CROQUIS!$C$98)-CROQUIS!$C$107)/MAX(CROQUIS!$C$126,1))+1)))-1,0),0,MOD($A240-1,5))+1,0,2,CROQUIS!$C$97-2,2,0)))*CROQUIS!$C$155)+IF(CROQUIS!$C$92="X",0,0)),-1000)</f>
        <v>-1000</v>
      </c>
      <c r="BJ240">
        <f>IF(AND(CROQUIS!$C$88=1,CROQUIS!$C$134&gt;0),((CROQUIS!$C$156+(IF(CROQUIS!$C$92="X",((CROQUIS!$C$107/2+(((CROQUIS!$C$97)-CROQUIS!$C$107)-(MIN(80,MAX(1,INT(((CROQUIS!$C$97)-CROQUIS!$C$107)/MAX(CROQUIS!$C$134,1))+1))-1)*CROQUIS!$C$134)/2)+MIN(INT(($A240-1)/5),MAX((MIN(80,MAX(1,INT(((CROQUIS!$C$97)-CROQUIS!$C$107)/MAX(CROQUIS!$C$134,1))+1)))-1,0))*CROQUIS!$C$134),CHOOSE(IF(INT(($A240-1)/5)&gt;MAX((MIN(80,MAX(1,INT(((CROQUIS!$C$97)-CROQUIS!$C$107)/MAX(CROQUIS!$C$134,1))+1)))-1,0),0,MOD($A240-1,5))+1,0,2,CROQUIS!$C$98-2,2,0)))*CROQUIS!$C$155)+IF(CROQUIS!$C$92="X",0,0)),-1000)</f>
        <v>-1000</v>
      </c>
      <c r="BK240">
        <f>IF(AND(CROQUIS!$C$88=1,CROQUIS!$C$134&gt;0),((CROQUIS!$C$157+(IF(CROQUIS!$C$92="X",CHOOSE(IF(INT(($A240-1)/5)&gt;MAX((MIN(80,MAX(1,INT(((CROQUIS!$C$97)-CROQUIS!$C$107)/MAX(CROQUIS!$C$134,1))+1)))-1,0),0,MOD($A240-1,5))+1,0,2,CROQUIS!$C$98-2,2,0),((CROQUIS!$C$107/2+(((CROQUIS!$C$97)-CROQUIS!$C$107)-(MIN(80,MAX(1,INT(((CROQUIS!$C$97)-CROQUIS!$C$107)/MAX(CROQUIS!$C$134,1))+1))-1)*CROQUIS!$C$134)/2)+MIN(INT(($A240-1)/5),MAX((MIN(80,MAX(1,INT(((CROQUIS!$C$97)-CROQUIS!$C$107)/MAX(CROQUIS!$C$134,1))+1)))-1,0))*CROQUIS!$C$134)))*CROQUIS!$C$155)+IF(CROQUIS!$C$92="X",0,0)),-1000)</f>
        <v>-1000</v>
      </c>
      <c r="BL240">
        <f>IF(AND(CROQUIS!$C$88=1,CROQUIS!$C$91=0,CROQUIS!$C$130&gt;0,OR(CROQUIS!$C$103=1,CROQUIS!$C$142=1)),((CROQUIS!$C$156+(IF(CROQUIS!$C$92="X",CHOOSE(IF(INT(($A240-1)/5)&gt;MAX((MIN(80,MAX(1,INT(((CROQUIS!$C$98)-CROQUIS!$C$107)/MAX(CROQUIS!$C$130,1))+1)))-1,0),0,MOD($A240-1,5))+1,0,IF(CROQUIS!$C$103=1,-12,2),CROQUIS!$C$107/2+CROQUIS!$C$140,IF(CROQUIS!$C$103=1,-12,2),0),((CROQUIS!$C$107/2+(((CROQUIS!$C$98)-CROQUIS!$C$107)-(MIN(80,MAX(1,INT(((CROQUIS!$C$98)-CROQUIS!$C$107)/MAX(CROQUIS!$C$130,1))+1))-1)*CROQUIS!$C$130)/2)+MIN(INT(($A240-1)/5),MAX((MIN(80,MAX(1,INT(((CROQUIS!$C$98)-CROQUIS!$C$107)/MAX(CROQUIS!$C$130,1))+1)))-1,0))*CROQUIS!$C$130)))*CROQUIS!$C$155)+IF(CROQUIS!$C$92="X",0,0)),-1000)</f>
        <v>-1000</v>
      </c>
      <c r="BM24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240-1)/5),MAX((MIN(80,MAX(1,INT(((CROQUIS!$C$98)-CROQUIS!$C$107)/MAX(CROQUIS!$C$130,1))+1)))-1,0))*CROQUIS!$C$130),CHOOSE(IF(INT(($A240-1)/5)&gt;MAX((MIN(80,MAX(1,INT(((CROQUIS!$C$98)-CROQUIS!$C$107)/MAX(CROQUIS!$C$130,1))+1)))-1,0),0,MOD($A240-1,5))+1,0,IF(CROQUIS!$C$103=1,-12,2),CROQUIS!$C$107/2+CROQUIS!$C$140,IF(CROQUIS!$C$103=1,-12,2),0)))*CROQUIS!$C$155)+IF(CROQUIS!$C$92="X",0,0)),-1000)</f>
        <v>-1000</v>
      </c>
      <c r="BN240">
        <f>IF(AND(CROQUIS!$C$88=1,CROQUIS!$C$91=0,CROQUIS!$C$130&gt;0,OR(CROQUIS!$C$104=1,CROQUIS!$C$142=1)),((CROQUIS!$C$156+(IF(CROQUIS!$C$92="X",CHOOSE(IF(INT(($A240-1)/5)&gt;MAX((MIN(80,MAX(1,INT(((CROQUIS!$C$98)-CROQUIS!$C$107)/MAX(CROQUIS!$C$130,1))+1)))-1,0),0,MOD($A240-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240-1)/5),MAX((MIN(80,MAX(1,INT(((CROQUIS!$C$98)-CROQUIS!$C$107)/MAX(CROQUIS!$C$130,1))+1)))-1,0))*CROQUIS!$C$130)))*CROQUIS!$C$155)+IF(CROQUIS!$C$92="X",0,0)),-1000)</f>
        <v>-1000</v>
      </c>
      <c r="BO24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240-1)/5),MAX((MIN(80,MAX(1,INT(((CROQUIS!$C$98)-CROQUIS!$C$107)/MAX(CROQUIS!$C$130,1))+1)))-1,0))*CROQUIS!$C$130),CHOOSE(IF(INT(($A240-1)/5)&gt;MAX((MIN(80,MAX(1,INT(((CROQUIS!$C$98)-CROQUIS!$C$107)/MAX(CROQUIS!$C$130,1))+1)))-1,0),0,MOD($A240-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4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240-1)/5),MAX((MIN(80,MAX(1,INT(((CROQUIS!$C$97)-CROQUIS!$C$107)/MAX(CROQUIS!$C$138,1))+1)))-1,0))*CROQUIS!$C$138),CHOOSE(IF(INT(($A240-1)/5)&gt;MAX((MIN(80,MAX(1,INT(((CROQUIS!$C$97)-CROQUIS!$C$107)/MAX(CROQUIS!$C$138,1))+1)))-1,0),0,MOD($A240-1,5))+1,0,IF(CROQUIS!$C$105=1,-12,2),CROQUIS!$C$107/2+CROQUIS!$C$141,IF(CROQUIS!$C$105=1,-12,2),0)))*CROQUIS!$C$155)+IF(CROQUIS!$C$92="X",0,0)),-1000)</f>
        <v>-1000</v>
      </c>
      <c r="BQ240">
        <f>IF(AND(CROQUIS!$C$88=1,CROQUIS!$C$91=0,CROQUIS!$C$138&gt;0,OR(CROQUIS!$C$105=1,CROQUIS!$C$143=1)),((CROQUIS!$C$157+(IF(CROQUIS!$C$92="X",CHOOSE(IF(INT(($A240-1)/5)&gt;MAX((MIN(80,MAX(1,INT(((CROQUIS!$C$97)-CROQUIS!$C$107)/MAX(CROQUIS!$C$138,1))+1)))-1,0),0,MOD($A240-1,5))+1,0,IF(CROQUIS!$C$105=1,-12,2),CROQUIS!$C$107/2+CROQUIS!$C$141,IF(CROQUIS!$C$105=1,-12,2),0),((CROQUIS!$C$107/2+(((CROQUIS!$C$97)-CROQUIS!$C$107)-(MIN(80,MAX(1,INT(((CROQUIS!$C$97)-CROQUIS!$C$107)/MAX(CROQUIS!$C$138,1))+1))-1)*CROQUIS!$C$138)/2)+MIN(INT(($A240-1)/5),MAX((MIN(80,MAX(1,INT(((CROQUIS!$C$97)-CROQUIS!$C$107)/MAX(CROQUIS!$C$138,1))+1)))-1,0))*CROQUIS!$C$138)))*CROQUIS!$C$155)+IF(CROQUIS!$C$92="X",0,0)),-1000)</f>
        <v>-1000</v>
      </c>
      <c r="BR24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240-1)/5),MAX((MIN(80,MAX(1,INT(((CROQUIS!$C$97)-CROQUIS!$C$107)/MAX(CROQUIS!$C$138,1))+1)))-1,0))*CROQUIS!$C$138),CHOOSE(IF(INT(($A240-1)/5)&gt;MAX((MIN(80,MAX(1,INT(((CROQUIS!$C$97)-CROQUIS!$C$107)/MAX(CROQUIS!$C$138,1))+1)))-1,0),0,MOD($A240-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40">
        <f>IF(AND(CROQUIS!$C$88=1,CROQUIS!$C$91=0,CROQUIS!$C$138&gt;0,OR(CROQUIS!$C$106=1,CROQUIS!$C$143=1)),((CROQUIS!$C$157+(IF(CROQUIS!$C$92="X",CHOOSE(IF(INT(($A240-1)/5)&gt;MAX((MIN(80,MAX(1,INT(((CROQUIS!$C$97)-CROQUIS!$C$107)/MAX(CROQUIS!$C$138,1))+1)))-1,0),0,MOD($A240-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240-1)/5),MAX((MIN(80,MAX(1,INT(((CROQUIS!$C$97)-CROQUIS!$C$107)/MAX(CROQUIS!$C$138,1))+1)))-1,0))*CROQUIS!$C$138)))*CROQUIS!$C$155)+IF(CROQUIS!$C$92="X",0,0)),-1000)</f>
        <v>-1000</v>
      </c>
      <c r="BT240">
        <f>IF(AND(CROQUIS!$C$88=1,CROQUIS!$C$91=1,CROQUIS!$C$130&gt;0),((CROQUIS!$C$156+(IF(CROQUIS!$C$92="X",CHOOSE(IF(INT(($A240-1)/5)&gt;MAX((MIN(80,MAX(1,INT(((CROQUIS!$C$98)-CROQUIS!$C$107)/MAX(CROQUIS!$C$130,1))+1)))-1,0),0,MOD($A240-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240-1)/5),MAX((MIN(80,MAX(1,INT(((CROQUIS!$C$98)-CROQUIS!$C$107)/MAX(CROQUIS!$C$130,1))+1)))-1,0))*CROQUIS!$C$130)))*CROQUIS!$C$155)+IF(CROQUIS!$C$92="X",0,0)),-1000)</f>
        <v>-1000</v>
      </c>
      <c r="BU240">
        <f>IF(AND(CROQUIS!$C$88=1,CROQUIS!$C$91=1,CROQUIS!$C$130&gt;0),((CROQUIS!$C$157+(IF(CROQUIS!$C$92="X",((CROQUIS!$C$107/2+(((CROQUIS!$C$98)-CROQUIS!$C$107)-(MIN(80,MAX(1,INT(((CROQUIS!$C$98)-CROQUIS!$C$107)/MAX(CROQUIS!$C$130,1))+1))-1)*CROQUIS!$C$130)/2)+MIN(INT(($A240-1)/5),MAX((MIN(80,MAX(1,INT(((CROQUIS!$C$98)-CROQUIS!$C$107)/MAX(CROQUIS!$C$130,1))+1)))-1,0))*CROQUIS!$C$130),CHOOSE(IF(INT(($A240-1)/5)&gt;MAX((MIN(80,MAX(1,INT(((CROQUIS!$C$98)-CROQUIS!$C$107)/MAX(CROQUIS!$C$130,1))+1)))-1,0),0,MOD($A240-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41">
      <c r="A241" t="n">
        <v>234</v>
      </c>
      <c r="BH241">
        <f>IF(AND(CROQUIS!$C$88=1,CROQUIS!$C$126&gt;0),((CROQUIS!$C$156+(IF(CROQUIS!$C$92="X",CHOOSE(IF(INT(($A241-1)/5)&gt;MAX((MIN(80,MAX(1,INT(((CROQUIS!$C$98)-CROQUIS!$C$107)/MAX(CROQUIS!$C$126,1))+1)))-1,0),0,MOD($A241-1,5))+1,0,2,CROQUIS!$C$97-2,2,0),((CROQUIS!$C$107/2+(((CROQUIS!$C$98)-CROQUIS!$C$107)-(MIN(80,MAX(1,INT(((CROQUIS!$C$98)-CROQUIS!$C$107)/MAX(CROQUIS!$C$126,1))+1))-1)*CROQUIS!$C$126)/2)+MIN(INT(($A241-1)/5),MAX((MIN(80,MAX(1,INT(((CROQUIS!$C$98)-CROQUIS!$C$107)/MAX(CROQUIS!$C$126,1))+1)))-1,0))*CROQUIS!$C$126)))*CROQUIS!$C$155)+IF(CROQUIS!$C$92="X",0,0)),-1000)</f>
        <v>-1000</v>
      </c>
      <c r="BI241">
        <f>IF(AND(CROQUIS!$C$88=1,CROQUIS!$C$126&gt;0),((CROQUIS!$C$157+(IF(CROQUIS!$C$92="X",((CROQUIS!$C$107/2+(((CROQUIS!$C$98)-CROQUIS!$C$107)-(MIN(80,MAX(1,INT(((CROQUIS!$C$98)-CROQUIS!$C$107)/MAX(CROQUIS!$C$126,1))+1))-1)*CROQUIS!$C$126)/2)+MIN(INT(($A241-1)/5),MAX((MIN(80,MAX(1,INT(((CROQUIS!$C$98)-CROQUIS!$C$107)/MAX(CROQUIS!$C$126,1))+1)))-1,0))*CROQUIS!$C$126),CHOOSE(IF(INT(($A241-1)/5)&gt;MAX((MIN(80,MAX(1,INT(((CROQUIS!$C$98)-CROQUIS!$C$107)/MAX(CROQUIS!$C$126,1))+1)))-1,0),0,MOD($A241-1,5))+1,0,2,CROQUIS!$C$97-2,2,0)))*CROQUIS!$C$155)+IF(CROQUIS!$C$92="X",0,0)),-1000)</f>
        <v>-1000</v>
      </c>
      <c r="BJ241">
        <f>IF(AND(CROQUIS!$C$88=1,CROQUIS!$C$134&gt;0),((CROQUIS!$C$156+(IF(CROQUIS!$C$92="X",((CROQUIS!$C$107/2+(((CROQUIS!$C$97)-CROQUIS!$C$107)-(MIN(80,MAX(1,INT(((CROQUIS!$C$97)-CROQUIS!$C$107)/MAX(CROQUIS!$C$134,1))+1))-1)*CROQUIS!$C$134)/2)+MIN(INT(($A241-1)/5),MAX((MIN(80,MAX(1,INT(((CROQUIS!$C$97)-CROQUIS!$C$107)/MAX(CROQUIS!$C$134,1))+1)))-1,0))*CROQUIS!$C$134),CHOOSE(IF(INT(($A241-1)/5)&gt;MAX((MIN(80,MAX(1,INT(((CROQUIS!$C$97)-CROQUIS!$C$107)/MAX(CROQUIS!$C$134,1))+1)))-1,0),0,MOD($A241-1,5))+1,0,2,CROQUIS!$C$98-2,2,0)))*CROQUIS!$C$155)+IF(CROQUIS!$C$92="X",0,0)),-1000)</f>
        <v>-1000</v>
      </c>
      <c r="BK241">
        <f>IF(AND(CROQUIS!$C$88=1,CROQUIS!$C$134&gt;0),((CROQUIS!$C$157+(IF(CROQUIS!$C$92="X",CHOOSE(IF(INT(($A241-1)/5)&gt;MAX((MIN(80,MAX(1,INT(((CROQUIS!$C$97)-CROQUIS!$C$107)/MAX(CROQUIS!$C$134,1))+1)))-1,0),0,MOD($A241-1,5))+1,0,2,CROQUIS!$C$98-2,2,0),((CROQUIS!$C$107/2+(((CROQUIS!$C$97)-CROQUIS!$C$107)-(MIN(80,MAX(1,INT(((CROQUIS!$C$97)-CROQUIS!$C$107)/MAX(CROQUIS!$C$134,1))+1))-1)*CROQUIS!$C$134)/2)+MIN(INT(($A241-1)/5),MAX((MIN(80,MAX(1,INT(((CROQUIS!$C$97)-CROQUIS!$C$107)/MAX(CROQUIS!$C$134,1))+1)))-1,0))*CROQUIS!$C$134)))*CROQUIS!$C$155)+IF(CROQUIS!$C$92="X",0,0)),-1000)</f>
        <v>-1000</v>
      </c>
      <c r="BL241">
        <f>IF(AND(CROQUIS!$C$88=1,CROQUIS!$C$91=0,CROQUIS!$C$130&gt;0,OR(CROQUIS!$C$103=1,CROQUIS!$C$142=1)),((CROQUIS!$C$156+(IF(CROQUIS!$C$92="X",CHOOSE(IF(INT(($A241-1)/5)&gt;MAX((MIN(80,MAX(1,INT(((CROQUIS!$C$98)-CROQUIS!$C$107)/MAX(CROQUIS!$C$130,1))+1)))-1,0),0,MOD($A241-1,5))+1,0,IF(CROQUIS!$C$103=1,-12,2),CROQUIS!$C$107/2+CROQUIS!$C$140,IF(CROQUIS!$C$103=1,-12,2),0),((CROQUIS!$C$107/2+(((CROQUIS!$C$98)-CROQUIS!$C$107)-(MIN(80,MAX(1,INT(((CROQUIS!$C$98)-CROQUIS!$C$107)/MAX(CROQUIS!$C$130,1))+1))-1)*CROQUIS!$C$130)/2)+MIN(INT(($A241-1)/5),MAX((MIN(80,MAX(1,INT(((CROQUIS!$C$98)-CROQUIS!$C$107)/MAX(CROQUIS!$C$130,1))+1)))-1,0))*CROQUIS!$C$130)))*CROQUIS!$C$155)+IF(CROQUIS!$C$92="X",0,0)),-1000)</f>
        <v>-1000</v>
      </c>
      <c r="BM24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241-1)/5),MAX((MIN(80,MAX(1,INT(((CROQUIS!$C$98)-CROQUIS!$C$107)/MAX(CROQUIS!$C$130,1))+1)))-1,0))*CROQUIS!$C$130),CHOOSE(IF(INT(($A241-1)/5)&gt;MAX((MIN(80,MAX(1,INT(((CROQUIS!$C$98)-CROQUIS!$C$107)/MAX(CROQUIS!$C$130,1))+1)))-1,0),0,MOD($A241-1,5))+1,0,IF(CROQUIS!$C$103=1,-12,2),CROQUIS!$C$107/2+CROQUIS!$C$140,IF(CROQUIS!$C$103=1,-12,2),0)))*CROQUIS!$C$155)+IF(CROQUIS!$C$92="X",0,0)),-1000)</f>
        <v>-1000</v>
      </c>
      <c r="BN241">
        <f>IF(AND(CROQUIS!$C$88=1,CROQUIS!$C$91=0,CROQUIS!$C$130&gt;0,OR(CROQUIS!$C$104=1,CROQUIS!$C$142=1)),((CROQUIS!$C$156+(IF(CROQUIS!$C$92="X",CHOOSE(IF(INT(($A241-1)/5)&gt;MAX((MIN(80,MAX(1,INT(((CROQUIS!$C$98)-CROQUIS!$C$107)/MAX(CROQUIS!$C$130,1))+1)))-1,0),0,MOD($A241-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241-1)/5),MAX((MIN(80,MAX(1,INT(((CROQUIS!$C$98)-CROQUIS!$C$107)/MAX(CROQUIS!$C$130,1))+1)))-1,0))*CROQUIS!$C$130)))*CROQUIS!$C$155)+IF(CROQUIS!$C$92="X",0,0)),-1000)</f>
        <v>-1000</v>
      </c>
      <c r="BO24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241-1)/5),MAX((MIN(80,MAX(1,INT(((CROQUIS!$C$98)-CROQUIS!$C$107)/MAX(CROQUIS!$C$130,1))+1)))-1,0))*CROQUIS!$C$130),CHOOSE(IF(INT(($A241-1)/5)&gt;MAX((MIN(80,MAX(1,INT(((CROQUIS!$C$98)-CROQUIS!$C$107)/MAX(CROQUIS!$C$130,1))+1)))-1,0),0,MOD($A241-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4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241-1)/5),MAX((MIN(80,MAX(1,INT(((CROQUIS!$C$97)-CROQUIS!$C$107)/MAX(CROQUIS!$C$138,1))+1)))-1,0))*CROQUIS!$C$138),CHOOSE(IF(INT(($A241-1)/5)&gt;MAX((MIN(80,MAX(1,INT(((CROQUIS!$C$97)-CROQUIS!$C$107)/MAX(CROQUIS!$C$138,1))+1)))-1,0),0,MOD($A241-1,5))+1,0,IF(CROQUIS!$C$105=1,-12,2),CROQUIS!$C$107/2+CROQUIS!$C$141,IF(CROQUIS!$C$105=1,-12,2),0)))*CROQUIS!$C$155)+IF(CROQUIS!$C$92="X",0,0)),-1000)</f>
        <v>-1000</v>
      </c>
      <c r="BQ241">
        <f>IF(AND(CROQUIS!$C$88=1,CROQUIS!$C$91=0,CROQUIS!$C$138&gt;0,OR(CROQUIS!$C$105=1,CROQUIS!$C$143=1)),((CROQUIS!$C$157+(IF(CROQUIS!$C$92="X",CHOOSE(IF(INT(($A241-1)/5)&gt;MAX((MIN(80,MAX(1,INT(((CROQUIS!$C$97)-CROQUIS!$C$107)/MAX(CROQUIS!$C$138,1))+1)))-1,0),0,MOD($A241-1,5))+1,0,IF(CROQUIS!$C$105=1,-12,2),CROQUIS!$C$107/2+CROQUIS!$C$141,IF(CROQUIS!$C$105=1,-12,2),0),((CROQUIS!$C$107/2+(((CROQUIS!$C$97)-CROQUIS!$C$107)-(MIN(80,MAX(1,INT(((CROQUIS!$C$97)-CROQUIS!$C$107)/MAX(CROQUIS!$C$138,1))+1))-1)*CROQUIS!$C$138)/2)+MIN(INT(($A241-1)/5),MAX((MIN(80,MAX(1,INT(((CROQUIS!$C$97)-CROQUIS!$C$107)/MAX(CROQUIS!$C$138,1))+1)))-1,0))*CROQUIS!$C$138)))*CROQUIS!$C$155)+IF(CROQUIS!$C$92="X",0,0)),-1000)</f>
        <v>-1000</v>
      </c>
      <c r="BR24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241-1)/5),MAX((MIN(80,MAX(1,INT(((CROQUIS!$C$97)-CROQUIS!$C$107)/MAX(CROQUIS!$C$138,1))+1)))-1,0))*CROQUIS!$C$138),CHOOSE(IF(INT(($A241-1)/5)&gt;MAX((MIN(80,MAX(1,INT(((CROQUIS!$C$97)-CROQUIS!$C$107)/MAX(CROQUIS!$C$138,1))+1)))-1,0),0,MOD($A241-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41">
        <f>IF(AND(CROQUIS!$C$88=1,CROQUIS!$C$91=0,CROQUIS!$C$138&gt;0,OR(CROQUIS!$C$106=1,CROQUIS!$C$143=1)),((CROQUIS!$C$157+(IF(CROQUIS!$C$92="X",CHOOSE(IF(INT(($A241-1)/5)&gt;MAX((MIN(80,MAX(1,INT(((CROQUIS!$C$97)-CROQUIS!$C$107)/MAX(CROQUIS!$C$138,1))+1)))-1,0),0,MOD($A241-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241-1)/5),MAX((MIN(80,MAX(1,INT(((CROQUIS!$C$97)-CROQUIS!$C$107)/MAX(CROQUIS!$C$138,1))+1)))-1,0))*CROQUIS!$C$138)))*CROQUIS!$C$155)+IF(CROQUIS!$C$92="X",0,0)),-1000)</f>
        <v>-1000</v>
      </c>
      <c r="BT241">
        <f>IF(AND(CROQUIS!$C$88=1,CROQUIS!$C$91=1,CROQUIS!$C$130&gt;0),((CROQUIS!$C$156+(IF(CROQUIS!$C$92="X",CHOOSE(IF(INT(($A241-1)/5)&gt;MAX((MIN(80,MAX(1,INT(((CROQUIS!$C$98)-CROQUIS!$C$107)/MAX(CROQUIS!$C$130,1))+1)))-1,0),0,MOD($A241-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241-1)/5),MAX((MIN(80,MAX(1,INT(((CROQUIS!$C$98)-CROQUIS!$C$107)/MAX(CROQUIS!$C$130,1))+1)))-1,0))*CROQUIS!$C$130)))*CROQUIS!$C$155)+IF(CROQUIS!$C$92="X",0,0)),-1000)</f>
        <v>-1000</v>
      </c>
      <c r="BU241">
        <f>IF(AND(CROQUIS!$C$88=1,CROQUIS!$C$91=1,CROQUIS!$C$130&gt;0),((CROQUIS!$C$157+(IF(CROQUIS!$C$92="X",((CROQUIS!$C$107/2+(((CROQUIS!$C$98)-CROQUIS!$C$107)-(MIN(80,MAX(1,INT(((CROQUIS!$C$98)-CROQUIS!$C$107)/MAX(CROQUIS!$C$130,1))+1))-1)*CROQUIS!$C$130)/2)+MIN(INT(($A241-1)/5),MAX((MIN(80,MAX(1,INT(((CROQUIS!$C$98)-CROQUIS!$C$107)/MAX(CROQUIS!$C$130,1))+1)))-1,0))*CROQUIS!$C$130),CHOOSE(IF(INT(($A241-1)/5)&gt;MAX((MIN(80,MAX(1,INT(((CROQUIS!$C$98)-CROQUIS!$C$107)/MAX(CROQUIS!$C$130,1))+1)))-1,0),0,MOD($A241-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42">
      <c r="A242" t="n">
        <v>235</v>
      </c>
      <c r="BH242">
        <f>IF(AND(CROQUIS!$C$88=1,CROQUIS!$C$126&gt;0),((CROQUIS!$C$156+(IF(CROQUIS!$C$92="X",CHOOSE(IF(INT(($A242-1)/5)&gt;MAX((MIN(80,MAX(1,INT(((CROQUIS!$C$98)-CROQUIS!$C$107)/MAX(CROQUIS!$C$126,1))+1)))-1,0),0,MOD($A242-1,5))+1,0,2,CROQUIS!$C$97-2,2,0),((CROQUIS!$C$107/2+(((CROQUIS!$C$98)-CROQUIS!$C$107)-(MIN(80,MAX(1,INT(((CROQUIS!$C$98)-CROQUIS!$C$107)/MAX(CROQUIS!$C$126,1))+1))-1)*CROQUIS!$C$126)/2)+MIN(INT(($A242-1)/5),MAX((MIN(80,MAX(1,INT(((CROQUIS!$C$98)-CROQUIS!$C$107)/MAX(CROQUIS!$C$126,1))+1)))-1,0))*CROQUIS!$C$126)))*CROQUIS!$C$155)+IF(CROQUIS!$C$92="X",0,0)),-1000)</f>
        <v>-1000</v>
      </c>
      <c r="BI242">
        <f>IF(AND(CROQUIS!$C$88=1,CROQUIS!$C$126&gt;0),((CROQUIS!$C$157+(IF(CROQUIS!$C$92="X",((CROQUIS!$C$107/2+(((CROQUIS!$C$98)-CROQUIS!$C$107)-(MIN(80,MAX(1,INT(((CROQUIS!$C$98)-CROQUIS!$C$107)/MAX(CROQUIS!$C$126,1))+1))-1)*CROQUIS!$C$126)/2)+MIN(INT(($A242-1)/5),MAX((MIN(80,MAX(1,INT(((CROQUIS!$C$98)-CROQUIS!$C$107)/MAX(CROQUIS!$C$126,1))+1)))-1,0))*CROQUIS!$C$126),CHOOSE(IF(INT(($A242-1)/5)&gt;MAX((MIN(80,MAX(1,INT(((CROQUIS!$C$98)-CROQUIS!$C$107)/MAX(CROQUIS!$C$126,1))+1)))-1,0),0,MOD($A242-1,5))+1,0,2,CROQUIS!$C$97-2,2,0)))*CROQUIS!$C$155)+IF(CROQUIS!$C$92="X",0,0)),-1000)</f>
        <v>-1000</v>
      </c>
      <c r="BJ242">
        <f>IF(AND(CROQUIS!$C$88=1,CROQUIS!$C$134&gt;0),((CROQUIS!$C$156+(IF(CROQUIS!$C$92="X",((CROQUIS!$C$107/2+(((CROQUIS!$C$97)-CROQUIS!$C$107)-(MIN(80,MAX(1,INT(((CROQUIS!$C$97)-CROQUIS!$C$107)/MAX(CROQUIS!$C$134,1))+1))-1)*CROQUIS!$C$134)/2)+MIN(INT(($A242-1)/5),MAX((MIN(80,MAX(1,INT(((CROQUIS!$C$97)-CROQUIS!$C$107)/MAX(CROQUIS!$C$134,1))+1)))-1,0))*CROQUIS!$C$134),CHOOSE(IF(INT(($A242-1)/5)&gt;MAX((MIN(80,MAX(1,INT(((CROQUIS!$C$97)-CROQUIS!$C$107)/MAX(CROQUIS!$C$134,1))+1)))-1,0),0,MOD($A242-1,5))+1,0,2,CROQUIS!$C$98-2,2,0)))*CROQUIS!$C$155)+IF(CROQUIS!$C$92="X",0,0)),-1000)</f>
        <v>-1000</v>
      </c>
      <c r="BK242">
        <f>IF(AND(CROQUIS!$C$88=1,CROQUIS!$C$134&gt;0),((CROQUIS!$C$157+(IF(CROQUIS!$C$92="X",CHOOSE(IF(INT(($A242-1)/5)&gt;MAX((MIN(80,MAX(1,INT(((CROQUIS!$C$97)-CROQUIS!$C$107)/MAX(CROQUIS!$C$134,1))+1)))-1,0),0,MOD($A242-1,5))+1,0,2,CROQUIS!$C$98-2,2,0),((CROQUIS!$C$107/2+(((CROQUIS!$C$97)-CROQUIS!$C$107)-(MIN(80,MAX(1,INT(((CROQUIS!$C$97)-CROQUIS!$C$107)/MAX(CROQUIS!$C$134,1))+1))-1)*CROQUIS!$C$134)/2)+MIN(INT(($A242-1)/5),MAX((MIN(80,MAX(1,INT(((CROQUIS!$C$97)-CROQUIS!$C$107)/MAX(CROQUIS!$C$134,1))+1)))-1,0))*CROQUIS!$C$134)))*CROQUIS!$C$155)+IF(CROQUIS!$C$92="X",0,0)),-1000)</f>
        <v>-1000</v>
      </c>
      <c r="BL242">
        <f>IF(AND(CROQUIS!$C$88=1,CROQUIS!$C$91=0,CROQUIS!$C$130&gt;0,OR(CROQUIS!$C$103=1,CROQUIS!$C$142=1)),((CROQUIS!$C$156+(IF(CROQUIS!$C$92="X",CHOOSE(IF(INT(($A242-1)/5)&gt;MAX((MIN(80,MAX(1,INT(((CROQUIS!$C$98)-CROQUIS!$C$107)/MAX(CROQUIS!$C$130,1))+1)))-1,0),0,MOD($A242-1,5))+1,0,IF(CROQUIS!$C$103=1,-12,2),CROQUIS!$C$107/2+CROQUIS!$C$140,IF(CROQUIS!$C$103=1,-12,2),0),((CROQUIS!$C$107/2+(((CROQUIS!$C$98)-CROQUIS!$C$107)-(MIN(80,MAX(1,INT(((CROQUIS!$C$98)-CROQUIS!$C$107)/MAX(CROQUIS!$C$130,1))+1))-1)*CROQUIS!$C$130)/2)+MIN(INT(($A242-1)/5),MAX((MIN(80,MAX(1,INT(((CROQUIS!$C$98)-CROQUIS!$C$107)/MAX(CROQUIS!$C$130,1))+1)))-1,0))*CROQUIS!$C$130)))*CROQUIS!$C$155)+IF(CROQUIS!$C$92="X",0,0)),-1000)</f>
        <v>-1000</v>
      </c>
      <c r="BM24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242-1)/5),MAX((MIN(80,MAX(1,INT(((CROQUIS!$C$98)-CROQUIS!$C$107)/MAX(CROQUIS!$C$130,1))+1)))-1,0))*CROQUIS!$C$130),CHOOSE(IF(INT(($A242-1)/5)&gt;MAX((MIN(80,MAX(1,INT(((CROQUIS!$C$98)-CROQUIS!$C$107)/MAX(CROQUIS!$C$130,1))+1)))-1,0),0,MOD($A242-1,5))+1,0,IF(CROQUIS!$C$103=1,-12,2),CROQUIS!$C$107/2+CROQUIS!$C$140,IF(CROQUIS!$C$103=1,-12,2),0)))*CROQUIS!$C$155)+IF(CROQUIS!$C$92="X",0,0)),-1000)</f>
        <v>-1000</v>
      </c>
      <c r="BN242">
        <f>IF(AND(CROQUIS!$C$88=1,CROQUIS!$C$91=0,CROQUIS!$C$130&gt;0,OR(CROQUIS!$C$104=1,CROQUIS!$C$142=1)),((CROQUIS!$C$156+(IF(CROQUIS!$C$92="X",CHOOSE(IF(INT(($A242-1)/5)&gt;MAX((MIN(80,MAX(1,INT(((CROQUIS!$C$98)-CROQUIS!$C$107)/MAX(CROQUIS!$C$130,1))+1)))-1,0),0,MOD($A242-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242-1)/5),MAX((MIN(80,MAX(1,INT(((CROQUIS!$C$98)-CROQUIS!$C$107)/MAX(CROQUIS!$C$130,1))+1)))-1,0))*CROQUIS!$C$130)))*CROQUIS!$C$155)+IF(CROQUIS!$C$92="X",0,0)),-1000)</f>
        <v>-1000</v>
      </c>
      <c r="BO24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242-1)/5),MAX((MIN(80,MAX(1,INT(((CROQUIS!$C$98)-CROQUIS!$C$107)/MAX(CROQUIS!$C$130,1))+1)))-1,0))*CROQUIS!$C$130),CHOOSE(IF(INT(($A242-1)/5)&gt;MAX((MIN(80,MAX(1,INT(((CROQUIS!$C$98)-CROQUIS!$C$107)/MAX(CROQUIS!$C$130,1))+1)))-1,0),0,MOD($A242-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4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242-1)/5),MAX((MIN(80,MAX(1,INT(((CROQUIS!$C$97)-CROQUIS!$C$107)/MAX(CROQUIS!$C$138,1))+1)))-1,0))*CROQUIS!$C$138),CHOOSE(IF(INT(($A242-1)/5)&gt;MAX((MIN(80,MAX(1,INT(((CROQUIS!$C$97)-CROQUIS!$C$107)/MAX(CROQUIS!$C$138,1))+1)))-1,0),0,MOD($A242-1,5))+1,0,IF(CROQUIS!$C$105=1,-12,2),CROQUIS!$C$107/2+CROQUIS!$C$141,IF(CROQUIS!$C$105=1,-12,2),0)))*CROQUIS!$C$155)+IF(CROQUIS!$C$92="X",0,0)),-1000)</f>
        <v>-1000</v>
      </c>
      <c r="BQ242">
        <f>IF(AND(CROQUIS!$C$88=1,CROQUIS!$C$91=0,CROQUIS!$C$138&gt;0,OR(CROQUIS!$C$105=1,CROQUIS!$C$143=1)),((CROQUIS!$C$157+(IF(CROQUIS!$C$92="X",CHOOSE(IF(INT(($A242-1)/5)&gt;MAX((MIN(80,MAX(1,INT(((CROQUIS!$C$97)-CROQUIS!$C$107)/MAX(CROQUIS!$C$138,1))+1)))-1,0),0,MOD($A242-1,5))+1,0,IF(CROQUIS!$C$105=1,-12,2),CROQUIS!$C$107/2+CROQUIS!$C$141,IF(CROQUIS!$C$105=1,-12,2),0),((CROQUIS!$C$107/2+(((CROQUIS!$C$97)-CROQUIS!$C$107)-(MIN(80,MAX(1,INT(((CROQUIS!$C$97)-CROQUIS!$C$107)/MAX(CROQUIS!$C$138,1))+1))-1)*CROQUIS!$C$138)/2)+MIN(INT(($A242-1)/5),MAX((MIN(80,MAX(1,INT(((CROQUIS!$C$97)-CROQUIS!$C$107)/MAX(CROQUIS!$C$138,1))+1)))-1,0))*CROQUIS!$C$138)))*CROQUIS!$C$155)+IF(CROQUIS!$C$92="X",0,0)),-1000)</f>
        <v>-1000</v>
      </c>
      <c r="BR24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242-1)/5),MAX((MIN(80,MAX(1,INT(((CROQUIS!$C$97)-CROQUIS!$C$107)/MAX(CROQUIS!$C$138,1))+1)))-1,0))*CROQUIS!$C$138),CHOOSE(IF(INT(($A242-1)/5)&gt;MAX((MIN(80,MAX(1,INT(((CROQUIS!$C$97)-CROQUIS!$C$107)/MAX(CROQUIS!$C$138,1))+1)))-1,0),0,MOD($A242-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42">
        <f>IF(AND(CROQUIS!$C$88=1,CROQUIS!$C$91=0,CROQUIS!$C$138&gt;0,OR(CROQUIS!$C$106=1,CROQUIS!$C$143=1)),((CROQUIS!$C$157+(IF(CROQUIS!$C$92="X",CHOOSE(IF(INT(($A242-1)/5)&gt;MAX((MIN(80,MAX(1,INT(((CROQUIS!$C$97)-CROQUIS!$C$107)/MAX(CROQUIS!$C$138,1))+1)))-1,0),0,MOD($A242-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242-1)/5),MAX((MIN(80,MAX(1,INT(((CROQUIS!$C$97)-CROQUIS!$C$107)/MAX(CROQUIS!$C$138,1))+1)))-1,0))*CROQUIS!$C$138)))*CROQUIS!$C$155)+IF(CROQUIS!$C$92="X",0,0)),-1000)</f>
        <v>-1000</v>
      </c>
      <c r="BT242">
        <f>IF(AND(CROQUIS!$C$88=1,CROQUIS!$C$91=1,CROQUIS!$C$130&gt;0),((CROQUIS!$C$156+(IF(CROQUIS!$C$92="X",CHOOSE(IF(INT(($A242-1)/5)&gt;MAX((MIN(80,MAX(1,INT(((CROQUIS!$C$98)-CROQUIS!$C$107)/MAX(CROQUIS!$C$130,1))+1)))-1,0),0,MOD($A242-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242-1)/5),MAX((MIN(80,MAX(1,INT(((CROQUIS!$C$98)-CROQUIS!$C$107)/MAX(CROQUIS!$C$130,1))+1)))-1,0))*CROQUIS!$C$130)))*CROQUIS!$C$155)+IF(CROQUIS!$C$92="X",0,0)),-1000)</f>
        <v>-1000</v>
      </c>
      <c r="BU242">
        <f>IF(AND(CROQUIS!$C$88=1,CROQUIS!$C$91=1,CROQUIS!$C$130&gt;0),((CROQUIS!$C$157+(IF(CROQUIS!$C$92="X",((CROQUIS!$C$107/2+(((CROQUIS!$C$98)-CROQUIS!$C$107)-(MIN(80,MAX(1,INT(((CROQUIS!$C$98)-CROQUIS!$C$107)/MAX(CROQUIS!$C$130,1))+1))-1)*CROQUIS!$C$130)/2)+MIN(INT(($A242-1)/5),MAX((MIN(80,MAX(1,INT(((CROQUIS!$C$98)-CROQUIS!$C$107)/MAX(CROQUIS!$C$130,1))+1)))-1,0))*CROQUIS!$C$130),CHOOSE(IF(INT(($A242-1)/5)&gt;MAX((MIN(80,MAX(1,INT(((CROQUIS!$C$98)-CROQUIS!$C$107)/MAX(CROQUIS!$C$130,1))+1)))-1,0),0,MOD($A242-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43">
      <c r="A243" t="n">
        <v>236</v>
      </c>
      <c r="BH243">
        <f>IF(AND(CROQUIS!$C$88=1,CROQUIS!$C$126&gt;0),((CROQUIS!$C$156+(IF(CROQUIS!$C$92="X",CHOOSE(IF(INT(($A243-1)/5)&gt;MAX((MIN(80,MAX(1,INT(((CROQUIS!$C$98)-CROQUIS!$C$107)/MAX(CROQUIS!$C$126,1))+1)))-1,0),0,MOD($A243-1,5))+1,0,2,CROQUIS!$C$97-2,2,0),((CROQUIS!$C$107/2+(((CROQUIS!$C$98)-CROQUIS!$C$107)-(MIN(80,MAX(1,INT(((CROQUIS!$C$98)-CROQUIS!$C$107)/MAX(CROQUIS!$C$126,1))+1))-1)*CROQUIS!$C$126)/2)+MIN(INT(($A243-1)/5),MAX((MIN(80,MAX(1,INT(((CROQUIS!$C$98)-CROQUIS!$C$107)/MAX(CROQUIS!$C$126,1))+1)))-1,0))*CROQUIS!$C$126)))*CROQUIS!$C$155)+IF(CROQUIS!$C$92="X",0,0)),-1000)</f>
        <v>-1000</v>
      </c>
      <c r="BI243">
        <f>IF(AND(CROQUIS!$C$88=1,CROQUIS!$C$126&gt;0),((CROQUIS!$C$157+(IF(CROQUIS!$C$92="X",((CROQUIS!$C$107/2+(((CROQUIS!$C$98)-CROQUIS!$C$107)-(MIN(80,MAX(1,INT(((CROQUIS!$C$98)-CROQUIS!$C$107)/MAX(CROQUIS!$C$126,1))+1))-1)*CROQUIS!$C$126)/2)+MIN(INT(($A243-1)/5),MAX((MIN(80,MAX(1,INT(((CROQUIS!$C$98)-CROQUIS!$C$107)/MAX(CROQUIS!$C$126,1))+1)))-1,0))*CROQUIS!$C$126),CHOOSE(IF(INT(($A243-1)/5)&gt;MAX((MIN(80,MAX(1,INT(((CROQUIS!$C$98)-CROQUIS!$C$107)/MAX(CROQUIS!$C$126,1))+1)))-1,0),0,MOD($A243-1,5))+1,0,2,CROQUIS!$C$97-2,2,0)))*CROQUIS!$C$155)+IF(CROQUIS!$C$92="X",0,0)),-1000)</f>
        <v>-1000</v>
      </c>
      <c r="BJ243">
        <f>IF(AND(CROQUIS!$C$88=1,CROQUIS!$C$134&gt;0),((CROQUIS!$C$156+(IF(CROQUIS!$C$92="X",((CROQUIS!$C$107/2+(((CROQUIS!$C$97)-CROQUIS!$C$107)-(MIN(80,MAX(1,INT(((CROQUIS!$C$97)-CROQUIS!$C$107)/MAX(CROQUIS!$C$134,1))+1))-1)*CROQUIS!$C$134)/2)+MIN(INT(($A243-1)/5),MAX((MIN(80,MAX(1,INT(((CROQUIS!$C$97)-CROQUIS!$C$107)/MAX(CROQUIS!$C$134,1))+1)))-1,0))*CROQUIS!$C$134),CHOOSE(IF(INT(($A243-1)/5)&gt;MAX((MIN(80,MAX(1,INT(((CROQUIS!$C$97)-CROQUIS!$C$107)/MAX(CROQUIS!$C$134,1))+1)))-1,0),0,MOD($A243-1,5))+1,0,2,CROQUIS!$C$98-2,2,0)))*CROQUIS!$C$155)+IF(CROQUIS!$C$92="X",0,0)),-1000)</f>
        <v>-1000</v>
      </c>
      <c r="BK243">
        <f>IF(AND(CROQUIS!$C$88=1,CROQUIS!$C$134&gt;0),((CROQUIS!$C$157+(IF(CROQUIS!$C$92="X",CHOOSE(IF(INT(($A243-1)/5)&gt;MAX((MIN(80,MAX(1,INT(((CROQUIS!$C$97)-CROQUIS!$C$107)/MAX(CROQUIS!$C$134,1))+1)))-1,0),0,MOD($A243-1,5))+1,0,2,CROQUIS!$C$98-2,2,0),((CROQUIS!$C$107/2+(((CROQUIS!$C$97)-CROQUIS!$C$107)-(MIN(80,MAX(1,INT(((CROQUIS!$C$97)-CROQUIS!$C$107)/MAX(CROQUIS!$C$134,1))+1))-1)*CROQUIS!$C$134)/2)+MIN(INT(($A243-1)/5),MAX((MIN(80,MAX(1,INT(((CROQUIS!$C$97)-CROQUIS!$C$107)/MAX(CROQUIS!$C$134,1))+1)))-1,0))*CROQUIS!$C$134)))*CROQUIS!$C$155)+IF(CROQUIS!$C$92="X",0,0)),-1000)</f>
        <v>-1000</v>
      </c>
      <c r="BL243">
        <f>IF(AND(CROQUIS!$C$88=1,CROQUIS!$C$91=0,CROQUIS!$C$130&gt;0,OR(CROQUIS!$C$103=1,CROQUIS!$C$142=1)),((CROQUIS!$C$156+(IF(CROQUIS!$C$92="X",CHOOSE(IF(INT(($A243-1)/5)&gt;MAX((MIN(80,MAX(1,INT(((CROQUIS!$C$98)-CROQUIS!$C$107)/MAX(CROQUIS!$C$130,1))+1)))-1,0),0,MOD($A243-1,5))+1,0,IF(CROQUIS!$C$103=1,-12,2),CROQUIS!$C$107/2+CROQUIS!$C$140,IF(CROQUIS!$C$103=1,-12,2),0),((CROQUIS!$C$107/2+(((CROQUIS!$C$98)-CROQUIS!$C$107)-(MIN(80,MAX(1,INT(((CROQUIS!$C$98)-CROQUIS!$C$107)/MAX(CROQUIS!$C$130,1))+1))-1)*CROQUIS!$C$130)/2)+MIN(INT(($A243-1)/5),MAX((MIN(80,MAX(1,INT(((CROQUIS!$C$98)-CROQUIS!$C$107)/MAX(CROQUIS!$C$130,1))+1)))-1,0))*CROQUIS!$C$130)))*CROQUIS!$C$155)+IF(CROQUIS!$C$92="X",0,0)),-1000)</f>
        <v>-1000</v>
      </c>
      <c r="BM24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243-1)/5),MAX((MIN(80,MAX(1,INT(((CROQUIS!$C$98)-CROQUIS!$C$107)/MAX(CROQUIS!$C$130,1))+1)))-1,0))*CROQUIS!$C$130),CHOOSE(IF(INT(($A243-1)/5)&gt;MAX((MIN(80,MAX(1,INT(((CROQUIS!$C$98)-CROQUIS!$C$107)/MAX(CROQUIS!$C$130,1))+1)))-1,0),0,MOD($A243-1,5))+1,0,IF(CROQUIS!$C$103=1,-12,2),CROQUIS!$C$107/2+CROQUIS!$C$140,IF(CROQUIS!$C$103=1,-12,2),0)))*CROQUIS!$C$155)+IF(CROQUIS!$C$92="X",0,0)),-1000)</f>
        <v>-1000</v>
      </c>
      <c r="BN243">
        <f>IF(AND(CROQUIS!$C$88=1,CROQUIS!$C$91=0,CROQUIS!$C$130&gt;0,OR(CROQUIS!$C$104=1,CROQUIS!$C$142=1)),((CROQUIS!$C$156+(IF(CROQUIS!$C$92="X",CHOOSE(IF(INT(($A243-1)/5)&gt;MAX((MIN(80,MAX(1,INT(((CROQUIS!$C$98)-CROQUIS!$C$107)/MAX(CROQUIS!$C$130,1))+1)))-1,0),0,MOD($A243-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243-1)/5),MAX((MIN(80,MAX(1,INT(((CROQUIS!$C$98)-CROQUIS!$C$107)/MAX(CROQUIS!$C$130,1))+1)))-1,0))*CROQUIS!$C$130)))*CROQUIS!$C$155)+IF(CROQUIS!$C$92="X",0,0)),-1000)</f>
        <v>-1000</v>
      </c>
      <c r="BO24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243-1)/5),MAX((MIN(80,MAX(1,INT(((CROQUIS!$C$98)-CROQUIS!$C$107)/MAX(CROQUIS!$C$130,1))+1)))-1,0))*CROQUIS!$C$130),CHOOSE(IF(INT(($A243-1)/5)&gt;MAX((MIN(80,MAX(1,INT(((CROQUIS!$C$98)-CROQUIS!$C$107)/MAX(CROQUIS!$C$130,1))+1)))-1,0),0,MOD($A243-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4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243-1)/5),MAX((MIN(80,MAX(1,INT(((CROQUIS!$C$97)-CROQUIS!$C$107)/MAX(CROQUIS!$C$138,1))+1)))-1,0))*CROQUIS!$C$138),CHOOSE(IF(INT(($A243-1)/5)&gt;MAX((MIN(80,MAX(1,INT(((CROQUIS!$C$97)-CROQUIS!$C$107)/MAX(CROQUIS!$C$138,1))+1)))-1,0),0,MOD($A243-1,5))+1,0,IF(CROQUIS!$C$105=1,-12,2),CROQUIS!$C$107/2+CROQUIS!$C$141,IF(CROQUIS!$C$105=1,-12,2),0)))*CROQUIS!$C$155)+IF(CROQUIS!$C$92="X",0,0)),-1000)</f>
        <v>-1000</v>
      </c>
      <c r="BQ243">
        <f>IF(AND(CROQUIS!$C$88=1,CROQUIS!$C$91=0,CROQUIS!$C$138&gt;0,OR(CROQUIS!$C$105=1,CROQUIS!$C$143=1)),((CROQUIS!$C$157+(IF(CROQUIS!$C$92="X",CHOOSE(IF(INT(($A243-1)/5)&gt;MAX((MIN(80,MAX(1,INT(((CROQUIS!$C$97)-CROQUIS!$C$107)/MAX(CROQUIS!$C$138,1))+1)))-1,0),0,MOD($A243-1,5))+1,0,IF(CROQUIS!$C$105=1,-12,2),CROQUIS!$C$107/2+CROQUIS!$C$141,IF(CROQUIS!$C$105=1,-12,2),0),((CROQUIS!$C$107/2+(((CROQUIS!$C$97)-CROQUIS!$C$107)-(MIN(80,MAX(1,INT(((CROQUIS!$C$97)-CROQUIS!$C$107)/MAX(CROQUIS!$C$138,1))+1))-1)*CROQUIS!$C$138)/2)+MIN(INT(($A243-1)/5),MAX((MIN(80,MAX(1,INT(((CROQUIS!$C$97)-CROQUIS!$C$107)/MAX(CROQUIS!$C$138,1))+1)))-1,0))*CROQUIS!$C$138)))*CROQUIS!$C$155)+IF(CROQUIS!$C$92="X",0,0)),-1000)</f>
        <v>-1000</v>
      </c>
      <c r="BR24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243-1)/5),MAX((MIN(80,MAX(1,INT(((CROQUIS!$C$97)-CROQUIS!$C$107)/MAX(CROQUIS!$C$138,1))+1)))-1,0))*CROQUIS!$C$138),CHOOSE(IF(INT(($A243-1)/5)&gt;MAX((MIN(80,MAX(1,INT(((CROQUIS!$C$97)-CROQUIS!$C$107)/MAX(CROQUIS!$C$138,1))+1)))-1,0),0,MOD($A243-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43">
        <f>IF(AND(CROQUIS!$C$88=1,CROQUIS!$C$91=0,CROQUIS!$C$138&gt;0,OR(CROQUIS!$C$106=1,CROQUIS!$C$143=1)),((CROQUIS!$C$157+(IF(CROQUIS!$C$92="X",CHOOSE(IF(INT(($A243-1)/5)&gt;MAX((MIN(80,MAX(1,INT(((CROQUIS!$C$97)-CROQUIS!$C$107)/MAX(CROQUIS!$C$138,1))+1)))-1,0),0,MOD($A243-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243-1)/5),MAX((MIN(80,MAX(1,INT(((CROQUIS!$C$97)-CROQUIS!$C$107)/MAX(CROQUIS!$C$138,1))+1)))-1,0))*CROQUIS!$C$138)))*CROQUIS!$C$155)+IF(CROQUIS!$C$92="X",0,0)),-1000)</f>
        <v>-1000</v>
      </c>
      <c r="BT243">
        <f>IF(AND(CROQUIS!$C$88=1,CROQUIS!$C$91=1,CROQUIS!$C$130&gt;0),((CROQUIS!$C$156+(IF(CROQUIS!$C$92="X",CHOOSE(IF(INT(($A243-1)/5)&gt;MAX((MIN(80,MAX(1,INT(((CROQUIS!$C$98)-CROQUIS!$C$107)/MAX(CROQUIS!$C$130,1))+1)))-1,0),0,MOD($A243-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243-1)/5),MAX((MIN(80,MAX(1,INT(((CROQUIS!$C$98)-CROQUIS!$C$107)/MAX(CROQUIS!$C$130,1))+1)))-1,0))*CROQUIS!$C$130)))*CROQUIS!$C$155)+IF(CROQUIS!$C$92="X",0,0)),-1000)</f>
        <v>-1000</v>
      </c>
      <c r="BU243">
        <f>IF(AND(CROQUIS!$C$88=1,CROQUIS!$C$91=1,CROQUIS!$C$130&gt;0),((CROQUIS!$C$157+(IF(CROQUIS!$C$92="X",((CROQUIS!$C$107/2+(((CROQUIS!$C$98)-CROQUIS!$C$107)-(MIN(80,MAX(1,INT(((CROQUIS!$C$98)-CROQUIS!$C$107)/MAX(CROQUIS!$C$130,1))+1))-1)*CROQUIS!$C$130)/2)+MIN(INT(($A243-1)/5),MAX((MIN(80,MAX(1,INT(((CROQUIS!$C$98)-CROQUIS!$C$107)/MAX(CROQUIS!$C$130,1))+1)))-1,0))*CROQUIS!$C$130),CHOOSE(IF(INT(($A243-1)/5)&gt;MAX((MIN(80,MAX(1,INT(((CROQUIS!$C$98)-CROQUIS!$C$107)/MAX(CROQUIS!$C$130,1))+1)))-1,0),0,MOD($A243-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44">
      <c r="A244" t="n">
        <v>237</v>
      </c>
      <c r="BH244">
        <f>IF(AND(CROQUIS!$C$88=1,CROQUIS!$C$126&gt;0),((CROQUIS!$C$156+(IF(CROQUIS!$C$92="X",CHOOSE(IF(INT(($A244-1)/5)&gt;MAX((MIN(80,MAX(1,INT(((CROQUIS!$C$98)-CROQUIS!$C$107)/MAX(CROQUIS!$C$126,1))+1)))-1,0),0,MOD($A244-1,5))+1,0,2,CROQUIS!$C$97-2,2,0),((CROQUIS!$C$107/2+(((CROQUIS!$C$98)-CROQUIS!$C$107)-(MIN(80,MAX(1,INT(((CROQUIS!$C$98)-CROQUIS!$C$107)/MAX(CROQUIS!$C$126,1))+1))-1)*CROQUIS!$C$126)/2)+MIN(INT(($A244-1)/5),MAX((MIN(80,MAX(1,INT(((CROQUIS!$C$98)-CROQUIS!$C$107)/MAX(CROQUIS!$C$126,1))+1)))-1,0))*CROQUIS!$C$126)))*CROQUIS!$C$155)+IF(CROQUIS!$C$92="X",0,0)),-1000)</f>
        <v>-1000</v>
      </c>
      <c r="BI244">
        <f>IF(AND(CROQUIS!$C$88=1,CROQUIS!$C$126&gt;0),((CROQUIS!$C$157+(IF(CROQUIS!$C$92="X",((CROQUIS!$C$107/2+(((CROQUIS!$C$98)-CROQUIS!$C$107)-(MIN(80,MAX(1,INT(((CROQUIS!$C$98)-CROQUIS!$C$107)/MAX(CROQUIS!$C$126,1))+1))-1)*CROQUIS!$C$126)/2)+MIN(INT(($A244-1)/5),MAX((MIN(80,MAX(1,INT(((CROQUIS!$C$98)-CROQUIS!$C$107)/MAX(CROQUIS!$C$126,1))+1)))-1,0))*CROQUIS!$C$126),CHOOSE(IF(INT(($A244-1)/5)&gt;MAX((MIN(80,MAX(1,INT(((CROQUIS!$C$98)-CROQUIS!$C$107)/MAX(CROQUIS!$C$126,1))+1)))-1,0),0,MOD($A244-1,5))+1,0,2,CROQUIS!$C$97-2,2,0)))*CROQUIS!$C$155)+IF(CROQUIS!$C$92="X",0,0)),-1000)</f>
        <v>-1000</v>
      </c>
      <c r="BJ244">
        <f>IF(AND(CROQUIS!$C$88=1,CROQUIS!$C$134&gt;0),((CROQUIS!$C$156+(IF(CROQUIS!$C$92="X",((CROQUIS!$C$107/2+(((CROQUIS!$C$97)-CROQUIS!$C$107)-(MIN(80,MAX(1,INT(((CROQUIS!$C$97)-CROQUIS!$C$107)/MAX(CROQUIS!$C$134,1))+1))-1)*CROQUIS!$C$134)/2)+MIN(INT(($A244-1)/5),MAX((MIN(80,MAX(1,INT(((CROQUIS!$C$97)-CROQUIS!$C$107)/MAX(CROQUIS!$C$134,1))+1)))-1,0))*CROQUIS!$C$134),CHOOSE(IF(INT(($A244-1)/5)&gt;MAX((MIN(80,MAX(1,INT(((CROQUIS!$C$97)-CROQUIS!$C$107)/MAX(CROQUIS!$C$134,1))+1)))-1,0),0,MOD($A244-1,5))+1,0,2,CROQUIS!$C$98-2,2,0)))*CROQUIS!$C$155)+IF(CROQUIS!$C$92="X",0,0)),-1000)</f>
        <v>-1000</v>
      </c>
      <c r="BK244">
        <f>IF(AND(CROQUIS!$C$88=1,CROQUIS!$C$134&gt;0),((CROQUIS!$C$157+(IF(CROQUIS!$C$92="X",CHOOSE(IF(INT(($A244-1)/5)&gt;MAX((MIN(80,MAX(1,INT(((CROQUIS!$C$97)-CROQUIS!$C$107)/MAX(CROQUIS!$C$134,1))+1)))-1,0),0,MOD($A244-1,5))+1,0,2,CROQUIS!$C$98-2,2,0),((CROQUIS!$C$107/2+(((CROQUIS!$C$97)-CROQUIS!$C$107)-(MIN(80,MAX(1,INT(((CROQUIS!$C$97)-CROQUIS!$C$107)/MAX(CROQUIS!$C$134,1))+1))-1)*CROQUIS!$C$134)/2)+MIN(INT(($A244-1)/5),MAX((MIN(80,MAX(1,INT(((CROQUIS!$C$97)-CROQUIS!$C$107)/MAX(CROQUIS!$C$134,1))+1)))-1,0))*CROQUIS!$C$134)))*CROQUIS!$C$155)+IF(CROQUIS!$C$92="X",0,0)),-1000)</f>
        <v>-1000</v>
      </c>
      <c r="BL244">
        <f>IF(AND(CROQUIS!$C$88=1,CROQUIS!$C$91=0,CROQUIS!$C$130&gt;0,OR(CROQUIS!$C$103=1,CROQUIS!$C$142=1)),((CROQUIS!$C$156+(IF(CROQUIS!$C$92="X",CHOOSE(IF(INT(($A244-1)/5)&gt;MAX((MIN(80,MAX(1,INT(((CROQUIS!$C$98)-CROQUIS!$C$107)/MAX(CROQUIS!$C$130,1))+1)))-1,0),0,MOD($A244-1,5))+1,0,IF(CROQUIS!$C$103=1,-12,2),CROQUIS!$C$107/2+CROQUIS!$C$140,IF(CROQUIS!$C$103=1,-12,2),0),((CROQUIS!$C$107/2+(((CROQUIS!$C$98)-CROQUIS!$C$107)-(MIN(80,MAX(1,INT(((CROQUIS!$C$98)-CROQUIS!$C$107)/MAX(CROQUIS!$C$130,1))+1))-1)*CROQUIS!$C$130)/2)+MIN(INT(($A244-1)/5),MAX((MIN(80,MAX(1,INT(((CROQUIS!$C$98)-CROQUIS!$C$107)/MAX(CROQUIS!$C$130,1))+1)))-1,0))*CROQUIS!$C$130)))*CROQUIS!$C$155)+IF(CROQUIS!$C$92="X",0,0)),-1000)</f>
        <v>-1000</v>
      </c>
      <c r="BM24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244-1)/5),MAX((MIN(80,MAX(1,INT(((CROQUIS!$C$98)-CROQUIS!$C$107)/MAX(CROQUIS!$C$130,1))+1)))-1,0))*CROQUIS!$C$130),CHOOSE(IF(INT(($A244-1)/5)&gt;MAX((MIN(80,MAX(1,INT(((CROQUIS!$C$98)-CROQUIS!$C$107)/MAX(CROQUIS!$C$130,1))+1)))-1,0),0,MOD($A244-1,5))+1,0,IF(CROQUIS!$C$103=1,-12,2),CROQUIS!$C$107/2+CROQUIS!$C$140,IF(CROQUIS!$C$103=1,-12,2),0)))*CROQUIS!$C$155)+IF(CROQUIS!$C$92="X",0,0)),-1000)</f>
        <v>-1000</v>
      </c>
      <c r="BN244">
        <f>IF(AND(CROQUIS!$C$88=1,CROQUIS!$C$91=0,CROQUIS!$C$130&gt;0,OR(CROQUIS!$C$104=1,CROQUIS!$C$142=1)),((CROQUIS!$C$156+(IF(CROQUIS!$C$92="X",CHOOSE(IF(INT(($A244-1)/5)&gt;MAX((MIN(80,MAX(1,INT(((CROQUIS!$C$98)-CROQUIS!$C$107)/MAX(CROQUIS!$C$130,1))+1)))-1,0),0,MOD($A244-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244-1)/5),MAX((MIN(80,MAX(1,INT(((CROQUIS!$C$98)-CROQUIS!$C$107)/MAX(CROQUIS!$C$130,1))+1)))-1,0))*CROQUIS!$C$130)))*CROQUIS!$C$155)+IF(CROQUIS!$C$92="X",0,0)),-1000)</f>
        <v>-1000</v>
      </c>
      <c r="BO24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244-1)/5),MAX((MIN(80,MAX(1,INT(((CROQUIS!$C$98)-CROQUIS!$C$107)/MAX(CROQUIS!$C$130,1))+1)))-1,0))*CROQUIS!$C$130),CHOOSE(IF(INT(($A244-1)/5)&gt;MAX((MIN(80,MAX(1,INT(((CROQUIS!$C$98)-CROQUIS!$C$107)/MAX(CROQUIS!$C$130,1))+1)))-1,0),0,MOD($A244-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4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244-1)/5),MAX((MIN(80,MAX(1,INT(((CROQUIS!$C$97)-CROQUIS!$C$107)/MAX(CROQUIS!$C$138,1))+1)))-1,0))*CROQUIS!$C$138),CHOOSE(IF(INT(($A244-1)/5)&gt;MAX((MIN(80,MAX(1,INT(((CROQUIS!$C$97)-CROQUIS!$C$107)/MAX(CROQUIS!$C$138,1))+1)))-1,0),0,MOD($A244-1,5))+1,0,IF(CROQUIS!$C$105=1,-12,2),CROQUIS!$C$107/2+CROQUIS!$C$141,IF(CROQUIS!$C$105=1,-12,2),0)))*CROQUIS!$C$155)+IF(CROQUIS!$C$92="X",0,0)),-1000)</f>
        <v>-1000</v>
      </c>
      <c r="BQ244">
        <f>IF(AND(CROQUIS!$C$88=1,CROQUIS!$C$91=0,CROQUIS!$C$138&gt;0,OR(CROQUIS!$C$105=1,CROQUIS!$C$143=1)),((CROQUIS!$C$157+(IF(CROQUIS!$C$92="X",CHOOSE(IF(INT(($A244-1)/5)&gt;MAX((MIN(80,MAX(1,INT(((CROQUIS!$C$97)-CROQUIS!$C$107)/MAX(CROQUIS!$C$138,1))+1)))-1,0),0,MOD($A244-1,5))+1,0,IF(CROQUIS!$C$105=1,-12,2),CROQUIS!$C$107/2+CROQUIS!$C$141,IF(CROQUIS!$C$105=1,-12,2),0),((CROQUIS!$C$107/2+(((CROQUIS!$C$97)-CROQUIS!$C$107)-(MIN(80,MAX(1,INT(((CROQUIS!$C$97)-CROQUIS!$C$107)/MAX(CROQUIS!$C$138,1))+1))-1)*CROQUIS!$C$138)/2)+MIN(INT(($A244-1)/5),MAX((MIN(80,MAX(1,INT(((CROQUIS!$C$97)-CROQUIS!$C$107)/MAX(CROQUIS!$C$138,1))+1)))-1,0))*CROQUIS!$C$138)))*CROQUIS!$C$155)+IF(CROQUIS!$C$92="X",0,0)),-1000)</f>
        <v>-1000</v>
      </c>
      <c r="BR24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244-1)/5),MAX((MIN(80,MAX(1,INT(((CROQUIS!$C$97)-CROQUIS!$C$107)/MAX(CROQUIS!$C$138,1))+1)))-1,0))*CROQUIS!$C$138),CHOOSE(IF(INT(($A244-1)/5)&gt;MAX((MIN(80,MAX(1,INT(((CROQUIS!$C$97)-CROQUIS!$C$107)/MAX(CROQUIS!$C$138,1))+1)))-1,0),0,MOD($A244-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44">
        <f>IF(AND(CROQUIS!$C$88=1,CROQUIS!$C$91=0,CROQUIS!$C$138&gt;0,OR(CROQUIS!$C$106=1,CROQUIS!$C$143=1)),((CROQUIS!$C$157+(IF(CROQUIS!$C$92="X",CHOOSE(IF(INT(($A244-1)/5)&gt;MAX((MIN(80,MAX(1,INT(((CROQUIS!$C$97)-CROQUIS!$C$107)/MAX(CROQUIS!$C$138,1))+1)))-1,0),0,MOD($A244-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244-1)/5),MAX((MIN(80,MAX(1,INT(((CROQUIS!$C$97)-CROQUIS!$C$107)/MAX(CROQUIS!$C$138,1))+1)))-1,0))*CROQUIS!$C$138)))*CROQUIS!$C$155)+IF(CROQUIS!$C$92="X",0,0)),-1000)</f>
        <v>-1000</v>
      </c>
      <c r="BT244">
        <f>IF(AND(CROQUIS!$C$88=1,CROQUIS!$C$91=1,CROQUIS!$C$130&gt;0),((CROQUIS!$C$156+(IF(CROQUIS!$C$92="X",CHOOSE(IF(INT(($A244-1)/5)&gt;MAX((MIN(80,MAX(1,INT(((CROQUIS!$C$98)-CROQUIS!$C$107)/MAX(CROQUIS!$C$130,1))+1)))-1,0),0,MOD($A244-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244-1)/5),MAX((MIN(80,MAX(1,INT(((CROQUIS!$C$98)-CROQUIS!$C$107)/MAX(CROQUIS!$C$130,1))+1)))-1,0))*CROQUIS!$C$130)))*CROQUIS!$C$155)+IF(CROQUIS!$C$92="X",0,0)),-1000)</f>
        <v>-1000</v>
      </c>
      <c r="BU244">
        <f>IF(AND(CROQUIS!$C$88=1,CROQUIS!$C$91=1,CROQUIS!$C$130&gt;0),((CROQUIS!$C$157+(IF(CROQUIS!$C$92="X",((CROQUIS!$C$107/2+(((CROQUIS!$C$98)-CROQUIS!$C$107)-(MIN(80,MAX(1,INT(((CROQUIS!$C$98)-CROQUIS!$C$107)/MAX(CROQUIS!$C$130,1))+1))-1)*CROQUIS!$C$130)/2)+MIN(INT(($A244-1)/5),MAX((MIN(80,MAX(1,INT(((CROQUIS!$C$98)-CROQUIS!$C$107)/MAX(CROQUIS!$C$130,1))+1)))-1,0))*CROQUIS!$C$130),CHOOSE(IF(INT(($A244-1)/5)&gt;MAX((MIN(80,MAX(1,INT(((CROQUIS!$C$98)-CROQUIS!$C$107)/MAX(CROQUIS!$C$130,1))+1)))-1,0),0,MOD($A244-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45">
      <c r="A245" t="n">
        <v>238</v>
      </c>
      <c r="BH245">
        <f>IF(AND(CROQUIS!$C$88=1,CROQUIS!$C$126&gt;0),((CROQUIS!$C$156+(IF(CROQUIS!$C$92="X",CHOOSE(IF(INT(($A245-1)/5)&gt;MAX((MIN(80,MAX(1,INT(((CROQUIS!$C$98)-CROQUIS!$C$107)/MAX(CROQUIS!$C$126,1))+1)))-1,0),0,MOD($A245-1,5))+1,0,2,CROQUIS!$C$97-2,2,0),((CROQUIS!$C$107/2+(((CROQUIS!$C$98)-CROQUIS!$C$107)-(MIN(80,MAX(1,INT(((CROQUIS!$C$98)-CROQUIS!$C$107)/MAX(CROQUIS!$C$126,1))+1))-1)*CROQUIS!$C$126)/2)+MIN(INT(($A245-1)/5),MAX((MIN(80,MAX(1,INT(((CROQUIS!$C$98)-CROQUIS!$C$107)/MAX(CROQUIS!$C$126,1))+1)))-1,0))*CROQUIS!$C$126)))*CROQUIS!$C$155)+IF(CROQUIS!$C$92="X",0,0)),-1000)</f>
        <v>-1000</v>
      </c>
      <c r="BI245">
        <f>IF(AND(CROQUIS!$C$88=1,CROQUIS!$C$126&gt;0),((CROQUIS!$C$157+(IF(CROQUIS!$C$92="X",((CROQUIS!$C$107/2+(((CROQUIS!$C$98)-CROQUIS!$C$107)-(MIN(80,MAX(1,INT(((CROQUIS!$C$98)-CROQUIS!$C$107)/MAX(CROQUIS!$C$126,1))+1))-1)*CROQUIS!$C$126)/2)+MIN(INT(($A245-1)/5),MAX((MIN(80,MAX(1,INT(((CROQUIS!$C$98)-CROQUIS!$C$107)/MAX(CROQUIS!$C$126,1))+1)))-1,0))*CROQUIS!$C$126),CHOOSE(IF(INT(($A245-1)/5)&gt;MAX((MIN(80,MAX(1,INT(((CROQUIS!$C$98)-CROQUIS!$C$107)/MAX(CROQUIS!$C$126,1))+1)))-1,0),0,MOD($A245-1,5))+1,0,2,CROQUIS!$C$97-2,2,0)))*CROQUIS!$C$155)+IF(CROQUIS!$C$92="X",0,0)),-1000)</f>
        <v>-1000</v>
      </c>
      <c r="BJ245">
        <f>IF(AND(CROQUIS!$C$88=1,CROQUIS!$C$134&gt;0),((CROQUIS!$C$156+(IF(CROQUIS!$C$92="X",((CROQUIS!$C$107/2+(((CROQUIS!$C$97)-CROQUIS!$C$107)-(MIN(80,MAX(1,INT(((CROQUIS!$C$97)-CROQUIS!$C$107)/MAX(CROQUIS!$C$134,1))+1))-1)*CROQUIS!$C$134)/2)+MIN(INT(($A245-1)/5),MAX((MIN(80,MAX(1,INT(((CROQUIS!$C$97)-CROQUIS!$C$107)/MAX(CROQUIS!$C$134,1))+1)))-1,0))*CROQUIS!$C$134),CHOOSE(IF(INT(($A245-1)/5)&gt;MAX((MIN(80,MAX(1,INT(((CROQUIS!$C$97)-CROQUIS!$C$107)/MAX(CROQUIS!$C$134,1))+1)))-1,0),0,MOD($A245-1,5))+1,0,2,CROQUIS!$C$98-2,2,0)))*CROQUIS!$C$155)+IF(CROQUIS!$C$92="X",0,0)),-1000)</f>
        <v>-1000</v>
      </c>
      <c r="BK245">
        <f>IF(AND(CROQUIS!$C$88=1,CROQUIS!$C$134&gt;0),((CROQUIS!$C$157+(IF(CROQUIS!$C$92="X",CHOOSE(IF(INT(($A245-1)/5)&gt;MAX((MIN(80,MAX(1,INT(((CROQUIS!$C$97)-CROQUIS!$C$107)/MAX(CROQUIS!$C$134,1))+1)))-1,0),0,MOD($A245-1,5))+1,0,2,CROQUIS!$C$98-2,2,0),((CROQUIS!$C$107/2+(((CROQUIS!$C$97)-CROQUIS!$C$107)-(MIN(80,MAX(1,INT(((CROQUIS!$C$97)-CROQUIS!$C$107)/MAX(CROQUIS!$C$134,1))+1))-1)*CROQUIS!$C$134)/2)+MIN(INT(($A245-1)/5),MAX((MIN(80,MAX(1,INT(((CROQUIS!$C$97)-CROQUIS!$C$107)/MAX(CROQUIS!$C$134,1))+1)))-1,0))*CROQUIS!$C$134)))*CROQUIS!$C$155)+IF(CROQUIS!$C$92="X",0,0)),-1000)</f>
        <v>-1000</v>
      </c>
      <c r="BL245">
        <f>IF(AND(CROQUIS!$C$88=1,CROQUIS!$C$91=0,CROQUIS!$C$130&gt;0,OR(CROQUIS!$C$103=1,CROQUIS!$C$142=1)),((CROQUIS!$C$156+(IF(CROQUIS!$C$92="X",CHOOSE(IF(INT(($A245-1)/5)&gt;MAX((MIN(80,MAX(1,INT(((CROQUIS!$C$98)-CROQUIS!$C$107)/MAX(CROQUIS!$C$130,1))+1)))-1,0),0,MOD($A245-1,5))+1,0,IF(CROQUIS!$C$103=1,-12,2),CROQUIS!$C$107/2+CROQUIS!$C$140,IF(CROQUIS!$C$103=1,-12,2),0),((CROQUIS!$C$107/2+(((CROQUIS!$C$98)-CROQUIS!$C$107)-(MIN(80,MAX(1,INT(((CROQUIS!$C$98)-CROQUIS!$C$107)/MAX(CROQUIS!$C$130,1))+1))-1)*CROQUIS!$C$130)/2)+MIN(INT(($A245-1)/5),MAX((MIN(80,MAX(1,INT(((CROQUIS!$C$98)-CROQUIS!$C$107)/MAX(CROQUIS!$C$130,1))+1)))-1,0))*CROQUIS!$C$130)))*CROQUIS!$C$155)+IF(CROQUIS!$C$92="X",0,0)),-1000)</f>
        <v>-1000</v>
      </c>
      <c r="BM24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245-1)/5),MAX((MIN(80,MAX(1,INT(((CROQUIS!$C$98)-CROQUIS!$C$107)/MAX(CROQUIS!$C$130,1))+1)))-1,0))*CROQUIS!$C$130),CHOOSE(IF(INT(($A245-1)/5)&gt;MAX((MIN(80,MAX(1,INT(((CROQUIS!$C$98)-CROQUIS!$C$107)/MAX(CROQUIS!$C$130,1))+1)))-1,0),0,MOD($A245-1,5))+1,0,IF(CROQUIS!$C$103=1,-12,2),CROQUIS!$C$107/2+CROQUIS!$C$140,IF(CROQUIS!$C$103=1,-12,2),0)))*CROQUIS!$C$155)+IF(CROQUIS!$C$92="X",0,0)),-1000)</f>
        <v>-1000</v>
      </c>
      <c r="BN245">
        <f>IF(AND(CROQUIS!$C$88=1,CROQUIS!$C$91=0,CROQUIS!$C$130&gt;0,OR(CROQUIS!$C$104=1,CROQUIS!$C$142=1)),((CROQUIS!$C$156+(IF(CROQUIS!$C$92="X",CHOOSE(IF(INT(($A245-1)/5)&gt;MAX((MIN(80,MAX(1,INT(((CROQUIS!$C$98)-CROQUIS!$C$107)/MAX(CROQUIS!$C$130,1))+1)))-1,0),0,MOD($A245-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245-1)/5),MAX((MIN(80,MAX(1,INT(((CROQUIS!$C$98)-CROQUIS!$C$107)/MAX(CROQUIS!$C$130,1))+1)))-1,0))*CROQUIS!$C$130)))*CROQUIS!$C$155)+IF(CROQUIS!$C$92="X",0,0)),-1000)</f>
        <v>-1000</v>
      </c>
      <c r="BO24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245-1)/5),MAX((MIN(80,MAX(1,INT(((CROQUIS!$C$98)-CROQUIS!$C$107)/MAX(CROQUIS!$C$130,1))+1)))-1,0))*CROQUIS!$C$130),CHOOSE(IF(INT(($A245-1)/5)&gt;MAX((MIN(80,MAX(1,INT(((CROQUIS!$C$98)-CROQUIS!$C$107)/MAX(CROQUIS!$C$130,1))+1)))-1,0),0,MOD($A245-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4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245-1)/5),MAX((MIN(80,MAX(1,INT(((CROQUIS!$C$97)-CROQUIS!$C$107)/MAX(CROQUIS!$C$138,1))+1)))-1,0))*CROQUIS!$C$138),CHOOSE(IF(INT(($A245-1)/5)&gt;MAX((MIN(80,MAX(1,INT(((CROQUIS!$C$97)-CROQUIS!$C$107)/MAX(CROQUIS!$C$138,1))+1)))-1,0),0,MOD($A245-1,5))+1,0,IF(CROQUIS!$C$105=1,-12,2),CROQUIS!$C$107/2+CROQUIS!$C$141,IF(CROQUIS!$C$105=1,-12,2),0)))*CROQUIS!$C$155)+IF(CROQUIS!$C$92="X",0,0)),-1000)</f>
        <v>-1000</v>
      </c>
      <c r="BQ245">
        <f>IF(AND(CROQUIS!$C$88=1,CROQUIS!$C$91=0,CROQUIS!$C$138&gt;0,OR(CROQUIS!$C$105=1,CROQUIS!$C$143=1)),((CROQUIS!$C$157+(IF(CROQUIS!$C$92="X",CHOOSE(IF(INT(($A245-1)/5)&gt;MAX((MIN(80,MAX(1,INT(((CROQUIS!$C$97)-CROQUIS!$C$107)/MAX(CROQUIS!$C$138,1))+1)))-1,0),0,MOD($A245-1,5))+1,0,IF(CROQUIS!$C$105=1,-12,2),CROQUIS!$C$107/2+CROQUIS!$C$141,IF(CROQUIS!$C$105=1,-12,2),0),((CROQUIS!$C$107/2+(((CROQUIS!$C$97)-CROQUIS!$C$107)-(MIN(80,MAX(1,INT(((CROQUIS!$C$97)-CROQUIS!$C$107)/MAX(CROQUIS!$C$138,1))+1))-1)*CROQUIS!$C$138)/2)+MIN(INT(($A245-1)/5),MAX((MIN(80,MAX(1,INT(((CROQUIS!$C$97)-CROQUIS!$C$107)/MAX(CROQUIS!$C$138,1))+1)))-1,0))*CROQUIS!$C$138)))*CROQUIS!$C$155)+IF(CROQUIS!$C$92="X",0,0)),-1000)</f>
        <v>-1000</v>
      </c>
      <c r="BR24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245-1)/5),MAX((MIN(80,MAX(1,INT(((CROQUIS!$C$97)-CROQUIS!$C$107)/MAX(CROQUIS!$C$138,1))+1)))-1,0))*CROQUIS!$C$138),CHOOSE(IF(INT(($A245-1)/5)&gt;MAX((MIN(80,MAX(1,INT(((CROQUIS!$C$97)-CROQUIS!$C$107)/MAX(CROQUIS!$C$138,1))+1)))-1,0),0,MOD($A245-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45">
        <f>IF(AND(CROQUIS!$C$88=1,CROQUIS!$C$91=0,CROQUIS!$C$138&gt;0,OR(CROQUIS!$C$106=1,CROQUIS!$C$143=1)),((CROQUIS!$C$157+(IF(CROQUIS!$C$92="X",CHOOSE(IF(INT(($A245-1)/5)&gt;MAX((MIN(80,MAX(1,INT(((CROQUIS!$C$97)-CROQUIS!$C$107)/MAX(CROQUIS!$C$138,1))+1)))-1,0),0,MOD($A245-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245-1)/5),MAX((MIN(80,MAX(1,INT(((CROQUIS!$C$97)-CROQUIS!$C$107)/MAX(CROQUIS!$C$138,1))+1)))-1,0))*CROQUIS!$C$138)))*CROQUIS!$C$155)+IF(CROQUIS!$C$92="X",0,0)),-1000)</f>
        <v>-1000</v>
      </c>
      <c r="BT245">
        <f>IF(AND(CROQUIS!$C$88=1,CROQUIS!$C$91=1,CROQUIS!$C$130&gt;0),((CROQUIS!$C$156+(IF(CROQUIS!$C$92="X",CHOOSE(IF(INT(($A245-1)/5)&gt;MAX((MIN(80,MAX(1,INT(((CROQUIS!$C$98)-CROQUIS!$C$107)/MAX(CROQUIS!$C$130,1))+1)))-1,0),0,MOD($A245-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245-1)/5),MAX((MIN(80,MAX(1,INT(((CROQUIS!$C$98)-CROQUIS!$C$107)/MAX(CROQUIS!$C$130,1))+1)))-1,0))*CROQUIS!$C$130)))*CROQUIS!$C$155)+IF(CROQUIS!$C$92="X",0,0)),-1000)</f>
        <v>-1000</v>
      </c>
      <c r="BU245">
        <f>IF(AND(CROQUIS!$C$88=1,CROQUIS!$C$91=1,CROQUIS!$C$130&gt;0),((CROQUIS!$C$157+(IF(CROQUIS!$C$92="X",((CROQUIS!$C$107/2+(((CROQUIS!$C$98)-CROQUIS!$C$107)-(MIN(80,MAX(1,INT(((CROQUIS!$C$98)-CROQUIS!$C$107)/MAX(CROQUIS!$C$130,1))+1))-1)*CROQUIS!$C$130)/2)+MIN(INT(($A245-1)/5),MAX((MIN(80,MAX(1,INT(((CROQUIS!$C$98)-CROQUIS!$C$107)/MAX(CROQUIS!$C$130,1))+1)))-1,0))*CROQUIS!$C$130),CHOOSE(IF(INT(($A245-1)/5)&gt;MAX((MIN(80,MAX(1,INT(((CROQUIS!$C$98)-CROQUIS!$C$107)/MAX(CROQUIS!$C$130,1))+1)))-1,0),0,MOD($A245-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46">
      <c r="A246" t="n">
        <v>239</v>
      </c>
      <c r="BH246">
        <f>IF(AND(CROQUIS!$C$88=1,CROQUIS!$C$126&gt;0),((CROQUIS!$C$156+(IF(CROQUIS!$C$92="X",CHOOSE(IF(INT(($A246-1)/5)&gt;MAX((MIN(80,MAX(1,INT(((CROQUIS!$C$98)-CROQUIS!$C$107)/MAX(CROQUIS!$C$126,1))+1)))-1,0),0,MOD($A246-1,5))+1,0,2,CROQUIS!$C$97-2,2,0),((CROQUIS!$C$107/2+(((CROQUIS!$C$98)-CROQUIS!$C$107)-(MIN(80,MAX(1,INT(((CROQUIS!$C$98)-CROQUIS!$C$107)/MAX(CROQUIS!$C$126,1))+1))-1)*CROQUIS!$C$126)/2)+MIN(INT(($A246-1)/5),MAX((MIN(80,MAX(1,INT(((CROQUIS!$C$98)-CROQUIS!$C$107)/MAX(CROQUIS!$C$126,1))+1)))-1,0))*CROQUIS!$C$126)))*CROQUIS!$C$155)+IF(CROQUIS!$C$92="X",0,0)),-1000)</f>
        <v>-1000</v>
      </c>
      <c r="BI246">
        <f>IF(AND(CROQUIS!$C$88=1,CROQUIS!$C$126&gt;0),((CROQUIS!$C$157+(IF(CROQUIS!$C$92="X",((CROQUIS!$C$107/2+(((CROQUIS!$C$98)-CROQUIS!$C$107)-(MIN(80,MAX(1,INT(((CROQUIS!$C$98)-CROQUIS!$C$107)/MAX(CROQUIS!$C$126,1))+1))-1)*CROQUIS!$C$126)/2)+MIN(INT(($A246-1)/5),MAX((MIN(80,MAX(1,INT(((CROQUIS!$C$98)-CROQUIS!$C$107)/MAX(CROQUIS!$C$126,1))+1)))-1,0))*CROQUIS!$C$126),CHOOSE(IF(INT(($A246-1)/5)&gt;MAX((MIN(80,MAX(1,INT(((CROQUIS!$C$98)-CROQUIS!$C$107)/MAX(CROQUIS!$C$126,1))+1)))-1,0),0,MOD($A246-1,5))+1,0,2,CROQUIS!$C$97-2,2,0)))*CROQUIS!$C$155)+IF(CROQUIS!$C$92="X",0,0)),-1000)</f>
        <v>-1000</v>
      </c>
      <c r="BJ246">
        <f>IF(AND(CROQUIS!$C$88=1,CROQUIS!$C$134&gt;0),((CROQUIS!$C$156+(IF(CROQUIS!$C$92="X",((CROQUIS!$C$107/2+(((CROQUIS!$C$97)-CROQUIS!$C$107)-(MIN(80,MAX(1,INT(((CROQUIS!$C$97)-CROQUIS!$C$107)/MAX(CROQUIS!$C$134,1))+1))-1)*CROQUIS!$C$134)/2)+MIN(INT(($A246-1)/5),MAX((MIN(80,MAX(1,INT(((CROQUIS!$C$97)-CROQUIS!$C$107)/MAX(CROQUIS!$C$134,1))+1)))-1,0))*CROQUIS!$C$134),CHOOSE(IF(INT(($A246-1)/5)&gt;MAX((MIN(80,MAX(1,INT(((CROQUIS!$C$97)-CROQUIS!$C$107)/MAX(CROQUIS!$C$134,1))+1)))-1,0),0,MOD($A246-1,5))+1,0,2,CROQUIS!$C$98-2,2,0)))*CROQUIS!$C$155)+IF(CROQUIS!$C$92="X",0,0)),-1000)</f>
        <v>-1000</v>
      </c>
      <c r="BK246">
        <f>IF(AND(CROQUIS!$C$88=1,CROQUIS!$C$134&gt;0),((CROQUIS!$C$157+(IF(CROQUIS!$C$92="X",CHOOSE(IF(INT(($A246-1)/5)&gt;MAX((MIN(80,MAX(1,INT(((CROQUIS!$C$97)-CROQUIS!$C$107)/MAX(CROQUIS!$C$134,1))+1)))-1,0),0,MOD($A246-1,5))+1,0,2,CROQUIS!$C$98-2,2,0),((CROQUIS!$C$107/2+(((CROQUIS!$C$97)-CROQUIS!$C$107)-(MIN(80,MAX(1,INT(((CROQUIS!$C$97)-CROQUIS!$C$107)/MAX(CROQUIS!$C$134,1))+1))-1)*CROQUIS!$C$134)/2)+MIN(INT(($A246-1)/5),MAX((MIN(80,MAX(1,INT(((CROQUIS!$C$97)-CROQUIS!$C$107)/MAX(CROQUIS!$C$134,1))+1)))-1,0))*CROQUIS!$C$134)))*CROQUIS!$C$155)+IF(CROQUIS!$C$92="X",0,0)),-1000)</f>
        <v>-1000</v>
      </c>
      <c r="BL246">
        <f>IF(AND(CROQUIS!$C$88=1,CROQUIS!$C$91=0,CROQUIS!$C$130&gt;0,OR(CROQUIS!$C$103=1,CROQUIS!$C$142=1)),((CROQUIS!$C$156+(IF(CROQUIS!$C$92="X",CHOOSE(IF(INT(($A246-1)/5)&gt;MAX((MIN(80,MAX(1,INT(((CROQUIS!$C$98)-CROQUIS!$C$107)/MAX(CROQUIS!$C$130,1))+1)))-1,0),0,MOD($A246-1,5))+1,0,IF(CROQUIS!$C$103=1,-12,2),CROQUIS!$C$107/2+CROQUIS!$C$140,IF(CROQUIS!$C$103=1,-12,2),0),((CROQUIS!$C$107/2+(((CROQUIS!$C$98)-CROQUIS!$C$107)-(MIN(80,MAX(1,INT(((CROQUIS!$C$98)-CROQUIS!$C$107)/MAX(CROQUIS!$C$130,1))+1))-1)*CROQUIS!$C$130)/2)+MIN(INT(($A246-1)/5),MAX((MIN(80,MAX(1,INT(((CROQUIS!$C$98)-CROQUIS!$C$107)/MAX(CROQUIS!$C$130,1))+1)))-1,0))*CROQUIS!$C$130)))*CROQUIS!$C$155)+IF(CROQUIS!$C$92="X",0,0)),-1000)</f>
        <v>-1000</v>
      </c>
      <c r="BM24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246-1)/5),MAX((MIN(80,MAX(1,INT(((CROQUIS!$C$98)-CROQUIS!$C$107)/MAX(CROQUIS!$C$130,1))+1)))-1,0))*CROQUIS!$C$130),CHOOSE(IF(INT(($A246-1)/5)&gt;MAX((MIN(80,MAX(1,INT(((CROQUIS!$C$98)-CROQUIS!$C$107)/MAX(CROQUIS!$C$130,1))+1)))-1,0),0,MOD($A246-1,5))+1,0,IF(CROQUIS!$C$103=1,-12,2),CROQUIS!$C$107/2+CROQUIS!$C$140,IF(CROQUIS!$C$103=1,-12,2),0)))*CROQUIS!$C$155)+IF(CROQUIS!$C$92="X",0,0)),-1000)</f>
        <v>-1000</v>
      </c>
      <c r="BN246">
        <f>IF(AND(CROQUIS!$C$88=1,CROQUIS!$C$91=0,CROQUIS!$C$130&gt;0,OR(CROQUIS!$C$104=1,CROQUIS!$C$142=1)),((CROQUIS!$C$156+(IF(CROQUIS!$C$92="X",CHOOSE(IF(INT(($A246-1)/5)&gt;MAX((MIN(80,MAX(1,INT(((CROQUIS!$C$98)-CROQUIS!$C$107)/MAX(CROQUIS!$C$130,1))+1)))-1,0),0,MOD($A246-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246-1)/5),MAX((MIN(80,MAX(1,INT(((CROQUIS!$C$98)-CROQUIS!$C$107)/MAX(CROQUIS!$C$130,1))+1)))-1,0))*CROQUIS!$C$130)))*CROQUIS!$C$155)+IF(CROQUIS!$C$92="X",0,0)),-1000)</f>
        <v>-1000</v>
      </c>
      <c r="BO24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246-1)/5),MAX((MIN(80,MAX(1,INT(((CROQUIS!$C$98)-CROQUIS!$C$107)/MAX(CROQUIS!$C$130,1))+1)))-1,0))*CROQUIS!$C$130),CHOOSE(IF(INT(($A246-1)/5)&gt;MAX((MIN(80,MAX(1,INT(((CROQUIS!$C$98)-CROQUIS!$C$107)/MAX(CROQUIS!$C$130,1))+1)))-1,0),0,MOD($A246-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4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246-1)/5),MAX((MIN(80,MAX(1,INT(((CROQUIS!$C$97)-CROQUIS!$C$107)/MAX(CROQUIS!$C$138,1))+1)))-1,0))*CROQUIS!$C$138),CHOOSE(IF(INT(($A246-1)/5)&gt;MAX((MIN(80,MAX(1,INT(((CROQUIS!$C$97)-CROQUIS!$C$107)/MAX(CROQUIS!$C$138,1))+1)))-1,0),0,MOD($A246-1,5))+1,0,IF(CROQUIS!$C$105=1,-12,2),CROQUIS!$C$107/2+CROQUIS!$C$141,IF(CROQUIS!$C$105=1,-12,2),0)))*CROQUIS!$C$155)+IF(CROQUIS!$C$92="X",0,0)),-1000)</f>
        <v>-1000</v>
      </c>
      <c r="BQ246">
        <f>IF(AND(CROQUIS!$C$88=1,CROQUIS!$C$91=0,CROQUIS!$C$138&gt;0,OR(CROQUIS!$C$105=1,CROQUIS!$C$143=1)),((CROQUIS!$C$157+(IF(CROQUIS!$C$92="X",CHOOSE(IF(INT(($A246-1)/5)&gt;MAX((MIN(80,MAX(1,INT(((CROQUIS!$C$97)-CROQUIS!$C$107)/MAX(CROQUIS!$C$138,1))+1)))-1,0),0,MOD($A246-1,5))+1,0,IF(CROQUIS!$C$105=1,-12,2),CROQUIS!$C$107/2+CROQUIS!$C$141,IF(CROQUIS!$C$105=1,-12,2),0),((CROQUIS!$C$107/2+(((CROQUIS!$C$97)-CROQUIS!$C$107)-(MIN(80,MAX(1,INT(((CROQUIS!$C$97)-CROQUIS!$C$107)/MAX(CROQUIS!$C$138,1))+1))-1)*CROQUIS!$C$138)/2)+MIN(INT(($A246-1)/5),MAX((MIN(80,MAX(1,INT(((CROQUIS!$C$97)-CROQUIS!$C$107)/MAX(CROQUIS!$C$138,1))+1)))-1,0))*CROQUIS!$C$138)))*CROQUIS!$C$155)+IF(CROQUIS!$C$92="X",0,0)),-1000)</f>
        <v>-1000</v>
      </c>
      <c r="BR24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246-1)/5),MAX((MIN(80,MAX(1,INT(((CROQUIS!$C$97)-CROQUIS!$C$107)/MAX(CROQUIS!$C$138,1))+1)))-1,0))*CROQUIS!$C$138),CHOOSE(IF(INT(($A246-1)/5)&gt;MAX((MIN(80,MAX(1,INT(((CROQUIS!$C$97)-CROQUIS!$C$107)/MAX(CROQUIS!$C$138,1))+1)))-1,0),0,MOD($A246-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46">
        <f>IF(AND(CROQUIS!$C$88=1,CROQUIS!$C$91=0,CROQUIS!$C$138&gt;0,OR(CROQUIS!$C$106=1,CROQUIS!$C$143=1)),((CROQUIS!$C$157+(IF(CROQUIS!$C$92="X",CHOOSE(IF(INT(($A246-1)/5)&gt;MAX((MIN(80,MAX(1,INT(((CROQUIS!$C$97)-CROQUIS!$C$107)/MAX(CROQUIS!$C$138,1))+1)))-1,0),0,MOD($A246-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246-1)/5),MAX((MIN(80,MAX(1,INT(((CROQUIS!$C$97)-CROQUIS!$C$107)/MAX(CROQUIS!$C$138,1))+1)))-1,0))*CROQUIS!$C$138)))*CROQUIS!$C$155)+IF(CROQUIS!$C$92="X",0,0)),-1000)</f>
        <v>-1000</v>
      </c>
      <c r="BT246">
        <f>IF(AND(CROQUIS!$C$88=1,CROQUIS!$C$91=1,CROQUIS!$C$130&gt;0),((CROQUIS!$C$156+(IF(CROQUIS!$C$92="X",CHOOSE(IF(INT(($A246-1)/5)&gt;MAX((MIN(80,MAX(1,INT(((CROQUIS!$C$98)-CROQUIS!$C$107)/MAX(CROQUIS!$C$130,1))+1)))-1,0),0,MOD($A246-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246-1)/5),MAX((MIN(80,MAX(1,INT(((CROQUIS!$C$98)-CROQUIS!$C$107)/MAX(CROQUIS!$C$130,1))+1)))-1,0))*CROQUIS!$C$130)))*CROQUIS!$C$155)+IF(CROQUIS!$C$92="X",0,0)),-1000)</f>
        <v>-1000</v>
      </c>
      <c r="BU246">
        <f>IF(AND(CROQUIS!$C$88=1,CROQUIS!$C$91=1,CROQUIS!$C$130&gt;0),((CROQUIS!$C$157+(IF(CROQUIS!$C$92="X",((CROQUIS!$C$107/2+(((CROQUIS!$C$98)-CROQUIS!$C$107)-(MIN(80,MAX(1,INT(((CROQUIS!$C$98)-CROQUIS!$C$107)/MAX(CROQUIS!$C$130,1))+1))-1)*CROQUIS!$C$130)/2)+MIN(INT(($A246-1)/5),MAX((MIN(80,MAX(1,INT(((CROQUIS!$C$98)-CROQUIS!$C$107)/MAX(CROQUIS!$C$130,1))+1)))-1,0))*CROQUIS!$C$130),CHOOSE(IF(INT(($A246-1)/5)&gt;MAX((MIN(80,MAX(1,INT(((CROQUIS!$C$98)-CROQUIS!$C$107)/MAX(CROQUIS!$C$130,1))+1)))-1,0),0,MOD($A246-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47">
      <c r="A247" t="n">
        <v>240</v>
      </c>
      <c r="BH247">
        <f>IF(AND(CROQUIS!$C$88=1,CROQUIS!$C$126&gt;0),((CROQUIS!$C$156+(IF(CROQUIS!$C$92="X",CHOOSE(IF(INT(($A247-1)/5)&gt;MAX((MIN(80,MAX(1,INT(((CROQUIS!$C$98)-CROQUIS!$C$107)/MAX(CROQUIS!$C$126,1))+1)))-1,0),0,MOD($A247-1,5))+1,0,2,CROQUIS!$C$97-2,2,0),((CROQUIS!$C$107/2+(((CROQUIS!$C$98)-CROQUIS!$C$107)-(MIN(80,MAX(1,INT(((CROQUIS!$C$98)-CROQUIS!$C$107)/MAX(CROQUIS!$C$126,1))+1))-1)*CROQUIS!$C$126)/2)+MIN(INT(($A247-1)/5),MAX((MIN(80,MAX(1,INT(((CROQUIS!$C$98)-CROQUIS!$C$107)/MAX(CROQUIS!$C$126,1))+1)))-1,0))*CROQUIS!$C$126)))*CROQUIS!$C$155)+IF(CROQUIS!$C$92="X",0,0)),-1000)</f>
        <v>-1000</v>
      </c>
      <c r="BI247">
        <f>IF(AND(CROQUIS!$C$88=1,CROQUIS!$C$126&gt;0),((CROQUIS!$C$157+(IF(CROQUIS!$C$92="X",((CROQUIS!$C$107/2+(((CROQUIS!$C$98)-CROQUIS!$C$107)-(MIN(80,MAX(1,INT(((CROQUIS!$C$98)-CROQUIS!$C$107)/MAX(CROQUIS!$C$126,1))+1))-1)*CROQUIS!$C$126)/2)+MIN(INT(($A247-1)/5),MAX((MIN(80,MAX(1,INT(((CROQUIS!$C$98)-CROQUIS!$C$107)/MAX(CROQUIS!$C$126,1))+1)))-1,0))*CROQUIS!$C$126),CHOOSE(IF(INT(($A247-1)/5)&gt;MAX((MIN(80,MAX(1,INT(((CROQUIS!$C$98)-CROQUIS!$C$107)/MAX(CROQUIS!$C$126,1))+1)))-1,0),0,MOD($A247-1,5))+1,0,2,CROQUIS!$C$97-2,2,0)))*CROQUIS!$C$155)+IF(CROQUIS!$C$92="X",0,0)),-1000)</f>
        <v>-1000</v>
      </c>
      <c r="BJ247">
        <f>IF(AND(CROQUIS!$C$88=1,CROQUIS!$C$134&gt;0),((CROQUIS!$C$156+(IF(CROQUIS!$C$92="X",((CROQUIS!$C$107/2+(((CROQUIS!$C$97)-CROQUIS!$C$107)-(MIN(80,MAX(1,INT(((CROQUIS!$C$97)-CROQUIS!$C$107)/MAX(CROQUIS!$C$134,1))+1))-1)*CROQUIS!$C$134)/2)+MIN(INT(($A247-1)/5),MAX((MIN(80,MAX(1,INT(((CROQUIS!$C$97)-CROQUIS!$C$107)/MAX(CROQUIS!$C$134,1))+1)))-1,0))*CROQUIS!$C$134),CHOOSE(IF(INT(($A247-1)/5)&gt;MAX((MIN(80,MAX(1,INT(((CROQUIS!$C$97)-CROQUIS!$C$107)/MAX(CROQUIS!$C$134,1))+1)))-1,0),0,MOD($A247-1,5))+1,0,2,CROQUIS!$C$98-2,2,0)))*CROQUIS!$C$155)+IF(CROQUIS!$C$92="X",0,0)),-1000)</f>
        <v>-1000</v>
      </c>
      <c r="BK247">
        <f>IF(AND(CROQUIS!$C$88=1,CROQUIS!$C$134&gt;0),((CROQUIS!$C$157+(IF(CROQUIS!$C$92="X",CHOOSE(IF(INT(($A247-1)/5)&gt;MAX((MIN(80,MAX(1,INT(((CROQUIS!$C$97)-CROQUIS!$C$107)/MAX(CROQUIS!$C$134,1))+1)))-1,0),0,MOD($A247-1,5))+1,0,2,CROQUIS!$C$98-2,2,0),((CROQUIS!$C$107/2+(((CROQUIS!$C$97)-CROQUIS!$C$107)-(MIN(80,MAX(1,INT(((CROQUIS!$C$97)-CROQUIS!$C$107)/MAX(CROQUIS!$C$134,1))+1))-1)*CROQUIS!$C$134)/2)+MIN(INT(($A247-1)/5),MAX((MIN(80,MAX(1,INT(((CROQUIS!$C$97)-CROQUIS!$C$107)/MAX(CROQUIS!$C$134,1))+1)))-1,0))*CROQUIS!$C$134)))*CROQUIS!$C$155)+IF(CROQUIS!$C$92="X",0,0)),-1000)</f>
        <v>-1000</v>
      </c>
      <c r="BL247">
        <f>IF(AND(CROQUIS!$C$88=1,CROQUIS!$C$91=0,CROQUIS!$C$130&gt;0,OR(CROQUIS!$C$103=1,CROQUIS!$C$142=1)),((CROQUIS!$C$156+(IF(CROQUIS!$C$92="X",CHOOSE(IF(INT(($A247-1)/5)&gt;MAX((MIN(80,MAX(1,INT(((CROQUIS!$C$98)-CROQUIS!$C$107)/MAX(CROQUIS!$C$130,1))+1)))-1,0),0,MOD($A247-1,5))+1,0,IF(CROQUIS!$C$103=1,-12,2),CROQUIS!$C$107/2+CROQUIS!$C$140,IF(CROQUIS!$C$103=1,-12,2),0),((CROQUIS!$C$107/2+(((CROQUIS!$C$98)-CROQUIS!$C$107)-(MIN(80,MAX(1,INT(((CROQUIS!$C$98)-CROQUIS!$C$107)/MAX(CROQUIS!$C$130,1))+1))-1)*CROQUIS!$C$130)/2)+MIN(INT(($A247-1)/5),MAX((MIN(80,MAX(1,INT(((CROQUIS!$C$98)-CROQUIS!$C$107)/MAX(CROQUIS!$C$130,1))+1)))-1,0))*CROQUIS!$C$130)))*CROQUIS!$C$155)+IF(CROQUIS!$C$92="X",0,0)),-1000)</f>
        <v>-1000</v>
      </c>
      <c r="BM24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247-1)/5),MAX((MIN(80,MAX(1,INT(((CROQUIS!$C$98)-CROQUIS!$C$107)/MAX(CROQUIS!$C$130,1))+1)))-1,0))*CROQUIS!$C$130),CHOOSE(IF(INT(($A247-1)/5)&gt;MAX((MIN(80,MAX(1,INT(((CROQUIS!$C$98)-CROQUIS!$C$107)/MAX(CROQUIS!$C$130,1))+1)))-1,0),0,MOD($A247-1,5))+1,0,IF(CROQUIS!$C$103=1,-12,2),CROQUIS!$C$107/2+CROQUIS!$C$140,IF(CROQUIS!$C$103=1,-12,2),0)))*CROQUIS!$C$155)+IF(CROQUIS!$C$92="X",0,0)),-1000)</f>
        <v>-1000</v>
      </c>
      <c r="BN247">
        <f>IF(AND(CROQUIS!$C$88=1,CROQUIS!$C$91=0,CROQUIS!$C$130&gt;0,OR(CROQUIS!$C$104=1,CROQUIS!$C$142=1)),((CROQUIS!$C$156+(IF(CROQUIS!$C$92="X",CHOOSE(IF(INT(($A247-1)/5)&gt;MAX((MIN(80,MAX(1,INT(((CROQUIS!$C$98)-CROQUIS!$C$107)/MAX(CROQUIS!$C$130,1))+1)))-1,0),0,MOD($A247-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247-1)/5),MAX((MIN(80,MAX(1,INT(((CROQUIS!$C$98)-CROQUIS!$C$107)/MAX(CROQUIS!$C$130,1))+1)))-1,0))*CROQUIS!$C$130)))*CROQUIS!$C$155)+IF(CROQUIS!$C$92="X",0,0)),-1000)</f>
        <v>-1000</v>
      </c>
      <c r="BO24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247-1)/5),MAX((MIN(80,MAX(1,INT(((CROQUIS!$C$98)-CROQUIS!$C$107)/MAX(CROQUIS!$C$130,1))+1)))-1,0))*CROQUIS!$C$130),CHOOSE(IF(INT(($A247-1)/5)&gt;MAX((MIN(80,MAX(1,INT(((CROQUIS!$C$98)-CROQUIS!$C$107)/MAX(CROQUIS!$C$130,1))+1)))-1,0),0,MOD($A247-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4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247-1)/5),MAX((MIN(80,MAX(1,INT(((CROQUIS!$C$97)-CROQUIS!$C$107)/MAX(CROQUIS!$C$138,1))+1)))-1,0))*CROQUIS!$C$138),CHOOSE(IF(INT(($A247-1)/5)&gt;MAX((MIN(80,MAX(1,INT(((CROQUIS!$C$97)-CROQUIS!$C$107)/MAX(CROQUIS!$C$138,1))+1)))-1,0),0,MOD($A247-1,5))+1,0,IF(CROQUIS!$C$105=1,-12,2),CROQUIS!$C$107/2+CROQUIS!$C$141,IF(CROQUIS!$C$105=1,-12,2),0)))*CROQUIS!$C$155)+IF(CROQUIS!$C$92="X",0,0)),-1000)</f>
        <v>-1000</v>
      </c>
      <c r="BQ247">
        <f>IF(AND(CROQUIS!$C$88=1,CROQUIS!$C$91=0,CROQUIS!$C$138&gt;0,OR(CROQUIS!$C$105=1,CROQUIS!$C$143=1)),((CROQUIS!$C$157+(IF(CROQUIS!$C$92="X",CHOOSE(IF(INT(($A247-1)/5)&gt;MAX((MIN(80,MAX(1,INT(((CROQUIS!$C$97)-CROQUIS!$C$107)/MAX(CROQUIS!$C$138,1))+1)))-1,0),0,MOD($A247-1,5))+1,0,IF(CROQUIS!$C$105=1,-12,2),CROQUIS!$C$107/2+CROQUIS!$C$141,IF(CROQUIS!$C$105=1,-12,2),0),((CROQUIS!$C$107/2+(((CROQUIS!$C$97)-CROQUIS!$C$107)-(MIN(80,MAX(1,INT(((CROQUIS!$C$97)-CROQUIS!$C$107)/MAX(CROQUIS!$C$138,1))+1))-1)*CROQUIS!$C$138)/2)+MIN(INT(($A247-1)/5),MAX((MIN(80,MAX(1,INT(((CROQUIS!$C$97)-CROQUIS!$C$107)/MAX(CROQUIS!$C$138,1))+1)))-1,0))*CROQUIS!$C$138)))*CROQUIS!$C$155)+IF(CROQUIS!$C$92="X",0,0)),-1000)</f>
        <v>-1000</v>
      </c>
      <c r="BR24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247-1)/5),MAX((MIN(80,MAX(1,INT(((CROQUIS!$C$97)-CROQUIS!$C$107)/MAX(CROQUIS!$C$138,1))+1)))-1,0))*CROQUIS!$C$138),CHOOSE(IF(INT(($A247-1)/5)&gt;MAX((MIN(80,MAX(1,INT(((CROQUIS!$C$97)-CROQUIS!$C$107)/MAX(CROQUIS!$C$138,1))+1)))-1,0),0,MOD($A247-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47">
        <f>IF(AND(CROQUIS!$C$88=1,CROQUIS!$C$91=0,CROQUIS!$C$138&gt;0,OR(CROQUIS!$C$106=1,CROQUIS!$C$143=1)),((CROQUIS!$C$157+(IF(CROQUIS!$C$92="X",CHOOSE(IF(INT(($A247-1)/5)&gt;MAX((MIN(80,MAX(1,INT(((CROQUIS!$C$97)-CROQUIS!$C$107)/MAX(CROQUIS!$C$138,1))+1)))-1,0),0,MOD($A247-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247-1)/5),MAX((MIN(80,MAX(1,INT(((CROQUIS!$C$97)-CROQUIS!$C$107)/MAX(CROQUIS!$C$138,1))+1)))-1,0))*CROQUIS!$C$138)))*CROQUIS!$C$155)+IF(CROQUIS!$C$92="X",0,0)),-1000)</f>
        <v>-1000</v>
      </c>
      <c r="BT247">
        <f>IF(AND(CROQUIS!$C$88=1,CROQUIS!$C$91=1,CROQUIS!$C$130&gt;0),((CROQUIS!$C$156+(IF(CROQUIS!$C$92="X",CHOOSE(IF(INT(($A247-1)/5)&gt;MAX((MIN(80,MAX(1,INT(((CROQUIS!$C$98)-CROQUIS!$C$107)/MAX(CROQUIS!$C$130,1))+1)))-1,0),0,MOD($A247-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247-1)/5),MAX((MIN(80,MAX(1,INT(((CROQUIS!$C$98)-CROQUIS!$C$107)/MAX(CROQUIS!$C$130,1))+1)))-1,0))*CROQUIS!$C$130)))*CROQUIS!$C$155)+IF(CROQUIS!$C$92="X",0,0)),-1000)</f>
        <v>-1000</v>
      </c>
      <c r="BU247">
        <f>IF(AND(CROQUIS!$C$88=1,CROQUIS!$C$91=1,CROQUIS!$C$130&gt;0),((CROQUIS!$C$157+(IF(CROQUIS!$C$92="X",((CROQUIS!$C$107/2+(((CROQUIS!$C$98)-CROQUIS!$C$107)-(MIN(80,MAX(1,INT(((CROQUIS!$C$98)-CROQUIS!$C$107)/MAX(CROQUIS!$C$130,1))+1))-1)*CROQUIS!$C$130)/2)+MIN(INT(($A247-1)/5),MAX((MIN(80,MAX(1,INT(((CROQUIS!$C$98)-CROQUIS!$C$107)/MAX(CROQUIS!$C$130,1))+1)))-1,0))*CROQUIS!$C$130),CHOOSE(IF(INT(($A247-1)/5)&gt;MAX((MIN(80,MAX(1,INT(((CROQUIS!$C$98)-CROQUIS!$C$107)/MAX(CROQUIS!$C$130,1))+1)))-1,0),0,MOD($A247-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48">
      <c r="A248" t="n">
        <v>241</v>
      </c>
      <c r="BH248">
        <f>IF(AND(CROQUIS!$C$88=1,CROQUIS!$C$126&gt;0),((CROQUIS!$C$156+(IF(CROQUIS!$C$92="X",CHOOSE(IF(INT(($A248-1)/5)&gt;MAX((MIN(80,MAX(1,INT(((CROQUIS!$C$98)-CROQUIS!$C$107)/MAX(CROQUIS!$C$126,1))+1)))-1,0),0,MOD($A248-1,5))+1,0,2,CROQUIS!$C$97-2,2,0),((CROQUIS!$C$107/2+(((CROQUIS!$C$98)-CROQUIS!$C$107)-(MIN(80,MAX(1,INT(((CROQUIS!$C$98)-CROQUIS!$C$107)/MAX(CROQUIS!$C$126,1))+1))-1)*CROQUIS!$C$126)/2)+MIN(INT(($A248-1)/5),MAX((MIN(80,MAX(1,INT(((CROQUIS!$C$98)-CROQUIS!$C$107)/MAX(CROQUIS!$C$126,1))+1)))-1,0))*CROQUIS!$C$126)))*CROQUIS!$C$155)+IF(CROQUIS!$C$92="X",0,0)),-1000)</f>
        <v>-1000</v>
      </c>
      <c r="BI248">
        <f>IF(AND(CROQUIS!$C$88=1,CROQUIS!$C$126&gt;0),((CROQUIS!$C$157+(IF(CROQUIS!$C$92="X",((CROQUIS!$C$107/2+(((CROQUIS!$C$98)-CROQUIS!$C$107)-(MIN(80,MAX(1,INT(((CROQUIS!$C$98)-CROQUIS!$C$107)/MAX(CROQUIS!$C$126,1))+1))-1)*CROQUIS!$C$126)/2)+MIN(INT(($A248-1)/5),MAX((MIN(80,MAX(1,INT(((CROQUIS!$C$98)-CROQUIS!$C$107)/MAX(CROQUIS!$C$126,1))+1)))-1,0))*CROQUIS!$C$126),CHOOSE(IF(INT(($A248-1)/5)&gt;MAX((MIN(80,MAX(1,INT(((CROQUIS!$C$98)-CROQUIS!$C$107)/MAX(CROQUIS!$C$126,1))+1)))-1,0),0,MOD($A248-1,5))+1,0,2,CROQUIS!$C$97-2,2,0)))*CROQUIS!$C$155)+IF(CROQUIS!$C$92="X",0,0)),-1000)</f>
        <v>-1000</v>
      </c>
      <c r="BJ248">
        <f>IF(AND(CROQUIS!$C$88=1,CROQUIS!$C$134&gt;0),((CROQUIS!$C$156+(IF(CROQUIS!$C$92="X",((CROQUIS!$C$107/2+(((CROQUIS!$C$97)-CROQUIS!$C$107)-(MIN(80,MAX(1,INT(((CROQUIS!$C$97)-CROQUIS!$C$107)/MAX(CROQUIS!$C$134,1))+1))-1)*CROQUIS!$C$134)/2)+MIN(INT(($A248-1)/5),MAX((MIN(80,MAX(1,INT(((CROQUIS!$C$97)-CROQUIS!$C$107)/MAX(CROQUIS!$C$134,1))+1)))-1,0))*CROQUIS!$C$134),CHOOSE(IF(INT(($A248-1)/5)&gt;MAX((MIN(80,MAX(1,INT(((CROQUIS!$C$97)-CROQUIS!$C$107)/MAX(CROQUIS!$C$134,1))+1)))-1,0),0,MOD($A248-1,5))+1,0,2,CROQUIS!$C$98-2,2,0)))*CROQUIS!$C$155)+IF(CROQUIS!$C$92="X",0,0)),-1000)</f>
        <v>-1000</v>
      </c>
      <c r="BK248">
        <f>IF(AND(CROQUIS!$C$88=1,CROQUIS!$C$134&gt;0),((CROQUIS!$C$157+(IF(CROQUIS!$C$92="X",CHOOSE(IF(INT(($A248-1)/5)&gt;MAX((MIN(80,MAX(1,INT(((CROQUIS!$C$97)-CROQUIS!$C$107)/MAX(CROQUIS!$C$134,1))+1)))-1,0),0,MOD($A248-1,5))+1,0,2,CROQUIS!$C$98-2,2,0),((CROQUIS!$C$107/2+(((CROQUIS!$C$97)-CROQUIS!$C$107)-(MIN(80,MAX(1,INT(((CROQUIS!$C$97)-CROQUIS!$C$107)/MAX(CROQUIS!$C$134,1))+1))-1)*CROQUIS!$C$134)/2)+MIN(INT(($A248-1)/5),MAX((MIN(80,MAX(1,INT(((CROQUIS!$C$97)-CROQUIS!$C$107)/MAX(CROQUIS!$C$134,1))+1)))-1,0))*CROQUIS!$C$134)))*CROQUIS!$C$155)+IF(CROQUIS!$C$92="X",0,0)),-1000)</f>
        <v>-1000</v>
      </c>
      <c r="BL248">
        <f>IF(AND(CROQUIS!$C$88=1,CROQUIS!$C$91=0,CROQUIS!$C$130&gt;0,OR(CROQUIS!$C$103=1,CROQUIS!$C$142=1)),((CROQUIS!$C$156+(IF(CROQUIS!$C$92="X",CHOOSE(IF(INT(($A248-1)/5)&gt;MAX((MIN(80,MAX(1,INT(((CROQUIS!$C$98)-CROQUIS!$C$107)/MAX(CROQUIS!$C$130,1))+1)))-1,0),0,MOD($A248-1,5))+1,0,IF(CROQUIS!$C$103=1,-12,2),CROQUIS!$C$107/2+CROQUIS!$C$140,IF(CROQUIS!$C$103=1,-12,2),0),((CROQUIS!$C$107/2+(((CROQUIS!$C$98)-CROQUIS!$C$107)-(MIN(80,MAX(1,INT(((CROQUIS!$C$98)-CROQUIS!$C$107)/MAX(CROQUIS!$C$130,1))+1))-1)*CROQUIS!$C$130)/2)+MIN(INT(($A248-1)/5),MAX((MIN(80,MAX(1,INT(((CROQUIS!$C$98)-CROQUIS!$C$107)/MAX(CROQUIS!$C$130,1))+1)))-1,0))*CROQUIS!$C$130)))*CROQUIS!$C$155)+IF(CROQUIS!$C$92="X",0,0)),-1000)</f>
        <v>-1000</v>
      </c>
      <c r="BM24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248-1)/5),MAX((MIN(80,MAX(1,INT(((CROQUIS!$C$98)-CROQUIS!$C$107)/MAX(CROQUIS!$C$130,1))+1)))-1,0))*CROQUIS!$C$130),CHOOSE(IF(INT(($A248-1)/5)&gt;MAX((MIN(80,MAX(1,INT(((CROQUIS!$C$98)-CROQUIS!$C$107)/MAX(CROQUIS!$C$130,1))+1)))-1,0),0,MOD($A248-1,5))+1,0,IF(CROQUIS!$C$103=1,-12,2),CROQUIS!$C$107/2+CROQUIS!$C$140,IF(CROQUIS!$C$103=1,-12,2),0)))*CROQUIS!$C$155)+IF(CROQUIS!$C$92="X",0,0)),-1000)</f>
        <v>-1000</v>
      </c>
      <c r="BN248">
        <f>IF(AND(CROQUIS!$C$88=1,CROQUIS!$C$91=0,CROQUIS!$C$130&gt;0,OR(CROQUIS!$C$104=1,CROQUIS!$C$142=1)),((CROQUIS!$C$156+(IF(CROQUIS!$C$92="X",CHOOSE(IF(INT(($A248-1)/5)&gt;MAX((MIN(80,MAX(1,INT(((CROQUIS!$C$98)-CROQUIS!$C$107)/MAX(CROQUIS!$C$130,1))+1)))-1,0),0,MOD($A248-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248-1)/5),MAX((MIN(80,MAX(1,INT(((CROQUIS!$C$98)-CROQUIS!$C$107)/MAX(CROQUIS!$C$130,1))+1)))-1,0))*CROQUIS!$C$130)))*CROQUIS!$C$155)+IF(CROQUIS!$C$92="X",0,0)),-1000)</f>
        <v>-1000</v>
      </c>
      <c r="BO24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248-1)/5),MAX((MIN(80,MAX(1,INT(((CROQUIS!$C$98)-CROQUIS!$C$107)/MAX(CROQUIS!$C$130,1))+1)))-1,0))*CROQUIS!$C$130),CHOOSE(IF(INT(($A248-1)/5)&gt;MAX((MIN(80,MAX(1,INT(((CROQUIS!$C$98)-CROQUIS!$C$107)/MAX(CROQUIS!$C$130,1))+1)))-1,0),0,MOD($A248-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4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248-1)/5),MAX((MIN(80,MAX(1,INT(((CROQUIS!$C$97)-CROQUIS!$C$107)/MAX(CROQUIS!$C$138,1))+1)))-1,0))*CROQUIS!$C$138),CHOOSE(IF(INT(($A248-1)/5)&gt;MAX((MIN(80,MAX(1,INT(((CROQUIS!$C$97)-CROQUIS!$C$107)/MAX(CROQUIS!$C$138,1))+1)))-1,0),0,MOD($A248-1,5))+1,0,IF(CROQUIS!$C$105=1,-12,2),CROQUIS!$C$107/2+CROQUIS!$C$141,IF(CROQUIS!$C$105=1,-12,2),0)))*CROQUIS!$C$155)+IF(CROQUIS!$C$92="X",0,0)),-1000)</f>
        <v>-1000</v>
      </c>
      <c r="BQ248">
        <f>IF(AND(CROQUIS!$C$88=1,CROQUIS!$C$91=0,CROQUIS!$C$138&gt;0,OR(CROQUIS!$C$105=1,CROQUIS!$C$143=1)),((CROQUIS!$C$157+(IF(CROQUIS!$C$92="X",CHOOSE(IF(INT(($A248-1)/5)&gt;MAX((MIN(80,MAX(1,INT(((CROQUIS!$C$97)-CROQUIS!$C$107)/MAX(CROQUIS!$C$138,1))+1)))-1,0),0,MOD($A248-1,5))+1,0,IF(CROQUIS!$C$105=1,-12,2),CROQUIS!$C$107/2+CROQUIS!$C$141,IF(CROQUIS!$C$105=1,-12,2),0),((CROQUIS!$C$107/2+(((CROQUIS!$C$97)-CROQUIS!$C$107)-(MIN(80,MAX(1,INT(((CROQUIS!$C$97)-CROQUIS!$C$107)/MAX(CROQUIS!$C$138,1))+1))-1)*CROQUIS!$C$138)/2)+MIN(INT(($A248-1)/5),MAX((MIN(80,MAX(1,INT(((CROQUIS!$C$97)-CROQUIS!$C$107)/MAX(CROQUIS!$C$138,1))+1)))-1,0))*CROQUIS!$C$138)))*CROQUIS!$C$155)+IF(CROQUIS!$C$92="X",0,0)),-1000)</f>
        <v>-1000</v>
      </c>
      <c r="BR24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248-1)/5),MAX((MIN(80,MAX(1,INT(((CROQUIS!$C$97)-CROQUIS!$C$107)/MAX(CROQUIS!$C$138,1))+1)))-1,0))*CROQUIS!$C$138),CHOOSE(IF(INT(($A248-1)/5)&gt;MAX((MIN(80,MAX(1,INT(((CROQUIS!$C$97)-CROQUIS!$C$107)/MAX(CROQUIS!$C$138,1))+1)))-1,0),0,MOD($A248-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48">
        <f>IF(AND(CROQUIS!$C$88=1,CROQUIS!$C$91=0,CROQUIS!$C$138&gt;0,OR(CROQUIS!$C$106=1,CROQUIS!$C$143=1)),((CROQUIS!$C$157+(IF(CROQUIS!$C$92="X",CHOOSE(IF(INT(($A248-1)/5)&gt;MAX((MIN(80,MAX(1,INT(((CROQUIS!$C$97)-CROQUIS!$C$107)/MAX(CROQUIS!$C$138,1))+1)))-1,0),0,MOD($A248-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248-1)/5),MAX((MIN(80,MAX(1,INT(((CROQUIS!$C$97)-CROQUIS!$C$107)/MAX(CROQUIS!$C$138,1))+1)))-1,0))*CROQUIS!$C$138)))*CROQUIS!$C$155)+IF(CROQUIS!$C$92="X",0,0)),-1000)</f>
        <v>-1000</v>
      </c>
      <c r="BT248">
        <f>IF(AND(CROQUIS!$C$88=1,CROQUIS!$C$91=1,CROQUIS!$C$130&gt;0),((CROQUIS!$C$156+(IF(CROQUIS!$C$92="X",CHOOSE(IF(INT(($A248-1)/5)&gt;MAX((MIN(80,MAX(1,INT(((CROQUIS!$C$98)-CROQUIS!$C$107)/MAX(CROQUIS!$C$130,1))+1)))-1,0),0,MOD($A248-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248-1)/5),MAX((MIN(80,MAX(1,INT(((CROQUIS!$C$98)-CROQUIS!$C$107)/MAX(CROQUIS!$C$130,1))+1)))-1,0))*CROQUIS!$C$130)))*CROQUIS!$C$155)+IF(CROQUIS!$C$92="X",0,0)),-1000)</f>
        <v>-1000</v>
      </c>
      <c r="BU248">
        <f>IF(AND(CROQUIS!$C$88=1,CROQUIS!$C$91=1,CROQUIS!$C$130&gt;0),((CROQUIS!$C$157+(IF(CROQUIS!$C$92="X",((CROQUIS!$C$107/2+(((CROQUIS!$C$98)-CROQUIS!$C$107)-(MIN(80,MAX(1,INT(((CROQUIS!$C$98)-CROQUIS!$C$107)/MAX(CROQUIS!$C$130,1))+1))-1)*CROQUIS!$C$130)/2)+MIN(INT(($A248-1)/5),MAX((MIN(80,MAX(1,INT(((CROQUIS!$C$98)-CROQUIS!$C$107)/MAX(CROQUIS!$C$130,1))+1)))-1,0))*CROQUIS!$C$130),CHOOSE(IF(INT(($A248-1)/5)&gt;MAX((MIN(80,MAX(1,INT(((CROQUIS!$C$98)-CROQUIS!$C$107)/MAX(CROQUIS!$C$130,1))+1)))-1,0),0,MOD($A248-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49">
      <c r="A249" t="n">
        <v>242</v>
      </c>
      <c r="BH249">
        <f>IF(AND(CROQUIS!$C$88=1,CROQUIS!$C$126&gt;0),((CROQUIS!$C$156+(IF(CROQUIS!$C$92="X",CHOOSE(IF(INT(($A249-1)/5)&gt;MAX((MIN(80,MAX(1,INT(((CROQUIS!$C$98)-CROQUIS!$C$107)/MAX(CROQUIS!$C$126,1))+1)))-1,0),0,MOD($A249-1,5))+1,0,2,CROQUIS!$C$97-2,2,0),((CROQUIS!$C$107/2+(((CROQUIS!$C$98)-CROQUIS!$C$107)-(MIN(80,MAX(1,INT(((CROQUIS!$C$98)-CROQUIS!$C$107)/MAX(CROQUIS!$C$126,1))+1))-1)*CROQUIS!$C$126)/2)+MIN(INT(($A249-1)/5),MAX((MIN(80,MAX(1,INT(((CROQUIS!$C$98)-CROQUIS!$C$107)/MAX(CROQUIS!$C$126,1))+1)))-1,0))*CROQUIS!$C$126)))*CROQUIS!$C$155)+IF(CROQUIS!$C$92="X",0,0)),-1000)</f>
        <v>-1000</v>
      </c>
      <c r="BI249">
        <f>IF(AND(CROQUIS!$C$88=1,CROQUIS!$C$126&gt;0),((CROQUIS!$C$157+(IF(CROQUIS!$C$92="X",((CROQUIS!$C$107/2+(((CROQUIS!$C$98)-CROQUIS!$C$107)-(MIN(80,MAX(1,INT(((CROQUIS!$C$98)-CROQUIS!$C$107)/MAX(CROQUIS!$C$126,1))+1))-1)*CROQUIS!$C$126)/2)+MIN(INT(($A249-1)/5),MAX((MIN(80,MAX(1,INT(((CROQUIS!$C$98)-CROQUIS!$C$107)/MAX(CROQUIS!$C$126,1))+1)))-1,0))*CROQUIS!$C$126),CHOOSE(IF(INT(($A249-1)/5)&gt;MAX((MIN(80,MAX(1,INT(((CROQUIS!$C$98)-CROQUIS!$C$107)/MAX(CROQUIS!$C$126,1))+1)))-1,0),0,MOD($A249-1,5))+1,0,2,CROQUIS!$C$97-2,2,0)))*CROQUIS!$C$155)+IF(CROQUIS!$C$92="X",0,0)),-1000)</f>
        <v>-1000</v>
      </c>
      <c r="BJ249">
        <f>IF(AND(CROQUIS!$C$88=1,CROQUIS!$C$134&gt;0),((CROQUIS!$C$156+(IF(CROQUIS!$C$92="X",((CROQUIS!$C$107/2+(((CROQUIS!$C$97)-CROQUIS!$C$107)-(MIN(80,MAX(1,INT(((CROQUIS!$C$97)-CROQUIS!$C$107)/MAX(CROQUIS!$C$134,1))+1))-1)*CROQUIS!$C$134)/2)+MIN(INT(($A249-1)/5),MAX((MIN(80,MAX(1,INT(((CROQUIS!$C$97)-CROQUIS!$C$107)/MAX(CROQUIS!$C$134,1))+1)))-1,0))*CROQUIS!$C$134),CHOOSE(IF(INT(($A249-1)/5)&gt;MAX((MIN(80,MAX(1,INT(((CROQUIS!$C$97)-CROQUIS!$C$107)/MAX(CROQUIS!$C$134,1))+1)))-1,0),0,MOD($A249-1,5))+1,0,2,CROQUIS!$C$98-2,2,0)))*CROQUIS!$C$155)+IF(CROQUIS!$C$92="X",0,0)),-1000)</f>
        <v>-1000</v>
      </c>
      <c r="BK249">
        <f>IF(AND(CROQUIS!$C$88=1,CROQUIS!$C$134&gt;0),((CROQUIS!$C$157+(IF(CROQUIS!$C$92="X",CHOOSE(IF(INT(($A249-1)/5)&gt;MAX((MIN(80,MAX(1,INT(((CROQUIS!$C$97)-CROQUIS!$C$107)/MAX(CROQUIS!$C$134,1))+1)))-1,0),0,MOD($A249-1,5))+1,0,2,CROQUIS!$C$98-2,2,0),((CROQUIS!$C$107/2+(((CROQUIS!$C$97)-CROQUIS!$C$107)-(MIN(80,MAX(1,INT(((CROQUIS!$C$97)-CROQUIS!$C$107)/MAX(CROQUIS!$C$134,1))+1))-1)*CROQUIS!$C$134)/2)+MIN(INT(($A249-1)/5),MAX((MIN(80,MAX(1,INT(((CROQUIS!$C$97)-CROQUIS!$C$107)/MAX(CROQUIS!$C$134,1))+1)))-1,0))*CROQUIS!$C$134)))*CROQUIS!$C$155)+IF(CROQUIS!$C$92="X",0,0)),-1000)</f>
        <v>-1000</v>
      </c>
      <c r="BL249">
        <f>IF(AND(CROQUIS!$C$88=1,CROQUIS!$C$91=0,CROQUIS!$C$130&gt;0,OR(CROQUIS!$C$103=1,CROQUIS!$C$142=1)),((CROQUIS!$C$156+(IF(CROQUIS!$C$92="X",CHOOSE(IF(INT(($A249-1)/5)&gt;MAX((MIN(80,MAX(1,INT(((CROQUIS!$C$98)-CROQUIS!$C$107)/MAX(CROQUIS!$C$130,1))+1)))-1,0),0,MOD($A249-1,5))+1,0,IF(CROQUIS!$C$103=1,-12,2),CROQUIS!$C$107/2+CROQUIS!$C$140,IF(CROQUIS!$C$103=1,-12,2),0),((CROQUIS!$C$107/2+(((CROQUIS!$C$98)-CROQUIS!$C$107)-(MIN(80,MAX(1,INT(((CROQUIS!$C$98)-CROQUIS!$C$107)/MAX(CROQUIS!$C$130,1))+1))-1)*CROQUIS!$C$130)/2)+MIN(INT(($A249-1)/5),MAX((MIN(80,MAX(1,INT(((CROQUIS!$C$98)-CROQUIS!$C$107)/MAX(CROQUIS!$C$130,1))+1)))-1,0))*CROQUIS!$C$130)))*CROQUIS!$C$155)+IF(CROQUIS!$C$92="X",0,0)),-1000)</f>
        <v>-1000</v>
      </c>
      <c r="BM24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249-1)/5),MAX((MIN(80,MAX(1,INT(((CROQUIS!$C$98)-CROQUIS!$C$107)/MAX(CROQUIS!$C$130,1))+1)))-1,0))*CROQUIS!$C$130),CHOOSE(IF(INT(($A249-1)/5)&gt;MAX((MIN(80,MAX(1,INT(((CROQUIS!$C$98)-CROQUIS!$C$107)/MAX(CROQUIS!$C$130,1))+1)))-1,0),0,MOD($A249-1,5))+1,0,IF(CROQUIS!$C$103=1,-12,2),CROQUIS!$C$107/2+CROQUIS!$C$140,IF(CROQUIS!$C$103=1,-12,2),0)))*CROQUIS!$C$155)+IF(CROQUIS!$C$92="X",0,0)),-1000)</f>
        <v>-1000</v>
      </c>
      <c r="BN249">
        <f>IF(AND(CROQUIS!$C$88=1,CROQUIS!$C$91=0,CROQUIS!$C$130&gt;0,OR(CROQUIS!$C$104=1,CROQUIS!$C$142=1)),((CROQUIS!$C$156+(IF(CROQUIS!$C$92="X",CHOOSE(IF(INT(($A249-1)/5)&gt;MAX((MIN(80,MAX(1,INT(((CROQUIS!$C$98)-CROQUIS!$C$107)/MAX(CROQUIS!$C$130,1))+1)))-1,0),0,MOD($A249-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249-1)/5),MAX((MIN(80,MAX(1,INT(((CROQUIS!$C$98)-CROQUIS!$C$107)/MAX(CROQUIS!$C$130,1))+1)))-1,0))*CROQUIS!$C$130)))*CROQUIS!$C$155)+IF(CROQUIS!$C$92="X",0,0)),-1000)</f>
        <v>-1000</v>
      </c>
      <c r="BO24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249-1)/5),MAX((MIN(80,MAX(1,INT(((CROQUIS!$C$98)-CROQUIS!$C$107)/MAX(CROQUIS!$C$130,1))+1)))-1,0))*CROQUIS!$C$130),CHOOSE(IF(INT(($A249-1)/5)&gt;MAX((MIN(80,MAX(1,INT(((CROQUIS!$C$98)-CROQUIS!$C$107)/MAX(CROQUIS!$C$130,1))+1)))-1,0),0,MOD($A249-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4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249-1)/5),MAX((MIN(80,MAX(1,INT(((CROQUIS!$C$97)-CROQUIS!$C$107)/MAX(CROQUIS!$C$138,1))+1)))-1,0))*CROQUIS!$C$138),CHOOSE(IF(INT(($A249-1)/5)&gt;MAX((MIN(80,MAX(1,INT(((CROQUIS!$C$97)-CROQUIS!$C$107)/MAX(CROQUIS!$C$138,1))+1)))-1,0),0,MOD($A249-1,5))+1,0,IF(CROQUIS!$C$105=1,-12,2),CROQUIS!$C$107/2+CROQUIS!$C$141,IF(CROQUIS!$C$105=1,-12,2),0)))*CROQUIS!$C$155)+IF(CROQUIS!$C$92="X",0,0)),-1000)</f>
        <v>-1000</v>
      </c>
      <c r="BQ249">
        <f>IF(AND(CROQUIS!$C$88=1,CROQUIS!$C$91=0,CROQUIS!$C$138&gt;0,OR(CROQUIS!$C$105=1,CROQUIS!$C$143=1)),((CROQUIS!$C$157+(IF(CROQUIS!$C$92="X",CHOOSE(IF(INT(($A249-1)/5)&gt;MAX((MIN(80,MAX(1,INT(((CROQUIS!$C$97)-CROQUIS!$C$107)/MAX(CROQUIS!$C$138,1))+1)))-1,0),0,MOD($A249-1,5))+1,0,IF(CROQUIS!$C$105=1,-12,2),CROQUIS!$C$107/2+CROQUIS!$C$141,IF(CROQUIS!$C$105=1,-12,2),0),((CROQUIS!$C$107/2+(((CROQUIS!$C$97)-CROQUIS!$C$107)-(MIN(80,MAX(1,INT(((CROQUIS!$C$97)-CROQUIS!$C$107)/MAX(CROQUIS!$C$138,1))+1))-1)*CROQUIS!$C$138)/2)+MIN(INT(($A249-1)/5),MAX((MIN(80,MAX(1,INT(((CROQUIS!$C$97)-CROQUIS!$C$107)/MAX(CROQUIS!$C$138,1))+1)))-1,0))*CROQUIS!$C$138)))*CROQUIS!$C$155)+IF(CROQUIS!$C$92="X",0,0)),-1000)</f>
        <v>-1000</v>
      </c>
      <c r="BR24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249-1)/5),MAX((MIN(80,MAX(1,INT(((CROQUIS!$C$97)-CROQUIS!$C$107)/MAX(CROQUIS!$C$138,1))+1)))-1,0))*CROQUIS!$C$138),CHOOSE(IF(INT(($A249-1)/5)&gt;MAX((MIN(80,MAX(1,INT(((CROQUIS!$C$97)-CROQUIS!$C$107)/MAX(CROQUIS!$C$138,1))+1)))-1,0),0,MOD($A249-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49">
        <f>IF(AND(CROQUIS!$C$88=1,CROQUIS!$C$91=0,CROQUIS!$C$138&gt;0,OR(CROQUIS!$C$106=1,CROQUIS!$C$143=1)),((CROQUIS!$C$157+(IF(CROQUIS!$C$92="X",CHOOSE(IF(INT(($A249-1)/5)&gt;MAX((MIN(80,MAX(1,INT(((CROQUIS!$C$97)-CROQUIS!$C$107)/MAX(CROQUIS!$C$138,1))+1)))-1,0),0,MOD($A249-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249-1)/5),MAX((MIN(80,MAX(1,INT(((CROQUIS!$C$97)-CROQUIS!$C$107)/MAX(CROQUIS!$C$138,1))+1)))-1,0))*CROQUIS!$C$138)))*CROQUIS!$C$155)+IF(CROQUIS!$C$92="X",0,0)),-1000)</f>
        <v>-1000</v>
      </c>
      <c r="BT249">
        <f>IF(AND(CROQUIS!$C$88=1,CROQUIS!$C$91=1,CROQUIS!$C$130&gt;0),((CROQUIS!$C$156+(IF(CROQUIS!$C$92="X",CHOOSE(IF(INT(($A249-1)/5)&gt;MAX((MIN(80,MAX(1,INT(((CROQUIS!$C$98)-CROQUIS!$C$107)/MAX(CROQUIS!$C$130,1))+1)))-1,0),0,MOD($A249-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249-1)/5),MAX((MIN(80,MAX(1,INT(((CROQUIS!$C$98)-CROQUIS!$C$107)/MAX(CROQUIS!$C$130,1))+1)))-1,0))*CROQUIS!$C$130)))*CROQUIS!$C$155)+IF(CROQUIS!$C$92="X",0,0)),-1000)</f>
        <v>-1000</v>
      </c>
      <c r="BU249">
        <f>IF(AND(CROQUIS!$C$88=1,CROQUIS!$C$91=1,CROQUIS!$C$130&gt;0),((CROQUIS!$C$157+(IF(CROQUIS!$C$92="X",((CROQUIS!$C$107/2+(((CROQUIS!$C$98)-CROQUIS!$C$107)-(MIN(80,MAX(1,INT(((CROQUIS!$C$98)-CROQUIS!$C$107)/MAX(CROQUIS!$C$130,1))+1))-1)*CROQUIS!$C$130)/2)+MIN(INT(($A249-1)/5),MAX((MIN(80,MAX(1,INT(((CROQUIS!$C$98)-CROQUIS!$C$107)/MAX(CROQUIS!$C$130,1))+1)))-1,0))*CROQUIS!$C$130),CHOOSE(IF(INT(($A249-1)/5)&gt;MAX((MIN(80,MAX(1,INT(((CROQUIS!$C$98)-CROQUIS!$C$107)/MAX(CROQUIS!$C$130,1))+1)))-1,0),0,MOD($A249-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50">
      <c r="A250" t="n">
        <v>243</v>
      </c>
      <c r="BH250">
        <f>IF(AND(CROQUIS!$C$88=1,CROQUIS!$C$126&gt;0),((CROQUIS!$C$156+(IF(CROQUIS!$C$92="X",CHOOSE(IF(INT(($A250-1)/5)&gt;MAX((MIN(80,MAX(1,INT(((CROQUIS!$C$98)-CROQUIS!$C$107)/MAX(CROQUIS!$C$126,1))+1)))-1,0),0,MOD($A250-1,5))+1,0,2,CROQUIS!$C$97-2,2,0),((CROQUIS!$C$107/2+(((CROQUIS!$C$98)-CROQUIS!$C$107)-(MIN(80,MAX(1,INT(((CROQUIS!$C$98)-CROQUIS!$C$107)/MAX(CROQUIS!$C$126,1))+1))-1)*CROQUIS!$C$126)/2)+MIN(INT(($A250-1)/5),MAX((MIN(80,MAX(1,INT(((CROQUIS!$C$98)-CROQUIS!$C$107)/MAX(CROQUIS!$C$126,1))+1)))-1,0))*CROQUIS!$C$126)))*CROQUIS!$C$155)+IF(CROQUIS!$C$92="X",0,0)),-1000)</f>
        <v>-1000</v>
      </c>
      <c r="BI250">
        <f>IF(AND(CROQUIS!$C$88=1,CROQUIS!$C$126&gt;0),((CROQUIS!$C$157+(IF(CROQUIS!$C$92="X",((CROQUIS!$C$107/2+(((CROQUIS!$C$98)-CROQUIS!$C$107)-(MIN(80,MAX(1,INT(((CROQUIS!$C$98)-CROQUIS!$C$107)/MAX(CROQUIS!$C$126,1))+1))-1)*CROQUIS!$C$126)/2)+MIN(INT(($A250-1)/5),MAX((MIN(80,MAX(1,INT(((CROQUIS!$C$98)-CROQUIS!$C$107)/MAX(CROQUIS!$C$126,1))+1)))-1,0))*CROQUIS!$C$126),CHOOSE(IF(INT(($A250-1)/5)&gt;MAX((MIN(80,MAX(1,INT(((CROQUIS!$C$98)-CROQUIS!$C$107)/MAX(CROQUIS!$C$126,1))+1)))-1,0),0,MOD($A250-1,5))+1,0,2,CROQUIS!$C$97-2,2,0)))*CROQUIS!$C$155)+IF(CROQUIS!$C$92="X",0,0)),-1000)</f>
        <v>-1000</v>
      </c>
      <c r="BJ250">
        <f>IF(AND(CROQUIS!$C$88=1,CROQUIS!$C$134&gt;0),((CROQUIS!$C$156+(IF(CROQUIS!$C$92="X",((CROQUIS!$C$107/2+(((CROQUIS!$C$97)-CROQUIS!$C$107)-(MIN(80,MAX(1,INT(((CROQUIS!$C$97)-CROQUIS!$C$107)/MAX(CROQUIS!$C$134,1))+1))-1)*CROQUIS!$C$134)/2)+MIN(INT(($A250-1)/5),MAX((MIN(80,MAX(1,INT(((CROQUIS!$C$97)-CROQUIS!$C$107)/MAX(CROQUIS!$C$134,1))+1)))-1,0))*CROQUIS!$C$134),CHOOSE(IF(INT(($A250-1)/5)&gt;MAX((MIN(80,MAX(1,INT(((CROQUIS!$C$97)-CROQUIS!$C$107)/MAX(CROQUIS!$C$134,1))+1)))-1,0),0,MOD($A250-1,5))+1,0,2,CROQUIS!$C$98-2,2,0)))*CROQUIS!$C$155)+IF(CROQUIS!$C$92="X",0,0)),-1000)</f>
        <v>-1000</v>
      </c>
      <c r="BK250">
        <f>IF(AND(CROQUIS!$C$88=1,CROQUIS!$C$134&gt;0),((CROQUIS!$C$157+(IF(CROQUIS!$C$92="X",CHOOSE(IF(INT(($A250-1)/5)&gt;MAX((MIN(80,MAX(1,INT(((CROQUIS!$C$97)-CROQUIS!$C$107)/MAX(CROQUIS!$C$134,1))+1)))-1,0),0,MOD($A250-1,5))+1,0,2,CROQUIS!$C$98-2,2,0),((CROQUIS!$C$107/2+(((CROQUIS!$C$97)-CROQUIS!$C$107)-(MIN(80,MAX(1,INT(((CROQUIS!$C$97)-CROQUIS!$C$107)/MAX(CROQUIS!$C$134,1))+1))-1)*CROQUIS!$C$134)/2)+MIN(INT(($A250-1)/5),MAX((MIN(80,MAX(1,INT(((CROQUIS!$C$97)-CROQUIS!$C$107)/MAX(CROQUIS!$C$134,1))+1)))-1,0))*CROQUIS!$C$134)))*CROQUIS!$C$155)+IF(CROQUIS!$C$92="X",0,0)),-1000)</f>
        <v>-1000</v>
      </c>
      <c r="BL250">
        <f>IF(AND(CROQUIS!$C$88=1,CROQUIS!$C$91=0,CROQUIS!$C$130&gt;0,OR(CROQUIS!$C$103=1,CROQUIS!$C$142=1)),((CROQUIS!$C$156+(IF(CROQUIS!$C$92="X",CHOOSE(IF(INT(($A250-1)/5)&gt;MAX((MIN(80,MAX(1,INT(((CROQUIS!$C$98)-CROQUIS!$C$107)/MAX(CROQUIS!$C$130,1))+1)))-1,0),0,MOD($A250-1,5))+1,0,IF(CROQUIS!$C$103=1,-12,2),CROQUIS!$C$107/2+CROQUIS!$C$140,IF(CROQUIS!$C$103=1,-12,2),0),((CROQUIS!$C$107/2+(((CROQUIS!$C$98)-CROQUIS!$C$107)-(MIN(80,MAX(1,INT(((CROQUIS!$C$98)-CROQUIS!$C$107)/MAX(CROQUIS!$C$130,1))+1))-1)*CROQUIS!$C$130)/2)+MIN(INT(($A250-1)/5),MAX((MIN(80,MAX(1,INT(((CROQUIS!$C$98)-CROQUIS!$C$107)/MAX(CROQUIS!$C$130,1))+1)))-1,0))*CROQUIS!$C$130)))*CROQUIS!$C$155)+IF(CROQUIS!$C$92="X",0,0)),-1000)</f>
        <v>-1000</v>
      </c>
      <c r="BM25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250-1)/5),MAX((MIN(80,MAX(1,INT(((CROQUIS!$C$98)-CROQUIS!$C$107)/MAX(CROQUIS!$C$130,1))+1)))-1,0))*CROQUIS!$C$130),CHOOSE(IF(INT(($A250-1)/5)&gt;MAX((MIN(80,MAX(1,INT(((CROQUIS!$C$98)-CROQUIS!$C$107)/MAX(CROQUIS!$C$130,1))+1)))-1,0),0,MOD($A250-1,5))+1,0,IF(CROQUIS!$C$103=1,-12,2),CROQUIS!$C$107/2+CROQUIS!$C$140,IF(CROQUIS!$C$103=1,-12,2),0)))*CROQUIS!$C$155)+IF(CROQUIS!$C$92="X",0,0)),-1000)</f>
        <v>-1000</v>
      </c>
      <c r="BN250">
        <f>IF(AND(CROQUIS!$C$88=1,CROQUIS!$C$91=0,CROQUIS!$C$130&gt;0,OR(CROQUIS!$C$104=1,CROQUIS!$C$142=1)),((CROQUIS!$C$156+(IF(CROQUIS!$C$92="X",CHOOSE(IF(INT(($A250-1)/5)&gt;MAX((MIN(80,MAX(1,INT(((CROQUIS!$C$98)-CROQUIS!$C$107)/MAX(CROQUIS!$C$130,1))+1)))-1,0),0,MOD($A250-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250-1)/5),MAX((MIN(80,MAX(1,INT(((CROQUIS!$C$98)-CROQUIS!$C$107)/MAX(CROQUIS!$C$130,1))+1)))-1,0))*CROQUIS!$C$130)))*CROQUIS!$C$155)+IF(CROQUIS!$C$92="X",0,0)),-1000)</f>
        <v>-1000</v>
      </c>
      <c r="BO25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250-1)/5),MAX((MIN(80,MAX(1,INT(((CROQUIS!$C$98)-CROQUIS!$C$107)/MAX(CROQUIS!$C$130,1))+1)))-1,0))*CROQUIS!$C$130),CHOOSE(IF(INT(($A250-1)/5)&gt;MAX((MIN(80,MAX(1,INT(((CROQUIS!$C$98)-CROQUIS!$C$107)/MAX(CROQUIS!$C$130,1))+1)))-1,0),0,MOD($A250-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5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250-1)/5),MAX((MIN(80,MAX(1,INT(((CROQUIS!$C$97)-CROQUIS!$C$107)/MAX(CROQUIS!$C$138,1))+1)))-1,0))*CROQUIS!$C$138),CHOOSE(IF(INT(($A250-1)/5)&gt;MAX((MIN(80,MAX(1,INT(((CROQUIS!$C$97)-CROQUIS!$C$107)/MAX(CROQUIS!$C$138,1))+1)))-1,0),0,MOD($A250-1,5))+1,0,IF(CROQUIS!$C$105=1,-12,2),CROQUIS!$C$107/2+CROQUIS!$C$141,IF(CROQUIS!$C$105=1,-12,2),0)))*CROQUIS!$C$155)+IF(CROQUIS!$C$92="X",0,0)),-1000)</f>
        <v>-1000</v>
      </c>
      <c r="BQ250">
        <f>IF(AND(CROQUIS!$C$88=1,CROQUIS!$C$91=0,CROQUIS!$C$138&gt;0,OR(CROQUIS!$C$105=1,CROQUIS!$C$143=1)),((CROQUIS!$C$157+(IF(CROQUIS!$C$92="X",CHOOSE(IF(INT(($A250-1)/5)&gt;MAX((MIN(80,MAX(1,INT(((CROQUIS!$C$97)-CROQUIS!$C$107)/MAX(CROQUIS!$C$138,1))+1)))-1,0),0,MOD($A250-1,5))+1,0,IF(CROQUIS!$C$105=1,-12,2),CROQUIS!$C$107/2+CROQUIS!$C$141,IF(CROQUIS!$C$105=1,-12,2),0),((CROQUIS!$C$107/2+(((CROQUIS!$C$97)-CROQUIS!$C$107)-(MIN(80,MAX(1,INT(((CROQUIS!$C$97)-CROQUIS!$C$107)/MAX(CROQUIS!$C$138,1))+1))-1)*CROQUIS!$C$138)/2)+MIN(INT(($A250-1)/5),MAX((MIN(80,MAX(1,INT(((CROQUIS!$C$97)-CROQUIS!$C$107)/MAX(CROQUIS!$C$138,1))+1)))-1,0))*CROQUIS!$C$138)))*CROQUIS!$C$155)+IF(CROQUIS!$C$92="X",0,0)),-1000)</f>
        <v>-1000</v>
      </c>
      <c r="BR25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250-1)/5),MAX((MIN(80,MAX(1,INT(((CROQUIS!$C$97)-CROQUIS!$C$107)/MAX(CROQUIS!$C$138,1))+1)))-1,0))*CROQUIS!$C$138),CHOOSE(IF(INT(($A250-1)/5)&gt;MAX((MIN(80,MAX(1,INT(((CROQUIS!$C$97)-CROQUIS!$C$107)/MAX(CROQUIS!$C$138,1))+1)))-1,0),0,MOD($A250-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50">
        <f>IF(AND(CROQUIS!$C$88=1,CROQUIS!$C$91=0,CROQUIS!$C$138&gt;0,OR(CROQUIS!$C$106=1,CROQUIS!$C$143=1)),((CROQUIS!$C$157+(IF(CROQUIS!$C$92="X",CHOOSE(IF(INT(($A250-1)/5)&gt;MAX((MIN(80,MAX(1,INT(((CROQUIS!$C$97)-CROQUIS!$C$107)/MAX(CROQUIS!$C$138,1))+1)))-1,0),0,MOD($A250-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250-1)/5),MAX((MIN(80,MAX(1,INT(((CROQUIS!$C$97)-CROQUIS!$C$107)/MAX(CROQUIS!$C$138,1))+1)))-1,0))*CROQUIS!$C$138)))*CROQUIS!$C$155)+IF(CROQUIS!$C$92="X",0,0)),-1000)</f>
        <v>-1000</v>
      </c>
      <c r="BT250">
        <f>IF(AND(CROQUIS!$C$88=1,CROQUIS!$C$91=1,CROQUIS!$C$130&gt;0),((CROQUIS!$C$156+(IF(CROQUIS!$C$92="X",CHOOSE(IF(INT(($A250-1)/5)&gt;MAX((MIN(80,MAX(1,INT(((CROQUIS!$C$98)-CROQUIS!$C$107)/MAX(CROQUIS!$C$130,1))+1)))-1,0),0,MOD($A250-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250-1)/5),MAX((MIN(80,MAX(1,INT(((CROQUIS!$C$98)-CROQUIS!$C$107)/MAX(CROQUIS!$C$130,1))+1)))-1,0))*CROQUIS!$C$130)))*CROQUIS!$C$155)+IF(CROQUIS!$C$92="X",0,0)),-1000)</f>
        <v>-1000</v>
      </c>
      <c r="BU250">
        <f>IF(AND(CROQUIS!$C$88=1,CROQUIS!$C$91=1,CROQUIS!$C$130&gt;0),((CROQUIS!$C$157+(IF(CROQUIS!$C$92="X",((CROQUIS!$C$107/2+(((CROQUIS!$C$98)-CROQUIS!$C$107)-(MIN(80,MAX(1,INT(((CROQUIS!$C$98)-CROQUIS!$C$107)/MAX(CROQUIS!$C$130,1))+1))-1)*CROQUIS!$C$130)/2)+MIN(INT(($A250-1)/5),MAX((MIN(80,MAX(1,INT(((CROQUIS!$C$98)-CROQUIS!$C$107)/MAX(CROQUIS!$C$130,1))+1)))-1,0))*CROQUIS!$C$130),CHOOSE(IF(INT(($A250-1)/5)&gt;MAX((MIN(80,MAX(1,INT(((CROQUIS!$C$98)-CROQUIS!$C$107)/MAX(CROQUIS!$C$130,1))+1)))-1,0),0,MOD($A250-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51">
      <c r="A251" t="n">
        <v>244</v>
      </c>
      <c r="BH251">
        <f>IF(AND(CROQUIS!$C$88=1,CROQUIS!$C$126&gt;0),((CROQUIS!$C$156+(IF(CROQUIS!$C$92="X",CHOOSE(IF(INT(($A251-1)/5)&gt;MAX((MIN(80,MAX(1,INT(((CROQUIS!$C$98)-CROQUIS!$C$107)/MAX(CROQUIS!$C$126,1))+1)))-1,0),0,MOD($A251-1,5))+1,0,2,CROQUIS!$C$97-2,2,0),((CROQUIS!$C$107/2+(((CROQUIS!$C$98)-CROQUIS!$C$107)-(MIN(80,MAX(1,INT(((CROQUIS!$C$98)-CROQUIS!$C$107)/MAX(CROQUIS!$C$126,1))+1))-1)*CROQUIS!$C$126)/2)+MIN(INT(($A251-1)/5),MAX((MIN(80,MAX(1,INT(((CROQUIS!$C$98)-CROQUIS!$C$107)/MAX(CROQUIS!$C$126,1))+1)))-1,0))*CROQUIS!$C$126)))*CROQUIS!$C$155)+IF(CROQUIS!$C$92="X",0,0)),-1000)</f>
        <v>-1000</v>
      </c>
      <c r="BI251">
        <f>IF(AND(CROQUIS!$C$88=1,CROQUIS!$C$126&gt;0),((CROQUIS!$C$157+(IF(CROQUIS!$C$92="X",((CROQUIS!$C$107/2+(((CROQUIS!$C$98)-CROQUIS!$C$107)-(MIN(80,MAX(1,INT(((CROQUIS!$C$98)-CROQUIS!$C$107)/MAX(CROQUIS!$C$126,1))+1))-1)*CROQUIS!$C$126)/2)+MIN(INT(($A251-1)/5),MAX((MIN(80,MAX(1,INT(((CROQUIS!$C$98)-CROQUIS!$C$107)/MAX(CROQUIS!$C$126,1))+1)))-1,0))*CROQUIS!$C$126),CHOOSE(IF(INT(($A251-1)/5)&gt;MAX((MIN(80,MAX(1,INT(((CROQUIS!$C$98)-CROQUIS!$C$107)/MAX(CROQUIS!$C$126,1))+1)))-1,0),0,MOD($A251-1,5))+1,0,2,CROQUIS!$C$97-2,2,0)))*CROQUIS!$C$155)+IF(CROQUIS!$C$92="X",0,0)),-1000)</f>
        <v>-1000</v>
      </c>
      <c r="BJ251">
        <f>IF(AND(CROQUIS!$C$88=1,CROQUIS!$C$134&gt;0),((CROQUIS!$C$156+(IF(CROQUIS!$C$92="X",((CROQUIS!$C$107/2+(((CROQUIS!$C$97)-CROQUIS!$C$107)-(MIN(80,MAX(1,INT(((CROQUIS!$C$97)-CROQUIS!$C$107)/MAX(CROQUIS!$C$134,1))+1))-1)*CROQUIS!$C$134)/2)+MIN(INT(($A251-1)/5),MAX((MIN(80,MAX(1,INT(((CROQUIS!$C$97)-CROQUIS!$C$107)/MAX(CROQUIS!$C$134,1))+1)))-1,0))*CROQUIS!$C$134),CHOOSE(IF(INT(($A251-1)/5)&gt;MAX((MIN(80,MAX(1,INT(((CROQUIS!$C$97)-CROQUIS!$C$107)/MAX(CROQUIS!$C$134,1))+1)))-1,0),0,MOD($A251-1,5))+1,0,2,CROQUIS!$C$98-2,2,0)))*CROQUIS!$C$155)+IF(CROQUIS!$C$92="X",0,0)),-1000)</f>
        <v>-1000</v>
      </c>
      <c r="BK251">
        <f>IF(AND(CROQUIS!$C$88=1,CROQUIS!$C$134&gt;0),((CROQUIS!$C$157+(IF(CROQUIS!$C$92="X",CHOOSE(IF(INT(($A251-1)/5)&gt;MAX((MIN(80,MAX(1,INT(((CROQUIS!$C$97)-CROQUIS!$C$107)/MAX(CROQUIS!$C$134,1))+1)))-1,0),0,MOD($A251-1,5))+1,0,2,CROQUIS!$C$98-2,2,0),((CROQUIS!$C$107/2+(((CROQUIS!$C$97)-CROQUIS!$C$107)-(MIN(80,MAX(1,INT(((CROQUIS!$C$97)-CROQUIS!$C$107)/MAX(CROQUIS!$C$134,1))+1))-1)*CROQUIS!$C$134)/2)+MIN(INT(($A251-1)/5),MAX((MIN(80,MAX(1,INT(((CROQUIS!$C$97)-CROQUIS!$C$107)/MAX(CROQUIS!$C$134,1))+1)))-1,0))*CROQUIS!$C$134)))*CROQUIS!$C$155)+IF(CROQUIS!$C$92="X",0,0)),-1000)</f>
        <v>-1000</v>
      </c>
      <c r="BL251">
        <f>IF(AND(CROQUIS!$C$88=1,CROQUIS!$C$91=0,CROQUIS!$C$130&gt;0,OR(CROQUIS!$C$103=1,CROQUIS!$C$142=1)),((CROQUIS!$C$156+(IF(CROQUIS!$C$92="X",CHOOSE(IF(INT(($A251-1)/5)&gt;MAX((MIN(80,MAX(1,INT(((CROQUIS!$C$98)-CROQUIS!$C$107)/MAX(CROQUIS!$C$130,1))+1)))-1,0),0,MOD($A251-1,5))+1,0,IF(CROQUIS!$C$103=1,-12,2),CROQUIS!$C$107/2+CROQUIS!$C$140,IF(CROQUIS!$C$103=1,-12,2),0),((CROQUIS!$C$107/2+(((CROQUIS!$C$98)-CROQUIS!$C$107)-(MIN(80,MAX(1,INT(((CROQUIS!$C$98)-CROQUIS!$C$107)/MAX(CROQUIS!$C$130,1))+1))-1)*CROQUIS!$C$130)/2)+MIN(INT(($A251-1)/5),MAX((MIN(80,MAX(1,INT(((CROQUIS!$C$98)-CROQUIS!$C$107)/MAX(CROQUIS!$C$130,1))+1)))-1,0))*CROQUIS!$C$130)))*CROQUIS!$C$155)+IF(CROQUIS!$C$92="X",0,0)),-1000)</f>
        <v>-1000</v>
      </c>
      <c r="BM25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251-1)/5),MAX((MIN(80,MAX(1,INT(((CROQUIS!$C$98)-CROQUIS!$C$107)/MAX(CROQUIS!$C$130,1))+1)))-1,0))*CROQUIS!$C$130),CHOOSE(IF(INT(($A251-1)/5)&gt;MAX((MIN(80,MAX(1,INT(((CROQUIS!$C$98)-CROQUIS!$C$107)/MAX(CROQUIS!$C$130,1))+1)))-1,0),0,MOD($A251-1,5))+1,0,IF(CROQUIS!$C$103=1,-12,2),CROQUIS!$C$107/2+CROQUIS!$C$140,IF(CROQUIS!$C$103=1,-12,2),0)))*CROQUIS!$C$155)+IF(CROQUIS!$C$92="X",0,0)),-1000)</f>
        <v>-1000</v>
      </c>
      <c r="BN251">
        <f>IF(AND(CROQUIS!$C$88=1,CROQUIS!$C$91=0,CROQUIS!$C$130&gt;0,OR(CROQUIS!$C$104=1,CROQUIS!$C$142=1)),((CROQUIS!$C$156+(IF(CROQUIS!$C$92="X",CHOOSE(IF(INT(($A251-1)/5)&gt;MAX((MIN(80,MAX(1,INT(((CROQUIS!$C$98)-CROQUIS!$C$107)/MAX(CROQUIS!$C$130,1))+1)))-1,0),0,MOD($A251-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251-1)/5),MAX((MIN(80,MAX(1,INT(((CROQUIS!$C$98)-CROQUIS!$C$107)/MAX(CROQUIS!$C$130,1))+1)))-1,0))*CROQUIS!$C$130)))*CROQUIS!$C$155)+IF(CROQUIS!$C$92="X",0,0)),-1000)</f>
        <v>-1000</v>
      </c>
      <c r="BO25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251-1)/5),MAX((MIN(80,MAX(1,INT(((CROQUIS!$C$98)-CROQUIS!$C$107)/MAX(CROQUIS!$C$130,1))+1)))-1,0))*CROQUIS!$C$130),CHOOSE(IF(INT(($A251-1)/5)&gt;MAX((MIN(80,MAX(1,INT(((CROQUIS!$C$98)-CROQUIS!$C$107)/MAX(CROQUIS!$C$130,1))+1)))-1,0),0,MOD($A251-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5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251-1)/5),MAX((MIN(80,MAX(1,INT(((CROQUIS!$C$97)-CROQUIS!$C$107)/MAX(CROQUIS!$C$138,1))+1)))-1,0))*CROQUIS!$C$138),CHOOSE(IF(INT(($A251-1)/5)&gt;MAX((MIN(80,MAX(1,INT(((CROQUIS!$C$97)-CROQUIS!$C$107)/MAX(CROQUIS!$C$138,1))+1)))-1,0),0,MOD($A251-1,5))+1,0,IF(CROQUIS!$C$105=1,-12,2),CROQUIS!$C$107/2+CROQUIS!$C$141,IF(CROQUIS!$C$105=1,-12,2),0)))*CROQUIS!$C$155)+IF(CROQUIS!$C$92="X",0,0)),-1000)</f>
        <v>-1000</v>
      </c>
      <c r="BQ251">
        <f>IF(AND(CROQUIS!$C$88=1,CROQUIS!$C$91=0,CROQUIS!$C$138&gt;0,OR(CROQUIS!$C$105=1,CROQUIS!$C$143=1)),((CROQUIS!$C$157+(IF(CROQUIS!$C$92="X",CHOOSE(IF(INT(($A251-1)/5)&gt;MAX((MIN(80,MAX(1,INT(((CROQUIS!$C$97)-CROQUIS!$C$107)/MAX(CROQUIS!$C$138,1))+1)))-1,0),0,MOD($A251-1,5))+1,0,IF(CROQUIS!$C$105=1,-12,2),CROQUIS!$C$107/2+CROQUIS!$C$141,IF(CROQUIS!$C$105=1,-12,2),0),((CROQUIS!$C$107/2+(((CROQUIS!$C$97)-CROQUIS!$C$107)-(MIN(80,MAX(1,INT(((CROQUIS!$C$97)-CROQUIS!$C$107)/MAX(CROQUIS!$C$138,1))+1))-1)*CROQUIS!$C$138)/2)+MIN(INT(($A251-1)/5),MAX((MIN(80,MAX(1,INT(((CROQUIS!$C$97)-CROQUIS!$C$107)/MAX(CROQUIS!$C$138,1))+1)))-1,0))*CROQUIS!$C$138)))*CROQUIS!$C$155)+IF(CROQUIS!$C$92="X",0,0)),-1000)</f>
        <v>-1000</v>
      </c>
      <c r="BR25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251-1)/5),MAX((MIN(80,MAX(1,INT(((CROQUIS!$C$97)-CROQUIS!$C$107)/MAX(CROQUIS!$C$138,1))+1)))-1,0))*CROQUIS!$C$138),CHOOSE(IF(INT(($A251-1)/5)&gt;MAX((MIN(80,MAX(1,INT(((CROQUIS!$C$97)-CROQUIS!$C$107)/MAX(CROQUIS!$C$138,1))+1)))-1,0),0,MOD($A251-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51">
        <f>IF(AND(CROQUIS!$C$88=1,CROQUIS!$C$91=0,CROQUIS!$C$138&gt;0,OR(CROQUIS!$C$106=1,CROQUIS!$C$143=1)),((CROQUIS!$C$157+(IF(CROQUIS!$C$92="X",CHOOSE(IF(INT(($A251-1)/5)&gt;MAX((MIN(80,MAX(1,INT(((CROQUIS!$C$97)-CROQUIS!$C$107)/MAX(CROQUIS!$C$138,1))+1)))-1,0),0,MOD($A251-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251-1)/5),MAX((MIN(80,MAX(1,INT(((CROQUIS!$C$97)-CROQUIS!$C$107)/MAX(CROQUIS!$C$138,1))+1)))-1,0))*CROQUIS!$C$138)))*CROQUIS!$C$155)+IF(CROQUIS!$C$92="X",0,0)),-1000)</f>
        <v>-1000</v>
      </c>
      <c r="BT251">
        <f>IF(AND(CROQUIS!$C$88=1,CROQUIS!$C$91=1,CROQUIS!$C$130&gt;0),((CROQUIS!$C$156+(IF(CROQUIS!$C$92="X",CHOOSE(IF(INT(($A251-1)/5)&gt;MAX((MIN(80,MAX(1,INT(((CROQUIS!$C$98)-CROQUIS!$C$107)/MAX(CROQUIS!$C$130,1))+1)))-1,0),0,MOD($A251-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251-1)/5),MAX((MIN(80,MAX(1,INT(((CROQUIS!$C$98)-CROQUIS!$C$107)/MAX(CROQUIS!$C$130,1))+1)))-1,0))*CROQUIS!$C$130)))*CROQUIS!$C$155)+IF(CROQUIS!$C$92="X",0,0)),-1000)</f>
        <v>-1000</v>
      </c>
      <c r="BU251">
        <f>IF(AND(CROQUIS!$C$88=1,CROQUIS!$C$91=1,CROQUIS!$C$130&gt;0),((CROQUIS!$C$157+(IF(CROQUIS!$C$92="X",((CROQUIS!$C$107/2+(((CROQUIS!$C$98)-CROQUIS!$C$107)-(MIN(80,MAX(1,INT(((CROQUIS!$C$98)-CROQUIS!$C$107)/MAX(CROQUIS!$C$130,1))+1))-1)*CROQUIS!$C$130)/2)+MIN(INT(($A251-1)/5),MAX((MIN(80,MAX(1,INT(((CROQUIS!$C$98)-CROQUIS!$C$107)/MAX(CROQUIS!$C$130,1))+1)))-1,0))*CROQUIS!$C$130),CHOOSE(IF(INT(($A251-1)/5)&gt;MAX((MIN(80,MAX(1,INT(((CROQUIS!$C$98)-CROQUIS!$C$107)/MAX(CROQUIS!$C$130,1))+1)))-1,0),0,MOD($A251-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52">
      <c r="A252" t="n">
        <v>245</v>
      </c>
      <c r="BH252">
        <f>IF(AND(CROQUIS!$C$88=1,CROQUIS!$C$126&gt;0),((CROQUIS!$C$156+(IF(CROQUIS!$C$92="X",CHOOSE(IF(INT(($A252-1)/5)&gt;MAX((MIN(80,MAX(1,INT(((CROQUIS!$C$98)-CROQUIS!$C$107)/MAX(CROQUIS!$C$126,1))+1)))-1,0),0,MOD($A252-1,5))+1,0,2,CROQUIS!$C$97-2,2,0),((CROQUIS!$C$107/2+(((CROQUIS!$C$98)-CROQUIS!$C$107)-(MIN(80,MAX(1,INT(((CROQUIS!$C$98)-CROQUIS!$C$107)/MAX(CROQUIS!$C$126,1))+1))-1)*CROQUIS!$C$126)/2)+MIN(INT(($A252-1)/5),MAX((MIN(80,MAX(1,INT(((CROQUIS!$C$98)-CROQUIS!$C$107)/MAX(CROQUIS!$C$126,1))+1)))-1,0))*CROQUIS!$C$126)))*CROQUIS!$C$155)+IF(CROQUIS!$C$92="X",0,0)),-1000)</f>
        <v>-1000</v>
      </c>
      <c r="BI252">
        <f>IF(AND(CROQUIS!$C$88=1,CROQUIS!$C$126&gt;0),((CROQUIS!$C$157+(IF(CROQUIS!$C$92="X",((CROQUIS!$C$107/2+(((CROQUIS!$C$98)-CROQUIS!$C$107)-(MIN(80,MAX(1,INT(((CROQUIS!$C$98)-CROQUIS!$C$107)/MAX(CROQUIS!$C$126,1))+1))-1)*CROQUIS!$C$126)/2)+MIN(INT(($A252-1)/5),MAX((MIN(80,MAX(1,INT(((CROQUIS!$C$98)-CROQUIS!$C$107)/MAX(CROQUIS!$C$126,1))+1)))-1,0))*CROQUIS!$C$126),CHOOSE(IF(INT(($A252-1)/5)&gt;MAX((MIN(80,MAX(1,INT(((CROQUIS!$C$98)-CROQUIS!$C$107)/MAX(CROQUIS!$C$126,1))+1)))-1,0),0,MOD($A252-1,5))+1,0,2,CROQUIS!$C$97-2,2,0)))*CROQUIS!$C$155)+IF(CROQUIS!$C$92="X",0,0)),-1000)</f>
        <v>-1000</v>
      </c>
      <c r="BJ252">
        <f>IF(AND(CROQUIS!$C$88=1,CROQUIS!$C$134&gt;0),((CROQUIS!$C$156+(IF(CROQUIS!$C$92="X",((CROQUIS!$C$107/2+(((CROQUIS!$C$97)-CROQUIS!$C$107)-(MIN(80,MAX(1,INT(((CROQUIS!$C$97)-CROQUIS!$C$107)/MAX(CROQUIS!$C$134,1))+1))-1)*CROQUIS!$C$134)/2)+MIN(INT(($A252-1)/5),MAX((MIN(80,MAX(1,INT(((CROQUIS!$C$97)-CROQUIS!$C$107)/MAX(CROQUIS!$C$134,1))+1)))-1,0))*CROQUIS!$C$134),CHOOSE(IF(INT(($A252-1)/5)&gt;MAX((MIN(80,MAX(1,INT(((CROQUIS!$C$97)-CROQUIS!$C$107)/MAX(CROQUIS!$C$134,1))+1)))-1,0),0,MOD($A252-1,5))+1,0,2,CROQUIS!$C$98-2,2,0)))*CROQUIS!$C$155)+IF(CROQUIS!$C$92="X",0,0)),-1000)</f>
        <v>-1000</v>
      </c>
      <c r="BK252">
        <f>IF(AND(CROQUIS!$C$88=1,CROQUIS!$C$134&gt;0),((CROQUIS!$C$157+(IF(CROQUIS!$C$92="X",CHOOSE(IF(INT(($A252-1)/5)&gt;MAX((MIN(80,MAX(1,INT(((CROQUIS!$C$97)-CROQUIS!$C$107)/MAX(CROQUIS!$C$134,1))+1)))-1,0),0,MOD($A252-1,5))+1,0,2,CROQUIS!$C$98-2,2,0),((CROQUIS!$C$107/2+(((CROQUIS!$C$97)-CROQUIS!$C$107)-(MIN(80,MAX(1,INT(((CROQUIS!$C$97)-CROQUIS!$C$107)/MAX(CROQUIS!$C$134,1))+1))-1)*CROQUIS!$C$134)/2)+MIN(INT(($A252-1)/5),MAX((MIN(80,MAX(1,INT(((CROQUIS!$C$97)-CROQUIS!$C$107)/MAX(CROQUIS!$C$134,1))+1)))-1,0))*CROQUIS!$C$134)))*CROQUIS!$C$155)+IF(CROQUIS!$C$92="X",0,0)),-1000)</f>
        <v>-1000</v>
      </c>
      <c r="BL252">
        <f>IF(AND(CROQUIS!$C$88=1,CROQUIS!$C$91=0,CROQUIS!$C$130&gt;0,OR(CROQUIS!$C$103=1,CROQUIS!$C$142=1)),((CROQUIS!$C$156+(IF(CROQUIS!$C$92="X",CHOOSE(IF(INT(($A252-1)/5)&gt;MAX((MIN(80,MAX(1,INT(((CROQUIS!$C$98)-CROQUIS!$C$107)/MAX(CROQUIS!$C$130,1))+1)))-1,0),0,MOD($A252-1,5))+1,0,IF(CROQUIS!$C$103=1,-12,2),CROQUIS!$C$107/2+CROQUIS!$C$140,IF(CROQUIS!$C$103=1,-12,2),0),((CROQUIS!$C$107/2+(((CROQUIS!$C$98)-CROQUIS!$C$107)-(MIN(80,MAX(1,INT(((CROQUIS!$C$98)-CROQUIS!$C$107)/MAX(CROQUIS!$C$130,1))+1))-1)*CROQUIS!$C$130)/2)+MIN(INT(($A252-1)/5),MAX((MIN(80,MAX(1,INT(((CROQUIS!$C$98)-CROQUIS!$C$107)/MAX(CROQUIS!$C$130,1))+1)))-1,0))*CROQUIS!$C$130)))*CROQUIS!$C$155)+IF(CROQUIS!$C$92="X",0,0)),-1000)</f>
        <v>-1000</v>
      </c>
      <c r="BM25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252-1)/5),MAX((MIN(80,MAX(1,INT(((CROQUIS!$C$98)-CROQUIS!$C$107)/MAX(CROQUIS!$C$130,1))+1)))-1,0))*CROQUIS!$C$130),CHOOSE(IF(INT(($A252-1)/5)&gt;MAX((MIN(80,MAX(1,INT(((CROQUIS!$C$98)-CROQUIS!$C$107)/MAX(CROQUIS!$C$130,1))+1)))-1,0),0,MOD($A252-1,5))+1,0,IF(CROQUIS!$C$103=1,-12,2),CROQUIS!$C$107/2+CROQUIS!$C$140,IF(CROQUIS!$C$103=1,-12,2),0)))*CROQUIS!$C$155)+IF(CROQUIS!$C$92="X",0,0)),-1000)</f>
        <v>-1000</v>
      </c>
      <c r="BN252">
        <f>IF(AND(CROQUIS!$C$88=1,CROQUIS!$C$91=0,CROQUIS!$C$130&gt;0,OR(CROQUIS!$C$104=1,CROQUIS!$C$142=1)),((CROQUIS!$C$156+(IF(CROQUIS!$C$92="X",CHOOSE(IF(INT(($A252-1)/5)&gt;MAX((MIN(80,MAX(1,INT(((CROQUIS!$C$98)-CROQUIS!$C$107)/MAX(CROQUIS!$C$130,1))+1)))-1,0),0,MOD($A252-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252-1)/5),MAX((MIN(80,MAX(1,INT(((CROQUIS!$C$98)-CROQUIS!$C$107)/MAX(CROQUIS!$C$130,1))+1)))-1,0))*CROQUIS!$C$130)))*CROQUIS!$C$155)+IF(CROQUIS!$C$92="X",0,0)),-1000)</f>
        <v>-1000</v>
      </c>
      <c r="BO25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252-1)/5),MAX((MIN(80,MAX(1,INT(((CROQUIS!$C$98)-CROQUIS!$C$107)/MAX(CROQUIS!$C$130,1))+1)))-1,0))*CROQUIS!$C$130),CHOOSE(IF(INT(($A252-1)/5)&gt;MAX((MIN(80,MAX(1,INT(((CROQUIS!$C$98)-CROQUIS!$C$107)/MAX(CROQUIS!$C$130,1))+1)))-1,0),0,MOD($A252-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5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252-1)/5),MAX((MIN(80,MAX(1,INT(((CROQUIS!$C$97)-CROQUIS!$C$107)/MAX(CROQUIS!$C$138,1))+1)))-1,0))*CROQUIS!$C$138),CHOOSE(IF(INT(($A252-1)/5)&gt;MAX((MIN(80,MAX(1,INT(((CROQUIS!$C$97)-CROQUIS!$C$107)/MAX(CROQUIS!$C$138,1))+1)))-1,0),0,MOD($A252-1,5))+1,0,IF(CROQUIS!$C$105=1,-12,2),CROQUIS!$C$107/2+CROQUIS!$C$141,IF(CROQUIS!$C$105=1,-12,2),0)))*CROQUIS!$C$155)+IF(CROQUIS!$C$92="X",0,0)),-1000)</f>
        <v>-1000</v>
      </c>
      <c r="BQ252">
        <f>IF(AND(CROQUIS!$C$88=1,CROQUIS!$C$91=0,CROQUIS!$C$138&gt;0,OR(CROQUIS!$C$105=1,CROQUIS!$C$143=1)),((CROQUIS!$C$157+(IF(CROQUIS!$C$92="X",CHOOSE(IF(INT(($A252-1)/5)&gt;MAX((MIN(80,MAX(1,INT(((CROQUIS!$C$97)-CROQUIS!$C$107)/MAX(CROQUIS!$C$138,1))+1)))-1,0),0,MOD($A252-1,5))+1,0,IF(CROQUIS!$C$105=1,-12,2),CROQUIS!$C$107/2+CROQUIS!$C$141,IF(CROQUIS!$C$105=1,-12,2),0),((CROQUIS!$C$107/2+(((CROQUIS!$C$97)-CROQUIS!$C$107)-(MIN(80,MAX(1,INT(((CROQUIS!$C$97)-CROQUIS!$C$107)/MAX(CROQUIS!$C$138,1))+1))-1)*CROQUIS!$C$138)/2)+MIN(INT(($A252-1)/5),MAX((MIN(80,MAX(1,INT(((CROQUIS!$C$97)-CROQUIS!$C$107)/MAX(CROQUIS!$C$138,1))+1)))-1,0))*CROQUIS!$C$138)))*CROQUIS!$C$155)+IF(CROQUIS!$C$92="X",0,0)),-1000)</f>
        <v>-1000</v>
      </c>
      <c r="BR25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252-1)/5),MAX((MIN(80,MAX(1,INT(((CROQUIS!$C$97)-CROQUIS!$C$107)/MAX(CROQUIS!$C$138,1))+1)))-1,0))*CROQUIS!$C$138),CHOOSE(IF(INT(($A252-1)/5)&gt;MAX((MIN(80,MAX(1,INT(((CROQUIS!$C$97)-CROQUIS!$C$107)/MAX(CROQUIS!$C$138,1))+1)))-1,0),0,MOD($A252-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52">
        <f>IF(AND(CROQUIS!$C$88=1,CROQUIS!$C$91=0,CROQUIS!$C$138&gt;0,OR(CROQUIS!$C$106=1,CROQUIS!$C$143=1)),((CROQUIS!$C$157+(IF(CROQUIS!$C$92="X",CHOOSE(IF(INT(($A252-1)/5)&gt;MAX((MIN(80,MAX(1,INT(((CROQUIS!$C$97)-CROQUIS!$C$107)/MAX(CROQUIS!$C$138,1))+1)))-1,0),0,MOD($A252-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252-1)/5),MAX((MIN(80,MAX(1,INT(((CROQUIS!$C$97)-CROQUIS!$C$107)/MAX(CROQUIS!$C$138,1))+1)))-1,0))*CROQUIS!$C$138)))*CROQUIS!$C$155)+IF(CROQUIS!$C$92="X",0,0)),-1000)</f>
        <v>-1000</v>
      </c>
      <c r="BT252">
        <f>IF(AND(CROQUIS!$C$88=1,CROQUIS!$C$91=1,CROQUIS!$C$130&gt;0),((CROQUIS!$C$156+(IF(CROQUIS!$C$92="X",CHOOSE(IF(INT(($A252-1)/5)&gt;MAX((MIN(80,MAX(1,INT(((CROQUIS!$C$98)-CROQUIS!$C$107)/MAX(CROQUIS!$C$130,1))+1)))-1,0),0,MOD($A252-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252-1)/5),MAX((MIN(80,MAX(1,INT(((CROQUIS!$C$98)-CROQUIS!$C$107)/MAX(CROQUIS!$C$130,1))+1)))-1,0))*CROQUIS!$C$130)))*CROQUIS!$C$155)+IF(CROQUIS!$C$92="X",0,0)),-1000)</f>
        <v>-1000</v>
      </c>
      <c r="BU252">
        <f>IF(AND(CROQUIS!$C$88=1,CROQUIS!$C$91=1,CROQUIS!$C$130&gt;0),((CROQUIS!$C$157+(IF(CROQUIS!$C$92="X",((CROQUIS!$C$107/2+(((CROQUIS!$C$98)-CROQUIS!$C$107)-(MIN(80,MAX(1,INT(((CROQUIS!$C$98)-CROQUIS!$C$107)/MAX(CROQUIS!$C$130,1))+1))-1)*CROQUIS!$C$130)/2)+MIN(INT(($A252-1)/5),MAX((MIN(80,MAX(1,INT(((CROQUIS!$C$98)-CROQUIS!$C$107)/MAX(CROQUIS!$C$130,1))+1)))-1,0))*CROQUIS!$C$130),CHOOSE(IF(INT(($A252-1)/5)&gt;MAX((MIN(80,MAX(1,INT(((CROQUIS!$C$98)-CROQUIS!$C$107)/MAX(CROQUIS!$C$130,1))+1)))-1,0),0,MOD($A252-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53">
      <c r="A253" t="n">
        <v>246</v>
      </c>
      <c r="BH253">
        <f>IF(AND(CROQUIS!$C$88=1,CROQUIS!$C$126&gt;0),((CROQUIS!$C$156+(IF(CROQUIS!$C$92="X",CHOOSE(IF(INT(($A253-1)/5)&gt;MAX((MIN(80,MAX(1,INT(((CROQUIS!$C$98)-CROQUIS!$C$107)/MAX(CROQUIS!$C$126,1))+1)))-1,0),0,MOD($A253-1,5))+1,0,2,CROQUIS!$C$97-2,2,0),((CROQUIS!$C$107/2+(((CROQUIS!$C$98)-CROQUIS!$C$107)-(MIN(80,MAX(1,INT(((CROQUIS!$C$98)-CROQUIS!$C$107)/MAX(CROQUIS!$C$126,1))+1))-1)*CROQUIS!$C$126)/2)+MIN(INT(($A253-1)/5),MAX((MIN(80,MAX(1,INT(((CROQUIS!$C$98)-CROQUIS!$C$107)/MAX(CROQUIS!$C$126,1))+1)))-1,0))*CROQUIS!$C$126)))*CROQUIS!$C$155)+IF(CROQUIS!$C$92="X",0,0)),-1000)</f>
        <v>-1000</v>
      </c>
      <c r="BI253">
        <f>IF(AND(CROQUIS!$C$88=1,CROQUIS!$C$126&gt;0),((CROQUIS!$C$157+(IF(CROQUIS!$C$92="X",((CROQUIS!$C$107/2+(((CROQUIS!$C$98)-CROQUIS!$C$107)-(MIN(80,MAX(1,INT(((CROQUIS!$C$98)-CROQUIS!$C$107)/MAX(CROQUIS!$C$126,1))+1))-1)*CROQUIS!$C$126)/2)+MIN(INT(($A253-1)/5),MAX((MIN(80,MAX(1,INT(((CROQUIS!$C$98)-CROQUIS!$C$107)/MAX(CROQUIS!$C$126,1))+1)))-1,0))*CROQUIS!$C$126),CHOOSE(IF(INT(($A253-1)/5)&gt;MAX((MIN(80,MAX(1,INT(((CROQUIS!$C$98)-CROQUIS!$C$107)/MAX(CROQUIS!$C$126,1))+1)))-1,0),0,MOD($A253-1,5))+1,0,2,CROQUIS!$C$97-2,2,0)))*CROQUIS!$C$155)+IF(CROQUIS!$C$92="X",0,0)),-1000)</f>
        <v>-1000</v>
      </c>
      <c r="BJ253">
        <f>IF(AND(CROQUIS!$C$88=1,CROQUIS!$C$134&gt;0),((CROQUIS!$C$156+(IF(CROQUIS!$C$92="X",((CROQUIS!$C$107/2+(((CROQUIS!$C$97)-CROQUIS!$C$107)-(MIN(80,MAX(1,INT(((CROQUIS!$C$97)-CROQUIS!$C$107)/MAX(CROQUIS!$C$134,1))+1))-1)*CROQUIS!$C$134)/2)+MIN(INT(($A253-1)/5),MAX((MIN(80,MAX(1,INT(((CROQUIS!$C$97)-CROQUIS!$C$107)/MAX(CROQUIS!$C$134,1))+1)))-1,0))*CROQUIS!$C$134),CHOOSE(IF(INT(($A253-1)/5)&gt;MAX((MIN(80,MAX(1,INT(((CROQUIS!$C$97)-CROQUIS!$C$107)/MAX(CROQUIS!$C$134,1))+1)))-1,0),0,MOD($A253-1,5))+1,0,2,CROQUIS!$C$98-2,2,0)))*CROQUIS!$C$155)+IF(CROQUIS!$C$92="X",0,0)),-1000)</f>
        <v>-1000</v>
      </c>
      <c r="BK253">
        <f>IF(AND(CROQUIS!$C$88=1,CROQUIS!$C$134&gt;0),((CROQUIS!$C$157+(IF(CROQUIS!$C$92="X",CHOOSE(IF(INT(($A253-1)/5)&gt;MAX((MIN(80,MAX(1,INT(((CROQUIS!$C$97)-CROQUIS!$C$107)/MAX(CROQUIS!$C$134,1))+1)))-1,0),0,MOD($A253-1,5))+1,0,2,CROQUIS!$C$98-2,2,0),((CROQUIS!$C$107/2+(((CROQUIS!$C$97)-CROQUIS!$C$107)-(MIN(80,MAX(1,INT(((CROQUIS!$C$97)-CROQUIS!$C$107)/MAX(CROQUIS!$C$134,1))+1))-1)*CROQUIS!$C$134)/2)+MIN(INT(($A253-1)/5),MAX((MIN(80,MAX(1,INT(((CROQUIS!$C$97)-CROQUIS!$C$107)/MAX(CROQUIS!$C$134,1))+1)))-1,0))*CROQUIS!$C$134)))*CROQUIS!$C$155)+IF(CROQUIS!$C$92="X",0,0)),-1000)</f>
        <v>-1000</v>
      </c>
      <c r="BL253">
        <f>IF(AND(CROQUIS!$C$88=1,CROQUIS!$C$91=0,CROQUIS!$C$130&gt;0,OR(CROQUIS!$C$103=1,CROQUIS!$C$142=1)),((CROQUIS!$C$156+(IF(CROQUIS!$C$92="X",CHOOSE(IF(INT(($A253-1)/5)&gt;MAX((MIN(80,MAX(1,INT(((CROQUIS!$C$98)-CROQUIS!$C$107)/MAX(CROQUIS!$C$130,1))+1)))-1,0),0,MOD($A253-1,5))+1,0,IF(CROQUIS!$C$103=1,-12,2),CROQUIS!$C$107/2+CROQUIS!$C$140,IF(CROQUIS!$C$103=1,-12,2),0),((CROQUIS!$C$107/2+(((CROQUIS!$C$98)-CROQUIS!$C$107)-(MIN(80,MAX(1,INT(((CROQUIS!$C$98)-CROQUIS!$C$107)/MAX(CROQUIS!$C$130,1))+1))-1)*CROQUIS!$C$130)/2)+MIN(INT(($A253-1)/5),MAX((MIN(80,MAX(1,INT(((CROQUIS!$C$98)-CROQUIS!$C$107)/MAX(CROQUIS!$C$130,1))+1)))-1,0))*CROQUIS!$C$130)))*CROQUIS!$C$155)+IF(CROQUIS!$C$92="X",0,0)),-1000)</f>
        <v>-1000</v>
      </c>
      <c r="BM25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253-1)/5),MAX((MIN(80,MAX(1,INT(((CROQUIS!$C$98)-CROQUIS!$C$107)/MAX(CROQUIS!$C$130,1))+1)))-1,0))*CROQUIS!$C$130),CHOOSE(IF(INT(($A253-1)/5)&gt;MAX((MIN(80,MAX(1,INT(((CROQUIS!$C$98)-CROQUIS!$C$107)/MAX(CROQUIS!$C$130,1))+1)))-1,0),0,MOD($A253-1,5))+1,0,IF(CROQUIS!$C$103=1,-12,2),CROQUIS!$C$107/2+CROQUIS!$C$140,IF(CROQUIS!$C$103=1,-12,2),0)))*CROQUIS!$C$155)+IF(CROQUIS!$C$92="X",0,0)),-1000)</f>
        <v>-1000</v>
      </c>
      <c r="BN253">
        <f>IF(AND(CROQUIS!$C$88=1,CROQUIS!$C$91=0,CROQUIS!$C$130&gt;0,OR(CROQUIS!$C$104=1,CROQUIS!$C$142=1)),((CROQUIS!$C$156+(IF(CROQUIS!$C$92="X",CHOOSE(IF(INT(($A253-1)/5)&gt;MAX((MIN(80,MAX(1,INT(((CROQUIS!$C$98)-CROQUIS!$C$107)/MAX(CROQUIS!$C$130,1))+1)))-1,0),0,MOD($A253-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253-1)/5),MAX((MIN(80,MAX(1,INT(((CROQUIS!$C$98)-CROQUIS!$C$107)/MAX(CROQUIS!$C$130,1))+1)))-1,0))*CROQUIS!$C$130)))*CROQUIS!$C$155)+IF(CROQUIS!$C$92="X",0,0)),-1000)</f>
        <v>-1000</v>
      </c>
      <c r="BO25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253-1)/5),MAX((MIN(80,MAX(1,INT(((CROQUIS!$C$98)-CROQUIS!$C$107)/MAX(CROQUIS!$C$130,1))+1)))-1,0))*CROQUIS!$C$130),CHOOSE(IF(INT(($A253-1)/5)&gt;MAX((MIN(80,MAX(1,INT(((CROQUIS!$C$98)-CROQUIS!$C$107)/MAX(CROQUIS!$C$130,1))+1)))-1,0),0,MOD($A253-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5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253-1)/5),MAX((MIN(80,MAX(1,INT(((CROQUIS!$C$97)-CROQUIS!$C$107)/MAX(CROQUIS!$C$138,1))+1)))-1,0))*CROQUIS!$C$138),CHOOSE(IF(INT(($A253-1)/5)&gt;MAX((MIN(80,MAX(1,INT(((CROQUIS!$C$97)-CROQUIS!$C$107)/MAX(CROQUIS!$C$138,1))+1)))-1,0),0,MOD($A253-1,5))+1,0,IF(CROQUIS!$C$105=1,-12,2),CROQUIS!$C$107/2+CROQUIS!$C$141,IF(CROQUIS!$C$105=1,-12,2),0)))*CROQUIS!$C$155)+IF(CROQUIS!$C$92="X",0,0)),-1000)</f>
        <v>-1000</v>
      </c>
      <c r="BQ253">
        <f>IF(AND(CROQUIS!$C$88=1,CROQUIS!$C$91=0,CROQUIS!$C$138&gt;0,OR(CROQUIS!$C$105=1,CROQUIS!$C$143=1)),((CROQUIS!$C$157+(IF(CROQUIS!$C$92="X",CHOOSE(IF(INT(($A253-1)/5)&gt;MAX((MIN(80,MAX(1,INT(((CROQUIS!$C$97)-CROQUIS!$C$107)/MAX(CROQUIS!$C$138,1))+1)))-1,0),0,MOD($A253-1,5))+1,0,IF(CROQUIS!$C$105=1,-12,2),CROQUIS!$C$107/2+CROQUIS!$C$141,IF(CROQUIS!$C$105=1,-12,2),0),((CROQUIS!$C$107/2+(((CROQUIS!$C$97)-CROQUIS!$C$107)-(MIN(80,MAX(1,INT(((CROQUIS!$C$97)-CROQUIS!$C$107)/MAX(CROQUIS!$C$138,1))+1))-1)*CROQUIS!$C$138)/2)+MIN(INT(($A253-1)/5),MAX((MIN(80,MAX(1,INT(((CROQUIS!$C$97)-CROQUIS!$C$107)/MAX(CROQUIS!$C$138,1))+1)))-1,0))*CROQUIS!$C$138)))*CROQUIS!$C$155)+IF(CROQUIS!$C$92="X",0,0)),-1000)</f>
        <v>-1000</v>
      </c>
      <c r="BR25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253-1)/5),MAX((MIN(80,MAX(1,INT(((CROQUIS!$C$97)-CROQUIS!$C$107)/MAX(CROQUIS!$C$138,1))+1)))-1,0))*CROQUIS!$C$138),CHOOSE(IF(INT(($A253-1)/5)&gt;MAX((MIN(80,MAX(1,INT(((CROQUIS!$C$97)-CROQUIS!$C$107)/MAX(CROQUIS!$C$138,1))+1)))-1,0),0,MOD($A253-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53">
        <f>IF(AND(CROQUIS!$C$88=1,CROQUIS!$C$91=0,CROQUIS!$C$138&gt;0,OR(CROQUIS!$C$106=1,CROQUIS!$C$143=1)),((CROQUIS!$C$157+(IF(CROQUIS!$C$92="X",CHOOSE(IF(INT(($A253-1)/5)&gt;MAX((MIN(80,MAX(1,INT(((CROQUIS!$C$97)-CROQUIS!$C$107)/MAX(CROQUIS!$C$138,1))+1)))-1,0),0,MOD($A253-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253-1)/5),MAX((MIN(80,MAX(1,INT(((CROQUIS!$C$97)-CROQUIS!$C$107)/MAX(CROQUIS!$C$138,1))+1)))-1,0))*CROQUIS!$C$138)))*CROQUIS!$C$155)+IF(CROQUIS!$C$92="X",0,0)),-1000)</f>
        <v>-1000</v>
      </c>
      <c r="BT253">
        <f>IF(AND(CROQUIS!$C$88=1,CROQUIS!$C$91=1,CROQUIS!$C$130&gt;0),((CROQUIS!$C$156+(IF(CROQUIS!$C$92="X",CHOOSE(IF(INT(($A253-1)/5)&gt;MAX((MIN(80,MAX(1,INT(((CROQUIS!$C$98)-CROQUIS!$C$107)/MAX(CROQUIS!$C$130,1))+1)))-1,0),0,MOD($A253-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253-1)/5),MAX((MIN(80,MAX(1,INT(((CROQUIS!$C$98)-CROQUIS!$C$107)/MAX(CROQUIS!$C$130,1))+1)))-1,0))*CROQUIS!$C$130)))*CROQUIS!$C$155)+IF(CROQUIS!$C$92="X",0,0)),-1000)</f>
        <v>-1000</v>
      </c>
      <c r="BU253">
        <f>IF(AND(CROQUIS!$C$88=1,CROQUIS!$C$91=1,CROQUIS!$C$130&gt;0),((CROQUIS!$C$157+(IF(CROQUIS!$C$92="X",((CROQUIS!$C$107/2+(((CROQUIS!$C$98)-CROQUIS!$C$107)-(MIN(80,MAX(1,INT(((CROQUIS!$C$98)-CROQUIS!$C$107)/MAX(CROQUIS!$C$130,1))+1))-1)*CROQUIS!$C$130)/2)+MIN(INT(($A253-1)/5),MAX((MIN(80,MAX(1,INT(((CROQUIS!$C$98)-CROQUIS!$C$107)/MAX(CROQUIS!$C$130,1))+1)))-1,0))*CROQUIS!$C$130),CHOOSE(IF(INT(($A253-1)/5)&gt;MAX((MIN(80,MAX(1,INT(((CROQUIS!$C$98)-CROQUIS!$C$107)/MAX(CROQUIS!$C$130,1))+1)))-1,0),0,MOD($A253-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54">
      <c r="A254" t="n">
        <v>247</v>
      </c>
      <c r="BH254">
        <f>IF(AND(CROQUIS!$C$88=1,CROQUIS!$C$126&gt;0),((CROQUIS!$C$156+(IF(CROQUIS!$C$92="X",CHOOSE(IF(INT(($A254-1)/5)&gt;MAX((MIN(80,MAX(1,INT(((CROQUIS!$C$98)-CROQUIS!$C$107)/MAX(CROQUIS!$C$126,1))+1)))-1,0),0,MOD($A254-1,5))+1,0,2,CROQUIS!$C$97-2,2,0),((CROQUIS!$C$107/2+(((CROQUIS!$C$98)-CROQUIS!$C$107)-(MIN(80,MAX(1,INT(((CROQUIS!$C$98)-CROQUIS!$C$107)/MAX(CROQUIS!$C$126,1))+1))-1)*CROQUIS!$C$126)/2)+MIN(INT(($A254-1)/5),MAX((MIN(80,MAX(1,INT(((CROQUIS!$C$98)-CROQUIS!$C$107)/MAX(CROQUIS!$C$126,1))+1)))-1,0))*CROQUIS!$C$126)))*CROQUIS!$C$155)+IF(CROQUIS!$C$92="X",0,0)),-1000)</f>
        <v>-1000</v>
      </c>
      <c r="BI254">
        <f>IF(AND(CROQUIS!$C$88=1,CROQUIS!$C$126&gt;0),((CROQUIS!$C$157+(IF(CROQUIS!$C$92="X",((CROQUIS!$C$107/2+(((CROQUIS!$C$98)-CROQUIS!$C$107)-(MIN(80,MAX(1,INT(((CROQUIS!$C$98)-CROQUIS!$C$107)/MAX(CROQUIS!$C$126,1))+1))-1)*CROQUIS!$C$126)/2)+MIN(INT(($A254-1)/5),MAX((MIN(80,MAX(1,INT(((CROQUIS!$C$98)-CROQUIS!$C$107)/MAX(CROQUIS!$C$126,1))+1)))-1,0))*CROQUIS!$C$126),CHOOSE(IF(INT(($A254-1)/5)&gt;MAX((MIN(80,MAX(1,INT(((CROQUIS!$C$98)-CROQUIS!$C$107)/MAX(CROQUIS!$C$126,1))+1)))-1,0),0,MOD($A254-1,5))+1,0,2,CROQUIS!$C$97-2,2,0)))*CROQUIS!$C$155)+IF(CROQUIS!$C$92="X",0,0)),-1000)</f>
        <v>-1000</v>
      </c>
      <c r="BJ254">
        <f>IF(AND(CROQUIS!$C$88=1,CROQUIS!$C$134&gt;0),((CROQUIS!$C$156+(IF(CROQUIS!$C$92="X",((CROQUIS!$C$107/2+(((CROQUIS!$C$97)-CROQUIS!$C$107)-(MIN(80,MAX(1,INT(((CROQUIS!$C$97)-CROQUIS!$C$107)/MAX(CROQUIS!$C$134,1))+1))-1)*CROQUIS!$C$134)/2)+MIN(INT(($A254-1)/5),MAX((MIN(80,MAX(1,INT(((CROQUIS!$C$97)-CROQUIS!$C$107)/MAX(CROQUIS!$C$134,1))+1)))-1,0))*CROQUIS!$C$134),CHOOSE(IF(INT(($A254-1)/5)&gt;MAX((MIN(80,MAX(1,INT(((CROQUIS!$C$97)-CROQUIS!$C$107)/MAX(CROQUIS!$C$134,1))+1)))-1,0),0,MOD($A254-1,5))+1,0,2,CROQUIS!$C$98-2,2,0)))*CROQUIS!$C$155)+IF(CROQUIS!$C$92="X",0,0)),-1000)</f>
        <v>-1000</v>
      </c>
      <c r="BK254">
        <f>IF(AND(CROQUIS!$C$88=1,CROQUIS!$C$134&gt;0),((CROQUIS!$C$157+(IF(CROQUIS!$C$92="X",CHOOSE(IF(INT(($A254-1)/5)&gt;MAX((MIN(80,MAX(1,INT(((CROQUIS!$C$97)-CROQUIS!$C$107)/MAX(CROQUIS!$C$134,1))+1)))-1,0),0,MOD($A254-1,5))+1,0,2,CROQUIS!$C$98-2,2,0),((CROQUIS!$C$107/2+(((CROQUIS!$C$97)-CROQUIS!$C$107)-(MIN(80,MAX(1,INT(((CROQUIS!$C$97)-CROQUIS!$C$107)/MAX(CROQUIS!$C$134,1))+1))-1)*CROQUIS!$C$134)/2)+MIN(INT(($A254-1)/5),MAX((MIN(80,MAX(1,INT(((CROQUIS!$C$97)-CROQUIS!$C$107)/MAX(CROQUIS!$C$134,1))+1)))-1,0))*CROQUIS!$C$134)))*CROQUIS!$C$155)+IF(CROQUIS!$C$92="X",0,0)),-1000)</f>
        <v>-1000</v>
      </c>
      <c r="BL254">
        <f>IF(AND(CROQUIS!$C$88=1,CROQUIS!$C$91=0,CROQUIS!$C$130&gt;0,OR(CROQUIS!$C$103=1,CROQUIS!$C$142=1)),((CROQUIS!$C$156+(IF(CROQUIS!$C$92="X",CHOOSE(IF(INT(($A254-1)/5)&gt;MAX((MIN(80,MAX(1,INT(((CROQUIS!$C$98)-CROQUIS!$C$107)/MAX(CROQUIS!$C$130,1))+1)))-1,0),0,MOD($A254-1,5))+1,0,IF(CROQUIS!$C$103=1,-12,2),CROQUIS!$C$107/2+CROQUIS!$C$140,IF(CROQUIS!$C$103=1,-12,2),0),((CROQUIS!$C$107/2+(((CROQUIS!$C$98)-CROQUIS!$C$107)-(MIN(80,MAX(1,INT(((CROQUIS!$C$98)-CROQUIS!$C$107)/MAX(CROQUIS!$C$130,1))+1))-1)*CROQUIS!$C$130)/2)+MIN(INT(($A254-1)/5),MAX((MIN(80,MAX(1,INT(((CROQUIS!$C$98)-CROQUIS!$C$107)/MAX(CROQUIS!$C$130,1))+1)))-1,0))*CROQUIS!$C$130)))*CROQUIS!$C$155)+IF(CROQUIS!$C$92="X",0,0)),-1000)</f>
        <v>-1000</v>
      </c>
      <c r="BM25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254-1)/5),MAX((MIN(80,MAX(1,INT(((CROQUIS!$C$98)-CROQUIS!$C$107)/MAX(CROQUIS!$C$130,1))+1)))-1,0))*CROQUIS!$C$130),CHOOSE(IF(INT(($A254-1)/5)&gt;MAX((MIN(80,MAX(1,INT(((CROQUIS!$C$98)-CROQUIS!$C$107)/MAX(CROQUIS!$C$130,1))+1)))-1,0),0,MOD($A254-1,5))+1,0,IF(CROQUIS!$C$103=1,-12,2),CROQUIS!$C$107/2+CROQUIS!$C$140,IF(CROQUIS!$C$103=1,-12,2),0)))*CROQUIS!$C$155)+IF(CROQUIS!$C$92="X",0,0)),-1000)</f>
        <v>-1000</v>
      </c>
      <c r="BN254">
        <f>IF(AND(CROQUIS!$C$88=1,CROQUIS!$C$91=0,CROQUIS!$C$130&gt;0,OR(CROQUIS!$C$104=1,CROQUIS!$C$142=1)),((CROQUIS!$C$156+(IF(CROQUIS!$C$92="X",CHOOSE(IF(INT(($A254-1)/5)&gt;MAX((MIN(80,MAX(1,INT(((CROQUIS!$C$98)-CROQUIS!$C$107)/MAX(CROQUIS!$C$130,1))+1)))-1,0),0,MOD($A254-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254-1)/5),MAX((MIN(80,MAX(1,INT(((CROQUIS!$C$98)-CROQUIS!$C$107)/MAX(CROQUIS!$C$130,1))+1)))-1,0))*CROQUIS!$C$130)))*CROQUIS!$C$155)+IF(CROQUIS!$C$92="X",0,0)),-1000)</f>
        <v>-1000</v>
      </c>
      <c r="BO25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254-1)/5),MAX((MIN(80,MAX(1,INT(((CROQUIS!$C$98)-CROQUIS!$C$107)/MAX(CROQUIS!$C$130,1))+1)))-1,0))*CROQUIS!$C$130),CHOOSE(IF(INT(($A254-1)/5)&gt;MAX((MIN(80,MAX(1,INT(((CROQUIS!$C$98)-CROQUIS!$C$107)/MAX(CROQUIS!$C$130,1))+1)))-1,0),0,MOD($A254-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5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254-1)/5),MAX((MIN(80,MAX(1,INT(((CROQUIS!$C$97)-CROQUIS!$C$107)/MAX(CROQUIS!$C$138,1))+1)))-1,0))*CROQUIS!$C$138),CHOOSE(IF(INT(($A254-1)/5)&gt;MAX((MIN(80,MAX(1,INT(((CROQUIS!$C$97)-CROQUIS!$C$107)/MAX(CROQUIS!$C$138,1))+1)))-1,0),0,MOD($A254-1,5))+1,0,IF(CROQUIS!$C$105=1,-12,2),CROQUIS!$C$107/2+CROQUIS!$C$141,IF(CROQUIS!$C$105=1,-12,2),0)))*CROQUIS!$C$155)+IF(CROQUIS!$C$92="X",0,0)),-1000)</f>
        <v>-1000</v>
      </c>
      <c r="BQ254">
        <f>IF(AND(CROQUIS!$C$88=1,CROQUIS!$C$91=0,CROQUIS!$C$138&gt;0,OR(CROQUIS!$C$105=1,CROQUIS!$C$143=1)),((CROQUIS!$C$157+(IF(CROQUIS!$C$92="X",CHOOSE(IF(INT(($A254-1)/5)&gt;MAX((MIN(80,MAX(1,INT(((CROQUIS!$C$97)-CROQUIS!$C$107)/MAX(CROQUIS!$C$138,1))+1)))-1,0),0,MOD($A254-1,5))+1,0,IF(CROQUIS!$C$105=1,-12,2),CROQUIS!$C$107/2+CROQUIS!$C$141,IF(CROQUIS!$C$105=1,-12,2),0),((CROQUIS!$C$107/2+(((CROQUIS!$C$97)-CROQUIS!$C$107)-(MIN(80,MAX(1,INT(((CROQUIS!$C$97)-CROQUIS!$C$107)/MAX(CROQUIS!$C$138,1))+1))-1)*CROQUIS!$C$138)/2)+MIN(INT(($A254-1)/5),MAX((MIN(80,MAX(1,INT(((CROQUIS!$C$97)-CROQUIS!$C$107)/MAX(CROQUIS!$C$138,1))+1)))-1,0))*CROQUIS!$C$138)))*CROQUIS!$C$155)+IF(CROQUIS!$C$92="X",0,0)),-1000)</f>
        <v>-1000</v>
      </c>
      <c r="BR25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254-1)/5),MAX((MIN(80,MAX(1,INT(((CROQUIS!$C$97)-CROQUIS!$C$107)/MAX(CROQUIS!$C$138,1))+1)))-1,0))*CROQUIS!$C$138),CHOOSE(IF(INT(($A254-1)/5)&gt;MAX((MIN(80,MAX(1,INT(((CROQUIS!$C$97)-CROQUIS!$C$107)/MAX(CROQUIS!$C$138,1))+1)))-1,0),0,MOD($A254-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54">
        <f>IF(AND(CROQUIS!$C$88=1,CROQUIS!$C$91=0,CROQUIS!$C$138&gt;0,OR(CROQUIS!$C$106=1,CROQUIS!$C$143=1)),((CROQUIS!$C$157+(IF(CROQUIS!$C$92="X",CHOOSE(IF(INT(($A254-1)/5)&gt;MAX((MIN(80,MAX(1,INT(((CROQUIS!$C$97)-CROQUIS!$C$107)/MAX(CROQUIS!$C$138,1))+1)))-1,0),0,MOD($A254-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254-1)/5),MAX((MIN(80,MAX(1,INT(((CROQUIS!$C$97)-CROQUIS!$C$107)/MAX(CROQUIS!$C$138,1))+1)))-1,0))*CROQUIS!$C$138)))*CROQUIS!$C$155)+IF(CROQUIS!$C$92="X",0,0)),-1000)</f>
        <v>-1000</v>
      </c>
      <c r="BT254">
        <f>IF(AND(CROQUIS!$C$88=1,CROQUIS!$C$91=1,CROQUIS!$C$130&gt;0),((CROQUIS!$C$156+(IF(CROQUIS!$C$92="X",CHOOSE(IF(INT(($A254-1)/5)&gt;MAX((MIN(80,MAX(1,INT(((CROQUIS!$C$98)-CROQUIS!$C$107)/MAX(CROQUIS!$C$130,1))+1)))-1,0),0,MOD($A254-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254-1)/5),MAX((MIN(80,MAX(1,INT(((CROQUIS!$C$98)-CROQUIS!$C$107)/MAX(CROQUIS!$C$130,1))+1)))-1,0))*CROQUIS!$C$130)))*CROQUIS!$C$155)+IF(CROQUIS!$C$92="X",0,0)),-1000)</f>
        <v>-1000</v>
      </c>
      <c r="BU254">
        <f>IF(AND(CROQUIS!$C$88=1,CROQUIS!$C$91=1,CROQUIS!$C$130&gt;0),((CROQUIS!$C$157+(IF(CROQUIS!$C$92="X",((CROQUIS!$C$107/2+(((CROQUIS!$C$98)-CROQUIS!$C$107)-(MIN(80,MAX(1,INT(((CROQUIS!$C$98)-CROQUIS!$C$107)/MAX(CROQUIS!$C$130,1))+1))-1)*CROQUIS!$C$130)/2)+MIN(INT(($A254-1)/5),MAX((MIN(80,MAX(1,INT(((CROQUIS!$C$98)-CROQUIS!$C$107)/MAX(CROQUIS!$C$130,1))+1)))-1,0))*CROQUIS!$C$130),CHOOSE(IF(INT(($A254-1)/5)&gt;MAX((MIN(80,MAX(1,INT(((CROQUIS!$C$98)-CROQUIS!$C$107)/MAX(CROQUIS!$C$130,1))+1)))-1,0),0,MOD($A254-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55">
      <c r="A255" t="n">
        <v>248</v>
      </c>
      <c r="BH255">
        <f>IF(AND(CROQUIS!$C$88=1,CROQUIS!$C$126&gt;0),((CROQUIS!$C$156+(IF(CROQUIS!$C$92="X",CHOOSE(IF(INT(($A255-1)/5)&gt;MAX((MIN(80,MAX(1,INT(((CROQUIS!$C$98)-CROQUIS!$C$107)/MAX(CROQUIS!$C$126,1))+1)))-1,0),0,MOD($A255-1,5))+1,0,2,CROQUIS!$C$97-2,2,0),((CROQUIS!$C$107/2+(((CROQUIS!$C$98)-CROQUIS!$C$107)-(MIN(80,MAX(1,INT(((CROQUIS!$C$98)-CROQUIS!$C$107)/MAX(CROQUIS!$C$126,1))+1))-1)*CROQUIS!$C$126)/2)+MIN(INT(($A255-1)/5),MAX((MIN(80,MAX(1,INT(((CROQUIS!$C$98)-CROQUIS!$C$107)/MAX(CROQUIS!$C$126,1))+1)))-1,0))*CROQUIS!$C$126)))*CROQUIS!$C$155)+IF(CROQUIS!$C$92="X",0,0)),-1000)</f>
        <v>-1000</v>
      </c>
      <c r="BI255">
        <f>IF(AND(CROQUIS!$C$88=1,CROQUIS!$C$126&gt;0),((CROQUIS!$C$157+(IF(CROQUIS!$C$92="X",((CROQUIS!$C$107/2+(((CROQUIS!$C$98)-CROQUIS!$C$107)-(MIN(80,MAX(1,INT(((CROQUIS!$C$98)-CROQUIS!$C$107)/MAX(CROQUIS!$C$126,1))+1))-1)*CROQUIS!$C$126)/2)+MIN(INT(($A255-1)/5),MAX((MIN(80,MAX(1,INT(((CROQUIS!$C$98)-CROQUIS!$C$107)/MAX(CROQUIS!$C$126,1))+1)))-1,0))*CROQUIS!$C$126),CHOOSE(IF(INT(($A255-1)/5)&gt;MAX((MIN(80,MAX(1,INT(((CROQUIS!$C$98)-CROQUIS!$C$107)/MAX(CROQUIS!$C$126,1))+1)))-1,0),0,MOD($A255-1,5))+1,0,2,CROQUIS!$C$97-2,2,0)))*CROQUIS!$C$155)+IF(CROQUIS!$C$92="X",0,0)),-1000)</f>
        <v>-1000</v>
      </c>
      <c r="BJ255">
        <f>IF(AND(CROQUIS!$C$88=1,CROQUIS!$C$134&gt;0),((CROQUIS!$C$156+(IF(CROQUIS!$C$92="X",((CROQUIS!$C$107/2+(((CROQUIS!$C$97)-CROQUIS!$C$107)-(MIN(80,MAX(1,INT(((CROQUIS!$C$97)-CROQUIS!$C$107)/MAX(CROQUIS!$C$134,1))+1))-1)*CROQUIS!$C$134)/2)+MIN(INT(($A255-1)/5),MAX((MIN(80,MAX(1,INT(((CROQUIS!$C$97)-CROQUIS!$C$107)/MAX(CROQUIS!$C$134,1))+1)))-1,0))*CROQUIS!$C$134),CHOOSE(IF(INT(($A255-1)/5)&gt;MAX((MIN(80,MAX(1,INT(((CROQUIS!$C$97)-CROQUIS!$C$107)/MAX(CROQUIS!$C$134,1))+1)))-1,0),0,MOD($A255-1,5))+1,0,2,CROQUIS!$C$98-2,2,0)))*CROQUIS!$C$155)+IF(CROQUIS!$C$92="X",0,0)),-1000)</f>
        <v>-1000</v>
      </c>
      <c r="BK255">
        <f>IF(AND(CROQUIS!$C$88=1,CROQUIS!$C$134&gt;0),((CROQUIS!$C$157+(IF(CROQUIS!$C$92="X",CHOOSE(IF(INT(($A255-1)/5)&gt;MAX((MIN(80,MAX(1,INT(((CROQUIS!$C$97)-CROQUIS!$C$107)/MAX(CROQUIS!$C$134,1))+1)))-1,0),0,MOD($A255-1,5))+1,0,2,CROQUIS!$C$98-2,2,0),((CROQUIS!$C$107/2+(((CROQUIS!$C$97)-CROQUIS!$C$107)-(MIN(80,MAX(1,INT(((CROQUIS!$C$97)-CROQUIS!$C$107)/MAX(CROQUIS!$C$134,1))+1))-1)*CROQUIS!$C$134)/2)+MIN(INT(($A255-1)/5),MAX((MIN(80,MAX(1,INT(((CROQUIS!$C$97)-CROQUIS!$C$107)/MAX(CROQUIS!$C$134,1))+1)))-1,0))*CROQUIS!$C$134)))*CROQUIS!$C$155)+IF(CROQUIS!$C$92="X",0,0)),-1000)</f>
        <v>-1000</v>
      </c>
      <c r="BL255">
        <f>IF(AND(CROQUIS!$C$88=1,CROQUIS!$C$91=0,CROQUIS!$C$130&gt;0,OR(CROQUIS!$C$103=1,CROQUIS!$C$142=1)),((CROQUIS!$C$156+(IF(CROQUIS!$C$92="X",CHOOSE(IF(INT(($A255-1)/5)&gt;MAX((MIN(80,MAX(1,INT(((CROQUIS!$C$98)-CROQUIS!$C$107)/MAX(CROQUIS!$C$130,1))+1)))-1,0),0,MOD($A255-1,5))+1,0,IF(CROQUIS!$C$103=1,-12,2),CROQUIS!$C$107/2+CROQUIS!$C$140,IF(CROQUIS!$C$103=1,-12,2),0),((CROQUIS!$C$107/2+(((CROQUIS!$C$98)-CROQUIS!$C$107)-(MIN(80,MAX(1,INT(((CROQUIS!$C$98)-CROQUIS!$C$107)/MAX(CROQUIS!$C$130,1))+1))-1)*CROQUIS!$C$130)/2)+MIN(INT(($A255-1)/5),MAX((MIN(80,MAX(1,INT(((CROQUIS!$C$98)-CROQUIS!$C$107)/MAX(CROQUIS!$C$130,1))+1)))-1,0))*CROQUIS!$C$130)))*CROQUIS!$C$155)+IF(CROQUIS!$C$92="X",0,0)),-1000)</f>
        <v>-1000</v>
      </c>
      <c r="BM25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255-1)/5),MAX((MIN(80,MAX(1,INT(((CROQUIS!$C$98)-CROQUIS!$C$107)/MAX(CROQUIS!$C$130,1))+1)))-1,0))*CROQUIS!$C$130),CHOOSE(IF(INT(($A255-1)/5)&gt;MAX((MIN(80,MAX(1,INT(((CROQUIS!$C$98)-CROQUIS!$C$107)/MAX(CROQUIS!$C$130,1))+1)))-1,0),0,MOD($A255-1,5))+1,0,IF(CROQUIS!$C$103=1,-12,2),CROQUIS!$C$107/2+CROQUIS!$C$140,IF(CROQUIS!$C$103=1,-12,2),0)))*CROQUIS!$C$155)+IF(CROQUIS!$C$92="X",0,0)),-1000)</f>
        <v>-1000</v>
      </c>
      <c r="BN255">
        <f>IF(AND(CROQUIS!$C$88=1,CROQUIS!$C$91=0,CROQUIS!$C$130&gt;0,OR(CROQUIS!$C$104=1,CROQUIS!$C$142=1)),((CROQUIS!$C$156+(IF(CROQUIS!$C$92="X",CHOOSE(IF(INT(($A255-1)/5)&gt;MAX((MIN(80,MAX(1,INT(((CROQUIS!$C$98)-CROQUIS!$C$107)/MAX(CROQUIS!$C$130,1))+1)))-1,0),0,MOD($A255-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255-1)/5),MAX((MIN(80,MAX(1,INT(((CROQUIS!$C$98)-CROQUIS!$C$107)/MAX(CROQUIS!$C$130,1))+1)))-1,0))*CROQUIS!$C$130)))*CROQUIS!$C$155)+IF(CROQUIS!$C$92="X",0,0)),-1000)</f>
        <v>-1000</v>
      </c>
      <c r="BO25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255-1)/5),MAX((MIN(80,MAX(1,INT(((CROQUIS!$C$98)-CROQUIS!$C$107)/MAX(CROQUIS!$C$130,1))+1)))-1,0))*CROQUIS!$C$130),CHOOSE(IF(INT(($A255-1)/5)&gt;MAX((MIN(80,MAX(1,INT(((CROQUIS!$C$98)-CROQUIS!$C$107)/MAX(CROQUIS!$C$130,1))+1)))-1,0),0,MOD($A255-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5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255-1)/5),MAX((MIN(80,MAX(1,INT(((CROQUIS!$C$97)-CROQUIS!$C$107)/MAX(CROQUIS!$C$138,1))+1)))-1,0))*CROQUIS!$C$138),CHOOSE(IF(INT(($A255-1)/5)&gt;MAX((MIN(80,MAX(1,INT(((CROQUIS!$C$97)-CROQUIS!$C$107)/MAX(CROQUIS!$C$138,1))+1)))-1,0),0,MOD($A255-1,5))+1,0,IF(CROQUIS!$C$105=1,-12,2),CROQUIS!$C$107/2+CROQUIS!$C$141,IF(CROQUIS!$C$105=1,-12,2),0)))*CROQUIS!$C$155)+IF(CROQUIS!$C$92="X",0,0)),-1000)</f>
        <v>-1000</v>
      </c>
      <c r="BQ255">
        <f>IF(AND(CROQUIS!$C$88=1,CROQUIS!$C$91=0,CROQUIS!$C$138&gt;0,OR(CROQUIS!$C$105=1,CROQUIS!$C$143=1)),((CROQUIS!$C$157+(IF(CROQUIS!$C$92="X",CHOOSE(IF(INT(($A255-1)/5)&gt;MAX((MIN(80,MAX(1,INT(((CROQUIS!$C$97)-CROQUIS!$C$107)/MAX(CROQUIS!$C$138,1))+1)))-1,0),0,MOD($A255-1,5))+1,0,IF(CROQUIS!$C$105=1,-12,2),CROQUIS!$C$107/2+CROQUIS!$C$141,IF(CROQUIS!$C$105=1,-12,2),0),((CROQUIS!$C$107/2+(((CROQUIS!$C$97)-CROQUIS!$C$107)-(MIN(80,MAX(1,INT(((CROQUIS!$C$97)-CROQUIS!$C$107)/MAX(CROQUIS!$C$138,1))+1))-1)*CROQUIS!$C$138)/2)+MIN(INT(($A255-1)/5),MAX((MIN(80,MAX(1,INT(((CROQUIS!$C$97)-CROQUIS!$C$107)/MAX(CROQUIS!$C$138,1))+1)))-1,0))*CROQUIS!$C$138)))*CROQUIS!$C$155)+IF(CROQUIS!$C$92="X",0,0)),-1000)</f>
        <v>-1000</v>
      </c>
      <c r="BR25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255-1)/5),MAX((MIN(80,MAX(1,INT(((CROQUIS!$C$97)-CROQUIS!$C$107)/MAX(CROQUIS!$C$138,1))+1)))-1,0))*CROQUIS!$C$138),CHOOSE(IF(INT(($A255-1)/5)&gt;MAX((MIN(80,MAX(1,INT(((CROQUIS!$C$97)-CROQUIS!$C$107)/MAX(CROQUIS!$C$138,1))+1)))-1,0),0,MOD($A255-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55">
        <f>IF(AND(CROQUIS!$C$88=1,CROQUIS!$C$91=0,CROQUIS!$C$138&gt;0,OR(CROQUIS!$C$106=1,CROQUIS!$C$143=1)),((CROQUIS!$C$157+(IF(CROQUIS!$C$92="X",CHOOSE(IF(INT(($A255-1)/5)&gt;MAX((MIN(80,MAX(1,INT(((CROQUIS!$C$97)-CROQUIS!$C$107)/MAX(CROQUIS!$C$138,1))+1)))-1,0),0,MOD($A255-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255-1)/5),MAX((MIN(80,MAX(1,INT(((CROQUIS!$C$97)-CROQUIS!$C$107)/MAX(CROQUIS!$C$138,1))+1)))-1,0))*CROQUIS!$C$138)))*CROQUIS!$C$155)+IF(CROQUIS!$C$92="X",0,0)),-1000)</f>
        <v>-1000</v>
      </c>
      <c r="BT255">
        <f>IF(AND(CROQUIS!$C$88=1,CROQUIS!$C$91=1,CROQUIS!$C$130&gt;0),((CROQUIS!$C$156+(IF(CROQUIS!$C$92="X",CHOOSE(IF(INT(($A255-1)/5)&gt;MAX((MIN(80,MAX(1,INT(((CROQUIS!$C$98)-CROQUIS!$C$107)/MAX(CROQUIS!$C$130,1))+1)))-1,0),0,MOD($A255-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255-1)/5),MAX((MIN(80,MAX(1,INT(((CROQUIS!$C$98)-CROQUIS!$C$107)/MAX(CROQUIS!$C$130,1))+1)))-1,0))*CROQUIS!$C$130)))*CROQUIS!$C$155)+IF(CROQUIS!$C$92="X",0,0)),-1000)</f>
        <v>-1000</v>
      </c>
      <c r="BU255">
        <f>IF(AND(CROQUIS!$C$88=1,CROQUIS!$C$91=1,CROQUIS!$C$130&gt;0),((CROQUIS!$C$157+(IF(CROQUIS!$C$92="X",((CROQUIS!$C$107/2+(((CROQUIS!$C$98)-CROQUIS!$C$107)-(MIN(80,MAX(1,INT(((CROQUIS!$C$98)-CROQUIS!$C$107)/MAX(CROQUIS!$C$130,1))+1))-1)*CROQUIS!$C$130)/2)+MIN(INT(($A255-1)/5),MAX((MIN(80,MAX(1,INT(((CROQUIS!$C$98)-CROQUIS!$C$107)/MAX(CROQUIS!$C$130,1))+1)))-1,0))*CROQUIS!$C$130),CHOOSE(IF(INT(($A255-1)/5)&gt;MAX((MIN(80,MAX(1,INT(((CROQUIS!$C$98)-CROQUIS!$C$107)/MAX(CROQUIS!$C$130,1))+1)))-1,0),0,MOD($A255-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56">
      <c r="A256" t="n">
        <v>249</v>
      </c>
      <c r="BH256">
        <f>IF(AND(CROQUIS!$C$88=1,CROQUIS!$C$126&gt;0),((CROQUIS!$C$156+(IF(CROQUIS!$C$92="X",CHOOSE(IF(INT(($A256-1)/5)&gt;MAX((MIN(80,MAX(1,INT(((CROQUIS!$C$98)-CROQUIS!$C$107)/MAX(CROQUIS!$C$126,1))+1)))-1,0),0,MOD($A256-1,5))+1,0,2,CROQUIS!$C$97-2,2,0),((CROQUIS!$C$107/2+(((CROQUIS!$C$98)-CROQUIS!$C$107)-(MIN(80,MAX(1,INT(((CROQUIS!$C$98)-CROQUIS!$C$107)/MAX(CROQUIS!$C$126,1))+1))-1)*CROQUIS!$C$126)/2)+MIN(INT(($A256-1)/5),MAX((MIN(80,MAX(1,INT(((CROQUIS!$C$98)-CROQUIS!$C$107)/MAX(CROQUIS!$C$126,1))+1)))-1,0))*CROQUIS!$C$126)))*CROQUIS!$C$155)+IF(CROQUIS!$C$92="X",0,0)),-1000)</f>
        <v>-1000</v>
      </c>
      <c r="BI256">
        <f>IF(AND(CROQUIS!$C$88=1,CROQUIS!$C$126&gt;0),((CROQUIS!$C$157+(IF(CROQUIS!$C$92="X",((CROQUIS!$C$107/2+(((CROQUIS!$C$98)-CROQUIS!$C$107)-(MIN(80,MAX(1,INT(((CROQUIS!$C$98)-CROQUIS!$C$107)/MAX(CROQUIS!$C$126,1))+1))-1)*CROQUIS!$C$126)/2)+MIN(INT(($A256-1)/5),MAX((MIN(80,MAX(1,INT(((CROQUIS!$C$98)-CROQUIS!$C$107)/MAX(CROQUIS!$C$126,1))+1)))-1,0))*CROQUIS!$C$126),CHOOSE(IF(INT(($A256-1)/5)&gt;MAX((MIN(80,MAX(1,INT(((CROQUIS!$C$98)-CROQUIS!$C$107)/MAX(CROQUIS!$C$126,1))+1)))-1,0),0,MOD($A256-1,5))+1,0,2,CROQUIS!$C$97-2,2,0)))*CROQUIS!$C$155)+IF(CROQUIS!$C$92="X",0,0)),-1000)</f>
        <v>-1000</v>
      </c>
      <c r="BJ256">
        <f>IF(AND(CROQUIS!$C$88=1,CROQUIS!$C$134&gt;0),((CROQUIS!$C$156+(IF(CROQUIS!$C$92="X",((CROQUIS!$C$107/2+(((CROQUIS!$C$97)-CROQUIS!$C$107)-(MIN(80,MAX(1,INT(((CROQUIS!$C$97)-CROQUIS!$C$107)/MAX(CROQUIS!$C$134,1))+1))-1)*CROQUIS!$C$134)/2)+MIN(INT(($A256-1)/5),MAX((MIN(80,MAX(1,INT(((CROQUIS!$C$97)-CROQUIS!$C$107)/MAX(CROQUIS!$C$134,1))+1)))-1,0))*CROQUIS!$C$134),CHOOSE(IF(INT(($A256-1)/5)&gt;MAX((MIN(80,MAX(1,INT(((CROQUIS!$C$97)-CROQUIS!$C$107)/MAX(CROQUIS!$C$134,1))+1)))-1,0),0,MOD($A256-1,5))+1,0,2,CROQUIS!$C$98-2,2,0)))*CROQUIS!$C$155)+IF(CROQUIS!$C$92="X",0,0)),-1000)</f>
        <v>-1000</v>
      </c>
      <c r="BK256">
        <f>IF(AND(CROQUIS!$C$88=1,CROQUIS!$C$134&gt;0),((CROQUIS!$C$157+(IF(CROQUIS!$C$92="X",CHOOSE(IF(INT(($A256-1)/5)&gt;MAX((MIN(80,MAX(1,INT(((CROQUIS!$C$97)-CROQUIS!$C$107)/MAX(CROQUIS!$C$134,1))+1)))-1,0),0,MOD($A256-1,5))+1,0,2,CROQUIS!$C$98-2,2,0),((CROQUIS!$C$107/2+(((CROQUIS!$C$97)-CROQUIS!$C$107)-(MIN(80,MAX(1,INT(((CROQUIS!$C$97)-CROQUIS!$C$107)/MAX(CROQUIS!$C$134,1))+1))-1)*CROQUIS!$C$134)/2)+MIN(INT(($A256-1)/5),MAX((MIN(80,MAX(1,INT(((CROQUIS!$C$97)-CROQUIS!$C$107)/MAX(CROQUIS!$C$134,1))+1)))-1,0))*CROQUIS!$C$134)))*CROQUIS!$C$155)+IF(CROQUIS!$C$92="X",0,0)),-1000)</f>
        <v>-1000</v>
      </c>
      <c r="BL256">
        <f>IF(AND(CROQUIS!$C$88=1,CROQUIS!$C$91=0,CROQUIS!$C$130&gt;0,OR(CROQUIS!$C$103=1,CROQUIS!$C$142=1)),((CROQUIS!$C$156+(IF(CROQUIS!$C$92="X",CHOOSE(IF(INT(($A256-1)/5)&gt;MAX((MIN(80,MAX(1,INT(((CROQUIS!$C$98)-CROQUIS!$C$107)/MAX(CROQUIS!$C$130,1))+1)))-1,0),0,MOD($A256-1,5))+1,0,IF(CROQUIS!$C$103=1,-12,2),CROQUIS!$C$107/2+CROQUIS!$C$140,IF(CROQUIS!$C$103=1,-12,2),0),((CROQUIS!$C$107/2+(((CROQUIS!$C$98)-CROQUIS!$C$107)-(MIN(80,MAX(1,INT(((CROQUIS!$C$98)-CROQUIS!$C$107)/MAX(CROQUIS!$C$130,1))+1))-1)*CROQUIS!$C$130)/2)+MIN(INT(($A256-1)/5),MAX((MIN(80,MAX(1,INT(((CROQUIS!$C$98)-CROQUIS!$C$107)/MAX(CROQUIS!$C$130,1))+1)))-1,0))*CROQUIS!$C$130)))*CROQUIS!$C$155)+IF(CROQUIS!$C$92="X",0,0)),-1000)</f>
        <v>-1000</v>
      </c>
      <c r="BM25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256-1)/5),MAX((MIN(80,MAX(1,INT(((CROQUIS!$C$98)-CROQUIS!$C$107)/MAX(CROQUIS!$C$130,1))+1)))-1,0))*CROQUIS!$C$130),CHOOSE(IF(INT(($A256-1)/5)&gt;MAX((MIN(80,MAX(1,INT(((CROQUIS!$C$98)-CROQUIS!$C$107)/MAX(CROQUIS!$C$130,1))+1)))-1,0),0,MOD($A256-1,5))+1,0,IF(CROQUIS!$C$103=1,-12,2),CROQUIS!$C$107/2+CROQUIS!$C$140,IF(CROQUIS!$C$103=1,-12,2),0)))*CROQUIS!$C$155)+IF(CROQUIS!$C$92="X",0,0)),-1000)</f>
        <v>-1000</v>
      </c>
      <c r="BN256">
        <f>IF(AND(CROQUIS!$C$88=1,CROQUIS!$C$91=0,CROQUIS!$C$130&gt;0,OR(CROQUIS!$C$104=1,CROQUIS!$C$142=1)),((CROQUIS!$C$156+(IF(CROQUIS!$C$92="X",CHOOSE(IF(INT(($A256-1)/5)&gt;MAX((MIN(80,MAX(1,INT(((CROQUIS!$C$98)-CROQUIS!$C$107)/MAX(CROQUIS!$C$130,1))+1)))-1,0),0,MOD($A256-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256-1)/5),MAX((MIN(80,MAX(1,INT(((CROQUIS!$C$98)-CROQUIS!$C$107)/MAX(CROQUIS!$C$130,1))+1)))-1,0))*CROQUIS!$C$130)))*CROQUIS!$C$155)+IF(CROQUIS!$C$92="X",0,0)),-1000)</f>
        <v>-1000</v>
      </c>
      <c r="BO25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256-1)/5),MAX((MIN(80,MAX(1,INT(((CROQUIS!$C$98)-CROQUIS!$C$107)/MAX(CROQUIS!$C$130,1))+1)))-1,0))*CROQUIS!$C$130),CHOOSE(IF(INT(($A256-1)/5)&gt;MAX((MIN(80,MAX(1,INT(((CROQUIS!$C$98)-CROQUIS!$C$107)/MAX(CROQUIS!$C$130,1))+1)))-1,0),0,MOD($A256-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5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256-1)/5),MAX((MIN(80,MAX(1,INT(((CROQUIS!$C$97)-CROQUIS!$C$107)/MAX(CROQUIS!$C$138,1))+1)))-1,0))*CROQUIS!$C$138),CHOOSE(IF(INT(($A256-1)/5)&gt;MAX((MIN(80,MAX(1,INT(((CROQUIS!$C$97)-CROQUIS!$C$107)/MAX(CROQUIS!$C$138,1))+1)))-1,0),0,MOD($A256-1,5))+1,0,IF(CROQUIS!$C$105=1,-12,2),CROQUIS!$C$107/2+CROQUIS!$C$141,IF(CROQUIS!$C$105=1,-12,2),0)))*CROQUIS!$C$155)+IF(CROQUIS!$C$92="X",0,0)),-1000)</f>
        <v>-1000</v>
      </c>
      <c r="BQ256">
        <f>IF(AND(CROQUIS!$C$88=1,CROQUIS!$C$91=0,CROQUIS!$C$138&gt;0,OR(CROQUIS!$C$105=1,CROQUIS!$C$143=1)),((CROQUIS!$C$157+(IF(CROQUIS!$C$92="X",CHOOSE(IF(INT(($A256-1)/5)&gt;MAX((MIN(80,MAX(1,INT(((CROQUIS!$C$97)-CROQUIS!$C$107)/MAX(CROQUIS!$C$138,1))+1)))-1,0),0,MOD($A256-1,5))+1,0,IF(CROQUIS!$C$105=1,-12,2),CROQUIS!$C$107/2+CROQUIS!$C$141,IF(CROQUIS!$C$105=1,-12,2),0),((CROQUIS!$C$107/2+(((CROQUIS!$C$97)-CROQUIS!$C$107)-(MIN(80,MAX(1,INT(((CROQUIS!$C$97)-CROQUIS!$C$107)/MAX(CROQUIS!$C$138,1))+1))-1)*CROQUIS!$C$138)/2)+MIN(INT(($A256-1)/5),MAX((MIN(80,MAX(1,INT(((CROQUIS!$C$97)-CROQUIS!$C$107)/MAX(CROQUIS!$C$138,1))+1)))-1,0))*CROQUIS!$C$138)))*CROQUIS!$C$155)+IF(CROQUIS!$C$92="X",0,0)),-1000)</f>
        <v>-1000</v>
      </c>
      <c r="BR25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256-1)/5),MAX((MIN(80,MAX(1,INT(((CROQUIS!$C$97)-CROQUIS!$C$107)/MAX(CROQUIS!$C$138,1))+1)))-1,0))*CROQUIS!$C$138),CHOOSE(IF(INT(($A256-1)/5)&gt;MAX((MIN(80,MAX(1,INT(((CROQUIS!$C$97)-CROQUIS!$C$107)/MAX(CROQUIS!$C$138,1))+1)))-1,0),0,MOD($A256-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56">
        <f>IF(AND(CROQUIS!$C$88=1,CROQUIS!$C$91=0,CROQUIS!$C$138&gt;0,OR(CROQUIS!$C$106=1,CROQUIS!$C$143=1)),((CROQUIS!$C$157+(IF(CROQUIS!$C$92="X",CHOOSE(IF(INT(($A256-1)/5)&gt;MAX((MIN(80,MAX(1,INT(((CROQUIS!$C$97)-CROQUIS!$C$107)/MAX(CROQUIS!$C$138,1))+1)))-1,0),0,MOD($A256-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256-1)/5),MAX((MIN(80,MAX(1,INT(((CROQUIS!$C$97)-CROQUIS!$C$107)/MAX(CROQUIS!$C$138,1))+1)))-1,0))*CROQUIS!$C$138)))*CROQUIS!$C$155)+IF(CROQUIS!$C$92="X",0,0)),-1000)</f>
        <v>-1000</v>
      </c>
      <c r="BT256">
        <f>IF(AND(CROQUIS!$C$88=1,CROQUIS!$C$91=1,CROQUIS!$C$130&gt;0),((CROQUIS!$C$156+(IF(CROQUIS!$C$92="X",CHOOSE(IF(INT(($A256-1)/5)&gt;MAX((MIN(80,MAX(1,INT(((CROQUIS!$C$98)-CROQUIS!$C$107)/MAX(CROQUIS!$C$130,1))+1)))-1,0),0,MOD($A256-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256-1)/5),MAX((MIN(80,MAX(1,INT(((CROQUIS!$C$98)-CROQUIS!$C$107)/MAX(CROQUIS!$C$130,1))+1)))-1,0))*CROQUIS!$C$130)))*CROQUIS!$C$155)+IF(CROQUIS!$C$92="X",0,0)),-1000)</f>
        <v>-1000</v>
      </c>
      <c r="BU256">
        <f>IF(AND(CROQUIS!$C$88=1,CROQUIS!$C$91=1,CROQUIS!$C$130&gt;0),((CROQUIS!$C$157+(IF(CROQUIS!$C$92="X",((CROQUIS!$C$107/2+(((CROQUIS!$C$98)-CROQUIS!$C$107)-(MIN(80,MAX(1,INT(((CROQUIS!$C$98)-CROQUIS!$C$107)/MAX(CROQUIS!$C$130,1))+1))-1)*CROQUIS!$C$130)/2)+MIN(INT(($A256-1)/5),MAX((MIN(80,MAX(1,INT(((CROQUIS!$C$98)-CROQUIS!$C$107)/MAX(CROQUIS!$C$130,1))+1)))-1,0))*CROQUIS!$C$130),CHOOSE(IF(INT(($A256-1)/5)&gt;MAX((MIN(80,MAX(1,INT(((CROQUIS!$C$98)-CROQUIS!$C$107)/MAX(CROQUIS!$C$130,1))+1)))-1,0),0,MOD($A256-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57">
      <c r="A257" t="n">
        <v>250</v>
      </c>
      <c r="BH257">
        <f>IF(AND(CROQUIS!$C$88=1,CROQUIS!$C$126&gt;0),((CROQUIS!$C$156+(IF(CROQUIS!$C$92="X",CHOOSE(IF(INT(($A257-1)/5)&gt;MAX((MIN(80,MAX(1,INT(((CROQUIS!$C$98)-CROQUIS!$C$107)/MAX(CROQUIS!$C$126,1))+1)))-1,0),0,MOD($A257-1,5))+1,0,2,CROQUIS!$C$97-2,2,0),((CROQUIS!$C$107/2+(((CROQUIS!$C$98)-CROQUIS!$C$107)-(MIN(80,MAX(1,INT(((CROQUIS!$C$98)-CROQUIS!$C$107)/MAX(CROQUIS!$C$126,1))+1))-1)*CROQUIS!$C$126)/2)+MIN(INT(($A257-1)/5),MAX((MIN(80,MAX(1,INT(((CROQUIS!$C$98)-CROQUIS!$C$107)/MAX(CROQUIS!$C$126,1))+1)))-1,0))*CROQUIS!$C$126)))*CROQUIS!$C$155)+IF(CROQUIS!$C$92="X",0,0)),-1000)</f>
        <v>-1000</v>
      </c>
      <c r="BI257">
        <f>IF(AND(CROQUIS!$C$88=1,CROQUIS!$C$126&gt;0),((CROQUIS!$C$157+(IF(CROQUIS!$C$92="X",((CROQUIS!$C$107/2+(((CROQUIS!$C$98)-CROQUIS!$C$107)-(MIN(80,MAX(1,INT(((CROQUIS!$C$98)-CROQUIS!$C$107)/MAX(CROQUIS!$C$126,1))+1))-1)*CROQUIS!$C$126)/2)+MIN(INT(($A257-1)/5),MAX((MIN(80,MAX(1,INT(((CROQUIS!$C$98)-CROQUIS!$C$107)/MAX(CROQUIS!$C$126,1))+1)))-1,0))*CROQUIS!$C$126),CHOOSE(IF(INT(($A257-1)/5)&gt;MAX((MIN(80,MAX(1,INT(((CROQUIS!$C$98)-CROQUIS!$C$107)/MAX(CROQUIS!$C$126,1))+1)))-1,0),0,MOD($A257-1,5))+1,0,2,CROQUIS!$C$97-2,2,0)))*CROQUIS!$C$155)+IF(CROQUIS!$C$92="X",0,0)),-1000)</f>
        <v>-1000</v>
      </c>
      <c r="BJ257">
        <f>IF(AND(CROQUIS!$C$88=1,CROQUIS!$C$134&gt;0),((CROQUIS!$C$156+(IF(CROQUIS!$C$92="X",((CROQUIS!$C$107/2+(((CROQUIS!$C$97)-CROQUIS!$C$107)-(MIN(80,MAX(1,INT(((CROQUIS!$C$97)-CROQUIS!$C$107)/MAX(CROQUIS!$C$134,1))+1))-1)*CROQUIS!$C$134)/2)+MIN(INT(($A257-1)/5),MAX((MIN(80,MAX(1,INT(((CROQUIS!$C$97)-CROQUIS!$C$107)/MAX(CROQUIS!$C$134,1))+1)))-1,0))*CROQUIS!$C$134),CHOOSE(IF(INT(($A257-1)/5)&gt;MAX((MIN(80,MAX(1,INT(((CROQUIS!$C$97)-CROQUIS!$C$107)/MAX(CROQUIS!$C$134,1))+1)))-1,0),0,MOD($A257-1,5))+1,0,2,CROQUIS!$C$98-2,2,0)))*CROQUIS!$C$155)+IF(CROQUIS!$C$92="X",0,0)),-1000)</f>
        <v>-1000</v>
      </c>
      <c r="BK257">
        <f>IF(AND(CROQUIS!$C$88=1,CROQUIS!$C$134&gt;0),((CROQUIS!$C$157+(IF(CROQUIS!$C$92="X",CHOOSE(IF(INT(($A257-1)/5)&gt;MAX((MIN(80,MAX(1,INT(((CROQUIS!$C$97)-CROQUIS!$C$107)/MAX(CROQUIS!$C$134,1))+1)))-1,0),0,MOD($A257-1,5))+1,0,2,CROQUIS!$C$98-2,2,0),((CROQUIS!$C$107/2+(((CROQUIS!$C$97)-CROQUIS!$C$107)-(MIN(80,MAX(1,INT(((CROQUIS!$C$97)-CROQUIS!$C$107)/MAX(CROQUIS!$C$134,1))+1))-1)*CROQUIS!$C$134)/2)+MIN(INT(($A257-1)/5),MAX((MIN(80,MAX(1,INT(((CROQUIS!$C$97)-CROQUIS!$C$107)/MAX(CROQUIS!$C$134,1))+1)))-1,0))*CROQUIS!$C$134)))*CROQUIS!$C$155)+IF(CROQUIS!$C$92="X",0,0)),-1000)</f>
        <v>-1000</v>
      </c>
      <c r="BL257">
        <f>IF(AND(CROQUIS!$C$88=1,CROQUIS!$C$91=0,CROQUIS!$C$130&gt;0,OR(CROQUIS!$C$103=1,CROQUIS!$C$142=1)),((CROQUIS!$C$156+(IF(CROQUIS!$C$92="X",CHOOSE(IF(INT(($A257-1)/5)&gt;MAX((MIN(80,MAX(1,INT(((CROQUIS!$C$98)-CROQUIS!$C$107)/MAX(CROQUIS!$C$130,1))+1)))-1,0),0,MOD($A257-1,5))+1,0,IF(CROQUIS!$C$103=1,-12,2),CROQUIS!$C$107/2+CROQUIS!$C$140,IF(CROQUIS!$C$103=1,-12,2),0),((CROQUIS!$C$107/2+(((CROQUIS!$C$98)-CROQUIS!$C$107)-(MIN(80,MAX(1,INT(((CROQUIS!$C$98)-CROQUIS!$C$107)/MAX(CROQUIS!$C$130,1))+1))-1)*CROQUIS!$C$130)/2)+MIN(INT(($A257-1)/5),MAX((MIN(80,MAX(1,INT(((CROQUIS!$C$98)-CROQUIS!$C$107)/MAX(CROQUIS!$C$130,1))+1)))-1,0))*CROQUIS!$C$130)))*CROQUIS!$C$155)+IF(CROQUIS!$C$92="X",0,0)),-1000)</f>
        <v>-1000</v>
      </c>
      <c r="BM25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257-1)/5),MAX((MIN(80,MAX(1,INT(((CROQUIS!$C$98)-CROQUIS!$C$107)/MAX(CROQUIS!$C$130,1))+1)))-1,0))*CROQUIS!$C$130),CHOOSE(IF(INT(($A257-1)/5)&gt;MAX((MIN(80,MAX(1,INT(((CROQUIS!$C$98)-CROQUIS!$C$107)/MAX(CROQUIS!$C$130,1))+1)))-1,0),0,MOD($A257-1,5))+1,0,IF(CROQUIS!$C$103=1,-12,2),CROQUIS!$C$107/2+CROQUIS!$C$140,IF(CROQUIS!$C$103=1,-12,2),0)))*CROQUIS!$C$155)+IF(CROQUIS!$C$92="X",0,0)),-1000)</f>
        <v>-1000</v>
      </c>
      <c r="BN257">
        <f>IF(AND(CROQUIS!$C$88=1,CROQUIS!$C$91=0,CROQUIS!$C$130&gt;0,OR(CROQUIS!$C$104=1,CROQUIS!$C$142=1)),((CROQUIS!$C$156+(IF(CROQUIS!$C$92="X",CHOOSE(IF(INT(($A257-1)/5)&gt;MAX((MIN(80,MAX(1,INT(((CROQUIS!$C$98)-CROQUIS!$C$107)/MAX(CROQUIS!$C$130,1))+1)))-1,0),0,MOD($A257-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257-1)/5),MAX((MIN(80,MAX(1,INT(((CROQUIS!$C$98)-CROQUIS!$C$107)/MAX(CROQUIS!$C$130,1))+1)))-1,0))*CROQUIS!$C$130)))*CROQUIS!$C$155)+IF(CROQUIS!$C$92="X",0,0)),-1000)</f>
        <v>-1000</v>
      </c>
      <c r="BO25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257-1)/5),MAX((MIN(80,MAX(1,INT(((CROQUIS!$C$98)-CROQUIS!$C$107)/MAX(CROQUIS!$C$130,1))+1)))-1,0))*CROQUIS!$C$130),CHOOSE(IF(INT(($A257-1)/5)&gt;MAX((MIN(80,MAX(1,INT(((CROQUIS!$C$98)-CROQUIS!$C$107)/MAX(CROQUIS!$C$130,1))+1)))-1,0),0,MOD($A257-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5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257-1)/5),MAX((MIN(80,MAX(1,INT(((CROQUIS!$C$97)-CROQUIS!$C$107)/MAX(CROQUIS!$C$138,1))+1)))-1,0))*CROQUIS!$C$138),CHOOSE(IF(INT(($A257-1)/5)&gt;MAX((MIN(80,MAX(1,INT(((CROQUIS!$C$97)-CROQUIS!$C$107)/MAX(CROQUIS!$C$138,1))+1)))-1,0),0,MOD($A257-1,5))+1,0,IF(CROQUIS!$C$105=1,-12,2),CROQUIS!$C$107/2+CROQUIS!$C$141,IF(CROQUIS!$C$105=1,-12,2),0)))*CROQUIS!$C$155)+IF(CROQUIS!$C$92="X",0,0)),-1000)</f>
        <v>-1000</v>
      </c>
      <c r="BQ257">
        <f>IF(AND(CROQUIS!$C$88=1,CROQUIS!$C$91=0,CROQUIS!$C$138&gt;0,OR(CROQUIS!$C$105=1,CROQUIS!$C$143=1)),((CROQUIS!$C$157+(IF(CROQUIS!$C$92="X",CHOOSE(IF(INT(($A257-1)/5)&gt;MAX((MIN(80,MAX(1,INT(((CROQUIS!$C$97)-CROQUIS!$C$107)/MAX(CROQUIS!$C$138,1))+1)))-1,0),0,MOD($A257-1,5))+1,0,IF(CROQUIS!$C$105=1,-12,2),CROQUIS!$C$107/2+CROQUIS!$C$141,IF(CROQUIS!$C$105=1,-12,2),0),((CROQUIS!$C$107/2+(((CROQUIS!$C$97)-CROQUIS!$C$107)-(MIN(80,MAX(1,INT(((CROQUIS!$C$97)-CROQUIS!$C$107)/MAX(CROQUIS!$C$138,1))+1))-1)*CROQUIS!$C$138)/2)+MIN(INT(($A257-1)/5),MAX((MIN(80,MAX(1,INT(((CROQUIS!$C$97)-CROQUIS!$C$107)/MAX(CROQUIS!$C$138,1))+1)))-1,0))*CROQUIS!$C$138)))*CROQUIS!$C$155)+IF(CROQUIS!$C$92="X",0,0)),-1000)</f>
        <v>-1000</v>
      </c>
      <c r="BR25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257-1)/5),MAX((MIN(80,MAX(1,INT(((CROQUIS!$C$97)-CROQUIS!$C$107)/MAX(CROQUIS!$C$138,1))+1)))-1,0))*CROQUIS!$C$138),CHOOSE(IF(INT(($A257-1)/5)&gt;MAX((MIN(80,MAX(1,INT(((CROQUIS!$C$97)-CROQUIS!$C$107)/MAX(CROQUIS!$C$138,1))+1)))-1,0),0,MOD($A257-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57">
        <f>IF(AND(CROQUIS!$C$88=1,CROQUIS!$C$91=0,CROQUIS!$C$138&gt;0,OR(CROQUIS!$C$106=1,CROQUIS!$C$143=1)),((CROQUIS!$C$157+(IF(CROQUIS!$C$92="X",CHOOSE(IF(INT(($A257-1)/5)&gt;MAX((MIN(80,MAX(1,INT(((CROQUIS!$C$97)-CROQUIS!$C$107)/MAX(CROQUIS!$C$138,1))+1)))-1,0),0,MOD($A257-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257-1)/5),MAX((MIN(80,MAX(1,INT(((CROQUIS!$C$97)-CROQUIS!$C$107)/MAX(CROQUIS!$C$138,1))+1)))-1,0))*CROQUIS!$C$138)))*CROQUIS!$C$155)+IF(CROQUIS!$C$92="X",0,0)),-1000)</f>
        <v>-1000</v>
      </c>
      <c r="BT257">
        <f>IF(AND(CROQUIS!$C$88=1,CROQUIS!$C$91=1,CROQUIS!$C$130&gt;0),((CROQUIS!$C$156+(IF(CROQUIS!$C$92="X",CHOOSE(IF(INT(($A257-1)/5)&gt;MAX((MIN(80,MAX(1,INT(((CROQUIS!$C$98)-CROQUIS!$C$107)/MAX(CROQUIS!$C$130,1))+1)))-1,0),0,MOD($A257-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257-1)/5),MAX((MIN(80,MAX(1,INT(((CROQUIS!$C$98)-CROQUIS!$C$107)/MAX(CROQUIS!$C$130,1))+1)))-1,0))*CROQUIS!$C$130)))*CROQUIS!$C$155)+IF(CROQUIS!$C$92="X",0,0)),-1000)</f>
        <v>-1000</v>
      </c>
      <c r="BU257">
        <f>IF(AND(CROQUIS!$C$88=1,CROQUIS!$C$91=1,CROQUIS!$C$130&gt;0),((CROQUIS!$C$157+(IF(CROQUIS!$C$92="X",((CROQUIS!$C$107/2+(((CROQUIS!$C$98)-CROQUIS!$C$107)-(MIN(80,MAX(1,INT(((CROQUIS!$C$98)-CROQUIS!$C$107)/MAX(CROQUIS!$C$130,1))+1))-1)*CROQUIS!$C$130)/2)+MIN(INT(($A257-1)/5),MAX((MIN(80,MAX(1,INT(((CROQUIS!$C$98)-CROQUIS!$C$107)/MAX(CROQUIS!$C$130,1))+1)))-1,0))*CROQUIS!$C$130),CHOOSE(IF(INT(($A257-1)/5)&gt;MAX((MIN(80,MAX(1,INT(((CROQUIS!$C$98)-CROQUIS!$C$107)/MAX(CROQUIS!$C$130,1))+1)))-1,0),0,MOD($A257-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58">
      <c r="A258" t="n">
        <v>251</v>
      </c>
      <c r="BH258">
        <f>IF(AND(CROQUIS!$C$88=1,CROQUIS!$C$126&gt;0),((CROQUIS!$C$156+(IF(CROQUIS!$C$92="X",CHOOSE(IF(INT(($A258-1)/5)&gt;MAX((MIN(80,MAX(1,INT(((CROQUIS!$C$98)-CROQUIS!$C$107)/MAX(CROQUIS!$C$126,1))+1)))-1,0),0,MOD($A258-1,5))+1,0,2,CROQUIS!$C$97-2,2,0),((CROQUIS!$C$107/2+(((CROQUIS!$C$98)-CROQUIS!$C$107)-(MIN(80,MAX(1,INT(((CROQUIS!$C$98)-CROQUIS!$C$107)/MAX(CROQUIS!$C$126,1))+1))-1)*CROQUIS!$C$126)/2)+MIN(INT(($A258-1)/5),MAX((MIN(80,MAX(1,INT(((CROQUIS!$C$98)-CROQUIS!$C$107)/MAX(CROQUIS!$C$126,1))+1)))-1,0))*CROQUIS!$C$126)))*CROQUIS!$C$155)+IF(CROQUIS!$C$92="X",0,0)),-1000)</f>
        <v>-1000</v>
      </c>
      <c r="BI258">
        <f>IF(AND(CROQUIS!$C$88=1,CROQUIS!$C$126&gt;0),((CROQUIS!$C$157+(IF(CROQUIS!$C$92="X",((CROQUIS!$C$107/2+(((CROQUIS!$C$98)-CROQUIS!$C$107)-(MIN(80,MAX(1,INT(((CROQUIS!$C$98)-CROQUIS!$C$107)/MAX(CROQUIS!$C$126,1))+1))-1)*CROQUIS!$C$126)/2)+MIN(INT(($A258-1)/5),MAX((MIN(80,MAX(1,INT(((CROQUIS!$C$98)-CROQUIS!$C$107)/MAX(CROQUIS!$C$126,1))+1)))-1,0))*CROQUIS!$C$126),CHOOSE(IF(INT(($A258-1)/5)&gt;MAX((MIN(80,MAX(1,INT(((CROQUIS!$C$98)-CROQUIS!$C$107)/MAX(CROQUIS!$C$126,1))+1)))-1,0),0,MOD($A258-1,5))+1,0,2,CROQUIS!$C$97-2,2,0)))*CROQUIS!$C$155)+IF(CROQUIS!$C$92="X",0,0)),-1000)</f>
        <v>-1000</v>
      </c>
      <c r="BJ258">
        <f>IF(AND(CROQUIS!$C$88=1,CROQUIS!$C$134&gt;0),((CROQUIS!$C$156+(IF(CROQUIS!$C$92="X",((CROQUIS!$C$107/2+(((CROQUIS!$C$97)-CROQUIS!$C$107)-(MIN(80,MAX(1,INT(((CROQUIS!$C$97)-CROQUIS!$C$107)/MAX(CROQUIS!$C$134,1))+1))-1)*CROQUIS!$C$134)/2)+MIN(INT(($A258-1)/5),MAX((MIN(80,MAX(1,INT(((CROQUIS!$C$97)-CROQUIS!$C$107)/MAX(CROQUIS!$C$134,1))+1)))-1,0))*CROQUIS!$C$134),CHOOSE(IF(INT(($A258-1)/5)&gt;MAX((MIN(80,MAX(1,INT(((CROQUIS!$C$97)-CROQUIS!$C$107)/MAX(CROQUIS!$C$134,1))+1)))-1,0),0,MOD($A258-1,5))+1,0,2,CROQUIS!$C$98-2,2,0)))*CROQUIS!$C$155)+IF(CROQUIS!$C$92="X",0,0)),-1000)</f>
        <v>-1000</v>
      </c>
      <c r="BK258">
        <f>IF(AND(CROQUIS!$C$88=1,CROQUIS!$C$134&gt;0),((CROQUIS!$C$157+(IF(CROQUIS!$C$92="X",CHOOSE(IF(INT(($A258-1)/5)&gt;MAX((MIN(80,MAX(1,INT(((CROQUIS!$C$97)-CROQUIS!$C$107)/MAX(CROQUIS!$C$134,1))+1)))-1,0),0,MOD($A258-1,5))+1,0,2,CROQUIS!$C$98-2,2,0),((CROQUIS!$C$107/2+(((CROQUIS!$C$97)-CROQUIS!$C$107)-(MIN(80,MAX(1,INT(((CROQUIS!$C$97)-CROQUIS!$C$107)/MAX(CROQUIS!$C$134,1))+1))-1)*CROQUIS!$C$134)/2)+MIN(INT(($A258-1)/5),MAX((MIN(80,MAX(1,INT(((CROQUIS!$C$97)-CROQUIS!$C$107)/MAX(CROQUIS!$C$134,1))+1)))-1,0))*CROQUIS!$C$134)))*CROQUIS!$C$155)+IF(CROQUIS!$C$92="X",0,0)),-1000)</f>
        <v>-1000</v>
      </c>
      <c r="BL258">
        <f>IF(AND(CROQUIS!$C$88=1,CROQUIS!$C$91=0,CROQUIS!$C$130&gt;0,OR(CROQUIS!$C$103=1,CROQUIS!$C$142=1)),((CROQUIS!$C$156+(IF(CROQUIS!$C$92="X",CHOOSE(IF(INT(($A258-1)/5)&gt;MAX((MIN(80,MAX(1,INT(((CROQUIS!$C$98)-CROQUIS!$C$107)/MAX(CROQUIS!$C$130,1))+1)))-1,0),0,MOD($A258-1,5))+1,0,IF(CROQUIS!$C$103=1,-12,2),CROQUIS!$C$107/2+CROQUIS!$C$140,IF(CROQUIS!$C$103=1,-12,2),0),((CROQUIS!$C$107/2+(((CROQUIS!$C$98)-CROQUIS!$C$107)-(MIN(80,MAX(1,INT(((CROQUIS!$C$98)-CROQUIS!$C$107)/MAX(CROQUIS!$C$130,1))+1))-1)*CROQUIS!$C$130)/2)+MIN(INT(($A258-1)/5),MAX((MIN(80,MAX(1,INT(((CROQUIS!$C$98)-CROQUIS!$C$107)/MAX(CROQUIS!$C$130,1))+1)))-1,0))*CROQUIS!$C$130)))*CROQUIS!$C$155)+IF(CROQUIS!$C$92="X",0,0)),-1000)</f>
        <v>-1000</v>
      </c>
      <c r="BM25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258-1)/5),MAX((MIN(80,MAX(1,INT(((CROQUIS!$C$98)-CROQUIS!$C$107)/MAX(CROQUIS!$C$130,1))+1)))-1,0))*CROQUIS!$C$130),CHOOSE(IF(INT(($A258-1)/5)&gt;MAX((MIN(80,MAX(1,INT(((CROQUIS!$C$98)-CROQUIS!$C$107)/MAX(CROQUIS!$C$130,1))+1)))-1,0),0,MOD($A258-1,5))+1,0,IF(CROQUIS!$C$103=1,-12,2),CROQUIS!$C$107/2+CROQUIS!$C$140,IF(CROQUIS!$C$103=1,-12,2),0)))*CROQUIS!$C$155)+IF(CROQUIS!$C$92="X",0,0)),-1000)</f>
        <v>-1000</v>
      </c>
      <c r="BN258">
        <f>IF(AND(CROQUIS!$C$88=1,CROQUIS!$C$91=0,CROQUIS!$C$130&gt;0,OR(CROQUIS!$C$104=1,CROQUIS!$C$142=1)),((CROQUIS!$C$156+(IF(CROQUIS!$C$92="X",CHOOSE(IF(INT(($A258-1)/5)&gt;MAX((MIN(80,MAX(1,INT(((CROQUIS!$C$98)-CROQUIS!$C$107)/MAX(CROQUIS!$C$130,1))+1)))-1,0),0,MOD($A258-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258-1)/5),MAX((MIN(80,MAX(1,INT(((CROQUIS!$C$98)-CROQUIS!$C$107)/MAX(CROQUIS!$C$130,1))+1)))-1,0))*CROQUIS!$C$130)))*CROQUIS!$C$155)+IF(CROQUIS!$C$92="X",0,0)),-1000)</f>
        <v>-1000</v>
      </c>
      <c r="BO25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258-1)/5),MAX((MIN(80,MAX(1,INT(((CROQUIS!$C$98)-CROQUIS!$C$107)/MAX(CROQUIS!$C$130,1))+1)))-1,0))*CROQUIS!$C$130),CHOOSE(IF(INT(($A258-1)/5)&gt;MAX((MIN(80,MAX(1,INT(((CROQUIS!$C$98)-CROQUIS!$C$107)/MAX(CROQUIS!$C$130,1))+1)))-1,0),0,MOD($A258-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5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258-1)/5),MAX((MIN(80,MAX(1,INT(((CROQUIS!$C$97)-CROQUIS!$C$107)/MAX(CROQUIS!$C$138,1))+1)))-1,0))*CROQUIS!$C$138),CHOOSE(IF(INT(($A258-1)/5)&gt;MAX((MIN(80,MAX(1,INT(((CROQUIS!$C$97)-CROQUIS!$C$107)/MAX(CROQUIS!$C$138,1))+1)))-1,0),0,MOD($A258-1,5))+1,0,IF(CROQUIS!$C$105=1,-12,2),CROQUIS!$C$107/2+CROQUIS!$C$141,IF(CROQUIS!$C$105=1,-12,2),0)))*CROQUIS!$C$155)+IF(CROQUIS!$C$92="X",0,0)),-1000)</f>
        <v>-1000</v>
      </c>
      <c r="BQ258">
        <f>IF(AND(CROQUIS!$C$88=1,CROQUIS!$C$91=0,CROQUIS!$C$138&gt;0,OR(CROQUIS!$C$105=1,CROQUIS!$C$143=1)),((CROQUIS!$C$157+(IF(CROQUIS!$C$92="X",CHOOSE(IF(INT(($A258-1)/5)&gt;MAX((MIN(80,MAX(1,INT(((CROQUIS!$C$97)-CROQUIS!$C$107)/MAX(CROQUIS!$C$138,1))+1)))-1,0),0,MOD($A258-1,5))+1,0,IF(CROQUIS!$C$105=1,-12,2),CROQUIS!$C$107/2+CROQUIS!$C$141,IF(CROQUIS!$C$105=1,-12,2),0),((CROQUIS!$C$107/2+(((CROQUIS!$C$97)-CROQUIS!$C$107)-(MIN(80,MAX(1,INT(((CROQUIS!$C$97)-CROQUIS!$C$107)/MAX(CROQUIS!$C$138,1))+1))-1)*CROQUIS!$C$138)/2)+MIN(INT(($A258-1)/5),MAX((MIN(80,MAX(1,INT(((CROQUIS!$C$97)-CROQUIS!$C$107)/MAX(CROQUIS!$C$138,1))+1)))-1,0))*CROQUIS!$C$138)))*CROQUIS!$C$155)+IF(CROQUIS!$C$92="X",0,0)),-1000)</f>
        <v>-1000</v>
      </c>
      <c r="BR25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258-1)/5),MAX((MIN(80,MAX(1,INT(((CROQUIS!$C$97)-CROQUIS!$C$107)/MAX(CROQUIS!$C$138,1))+1)))-1,0))*CROQUIS!$C$138),CHOOSE(IF(INT(($A258-1)/5)&gt;MAX((MIN(80,MAX(1,INT(((CROQUIS!$C$97)-CROQUIS!$C$107)/MAX(CROQUIS!$C$138,1))+1)))-1,0),0,MOD($A258-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58">
        <f>IF(AND(CROQUIS!$C$88=1,CROQUIS!$C$91=0,CROQUIS!$C$138&gt;0,OR(CROQUIS!$C$106=1,CROQUIS!$C$143=1)),((CROQUIS!$C$157+(IF(CROQUIS!$C$92="X",CHOOSE(IF(INT(($A258-1)/5)&gt;MAX((MIN(80,MAX(1,INT(((CROQUIS!$C$97)-CROQUIS!$C$107)/MAX(CROQUIS!$C$138,1))+1)))-1,0),0,MOD($A258-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258-1)/5),MAX((MIN(80,MAX(1,INT(((CROQUIS!$C$97)-CROQUIS!$C$107)/MAX(CROQUIS!$C$138,1))+1)))-1,0))*CROQUIS!$C$138)))*CROQUIS!$C$155)+IF(CROQUIS!$C$92="X",0,0)),-1000)</f>
        <v>-1000</v>
      </c>
      <c r="BT258">
        <f>IF(AND(CROQUIS!$C$88=1,CROQUIS!$C$91=1,CROQUIS!$C$130&gt;0),((CROQUIS!$C$156+(IF(CROQUIS!$C$92="X",CHOOSE(IF(INT(($A258-1)/5)&gt;MAX((MIN(80,MAX(1,INT(((CROQUIS!$C$98)-CROQUIS!$C$107)/MAX(CROQUIS!$C$130,1))+1)))-1,0),0,MOD($A258-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258-1)/5),MAX((MIN(80,MAX(1,INT(((CROQUIS!$C$98)-CROQUIS!$C$107)/MAX(CROQUIS!$C$130,1))+1)))-1,0))*CROQUIS!$C$130)))*CROQUIS!$C$155)+IF(CROQUIS!$C$92="X",0,0)),-1000)</f>
        <v>-1000</v>
      </c>
      <c r="BU258">
        <f>IF(AND(CROQUIS!$C$88=1,CROQUIS!$C$91=1,CROQUIS!$C$130&gt;0),((CROQUIS!$C$157+(IF(CROQUIS!$C$92="X",((CROQUIS!$C$107/2+(((CROQUIS!$C$98)-CROQUIS!$C$107)-(MIN(80,MAX(1,INT(((CROQUIS!$C$98)-CROQUIS!$C$107)/MAX(CROQUIS!$C$130,1))+1))-1)*CROQUIS!$C$130)/2)+MIN(INT(($A258-1)/5),MAX((MIN(80,MAX(1,INT(((CROQUIS!$C$98)-CROQUIS!$C$107)/MAX(CROQUIS!$C$130,1))+1)))-1,0))*CROQUIS!$C$130),CHOOSE(IF(INT(($A258-1)/5)&gt;MAX((MIN(80,MAX(1,INT(((CROQUIS!$C$98)-CROQUIS!$C$107)/MAX(CROQUIS!$C$130,1))+1)))-1,0),0,MOD($A258-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59">
      <c r="A259" t="n">
        <v>252</v>
      </c>
      <c r="BH259">
        <f>IF(AND(CROQUIS!$C$88=1,CROQUIS!$C$126&gt;0),((CROQUIS!$C$156+(IF(CROQUIS!$C$92="X",CHOOSE(IF(INT(($A259-1)/5)&gt;MAX((MIN(80,MAX(1,INT(((CROQUIS!$C$98)-CROQUIS!$C$107)/MAX(CROQUIS!$C$126,1))+1)))-1,0),0,MOD($A259-1,5))+1,0,2,CROQUIS!$C$97-2,2,0),((CROQUIS!$C$107/2+(((CROQUIS!$C$98)-CROQUIS!$C$107)-(MIN(80,MAX(1,INT(((CROQUIS!$C$98)-CROQUIS!$C$107)/MAX(CROQUIS!$C$126,1))+1))-1)*CROQUIS!$C$126)/2)+MIN(INT(($A259-1)/5),MAX((MIN(80,MAX(1,INT(((CROQUIS!$C$98)-CROQUIS!$C$107)/MAX(CROQUIS!$C$126,1))+1)))-1,0))*CROQUIS!$C$126)))*CROQUIS!$C$155)+IF(CROQUIS!$C$92="X",0,0)),-1000)</f>
        <v>-1000</v>
      </c>
      <c r="BI259">
        <f>IF(AND(CROQUIS!$C$88=1,CROQUIS!$C$126&gt;0),((CROQUIS!$C$157+(IF(CROQUIS!$C$92="X",((CROQUIS!$C$107/2+(((CROQUIS!$C$98)-CROQUIS!$C$107)-(MIN(80,MAX(1,INT(((CROQUIS!$C$98)-CROQUIS!$C$107)/MAX(CROQUIS!$C$126,1))+1))-1)*CROQUIS!$C$126)/2)+MIN(INT(($A259-1)/5),MAX((MIN(80,MAX(1,INT(((CROQUIS!$C$98)-CROQUIS!$C$107)/MAX(CROQUIS!$C$126,1))+1)))-1,0))*CROQUIS!$C$126),CHOOSE(IF(INT(($A259-1)/5)&gt;MAX((MIN(80,MAX(1,INT(((CROQUIS!$C$98)-CROQUIS!$C$107)/MAX(CROQUIS!$C$126,1))+1)))-1,0),0,MOD($A259-1,5))+1,0,2,CROQUIS!$C$97-2,2,0)))*CROQUIS!$C$155)+IF(CROQUIS!$C$92="X",0,0)),-1000)</f>
        <v>-1000</v>
      </c>
      <c r="BJ259">
        <f>IF(AND(CROQUIS!$C$88=1,CROQUIS!$C$134&gt;0),((CROQUIS!$C$156+(IF(CROQUIS!$C$92="X",((CROQUIS!$C$107/2+(((CROQUIS!$C$97)-CROQUIS!$C$107)-(MIN(80,MAX(1,INT(((CROQUIS!$C$97)-CROQUIS!$C$107)/MAX(CROQUIS!$C$134,1))+1))-1)*CROQUIS!$C$134)/2)+MIN(INT(($A259-1)/5),MAX((MIN(80,MAX(1,INT(((CROQUIS!$C$97)-CROQUIS!$C$107)/MAX(CROQUIS!$C$134,1))+1)))-1,0))*CROQUIS!$C$134),CHOOSE(IF(INT(($A259-1)/5)&gt;MAX((MIN(80,MAX(1,INT(((CROQUIS!$C$97)-CROQUIS!$C$107)/MAX(CROQUIS!$C$134,1))+1)))-1,0),0,MOD($A259-1,5))+1,0,2,CROQUIS!$C$98-2,2,0)))*CROQUIS!$C$155)+IF(CROQUIS!$C$92="X",0,0)),-1000)</f>
        <v>-1000</v>
      </c>
      <c r="BK259">
        <f>IF(AND(CROQUIS!$C$88=1,CROQUIS!$C$134&gt;0),((CROQUIS!$C$157+(IF(CROQUIS!$C$92="X",CHOOSE(IF(INT(($A259-1)/5)&gt;MAX((MIN(80,MAX(1,INT(((CROQUIS!$C$97)-CROQUIS!$C$107)/MAX(CROQUIS!$C$134,1))+1)))-1,0),0,MOD($A259-1,5))+1,0,2,CROQUIS!$C$98-2,2,0),((CROQUIS!$C$107/2+(((CROQUIS!$C$97)-CROQUIS!$C$107)-(MIN(80,MAX(1,INT(((CROQUIS!$C$97)-CROQUIS!$C$107)/MAX(CROQUIS!$C$134,1))+1))-1)*CROQUIS!$C$134)/2)+MIN(INT(($A259-1)/5),MAX((MIN(80,MAX(1,INT(((CROQUIS!$C$97)-CROQUIS!$C$107)/MAX(CROQUIS!$C$134,1))+1)))-1,0))*CROQUIS!$C$134)))*CROQUIS!$C$155)+IF(CROQUIS!$C$92="X",0,0)),-1000)</f>
        <v>-1000</v>
      </c>
      <c r="BL259">
        <f>IF(AND(CROQUIS!$C$88=1,CROQUIS!$C$91=0,CROQUIS!$C$130&gt;0,OR(CROQUIS!$C$103=1,CROQUIS!$C$142=1)),((CROQUIS!$C$156+(IF(CROQUIS!$C$92="X",CHOOSE(IF(INT(($A259-1)/5)&gt;MAX((MIN(80,MAX(1,INT(((CROQUIS!$C$98)-CROQUIS!$C$107)/MAX(CROQUIS!$C$130,1))+1)))-1,0),0,MOD($A259-1,5))+1,0,IF(CROQUIS!$C$103=1,-12,2),CROQUIS!$C$107/2+CROQUIS!$C$140,IF(CROQUIS!$C$103=1,-12,2),0),((CROQUIS!$C$107/2+(((CROQUIS!$C$98)-CROQUIS!$C$107)-(MIN(80,MAX(1,INT(((CROQUIS!$C$98)-CROQUIS!$C$107)/MAX(CROQUIS!$C$130,1))+1))-1)*CROQUIS!$C$130)/2)+MIN(INT(($A259-1)/5),MAX((MIN(80,MAX(1,INT(((CROQUIS!$C$98)-CROQUIS!$C$107)/MAX(CROQUIS!$C$130,1))+1)))-1,0))*CROQUIS!$C$130)))*CROQUIS!$C$155)+IF(CROQUIS!$C$92="X",0,0)),-1000)</f>
        <v>-1000</v>
      </c>
      <c r="BM25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259-1)/5),MAX((MIN(80,MAX(1,INT(((CROQUIS!$C$98)-CROQUIS!$C$107)/MAX(CROQUIS!$C$130,1))+1)))-1,0))*CROQUIS!$C$130),CHOOSE(IF(INT(($A259-1)/5)&gt;MAX((MIN(80,MAX(1,INT(((CROQUIS!$C$98)-CROQUIS!$C$107)/MAX(CROQUIS!$C$130,1))+1)))-1,0),0,MOD($A259-1,5))+1,0,IF(CROQUIS!$C$103=1,-12,2),CROQUIS!$C$107/2+CROQUIS!$C$140,IF(CROQUIS!$C$103=1,-12,2),0)))*CROQUIS!$C$155)+IF(CROQUIS!$C$92="X",0,0)),-1000)</f>
        <v>-1000</v>
      </c>
      <c r="BN259">
        <f>IF(AND(CROQUIS!$C$88=1,CROQUIS!$C$91=0,CROQUIS!$C$130&gt;0,OR(CROQUIS!$C$104=1,CROQUIS!$C$142=1)),((CROQUIS!$C$156+(IF(CROQUIS!$C$92="X",CHOOSE(IF(INT(($A259-1)/5)&gt;MAX((MIN(80,MAX(1,INT(((CROQUIS!$C$98)-CROQUIS!$C$107)/MAX(CROQUIS!$C$130,1))+1)))-1,0),0,MOD($A259-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259-1)/5),MAX((MIN(80,MAX(1,INT(((CROQUIS!$C$98)-CROQUIS!$C$107)/MAX(CROQUIS!$C$130,1))+1)))-1,0))*CROQUIS!$C$130)))*CROQUIS!$C$155)+IF(CROQUIS!$C$92="X",0,0)),-1000)</f>
        <v>-1000</v>
      </c>
      <c r="BO25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259-1)/5),MAX((MIN(80,MAX(1,INT(((CROQUIS!$C$98)-CROQUIS!$C$107)/MAX(CROQUIS!$C$130,1))+1)))-1,0))*CROQUIS!$C$130),CHOOSE(IF(INT(($A259-1)/5)&gt;MAX((MIN(80,MAX(1,INT(((CROQUIS!$C$98)-CROQUIS!$C$107)/MAX(CROQUIS!$C$130,1))+1)))-1,0),0,MOD($A259-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5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259-1)/5),MAX((MIN(80,MAX(1,INT(((CROQUIS!$C$97)-CROQUIS!$C$107)/MAX(CROQUIS!$C$138,1))+1)))-1,0))*CROQUIS!$C$138),CHOOSE(IF(INT(($A259-1)/5)&gt;MAX((MIN(80,MAX(1,INT(((CROQUIS!$C$97)-CROQUIS!$C$107)/MAX(CROQUIS!$C$138,1))+1)))-1,0),0,MOD($A259-1,5))+1,0,IF(CROQUIS!$C$105=1,-12,2),CROQUIS!$C$107/2+CROQUIS!$C$141,IF(CROQUIS!$C$105=1,-12,2),0)))*CROQUIS!$C$155)+IF(CROQUIS!$C$92="X",0,0)),-1000)</f>
        <v>-1000</v>
      </c>
      <c r="BQ259">
        <f>IF(AND(CROQUIS!$C$88=1,CROQUIS!$C$91=0,CROQUIS!$C$138&gt;0,OR(CROQUIS!$C$105=1,CROQUIS!$C$143=1)),((CROQUIS!$C$157+(IF(CROQUIS!$C$92="X",CHOOSE(IF(INT(($A259-1)/5)&gt;MAX((MIN(80,MAX(1,INT(((CROQUIS!$C$97)-CROQUIS!$C$107)/MAX(CROQUIS!$C$138,1))+1)))-1,0),0,MOD($A259-1,5))+1,0,IF(CROQUIS!$C$105=1,-12,2),CROQUIS!$C$107/2+CROQUIS!$C$141,IF(CROQUIS!$C$105=1,-12,2),0),((CROQUIS!$C$107/2+(((CROQUIS!$C$97)-CROQUIS!$C$107)-(MIN(80,MAX(1,INT(((CROQUIS!$C$97)-CROQUIS!$C$107)/MAX(CROQUIS!$C$138,1))+1))-1)*CROQUIS!$C$138)/2)+MIN(INT(($A259-1)/5),MAX((MIN(80,MAX(1,INT(((CROQUIS!$C$97)-CROQUIS!$C$107)/MAX(CROQUIS!$C$138,1))+1)))-1,0))*CROQUIS!$C$138)))*CROQUIS!$C$155)+IF(CROQUIS!$C$92="X",0,0)),-1000)</f>
        <v>-1000</v>
      </c>
      <c r="BR25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259-1)/5),MAX((MIN(80,MAX(1,INT(((CROQUIS!$C$97)-CROQUIS!$C$107)/MAX(CROQUIS!$C$138,1))+1)))-1,0))*CROQUIS!$C$138),CHOOSE(IF(INT(($A259-1)/5)&gt;MAX((MIN(80,MAX(1,INT(((CROQUIS!$C$97)-CROQUIS!$C$107)/MAX(CROQUIS!$C$138,1))+1)))-1,0),0,MOD($A259-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59">
        <f>IF(AND(CROQUIS!$C$88=1,CROQUIS!$C$91=0,CROQUIS!$C$138&gt;0,OR(CROQUIS!$C$106=1,CROQUIS!$C$143=1)),((CROQUIS!$C$157+(IF(CROQUIS!$C$92="X",CHOOSE(IF(INT(($A259-1)/5)&gt;MAX((MIN(80,MAX(1,INT(((CROQUIS!$C$97)-CROQUIS!$C$107)/MAX(CROQUIS!$C$138,1))+1)))-1,0),0,MOD($A259-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259-1)/5),MAX((MIN(80,MAX(1,INT(((CROQUIS!$C$97)-CROQUIS!$C$107)/MAX(CROQUIS!$C$138,1))+1)))-1,0))*CROQUIS!$C$138)))*CROQUIS!$C$155)+IF(CROQUIS!$C$92="X",0,0)),-1000)</f>
        <v>-1000</v>
      </c>
      <c r="BT259">
        <f>IF(AND(CROQUIS!$C$88=1,CROQUIS!$C$91=1,CROQUIS!$C$130&gt;0),((CROQUIS!$C$156+(IF(CROQUIS!$C$92="X",CHOOSE(IF(INT(($A259-1)/5)&gt;MAX((MIN(80,MAX(1,INT(((CROQUIS!$C$98)-CROQUIS!$C$107)/MAX(CROQUIS!$C$130,1))+1)))-1,0),0,MOD($A259-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259-1)/5),MAX((MIN(80,MAX(1,INT(((CROQUIS!$C$98)-CROQUIS!$C$107)/MAX(CROQUIS!$C$130,1))+1)))-1,0))*CROQUIS!$C$130)))*CROQUIS!$C$155)+IF(CROQUIS!$C$92="X",0,0)),-1000)</f>
        <v>-1000</v>
      </c>
      <c r="BU259">
        <f>IF(AND(CROQUIS!$C$88=1,CROQUIS!$C$91=1,CROQUIS!$C$130&gt;0),((CROQUIS!$C$157+(IF(CROQUIS!$C$92="X",((CROQUIS!$C$107/2+(((CROQUIS!$C$98)-CROQUIS!$C$107)-(MIN(80,MAX(1,INT(((CROQUIS!$C$98)-CROQUIS!$C$107)/MAX(CROQUIS!$C$130,1))+1))-1)*CROQUIS!$C$130)/2)+MIN(INT(($A259-1)/5),MAX((MIN(80,MAX(1,INT(((CROQUIS!$C$98)-CROQUIS!$C$107)/MAX(CROQUIS!$C$130,1))+1)))-1,0))*CROQUIS!$C$130),CHOOSE(IF(INT(($A259-1)/5)&gt;MAX((MIN(80,MAX(1,INT(((CROQUIS!$C$98)-CROQUIS!$C$107)/MAX(CROQUIS!$C$130,1))+1)))-1,0),0,MOD($A259-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60">
      <c r="A260" t="n">
        <v>253</v>
      </c>
      <c r="BH260">
        <f>IF(AND(CROQUIS!$C$88=1,CROQUIS!$C$126&gt;0),((CROQUIS!$C$156+(IF(CROQUIS!$C$92="X",CHOOSE(IF(INT(($A260-1)/5)&gt;MAX((MIN(80,MAX(1,INT(((CROQUIS!$C$98)-CROQUIS!$C$107)/MAX(CROQUIS!$C$126,1))+1)))-1,0),0,MOD($A260-1,5))+1,0,2,CROQUIS!$C$97-2,2,0),((CROQUIS!$C$107/2+(((CROQUIS!$C$98)-CROQUIS!$C$107)-(MIN(80,MAX(1,INT(((CROQUIS!$C$98)-CROQUIS!$C$107)/MAX(CROQUIS!$C$126,1))+1))-1)*CROQUIS!$C$126)/2)+MIN(INT(($A260-1)/5),MAX((MIN(80,MAX(1,INT(((CROQUIS!$C$98)-CROQUIS!$C$107)/MAX(CROQUIS!$C$126,1))+1)))-1,0))*CROQUIS!$C$126)))*CROQUIS!$C$155)+IF(CROQUIS!$C$92="X",0,0)),-1000)</f>
        <v>-1000</v>
      </c>
      <c r="BI260">
        <f>IF(AND(CROQUIS!$C$88=1,CROQUIS!$C$126&gt;0),((CROQUIS!$C$157+(IF(CROQUIS!$C$92="X",((CROQUIS!$C$107/2+(((CROQUIS!$C$98)-CROQUIS!$C$107)-(MIN(80,MAX(1,INT(((CROQUIS!$C$98)-CROQUIS!$C$107)/MAX(CROQUIS!$C$126,1))+1))-1)*CROQUIS!$C$126)/2)+MIN(INT(($A260-1)/5),MAX((MIN(80,MAX(1,INT(((CROQUIS!$C$98)-CROQUIS!$C$107)/MAX(CROQUIS!$C$126,1))+1)))-1,0))*CROQUIS!$C$126),CHOOSE(IF(INT(($A260-1)/5)&gt;MAX((MIN(80,MAX(1,INT(((CROQUIS!$C$98)-CROQUIS!$C$107)/MAX(CROQUIS!$C$126,1))+1)))-1,0),0,MOD($A260-1,5))+1,0,2,CROQUIS!$C$97-2,2,0)))*CROQUIS!$C$155)+IF(CROQUIS!$C$92="X",0,0)),-1000)</f>
        <v>-1000</v>
      </c>
      <c r="BJ260">
        <f>IF(AND(CROQUIS!$C$88=1,CROQUIS!$C$134&gt;0),((CROQUIS!$C$156+(IF(CROQUIS!$C$92="X",((CROQUIS!$C$107/2+(((CROQUIS!$C$97)-CROQUIS!$C$107)-(MIN(80,MAX(1,INT(((CROQUIS!$C$97)-CROQUIS!$C$107)/MAX(CROQUIS!$C$134,1))+1))-1)*CROQUIS!$C$134)/2)+MIN(INT(($A260-1)/5),MAX((MIN(80,MAX(1,INT(((CROQUIS!$C$97)-CROQUIS!$C$107)/MAX(CROQUIS!$C$134,1))+1)))-1,0))*CROQUIS!$C$134),CHOOSE(IF(INT(($A260-1)/5)&gt;MAX((MIN(80,MAX(1,INT(((CROQUIS!$C$97)-CROQUIS!$C$107)/MAX(CROQUIS!$C$134,1))+1)))-1,0),0,MOD($A260-1,5))+1,0,2,CROQUIS!$C$98-2,2,0)))*CROQUIS!$C$155)+IF(CROQUIS!$C$92="X",0,0)),-1000)</f>
        <v>-1000</v>
      </c>
      <c r="BK260">
        <f>IF(AND(CROQUIS!$C$88=1,CROQUIS!$C$134&gt;0),((CROQUIS!$C$157+(IF(CROQUIS!$C$92="X",CHOOSE(IF(INT(($A260-1)/5)&gt;MAX((MIN(80,MAX(1,INT(((CROQUIS!$C$97)-CROQUIS!$C$107)/MAX(CROQUIS!$C$134,1))+1)))-1,0),0,MOD($A260-1,5))+1,0,2,CROQUIS!$C$98-2,2,0),((CROQUIS!$C$107/2+(((CROQUIS!$C$97)-CROQUIS!$C$107)-(MIN(80,MAX(1,INT(((CROQUIS!$C$97)-CROQUIS!$C$107)/MAX(CROQUIS!$C$134,1))+1))-1)*CROQUIS!$C$134)/2)+MIN(INT(($A260-1)/5),MAX((MIN(80,MAX(1,INT(((CROQUIS!$C$97)-CROQUIS!$C$107)/MAX(CROQUIS!$C$134,1))+1)))-1,0))*CROQUIS!$C$134)))*CROQUIS!$C$155)+IF(CROQUIS!$C$92="X",0,0)),-1000)</f>
        <v>-1000</v>
      </c>
      <c r="BL260">
        <f>IF(AND(CROQUIS!$C$88=1,CROQUIS!$C$91=0,CROQUIS!$C$130&gt;0,OR(CROQUIS!$C$103=1,CROQUIS!$C$142=1)),((CROQUIS!$C$156+(IF(CROQUIS!$C$92="X",CHOOSE(IF(INT(($A260-1)/5)&gt;MAX((MIN(80,MAX(1,INT(((CROQUIS!$C$98)-CROQUIS!$C$107)/MAX(CROQUIS!$C$130,1))+1)))-1,0),0,MOD($A260-1,5))+1,0,IF(CROQUIS!$C$103=1,-12,2),CROQUIS!$C$107/2+CROQUIS!$C$140,IF(CROQUIS!$C$103=1,-12,2),0),((CROQUIS!$C$107/2+(((CROQUIS!$C$98)-CROQUIS!$C$107)-(MIN(80,MAX(1,INT(((CROQUIS!$C$98)-CROQUIS!$C$107)/MAX(CROQUIS!$C$130,1))+1))-1)*CROQUIS!$C$130)/2)+MIN(INT(($A260-1)/5),MAX((MIN(80,MAX(1,INT(((CROQUIS!$C$98)-CROQUIS!$C$107)/MAX(CROQUIS!$C$130,1))+1)))-1,0))*CROQUIS!$C$130)))*CROQUIS!$C$155)+IF(CROQUIS!$C$92="X",0,0)),-1000)</f>
        <v>-1000</v>
      </c>
      <c r="BM26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260-1)/5),MAX((MIN(80,MAX(1,INT(((CROQUIS!$C$98)-CROQUIS!$C$107)/MAX(CROQUIS!$C$130,1))+1)))-1,0))*CROQUIS!$C$130),CHOOSE(IF(INT(($A260-1)/5)&gt;MAX((MIN(80,MAX(1,INT(((CROQUIS!$C$98)-CROQUIS!$C$107)/MAX(CROQUIS!$C$130,1))+1)))-1,0),0,MOD($A260-1,5))+1,0,IF(CROQUIS!$C$103=1,-12,2),CROQUIS!$C$107/2+CROQUIS!$C$140,IF(CROQUIS!$C$103=1,-12,2),0)))*CROQUIS!$C$155)+IF(CROQUIS!$C$92="X",0,0)),-1000)</f>
        <v>-1000</v>
      </c>
      <c r="BN260">
        <f>IF(AND(CROQUIS!$C$88=1,CROQUIS!$C$91=0,CROQUIS!$C$130&gt;0,OR(CROQUIS!$C$104=1,CROQUIS!$C$142=1)),((CROQUIS!$C$156+(IF(CROQUIS!$C$92="X",CHOOSE(IF(INT(($A260-1)/5)&gt;MAX((MIN(80,MAX(1,INT(((CROQUIS!$C$98)-CROQUIS!$C$107)/MAX(CROQUIS!$C$130,1))+1)))-1,0),0,MOD($A260-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260-1)/5),MAX((MIN(80,MAX(1,INT(((CROQUIS!$C$98)-CROQUIS!$C$107)/MAX(CROQUIS!$C$130,1))+1)))-1,0))*CROQUIS!$C$130)))*CROQUIS!$C$155)+IF(CROQUIS!$C$92="X",0,0)),-1000)</f>
        <v>-1000</v>
      </c>
      <c r="BO26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260-1)/5),MAX((MIN(80,MAX(1,INT(((CROQUIS!$C$98)-CROQUIS!$C$107)/MAX(CROQUIS!$C$130,1))+1)))-1,0))*CROQUIS!$C$130),CHOOSE(IF(INT(($A260-1)/5)&gt;MAX((MIN(80,MAX(1,INT(((CROQUIS!$C$98)-CROQUIS!$C$107)/MAX(CROQUIS!$C$130,1))+1)))-1,0),0,MOD($A260-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6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260-1)/5),MAX((MIN(80,MAX(1,INT(((CROQUIS!$C$97)-CROQUIS!$C$107)/MAX(CROQUIS!$C$138,1))+1)))-1,0))*CROQUIS!$C$138),CHOOSE(IF(INT(($A260-1)/5)&gt;MAX((MIN(80,MAX(1,INT(((CROQUIS!$C$97)-CROQUIS!$C$107)/MAX(CROQUIS!$C$138,1))+1)))-1,0),0,MOD($A260-1,5))+1,0,IF(CROQUIS!$C$105=1,-12,2),CROQUIS!$C$107/2+CROQUIS!$C$141,IF(CROQUIS!$C$105=1,-12,2),0)))*CROQUIS!$C$155)+IF(CROQUIS!$C$92="X",0,0)),-1000)</f>
        <v>-1000</v>
      </c>
      <c r="BQ260">
        <f>IF(AND(CROQUIS!$C$88=1,CROQUIS!$C$91=0,CROQUIS!$C$138&gt;0,OR(CROQUIS!$C$105=1,CROQUIS!$C$143=1)),((CROQUIS!$C$157+(IF(CROQUIS!$C$92="X",CHOOSE(IF(INT(($A260-1)/5)&gt;MAX((MIN(80,MAX(1,INT(((CROQUIS!$C$97)-CROQUIS!$C$107)/MAX(CROQUIS!$C$138,1))+1)))-1,0),0,MOD($A260-1,5))+1,0,IF(CROQUIS!$C$105=1,-12,2),CROQUIS!$C$107/2+CROQUIS!$C$141,IF(CROQUIS!$C$105=1,-12,2),0),((CROQUIS!$C$107/2+(((CROQUIS!$C$97)-CROQUIS!$C$107)-(MIN(80,MAX(1,INT(((CROQUIS!$C$97)-CROQUIS!$C$107)/MAX(CROQUIS!$C$138,1))+1))-1)*CROQUIS!$C$138)/2)+MIN(INT(($A260-1)/5),MAX((MIN(80,MAX(1,INT(((CROQUIS!$C$97)-CROQUIS!$C$107)/MAX(CROQUIS!$C$138,1))+1)))-1,0))*CROQUIS!$C$138)))*CROQUIS!$C$155)+IF(CROQUIS!$C$92="X",0,0)),-1000)</f>
        <v>-1000</v>
      </c>
      <c r="BR26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260-1)/5),MAX((MIN(80,MAX(1,INT(((CROQUIS!$C$97)-CROQUIS!$C$107)/MAX(CROQUIS!$C$138,1))+1)))-1,0))*CROQUIS!$C$138),CHOOSE(IF(INT(($A260-1)/5)&gt;MAX((MIN(80,MAX(1,INT(((CROQUIS!$C$97)-CROQUIS!$C$107)/MAX(CROQUIS!$C$138,1))+1)))-1,0),0,MOD($A260-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60">
        <f>IF(AND(CROQUIS!$C$88=1,CROQUIS!$C$91=0,CROQUIS!$C$138&gt;0,OR(CROQUIS!$C$106=1,CROQUIS!$C$143=1)),((CROQUIS!$C$157+(IF(CROQUIS!$C$92="X",CHOOSE(IF(INT(($A260-1)/5)&gt;MAX((MIN(80,MAX(1,INT(((CROQUIS!$C$97)-CROQUIS!$C$107)/MAX(CROQUIS!$C$138,1))+1)))-1,0),0,MOD($A260-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260-1)/5),MAX((MIN(80,MAX(1,INT(((CROQUIS!$C$97)-CROQUIS!$C$107)/MAX(CROQUIS!$C$138,1))+1)))-1,0))*CROQUIS!$C$138)))*CROQUIS!$C$155)+IF(CROQUIS!$C$92="X",0,0)),-1000)</f>
        <v>-1000</v>
      </c>
      <c r="BT260">
        <f>IF(AND(CROQUIS!$C$88=1,CROQUIS!$C$91=1,CROQUIS!$C$130&gt;0),((CROQUIS!$C$156+(IF(CROQUIS!$C$92="X",CHOOSE(IF(INT(($A260-1)/5)&gt;MAX((MIN(80,MAX(1,INT(((CROQUIS!$C$98)-CROQUIS!$C$107)/MAX(CROQUIS!$C$130,1))+1)))-1,0),0,MOD($A260-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260-1)/5),MAX((MIN(80,MAX(1,INT(((CROQUIS!$C$98)-CROQUIS!$C$107)/MAX(CROQUIS!$C$130,1))+1)))-1,0))*CROQUIS!$C$130)))*CROQUIS!$C$155)+IF(CROQUIS!$C$92="X",0,0)),-1000)</f>
        <v>-1000</v>
      </c>
      <c r="BU260">
        <f>IF(AND(CROQUIS!$C$88=1,CROQUIS!$C$91=1,CROQUIS!$C$130&gt;0),((CROQUIS!$C$157+(IF(CROQUIS!$C$92="X",((CROQUIS!$C$107/2+(((CROQUIS!$C$98)-CROQUIS!$C$107)-(MIN(80,MAX(1,INT(((CROQUIS!$C$98)-CROQUIS!$C$107)/MAX(CROQUIS!$C$130,1))+1))-1)*CROQUIS!$C$130)/2)+MIN(INT(($A260-1)/5),MAX((MIN(80,MAX(1,INT(((CROQUIS!$C$98)-CROQUIS!$C$107)/MAX(CROQUIS!$C$130,1))+1)))-1,0))*CROQUIS!$C$130),CHOOSE(IF(INT(($A260-1)/5)&gt;MAX((MIN(80,MAX(1,INT(((CROQUIS!$C$98)-CROQUIS!$C$107)/MAX(CROQUIS!$C$130,1))+1)))-1,0),0,MOD($A260-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61">
      <c r="A261" t="n">
        <v>254</v>
      </c>
      <c r="BH261">
        <f>IF(AND(CROQUIS!$C$88=1,CROQUIS!$C$126&gt;0),((CROQUIS!$C$156+(IF(CROQUIS!$C$92="X",CHOOSE(IF(INT(($A261-1)/5)&gt;MAX((MIN(80,MAX(1,INT(((CROQUIS!$C$98)-CROQUIS!$C$107)/MAX(CROQUIS!$C$126,1))+1)))-1,0),0,MOD($A261-1,5))+1,0,2,CROQUIS!$C$97-2,2,0),((CROQUIS!$C$107/2+(((CROQUIS!$C$98)-CROQUIS!$C$107)-(MIN(80,MAX(1,INT(((CROQUIS!$C$98)-CROQUIS!$C$107)/MAX(CROQUIS!$C$126,1))+1))-1)*CROQUIS!$C$126)/2)+MIN(INT(($A261-1)/5),MAX((MIN(80,MAX(1,INT(((CROQUIS!$C$98)-CROQUIS!$C$107)/MAX(CROQUIS!$C$126,1))+1)))-1,0))*CROQUIS!$C$126)))*CROQUIS!$C$155)+IF(CROQUIS!$C$92="X",0,0)),-1000)</f>
        <v>-1000</v>
      </c>
      <c r="BI261">
        <f>IF(AND(CROQUIS!$C$88=1,CROQUIS!$C$126&gt;0),((CROQUIS!$C$157+(IF(CROQUIS!$C$92="X",((CROQUIS!$C$107/2+(((CROQUIS!$C$98)-CROQUIS!$C$107)-(MIN(80,MAX(1,INT(((CROQUIS!$C$98)-CROQUIS!$C$107)/MAX(CROQUIS!$C$126,1))+1))-1)*CROQUIS!$C$126)/2)+MIN(INT(($A261-1)/5),MAX((MIN(80,MAX(1,INT(((CROQUIS!$C$98)-CROQUIS!$C$107)/MAX(CROQUIS!$C$126,1))+1)))-1,0))*CROQUIS!$C$126),CHOOSE(IF(INT(($A261-1)/5)&gt;MAX((MIN(80,MAX(1,INT(((CROQUIS!$C$98)-CROQUIS!$C$107)/MAX(CROQUIS!$C$126,1))+1)))-1,0),0,MOD($A261-1,5))+1,0,2,CROQUIS!$C$97-2,2,0)))*CROQUIS!$C$155)+IF(CROQUIS!$C$92="X",0,0)),-1000)</f>
        <v>-1000</v>
      </c>
      <c r="BJ261">
        <f>IF(AND(CROQUIS!$C$88=1,CROQUIS!$C$134&gt;0),((CROQUIS!$C$156+(IF(CROQUIS!$C$92="X",((CROQUIS!$C$107/2+(((CROQUIS!$C$97)-CROQUIS!$C$107)-(MIN(80,MAX(1,INT(((CROQUIS!$C$97)-CROQUIS!$C$107)/MAX(CROQUIS!$C$134,1))+1))-1)*CROQUIS!$C$134)/2)+MIN(INT(($A261-1)/5),MAX((MIN(80,MAX(1,INT(((CROQUIS!$C$97)-CROQUIS!$C$107)/MAX(CROQUIS!$C$134,1))+1)))-1,0))*CROQUIS!$C$134),CHOOSE(IF(INT(($A261-1)/5)&gt;MAX((MIN(80,MAX(1,INT(((CROQUIS!$C$97)-CROQUIS!$C$107)/MAX(CROQUIS!$C$134,1))+1)))-1,0),0,MOD($A261-1,5))+1,0,2,CROQUIS!$C$98-2,2,0)))*CROQUIS!$C$155)+IF(CROQUIS!$C$92="X",0,0)),-1000)</f>
        <v>-1000</v>
      </c>
      <c r="BK261">
        <f>IF(AND(CROQUIS!$C$88=1,CROQUIS!$C$134&gt;0),((CROQUIS!$C$157+(IF(CROQUIS!$C$92="X",CHOOSE(IF(INT(($A261-1)/5)&gt;MAX((MIN(80,MAX(1,INT(((CROQUIS!$C$97)-CROQUIS!$C$107)/MAX(CROQUIS!$C$134,1))+1)))-1,0),0,MOD($A261-1,5))+1,0,2,CROQUIS!$C$98-2,2,0),((CROQUIS!$C$107/2+(((CROQUIS!$C$97)-CROQUIS!$C$107)-(MIN(80,MAX(1,INT(((CROQUIS!$C$97)-CROQUIS!$C$107)/MAX(CROQUIS!$C$134,1))+1))-1)*CROQUIS!$C$134)/2)+MIN(INT(($A261-1)/5),MAX((MIN(80,MAX(1,INT(((CROQUIS!$C$97)-CROQUIS!$C$107)/MAX(CROQUIS!$C$134,1))+1)))-1,0))*CROQUIS!$C$134)))*CROQUIS!$C$155)+IF(CROQUIS!$C$92="X",0,0)),-1000)</f>
        <v>-1000</v>
      </c>
      <c r="BL261">
        <f>IF(AND(CROQUIS!$C$88=1,CROQUIS!$C$91=0,CROQUIS!$C$130&gt;0,OR(CROQUIS!$C$103=1,CROQUIS!$C$142=1)),((CROQUIS!$C$156+(IF(CROQUIS!$C$92="X",CHOOSE(IF(INT(($A261-1)/5)&gt;MAX((MIN(80,MAX(1,INT(((CROQUIS!$C$98)-CROQUIS!$C$107)/MAX(CROQUIS!$C$130,1))+1)))-1,0),0,MOD($A261-1,5))+1,0,IF(CROQUIS!$C$103=1,-12,2),CROQUIS!$C$107/2+CROQUIS!$C$140,IF(CROQUIS!$C$103=1,-12,2),0),((CROQUIS!$C$107/2+(((CROQUIS!$C$98)-CROQUIS!$C$107)-(MIN(80,MAX(1,INT(((CROQUIS!$C$98)-CROQUIS!$C$107)/MAX(CROQUIS!$C$130,1))+1))-1)*CROQUIS!$C$130)/2)+MIN(INT(($A261-1)/5),MAX((MIN(80,MAX(1,INT(((CROQUIS!$C$98)-CROQUIS!$C$107)/MAX(CROQUIS!$C$130,1))+1)))-1,0))*CROQUIS!$C$130)))*CROQUIS!$C$155)+IF(CROQUIS!$C$92="X",0,0)),-1000)</f>
        <v>-1000</v>
      </c>
      <c r="BM26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261-1)/5),MAX((MIN(80,MAX(1,INT(((CROQUIS!$C$98)-CROQUIS!$C$107)/MAX(CROQUIS!$C$130,1))+1)))-1,0))*CROQUIS!$C$130),CHOOSE(IF(INT(($A261-1)/5)&gt;MAX((MIN(80,MAX(1,INT(((CROQUIS!$C$98)-CROQUIS!$C$107)/MAX(CROQUIS!$C$130,1))+1)))-1,0),0,MOD($A261-1,5))+1,0,IF(CROQUIS!$C$103=1,-12,2),CROQUIS!$C$107/2+CROQUIS!$C$140,IF(CROQUIS!$C$103=1,-12,2),0)))*CROQUIS!$C$155)+IF(CROQUIS!$C$92="X",0,0)),-1000)</f>
        <v>-1000</v>
      </c>
      <c r="BN261">
        <f>IF(AND(CROQUIS!$C$88=1,CROQUIS!$C$91=0,CROQUIS!$C$130&gt;0,OR(CROQUIS!$C$104=1,CROQUIS!$C$142=1)),((CROQUIS!$C$156+(IF(CROQUIS!$C$92="X",CHOOSE(IF(INT(($A261-1)/5)&gt;MAX((MIN(80,MAX(1,INT(((CROQUIS!$C$98)-CROQUIS!$C$107)/MAX(CROQUIS!$C$130,1))+1)))-1,0),0,MOD($A261-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261-1)/5),MAX((MIN(80,MAX(1,INT(((CROQUIS!$C$98)-CROQUIS!$C$107)/MAX(CROQUIS!$C$130,1))+1)))-1,0))*CROQUIS!$C$130)))*CROQUIS!$C$155)+IF(CROQUIS!$C$92="X",0,0)),-1000)</f>
        <v>-1000</v>
      </c>
      <c r="BO26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261-1)/5),MAX((MIN(80,MAX(1,INT(((CROQUIS!$C$98)-CROQUIS!$C$107)/MAX(CROQUIS!$C$130,1))+1)))-1,0))*CROQUIS!$C$130),CHOOSE(IF(INT(($A261-1)/5)&gt;MAX((MIN(80,MAX(1,INT(((CROQUIS!$C$98)-CROQUIS!$C$107)/MAX(CROQUIS!$C$130,1))+1)))-1,0),0,MOD($A261-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6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261-1)/5),MAX((MIN(80,MAX(1,INT(((CROQUIS!$C$97)-CROQUIS!$C$107)/MAX(CROQUIS!$C$138,1))+1)))-1,0))*CROQUIS!$C$138),CHOOSE(IF(INT(($A261-1)/5)&gt;MAX((MIN(80,MAX(1,INT(((CROQUIS!$C$97)-CROQUIS!$C$107)/MAX(CROQUIS!$C$138,1))+1)))-1,0),0,MOD($A261-1,5))+1,0,IF(CROQUIS!$C$105=1,-12,2),CROQUIS!$C$107/2+CROQUIS!$C$141,IF(CROQUIS!$C$105=1,-12,2),0)))*CROQUIS!$C$155)+IF(CROQUIS!$C$92="X",0,0)),-1000)</f>
        <v>-1000</v>
      </c>
      <c r="BQ261">
        <f>IF(AND(CROQUIS!$C$88=1,CROQUIS!$C$91=0,CROQUIS!$C$138&gt;0,OR(CROQUIS!$C$105=1,CROQUIS!$C$143=1)),((CROQUIS!$C$157+(IF(CROQUIS!$C$92="X",CHOOSE(IF(INT(($A261-1)/5)&gt;MAX((MIN(80,MAX(1,INT(((CROQUIS!$C$97)-CROQUIS!$C$107)/MAX(CROQUIS!$C$138,1))+1)))-1,0),0,MOD($A261-1,5))+1,0,IF(CROQUIS!$C$105=1,-12,2),CROQUIS!$C$107/2+CROQUIS!$C$141,IF(CROQUIS!$C$105=1,-12,2),0),((CROQUIS!$C$107/2+(((CROQUIS!$C$97)-CROQUIS!$C$107)-(MIN(80,MAX(1,INT(((CROQUIS!$C$97)-CROQUIS!$C$107)/MAX(CROQUIS!$C$138,1))+1))-1)*CROQUIS!$C$138)/2)+MIN(INT(($A261-1)/5),MAX((MIN(80,MAX(1,INT(((CROQUIS!$C$97)-CROQUIS!$C$107)/MAX(CROQUIS!$C$138,1))+1)))-1,0))*CROQUIS!$C$138)))*CROQUIS!$C$155)+IF(CROQUIS!$C$92="X",0,0)),-1000)</f>
        <v>-1000</v>
      </c>
      <c r="BR26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261-1)/5),MAX((MIN(80,MAX(1,INT(((CROQUIS!$C$97)-CROQUIS!$C$107)/MAX(CROQUIS!$C$138,1))+1)))-1,0))*CROQUIS!$C$138),CHOOSE(IF(INT(($A261-1)/5)&gt;MAX((MIN(80,MAX(1,INT(((CROQUIS!$C$97)-CROQUIS!$C$107)/MAX(CROQUIS!$C$138,1))+1)))-1,0),0,MOD($A261-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61">
        <f>IF(AND(CROQUIS!$C$88=1,CROQUIS!$C$91=0,CROQUIS!$C$138&gt;0,OR(CROQUIS!$C$106=1,CROQUIS!$C$143=1)),((CROQUIS!$C$157+(IF(CROQUIS!$C$92="X",CHOOSE(IF(INT(($A261-1)/5)&gt;MAX((MIN(80,MAX(1,INT(((CROQUIS!$C$97)-CROQUIS!$C$107)/MAX(CROQUIS!$C$138,1))+1)))-1,0),0,MOD($A261-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261-1)/5),MAX((MIN(80,MAX(1,INT(((CROQUIS!$C$97)-CROQUIS!$C$107)/MAX(CROQUIS!$C$138,1))+1)))-1,0))*CROQUIS!$C$138)))*CROQUIS!$C$155)+IF(CROQUIS!$C$92="X",0,0)),-1000)</f>
        <v>-1000</v>
      </c>
      <c r="BT261">
        <f>IF(AND(CROQUIS!$C$88=1,CROQUIS!$C$91=1,CROQUIS!$C$130&gt;0),((CROQUIS!$C$156+(IF(CROQUIS!$C$92="X",CHOOSE(IF(INT(($A261-1)/5)&gt;MAX((MIN(80,MAX(1,INT(((CROQUIS!$C$98)-CROQUIS!$C$107)/MAX(CROQUIS!$C$130,1))+1)))-1,0),0,MOD($A261-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261-1)/5),MAX((MIN(80,MAX(1,INT(((CROQUIS!$C$98)-CROQUIS!$C$107)/MAX(CROQUIS!$C$130,1))+1)))-1,0))*CROQUIS!$C$130)))*CROQUIS!$C$155)+IF(CROQUIS!$C$92="X",0,0)),-1000)</f>
        <v>-1000</v>
      </c>
      <c r="BU261">
        <f>IF(AND(CROQUIS!$C$88=1,CROQUIS!$C$91=1,CROQUIS!$C$130&gt;0),((CROQUIS!$C$157+(IF(CROQUIS!$C$92="X",((CROQUIS!$C$107/2+(((CROQUIS!$C$98)-CROQUIS!$C$107)-(MIN(80,MAX(1,INT(((CROQUIS!$C$98)-CROQUIS!$C$107)/MAX(CROQUIS!$C$130,1))+1))-1)*CROQUIS!$C$130)/2)+MIN(INT(($A261-1)/5),MAX((MIN(80,MAX(1,INT(((CROQUIS!$C$98)-CROQUIS!$C$107)/MAX(CROQUIS!$C$130,1))+1)))-1,0))*CROQUIS!$C$130),CHOOSE(IF(INT(($A261-1)/5)&gt;MAX((MIN(80,MAX(1,INT(((CROQUIS!$C$98)-CROQUIS!$C$107)/MAX(CROQUIS!$C$130,1))+1)))-1,0),0,MOD($A261-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62">
      <c r="A262" t="n">
        <v>255</v>
      </c>
      <c r="BH262">
        <f>IF(AND(CROQUIS!$C$88=1,CROQUIS!$C$126&gt;0),((CROQUIS!$C$156+(IF(CROQUIS!$C$92="X",CHOOSE(IF(INT(($A262-1)/5)&gt;MAX((MIN(80,MAX(1,INT(((CROQUIS!$C$98)-CROQUIS!$C$107)/MAX(CROQUIS!$C$126,1))+1)))-1,0),0,MOD($A262-1,5))+1,0,2,CROQUIS!$C$97-2,2,0),((CROQUIS!$C$107/2+(((CROQUIS!$C$98)-CROQUIS!$C$107)-(MIN(80,MAX(1,INT(((CROQUIS!$C$98)-CROQUIS!$C$107)/MAX(CROQUIS!$C$126,1))+1))-1)*CROQUIS!$C$126)/2)+MIN(INT(($A262-1)/5),MAX((MIN(80,MAX(1,INT(((CROQUIS!$C$98)-CROQUIS!$C$107)/MAX(CROQUIS!$C$126,1))+1)))-1,0))*CROQUIS!$C$126)))*CROQUIS!$C$155)+IF(CROQUIS!$C$92="X",0,0)),-1000)</f>
        <v>-1000</v>
      </c>
      <c r="BI262">
        <f>IF(AND(CROQUIS!$C$88=1,CROQUIS!$C$126&gt;0),((CROQUIS!$C$157+(IF(CROQUIS!$C$92="X",((CROQUIS!$C$107/2+(((CROQUIS!$C$98)-CROQUIS!$C$107)-(MIN(80,MAX(1,INT(((CROQUIS!$C$98)-CROQUIS!$C$107)/MAX(CROQUIS!$C$126,1))+1))-1)*CROQUIS!$C$126)/2)+MIN(INT(($A262-1)/5),MAX((MIN(80,MAX(1,INT(((CROQUIS!$C$98)-CROQUIS!$C$107)/MAX(CROQUIS!$C$126,1))+1)))-1,0))*CROQUIS!$C$126),CHOOSE(IF(INT(($A262-1)/5)&gt;MAX((MIN(80,MAX(1,INT(((CROQUIS!$C$98)-CROQUIS!$C$107)/MAX(CROQUIS!$C$126,1))+1)))-1,0),0,MOD($A262-1,5))+1,0,2,CROQUIS!$C$97-2,2,0)))*CROQUIS!$C$155)+IF(CROQUIS!$C$92="X",0,0)),-1000)</f>
        <v>-1000</v>
      </c>
      <c r="BJ262">
        <f>IF(AND(CROQUIS!$C$88=1,CROQUIS!$C$134&gt;0),((CROQUIS!$C$156+(IF(CROQUIS!$C$92="X",((CROQUIS!$C$107/2+(((CROQUIS!$C$97)-CROQUIS!$C$107)-(MIN(80,MAX(1,INT(((CROQUIS!$C$97)-CROQUIS!$C$107)/MAX(CROQUIS!$C$134,1))+1))-1)*CROQUIS!$C$134)/2)+MIN(INT(($A262-1)/5),MAX((MIN(80,MAX(1,INT(((CROQUIS!$C$97)-CROQUIS!$C$107)/MAX(CROQUIS!$C$134,1))+1)))-1,0))*CROQUIS!$C$134),CHOOSE(IF(INT(($A262-1)/5)&gt;MAX((MIN(80,MAX(1,INT(((CROQUIS!$C$97)-CROQUIS!$C$107)/MAX(CROQUIS!$C$134,1))+1)))-1,0),0,MOD($A262-1,5))+1,0,2,CROQUIS!$C$98-2,2,0)))*CROQUIS!$C$155)+IF(CROQUIS!$C$92="X",0,0)),-1000)</f>
        <v>-1000</v>
      </c>
      <c r="BK262">
        <f>IF(AND(CROQUIS!$C$88=1,CROQUIS!$C$134&gt;0),((CROQUIS!$C$157+(IF(CROQUIS!$C$92="X",CHOOSE(IF(INT(($A262-1)/5)&gt;MAX((MIN(80,MAX(1,INT(((CROQUIS!$C$97)-CROQUIS!$C$107)/MAX(CROQUIS!$C$134,1))+1)))-1,0),0,MOD($A262-1,5))+1,0,2,CROQUIS!$C$98-2,2,0),((CROQUIS!$C$107/2+(((CROQUIS!$C$97)-CROQUIS!$C$107)-(MIN(80,MAX(1,INT(((CROQUIS!$C$97)-CROQUIS!$C$107)/MAX(CROQUIS!$C$134,1))+1))-1)*CROQUIS!$C$134)/2)+MIN(INT(($A262-1)/5),MAX((MIN(80,MAX(1,INT(((CROQUIS!$C$97)-CROQUIS!$C$107)/MAX(CROQUIS!$C$134,1))+1)))-1,0))*CROQUIS!$C$134)))*CROQUIS!$C$155)+IF(CROQUIS!$C$92="X",0,0)),-1000)</f>
        <v>-1000</v>
      </c>
      <c r="BL262">
        <f>IF(AND(CROQUIS!$C$88=1,CROQUIS!$C$91=0,CROQUIS!$C$130&gt;0,OR(CROQUIS!$C$103=1,CROQUIS!$C$142=1)),((CROQUIS!$C$156+(IF(CROQUIS!$C$92="X",CHOOSE(IF(INT(($A262-1)/5)&gt;MAX((MIN(80,MAX(1,INT(((CROQUIS!$C$98)-CROQUIS!$C$107)/MAX(CROQUIS!$C$130,1))+1)))-1,0),0,MOD($A262-1,5))+1,0,IF(CROQUIS!$C$103=1,-12,2),CROQUIS!$C$107/2+CROQUIS!$C$140,IF(CROQUIS!$C$103=1,-12,2),0),((CROQUIS!$C$107/2+(((CROQUIS!$C$98)-CROQUIS!$C$107)-(MIN(80,MAX(1,INT(((CROQUIS!$C$98)-CROQUIS!$C$107)/MAX(CROQUIS!$C$130,1))+1))-1)*CROQUIS!$C$130)/2)+MIN(INT(($A262-1)/5),MAX((MIN(80,MAX(1,INT(((CROQUIS!$C$98)-CROQUIS!$C$107)/MAX(CROQUIS!$C$130,1))+1)))-1,0))*CROQUIS!$C$130)))*CROQUIS!$C$155)+IF(CROQUIS!$C$92="X",0,0)),-1000)</f>
        <v>-1000</v>
      </c>
      <c r="BM26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262-1)/5),MAX((MIN(80,MAX(1,INT(((CROQUIS!$C$98)-CROQUIS!$C$107)/MAX(CROQUIS!$C$130,1))+1)))-1,0))*CROQUIS!$C$130),CHOOSE(IF(INT(($A262-1)/5)&gt;MAX((MIN(80,MAX(1,INT(((CROQUIS!$C$98)-CROQUIS!$C$107)/MAX(CROQUIS!$C$130,1))+1)))-1,0),0,MOD($A262-1,5))+1,0,IF(CROQUIS!$C$103=1,-12,2),CROQUIS!$C$107/2+CROQUIS!$C$140,IF(CROQUIS!$C$103=1,-12,2),0)))*CROQUIS!$C$155)+IF(CROQUIS!$C$92="X",0,0)),-1000)</f>
        <v>-1000</v>
      </c>
      <c r="BN262">
        <f>IF(AND(CROQUIS!$C$88=1,CROQUIS!$C$91=0,CROQUIS!$C$130&gt;0,OR(CROQUIS!$C$104=1,CROQUIS!$C$142=1)),((CROQUIS!$C$156+(IF(CROQUIS!$C$92="X",CHOOSE(IF(INT(($A262-1)/5)&gt;MAX((MIN(80,MAX(1,INT(((CROQUIS!$C$98)-CROQUIS!$C$107)/MAX(CROQUIS!$C$130,1))+1)))-1,0),0,MOD($A262-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262-1)/5),MAX((MIN(80,MAX(1,INT(((CROQUIS!$C$98)-CROQUIS!$C$107)/MAX(CROQUIS!$C$130,1))+1)))-1,0))*CROQUIS!$C$130)))*CROQUIS!$C$155)+IF(CROQUIS!$C$92="X",0,0)),-1000)</f>
        <v>-1000</v>
      </c>
      <c r="BO26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262-1)/5),MAX((MIN(80,MAX(1,INT(((CROQUIS!$C$98)-CROQUIS!$C$107)/MAX(CROQUIS!$C$130,1))+1)))-1,0))*CROQUIS!$C$130),CHOOSE(IF(INT(($A262-1)/5)&gt;MAX((MIN(80,MAX(1,INT(((CROQUIS!$C$98)-CROQUIS!$C$107)/MAX(CROQUIS!$C$130,1))+1)))-1,0),0,MOD($A262-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6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262-1)/5),MAX((MIN(80,MAX(1,INT(((CROQUIS!$C$97)-CROQUIS!$C$107)/MAX(CROQUIS!$C$138,1))+1)))-1,0))*CROQUIS!$C$138),CHOOSE(IF(INT(($A262-1)/5)&gt;MAX((MIN(80,MAX(1,INT(((CROQUIS!$C$97)-CROQUIS!$C$107)/MAX(CROQUIS!$C$138,1))+1)))-1,0),0,MOD($A262-1,5))+1,0,IF(CROQUIS!$C$105=1,-12,2),CROQUIS!$C$107/2+CROQUIS!$C$141,IF(CROQUIS!$C$105=1,-12,2),0)))*CROQUIS!$C$155)+IF(CROQUIS!$C$92="X",0,0)),-1000)</f>
        <v>-1000</v>
      </c>
      <c r="BQ262">
        <f>IF(AND(CROQUIS!$C$88=1,CROQUIS!$C$91=0,CROQUIS!$C$138&gt;0,OR(CROQUIS!$C$105=1,CROQUIS!$C$143=1)),((CROQUIS!$C$157+(IF(CROQUIS!$C$92="X",CHOOSE(IF(INT(($A262-1)/5)&gt;MAX((MIN(80,MAX(1,INT(((CROQUIS!$C$97)-CROQUIS!$C$107)/MAX(CROQUIS!$C$138,1))+1)))-1,0),0,MOD($A262-1,5))+1,0,IF(CROQUIS!$C$105=1,-12,2),CROQUIS!$C$107/2+CROQUIS!$C$141,IF(CROQUIS!$C$105=1,-12,2),0),((CROQUIS!$C$107/2+(((CROQUIS!$C$97)-CROQUIS!$C$107)-(MIN(80,MAX(1,INT(((CROQUIS!$C$97)-CROQUIS!$C$107)/MAX(CROQUIS!$C$138,1))+1))-1)*CROQUIS!$C$138)/2)+MIN(INT(($A262-1)/5),MAX((MIN(80,MAX(1,INT(((CROQUIS!$C$97)-CROQUIS!$C$107)/MAX(CROQUIS!$C$138,1))+1)))-1,0))*CROQUIS!$C$138)))*CROQUIS!$C$155)+IF(CROQUIS!$C$92="X",0,0)),-1000)</f>
        <v>-1000</v>
      </c>
      <c r="BR26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262-1)/5),MAX((MIN(80,MAX(1,INT(((CROQUIS!$C$97)-CROQUIS!$C$107)/MAX(CROQUIS!$C$138,1))+1)))-1,0))*CROQUIS!$C$138),CHOOSE(IF(INT(($A262-1)/5)&gt;MAX((MIN(80,MAX(1,INT(((CROQUIS!$C$97)-CROQUIS!$C$107)/MAX(CROQUIS!$C$138,1))+1)))-1,0),0,MOD($A262-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62">
        <f>IF(AND(CROQUIS!$C$88=1,CROQUIS!$C$91=0,CROQUIS!$C$138&gt;0,OR(CROQUIS!$C$106=1,CROQUIS!$C$143=1)),((CROQUIS!$C$157+(IF(CROQUIS!$C$92="X",CHOOSE(IF(INT(($A262-1)/5)&gt;MAX((MIN(80,MAX(1,INT(((CROQUIS!$C$97)-CROQUIS!$C$107)/MAX(CROQUIS!$C$138,1))+1)))-1,0),0,MOD($A262-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262-1)/5),MAX((MIN(80,MAX(1,INT(((CROQUIS!$C$97)-CROQUIS!$C$107)/MAX(CROQUIS!$C$138,1))+1)))-1,0))*CROQUIS!$C$138)))*CROQUIS!$C$155)+IF(CROQUIS!$C$92="X",0,0)),-1000)</f>
        <v>-1000</v>
      </c>
      <c r="BT262">
        <f>IF(AND(CROQUIS!$C$88=1,CROQUIS!$C$91=1,CROQUIS!$C$130&gt;0),((CROQUIS!$C$156+(IF(CROQUIS!$C$92="X",CHOOSE(IF(INT(($A262-1)/5)&gt;MAX((MIN(80,MAX(1,INT(((CROQUIS!$C$98)-CROQUIS!$C$107)/MAX(CROQUIS!$C$130,1))+1)))-1,0),0,MOD($A262-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262-1)/5),MAX((MIN(80,MAX(1,INT(((CROQUIS!$C$98)-CROQUIS!$C$107)/MAX(CROQUIS!$C$130,1))+1)))-1,0))*CROQUIS!$C$130)))*CROQUIS!$C$155)+IF(CROQUIS!$C$92="X",0,0)),-1000)</f>
        <v>-1000</v>
      </c>
      <c r="BU262">
        <f>IF(AND(CROQUIS!$C$88=1,CROQUIS!$C$91=1,CROQUIS!$C$130&gt;0),((CROQUIS!$C$157+(IF(CROQUIS!$C$92="X",((CROQUIS!$C$107/2+(((CROQUIS!$C$98)-CROQUIS!$C$107)-(MIN(80,MAX(1,INT(((CROQUIS!$C$98)-CROQUIS!$C$107)/MAX(CROQUIS!$C$130,1))+1))-1)*CROQUIS!$C$130)/2)+MIN(INT(($A262-1)/5),MAX((MIN(80,MAX(1,INT(((CROQUIS!$C$98)-CROQUIS!$C$107)/MAX(CROQUIS!$C$130,1))+1)))-1,0))*CROQUIS!$C$130),CHOOSE(IF(INT(($A262-1)/5)&gt;MAX((MIN(80,MAX(1,INT(((CROQUIS!$C$98)-CROQUIS!$C$107)/MAX(CROQUIS!$C$130,1))+1)))-1,0),0,MOD($A262-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63">
      <c r="A263" t="n">
        <v>256</v>
      </c>
      <c r="BH263">
        <f>IF(AND(CROQUIS!$C$88=1,CROQUIS!$C$126&gt;0),((CROQUIS!$C$156+(IF(CROQUIS!$C$92="X",CHOOSE(IF(INT(($A263-1)/5)&gt;MAX((MIN(80,MAX(1,INT(((CROQUIS!$C$98)-CROQUIS!$C$107)/MAX(CROQUIS!$C$126,1))+1)))-1,0),0,MOD($A263-1,5))+1,0,2,CROQUIS!$C$97-2,2,0),((CROQUIS!$C$107/2+(((CROQUIS!$C$98)-CROQUIS!$C$107)-(MIN(80,MAX(1,INT(((CROQUIS!$C$98)-CROQUIS!$C$107)/MAX(CROQUIS!$C$126,1))+1))-1)*CROQUIS!$C$126)/2)+MIN(INT(($A263-1)/5),MAX((MIN(80,MAX(1,INT(((CROQUIS!$C$98)-CROQUIS!$C$107)/MAX(CROQUIS!$C$126,1))+1)))-1,0))*CROQUIS!$C$126)))*CROQUIS!$C$155)+IF(CROQUIS!$C$92="X",0,0)),-1000)</f>
        <v>-1000</v>
      </c>
      <c r="BI263">
        <f>IF(AND(CROQUIS!$C$88=1,CROQUIS!$C$126&gt;0),((CROQUIS!$C$157+(IF(CROQUIS!$C$92="X",((CROQUIS!$C$107/2+(((CROQUIS!$C$98)-CROQUIS!$C$107)-(MIN(80,MAX(1,INT(((CROQUIS!$C$98)-CROQUIS!$C$107)/MAX(CROQUIS!$C$126,1))+1))-1)*CROQUIS!$C$126)/2)+MIN(INT(($A263-1)/5),MAX((MIN(80,MAX(1,INT(((CROQUIS!$C$98)-CROQUIS!$C$107)/MAX(CROQUIS!$C$126,1))+1)))-1,0))*CROQUIS!$C$126),CHOOSE(IF(INT(($A263-1)/5)&gt;MAX((MIN(80,MAX(1,INT(((CROQUIS!$C$98)-CROQUIS!$C$107)/MAX(CROQUIS!$C$126,1))+1)))-1,0),0,MOD($A263-1,5))+1,0,2,CROQUIS!$C$97-2,2,0)))*CROQUIS!$C$155)+IF(CROQUIS!$C$92="X",0,0)),-1000)</f>
        <v>-1000</v>
      </c>
      <c r="BJ263">
        <f>IF(AND(CROQUIS!$C$88=1,CROQUIS!$C$134&gt;0),((CROQUIS!$C$156+(IF(CROQUIS!$C$92="X",((CROQUIS!$C$107/2+(((CROQUIS!$C$97)-CROQUIS!$C$107)-(MIN(80,MAX(1,INT(((CROQUIS!$C$97)-CROQUIS!$C$107)/MAX(CROQUIS!$C$134,1))+1))-1)*CROQUIS!$C$134)/2)+MIN(INT(($A263-1)/5),MAX((MIN(80,MAX(1,INT(((CROQUIS!$C$97)-CROQUIS!$C$107)/MAX(CROQUIS!$C$134,1))+1)))-1,0))*CROQUIS!$C$134),CHOOSE(IF(INT(($A263-1)/5)&gt;MAX((MIN(80,MAX(1,INT(((CROQUIS!$C$97)-CROQUIS!$C$107)/MAX(CROQUIS!$C$134,1))+1)))-1,0),0,MOD($A263-1,5))+1,0,2,CROQUIS!$C$98-2,2,0)))*CROQUIS!$C$155)+IF(CROQUIS!$C$92="X",0,0)),-1000)</f>
        <v>-1000</v>
      </c>
      <c r="BK263">
        <f>IF(AND(CROQUIS!$C$88=1,CROQUIS!$C$134&gt;0),((CROQUIS!$C$157+(IF(CROQUIS!$C$92="X",CHOOSE(IF(INT(($A263-1)/5)&gt;MAX((MIN(80,MAX(1,INT(((CROQUIS!$C$97)-CROQUIS!$C$107)/MAX(CROQUIS!$C$134,1))+1)))-1,0),0,MOD($A263-1,5))+1,0,2,CROQUIS!$C$98-2,2,0),((CROQUIS!$C$107/2+(((CROQUIS!$C$97)-CROQUIS!$C$107)-(MIN(80,MAX(1,INT(((CROQUIS!$C$97)-CROQUIS!$C$107)/MAX(CROQUIS!$C$134,1))+1))-1)*CROQUIS!$C$134)/2)+MIN(INT(($A263-1)/5),MAX((MIN(80,MAX(1,INT(((CROQUIS!$C$97)-CROQUIS!$C$107)/MAX(CROQUIS!$C$134,1))+1)))-1,0))*CROQUIS!$C$134)))*CROQUIS!$C$155)+IF(CROQUIS!$C$92="X",0,0)),-1000)</f>
        <v>-1000</v>
      </c>
      <c r="BL263">
        <f>IF(AND(CROQUIS!$C$88=1,CROQUIS!$C$91=0,CROQUIS!$C$130&gt;0,OR(CROQUIS!$C$103=1,CROQUIS!$C$142=1)),((CROQUIS!$C$156+(IF(CROQUIS!$C$92="X",CHOOSE(IF(INT(($A263-1)/5)&gt;MAX((MIN(80,MAX(1,INT(((CROQUIS!$C$98)-CROQUIS!$C$107)/MAX(CROQUIS!$C$130,1))+1)))-1,0),0,MOD($A263-1,5))+1,0,IF(CROQUIS!$C$103=1,-12,2),CROQUIS!$C$107/2+CROQUIS!$C$140,IF(CROQUIS!$C$103=1,-12,2),0),((CROQUIS!$C$107/2+(((CROQUIS!$C$98)-CROQUIS!$C$107)-(MIN(80,MAX(1,INT(((CROQUIS!$C$98)-CROQUIS!$C$107)/MAX(CROQUIS!$C$130,1))+1))-1)*CROQUIS!$C$130)/2)+MIN(INT(($A263-1)/5),MAX((MIN(80,MAX(1,INT(((CROQUIS!$C$98)-CROQUIS!$C$107)/MAX(CROQUIS!$C$130,1))+1)))-1,0))*CROQUIS!$C$130)))*CROQUIS!$C$155)+IF(CROQUIS!$C$92="X",0,0)),-1000)</f>
        <v>-1000</v>
      </c>
      <c r="BM26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263-1)/5),MAX((MIN(80,MAX(1,INT(((CROQUIS!$C$98)-CROQUIS!$C$107)/MAX(CROQUIS!$C$130,1))+1)))-1,0))*CROQUIS!$C$130),CHOOSE(IF(INT(($A263-1)/5)&gt;MAX((MIN(80,MAX(1,INT(((CROQUIS!$C$98)-CROQUIS!$C$107)/MAX(CROQUIS!$C$130,1))+1)))-1,0),0,MOD($A263-1,5))+1,0,IF(CROQUIS!$C$103=1,-12,2),CROQUIS!$C$107/2+CROQUIS!$C$140,IF(CROQUIS!$C$103=1,-12,2),0)))*CROQUIS!$C$155)+IF(CROQUIS!$C$92="X",0,0)),-1000)</f>
        <v>-1000</v>
      </c>
      <c r="BN263">
        <f>IF(AND(CROQUIS!$C$88=1,CROQUIS!$C$91=0,CROQUIS!$C$130&gt;0,OR(CROQUIS!$C$104=1,CROQUIS!$C$142=1)),((CROQUIS!$C$156+(IF(CROQUIS!$C$92="X",CHOOSE(IF(INT(($A263-1)/5)&gt;MAX((MIN(80,MAX(1,INT(((CROQUIS!$C$98)-CROQUIS!$C$107)/MAX(CROQUIS!$C$130,1))+1)))-1,0),0,MOD($A263-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263-1)/5),MAX((MIN(80,MAX(1,INT(((CROQUIS!$C$98)-CROQUIS!$C$107)/MAX(CROQUIS!$C$130,1))+1)))-1,0))*CROQUIS!$C$130)))*CROQUIS!$C$155)+IF(CROQUIS!$C$92="X",0,0)),-1000)</f>
        <v>-1000</v>
      </c>
      <c r="BO26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263-1)/5),MAX((MIN(80,MAX(1,INT(((CROQUIS!$C$98)-CROQUIS!$C$107)/MAX(CROQUIS!$C$130,1))+1)))-1,0))*CROQUIS!$C$130),CHOOSE(IF(INT(($A263-1)/5)&gt;MAX((MIN(80,MAX(1,INT(((CROQUIS!$C$98)-CROQUIS!$C$107)/MAX(CROQUIS!$C$130,1))+1)))-1,0),0,MOD($A263-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6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263-1)/5),MAX((MIN(80,MAX(1,INT(((CROQUIS!$C$97)-CROQUIS!$C$107)/MAX(CROQUIS!$C$138,1))+1)))-1,0))*CROQUIS!$C$138),CHOOSE(IF(INT(($A263-1)/5)&gt;MAX((MIN(80,MAX(1,INT(((CROQUIS!$C$97)-CROQUIS!$C$107)/MAX(CROQUIS!$C$138,1))+1)))-1,0),0,MOD($A263-1,5))+1,0,IF(CROQUIS!$C$105=1,-12,2),CROQUIS!$C$107/2+CROQUIS!$C$141,IF(CROQUIS!$C$105=1,-12,2),0)))*CROQUIS!$C$155)+IF(CROQUIS!$C$92="X",0,0)),-1000)</f>
        <v>-1000</v>
      </c>
      <c r="BQ263">
        <f>IF(AND(CROQUIS!$C$88=1,CROQUIS!$C$91=0,CROQUIS!$C$138&gt;0,OR(CROQUIS!$C$105=1,CROQUIS!$C$143=1)),((CROQUIS!$C$157+(IF(CROQUIS!$C$92="X",CHOOSE(IF(INT(($A263-1)/5)&gt;MAX((MIN(80,MAX(1,INT(((CROQUIS!$C$97)-CROQUIS!$C$107)/MAX(CROQUIS!$C$138,1))+1)))-1,0),0,MOD($A263-1,5))+1,0,IF(CROQUIS!$C$105=1,-12,2),CROQUIS!$C$107/2+CROQUIS!$C$141,IF(CROQUIS!$C$105=1,-12,2),0),((CROQUIS!$C$107/2+(((CROQUIS!$C$97)-CROQUIS!$C$107)-(MIN(80,MAX(1,INT(((CROQUIS!$C$97)-CROQUIS!$C$107)/MAX(CROQUIS!$C$138,1))+1))-1)*CROQUIS!$C$138)/2)+MIN(INT(($A263-1)/5),MAX((MIN(80,MAX(1,INT(((CROQUIS!$C$97)-CROQUIS!$C$107)/MAX(CROQUIS!$C$138,1))+1)))-1,0))*CROQUIS!$C$138)))*CROQUIS!$C$155)+IF(CROQUIS!$C$92="X",0,0)),-1000)</f>
        <v>-1000</v>
      </c>
      <c r="BR26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263-1)/5),MAX((MIN(80,MAX(1,INT(((CROQUIS!$C$97)-CROQUIS!$C$107)/MAX(CROQUIS!$C$138,1))+1)))-1,0))*CROQUIS!$C$138),CHOOSE(IF(INT(($A263-1)/5)&gt;MAX((MIN(80,MAX(1,INT(((CROQUIS!$C$97)-CROQUIS!$C$107)/MAX(CROQUIS!$C$138,1))+1)))-1,0),0,MOD($A263-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63">
        <f>IF(AND(CROQUIS!$C$88=1,CROQUIS!$C$91=0,CROQUIS!$C$138&gt;0,OR(CROQUIS!$C$106=1,CROQUIS!$C$143=1)),((CROQUIS!$C$157+(IF(CROQUIS!$C$92="X",CHOOSE(IF(INT(($A263-1)/5)&gt;MAX((MIN(80,MAX(1,INT(((CROQUIS!$C$97)-CROQUIS!$C$107)/MAX(CROQUIS!$C$138,1))+1)))-1,0),0,MOD($A263-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263-1)/5),MAX((MIN(80,MAX(1,INT(((CROQUIS!$C$97)-CROQUIS!$C$107)/MAX(CROQUIS!$C$138,1))+1)))-1,0))*CROQUIS!$C$138)))*CROQUIS!$C$155)+IF(CROQUIS!$C$92="X",0,0)),-1000)</f>
        <v>-1000</v>
      </c>
      <c r="BT263">
        <f>IF(AND(CROQUIS!$C$88=1,CROQUIS!$C$91=1,CROQUIS!$C$130&gt;0),((CROQUIS!$C$156+(IF(CROQUIS!$C$92="X",CHOOSE(IF(INT(($A263-1)/5)&gt;MAX((MIN(80,MAX(1,INT(((CROQUIS!$C$98)-CROQUIS!$C$107)/MAX(CROQUIS!$C$130,1))+1)))-1,0),0,MOD($A263-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263-1)/5),MAX((MIN(80,MAX(1,INT(((CROQUIS!$C$98)-CROQUIS!$C$107)/MAX(CROQUIS!$C$130,1))+1)))-1,0))*CROQUIS!$C$130)))*CROQUIS!$C$155)+IF(CROQUIS!$C$92="X",0,0)),-1000)</f>
        <v>-1000</v>
      </c>
      <c r="BU263">
        <f>IF(AND(CROQUIS!$C$88=1,CROQUIS!$C$91=1,CROQUIS!$C$130&gt;0),((CROQUIS!$C$157+(IF(CROQUIS!$C$92="X",((CROQUIS!$C$107/2+(((CROQUIS!$C$98)-CROQUIS!$C$107)-(MIN(80,MAX(1,INT(((CROQUIS!$C$98)-CROQUIS!$C$107)/MAX(CROQUIS!$C$130,1))+1))-1)*CROQUIS!$C$130)/2)+MIN(INT(($A263-1)/5),MAX((MIN(80,MAX(1,INT(((CROQUIS!$C$98)-CROQUIS!$C$107)/MAX(CROQUIS!$C$130,1))+1)))-1,0))*CROQUIS!$C$130),CHOOSE(IF(INT(($A263-1)/5)&gt;MAX((MIN(80,MAX(1,INT(((CROQUIS!$C$98)-CROQUIS!$C$107)/MAX(CROQUIS!$C$130,1))+1)))-1,0),0,MOD($A263-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64">
      <c r="A264" t="n">
        <v>257</v>
      </c>
      <c r="BH264">
        <f>IF(AND(CROQUIS!$C$88=1,CROQUIS!$C$126&gt;0),((CROQUIS!$C$156+(IF(CROQUIS!$C$92="X",CHOOSE(IF(INT(($A264-1)/5)&gt;MAX((MIN(80,MAX(1,INT(((CROQUIS!$C$98)-CROQUIS!$C$107)/MAX(CROQUIS!$C$126,1))+1)))-1,0),0,MOD($A264-1,5))+1,0,2,CROQUIS!$C$97-2,2,0),((CROQUIS!$C$107/2+(((CROQUIS!$C$98)-CROQUIS!$C$107)-(MIN(80,MAX(1,INT(((CROQUIS!$C$98)-CROQUIS!$C$107)/MAX(CROQUIS!$C$126,1))+1))-1)*CROQUIS!$C$126)/2)+MIN(INT(($A264-1)/5),MAX((MIN(80,MAX(1,INT(((CROQUIS!$C$98)-CROQUIS!$C$107)/MAX(CROQUIS!$C$126,1))+1)))-1,0))*CROQUIS!$C$126)))*CROQUIS!$C$155)+IF(CROQUIS!$C$92="X",0,0)),-1000)</f>
        <v>-1000</v>
      </c>
      <c r="BI264">
        <f>IF(AND(CROQUIS!$C$88=1,CROQUIS!$C$126&gt;0),((CROQUIS!$C$157+(IF(CROQUIS!$C$92="X",((CROQUIS!$C$107/2+(((CROQUIS!$C$98)-CROQUIS!$C$107)-(MIN(80,MAX(1,INT(((CROQUIS!$C$98)-CROQUIS!$C$107)/MAX(CROQUIS!$C$126,1))+1))-1)*CROQUIS!$C$126)/2)+MIN(INT(($A264-1)/5),MAX((MIN(80,MAX(1,INT(((CROQUIS!$C$98)-CROQUIS!$C$107)/MAX(CROQUIS!$C$126,1))+1)))-1,0))*CROQUIS!$C$126),CHOOSE(IF(INT(($A264-1)/5)&gt;MAX((MIN(80,MAX(1,INT(((CROQUIS!$C$98)-CROQUIS!$C$107)/MAX(CROQUIS!$C$126,1))+1)))-1,0),0,MOD($A264-1,5))+1,0,2,CROQUIS!$C$97-2,2,0)))*CROQUIS!$C$155)+IF(CROQUIS!$C$92="X",0,0)),-1000)</f>
        <v>-1000</v>
      </c>
      <c r="BJ264">
        <f>IF(AND(CROQUIS!$C$88=1,CROQUIS!$C$134&gt;0),((CROQUIS!$C$156+(IF(CROQUIS!$C$92="X",((CROQUIS!$C$107/2+(((CROQUIS!$C$97)-CROQUIS!$C$107)-(MIN(80,MAX(1,INT(((CROQUIS!$C$97)-CROQUIS!$C$107)/MAX(CROQUIS!$C$134,1))+1))-1)*CROQUIS!$C$134)/2)+MIN(INT(($A264-1)/5),MAX((MIN(80,MAX(1,INT(((CROQUIS!$C$97)-CROQUIS!$C$107)/MAX(CROQUIS!$C$134,1))+1)))-1,0))*CROQUIS!$C$134),CHOOSE(IF(INT(($A264-1)/5)&gt;MAX((MIN(80,MAX(1,INT(((CROQUIS!$C$97)-CROQUIS!$C$107)/MAX(CROQUIS!$C$134,1))+1)))-1,0),0,MOD($A264-1,5))+1,0,2,CROQUIS!$C$98-2,2,0)))*CROQUIS!$C$155)+IF(CROQUIS!$C$92="X",0,0)),-1000)</f>
        <v>-1000</v>
      </c>
      <c r="BK264">
        <f>IF(AND(CROQUIS!$C$88=1,CROQUIS!$C$134&gt;0),((CROQUIS!$C$157+(IF(CROQUIS!$C$92="X",CHOOSE(IF(INT(($A264-1)/5)&gt;MAX((MIN(80,MAX(1,INT(((CROQUIS!$C$97)-CROQUIS!$C$107)/MAX(CROQUIS!$C$134,1))+1)))-1,0),0,MOD($A264-1,5))+1,0,2,CROQUIS!$C$98-2,2,0),((CROQUIS!$C$107/2+(((CROQUIS!$C$97)-CROQUIS!$C$107)-(MIN(80,MAX(1,INT(((CROQUIS!$C$97)-CROQUIS!$C$107)/MAX(CROQUIS!$C$134,1))+1))-1)*CROQUIS!$C$134)/2)+MIN(INT(($A264-1)/5),MAX((MIN(80,MAX(1,INT(((CROQUIS!$C$97)-CROQUIS!$C$107)/MAX(CROQUIS!$C$134,1))+1)))-1,0))*CROQUIS!$C$134)))*CROQUIS!$C$155)+IF(CROQUIS!$C$92="X",0,0)),-1000)</f>
        <v>-1000</v>
      </c>
      <c r="BL264">
        <f>IF(AND(CROQUIS!$C$88=1,CROQUIS!$C$91=0,CROQUIS!$C$130&gt;0,OR(CROQUIS!$C$103=1,CROQUIS!$C$142=1)),((CROQUIS!$C$156+(IF(CROQUIS!$C$92="X",CHOOSE(IF(INT(($A264-1)/5)&gt;MAX((MIN(80,MAX(1,INT(((CROQUIS!$C$98)-CROQUIS!$C$107)/MAX(CROQUIS!$C$130,1))+1)))-1,0),0,MOD($A264-1,5))+1,0,IF(CROQUIS!$C$103=1,-12,2),CROQUIS!$C$107/2+CROQUIS!$C$140,IF(CROQUIS!$C$103=1,-12,2),0),((CROQUIS!$C$107/2+(((CROQUIS!$C$98)-CROQUIS!$C$107)-(MIN(80,MAX(1,INT(((CROQUIS!$C$98)-CROQUIS!$C$107)/MAX(CROQUIS!$C$130,1))+1))-1)*CROQUIS!$C$130)/2)+MIN(INT(($A264-1)/5),MAX((MIN(80,MAX(1,INT(((CROQUIS!$C$98)-CROQUIS!$C$107)/MAX(CROQUIS!$C$130,1))+1)))-1,0))*CROQUIS!$C$130)))*CROQUIS!$C$155)+IF(CROQUIS!$C$92="X",0,0)),-1000)</f>
        <v>-1000</v>
      </c>
      <c r="BM26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264-1)/5),MAX((MIN(80,MAX(1,INT(((CROQUIS!$C$98)-CROQUIS!$C$107)/MAX(CROQUIS!$C$130,1))+1)))-1,0))*CROQUIS!$C$130),CHOOSE(IF(INT(($A264-1)/5)&gt;MAX((MIN(80,MAX(1,INT(((CROQUIS!$C$98)-CROQUIS!$C$107)/MAX(CROQUIS!$C$130,1))+1)))-1,0),0,MOD($A264-1,5))+1,0,IF(CROQUIS!$C$103=1,-12,2),CROQUIS!$C$107/2+CROQUIS!$C$140,IF(CROQUIS!$C$103=1,-12,2),0)))*CROQUIS!$C$155)+IF(CROQUIS!$C$92="X",0,0)),-1000)</f>
        <v>-1000</v>
      </c>
      <c r="BN264">
        <f>IF(AND(CROQUIS!$C$88=1,CROQUIS!$C$91=0,CROQUIS!$C$130&gt;0,OR(CROQUIS!$C$104=1,CROQUIS!$C$142=1)),((CROQUIS!$C$156+(IF(CROQUIS!$C$92="X",CHOOSE(IF(INT(($A264-1)/5)&gt;MAX((MIN(80,MAX(1,INT(((CROQUIS!$C$98)-CROQUIS!$C$107)/MAX(CROQUIS!$C$130,1))+1)))-1,0),0,MOD($A264-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264-1)/5),MAX((MIN(80,MAX(1,INT(((CROQUIS!$C$98)-CROQUIS!$C$107)/MAX(CROQUIS!$C$130,1))+1)))-1,0))*CROQUIS!$C$130)))*CROQUIS!$C$155)+IF(CROQUIS!$C$92="X",0,0)),-1000)</f>
        <v>-1000</v>
      </c>
      <c r="BO26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264-1)/5),MAX((MIN(80,MAX(1,INT(((CROQUIS!$C$98)-CROQUIS!$C$107)/MAX(CROQUIS!$C$130,1))+1)))-1,0))*CROQUIS!$C$130),CHOOSE(IF(INT(($A264-1)/5)&gt;MAX((MIN(80,MAX(1,INT(((CROQUIS!$C$98)-CROQUIS!$C$107)/MAX(CROQUIS!$C$130,1))+1)))-1,0),0,MOD($A264-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6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264-1)/5),MAX((MIN(80,MAX(1,INT(((CROQUIS!$C$97)-CROQUIS!$C$107)/MAX(CROQUIS!$C$138,1))+1)))-1,0))*CROQUIS!$C$138),CHOOSE(IF(INT(($A264-1)/5)&gt;MAX((MIN(80,MAX(1,INT(((CROQUIS!$C$97)-CROQUIS!$C$107)/MAX(CROQUIS!$C$138,1))+1)))-1,0),0,MOD($A264-1,5))+1,0,IF(CROQUIS!$C$105=1,-12,2),CROQUIS!$C$107/2+CROQUIS!$C$141,IF(CROQUIS!$C$105=1,-12,2),0)))*CROQUIS!$C$155)+IF(CROQUIS!$C$92="X",0,0)),-1000)</f>
        <v>-1000</v>
      </c>
      <c r="BQ264">
        <f>IF(AND(CROQUIS!$C$88=1,CROQUIS!$C$91=0,CROQUIS!$C$138&gt;0,OR(CROQUIS!$C$105=1,CROQUIS!$C$143=1)),((CROQUIS!$C$157+(IF(CROQUIS!$C$92="X",CHOOSE(IF(INT(($A264-1)/5)&gt;MAX((MIN(80,MAX(1,INT(((CROQUIS!$C$97)-CROQUIS!$C$107)/MAX(CROQUIS!$C$138,1))+1)))-1,0),0,MOD($A264-1,5))+1,0,IF(CROQUIS!$C$105=1,-12,2),CROQUIS!$C$107/2+CROQUIS!$C$141,IF(CROQUIS!$C$105=1,-12,2),0),((CROQUIS!$C$107/2+(((CROQUIS!$C$97)-CROQUIS!$C$107)-(MIN(80,MAX(1,INT(((CROQUIS!$C$97)-CROQUIS!$C$107)/MAX(CROQUIS!$C$138,1))+1))-1)*CROQUIS!$C$138)/2)+MIN(INT(($A264-1)/5),MAX((MIN(80,MAX(1,INT(((CROQUIS!$C$97)-CROQUIS!$C$107)/MAX(CROQUIS!$C$138,1))+1)))-1,0))*CROQUIS!$C$138)))*CROQUIS!$C$155)+IF(CROQUIS!$C$92="X",0,0)),-1000)</f>
        <v>-1000</v>
      </c>
      <c r="BR26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264-1)/5),MAX((MIN(80,MAX(1,INT(((CROQUIS!$C$97)-CROQUIS!$C$107)/MAX(CROQUIS!$C$138,1))+1)))-1,0))*CROQUIS!$C$138),CHOOSE(IF(INT(($A264-1)/5)&gt;MAX((MIN(80,MAX(1,INT(((CROQUIS!$C$97)-CROQUIS!$C$107)/MAX(CROQUIS!$C$138,1))+1)))-1,0),0,MOD($A264-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64">
        <f>IF(AND(CROQUIS!$C$88=1,CROQUIS!$C$91=0,CROQUIS!$C$138&gt;0,OR(CROQUIS!$C$106=1,CROQUIS!$C$143=1)),((CROQUIS!$C$157+(IF(CROQUIS!$C$92="X",CHOOSE(IF(INT(($A264-1)/5)&gt;MAX((MIN(80,MAX(1,INT(((CROQUIS!$C$97)-CROQUIS!$C$107)/MAX(CROQUIS!$C$138,1))+1)))-1,0),0,MOD($A264-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264-1)/5),MAX((MIN(80,MAX(1,INT(((CROQUIS!$C$97)-CROQUIS!$C$107)/MAX(CROQUIS!$C$138,1))+1)))-1,0))*CROQUIS!$C$138)))*CROQUIS!$C$155)+IF(CROQUIS!$C$92="X",0,0)),-1000)</f>
        <v>-1000</v>
      </c>
      <c r="BT264">
        <f>IF(AND(CROQUIS!$C$88=1,CROQUIS!$C$91=1,CROQUIS!$C$130&gt;0),((CROQUIS!$C$156+(IF(CROQUIS!$C$92="X",CHOOSE(IF(INT(($A264-1)/5)&gt;MAX((MIN(80,MAX(1,INT(((CROQUIS!$C$98)-CROQUIS!$C$107)/MAX(CROQUIS!$C$130,1))+1)))-1,0),0,MOD($A264-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264-1)/5),MAX((MIN(80,MAX(1,INT(((CROQUIS!$C$98)-CROQUIS!$C$107)/MAX(CROQUIS!$C$130,1))+1)))-1,0))*CROQUIS!$C$130)))*CROQUIS!$C$155)+IF(CROQUIS!$C$92="X",0,0)),-1000)</f>
        <v>-1000</v>
      </c>
      <c r="BU264">
        <f>IF(AND(CROQUIS!$C$88=1,CROQUIS!$C$91=1,CROQUIS!$C$130&gt;0),((CROQUIS!$C$157+(IF(CROQUIS!$C$92="X",((CROQUIS!$C$107/2+(((CROQUIS!$C$98)-CROQUIS!$C$107)-(MIN(80,MAX(1,INT(((CROQUIS!$C$98)-CROQUIS!$C$107)/MAX(CROQUIS!$C$130,1))+1))-1)*CROQUIS!$C$130)/2)+MIN(INT(($A264-1)/5),MAX((MIN(80,MAX(1,INT(((CROQUIS!$C$98)-CROQUIS!$C$107)/MAX(CROQUIS!$C$130,1))+1)))-1,0))*CROQUIS!$C$130),CHOOSE(IF(INT(($A264-1)/5)&gt;MAX((MIN(80,MAX(1,INT(((CROQUIS!$C$98)-CROQUIS!$C$107)/MAX(CROQUIS!$C$130,1))+1)))-1,0),0,MOD($A264-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65">
      <c r="A265" t="n">
        <v>258</v>
      </c>
      <c r="BH265">
        <f>IF(AND(CROQUIS!$C$88=1,CROQUIS!$C$126&gt;0),((CROQUIS!$C$156+(IF(CROQUIS!$C$92="X",CHOOSE(IF(INT(($A265-1)/5)&gt;MAX((MIN(80,MAX(1,INT(((CROQUIS!$C$98)-CROQUIS!$C$107)/MAX(CROQUIS!$C$126,1))+1)))-1,0),0,MOD($A265-1,5))+1,0,2,CROQUIS!$C$97-2,2,0),((CROQUIS!$C$107/2+(((CROQUIS!$C$98)-CROQUIS!$C$107)-(MIN(80,MAX(1,INT(((CROQUIS!$C$98)-CROQUIS!$C$107)/MAX(CROQUIS!$C$126,1))+1))-1)*CROQUIS!$C$126)/2)+MIN(INT(($A265-1)/5),MAX((MIN(80,MAX(1,INT(((CROQUIS!$C$98)-CROQUIS!$C$107)/MAX(CROQUIS!$C$126,1))+1)))-1,0))*CROQUIS!$C$126)))*CROQUIS!$C$155)+IF(CROQUIS!$C$92="X",0,0)),-1000)</f>
        <v>-1000</v>
      </c>
      <c r="BI265">
        <f>IF(AND(CROQUIS!$C$88=1,CROQUIS!$C$126&gt;0),((CROQUIS!$C$157+(IF(CROQUIS!$C$92="X",((CROQUIS!$C$107/2+(((CROQUIS!$C$98)-CROQUIS!$C$107)-(MIN(80,MAX(1,INT(((CROQUIS!$C$98)-CROQUIS!$C$107)/MAX(CROQUIS!$C$126,1))+1))-1)*CROQUIS!$C$126)/2)+MIN(INT(($A265-1)/5),MAX((MIN(80,MAX(1,INT(((CROQUIS!$C$98)-CROQUIS!$C$107)/MAX(CROQUIS!$C$126,1))+1)))-1,0))*CROQUIS!$C$126),CHOOSE(IF(INT(($A265-1)/5)&gt;MAX((MIN(80,MAX(1,INT(((CROQUIS!$C$98)-CROQUIS!$C$107)/MAX(CROQUIS!$C$126,1))+1)))-1,0),0,MOD($A265-1,5))+1,0,2,CROQUIS!$C$97-2,2,0)))*CROQUIS!$C$155)+IF(CROQUIS!$C$92="X",0,0)),-1000)</f>
        <v>-1000</v>
      </c>
      <c r="BJ265">
        <f>IF(AND(CROQUIS!$C$88=1,CROQUIS!$C$134&gt;0),((CROQUIS!$C$156+(IF(CROQUIS!$C$92="X",((CROQUIS!$C$107/2+(((CROQUIS!$C$97)-CROQUIS!$C$107)-(MIN(80,MAX(1,INT(((CROQUIS!$C$97)-CROQUIS!$C$107)/MAX(CROQUIS!$C$134,1))+1))-1)*CROQUIS!$C$134)/2)+MIN(INT(($A265-1)/5),MAX((MIN(80,MAX(1,INT(((CROQUIS!$C$97)-CROQUIS!$C$107)/MAX(CROQUIS!$C$134,1))+1)))-1,0))*CROQUIS!$C$134),CHOOSE(IF(INT(($A265-1)/5)&gt;MAX((MIN(80,MAX(1,INT(((CROQUIS!$C$97)-CROQUIS!$C$107)/MAX(CROQUIS!$C$134,1))+1)))-1,0),0,MOD($A265-1,5))+1,0,2,CROQUIS!$C$98-2,2,0)))*CROQUIS!$C$155)+IF(CROQUIS!$C$92="X",0,0)),-1000)</f>
        <v>-1000</v>
      </c>
      <c r="BK265">
        <f>IF(AND(CROQUIS!$C$88=1,CROQUIS!$C$134&gt;0),((CROQUIS!$C$157+(IF(CROQUIS!$C$92="X",CHOOSE(IF(INT(($A265-1)/5)&gt;MAX((MIN(80,MAX(1,INT(((CROQUIS!$C$97)-CROQUIS!$C$107)/MAX(CROQUIS!$C$134,1))+1)))-1,0),0,MOD($A265-1,5))+1,0,2,CROQUIS!$C$98-2,2,0),((CROQUIS!$C$107/2+(((CROQUIS!$C$97)-CROQUIS!$C$107)-(MIN(80,MAX(1,INT(((CROQUIS!$C$97)-CROQUIS!$C$107)/MAX(CROQUIS!$C$134,1))+1))-1)*CROQUIS!$C$134)/2)+MIN(INT(($A265-1)/5),MAX((MIN(80,MAX(1,INT(((CROQUIS!$C$97)-CROQUIS!$C$107)/MAX(CROQUIS!$C$134,1))+1)))-1,0))*CROQUIS!$C$134)))*CROQUIS!$C$155)+IF(CROQUIS!$C$92="X",0,0)),-1000)</f>
        <v>-1000</v>
      </c>
      <c r="BL265">
        <f>IF(AND(CROQUIS!$C$88=1,CROQUIS!$C$91=0,CROQUIS!$C$130&gt;0,OR(CROQUIS!$C$103=1,CROQUIS!$C$142=1)),((CROQUIS!$C$156+(IF(CROQUIS!$C$92="X",CHOOSE(IF(INT(($A265-1)/5)&gt;MAX((MIN(80,MAX(1,INT(((CROQUIS!$C$98)-CROQUIS!$C$107)/MAX(CROQUIS!$C$130,1))+1)))-1,0),0,MOD($A265-1,5))+1,0,IF(CROQUIS!$C$103=1,-12,2),CROQUIS!$C$107/2+CROQUIS!$C$140,IF(CROQUIS!$C$103=1,-12,2),0),((CROQUIS!$C$107/2+(((CROQUIS!$C$98)-CROQUIS!$C$107)-(MIN(80,MAX(1,INT(((CROQUIS!$C$98)-CROQUIS!$C$107)/MAX(CROQUIS!$C$130,1))+1))-1)*CROQUIS!$C$130)/2)+MIN(INT(($A265-1)/5),MAX((MIN(80,MAX(1,INT(((CROQUIS!$C$98)-CROQUIS!$C$107)/MAX(CROQUIS!$C$130,1))+1)))-1,0))*CROQUIS!$C$130)))*CROQUIS!$C$155)+IF(CROQUIS!$C$92="X",0,0)),-1000)</f>
        <v>-1000</v>
      </c>
      <c r="BM26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265-1)/5),MAX((MIN(80,MAX(1,INT(((CROQUIS!$C$98)-CROQUIS!$C$107)/MAX(CROQUIS!$C$130,1))+1)))-1,0))*CROQUIS!$C$130),CHOOSE(IF(INT(($A265-1)/5)&gt;MAX((MIN(80,MAX(1,INT(((CROQUIS!$C$98)-CROQUIS!$C$107)/MAX(CROQUIS!$C$130,1))+1)))-1,0),0,MOD($A265-1,5))+1,0,IF(CROQUIS!$C$103=1,-12,2),CROQUIS!$C$107/2+CROQUIS!$C$140,IF(CROQUIS!$C$103=1,-12,2),0)))*CROQUIS!$C$155)+IF(CROQUIS!$C$92="X",0,0)),-1000)</f>
        <v>-1000</v>
      </c>
      <c r="BN265">
        <f>IF(AND(CROQUIS!$C$88=1,CROQUIS!$C$91=0,CROQUIS!$C$130&gt;0,OR(CROQUIS!$C$104=1,CROQUIS!$C$142=1)),((CROQUIS!$C$156+(IF(CROQUIS!$C$92="X",CHOOSE(IF(INT(($A265-1)/5)&gt;MAX((MIN(80,MAX(1,INT(((CROQUIS!$C$98)-CROQUIS!$C$107)/MAX(CROQUIS!$C$130,1))+1)))-1,0),0,MOD($A265-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265-1)/5),MAX((MIN(80,MAX(1,INT(((CROQUIS!$C$98)-CROQUIS!$C$107)/MAX(CROQUIS!$C$130,1))+1)))-1,0))*CROQUIS!$C$130)))*CROQUIS!$C$155)+IF(CROQUIS!$C$92="X",0,0)),-1000)</f>
        <v>-1000</v>
      </c>
      <c r="BO26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265-1)/5),MAX((MIN(80,MAX(1,INT(((CROQUIS!$C$98)-CROQUIS!$C$107)/MAX(CROQUIS!$C$130,1))+1)))-1,0))*CROQUIS!$C$130),CHOOSE(IF(INT(($A265-1)/5)&gt;MAX((MIN(80,MAX(1,INT(((CROQUIS!$C$98)-CROQUIS!$C$107)/MAX(CROQUIS!$C$130,1))+1)))-1,0),0,MOD($A265-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6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265-1)/5),MAX((MIN(80,MAX(1,INT(((CROQUIS!$C$97)-CROQUIS!$C$107)/MAX(CROQUIS!$C$138,1))+1)))-1,0))*CROQUIS!$C$138),CHOOSE(IF(INT(($A265-1)/5)&gt;MAX((MIN(80,MAX(1,INT(((CROQUIS!$C$97)-CROQUIS!$C$107)/MAX(CROQUIS!$C$138,1))+1)))-1,0),0,MOD($A265-1,5))+1,0,IF(CROQUIS!$C$105=1,-12,2),CROQUIS!$C$107/2+CROQUIS!$C$141,IF(CROQUIS!$C$105=1,-12,2),0)))*CROQUIS!$C$155)+IF(CROQUIS!$C$92="X",0,0)),-1000)</f>
        <v>-1000</v>
      </c>
      <c r="BQ265">
        <f>IF(AND(CROQUIS!$C$88=1,CROQUIS!$C$91=0,CROQUIS!$C$138&gt;0,OR(CROQUIS!$C$105=1,CROQUIS!$C$143=1)),((CROQUIS!$C$157+(IF(CROQUIS!$C$92="X",CHOOSE(IF(INT(($A265-1)/5)&gt;MAX((MIN(80,MAX(1,INT(((CROQUIS!$C$97)-CROQUIS!$C$107)/MAX(CROQUIS!$C$138,1))+1)))-1,0),0,MOD($A265-1,5))+1,0,IF(CROQUIS!$C$105=1,-12,2),CROQUIS!$C$107/2+CROQUIS!$C$141,IF(CROQUIS!$C$105=1,-12,2),0),((CROQUIS!$C$107/2+(((CROQUIS!$C$97)-CROQUIS!$C$107)-(MIN(80,MAX(1,INT(((CROQUIS!$C$97)-CROQUIS!$C$107)/MAX(CROQUIS!$C$138,1))+1))-1)*CROQUIS!$C$138)/2)+MIN(INT(($A265-1)/5),MAX((MIN(80,MAX(1,INT(((CROQUIS!$C$97)-CROQUIS!$C$107)/MAX(CROQUIS!$C$138,1))+1)))-1,0))*CROQUIS!$C$138)))*CROQUIS!$C$155)+IF(CROQUIS!$C$92="X",0,0)),-1000)</f>
        <v>-1000</v>
      </c>
      <c r="BR26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265-1)/5),MAX((MIN(80,MAX(1,INT(((CROQUIS!$C$97)-CROQUIS!$C$107)/MAX(CROQUIS!$C$138,1))+1)))-1,0))*CROQUIS!$C$138),CHOOSE(IF(INT(($A265-1)/5)&gt;MAX((MIN(80,MAX(1,INT(((CROQUIS!$C$97)-CROQUIS!$C$107)/MAX(CROQUIS!$C$138,1))+1)))-1,0),0,MOD($A265-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65">
        <f>IF(AND(CROQUIS!$C$88=1,CROQUIS!$C$91=0,CROQUIS!$C$138&gt;0,OR(CROQUIS!$C$106=1,CROQUIS!$C$143=1)),((CROQUIS!$C$157+(IF(CROQUIS!$C$92="X",CHOOSE(IF(INT(($A265-1)/5)&gt;MAX((MIN(80,MAX(1,INT(((CROQUIS!$C$97)-CROQUIS!$C$107)/MAX(CROQUIS!$C$138,1))+1)))-1,0),0,MOD($A265-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265-1)/5),MAX((MIN(80,MAX(1,INT(((CROQUIS!$C$97)-CROQUIS!$C$107)/MAX(CROQUIS!$C$138,1))+1)))-1,0))*CROQUIS!$C$138)))*CROQUIS!$C$155)+IF(CROQUIS!$C$92="X",0,0)),-1000)</f>
        <v>-1000</v>
      </c>
      <c r="BT265">
        <f>IF(AND(CROQUIS!$C$88=1,CROQUIS!$C$91=1,CROQUIS!$C$130&gt;0),((CROQUIS!$C$156+(IF(CROQUIS!$C$92="X",CHOOSE(IF(INT(($A265-1)/5)&gt;MAX((MIN(80,MAX(1,INT(((CROQUIS!$C$98)-CROQUIS!$C$107)/MAX(CROQUIS!$C$130,1))+1)))-1,0),0,MOD($A265-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265-1)/5),MAX((MIN(80,MAX(1,INT(((CROQUIS!$C$98)-CROQUIS!$C$107)/MAX(CROQUIS!$C$130,1))+1)))-1,0))*CROQUIS!$C$130)))*CROQUIS!$C$155)+IF(CROQUIS!$C$92="X",0,0)),-1000)</f>
        <v>-1000</v>
      </c>
      <c r="BU265">
        <f>IF(AND(CROQUIS!$C$88=1,CROQUIS!$C$91=1,CROQUIS!$C$130&gt;0),((CROQUIS!$C$157+(IF(CROQUIS!$C$92="X",((CROQUIS!$C$107/2+(((CROQUIS!$C$98)-CROQUIS!$C$107)-(MIN(80,MAX(1,INT(((CROQUIS!$C$98)-CROQUIS!$C$107)/MAX(CROQUIS!$C$130,1))+1))-1)*CROQUIS!$C$130)/2)+MIN(INT(($A265-1)/5),MAX((MIN(80,MAX(1,INT(((CROQUIS!$C$98)-CROQUIS!$C$107)/MAX(CROQUIS!$C$130,1))+1)))-1,0))*CROQUIS!$C$130),CHOOSE(IF(INT(($A265-1)/5)&gt;MAX((MIN(80,MAX(1,INT(((CROQUIS!$C$98)-CROQUIS!$C$107)/MAX(CROQUIS!$C$130,1))+1)))-1,0),0,MOD($A265-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66">
      <c r="A266" t="n">
        <v>259</v>
      </c>
      <c r="BH266">
        <f>IF(AND(CROQUIS!$C$88=1,CROQUIS!$C$126&gt;0),((CROQUIS!$C$156+(IF(CROQUIS!$C$92="X",CHOOSE(IF(INT(($A266-1)/5)&gt;MAX((MIN(80,MAX(1,INT(((CROQUIS!$C$98)-CROQUIS!$C$107)/MAX(CROQUIS!$C$126,1))+1)))-1,0),0,MOD($A266-1,5))+1,0,2,CROQUIS!$C$97-2,2,0),((CROQUIS!$C$107/2+(((CROQUIS!$C$98)-CROQUIS!$C$107)-(MIN(80,MAX(1,INT(((CROQUIS!$C$98)-CROQUIS!$C$107)/MAX(CROQUIS!$C$126,1))+1))-1)*CROQUIS!$C$126)/2)+MIN(INT(($A266-1)/5),MAX((MIN(80,MAX(1,INT(((CROQUIS!$C$98)-CROQUIS!$C$107)/MAX(CROQUIS!$C$126,1))+1)))-1,0))*CROQUIS!$C$126)))*CROQUIS!$C$155)+IF(CROQUIS!$C$92="X",0,0)),-1000)</f>
        <v>-1000</v>
      </c>
      <c r="BI266">
        <f>IF(AND(CROQUIS!$C$88=1,CROQUIS!$C$126&gt;0),((CROQUIS!$C$157+(IF(CROQUIS!$C$92="X",((CROQUIS!$C$107/2+(((CROQUIS!$C$98)-CROQUIS!$C$107)-(MIN(80,MAX(1,INT(((CROQUIS!$C$98)-CROQUIS!$C$107)/MAX(CROQUIS!$C$126,1))+1))-1)*CROQUIS!$C$126)/2)+MIN(INT(($A266-1)/5),MAX((MIN(80,MAX(1,INT(((CROQUIS!$C$98)-CROQUIS!$C$107)/MAX(CROQUIS!$C$126,1))+1)))-1,0))*CROQUIS!$C$126),CHOOSE(IF(INT(($A266-1)/5)&gt;MAX((MIN(80,MAX(1,INT(((CROQUIS!$C$98)-CROQUIS!$C$107)/MAX(CROQUIS!$C$126,1))+1)))-1,0),0,MOD($A266-1,5))+1,0,2,CROQUIS!$C$97-2,2,0)))*CROQUIS!$C$155)+IF(CROQUIS!$C$92="X",0,0)),-1000)</f>
        <v>-1000</v>
      </c>
      <c r="BJ266">
        <f>IF(AND(CROQUIS!$C$88=1,CROQUIS!$C$134&gt;0),((CROQUIS!$C$156+(IF(CROQUIS!$C$92="X",((CROQUIS!$C$107/2+(((CROQUIS!$C$97)-CROQUIS!$C$107)-(MIN(80,MAX(1,INT(((CROQUIS!$C$97)-CROQUIS!$C$107)/MAX(CROQUIS!$C$134,1))+1))-1)*CROQUIS!$C$134)/2)+MIN(INT(($A266-1)/5),MAX((MIN(80,MAX(1,INT(((CROQUIS!$C$97)-CROQUIS!$C$107)/MAX(CROQUIS!$C$134,1))+1)))-1,0))*CROQUIS!$C$134),CHOOSE(IF(INT(($A266-1)/5)&gt;MAX((MIN(80,MAX(1,INT(((CROQUIS!$C$97)-CROQUIS!$C$107)/MAX(CROQUIS!$C$134,1))+1)))-1,0),0,MOD($A266-1,5))+1,0,2,CROQUIS!$C$98-2,2,0)))*CROQUIS!$C$155)+IF(CROQUIS!$C$92="X",0,0)),-1000)</f>
        <v>-1000</v>
      </c>
      <c r="BK266">
        <f>IF(AND(CROQUIS!$C$88=1,CROQUIS!$C$134&gt;0),((CROQUIS!$C$157+(IF(CROQUIS!$C$92="X",CHOOSE(IF(INT(($A266-1)/5)&gt;MAX((MIN(80,MAX(1,INT(((CROQUIS!$C$97)-CROQUIS!$C$107)/MAX(CROQUIS!$C$134,1))+1)))-1,0),0,MOD($A266-1,5))+1,0,2,CROQUIS!$C$98-2,2,0),((CROQUIS!$C$107/2+(((CROQUIS!$C$97)-CROQUIS!$C$107)-(MIN(80,MAX(1,INT(((CROQUIS!$C$97)-CROQUIS!$C$107)/MAX(CROQUIS!$C$134,1))+1))-1)*CROQUIS!$C$134)/2)+MIN(INT(($A266-1)/5),MAX((MIN(80,MAX(1,INT(((CROQUIS!$C$97)-CROQUIS!$C$107)/MAX(CROQUIS!$C$134,1))+1)))-1,0))*CROQUIS!$C$134)))*CROQUIS!$C$155)+IF(CROQUIS!$C$92="X",0,0)),-1000)</f>
        <v>-1000</v>
      </c>
      <c r="BL266">
        <f>IF(AND(CROQUIS!$C$88=1,CROQUIS!$C$91=0,CROQUIS!$C$130&gt;0,OR(CROQUIS!$C$103=1,CROQUIS!$C$142=1)),((CROQUIS!$C$156+(IF(CROQUIS!$C$92="X",CHOOSE(IF(INT(($A266-1)/5)&gt;MAX((MIN(80,MAX(1,INT(((CROQUIS!$C$98)-CROQUIS!$C$107)/MAX(CROQUIS!$C$130,1))+1)))-1,0),0,MOD($A266-1,5))+1,0,IF(CROQUIS!$C$103=1,-12,2),CROQUIS!$C$107/2+CROQUIS!$C$140,IF(CROQUIS!$C$103=1,-12,2),0),((CROQUIS!$C$107/2+(((CROQUIS!$C$98)-CROQUIS!$C$107)-(MIN(80,MAX(1,INT(((CROQUIS!$C$98)-CROQUIS!$C$107)/MAX(CROQUIS!$C$130,1))+1))-1)*CROQUIS!$C$130)/2)+MIN(INT(($A266-1)/5),MAX((MIN(80,MAX(1,INT(((CROQUIS!$C$98)-CROQUIS!$C$107)/MAX(CROQUIS!$C$130,1))+1)))-1,0))*CROQUIS!$C$130)))*CROQUIS!$C$155)+IF(CROQUIS!$C$92="X",0,0)),-1000)</f>
        <v>-1000</v>
      </c>
      <c r="BM26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266-1)/5),MAX((MIN(80,MAX(1,INT(((CROQUIS!$C$98)-CROQUIS!$C$107)/MAX(CROQUIS!$C$130,1))+1)))-1,0))*CROQUIS!$C$130),CHOOSE(IF(INT(($A266-1)/5)&gt;MAX((MIN(80,MAX(1,INT(((CROQUIS!$C$98)-CROQUIS!$C$107)/MAX(CROQUIS!$C$130,1))+1)))-1,0),0,MOD($A266-1,5))+1,0,IF(CROQUIS!$C$103=1,-12,2),CROQUIS!$C$107/2+CROQUIS!$C$140,IF(CROQUIS!$C$103=1,-12,2),0)))*CROQUIS!$C$155)+IF(CROQUIS!$C$92="X",0,0)),-1000)</f>
        <v>-1000</v>
      </c>
      <c r="BN266">
        <f>IF(AND(CROQUIS!$C$88=1,CROQUIS!$C$91=0,CROQUIS!$C$130&gt;0,OR(CROQUIS!$C$104=1,CROQUIS!$C$142=1)),((CROQUIS!$C$156+(IF(CROQUIS!$C$92="X",CHOOSE(IF(INT(($A266-1)/5)&gt;MAX((MIN(80,MAX(1,INT(((CROQUIS!$C$98)-CROQUIS!$C$107)/MAX(CROQUIS!$C$130,1))+1)))-1,0),0,MOD($A266-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266-1)/5),MAX((MIN(80,MAX(1,INT(((CROQUIS!$C$98)-CROQUIS!$C$107)/MAX(CROQUIS!$C$130,1))+1)))-1,0))*CROQUIS!$C$130)))*CROQUIS!$C$155)+IF(CROQUIS!$C$92="X",0,0)),-1000)</f>
        <v>-1000</v>
      </c>
      <c r="BO26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266-1)/5),MAX((MIN(80,MAX(1,INT(((CROQUIS!$C$98)-CROQUIS!$C$107)/MAX(CROQUIS!$C$130,1))+1)))-1,0))*CROQUIS!$C$130),CHOOSE(IF(INT(($A266-1)/5)&gt;MAX((MIN(80,MAX(1,INT(((CROQUIS!$C$98)-CROQUIS!$C$107)/MAX(CROQUIS!$C$130,1))+1)))-1,0),0,MOD($A266-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6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266-1)/5),MAX((MIN(80,MAX(1,INT(((CROQUIS!$C$97)-CROQUIS!$C$107)/MAX(CROQUIS!$C$138,1))+1)))-1,0))*CROQUIS!$C$138),CHOOSE(IF(INT(($A266-1)/5)&gt;MAX((MIN(80,MAX(1,INT(((CROQUIS!$C$97)-CROQUIS!$C$107)/MAX(CROQUIS!$C$138,1))+1)))-1,0),0,MOD($A266-1,5))+1,0,IF(CROQUIS!$C$105=1,-12,2),CROQUIS!$C$107/2+CROQUIS!$C$141,IF(CROQUIS!$C$105=1,-12,2),0)))*CROQUIS!$C$155)+IF(CROQUIS!$C$92="X",0,0)),-1000)</f>
        <v>-1000</v>
      </c>
      <c r="BQ266">
        <f>IF(AND(CROQUIS!$C$88=1,CROQUIS!$C$91=0,CROQUIS!$C$138&gt;0,OR(CROQUIS!$C$105=1,CROQUIS!$C$143=1)),((CROQUIS!$C$157+(IF(CROQUIS!$C$92="X",CHOOSE(IF(INT(($A266-1)/5)&gt;MAX((MIN(80,MAX(1,INT(((CROQUIS!$C$97)-CROQUIS!$C$107)/MAX(CROQUIS!$C$138,1))+1)))-1,0),0,MOD($A266-1,5))+1,0,IF(CROQUIS!$C$105=1,-12,2),CROQUIS!$C$107/2+CROQUIS!$C$141,IF(CROQUIS!$C$105=1,-12,2),0),((CROQUIS!$C$107/2+(((CROQUIS!$C$97)-CROQUIS!$C$107)-(MIN(80,MAX(1,INT(((CROQUIS!$C$97)-CROQUIS!$C$107)/MAX(CROQUIS!$C$138,1))+1))-1)*CROQUIS!$C$138)/2)+MIN(INT(($A266-1)/5),MAX((MIN(80,MAX(1,INT(((CROQUIS!$C$97)-CROQUIS!$C$107)/MAX(CROQUIS!$C$138,1))+1)))-1,0))*CROQUIS!$C$138)))*CROQUIS!$C$155)+IF(CROQUIS!$C$92="X",0,0)),-1000)</f>
        <v>-1000</v>
      </c>
      <c r="BR26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266-1)/5),MAX((MIN(80,MAX(1,INT(((CROQUIS!$C$97)-CROQUIS!$C$107)/MAX(CROQUIS!$C$138,1))+1)))-1,0))*CROQUIS!$C$138),CHOOSE(IF(INT(($A266-1)/5)&gt;MAX((MIN(80,MAX(1,INT(((CROQUIS!$C$97)-CROQUIS!$C$107)/MAX(CROQUIS!$C$138,1))+1)))-1,0),0,MOD($A266-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66">
        <f>IF(AND(CROQUIS!$C$88=1,CROQUIS!$C$91=0,CROQUIS!$C$138&gt;0,OR(CROQUIS!$C$106=1,CROQUIS!$C$143=1)),((CROQUIS!$C$157+(IF(CROQUIS!$C$92="X",CHOOSE(IF(INT(($A266-1)/5)&gt;MAX((MIN(80,MAX(1,INT(((CROQUIS!$C$97)-CROQUIS!$C$107)/MAX(CROQUIS!$C$138,1))+1)))-1,0),0,MOD($A266-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266-1)/5),MAX((MIN(80,MAX(1,INT(((CROQUIS!$C$97)-CROQUIS!$C$107)/MAX(CROQUIS!$C$138,1))+1)))-1,0))*CROQUIS!$C$138)))*CROQUIS!$C$155)+IF(CROQUIS!$C$92="X",0,0)),-1000)</f>
        <v>-1000</v>
      </c>
      <c r="BT266">
        <f>IF(AND(CROQUIS!$C$88=1,CROQUIS!$C$91=1,CROQUIS!$C$130&gt;0),((CROQUIS!$C$156+(IF(CROQUIS!$C$92="X",CHOOSE(IF(INT(($A266-1)/5)&gt;MAX((MIN(80,MAX(1,INT(((CROQUIS!$C$98)-CROQUIS!$C$107)/MAX(CROQUIS!$C$130,1))+1)))-1,0),0,MOD($A266-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266-1)/5),MAX((MIN(80,MAX(1,INT(((CROQUIS!$C$98)-CROQUIS!$C$107)/MAX(CROQUIS!$C$130,1))+1)))-1,0))*CROQUIS!$C$130)))*CROQUIS!$C$155)+IF(CROQUIS!$C$92="X",0,0)),-1000)</f>
        <v>-1000</v>
      </c>
      <c r="BU266">
        <f>IF(AND(CROQUIS!$C$88=1,CROQUIS!$C$91=1,CROQUIS!$C$130&gt;0),((CROQUIS!$C$157+(IF(CROQUIS!$C$92="X",((CROQUIS!$C$107/2+(((CROQUIS!$C$98)-CROQUIS!$C$107)-(MIN(80,MAX(1,INT(((CROQUIS!$C$98)-CROQUIS!$C$107)/MAX(CROQUIS!$C$130,1))+1))-1)*CROQUIS!$C$130)/2)+MIN(INT(($A266-1)/5),MAX((MIN(80,MAX(1,INT(((CROQUIS!$C$98)-CROQUIS!$C$107)/MAX(CROQUIS!$C$130,1))+1)))-1,0))*CROQUIS!$C$130),CHOOSE(IF(INT(($A266-1)/5)&gt;MAX((MIN(80,MAX(1,INT(((CROQUIS!$C$98)-CROQUIS!$C$107)/MAX(CROQUIS!$C$130,1))+1)))-1,0),0,MOD($A266-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67">
      <c r="A267" t="n">
        <v>260</v>
      </c>
      <c r="BH267">
        <f>IF(AND(CROQUIS!$C$88=1,CROQUIS!$C$126&gt;0),((CROQUIS!$C$156+(IF(CROQUIS!$C$92="X",CHOOSE(IF(INT(($A267-1)/5)&gt;MAX((MIN(80,MAX(1,INT(((CROQUIS!$C$98)-CROQUIS!$C$107)/MAX(CROQUIS!$C$126,1))+1)))-1,0),0,MOD($A267-1,5))+1,0,2,CROQUIS!$C$97-2,2,0),((CROQUIS!$C$107/2+(((CROQUIS!$C$98)-CROQUIS!$C$107)-(MIN(80,MAX(1,INT(((CROQUIS!$C$98)-CROQUIS!$C$107)/MAX(CROQUIS!$C$126,1))+1))-1)*CROQUIS!$C$126)/2)+MIN(INT(($A267-1)/5),MAX((MIN(80,MAX(1,INT(((CROQUIS!$C$98)-CROQUIS!$C$107)/MAX(CROQUIS!$C$126,1))+1)))-1,0))*CROQUIS!$C$126)))*CROQUIS!$C$155)+IF(CROQUIS!$C$92="X",0,0)),-1000)</f>
        <v>-1000</v>
      </c>
      <c r="BI267">
        <f>IF(AND(CROQUIS!$C$88=1,CROQUIS!$C$126&gt;0),((CROQUIS!$C$157+(IF(CROQUIS!$C$92="X",((CROQUIS!$C$107/2+(((CROQUIS!$C$98)-CROQUIS!$C$107)-(MIN(80,MAX(1,INT(((CROQUIS!$C$98)-CROQUIS!$C$107)/MAX(CROQUIS!$C$126,1))+1))-1)*CROQUIS!$C$126)/2)+MIN(INT(($A267-1)/5),MAX((MIN(80,MAX(1,INT(((CROQUIS!$C$98)-CROQUIS!$C$107)/MAX(CROQUIS!$C$126,1))+1)))-1,0))*CROQUIS!$C$126),CHOOSE(IF(INT(($A267-1)/5)&gt;MAX((MIN(80,MAX(1,INT(((CROQUIS!$C$98)-CROQUIS!$C$107)/MAX(CROQUIS!$C$126,1))+1)))-1,0),0,MOD($A267-1,5))+1,0,2,CROQUIS!$C$97-2,2,0)))*CROQUIS!$C$155)+IF(CROQUIS!$C$92="X",0,0)),-1000)</f>
        <v>-1000</v>
      </c>
      <c r="BJ267">
        <f>IF(AND(CROQUIS!$C$88=1,CROQUIS!$C$134&gt;0),((CROQUIS!$C$156+(IF(CROQUIS!$C$92="X",((CROQUIS!$C$107/2+(((CROQUIS!$C$97)-CROQUIS!$C$107)-(MIN(80,MAX(1,INT(((CROQUIS!$C$97)-CROQUIS!$C$107)/MAX(CROQUIS!$C$134,1))+1))-1)*CROQUIS!$C$134)/2)+MIN(INT(($A267-1)/5),MAX((MIN(80,MAX(1,INT(((CROQUIS!$C$97)-CROQUIS!$C$107)/MAX(CROQUIS!$C$134,1))+1)))-1,0))*CROQUIS!$C$134),CHOOSE(IF(INT(($A267-1)/5)&gt;MAX((MIN(80,MAX(1,INT(((CROQUIS!$C$97)-CROQUIS!$C$107)/MAX(CROQUIS!$C$134,1))+1)))-1,0),0,MOD($A267-1,5))+1,0,2,CROQUIS!$C$98-2,2,0)))*CROQUIS!$C$155)+IF(CROQUIS!$C$92="X",0,0)),-1000)</f>
        <v>-1000</v>
      </c>
      <c r="BK267">
        <f>IF(AND(CROQUIS!$C$88=1,CROQUIS!$C$134&gt;0),((CROQUIS!$C$157+(IF(CROQUIS!$C$92="X",CHOOSE(IF(INT(($A267-1)/5)&gt;MAX((MIN(80,MAX(1,INT(((CROQUIS!$C$97)-CROQUIS!$C$107)/MAX(CROQUIS!$C$134,1))+1)))-1,0),0,MOD($A267-1,5))+1,0,2,CROQUIS!$C$98-2,2,0),((CROQUIS!$C$107/2+(((CROQUIS!$C$97)-CROQUIS!$C$107)-(MIN(80,MAX(1,INT(((CROQUIS!$C$97)-CROQUIS!$C$107)/MAX(CROQUIS!$C$134,1))+1))-1)*CROQUIS!$C$134)/2)+MIN(INT(($A267-1)/5),MAX((MIN(80,MAX(1,INT(((CROQUIS!$C$97)-CROQUIS!$C$107)/MAX(CROQUIS!$C$134,1))+1)))-1,0))*CROQUIS!$C$134)))*CROQUIS!$C$155)+IF(CROQUIS!$C$92="X",0,0)),-1000)</f>
        <v>-1000</v>
      </c>
      <c r="BL267">
        <f>IF(AND(CROQUIS!$C$88=1,CROQUIS!$C$91=0,CROQUIS!$C$130&gt;0,OR(CROQUIS!$C$103=1,CROQUIS!$C$142=1)),((CROQUIS!$C$156+(IF(CROQUIS!$C$92="X",CHOOSE(IF(INT(($A267-1)/5)&gt;MAX((MIN(80,MAX(1,INT(((CROQUIS!$C$98)-CROQUIS!$C$107)/MAX(CROQUIS!$C$130,1))+1)))-1,0),0,MOD($A267-1,5))+1,0,IF(CROQUIS!$C$103=1,-12,2),CROQUIS!$C$107/2+CROQUIS!$C$140,IF(CROQUIS!$C$103=1,-12,2),0),((CROQUIS!$C$107/2+(((CROQUIS!$C$98)-CROQUIS!$C$107)-(MIN(80,MAX(1,INT(((CROQUIS!$C$98)-CROQUIS!$C$107)/MAX(CROQUIS!$C$130,1))+1))-1)*CROQUIS!$C$130)/2)+MIN(INT(($A267-1)/5),MAX((MIN(80,MAX(1,INT(((CROQUIS!$C$98)-CROQUIS!$C$107)/MAX(CROQUIS!$C$130,1))+1)))-1,0))*CROQUIS!$C$130)))*CROQUIS!$C$155)+IF(CROQUIS!$C$92="X",0,0)),-1000)</f>
        <v>-1000</v>
      </c>
      <c r="BM26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267-1)/5),MAX((MIN(80,MAX(1,INT(((CROQUIS!$C$98)-CROQUIS!$C$107)/MAX(CROQUIS!$C$130,1))+1)))-1,0))*CROQUIS!$C$130),CHOOSE(IF(INT(($A267-1)/5)&gt;MAX((MIN(80,MAX(1,INT(((CROQUIS!$C$98)-CROQUIS!$C$107)/MAX(CROQUIS!$C$130,1))+1)))-1,0),0,MOD($A267-1,5))+1,0,IF(CROQUIS!$C$103=1,-12,2),CROQUIS!$C$107/2+CROQUIS!$C$140,IF(CROQUIS!$C$103=1,-12,2),0)))*CROQUIS!$C$155)+IF(CROQUIS!$C$92="X",0,0)),-1000)</f>
        <v>-1000</v>
      </c>
      <c r="BN267">
        <f>IF(AND(CROQUIS!$C$88=1,CROQUIS!$C$91=0,CROQUIS!$C$130&gt;0,OR(CROQUIS!$C$104=1,CROQUIS!$C$142=1)),((CROQUIS!$C$156+(IF(CROQUIS!$C$92="X",CHOOSE(IF(INT(($A267-1)/5)&gt;MAX((MIN(80,MAX(1,INT(((CROQUIS!$C$98)-CROQUIS!$C$107)/MAX(CROQUIS!$C$130,1))+1)))-1,0),0,MOD($A267-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267-1)/5),MAX((MIN(80,MAX(1,INT(((CROQUIS!$C$98)-CROQUIS!$C$107)/MAX(CROQUIS!$C$130,1))+1)))-1,0))*CROQUIS!$C$130)))*CROQUIS!$C$155)+IF(CROQUIS!$C$92="X",0,0)),-1000)</f>
        <v>-1000</v>
      </c>
      <c r="BO26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267-1)/5),MAX((MIN(80,MAX(1,INT(((CROQUIS!$C$98)-CROQUIS!$C$107)/MAX(CROQUIS!$C$130,1))+1)))-1,0))*CROQUIS!$C$130),CHOOSE(IF(INT(($A267-1)/5)&gt;MAX((MIN(80,MAX(1,INT(((CROQUIS!$C$98)-CROQUIS!$C$107)/MAX(CROQUIS!$C$130,1))+1)))-1,0),0,MOD($A267-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6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267-1)/5),MAX((MIN(80,MAX(1,INT(((CROQUIS!$C$97)-CROQUIS!$C$107)/MAX(CROQUIS!$C$138,1))+1)))-1,0))*CROQUIS!$C$138),CHOOSE(IF(INT(($A267-1)/5)&gt;MAX((MIN(80,MAX(1,INT(((CROQUIS!$C$97)-CROQUIS!$C$107)/MAX(CROQUIS!$C$138,1))+1)))-1,0),0,MOD($A267-1,5))+1,0,IF(CROQUIS!$C$105=1,-12,2),CROQUIS!$C$107/2+CROQUIS!$C$141,IF(CROQUIS!$C$105=1,-12,2),0)))*CROQUIS!$C$155)+IF(CROQUIS!$C$92="X",0,0)),-1000)</f>
        <v>-1000</v>
      </c>
      <c r="BQ267">
        <f>IF(AND(CROQUIS!$C$88=1,CROQUIS!$C$91=0,CROQUIS!$C$138&gt;0,OR(CROQUIS!$C$105=1,CROQUIS!$C$143=1)),((CROQUIS!$C$157+(IF(CROQUIS!$C$92="X",CHOOSE(IF(INT(($A267-1)/5)&gt;MAX((MIN(80,MAX(1,INT(((CROQUIS!$C$97)-CROQUIS!$C$107)/MAX(CROQUIS!$C$138,1))+1)))-1,0),0,MOD($A267-1,5))+1,0,IF(CROQUIS!$C$105=1,-12,2),CROQUIS!$C$107/2+CROQUIS!$C$141,IF(CROQUIS!$C$105=1,-12,2),0),((CROQUIS!$C$107/2+(((CROQUIS!$C$97)-CROQUIS!$C$107)-(MIN(80,MAX(1,INT(((CROQUIS!$C$97)-CROQUIS!$C$107)/MAX(CROQUIS!$C$138,1))+1))-1)*CROQUIS!$C$138)/2)+MIN(INT(($A267-1)/5),MAX((MIN(80,MAX(1,INT(((CROQUIS!$C$97)-CROQUIS!$C$107)/MAX(CROQUIS!$C$138,1))+1)))-1,0))*CROQUIS!$C$138)))*CROQUIS!$C$155)+IF(CROQUIS!$C$92="X",0,0)),-1000)</f>
        <v>-1000</v>
      </c>
      <c r="BR26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267-1)/5),MAX((MIN(80,MAX(1,INT(((CROQUIS!$C$97)-CROQUIS!$C$107)/MAX(CROQUIS!$C$138,1))+1)))-1,0))*CROQUIS!$C$138),CHOOSE(IF(INT(($A267-1)/5)&gt;MAX((MIN(80,MAX(1,INT(((CROQUIS!$C$97)-CROQUIS!$C$107)/MAX(CROQUIS!$C$138,1))+1)))-1,0),0,MOD($A267-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67">
        <f>IF(AND(CROQUIS!$C$88=1,CROQUIS!$C$91=0,CROQUIS!$C$138&gt;0,OR(CROQUIS!$C$106=1,CROQUIS!$C$143=1)),((CROQUIS!$C$157+(IF(CROQUIS!$C$92="X",CHOOSE(IF(INT(($A267-1)/5)&gt;MAX((MIN(80,MAX(1,INT(((CROQUIS!$C$97)-CROQUIS!$C$107)/MAX(CROQUIS!$C$138,1))+1)))-1,0),0,MOD($A267-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267-1)/5),MAX((MIN(80,MAX(1,INT(((CROQUIS!$C$97)-CROQUIS!$C$107)/MAX(CROQUIS!$C$138,1))+1)))-1,0))*CROQUIS!$C$138)))*CROQUIS!$C$155)+IF(CROQUIS!$C$92="X",0,0)),-1000)</f>
        <v>-1000</v>
      </c>
      <c r="BT267">
        <f>IF(AND(CROQUIS!$C$88=1,CROQUIS!$C$91=1,CROQUIS!$C$130&gt;0),((CROQUIS!$C$156+(IF(CROQUIS!$C$92="X",CHOOSE(IF(INT(($A267-1)/5)&gt;MAX((MIN(80,MAX(1,INT(((CROQUIS!$C$98)-CROQUIS!$C$107)/MAX(CROQUIS!$C$130,1))+1)))-1,0),0,MOD($A267-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267-1)/5),MAX((MIN(80,MAX(1,INT(((CROQUIS!$C$98)-CROQUIS!$C$107)/MAX(CROQUIS!$C$130,1))+1)))-1,0))*CROQUIS!$C$130)))*CROQUIS!$C$155)+IF(CROQUIS!$C$92="X",0,0)),-1000)</f>
        <v>-1000</v>
      </c>
      <c r="BU267">
        <f>IF(AND(CROQUIS!$C$88=1,CROQUIS!$C$91=1,CROQUIS!$C$130&gt;0),((CROQUIS!$C$157+(IF(CROQUIS!$C$92="X",((CROQUIS!$C$107/2+(((CROQUIS!$C$98)-CROQUIS!$C$107)-(MIN(80,MAX(1,INT(((CROQUIS!$C$98)-CROQUIS!$C$107)/MAX(CROQUIS!$C$130,1))+1))-1)*CROQUIS!$C$130)/2)+MIN(INT(($A267-1)/5),MAX((MIN(80,MAX(1,INT(((CROQUIS!$C$98)-CROQUIS!$C$107)/MAX(CROQUIS!$C$130,1))+1)))-1,0))*CROQUIS!$C$130),CHOOSE(IF(INT(($A267-1)/5)&gt;MAX((MIN(80,MAX(1,INT(((CROQUIS!$C$98)-CROQUIS!$C$107)/MAX(CROQUIS!$C$130,1))+1)))-1,0),0,MOD($A267-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68">
      <c r="A268" t="n">
        <v>261</v>
      </c>
      <c r="BH268">
        <f>IF(AND(CROQUIS!$C$88=1,CROQUIS!$C$126&gt;0),((CROQUIS!$C$156+(IF(CROQUIS!$C$92="X",CHOOSE(IF(INT(($A268-1)/5)&gt;MAX((MIN(80,MAX(1,INT(((CROQUIS!$C$98)-CROQUIS!$C$107)/MAX(CROQUIS!$C$126,1))+1)))-1,0),0,MOD($A268-1,5))+1,0,2,CROQUIS!$C$97-2,2,0),((CROQUIS!$C$107/2+(((CROQUIS!$C$98)-CROQUIS!$C$107)-(MIN(80,MAX(1,INT(((CROQUIS!$C$98)-CROQUIS!$C$107)/MAX(CROQUIS!$C$126,1))+1))-1)*CROQUIS!$C$126)/2)+MIN(INT(($A268-1)/5),MAX((MIN(80,MAX(1,INT(((CROQUIS!$C$98)-CROQUIS!$C$107)/MAX(CROQUIS!$C$126,1))+1)))-1,0))*CROQUIS!$C$126)))*CROQUIS!$C$155)+IF(CROQUIS!$C$92="X",0,0)),-1000)</f>
        <v>-1000</v>
      </c>
      <c r="BI268">
        <f>IF(AND(CROQUIS!$C$88=1,CROQUIS!$C$126&gt;0),((CROQUIS!$C$157+(IF(CROQUIS!$C$92="X",((CROQUIS!$C$107/2+(((CROQUIS!$C$98)-CROQUIS!$C$107)-(MIN(80,MAX(1,INT(((CROQUIS!$C$98)-CROQUIS!$C$107)/MAX(CROQUIS!$C$126,1))+1))-1)*CROQUIS!$C$126)/2)+MIN(INT(($A268-1)/5),MAX((MIN(80,MAX(1,INT(((CROQUIS!$C$98)-CROQUIS!$C$107)/MAX(CROQUIS!$C$126,1))+1)))-1,0))*CROQUIS!$C$126),CHOOSE(IF(INT(($A268-1)/5)&gt;MAX((MIN(80,MAX(1,INT(((CROQUIS!$C$98)-CROQUIS!$C$107)/MAX(CROQUIS!$C$126,1))+1)))-1,0),0,MOD($A268-1,5))+1,0,2,CROQUIS!$C$97-2,2,0)))*CROQUIS!$C$155)+IF(CROQUIS!$C$92="X",0,0)),-1000)</f>
        <v>-1000</v>
      </c>
      <c r="BJ268">
        <f>IF(AND(CROQUIS!$C$88=1,CROQUIS!$C$134&gt;0),((CROQUIS!$C$156+(IF(CROQUIS!$C$92="X",((CROQUIS!$C$107/2+(((CROQUIS!$C$97)-CROQUIS!$C$107)-(MIN(80,MAX(1,INT(((CROQUIS!$C$97)-CROQUIS!$C$107)/MAX(CROQUIS!$C$134,1))+1))-1)*CROQUIS!$C$134)/2)+MIN(INT(($A268-1)/5),MAX((MIN(80,MAX(1,INT(((CROQUIS!$C$97)-CROQUIS!$C$107)/MAX(CROQUIS!$C$134,1))+1)))-1,0))*CROQUIS!$C$134),CHOOSE(IF(INT(($A268-1)/5)&gt;MAX((MIN(80,MAX(1,INT(((CROQUIS!$C$97)-CROQUIS!$C$107)/MAX(CROQUIS!$C$134,1))+1)))-1,0),0,MOD($A268-1,5))+1,0,2,CROQUIS!$C$98-2,2,0)))*CROQUIS!$C$155)+IF(CROQUIS!$C$92="X",0,0)),-1000)</f>
        <v>-1000</v>
      </c>
      <c r="BK268">
        <f>IF(AND(CROQUIS!$C$88=1,CROQUIS!$C$134&gt;0),((CROQUIS!$C$157+(IF(CROQUIS!$C$92="X",CHOOSE(IF(INT(($A268-1)/5)&gt;MAX((MIN(80,MAX(1,INT(((CROQUIS!$C$97)-CROQUIS!$C$107)/MAX(CROQUIS!$C$134,1))+1)))-1,0),0,MOD($A268-1,5))+1,0,2,CROQUIS!$C$98-2,2,0),((CROQUIS!$C$107/2+(((CROQUIS!$C$97)-CROQUIS!$C$107)-(MIN(80,MAX(1,INT(((CROQUIS!$C$97)-CROQUIS!$C$107)/MAX(CROQUIS!$C$134,1))+1))-1)*CROQUIS!$C$134)/2)+MIN(INT(($A268-1)/5),MAX((MIN(80,MAX(1,INT(((CROQUIS!$C$97)-CROQUIS!$C$107)/MAX(CROQUIS!$C$134,1))+1)))-1,0))*CROQUIS!$C$134)))*CROQUIS!$C$155)+IF(CROQUIS!$C$92="X",0,0)),-1000)</f>
        <v>-1000</v>
      </c>
      <c r="BL268">
        <f>IF(AND(CROQUIS!$C$88=1,CROQUIS!$C$91=0,CROQUIS!$C$130&gt;0,OR(CROQUIS!$C$103=1,CROQUIS!$C$142=1)),((CROQUIS!$C$156+(IF(CROQUIS!$C$92="X",CHOOSE(IF(INT(($A268-1)/5)&gt;MAX((MIN(80,MAX(1,INT(((CROQUIS!$C$98)-CROQUIS!$C$107)/MAX(CROQUIS!$C$130,1))+1)))-1,0),0,MOD($A268-1,5))+1,0,IF(CROQUIS!$C$103=1,-12,2),CROQUIS!$C$107/2+CROQUIS!$C$140,IF(CROQUIS!$C$103=1,-12,2),0),((CROQUIS!$C$107/2+(((CROQUIS!$C$98)-CROQUIS!$C$107)-(MIN(80,MAX(1,INT(((CROQUIS!$C$98)-CROQUIS!$C$107)/MAX(CROQUIS!$C$130,1))+1))-1)*CROQUIS!$C$130)/2)+MIN(INT(($A268-1)/5),MAX((MIN(80,MAX(1,INT(((CROQUIS!$C$98)-CROQUIS!$C$107)/MAX(CROQUIS!$C$130,1))+1)))-1,0))*CROQUIS!$C$130)))*CROQUIS!$C$155)+IF(CROQUIS!$C$92="X",0,0)),-1000)</f>
        <v>-1000</v>
      </c>
      <c r="BM26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268-1)/5),MAX((MIN(80,MAX(1,INT(((CROQUIS!$C$98)-CROQUIS!$C$107)/MAX(CROQUIS!$C$130,1))+1)))-1,0))*CROQUIS!$C$130),CHOOSE(IF(INT(($A268-1)/5)&gt;MAX((MIN(80,MAX(1,INT(((CROQUIS!$C$98)-CROQUIS!$C$107)/MAX(CROQUIS!$C$130,1))+1)))-1,0),0,MOD($A268-1,5))+1,0,IF(CROQUIS!$C$103=1,-12,2),CROQUIS!$C$107/2+CROQUIS!$C$140,IF(CROQUIS!$C$103=1,-12,2),0)))*CROQUIS!$C$155)+IF(CROQUIS!$C$92="X",0,0)),-1000)</f>
        <v>-1000</v>
      </c>
      <c r="BN268">
        <f>IF(AND(CROQUIS!$C$88=1,CROQUIS!$C$91=0,CROQUIS!$C$130&gt;0,OR(CROQUIS!$C$104=1,CROQUIS!$C$142=1)),((CROQUIS!$C$156+(IF(CROQUIS!$C$92="X",CHOOSE(IF(INT(($A268-1)/5)&gt;MAX((MIN(80,MAX(1,INT(((CROQUIS!$C$98)-CROQUIS!$C$107)/MAX(CROQUIS!$C$130,1))+1)))-1,0),0,MOD($A268-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268-1)/5),MAX((MIN(80,MAX(1,INT(((CROQUIS!$C$98)-CROQUIS!$C$107)/MAX(CROQUIS!$C$130,1))+1)))-1,0))*CROQUIS!$C$130)))*CROQUIS!$C$155)+IF(CROQUIS!$C$92="X",0,0)),-1000)</f>
        <v>-1000</v>
      </c>
      <c r="BO26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268-1)/5),MAX((MIN(80,MAX(1,INT(((CROQUIS!$C$98)-CROQUIS!$C$107)/MAX(CROQUIS!$C$130,1))+1)))-1,0))*CROQUIS!$C$130),CHOOSE(IF(INT(($A268-1)/5)&gt;MAX((MIN(80,MAX(1,INT(((CROQUIS!$C$98)-CROQUIS!$C$107)/MAX(CROQUIS!$C$130,1))+1)))-1,0),0,MOD($A268-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6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268-1)/5),MAX((MIN(80,MAX(1,INT(((CROQUIS!$C$97)-CROQUIS!$C$107)/MAX(CROQUIS!$C$138,1))+1)))-1,0))*CROQUIS!$C$138),CHOOSE(IF(INT(($A268-1)/5)&gt;MAX((MIN(80,MAX(1,INT(((CROQUIS!$C$97)-CROQUIS!$C$107)/MAX(CROQUIS!$C$138,1))+1)))-1,0),0,MOD($A268-1,5))+1,0,IF(CROQUIS!$C$105=1,-12,2),CROQUIS!$C$107/2+CROQUIS!$C$141,IF(CROQUIS!$C$105=1,-12,2),0)))*CROQUIS!$C$155)+IF(CROQUIS!$C$92="X",0,0)),-1000)</f>
        <v>-1000</v>
      </c>
      <c r="BQ268">
        <f>IF(AND(CROQUIS!$C$88=1,CROQUIS!$C$91=0,CROQUIS!$C$138&gt;0,OR(CROQUIS!$C$105=1,CROQUIS!$C$143=1)),((CROQUIS!$C$157+(IF(CROQUIS!$C$92="X",CHOOSE(IF(INT(($A268-1)/5)&gt;MAX((MIN(80,MAX(1,INT(((CROQUIS!$C$97)-CROQUIS!$C$107)/MAX(CROQUIS!$C$138,1))+1)))-1,0),0,MOD($A268-1,5))+1,0,IF(CROQUIS!$C$105=1,-12,2),CROQUIS!$C$107/2+CROQUIS!$C$141,IF(CROQUIS!$C$105=1,-12,2),0),((CROQUIS!$C$107/2+(((CROQUIS!$C$97)-CROQUIS!$C$107)-(MIN(80,MAX(1,INT(((CROQUIS!$C$97)-CROQUIS!$C$107)/MAX(CROQUIS!$C$138,1))+1))-1)*CROQUIS!$C$138)/2)+MIN(INT(($A268-1)/5),MAX((MIN(80,MAX(1,INT(((CROQUIS!$C$97)-CROQUIS!$C$107)/MAX(CROQUIS!$C$138,1))+1)))-1,0))*CROQUIS!$C$138)))*CROQUIS!$C$155)+IF(CROQUIS!$C$92="X",0,0)),-1000)</f>
        <v>-1000</v>
      </c>
      <c r="BR26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268-1)/5),MAX((MIN(80,MAX(1,INT(((CROQUIS!$C$97)-CROQUIS!$C$107)/MAX(CROQUIS!$C$138,1))+1)))-1,0))*CROQUIS!$C$138),CHOOSE(IF(INT(($A268-1)/5)&gt;MAX((MIN(80,MAX(1,INT(((CROQUIS!$C$97)-CROQUIS!$C$107)/MAX(CROQUIS!$C$138,1))+1)))-1,0),0,MOD($A268-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68">
        <f>IF(AND(CROQUIS!$C$88=1,CROQUIS!$C$91=0,CROQUIS!$C$138&gt;0,OR(CROQUIS!$C$106=1,CROQUIS!$C$143=1)),((CROQUIS!$C$157+(IF(CROQUIS!$C$92="X",CHOOSE(IF(INT(($A268-1)/5)&gt;MAX((MIN(80,MAX(1,INT(((CROQUIS!$C$97)-CROQUIS!$C$107)/MAX(CROQUIS!$C$138,1))+1)))-1,0),0,MOD($A268-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268-1)/5),MAX((MIN(80,MAX(1,INT(((CROQUIS!$C$97)-CROQUIS!$C$107)/MAX(CROQUIS!$C$138,1))+1)))-1,0))*CROQUIS!$C$138)))*CROQUIS!$C$155)+IF(CROQUIS!$C$92="X",0,0)),-1000)</f>
        <v>-1000</v>
      </c>
      <c r="BT268">
        <f>IF(AND(CROQUIS!$C$88=1,CROQUIS!$C$91=1,CROQUIS!$C$130&gt;0),((CROQUIS!$C$156+(IF(CROQUIS!$C$92="X",CHOOSE(IF(INT(($A268-1)/5)&gt;MAX((MIN(80,MAX(1,INT(((CROQUIS!$C$98)-CROQUIS!$C$107)/MAX(CROQUIS!$C$130,1))+1)))-1,0),0,MOD($A268-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268-1)/5),MAX((MIN(80,MAX(1,INT(((CROQUIS!$C$98)-CROQUIS!$C$107)/MAX(CROQUIS!$C$130,1))+1)))-1,0))*CROQUIS!$C$130)))*CROQUIS!$C$155)+IF(CROQUIS!$C$92="X",0,0)),-1000)</f>
        <v>-1000</v>
      </c>
      <c r="BU268">
        <f>IF(AND(CROQUIS!$C$88=1,CROQUIS!$C$91=1,CROQUIS!$C$130&gt;0),((CROQUIS!$C$157+(IF(CROQUIS!$C$92="X",((CROQUIS!$C$107/2+(((CROQUIS!$C$98)-CROQUIS!$C$107)-(MIN(80,MAX(1,INT(((CROQUIS!$C$98)-CROQUIS!$C$107)/MAX(CROQUIS!$C$130,1))+1))-1)*CROQUIS!$C$130)/2)+MIN(INT(($A268-1)/5),MAX((MIN(80,MAX(1,INT(((CROQUIS!$C$98)-CROQUIS!$C$107)/MAX(CROQUIS!$C$130,1))+1)))-1,0))*CROQUIS!$C$130),CHOOSE(IF(INT(($A268-1)/5)&gt;MAX((MIN(80,MAX(1,INT(((CROQUIS!$C$98)-CROQUIS!$C$107)/MAX(CROQUIS!$C$130,1))+1)))-1,0),0,MOD($A268-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69">
      <c r="A269" t="n">
        <v>262</v>
      </c>
      <c r="BH269">
        <f>IF(AND(CROQUIS!$C$88=1,CROQUIS!$C$126&gt;0),((CROQUIS!$C$156+(IF(CROQUIS!$C$92="X",CHOOSE(IF(INT(($A269-1)/5)&gt;MAX((MIN(80,MAX(1,INT(((CROQUIS!$C$98)-CROQUIS!$C$107)/MAX(CROQUIS!$C$126,1))+1)))-1,0),0,MOD($A269-1,5))+1,0,2,CROQUIS!$C$97-2,2,0),((CROQUIS!$C$107/2+(((CROQUIS!$C$98)-CROQUIS!$C$107)-(MIN(80,MAX(1,INT(((CROQUIS!$C$98)-CROQUIS!$C$107)/MAX(CROQUIS!$C$126,1))+1))-1)*CROQUIS!$C$126)/2)+MIN(INT(($A269-1)/5),MAX((MIN(80,MAX(1,INT(((CROQUIS!$C$98)-CROQUIS!$C$107)/MAX(CROQUIS!$C$126,1))+1)))-1,0))*CROQUIS!$C$126)))*CROQUIS!$C$155)+IF(CROQUIS!$C$92="X",0,0)),-1000)</f>
        <v>-1000</v>
      </c>
      <c r="BI269">
        <f>IF(AND(CROQUIS!$C$88=1,CROQUIS!$C$126&gt;0),((CROQUIS!$C$157+(IF(CROQUIS!$C$92="X",((CROQUIS!$C$107/2+(((CROQUIS!$C$98)-CROQUIS!$C$107)-(MIN(80,MAX(1,INT(((CROQUIS!$C$98)-CROQUIS!$C$107)/MAX(CROQUIS!$C$126,1))+1))-1)*CROQUIS!$C$126)/2)+MIN(INT(($A269-1)/5),MAX((MIN(80,MAX(1,INT(((CROQUIS!$C$98)-CROQUIS!$C$107)/MAX(CROQUIS!$C$126,1))+1)))-1,0))*CROQUIS!$C$126),CHOOSE(IF(INT(($A269-1)/5)&gt;MAX((MIN(80,MAX(1,INT(((CROQUIS!$C$98)-CROQUIS!$C$107)/MAX(CROQUIS!$C$126,1))+1)))-1,0),0,MOD($A269-1,5))+1,0,2,CROQUIS!$C$97-2,2,0)))*CROQUIS!$C$155)+IF(CROQUIS!$C$92="X",0,0)),-1000)</f>
        <v>-1000</v>
      </c>
      <c r="BJ269">
        <f>IF(AND(CROQUIS!$C$88=1,CROQUIS!$C$134&gt;0),((CROQUIS!$C$156+(IF(CROQUIS!$C$92="X",((CROQUIS!$C$107/2+(((CROQUIS!$C$97)-CROQUIS!$C$107)-(MIN(80,MAX(1,INT(((CROQUIS!$C$97)-CROQUIS!$C$107)/MAX(CROQUIS!$C$134,1))+1))-1)*CROQUIS!$C$134)/2)+MIN(INT(($A269-1)/5),MAX((MIN(80,MAX(1,INT(((CROQUIS!$C$97)-CROQUIS!$C$107)/MAX(CROQUIS!$C$134,1))+1)))-1,0))*CROQUIS!$C$134),CHOOSE(IF(INT(($A269-1)/5)&gt;MAX((MIN(80,MAX(1,INT(((CROQUIS!$C$97)-CROQUIS!$C$107)/MAX(CROQUIS!$C$134,1))+1)))-1,0),0,MOD($A269-1,5))+1,0,2,CROQUIS!$C$98-2,2,0)))*CROQUIS!$C$155)+IF(CROQUIS!$C$92="X",0,0)),-1000)</f>
        <v>-1000</v>
      </c>
      <c r="BK269">
        <f>IF(AND(CROQUIS!$C$88=1,CROQUIS!$C$134&gt;0),((CROQUIS!$C$157+(IF(CROQUIS!$C$92="X",CHOOSE(IF(INT(($A269-1)/5)&gt;MAX((MIN(80,MAX(1,INT(((CROQUIS!$C$97)-CROQUIS!$C$107)/MAX(CROQUIS!$C$134,1))+1)))-1,0),0,MOD($A269-1,5))+1,0,2,CROQUIS!$C$98-2,2,0),((CROQUIS!$C$107/2+(((CROQUIS!$C$97)-CROQUIS!$C$107)-(MIN(80,MAX(1,INT(((CROQUIS!$C$97)-CROQUIS!$C$107)/MAX(CROQUIS!$C$134,1))+1))-1)*CROQUIS!$C$134)/2)+MIN(INT(($A269-1)/5),MAX((MIN(80,MAX(1,INT(((CROQUIS!$C$97)-CROQUIS!$C$107)/MAX(CROQUIS!$C$134,1))+1)))-1,0))*CROQUIS!$C$134)))*CROQUIS!$C$155)+IF(CROQUIS!$C$92="X",0,0)),-1000)</f>
        <v>-1000</v>
      </c>
      <c r="BL269">
        <f>IF(AND(CROQUIS!$C$88=1,CROQUIS!$C$91=0,CROQUIS!$C$130&gt;0,OR(CROQUIS!$C$103=1,CROQUIS!$C$142=1)),((CROQUIS!$C$156+(IF(CROQUIS!$C$92="X",CHOOSE(IF(INT(($A269-1)/5)&gt;MAX((MIN(80,MAX(1,INT(((CROQUIS!$C$98)-CROQUIS!$C$107)/MAX(CROQUIS!$C$130,1))+1)))-1,0),0,MOD($A269-1,5))+1,0,IF(CROQUIS!$C$103=1,-12,2),CROQUIS!$C$107/2+CROQUIS!$C$140,IF(CROQUIS!$C$103=1,-12,2),0),((CROQUIS!$C$107/2+(((CROQUIS!$C$98)-CROQUIS!$C$107)-(MIN(80,MAX(1,INT(((CROQUIS!$C$98)-CROQUIS!$C$107)/MAX(CROQUIS!$C$130,1))+1))-1)*CROQUIS!$C$130)/2)+MIN(INT(($A269-1)/5),MAX((MIN(80,MAX(1,INT(((CROQUIS!$C$98)-CROQUIS!$C$107)/MAX(CROQUIS!$C$130,1))+1)))-1,0))*CROQUIS!$C$130)))*CROQUIS!$C$155)+IF(CROQUIS!$C$92="X",0,0)),-1000)</f>
        <v>-1000</v>
      </c>
      <c r="BM26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269-1)/5),MAX((MIN(80,MAX(1,INT(((CROQUIS!$C$98)-CROQUIS!$C$107)/MAX(CROQUIS!$C$130,1))+1)))-1,0))*CROQUIS!$C$130),CHOOSE(IF(INT(($A269-1)/5)&gt;MAX((MIN(80,MAX(1,INT(((CROQUIS!$C$98)-CROQUIS!$C$107)/MAX(CROQUIS!$C$130,1))+1)))-1,0),0,MOD($A269-1,5))+1,0,IF(CROQUIS!$C$103=1,-12,2),CROQUIS!$C$107/2+CROQUIS!$C$140,IF(CROQUIS!$C$103=1,-12,2),0)))*CROQUIS!$C$155)+IF(CROQUIS!$C$92="X",0,0)),-1000)</f>
        <v>-1000</v>
      </c>
      <c r="BN269">
        <f>IF(AND(CROQUIS!$C$88=1,CROQUIS!$C$91=0,CROQUIS!$C$130&gt;0,OR(CROQUIS!$C$104=1,CROQUIS!$C$142=1)),((CROQUIS!$C$156+(IF(CROQUIS!$C$92="X",CHOOSE(IF(INT(($A269-1)/5)&gt;MAX((MIN(80,MAX(1,INT(((CROQUIS!$C$98)-CROQUIS!$C$107)/MAX(CROQUIS!$C$130,1))+1)))-1,0),0,MOD($A269-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269-1)/5),MAX((MIN(80,MAX(1,INT(((CROQUIS!$C$98)-CROQUIS!$C$107)/MAX(CROQUIS!$C$130,1))+1)))-1,0))*CROQUIS!$C$130)))*CROQUIS!$C$155)+IF(CROQUIS!$C$92="X",0,0)),-1000)</f>
        <v>-1000</v>
      </c>
      <c r="BO26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269-1)/5),MAX((MIN(80,MAX(1,INT(((CROQUIS!$C$98)-CROQUIS!$C$107)/MAX(CROQUIS!$C$130,1))+1)))-1,0))*CROQUIS!$C$130),CHOOSE(IF(INT(($A269-1)/5)&gt;MAX((MIN(80,MAX(1,INT(((CROQUIS!$C$98)-CROQUIS!$C$107)/MAX(CROQUIS!$C$130,1))+1)))-1,0),0,MOD($A269-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6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269-1)/5),MAX((MIN(80,MAX(1,INT(((CROQUIS!$C$97)-CROQUIS!$C$107)/MAX(CROQUIS!$C$138,1))+1)))-1,0))*CROQUIS!$C$138),CHOOSE(IF(INT(($A269-1)/5)&gt;MAX((MIN(80,MAX(1,INT(((CROQUIS!$C$97)-CROQUIS!$C$107)/MAX(CROQUIS!$C$138,1))+1)))-1,0),0,MOD($A269-1,5))+1,0,IF(CROQUIS!$C$105=1,-12,2),CROQUIS!$C$107/2+CROQUIS!$C$141,IF(CROQUIS!$C$105=1,-12,2),0)))*CROQUIS!$C$155)+IF(CROQUIS!$C$92="X",0,0)),-1000)</f>
        <v>-1000</v>
      </c>
      <c r="BQ269">
        <f>IF(AND(CROQUIS!$C$88=1,CROQUIS!$C$91=0,CROQUIS!$C$138&gt;0,OR(CROQUIS!$C$105=1,CROQUIS!$C$143=1)),((CROQUIS!$C$157+(IF(CROQUIS!$C$92="X",CHOOSE(IF(INT(($A269-1)/5)&gt;MAX((MIN(80,MAX(1,INT(((CROQUIS!$C$97)-CROQUIS!$C$107)/MAX(CROQUIS!$C$138,1))+1)))-1,0),0,MOD($A269-1,5))+1,0,IF(CROQUIS!$C$105=1,-12,2),CROQUIS!$C$107/2+CROQUIS!$C$141,IF(CROQUIS!$C$105=1,-12,2),0),((CROQUIS!$C$107/2+(((CROQUIS!$C$97)-CROQUIS!$C$107)-(MIN(80,MAX(1,INT(((CROQUIS!$C$97)-CROQUIS!$C$107)/MAX(CROQUIS!$C$138,1))+1))-1)*CROQUIS!$C$138)/2)+MIN(INT(($A269-1)/5),MAX((MIN(80,MAX(1,INT(((CROQUIS!$C$97)-CROQUIS!$C$107)/MAX(CROQUIS!$C$138,1))+1)))-1,0))*CROQUIS!$C$138)))*CROQUIS!$C$155)+IF(CROQUIS!$C$92="X",0,0)),-1000)</f>
        <v>-1000</v>
      </c>
      <c r="BR26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269-1)/5),MAX((MIN(80,MAX(1,INT(((CROQUIS!$C$97)-CROQUIS!$C$107)/MAX(CROQUIS!$C$138,1))+1)))-1,0))*CROQUIS!$C$138),CHOOSE(IF(INT(($A269-1)/5)&gt;MAX((MIN(80,MAX(1,INT(((CROQUIS!$C$97)-CROQUIS!$C$107)/MAX(CROQUIS!$C$138,1))+1)))-1,0),0,MOD($A269-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69">
        <f>IF(AND(CROQUIS!$C$88=1,CROQUIS!$C$91=0,CROQUIS!$C$138&gt;0,OR(CROQUIS!$C$106=1,CROQUIS!$C$143=1)),((CROQUIS!$C$157+(IF(CROQUIS!$C$92="X",CHOOSE(IF(INT(($A269-1)/5)&gt;MAX((MIN(80,MAX(1,INT(((CROQUIS!$C$97)-CROQUIS!$C$107)/MAX(CROQUIS!$C$138,1))+1)))-1,0),0,MOD($A269-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269-1)/5),MAX((MIN(80,MAX(1,INT(((CROQUIS!$C$97)-CROQUIS!$C$107)/MAX(CROQUIS!$C$138,1))+1)))-1,0))*CROQUIS!$C$138)))*CROQUIS!$C$155)+IF(CROQUIS!$C$92="X",0,0)),-1000)</f>
        <v>-1000</v>
      </c>
      <c r="BT269">
        <f>IF(AND(CROQUIS!$C$88=1,CROQUIS!$C$91=1,CROQUIS!$C$130&gt;0),((CROQUIS!$C$156+(IF(CROQUIS!$C$92="X",CHOOSE(IF(INT(($A269-1)/5)&gt;MAX((MIN(80,MAX(1,INT(((CROQUIS!$C$98)-CROQUIS!$C$107)/MAX(CROQUIS!$C$130,1))+1)))-1,0),0,MOD($A269-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269-1)/5),MAX((MIN(80,MAX(1,INT(((CROQUIS!$C$98)-CROQUIS!$C$107)/MAX(CROQUIS!$C$130,1))+1)))-1,0))*CROQUIS!$C$130)))*CROQUIS!$C$155)+IF(CROQUIS!$C$92="X",0,0)),-1000)</f>
        <v>-1000</v>
      </c>
      <c r="BU269">
        <f>IF(AND(CROQUIS!$C$88=1,CROQUIS!$C$91=1,CROQUIS!$C$130&gt;0),((CROQUIS!$C$157+(IF(CROQUIS!$C$92="X",((CROQUIS!$C$107/2+(((CROQUIS!$C$98)-CROQUIS!$C$107)-(MIN(80,MAX(1,INT(((CROQUIS!$C$98)-CROQUIS!$C$107)/MAX(CROQUIS!$C$130,1))+1))-1)*CROQUIS!$C$130)/2)+MIN(INT(($A269-1)/5),MAX((MIN(80,MAX(1,INT(((CROQUIS!$C$98)-CROQUIS!$C$107)/MAX(CROQUIS!$C$130,1))+1)))-1,0))*CROQUIS!$C$130),CHOOSE(IF(INT(($A269-1)/5)&gt;MAX((MIN(80,MAX(1,INT(((CROQUIS!$C$98)-CROQUIS!$C$107)/MAX(CROQUIS!$C$130,1))+1)))-1,0),0,MOD($A269-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70">
      <c r="A270" t="n">
        <v>263</v>
      </c>
      <c r="BH270">
        <f>IF(AND(CROQUIS!$C$88=1,CROQUIS!$C$126&gt;0),((CROQUIS!$C$156+(IF(CROQUIS!$C$92="X",CHOOSE(IF(INT(($A270-1)/5)&gt;MAX((MIN(80,MAX(1,INT(((CROQUIS!$C$98)-CROQUIS!$C$107)/MAX(CROQUIS!$C$126,1))+1)))-1,0),0,MOD($A270-1,5))+1,0,2,CROQUIS!$C$97-2,2,0),((CROQUIS!$C$107/2+(((CROQUIS!$C$98)-CROQUIS!$C$107)-(MIN(80,MAX(1,INT(((CROQUIS!$C$98)-CROQUIS!$C$107)/MAX(CROQUIS!$C$126,1))+1))-1)*CROQUIS!$C$126)/2)+MIN(INT(($A270-1)/5),MAX((MIN(80,MAX(1,INT(((CROQUIS!$C$98)-CROQUIS!$C$107)/MAX(CROQUIS!$C$126,1))+1)))-1,0))*CROQUIS!$C$126)))*CROQUIS!$C$155)+IF(CROQUIS!$C$92="X",0,0)),-1000)</f>
        <v>-1000</v>
      </c>
      <c r="BI270">
        <f>IF(AND(CROQUIS!$C$88=1,CROQUIS!$C$126&gt;0),((CROQUIS!$C$157+(IF(CROQUIS!$C$92="X",((CROQUIS!$C$107/2+(((CROQUIS!$C$98)-CROQUIS!$C$107)-(MIN(80,MAX(1,INT(((CROQUIS!$C$98)-CROQUIS!$C$107)/MAX(CROQUIS!$C$126,1))+1))-1)*CROQUIS!$C$126)/2)+MIN(INT(($A270-1)/5),MAX((MIN(80,MAX(1,INT(((CROQUIS!$C$98)-CROQUIS!$C$107)/MAX(CROQUIS!$C$126,1))+1)))-1,0))*CROQUIS!$C$126),CHOOSE(IF(INT(($A270-1)/5)&gt;MAX((MIN(80,MAX(1,INT(((CROQUIS!$C$98)-CROQUIS!$C$107)/MAX(CROQUIS!$C$126,1))+1)))-1,0),0,MOD($A270-1,5))+1,0,2,CROQUIS!$C$97-2,2,0)))*CROQUIS!$C$155)+IF(CROQUIS!$C$92="X",0,0)),-1000)</f>
        <v>-1000</v>
      </c>
      <c r="BJ270">
        <f>IF(AND(CROQUIS!$C$88=1,CROQUIS!$C$134&gt;0),((CROQUIS!$C$156+(IF(CROQUIS!$C$92="X",((CROQUIS!$C$107/2+(((CROQUIS!$C$97)-CROQUIS!$C$107)-(MIN(80,MAX(1,INT(((CROQUIS!$C$97)-CROQUIS!$C$107)/MAX(CROQUIS!$C$134,1))+1))-1)*CROQUIS!$C$134)/2)+MIN(INT(($A270-1)/5),MAX((MIN(80,MAX(1,INT(((CROQUIS!$C$97)-CROQUIS!$C$107)/MAX(CROQUIS!$C$134,1))+1)))-1,0))*CROQUIS!$C$134),CHOOSE(IF(INT(($A270-1)/5)&gt;MAX((MIN(80,MAX(1,INT(((CROQUIS!$C$97)-CROQUIS!$C$107)/MAX(CROQUIS!$C$134,1))+1)))-1,0),0,MOD($A270-1,5))+1,0,2,CROQUIS!$C$98-2,2,0)))*CROQUIS!$C$155)+IF(CROQUIS!$C$92="X",0,0)),-1000)</f>
        <v>-1000</v>
      </c>
      <c r="BK270">
        <f>IF(AND(CROQUIS!$C$88=1,CROQUIS!$C$134&gt;0),((CROQUIS!$C$157+(IF(CROQUIS!$C$92="X",CHOOSE(IF(INT(($A270-1)/5)&gt;MAX((MIN(80,MAX(1,INT(((CROQUIS!$C$97)-CROQUIS!$C$107)/MAX(CROQUIS!$C$134,1))+1)))-1,0),0,MOD($A270-1,5))+1,0,2,CROQUIS!$C$98-2,2,0),((CROQUIS!$C$107/2+(((CROQUIS!$C$97)-CROQUIS!$C$107)-(MIN(80,MAX(1,INT(((CROQUIS!$C$97)-CROQUIS!$C$107)/MAX(CROQUIS!$C$134,1))+1))-1)*CROQUIS!$C$134)/2)+MIN(INT(($A270-1)/5),MAX((MIN(80,MAX(1,INT(((CROQUIS!$C$97)-CROQUIS!$C$107)/MAX(CROQUIS!$C$134,1))+1)))-1,0))*CROQUIS!$C$134)))*CROQUIS!$C$155)+IF(CROQUIS!$C$92="X",0,0)),-1000)</f>
        <v>-1000</v>
      </c>
      <c r="BL270">
        <f>IF(AND(CROQUIS!$C$88=1,CROQUIS!$C$91=0,CROQUIS!$C$130&gt;0,OR(CROQUIS!$C$103=1,CROQUIS!$C$142=1)),((CROQUIS!$C$156+(IF(CROQUIS!$C$92="X",CHOOSE(IF(INT(($A270-1)/5)&gt;MAX((MIN(80,MAX(1,INT(((CROQUIS!$C$98)-CROQUIS!$C$107)/MAX(CROQUIS!$C$130,1))+1)))-1,0),0,MOD($A270-1,5))+1,0,IF(CROQUIS!$C$103=1,-12,2),CROQUIS!$C$107/2+CROQUIS!$C$140,IF(CROQUIS!$C$103=1,-12,2),0),((CROQUIS!$C$107/2+(((CROQUIS!$C$98)-CROQUIS!$C$107)-(MIN(80,MAX(1,INT(((CROQUIS!$C$98)-CROQUIS!$C$107)/MAX(CROQUIS!$C$130,1))+1))-1)*CROQUIS!$C$130)/2)+MIN(INT(($A270-1)/5),MAX((MIN(80,MAX(1,INT(((CROQUIS!$C$98)-CROQUIS!$C$107)/MAX(CROQUIS!$C$130,1))+1)))-1,0))*CROQUIS!$C$130)))*CROQUIS!$C$155)+IF(CROQUIS!$C$92="X",0,0)),-1000)</f>
        <v>-1000</v>
      </c>
      <c r="BM27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270-1)/5),MAX((MIN(80,MAX(1,INT(((CROQUIS!$C$98)-CROQUIS!$C$107)/MAX(CROQUIS!$C$130,1))+1)))-1,0))*CROQUIS!$C$130),CHOOSE(IF(INT(($A270-1)/5)&gt;MAX((MIN(80,MAX(1,INT(((CROQUIS!$C$98)-CROQUIS!$C$107)/MAX(CROQUIS!$C$130,1))+1)))-1,0),0,MOD($A270-1,5))+1,0,IF(CROQUIS!$C$103=1,-12,2),CROQUIS!$C$107/2+CROQUIS!$C$140,IF(CROQUIS!$C$103=1,-12,2),0)))*CROQUIS!$C$155)+IF(CROQUIS!$C$92="X",0,0)),-1000)</f>
        <v>-1000</v>
      </c>
      <c r="BN270">
        <f>IF(AND(CROQUIS!$C$88=1,CROQUIS!$C$91=0,CROQUIS!$C$130&gt;0,OR(CROQUIS!$C$104=1,CROQUIS!$C$142=1)),((CROQUIS!$C$156+(IF(CROQUIS!$C$92="X",CHOOSE(IF(INT(($A270-1)/5)&gt;MAX((MIN(80,MAX(1,INT(((CROQUIS!$C$98)-CROQUIS!$C$107)/MAX(CROQUIS!$C$130,1))+1)))-1,0),0,MOD($A270-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270-1)/5),MAX((MIN(80,MAX(1,INT(((CROQUIS!$C$98)-CROQUIS!$C$107)/MAX(CROQUIS!$C$130,1))+1)))-1,0))*CROQUIS!$C$130)))*CROQUIS!$C$155)+IF(CROQUIS!$C$92="X",0,0)),-1000)</f>
        <v>-1000</v>
      </c>
      <c r="BO27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270-1)/5),MAX((MIN(80,MAX(1,INT(((CROQUIS!$C$98)-CROQUIS!$C$107)/MAX(CROQUIS!$C$130,1))+1)))-1,0))*CROQUIS!$C$130),CHOOSE(IF(INT(($A270-1)/5)&gt;MAX((MIN(80,MAX(1,INT(((CROQUIS!$C$98)-CROQUIS!$C$107)/MAX(CROQUIS!$C$130,1))+1)))-1,0),0,MOD($A270-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7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270-1)/5),MAX((MIN(80,MAX(1,INT(((CROQUIS!$C$97)-CROQUIS!$C$107)/MAX(CROQUIS!$C$138,1))+1)))-1,0))*CROQUIS!$C$138),CHOOSE(IF(INT(($A270-1)/5)&gt;MAX((MIN(80,MAX(1,INT(((CROQUIS!$C$97)-CROQUIS!$C$107)/MAX(CROQUIS!$C$138,1))+1)))-1,0),0,MOD($A270-1,5))+1,0,IF(CROQUIS!$C$105=1,-12,2),CROQUIS!$C$107/2+CROQUIS!$C$141,IF(CROQUIS!$C$105=1,-12,2),0)))*CROQUIS!$C$155)+IF(CROQUIS!$C$92="X",0,0)),-1000)</f>
        <v>-1000</v>
      </c>
      <c r="BQ270">
        <f>IF(AND(CROQUIS!$C$88=1,CROQUIS!$C$91=0,CROQUIS!$C$138&gt;0,OR(CROQUIS!$C$105=1,CROQUIS!$C$143=1)),((CROQUIS!$C$157+(IF(CROQUIS!$C$92="X",CHOOSE(IF(INT(($A270-1)/5)&gt;MAX((MIN(80,MAX(1,INT(((CROQUIS!$C$97)-CROQUIS!$C$107)/MAX(CROQUIS!$C$138,1))+1)))-1,0),0,MOD($A270-1,5))+1,0,IF(CROQUIS!$C$105=1,-12,2),CROQUIS!$C$107/2+CROQUIS!$C$141,IF(CROQUIS!$C$105=1,-12,2),0),((CROQUIS!$C$107/2+(((CROQUIS!$C$97)-CROQUIS!$C$107)-(MIN(80,MAX(1,INT(((CROQUIS!$C$97)-CROQUIS!$C$107)/MAX(CROQUIS!$C$138,1))+1))-1)*CROQUIS!$C$138)/2)+MIN(INT(($A270-1)/5),MAX((MIN(80,MAX(1,INT(((CROQUIS!$C$97)-CROQUIS!$C$107)/MAX(CROQUIS!$C$138,1))+1)))-1,0))*CROQUIS!$C$138)))*CROQUIS!$C$155)+IF(CROQUIS!$C$92="X",0,0)),-1000)</f>
        <v>-1000</v>
      </c>
      <c r="BR27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270-1)/5),MAX((MIN(80,MAX(1,INT(((CROQUIS!$C$97)-CROQUIS!$C$107)/MAX(CROQUIS!$C$138,1))+1)))-1,0))*CROQUIS!$C$138),CHOOSE(IF(INT(($A270-1)/5)&gt;MAX((MIN(80,MAX(1,INT(((CROQUIS!$C$97)-CROQUIS!$C$107)/MAX(CROQUIS!$C$138,1))+1)))-1,0),0,MOD($A270-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70">
        <f>IF(AND(CROQUIS!$C$88=1,CROQUIS!$C$91=0,CROQUIS!$C$138&gt;0,OR(CROQUIS!$C$106=1,CROQUIS!$C$143=1)),((CROQUIS!$C$157+(IF(CROQUIS!$C$92="X",CHOOSE(IF(INT(($A270-1)/5)&gt;MAX((MIN(80,MAX(1,INT(((CROQUIS!$C$97)-CROQUIS!$C$107)/MAX(CROQUIS!$C$138,1))+1)))-1,0),0,MOD($A270-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270-1)/5),MAX((MIN(80,MAX(1,INT(((CROQUIS!$C$97)-CROQUIS!$C$107)/MAX(CROQUIS!$C$138,1))+1)))-1,0))*CROQUIS!$C$138)))*CROQUIS!$C$155)+IF(CROQUIS!$C$92="X",0,0)),-1000)</f>
        <v>-1000</v>
      </c>
      <c r="BT270">
        <f>IF(AND(CROQUIS!$C$88=1,CROQUIS!$C$91=1,CROQUIS!$C$130&gt;0),((CROQUIS!$C$156+(IF(CROQUIS!$C$92="X",CHOOSE(IF(INT(($A270-1)/5)&gt;MAX((MIN(80,MAX(1,INT(((CROQUIS!$C$98)-CROQUIS!$C$107)/MAX(CROQUIS!$C$130,1))+1)))-1,0),0,MOD($A270-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270-1)/5),MAX((MIN(80,MAX(1,INT(((CROQUIS!$C$98)-CROQUIS!$C$107)/MAX(CROQUIS!$C$130,1))+1)))-1,0))*CROQUIS!$C$130)))*CROQUIS!$C$155)+IF(CROQUIS!$C$92="X",0,0)),-1000)</f>
        <v>-1000</v>
      </c>
      <c r="BU270">
        <f>IF(AND(CROQUIS!$C$88=1,CROQUIS!$C$91=1,CROQUIS!$C$130&gt;0),((CROQUIS!$C$157+(IF(CROQUIS!$C$92="X",((CROQUIS!$C$107/2+(((CROQUIS!$C$98)-CROQUIS!$C$107)-(MIN(80,MAX(1,INT(((CROQUIS!$C$98)-CROQUIS!$C$107)/MAX(CROQUIS!$C$130,1))+1))-1)*CROQUIS!$C$130)/2)+MIN(INT(($A270-1)/5),MAX((MIN(80,MAX(1,INT(((CROQUIS!$C$98)-CROQUIS!$C$107)/MAX(CROQUIS!$C$130,1))+1)))-1,0))*CROQUIS!$C$130),CHOOSE(IF(INT(($A270-1)/5)&gt;MAX((MIN(80,MAX(1,INT(((CROQUIS!$C$98)-CROQUIS!$C$107)/MAX(CROQUIS!$C$130,1))+1)))-1,0),0,MOD($A270-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71">
      <c r="A271" t="n">
        <v>264</v>
      </c>
      <c r="BH271">
        <f>IF(AND(CROQUIS!$C$88=1,CROQUIS!$C$126&gt;0),((CROQUIS!$C$156+(IF(CROQUIS!$C$92="X",CHOOSE(IF(INT(($A271-1)/5)&gt;MAX((MIN(80,MAX(1,INT(((CROQUIS!$C$98)-CROQUIS!$C$107)/MAX(CROQUIS!$C$126,1))+1)))-1,0),0,MOD($A271-1,5))+1,0,2,CROQUIS!$C$97-2,2,0),((CROQUIS!$C$107/2+(((CROQUIS!$C$98)-CROQUIS!$C$107)-(MIN(80,MAX(1,INT(((CROQUIS!$C$98)-CROQUIS!$C$107)/MAX(CROQUIS!$C$126,1))+1))-1)*CROQUIS!$C$126)/2)+MIN(INT(($A271-1)/5),MAX((MIN(80,MAX(1,INT(((CROQUIS!$C$98)-CROQUIS!$C$107)/MAX(CROQUIS!$C$126,1))+1)))-1,0))*CROQUIS!$C$126)))*CROQUIS!$C$155)+IF(CROQUIS!$C$92="X",0,0)),-1000)</f>
        <v>-1000</v>
      </c>
      <c r="BI271">
        <f>IF(AND(CROQUIS!$C$88=1,CROQUIS!$C$126&gt;0),((CROQUIS!$C$157+(IF(CROQUIS!$C$92="X",((CROQUIS!$C$107/2+(((CROQUIS!$C$98)-CROQUIS!$C$107)-(MIN(80,MAX(1,INT(((CROQUIS!$C$98)-CROQUIS!$C$107)/MAX(CROQUIS!$C$126,1))+1))-1)*CROQUIS!$C$126)/2)+MIN(INT(($A271-1)/5),MAX((MIN(80,MAX(1,INT(((CROQUIS!$C$98)-CROQUIS!$C$107)/MAX(CROQUIS!$C$126,1))+1)))-1,0))*CROQUIS!$C$126),CHOOSE(IF(INT(($A271-1)/5)&gt;MAX((MIN(80,MAX(1,INT(((CROQUIS!$C$98)-CROQUIS!$C$107)/MAX(CROQUIS!$C$126,1))+1)))-1,0),0,MOD($A271-1,5))+1,0,2,CROQUIS!$C$97-2,2,0)))*CROQUIS!$C$155)+IF(CROQUIS!$C$92="X",0,0)),-1000)</f>
        <v>-1000</v>
      </c>
      <c r="BJ271">
        <f>IF(AND(CROQUIS!$C$88=1,CROQUIS!$C$134&gt;0),((CROQUIS!$C$156+(IF(CROQUIS!$C$92="X",((CROQUIS!$C$107/2+(((CROQUIS!$C$97)-CROQUIS!$C$107)-(MIN(80,MAX(1,INT(((CROQUIS!$C$97)-CROQUIS!$C$107)/MAX(CROQUIS!$C$134,1))+1))-1)*CROQUIS!$C$134)/2)+MIN(INT(($A271-1)/5),MAX((MIN(80,MAX(1,INT(((CROQUIS!$C$97)-CROQUIS!$C$107)/MAX(CROQUIS!$C$134,1))+1)))-1,0))*CROQUIS!$C$134),CHOOSE(IF(INT(($A271-1)/5)&gt;MAX((MIN(80,MAX(1,INT(((CROQUIS!$C$97)-CROQUIS!$C$107)/MAX(CROQUIS!$C$134,1))+1)))-1,0),0,MOD($A271-1,5))+1,0,2,CROQUIS!$C$98-2,2,0)))*CROQUIS!$C$155)+IF(CROQUIS!$C$92="X",0,0)),-1000)</f>
        <v>-1000</v>
      </c>
      <c r="BK271">
        <f>IF(AND(CROQUIS!$C$88=1,CROQUIS!$C$134&gt;0),((CROQUIS!$C$157+(IF(CROQUIS!$C$92="X",CHOOSE(IF(INT(($A271-1)/5)&gt;MAX((MIN(80,MAX(1,INT(((CROQUIS!$C$97)-CROQUIS!$C$107)/MAX(CROQUIS!$C$134,1))+1)))-1,0),0,MOD($A271-1,5))+1,0,2,CROQUIS!$C$98-2,2,0),((CROQUIS!$C$107/2+(((CROQUIS!$C$97)-CROQUIS!$C$107)-(MIN(80,MAX(1,INT(((CROQUIS!$C$97)-CROQUIS!$C$107)/MAX(CROQUIS!$C$134,1))+1))-1)*CROQUIS!$C$134)/2)+MIN(INT(($A271-1)/5),MAX((MIN(80,MAX(1,INT(((CROQUIS!$C$97)-CROQUIS!$C$107)/MAX(CROQUIS!$C$134,1))+1)))-1,0))*CROQUIS!$C$134)))*CROQUIS!$C$155)+IF(CROQUIS!$C$92="X",0,0)),-1000)</f>
        <v>-1000</v>
      </c>
      <c r="BL271">
        <f>IF(AND(CROQUIS!$C$88=1,CROQUIS!$C$91=0,CROQUIS!$C$130&gt;0,OR(CROQUIS!$C$103=1,CROQUIS!$C$142=1)),((CROQUIS!$C$156+(IF(CROQUIS!$C$92="X",CHOOSE(IF(INT(($A271-1)/5)&gt;MAX((MIN(80,MAX(1,INT(((CROQUIS!$C$98)-CROQUIS!$C$107)/MAX(CROQUIS!$C$130,1))+1)))-1,0),0,MOD($A271-1,5))+1,0,IF(CROQUIS!$C$103=1,-12,2),CROQUIS!$C$107/2+CROQUIS!$C$140,IF(CROQUIS!$C$103=1,-12,2),0),((CROQUIS!$C$107/2+(((CROQUIS!$C$98)-CROQUIS!$C$107)-(MIN(80,MAX(1,INT(((CROQUIS!$C$98)-CROQUIS!$C$107)/MAX(CROQUIS!$C$130,1))+1))-1)*CROQUIS!$C$130)/2)+MIN(INT(($A271-1)/5),MAX((MIN(80,MAX(1,INT(((CROQUIS!$C$98)-CROQUIS!$C$107)/MAX(CROQUIS!$C$130,1))+1)))-1,0))*CROQUIS!$C$130)))*CROQUIS!$C$155)+IF(CROQUIS!$C$92="X",0,0)),-1000)</f>
        <v>-1000</v>
      </c>
      <c r="BM27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271-1)/5),MAX((MIN(80,MAX(1,INT(((CROQUIS!$C$98)-CROQUIS!$C$107)/MAX(CROQUIS!$C$130,1))+1)))-1,0))*CROQUIS!$C$130),CHOOSE(IF(INT(($A271-1)/5)&gt;MAX((MIN(80,MAX(1,INT(((CROQUIS!$C$98)-CROQUIS!$C$107)/MAX(CROQUIS!$C$130,1))+1)))-1,0),0,MOD($A271-1,5))+1,0,IF(CROQUIS!$C$103=1,-12,2),CROQUIS!$C$107/2+CROQUIS!$C$140,IF(CROQUIS!$C$103=1,-12,2),0)))*CROQUIS!$C$155)+IF(CROQUIS!$C$92="X",0,0)),-1000)</f>
        <v>-1000</v>
      </c>
      <c r="BN271">
        <f>IF(AND(CROQUIS!$C$88=1,CROQUIS!$C$91=0,CROQUIS!$C$130&gt;0,OR(CROQUIS!$C$104=1,CROQUIS!$C$142=1)),((CROQUIS!$C$156+(IF(CROQUIS!$C$92="X",CHOOSE(IF(INT(($A271-1)/5)&gt;MAX((MIN(80,MAX(1,INT(((CROQUIS!$C$98)-CROQUIS!$C$107)/MAX(CROQUIS!$C$130,1))+1)))-1,0),0,MOD($A271-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271-1)/5),MAX((MIN(80,MAX(1,INT(((CROQUIS!$C$98)-CROQUIS!$C$107)/MAX(CROQUIS!$C$130,1))+1)))-1,0))*CROQUIS!$C$130)))*CROQUIS!$C$155)+IF(CROQUIS!$C$92="X",0,0)),-1000)</f>
        <v>-1000</v>
      </c>
      <c r="BO27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271-1)/5),MAX((MIN(80,MAX(1,INT(((CROQUIS!$C$98)-CROQUIS!$C$107)/MAX(CROQUIS!$C$130,1))+1)))-1,0))*CROQUIS!$C$130),CHOOSE(IF(INT(($A271-1)/5)&gt;MAX((MIN(80,MAX(1,INT(((CROQUIS!$C$98)-CROQUIS!$C$107)/MAX(CROQUIS!$C$130,1))+1)))-1,0),0,MOD($A271-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7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271-1)/5),MAX((MIN(80,MAX(1,INT(((CROQUIS!$C$97)-CROQUIS!$C$107)/MAX(CROQUIS!$C$138,1))+1)))-1,0))*CROQUIS!$C$138),CHOOSE(IF(INT(($A271-1)/5)&gt;MAX((MIN(80,MAX(1,INT(((CROQUIS!$C$97)-CROQUIS!$C$107)/MAX(CROQUIS!$C$138,1))+1)))-1,0),0,MOD($A271-1,5))+1,0,IF(CROQUIS!$C$105=1,-12,2),CROQUIS!$C$107/2+CROQUIS!$C$141,IF(CROQUIS!$C$105=1,-12,2),0)))*CROQUIS!$C$155)+IF(CROQUIS!$C$92="X",0,0)),-1000)</f>
        <v>-1000</v>
      </c>
      <c r="BQ271">
        <f>IF(AND(CROQUIS!$C$88=1,CROQUIS!$C$91=0,CROQUIS!$C$138&gt;0,OR(CROQUIS!$C$105=1,CROQUIS!$C$143=1)),((CROQUIS!$C$157+(IF(CROQUIS!$C$92="X",CHOOSE(IF(INT(($A271-1)/5)&gt;MAX((MIN(80,MAX(1,INT(((CROQUIS!$C$97)-CROQUIS!$C$107)/MAX(CROQUIS!$C$138,1))+1)))-1,0),0,MOD($A271-1,5))+1,0,IF(CROQUIS!$C$105=1,-12,2),CROQUIS!$C$107/2+CROQUIS!$C$141,IF(CROQUIS!$C$105=1,-12,2),0),((CROQUIS!$C$107/2+(((CROQUIS!$C$97)-CROQUIS!$C$107)-(MIN(80,MAX(1,INT(((CROQUIS!$C$97)-CROQUIS!$C$107)/MAX(CROQUIS!$C$138,1))+1))-1)*CROQUIS!$C$138)/2)+MIN(INT(($A271-1)/5),MAX((MIN(80,MAX(1,INT(((CROQUIS!$C$97)-CROQUIS!$C$107)/MAX(CROQUIS!$C$138,1))+1)))-1,0))*CROQUIS!$C$138)))*CROQUIS!$C$155)+IF(CROQUIS!$C$92="X",0,0)),-1000)</f>
        <v>-1000</v>
      </c>
      <c r="BR27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271-1)/5),MAX((MIN(80,MAX(1,INT(((CROQUIS!$C$97)-CROQUIS!$C$107)/MAX(CROQUIS!$C$138,1))+1)))-1,0))*CROQUIS!$C$138),CHOOSE(IF(INT(($A271-1)/5)&gt;MAX((MIN(80,MAX(1,INT(((CROQUIS!$C$97)-CROQUIS!$C$107)/MAX(CROQUIS!$C$138,1))+1)))-1,0),0,MOD($A271-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71">
        <f>IF(AND(CROQUIS!$C$88=1,CROQUIS!$C$91=0,CROQUIS!$C$138&gt;0,OR(CROQUIS!$C$106=1,CROQUIS!$C$143=1)),((CROQUIS!$C$157+(IF(CROQUIS!$C$92="X",CHOOSE(IF(INT(($A271-1)/5)&gt;MAX((MIN(80,MAX(1,INT(((CROQUIS!$C$97)-CROQUIS!$C$107)/MAX(CROQUIS!$C$138,1))+1)))-1,0),0,MOD($A271-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271-1)/5),MAX((MIN(80,MAX(1,INT(((CROQUIS!$C$97)-CROQUIS!$C$107)/MAX(CROQUIS!$C$138,1))+1)))-1,0))*CROQUIS!$C$138)))*CROQUIS!$C$155)+IF(CROQUIS!$C$92="X",0,0)),-1000)</f>
        <v>-1000</v>
      </c>
      <c r="BT271">
        <f>IF(AND(CROQUIS!$C$88=1,CROQUIS!$C$91=1,CROQUIS!$C$130&gt;0),((CROQUIS!$C$156+(IF(CROQUIS!$C$92="X",CHOOSE(IF(INT(($A271-1)/5)&gt;MAX((MIN(80,MAX(1,INT(((CROQUIS!$C$98)-CROQUIS!$C$107)/MAX(CROQUIS!$C$130,1))+1)))-1,0),0,MOD($A271-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271-1)/5),MAX((MIN(80,MAX(1,INT(((CROQUIS!$C$98)-CROQUIS!$C$107)/MAX(CROQUIS!$C$130,1))+1)))-1,0))*CROQUIS!$C$130)))*CROQUIS!$C$155)+IF(CROQUIS!$C$92="X",0,0)),-1000)</f>
        <v>-1000</v>
      </c>
      <c r="BU271">
        <f>IF(AND(CROQUIS!$C$88=1,CROQUIS!$C$91=1,CROQUIS!$C$130&gt;0),((CROQUIS!$C$157+(IF(CROQUIS!$C$92="X",((CROQUIS!$C$107/2+(((CROQUIS!$C$98)-CROQUIS!$C$107)-(MIN(80,MAX(1,INT(((CROQUIS!$C$98)-CROQUIS!$C$107)/MAX(CROQUIS!$C$130,1))+1))-1)*CROQUIS!$C$130)/2)+MIN(INT(($A271-1)/5),MAX((MIN(80,MAX(1,INT(((CROQUIS!$C$98)-CROQUIS!$C$107)/MAX(CROQUIS!$C$130,1))+1)))-1,0))*CROQUIS!$C$130),CHOOSE(IF(INT(($A271-1)/5)&gt;MAX((MIN(80,MAX(1,INT(((CROQUIS!$C$98)-CROQUIS!$C$107)/MAX(CROQUIS!$C$130,1))+1)))-1,0),0,MOD($A271-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72">
      <c r="A272" t="n">
        <v>265</v>
      </c>
      <c r="BH272">
        <f>IF(AND(CROQUIS!$C$88=1,CROQUIS!$C$126&gt;0),((CROQUIS!$C$156+(IF(CROQUIS!$C$92="X",CHOOSE(IF(INT(($A272-1)/5)&gt;MAX((MIN(80,MAX(1,INT(((CROQUIS!$C$98)-CROQUIS!$C$107)/MAX(CROQUIS!$C$126,1))+1)))-1,0),0,MOD($A272-1,5))+1,0,2,CROQUIS!$C$97-2,2,0),((CROQUIS!$C$107/2+(((CROQUIS!$C$98)-CROQUIS!$C$107)-(MIN(80,MAX(1,INT(((CROQUIS!$C$98)-CROQUIS!$C$107)/MAX(CROQUIS!$C$126,1))+1))-1)*CROQUIS!$C$126)/2)+MIN(INT(($A272-1)/5),MAX((MIN(80,MAX(1,INT(((CROQUIS!$C$98)-CROQUIS!$C$107)/MAX(CROQUIS!$C$126,1))+1)))-1,0))*CROQUIS!$C$126)))*CROQUIS!$C$155)+IF(CROQUIS!$C$92="X",0,0)),-1000)</f>
        <v>-1000</v>
      </c>
      <c r="BI272">
        <f>IF(AND(CROQUIS!$C$88=1,CROQUIS!$C$126&gt;0),((CROQUIS!$C$157+(IF(CROQUIS!$C$92="X",((CROQUIS!$C$107/2+(((CROQUIS!$C$98)-CROQUIS!$C$107)-(MIN(80,MAX(1,INT(((CROQUIS!$C$98)-CROQUIS!$C$107)/MAX(CROQUIS!$C$126,1))+1))-1)*CROQUIS!$C$126)/2)+MIN(INT(($A272-1)/5),MAX((MIN(80,MAX(1,INT(((CROQUIS!$C$98)-CROQUIS!$C$107)/MAX(CROQUIS!$C$126,1))+1)))-1,0))*CROQUIS!$C$126),CHOOSE(IF(INT(($A272-1)/5)&gt;MAX((MIN(80,MAX(1,INT(((CROQUIS!$C$98)-CROQUIS!$C$107)/MAX(CROQUIS!$C$126,1))+1)))-1,0),0,MOD($A272-1,5))+1,0,2,CROQUIS!$C$97-2,2,0)))*CROQUIS!$C$155)+IF(CROQUIS!$C$92="X",0,0)),-1000)</f>
        <v>-1000</v>
      </c>
      <c r="BJ272">
        <f>IF(AND(CROQUIS!$C$88=1,CROQUIS!$C$134&gt;0),((CROQUIS!$C$156+(IF(CROQUIS!$C$92="X",((CROQUIS!$C$107/2+(((CROQUIS!$C$97)-CROQUIS!$C$107)-(MIN(80,MAX(1,INT(((CROQUIS!$C$97)-CROQUIS!$C$107)/MAX(CROQUIS!$C$134,1))+1))-1)*CROQUIS!$C$134)/2)+MIN(INT(($A272-1)/5),MAX((MIN(80,MAX(1,INT(((CROQUIS!$C$97)-CROQUIS!$C$107)/MAX(CROQUIS!$C$134,1))+1)))-1,0))*CROQUIS!$C$134),CHOOSE(IF(INT(($A272-1)/5)&gt;MAX((MIN(80,MAX(1,INT(((CROQUIS!$C$97)-CROQUIS!$C$107)/MAX(CROQUIS!$C$134,1))+1)))-1,0),0,MOD($A272-1,5))+1,0,2,CROQUIS!$C$98-2,2,0)))*CROQUIS!$C$155)+IF(CROQUIS!$C$92="X",0,0)),-1000)</f>
        <v>-1000</v>
      </c>
      <c r="BK272">
        <f>IF(AND(CROQUIS!$C$88=1,CROQUIS!$C$134&gt;0),((CROQUIS!$C$157+(IF(CROQUIS!$C$92="X",CHOOSE(IF(INT(($A272-1)/5)&gt;MAX((MIN(80,MAX(1,INT(((CROQUIS!$C$97)-CROQUIS!$C$107)/MAX(CROQUIS!$C$134,1))+1)))-1,0),0,MOD($A272-1,5))+1,0,2,CROQUIS!$C$98-2,2,0),((CROQUIS!$C$107/2+(((CROQUIS!$C$97)-CROQUIS!$C$107)-(MIN(80,MAX(1,INT(((CROQUIS!$C$97)-CROQUIS!$C$107)/MAX(CROQUIS!$C$134,1))+1))-1)*CROQUIS!$C$134)/2)+MIN(INT(($A272-1)/5),MAX((MIN(80,MAX(1,INT(((CROQUIS!$C$97)-CROQUIS!$C$107)/MAX(CROQUIS!$C$134,1))+1)))-1,0))*CROQUIS!$C$134)))*CROQUIS!$C$155)+IF(CROQUIS!$C$92="X",0,0)),-1000)</f>
        <v>-1000</v>
      </c>
      <c r="BL272">
        <f>IF(AND(CROQUIS!$C$88=1,CROQUIS!$C$91=0,CROQUIS!$C$130&gt;0,OR(CROQUIS!$C$103=1,CROQUIS!$C$142=1)),((CROQUIS!$C$156+(IF(CROQUIS!$C$92="X",CHOOSE(IF(INT(($A272-1)/5)&gt;MAX((MIN(80,MAX(1,INT(((CROQUIS!$C$98)-CROQUIS!$C$107)/MAX(CROQUIS!$C$130,1))+1)))-1,0),0,MOD($A272-1,5))+1,0,IF(CROQUIS!$C$103=1,-12,2),CROQUIS!$C$107/2+CROQUIS!$C$140,IF(CROQUIS!$C$103=1,-12,2),0),((CROQUIS!$C$107/2+(((CROQUIS!$C$98)-CROQUIS!$C$107)-(MIN(80,MAX(1,INT(((CROQUIS!$C$98)-CROQUIS!$C$107)/MAX(CROQUIS!$C$130,1))+1))-1)*CROQUIS!$C$130)/2)+MIN(INT(($A272-1)/5),MAX((MIN(80,MAX(1,INT(((CROQUIS!$C$98)-CROQUIS!$C$107)/MAX(CROQUIS!$C$130,1))+1)))-1,0))*CROQUIS!$C$130)))*CROQUIS!$C$155)+IF(CROQUIS!$C$92="X",0,0)),-1000)</f>
        <v>-1000</v>
      </c>
      <c r="BM27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272-1)/5),MAX((MIN(80,MAX(1,INT(((CROQUIS!$C$98)-CROQUIS!$C$107)/MAX(CROQUIS!$C$130,1))+1)))-1,0))*CROQUIS!$C$130),CHOOSE(IF(INT(($A272-1)/5)&gt;MAX((MIN(80,MAX(1,INT(((CROQUIS!$C$98)-CROQUIS!$C$107)/MAX(CROQUIS!$C$130,1))+1)))-1,0),0,MOD($A272-1,5))+1,0,IF(CROQUIS!$C$103=1,-12,2),CROQUIS!$C$107/2+CROQUIS!$C$140,IF(CROQUIS!$C$103=1,-12,2),0)))*CROQUIS!$C$155)+IF(CROQUIS!$C$92="X",0,0)),-1000)</f>
        <v>-1000</v>
      </c>
      <c r="BN272">
        <f>IF(AND(CROQUIS!$C$88=1,CROQUIS!$C$91=0,CROQUIS!$C$130&gt;0,OR(CROQUIS!$C$104=1,CROQUIS!$C$142=1)),((CROQUIS!$C$156+(IF(CROQUIS!$C$92="X",CHOOSE(IF(INT(($A272-1)/5)&gt;MAX((MIN(80,MAX(1,INT(((CROQUIS!$C$98)-CROQUIS!$C$107)/MAX(CROQUIS!$C$130,1))+1)))-1,0),0,MOD($A272-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272-1)/5),MAX((MIN(80,MAX(1,INT(((CROQUIS!$C$98)-CROQUIS!$C$107)/MAX(CROQUIS!$C$130,1))+1)))-1,0))*CROQUIS!$C$130)))*CROQUIS!$C$155)+IF(CROQUIS!$C$92="X",0,0)),-1000)</f>
        <v>-1000</v>
      </c>
      <c r="BO27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272-1)/5),MAX((MIN(80,MAX(1,INT(((CROQUIS!$C$98)-CROQUIS!$C$107)/MAX(CROQUIS!$C$130,1))+1)))-1,0))*CROQUIS!$C$130),CHOOSE(IF(INT(($A272-1)/5)&gt;MAX((MIN(80,MAX(1,INT(((CROQUIS!$C$98)-CROQUIS!$C$107)/MAX(CROQUIS!$C$130,1))+1)))-1,0),0,MOD($A272-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7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272-1)/5),MAX((MIN(80,MAX(1,INT(((CROQUIS!$C$97)-CROQUIS!$C$107)/MAX(CROQUIS!$C$138,1))+1)))-1,0))*CROQUIS!$C$138),CHOOSE(IF(INT(($A272-1)/5)&gt;MAX((MIN(80,MAX(1,INT(((CROQUIS!$C$97)-CROQUIS!$C$107)/MAX(CROQUIS!$C$138,1))+1)))-1,0),0,MOD($A272-1,5))+1,0,IF(CROQUIS!$C$105=1,-12,2),CROQUIS!$C$107/2+CROQUIS!$C$141,IF(CROQUIS!$C$105=1,-12,2),0)))*CROQUIS!$C$155)+IF(CROQUIS!$C$92="X",0,0)),-1000)</f>
        <v>-1000</v>
      </c>
      <c r="BQ272">
        <f>IF(AND(CROQUIS!$C$88=1,CROQUIS!$C$91=0,CROQUIS!$C$138&gt;0,OR(CROQUIS!$C$105=1,CROQUIS!$C$143=1)),((CROQUIS!$C$157+(IF(CROQUIS!$C$92="X",CHOOSE(IF(INT(($A272-1)/5)&gt;MAX((MIN(80,MAX(1,INT(((CROQUIS!$C$97)-CROQUIS!$C$107)/MAX(CROQUIS!$C$138,1))+1)))-1,0),0,MOD($A272-1,5))+1,0,IF(CROQUIS!$C$105=1,-12,2),CROQUIS!$C$107/2+CROQUIS!$C$141,IF(CROQUIS!$C$105=1,-12,2),0),((CROQUIS!$C$107/2+(((CROQUIS!$C$97)-CROQUIS!$C$107)-(MIN(80,MAX(1,INT(((CROQUIS!$C$97)-CROQUIS!$C$107)/MAX(CROQUIS!$C$138,1))+1))-1)*CROQUIS!$C$138)/2)+MIN(INT(($A272-1)/5),MAX((MIN(80,MAX(1,INT(((CROQUIS!$C$97)-CROQUIS!$C$107)/MAX(CROQUIS!$C$138,1))+1)))-1,0))*CROQUIS!$C$138)))*CROQUIS!$C$155)+IF(CROQUIS!$C$92="X",0,0)),-1000)</f>
        <v>-1000</v>
      </c>
      <c r="BR27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272-1)/5),MAX((MIN(80,MAX(1,INT(((CROQUIS!$C$97)-CROQUIS!$C$107)/MAX(CROQUIS!$C$138,1))+1)))-1,0))*CROQUIS!$C$138),CHOOSE(IF(INT(($A272-1)/5)&gt;MAX((MIN(80,MAX(1,INT(((CROQUIS!$C$97)-CROQUIS!$C$107)/MAX(CROQUIS!$C$138,1))+1)))-1,0),0,MOD($A272-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72">
        <f>IF(AND(CROQUIS!$C$88=1,CROQUIS!$C$91=0,CROQUIS!$C$138&gt;0,OR(CROQUIS!$C$106=1,CROQUIS!$C$143=1)),((CROQUIS!$C$157+(IF(CROQUIS!$C$92="X",CHOOSE(IF(INT(($A272-1)/5)&gt;MAX((MIN(80,MAX(1,INT(((CROQUIS!$C$97)-CROQUIS!$C$107)/MAX(CROQUIS!$C$138,1))+1)))-1,0),0,MOD($A272-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272-1)/5),MAX((MIN(80,MAX(1,INT(((CROQUIS!$C$97)-CROQUIS!$C$107)/MAX(CROQUIS!$C$138,1))+1)))-1,0))*CROQUIS!$C$138)))*CROQUIS!$C$155)+IF(CROQUIS!$C$92="X",0,0)),-1000)</f>
        <v>-1000</v>
      </c>
      <c r="BT272">
        <f>IF(AND(CROQUIS!$C$88=1,CROQUIS!$C$91=1,CROQUIS!$C$130&gt;0),((CROQUIS!$C$156+(IF(CROQUIS!$C$92="X",CHOOSE(IF(INT(($A272-1)/5)&gt;MAX((MIN(80,MAX(1,INT(((CROQUIS!$C$98)-CROQUIS!$C$107)/MAX(CROQUIS!$C$130,1))+1)))-1,0),0,MOD($A272-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272-1)/5),MAX((MIN(80,MAX(1,INT(((CROQUIS!$C$98)-CROQUIS!$C$107)/MAX(CROQUIS!$C$130,1))+1)))-1,0))*CROQUIS!$C$130)))*CROQUIS!$C$155)+IF(CROQUIS!$C$92="X",0,0)),-1000)</f>
        <v>-1000</v>
      </c>
      <c r="BU272">
        <f>IF(AND(CROQUIS!$C$88=1,CROQUIS!$C$91=1,CROQUIS!$C$130&gt;0),((CROQUIS!$C$157+(IF(CROQUIS!$C$92="X",((CROQUIS!$C$107/2+(((CROQUIS!$C$98)-CROQUIS!$C$107)-(MIN(80,MAX(1,INT(((CROQUIS!$C$98)-CROQUIS!$C$107)/MAX(CROQUIS!$C$130,1))+1))-1)*CROQUIS!$C$130)/2)+MIN(INT(($A272-1)/5),MAX((MIN(80,MAX(1,INT(((CROQUIS!$C$98)-CROQUIS!$C$107)/MAX(CROQUIS!$C$130,1))+1)))-1,0))*CROQUIS!$C$130),CHOOSE(IF(INT(($A272-1)/5)&gt;MAX((MIN(80,MAX(1,INT(((CROQUIS!$C$98)-CROQUIS!$C$107)/MAX(CROQUIS!$C$130,1))+1)))-1,0),0,MOD($A272-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73">
      <c r="A273" t="n">
        <v>266</v>
      </c>
      <c r="BH273">
        <f>IF(AND(CROQUIS!$C$88=1,CROQUIS!$C$126&gt;0),((CROQUIS!$C$156+(IF(CROQUIS!$C$92="X",CHOOSE(IF(INT(($A273-1)/5)&gt;MAX((MIN(80,MAX(1,INT(((CROQUIS!$C$98)-CROQUIS!$C$107)/MAX(CROQUIS!$C$126,1))+1)))-1,0),0,MOD($A273-1,5))+1,0,2,CROQUIS!$C$97-2,2,0),((CROQUIS!$C$107/2+(((CROQUIS!$C$98)-CROQUIS!$C$107)-(MIN(80,MAX(1,INT(((CROQUIS!$C$98)-CROQUIS!$C$107)/MAX(CROQUIS!$C$126,1))+1))-1)*CROQUIS!$C$126)/2)+MIN(INT(($A273-1)/5),MAX((MIN(80,MAX(1,INT(((CROQUIS!$C$98)-CROQUIS!$C$107)/MAX(CROQUIS!$C$126,1))+1)))-1,0))*CROQUIS!$C$126)))*CROQUIS!$C$155)+IF(CROQUIS!$C$92="X",0,0)),-1000)</f>
        <v>-1000</v>
      </c>
      <c r="BI273">
        <f>IF(AND(CROQUIS!$C$88=1,CROQUIS!$C$126&gt;0),((CROQUIS!$C$157+(IF(CROQUIS!$C$92="X",((CROQUIS!$C$107/2+(((CROQUIS!$C$98)-CROQUIS!$C$107)-(MIN(80,MAX(1,INT(((CROQUIS!$C$98)-CROQUIS!$C$107)/MAX(CROQUIS!$C$126,1))+1))-1)*CROQUIS!$C$126)/2)+MIN(INT(($A273-1)/5),MAX((MIN(80,MAX(1,INT(((CROQUIS!$C$98)-CROQUIS!$C$107)/MAX(CROQUIS!$C$126,1))+1)))-1,0))*CROQUIS!$C$126),CHOOSE(IF(INT(($A273-1)/5)&gt;MAX((MIN(80,MAX(1,INT(((CROQUIS!$C$98)-CROQUIS!$C$107)/MAX(CROQUIS!$C$126,1))+1)))-1,0),0,MOD($A273-1,5))+1,0,2,CROQUIS!$C$97-2,2,0)))*CROQUIS!$C$155)+IF(CROQUIS!$C$92="X",0,0)),-1000)</f>
        <v>-1000</v>
      </c>
      <c r="BJ273">
        <f>IF(AND(CROQUIS!$C$88=1,CROQUIS!$C$134&gt;0),((CROQUIS!$C$156+(IF(CROQUIS!$C$92="X",((CROQUIS!$C$107/2+(((CROQUIS!$C$97)-CROQUIS!$C$107)-(MIN(80,MAX(1,INT(((CROQUIS!$C$97)-CROQUIS!$C$107)/MAX(CROQUIS!$C$134,1))+1))-1)*CROQUIS!$C$134)/2)+MIN(INT(($A273-1)/5),MAX((MIN(80,MAX(1,INT(((CROQUIS!$C$97)-CROQUIS!$C$107)/MAX(CROQUIS!$C$134,1))+1)))-1,0))*CROQUIS!$C$134),CHOOSE(IF(INT(($A273-1)/5)&gt;MAX((MIN(80,MAX(1,INT(((CROQUIS!$C$97)-CROQUIS!$C$107)/MAX(CROQUIS!$C$134,1))+1)))-1,0),0,MOD($A273-1,5))+1,0,2,CROQUIS!$C$98-2,2,0)))*CROQUIS!$C$155)+IF(CROQUIS!$C$92="X",0,0)),-1000)</f>
        <v>-1000</v>
      </c>
      <c r="BK273">
        <f>IF(AND(CROQUIS!$C$88=1,CROQUIS!$C$134&gt;0),((CROQUIS!$C$157+(IF(CROQUIS!$C$92="X",CHOOSE(IF(INT(($A273-1)/5)&gt;MAX((MIN(80,MAX(1,INT(((CROQUIS!$C$97)-CROQUIS!$C$107)/MAX(CROQUIS!$C$134,1))+1)))-1,0),0,MOD($A273-1,5))+1,0,2,CROQUIS!$C$98-2,2,0),((CROQUIS!$C$107/2+(((CROQUIS!$C$97)-CROQUIS!$C$107)-(MIN(80,MAX(1,INT(((CROQUIS!$C$97)-CROQUIS!$C$107)/MAX(CROQUIS!$C$134,1))+1))-1)*CROQUIS!$C$134)/2)+MIN(INT(($A273-1)/5),MAX((MIN(80,MAX(1,INT(((CROQUIS!$C$97)-CROQUIS!$C$107)/MAX(CROQUIS!$C$134,1))+1)))-1,0))*CROQUIS!$C$134)))*CROQUIS!$C$155)+IF(CROQUIS!$C$92="X",0,0)),-1000)</f>
        <v>-1000</v>
      </c>
      <c r="BL273">
        <f>IF(AND(CROQUIS!$C$88=1,CROQUIS!$C$91=0,CROQUIS!$C$130&gt;0,OR(CROQUIS!$C$103=1,CROQUIS!$C$142=1)),((CROQUIS!$C$156+(IF(CROQUIS!$C$92="X",CHOOSE(IF(INT(($A273-1)/5)&gt;MAX((MIN(80,MAX(1,INT(((CROQUIS!$C$98)-CROQUIS!$C$107)/MAX(CROQUIS!$C$130,1))+1)))-1,0),0,MOD($A273-1,5))+1,0,IF(CROQUIS!$C$103=1,-12,2),CROQUIS!$C$107/2+CROQUIS!$C$140,IF(CROQUIS!$C$103=1,-12,2),0),((CROQUIS!$C$107/2+(((CROQUIS!$C$98)-CROQUIS!$C$107)-(MIN(80,MAX(1,INT(((CROQUIS!$C$98)-CROQUIS!$C$107)/MAX(CROQUIS!$C$130,1))+1))-1)*CROQUIS!$C$130)/2)+MIN(INT(($A273-1)/5),MAX((MIN(80,MAX(1,INT(((CROQUIS!$C$98)-CROQUIS!$C$107)/MAX(CROQUIS!$C$130,1))+1)))-1,0))*CROQUIS!$C$130)))*CROQUIS!$C$155)+IF(CROQUIS!$C$92="X",0,0)),-1000)</f>
        <v>-1000</v>
      </c>
      <c r="BM27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273-1)/5),MAX((MIN(80,MAX(1,INT(((CROQUIS!$C$98)-CROQUIS!$C$107)/MAX(CROQUIS!$C$130,1))+1)))-1,0))*CROQUIS!$C$130),CHOOSE(IF(INT(($A273-1)/5)&gt;MAX((MIN(80,MAX(1,INT(((CROQUIS!$C$98)-CROQUIS!$C$107)/MAX(CROQUIS!$C$130,1))+1)))-1,0),0,MOD($A273-1,5))+1,0,IF(CROQUIS!$C$103=1,-12,2),CROQUIS!$C$107/2+CROQUIS!$C$140,IF(CROQUIS!$C$103=1,-12,2),0)))*CROQUIS!$C$155)+IF(CROQUIS!$C$92="X",0,0)),-1000)</f>
        <v>-1000</v>
      </c>
      <c r="BN273">
        <f>IF(AND(CROQUIS!$C$88=1,CROQUIS!$C$91=0,CROQUIS!$C$130&gt;0,OR(CROQUIS!$C$104=1,CROQUIS!$C$142=1)),((CROQUIS!$C$156+(IF(CROQUIS!$C$92="X",CHOOSE(IF(INT(($A273-1)/5)&gt;MAX((MIN(80,MAX(1,INT(((CROQUIS!$C$98)-CROQUIS!$C$107)/MAX(CROQUIS!$C$130,1))+1)))-1,0),0,MOD($A273-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273-1)/5),MAX((MIN(80,MAX(1,INT(((CROQUIS!$C$98)-CROQUIS!$C$107)/MAX(CROQUIS!$C$130,1))+1)))-1,0))*CROQUIS!$C$130)))*CROQUIS!$C$155)+IF(CROQUIS!$C$92="X",0,0)),-1000)</f>
        <v>-1000</v>
      </c>
      <c r="BO27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273-1)/5),MAX((MIN(80,MAX(1,INT(((CROQUIS!$C$98)-CROQUIS!$C$107)/MAX(CROQUIS!$C$130,1))+1)))-1,0))*CROQUIS!$C$130),CHOOSE(IF(INT(($A273-1)/5)&gt;MAX((MIN(80,MAX(1,INT(((CROQUIS!$C$98)-CROQUIS!$C$107)/MAX(CROQUIS!$C$130,1))+1)))-1,0),0,MOD($A273-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7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273-1)/5),MAX((MIN(80,MAX(1,INT(((CROQUIS!$C$97)-CROQUIS!$C$107)/MAX(CROQUIS!$C$138,1))+1)))-1,0))*CROQUIS!$C$138),CHOOSE(IF(INT(($A273-1)/5)&gt;MAX((MIN(80,MAX(1,INT(((CROQUIS!$C$97)-CROQUIS!$C$107)/MAX(CROQUIS!$C$138,1))+1)))-1,0),0,MOD($A273-1,5))+1,0,IF(CROQUIS!$C$105=1,-12,2),CROQUIS!$C$107/2+CROQUIS!$C$141,IF(CROQUIS!$C$105=1,-12,2),0)))*CROQUIS!$C$155)+IF(CROQUIS!$C$92="X",0,0)),-1000)</f>
        <v>-1000</v>
      </c>
      <c r="BQ273">
        <f>IF(AND(CROQUIS!$C$88=1,CROQUIS!$C$91=0,CROQUIS!$C$138&gt;0,OR(CROQUIS!$C$105=1,CROQUIS!$C$143=1)),((CROQUIS!$C$157+(IF(CROQUIS!$C$92="X",CHOOSE(IF(INT(($A273-1)/5)&gt;MAX((MIN(80,MAX(1,INT(((CROQUIS!$C$97)-CROQUIS!$C$107)/MAX(CROQUIS!$C$138,1))+1)))-1,0),0,MOD($A273-1,5))+1,0,IF(CROQUIS!$C$105=1,-12,2),CROQUIS!$C$107/2+CROQUIS!$C$141,IF(CROQUIS!$C$105=1,-12,2),0),((CROQUIS!$C$107/2+(((CROQUIS!$C$97)-CROQUIS!$C$107)-(MIN(80,MAX(1,INT(((CROQUIS!$C$97)-CROQUIS!$C$107)/MAX(CROQUIS!$C$138,1))+1))-1)*CROQUIS!$C$138)/2)+MIN(INT(($A273-1)/5),MAX((MIN(80,MAX(1,INT(((CROQUIS!$C$97)-CROQUIS!$C$107)/MAX(CROQUIS!$C$138,1))+1)))-1,0))*CROQUIS!$C$138)))*CROQUIS!$C$155)+IF(CROQUIS!$C$92="X",0,0)),-1000)</f>
        <v>-1000</v>
      </c>
      <c r="BR27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273-1)/5),MAX((MIN(80,MAX(1,INT(((CROQUIS!$C$97)-CROQUIS!$C$107)/MAX(CROQUIS!$C$138,1))+1)))-1,0))*CROQUIS!$C$138),CHOOSE(IF(INT(($A273-1)/5)&gt;MAX((MIN(80,MAX(1,INT(((CROQUIS!$C$97)-CROQUIS!$C$107)/MAX(CROQUIS!$C$138,1))+1)))-1,0),0,MOD($A273-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73">
        <f>IF(AND(CROQUIS!$C$88=1,CROQUIS!$C$91=0,CROQUIS!$C$138&gt;0,OR(CROQUIS!$C$106=1,CROQUIS!$C$143=1)),((CROQUIS!$C$157+(IF(CROQUIS!$C$92="X",CHOOSE(IF(INT(($A273-1)/5)&gt;MAX((MIN(80,MAX(1,INT(((CROQUIS!$C$97)-CROQUIS!$C$107)/MAX(CROQUIS!$C$138,1))+1)))-1,0),0,MOD($A273-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273-1)/5),MAX((MIN(80,MAX(1,INT(((CROQUIS!$C$97)-CROQUIS!$C$107)/MAX(CROQUIS!$C$138,1))+1)))-1,0))*CROQUIS!$C$138)))*CROQUIS!$C$155)+IF(CROQUIS!$C$92="X",0,0)),-1000)</f>
        <v>-1000</v>
      </c>
      <c r="BT273">
        <f>IF(AND(CROQUIS!$C$88=1,CROQUIS!$C$91=1,CROQUIS!$C$130&gt;0),((CROQUIS!$C$156+(IF(CROQUIS!$C$92="X",CHOOSE(IF(INT(($A273-1)/5)&gt;MAX((MIN(80,MAX(1,INT(((CROQUIS!$C$98)-CROQUIS!$C$107)/MAX(CROQUIS!$C$130,1))+1)))-1,0),0,MOD($A273-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273-1)/5),MAX((MIN(80,MAX(1,INT(((CROQUIS!$C$98)-CROQUIS!$C$107)/MAX(CROQUIS!$C$130,1))+1)))-1,0))*CROQUIS!$C$130)))*CROQUIS!$C$155)+IF(CROQUIS!$C$92="X",0,0)),-1000)</f>
        <v>-1000</v>
      </c>
      <c r="BU273">
        <f>IF(AND(CROQUIS!$C$88=1,CROQUIS!$C$91=1,CROQUIS!$C$130&gt;0),((CROQUIS!$C$157+(IF(CROQUIS!$C$92="X",((CROQUIS!$C$107/2+(((CROQUIS!$C$98)-CROQUIS!$C$107)-(MIN(80,MAX(1,INT(((CROQUIS!$C$98)-CROQUIS!$C$107)/MAX(CROQUIS!$C$130,1))+1))-1)*CROQUIS!$C$130)/2)+MIN(INT(($A273-1)/5),MAX((MIN(80,MAX(1,INT(((CROQUIS!$C$98)-CROQUIS!$C$107)/MAX(CROQUIS!$C$130,1))+1)))-1,0))*CROQUIS!$C$130),CHOOSE(IF(INT(($A273-1)/5)&gt;MAX((MIN(80,MAX(1,INT(((CROQUIS!$C$98)-CROQUIS!$C$107)/MAX(CROQUIS!$C$130,1))+1)))-1,0),0,MOD($A273-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74">
      <c r="A274" t="n">
        <v>267</v>
      </c>
      <c r="BH274">
        <f>IF(AND(CROQUIS!$C$88=1,CROQUIS!$C$126&gt;0),((CROQUIS!$C$156+(IF(CROQUIS!$C$92="X",CHOOSE(IF(INT(($A274-1)/5)&gt;MAX((MIN(80,MAX(1,INT(((CROQUIS!$C$98)-CROQUIS!$C$107)/MAX(CROQUIS!$C$126,1))+1)))-1,0),0,MOD($A274-1,5))+1,0,2,CROQUIS!$C$97-2,2,0),((CROQUIS!$C$107/2+(((CROQUIS!$C$98)-CROQUIS!$C$107)-(MIN(80,MAX(1,INT(((CROQUIS!$C$98)-CROQUIS!$C$107)/MAX(CROQUIS!$C$126,1))+1))-1)*CROQUIS!$C$126)/2)+MIN(INT(($A274-1)/5),MAX((MIN(80,MAX(1,INT(((CROQUIS!$C$98)-CROQUIS!$C$107)/MAX(CROQUIS!$C$126,1))+1)))-1,0))*CROQUIS!$C$126)))*CROQUIS!$C$155)+IF(CROQUIS!$C$92="X",0,0)),-1000)</f>
        <v>-1000</v>
      </c>
      <c r="BI274">
        <f>IF(AND(CROQUIS!$C$88=1,CROQUIS!$C$126&gt;0),((CROQUIS!$C$157+(IF(CROQUIS!$C$92="X",((CROQUIS!$C$107/2+(((CROQUIS!$C$98)-CROQUIS!$C$107)-(MIN(80,MAX(1,INT(((CROQUIS!$C$98)-CROQUIS!$C$107)/MAX(CROQUIS!$C$126,1))+1))-1)*CROQUIS!$C$126)/2)+MIN(INT(($A274-1)/5),MAX((MIN(80,MAX(1,INT(((CROQUIS!$C$98)-CROQUIS!$C$107)/MAX(CROQUIS!$C$126,1))+1)))-1,0))*CROQUIS!$C$126),CHOOSE(IF(INT(($A274-1)/5)&gt;MAX((MIN(80,MAX(1,INT(((CROQUIS!$C$98)-CROQUIS!$C$107)/MAX(CROQUIS!$C$126,1))+1)))-1,0),0,MOD($A274-1,5))+1,0,2,CROQUIS!$C$97-2,2,0)))*CROQUIS!$C$155)+IF(CROQUIS!$C$92="X",0,0)),-1000)</f>
        <v>-1000</v>
      </c>
      <c r="BJ274">
        <f>IF(AND(CROQUIS!$C$88=1,CROQUIS!$C$134&gt;0),((CROQUIS!$C$156+(IF(CROQUIS!$C$92="X",((CROQUIS!$C$107/2+(((CROQUIS!$C$97)-CROQUIS!$C$107)-(MIN(80,MAX(1,INT(((CROQUIS!$C$97)-CROQUIS!$C$107)/MAX(CROQUIS!$C$134,1))+1))-1)*CROQUIS!$C$134)/2)+MIN(INT(($A274-1)/5),MAX((MIN(80,MAX(1,INT(((CROQUIS!$C$97)-CROQUIS!$C$107)/MAX(CROQUIS!$C$134,1))+1)))-1,0))*CROQUIS!$C$134),CHOOSE(IF(INT(($A274-1)/5)&gt;MAX((MIN(80,MAX(1,INT(((CROQUIS!$C$97)-CROQUIS!$C$107)/MAX(CROQUIS!$C$134,1))+1)))-1,0),0,MOD($A274-1,5))+1,0,2,CROQUIS!$C$98-2,2,0)))*CROQUIS!$C$155)+IF(CROQUIS!$C$92="X",0,0)),-1000)</f>
        <v>-1000</v>
      </c>
      <c r="BK274">
        <f>IF(AND(CROQUIS!$C$88=1,CROQUIS!$C$134&gt;0),((CROQUIS!$C$157+(IF(CROQUIS!$C$92="X",CHOOSE(IF(INT(($A274-1)/5)&gt;MAX((MIN(80,MAX(1,INT(((CROQUIS!$C$97)-CROQUIS!$C$107)/MAX(CROQUIS!$C$134,1))+1)))-1,0),0,MOD($A274-1,5))+1,0,2,CROQUIS!$C$98-2,2,0),((CROQUIS!$C$107/2+(((CROQUIS!$C$97)-CROQUIS!$C$107)-(MIN(80,MAX(1,INT(((CROQUIS!$C$97)-CROQUIS!$C$107)/MAX(CROQUIS!$C$134,1))+1))-1)*CROQUIS!$C$134)/2)+MIN(INT(($A274-1)/5),MAX((MIN(80,MAX(1,INT(((CROQUIS!$C$97)-CROQUIS!$C$107)/MAX(CROQUIS!$C$134,1))+1)))-1,0))*CROQUIS!$C$134)))*CROQUIS!$C$155)+IF(CROQUIS!$C$92="X",0,0)),-1000)</f>
        <v>-1000</v>
      </c>
      <c r="BL274">
        <f>IF(AND(CROQUIS!$C$88=1,CROQUIS!$C$91=0,CROQUIS!$C$130&gt;0,OR(CROQUIS!$C$103=1,CROQUIS!$C$142=1)),((CROQUIS!$C$156+(IF(CROQUIS!$C$92="X",CHOOSE(IF(INT(($A274-1)/5)&gt;MAX((MIN(80,MAX(1,INT(((CROQUIS!$C$98)-CROQUIS!$C$107)/MAX(CROQUIS!$C$130,1))+1)))-1,0),0,MOD($A274-1,5))+1,0,IF(CROQUIS!$C$103=1,-12,2),CROQUIS!$C$107/2+CROQUIS!$C$140,IF(CROQUIS!$C$103=1,-12,2),0),((CROQUIS!$C$107/2+(((CROQUIS!$C$98)-CROQUIS!$C$107)-(MIN(80,MAX(1,INT(((CROQUIS!$C$98)-CROQUIS!$C$107)/MAX(CROQUIS!$C$130,1))+1))-1)*CROQUIS!$C$130)/2)+MIN(INT(($A274-1)/5),MAX((MIN(80,MAX(1,INT(((CROQUIS!$C$98)-CROQUIS!$C$107)/MAX(CROQUIS!$C$130,1))+1)))-1,0))*CROQUIS!$C$130)))*CROQUIS!$C$155)+IF(CROQUIS!$C$92="X",0,0)),-1000)</f>
        <v>-1000</v>
      </c>
      <c r="BM27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274-1)/5),MAX((MIN(80,MAX(1,INT(((CROQUIS!$C$98)-CROQUIS!$C$107)/MAX(CROQUIS!$C$130,1))+1)))-1,0))*CROQUIS!$C$130),CHOOSE(IF(INT(($A274-1)/5)&gt;MAX((MIN(80,MAX(1,INT(((CROQUIS!$C$98)-CROQUIS!$C$107)/MAX(CROQUIS!$C$130,1))+1)))-1,0),0,MOD($A274-1,5))+1,0,IF(CROQUIS!$C$103=1,-12,2),CROQUIS!$C$107/2+CROQUIS!$C$140,IF(CROQUIS!$C$103=1,-12,2),0)))*CROQUIS!$C$155)+IF(CROQUIS!$C$92="X",0,0)),-1000)</f>
        <v>-1000</v>
      </c>
      <c r="BN274">
        <f>IF(AND(CROQUIS!$C$88=1,CROQUIS!$C$91=0,CROQUIS!$C$130&gt;0,OR(CROQUIS!$C$104=1,CROQUIS!$C$142=1)),((CROQUIS!$C$156+(IF(CROQUIS!$C$92="X",CHOOSE(IF(INT(($A274-1)/5)&gt;MAX((MIN(80,MAX(1,INT(((CROQUIS!$C$98)-CROQUIS!$C$107)/MAX(CROQUIS!$C$130,1))+1)))-1,0),0,MOD($A274-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274-1)/5),MAX((MIN(80,MAX(1,INT(((CROQUIS!$C$98)-CROQUIS!$C$107)/MAX(CROQUIS!$C$130,1))+1)))-1,0))*CROQUIS!$C$130)))*CROQUIS!$C$155)+IF(CROQUIS!$C$92="X",0,0)),-1000)</f>
        <v>-1000</v>
      </c>
      <c r="BO27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274-1)/5),MAX((MIN(80,MAX(1,INT(((CROQUIS!$C$98)-CROQUIS!$C$107)/MAX(CROQUIS!$C$130,1))+1)))-1,0))*CROQUIS!$C$130),CHOOSE(IF(INT(($A274-1)/5)&gt;MAX((MIN(80,MAX(1,INT(((CROQUIS!$C$98)-CROQUIS!$C$107)/MAX(CROQUIS!$C$130,1))+1)))-1,0),0,MOD($A274-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7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274-1)/5),MAX((MIN(80,MAX(1,INT(((CROQUIS!$C$97)-CROQUIS!$C$107)/MAX(CROQUIS!$C$138,1))+1)))-1,0))*CROQUIS!$C$138),CHOOSE(IF(INT(($A274-1)/5)&gt;MAX((MIN(80,MAX(1,INT(((CROQUIS!$C$97)-CROQUIS!$C$107)/MAX(CROQUIS!$C$138,1))+1)))-1,0),0,MOD($A274-1,5))+1,0,IF(CROQUIS!$C$105=1,-12,2),CROQUIS!$C$107/2+CROQUIS!$C$141,IF(CROQUIS!$C$105=1,-12,2),0)))*CROQUIS!$C$155)+IF(CROQUIS!$C$92="X",0,0)),-1000)</f>
        <v>-1000</v>
      </c>
      <c r="BQ274">
        <f>IF(AND(CROQUIS!$C$88=1,CROQUIS!$C$91=0,CROQUIS!$C$138&gt;0,OR(CROQUIS!$C$105=1,CROQUIS!$C$143=1)),((CROQUIS!$C$157+(IF(CROQUIS!$C$92="X",CHOOSE(IF(INT(($A274-1)/5)&gt;MAX((MIN(80,MAX(1,INT(((CROQUIS!$C$97)-CROQUIS!$C$107)/MAX(CROQUIS!$C$138,1))+1)))-1,0),0,MOD($A274-1,5))+1,0,IF(CROQUIS!$C$105=1,-12,2),CROQUIS!$C$107/2+CROQUIS!$C$141,IF(CROQUIS!$C$105=1,-12,2),0),((CROQUIS!$C$107/2+(((CROQUIS!$C$97)-CROQUIS!$C$107)-(MIN(80,MAX(1,INT(((CROQUIS!$C$97)-CROQUIS!$C$107)/MAX(CROQUIS!$C$138,1))+1))-1)*CROQUIS!$C$138)/2)+MIN(INT(($A274-1)/5),MAX((MIN(80,MAX(1,INT(((CROQUIS!$C$97)-CROQUIS!$C$107)/MAX(CROQUIS!$C$138,1))+1)))-1,0))*CROQUIS!$C$138)))*CROQUIS!$C$155)+IF(CROQUIS!$C$92="X",0,0)),-1000)</f>
        <v>-1000</v>
      </c>
      <c r="BR27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274-1)/5),MAX((MIN(80,MAX(1,INT(((CROQUIS!$C$97)-CROQUIS!$C$107)/MAX(CROQUIS!$C$138,1))+1)))-1,0))*CROQUIS!$C$138),CHOOSE(IF(INT(($A274-1)/5)&gt;MAX((MIN(80,MAX(1,INT(((CROQUIS!$C$97)-CROQUIS!$C$107)/MAX(CROQUIS!$C$138,1))+1)))-1,0),0,MOD($A274-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74">
        <f>IF(AND(CROQUIS!$C$88=1,CROQUIS!$C$91=0,CROQUIS!$C$138&gt;0,OR(CROQUIS!$C$106=1,CROQUIS!$C$143=1)),((CROQUIS!$C$157+(IF(CROQUIS!$C$92="X",CHOOSE(IF(INT(($A274-1)/5)&gt;MAX((MIN(80,MAX(1,INT(((CROQUIS!$C$97)-CROQUIS!$C$107)/MAX(CROQUIS!$C$138,1))+1)))-1,0),0,MOD($A274-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274-1)/5),MAX((MIN(80,MAX(1,INT(((CROQUIS!$C$97)-CROQUIS!$C$107)/MAX(CROQUIS!$C$138,1))+1)))-1,0))*CROQUIS!$C$138)))*CROQUIS!$C$155)+IF(CROQUIS!$C$92="X",0,0)),-1000)</f>
        <v>-1000</v>
      </c>
      <c r="BT274">
        <f>IF(AND(CROQUIS!$C$88=1,CROQUIS!$C$91=1,CROQUIS!$C$130&gt;0),((CROQUIS!$C$156+(IF(CROQUIS!$C$92="X",CHOOSE(IF(INT(($A274-1)/5)&gt;MAX((MIN(80,MAX(1,INT(((CROQUIS!$C$98)-CROQUIS!$C$107)/MAX(CROQUIS!$C$130,1))+1)))-1,0),0,MOD($A274-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274-1)/5),MAX((MIN(80,MAX(1,INT(((CROQUIS!$C$98)-CROQUIS!$C$107)/MAX(CROQUIS!$C$130,1))+1)))-1,0))*CROQUIS!$C$130)))*CROQUIS!$C$155)+IF(CROQUIS!$C$92="X",0,0)),-1000)</f>
        <v>-1000</v>
      </c>
      <c r="BU274">
        <f>IF(AND(CROQUIS!$C$88=1,CROQUIS!$C$91=1,CROQUIS!$C$130&gt;0),((CROQUIS!$C$157+(IF(CROQUIS!$C$92="X",((CROQUIS!$C$107/2+(((CROQUIS!$C$98)-CROQUIS!$C$107)-(MIN(80,MAX(1,INT(((CROQUIS!$C$98)-CROQUIS!$C$107)/MAX(CROQUIS!$C$130,1))+1))-1)*CROQUIS!$C$130)/2)+MIN(INT(($A274-1)/5),MAX((MIN(80,MAX(1,INT(((CROQUIS!$C$98)-CROQUIS!$C$107)/MAX(CROQUIS!$C$130,1))+1)))-1,0))*CROQUIS!$C$130),CHOOSE(IF(INT(($A274-1)/5)&gt;MAX((MIN(80,MAX(1,INT(((CROQUIS!$C$98)-CROQUIS!$C$107)/MAX(CROQUIS!$C$130,1))+1)))-1,0),0,MOD($A274-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75">
      <c r="A275" t="n">
        <v>268</v>
      </c>
      <c r="BH275">
        <f>IF(AND(CROQUIS!$C$88=1,CROQUIS!$C$126&gt;0),((CROQUIS!$C$156+(IF(CROQUIS!$C$92="X",CHOOSE(IF(INT(($A275-1)/5)&gt;MAX((MIN(80,MAX(1,INT(((CROQUIS!$C$98)-CROQUIS!$C$107)/MAX(CROQUIS!$C$126,1))+1)))-1,0),0,MOD($A275-1,5))+1,0,2,CROQUIS!$C$97-2,2,0),((CROQUIS!$C$107/2+(((CROQUIS!$C$98)-CROQUIS!$C$107)-(MIN(80,MAX(1,INT(((CROQUIS!$C$98)-CROQUIS!$C$107)/MAX(CROQUIS!$C$126,1))+1))-1)*CROQUIS!$C$126)/2)+MIN(INT(($A275-1)/5),MAX((MIN(80,MAX(1,INT(((CROQUIS!$C$98)-CROQUIS!$C$107)/MAX(CROQUIS!$C$126,1))+1)))-1,0))*CROQUIS!$C$126)))*CROQUIS!$C$155)+IF(CROQUIS!$C$92="X",0,0)),-1000)</f>
        <v>-1000</v>
      </c>
      <c r="BI275">
        <f>IF(AND(CROQUIS!$C$88=1,CROQUIS!$C$126&gt;0),((CROQUIS!$C$157+(IF(CROQUIS!$C$92="X",((CROQUIS!$C$107/2+(((CROQUIS!$C$98)-CROQUIS!$C$107)-(MIN(80,MAX(1,INT(((CROQUIS!$C$98)-CROQUIS!$C$107)/MAX(CROQUIS!$C$126,1))+1))-1)*CROQUIS!$C$126)/2)+MIN(INT(($A275-1)/5),MAX((MIN(80,MAX(1,INT(((CROQUIS!$C$98)-CROQUIS!$C$107)/MAX(CROQUIS!$C$126,1))+1)))-1,0))*CROQUIS!$C$126),CHOOSE(IF(INT(($A275-1)/5)&gt;MAX((MIN(80,MAX(1,INT(((CROQUIS!$C$98)-CROQUIS!$C$107)/MAX(CROQUIS!$C$126,1))+1)))-1,0),0,MOD($A275-1,5))+1,0,2,CROQUIS!$C$97-2,2,0)))*CROQUIS!$C$155)+IF(CROQUIS!$C$92="X",0,0)),-1000)</f>
        <v>-1000</v>
      </c>
      <c r="BJ275">
        <f>IF(AND(CROQUIS!$C$88=1,CROQUIS!$C$134&gt;0),((CROQUIS!$C$156+(IF(CROQUIS!$C$92="X",((CROQUIS!$C$107/2+(((CROQUIS!$C$97)-CROQUIS!$C$107)-(MIN(80,MAX(1,INT(((CROQUIS!$C$97)-CROQUIS!$C$107)/MAX(CROQUIS!$C$134,1))+1))-1)*CROQUIS!$C$134)/2)+MIN(INT(($A275-1)/5),MAX((MIN(80,MAX(1,INT(((CROQUIS!$C$97)-CROQUIS!$C$107)/MAX(CROQUIS!$C$134,1))+1)))-1,0))*CROQUIS!$C$134),CHOOSE(IF(INT(($A275-1)/5)&gt;MAX((MIN(80,MAX(1,INT(((CROQUIS!$C$97)-CROQUIS!$C$107)/MAX(CROQUIS!$C$134,1))+1)))-1,0),0,MOD($A275-1,5))+1,0,2,CROQUIS!$C$98-2,2,0)))*CROQUIS!$C$155)+IF(CROQUIS!$C$92="X",0,0)),-1000)</f>
        <v>-1000</v>
      </c>
      <c r="BK275">
        <f>IF(AND(CROQUIS!$C$88=1,CROQUIS!$C$134&gt;0),((CROQUIS!$C$157+(IF(CROQUIS!$C$92="X",CHOOSE(IF(INT(($A275-1)/5)&gt;MAX((MIN(80,MAX(1,INT(((CROQUIS!$C$97)-CROQUIS!$C$107)/MAX(CROQUIS!$C$134,1))+1)))-1,0),0,MOD($A275-1,5))+1,0,2,CROQUIS!$C$98-2,2,0),((CROQUIS!$C$107/2+(((CROQUIS!$C$97)-CROQUIS!$C$107)-(MIN(80,MAX(1,INT(((CROQUIS!$C$97)-CROQUIS!$C$107)/MAX(CROQUIS!$C$134,1))+1))-1)*CROQUIS!$C$134)/2)+MIN(INT(($A275-1)/5),MAX((MIN(80,MAX(1,INT(((CROQUIS!$C$97)-CROQUIS!$C$107)/MAX(CROQUIS!$C$134,1))+1)))-1,0))*CROQUIS!$C$134)))*CROQUIS!$C$155)+IF(CROQUIS!$C$92="X",0,0)),-1000)</f>
        <v>-1000</v>
      </c>
      <c r="BL275">
        <f>IF(AND(CROQUIS!$C$88=1,CROQUIS!$C$91=0,CROQUIS!$C$130&gt;0,OR(CROQUIS!$C$103=1,CROQUIS!$C$142=1)),((CROQUIS!$C$156+(IF(CROQUIS!$C$92="X",CHOOSE(IF(INT(($A275-1)/5)&gt;MAX((MIN(80,MAX(1,INT(((CROQUIS!$C$98)-CROQUIS!$C$107)/MAX(CROQUIS!$C$130,1))+1)))-1,0),0,MOD($A275-1,5))+1,0,IF(CROQUIS!$C$103=1,-12,2),CROQUIS!$C$107/2+CROQUIS!$C$140,IF(CROQUIS!$C$103=1,-12,2),0),((CROQUIS!$C$107/2+(((CROQUIS!$C$98)-CROQUIS!$C$107)-(MIN(80,MAX(1,INT(((CROQUIS!$C$98)-CROQUIS!$C$107)/MAX(CROQUIS!$C$130,1))+1))-1)*CROQUIS!$C$130)/2)+MIN(INT(($A275-1)/5),MAX((MIN(80,MAX(1,INT(((CROQUIS!$C$98)-CROQUIS!$C$107)/MAX(CROQUIS!$C$130,1))+1)))-1,0))*CROQUIS!$C$130)))*CROQUIS!$C$155)+IF(CROQUIS!$C$92="X",0,0)),-1000)</f>
        <v>-1000</v>
      </c>
      <c r="BM27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275-1)/5),MAX((MIN(80,MAX(1,INT(((CROQUIS!$C$98)-CROQUIS!$C$107)/MAX(CROQUIS!$C$130,1))+1)))-1,0))*CROQUIS!$C$130),CHOOSE(IF(INT(($A275-1)/5)&gt;MAX((MIN(80,MAX(1,INT(((CROQUIS!$C$98)-CROQUIS!$C$107)/MAX(CROQUIS!$C$130,1))+1)))-1,0),0,MOD($A275-1,5))+1,0,IF(CROQUIS!$C$103=1,-12,2),CROQUIS!$C$107/2+CROQUIS!$C$140,IF(CROQUIS!$C$103=1,-12,2),0)))*CROQUIS!$C$155)+IF(CROQUIS!$C$92="X",0,0)),-1000)</f>
        <v>-1000</v>
      </c>
      <c r="BN275">
        <f>IF(AND(CROQUIS!$C$88=1,CROQUIS!$C$91=0,CROQUIS!$C$130&gt;0,OR(CROQUIS!$C$104=1,CROQUIS!$C$142=1)),((CROQUIS!$C$156+(IF(CROQUIS!$C$92="X",CHOOSE(IF(INT(($A275-1)/5)&gt;MAX((MIN(80,MAX(1,INT(((CROQUIS!$C$98)-CROQUIS!$C$107)/MAX(CROQUIS!$C$130,1))+1)))-1,0),0,MOD($A275-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275-1)/5),MAX((MIN(80,MAX(1,INT(((CROQUIS!$C$98)-CROQUIS!$C$107)/MAX(CROQUIS!$C$130,1))+1)))-1,0))*CROQUIS!$C$130)))*CROQUIS!$C$155)+IF(CROQUIS!$C$92="X",0,0)),-1000)</f>
        <v>-1000</v>
      </c>
      <c r="BO27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275-1)/5),MAX((MIN(80,MAX(1,INT(((CROQUIS!$C$98)-CROQUIS!$C$107)/MAX(CROQUIS!$C$130,1))+1)))-1,0))*CROQUIS!$C$130),CHOOSE(IF(INT(($A275-1)/5)&gt;MAX((MIN(80,MAX(1,INT(((CROQUIS!$C$98)-CROQUIS!$C$107)/MAX(CROQUIS!$C$130,1))+1)))-1,0),0,MOD($A275-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7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275-1)/5),MAX((MIN(80,MAX(1,INT(((CROQUIS!$C$97)-CROQUIS!$C$107)/MAX(CROQUIS!$C$138,1))+1)))-1,0))*CROQUIS!$C$138),CHOOSE(IF(INT(($A275-1)/5)&gt;MAX((MIN(80,MAX(1,INT(((CROQUIS!$C$97)-CROQUIS!$C$107)/MAX(CROQUIS!$C$138,1))+1)))-1,0),0,MOD($A275-1,5))+1,0,IF(CROQUIS!$C$105=1,-12,2),CROQUIS!$C$107/2+CROQUIS!$C$141,IF(CROQUIS!$C$105=1,-12,2),0)))*CROQUIS!$C$155)+IF(CROQUIS!$C$92="X",0,0)),-1000)</f>
        <v>-1000</v>
      </c>
      <c r="BQ275">
        <f>IF(AND(CROQUIS!$C$88=1,CROQUIS!$C$91=0,CROQUIS!$C$138&gt;0,OR(CROQUIS!$C$105=1,CROQUIS!$C$143=1)),((CROQUIS!$C$157+(IF(CROQUIS!$C$92="X",CHOOSE(IF(INT(($A275-1)/5)&gt;MAX((MIN(80,MAX(1,INT(((CROQUIS!$C$97)-CROQUIS!$C$107)/MAX(CROQUIS!$C$138,1))+1)))-1,0),0,MOD($A275-1,5))+1,0,IF(CROQUIS!$C$105=1,-12,2),CROQUIS!$C$107/2+CROQUIS!$C$141,IF(CROQUIS!$C$105=1,-12,2),0),((CROQUIS!$C$107/2+(((CROQUIS!$C$97)-CROQUIS!$C$107)-(MIN(80,MAX(1,INT(((CROQUIS!$C$97)-CROQUIS!$C$107)/MAX(CROQUIS!$C$138,1))+1))-1)*CROQUIS!$C$138)/2)+MIN(INT(($A275-1)/5),MAX((MIN(80,MAX(1,INT(((CROQUIS!$C$97)-CROQUIS!$C$107)/MAX(CROQUIS!$C$138,1))+1)))-1,0))*CROQUIS!$C$138)))*CROQUIS!$C$155)+IF(CROQUIS!$C$92="X",0,0)),-1000)</f>
        <v>-1000</v>
      </c>
      <c r="BR27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275-1)/5),MAX((MIN(80,MAX(1,INT(((CROQUIS!$C$97)-CROQUIS!$C$107)/MAX(CROQUIS!$C$138,1))+1)))-1,0))*CROQUIS!$C$138),CHOOSE(IF(INT(($A275-1)/5)&gt;MAX((MIN(80,MAX(1,INT(((CROQUIS!$C$97)-CROQUIS!$C$107)/MAX(CROQUIS!$C$138,1))+1)))-1,0),0,MOD($A275-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75">
        <f>IF(AND(CROQUIS!$C$88=1,CROQUIS!$C$91=0,CROQUIS!$C$138&gt;0,OR(CROQUIS!$C$106=1,CROQUIS!$C$143=1)),((CROQUIS!$C$157+(IF(CROQUIS!$C$92="X",CHOOSE(IF(INT(($A275-1)/5)&gt;MAX((MIN(80,MAX(1,INT(((CROQUIS!$C$97)-CROQUIS!$C$107)/MAX(CROQUIS!$C$138,1))+1)))-1,0),0,MOD($A275-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275-1)/5),MAX((MIN(80,MAX(1,INT(((CROQUIS!$C$97)-CROQUIS!$C$107)/MAX(CROQUIS!$C$138,1))+1)))-1,0))*CROQUIS!$C$138)))*CROQUIS!$C$155)+IF(CROQUIS!$C$92="X",0,0)),-1000)</f>
        <v>-1000</v>
      </c>
      <c r="BT275">
        <f>IF(AND(CROQUIS!$C$88=1,CROQUIS!$C$91=1,CROQUIS!$C$130&gt;0),((CROQUIS!$C$156+(IF(CROQUIS!$C$92="X",CHOOSE(IF(INT(($A275-1)/5)&gt;MAX((MIN(80,MAX(1,INT(((CROQUIS!$C$98)-CROQUIS!$C$107)/MAX(CROQUIS!$C$130,1))+1)))-1,0),0,MOD($A275-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275-1)/5),MAX((MIN(80,MAX(1,INT(((CROQUIS!$C$98)-CROQUIS!$C$107)/MAX(CROQUIS!$C$130,1))+1)))-1,0))*CROQUIS!$C$130)))*CROQUIS!$C$155)+IF(CROQUIS!$C$92="X",0,0)),-1000)</f>
        <v>-1000</v>
      </c>
      <c r="BU275">
        <f>IF(AND(CROQUIS!$C$88=1,CROQUIS!$C$91=1,CROQUIS!$C$130&gt;0),((CROQUIS!$C$157+(IF(CROQUIS!$C$92="X",((CROQUIS!$C$107/2+(((CROQUIS!$C$98)-CROQUIS!$C$107)-(MIN(80,MAX(1,INT(((CROQUIS!$C$98)-CROQUIS!$C$107)/MAX(CROQUIS!$C$130,1))+1))-1)*CROQUIS!$C$130)/2)+MIN(INT(($A275-1)/5),MAX((MIN(80,MAX(1,INT(((CROQUIS!$C$98)-CROQUIS!$C$107)/MAX(CROQUIS!$C$130,1))+1)))-1,0))*CROQUIS!$C$130),CHOOSE(IF(INT(($A275-1)/5)&gt;MAX((MIN(80,MAX(1,INT(((CROQUIS!$C$98)-CROQUIS!$C$107)/MAX(CROQUIS!$C$130,1))+1)))-1,0),0,MOD($A275-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76">
      <c r="A276" t="n">
        <v>269</v>
      </c>
      <c r="BH276">
        <f>IF(AND(CROQUIS!$C$88=1,CROQUIS!$C$126&gt;0),((CROQUIS!$C$156+(IF(CROQUIS!$C$92="X",CHOOSE(IF(INT(($A276-1)/5)&gt;MAX((MIN(80,MAX(1,INT(((CROQUIS!$C$98)-CROQUIS!$C$107)/MAX(CROQUIS!$C$126,1))+1)))-1,0),0,MOD($A276-1,5))+1,0,2,CROQUIS!$C$97-2,2,0),((CROQUIS!$C$107/2+(((CROQUIS!$C$98)-CROQUIS!$C$107)-(MIN(80,MAX(1,INT(((CROQUIS!$C$98)-CROQUIS!$C$107)/MAX(CROQUIS!$C$126,1))+1))-1)*CROQUIS!$C$126)/2)+MIN(INT(($A276-1)/5),MAX((MIN(80,MAX(1,INT(((CROQUIS!$C$98)-CROQUIS!$C$107)/MAX(CROQUIS!$C$126,1))+1)))-1,0))*CROQUIS!$C$126)))*CROQUIS!$C$155)+IF(CROQUIS!$C$92="X",0,0)),-1000)</f>
        <v>-1000</v>
      </c>
      <c r="BI276">
        <f>IF(AND(CROQUIS!$C$88=1,CROQUIS!$C$126&gt;0),((CROQUIS!$C$157+(IF(CROQUIS!$C$92="X",((CROQUIS!$C$107/2+(((CROQUIS!$C$98)-CROQUIS!$C$107)-(MIN(80,MAX(1,INT(((CROQUIS!$C$98)-CROQUIS!$C$107)/MAX(CROQUIS!$C$126,1))+1))-1)*CROQUIS!$C$126)/2)+MIN(INT(($A276-1)/5),MAX((MIN(80,MAX(1,INT(((CROQUIS!$C$98)-CROQUIS!$C$107)/MAX(CROQUIS!$C$126,1))+1)))-1,0))*CROQUIS!$C$126),CHOOSE(IF(INT(($A276-1)/5)&gt;MAX((MIN(80,MAX(1,INT(((CROQUIS!$C$98)-CROQUIS!$C$107)/MAX(CROQUIS!$C$126,1))+1)))-1,0),0,MOD($A276-1,5))+1,0,2,CROQUIS!$C$97-2,2,0)))*CROQUIS!$C$155)+IF(CROQUIS!$C$92="X",0,0)),-1000)</f>
        <v>-1000</v>
      </c>
      <c r="BJ276">
        <f>IF(AND(CROQUIS!$C$88=1,CROQUIS!$C$134&gt;0),((CROQUIS!$C$156+(IF(CROQUIS!$C$92="X",((CROQUIS!$C$107/2+(((CROQUIS!$C$97)-CROQUIS!$C$107)-(MIN(80,MAX(1,INT(((CROQUIS!$C$97)-CROQUIS!$C$107)/MAX(CROQUIS!$C$134,1))+1))-1)*CROQUIS!$C$134)/2)+MIN(INT(($A276-1)/5),MAX((MIN(80,MAX(1,INT(((CROQUIS!$C$97)-CROQUIS!$C$107)/MAX(CROQUIS!$C$134,1))+1)))-1,0))*CROQUIS!$C$134),CHOOSE(IF(INT(($A276-1)/5)&gt;MAX((MIN(80,MAX(1,INT(((CROQUIS!$C$97)-CROQUIS!$C$107)/MAX(CROQUIS!$C$134,1))+1)))-1,0),0,MOD($A276-1,5))+1,0,2,CROQUIS!$C$98-2,2,0)))*CROQUIS!$C$155)+IF(CROQUIS!$C$92="X",0,0)),-1000)</f>
        <v>-1000</v>
      </c>
      <c r="BK276">
        <f>IF(AND(CROQUIS!$C$88=1,CROQUIS!$C$134&gt;0),((CROQUIS!$C$157+(IF(CROQUIS!$C$92="X",CHOOSE(IF(INT(($A276-1)/5)&gt;MAX((MIN(80,MAX(1,INT(((CROQUIS!$C$97)-CROQUIS!$C$107)/MAX(CROQUIS!$C$134,1))+1)))-1,0),0,MOD($A276-1,5))+1,0,2,CROQUIS!$C$98-2,2,0),((CROQUIS!$C$107/2+(((CROQUIS!$C$97)-CROQUIS!$C$107)-(MIN(80,MAX(1,INT(((CROQUIS!$C$97)-CROQUIS!$C$107)/MAX(CROQUIS!$C$134,1))+1))-1)*CROQUIS!$C$134)/2)+MIN(INT(($A276-1)/5),MAX((MIN(80,MAX(1,INT(((CROQUIS!$C$97)-CROQUIS!$C$107)/MAX(CROQUIS!$C$134,1))+1)))-1,0))*CROQUIS!$C$134)))*CROQUIS!$C$155)+IF(CROQUIS!$C$92="X",0,0)),-1000)</f>
        <v>-1000</v>
      </c>
      <c r="BL276">
        <f>IF(AND(CROQUIS!$C$88=1,CROQUIS!$C$91=0,CROQUIS!$C$130&gt;0,OR(CROQUIS!$C$103=1,CROQUIS!$C$142=1)),((CROQUIS!$C$156+(IF(CROQUIS!$C$92="X",CHOOSE(IF(INT(($A276-1)/5)&gt;MAX((MIN(80,MAX(1,INT(((CROQUIS!$C$98)-CROQUIS!$C$107)/MAX(CROQUIS!$C$130,1))+1)))-1,0),0,MOD($A276-1,5))+1,0,IF(CROQUIS!$C$103=1,-12,2),CROQUIS!$C$107/2+CROQUIS!$C$140,IF(CROQUIS!$C$103=1,-12,2),0),((CROQUIS!$C$107/2+(((CROQUIS!$C$98)-CROQUIS!$C$107)-(MIN(80,MAX(1,INT(((CROQUIS!$C$98)-CROQUIS!$C$107)/MAX(CROQUIS!$C$130,1))+1))-1)*CROQUIS!$C$130)/2)+MIN(INT(($A276-1)/5),MAX((MIN(80,MAX(1,INT(((CROQUIS!$C$98)-CROQUIS!$C$107)/MAX(CROQUIS!$C$130,1))+1)))-1,0))*CROQUIS!$C$130)))*CROQUIS!$C$155)+IF(CROQUIS!$C$92="X",0,0)),-1000)</f>
        <v>-1000</v>
      </c>
      <c r="BM27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276-1)/5),MAX((MIN(80,MAX(1,INT(((CROQUIS!$C$98)-CROQUIS!$C$107)/MAX(CROQUIS!$C$130,1))+1)))-1,0))*CROQUIS!$C$130),CHOOSE(IF(INT(($A276-1)/5)&gt;MAX((MIN(80,MAX(1,INT(((CROQUIS!$C$98)-CROQUIS!$C$107)/MAX(CROQUIS!$C$130,1))+1)))-1,0),0,MOD($A276-1,5))+1,0,IF(CROQUIS!$C$103=1,-12,2),CROQUIS!$C$107/2+CROQUIS!$C$140,IF(CROQUIS!$C$103=1,-12,2),0)))*CROQUIS!$C$155)+IF(CROQUIS!$C$92="X",0,0)),-1000)</f>
        <v>-1000</v>
      </c>
      <c r="BN276">
        <f>IF(AND(CROQUIS!$C$88=1,CROQUIS!$C$91=0,CROQUIS!$C$130&gt;0,OR(CROQUIS!$C$104=1,CROQUIS!$C$142=1)),((CROQUIS!$C$156+(IF(CROQUIS!$C$92="X",CHOOSE(IF(INT(($A276-1)/5)&gt;MAX((MIN(80,MAX(1,INT(((CROQUIS!$C$98)-CROQUIS!$C$107)/MAX(CROQUIS!$C$130,1))+1)))-1,0),0,MOD($A276-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276-1)/5),MAX((MIN(80,MAX(1,INT(((CROQUIS!$C$98)-CROQUIS!$C$107)/MAX(CROQUIS!$C$130,1))+1)))-1,0))*CROQUIS!$C$130)))*CROQUIS!$C$155)+IF(CROQUIS!$C$92="X",0,0)),-1000)</f>
        <v>-1000</v>
      </c>
      <c r="BO27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276-1)/5),MAX((MIN(80,MAX(1,INT(((CROQUIS!$C$98)-CROQUIS!$C$107)/MAX(CROQUIS!$C$130,1))+1)))-1,0))*CROQUIS!$C$130),CHOOSE(IF(INT(($A276-1)/5)&gt;MAX((MIN(80,MAX(1,INT(((CROQUIS!$C$98)-CROQUIS!$C$107)/MAX(CROQUIS!$C$130,1))+1)))-1,0),0,MOD($A276-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7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276-1)/5),MAX((MIN(80,MAX(1,INT(((CROQUIS!$C$97)-CROQUIS!$C$107)/MAX(CROQUIS!$C$138,1))+1)))-1,0))*CROQUIS!$C$138),CHOOSE(IF(INT(($A276-1)/5)&gt;MAX((MIN(80,MAX(1,INT(((CROQUIS!$C$97)-CROQUIS!$C$107)/MAX(CROQUIS!$C$138,1))+1)))-1,0),0,MOD($A276-1,5))+1,0,IF(CROQUIS!$C$105=1,-12,2),CROQUIS!$C$107/2+CROQUIS!$C$141,IF(CROQUIS!$C$105=1,-12,2),0)))*CROQUIS!$C$155)+IF(CROQUIS!$C$92="X",0,0)),-1000)</f>
        <v>-1000</v>
      </c>
      <c r="BQ276">
        <f>IF(AND(CROQUIS!$C$88=1,CROQUIS!$C$91=0,CROQUIS!$C$138&gt;0,OR(CROQUIS!$C$105=1,CROQUIS!$C$143=1)),((CROQUIS!$C$157+(IF(CROQUIS!$C$92="X",CHOOSE(IF(INT(($A276-1)/5)&gt;MAX((MIN(80,MAX(1,INT(((CROQUIS!$C$97)-CROQUIS!$C$107)/MAX(CROQUIS!$C$138,1))+1)))-1,0),0,MOD($A276-1,5))+1,0,IF(CROQUIS!$C$105=1,-12,2),CROQUIS!$C$107/2+CROQUIS!$C$141,IF(CROQUIS!$C$105=1,-12,2),0),((CROQUIS!$C$107/2+(((CROQUIS!$C$97)-CROQUIS!$C$107)-(MIN(80,MAX(1,INT(((CROQUIS!$C$97)-CROQUIS!$C$107)/MAX(CROQUIS!$C$138,1))+1))-1)*CROQUIS!$C$138)/2)+MIN(INT(($A276-1)/5),MAX((MIN(80,MAX(1,INT(((CROQUIS!$C$97)-CROQUIS!$C$107)/MAX(CROQUIS!$C$138,1))+1)))-1,0))*CROQUIS!$C$138)))*CROQUIS!$C$155)+IF(CROQUIS!$C$92="X",0,0)),-1000)</f>
        <v>-1000</v>
      </c>
      <c r="BR27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276-1)/5),MAX((MIN(80,MAX(1,INT(((CROQUIS!$C$97)-CROQUIS!$C$107)/MAX(CROQUIS!$C$138,1))+1)))-1,0))*CROQUIS!$C$138),CHOOSE(IF(INT(($A276-1)/5)&gt;MAX((MIN(80,MAX(1,INT(((CROQUIS!$C$97)-CROQUIS!$C$107)/MAX(CROQUIS!$C$138,1))+1)))-1,0),0,MOD($A276-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76">
        <f>IF(AND(CROQUIS!$C$88=1,CROQUIS!$C$91=0,CROQUIS!$C$138&gt;0,OR(CROQUIS!$C$106=1,CROQUIS!$C$143=1)),((CROQUIS!$C$157+(IF(CROQUIS!$C$92="X",CHOOSE(IF(INT(($A276-1)/5)&gt;MAX((MIN(80,MAX(1,INT(((CROQUIS!$C$97)-CROQUIS!$C$107)/MAX(CROQUIS!$C$138,1))+1)))-1,0),0,MOD($A276-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276-1)/5),MAX((MIN(80,MAX(1,INT(((CROQUIS!$C$97)-CROQUIS!$C$107)/MAX(CROQUIS!$C$138,1))+1)))-1,0))*CROQUIS!$C$138)))*CROQUIS!$C$155)+IF(CROQUIS!$C$92="X",0,0)),-1000)</f>
        <v>-1000</v>
      </c>
      <c r="BT276">
        <f>IF(AND(CROQUIS!$C$88=1,CROQUIS!$C$91=1,CROQUIS!$C$130&gt;0),((CROQUIS!$C$156+(IF(CROQUIS!$C$92="X",CHOOSE(IF(INT(($A276-1)/5)&gt;MAX((MIN(80,MAX(1,INT(((CROQUIS!$C$98)-CROQUIS!$C$107)/MAX(CROQUIS!$C$130,1))+1)))-1,0),0,MOD($A276-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276-1)/5),MAX((MIN(80,MAX(1,INT(((CROQUIS!$C$98)-CROQUIS!$C$107)/MAX(CROQUIS!$C$130,1))+1)))-1,0))*CROQUIS!$C$130)))*CROQUIS!$C$155)+IF(CROQUIS!$C$92="X",0,0)),-1000)</f>
        <v>-1000</v>
      </c>
      <c r="BU276">
        <f>IF(AND(CROQUIS!$C$88=1,CROQUIS!$C$91=1,CROQUIS!$C$130&gt;0),((CROQUIS!$C$157+(IF(CROQUIS!$C$92="X",((CROQUIS!$C$107/2+(((CROQUIS!$C$98)-CROQUIS!$C$107)-(MIN(80,MAX(1,INT(((CROQUIS!$C$98)-CROQUIS!$C$107)/MAX(CROQUIS!$C$130,1))+1))-1)*CROQUIS!$C$130)/2)+MIN(INT(($A276-1)/5),MAX((MIN(80,MAX(1,INT(((CROQUIS!$C$98)-CROQUIS!$C$107)/MAX(CROQUIS!$C$130,1))+1)))-1,0))*CROQUIS!$C$130),CHOOSE(IF(INT(($A276-1)/5)&gt;MAX((MIN(80,MAX(1,INT(((CROQUIS!$C$98)-CROQUIS!$C$107)/MAX(CROQUIS!$C$130,1))+1)))-1,0),0,MOD($A276-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77">
      <c r="A277" t="n">
        <v>270</v>
      </c>
      <c r="BH277">
        <f>IF(AND(CROQUIS!$C$88=1,CROQUIS!$C$126&gt;0),((CROQUIS!$C$156+(IF(CROQUIS!$C$92="X",CHOOSE(IF(INT(($A277-1)/5)&gt;MAX((MIN(80,MAX(1,INT(((CROQUIS!$C$98)-CROQUIS!$C$107)/MAX(CROQUIS!$C$126,1))+1)))-1,0),0,MOD($A277-1,5))+1,0,2,CROQUIS!$C$97-2,2,0),((CROQUIS!$C$107/2+(((CROQUIS!$C$98)-CROQUIS!$C$107)-(MIN(80,MAX(1,INT(((CROQUIS!$C$98)-CROQUIS!$C$107)/MAX(CROQUIS!$C$126,1))+1))-1)*CROQUIS!$C$126)/2)+MIN(INT(($A277-1)/5),MAX((MIN(80,MAX(1,INT(((CROQUIS!$C$98)-CROQUIS!$C$107)/MAX(CROQUIS!$C$126,1))+1)))-1,0))*CROQUIS!$C$126)))*CROQUIS!$C$155)+IF(CROQUIS!$C$92="X",0,0)),-1000)</f>
        <v>-1000</v>
      </c>
      <c r="BI277">
        <f>IF(AND(CROQUIS!$C$88=1,CROQUIS!$C$126&gt;0),((CROQUIS!$C$157+(IF(CROQUIS!$C$92="X",((CROQUIS!$C$107/2+(((CROQUIS!$C$98)-CROQUIS!$C$107)-(MIN(80,MAX(1,INT(((CROQUIS!$C$98)-CROQUIS!$C$107)/MAX(CROQUIS!$C$126,1))+1))-1)*CROQUIS!$C$126)/2)+MIN(INT(($A277-1)/5),MAX((MIN(80,MAX(1,INT(((CROQUIS!$C$98)-CROQUIS!$C$107)/MAX(CROQUIS!$C$126,1))+1)))-1,0))*CROQUIS!$C$126),CHOOSE(IF(INT(($A277-1)/5)&gt;MAX((MIN(80,MAX(1,INT(((CROQUIS!$C$98)-CROQUIS!$C$107)/MAX(CROQUIS!$C$126,1))+1)))-1,0),0,MOD($A277-1,5))+1,0,2,CROQUIS!$C$97-2,2,0)))*CROQUIS!$C$155)+IF(CROQUIS!$C$92="X",0,0)),-1000)</f>
        <v>-1000</v>
      </c>
      <c r="BJ277">
        <f>IF(AND(CROQUIS!$C$88=1,CROQUIS!$C$134&gt;0),((CROQUIS!$C$156+(IF(CROQUIS!$C$92="X",((CROQUIS!$C$107/2+(((CROQUIS!$C$97)-CROQUIS!$C$107)-(MIN(80,MAX(1,INT(((CROQUIS!$C$97)-CROQUIS!$C$107)/MAX(CROQUIS!$C$134,1))+1))-1)*CROQUIS!$C$134)/2)+MIN(INT(($A277-1)/5),MAX((MIN(80,MAX(1,INT(((CROQUIS!$C$97)-CROQUIS!$C$107)/MAX(CROQUIS!$C$134,1))+1)))-1,0))*CROQUIS!$C$134),CHOOSE(IF(INT(($A277-1)/5)&gt;MAX((MIN(80,MAX(1,INT(((CROQUIS!$C$97)-CROQUIS!$C$107)/MAX(CROQUIS!$C$134,1))+1)))-1,0),0,MOD($A277-1,5))+1,0,2,CROQUIS!$C$98-2,2,0)))*CROQUIS!$C$155)+IF(CROQUIS!$C$92="X",0,0)),-1000)</f>
        <v>-1000</v>
      </c>
      <c r="BK277">
        <f>IF(AND(CROQUIS!$C$88=1,CROQUIS!$C$134&gt;0),((CROQUIS!$C$157+(IF(CROQUIS!$C$92="X",CHOOSE(IF(INT(($A277-1)/5)&gt;MAX((MIN(80,MAX(1,INT(((CROQUIS!$C$97)-CROQUIS!$C$107)/MAX(CROQUIS!$C$134,1))+1)))-1,0),0,MOD($A277-1,5))+1,0,2,CROQUIS!$C$98-2,2,0),((CROQUIS!$C$107/2+(((CROQUIS!$C$97)-CROQUIS!$C$107)-(MIN(80,MAX(1,INT(((CROQUIS!$C$97)-CROQUIS!$C$107)/MAX(CROQUIS!$C$134,1))+1))-1)*CROQUIS!$C$134)/2)+MIN(INT(($A277-1)/5),MAX((MIN(80,MAX(1,INT(((CROQUIS!$C$97)-CROQUIS!$C$107)/MAX(CROQUIS!$C$134,1))+1)))-1,0))*CROQUIS!$C$134)))*CROQUIS!$C$155)+IF(CROQUIS!$C$92="X",0,0)),-1000)</f>
        <v>-1000</v>
      </c>
      <c r="BL277">
        <f>IF(AND(CROQUIS!$C$88=1,CROQUIS!$C$91=0,CROQUIS!$C$130&gt;0,OR(CROQUIS!$C$103=1,CROQUIS!$C$142=1)),((CROQUIS!$C$156+(IF(CROQUIS!$C$92="X",CHOOSE(IF(INT(($A277-1)/5)&gt;MAX((MIN(80,MAX(1,INT(((CROQUIS!$C$98)-CROQUIS!$C$107)/MAX(CROQUIS!$C$130,1))+1)))-1,0),0,MOD($A277-1,5))+1,0,IF(CROQUIS!$C$103=1,-12,2),CROQUIS!$C$107/2+CROQUIS!$C$140,IF(CROQUIS!$C$103=1,-12,2),0),((CROQUIS!$C$107/2+(((CROQUIS!$C$98)-CROQUIS!$C$107)-(MIN(80,MAX(1,INT(((CROQUIS!$C$98)-CROQUIS!$C$107)/MAX(CROQUIS!$C$130,1))+1))-1)*CROQUIS!$C$130)/2)+MIN(INT(($A277-1)/5),MAX((MIN(80,MAX(1,INT(((CROQUIS!$C$98)-CROQUIS!$C$107)/MAX(CROQUIS!$C$130,1))+1)))-1,0))*CROQUIS!$C$130)))*CROQUIS!$C$155)+IF(CROQUIS!$C$92="X",0,0)),-1000)</f>
        <v>-1000</v>
      </c>
      <c r="BM27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277-1)/5),MAX((MIN(80,MAX(1,INT(((CROQUIS!$C$98)-CROQUIS!$C$107)/MAX(CROQUIS!$C$130,1))+1)))-1,0))*CROQUIS!$C$130),CHOOSE(IF(INT(($A277-1)/5)&gt;MAX((MIN(80,MAX(1,INT(((CROQUIS!$C$98)-CROQUIS!$C$107)/MAX(CROQUIS!$C$130,1))+1)))-1,0),0,MOD($A277-1,5))+1,0,IF(CROQUIS!$C$103=1,-12,2),CROQUIS!$C$107/2+CROQUIS!$C$140,IF(CROQUIS!$C$103=1,-12,2),0)))*CROQUIS!$C$155)+IF(CROQUIS!$C$92="X",0,0)),-1000)</f>
        <v>-1000</v>
      </c>
      <c r="BN277">
        <f>IF(AND(CROQUIS!$C$88=1,CROQUIS!$C$91=0,CROQUIS!$C$130&gt;0,OR(CROQUIS!$C$104=1,CROQUIS!$C$142=1)),((CROQUIS!$C$156+(IF(CROQUIS!$C$92="X",CHOOSE(IF(INT(($A277-1)/5)&gt;MAX((MIN(80,MAX(1,INT(((CROQUIS!$C$98)-CROQUIS!$C$107)/MAX(CROQUIS!$C$130,1))+1)))-1,0),0,MOD($A277-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277-1)/5),MAX((MIN(80,MAX(1,INT(((CROQUIS!$C$98)-CROQUIS!$C$107)/MAX(CROQUIS!$C$130,1))+1)))-1,0))*CROQUIS!$C$130)))*CROQUIS!$C$155)+IF(CROQUIS!$C$92="X",0,0)),-1000)</f>
        <v>-1000</v>
      </c>
      <c r="BO27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277-1)/5),MAX((MIN(80,MAX(1,INT(((CROQUIS!$C$98)-CROQUIS!$C$107)/MAX(CROQUIS!$C$130,1))+1)))-1,0))*CROQUIS!$C$130),CHOOSE(IF(INT(($A277-1)/5)&gt;MAX((MIN(80,MAX(1,INT(((CROQUIS!$C$98)-CROQUIS!$C$107)/MAX(CROQUIS!$C$130,1))+1)))-1,0),0,MOD($A277-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7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277-1)/5),MAX((MIN(80,MAX(1,INT(((CROQUIS!$C$97)-CROQUIS!$C$107)/MAX(CROQUIS!$C$138,1))+1)))-1,0))*CROQUIS!$C$138),CHOOSE(IF(INT(($A277-1)/5)&gt;MAX((MIN(80,MAX(1,INT(((CROQUIS!$C$97)-CROQUIS!$C$107)/MAX(CROQUIS!$C$138,1))+1)))-1,0),0,MOD($A277-1,5))+1,0,IF(CROQUIS!$C$105=1,-12,2),CROQUIS!$C$107/2+CROQUIS!$C$141,IF(CROQUIS!$C$105=1,-12,2),0)))*CROQUIS!$C$155)+IF(CROQUIS!$C$92="X",0,0)),-1000)</f>
        <v>-1000</v>
      </c>
      <c r="BQ277">
        <f>IF(AND(CROQUIS!$C$88=1,CROQUIS!$C$91=0,CROQUIS!$C$138&gt;0,OR(CROQUIS!$C$105=1,CROQUIS!$C$143=1)),((CROQUIS!$C$157+(IF(CROQUIS!$C$92="X",CHOOSE(IF(INT(($A277-1)/5)&gt;MAX((MIN(80,MAX(1,INT(((CROQUIS!$C$97)-CROQUIS!$C$107)/MAX(CROQUIS!$C$138,1))+1)))-1,0),0,MOD($A277-1,5))+1,0,IF(CROQUIS!$C$105=1,-12,2),CROQUIS!$C$107/2+CROQUIS!$C$141,IF(CROQUIS!$C$105=1,-12,2),0),((CROQUIS!$C$107/2+(((CROQUIS!$C$97)-CROQUIS!$C$107)-(MIN(80,MAX(1,INT(((CROQUIS!$C$97)-CROQUIS!$C$107)/MAX(CROQUIS!$C$138,1))+1))-1)*CROQUIS!$C$138)/2)+MIN(INT(($A277-1)/5),MAX((MIN(80,MAX(1,INT(((CROQUIS!$C$97)-CROQUIS!$C$107)/MAX(CROQUIS!$C$138,1))+1)))-1,0))*CROQUIS!$C$138)))*CROQUIS!$C$155)+IF(CROQUIS!$C$92="X",0,0)),-1000)</f>
        <v>-1000</v>
      </c>
      <c r="BR27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277-1)/5),MAX((MIN(80,MAX(1,INT(((CROQUIS!$C$97)-CROQUIS!$C$107)/MAX(CROQUIS!$C$138,1))+1)))-1,0))*CROQUIS!$C$138),CHOOSE(IF(INT(($A277-1)/5)&gt;MAX((MIN(80,MAX(1,INT(((CROQUIS!$C$97)-CROQUIS!$C$107)/MAX(CROQUIS!$C$138,1))+1)))-1,0),0,MOD($A277-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77">
        <f>IF(AND(CROQUIS!$C$88=1,CROQUIS!$C$91=0,CROQUIS!$C$138&gt;0,OR(CROQUIS!$C$106=1,CROQUIS!$C$143=1)),((CROQUIS!$C$157+(IF(CROQUIS!$C$92="X",CHOOSE(IF(INT(($A277-1)/5)&gt;MAX((MIN(80,MAX(1,INT(((CROQUIS!$C$97)-CROQUIS!$C$107)/MAX(CROQUIS!$C$138,1))+1)))-1,0),0,MOD($A277-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277-1)/5),MAX((MIN(80,MAX(1,INT(((CROQUIS!$C$97)-CROQUIS!$C$107)/MAX(CROQUIS!$C$138,1))+1)))-1,0))*CROQUIS!$C$138)))*CROQUIS!$C$155)+IF(CROQUIS!$C$92="X",0,0)),-1000)</f>
        <v>-1000</v>
      </c>
      <c r="BT277">
        <f>IF(AND(CROQUIS!$C$88=1,CROQUIS!$C$91=1,CROQUIS!$C$130&gt;0),((CROQUIS!$C$156+(IF(CROQUIS!$C$92="X",CHOOSE(IF(INT(($A277-1)/5)&gt;MAX((MIN(80,MAX(1,INT(((CROQUIS!$C$98)-CROQUIS!$C$107)/MAX(CROQUIS!$C$130,1))+1)))-1,0),0,MOD($A277-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277-1)/5),MAX((MIN(80,MAX(1,INT(((CROQUIS!$C$98)-CROQUIS!$C$107)/MAX(CROQUIS!$C$130,1))+1)))-1,0))*CROQUIS!$C$130)))*CROQUIS!$C$155)+IF(CROQUIS!$C$92="X",0,0)),-1000)</f>
        <v>-1000</v>
      </c>
      <c r="BU277">
        <f>IF(AND(CROQUIS!$C$88=1,CROQUIS!$C$91=1,CROQUIS!$C$130&gt;0),((CROQUIS!$C$157+(IF(CROQUIS!$C$92="X",((CROQUIS!$C$107/2+(((CROQUIS!$C$98)-CROQUIS!$C$107)-(MIN(80,MAX(1,INT(((CROQUIS!$C$98)-CROQUIS!$C$107)/MAX(CROQUIS!$C$130,1))+1))-1)*CROQUIS!$C$130)/2)+MIN(INT(($A277-1)/5),MAX((MIN(80,MAX(1,INT(((CROQUIS!$C$98)-CROQUIS!$C$107)/MAX(CROQUIS!$C$130,1))+1)))-1,0))*CROQUIS!$C$130),CHOOSE(IF(INT(($A277-1)/5)&gt;MAX((MIN(80,MAX(1,INT(((CROQUIS!$C$98)-CROQUIS!$C$107)/MAX(CROQUIS!$C$130,1))+1)))-1,0),0,MOD($A277-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78">
      <c r="A278" t="n">
        <v>271</v>
      </c>
      <c r="BH278">
        <f>IF(AND(CROQUIS!$C$88=1,CROQUIS!$C$126&gt;0),((CROQUIS!$C$156+(IF(CROQUIS!$C$92="X",CHOOSE(IF(INT(($A278-1)/5)&gt;MAX((MIN(80,MAX(1,INT(((CROQUIS!$C$98)-CROQUIS!$C$107)/MAX(CROQUIS!$C$126,1))+1)))-1,0),0,MOD($A278-1,5))+1,0,2,CROQUIS!$C$97-2,2,0),((CROQUIS!$C$107/2+(((CROQUIS!$C$98)-CROQUIS!$C$107)-(MIN(80,MAX(1,INT(((CROQUIS!$C$98)-CROQUIS!$C$107)/MAX(CROQUIS!$C$126,1))+1))-1)*CROQUIS!$C$126)/2)+MIN(INT(($A278-1)/5),MAX((MIN(80,MAX(1,INT(((CROQUIS!$C$98)-CROQUIS!$C$107)/MAX(CROQUIS!$C$126,1))+1)))-1,0))*CROQUIS!$C$126)))*CROQUIS!$C$155)+IF(CROQUIS!$C$92="X",0,0)),-1000)</f>
        <v>-1000</v>
      </c>
      <c r="BI278">
        <f>IF(AND(CROQUIS!$C$88=1,CROQUIS!$C$126&gt;0),((CROQUIS!$C$157+(IF(CROQUIS!$C$92="X",((CROQUIS!$C$107/2+(((CROQUIS!$C$98)-CROQUIS!$C$107)-(MIN(80,MAX(1,INT(((CROQUIS!$C$98)-CROQUIS!$C$107)/MAX(CROQUIS!$C$126,1))+1))-1)*CROQUIS!$C$126)/2)+MIN(INT(($A278-1)/5),MAX((MIN(80,MAX(1,INT(((CROQUIS!$C$98)-CROQUIS!$C$107)/MAX(CROQUIS!$C$126,1))+1)))-1,0))*CROQUIS!$C$126),CHOOSE(IF(INT(($A278-1)/5)&gt;MAX((MIN(80,MAX(1,INT(((CROQUIS!$C$98)-CROQUIS!$C$107)/MAX(CROQUIS!$C$126,1))+1)))-1,0),0,MOD($A278-1,5))+1,0,2,CROQUIS!$C$97-2,2,0)))*CROQUIS!$C$155)+IF(CROQUIS!$C$92="X",0,0)),-1000)</f>
        <v>-1000</v>
      </c>
      <c r="BJ278">
        <f>IF(AND(CROQUIS!$C$88=1,CROQUIS!$C$134&gt;0),((CROQUIS!$C$156+(IF(CROQUIS!$C$92="X",((CROQUIS!$C$107/2+(((CROQUIS!$C$97)-CROQUIS!$C$107)-(MIN(80,MAX(1,INT(((CROQUIS!$C$97)-CROQUIS!$C$107)/MAX(CROQUIS!$C$134,1))+1))-1)*CROQUIS!$C$134)/2)+MIN(INT(($A278-1)/5),MAX((MIN(80,MAX(1,INT(((CROQUIS!$C$97)-CROQUIS!$C$107)/MAX(CROQUIS!$C$134,1))+1)))-1,0))*CROQUIS!$C$134),CHOOSE(IF(INT(($A278-1)/5)&gt;MAX((MIN(80,MAX(1,INT(((CROQUIS!$C$97)-CROQUIS!$C$107)/MAX(CROQUIS!$C$134,1))+1)))-1,0),0,MOD($A278-1,5))+1,0,2,CROQUIS!$C$98-2,2,0)))*CROQUIS!$C$155)+IF(CROQUIS!$C$92="X",0,0)),-1000)</f>
        <v>-1000</v>
      </c>
      <c r="BK278">
        <f>IF(AND(CROQUIS!$C$88=1,CROQUIS!$C$134&gt;0),((CROQUIS!$C$157+(IF(CROQUIS!$C$92="X",CHOOSE(IF(INT(($A278-1)/5)&gt;MAX((MIN(80,MAX(1,INT(((CROQUIS!$C$97)-CROQUIS!$C$107)/MAX(CROQUIS!$C$134,1))+1)))-1,0),0,MOD($A278-1,5))+1,0,2,CROQUIS!$C$98-2,2,0),((CROQUIS!$C$107/2+(((CROQUIS!$C$97)-CROQUIS!$C$107)-(MIN(80,MAX(1,INT(((CROQUIS!$C$97)-CROQUIS!$C$107)/MAX(CROQUIS!$C$134,1))+1))-1)*CROQUIS!$C$134)/2)+MIN(INT(($A278-1)/5),MAX((MIN(80,MAX(1,INT(((CROQUIS!$C$97)-CROQUIS!$C$107)/MAX(CROQUIS!$C$134,1))+1)))-1,0))*CROQUIS!$C$134)))*CROQUIS!$C$155)+IF(CROQUIS!$C$92="X",0,0)),-1000)</f>
        <v>-1000</v>
      </c>
      <c r="BL278">
        <f>IF(AND(CROQUIS!$C$88=1,CROQUIS!$C$91=0,CROQUIS!$C$130&gt;0,OR(CROQUIS!$C$103=1,CROQUIS!$C$142=1)),((CROQUIS!$C$156+(IF(CROQUIS!$C$92="X",CHOOSE(IF(INT(($A278-1)/5)&gt;MAX((MIN(80,MAX(1,INT(((CROQUIS!$C$98)-CROQUIS!$C$107)/MAX(CROQUIS!$C$130,1))+1)))-1,0),0,MOD($A278-1,5))+1,0,IF(CROQUIS!$C$103=1,-12,2),CROQUIS!$C$107/2+CROQUIS!$C$140,IF(CROQUIS!$C$103=1,-12,2),0),((CROQUIS!$C$107/2+(((CROQUIS!$C$98)-CROQUIS!$C$107)-(MIN(80,MAX(1,INT(((CROQUIS!$C$98)-CROQUIS!$C$107)/MAX(CROQUIS!$C$130,1))+1))-1)*CROQUIS!$C$130)/2)+MIN(INT(($A278-1)/5),MAX((MIN(80,MAX(1,INT(((CROQUIS!$C$98)-CROQUIS!$C$107)/MAX(CROQUIS!$C$130,1))+1)))-1,0))*CROQUIS!$C$130)))*CROQUIS!$C$155)+IF(CROQUIS!$C$92="X",0,0)),-1000)</f>
        <v>-1000</v>
      </c>
      <c r="BM27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278-1)/5),MAX((MIN(80,MAX(1,INT(((CROQUIS!$C$98)-CROQUIS!$C$107)/MAX(CROQUIS!$C$130,1))+1)))-1,0))*CROQUIS!$C$130),CHOOSE(IF(INT(($A278-1)/5)&gt;MAX((MIN(80,MAX(1,INT(((CROQUIS!$C$98)-CROQUIS!$C$107)/MAX(CROQUIS!$C$130,1))+1)))-1,0),0,MOD($A278-1,5))+1,0,IF(CROQUIS!$C$103=1,-12,2),CROQUIS!$C$107/2+CROQUIS!$C$140,IF(CROQUIS!$C$103=1,-12,2),0)))*CROQUIS!$C$155)+IF(CROQUIS!$C$92="X",0,0)),-1000)</f>
        <v>-1000</v>
      </c>
      <c r="BN278">
        <f>IF(AND(CROQUIS!$C$88=1,CROQUIS!$C$91=0,CROQUIS!$C$130&gt;0,OR(CROQUIS!$C$104=1,CROQUIS!$C$142=1)),((CROQUIS!$C$156+(IF(CROQUIS!$C$92="X",CHOOSE(IF(INT(($A278-1)/5)&gt;MAX((MIN(80,MAX(1,INT(((CROQUIS!$C$98)-CROQUIS!$C$107)/MAX(CROQUIS!$C$130,1))+1)))-1,0),0,MOD($A278-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278-1)/5),MAX((MIN(80,MAX(1,INT(((CROQUIS!$C$98)-CROQUIS!$C$107)/MAX(CROQUIS!$C$130,1))+1)))-1,0))*CROQUIS!$C$130)))*CROQUIS!$C$155)+IF(CROQUIS!$C$92="X",0,0)),-1000)</f>
        <v>-1000</v>
      </c>
      <c r="BO27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278-1)/5),MAX((MIN(80,MAX(1,INT(((CROQUIS!$C$98)-CROQUIS!$C$107)/MAX(CROQUIS!$C$130,1))+1)))-1,0))*CROQUIS!$C$130),CHOOSE(IF(INT(($A278-1)/5)&gt;MAX((MIN(80,MAX(1,INT(((CROQUIS!$C$98)-CROQUIS!$C$107)/MAX(CROQUIS!$C$130,1))+1)))-1,0),0,MOD($A278-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7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278-1)/5),MAX((MIN(80,MAX(1,INT(((CROQUIS!$C$97)-CROQUIS!$C$107)/MAX(CROQUIS!$C$138,1))+1)))-1,0))*CROQUIS!$C$138),CHOOSE(IF(INT(($A278-1)/5)&gt;MAX((MIN(80,MAX(1,INT(((CROQUIS!$C$97)-CROQUIS!$C$107)/MAX(CROQUIS!$C$138,1))+1)))-1,0),0,MOD($A278-1,5))+1,0,IF(CROQUIS!$C$105=1,-12,2),CROQUIS!$C$107/2+CROQUIS!$C$141,IF(CROQUIS!$C$105=1,-12,2),0)))*CROQUIS!$C$155)+IF(CROQUIS!$C$92="X",0,0)),-1000)</f>
        <v>-1000</v>
      </c>
      <c r="BQ278">
        <f>IF(AND(CROQUIS!$C$88=1,CROQUIS!$C$91=0,CROQUIS!$C$138&gt;0,OR(CROQUIS!$C$105=1,CROQUIS!$C$143=1)),((CROQUIS!$C$157+(IF(CROQUIS!$C$92="X",CHOOSE(IF(INT(($A278-1)/5)&gt;MAX((MIN(80,MAX(1,INT(((CROQUIS!$C$97)-CROQUIS!$C$107)/MAX(CROQUIS!$C$138,1))+1)))-1,0),0,MOD($A278-1,5))+1,0,IF(CROQUIS!$C$105=1,-12,2),CROQUIS!$C$107/2+CROQUIS!$C$141,IF(CROQUIS!$C$105=1,-12,2),0),((CROQUIS!$C$107/2+(((CROQUIS!$C$97)-CROQUIS!$C$107)-(MIN(80,MAX(1,INT(((CROQUIS!$C$97)-CROQUIS!$C$107)/MAX(CROQUIS!$C$138,1))+1))-1)*CROQUIS!$C$138)/2)+MIN(INT(($A278-1)/5),MAX((MIN(80,MAX(1,INT(((CROQUIS!$C$97)-CROQUIS!$C$107)/MAX(CROQUIS!$C$138,1))+1)))-1,0))*CROQUIS!$C$138)))*CROQUIS!$C$155)+IF(CROQUIS!$C$92="X",0,0)),-1000)</f>
        <v>-1000</v>
      </c>
      <c r="BR27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278-1)/5),MAX((MIN(80,MAX(1,INT(((CROQUIS!$C$97)-CROQUIS!$C$107)/MAX(CROQUIS!$C$138,1))+1)))-1,0))*CROQUIS!$C$138),CHOOSE(IF(INT(($A278-1)/5)&gt;MAX((MIN(80,MAX(1,INT(((CROQUIS!$C$97)-CROQUIS!$C$107)/MAX(CROQUIS!$C$138,1))+1)))-1,0),0,MOD($A278-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78">
        <f>IF(AND(CROQUIS!$C$88=1,CROQUIS!$C$91=0,CROQUIS!$C$138&gt;0,OR(CROQUIS!$C$106=1,CROQUIS!$C$143=1)),((CROQUIS!$C$157+(IF(CROQUIS!$C$92="X",CHOOSE(IF(INT(($A278-1)/5)&gt;MAX((MIN(80,MAX(1,INT(((CROQUIS!$C$97)-CROQUIS!$C$107)/MAX(CROQUIS!$C$138,1))+1)))-1,0),0,MOD($A278-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278-1)/5),MAX((MIN(80,MAX(1,INT(((CROQUIS!$C$97)-CROQUIS!$C$107)/MAX(CROQUIS!$C$138,1))+1)))-1,0))*CROQUIS!$C$138)))*CROQUIS!$C$155)+IF(CROQUIS!$C$92="X",0,0)),-1000)</f>
        <v>-1000</v>
      </c>
      <c r="BT278">
        <f>IF(AND(CROQUIS!$C$88=1,CROQUIS!$C$91=1,CROQUIS!$C$130&gt;0),((CROQUIS!$C$156+(IF(CROQUIS!$C$92="X",CHOOSE(IF(INT(($A278-1)/5)&gt;MAX((MIN(80,MAX(1,INT(((CROQUIS!$C$98)-CROQUIS!$C$107)/MAX(CROQUIS!$C$130,1))+1)))-1,0),0,MOD($A278-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278-1)/5),MAX((MIN(80,MAX(1,INT(((CROQUIS!$C$98)-CROQUIS!$C$107)/MAX(CROQUIS!$C$130,1))+1)))-1,0))*CROQUIS!$C$130)))*CROQUIS!$C$155)+IF(CROQUIS!$C$92="X",0,0)),-1000)</f>
        <v>-1000</v>
      </c>
      <c r="BU278">
        <f>IF(AND(CROQUIS!$C$88=1,CROQUIS!$C$91=1,CROQUIS!$C$130&gt;0),((CROQUIS!$C$157+(IF(CROQUIS!$C$92="X",((CROQUIS!$C$107/2+(((CROQUIS!$C$98)-CROQUIS!$C$107)-(MIN(80,MAX(1,INT(((CROQUIS!$C$98)-CROQUIS!$C$107)/MAX(CROQUIS!$C$130,1))+1))-1)*CROQUIS!$C$130)/2)+MIN(INT(($A278-1)/5),MAX((MIN(80,MAX(1,INT(((CROQUIS!$C$98)-CROQUIS!$C$107)/MAX(CROQUIS!$C$130,1))+1)))-1,0))*CROQUIS!$C$130),CHOOSE(IF(INT(($A278-1)/5)&gt;MAX((MIN(80,MAX(1,INT(((CROQUIS!$C$98)-CROQUIS!$C$107)/MAX(CROQUIS!$C$130,1))+1)))-1,0),0,MOD($A278-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79">
      <c r="A279" t="n">
        <v>272</v>
      </c>
      <c r="BH279">
        <f>IF(AND(CROQUIS!$C$88=1,CROQUIS!$C$126&gt;0),((CROQUIS!$C$156+(IF(CROQUIS!$C$92="X",CHOOSE(IF(INT(($A279-1)/5)&gt;MAX((MIN(80,MAX(1,INT(((CROQUIS!$C$98)-CROQUIS!$C$107)/MAX(CROQUIS!$C$126,1))+1)))-1,0),0,MOD($A279-1,5))+1,0,2,CROQUIS!$C$97-2,2,0),((CROQUIS!$C$107/2+(((CROQUIS!$C$98)-CROQUIS!$C$107)-(MIN(80,MAX(1,INT(((CROQUIS!$C$98)-CROQUIS!$C$107)/MAX(CROQUIS!$C$126,1))+1))-1)*CROQUIS!$C$126)/2)+MIN(INT(($A279-1)/5),MAX((MIN(80,MAX(1,INT(((CROQUIS!$C$98)-CROQUIS!$C$107)/MAX(CROQUIS!$C$126,1))+1)))-1,0))*CROQUIS!$C$126)))*CROQUIS!$C$155)+IF(CROQUIS!$C$92="X",0,0)),-1000)</f>
        <v>-1000</v>
      </c>
      <c r="BI279">
        <f>IF(AND(CROQUIS!$C$88=1,CROQUIS!$C$126&gt;0),((CROQUIS!$C$157+(IF(CROQUIS!$C$92="X",((CROQUIS!$C$107/2+(((CROQUIS!$C$98)-CROQUIS!$C$107)-(MIN(80,MAX(1,INT(((CROQUIS!$C$98)-CROQUIS!$C$107)/MAX(CROQUIS!$C$126,1))+1))-1)*CROQUIS!$C$126)/2)+MIN(INT(($A279-1)/5),MAX((MIN(80,MAX(1,INT(((CROQUIS!$C$98)-CROQUIS!$C$107)/MAX(CROQUIS!$C$126,1))+1)))-1,0))*CROQUIS!$C$126),CHOOSE(IF(INT(($A279-1)/5)&gt;MAX((MIN(80,MAX(1,INT(((CROQUIS!$C$98)-CROQUIS!$C$107)/MAX(CROQUIS!$C$126,1))+1)))-1,0),0,MOD($A279-1,5))+1,0,2,CROQUIS!$C$97-2,2,0)))*CROQUIS!$C$155)+IF(CROQUIS!$C$92="X",0,0)),-1000)</f>
        <v>-1000</v>
      </c>
      <c r="BJ279">
        <f>IF(AND(CROQUIS!$C$88=1,CROQUIS!$C$134&gt;0),((CROQUIS!$C$156+(IF(CROQUIS!$C$92="X",((CROQUIS!$C$107/2+(((CROQUIS!$C$97)-CROQUIS!$C$107)-(MIN(80,MAX(1,INT(((CROQUIS!$C$97)-CROQUIS!$C$107)/MAX(CROQUIS!$C$134,1))+1))-1)*CROQUIS!$C$134)/2)+MIN(INT(($A279-1)/5),MAX((MIN(80,MAX(1,INT(((CROQUIS!$C$97)-CROQUIS!$C$107)/MAX(CROQUIS!$C$134,1))+1)))-1,0))*CROQUIS!$C$134),CHOOSE(IF(INT(($A279-1)/5)&gt;MAX((MIN(80,MAX(1,INT(((CROQUIS!$C$97)-CROQUIS!$C$107)/MAX(CROQUIS!$C$134,1))+1)))-1,0),0,MOD($A279-1,5))+1,0,2,CROQUIS!$C$98-2,2,0)))*CROQUIS!$C$155)+IF(CROQUIS!$C$92="X",0,0)),-1000)</f>
        <v>-1000</v>
      </c>
      <c r="BK279">
        <f>IF(AND(CROQUIS!$C$88=1,CROQUIS!$C$134&gt;0),((CROQUIS!$C$157+(IF(CROQUIS!$C$92="X",CHOOSE(IF(INT(($A279-1)/5)&gt;MAX((MIN(80,MAX(1,INT(((CROQUIS!$C$97)-CROQUIS!$C$107)/MAX(CROQUIS!$C$134,1))+1)))-1,0),0,MOD($A279-1,5))+1,0,2,CROQUIS!$C$98-2,2,0),((CROQUIS!$C$107/2+(((CROQUIS!$C$97)-CROQUIS!$C$107)-(MIN(80,MAX(1,INT(((CROQUIS!$C$97)-CROQUIS!$C$107)/MAX(CROQUIS!$C$134,1))+1))-1)*CROQUIS!$C$134)/2)+MIN(INT(($A279-1)/5),MAX((MIN(80,MAX(1,INT(((CROQUIS!$C$97)-CROQUIS!$C$107)/MAX(CROQUIS!$C$134,1))+1)))-1,0))*CROQUIS!$C$134)))*CROQUIS!$C$155)+IF(CROQUIS!$C$92="X",0,0)),-1000)</f>
        <v>-1000</v>
      </c>
      <c r="BL279">
        <f>IF(AND(CROQUIS!$C$88=1,CROQUIS!$C$91=0,CROQUIS!$C$130&gt;0,OR(CROQUIS!$C$103=1,CROQUIS!$C$142=1)),((CROQUIS!$C$156+(IF(CROQUIS!$C$92="X",CHOOSE(IF(INT(($A279-1)/5)&gt;MAX((MIN(80,MAX(1,INT(((CROQUIS!$C$98)-CROQUIS!$C$107)/MAX(CROQUIS!$C$130,1))+1)))-1,0),0,MOD($A279-1,5))+1,0,IF(CROQUIS!$C$103=1,-12,2),CROQUIS!$C$107/2+CROQUIS!$C$140,IF(CROQUIS!$C$103=1,-12,2),0),((CROQUIS!$C$107/2+(((CROQUIS!$C$98)-CROQUIS!$C$107)-(MIN(80,MAX(1,INT(((CROQUIS!$C$98)-CROQUIS!$C$107)/MAX(CROQUIS!$C$130,1))+1))-1)*CROQUIS!$C$130)/2)+MIN(INT(($A279-1)/5),MAX((MIN(80,MAX(1,INT(((CROQUIS!$C$98)-CROQUIS!$C$107)/MAX(CROQUIS!$C$130,1))+1)))-1,0))*CROQUIS!$C$130)))*CROQUIS!$C$155)+IF(CROQUIS!$C$92="X",0,0)),-1000)</f>
        <v>-1000</v>
      </c>
      <c r="BM27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279-1)/5),MAX((MIN(80,MAX(1,INT(((CROQUIS!$C$98)-CROQUIS!$C$107)/MAX(CROQUIS!$C$130,1))+1)))-1,0))*CROQUIS!$C$130),CHOOSE(IF(INT(($A279-1)/5)&gt;MAX((MIN(80,MAX(1,INT(((CROQUIS!$C$98)-CROQUIS!$C$107)/MAX(CROQUIS!$C$130,1))+1)))-1,0),0,MOD($A279-1,5))+1,0,IF(CROQUIS!$C$103=1,-12,2),CROQUIS!$C$107/2+CROQUIS!$C$140,IF(CROQUIS!$C$103=1,-12,2),0)))*CROQUIS!$C$155)+IF(CROQUIS!$C$92="X",0,0)),-1000)</f>
        <v>-1000</v>
      </c>
      <c r="BN279">
        <f>IF(AND(CROQUIS!$C$88=1,CROQUIS!$C$91=0,CROQUIS!$C$130&gt;0,OR(CROQUIS!$C$104=1,CROQUIS!$C$142=1)),((CROQUIS!$C$156+(IF(CROQUIS!$C$92="X",CHOOSE(IF(INT(($A279-1)/5)&gt;MAX((MIN(80,MAX(1,INT(((CROQUIS!$C$98)-CROQUIS!$C$107)/MAX(CROQUIS!$C$130,1))+1)))-1,0),0,MOD($A279-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279-1)/5),MAX((MIN(80,MAX(1,INT(((CROQUIS!$C$98)-CROQUIS!$C$107)/MAX(CROQUIS!$C$130,1))+1)))-1,0))*CROQUIS!$C$130)))*CROQUIS!$C$155)+IF(CROQUIS!$C$92="X",0,0)),-1000)</f>
        <v>-1000</v>
      </c>
      <c r="BO27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279-1)/5),MAX((MIN(80,MAX(1,INT(((CROQUIS!$C$98)-CROQUIS!$C$107)/MAX(CROQUIS!$C$130,1))+1)))-1,0))*CROQUIS!$C$130),CHOOSE(IF(INT(($A279-1)/5)&gt;MAX((MIN(80,MAX(1,INT(((CROQUIS!$C$98)-CROQUIS!$C$107)/MAX(CROQUIS!$C$130,1))+1)))-1,0),0,MOD($A279-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7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279-1)/5),MAX((MIN(80,MAX(1,INT(((CROQUIS!$C$97)-CROQUIS!$C$107)/MAX(CROQUIS!$C$138,1))+1)))-1,0))*CROQUIS!$C$138),CHOOSE(IF(INT(($A279-1)/5)&gt;MAX((MIN(80,MAX(1,INT(((CROQUIS!$C$97)-CROQUIS!$C$107)/MAX(CROQUIS!$C$138,1))+1)))-1,0),0,MOD($A279-1,5))+1,0,IF(CROQUIS!$C$105=1,-12,2),CROQUIS!$C$107/2+CROQUIS!$C$141,IF(CROQUIS!$C$105=1,-12,2),0)))*CROQUIS!$C$155)+IF(CROQUIS!$C$92="X",0,0)),-1000)</f>
        <v>-1000</v>
      </c>
      <c r="BQ279">
        <f>IF(AND(CROQUIS!$C$88=1,CROQUIS!$C$91=0,CROQUIS!$C$138&gt;0,OR(CROQUIS!$C$105=1,CROQUIS!$C$143=1)),((CROQUIS!$C$157+(IF(CROQUIS!$C$92="X",CHOOSE(IF(INT(($A279-1)/5)&gt;MAX((MIN(80,MAX(1,INT(((CROQUIS!$C$97)-CROQUIS!$C$107)/MAX(CROQUIS!$C$138,1))+1)))-1,0),0,MOD($A279-1,5))+1,0,IF(CROQUIS!$C$105=1,-12,2),CROQUIS!$C$107/2+CROQUIS!$C$141,IF(CROQUIS!$C$105=1,-12,2),0),((CROQUIS!$C$107/2+(((CROQUIS!$C$97)-CROQUIS!$C$107)-(MIN(80,MAX(1,INT(((CROQUIS!$C$97)-CROQUIS!$C$107)/MAX(CROQUIS!$C$138,1))+1))-1)*CROQUIS!$C$138)/2)+MIN(INT(($A279-1)/5),MAX((MIN(80,MAX(1,INT(((CROQUIS!$C$97)-CROQUIS!$C$107)/MAX(CROQUIS!$C$138,1))+1)))-1,0))*CROQUIS!$C$138)))*CROQUIS!$C$155)+IF(CROQUIS!$C$92="X",0,0)),-1000)</f>
        <v>-1000</v>
      </c>
      <c r="BR27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279-1)/5),MAX((MIN(80,MAX(1,INT(((CROQUIS!$C$97)-CROQUIS!$C$107)/MAX(CROQUIS!$C$138,1))+1)))-1,0))*CROQUIS!$C$138),CHOOSE(IF(INT(($A279-1)/5)&gt;MAX((MIN(80,MAX(1,INT(((CROQUIS!$C$97)-CROQUIS!$C$107)/MAX(CROQUIS!$C$138,1))+1)))-1,0),0,MOD($A279-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79">
        <f>IF(AND(CROQUIS!$C$88=1,CROQUIS!$C$91=0,CROQUIS!$C$138&gt;0,OR(CROQUIS!$C$106=1,CROQUIS!$C$143=1)),((CROQUIS!$C$157+(IF(CROQUIS!$C$92="X",CHOOSE(IF(INT(($A279-1)/5)&gt;MAX((MIN(80,MAX(1,INT(((CROQUIS!$C$97)-CROQUIS!$C$107)/MAX(CROQUIS!$C$138,1))+1)))-1,0),0,MOD($A279-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279-1)/5),MAX((MIN(80,MAX(1,INT(((CROQUIS!$C$97)-CROQUIS!$C$107)/MAX(CROQUIS!$C$138,1))+1)))-1,0))*CROQUIS!$C$138)))*CROQUIS!$C$155)+IF(CROQUIS!$C$92="X",0,0)),-1000)</f>
        <v>-1000</v>
      </c>
      <c r="BT279">
        <f>IF(AND(CROQUIS!$C$88=1,CROQUIS!$C$91=1,CROQUIS!$C$130&gt;0),((CROQUIS!$C$156+(IF(CROQUIS!$C$92="X",CHOOSE(IF(INT(($A279-1)/5)&gt;MAX((MIN(80,MAX(1,INT(((CROQUIS!$C$98)-CROQUIS!$C$107)/MAX(CROQUIS!$C$130,1))+1)))-1,0),0,MOD($A279-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279-1)/5),MAX((MIN(80,MAX(1,INT(((CROQUIS!$C$98)-CROQUIS!$C$107)/MAX(CROQUIS!$C$130,1))+1)))-1,0))*CROQUIS!$C$130)))*CROQUIS!$C$155)+IF(CROQUIS!$C$92="X",0,0)),-1000)</f>
        <v>-1000</v>
      </c>
      <c r="BU279">
        <f>IF(AND(CROQUIS!$C$88=1,CROQUIS!$C$91=1,CROQUIS!$C$130&gt;0),((CROQUIS!$C$157+(IF(CROQUIS!$C$92="X",((CROQUIS!$C$107/2+(((CROQUIS!$C$98)-CROQUIS!$C$107)-(MIN(80,MAX(1,INT(((CROQUIS!$C$98)-CROQUIS!$C$107)/MAX(CROQUIS!$C$130,1))+1))-1)*CROQUIS!$C$130)/2)+MIN(INT(($A279-1)/5),MAX((MIN(80,MAX(1,INT(((CROQUIS!$C$98)-CROQUIS!$C$107)/MAX(CROQUIS!$C$130,1))+1)))-1,0))*CROQUIS!$C$130),CHOOSE(IF(INT(($A279-1)/5)&gt;MAX((MIN(80,MAX(1,INT(((CROQUIS!$C$98)-CROQUIS!$C$107)/MAX(CROQUIS!$C$130,1))+1)))-1,0),0,MOD($A279-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80">
      <c r="A280" t="n">
        <v>273</v>
      </c>
      <c r="BH280">
        <f>IF(AND(CROQUIS!$C$88=1,CROQUIS!$C$126&gt;0),((CROQUIS!$C$156+(IF(CROQUIS!$C$92="X",CHOOSE(IF(INT(($A280-1)/5)&gt;MAX((MIN(80,MAX(1,INT(((CROQUIS!$C$98)-CROQUIS!$C$107)/MAX(CROQUIS!$C$126,1))+1)))-1,0),0,MOD($A280-1,5))+1,0,2,CROQUIS!$C$97-2,2,0),((CROQUIS!$C$107/2+(((CROQUIS!$C$98)-CROQUIS!$C$107)-(MIN(80,MAX(1,INT(((CROQUIS!$C$98)-CROQUIS!$C$107)/MAX(CROQUIS!$C$126,1))+1))-1)*CROQUIS!$C$126)/2)+MIN(INT(($A280-1)/5),MAX((MIN(80,MAX(1,INT(((CROQUIS!$C$98)-CROQUIS!$C$107)/MAX(CROQUIS!$C$126,1))+1)))-1,0))*CROQUIS!$C$126)))*CROQUIS!$C$155)+IF(CROQUIS!$C$92="X",0,0)),-1000)</f>
        <v>-1000</v>
      </c>
      <c r="BI280">
        <f>IF(AND(CROQUIS!$C$88=1,CROQUIS!$C$126&gt;0),((CROQUIS!$C$157+(IF(CROQUIS!$C$92="X",((CROQUIS!$C$107/2+(((CROQUIS!$C$98)-CROQUIS!$C$107)-(MIN(80,MAX(1,INT(((CROQUIS!$C$98)-CROQUIS!$C$107)/MAX(CROQUIS!$C$126,1))+1))-1)*CROQUIS!$C$126)/2)+MIN(INT(($A280-1)/5),MAX((MIN(80,MAX(1,INT(((CROQUIS!$C$98)-CROQUIS!$C$107)/MAX(CROQUIS!$C$126,1))+1)))-1,0))*CROQUIS!$C$126),CHOOSE(IF(INT(($A280-1)/5)&gt;MAX((MIN(80,MAX(1,INT(((CROQUIS!$C$98)-CROQUIS!$C$107)/MAX(CROQUIS!$C$126,1))+1)))-1,0),0,MOD($A280-1,5))+1,0,2,CROQUIS!$C$97-2,2,0)))*CROQUIS!$C$155)+IF(CROQUIS!$C$92="X",0,0)),-1000)</f>
        <v>-1000</v>
      </c>
      <c r="BJ280">
        <f>IF(AND(CROQUIS!$C$88=1,CROQUIS!$C$134&gt;0),((CROQUIS!$C$156+(IF(CROQUIS!$C$92="X",((CROQUIS!$C$107/2+(((CROQUIS!$C$97)-CROQUIS!$C$107)-(MIN(80,MAX(1,INT(((CROQUIS!$C$97)-CROQUIS!$C$107)/MAX(CROQUIS!$C$134,1))+1))-1)*CROQUIS!$C$134)/2)+MIN(INT(($A280-1)/5),MAX((MIN(80,MAX(1,INT(((CROQUIS!$C$97)-CROQUIS!$C$107)/MAX(CROQUIS!$C$134,1))+1)))-1,0))*CROQUIS!$C$134),CHOOSE(IF(INT(($A280-1)/5)&gt;MAX((MIN(80,MAX(1,INT(((CROQUIS!$C$97)-CROQUIS!$C$107)/MAX(CROQUIS!$C$134,1))+1)))-1,0),0,MOD($A280-1,5))+1,0,2,CROQUIS!$C$98-2,2,0)))*CROQUIS!$C$155)+IF(CROQUIS!$C$92="X",0,0)),-1000)</f>
        <v>-1000</v>
      </c>
      <c r="BK280">
        <f>IF(AND(CROQUIS!$C$88=1,CROQUIS!$C$134&gt;0),((CROQUIS!$C$157+(IF(CROQUIS!$C$92="X",CHOOSE(IF(INT(($A280-1)/5)&gt;MAX((MIN(80,MAX(1,INT(((CROQUIS!$C$97)-CROQUIS!$C$107)/MAX(CROQUIS!$C$134,1))+1)))-1,0),0,MOD($A280-1,5))+1,0,2,CROQUIS!$C$98-2,2,0),((CROQUIS!$C$107/2+(((CROQUIS!$C$97)-CROQUIS!$C$107)-(MIN(80,MAX(1,INT(((CROQUIS!$C$97)-CROQUIS!$C$107)/MAX(CROQUIS!$C$134,1))+1))-1)*CROQUIS!$C$134)/2)+MIN(INT(($A280-1)/5),MAX((MIN(80,MAX(1,INT(((CROQUIS!$C$97)-CROQUIS!$C$107)/MAX(CROQUIS!$C$134,1))+1)))-1,0))*CROQUIS!$C$134)))*CROQUIS!$C$155)+IF(CROQUIS!$C$92="X",0,0)),-1000)</f>
        <v>-1000</v>
      </c>
      <c r="BL280">
        <f>IF(AND(CROQUIS!$C$88=1,CROQUIS!$C$91=0,CROQUIS!$C$130&gt;0,OR(CROQUIS!$C$103=1,CROQUIS!$C$142=1)),((CROQUIS!$C$156+(IF(CROQUIS!$C$92="X",CHOOSE(IF(INT(($A280-1)/5)&gt;MAX((MIN(80,MAX(1,INT(((CROQUIS!$C$98)-CROQUIS!$C$107)/MAX(CROQUIS!$C$130,1))+1)))-1,0),0,MOD($A280-1,5))+1,0,IF(CROQUIS!$C$103=1,-12,2),CROQUIS!$C$107/2+CROQUIS!$C$140,IF(CROQUIS!$C$103=1,-12,2),0),((CROQUIS!$C$107/2+(((CROQUIS!$C$98)-CROQUIS!$C$107)-(MIN(80,MAX(1,INT(((CROQUIS!$C$98)-CROQUIS!$C$107)/MAX(CROQUIS!$C$130,1))+1))-1)*CROQUIS!$C$130)/2)+MIN(INT(($A280-1)/5),MAX((MIN(80,MAX(1,INT(((CROQUIS!$C$98)-CROQUIS!$C$107)/MAX(CROQUIS!$C$130,1))+1)))-1,0))*CROQUIS!$C$130)))*CROQUIS!$C$155)+IF(CROQUIS!$C$92="X",0,0)),-1000)</f>
        <v>-1000</v>
      </c>
      <c r="BM28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280-1)/5),MAX((MIN(80,MAX(1,INT(((CROQUIS!$C$98)-CROQUIS!$C$107)/MAX(CROQUIS!$C$130,1))+1)))-1,0))*CROQUIS!$C$130),CHOOSE(IF(INT(($A280-1)/5)&gt;MAX((MIN(80,MAX(1,INT(((CROQUIS!$C$98)-CROQUIS!$C$107)/MAX(CROQUIS!$C$130,1))+1)))-1,0),0,MOD($A280-1,5))+1,0,IF(CROQUIS!$C$103=1,-12,2),CROQUIS!$C$107/2+CROQUIS!$C$140,IF(CROQUIS!$C$103=1,-12,2),0)))*CROQUIS!$C$155)+IF(CROQUIS!$C$92="X",0,0)),-1000)</f>
        <v>-1000</v>
      </c>
      <c r="BN280">
        <f>IF(AND(CROQUIS!$C$88=1,CROQUIS!$C$91=0,CROQUIS!$C$130&gt;0,OR(CROQUIS!$C$104=1,CROQUIS!$C$142=1)),((CROQUIS!$C$156+(IF(CROQUIS!$C$92="X",CHOOSE(IF(INT(($A280-1)/5)&gt;MAX((MIN(80,MAX(1,INT(((CROQUIS!$C$98)-CROQUIS!$C$107)/MAX(CROQUIS!$C$130,1))+1)))-1,0),0,MOD($A280-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280-1)/5),MAX((MIN(80,MAX(1,INT(((CROQUIS!$C$98)-CROQUIS!$C$107)/MAX(CROQUIS!$C$130,1))+1)))-1,0))*CROQUIS!$C$130)))*CROQUIS!$C$155)+IF(CROQUIS!$C$92="X",0,0)),-1000)</f>
        <v>-1000</v>
      </c>
      <c r="BO28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280-1)/5),MAX((MIN(80,MAX(1,INT(((CROQUIS!$C$98)-CROQUIS!$C$107)/MAX(CROQUIS!$C$130,1))+1)))-1,0))*CROQUIS!$C$130),CHOOSE(IF(INT(($A280-1)/5)&gt;MAX((MIN(80,MAX(1,INT(((CROQUIS!$C$98)-CROQUIS!$C$107)/MAX(CROQUIS!$C$130,1))+1)))-1,0),0,MOD($A280-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8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280-1)/5),MAX((MIN(80,MAX(1,INT(((CROQUIS!$C$97)-CROQUIS!$C$107)/MAX(CROQUIS!$C$138,1))+1)))-1,0))*CROQUIS!$C$138),CHOOSE(IF(INT(($A280-1)/5)&gt;MAX((MIN(80,MAX(1,INT(((CROQUIS!$C$97)-CROQUIS!$C$107)/MAX(CROQUIS!$C$138,1))+1)))-1,0),0,MOD($A280-1,5))+1,0,IF(CROQUIS!$C$105=1,-12,2),CROQUIS!$C$107/2+CROQUIS!$C$141,IF(CROQUIS!$C$105=1,-12,2),0)))*CROQUIS!$C$155)+IF(CROQUIS!$C$92="X",0,0)),-1000)</f>
        <v>-1000</v>
      </c>
      <c r="BQ280">
        <f>IF(AND(CROQUIS!$C$88=1,CROQUIS!$C$91=0,CROQUIS!$C$138&gt;0,OR(CROQUIS!$C$105=1,CROQUIS!$C$143=1)),((CROQUIS!$C$157+(IF(CROQUIS!$C$92="X",CHOOSE(IF(INT(($A280-1)/5)&gt;MAX((MIN(80,MAX(1,INT(((CROQUIS!$C$97)-CROQUIS!$C$107)/MAX(CROQUIS!$C$138,1))+1)))-1,0),0,MOD($A280-1,5))+1,0,IF(CROQUIS!$C$105=1,-12,2),CROQUIS!$C$107/2+CROQUIS!$C$141,IF(CROQUIS!$C$105=1,-12,2),0),((CROQUIS!$C$107/2+(((CROQUIS!$C$97)-CROQUIS!$C$107)-(MIN(80,MAX(1,INT(((CROQUIS!$C$97)-CROQUIS!$C$107)/MAX(CROQUIS!$C$138,1))+1))-1)*CROQUIS!$C$138)/2)+MIN(INT(($A280-1)/5),MAX((MIN(80,MAX(1,INT(((CROQUIS!$C$97)-CROQUIS!$C$107)/MAX(CROQUIS!$C$138,1))+1)))-1,0))*CROQUIS!$C$138)))*CROQUIS!$C$155)+IF(CROQUIS!$C$92="X",0,0)),-1000)</f>
        <v>-1000</v>
      </c>
      <c r="BR28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280-1)/5),MAX((MIN(80,MAX(1,INT(((CROQUIS!$C$97)-CROQUIS!$C$107)/MAX(CROQUIS!$C$138,1))+1)))-1,0))*CROQUIS!$C$138),CHOOSE(IF(INT(($A280-1)/5)&gt;MAX((MIN(80,MAX(1,INT(((CROQUIS!$C$97)-CROQUIS!$C$107)/MAX(CROQUIS!$C$138,1))+1)))-1,0),0,MOD($A280-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80">
        <f>IF(AND(CROQUIS!$C$88=1,CROQUIS!$C$91=0,CROQUIS!$C$138&gt;0,OR(CROQUIS!$C$106=1,CROQUIS!$C$143=1)),((CROQUIS!$C$157+(IF(CROQUIS!$C$92="X",CHOOSE(IF(INT(($A280-1)/5)&gt;MAX((MIN(80,MAX(1,INT(((CROQUIS!$C$97)-CROQUIS!$C$107)/MAX(CROQUIS!$C$138,1))+1)))-1,0),0,MOD($A280-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280-1)/5),MAX((MIN(80,MAX(1,INT(((CROQUIS!$C$97)-CROQUIS!$C$107)/MAX(CROQUIS!$C$138,1))+1)))-1,0))*CROQUIS!$C$138)))*CROQUIS!$C$155)+IF(CROQUIS!$C$92="X",0,0)),-1000)</f>
        <v>-1000</v>
      </c>
      <c r="BT280">
        <f>IF(AND(CROQUIS!$C$88=1,CROQUIS!$C$91=1,CROQUIS!$C$130&gt;0),((CROQUIS!$C$156+(IF(CROQUIS!$C$92="X",CHOOSE(IF(INT(($A280-1)/5)&gt;MAX((MIN(80,MAX(1,INT(((CROQUIS!$C$98)-CROQUIS!$C$107)/MAX(CROQUIS!$C$130,1))+1)))-1,0),0,MOD($A280-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280-1)/5),MAX((MIN(80,MAX(1,INT(((CROQUIS!$C$98)-CROQUIS!$C$107)/MAX(CROQUIS!$C$130,1))+1)))-1,0))*CROQUIS!$C$130)))*CROQUIS!$C$155)+IF(CROQUIS!$C$92="X",0,0)),-1000)</f>
        <v>-1000</v>
      </c>
      <c r="BU280">
        <f>IF(AND(CROQUIS!$C$88=1,CROQUIS!$C$91=1,CROQUIS!$C$130&gt;0),((CROQUIS!$C$157+(IF(CROQUIS!$C$92="X",((CROQUIS!$C$107/2+(((CROQUIS!$C$98)-CROQUIS!$C$107)-(MIN(80,MAX(1,INT(((CROQUIS!$C$98)-CROQUIS!$C$107)/MAX(CROQUIS!$C$130,1))+1))-1)*CROQUIS!$C$130)/2)+MIN(INT(($A280-1)/5),MAX((MIN(80,MAX(1,INT(((CROQUIS!$C$98)-CROQUIS!$C$107)/MAX(CROQUIS!$C$130,1))+1)))-1,0))*CROQUIS!$C$130),CHOOSE(IF(INT(($A280-1)/5)&gt;MAX((MIN(80,MAX(1,INT(((CROQUIS!$C$98)-CROQUIS!$C$107)/MAX(CROQUIS!$C$130,1))+1)))-1,0),0,MOD($A280-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81">
      <c r="A281" t="n">
        <v>274</v>
      </c>
      <c r="BH281">
        <f>IF(AND(CROQUIS!$C$88=1,CROQUIS!$C$126&gt;0),((CROQUIS!$C$156+(IF(CROQUIS!$C$92="X",CHOOSE(IF(INT(($A281-1)/5)&gt;MAX((MIN(80,MAX(1,INT(((CROQUIS!$C$98)-CROQUIS!$C$107)/MAX(CROQUIS!$C$126,1))+1)))-1,0),0,MOD($A281-1,5))+1,0,2,CROQUIS!$C$97-2,2,0),((CROQUIS!$C$107/2+(((CROQUIS!$C$98)-CROQUIS!$C$107)-(MIN(80,MAX(1,INT(((CROQUIS!$C$98)-CROQUIS!$C$107)/MAX(CROQUIS!$C$126,1))+1))-1)*CROQUIS!$C$126)/2)+MIN(INT(($A281-1)/5),MAX((MIN(80,MAX(1,INT(((CROQUIS!$C$98)-CROQUIS!$C$107)/MAX(CROQUIS!$C$126,1))+1)))-1,0))*CROQUIS!$C$126)))*CROQUIS!$C$155)+IF(CROQUIS!$C$92="X",0,0)),-1000)</f>
        <v>-1000</v>
      </c>
      <c r="BI281">
        <f>IF(AND(CROQUIS!$C$88=1,CROQUIS!$C$126&gt;0),((CROQUIS!$C$157+(IF(CROQUIS!$C$92="X",((CROQUIS!$C$107/2+(((CROQUIS!$C$98)-CROQUIS!$C$107)-(MIN(80,MAX(1,INT(((CROQUIS!$C$98)-CROQUIS!$C$107)/MAX(CROQUIS!$C$126,1))+1))-1)*CROQUIS!$C$126)/2)+MIN(INT(($A281-1)/5),MAX((MIN(80,MAX(1,INT(((CROQUIS!$C$98)-CROQUIS!$C$107)/MAX(CROQUIS!$C$126,1))+1)))-1,0))*CROQUIS!$C$126),CHOOSE(IF(INT(($A281-1)/5)&gt;MAX((MIN(80,MAX(1,INT(((CROQUIS!$C$98)-CROQUIS!$C$107)/MAX(CROQUIS!$C$126,1))+1)))-1,0),0,MOD($A281-1,5))+1,0,2,CROQUIS!$C$97-2,2,0)))*CROQUIS!$C$155)+IF(CROQUIS!$C$92="X",0,0)),-1000)</f>
        <v>-1000</v>
      </c>
      <c r="BJ281">
        <f>IF(AND(CROQUIS!$C$88=1,CROQUIS!$C$134&gt;0),((CROQUIS!$C$156+(IF(CROQUIS!$C$92="X",((CROQUIS!$C$107/2+(((CROQUIS!$C$97)-CROQUIS!$C$107)-(MIN(80,MAX(1,INT(((CROQUIS!$C$97)-CROQUIS!$C$107)/MAX(CROQUIS!$C$134,1))+1))-1)*CROQUIS!$C$134)/2)+MIN(INT(($A281-1)/5),MAX((MIN(80,MAX(1,INT(((CROQUIS!$C$97)-CROQUIS!$C$107)/MAX(CROQUIS!$C$134,1))+1)))-1,0))*CROQUIS!$C$134),CHOOSE(IF(INT(($A281-1)/5)&gt;MAX((MIN(80,MAX(1,INT(((CROQUIS!$C$97)-CROQUIS!$C$107)/MAX(CROQUIS!$C$134,1))+1)))-1,0),0,MOD($A281-1,5))+1,0,2,CROQUIS!$C$98-2,2,0)))*CROQUIS!$C$155)+IF(CROQUIS!$C$92="X",0,0)),-1000)</f>
        <v>-1000</v>
      </c>
      <c r="BK281">
        <f>IF(AND(CROQUIS!$C$88=1,CROQUIS!$C$134&gt;0),((CROQUIS!$C$157+(IF(CROQUIS!$C$92="X",CHOOSE(IF(INT(($A281-1)/5)&gt;MAX((MIN(80,MAX(1,INT(((CROQUIS!$C$97)-CROQUIS!$C$107)/MAX(CROQUIS!$C$134,1))+1)))-1,0),0,MOD($A281-1,5))+1,0,2,CROQUIS!$C$98-2,2,0),((CROQUIS!$C$107/2+(((CROQUIS!$C$97)-CROQUIS!$C$107)-(MIN(80,MAX(1,INT(((CROQUIS!$C$97)-CROQUIS!$C$107)/MAX(CROQUIS!$C$134,1))+1))-1)*CROQUIS!$C$134)/2)+MIN(INT(($A281-1)/5),MAX((MIN(80,MAX(1,INT(((CROQUIS!$C$97)-CROQUIS!$C$107)/MAX(CROQUIS!$C$134,1))+1)))-1,0))*CROQUIS!$C$134)))*CROQUIS!$C$155)+IF(CROQUIS!$C$92="X",0,0)),-1000)</f>
        <v>-1000</v>
      </c>
      <c r="BL281">
        <f>IF(AND(CROQUIS!$C$88=1,CROQUIS!$C$91=0,CROQUIS!$C$130&gt;0,OR(CROQUIS!$C$103=1,CROQUIS!$C$142=1)),((CROQUIS!$C$156+(IF(CROQUIS!$C$92="X",CHOOSE(IF(INT(($A281-1)/5)&gt;MAX((MIN(80,MAX(1,INT(((CROQUIS!$C$98)-CROQUIS!$C$107)/MAX(CROQUIS!$C$130,1))+1)))-1,0),0,MOD($A281-1,5))+1,0,IF(CROQUIS!$C$103=1,-12,2),CROQUIS!$C$107/2+CROQUIS!$C$140,IF(CROQUIS!$C$103=1,-12,2),0),((CROQUIS!$C$107/2+(((CROQUIS!$C$98)-CROQUIS!$C$107)-(MIN(80,MAX(1,INT(((CROQUIS!$C$98)-CROQUIS!$C$107)/MAX(CROQUIS!$C$130,1))+1))-1)*CROQUIS!$C$130)/2)+MIN(INT(($A281-1)/5),MAX((MIN(80,MAX(1,INT(((CROQUIS!$C$98)-CROQUIS!$C$107)/MAX(CROQUIS!$C$130,1))+1)))-1,0))*CROQUIS!$C$130)))*CROQUIS!$C$155)+IF(CROQUIS!$C$92="X",0,0)),-1000)</f>
        <v>-1000</v>
      </c>
      <c r="BM28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281-1)/5),MAX((MIN(80,MAX(1,INT(((CROQUIS!$C$98)-CROQUIS!$C$107)/MAX(CROQUIS!$C$130,1))+1)))-1,0))*CROQUIS!$C$130),CHOOSE(IF(INT(($A281-1)/5)&gt;MAX((MIN(80,MAX(1,INT(((CROQUIS!$C$98)-CROQUIS!$C$107)/MAX(CROQUIS!$C$130,1))+1)))-1,0),0,MOD($A281-1,5))+1,0,IF(CROQUIS!$C$103=1,-12,2),CROQUIS!$C$107/2+CROQUIS!$C$140,IF(CROQUIS!$C$103=1,-12,2),0)))*CROQUIS!$C$155)+IF(CROQUIS!$C$92="X",0,0)),-1000)</f>
        <v>-1000</v>
      </c>
      <c r="BN281">
        <f>IF(AND(CROQUIS!$C$88=1,CROQUIS!$C$91=0,CROQUIS!$C$130&gt;0,OR(CROQUIS!$C$104=1,CROQUIS!$C$142=1)),((CROQUIS!$C$156+(IF(CROQUIS!$C$92="X",CHOOSE(IF(INT(($A281-1)/5)&gt;MAX((MIN(80,MAX(1,INT(((CROQUIS!$C$98)-CROQUIS!$C$107)/MAX(CROQUIS!$C$130,1))+1)))-1,0),0,MOD($A281-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281-1)/5),MAX((MIN(80,MAX(1,INT(((CROQUIS!$C$98)-CROQUIS!$C$107)/MAX(CROQUIS!$C$130,1))+1)))-1,0))*CROQUIS!$C$130)))*CROQUIS!$C$155)+IF(CROQUIS!$C$92="X",0,0)),-1000)</f>
        <v>-1000</v>
      </c>
      <c r="BO28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281-1)/5),MAX((MIN(80,MAX(1,INT(((CROQUIS!$C$98)-CROQUIS!$C$107)/MAX(CROQUIS!$C$130,1))+1)))-1,0))*CROQUIS!$C$130),CHOOSE(IF(INT(($A281-1)/5)&gt;MAX((MIN(80,MAX(1,INT(((CROQUIS!$C$98)-CROQUIS!$C$107)/MAX(CROQUIS!$C$130,1))+1)))-1,0),0,MOD($A281-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8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281-1)/5),MAX((MIN(80,MAX(1,INT(((CROQUIS!$C$97)-CROQUIS!$C$107)/MAX(CROQUIS!$C$138,1))+1)))-1,0))*CROQUIS!$C$138),CHOOSE(IF(INT(($A281-1)/5)&gt;MAX((MIN(80,MAX(1,INT(((CROQUIS!$C$97)-CROQUIS!$C$107)/MAX(CROQUIS!$C$138,1))+1)))-1,0),0,MOD($A281-1,5))+1,0,IF(CROQUIS!$C$105=1,-12,2),CROQUIS!$C$107/2+CROQUIS!$C$141,IF(CROQUIS!$C$105=1,-12,2),0)))*CROQUIS!$C$155)+IF(CROQUIS!$C$92="X",0,0)),-1000)</f>
        <v>-1000</v>
      </c>
      <c r="BQ281">
        <f>IF(AND(CROQUIS!$C$88=1,CROQUIS!$C$91=0,CROQUIS!$C$138&gt;0,OR(CROQUIS!$C$105=1,CROQUIS!$C$143=1)),((CROQUIS!$C$157+(IF(CROQUIS!$C$92="X",CHOOSE(IF(INT(($A281-1)/5)&gt;MAX((MIN(80,MAX(1,INT(((CROQUIS!$C$97)-CROQUIS!$C$107)/MAX(CROQUIS!$C$138,1))+1)))-1,0),0,MOD($A281-1,5))+1,0,IF(CROQUIS!$C$105=1,-12,2),CROQUIS!$C$107/2+CROQUIS!$C$141,IF(CROQUIS!$C$105=1,-12,2),0),((CROQUIS!$C$107/2+(((CROQUIS!$C$97)-CROQUIS!$C$107)-(MIN(80,MAX(1,INT(((CROQUIS!$C$97)-CROQUIS!$C$107)/MAX(CROQUIS!$C$138,1))+1))-1)*CROQUIS!$C$138)/2)+MIN(INT(($A281-1)/5),MAX((MIN(80,MAX(1,INT(((CROQUIS!$C$97)-CROQUIS!$C$107)/MAX(CROQUIS!$C$138,1))+1)))-1,0))*CROQUIS!$C$138)))*CROQUIS!$C$155)+IF(CROQUIS!$C$92="X",0,0)),-1000)</f>
        <v>-1000</v>
      </c>
      <c r="BR28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281-1)/5),MAX((MIN(80,MAX(1,INT(((CROQUIS!$C$97)-CROQUIS!$C$107)/MAX(CROQUIS!$C$138,1))+1)))-1,0))*CROQUIS!$C$138),CHOOSE(IF(INT(($A281-1)/5)&gt;MAX((MIN(80,MAX(1,INT(((CROQUIS!$C$97)-CROQUIS!$C$107)/MAX(CROQUIS!$C$138,1))+1)))-1,0),0,MOD($A281-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81">
        <f>IF(AND(CROQUIS!$C$88=1,CROQUIS!$C$91=0,CROQUIS!$C$138&gt;0,OR(CROQUIS!$C$106=1,CROQUIS!$C$143=1)),((CROQUIS!$C$157+(IF(CROQUIS!$C$92="X",CHOOSE(IF(INT(($A281-1)/5)&gt;MAX((MIN(80,MAX(1,INT(((CROQUIS!$C$97)-CROQUIS!$C$107)/MAX(CROQUIS!$C$138,1))+1)))-1,0),0,MOD($A281-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281-1)/5),MAX((MIN(80,MAX(1,INT(((CROQUIS!$C$97)-CROQUIS!$C$107)/MAX(CROQUIS!$C$138,1))+1)))-1,0))*CROQUIS!$C$138)))*CROQUIS!$C$155)+IF(CROQUIS!$C$92="X",0,0)),-1000)</f>
        <v>-1000</v>
      </c>
      <c r="BT281">
        <f>IF(AND(CROQUIS!$C$88=1,CROQUIS!$C$91=1,CROQUIS!$C$130&gt;0),((CROQUIS!$C$156+(IF(CROQUIS!$C$92="X",CHOOSE(IF(INT(($A281-1)/5)&gt;MAX((MIN(80,MAX(1,INT(((CROQUIS!$C$98)-CROQUIS!$C$107)/MAX(CROQUIS!$C$130,1))+1)))-1,0),0,MOD($A281-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281-1)/5),MAX((MIN(80,MAX(1,INT(((CROQUIS!$C$98)-CROQUIS!$C$107)/MAX(CROQUIS!$C$130,1))+1)))-1,0))*CROQUIS!$C$130)))*CROQUIS!$C$155)+IF(CROQUIS!$C$92="X",0,0)),-1000)</f>
        <v>-1000</v>
      </c>
      <c r="BU281">
        <f>IF(AND(CROQUIS!$C$88=1,CROQUIS!$C$91=1,CROQUIS!$C$130&gt;0),((CROQUIS!$C$157+(IF(CROQUIS!$C$92="X",((CROQUIS!$C$107/2+(((CROQUIS!$C$98)-CROQUIS!$C$107)-(MIN(80,MAX(1,INT(((CROQUIS!$C$98)-CROQUIS!$C$107)/MAX(CROQUIS!$C$130,1))+1))-1)*CROQUIS!$C$130)/2)+MIN(INT(($A281-1)/5),MAX((MIN(80,MAX(1,INT(((CROQUIS!$C$98)-CROQUIS!$C$107)/MAX(CROQUIS!$C$130,1))+1)))-1,0))*CROQUIS!$C$130),CHOOSE(IF(INT(($A281-1)/5)&gt;MAX((MIN(80,MAX(1,INT(((CROQUIS!$C$98)-CROQUIS!$C$107)/MAX(CROQUIS!$C$130,1))+1)))-1,0),0,MOD($A281-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82">
      <c r="A282" t="n">
        <v>275</v>
      </c>
      <c r="BH282">
        <f>IF(AND(CROQUIS!$C$88=1,CROQUIS!$C$126&gt;0),((CROQUIS!$C$156+(IF(CROQUIS!$C$92="X",CHOOSE(IF(INT(($A282-1)/5)&gt;MAX((MIN(80,MAX(1,INT(((CROQUIS!$C$98)-CROQUIS!$C$107)/MAX(CROQUIS!$C$126,1))+1)))-1,0),0,MOD($A282-1,5))+1,0,2,CROQUIS!$C$97-2,2,0),((CROQUIS!$C$107/2+(((CROQUIS!$C$98)-CROQUIS!$C$107)-(MIN(80,MAX(1,INT(((CROQUIS!$C$98)-CROQUIS!$C$107)/MAX(CROQUIS!$C$126,1))+1))-1)*CROQUIS!$C$126)/2)+MIN(INT(($A282-1)/5),MAX((MIN(80,MAX(1,INT(((CROQUIS!$C$98)-CROQUIS!$C$107)/MAX(CROQUIS!$C$126,1))+1)))-1,0))*CROQUIS!$C$126)))*CROQUIS!$C$155)+IF(CROQUIS!$C$92="X",0,0)),-1000)</f>
        <v>-1000</v>
      </c>
      <c r="BI282">
        <f>IF(AND(CROQUIS!$C$88=1,CROQUIS!$C$126&gt;0),((CROQUIS!$C$157+(IF(CROQUIS!$C$92="X",((CROQUIS!$C$107/2+(((CROQUIS!$C$98)-CROQUIS!$C$107)-(MIN(80,MAX(1,INT(((CROQUIS!$C$98)-CROQUIS!$C$107)/MAX(CROQUIS!$C$126,1))+1))-1)*CROQUIS!$C$126)/2)+MIN(INT(($A282-1)/5),MAX((MIN(80,MAX(1,INT(((CROQUIS!$C$98)-CROQUIS!$C$107)/MAX(CROQUIS!$C$126,1))+1)))-1,0))*CROQUIS!$C$126),CHOOSE(IF(INT(($A282-1)/5)&gt;MAX((MIN(80,MAX(1,INT(((CROQUIS!$C$98)-CROQUIS!$C$107)/MAX(CROQUIS!$C$126,1))+1)))-1,0),0,MOD($A282-1,5))+1,0,2,CROQUIS!$C$97-2,2,0)))*CROQUIS!$C$155)+IF(CROQUIS!$C$92="X",0,0)),-1000)</f>
        <v>-1000</v>
      </c>
      <c r="BJ282">
        <f>IF(AND(CROQUIS!$C$88=1,CROQUIS!$C$134&gt;0),((CROQUIS!$C$156+(IF(CROQUIS!$C$92="X",((CROQUIS!$C$107/2+(((CROQUIS!$C$97)-CROQUIS!$C$107)-(MIN(80,MAX(1,INT(((CROQUIS!$C$97)-CROQUIS!$C$107)/MAX(CROQUIS!$C$134,1))+1))-1)*CROQUIS!$C$134)/2)+MIN(INT(($A282-1)/5),MAX((MIN(80,MAX(1,INT(((CROQUIS!$C$97)-CROQUIS!$C$107)/MAX(CROQUIS!$C$134,1))+1)))-1,0))*CROQUIS!$C$134),CHOOSE(IF(INT(($A282-1)/5)&gt;MAX((MIN(80,MAX(1,INT(((CROQUIS!$C$97)-CROQUIS!$C$107)/MAX(CROQUIS!$C$134,1))+1)))-1,0),0,MOD($A282-1,5))+1,0,2,CROQUIS!$C$98-2,2,0)))*CROQUIS!$C$155)+IF(CROQUIS!$C$92="X",0,0)),-1000)</f>
        <v>-1000</v>
      </c>
      <c r="BK282">
        <f>IF(AND(CROQUIS!$C$88=1,CROQUIS!$C$134&gt;0),((CROQUIS!$C$157+(IF(CROQUIS!$C$92="X",CHOOSE(IF(INT(($A282-1)/5)&gt;MAX((MIN(80,MAX(1,INT(((CROQUIS!$C$97)-CROQUIS!$C$107)/MAX(CROQUIS!$C$134,1))+1)))-1,0),0,MOD($A282-1,5))+1,0,2,CROQUIS!$C$98-2,2,0),((CROQUIS!$C$107/2+(((CROQUIS!$C$97)-CROQUIS!$C$107)-(MIN(80,MAX(1,INT(((CROQUIS!$C$97)-CROQUIS!$C$107)/MAX(CROQUIS!$C$134,1))+1))-1)*CROQUIS!$C$134)/2)+MIN(INT(($A282-1)/5),MAX((MIN(80,MAX(1,INT(((CROQUIS!$C$97)-CROQUIS!$C$107)/MAX(CROQUIS!$C$134,1))+1)))-1,0))*CROQUIS!$C$134)))*CROQUIS!$C$155)+IF(CROQUIS!$C$92="X",0,0)),-1000)</f>
        <v>-1000</v>
      </c>
      <c r="BL282">
        <f>IF(AND(CROQUIS!$C$88=1,CROQUIS!$C$91=0,CROQUIS!$C$130&gt;0,OR(CROQUIS!$C$103=1,CROQUIS!$C$142=1)),((CROQUIS!$C$156+(IF(CROQUIS!$C$92="X",CHOOSE(IF(INT(($A282-1)/5)&gt;MAX((MIN(80,MAX(1,INT(((CROQUIS!$C$98)-CROQUIS!$C$107)/MAX(CROQUIS!$C$130,1))+1)))-1,0),0,MOD($A282-1,5))+1,0,IF(CROQUIS!$C$103=1,-12,2),CROQUIS!$C$107/2+CROQUIS!$C$140,IF(CROQUIS!$C$103=1,-12,2),0),((CROQUIS!$C$107/2+(((CROQUIS!$C$98)-CROQUIS!$C$107)-(MIN(80,MAX(1,INT(((CROQUIS!$C$98)-CROQUIS!$C$107)/MAX(CROQUIS!$C$130,1))+1))-1)*CROQUIS!$C$130)/2)+MIN(INT(($A282-1)/5),MAX((MIN(80,MAX(1,INT(((CROQUIS!$C$98)-CROQUIS!$C$107)/MAX(CROQUIS!$C$130,1))+1)))-1,0))*CROQUIS!$C$130)))*CROQUIS!$C$155)+IF(CROQUIS!$C$92="X",0,0)),-1000)</f>
        <v>-1000</v>
      </c>
      <c r="BM28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282-1)/5),MAX((MIN(80,MAX(1,INT(((CROQUIS!$C$98)-CROQUIS!$C$107)/MAX(CROQUIS!$C$130,1))+1)))-1,0))*CROQUIS!$C$130),CHOOSE(IF(INT(($A282-1)/5)&gt;MAX((MIN(80,MAX(1,INT(((CROQUIS!$C$98)-CROQUIS!$C$107)/MAX(CROQUIS!$C$130,1))+1)))-1,0),0,MOD($A282-1,5))+1,0,IF(CROQUIS!$C$103=1,-12,2),CROQUIS!$C$107/2+CROQUIS!$C$140,IF(CROQUIS!$C$103=1,-12,2),0)))*CROQUIS!$C$155)+IF(CROQUIS!$C$92="X",0,0)),-1000)</f>
        <v>-1000</v>
      </c>
      <c r="BN282">
        <f>IF(AND(CROQUIS!$C$88=1,CROQUIS!$C$91=0,CROQUIS!$C$130&gt;0,OR(CROQUIS!$C$104=1,CROQUIS!$C$142=1)),((CROQUIS!$C$156+(IF(CROQUIS!$C$92="X",CHOOSE(IF(INT(($A282-1)/5)&gt;MAX((MIN(80,MAX(1,INT(((CROQUIS!$C$98)-CROQUIS!$C$107)/MAX(CROQUIS!$C$130,1))+1)))-1,0),0,MOD($A282-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282-1)/5),MAX((MIN(80,MAX(1,INT(((CROQUIS!$C$98)-CROQUIS!$C$107)/MAX(CROQUIS!$C$130,1))+1)))-1,0))*CROQUIS!$C$130)))*CROQUIS!$C$155)+IF(CROQUIS!$C$92="X",0,0)),-1000)</f>
        <v>-1000</v>
      </c>
      <c r="BO28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282-1)/5),MAX((MIN(80,MAX(1,INT(((CROQUIS!$C$98)-CROQUIS!$C$107)/MAX(CROQUIS!$C$130,1))+1)))-1,0))*CROQUIS!$C$130),CHOOSE(IF(INT(($A282-1)/5)&gt;MAX((MIN(80,MAX(1,INT(((CROQUIS!$C$98)-CROQUIS!$C$107)/MAX(CROQUIS!$C$130,1))+1)))-1,0),0,MOD($A282-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8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282-1)/5),MAX((MIN(80,MAX(1,INT(((CROQUIS!$C$97)-CROQUIS!$C$107)/MAX(CROQUIS!$C$138,1))+1)))-1,0))*CROQUIS!$C$138),CHOOSE(IF(INT(($A282-1)/5)&gt;MAX((MIN(80,MAX(1,INT(((CROQUIS!$C$97)-CROQUIS!$C$107)/MAX(CROQUIS!$C$138,1))+1)))-1,0),0,MOD($A282-1,5))+1,0,IF(CROQUIS!$C$105=1,-12,2),CROQUIS!$C$107/2+CROQUIS!$C$141,IF(CROQUIS!$C$105=1,-12,2),0)))*CROQUIS!$C$155)+IF(CROQUIS!$C$92="X",0,0)),-1000)</f>
        <v>-1000</v>
      </c>
      <c r="BQ282">
        <f>IF(AND(CROQUIS!$C$88=1,CROQUIS!$C$91=0,CROQUIS!$C$138&gt;0,OR(CROQUIS!$C$105=1,CROQUIS!$C$143=1)),((CROQUIS!$C$157+(IF(CROQUIS!$C$92="X",CHOOSE(IF(INT(($A282-1)/5)&gt;MAX((MIN(80,MAX(1,INT(((CROQUIS!$C$97)-CROQUIS!$C$107)/MAX(CROQUIS!$C$138,1))+1)))-1,0),0,MOD($A282-1,5))+1,0,IF(CROQUIS!$C$105=1,-12,2),CROQUIS!$C$107/2+CROQUIS!$C$141,IF(CROQUIS!$C$105=1,-12,2),0),((CROQUIS!$C$107/2+(((CROQUIS!$C$97)-CROQUIS!$C$107)-(MIN(80,MAX(1,INT(((CROQUIS!$C$97)-CROQUIS!$C$107)/MAX(CROQUIS!$C$138,1))+1))-1)*CROQUIS!$C$138)/2)+MIN(INT(($A282-1)/5),MAX((MIN(80,MAX(1,INT(((CROQUIS!$C$97)-CROQUIS!$C$107)/MAX(CROQUIS!$C$138,1))+1)))-1,0))*CROQUIS!$C$138)))*CROQUIS!$C$155)+IF(CROQUIS!$C$92="X",0,0)),-1000)</f>
        <v>-1000</v>
      </c>
      <c r="BR28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282-1)/5),MAX((MIN(80,MAX(1,INT(((CROQUIS!$C$97)-CROQUIS!$C$107)/MAX(CROQUIS!$C$138,1))+1)))-1,0))*CROQUIS!$C$138),CHOOSE(IF(INT(($A282-1)/5)&gt;MAX((MIN(80,MAX(1,INT(((CROQUIS!$C$97)-CROQUIS!$C$107)/MAX(CROQUIS!$C$138,1))+1)))-1,0),0,MOD($A282-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82">
        <f>IF(AND(CROQUIS!$C$88=1,CROQUIS!$C$91=0,CROQUIS!$C$138&gt;0,OR(CROQUIS!$C$106=1,CROQUIS!$C$143=1)),((CROQUIS!$C$157+(IF(CROQUIS!$C$92="X",CHOOSE(IF(INT(($A282-1)/5)&gt;MAX((MIN(80,MAX(1,INT(((CROQUIS!$C$97)-CROQUIS!$C$107)/MAX(CROQUIS!$C$138,1))+1)))-1,0),0,MOD($A282-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282-1)/5),MAX((MIN(80,MAX(1,INT(((CROQUIS!$C$97)-CROQUIS!$C$107)/MAX(CROQUIS!$C$138,1))+1)))-1,0))*CROQUIS!$C$138)))*CROQUIS!$C$155)+IF(CROQUIS!$C$92="X",0,0)),-1000)</f>
        <v>-1000</v>
      </c>
      <c r="BT282">
        <f>IF(AND(CROQUIS!$C$88=1,CROQUIS!$C$91=1,CROQUIS!$C$130&gt;0),((CROQUIS!$C$156+(IF(CROQUIS!$C$92="X",CHOOSE(IF(INT(($A282-1)/5)&gt;MAX((MIN(80,MAX(1,INT(((CROQUIS!$C$98)-CROQUIS!$C$107)/MAX(CROQUIS!$C$130,1))+1)))-1,0),0,MOD($A282-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282-1)/5),MAX((MIN(80,MAX(1,INT(((CROQUIS!$C$98)-CROQUIS!$C$107)/MAX(CROQUIS!$C$130,1))+1)))-1,0))*CROQUIS!$C$130)))*CROQUIS!$C$155)+IF(CROQUIS!$C$92="X",0,0)),-1000)</f>
        <v>-1000</v>
      </c>
      <c r="BU282">
        <f>IF(AND(CROQUIS!$C$88=1,CROQUIS!$C$91=1,CROQUIS!$C$130&gt;0),((CROQUIS!$C$157+(IF(CROQUIS!$C$92="X",((CROQUIS!$C$107/2+(((CROQUIS!$C$98)-CROQUIS!$C$107)-(MIN(80,MAX(1,INT(((CROQUIS!$C$98)-CROQUIS!$C$107)/MAX(CROQUIS!$C$130,1))+1))-1)*CROQUIS!$C$130)/2)+MIN(INT(($A282-1)/5),MAX((MIN(80,MAX(1,INT(((CROQUIS!$C$98)-CROQUIS!$C$107)/MAX(CROQUIS!$C$130,1))+1)))-1,0))*CROQUIS!$C$130),CHOOSE(IF(INT(($A282-1)/5)&gt;MAX((MIN(80,MAX(1,INT(((CROQUIS!$C$98)-CROQUIS!$C$107)/MAX(CROQUIS!$C$130,1))+1)))-1,0),0,MOD($A282-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83">
      <c r="A283" t="n">
        <v>276</v>
      </c>
      <c r="BH283">
        <f>IF(AND(CROQUIS!$C$88=1,CROQUIS!$C$126&gt;0),((CROQUIS!$C$156+(IF(CROQUIS!$C$92="X",CHOOSE(IF(INT(($A283-1)/5)&gt;MAX((MIN(80,MAX(1,INT(((CROQUIS!$C$98)-CROQUIS!$C$107)/MAX(CROQUIS!$C$126,1))+1)))-1,0),0,MOD($A283-1,5))+1,0,2,CROQUIS!$C$97-2,2,0),((CROQUIS!$C$107/2+(((CROQUIS!$C$98)-CROQUIS!$C$107)-(MIN(80,MAX(1,INT(((CROQUIS!$C$98)-CROQUIS!$C$107)/MAX(CROQUIS!$C$126,1))+1))-1)*CROQUIS!$C$126)/2)+MIN(INT(($A283-1)/5),MAX((MIN(80,MAX(1,INT(((CROQUIS!$C$98)-CROQUIS!$C$107)/MAX(CROQUIS!$C$126,1))+1)))-1,0))*CROQUIS!$C$126)))*CROQUIS!$C$155)+IF(CROQUIS!$C$92="X",0,0)),-1000)</f>
        <v>-1000</v>
      </c>
      <c r="BI283">
        <f>IF(AND(CROQUIS!$C$88=1,CROQUIS!$C$126&gt;0),((CROQUIS!$C$157+(IF(CROQUIS!$C$92="X",((CROQUIS!$C$107/2+(((CROQUIS!$C$98)-CROQUIS!$C$107)-(MIN(80,MAX(1,INT(((CROQUIS!$C$98)-CROQUIS!$C$107)/MAX(CROQUIS!$C$126,1))+1))-1)*CROQUIS!$C$126)/2)+MIN(INT(($A283-1)/5),MAX((MIN(80,MAX(1,INT(((CROQUIS!$C$98)-CROQUIS!$C$107)/MAX(CROQUIS!$C$126,1))+1)))-1,0))*CROQUIS!$C$126),CHOOSE(IF(INT(($A283-1)/5)&gt;MAX((MIN(80,MAX(1,INT(((CROQUIS!$C$98)-CROQUIS!$C$107)/MAX(CROQUIS!$C$126,1))+1)))-1,0),0,MOD($A283-1,5))+1,0,2,CROQUIS!$C$97-2,2,0)))*CROQUIS!$C$155)+IF(CROQUIS!$C$92="X",0,0)),-1000)</f>
        <v>-1000</v>
      </c>
      <c r="BJ283">
        <f>IF(AND(CROQUIS!$C$88=1,CROQUIS!$C$134&gt;0),((CROQUIS!$C$156+(IF(CROQUIS!$C$92="X",((CROQUIS!$C$107/2+(((CROQUIS!$C$97)-CROQUIS!$C$107)-(MIN(80,MAX(1,INT(((CROQUIS!$C$97)-CROQUIS!$C$107)/MAX(CROQUIS!$C$134,1))+1))-1)*CROQUIS!$C$134)/2)+MIN(INT(($A283-1)/5),MAX((MIN(80,MAX(1,INT(((CROQUIS!$C$97)-CROQUIS!$C$107)/MAX(CROQUIS!$C$134,1))+1)))-1,0))*CROQUIS!$C$134),CHOOSE(IF(INT(($A283-1)/5)&gt;MAX((MIN(80,MAX(1,INT(((CROQUIS!$C$97)-CROQUIS!$C$107)/MAX(CROQUIS!$C$134,1))+1)))-1,0),0,MOD($A283-1,5))+1,0,2,CROQUIS!$C$98-2,2,0)))*CROQUIS!$C$155)+IF(CROQUIS!$C$92="X",0,0)),-1000)</f>
        <v>-1000</v>
      </c>
      <c r="BK283">
        <f>IF(AND(CROQUIS!$C$88=1,CROQUIS!$C$134&gt;0),((CROQUIS!$C$157+(IF(CROQUIS!$C$92="X",CHOOSE(IF(INT(($A283-1)/5)&gt;MAX((MIN(80,MAX(1,INT(((CROQUIS!$C$97)-CROQUIS!$C$107)/MAX(CROQUIS!$C$134,1))+1)))-1,0),0,MOD($A283-1,5))+1,0,2,CROQUIS!$C$98-2,2,0),((CROQUIS!$C$107/2+(((CROQUIS!$C$97)-CROQUIS!$C$107)-(MIN(80,MAX(1,INT(((CROQUIS!$C$97)-CROQUIS!$C$107)/MAX(CROQUIS!$C$134,1))+1))-1)*CROQUIS!$C$134)/2)+MIN(INT(($A283-1)/5),MAX((MIN(80,MAX(1,INT(((CROQUIS!$C$97)-CROQUIS!$C$107)/MAX(CROQUIS!$C$134,1))+1)))-1,0))*CROQUIS!$C$134)))*CROQUIS!$C$155)+IF(CROQUIS!$C$92="X",0,0)),-1000)</f>
        <v>-1000</v>
      </c>
      <c r="BL283">
        <f>IF(AND(CROQUIS!$C$88=1,CROQUIS!$C$91=0,CROQUIS!$C$130&gt;0,OR(CROQUIS!$C$103=1,CROQUIS!$C$142=1)),((CROQUIS!$C$156+(IF(CROQUIS!$C$92="X",CHOOSE(IF(INT(($A283-1)/5)&gt;MAX((MIN(80,MAX(1,INT(((CROQUIS!$C$98)-CROQUIS!$C$107)/MAX(CROQUIS!$C$130,1))+1)))-1,0),0,MOD($A283-1,5))+1,0,IF(CROQUIS!$C$103=1,-12,2),CROQUIS!$C$107/2+CROQUIS!$C$140,IF(CROQUIS!$C$103=1,-12,2),0),((CROQUIS!$C$107/2+(((CROQUIS!$C$98)-CROQUIS!$C$107)-(MIN(80,MAX(1,INT(((CROQUIS!$C$98)-CROQUIS!$C$107)/MAX(CROQUIS!$C$130,1))+1))-1)*CROQUIS!$C$130)/2)+MIN(INT(($A283-1)/5),MAX((MIN(80,MAX(1,INT(((CROQUIS!$C$98)-CROQUIS!$C$107)/MAX(CROQUIS!$C$130,1))+1)))-1,0))*CROQUIS!$C$130)))*CROQUIS!$C$155)+IF(CROQUIS!$C$92="X",0,0)),-1000)</f>
        <v>-1000</v>
      </c>
      <c r="BM28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283-1)/5),MAX((MIN(80,MAX(1,INT(((CROQUIS!$C$98)-CROQUIS!$C$107)/MAX(CROQUIS!$C$130,1))+1)))-1,0))*CROQUIS!$C$130),CHOOSE(IF(INT(($A283-1)/5)&gt;MAX((MIN(80,MAX(1,INT(((CROQUIS!$C$98)-CROQUIS!$C$107)/MAX(CROQUIS!$C$130,1))+1)))-1,0),0,MOD($A283-1,5))+1,0,IF(CROQUIS!$C$103=1,-12,2),CROQUIS!$C$107/2+CROQUIS!$C$140,IF(CROQUIS!$C$103=1,-12,2),0)))*CROQUIS!$C$155)+IF(CROQUIS!$C$92="X",0,0)),-1000)</f>
        <v>-1000</v>
      </c>
      <c r="BN283">
        <f>IF(AND(CROQUIS!$C$88=1,CROQUIS!$C$91=0,CROQUIS!$C$130&gt;0,OR(CROQUIS!$C$104=1,CROQUIS!$C$142=1)),((CROQUIS!$C$156+(IF(CROQUIS!$C$92="X",CHOOSE(IF(INT(($A283-1)/5)&gt;MAX((MIN(80,MAX(1,INT(((CROQUIS!$C$98)-CROQUIS!$C$107)/MAX(CROQUIS!$C$130,1))+1)))-1,0),0,MOD($A283-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283-1)/5),MAX((MIN(80,MAX(1,INT(((CROQUIS!$C$98)-CROQUIS!$C$107)/MAX(CROQUIS!$C$130,1))+1)))-1,0))*CROQUIS!$C$130)))*CROQUIS!$C$155)+IF(CROQUIS!$C$92="X",0,0)),-1000)</f>
        <v>-1000</v>
      </c>
      <c r="BO28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283-1)/5),MAX((MIN(80,MAX(1,INT(((CROQUIS!$C$98)-CROQUIS!$C$107)/MAX(CROQUIS!$C$130,1))+1)))-1,0))*CROQUIS!$C$130),CHOOSE(IF(INT(($A283-1)/5)&gt;MAX((MIN(80,MAX(1,INT(((CROQUIS!$C$98)-CROQUIS!$C$107)/MAX(CROQUIS!$C$130,1))+1)))-1,0),0,MOD($A283-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8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283-1)/5),MAX((MIN(80,MAX(1,INT(((CROQUIS!$C$97)-CROQUIS!$C$107)/MAX(CROQUIS!$C$138,1))+1)))-1,0))*CROQUIS!$C$138),CHOOSE(IF(INT(($A283-1)/5)&gt;MAX((MIN(80,MAX(1,INT(((CROQUIS!$C$97)-CROQUIS!$C$107)/MAX(CROQUIS!$C$138,1))+1)))-1,0),0,MOD($A283-1,5))+1,0,IF(CROQUIS!$C$105=1,-12,2),CROQUIS!$C$107/2+CROQUIS!$C$141,IF(CROQUIS!$C$105=1,-12,2),0)))*CROQUIS!$C$155)+IF(CROQUIS!$C$92="X",0,0)),-1000)</f>
        <v>-1000</v>
      </c>
      <c r="BQ283">
        <f>IF(AND(CROQUIS!$C$88=1,CROQUIS!$C$91=0,CROQUIS!$C$138&gt;0,OR(CROQUIS!$C$105=1,CROQUIS!$C$143=1)),((CROQUIS!$C$157+(IF(CROQUIS!$C$92="X",CHOOSE(IF(INT(($A283-1)/5)&gt;MAX((MIN(80,MAX(1,INT(((CROQUIS!$C$97)-CROQUIS!$C$107)/MAX(CROQUIS!$C$138,1))+1)))-1,0),0,MOD($A283-1,5))+1,0,IF(CROQUIS!$C$105=1,-12,2),CROQUIS!$C$107/2+CROQUIS!$C$141,IF(CROQUIS!$C$105=1,-12,2),0),((CROQUIS!$C$107/2+(((CROQUIS!$C$97)-CROQUIS!$C$107)-(MIN(80,MAX(1,INT(((CROQUIS!$C$97)-CROQUIS!$C$107)/MAX(CROQUIS!$C$138,1))+1))-1)*CROQUIS!$C$138)/2)+MIN(INT(($A283-1)/5),MAX((MIN(80,MAX(1,INT(((CROQUIS!$C$97)-CROQUIS!$C$107)/MAX(CROQUIS!$C$138,1))+1)))-1,0))*CROQUIS!$C$138)))*CROQUIS!$C$155)+IF(CROQUIS!$C$92="X",0,0)),-1000)</f>
        <v>-1000</v>
      </c>
      <c r="BR28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283-1)/5),MAX((MIN(80,MAX(1,INT(((CROQUIS!$C$97)-CROQUIS!$C$107)/MAX(CROQUIS!$C$138,1))+1)))-1,0))*CROQUIS!$C$138),CHOOSE(IF(INT(($A283-1)/5)&gt;MAX((MIN(80,MAX(1,INT(((CROQUIS!$C$97)-CROQUIS!$C$107)/MAX(CROQUIS!$C$138,1))+1)))-1,0),0,MOD($A283-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83">
        <f>IF(AND(CROQUIS!$C$88=1,CROQUIS!$C$91=0,CROQUIS!$C$138&gt;0,OR(CROQUIS!$C$106=1,CROQUIS!$C$143=1)),((CROQUIS!$C$157+(IF(CROQUIS!$C$92="X",CHOOSE(IF(INT(($A283-1)/5)&gt;MAX((MIN(80,MAX(1,INT(((CROQUIS!$C$97)-CROQUIS!$C$107)/MAX(CROQUIS!$C$138,1))+1)))-1,0),0,MOD($A283-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283-1)/5),MAX((MIN(80,MAX(1,INT(((CROQUIS!$C$97)-CROQUIS!$C$107)/MAX(CROQUIS!$C$138,1))+1)))-1,0))*CROQUIS!$C$138)))*CROQUIS!$C$155)+IF(CROQUIS!$C$92="X",0,0)),-1000)</f>
        <v>-1000</v>
      </c>
      <c r="BT283">
        <f>IF(AND(CROQUIS!$C$88=1,CROQUIS!$C$91=1,CROQUIS!$C$130&gt;0),((CROQUIS!$C$156+(IF(CROQUIS!$C$92="X",CHOOSE(IF(INT(($A283-1)/5)&gt;MAX((MIN(80,MAX(1,INT(((CROQUIS!$C$98)-CROQUIS!$C$107)/MAX(CROQUIS!$C$130,1))+1)))-1,0),0,MOD($A283-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283-1)/5),MAX((MIN(80,MAX(1,INT(((CROQUIS!$C$98)-CROQUIS!$C$107)/MAX(CROQUIS!$C$130,1))+1)))-1,0))*CROQUIS!$C$130)))*CROQUIS!$C$155)+IF(CROQUIS!$C$92="X",0,0)),-1000)</f>
        <v>-1000</v>
      </c>
      <c r="BU283">
        <f>IF(AND(CROQUIS!$C$88=1,CROQUIS!$C$91=1,CROQUIS!$C$130&gt;0),((CROQUIS!$C$157+(IF(CROQUIS!$C$92="X",((CROQUIS!$C$107/2+(((CROQUIS!$C$98)-CROQUIS!$C$107)-(MIN(80,MAX(1,INT(((CROQUIS!$C$98)-CROQUIS!$C$107)/MAX(CROQUIS!$C$130,1))+1))-1)*CROQUIS!$C$130)/2)+MIN(INT(($A283-1)/5),MAX((MIN(80,MAX(1,INT(((CROQUIS!$C$98)-CROQUIS!$C$107)/MAX(CROQUIS!$C$130,1))+1)))-1,0))*CROQUIS!$C$130),CHOOSE(IF(INT(($A283-1)/5)&gt;MAX((MIN(80,MAX(1,INT(((CROQUIS!$C$98)-CROQUIS!$C$107)/MAX(CROQUIS!$C$130,1))+1)))-1,0),0,MOD($A283-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84">
      <c r="A284" t="n">
        <v>277</v>
      </c>
      <c r="BH284">
        <f>IF(AND(CROQUIS!$C$88=1,CROQUIS!$C$126&gt;0),((CROQUIS!$C$156+(IF(CROQUIS!$C$92="X",CHOOSE(IF(INT(($A284-1)/5)&gt;MAX((MIN(80,MAX(1,INT(((CROQUIS!$C$98)-CROQUIS!$C$107)/MAX(CROQUIS!$C$126,1))+1)))-1,0),0,MOD($A284-1,5))+1,0,2,CROQUIS!$C$97-2,2,0),((CROQUIS!$C$107/2+(((CROQUIS!$C$98)-CROQUIS!$C$107)-(MIN(80,MAX(1,INT(((CROQUIS!$C$98)-CROQUIS!$C$107)/MAX(CROQUIS!$C$126,1))+1))-1)*CROQUIS!$C$126)/2)+MIN(INT(($A284-1)/5),MAX((MIN(80,MAX(1,INT(((CROQUIS!$C$98)-CROQUIS!$C$107)/MAX(CROQUIS!$C$126,1))+1)))-1,0))*CROQUIS!$C$126)))*CROQUIS!$C$155)+IF(CROQUIS!$C$92="X",0,0)),-1000)</f>
        <v>-1000</v>
      </c>
      <c r="BI284">
        <f>IF(AND(CROQUIS!$C$88=1,CROQUIS!$C$126&gt;0),((CROQUIS!$C$157+(IF(CROQUIS!$C$92="X",((CROQUIS!$C$107/2+(((CROQUIS!$C$98)-CROQUIS!$C$107)-(MIN(80,MAX(1,INT(((CROQUIS!$C$98)-CROQUIS!$C$107)/MAX(CROQUIS!$C$126,1))+1))-1)*CROQUIS!$C$126)/2)+MIN(INT(($A284-1)/5),MAX((MIN(80,MAX(1,INT(((CROQUIS!$C$98)-CROQUIS!$C$107)/MAX(CROQUIS!$C$126,1))+1)))-1,0))*CROQUIS!$C$126),CHOOSE(IF(INT(($A284-1)/5)&gt;MAX((MIN(80,MAX(1,INT(((CROQUIS!$C$98)-CROQUIS!$C$107)/MAX(CROQUIS!$C$126,1))+1)))-1,0),0,MOD($A284-1,5))+1,0,2,CROQUIS!$C$97-2,2,0)))*CROQUIS!$C$155)+IF(CROQUIS!$C$92="X",0,0)),-1000)</f>
        <v>-1000</v>
      </c>
      <c r="BJ284">
        <f>IF(AND(CROQUIS!$C$88=1,CROQUIS!$C$134&gt;0),((CROQUIS!$C$156+(IF(CROQUIS!$C$92="X",((CROQUIS!$C$107/2+(((CROQUIS!$C$97)-CROQUIS!$C$107)-(MIN(80,MAX(1,INT(((CROQUIS!$C$97)-CROQUIS!$C$107)/MAX(CROQUIS!$C$134,1))+1))-1)*CROQUIS!$C$134)/2)+MIN(INT(($A284-1)/5),MAX((MIN(80,MAX(1,INT(((CROQUIS!$C$97)-CROQUIS!$C$107)/MAX(CROQUIS!$C$134,1))+1)))-1,0))*CROQUIS!$C$134),CHOOSE(IF(INT(($A284-1)/5)&gt;MAX((MIN(80,MAX(1,INT(((CROQUIS!$C$97)-CROQUIS!$C$107)/MAX(CROQUIS!$C$134,1))+1)))-1,0),0,MOD($A284-1,5))+1,0,2,CROQUIS!$C$98-2,2,0)))*CROQUIS!$C$155)+IF(CROQUIS!$C$92="X",0,0)),-1000)</f>
        <v>-1000</v>
      </c>
      <c r="BK284">
        <f>IF(AND(CROQUIS!$C$88=1,CROQUIS!$C$134&gt;0),((CROQUIS!$C$157+(IF(CROQUIS!$C$92="X",CHOOSE(IF(INT(($A284-1)/5)&gt;MAX((MIN(80,MAX(1,INT(((CROQUIS!$C$97)-CROQUIS!$C$107)/MAX(CROQUIS!$C$134,1))+1)))-1,0),0,MOD($A284-1,5))+1,0,2,CROQUIS!$C$98-2,2,0),((CROQUIS!$C$107/2+(((CROQUIS!$C$97)-CROQUIS!$C$107)-(MIN(80,MAX(1,INT(((CROQUIS!$C$97)-CROQUIS!$C$107)/MAX(CROQUIS!$C$134,1))+1))-1)*CROQUIS!$C$134)/2)+MIN(INT(($A284-1)/5),MAX((MIN(80,MAX(1,INT(((CROQUIS!$C$97)-CROQUIS!$C$107)/MAX(CROQUIS!$C$134,1))+1)))-1,0))*CROQUIS!$C$134)))*CROQUIS!$C$155)+IF(CROQUIS!$C$92="X",0,0)),-1000)</f>
        <v>-1000</v>
      </c>
      <c r="BL284">
        <f>IF(AND(CROQUIS!$C$88=1,CROQUIS!$C$91=0,CROQUIS!$C$130&gt;0,OR(CROQUIS!$C$103=1,CROQUIS!$C$142=1)),((CROQUIS!$C$156+(IF(CROQUIS!$C$92="X",CHOOSE(IF(INT(($A284-1)/5)&gt;MAX((MIN(80,MAX(1,INT(((CROQUIS!$C$98)-CROQUIS!$C$107)/MAX(CROQUIS!$C$130,1))+1)))-1,0),0,MOD($A284-1,5))+1,0,IF(CROQUIS!$C$103=1,-12,2),CROQUIS!$C$107/2+CROQUIS!$C$140,IF(CROQUIS!$C$103=1,-12,2),0),((CROQUIS!$C$107/2+(((CROQUIS!$C$98)-CROQUIS!$C$107)-(MIN(80,MAX(1,INT(((CROQUIS!$C$98)-CROQUIS!$C$107)/MAX(CROQUIS!$C$130,1))+1))-1)*CROQUIS!$C$130)/2)+MIN(INT(($A284-1)/5),MAX((MIN(80,MAX(1,INT(((CROQUIS!$C$98)-CROQUIS!$C$107)/MAX(CROQUIS!$C$130,1))+1)))-1,0))*CROQUIS!$C$130)))*CROQUIS!$C$155)+IF(CROQUIS!$C$92="X",0,0)),-1000)</f>
        <v>-1000</v>
      </c>
      <c r="BM28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284-1)/5),MAX((MIN(80,MAX(1,INT(((CROQUIS!$C$98)-CROQUIS!$C$107)/MAX(CROQUIS!$C$130,1))+1)))-1,0))*CROQUIS!$C$130),CHOOSE(IF(INT(($A284-1)/5)&gt;MAX((MIN(80,MAX(1,INT(((CROQUIS!$C$98)-CROQUIS!$C$107)/MAX(CROQUIS!$C$130,1))+1)))-1,0),0,MOD($A284-1,5))+1,0,IF(CROQUIS!$C$103=1,-12,2),CROQUIS!$C$107/2+CROQUIS!$C$140,IF(CROQUIS!$C$103=1,-12,2),0)))*CROQUIS!$C$155)+IF(CROQUIS!$C$92="X",0,0)),-1000)</f>
        <v>-1000</v>
      </c>
      <c r="BN284">
        <f>IF(AND(CROQUIS!$C$88=1,CROQUIS!$C$91=0,CROQUIS!$C$130&gt;0,OR(CROQUIS!$C$104=1,CROQUIS!$C$142=1)),((CROQUIS!$C$156+(IF(CROQUIS!$C$92="X",CHOOSE(IF(INT(($A284-1)/5)&gt;MAX((MIN(80,MAX(1,INT(((CROQUIS!$C$98)-CROQUIS!$C$107)/MAX(CROQUIS!$C$130,1))+1)))-1,0),0,MOD($A284-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284-1)/5),MAX((MIN(80,MAX(1,INT(((CROQUIS!$C$98)-CROQUIS!$C$107)/MAX(CROQUIS!$C$130,1))+1)))-1,0))*CROQUIS!$C$130)))*CROQUIS!$C$155)+IF(CROQUIS!$C$92="X",0,0)),-1000)</f>
        <v>-1000</v>
      </c>
      <c r="BO28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284-1)/5),MAX((MIN(80,MAX(1,INT(((CROQUIS!$C$98)-CROQUIS!$C$107)/MAX(CROQUIS!$C$130,1))+1)))-1,0))*CROQUIS!$C$130),CHOOSE(IF(INT(($A284-1)/5)&gt;MAX((MIN(80,MAX(1,INT(((CROQUIS!$C$98)-CROQUIS!$C$107)/MAX(CROQUIS!$C$130,1))+1)))-1,0),0,MOD($A284-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8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284-1)/5),MAX((MIN(80,MAX(1,INT(((CROQUIS!$C$97)-CROQUIS!$C$107)/MAX(CROQUIS!$C$138,1))+1)))-1,0))*CROQUIS!$C$138),CHOOSE(IF(INT(($A284-1)/5)&gt;MAX((MIN(80,MAX(1,INT(((CROQUIS!$C$97)-CROQUIS!$C$107)/MAX(CROQUIS!$C$138,1))+1)))-1,0),0,MOD($A284-1,5))+1,0,IF(CROQUIS!$C$105=1,-12,2),CROQUIS!$C$107/2+CROQUIS!$C$141,IF(CROQUIS!$C$105=1,-12,2),0)))*CROQUIS!$C$155)+IF(CROQUIS!$C$92="X",0,0)),-1000)</f>
        <v>-1000</v>
      </c>
      <c r="BQ284">
        <f>IF(AND(CROQUIS!$C$88=1,CROQUIS!$C$91=0,CROQUIS!$C$138&gt;0,OR(CROQUIS!$C$105=1,CROQUIS!$C$143=1)),((CROQUIS!$C$157+(IF(CROQUIS!$C$92="X",CHOOSE(IF(INT(($A284-1)/5)&gt;MAX((MIN(80,MAX(1,INT(((CROQUIS!$C$97)-CROQUIS!$C$107)/MAX(CROQUIS!$C$138,1))+1)))-1,0),0,MOD($A284-1,5))+1,0,IF(CROQUIS!$C$105=1,-12,2),CROQUIS!$C$107/2+CROQUIS!$C$141,IF(CROQUIS!$C$105=1,-12,2),0),((CROQUIS!$C$107/2+(((CROQUIS!$C$97)-CROQUIS!$C$107)-(MIN(80,MAX(1,INT(((CROQUIS!$C$97)-CROQUIS!$C$107)/MAX(CROQUIS!$C$138,1))+1))-1)*CROQUIS!$C$138)/2)+MIN(INT(($A284-1)/5),MAX((MIN(80,MAX(1,INT(((CROQUIS!$C$97)-CROQUIS!$C$107)/MAX(CROQUIS!$C$138,1))+1)))-1,0))*CROQUIS!$C$138)))*CROQUIS!$C$155)+IF(CROQUIS!$C$92="X",0,0)),-1000)</f>
        <v>-1000</v>
      </c>
      <c r="BR28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284-1)/5),MAX((MIN(80,MAX(1,INT(((CROQUIS!$C$97)-CROQUIS!$C$107)/MAX(CROQUIS!$C$138,1))+1)))-1,0))*CROQUIS!$C$138),CHOOSE(IF(INT(($A284-1)/5)&gt;MAX((MIN(80,MAX(1,INT(((CROQUIS!$C$97)-CROQUIS!$C$107)/MAX(CROQUIS!$C$138,1))+1)))-1,0),0,MOD($A284-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84">
        <f>IF(AND(CROQUIS!$C$88=1,CROQUIS!$C$91=0,CROQUIS!$C$138&gt;0,OR(CROQUIS!$C$106=1,CROQUIS!$C$143=1)),((CROQUIS!$C$157+(IF(CROQUIS!$C$92="X",CHOOSE(IF(INT(($A284-1)/5)&gt;MAX((MIN(80,MAX(1,INT(((CROQUIS!$C$97)-CROQUIS!$C$107)/MAX(CROQUIS!$C$138,1))+1)))-1,0),0,MOD($A284-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284-1)/5),MAX((MIN(80,MAX(1,INT(((CROQUIS!$C$97)-CROQUIS!$C$107)/MAX(CROQUIS!$C$138,1))+1)))-1,0))*CROQUIS!$C$138)))*CROQUIS!$C$155)+IF(CROQUIS!$C$92="X",0,0)),-1000)</f>
        <v>-1000</v>
      </c>
      <c r="BT284">
        <f>IF(AND(CROQUIS!$C$88=1,CROQUIS!$C$91=1,CROQUIS!$C$130&gt;0),((CROQUIS!$C$156+(IF(CROQUIS!$C$92="X",CHOOSE(IF(INT(($A284-1)/5)&gt;MAX((MIN(80,MAX(1,INT(((CROQUIS!$C$98)-CROQUIS!$C$107)/MAX(CROQUIS!$C$130,1))+1)))-1,0),0,MOD($A284-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284-1)/5),MAX((MIN(80,MAX(1,INT(((CROQUIS!$C$98)-CROQUIS!$C$107)/MAX(CROQUIS!$C$130,1))+1)))-1,0))*CROQUIS!$C$130)))*CROQUIS!$C$155)+IF(CROQUIS!$C$92="X",0,0)),-1000)</f>
        <v>-1000</v>
      </c>
      <c r="BU284">
        <f>IF(AND(CROQUIS!$C$88=1,CROQUIS!$C$91=1,CROQUIS!$C$130&gt;0),((CROQUIS!$C$157+(IF(CROQUIS!$C$92="X",((CROQUIS!$C$107/2+(((CROQUIS!$C$98)-CROQUIS!$C$107)-(MIN(80,MAX(1,INT(((CROQUIS!$C$98)-CROQUIS!$C$107)/MAX(CROQUIS!$C$130,1))+1))-1)*CROQUIS!$C$130)/2)+MIN(INT(($A284-1)/5),MAX((MIN(80,MAX(1,INT(((CROQUIS!$C$98)-CROQUIS!$C$107)/MAX(CROQUIS!$C$130,1))+1)))-1,0))*CROQUIS!$C$130),CHOOSE(IF(INT(($A284-1)/5)&gt;MAX((MIN(80,MAX(1,INT(((CROQUIS!$C$98)-CROQUIS!$C$107)/MAX(CROQUIS!$C$130,1))+1)))-1,0),0,MOD($A284-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85">
      <c r="A285" t="n">
        <v>278</v>
      </c>
      <c r="BH285">
        <f>IF(AND(CROQUIS!$C$88=1,CROQUIS!$C$126&gt;0),((CROQUIS!$C$156+(IF(CROQUIS!$C$92="X",CHOOSE(IF(INT(($A285-1)/5)&gt;MAX((MIN(80,MAX(1,INT(((CROQUIS!$C$98)-CROQUIS!$C$107)/MAX(CROQUIS!$C$126,1))+1)))-1,0),0,MOD($A285-1,5))+1,0,2,CROQUIS!$C$97-2,2,0),((CROQUIS!$C$107/2+(((CROQUIS!$C$98)-CROQUIS!$C$107)-(MIN(80,MAX(1,INT(((CROQUIS!$C$98)-CROQUIS!$C$107)/MAX(CROQUIS!$C$126,1))+1))-1)*CROQUIS!$C$126)/2)+MIN(INT(($A285-1)/5),MAX((MIN(80,MAX(1,INT(((CROQUIS!$C$98)-CROQUIS!$C$107)/MAX(CROQUIS!$C$126,1))+1)))-1,0))*CROQUIS!$C$126)))*CROQUIS!$C$155)+IF(CROQUIS!$C$92="X",0,0)),-1000)</f>
        <v>-1000</v>
      </c>
      <c r="BI285">
        <f>IF(AND(CROQUIS!$C$88=1,CROQUIS!$C$126&gt;0),((CROQUIS!$C$157+(IF(CROQUIS!$C$92="X",((CROQUIS!$C$107/2+(((CROQUIS!$C$98)-CROQUIS!$C$107)-(MIN(80,MAX(1,INT(((CROQUIS!$C$98)-CROQUIS!$C$107)/MAX(CROQUIS!$C$126,1))+1))-1)*CROQUIS!$C$126)/2)+MIN(INT(($A285-1)/5),MAX((MIN(80,MAX(1,INT(((CROQUIS!$C$98)-CROQUIS!$C$107)/MAX(CROQUIS!$C$126,1))+1)))-1,0))*CROQUIS!$C$126),CHOOSE(IF(INT(($A285-1)/5)&gt;MAX((MIN(80,MAX(1,INT(((CROQUIS!$C$98)-CROQUIS!$C$107)/MAX(CROQUIS!$C$126,1))+1)))-1,0),0,MOD($A285-1,5))+1,0,2,CROQUIS!$C$97-2,2,0)))*CROQUIS!$C$155)+IF(CROQUIS!$C$92="X",0,0)),-1000)</f>
        <v>-1000</v>
      </c>
      <c r="BJ285">
        <f>IF(AND(CROQUIS!$C$88=1,CROQUIS!$C$134&gt;0),((CROQUIS!$C$156+(IF(CROQUIS!$C$92="X",((CROQUIS!$C$107/2+(((CROQUIS!$C$97)-CROQUIS!$C$107)-(MIN(80,MAX(1,INT(((CROQUIS!$C$97)-CROQUIS!$C$107)/MAX(CROQUIS!$C$134,1))+1))-1)*CROQUIS!$C$134)/2)+MIN(INT(($A285-1)/5),MAX((MIN(80,MAX(1,INT(((CROQUIS!$C$97)-CROQUIS!$C$107)/MAX(CROQUIS!$C$134,1))+1)))-1,0))*CROQUIS!$C$134),CHOOSE(IF(INT(($A285-1)/5)&gt;MAX((MIN(80,MAX(1,INT(((CROQUIS!$C$97)-CROQUIS!$C$107)/MAX(CROQUIS!$C$134,1))+1)))-1,0),0,MOD($A285-1,5))+1,0,2,CROQUIS!$C$98-2,2,0)))*CROQUIS!$C$155)+IF(CROQUIS!$C$92="X",0,0)),-1000)</f>
        <v>-1000</v>
      </c>
      <c r="BK285">
        <f>IF(AND(CROQUIS!$C$88=1,CROQUIS!$C$134&gt;0),((CROQUIS!$C$157+(IF(CROQUIS!$C$92="X",CHOOSE(IF(INT(($A285-1)/5)&gt;MAX((MIN(80,MAX(1,INT(((CROQUIS!$C$97)-CROQUIS!$C$107)/MAX(CROQUIS!$C$134,1))+1)))-1,0),0,MOD($A285-1,5))+1,0,2,CROQUIS!$C$98-2,2,0),((CROQUIS!$C$107/2+(((CROQUIS!$C$97)-CROQUIS!$C$107)-(MIN(80,MAX(1,INT(((CROQUIS!$C$97)-CROQUIS!$C$107)/MAX(CROQUIS!$C$134,1))+1))-1)*CROQUIS!$C$134)/2)+MIN(INT(($A285-1)/5),MAX((MIN(80,MAX(1,INT(((CROQUIS!$C$97)-CROQUIS!$C$107)/MAX(CROQUIS!$C$134,1))+1)))-1,0))*CROQUIS!$C$134)))*CROQUIS!$C$155)+IF(CROQUIS!$C$92="X",0,0)),-1000)</f>
        <v>-1000</v>
      </c>
      <c r="BL285">
        <f>IF(AND(CROQUIS!$C$88=1,CROQUIS!$C$91=0,CROQUIS!$C$130&gt;0,OR(CROQUIS!$C$103=1,CROQUIS!$C$142=1)),((CROQUIS!$C$156+(IF(CROQUIS!$C$92="X",CHOOSE(IF(INT(($A285-1)/5)&gt;MAX((MIN(80,MAX(1,INT(((CROQUIS!$C$98)-CROQUIS!$C$107)/MAX(CROQUIS!$C$130,1))+1)))-1,0),0,MOD($A285-1,5))+1,0,IF(CROQUIS!$C$103=1,-12,2),CROQUIS!$C$107/2+CROQUIS!$C$140,IF(CROQUIS!$C$103=1,-12,2),0),((CROQUIS!$C$107/2+(((CROQUIS!$C$98)-CROQUIS!$C$107)-(MIN(80,MAX(1,INT(((CROQUIS!$C$98)-CROQUIS!$C$107)/MAX(CROQUIS!$C$130,1))+1))-1)*CROQUIS!$C$130)/2)+MIN(INT(($A285-1)/5),MAX((MIN(80,MAX(1,INT(((CROQUIS!$C$98)-CROQUIS!$C$107)/MAX(CROQUIS!$C$130,1))+1)))-1,0))*CROQUIS!$C$130)))*CROQUIS!$C$155)+IF(CROQUIS!$C$92="X",0,0)),-1000)</f>
        <v>-1000</v>
      </c>
      <c r="BM28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285-1)/5),MAX((MIN(80,MAX(1,INT(((CROQUIS!$C$98)-CROQUIS!$C$107)/MAX(CROQUIS!$C$130,1))+1)))-1,0))*CROQUIS!$C$130),CHOOSE(IF(INT(($A285-1)/5)&gt;MAX((MIN(80,MAX(1,INT(((CROQUIS!$C$98)-CROQUIS!$C$107)/MAX(CROQUIS!$C$130,1))+1)))-1,0),0,MOD($A285-1,5))+1,0,IF(CROQUIS!$C$103=1,-12,2),CROQUIS!$C$107/2+CROQUIS!$C$140,IF(CROQUIS!$C$103=1,-12,2),0)))*CROQUIS!$C$155)+IF(CROQUIS!$C$92="X",0,0)),-1000)</f>
        <v>-1000</v>
      </c>
      <c r="BN285">
        <f>IF(AND(CROQUIS!$C$88=1,CROQUIS!$C$91=0,CROQUIS!$C$130&gt;0,OR(CROQUIS!$C$104=1,CROQUIS!$C$142=1)),((CROQUIS!$C$156+(IF(CROQUIS!$C$92="X",CHOOSE(IF(INT(($A285-1)/5)&gt;MAX((MIN(80,MAX(1,INT(((CROQUIS!$C$98)-CROQUIS!$C$107)/MAX(CROQUIS!$C$130,1))+1)))-1,0),0,MOD($A285-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285-1)/5),MAX((MIN(80,MAX(1,INT(((CROQUIS!$C$98)-CROQUIS!$C$107)/MAX(CROQUIS!$C$130,1))+1)))-1,0))*CROQUIS!$C$130)))*CROQUIS!$C$155)+IF(CROQUIS!$C$92="X",0,0)),-1000)</f>
        <v>-1000</v>
      </c>
      <c r="BO28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285-1)/5),MAX((MIN(80,MAX(1,INT(((CROQUIS!$C$98)-CROQUIS!$C$107)/MAX(CROQUIS!$C$130,1))+1)))-1,0))*CROQUIS!$C$130),CHOOSE(IF(INT(($A285-1)/5)&gt;MAX((MIN(80,MAX(1,INT(((CROQUIS!$C$98)-CROQUIS!$C$107)/MAX(CROQUIS!$C$130,1))+1)))-1,0),0,MOD($A285-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8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285-1)/5),MAX((MIN(80,MAX(1,INT(((CROQUIS!$C$97)-CROQUIS!$C$107)/MAX(CROQUIS!$C$138,1))+1)))-1,0))*CROQUIS!$C$138),CHOOSE(IF(INT(($A285-1)/5)&gt;MAX((MIN(80,MAX(1,INT(((CROQUIS!$C$97)-CROQUIS!$C$107)/MAX(CROQUIS!$C$138,1))+1)))-1,0),0,MOD($A285-1,5))+1,0,IF(CROQUIS!$C$105=1,-12,2),CROQUIS!$C$107/2+CROQUIS!$C$141,IF(CROQUIS!$C$105=1,-12,2),0)))*CROQUIS!$C$155)+IF(CROQUIS!$C$92="X",0,0)),-1000)</f>
        <v>-1000</v>
      </c>
      <c r="BQ285">
        <f>IF(AND(CROQUIS!$C$88=1,CROQUIS!$C$91=0,CROQUIS!$C$138&gt;0,OR(CROQUIS!$C$105=1,CROQUIS!$C$143=1)),((CROQUIS!$C$157+(IF(CROQUIS!$C$92="X",CHOOSE(IF(INT(($A285-1)/5)&gt;MAX((MIN(80,MAX(1,INT(((CROQUIS!$C$97)-CROQUIS!$C$107)/MAX(CROQUIS!$C$138,1))+1)))-1,0),0,MOD($A285-1,5))+1,0,IF(CROQUIS!$C$105=1,-12,2),CROQUIS!$C$107/2+CROQUIS!$C$141,IF(CROQUIS!$C$105=1,-12,2),0),((CROQUIS!$C$107/2+(((CROQUIS!$C$97)-CROQUIS!$C$107)-(MIN(80,MAX(1,INT(((CROQUIS!$C$97)-CROQUIS!$C$107)/MAX(CROQUIS!$C$138,1))+1))-1)*CROQUIS!$C$138)/2)+MIN(INT(($A285-1)/5),MAX((MIN(80,MAX(1,INT(((CROQUIS!$C$97)-CROQUIS!$C$107)/MAX(CROQUIS!$C$138,1))+1)))-1,0))*CROQUIS!$C$138)))*CROQUIS!$C$155)+IF(CROQUIS!$C$92="X",0,0)),-1000)</f>
        <v>-1000</v>
      </c>
      <c r="BR28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285-1)/5),MAX((MIN(80,MAX(1,INT(((CROQUIS!$C$97)-CROQUIS!$C$107)/MAX(CROQUIS!$C$138,1))+1)))-1,0))*CROQUIS!$C$138),CHOOSE(IF(INT(($A285-1)/5)&gt;MAX((MIN(80,MAX(1,INT(((CROQUIS!$C$97)-CROQUIS!$C$107)/MAX(CROQUIS!$C$138,1))+1)))-1,0),0,MOD($A285-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85">
        <f>IF(AND(CROQUIS!$C$88=1,CROQUIS!$C$91=0,CROQUIS!$C$138&gt;0,OR(CROQUIS!$C$106=1,CROQUIS!$C$143=1)),((CROQUIS!$C$157+(IF(CROQUIS!$C$92="X",CHOOSE(IF(INT(($A285-1)/5)&gt;MAX((MIN(80,MAX(1,INT(((CROQUIS!$C$97)-CROQUIS!$C$107)/MAX(CROQUIS!$C$138,1))+1)))-1,0),0,MOD($A285-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285-1)/5),MAX((MIN(80,MAX(1,INT(((CROQUIS!$C$97)-CROQUIS!$C$107)/MAX(CROQUIS!$C$138,1))+1)))-1,0))*CROQUIS!$C$138)))*CROQUIS!$C$155)+IF(CROQUIS!$C$92="X",0,0)),-1000)</f>
        <v>-1000</v>
      </c>
      <c r="BT285">
        <f>IF(AND(CROQUIS!$C$88=1,CROQUIS!$C$91=1,CROQUIS!$C$130&gt;0),((CROQUIS!$C$156+(IF(CROQUIS!$C$92="X",CHOOSE(IF(INT(($A285-1)/5)&gt;MAX((MIN(80,MAX(1,INT(((CROQUIS!$C$98)-CROQUIS!$C$107)/MAX(CROQUIS!$C$130,1))+1)))-1,0),0,MOD($A285-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285-1)/5),MAX((MIN(80,MAX(1,INT(((CROQUIS!$C$98)-CROQUIS!$C$107)/MAX(CROQUIS!$C$130,1))+1)))-1,0))*CROQUIS!$C$130)))*CROQUIS!$C$155)+IF(CROQUIS!$C$92="X",0,0)),-1000)</f>
        <v>-1000</v>
      </c>
      <c r="BU285">
        <f>IF(AND(CROQUIS!$C$88=1,CROQUIS!$C$91=1,CROQUIS!$C$130&gt;0),((CROQUIS!$C$157+(IF(CROQUIS!$C$92="X",((CROQUIS!$C$107/2+(((CROQUIS!$C$98)-CROQUIS!$C$107)-(MIN(80,MAX(1,INT(((CROQUIS!$C$98)-CROQUIS!$C$107)/MAX(CROQUIS!$C$130,1))+1))-1)*CROQUIS!$C$130)/2)+MIN(INT(($A285-1)/5),MAX((MIN(80,MAX(1,INT(((CROQUIS!$C$98)-CROQUIS!$C$107)/MAX(CROQUIS!$C$130,1))+1)))-1,0))*CROQUIS!$C$130),CHOOSE(IF(INT(($A285-1)/5)&gt;MAX((MIN(80,MAX(1,INT(((CROQUIS!$C$98)-CROQUIS!$C$107)/MAX(CROQUIS!$C$130,1))+1)))-1,0),0,MOD($A285-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86">
      <c r="A286" t="n">
        <v>279</v>
      </c>
      <c r="BH286">
        <f>IF(AND(CROQUIS!$C$88=1,CROQUIS!$C$126&gt;0),((CROQUIS!$C$156+(IF(CROQUIS!$C$92="X",CHOOSE(IF(INT(($A286-1)/5)&gt;MAX((MIN(80,MAX(1,INT(((CROQUIS!$C$98)-CROQUIS!$C$107)/MAX(CROQUIS!$C$126,1))+1)))-1,0),0,MOD($A286-1,5))+1,0,2,CROQUIS!$C$97-2,2,0),((CROQUIS!$C$107/2+(((CROQUIS!$C$98)-CROQUIS!$C$107)-(MIN(80,MAX(1,INT(((CROQUIS!$C$98)-CROQUIS!$C$107)/MAX(CROQUIS!$C$126,1))+1))-1)*CROQUIS!$C$126)/2)+MIN(INT(($A286-1)/5),MAX((MIN(80,MAX(1,INT(((CROQUIS!$C$98)-CROQUIS!$C$107)/MAX(CROQUIS!$C$126,1))+1)))-1,0))*CROQUIS!$C$126)))*CROQUIS!$C$155)+IF(CROQUIS!$C$92="X",0,0)),-1000)</f>
        <v>-1000</v>
      </c>
      <c r="BI286">
        <f>IF(AND(CROQUIS!$C$88=1,CROQUIS!$C$126&gt;0),((CROQUIS!$C$157+(IF(CROQUIS!$C$92="X",((CROQUIS!$C$107/2+(((CROQUIS!$C$98)-CROQUIS!$C$107)-(MIN(80,MAX(1,INT(((CROQUIS!$C$98)-CROQUIS!$C$107)/MAX(CROQUIS!$C$126,1))+1))-1)*CROQUIS!$C$126)/2)+MIN(INT(($A286-1)/5),MAX((MIN(80,MAX(1,INT(((CROQUIS!$C$98)-CROQUIS!$C$107)/MAX(CROQUIS!$C$126,1))+1)))-1,0))*CROQUIS!$C$126),CHOOSE(IF(INT(($A286-1)/5)&gt;MAX((MIN(80,MAX(1,INT(((CROQUIS!$C$98)-CROQUIS!$C$107)/MAX(CROQUIS!$C$126,1))+1)))-1,0),0,MOD($A286-1,5))+1,0,2,CROQUIS!$C$97-2,2,0)))*CROQUIS!$C$155)+IF(CROQUIS!$C$92="X",0,0)),-1000)</f>
        <v>-1000</v>
      </c>
      <c r="BJ286">
        <f>IF(AND(CROQUIS!$C$88=1,CROQUIS!$C$134&gt;0),((CROQUIS!$C$156+(IF(CROQUIS!$C$92="X",((CROQUIS!$C$107/2+(((CROQUIS!$C$97)-CROQUIS!$C$107)-(MIN(80,MAX(1,INT(((CROQUIS!$C$97)-CROQUIS!$C$107)/MAX(CROQUIS!$C$134,1))+1))-1)*CROQUIS!$C$134)/2)+MIN(INT(($A286-1)/5),MAX((MIN(80,MAX(1,INT(((CROQUIS!$C$97)-CROQUIS!$C$107)/MAX(CROQUIS!$C$134,1))+1)))-1,0))*CROQUIS!$C$134),CHOOSE(IF(INT(($A286-1)/5)&gt;MAX((MIN(80,MAX(1,INT(((CROQUIS!$C$97)-CROQUIS!$C$107)/MAX(CROQUIS!$C$134,1))+1)))-1,0),0,MOD($A286-1,5))+1,0,2,CROQUIS!$C$98-2,2,0)))*CROQUIS!$C$155)+IF(CROQUIS!$C$92="X",0,0)),-1000)</f>
        <v>-1000</v>
      </c>
      <c r="BK286">
        <f>IF(AND(CROQUIS!$C$88=1,CROQUIS!$C$134&gt;0),((CROQUIS!$C$157+(IF(CROQUIS!$C$92="X",CHOOSE(IF(INT(($A286-1)/5)&gt;MAX((MIN(80,MAX(1,INT(((CROQUIS!$C$97)-CROQUIS!$C$107)/MAX(CROQUIS!$C$134,1))+1)))-1,0),0,MOD($A286-1,5))+1,0,2,CROQUIS!$C$98-2,2,0),((CROQUIS!$C$107/2+(((CROQUIS!$C$97)-CROQUIS!$C$107)-(MIN(80,MAX(1,INT(((CROQUIS!$C$97)-CROQUIS!$C$107)/MAX(CROQUIS!$C$134,1))+1))-1)*CROQUIS!$C$134)/2)+MIN(INT(($A286-1)/5),MAX((MIN(80,MAX(1,INT(((CROQUIS!$C$97)-CROQUIS!$C$107)/MAX(CROQUIS!$C$134,1))+1)))-1,0))*CROQUIS!$C$134)))*CROQUIS!$C$155)+IF(CROQUIS!$C$92="X",0,0)),-1000)</f>
        <v>-1000</v>
      </c>
      <c r="BL286">
        <f>IF(AND(CROQUIS!$C$88=1,CROQUIS!$C$91=0,CROQUIS!$C$130&gt;0,OR(CROQUIS!$C$103=1,CROQUIS!$C$142=1)),((CROQUIS!$C$156+(IF(CROQUIS!$C$92="X",CHOOSE(IF(INT(($A286-1)/5)&gt;MAX((MIN(80,MAX(1,INT(((CROQUIS!$C$98)-CROQUIS!$C$107)/MAX(CROQUIS!$C$130,1))+1)))-1,0),0,MOD($A286-1,5))+1,0,IF(CROQUIS!$C$103=1,-12,2),CROQUIS!$C$107/2+CROQUIS!$C$140,IF(CROQUIS!$C$103=1,-12,2),0),((CROQUIS!$C$107/2+(((CROQUIS!$C$98)-CROQUIS!$C$107)-(MIN(80,MAX(1,INT(((CROQUIS!$C$98)-CROQUIS!$C$107)/MAX(CROQUIS!$C$130,1))+1))-1)*CROQUIS!$C$130)/2)+MIN(INT(($A286-1)/5),MAX((MIN(80,MAX(1,INT(((CROQUIS!$C$98)-CROQUIS!$C$107)/MAX(CROQUIS!$C$130,1))+1)))-1,0))*CROQUIS!$C$130)))*CROQUIS!$C$155)+IF(CROQUIS!$C$92="X",0,0)),-1000)</f>
        <v>-1000</v>
      </c>
      <c r="BM28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286-1)/5),MAX((MIN(80,MAX(1,INT(((CROQUIS!$C$98)-CROQUIS!$C$107)/MAX(CROQUIS!$C$130,1))+1)))-1,0))*CROQUIS!$C$130),CHOOSE(IF(INT(($A286-1)/5)&gt;MAX((MIN(80,MAX(1,INT(((CROQUIS!$C$98)-CROQUIS!$C$107)/MAX(CROQUIS!$C$130,1))+1)))-1,0),0,MOD($A286-1,5))+1,0,IF(CROQUIS!$C$103=1,-12,2),CROQUIS!$C$107/2+CROQUIS!$C$140,IF(CROQUIS!$C$103=1,-12,2),0)))*CROQUIS!$C$155)+IF(CROQUIS!$C$92="X",0,0)),-1000)</f>
        <v>-1000</v>
      </c>
      <c r="BN286">
        <f>IF(AND(CROQUIS!$C$88=1,CROQUIS!$C$91=0,CROQUIS!$C$130&gt;0,OR(CROQUIS!$C$104=1,CROQUIS!$C$142=1)),((CROQUIS!$C$156+(IF(CROQUIS!$C$92="X",CHOOSE(IF(INT(($A286-1)/5)&gt;MAX((MIN(80,MAX(1,INT(((CROQUIS!$C$98)-CROQUIS!$C$107)/MAX(CROQUIS!$C$130,1))+1)))-1,0),0,MOD($A286-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286-1)/5),MAX((MIN(80,MAX(1,INT(((CROQUIS!$C$98)-CROQUIS!$C$107)/MAX(CROQUIS!$C$130,1))+1)))-1,0))*CROQUIS!$C$130)))*CROQUIS!$C$155)+IF(CROQUIS!$C$92="X",0,0)),-1000)</f>
        <v>-1000</v>
      </c>
      <c r="BO28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286-1)/5),MAX((MIN(80,MAX(1,INT(((CROQUIS!$C$98)-CROQUIS!$C$107)/MAX(CROQUIS!$C$130,1))+1)))-1,0))*CROQUIS!$C$130),CHOOSE(IF(INT(($A286-1)/5)&gt;MAX((MIN(80,MAX(1,INT(((CROQUIS!$C$98)-CROQUIS!$C$107)/MAX(CROQUIS!$C$130,1))+1)))-1,0),0,MOD($A286-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8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286-1)/5),MAX((MIN(80,MAX(1,INT(((CROQUIS!$C$97)-CROQUIS!$C$107)/MAX(CROQUIS!$C$138,1))+1)))-1,0))*CROQUIS!$C$138),CHOOSE(IF(INT(($A286-1)/5)&gt;MAX((MIN(80,MAX(1,INT(((CROQUIS!$C$97)-CROQUIS!$C$107)/MAX(CROQUIS!$C$138,1))+1)))-1,0),0,MOD($A286-1,5))+1,0,IF(CROQUIS!$C$105=1,-12,2),CROQUIS!$C$107/2+CROQUIS!$C$141,IF(CROQUIS!$C$105=1,-12,2),0)))*CROQUIS!$C$155)+IF(CROQUIS!$C$92="X",0,0)),-1000)</f>
        <v>-1000</v>
      </c>
      <c r="BQ286">
        <f>IF(AND(CROQUIS!$C$88=1,CROQUIS!$C$91=0,CROQUIS!$C$138&gt;0,OR(CROQUIS!$C$105=1,CROQUIS!$C$143=1)),((CROQUIS!$C$157+(IF(CROQUIS!$C$92="X",CHOOSE(IF(INT(($A286-1)/5)&gt;MAX((MIN(80,MAX(1,INT(((CROQUIS!$C$97)-CROQUIS!$C$107)/MAX(CROQUIS!$C$138,1))+1)))-1,0),0,MOD($A286-1,5))+1,0,IF(CROQUIS!$C$105=1,-12,2),CROQUIS!$C$107/2+CROQUIS!$C$141,IF(CROQUIS!$C$105=1,-12,2),0),((CROQUIS!$C$107/2+(((CROQUIS!$C$97)-CROQUIS!$C$107)-(MIN(80,MAX(1,INT(((CROQUIS!$C$97)-CROQUIS!$C$107)/MAX(CROQUIS!$C$138,1))+1))-1)*CROQUIS!$C$138)/2)+MIN(INT(($A286-1)/5),MAX((MIN(80,MAX(1,INT(((CROQUIS!$C$97)-CROQUIS!$C$107)/MAX(CROQUIS!$C$138,1))+1)))-1,0))*CROQUIS!$C$138)))*CROQUIS!$C$155)+IF(CROQUIS!$C$92="X",0,0)),-1000)</f>
        <v>-1000</v>
      </c>
      <c r="BR28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286-1)/5),MAX((MIN(80,MAX(1,INT(((CROQUIS!$C$97)-CROQUIS!$C$107)/MAX(CROQUIS!$C$138,1))+1)))-1,0))*CROQUIS!$C$138),CHOOSE(IF(INT(($A286-1)/5)&gt;MAX((MIN(80,MAX(1,INT(((CROQUIS!$C$97)-CROQUIS!$C$107)/MAX(CROQUIS!$C$138,1))+1)))-1,0),0,MOD($A286-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86">
        <f>IF(AND(CROQUIS!$C$88=1,CROQUIS!$C$91=0,CROQUIS!$C$138&gt;0,OR(CROQUIS!$C$106=1,CROQUIS!$C$143=1)),((CROQUIS!$C$157+(IF(CROQUIS!$C$92="X",CHOOSE(IF(INT(($A286-1)/5)&gt;MAX((MIN(80,MAX(1,INT(((CROQUIS!$C$97)-CROQUIS!$C$107)/MAX(CROQUIS!$C$138,1))+1)))-1,0),0,MOD($A286-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286-1)/5),MAX((MIN(80,MAX(1,INT(((CROQUIS!$C$97)-CROQUIS!$C$107)/MAX(CROQUIS!$C$138,1))+1)))-1,0))*CROQUIS!$C$138)))*CROQUIS!$C$155)+IF(CROQUIS!$C$92="X",0,0)),-1000)</f>
        <v>-1000</v>
      </c>
      <c r="BT286">
        <f>IF(AND(CROQUIS!$C$88=1,CROQUIS!$C$91=1,CROQUIS!$C$130&gt;0),((CROQUIS!$C$156+(IF(CROQUIS!$C$92="X",CHOOSE(IF(INT(($A286-1)/5)&gt;MAX((MIN(80,MAX(1,INT(((CROQUIS!$C$98)-CROQUIS!$C$107)/MAX(CROQUIS!$C$130,1))+1)))-1,0),0,MOD($A286-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286-1)/5),MAX((MIN(80,MAX(1,INT(((CROQUIS!$C$98)-CROQUIS!$C$107)/MAX(CROQUIS!$C$130,1))+1)))-1,0))*CROQUIS!$C$130)))*CROQUIS!$C$155)+IF(CROQUIS!$C$92="X",0,0)),-1000)</f>
        <v>-1000</v>
      </c>
      <c r="BU286">
        <f>IF(AND(CROQUIS!$C$88=1,CROQUIS!$C$91=1,CROQUIS!$C$130&gt;0),((CROQUIS!$C$157+(IF(CROQUIS!$C$92="X",((CROQUIS!$C$107/2+(((CROQUIS!$C$98)-CROQUIS!$C$107)-(MIN(80,MAX(1,INT(((CROQUIS!$C$98)-CROQUIS!$C$107)/MAX(CROQUIS!$C$130,1))+1))-1)*CROQUIS!$C$130)/2)+MIN(INT(($A286-1)/5),MAX((MIN(80,MAX(1,INT(((CROQUIS!$C$98)-CROQUIS!$C$107)/MAX(CROQUIS!$C$130,1))+1)))-1,0))*CROQUIS!$C$130),CHOOSE(IF(INT(($A286-1)/5)&gt;MAX((MIN(80,MAX(1,INT(((CROQUIS!$C$98)-CROQUIS!$C$107)/MAX(CROQUIS!$C$130,1))+1)))-1,0),0,MOD($A286-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87">
      <c r="A287" t="n">
        <v>280</v>
      </c>
      <c r="BH287">
        <f>IF(AND(CROQUIS!$C$88=1,CROQUIS!$C$126&gt;0),((CROQUIS!$C$156+(IF(CROQUIS!$C$92="X",CHOOSE(IF(INT(($A287-1)/5)&gt;MAX((MIN(80,MAX(1,INT(((CROQUIS!$C$98)-CROQUIS!$C$107)/MAX(CROQUIS!$C$126,1))+1)))-1,0),0,MOD($A287-1,5))+1,0,2,CROQUIS!$C$97-2,2,0),((CROQUIS!$C$107/2+(((CROQUIS!$C$98)-CROQUIS!$C$107)-(MIN(80,MAX(1,INT(((CROQUIS!$C$98)-CROQUIS!$C$107)/MAX(CROQUIS!$C$126,1))+1))-1)*CROQUIS!$C$126)/2)+MIN(INT(($A287-1)/5),MAX((MIN(80,MAX(1,INT(((CROQUIS!$C$98)-CROQUIS!$C$107)/MAX(CROQUIS!$C$126,1))+1)))-1,0))*CROQUIS!$C$126)))*CROQUIS!$C$155)+IF(CROQUIS!$C$92="X",0,0)),-1000)</f>
        <v>-1000</v>
      </c>
      <c r="BI287">
        <f>IF(AND(CROQUIS!$C$88=1,CROQUIS!$C$126&gt;0),((CROQUIS!$C$157+(IF(CROQUIS!$C$92="X",((CROQUIS!$C$107/2+(((CROQUIS!$C$98)-CROQUIS!$C$107)-(MIN(80,MAX(1,INT(((CROQUIS!$C$98)-CROQUIS!$C$107)/MAX(CROQUIS!$C$126,1))+1))-1)*CROQUIS!$C$126)/2)+MIN(INT(($A287-1)/5),MAX((MIN(80,MAX(1,INT(((CROQUIS!$C$98)-CROQUIS!$C$107)/MAX(CROQUIS!$C$126,1))+1)))-1,0))*CROQUIS!$C$126),CHOOSE(IF(INT(($A287-1)/5)&gt;MAX((MIN(80,MAX(1,INT(((CROQUIS!$C$98)-CROQUIS!$C$107)/MAX(CROQUIS!$C$126,1))+1)))-1,0),0,MOD($A287-1,5))+1,0,2,CROQUIS!$C$97-2,2,0)))*CROQUIS!$C$155)+IF(CROQUIS!$C$92="X",0,0)),-1000)</f>
        <v>-1000</v>
      </c>
      <c r="BJ287">
        <f>IF(AND(CROQUIS!$C$88=1,CROQUIS!$C$134&gt;0),((CROQUIS!$C$156+(IF(CROQUIS!$C$92="X",((CROQUIS!$C$107/2+(((CROQUIS!$C$97)-CROQUIS!$C$107)-(MIN(80,MAX(1,INT(((CROQUIS!$C$97)-CROQUIS!$C$107)/MAX(CROQUIS!$C$134,1))+1))-1)*CROQUIS!$C$134)/2)+MIN(INT(($A287-1)/5),MAX((MIN(80,MAX(1,INT(((CROQUIS!$C$97)-CROQUIS!$C$107)/MAX(CROQUIS!$C$134,1))+1)))-1,0))*CROQUIS!$C$134),CHOOSE(IF(INT(($A287-1)/5)&gt;MAX((MIN(80,MAX(1,INT(((CROQUIS!$C$97)-CROQUIS!$C$107)/MAX(CROQUIS!$C$134,1))+1)))-1,0),0,MOD($A287-1,5))+1,0,2,CROQUIS!$C$98-2,2,0)))*CROQUIS!$C$155)+IF(CROQUIS!$C$92="X",0,0)),-1000)</f>
        <v>-1000</v>
      </c>
      <c r="BK287">
        <f>IF(AND(CROQUIS!$C$88=1,CROQUIS!$C$134&gt;0),((CROQUIS!$C$157+(IF(CROQUIS!$C$92="X",CHOOSE(IF(INT(($A287-1)/5)&gt;MAX((MIN(80,MAX(1,INT(((CROQUIS!$C$97)-CROQUIS!$C$107)/MAX(CROQUIS!$C$134,1))+1)))-1,0),0,MOD($A287-1,5))+1,0,2,CROQUIS!$C$98-2,2,0),((CROQUIS!$C$107/2+(((CROQUIS!$C$97)-CROQUIS!$C$107)-(MIN(80,MAX(1,INT(((CROQUIS!$C$97)-CROQUIS!$C$107)/MAX(CROQUIS!$C$134,1))+1))-1)*CROQUIS!$C$134)/2)+MIN(INT(($A287-1)/5),MAX((MIN(80,MAX(1,INT(((CROQUIS!$C$97)-CROQUIS!$C$107)/MAX(CROQUIS!$C$134,1))+1)))-1,0))*CROQUIS!$C$134)))*CROQUIS!$C$155)+IF(CROQUIS!$C$92="X",0,0)),-1000)</f>
        <v>-1000</v>
      </c>
      <c r="BL287">
        <f>IF(AND(CROQUIS!$C$88=1,CROQUIS!$C$91=0,CROQUIS!$C$130&gt;0,OR(CROQUIS!$C$103=1,CROQUIS!$C$142=1)),((CROQUIS!$C$156+(IF(CROQUIS!$C$92="X",CHOOSE(IF(INT(($A287-1)/5)&gt;MAX((MIN(80,MAX(1,INT(((CROQUIS!$C$98)-CROQUIS!$C$107)/MAX(CROQUIS!$C$130,1))+1)))-1,0),0,MOD($A287-1,5))+1,0,IF(CROQUIS!$C$103=1,-12,2),CROQUIS!$C$107/2+CROQUIS!$C$140,IF(CROQUIS!$C$103=1,-12,2),0),((CROQUIS!$C$107/2+(((CROQUIS!$C$98)-CROQUIS!$C$107)-(MIN(80,MAX(1,INT(((CROQUIS!$C$98)-CROQUIS!$C$107)/MAX(CROQUIS!$C$130,1))+1))-1)*CROQUIS!$C$130)/2)+MIN(INT(($A287-1)/5),MAX((MIN(80,MAX(1,INT(((CROQUIS!$C$98)-CROQUIS!$C$107)/MAX(CROQUIS!$C$130,1))+1)))-1,0))*CROQUIS!$C$130)))*CROQUIS!$C$155)+IF(CROQUIS!$C$92="X",0,0)),-1000)</f>
        <v>-1000</v>
      </c>
      <c r="BM28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287-1)/5),MAX((MIN(80,MAX(1,INT(((CROQUIS!$C$98)-CROQUIS!$C$107)/MAX(CROQUIS!$C$130,1))+1)))-1,0))*CROQUIS!$C$130),CHOOSE(IF(INT(($A287-1)/5)&gt;MAX((MIN(80,MAX(1,INT(((CROQUIS!$C$98)-CROQUIS!$C$107)/MAX(CROQUIS!$C$130,1))+1)))-1,0),0,MOD($A287-1,5))+1,0,IF(CROQUIS!$C$103=1,-12,2),CROQUIS!$C$107/2+CROQUIS!$C$140,IF(CROQUIS!$C$103=1,-12,2),0)))*CROQUIS!$C$155)+IF(CROQUIS!$C$92="X",0,0)),-1000)</f>
        <v>-1000</v>
      </c>
      <c r="BN287">
        <f>IF(AND(CROQUIS!$C$88=1,CROQUIS!$C$91=0,CROQUIS!$C$130&gt;0,OR(CROQUIS!$C$104=1,CROQUIS!$C$142=1)),((CROQUIS!$C$156+(IF(CROQUIS!$C$92="X",CHOOSE(IF(INT(($A287-1)/5)&gt;MAX((MIN(80,MAX(1,INT(((CROQUIS!$C$98)-CROQUIS!$C$107)/MAX(CROQUIS!$C$130,1))+1)))-1,0),0,MOD($A287-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287-1)/5),MAX((MIN(80,MAX(1,INT(((CROQUIS!$C$98)-CROQUIS!$C$107)/MAX(CROQUIS!$C$130,1))+1)))-1,0))*CROQUIS!$C$130)))*CROQUIS!$C$155)+IF(CROQUIS!$C$92="X",0,0)),-1000)</f>
        <v>-1000</v>
      </c>
      <c r="BO28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287-1)/5),MAX((MIN(80,MAX(1,INT(((CROQUIS!$C$98)-CROQUIS!$C$107)/MAX(CROQUIS!$C$130,1))+1)))-1,0))*CROQUIS!$C$130),CHOOSE(IF(INT(($A287-1)/5)&gt;MAX((MIN(80,MAX(1,INT(((CROQUIS!$C$98)-CROQUIS!$C$107)/MAX(CROQUIS!$C$130,1))+1)))-1,0),0,MOD($A287-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8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287-1)/5),MAX((MIN(80,MAX(1,INT(((CROQUIS!$C$97)-CROQUIS!$C$107)/MAX(CROQUIS!$C$138,1))+1)))-1,0))*CROQUIS!$C$138),CHOOSE(IF(INT(($A287-1)/5)&gt;MAX((MIN(80,MAX(1,INT(((CROQUIS!$C$97)-CROQUIS!$C$107)/MAX(CROQUIS!$C$138,1))+1)))-1,0),0,MOD($A287-1,5))+1,0,IF(CROQUIS!$C$105=1,-12,2),CROQUIS!$C$107/2+CROQUIS!$C$141,IF(CROQUIS!$C$105=1,-12,2),0)))*CROQUIS!$C$155)+IF(CROQUIS!$C$92="X",0,0)),-1000)</f>
        <v>-1000</v>
      </c>
      <c r="BQ287">
        <f>IF(AND(CROQUIS!$C$88=1,CROQUIS!$C$91=0,CROQUIS!$C$138&gt;0,OR(CROQUIS!$C$105=1,CROQUIS!$C$143=1)),((CROQUIS!$C$157+(IF(CROQUIS!$C$92="X",CHOOSE(IF(INT(($A287-1)/5)&gt;MAX((MIN(80,MAX(1,INT(((CROQUIS!$C$97)-CROQUIS!$C$107)/MAX(CROQUIS!$C$138,1))+1)))-1,0),0,MOD($A287-1,5))+1,0,IF(CROQUIS!$C$105=1,-12,2),CROQUIS!$C$107/2+CROQUIS!$C$141,IF(CROQUIS!$C$105=1,-12,2),0),((CROQUIS!$C$107/2+(((CROQUIS!$C$97)-CROQUIS!$C$107)-(MIN(80,MAX(1,INT(((CROQUIS!$C$97)-CROQUIS!$C$107)/MAX(CROQUIS!$C$138,1))+1))-1)*CROQUIS!$C$138)/2)+MIN(INT(($A287-1)/5),MAX((MIN(80,MAX(1,INT(((CROQUIS!$C$97)-CROQUIS!$C$107)/MAX(CROQUIS!$C$138,1))+1)))-1,0))*CROQUIS!$C$138)))*CROQUIS!$C$155)+IF(CROQUIS!$C$92="X",0,0)),-1000)</f>
        <v>-1000</v>
      </c>
      <c r="BR28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287-1)/5),MAX((MIN(80,MAX(1,INT(((CROQUIS!$C$97)-CROQUIS!$C$107)/MAX(CROQUIS!$C$138,1))+1)))-1,0))*CROQUIS!$C$138),CHOOSE(IF(INT(($A287-1)/5)&gt;MAX((MIN(80,MAX(1,INT(((CROQUIS!$C$97)-CROQUIS!$C$107)/MAX(CROQUIS!$C$138,1))+1)))-1,0),0,MOD($A287-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87">
        <f>IF(AND(CROQUIS!$C$88=1,CROQUIS!$C$91=0,CROQUIS!$C$138&gt;0,OR(CROQUIS!$C$106=1,CROQUIS!$C$143=1)),((CROQUIS!$C$157+(IF(CROQUIS!$C$92="X",CHOOSE(IF(INT(($A287-1)/5)&gt;MAX((MIN(80,MAX(1,INT(((CROQUIS!$C$97)-CROQUIS!$C$107)/MAX(CROQUIS!$C$138,1))+1)))-1,0),0,MOD($A287-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287-1)/5),MAX((MIN(80,MAX(1,INT(((CROQUIS!$C$97)-CROQUIS!$C$107)/MAX(CROQUIS!$C$138,1))+1)))-1,0))*CROQUIS!$C$138)))*CROQUIS!$C$155)+IF(CROQUIS!$C$92="X",0,0)),-1000)</f>
        <v>-1000</v>
      </c>
      <c r="BT287">
        <f>IF(AND(CROQUIS!$C$88=1,CROQUIS!$C$91=1,CROQUIS!$C$130&gt;0),((CROQUIS!$C$156+(IF(CROQUIS!$C$92="X",CHOOSE(IF(INT(($A287-1)/5)&gt;MAX((MIN(80,MAX(1,INT(((CROQUIS!$C$98)-CROQUIS!$C$107)/MAX(CROQUIS!$C$130,1))+1)))-1,0),0,MOD($A287-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287-1)/5),MAX((MIN(80,MAX(1,INT(((CROQUIS!$C$98)-CROQUIS!$C$107)/MAX(CROQUIS!$C$130,1))+1)))-1,0))*CROQUIS!$C$130)))*CROQUIS!$C$155)+IF(CROQUIS!$C$92="X",0,0)),-1000)</f>
        <v>-1000</v>
      </c>
      <c r="BU287">
        <f>IF(AND(CROQUIS!$C$88=1,CROQUIS!$C$91=1,CROQUIS!$C$130&gt;0),((CROQUIS!$C$157+(IF(CROQUIS!$C$92="X",((CROQUIS!$C$107/2+(((CROQUIS!$C$98)-CROQUIS!$C$107)-(MIN(80,MAX(1,INT(((CROQUIS!$C$98)-CROQUIS!$C$107)/MAX(CROQUIS!$C$130,1))+1))-1)*CROQUIS!$C$130)/2)+MIN(INT(($A287-1)/5),MAX((MIN(80,MAX(1,INT(((CROQUIS!$C$98)-CROQUIS!$C$107)/MAX(CROQUIS!$C$130,1))+1)))-1,0))*CROQUIS!$C$130),CHOOSE(IF(INT(($A287-1)/5)&gt;MAX((MIN(80,MAX(1,INT(((CROQUIS!$C$98)-CROQUIS!$C$107)/MAX(CROQUIS!$C$130,1))+1)))-1,0),0,MOD($A287-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88">
      <c r="A288" t="n">
        <v>281</v>
      </c>
      <c r="BH288">
        <f>IF(AND(CROQUIS!$C$88=1,CROQUIS!$C$126&gt;0),((CROQUIS!$C$156+(IF(CROQUIS!$C$92="X",CHOOSE(IF(INT(($A288-1)/5)&gt;MAX((MIN(80,MAX(1,INT(((CROQUIS!$C$98)-CROQUIS!$C$107)/MAX(CROQUIS!$C$126,1))+1)))-1,0),0,MOD($A288-1,5))+1,0,2,CROQUIS!$C$97-2,2,0),((CROQUIS!$C$107/2+(((CROQUIS!$C$98)-CROQUIS!$C$107)-(MIN(80,MAX(1,INT(((CROQUIS!$C$98)-CROQUIS!$C$107)/MAX(CROQUIS!$C$126,1))+1))-1)*CROQUIS!$C$126)/2)+MIN(INT(($A288-1)/5),MAX((MIN(80,MAX(1,INT(((CROQUIS!$C$98)-CROQUIS!$C$107)/MAX(CROQUIS!$C$126,1))+1)))-1,0))*CROQUIS!$C$126)))*CROQUIS!$C$155)+IF(CROQUIS!$C$92="X",0,0)),-1000)</f>
        <v>-1000</v>
      </c>
      <c r="BI288">
        <f>IF(AND(CROQUIS!$C$88=1,CROQUIS!$C$126&gt;0),((CROQUIS!$C$157+(IF(CROQUIS!$C$92="X",((CROQUIS!$C$107/2+(((CROQUIS!$C$98)-CROQUIS!$C$107)-(MIN(80,MAX(1,INT(((CROQUIS!$C$98)-CROQUIS!$C$107)/MAX(CROQUIS!$C$126,1))+1))-1)*CROQUIS!$C$126)/2)+MIN(INT(($A288-1)/5),MAX((MIN(80,MAX(1,INT(((CROQUIS!$C$98)-CROQUIS!$C$107)/MAX(CROQUIS!$C$126,1))+1)))-1,0))*CROQUIS!$C$126),CHOOSE(IF(INT(($A288-1)/5)&gt;MAX((MIN(80,MAX(1,INT(((CROQUIS!$C$98)-CROQUIS!$C$107)/MAX(CROQUIS!$C$126,1))+1)))-1,0),0,MOD($A288-1,5))+1,0,2,CROQUIS!$C$97-2,2,0)))*CROQUIS!$C$155)+IF(CROQUIS!$C$92="X",0,0)),-1000)</f>
        <v>-1000</v>
      </c>
      <c r="BJ288">
        <f>IF(AND(CROQUIS!$C$88=1,CROQUIS!$C$134&gt;0),((CROQUIS!$C$156+(IF(CROQUIS!$C$92="X",((CROQUIS!$C$107/2+(((CROQUIS!$C$97)-CROQUIS!$C$107)-(MIN(80,MAX(1,INT(((CROQUIS!$C$97)-CROQUIS!$C$107)/MAX(CROQUIS!$C$134,1))+1))-1)*CROQUIS!$C$134)/2)+MIN(INT(($A288-1)/5),MAX((MIN(80,MAX(1,INT(((CROQUIS!$C$97)-CROQUIS!$C$107)/MAX(CROQUIS!$C$134,1))+1)))-1,0))*CROQUIS!$C$134),CHOOSE(IF(INT(($A288-1)/5)&gt;MAX((MIN(80,MAX(1,INT(((CROQUIS!$C$97)-CROQUIS!$C$107)/MAX(CROQUIS!$C$134,1))+1)))-1,0),0,MOD($A288-1,5))+1,0,2,CROQUIS!$C$98-2,2,0)))*CROQUIS!$C$155)+IF(CROQUIS!$C$92="X",0,0)),-1000)</f>
        <v>-1000</v>
      </c>
      <c r="BK288">
        <f>IF(AND(CROQUIS!$C$88=1,CROQUIS!$C$134&gt;0),((CROQUIS!$C$157+(IF(CROQUIS!$C$92="X",CHOOSE(IF(INT(($A288-1)/5)&gt;MAX((MIN(80,MAX(1,INT(((CROQUIS!$C$97)-CROQUIS!$C$107)/MAX(CROQUIS!$C$134,1))+1)))-1,0),0,MOD($A288-1,5))+1,0,2,CROQUIS!$C$98-2,2,0),((CROQUIS!$C$107/2+(((CROQUIS!$C$97)-CROQUIS!$C$107)-(MIN(80,MAX(1,INT(((CROQUIS!$C$97)-CROQUIS!$C$107)/MAX(CROQUIS!$C$134,1))+1))-1)*CROQUIS!$C$134)/2)+MIN(INT(($A288-1)/5),MAX((MIN(80,MAX(1,INT(((CROQUIS!$C$97)-CROQUIS!$C$107)/MAX(CROQUIS!$C$134,1))+1)))-1,0))*CROQUIS!$C$134)))*CROQUIS!$C$155)+IF(CROQUIS!$C$92="X",0,0)),-1000)</f>
        <v>-1000</v>
      </c>
      <c r="BL288">
        <f>IF(AND(CROQUIS!$C$88=1,CROQUIS!$C$91=0,CROQUIS!$C$130&gt;0,OR(CROQUIS!$C$103=1,CROQUIS!$C$142=1)),((CROQUIS!$C$156+(IF(CROQUIS!$C$92="X",CHOOSE(IF(INT(($A288-1)/5)&gt;MAX((MIN(80,MAX(1,INT(((CROQUIS!$C$98)-CROQUIS!$C$107)/MAX(CROQUIS!$C$130,1))+1)))-1,0),0,MOD($A288-1,5))+1,0,IF(CROQUIS!$C$103=1,-12,2),CROQUIS!$C$107/2+CROQUIS!$C$140,IF(CROQUIS!$C$103=1,-12,2),0),((CROQUIS!$C$107/2+(((CROQUIS!$C$98)-CROQUIS!$C$107)-(MIN(80,MAX(1,INT(((CROQUIS!$C$98)-CROQUIS!$C$107)/MAX(CROQUIS!$C$130,1))+1))-1)*CROQUIS!$C$130)/2)+MIN(INT(($A288-1)/5),MAX((MIN(80,MAX(1,INT(((CROQUIS!$C$98)-CROQUIS!$C$107)/MAX(CROQUIS!$C$130,1))+1)))-1,0))*CROQUIS!$C$130)))*CROQUIS!$C$155)+IF(CROQUIS!$C$92="X",0,0)),-1000)</f>
        <v>-1000</v>
      </c>
      <c r="BM28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288-1)/5),MAX((MIN(80,MAX(1,INT(((CROQUIS!$C$98)-CROQUIS!$C$107)/MAX(CROQUIS!$C$130,1))+1)))-1,0))*CROQUIS!$C$130),CHOOSE(IF(INT(($A288-1)/5)&gt;MAX((MIN(80,MAX(1,INT(((CROQUIS!$C$98)-CROQUIS!$C$107)/MAX(CROQUIS!$C$130,1))+1)))-1,0),0,MOD($A288-1,5))+1,0,IF(CROQUIS!$C$103=1,-12,2),CROQUIS!$C$107/2+CROQUIS!$C$140,IF(CROQUIS!$C$103=1,-12,2),0)))*CROQUIS!$C$155)+IF(CROQUIS!$C$92="X",0,0)),-1000)</f>
        <v>-1000</v>
      </c>
      <c r="BN288">
        <f>IF(AND(CROQUIS!$C$88=1,CROQUIS!$C$91=0,CROQUIS!$C$130&gt;0,OR(CROQUIS!$C$104=1,CROQUIS!$C$142=1)),((CROQUIS!$C$156+(IF(CROQUIS!$C$92="X",CHOOSE(IF(INT(($A288-1)/5)&gt;MAX((MIN(80,MAX(1,INT(((CROQUIS!$C$98)-CROQUIS!$C$107)/MAX(CROQUIS!$C$130,1))+1)))-1,0),0,MOD($A288-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288-1)/5),MAX((MIN(80,MAX(1,INT(((CROQUIS!$C$98)-CROQUIS!$C$107)/MAX(CROQUIS!$C$130,1))+1)))-1,0))*CROQUIS!$C$130)))*CROQUIS!$C$155)+IF(CROQUIS!$C$92="X",0,0)),-1000)</f>
        <v>-1000</v>
      </c>
      <c r="BO28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288-1)/5),MAX((MIN(80,MAX(1,INT(((CROQUIS!$C$98)-CROQUIS!$C$107)/MAX(CROQUIS!$C$130,1))+1)))-1,0))*CROQUIS!$C$130),CHOOSE(IF(INT(($A288-1)/5)&gt;MAX((MIN(80,MAX(1,INT(((CROQUIS!$C$98)-CROQUIS!$C$107)/MAX(CROQUIS!$C$130,1))+1)))-1,0),0,MOD($A288-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8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288-1)/5),MAX((MIN(80,MAX(1,INT(((CROQUIS!$C$97)-CROQUIS!$C$107)/MAX(CROQUIS!$C$138,1))+1)))-1,0))*CROQUIS!$C$138),CHOOSE(IF(INT(($A288-1)/5)&gt;MAX((MIN(80,MAX(1,INT(((CROQUIS!$C$97)-CROQUIS!$C$107)/MAX(CROQUIS!$C$138,1))+1)))-1,0),0,MOD($A288-1,5))+1,0,IF(CROQUIS!$C$105=1,-12,2),CROQUIS!$C$107/2+CROQUIS!$C$141,IF(CROQUIS!$C$105=1,-12,2),0)))*CROQUIS!$C$155)+IF(CROQUIS!$C$92="X",0,0)),-1000)</f>
        <v>-1000</v>
      </c>
      <c r="BQ288">
        <f>IF(AND(CROQUIS!$C$88=1,CROQUIS!$C$91=0,CROQUIS!$C$138&gt;0,OR(CROQUIS!$C$105=1,CROQUIS!$C$143=1)),((CROQUIS!$C$157+(IF(CROQUIS!$C$92="X",CHOOSE(IF(INT(($A288-1)/5)&gt;MAX((MIN(80,MAX(1,INT(((CROQUIS!$C$97)-CROQUIS!$C$107)/MAX(CROQUIS!$C$138,1))+1)))-1,0),0,MOD($A288-1,5))+1,0,IF(CROQUIS!$C$105=1,-12,2),CROQUIS!$C$107/2+CROQUIS!$C$141,IF(CROQUIS!$C$105=1,-12,2),0),((CROQUIS!$C$107/2+(((CROQUIS!$C$97)-CROQUIS!$C$107)-(MIN(80,MAX(1,INT(((CROQUIS!$C$97)-CROQUIS!$C$107)/MAX(CROQUIS!$C$138,1))+1))-1)*CROQUIS!$C$138)/2)+MIN(INT(($A288-1)/5),MAX((MIN(80,MAX(1,INT(((CROQUIS!$C$97)-CROQUIS!$C$107)/MAX(CROQUIS!$C$138,1))+1)))-1,0))*CROQUIS!$C$138)))*CROQUIS!$C$155)+IF(CROQUIS!$C$92="X",0,0)),-1000)</f>
        <v>-1000</v>
      </c>
      <c r="BR28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288-1)/5),MAX((MIN(80,MAX(1,INT(((CROQUIS!$C$97)-CROQUIS!$C$107)/MAX(CROQUIS!$C$138,1))+1)))-1,0))*CROQUIS!$C$138),CHOOSE(IF(INT(($A288-1)/5)&gt;MAX((MIN(80,MAX(1,INT(((CROQUIS!$C$97)-CROQUIS!$C$107)/MAX(CROQUIS!$C$138,1))+1)))-1,0),0,MOD($A288-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88">
        <f>IF(AND(CROQUIS!$C$88=1,CROQUIS!$C$91=0,CROQUIS!$C$138&gt;0,OR(CROQUIS!$C$106=1,CROQUIS!$C$143=1)),((CROQUIS!$C$157+(IF(CROQUIS!$C$92="X",CHOOSE(IF(INT(($A288-1)/5)&gt;MAX((MIN(80,MAX(1,INT(((CROQUIS!$C$97)-CROQUIS!$C$107)/MAX(CROQUIS!$C$138,1))+1)))-1,0),0,MOD($A288-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288-1)/5),MAX((MIN(80,MAX(1,INT(((CROQUIS!$C$97)-CROQUIS!$C$107)/MAX(CROQUIS!$C$138,1))+1)))-1,0))*CROQUIS!$C$138)))*CROQUIS!$C$155)+IF(CROQUIS!$C$92="X",0,0)),-1000)</f>
        <v>-1000</v>
      </c>
      <c r="BT288">
        <f>IF(AND(CROQUIS!$C$88=1,CROQUIS!$C$91=1,CROQUIS!$C$130&gt;0),((CROQUIS!$C$156+(IF(CROQUIS!$C$92="X",CHOOSE(IF(INT(($A288-1)/5)&gt;MAX((MIN(80,MAX(1,INT(((CROQUIS!$C$98)-CROQUIS!$C$107)/MAX(CROQUIS!$C$130,1))+1)))-1,0),0,MOD($A288-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288-1)/5),MAX((MIN(80,MAX(1,INT(((CROQUIS!$C$98)-CROQUIS!$C$107)/MAX(CROQUIS!$C$130,1))+1)))-1,0))*CROQUIS!$C$130)))*CROQUIS!$C$155)+IF(CROQUIS!$C$92="X",0,0)),-1000)</f>
        <v>-1000</v>
      </c>
      <c r="BU288">
        <f>IF(AND(CROQUIS!$C$88=1,CROQUIS!$C$91=1,CROQUIS!$C$130&gt;0),((CROQUIS!$C$157+(IF(CROQUIS!$C$92="X",((CROQUIS!$C$107/2+(((CROQUIS!$C$98)-CROQUIS!$C$107)-(MIN(80,MAX(1,INT(((CROQUIS!$C$98)-CROQUIS!$C$107)/MAX(CROQUIS!$C$130,1))+1))-1)*CROQUIS!$C$130)/2)+MIN(INT(($A288-1)/5),MAX((MIN(80,MAX(1,INT(((CROQUIS!$C$98)-CROQUIS!$C$107)/MAX(CROQUIS!$C$130,1))+1)))-1,0))*CROQUIS!$C$130),CHOOSE(IF(INT(($A288-1)/5)&gt;MAX((MIN(80,MAX(1,INT(((CROQUIS!$C$98)-CROQUIS!$C$107)/MAX(CROQUIS!$C$130,1))+1)))-1,0),0,MOD($A288-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89">
      <c r="A289" t="n">
        <v>282</v>
      </c>
      <c r="BH289">
        <f>IF(AND(CROQUIS!$C$88=1,CROQUIS!$C$126&gt;0),((CROQUIS!$C$156+(IF(CROQUIS!$C$92="X",CHOOSE(IF(INT(($A289-1)/5)&gt;MAX((MIN(80,MAX(1,INT(((CROQUIS!$C$98)-CROQUIS!$C$107)/MAX(CROQUIS!$C$126,1))+1)))-1,0),0,MOD($A289-1,5))+1,0,2,CROQUIS!$C$97-2,2,0),((CROQUIS!$C$107/2+(((CROQUIS!$C$98)-CROQUIS!$C$107)-(MIN(80,MAX(1,INT(((CROQUIS!$C$98)-CROQUIS!$C$107)/MAX(CROQUIS!$C$126,1))+1))-1)*CROQUIS!$C$126)/2)+MIN(INT(($A289-1)/5),MAX((MIN(80,MAX(1,INT(((CROQUIS!$C$98)-CROQUIS!$C$107)/MAX(CROQUIS!$C$126,1))+1)))-1,0))*CROQUIS!$C$126)))*CROQUIS!$C$155)+IF(CROQUIS!$C$92="X",0,0)),-1000)</f>
        <v>-1000</v>
      </c>
      <c r="BI289">
        <f>IF(AND(CROQUIS!$C$88=1,CROQUIS!$C$126&gt;0),((CROQUIS!$C$157+(IF(CROQUIS!$C$92="X",((CROQUIS!$C$107/2+(((CROQUIS!$C$98)-CROQUIS!$C$107)-(MIN(80,MAX(1,INT(((CROQUIS!$C$98)-CROQUIS!$C$107)/MAX(CROQUIS!$C$126,1))+1))-1)*CROQUIS!$C$126)/2)+MIN(INT(($A289-1)/5),MAX((MIN(80,MAX(1,INT(((CROQUIS!$C$98)-CROQUIS!$C$107)/MAX(CROQUIS!$C$126,1))+1)))-1,0))*CROQUIS!$C$126),CHOOSE(IF(INT(($A289-1)/5)&gt;MAX((MIN(80,MAX(1,INT(((CROQUIS!$C$98)-CROQUIS!$C$107)/MAX(CROQUIS!$C$126,1))+1)))-1,0),0,MOD($A289-1,5))+1,0,2,CROQUIS!$C$97-2,2,0)))*CROQUIS!$C$155)+IF(CROQUIS!$C$92="X",0,0)),-1000)</f>
        <v>-1000</v>
      </c>
      <c r="BJ289">
        <f>IF(AND(CROQUIS!$C$88=1,CROQUIS!$C$134&gt;0),((CROQUIS!$C$156+(IF(CROQUIS!$C$92="X",((CROQUIS!$C$107/2+(((CROQUIS!$C$97)-CROQUIS!$C$107)-(MIN(80,MAX(1,INT(((CROQUIS!$C$97)-CROQUIS!$C$107)/MAX(CROQUIS!$C$134,1))+1))-1)*CROQUIS!$C$134)/2)+MIN(INT(($A289-1)/5),MAX((MIN(80,MAX(1,INT(((CROQUIS!$C$97)-CROQUIS!$C$107)/MAX(CROQUIS!$C$134,1))+1)))-1,0))*CROQUIS!$C$134),CHOOSE(IF(INT(($A289-1)/5)&gt;MAX((MIN(80,MAX(1,INT(((CROQUIS!$C$97)-CROQUIS!$C$107)/MAX(CROQUIS!$C$134,1))+1)))-1,0),0,MOD($A289-1,5))+1,0,2,CROQUIS!$C$98-2,2,0)))*CROQUIS!$C$155)+IF(CROQUIS!$C$92="X",0,0)),-1000)</f>
        <v>-1000</v>
      </c>
      <c r="BK289">
        <f>IF(AND(CROQUIS!$C$88=1,CROQUIS!$C$134&gt;0),((CROQUIS!$C$157+(IF(CROQUIS!$C$92="X",CHOOSE(IF(INT(($A289-1)/5)&gt;MAX((MIN(80,MAX(1,INT(((CROQUIS!$C$97)-CROQUIS!$C$107)/MAX(CROQUIS!$C$134,1))+1)))-1,0),0,MOD($A289-1,5))+1,0,2,CROQUIS!$C$98-2,2,0),((CROQUIS!$C$107/2+(((CROQUIS!$C$97)-CROQUIS!$C$107)-(MIN(80,MAX(1,INT(((CROQUIS!$C$97)-CROQUIS!$C$107)/MAX(CROQUIS!$C$134,1))+1))-1)*CROQUIS!$C$134)/2)+MIN(INT(($A289-1)/5),MAX((MIN(80,MAX(1,INT(((CROQUIS!$C$97)-CROQUIS!$C$107)/MAX(CROQUIS!$C$134,1))+1)))-1,0))*CROQUIS!$C$134)))*CROQUIS!$C$155)+IF(CROQUIS!$C$92="X",0,0)),-1000)</f>
        <v>-1000</v>
      </c>
      <c r="BL289">
        <f>IF(AND(CROQUIS!$C$88=1,CROQUIS!$C$91=0,CROQUIS!$C$130&gt;0,OR(CROQUIS!$C$103=1,CROQUIS!$C$142=1)),((CROQUIS!$C$156+(IF(CROQUIS!$C$92="X",CHOOSE(IF(INT(($A289-1)/5)&gt;MAX((MIN(80,MAX(1,INT(((CROQUIS!$C$98)-CROQUIS!$C$107)/MAX(CROQUIS!$C$130,1))+1)))-1,0),0,MOD($A289-1,5))+1,0,IF(CROQUIS!$C$103=1,-12,2),CROQUIS!$C$107/2+CROQUIS!$C$140,IF(CROQUIS!$C$103=1,-12,2),0),((CROQUIS!$C$107/2+(((CROQUIS!$C$98)-CROQUIS!$C$107)-(MIN(80,MAX(1,INT(((CROQUIS!$C$98)-CROQUIS!$C$107)/MAX(CROQUIS!$C$130,1))+1))-1)*CROQUIS!$C$130)/2)+MIN(INT(($A289-1)/5),MAX((MIN(80,MAX(1,INT(((CROQUIS!$C$98)-CROQUIS!$C$107)/MAX(CROQUIS!$C$130,1))+1)))-1,0))*CROQUIS!$C$130)))*CROQUIS!$C$155)+IF(CROQUIS!$C$92="X",0,0)),-1000)</f>
        <v>-1000</v>
      </c>
      <c r="BM28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289-1)/5),MAX((MIN(80,MAX(1,INT(((CROQUIS!$C$98)-CROQUIS!$C$107)/MAX(CROQUIS!$C$130,1))+1)))-1,0))*CROQUIS!$C$130),CHOOSE(IF(INT(($A289-1)/5)&gt;MAX((MIN(80,MAX(1,INT(((CROQUIS!$C$98)-CROQUIS!$C$107)/MAX(CROQUIS!$C$130,1))+1)))-1,0),0,MOD($A289-1,5))+1,0,IF(CROQUIS!$C$103=1,-12,2),CROQUIS!$C$107/2+CROQUIS!$C$140,IF(CROQUIS!$C$103=1,-12,2),0)))*CROQUIS!$C$155)+IF(CROQUIS!$C$92="X",0,0)),-1000)</f>
        <v>-1000</v>
      </c>
      <c r="BN289">
        <f>IF(AND(CROQUIS!$C$88=1,CROQUIS!$C$91=0,CROQUIS!$C$130&gt;0,OR(CROQUIS!$C$104=1,CROQUIS!$C$142=1)),((CROQUIS!$C$156+(IF(CROQUIS!$C$92="X",CHOOSE(IF(INT(($A289-1)/5)&gt;MAX((MIN(80,MAX(1,INT(((CROQUIS!$C$98)-CROQUIS!$C$107)/MAX(CROQUIS!$C$130,1))+1)))-1,0),0,MOD($A289-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289-1)/5),MAX((MIN(80,MAX(1,INT(((CROQUIS!$C$98)-CROQUIS!$C$107)/MAX(CROQUIS!$C$130,1))+1)))-1,0))*CROQUIS!$C$130)))*CROQUIS!$C$155)+IF(CROQUIS!$C$92="X",0,0)),-1000)</f>
        <v>-1000</v>
      </c>
      <c r="BO28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289-1)/5),MAX((MIN(80,MAX(1,INT(((CROQUIS!$C$98)-CROQUIS!$C$107)/MAX(CROQUIS!$C$130,1))+1)))-1,0))*CROQUIS!$C$130),CHOOSE(IF(INT(($A289-1)/5)&gt;MAX((MIN(80,MAX(1,INT(((CROQUIS!$C$98)-CROQUIS!$C$107)/MAX(CROQUIS!$C$130,1))+1)))-1,0),0,MOD($A289-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8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289-1)/5),MAX((MIN(80,MAX(1,INT(((CROQUIS!$C$97)-CROQUIS!$C$107)/MAX(CROQUIS!$C$138,1))+1)))-1,0))*CROQUIS!$C$138),CHOOSE(IF(INT(($A289-1)/5)&gt;MAX((MIN(80,MAX(1,INT(((CROQUIS!$C$97)-CROQUIS!$C$107)/MAX(CROQUIS!$C$138,1))+1)))-1,0),0,MOD($A289-1,5))+1,0,IF(CROQUIS!$C$105=1,-12,2),CROQUIS!$C$107/2+CROQUIS!$C$141,IF(CROQUIS!$C$105=1,-12,2),0)))*CROQUIS!$C$155)+IF(CROQUIS!$C$92="X",0,0)),-1000)</f>
        <v>-1000</v>
      </c>
      <c r="BQ289">
        <f>IF(AND(CROQUIS!$C$88=1,CROQUIS!$C$91=0,CROQUIS!$C$138&gt;0,OR(CROQUIS!$C$105=1,CROQUIS!$C$143=1)),((CROQUIS!$C$157+(IF(CROQUIS!$C$92="X",CHOOSE(IF(INT(($A289-1)/5)&gt;MAX((MIN(80,MAX(1,INT(((CROQUIS!$C$97)-CROQUIS!$C$107)/MAX(CROQUIS!$C$138,1))+1)))-1,0),0,MOD($A289-1,5))+1,0,IF(CROQUIS!$C$105=1,-12,2),CROQUIS!$C$107/2+CROQUIS!$C$141,IF(CROQUIS!$C$105=1,-12,2),0),((CROQUIS!$C$107/2+(((CROQUIS!$C$97)-CROQUIS!$C$107)-(MIN(80,MAX(1,INT(((CROQUIS!$C$97)-CROQUIS!$C$107)/MAX(CROQUIS!$C$138,1))+1))-1)*CROQUIS!$C$138)/2)+MIN(INT(($A289-1)/5),MAX((MIN(80,MAX(1,INT(((CROQUIS!$C$97)-CROQUIS!$C$107)/MAX(CROQUIS!$C$138,1))+1)))-1,0))*CROQUIS!$C$138)))*CROQUIS!$C$155)+IF(CROQUIS!$C$92="X",0,0)),-1000)</f>
        <v>-1000</v>
      </c>
      <c r="BR28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289-1)/5),MAX((MIN(80,MAX(1,INT(((CROQUIS!$C$97)-CROQUIS!$C$107)/MAX(CROQUIS!$C$138,1))+1)))-1,0))*CROQUIS!$C$138),CHOOSE(IF(INT(($A289-1)/5)&gt;MAX((MIN(80,MAX(1,INT(((CROQUIS!$C$97)-CROQUIS!$C$107)/MAX(CROQUIS!$C$138,1))+1)))-1,0),0,MOD($A289-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89">
        <f>IF(AND(CROQUIS!$C$88=1,CROQUIS!$C$91=0,CROQUIS!$C$138&gt;0,OR(CROQUIS!$C$106=1,CROQUIS!$C$143=1)),((CROQUIS!$C$157+(IF(CROQUIS!$C$92="X",CHOOSE(IF(INT(($A289-1)/5)&gt;MAX((MIN(80,MAX(1,INT(((CROQUIS!$C$97)-CROQUIS!$C$107)/MAX(CROQUIS!$C$138,1))+1)))-1,0),0,MOD($A289-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289-1)/5),MAX((MIN(80,MAX(1,INT(((CROQUIS!$C$97)-CROQUIS!$C$107)/MAX(CROQUIS!$C$138,1))+1)))-1,0))*CROQUIS!$C$138)))*CROQUIS!$C$155)+IF(CROQUIS!$C$92="X",0,0)),-1000)</f>
        <v>-1000</v>
      </c>
      <c r="BT289">
        <f>IF(AND(CROQUIS!$C$88=1,CROQUIS!$C$91=1,CROQUIS!$C$130&gt;0),((CROQUIS!$C$156+(IF(CROQUIS!$C$92="X",CHOOSE(IF(INT(($A289-1)/5)&gt;MAX((MIN(80,MAX(1,INT(((CROQUIS!$C$98)-CROQUIS!$C$107)/MAX(CROQUIS!$C$130,1))+1)))-1,0),0,MOD($A289-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289-1)/5),MAX((MIN(80,MAX(1,INT(((CROQUIS!$C$98)-CROQUIS!$C$107)/MAX(CROQUIS!$C$130,1))+1)))-1,0))*CROQUIS!$C$130)))*CROQUIS!$C$155)+IF(CROQUIS!$C$92="X",0,0)),-1000)</f>
        <v>-1000</v>
      </c>
      <c r="BU289">
        <f>IF(AND(CROQUIS!$C$88=1,CROQUIS!$C$91=1,CROQUIS!$C$130&gt;0),((CROQUIS!$C$157+(IF(CROQUIS!$C$92="X",((CROQUIS!$C$107/2+(((CROQUIS!$C$98)-CROQUIS!$C$107)-(MIN(80,MAX(1,INT(((CROQUIS!$C$98)-CROQUIS!$C$107)/MAX(CROQUIS!$C$130,1))+1))-1)*CROQUIS!$C$130)/2)+MIN(INT(($A289-1)/5),MAX((MIN(80,MAX(1,INT(((CROQUIS!$C$98)-CROQUIS!$C$107)/MAX(CROQUIS!$C$130,1))+1)))-1,0))*CROQUIS!$C$130),CHOOSE(IF(INT(($A289-1)/5)&gt;MAX((MIN(80,MAX(1,INT(((CROQUIS!$C$98)-CROQUIS!$C$107)/MAX(CROQUIS!$C$130,1))+1)))-1,0),0,MOD($A289-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90">
      <c r="A290" t="n">
        <v>283</v>
      </c>
      <c r="BH290">
        <f>IF(AND(CROQUIS!$C$88=1,CROQUIS!$C$126&gt;0),((CROQUIS!$C$156+(IF(CROQUIS!$C$92="X",CHOOSE(IF(INT(($A290-1)/5)&gt;MAX((MIN(80,MAX(1,INT(((CROQUIS!$C$98)-CROQUIS!$C$107)/MAX(CROQUIS!$C$126,1))+1)))-1,0),0,MOD($A290-1,5))+1,0,2,CROQUIS!$C$97-2,2,0),((CROQUIS!$C$107/2+(((CROQUIS!$C$98)-CROQUIS!$C$107)-(MIN(80,MAX(1,INT(((CROQUIS!$C$98)-CROQUIS!$C$107)/MAX(CROQUIS!$C$126,1))+1))-1)*CROQUIS!$C$126)/2)+MIN(INT(($A290-1)/5),MAX((MIN(80,MAX(1,INT(((CROQUIS!$C$98)-CROQUIS!$C$107)/MAX(CROQUIS!$C$126,1))+1)))-1,0))*CROQUIS!$C$126)))*CROQUIS!$C$155)+IF(CROQUIS!$C$92="X",0,0)),-1000)</f>
        <v>-1000</v>
      </c>
      <c r="BI290">
        <f>IF(AND(CROQUIS!$C$88=1,CROQUIS!$C$126&gt;0),((CROQUIS!$C$157+(IF(CROQUIS!$C$92="X",((CROQUIS!$C$107/2+(((CROQUIS!$C$98)-CROQUIS!$C$107)-(MIN(80,MAX(1,INT(((CROQUIS!$C$98)-CROQUIS!$C$107)/MAX(CROQUIS!$C$126,1))+1))-1)*CROQUIS!$C$126)/2)+MIN(INT(($A290-1)/5),MAX((MIN(80,MAX(1,INT(((CROQUIS!$C$98)-CROQUIS!$C$107)/MAX(CROQUIS!$C$126,1))+1)))-1,0))*CROQUIS!$C$126),CHOOSE(IF(INT(($A290-1)/5)&gt;MAX((MIN(80,MAX(1,INT(((CROQUIS!$C$98)-CROQUIS!$C$107)/MAX(CROQUIS!$C$126,1))+1)))-1,0),0,MOD($A290-1,5))+1,0,2,CROQUIS!$C$97-2,2,0)))*CROQUIS!$C$155)+IF(CROQUIS!$C$92="X",0,0)),-1000)</f>
        <v>-1000</v>
      </c>
      <c r="BJ290">
        <f>IF(AND(CROQUIS!$C$88=1,CROQUIS!$C$134&gt;0),((CROQUIS!$C$156+(IF(CROQUIS!$C$92="X",((CROQUIS!$C$107/2+(((CROQUIS!$C$97)-CROQUIS!$C$107)-(MIN(80,MAX(1,INT(((CROQUIS!$C$97)-CROQUIS!$C$107)/MAX(CROQUIS!$C$134,1))+1))-1)*CROQUIS!$C$134)/2)+MIN(INT(($A290-1)/5),MAX((MIN(80,MAX(1,INT(((CROQUIS!$C$97)-CROQUIS!$C$107)/MAX(CROQUIS!$C$134,1))+1)))-1,0))*CROQUIS!$C$134),CHOOSE(IF(INT(($A290-1)/5)&gt;MAX((MIN(80,MAX(1,INT(((CROQUIS!$C$97)-CROQUIS!$C$107)/MAX(CROQUIS!$C$134,1))+1)))-1,0),0,MOD($A290-1,5))+1,0,2,CROQUIS!$C$98-2,2,0)))*CROQUIS!$C$155)+IF(CROQUIS!$C$92="X",0,0)),-1000)</f>
        <v>-1000</v>
      </c>
      <c r="BK290">
        <f>IF(AND(CROQUIS!$C$88=1,CROQUIS!$C$134&gt;0),((CROQUIS!$C$157+(IF(CROQUIS!$C$92="X",CHOOSE(IF(INT(($A290-1)/5)&gt;MAX((MIN(80,MAX(1,INT(((CROQUIS!$C$97)-CROQUIS!$C$107)/MAX(CROQUIS!$C$134,1))+1)))-1,0),0,MOD($A290-1,5))+1,0,2,CROQUIS!$C$98-2,2,0),((CROQUIS!$C$107/2+(((CROQUIS!$C$97)-CROQUIS!$C$107)-(MIN(80,MAX(1,INT(((CROQUIS!$C$97)-CROQUIS!$C$107)/MAX(CROQUIS!$C$134,1))+1))-1)*CROQUIS!$C$134)/2)+MIN(INT(($A290-1)/5),MAX((MIN(80,MAX(1,INT(((CROQUIS!$C$97)-CROQUIS!$C$107)/MAX(CROQUIS!$C$134,1))+1)))-1,0))*CROQUIS!$C$134)))*CROQUIS!$C$155)+IF(CROQUIS!$C$92="X",0,0)),-1000)</f>
        <v>-1000</v>
      </c>
      <c r="BL290">
        <f>IF(AND(CROQUIS!$C$88=1,CROQUIS!$C$91=0,CROQUIS!$C$130&gt;0,OR(CROQUIS!$C$103=1,CROQUIS!$C$142=1)),((CROQUIS!$C$156+(IF(CROQUIS!$C$92="X",CHOOSE(IF(INT(($A290-1)/5)&gt;MAX((MIN(80,MAX(1,INT(((CROQUIS!$C$98)-CROQUIS!$C$107)/MAX(CROQUIS!$C$130,1))+1)))-1,0),0,MOD($A290-1,5))+1,0,IF(CROQUIS!$C$103=1,-12,2),CROQUIS!$C$107/2+CROQUIS!$C$140,IF(CROQUIS!$C$103=1,-12,2),0),((CROQUIS!$C$107/2+(((CROQUIS!$C$98)-CROQUIS!$C$107)-(MIN(80,MAX(1,INT(((CROQUIS!$C$98)-CROQUIS!$C$107)/MAX(CROQUIS!$C$130,1))+1))-1)*CROQUIS!$C$130)/2)+MIN(INT(($A290-1)/5),MAX((MIN(80,MAX(1,INT(((CROQUIS!$C$98)-CROQUIS!$C$107)/MAX(CROQUIS!$C$130,1))+1)))-1,0))*CROQUIS!$C$130)))*CROQUIS!$C$155)+IF(CROQUIS!$C$92="X",0,0)),-1000)</f>
        <v>-1000</v>
      </c>
      <c r="BM29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290-1)/5),MAX((MIN(80,MAX(1,INT(((CROQUIS!$C$98)-CROQUIS!$C$107)/MAX(CROQUIS!$C$130,1))+1)))-1,0))*CROQUIS!$C$130),CHOOSE(IF(INT(($A290-1)/5)&gt;MAX((MIN(80,MAX(1,INT(((CROQUIS!$C$98)-CROQUIS!$C$107)/MAX(CROQUIS!$C$130,1))+1)))-1,0),0,MOD($A290-1,5))+1,0,IF(CROQUIS!$C$103=1,-12,2),CROQUIS!$C$107/2+CROQUIS!$C$140,IF(CROQUIS!$C$103=1,-12,2),0)))*CROQUIS!$C$155)+IF(CROQUIS!$C$92="X",0,0)),-1000)</f>
        <v>-1000</v>
      </c>
      <c r="BN290">
        <f>IF(AND(CROQUIS!$C$88=1,CROQUIS!$C$91=0,CROQUIS!$C$130&gt;0,OR(CROQUIS!$C$104=1,CROQUIS!$C$142=1)),((CROQUIS!$C$156+(IF(CROQUIS!$C$92="X",CHOOSE(IF(INT(($A290-1)/5)&gt;MAX((MIN(80,MAX(1,INT(((CROQUIS!$C$98)-CROQUIS!$C$107)/MAX(CROQUIS!$C$130,1))+1)))-1,0),0,MOD($A290-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290-1)/5),MAX((MIN(80,MAX(1,INT(((CROQUIS!$C$98)-CROQUIS!$C$107)/MAX(CROQUIS!$C$130,1))+1)))-1,0))*CROQUIS!$C$130)))*CROQUIS!$C$155)+IF(CROQUIS!$C$92="X",0,0)),-1000)</f>
        <v>-1000</v>
      </c>
      <c r="BO29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290-1)/5),MAX((MIN(80,MAX(1,INT(((CROQUIS!$C$98)-CROQUIS!$C$107)/MAX(CROQUIS!$C$130,1))+1)))-1,0))*CROQUIS!$C$130),CHOOSE(IF(INT(($A290-1)/5)&gt;MAX((MIN(80,MAX(1,INT(((CROQUIS!$C$98)-CROQUIS!$C$107)/MAX(CROQUIS!$C$130,1))+1)))-1,0),0,MOD($A290-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9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290-1)/5),MAX((MIN(80,MAX(1,INT(((CROQUIS!$C$97)-CROQUIS!$C$107)/MAX(CROQUIS!$C$138,1))+1)))-1,0))*CROQUIS!$C$138),CHOOSE(IF(INT(($A290-1)/5)&gt;MAX((MIN(80,MAX(1,INT(((CROQUIS!$C$97)-CROQUIS!$C$107)/MAX(CROQUIS!$C$138,1))+1)))-1,0),0,MOD($A290-1,5))+1,0,IF(CROQUIS!$C$105=1,-12,2),CROQUIS!$C$107/2+CROQUIS!$C$141,IF(CROQUIS!$C$105=1,-12,2),0)))*CROQUIS!$C$155)+IF(CROQUIS!$C$92="X",0,0)),-1000)</f>
        <v>-1000</v>
      </c>
      <c r="BQ290">
        <f>IF(AND(CROQUIS!$C$88=1,CROQUIS!$C$91=0,CROQUIS!$C$138&gt;0,OR(CROQUIS!$C$105=1,CROQUIS!$C$143=1)),((CROQUIS!$C$157+(IF(CROQUIS!$C$92="X",CHOOSE(IF(INT(($A290-1)/5)&gt;MAX((MIN(80,MAX(1,INT(((CROQUIS!$C$97)-CROQUIS!$C$107)/MAX(CROQUIS!$C$138,1))+1)))-1,0),0,MOD($A290-1,5))+1,0,IF(CROQUIS!$C$105=1,-12,2),CROQUIS!$C$107/2+CROQUIS!$C$141,IF(CROQUIS!$C$105=1,-12,2),0),((CROQUIS!$C$107/2+(((CROQUIS!$C$97)-CROQUIS!$C$107)-(MIN(80,MAX(1,INT(((CROQUIS!$C$97)-CROQUIS!$C$107)/MAX(CROQUIS!$C$138,1))+1))-1)*CROQUIS!$C$138)/2)+MIN(INT(($A290-1)/5),MAX((MIN(80,MAX(1,INT(((CROQUIS!$C$97)-CROQUIS!$C$107)/MAX(CROQUIS!$C$138,1))+1)))-1,0))*CROQUIS!$C$138)))*CROQUIS!$C$155)+IF(CROQUIS!$C$92="X",0,0)),-1000)</f>
        <v>-1000</v>
      </c>
      <c r="BR29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290-1)/5),MAX((MIN(80,MAX(1,INT(((CROQUIS!$C$97)-CROQUIS!$C$107)/MAX(CROQUIS!$C$138,1))+1)))-1,0))*CROQUIS!$C$138),CHOOSE(IF(INT(($A290-1)/5)&gt;MAX((MIN(80,MAX(1,INT(((CROQUIS!$C$97)-CROQUIS!$C$107)/MAX(CROQUIS!$C$138,1))+1)))-1,0),0,MOD($A290-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90">
        <f>IF(AND(CROQUIS!$C$88=1,CROQUIS!$C$91=0,CROQUIS!$C$138&gt;0,OR(CROQUIS!$C$106=1,CROQUIS!$C$143=1)),((CROQUIS!$C$157+(IF(CROQUIS!$C$92="X",CHOOSE(IF(INT(($A290-1)/5)&gt;MAX((MIN(80,MAX(1,INT(((CROQUIS!$C$97)-CROQUIS!$C$107)/MAX(CROQUIS!$C$138,1))+1)))-1,0),0,MOD($A290-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290-1)/5),MAX((MIN(80,MAX(1,INT(((CROQUIS!$C$97)-CROQUIS!$C$107)/MAX(CROQUIS!$C$138,1))+1)))-1,0))*CROQUIS!$C$138)))*CROQUIS!$C$155)+IF(CROQUIS!$C$92="X",0,0)),-1000)</f>
        <v>-1000</v>
      </c>
      <c r="BT290">
        <f>IF(AND(CROQUIS!$C$88=1,CROQUIS!$C$91=1,CROQUIS!$C$130&gt;0),((CROQUIS!$C$156+(IF(CROQUIS!$C$92="X",CHOOSE(IF(INT(($A290-1)/5)&gt;MAX((MIN(80,MAX(1,INT(((CROQUIS!$C$98)-CROQUIS!$C$107)/MAX(CROQUIS!$C$130,1))+1)))-1,0),0,MOD($A290-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290-1)/5),MAX((MIN(80,MAX(1,INT(((CROQUIS!$C$98)-CROQUIS!$C$107)/MAX(CROQUIS!$C$130,1))+1)))-1,0))*CROQUIS!$C$130)))*CROQUIS!$C$155)+IF(CROQUIS!$C$92="X",0,0)),-1000)</f>
        <v>-1000</v>
      </c>
      <c r="BU290">
        <f>IF(AND(CROQUIS!$C$88=1,CROQUIS!$C$91=1,CROQUIS!$C$130&gt;0),((CROQUIS!$C$157+(IF(CROQUIS!$C$92="X",((CROQUIS!$C$107/2+(((CROQUIS!$C$98)-CROQUIS!$C$107)-(MIN(80,MAX(1,INT(((CROQUIS!$C$98)-CROQUIS!$C$107)/MAX(CROQUIS!$C$130,1))+1))-1)*CROQUIS!$C$130)/2)+MIN(INT(($A290-1)/5),MAX((MIN(80,MAX(1,INT(((CROQUIS!$C$98)-CROQUIS!$C$107)/MAX(CROQUIS!$C$130,1))+1)))-1,0))*CROQUIS!$C$130),CHOOSE(IF(INT(($A290-1)/5)&gt;MAX((MIN(80,MAX(1,INT(((CROQUIS!$C$98)-CROQUIS!$C$107)/MAX(CROQUIS!$C$130,1))+1)))-1,0),0,MOD($A290-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91">
      <c r="A291" t="n">
        <v>284</v>
      </c>
      <c r="BH291">
        <f>IF(AND(CROQUIS!$C$88=1,CROQUIS!$C$126&gt;0),((CROQUIS!$C$156+(IF(CROQUIS!$C$92="X",CHOOSE(IF(INT(($A291-1)/5)&gt;MAX((MIN(80,MAX(1,INT(((CROQUIS!$C$98)-CROQUIS!$C$107)/MAX(CROQUIS!$C$126,1))+1)))-1,0),0,MOD($A291-1,5))+1,0,2,CROQUIS!$C$97-2,2,0),((CROQUIS!$C$107/2+(((CROQUIS!$C$98)-CROQUIS!$C$107)-(MIN(80,MAX(1,INT(((CROQUIS!$C$98)-CROQUIS!$C$107)/MAX(CROQUIS!$C$126,1))+1))-1)*CROQUIS!$C$126)/2)+MIN(INT(($A291-1)/5),MAX((MIN(80,MAX(1,INT(((CROQUIS!$C$98)-CROQUIS!$C$107)/MAX(CROQUIS!$C$126,1))+1)))-1,0))*CROQUIS!$C$126)))*CROQUIS!$C$155)+IF(CROQUIS!$C$92="X",0,0)),-1000)</f>
        <v>-1000</v>
      </c>
      <c r="BI291">
        <f>IF(AND(CROQUIS!$C$88=1,CROQUIS!$C$126&gt;0),((CROQUIS!$C$157+(IF(CROQUIS!$C$92="X",((CROQUIS!$C$107/2+(((CROQUIS!$C$98)-CROQUIS!$C$107)-(MIN(80,MAX(1,INT(((CROQUIS!$C$98)-CROQUIS!$C$107)/MAX(CROQUIS!$C$126,1))+1))-1)*CROQUIS!$C$126)/2)+MIN(INT(($A291-1)/5),MAX((MIN(80,MAX(1,INT(((CROQUIS!$C$98)-CROQUIS!$C$107)/MAX(CROQUIS!$C$126,1))+1)))-1,0))*CROQUIS!$C$126),CHOOSE(IF(INT(($A291-1)/5)&gt;MAX((MIN(80,MAX(1,INT(((CROQUIS!$C$98)-CROQUIS!$C$107)/MAX(CROQUIS!$C$126,1))+1)))-1,0),0,MOD($A291-1,5))+1,0,2,CROQUIS!$C$97-2,2,0)))*CROQUIS!$C$155)+IF(CROQUIS!$C$92="X",0,0)),-1000)</f>
        <v>-1000</v>
      </c>
      <c r="BJ291">
        <f>IF(AND(CROQUIS!$C$88=1,CROQUIS!$C$134&gt;0),((CROQUIS!$C$156+(IF(CROQUIS!$C$92="X",((CROQUIS!$C$107/2+(((CROQUIS!$C$97)-CROQUIS!$C$107)-(MIN(80,MAX(1,INT(((CROQUIS!$C$97)-CROQUIS!$C$107)/MAX(CROQUIS!$C$134,1))+1))-1)*CROQUIS!$C$134)/2)+MIN(INT(($A291-1)/5),MAX((MIN(80,MAX(1,INT(((CROQUIS!$C$97)-CROQUIS!$C$107)/MAX(CROQUIS!$C$134,1))+1)))-1,0))*CROQUIS!$C$134),CHOOSE(IF(INT(($A291-1)/5)&gt;MAX((MIN(80,MAX(1,INT(((CROQUIS!$C$97)-CROQUIS!$C$107)/MAX(CROQUIS!$C$134,1))+1)))-1,0),0,MOD($A291-1,5))+1,0,2,CROQUIS!$C$98-2,2,0)))*CROQUIS!$C$155)+IF(CROQUIS!$C$92="X",0,0)),-1000)</f>
        <v>-1000</v>
      </c>
      <c r="BK291">
        <f>IF(AND(CROQUIS!$C$88=1,CROQUIS!$C$134&gt;0),((CROQUIS!$C$157+(IF(CROQUIS!$C$92="X",CHOOSE(IF(INT(($A291-1)/5)&gt;MAX((MIN(80,MAX(1,INT(((CROQUIS!$C$97)-CROQUIS!$C$107)/MAX(CROQUIS!$C$134,1))+1)))-1,0),0,MOD($A291-1,5))+1,0,2,CROQUIS!$C$98-2,2,0),((CROQUIS!$C$107/2+(((CROQUIS!$C$97)-CROQUIS!$C$107)-(MIN(80,MAX(1,INT(((CROQUIS!$C$97)-CROQUIS!$C$107)/MAX(CROQUIS!$C$134,1))+1))-1)*CROQUIS!$C$134)/2)+MIN(INT(($A291-1)/5),MAX((MIN(80,MAX(1,INT(((CROQUIS!$C$97)-CROQUIS!$C$107)/MAX(CROQUIS!$C$134,1))+1)))-1,0))*CROQUIS!$C$134)))*CROQUIS!$C$155)+IF(CROQUIS!$C$92="X",0,0)),-1000)</f>
        <v>-1000</v>
      </c>
      <c r="BL291">
        <f>IF(AND(CROQUIS!$C$88=1,CROQUIS!$C$91=0,CROQUIS!$C$130&gt;0,OR(CROQUIS!$C$103=1,CROQUIS!$C$142=1)),((CROQUIS!$C$156+(IF(CROQUIS!$C$92="X",CHOOSE(IF(INT(($A291-1)/5)&gt;MAX((MIN(80,MAX(1,INT(((CROQUIS!$C$98)-CROQUIS!$C$107)/MAX(CROQUIS!$C$130,1))+1)))-1,0),0,MOD($A291-1,5))+1,0,IF(CROQUIS!$C$103=1,-12,2),CROQUIS!$C$107/2+CROQUIS!$C$140,IF(CROQUIS!$C$103=1,-12,2),0),((CROQUIS!$C$107/2+(((CROQUIS!$C$98)-CROQUIS!$C$107)-(MIN(80,MAX(1,INT(((CROQUIS!$C$98)-CROQUIS!$C$107)/MAX(CROQUIS!$C$130,1))+1))-1)*CROQUIS!$C$130)/2)+MIN(INT(($A291-1)/5),MAX((MIN(80,MAX(1,INT(((CROQUIS!$C$98)-CROQUIS!$C$107)/MAX(CROQUIS!$C$130,1))+1)))-1,0))*CROQUIS!$C$130)))*CROQUIS!$C$155)+IF(CROQUIS!$C$92="X",0,0)),-1000)</f>
        <v>-1000</v>
      </c>
      <c r="BM29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291-1)/5),MAX((MIN(80,MAX(1,INT(((CROQUIS!$C$98)-CROQUIS!$C$107)/MAX(CROQUIS!$C$130,1))+1)))-1,0))*CROQUIS!$C$130),CHOOSE(IF(INT(($A291-1)/5)&gt;MAX((MIN(80,MAX(1,INT(((CROQUIS!$C$98)-CROQUIS!$C$107)/MAX(CROQUIS!$C$130,1))+1)))-1,0),0,MOD($A291-1,5))+1,0,IF(CROQUIS!$C$103=1,-12,2),CROQUIS!$C$107/2+CROQUIS!$C$140,IF(CROQUIS!$C$103=1,-12,2),0)))*CROQUIS!$C$155)+IF(CROQUIS!$C$92="X",0,0)),-1000)</f>
        <v>-1000</v>
      </c>
      <c r="BN291">
        <f>IF(AND(CROQUIS!$C$88=1,CROQUIS!$C$91=0,CROQUIS!$C$130&gt;0,OR(CROQUIS!$C$104=1,CROQUIS!$C$142=1)),((CROQUIS!$C$156+(IF(CROQUIS!$C$92="X",CHOOSE(IF(INT(($A291-1)/5)&gt;MAX((MIN(80,MAX(1,INT(((CROQUIS!$C$98)-CROQUIS!$C$107)/MAX(CROQUIS!$C$130,1))+1)))-1,0),0,MOD($A291-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291-1)/5),MAX((MIN(80,MAX(1,INT(((CROQUIS!$C$98)-CROQUIS!$C$107)/MAX(CROQUIS!$C$130,1))+1)))-1,0))*CROQUIS!$C$130)))*CROQUIS!$C$155)+IF(CROQUIS!$C$92="X",0,0)),-1000)</f>
        <v>-1000</v>
      </c>
      <c r="BO29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291-1)/5),MAX((MIN(80,MAX(1,INT(((CROQUIS!$C$98)-CROQUIS!$C$107)/MAX(CROQUIS!$C$130,1))+1)))-1,0))*CROQUIS!$C$130),CHOOSE(IF(INT(($A291-1)/5)&gt;MAX((MIN(80,MAX(1,INT(((CROQUIS!$C$98)-CROQUIS!$C$107)/MAX(CROQUIS!$C$130,1))+1)))-1,0),0,MOD($A291-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9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291-1)/5),MAX((MIN(80,MAX(1,INT(((CROQUIS!$C$97)-CROQUIS!$C$107)/MAX(CROQUIS!$C$138,1))+1)))-1,0))*CROQUIS!$C$138),CHOOSE(IF(INT(($A291-1)/5)&gt;MAX((MIN(80,MAX(1,INT(((CROQUIS!$C$97)-CROQUIS!$C$107)/MAX(CROQUIS!$C$138,1))+1)))-1,0),0,MOD($A291-1,5))+1,0,IF(CROQUIS!$C$105=1,-12,2),CROQUIS!$C$107/2+CROQUIS!$C$141,IF(CROQUIS!$C$105=1,-12,2),0)))*CROQUIS!$C$155)+IF(CROQUIS!$C$92="X",0,0)),-1000)</f>
        <v>-1000</v>
      </c>
      <c r="BQ291">
        <f>IF(AND(CROQUIS!$C$88=1,CROQUIS!$C$91=0,CROQUIS!$C$138&gt;0,OR(CROQUIS!$C$105=1,CROQUIS!$C$143=1)),((CROQUIS!$C$157+(IF(CROQUIS!$C$92="X",CHOOSE(IF(INT(($A291-1)/5)&gt;MAX((MIN(80,MAX(1,INT(((CROQUIS!$C$97)-CROQUIS!$C$107)/MAX(CROQUIS!$C$138,1))+1)))-1,0),0,MOD($A291-1,5))+1,0,IF(CROQUIS!$C$105=1,-12,2),CROQUIS!$C$107/2+CROQUIS!$C$141,IF(CROQUIS!$C$105=1,-12,2),0),((CROQUIS!$C$107/2+(((CROQUIS!$C$97)-CROQUIS!$C$107)-(MIN(80,MAX(1,INT(((CROQUIS!$C$97)-CROQUIS!$C$107)/MAX(CROQUIS!$C$138,1))+1))-1)*CROQUIS!$C$138)/2)+MIN(INT(($A291-1)/5),MAX((MIN(80,MAX(1,INT(((CROQUIS!$C$97)-CROQUIS!$C$107)/MAX(CROQUIS!$C$138,1))+1)))-1,0))*CROQUIS!$C$138)))*CROQUIS!$C$155)+IF(CROQUIS!$C$92="X",0,0)),-1000)</f>
        <v>-1000</v>
      </c>
      <c r="BR29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291-1)/5),MAX((MIN(80,MAX(1,INT(((CROQUIS!$C$97)-CROQUIS!$C$107)/MAX(CROQUIS!$C$138,1))+1)))-1,0))*CROQUIS!$C$138),CHOOSE(IF(INT(($A291-1)/5)&gt;MAX((MIN(80,MAX(1,INT(((CROQUIS!$C$97)-CROQUIS!$C$107)/MAX(CROQUIS!$C$138,1))+1)))-1,0),0,MOD($A291-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91">
        <f>IF(AND(CROQUIS!$C$88=1,CROQUIS!$C$91=0,CROQUIS!$C$138&gt;0,OR(CROQUIS!$C$106=1,CROQUIS!$C$143=1)),((CROQUIS!$C$157+(IF(CROQUIS!$C$92="X",CHOOSE(IF(INT(($A291-1)/5)&gt;MAX((MIN(80,MAX(1,INT(((CROQUIS!$C$97)-CROQUIS!$C$107)/MAX(CROQUIS!$C$138,1))+1)))-1,0),0,MOD($A291-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291-1)/5),MAX((MIN(80,MAX(1,INT(((CROQUIS!$C$97)-CROQUIS!$C$107)/MAX(CROQUIS!$C$138,1))+1)))-1,0))*CROQUIS!$C$138)))*CROQUIS!$C$155)+IF(CROQUIS!$C$92="X",0,0)),-1000)</f>
        <v>-1000</v>
      </c>
      <c r="BT291">
        <f>IF(AND(CROQUIS!$C$88=1,CROQUIS!$C$91=1,CROQUIS!$C$130&gt;0),((CROQUIS!$C$156+(IF(CROQUIS!$C$92="X",CHOOSE(IF(INT(($A291-1)/5)&gt;MAX((MIN(80,MAX(1,INT(((CROQUIS!$C$98)-CROQUIS!$C$107)/MAX(CROQUIS!$C$130,1))+1)))-1,0),0,MOD($A291-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291-1)/5),MAX((MIN(80,MAX(1,INT(((CROQUIS!$C$98)-CROQUIS!$C$107)/MAX(CROQUIS!$C$130,1))+1)))-1,0))*CROQUIS!$C$130)))*CROQUIS!$C$155)+IF(CROQUIS!$C$92="X",0,0)),-1000)</f>
        <v>-1000</v>
      </c>
      <c r="BU291">
        <f>IF(AND(CROQUIS!$C$88=1,CROQUIS!$C$91=1,CROQUIS!$C$130&gt;0),((CROQUIS!$C$157+(IF(CROQUIS!$C$92="X",((CROQUIS!$C$107/2+(((CROQUIS!$C$98)-CROQUIS!$C$107)-(MIN(80,MAX(1,INT(((CROQUIS!$C$98)-CROQUIS!$C$107)/MAX(CROQUIS!$C$130,1))+1))-1)*CROQUIS!$C$130)/2)+MIN(INT(($A291-1)/5),MAX((MIN(80,MAX(1,INT(((CROQUIS!$C$98)-CROQUIS!$C$107)/MAX(CROQUIS!$C$130,1))+1)))-1,0))*CROQUIS!$C$130),CHOOSE(IF(INT(($A291-1)/5)&gt;MAX((MIN(80,MAX(1,INT(((CROQUIS!$C$98)-CROQUIS!$C$107)/MAX(CROQUIS!$C$130,1))+1)))-1,0),0,MOD($A291-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92">
      <c r="A292" t="n">
        <v>285</v>
      </c>
      <c r="BH292">
        <f>IF(AND(CROQUIS!$C$88=1,CROQUIS!$C$126&gt;0),((CROQUIS!$C$156+(IF(CROQUIS!$C$92="X",CHOOSE(IF(INT(($A292-1)/5)&gt;MAX((MIN(80,MAX(1,INT(((CROQUIS!$C$98)-CROQUIS!$C$107)/MAX(CROQUIS!$C$126,1))+1)))-1,0),0,MOD($A292-1,5))+1,0,2,CROQUIS!$C$97-2,2,0),((CROQUIS!$C$107/2+(((CROQUIS!$C$98)-CROQUIS!$C$107)-(MIN(80,MAX(1,INT(((CROQUIS!$C$98)-CROQUIS!$C$107)/MAX(CROQUIS!$C$126,1))+1))-1)*CROQUIS!$C$126)/2)+MIN(INT(($A292-1)/5),MAX((MIN(80,MAX(1,INT(((CROQUIS!$C$98)-CROQUIS!$C$107)/MAX(CROQUIS!$C$126,1))+1)))-1,0))*CROQUIS!$C$126)))*CROQUIS!$C$155)+IF(CROQUIS!$C$92="X",0,0)),-1000)</f>
        <v>-1000</v>
      </c>
      <c r="BI292">
        <f>IF(AND(CROQUIS!$C$88=1,CROQUIS!$C$126&gt;0),((CROQUIS!$C$157+(IF(CROQUIS!$C$92="X",((CROQUIS!$C$107/2+(((CROQUIS!$C$98)-CROQUIS!$C$107)-(MIN(80,MAX(1,INT(((CROQUIS!$C$98)-CROQUIS!$C$107)/MAX(CROQUIS!$C$126,1))+1))-1)*CROQUIS!$C$126)/2)+MIN(INT(($A292-1)/5),MAX((MIN(80,MAX(1,INT(((CROQUIS!$C$98)-CROQUIS!$C$107)/MAX(CROQUIS!$C$126,1))+1)))-1,0))*CROQUIS!$C$126),CHOOSE(IF(INT(($A292-1)/5)&gt;MAX((MIN(80,MAX(1,INT(((CROQUIS!$C$98)-CROQUIS!$C$107)/MAX(CROQUIS!$C$126,1))+1)))-1,0),0,MOD($A292-1,5))+1,0,2,CROQUIS!$C$97-2,2,0)))*CROQUIS!$C$155)+IF(CROQUIS!$C$92="X",0,0)),-1000)</f>
        <v>-1000</v>
      </c>
      <c r="BJ292">
        <f>IF(AND(CROQUIS!$C$88=1,CROQUIS!$C$134&gt;0),((CROQUIS!$C$156+(IF(CROQUIS!$C$92="X",((CROQUIS!$C$107/2+(((CROQUIS!$C$97)-CROQUIS!$C$107)-(MIN(80,MAX(1,INT(((CROQUIS!$C$97)-CROQUIS!$C$107)/MAX(CROQUIS!$C$134,1))+1))-1)*CROQUIS!$C$134)/2)+MIN(INT(($A292-1)/5),MAX((MIN(80,MAX(1,INT(((CROQUIS!$C$97)-CROQUIS!$C$107)/MAX(CROQUIS!$C$134,1))+1)))-1,0))*CROQUIS!$C$134),CHOOSE(IF(INT(($A292-1)/5)&gt;MAX((MIN(80,MAX(1,INT(((CROQUIS!$C$97)-CROQUIS!$C$107)/MAX(CROQUIS!$C$134,1))+1)))-1,0),0,MOD($A292-1,5))+1,0,2,CROQUIS!$C$98-2,2,0)))*CROQUIS!$C$155)+IF(CROQUIS!$C$92="X",0,0)),-1000)</f>
        <v>-1000</v>
      </c>
      <c r="BK292">
        <f>IF(AND(CROQUIS!$C$88=1,CROQUIS!$C$134&gt;0),((CROQUIS!$C$157+(IF(CROQUIS!$C$92="X",CHOOSE(IF(INT(($A292-1)/5)&gt;MAX((MIN(80,MAX(1,INT(((CROQUIS!$C$97)-CROQUIS!$C$107)/MAX(CROQUIS!$C$134,1))+1)))-1,0),0,MOD($A292-1,5))+1,0,2,CROQUIS!$C$98-2,2,0),((CROQUIS!$C$107/2+(((CROQUIS!$C$97)-CROQUIS!$C$107)-(MIN(80,MAX(1,INT(((CROQUIS!$C$97)-CROQUIS!$C$107)/MAX(CROQUIS!$C$134,1))+1))-1)*CROQUIS!$C$134)/2)+MIN(INT(($A292-1)/5),MAX((MIN(80,MAX(1,INT(((CROQUIS!$C$97)-CROQUIS!$C$107)/MAX(CROQUIS!$C$134,1))+1)))-1,0))*CROQUIS!$C$134)))*CROQUIS!$C$155)+IF(CROQUIS!$C$92="X",0,0)),-1000)</f>
        <v>-1000</v>
      </c>
      <c r="BL292">
        <f>IF(AND(CROQUIS!$C$88=1,CROQUIS!$C$91=0,CROQUIS!$C$130&gt;0,OR(CROQUIS!$C$103=1,CROQUIS!$C$142=1)),((CROQUIS!$C$156+(IF(CROQUIS!$C$92="X",CHOOSE(IF(INT(($A292-1)/5)&gt;MAX((MIN(80,MAX(1,INT(((CROQUIS!$C$98)-CROQUIS!$C$107)/MAX(CROQUIS!$C$130,1))+1)))-1,0),0,MOD($A292-1,5))+1,0,IF(CROQUIS!$C$103=1,-12,2),CROQUIS!$C$107/2+CROQUIS!$C$140,IF(CROQUIS!$C$103=1,-12,2),0),((CROQUIS!$C$107/2+(((CROQUIS!$C$98)-CROQUIS!$C$107)-(MIN(80,MAX(1,INT(((CROQUIS!$C$98)-CROQUIS!$C$107)/MAX(CROQUIS!$C$130,1))+1))-1)*CROQUIS!$C$130)/2)+MIN(INT(($A292-1)/5),MAX((MIN(80,MAX(1,INT(((CROQUIS!$C$98)-CROQUIS!$C$107)/MAX(CROQUIS!$C$130,1))+1)))-1,0))*CROQUIS!$C$130)))*CROQUIS!$C$155)+IF(CROQUIS!$C$92="X",0,0)),-1000)</f>
        <v>-1000</v>
      </c>
      <c r="BM29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292-1)/5),MAX((MIN(80,MAX(1,INT(((CROQUIS!$C$98)-CROQUIS!$C$107)/MAX(CROQUIS!$C$130,1))+1)))-1,0))*CROQUIS!$C$130),CHOOSE(IF(INT(($A292-1)/5)&gt;MAX((MIN(80,MAX(1,INT(((CROQUIS!$C$98)-CROQUIS!$C$107)/MAX(CROQUIS!$C$130,1))+1)))-1,0),0,MOD($A292-1,5))+1,0,IF(CROQUIS!$C$103=1,-12,2),CROQUIS!$C$107/2+CROQUIS!$C$140,IF(CROQUIS!$C$103=1,-12,2),0)))*CROQUIS!$C$155)+IF(CROQUIS!$C$92="X",0,0)),-1000)</f>
        <v>-1000</v>
      </c>
      <c r="BN292">
        <f>IF(AND(CROQUIS!$C$88=1,CROQUIS!$C$91=0,CROQUIS!$C$130&gt;0,OR(CROQUIS!$C$104=1,CROQUIS!$C$142=1)),((CROQUIS!$C$156+(IF(CROQUIS!$C$92="X",CHOOSE(IF(INT(($A292-1)/5)&gt;MAX((MIN(80,MAX(1,INT(((CROQUIS!$C$98)-CROQUIS!$C$107)/MAX(CROQUIS!$C$130,1))+1)))-1,0),0,MOD($A292-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292-1)/5),MAX((MIN(80,MAX(1,INT(((CROQUIS!$C$98)-CROQUIS!$C$107)/MAX(CROQUIS!$C$130,1))+1)))-1,0))*CROQUIS!$C$130)))*CROQUIS!$C$155)+IF(CROQUIS!$C$92="X",0,0)),-1000)</f>
        <v>-1000</v>
      </c>
      <c r="BO29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292-1)/5),MAX((MIN(80,MAX(1,INT(((CROQUIS!$C$98)-CROQUIS!$C$107)/MAX(CROQUIS!$C$130,1))+1)))-1,0))*CROQUIS!$C$130),CHOOSE(IF(INT(($A292-1)/5)&gt;MAX((MIN(80,MAX(1,INT(((CROQUIS!$C$98)-CROQUIS!$C$107)/MAX(CROQUIS!$C$130,1))+1)))-1,0),0,MOD($A292-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9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292-1)/5),MAX((MIN(80,MAX(1,INT(((CROQUIS!$C$97)-CROQUIS!$C$107)/MAX(CROQUIS!$C$138,1))+1)))-1,0))*CROQUIS!$C$138),CHOOSE(IF(INT(($A292-1)/5)&gt;MAX((MIN(80,MAX(1,INT(((CROQUIS!$C$97)-CROQUIS!$C$107)/MAX(CROQUIS!$C$138,1))+1)))-1,0),0,MOD($A292-1,5))+1,0,IF(CROQUIS!$C$105=1,-12,2),CROQUIS!$C$107/2+CROQUIS!$C$141,IF(CROQUIS!$C$105=1,-12,2),0)))*CROQUIS!$C$155)+IF(CROQUIS!$C$92="X",0,0)),-1000)</f>
        <v>-1000</v>
      </c>
      <c r="BQ292">
        <f>IF(AND(CROQUIS!$C$88=1,CROQUIS!$C$91=0,CROQUIS!$C$138&gt;0,OR(CROQUIS!$C$105=1,CROQUIS!$C$143=1)),((CROQUIS!$C$157+(IF(CROQUIS!$C$92="X",CHOOSE(IF(INT(($A292-1)/5)&gt;MAX((MIN(80,MAX(1,INT(((CROQUIS!$C$97)-CROQUIS!$C$107)/MAX(CROQUIS!$C$138,1))+1)))-1,0),0,MOD($A292-1,5))+1,0,IF(CROQUIS!$C$105=1,-12,2),CROQUIS!$C$107/2+CROQUIS!$C$141,IF(CROQUIS!$C$105=1,-12,2),0),((CROQUIS!$C$107/2+(((CROQUIS!$C$97)-CROQUIS!$C$107)-(MIN(80,MAX(1,INT(((CROQUIS!$C$97)-CROQUIS!$C$107)/MAX(CROQUIS!$C$138,1))+1))-1)*CROQUIS!$C$138)/2)+MIN(INT(($A292-1)/5),MAX((MIN(80,MAX(1,INT(((CROQUIS!$C$97)-CROQUIS!$C$107)/MAX(CROQUIS!$C$138,1))+1)))-1,0))*CROQUIS!$C$138)))*CROQUIS!$C$155)+IF(CROQUIS!$C$92="X",0,0)),-1000)</f>
        <v>-1000</v>
      </c>
      <c r="BR29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292-1)/5),MAX((MIN(80,MAX(1,INT(((CROQUIS!$C$97)-CROQUIS!$C$107)/MAX(CROQUIS!$C$138,1))+1)))-1,0))*CROQUIS!$C$138),CHOOSE(IF(INT(($A292-1)/5)&gt;MAX((MIN(80,MAX(1,INT(((CROQUIS!$C$97)-CROQUIS!$C$107)/MAX(CROQUIS!$C$138,1))+1)))-1,0),0,MOD($A292-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92">
        <f>IF(AND(CROQUIS!$C$88=1,CROQUIS!$C$91=0,CROQUIS!$C$138&gt;0,OR(CROQUIS!$C$106=1,CROQUIS!$C$143=1)),((CROQUIS!$C$157+(IF(CROQUIS!$C$92="X",CHOOSE(IF(INT(($A292-1)/5)&gt;MAX((MIN(80,MAX(1,INT(((CROQUIS!$C$97)-CROQUIS!$C$107)/MAX(CROQUIS!$C$138,1))+1)))-1,0),0,MOD($A292-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292-1)/5),MAX((MIN(80,MAX(1,INT(((CROQUIS!$C$97)-CROQUIS!$C$107)/MAX(CROQUIS!$C$138,1))+1)))-1,0))*CROQUIS!$C$138)))*CROQUIS!$C$155)+IF(CROQUIS!$C$92="X",0,0)),-1000)</f>
        <v>-1000</v>
      </c>
      <c r="BT292">
        <f>IF(AND(CROQUIS!$C$88=1,CROQUIS!$C$91=1,CROQUIS!$C$130&gt;0),((CROQUIS!$C$156+(IF(CROQUIS!$C$92="X",CHOOSE(IF(INT(($A292-1)/5)&gt;MAX((MIN(80,MAX(1,INT(((CROQUIS!$C$98)-CROQUIS!$C$107)/MAX(CROQUIS!$C$130,1))+1)))-1,0),0,MOD($A292-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292-1)/5),MAX((MIN(80,MAX(1,INT(((CROQUIS!$C$98)-CROQUIS!$C$107)/MAX(CROQUIS!$C$130,1))+1)))-1,0))*CROQUIS!$C$130)))*CROQUIS!$C$155)+IF(CROQUIS!$C$92="X",0,0)),-1000)</f>
        <v>-1000</v>
      </c>
      <c r="BU292">
        <f>IF(AND(CROQUIS!$C$88=1,CROQUIS!$C$91=1,CROQUIS!$C$130&gt;0),((CROQUIS!$C$157+(IF(CROQUIS!$C$92="X",((CROQUIS!$C$107/2+(((CROQUIS!$C$98)-CROQUIS!$C$107)-(MIN(80,MAX(1,INT(((CROQUIS!$C$98)-CROQUIS!$C$107)/MAX(CROQUIS!$C$130,1))+1))-1)*CROQUIS!$C$130)/2)+MIN(INT(($A292-1)/5),MAX((MIN(80,MAX(1,INT(((CROQUIS!$C$98)-CROQUIS!$C$107)/MAX(CROQUIS!$C$130,1))+1)))-1,0))*CROQUIS!$C$130),CHOOSE(IF(INT(($A292-1)/5)&gt;MAX((MIN(80,MAX(1,INT(((CROQUIS!$C$98)-CROQUIS!$C$107)/MAX(CROQUIS!$C$130,1))+1)))-1,0),0,MOD($A292-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93">
      <c r="A293" t="n">
        <v>286</v>
      </c>
      <c r="BH293">
        <f>IF(AND(CROQUIS!$C$88=1,CROQUIS!$C$126&gt;0),((CROQUIS!$C$156+(IF(CROQUIS!$C$92="X",CHOOSE(IF(INT(($A293-1)/5)&gt;MAX((MIN(80,MAX(1,INT(((CROQUIS!$C$98)-CROQUIS!$C$107)/MAX(CROQUIS!$C$126,1))+1)))-1,0),0,MOD($A293-1,5))+1,0,2,CROQUIS!$C$97-2,2,0),((CROQUIS!$C$107/2+(((CROQUIS!$C$98)-CROQUIS!$C$107)-(MIN(80,MAX(1,INT(((CROQUIS!$C$98)-CROQUIS!$C$107)/MAX(CROQUIS!$C$126,1))+1))-1)*CROQUIS!$C$126)/2)+MIN(INT(($A293-1)/5),MAX((MIN(80,MAX(1,INT(((CROQUIS!$C$98)-CROQUIS!$C$107)/MAX(CROQUIS!$C$126,1))+1)))-1,0))*CROQUIS!$C$126)))*CROQUIS!$C$155)+IF(CROQUIS!$C$92="X",0,0)),-1000)</f>
        <v>-1000</v>
      </c>
      <c r="BI293">
        <f>IF(AND(CROQUIS!$C$88=1,CROQUIS!$C$126&gt;0),((CROQUIS!$C$157+(IF(CROQUIS!$C$92="X",((CROQUIS!$C$107/2+(((CROQUIS!$C$98)-CROQUIS!$C$107)-(MIN(80,MAX(1,INT(((CROQUIS!$C$98)-CROQUIS!$C$107)/MAX(CROQUIS!$C$126,1))+1))-1)*CROQUIS!$C$126)/2)+MIN(INT(($A293-1)/5),MAX((MIN(80,MAX(1,INT(((CROQUIS!$C$98)-CROQUIS!$C$107)/MAX(CROQUIS!$C$126,1))+1)))-1,0))*CROQUIS!$C$126),CHOOSE(IF(INT(($A293-1)/5)&gt;MAX((MIN(80,MAX(1,INT(((CROQUIS!$C$98)-CROQUIS!$C$107)/MAX(CROQUIS!$C$126,1))+1)))-1,0),0,MOD($A293-1,5))+1,0,2,CROQUIS!$C$97-2,2,0)))*CROQUIS!$C$155)+IF(CROQUIS!$C$92="X",0,0)),-1000)</f>
        <v>-1000</v>
      </c>
      <c r="BJ293">
        <f>IF(AND(CROQUIS!$C$88=1,CROQUIS!$C$134&gt;0),((CROQUIS!$C$156+(IF(CROQUIS!$C$92="X",((CROQUIS!$C$107/2+(((CROQUIS!$C$97)-CROQUIS!$C$107)-(MIN(80,MAX(1,INT(((CROQUIS!$C$97)-CROQUIS!$C$107)/MAX(CROQUIS!$C$134,1))+1))-1)*CROQUIS!$C$134)/2)+MIN(INT(($A293-1)/5),MAX((MIN(80,MAX(1,INT(((CROQUIS!$C$97)-CROQUIS!$C$107)/MAX(CROQUIS!$C$134,1))+1)))-1,0))*CROQUIS!$C$134),CHOOSE(IF(INT(($A293-1)/5)&gt;MAX((MIN(80,MAX(1,INT(((CROQUIS!$C$97)-CROQUIS!$C$107)/MAX(CROQUIS!$C$134,1))+1)))-1,0),0,MOD($A293-1,5))+1,0,2,CROQUIS!$C$98-2,2,0)))*CROQUIS!$C$155)+IF(CROQUIS!$C$92="X",0,0)),-1000)</f>
        <v>-1000</v>
      </c>
      <c r="BK293">
        <f>IF(AND(CROQUIS!$C$88=1,CROQUIS!$C$134&gt;0),((CROQUIS!$C$157+(IF(CROQUIS!$C$92="X",CHOOSE(IF(INT(($A293-1)/5)&gt;MAX((MIN(80,MAX(1,INT(((CROQUIS!$C$97)-CROQUIS!$C$107)/MAX(CROQUIS!$C$134,1))+1)))-1,0),0,MOD($A293-1,5))+1,0,2,CROQUIS!$C$98-2,2,0),((CROQUIS!$C$107/2+(((CROQUIS!$C$97)-CROQUIS!$C$107)-(MIN(80,MAX(1,INT(((CROQUIS!$C$97)-CROQUIS!$C$107)/MAX(CROQUIS!$C$134,1))+1))-1)*CROQUIS!$C$134)/2)+MIN(INT(($A293-1)/5),MAX((MIN(80,MAX(1,INT(((CROQUIS!$C$97)-CROQUIS!$C$107)/MAX(CROQUIS!$C$134,1))+1)))-1,0))*CROQUIS!$C$134)))*CROQUIS!$C$155)+IF(CROQUIS!$C$92="X",0,0)),-1000)</f>
        <v>-1000</v>
      </c>
      <c r="BL293">
        <f>IF(AND(CROQUIS!$C$88=1,CROQUIS!$C$91=0,CROQUIS!$C$130&gt;0,OR(CROQUIS!$C$103=1,CROQUIS!$C$142=1)),((CROQUIS!$C$156+(IF(CROQUIS!$C$92="X",CHOOSE(IF(INT(($A293-1)/5)&gt;MAX((MIN(80,MAX(1,INT(((CROQUIS!$C$98)-CROQUIS!$C$107)/MAX(CROQUIS!$C$130,1))+1)))-1,0),0,MOD($A293-1,5))+1,0,IF(CROQUIS!$C$103=1,-12,2),CROQUIS!$C$107/2+CROQUIS!$C$140,IF(CROQUIS!$C$103=1,-12,2),0),((CROQUIS!$C$107/2+(((CROQUIS!$C$98)-CROQUIS!$C$107)-(MIN(80,MAX(1,INT(((CROQUIS!$C$98)-CROQUIS!$C$107)/MAX(CROQUIS!$C$130,1))+1))-1)*CROQUIS!$C$130)/2)+MIN(INT(($A293-1)/5),MAX((MIN(80,MAX(1,INT(((CROQUIS!$C$98)-CROQUIS!$C$107)/MAX(CROQUIS!$C$130,1))+1)))-1,0))*CROQUIS!$C$130)))*CROQUIS!$C$155)+IF(CROQUIS!$C$92="X",0,0)),-1000)</f>
        <v>-1000</v>
      </c>
      <c r="BM29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293-1)/5),MAX((MIN(80,MAX(1,INT(((CROQUIS!$C$98)-CROQUIS!$C$107)/MAX(CROQUIS!$C$130,1))+1)))-1,0))*CROQUIS!$C$130),CHOOSE(IF(INT(($A293-1)/5)&gt;MAX((MIN(80,MAX(1,INT(((CROQUIS!$C$98)-CROQUIS!$C$107)/MAX(CROQUIS!$C$130,1))+1)))-1,0),0,MOD($A293-1,5))+1,0,IF(CROQUIS!$C$103=1,-12,2),CROQUIS!$C$107/2+CROQUIS!$C$140,IF(CROQUIS!$C$103=1,-12,2),0)))*CROQUIS!$C$155)+IF(CROQUIS!$C$92="X",0,0)),-1000)</f>
        <v>-1000</v>
      </c>
      <c r="BN293">
        <f>IF(AND(CROQUIS!$C$88=1,CROQUIS!$C$91=0,CROQUIS!$C$130&gt;0,OR(CROQUIS!$C$104=1,CROQUIS!$C$142=1)),((CROQUIS!$C$156+(IF(CROQUIS!$C$92="X",CHOOSE(IF(INT(($A293-1)/5)&gt;MAX((MIN(80,MAX(1,INT(((CROQUIS!$C$98)-CROQUIS!$C$107)/MAX(CROQUIS!$C$130,1))+1)))-1,0),0,MOD($A293-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293-1)/5),MAX((MIN(80,MAX(1,INT(((CROQUIS!$C$98)-CROQUIS!$C$107)/MAX(CROQUIS!$C$130,1))+1)))-1,0))*CROQUIS!$C$130)))*CROQUIS!$C$155)+IF(CROQUIS!$C$92="X",0,0)),-1000)</f>
        <v>-1000</v>
      </c>
      <c r="BO29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293-1)/5),MAX((MIN(80,MAX(1,INT(((CROQUIS!$C$98)-CROQUIS!$C$107)/MAX(CROQUIS!$C$130,1))+1)))-1,0))*CROQUIS!$C$130),CHOOSE(IF(INT(($A293-1)/5)&gt;MAX((MIN(80,MAX(1,INT(((CROQUIS!$C$98)-CROQUIS!$C$107)/MAX(CROQUIS!$C$130,1))+1)))-1,0),0,MOD($A293-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9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293-1)/5),MAX((MIN(80,MAX(1,INT(((CROQUIS!$C$97)-CROQUIS!$C$107)/MAX(CROQUIS!$C$138,1))+1)))-1,0))*CROQUIS!$C$138),CHOOSE(IF(INT(($A293-1)/5)&gt;MAX((MIN(80,MAX(1,INT(((CROQUIS!$C$97)-CROQUIS!$C$107)/MAX(CROQUIS!$C$138,1))+1)))-1,0),0,MOD($A293-1,5))+1,0,IF(CROQUIS!$C$105=1,-12,2),CROQUIS!$C$107/2+CROQUIS!$C$141,IF(CROQUIS!$C$105=1,-12,2),0)))*CROQUIS!$C$155)+IF(CROQUIS!$C$92="X",0,0)),-1000)</f>
        <v>-1000</v>
      </c>
      <c r="BQ293">
        <f>IF(AND(CROQUIS!$C$88=1,CROQUIS!$C$91=0,CROQUIS!$C$138&gt;0,OR(CROQUIS!$C$105=1,CROQUIS!$C$143=1)),((CROQUIS!$C$157+(IF(CROQUIS!$C$92="X",CHOOSE(IF(INT(($A293-1)/5)&gt;MAX((MIN(80,MAX(1,INT(((CROQUIS!$C$97)-CROQUIS!$C$107)/MAX(CROQUIS!$C$138,1))+1)))-1,0),0,MOD($A293-1,5))+1,0,IF(CROQUIS!$C$105=1,-12,2),CROQUIS!$C$107/2+CROQUIS!$C$141,IF(CROQUIS!$C$105=1,-12,2),0),((CROQUIS!$C$107/2+(((CROQUIS!$C$97)-CROQUIS!$C$107)-(MIN(80,MAX(1,INT(((CROQUIS!$C$97)-CROQUIS!$C$107)/MAX(CROQUIS!$C$138,1))+1))-1)*CROQUIS!$C$138)/2)+MIN(INT(($A293-1)/5),MAX((MIN(80,MAX(1,INT(((CROQUIS!$C$97)-CROQUIS!$C$107)/MAX(CROQUIS!$C$138,1))+1)))-1,0))*CROQUIS!$C$138)))*CROQUIS!$C$155)+IF(CROQUIS!$C$92="X",0,0)),-1000)</f>
        <v>-1000</v>
      </c>
      <c r="BR29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293-1)/5),MAX((MIN(80,MAX(1,INT(((CROQUIS!$C$97)-CROQUIS!$C$107)/MAX(CROQUIS!$C$138,1))+1)))-1,0))*CROQUIS!$C$138),CHOOSE(IF(INT(($A293-1)/5)&gt;MAX((MIN(80,MAX(1,INT(((CROQUIS!$C$97)-CROQUIS!$C$107)/MAX(CROQUIS!$C$138,1))+1)))-1,0),0,MOD($A293-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93">
        <f>IF(AND(CROQUIS!$C$88=1,CROQUIS!$C$91=0,CROQUIS!$C$138&gt;0,OR(CROQUIS!$C$106=1,CROQUIS!$C$143=1)),((CROQUIS!$C$157+(IF(CROQUIS!$C$92="X",CHOOSE(IF(INT(($A293-1)/5)&gt;MAX((MIN(80,MAX(1,INT(((CROQUIS!$C$97)-CROQUIS!$C$107)/MAX(CROQUIS!$C$138,1))+1)))-1,0),0,MOD($A293-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293-1)/5),MAX((MIN(80,MAX(1,INT(((CROQUIS!$C$97)-CROQUIS!$C$107)/MAX(CROQUIS!$C$138,1))+1)))-1,0))*CROQUIS!$C$138)))*CROQUIS!$C$155)+IF(CROQUIS!$C$92="X",0,0)),-1000)</f>
        <v>-1000</v>
      </c>
      <c r="BT293">
        <f>IF(AND(CROQUIS!$C$88=1,CROQUIS!$C$91=1,CROQUIS!$C$130&gt;0),((CROQUIS!$C$156+(IF(CROQUIS!$C$92="X",CHOOSE(IF(INT(($A293-1)/5)&gt;MAX((MIN(80,MAX(1,INT(((CROQUIS!$C$98)-CROQUIS!$C$107)/MAX(CROQUIS!$C$130,1))+1)))-1,0),0,MOD($A293-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293-1)/5),MAX((MIN(80,MAX(1,INT(((CROQUIS!$C$98)-CROQUIS!$C$107)/MAX(CROQUIS!$C$130,1))+1)))-1,0))*CROQUIS!$C$130)))*CROQUIS!$C$155)+IF(CROQUIS!$C$92="X",0,0)),-1000)</f>
        <v>-1000</v>
      </c>
      <c r="BU293">
        <f>IF(AND(CROQUIS!$C$88=1,CROQUIS!$C$91=1,CROQUIS!$C$130&gt;0),((CROQUIS!$C$157+(IF(CROQUIS!$C$92="X",((CROQUIS!$C$107/2+(((CROQUIS!$C$98)-CROQUIS!$C$107)-(MIN(80,MAX(1,INT(((CROQUIS!$C$98)-CROQUIS!$C$107)/MAX(CROQUIS!$C$130,1))+1))-1)*CROQUIS!$C$130)/2)+MIN(INT(($A293-1)/5),MAX((MIN(80,MAX(1,INT(((CROQUIS!$C$98)-CROQUIS!$C$107)/MAX(CROQUIS!$C$130,1))+1)))-1,0))*CROQUIS!$C$130),CHOOSE(IF(INT(($A293-1)/5)&gt;MAX((MIN(80,MAX(1,INT(((CROQUIS!$C$98)-CROQUIS!$C$107)/MAX(CROQUIS!$C$130,1))+1)))-1,0),0,MOD($A293-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94">
      <c r="A294" t="n">
        <v>287</v>
      </c>
      <c r="BH294">
        <f>IF(AND(CROQUIS!$C$88=1,CROQUIS!$C$126&gt;0),((CROQUIS!$C$156+(IF(CROQUIS!$C$92="X",CHOOSE(IF(INT(($A294-1)/5)&gt;MAX((MIN(80,MAX(1,INT(((CROQUIS!$C$98)-CROQUIS!$C$107)/MAX(CROQUIS!$C$126,1))+1)))-1,0),0,MOD($A294-1,5))+1,0,2,CROQUIS!$C$97-2,2,0),((CROQUIS!$C$107/2+(((CROQUIS!$C$98)-CROQUIS!$C$107)-(MIN(80,MAX(1,INT(((CROQUIS!$C$98)-CROQUIS!$C$107)/MAX(CROQUIS!$C$126,1))+1))-1)*CROQUIS!$C$126)/2)+MIN(INT(($A294-1)/5),MAX((MIN(80,MAX(1,INT(((CROQUIS!$C$98)-CROQUIS!$C$107)/MAX(CROQUIS!$C$126,1))+1)))-1,0))*CROQUIS!$C$126)))*CROQUIS!$C$155)+IF(CROQUIS!$C$92="X",0,0)),-1000)</f>
        <v>-1000</v>
      </c>
      <c r="BI294">
        <f>IF(AND(CROQUIS!$C$88=1,CROQUIS!$C$126&gt;0),((CROQUIS!$C$157+(IF(CROQUIS!$C$92="X",((CROQUIS!$C$107/2+(((CROQUIS!$C$98)-CROQUIS!$C$107)-(MIN(80,MAX(1,INT(((CROQUIS!$C$98)-CROQUIS!$C$107)/MAX(CROQUIS!$C$126,1))+1))-1)*CROQUIS!$C$126)/2)+MIN(INT(($A294-1)/5),MAX((MIN(80,MAX(1,INT(((CROQUIS!$C$98)-CROQUIS!$C$107)/MAX(CROQUIS!$C$126,1))+1)))-1,0))*CROQUIS!$C$126),CHOOSE(IF(INT(($A294-1)/5)&gt;MAX((MIN(80,MAX(1,INT(((CROQUIS!$C$98)-CROQUIS!$C$107)/MAX(CROQUIS!$C$126,1))+1)))-1,0),0,MOD($A294-1,5))+1,0,2,CROQUIS!$C$97-2,2,0)))*CROQUIS!$C$155)+IF(CROQUIS!$C$92="X",0,0)),-1000)</f>
        <v>-1000</v>
      </c>
      <c r="BJ294">
        <f>IF(AND(CROQUIS!$C$88=1,CROQUIS!$C$134&gt;0),((CROQUIS!$C$156+(IF(CROQUIS!$C$92="X",((CROQUIS!$C$107/2+(((CROQUIS!$C$97)-CROQUIS!$C$107)-(MIN(80,MAX(1,INT(((CROQUIS!$C$97)-CROQUIS!$C$107)/MAX(CROQUIS!$C$134,1))+1))-1)*CROQUIS!$C$134)/2)+MIN(INT(($A294-1)/5),MAX((MIN(80,MAX(1,INT(((CROQUIS!$C$97)-CROQUIS!$C$107)/MAX(CROQUIS!$C$134,1))+1)))-1,0))*CROQUIS!$C$134),CHOOSE(IF(INT(($A294-1)/5)&gt;MAX((MIN(80,MAX(1,INT(((CROQUIS!$C$97)-CROQUIS!$C$107)/MAX(CROQUIS!$C$134,1))+1)))-1,0),0,MOD($A294-1,5))+1,0,2,CROQUIS!$C$98-2,2,0)))*CROQUIS!$C$155)+IF(CROQUIS!$C$92="X",0,0)),-1000)</f>
        <v>-1000</v>
      </c>
      <c r="BK294">
        <f>IF(AND(CROQUIS!$C$88=1,CROQUIS!$C$134&gt;0),((CROQUIS!$C$157+(IF(CROQUIS!$C$92="X",CHOOSE(IF(INT(($A294-1)/5)&gt;MAX((MIN(80,MAX(1,INT(((CROQUIS!$C$97)-CROQUIS!$C$107)/MAX(CROQUIS!$C$134,1))+1)))-1,0),0,MOD($A294-1,5))+1,0,2,CROQUIS!$C$98-2,2,0),((CROQUIS!$C$107/2+(((CROQUIS!$C$97)-CROQUIS!$C$107)-(MIN(80,MAX(1,INT(((CROQUIS!$C$97)-CROQUIS!$C$107)/MAX(CROQUIS!$C$134,1))+1))-1)*CROQUIS!$C$134)/2)+MIN(INT(($A294-1)/5),MAX((MIN(80,MAX(1,INT(((CROQUIS!$C$97)-CROQUIS!$C$107)/MAX(CROQUIS!$C$134,1))+1)))-1,0))*CROQUIS!$C$134)))*CROQUIS!$C$155)+IF(CROQUIS!$C$92="X",0,0)),-1000)</f>
        <v>-1000</v>
      </c>
      <c r="BL294">
        <f>IF(AND(CROQUIS!$C$88=1,CROQUIS!$C$91=0,CROQUIS!$C$130&gt;0,OR(CROQUIS!$C$103=1,CROQUIS!$C$142=1)),((CROQUIS!$C$156+(IF(CROQUIS!$C$92="X",CHOOSE(IF(INT(($A294-1)/5)&gt;MAX((MIN(80,MAX(1,INT(((CROQUIS!$C$98)-CROQUIS!$C$107)/MAX(CROQUIS!$C$130,1))+1)))-1,0),0,MOD($A294-1,5))+1,0,IF(CROQUIS!$C$103=1,-12,2),CROQUIS!$C$107/2+CROQUIS!$C$140,IF(CROQUIS!$C$103=1,-12,2),0),((CROQUIS!$C$107/2+(((CROQUIS!$C$98)-CROQUIS!$C$107)-(MIN(80,MAX(1,INT(((CROQUIS!$C$98)-CROQUIS!$C$107)/MAX(CROQUIS!$C$130,1))+1))-1)*CROQUIS!$C$130)/2)+MIN(INT(($A294-1)/5),MAX((MIN(80,MAX(1,INT(((CROQUIS!$C$98)-CROQUIS!$C$107)/MAX(CROQUIS!$C$130,1))+1)))-1,0))*CROQUIS!$C$130)))*CROQUIS!$C$155)+IF(CROQUIS!$C$92="X",0,0)),-1000)</f>
        <v>-1000</v>
      </c>
      <c r="BM29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294-1)/5),MAX((MIN(80,MAX(1,INT(((CROQUIS!$C$98)-CROQUIS!$C$107)/MAX(CROQUIS!$C$130,1))+1)))-1,0))*CROQUIS!$C$130),CHOOSE(IF(INT(($A294-1)/5)&gt;MAX((MIN(80,MAX(1,INT(((CROQUIS!$C$98)-CROQUIS!$C$107)/MAX(CROQUIS!$C$130,1))+1)))-1,0),0,MOD($A294-1,5))+1,0,IF(CROQUIS!$C$103=1,-12,2),CROQUIS!$C$107/2+CROQUIS!$C$140,IF(CROQUIS!$C$103=1,-12,2),0)))*CROQUIS!$C$155)+IF(CROQUIS!$C$92="X",0,0)),-1000)</f>
        <v>-1000</v>
      </c>
      <c r="BN294">
        <f>IF(AND(CROQUIS!$C$88=1,CROQUIS!$C$91=0,CROQUIS!$C$130&gt;0,OR(CROQUIS!$C$104=1,CROQUIS!$C$142=1)),((CROQUIS!$C$156+(IF(CROQUIS!$C$92="X",CHOOSE(IF(INT(($A294-1)/5)&gt;MAX((MIN(80,MAX(1,INT(((CROQUIS!$C$98)-CROQUIS!$C$107)/MAX(CROQUIS!$C$130,1))+1)))-1,0),0,MOD($A294-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294-1)/5),MAX((MIN(80,MAX(1,INT(((CROQUIS!$C$98)-CROQUIS!$C$107)/MAX(CROQUIS!$C$130,1))+1)))-1,0))*CROQUIS!$C$130)))*CROQUIS!$C$155)+IF(CROQUIS!$C$92="X",0,0)),-1000)</f>
        <v>-1000</v>
      </c>
      <c r="BO29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294-1)/5),MAX((MIN(80,MAX(1,INT(((CROQUIS!$C$98)-CROQUIS!$C$107)/MAX(CROQUIS!$C$130,1))+1)))-1,0))*CROQUIS!$C$130),CHOOSE(IF(INT(($A294-1)/5)&gt;MAX((MIN(80,MAX(1,INT(((CROQUIS!$C$98)-CROQUIS!$C$107)/MAX(CROQUIS!$C$130,1))+1)))-1,0),0,MOD($A294-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9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294-1)/5),MAX((MIN(80,MAX(1,INT(((CROQUIS!$C$97)-CROQUIS!$C$107)/MAX(CROQUIS!$C$138,1))+1)))-1,0))*CROQUIS!$C$138),CHOOSE(IF(INT(($A294-1)/5)&gt;MAX((MIN(80,MAX(1,INT(((CROQUIS!$C$97)-CROQUIS!$C$107)/MAX(CROQUIS!$C$138,1))+1)))-1,0),0,MOD($A294-1,5))+1,0,IF(CROQUIS!$C$105=1,-12,2),CROQUIS!$C$107/2+CROQUIS!$C$141,IF(CROQUIS!$C$105=1,-12,2),0)))*CROQUIS!$C$155)+IF(CROQUIS!$C$92="X",0,0)),-1000)</f>
        <v>-1000</v>
      </c>
      <c r="BQ294">
        <f>IF(AND(CROQUIS!$C$88=1,CROQUIS!$C$91=0,CROQUIS!$C$138&gt;0,OR(CROQUIS!$C$105=1,CROQUIS!$C$143=1)),((CROQUIS!$C$157+(IF(CROQUIS!$C$92="X",CHOOSE(IF(INT(($A294-1)/5)&gt;MAX((MIN(80,MAX(1,INT(((CROQUIS!$C$97)-CROQUIS!$C$107)/MAX(CROQUIS!$C$138,1))+1)))-1,0),0,MOD($A294-1,5))+1,0,IF(CROQUIS!$C$105=1,-12,2),CROQUIS!$C$107/2+CROQUIS!$C$141,IF(CROQUIS!$C$105=1,-12,2),0),((CROQUIS!$C$107/2+(((CROQUIS!$C$97)-CROQUIS!$C$107)-(MIN(80,MAX(1,INT(((CROQUIS!$C$97)-CROQUIS!$C$107)/MAX(CROQUIS!$C$138,1))+1))-1)*CROQUIS!$C$138)/2)+MIN(INT(($A294-1)/5),MAX((MIN(80,MAX(1,INT(((CROQUIS!$C$97)-CROQUIS!$C$107)/MAX(CROQUIS!$C$138,1))+1)))-1,0))*CROQUIS!$C$138)))*CROQUIS!$C$155)+IF(CROQUIS!$C$92="X",0,0)),-1000)</f>
        <v>-1000</v>
      </c>
      <c r="BR29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294-1)/5),MAX((MIN(80,MAX(1,INT(((CROQUIS!$C$97)-CROQUIS!$C$107)/MAX(CROQUIS!$C$138,1))+1)))-1,0))*CROQUIS!$C$138),CHOOSE(IF(INT(($A294-1)/5)&gt;MAX((MIN(80,MAX(1,INT(((CROQUIS!$C$97)-CROQUIS!$C$107)/MAX(CROQUIS!$C$138,1))+1)))-1,0),0,MOD($A294-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94">
        <f>IF(AND(CROQUIS!$C$88=1,CROQUIS!$C$91=0,CROQUIS!$C$138&gt;0,OR(CROQUIS!$C$106=1,CROQUIS!$C$143=1)),((CROQUIS!$C$157+(IF(CROQUIS!$C$92="X",CHOOSE(IF(INT(($A294-1)/5)&gt;MAX((MIN(80,MAX(1,INT(((CROQUIS!$C$97)-CROQUIS!$C$107)/MAX(CROQUIS!$C$138,1))+1)))-1,0),0,MOD($A294-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294-1)/5),MAX((MIN(80,MAX(1,INT(((CROQUIS!$C$97)-CROQUIS!$C$107)/MAX(CROQUIS!$C$138,1))+1)))-1,0))*CROQUIS!$C$138)))*CROQUIS!$C$155)+IF(CROQUIS!$C$92="X",0,0)),-1000)</f>
        <v>-1000</v>
      </c>
      <c r="BT294">
        <f>IF(AND(CROQUIS!$C$88=1,CROQUIS!$C$91=1,CROQUIS!$C$130&gt;0),((CROQUIS!$C$156+(IF(CROQUIS!$C$92="X",CHOOSE(IF(INT(($A294-1)/5)&gt;MAX((MIN(80,MAX(1,INT(((CROQUIS!$C$98)-CROQUIS!$C$107)/MAX(CROQUIS!$C$130,1))+1)))-1,0),0,MOD($A294-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294-1)/5),MAX((MIN(80,MAX(1,INT(((CROQUIS!$C$98)-CROQUIS!$C$107)/MAX(CROQUIS!$C$130,1))+1)))-1,0))*CROQUIS!$C$130)))*CROQUIS!$C$155)+IF(CROQUIS!$C$92="X",0,0)),-1000)</f>
        <v>-1000</v>
      </c>
      <c r="BU294">
        <f>IF(AND(CROQUIS!$C$88=1,CROQUIS!$C$91=1,CROQUIS!$C$130&gt;0),((CROQUIS!$C$157+(IF(CROQUIS!$C$92="X",((CROQUIS!$C$107/2+(((CROQUIS!$C$98)-CROQUIS!$C$107)-(MIN(80,MAX(1,INT(((CROQUIS!$C$98)-CROQUIS!$C$107)/MAX(CROQUIS!$C$130,1))+1))-1)*CROQUIS!$C$130)/2)+MIN(INT(($A294-1)/5),MAX((MIN(80,MAX(1,INT(((CROQUIS!$C$98)-CROQUIS!$C$107)/MAX(CROQUIS!$C$130,1))+1)))-1,0))*CROQUIS!$C$130),CHOOSE(IF(INT(($A294-1)/5)&gt;MAX((MIN(80,MAX(1,INT(((CROQUIS!$C$98)-CROQUIS!$C$107)/MAX(CROQUIS!$C$130,1))+1)))-1,0),0,MOD($A294-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95">
      <c r="A295" t="n">
        <v>288</v>
      </c>
      <c r="BH295">
        <f>IF(AND(CROQUIS!$C$88=1,CROQUIS!$C$126&gt;0),((CROQUIS!$C$156+(IF(CROQUIS!$C$92="X",CHOOSE(IF(INT(($A295-1)/5)&gt;MAX((MIN(80,MAX(1,INT(((CROQUIS!$C$98)-CROQUIS!$C$107)/MAX(CROQUIS!$C$126,1))+1)))-1,0),0,MOD($A295-1,5))+1,0,2,CROQUIS!$C$97-2,2,0),((CROQUIS!$C$107/2+(((CROQUIS!$C$98)-CROQUIS!$C$107)-(MIN(80,MAX(1,INT(((CROQUIS!$C$98)-CROQUIS!$C$107)/MAX(CROQUIS!$C$126,1))+1))-1)*CROQUIS!$C$126)/2)+MIN(INT(($A295-1)/5),MAX((MIN(80,MAX(1,INT(((CROQUIS!$C$98)-CROQUIS!$C$107)/MAX(CROQUIS!$C$126,1))+1)))-1,0))*CROQUIS!$C$126)))*CROQUIS!$C$155)+IF(CROQUIS!$C$92="X",0,0)),-1000)</f>
        <v>-1000</v>
      </c>
      <c r="BI295">
        <f>IF(AND(CROQUIS!$C$88=1,CROQUIS!$C$126&gt;0),((CROQUIS!$C$157+(IF(CROQUIS!$C$92="X",((CROQUIS!$C$107/2+(((CROQUIS!$C$98)-CROQUIS!$C$107)-(MIN(80,MAX(1,INT(((CROQUIS!$C$98)-CROQUIS!$C$107)/MAX(CROQUIS!$C$126,1))+1))-1)*CROQUIS!$C$126)/2)+MIN(INT(($A295-1)/5),MAX((MIN(80,MAX(1,INT(((CROQUIS!$C$98)-CROQUIS!$C$107)/MAX(CROQUIS!$C$126,1))+1)))-1,0))*CROQUIS!$C$126),CHOOSE(IF(INT(($A295-1)/5)&gt;MAX((MIN(80,MAX(1,INT(((CROQUIS!$C$98)-CROQUIS!$C$107)/MAX(CROQUIS!$C$126,1))+1)))-1,0),0,MOD($A295-1,5))+1,0,2,CROQUIS!$C$97-2,2,0)))*CROQUIS!$C$155)+IF(CROQUIS!$C$92="X",0,0)),-1000)</f>
        <v>-1000</v>
      </c>
      <c r="BJ295">
        <f>IF(AND(CROQUIS!$C$88=1,CROQUIS!$C$134&gt;0),((CROQUIS!$C$156+(IF(CROQUIS!$C$92="X",((CROQUIS!$C$107/2+(((CROQUIS!$C$97)-CROQUIS!$C$107)-(MIN(80,MAX(1,INT(((CROQUIS!$C$97)-CROQUIS!$C$107)/MAX(CROQUIS!$C$134,1))+1))-1)*CROQUIS!$C$134)/2)+MIN(INT(($A295-1)/5),MAX((MIN(80,MAX(1,INT(((CROQUIS!$C$97)-CROQUIS!$C$107)/MAX(CROQUIS!$C$134,1))+1)))-1,0))*CROQUIS!$C$134),CHOOSE(IF(INT(($A295-1)/5)&gt;MAX((MIN(80,MAX(1,INT(((CROQUIS!$C$97)-CROQUIS!$C$107)/MAX(CROQUIS!$C$134,1))+1)))-1,0),0,MOD($A295-1,5))+1,0,2,CROQUIS!$C$98-2,2,0)))*CROQUIS!$C$155)+IF(CROQUIS!$C$92="X",0,0)),-1000)</f>
        <v>-1000</v>
      </c>
      <c r="BK295">
        <f>IF(AND(CROQUIS!$C$88=1,CROQUIS!$C$134&gt;0),((CROQUIS!$C$157+(IF(CROQUIS!$C$92="X",CHOOSE(IF(INT(($A295-1)/5)&gt;MAX((MIN(80,MAX(1,INT(((CROQUIS!$C$97)-CROQUIS!$C$107)/MAX(CROQUIS!$C$134,1))+1)))-1,0),0,MOD($A295-1,5))+1,0,2,CROQUIS!$C$98-2,2,0),((CROQUIS!$C$107/2+(((CROQUIS!$C$97)-CROQUIS!$C$107)-(MIN(80,MAX(1,INT(((CROQUIS!$C$97)-CROQUIS!$C$107)/MAX(CROQUIS!$C$134,1))+1))-1)*CROQUIS!$C$134)/2)+MIN(INT(($A295-1)/5),MAX((MIN(80,MAX(1,INT(((CROQUIS!$C$97)-CROQUIS!$C$107)/MAX(CROQUIS!$C$134,1))+1)))-1,0))*CROQUIS!$C$134)))*CROQUIS!$C$155)+IF(CROQUIS!$C$92="X",0,0)),-1000)</f>
        <v>-1000</v>
      </c>
      <c r="BL295">
        <f>IF(AND(CROQUIS!$C$88=1,CROQUIS!$C$91=0,CROQUIS!$C$130&gt;0,OR(CROQUIS!$C$103=1,CROQUIS!$C$142=1)),((CROQUIS!$C$156+(IF(CROQUIS!$C$92="X",CHOOSE(IF(INT(($A295-1)/5)&gt;MAX((MIN(80,MAX(1,INT(((CROQUIS!$C$98)-CROQUIS!$C$107)/MAX(CROQUIS!$C$130,1))+1)))-1,0),0,MOD($A295-1,5))+1,0,IF(CROQUIS!$C$103=1,-12,2),CROQUIS!$C$107/2+CROQUIS!$C$140,IF(CROQUIS!$C$103=1,-12,2),0),((CROQUIS!$C$107/2+(((CROQUIS!$C$98)-CROQUIS!$C$107)-(MIN(80,MAX(1,INT(((CROQUIS!$C$98)-CROQUIS!$C$107)/MAX(CROQUIS!$C$130,1))+1))-1)*CROQUIS!$C$130)/2)+MIN(INT(($A295-1)/5),MAX((MIN(80,MAX(1,INT(((CROQUIS!$C$98)-CROQUIS!$C$107)/MAX(CROQUIS!$C$130,1))+1)))-1,0))*CROQUIS!$C$130)))*CROQUIS!$C$155)+IF(CROQUIS!$C$92="X",0,0)),-1000)</f>
        <v>-1000</v>
      </c>
      <c r="BM29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295-1)/5),MAX((MIN(80,MAX(1,INT(((CROQUIS!$C$98)-CROQUIS!$C$107)/MAX(CROQUIS!$C$130,1))+1)))-1,0))*CROQUIS!$C$130),CHOOSE(IF(INT(($A295-1)/5)&gt;MAX((MIN(80,MAX(1,INT(((CROQUIS!$C$98)-CROQUIS!$C$107)/MAX(CROQUIS!$C$130,1))+1)))-1,0),0,MOD($A295-1,5))+1,0,IF(CROQUIS!$C$103=1,-12,2),CROQUIS!$C$107/2+CROQUIS!$C$140,IF(CROQUIS!$C$103=1,-12,2),0)))*CROQUIS!$C$155)+IF(CROQUIS!$C$92="X",0,0)),-1000)</f>
        <v>-1000</v>
      </c>
      <c r="BN295">
        <f>IF(AND(CROQUIS!$C$88=1,CROQUIS!$C$91=0,CROQUIS!$C$130&gt;0,OR(CROQUIS!$C$104=1,CROQUIS!$C$142=1)),((CROQUIS!$C$156+(IF(CROQUIS!$C$92="X",CHOOSE(IF(INT(($A295-1)/5)&gt;MAX((MIN(80,MAX(1,INT(((CROQUIS!$C$98)-CROQUIS!$C$107)/MAX(CROQUIS!$C$130,1))+1)))-1,0),0,MOD($A295-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295-1)/5),MAX((MIN(80,MAX(1,INT(((CROQUIS!$C$98)-CROQUIS!$C$107)/MAX(CROQUIS!$C$130,1))+1)))-1,0))*CROQUIS!$C$130)))*CROQUIS!$C$155)+IF(CROQUIS!$C$92="X",0,0)),-1000)</f>
        <v>-1000</v>
      </c>
      <c r="BO29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295-1)/5),MAX((MIN(80,MAX(1,INT(((CROQUIS!$C$98)-CROQUIS!$C$107)/MAX(CROQUIS!$C$130,1))+1)))-1,0))*CROQUIS!$C$130),CHOOSE(IF(INT(($A295-1)/5)&gt;MAX((MIN(80,MAX(1,INT(((CROQUIS!$C$98)-CROQUIS!$C$107)/MAX(CROQUIS!$C$130,1))+1)))-1,0),0,MOD($A295-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9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295-1)/5),MAX((MIN(80,MAX(1,INT(((CROQUIS!$C$97)-CROQUIS!$C$107)/MAX(CROQUIS!$C$138,1))+1)))-1,0))*CROQUIS!$C$138),CHOOSE(IF(INT(($A295-1)/5)&gt;MAX((MIN(80,MAX(1,INT(((CROQUIS!$C$97)-CROQUIS!$C$107)/MAX(CROQUIS!$C$138,1))+1)))-1,0),0,MOD($A295-1,5))+1,0,IF(CROQUIS!$C$105=1,-12,2),CROQUIS!$C$107/2+CROQUIS!$C$141,IF(CROQUIS!$C$105=1,-12,2),0)))*CROQUIS!$C$155)+IF(CROQUIS!$C$92="X",0,0)),-1000)</f>
        <v>-1000</v>
      </c>
      <c r="BQ295">
        <f>IF(AND(CROQUIS!$C$88=1,CROQUIS!$C$91=0,CROQUIS!$C$138&gt;0,OR(CROQUIS!$C$105=1,CROQUIS!$C$143=1)),((CROQUIS!$C$157+(IF(CROQUIS!$C$92="X",CHOOSE(IF(INT(($A295-1)/5)&gt;MAX((MIN(80,MAX(1,INT(((CROQUIS!$C$97)-CROQUIS!$C$107)/MAX(CROQUIS!$C$138,1))+1)))-1,0),0,MOD($A295-1,5))+1,0,IF(CROQUIS!$C$105=1,-12,2),CROQUIS!$C$107/2+CROQUIS!$C$141,IF(CROQUIS!$C$105=1,-12,2),0),((CROQUIS!$C$107/2+(((CROQUIS!$C$97)-CROQUIS!$C$107)-(MIN(80,MAX(1,INT(((CROQUIS!$C$97)-CROQUIS!$C$107)/MAX(CROQUIS!$C$138,1))+1))-1)*CROQUIS!$C$138)/2)+MIN(INT(($A295-1)/5),MAX((MIN(80,MAX(1,INT(((CROQUIS!$C$97)-CROQUIS!$C$107)/MAX(CROQUIS!$C$138,1))+1)))-1,0))*CROQUIS!$C$138)))*CROQUIS!$C$155)+IF(CROQUIS!$C$92="X",0,0)),-1000)</f>
        <v>-1000</v>
      </c>
      <c r="BR29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295-1)/5),MAX((MIN(80,MAX(1,INT(((CROQUIS!$C$97)-CROQUIS!$C$107)/MAX(CROQUIS!$C$138,1))+1)))-1,0))*CROQUIS!$C$138),CHOOSE(IF(INT(($A295-1)/5)&gt;MAX((MIN(80,MAX(1,INT(((CROQUIS!$C$97)-CROQUIS!$C$107)/MAX(CROQUIS!$C$138,1))+1)))-1,0),0,MOD($A295-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95">
        <f>IF(AND(CROQUIS!$C$88=1,CROQUIS!$C$91=0,CROQUIS!$C$138&gt;0,OR(CROQUIS!$C$106=1,CROQUIS!$C$143=1)),((CROQUIS!$C$157+(IF(CROQUIS!$C$92="X",CHOOSE(IF(INT(($A295-1)/5)&gt;MAX((MIN(80,MAX(1,INT(((CROQUIS!$C$97)-CROQUIS!$C$107)/MAX(CROQUIS!$C$138,1))+1)))-1,0),0,MOD($A295-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295-1)/5),MAX((MIN(80,MAX(1,INT(((CROQUIS!$C$97)-CROQUIS!$C$107)/MAX(CROQUIS!$C$138,1))+1)))-1,0))*CROQUIS!$C$138)))*CROQUIS!$C$155)+IF(CROQUIS!$C$92="X",0,0)),-1000)</f>
        <v>-1000</v>
      </c>
      <c r="BT295">
        <f>IF(AND(CROQUIS!$C$88=1,CROQUIS!$C$91=1,CROQUIS!$C$130&gt;0),((CROQUIS!$C$156+(IF(CROQUIS!$C$92="X",CHOOSE(IF(INT(($A295-1)/5)&gt;MAX((MIN(80,MAX(1,INT(((CROQUIS!$C$98)-CROQUIS!$C$107)/MAX(CROQUIS!$C$130,1))+1)))-1,0),0,MOD($A295-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295-1)/5),MAX((MIN(80,MAX(1,INT(((CROQUIS!$C$98)-CROQUIS!$C$107)/MAX(CROQUIS!$C$130,1))+1)))-1,0))*CROQUIS!$C$130)))*CROQUIS!$C$155)+IF(CROQUIS!$C$92="X",0,0)),-1000)</f>
        <v>-1000</v>
      </c>
      <c r="BU295">
        <f>IF(AND(CROQUIS!$C$88=1,CROQUIS!$C$91=1,CROQUIS!$C$130&gt;0),((CROQUIS!$C$157+(IF(CROQUIS!$C$92="X",((CROQUIS!$C$107/2+(((CROQUIS!$C$98)-CROQUIS!$C$107)-(MIN(80,MAX(1,INT(((CROQUIS!$C$98)-CROQUIS!$C$107)/MAX(CROQUIS!$C$130,1))+1))-1)*CROQUIS!$C$130)/2)+MIN(INT(($A295-1)/5),MAX((MIN(80,MAX(1,INT(((CROQUIS!$C$98)-CROQUIS!$C$107)/MAX(CROQUIS!$C$130,1))+1)))-1,0))*CROQUIS!$C$130),CHOOSE(IF(INT(($A295-1)/5)&gt;MAX((MIN(80,MAX(1,INT(((CROQUIS!$C$98)-CROQUIS!$C$107)/MAX(CROQUIS!$C$130,1))+1)))-1,0),0,MOD($A295-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96">
      <c r="A296" t="n">
        <v>289</v>
      </c>
      <c r="BH296">
        <f>IF(AND(CROQUIS!$C$88=1,CROQUIS!$C$126&gt;0),((CROQUIS!$C$156+(IF(CROQUIS!$C$92="X",CHOOSE(IF(INT(($A296-1)/5)&gt;MAX((MIN(80,MAX(1,INT(((CROQUIS!$C$98)-CROQUIS!$C$107)/MAX(CROQUIS!$C$126,1))+1)))-1,0),0,MOD($A296-1,5))+1,0,2,CROQUIS!$C$97-2,2,0),((CROQUIS!$C$107/2+(((CROQUIS!$C$98)-CROQUIS!$C$107)-(MIN(80,MAX(1,INT(((CROQUIS!$C$98)-CROQUIS!$C$107)/MAX(CROQUIS!$C$126,1))+1))-1)*CROQUIS!$C$126)/2)+MIN(INT(($A296-1)/5),MAX((MIN(80,MAX(1,INT(((CROQUIS!$C$98)-CROQUIS!$C$107)/MAX(CROQUIS!$C$126,1))+1)))-1,0))*CROQUIS!$C$126)))*CROQUIS!$C$155)+IF(CROQUIS!$C$92="X",0,0)),-1000)</f>
        <v>-1000</v>
      </c>
      <c r="BI296">
        <f>IF(AND(CROQUIS!$C$88=1,CROQUIS!$C$126&gt;0),((CROQUIS!$C$157+(IF(CROQUIS!$C$92="X",((CROQUIS!$C$107/2+(((CROQUIS!$C$98)-CROQUIS!$C$107)-(MIN(80,MAX(1,INT(((CROQUIS!$C$98)-CROQUIS!$C$107)/MAX(CROQUIS!$C$126,1))+1))-1)*CROQUIS!$C$126)/2)+MIN(INT(($A296-1)/5),MAX((MIN(80,MAX(1,INT(((CROQUIS!$C$98)-CROQUIS!$C$107)/MAX(CROQUIS!$C$126,1))+1)))-1,0))*CROQUIS!$C$126),CHOOSE(IF(INT(($A296-1)/5)&gt;MAX((MIN(80,MAX(1,INT(((CROQUIS!$C$98)-CROQUIS!$C$107)/MAX(CROQUIS!$C$126,1))+1)))-1,0),0,MOD($A296-1,5))+1,0,2,CROQUIS!$C$97-2,2,0)))*CROQUIS!$C$155)+IF(CROQUIS!$C$92="X",0,0)),-1000)</f>
        <v>-1000</v>
      </c>
      <c r="BJ296">
        <f>IF(AND(CROQUIS!$C$88=1,CROQUIS!$C$134&gt;0),((CROQUIS!$C$156+(IF(CROQUIS!$C$92="X",((CROQUIS!$C$107/2+(((CROQUIS!$C$97)-CROQUIS!$C$107)-(MIN(80,MAX(1,INT(((CROQUIS!$C$97)-CROQUIS!$C$107)/MAX(CROQUIS!$C$134,1))+1))-1)*CROQUIS!$C$134)/2)+MIN(INT(($A296-1)/5),MAX((MIN(80,MAX(1,INT(((CROQUIS!$C$97)-CROQUIS!$C$107)/MAX(CROQUIS!$C$134,1))+1)))-1,0))*CROQUIS!$C$134),CHOOSE(IF(INT(($A296-1)/5)&gt;MAX((MIN(80,MAX(1,INT(((CROQUIS!$C$97)-CROQUIS!$C$107)/MAX(CROQUIS!$C$134,1))+1)))-1,0),0,MOD($A296-1,5))+1,0,2,CROQUIS!$C$98-2,2,0)))*CROQUIS!$C$155)+IF(CROQUIS!$C$92="X",0,0)),-1000)</f>
        <v>-1000</v>
      </c>
      <c r="BK296">
        <f>IF(AND(CROQUIS!$C$88=1,CROQUIS!$C$134&gt;0),((CROQUIS!$C$157+(IF(CROQUIS!$C$92="X",CHOOSE(IF(INT(($A296-1)/5)&gt;MAX((MIN(80,MAX(1,INT(((CROQUIS!$C$97)-CROQUIS!$C$107)/MAX(CROQUIS!$C$134,1))+1)))-1,0),0,MOD($A296-1,5))+1,0,2,CROQUIS!$C$98-2,2,0),((CROQUIS!$C$107/2+(((CROQUIS!$C$97)-CROQUIS!$C$107)-(MIN(80,MAX(1,INT(((CROQUIS!$C$97)-CROQUIS!$C$107)/MAX(CROQUIS!$C$134,1))+1))-1)*CROQUIS!$C$134)/2)+MIN(INT(($A296-1)/5),MAX((MIN(80,MAX(1,INT(((CROQUIS!$C$97)-CROQUIS!$C$107)/MAX(CROQUIS!$C$134,1))+1)))-1,0))*CROQUIS!$C$134)))*CROQUIS!$C$155)+IF(CROQUIS!$C$92="X",0,0)),-1000)</f>
        <v>-1000</v>
      </c>
      <c r="BL296">
        <f>IF(AND(CROQUIS!$C$88=1,CROQUIS!$C$91=0,CROQUIS!$C$130&gt;0,OR(CROQUIS!$C$103=1,CROQUIS!$C$142=1)),((CROQUIS!$C$156+(IF(CROQUIS!$C$92="X",CHOOSE(IF(INT(($A296-1)/5)&gt;MAX((MIN(80,MAX(1,INT(((CROQUIS!$C$98)-CROQUIS!$C$107)/MAX(CROQUIS!$C$130,1))+1)))-1,0),0,MOD($A296-1,5))+1,0,IF(CROQUIS!$C$103=1,-12,2),CROQUIS!$C$107/2+CROQUIS!$C$140,IF(CROQUIS!$C$103=1,-12,2),0),((CROQUIS!$C$107/2+(((CROQUIS!$C$98)-CROQUIS!$C$107)-(MIN(80,MAX(1,INT(((CROQUIS!$C$98)-CROQUIS!$C$107)/MAX(CROQUIS!$C$130,1))+1))-1)*CROQUIS!$C$130)/2)+MIN(INT(($A296-1)/5),MAX((MIN(80,MAX(1,INT(((CROQUIS!$C$98)-CROQUIS!$C$107)/MAX(CROQUIS!$C$130,1))+1)))-1,0))*CROQUIS!$C$130)))*CROQUIS!$C$155)+IF(CROQUIS!$C$92="X",0,0)),-1000)</f>
        <v>-1000</v>
      </c>
      <c r="BM29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296-1)/5),MAX((MIN(80,MAX(1,INT(((CROQUIS!$C$98)-CROQUIS!$C$107)/MAX(CROQUIS!$C$130,1))+1)))-1,0))*CROQUIS!$C$130),CHOOSE(IF(INT(($A296-1)/5)&gt;MAX((MIN(80,MAX(1,INT(((CROQUIS!$C$98)-CROQUIS!$C$107)/MAX(CROQUIS!$C$130,1))+1)))-1,0),0,MOD($A296-1,5))+1,0,IF(CROQUIS!$C$103=1,-12,2),CROQUIS!$C$107/2+CROQUIS!$C$140,IF(CROQUIS!$C$103=1,-12,2),0)))*CROQUIS!$C$155)+IF(CROQUIS!$C$92="X",0,0)),-1000)</f>
        <v>-1000</v>
      </c>
      <c r="BN296">
        <f>IF(AND(CROQUIS!$C$88=1,CROQUIS!$C$91=0,CROQUIS!$C$130&gt;0,OR(CROQUIS!$C$104=1,CROQUIS!$C$142=1)),((CROQUIS!$C$156+(IF(CROQUIS!$C$92="X",CHOOSE(IF(INT(($A296-1)/5)&gt;MAX((MIN(80,MAX(1,INT(((CROQUIS!$C$98)-CROQUIS!$C$107)/MAX(CROQUIS!$C$130,1))+1)))-1,0),0,MOD($A296-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296-1)/5),MAX((MIN(80,MAX(1,INT(((CROQUIS!$C$98)-CROQUIS!$C$107)/MAX(CROQUIS!$C$130,1))+1)))-1,0))*CROQUIS!$C$130)))*CROQUIS!$C$155)+IF(CROQUIS!$C$92="X",0,0)),-1000)</f>
        <v>-1000</v>
      </c>
      <c r="BO29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296-1)/5),MAX((MIN(80,MAX(1,INT(((CROQUIS!$C$98)-CROQUIS!$C$107)/MAX(CROQUIS!$C$130,1))+1)))-1,0))*CROQUIS!$C$130),CHOOSE(IF(INT(($A296-1)/5)&gt;MAX((MIN(80,MAX(1,INT(((CROQUIS!$C$98)-CROQUIS!$C$107)/MAX(CROQUIS!$C$130,1))+1)))-1,0),0,MOD($A296-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9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296-1)/5),MAX((MIN(80,MAX(1,INT(((CROQUIS!$C$97)-CROQUIS!$C$107)/MAX(CROQUIS!$C$138,1))+1)))-1,0))*CROQUIS!$C$138),CHOOSE(IF(INT(($A296-1)/5)&gt;MAX((MIN(80,MAX(1,INT(((CROQUIS!$C$97)-CROQUIS!$C$107)/MAX(CROQUIS!$C$138,1))+1)))-1,0),0,MOD($A296-1,5))+1,0,IF(CROQUIS!$C$105=1,-12,2),CROQUIS!$C$107/2+CROQUIS!$C$141,IF(CROQUIS!$C$105=1,-12,2),0)))*CROQUIS!$C$155)+IF(CROQUIS!$C$92="X",0,0)),-1000)</f>
        <v>-1000</v>
      </c>
      <c r="BQ296">
        <f>IF(AND(CROQUIS!$C$88=1,CROQUIS!$C$91=0,CROQUIS!$C$138&gt;0,OR(CROQUIS!$C$105=1,CROQUIS!$C$143=1)),((CROQUIS!$C$157+(IF(CROQUIS!$C$92="X",CHOOSE(IF(INT(($A296-1)/5)&gt;MAX((MIN(80,MAX(1,INT(((CROQUIS!$C$97)-CROQUIS!$C$107)/MAX(CROQUIS!$C$138,1))+1)))-1,0),0,MOD($A296-1,5))+1,0,IF(CROQUIS!$C$105=1,-12,2),CROQUIS!$C$107/2+CROQUIS!$C$141,IF(CROQUIS!$C$105=1,-12,2),0),((CROQUIS!$C$107/2+(((CROQUIS!$C$97)-CROQUIS!$C$107)-(MIN(80,MAX(1,INT(((CROQUIS!$C$97)-CROQUIS!$C$107)/MAX(CROQUIS!$C$138,1))+1))-1)*CROQUIS!$C$138)/2)+MIN(INT(($A296-1)/5),MAX((MIN(80,MAX(1,INT(((CROQUIS!$C$97)-CROQUIS!$C$107)/MAX(CROQUIS!$C$138,1))+1)))-1,0))*CROQUIS!$C$138)))*CROQUIS!$C$155)+IF(CROQUIS!$C$92="X",0,0)),-1000)</f>
        <v>-1000</v>
      </c>
      <c r="BR29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296-1)/5),MAX((MIN(80,MAX(1,INT(((CROQUIS!$C$97)-CROQUIS!$C$107)/MAX(CROQUIS!$C$138,1))+1)))-1,0))*CROQUIS!$C$138),CHOOSE(IF(INT(($A296-1)/5)&gt;MAX((MIN(80,MAX(1,INT(((CROQUIS!$C$97)-CROQUIS!$C$107)/MAX(CROQUIS!$C$138,1))+1)))-1,0),0,MOD($A296-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96">
        <f>IF(AND(CROQUIS!$C$88=1,CROQUIS!$C$91=0,CROQUIS!$C$138&gt;0,OR(CROQUIS!$C$106=1,CROQUIS!$C$143=1)),((CROQUIS!$C$157+(IF(CROQUIS!$C$92="X",CHOOSE(IF(INT(($A296-1)/5)&gt;MAX((MIN(80,MAX(1,INT(((CROQUIS!$C$97)-CROQUIS!$C$107)/MAX(CROQUIS!$C$138,1))+1)))-1,0),0,MOD($A296-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296-1)/5),MAX((MIN(80,MAX(1,INT(((CROQUIS!$C$97)-CROQUIS!$C$107)/MAX(CROQUIS!$C$138,1))+1)))-1,0))*CROQUIS!$C$138)))*CROQUIS!$C$155)+IF(CROQUIS!$C$92="X",0,0)),-1000)</f>
        <v>-1000</v>
      </c>
      <c r="BT296">
        <f>IF(AND(CROQUIS!$C$88=1,CROQUIS!$C$91=1,CROQUIS!$C$130&gt;0),((CROQUIS!$C$156+(IF(CROQUIS!$C$92="X",CHOOSE(IF(INT(($A296-1)/5)&gt;MAX((MIN(80,MAX(1,INT(((CROQUIS!$C$98)-CROQUIS!$C$107)/MAX(CROQUIS!$C$130,1))+1)))-1,0),0,MOD($A296-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296-1)/5),MAX((MIN(80,MAX(1,INT(((CROQUIS!$C$98)-CROQUIS!$C$107)/MAX(CROQUIS!$C$130,1))+1)))-1,0))*CROQUIS!$C$130)))*CROQUIS!$C$155)+IF(CROQUIS!$C$92="X",0,0)),-1000)</f>
        <v>-1000</v>
      </c>
      <c r="BU296">
        <f>IF(AND(CROQUIS!$C$88=1,CROQUIS!$C$91=1,CROQUIS!$C$130&gt;0),((CROQUIS!$C$157+(IF(CROQUIS!$C$92="X",((CROQUIS!$C$107/2+(((CROQUIS!$C$98)-CROQUIS!$C$107)-(MIN(80,MAX(1,INT(((CROQUIS!$C$98)-CROQUIS!$C$107)/MAX(CROQUIS!$C$130,1))+1))-1)*CROQUIS!$C$130)/2)+MIN(INT(($A296-1)/5),MAX((MIN(80,MAX(1,INT(((CROQUIS!$C$98)-CROQUIS!$C$107)/MAX(CROQUIS!$C$130,1))+1)))-1,0))*CROQUIS!$C$130),CHOOSE(IF(INT(($A296-1)/5)&gt;MAX((MIN(80,MAX(1,INT(((CROQUIS!$C$98)-CROQUIS!$C$107)/MAX(CROQUIS!$C$130,1))+1)))-1,0),0,MOD($A296-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97">
      <c r="A297" t="n">
        <v>290</v>
      </c>
      <c r="BH297">
        <f>IF(AND(CROQUIS!$C$88=1,CROQUIS!$C$126&gt;0),((CROQUIS!$C$156+(IF(CROQUIS!$C$92="X",CHOOSE(IF(INT(($A297-1)/5)&gt;MAX((MIN(80,MAX(1,INT(((CROQUIS!$C$98)-CROQUIS!$C$107)/MAX(CROQUIS!$C$126,1))+1)))-1,0),0,MOD($A297-1,5))+1,0,2,CROQUIS!$C$97-2,2,0),((CROQUIS!$C$107/2+(((CROQUIS!$C$98)-CROQUIS!$C$107)-(MIN(80,MAX(1,INT(((CROQUIS!$C$98)-CROQUIS!$C$107)/MAX(CROQUIS!$C$126,1))+1))-1)*CROQUIS!$C$126)/2)+MIN(INT(($A297-1)/5),MAX((MIN(80,MAX(1,INT(((CROQUIS!$C$98)-CROQUIS!$C$107)/MAX(CROQUIS!$C$126,1))+1)))-1,0))*CROQUIS!$C$126)))*CROQUIS!$C$155)+IF(CROQUIS!$C$92="X",0,0)),-1000)</f>
        <v>-1000</v>
      </c>
      <c r="BI297">
        <f>IF(AND(CROQUIS!$C$88=1,CROQUIS!$C$126&gt;0),((CROQUIS!$C$157+(IF(CROQUIS!$C$92="X",((CROQUIS!$C$107/2+(((CROQUIS!$C$98)-CROQUIS!$C$107)-(MIN(80,MAX(1,INT(((CROQUIS!$C$98)-CROQUIS!$C$107)/MAX(CROQUIS!$C$126,1))+1))-1)*CROQUIS!$C$126)/2)+MIN(INT(($A297-1)/5),MAX((MIN(80,MAX(1,INT(((CROQUIS!$C$98)-CROQUIS!$C$107)/MAX(CROQUIS!$C$126,1))+1)))-1,0))*CROQUIS!$C$126),CHOOSE(IF(INT(($A297-1)/5)&gt;MAX((MIN(80,MAX(1,INT(((CROQUIS!$C$98)-CROQUIS!$C$107)/MAX(CROQUIS!$C$126,1))+1)))-1,0),0,MOD($A297-1,5))+1,0,2,CROQUIS!$C$97-2,2,0)))*CROQUIS!$C$155)+IF(CROQUIS!$C$92="X",0,0)),-1000)</f>
        <v>-1000</v>
      </c>
      <c r="BJ297">
        <f>IF(AND(CROQUIS!$C$88=1,CROQUIS!$C$134&gt;0),((CROQUIS!$C$156+(IF(CROQUIS!$C$92="X",((CROQUIS!$C$107/2+(((CROQUIS!$C$97)-CROQUIS!$C$107)-(MIN(80,MAX(1,INT(((CROQUIS!$C$97)-CROQUIS!$C$107)/MAX(CROQUIS!$C$134,1))+1))-1)*CROQUIS!$C$134)/2)+MIN(INT(($A297-1)/5),MAX((MIN(80,MAX(1,INT(((CROQUIS!$C$97)-CROQUIS!$C$107)/MAX(CROQUIS!$C$134,1))+1)))-1,0))*CROQUIS!$C$134),CHOOSE(IF(INT(($A297-1)/5)&gt;MAX((MIN(80,MAX(1,INT(((CROQUIS!$C$97)-CROQUIS!$C$107)/MAX(CROQUIS!$C$134,1))+1)))-1,0),0,MOD($A297-1,5))+1,0,2,CROQUIS!$C$98-2,2,0)))*CROQUIS!$C$155)+IF(CROQUIS!$C$92="X",0,0)),-1000)</f>
        <v>-1000</v>
      </c>
      <c r="BK297">
        <f>IF(AND(CROQUIS!$C$88=1,CROQUIS!$C$134&gt;0),((CROQUIS!$C$157+(IF(CROQUIS!$C$92="X",CHOOSE(IF(INT(($A297-1)/5)&gt;MAX((MIN(80,MAX(1,INT(((CROQUIS!$C$97)-CROQUIS!$C$107)/MAX(CROQUIS!$C$134,1))+1)))-1,0),0,MOD($A297-1,5))+1,0,2,CROQUIS!$C$98-2,2,0),((CROQUIS!$C$107/2+(((CROQUIS!$C$97)-CROQUIS!$C$107)-(MIN(80,MAX(1,INT(((CROQUIS!$C$97)-CROQUIS!$C$107)/MAX(CROQUIS!$C$134,1))+1))-1)*CROQUIS!$C$134)/2)+MIN(INT(($A297-1)/5),MAX((MIN(80,MAX(1,INT(((CROQUIS!$C$97)-CROQUIS!$C$107)/MAX(CROQUIS!$C$134,1))+1)))-1,0))*CROQUIS!$C$134)))*CROQUIS!$C$155)+IF(CROQUIS!$C$92="X",0,0)),-1000)</f>
        <v>-1000</v>
      </c>
      <c r="BL297">
        <f>IF(AND(CROQUIS!$C$88=1,CROQUIS!$C$91=0,CROQUIS!$C$130&gt;0,OR(CROQUIS!$C$103=1,CROQUIS!$C$142=1)),((CROQUIS!$C$156+(IF(CROQUIS!$C$92="X",CHOOSE(IF(INT(($A297-1)/5)&gt;MAX((MIN(80,MAX(1,INT(((CROQUIS!$C$98)-CROQUIS!$C$107)/MAX(CROQUIS!$C$130,1))+1)))-1,0),0,MOD($A297-1,5))+1,0,IF(CROQUIS!$C$103=1,-12,2),CROQUIS!$C$107/2+CROQUIS!$C$140,IF(CROQUIS!$C$103=1,-12,2),0),((CROQUIS!$C$107/2+(((CROQUIS!$C$98)-CROQUIS!$C$107)-(MIN(80,MAX(1,INT(((CROQUIS!$C$98)-CROQUIS!$C$107)/MAX(CROQUIS!$C$130,1))+1))-1)*CROQUIS!$C$130)/2)+MIN(INT(($A297-1)/5),MAX((MIN(80,MAX(1,INT(((CROQUIS!$C$98)-CROQUIS!$C$107)/MAX(CROQUIS!$C$130,1))+1)))-1,0))*CROQUIS!$C$130)))*CROQUIS!$C$155)+IF(CROQUIS!$C$92="X",0,0)),-1000)</f>
        <v>-1000</v>
      </c>
      <c r="BM29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297-1)/5),MAX((MIN(80,MAX(1,INT(((CROQUIS!$C$98)-CROQUIS!$C$107)/MAX(CROQUIS!$C$130,1))+1)))-1,0))*CROQUIS!$C$130),CHOOSE(IF(INT(($A297-1)/5)&gt;MAX((MIN(80,MAX(1,INT(((CROQUIS!$C$98)-CROQUIS!$C$107)/MAX(CROQUIS!$C$130,1))+1)))-1,0),0,MOD($A297-1,5))+1,0,IF(CROQUIS!$C$103=1,-12,2),CROQUIS!$C$107/2+CROQUIS!$C$140,IF(CROQUIS!$C$103=1,-12,2),0)))*CROQUIS!$C$155)+IF(CROQUIS!$C$92="X",0,0)),-1000)</f>
        <v>-1000</v>
      </c>
      <c r="BN297">
        <f>IF(AND(CROQUIS!$C$88=1,CROQUIS!$C$91=0,CROQUIS!$C$130&gt;0,OR(CROQUIS!$C$104=1,CROQUIS!$C$142=1)),((CROQUIS!$C$156+(IF(CROQUIS!$C$92="X",CHOOSE(IF(INT(($A297-1)/5)&gt;MAX((MIN(80,MAX(1,INT(((CROQUIS!$C$98)-CROQUIS!$C$107)/MAX(CROQUIS!$C$130,1))+1)))-1,0),0,MOD($A297-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297-1)/5),MAX((MIN(80,MAX(1,INT(((CROQUIS!$C$98)-CROQUIS!$C$107)/MAX(CROQUIS!$C$130,1))+1)))-1,0))*CROQUIS!$C$130)))*CROQUIS!$C$155)+IF(CROQUIS!$C$92="X",0,0)),-1000)</f>
        <v>-1000</v>
      </c>
      <c r="BO29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297-1)/5),MAX((MIN(80,MAX(1,INT(((CROQUIS!$C$98)-CROQUIS!$C$107)/MAX(CROQUIS!$C$130,1))+1)))-1,0))*CROQUIS!$C$130),CHOOSE(IF(INT(($A297-1)/5)&gt;MAX((MIN(80,MAX(1,INT(((CROQUIS!$C$98)-CROQUIS!$C$107)/MAX(CROQUIS!$C$130,1))+1)))-1,0),0,MOD($A297-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9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297-1)/5),MAX((MIN(80,MAX(1,INT(((CROQUIS!$C$97)-CROQUIS!$C$107)/MAX(CROQUIS!$C$138,1))+1)))-1,0))*CROQUIS!$C$138),CHOOSE(IF(INT(($A297-1)/5)&gt;MAX((MIN(80,MAX(1,INT(((CROQUIS!$C$97)-CROQUIS!$C$107)/MAX(CROQUIS!$C$138,1))+1)))-1,0),0,MOD($A297-1,5))+1,0,IF(CROQUIS!$C$105=1,-12,2),CROQUIS!$C$107/2+CROQUIS!$C$141,IF(CROQUIS!$C$105=1,-12,2),0)))*CROQUIS!$C$155)+IF(CROQUIS!$C$92="X",0,0)),-1000)</f>
        <v>-1000</v>
      </c>
      <c r="BQ297">
        <f>IF(AND(CROQUIS!$C$88=1,CROQUIS!$C$91=0,CROQUIS!$C$138&gt;0,OR(CROQUIS!$C$105=1,CROQUIS!$C$143=1)),((CROQUIS!$C$157+(IF(CROQUIS!$C$92="X",CHOOSE(IF(INT(($A297-1)/5)&gt;MAX((MIN(80,MAX(1,INT(((CROQUIS!$C$97)-CROQUIS!$C$107)/MAX(CROQUIS!$C$138,1))+1)))-1,0),0,MOD($A297-1,5))+1,0,IF(CROQUIS!$C$105=1,-12,2),CROQUIS!$C$107/2+CROQUIS!$C$141,IF(CROQUIS!$C$105=1,-12,2),0),((CROQUIS!$C$107/2+(((CROQUIS!$C$97)-CROQUIS!$C$107)-(MIN(80,MAX(1,INT(((CROQUIS!$C$97)-CROQUIS!$C$107)/MAX(CROQUIS!$C$138,1))+1))-1)*CROQUIS!$C$138)/2)+MIN(INT(($A297-1)/5),MAX((MIN(80,MAX(1,INT(((CROQUIS!$C$97)-CROQUIS!$C$107)/MAX(CROQUIS!$C$138,1))+1)))-1,0))*CROQUIS!$C$138)))*CROQUIS!$C$155)+IF(CROQUIS!$C$92="X",0,0)),-1000)</f>
        <v>-1000</v>
      </c>
      <c r="BR29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297-1)/5),MAX((MIN(80,MAX(1,INT(((CROQUIS!$C$97)-CROQUIS!$C$107)/MAX(CROQUIS!$C$138,1))+1)))-1,0))*CROQUIS!$C$138),CHOOSE(IF(INT(($A297-1)/5)&gt;MAX((MIN(80,MAX(1,INT(((CROQUIS!$C$97)-CROQUIS!$C$107)/MAX(CROQUIS!$C$138,1))+1)))-1,0),0,MOD($A297-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97">
        <f>IF(AND(CROQUIS!$C$88=1,CROQUIS!$C$91=0,CROQUIS!$C$138&gt;0,OR(CROQUIS!$C$106=1,CROQUIS!$C$143=1)),((CROQUIS!$C$157+(IF(CROQUIS!$C$92="X",CHOOSE(IF(INT(($A297-1)/5)&gt;MAX((MIN(80,MAX(1,INT(((CROQUIS!$C$97)-CROQUIS!$C$107)/MAX(CROQUIS!$C$138,1))+1)))-1,0),0,MOD($A297-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297-1)/5),MAX((MIN(80,MAX(1,INT(((CROQUIS!$C$97)-CROQUIS!$C$107)/MAX(CROQUIS!$C$138,1))+1)))-1,0))*CROQUIS!$C$138)))*CROQUIS!$C$155)+IF(CROQUIS!$C$92="X",0,0)),-1000)</f>
        <v>-1000</v>
      </c>
      <c r="BT297">
        <f>IF(AND(CROQUIS!$C$88=1,CROQUIS!$C$91=1,CROQUIS!$C$130&gt;0),((CROQUIS!$C$156+(IF(CROQUIS!$C$92="X",CHOOSE(IF(INT(($A297-1)/5)&gt;MAX((MIN(80,MAX(1,INT(((CROQUIS!$C$98)-CROQUIS!$C$107)/MAX(CROQUIS!$C$130,1))+1)))-1,0),0,MOD($A297-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297-1)/5),MAX((MIN(80,MAX(1,INT(((CROQUIS!$C$98)-CROQUIS!$C$107)/MAX(CROQUIS!$C$130,1))+1)))-1,0))*CROQUIS!$C$130)))*CROQUIS!$C$155)+IF(CROQUIS!$C$92="X",0,0)),-1000)</f>
        <v>-1000</v>
      </c>
      <c r="BU297">
        <f>IF(AND(CROQUIS!$C$88=1,CROQUIS!$C$91=1,CROQUIS!$C$130&gt;0),((CROQUIS!$C$157+(IF(CROQUIS!$C$92="X",((CROQUIS!$C$107/2+(((CROQUIS!$C$98)-CROQUIS!$C$107)-(MIN(80,MAX(1,INT(((CROQUIS!$C$98)-CROQUIS!$C$107)/MAX(CROQUIS!$C$130,1))+1))-1)*CROQUIS!$C$130)/2)+MIN(INT(($A297-1)/5),MAX((MIN(80,MAX(1,INT(((CROQUIS!$C$98)-CROQUIS!$C$107)/MAX(CROQUIS!$C$130,1))+1)))-1,0))*CROQUIS!$C$130),CHOOSE(IF(INT(($A297-1)/5)&gt;MAX((MIN(80,MAX(1,INT(((CROQUIS!$C$98)-CROQUIS!$C$107)/MAX(CROQUIS!$C$130,1))+1)))-1,0),0,MOD($A297-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98">
      <c r="A298" t="n">
        <v>291</v>
      </c>
      <c r="BH298">
        <f>IF(AND(CROQUIS!$C$88=1,CROQUIS!$C$126&gt;0),((CROQUIS!$C$156+(IF(CROQUIS!$C$92="X",CHOOSE(IF(INT(($A298-1)/5)&gt;MAX((MIN(80,MAX(1,INT(((CROQUIS!$C$98)-CROQUIS!$C$107)/MAX(CROQUIS!$C$126,1))+1)))-1,0),0,MOD($A298-1,5))+1,0,2,CROQUIS!$C$97-2,2,0),((CROQUIS!$C$107/2+(((CROQUIS!$C$98)-CROQUIS!$C$107)-(MIN(80,MAX(1,INT(((CROQUIS!$C$98)-CROQUIS!$C$107)/MAX(CROQUIS!$C$126,1))+1))-1)*CROQUIS!$C$126)/2)+MIN(INT(($A298-1)/5),MAX((MIN(80,MAX(1,INT(((CROQUIS!$C$98)-CROQUIS!$C$107)/MAX(CROQUIS!$C$126,1))+1)))-1,0))*CROQUIS!$C$126)))*CROQUIS!$C$155)+IF(CROQUIS!$C$92="X",0,0)),-1000)</f>
        <v>-1000</v>
      </c>
      <c r="BI298">
        <f>IF(AND(CROQUIS!$C$88=1,CROQUIS!$C$126&gt;0),((CROQUIS!$C$157+(IF(CROQUIS!$C$92="X",((CROQUIS!$C$107/2+(((CROQUIS!$C$98)-CROQUIS!$C$107)-(MIN(80,MAX(1,INT(((CROQUIS!$C$98)-CROQUIS!$C$107)/MAX(CROQUIS!$C$126,1))+1))-1)*CROQUIS!$C$126)/2)+MIN(INT(($A298-1)/5),MAX((MIN(80,MAX(1,INT(((CROQUIS!$C$98)-CROQUIS!$C$107)/MAX(CROQUIS!$C$126,1))+1)))-1,0))*CROQUIS!$C$126),CHOOSE(IF(INT(($A298-1)/5)&gt;MAX((MIN(80,MAX(1,INT(((CROQUIS!$C$98)-CROQUIS!$C$107)/MAX(CROQUIS!$C$126,1))+1)))-1,0),0,MOD($A298-1,5))+1,0,2,CROQUIS!$C$97-2,2,0)))*CROQUIS!$C$155)+IF(CROQUIS!$C$92="X",0,0)),-1000)</f>
        <v>-1000</v>
      </c>
      <c r="BJ298">
        <f>IF(AND(CROQUIS!$C$88=1,CROQUIS!$C$134&gt;0),((CROQUIS!$C$156+(IF(CROQUIS!$C$92="X",((CROQUIS!$C$107/2+(((CROQUIS!$C$97)-CROQUIS!$C$107)-(MIN(80,MAX(1,INT(((CROQUIS!$C$97)-CROQUIS!$C$107)/MAX(CROQUIS!$C$134,1))+1))-1)*CROQUIS!$C$134)/2)+MIN(INT(($A298-1)/5),MAX((MIN(80,MAX(1,INT(((CROQUIS!$C$97)-CROQUIS!$C$107)/MAX(CROQUIS!$C$134,1))+1)))-1,0))*CROQUIS!$C$134),CHOOSE(IF(INT(($A298-1)/5)&gt;MAX((MIN(80,MAX(1,INT(((CROQUIS!$C$97)-CROQUIS!$C$107)/MAX(CROQUIS!$C$134,1))+1)))-1,0),0,MOD($A298-1,5))+1,0,2,CROQUIS!$C$98-2,2,0)))*CROQUIS!$C$155)+IF(CROQUIS!$C$92="X",0,0)),-1000)</f>
        <v>-1000</v>
      </c>
      <c r="BK298">
        <f>IF(AND(CROQUIS!$C$88=1,CROQUIS!$C$134&gt;0),((CROQUIS!$C$157+(IF(CROQUIS!$C$92="X",CHOOSE(IF(INT(($A298-1)/5)&gt;MAX((MIN(80,MAX(1,INT(((CROQUIS!$C$97)-CROQUIS!$C$107)/MAX(CROQUIS!$C$134,1))+1)))-1,0),0,MOD($A298-1,5))+1,0,2,CROQUIS!$C$98-2,2,0),((CROQUIS!$C$107/2+(((CROQUIS!$C$97)-CROQUIS!$C$107)-(MIN(80,MAX(1,INT(((CROQUIS!$C$97)-CROQUIS!$C$107)/MAX(CROQUIS!$C$134,1))+1))-1)*CROQUIS!$C$134)/2)+MIN(INT(($A298-1)/5),MAX((MIN(80,MAX(1,INT(((CROQUIS!$C$97)-CROQUIS!$C$107)/MAX(CROQUIS!$C$134,1))+1)))-1,0))*CROQUIS!$C$134)))*CROQUIS!$C$155)+IF(CROQUIS!$C$92="X",0,0)),-1000)</f>
        <v>-1000</v>
      </c>
      <c r="BL298">
        <f>IF(AND(CROQUIS!$C$88=1,CROQUIS!$C$91=0,CROQUIS!$C$130&gt;0,OR(CROQUIS!$C$103=1,CROQUIS!$C$142=1)),((CROQUIS!$C$156+(IF(CROQUIS!$C$92="X",CHOOSE(IF(INT(($A298-1)/5)&gt;MAX((MIN(80,MAX(1,INT(((CROQUIS!$C$98)-CROQUIS!$C$107)/MAX(CROQUIS!$C$130,1))+1)))-1,0),0,MOD($A298-1,5))+1,0,IF(CROQUIS!$C$103=1,-12,2),CROQUIS!$C$107/2+CROQUIS!$C$140,IF(CROQUIS!$C$103=1,-12,2),0),((CROQUIS!$C$107/2+(((CROQUIS!$C$98)-CROQUIS!$C$107)-(MIN(80,MAX(1,INT(((CROQUIS!$C$98)-CROQUIS!$C$107)/MAX(CROQUIS!$C$130,1))+1))-1)*CROQUIS!$C$130)/2)+MIN(INT(($A298-1)/5),MAX((MIN(80,MAX(1,INT(((CROQUIS!$C$98)-CROQUIS!$C$107)/MAX(CROQUIS!$C$130,1))+1)))-1,0))*CROQUIS!$C$130)))*CROQUIS!$C$155)+IF(CROQUIS!$C$92="X",0,0)),-1000)</f>
        <v>-1000</v>
      </c>
      <c r="BM29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298-1)/5),MAX((MIN(80,MAX(1,INT(((CROQUIS!$C$98)-CROQUIS!$C$107)/MAX(CROQUIS!$C$130,1))+1)))-1,0))*CROQUIS!$C$130),CHOOSE(IF(INT(($A298-1)/5)&gt;MAX((MIN(80,MAX(1,INT(((CROQUIS!$C$98)-CROQUIS!$C$107)/MAX(CROQUIS!$C$130,1))+1)))-1,0),0,MOD($A298-1,5))+1,0,IF(CROQUIS!$C$103=1,-12,2),CROQUIS!$C$107/2+CROQUIS!$C$140,IF(CROQUIS!$C$103=1,-12,2),0)))*CROQUIS!$C$155)+IF(CROQUIS!$C$92="X",0,0)),-1000)</f>
        <v>-1000</v>
      </c>
      <c r="BN298">
        <f>IF(AND(CROQUIS!$C$88=1,CROQUIS!$C$91=0,CROQUIS!$C$130&gt;0,OR(CROQUIS!$C$104=1,CROQUIS!$C$142=1)),((CROQUIS!$C$156+(IF(CROQUIS!$C$92="X",CHOOSE(IF(INT(($A298-1)/5)&gt;MAX((MIN(80,MAX(1,INT(((CROQUIS!$C$98)-CROQUIS!$C$107)/MAX(CROQUIS!$C$130,1))+1)))-1,0),0,MOD($A298-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298-1)/5),MAX((MIN(80,MAX(1,INT(((CROQUIS!$C$98)-CROQUIS!$C$107)/MAX(CROQUIS!$C$130,1))+1)))-1,0))*CROQUIS!$C$130)))*CROQUIS!$C$155)+IF(CROQUIS!$C$92="X",0,0)),-1000)</f>
        <v>-1000</v>
      </c>
      <c r="BO29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298-1)/5),MAX((MIN(80,MAX(1,INT(((CROQUIS!$C$98)-CROQUIS!$C$107)/MAX(CROQUIS!$C$130,1))+1)))-1,0))*CROQUIS!$C$130),CHOOSE(IF(INT(($A298-1)/5)&gt;MAX((MIN(80,MAX(1,INT(((CROQUIS!$C$98)-CROQUIS!$C$107)/MAX(CROQUIS!$C$130,1))+1)))-1,0),0,MOD($A298-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9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298-1)/5),MAX((MIN(80,MAX(1,INT(((CROQUIS!$C$97)-CROQUIS!$C$107)/MAX(CROQUIS!$C$138,1))+1)))-1,0))*CROQUIS!$C$138),CHOOSE(IF(INT(($A298-1)/5)&gt;MAX((MIN(80,MAX(1,INT(((CROQUIS!$C$97)-CROQUIS!$C$107)/MAX(CROQUIS!$C$138,1))+1)))-1,0),0,MOD($A298-1,5))+1,0,IF(CROQUIS!$C$105=1,-12,2),CROQUIS!$C$107/2+CROQUIS!$C$141,IF(CROQUIS!$C$105=1,-12,2),0)))*CROQUIS!$C$155)+IF(CROQUIS!$C$92="X",0,0)),-1000)</f>
        <v>-1000</v>
      </c>
      <c r="BQ298">
        <f>IF(AND(CROQUIS!$C$88=1,CROQUIS!$C$91=0,CROQUIS!$C$138&gt;0,OR(CROQUIS!$C$105=1,CROQUIS!$C$143=1)),((CROQUIS!$C$157+(IF(CROQUIS!$C$92="X",CHOOSE(IF(INT(($A298-1)/5)&gt;MAX((MIN(80,MAX(1,INT(((CROQUIS!$C$97)-CROQUIS!$C$107)/MAX(CROQUIS!$C$138,1))+1)))-1,0),0,MOD($A298-1,5))+1,0,IF(CROQUIS!$C$105=1,-12,2),CROQUIS!$C$107/2+CROQUIS!$C$141,IF(CROQUIS!$C$105=1,-12,2),0),((CROQUIS!$C$107/2+(((CROQUIS!$C$97)-CROQUIS!$C$107)-(MIN(80,MAX(1,INT(((CROQUIS!$C$97)-CROQUIS!$C$107)/MAX(CROQUIS!$C$138,1))+1))-1)*CROQUIS!$C$138)/2)+MIN(INT(($A298-1)/5),MAX((MIN(80,MAX(1,INT(((CROQUIS!$C$97)-CROQUIS!$C$107)/MAX(CROQUIS!$C$138,1))+1)))-1,0))*CROQUIS!$C$138)))*CROQUIS!$C$155)+IF(CROQUIS!$C$92="X",0,0)),-1000)</f>
        <v>-1000</v>
      </c>
      <c r="BR29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298-1)/5),MAX((MIN(80,MAX(1,INT(((CROQUIS!$C$97)-CROQUIS!$C$107)/MAX(CROQUIS!$C$138,1))+1)))-1,0))*CROQUIS!$C$138),CHOOSE(IF(INT(($A298-1)/5)&gt;MAX((MIN(80,MAX(1,INT(((CROQUIS!$C$97)-CROQUIS!$C$107)/MAX(CROQUIS!$C$138,1))+1)))-1,0),0,MOD($A298-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98">
        <f>IF(AND(CROQUIS!$C$88=1,CROQUIS!$C$91=0,CROQUIS!$C$138&gt;0,OR(CROQUIS!$C$106=1,CROQUIS!$C$143=1)),((CROQUIS!$C$157+(IF(CROQUIS!$C$92="X",CHOOSE(IF(INT(($A298-1)/5)&gt;MAX((MIN(80,MAX(1,INT(((CROQUIS!$C$97)-CROQUIS!$C$107)/MAX(CROQUIS!$C$138,1))+1)))-1,0),0,MOD($A298-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298-1)/5),MAX((MIN(80,MAX(1,INT(((CROQUIS!$C$97)-CROQUIS!$C$107)/MAX(CROQUIS!$C$138,1))+1)))-1,0))*CROQUIS!$C$138)))*CROQUIS!$C$155)+IF(CROQUIS!$C$92="X",0,0)),-1000)</f>
        <v>-1000</v>
      </c>
      <c r="BT298">
        <f>IF(AND(CROQUIS!$C$88=1,CROQUIS!$C$91=1,CROQUIS!$C$130&gt;0),((CROQUIS!$C$156+(IF(CROQUIS!$C$92="X",CHOOSE(IF(INT(($A298-1)/5)&gt;MAX((MIN(80,MAX(1,INT(((CROQUIS!$C$98)-CROQUIS!$C$107)/MAX(CROQUIS!$C$130,1))+1)))-1,0),0,MOD($A298-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298-1)/5),MAX((MIN(80,MAX(1,INT(((CROQUIS!$C$98)-CROQUIS!$C$107)/MAX(CROQUIS!$C$130,1))+1)))-1,0))*CROQUIS!$C$130)))*CROQUIS!$C$155)+IF(CROQUIS!$C$92="X",0,0)),-1000)</f>
        <v>-1000</v>
      </c>
      <c r="BU298">
        <f>IF(AND(CROQUIS!$C$88=1,CROQUIS!$C$91=1,CROQUIS!$C$130&gt;0),((CROQUIS!$C$157+(IF(CROQUIS!$C$92="X",((CROQUIS!$C$107/2+(((CROQUIS!$C$98)-CROQUIS!$C$107)-(MIN(80,MAX(1,INT(((CROQUIS!$C$98)-CROQUIS!$C$107)/MAX(CROQUIS!$C$130,1))+1))-1)*CROQUIS!$C$130)/2)+MIN(INT(($A298-1)/5),MAX((MIN(80,MAX(1,INT(((CROQUIS!$C$98)-CROQUIS!$C$107)/MAX(CROQUIS!$C$130,1))+1)))-1,0))*CROQUIS!$C$130),CHOOSE(IF(INT(($A298-1)/5)&gt;MAX((MIN(80,MAX(1,INT(((CROQUIS!$C$98)-CROQUIS!$C$107)/MAX(CROQUIS!$C$130,1))+1)))-1,0),0,MOD($A298-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299">
      <c r="A299" t="n">
        <v>292</v>
      </c>
      <c r="BH299">
        <f>IF(AND(CROQUIS!$C$88=1,CROQUIS!$C$126&gt;0),((CROQUIS!$C$156+(IF(CROQUIS!$C$92="X",CHOOSE(IF(INT(($A299-1)/5)&gt;MAX((MIN(80,MAX(1,INT(((CROQUIS!$C$98)-CROQUIS!$C$107)/MAX(CROQUIS!$C$126,1))+1)))-1,0),0,MOD($A299-1,5))+1,0,2,CROQUIS!$C$97-2,2,0),((CROQUIS!$C$107/2+(((CROQUIS!$C$98)-CROQUIS!$C$107)-(MIN(80,MAX(1,INT(((CROQUIS!$C$98)-CROQUIS!$C$107)/MAX(CROQUIS!$C$126,1))+1))-1)*CROQUIS!$C$126)/2)+MIN(INT(($A299-1)/5),MAX((MIN(80,MAX(1,INT(((CROQUIS!$C$98)-CROQUIS!$C$107)/MAX(CROQUIS!$C$126,1))+1)))-1,0))*CROQUIS!$C$126)))*CROQUIS!$C$155)+IF(CROQUIS!$C$92="X",0,0)),-1000)</f>
        <v>-1000</v>
      </c>
      <c r="BI299">
        <f>IF(AND(CROQUIS!$C$88=1,CROQUIS!$C$126&gt;0),((CROQUIS!$C$157+(IF(CROQUIS!$C$92="X",((CROQUIS!$C$107/2+(((CROQUIS!$C$98)-CROQUIS!$C$107)-(MIN(80,MAX(1,INT(((CROQUIS!$C$98)-CROQUIS!$C$107)/MAX(CROQUIS!$C$126,1))+1))-1)*CROQUIS!$C$126)/2)+MIN(INT(($A299-1)/5),MAX((MIN(80,MAX(1,INT(((CROQUIS!$C$98)-CROQUIS!$C$107)/MAX(CROQUIS!$C$126,1))+1)))-1,0))*CROQUIS!$C$126),CHOOSE(IF(INT(($A299-1)/5)&gt;MAX((MIN(80,MAX(1,INT(((CROQUIS!$C$98)-CROQUIS!$C$107)/MAX(CROQUIS!$C$126,1))+1)))-1,0),0,MOD($A299-1,5))+1,0,2,CROQUIS!$C$97-2,2,0)))*CROQUIS!$C$155)+IF(CROQUIS!$C$92="X",0,0)),-1000)</f>
        <v>-1000</v>
      </c>
      <c r="BJ299">
        <f>IF(AND(CROQUIS!$C$88=1,CROQUIS!$C$134&gt;0),((CROQUIS!$C$156+(IF(CROQUIS!$C$92="X",((CROQUIS!$C$107/2+(((CROQUIS!$C$97)-CROQUIS!$C$107)-(MIN(80,MAX(1,INT(((CROQUIS!$C$97)-CROQUIS!$C$107)/MAX(CROQUIS!$C$134,1))+1))-1)*CROQUIS!$C$134)/2)+MIN(INT(($A299-1)/5),MAX((MIN(80,MAX(1,INT(((CROQUIS!$C$97)-CROQUIS!$C$107)/MAX(CROQUIS!$C$134,1))+1)))-1,0))*CROQUIS!$C$134),CHOOSE(IF(INT(($A299-1)/5)&gt;MAX((MIN(80,MAX(1,INT(((CROQUIS!$C$97)-CROQUIS!$C$107)/MAX(CROQUIS!$C$134,1))+1)))-1,0),0,MOD($A299-1,5))+1,0,2,CROQUIS!$C$98-2,2,0)))*CROQUIS!$C$155)+IF(CROQUIS!$C$92="X",0,0)),-1000)</f>
        <v>-1000</v>
      </c>
      <c r="BK299">
        <f>IF(AND(CROQUIS!$C$88=1,CROQUIS!$C$134&gt;0),((CROQUIS!$C$157+(IF(CROQUIS!$C$92="X",CHOOSE(IF(INT(($A299-1)/5)&gt;MAX((MIN(80,MAX(1,INT(((CROQUIS!$C$97)-CROQUIS!$C$107)/MAX(CROQUIS!$C$134,1))+1)))-1,0),0,MOD($A299-1,5))+1,0,2,CROQUIS!$C$98-2,2,0),((CROQUIS!$C$107/2+(((CROQUIS!$C$97)-CROQUIS!$C$107)-(MIN(80,MAX(1,INT(((CROQUIS!$C$97)-CROQUIS!$C$107)/MAX(CROQUIS!$C$134,1))+1))-1)*CROQUIS!$C$134)/2)+MIN(INT(($A299-1)/5),MAX((MIN(80,MAX(1,INT(((CROQUIS!$C$97)-CROQUIS!$C$107)/MAX(CROQUIS!$C$134,1))+1)))-1,0))*CROQUIS!$C$134)))*CROQUIS!$C$155)+IF(CROQUIS!$C$92="X",0,0)),-1000)</f>
        <v>-1000</v>
      </c>
      <c r="BL299">
        <f>IF(AND(CROQUIS!$C$88=1,CROQUIS!$C$91=0,CROQUIS!$C$130&gt;0,OR(CROQUIS!$C$103=1,CROQUIS!$C$142=1)),((CROQUIS!$C$156+(IF(CROQUIS!$C$92="X",CHOOSE(IF(INT(($A299-1)/5)&gt;MAX((MIN(80,MAX(1,INT(((CROQUIS!$C$98)-CROQUIS!$C$107)/MAX(CROQUIS!$C$130,1))+1)))-1,0),0,MOD($A299-1,5))+1,0,IF(CROQUIS!$C$103=1,-12,2),CROQUIS!$C$107/2+CROQUIS!$C$140,IF(CROQUIS!$C$103=1,-12,2),0),((CROQUIS!$C$107/2+(((CROQUIS!$C$98)-CROQUIS!$C$107)-(MIN(80,MAX(1,INT(((CROQUIS!$C$98)-CROQUIS!$C$107)/MAX(CROQUIS!$C$130,1))+1))-1)*CROQUIS!$C$130)/2)+MIN(INT(($A299-1)/5),MAX((MIN(80,MAX(1,INT(((CROQUIS!$C$98)-CROQUIS!$C$107)/MAX(CROQUIS!$C$130,1))+1)))-1,0))*CROQUIS!$C$130)))*CROQUIS!$C$155)+IF(CROQUIS!$C$92="X",0,0)),-1000)</f>
        <v>-1000</v>
      </c>
      <c r="BM29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299-1)/5),MAX((MIN(80,MAX(1,INT(((CROQUIS!$C$98)-CROQUIS!$C$107)/MAX(CROQUIS!$C$130,1))+1)))-1,0))*CROQUIS!$C$130),CHOOSE(IF(INT(($A299-1)/5)&gt;MAX((MIN(80,MAX(1,INT(((CROQUIS!$C$98)-CROQUIS!$C$107)/MAX(CROQUIS!$C$130,1))+1)))-1,0),0,MOD($A299-1,5))+1,0,IF(CROQUIS!$C$103=1,-12,2),CROQUIS!$C$107/2+CROQUIS!$C$140,IF(CROQUIS!$C$103=1,-12,2),0)))*CROQUIS!$C$155)+IF(CROQUIS!$C$92="X",0,0)),-1000)</f>
        <v>-1000</v>
      </c>
      <c r="BN299">
        <f>IF(AND(CROQUIS!$C$88=1,CROQUIS!$C$91=0,CROQUIS!$C$130&gt;0,OR(CROQUIS!$C$104=1,CROQUIS!$C$142=1)),((CROQUIS!$C$156+(IF(CROQUIS!$C$92="X",CHOOSE(IF(INT(($A299-1)/5)&gt;MAX((MIN(80,MAX(1,INT(((CROQUIS!$C$98)-CROQUIS!$C$107)/MAX(CROQUIS!$C$130,1))+1)))-1,0),0,MOD($A299-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299-1)/5),MAX((MIN(80,MAX(1,INT(((CROQUIS!$C$98)-CROQUIS!$C$107)/MAX(CROQUIS!$C$130,1))+1)))-1,0))*CROQUIS!$C$130)))*CROQUIS!$C$155)+IF(CROQUIS!$C$92="X",0,0)),-1000)</f>
        <v>-1000</v>
      </c>
      <c r="BO29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299-1)/5),MAX((MIN(80,MAX(1,INT(((CROQUIS!$C$98)-CROQUIS!$C$107)/MAX(CROQUIS!$C$130,1))+1)))-1,0))*CROQUIS!$C$130),CHOOSE(IF(INT(($A299-1)/5)&gt;MAX((MIN(80,MAX(1,INT(((CROQUIS!$C$98)-CROQUIS!$C$107)/MAX(CROQUIS!$C$130,1))+1)))-1,0),0,MOD($A299-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29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299-1)/5),MAX((MIN(80,MAX(1,INT(((CROQUIS!$C$97)-CROQUIS!$C$107)/MAX(CROQUIS!$C$138,1))+1)))-1,0))*CROQUIS!$C$138),CHOOSE(IF(INT(($A299-1)/5)&gt;MAX((MIN(80,MAX(1,INT(((CROQUIS!$C$97)-CROQUIS!$C$107)/MAX(CROQUIS!$C$138,1))+1)))-1,0),0,MOD($A299-1,5))+1,0,IF(CROQUIS!$C$105=1,-12,2),CROQUIS!$C$107/2+CROQUIS!$C$141,IF(CROQUIS!$C$105=1,-12,2),0)))*CROQUIS!$C$155)+IF(CROQUIS!$C$92="X",0,0)),-1000)</f>
        <v>-1000</v>
      </c>
      <c r="BQ299">
        <f>IF(AND(CROQUIS!$C$88=1,CROQUIS!$C$91=0,CROQUIS!$C$138&gt;0,OR(CROQUIS!$C$105=1,CROQUIS!$C$143=1)),((CROQUIS!$C$157+(IF(CROQUIS!$C$92="X",CHOOSE(IF(INT(($A299-1)/5)&gt;MAX((MIN(80,MAX(1,INT(((CROQUIS!$C$97)-CROQUIS!$C$107)/MAX(CROQUIS!$C$138,1))+1)))-1,0),0,MOD($A299-1,5))+1,0,IF(CROQUIS!$C$105=1,-12,2),CROQUIS!$C$107/2+CROQUIS!$C$141,IF(CROQUIS!$C$105=1,-12,2),0),((CROQUIS!$C$107/2+(((CROQUIS!$C$97)-CROQUIS!$C$107)-(MIN(80,MAX(1,INT(((CROQUIS!$C$97)-CROQUIS!$C$107)/MAX(CROQUIS!$C$138,1))+1))-1)*CROQUIS!$C$138)/2)+MIN(INT(($A299-1)/5),MAX((MIN(80,MAX(1,INT(((CROQUIS!$C$97)-CROQUIS!$C$107)/MAX(CROQUIS!$C$138,1))+1)))-1,0))*CROQUIS!$C$138)))*CROQUIS!$C$155)+IF(CROQUIS!$C$92="X",0,0)),-1000)</f>
        <v>-1000</v>
      </c>
      <c r="BR29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299-1)/5),MAX((MIN(80,MAX(1,INT(((CROQUIS!$C$97)-CROQUIS!$C$107)/MAX(CROQUIS!$C$138,1))+1)))-1,0))*CROQUIS!$C$138),CHOOSE(IF(INT(($A299-1)/5)&gt;MAX((MIN(80,MAX(1,INT(((CROQUIS!$C$97)-CROQUIS!$C$107)/MAX(CROQUIS!$C$138,1))+1)))-1,0),0,MOD($A299-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299">
        <f>IF(AND(CROQUIS!$C$88=1,CROQUIS!$C$91=0,CROQUIS!$C$138&gt;0,OR(CROQUIS!$C$106=1,CROQUIS!$C$143=1)),((CROQUIS!$C$157+(IF(CROQUIS!$C$92="X",CHOOSE(IF(INT(($A299-1)/5)&gt;MAX((MIN(80,MAX(1,INT(((CROQUIS!$C$97)-CROQUIS!$C$107)/MAX(CROQUIS!$C$138,1))+1)))-1,0),0,MOD($A299-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299-1)/5),MAX((MIN(80,MAX(1,INT(((CROQUIS!$C$97)-CROQUIS!$C$107)/MAX(CROQUIS!$C$138,1))+1)))-1,0))*CROQUIS!$C$138)))*CROQUIS!$C$155)+IF(CROQUIS!$C$92="X",0,0)),-1000)</f>
        <v>-1000</v>
      </c>
      <c r="BT299">
        <f>IF(AND(CROQUIS!$C$88=1,CROQUIS!$C$91=1,CROQUIS!$C$130&gt;0),((CROQUIS!$C$156+(IF(CROQUIS!$C$92="X",CHOOSE(IF(INT(($A299-1)/5)&gt;MAX((MIN(80,MAX(1,INT(((CROQUIS!$C$98)-CROQUIS!$C$107)/MAX(CROQUIS!$C$130,1))+1)))-1,0),0,MOD($A299-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299-1)/5),MAX((MIN(80,MAX(1,INT(((CROQUIS!$C$98)-CROQUIS!$C$107)/MAX(CROQUIS!$C$130,1))+1)))-1,0))*CROQUIS!$C$130)))*CROQUIS!$C$155)+IF(CROQUIS!$C$92="X",0,0)),-1000)</f>
        <v>-1000</v>
      </c>
      <c r="BU299">
        <f>IF(AND(CROQUIS!$C$88=1,CROQUIS!$C$91=1,CROQUIS!$C$130&gt;0),((CROQUIS!$C$157+(IF(CROQUIS!$C$92="X",((CROQUIS!$C$107/2+(((CROQUIS!$C$98)-CROQUIS!$C$107)-(MIN(80,MAX(1,INT(((CROQUIS!$C$98)-CROQUIS!$C$107)/MAX(CROQUIS!$C$130,1))+1))-1)*CROQUIS!$C$130)/2)+MIN(INT(($A299-1)/5),MAX((MIN(80,MAX(1,INT(((CROQUIS!$C$98)-CROQUIS!$C$107)/MAX(CROQUIS!$C$130,1))+1)))-1,0))*CROQUIS!$C$130),CHOOSE(IF(INT(($A299-1)/5)&gt;MAX((MIN(80,MAX(1,INT(((CROQUIS!$C$98)-CROQUIS!$C$107)/MAX(CROQUIS!$C$130,1))+1)))-1,0),0,MOD($A299-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00">
      <c r="A300" t="n">
        <v>293</v>
      </c>
      <c r="BH300">
        <f>IF(AND(CROQUIS!$C$88=1,CROQUIS!$C$126&gt;0),((CROQUIS!$C$156+(IF(CROQUIS!$C$92="X",CHOOSE(IF(INT(($A300-1)/5)&gt;MAX((MIN(80,MAX(1,INT(((CROQUIS!$C$98)-CROQUIS!$C$107)/MAX(CROQUIS!$C$126,1))+1)))-1,0),0,MOD($A300-1,5))+1,0,2,CROQUIS!$C$97-2,2,0),((CROQUIS!$C$107/2+(((CROQUIS!$C$98)-CROQUIS!$C$107)-(MIN(80,MAX(1,INT(((CROQUIS!$C$98)-CROQUIS!$C$107)/MAX(CROQUIS!$C$126,1))+1))-1)*CROQUIS!$C$126)/2)+MIN(INT(($A300-1)/5),MAX((MIN(80,MAX(1,INT(((CROQUIS!$C$98)-CROQUIS!$C$107)/MAX(CROQUIS!$C$126,1))+1)))-1,0))*CROQUIS!$C$126)))*CROQUIS!$C$155)+IF(CROQUIS!$C$92="X",0,0)),-1000)</f>
        <v>-1000</v>
      </c>
      <c r="BI300">
        <f>IF(AND(CROQUIS!$C$88=1,CROQUIS!$C$126&gt;0),((CROQUIS!$C$157+(IF(CROQUIS!$C$92="X",((CROQUIS!$C$107/2+(((CROQUIS!$C$98)-CROQUIS!$C$107)-(MIN(80,MAX(1,INT(((CROQUIS!$C$98)-CROQUIS!$C$107)/MAX(CROQUIS!$C$126,1))+1))-1)*CROQUIS!$C$126)/2)+MIN(INT(($A300-1)/5),MAX((MIN(80,MAX(1,INT(((CROQUIS!$C$98)-CROQUIS!$C$107)/MAX(CROQUIS!$C$126,1))+1)))-1,0))*CROQUIS!$C$126),CHOOSE(IF(INT(($A300-1)/5)&gt;MAX((MIN(80,MAX(1,INT(((CROQUIS!$C$98)-CROQUIS!$C$107)/MAX(CROQUIS!$C$126,1))+1)))-1,0),0,MOD($A300-1,5))+1,0,2,CROQUIS!$C$97-2,2,0)))*CROQUIS!$C$155)+IF(CROQUIS!$C$92="X",0,0)),-1000)</f>
        <v>-1000</v>
      </c>
      <c r="BJ300">
        <f>IF(AND(CROQUIS!$C$88=1,CROQUIS!$C$134&gt;0),((CROQUIS!$C$156+(IF(CROQUIS!$C$92="X",((CROQUIS!$C$107/2+(((CROQUIS!$C$97)-CROQUIS!$C$107)-(MIN(80,MAX(1,INT(((CROQUIS!$C$97)-CROQUIS!$C$107)/MAX(CROQUIS!$C$134,1))+1))-1)*CROQUIS!$C$134)/2)+MIN(INT(($A300-1)/5),MAX((MIN(80,MAX(1,INT(((CROQUIS!$C$97)-CROQUIS!$C$107)/MAX(CROQUIS!$C$134,1))+1)))-1,0))*CROQUIS!$C$134),CHOOSE(IF(INT(($A300-1)/5)&gt;MAX((MIN(80,MAX(1,INT(((CROQUIS!$C$97)-CROQUIS!$C$107)/MAX(CROQUIS!$C$134,1))+1)))-1,0),0,MOD($A300-1,5))+1,0,2,CROQUIS!$C$98-2,2,0)))*CROQUIS!$C$155)+IF(CROQUIS!$C$92="X",0,0)),-1000)</f>
        <v>-1000</v>
      </c>
      <c r="BK300">
        <f>IF(AND(CROQUIS!$C$88=1,CROQUIS!$C$134&gt;0),((CROQUIS!$C$157+(IF(CROQUIS!$C$92="X",CHOOSE(IF(INT(($A300-1)/5)&gt;MAX((MIN(80,MAX(1,INT(((CROQUIS!$C$97)-CROQUIS!$C$107)/MAX(CROQUIS!$C$134,1))+1)))-1,0),0,MOD($A300-1,5))+1,0,2,CROQUIS!$C$98-2,2,0),((CROQUIS!$C$107/2+(((CROQUIS!$C$97)-CROQUIS!$C$107)-(MIN(80,MAX(1,INT(((CROQUIS!$C$97)-CROQUIS!$C$107)/MAX(CROQUIS!$C$134,1))+1))-1)*CROQUIS!$C$134)/2)+MIN(INT(($A300-1)/5),MAX((MIN(80,MAX(1,INT(((CROQUIS!$C$97)-CROQUIS!$C$107)/MAX(CROQUIS!$C$134,1))+1)))-1,0))*CROQUIS!$C$134)))*CROQUIS!$C$155)+IF(CROQUIS!$C$92="X",0,0)),-1000)</f>
        <v>-1000</v>
      </c>
      <c r="BL300">
        <f>IF(AND(CROQUIS!$C$88=1,CROQUIS!$C$91=0,CROQUIS!$C$130&gt;0,OR(CROQUIS!$C$103=1,CROQUIS!$C$142=1)),((CROQUIS!$C$156+(IF(CROQUIS!$C$92="X",CHOOSE(IF(INT(($A300-1)/5)&gt;MAX((MIN(80,MAX(1,INT(((CROQUIS!$C$98)-CROQUIS!$C$107)/MAX(CROQUIS!$C$130,1))+1)))-1,0),0,MOD($A300-1,5))+1,0,IF(CROQUIS!$C$103=1,-12,2),CROQUIS!$C$107/2+CROQUIS!$C$140,IF(CROQUIS!$C$103=1,-12,2),0),((CROQUIS!$C$107/2+(((CROQUIS!$C$98)-CROQUIS!$C$107)-(MIN(80,MAX(1,INT(((CROQUIS!$C$98)-CROQUIS!$C$107)/MAX(CROQUIS!$C$130,1))+1))-1)*CROQUIS!$C$130)/2)+MIN(INT(($A300-1)/5),MAX((MIN(80,MAX(1,INT(((CROQUIS!$C$98)-CROQUIS!$C$107)/MAX(CROQUIS!$C$130,1))+1)))-1,0))*CROQUIS!$C$130)))*CROQUIS!$C$155)+IF(CROQUIS!$C$92="X",0,0)),-1000)</f>
        <v>-1000</v>
      </c>
      <c r="BM30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300-1)/5),MAX((MIN(80,MAX(1,INT(((CROQUIS!$C$98)-CROQUIS!$C$107)/MAX(CROQUIS!$C$130,1))+1)))-1,0))*CROQUIS!$C$130),CHOOSE(IF(INT(($A300-1)/5)&gt;MAX((MIN(80,MAX(1,INT(((CROQUIS!$C$98)-CROQUIS!$C$107)/MAX(CROQUIS!$C$130,1))+1)))-1,0),0,MOD($A300-1,5))+1,0,IF(CROQUIS!$C$103=1,-12,2),CROQUIS!$C$107/2+CROQUIS!$C$140,IF(CROQUIS!$C$103=1,-12,2),0)))*CROQUIS!$C$155)+IF(CROQUIS!$C$92="X",0,0)),-1000)</f>
        <v>-1000</v>
      </c>
      <c r="BN300">
        <f>IF(AND(CROQUIS!$C$88=1,CROQUIS!$C$91=0,CROQUIS!$C$130&gt;0,OR(CROQUIS!$C$104=1,CROQUIS!$C$142=1)),((CROQUIS!$C$156+(IF(CROQUIS!$C$92="X",CHOOSE(IF(INT(($A300-1)/5)&gt;MAX((MIN(80,MAX(1,INT(((CROQUIS!$C$98)-CROQUIS!$C$107)/MAX(CROQUIS!$C$130,1))+1)))-1,0),0,MOD($A300-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300-1)/5),MAX((MIN(80,MAX(1,INT(((CROQUIS!$C$98)-CROQUIS!$C$107)/MAX(CROQUIS!$C$130,1))+1)))-1,0))*CROQUIS!$C$130)))*CROQUIS!$C$155)+IF(CROQUIS!$C$92="X",0,0)),-1000)</f>
        <v>-1000</v>
      </c>
      <c r="BO30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300-1)/5),MAX((MIN(80,MAX(1,INT(((CROQUIS!$C$98)-CROQUIS!$C$107)/MAX(CROQUIS!$C$130,1))+1)))-1,0))*CROQUIS!$C$130),CHOOSE(IF(INT(($A300-1)/5)&gt;MAX((MIN(80,MAX(1,INT(((CROQUIS!$C$98)-CROQUIS!$C$107)/MAX(CROQUIS!$C$130,1))+1)))-1,0),0,MOD($A300-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0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300-1)/5),MAX((MIN(80,MAX(1,INT(((CROQUIS!$C$97)-CROQUIS!$C$107)/MAX(CROQUIS!$C$138,1))+1)))-1,0))*CROQUIS!$C$138),CHOOSE(IF(INT(($A300-1)/5)&gt;MAX((MIN(80,MAX(1,INT(((CROQUIS!$C$97)-CROQUIS!$C$107)/MAX(CROQUIS!$C$138,1))+1)))-1,0),0,MOD($A300-1,5))+1,0,IF(CROQUIS!$C$105=1,-12,2),CROQUIS!$C$107/2+CROQUIS!$C$141,IF(CROQUIS!$C$105=1,-12,2),0)))*CROQUIS!$C$155)+IF(CROQUIS!$C$92="X",0,0)),-1000)</f>
        <v>-1000</v>
      </c>
      <c r="BQ300">
        <f>IF(AND(CROQUIS!$C$88=1,CROQUIS!$C$91=0,CROQUIS!$C$138&gt;0,OR(CROQUIS!$C$105=1,CROQUIS!$C$143=1)),((CROQUIS!$C$157+(IF(CROQUIS!$C$92="X",CHOOSE(IF(INT(($A300-1)/5)&gt;MAX((MIN(80,MAX(1,INT(((CROQUIS!$C$97)-CROQUIS!$C$107)/MAX(CROQUIS!$C$138,1))+1)))-1,0),0,MOD($A300-1,5))+1,0,IF(CROQUIS!$C$105=1,-12,2),CROQUIS!$C$107/2+CROQUIS!$C$141,IF(CROQUIS!$C$105=1,-12,2),0),((CROQUIS!$C$107/2+(((CROQUIS!$C$97)-CROQUIS!$C$107)-(MIN(80,MAX(1,INT(((CROQUIS!$C$97)-CROQUIS!$C$107)/MAX(CROQUIS!$C$138,1))+1))-1)*CROQUIS!$C$138)/2)+MIN(INT(($A300-1)/5),MAX((MIN(80,MAX(1,INT(((CROQUIS!$C$97)-CROQUIS!$C$107)/MAX(CROQUIS!$C$138,1))+1)))-1,0))*CROQUIS!$C$138)))*CROQUIS!$C$155)+IF(CROQUIS!$C$92="X",0,0)),-1000)</f>
        <v>-1000</v>
      </c>
      <c r="BR30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300-1)/5),MAX((MIN(80,MAX(1,INT(((CROQUIS!$C$97)-CROQUIS!$C$107)/MAX(CROQUIS!$C$138,1))+1)))-1,0))*CROQUIS!$C$138),CHOOSE(IF(INT(($A300-1)/5)&gt;MAX((MIN(80,MAX(1,INT(((CROQUIS!$C$97)-CROQUIS!$C$107)/MAX(CROQUIS!$C$138,1))+1)))-1,0),0,MOD($A300-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00">
        <f>IF(AND(CROQUIS!$C$88=1,CROQUIS!$C$91=0,CROQUIS!$C$138&gt;0,OR(CROQUIS!$C$106=1,CROQUIS!$C$143=1)),((CROQUIS!$C$157+(IF(CROQUIS!$C$92="X",CHOOSE(IF(INT(($A300-1)/5)&gt;MAX((MIN(80,MAX(1,INT(((CROQUIS!$C$97)-CROQUIS!$C$107)/MAX(CROQUIS!$C$138,1))+1)))-1,0),0,MOD($A300-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300-1)/5),MAX((MIN(80,MAX(1,INT(((CROQUIS!$C$97)-CROQUIS!$C$107)/MAX(CROQUIS!$C$138,1))+1)))-1,0))*CROQUIS!$C$138)))*CROQUIS!$C$155)+IF(CROQUIS!$C$92="X",0,0)),-1000)</f>
        <v>-1000</v>
      </c>
      <c r="BT300">
        <f>IF(AND(CROQUIS!$C$88=1,CROQUIS!$C$91=1,CROQUIS!$C$130&gt;0),((CROQUIS!$C$156+(IF(CROQUIS!$C$92="X",CHOOSE(IF(INT(($A300-1)/5)&gt;MAX((MIN(80,MAX(1,INT(((CROQUIS!$C$98)-CROQUIS!$C$107)/MAX(CROQUIS!$C$130,1))+1)))-1,0),0,MOD($A300-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300-1)/5),MAX((MIN(80,MAX(1,INT(((CROQUIS!$C$98)-CROQUIS!$C$107)/MAX(CROQUIS!$C$130,1))+1)))-1,0))*CROQUIS!$C$130)))*CROQUIS!$C$155)+IF(CROQUIS!$C$92="X",0,0)),-1000)</f>
        <v>-1000</v>
      </c>
      <c r="BU300">
        <f>IF(AND(CROQUIS!$C$88=1,CROQUIS!$C$91=1,CROQUIS!$C$130&gt;0),((CROQUIS!$C$157+(IF(CROQUIS!$C$92="X",((CROQUIS!$C$107/2+(((CROQUIS!$C$98)-CROQUIS!$C$107)-(MIN(80,MAX(1,INT(((CROQUIS!$C$98)-CROQUIS!$C$107)/MAX(CROQUIS!$C$130,1))+1))-1)*CROQUIS!$C$130)/2)+MIN(INT(($A300-1)/5),MAX((MIN(80,MAX(1,INT(((CROQUIS!$C$98)-CROQUIS!$C$107)/MAX(CROQUIS!$C$130,1))+1)))-1,0))*CROQUIS!$C$130),CHOOSE(IF(INT(($A300-1)/5)&gt;MAX((MIN(80,MAX(1,INT(((CROQUIS!$C$98)-CROQUIS!$C$107)/MAX(CROQUIS!$C$130,1))+1)))-1,0),0,MOD($A300-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01">
      <c r="A301" t="n">
        <v>294</v>
      </c>
      <c r="BH301">
        <f>IF(AND(CROQUIS!$C$88=1,CROQUIS!$C$126&gt;0),((CROQUIS!$C$156+(IF(CROQUIS!$C$92="X",CHOOSE(IF(INT(($A301-1)/5)&gt;MAX((MIN(80,MAX(1,INT(((CROQUIS!$C$98)-CROQUIS!$C$107)/MAX(CROQUIS!$C$126,1))+1)))-1,0),0,MOD($A301-1,5))+1,0,2,CROQUIS!$C$97-2,2,0),((CROQUIS!$C$107/2+(((CROQUIS!$C$98)-CROQUIS!$C$107)-(MIN(80,MAX(1,INT(((CROQUIS!$C$98)-CROQUIS!$C$107)/MAX(CROQUIS!$C$126,1))+1))-1)*CROQUIS!$C$126)/2)+MIN(INT(($A301-1)/5),MAX((MIN(80,MAX(1,INT(((CROQUIS!$C$98)-CROQUIS!$C$107)/MAX(CROQUIS!$C$126,1))+1)))-1,0))*CROQUIS!$C$126)))*CROQUIS!$C$155)+IF(CROQUIS!$C$92="X",0,0)),-1000)</f>
        <v>-1000</v>
      </c>
      <c r="BI301">
        <f>IF(AND(CROQUIS!$C$88=1,CROQUIS!$C$126&gt;0),((CROQUIS!$C$157+(IF(CROQUIS!$C$92="X",((CROQUIS!$C$107/2+(((CROQUIS!$C$98)-CROQUIS!$C$107)-(MIN(80,MAX(1,INT(((CROQUIS!$C$98)-CROQUIS!$C$107)/MAX(CROQUIS!$C$126,1))+1))-1)*CROQUIS!$C$126)/2)+MIN(INT(($A301-1)/5),MAX((MIN(80,MAX(1,INT(((CROQUIS!$C$98)-CROQUIS!$C$107)/MAX(CROQUIS!$C$126,1))+1)))-1,0))*CROQUIS!$C$126),CHOOSE(IF(INT(($A301-1)/5)&gt;MAX((MIN(80,MAX(1,INT(((CROQUIS!$C$98)-CROQUIS!$C$107)/MAX(CROQUIS!$C$126,1))+1)))-1,0),0,MOD($A301-1,5))+1,0,2,CROQUIS!$C$97-2,2,0)))*CROQUIS!$C$155)+IF(CROQUIS!$C$92="X",0,0)),-1000)</f>
        <v>-1000</v>
      </c>
      <c r="BJ301">
        <f>IF(AND(CROQUIS!$C$88=1,CROQUIS!$C$134&gt;0),((CROQUIS!$C$156+(IF(CROQUIS!$C$92="X",((CROQUIS!$C$107/2+(((CROQUIS!$C$97)-CROQUIS!$C$107)-(MIN(80,MAX(1,INT(((CROQUIS!$C$97)-CROQUIS!$C$107)/MAX(CROQUIS!$C$134,1))+1))-1)*CROQUIS!$C$134)/2)+MIN(INT(($A301-1)/5),MAX((MIN(80,MAX(1,INT(((CROQUIS!$C$97)-CROQUIS!$C$107)/MAX(CROQUIS!$C$134,1))+1)))-1,0))*CROQUIS!$C$134),CHOOSE(IF(INT(($A301-1)/5)&gt;MAX((MIN(80,MAX(1,INT(((CROQUIS!$C$97)-CROQUIS!$C$107)/MAX(CROQUIS!$C$134,1))+1)))-1,0),0,MOD($A301-1,5))+1,0,2,CROQUIS!$C$98-2,2,0)))*CROQUIS!$C$155)+IF(CROQUIS!$C$92="X",0,0)),-1000)</f>
        <v>-1000</v>
      </c>
      <c r="BK301">
        <f>IF(AND(CROQUIS!$C$88=1,CROQUIS!$C$134&gt;0),((CROQUIS!$C$157+(IF(CROQUIS!$C$92="X",CHOOSE(IF(INT(($A301-1)/5)&gt;MAX((MIN(80,MAX(1,INT(((CROQUIS!$C$97)-CROQUIS!$C$107)/MAX(CROQUIS!$C$134,1))+1)))-1,0),0,MOD($A301-1,5))+1,0,2,CROQUIS!$C$98-2,2,0),((CROQUIS!$C$107/2+(((CROQUIS!$C$97)-CROQUIS!$C$107)-(MIN(80,MAX(1,INT(((CROQUIS!$C$97)-CROQUIS!$C$107)/MAX(CROQUIS!$C$134,1))+1))-1)*CROQUIS!$C$134)/2)+MIN(INT(($A301-1)/5),MAX((MIN(80,MAX(1,INT(((CROQUIS!$C$97)-CROQUIS!$C$107)/MAX(CROQUIS!$C$134,1))+1)))-1,0))*CROQUIS!$C$134)))*CROQUIS!$C$155)+IF(CROQUIS!$C$92="X",0,0)),-1000)</f>
        <v>-1000</v>
      </c>
      <c r="BL301">
        <f>IF(AND(CROQUIS!$C$88=1,CROQUIS!$C$91=0,CROQUIS!$C$130&gt;0,OR(CROQUIS!$C$103=1,CROQUIS!$C$142=1)),((CROQUIS!$C$156+(IF(CROQUIS!$C$92="X",CHOOSE(IF(INT(($A301-1)/5)&gt;MAX((MIN(80,MAX(1,INT(((CROQUIS!$C$98)-CROQUIS!$C$107)/MAX(CROQUIS!$C$130,1))+1)))-1,0),0,MOD($A301-1,5))+1,0,IF(CROQUIS!$C$103=1,-12,2),CROQUIS!$C$107/2+CROQUIS!$C$140,IF(CROQUIS!$C$103=1,-12,2),0),((CROQUIS!$C$107/2+(((CROQUIS!$C$98)-CROQUIS!$C$107)-(MIN(80,MAX(1,INT(((CROQUIS!$C$98)-CROQUIS!$C$107)/MAX(CROQUIS!$C$130,1))+1))-1)*CROQUIS!$C$130)/2)+MIN(INT(($A301-1)/5),MAX((MIN(80,MAX(1,INT(((CROQUIS!$C$98)-CROQUIS!$C$107)/MAX(CROQUIS!$C$130,1))+1)))-1,0))*CROQUIS!$C$130)))*CROQUIS!$C$155)+IF(CROQUIS!$C$92="X",0,0)),-1000)</f>
        <v>-1000</v>
      </c>
      <c r="BM30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301-1)/5),MAX((MIN(80,MAX(1,INT(((CROQUIS!$C$98)-CROQUIS!$C$107)/MAX(CROQUIS!$C$130,1))+1)))-1,0))*CROQUIS!$C$130),CHOOSE(IF(INT(($A301-1)/5)&gt;MAX((MIN(80,MAX(1,INT(((CROQUIS!$C$98)-CROQUIS!$C$107)/MAX(CROQUIS!$C$130,1))+1)))-1,0),0,MOD($A301-1,5))+1,0,IF(CROQUIS!$C$103=1,-12,2),CROQUIS!$C$107/2+CROQUIS!$C$140,IF(CROQUIS!$C$103=1,-12,2),0)))*CROQUIS!$C$155)+IF(CROQUIS!$C$92="X",0,0)),-1000)</f>
        <v>-1000</v>
      </c>
      <c r="BN301">
        <f>IF(AND(CROQUIS!$C$88=1,CROQUIS!$C$91=0,CROQUIS!$C$130&gt;0,OR(CROQUIS!$C$104=1,CROQUIS!$C$142=1)),((CROQUIS!$C$156+(IF(CROQUIS!$C$92="X",CHOOSE(IF(INT(($A301-1)/5)&gt;MAX((MIN(80,MAX(1,INT(((CROQUIS!$C$98)-CROQUIS!$C$107)/MAX(CROQUIS!$C$130,1))+1)))-1,0),0,MOD($A301-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301-1)/5),MAX((MIN(80,MAX(1,INT(((CROQUIS!$C$98)-CROQUIS!$C$107)/MAX(CROQUIS!$C$130,1))+1)))-1,0))*CROQUIS!$C$130)))*CROQUIS!$C$155)+IF(CROQUIS!$C$92="X",0,0)),-1000)</f>
        <v>-1000</v>
      </c>
      <c r="BO30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301-1)/5),MAX((MIN(80,MAX(1,INT(((CROQUIS!$C$98)-CROQUIS!$C$107)/MAX(CROQUIS!$C$130,1))+1)))-1,0))*CROQUIS!$C$130),CHOOSE(IF(INT(($A301-1)/5)&gt;MAX((MIN(80,MAX(1,INT(((CROQUIS!$C$98)-CROQUIS!$C$107)/MAX(CROQUIS!$C$130,1))+1)))-1,0),0,MOD($A301-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0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301-1)/5),MAX((MIN(80,MAX(1,INT(((CROQUIS!$C$97)-CROQUIS!$C$107)/MAX(CROQUIS!$C$138,1))+1)))-1,0))*CROQUIS!$C$138),CHOOSE(IF(INT(($A301-1)/5)&gt;MAX((MIN(80,MAX(1,INT(((CROQUIS!$C$97)-CROQUIS!$C$107)/MAX(CROQUIS!$C$138,1))+1)))-1,0),0,MOD($A301-1,5))+1,0,IF(CROQUIS!$C$105=1,-12,2),CROQUIS!$C$107/2+CROQUIS!$C$141,IF(CROQUIS!$C$105=1,-12,2),0)))*CROQUIS!$C$155)+IF(CROQUIS!$C$92="X",0,0)),-1000)</f>
        <v>-1000</v>
      </c>
      <c r="BQ301">
        <f>IF(AND(CROQUIS!$C$88=1,CROQUIS!$C$91=0,CROQUIS!$C$138&gt;0,OR(CROQUIS!$C$105=1,CROQUIS!$C$143=1)),((CROQUIS!$C$157+(IF(CROQUIS!$C$92="X",CHOOSE(IF(INT(($A301-1)/5)&gt;MAX((MIN(80,MAX(1,INT(((CROQUIS!$C$97)-CROQUIS!$C$107)/MAX(CROQUIS!$C$138,1))+1)))-1,0),0,MOD($A301-1,5))+1,0,IF(CROQUIS!$C$105=1,-12,2),CROQUIS!$C$107/2+CROQUIS!$C$141,IF(CROQUIS!$C$105=1,-12,2),0),((CROQUIS!$C$107/2+(((CROQUIS!$C$97)-CROQUIS!$C$107)-(MIN(80,MAX(1,INT(((CROQUIS!$C$97)-CROQUIS!$C$107)/MAX(CROQUIS!$C$138,1))+1))-1)*CROQUIS!$C$138)/2)+MIN(INT(($A301-1)/5),MAX((MIN(80,MAX(1,INT(((CROQUIS!$C$97)-CROQUIS!$C$107)/MAX(CROQUIS!$C$138,1))+1)))-1,0))*CROQUIS!$C$138)))*CROQUIS!$C$155)+IF(CROQUIS!$C$92="X",0,0)),-1000)</f>
        <v>-1000</v>
      </c>
      <c r="BR30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301-1)/5),MAX((MIN(80,MAX(1,INT(((CROQUIS!$C$97)-CROQUIS!$C$107)/MAX(CROQUIS!$C$138,1))+1)))-1,0))*CROQUIS!$C$138),CHOOSE(IF(INT(($A301-1)/5)&gt;MAX((MIN(80,MAX(1,INT(((CROQUIS!$C$97)-CROQUIS!$C$107)/MAX(CROQUIS!$C$138,1))+1)))-1,0),0,MOD($A301-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01">
        <f>IF(AND(CROQUIS!$C$88=1,CROQUIS!$C$91=0,CROQUIS!$C$138&gt;0,OR(CROQUIS!$C$106=1,CROQUIS!$C$143=1)),((CROQUIS!$C$157+(IF(CROQUIS!$C$92="X",CHOOSE(IF(INT(($A301-1)/5)&gt;MAX((MIN(80,MAX(1,INT(((CROQUIS!$C$97)-CROQUIS!$C$107)/MAX(CROQUIS!$C$138,1))+1)))-1,0),0,MOD($A301-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301-1)/5),MAX((MIN(80,MAX(1,INT(((CROQUIS!$C$97)-CROQUIS!$C$107)/MAX(CROQUIS!$C$138,1))+1)))-1,0))*CROQUIS!$C$138)))*CROQUIS!$C$155)+IF(CROQUIS!$C$92="X",0,0)),-1000)</f>
        <v>-1000</v>
      </c>
      <c r="BT301">
        <f>IF(AND(CROQUIS!$C$88=1,CROQUIS!$C$91=1,CROQUIS!$C$130&gt;0),((CROQUIS!$C$156+(IF(CROQUIS!$C$92="X",CHOOSE(IF(INT(($A301-1)/5)&gt;MAX((MIN(80,MAX(1,INT(((CROQUIS!$C$98)-CROQUIS!$C$107)/MAX(CROQUIS!$C$130,1))+1)))-1,0),0,MOD($A301-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301-1)/5),MAX((MIN(80,MAX(1,INT(((CROQUIS!$C$98)-CROQUIS!$C$107)/MAX(CROQUIS!$C$130,1))+1)))-1,0))*CROQUIS!$C$130)))*CROQUIS!$C$155)+IF(CROQUIS!$C$92="X",0,0)),-1000)</f>
        <v>-1000</v>
      </c>
      <c r="BU301">
        <f>IF(AND(CROQUIS!$C$88=1,CROQUIS!$C$91=1,CROQUIS!$C$130&gt;0),((CROQUIS!$C$157+(IF(CROQUIS!$C$92="X",((CROQUIS!$C$107/2+(((CROQUIS!$C$98)-CROQUIS!$C$107)-(MIN(80,MAX(1,INT(((CROQUIS!$C$98)-CROQUIS!$C$107)/MAX(CROQUIS!$C$130,1))+1))-1)*CROQUIS!$C$130)/2)+MIN(INT(($A301-1)/5),MAX((MIN(80,MAX(1,INT(((CROQUIS!$C$98)-CROQUIS!$C$107)/MAX(CROQUIS!$C$130,1))+1)))-1,0))*CROQUIS!$C$130),CHOOSE(IF(INT(($A301-1)/5)&gt;MAX((MIN(80,MAX(1,INT(((CROQUIS!$C$98)-CROQUIS!$C$107)/MAX(CROQUIS!$C$130,1))+1)))-1,0),0,MOD($A301-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02">
      <c r="A302" t="n">
        <v>295</v>
      </c>
      <c r="BH302">
        <f>IF(AND(CROQUIS!$C$88=1,CROQUIS!$C$126&gt;0),((CROQUIS!$C$156+(IF(CROQUIS!$C$92="X",CHOOSE(IF(INT(($A302-1)/5)&gt;MAX((MIN(80,MAX(1,INT(((CROQUIS!$C$98)-CROQUIS!$C$107)/MAX(CROQUIS!$C$126,1))+1)))-1,0),0,MOD($A302-1,5))+1,0,2,CROQUIS!$C$97-2,2,0),((CROQUIS!$C$107/2+(((CROQUIS!$C$98)-CROQUIS!$C$107)-(MIN(80,MAX(1,INT(((CROQUIS!$C$98)-CROQUIS!$C$107)/MAX(CROQUIS!$C$126,1))+1))-1)*CROQUIS!$C$126)/2)+MIN(INT(($A302-1)/5),MAX((MIN(80,MAX(1,INT(((CROQUIS!$C$98)-CROQUIS!$C$107)/MAX(CROQUIS!$C$126,1))+1)))-1,0))*CROQUIS!$C$126)))*CROQUIS!$C$155)+IF(CROQUIS!$C$92="X",0,0)),-1000)</f>
        <v>-1000</v>
      </c>
      <c r="BI302">
        <f>IF(AND(CROQUIS!$C$88=1,CROQUIS!$C$126&gt;0),((CROQUIS!$C$157+(IF(CROQUIS!$C$92="X",((CROQUIS!$C$107/2+(((CROQUIS!$C$98)-CROQUIS!$C$107)-(MIN(80,MAX(1,INT(((CROQUIS!$C$98)-CROQUIS!$C$107)/MAX(CROQUIS!$C$126,1))+1))-1)*CROQUIS!$C$126)/2)+MIN(INT(($A302-1)/5),MAX((MIN(80,MAX(1,INT(((CROQUIS!$C$98)-CROQUIS!$C$107)/MAX(CROQUIS!$C$126,1))+1)))-1,0))*CROQUIS!$C$126),CHOOSE(IF(INT(($A302-1)/5)&gt;MAX((MIN(80,MAX(1,INT(((CROQUIS!$C$98)-CROQUIS!$C$107)/MAX(CROQUIS!$C$126,1))+1)))-1,0),0,MOD($A302-1,5))+1,0,2,CROQUIS!$C$97-2,2,0)))*CROQUIS!$C$155)+IF(CROQUIS!$C$92="X",0,0)),-1000)</f>
        <v>-1000</v>
      </c>
      <c r="BJ302">
        <f>IF(AND(CROQUIS!$C$88=1,CROQUIS!$C$134&gt;0),((CROQUIS!$C$156+(IF(CROQUIS!$C$92="X",((CROQUIS!$C$107/2+(((CROQUIS!$C$97)-CROQUIS!$C$107)-(MIN(80,MAX(1,INT(((CROQUIS!$C$97)-CROQUIS!$C$107)/MAX(CROQUIS!$C$134,1))+1))-1)*CROQUIS!$C$134)/2)+MIN(INT(($A302-1)/5),MAX((MIN(80,MAX(1,INT(((CROQUIS!$C$97)-CROQUIS!$C$107)/MAX(CROQUIS!$C$134,1))+1)))-1,0))*CROQUIS!$C$134),CHOOSE(IF(INT(($A302-1)/5)&gt;MAX((MIN(80,MAX(1,INT(((CROQUIS!$C$97)-CROQUIS!$C$107)/MAX(CROQUIS!$C$134,1))+1)))-1,0),0,MOD($A302-1,5))+1,0,2,CROQUIS!$C$98-2,2,0)))*CROQUIS!$C$155)+IF(CROQUIS!$C$92="X",0,0)),-1000)</f>
        <v>-1000</v>
      </c>
      <c r="BK302">
        <f>IF(AND(CROQUIS!$C$88=1,CROQUIS!$C$134&gt;0),((CROQUIS!$C$157+(IF(CROQUIS!$C$92="X",CHOOSE(IF(INT(($A302-1)/5)&gt;MAX((MIN(80,MAX(1,INT(((CROQUIS!$C$97)-CROQUIS!$C$107)/MAX(CROQUIS!$C$134,1))+1)))-1,0),0,MOD($A302-1,5))+1,0,2,CROQUIS!$C$98-2,2,0),((CROQUIS!$C$107/2+(((CROQUIS!$C$97)-CROQUIS!$C$107)-(MIN(80,MAX(1,INT(((CROQUIS!$C$97)-CROQUIS!$C$107)/MAX(CROQUIS!$C$134,1))+1))-1)*CROQUIS!$C$134)/2)+MIN(INT(($A302-1)/5),MAX((MIN(80,MAX(1,INT(((CROQUIS!$C$97)-CROQUIS!$C$107)/MAX(CROQUIS!$C$134,1))+1)))-1,0))*CROQUIS!$C$134)))*CROQUIS!$C$155)+IF(CROQUIS!$C$92="X",0,0)),-1000)</f>
        <v>-1000</v>
      </c>
      <c r="BL302">
        <f>IF(AND(CROQUIS!$C$88=1,CROQUIS!$C$91=0,CROQUIS!$C$130&gt;0,OR(CROQUIS!$C$103=1,CROQUIS!$C$142=1)),((CROQUIS!$C$156+(IF(CROQUIS!$C$92="X",CHOOSE(IF(INT(($A302-1)/5)&gt;MAX((MIN(80,MAX(1,INT(((CROQUIS!$C$98)-CROQUIS!$C$107)/MAX(CROQUIS!$C$130,1))+1)))-1,0),0,MOD($A302-1,5))+1,0,IF(CROQUIS!$C$103=1,-12,2),CROQUIS!$C$107/2+CROQUIS!$C$140,IF(CROQUIS!$C$103=1,-12,2),0),((CROQUIS!$C$107/2+(((CROQUIS!$C$98)-CROQUIS!$C$107)-(MIN(80,MAX(1,INT(((CROQUIS!$C$98)-CROQUIS!$C$107)/MAX(CROQUIS!$C$130,1))+1))-1)*CROQUIS!$C$130)/2)+MIN(INT(($A302-1)/5),MAX((MIN(80,MAX(1,INT(((CROQUIS!$C$98)-CROQUIS!$C$107)/MAX(CROQUIS!$C$130,1))+1)))-1,0))*CROQUIS!$C$130)))*CROQUIS!$C$155)+IF(CROQUIS!$C$92="X",0,0)),-1000)</f>
        <v>-1000</v>
      </c>
      <c r="BM30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302-1)/5),MAX((MIN(80,MAX(1,INT(((CROQUIS!$C$98)-CROQUIS!$C$107)/MAX(CROQUIS!$C$130,1))+1)))-1,0))*CROQUIS!$C$130),CHOOSE(IF(INT(($A302-1)/5)&gt;MAX((MIN(80,MAX(1,INT(((CROQUIS!$C$98)-CROQUIS!$C$107)/MAX(CROQUIS!$C$130,1))+1)))-1,0),0,MOD($A302-1,5))+1,0,IF(CROQUIS!$C$103=1,-12,2),CROQUIS!$C$107/2+CROQUIS!$C$140,IF(CROQUIS!$C$103=1,-12,2),0)))*CROQUIS!$C$155)+IF(CROQUIS!$C$92="X",0,0)),-1000)</f>
        <v>-1000</v>
      </c>
      <c r="BN302">
        <f>IF(AND(CROQUIS!$C$88=1,CROQUIS!$C$91=0,CROQUIS!$C$130&gt;0,OR(CROQUIS!$C$104=1,CROQUIS!$C$142=1)),((CROQUIS!$C$156+(IF(CROQUIS!$C$92="X",CHOOSE(IF(INT(($A302-1)/5)&gt;MAX((MIN(80,MAX(1,INT(((CROQUIS!$C$98)-CROQUIS!$C$107)/MAX(CROQUIS!$C$130,1))+1)))-1,0),0,MOD($A302-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302-1)/5),MAX((MIN(80,MAX(1,INT(((CROQUIS!$C$98)-CROQUIS!$C$107)/MAX(CROQUIS!$C$130,1))+1)))-1,0))*CROQUIS!$C$130)))*CROQUIS!$C$155)+IF(CROQUIS!$C$92="X",0,0)),-1000)</f>
        <v>-1000</v>
      </c>
      <c r="BO30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302-1)/5),MAX((MIN(80,MAX(1,INT(((CROQUIS!$C$98)-CROQUIS!$C$107)/MAX(CROQUIS!$C$130,1))+1)))-1,0))*CROQUIS!$C$130),CHOOSE(IF(INT(($A302-1)/5)&gt;MAX((MIN(80,MAX(1,INT(((CROQUIS!$C$98)-CROQUIS!$C$107)/MAX(CROQUIS!$C$130,1))+1)))-1,0),0,MOD($A302-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0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302-1)/5),MAX((MIN(80,MAX(1,INT(((CROQUIS!$C$97)-CROQUIS!$C$107)/MAX(CROQUIS!$C$138,1))+1)))-1,0))*CROQUIS!$C$138),CHOOSE(IF(INT(($A302-1)/5)&gt;MAX((MIN(80,MAX(1,INT(((CROQUIS!$C$97)-CROQUIS!$C$107)/MAX(CROQUIS!$C$138,1))+1)))-1,0),0,MOD($A302-1,5))+1,0,IF(CROQUIS!$C$105=1,-12,2),CROQUIS!$C$107/2+CROQUIS!$C$141,IF(CROQUIS!$C$105=1,-12,2),0)))*CROQUIS!$C$155)+IF(CROQUIS!$C$92="X",0,0)),-1000)</f>
        <v>-1000</v>
      </c>
      <c r="BQ302">
        <f>IF(AND(CROQUIS!$C$88=1,CROQUIS!$C$91=0,CROQUIS!$C$138&gt;0,OR(CROQUIS!$C$105=1,CROQUIS!$C$143=1)),((CROQUIS!$C$157+(IF(CROQUIS!$C$92="X",CHOOSE(IF(INT(($A302-1)/5)&gt;MAX((MIN(80,MAX(1,INT(((CROQUIS!$C$97)-CROQUIS!$C$107)/MAX(CROQUIS!$C$138,1))+1)))-1,0),0,MOD($A302-1,5))+1,0,IF(CROQUIS!$C$105=1,-12,2),CROQUIS!$C$107/2+CROQUIS!$C$141,IF(CROQUIS!$C$105=1,-12,2),0),((CROQUIS!$C$107/2+(((CROQUIS!$C$97)-CROQUIS!$C$107)-(MIN(80,MAX(1,INT(((CROQUIS!$C$97)-CROQUIS!$C$107)/MAX(CROQUIS!$C$138,1))+1))-1)*CROQUIS!$C$138)/2)+MIN(INT(($A302-1)/5),MAX((MIN(80,MAX(1,INT(((CROQUIS!$C$97)-CROQUIS!$C$107)/MAX(CROQUIS!$C$138,1))+1)))-1,0))*CROQUIS!$C$138)))*CROQUIS!$C$155)+IF(CROQUIS!$C$92="X",0,0)),-1000)</f>
        <v>-1000</v>
      </c>
      <c r="BR30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302-1)/5),MAX((MIN(80,MAX(1,INT(((CROQUIS!$C$97)-CROQUIS!$C$107)/MAX(CROQUIS!$C$138,1))+1)))-1,0))*CROQUIS!$C$138),CHOOSE(IF(INT(($A302-1)/5)&gt;MAX((MIN(80,MAX(1,INT(((CROQUIS!$C$97)-CROQUIS!$C$107)/MAX(CROQUIS!$C$138,1))+1)))-1,0),0,MOD($A302-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02">
        <f>IF(AND(CROQUIS!$C$88=1,CROQUIS!$C$91=0,CROQUIS!$C$138&gt;0,OR(CROQUIS!$C$106=1,CROQUIS!$C$143=1)),((CROQUIS!$C$157+(IF(CROQUIS!$C$92="X",CHOOSE(IF(INT(($A302-1)/5)&gt;MAX((MIN(80,MAX(1,INT(((CROQUIS!$C$97)-CROQUIS!$C$107)/MAX(CROQUIS!$C$138,1))+1)))-1,0),0,MOD($A302-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302-1)/5),MAX((MIN(80,MAX(1,INT(((CROQUIS!$C$97)-CROQUIS!$C$107)/MAX(CROQUIS!$C$138,1))+1)))-1,0))*CROQUIS!$C$138)))*CROQUIS!$C$155)+IF(CROQUIS!$C$92="X",0,0)),-1000)</f>
        <v>-1000</v>
      </c>
      <c r="BT302">
        <f>IF(AND(CROQUIS!$C$88=1,CROQUIS!$C$91=1,CROQUIS!$C$130&gt;0),((CROQUIS!$C$156+(IF(CROQUIS!$C$92="X",CHOOSE(IF(INT(($A302-1)/5)&gt;MAX((MIN(80,MAX(1,INT(((CROQUIS!$C$98)-CROQUIS!$C$107)/MAX(CROQUIS!$C$130,1))+1)))-1,0),0,MOD($A302-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302-1)/5),MAX((MIN(80,MAX(1,INT(((CROQUIS!$C$98)-CROQUIS!$C$107)/MAX(CROQUIS!$C$130,1))+1)))-1,0))*CROQUIS!$C$130)))*CROQUIS!$C$155)+IF(CROQUIS!$C$92="X",0,0)),-1000)</f>
        <v>-1000</v>
      </c>
      <c r="BU302">
        <f>IF(AND(CROQUIS!$C$88=1,CROQUIS!$C$91=1,CROQUIS!$C$130&gt;0),((CROQUIS!$C$157+(IF(CROQUIS!$C$92="X",((CROQUIS!$C$107/2+(((CROQUIS!$C$98)-CROQUIS!$C$107)-(MIN(80,MAX(1,INT(((CROQUIS!$C$98)-CROQUIS!$C$107)/MAX(CROQUIS!$C$130,1))+1))-1)*CROQUIS!$C$130)/2)+MIN(INT(($A302-1)/5),MAX((MIN(80,MAX(1,INT(((CROQUIS!$C$98)-CROQUIS!$C$107)/MAX(CROQUIS!$C$130,1))+1)))-1,0))*CROQUIS!$C$130),CHOOSE(IF(INT(($A302-1)/5)&gt;MAX((MIN(80,MAX(1,INT(((CROQUIS!$C$98)-CROQUIS!$C$107)/MAX(CROQUIS!$C$130,1))+1)))-1,0),0,MOD($A302-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03">
      <c r="A303" t="n">
        <v>296</v>
      </c>
      <c r="BH303">
        <f>IF(AND(CROQUIS!$C$88=1,CROQUIS!$C$126&gt;0),((CROQUIS!$C$156+(IF(CROQUIS!$C$92="X",CHOOSE(IF(INT(($A303-1)/5)&gt;MAX((MIN(80,MAX(1,INT(((CROQUIS!$C$98)-CROQUIS!$C$107)/MAX(CROQUIS!$C$126,1))+1)))-1,0),0,MOD($A303-1,5))+1,0,2,CROQUIS!$C$97-2,2,0),((CROQUIS!$C$107/2+(((CROQUIS!$C$98)-CROQUIS!$C$107)-(MIN(80,MAX(1,INT(((CROQUIS!$C$98)-CROQUIS!$C$107)/MAX(CROQUIS!$C$126,1))+1))-1)*CROQUIS!$C$126)/2)+MIN(INT(($A303-1)/5),MAX((MIN(80,MAX(1,INT(((CROQUIS!$C$98)-CROQUIS!$C$107)/MAX(CROQUIS!$C$126,1))+1)))-1,0))*CROQUIS!$C$126)))*CROQUIS!$C$155)+IF(CROQUIS!$C$92="X",0,0)),-1000)</f>
        <v>-1000</v>
      </c>
      <c r="BI303">
        <f>IF(AND(CROQUIS!$C$88=1,CROQUIS!$C$126&gt;0),((CROQUIS!$C$157+(IF(CROQUIS!$C$92="X",((CROQUIS!$C$107/2+(((CROQUIS!$C$98)-CROQUIS!$C$107)-(MIN(80,MAX(1,INT(((CROQUIS!$C$98)-CROQUIS!$C$107)/MAX(CROQUIS!$C$126,1))+1))-1)*CROQUIS!$C$126)/2)+MIN(INT(($A303-1)/5),MAX((MIN(80,MAX(1,INT(((CROQUIS!$C$98)-CROQUIS!$C$107)/MAX(CROQUIS!$C$126,1))+1)))-1,0))*CROQUIS!$C$126),CHOOSE(IF(INT(($A303-1)/5)&gt;MAX((MIN(80,MAX(1,INT(((CROQUIS!$C$98)-CROQUIS!$C$107)/MAX(CROQUIS!$C$126,1))+1)))-1,0),0,MOD($A303-1,5))+1,0,2,CROQUIS!$C$97-2,2,0)))*CROQUIS!$C$155)+IF(CROQUIS!$C$92="X",0,0)),-1000)</f>
        <v>-1000</v>
      </c>
      <c r="BJ303">
        <f>IF(AND(CROQUIS!$C$88=1,CROQUIS!$C$134&gt;0),((CROQUIS!$C$156+(IF(CROQUIS!$C$92="X",((CROQUIS!$C$107/2+(((CROQUIS!$C$97)-CROQUIS!$C$107)-(MIN(80,MAX(1,INT(((CROQUIS!$C$97)-CROQUIS!$C$107)/MAX(CROQUIS!$C$134,1))+1))-1)*CROQUIS!$C$134)/2)+MIN(INT(($A303-1)/5),MAX((MIN(80,MAX(1,INT(((CROQUIS!$C$97)-CROQUIS!$C$107)/MAX(CROQUIS!$C$134,1))+1)))-1,0))*CROQUIS!$C$134),CHOOSE(IF(INT(($A303-1)/5)&gt;MAX((MIN(80,MAX(1,INT(((CROQUIS!$C$97)-CROQUIS!$C$107)/MAX(CROQUIS!$C$134,1))+1)))-1,0),0,MOD($A303-1,5))+1,0,2,CROQUIS!$C$98-2,2,0)))*CROQUIS!$C$155)+IF(CROQUIS!$C$92="X",0,0)),-1000)</f>
        <v>-1000</v>
      </c>
      <c r="BK303">
        <f>IF(AND(CROQUIS!$C$88=1,CROQUIS!$C$134&gt;0),((CROQUIS!$C$157+(IF(CROQUIS!$C$92="X",CHOOSE(IF(INT(($A303-1)/5)&gt;MAX((MIN(80,MAX(1,INT(((CROQUIS!$C$97)-CROQUIS!$C$107)/MAX(CROQUIS!$C$134,1))+1)))-1,0),0,MOD($A303-1,5))+1,0,2,CROQUIS!$C$98-2,2,0),((CROQUIS!$C$107/2+(((CROQUIS!$C$97)-CROQUIS!$C$107)-(MIN(80,MAX(1,INT(((CROQUIS!$C$97)-CROQUIS!$C$107)/MAX(CROQUIS!$C$134,1))+1))-1)*CROQUIS!$C$134)/2)+MIN(INT(($A303-1)/5),MAX((MIN(80,MAX(1,INT(((CROQUIS!$C$97)-CROQUIS!$C$107)/MAX(CROQUIS!$C$134,1))+1)))-1,0))*CROQUIS!$C$134)))*CROQUIS!$C$155)+IF(CROQUIS!$C$92="X",0,0)),-1000)</f>
        <v>-1000</v>
      </c>
      <c r="BL303">
        <f>IF(AND(CROQUIS!$C$88=1,CROQUIS!$C$91=0,CROQUIS!$C$130&gt;0,OR(CROQUIS!$C$103=1,CROQUIS!$C$142=1)),((CROQUIS!$C$156+(IF(CROQUIS!$C$92="X",CHOOSE(IF(INT(($A303-1)/5)&gt;MAX((MIN(80,MAX(1,INT(((CROQUIS!$C$98)-CROQUIS!$C$107)/MAX(CROQUIS!$C$130,1))+1)))-1,0),0,MOD($A303-1,5))+1,0,IF(CROQUIS!$C$103=1,-12,2),CROQUIS!$C$107/2+CROQUIS!$C$140,IF(CROQUIS!$C$103=1,-12,2),0),((CROQUIS!$C$107/2+(((CROQUIS!$C$98)-CROQUIS!$C$107)-(MIN(80,MAX(1,INT(((CROQUIS!$C$98)-CROQUIS!$C$107)/MAX(CROQUIS!$C$130,1))+1))-1)*CROQUIS!$C$130)/2)+MIN(INT(($A303-1)/5),MAX((MIN(80,MAX(1,INT(((CROQUIS!$C$98)-CROQUIS!$C$107)/MAX(CROQUIS!$C$130,1))+1)))-1,0))*CROQUIS!$C$130)))*CROQUIS!$C$155)+IF(CROQUIS!$C$92="X",0,0)),-1000)</f>
        <v>-1000</v>
      </c>
      <c r="BM30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303-1)/5),MAX((MIN(80,MAX(1,INT(((CROQUIS!$C$98)-CROQUIS!$C$107)/MAX(CROQUIS!$C$130,1))+1)))-1,0))*CROQUIS!$C$130),CHOOSE(IF(INT(($A303-1)/5)&gt;MAX((MIN(80,MAX(1,INT(((CROQUIS!$C$98)-CROQUIS!$C$107)/MAX(CROQUIS!$C$130,1))+1)))-1,0),0,MOD($A303-1,5))+1,0,IF(CROQUIS!$C$103=1,-12,2),CROQUIS!$C$107/2+CROQUIS!$C$140,IF(CROQUIS!$C$103=1,-12,2),0)))*CROQUIS!$C$155)+IF(CROQUIS!$C$92="X",0,0)),-1000)</f>
        <v>-1000</v>
      </c>
      <c r="BN303">
        <f>IF(AND(CROQUIS!$C$88=1,CROQUIS!$C$91=0,CROQUIS!$C$130&gt;0,OR(CROQUIS!$C$104=1,CROQUIS!$C$142=1)),((CROQUIS!$C$156+(IF(CROQUIS!$C$92="X",CHOOSE(IF(INT(($A303-1)/5)&gt;MAX((MIN(80,MAX(1,INT(((CROQUIS!$C$98)-CROQUIS!$C$107)/MAX(CROQUIS!$C$130,1))+1)))-1,0),0,MOD($A303-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303-1)/5),MAX((MIN(80,MAX(1,INT(((CROQUIS!$C$98)-CROQUIS!$C$107)/MAX(CROQUIS!$C$130,1))+1)))-1,0))*CROQUIS!$C$130)))*CROQUIS!$C$155)+IF(CROQUIS!$C$92="X",0,0)),-1000)</f>
        <v>-1000</v>
      </c>
      <c r="BO30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303-1)/5),MAX((MIN(80,MAX(1,INT(((CROQUIS!$C$98)-CROQUIS!$C$107)/MAX(CROQUIS!$C$130,1))+1)))-1,0))*CROQUIS!$C$130),CHOOSE(IF(INT(($A303-1)/5)&gt;MAX((MIN(80,MAX(1,INT(((CROQUIS!$C$98)-CROQUIS!$C$107)/MAX(CROQUIS!$C$130,1))+1)))-1,0),0,MOD($A303-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0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303-1)/5),MAX((MIN(80,MAX(1,INT(((CROQUIS!$C$97)-CROQUIS!$C$107)/MAX(CROQUIS!$C$138,1))+1)))-1,0))*CROQUIS!$C$138),CHOOSE(IF(INT(($A303-1)/5)&gt;MAX((MIN(80,MAX(1,INT(((CROQUIS!$C$97)-CROQUIS!$C$107)/MAX(CROQUIS!$C$138,1))+1)))-1,0),0,MOD($A303-1,5))+1,0,IF(CROQUIS!$C$105=1,-12,2),CROQUIS!$C$107/2+CROQUIS!$C$141,IF(CROQUIS!$C$105=1,-12,2),0)))*CROQUIS!$C$155)+IF(CROQUIS!$C$92="X",0,0)),-1000)</f>
        <v>-1000</v>
      </c>
      <c r="BQ303">
        <f>IF(AND(CROQUIS!$C$88=1,CROQUIS!$C$91=0,CROQUIS!$C$138&gt;0,OR(CROQUIS!$C$105=1,CROQUIS!$C$143=1)),((CROQUIS!$C$157+(IF(CROQUIS!$C$92="X",CHOOSE(IF(INT(($A303-1)/5)&gt;MAX((MIN(80,MAX(1,INT(((CROQUIS!$C$97)-CROQUIS!$C$107)/MAX(CROQUIS!$C$138,1))+1)))-1,0),0,MOD($A303-1,5))+1,0,IF(CROQUIS!$C$105=1,-12,2),CROQUIS!$C$107/2+CROQUIS!$C$141,IF(CROQUIS!$C$105=1,-12,2),0),((CROQUIS!$C$107/2+(((CROQUIS!$C$97)-CROQUIS!$C$107)-(MIN(80,MAX(1,INT(((CROQUIS!$C$97)-CROQUIS!$C$107)/MAX(CROQUIS!$C$138,1))+1))-1)*CROQUIS!$C$138)/2)+MIN(INT(($A303-1)/5),MAX((MIN(80,MAX(1,INT(((CROQUIS!$C$97)-CROQUIS!$C$107)/MAX(CROQUIS!$C$138,1))+1)))-1,0))*CROQUIS!$C$138)))*CROQUIS!$C$155)+IF(CROQUIS!$C$92="X",0,0)),-1000)</f>
        <v>-1000</v>
      </c>
      <c r="BR30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303-1)/5),MAX((MIN(80,MAX(1,INT(((CROQUIS!$C$97)-CROQUIS!$C$107)/MAX(CROQUIS!$C$138,1))+1)))-1,0))*CROQUIS!$C$138),CHOOSE(IF(INT(($A303-1)/5)&gt;MAX((MIN(80,MAX(1,INT(((CROQUIS!$C$97)-CROQUIS!$C$107)/MAX(CROQUIS!$C$138,1))+1)))-1,0),0,MOD($A303-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03">
        <f>IF(AND(CROQUIS!$C$88=1,CROQUIS!$C$91=0,CROQUIS!$C$138&gt;0,OR(CROQUIS!$C$106=1,CROQUIS!$C$143=1)),((CROQUIS!$C$157+(IF(CROQUIS!$C$92="X",CHOOSE(IF(INT(($A303-1)/5)&gt;MAX((MIN(80,MAX(1,INT(((CROQUIS!$C$97)-CROQUIS!$C$107)/MAX(CROQUIS!$C$138,1))+1)))-1,0),0,MOD($A303-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303-1)/5),MAX((MIN(80,MAX(1,INT(((CROQUIS!$C$97)-CROQUIS!$C$107)/MAX(CROQUIS!$C$138,1))+1)))-1,0))*CROQUIS!$C$138)))*CROQUIS!$C$155)+IF(CROQUIS!$C$92="X",0,0)),-1000)</f>
        <v>-1000</v>
      </c>
      <c r="BT303">
        <f>IF(AND(CROQUIS!$C$88=1,CROQUIS!$C$91=1,CROQUIS!$C$130&gt;0),((CROQUIS!$C$156+(IF(CROQUIS!$C$92="X",CHOOSE(IF(INT(($A303-1)/5)&gt;MAX((MIN(80,MAX(1,INT(((CROQUIS!$C$98)-CROQUIS!$C$107)/MAX(CROQUIS!$C$130,1))+1)))-1,0),0,MOD($A303-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303-1)/5),MAX((MIN(80,MAX(1,INT(((CROQUIS!$C$98)-CROQUIS!$C$107)/MAX(CROQUIS!$C$130,1))+1)))-1,0))*CROQUIS!$C$130)))*CROQUIS!$C$155)+IF(CROQUIS!$C$92="X",0,0)),-1000)</f>
        <v>-1000</v>
      </c>
      <c r="BU303">
        <f>IF(AND(CROQUIS!$C$88=1,CROQUIS!$C$91=1,CROQUIS!$C$130&gt;0),((CROQUIS!$C$157+(IF(CROQUIS!$C$92="X",((CROQUIS!$C$107/2+(((CROQUIS!$C$98)-CROQUIS!$C$107)-(MIN(80,MAX(1,INT(((CROQUIS!$C$98)-CROQUIS!$C$107)/MAX(CROQUIS!$C$130,1))+1))-1)*CROQUIS!$C$130)/2)+MIN(INT(($A303-1)/5),MAX((MIN(80,MAX(1,INT(((CROQUIS!$C$98)-CROQUIS!$C$107)/MAX(CROQUIS!$C$130,1))+1)))-1,0))*CROQUIS!$C$130),CHOOSE(IF(INT(($A303-1)/5)&gt;MAX((MIN(80,MAX(1,INT(((CROQUIS!$C$98)-CROQUIS!$C$107)/MAX(CROQUIS!$C$130,1))+1)))-1,0),0,MOD($A303-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04">
      <c r="A304" t="n">
        <v>297</v>
      </c>
      <c r="BH304">
        <f>IF(AND(CROQUIS!$C$88=1,CROQUIS!$C$126&gt;0),((CROQUIS!$C$156+(IF(CROQUIS!$C$92="X",CHOOSE(IF(INT(($A304-1)/5)&gt;MAX((MIN(80,MAX(1,INT(((CROQUIS!$C$98)-CROQUIS!$C$107)/MAX(CROQUIS!$C$126,1))+1)))-1,0),0,MOD($A304-1,5))+1,0,2,CROQUIS!$C$97-2,2,0),((CROQUIS!$C$107/2+(((CROQUIS!$C$98)-CROQUIS!$C$107)-(MIN(80,MAX(1,INT(((CROQUIS!$C$98)-CROQUIS!$C$107)/MAX(CROQUIS!$C$126,1))+1))-1)*CROQUIS!$C$126)/2)+MIN(INT(($A304-1)/5),MAX((MIN(80,MAX(1,INT(((CROQUIS!$C$98)-CROQUIS!$C$107)/MAX(CROQUIS!$C$126,1))+1)))-1,0))*CROQUIS!$C$126)))*CROQUIS!$C$155)+IF(CROQUIS!$C$92="X",0,0)),-1000)</f>
        <v>-1000</v>
      </c>
      <c r="BI304">
        <f>IF(AND(CROQUIS!$C$88=1,CROQUIS!$C$126&gt;0),((CROQUIS!$C$157+(IF(CROQUIS!$C$92="X",((CROQUIS!$C$107/2+(((CROQUIS!$C$98)-CROQUIS!$C$107)-(MIN(80,MAX(1,INT(((CROQUIS!$C$98)-CROQUIS!$C$107)/MAX(CROQUIS!$C$126,1))+1))-1)*CROQUIS!$C$126)/2)+MIN(INT(($A304-1)/5),MAX((MIN(80,MAX(1,INT(((CROQUIS!$C$98)-CROQUIS!$C$107)/MAX(CROQUIS!$C$126,1))+1)))-1,0))*CROQUIS!$C$126),CHOOSE(IF(INT(($A304-1)/5)&gt;MAX((MIN(80,MAX(1,INT(((CROQUIS!$C$98)-CROQUIS!$C$107)/MAX(CROQUIS!$C$126,1))+1)))-1,0),0,MOD($A304-1,5))+1,0,2,CROQUIS!$C$97-2,2,0)))*CROQUIS!$C$155)+IF(CROQUIS!$C$92="X",0,0)),-1000)</f>
        <v>-1000</v>
      </c>
      <c r="BJ304">
        <f>IF(AND(CROQUIS!$C$88=1,CROQUIS!$C$134&gt;0),((CROQUIS!$C$156+(IF(CROQUIS!$C$92="X",((CROQUIS!$C$107/2+(((CROQUIS!$C$97)-CROQUIS!$C$107)-(MIN(80,MAX(1,INT(((CROQUIS!$C$97)-CROQUIS!$C$107)/MAX(CROQUIS!$C$134,1))+1))-1)*CROQUIS!$C$134)/2)+MIN(INT(($A304-1)/5),MAX((MIN(80,MAX(1,INT(((CROQUIS!$C$97)-CROQUIS!$C$107)/MAX(CROQUIS!$C$134,1))+1)))-1,0))*CROQUIS!$C$134),CHOOSE(IF(INT(($A304-1)/5)&gt;MAX((MIN(80,MAX(1,INT(((CROQUIS!$C$97)-CROQUIS!$C$107)/MAX(CROQUIS!$C$134,1))+1)))-1,0),0,MOD($A304-1,5))+1,0,2,CROQUIS!$C$98-2,2,0)))*CROQUIS!$C$155)+IF(CROQUIS!$C$92="X",0,0)),-1000)</f>
        <v>-1000</v>
      </c>
      <c r="BK304">
        <f>IF(AND(CROQUIS!$C$88=1,CROQUIS!$C$134&gt;0),((CROQUIS!$C$157+(IF(CROQUIS!$C$92="X",CHOOSE(IF(INT(($A304-1)/5)&gt;MAX((MIN(80,MAX(1,INT(((CROQUIS!$C$97)-CROQUIS!$C$107)/MAX(CROQUIS!$C$134,1))+1)))-1,0),0,MOD($A304-1,5))+1,0,2,CROQUIS!$C$98-2,2,0),((CROQUIS!$C$107/2+(((CROQUIS!$C$97)-CROQUIS!$C$107)-(MIN(80,MAX(1,INT(((CROQUIS!$C$97)-CROQUIS!$C$107)/MAX(CROQUIS!$C$134,1))+1))-1)*CROQUIS!$C$134)/2)+MIN(INT(($A304-1)/5),MAX((MIN(80,MAX(1,INT(((CROQUIS!$C$97)-CROQUIS!$C$107)/MAX(CROQUIS!$C$134,1))+1)))-1,0))*CROQUIS!$C$134)))*CROQUIS!$C$155)+IF(CROQUIS!$C$92="X",0,0)),-1000)</f>
        <v>-1000</v>
      </c>
      <c r="BL304">
        <f>IF(AND(CROQUIS!$C$88=1,CROQUIS!$C$91=0,CROQUIS!$C$130&gt;0,OR(CROQUIS!$C$103=1,CROQUIS!$C$142=1)),((CROQUIS!$C$156+(IF(CROQUIS!$C$92="X",CHOOSE(IF(INT(($A304-1)/5)&gt;MAX((MIN(80,MAX(1,INT(((CROQUIS!$C$98)-CROQUIS!$C$107)/MAX(CROQUIS!$C$130,1))+1)))-1,0),0,MOD($A304-1,5))+1,0,IF(CROQUIS!$C$103=1,-12,2),CROQUIS!$C$107/2+CROQUIS!$C$140,IF(CROQUIS!$C$103=1,-12,2),0),((CROQUIS!$C$107/2+(((CROQUIS!$C$98)-CROQUIS!$C$107)-(MIN(80,MAX(1,INT(((CROQUIS!$C$98)-CROQUIS!$C$107)/MAX(CROQUIS!$C$130,1))+1))-1)*CROQUIS!$C$130)/2)+MIN(INT(($A304-1)/5),MAX((MIN(80,MAX(1,INT(((CROQUIS!$C$98)-CROQUIS!$C$107)/MAX(CROQUIS!$C$130,1))+1)))-1,0))*CROQUIS!$C$130)))*CROQUIS!$C$155)+IF(CROQUIS!$C$92="X",0,0)),-1000)</f>
        <v>-1000</v>
      </c>
      <c r="BM30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304-1)/5),MAX((MIN(80,MAX(1,INT(((CROQUIS!$C$98)-CROQUIS!$C$107)/MAX(CROQUIS!$C$130,1))+1)))-1,0))*CROQUIS!$C$130),CHOOSE(IF(INT(($A304-1)/5)&gt;MAX((MIN(80,MAX(1,INT(((CROQUIS!$C$98)-CROQUIS!$C$107)/MAX(CROQUIS!$C$130,1))+1)))-1,0),0,MOD($A304-1,5))+1,0,IF(CROQUIS!$C$103=1,-12,2),CROQUIS!$C$107/2+CROQUIS!$C$140,IF(CROQUIS!$C$103=1,-12,2),0)))*CROQUIS!$C$155)+IF(CROQUIS!$C$92="X",0,0)),-1000)</f>
        <v>-1000</v>
      </c>
      <c r="BN304">
        <f>IF(AND(CROQUIS!$C$88=1,CROQUIS!$C$91=0,CROQUIS!$C$130&gt;0,OR(CROQUIS!$C$104=1,CROQUIS!$C$142=1)),((CROQUIS!$C$156+(IF(CROQUIS!$C$92="X",CHOOSE(IF(INT(($A304-1)/5)&gt;MAX((MIN(80,MAX(1,INT(((CROQUIS!$C$98)-CROQUIS!$C$107)/MAX(CROQUIS!$C$130,1))+1)))-1,0),0,MOD($A304-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304-1)/5),MAX((MIN(80,MAX(1,INT(((CROQUIS!$C$98)-CROQUIS!$C$107)/MAX(CROQUIS!$C$130,1))+1)))-1,0))*CROQUIS!$C$130)))*CROQUIS!$C$155)+IF(CROQUIS!$C$92="X",0,0)),-1000)</f>
        <v>-1000</v>
      </c>
      <c r="BO30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304-1)/5),MAX((MIN(80,MAX(1,INT(((CROQUIS!$C$98)-CROQUIS!$C$107)/MAX(CROQUIS!$C$130,1))+1)))-1,0))*CROQUIS!$C$130),CHOOSE(IF(INT(($A304-1)/5)&gt;MAX((MIN(80,MAX(1,INT(((CROQUIS!$C$98)-CROQUIS!$C$107)/MAX(CROQUIS!$C$130,1))+1)))-1,0),0,MOD($A304-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0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304-1)/5),MAX((MIN(80,MAX(1,INT(((CROQUIS!$C$97)-CROQUIS!$C$107)/MAX(CROQUIS!$C$138,1))+1)))-1,0))*CROQUIS!$C$138),CHOOSE(IF(INT(($A304-1)/5)&gt;MAX((MIN(80,MAX(1,INT(((CROQUIS!$C$97)-CROQUIS!$C$107)/MAX(CROQUIS!$C$138,1))+1)))-1,0),0,MOD($A304-1,5))+1,0,IF(CROQUIS!$C$105=1,-12,2),CROQUIS!$C$107/2+CROQUIS!$C$141,IF(CROQUIS!$C$105=1,-12,2),0)))*CROQUIS!$C$155)+IF(CROQUIS!$C$92="X",0,0)),-1000)</f>
        <v>-1000</v>
      </c>
      <c r="BQ304">
        <f>IF(AND(CROQUIS!$C$88=1,CROQUIS!$C$91=0,CROQUIS!$C$138&gt;0,OR(CROQUIS!$C$105=1,CROQUIS!$C$143=1)),((CROQUIS!$C$157+(IF(CROQUIS!$C$92="X",CHOOSE(IF(INT(($A304-1)/5)&gt;MAX((MIN(80,MAX(1,INT(((CROQUIS!$C$97)-CROQUIS!$C$107)/MAX(CROQUIS!$C$138,1))+1)))-1,0),0,MOD($A304-1,5))+1,0,IF(CROQUIS!$C$105=1,-12,2),CROQUIS!$C$107/2+CROQUIS!$C$141,IF(CROQUIS!$C$105=1,-12,2),0),((CROQUIS!$C$107/2+(((CROQUIS!$C$97)-CROQUIS!$C$107)-(MIN(80,MAX(1,INT(((CROQUIS!$C$97)-CROQUIS!$C$107)/MAX(CROQUIS!$C$138,1))+1))-1)*CROQUIS!$C$138)/2)+MIN(INT(($A304-1)/5),MAX((MIN(80,MAX(1,INT(((CROQUIS!$C$97)-CROQUIS!$C$107)/MAX(CROQUIS!$C$138,1))+1)))-1,0))*CROQUIS!$C$138)))*CROQUIS!$C$155)+IF(CROQUIS!$C$92="X",0,0)),-1000)</f>
        <v>-1000</v>
      </c>
      <c r="BR30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304-1)/5),MAX((MIN(80,MAX(1,INT(((CROQUIS!$C$97)-CROQUIS!$C$107)/MAX(CROQUIS!$C$138,1))+1)))-1,0))*CROQUIS!$C$138),CHOOSE(IF(INT(($A304-1)/5)&gt;MAX((MIN(80,MAX(1,INT(((CROQUIS!$C$97)-CROQUIS!$C$107)/MAX(CROQUIS!$C$138,1))+1)))-1,0),0,MOD($A304-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04">
        <f>IF(AND(CROQUIS!$C$88=1,CROQUIS!$C$91=0,CROQUIS!$C$138&gt;0,OR(CROQUIS!$C$106=1,CROQUIS!$C$143=1)),((CROQUIS!$C$157+(IF(CROQUIS!$C$92="X",CHOOSE(IF(INT(($A304-1)/5)&gt;MAX((MIN(80,MAX(1,INT(((CROQUIS!$C$97)-CROQUIS!$C$107)/MAX(CROQUIS!$C$138,1))+1)))-1,0),0,MOD($A304-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304-1)/5),MAX((MIN(80,MAX(1,INT(((CROQUIS!$C$97)-CROQUIS!$C$107)/MAX(CROQUIS!$C$138,1))+1)))-1,0))*CROQUIS!$C$138)))*CROQUIS!$C$155)+IF(CROQUIS!$C$92="X",0,0)),-1000)</f>
        <v>-1000</v>
      </c>
      <c r="BT304">
        <f>IF(AND(CROQUIS!$C$88=1,CROQUIS!$C$91=1,CROQUIS!$C$130&gt;0),((CROQUIS!$C$156+(IF(CROQUIS!$C$92="X",CHOOSE(IF(INT(($A304-1)/5)&gt;MAX((MIN(80,MAX(1,INT(((CROQUIS!$C$98)-CROQUIS!$C$107)/MAX(CROQUIS!$C$130,1))+1)))-1,0),0,MOD($A304-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304-1)/5),MAX((MIN(80,MAX(1,INT(((CROQUIS!$C$98)-CROQUIS!$C$107)/MAX(CROQUIS!$C$130,1))+1)))-1,0))*CROQUIS!$C$130)))*CROQUIS!$C$155)+IF(CROQUIS!$C$92="X",0,0)),-1000)</f>
        <v>-1000</v>
      </c>
      <c r="BU304">
        <f>IF(AND(CROQUIS!$C$88=1,CROQUIS!$C$91=1,CROQUIS!$C$130&gt;0),((CROQUIS!$C$157+(IF(CROQUIS!$C$92="X",((CROQUIS!$C$107/2+(((CROQUIS!$C$98)-CROQUIS!$C$107)-(MIN(80,MAX(1,INT(((CROQUIS!$C$98)-CROQUIS!$C$107)/MAX(CROQUIS!$C$130,1))+1))-1)*CROQUIS!$C$130)/2)+MIN(INT(($A304-1)/5),MAX((MIN(80,MAX(1,INT(((CROQUIS!$C$98)-CROQUIS!$C$107)/MAX(CROQUIS!$C$130,1))+1)))-1,0))*CROQUIS!$C$130),CHOOSE(IF(INT(($A304-1)/5)&gt;MAX((MIN(80,MAX(1,INT(((CROQUIS!$C$98)-CROQUIS!$C$107)/MAX(CROQUIS!$C$130,1))+1)))-1,0),0,MOD($A304-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05">
      <c r="A305" t="n">
        <v>298</v>
      </c>
      <c r="BH305">
        <f>IF(AND(CROQUIS!$C$88=1,CROQUIS!$C$126&gt;0),((CROQUIS!$C$156+(IF(CROQUIS!$C$92="X",CHOOSE(IF(INT(($A305-1)/5)&gt;MAX((MIN(80,MAX(1,INT(((CROQUIS!$C$98)-CROQUIS!$C$107)/MAX(CROQUIS!$C$126,1))+1)))-1,0),0,MOD($A305-1,5))+1,0,2,CROQUIS!$C$97-2,2,0),((CROQUIS!$C$107/2+(((CROQUIS!$C$98)-CROQUIS!$C$107)-(MIN(80,MAX(1,INT(((CROQUIS!$C$98)-CROQUIS!$C$107)/MAX(CROQUIS!$C$126,1))+1))-1)*CROQUIS!$C$126)/2)+MIN(INT(($A305-1)/5),MAX((MIN(80,MAX(1,INT(((CROQUIS!$C$98)-CROQUIS!$C$107)/MAX(CROQUIS!$C$126,1))+1)))-1,0))*CROQUIS!$C$126)))*CROQUIS!$C$155)+IF(CROQUIS!$C$92="X",0,0)),-1000)</f>
        <v>-1000</v>
      </c>
      <c r="BI305">
        <f>IF(AND(CROQUIS!$C$88=1,CROQUIS!$C$126&gt;0),((CROQUIS!$C$157+(IF(CROQUIS!$C$92="X",((CROQUIS!$C$107/2+(((CROQUIS!$C$98)-CROQUIS!$C$107)-(MIN(80,MAX(1,INT(((CROQUIS!$C$98)-CROQUIS!$C$107)/MAX(CROQUIS!$C$126,1))+1))-1)*CROQUIS!$C$126)/2)+MIN(INT(($A305-1)/5),MAX((MIN(80,MAX(1,INT(((CROQUIS!$C$98)-CROQUIS!$C$107)/MAX(CROQUIS!$C$126,1))+1)))-1,0))*CROQUIS!$C$126),CHOOSE(IF(INT(($A305-1)/5)&gt;MAX((MIN(80,MAX(1,INT(((CROQUIS!$C$98)-CROQUIS!$C$107)/MAX(CROQUIS!$C$126,1))+1)))-1,0),0,MOD($A305-1,5))+1,0,2,CROQUIS!$C$97-2,2,0)))*CROQUIS!$C$155)+IF(CROQUIS!$C$92="X",0,0)),-1000)</f>
        <v>-1000</v>
      </c>
      <c r="BJ305">
        <f>IF(AND(CROQUIS!$C$88=1,CROQUIS!$C$134&gt;0),((CROQUIS!$C$156+(IF(CROQUIS!$C$92="X",((CROQUIS!$C$107/2+(((CROQUIS!$C$97)-CROQUIS!$C$107)-(MIN(80,MAX(1,INT(((CROQUIS!$C$97)-CROQUIS!$C$107)/MAX(CROQUIS!$C$134,1))+1))-1)*CROQUIS!$C$134)/2)+MIN(INT(($A305-1)/5),MAX((MIN(80,MAX(1,INT(((CROQUIS!$C$97)-CROQUIS!$C$107)/MAX(CROQUIS!$C$134,1))+1)))-1,0))*CROQUIS!$C$134),CHOOSE(IF(INT(($A305-1)/5)&gt;MAX((MIN(80,MAX(1,INT(((CROQUIS!$C$97)-CROQUIS!$C$107)/MAX(CROQUIS!$C$134,1))+1)))-1,0),0,MOD($A305-1,5))+1,0,2,CROQUIS!$C$98-2,2,0)))*CROQUIS!$C$155)+IF(CROQUIS!$C$92="X",0,0)),-1000)</f>
        <v>-1000</v>
      </c>
      <c r="BK305">
        <f>IF(AND(CROQUIS!$C$88=1,CROQUIS!$C$134&gt;0),((CROQUIS!$C$157+(IF(CROQUIS!$C$92="X",CHOOSE(IF(INT(($A305-1)/5)&gt;MAX((MIN(80,MAX(1,INT(((CROQUIS!$C$97)-CROQUIS!$C$107)/MAX(CROQUIS!$C$134,1))+1)))-1,0),0,MOD($A305-1,5))+1,0,2,CROQUIS!$C$98-2,2,0),((CROQUIS!$C$107/2+(((CROQUIS!$C$97)-CROQUIS!$C$107)-(MIN(80,MAX(1,INT(((CROQUIS!$C$97)-CROQUIS!$C$107)/MAX(CROQUIS!$C$134,1))+1))-1)*CROQUIS!$C$134)/2)+MIN(INT(($A305-1)/5),MAX((MIN(80,MAX(1,INT(((CROQUIS!$C$97)-CROQUIS!$C$107)/MAX(CROQUIS!$C$134,1))+1)))-1,0))*CROQUIS!$C$134)))*CROQUIS!$C$155)+IF(CROQUIS!$C$92="X",0,0)),-1000)</f>
        <v>-1000</v>
      </c>
      <c r="BL305">
        <f>IF(AND(CROQUIS!$C$88=1,CROQUIS!$C$91=0,CROQUIS!$C$130&gt;0,OR(CROQUIS!$C$103=1,CROQUIS!$C$142=1)),((CROQUIS!$C$156+(IF(CROQUIS!$C$92="X",CHOOSE(IF(INT(($A305-1)/5)&gt;MAX((MIN(80,MAX(1,INT(((CROQUIS!$C$98)-CROQUIS!$C$107)/MAX(CROQUIS!$C$130,1))+1)))-1,0),0,MOD($A305-1,5))+1,0,IF(CROQUIS!$C$103=1,-12,2),CROQUIS!$C$107/2+CROQUIS!$C$140,IF(CROQUIS!$C$103=1,-12,2),0),((CROQUIS!$C$107/2+(((CROQUIS!$C$98)-CROQUIS!$C$107)-(MIN(80,MAX(1,INT(((CROQUIS!$C$98)-CROQUIS!$C$107)/MAX(CROQUIS!$C$130,1))+1))-1)*CROQUIS!$C$130)/2)+MIN(INT(($A305-1)/5),MAX((MIN(80,MAX(1,INT(((CROQUIS!$C$98)-CROQUIS!$C$107)/MAX(CROQUIS!$C$130,1))+1)))-1,0))*CROQUIS!$C$130)))*CROQUIS!$C$155)+IF(CROQUIS!$C$92="X",0,0)),-1000)</f>
        <v>-1000</v>
      </c>
      <c r="BM30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305-1)/5),MAX((MIN(80,MAX(1,INT(((CROQUIS!$C$98)-CROQUIS!$C$107)/MAX(CROQUIS!$C$130,1))+1)))-1,0))*CROQUIS!$C$130),CHOOSE(IF(INT(($A305-1)/5)&gt;MAX((MIN(80,MAX(1,INT(((CROQUIS!$C$98)-CROQUIS!$C$107)/MAX(CROQUIS!$C$130,1))+1)))-1,0),0,MOD($A305-1,5))+1,0,IF(CROQUIS!$C$103=1,-12,2),CROQUIS!$C$107/2+CROQUIS!$C$140,IF(CROQUIS!$C$103=1,-12,2),0)))*CROQUIS!$C$155)+IF(CROQUIS!$C$92="X",0,0)),-1000)</f>
        <v>-1000</v>
      </c>
      <c r="BN305">
        <f>IF(AND(CROQUIS!$C$88=1,CROQUIS!$C$91=0,CROQUIS!$C$130&gt;0,OR(CROQUIS!$C$104=1,CROQUIS!$C$142=1)),((CROQUIS!$C$156+(IF(CROQUIS!$C$92="X",CHOOSE(IF(INT(($A305-1)/5)&gt;MAX((MIN(80,MAX(1,INT(((CROQUIS!$C$98)-CROQUIS!$C$107)/MAX(CROQUIS!$C$130,1))+1)))-1,0),0,MOD($A305-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305-1)/5),MAX((MIN(80,MAX(1,INT(((CROQUIS!$C$98)-CROQUIS!$C$107)/MAX(CROQUIS!$C$130,1))+1)))-1,0))*CROQUIS!$C$130)))*CROQUIS!$C$155)+IF(CROQUIS!$C$92="X",0,0)),-1000)</f>
        <v>-1000</v>
      </c>
      <c r="BO30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305-1)/5),MAX((MIN(80,MAX(1,INT(((CROQUIS!$C$98)-CROQUIS!$C$107)/MAX(CROQUIS!$C$130,1))+1)))-1,0))*CROQUIS!$C$130),CHOOSE(IF(INT(($A305-1)/5)&gt;MAX((MIN(80,MAX(1,INT(((CROQUIS!$C$98)-CROQUIS!$C$107)/MAX(CROQUIS!$C$130,1))+1)))-1,0),0,MOD($A305-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0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305-1)/5),MAX((MIN(80,MAX(1,INT(((CROQUIS!$C$97)-CROQUIS!$C$107)/MAX(CROQUIS!$C$138,1))+1)))-1,0))*CROQUIS!$C$138),CHOOSE(IF(INT(($A305-1)/5)&gt;MAX((MIN(80,MAX(1,INT(((CROQUIS!$C$97)-CROQUIS!$C$107)/MAX(CROQUIS!$C$138,1))+1)))-1,0),0,MOD($A305-1,5))+1,0,IF(CROQUIS!$C$105=1,-12,2),CROQUIS!$C$107/2+CROQUIS!$C$141,IF(CROQUIS!$C$105=1,-12,2),0)))*CROQUIS!$C$155)+IF(CROQUIS!$C$92="X",0,0)),-1000)</f>
        <v>-1000</v>
      </c>
      <c r="BQ305">
        <f>IF(AND(CROQUIS!$C$88=1,CROQUIS!$C$91=0,CROQUIS!$C$138&gt;0,OR(CROQUIS!$C$105=1,CROQUIS!$C$143=1)),((CROQUIS!$C$157+(IF(CROQUIS!$C$92="X",CHOOSE(IF(INT(($A305-1)/5)&gt;MAX((MIN(80,MAX(1,INT(((CROQUIS!$C$97)-CROQUIS!$C$107)/MAX(CROQUIS!$C$138,1))+1)))-1,0),0,MOD($A305-1,5))+1,0,IF(CROQUIS!$C$105=1,-12,2),CROQUIS!$C$107/2+CROQUIS!$C$141,IF(CROQUIS!$C$105=1,-12,2),0),((CROQUIS!$C$107/2+(((CROQUIS!$C$97)-CROQUIS!$C$107)-(MIN(80,MAX(1,INT(((CROQUIS!$C$97)-CROQUIS!$C$107)/MAX(CROQUIS!$C$138,1))+1))-1)*CROQUIS!$C$138)/2)+MIN(INT(($A305-1)/5),MAX((MIN(80,MAX(1,INT(((CROQUIS!$C$97)-CROQUIS!$C$107)/MAX(CROQUIS!$C$138,1))+1)))-1,0))*CROQUIS!$C$138)))*CROQUIS!$C$155)+IF(CROQUIS!$C$92="X",0,0)),-1000)</f>
        <v>-1000</v>
      </c>
      <c r="BR30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305-1)/5),MAX((MIN(80,MAX(1,INT(((CROQUIS!$C$97)-CROQUIS!$C$107)/MAX(CROQUIS!$C$138,1))+1)))-1,0))*CROQUIS!$C$138),CHOOSE(IF(INT(($A305-1)/5)&gt;MAX((MIN(80,MAX(1,INT(((CROQUIS!$C$97)-CROQUIS!$C$107)/MAX(CROQUIS!$C$138,1))+1)))-1,0),0,MOD($A305-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05">
        <f>IF(AND(CROQUIS!$C$88=1,CROQUIS!$C$91=0,CROQUIS!$C$138&gt;0,OR(CROQUIS!$C$106=1,CROQUIS!$C$143=1)),((CROQUIS!$C$157+(IF(CROQUIS!$C$92="X",CHOOSE(IF(INT(($A305-1)/5)&gt;MAX((MIN(80,MAX(1,INT(((CROQUIS!$C$97)-CROQUIS!$C$107)/MAX(CROQUIS!$C$138,1))+1)))-1,0),0,MOD($A305-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305-1)/5),MAX((MIN(80,MAX(1,INT(((CROQUIS!$C$97)-CROQUIS!$C$107)/MAX(CROQUIS!$C$138,1))+1)))-1,0))*CROQUIS!$C$138)))*CROQUIS!$C$155)+IF(CROQUIS!$C$92="X",0,0)),-1000)</f>
        <v>-1000</v>
      </c>
      <c r="BT305">
        <f>IF(AND(CROQUIS!$C$88=1,CROQUIS!$C$91=1,CROQUIS!$C$130&gt;0),((CROQUIS!$C$156+(IF(CROQUIS!$C$92="X",CHOOSE(IF(INT(($A305-1)/5)&gt;MAX((MIN(80,MAX(1,INT(((CROQUIS!$C$98)-CROQUIS!$C$107)/MAX(CROQUIS!$C$130,1))+1)))-1,0),0,MOD($A305-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305-1)/5),MAX((MIN(80,MAX(1,INT(((CROQUIS!$C$98)-CROQUIS!$C$107)/MAX(CROQUIS!$C$130,1))+1)))-1,0))*CROQUIS!$C$130)))*CROQUIS!$C$155)+IF(CROQUIS!$C$92="X",0,0)),-1000)</f>
        <v>-1000</v>
      </c>
      <c r="BU305">
        <f>IF(AND(CROQUIS!$C$88=1,CROQUIS!$C$91=1,CROQUIS!$C$130&gt;0),((CROQUIS!$C$157+(IF(CROQUIS!$C$92="X",((CROQUIS!$C$107/2+(((CROQUIS!$C$98)-CROQUIS!$C$107)-(MIN(80,MAX(1,INT(((CROQUIS!$C$98)-CROQUIS!$C$107)/MAX(CROQUIS!$C$130,1))+1))-1)*CROQUIS!$C$130)/2)+MIN(INT(($A305-1)/5),MAX((MIN(80,MAX(1,INT(((CROQUIS!$C$98)-CROQUIS!$C$107)/MAX(CROQUIS!$C$130,1))+1)))-1,0))*CROQUIS!$C$130),CHOOSE(IF(INT(($A305-1)/5)&gt;MAX((MIN(80,MAX(1,INT(((CROQUIS!$C$98)-CROQUIS!$C$107)/MAX(CROQUIS!$C$130,1))+1)))-1,0),0,MOD($A305-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06">
      <c r="A306" t="n">
        <v>299</v>
      </c>
      <c r="BH306">
        <f>IF(AND(CROQUIS!$C$88=1,CROQUIS!$C$126&gt;0),((CROQUIS!$C$156+(IF(CROQUIS!$C$92="X",CHOOSE(IF(INT(($A306-1)/5)&gt;MAX((MIN(80,MAX(1,INT(((CROQUIS!$C$98)-CROQUIS!$C$107)/MAX(CROQUIS!$C$126,1))+1)))-1,0),0,MOD($A306-1,5))+1,0,2,CROQUIS!$C$97-2,2,0),((CROQUIS!$C$107/2+(((CROQUIS!$C$98)-CROQUIS!$C$107)-(MIN(80,MAX(1,INT(((CROQUIS!$C$98)-CROQUIS!$C$107)/MAX(CROQUIS!$C$126,1))+1))-1)*CROQUIS!$C$126)/2)+MIN(INT(($A306-1)/5),MAX((MIN(80,MAX(1,INT(((CROQUIS!$C$98)-CROQUIS!$C$107)/MAX(CROQUIS!$C$126,1))+1)))-1,0))*CROQUIS!$C$126)))*CROQUIS!$C$155)+IF(CROQUIS!$C$92="X",0,0)),-1000)</f>
        <v>-1000</v>
      </c>
      <c r="BI306">
        <f>IF(AND(CROQUIS!$C$88=1,CROQUIS!$C$126&gt;0),((CROQUIS!$C$157+(IF(CROQUIS!$C$92="X",((CROQUIS!$C$107/2+(((CROQUIS!$C$98)-CROQUIS!$C$107)-(MIN(80,MAX(1,INT(((CROQUIS!$C$98)-CROQUIS!$C$107)/MAX(CROQUIS!$C$126,1))+1))-1)*CROQUIS!$C$126)/2)+MIN(INT(($A306-1)/5),MAX((MIN(80,MAX(1,INT(((CROQUIS!$C$98)-CROQUIS!$C$107)/MAX(CROQUIS!$C$126,1))+1)))-1,0))*CROQUIS!$C$126),CHOOSE(IF(INT(($A306-1)/5)&gt;MAX((MIN(80,MAX(1,INT(((CROQUIS!$C$98)-CROQUIS!$C$107)/MAX(CROQUIS!$C$126,1))+1)))-1,0),0,MOD($A306-1,5))+1,0,2,CROQUIS!$C$97-2,2,0)))*CROQUIS!$C$155)+IF(CROQUIS!$C$92="X",0,0)),-1000)</f>
        <v>-1000</v>
      </c>
      <c r="BJ306">
        <f>IF(AND(CROQUIS!$C$88=1,CROQUIS!$C$134&gt;0),((CROQUIS!$C$156+(IF(CROQUIS!$C$92="X",((CROQUIS!$C$107/2+(((CROQUIS!$C$97)-CROQUIS!$C$107)-(MIN(80,MAX(1,INT(((CROQUIS!$C$97)-CROQUIS!$C$107)/MAX(CROQUIS!$C$134,1))+1))-1)*CROQUIS!$C$134)/2)+MIN(INT(($A306-1)/5),MAX((MIN(80,MAX(1,INT(((CROQUIS!$C$97)-CROQUIS!$C$107)/MAX(CROQUIS!$C$134,1))+1)))-1,0))*CROQUIS!$C$134),CHOOSE(IF(INT(($A306-1)/5)&gt;MAX((MIN(80,MAX(1,INT(((CROQUIS!$C$97)-CROQUIS!$C$107)/MAX(CROQUIS!$C$134,1))+1)))-1,0),0,MOD($A306-1,5))+1,0,2,CROQUIS!$C$98-2,2,0)))*CROQUIS!$C$155)+IF(CROQUIS!$C$92="X",0,0)),-1000)</f>
        <v>-1000</v>
      </c>
      <c r="BK306">
        <f>IF(AND(CROQUIS!$C$88=1,CROQUIS!$C$134&gt;0),((CROQUIS!$C$157+(IF(CROQUIS!$C$92="X",CHOOSE(IF(INT(($A306-1)/5)&gt;MAX((MIN(80,MAX(1,INT(((CROQUIS!$C$97)-CROQUIS!$C$107)/MAX(CROQUIS!$C$134,1))+1)))-1,0),0,MOD($A306-1,5))+1,0,2,CROQUIS!$C$98-2,2,0),((CROQUIS!$C$107/2+(((CROQUIS!$C$97)-CROQUIS!$C$107)-(MIN(80,MAX(1,INT(((CROQUIS!$C$97)-CROQUIS!$C$107)/MAX(CROQUIS!$C$134,1))+1))-1)*CROQUIS!$C$134)/2)+MIN(INT(($A306-1)/5),MAX((MIN(80,MAX(1,INT(((CROQUIS!$C$97)-CROQUIS!$C$107)/MAX(CROQUIS!$C$134,1))+1)))-1,0))*CROQUIS!$C$134)))*CROQUIS!$C$155)+IF(CROQUIS!$C$92="X",0,0)),-1000)</f>
        <v>-1000</v>
      </c>
      <c r="BL306">
        <f>IF(AND(CROQUIS!$C$88=1,CROQUIS!$C$91=0,CROQUIS!$C$130&gt;0,OR(CROQUIS!$C$103=1,CROQUIS!$C$142=1)),((CROQUIS!$C$156+(IF(CROQUIS!$C$92="X",CHOOSE(IF(INT(($A306-1)/5)&gt;MAX((MIN(80,MAX(1,INT(((CROQUIS!$C$98)-CROQUIS!$C$107)/MAX(CROQUIS!$C$130,1))+1)))-1,0),0,MOD($A306-1,5))+1,0,IF(CROQUIS!$C$103=1,-12,2),CROQUIS!$C$107/2+CROQUIS!$C$140,IF(CROQUIS!$C$103=1,-12,2),0),((CROQUIS!$C$107/2+(((CROQUIS!$C$98)-CROQUIS!$C$107)-(MIN(80,MAX(1,INT(((CROQUIS!$C$98)-CROQUIS!$C$107)/MAX(CROQUIS!$C$130,1))+1))-1)*CROQUIS!$C$130)/2)+MIN(INT(($A306-1)/5),MAX((MIN(80,MAX(1,INT(((CROQUIS!$C$98)-CROQUIS!$C$107)/MAX(CROQUIS!$C$130,1))+1)))-1,0))*CROQUIS!$C$130)))*CROQUIS!$C$155)+IF(CROQUIS!$C$92="X",0,0)),-1000)</f>
        <v>-1000</v>
      </c>
      <c r="BM30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306-1)/5),MAX((MIN(80,MAX(1,INT(((CROQUIS!$C$98)-CROQUIS!$C$107)/MAX(CROQUIS!$C$130,1))+1)))-1,0))*CROQUIS!$C$130),CHOOSE(IF(INT(($A306-1)/5)&gt;MAX((MIN(80,MAX(1,INT(((CROQUIS!$C$98)-CROQUIS!$C$107)/MAX(CROQUIS!$C$130,1))+1)))-1,0),0,MOD($A306-1,5))+1,0,IF(CROQUIS!$C$103=1,-12,2),CROQUIS!$C$107/2+CROQUIS!$C$140,IF(CROQUIS!$C$103=1,-12,2),0)))*CROQUIS!$C$155)+IF(CROQUIS!$C$92="X",0,0)),-1000)</f>
        <v>-1000</v>
      </c>
      <c r="BN306">
        <f>IF(AND(CROQUIS!$C$88=1,CROQUIS!$C$91=0,CROQUIS!$C$130&gt;0,OR(CROQUIS!$C$104=1,CROQUIS!$C$142=1)),((CROQUIS!$C$156+(IF(CROQUIS!$C$92="X",CHOOSE(IF(INT(($A306-1)/5)&gt;MAX((MIN(80,MAX(1,INT(((CROQUIS!$C$98)-CROQUIS!$C$107)/MAX(CROQUIS!$C$130,1))+1)))-1,0),0,MOD($A306-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306-1)/5),MAX((MIN(80,MAX(1,INT(((CROQUIS!$C$98)-CROQUIS!$C$107)/MAX(CROQUIS!$C$130,1))+1)))-1,0))*CROQUIS!$C$130)))*CROQUIS!$C$155)+IF(CROQUIS!$C$92="X",0,0)),-1000)</f>
        <v>-1000</v>
      </c>
      <c r="BO30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306-1)/5),MAX((MIN(80,MAX(1,INT(((CROQUIS!$C$98)-CROQUIS!$C$107)/MAX(CROQUIS!$C$130,1))+1)))-1,0))*CROQUIS!$C$130),CHOOSE(IF(INT(($A306-1)/5)&gt;MAX((MIN(80,MAX(1,INT(((CROQUIS!$C$98)-CROQUIS!$C$107)/MAX(CROQUIS!$C$130,1))+1)))-1,0),0,MOD($A306-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0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306-1)/5),MAX((MIN(80,MAX(1,INT(((CROQUIS!$C$97)-CROQUIS!$C$107)/MAX(CROQUIS!$C$138,1))+1)))-1,0))*CROQUIS!$C$138),CHOOSE(IF(INT(($A306-1)/5)&gt;MAX((MIN(80,MAX(1,INT(((CROQUIS!$C$97)-CROQUIS!$C$107)/MAX(CROQUIS!$C$138,1))+1)))-1,0),0,MOD($A306-1,5))+1,0,IF(CROQUIS!$C$105=1,-12,2),CROQUIS!$C$107/2+CROQUIS!$C$141,IF(CROQUIS!$C$105=1,-12,2),0)))*CROQUIS!$C$155)+IF(CROQUIS!$C$92="X",0,0)),-1000)</f>
        <v>-1000</v>
      </c>
      <c r="BQ306">
        <f>IF(AND(CROQUIS!$C$88=1,CROQUIS!$C$91=0,CROQUIS!$C$138&gt;0,OR(CROQUIS!$C$105=1,CROQUIS!$C$143=1)),((CROQUIS!$C$157+(IF(CROQUIS!$C$92="X",CHOOSE(IF(INT(($A306-1)/5)&gt;MAX((MIN(80,MAX(1,INT(((CROQUIS!$C$97)-CROQUIS!$C$107)/MAX(CROQUIS!$C$138,1))+1)))-1,0),0,MOD($A306-1,5))+1,0,IF(CROQUIS!$C$105=1,-12,2),CROQUIS!$C$107/2+CROQUIS!$C$141,IF(CROQUIS!$C$105=1,-12,2),0),((CROQUIS!$C$107/2+(((CROQUIS!$C$97)-CROQUIS!$C$107)-(MIN(80,MAX(1,INT(((CROQUIS!$C$97)-CROQUIS!$C$107)/MAX(CROQUIS!$C$138,1))+1))-1)*CROQUIS!$C$138)/2)+MIN(INT(($A306-1)/5),MAX((MIN(80,MAX(1,INT(((CROQUIS!$C$97)-CROQUIS!$C$107)/MAX(CROQUIS!$C$138,1))+1)))-1,0))*CROQUIS!$C$138)))*CROQUIS!$C$155)+IF(CROQUIS!$C$92="X",0,0)),-1000)</f>
        <v>-1000</v>
      </c>
      <c r="BR30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306-1)/5),MAX((MIN(80,MAX(1,INT(((CROQUIS!$C$97)-CROQUIS!$C$107)/MAX(CROQUIS!$C$138,1))+1)))-1,0))*CROQUIS!$C$138),CHOOSE(IF(INT(($A306-1)/5)&gt;MAX((MIN(80,MAX(1,INT(((CROQUIS!$C$97)-CROQUIS!$C$107)/MAX(CROQUIS!$C$138,1))+1)))-1,0),0,MOD($A306-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06">
        <f>IF(AND(CROQUIS!$C$88=1,CROQUIS!$C$91=0,CROQUIS!$C$138&gt;0,OR(CROQUIS!$C$106=1,CROQUIS!$C$143=1)),((CROQUIS!$C$157+(IF(CROQUIS!$C$92="X",CHOOSE(IF(INT(($A306-1)/5)&gt;MAX((MIN(80,MAX(1,INT(((CROQUIS!$C$97)-CROQUIS!$C$107)/MAX(CROQUIS!$C$138,1))+1)))-1,0),0,MOD($A306-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306-1)/5),MAX((MIN(80,MAX(1,INT(((CROQUIS!$C$97)-CROQUIS!$C$107)/MAX(CROQUIS!$C$138,1))+1)))-1,0))*CROQUIS!$C$138)))*CROQUIS!$C$155)+IF(CROQUIS!$C$92="X",0,0)),-1000)</f>
        <v>-1000</v>
      </c>
      <c r="BT306">
        <f>IF(AND(CROQUIS!$C$88=1,CROQUIS!$C$91=1,CROQUIS!$C$130&gt;0),((CROQUIS!$C$156+(IF(CROQUIS!$C$92="X",CHOOSE(IF(INT(($A306-1)/5)&gt;MAX((MIN(80,MAX(1,INT(((CROQUIS!$C$98)-CROQUIS!$C$107)/MAX(CROQUIS!$C$130,1))+1)))-1,0),0,MOD($A306-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306-1)/5),MAX((MIN(80,MAX(1,INT(((CROQUIS!$C$98)-CROQUIS!$C$107)/MAX(CROQUIS!$C$130,1))+1)))-1,0))*CROQUIS!$C$130)))*CROQUIS!$C$155)+IF(CROQUIS!$C$92="X",0,0)),-1000)</f>
        <v>-1000</v>
      </c>
      <c r="BU306">
        <f>IF(AND(CROQUIS!$C$88=1,CROQUIS!$C$91=1,CROQUIS!$C$130&gt;0),((CROQUIS!$C$157+(IF(CROQUIS!$C$92="X",((CROQUIS!$C$107/2+(((CROQUIS!$C$98)-CROQUIS!$C$107)-(MIN(80,MAX(1,INT(((CROQUIS!$C$98)-CROQUIS!$C$107)/MAX(CROQUIS!$C$130,1))+1))-1)*CROQUIS!$C$130)/2)+MIN(INT(($A306-1)/5),MAX((MIN(80,MAX(1,INT(((CROQUIS!$C$98)-CROQUIS!$C$107)/MAX(CROQUIS!$C$130,1))+1)))-1,0))*CROQUIS!$C$130),CHOOSE(IF(INT(($A306-1)/5)&gt;MAX((MIN(80,MAX(1,INT(((CROQUIS!$C$98)-CROQUIS!$C$107)/MAX(CROQUIS!$C$130,1))+1)))-1,0),0,MOD($A306-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07">
      <c r="A307" t="n">
        <v>300</v>
      </c>
      <c r="BH307">
        <f>IF(AND(CROQUIS!$C$88=1,CROQUIS!$C$126&gt;0),((CROQUIS!$C$156+(IF(CROQUIS!$C$92="X",CHOOSE(IF(INT(($A307-1)/5)&gt;MAX((MIN(80,MAX(1,INT(((CROQUIS!$C$98)-CROQUIS!$C$107)/MAX(CROQUIS!$C$126,1))+1)))-1,0),0,MOD($A307-1,5))+1,0,2,CROQUIS!$C$97-2,2,0),((CROQUIS!$C$107/2+(((CROQUIS!$C$98)-CROQUIS!$C$107)-(MIN(80,MAX(1,INT(((CROQUIS!$C$98)-CROQUIS!$C$107)/MAX(CROQUIS!$C$126,1))+1))-1)*CROQUIS!$C$126)/2)+MIN(INT(($A307-1)/5),MAX((MIN(80,MAX(1,INT(((CROQUIS!$C$98)-CROQUIS!$C$107)/MAX(CROQUIS!$C$126,1))+1)))-1,0))*CROQUIS!$C$126)))*CROQUIS!$C$155)+IF(CROQUIS!$C$92="X",0,0)),-1000)</f>
        <v>-1000</v>
      </c>
      <c r="BI307">
        <f>IF(AND(CROQUIS!$C$88=1,CROQUIS!$C$126&gt;0),((CROQUIS!$C$157+(IF(CROQUIS!$C$92="X",((CROQUIS!$C$107/2+(((CROQUIS!$C$98)-CROQUIS!$C$107)-(MIN(80,MAX(1,INT(((CROQUIS!$C$98)-CROQUIS!$C$107)/MAX(CROQUIS!$C$126,1))+1))-1)*CROQUIS!$C$126)/2)+MIN(INT(($A307-1)/5),MAX((MIN(80,MAX(1,INT(((CROQUIS!$C$98)-CROQUIS!$C$107)/MAX(CROQUIS!$C$126,1))+1)))-1,0))*CROQUIS!$C$126),CHOOSE(IF(INT(($A307-1)/5)&gt;MAX((MIN(80,MAX(1,INT(((CROQUIS!$C$98)-CROQUIS!$C$107)/MAX(CROQUIS!$C$126,1))+1)))-1,0),0,MOD($A307-1,5))+1,0,2,CROQUIS!$C$97-2,2,0)))*CROQUIS!$C$155)+IF(CROQUIS!$C$92="X",0,0)),-1000)</f>
        <v>-1000</v>
      </c>
      <c r="BJ307">
        <f>IF(AND(CROQUIS!$C$88=1,CROQUIS!$C$134&gt;0),((CROQUIS!$C$156+(IF(CROQUIS!$C$92="X",((CROQUIS!$C$107/2+(((CROQUIS!$C$97)-CROQUIS!$C$107)-(MIN(80,MAX(1,INT(((CROQUIS!$C$97)-CROQUIS!$C$107)/MAX(CROQUIS!$C$134,1))+1))-1)*CROQUIS!$C$134)/2)+MIN(INT(($A307-1)/5),MAX((MIN(80,MAX(1,INT(((CROQUIS!$C$97)-CROQUIS!$C$107)/MAX(CROQUIS!$C$134,1))+1)))-1,0))*CROQUIS!$C$134),CHOOSE(IF(INT(($A307-1)/5)&gt;MAX((MIN(80,MAX(1,INT(((CROQUIS!$C$97)-CROQUIS!$C$107)/MAX(CROQUIS!$C$134,1))+1)))-1,0),0,MOD($A307-1,5))+1,0,2,CROQUIS!$C$98-2,2,0)))*CROQUIS!$C$155)+IF(CROQUIS!$C$92="X",0,0)),-1000)</f>
        <v>-1000</v>
      </c>
      <c r="BK307">
        <f>IF(AND(CROQUIS!$C$88=1,CROQUIS!$C$134&gt;0),((CROQUIS!$C$157+(IF(CROQUIS!$C$92="X",CHOOSE(IF(INT(($A307-1)/5)&gt;MAX((MIN(80,MAX(1,INT(((CROQUIS!$C$97)-CROQUIS!$C$107)/MAX(CROQUIS!$C$134,1))+1)))-1,0),0,MOD($A307-1,5))+1,0,2,CROQUIS!$C$98-2,2,0),((CROQUIS!$C$107/2+(((CROQUIS!$C$97)-CROQUIS!$C$107)-(MIN(80,MAX(1,INT(((CROQUIS!$C$97)-CROQUIS!$C$107)/MAX(CROQUIS!$C$134,1))+1))-1)*CROQUIS!$C$134)/2)+MIN(INT(($A307-1)/5),MAX((MIN(80,MAX(1,INT(((CROQUIS!$C$97)-CROQUIS!$C$107)/MAX(CROQUIS!$C$134,1))+1)))-1,0))*CROQUIS!$C$134)))*CROQUIS!$C$155)+IF(CROQUIS!$C$92="X",0,0)),-1000)</f>
        <v>-1000</v>
      </c>
      <c r="BL307">
        <f>IF(AND(CROQUIS!$C$88=1,CROQUIS!$C$91=0,CROQUIS!$C$130&gt;0,OR(CROQUIS!$C$103=1,CROQUIS!$C$142=1)),((CROQUIS!$C$156+(IF(CROQUIS!$C$92="X",CHOOSE(IF(INT(($A307-1)/5)&gt;MAX((MIN(80,MAX(1,INT(((CROQUIS!$C$98)-CROQUIS!$C$107)/MAX(CROQUIS!$C$130,1))+1)))-1,0),0,MOD($A307-1,5))+1,0,IF(CROQUIS!$C$103=1,-12,2),CROQUIS!$C$107/2+CROQUIS!$C$140,IF(CROQUIS!$C$103=1,-12,2),0),((CROQUIS!$C$107/2+(((CROQUIS!$C$98)-CROQUIS!$C$107)-(MIN(80,MAX(1,INT(((CROQUIS!$C$98)-CROQUIS!$C$107)/MAX(CROQUIS!$C$130,1))+1))-1)*CROQUIS!$C$130)/2)+MIN(INT(($A307-1)/5),MAX((MIN(80,MAX(1,INT(((CROQUIS!$C$98)-CROQUIS!$C$107)/MAX(CROQUIS!$C$130,1))+1)))-1,0))*CROQUIS!$C$130)))*CROQUIS!$C$155)+IF(CROQUIS!$C$92="X",0,0)),-1000)</f>
        <v>-1000</v>
      </c>
      <c r="BM30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307-1)/5),MAX((MIN(80,MAX(1,INT(((CROQUIS!$C$98)-CROQUIS!$C$107)/MAX(CROQUIS!$C$130,1))+1)))-1,0))*CROQUIS!$C$130),CHOOSE(IF(INT(($A307-1)/5)&gt;MAX((MIN(80,MAX(1,INT(((CROQUIS!$C$98)-CROQUIS!$C$107)/MAX(CROQUIS!$C$130,1))+1)))-1,0),0,MOD($A307-1,5))+1,0,IF(CROQUIS!$C$103=1,-12,2),CROQUIS!$C$107/2+CROQUIS!$C$140,IF(CROQUIS!$C$103=1,-12,2),0)))*CROQUIS!$C$155)+IF(CROQUIS!$C$92="X",0,0)),-1000)</f>
        <v>-1000</v>
      </c>
      <c r="BN307">
        <f>IF(AND(CROQUIS!$C$88=1,CROQUIS!$C$91=0,CROQUIS!$C$130&gt;0,OR(CROQUIS!$C$104=1,CROQUIS!$C$142=1)),((CROQUIS!$C$156+(IF(CROQUIS!$C$92="X",CHOOSE(IF(INT(($A307-1)/5)&gt;MAX((MIN(80,MAX(1,INT(((CROQUIS!$C$98)-CROQUIS!$C$107)/MAX(CROQUIS!$C$130,1))+1)))-1,0),0,MOD($A307-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307-1)/5),MAX((MIN(80,MAX(1,INT(((CROQUIS!$C$98)-CROQUIS!$C$107)/MAX(CROQUIS!$C$130,1))+1)))-1,0))*CROQUIS!$C$130)))*CROQUIS!$C$155)+IF(CROQUIS!$C$92="X",0,0)),-1000)</f>
        <v>-1000</v>
      </c>
      <c r="BO30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307-1)/5),MAX((MIN(80,MAX(1,INT(((CROQUIS!$C$98)-CROQUIS!$C$107)/MAX(CROQUIS!$C$130,1))+1)))-1,0))*CROQUIS!$C$130),CHOOSE(IF(INT(($A307-1)/5)&gt;MAX((MIN(80,MAX(1,INT(((CROQUIS!$C$98)-CROQUIS!$C$107)/MAX(CROQUIS!$C$130,1))+1)))-1,0),0,MOD($A307-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0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307-1)/5),MAX((MIN(80,MAX(1,INT(((CROQUIS!$C$97)-CROQUIS!$C$107)/MAX(CROQUIS!$C$138,1))+1)))-1,0))*CROQUIS!$C$138),CHOOSE(IF(INT(($A307-1)/5)&gt;MAX((MIN(80,MAX(1,INT(((CROQUIS!$C$97)-CROQUIS!$C$107)/MAX(CROQUIS!$C$138,1))+1)))-1,0),0,MOD($A307-1,5))+1,0,IF(CROQUIS!$C$105=1,-12,2),CROQUIS!$C$107/2+CROQUIS!$C$141,IF(CROQUIS!$C$105=1,-12,2),0)))*CROQUIS!$C$155)+IF(CROQUIS!$C$92="X",0,0)),-1000)</f>
        <v>-1000</v>
      </c>
      <c r="BQ307">
        <f>IF(AND(CROQUIS!$C$88=1,CROQUIS!$C$91=0,CROQUIS!$C$138&gt;0,OR(CROQUIS!$C$105=1,CROQUIS!$C$143=1)),((CROQUIS!$C$157+(IF(CROQUIS!$C$92="X",CHOOSE(IF(INT(($A307-1)/5)&gt;MAX((MIN(80,MAX(1,INT(((CROQUIS!$C$97)-CROQUIS!$C$107)/MAX(CROQUIS!$C$138,1))+1)))-1,0),0,MOD($A307-1,5))+1,0,IF(CROQUIS!$C$105=1,-12,2),CROQUIS!$C$107/2+CROQUIS!$C$141,IF(CROQUIS!$C$105=1,-12,2),0),((CROQUIS!$C$107/2+(((CROQUIS!$C$97)-CROQUIS!$C$107)-(MIN(80,MAX(1,INT(((CROQUIS!$C$97)-CROQUIS!$C$107)/MAX(CROQUIS!$C$138,1))+1))-1)*CROQUIS!$C$138)/2)+MIN(INT(($A307-1)/5),MAX((MIN(80,MAX(1,INT(((CROQUIS!$C$97)-CROQUIS!$C$107)/MAX(CROQUIS!$C$138,1))+1)))-1,0))*CROQUIS!$C$138)))*CROQUIS!$C$155)+IF(CROQUIS!$C$92="X",0,0)),-1000)</f>
        <v>-1000</v>
      </c>
      <c r="BR30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307-1)/5),MAX((MIN(80,MAX(1,INT(((CROQUIS!$C$97)-CROQUIS!$C$107)/MAX(CROQUIS!$C$138,1))+1)))-1,0))*CROQUIS!$C$138),CHOOSE(IF(INT(($A307-1)/5)&gt;MAX((MIN(80,MAX(1,INT(((CROQUIS!$C$97)-CROQUIS!$C$107)/MAX(CROQUIS!$C$138,1))+1)))-1,0),0,MOD($A307-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07">
        <f>IF(AND(CROQUIS!$C$88=1,CROQUIS!$C$91=0,CROQUIS!$C$138&gt;0,OR(CROQUIS!$C$106=1,CROQUIS!$C$143=1)),((CROQUIS!$C$157+(IF(CROQUIS!$C$92="X",CHOOSE(IF(INT(($A307-1)/5)&gt;MAX((MIN(80,MAX(1,INT(((CROQUIS!$C$97)-CROQUIS!$C$107)/MAX(CROQUIS!$C$138,1))+1)))-1,0),0,MOD($A307-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307-1)/5),MAX((MIN(80,MAX(1,INT(((CROQUIS!$C$97)-CROQUIS!$C$107)/MAX(CROQUIS!$C$138,1))+1)))-1,0))*CROQUIS!$C$138)))*CROQUIS!$C$155)+IF(CROQUIS!$C$92="X",0,0)),-1000)</f>
        <v>-1000</v>
      </c>
      <c r="BT307">
        <f>IF(AND(CROQUIS!$C$88=1,CROQUIS!$C$91=1,CROQUIS!$C$130&gt;0),((CROQUIS!$C$156+(IF(CROQUIS!$C$92="X",CHOOSE(IF(INT(($A307-1)/5)&gt;MAX((MIN(80,MAX(1,INT(((CROQUIS!$C$98)-CROQUIS!$C$107)/MAX(CROQUIS!$C$130,1))+1)))-1,0),0,MOD($A307-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307-1)/5),MAX((MIN(80,MAX(1,INT(((CROQUIS!$C$98)-CROQUIS!$C$107)/MAX(CROQUIS!$C$130,1))+1)))-1,0))*CROQUIS!$C$130)))*CROQUIS!$C$155)+IF(CROQUIS!$C$92="X",0,0)),-1000)</f>
        <v>-1000</v>
      </c>
      <c r="BU307">
        <f>IF(AND(CROQUIS!$C$88=1,CROQUIS!$C$91=1,CROQUIS!$C$130&gt;0),((CROQUIS!$C$157+(IF(CROQUIS!$C$92="X",((CROQUIS!$C$107/2+(((CROQUIS!$C$98)-CROQUIS!$C$107)-(MIN(80,MAX(1,INT(((CROQUIS!$C$98)-CROQUIS!$C$107)/MAX(CROQUIS!$C$130,1))+1))-1)*CROQUIS!$C$130)/2)+MIN(INT(($A307-1)/5),MAX((MIN(80,MAX(1,INT(((CROQUIS!$C$98)-CROQUIS!$C$107)/MAX(CROQUIS!$C$130,1))+1)))-1,0))*CROQUIS!$C$130),CHOOSE(IF(INT(($A307-1)/5)&gt;MAX((MIN(80,MAX(1,INT(((CROQUIS!$C$98)-CROQUIS!$C$107)/MAX(CROQUIS!$C$130,1))+1)))-1,0),0,MOD($A307-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08">
      <c r="A308" t="n">
        <v>301</v>
      </c>
      <c r="BH308">
        <f>IF(AND(CROQUIS!$C$88=1,CROQUIS!$C$126&gt;0),((CROQUIS!$C$156+(IF(CROQUIS!$C$92="X",CHOOSE(IF(INT(($A308-1)/5)&gt;MAX((MIN(80,MAX(1,INT(((CROQUIS!$C$98)-CROQUIS!$C$107)/MAX(CROQUIS!$C$126,1))+1)))-1,0),0,MOD($A308-1,5))+1,0,2,CROQUIS!$C$97-2,2,0),((CROQUIS!$C$107/2+(((CROQUIS!$C$98)-CROQUIS!$C$107)-(MIN(80,MAX(1,INT(((CROQUIS!$C$98)-CROQUIS!$C$107)/MAX(CROQUIS!$C$126,1))+1))-1)*CROQUIS!$C$126)/2)+MIN(INT(($A308-1)/5),MAX((MIN(80,MAX(1,INT(((CROQUIS!$C$98)-CROQUIS!$C$107)/MAX(CROQUIS!$C$126,1))+1)))-1,0))*CROQUIS!$C$126)))*CROQUIS!$C$155)+IF(CROQUIS!$C$92="X",0,0)),-1000)</f>
        <v>-1000</v>
      </c>
      <c r="BI308">
        <f>IF(AND(CROQUIS!$C$88=1,CROQUIS!$C$126&gt;0),((CROQUIS!$C$157+(IF(CROQUIS!$C$92="X",((CROQUIS!$C$107/2+(((CROQUIS!$C$98)-CROQUIS!$C$107)-(MIN(80,MAX(1,INT(((CROQUIS!$C$98)-CROQUIS!$C$107)/MAX(CROQUIS!$C$126,1))+1))-1)*CROQUIS!$C$126)/2)+MIN(INT(($A308-1)/5),MAX((MIN(80,MAX(1,INT(((CROQUIS!$C$98)-CROQUIS!$C$107)/MAX(CROQUIS!$C$126,1))+1)))-1,0))*CROQUIS!$C$126),CHOOSE(IF(INT(($A308-1)/5)&gt;MAX((MIN(80,MAX(1,INT(((CROQUIS!$C$98)-CROQUIS!$C$107)/MAX(CROQUIS!$C$126,1))+1)))-1,0),0,MOD($A308-1,5))+1,0,2,CROQUIS!$C$97-2,2,0)))*CROQUIS!$C$155)+IF(CROQUIS!$C$92="X",0,0)),-1000)</f>
        <v>-1000</v>
      </c>
      <c r="BJ308">
        <f>IF(AND(CROQUIS!$C$88=1,CROQUIS!$C$134&gt;0),((CROQUIS!$C$156+(IF(CROQUIS!$C$92="X",((CROQUIS!$C$107/2+(((CROQUIS!$C$97)-CROQUIS!$C$107)-(MIN(80,MAX(1,INT(((CROQUIS!$C$97)-CROQUIS!$C$107)/MAX(CROQUIS!$C$134,1))+1))-1)*CROQUIS!$C$134)/2)+MIN(INT(($A308-1)/5),MAX((MIN(80,MAX(1,INT(((CROQUIS!$C$97)-CROQUIS!$C$107)/MAX(CROQUIS!$C$134,1))+1)))-1,0))*CROQUIS!$C$134),CHOOSE(IF(INT(($A308-1)/5)&gt;MAX((MIN(80,MAX(1,INT(((CROQUIS!$C$97)-CROQUIS!$C$107)/MAX(CROQUIS!$C$134,1))+1)))-1,0),0,MOD($A308-1,5))+1,0,2,CROQUIS!$C$98-2,2,0)))*CROQUIS!$C$155)+IF(CROQUIS!$C$92="X",0,0)),-1000)</f>
        <v>-1000</v>
      </c>
      <c r="BK308">
        <f>IF(AND(CROQUIS!$C$88=1,CROQUIS!$C$134&gt;0),((CROQUIS!$C$157+(IF(CROQUIS!$C$92="X",CHOOSE(IF(INT(($A308-1)/5)&gt;MAX((MIN(80,MAX(1,INT(((CROQUIS!$C$97)-CROQUIS!$C$107)/MAX(CROQUIS!$C$134,1))+1)))-1,0),0,MOD($A308-1,5))+1,0,2,CROQUIS!$C$98-2,2,0),((CROQUIS!$C$107/2+(((CROQUIS!$C$97)-CROQUIS!$C$107)-(MIN(80,MAX(1,INT(((CROQUIS!$C$97)-CROQUIS!$C$107)/MAX(CROQUIS!$C$134,1))+1))-1)*CROQUIS!$C$134)/2)+MIN(INT(($A308-1)/5),MAX((MIN(80,MAX(1,INT(((CROQUIS!$C$97)-CROQUIS!$C$107)/MAX(CROQUIS!$C$134,1))+1)))-1,0))*CROQUIS!$C$134)))*CROQUIS!$C$155)+IF(CROQUIS!$C$92="X",0,0)),-1000)</f>
        <v>-1000</v>
      </c>
      <c r="BL308">
        <f>IF(AND(CROQUIS!$C$88=1,CROQUIS!$C$91=0,CROQUIS!$C$130&gt;0,OR(CROQUIS!$C$103=1,CROQUIS!$C$142=1)),((CROQUIS!$C$156+(IF(CROQUIS!$C$92="X",CHOOSE(IF(INT(($A308-1)/5)&gt;MAX((MIN(80,MAX(1,INT(((CROQUIS!$C$98)-CROQUIS!$C$107)/MAX(CROQUIS!$C$130,1))+1)))-1,0),0,MOD($A308-1,5))+1,0,IF(CROQUIS!$C$103=1,-12,2),CROQUIS!$C$107/2+CROQUIS!$C$140,IF(CROQUIS!$C$103=1,-12,2),0),((CROQUIS!$C$107/2+(((CROQUIS!$C$98)-CROQUIS!$C$107)-(MIN(80,MAX(1,INT(((CROQUIS!$C$98)-CROQUIS!$C$107)/MAX(CROQUIS!$C$130,1))+1))-1)*CROQUIS!$C$130)/2)+MIN(INT(($A308-1)/5),MAX((MIN(80,MAX(1,INT(((CROQUIS!$C$98)-CROQUIS!$C$107)/MAX(CROQUIS!$C$130,1))+1)))-1,0))*CROQUIS!$C$130)))*CROQUIS!$C$155)+IF(CROQUIS!$C$92="X",0,0)),-1000)</f>
        <v>-1000</v>
      </c>
      <c r="BM30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308-1)/5),MAX((MIN(80,MAX(1,INT(((CROQUIS!$C$98)-CROQUIS!$C$107)/MAX(CROQUIS!$C$130,1))+1)))-1,0))*CROQUIS!$C$130),CHOOSE(IF(INT(($A308-1)/5)&gt;MAX((MIN(80,MAX(1,INT(((CROQUIS!$C$98)-CROQUIS!$C$107)/MAX(CROQUIS!$C$130,1))+1)))-1,0),0,MOD($A308-1,5))+1,0,IF(CROQUIS!$C$103=1,-12,2),CROQUIS!$C$107/2+CROQUIS!$C$140,IF(CROQUIS!$C$103=1,-12,2),0)))*CROQUIS!$C$155)+IF(CROQUIS!$C$92="X",0,0)),-1000)</f>
        <v>-1000</v>
      </c>
      <c r="BN308">
        <f>IF(AND(CROQUIS!$C$88=1,CROQUIS!$C$91=0,CROQUIS!$C$130&gt;0,OR(CROQUIS!$C$104=1,CROQUIS!$C$142=1)),((CROQUIS!$C$156+(IF(CROQUIS!$C$92="X",CHOOSE(IF(INT(($A308-1)/5)&gt;MAX((MIN(80,MAX(1,INT(((CROQUIS!$C$98)-CROQUIS!$C$107)/MAX(CROQUIS!$C$130,1))+1)))-1,0),0,MOD($A308-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308-1)/5),MAX((MIN(80,MAX(1,INT(((CROQUIS!$C$98)-CROQUIS!$C$107)/MAX(CROQUIS!$C$130,1))+1)))-1,0))*CROQUIS!$C$130)))*CROQUIS!$C$155)+IF(CROQUIS!$C$92="X",0,0)),-1000)</f>
        <v>-1000</v>
      </c>
      <c r="BO30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308-1)/5),MAX((MIN(80,MAX(1,INT(((CROQUIS!$C$98)-CROQUIS!$C$107)/MAX(CROQUIS!$C$130,1))+1)))-1,0))*CROQUIS!$C$130),CHOOSE(IF(INT(($A308-1)/5)&gt;MAX((MIN(80,MAX(1,INT(((CROQUIS!$C$98)-CROQUIS!$C$107)/MAX(CROQUIS!$C$130,1))+1)))-1,0),0,MOD($A308-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0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308-1)/5),MAX((MIN(80,MAX(1,INT(((CROQUIS!$C$97)-CROQUIS!$C$107)/MAX(CROQUIS!$C$138,1))+1)))-1,0))*CROQUIS!$C$138),CHOOSE(IF(INT(($A308-1)/5)&gt;MAX((MIN(80,MAX(1,INT(((CROQUIS!$C$97)-CROQUIS!$C$107)/MAX(CROQUIS!$C$138,1))+1)))-1,0),0,MOD($A308-1,5))+1,0,IF(CROQUIS!$C$105=1,-12,2),CROQUIS!$C$107/2+CROQUIS!$C$141,IF(CROQUIS!$C$105=1,-12,2),0)))*CROQUIS!$C$155)+IF(CROQUIS!$C$92="X",0,0)),-1000)</f>
        <v>-1000</v>
      </c>
      <c r="BQ308">
        <f>IF(AND(CROQUIS!$C$88=1,CROQUIS!$C$91=0,CROQUIS!$C$138&gt;0,OR(CROQUIS!$C$105=1,CROQUIS!$C$143=1)),((CROQUIS!$C$157+(IF(CROQUIS!$C$92="X",CHOOSE(IF(INT(($A308-1)/5)&gt;MAX((MIN(80,MAX(1,INT(((CROQUIS!$C$97)-CROQUIS!$C$107)/MAX(CROQUIS!$C$138,1))+1)))-1,0),0,MOD($A308-1,5))+1,0,IF(CROQUIS!$C$105=1,-12,2),CROQUIS!$C$107/2+CROQUIS!$C$141,IF(CROQUIS!$C$105=1,-12,2),0),((CROQUIS!$C$107/2+(((CROQUIS!$C$97)-CROQUIS!$C$107)-(MIN(80,MAX(1,INT(((CROQUIS!$C$97)-CROQUIS!$C$107)/MAX(CROQUIS!$C$138,1))+1))-1)*CROQUIS!$C$138)/2)+MIN(INT(($A308-1)/5),MAX((MIN(80,MAX(1,INT(((CROQUIS!$C$97)-CROQUIS!$C$107)/MAX(CROQUIS!$C$138,1))+1)))-1,0))*CROQUIS!$C$138)))*CROQUIS!$C$155)+IF(CROQUIS!$C$92="X",0,0)),-1000)</f>
        <v>-1000</v>
      </c>
      <c r="BR30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308-1)/5),MAX((MIN(80,MAX(1,INT(((CROQUIS!$C$97)-CROQUIS!$C$107)/MAX(CROQUIS!$C$138,1))+1)))-1,0))*CROQUIS!$C$138),CHOOSE(IF(INT(($A308-1)/5)&gt;MAX((MIN(80,MAX(1,INT(((CROQUIS!$C$97)-CROQUIS!$C$107)/MAX(CROQUIS!$C$138,1))+1)))-1,0),0,MOD($A308-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08">
        <f>IF(AND(CROQUIS!$C$88=1,CROQUIS!$C$91=0,CROQUIS!$C$138&gt;0,OR(CROQUIS!$C$106=1,CROQUIS!$C$143=1)),((CROQUIS!$C$157+(IF(CROQUIS!$C$92="X",CHOOSE(IF(INT(($A308-1)/5)&gt;MAX((MIN(80,MAX(1,INT(((CROQUIS!$C$97)-CROQUIS!$C$107)/MAX(CROQUIS!$C$138,1))+1)))-1,0),0,MOD($A308-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308-1)/5),MAX((MIN(80,MAX(1,INT(((CROQUIS!$C$97)-CROQUIS!$C$107)/MAX(CROQUIS!$C$138,1))+1)))-1,0))*CROQUIS!$C$138)))*CROQUIS!$C$155)+IF(CROQUIS!$C$92="X",0,0)),-1000)</f>
        <v>-1000</v>
      </c>
      <c r="BT308">
        <f>IF(AND(CROQUIS!$C$88=1,CROQUIS!$C$91=1,CROQUIS!$C$130&gt;0),((CROQUIS!$C$156+(IF(CROQUIS!$C$92="X",CHOOSE(IF(INT(($A308-1)/5)&gt;MAX((MIN(80,MAX(1,INT(((CROQUIS!$C$98)-CROQUIS!$C$107)/MAX(CROQUIS!$C$130,1))+1)))-1,0),0,MOD($A308-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308-1)/5),MAX((MIN(80,MAX(1,INT(((CROQUIS!$C$98)-CROQUIS!$C$107)/MAX(CROQUIS!$C$130,1))+1)))-1,0))*CROQUIS!$C$130)))*CROQUIS!$C$155)+IF(CROQUIS!$C$92="X",0,0)),-1000)</f>
        <v>-1000</v>
      </c>
      <c r="BU308">
        <f>IF(AND(CROQUIS!$C$88=1,CROQUIS!$C$91=1,CROQUIS!$C$130&gt;0),((CROQUIS!$C$157+(IF(CROQUIS!$C$92="X",((CROQUIS!$C$107/2+(((CROQUIS!$C$98)-CROQUIS!$C$107)-(MIN(80,MAX(1,INT(((CROQUIS!$C$98)-CROQUIS!$C$107)/MAX(CROQUIS!$C$130,1))+1))-1)*CROQUIS!$C$130)/2)+MIN(INT(($A308-1)/5),MAX((MIN(80,MAX(1,INT(((CROQUIS!$C$98)-CROQUIS!$C$107)/MAX(CROQUIS!$C$130,1))+1)))-1,0))*CROQUIS!$C$130),CHOOSE(IF(INT(($A308-1)/5)&gt;MAX((MIN(80,MAX(1,INT(((CROQUIS!$C$98)-CROQUIS!$C$107)/MAX(CROQUIS!$C$130,1))+1)))-1,0),0,MOD($A308-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09">
      <c r="A309" t="n">
        <v>302</v>
      </c>
      <c r="BH309">
        <f>IF(AND(CROQUIS!$C$88=1,CROQUIS!$C$126&gt;0),((CROQUIS!$C$156+(IF(CROQUIS!$C$92="X",CHOOSE(IF(INT(($A309-1)/5)&gt;MAX((MIN(80,MAX(1,INT(((CROQUIS!$C$98)-CROQUIS!$C$107)/MAX(CROQUIS!$C$126,1))+1)))-1,0),0,MOD($A309-1,5))+1,0,2,CROQUIS!$C$97-2,2,0),((CROQUIS!$C$107/2+(((CROQUIS!$C$98)-CROQUIS!$C$107)-(MIN(80,MAX(1,INT(((CROQUIS!$C$98)-CROQUIS!$C$107)/MAX(CROQUIS!$C$126,1))+1))-1)*CROQUIS!$C$126)/2)+MIN(INT(($A309-1)/5),MAX((MIN(80,MAX(1,INT(((CROQUIS!$C$98)-CROQUIS!$C$107)/MAX(CROQUIS!$C$126,1))+1)))-1,0))*CROQUIS!$C$126)))*CROQUIS!$C$155)+IF(CROQUIS!$C$92="X",0,0)),-1000)</f>
        <v>-1000</v>
      </c>
      <c r="BI309">
        <f>IF(AND(CROQUIS!$C$88=1,CROQUIS!$C$126&gt;0),((CROQUIS!$C$157+(IF(CROQUIS!$C$92="X",((CROQUIS!$C$107/2+(((CROQUIS!$C$98)-CROQUIS!$C$107)-(MIN(80,MAX(1,INT(((CROQUIS!$C$98)-CROQUIS!$C$107)/MAX(CROQUIS!$C$126,1))+1))-1)*CROQUIS!$C$126)/2)+MIN(INT(($A309-1)/5),MAX((MIN(80,MAX(1,INT(((CROQUIS!$C$98)-CROQUIS!$C$107)/MAX(CROQUIS!$C$126,1))+1)))-1,0))*CROQUIS!$C$126),CHOOSE(IF(INT(($A309-1)/5)&gt;MAX((MIN(80,MAX(1,INT(((CROQUIS!$C$98)-CROQUIS!$C$107)/MAX(CROQUIS!$C$126,1))+1)))-1,0),0,MOD($A309-1,5))+1,0,2,CROQUIS!$C$97-2,2,0)))*CROQUIS!$C$155)+IF(CROQUIS!$C$92="X",0,0)),-1000)</f>
        <v>-1000</v>
      </c>
      <c r="BJ309">
        <f>IF(AND(CROQUIS!$C$88=1,CROQUIS!$C$134&gt;0),((CROQUIS!$C$156+(IF(CROQUIS!$C$92="X",((CROQUIS!$C$107/2+(((CROQUIS!$C$97)-CROQUIS!$C$107)-(MIN(80,MAX(1,INT(((CROQUIS!$C$97)-CROQUIS!$C$107)/MAX(CROQUIS!$C$134,1))+1))-1)*CROQUIS!$C$134)/2)+MIN(INT(($A309-1)/5),MAX((MIN(80,MAX(1,INT(((CROQUIS!$C$97)-CROQUIS!$C$107)/MAX(CROQUIS!$C$134,1))+1)))-1,0))*CROQUIS!$C$134),CHOOSE(IF(INT(($A309-1)/5)&gt;MAX((MIN(80,MAX(1,INT(((CROQUIS!$C$97)-CROQUIS!$C$107)/MAX(CROQUIS!$C$134,1))+1)))-1,0),0,MOD($A309-1,5))+1,0,2,CROQUIS!$C$98-2,2,0)))*CROQUIS!$C$155)+IF(CROQUIS!$C$92="X",0,0)),-1000)</f>
        <v>-1000</v>
      </c>
      <c r="BK309">
        <f>IF(AND(CROQUIS!$C$88=1,CROQUIS!$C$134&gt;0),((CROQUIS!$C$157+(IF(CROQUIS!$C$92="X",CHOOSE(IF(INT(($A309-1)/5)&gt;MAX((MIN(80,MAX(1,INT(((CROQUIS!$C$97)-CROQUIS!$C$107)/MAX(CROQUIS!$C$134,1))+1)))-1,0),0,MOD($A309-1,5))+1,0,2,CROQUIS!$C$98-2,2,0),((CROQUIS!$C$107/2+(((CROQUIS!$C$97)-CROQUIS!$C$107)-(MIN(80,MAX(1,INT(((CROQUIS!$C$97)-CROQUIS!$C$107)/MAX(CROQUIS!$C$134,1))+1))-1)*CROQUIS!$C$134)/2)+MIN(INT(($A309-1)/5),MAX((MIN(80,MAX(1,INT(((CROQUIS!$C$97)-CROQUIS!$C$107)/MAX(CROQUIS!$C$134,1))+1)))-1,0))*CROQUIS!$C$134)))*CROQUIS!$C$155)+IF(CROQUIS!$C$92="X",0,0)),-1000)</f>
        <v>-1000</v>
      </c>
      <c r="BL309">
        <f>IF(AND(CROQUIS!$C$88=1,CROQUIS!$C$91=0,CROQUIS!$C$130&gt;0,OR(CROQUIS!$C$103=1,CROQUIS!$C$142=1)),((CROQUIS!$C$156+(IF(CROQUIS!$C$92="X",CHOOSE(IF(INT(($A309-1)/5)&gt;MAX((MIN(80,MAX(1,INT(((CROQUIS!$C$98)-CROQUIS!$C$107)/MAX(CROQUIS!$C$130,1))+1)))-1,0),0,MOD($A309-1,5))+1,0,IF(CROQUIS!$C$103=1,-12,2),CROQUIS!$C$107/2+CROQUIS!$C$140,IF(CROQUIS!$C$103=1,-12,2),0),((CROQUIS!$C$107/2+(((CROQUIS!$C$98)-CROQUIS!$C$107)-(MIN(80,MAX(1,INT(((CROQUIS!$C$98)-CROQUIS!$C$107)/MAX(CROQUIS!$C$130,1))+1))-1)*CROQUIS!$C$130)/2)+MIN(INT(($A309-1)/5),MAX((MIN(80,MAX(1,INT(((CROQUIS!$C$98)-CROQUIS!$C$107)/MAX(CROQUIS!$C$130,1))+1)))-1,0))*CROQUIS!$C$130)))*CROQUIS!$C$155)+IF(CROQUIS!$C$92="X",0,0)),-1000)</f>
        <v>-1000</v>
      </c>
      <c r="BM30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309-1)/5),MAX((MIN(80,MAX(1,INT(((CROQUIS!$C$98)-CROQUIS!$C$107)/MAX(CROQUIS!$C$130,1))+1)))-1,0))*CROQUIS!$C$130),CHOOSE(IF(INT(($A309-1)/5)&gt;MAX((MIN(80,MAX(1,INT(((CROQUIS!$C$98)-CROQUIS!$C$107)/MAX(CROQUIS!$C$130,1))+1)))-1,0),0,MOD($A309-1,5))+1,0,IF(CROQUIS!$C$103=1,-12,2),CROQUIS!$C$107/2+CROQUIS!$C$140,IF(CROQUIS!$C$103=1,-12,2),0)))*CROQUIS!$C$155)+IF(CROQUIS!$C$92="X",0,0)),-1000)</f>
        <v>-1000</v>
      </c>
      <c r="BN309">
        <f>IF(AND(CROQUIS!$C$88=1,CROQUIS!$C$91=0,CROQUIS!$C$130&gt;0,OR(CROQUIS!$C$104=1,CROQUIS!$C$142=1)),((CROQUIS!$C$156+(IF(CROQUIS!$C$92="X",CHOOSE(IF(INT(($A309-1)/5)&gt;MAX((MIN(80,MAX(1,INT(((CROQUIS!$C$98)-CROQUIS!$C$107)/MAX(CROQUIS!$C$130,1))+1)))-1,0),0,MOD($A309-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309-1)/5),MAX((MIN(80,MAX(1,INT(((CROQUIS!$C$98)-CROQUIS!$C$107)/MAX(CROQUIS!$C$130,1))+1)))-1,0))*CROQUIS!$C$130)))*CROQUIS!$C$155)+IF(CROQUIS!$C$92="X",0,0)),-1000)</f>
        <v>-1000</v>
      </c>
      <c r="BO30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309-1)/5),MAX((MIN(80,MAX(1,INT(((CROQUIS!$C$98)-CROQUIS!$C$107)/MAX(CROQUIS!$C$130,1))+1)))-1,0))*CROQUIS!$C$130),CHOOSE(IF(INT(($A309-1)/5)&gt;MAX((MIN(80,MAX(1,INT(((CROQUIS!$C$98)-CROQUIS!$C$107)/MAX(CROQUIS!$C$130,1))+1)))-1,0),0,MOD($A309-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0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309-1)/5),MAX((MIN(80,MAX(1,INT(((CROQUIS!$C$97)-CROQUIS!$C$107)/MAX(CROQUIS!$C$138,1))+1)))-1,0))*CROQUIS!$C$138),CHOOSE(IF(INT(($A309-1)/5)&gt;MAX((MIN(80,MAX(1,INT(((CROQUIS!$C$97)-CROQUIS!$C$107)/MAX(CROQUIS!$C$138,1))+1)))-1,0),0,MOD($A309-1,5))+1,0,IF(CROQUIS!$C$105=1,-12,2),CROQUIS!$C$107/2+CROQUIS!$C$141,IF(CROQUIS!$C$105=1,-12,2),0)))*CROQUIS!$C$155)+IF(CROQUIS!$C$92="X",0,0)),-1000)</f>
        <v>-1000</v>
      </c>
      <c r="BQ309">
        <f>IF(AND(CROQUIS!$C$88=1,CROQUIS!$C$91=0,CROQUIS!$C$138&gt;0,OR(CROQUIS!$C$105=1,CROQUIS!$C$143=1)),((CROQUIS!$C$157+(IF(CROQUIS!$C$92="X",CHOOSE(IF(INT(($A309-1)/5)&gt;MAX((MIN(80,MAX(1,INT(((CROQUIS!$C$97)-CROQUIS!$C$107)/MAX(CROQUIS!$C$138,1))+1)))-1,0),0,MOD($A309-1,5))+1,0,IF(CROQUIS!$C$105=1,-12,2),CROQUIS!$C$107/2+CROQUIS!$C$141,IF(CROQUIS!$C$105=1,-12,2),0),((CROQUIS!$C$107/2+(((CROQUIS!$C$97)-CROQUIS!$C$107)-(MIN(80,MAX(1,INT(((CROQUIS!$C$97)-CROQUIS!$C$107)/MAX(CROQUIS!$C$138,1))+1))-1)*CROQUIS!$C$138)/2)+MIN(INT(($A309-1)/5),MAX((MIN(80,MAX(1,INT(((CROQUIS!$C$97)-CROQUIS!$C$107)/MAX(CROQUIS!$C$138,1))+1)))-1,0))*CROQUIS!$C$138)))*CROQUIS!$C$155)+IF(CROQUIS!$C$92="X",0,0)),-1000)</f>
        <v>-1000</v>
      </c>
      <c r="BR30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309-1)/5),MAX((MIN(80,MAX(1,INT(((CROQUIS!$C$97)-CROQUIS!$C$107)/MAX(CROQUIS!$C$138,1))+1)))-1,0))*CROQUIS!$C$138),CHOOSE(IF(INT(($A309-1)/5)&gt;MAX((MIN(80,MAX(1,INT(((CROQUIS!$C$97)-CROQUIS!$C$107)/MAX(CROQUIS!$C$138,1))+1)))-1,0),0,MOD($A309-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09">
        <f>IF(AND(CROQUIS!$C$88=1,CROQUIS!$C$91=0,CROQUIS!$C$138&gt;0,OR(CROQUIS!$C$106=1,CROQUIS!$C$143=1)),((CROQUIS!$C$157+(IF(CROQUIS!$C$92="X",CHOOSE(IF(INT(($A309-1)/5)&gt;MAX((MIN(80,MAX(1,INT(((CROQUIS!$C$97)-CROQUIS!$C$107)/MAX(CROQUIS!$C$138,1))+1)))-1,0),0,MOD($A309-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309-1)/5),MAX((MIN(80,MAX(1,INT(((CROQUIS!$C$97)-CROQUIS!$C$107)/MAX(CROQUIS!$C$138,1))+1)))-1,0))*CROQUIS!$C$138)))*CROQUIS!$C$155)+IF(CROQUIS!$C$92="X",0,0)),-1000)</f>
        <v>-1000</v>
      </c>
      <c r="BT309">
        <f>IF(AND(CROQUIS!$C$88=1,CROQUIS!$C$91=1,CROQUIS!$C$130&gt;0),((CROQUIS!$C$156+(IF(CROQUIS!$C$92="X",CHOOSE(IF(INT(($A309-1)/5)&gt;MAX((MIN(80,MAX(1,INT(((CROQUIS!$C$98)-CROQUIS!$C$107)/MAX(CROQUIS!$C$130,1))+1)))-1,0),0,MOD($A309-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309-1)/5),MAX((MIN(80,MAX(1,INT(((CROQUIS!$C$98)-CROQUIS!$C$107)/MAX(CROQUIS!$C$130,1))+1)))-1,0))*CROQUIS!$C$130)))*CROQUIS!$C$155)+IF(CROQUIS!$C$92="X",0,0)),-1000)</f>
        <v>-1000</v>
      </c>
      <c r="BU309">
        <f>IF(AND(CROQUIS!$C$88=1,CROQUIS!$C$91=1,CROQUIS!$C$130&gt;0),((CROQUIS!$C$157+(IF(CROQUIS!$C$92="X",((CROQUIS!$C$107/2+(((CROQUIS!$C$98)-CROQUIS!$C$107)-(MIN(80,MAX(1,INT(((CROQUIS!$C$98)-CROQUIS!$C$107)/MAX(CROQUIS!$C$130,1))+1))-1)*CROQUIS!$C$130)/2)+MIN(INT(($A309-1)/5),MAX((MIN(80,MAX(1,INT(((CROQUIS!$C$98)-CROQUIS!$C$107)/MAX(CROQUIS!$C$130,1))+1)))-1,0))*CROQUIS!$C$130),CHOOSE(IF(INT(($A309-1)/5)&gt;MAX((MIN(80,MAX(1,INT(((CROQUIS!$C$98)-CROQUIS!$C$107)/MAX(CROQUIS!$C$130,1))+1)))-1,0),0,MOD($A309-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10">
      <c r="A310" t="n">
        <v>303</v>
      </c>
      <c r="BH310">
        <f>IF(AND(CROQUIS!$C$88=1,CROQUIS!$C$126&gt;0),((CROQUIS!$C$156+(IF(CROQUIS!$C$92="X",CHOOSE(IF(INT(($A310-1)/5)&gt;MAX((MIN(80,MAX(1,INT(((CROQUIS!$C$98)-CROQUIS!$C$107)/MAX(CROQUIS!$C$126,1))+1)))-1,0),0,MOD($A310-1,5))+1,0,2,CROQUIS!$C$97-2,2,0),((CROQUIS!$C$107/2+(((CROQUIS!$C$98)-CROQUIS!$C$107)-(MIN(80,MAX(1,INT(((CROQUIS!$C$98)-CROQUIS!$C$107)/MAX(CROQUIS!$C$126,1))+1))-1)*CROQUIS!$C$126)/2)+MIN(INT(($A310-1)/5),MAX((MIN(80,MAX(1,INT(((CROQUIS!$C$98)-CROQUIS!$C$107)/MAX(CROQUIS!$C$126,1))+1)))-1,0))*CROQUIS!$C$126)))*CROQUIS!$C$155)+IF(CROQUIS!$C$92="X",0,0)),-1000)</f>
        <v>-1000</v>
      </c>
      <c r="BI310">
        <f>IF(AND(CROQUIS!$C$88=1,CROQUIS!$C$126&gt;0),((CROQUIS!$C$157+(IF(CROQUIS!$C$92="X",((CROQUIS!$C$107/2+(((CROQUIS!$C$98)-CROQUIS!$C$107)-(MIN(80,MAX(1,INT(((CROQUIS!$C$98)-CROQUIS!$C$107)/MAX(CROQUIS!$C$126,1))+1))-1)*CROQUIS!$C$126)/2)+MIN(INT(($A310-1)/5),MAX((MIN(80,MAX(1,INT(((CROQUIS!$C$98)-CROQUIS!$C$107)/MAX(CROQUIS!$C$126,1))+1)))-1,0))*CROQUIS!$C$126),CHOOSE(IF(INT(($A310-1)/5)&gt;MAX((MIN(80,MAX(1,INT(((CROQUIS!$C$98)-CROQUIS!$C$107)/MAX(CROQUIS!$C$126,1))+1)))-1,0),0,MOD($A310-1,5))+1,0,2,CROQUIS!$C$97-2,2,0)))*CROQUIS!$C$155)+IF(CROQUIS!$C$92="X",0,0)),-1000)</f>
        <v>-1000</v>
      </c>
      <c r="BJ310">
        <f>IF(AND(CROQUIS!$C$88=1,CROQUIS!$C$134&gt;0),((CROQUIS!$C$156+(IF(CROQUIS!$C$92="X",((CROQUIS!$C$107/2+(((CROQUIS!$C$97)-CROQUIS!$C$107)-(MIN(80,MAX(1,INT(((CROQUIS!$C$97)-CROQUIS!$C$107)/MAX(CROQUIS!$C$134,1))+1))-1)*CROQUIS!$C$134)/2)+MIN(INT(($A310-1)/5),MAX((MIN(80,MAX(1,INT(((CROQUIS!$C$97)-CROQUIS!$C$107)/MAX(CROQUIS!$C$134,1))+1)))-1,0))*CROQUIS!$C$134),CHOOSE(IF(INT(($A310-1)/5)&gt;MAX((MIN(80,MAX(1,INT(((CROQUIS!$C$97)-CROQUIS!$C$107)/MAX(CROQUIS!$C$134,1))+1)))-1,0),0,MOD($A310-1,5))+1,0,2,CROQUIS!$C$98-2,2,0)))*CROQUIS!$C$155)+IF(CROQUIS!$C$92="X",0,0)),-1000)</f>
        <v>-1000</v>
      </c>
      <c r="BK310">
        <f>IF(AND(CROQUIS!$C$88=1,CROQUIS!$C$134&gt;0),((CROQUIS!$C$157+(IF(CROQUIS!$C$92="X",CHOOSE(IF(INT(($A310-1)/5)&gt;MAX((MIN(80,MAX(1,INT(((CROQUIS!$C$97)-CROQUIS!$C$107)/MAX(CROQUIS!$C$134,1))+1)))-1,0),0,MOD($A310-1,5))+1,0,2,CROQUIS!$C$98-2,2,0),((CROQUIS!$C$107/2+(((CROQUIS!$C$97)-CROQUIS!$C$107)-(MIN(80,MAX(1,INT(((CROQUIS!$C$97)-CROQUIS!$C$107)/MAX(CROQUIS!$C$134,1))+1))-1)*CROQUIS!$C$134)/2)+MIN(INT(($A310-1)/5),MAX((MIN(80,MAX(1,INT(((CROQUIS!$C$97)-CROQUIS!$C$107)/MAX(CROQUIS!$C$134,1))+1)))-1,0))*CROQUIS!$C$134)))*CROQUIS!$C$155)+IF(CROQUIS!$C$92="X",0,0)),-1000)</f>
        <v>-1000</v>
      </c>
      <c r="BL310">
        <f>IF(AND(CROQUIS!$C$88=1,CROQUIS!$C$91=0,CROQUIS!$C$130&gt;0,OR(CROQUIS!$C$103=1,CROQUIS!$C$142=1)),((CROQUIS!$C$156+(IF(CROQUIS!$C$92="X",CHOOSE(IF(INT(($A310-1)/5)&gt;MAX((MIN(80,MAX(1,INT(((CROQUIS!$C$98)-CROQUIS!$C$107)/MAX(CROQUIS!$C$130,1))+1)))-1,0),0,MOD($A310-1,5))+1,0,IF(CROQUIS!$C$103=1,-12,2),CROQUIS!$C$107/2+CROQUIS!$C$140,IF(CROQUIS!$C$103=1,-12,2),0),((CROQUIS!$C$107/2+(((CROQUIS!$C$98)-CROQUIS!$C$107)-(MIN(80,MAX(1,INT(((CROQUIS!$C$98)-CROQUIS!$C$107)/MAX(CROQUIS!$C$130,1))+1))-1)*CROQUIS!$C$130)/2)+MIN(INT(($A310-1)/5),MAX((MIN(80,MAX(1,INT(((CROQUIS!$C$98)-CROQUIS!$C$107)/MAX(CROQUIS!$C$130,1))+1)))-1,0))*CROQUIS!$C$130)))*CROQUIS!$C$155)+IF(CROQUIS!$C$92="X",0,0)),-1000)</f>
        <v>-1000</v>
      </c>
      <c r="BM31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310-1)/5),MAX((MIN(80,MAX(1,INT(((CROQUIS!$C$98)-CROQUIS!$C$107)/MAX(CROQUIS!$C$130,1))+1)))-1,0))*CROQUIS!$C$130),CHOOSE(IF(INT(($A310-1)/5)&gt;MAX((MIN(80,MAX(1,INT(((CROQUIS!$C$98)-CROQUIS!$C$107)/MAX(CROQUIS!$C$130,1))+1)))-1,0),0,MOD($A310-1,5))+1,0,IF(CROQUIS!$C$103=1,-12,2),CROQUIS!$C$107/2+CROQUIS!$C$140,IF(CROQUIS!$C$103=1,-12,2),0)))*CROQUIS!$C$155)+IF(CROQUIS!$C$92="X",0,0)),-1000)</f>
        <v>-1000</v>
      </c>
      <c r="BN310">
        <f>IF(AND(CROQUIS!$C$88=1,CROQUIS!$C$91=0,CROQUIS!$C$130&gt;0,OR(CROQUIS!$C$104=1,CROQUIS!$C$142=1)),((CROQUIS!$C$156+(IF(CROQUIS!$C$92="X",CHOOSE(IF(INT(($A310-1)/5)&gt;MAX((MIN(80,MAX(1,INT(((CROQUIS!$C$98)-CROQUIS!$C$107)/MAX(CROQUIS!$C$130,1))+1)))-1,0),0,MOD($A310-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310-1)/5),MAX((MIN(80,MAX(1,INT(((CROQUIS!$C$98)-CROQUIS!$C$107)/MAX(CROQUIS!$C$130,1))+1)))-1,0))*CROQUIS!$C$130)))*CROQUIS!$C$155)+IF(CROQUIS!$C$92="X",0,0)),-1000)</f>
        <v>-1000</v>
      </c>
      <c r="BO31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310-1)/5),MAX((MIN(80,MAX(1,INT(((CROQUIS!$C$98)-CROQUIS!$C$107)/MAX(CROQUIS!$C$130,1))+1)))-1,0))*CROQUIS!$C$130),CHOOSE(IF(INT(($A310-1)/5)&gt;MAX((MIN(80,MAX(1,INT(((CROQUIS!$C$98)-CROQUIS!$C$107)/MAX(CROQUIS!$C$130,1))+1)))-1,0),0,MOD($A310-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1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310-1)/5),MAX((MIN(80,MAX(1,INT(((CROQUIS!$C$97)-CROQUIS!$C$107)/MAX(CROQUIS!$C$138,1))+1)))-1,0))*CROQUIS!$C$138),CHOOSE(IF(INT(($A310-1)/5)&gt;MAX((MIN(80,MAX(1,INT(((CROQUIS!$C$97)-CROQUIS!$C$107)/MAX(CROQUIS!$C$138,1))+1)))-1,0),0,MOD($A310-1,5))+1,0,IF(CROQUIS!$C$105=1,-12,2),CROQUIS!$C$107/2+CROQUIS!$C$141,IF(CROQUIS!$C$105=1,-12,2),0)))*CROQUIS!$C$155)+IF(CROQUIS!$C$92="X",0,0)),-1000)</f>
        <v>-1000</v>
      </c>
      <c r="BQ310">
        <f>IF(AND(CROQUIS!$C$88=1,CROQUIS!$C$91=0,CROQUIS!$C$138&gt;0,OR(CROQUIS!$C$105=1,CROQUIS!$C$143=1)),((CROQUIS!$C$157+(IF(CROQUIS!$C$92="X",CHOOSE(IF(INT(($A310-1)/5)&gt;MAX((MIN(80,MAX(1,INT(((CROQUIS!$C$97)-CROQUIS!$C$107)/MAX(CROQUIS!$C$138,1))+1)))-1,0),0,MOD($A310-1,5))+1,0,IF(CROQUIS!$C$105=1,-12,2),CROQUIS!$C$107/2+CROQUIS!$C$141,IF(CROQUIS!$C$105=1,-12,2),0),((CROQUIS!$C$107/2+(((CROQUIS!$C$97)-CROQUIS!$C$107)-(MIN(80,MAX(1,INT(((CROQUIS!$C$97)-CROQUIS!$C$107)/MAX(CROQUIS!$C$138,1))+1))-1)*CROQUIS!$C$138)/2)+MIN(INT(($A310-1)/5),MAX((MIN(80,MAX(1,INT(((CROQUIS!$C$97)-CROQUIS!$C$107)/MAX(CROQUIS!$C$138,1))+1)))-1,0))*CROQUIS!$C$138)))*CROQUIS!$C$155)+IF(CROQUIS!$C$92="X",0,0)),-1000)</f>
        <v>-1000</v>
      </c>
      <c r="BR31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310-1)/5),MAX((MIN(80,MAX(1,INT(((CROQUIS!$C$97)-CROQUIS!$C$107)/MAX(CROQUIS!$C$138,1))+1)))-1,0))*CROQUIS!$C$138),CHOOSE(IF(INT(($A310-1)/5)&gt;MAX((MIN(80,MAX(1,INT(((CROQUIS!$C$97)-CROQUIS!$C$107)/MAX(CROQUIS!$C$138,1))+1)))-1,0),0,MOD($A310-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10">
        <f>IF(AND(CROQUIS!$C$88=1,CROQUIS!$C$91=0,CROQUIS!$C$138&gt;0,OR(CROQUIS!$C$106=1,CROQUIS!$C$143=1)),((CROQUIS!$C$157+(IF(CROQUIS!$C$92="X",CHOOSE(IF(INT(($A310-1)/5)&gt;MAX((MIN(80,MAX(1,INT(((CROQUIS!$C$97)-CROQUIS!$C$107)/MAX(CROQUIS!$C$138,1))+1)))-1,0),0,MOD($A310-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310-1)/5),MAX((MIN(80,MAX(1,INT(((CROQUIS!$C$97)-CROQUIS!$C$107)/MAX(CROQUIS!$C$138,1))+1)))-1,0))*CROQUIS!$C$138)))*CROQUIS!$C$155)+IF(CROQUIS!$C$92="X",0,0)),-1000)</f>
        <v>-1000</v>
      </c>
      <c r="BT310">
        <f>IF(AND(CROQUIS!$C$88=1,CROQUIS!$C$91=1,CROQUIS!$C$130&gt;0),((CROQUIS!$C$156+(IF(CROQUIS!$C$92="X",CHOOSE(IF(INT(($A310-1)/5)&gt;MAX((MIN(80,MAX(1,INT(((CROQUIS!$C$98)-CROQUIS!$C$107)/MAX(CROQUIS!$C$130,1))+1)))-1,0),0,MOD($A310-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310-1)/5),MAX((MIN(80,MAX(1,INT(((CROQUIS!$C$98)-CROQUIS!$C$107)/MAX(CROQUIS!$C$130,1))+1)))-1,0))*CROQUIS!$C$130)))*CROQUIS!$C$155)+IF(CROQUIS!$C$92="X",0,0)),-1000)</f>
        <v>-1000</v>
      </c>
      <c r="BU310">
        <f>IF(AND(CROQUIS!$C$88=1,CROQUIS!$C$91=1,CROQUIS!$C$130&gt;0),((CROQUIS!$C$157+(IF(CROQUIS!$C$92="X",((CROQUIS!$C$107/2+(((CROQUIS!$C$98)-CROQUIS!$C$107)-(MIN(80,MAX(1,INT(((CROQUIS!$C$98)-CROQUIS!$C$107)/MAX(CROQUIS!$C$130,1))+1))-1)*CROQUIS!$C$130)/2)+MIN(INT(($A310-1)/5),MAX((MIN(80,MAX(1,INT(((CROQUIS!$C$98)-CROQUIS!$C$107)/MAX(CROQUIS!$C$130,1))+1)))-1,0))*CROQUIS!$C$130),CHOOSE(IF(INT(($A310-1)/5)&gt;MAX((MIN(80,MAX(1,INT(((CROQUIS!$C$98)-CROQUIS!$C$107)/MAX(CROQUIS!$C$130,1))+1)))-1,0),0,MOD($A310-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11">
      <c r="A311" t="n">
        <v>304</v>
      </c>
      <c r="BH311">
        <f>IF(AND(CROQUIS!$C$88=1,CROQUIS!$C$126&gt;0),((CROQUIS!$C$156+(IF(CROQUIS!$C$92="X",CHOOSE(IF(INT(($A311-1)/5)&gt;MAX((MIN(80,MAX(1,INT(((CROQUIS!$C$98)-CROQUIS!$C$107)/MAX(CROQUIS!$C$126,1))+1)))-1,0),0,MOD($A311-1,5))+1,0,2,CROQUIS!$C$97-2,2,0),((CROQUIS!$C$107/2+(((CROQUIS!$C$98)-CROQUIS!$C$107)-(MIN(80,MAX(1,INT(((CROQUIS!$C$98)-CROQUIS!$C$107)/MAX(CROQUIS!$C$126,1))+1))-1)*CROQUIS!$C$126)/2)+MIN(INT(($A311-1)/5),MAX((MIN(80,MAX(1,INT(((CROQUIS!$C$98)-CROQUIS!$C$107)/MAX(CROQUIS!$C$126,1))+1)))-1,0))*CROQUIS!$C$126)))*CROQUIS!$C$155)+IF(CROQUIS!$C$92="X",0,0)),-1000)</f>
        <v>-1000</v>
      </c>
      <c r="BI311">
        <f>IF(AND(CROQUIS!$C$88=1,CROQUIS!$C$126&gt;0),((CROQUIS!$C$157+(IF(CROQUIS!$C$92="X",((CROQUIS!$C$107/2+(((CROQUIS!$C$98)-CROQUIS!$C$107)-(MIN(80,MAX(1,INT(((CROQUIS!$C$98)-CROQUIS!$C$107)/MAX(CROQUIS!$C$126,1))+1))-1)*CROQUIS!$C$126)/2)+MIN(INT(($A311-1)/5),MAX((MIN(80,MAX(1,INT(((CROQUIS!$C$98)-CROQUIS!$C$107)/MAX(CROQUIS!$C$126,1))+1)))-1,0))*CROQUIS!$C$126),CHOOSE(IF(INT(($A311-1)/5)&gt;MAX((MIN(80,MAX(1,INT(((CROQUIS!$C$98)-CROQUIS!$C$107)/MAX(CROQUIS!$C$126,1))+1)))-1,0),0,MOD($A311-1,5))+1,0,2,CROQUIS!$C$97-2,2,0)))*CROQUIS!$C$155)+IF(CROQUIS!$C$92="X",0,0)),-1000)</f>
        <v>-1000</v>
      </c>
      <c r="BJ311">
        <f>IF(AND(CROQUIS!$C$88=1,CROQUIS!$C$134&gt;0),((CROQUIS!$C$156+(IF(CROQUIS!$C$92="X",((CROQUIS!$C$107/2+(((CROQUIS!$C$97)-CROQUIS!$C$107)-(MIN(80,MAX(1,INT(((CROQUIS!$C$97)-CROQUIS!$C$107)/MAX(CROQUIS!$C$134,1))+1))-1)*CROQUIS!$C$134)/2)+MIN(INT(($A311-1)/5),MAX((MIN(80,MAX(1,INT(((CROQUIS!$C$97)-CROQUIS!$C$107)/MAX(CROQUIS!$C$134,1))+1)))-1,0))*CROQUIS!$C$134),CHOOSE(IF(INT(($A311-1)/5)&gt;MAX((MIN(80,MAX(1,INT(((CROQUIS!$C$97)-CROQUIS!$C$107)/MAX(CROQUIS!$C$134,1))+1)))-1,0),0,MOD($A311-1,5))+1,0,2,CROQUIS!$C$98-2,2,0)))*CROQUIS!$C$155)+IF(CROQUIS!$C$92="X",0,0)),-1000)</f>
        <v>-1000</v>
      </c>
      <c r="BK311">
        <f>IF(AND(CROQUIS!$C$88=1,CROQUIS!$C$134&gt;0),((CROQUIS!$C$157+(IF(CROQUIS!$C$92="X",CHOOSE(IF(INT(($A311-1)/5)&gt;MAX((MIN(80,MAX(1,INT(((CROQUIS!$C$97)-CROQUIS!$C$107)/MAX(CROQUIS!$C$134,1))+1)))-1,0),0,MOD($A311-1,5))+1,0,2,CROQUIS!$C$98-2,2,0),((CROQUIS!$C$107/2+(((CROQUIS!$C$97)-CROQUIS!$C$107)-(MIN(80,MAX(1,INT(((CROQUIS!$C$97)-CROQUIS!$C$107)/MAX(CROQUIS!$C$134,1))+1))-1)*CROQUIS!$C$134)/2)+MIN(INT(($A311-1)/5),MAX((MIN(80,MAX(1,INT(((CROQUIS!$C$97)-CROQUIS!$C$107)/MAX(CROQUIS!$C$134,1))+1)))-1,0))*CROQUIS!$C$134)))*CROQUIS!$C$155)+IF(CROQUIS!$C$92="X",0,0)),-1000)</f>
        <v>-1000</v>
      </c>
      <c r="BL311">
        <f>IF(AND(CROQUIS!$C$88=1,CROQUIS!$C$91=0,CROQUIS!$C$130&gt;0,OR(CROQUIS!$C$103=1,CROQUIS!$C$142=1)),((CROQUIS!$C$156+(IF(CROQUIS!$C$92="X",CHOOSE(IF(INT(($A311-1)/5)&gt;MAX((MIN(80,MAX(1,INT(((CROQUIS!$C$98)-CROQUIS!$C$107)/MAX(CROQUIS!$C$130,1))+1)))-1,0),0,MOD($A311-1,5))+1,0,IF(CROQUIS!$C$103=1,-12,2),CROQUIS!$C$107/2+CROQUIS!$C$140,IF(CROQUIS!$C$103=1,-12,2),0),((CROQUIS!$C$107/2+(((CROQUIS!$C$98)-CROQUIS!$C$107)-(MIN(80,MAX(1,INT(((CROQUIS!$C$98)-CROQUIS!$C$107)/MAX(CROQUIS!$C$130,1))+1))-1)*CROQUIS!$C$130)/2)+MIN(INT(($A311-1)/5),MAX((MIN(80,MAX(1,INT(((CROQUIS!$C$98)-CROQUIS!$C$107)/MAX(CROQUIS!$C$130,1))+1)))-1,0))*CROQUIS!$C$130)))*CROQUIS!$C$155)+IF(CROQUIS!$C$92="X",0,0)),-1000)</f>
        <v>-1000</v>
      </c>
      <c r="BM31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311-1)/5),MAX((MIN(80,MAX(1,INT(((CROQUIS!$C$98)-CROQUIS!$C$107)/MAX(CROQUIS!$C$130,1))+1)))-1,0))*CROQUIS!$C$130),CHOOSE(IF(INT(($A311-1)/5)&gt;MAX((MIN(80,MAX(1,INT(((CROQUIS!$C$98)-CROQUIS!$C$107)/MAX(CROQUIS!$C$130,1))+1)))-1,0),0,MOD($A311-1,5))+1,0,IF(CROQUIS!$C$103=1,-12,2),CROQUIS!$C$107/2+CROQUIS!$C$140,IF(CROQUIS!$C$103=1,-12,2),0)))*CROQUIS!$C$155)+IF(CROQUIS!$C$92="X",0,0)),-1000)</f>
        <v>-1000</v>
      </c>
      <c r="BN311">
        <f>IF(AND(CROQUIS!$C$88=1,CROQUIS!$C$91=0,CROQUIS!$C$130&gt;0,OR(CROQUIS!$C$104=1,CROQUIS!$C$142=1)),((CROQUIS!$C$156+(IF(CROQUIS!$C$92="X",CHOOSE(IF(INT(($A311-1)/5)&gt;MAX((MIN(80,MAX(1,INT(((CROQUIS!$C$98)-CROQUIS!$C$107)/MAX(CROQUIS!$C$130,1))+1)))-1,0),0,MOD($A311-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311-1)/5),MAX((MIN(80,MAX(1,INT(((CROQUIS!$C$98)-CROQUIS!$C$107)/MAX(CROQUIS!$C$130,1))+1)))-1,0))*CROQUIS!$C$130)))*CROQUIS!$C$155)+IF(CROQUIS!$C$92="X",0,0)),-1000)</f>
        <v>-1000</v>
      </c>
      <c r="BO31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311-1)/5),MAX((MIN(80,MAX(1,INT(((CROQUIS!$C$98)-CROQUIS!$C$107)/MAX(CROQUIS!$C$130,1))+1)))-1,0))*CROQUIS!$C$130),CHOOSE(IF(INT(($A311-1)/5)&gt;MAX((MIN(80,MAX(1,INT(((CROQUIS!$C$98)-CROQUIS!$C$107)/MAX(CROQUIS!$C$130,1))+1)))-1,0),0,MOD($A311-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1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311-1)/5),MAX((MIN(80,MAX(1,INT(((CROQUIS!$C$97)-CROQUIS!$C$107)/MAX(CROQUIS!$C$138,1))+1)))-1,0))*CROQUIS!$C$138),CHOOSE(IF(INT(($A311-1)/5)&gt;MAX((MIN(80,MAX(1,INT(((CROQUIS!$C$97)-CROQUIS!$C$107)/MAX(CROQUIS!$C$138,1))+1)))-1,0),0,MOD($A311-1,5))+1,0,IF(CROQUIS!$C$105=1,-12,2),CROQUIS!$C$107/2+CROQUIS!$C$141,IF(CROQUIS!$C$105=1,-12,2),0)))*CROQUIS!$C$155)+IF(CROQUIS!$C$92="X",0,0)),-1000)</f>
        <v>-1000</v>
      </c>
      <c r="BQ311">
        <f>IF(AND(CROQUIS!$C$88=1,CROQUIS!$C$91=0,CROQUIS!$C$138&gt;0,OR(CROQUIS!$C$105=1,CROQUIS!$C$143=1)),((CROQUIS!$C$157+(IF(CROQUIS!$C$92="X",CHOOSE(IF(INT(($A311-1)/5)&gt;MAX((MIN(80,MAX(1,INT(((CROQUIS!$C$97)-CROQUIS!$C$107)/MAX(CROQUIS!$C$138,1))+1)))-1,0),0,MOD($A311-1,5))+1,0,IF(CROQUIS!$C$105=1,-12,2),CROQUIS!$C$107/2+CROQUIS!$C$141,IF(CROQUIS!$C$105=1,-12,2),0),((CROQUIS!$C$107/2+(((CROQUIS!$C$97)-CROQUIS!$C$107)-(MIN(80,MAX(1,INT(((CROQUIS!$C$97)-CROQUIS!$C$107)/MAX(CROQUIS!$C$138,1))+1))-1)*CROQUIS!$C$138)/2)+MIN(INT(($A311-1)/5),MAX((MIN(80,MAX(1,INT(((CROQUIS!$C$97)-CROQUIS!$C$107)/MAX(CROQUIS!$C$138,1))+1)))-1,0))*CROQUIS!$C$138)))*CROQUIS!$C$155)+IF(CROQUIS!$C$92="X",0,0)),-1000)</f>
        <v>-1000</v>
      </c>
      <c r="BR31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311-1)/5),MAX((MIN(80,MAX(1,INT(((CROQUIS!$C$97)-CROQUIS!$C$107)/MAX(CROQUIS!$C$138,1))+1)))-1,0))*CROQUIS!$C$138),CHOOSE(IF(INT(($A311-1)/5)&gt;MAX((MIN(80,MAX(1,INT(((CROQUIS!$C$97)-CROQUIS!$C$107)/MAX(CROQUIS!$C$138,1))+1)))-1,0),0,MOD($A311-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11">
        <f>IF(AND(CROQUIS!$C$88=1,CROQUIS!$C$91=0,CROQUIS!$C$138&gt;0,OR(CROQUIS!$C$106=1,CROQUIS!$C$143=1)),((CROQUIS!$C$157+(IF(CROQUIS!$C$92="X",CHOOSE(IF(INT(($A311-1)/5)&gt;MAX((MIN(80,MAX(1,INT(((CROQUIS!$C$97)-CROQUIS!$C$107)/MAX(CROQUIS!$C$138,1))+1)))-1,0),0,MOD($A311-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311-1)/5),MAX((MIN(80,MAX(1,INT(((CROQUIS!$C$97)-CROQUIS!$C$107)/MAX(CROQUIS!$C$138,1))+1)))-1,0))*CROQUIS!$C$138)))*CROQUIS!$C$155)+IF(CROQUIS!$C$92="X",0,0)),-1000)</f>
        <v>-1000</v>
      </c>
      <c r="BT311">
        <f>IF(AND(CROQUIS!$C$88=1,CROQUIS!$C$91=1,CROQUIS!$C$130&gt;0),((CROQUIS!$C$156+(IF(CROQUIS!$C$92="X",CHOOSE(IF(INT(($A311-1)/5)&gt;MAX((MIN(80,MAX(1,INT(((CROQUIS!$C$98)-CROQUIS!$C$107)/MAX(CROQUIS!$C$130,1))+1)))-1,0),0,MOD($A311-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311-1)/5),MAX((MIN(80,MAX(1,INT(((CROQUIS!$C$98)-CROQUIS!$C$107)/MAX(CROQUIS!$C$130,1))+1)))-1,0))*CROQUIS!$C$130)))*CROQUIS!$C$155)+IF(CROQUIS!$C$92="X",0,0)),-1000)</f>
        <v>-1000</v>
      </c>
      <c r="BU311">
        <f>IF(AND(CROQUIS!$C$88=1,CROQUIS!$C$91=1,CROQUIS!$C$130&gt;0),((CROQUIS!$C$157+(IF(CROQUIS!$C$92="X",((CROQUIS!$C$107/2+(((CROQUIS!$C$98)-CROQUIS!$C$107)-(MIN(80,MAX(1,INT(((CROQUIS!$C$98)-CROQUIS!$C$107)/MAX(CROQUIS!$C$130,1))+1))-1)*CROQUIS!$C$130)/2)+MIN(INT(($A311-1)/5),MAX((MIN(80,MAX(1,INT(((CROQUIS!$C$98)-CROQUIS!$C$107)/MAX(CROQUIS!$C$130,1))+1)))-1,0))*CROQUIS!$C$130),CHOOSE(IF(INT(($A311-1)/5)&gt;MAX((MIN(80,MAX(1,INT(((CROQUIS!$C$98)-CROQUIS!$C$107)/MAX(CROQUIS!$C$130,1))+1)))-1,0),0,MOD($A311-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12">
      <c r="A312" t="n">
        <v>305</v>
      </c>
      <c r="BH312">
        <f>IF(AND(CROQUIS!$C$88=1,CROQUIS!$C$126&gt;0),((CROQUIS!$C$156+(IF(CROQUIS!$C$92="X",CHOOSE(IF(INT(($A312-1)/5)&gt;MAX((MIN(80,MAX(1,INT(((CROQUIS!$C$98)-CROQUIS!$C$107)/MAX(CROQUIS!$C$126,1))+1)))-1,0),0,MOD($A312-1,5))+1,0,2,CROQUIS!$C$97-2,2,0),((CROQUIS!$C$107/2+(((CROQUIS!$C$98)-CROQUIS!$C$107)-(MIN(80,MAX(1,INT(((CROQUIS!$C$98)-CROQUIS!$C$107)/MAX(CROQUIS!$C$126,1))+1))-1)*CROQUIS!$C$126)/2)+MIN(INT(($A312-1)/5),MAX((MIN(80,MAX(1,INT(((CROQUIS!$C$98)-CROQUIS!$C$107)/MAX(CROQUIS!$C$126,1))+1)))-1,0))*CROQUIS!$C$126)))*CROQUIS!$C$155)+IF(CROQUIS!$C$92="X",0,0)),-1000)</f>
        <v>-1000</v>
      </c>
      <c r="BI312">
        <f>IF(AND(CROQUIS!$C$88=1,CROQUIS!$C$126&gt;0),((CROQUIS!$C$157+(IF(CROQUIS!$C$92="X",((CROQUIS!$C$107/2+(((CROQUIS!$C$98)-CROQUIS!$C$107)-(MIN(80,MAX(1,INT(((CROQUIS!$C$98)-CROQUIS!$C$107)/MAX(CROQUIS!$C$126,1))+1))-1)*CROQUIS!$C$126)/2)+MIN(INT(($A312-1)/5),MAX((MIN(80,MAX(1,INT(((CROQUIS!$C$98)-CROQUIS!$C$107)/MAX(CROQUIS!$C$126,1))+1)))-1,0))*CROQUIS!$C$126),CHOOSE(IF(INT(($A312-1)/5)&gt;MAX((MIN(80,MAX(1,INT(((CROQUIS!$C$98)-CROQUIS!$C$107)/MAX(CROQUIS!$C$126,1))+1)))-1,0),0,MOD($A312-1,5))+1,0,2,CROQUIS!$C$97-2,2,0)))*CROQUIS!$C$155)+IF(CROQUIS!$C$92="X",0,0)),-1000)</f>
        <v>-1000</v>
      </c>
      <c r="BJ312">
        <f>IF(AND(CROQUIS!$C$88=1,CROQUIS!$C$134&gt;0),((CROQUIS!$C$156+(IF(CROQUIS!$C$92="X",((CROQUIS!$C$107/2+(((CROQUIS!$C$97)-CROQUIS!$C$107)-(MIN(80,MAX(1,INT(((CROQUIS!$C$97)-CROQUIS!$C$107)/MAX(CROQUIS!$C$134,1))+1))-1)*CROQUIS!$C$134)/2)+MIN(INT(($A312-1)/5),MAX((MIN(80,MAX(1,INT(((CROQUIS!$C$97)-CROQUIS!$C$107)/MAX(CROQUIS!$C$134,1))+1)))-1,0))*CROQUIS!$C$134),CHOOSE(IF(INT(($A312-1)/5)&gt;MAX((MIN(80,MAX(1,INT(((CROQUIS!$C$97)-CROQUIS!$C$107)/MAX(CROQUIS!$C$134,1))+1)))-1,0),0,MOD($A312-1,5))+1,0,2,CROQUIS!$C$98-2,2,0)))*CROQUIS!$C$155)+IF(CROQUIS!$C$92="X",0,0)),-1000)</f>
        <v>-1000</v>
      </c>
      <c r="BK312">
        <f>IF(AND(CROQUIS!$C$88=1,CROQUIS!$C$134&gt;0),((CROQUIS!$C$157+(IF(CROQUIS!$C$92="X",CHOOSE(IF(INT(($A312-1)/5)&gt;MAX((MIN(80,MAX(1,INT(((CROQUIS!$C$97)-CROQUIS!$C$107)/MAX(CROQUIS!$C$134,1))+1)))-1,0),0,MOD($A312-1,5))+1,0,2,CROQUIS!$C$98-2,2,0),((CROQUIS!$C$107/2+(((CROQUIS!$C$97)-CROQUIS!$C$107)-(MIN(80,MAX(1,INT(((CROQUIS!$C$97)-CROQUIS!$C$107)/MAX(CROQUIS!$C$134,1))+1))-1)*CROQUIS!$C$134)/2)+MIN(INT(($A312-1)/5),MAX((MIN(80,MAX(1,INT(((CROQUIS!$C$97)-CROQUIS!$C$107)/MAX(CROQUIS!$C$134,1))+1)))-1,0))*CROQUIS!$C$134)))*CROQUIS!$C$155)+IF(CROQUIS!$C$92="X",0,0)),-1000)</f>
        <v>-1000</v>
      </c>
      <c r="BL312">
        <f>IF(AND(CROQUIS!$C$88=1,CROQUIS!$C$91=0,CROQUIS!$C$130&gt;0,OR(CROQUIS!$C$103=1,CROQUIS!$C$142=1)),((CROQUIS!$C$156+(IF(CROQUIS!$C$92="X",CHOOSE(IF(INT(($A312-1)/5)&gt;MAX((MIN(80,MAX(1,INT(((CROQUIS!$C$98)-CROQUIS!$C$107)/MAX(CROQUIS!$C$130,1))+1)))-1,0),0,MOD($A312-1,5))+1,0,IF(CROQUIS!$C$103=1,-12,2),CROQUIS!$C$107/2+CROQUIS!$C$140,IF(CROQUIS!$C$103=1,-12,2),0),((CROQUIS!$C$107/2+(((CROQUIS!$C$98)-CROQUIS!$C$107)-(MIN(80,MAX(1,INT(((CROQUIS!$C$98)-CROQUIS!$C$107)/MAX(CROQUIS!$C$130,1))+1))-1)*CROQUIS!$C$130)/2)+MIN(INT(($A312-1)/5),MAX((MIN(80,MAX(1,INT(((CROQUIS!$C$98)-CROQUIS!$C$107)/MAX(CROQUIS!$C$130,1))+1)))-1,0))*CROQUIS!$C$130)))*CROQUIS!$C$155)+IF(CROQUIS!$C$92="X",0,0)),-1000)</f>
        <v>-1000</v>
      </c>
      <c r="BM31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312-1)/5),MAX((MIN(80,MAX(1,INT(((CROQUIS!$C$98)-CROQUIS!$C$107)/MAX(CROQUIS!$C$130,1))+1)))-1,0))*CROQUIS!$C$130),CHOOSE(IF(INT(($A312-1)/5)&gt;MAX((MIN(80,MAX(1,INT(((CROQUIS!$C$98)-CROQUIS!$C$107)/MAX(CROQUIS!$C$130,1))+1)))-1,0),0,MOD($A312-1,5))+1,0,IF(CROQUIS!$C$103=1,-12,2),CROQUIS!$C$107/2+CROQUIS!$C$140,IF(CROQUIS!$C$103=1,-12,2),0)))*CROQUIS!$C$155)+IF(CROQUIS!$C$92="X",0,0)),-1000)</f>
        <v>-1000</v>
      </c>
      <c r="BN312">
        <f>IF(AND(CROQUIS!$C$88=1,CROQUIS!$C$91=0,CROQUIS!$C$130&gt;0,OR(CROQUIS!$C$104=1,CROQUIS!$C$142=1)),((CROQUIS!$C$156+(IF(CROQUIS!$C$92="X",CHOOSE(IF(INT(($A312-1)/5)&gt;MAX((MIN(80,MAX(1,INT(((CROQUIS!$C$98)-CROQUIS!$C$107)/MAX(CROQUIS!$C$130,1))+1)))-1,0),0,MOD($A312-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312-1)/5),MAX((MIN(80,MAX(1,INT(((CROQUIS!$C$98)-CROQUIS!$C$107)/MAX(CROQUIS!$C$130,1))+1)))-1,0))*CROQUIS!$C$130)))*CROQUIS!$C$155)+IF(CROQUIS!$C$92="X",0,0)),-1000)</f>
        <v>-1000</v>
      </c>
      <c r="BO31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312-1)/5),MAX((MIN(80,MAX(1,INT(((CROQUIS!$C$98)-CROQUIS!$C$107)/MAX(CROQUIS!$C$130,1))+1)))-1,0))*CROQUIS!$C$130),CHOOSE(IF(INT(($A312-1)/5)&gt;MAX((MIN(80,MAX(1,INT(((CROQUIS!$C$98)-CROQUIS!$C$107)/MAX(CROQUIS!$C$130,1))+1)))-1,0),0,MOD($A312-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1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312-1)/5),MAX((MIN(80,MAX(1,INT(((CROQUIS!$C$97)-CROQUIS!$C$107)/MAX(CROQUIS!$C$138,1))+1)))-1,0))*CROQUIS!$C$138),CHOOSE(IF(INT(($A312-1)/5)&gt;MAX((MIN(80,MAX(1,INT(((CROQUIS!$C$97)-CROQUIS!$C$107)/MAX(CROQUIS!$C$138,1))+1)))-1,0),0,MOD($A312-1,5))+1,0,IF(CROQUIS!$C$105=1,-12,2),CROQUIS!$C$107/2+CROQUIS!$C$141,IF(CROQUIS!$C$105=1,-12,2),0)))*CROQUIS!$C$155)+IF(CROQUIS!$C$92="X",0,0)),-1000)</f>
        <v>-1000</v>
      </c>
      <c r="BQ312">
        <f>IF(AND(CROQUIS!$C$88=1,CROQUIS!$C$91=0,CROQUIS!$C$138&gt;0,OR(CROQUIS!$C$105=1,CROQUIS!$C$143=1)),((CROQUIS!$C$157+(IF(CROQUIS!$C$92="X",CHOOSE(IF(INT(($A312-1)/5)&gt;MAX((MIN(80,MAX(1,INT(((CROQUIS!$C$97)-CROQUIS!$C$107)/MAX(CROQUIS!$C$138,1))+1)))-1,0),0,MOD($A312-1,5))+1,0,IF(CROQUIS!$C$105=1,-12,2),CROQUIS!$C$107/2+CROQUIS!$C$141,IF(CROQUIS!$C$105=1,-12,2),0),((CROQUIS!$C$107/2+(((CROQUIS!$C$97)-CROQUIS!$C$107)-(MIN(80,MAX(1,INT(((CROQUIS!$C$97)-CROQUIS!$C$107)/MAX(CROQUIS!$C$138,1))+1))-1)*CROQUIS!$C$138)/2)+MIN(INT(($A312-1)/5),MAX((MIN(80,MAX(1,INT(((CROQUIS!$C$97)-CROQUIS!$C$107)/MAX(CROQUIS!$C$138,1))+1)))-1,0))*CROQUIS!$C$138)))*CROQUIS!$C$155)+IF(CROQUIS!$C$92="X",0,0)),-1000)</f>
        <v>-1000</v>
      </c>
      <c r="BR31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312-1)/5),MAX((MIN(80,MAX(1,INT(((CROQUIS!$C$97)-CROQUIS!$C$107)/MAX(CROQUIS!$C$138,1))+1)))-1,0))*CROQUIS!$C$138),CHOOSE(IF(INT(($A312-1)/5)&gt;MAX((MIN(80,MAX(1,INT(((CROQUIS!$C$97)-CROQUIS!$C$107)/MAX(CROQUIS!$C$138,1))+1)))-1,0),0,MOD($A312-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12">
        <f>IF(AND(CROQUIS!$C$88=1,CROQUIS!$C$91=0,CROQUIS!$C$138&gt;0,OR(CROQUIS!$C$106=1,CROQUIS!$C$143=1)),((CROQUIS!$C$157+(IF(CROQUIS!$C$92="X",CHOOSE(IF(INT(($A312-1)/5)&gt;MAX((MIN(80,MAX(1,INT(((CROQUIS!$C$97)-CROQUIS!$C$107)/MAX(CROQUIS!$C$138,1))+1)))-1,0),0,MOD($A312-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312-1)/5),MAX((MIN(80,MAX(1,INT(((CROQUIS!$C$97)-CROQUIS!$C$107)/MAX(CROQUIS!$C$138,1))+1)))-1,0))*CROQUIS!$C$138)))*CROQUIS!$C$155)+IF(CROQUIS!$C$92="X",0,0)),-1000)</f>
        <v>-1000</v>
      </c>
      <c r="BT312">
        <f>IF(AND(CROQUIS!$C$88=1,CROQUIS!$C$91=1,CROQUIS!$C$130&gt;0),((CROQUIS!$C$156+(IF(CROQUIS!$C$92="X",CHOOSE(IF(INT(($A312-1)/5)&gt;MAX((MIN(80,MAX(1,INT(((CROQUIS!$C$98)-CROQUIS!$C$107)/MAX(CROQUIS!$C$130,1))+1)))-1,0),0,MOD($A312-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312-1)/5),MAX((MIN(80,MAX(1,INT(((CROQUIS!$C$98)-CROQUIS!$C$107)/MAX(CROQUIS!$C$130,1))+1)))-1,0))*CROQUIS!$C$130)))*CROQUIS!$C$155)+IF(CROQUIS!$C$92="X",0,0)),-1000)</f>
        <v>-1000</v>
      </c>
      <c r="BU312">
        <f>IF(AND(CROQUIS!$C$88=1,CROQUIS!$C$91=1,CROQUIS!$C$130&gt;0),((CROQUIS!$C$157+(IF(CROQUIS!$C$92="X",((CROQUIS!$C$107/2+(((CROQUIS!$C$98)-CROQUIS!$C$107)-(MIN(80,MAX(1,INT(((CROQUIS!$C$98)-CROQUIS!$C$107)/MAX(CROQUIS!$C$130,1))+1))-1)*CROQUIS!$C$130)/2)+MIN(INT(($A312-1)/5),MAX((MIN(80,MAX(1,INT(((CROQUIS!$C$98)-CROQUIS!$C$107)/MAX(CROQUIS!$C$130,1))+1)))-1,0))*CROQUIS!$C$130),CHOOSE(IF(INT(($A312-1)/5)&gt;MAX((MIN(80,MAX(1,INT(((CROQUIS!$C$98)-CROQUIS!$C$107)/MAX(CROQUIS!$C$130,1))+1)))-1,0),0,MOD($A312-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13">
      <c r="A313" t="n">
        <v>306</v>
      </c>
      <c r="BH313">
        <f>IF(AND(CROQUIS!$C$88=1,CROQUIS!$C$126&gt;0),((CROQUIS!$C$156+(IF(CROQUIS!$C$92="X",CHOOSE(IF(INT(($A313-1)/5)&gt;MAX((MIN(80,MAX(1,INT(((CROQUIS!$C$98)-CROQUIS!$C$107)/MAX(CROQUIS!$C$126,1))+1)))-1,0),0,MOD($A313-1,5))+1,0,2,CROQUIS!$C$97-2,2,0),((CROQUIS!$C$107/2+(((CROQUIS!$C$98)-CROQUIS!$C$107)-(MIN(80,MAX(1,INT(((CROQUIS!$C$98)-CROQUIS!$C$107)/MAX(CROQUIS!$C$126,1))+1))-1)*CROQUIS!$C$126)/2)+MIN(INT(($A313-1)/5),MAX((MIN(80,MAX(1,INT(((CROQUIS!$C$98)-CROQUIS!$C$107)/MAX(CROQUIS!$C$126,1))+1)))-1,0))*CROQUIS!$C$126)))*CROQUIS!$C$155)+IF(CROQUIS!$C$92="X",0,0)),-1000)</f>
        <v>-1000</v>
      </c>
      <c r="BI313">
        <f>IF(AND(CROQUIS!$C$88=1,CROQUIS!$C$126&gt;0),((CROQUIS!$C$157+(IF(CROQUIS!$C$92="X",((CROQUIS!$C$107/2+(((CROQUIS!$C$98)-CROQUIS!$C$107)-(MIN(80,MAX(1,INT(((CROQUIS!$C$98)-CROQUIS!$C$107)/MAX(CROQUIS!$C$126,1))+1))-1)*CROQUIS!$C$126)/2)+MIN(INT(($A313-1)/5),MAX((MIN(80,MAX(1,INT(((CROQUIS!$C$98)-CROQUIS!$C$107)/MAX(CROQUIS!$C$126,1))+1)))-1,0))*CROQUIS!$C$126),CHOOSE(IF(INT(($A313-1)/5)&gt;MAX((MIN(80,MAX(1,INT(((CROQUIS!$C$98)-CROQUIS!$C$107)/MAX(CROQUIS!$C$126,1))+1)))-1,0),0,MOD($A313-1,5))+1,0,2,CROQUIS!$C$97-2,2,0)))*CROQUIS!$C$155)+IF(CROQUIS!$C$92="X",0,0)),-1000)</f>
        <v>-1000</v>
      </c>
      <c r="BJ313">
        <f>IF(AND(CROQUIS!$C$88=1,CROQUIS!$C$134&gt;0),((CROQUIS!$C$156+(IF(CROQUIS!$C$92="X",((CROQUIS!$C$107/2+(((CROQUIS!$C$97)-CROQUIS!$C$107)-(MIN(80,MAX(1,INT(((CROQUIS!$C$97)-CROQUIS!$C$107)/MAX(CROQUIS!$C$134,1))+1))-1)*CROQUIS!$C$134)/2)+MIN(INT(($A313-1)/5),MAX((MIN(80,MAX(1,INT(((CROQUIS!$C$97)-CROQUIS!$C$107)/MAX(CROQUIS!$C$134,1))+1)))-1,0))*CROQUIS!$C$134),CHOOSE(IF(INT(($A313-1)/5)&gt;MAX((MIN(80,MAX(1,INT(((CROQUIS!$C$97)-CROQUIS!$C$107)/MAX(CROQUIS!$C$134,1))+1)))-1,0),0,MOD($A313-1,5))+1,0,2,CROQUIS!$C$98-2,2,0)))*CROQUIS!$C$155)+IF(CROQUIS!$C$92="X",0,0)),-1000)</f>
        <v>-1000</v>
      </c>
      <c r="BK313">
        <f>IF(AND(CROQUIS!$C$88=1,CROQUIS!$C$134&gt;0),((CROQUIS!$C$157+(IF(CROQUIS!$C$92="X",CHOOSE(IF(INT(($A313-1)/5)&gt;MAX((MIN(80,MAX(1,INT(((CROQUIS!$C$97)-CROQUIS!$C$107)/MAX(CROQUIS!$C$134,1))+1)))-1,0),0,MOD($A313-1,5))+1,0,2,CROQUIS!$C$98-2,2,0),((CROQUIS!$C$107/2+(((CROQUIS!$C$97)-CROQUIS!$C$107)-(MIN(80,MAX(1,INT(((CROQUIS!$C$97)-CROQUIS!$C$107)/MAX(CROQUIS!$C$134,1))+1))-1)*CROQUIS!$C$134)/2)+MIN(INT(($A313-1)/5),MAX((MIN(80,MAX(1,INT(((CROQUIS!$C$97)-CROQUIS!$C$107)/MAX(CROQUIS!$C$134,1))+1)))-1,0))*CROQUIS!$C$134)))*CROQUIS!$C$155)+IF(CROQUIS!$C$92="X",0,0)),-1000)</f>
        <v>-1000</v>
      </c>
      <c r="BL313">
        <f>IF(AND(CROQUIS!$C$88=1,CROQUIS!$C$91=0,CROQUIS!$C$130&gt;0,OR(CROQUIS!$C$103=1,CROQUIS!$C$142=1)),((CROQUIS!$C$156+(IF(CROQUIS!$C$92="X",CHOOSE(IF(INT(($A313-1)/5)&gt;MAX((MIN(80,MAX(1,INT(((CROQUIS!$C$98)-CROQUIS!$C$107)/MAX(CROQUIS!$C$130,1))+1)))-1,0),0,MOD($A313-1,5))+1,0,IF(CROQUIS!$C$103=1,-12,2),CROQUIS!$C$107/2+CROQUIS!$C$140,IF(CROQUIS!$C$103=1,-12,2),0),((CROQUIS!$C$107/2+(((CROQUIS!$C$98)-CROQUIS!$C$107)-(MIN(80,MAX(1,INT(((CROQUIS!$C$98)-CROQUIS!$C$107)/MAX(CROQUIS!$C$130,1))+1))-1)*CROQUIS!$C$130)/2)+MIN(INT(($A313-1)/5),MAX((MIN(80,MAX(1,INT(((CROQUIS!$C$98)-CROQUIS!$C$107)/MAX(CROQUIS!$C$130,1))+1)))-1,0))*CROQUIS!$C$130)))*CROQUIS!$C$155)+IF(CROQUIS!$C$92="X",0,0)),-1000)</f>
        <v>-1000</v>
      </c>
      <c r="BM31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313-1)/5),MAX((MIN(80,MAX(1,INT(((CROQUIS!$C$98)-CROQUIS!$C$107)/MAX(CROQUIS!$C$130,1))+1)))-1,0))*CROQUIS!$C$130),CHOOSE(IF(INT(($A313-1)/5)&gt;MAX((MIN(80,MAX(1,INT(((CROQUIS!$C$98)-CROQUIS!$C$107)/MAX(CROQUIS!$C$130,1))+1)))-1,0),0,MOD($A313-1,5))+1,0,IF(CROQUIS!$C$103=1,-12,2),CROQUIS!$C$107/2+CROQUIS!$C$140,IF(CROQUIS!$C$103=1,-12,2),0)))*CROQUIS!$C$155)+IF(CROQUIS!$C$92="X",0,0)),-1000)</f>
        <v>-1000</v>
      </c>
      <c r="BN313">
        <f>IF(AND(CROQUIS!$C$88=1,CROQUIS!$C$91=0,CROQUIS!$C$130&gt;0,OR(CROQUIS!$C$104=1,CROQUIS!$C$142=1)),((CROQUIS!$C$156+(IF(CROQUIS!$C$92="X",CHOOSE(IF(INT(($A313-1)/5)&gt;MAX((MIN(80,MAX(1,INT(((CROQUIS!$C$98)-CROQUIS!$C$107)/MAX(CROQUIS!$C$130,1))+1)))-1,0),0,MOD($A313-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313-1)/5),MAX((MIN(80,MAX(1,INT(((CROQUIS!$C$98)-CROQUIS!$C$107)/MAX(CROQUIS!$C$130,1))+1)))-1,0))*CROQUIS!$C$130)))*CROQUIS!$C$155)+IF(CROQUIS!$C$92="X",0,0)),-1000)</f>
        <v>-1000</v>
      </c>
      <c r="BO31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313-1)/5),MAX((MIN(80,MAX(1,INT(((CROQUIS!$C$98)-CROQUIS!$C$107)/MAX(CROQUIS!$C$130,1))+1)))-1,0))*CROQUIS!$C$130),CHOOSE(IF(INT(($A313-1)/5)&gt;MAX((MIN(80,MAX(1,INT(((CROQUIS!$C$98)-CROQUIS!$C$107)/MAX(CROQUIS!$C$130,1))+1)))-1,0),0,MOD($A313-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1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313-1)/5),MAX((MIN(80,MAX(1,INT(((CROQUIS!$C$97)-CROQUIS!$C$107)/MAX(CROQUIS!$C$138,1))+1)))-1,0))*CROQUIS!$C$138),CHOOSE(IF(INT(($A313-1)/5)&gt;MAX((MIN(80,MAX(1,INT(((CROQUIS!$C$97)-CROQUIS!$C$107)/MAX(CROQUIS!$C$138,1))+1)))-1,0),0,MOD($A313-1,5))+1,0,IF(CROQUIS!$C$105=1,-12,2),CROQUIS!$C$107/2+CROQUIS!$C$141,IF(CROQUIS!$C$105=1,-12,2),0)))*CROQUIS!$C$155)+IF(CROQUIS!$C$92="X",0,0)),-1000)</f>
        <v>-1000</v>
      </c>
      <c r="BQ313">
        <f>IF(AND(CROQUIS!$C$88=1,CROQUIS!$C$91=0,CROQUIS!$C$138&gt;0,OR(CROQUIS!$C$105=1,CROQUIS!$C$143=1)),((CROQUIS!$C$157+(IF(CROQUIS!$C$92="X",CHOOSE(IF(INT(($A313-1)/5)&gt;MAX((MIN(80,MAX(1,INT(((CROQUIS!$C$97)-CROQUIS!$C$107)/MAX(CROQUIS!$C$138,1))+1)))-1,0),0,MOD($A313-1,5))+1,0,IF(CROQUIS!$C$105=1,-12,2),CROQUIS!$C$107/2+CROQUIS!$C$141,IF(CROQUIS!$C$105=1,-12,2),0),((CROQUIS!$C$107/2+(((CROQUIS!$C$97)-CROQUIS!$C$107)-(MIN(80,MAX(1,INT(((CROQUIS!$C$97)-CROQUIS!$C$107)/MAX(CROQUIS!$C$138,1))+1))-1)*CROQUIS!$C$138)/2)+MIN(INT(($A313-1)/5),MAX((MIN(80,MAX(1,INT(((CROQUIS!$C$97)-CROQUIS!$C$107)/MAX(CROQUIS!$C$138,1))+1)))-1,0))*CROQUIS!$C$138)))*CROQUIS!$C$155)+IF(CROQUIS!$C$92="X",0,0)),-1000)</f>
        <v>-1000</v>
      </c>
      <c r="BR31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313-1)/5),MAX((MIN(80,MAX(1,INT(((CROQUIS!$C$97)-CROQUIS!$C$107)/MAX(CROQUIS!$C$138,1))+1)))-1,0))*CROQUIS!$C$138),CHOOSE(IF(INT(($A313-1)/5)&gt;MAX((MIN(80,MAX(1,INT(((CROQUIS!$C$97)-CROQUIS!$C$107)/MAX(CROQUIS!$C$138,1))+1)))-1,0),0,MOD($A313-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13">
        <f>IF(AND(CROQUIS!$C$88=1,CROQUIS!$C$91=0,CROQUIS!$C$138&gt;0,OR(CROQUIS!$C$106=1,CROQUIS!$C$143=1)),((CROQUIS!$C$157+(IF(CROQUIS!$C$92="X",CHOOSE(IF(INT(($A313-1)/5)&gt;MAX((MIN(80,MAX(1,INT(((CROQUIS!$C$97)-CROQUIS!$C$107)/MAX(CROQUIS!$C$138,1))+1)))-1,0),0,MOD($A313-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313-1)/5),MAX((MIN(80,MAX(1,INT(((CROQUIS!$C$97)-CROQUIS!$C$107)/MAX(CROQUIS!$C$138,1))+1)))-1,0))*CROQUIS!$C$138)))*CROQUIS!$C$155)+IF(CROQUIS!$C$92="X",0,0)),-1000)</f>
        <v>-1000</v>
      </c>
      <c r="BT313">
        <f>IF(AND(CROQUIS!$C$88=1,CROQUIS!$C$91=1,CROQUIS!$C$130&gt;0),((CROQUIS!$C$156+(IF(CROQUIS!$C$92="X",CHOOSE(IF(INT(($A313-1)/5)&gt;MAX((MIN(80,MAX(1,INT(((CROQUIS!$C$98)-CROQUIS!$C$107)/MAX(CROQUIS!$C$130,1))+1)))-1,0),0,MOD($A313-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313-1)/5),MAX((MIN(80,MAX(1,INT(((CROQUIS!$C$98)-CROQUIS!$C$107)/MAX(CROQUIS!$C$130,1))+1)))-1,0))*CROQUIS!$C$130)))*CROQUIS!$C$155)+IF(CROQUIS!$C$92="X",0,0)),-1000)</f>
        <v>-1000</v>
      </c>
      <c r="BU313">
        <f>IF(AND(CROQUIS!$C$88=1,CROQUIS!$C$91=1,CROQUIS!$C$130&gt;0),((CROQUIS!$C$157+(IF(CROQUIS!$C$92="X",((CROQUIS!$C$107/2+(((CROQUIS!$C$98)-CROQUIS!$C$107)-(MIN(80,MAX(1,INT(((CROQUIS!$C$98)-CROQUIS!$C$107)/MAX(CROQUIS!$C$130,1))+1))-1)*CROQUIS!$C$130)/2)+MIN(INT(($A313-1)/5),MAX((MIN(80,MAX(1,INT(((CROQUIS!$C$98)-CROQUIS!$C$107)/MAX(CROQUIS!$C$130,1))+1)))-1,0))*CROQUIS!$C$130),CHOOSE(IF(INT(($A313-1)/5)&gt;MAX((MIN(80,MAX(1,INT(((CROQUIS!$C$98)-CROQUIS!$C$107)/MAX(CROQUIS!$C$130,1))+1)))-1,0),0,MOD($A313-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14">
      <c r="A314" t="n">
        <v>307</v>
      </c>
      <c r="BH314">
        <f>IF(AND(CROQUIS!$C$88=1,CROQUIS!$C$126&gt;0),((CROQUIS!$C$156+(IF(CROQUIS!$C$92="X",CHOOSE(IF(INT(($A314-1)/5)&gt;MAX((MIN(80,MAX(1,INT(((CROQUIS!$C$98)-CROQUIS!$C$107)/MAX(CROQUIS!$C$126,1))+1)))-1,0),0,MOD($A314-1,5))+1,0,2,CROQUIS!$C$97-2,2,0),((CROQUIS!$C$107/2+(((CROQUIS!$C$98)-CROQUIS!$C$107)-(MIN(80,MAX(1,INT(((CROQUIS!$C$98)-CROQUIS!$C$107)/MAX(CROQUIS!$C$126,1))+1))-1)*CROQUIS!$C$126)/2)+MIN(INT(($A314-1)/5),MAX((MIN(80,MAX(1,INT(((CROQUIS!$C$98)-CROQUIS!$C$107)/MAX(CROQUIS!$C$126,1))+1)))-1,0))*CROQUIS!$C$126)))*CROQUIS!$C$155)+IF(CROQUIS!$C$92="X",0,0)),-1000)</f>
        <v>-1000</v>
      </c>
      <c r="BI314">
        <f>IF(AND(CROQUIS!$C$88=1,CROQUIS!$C$126&gt;0),((CROQUIS!$C$157+(IF(CROQUIS!$C$92="X",((CROQUIS!$C$107/2+(((CROQUIS!$C$98)-CROQUIS!$C$107)-(MIN(80,MAX(1,INT(((CROQUIS!$C$98)-CROQUIS!$C$107)/MAX(CROQUIS!$C$126,1))+1))-1)*CROQUIS!$C$126)/2)+MIN(INT(($A314-1)/5),MAX((MIN(80,MAX(1,INT(((CROQUIS!$C$98)-CROQUIS!$C$107)/MAX(CROQUIS!$C$126,1))+1)))-1,0))*CROQUIS!$C$126),CHOOSE(IF(INT(($A314-1)/5)&gt;MAX((MIN(80,MAX(1,INT(((CROQUIS!$C$98)-CROQUIS!$C$107)/MAX(CROQUIS!$C$126,1))+1)))-1,0),0,MOD($A314-1,5))+1,0,2,CROQUIS!$C$97-2,2,0)))*CROQUIS!$C$155)+IF(CROQUIS!$C$92="X",0,0)),-1000)</f>
        <v>-1000</v>
      </c>
      <c r="BJ314">
        <f>IF(AND(CROQUIS!$C$88=1,CROQUIS!$C$134&gt;0),((CROQUIS!$C$156+(IF(CROQUIS!$C$92="X",((CROQUIS!$C$107/2+(((CROQUIS!$C$97)-CROQUIS!$C$107)-(MIN(80,MAX(1,INT(((CROQUIS!$C$97)-CROQUIS!$C$107)/MAX(CROQUIS!$C$134,1))+1))-1)*CROQUIS!$C$134)/2)+MIN(INT(($A314-1)/5),MAX((MIN(80,MAX(1,INT(((CROQUIS!$C$97)-CROQUIS!$C$107)/MAX(CROQUIS!$C$134,1))+1)))-1,0))*CROQUIS!$C$134),CHOOSE(IF(INT(($A314-1)/5)&gt;MAX((MIN(80,MAX(1,INT(((CROQUIS!$C$97)-CROQUIS!$C$107)/MAX(CROQUIS!$C$134,1))+1)))-1,0),0,MOD($A314-1,5))+1,0,2,CROQUIS!$C$98-2,2,0)))*CROQUIS!$C$155)+IF(CROQUIS!$C$92="X",0,0)),-1000)</f>
        <v>-1000</v>
      </c>
      <c r="BK314">
        <f>IF(AND(CROQUIS!$C$88=1,CROQUIS!$C$134&gt;0),((CROQUIS!$C$157+(IF(CROQUIS!$C$92="X",CHOOSE(IF(INT(($A314-1)/5)&gt;MAX((MIN(80,MAX(1,INT(((CROQUIS!$C$97)-CROQUIS!$C$107)/MAX(CROQUIS!$C$134,1))+1)))-1,0),0,MOD($A314-1,5))+1,0,2,CROQUIS!$C$98-2,2,0),((CROQUIS!$C$107/2+(((CROQUIS!$C$97)-CROQUIS!$C$107)-(MIN(80,MAX(1,INT(((CROQUIS!$C$97)-CROQUIS!$C$107)/MAX(CROQUIS!$C$134,1))+1))-1)*CROQUIS!$C$134)/2)+MIN(INT(($A314-1)/5),MAX((MIN(80,MAX(1,INT(((CROQUIS!$C$97)-CROQUIS!$C$107)/MAX(CROQUIS!$C$134,1))+1)))-1,0))*CROQUIS!$C$134)))*CROQUIS!$C$155)+IF(CROQUIS!$C$92="X",0,0)),-1000)</f>
        <v>-1000</v>
      </c>
      <c r="BL314">
        <f>IF(AND(CROQUIS!$C$88=1,CROQUIS!$C$91=0,CROQUIS!$C$130&gt;0,OR(CROQUIS!$C$103=1,CROQUIS!$C$142=1)),((CROQUIS!$C$156+(IF(CROQUIS!$C$92="X",CHOOSE(IF(INT(($A314-1)/5)&gt;MAX((MIN(80,MAX(1,INT(((CROQUIS!$C$98)-CROQUIS!$C$107)/MAX(CROQUIS!$C$130,1))+1)))-1,0),0,MOD($A314-1,5))+1,0,IF(CROQUIS!$C$103=1,-12,2),CROQUIS!$C$107/2+CROQUIS!$C$140,IF(CROQUIS!$C$103=1,-12,2),0),((CROQUIS!$C$107/2+(((CROQUIS!$C$98)-CROQUIS!$C$107)-(MIN(80,MAX(1,INT(((CROQUIS!$C$98)-CROQUIS!$C$107)/MAX(CROQUIS!$C$130,1))+1))-1)*CROQUIS!$C$130)/2)+MIN(INT(($A314-1)/5),MAX((MIN(80,MAX(1,INT(((CROQUIS!$C$98)-CROQUIS!$C$107)/MAX(CROQUIS!$C$130,1))+1)))-1,0))*CROQUIS!$C$130)))*CROQUIS!$C$155)+IF(CROQUIS!$C$92="X",0,0)),-1000)</f>
        <v>-1000</v>
      </c>
      <c r="BM31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314-1)/5),MAX((MIN(80,MAX(1,INT(((CROQUIS!$C$98)-CROQUIS!$C$107)/MAX(CROQUIS!$C$130,1))+1)))-1,0))*CROQUIS!$C$130),CHOOSE(IF(INT(($A314-1)/5)&gt;MAX((MIN(80,MAX(1,INT(((CROQUIS!$C$98)-CROQUIS!$C$107)/MAX(CROQUIS!$C$130,1))+1)))-1,0),0,MOD($A314-1,5))+1,0,IF(CROQUIS!$C$103=1,-12,2),CROQUIS!$C$107/2+CROQUIS!$C$140,IF(CROQUIS!$C$103=1,-12,2),0)))*CROQUIS!$C$155)+IF(CROQUIS!$C$92="X",0,0)),-1000)</f>
        <v>-1000</v>
      </c>
      <c r="BN314">
        <f>IF(AND(CROQUIS!$C$88=1,CROQUIS!$C$91=0,CROQUIS!$C$130&gt;0,OR(CROQUIS!$C$104=1,CROQUIS!$C$142=1)),((CROQUIS!$C$156+(IF(CROQUIS!$C$92="X",CHOOSE(IF(INT(($A314-1)/5)&gt;MAX((MIN(80,MAX(1,INT(((CROQUIS!$C$98)-CROQUIS!$C$107)/MAX(CROQUIS!$C$130,1))+1)))-1,0),0,MOD($A314-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314-1)/5),MAX((MIN(80,MAX(1,INT(((CROQUIS!$C$98)-CROQUIS!$C$107)/MAX(CROQUIS!$C$130,1))+1)))-1,0))*CROQUIS!$C$130)))*CROQUIS!$C$155)+IF(CROQUIS!$C$92="X",0,0)),-1000)</f>
        <v>-1000</v>
      </c>
      <c r="BO31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314-1)/5),MAX((MIN(80,MAX(1,INT(((CROQUIS!$C$98)-CROQUIS!$C$107)/MAX(CROQUIS!$C$130,1))+1)))-1,0))*CROQUIS!$C$130),CHOOSE(IF(INT(($A314-1)/5)&gt;MAX((MIN(80,MAX(1,INT(((CROQUIS!$C$98)-CROQUIS!$C$107)/MAX(CROQUIS!$C$130,1))+1)))-1,0),0,MOD($A314-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1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314-1)/5),MAX((MIN(80,MAX(1,INT(((CROQUIS!$C$97)-CROQUIS!$C$107)/MAX(CROQUIS!$C$138,1))+1)))-1,0))*CROQUIS!$C$138),CHOOSE(IF(INT(($A314-1)/5)&gt;MAX((MIN(80,MAX(1,INT(((CROQUIS!$C$97)-CROQUIS!$C$107)/MAX(CROQUIS!$C$138,1))+1)))-1,0),0,MOD($A314-1,5))+1,0,IF(CROQUIS!$C$105=1,-12,2),CROQUIS!$C$107/2+CROQUIS!$C$141,IF(CROQUIS!$C$105=1,-12,2),0)))*CROQUIS!$C$155)+IF(CROQUIS!$C$92="X",0,0)),-1000)</f>
        <v>-1000</v>
      </c>
      <c r="BQ314">
        <f>IF(AND(CROQUIS!$C$88=1,CROQUIS!$C$91=0,CROQUIS!$C$138&gt;0,OR(CROQUIS!$C$105=1,CROQUIS!$C$143=1)),((CROQUIS!$C$157+(IF(CROQUIS!$C$92="X",CHOOSE(IF(INT(($A314-1)/5)&gt;MAX((MIN(80,MAX(1,INT(((CROQUIS!$C$97)-CROQUIS!$C$107)/MAX(CROQUIS!$C$138,1))+1)))-1,0),0,MOD($A314-1,5))+1,0,IF(CROQUIS!$C$105=1,-12,2),CROQUIS!$C$107/2+CROQUIS!$C$141,IF(CROQUIS!$C$105=1,-12,2),0),((CROQUIS!$C$107/2+(((CROQUIS!$C$97)-CROQUIS!$C$107)-(MIN(80,MAX(1,INT(((CROQUIS!$C$97)-CROQUIS!$C$107)/MAX(CROQUIS!$C$138,1))+1))-1)*CROQUIS!$C$138)/2)+MIN(INT(($A314-1)/5),MAX((MIN(80,MAX(1,INT(((CROQUIS!$C$97)-CROQUIS!$C$107)/MAX(CROQUIS!$C$138,1))+1)))-1,0))*CROQUIS!$C$138)))*CROQUIS!$C$155)+IF(CROQUIS!$C$92="X",0,0)),-1000)</f>
        <v>-1000</v>
      </c>
      <c r="BR31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314-1)/5),MAX((MIN(80,MAX(1,INT(((CROQUIS!$C$97)-CROQUIS!$C$107)/MAX(CROQUIS!$C$138,1))+1)))-1,0))*CROQUIS!$C$138),CHOOSE(IF(INT(($A314-1)/5)&gt;MAX((MIN(80,MAX(1,INT(((CROQUIS!$C$97)-CROQUIS!$C$107)/MAX(CROQUIS!$C$138,1))+1)))-1,0),0,MOD($A314-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14">
        <f>IF(AND(CROQUIS!$C$88=1,CROQUIS!$C$91=0,CROQUIS!$C$138&gt;0,OR(CROQUIS!$C$106=1,CROQUIS!$C$143=1)),((CROQUIS!$C$157+(IF(CROQUIS!$C$92="X",CHOOSE(IF(INT(($A314-1)/5)&gt;MAX((MIN(80,MAX(1,INT(((CROQUIS!$C$97)-CROQUIS!$C$107)/MAX(CROQUIS!$C$138,1))+1)))-1,0),0,MOD($A314-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314-1)/5),MAX((MIN(80,MAX(1,INT(((CROQUIS!$C$97)-CROQUIS!$C$107)/MAX(CROQUIS!$C$138,1))+1)))-1,0))*CROQUIS!$C$138)))*CROQUIS!$C$155)+IF(CROQUIS!$C$92="X",0,0)),-1000)</f>
        <v>-1000</v>
      </c>
      <c r="BT314">
        <f>IF(AND(CROQUIS!$C$88=1,CROQUIS!$C$91=1,CROQUIS!$C$130&gt;0),((CROQUIS!$C$156+(IF(CROQUIS!$C$92="X",CHOOSE(IF(INT(($A314-1)/5)&gt;MAX((MIN(80,MAX(1,INT(((CROQUIS!$C$98)-CROQUIS!$C$107)/MAX(CROQUIS!$C$130,1))+1)))-1,0),0,MOD($A314-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314-1)/5),MAX((MIN(80,MAX(1,INT(((CROQUIS!$C$98)-CROQUIS!$C$107)/MAX(CROQUIS!$C$130,1))+1)))-1,0))*CROQUIS!$C$130)))*CROQUIS!$C$155)+IF(CROQUIS!$C$92="X",0,0)),-1000)</f>
        <v>-1000</v>
      </c>
      <c r="BU314">
        <f>IF(AND(CROQUIS!$C$88=1,CROQUIS!$C$91=1,CROQUIS!$C$130&gt;0),((CROQUIS!$C$157+(IF(CROQUIS!$C$92="X",((CROQUIS!$C$107/2+(((CROQUIS!$C$98)-CROQUIS!$C$107)-(MIN(80,MAX(1,INT(((CROQUIS!$C$98)-CROQUIS!$C$107)/MAX(CROQUIS!$C$130,1))+1))-1)*CROQUIS!$C$130)/2)+MIN(INT(($A314-1)/5),MAX((MIN(80,MAX(1,INT(((CROQUIS!$C$98)-CROQUIS!$C$107)/MAX(CROQUIS!$C$130,1))+1)))-1,0))*CROQUIS!$C$130),CHOOSE(IF(INT(($A314-1)/5)&gt;MAX((MIN(80,MAX(1,INT(((CROQUIS!$C$98)-CROQUIS!$C$107)/MAX(CROQUIS!$C$130,1))+1)))-1,0),0,MOD($A314-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15">
      <c r="A315" t="n">
        <v>308</v>
      </c>
      <c r="BH315">
        <f>IF(AND(CROQUIS!$C$88=1,CROQUIS!$C$126&gt;0),((CROQUIS!$C$156+(IF(CROQUIS!$C$92="X",CHOOSE(IF(INT(($A315-1)/5)&gt;MAX((MIN(80,MAX(1,INT(((CROQUIS!$C$98)-CROQUIS!$C$107)/MAX(CROQUIS!$C$126,1))+1)))-1,0),0,MOD($A315-1,5))+1,0,2,CROQUIS!$C$97-2,2,0),((CROQUIS!$C$107/2+(((CROQUIS!$C$98)-CROQUIS!$C$107)-(MIN(80,MAX(1,INT(((CROQUIS!$C$98)-CROQUIS!$C$107)/MAX(CROQUIS!$C$126,1))+1))-1)*CROQUIS!$C$126)/2)+MIN(INT(($A315-1)/5),MAX((MIN(80,MAX(1,INT(((CROQUIS!$C$98)-CROQUIS!$C$107)/MAX(CROQUIS!$C$126,1))+1)))-1,0))*CROQUIS!$C$126)))*CROQUIS!$C$155)+IF(CROQUIS!$C$92="X",0,0)),-1000)</f>
        <v>-1000</v>
      </c>
      <c r="BI315">
        <f>IF(AND(CROQUIS!$C$88=1,CROQUIS!$C$126&gt;0),((CROQUIS!$C$157+(IF(CROQUIS!$C$92="X",((CROQUIS!$C$107/2+(((CROQUIS!$C$98)-CROQUIS!$C$107)-(MIN(80,MAX(1,INT(((CROQUIS!$C$98)-CROQUIS!$C$107)/MAX(CROQUIS!$C$126,1))+1))-1)*CROQUIS!$C$126)/2)+MIN(INT(($A315-1)/5),MAX((MIN(80,MAX(1,INT(((CROQUIS!$C$98)-CROQUIS!$C$107)/MAX(CROQUIS!$C$126,1))+1)))-1,0))*CROQUIS!$C$126),CHOOSE(IF(INT(($A315-1)/5)&gt;MAX((MIN(80,MAX(1,INT(((CROQUIS!$C$98)-CROQUIS!$C$107)/MAX(CROQUIS!$C$126,1))+1)))-1,0),0,MOD($A315-1,5))+1,0,2,CROQUIS!$C$97-2,2,0)))*CROQUIS!$C$155)+IF(CROQUIS!$C$92="X",0,0)),-1000)</f>
        <v>-1000</v>
      </c>
      <c r="BJ315">
        <f>IF(AND(CROQUIS!$C$88=1,CROQUIS!$C$134&gt;0),((CROQUIS!$C$156+(IF(CROQUIS!$C$92="X",((CROQUIS!$C$107/2+(((CROQUIS!$C$97)-CROQUIS!$C$107)-(MIN(80,MAX(1,INT(((CROQUIS!$C$97)-CROQUIS!$C$107)/MAX(CROQUIS!$C$134,1))+1))-1)*CROQUIS!$C$134)/2)+MIN(INT(($A315-1)/5),MAX((MIN(80,MAX(1,INT(((CROQUIS!$C$97)-CROQUIS!$C$107)/MAX(CROQUIS!$C$134,1))+1)))-1,0))*CROQUIS!$C$134),CHOOSE(IF(INT(($A315-1)/5)&gt;MAX((MIN(80,MAX(1,INT(((CROQUIS!$C$97)-CROQUIS!$C$107)/MAX(CROQUIS!$C$134,1))+1)))-1,0),0,MOD($A315-1,5))+1,0,2,CROQUIS!$C$98-2,2,0)))*CROQUIS!$C$155)+IF(CROQUIS!$C$92="X",0,0)),-1000)</f>
        <v>-1000</v>
      </c>
      <c r="BK315">
        <f>IF(AND(CROQUIS!$C$88=1,CROQUIS!$C$134&gt;0),((CROQUIS!$C$157+(IF(CROQUIS!$C$92="X",CHOOSE(IF(INT(($A315-1)/5)&gt;MAX((MIN(80,MAX(1,INT(((CROQUIS!$C$97)-CROQUIS!$C$107)/MAX(CROQUIS!$C$134,1))+1)))-1,0),0,MOD($A315-1,5))+1,0,2,CROQUIS!$C$98-2,2,0),((CROQUIS!$C$107/2+(((CROQUIS!$C$97)-CROQUIS!$C$107)-(MIN(80,MAX(1,INT(((CROQUIS!$C$97)-CROQUIS!$C$107)/MAX(CROQUIS!$C$134,1))+1))-1)*CROQUIS!$C$134)/2)+MIN(INT(($A315-1)/5),MAX((MIN(80,MAX(1,INT(((CROQUIS!$C$97)-CROQUIS!$C$107)/MAX(CROQUIS!$C$134,1))+1)))-1,0))*CROQUIS!$C$134)))*CROQUIS!$C$155)+IF(CROQUIS!$C$92="X",0,0)),-1000)</f>
        <v>-1000</v>
      </c>
      <c r="BL315">
        <f>IF(AND(CROQUIS!$C$88=1,CROQUIS!$C$91=0,CROQUIS!$C$130&gt;0,OR(CROQUIS!$C$103=1,CROQUIS!$C$142=1)),((CROQUIS!$C$156+(IF(CROQUIS!$C$92="X",CHOOSE(IF(INT(($A315-1)/5)&gt;MAX((MIN(80,MAX(1,INT(((CROQUIS!$C$98)-CROQUIS!$C$107)/MAX(CROQUIS!$C$130,1))+1)))-1,0),0,MOD($A315-1,5))+1,0,IF(CROQUIS!$C$103=1,-12,2),CROQUIS!$C$107/2+CROQUIS!$C$140,IF(CROQUIS!$C$103=1,-12,2),0),((CROQUIS!$C$107/2+(((CROQUIS!$C$98)-CROQUIS!$C$107)-(MIN(80,MAX(1,INT(((CROQUIS!$C$98)-CROQUIS!$C$107)/MAX(CROQUIS!$C$130,1))+1))-1)*CROQUIS!$C$130)/2)+MIN(INT(($A315-1)/5),MAX((MIN(80,MAX(1,INT(((CROQUIS!$C$98)-CROQUIS!$C$107)/MAX(CROQUIS!$C$130,1))+1)))-1,0))*CROQUIS!$C$130)))*CROQUIS!$C$155)+IF(CROQUIS!$C$92="X",0,0)),-1000)</f>
        <v>-1000</v>
      </c>
      <c r="BM31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315-1)/5),MAX((MIN(80,MAX(1,INT(((CROQUIS!$C$98)-CROQUIS!$C$107)/MAX(CROQUIS!$C$130,1))+1)))-1,0))*CROQUIS!$C$130),CHOOSE(IF(INT(($A315-1)/5)&gt;MAX((MIN(80,MAX(1,INT(((CROQUIS!$C$98)-CROQUIS!$C$107)/MAX(CROQUIS!$C$130,1))+1)))-1,0),0,MOD($A315-1,5))+1,0,IF(CROQUIS!$C$103=1,-12,2),CROQUIS!$C$107/2+CROQUIS!$C$140,IF(CROQUIS!$C$103=1,-12,2),0)))*CROQUIS!$C$155)+IF(CROQUIS!$C$92="X",0,0)),-1000)</f>
        <v>-1000</v>
      </c>
      <c r="BN315">
        <f>IF(AND(CROQUIS!$C$88=1,CROQUIS!$C$91=0,CROQUIS!$C$130&gt;0,OR(CROQUIS!$C$104=1,CROQUIS!$C$142=1)),((CROQUIS!$C$156+(IF(CROQUIS!$C$92="X",CHOOSE(IF(INT(($A315-1)/5)&gt;MAX((MIN(80,MAX(1,INT(((CROQUIS!$C$98)-CROQUIS!$C$107)/MAX(CROQUIS!$C$130,1))+1)))-1,0),0,MOD($A315-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315-1)/5),MAX((MIN(80,MAX(1,INT(((CROQUIS!$C$98)-CROQUIS!$C$107)/MAX(CROQUIS!$C$130,1))+1)))-1,0))*CROQUIS!$C$130)))*CROQUIS!$C$155)+IF(CROQUIS!$C$92="X",0,0)),-1000)</f>
        <v>-1000</v>
      </c>
      <c r="BO31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315-1)/5),MAX((MIN(80,MAX(1,INT(((CROQUIS!$C$98)-CROQUIS!$C$107)/MAX(CROQUIS!$C$130,1))+1)))-1,0))*CROQUIS!$C$130),CHOOSE(IF(INT(($A315-1)/5)&gt;MAX((MIN(80,MAX(1,INT(((CROQUIS!$C$98)-CROQUIS!$C$107)/MAX(CROQUIS!$C$130,1))+1)))-1,0),0,MOD($A315-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1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315-1)/5),MAX((MIN(80,MAX(1,INT(((CROQUIS!$C$97)-CROQUIS!$C$107)/MAX(CROQUIS!$C$138,1))+1)))-1,0))*CROQUIS!$C$138),CHOOSE(IF(INT(($A315-1)/5)&gt;MAX((MIN(80,MAX(1,INT(((CROQUIS!$C$97)-CROQUIS!$C$107)/MAX(CROQUIS!$C$138,1))+1)))-1,0),0,MOD($A315-1,5))+1,0,IF(CROQUIS!$C$105=1,-12,2),CROQUIS!$C$107/2+CROQUIS!$C$141,IF(CROQUIS!$C$105=1,-12,2),0)))*CROQUIS!$C$155)+IF(CROQUIS!$C$92="X",0,0)),-1000)</f>
        <v>-1000</v>
      </c>
      <c r="BQ315">
        <f>IF(AND(CROQUIS!$C$88=1,CROQUIS!$C$91=0,CROQUIS!$C$138&gt;0,OR(CROQUIS!$C$105=1,CROQUIS!$C$143=1)),((CROQUIS!$C$157+(IF(CROQUIS!$C$92="X",CHOOSE(IF(INT(($A315-1)/5)&gt;MAX((MIN(80,MAX(1,INT(((CROQUIS!$C$97)-CROQUIS!$C$107)/MAX(CROQUIS!$C$138,1))+1)))-1,0),0,MOD($A315-1,5))+1,0,IF(CROQUIS!$C$105=1,-12,2),CROQUIS!$C$107/2+CROQUIS!$C$141,IF(CROQUIS!$C$105=1,-12,2),0),((CROQUIS!$C$107/2+(((CROQUIS!$C$97)-CROQUIS!$C$107)-(MIN(80,MAX(1,INT(((CROQUIS!$C$97)-CROQUIS!$C$107)/MAX(CROQUIS!$C$138,1))+1))-1)*CROQUIS!$C$138)/2)+MIN(INT(($A315-1)/5),MAX((MIN(80,MAX(1,INT(((CROQUIS!$C$97)-CROQUIS!$C$107)/MAX(CROQUIS!$C$138,1))+1)))-1,0))*CROQUIS!$C$138)))*CROQUIS!$C$155)+IF(CROQUIS!$C$92="X",0,0)),-1000)</f>
        <v>-1000</v>
      </c>
      <c r="BR31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315-1)/5),MAX((MIN(80,MAX(1,INT(((CROQUIS!$C$97)-CROQUIS!$C$107)/MAX(CROQUIS!$C$138,1))+1)))-1,0))*CROQUIS!$C$138),CHOOSE(IF(INT(($A315-1)/5)&gt;MAX((MIN(80,MAX(1,INT(((CROQUIS!$C$97)-CROQUIS!$C$107)/MAX(CROQUIS!$C$138,1))+1)))-1,0),0,MOD($A315-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15">
        <f>IF(AND(CROQUIS!$C$88=1,CROQUIS!$C$91=0,CROQUIS!$C$138&gt;0,OR(CROQUIS!$C$106=1,CROQUIS!$C$143=1)),((CROQUIS!$C$157+(IF(CROQUIS!$C$92="X",CHOOSE(IF(INT(($A315-1)/5)&gt;MAX((MIN(80,MAX(1,INT(((CROQUIS!$C$97)-CROQUIS!$C$107)/MAX(CROQUIS!$C$138,1))+1)))-1,0),0,MOD($A315-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315-1)/5),MAX((MIN(80,MAX(1,INT(((CROQUIS!$C$97)-CROQUIS!$C$107)/MAX(CROQUIS!$C$138,1))+1)))-1,0))*CROQUIS!$C$138)))*CROQUIS!$C$155)+IF(CROQUIS!$C$92="X",0,0)),-1000)</f>
        <v>-1000</v>
      </c>
      <c r="BT315">
        <f>IF(AND(CROQUIS!$C$88=1,CROQUIS!$C$91=1,CROQUIS!$C$130&gt;0),((CROQUIS!$C$156+(IF(CROQUIS!$C$92="X",CHOOSE(IF(INT(($A315-1)/5)&gt;MAX((MIN(80,MAX(1,INT(((CROQUIS!$C$98)-CROQUIS!$C$107)/MAX(CROQUIS!$C$130,1))+1)))-1,0),0,MOD($A315-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315-1)/5),MAX((MIN(80,MAX(1,INT(((CROQUIS!$C$98)-CROQUIS!$C$107)/MAX(CROQUIS!$C$130,1))+1)))-1,0))*CROQUIS!$C$130)))*CROQUIS!$C$155)+IF(CROQUIS!$C$92="X",0,0)),-1000)</f>
        <v>-1000</v>
      </c>
      <c r="BU315">
        <f>IF(AND(CROQUIS!$C$88=1,CROQUIS!$C$91=1,CROQUIS!$C$130&gt;0),((CROQUIS!$C$157+(IF(CROQUIS!$C$92="X",((CROQUIS!$C$107/2+(((CROQUIS!$C$98)-CROQUIS!$C$107)-(MIN(80,MAX(1,INT(((CROQUIS!$C$98)-CROQUIS!$C$107)/MAX(CROQUIS!$C$130,1))+1))-1)*CROQUIS!$C$130)/2)+MIN(INT(($A315-1)/5),MAX((MIN(80,MAX(1,INT(((CROQUIS!$C$98)-CROQUIS!$C$107)/MAX(CROQUIS!$C$130,1))+1)))-1,0))*CROQUIS!$C$130),CHOOSE(IF(INT(($A315-1)/5)&gt;MAX((MIN(80,MAX(1,INT(((CROQUIS!$C$98)-CROQUIS!$C$107)/MAX(CROQUIS!$C$130,1))+1)))-1,0),0,MOD($A315-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16">
      <c r="A316" t="n">
        <v>309</v>
      </c>
      <c r="BH316">
        <f>IF(AND(CROQUIS!$C$88=1,CROQUIS!$C$126&gt;0),((CROQUIS!$C$156+(IF(CROQUIS!$C$92="X",CHOOSE(IF(INT(($A316-1)/5)&gt;MAX((MIN(80,MAX(1,INT(((CROQUIS!$C$98)-CROQUIS!$C$107)/MAX(CROQUIS!$C$126,1))+1)))-1,0),0,MOD($A316-1,5))+1,0,2,CROQUIS!$C$97-2,2,0),((CROQUIS!$C$107/2+(((CROQUIS!$C$98)-CROQUIS!$C$107)-(MIN(80,MAX(1,INT(((CROQUIS!$C$98)-CROQUIS!$C$107)/MAX(CROQUIS!$C$126,1))+1))-1)*CROQUIS!$C$126)/2)+MIN(INT(($A316-1)/5),MAX((MIN(80,MAX(1,INT(((CROQUIS!$C$98)-CROQUIS!$C$107)/MAX(CROQUIS!$C$126,1))+1)))-1,0))*CROQUIS!$C$126)))*CROQUIS!$C$155)+IF(CROQUIS!$C$92="X",0,0)),-1000)</f>
        <v>-1000</v>
      </c>
      <c r="BI316">
        <f>IF(AND(CROQUIS!$C$88=1,CROQUIS!$C$126&gt;0),((CROQUIS!$C$157+(IF(CROQUIS!$C$92="X",((CROQUIS!$C$107/2+(((CROQUIS!$C$98)-CROQUIS!$C$107)-(MIN(80,MAX(1,INT(((CROQUIS!$C$98)-CROQUIS!$C$107)/MAX(CROQUIS!$C$126,1))+1))-1)*CROQUIS!$C$126)/2)+MIN(INT(($A316-1)/5),MAX((MIN(80,MAX(1,INT(((CROQUIS!$C$98)-CROQUIS!$C$107)/MAX(CROQUIS!$C$126,1))+1)))-1,0))*CROQUIS!$C$126),CHOOSE(IF(INT(($A316-1)/5)&gt;MAX((MIN(80,MAX(1,INT(((CROQUIS!$C$98)-CROQUIS!$C$107)/MAX(CROQUIS!$C$126,1))+1)))-1,0),0,MOD($A316-1,5))+1,0,2,CROQUIS!$C$97-2,2,0)))*CROQUIS!$C$155)+IF(CROQUIS!$C$92="X",0,0)),-1000)</f>
        <v>-1000</v>
      </c>
      <c r="BJ316">
        <f>IF(AND(CROQUIS!$C$88=1,CROQUIS!$C$134&gt;0),((CROQUIS!$C$156+(IF(CROQUIS!$C$92="X",((CROQUIS!$C$107/2+(((CROQUIS!$C$97)-CROQUIS!$C$107)-(MIN(80,MAX(1,INT(((CROQUIS!$C$97)-CROQUIS!$C$107)/MAX(CROQUIS!$C$134,1))+1))-1)*CROQUIS!$C$134)/2)+MIN(INT(($A316-1)/5),MAX((MIN(80,MAX(1,INT(((CROQUIS!$C$97)-CROQUIS!$C$107)/MAX(CROQUIS!$C$134,1))+1)))-1,0))*CROQUIS!$C$134),CHOOSE(IF(INT(($A316-1)/5)&gt;MAX((MIN(80,MAX(1,INT(((CROQUIS!$C$97)-CROQUIS!$C$107)/MAX(CROQUIS!$C$134,1))+1)))-1,0),0,MOD($A316-1,5))+1,0,2,CROQUIS!$C$98-2,2,0)))*CROQUIS!$C$155)+IF(CROQUIS!$C$92="X",0,0)),-1000)</f>
        <v>-1000</v>
      </c>
      <c r="BK316">
        <f>IF(AND(CROQUIS!$C$88=1,CROQUIS!$C$134&gt;0),((CROQUIS!$C$157+(IF(CROQUIS!$C$92="X",CHOOSE(IF(INT(($A316-1)/5)&gt;MAX((MIN(80,MAX(1,INT(((CROQUIS!$C$97)-CROQUIS!$C$107)/MAX(CROQUIS!$C$134,1))+1)))-1,0),0,MOD($A316-1,5))+1,0,2,CROQUIS!$C$98-2,2,0),((CROQUIS!$C$107/2+(((CROQUIS!$C$97)-CROQUIS!$C$107)-(MIN(80,MAX(1,INT(((CROQUIS!$C$97)-CROQUIS!$C$107)/MAX(CROQUIS!$C$134,1))+1))-1)*CROQUIS!$C$134)/2)+MIN(INT(($A316-1)/5),MAX((MIN(80,MAX(1,INT(((CROQUIS!$C$97)-CROQUIS!$C$107)/MAX(CROQUIS!$C$134,1))+1)))-1,0))*CROQUIS!$C$134)))*CROQUIS!$C$155)+IF(CROQUIS!$C$92="X",0,0)),-1000)</f>
        <v>-1000</v>
      </c>
      <c r="BL316">
        <f>IF(AND(CROQUIS!$C$88=1,CROQUIS!$C$91=0,CROQUIS!$C$130&gt;0,OR(CROQUIS!$C$103=1,CROQUIS!$C$142=1)),((CROQUIS!$C$156+(IF(CROQUIS!$C$92="X",CHOOSE(IF(INT(($A316-1)/5)&gt;MAX((MIN(80,MAX(1,INT(((CROQUIS!$C$98)-CROQUIS!$C$107)/MAX(CROQUIS!$C$130,1))+1)))-1,0),0,MOD($A316-1,5))+1,0,IF(CROQUIS!$C$103=1,-12,2),CROQUIS!$C$107/2+CROQUIS!$C$140,IF(CROQUIS!$C$103=1,-12,2),0),((CROQUIS!$C$107/2+(((CROQUIS!$C$98)-CROQUIS!$C$107)-(MIN(80,MAX(1,INT(((CROQUIS!$C$98)-CROQUIS!$C$107)/MAX(CROQUIS!$C$130,1))+1))-1)*CROQUIS!$C$130)/2)+MIN(INT(($A316-1)/5),MAX((MIN(80,MAX(1,INT(((CROQUIS!$C$98)-CROQUIS!$C$107)/MAX(CROQUIS!$C$130,1))+1)))-1,0))*CROQUIS!$C$130)))*CROQUIS!$C$155)+IF(CROQUIS!$C$92="X",0,0)),-1000)</f>
        <v>-1000</v>
      </c>
      <c r="BM31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316-1)/5),MAX((MIN(80,MAX(1,INT(((CROQUIS!$C$98)-CROQUIS!$C$107)/MAX(CROQUIS!$C$130,1))+1)))-1,0))*CROQUIS!$C$130),CHOOSE(IF(INT(($A316-1)/5)&gt;MAX((MIN(80,MAX(1,INT(((CROQUIS!$C$98)-CROQUIS!$C$107)/MAX(CROQUIS!$C$130,1))+1)))-1,0),0,MOD($A316-1,5))+1,0,IF(CROQUIS!$C$103=1,-12,2),CROQUIS!$C$107/2+CROQUIS!$C$140,IF(CROQUIS!$C$103=1,-12,2),0)))*CROQUIS!$C$155)+IF(CROQUIS!$C$92="X",0,0)),-1000)</f>
        <v>-1000</v>
      </c>
      <c r="BN316">
        <f>IF(AND(CROQUIS!$C$88=1,CROQUIS!$C$91=0,CROQUIS!$C$130&gt;0,OR(CROQUIS!$C$104=1,CROQUIS!$C$142=1)),((CROQUIS!$C$156+(IF(CROQUIS!$C$92="X",CHOOSE(IF(INT(($A316-1)/5)&gt;MAX((MIN(80,MAX(1,INT(((CROQUIS!$C$98)-CROQUIS!$C$107)/MAX(CROQUIS!$C$130,1))+1)))-1,0),0,MOD($A316-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316-1)/5),MAX((MIN(80,MAX(1,INT(((CROQUIS!$C$98)-CROQUIS!$C$107)/MAX(CROQUIS!$C$130,1))+1)))-1,0))*CROQUIS!$C$130)))*CROQUIS!$C$155)+IF(CROQUIS!$C$92="X",0,0)),-1000)</f>
        <v>-1000</v>
      </c>
      <c r="BO31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316-1)/5),MAX((MIN(80,MAX(1,INT(((CROQUIS!$C$98)-CROQUIS!$C$107)/MAX(CROQUIS!$C$130,1))+1)))-1,0))*CROQUIS!$C$130),CHOOSE(IF(INT(($A316-1)/5)&gt;MAX((MIN(80,MAX(1,INT(((CROQUIS!$C$98)-CROQUIS!$C$107)/MAX(CROQUIS!$C$130,1))+1)))-1,0),0,MOD($A316-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1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316-1)/5),MAX((MIN(80,MAX(1,INT(((CROQUIS!$C$97)-CROQUIS!$C$107)/MAX(CROQUIS!$C$138,1))+1)))-1,0))*CROQUIS!$C$138),CHOOSE(IF(INT(($A316-1)/5)&gt;MAX((MIN(80,MAX(1,INT(((CROQUIS!$C$97)-CROQUIS!$C$107)/MAX(CROQUIS!$C$138,1))+1)))-1,0),0,MOD($A316-1,5))+1,0,IF(CROQUIS!$C$105=1,-12,2),CROQUIS!$C$107/2+CROQUIS!$C$141,IF(CROQUIS!$C$105=1,-12,2),0)))*CROQUIS!$C$155)+IF(CROQUIS!$C$92="X",0,0)),-1000)</f>
        <v>-1000</v>
      </c>
      <c r="BQ316">
        <f>IF(AND(CROQUIS!$C$88=1,CROQUIS!$C$91=0,CROQUIS!$C$138&gt;0,OR(CROQUIS!$C$105=1,CROQUIS!$C$143=1)),((CROQUIS!$C$157+(IF(CROQUIS!$C$92="X",CHOOSE(IF(INT(($A316-1)/5)&gt;MAX((MIN(80,MAX(1,INT(((CROQUIS!$C$97)-CROQUIS!$C$107)/MAX(CROQUIS!$C$138,1))+1)))-1,0),0,MOD($A316-1,5))+1,0,IF(CROQUIS!$C$105=1,-12,2),CROQUIS!$C$107/2+CROQUIS!$C$141,IF(CROQUIS!$C$105=1,-12,2),0),((CROQUIS!$C$107/2+(((CROQUIS!$C$97)-CROQUIS!$C$107)-(MIN(80,MAX(1,INT(((CROQUIS!$C$97)-CROQUIS!$C$107)/MAX(CROQUIS!$C$138,1))+1))-1)*CROQUIS!$C$138)/2)+MIN(INT(($A316-1)/5),MAX((MIN(80,MAX(1,INT(((CROQUIS!$C$97)-CROQUIS!$C$107)/MAX(CROQUIS!$C$138,1))+1)))-1,0))*CROQUIS!$C$138)))*CROQUIS!$C$155)+IF(CROQUIS!$C$92="X",0,0)),-1000)</f>
        <v>-1000</v>
      </c>
      <c r="BR31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316-1)/5),MAX((MIN(80,MAX(1,INT(((CROQUIS!$C$97)-CROQUIS!$C$107)/MAX(CROQUIS!$C$138,1))+1)))-1,0))*CROQUIS!$C$138),CHOOSE(IF(INT(($A316-1)/5)&gt;MAX((MIN(80,MAX(1,INT(((CROQUIS!$C$97)-CROQUIS!$C$107)/MAX(CROQUIS!$C$138,1))+1)))-1,0),0,MOD($A316-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16">
        <f>IF(AND(CROQUIS!$C$88=1,CROQUIS!$C$91=0,CROQUIS!$C$138&gt;0,OR(CROQUIS!$C$106=1,CROQUIS!$C$143=1)),((CROQUIS!$C$157+(IF(CROQUIS!$C$92="X",CHOOSE(IF(INT(($A316-1)/5)&gt;MAX((MIN(80,MAX(1,INT(((CROQUIS!$C$97)-CROQUIS!$C$107)/MAX(CROQUIS!$C$138,1))+1)))-1,0),0,MOD($A316-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316-1)/5),MAX((MIN(80,MAX(1,INT(((CROQUIS!$C$97)-CROQUIS!$C$107)/MAX(CROQUIS!$C$138,1))+1)))-1,0))*CROQUIS!$C$138)))*CROQUIS!$C$155)+IF(CROQUIS!$C$92="X",0,0)),-1000)</f>
        <v>-1000</v>
      </c>
      <c r="BT316">
        <f>IF(AND(CROQUIS!$C$88=1,CROQUIS!$C$91=1,CROQUIS!$C$130&gt;0),((CROQUIS!$C$156+(IF(CROQUIS!$C$92="X",CHOOSE(IF(INT(($A316-1)/5)&gt;MAX((MIN(80,MAX(1,INT(((CROQUIS!$C$98)-CROQUIS!$C$107)/MAX(CROQUIS!$C$130,1))+1)))-1,0),0,MOD($A316-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316-1)/5),MAX((MIN(80,MAX(1,INT(((CROQUIS!$C$98)-CROQUIS!$C$107)/MAX(CROQUIS!$C$130,1))+1)))-1,0))*CROQUIS!$C$130)))*CROQUIS!$C$155)+IF(CROQUIS!$C$92="X",0,0)),-1000)</f>
        <v>-1000</v>
      </c>
      <c r="BU316">
        <f>IF(AND(CROQUIS!$C$88=1,CROQUIS!$C$91=1,CROQUIS!$C$130&gt;0),((CROQUIS!$C$157+(IF(CROQUIS!$C$92="X",((CROQUIS!$C$107/2+(((CROQUIS!$C$98)-CROQUIS!$C$107)-(MIN(80,MAX(1,INT(((CROQUIS!$C$98)-CROQUIS!$C$107)/MAX(CROQUIS!$C$130,1))+1))-1)*CROQUIS!$C$130)/2)+MIN(INT(($A316-1)/5),MAX((MIN(80,MAX(1,INT(((CROQUIS!$C$98)-CROQUIS!$C$107)/MAX(CROQUIS!$C$130,1))+1)))-1,0))*CROQUIS!$C$130),CHOOSE(IF(INT(($A316-1)/5)&gt;MAX((MIN(80,MAX(1,INT(((CROQUIS!$C$98)-CROQUIS!$C$107)/MAX(CROQUIS!$C$130,1))+1)))-1,0),0,MOD($A316-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17">
      <c r="A317" t="n">
        <v>310</v>
      </c>
      <c r="BH317">
        <f>IF(AND(CROQUIS!$C$88=1,CROQUIS!$C$126&gt;0),((CROQUIS!$C$156+(IF(CROQUIS!$C$92="X",CHOOSE(IF(INT(($A317-1)/5)&gt;MAX((MIN(80,MAX(1,INT(((CROQUIS!$C$98)-CROQUIS!$C$107)/MAX(CROQUIS!$C$126,1))+1)))-1,0),0,MOD($A317-1,5))+1,0,2,CROQUIS!$C$97-2,2,0),((CROQUIS!$C$107/2+(((CROQUIS!$C$98)-CROQUIS!$C$107)-(MIN(80,MAX(1,INT(((CROQUIS!$C$98)-CROQUIS!$C$107)/MAX(CROQUIS!$C$126,1))+1))-1)*CROQUIS!$C$126)/2)+MIN(INT(($A317-1)/5),MAX((MIN(80,MAX(1,INT(((CROQUIS!$C$98)-CROQUIS!$C$107)/MAX(CROQUIS!$C$126,1))+1)))-1,0))*CROQUIS!$C$126)))*CROQUIS!$C$155)+IF(CROQUIS!$C$92="X",0,0)),-1000)</f>
        <v>-1000</v>
      </c>
      <c r="BI317">
        <f>IF(AND(CROQUIS!$C$88=1,CROQUIS!$C$126&gt;0),((CROQUIS!$C$157+(IF(CROQUIS!$C$92="X",((CROQUIS!$C$107/2+(((CROQUIS!$C$98)-CROQUIS!$C$107)-(MIN(80,MAX(1,INT(((CROQUIS!$C$98)-CROQUIS!$C$107)/MAX(CROQUIS!$C$126,1))+1))-1)*CROQUIS!$C$126)/2)+MIN(INT(($A317-1)/5),MAX((MIN(80,MAX(1,INT(((CROQUIS!$C$98)-CROQUIS!$C$107)/MAX(CROQUIS!$C$126,1))+1)))-1,0))*CROQUIS!$C$126),CHOOSE(IF(INT(($A317-1)/5)&gt;MAX((MIN(80,MAX(1,INT(((CROQUIS!$C$98)-CROQUIS!$C$107)/MAX(CROQUIS!$C$126,1))+1)))-1,0),0,MOD($A317-1,5))+1,0,2,CROQUIS!$C$97-2,2,0)))*CROQUIS!$C$155)+IF(CROQUIS!$C$92="X",0,0)),-1000)</f>
        <v>-1000</v>
      </c>
      <c r="BJ317">
        <f>IF(AND(CROQUIS!$C$88=1,CROQUIS!$C$134&gt;0),((CROQUIS!$C$156+(IF(CROQUIS!$C$92="X",((CROQUIS!$C$107/2+(((CROQUIS!$C$97)-CROQUIS!$C$107)-(MIN(80,MAX(1,INT(((CROQUIS!$C$97)-CROQUIS!$C$107)/MAX(CROQUIS!$C$134,1))+1))-1)*CROQUIS!$C$134)/2)+MIN(INT(($A317-1)/5),MAX((MIN(80,MAX(1,INT(((CROQUIS!$C$97)-CROQUIS!$C$107)/MAX(CROQUIS!$C$134,1))+1)))-1,0))*CROQUIS!$C$134),CHOOSE(IF(INT(($A317-1)/5)&gt;MAX((MIN(80,MAX(1,INT(((CROQUIS!$C$97)-CROQUIS!$C$107)/MAX(CROQUIS!$C$134,1))+1)))-1,0),0,MOD($A317-1,5))+1,0,2,CROQUIS!$C$98-2,2,0)))*CROQUIS!$C$155)+IF(CROQUIS!$C$92="X",0,0)),-1000)</f>
        <v>-1000</v>
      </c>
      <c r="BK317">
        <f>IF(AND(CROQUIS!$C$88=1,CROQUIS!$C$134&gt;0),((CROQUIS!$C$157+(IF(CROQUIS!$C$92="X",CHOOSE(IF(INT(($A317-1)/5)&gt;MAX((MIN(80,MAX(1,INT(((CROQUIS!$C$97)-CROQUIS!$C$107)/MAX(CROQUIS!$C$134,1))+1)))-1,0),0,MOD($A317-1,5))+1,0,2,CROQUIS!$C$98-2,2,0),((CROQUIS!$C$107/2+(((CROQUIS!$C$97)-CROQUIS!$C$107)-(MIN(80,MAX(1,INT(((CROQUIS!$C$97)-CROQUIS!$C$107)/MAX(CROQUIS!$C$134,1))+1))-1)*CROQUIS!$C$134)/2)+MIN(INT(($A317-1)/5),MAX((MIN(80,MAX(1,INT(((CROQUIS!$C$97)-CROQUIS!$C$107)/MAX(CROQUIS!$C$134,1))+1)))-1,0))*CROQUIS!$C$134)))*CROQUIS!$C$155)+IF(CROQUIS!$C$92="X",0,0)),-1000)</f>
        <v>-1000</v>
      </c>
      <c r="BL317">
        <f>IF(AND(CROQUIS!$C$88=1,CROQUIS!$C$91=0,CROQUIS!$C$130&gt;0,OR(CROQUIS!$C$103=1,CROQUIS!$C$142=1)),((CROQUIS!$C$156+(IF(CROQUIS!$C$92="X",CHOOSE(IF(INT(($A317-1)/5)&gt;MAX((MIN(80,MAX(1,INT(((CROQUIS!$C$98)-CROQUIS!$C$107)/MAX(CROQUIS!$C$130,1))+1)))-1,0),0,MOD($A317-1,5))+1,0,IF(CROQUIS!$C$103=1,-12,2),CROQUIS!$C$107/2+CROQUIS!$C$140,IF(CROQUIS!$C$103=1,-12,2),0),((CROQUIS!$C$107/2+(((CROQUIS!$C$98)-CROQUIS!$C$107)-(MIN(80,MAX(1,INT(((CROQUIS!$C$98)-CROQUIS!$C$107)/MAX(CROQUIS!$C$130,1))+1))-1)*CROQUIS!$C$130)/2)+MIN(INT(($A317-1)/5),MAX((MIN(80,MAX(1,INT(((CROQUIS!$C$98)-CROQUIS!$C$107)/MAX(CROQUIS!$C$130,1))+1)))-1,0))*CROQUIS!$C$130)))*CROQUIS!$C$155)+IF(CROQUIS!$C$92="X",0,0)),-1000)</f>
        <v>-1000</v>
      </c>
      <c r="BM31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317-1)/5),MAX((MIN(80,MAX(1,INT(((CROQUIS!$C$98)-CROQUIS!$C$107)/MAX(CROQUIS!$C$130,1))+1)))-1,0))*CROQUIS!$C$130),CHOOSE(IF(INT(($A317-1)/5)&gt;MAX((MIN(80,MAX(1,INT(((CROQUIS!$C$98)-CROQUIS!$C$107)/MAX(CROQUIS!$C$130,1))+1)))-1,0),0,MOD($A317-1,5))+1,0,IF(CROQUIS!$C$103=1,-12,2),CROQUIS!$C$107/2+CROQUIS!$C$140,IF(CROQUIS!$C$103=1,-12,2),0)))*CROQUIS!$C$155)+IF(CROQUIS!$C$92="X",0,0)),-1000)</f>
        <v>-1000</v>
      </c>
      <c r="BN317">
        <f>IF(AND(CROQUIS!$C$88=1,CROQUIS!$C$91=0,CROQUIS!$C$130&gt;0,OR(CROQUIS!$C$104=1,CROQUIS!$C$142=1)),((CROQUIS!$C$156+(IF(CROQUIS!$C$92="X",CHOOSE(IF(INT(($A317-1)/5)&gt;MAX((MIN(80,MAX(1,INT(((CROQUIS!$C$98)-CROQUIS!$C$107)/MAX(CROQUIS!$C$130,1))+1)))-1,0),0,MOD($A317-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317-1)/5),MAX((MIN(80,MAX(1,INT(((CROQUIS!$C$98)-CROQUIS!$C$107)/MAX(CROQUIS!$C$130,1))+1)))-1,0))*CROQUIS!$C$130)))*CROQUIS!$C$155)+IF(CROQUIS!$C$92="X",0,0)),-1000)</f>
        <v>-1000</v>
      </c>
      <c r="BO31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317-1)/5),MAX((MIN(80,MAX(1,INT(((CROQUIS!$C$98)-CROQUIS!$C$107)/MAX(CROQUIS!$C$130,1))+1)))-1,0))*CROQUIS!$C$130),CHOOSE(IF(INT(($A317-1)/5)&gt;MAX((MIN(80,MAX(1,INT(((CROQUIS!$C$98)-CROQUIS!$C$107)/MAX(CROQUIS!$C$130,1))+1)))-1,0),0,MOD($A317-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1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317-1)/5),MAX((MIN(80,MAX(1,INT(((CROQUIS!$C$97)-CROQUIS!$C$107)/MAX(CROQUIS!$C$138,1))+1)))-1,0))*CROQUIS!$C$138),CHOOSE(IF(INT(($A317-1)/5)&gt;MAX((MIN(80,MAX(1,INT(((CROQUIS!$C$97)-CROQUIS!$C$107)/MAX(CROQUIS!$C$138,1))+1)))-1,0),0,MOD($A317-1,5))+1,0,IF(CROQUIS!$C$105=1,-12,2),CROQUIS!$C$107/2+CROQUIS!$C$141,IF(CROQUIS!$C$105=1,-12,2),0)))*CROQUIS!$C$155)+IF(CROQUIS!$C$92="X",0,0)),-1000)</f>
        <v>-1000</v>
      </c>
      <c r="BQ317">
        <f>IF(AND(CROQUIS!$C$88=1,CROQUIS!$C$91=0,CROQUIS!$C$138&gt;0,OR(CROQUIS!$C$105=1,CROQUIS!$C$143=1)),((CROQUIS!$C$157+(IF(CROQUIS!$C$92="X",CHOOSE(IF(INT(($A317-1)/5)&gt;MAX((MIN(80,MAX(1,INT(((CROQUIS!$C$97)-CROQUIS!$C$107)/MAX(CROQUIS!$C$138,1))+1)))-1,0),0,MOD($A317-1,5))+1,0,IF(CROQUIS!$C$105=1,-12,2),CROQUIS!$C$107/2+CROQUIS!$C$141,IF(CROQUIS!$C$105=1,-12,2),0),((CROQUIS!$C$107/2+(((CROQUIS!$C$97)-CROQUIS!$C$107)-(MIN(80,MAX(1,INT(((CROQUIS!$C$97)-CROQUIS!$C$107)/MAX(CROQUIS!$C$138,1))+1))-1)*CROQUIS!$C$138)/2)+MIN(INT(($A317-1)/5),MAX((MIN(80,MAX(1,INT(((CROQUIS!$C$97)-CROQUIS!$C$107)/MAX(CROQUIS!$C$138,1))+1)))-1,0))*CROQUIS!$C$138)))*CROQUIS!$C$155)+IF(CROQUIS!$C$92="X",0,0)),-1000)</f>
        <v>-1000</v>
      </c>
      <c r="BR31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317-1)/5),MAX((MIN(80,MAX(1,INT(((CROQUIS!$C$97)-CROQUIS!$C$107)/MAX(CROQUIS!$C$138,1))+1)))-1,0))*CROQUIS!$C$138),CHOOSE(IF(INT(($A317-1)/5)&gt;MAX((MIN(80,MAX(1,INT(((CROQUIS!$C$97)-CROQUIS!$C$107)/MAX(CROQUIS!$C$138,1))+1)))-1,0),0,MOD($A317-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17">
        <f>IF(AND(CROQUIS!$C$88=1,CROQUIS!$C$91=0,CROQUIS!$C$138&gt;0,OR(CROQUIS!$C$106=1,CROQUIS!$C$143=1)),((CROQUIS!$C$157+(IF(CROQUIS!$C$92="X",CHOOSE(IF(INT(($A317-1)/5)&gt;MAX((MIN(80,MAX(1,INT(((CROQUIS!$C$97)-CROQUIS!$C$107)/MAX(CROQUIS!$C$138,1))+1)))-1,0),0,MOD($A317-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317-1)/5),MAX((MIN(80,MAX(1,INT(((CROQUIS!$C$97)-CROQUIS!$C$107)/MAX(CROQUIS!$C$138,1))+1)))-1,0))*CROQUIS!$C$138)))*CROQUIS!$C$155)+IF(CROQUIS!$C$92="X",0,0)),-1000)</f>
        <v>-1000</v>
      </c>
      <c r="BT317">
        <f>IF(AND(CROQUIS!$C$88=1,CROQUIS!$C$91=1,CROQUIS!$C$130&gt;0),((CROQUIS!$C$156+(IF(CROQUIS!$C$92="X",CHOOSE(IF(INT(($A317-1)/5)&gt;MAX((MIN(80,MAX(1,INT(((CROQUIS!$C$98)-CROQUIS!$C$107)/MAX(CROQUIS!$C$130,1))+1)))-1,0),0,MOD($A317-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317-1)/5),MAX((MIN(80,MAX(1,INT(((CROQUIS!$C$98)-CROQUIS!$C$107)/MAX(CROQUIS!$C$130,1))+1)))-1,0))*CROQUIS!$C$130)))*CROQUIS!$C$155)+IF(CROQUIS!$C$92="X",0,0)),-1000)</f>
        <v>-1000</v>
      </c>
      <c r="BU317">
        <f>IF(AND(CROQUIS!$C$88=1,CROQUIS!$C$91=1,CROQUIS!$C$130&gt;0),((CROQUIS!$C$157+(IF(CROQUIS!$C$92="X",((CROQUIS!$C$107/2+(((CROQUIS!$C$98)-CROQUIS!$C$107)-(MIN(80,MAX(1,INT(((CROQUIS!$C$98)-CROQUIS!$C$107)/MAX(CROQUIS!$C$130,1))+1))-1)*CROQUIS!$C$130)/2)+MIN(INT(($A317-1)/5),MAX((MIN(80,MAX(1,INT(((CROQUIS!$C$98)-CROQUIS!$C$107)/MAX(CROQUIS!$C$130,1))+1)))-1,0))*CROQUIS!$C$130),CHOOSE(IF(INT(($A317-1)/5)&gt;MAX((MIN(80,MAX(1,INT(((CROQUIS!$C$98)-CROQUIS!$C$107)/MAX(CROQUIS!$C$130,1))+1)))-1,0),0,MOD($A317-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18">
      <c r="A318" t="n">
        <v>311</v>
      </c>
      <c r="BH318">
        <f>IF(AND(CROQUIS!$C$88=1,CROQUIS!$C$126&gt;0),((CROQUIS!$C$156+(IF(CROQUIS!$C$92="X",CHOOSE(IF(INT(($A318-1)/5)&gt;MAX((MIN(80,MAX(1,INT(((CROQUIS!$C$98)-CROQUIS!$C$107)/MAX(CROQUIS!$C$126,1))+1)))-1,0),0,MOD($A318-1,5))+1,0,2,CROQUIS!$C$97-2,2,0),((CROQUIS!$C$107/2+(((CROQUIS!$C$98)-CROQUIS!$C$107)-(MIN(80,MAX(1,INT(((CROQUIS!$C$98)-CROQUIS!$C$107)/MAX(CROQUIS!$C$126,1))+1))-1)*CROQUIS!$C$126)/2)+MIN(INT(($A318-1)/5),MAX((MIN(80,MAX(1,INT(((CROQUIS!$C$98)-CROQUIS!$C$107)/MAX(CROQUIS!$C$126,1))+1)))-1,0))*CROQUIS!$C$126)))*CROQUIS!$C$155)+IF(CROQUIS!$C$92="X",0,0)),-1000)</f>
        <v>-1000</v>
      </c>
      <c r="BI318">
        <f>IF(AND(CROQUIS!$C$88=1,CROQUIS!$C$126&gt;0),((CROQUIS!$C$157+(IF(CROQUIS!$C$92="X",((CROQUIS!$C$107/2+(((CROQUIS!$C$98)-CROQUIS!$C$107)-(MIN(80,MAX(1,INT(((CROQUIS!$C$98)-CROQUIS!$C$107)/MAX(CROQUIS!$C$126,1))+1))-1)*CROQUIS!$C$126)/2)+MIN(INT(($A318-1)/5),MAX((MIN(80,MAX(1,INT(((CROQUIS!$C$98)-CROQUIS!$C$107)/MAX(CROQUIS!$C$126,1))+1)))-1,0))*CROQUIS!$C$126),CHOOSE(IF(INT(($A318-1)/5)&gt;MAX((MIN(80,MAX(1,INT(((CROQUIS!$C$98)-CROQUIS!$C$107)/MAX(CROQUIS!$C$126,1))+1)))-1,0),0,MOD($A318-1,5))+1,0,2,CROQUIS!$C$97-2,2,0)))*CROQUIS!$C$155)+IF(CROQUIS!$C$92="X",0,0)),-1000)</f>
        <v>-1000</v>
      </c>
      <c r="BJ318">
        <f>IF(AND(CROQUIS!$C$88=1,CROQUIS!$C$134&gt;0),((CROQUIS!$C$156+(IF(CROQUIS!$C$92="X",((CROQUIS!$C$107/2+(((CROQUIS!$C$97)-CROQUIS!$C$107)-(MIN(80,MAX(1,INT(((CROQUIS!$C$97)-CROQUIS!$C$107)/MAX(CROQUIS!$C$134,1))+1))-1)*CROQUIS!$C$134)/2)+MIN(INT(($A318-1)/5),MAX((MIN(80,MAX(1,INT(((CROQUIS!$C$97)-CROQUIS!$C$107)/MAX(CROQUIS!$C$134,1))+1)))-1,0))*CROQUIS!$C$134),CHOOSE(IF(INT(($A318-1)/5)&gt;MAX((MIN(80,MAX(1,INT(((CROQUIS!$C$97)-CROQUIS!$C$107)/MAX(CROQUIS!$C$134,1))+1)))-1,0),0,MOD($A318-1,5))+1,0,2,CROQUIS!$C$98-2,2,0)))*CROQUIS!$C$155)+IF(CROQUIS!$C$92="X",0,0)),-1000)</f>
        <v>-1000</v>
      </c>
      <c r="BK318">
        <f>IF(AND(CROQUIS!$C$88=1,CROQUIS!$C$134&gt;0),((CROQUIS!$C$157+(IF(CROQUIS!$C$92="X",CHOOSE(IF(INT(($A318-1)/5)&gt;MAX((MIN(80,MAX(1,INT(((CROQUIS!$C$97)-CROQUIS!$C$107)/MAX(CROQUIS!$C$134,1))+1)))-1,0),0,MOD($A318-1,5))+1,0,2,CROQUIS!$C$98-2,2,0),((CROQUIS!$C$107/2+(((CROQUIS!$C$97)-CROQUIS!$C$107)-(MIN(80,MAX(1,INT(((CROQUIS!$C$97)-CROQUIS!$C$107)/MAX(CROQUIS!$C$134,1))+1))-1)*CROQUIS!$C$134)/2)+MIN(INT(($A318-1)/5),MAX((MIN(80,MAX(1,INT(((CROQUIS!$C$97)-CROQUIS!$C$107)/MAX(CROQUIS!$C$134,1))+1)))-1,0))*CROQUIS!$C$134)))*CROQUIS!$C$155)+IF(CROQUIS!$C$92="X",0,0)),-1000)</f>
        <v>-1000</v>
      </c>
      <c r="BL318">
        <f>IF(AND(CROQUIS!$C$88=1,CROQUIS!$C$91=0,CROQUIS!$C$130&gt;0,OR(CROQUIS!$C$103=1,CROQUIS!$C$142=1)),((CROQUIS!$C$156+(IF(CROQUIS!$C$92="X",CHOOSE(IF(INT(($A318-1)/5)&gt;MAX((MIN(80,MAX(1,INT(((CROQUIS!$C$98)-CROQUIS!$C$107)/MAX(CROQUIS!$C$130,1))+1)))-1,0),0,MOD($A318-1,5))+1,0,IF(CROQUIS!$C$103=1,-12,2),CROQUIS!$C$107/2+CROQUIS!$C$140,IF(CROQUIS!$C$103=1,-12,2),0),((CROQUIS!$C$107/2+(((CROQUIS!$C$98)-CROQUIS!$C$107)-(MIN(80,MAX(1,INT(((CROQUIS!$C$98)-CROQUIS!$C$107)/MAX(CROQUIS!$C$130,1))+1))-1)*CROQUIS!$C$130)/2)+MIN(INT(($A318-1)/5),MAX((MIN(80,MAX(1,INT(((CROQUIS!$C$98)-CROQUIS!$C$107)/MAX(CROQUIS!$C$130,1))+1)))-1,0))*CROQUIS!$C$130)))*CROQUIS!$C$155)+IF(CROQUIS!$C$92="X",0,0)),-1000)</f>
        <v>-1000</v>
      </c>
      <c r="BM31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318-1)/5),MAX((MIN(80,MAX(1,INT(((CROQUIS!$C$98)-CROQUIS!$C$107)/MAX(CROQUIS!$C$130,1))+1)))-1,0))*CROQUIS!$C$130),CHOOSE(IF(INT(($A318-1)/5)&gt;MAX((MIN(80,MAX(1,INT(((CROQUIS!$C$98)-CROQUIS!$C$107)/MAX(CROQUIS!$C$130,1))+1)))-1,0),0,MOD($A318-1,5))+1,0,IF(CROQUIS!$C$103=1,-12,2),CROQUIS!$C$107/2+CROQUIS!$C$140,IF(CROQUIS!$C$103=1,-12,2),0)))*CROQUIS!$C$155)+IF(CROQUIS!$C$92="X",0,0)),-1000)</f>
        <v>-1000</v>
      </c>
      <c r="BN318">
        <f>IF(AND(CROQUIS!$C$88=1,CROQUIS!$C$91=0,CROQUIS!$C$130&gt;0,OR(CROQUIS!$C$104=1,CROQUIS!$C$142=1)),((CROQUIS!$C$156+(IF(CROQUIS!$C$92="X",CHOOSE(IF(INT(($A318-1)/5)&gt;MAX((MIN(80,MAX(1,INT(((CROQUIS!$C$98)-CROQUIS!$C$107)/MAX(CROQUIS!$C$130,1))+1)))-1,0),0,MOD($A318-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318-1)/5),MAX((MIN(80,MAX(1,INT(((CROQUIS!$C$98)-CROQUIS!$C$107)/MAX(CROQUIS!$C$130,1))+1)))-1,0))*CROQUIS!$C$130)))*CROQUIS!$C$155)+IF(CROQUIS!$C$92="X",0,0)),-1000)</f>
        <v>-1000</v>
      </c>
      <c r="BO31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318-1)/5),MAX((MIN(80,MAX(1,INT(((CROQUIS!$C$98)-CROQUIS!$C$107)/MAX(CROQUIS!$C$130,1))+1)))-1,0))*CROQUIS!$C$130),CHOOSE(IF(INT(($A318-1)/5)&gt;MAX((MIN(80,MAX(1,INT(((CROQUIS!$C$98)-CROQUIS!$C$107)/MAX(CROQUIS!$C$130,1))+1)))-1,0),0,MOD($A318-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1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318-1)/5),MAX((MIN(80,MAX(1,INT(((CROQUIS!$C$97)-CROQUIS!$C$107)/MAX(CROQUIS!$C$138,1))+1)))-1,0))*CROQUIS!$C$138),CHOOSE(IF(INT(($A318-1)/5)&gt;MAX((MIN(80,MAX(1,INT(((CROQUIS!$C$97)-CROQUIS!$C$107)/MAX(CROQUIS!$C$138,1))+1)))-1,0),0,MOD($A318-1,5))+1,0,IF(CROQUIS!$C$105=1,-12,2),CROQUIS!$C$107/2+CROQUIS!$C$141,IF(CROQUIS!$C$105=1,-12,2),0)))*CROQUIS!$C$155)+IF(CROQUIS!$C$92="X",0,0)),-1000)</f>
        <v>-1000</v>
      </c>
      <c r="BQ318">
        <f>IF(AND(CROQUIS!$C$88=1,CROQUIS!$C$91=0,CROQUIS!$C$138&gt;0,OR(CROQUIS!$C$105=1,CROQUIS!$C$143=1)),((CROQUIS!$C$157+(IF(CROQUIS!$C$92="X",CHOOSE(IF(INT(($A318-1)/5)&gt;MAX((MIN(80,MAX(1,INT(((CROQUIS!$C$97)-CROQUIS!$C$107)/MAX(CROQUIS!$C$138,1))+1)))-1,0),0,MOD($A318-1,5))+1,0,IF(CROQUIS!$C$105=1,-12,2),CROQUIS!$C$107/2+CROQUIS!$C$141,IF(CROQUIS!$C$105=1,-12,2),0),((CROQUIS!$C$107/2+(((CROQUIS!$C$97)-CROQUIS!$C$107)-(MIN(80,MAX(1,INT(((CROQUIS!$C$97)-CROQUIS!$C$107)/MAX(CROQUIS!$C$138,1))+1))-1)*CROQUIS!$C$138)/2)+MIN(INT(($A318-1)/5),MAX((MIN(80,MAX(1,INT(((CROQUIS!$C$97)-CROQUIS!$C$107)/MAX(CROQUIS!$C$138,1))+1)))-1,0))*CROQUIS!$C$138)))*CROQUIS!$C$155)+IF(CROQUIS!$C$92="X",0,0)),-1000)</f>
        <v>-1000</v>
      </c>
      <c r="BR31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318-1)/5),MAX((MIN(80,MAX(1,INT(((CROQUIS!$C$97)-CROQUIS!$C$107)/MAX(CROQUIS!$C$138,1))+1)))-1,0))*CROQUIS!$C$138),CHOOSE(IF(INT(($A318-1)/5)&gt;MAX((MIN(80,MAX(1,INT(((CROQUIS!$C$97)-CROQUIS!$C$107)/MAX(CROQUIS!$C$138,1))+1)))-1,0),0,MOD($A318-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18">
        <f>IF(AND(CROQUIS!$C$88=1,CROQUIS!$C$91=0,CROQUIS!$C$138&gt;0,OR(CROQUIS!$C$106=1,CROQUIS!$C$143=1)),((CROQUIS!$C$157+(IF(CROQUIS!$C$92="X",CHOOSE(IF(INT(($A318-1)/5)&gt;MAX((MIN(80,MAX(1,INT(((CROQUIS!$C$97)-CROQUIS!$C$107)/MAX(CROQUIS!$C$138,1))+1)))-1,0),0,MOD($A318-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318-1)/5),MAX((MIN(80,MAX(1,INT(((CROQUIS!$C$97)-CROQUIS!$C$107)/MAX(CROQUIS!$C$138,1))+1)))-1,0))*CROQUIS!$C$138)))*CROQUIS!$C$155)+IF(CROQUIS!$C$92="X",0,0)),-1000)</f>
        <v>-1000</v>
      </c>
      <c r="BT318">
        <f>IF(AND(CROQUIS!$C$88=1,CROQUIS!$C$91=1,CROQUIS!$C$130&gt;0),((CROQUIS!$C$156+(IF(CROQUIS!$C$92="X",CHOOSE(IF(INT(($A318-1)/5)&gt;MAX((MIN(80,MAX(1,INT(((CROQUIS!$C$98)-CROQUIS!$C$107)/MAX(CROQUIS!$C$130,1))+1)))-1,0),0,MOD($A318-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318-1)/5),MAX((MIN(80,MAX(1,INT(((CROQUIS!$C$98)-CROQUIS!$C$107)/MAX(CROQUIS!$C$130,1))+1)))-1,0))*CROQUIS!$C$130)))*CROQUIS!$C$155)+IF(CROQUIS!$C$92="X",0,0)),-1000)</f>
        <v>-1000</v>
      </c>
      <c r="BU318">
        <f>IF(AND(CROQUIS!$C$88=1,CROQUIS!$C$91=1,CROQUIS!$C$130&gt;0),((CROQUIS!$C$157+(IF(CROQUIS!$C$92="X",((CROQUIS!$C$107/2+(((CROQUIS!$C$98)-CROQUIS!$C$107)-(MIN(80,MAX(1,INT(((CROQUIS!$C$98)-CROQUIS!$C$107)/MAX(CROQUIS!$C$130,1))+1))-1)*CROQUIS!$C$130)/2)+MIN(INT(($A318-1)/5),MAX((MIN(80,MAX(1,INT(((CROQUIS!$C$98)-CROQUIS!$C$107)/MAX(CROQUIS!$C$130,1))+1)))-1,0))*CROQUIS!$C$130),CHOOSE(IF(INT(($A318-1)/5)&gt;MAX((MIN(80,MAX(1,INT(((CROQUIS!$C$98)-CROQUIS!$C$107)/MAX(CROQUIS!$C$130,1))+1)))-1,0),0,MOD($A318-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19">
      <c r="A319" t="n">
        <v>312</v>
      </c>
      <c r="BH319">
        <f>IF(AND(CROQUIS!$C$88=1,CROQUIS!$C$126&gt;0),((CROQUIS!$C$156+(IF(CROQUIS!$C$92="X",CHOOSE(IF(INT(($A319-1)/5)&gt;MAX((MIN(80,MAX(1,INT(((CROQUIS!$C$98)-CROQUIS!$C$107)/MAX(CROQUIS!$C$126,1))+1)))-1,0),0,MOD($A319-1,5))+1,0,2,CROQUIS!$C$97-2,2,0),((CROQUIS!$C$107/2+(((CROQUIS!$C$98)-CROQUIS!$C$107)-(MIN(80,MAX(1,INT(((CROQUIS!$C$98)-CROQUIS!$C$107)/MAX(CROQUIS!$C$126,1))+1))-1)*CROQUIS!$C$126)/2)+MIN(INT(($A319-1)/5),MAX((MIN(80,MAX(1,INT(((CROQUIS!$C$98)-CROQUIS!$C$107)/MAX(CROQUIS!$C$126,1))+1)))-1,0))*CROQUIS!$C$126)))*CROQUIS!$C$155)+IF(CROQUIS!$C$92="X",0,0)),-1000)</f>
        <v>-1000</v>
      </c>
      <c r="BI319">
        <f>IF(AND(CROQUIS!$C$88=1,CROQUIS!$C$126&gt;0),((CROQUIS!$C$157+(IF(CROQUIS!$C$92="X",((CROQUIS!$C$107/2+(((CROQUIS!$C$98)-CROQUIS!$C$107)-(MIN(80,MAX(1,INT(((CROQUIS!$C$98)-CROQUIS!$C$107)/MAX(CROQUIS!$C$126,1))+1))-1)*CROQUIS!$C$126)/2)+MIN(INT(($A319-1)/5),MAX((MIN(80,MAX(1,INT(((CROQUIS!$C$98)-CROQUIS!$C$107)/MAX(CROQUIS!$C$126,1))+1)))-1,0))*CROQUIS!$C$126),CHOOSE(IF(INT(($A319-1)/5)&gt;MAX((MIN(80,MAX(1,INT(((CROQUIS!$C$98)-CROQUIS!$C$107)/MAX(CROQUIS!$C$126,1))+1)))-1,0),0,MOD($A319-1,5))+1,0,2,CROQUIS!$C$97-2,2,0)))*CROQUIS!$C$155)+IF(CROQUIS!$C$92="X",0,0)),-1000)</f>
        <v>-1000</v>
      </c>
      <c r="BJ319">
        <f>IF(AND(CROQUIS!$C$88=1,CROQUIS!$C$134&gt;0),((CROQUIS!$C$156+(IF(CROQUIS!$C$92="X",((CROQUIS!$C$107/2+(((CROQUIS!$C$97)-CROQUIS!$C$107)-(MIN(80,MAX(1,INT(((CROQUIS!$C$97)-CROQUIS!$C$107)/MAX(CROQUIS!$C$134,1))+1))-1)*CROQUIS!$C$134)/2)+MIN(INT(($A319-1)/5),MAX((MIN(80,MAX(1,INT(((CROQUIS!$C$97)-CROQUIS!$C$107)/MAX(CROQUIS!$C$134,1))+1)))-1,0))*CROQUIS!$C$134),CHOOSE(IF(INT(($A319-1)/5)&gt;MAX((MIN(80,MAX(1,INT(((CROQUIS!$C$97)-CROQUIS!$C$107)/MAX(CROQUIS!$C$134,1))+1)))-1,0),0,MOD($A319-1,5))+1,0,2,CROQUIS!$C$98-2,2,0)))*CROQUIS!$C$155)+IF(CROQUIS!$C$92="X",0,0)),-1000)</f>
        <v>-1000</v>
      </c>
      <c r="BK319">
        <f>IF(AND(CROQUIS!$C$88=1,CROQUIS!$C$134&gt;0),((CROQUIS!$C$157+(IF(CROQUIS!$C$92="X",CHOOSE(IF(INT(($A319-1)/5)&gt;MAX((MIN(80,MAX(1,INT(((CROQUIS!$C$97)-CROQUIS!$C$107)/MAX(CROQUIS!$C$134,1))+1)))-1,0),0,MOD($A319-1,5))+1,0,2,CROQUIS!$C$98-2,2,0),((CROQUIS!$C$107/2+(((CROQUIS!$C$97)-CROQUIS!$C$107)-(MIN(80,MAX(1,INT(((CROQUIS!$C$97)-CROQUIS!$C$107)/MAX(CROQUIS!$C$134,1))+1))-1)*CROQUIS!$C$134)/2)+MIN(INT(($A319-1)/5),MAX((MIN(80,MAX(1,INT(((CROQUIS!$C$97)-CROQUIS!$C$107)/MAX(CROQUIS!$C$134,1))+1)))-1,0))*CROQUIS!$C$134)))*CROQUIS!$C$155)+IF(CROQUIS!$C$92="X",0,0)),-1000)</f>
        <v>-1000</v>
      </c>
      <c r="BL319">
        <f>IF(AND(CROQUIS!$C$88=1,CROQUIS!$C$91=0,CROQUIS!$C$130&gt;0,OR(CROQUIS!$C$103=1,CROQUIS!$C$142=1)),((CROQUIS!$C$156+(IF(CROQUIS!$C$92="X",CHOOSE(IF(INT(($A319-1)/5)&gt;MAX((MIN(80,MAX(1,INT(((CROQUIS!$C$98)-CROQUIS!$C$107)/MAX(CROQUIS!$C$130,1))+1)))-1,0),0,MOD($A319-1,5))+1,0,IF(CROQUIS!$C$103=1,-12,2),CROQUIS!$C$107/2+CROQUIS!$C$140,IF(CROQUIS!$C$103=1,-12,2),0),((CROQUIS!$C$107/2+(((CROQUIS!$C$98)-CROQUIS!$C$107)-(MIN(80,MAX(1,INT(((CROQUIS!$C$98)-CROQUIS!$C$107)/MAX(CROQUIS!$C$130,1))+1))-1)*CROQUIS!$C$130)/2)+MIN(INT(($A319-1)/5),MAX((MIN(80,MAX(1,INT(((CROQUIS!$C$98)-CROQUIS!$C$107)/MAX(CROQUIS!$C$130,1))+1)))-1,0))*CROQUIS!$C$130)))*CROQUIS!$C$155)+IF(CROQUIS!$C$92="X",0,0)),-1000)</f>
        <v>-1000</v>
      </c>
      <c r="BM31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319-1)/5),MAX((MIN(80,MAX(1,INT(((CROQUIS!$C$98)-CROQUIS!$C$107)/MAX(CROQUIS!$C$130,1))+1)))-1,0))*CROQUIS!$C$130),CHOOSE(IF(INT(($A319-1)/5)&gt;MAX((MIN(80,MAX(1,INT(((CROQUIS!$C$98)-CROQUIS!$C$107)/MAX(CROQUIS!$C$130,1))+1)))-1,0),0,MOD($A319-1,5))+1,0,IF(CROQUIS!$C$103=1,-12,2),CROQUIS!$C$107/2+CROQUIS!$C$140,IF(CROQUIS!$C$103=1,-12,2),0)))*CROQUIS!$C$155)+IF(CROQUIS!$C$92="X",0,0)),-1000)</f>
        <v>-1000</v>
      </c>
      <c r="BN319">
        <f>IF(AND(CROQUIS!$C$88=1,CROQUIS!$C$91=0,CROQUIS!$C$130&gt;0,OR(CROQUIS!$C$104=1,CROQUIS!$C$142=1)),((CROQUIS!$C$156+(IF(CROQUIS!$C$92="X",CHOOSE(IF(INT(($A319-1)/5)&gt;MAX((MIN(80,MAX(1,INT(((CROQUIS!$C$98)-CROQUIS!$C$107)/MAX(CROQUIS!$C$130,1))+1)))-1,0),0,MOD($A319-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319-1)/5),MAX((MIN(80,MAX(1,INT(((CROQUIS!$C$98)-CROQUIS!$C$107)/MAX(CROQUIS!$C$130,1))+1)))-1,0))*CROQUIS!$C$130)))*CROQUIS!$C$155)+IF(CROQUIS!$C$92="X",0,0)),-1000)</f>
        <v>-1000</v>
      </c>
      <c r="BO31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319-1)/5),MAX((MIN(80,MAX(1,INT(((CROQUIS!$C$98)-CROQUIS!$C$107)/MAX(CROQUIS!$C$130,1))+1)))-1,0))*CROQUIS!$C$130),CHOOSE(IF(INT(($A319-1)/5)&gt;MAX((MIN(80,MAX(1,INT(((CROQUIS!$C$98)-CROQUIS!$C$107)/MAX(CROQUIS!$C$130,1))+1)))-1,0),0,MOD($A319-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1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319-1)/5),MAX((MIN(80,MAX(1,INT(((CROQUIS!$C$97)-CROQUIS!$C$107)/MAX(CROQUIS!$C$138,1))+1)))-1,0))*CROQUIS!$C$138),CHOOSE(IF(INT(($A319-1)/5)&gt;MAX((MIN(80,MAX(1,INT(((CROQUIS!$C$97)-CROQUIS!$C$107)/MAX(CROQUIS!$C$138,1))+1)))-1,0),0,MOD($A319-1,5))+1,0,IF(CROQUIS!$C$105=1,-12,2),CROQUIS!$C$107/2+CROQUIS!$C$141,IF(CROQUIS!$C$105=1,-12,2),0)))*CROQUIS!$C$155)+IF(CROQUIS!$C$92="X",0,0)),-1000)</f>
        <v>-1000</v>
      </c>
      <c r="BQ319">
        <f>IF(AND(CROQUIS!$C$88=1,CROQUIS!$C$91=0,CROQUIS!$C$138&gt;0,OR(CROQUIS!$C$105=1,CROQUIS!$C$143=1)),((CROQUIS!$C$157+(IF(CROQUIS!$C$92="X",CHOOSE(IF(INT(($A319-1)/5)&gt;MAX((MIN(80,MAX(1,INT(((CROQUIS!$C$97)-CROQUIS!$C$107)/MAX(CROQUIS!$C$138,1))+1)))-1,0),0,MOD($A319-1,5))+1,0,IF(CROQUIS!$C$105=1,-12,2),CROQUIS!$C$107/2+CROQUIS!$C$141,IF(CROQUIS!$C$105=1,-12,2),0),((CROQUIS!$C$107/2+(((CROQUIS!$C$97)-CROQUIS!$C$107)-(MIN(80,MAX(1,INT(((CROQUIS!$C$97)-CROQUIS!$C$107)/MAX(CROQUIS!$C$138,1))+1))-1)*CROQUIS!$C$138)/2)+MIN(INT(($A319-1)/5),MAX((MIN(80,MAX(1,INT(((CROQUIS!$C$97)-CROQUIS!$C$107)/MAX(CROQUIS!$C$138,1))+1)))-1,0))*CROQUIS!$C$138)))*CROQUIS!$C$155)+IF(CROQUIS!$C$92="X",0,0)),-1000)</f>
        <v>-1000</v>
      </c>
      <c r="BR31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319-1)/5),MAX((MIN(80,MAX(1,INT(((CROQUIS!$C$97)-CROQUIS!$C$107)/MAX(CROQUIS!$C$138,1))+1)))-1,0))*CROQUIS!$C$138),CHOOSE(IF(INT(($A319-1)/5)&gt;MAX((MIN(80,MAX(1,INT(((CROQUIS!$C$97)-CROQUIS!$C$107)/MAX(CROQUIS!$C$138,1))+1)))-1,0),0,MOD($A319-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19">
        <f>IF(AND(CROQUIS!$C$88=1,CROQUIS!$C$91=0,CROQUIS!$C$138&gt;0,OR(CROQUIS!$C$106=1,CROQUIS!$C$143=1)),((CROQUIS!$C$157+(IF(CROQUIS!$C$92="X",CHOOSE(IF(INT(($A319-1)/5)&gt;MAX((MIN(80,MAX(1,INT(((CROQUIS!$C$97)-CROQUIS!$C$107)/MAX(CROQUIS!$C$138,1))+1)))-1,0),0,MOD($A319-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319-1)/5),MAX((MIN(80,MAX(1,INT(((CROQUIS!$C$97)-CROQUIS!$C$107)/MAX(CROQUIS!$C$138,1))+1)))-1,0))*CROQUIS!$C$138)))*CROQUIS!$C$155)+IF(CROQUIS!$C$92="X",0,0)),-1000)</f>
        <v>-1000</v>
      </c>
      <c r="BT319">
        <f>IF(AND(CROQUIS!$C$88=1,CROQUIS!$C$91=1,CROQUIS!$C$130&gt;0),((CROQUIS!$C$156+(IF(CROQUIS!$C$92="X",CHOOSE(IF(INT(($A319-1)/5)&gt;MAX((MIN(80,MAX(1,INT(((CROQUIS!$C$98)-CROQUIS!$C$107)/MAX(CROQUIS!$C$130,1))+1)))-1,0),0,MOD($A319-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319-1)/5),MAX((MIN(80,MAX(1,INT(((CROQUIS!$C$98)-CROQUIS!$C$107)/MAX(CROQUIS!$C$130,1))+1)))-1,0))*CROQUIS!$C$130)))*CROQUIS!$C$155)+IF(CROQUIS!$C$92="X",0,0)),-1000)</f>
        <v>-1000</v>
      </c>
      <c r="BU319">
        <f>IF(AND(CROQUIS!$C$88=1,CROQUIS!$C$91=1,CROQUIS!$C$130&gt;0),((CROQUIS!$C$157+(IF(CROQUIS!$C$92="X",((CROQUIS!$C$107/2+(((CROQUIS!$C$98)-CROQUIS!$C$107)-(MIN(80,MAX(1,INT(((CROQUIS!$C$98)-CROQUIS!$C$107)/MAX(CROQUIS!$C$130,1))+1))-1)*CROQUIS!$C$130)/2)+MIN(INT(($A319-1)/5),MAX((MIN(80,MAX(1,INT(((CROQUIS!$C$98)-CROQUIS!$C$107)/MAX(CROQUIS!$C$130,1))+1)))-1,0))*CROQUIS!$C$130),CHOOSE(IF(INT(($A319-1)/5)&gt;MAX((MIN(80,MAX(1,INT(((CROQUIS!$C$98)-CROQUIS!$C$107)/MAX(CROQUIS!$C$130,1))+1)))-1,0),0,MOD($A319-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20">
      <c r="A320" t="n">
        <v>313</v>
      </c>
      <c r="BH320">
        <f>IF(AND(CROQUIS!$C$88=1,CROQUIS!$C$126&gt;0),((CROQUIS!$C$156+(IF(CROQUIS!$C$92="X",CHOOSE(IF(INT(($A320-1)/5)&gt;MAX((MIN(80,MAX(1,INT(((CROQUIS!$C$98)-CROQUIS!$C$107)/MAX(CROQUIS!$C$126,1))+1)))-1,0),0,MOD($A320-1,5))+1,0,2,CROQUIS!$C$97-2,2,0),((CROQUIS!$C$107/2+(((CROQUIS!$C$98)-CROQUIS!$C$107)-(MIN(80,MAX(1,INT(((CROQUIS!$C$98)-CROQUIS!$C$107)/MAX(CROQUIS!$C$126,1))+1))-1)*CROQUIS!$C$126)/2)+MIN(INT(($A320-1)/5),MAX((MIN(80,MAX(1,INT(((CROQUIS!$C$98)-CROQUIS!$C$107)/MAX(CROQUIS!$C$126,1))+1)))-1,0))*CROQUIS!$C$126)))*CROQUIS!$C$155)+IF(CROQUIS!$C$92="X",0,0)),-1000)</f>
        <v>-1000</v>
      </c>
      <c r="BI320">
        <f>IF(AND(CROQUIS!$C$88=1,CROQUIS!$C$126&gt;0),((CROQUIS!$C$157+(IF(CROQUIS!$C$92="X",((CROQUIS!$C$107/2+(((CROQUIS!$C$98)-CROQUIS!$C$107)-(MIN(80,MAX(1,INT(((CROQUIS!$C$98)-CROQUIS!$C$107)/MAX(CROQUIS!$C$126,1))+1))-1)*CROQUIS!$C$126)/2)+MIN(INT(($A320-1)/5),MAX((MIN(80,MAX(1,INT(((CROQUIS!$C$98)-CROQUIS!$C$107)/MAX(CROQUIS!$C$126,1))+1)))-1,0))*CROQUIS!$C$126),CHOOSE(IF(INT(($A320-1)/5)&gt;MAX((MIN(80,MAX(1,INT(((CROQUIS!$C$98)-CROQUIS!$C$107)/MAX(CROQUIS!$C$126,1))+1)))-1,0),0,MOD($A320-1,5))+1,0,2,CROQUIS!$C$97-2,2,0)))*CROQUIS!$C$155)+IF(CROQUIS!$C$92="X",0,0)),-1000)</f>
        <v>-1000</v>
      </c>
      <c r="BJ320">
        <f>IF(AND(CROQUIS!$C$88=1,CROQUIS!$C$134&gt;0),((CROQUIS!$C$156+(IF(CROQUIS!$C$92="X",((CROQUIS!$C$107/2+(((CROQUIS!$C$97)-CROQUIS!$C$107)-(MIN(80,MAX(1,INT(((CROQUIS!$C$97)-CROQUIS!$C$107)/MAX(CROQUIS!$C$134,1))+1))-1)*CROQUIS!$C$134)/2)+MIN(INT(($A320-1)/5),MAX((MIN(80,MAX(1,INT(((CROQUIS!$C$97)-CROQUIS!$C$107)/MAX(CROQUIS!$C$134,1))+1)))-1,0))*CROQUIS!$C$134),CHOOSE(IF(INT(($A320-1)/5)&gt;MAX((MIN(80,MAX(1,INT(((CROQUIS!$C$97)-CROQUIS!$C$107)/MAX(CROQUIS!$C$134,1))+1)))-1,0),0,MOD($A320-1,5))+1,0,2,CROQUIS!$C$98-2,2,0)))*CROQUIS!$C$155)+IF(CROQUIS!$C$92="X",0,0)),-1000)</f>
        <v>-1000</v>
      </c>
      <c r="BK320">
        <f>IF(AND(CROQUIS!$C$88=1,CROQUIS!$C$134&gt;0),((CROQUIS!$C$157+(IF(CROQUIS!$C$92="X",CHOOSE(IF(INT(($A320-1)/5)&gt;MAX((MIN(80,MAX(1,INT(((CROQUIS!$C$97)-CROQUIS!$C$107)/MAX(CROQUIS!$C$134,1))+1)))-1,0),0,MOD($A320-1,5))+1,0,2,CROQUIS!$C$98-2,2,0),((CROQUIS!$C$107/2+(((CROQUIS!$C$97)-CROQUIS!$C$107)-(MIN(80,MAX(1,INT(((CROQUIS!$C$97)-CROQUIS!$C$107)/MAX(CROQUIS!$C$134,1))+1))-1)*CROQUIS!$C$134)/2)+MIN(INT(($A320-1)/5),MAX((MIN(80,MAX(1,INT(((CROQUIS!$C$97)-CROQUIS!$C$107)/MAX(CROQUIS!$C$134,1))+1)))-1,0))*CROQUIS!$C$134)))*CROQUIS!$C$155)+IF(CROQUIS!$C$92="X",0,0)),-1000)</f>
        <v>-1000</v>
      </c>
      <c r="BL320">
        <f>IF(AND(CROQUIS!$C$88=1,CROQUIS!$C$91=0,CROQUIS!$C$130&gt;0,OR(CROQUIS!$C$103=1,CROQUIS!$C$142=1)),((CROQUIS!$C$156+(IF(CROQUIS!$C$92="X",CHOOSE(IF(INT(($A320-1)/5)&gt;MAX((MIN(80,MAX(1,INT(((CROQUIS!$C$98)-CROQUIS!$C$107)/MAX(CROQUIS!$C$130,1))+1)))-1,0),0,MOD($A320-1,5))+1,0,IF(CROQUIS!$C$103=1,-12,2),CROQUIS!$C$107/2+CROQUIS!$C$140,IF(CROQUIS!$C$103=1,-12,2),0),((CROQUIS!$C$107/2+(((CROQUIS!$C$98)-CROQUIS!$C$107)-(MIN(80,MAX(1,INT(((CROQUIS!$C$98)-CROQUIS!$C$107)/MAX(CROQUIS!$C$130,1))+1))-1)*CROQUIS!$C$130)/2)+MIN(INT(($A320-1)/5),MAX((MIN(80,MAX(1,INT(((CROQUIS!$C$98)-CROQUIS!$C$107)/MAX(CROQUIS!$C$130,1))+1)))-1,0))*CROQUIS!$C$130)))*CROQUIS!$C$155)+IF(CROQUIS!$C$92="X",0,0)),-1000)</f>
        <v>-1000</v>
      </c>
      <c r="BM32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320-1)/5),MAX((MIN(80,MAX(1,INT(((CROQUIS!$C$98)-CROQUIS!$C$107)/MAX(CROQUIS!$C$130,1))+1)))-1,0))*CROQUIS!$C$130),CHOOSE(IF(INT(($A320-1)/5)&gt;MAX((MIN(80,MAX(1,INT(((CROQUIS!$C$98)-CROQUIS!$C$107)/MAX(CROQUIS!$C$130,1))+1)))-1,0),0,MOD($A320-1,5))+1,0,IF(CROQUIS!$C$103=1,-12,2),CROQUIS!$C$107/2+CROQUIS!$C$140,IF(CROQUIS!$C$103=1,-12,2),0)))*CROQUIS!$C$155)+IF(CROQUIS!$C$92="X",0,0)),-1000)</f>
        <v>-1000</v>
      </c>
      <c r="BN320">
        <f>IF(AND(CROQUIS!$C$88=1,CROQUIS!$C$91=0,CROQUIS!$C$130&gt;0,OR(CROQUIS!$C$104=1,CROQUIS!$C$142=1)),((CROQUIS!$C$156+(IF(CROQUIS!$C$92="X",CHOOSE(IF(INT(($A320-1)/5)&gt;MAX((MIN(80,MAX(1,INT(((CROQUIS!$C$98)-CROQUIS!$C$107)/MAX(CROQUIS!$C$130,1))+1)))-1,0),0,MOD($A320-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320-1)/5),MAX((MIN(80,MAX(1,INT(((CROQUIS!$C$98)-CROQUIS!$C$107)/MAX(CROQUIS!$C$130,1))+1)))-1,0))*CROQUIS!$C$130)))*CROQUIS!$C$155)+IF(CROQUIS!$C$92="X",0,0)),-1000)</f>
        <v>-1000</v>
      </c>
      <c r="BO32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320-1)/5),MAX((MIN(80,MAX(1,INT(((CROQUIS!$C$98)-CROQUIS!$C$107)/MAX(CROQUIS!$C$130,1))+1)))-1,0))*CROQUIS!$C$130),CHOOSE(IF(INT(($A320-1)/5)&gt;MAX((MIN(80,MAX(1,INT(((CROQUIS!$C$98)-CROQUIS!$C$107)/MAX(CROQUIS!$C$130,1))+1)))-1,0),0,MOD($A320-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2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320-1)/5),MAX((MIN(80,MAX(1,INT(((CROQUIS!$C$97)-CROQUIS!$C$107)/MAX(CROQUIS!$C$138,1))+1)))-1,0))*CROQUIS!$C$138),CHOOSE(IF(INT(($A320-1)/5)&gt;MAX((MIN(80,MAX(1,INT(((CROQUIS!$C$97)-CROQUIS!$C$107)/MAX(CROQUIS!$C$138,1))+1)))-1,0),0,MOD($A320-1,5))+1,0,IF(CROQUIS!$C$105=1,-12,2),CROQUIS!$C$107/2+CROQUIS!$C$141,IF(CROQUIS!$C$105=1,-12,2),0)))*CROQUIS!$C$155)+IF(CROQUIS!$C$92="X",0,0)),-1000)</f>
        <v>-1000</v>
      </c>
      <c r="BQ320">
        <f>IF(AND(CROQUIS!$C$88=1,CROQUIS!$C$91=0,CROQUIS!$C$138&gt;0,OR(CROQUIS!$C$105=1,CROQUIS!$C$143=1)),((CROQUIS!$C$157+(IF(CROQUIS!$C$92="X",CHOOSE(IF(INT(($A320-1)/5)&gt;MAX((MIN(80,MAX(1,INT(((CROQUIS!$C$97)-CROQUIS!$C$107)/MAX(CROQUIS!$C$138,1))+1)))-1,0),0,MOD($A320-1,5))+1,0,IF(CROQUIS!$C$105=1,-12,2),CROQUIS!$C$107/2+CROQUIS!$C$141,IF(CROQUIS!$C$105=1,-12,2),0),((CROQUIS!$C$107/2+(((CROQUIS!$C$97)-CROQUIS!$C$107)-(MIN(80,MAX(1,INT(((CROQUIS!$C$97)-CROQUIS!$C$107)/MAX(CROQUIS!$C$138,1))+1))-1)*CROQUIS!$C$138)/2)+MIN(INT(($A320-1)/5),MAX((MIN(80,MAX(1,INT(((CROQUIS!$C$97)-CROQUIS!$C$107)/MAX(CROQUIS!$C$138,1))+1)))-1,0))*CROQUIS!$C$138)))*CROQUIS!$C$155)+IF(CROQUIS!$C$92="X",0,0)),-1000)</f>
        <v>-1000</v>
      </c>
      <c r="BR32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320-1)/5),MAX((MIN(80,MAX(1,INT(((CROQUIS!$C$97)-CROQUIS!$C$107)/MAX(CROQUIS!$C$138,1))+1)))-1,0))*CROQUIS!$C$138),CHOOSE(IF(INT(($A320-1)/5)&gt;MAX((MIN(80,MAX(1,INT(((CROQUIS!$C$97)-CROQUIS!$C$107)/MAX(CROQUIS!$C$138,1))+1)))-1,0),0,MOD($A320-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20">
        <f>IF(AND(CROQUIS!$C$88=1,CROQUIS!$C$91=0,CROQUIS!$C$138&gt;0,OR(CROQUIS!$C$106=1,CROQUIS!$C$143=1)),((CROQUIS!$C$157+(IF(CROQUIS!$C$92="X",CHOOSE(IF(INT(($A320-1)/5)&gt;MAX((MIN(80,MAX(1,INT(((CROQUIS!$C$97)-CROQUIS!$C$107)/MAX(CROQUIS!$C$138,1))+1)))-1,0),0,MOD($A320-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320-1)/5),MAX((MIN(80,MAX(1,INT(((CROQUIS!$C$97)-CROQUIS!$C$107)/MAX(CROQUIS!$C$138,1))+1)))-1,0))*CROQUIS!$C$138)))*CROQUIS!$C$155)+IF(CROQUIS!$C$92="X",0,0)),-1000)</f>
        <v>-1000</v>
      </c>
      <c r="BT320">
        <f>IF(AND(CROQUIS!$C$88=1,CROQUIS!$C$91=1,CROQUIS!$C$130&gt;0),((CROQUIS!$C$156+(IF(CROQUIS!$C$92="X",CHOOSE(IF(INT(($A320-1)/5)&gt;MAX((MIN(80,MAX(1,INT(((CROQUIS!$C$98)-CROQUIS!$C$107)/MAX(CROQUIS!$C$130,1))+1)))-1,0),0,MOD($A320-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320-1)/5),MAX((MIN(80,MAX(1,INT(((CROQUIS!$C$98)-CROQUIS!$C$107)/MAX(CROQUIS!$C$130,1))+1)))-1,0))*CROQUIS!$C$130)))*CROQUIS!$C$155)+IF(CROQUIS!$C$92="X",0,0)),-1000)</f>
        <v>-1000</v>
      </c>
      <c r="BU320">
        <f>IF(AND(CROQUIS!$C$88=1,CROQUIS!$C$91=1,CROQUIS!$C$130&gt;0),((CROQUIS!$C$157+(IF(CROQUIS!$C$92="X",((CROQUIS!$C$107/2+(((CROQUIS!$C$98)-CROQUIS!$C$107)-(MIN(80,MAX(1,INT(((CROQUIS!$C$98)-CROQUIS!$C$107)/MAX(CROQUIS!$C$130,1))+1))-1)*CROQUIS!$C$130)/2)+MIN(INT(($A320-1)/5),MAX((MIN(80,MAX(1,INT(((CROQUIS!$C$98)-CROQUIS!$C$107)/MAX(CROQUIS!$C$130,1))+1)))-1,0))*CROQUIS!$C$130),CHOOSE(IF(INT(($A320-1)/5)&gt;MAX((MIN(80,MAX(1,INT(((CROQUIS!$C$98)-CROQUIS!$C$107)/MAX(CROQUIS!$C$130,1))+1)))-1,0),0,MOD($A320-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21">
      <c r="A321" t="n">
        <v>314</v>
      </c>
      <c r="BH321">
        <f>IF(AND(CROQUIS!$C$88=1,CROQUIS!$C$126&gt;0),((CROQUIS!$C$156+(IF(CROQUIS!$C$92="X",CHOOSE(IF(INT(($A321-1)/5)&gt;MAX((MIN(80,MAX(1,INT(((CROQUIS!$C$98)-CROQUIS!$C$107)/MAX(CROQUIS!$C$126,1))+1)))-1,0),0,MOD($A321-1,5))+1,0,2,CROQUIS!$C$97-2,2,0),((CROQUIS!$C$107/2+(((CROQUIS!$C$98)-CROQUIS!$C$107)-(MIN(80,MAX(1,INT(((CROQUIS!$C$98)-CROQUIS!$C$107)/MAX(CROQUIS!$C$126,1))+1))-1)*CROQUIS!$C$126)/2)+MIN(INT(($A321-1)/5),MAX((MIN(80,MAX(1,INT(((CROQUIS!$C$98)-CROQUIS!$C$107)/MAX(CROQUIS!$C$126,1))+1)))-1,0))*CROQUIS!$C$126)))*CROQUIS!$C$155)+IF(CROQUIS!$C$92="X",0,0)),-1000)</f>
        <v>-1000</v>
      </c>
      <c r="BI321">
        <f>IF(AND(CROQUIS!$C$88=1,CROQUIS!$C$126&gt;0),((CROQUIS!$C$157+(IF(CROQUIS!$C$92="X",((CROQUIS!$C$107/2+(((CROQUIS!$C$98)-CROQUIS!$C$107)-(MIN(80,MAX(1,INT(((CROQUIS!$C$98)-CROQUIS!$C$107)/MAX(CROQUIS!$C$126,1))+1))-1)*CROQUIS!$C$126)/2)+MIN(INT(($A321-1)/5),MAX((MIN(80,MAX(1,INT(((CROQUIS!$C$98)-CROQUIS!$C$107)/MAX(CROQUIS!$C$126,1))+1)))-1,0))*CROQUIS!$C$126),CHOOSE(IF(INT(($A321-1)/5)&gt;MAX((MIN(80,MAX(1,INT(((CROQUIS!$C$98)-CROQUIS!$C$107)/MAX(CROQUIS!$C$126,1))+1)))-1,0),0,MOD($A321-1,5))+1,0,2,CROQUIS!$C$97-2,2,0)))*CROQUIS!$C$155)+IF(CROQUIS!$C$92="X",0,0)),-1000)</f>
        <v>-1000</v>
      </c>
      <c r="BJ321">
        <f>IF(AND(CROQUIS!$C$88=1,CROQUIS!$C$134&gt;0),((CROQUIS!$C$156+(IF(CROQUIS!$C$92="X",((CROQUIS!$C$107/2+(((CROQUIS!$C$97)-CROQUIS!$C$107)-(MIN(80,MAX(1,INT(((CROQUIS!$C$97)-CROQUIS!$C$107)/MAX(CROQUIS!$C$134,1))+1))-1)*CROQUIS!$C$134)/2)+MIN(INT(($A321-1)/5),MAX((MIN(80,MAX(1,INT(((CROQUIS!$C$97)-CROQUIS!$C$107)/MAX(CROQUIS!$C$134,1))+1)))-1,0))*CROQUIS!$C$134),CHOOSE(IF(INT(($A321-1)/5)&gt;MAX((MIN(80,MAX(1,INT(((CROQUIS!$C$97)-CROQUIS!$C$107)/MAX(CROQUIS!$C$134,1))+1)))-1,0),0,MOD($A321-1,5))+1,0,2,CROQUIS!$C$98-2,2,0)))*CROQUIS!$C$155)+IF(CROQUIS!$C$92="X",0,0)),-1000)</f>
        <v>-1000</v>
      </c>
      <c r="BK321">
        <f>IF(AND(CROQUIS!$C$88=1,CROQUIS!$C$134&gt;0),((CROQUIS!$C$157+(IF(CROQUIS!$C$92="X",CHOOSE(IF(INT(($A321-1)/5)&gt;MAX((MIN(80,MAX(1,INT(((CROQUIS!$C$97)-CROQUIS!$C$107)/MAX(CROQUIS!$C$134,1))+1)))-1,0),0,MOD($A321-1,5))+1,0,2,CROQUIS!$C$98-2,2,0),((CROQUIS!$C$107/2+(((CROQUIS!$C$97)-CROQUIS!$C$107)-(MIN(80,MAX(1,INT(((CROQUIS!$C$97)-CROQUIS!$C$107)/MAX(CROQUIS!$C$134,1))+1))-1)*CROQUIS!$C$134)/2)+MIN(INT(($A321-1)/5),MAX((MIN(80,MAX(1,INT(((CROQUIS!$C$97)-CROQUIS!$C$107)/MAX(CROQUIS!$C$134,1))+1)))-1,0))*CROQUIS!$C$134)))*CROQUIS!$C$155)+IF(CROQUIS!$C$92="X",0,0)),-1000)</f>
        <v>-1000</v>
      </c>
      <c r="BL321">
        <f>IF(AND(CROQUIS!$C$88=1,CROQUIS!$C$91=0,CROQUIS!$C$130&gt;0,OR(CROQUIS!$C$103=1,CROQUIS!$C$142=1)),((CROQUIS!$C$156+(IF(CROQUIS!$C$92="X",CHOOSE(IF(INT(($A321-1)/5)&gt;MAX((MIN(80,MAX(1,INT(((CROQUIS!$C$98)-CROQUIS!$C$107)/MAX(CROQUIS!$C$130,1))+1)))-1,0),0,MOD($A321-1,5))+1,0,IF(CROQUIS!$C$103=1,-12,2),CROQUIS!$C$107/2+CROQUIS!$C$140,IF(CROQUIS!$C$103=1,-12,2),0),((CROQUIS!$C$107/2+(((CROQUIS!$C$98)-CROQUIS!$C$107)-(MIN(80,MAX(1,INT(((CROQUIS!$C$98)-CROQUIS!$C$107)/MAX(CROQUIS!$C$130,1))+1))-1)*CROQUIS!$C$130)/2)+MIN(INT(($A321-1)/5),MAX((MIN(80,MAX(1,INT(((CROQUIS!$C$98)-CROQUIS!$C$107)/MAX(CROQUIS!$C$130,1))+1)))-1,0))*CROQUIS!$C$130)))*CROQUIS!$C$155)+IF(CROQUIS!$C$92="X",0,0)),-1000)</f>
        <v>-1000</v>
      </c>
      <c r="BM32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321-1)/5),MAX((MIN(80,MAX(1,INT(((CROQUIS!$C$98)-CROQUIS!$C$107)/MAX(CROQUIS!$C$130,1))+1)))-1,0))*CROQUIS!$C$130),CHOOSE(IF(INT(($A321-1)/5)&gt;MAX((MIN(80,MAX(1,INT(((CROQUIS!$C$98)-CROQUIS!$C$107)/MAX(CROQUIS!$C$130,1))+1)))-1,0),0,MOD($A321-1,5))+1,0,IF(CROQUIS!$C$103=1,-12,2),CROQUIS!$C$107/2+CROQUIS!$C$140,IF(CROQUIS!$C$103=1,-12,2),0)))*CROQUIS!$C$155)+IF(CROQUIS!$C$92="X",0,0)),-1000)</f>
        <v>-1000</v>
      </c>
      <c r="BN321">
        <f>IF(AND(CROQUIS!$C$88=1,CROQUIS!$C$91=0,CROQUIS!$C$130&gt;0,OR(CROQUIS!$C$104=1,CROQUIS!$C$142=1)),((CROQUIS!$C$156+(IF(CROQUIS!$C$92="X",CHOOSE(IF(INT(($A321-1)/5)&gt;MAX((MIN(80,MAX(1,INT(((CROQUIS!$C$98)-CROQUIS!$C$107)/MAX(CROQUIS!$C$130,1))+1)))-1,0),0,MOD($A321-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321-1)/5),MAX((MIN(80,MAX(1,INT(((CROQUIS!$C$98)-CROQUIS!$C$107)/MAX(CROQUIS!$C$130,1))+1)))-1,0))*CROQUIS!$C$130)))*CROQUIS!$C$155)+IF(CROQUIS!$C$92="X",0,0)),-1000)</f>
        <v>-1000</v>
      </c>
      <c r="BO32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321-1)/5),MAX((MIN(80,MAX(1,INT(((CROQUIS!$C$98)-CROQUIS!$C$107)/MAX(CROQUIS!$C$130,1))+1)))-1,0))*CROQUIS!$C$130),CHOOSE(IF(INT(($A321-1)/5)&gt;MAX((MIN(80,MAX(1,INT(((CROQUIS!$C$98)-CROQUIS!$C$107)/MAX(CROQUIS!$C$130,1))+1)))-1,0),0,MOD($A321-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2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321-1)/5),MAX((MIN(80,MAX(1,INT(((CROQUIS!$C$97)-CROQUIS!$C$107)/MAX(CROQUIS!$C$138,1))+1)))-1,0))*CROQUIS!$C$138),CHOOSE(IF(INT(($A321-1)/5)&gt;MAX((MIN(80,MAX(1,INT(((CROQUIS!$C$97)-CROQUIS!$C$107)/MAX(CROQUIS!$C$138,1))+1)))-1,0),0,MOD($A321-1,5))+1,0,IF(CROQUIS!$C$105=1,-12,2),CROQUIS!$C$107/2+CROQUIS!$C$141,IF(CROQUIS!$C$105=1,-12,2),0)))*CROQUIS!$C$155)+IF(CROQUIS!$C$92="X",0,0)),-1000)</f>
        <v>-1000</v>
      </c>
      <c r="BQ321">
        <f>IF(AND(CROQUIS!$C$88=1,CROQUIS!$C$91=0,CROQUIS!$C$138&gt;0,OR(CROQUIS!$C$105=1,CROQUIS!$C$143=1)),((CROQUIS!$C$157+(IF(CROQUIS!$C$92="X",CHOOSE(IF(INT(($A321-1)/5)&gt;MAX((MIN(80,MAX(1,INT(((CROQUIS!$C$97)-CROQUIS!$C$107)/MAX(CROQUIS!$C$138,1))+1)))-1,0),0,MOD($A321-1,5))+1,0,IF(CROQUIS!$C$105=1,-12,2),CROQUIS!$C$107/2+CROQUIS!$C$141,IF(CROQUIS!$C$105=1,-12,2),0),((CROQUIS!$C$107/2+(((CROQUIS!$C$97)-CROQUIS!$C$107)-(MIN(80,MAX(1,INT(((CROQUIS!$C$97)-CROQUIS!$C$107)/MAX(CROQUIS!$C$138,1))+1))-1)*CROQUIS!$C$138)/2)+MIN(INT(($A321-1)/5),MAX((MIN(80,MAX(1,INT(((CROQUIS!$C$97)-CROQUIS!$C$107)/MAX(CROQUIS!$C$138,1))+1)))-1,0))*CROQUIS!$C$138)))*CROQUIS!$C$155)+IF(CROQUIS!$C$92="X",0,0)),-1000)</f>
        <v>-1000</v>
      </c>
      <c r="BR32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321-1)/5),MAX((MIN(80,MAX(1,INT(((CROQUIS!$C$97)-CROQUIS!$C$107)/MAX(CROQUIS!$C$138,1))+1)))-1,0))*CROQUIS!$C$138),CHOOSE(IF(INT(($A321-1)/5)&gt;MAX((MIN(80,MAX(1,INT(((CROQUIS!$C$97)-CROQUIS!$C$107)/MAX(CROQUIS!$C$138,1))+1)))-1,0),0,MOD($A321-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21">
        <f>IF(AND(CROQUIS!$C$88=1,CROQUIS!$C$91=0,CROQUIS!$C$138&gt;0,OR(CROQUIS!$C$106=1,CROQUIS!$C$143=1)),((CROQUIS!$C$157+(IF(CROQUIS!$C$92="X",CHOOSE(IF(INT(($A321-1)/5)&gt;MAX((MIN(80,MAX(1,INT(((CROQUIS!$C$97)-CROQUIS!$C$107)/MAX(CROQUIS!$C$138,1))+1)))-1,0),0,MOD($A321-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321-1)/5),MAX((MIN(80,MAX(1,INT(((CROQUIS!$C$97)-CROQUIS!$C$107)/MAX(CROQUIS!$C$138,1))+1)))-1,0))*CROQUIS!$C$138)))*CROQUIS!$C$155)+IF(CROQUIS!$C$92="X",0,0)),-1000)</f>
        <v>-1000</v>
      </c>
      <c r="BT321">
        <f>IF(AND(CROQUIS!$C$88=1,CROQUIS!$C$91=1,CROQUIS!$C$130&gt;0),((CROQUIS!$C$156+(IF(CROQUIS!$C$92="X",CHOOSE(IF(INT(($A321-1)/5)&gt;MAX((MIN(80,MAX(1,INT(((CROQUIS!$C$98)-CROQUIS!$C$107)/MAX(CROQUIS!$C$130,1))+1)))-1,0),0,MOD($A321-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321-1)/5),MAX((MIN(80,MAX(1,INT(((CROQUIS!$C$98)-CROQUIS!$C$107)/MAX(CROQUIS!$C$130,1))+1)))-1,0))*CROQUIS!$C$130)))*CROQUIS!$C$155)+IF(CROQUIS!$C$92="X",0,0)),-1000)</f>
        <v>-1000</v>
      </c>
      <c r="BU321">
        <f>IF(AND(CROQUIS!$C$88=1,CROQUIS!$C$91=1,CROQUIS!$C$130&gt;0),((CROQUIS!$C$157+(IF(CROQUIS!$C$92="X",((CROQUIS!$C$107/2+(((CROQUIS!$C$98)-CROQUIS!$C$107)-(MIN(80,MAX(1,INT(((CROQUIS!$C$98)-CROQUIS!$C$107)/MAX(CROQUIS!$C$130,1))+1))-1)*CROQUIS!$C$130)/2)+MIN(INT(($A321-1)/5),MAX((MIN(80,MAX(1,INT(((CROQUIS!$C$98)-CROQUIS!$C$107)/MAX(CROQUIS!$C$130,1))+1)))-1,0))*CROQUIS!$C$130),CHOOSE(IF(INT(($A321-1)/5)&gt;MAX((MIN(80,MAX(1,INT(((CROQUIS!$C$98)-CROQUIS!$C$107)/MAX(CROQUIS!$C$130,1))+1)))-1,0),0,MOD($A321-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22">
      <c r="A322" t="n">
        <v>315</v>
      </c>
      <c r="BH322">
        <f>IF(AND(CROQUIS!$C$88=1,CROQUIS!$C$126&gt;0),((CROQUIS!$C$156+(IF(CROQUIS!$C$92="X",CHOOSE(IF(INT(($A322-1)/5)&gt;MAX((MIN(80,MAX(1,INT(((CROQUIS!$C$98)-CROQUIS!$C$107)/MAX(CROQUIS!$C$126,1))+1)))-1,0),0,MOD($A322-1,5))+1,0,2,CROQUIS!$C$97-2,2,0),((CROQUIS!$C$107/2+(((CROQUIS!$C$98)-CROQUIS!$C$107)-(MIN(80,MAX(1,INT(((CROQUIS!$C$98)-CROQUIS!$C$107)/MAX(CROQUIS!$C$126,1))+1))-1)*CROQUIS!$C$126)/2)+MIN(INT(($A322-1)/5),MAX((MIN(80,MAX(1,INT(((CROQUIS!$C$98)-CROQUIS!$C$107)/MAX(CROQUIS!$C$126,1))+1)))-1,0))*CROQUIS!$C$126)))*CROQUIS!$C$155)+IF(CROQUIS!$C$92="X",0,0)),-1000)</f>
        <v>-1000</v>
      </c>
      <c r="BI322">
        <f>IF(AND(CROQUIS!$C$88=1,CROQUIS!$C$126&gt;0),((CROQUIS!$C$157+(IF(CROQUIS!$C$92="X",((CROQUIS!$C$107/2+(((CROQUIS!$C$98)-CROQUIS!$C$107)-(MIN(80,MAX(1,INT(((CROQUIS!$C$98)-CROQUIS!$C$107)/MAX(CROQUIS!$C$126,1))+1))-1)*CROQUIS!$C$126)/2)+MIN(INT(($A322-1)/5),MAX((MIN(80,MAX(1,INT(((CROQUIS!$C$98)-CROQUIS!$C$107)/MAX(CROQUIS!$C$126,1))+1)))-1,0))*CROQUIS!$C$126),CHOOSE(IF(INT(($A322-1)/5)&gt;MAX((MIN(80,MAX(1,INT(((CROQUIS!$C$98)-CROQUIS!$C$107)/MAX(CROQUIS!$C$126,1))+1)))-1,0),0,MOD($A322-1,5))+1,0,2,CROQUIS!$C$97-2,2,0)))*CROQUIS!$C$155)+IF(CROQUIS!$C$92="X",0,0)),-1000)</f>
        <v>-1000</v>
      </c>
      <c r="BJ322">
        <f>IF(AND(CROQUIS!$C$88=1,CROQUIS!$C$134&gt;0),((CROQUIS!$C$156+(IF(CROQUIS!$C$92="X",((CROQUIS!$C$107/2+(((CROQUIS!$C$97)-CROQUIS!$C$107)-(MIN(80,MAX(1,INT(((CROQUIS!$C$97)-CROQUIS!$C$107)/MAX(CROQUIS!$C$134,1))+1))-1)*CROQUIS!$C$134)/2)+MIN(INT(($A322-1)/5),MAX((MIN(80,MAX(1,INT(((CROQUIS!$C$97)-CROQUIS!$C$107)/MAX(CROQUIS!$C$134,1))+1)))-1,0))*CROQUIS!$C$134),CHOOSE(IF(INT(($A322-1)/5)&gt;MAX((MIN(80,MAX(1,INT(((CROQUIS!$C$97)-CROQUIS!$C$107)/MAX(CROQUIS!$C$134,1))+1)))-1,0),0,MOD($A322-1,5))+1,0,2,CROQUIS!$C$98-2,2,0)))*CROQUIS!$C$155)+IF(CROQUIS!$C$92="X",0,0)),-1000)</f>
        <v>-1000</v>
      </c>
      <c r="BK322">
        <f>IF(AND(CROQUIS!$C$88=1,CROQUIS!$C$134&gt;0),((CROQUIS!$C$157+(IF(CROQUIS!$C$92="X",CHOOSE(IF(INT(($A322-1)/5)&gt;MAX((MIN(80,MAX(1,INT(((CROQUIS!$C$97)-CROQUIS!$C$107)/MAX(CROQUIS!$C$134,1))+1)))-1,0),0,MOD($A322-1,5))+1,0,2,CROQUIS!$C$98-2,2,0),((CROQUIS!$C$107/2+(((CROQUIS!$C$97)-CROQUIS!$C$107)-(MIN(80,MAX(1,INT(((CROQUIS!$C$97)-CROQUIS!$C$107)/MAX(CROQUIS!$C$134,1))+1))-1)*CROQUIS!$C$134)/2)+MIN(INT(($A322-1)/5),MAX((MIN(80,MAX(1,INT(((CROQUIS!$C$97)-CROQUIS!$C$107)/MAX(CROQUIS!$C$134,1))+1)))-1,0))*CROQUIS!$C$134)))*CROQUIS!$C$155)+IF(CROQUIS!$C$92="X",0,0)),-1000)</f>
        <v>-1000</v>
      </c>
      <c r="BL322">
        <f>IF(AND(CROQUIS!$C$88=1,CROQUIS!$C$91=0,CROQUIS!$C$130&gt;0,OR(CROQUIS!$C$103=1,CROQUIS!$C$142=1)),((CROQUIS!$C$156+(IF(CROQUIS!$C$92="X",CHOOSE(IF(INT(($A322-1)/5)&gt;MAX((MIN(80,MAX(1,INT(((CROQUIS!$C$98)-CROQUIS!$C$107)/MAX(CROQUIS!$C$130,1))+1)))-1,0),0,MOD($A322-1,5))+1,0,IF(CROQUIS!$C$103=1,-12,2),CROQUIS!$C$107/2+CROQUIS!$C$140,IF(CROQUIS!$C$103=1,-12,2),0),((CROQUIS!$C$107/2+(((CROQUIS!$C$98)-CROQUIS!$C$107)-(MIN(80,MAX(1,INT(((CROQUIS!$C$98)-CROQUIS!$C$107)/MAX(CROQUIS!$C$130,1))+1))-1)*CROQUIS!$C$130)/2)+MIN(INT(($A322-1)/5),MAX((MIN(80,MAX(1,INT(((CROQUIS!$C$98)-CROQUIS!$C$107)/MAX(CROQUIS!$C$130,1))+1)))-1,0))*CROQUIS!$C$130)))*CROQUIS!$C$155)+IF(CROQUIS!$C$92="X",0,0)),-1000)</f>
        <v>-1000</v>
      </c>
      <c r="BM32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322-1)/5),MAX((MIN(80,MAX(1,INT(((CROQUIS!$C$98)-CROQUIS!$C$107)/MAX(CROQUIS!$C$130,1))+1)))-1,0))*CROQUIS!$C$130),CHOOSE(IF(INT(($A322-1)/5)&gt;MAX((MIN(80,MAX(1,INT(((CROQUIS!$C$98)-CROQUIS!$C$107)/MAX(CROQUIS!$C$130,1))+1)))-1,0),0,MOD($A322-1,5))+1,0,IF(CROQUIS!$C$103=1,-12,2),CROQUIS!$C$107/2+CROQUIS!$C$140,IF(CROQUIS!$C$103=1,-12,2),0)))*CROQUIS!$C$155)+IF(CROQUIS!$C$92="X",0,0)),-1000)</f>
        <v>-1000</v>
      </c>
      <c r="BN322">
        <f>IF(AND(CROQUIS!$C$88=1,CROQUIS!$C$91=0,CROQUIS!$C$130&gt;0,OR(CROQUIS!$C$104=1,CROQUIS!$C$142=1)),((CROQUIS!$C$156+(IF(CROQUIS!$C$92="X",CHOOSE(IF(INT(($A322-1)/5)&gt;MAX((MIN(80,MAX(1,INT(((CROQUIS!$C$98)-CROQUIS!$C$107)/MAX(CROQUIS!$C$130,1))+1)))-1,0),0,MOD($A322-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322-1)/5),MAX((MIN(80,MAX(1,INT(((CROQUIS!$C$98)-CROQUIS!$C$107)/MAX(CROQUIS!$C$130,1))+1)))-1,0))*CROQUIS!$C$130)))*CROQUIS!$C$155)+IF(CROQUIS!$C$92="X",0,0)),-1000)</f>
        <v>-1000</v>
      </c>
      <c r="BO32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322-1)/5),MAX((MIN(80,MAX(1,INT(((CROQUIS!$C$98)-CROQUIS!$C$107)/MAX(CROQUIS!$C$130,1))+1)))-1,0))*CROQUIS!$C$130),CHOOSE(IF(INT(($A322-1)/5)&gt;MAX((MIN(80,MAX(1,INT(((CROQUIS!$C$98)-CROQUIS!$C$107)/MAX(CROQUIS!$C$130,1))+1)))-1,0),0,MOD($A322-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2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322-1)/5),MAX((MIN(80,MAX(1,INT(((CROQUIS!$C$97)-CROQUIS!$C$107)/MAX(CROQUIS!$C$138,1))+1)))-1,0))*CROQUIS!$C$138),CHOOSE(IF(INT(($A322-1)/5)&gt;MAX((MIN(80,MAX(1,INT(((CROQUIS!$C$97)-CROQUIS!$C$107)/MAX(CROQUIS!$C$138,1))+1)))-1,0),0,MOD($A322-1,5))+1,0,IF(CROQUIS!$C$105=1,-12,2),CROQUIS!$C$107/2+CROQUIS!$C$141,IF(CROQUIS!$C$105=1,-12,2),0)))*CROQUIS!$C$155)+IF(CROQUIS!$C$92="X",0,0)),-1000)</f>
        <v>-1000</v>
      </c>
      <c r="BQ322">
        <f>IF(AND(CROQUIS!$C$88=1,CROQUIS!$C$91=0,CROQUIS!$C$138&gt;0,OR(CROQUIS!$C$105=1,CROQUIS!$C$143=1)),((CROQUIS!$C$157+(IF(CROQUIS!$C$92="X",CHOOSE(IF(INT(($A322-1)/5)&gt;MAX((MIN(80,MAX(1,INT(((CROQUIS!$C$97)-CROQUIS!$C$107)/MAX(CROQUIS!$C$138,1))+1)))-1,0),0,MOD($A322-1,5))+1,0,IF(CROQUIS!$C$105=1,-12,2),CROQUIS!$C$107/2+CROQUIS!$C$141,IF(CROQUIS!$C$105=1,-12,2),0),((CROQUIS!$C$107/2+(((CROQUIS!$C$97)-CROQUIS!$C$107)-(MIN(80,MAX(1,INT(((CROQUIS!$C$97)-CROQUIS!$C$107)/MAX(CROQUIS!$C$138,1))+1))-1)*CROQUIS!$C$138)/2)+MIN(INT(($A322-1)/5),MAX((MIN(80,MAX(1,INT(((CROQUIS!$C$97)-CROQUIS!$C$107)/MAX(CROQUIS!$C$138,1))+1)))-1,0))*CROQUIS!$C$138)))*CROQUIS!$C$155)+IF(CROQUIS!$C$92="X",0,0)),-1000)</f>
        <v>-1000</v>
      </c>
      <c r="BR32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322-1)/5),MAX((MIN(80,MAX(1,INT(((CROQUIS!$C$97)-CROQUIS!$C$107)/MAX(CROQUIS!$C$138,1))+1)))-1,0))*CROQUIS!$C$138),CHOOSE(IF(INT(($A322-1)/5)&gt;MAX((MIN(80,MAX(1,INT(((CROQUIS!$C$97)-CROQUIS!$C$107)/MAX(CROQUIS!$C$138,1))+1)))-1,0),0,MOD($A322-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22">
        <f>IF(AND(CROQUIS!$C$88=1,CROQUIS!$C$91=0,CROQUIS!$C$138&gt;0,OR(CROQUIS!$C$106=1,CROQUIS!$C$143=1)),((CROQUIS!$C$157+(IF(CROQUIS!$C$92="X",CHOOSE(IF(INT(($A322-1)/5)&gt;MAX((MIN(80,MAX(1,INT(((CROQUIS!$C$97)-CROQUIS!$C$107)/MAX(CROQUIS!$C$138,1))+1)))-1,0),0,MOD($A322-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322-1)/5),MAX((MIN(80,MAX(1,INT(((CROQUIS!$C$97)-CROQUIS!$C$107)/MAX(CROQUIS!$C$138,1))+1)))-1,0))*CROQUIS!$C$138)))*CROQUIS!$C$155)+IF(CROQUIS!$C$92="X",0,0)),-1000)</f>
        <v>-1000</v>
      </c>
      <c r="BT322">
        <f>IF(AND(CROQUIS!$C$88=1,CROQUIS!$C$91=1,CROQUIS!$C$130&gt;0),((CROQUIS!$C$156+(IF(CROQUIS!$C$92="X",CHOOSE(IF(INT(($A322-1)/5)&gt;MAX((MIN(80,MAX(1,INT(((CROQUIS!$C$98)-CROQUIS!$C$107)/MAX(CROQUIS!$C$130,1))+1)))-1,0),0,MOD($A322-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322-1)/5),MAX((MIN(80,MAX(1,INT(((CROQUIS!$C$98)-CROQUIS!$C$107)/MAX(CROQUIS!$C$130,1))+1)))-1,0))*CROQUIS!$C$130)))*CROQUIS!$C$155)+IF(CROQUIS!$C$92="X",0,0)),-1000)</f>
        <v>-1000</v>
      </c>
      <c r="BU322">
        <f>IF(AND(CROQUIS!$C$88=1,CROQUIS!$C$91=1,CROQUIS!$C$130&gt;0),((CROQUIS!$C$157+(IF(CROQUIS!$C$92="X",((CROQUIS!$C$107/2+(((CROQUIS!$C$98)-CROQUIS!$C$107)-(MIN(80,MAX(1,INT(((CROQUIS!$C$98)-CROQUIS!$C$107)/MAX(CROQUIS!$C$130,1))+1))-1)*CROQUIS!$C$130)/2)+MIN(INT(($A322-1)/5),MAX((MIN(80,MAX(1,INT(((CROQUIS!$C$98)-CROQUIS!$C$107)/MAX(CROQUIS!$C$130,1))+1)))-1,0))*CROQUIS!$C$130),CHOOSE(IF(INT(($A322-1)/5)&gt;MAX((MIN(80,MAX(1,INT(((CROQUIS!$C$98)-CROQUIS!$C$107)/MAX(CROQUIS!$C$130,1))+1)))-1,0),0,MOD($A322-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23">
      <c r="A323" t="n">
        <v>316</v>
      </c>
      <c r="BH323">
        <f>IF(AND(CROQUIS!$C$88=1,CROQUIS!$C$126&gt;0),((CROQUIS!$C$156+(IF(CROQUIS!$C$92="X",CHOOSE(IF(INT(($A323-1)/5)&gt;MAX((MIN(80,MAX(1,INT(((CROQUIS!$C$98)-CROQUIS!$C$107)/MAX(CROQUIS!$C$126,1))+1)))-1,0),0,MOD($A323-1,5))+1,0,2,CROQUIS!$C$97-2,2,0),((CROQUIS!$C$107/2+(((CROQUIS!$C$98)-CROQUIS!$C$107)-(MIN(80,MAX(1,INT(((CROQUIS!$C$98)-CROQUIS!$C$107)/MAX(CROQUIS!$C$126,1))+1))-1)*CROQUIS!$C$126)/2)+MIN(INT(($A323-1)/5),MAX((MIN(80,MAX(1,INT(((CROQUIS!$C$98)-CROQUIS!$C$107)/MAX(CROQUIS!$C$126,1))+1)))-1,0))*CROQUIS!$C$126)))*CROQUIS!$C$155)+IF(CROQUIS!$C$92="X",0,0)),-1000)</f>
        <v>-1000</v>
      </c>
      <c r="BI323">
        <f>IF(AND(CROQUIS!$C$88=1,CROQUIS!$C$126&gt;0),((CROQUIS!$C$157+(IF(CROQUIS!$C$92="X",((CROQUIS!$C$107/2+(((CROQUIS!$C$98)-CROQUIS!$C$107)-(MIN(80,MAX(1,INT(((CROQUIS!$C$98)-CROQUIS!$C$107)/MAX(CROQUIS!$C$126,1))+1))-1)*CROQUIS!$C$126)/2)+MIN(INT(($A323-1)/5),MAX((MIN(80,MAX(1,INT(((CROQUIS!$C$98)-CROQUIS!$C$107)/MAX(CROQUIS!$C$126,1))+1)))-1,0))*CROQUIS!$C$126),CHOOSE(IF(INT(($A323-1)/5)&gt;MAX((MIN(80,MAX(1,INT(((CROQUIS!$C$98)-CROQUIS!$C$107)/MAX(CROQUIS!$C$126,1))+1)))-1,0),0,MOD($A323-1,5))+1,0,2,CROQUIS!$C$97-2,2,0)))*CROQUIS!$C$155)+IF(CROQUIS!$C$92="X",0,0)),-1000)</f>
        <v>-1000</v>
      </c>
      <c r="BJ323">
        <f>IF(AND(CROQUIS!$C$88=1,CROQUIS!$C$134&gt;0),((CROQUIS!$C$156+(IF(CROQUIS!$C$92="X",((CROQUIS!$C$107/2+(((CROQUIS!$C$97)-CROQUIS!$C$107)-(MIN(80,MAX(1,INT(((CROQUIS!$C$97)-CROQUIS!$C$107)/MAX(CROQUIS!$C$134,1))+1))-1)*CROQUIS!$C$134)/2)+MIN(INT(($A323-1)/5),MAX((MIN(80,MAX(1,INT(((CROQUIS!$C$97)-CROQUIS!$C$107)/MAX(CROQUIS!$C$134,1))+1)))-1,0))*CROQUIS!$C$134),CHOOSE(IF(INT(($A323-1)/5)&gt;MAX((MIN(80,MAX(1,INT(((CROQUIS!$C$97)-CROQUIS!$C$107)/MAX(CROQUIS!$C$134,1))+1)))-1,0),0,MOD($A323-1,5))+1,0,2,CROQUIS!$C$98-2,2,0)))*CROQUIS!$C$155)+IF(CROQUIS!$C$92="X",0,0)),-1000)</f>
        <v>-1000</v>
      </c>
      <c r="BK323">
        <f>IF(AND(CROQUIS!$C$88=1,CROQUIS!$C$134&gt;0),((CROQUIS!$C$157+(IF(CROQUIS!$C$92="X",CHOOSE(IF(INT(($A323-1)/5)&gt;MAX((MIN(80,MAX(1,INT(((CROQUIS!$C$97)-CROQUIS!$C$107)/MAX(CROQUIS!$C$134,1))+1)))-1,0),0,MOD($A323-1,5))+1,0,2,CROQUIS!$C$98-2,2,0),((CROQUIS!$C$107/2+(((CROQUIS!$C$97)-CROQUIS!$C$107)-(MIN(80,MAX(1,INT(((CROQUIS!$C$97)-CROQUIS!$C$107)/MAX(CROQUIS!$C$134,1))+1))-1)*CROQUIS!$C$134)/2)+MIN(INT(($A323-1)/5),MAX((MIN(80,MAX(1,INT(((CROQUIS!$C$97)-CROQUIS!$C$107)/MAX(CROQUIS!$C$134,1))+1)))-1,0))*CROQUIS!$C$134)))*CROQUIS!$C$155)+IF(CROQUIS!$C$92="X",0,0)),-1000)</f>
        <v>-1000</v>
      </c>
      <c r="BL323">
        <f>IF(AND(CROQUIS!$C$88=1,CROQUIS!$C$91=0,CROQUIS!$C$130&gt;0,OR(CROQUIS!$C$103=1,CROQUIS!$C$142=1)),((CROQUIS!$C$156+(IF(CROQUIS!$C$92="X",CHOOSE(IF(INT(($A323-1)/5)&gt;MAX((MIN(80,MAX(1,INT(((CROQUIS!$C$98)-CROQUIS!$C$107)/MAX(CROQUIS!$C$130,1))+1)))-1,0),0,MOD($A323-1,5))+1,0,IF(CROQUIS!$C$103=1,-12,2),CROQUIS!$C$107/2+CROQUIS!$C$140,IF(CROQUIS!$C$103=1,-12,2),0),((CROQUIS!$C$107/2+(((CROQUIS!$C$98)-CROQUIS!$C$107)-(MIN(80,MAX(1,INT(((CROQUIS!$C$98)-CROQUIS!$C$107)/MAX(CROQUIS!$C$130,1))+1))-1)*CROQUIS!$C$130)/2)+MIN(INT(($A323-1)/5),MAX((MIN(80,MAX(1,INT(((CROQUIS!$C$98)-CROQUIS!$C$107)/MAX(CROQUIS!$C$130,1))+1)))-1,0))*CROQUIS!$C$130)))*CROQUIS!$C$155)+IF(CROQUIS!$C$92="X",0,0)),-1000)</f>
        <v>-1000</v>
      </c>
      <c r="BM32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323-1)/5),MAX((MIN(80,MAX(1,INT(((CROQUIS!$C$98)-CROQUIS!$C$107)/MAX(CROQUIS!$C$130,1))+1)))-1,0))*CROQUIS!$C$130),CHOOSE(IF(INT(($A323-1)/5)&gt;MAX((MIN(80,MAX(1,INT(((CROQUIS!$C$98)-CROQUIS!$C$107)/MAX(CROQUIS!$C$130,1))+1)))-1,0),0,MOD($A323-1,5))+1,0,IF(CROQUIS!$C$103=1,-12,2),CROQUIS!$C$107/2+CROQUIS!$C$140,IF(CROQUIS!$C$103=1,-12,2),0)))*CROQUIS!$C$155)+IF(CROQUIS!$C$92="X",0,0)),-1000)</f>
        <v>-1000</v>
      </c>
      <c r="BN323">
        <f>IF(AND(CROQUIS!$C$88=1,CROQUIS!$C$91=0,CROQUIS!$C$130&gt;0,OR(CROQUIS!$C$104=1,CROQUIS!$C$142=1)),((CROQUIS!$C$156+(IF(CROQUIS!$C$92="X",CHOOSE(IF(INT(($A323-1)/5)&gt;MAX((MIN(80,MAX(1,INT(((CROQUIS!$C$98)-CROQUIS!$C$107)/MAX(CROQUIS!$C$130,1))+1)))-1,0),0,MOD($A323-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323-1)/5),MAX((MIN(80,MAX(1,INT(((CROQUIS!$C$98)-CROQUIS!$C$107)/MAX(CROQUIS!$C$130,1))+1)))-1,0))*CROQUIS!$C$130)))*CROQUIS!$C$155)+IF(CROQUIS!$C$92="X",0,0)),-1000)</f>
        <v>-1000</v>
      </c>
      <c r="BO32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323-1)/5),MAX((MIN(80,MAX(1,INT(((CROQUIS!$C$98)-CROQUIS!$C$107)/MAX(CROQUIS!$C$130,1))+1)))-1,0))*CROQUIS!$C$130),CHOOSE(IF(INT(($A323-1)/5)&gt;MAX((MIN(80,MAX(1,INT(((CROQUIS!$C$98)-CROQUIS!$C$107)/MAX(CROQUIS!$C$130,1))+1)))-1,0),0,MOD($A323-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2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323-1)/5),MAX((MIN(80,MAX(1,INT(((CROQUIS!$C$97)-CROQUIS!$C$107)/MAX(CROQUIS!$C$138,1))+1)))-1,0))*CROQUIS!$C$138),CHOOSE(IF(INT(($A323-1)/5)&gt;MAX((MIN(80,MAX(1,INT(((CROQUIS!$C$97)-CROQUIS!$C$107)/MAX(CROQUIS!$C$138,1))+1)))-1,0),0,MOD($A323-1,5))+1,0,IF(CROQUIS!$C$105=1,-12,2),CROQUIS!$C$107/2+CROQUIS!$C$141,IF(CROQUIS!$C$105=1,-12,2),0)))*CROQUIS!$C$155)+IF(CROQUIS!$C$92="X",0,0)),-1000)</f>
        <v>-1000</v>
      </c>
      <c r="BQ323">
        <f>IF(AND(CROQUIS!$C$88=1,CROQUIS!$C$91=0,CROQUIS!$C$138&gt;0,OR(CROQUIS!$C$105=1,CROQUIS!$C$143=1)),((CROQUIS!$C$157+(IF(CROQUIS!$C$92="X",CHOOSE(IF(INT(($A323-1)/5)&gt;MAX((MIN(80,MAX(1,INT(((CROQUIS!$C$97)-CROQUIS!$C$107)/MAX(CROQUIS!$C$138,1))+1)))-1,0),0,MOD($A323-1,5))+1,0,IF(CROQUIS!$C$105=1,-12,2),CROQUIS!$C$107/2+CROQUIS!$C$141,IF(CROQUIS!$C$105=1,-12,2),0),((CROQUIS!$C$107/2+(((CROQUIS!$C$97)-CROQUIS!$C$107)-(MIN(80,MAX(1,INT(((CROQUIS!$C$97)-CROQUIS!$C$107)/MAX(CROQUIS!$C$138,1))+1))-1)*CROQUIS!$C$138)/2)+MIN(INT(($A323-1)/5),MAX((MIN(80,MAX(1,INT(((CROQUIS!$C$97)-CROQUIS!$C$107)/MAX(CROQUIS!$C$138,1))+1)))-1,0))*CROQUIS!$C$138)))*CROQUIS!$C$155)+IF(CROQUIS!$C$92="X",0,0)),-1000)</f>
        <v>-1000</v>
      </c>
      <c r="BR32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323-1)/5),MAX((MIN(80,MAX(1,INT(((CROQUIS!$C$97)-CROQUIS!$C$107)/MAX(CROQUIS!$C$138,1))+1)))-1,0))*CROQUIS!$C$138),CHOOSE(IF(INT(($A323-1)/5)&gt;MAX((MIN(80,MAX(1,INT(((CROQUIS!$C$97)-CROQUIS!$C$107)/MAX(CROQUIS!$C$138,1))+1)))-1,0),0,MOD($A323-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23">
        <f>IF(AND(CROQUIS!$C$88=1,CROQUIS!$C$91=0,CROQUIS!$C$138&gt;0,OR(CROQUIS!$C$106=1,CROQUIS!$C$143=1)),((CROQUIS!$C$157+(IF(CROQUIS!$C$92="X",CHOOSE(IF(INT(($A323-1)/5)&gt;MAX((MIN(80,MAX(1,INT(((CROQUIS!$C$97)-CROQUIS!$C$107)/MAX(CROQUIS!$C$138,1))+1)))-1,0),0,MOD($A323-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323-1)/5),MAX((MIN(80,MAX(1,INT(((CROQUIS!$C$97)-CROQUIS!$C$107)/MAX(CROQUIS!$C$138,1))+1)))-1,0))*CROQUIS!$C$138)))*CROQUIS!$C$155)+IF(CROQUIS!$C$92="X",0,0)),-1000)</f>
        <v>-1000</v>
      </c>
      <c r="BT323">
        <f>IF(AND(CROQUIS!$C$88=1,CROQUIS!$C$91=1,CROQUIS!$C$130&gt;0),((CROQUIS!$C$156+(IF(CROQUIS!$C$92="X",CHOOSE(IF(INT(($A323-1)/5)&gt;MAX((MIN(80,MAX(1,INT(((CROQUIS!$C$98)-CROQUIS!$C$107)/MAX(CROQUIS!$C$130,1))+1)))-1,0),0,MOD($A323-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323-1)/5),MAX((MIN(80,MAX(1,INT(((CROQUIS!$C$98)-CROQUIS!$C$107)/MAX(CROQUIS!$C$130,1))+1)))-1,0))*CROQUIS!$C$130)))*CROQUIS!$C$155)+IF(CROQUIS!$C$92="X",0,0)),-1000)</f>
        <v>-1000</v>
      </c>
      <c r="BU323">
        <f>IF(AND(CROQUIS!$C$88=1,CROQUIS!$C$91=1,CROQUIS!$C$130&gt;0),((CROQUIS!$C$157+(IF(CROQUIS!$C$92="X",((CROQUIS!$C$107/2+(((CROQUIS!$C$98)-CROQUIS!$C$107)-(MIN(80,MAX(1,INT(((CROQUIS!$C$98)-CROQUIS!$C$107)/MAX(CROQUIS!$C$130,1))+1))-1)*CROQUIS!$C$130)/2)+MIN(INT(($A323-1)/5),MAX((MIN(80,MAX(1,INT(((CROQUIS!$C$98)-CROQUIS!$C$107)/MAX(CROQUIS!$C$130,1))+1)))-1,0))*CROQUIS!$C$130),CHOOSE(IF(INT(($A323-1)/5)&gt;MAX((MIN(80,MAX(1,INT(((CROQUIS!$C$98)-CROQUIS!$C$107)/MAX(CROQUIS!$C$130,1))+1)))-1,0),0,MOD($A323-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24">
      <c r="A324" t="n">
        <v>317</v>
      </c>
      <c r="BH324">
        <f>IF(AND(CROQUIS!$C$88=1,CROQUIS!$C$126&gt;0),((CROQUIS!$C$156+(IF(CROQUIS!$C$92="X",CHOOSE(IF(INT(($A324-1)/5)&gt;MAX((MIN(80,MAX(1,INT(((CROQUIS!$C$98)-CROQUIS!$C$107)/MAX(CROQUIS!$C$126,1))+1)))-1,0),0,MOD($A324-1,5))+1,0,2,CROQUIS!$C$97-2,2,0),((CROQUIS!$C$107/2+(((CROQUIS!$C$98)-CROQUIS!$C$107)-(MIN(80,MAX(1,INT(((CROQUIS!$C$98)-CROQUIS!$C$107)/MAX(CROQUIS!$C$126,1))+1))-1)*CROQUIS!$C$126)/2)+MIN(INT(($A324-1)/5),MAX((MIN(80,MAX(1,INT(((CROQUIS!$C$98)-CROQUIS!$C$107)/MAX(CROQUIS!$C$126,1))+1)))-1,0))*CROQUIS!$C$126)))*CROQUIS!$C$155)+IF(CROQUIS!$C$92="X",0,0)),-1000)</f>
        <v>-1000</v>
      </c>
      <c r="BI324">
        <f>IF(AND(CROQUIS!$C$88=1,CROQUIS!$C$126&gt;0),((CROQUIS!$C$157+(IF(CROQUIS!$C$92="X",((CROQUIS!$C$107/2+(((CROQUIS!$C$98)-CROQUIS!$C$107)-(MIN(80,MAX(1,INT(((CROQUIS!$C$98)-CROQUIS!$C$107)/MAX(CROQUIS!$C$126,1))+1))-1)*CROQUIS!$C$126)/2)+MIN(INT(($A324-1)/5),MAX((MIN(80,MAX(1,INT(((CROQUIS!$C$98)-CROQUIS!$C$107)/MAX(CROQUIS!$C$126,1))+1)))-1,0))*CROQUIS!$C$126),CHOOSE(IF(INT(($A324-1)/5)&gt;MAX((MIN(80,MAX(1,INT(((CROQUIS!$C$98)-CROQUIS!$C$107)/MAX(CROQUIS!$C$126,1))+1)))-1,0),0,MOD($A324-1,5))+1,0,2,CROQUIS!$C$97-2,2,0)))*CROQUIS!$C$155)+IF(CROQUIS!$C$92="X",0,0)),-1000)</f>
        <v>-1000</v>
      </c>
      <c r="BJ324">
        <f>IF(AND(CROQUIS!$C$88=1,CROQUIS!$C$134&gt;0),((CROQUIS!$C$156+(IF(CROQUIS!$C$92="X",((CROQUIS!$C$107/2+(((CROQUIS!$C$97)-CROQUIS!$C$107)-(MIN(80,MAX(1,INT(((CROQUIS!$C$97)-CROQUIS!$C$107)/MAX(CROQUIS!$C$134,1))+1))-1)*CROQUIS!$C$134)/2)+MIN(INT(($A324-1)/5),MAX((MIN(80,MAX(1,INT(((CROQUIS!$C$97)-CROQUIS!$C$107)/MAX(CROQUIS!$C$134,1))+1)))-1,0))*CROQUIS!$C$134),CHOOSE(IF(INT(($A324-1)/5)&gt;MAX((MIN(80,MAX(1,INT(((CROQUIS!$C$97)-CROQUIS!$C$107)/MAX(CROQUIS!$C$134,1))+1)))-1,0),0,MOD($A324-1,5))+1,0,2,CROQUIS!$C$98-2,2,0)))*CROQUIS!$C$155)+IF(CROQUIS!$C$92="X",0,0)),-1000)</f>
        <v>-1000</v>
      </c>
      <c r="BK324">
        <f>IF(AND(CROQUIS!$C$88=1,CROQUIS!$C$134&gt;0),((CROQUIS!$C$157+(IF(CROQUIS!$C$92="X",CHOOSE(IF(INT(($A324-1)/5)&gt;MAX((MIN(80,MAX(1,INT(((CROQUIS!$C$97)-CROQUIS!$C$107)/MAX(CROQUIS!$C$134,1))+1)))-1,0),0,MOD($A324-1,5))+1,0,2,CROQUIS!$C$98-2,2,0),((CROQUIS!$C$107/2+(((CROQUIS!$C$97)-CROQUIS!$C$107)-(MIN(80,MAX(1,INT(((CROQUIS!$C$97)-CROQUIS!$C$107)/MAX(CROQUIS!$C$134,1))+1))-1)*CROQUIS!$C$134)/2)+MIN(INT(($A324-1)/5),MAX((MIN(80,MAX(1,INT(((CROQUIS!$C$97)-CROQUIS!$C$107)/MAX(CROQUIS!$C$134,1))+1)))-1,0))*CROQUIS!$C$134)))*CROQUIS!$C$155)+IF(CROQUIS!$C$92="X",0,0)),-1000)</f>
        <v>-1000</v>
      </c>
      <c r="BL324">
        <f>IF(AND(CROQUIS!$C$88=1,CROQUIS!$C$91=0,CROQUIS!$C$130&gt;0,OR(CROQUIS!$C$103=1,CROQUIS!$C$142=1)),((CROQUIS!$C$156+(IF(CROQUIS!$C$92="X",CHOOSE(IF(INT(($A324-1)/5)&gt;MAX((MIN(80,MAX(1,INT(((CROQUIS!$C$98)-CROQUIS!$C$107)/MAX(CROQUIS!$C$130,1))+1)))-1,0),0,MOD($A324-1,5))+1,0,IF(CROQUIS!$C$103=1,-12,2),CROQUIS!$C$107/2+CROQUIS!$C$140,IF(CROQUIS!$C$103=1,-12,2),0),((CROQUIS!$C$107/2+(((CROQUIS!$C$98)-CROQUIS!$C$107)-(MIN(80,MAX(1,INT(((CROQUIS!$C$98)-CROQUIS!$C$107)/MAX(CROQUIS!$C$130,1))+1))-1)*CROQUIS!$C$130)/2)+MIN(INT(($A324-1)/5),MAX((MIN(80,MAX(1,INT(((CROQUIS!$C$98)-CROQUIS!$C$107)/MAX(CROQUIS!$C$130,1))+1)))-1,0))*CROQUIS!$C$130)))*CROQUIS!$C$155)+IF(CROQUIS!$C$92="X",0,0)),-1000)</f>
        <v>-1000</v>
      </c>
      <c r="BM32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324-1)/5),MAX((MIN(80,MAX(1,INT(((CROQUIS!$C$98)-CROQUIS!$C$107)/MAX(CROQUIS!$C$130,1))+1)))-1,0))*CROQUIS!$C$130),CHOOSE(IF(INT(($A324-1)/5)&gt;MAX((MIN(80,MAX(1,INT(((CROQUIS!$C$98)-CROQUIS!$C$107)/MAX(CROQUIS!$C$130,1))+1)))-1,0),0,MOD($A324-1,5))+1,0,IF(CROQUIS!$C$103=1,-12,2),CROQUIS!$C$107/2+CROQUIS!$C$140,IF(CROQUIS!$C$103=1,-12,2),0)))*CROQUIS!$C$155)+IF(CROQUIS!$C$92="X",0,0)),-1000)</f>
        <v>-1000</v>
      </c>
      <c r="BN324">
        <f>IF(AND(CROQUIS!$C$88=1,CROQUIS!$C$91=0,CROQUIS!$C$130&gt;0,OR(CROQUIS!$C$104=1,CROQUIS!$C$142=1)),((CROQUIS!$C$156+(IF(CROQUIS!$C$92="X",CHOOSE(IF(INT(($A324-1)/5)&gt;MAX((MIN(80,MAX(1,INT(((CROQUIS!$C$98)-CROQUIS!$C$107)/MAX(CROQUIS!$C$130,1))+1)))-1,0),0,MOD($A324-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324-1)/5),MAX((MIN(80,MAX(1,INT(((CROQUIS!$C$98)-CROQUIS!$C$107)/MAX(CROQUIS!$C$130,1))+1)))-1,0))*CROQUIS!$C$130)))*CROQUIS!$C$155)+IF(CROQUIS!$C$92="X",0,0)),-1000)</f>
        <v>-1000</v>
      </c>
      <c r="BO32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324-1)/5),MAX((MIN(80,MAX(1,INT(((CROQUIS!$C$98)-CROQUIS!$C$107)/MAX(CROQUIS!$C$130,1))+1)))-1,0))*CROQUIS!$C$130),CHOOSE(IF(INT(($A324-1)/5)&gt;MAX((MIN(80,MAX(1,INT(((CROQUIS!$C$98)-CROQUIS!$C$107)/MAX(CROQUIS!$C$130,1))+1)))-1,0),0,MOD($A324-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2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324-1)/5),MAX((MIN(80,MAX(1,INT(((CROQUIS!$C$97)-CROQUIS!$C$107)/MAX(CROQUIS!$C$138,1))+1)))-1,0))*CROQUIS!$C$138),CHOOSE(IF(INT(($A324-1)/5)&gt;MAX((MIN(80,MAX(1,INT(((CROQUIS!$C$97)-CROQUIS!$C$107)/MAX(CROQUIS!$C$138,1))+1)))-1,0),0,MOD($A324-1,5))+1,0,IF(CROQUIS!$C$105=1,-12,2),CROQUIS!$C$107/2+CROQUIS!$C$141,IF(CROQUIS!$C$105=1,-12,2),0)))*CROQUIS!$C$155)+IF(CROQUIS!$C$92="X",0,0)),-1000)</f>
        <v>-1000</v>
      </c>
      <c r="BQ324">
        <f>IF(AND(CROQUIS!$C$88=1,CROQUIS!$C$91=0,CROQUIS!$C$138&gt;0,OR(CROQUIS!$C$105=1,CROQUIS!$C$143=1)),((CROQUIS!$C$157+(IF(CROQUIS!$C$92="X",CHOOSE(IF(INT(($A324-1)/5)&gt;MAX((MIN(80,MAX(1,INT(((CROQUIS!$C$97)-CROQUIS!$C$107)/MAX(CROQUIS!$C$138,1))+1)))-1,0),0,MOD($A324-1,5))+1,0,IF(CROQUIS!$C$105=1,-12,2),CROQUIS!$C$107/2+CROQUIS!$C$141,IF(CROQUIS!$C$105=1,-12,2),0),((CROQUIS!$C$107/2+(((CROQUIS!$C$97)-CROQUIS!$C$107)-(MIN(80,MAX(1,INT(((CROQUIS!$C$97)-CROQUIS!$C$107)/MAX(CROQUIS!$C$138,1))+1))-1)*CROQUIS!$C$138)/2)+MIN(INT(($A324-1)/5),MAX((MIN(80,MAX(1,INT(((CROQUIS!$C$97)-CROQUIS!$C$107)/MAX(CROQUIS!$C$138,1))+1)))-1,0))*CROQUIS!$C$138)))*CROQUIS!$C$155)+IF(CROQUIS!$C$92="X",0,0)),-1000)</f>
        <v>-1000</v>
      </c>
      <c r="BR32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324-1)/5),MAX((MIN(80,MAX(1,INT(((CROQUIS!$C$97)-CROQUIS!$C$107)/MAX(CROQUIS!$C$138,1))+1)))-1,0))*CROQUIS!$C$138),CHOOSE(IF(INT(($A324-1)/5)&gt;MAX((MIN(80,MAX(1,INT(((CROQUIS!$C$97)-CROQUIS!$C$107)/MAX(CROQUIS!$C$138,1))+1)))-1,0),0,MOD($A324-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24">
        <f>IF(AND(CROQUIS!$C$88=1,CROQUIS!$C$91=0,CROQUIS!$C$138&gt;0,OR(CROQUIS!$C$106=1,CROQUIS!$C$143=1)),((CROQUIS!$C$157+(IF(CROQUIS!$C$92="X",CHOOSE(IF(INT(($A324-1)/5)&gt;MAX((MIN(80,MAX(1,INT(((CROQUIS!$C$97)-CROQUIS!$C$107)/MAX(CROQUIS!$C$138,1))+1)))-1,0),0,MOD($A324-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324-1)/5),MAX((MIN(80,MAX(1,INT(((CROQUIS!$C$97)-CROQUIS!$C$107)/MAX(CROQUIS!$C$138,1))+1)))-1,0))*CROQUIS!$C$138)))*CROQUIS!$C$155)+IF(CROQUIS!$C$92="X",0,0)),-1000)</f>
        <v>-1000</v>
      </c>
      <c r="BT324">
        <f>IF(AND(CROQUIS!$C$88=1,CROQUIS!$C$91=1,CROQUIS!$C$130&gt;0),((CROQUIS!$C$156+(IF(CROQUIS!$C$92="X",CHOOSE(IF(INT(($A324-1)/5)&gt;MAX((MIN(80,MAX(1,INT(((CROQUIS!$C$98)-CROQUIS!$C$107)/MAX(CROQUIS!$C$130,1))+1)))-1,0),0,MOD($A324-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324-1)/5),MAX((MIN(80,MAX(1,INT(((CROQUIS!$C$98)-CROQUIS!$C$107)/MAX(CROQUIS!$C$130,1))+1)))-1,0))*CROQUIS!$C$130)))*CROQUIS!$C$155)+IF(CROQUIS!$C$92="X",0,0)),-1000)</f>
        <v>-1000</v>
      </c>
      <c r="BU324">
        <f>IF(AND(CROQUIS!$C$88=1,CROQUIS!$C$91=1,CROQUIS!$C$130&gt;0),((CROQUIS!$C$157+(IF(CROQUIS!$C$92="X",((CROQUIS!$C$107/2+(((CROQUIS!$C$98)-CROQUIS!$C$107)-(MIN(80,MAX(1,INT(((CROQUIS!$C$98)-CROQUIS!$C$107)/MAX(CROQUIS!$C$130,1))+1))-1)*CROQUIS!$C$130)/2)+MIN(INT(($A324-1)/5),MAX((MIN(80,MAX(1,INT(((CROQUIS!$C$98)-CROQUIS!$C$107)/MAX(CROQUIS!$C$130,1))+1)))-1,0))*CROQUIS!$C$130),CHOOSE(IF(INT(($A324-1)/5)&gt;MAX((MIN(80,MAX(1,INT(((CROQUIS!$C$98)-CROQUIS!$C$107)/MAX(CROQUIS!$C$130,1))+1)))-1,0),0,MOD($A324-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25">
      <c r="A325" t="n">
        <v>318</v>
      </c>
      <c r="BH325">
        <f>IF(AND(CROQUIS!$C$88=1,CROQUIS!$C$126&gt;0),((CROQUIS!$C$156+(IF(CROQUIS!$C$92="X",CHOOSE(IF(INT(($A325-1)/5)&gt;MAX((MIN(80,MAX(1,INT(((CROQUIS!$C$98)-CROQUIS!$C$107)/MAX(CROQUIS!$C$126,1))+1)))-1,0),0,MOD($A325-1,5))+1,0,2,CROQUIS!$C$97-2,2,0),((CROQUIS!$C$107/2+(((CROQUIS!$C$98)-CROQUIS!$C$107)-(MIN(80,MAX(1,INT(((CROQUIS!$C$98)-CROQUIS!$C$107)/MAX(CROQUIS!$C$126,1))+1))-1)*CROQUIS!$C$126)/2)+MIN(INT(($A325-1)/5),MAX((MIN(80,MAX(1,INT(((CROQUIS!$C$98)-CROQUIS!$C$107)/MAX(CROQUIS!$C$126,1))+1)))-1,0))*CROQUIS!$C$126)))*CROQUIS!$C$155)+IF(CROQUIS!$C$92="X",0,0)),-1000)</f>
        <v>-1000</v>
      </c>
      <c r="BI325">
        <f>IF(AND(CROQUIS!$C$88=1,CROQUIS!$C$126&gt;0),((CROQUIS!$C$157+(IF(CROQUIS!$C$92="X",((CROQUIS!$C$107/2+(((CROQUIS!$C$98)-CROQUIS!$C$107)-(MIN(80,MAX(1,INT(((CROQUIS!$C$98)-CROQUIS!$C$107)/MAX(CROQUIS!$C$126,1))+1))-1)*CROQUIS!$C$126)/2)+MIN(INT(($A325-1)/5),MAX((MIN(80,MAX(1,INT(((CROQUIS!$C$98)-CROQUIS!$C$107)/MAX(CROQUIS!$C$126,1))+1)))-1,0))*CROQUIS!$C$126),CHOOSE(IF(INT(($A325-1)/5)&gt;MAX((MIN(80,MAX(1,INT(((CROQUIS!$C$98)-CROQUIS!$C$107)/MAX(CROQUIS!$C$126,1))+1)))-1,0),0,MOD($A325-1,5))+1,0,2,CROQUIS!$C$97-2,2,0)))*CROQUIS!$C$155)+IF(CROQUIS!$C$92="X",0,0)),-1000)</f>
        <v>-1000</v>
      </c>
      <c r="BJ325">
        <f>IF(AND(CROQUIS!$C$88=1,CROQUIS!$C$134&gt;0),((CROQUIS!$C$156+(IF(CROQUIS!$C$92="X",((CROQUIS!$C$107/2+(((CROQUIS!$C$97)-CROQUIS!$C$107)-(MIN(80,MAX(1,INT(((CROQUIS!$C$97)-CROQUIS!$C$107)/MAX(CROQUIS!$C$134,1))+1))-1)*CROQUIS!$C$134)/2)+MIN(INT(($A325-1)/5),MAX((MIN(80,MAX(1,INT(((CROQUIS!$C$97)-CROQUIS!$C$107)/MAX(CROQUIS!$C$134,1))+1)))-1,0))*CROQUIS!$C$134),CHOOSE(IF(INT(($A325-1)/5)&gt;MAX((MIN(80,MAX(1,INT(((CROQUIS!$C$97)-CROQUIS!$C$107)/MAX(CROQUIS!$C$134,1))+1)))-1,0),0,MOD($A325-1,5))+1,0,2,CROQUIS!$C$98-2,2,0)))*CROQUIS!$C$155)+IF(CROQUIS!$C$92="X",0,0)),-1000)</f>
        <v>-1000</v>
      </c>
      <c r="BK325">
        <f>IF(AND(CROQUIS!$C$88=1,CROQUIS!$C$134&gt;0),((CROQUIS!$C$157+(IF(CROQUIS!$C$92="X",CHOOSE(IF(INT(($A325-1)/5)&gt;MAX((MIN(80,MAX(1,INT(((CROQUIS!$C$97)-CROQUIS!$C$107)/MAX(CROQUIS!$C$134,1))+1)))-1,0),0,MOD($A325-1,5))+1,0,2,CROQUIS!$C$98-2,2,0),((CROQUIS!$C$107/2+(((CROQUIS!$C$97)-CROQUIS!$C$107)-(MIN(80,MAX(1,INT(((CROQUIS!$C$97)-CROQUIS!$C$107)/MAX(CROQUIS!$C$134,1))+1))-1)*CROQUIS!$C$134)/2)+MIN(INT(($A325-1)/5),MAX((MIN(80,MAX(1,INT(((CROQUIS!$C$97)-CROQUIS!$C$107)/MAX(CROQUIS!$C$134,1))+1)))-1,0))*CROQUIS!$C$134)))*CROQUIS!$C$155)+IF(CROQUIS!$C$92="X",0,0)),-1000)</f>
        <v>-1000</v>
      </c>
      <c r="BL325">
        <f>IF(AND(CROQUIS!$C$88=1,CROQUIS!$C$91=0,CROQUIS!$C$130&gt;0,OR(CROQUIS!$C$103=1,CROQUIS!$C$142=1)),((CROQUIS!$C$156+(IF(CROQUIS!$C$92="X",CHOOSE(IF(INT(($A325-1)/5)&gt;MAX((MIN(80,MAX(1,INT(((CROQUIS!$C$98)-CROQUIS!$C$107)/MAX(CROQUIS!$C$130,1))+1)))-1,0),0,MOD($A325-1,5))+1,0,IF(CROQUIS!$C$103=1,-12,2),CROQUIS!$C$107/2+CROQUIS!$C$140,IF(CROQUIS!$C$103=1,-12,2),0),((CROQUIS!$C$107/2+(((CROQUIS!$C$98)-CROQUIS!$C$107)-(MIN(80,MAX(1,INT(((CROQUIS!$C$98)-CROQUIS!$C$107)/MAX(CROQUIS!$C$130,1))+1))-1)*CROQUIS!$C$130)/2)+MIN(INT(($A325-1)/5),MAX((MIN(80,MAX(1,INT(((CROQUIS!$C$98)-CROQUIS!$C$107)/MAX(CROQUIS!$C$130,1))+1)))-1,0))*CROQUIS!$C$130)))*CROQUIS!$C$155)+IF(CROQUIS!$C$92="X",0,0)),-1000)</f>
        <v>-1000</v>
      </c>
      <c r="BM32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325-1)/5),MAX((MIN(80,MAX(1,INT(((CROQUIS!$C$98)-CROQUIS!$C$107)/MAX(CROQUIS!$C$130,1))+1)))-1,0))*CROQUIS!$C$130),CHOOSE(IF(INT(($A325-1)/5)&gt;MAX((MIN(80,MAX(1,INT(((CROQUIS!$C$98)-CROQUIS!$C$107)/MAX(CROQUIS!$C$130,1))+1)))-1,0),0,MOD($A325-1,5))+1,0,IF(CROQUIS!$C$103=1,-12,2),CROQUIS!$C$107/2+CROQUIS!$C$140,IF(CROQUIS!$C$103=1,-12,2),0)))*CROQUIS!$C$155)+IF(CROQUIS!$C$92="X",0,0)),-1000)</f>
        <v>-1000</v>
      </c>
      <c r="BN325">
        <f>IF(AND(CROQUIS!$C$88=1,CROQUIS!$C$91=0,CROQUIS!$C$130&gt;0,OR(CROQUIS!$C$104=1,CROQUIS!$C$142=1)),((CROQUIS!$C$156+(IF(CROQUIS!$C$92="X",CHOOSE(IF(INT(($A325-1)/5)&gt;MAX((MIN(80,MAX(1,INT(((CROQUIS!$C$98)-CROQUIS!$C$107)/MAX(CROQUIS!$C$130,1))+1)))-1,0),0,MOD($A325-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325-1)/5),MAX((MIN(80,MAX(1,INT(((CROQUIS!$C$98)-CROQUIS!$C$107)/MAX(CROQUIS!$C$130,1))+1)))-1,0))*CROQUIS!$C$130)))*CROQUIS!$C$155)+IF(CROQUIS!$C$92="X",0,0)),-1000)</f>
        <v>-1000</v>
      </c>
      <c r="BO32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325-1)/5),MAX((MIN(80,MAX(1,INT(((CROQUIS!$C$98)-CROQUIS!$C$107)/MAX(CROQUIS!$C$130,1))+1)))-1,0))*CROQUIS!$C$130),CHOOSE(IF(INT(($A325-1)/5)&gt;MAX((MIN(80,MAX(1,INT(((CROQUIS!$C$98)-CROQUIS!$C$107)/MAX(CROQUIS!$C$130,1))+1)))-1,0),0,MOD($A325-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2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325-1)/5),MAX((MIN(80,MAX(1,INT(((CROQUIS!$C$97)-CROQUIS!$C$107)/MAX(CROQUIS!$C$138,1))+1)))-1,0))*CROQUIS!$C$138),CHOOSE(IF(INT(($A325-1)/5)&gt;MAX((MIN(80,MAX(1,INT(((CROQUIS!$C$97)-CROQUIS!$C$107)/MAX(CROQUIS!$C$138,1))+1)))-1,0),0,MOD($A325-1,5))+1,0,IF(CROQUIS!$C$105=1,-12,2),CROQUIS!$C$107/2+CROQUIS!$C$141,IF(CROQUIS!$C$105=1,-12,2),0)))*CROQUIS!$C$155)+IF(CROQUIS!$C$92="X",0,0)),-1000)</f>
        <v>-1000</v>
      </c>
      <c r="BQ325">
        <f>IF(AND(CROQUIS!$C$88=1,CROQUIS!$C$91=0,CROQUIS!$C$138&gt;0,OR(CROQUIS!$C$105=1,CROQUIS!$C$143=1)),((CROQUIS!$C$157+(IF(CROQUIS!$C$92="X",CHOOSE(IF(INT(($A325-1)/5)&gt;MAX((MIN(80,MAX(1,INT(((CROQUIS!$C$97)-CROQUIS!$C$107)/MAX(CROQUIS!$C$138,1))+1)))-1,0),0,MOD($A325-1,5))+1,0,IF(CROQUIS!$C$105=1,-12,2),CROQUIS!$C$107/2+CROQUIS!$C$141,IF(CROQUIS!$C$105=1,-12,2),0),((CROQUIS!$C$107/2+(((CROQUIS!$C$97)-CROQUIS!$C$107)-(MIN(80,MAX(1,INT(((CROQUIS!$C$97)-CROQUIS!$C$107)/MAX(CROQUIS!$C$138,1))+1))-1)*CROQUIS!$C$138)/2)+MIN(INT(($A325-1)/5),MAX((MIN(80,MAX(1,INT(((CROQUIS!$C$97)-CROQUIS!$C$107)/MAX(CROQUIS!$C$138,1))+1)))-1,0))*CROQUIS!$C$138)))*CROQUIS!$C$155)+IF(CROQUIS!$C$92="X",0,0)),-1000)</f>
        <v>-1000</v>
      </c>
      <c r="BR32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325-1)/5),MAX((MIN(80,MAX(1,INT(((CROQUIS!$C$97)-CROQUIS!$C$107)/MAX(CROQUIS!$C$138,1))+1)))-1,0))*CROQUIS!$C$138),CHOOSE(IF(INT(($A325-1)/5)&gt;MAX((MIN(80,MAX(1,INT(((CROQUIS!$C$97)-CROQUIS!$C$107)/MAX(CROQUIS!$C$138,1))+1)))-1,0),0,MOD($A325-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25">
        <f>IF(AND(CROQUIS!$C$88=1,CROQUIS!$C$91=0,CROQUIS!$C$138&gt;0,OR(CROQUIS!$C$106=1,CROQUIS!$C$143=1)),((CROQUIS!$C$157+(IF(CROQUIS!$C$92="X",CHOOSE(IF(INT(($A325-1)/5)&gt;MAX((MIN(80,MAX(1,INT(((CROQUIS!$C$97)-CROQUIS!$C$107)/MAX(CROQUIS!$C$138,1))+1)))-1,0),0,MOD($A325-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325-1)/5),MAX((MIN(80,MAX(1,INT(((CROQUIS!$C$97)-CROQUIS!$C$107)/MAX(CROQUIS!$C$138,1))+1)))-1,0))*CROQUIS!$C$138)))*CROQUIS!$C$155)+IF(CROQUIS!$C$92="X",0,0)),-1000)</f>
        <v>-1000</v>
      </c>
      <c r="BT325">
        <f>IF(AND(CROQUIS!$C$88=1,CROQUIS!$C$91=1,CROQUIS!$C$130&gt;0),((CROQUIS!$C$156+(IF(CROQUIS!$C$92="X",CHOOSE(IF(INT(($A325-1)/5)&gt;MAX((MIN(80,MAX(1,INT(((CROQUIS!$C$98)-CROQUIS!$C$107)/MAX(CROQUIS!$C$130,1))+1)))-1,0),0,MOD($A325-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325-1)/5),MAX((MIN(80,MAX(1,INT(((CROQUIS!$C$98)-CROQUIS!$C$107)/MAX(CROQUIS!$C$130,1))+1)))-1,0))*CROQUIS!$C$130)))*CROQUIS!$C$155)+IF(CROQUIS!$C$92="X",0,0)),-1000)</f>
        <v>-1000</v>
      </c>
      <c r="BU325">
        <f>IF(AND(CROQUIS!$C$88=1,CROQUIS!$C$91=1,CROQUIS!$C$130&gt;0),((CROQUIS!$C$157+(IF(CROQUIS!$C$92="X",((CROQUIS!$C$107/2+(((CROQUIS!$C$98)-CROQUIS!$C$107)-(MIN(80,MAX(1,INT(((CROQUIS!$C$98)-CROQUIS!$C$107)/MAX(CROQUIS!$C$130,1))+1))-1)*CROQUIS!$C$130)/2)+MIN(INT(($A325-1)/5),MAX((MIN(80,MAX(1,INT(((CROQUIS!$C$98)-CROQUIS!$C$107)/MAX(CROQUIS!$C$130,1))+1)))-1,0))*CROQUIS!$C$130),CHOOSE(IF(INT(($A325-1)/5)&gt;MAX((MIN(80,MAX(1,INT(((CROQUIS!$C$98)-CROQUIS!$C$107)/MAX(CROQUIS!$C$130,1))+1)))-1,0),0,MOD($A325-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26">
      <c r="A326" t="n">
        <v>319</v>
      </c>
      <c r="BH326">
        <f>IF(AND(CROQUIS!$C$88=1,CROQUIS!$C$126&gt;0),((CROQUIS!$C$156+(IF(CROQUIS!$C$92="X",CHOOSE(IF(INT(($A326-1)/5)&gt;MAX((MIN(80,MAX(1,INT(((CROQUIS!$C$98)-CROQUIS!$C$107)/MAX(CROQUIS!$C$126,1))+1)))-1,0),0,MOD($A326-1,5))+1,0,2,CROQUIS!$C$97-2,2,0),((CROQUIS!$C$107/2+(((CROQUIS!$C$98)-CROQUIS!$C$107)-(MIN(80,MAX(1,INT(((CROQUIS!$C$98)-CROQUIS!$C$107)/MAX(CROQUIS!$C$126,1))+1))-1)*CROQUIS!$C$126)/2)+MIN(INT(($A326-1)/5),MAX((MIN(80,MAX(1,INT(((CROQUIS!$C$98)-CROQUIS!$C$107)/MAX(CROQUIS!$C$126,1))+1)))-1,0))*CROQUIS!$C$126)))*CROQUIS!$C$155)+IF(CROQUIS!$C$92="X",0,0)),-1000)</f>
        <v>-1000</v>
      </c>
      <c r="BI326">
        <f>IF(AND(CROQUIS!$C$88=1,CROQUIS!$C$126&gt;0),((CROQUIS!$C$157+(IF(CROQUIS!$C$92="X",((CROQUIS!$C$107/2+(((CROQUIS!$C$98)-CROQUIS!$C$107)-(MIN(80,MAX(1,INT(((CROQUIS!$C$98)-CROQUIS!$C$107)/MAX(CROQUIS!$C$126,1))+1))-1)*CROQUIS!$C$126)/2)+MIN(INT(($A326-1)/5),MAX((MIN(80,MAX(1,INT(((CROQUIS!$C$98)-CROQUIS!$C$107)/MAX(CROQUIS!$C$126,1))+1)))-1,0))*CROQUIS!$C$126),CHOOSE(IF(INT(($A326-1)/5)&gt;MAX((MIN(80,MAX(1,INT(((CROQUIS!$C$98)-CROQUIS!$C$107)/MAX(CROQUIS!$C$126,1))+1)))-1,0),0,MOD($A326-1,5))+1,0,2,CROQUIS!$C$97-2,2,0)))*CROQUIS!$C$155)+IF(CROQUIS!$C$92="X",0,0)),-1000)</f>
        <v>-1000</v>
      </c>
      <c r="BJ326">
        <f>IF(AND(CROQUIS!$C$88=1,CROQUIS!$C$134&gt;0),((CROQUIS!$C$156+(IF(CROQUIS!$C$92="X",((CROQUIS!$C$107/2+(((CROQUIS!$C$97)-CROQUIS!$C$107)-(MIN(80,MAX(1,INT(((CROQUIS!$C$97)-CROQUIS!$C$107)/MAX(CROQUIS!$C$134,1))+1))-1)*CROQUIS!$C$134)/2)+MIN(INT(($A326-1)/5),MAX((MIN(80,MAX(1,INT(((CROQUIS!$C$97)-CROQUIS!$C$107)/MAX(CROQUIS!$C$134,1))+1)))-1,0))*CROQUIS!$C$134),CHOOSE(IF(INT(($A326-1)/5)&gt;MAX((MIN(80,MAX(1,INT(((CROQUIS!$C$97)-CROQUIS!$C$107)/MAX(CROQUIS!$C$134,1))+1)))-1,0),0,MOD($A326-1,5))+1,0,2,CROQUIS!$C$98-2,2,0)))*CROQUIS!$C$155)+IF(CROQUIS!$C$92="X",0,0)),-1000)</f>
        <v>-1000</v>
      </c>
      <c r="BK326">
        <f>IF(AND(CROQUIS!$C$88=1,CROQUIS!$C$134&gt;0),((CROQUIS!$C$157+(IF(CROQUIS!$C$92="X",CHOOSE(IF(INT(($A326-1)/5)&gt;MAX((MIN(80,MAX(1,INT(((CROQUIS!$C$97)-CROQUIS!$C$107)/MAX(CROQUIS!$C$134,1))+1)))-1,0),0,MOD($A326-1,5))+1,0,2,CROQUIS!$C$98-2,2,0),((CROQUIS!$C$107/2+(((CROQUIS!$C$97)-CROQUIS!$C$107)-(MIN(80,MAX(1,INT(((CROQUIS!$C$97)-CROQUIS!$C$107)/MAX(CROQUIS!$C$134,1))+1))-1)*CROQUIS!$C$134)/2)+MIN(INT(($A326-1)/5),MAX((MIN(80,MAX(1,INT(((CROQUIS!$C$97)-CROQUIS!$C$107)/MAX(CROQUIS!$C$134,1))+1)))-1,0))*CROQUIS!$C$134)))*CROQUIS!$C$155)+IF(CROQUIS!$C$92="X",0,0)),-1000)</f>
        <v>-1000</v>
      </c>
      <c r="BL326">
        <f>IF(AND(CROQUIS!$C$88=1,CROQUIS!$C$91=0,CROQUIS!$C$130&gt;0,OR(CROQUIS!$C$103=1,CROQUIS!$C$142=1)),((CROQUIS!$C$156+(IF(CROQUIS!$C$92="X",CHOOSE(IF(INT(($A326-1)/5)&gt;MAX((MIN(80,MAX(1,INT(((CROQUIS!$C$98)-CROQUIS!$C$107)/MAX(CROQUIS!$C$130,1))+1)))-1,0),0,MOD($A326-1,5))+1,0,IF(CROQUIS!$C$103=1,-12,2),CROQUIS!$C$107/2+CROQUIS!$C$140,IF(CROQUIS!$C$103=1,-12,2),0),((CROQUIS!$C$107/2+(((CROQUIS!$C$98)-CROQUIS!$C$107)-(MIN(80,MAX(1,INT(((CROQUIS!$C$98)-CROQUIS!$C$107)/MAX(CROQUIS!$C$130,1))+1))-1)*CROQUIS!$C$130)/2)+MIN(INT(($A326-1)/5),MAX((MIN(80,MAX(1,INT(((CROQUIS!$C$98)-CROQUIS!$C$107)/MAX(CROQUIS!$C$130,1))+1)))-1,0))*CROQUIS!$C$130)))*CROQUIS!$C$155)+IF(CROQUIS!$C$92="X",0,0)),-1000)</f>
        <v>-1000</v>
      </c>
      <c r="BM32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326-1)/5),MAX((MIN(80,MAX(1,INT(((CROQUIS!$C$98)-CROQUIS!$C$107)/MAX(CROQUIS!$C$130,1))+1)))-1,0))*CROQUIS!$C$130),CHOOSE(IF(INT(($A326-1)/5)&gt;MAX((MIN(80,MAX(1,INT(((CROQUIS!$C$98)-CROQUIS!$C$107)/MAX(CROQUIS!$C$130,1))+1)))-1,0),0,MOD($A326-1,5))+1,0,IF(CROQUIS!$C$103=1,-12,2),CROQUIS!$C$107/2+CROQUIS!$C$140,IF(CROQUIS!$C$103=1,-12,2),0)))*CROQUIS!$C$155)+IF(CROQUIS!$C$92="X",0,0)),-1000)</f>
        <v>-1000</v>
      </c>
      <c r="BN326">
        <f>IF(AND(CROQUIS!$C$88=1,CROQUIS!$C$91=0,CROQUIS!$C$130&gt;0,OR(CROQUIS!$C$104=1,CROQUIS!$C$142=1)),((CROQUIS!$C$156+(IF(CROQUIS!$C$92="X",CHOOSE(IF(INT(($A326-1)/5)&gt;MAX((MIN(80,MAX(1,INT(((CROQUIS!$C$98)-CROQUIS!$C$107)/MAX(CROQUIS!$C$130,1))+1)))-1,0),0,MOD($A326-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326-1)/5),MAX((MIN(80,MAX(1,INT(((CROQUIS!$C$98)-CROQUIS!$C$107)/MAX(CROQUIS!$C$130,1))+1)))-1,0))*CROQUIS!$C$130)))*CROQUIS!$C$155)+IF(CROQUIS!$C$92="X",0,0)),-1000)</f>
        <v>-1000</v>
      </c>
      <c r="BO32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326-1)/5),MAX((MIN(80,MAX(1,INT(((CROQUIS!$C$98)-CROQUIS!$C$107)/MAX(CROQUIS!$C$130,1))+1)))-1,0))*CROQUIS!$C$130),CHOOSE(IF(INT(($A326-1)/5)&gt;MAX((MIN(80,MAX(1,INT(((CROQUIS!$C$98)-CROQUIS!$C$107)/MAX(CROQUIS!$C$130,1))+1)))-1,0),0,MOD($A326-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2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326-1)/5),MAX((MIN(80,MAX(1,INT(((CROQUIS!$C$97)-CROQUIS!$C$107)/MAX(CROQUIS!$C$138,1))+1)))-1,0))*CROQUIS!$C$138),CHOOSE(IF(INT(($A326-1)/5)&gt;MAX((MIN(80,MAX(1,INT(((CROQUIS!$C$97)-CROQUIS!$C$107)/MAX(CROQUIS!$C$138,1))+1)))-1,0),0,MOD($A326-1,5))+1,0,IF(CROQUIS!$C$105=1,-12,2),CROQUIS!$C$107/2+CROQUIS!$C$141,IF(CROQUIS!$C$105=1,-12,2),0)))*CROQUIS!$C$155)+IF(CROQUIS!$C$92="X",0,0)),-1000)</f>
        <v>-1000</v>
      </c>
      <c r="BQ326">
        <f>IF(AND(CROQUIS!$C$88=1,CROQUIS!$C$91=0,CROQUIS!$C$138&gt;0,OR(CROQUIS!$C$105=1,CROQUIS!$C$143=1)),((CROQUIS!$C$157+(IF(CROQUIS!$C$92="X",CHOOSE(IF(INT(($A326-1)/5)&gt;MAX((MIN(80,MAX(1,INT(((CROQUIS!$C$97)-CROQUIS!$C$107)/MAX(CROQUIS!$C$138,1))+1)))-1,0),0,MOD($A326-1,5))+1,0,IF(CROQUIS!$C$105=1,-12,2),CROQUIS!$C$107/2+CROQUIS!$C$141,IF(CROQUIS!$C$105=1,-12,2),0),((CROQUIS!$C$107/2+(((CROQUIS!$C$97)-CROQUIS!$C$107)-(MIN(80,MAX(1,INT(((CROQUIS!$C$97)-CROQUIS!$C$107)/MAX(CROQUIS!$C$138,1))+1))-1)*CROQUIS!$C$138)/2)+MIN(INT(($A326-1)/5),MAX((MIN(80,MAX(1,INT(((CROQUIS!$C$97)-CROQUIS!$C$107)/MAX(CROQUIS!$C$138,1))+1)))-1,0))*CROQUIS!$C$138)))*CROQUIS!$C$155)+IF(CROQUIS!$C$92="X",0,0)),-1000)</f>
        <v>-1000</v>
      </c>
      <c r="BR32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326-1)/5),MAX((MIN(80,MAX(1,INT(((CROQUIS!$C$97)-CROQUIS!$C$107)/MAX(CROQUIS!$C$138,1))+1)))-1,0))*CROQUIS!$C$138),CHOOSE(IF(INT(($A326-1)/5)&gt;MAX((MIN(80,MAX(1,INT(((CROQUIS!$C$97)-CROQUIS!$C$107)/MAX(CROQUIS!$C$138,1))+1)))-1,0),0,MOD($A326-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26">
        <f>IF(AND(CROQUIS!$C$88=1,CROQUIS!$C$91=0,CROQUIS!$C$138&gt;0,OR(CROQUIS!$C$106=1,CROQUIS!$C$143=1)),((CROQUIS!$C$157+(IF(CROQUIS!$C$92="X",CHOOSE(IF(INT(($A326-1)/5)&gt;MAX((MIN(80,MAX(1,INT(((CROQUIS!$C$97)-CROQUIS!$C$107)/MAX(CROQUIS!$C$138,1))+1)))-1,0),0,MOD($A326-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326-1)/5),MAX((MIN(80,MAX(1,INT(((CROQUIS!$C$97)-CROQUIS!$C$107)/MAX(CROQUIS!$C$138,1))+1)))-1,0))*CROQUIS!$C$138)))*CROQUIS!$C$155)+IF(CROQUIS!$C$92="X",0,0)),-1000)</f>
        <v>-1000</v>
      </c>
      <c r="BT326">
        <f>IF(AND(CROQUIS!$C$88=1,CROQUIS!$C$91=1,CROQUIS!$C$130&gt;0),((CROQUIS!$C$156+(IF(CROQUIS!$C$92="X",CHOOSE(IF(INT(($A326-1)/5)&gt;MAX((MIN(80,MAX(1,INT(((CROQUIS!$C$98)-CROQUIS!$C$107)/MAX(CROQUIS!$C$130,1))+1)))-1,0),0,MOD($A326-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326-1)/5),MAX((MIN(80,MAX(1,INT(((CROQUIS!$C$98)-CROQUIS!$C$107)/MAX(CROQUIS!$C$130,1))+1)))-1,0))*CROQUIS!$C$130)))*CROQUIS!$C$155)+IF(CROQUIS!$C$92="X",0,0)),-1000)</f>
        <v>-1000</v>
      </c>
      <c r="BU326">
        <f>IF(AND(CROQUIS!$C$88=1,CROQUIS!$C$91=1,CROQUIS!$C$130&gt;0),((CROQUIS!$C$157+(IF(CROQUIS!$C$92="X",((CROQUIS!$C$107/2+(((CROQUIS!$C$98)-CROQUIS!$C$107)-(MIN(80,MAX(1,INT(((CROQUIS!$C$98)-CROQUIS!$C$107)/MAX(CROQUIS!$C$130,1))+1))-1)*CROQUIS!$C$130)/2)+MIN(INT(($A326-1)/5),MAX((MIN(80,MAX(1,INT(((CROQUIS!$C$98)-CROQUIS!$C$107)/MAX(CROQUIS!$C$130,1))+1)))-1,0))*CROQUIS!$C$130),CHOOSE(IF(INT(($A326-1)/5)&gt;MAX((MIN(80,MAX(1,INT(((CROQUIS!$C$98)-CROQUIS!$C$107)/MAX(CROQUIS!$C$130,1))+1)))-1,0),0,MOD($A326-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27">
      <c r="A327" t="n">
        <v>320</v>
      </c>
      <c r="BH327">
        <f>IF(AND(CROQUIS!$C$88=1,CROQUIS!$C$126&gt;0),((CROQUIS!$C$156+(IF(CROQUIS!$C$92="X",CHOOSE(IF(INT(($A327-1)/5)&gt;MAX((MIN(80,MAX(1,INT(((CROQUIS!$C$98)-CROQUIS!$C$107)/MAX(CROQUIS!$C$126,1))+1)))-1,0),0,MOD($A327-1,5))+1,0,2,CROQUIS!$C$97-2,2,0),((CROQUIS!$C$107/2+(((CROQUIS!$C$98)-CROQUIS!$C$107)-(MIN(80,MAX(1,INT(((CROQUIS!$C$98)-CROQUIS!$C$107)/MAX(CROQUIS!$C$126,1))+1))-1)*CROQUIS!$C$126)/2)+MIN(INT(($A327-1)/5),MAX((MIN(80,MAX(1,INT(((CROQUIS!$C$98)-CROQUIS!$C$107)/MAX(CROQUIS!$C$126,1))+1)))-1,0))*CROQUIS!$C$126)))*CROQUIS!$C$155)+IF(CROQUIS!$C$92="X",0,0)),-1000)</f>
        <v>-1000</v>
      </c>
      <c r="BI327">
        <f>IF(AND(CROQUIS!$C$88=1,CROQUIS!$C$126&gt;0),((CROQUIS!$C$157+(IF(CROQUIS!$C$92="X",((CROQUIS!$C$107/2+(((CROQUIS!$C$98)-CROQUIS!$C$107)-(MIN(80,MAX(1,INT(((CROQUIS!$C$98)-CROQUIS!$C$107)/MAX(CROQUIS!$C$126,1))+1))-1)*CROQUIS!$C$126)/2)+MIN(INT(($A327-1)/5),MAX((MIN(80,MAX(1,INT(((CROQUIS!$C$98)-CROQUIS!$C$107)/MAX(CROQUIS!$C$126,1))+1)))-1,0))*CROQUIS!$C$126),CHOOSE(IF(INT(($A327-1)/5)&gt;MAX((MIN(80,MAX(1,INT(((CROQUIS!$C$98)-CROQUIS!$C$107)/MAX(CROQUIS!$C$126,1))+1)))-1,0),0,MOD($A327-1,5))+1,0,2,CROQUIS!$C$97-2,2,0)))*CROQUIS!$C$155)+IF(CROQUIS!$C$92="X",0,0)),-1000)</f>
        <v>-1000</v>
      </c>
      <c r="BJ327">
        <f>IF(AND(CROQUIS!$C$88=1,CROQUIS!$C$134&gt;0),((CROQUIS!$C$156+(IF(CROQUIS!$C$92="X",((CROQUIS!$C$107/2+(((CROQUIS!$C$97)-CROQUIS!$C$107)-(MIN(80,MAX(1,INT(((CROQUIS!$C$97)-CROQUIS!$C$107)/MAX(CROQUIS!$C$134,1))+1))-1)*CROQUIS!$C$134)/2)+MIN(INT(($A327-1)/5),MAX((MIN(80,MAX(1,INT(((CROQUIS!$C$97)-CROQUIS!$C$107)/MAX(CROQUIS!$C$134,1))+1)))-1,0))*CROQUIS!$C$134),CHOOSE(IF(INT(($A327-1)/5)&gt;MAX((MIN(80,MAX(1,INT(((CROQUIS!$C$97)-CROQUIS!$C$107)/MAX(CROQUIS!$C$134,1))+1)))-1,0),0,MOD($A327-1,5))+1,0,2,CROQUIS!$C$98-2,2,0)))*CROQUIS!$C$155)+IF(CROQUIS!$C$92="X",0,0)),-1000)</f>
        <v>-1000</v>
      </c>
      <c r="BK327">
        <f>IF(AND(CROQUIS!$C$88=1,CROQUIS!$C$134&gt;0),((CROQUIS!$C$157+(IF(CROQUIS!$C$92="X",CHOOSE(IF(INT(($A327-1)/5)&gt;MAX((MIN(80,MAX(1,INT(((CROQUIS!$C$97)-CROQUIS!$C$107)/MAX(CROQUIS!$C$134,1))+1)))-1,0),0,MOD($A327-1,5))+1,0,2,CROQUIS!$C$98-2,2,0),((CROQUIS!$C$107/2+(((CROQUIS!$C$97)-CROQUIS!$C$107)-(MIN(80,MAX(1,INT(((CROQUIS!$C$97)-CROQUIS!$C$107)/MAX(CROQUIS!$C$134,1))+1))-1)*CROQUIS!$C$134)/2)+MIN(INT(($A327-1)/5),MAX((MIN(80,MAX(1,INT(((CROQUIS!$C$97)-CROQUIS!$C$107)/MAX(CROQUIS!$C$134,1))+1)))-1,0))*CROQUIS!$C$134)))*CROQUIS!$C$155)+IF(CROQUIS!$C$92="X",0,0)),-1000)</f>
        <v>-1000</v>
      </c>
      <c r="BL327">
        <f>IF(AND(CROQUIS!$C$88=1,CROQUIS!$C$91=0,CROQUIS!$C$130&gt;0,OR(CROQUIS!$C$103=1,CROQUIS!$C$142=1)),((CROQUIS!$C$156+(IF(CROQUIS!$C$92="X",CHOOSE(IF(INT(($A327-1)/5)&gt;MAX((MIN(80,MAX(1,INT(((CROQUIS!$C$98)-CROQUIS!$C$107)/MAX(CROQUIS!$C$130,1))+1)))-1,0),0,MOD($A327-1,5))+1,0,IF(CROQUIS!$C$103=1,-12,2),CROQUIS!$C$107/2+CROQUIS!$C$140,IF(CROQUIS!$C$103=1,-12,2),0),((CROQUIS!$C$107/2+(((CROQUIS!$C$98)-CROQUIS!$C$107)-(MIN(80,MAX(1,INT(((CROQUIS!$C$98)-CROQUIS!$C$107)/MAX(CROQUIS!$C$130,1))+1))-1)*CROQUIS!$C$130)/2)+MIN(INT(($A327-1)/5),MAX((MIN(80,MAX(1,INT(((CROQUIS!$C$98)-CROQUIS!$C$107)/MAX(CROQUIS!$C$130,1))+1)))-1,0))*CROQUIS!$C$130)))*CROQUIS!$C$155)+IF(CROQUIS!$C$92="X",0,0)),-1000)</f>
        <v>-1000</v>
      </c>
      <c r="BM32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327-1)/5),MAX((MIN(80,MAX(1,INT(((CROQUIS!$C$98)-CROQUIS!$C$107)/MAX(CROQUIS!$C$130,1))+1)))-1,0))*CROQUIS!$C$130),CHOOSE(IF(INT(($A327-1)/5)&gt;MAX((MIN(80,MAX(1,INT(((CROQUIS!$C$98)-CROQUIS!$C$107)/MAX(CROQUIS!$C$130,1))+1)))-1,0),0,MOD($A327-1,5))+1,0,IF(CROQUIS!$C$103=1,-12,2),CROQUIS!$C$107/2+CROQUIS!$C$140,IF(CROQUIS!$C$103=1,-12,2),0)))*CROQUIS!$C$155)+IF(CROQUIS!$C$92="X",0,0)),-1000)</f>
        <v>-1000</v>
      </c>
      <c r="BN327">
        <f>IF(AND(CROQUIS!$C$88=1,CROQUIS!$C$91=0,CROQUIS!$C$130&gt;0,OR(CROQUIS!$C$104=1,CROQUIS!$C$142=1)),((CROQUIS!$C$156+(IF(CROQUIS!$C$92="X",CHOOSE(IF(INT(($A327-1)/5)&gt;MAX((MIN(80,MAX(1,INT(((CROQUIS!$C$98)-CROQUIS!$C$107)/MAX(CROQUIS!$C$130,1))+1)))-1,0),0,MOD($A327-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327-1)/5),MAX((MIN(80,MAX(1,INT(((CROQUIS!$C$98)-CROQUIS!$C$107)/MAX(CROQUIS!$C$130,1))+1)))-1,0))*CROQUIS!$C$130)))*CROQUIS!$C$155)+IF(CROQUIS!$C$92="X",0,0)),-1000)</f>
        <v>-1000</v>
      </c>
      <c r="BO32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327-1)/5),MAX((MIN(80,MAX(1,INT(((CROQUIS!$C$98)-CROQUIS!$C$107)/MAX(CROQUIS!$C$130,1))+1)))-1,0))*CROQUIS!$C$130),CHOOSE(IF(INT(($A327-1)/5)&gt;MAX((MIN(80,MAX(1,INT(((CROQUIS!$C$98)-CROQUIS!$C$107)/MAX(CROQUIS!$C$130,1))+1)))-1,0),0,MOD($A327-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2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327-1)/5),MAX((MIN(80,MAX(1,INT(((CROQUIS!$C$97)-CROQUIS!$C$107)/MAX(CROQUIS!$C$138,1))+1)))-1,0))*CROQUIS!$C$138),CHOOSE(IF(INT(($A327-1)/5)&gt;MAX((MIN(80,MAX(1,INT(((CROQUIS!$C$97)-CROQUIS!$C$107)/MAX(CROQUIS!$C$138,1))+1)))-1,0),0,MOD($A327-1,5))+1,0,IF(CROQUIS!$C$105=1,-12,2),CROQUIS!$C$107/2+CROQUIS!$C$141,IF(CROQUIS!$C$105=1,-12,2),0)))*CROQUIS!$C$155)+IF(CROQUIS!$C$92="X",0,0)),-1000)</f>
        <v>-1000</v>
      </c>
      <c r="BQ327">
        <f>IF(AND(CROQUIS!$C$88=1,CROQUIS!$C$91=0,CROQUIS!$C$138&gt;0,OR(CROQUIS!$C$105=1,CROQUIS!$C$143=1)),((CROQUIS!$C$157+(IF(CROQUIS!$C$92="X",CHOOSE(IF(INT(($A327-1)/5)&gt;MAX((MIN(80,MAX(1,INT(((CROQUIS!$C$97)-CROQUIS!$C$107)/MAX(CROQUIS!$C$138,1))+1)))-1,0),0,MOD($A327-1,5))+1,0,IF(CROQUIS!$C$105=1,-12,2),CROQUIS!$C$107/2+CROQUIS!$C$141,IF(CROQUIS!$C$105=1,-12,2),0),((CROQUIS!$C$107/2+(((CROQUIS!$C$97)-CROQUIS!$C$107)-(MIN(80,MAX(1,INT(((CROQUIS!$C$97)-CROQUIS!$C$107)/MAX(CROQUIS!$C$138,1))+1))-1)*CROQUIS!$C$138)/2)+MIN(INT(($A327-1)/5),MAX((MIN(80,MAX(1,INT(((CROQUIS!$C$97)-CROQUIS!$C$107)/MAX(CROQUIS!$C$138,1))+1)))-1,0))*CROQUIS!$C$138)))*CROQUIS!$C$155)+IF(CROQUIS!$C$92="X",0,0)),-1000)</f>
        <v>-1000</v>
      </c>
      <c r="BR32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327-1)/5),MAX((MIN(80,MAX(1,INT(((CROQUIS!$C$97)-CROQUIS!$C$107)/MAX(CROQUIS!$C$138,1))+1)))-1,0))*CROQUIS!$C$138),CHOOSE(IF(INT(($A327-1)/5)&gt;MAX((MIN(80,MAX(1,INT(((CROQUIS!$C$97)-CROQUIS!$C$107)/MAX(CROQUIS!$C$138,1))+1)))-1,0),0,MOD($A327-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27">
        <f>IF(AND(CROQUIS!$C$88=1,CROQUIS!$C$91=0,CROQUIS!$C$138&gt;0,OR(CROQUIS!$C$106=1,CROQUIS!$C$143=1)),((CROQUIS!$C$157+(IF(CROQUIS!$C$92="X",CHOOSE(IF(INT(($A327-1)/5)&gt;MAX((MIN(80,MAX(1,INT(((CROQUIS!$C$97)-CROQUIS!$C$107)/MAX(CROQUIS!$C$138,1))+1)))-1,0),0,MOD($A327-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327-1)/5),MAX((MIN(80,MAX(1,INT(((CROQUIS!$C$97)-CROQUIS!$C$107)/MAX(CROQUIS!$C$138,1))+1)))-1,0))*CROQUIS!$C$138)))*CROQUIS!$C$155)+IF(CROQUIS!$C$92="X",0,0)),-1000)</f>
        <v>-1000</v>
      </c>
      <c r="BT327">
        <f>IF(AND(CROQUIS!$C$88=1,CROQUIS!$C$91=1,CROQUIS!$C$130&gt;0),((CROQUIS!$C$156+(IF(CROQUIS!$C$92="X",CHOOSE(IF(INT(($A327-1)/5)&gt;MAX((MIN(80,MAX(1,INT(((CROQUIS!$C$98)-CROQUIS!$C$107)/MAX(CROQUIS!$C$130,1))+1)))-1,0),0,MOD($A327-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327-1)/5),MAX((MIN(80,MAX(1,INT(((CROQUIS!$C$98)-CROQUIS!$C$107)/MAX(CROQUIS!$C$130,1))+1)))-1,0))*CROQUIS!$C$130)))*CROQUIS!$C$155)+IF(CROQUIS!$C$92="X",0,0)),-1000)</f>
        <v>-1000</v>
      </c>
      <c r="BU327">
        <f>IF(AND(CROQUIS!$C$88=1,CROQUIS!$C$91=1,CROQUIS!$C$130&gt;0),((CROQUIS!$C$157+(IF(CROQUIS!$C$92="X",((CROQUIS!$C$107/2+(((CROQUIS!$C$98)-CROQUIS!$C$107)-(MIN(80,MAX(1,INT(((CROQUIS!$C$98)-CROQUIS!$C$107)/MAX(CROQUIS!$C$130,1))+1))-1)*CROQUIS!$C$130)/2)+MIN(INT(($A327-1)/5),MAX((MIN(80,MAX(1,INT(((CROQUIS!$C$98)-CROQUIS!$C$107)/MAX(CROQUIS!$C$130,1))+1)))-1,0))*CROQUIS!$C$130),CHOOSE(IF(INT(($A327-1)/5)&gt;MAX((MIN(80,MAX(1,INT(((CROQUIS!$C$98)-CROQUIS!$C$107)/MAX(CROQUIS!$C$130,1))+1)))-1,0),0,MOD($A327-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28">
      <c r="A328" t="n">
        <v>321</v>
      </c>
      <c r="BH328">
        <f>IF(AND(CROQUIS!$C$88=1,CROQUIS!$C$126&gt;0),((CROQUIS!$C$156+(IF(CROQUIS!$C$92="X",CHOOSE(IF(INT(($A328-1)/5)&gt;MAX((MIN(80,MAX(1,INT(((CROQUIS!$C$98)-CROQUIS!$C$107)/MAX(CROQUIS!$C$126,1))+1)))-1,0),0,MOD($A328-1,5))+1,0,2,CROQUIS!$C$97-2,2,0),((CROQUIS!$C$107/2+(((CROQUIS!$C$98)-CROQUIS!$C$107)-(MIN(80,MAX(1,INT(((CROQUIS!$C$98)-CROQUIS!$C$107)/MAX(CROQUIS!$C$126,1))+1))-1)*CROQUIS!$C$126)/2)+MIN(INT(($A328-1)/5),MAX((MIN(80,MAX(1,INT(((CROQUIS!$C$98)-CROQUIS!$C$107)/MAX(CROQUIS!$C$126,1))+1)))-1,0))*CROQUIS!$C$126)))*CROQUIS!$C$155)+IF(CROQUIS!$C$92="X",0,0)),-1000)</f>
        <v>-1000</v>
      </c>
      <c r="BI328">
        <f>IF(AND(CROQUIS!$C$88=1,CROQUIS!$C$126&gt;0),((CROQUIS!$C$157+(IF(CROQUIS!$C$92="X",((CROQUIS!$C$107/2+(((CROQUIS!$C$98)-CROQUIS!$C$107)-(MIN(80,MAX(1,INT(((CROQUIS!$C$98)-CROQUIS!$C$107)/MAX(CROQUIS!$C$126,1))+1))-1)*CROQUIS!$C$126)/2)+MIN(INT(($A328-1)/5),MAX((MIN(80,MAX(1,INT(((CROQUIS!$C$98)-CROQUIS!$C$107)/MAX(CROQUIS!$C$126,1))+1)))-1,0))*CROQUIS!$C$126),CHOOSE(IF(INT(($A328-1)/5)&gt;MAX((MIN(80,MAX(1,INT(((CROQUIS!$C$98)-CROQUIS!$C$107)/MAX(CROQUIS!$C$126,1))+1)))-1,0),0,MOD($A328-1,5))+1,0,2,CROQUIS!$C$97-2,2,0)))*CROQUIS!$C$155)+IF(CROQUIS!$C$92="X",0,0)),-1000)</f>
        <v>-1000</v>
      </c>
      <c r="BJ328">
        <f>IF(AND(CROQUIS!$C$88=1,CROQUIS!$C$134&gt;0),((CROQUIS!$C$156+(IF(CROQUIS!$C$92="X",((CROQUIS!$C$107/2+(((CROQUIS!$C$97)-CROQUIS!$C$107)-(MIN(80,MAX(1,INT(((CROQUIS!$C$97)-CROQUIS!$C$107)/MAX(CROQUIS!$C$134,1))+1))-1)*CROQUIS!$C$134)/2)+MIN(INT(($A328-1)/5),MAX((MIN(80,MAX(1,INT(((CROQUIS!$C$97)-CROQUIS!$C$107)/MAX(CROQUIS!$C$134,1))+1)))-1,0))*CROQUIS!$C$134),CHOOSE(IF(INT(($A328-1)/5)&gt;MAX((MIN(80,MAX(1,INT(((CROQUIS!$C$97)-CROQUIS!$C$107)/MAX(CROQUIS!$C$134,1))+1)))-1,0),0,MOD($A328-1,5))+1,0,2,CROQUIS!$C$98-2,2,0)))*CROQUIS!$C$155)+IF(CROQUIS!$C$92="X",0,0)),-1000)</f>
        <v>-1000</v>
      </c>
      <c r="BK328">
        <f>IF(AND(CROQUIS!$C$88=1,CROQUIS!$C$134&gt;0),((CROQUIS!$C$157+(IF(CROQUIS!$C$92="X",CHOOSE(IF(INT(($A328-1)/5)&gt;MAX((MIN(80,MAX(1,INT(((CROQUIS!$C$97)-CROQUIS!$C$107)/MAX(CROQUIS!$C$134,1))+1)))-1,0),0,MOD($A328-1,5))+1,0,2,CROQUIS!$C$98-2,2,0),((CROQUIS!$C$107/2+(((CROQUIS!$C$97)-CROQUIS!$C$107)-(MIN(80,MAX(1,INT(((CROQUIS!$C$97)-CROQUIS!$C$107)/MAX(CROQUIS!$C$134,1))+1))-1)*CROQUIS!$C$134)/2)+MIN(INT(($A328-1)/5),MAX((MIN(80,MAX(1,INT(((CROQUIS!$C$97)-CROQUIS!$C$107)/MAX(CROQUIS!$C$134,1))+1)))-1,0))*CROQUIS!$C$134)))*CROQUIS!$C$155)+IF(CROQUIS!$C$92="X",0,0)),-1000)</f>
        <v>-1000</v>
      </c>
      <c r="BL328">
        <f>IF(AND(CROQUIS!$C$88=1,CROQUIS!$C$91=0,CROQUIS!$C$130&gt;0,OR(CROQUIS!$C$103=1,CROQUIS!$C$142=1)),((CROQUIS!$C$156+(IF(CROQUIS!$C$92="X",CHOOSE(IF(INT(($A328-1)/5)&gt;MAX((MIN(80,MAX(1,INT(((CROQUIS!$C$98)-CROQUIS!$C$107)/MAX(CROQUIS!$C$130,1))+1)))-1,0),0,MOD($A328-1,5))+1,0,IF(CROQUIS!$C$103=1,-12,2),CROQUIS!$C$107/2+CROQUIS!$C$140,IF(CROQUIS!$C$103=1,-12,2),0),((CROQUIS!$C$107/2+(((CROQUIS!$C$98)-CROQUIS!$C$107)-(MIN(80,MAX(1,INT(((CROQUIS!$C$98)-CROQUIS!$C$107)/MAX(CROQUIS!$C$130,1))+1))-1)*CROQUIS!$C$130)/2)+MIN(INT(($A328-1)/5),MAX((MIN(80,MAX(1,INT(((CROQUIS!$C$98)-CROQUIS!$C$107)/MAX(CROQUIS!$C$130,1))+1)))-1,0))*CROQUIS!$C$130)))*CROQUIS!$C$155)+IF(CROQUIS!$C$92="X",0,0)),-1000)</f>
        <v>-1000</v>
      </c>
      <c r="BM32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328-1)/5),MAX((MIN(80,MAX(1,INT(((CROQUIS!$C$98)-CROQUIS!$C$107)/MAX(CROQUIS!$C$130,1))+1)))-1,0))*CROQUIS!$C$130),CHOOSE(IF(INT(($A328-1)/5)&gt;MAX((MIN(80,MAX(1,INT(((CROQUIS!$C$98)-CROQUIS!$C$107)/MAX(CROQUIS!$C$130,1))+1)))-1,0),0,MOD($A328-1,5))+1,0,IF(CROQUIS!$C$103=1,-12,2),CROQUIS!$C$107/2+CROQUIS!$C$140,IF(CROQUIS!$C$103=1,-12,2),0)))*CROQUIS!$C$155)+IF(CROQUIS!$C$92="X",0,0)),-1000)</f>
        <v>-1000</v>
      </c>
      <c r="BN328">
        <f>IF(AND(CROQUIS!$C$88=1,CROQUIS!$C$91=0,CROQUIS!$C$130&gt;0,OR(CROQUIS!$C$104=1,CROQUIS!$C$142=1)),((CROQUIS!$C$156+(IF(CROQUIS!$C$92="X",CHOOSE(IF(INT(($A328-1)/5)&gt;MAX((MIN(80,MAX(1,INT(((CROQUIS!$C$98)-CROQUIS!$C$107)/MAX(CROQUIS!$C$130,1))+1)))-1,0),0,MOD($A328-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328-1)/5),MAX((MIN(80,MAX(1,INT(((CROQUIS!$C$98)-CROQUIS!$C$107)/MAX(CROQUIS!$C$130,1))+1)))-1,0))*CROQUIS!$C$130)))*CROQUIS!$C$155)+IF(CROQUIS!$C$92="X",0,0)),-1000)</f>
        <v>-1000</v>
      </c>
      <c r="BO32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328-1)/5),MAX((MIN(80,MAX(1,INT(((CROQUIS!$C$98)-CROQUIS!$C$107)/MAX(CROQUIS!$C$130,1))+1)))-1,0))*CROQUIS!$C$130),CHOOSE(IF(INT(($A328-1)/5)&gt;MAX((MIN(80,MAX(1,INT(((CROQUIS!$C$98)-CROQUIS!$C$107)/MAX(CROQUIS!$C$130,1))+1)))-1,0),0,MOD($A328-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2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328-1)/5),MAX((MIN(80,MAX(1,INT(((CROQUIS!$C$97)-CROQUIS!$C$107)/MAX(CROQUIS!$C$138,1))+1)))-1,0))*CROQUIS!$C$138),CHOOSE(IF(INT(($A328-1)/5)&gt;MAX((MIN(80,MAX(1,INT(((CROQUIS!$C$97)-CROQUIS!$C$107)/MAX(CROQUIS!$C$138,1))+1)))-1,0),0,MOD($A328-1,5))+1,0,IF(CROQUIS!$C$105=1,-12,2),CROQUIS!$C$107/2+CROQUIS!$C$141,IF(CROQUIS!$C$105=1,-12,2),0)))*CROQUIS!$C$155)+IF(CROQUIS!$C$92="X",0,0)),-1000)</f>
        <v>-1000</v>
      </c>
      <c r="BQ328">
        <f>IF(AND(CROQUIS!$C$88=1,CROQUIS!$C$91=0,CROQUIS!$C$138&gt;0,OR(CROQUIS!$C$105=1,CROQUIS!$C$143=1)),((CROQUIS!$C$157+(IF(CROQUIS!$C$92="X",CHOOSE(IF(INT(($A328-1)/5)&gt;MAX((MIN(80,MAX(1,INT(((CROQUIS!$C$97)-CROQUIS!$C$107)/MAX(CROQUIS!$C$138,1))+1)))-1,0),0,MOD($A328-1,5))+1,0,IF(CROQUIS!$C$105=1,-12,2),CROQUIS!$C$107/2+CROQUIS!$C$141,IF(CROQUIS!$C$105=1,-12,2),0),((CROQUIS!$C$107/2+(((CROQUIS!$C$97)-CROQUIS!$C$107)-(MIN(80,MAX(1,INT(((CROQUIS!$C$97)-CROQUIS!$C$107)/MAX(CROQUIS!$C$138,1))+1))-1)*CROQUIS!$C$138)/2)+MIN(INT(($A328-1)/5),MAX((MIN(80,MAX(1,INT(((CROQUIS!$C$97)-CROQUIS!$C$107)/MAX(CROQUIS!$C$138,1))+1)))-1,0))*CROQUIS!$C$138)))*CROQUIS!$C$155)+IF(CROQUIS!$C$92="X",0,0)),-1000)</f>
        <v>-1000</v>
      </c>
      <c r="BR32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328-1)/5),MAX((MIN(80,MAX(1,INT(((CROQUIS!$C$97)-CROQUIS!$C$107)/MAX(CROQUIS!$C$138,1))+1)))-1,0))*CROQUIS!$C$138),CHOOSE(IF(INT(($A328-1)/5)&gt;MAX((MIN(80,MAX(1,INT(((CROQUIS!$C$97)-CROQUIS!$C$107)/MAX(CROQUIS!$C$138,1))+1)))-1,0),0,MOD($A328-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28">
        <f>IF(AND(CROQUIS!$C$88=1,CROQUIS!$C$91=0,CROQUIS!$C$138&gt;0,OR(CROQUIS!$C$106=1,CROQUIS!$C$143=1)),((CROQUIS!$C$157+(IF(CROQUIS!$C$92="X",CHOOSE(IF(INT(($A328-1)/5)&gt;MAX((MIN(80,MAX(1,INT(((CROQUIS!$C$97)-CROQUIS!$C$107)/MAX(CROQUIS!$C$138,1))+1)))-1,0),0,MOD($A328-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328-1)/5),MAX((MIN(80,MAX(1,INT(((CROQUIS!$C$97)-CROQUIS!$C$107)/MAX(CROQUIS!$C$138,1))+1)))-1,0))*CROQUIS!$C$138)))*CROQUIS!$C$155)+IF(CROQUIS!$C$92="X",0,0)),-1000)</f>
        <v>-1000</v>
      </c>
      <c r="BT328">
        <f>IF(AND(CROQUIS!$C$88=1,CROQUIS!$C$91=1,CROQUIS!$C$130&gt;0),((CROQUIS!$C$156+(IF(CROQUIS!$C$92="X",CHOOSE(IF(INT(($A328-1)/5)&gt;MAX((MIN(80,MAX(1,INT(((CROQUIS!$C$98)-CROQUIS!$C$107)/MAX(CROQUIS!$C$130,1))+1)))-1,0),0,MOD($A328-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328-1)/5),MAX((MIN(80,MAX(1,INT(((CROQUIS!$C$98)-CROQUIS!$C$107)/MAX(CROQUIS!$C$130,1))+1)))-1,0))*CROQUIS!$C$130)))*CROQUIS!$C$155)+IF(CROQUIS!$C$92="X",0,0)),-1000)</f>
        <v>-1000</v>
      </c>
      <c r="BU328">
        <f>IF(AND(CROQUIS!$C$88=1,CROQUIS!$C$91=1,CROQUIS!$C$130&gt;0),((CROQUIS!$C$157+(IF(CROQUIS!$C$92="X",((CROQUIS!$C$107/2+(((CROQUIS!$C$98)-CROQUIS!$C$107)-(MIN(80,MAX(1,INT(((CROQUIS!$C$98)-CROQUIS!$C$107)/MAX(CROQUIS!$C$130,1))+1))-1)*CROQUIS!$C$130)/2)+MIN(INT(($A328-1)/5),MAX((MIN(80,MAX(1,INT(((CROQUIS!$C$98)-CROQUIS!$C$107)/MAX(CROQUIS!$C$130,1))+1)))-1,0))*CROQUIS!$C$130),CHOOSE(IF(INT(($A328-1)/5)&gt;MAX((MIN(80,MAX(1,INT(((CROQUIS!$C$98)-CROQUIS!$C$107)/MAX(CROQUIS!$C$130,1))+1)))-1,0),0,MOD($A328-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29">
      <c r="A329" t="n">
        <v>322</v>
      </c>
      <c r="BH329">
        <f>IF(AND(CROQUIS!$C$88=1,CROQUIS!$C$126&gt;0),((CROQUIS!$C$156+(IF(CROQUIS!$C$92="X",CHOOSE(IF(INT(($A329-1)/5)&gt;MAX((MIN(80,MAX(1,INT(((CROQUIS!$C$98)-CROQUIS!$C$107)/MAX(CROQUIS!$C$126,1))+1)))-1,0),0,MOD($A329-1,5))+1,0,2,CROQUIS!$C$97-2,2,0),((CROQUIS!$C$107/2+(((CROQUIS!$C$98)-CROQUIS!$C$107)-(MIN(80,MAX(1,INT(((CROQUIS!$C$98)-CROQUIS!$C$107)/MAX(CROQUIS!$C$126,1))+1))-1)*CROQUIS!$C$126)/2)+MIN(INT(($A329-1)/5),MAX((MIN(80,MAX(1,INT(((CROQUIS!$C$98)-CROQUIS!$C$107)/MAX(CROQUIS!$C$126,1))+1)))-1,0))*CROQUIS!$C$126)))*CROQUIS!$C$155)+IF(CROQUIS!$C$92="X",0,0)),-1000)</f>
        <v>-1000</v>
      </c>
      <c r="BI329">
        <f>IF(AND(CROQUIS!$C$88=1,CROQUIS!$C$126&gt;0),((CROQUIS!$C$157+(IF(CROQUIS!$C$92="X",((CROQUIS!$C$107/2+(((CROQUIS!$C$98)-CROQUIS!$C$107)-(MIN(80,MAX(1,INT(((CROQUIS!$C$98)-CROQUIS!$C$107)/MAX(CROQUIS!$C$126,1))+1))-1)*CROQUIS!$C$126)/2)+MIN(INT(($A329-1)/5),MAX((MIN(80,MAX(1,INT(((CROQUIS!$C$98)-CROQUIS!$C$107)/MAX(CROQUIS!$C$126,1))+1)))-1,0))*CROQUIS!$C$126),CHOOSE(IF(INT(($A329-1)/5)&gt;MAX((MIN(80,MAX(1,INT(((CROQUIS!$C$98)-CROQUIS!$C$107)/MAX(CROQUIS!$C$126,1))+1)))-1,0),0,MOD($A329-1,5))+1,0,2,CROQUIS!$C$97-2,2,0)))*CROQUIS!$C$155)+IF(CROQUIS!$C$92="X",0,0)),-1000)</f>
        <v>-1000</v>
      </c>
      <c r="BJ329">
        <f>IF(AND(CROQUIS!$C$88=1,CROQUIS!$C$134&gt;0),((CROQUIS!$C$156+(IF(CROQUIS!$C$92="X",((CROQUIS!$C$107/2+(((CROQUIS!$C$97)-CROQUIS!$C$107)-(MIN(80,MAX(1,INT(((CROQUIS!$C$97)-CROQUIS!$C$107)/MAX(CROQUIS!$C$134,1))+1))-1)*CROQUIS!$C$134)/2)+MIN(INT(($A329-1)/5),MAX((MIN(80,MAX(1,INT(((CROQUIS!$C$97)-CROQUIS!$C$107)/MAX(CROQUIS!$C$134,1))+1)))-1,0))*CROQUIS!$C$134),CHOOSE(IF(INT(($A329-1)/5)&gt;MAX((MIN(80,MAX(1,INT(((CROQUIS!$C$97)-CROQUIS!$C$107)/MAX(CROQUIS!$C$134,1))+1)))-1,0),0,MOD($A329-1,5))+1,0,2,CROQUIS!$C$98-2,2,0)))*CROQUIS!$C$155)+IF(CROQUIS!$C$92="X",0,0)),-1000)</f>
        <v>-1000</v>
      </c>
      <c r="BK329">
        <f>IF(AND(CROQUIS!$C$88=1,CROQUIS!$C$134&gt;0),((CROQUIS!$C$157+(IF(CROQUIS!$C$92="X",CHOOSE(IF(INT(($A329-1)/5)&gt;MAX((MIN(80,MAX(1,INT(((CROQUIS!$C$97)-CROQUIS!$C$107)/MAX(CROQUIS!$C$134,1))+1)))-1,0),0,MOD($A329-1,5))+1,0,2,CROQUIS!$C$98-2,2,0),((CROQUIS!$C$107/2+(((CROQUIS!$C$97)-CROQUIS!$C$107)-(MIN(80,MAX(1,INT(((CROQUIS!$C$97)-CROQUIS!$C$107)/MAX(CROQUIS!$C$134,1))+1))-1)*CROQUIS!$C$134)/2)+MIN(INT(($A329-1)/5),MAX((MIN(80,MAX(1,INT(((CROQUIS!$C$97)-CROQUIS!$C$107)/MAX(CROQUIS!$C$134,1))+1)))-1,0))*CROQUIS!$C$134)))*CROQUIS!$C$155)+IF(CROQUIS!$C$92="X",0,0)),-1000)</f>
        <v>-1000</v>
      </c>
      <c r="BL329">
        <f>IF(AND(CROQUIS!$C$88=1,CROQUIS!$C$91=0,CROQUIS!$C$130&gt;0,OR(CROQUIS!$C$103=1,CROQUIS!$C$142=1)),((CROQUIS!$C$156+(IF(CROQUIS!$C$92="X",CHOOSE(IF(INT(($A329-1)/5)&gt;MAX((MIN(80,MAX(1,INT(((CROQUIS!$C$98)-CROQUIS!$C$107)/MAX(CROQUIS!$C$130,1))+1)))-1,0),0,MOD($A329-1,5))+1,0,IF(CROQUIS!$C$103=1,-12,2),CROQUIS!$C$107/2+CROQUIS!$C$140,IF(CROQUIS!$C$103=1,-12,2),0),((CROQUIS!$C$107/2+(((CROQUIS!$C$98)-CROQUIS!$C$107)-(MIN(80,MAX(1,INT(((CROQUIS!$C$98)-CROQUIS!$C$107)/MAX(CROQUIS!$C$130,1))+1))-1)*CROQUIS!$C$130)/2)+MIN(INT(($A329-1)/5),MAX((MIN(80,MAX(1,INT(((CROQUIS!$C$98)-CROQUIS!$C$107)/MAX(CROQUIS!$C$130,1))+1)))-1,0))*CROQUIS!$C$130)))*CROQUIS!$C$155)+IF(CROQUIS!$C$92="X",0,0)),-1000)</f>
        <v>-1000</v>
      </c>
      <c r="BM32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329-1)/5),MAX((MIN(80,MAX(1,INT(((CROQUIS!$C$98)-CROQUIS!$C$107)/MAX(CROQUIS!$C$130,1))+1)))-1,0))*CROQUIS!$C$130),CHOOSE(IF(INT(($A329-1)/5)&gt;MAX((MIN(80,MAX(1,INT(((CROQUIS!$C$98)-CROQUIS!$C$107)/MAX(CROQUIS!$C$130,1))+1)))-1,0),0,MOD($A329-1,5))+1,0,IF(CROQUIS!$C$103=1,-12,2),CROQUIS!$C$107/2+CROQUIS!$C$140,IF(CROQUIS!$C$103=1,-12,2),0)))*CROQUIS!$C$155)+IF(CROQUIS!$C$92="X",0,0)),-1000)</f>
        <v>-1000</v>
      </c>
      <c r="BN329">
        <f>IF(AND(CROQUIS!$C$88=1,CROQUIS!$C$91=0,CROQUIS!$C$130&gt;0,OR(CROQUIS!$C$104=1,CROQUIS!$C$142=1)),((CROQUIS!$C$156+(IF(CROQUIS!$C$92="X",CHOOSE(IF(INT(($A329-1)/5)&gt;MAX((MIN(80,MAX(1,INT(((CROQUIS!$C$98)-CROQUIS!$C$107)/MAX(CROQUIS!$C$130,1))+1)))-1,0),0,MOD($A329-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329-1)/5),MAX((MIN(80,MAX(1,INT(((CROQUIS!$C$98)-CROQUIS!$C$107)/MAX(CROQUIS!$C$130,1))+1)))-1,0))*CROQUIS!$C$130)))*CROQUIS!$C$155)+IF(CROQUIS!$C$92="X",0,0)),-1000)</f>
        <v>-1000</v>
      </c>
      <c r="BO32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329-1)/5),MAX((MIN(80,MAX(1,INT(((CROQUIS!$C$98)-CROQUIS!$C$107)/MAX(CROQUIS!$C$130,1))+1)))-1,0))*CROQUIS!$C$130),CHOOSE(IF(INT(($A329-1)/5)&gt;MAX((MIN(80,MAX(1,INT(((CROQUIS!$C$98)-CROQUIS!$C$107)/MAX(CROQUIS!$C$130,1))+1)))-1,0),0,MOD($A329-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2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329-1)/5),MAX((MIN(80,MAX(1,INT(((CROQUIS!$C$97)-CROQUIS!$C$107)/MAX(CROQUIS!$C$138,1))+1)))-1,0))*CROQUIS!$C$138),CHOOSE(IF(INT(($A329-1)/5)&gt;MAX((MIN(80,MAX(1,INT(((CROQUIS!$C$97)-CROQUIS!$C$107)/MAX(CROQUIS!$C$138,1))+1)))-1,0),0,MOD($A329-1,5))+1,0,IF(CROQUIS!$C$105=1,-12,2),CROQUIS!$C$107/2+CROQUIS!$C$141,IF(CROQUIS!$C$105=1,-12,2),0)))*CROQUIS!$C$155)+IF(CROQUIS!$C$92="X",0,0)),-1000)</f>
        <v>-1000</v>
      </c>
      <c r="BQ329">
        <f>IF(AND(CROQUIS!$C$88=1,CROQUIS!$C$91=0,CROQUIS!$C$138&gt;0,OR(CROQUIS!$C$105=1,CROQUIS!$C$143=1)),((CROQUIS!$C$157+(IF(CROQUIS!$C$92="X",CHOOSE(IF(INT(($A329-1)/5)&gt;MAX((MIN(80,MAX(1,INT(((CROQUIS!$C$97)-CROQUIS!$C$107)/MAX(CROQUIS!$C$138,1))+1)))-1,0),0,MOD($A329-1,5))+1,0,IF(CROQUIS!$C$105=1,-12,2),CROQUIS!$C$107/2+CROQUIS!$C$141,IF(CROQUIS!$C$105=1,-12,2),0),((CROQUIS!$C$107/2+(((CROQUIS!$C$97)-CROQUIS!$C$107)-(MIN(80,MAX(1,INT(((CROQUIS!$C$97)-CROQUIS!$C$107)/MAX(CROQUIS!$C$138,1))+1))-1)*CROQUIS!$C$138)/2)+MIN(INT(($A329-1)/5),MAX((MIN(80,MAX(1,INT(((CROQUIS!$C$97)-CROQUIS!$C$107)/MAX(CROQUIS!$C$138,1))+1)))-1,0))*CROQUIS!$C$138)))*CROQUIS!$C$155)+IF(CROQUIS!$C$92="X",0,0)),-1000)</f>
        <v>-1000</v>
      </c>
      <c r="BR32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329-1)/5),MAX((MIN(80,MAX(1,INT(((CROQUIS!$C$97)-CROQUIS!$C$107)/MAX(CROQUIS!$C$138,1))+1)))-1,0))*CROQUIS!$C$138),CHOOSE(IF(INT(($A329-1)/5)&gt;MAX((MIN(80,MAX(1,INT(((CROQUIS!$C$97)-CROQUIS!$C$107)/MAX(CROQUIS!$C$138,1))+1)))-1,0),0,MOD($A329-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29">
        <f>IF(AND(CROQUIS!$C$88=1,CROQUIS!$C$91=0,CROQUIS!$C$138&gt;0,OR(CROQUIS!$C$106=1,CROQUIS!$C$143=1)),((CROQUIS!$C$157+(IF(CROQUIS!$C$92="X",CHOOSE(IF(INT(($A329-1)/5)&gt;MAX((MIN(80,MAX(1,INT(((CROQUIS!$C$97)-CROQUIS!$C$107)/MAX(CROQUIS!$C$138,1))+1)))-1,0),0,MOD($A329-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329-1)/5),MAX((MIN(80,MAX(1,INT(((CROQUIS!$C$97)-CROQUIS!$C$107)/MAX(CROQUIS!$C$138,1))+1)))-1,0))*CROQUIS!$C$138)))*CROQUIS!$C$155)+IF(CROQUIS!$C$92="X",0,0)),-1000)</f>
        <v>-1000</v>
      </c>
      <c r="BT329">
        <f>IF(AND(CROQUIS!$C$88=1,CROQUIS!$C$91=1,CROQUIS!$C$130&gt;0),((CROQUIS!$C$156+(IF(CROQUIS!$C$92="X",CHOOSE(IF(INT(($A329-1)/5)&gt;MAX((MIN(80,MAX(1,INT(((CROQUIS!$C$98)-CROQUIS!$C$107)/MAX(CROQUIS!$C$130,1))+1)))-1,0),0,MOD($A329-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329-1)/5),MAX((MIN(80,MAX(1,INT(((CROQUIS!$C$98)-CROQUIS!$C$107)/MAX(CROQUIS!$C$130,1))+1)))-1,0))*CROQUIS!$C$130)))*CROQUIS!$C$155)+IF(CROQUIS!$C$92="X",0,0)),-1000)</f>
        <v>-1000</v>
      </c>
      <c r="BU329">
        <f>IF(AND(CROQUIS!$C$88=1,CROQUIS!$C$91=1,CROQUIS!$C$130&gt;0),((CROQUIS!$C$157+(IF(CROQUIS!$C$92="X",((CROQUIS!$C$107/2+(((CROQUIS!$C$98)-CROQUIS!$C$107)-(MIN(80,MAX(1,INT(((CROQUIS!$C$98)-CROQUIS!$C$107)/MAX(CROQUIS!$C$130,1))+1))-1)*CROQUIS!$C$130)/2)+MIN(INT(($A329-1)/5),MAX((MIN(80,MAX(1,INT(((CROQUIS!$C$98)-CROQUIS!$C$107)/MAX(CROQUIS!$C$130,1))+1)))-1,0))*CROQUIS!$C$130),CHOOSE(IF(INT(($A329-1)/5)&gt;MAX((MIN(80,MAX(1,INT(((CROQUIS!$C$98)-CROQUIS!$C$107)/MAX(CROQUIS!$C$130,1))+1)))-1,0),0,MOD($A329-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30">
      <c r="A330" t="n">
        <v>323</v>
      </c>
      <c r="BH330">
        <f>IF(AND(CROQUIS!$C$88=1,CROQUIS!$C$126&gt;0),((CROQUIS!$C$156+(IF(CROQUIS!$C$92="X",CHOOSE(IF(INT(($A330-1)/5)&gt;MAX((MIN(80,MAX(1,INT(((CROQUIS!$C$98)-CROQUIS!$C$107)/MAX(CROQUIS!$C$126,1))+1)))-1,0),0,MOD($A330-1,5))+1,0,2,CROQUIS!$C$97-2,2,0),((CROQUIS!$C$107/2+(((CROQUIS!$C$98)-CROQUIS!$C$107)-(MIN(80,MAX(1,INT(((CROQUIS!$C$98)-CROQUIS!$C$107)/MAX(CROQUIS!$C$126,1))+1))-1)*CROQUIS!$C$126)/2)+MIN(INT(($A330-1)/5),MAX((MIN(80,MAX(1,INT(((CROQUIS!$C$98)-CROQUIS!$C$107)/MAX(CROQUIS!$C$126,1))+1)))-1,0))*CROQUIS!$C$126)))*CROQUIS!$C$155)+IF(CROQUIS!$C$92="X",0,0)),-1000)</f>
        <v>-1000</v>
      </c>
      <c r="BI330">
        <f>IF(AND(CROQUIS!$C$88=1,CROQUIS!$C$126&gt;0),((CROQUIS!$C$157+(IF(CROQUIS!$C$92="X",((CROQUIS!$C$107/2+(((CROQUIS!$C$98)-CROQUIS!$C$107)-(MIN(80,MAX(1,INT(((CROQUIS!$C$98)-CROQUIS!$C$107)/MAX(CROQUIS!$C$126,1))+1))-1)*CROQUIS!$C$126)/2)+MIN(INT(($A330-1)/5),MAX((MIN(80,MAX(1,INT(((CROQUIS!$C$98)-CROQUIS!$C$107)/MAX(CROQUIS!$C$126,1))+1)))-1,0))*CROQUIS!$C$126),CHOOSE(IF(INT(($A330-1)/5)&gt;MAX((MIN(80,MAX(1,INT(((CROQUIS!$C$98)-CROQUIS!$C$107)/MAX(CROQUIS!$C$126,1))+1)))-1,0),0,MOD($A330-1,5))+1,0,2,CROQUIS!$C$97-2,2,0)))*CROQUIS!$C$155)+IF(CROQUIS!$C$92="X",0,0)),-1000)</f>
        <v>-1000</v>
      </c>
      <c r="BJ330">
        <f>IF(AND(CROQUIS!$C$88=1,CROQUIS!$C$134&gt;0),((CROQUIS!$C$156+(IF(CROQUIS!$C$92="X",((CROQUIS!$C$107/2+(((CROQUIS!$C$97)-CROQUIS!$C$107)-(MIN(80,MAX(1,INT(((CROQUIS!$C$97)-CROQUIS!$C$107)/MAX(CROQUIS!$C$134,1))+1))-1)*CROQUIS!$C$134)/2)+MIN(INT(($A330-1)/5),MAX((MIN(80,MAX(1,INT(((CROQUIS!$C$97)-CROQUIS!$C$107)/MAX(CROQUIS!$C$134,1))+1)))-1,0))*CROQUIS!$C$134),CHOOSE(IF(INT(($A330-1)/5)&gt;MAX((MIN(80,MAX(1,INT(((CROQUIS!$C$97)-CROQUIS!$C$107)/MAX(CROQUIS!$C$134,1))+1)))-1,0),0,MOD($A330-1,5))+1,0,2,CROQUIS!$C$98-2,2,0)))*CROQUIS!$C$155)+IF(CROQUIS!$C$92="X",0,0)),-1000)</f>
        <v>-1000</v>
      </c>
      <c r="BK330">
        <f>IF(AND(CROQUIS!$C$88=1,CROQUIS!$C$134&gt;0),((CROQUIS!$C$157+(IF(CROQUIS!$C$92="X",CHOOSE(IF(INT(($A330-1)/5)&gt;MAX((MIN(80,MAX(1,INT(((CROQUIS!$C$97)-CROQUIS!$C$107)/MAX(CROQUIS!$C$134,1))+1)))-1,0),0,MOD($A330-1,5))+1,0,2,CROQUIS!$C$98-2,2,0),((CROQUIS!$C$107/2+(((CROQUIS!$C$97)-CROQUIS!$C$107)-(MIN(80,MAX(1,INT(((CROQUIS!$C$97)-CROQUIS!$C$107)/MAX(CROQUIS!$C$134,1))+1))-1)*CROQUIS!$C$134)/2)+MIN(INT(($A330-1)/5),MAX((MIN(80,MAX(1,INT(((CROQUIS!$C$97)-CROQUIS!$C$107)/MAX(CROQUIS!$C$134,1))+1)))-1,0))*CROQUIS!$C$134)))*CROQUIS!$C$155)+IF(CROQUIS!$C$92="X",0,0)),-1000)</f>
        <v>-1000</v>
      </c>
      <c r="BL330">
        <f>IF(AND(CROQUIS!$C$88=1,CROQUIS!$C$91=0,CROQUIS!$C$130&gt;0,OR(CROQUIS!$C$103=1,CROQUIS!$C$142=1)),((CROQUIS!$C$156+(IF(CROQUIS!$C$92="X",CHOOSE(IF(INT(($A330-1)/5)&gt;MAX((MIN(80,MAX(1,INT(((CROQUIS!$C$98)-CROQUIS!$C$107)/MAX(CROQUIS!$C$130,1))+1)))-1,0),0,MOD($A330-1,5))+1,0,IF(CROQUIS!$C$103=1,-12,2),CROQUIS!$C$107/2+CROQUIS!$C$140,IF(CROQUIS!$C$103=1,-12,2),0),((CROQUIS!$C$107/2+(((CROQUIS!$C$98)-CROQUIS!$C$107)-(MIN(80,MAX(1,INT(((CROQUIS!$C$98)-CROQUIS!$C$107)/MAX(CROQUIS!$C$130,1))+1))-1)*CROQUIS!$C$130)/2)+MIN(INT(($A330-1)/5),MAX((MIN(80,MAX(1,INT(((CROQUIS!$C$98)-CROQUIS!$C$107)/MAX(CROQUIS!$C$130,1))+1)))-1,0))*CROQUIS!$C$130)))*CROQUIS!$C$155)+IF(CROQUIS!$C$92="X",0,0)),-1000)</f>
        <v>-1000</v>
      </c>
      <c r="BM33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330-1)/5),MAX((MIN(80,MAX(1,INT(((CROQUIS!$C$98)-CROQUIS!$C$107)/MAX(CROQUIS!$C$130,1))+1)))-1,0))*CROQUIS!$C$130),CHOOSE(IF(INT(($A330-1)/5)&gt;MAX((MIN(80,MAX(1,INT(((CROQUIS!$C$98)-CROQUIS!$C$107)/MAX(CROQUIS!$C$130,1))+1)))-1,0),0,MOD($A330-1,5))+1,0,IF(CROQUIS!$C$103=1,-12,2),CROQUIS!$C$107/2+CROQUIS!$C$140,IF(CROQUIS!$C$103=1,-12,2),0)))*CROQUIS!$C$155)+IF(CROQUIS!$C$92="X",0,0)),-1000)</f>
        <v>-1000</v>
      </c>
      <c r="BN330">
        <f>IF(AND(CROQUIS!$C$88=1,CROQUIS!$C$91=0,CROQUIS!$C$130&gt;0,OR(CROQUIS!$C$104=1,CROQUIS!$C$142=1)),((CROQUIS!$C$156+(IF(CROQUIS!$C$92="X",CHOOSE(IF(INT(($A330-1)/5)&gt;MAX((MIN(80,MAX(1,INT(((CROQUIS!$C$98)-CROQUIS!$C$107)/MAX(CROQUIS!$C$130,1))+1)))-1,0),0,MOD($A330-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330-1)/5),MAX((MIN(80,MAX(1,INT(((CROQUIS!$C$98)-CROQUIS!$C$107)/MAX(CROQUIS!$C$130,1))+1)))-1,0))*CROQUIS!$C$130)))*CROQUIS!$C$155)+IF(CROQUIS!$C$92="X",0,0)),-1000)</f>
        <v>-1000</v>
      </c>
      <c r="BO33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330-1)/5),MAX((MIN(80,MAX(1,INT(((CROQUIS!$C$98)-CROQUIS!$C$107)/MAX(CROQUIS!$C$130,1))+1)))-1,0))*CROQUIS!$C$130),CHOOSE(IF(INT(($A330-1)/5)&gt;MAX((MIN(80,MAX(1,INT(((CROQUIS!$C$98)-CROQUIS!$C$107)/MAX(CROQUIS!$C$130,1))+1)))-1,0),0,MOD($A330-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3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330-1)/5),MAX((MIN(80,MAX(1,INT(((CROQUIS!$C$97)-CROQUIS!$C$107)/MAX(CROQUIS!$C$138,1))+1)))-1,0))*CROQUIS!$C$138),CHOOSE(IF(INT(($A330-1)/5)&gt;MAX((MIN(80,MAX(1,INT(((CROQUIS!$C$97)-CROQUIS!$C$107)/MAX(CROQUIS!$C$138,1))+1)))-1,0),0,MOD($A330-1,5))+1,0,IF(CROQUIS!$C$105=1,-12,2),CROQUIS!$C$107/2+CROQUIS!$C$141,IF(CROQUIS!$C$105=1,-12,2),0)))*CROQUIS!$C$155)+IF(CROQUIS!$C$92="X",0,0)),-1000)</f>
        <v>-1000</v>
      </c>
      <c r="BQ330">
        <f>IF(AND(CROQUIS!$C$88=1,CROQUIS!$C$91=0,CROQUIS!$C$138&gt;0,OR(CROQUIS!$C$105=1,CROQUIS!$C$143=1)),((CROQUIS!$C$157+(IF(CROQUIS!$C$92="X",CHOOSE(IF(INT(($A330-1)/5)&gt;MAX((MIN(80,MAX(1,INT(((CROQUIS!$C$97)-CROQUIS!$C$107)/MAX(CROQUIS!$C$138,1))+1)))-1,0),0,MOD($A330-1,5))+1,0,IF(CROQUIS!$C$105=1,-12,2),CROQUIS!$C$107/2+CROQUIS!$C$141,IF(CROQUIS!$C$105=1,-12,2),0),((CROQUIS!$C$107/2+(((CROQUIS!$C$97)-CROQUIS!$C$107)-(MIN(80,MAX(1,INT(((CROQUIS!$C$97)-CROQUIS!$C$107)/MAX(CROQUIS!$C$138,1))+1))-1)*CROQUIS!$C$138)/2)+MIN(INT(($A330-1)/5),MAX((MIN(80,MAX(1,INT(((CROQUIS!$C$97)-CROQUIS!$C$107)/MAX(CROQUIS!$C$138,1))+1)))-1,0))*CROQUIS!$C$138)))*CROQUIS!$C$155)+IF(CROQUIS!$C$92="X",0,0)),-1000)</f>
        <v>-1000</v>
      </c>
      <c r="BR33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330-1)/5),MAX((MIN(80,MAX(1,INT(((CROQUIS!$C$97)-CROQUIS!$C$107)/MAX(CROQUIS!$C$138,1))+1)))-1,0))*CROQUIS!$C$138),CHOOSE(IF(INT(($A330-1)/5)&gt;MAX((MIN(80,MAX(1,INT(((CROQUIS!$C$97)-CROQUIS!$C$107)/MAX(CROQUIS!$C$138,1))+1)))-1,0),0,MOD($A330-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30">
        <f>IF(AND(CROQUIS!$C$88=1,CROQUIS!$C$91=0,CROQUIS!$C$138&gt;0,OR(CROQUIS!$C$106=1,CROQUIS!$C$143=1)),((CROQUIS!$C$157+(IF(CROQUIS!$C$92="X",CHOOSE(IF(INT(($A330-1)/5)&gt;MAX((MIN(80,MAX(1,INT(((CROQUIS!$C$97)-CROQUIS!$C$107)/MAX(CROQUIS!$C$138,1))+1)))-1,0),0,MOD($A330-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330-1)/5),MAX((MIN(80,MAX(1,INT(((CROQUIS!$C$97)-CROQUIS!$C$107)/MAX(CROQUIS!$C$138,1))+1)))-1,0))*CROQUIS!$C$138)))*CROQUIS!$C$155)+IF(CROQUIS!$C$92="X",0,0)),-1000)</f>
        <v>-1000</v>
      </c>
      <c r="BT330">
        <f>IF(AND(CROQUIS!$C$88=1,CROQUIS!$C$91=1,CROQUIS!$C$130&gt;0),((CROQUIS!$C$156+(IF(CROQUIS!$C$92="X",CHOOSE(IF(INT(($A330-1)/5)&gt;MAX((MIN(80,MAX(1,INT(((CROQUIS!$C$98)-CROQUIS!$C$107)/MAX(CROQUIS!$C$130,1))+1)))-1,0),0,MOD($A330-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330-1)/5),MAX((MIN(80,MAX(1,INT(((CROQUIS!$C$98)-CROQUIS!$C$107)/MAX(CROQUIS!$C$130,1))+1)))-1,0))*CROQUIS!$C$130)))*CROQUIS!$C$155)+IF(CROQUIS!$C$92="X",0,0)),-1000)</f>
        <v>-1000</v>
      </c>
      <c r="BU330">
        <f>IF(AND(CROQUIS!$C$88=1,CROQUIS!$C$91=1,CROQUIS!$C$130&gt;0),((CROQUIS!$C$157+(IF(CROQUIS!$C$92="X",((CROQUIS!$C$107/2+(((CROQUIS!$C$98)-CROQUIS!$C$107)-(MIN(80,MAX(1,INT(((CROQUIS!$C$98)-CROQUIS!$C$107)/MAX(CROQUIS!$C$130,1))+1))-1)*CROQUIS!$C$130)/2)+MIN(INT(($A330-1)/5),MAX((MIN(80,MAX(1,INT(((CROQUIS!$C$98)-CROQUIS!$C$107)/MAX(CROQUIS!$C$130,1))+1)))-1,0))*CROQUIS!$C$130),CHOOSE(IF(INT(($A330-1)/5)&gt;MAX((MIN(80,MAX(1,INT(((CROQUIS!$C$98)-CROQUIS!$C$107)/MAX(CROQUIS!$C$130,1))+1)))-1,0),0,MOD($A330-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31">
      <c r="A331" t="n">
        <v>324</v>
      </c>
      <c r="BH331">
        <f>IF(AND(CROQUIS!$C$88=1,CROQUIS!$C$126&gt;0),((CROQUIS!$C$156+(IF(CROQUIS!$C$92="X",CHOOSE(IF(INT(($A331-1)/5)&gt;MAX((MIN(80,MAX(1,INT(((CROQUIS!$C$98)-CROQUIS!$C$107)/MAX(CROQUIS!$C$126,1))+1)))-1,0),0,MOD($A331-1,5))+1,0,2,CROQUIS!$C$97-2,2,0),((CROQUIS!$C$107/2+(((CROQUIS!$C$98)-CROQUIS!$C$107)-(MIN(80,MAX(1,INT(((CROQUIS!$C$98)-CROQUIS!$C$107)/MAX(CROQUIS!$C$126,1))+1))-1)*CROQUIS!$C$126)/2)+MIN(INT(($A331-1)/5),MAX((MIN(80,MAX(1,INT(((CROQUIS!$C$98)-CROQUIS!$C$107)/MAX(CROQUIS!$C$126,1))+1)))-1,0))*CROQUIS!$C$126)))*CROQUIS!$C$155)+IF(CROQUIS!$C$92="X",0,0)),-1000)</f>
        <v>-1000</v>
      </c>
      <c r="BI331">
        <f>IF(AND(CROQUIS!$C$88=1,CROQUIS!$C$126&gt;0),((CROQUIS!$C$157+(IF(CROQUIS!$C$92="X",((CROQUIS!$C$107/2+(((CROQUIS!$C$98)-CROQUIS!$C$107)-(MIN(80,MAX(1,INT(((CROQUIS!$C$98)-CROQUIS!$C$107)/MAX(CROQUIS!$C$126,1))+1))-1)*CROQUIS!$C$126)/2)+MIN(INT(($A331-1)/5),MAX((MIN(80,MAX(1,INT(((CROQUIS!$C$98)-CROQUIS!$C$107)/MAX(CROQUIS!$C$126,1))+1)))-1,0))*CROQUIS!$C$126),CHOOSE(IF(INT(($A331-1)/5)&gt;MAX((MIN(80,MAX(1,INT(((CROQUIS!$C$98)-CROQUIS!$C$107)/MAX(CROQUIS!$C$126,1))+1)))-1,0),0,MOD($A331-1,5))+1,0,2,CROQUIS!$C$97-2,2,0)))*CROQUIS!$C$155)+IF(CROQUIS!$C$92="X",0,0)),-1000)</f>
        <v>-1000</v>
      </c>
      <c r="BJ331">
        <f>IF(AND(CROQUIS!$C$88=1,CROQUIS!$C$134&gt;0),((CROQUIS!$C$156+(IF(CROQUIS!$C$92="X",((CROQUIS!$C$107/2+(((CROQUIS!$C$97)-CROQUIS!$C$107)-(MIN(80,MAX(1,INT(((CROQUIS!$C$97)-CROQUIS!$C$107)/MAX(CROQUIS!$C$134,1))+1))-1)*CROQUIS!$C$134)/2)+MIN(INT(($A331-1)/5),MAX((MIN(80,MAX(1,INT(((CROQUIS!$C$97)-CROQUIS!$C$107)/MAX(CROQUIS!$C$134,1))+1)))-1,0))*CROQUIS!$C$134),CHOOSE(IF(INT(($A331-1)/5)&gt;MAX((MIN(80,MAX(1,INT(((CROQUIS!$C$97)-CROQUIS!$C$107)/MAX(CROQUIS!$C$134,1))+1)))-1,0),0,MOD($A331-1,5))+1,0,2,CROQUIS!$C$98-2,2,0)))*CROQUIS!$C$155)+IF(CROQUIS!$C$92="X",0,0)),-1000)</f>
        <v>-1000</v>
      </c>
      <c r="BK331">
        <f>IF(AND(CROQUIS!$C$88=1,CROQUIS!$C$134&gt;0),((CROQUIS!$C$157+(IF(CROQUIS!$C$92="X",CHOOSE(IF(INT(($A331-1)/5)&gt;MAX((MIN(80,MAX(1,INT(((CROQUIS!$C$97)-CROQUIS!$C$107)/MAX(CROQUIS!$C$134,1))+1)))-1,0),0,MOD($A331-1,5))+1,0,2,CROQUIS!$C$98-2,2,0),((CROQUIS!$C$107/2+(((CROQUIS!$C$97)-CROQUIS!$C$107)-(MIN(80,MAX(1,INT(((CROQUIS!$C$97)-CROQUIS!$C$107)/MAX(CROQUIS!$C$134,1))+1))-1)*CROQUIS!$C$134)/2)+MIN(INT(($A331-1)/5),MAX((MIN(80,MAX(1,INT(((CROQUIS!$C$97)-CROQUIS!$C$107)/MAX(CROQUIS!$C$134,1))+1)))-1,0))*CROQUIS!$C$134)))*CROQUIS!$C$155)+IF(CROQUIS!$C$92="X",0,0)),-1000)</f>
        <v>-1000</v>
      </c>
      <c r="BL331">
        <f>IF(AND(CROQUIS!$C$88=1,CROQUIS!$C$91=0,CROQUIS!$C$130&gt;0,OR(CROQUIS!$C$103=1,CROQUIS!$C$142=1)),((CROQUIS!$C$156+(IF(CROQUIS!$C$92="X",CHOOSE(IF(INT(($A331-1)/5)&gt;MAX((MIN(80,MAX(1,INT(((CROQUIS!$C$98)-CROQUIS!$C$107)/MAX(CROQUIS!$C$130,1))+1)))-1,0),0,MOD($A331-1,5))+1,0,IF(CROQUIS!$C$103=1,-12,2),CROQUIS!$C$107/2+CROQUIS!$C$140,IF(CROQUIS!$C$103=1,-12,2),0),((CROQUIS!$C$107/2+(((CROQUIS!$C$98)-CROQUIS!$C$107)-(MIN(80,MAX(1,INT(((CROQUIS!$C$98)-CROQUIS!$C$107)/MAX(CROQUIS!$C$130,1))+1))-1)*CROQUIS!$C$130)/2)+MIN(INT(($A331-1)/5),MAX((MIN(80,MAX(1,INT(((CROQUIS!$C$98)-CROQUIS!$C$107)/MAX(CROQUIS!$C$130,1))+1)))-1,0))*CROQUIS!$C$130)))*CROQUIS!$C$155)+IF(CROQUIS!$C$92="X",0,0)),-1000)</f>
        <v>-1000</v>
      </c>
      <c r="BM33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331-1)/5),MAX((MIN(80,MAX(1,INT(((CROQUIS!$C$98)-CROQUIS!$C$107)/MAX(CROQUIS!$C$130,1))+1)))-1,0))*CROQUIS!$C$130),CHOOSE(IF(INT(($A331-1)/5)&gt;MAX((MIN(80,MAX(1,INT(((CROQUIS!$C$98)-CROQUIS!$C$107)/MAX(CROQUIS!$C$130,1))+1)))-1,0),0,MOD($A331-1,5))+1,0,IF(CROQUIS!$C$103=1,-12,2),CROQUIS!$C$107/2+CROQUIS!$C$140,IF(CROQUIS!$C$103=1,-12,2),0)))*CROQUIS!$C$155)+IF(CROQUIS!$C$92="X",0,0)),-1000)</f>
        <v>-1000</v>
      </c>
      <c r="BN331">
        <f>IF(AND(CROQUIS!$C$88=1,CROQUIS!$C$91=0,CROQUIS!$C$130&gt;0,OR(CROQUIS!$C$104=1,CROQUIS!$C$142=1)),((CROQUIS!$C$156+(IF(CROQUIS!$C$92="X",CHOOSE(IF(INT(($A331-1)/5)&gt;MAX((MIN(80,MAX(1,INT(((CROQUIS!$C$98)-CROQUIS!$C$107)/MAX(CROQUIS!$C$130,1))+1)))-1,0),0,MOD($A331-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331-1)/5),MAX((MIN(80,MAX(1,INT(((CROQUIS!$C$98)-CROQUIS!$C$107)/MAX(CROQUIS!$C$130,1))+1)))-1,0))*CROQUIS!$C$130)))*CROQUIS!$C$155)+IF(CROQUIS!$C$92="X",0,0)),-1000)</f>
        <v>-1000</v>
      </c>
      <c r="BO33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331-1)/5),MAX((MIN(80,MAX(1,INT(((CROQUIS!$C$98)-CROQUIS!$C$107)/MAX(CROQUIS!$C$130,1))+1)))-1,0))*CROQUIS!$C$130),CHOOSE(IF(INT(($A331-1)/5)&gt;MAX((MIN(80,MAX(1,INT(((CROQUIS!$C$98)-CROQUIS!$C$107)/MAX(CROQUIS!$C$130,1))+1)))-1,0),0,MOD($A331-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3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331-1)/5),MAX((MIN(80,MAX(1,INT(((CROQUIS!$C$97)-CROQUIS!$C$107)/MAX(CROQUIS!$C$138,1))+1)))-1,0))*CROQUIS!$C$138),CHOOSE(IF(INT(($A331-1)/5)&gt;MAX((MIN(80,MAX(1,INT(((CROQUIS!$C$97)-CROQUIS!$C$107)/MAX(CROQUIS!$C$138,1))+1)))-1,0),0,MOD($A331-1,5))+1,0,IF(CROQUIS!$C$105=1,-12,2),CROQUIS!$C$107/2+CROQUIS!$C$141,IF(CROQUIS!$C$105=1,-12,2),0)))*CROQUIS!$C$155)+IF(CROQUIS!$C$92="X",0,0)),-1000)</f>
        <v>-1000</v>
      </c>
      <c r="BQ331">
        <f>IF(AND(CROQUIS!$C$88=1,CROQUIS!$C$91=0,CROQUIS!$C$138&gt;0,OR(CROQUIS!$C$105=1,CROQUIS!$C$143=1)),((CROQUIS!$C$157+(IF(CROQUIS!$C$92="X",CHOOSE(IF(INT(($A331-1)/5)&gt;MAX((MIN(80,MAX(1,INT(((CROQUIS!$C$97)-CROQUIS!$C$107)/MAX(CROQUIS!$C$138,1))+1)))-1,0),0,MOD($A331-1,5))+1,0,IF(CROQUIS!$C$105=1,-12,2),CROQUIS!$C$107/2+CROQUIS!$C$141,IF(CROQUIS!$C$105=1,-12,2),0),((CROQUIS!$C$107/2+(((CROQUIS!$C$97)-CROQUIS!$C$107)-(MIN(80,MAX(1,INT(((CROQUIS!$C$97)-CROQUIS!$C$107)/MAX(CROQUIS!$C$138,1))+1))-1)*CROQUIS!$C$138)/2)+MIN(INT(($A331-1)/5),MAX((MIN(80,MAX(1,INT(((CROQUIS!$C$97)-CROQUIS!$C$107)/MAX(CROQUIS!$C$138,1))+1)))-1,0))*CROQUIS!$C$138)))*CROQUIS!$C$155)+IF(CROQUIS!$C$92="X",0,0)),-1000)</f>
        <v>-1000</v>
      </c>
      <c r="BR33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331-1)/5),MAX((MIN(80,MAX(1,INT(((CROQUIS!$C$97)-CROQUIS!$C$107)/MAX(CROQUIS!$C$138,1))+1)))-1,0))*CROQUIS!$C$138),CHOOSE(IF(INT(($A331-1)/5)&gt;MAX((MIN(80,MAX(1,INT(((CROQUIS!$C$97)-CROQUIS!$C$107)/MAX(CROQUIS!$C$138,1))+1)))-1,0),0,MOD($A331-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31">
        <f>IF(AND(CROQUIS!$C$88=1,CROQUIS!$C$91=0,CROQUIS!$C$138&gt;0,OR(CROQUIS!$C$106=1,CROQUIS!$C$143=1)),((CROQUIS!$C$157+(IF(CROQUIS!$C$92="X",CHOOSE(IF(INT(($A331-1)/5)&gt;MAX((MIN(80,MAX(1,INT(((CROQUIS!$C$97)-CROQUIS!$C$107)/MAX(CROQUIS!$C$138,1))+1)))-1,0),0,MOD($A331-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331-1)/5),MAX((MIN(80,MAX(1,INT(((CROQUIS!$C$97)-CROQUIS!$C$107)/MAX(CROQUIS!$C$138,1))+1)))-1,0))*CROQUIS!$C$138)))*CROQUIS!$C$155)+IF(CROQUIS!$C$92="X",0,0)),-1000)</f>
        <v>-1000</v>
      </c>
      <c r="BT331">
        <f>IF(AND(CROQUIS!$C$88=1,CROQUIS!$C$91=1,CROQUIS!$C$130&gt;0),((CROQUIS!$C$156+(IF(CROQUIS!$C$92="X",CHOOSE(IF(INT(($A331-1)/5)&gt;MAX((MIN(80,MAX(1,INT(((CROQUIS!$C$98)-CROQUIS!$C$107)/MAX(CROQUIS!$C$130,1))+1)))-1,0),0,MOD($A331-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331-1)/5),MAX((MIN(80,MAX(1,INT(((CROQUIS!$C$98)-CROQUIS!$C$107)/MAX(CROQUIS!$C$130,1))+1)))-1,0))*CROQUIS!$C$130)))*CROQUIS!$C$155)+IF(CROQUIS!$C$92="X",0,0)),-1000)</f>
        <v>-1000</v>
      </c>
      <c r="BU331">
        <f>IF(AND(CROQUIS!$C$88=1,CROQUIS!$C$91=1,CROQUIS!$C$130&gt;0),((CROQUIS!$C$157+(IF(CROQUIS!$C$92="X",((CROQUIS!$C$107/2+(((CROQUIS!$C$98)-CROQUIS!$C$107)-(MIN(80,MAX(1,INT(((CROQUIS!$C$98)-CROQUIS!$C$107)/MAX(CROQUIS!$C$130,1))+1))-1)*CROQUIS!$C$130)/2)+MIN(INT(($A331-1)/5),MAX((MIN(80,MAX(1,INT(((CROQUIS!$C$98)-CROQUIS!$C$107)/MAX(CROQUIS!$C$130,1))+1)))-1,0))*CROQUIS!$C$130),CHOOSE(IF(INT(($A331-1)/5)&gt;MAX((MIN(80,MAX(1,INT(((CROQUIS!$C$98)-CROQUIS!$C$107)/MAX(CROQUIS!$C$130,1))+1)))-1,0),0,MOD($A331-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32">
      <c r="A332" t="n">
        <v>325</v>
      </c>
      <c r="BH332">
        <f>IF(AND(CROQUIS!$C$88=1,CROQUIS!$C$126&gt;0),((CROQUIS!$C$156+(IF(CROQUIS!$C$92="X",CHOOSE(IF(INT(($A332-1)/5)&gt;MAX((MIN(80,MAX(1,INT(((CROQUIS!$C$98)-CROQUIS!$C$107)/MAX(CROQUIS!$C$126,1))+1)))-1,0),0,MOD($A332-1,5))+1,0,2,CROQUIS!$C$97-2,2,0),((CROQUIS!$C$107/2+(((CROQUIS!$C$98)-CROQUIS!$C$107)-(MIN(80,MAX(1,INT(((CROQUIS!$C$98)-CROQUIS!$C$107)/MAX(CROQUIS!$C$126,1))+1))-1)*CROQUIS!$C$126)/2)+MIN(INT(($A332-1)/5),MAX((MIN(80,MAX(1,INT(((CROQUIS!$C$98)-CROQUIS!$C$107)/MAX(CROQUIS!$C$126,1))+1)))-1,0))*CROQUIS!$C$126)))*CROQUIS!$C$155)+IF(CROQUIS!$C$92="X",0,0)),-1000)</f>
        <v>-1000</v>
      </c>
      <c r="BI332">
        <f>IF(AND(CROQUIS!$C$88=1,CROQUIS!$C$126&gt;0),((CROQUIS!$C$157+(IF(CROQUIS!$C$92="X",((CROQUIS!$C$107/2+(((CROQUIS!$C$98)-CROQUIS!$C$107)-(MIN(80,MAX(1,INT(((CROQUIS!$C$98)-CROQUIS!$C$107)/MAX(CROQUIS!$C$126,1))+1))-1)*CROQUIS!$C$126)/2)+MIN(INT(($A332-1)/5),MAX((MIN(80,MAX(1,INT(((CROQUIS!$C$98)-CROQUIS!$C$107)/MAX(CROQUIS!$C$126,1))+1)))-1,0))*CROQUIS!$C$126),CHOOSE(IF(INT(($A332-1)/5)&gt;MAX((MIN(80,MAX(1,INT(((CROQUIS!$C$98)-CROQUIS!$C$107)/MAX(CROQUIS!$C$126,1))+1)))-1,0),0,MOD($A332-1,5))+1,0,2,CROQUIS!$C$97-2,2,0)))*CROQUIS!$C$155)+IF(CROQUIS!$C$92="X",0,0)),-1000)</f>
        <v>-1000</v>
      </c>
      <c r="BJ332">
        <f>IF(AND(CROQUIS!$C$88=1,CROQUIS!$C$134&gt;0),((CROQUIS!$C$156+(IF(CROQUIS!$C$92="X",((CROQUIS!$C$107/2+(((CROQUIS!$C$97)-CROQUIS!$C$107)-(MIN(80,MAX(1,INT(((CROQUIS!$C$97)-CROQUIS!$C$107)/MAX(CROQUIS!$C$134,1))+1))-1)*CROQUIS!$C$134)/2)+MIN(INT(($A332-1)/5),MAX((MIN(80,MAX(1,INT(((CROQUIS!$C$97)-CROQUIS!$C$107)/MAX(CROQUIS!$C$134,1))+1)))-1,0))*CROQUIS!$C$134),CHOOSE(IF(INT(($A332-1)/5)&gt;MAX((MIN(80,MAX(1,INT(((CROQUIS!$C$97)-CROQUIS!$C$107)/MAX(CROQUIS!$C$134,1))+1)))-1,0),0,MOD($A332-1,5))+1,0,2,CROQUIS!$C$98-2,2,0)))*CROQUIS!$C$155)+IF(CROQUIS!$C$92="X",0,0)),-1000)</f>
        <v>-1000</v>
      </c>
      <c r="BK332">
        <f>IF(AND(CROQUIS!$C$88=1,CROQUIS!$C$134&gt;0),((CROQUIS!$C$157+(IF(CROQUIS!$C$92="X",CHOOSE(IF(INT(($A332-1)/5)&gt;MAX((MIN(80,MAX(1,INT(((CROQUIS!$C$97)-CROQUIS!$C$107)/MAX(CROQUIS!$C$134,1))+1)))-1,0),0,MOD($A332-1,5))+1,0,2,CROQUIS!$C$98-2,2,0),((CROQUIS!$C$107/2+(((CROQUIS!$C$97)-CROQUIS!$C$107)-(MIN(80,MAX(1,INT(((CROQUIS!$C$97)-CROQUIS!$C$107)/MAX(CROQUIS!$C$134,1))+1))-1)*CROQUIS!$C$134)/2)+MIN(INT(($A332-1)/5),MAX((MIN(80,MAX(1,INT(((CROQUIS!$C$97)-CROQUIS!$C$107)/MAX(CROQUIS!$C$134,1))+1)))-1,0))*CROQUIS!$C$134)))*CROQUIS!$C$155)+IF(CROQUIS!$C$92="X",0,0)),-1000)</f>
        <v>-1000</v>
      </c>
      <c r="BL332">
        <f>IF(AND(CROQUIS!$C$88=1,CROQUIS!$C$91=0,CROQUIS!$C$130&gt;0,OR(CROQUIS!$C$103=1,CROQUIS!$C$142=1)),((CROQUIS!$C$156+(IF(CROQUIS!$C$92="X",CHOOSE(IF(INT(($A332-1)/5)&gt;MAX((MIN(80,MAX(1,INT(((CROQUIS!$C$98)-CROQUIS!$C$107)/MAX(CROQUIS!$C$130,1))+1)))-1,0),0,MOD($A332-1,5))+1,0,IF(CROQUIS!$C$103=1,-12,2),CROQUIS!$C$107/2+CROQUIS!$C$140,IF(CROQUIS!$C$103=1,-12,2),0),((CROQUIS!$C$107/2+(((CROQUIS!$C$98)-CROQUIS!$C$107)-(MIN(80,MAX(1,INT(((CROQUIS!$C$98)-CROQUIS!$C$107)/MAX(CROQUIS!$C$130,1))+1))-1)*CROQUIS!$C$130)/2)+MIN(INT(($A332-1)/5),MAX((MIN(80,MAX(1,INT(((CROQUIS!$C$98)-CROQUIS!$C$107)/MAX(CROQUIS!$C$130,1))+1)))-1,0))*CROQUIS!$C$130)))*CROQUIS!$C$155)+IF(CROQUIS!$C$92="X",0,0)),-1000)</f>
        <v>-1000</v>
      </c>
      <c r="BM33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332-1)/5),MAX((MIN(80,MAX(1,INT(((CROQUIS!$C$98)-CROQUIS!$C$107)/MAX(CROQUIS!$C$130,1))+1)))-1,0))*CROQUIS!$C$130),CHOOSE(IF(INT(($A332-1)/5)&gt;MAX((MIN(80,MAX(1,INT(((CROQUIS!$C$98)-CROQUIS!$C$107)/MAX(CROQUIS!$C$130,1))+1)))-1,0),0,MOD($A332-1,5))+1,0,IF(CROQUIS!$C$103=1,-12,2),CROQUIS!$C$107/2+CROQUIS!$C$140,IF(CROQUIS!$C$103=1,-12,2),0)))*CROQUIS!$C$155)+IF(CROQUIS!$C$92="X",0,0)),-1000)</f>
        <v>-1000</v>
      </c>
      <c r="BN332">
        <f>IF(AND(CROQUIS!$C$88=1,CROQUIS!$C$91=0,CROQUIS!$C$130&gt;0,OR(CROQUIS!$C$104=1,CROQUIS!$C$142=1)),((CROQUIS!$C$156+(IF(CROQUIS!$C$92="X",CHOOSE(IF(INT(($A332-1)/5)&gt;MAX((MIN(80,MAX(1,INT(((CROQUIS!$C$98)-CROQUIS!$C$107)/MAX(CROQUIS!$C$130,1))+1)))-1,0),0,MOD($A332-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332-1)/5),MAX((MIN(80,MAX(1,INT(((CROQUIS!$C$98)-CROQUIS!$C$107)/MAX(CROQUIS!$C$130,1))+1)))-1,0))*CROQUIS!$C$130)))*CROQUIS!$C$155)+IF(CROQUIS!$C$92="X",0,0)),-1000)</f>
        <v>-1000</v>
      </c>
      <c r="BO33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332-1)/5),MAX((MIN(80,MAX(1,INT(((CROQUIS!$C$98)-CROQUIS!$C$107)/MAX(CROQUIS!$C$130,1))+1)))-1,0))*CROQUIS!$C$130),CHOOSE(IF(INT(($A332-1)/5)&gt;MAX((MIN(80,MAX(1,INT(((CROQUIS!$C$98)-CROQUIS!$C$107)/MAX(CROQUIS!$C$130,1))+1)))-1,0),0,MOD($A332-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3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332-1)/5),MAX((MIN(80,MAX(1,INT(((CROQUIS!$C$97)-CROQUIS!$C$107)/MAX(CROQUIS!$C$138,1))+1)))-1,0))*CROQUIS!$C$138),CHOOSE(IF(INT(($A332-1)/5)&gt;MAX((MIN(80,MAX(1,INT(((CROQUIS!$C$97)-CROQUIS!$C$107)/MAX(CROQUIS!$C$138,1))+1)))-1,0),0,MOD($A332-1,5))+1,0,IF(CROQUIS!$C$105=1,-12,2),CROQUIS!$C$107/2+CROQUIS!$C$141,IF(CROQUIS!$C$105=1,-12,2),0)))*CROQUIS!$C$155)+IF(CROQUIS!$C$92="X",0,0)),-1000)</f>
        <v>-1000</v>
      </c>
      <c r="BQ332">
        <f>IF(AND(CROQUIS!$C$88=1,CROQUIS!$C$91=0,CROQUIS!$C$138&gt;0,OR(CROQUIS!$C$105=1,CROQUIS!$C$143=1)),((CROQUIS!$C$157+(IF(CROQUIS!$C$92="X",CHOOSE(IF(INT(($A332-1)/5)&gt;MAX((MIN(80,MAX(1,INT(((CROQUIS!$C$97)-CROQUIS!$C$107)/MAX(CROQUIS!$C$138,1))+1)))-1,0),0,MOD($A332-1,5))+1,0,IF(CROQUIS!$C$105=1,-12,2),CROQUIS!$C$107/2+CROQUIS!$C$141,IF(CROQUIS!$C$105=1,-12,2),0),((CROQUIS!$C$107/2+(((CROQUIS!$C$97)-CROQUIS!$C$107)-(MIN(80,MAX(1,INT(((CROQUIS!$C$97)-CROQUIS!$C$107)/MAX(CROQUIS!$C$138,1))+1))-1)*CROQUIS!$C$138)/2)+MIN(INT(($A332-1)/5),MAX((MIN(80,MAX(1,INT(((CROQUIS!$C$97)-CROQUIS!$C$107)/MAX(CROQUIS!$C$138,1))+1)))-1,0))*CROQUIS!$C$138)))*CROQUIS!$C$155)+IF(CROQUIS!$C$92="X",0,0)),-1000)</f>
        <v>-1000</v>
      </c>
      <c r="BR33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332-1)/5),MAX((MIN(80,MAX(1,INT(((CROQUIS!$C$97)-CROQUIS!$C$107)/MAX(CROQUIS!$C$138,1))+1)))-1,0))*CROQUIS!$C$138),CHOOSE(IF(INT(($A332-1)/5)&gt;MAX((MIN(80,MAX(1,INT(((CROQUIS!$C$97)-CROQUIS!$C$107)/MAX(CROQUIS!$C$138,1))+1)))-1,0),0,MOD($A332-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32">
        <f>IF(AND(CROQUIS!$C$88=1,CROQUIS!$C$91=0,CROQUIS!$C$138&gt;0,OR(CROQUIS!$C$106=1,CROQUIS!$C$143=1)),((CROQUIS!$C$157+(IF(CROQUIS!$C$92="X",CHOOSE(IF(INT(($A332-1)/5)&gt;MAX((MIN(80,MAX(1,INT(((CROQUIS!$C$97)-CROQUIS!$C$107)/MAX(CROQUIS!$C$138,1))+1)))-1,0),0,MOD($A332-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332-1)/5),MAX((MIN(80,MAX(1,INT(((CROQUIS!$C$97)-CROQUIS!$C$107)/MAX(CROQUIS!$C$138,1))+1)))-1,0))*CROQUIS!$C$138)))*CROQUIS!$C$155)+IF(CROQUIS!$C$92="X",0,0)),-1000)</f>
        <v>-1000</v>
      </c>
      <c r="BT332">
        <f>IF(AND(CROQUIS!$C$88=1,CROQUIS!$C$91=1,CROQUIS!$C$130&gt;0),((CROQUIS!$C$156+(IF(CROQUIS!$C$92="X",CHOOSE(IF(INT(($A332-1)/5)&gt;MAX((MIN(80,MAX(1,INT(((CROQUIS!$C$98)-CROQUIS!$C$107)/MAX(CROQUIS!$C$130,1))+1)))-1,0),0,MOD($A332-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332-1)/5),MAX((MIN(80,MAX(1,INT(((CROQUIS!$C$98)-CROQUIS!$C$107)/MAX(CROQUIS!$C$130,1))+1)))-1,0))*CROQUIS!$C$130)))*CROQUIS!$C$155)+IF(CROQUIS!$C$92="X",0,0)),-1000)</f>
        <v>-1000</v>
      </c>
      <c r="BU332">
        <f>IF(AND(CROQUIS!$C$88=1,CROQUIS!$C$91=1,CROQUIS!$C$130&gt;0),((CROQUIS!$C$157+(IF(CROQUIS!$C$92="X",((CROQUIS!$C$107/2+(((CROQUIS!$C$98)-CROQUIS!$C$107)-(MIN(80,MAX(1,INT(((CROQUIS!$C$98)-CROQUIS!$C$107)/MAX(CROQUIS!$C$130,1))+1))-1)*CROQUIS!$C$130)/2)+MIN(INT(($A332-1)/5),MAX((MIN(80,MAX(1,INT(((CROQUIS!$C$98)-CROQUIS!$C$107)/MAX(CROQUIS!$C$130,1))+1)))-1,0))*CROQUIS!$C$130),CHOOSE(IF(INT(($A332-1)/5)&gt;MAX((MIN(80,MAX(1,INT(((CROQUIS!$C$98)-CROQUIS!$C$107)/MAX(CROQUIS!$C$130,1))+1)))-1,0),0,MOD($A332-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33">
      <c r="A333" t="n">
        <v>326</v>
      </c>
      <c r="BH333">
        <f>IF(AND(CROQUIS!$C$88=1,CROQUIS!$C$126&gt;0),((CROQUIS!$C$156+(IF(CROQUIS!$C$92="X",CHOOSE(IF(INT(($A333-1)/5)&gt;MAX((MIN(80,MAX(1,INT(((CROQUIS!$C$98)-CROQUIS!$C$107)/MAX(CROQUIS!$C$126,1))+1)))-1,0),0,MOD($A333-1,5))+1,0,2,CROQUIS!$C$97-2,2,0),((CROQUIS!$C$107/2+(((CROQUIS!$C$98)-CROQUIS!$C$107)-(MIN(80,MAX(1,INT(((CROQUIS!$C$98)-CROQUIS!$C$107)/MAX(CROQUIS!$C$126,1))+1))-1)*CROQUIS!$C$126)/2)+MIN(INT(($A333-1)/5),MAX((MIN(80,MAX(1,INT(((CROQUIS!$C$98)-CROQUIS!$C$107)/MAX(CROQUIS!$C$126,1))+1)))-1,0))*CROQUIS!$C$126)))*CROQUIS!$C$155)+IF(CROQUIS!$C$92="X",0,0)),-1000)</f>
        <v>-1000</v>
      </c>
      <c r="BI333">
        <f>IF(AND(CROQUIS!$C$88=1,CROQUIS!$C$126&gt;0),((CROQUIS!$C$157+(IF(CROQUIS!$C$92="X",((CROQUIS!$C$107/2+(((CROQUIS!$C$98)-CROQUIS!$C$107)-(MIN(80,MAX(1,INT(((CROQUIS!$C$98)-CROQUIS!$C$107)/MAX(CROQUIS!$C$126,1))+1))-1)*CROQUIS!$C$126)/2)+MIN(INT(($A333-1)/5),MAX((MIN(80,MAX(1,INT(((CROQUIS!$C$98)-CROQUIS!$C$107)/MAX(CROQUIS!$C$126,1))+1)))-1,0))*CROQUIS!$C$126),CHOOSE(IF(INT(($A333-1)/5)&gt;MAX((MIN(80,MAX(1,INT(((CROQUIS!$C$98)-CROQUIS!$C$107)/MAX(CROQUIS!$C$126,1))+1)))-1,0),0,MOD($A333-1,5))+1,0,2,CROQUIS!$C$97-2,2,0)))*CROQUIS!$C$155)+IF(CROQUIS!$C$92="X",0,0)),-1000)</f>
        <v>-1000</v>
      </c>
      <c r="BJ333">
        <f>IF(AND(CROQUIS!$C$88=1,CROQUIS!$C$134&gt;0),((CROQUIS!$C$156+(IF(CROQUIS!$C$92="X",((CROQUIS!$C$107/2+(((CROQUIS!$C$97)-CROQUIS!$C$107)-(MIN(80,MAX(1,INT(((CROQUIS!$C$97)-CROQUIS!$C$107)/MAX(CROQUIS!$C$134,1))+1))-1)*CROQUIS!$C$134)/2)+MIN(INT(($A333-1)/5),MAX((MIN(80,MAX(1,INT(((CROQUIS!$C$97)-CROQUIS!$C$107)/MAX(CROQUIS!$C$134,1))+1)))-1,0))*CROQUIS!$C$134),CHOOSE(IF(INT(($A333-1)/5)&gt;MAX((MIN(80,MAX(1,INT(((CROQUIS!$C$97)-CROQUIS!$C$107)/MAX(CROQUIS!$C$134,1))+1)))-1,0),0,MOD($A333-1,5))+1,0,2,CROQUIS!$C$98-2,2,0)))*CROQUIS!$C$155)+IF(CROQUIS!$C$92="X",0,0)),-1000)</f>
        <v>-1000</v>
      </c>
      <c r="BK333">
        <f>IF(AND(CROQUIS!$C$88=1,CROQUIS!$C$134&gt;0),((CROQUIS!$C$157+(IF(CROQUIS!$C$92="X",CHOOSE(IF(INT(($A333-1)/5)&gt;MAX((MIN(80,MAX(1,INT(((CROQUIS!$C$97)-CROQUIS!$C$107)/MAX(CROQUIS!$C$134,1))+1)))-1,0),0,MOD($A333-1,5))+1,0,2,CROQUIS!$C$98-2,2,0),((CROQUIS!$C$107/2+(((CROQUIS!$C$97)-CROQUIS!$C$107)-(MIN(80,MAX(1,INT(((CROQUIS!$C$97)-CROQUIS!$C$107)/MAX(CROQUIS!$C$134,1))+1))-1)*CROQUIS!$C$134)/2)+MIN(INT(($A333-1)/5),MAX((MIN(80,MAX(1,INT(((CROQUIS!$C$97)-CROQUIS!$C$107)/MAX(CROQUIS!$C$134,1))+1)))-1,0))*CROQUIS!$C$134)))*CROQUIS!$C$155)+IF(CROQUIS!$C$92="X",0,0)),-1000)</f>
        <v>-1000</v>
      </c>
      <c r="BL333">
        <f>IF(AND(CROQUIS!$C$88=1,CROQUIS!$C$91=0,CROQUIS!$C$130&gt;0,OR(CROQUIS!$C$103=1,CROQUIS!$C$142=1)),((CROQUIS!$C$156+(IF(CROQUIS!$C$92="X",CHOOSE(IF(INT(($A333-1)/5)&gt;MAX((MIN(80,MAX(1,INT(((CROQUIS!$C$98)-CROQUIS!$C$107)/MAX(CROQUIS!$C$130,1))+1)))-1,0),0,MOD($A333-1,5))+1,0,IF(CROQUIS!$C$103=1,-12,2),CROQUIS!$C$107/2+CROQUIS!$C$140,IF(CROQUIS!$C$103=1,-12,2),0),((CROQUIS!$C$107/2+(((CROQUIS!$C$98)-CROQUIS!$C$107)-(MIN(80,MAX(1,INT(((CROQUIS!$C$98)-CROQUIS!$C$107)/MAX(CROQUIS!$C$130,1))+1))-1)*CROQUIS!$C$130)/2)+MIN(INT(($A333-1)/5),MAX((MIN(80,MAX(1,INT(((CROQUIS!$C$98)-CROQUIS!$C$107)/MAX(CROQUIS!$C$130,1))+1)))-1,0))*CROQUIS!$C$130)))*CROQUIS!$C$155)+IF(CROQUIS!$C$92="X",0,0)),-1000)</f>
        <v>-1000</v>
      </c>
      <c r="BM33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333-1)/5),MAX((MIN(80,MAX(1,INT(((CROQUIS!$C$98)-CROQUIS!$C$107)/MAX(CROQUIS!$C$130,1))+1)))-1,0))*CROQUIS!$C$130),CHOOSE(IF(INT(($A333-1)/5)&gt;MAX((MIN(80,MAX(1,INT(((CROQUIS!$C$98)-CROQUIS!$C$107)/MAX(CROQUIS!$C$130,1))+1)))-1,0),0,MOD($A333-1,5))+1,0,IF(CROQUIS!$C$103=1,-12,2),CROQUIS!$C$107/2+CROQUIS!$C$140,IF(CROQUIS!$C$103=1,-12,2),0)))*CROQUIS!$C$155)+IF(CROQUIS!$C$92="X",0,0)),-1000)</f>
        <v>-1000</v>
      </c>
      <c r="BN333">
        <f>IF(AND(CROQUIS!$C$88=1,CROQUIS!$C$91=0,CROQUIS!$C$130&gt;0,OR(CROQUIS!$C$104=1,CROQUIS!$C$142=1)),((CROQUIS!$C$156+(IF(CROQUIS!$C$92="X",CHOOSE(IF(INT(($A333-1)/5)&gt;MAX((MIN(80,MAX(1,INT(((CROQUIS!$C$98)-CROQUIS!$C$107)/MAX(CROQUIS!$C$130,1))+1)))-1,0),0,MOD($A333-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333-1)/5),MAX((MIN(80,MAX(1,INT(((CROQUIS!$C$98)-CROQUIS!$C$107)/MAX(CROQUIS!$C$130,1))+1)))-1,0))*CROQUIS!$C$130)))*CROQUIS!$C$155)+IF(CROQUIS!$C$92="X",0,0)),-1000)</f>
        <v>-1000</v>
      </c>
      <c r="BO33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333-1)/5),MAX((MIN(80,MAX(1,INT(((CROQUIS!$C$98)-CROQUIS!$C$107)/MAX(CROQUIS!$C$130,1))+1)))-1,0))*CROQUIS!$C$130),CHOOSE(IF(INT(($A333-1)/5)&gt;MAX((MIN(80,MAX(1,INT(((CROQUIS!$C$98)-CROQUIS!$C$107)/MAX(CROQUIS!$C$130,1))+1)))-1,0),0,MOD($A333-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3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333-1)/5),MAX((MIN(80,MAX(1,INT(((CROQUIS!$C$97)-CROQUIS!$C$107)/MAX(CROQUIS!$C$138,1))+1)))-1,0))*CROQUIS!$C$138),CHOOSE(IF(INT(($A333-1)/5)&gt;MAX((MIN(80,MAX(1,INT(((CROQUIS!$C$97)-CROQUIS!$C$107)/MAX(CROQUIS!$C$138,1))+1)))-1,0),0,MOD($A333-1,5))+1,0,IF(CROQUIS!$C$105=1,-12,2),CROQUIS!$C$107/2+CROQUIS!$C$141,IF(CROQUIS!$C$105=1,-12,2),0)))*CROQUIS!$C$155)+IF(CROQUIS!$C$92="X",0,0)),-1000)</f>
        <v>-1000</v>
      </c>
      <c r="BQ333">
        <f>IF(AND(CROQUIS!$C$88=1,CROQUIS!$C$91=0,CROQUIS!$C$138&gt;0,OR(CROQUIS!$C$105=1,CROQUIS!$C$143=1)),((CROQUIS!$C$157+(IF(CROQUIS!$C$92="X",CHOOSE(IF(INT(($A333-1)/5)&gt;MAX((MIN(80,MAX(1,INT(((CROQUIS!$C$97)-CROQUIS!$C$107)/MAX(CROQUIS!$C$138,1))+1)))-1,0),0,MOD($A333-1,5))+1,0,IF(CROQUIS!$C$105=1,-12,2),CROQUIS!$C$107/2+CROQUIS!$C$141,IF(CROQUIS!$C$105=1,-12,2),0),((CROQUIS!$C$107/2+(((CROQUIS!$C$97)-CROQUIS!$C$107)-(MIN(80,MAX(1,INT(((CROQUIS!$C$97)-CROQUIS!$C$107)/MAX(CROQUIS!$C$138,1))+1))-1)*CROQUIS!$C$138)/2)+MIN(INT(($A333-1)/5),MAX((MIN(80,MAX(1,INT(((CROQUIS!$C$97)-CROQUIS!$C$107)/MAX(CROQUIS!$C$138,1))+1)))-1,0))*CROQUIS!$C$138)))*CROQUIS!$C$155)+IF(CROQUIS!$C$92="X",0,0)),-1000)</f>
        <v>-1000</v>
      </c>
      <c r="BR33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333-1)/5),MAX((MIN(80,MAX(1,INT(((CROQUIS!$C$97)-CROQUIS!$C$107)/MAX(CROQUIS!$C$138,1))+1)))-1,0))*CROQUIS!$C$138),CHOOSE(IF(INT(($A333-1)/5)&gt;MAX((MIN(80,MAX(1,INT(((CROQUIS!$C$97)-CROQUIS!$C$107)/MAX(CROQUIS!$C$138,1))+1)))-1,0),0,MOD($A333-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33">
        <f>IF(AND(CROQUIS!$C$88=1,CROQUIS!$C$91=0,CROQUIS!$C$138&gt;0,OR(CROQUIS!$C$106=1,CROQUIS!$C$143=1)),((CROQUIS!$C$157+(IF(CROQUIS!$C$92="X",CHOOSE(IF(INT(($A333-1)/5)&gt;MAX((MIN(80,MAX(1,INT(((CROQUIS!$C$97)-CROQUIS!$C$107)/MAX(CROQUIS!$C$138,1))+1)))-1,0),0,MOD($A333-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333-1)/5),MAX((MIN(80,MAX(1,INT(((CROQUIS!$C$97)-CROQUIS!$C$107)/MAX(CROQUIS!$C$138,1))+1)))-1,0))*CROQUIS!$C$138)))*CROQUIS!$C$155)+IF(CROQUIS!$C$92="X",0,0)),-1000)</f>
        <v>-1000</v>
      </c>
      <c r="BT333">
        <f>IF(AND(CROQUIS!$C$88=1,CROQUIS!$C$91=1,CROQUIS!$C$130&gt;0),((CROQUIS!$C$156+(IF(CROQUIS!$C$92="X",CHOOSE(IF(INT(($A333-1)/5)&gt;MAX((MIN(80,MAX(1,INT(((CROQUIS!$C$98)-CROQUIS!$C$107)/MAX(CROQUIS!$C$130,1))+1)))-1,0),0,MOD($A333-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333-1)/5),MAX((MIN(80,MAX(1,INT(((CROQUIS!$C$98)-CROQUIS!$C$107)/MAX(CROQUIS!$C$130,1))+1)))-1,0))*CROQUIS!$C$130)))*CROQUIS!$C$155)+IF(CROQUIS!$C$92="X",0,0)),-1000)</f>
        <v>-1000</v>
      </c>
      <c r="BU333">
        <f>IF(AND(CROQUIS!$C$88=1,CROQUIS!$C$91=1,CROQUIS!$C$130&gt;0),((CROQUIS!$C$157+(IF(CROQUIS!$C$92="X",((CROQUIS!$C$107/2+(((CROQUIS!$C$98)-CROQUIS!$C$107)-(MIN(80,MAX(1,INT(((CROQUIS!$C$98)-CROQUIS!$C$107)/MAX(CROQUIS!$C$130,1))+1))-1)*CROQUIS!$C$130)/2)+MIN(INT(($A333-1)/5),MAX((MIN(80,MAX(1,INT(((CROQUIS!$C$98)-CROQUIS!$C$107)/MAX(CROQUIS!$C$130,1))+1)))-1,0))*CROQUIS!$C$130),CHOOSE(IF(INT(($A333-1)/5)&gt;MAX((MIN(80,MAX(1,INT(((CROQUIS!$C$98)-CROQUIS!$C$107)/MAX(CROQUIS!$C$130,1))+1)))-1,0),0,MOD($A333-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34">
      <c r="A334" t="n">
        <v>327</v>
      </c>
      <c r="BH334">
        <f>IF(AND(CROQUIS!$C$88=1,CROQUIS!$C$126&gt;0),((CROQUIS!$C$156+(IF(CROQUIS!$C$92="X",CHOOSE(IF(INT(($A334-1)/5)&gt;MAX((MIN(80,MAX(1,INT(((CROQUIS!$C$98)-CROQUIS!$C$107)/MAX(CROQUIS!$C$126,1))+1)))-1,0),0,MOD($A334-1,5))+1,0,2,CROQUIS!$C$97-2,2,0),((CROQUIS!$C$107/2+(((CROQUIS!$C$98)-CROQUIS!$C$107)-(MIN(80,MAX(1,INT(((CROQUIS!$C$98)-CROQUIS!$C$107)/MAX(CROQUIS!$C$126,1))+1))-1)*CROQUIS!$C$126)/2)+MIN(INT(($A334-1)/5),MAX((MIN(80,MAX(1,INT(((CROQUIS!$C$98)-CROQUIS!$C$107)/MAX(CROQUIS!$C$126,1))+1)))-1,0))*CROQUIS!$C$126)))*CROQUIS!$C$155)+IF(CROQUIS!$C$92="X",0,0)),-1000)</f>
        <v>-1000</v>
      </c>
      <c r="BI334">
        <f>IF(AND(CROQUIS!$C$88=1,CROQUIS!$C$126&gt;0),((CROQUIS!$C$157+(IF(CROQUIS!$C$92="X",((CROQUIS!$C$107/2+(((CROQUIS!$C$98)-CROQUIS!$C$107)-(MIN(80,MAX(1,INT(((CROQUIS!$C$98)-CROQUIS!$C$107)/MAX(CROQUIS!$C$126,1))+1))-1)*CROQUIS!$C$126)/2)+MIN(INT(($A334-1)/5),MAX((MIN(80,MAX(1,INT(((CROQUIS!$C$98)-CROQUIS!$C$107)/MAX(CROQUIS!$C$126,1))+1)))-1,0))*CROQUIS!$C$126),CHOOSE(IF(INT(($A334-1)/5)&gt;MAX((MIN(80,MAX(1,INT(((CROQUIS!$C$98)-CROQUIS!$C$107)/MAX(CROQUIS!$C$126,1))+1)))-1,0),0,MOD($A334-1,5))+1,0,2,CROQUIS!$C$97-2,2,0)))*CROQUIS!$C$155)+IF(CROQUIS!$C$92="X",0,0)),-1000)</f>
        <v>-1000</v>
      </c>
      <c r="BJ334">
        <f>IF(AND(CROQUIS!$C$88=1,CROQUIS!$C$134&gt;0),((CROQUIS!$C$156+(IF(CROQUIS!$C$92="X",((CROQUIS!$C$107/2+(((CROQUIS!$C$97)-CROQUIS!$C$107)-(MIN(80,MAX(1,INT(((CROQUIS!$C$97)-CROQUIS!$C$107)/MAX(CROQUIS!$C$134,1))+1))-1)*CROQUIS!$C$134)/2)+MIN(INT(($A334-1)/5),MAX((MIN(80,MAX(1,INT(((CROQUIS!$C$97)-CROQUIS!$C$107)/MAX(CROQUIS!$C$134,1))+1)))-1,0))*CROQUIS!$C$134),CHOOSE(IF(INT(($A334-1)/5)&gt;MAX((MIN(80,MAX(1,INT(((CROQUIS!$C$97)-CROQUIS!$C$107)/MAX(CROQUIS!$C$134,1))+1)))-1,0),0,MOD($A334-1,5))+1,0,2,CROQUIS!$C$98-2,2,0)))*CROQUIS!$C$155)+IF(CROQUIS!$C$92="X",0,0)),-1000)</f>
        <v>-1000</v>
      </c>
      <c r="BK334">
        <f>IF(AND(CROQUIS!$C$88=1,CROQUIS!$C$134&gt;0),((CROQUIS!$C$157+(IF(CROQUIS!$C$92="X",CHOOSE(IF(INT(($A334-1)/5)&gt;MAX((MIN(80,MAX(1,INT(((CROQUIS!$C$97)-CROQUIS!$C$107)/MAX(CROQUIS!$C$134,1))+1)))-1,0),0,MOD($A334-1,5))+1,0,2,CROQUIS!$C$98-2,2,0),((CROQUIS!$C$107/2+(((CROQUIS!$C$97)-CROQUIS!$C$107)-(MIN(80,MAX(1,INT(((CROQUIS!$C$97)-CROQUIS!$C$107)/MAX(CROQUIS!$C$134,1))+1))-1)*CROQUIS!$C$134)/2)+MIN(INT(($A334-1)/5),MAX((MIN(80,MAX(1,INT(((CROQUIS!$C$97)-CROQUIS!$C$107)/MAX(CROQUIS!$C$134,1))+1)))-1,0))*CROQUIS!$C$134)))*CROQUIS!$C$155)+IF(CROQUIS!$C$92="X",0,0)),-1000)</f>
        <v>-1000</v>
      </c>
      <c r="BL334">
        <f>IF(AND(CROQUIS!$C$88=1,CROQUIS!$C$91=0,CROQUIS!$C$130&gt;0,OR(CROQUIS!$C$103=1,CROQUIS!$C$142=1)),((CROQUIS!$C$156+(IF(CROQUIS!$C$92="X",CHOOSE(IF(INT(($A334-1)/5)&gt;MAX((MIN(80,MAX(1,INT(((CROQUIS!$C$98)-CROQUIS!$C$107)/MAX(CROQUIS!$C$130,1))+1)))-1,0),0,MOD($A334-1,5))+1,0,IF(CROQUIS!$C$103=1,-12,2),CROQUIS!$C$107/2+CROQUIS!$C$140,IF(CROQUIS!$C$103=1,-12,2),0),((CROQUIS!$C$107/2+(((CROQUIS!$C$98)-CROQUIS!$C$107)-(MIN(80,MAX(1,INT(((CROQUIS!$C$98)-CROQUIS!$C$107)/MAX(CROQUIS!$C$130,1))+1))-1)*CROQUIS!$C$130)/2)+MIN(INT(($A334-1)/5),MAX((MIN(80,MAX(1,INT(((CROQUIS!$C$98)-CROQUIS!$C$107)/MAX(CROQUIS!$C$130,1))+1)))-1,0))*CROQUIS!$C$130)))*CROQUIS!$C$155)+IF(CROQUIS!$C$92="X",0,0)),-1000)</f>
        <v>-1000</v>
      </c>
      <c r="BM33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334-1)/5),MAX((MIN(80,MAX(1,INT(((CROQUIS!$C$98)-CROQUIS!$C$107)/MAX(CROQUIS!$C$130,1))+1)))-1,0))*CROQUIS!$C$130),CHOOSE(IF(INT(($A334-1)/5)&gt;MAX((MIN(80,MAX(1,INT(((CROQUIS!$C$98)-CROQUIS!$C$107)/MAX(CROQUIS!$C$130,1))+1)))-1,0),0,MOD($A334-1,5))+1,0,IF(CROQUIS!$C$103=1,-12,2),CROQUIS!$C$107/2+CROQUIS!$C$140,IF(CROQUIS!$C$103=1,-12,2),0)))*CROQUIS!$C$155)+IF(CROQUIS!$C$92="X",0,0)),-1000)</f>
        <v>-1000</v>
      </c>
      <c r="BN334">
        <f>IF(AND(CROQUIS!$C$88=1,CROQUIS!$C$91=0,CROQUIS!$C$130&gt;0,OR(CROQUIS!$C$104=1,CROQUIS!$C$142=1)),((CROQUIS!$C$156+(IF(CROQUIS!$C$92="X",CHOOSE(IF(INT(($A334-1)/5)&gt;MAX((MIN(80,MAX(1,INT(((CROQUIS!$C$98)-CROQUIS!$C$107)/MAX(CROQUIS!$C$130,1))+1)))-1,0),0,MOD($A334-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334-1)/5),MAX((MIN(80,MAX(1,INT(((CROQUIS!$C$98)-CROQUIS!$C$107)/MAX(CROQUIS!$C$130,1))+1)))-1,0))*CROQUIS!$C$130)))*CROQUIS!$C$155)+IF(CROQUIS!$C$92="X",0,0)),-1000)</f>
        <v>-1000</v>
      </c>
      <c r="BO33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334-1)/5),MAX((MIN(80,MAX(1,INT(((CROQUIS!$C$98)-CROQUIS!$C$107)/MAX(CROQUIS!$C$130,1))+1)))-1,0))*CROQUIS!$C$130),CHOOSE(IF(INT(($A334-1)/5)&gt;MAX((MIN(80,MAX(1,INT(((CROQUIS!$C$98)-CROQUIS!$C$107)/MAX(CROQUIS!$C$130,1))+1)))-1,0),0,MOD($A334-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3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334-1)/5),MAX((MIN(80,MAX(1,INT(((CROQUIS!$C$97)-CROQUIS!$C$107)/MAX(CROQUIS!$C$138,1))+1)))-1,0))*CROQUIS!$C$138),CHOOSE(IF(INT(($A334-1)/5)&gt;MAX((MIN(80,MAX(1,INT(((CROQUIS!$C$97)-CROQUIS!$C$107)/MAX(CROQUIS!$C$138,1))+1)))-1,0),0,MOD($A334-1,5))+1,0,IF(CROQUIS!$C$105=1,-12,2),CROQUIS!$C$107/2+CROQUIS!$C$141,IF(CROQUIS!$C$105=1,-12,2),0)))*CROQUIS!$C$155)+IF(CROQUIS!$C$92="X",0,0)),-1000)</f>
        <v>-1000</v>
      </c>
      <c r="BQ334">
        <f>IF(AND(CROQUIS!$C$88=1,CROQUIS!$C$91=0,CROQUIS!$C$138&gt;0,OR(CROQUIS!$C$105=1,CROQUIS!$C$143=1)),((CROQUIS!$C$157+(IF(CROQUIS!$C$92="X",CHOOSE(IF(INT(($A334-1)/5)&gt;MAX((MIN(80,MAX(1,INT(((CROQUIS!$C$97)-CROQUIS!$C$107)/MAX(CROQUIS!$C$138,1))+1)))-1,0),0,MOD($A334-1,5))+1,0,IF(CROQUIS!$C$105=1,-12,2),CROQUIS!$C$107/2+CROQUIS!$C$141,IF(CROQUIS!$C$105=1,-12,2),0),((CROQUIS!$C$107/2+(((CROQUIS!$C$97)-CROQUIS!$C$107)-(MIN(80,MAX(1,INT(((CROQUIS!$C$97)-CROQUIS!$C$107)/MAX(CROQUIS!$C$138,1))+1))-1)*CROQUIS!$C$138)/2)+MIN(INT(($A334-1)/5),MAX((MIN(80,MAX(1,INT(((CROQUIS!$C$97)-CROQUIS!$C$107)/MAX(CROQUIS!$C$138,1))+1)))-1,0))*CROQUIS!$C$138)))*CROQUIS!$C$155)+IF(CROQUIS!$C$92="X",0,0)),-1000)</f>
        <v>-1000</v>
      </c>
      <c r="BR33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334-1)/5),MAX((MIN(80,MAX(1,INT(((CROQUIS!$C$97)-CROQUIS!$C$107)/MAX(CROQUIS!$C$138,1))+1)))-1,0))*CROQUIS!$C$138),CHOOSE(IF(INT(($A334-1)/5)&gt;MAX((MIN(80,MAX(1,INT(((CROQUIS!$C$97)-CROQUIS!$C$107)/MAX(CROQUIS!$C$138,1))+1)))-1,0),0,MOD($A334-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34">
        <f>IF(AND(CROQUIS!$C$88=1,CROQUIS!$C$91=0,CROQUIS!$C$138&gt;0,OR(CROQUIS!$C$106=1,CROQUIS!$C$143=1)),((CROQUIS!$C$157+(IF(CROQUIS!$C$92="X",CHOOSE(IF(INT(($A334-1)/5)&gt;MAX((MIN(80,MAX(1,INT(((CROQUIS!$C$97)-CROQUIS!$C$107)/MAX(CROQUIS!$C$138,1))+1)))-1,0),0,MOD($A334-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334-1)/5),MAX((MIN(80,MAX(1,INT(((CROQUIS!$C$97)-CROQUIS!$C$107)/MAX(CROQUIS!$C$138,1))+1)))-1,0))*CROQUIS!$C$138)))*CROQUIS!$C$155)+IF(CROQUIS!$C$92="X",0,0)),-1000)</f>
        <v>-1000</v>
      </c>
      <c r="BT334">
        <f>IF(AND(CROQUIS!$C$88=1,CROQUIS!$C$91=1,CROQUIS!$C$130&gt;0),((CROQUIS!$C$156+(IF(CROQUIS!$C$92="X",CHOOSE(IF(INT(($A334-1)/5)&gt;MAX((MIN(80,MAX(1,INT(((CROQUIS!$C$98)-CROQUIS!$C$107)/MAX(CROQUIS!$C$130,1))+1)))-1,0),0,MOD($A334-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334-1)/5),MAX((MIN(80,MAX(1,INT(((CROQUIS!$C$98)-CROQUIS!$C$107)/MAX(CROQUIS!$C$130,1))+1)))-1,0))*CROQUIS!$C$130)))*CROQUIS!$C$155)+IF(CROQUIS!$C$92="X",0,0)),-1000)</f>
        <v>-1000</v>
      </c>
      <c r="BU334">
        <f>IF(AND(CROQUIS!$C$88=1,CROQUIS!$C$91=1,CROQUIS!$C$130&gt;0),((CROQUIS!$C$157+(IF(CROQUIS!$C$92="X",((CROQUIS!$C$107/2+(((CROQUIS!$C$98)-CROQUIS!$C$107)-(MIN(80,MAX(1,INT(((CROQUIS!$C$98)-CROQUIS!$C$107)/MAX(CROQUIS!$C$130,1))+1))-1)*CROQUIS!$C$130)/2)+MIN(INT(($A334-1)/5),MAX((MIN(80,MAX(1,INT(((CROQUIS!$C$98)-CROQUIS!$C$107)/MAX(CROQUIS!$C$130,1))+1)))-1,0))*CROQUIS!$C$130),CHOOSE(IF(INT(($A334-1)/5)&gt;MAX((MIN(80,MAX(1,INT(((CROQUIS!$C$98)-CROQUIS!$C$107)/MAX(CROQUIS!$C$130,1))+1)))-1,0),0,MOD($A334-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35">
      <c r="A335" t="n">
        <v>328</v>
      </c>
      <c r="BH335">
        <f>IF(AND(CROQUIS!$C$88=1,CROQUIS!$C$126&gt;0),((CROQUIS!$C$156+(IF(CROQUIS!$C$92="X",CHOOSE(IF(INT(($A335-1)/5)&gt;MAX((MIN(80,MAX(1,INT(((CROQUIS!$C$98)-CROQUIS!$C$107)/MAX(CROQUIS!$C$126,1))+1)))-1,0),0,MOD($A335-1,5))+1,0,2,CROQUIS!$C$97-2,2,0),((CROQUIS!$C$107/2+(((CROQUIS!$C$98)-CROQUIS!$C$107)-(MIN(80,MAX(1,INT(((CROQUIS!$C$98)-CROQUIS!$C$107)/MAX(CROQUIS!$C$126,1))+1))-1)*CROQUIS!$C$126)/2)+MIN(INT(($A335-1)/5),MAX((MIN(80,MAX(1,INT(((CROQUIS!$C$98)-CROQUIS!$C$107)/MAX(CROQUIS!$C$126,1))+1)))-1,0))*CROQUIS!$C$126)))*CROQUIS!$C$155)+IF(CROQUIS!$C$92="X",0,0)),-1000)</f>
        <v>-1000</v>
      </c>
      <c r="BI335">
        <f>IF(AND(CROQUIS!$C$88=1,CROQUIS!$C$126&gt;0),((CROQUIS!$C$157+(IF(CROQUIS!$C$92="X",((CROQUIS!$C$107/2+(((CROQUIS!$C$98)-CROQUIS!$C$107)-(MIN(80,MAX(1,INT(((CROQUIS!$C$98)-CROQUIS!$C$107)/MAX(CROQUIS!$C$126,1))+1))-1)*CROQUIS!$C$126)/2)+MIN(INT(($A335-1)/5),MAX((MIN(80,MAX(1,INT(((CROQUIS!$C$98)-CROQUIS!$C$107)/MAX(CROQUIS!$C$126,1))+1)))-1,0))*CROQUIS!$C$126),CHOOSE(IF(INT(($A335-1)/5)&gt;MAX((MIN(80,MAX(1,INT(((CROQUIS!$C$98)-CROQUIS!$C$107)/MAX(CROQUIS!$C$126,1))+1)))-1,0),0,MOD($A335-1,5))+1,0,2,CROQUIS!$C$97-2,2,0)))*CROQUIS!$C$155)+IF(CROQUIS!$C$92="X",0,0)),-1000)</f>
        <v>-1000</v>
      </c>
      <c r="BJ335">
        <f>IF(AND(CROQUIS!$C$88=1,CROQUIS!$C$134&gt;0),((CROQUIS!$C$156+(IF(CROQUIS!$C$92="X",((CROQUIS!$C$107/2+(((CROQUIS!$C$97)-CROQUIS!$C$107)-(MIN(80,MAX(1,INT(((CROQUIS!$C$97)-CROQUIS!$C$107)/MAX(CROQUIS!$C$134,1))+1))-1)*CROQUIS!$C$134)/2)+MIN(INT(($A335-1)/5),MAX((MIN(80,MAX(1,INT(((CROQUIS!$C$97)-CROQUIS!$C$107)/MAX(CROQUIS!$C$134,1))+1)))-1,0))*CROQUIS!$C$134),CHOOSE(IF(INT(($A335-1)/5)&gt;MAX((MIN(80,MAX(1,INT(((CROQUIS!$C$97)-CROQUIS!$C$107)/MAX(CROQUIS!$C$134,1))+1)))-1,0),0,MOD($A335-1,5))+1,0,2,CROQUIS!$C$98-2,2,0)))*CROQUIS!$C$155)+IF(CROQUIS!$C$92="X",0,0)),-1000)</f>
        <v>-1000</v>
      </c>
      <c r="BK335">
        <f>IF(AND(CROQUIS!$C$88=1,CROQUIS!$C$134&gt;0),((CROQUIS!$C$157+(IF(CROQUIS!$C$92="X",CHOOSE(IF(INT(($A335-1)/5)&gt;MAX((MIN(80,MAX(1,INT(((CROQUIS!$C$97)-CROQUIS!$C$107)/MAX(CROQUIS!$C$134,1))+1)))-1,0),0,MOD($A335-1,5))+1,0,2,CROQUIS!$C$98-2,2,0),((CROQUIS!$C$107/2+(((CROQUIS!$C$97)-CROQUIS!$C$107)-(MIN(80,MAX(1,INT(((CROQUIS!$C$97)-CROQUIS!$C$107)/MAX(CROQUIS!$C$134,1))+1))-1)*CROQUIS!$C$134)/2)+MIN(INT(($A335-1)/5),MAX((MIN(80,MAX(1,INT(((CROQUIS!$C$97)-CROQUIS!$C$107)/MAX(CROQUIS!$C$134,1))+1)))-1,0))*CROQUIS!$C$134)))*CROQUIS!$C$155)+IF(CROQUIS!$C$92="X",0,0)),-1000)</f>
        <v>-1000</v>
      </c>
      <c r="BL335">
        <f>IF(AND(CROQUIS!$C$88=1,CROQUIS!$C$91=0,CROQUIS!$C$130&gt;0,OR(CROQUIS!$C$103=1,CROQUIS!$C$142=1)),((CROQUIS!$C$156+(IF(CROQUIS!$C$92="X",CHOOSE(IF(INT(($A335-1)/5)&gt;MAX((MIN(80,MAX(1,INT(((CROQUIS!$C$98)-CROQUIS!$C$107)/MAX(CROQUIS!$C$130,1))+1)))-1,0),0,MOD($A335-1,5))+1,0,IF(CROQUIS!$C$103=1,-12,2),CROQUIS!$C$107/2+CROQUIS!$C$140,IF(CROQUIS!$C$103=1,-12,2),0),((CROQUIS!$C$107/2+(((CROQUIS!$C$98)-CROQUIS!$C$107)-(MIN(80,MAX(1,INT(((CROQUIS!$C$98)-CROQUIS!$C$107)/MAX(CROQUIS!$C$130,1))+1))-1)*CROQUIS!$C$130)/2)+MIN(INT(($A335-1)/5),MAX((MIN(80,MAX(1,INT(((CROQUIS!$C$98)-CROQUIS!$C$107)/MAX(CROQUIS!$C$130,1))+1)))-1,0))*CROQUIS!$C$130)))*CROQUIS!$C$155)+IF(CROQUIS!$C$92="X",0,0)),-1000)</f>
        <v>-1000</v>
      </c>
      <c r="BM33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335-1)/5),MAX((MIN(80,MAX(1,INT(((CROQUIS!$C$98)-CROQUIS!$C$107)/MAX(CROQUIS!$C$130,1))+1)))-1,0))*CROQUIS!$C$130),CHOOSE(IF(INT(($A335-1)/5)&gt;MAX((MIN(80,MAX(1,INT(((CROQUIS!$C$98)-CROQUIS!$C$107)/MAX(CROQUIS!$C$130,1))+1)))-1,0),0,MOD($A335-1,5))+1,0,IF(CROQUIS!$C$103=1,-12,2),CROQUIS!$C$107/2+CROQUIS!$C$140,IF(CROQUIS!$C$103=1,-12,2),0)))*CROQUIS!$C$155)+IF(CROQUIS!$C$92="X",0,0)),-1000)</f>
        <v>-1000</v>
      </c>
      <c r="BN335">
        <f>IF(AND(CROQUIS!$C$88=1,CROQUIS!$C$91=0,CROQUIS!$C$130&gt;0,OR(CROQUIS!$C$104=1,CROQUIS!$C$142=1)),((CROQUIS!$C$156+(IF(CROQUIS!$C$92="X",CHOOSE(IF(INT(($A335-1)/5)&gt;MAX((MIN(80,MAX(1,INT(((CROQUIS!$C$98)-CROQUIS!$C$107)/MAX(CROQUIS!$C$130,1))+1)))-1,0),0,MOD($A335-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335-1)/5),MAX((MIN(80,MAX(1,INT(((CROQUIS!$C$98)-CROQUIS!$C$107)/MAX(CROQUIS!$C$130,1))+1)))-1,0))*CROQUIS!$C$130)))*CROQUIS!$C$155)+IF(CROQUIS!$C$92="X",0,0)),-1000)</f>
        <v>-1000</v>
      </c>
      <c r="BO33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335-1)/5),MAX((MIN(80,MAX(1,INT(((CROQUIS!$C$98)-CROQUIS!$C$107)/MAX(CROQUIS!$C$130,1))+1)))-1,0))*CROQUIS!$C$130),CHOOSE(IF(INT(($A335-1)/5)&gt;MAX((MIN(80,MAX(1,INT(((CROQUIS!$C$98)-CROQUIS!$C$107)/MAX(CROQUIS!$C$130,1))+1)))-1,0),0,MOD($A335-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3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335-1)/5),MAX((MIN(80,MAX(1,INT(((CROQUIS!$C$97)-CROQUIS!$C$107)/MAX(CROQUIS!$C$138,1))+1)))-1,0))*CROQUIS!$C$138),CHOOSE(IF(INT(($A335-1)/5)&gt;MAX((MIN(80,MAX(1,INT(((CROQUIS!$C$97)-CROQUIS!$C$107)/MAX(CROQUIS!$C$138,1))+1)))-1,0),0,MOD($A335-1,5))+1,0,IF(CROQUIS!$C$105=1,-12,2),CROQUIS!$C$107/2+CROQUIS!$C$141,IF(CROQUIS!$C$105=1,-12,2),0)))*CROQUIS!$C$155)+IF(CROQUIS!$C$92="X",0,0)),-1000)</f>
        <v>-1000</v>
      </c>
      <c r="BQ335">
        <f>IF(AND(CROQUIS!$C$88=1,CROQUIS!$C$91=0,CROQUIS!$C$138&gt;0,OR(CROQUIS!$C$105=1,CROQUIS!$C$143=1)),((CROQUIS!$C$157+(IF(CROQUIS!$C$92="X",CHOOSE(IF(INT(($A335-1)/5)&gt;MAX((MIN(80,MAX(1,INT(((CROQUIS!$C$97)-CROQUIS!$C$107)/MAX(CROQUIS!$C$138,1))+1)))-1,0),0,MOD($A335-1,5))+1,0,IF(CROQUIS!$C$105=1,-12,2),CROQUIS!$C$107/2+CROQUIS!$C$141,IF(CROQUIS!$C$105=1,-12,2),0),((CROQUIS!$C$107/2+(((CROQUIS!$C$97)-CROQUIS!$C$107)-(MIN(80,MAX(1,INT(((CROQUIS!$C$97)-CROQUIS!$C$107)/MAX(CROQUIS!$C$138,1))+1))-1)*CROQUIS!$C$138)/2)+MIN(INT(($A335-1)/5),MAX((MIN(80,MAX(1,INT(((CROQUIS!$C$97)-CROQUIS!$C$107)/MAX(CROQUIS!$C$138,1))+1)))-1,0))*CROQUIS!$C$138)))*CROQUIS!$C$155)+IF(CROQUIS!$C$92="X",0,0)),-1000)</f>
        <v>-1000</v>
      </c>
      <c r="BR33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335-1)/5),MAX((MIN(80,MAX(1,INT(((CROQUIS!$C$97)-CROQUIS!$C$107)/MAX(CROQUIS!$C$138,1))+1)))-1,0))*CROQUIS!$C$138),CHOOSE(IF(INT(($A335-1)/5)&gt;MAX((MIN(80,MAX(1,INT(((CROQUIS!$C$97)-CROQUIS!$C$107)/MAX(CROQUIS!$C$138,1))+1)))-1,0),0,MOD($A335-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35">
        <f>IF(AND(CROQUIS!$C$88=1,CROQUIS!$C$91=0,CROQUIS!$C$138&gt;0,OR(CROQUIS!$C$106=1,CROQUIS!$C$143=1)),((CROQUIS!$C$157+(IF(CROQUIS!$C$92="X",CHOOSE(IF(INT(($A335-1)/5)&gt;MAX((MIN(80,MAX(1,INT(((CROQUIS!$C$97)-CROQUIS!$C$107)/MAX(CROQUIS!$C$138,1))+1)))-1,0),0,MOD($A335-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335-1)/5),MAX((MIN(80,MAX(1,INT(((CROQUIS!$C$97)-CROQUIS!$C$107)/MAX(CROQUIS!$C$138,1))+1)))-1,0))*CROQUIS!$C$138)))*CROQUIS!$C$155)+IF(CROQUIS!$C$92="X",0,0)),-1000)</f>
        <v>-1000</v>
      </c>
      <c r="BT335">
        <f>IF(AND(CROQUIS!$C$88=1,CROQUIS!$C$91=1,CROQUIS!$C$130&gt;0),((CROQUIS!$C$156+(IF(CROQUIS!$C$92="X",CHOOSE(IF(INT(($A335-1)/5)&gt;MAX((MIN(80,MAX(1,INT(((CROQUIS!$C$98)-CROQUIS!$C$107)/MAX(CROQUIS!$C$130,1))+1)))-1,0),0,MOD($A335-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335-1)/5),MAX((MIN(80,MAX(1,INT(((CROQUIS!$C$98)-CROQUIS!$C$107)/MAX(CROQUIS!$C$130,1))+1)))-1,0))*CROQUIS!$C$130)))*CROQUIS!$C$155)+IF(CROQUIS!$C$92="X",0,0)),-1000)</f>
        <v>-1000</v>
      </c>
      <c r="BU335">
        <f>IF(AND(CROQUIS!$C$88=1,CROQUIS!$C$91=1,CROQUIS!$C$130&gt;0),((CROQUIS!$C$157+(IF(CROQUIS!$C$92="X",((CROQUIS!$C$107/2+(((CROQUIS!$C$98)-CROQUIS!$C$107)-(MIN(80,MAX(1,INT(((CROQUIS!$C$98)-CROQUIS!$C$107)/MAX(CROQUIS!$C$130,1))+1))-1)*CROQUIS!$C$130)/2)+MIN(INT(($A335-1)/5),MAX((MIN(80,MAX(1,INT(((CROQUIS!$C$98)-CROQUIS!$C$107)/MAX(CROQUIS!$C$130,1))+1)))-1,0))*CROQUIS!$C$130),CHOOSE(IF(INT(($A335-1)/5)&gt;MAX((MIN(80,MAX(1,INT(((CROQUIS!$C$98)-CROQUIS!$C$107)/MAX(CROQUIS!$C$130,1))+1)))-1,0),0,MOD($A335-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36">
      <c r="A336" t="n">
        <v>329</v>
      </c>
      <c r="BH336">
        <f>IF(AND(CROQUIS!$C$88=1,CROQUIS!$C$126&gt;0),((CROQUIS!$C$156+(IF(CROQUIS!$C$92="X",CHOOSE(IF(INT(($A336-1)/5)&gt;MAX((MIN(80,MAX(1,INT(((CROQUIS!$C$98)-CROQUIS!$C$107)/MAX(CROQUIS!$C$126,1))+1)))-1,0),0,MOD($A336-1,5))+1,0,2,CROQUIS!$C$97-2,2,0),((CROQUIS!$C$107/2+(((CROQUIS!$C$98)-CROQUIS!$C$107)-(MIN(80,MAX(1,INT(((CROQUIS!$C$98)-CROQUIS!$C$107)/MAX(CROQUIS!$C$126,1))+1))-1)*CROQUIS!$C$126)/2)+MIN(INT(($A336-1)/5),MAX((MIN(80,MAX(1,INT(((CROQUIS!$C$98)-CROQUIS!$C$107)/MAX(CROQUIS!$C$126,1))+1)))-1,0))*CROQUIS!$C$126)))*CROQUIS!$C$155)+IF(CROQUIS!$C$92="X",0,0)),-1000)</f>
        <v>-1000</v>
      </c>
      <c r="BI336">
        <f>IF(AND(CROQUIS!$C$88=1,CROQUIS!$C$126&gt;0),((CROQUIS!$C$157+(IF(CROQUIS!$C$92="X",((CROQUIS!$C$107/2+(((CROQUIS!$C$98)-CROQUIS!$C$107)-(MIN(80,MAX(1,INT(((CROQUIS!$C$98)-CROQUIS!$C$107)/MAX(CROQUIS!$C$126,1))+1))-1)*CROQUIS!$C$126)/2)+MIN(INT(($A336-1)/5),MAX((MIN(80,MAX(1,INT(((CROQUIS!$C$98)-CROQUIS!$C$107)/MAX(CROQUIS!$C$126,1))+1)))-1,0))*CROQUIS!$C$126),CHOOSE(IF(INT(($A336-1)/5)&gt;MAX((MIN(80,MAX(1,INT(((CROQUIS!$C$98)-CROQUIS!$C$107)/MAX(CROQUIS!$C$126,1))+1)))-1,0),0,MOD($A336-1,5))+1,0,2,CROQUIS!$C$97-2,2,0)))*CROQUIS!$C$155)+IF(CROQUIS!$C$92="X",0,0)),-1000)</f>
        <v>-1000</v>
      </c>
      <c r="BJ336">
        <f>IF(AND(CROQUIS!$C$88=1,CROQUIS!$C$134&gt;0),((CROQUIS!$C$156+(IF(CROQUIS!$C$92="X",((CROQUIS!$C$107/2+(((CROQUIS!$C$97)-CROQUIS!$C$107)-(MIN(80,MAX(1,INT(((CROQUIS!$C$97)-CROQUIS!$C$107)/MAX(CROQUIS!$C$134,1))+1))-1)*CROQUIS!$C$134)/2)+MIN(INT(($A336-1)/5),MAX((MIN(80,MAX(1,INT(((CROQUIS!$C$97)-CROQUIS!$C$107)/MAX(CROQUIS!$C$134,1))+1)))-1,0))*CROQUIS!$C$134),CHOOSE(IF(INT(($A336-1)/5)&gt;MAX((MIN(80,MAX(1,INT(((CROQUIS!$C$97)-CROQUIS!$C$107)/MAX(CROQUIS!$C$134,1))+1)))-1,0),0,MOD($A336-1,5))+1,0,2,CROQUIS!$C$98-2,2,0)))*CROQUIS!$C$155)+IF(CROQUIS!$C$92="X",0,0)),-1000)</f>
        <v>-1000</v>
      </c>
      <c r="BK336">
        <f>IF(AND(CROQUIS!$C$88=1,CROQUIS!$C$134&gt;0),((CROQUIS!$C$157+(IF(CROQUIS!$C$92="X",CHOOSE(IF(INT(($A336-1)/5)&gt;MAX((MIN(80,MAX(1,INT(((CROQUIS!$C$97)-CROQUIS!$C$107)/MAX(CROQUIS!$C$134,1))+1)))-1,0),0,MOD($A336-1,5))+1,0,2,CROQUIS!$C$98-2,2,0),((CROQUIS!$C$107/2+(((CROQUIS!$C$97)-CROQUIS!$C$107)-(MIN(80,MAX(1,INT(((CROQUIS!$C$97)-CROQUIS!$C$107)/MAX(CROQUIS!$C$134,1))+1))-1)*CROQUIS!$C$134)/2)+MIN(INT(($A336-1)/5),MAX((MIN(80,MAX(1,INT(((CROQUIS!$C$97)-CROQUIS!$C$107)/MAX(CROQUIS!$C$134,1))+1)))-1,0))*CROQUIS!$C$134)))*CROQUIS!$C$155)+IF(CROQUIS!$C$92="X",0,0)),-1000)</f>
        <v>-1000</v>
      </c>
      <c r="BL336">
        <f>IF(AND(CROQUIS!$C$88=1,CROQUIS!$C$91=0,CROQUIS!$C$130&gt;0,OR(CROQUIS!$C$103=1,CROQUIS!$C$142=1)),((CROQUIS!$C$156+(IF(CROQUIS!$C$92="X",CHOOSE(IF(INT(($A336-1)/5)&gt;MAX((MIN(80,MAX(1,INT(((CROQUIS!$C$98)-CROQUIS!$C$107)/MAX(CROQUIS!$C$130,1))+1)))-1,0),0,MOD($A336-1,5))+1,0,IF(CROQUIS!$C$103=1,-12,2),CROQUIS!$C$107/2+CROQUIS!$C$140,IF(CROQUIS!$C$103=1,-12,2),0),((CROQUIS!$C$107/2+(((CROQUIS!$C$98)-CROQUIS!$C$107)-(MIN(80,MAX(1,INT(((CROQUIS!$C$98)-CROQUIS!$C$107)/MAX(CROQUIS!$C$130,1))+1))-1)*CROQUIS!$C$130)/2)+MIN(INT(($A336-1)/5),MAX((MIN(80,MAX(1,INT(((CROQUIS!$C$98)-CROQUIS!$C$107)/MAX(CROQUIS!$C$130,1))+1)))-1,0))*CROQUIS!$C$130)))*CROQUIS!$C$155)+IF(CROQUIS!$C$92="X",0,0)),-1000)</f>
        <v>-1000</v>
      </c>
      <c r="BM33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336-1)/5),MAX((MIN(80,MAX(1,INT(((CROQUIS!$C$98)-CROQUIS!$C$107)/MAX(CROQUIS!$C$130,1))+1)))-1,0))*CROQUIS!$C$130),CHOOSE(IF(INT(($A336-1)/5)&gt;MAX((MIN(80,MAX(1,INT(((CROQUIS!$C$98)-CROQUIS!$C$107)/MAX(CROQUIS!$C$130,1))+1)))-1,0),0,MOD($A336-1,5))+1,0,IF(CROQUIS!$C$103=1,-12,2),CROQUIS!$C$107/2+CROQUIS!$C$140,IF(CROQUIS!$C$103=1,-12,2),0)))*CROQUIS!$C$155)+IF(CROQUIS!$C$92="X",0,0)),-1000)</f>
        <v>-1000</v>
      </c>
      <c r="BN336">
        <f>IF(AND(CROQUIS!$C$88=1,CROQUIS!$C$91=0,CROQUIS!$C$130&gt;0,OR(CROQUIS!$C$104=1,CROQUIS!$C$142=1)),((CROQUIS!$C$156+(IF(CROQUIS!$C$92="X",CHOOSE(IF(INT(($A336-1)/5)&gt;MAX((MIN(80,MAX(1,INT(((CROQUIS!$C$98)-CROQUIS!$C$107)/MAX(CROQUIS!$C$130,1))+1)))-1,0),0,MOD($A336-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336-1)/5),MAX((MIN(80,MAX(1,INT(((CROQUIS!$C$98)-CROQUIS!$C$107)/MAX(CROQUIS!$C$130,1))+1)))-1,0))*CROQUIS!$C$130)))*CROQUIS!$C$155)+IF(CROQUIS!$C$92="X",0,0)),-1000)</f>
        <v>-1000</v>
      </c>
      <c r="BO33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336-1)/5),MAX((MIN(80,MAX(1,INT(((CROQUIS!$C$98)-CROQUIS!$C$107)/MAX(CROQUIS!$C$130,1))+1)))-1,0))*CROQUIS!$C$130),CHOOSE(IF(INT(($A336-1)/5)&gt;MAX((MIN(80,MAX(1,INT(((CROQUIS!$C$98)-CROQUIS!$C$107)/MAX(CROQUIS!$C$130,1))+1)))-1,0),0,MOD($A336-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3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336-1)/5),MAX((MIN(80,MAX(1,INT(((CROQUIS!$C$97)-CROQUIS!$C$107)/MAX(CROQUIS!$C$138,1))+1)))-1,0))*CROQUIS!$C$138),CHOOSE(IF(INT(($A336-1)/5)&gt;MAX((MIN(80,MAX(1,INT(((CROQUIS!$C$97)-CROQUIS!$C$107)/MAX(CROQUIS!$C$138,1))+1)))-1,0),0,MOD($A336-1,5))+1,0,IF(CROQUIS!$C$105=1,-12,2),CROQUIS!$C$107/2+CROQUIS!$C$141,IF(CROQUIS!$C$105=1,-12,2),0)))*CROQUIS!$C$155)+IF(CROQUIS!$C$92="X",0,0)),-1000)</f>
        <v>-1000</v>
      </c>
      <c r="BQ336">
        <f>IF(AND(CROQUIS!$C$88=1,CROQUIS!$C$91=0,CROQUIS!$C$138&gt;0,OR(CROQUIS!$C$105=1,CROQUIS!$C$143=1)),((CROQUIS!$C$157+(IF(CROQUIS!$C$92="X",CHOOSE(IF(INT(($A336-1)/5)&gt;MAX((MIN(80,MAX(1,INT(((CROQUIS!$C$97)-CROQUIS!$C$107)/MAX(CROQUIS!$C$138,1))+1)))-1,0),0,MOD($A336-1,5))+1,0,IF(CROQUIS!$C$105=1,-12,2),CROQUIS!$C$107/2+CROQUIS!$C$141,IF(CROQUIS!$C$105=1,-12,2),0),((CROQUIS!$C$107/2+(((CROQUIS!$C$97)-CROQUIS!$C$107)-(MIN(80,MAX(1,INT(((CROQUIS!$C$97)-CROQUIS!$C$107)/MAX(CROQUIS!$C$138,1))+1))-1)*CROQUIS!$C$138)/2)+MIN(INT(($A336-1)/5),MAX((MIN(80,MAX(1,INT(((CROQUIS!$C$97)-CROQUIS!$C$107)/MAX(CROQUIS!$C$138,1))+1)))-1,0))*CROQUIS!$C$138)))*CROQUIS!$C$155)+IF(CROQUIS!$C$92="X",0,0)),-1000)</f>
        <v>-1000</v>
      </c>
      <c r="BR33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336-1)/5),MAX((MIN(80,MAX(1,INT(((CROQUIS!$C$97)-CROQUIS!$C$107)/MAX(CROQUIS!$C$138,1))+1)))-1,0))*CROQUIS!$C$138),CHOOSE(IF(INT(($A336-1)/5)&gt;MAX((MIN(80,MAX(1,INT(((CROQUIS!$C$97)-CROQUIS!$C$107)/MAX(CROQUIS!$C$138,1))+1)))-1,0),0,MOD($A336-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36">
        <f>IF(AND(CROQUIS!$C$88=1,CROQUIS!$C$91=0,CROQUIS!$C$138&gt;0,OR(CROQUIS!$C$106=1,CROQUIS!$C$143=1)),((CROQUIS!$C$157+(IF(CROQUIS!$C$92="X",CHOOSE(IF(INT(($A336-1)/5)&gt;MAX((MIN(80,MAX(1,INT(((CROQUIS!$C$97)-CROQUIS!$C$107)/MAX(CROQUIS!$C$138,1))+1)))-1,0),0,MOD($A336-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336-1)/5),MAX((MIN(80,MAX(1,INT(((CROQUIS!$C$97)-CROQUIS!$C$107)/MAX(CROQUIS!$C$138,1))+1)))-1,0))*CROQUIS!$C$138)))*CROQUIS!$C$155)+IF(CROQUIS!$C$92="X",0,0)),-1000)</f>
        <v>-1000</v>
      </c>
      <c r="BT336">
        <f>IF(AND(CROQUIS!$C$88=1,CROQUIS!$C$91=1,CROQUIS!$C$130&gt;0),((CROQUIS!$C$156+(IF(CROQUIS!$C$92="X",CHOOSE(IF(INT(($A336-1)/5)&gt;MAX((MIN(80,MAX(1,INT(((CROQUIS!$C$98)-CROQUIS!$C$107)/MAX(CROQUIS!$C$130,1))+1)))-1,0),0,MOD($A336-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336-1)/5),MAX((MIN(80,MAX(1,INT(((CROQUIS!$C$98)-CROQUIS!$C$107)/MAX(CROQUIS!$C$130,1))+1)))-1,0))*CROQUIS!$C$130)))*CROQUIS!$C$155)+IF(CROQUIS!$C$92="X",0,0)),-1000)</f>
        <v>-1000</v>
      </c>
      <c r="BU336">
        <f>IF(AND(CROQUIS!$C$88=1,CROQUIS!$C$91=1,CROQUIS!$C$130&gt;0),((CROQUIS!$C$157+(IF(CROQUIS!$C$92="X",((CROQUIS!$C$107/2+(((CROQUIS!$C$98)-CROQUIS!$C$107)-(MIN(80,MAX(1,INT(((CROQUIS!$C$98)-CROQUIS!$C$107)/MAX(CROQUIS!$C$130,1))+1))-1)*CROQUIS!$C$130)/2)+MIN(INT(($A336-1)/5),MAX((MIN(80,MAX(1,INT(((CROQUIS!$C$98)-CROQUIS!$C$107)/MAX(CROQUIS!$C$130,1))+1)))-1,0))*CROQUIS!$C$130),CHOOSE(IF(INT(($A336-1)/5)&gt;MAX((MIN(80,MAX(1,INT(((CROQUIS!$C$98)-CROQUIS!$C$107)/MAX(CROQUIS!$C$130,1))+1)))-1,0),0,MOD($A336-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37">
      <c r="A337" t="n">
        <v>330</v>
      </c>
      <c r="BH337">
        <f>IF(AND(CROQUIS!$C$88=1,CROQUIS!$C$126&gt;0),((CROQUIS!$C$156+(IF(CROQUIS!$C$92="X",CHOOSE(IF(INT(($A337-1)/5)&gt;MAX((MIN(80,MAX(1,INT(((CROQUIS!$C$98)-CROQUIS!$C$107)/MAX(CROQUIS!$C$126,1))+1)))-1,0),0,MOD($A337-1,5))+1,0,2,CROQUIS!$C$97-2,2,0),((CROQUIS!$C$107/2+(((CROQUIS!$C$98)-CROQUIS!$C$107)-(MIN(80,MAX(1,INT(((CROQUIS!$C$98)-CROQUIS!$C$107)/MAX(CROQUIS!$C$126,1))+1))-1)*CROQUIS!$C$126)/2)+MIN(INT(($A337-1)/5),MAX((MIN(80,MAX(1,INT(((CROQUIS!$C$98)-CROQUIS!$C$107)/MAX(CROQUIS!$C$126,1))+1)))-1,0))*CROQUIS!$C$126)))*CROQUIS!$C$155)+IF(CROQUIS!$C$92="X",0,0)),-1000)</f>
        <v>-1000</v>
      </c>
      <c r="BI337">
        <f>IF(AND(CROQUIS!$C$88=1,CROQUIS!$C$126&gt;0),((CROQUIS!$C$157+(IF(CROQUIS!$C$92="X",((CROQUIS!$C$107/2+(((CROQUIS!$C$98)-CROQUIS!$C$107)-(MIN(80,MAX(1,INT(((CROQUIS!$C$98)-CROQUIS!$C$107)/MAX(CROQUIS!$C$126,1))+1))-1)*CROQUIS!$C$126)/2)+MIN(INT(($A337-1)/5),MAX((MIN(80,MAX(1,INT(((CROQUIS!$C$98)-CROQUIS!$C$107)/MAX(CROQUIS!$C$126,1))+1)))-1,0))*CROQUIS!$C$126),CHOOSE(IF(INT(($A337-1)/5)&gt;MAX((MIN(80,MAX(1,INT(((CROQUIS!$C$98)-CROQUIS!$C$107)/MAX(CROQUIS!$C$126,1))+1)))-1,0),0,MOD($A337-1,5))+1,0,2,CROQUIS!$C$97-2,2,0)))*CROQUIS!$C$155)+IF(CROQUIS!$C$92="X",0,0)),-1000)</f>
        <v>-1000</v>
      </c>
      <c r="BJ337">
        <f>IF(AND(CROQUIS!$C$88=1,CROQUIS!$C$134&gt;0),((CROQUIS!$C$156+(IF(CROQUIS!$C$92="X",((CROQUIS!$C$107/2+(((CROQUIS!$C$97)-CROQUIS!$C$107)-(MIN(80,MAX(1,INT(((CROQUIS!$C$97)-CROQUIS!$C$107)/MAX(CROQUIS!$C$134,1))+1))-1)*CROQUIS!$C$134)/2)+MIN(INT(($A337-1)/5),MAX((MIN(80,MAX(1,INT(((CROQUIS!$C$97)-CROQUIS!$C$107)/MAX(CROQUIS!$C$134,1))+1)))-1,0))*CROQUIS!$C$134),CHOOSE(IF(INT(($A337-1)/5)&gt;MAX((MIN(80,MAX(1,INT(((CROQUIS!$C$97)-CROQUIS!$C$107)/MAX(CROQUIS!$C$134,1))+1)))-1,0),0,MOD($A337-1,5))+1,0,2,CROQUIS!$C$98-2,2,0)))*CROQUIS!$C$155)+IF(CROQUIS!$C$92="X",0,0)),-1000)</f>
        <v>-1000</v>
      </c>
      <c r="BK337">
        <f>IF(AND(CROQUIS!$C$88=1,CROQUIS!$C$134&gt;0),((CROQUIS!$C$157+(IF(CROQUIS!$C$92="X",CHOOSE(IF(INT(($A337-1)/5)&gt;MAX((MIN(80,MAX(1,INT(((CROQUIS!$C$97)-CROQUIS!$C$107)/MAX(CROQUIS!$C$134,1))+1)))-1,0),0,MOD($A337-1,5))+1,0,2,CROQUIS!$C$98-2,2,0),((CROQUIS!$C$107/2+(((CROQUIS!$C$97)-CROQUIS!$C$107)-(MIN(80,MAX(1,INT(((CROQUIS!$C$97)-CROQUIS!$C$107)/MAX(CROQUIS!$C$134,1))+1))-1)*CROQUIS!$C$134)/2)+MIN(INT(($A337-1)/5),MAX((MIN(80,MAX(1,INT(((CROQUIS!$C$97)-CROQUIS!$C$107)/MAX(CROQUIS!$C$134,1))+1)))-1,0))*CROQUIS!$C$134)))*CROQUIS!$C$155)+IF(CROQUIS!$C$92="X",0,0)),-1000)</f>
        <v>-1000</v>
      </c>
      <c r="BL337">
        <f>IF(AND(CROQUIS!$C$88=1,CROQUIS!$C$91=0,CROQUIS!$C$130&gt;0,OR(CROQUIS!$C$103=1,CROQUIS!$C$142=1)),((CROQUIS!$C$156+(IF(CROQUIS!$C$92="X",CHOOSE(IF(INT(($A337-1)/5)&gt;MAX((MIN(80,MAX(1,INT(((CROQUIS!$C$98)-CROQUIS!$C$107)/MAX(CROQUIS!$C$130,1))+1)))-1,0),0,MOD($A337-1,5))+1,0,IF(CROQUIS!$C$103=1,-12,2),CROQUIS!$C$107/2+CROQUIS!$C$140,IF(CROQUIS!$C$103=1,-12,2),0),((CROQUIS!$C$107/2+(((CROQUIS!$C$98)-CROQUIS!$C$107)-(MIN(80,MAX(1,INT(((CROQUIS!$C$98)-CROQUIS!$C$107)/MAX(CROQUIS!$C$130,1))+1))-1)*CROQUIS!$C$130)/2)+MIN(INT(($A337-1)/5),MAX((MIN(80,MAX(1,INT(((CROQUIS!$C$98)-CROQUIS!$C$107)/MAX(CROQUIS!$C$130,1))+1)))-1,0))*CROQUIS!$C$130)))*CROQUIS!$C$155)+IF(CROQUIS!$C$92="X",0,0)),-1000)</f>
        <v>-1000</v>
      </c>
      <c r="BM33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337-1)/5),MAX((MIN(80,MAX(1,INT(((CROQUIS!$C$98)-CROQUIS!$C$107)/MAX(CROQUIS!$C$130,1))+1)))-1,0))*CROQUIS!$C$130),CHOOSE(IF(INT(($A337-1)/5)&gt;MAX((MIN(80,MAX(1,INT(((CROQUIS!$C$98)-CROQUIS!$C$107)/MAX(CROQUIS!$C$130,1))+1)))-1,0),0,MOD($A337-1,5))+1,0,IF(CROQUIS!$C$103=1,-12,2),CROQUIS!$C$107/2+CROQUIS!$C$140,IF(CROQUIS!$C$103=1,-12,2),0)))*CROQUIS!$C$155)+IF(CROQUIS!$C$92="X",0,0)),-1000)</f>
        <v>-1000</v>
      </c>
      <c r="BN337">
        <f>IF(AND(CROQUIS!$C$88=1,CROQUIS!$C$91=0,CROQUIS!$C$130&gt;0,OR(CROQUIS!$C$104=1,CROQUIS!$C$142=1)),((CROQUIS!$C$156+(IF(CROQUIS!$C$92="X",CHOOSE(IF(INT(($A337-1)/5)&gt;MAX((MIN(80,MAX(1,INT(((CROQUIS!$C$98)-CROQUIS!$C$107)/MAX(CROQUIS!$C$130,1))+1)))-1,0),0,MOD($A337-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337-1)/5),MAX((MIN(80,MAX(1,INT(((CROQUIS!$C$98)-CROQUIS!$C$107)/MAX(CROQUIS!$C$130,1))+1)))-1,0))*CROQUIS!$C$130)))*CROQUIS!$C$155)+IF(CROQUIS!$C$92="X",0,0)),-1000)</f>
        <v>-1000</v>
      </c>
      <c r="BO33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337-1)/5),MAX((MIN(80,MAX(1,INT(((CROQUIS!$C$98)-CROQUIS!$C$107)/MAX(CROQUIS!$C$130,1))+1)))-1,0))*CROQUIS!$C$130),CHOOSE(IF(INT(($A337-1)/5)&gt;MAX((MIN(80,MAX(1,INT(((CROQUIS!$C$98)-CROQUIS!$C$107)/MAX(CROQUIS!$C$130,1))+1)))-1,0),0,MOD($A337-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3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337-1)/5),MAX((MIN(80,MAX(1,INT(((CROQUIS!$C$97)-CROQUIS!$C$107)/MAX(CROQUIS!$C$138,1))+1)))-1,0))*CROQUIS!$C$138),CHOOSE(IF(INT(($A337-1)/5)&gt;MAX((MIN(80,MAX(1,INT(((CROQUIS!$C$97)-CROQUIS!$C$107)/MAX(CROQUIS!$C$138,1))+1)))-1,0),0,MOD($A337-1,5))+1,0,IF(CROQUIS!$C$105=1,-12,2),CROQUIS!$C$107/2+CROQUIS!$C$141,IF(CROQUIS!$C$105=1,-12,2),0)))*CROQUIS!$C$155)+IF(CROQUIS!$C$92="X",0,0)),-1000)</f>
        <v>-1000</v>
      </c>
      <c r="BQ337">
        <f>IF(AND(CROQUIS!$C$88=1,CROQUIS!$C$91=0,CROQUIS!$C$138&gt;0,OR(CROQUIS!$C$105=1,CROQUIS!$C$143=1)),((CROQUIS!$C$157+(IF(CROQUIS!$C$92="X",CHOOSE(IF(INT(($A337-1)/5)&gt;MAX((MIN(80,MAX(1,INT(((CROQUIS!$C$97)-CROQUIS!$C$107)/MAX(CROQUIS!$C$138,1))+1)))-1,0),0,MOD($A337-1,5))+1,0,IF(CROQUIS!$C$105=1,-12,2),CROQUIS!$C$107/2+CROQUIS!$C$141,IF(CROQUIS!$C$105=1,-12,2),0),((CROQUIS!$C$107/2+(((CROQUIS!$C$97)-CROQUIS!$C$107)-(MIN(80,MAX(1,INT(((CROQUIS!$C$97)-CROQUIS!$C$107)/MAX(CROQUIS!$C$138,1))+1))-1)*CROQUIS!$C$138)/2)+MIN(INT(($A337-1)/5),MAX((MIN(80,MAX(1,INT(((CROQUIS!$C$97)-CROQUIS!$C$107)/MAX(CROQUIS!$C$138,1))+1)))-1,0))*CROQUIS!$C$138)))*CROQUIS!$C$155)+IF(CROQUIS!$C$92="X",0,0)),-1000)</f>
        <v>-1000</v>
      </c>
      <c r="BR33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337-1)/5),MAX((MIN(80,MAX(1,INT(((CROQUIS!$C$97)-CROQUIS!$C$107)/MAX(CROQUIS!$C$138,1))+1)))-1,0))*CROQUIS!$C$138),CHOOSE(IF(INT(($A337-1)/5)&gt;MAX((MIN(80,MAX(1,INT(((CROQUIS!$C$97)-CROQUIS!$C$107)/MAX(CROQUIS!$C$138,1))+1)))-1,0),0,MOD($A337-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37">
        <f>IF(AND(CROQUIS!$C$88=1,CROQUIS!$C$91=0,CROQUIS!$C$138&gt;0,OR(CROQUIS!$C$106=1,CROQUIS!$C$143=1)),((CROQUIS!$C$157+(IF(CROQUIS!$C$92="X",CHOOSE(IF(INT(($A337-1)/5)&gt;MAX((MIN(80,MAX(1,INT(((CROQUIS!$C$97)-CROQUIS!$C$107)/MAX(CROQUIS!$C$138,1))+1)))-1,0),0,MOD($A337-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337-1)/5),MAX((MIN(80,MAX(1,INT(((CROQUIS!$C$97)-CROQUIS!$C$107)/MAX(CROQUIS!$C$138,1))+1)))-1,0))*CROQUIS!$C$138)))*CROQUIS!$C$155)+IF(CROQUIS!$C$92="X",0,0)),-1000)</f>
        <v>-1000</v>
      </c>
      <c r="BT337">
        <f>IF(AND(CROQUIS!$C$88=1,CROQUIS!$C$91=1,CROQUIS!$C$130&gt;0),((CROQUIS!$C$156+(IF(CROQUIS!$C$92="X",CHOOSE(IF(INT(($A337-1)/5)&gt;MAX((MIN(80,MAX(1,INT(((CROQUIS!$C$98)-CROQUIS!$C$107)/MAX(CROQUIS!$C$130,1))+1)))-1,0),0,MOD($A337-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337-1)/5),MAX((MIN(80,MAX(1,INT(((CROQUIS!$C$98)-CROQUIS!$C$107)/MAX(CROQUIS!$C$130,1))+1)))-1,0))*CROQUIS!$C$130)))*CROQUIS!$C$155)+IF(CROQUIS!$C$92="X",0,0)),-1000)</f>
        <v>-1000</v>
      </c>
      <c r="BU337">
        <f>IF(AND(CROQUIS!$C$88=1,CROQUIS!$C$91=1,CROQUIS!$C$130&gt;0),((CROQUIS!$C$157+(IF(CROQUIS!$C$92="X",((CROQUIS!$C$107/2+(((CROQUIS!$C$98)-CROQUIS!$C$107)-(MIN(80,MAX(1,INT(((CROQUIS!$C$98)-CROQUIS!$C$107)/MAX(CROQUIS!$C$130,1))+1))-1)*CROQUIS!$C$130)/2)+MIN(INT(($A337-1)/5),MAX((MIN(80,MAX(1,INT(((CROQUIS!$C$98)-CROQUIS!$C$107)/MAX(CROQUIS!$C$130,1))+1)))-1,0))*CROQUIS!$C$130),CHOOSE(IF(INT(($A337-1)/5)&gt;MAX((MIN(80,MAX(1,INT(((CROQUIS!$C$98)-CROQUIS!$C$107)/MAX(CROQUIS!$C$130,1))+1)))-1,0),0,MOD($A337-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38">
      <c r="A338" t="n">
        <v>331</v>
      </c>
      <c r="BH338">
        <f>IF(AND(CROQUIS!$C$88=1,CROQUIS!$C$126&gt;0),((CROQUIS!$C$156+(IF(CROQUIS!$C$92="X",CHOOSE(IF(INT(($A338-1)/5)&gt;MAX((MIN(80,MAX(1,INT(((CROQUIS!$C$98)-CROQUIS!$C$107)/MAX(CROQUIS!$C$126,1))+1)))-1,0),0,MOD($A338-1,5))+1,0,2,CROQUIS!$C$97-2,2,0),((CROQUIS!$C$107/2+(((CROQUIS!$C$98)-CROQUIS!$C$107)-(MIN(80,MAX(1,INT(((CROQUIS!$C$98)-CROQUIS!$C$107)/MAX(CROQUIS!$C$126,1))+1))-1)*CROQUIS!$C$126)/2)+MIN(INT(($A338-1)/5),MAX((MIN(80,MAX(1,INT(((CROQUIS!$C$98)-CROQUIS!$C$107)/MAX(CROQUIS!$C$126,1))+1)))-1,0))*CROQUIS!$C$126)))*CROQUIS!$C$155)+IF(CROQUIS!$C$92="X",0,0)),-1000)</f>
        <v>-1000</v>
      </c>
      <c r="BI338">
        <f>IF(AND(CROQUIS!$C$88=1,CROQUIS!$C$126&gt;0),((CROQUIS!$C$157+(IF(CROQUIS!$C$92="X",((CROQUIS!$C$107/2+(((CROQUIS!$C$98)-CROQUIS!$C$107)-(MIN(80,MAX(1,INT(((CROQUIS!$C$98)-CROQUIS!$C$107)/MAX(CROQUIS!$C$126,1))+1))-1)*CROQUIS!$C$126)/2)+MIN(INT(($A338-1)/5),MAX((MIN(80,MAX(1,INT(((CROQUIS!$C$98)-CROQUIS!$C$107)/MAX(CROQUIS!$C$126,1))+1)))-1,0))*CROQUIS!$C$126),CHOOSE(IF(INT(($A338-1)/5)&gt;MAX((MIN(80,MAX(1,INT(((CROQUIS!$C$98)-CROQUIS!$C$107)/MAX(CROQUIS!$C$126,1))+1)))-1,0),0,MOD($A338-1,5))+1,0,2,CROQUIS!$C$97-2,2,0)))*CROQUIS!$C$155)+IF(CROQUIS!$C$92="X",0,0)),-1000)</f>
        <v>-1000</v>
      </c>
      <c r="BJ338">
        <f>IF(AND(CROQUIS!$C$88=1,CROQUIS!$C$134&gt;0),((CROQUIS!$C$156+(IF(CROQUIS!$C$92="X",((CROQUIS!$C$107/2+(((CROQUIS!$C$97)-CROQUIS!$C$107)-(MIN(80,MAX(1,INT(((CROQUIS!$C$97)-CROQUIS!$C$107)/MAX(CROQUIS!$C$134,1))+1))-1)*CROQUIS!$C$134)/2)+MIN(INT(($A338-1)/5),MAX((MIN(80,MAX(1,INT(((CROQUIS!$C$97)-CROQUIS!$C$107)/MAX(CROQUIS!$C$134,1))+1)))-1,0))*CROQUIS!$C$134),CHOOSE(IF(INT(($A338-1)/5)&gt;MAX((MIN(80,MAX(1,INT(((CROQUIS!$C$97)-CROQUIS!$C$107)/MAX(CROQUIS!$C$134,1))+1)))-1,0),0,MOD($A338-1,5))+1,0,2,CROQUIS!$C$98-2,2,0)))*CROQUIS!$C$155)+IF(CROQUIS!$C$92="X",0,0)),-1000)</f>
        <v>-1000</v>
      </c>
      <c r="BK338">
        <f>IF(AND(CROQUIS!$C$88=1,CROQUIS!$C$134&gt;0),((CROQUIS!$C$157+(IF(CROQUIS!$C$92="X",CHOOSE(IF(INT(($A338-1)/5)&gt;MAX((MIN(80,MAX(1,INT(((CROQUIS!$C$97)-CROQUIS!$C$107)/MAX(CROQUIS!$C$134,1))+1)))-1,0),0,MOD($A338-1,5))+1,0,2,CROQUIS!$C$98-2,2,0),((CROQUIS!$C$107/2+(((CROQUIS!$C$97)-CROQUIS!$C$107)-(MIN(80,MAX(1,INT(((CROQUIS!$C$97)-CROQUIS!$C$107)/MAX(CROQUIS!$C$134,1))+1))-1)*CROQUIS!$C$134)/2)+MIN(INT(($A338-1)/5),MAX((MIN(80,MAX(1,INT(((CROQUIS!$C$97)-CROQUIS!$C$107)/MAX(CROQUIS!$C$134,1))+1)))-1,0))*CROQUIS!$C$134)))*CROQUIS!$C$155)+IF(CROQUIS!$C$92="X",0,0)),-1000)</f>
        <v>-1000</v>
      </c>
      <c r="BL338">
        <f>IF(AND(CROQUIS!$C$88=1,CROQUIS!$C$91=0,CROQUIS!$C$130&gt;0,OR(CROQUIS!$C$103=1,CROQUIS!$C$142=1)),((CROQUIS!$C$156+(IF(CROQUIS!$C$92="X",CHOOSE(IF(INT(($A338-1)/5)&gt;MAX((MIN(80,MAX(1,INT(((CROQUIS!$C$98)-CROQUIS!$C$107)/MAX(CROQUIS!$C$130,1))+1)))-1,0),0,MOD($A338-1,5))+1,0,IF(CROQUIS!$C$103=1,-12,2),CROQUIS!$C$107/2+CROQUIS!$C$140,IF(CROQUIS!$C$103=1,-12,2),0),((CROQUIS!$C$107/2+(((CROQUIS!$C$98)-CROQUIS!$C$107)-(MIN(80,MAX(1,INT(((CROQUIS!$C$98)-CROQUIS!$C$107)/MAX(CROQUIS!$C$130,1))+1))-1)*CROQUIS!$C$130)/2)+MIN(INT(($A338-1)/5),MAX((MIN(80,MAX(1,INT(((CROQUIS!$C$98)-CROQUIS!$C$107)/MAX(CROQUIS!$C$130,1))+1)))-1,0))*CROQUIS!$C$130)))*CROQUIS!$C$155)+IF(CROQUIS!$C$92="X",0,0)),-1000)</f>
        <v>-1000</v>
      </c>
      <c r="BM33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338-1)/5),MAX((MIN(80,MAX(1,INT(((CROQUIS!$C$98)-CROQUIS!$C$107)/MAX(CROQUIS!$C$130,1))+1)))-1,0))*CROQUIS!$C$130),CHOOSE(IF(INT(($A338-1)/5)&gt;MAX((MIN(80,MAX(1,INT(((CROQUIS!$C$98)-CROQUIS!$C$107)/MAX(CROQUIS!$C$130,1))+1)))-1,0),0,MOD($A338-1,5))+1,0,IF(CROQUIS!$C$103=1,-12,2),CROQUIS!$C$107/2+CROQUIS!$C$140,IF(CROQUIS!$C$103=1,-12,2),0)))*CROQUIS!$C$155)+IF(CROQUIS!$C$92="X",0,0)),-1000)</f>
        <v>-1000</v>
      </c>
      <c r="BN338">
        <f>IF(AND(CROQUIS!$C$88=1,CROQUIS!$C$91=0,CROQUIS!$C$130&gt;0,OR(CROQUIS!$C$104=1,CROQUIS!$C$142=1)),((CROQUIS!$C$156+(IF(CROQUIS!$C$92="X",CHOOSE(IF(INT(($A338-1)/5)&gt;MAX((MIN(80,MAX(1,INT(((CROQUIS!$C$98)-CROQUIS!$C$107)/MAX(CROQUIS!$C$130,1))+1)))-1,0),0,MOD($A338-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338-1)/5),MAX((MIN(80,MAX(1,INT(((CROQUIS!$C$98)-CROQUIS!$C$107)/MAX(CROQUIS!$C$130,1))+1)))-1,0))*CROQUIS!$C$130)))*CROQUIS!$C$155)+IF(CROQUIS!$C$92="X",0,0)),-1000)</f>
        <v>-1000</v>
      </c>
      <c r="BO33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338-1)/5),MAX((MIN(80,MAX(1,INT(((CROQUIS!$C$98)-CROQUIS!$C$107)/MAX(CROQUIS!$C$130,1))+1)))-1,0))*CROQUIS!$C$130),CHOOSE(IF(INT(($A338-1)/5)&gt;MAX((MIN(80,MAX(1,INT(((CROQUIS!$C$98)-CROQUIS!$C$107)/MAX(CROQUIS!$C$130,1))+1)))-1,0),0,MOD($A338-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3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338-1)/5),MAX((MIN(80,MAX(1,INT(((CROQUIS!$C$97)-CROQUIS!$C$107)/MAX(CROQUIS!$C$138,1))+1)))-1,0))*CROQUIS!$C$138),CHOOSE(IF(INT(($A338-1)/5)&gt;MAX((MIN(80,MAX(1,INT(((CROQUIS!$C$97)-CROQUIS!$C$107)/MAX(CROQUIS!$C$138,1))+1)))-1,0),0,MOD($A338-1,5))+1,0,IF(CROQUIS!$C$105=1,-12,2),CROQUIS!$C$107/2+CROQUIS!$C$141,IF(CROQUIS!$C$105=1,-12,2),0)))*CROQUIS!$C$155)+IF(CROQUIS!$C$92="X",0,0)),-1000)</f>
        <v>-1000</v>
      </c>
      <c r="BQ338">
        <f>IF(AND(CROQUIS!$C$88=1,CROQUIS!$C$91=0,CROQUIS!$C$138&gt;0,OR(CROQUIS!$C$105=1,CROQUIS!$C$143=1)),((CROQUIS!$C$157+(IF(CROQUIS!$C$92="X",CHOOSE(IF(INT(($A338-1)/5)&gt;MAX((MIN(80,MAX(1,INT(((CROQUIS!$C$97)-CROQUIS!$C$107)/MAX(CROQUIS!$C$138,1))+1)))-1,0),0,MOD($A338-1,5))+1,0,IF(CROQUIS!$C$105=1,-12,2),CROQUIS!$C$107/2+CROQUIS!$C$141,IF(CROQUIS!$C$105=1,-12,2),0),((CROQUIS!$C$107/2+(((CROQUIS!$C$97)-CROQUIS!$C$107)-(MIN(80,MAX(1,INT(((CROQUIS!$C$97)-CROQUIS!$C$107)/MAX(CROQUIS!$C$138,1))+1))-1)*CROQUIS!$C$138)/2)+MIN(INT(($A338-1)/5),MAX((MIN(80,MAX(1,INT(((CROQUIS!$C$97)-CROQUIS!$C$107)/MAX(CROQUIS!$C$138,1))+1)))-1,0))*CROQUIS!$C$138)))*CROQUIS!$C$155)+IF(CROQUIS!$C$92="X",0,0)),-1000)</f>
        <v>-1000</v>
      </c>
      <c r="BR33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338-1)/5),MAX((MIN(80,MAX(1,INT(((CROQUIS!$C$97)-CROQUIS!$C$107)/MAX(CROQUIS!$C$138,1))+1)))-1,0))*CROQUIS!$C$138),CHOOSE(IF(INT(($A338-1)/5)&gt;MAX((MIN(80,MAX(1,INT(((CROQUIS!$C$97)-CROQUIS!$C$107)/MAX(CROQUIS!$C$138,1))+1)))-1,0),0,MOD($A338-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38">
        <f>IF(AND(CROQUIS!$C$88=1,CROQUIS!$C$91=0,CROQUIS!$C$138&gt;0,OR(CROQUIS!$C$106=1,CROQUIS!$C$143=1)),((CROQUIS!$C$157+(IF(CROQUIS!$C$92="X",CHOOSE(IF(INT(($A338-1)/5)&gt;MAX((MIN(80,MAX(1,INT(((CROQUIS!$C$97)-CROQUIS!$C$107)/MAX(CROQUIS!$C$138,1))+1)))-1,0),0,MOD($A338-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338-1)/5),MAX((MIN(80,MAX(1,INT(((CROQUIS!$C$97)-CROQUIS!$C$107)/MAX(CROQUIS!$C$138,1))+1)))-1,0))*CROQUIS!$C$138)))*CROQUIS!$C$155)+IF(CROQUIS!$C$92="X",0,0)),-1000)</f>
        <v>-1000</v>
      </c>
      <c r="BT338">
        <f>IF(AND(CROQUIS!$C$88=1,CROQUIS!$C$91=1,CROQUIS!$C$130&gt;0),((CROQUIS!$C$156+(IF(CROQUIS!$C$92="X",CHOOSE(IF(INT(($A338-1)/5)&gt;MAX((MIN(80,MAX(1,INT(((CROQUIS!$C$98)-CROQUIS!$C$107)/MAX(CROQUIS!$C$130,1))+1)))-1,0),0,MOD($A338-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338-1)/5),MAX((MIN(80,MAX(1,INT(((CROQUIS!$C$98)-CROQUIS!$C$107)/MAX(CROQUIS!$C$130,1))+1)))-1,0))*CROQUIS!$C$130)))*CROQUIS!$C$155)+IF(CROQUIS!$C$92="X",0,0)),-1000)</f>
        <v>-1000</v>
      </c>
      <c r="BU338">
        <f>IF(AND(CROQUIS!$C$88=1,CROQUIS!$C$91=1,CROQUIS!$C$130&gt;0),((CROQUIS!$C$157+(IF(CROQUIS!$C$92="X",((CROQUIS!$C$107/2+(((CROQUIS!$C$98)-CROQUIS!$C$107)-(MIN(80,MAX(1,INT(((CROQUIS!$C$98)-CROQUIS!$C$107)/MAX(CROQUIS!$C$130,1))+1))-1)*CROQUIS!$C$130)/2)+MIN(INT(($A338-1)/5),MAX((MIN(80,MAX(1,INT(((CROQUIS!$C$98)-CROQUIS!$C$107)/MAX(CROQUIS!$C$130,1))+1)))-1,0))*CROQUIS!$C$130),CHOOSE(IF(INT(($A338-1)/5)&gt;MAX((MIN(80,MAX(1,INT(((CROQUIS!$C$98)-CROQUIS!$C$107)/MAX(CROQUIS!$C$130,1))+1)))-1,0),0,MOD($A338-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39">
      <c r="A339" t="n">
        <v>332</v>
      </c>
      <c r="BH339">
        <f>IF(AND(CROQUIS!$C$88=1,CROQUIS!$C$126&gt;0),((CROQUIS!$C$156+(IF(CROQUIS!$C$92="X",CHOOSE(IF(INT(($A339-1)/5)&gt;MAX((MIN(80,MAX(1,INT(((CROQUIS!$C$98)-CROQUIS!$C$107)/MAX(CROQUIS!$C$126,1))+1)))-1,0),0,MOD($A339-1,5))+1,0,2,CROQUIS!$C$97-2,2,0),((CROQUIS!$C$107/2+(((CROQUIS!$C$98)-CROQUIS!$C$107)-(MIN(80,MAX(1,INT(((CROQUIS!$C$98)-CROQUIS!$C$107)/MAX(CROQUIS!$C$126,1))+1))-1)*CROQUIS!$C$126)/2)+MIN(INT(($A339-1)/5),MAX((MIN(80,MAX(1,INT(((CROQUIS!$C$98)-CROQUIS!$C$107)/MAX(CROQUIS!$C$126,1))+1)))-1,0))*CROQUIS!$C$126)))*CROQUIS!$C$155)+IF(CROQUIS!$C$92="X",0,0)),-1000)</f>
        <v>-1000</v>
      </c>
      <c r="BI339">
        <f>IF(AND(CROQUIS!$C$88=1,CROQUIS!$C$126&gt;0),((CROQUIS!$C$157+(IF(CROQUIS!$C$92="X",((CROQUIS!$C$107/2+(((CROQUIS!$C$98)-CROQUIS!$C$107)-(MIN(80,MAX(1,INT(((CROQUIS!$C$98)-CROQUIS!$C$107)/MAX(CROQUIS!$C$126,1))+1))-1)*CROQUIS!$C$126)/2)+MIN(INT(($A339-1)/5),MAX((MIN(80,MAX(1,INT(((CROQUIS!$C$98)-CROQUIS!$C$107)/MAX(CROQUIS!$C$126,1))+1)))-1,0))*CROQUIS!$C$126),CHOOSE(IF(INT(($A339-1)/5)&gt;MAX((MIN(80,MAX(1,INT(((CROQUIS!$C$98)-CROQUIS!$C$107)/MAX(CROQUIS!$C$126,1))+1)))-1,0),0,MOD($A339-1,5))+1,0,2,CROQUIS!$C$97-2,2,0)))*CROQUIS!$C$155)+IF(CROQUIS!$C$92="X",0,0)),-1000)</f>
        <v>-1000</v>
      </c>
      <c r="BJ339">
        <f>IF(AND(CROQUIS!$C$88=1,CROQUIS!$C$134&gt;0),((CROQUIS!$C$156+(IF(CROQUIS!$C$92="X",((CROQUIS!$C$107/2+(((CROQUIS!$C$97)-CROQUIS!$C$107)-(MIN(80,MAX(1,INT(((CROQUIS!$C$97)-CROQUIS!$C$107)/MAX(CROQUIS!$C$134,1))+1))-1)*CROQUIS!$C$134)/2)+MIN(INT(($A339-1)/5),MAX((MIN(80,MAX(1,INT(((CROQUIS!$C$97)-CROQUIS!$C$107)/MAX(CROQUIS!$C$134,1))+1)))-1,0))*CROQUIS!$C$134),CHOOSE(IF(INT(($A339-1)/5)&gt;MAX((MIN(80,MAX(1,INT(((CROQUIS!$C$97)-CROQUIS!$C$107)/MAX(CROQUIS!$C$134,1))+1)))-1,0),0,MOD($A339-1,5))+1,0,2,CROQUIS!$C$98-2,2,0)))*CROQUIS!$C$155)+IF(CROQUIS!$C$92="X",0,0)),-1000)</f>
        <v>-1000</v>
      </c>
      <c r="BK339">
        <f>IF(AND(CROQUIS!$C$88=1,CROQUIS!$C$134&gt;0),((CROQUIS!$C$157+(IF(CROQUIS!$C$92="X",CHOOSE(IF(INT(($A339-1)/5)&gt;MAX((MIN(80,MAX(1,INT(((CROQUIS!$C$97)-CROQUIS!$C$107)/MAX(CROQUIS!$C$134,1))+1)))-1,0),0,MOD($A339-1,5))+1,0,2,CROQUIS!$C$98-2,2,0),((CROQUIS!$C$107/2+(((CROQUIS!$C$97)-CROQUIS!$C$107)-(MIN(80,MAX(1,INT(((CROQUIS!$C$97)-CROQUIS!$C$107)/MAX(CROQUIS!$C$134,1))+1))-1)*CROQUIS!$C$134)/2)+MIN(INT(($A339-1)/5),MAX((MIN(80,MAX(1,INT(((CROQUIS!$C$97)-CROQUIS!$C$107)/MAX(CROQUIS!$C$134,1))+1)))-1,0))*CROQUIS!$C$134)))*CROQUIS!$C$155)+IF(CROQUIS!$C$92="X",0,0)),-1000)</f>
        <v>-1000</v>
      </c>
      <c r="BL339">
        <f>IF(AND(CROQUIS!$C$88=1,CROQUIS!$C$91=0,CROQUIS!$C$130&gt;0,OR(CROQUIS!$C$103=1,CROQUIS!$C$142=1)),((CROQUIS!$C$156+(IF(CROQUIS!$C$92="X",CHOOSE(IF(INT(($A339-1)/5)&gt;MAX((MIN(80,MAX(1,INT(((CROQUIS!$C$98)-CROQUIS!$C$107)/MAX(CROQUIS!$C$130,1))+1)))-1,0),0,MOD($A339-1,5))+1,0,IF(CROQUIS!$C$103=1,-12,2),CROQUIS!$C$107/2+CROQUIS!$C$140,IF(CROQUIS!$C$103=1,-12,2),0),((CROQUIS!$C$107/2+(((CROQUIS!$C$98)-CROQUIS!$C$107)-(MIN(80,MAX(1,INT(((CROQUIS!$C$98)-CROQUIS!$C$107)/MAX(CROQUIS!$C$130,1))+1))-1)*CROQUIS!$C$130)/2)+MIN(INT(($A339-1)/5),MAX((MIN(80,MAX(1,INT(((CROQUIS!$C$98)-CROQUIS!$C$107)/MAX(CROQUIS!$C$130,1))+1)))-1,0))*CROQUIS!$C$130)))*CROQUIS!$C$155)+IF(CROQUIS!$C$92="X",0,0)),-1000)</f>
        <v>-1000</v>
      </c>
      <c r="BM33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339-1)/5),MAX((MIN(80,MAX(1,INT(((CROQUIS!$C$98)-CROQUIS!$C$107)/MAX(CROQUIS!$C$130,1))+1)))-1,0))*CROQUIS!$C$130),CHOOSE(IF(INT(($A339-1)/5)&gt;MAX((MIN(80,MAX(1,INT(((CROQUIS!$C$98)-CROQUIS!$C$107)/MAX(CROQUIS!$C$130,1))+1)))-1,0),0,MOD($A339-1,5))+1,0,IF(CROQUIS!$C$103=1,-12,2),CROQUIS!$C$107/2+CROQUIS!$C$140,IF(CROQUIS!$C$103=1,-12,2),0)))*CROQUIS!$C$155)+IF(CROQUIS!$C$92="X",0,0)),-1000)</f>
        <v>-1000</v>
      </c>
      <c r="BN339">
        <f>IF(AND(CROQUIS!$C$88=1,CROQUIS!$C$91=0,CROQUIS!$C$130&gt;0,OR(CROQUIS!$C$104=1,CROQUIS!$C$142=1)),((CROQUIS!$C$156+(IF(CROQUIS!$C$92="X",CHOOSE(IF(INT(($A339-1)/5)&gt;MAX((MIN(80,MAX(1,INT(((CROQUIS!$C$98)-CROQUIS!$C$107)/MAX(CROQUIS!$C$130,1))+1)))-1,0),0,MOD($A339-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339-1)/5),MAX((MIN(80,MAX(1,INT(((CROQUIS!$C$98)-CROQUIS!$C$107)/MAX(CROQUIS!$C$130,1))+1)))-1,0))*CROQUIS!$C$130)))*CROQUIS!$C$155)+IF(CROQUIS!$C$92="X",0,0)),-1000)</f>
        <v>-1000</v>
      </c>
      <c r="BO33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339-1)/5),MAX((MIN(80,MAX(1,INT(((CROQUIS!$C$98)-CROQUIS!$C$107)/MAX(CROQUIS!$C$130,1))+1)))-1,0))*CROQUIS!$C$130),CHOOSE(IF(INT(($A339-1)/5)&gt;MAX((MIN(80,MAX(1,INT(((CROQUIS!$C$98)-CROQUIS!$C$107)/MAX(CROQUIS!$C$130,1))+1)))-1,0),0,MOD($A339-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3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339-1)/5),MAX((MIN(80,MAX(1,INT(((CROQUIS!$C$97)-CROQUIS!$C$107)/MAX(CROQUIS!$C$138,1))+1)))-1,0))*CROQUIS!$C$138),CHOOSE(IF(INT(($A339-1)/5)&gt;MAX((MIN(80,MAX(1,INT(((CROQUIS!$C$97)-CROQUIS!$C$107)/MAX(CROQUIS!$C$138,1))+1)))-1,0),0,MOD($A339-1,5))+1,0,IF(CROQUIS!$C$105=1,-12,2),CROQUIS!$C$107/2+CROQUIS!$C$141,IF(CROQUIS!$C$105=1,-12,2),0)))*CROQUIS!$C$155)+IF(CROQUIS!$C$92="X",0,0)),-1000)</f>
        <v>-1000</v>
      </c>
      <c r="BQ339">
        <f>IF(AND(CROQUIS!$C$88=1,CROQUIS!$C$91=0,CROQUIS!$C$138&gt;0,OR(CROQUIS!$C$105=1,CROQUIS!$C$143=1)),((CROQUIS!$C$157+(IF(CROQUIS!$C$92="X",CHOOSE(IF(INT(($A339-1)/5)&gt;MAX((MIN(80,MAX(1,INT(((CROQUIS!$C$97)-CROQUIS!$C$107)/MAX(CROQUIS!$C$138,1))+1)))-1,0),0,MOD($A339-1,5))+1,0,IF(CROQUIS!$C$105=1,-12,2),CROQUIS!$C$107/2+CROQUIS!$C$141,IF(CROQUIS!$C$105=1,-12,2),0),((CROQUIS!$C$107/2+(((CROQUIS!$C$97)-CROQUIS!$C$107)-(MIN(80,MAX(1,INT(((CROQUIS!$C$97)-CROQUIS!$C$107)/MAX(CROQUIS!$C$138,1))+1))-1)*CROQUIS!$C$138)/2)+MIN(INT(($A339-1)/5),MAX((MIN(80,MAX(1,INT(((CROQUIS!$C$97)-CROQUIS!$C$107)/MAX(CROQUIS!$C$138,1))+1)))-1,0))*CROQUIS!$C$138)))*CROQUIS!$C$155)+IF(CROQUIS!$C$92="X",0,0)),-1000)</f>
        <v>-1000</v>
      </c>
      <c r="BR33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339-1)/5),MAX((MIN(80,MAX(1,INT(((CROQUIS!$C$97)-CROQUIS!$C$107)/MAX(CROQUIS!$C$138,1))+1)))-1,0))*CROQUIS!$C$138),CHOOSE(IF(INT(($A339-1)/5)&gt;MAX((MIN(80,MAX(1,INT(((CROQUIS!$C$97)-CROQUIS!$C$107)/MAX(CROQUIS!$C$138,1))+1)))-1,0),0,MOD($A339-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39">
        <f>IF(AND(CROQUIS!$C$88=1,CROQUIS!$C$91=0,CROQUIS!$C$138&gt;0,OR(CROQUIS!$C$106=1,CROQUIS!$C$143=1)),((CROQUIS!$C$157+(IF(CROQUIS!$C$92="X",CHOOSE(IF(INT(($A339-1)/5)&gt;MAX((MIN(80,MAX(1,INT(((CROQUIS!$C$97)-CROQUIS!$C$107)/MAX(CROQUIS!$C$138,1))+1)))-1,0),0,MOD($A339-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339-1)/5),MAX((MIN(80,MAX(1,INT(((CROQUIS!$C$97)-CROQUIS!$C$107)/MAX(CROQUIS!$C$138,1))+1)))-1,0))*CROQUIS!$C$138)))*CROQUIS!$C$155)+IF(CROQUIS!$C$92="X",0,0)),-1000)</f>
        <v>-1000</v>
      </c>
      <c r="BT339">
        <f>IF(AND(CROQUIS!$C$88=1,CROQUIS!$C$91=1,CROQUIS!$C$130&gt;0),((CROQUIS!$C$156+(IF(CROQUIS!$C$92="X",CHOOSE(IF(INT(($A339-1)/5)&gt;MAX((MIN(80,MAX(1,INT(((CROQUIS!$C$98)-CROQUIS!$C$107)/MAX(CROQUIS!$C$130,1))+1)))-1,0),0,MOD($A339-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339-1)/5),MAX((MIN(80,MAX(1,INT(((CROQUIS!$C$98)-CROQUIS!$C$107)/MAX(CROQUIS!$C$130,1))+1)))-1,0))*CROQUIS!$C$130)))*CROQUIS!$C$155)+IF(CROQUIS!$C$92="X",0,0)),-1000)</f>
        <v>-1000</v>
      </c>
      <c r="BU339">
        <f>IF(AND(CROQUIS!$C$88=1,CROQUIS!$C$91=1,CROQUIS!$C$130&gt;0),((CROQUIS!$C$157+(IF(CROQUIS!$C$92="X",((CROQUIS!$C$107/2+(((CROQUIS!$C$98)-CROQUIS!$C$107)-(MIN(80,MAX(1,INT(((CROQUIS!$C$98)-CROQUIS!$C$107)/MAX(CROQUIS!$C$130,1))+1))-1)*CROQUIS!$C$130)/2)+MIN(INT(($A339-1)/5),MAX((MIN(80,MAX(1,INT(((CROQUIS!$C$98)-CROQUIS!$C$107)/MAX(CROQUIS!$C$130,1))+1)))-1,0))*CROQUIS!$C$130),CHOOSE(IF(INT(($A339-1)/5)&gt;MAX((MIN(80,MAX(1,INT(((CROQUIS!$C$98)-CROQUIS!$C$107)/MAX(CROQUIS!$C$130,1))+1)))-1,0),0,MOD($A339-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40">
      <c r="A340" t="n">
        <v>333</v>
      </c>
      <c r="BH340">
        <f>IF(AND(CROQUIS!$C$88=1,CROQUIS!$C$126&gt;0),((CROQUIS!$C$156+(IF(CROQUIS!$C$92="X",CHOOSE(IF(INT(($A340-1)/5)&gt;MAX((MIN(80,MAX(1,INT(((CROQUIS!$C$98)-CROQUIS!$C$107)/MAX(CROQUIS!$C$126,1))+1)))-1,0),0,MOD($A340-1,5))+1,0,2,CROQUIS!$C$97-2,2,0),((CROQUIS!$C$107/2+(((CROQUIS!$C$98)-CROQUIS!$C$107)-(MIN(80,MAX(1,INT(((CROQUIS!$C$98)-CROQUIS!$C$107)/MAX(CROQUIS!$C$126,1))+1))-1)*CROQUIS!$C$126)/2)+MIN(INT(($A340-1)/5),MAX((MIN(80,MAX(1,INT(((CROQUIS!$C$98)-CROQUIS!$C$107)/MAX(CROQUIS!$C$126,1))+1)))-1,0))*CROQUIS!$C$126)))*CROQUIS!$C$155)+IF(CROQUIS!$C$92="X",0,0)),-1000)</f>
        <v>-1000</v>
      </c>
      <c r="BI340">
        <f>IF(AND(CROQUIS!$C$88=1,CROQUIS!$C$126&gt;0),((CROQUIS!$C$157+(IF(CROQUIS!$C$92="X",((CROQUIS!$C$107/2+(((CROQUIS!$C$98)-CROQUIS!$C$107)-(MIN(80,MAX(1,INT(((CROQUIS!$C$98)-CROQUIS!$C$107)/MAX(CROQUIS!$C$126,1))+1))-1)*CROQUIS!$C$126)/2)+MIN(INT(($A340-1)/5),MAX((MIN(80,MAX(1,INT(((CROQUIS!$C$98)-CROQUIS!$C$107)/MAX(CROQUIS!$C$126,1))+1)))-1,0))*CROQUIS!$C$126),CHOOSE(IF(INT(($A340-1)/5)&gt;MAX((MIN(80,MAX(1,INT(((CROQUIS!$C$98)-CROQUIS!$C$107)/MAX(CROQUIS!$C$126,1))+1)))-1,0),0,MOD($A340-1,5))+1,0,2,CROQUIS!$C$97-2,2,0)))*CROQUIS!$C$155)+IF(CROQUIS!$C$92="X",0,0)),-1000)</f>
        <v>-1000</v>
      </c>
      <c r="BJ340">
        <f>IF(AND(CROQUIS!$C$88=1,CROQUIS!$C$134&gt;0),((CROQUIS!$C$156+(IF(CROQUIS!$C$92="X",((CROQUIS!$C$107/2+(((CROQUIS!$C$97)-CROQUIS!$C$107)-(MIN(80,MAX(1,INT(((CROQUIS!$C$97)-CROQUIS!$C$107)/MAX(CROQUIS!$C$134,1))+1))-1)*CROQUIS!$C$134)/2)+MIN(INT(($A340-1)/5),MAX((MIN(80,MAX(1,INT(((CROQUIS!$C$97)-CROQUIS!$C$107)/MAX(CROQUIS!$C$134,1))+1)))-1,0))*CROQUIS!$C$134),CHOOSE(IF(INT(($A340-1)/5)&gt;MAX((MIN(80,MAX(1,INT(((CROQUIS!$C$97)-CROQUIS!$C$107)/MAX(CROQUIS!$C$134,1))+1)))-1,0),0,MOD($A340-1,5))+1,0,2,CROQUIS!$C$98-2,2,0)))*CROQUIS!$C$155)+IF(CROQUIS!$C$92="X",0,0)),-1000)</f>
        <v>-1000</v>
      </c>
      <c r="BK340">
        <f>IF(AND(CROQUIS!$C$88=1,CROQUIS!$C$134&gt;0),((CROQUIS!$C$157+(IF(CROQUIS!$C$92="X",CHOOSE(IF(INT(($A340-1)/5)&gt;MAX((MIN(80,MAX(1,INT(((CROQUIS!$C$97)-CROQUIS!$C$107)/MAX(CROQUIS!$C$134,1))+1)))-1,0),0,MOD($A340-1,5))+1,0,2,CROQUIS!$C$98-2,2,0),((CROQUIS!$C$107/2+(((CROQUIS!$C$97)-CROQUIS!$C$107)-(MIN(80,MAX(1,INT(((CROQUIS!$C$97)-CROQUIS!$C$107)/MAX(CROQUIS!$C$134,1))+1))-1)*CROQUIS!$C$134)/2)+MIN(INT(($A340-1)/5),MAX((MIN(80,MAX(1,INT(((CROQUIS!$C$97)-CROQUIS!$C$107)/MAX(CROQUIS!$C$134,1))+1)))-1,0))*CROQUIS!$C$134)))*CROQUIS!$C$155)+IF(CROQUIS!$C$92="X",0,0)),-1000)</f>
        <v>-1000</v>
      </c>
      <c r="BL340">
        <f>IF(AND(CROQUIS!$C$88=1,CROQUIS!$C$91=0,CROQUIS!$C$130&gt;0,OR(CROQUIS!$C$103=1,CROQUIS!$C$142=1)),((CROQUIS!$C$156+(IF(CROQUIS!$C$92="X",CHOOSE(IF(INT(($A340-1)/5)&gt;MAX((MIN(80,MAX(1,INT(((CROQUIS!$C$98)-CROQUIS!$C$107)/MAX(CROQUIS!$C$130,1))+1)))-1,0),0,MOD($A340-1,5))+1,0,IF(CROQUIS!$C$103=1,-12,2),CROQUIS!$C$107/2+CROQUIS!$C$140,IF(CROQUIS!$C$103=1,-12,2),0),((CROQUIS!$C$107/2+(((CROQUIS!$C$98)-CROQUIS!$C$107)-(MIN(80,MAX(1,INT(((CROQUIS!$C$98)-CROQUIS!$C$107)/MAX(CROQUIS!$C$130,1))+1))-1)*CROQUIS!$C$130)/2)+MIN(INT(($A340-1)/5),MAX((MIN(80,MAX(1,INT(((CROQUIS!$C$98)-CROQUIS!$C$107)/MAX(CROQUIS!$C$130,1))+1)))-1,0))*CROQUIS!$C$130)))*CROQUIS!$C$155)+IF(CROQUIS!$C$92="X",0,0)),-1000)</f>
        <v>-1000</v>
      </c>
      <c r="BM34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340-1)/5),MAX((MIN(80,MAX(1,INT(((CROQUIS!$C$98)-CROQUIS!$C$107)/MAX(CROQUIS!$C$130,1))+1)))-1,0))*CROQUIS!$C$130),CHOOSE(IF(INT(($A340-1)/5)&gt;MAX((MIN(80,MAX(1,INT(((CROQUIS!$C$98)-CROQUIS!$C$107)/MAX(CROQUIS!$C$130,1))+1)))-1,0),0,MOD($A340-1,5))+1,0,IF(CROQUIS!$C$103=1,-12,2),CROQUIS!$C$107/2+CROQUIS!$C$140,IF(CROQUIS!$C$103=1,-12,2),0)))*CROQUIS!$C$155)+IF(CROQUIS!$C$92="X",0,0)),-1000)</f>
        <v>-1000</v>
      </c>
      <c r="BN340">
        <f>IF(AND(CROQUIS!$C$88=1,CROQUIS!$C$91=0,CROQUIS!$C$130&gt;0,OR(CROQUIS!$C$104=1,CROQUIS!$C$142=1)),((CROQUIS!$C$156+(IF(CROQUIS!$C$92="X",CHOOSE(IF(INT(($A340-1)/5)&gt;MAX((MIN(80,MAX(1,INT(((CROQUIS!$C$98)-CROQUIS!$C$107)/MAX(CROQUIS!$C$130,1))+1)))-1,0),0,MOD($A340-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340-1)/5),MAX((MIN(80,MAX(1,INT(((CROQUIS!$C$98)-CROQUIS!$C$107)/MAX(CROQUIS!$C$130,1))+1)))-1,0))*CROQUIS!$C$130)))*CROQUIS!$C$155)+IF(CROQUIS!$C$92="X",0,0)),-1000)</f>
        <v>-1000</v>
      </c>
      <c r="BO34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340-1)/5),MAX((MIN(80,MAX(1,INT(((CROQUIS!$C$98)-CROQUIS!$C$107)/MAX(CROQUIS!$C$130,1))+1)))-1,0))*CROQUIS!$C$130),CHOOSE(IF(INT(($A340-1)/5)&gt;MAX((MIN(80,MAX(1,INT(((CROQUIS!$C$98)-CROQUIS!$C$107)/MAX(CROQUIS!$C$130,1))+1)))-1,0),0,MOD($A340-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4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340-1)/5),MAX((MIN(80,MAX(1,INT(((CROQUIS!$C$97)-CROQUIS!$C$107)/MAX(CROQUIS!$C$138,1))+1)))-1,0))*CROQUIS!$C$138),CHOOSE(IF(INT(($A340-1)/5)&gt;MAX((MIN(80,MAX(1,INT(((CROQUIS!$C$97)-CROQUIS!$C$107)/MAX(CROQUIS!$C$138,1))+1)))-1,0),0,MOD($A340-1,5))+1,0,IF(CROQUIS!$C$105=1,-12,2),CROQUIS!$C$107/2+CROQUIS!$C$141,IF(CROQUIS!$C$105=1,-12,2),0)))*CROQUIS!$C$155)+IF(CROQUIS!$C$92="X",0,0)),-1000)</f>
        <v>-1000</v>
      </c>
      <c r="BQ340">
        <f>IF(AND(CROQUIS!$C$88=1,CROQUIS!$C$91=0,CROQUIS!$C$138&gt;0,OR(CROQUIS!$C$105=1,CROQUIS!$C$143=1)),((CROQUIS!$C$157+(IF(CROQUIS!$C$92="X",CHOOSE(IF(INT(($A340-1)/5)&gt;MAX((MIN(80,MAX(1,INT(((CROQUIS!$C$97)-CROQUIS!$C$107)/MAX(CROQUIS!$C$138,1))+1)))-1,0),0,MOD($A340-1,5))+1,0,IF(CROQUIS!$C$105=1,-12,2),CROQUIS!$C$107/2+CROQUIS!$C$141,IF(CROQUIS!$C$105=1,-12,2),0),((CROQUIS!$C$107/2+(((CROQUIS!$C$97)-CROQUIS!$C$107)-(MIN(80,MAX(1,INT(((CROQUIS!$C$97)-CROQUIS!$C$107)/MAX(CROQUIS!$C$138,1))+1))-1)*CROQUIS!$C$138)/2)+MIN(INT(($A340-1)/5),MAX((MIN(80,MAX(1,INT(((CROQUIS!$C$97)-CROQUIS!$C$107)/MAX(CROQUIS!$C$138,1))+1)))-1,0))*CROQUIS!$C$138)))*CROQUIS!$C$155)+IF(CROQUIS!$C$92="X",0,0)),-1000)</f>
        <v>-1000</v>
      </c>
      <c r="BR34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340-1)/5),MAX((MIN(80,MAX(1,INT(((CROQUIS!$C$97)-CROQUIS!$C$107)/MAX(CROQUIS!$C$138,1))+1)))-1,0))*CROQUIS!$C$138),CHOOSE(IF(INT(($A340-1)/5)&gt;MAX((MIN(80,MAX(1,INT(((CROQUIS!$C$97)-CROQUIS!$C$107)/MAX(CROQUIS!$C$138,1))+1)))-1,0),0,MOD($A340-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40">
        <f>IF(AND(CROQUIS!$C$88=1,CROQUIS!$C$91=0,CROQUIS!$C$138&gt;0,OR(CROQUIS!$C$106=1,CROQUIS!$C$143=1)),((CROQUIS!$C$157+(IF(CROQUIS!$C$92="X",CHOOSE(IF(INT(($A340-1)/5)&gt;MAX((MIN(80,MAX(1,INT(((CROQUIS!$C$97)-CROQUIS!$C$107)/MAX(CROQUIS!$C$138,1))+1)))-1,0),0,MOD($A340-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340-1)/5),MAX((MIN(80,MAX(1,INT(((CROQUIS!$C$97)-CROQUIS!$C$107)/MAX(CROQUIS!$C$138,1))+1)))-1,0))*CROQUIS!$C$138)))*CROQUIS!$C$155)+IF(CROQUIS!$C$92="X",0,0)),-1000)</f>
        <v>-1000</v>
      </c>
      <c r="BT340">
        <f>IF(AND(CROQUIS!$C$88=1,CROQUIS!$C$91=1,CROQUIS!$C$130&gt;0),((CROQUIS!$C$156+(IF(CROQUIS!$C$92="X",CHOOSE(IF(INT(($A340-1)/5)&gt;MAX((MIN(80,MAX(1,INT(((CROQUIS!$C$98)-CROQUIS!$C$107)/MAX(CROQUIS!$C$130,1))+1)))-1,0),0,MOD($A340-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340-1)/5),MAX((MIN(80,MAX(1,INT(((CROQUIS!$C$98)-CROQUIS!$C$107)/MAX(CROQUIS!$C$130,1))+1)))-1,0))*CROQUIS!$C$130)))*CROQUIS!$C$155)+IF(CROQUIS!$C$92="X",0,0)),-1000)</f>
        <v>-1000</v>
      </c>
      <c r="BU340">
        <f>IF(AND(CROQUIS!$C$88=1,CROQUIS!$C$91=1,CROQUIS!$C$130&gt;0),((CROQUIS!$C$157+(IF(CROQUIS!$C$92="X",((CROQUIS!$C$107/2+(((CROQUIS!$C$98)-CROQUIS!$C$107)-(MIN(80,MAX(1,INT(((CROQUIS!$C$98)-CROQUIS!$C$107)/MAX(CROQUIS!$C$130,1))+1))-1)*CROQUIS!$C$130)/2)+MIN(INT(($A340-1)/5),MAX((MIN(80,MAX(1,INT(((CROQUIS!$C$98)-CROQUIS!$C$107)/MAX(CROQUIS!$C$130,1))+1)))-1,0))*CROQUIS!$C$130),CHOOSE(IF(INT(($A340-1)/5)&gt;MAX((MIN(80,MAX(1,INT(((CROQUIS!$C$98)-CROQUIS!$C$107)/MAX(CROQUIS!$C$130,1))+1)))-1,0),0,MOD($A340-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41">
      <c r="A341" t="n">
        <v>334</v>
      </c>
      <c r="BH341">
        <f>IF(AND(CROQUIS!$C$88=1,CROQUIS!$C$126&gt;0),((CROQUIS!$C$156+(IF(CROQUIS!$C$92="X",CHOOSE(IF(INT(($A341-1)/5)&gt;MAX((MIN(80,MAX(1,INT(((CROQUIS!$C$98)-CROQUIS!$C$107)/MAX(CROQUIS!$C$126,1))+1)))-1,0),0,MOD($A341-1,5))+1,0,2,CROQUIS!$C$97-2,2,0),((CROQUIS!$C$107/2+(((CROQUIS!$C$98)-CROQUIS!$C$107)-(MIN(80,MAX(1,INT(((CROQUIS!$C$98)-CROQUIS!$C$107)/MAX(CROQUIS!$C$126,1))+1))-1)*CROQUIS!$C$126)/2)+MIN(INT(($A341-1)/5),MAX((MIN(80,MAX(1,INT(((CROQUIS!$C$98)-CROQUIS!$C$107)/MAX(CROQUIS!$C$126,1))+1)))-1,0))*CROQUIS!$C$126)))*CROQUIS!$C$155)+IF(CROQUIS!$C$92="X",0,0)),-1000)</f>
        <v>-1000</v>
      </c>
      <c r="BI341">
        <f>IF(AND(CROQUIS!$C$88=1,CROQUIS!$C$126&gt;0),((CROQUIS!$C$157+(IF(CROQUIS!$C$92="X",((CROQUIS!$C$107/2+(((CROQUIS!$C$98)-CROQUIS!$C$107)-(MIN(80,MAX(1,INT(((CROQUIS!$C$98)-CROQUIS!$C$107)/MAX(CROQUIS!$C$126,1))+1))-1)*CROQUIS!$C$126)/2)+MIN(INT(($A341-1)/5),MAX((MIN(80,MAX(1,INT(((CROQUIS!$C$98)-CROQUIS!$C$107)/MAX(CROQUIS!$C$126,1))+1)))-1,0))*CROQUIS!$C$126),CHOOSE(IF(INT(($A341-1)/5)&gt;MAX((MIN(80,MAX(1,INT(((CROQUIS!$C$98)-CROQUIS!$C$107)/MAX(CROQUIS!$C$126,1))+1)))-1,0),0,MOD($A341-1,5))+1,0,2,CROQUIS!$C$97-2,2,0)))*CROQUIS!$C$155)+IF(CROQUIS!$C$92="X",0,0)),-1000)</f>
        <v>-1000</v>
      </c>
      <c r="BJ341">
        <f>IF(AND(CROQUIS!$C$88=1,CROQUIS!$C$134&gt;0),((CROQUIS!$C$156+(IF(CROQUIS!$C$92="X",((CROQUIS!$C$107/2+(((CROQUIS!$C$97)-CROQUIS!$C$107)-(MIN(80,MAX(1,INT(((CROQUIS!$C$97)-CROQUIS!$C$107)/MAX(CROQUIS!$C$134,1))+1))-1)*CROQUIS!$C$134)/2)+MIN(INT(($A341-1)/5),MAX((MIN(80,MAX(1,INT(((CROQUIS!$C$97)-CROQUIS!$C$107)/MAX(CROQUIS!$C$134,1))+1)))-1,0))*CROQUIS!$C$134),CHOOSE(IF(INT(($A341-1)/5)&gt;MAX((MIN(80,MAX(1,INT(((CROQUIS!$C$97)-CROQUIS!$C$107)/MAX(CROQUIS!$C$134,1))+1)))-1,0),0,MOD($A341-1,5))+1,0,2,CROQUIS!$C$98-2,2,0)))*CROQUIS!$C$155)+IF(CROQUIS!$C$92="X",0,0)),-1000)</f>
        <v>-1000</v>
      </c>
      <c r="BK341">
        <f>IF(AND(CROQUIS!$C$88=1,CROQUIS!$C$134&gt;0),((CROQUIS!$C$157+(IF(CROQUIS!$C$92="X",CHOOSE(IF(INT(($A341-1)/5)&gt;MAX((MIN(80,MAX(1,INT(((CROQUIS!$C$97)-CROQUIS!$C$107)/MAX(CROQUIS!$C$134,1))+1)))-1,0),0,MOD($A341-1,5))+1,0,2,CROQUIS!$C$98-2,2,0),((CROQUIS!$C$107/2+(((CROQUIS!$C$97)-CROQUIS!$C$107)-(MIN(80,MAX(1,INT(((CROQUIS!$C$97)-CROQUIS!$C$107)/MAX(CROQUIS!$C$134,1))+1))-1)*CROQUIS!$C$134)/2)+MIN(INT(($A341-1)/5),MAX((MIN(80,MAX(1,INT(((CROQUIS!$C$97)-CROQUIS!$C$107)/MAX(CROQUIS!$C$134,1))+1)))-1,0))*CROQUIS!$C$134)))*CROQUIS!$C$155)+IF(CROQUIS!$C$92="X",0,0)),-1000)</f>
        <v>-1000</v>
      </c>
      <c r="BL341">
        <f>IF(AND(CROQUIS!$C$88=1,CROQUIS!$C$91=0,CROQUIS!$C$130&gt;0,OR(CROQUIS!$C$103=1,CROQUIS!$C$142=1)),((CROQUIS!$C$156+(IF(CROQUIS!$C$92="X",CHOOSE(IF(INT(($A341-1)/5)&gt;MAX((MIN(80,MAX(1,INT(((CROQUIS!$C$98)-CROQUIS!$C$107)/MAX(CROQUIS!$C$130,1))+1)))-1,0),0,MOD($A341-1,5))+1,0,IF(CROQUIS!$C$103=1,-12,2),CROQUIS!$C$107/2+CROQUIS!$C$140,IF(CROQUIS!$C$103=1,-12,2),0),((CROQUIS!$C$107/2+(((CROQUIS!$C$98)-CROQUIS!$C$107)-(MIN(80,MAX(1,INT(((CROQUIS!$C$98)-CROQUIS!$C$107)/MAX(CROQUIS!$C$130,1))+1))-1)*CROQUIS!$C$130)/2)+MIN(INT(($A341-1)/5),MAX((MIN(80,MAX(1,INT(((CROQUIS!$C$98)-CROQUIS!$C$107)/MAX(CROQUIS!$C$130,1))+1)))-1,0))*CROQUIS!$C$130)))*CROQUIS!$C$155)+IF(CROQUIS!$C$92="X",0,0)),-1000)</f>
        <v>-1000</v>
      </c>
      <c r="BM34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341-1)/5),MAX((MIN(80,MAX(1,INT(((CROQUIS!$C$98)-CROQUIS!$C$107)/MAX(CROQUIS!$C$130,1))+1)))-1,0))*CROQUIS!$C$130),CHOOSE(IF(INT(($A341-1)/5)&gt;MAX((MIN(80,MAX(1,INT(((CROQUIS!$C$98)-CROQUIS!$C$107)/MAX(CROQUIS!$C$130,1))+1)))-1,0),0,MOD($A341-1,5))+1,0,IF(CROQUIS!$C$103=1,-12,2),CROQUIS!$C$107/2+CROQUIS!$C$140,IF(CROQUIS!$C$103=1,-12,2),0)))*CROQUIS!$C$155)+IF(CROQUIS!$C$92="X",0,0)),-1000)</f>
        <v>-1000</v>
      </c>
      <c r="BN341">
        <f>IF(AND(CROQUIS!$C$88=1,CROQUIS!$C$91=0,CROQUIS!$C$130&gt;0,OR(CROQUIS!$C$104=1,CROQUIS!$C$142=1)),((CROQUIS!$C$156+(IF(CROQUIS!$C$92="X",CHOOSE(IF(INT(($A341-1)/5)&gt;MAX((MIN(80,MAX(1,INT(((CROQUIS!$C$98)-CROQUIS!$C$107)/MAX(CROQUIS!$C$130,1))+1)))-1,0),0,MOD($A341-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341-1)/5),MAX((MIN(80,MAX(1,INT(((CROQUIS!$C$98)-CROQUIS!$C$107)/MAX(CROQUIS!$C$130,1))+1)))-1,0))*CROQUIS!$C$130)))*CROQUIS!$C$155)+IF(CROQUIS!$C$92="X",0,0)),-1000)</f>
        <v>-1000</v>
      </c>
      <c r="BO34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341-1)/5),MAX((MIN(80,MAX(1,INT(((CROQUIS!$C$98)-CROQUIS!$C$107)/MAX(CROQUIS!$C$130,1))+1)))-1,0))*CROQUIS!$C$130),CHOOSE(IF(INT(($A341-1)/5)&gt;MAX((MIN(80,MAX(1,INT(((CROQUIS!$C$98)-CROQUIS!$C$107)/MAX(CROQUIS!$C$130,1))+1)))-1,0),0,MOD($A341-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4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341-1)/5),MAX((MIN(80,MAX(1,INT(((CROQUIS!$C$97)-CROQUIS!$C$107)/MAX(CROQUIS!$C$138,1))+1)))-1,0))*CROQUIS!$C$138),CHOOSE(IF(INT(($A341-1)/5)&gt;MAX((MIN(80,MAX(1,INT(((CROQUIS!$C$97)-CROQUIS!$C$107)/MAX(CROQUIS!$C$138,1))+1)))-1,0),0,MOD($A341-1,5))+1,0,IF(CROQUIS!$C$105=1,-12,2),CROQUIS!$C$107/2+CROQUIS!$C$141,IF(CROQUIS!$C$105=1,-12,2),0)))*CROQUIS!$C$155)+IF(CROQUIS!$C$92="X",0,0)),-1000)</f>
        <v>-1000</v>
      </c>
      <c r="BQ341">
        <f>IF(AND(CROQUIS!$C$88=1,CROQUIS!$C$91=0,CROQUIS!$C$138&gt;0,OR(CROQUIS!$C$105=1,CROQUIS!$C$143=1)),((CROQUIS!$C$157+(IF(CROQUIS!$C$92="X",CHOOSE(IF(INT(($A341-1)/5)&gt;MAX((MIN(80,MAX(1,INT(((CROQUIS!$C$97)-CROQUIS!$C$107)/MAX(CROQUIS!$C$138,1))+1)))-1,0),0,MOD($A341-1,5))+1,0,IF(CROQUIS!$C$105=1,-12,2),CROQUIS!$C$107/2+CROQUIS!$C$141,IF(CROQUIS!$C$105=1,-12,2),0),((CROQUIS!$C$107/2+(((CROQUIS!$C$97)-CROQUIS!$C$107)-(MIN(80,MAX(1,INT(((CROQUIS!$C$97)-CROQUIS!$C$107)/MAX(CROQUIS!$C$138,1))+1))-1)*CROQUIS!$C$138)/2)+MIN(INT(($A341-1)/5),MAX((MIN(80,MAX(1,INT(((CROQUIS!$C$97)-CROQUIS!$C$107)/MAX(CROQUIS!$C$138,1))+1)))-1,0))*CROQUIS!$C$138)))*CROQUIS!$C$155)+IF(CROQUIS!$C$92="X",0,0)),-1000)</f>
        <v>-1000</v>
      </c>
      <c r="BR34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341-1)/5),MAX((MIN(80,MAX(1,INT(((CROQUIS!$C$97)-CROQUIS!$C$107)/MAX(CROQUIS!$C$138,1))+1)))-1,0))*CROQUIS!$C$138),CHOOSE(IF(INT(($A341-1)/5)&gt;MAX((MIN(80,MAX(1,INT(((CROQUIS!$C$97)-CROQUIS!$C$107)/MAX(CROQUIS!$C$138,1))+1)))-1,0),0,MOD($A341-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41">
        <f>IF(AND(CROQUIS!$C$88=1,CROQUIS!$C$91=0,CROQUIS!$C$138&gt;0,OR(CROQUIS!$C$106=1,CROQUIS!$C$143=1)),((CROQUIS!$C$157+(IF(CROQUIS!$C$92="X",CHOOSE(IF(INT(($A341-1)/5)&gt;MAX((MIN(80,MAX(1,INT(((CROQUIS!$C$97)-CROQUIS!$C$107)/MAX(CROQUIS!$C$138,1))+1)))-1,0),0,MOD($A341-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341-1)/5),MAX((MIN(80,MAX(1,INT(((CROQUIS!$C$97)-CROQUIS!$C$107)/MAX(CROQUIS!$C$138,1))+1)))-1,0))*CROQUIS!$C$138)))*CROQUIS!$C$155)+IF(CROQUIS!$C$92="X",0,0)),-1000)</f>
        <v>-1000</v>
      </c>
      <c r="BT341">
        <f>IF(AND(CROQUIS!$C$88=1,CROQUIS!$C$91=1,CROQUIS!$C$130&gt;0),((CROQUIS!$C$156+(IF(CROQUIS!$C$92="X",CHOOSE(IF(INT(($A341-1)/5)&gt;MAX((MIN(80,MAX(1,INT(((CROQUIS!$C$98)-CROQUIS!$C$107)/MAX(CROQUIS!$C$130,1))+1)))-1,0),0,MOD($A341-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341-1)/5),MAX((MIN(80,MAX(1,INT(((CROQUIS!$C$98)-CROQUIS!$C$107)/MAX(CROQUIS!$C$130,1))+1)))-1,0))*CROQUIS!$C$130)))*CROQUIS!$C$155)+IF(CROQUIS!$C$92="X",0,0)),-1000)</f>
        <v>-1000</v>
      </c>
      <c r="BU341">
        <f>IF(AND(CROQUIS!$C$88=1,CROQUIS!$C$91=1,CROQUIS!$C$130&gt;0),((CROQUIS!$C$157+(IF(CROQUIS!$C$92="X",((CROQUIS!$C$107/2+(((CROQUIS!$C$98)-CROQUIS!$C$107)-(MIN(80,MAX(1,INT(((CROQUIS!$C$98)-CROQUIS!$C$107)/MAX(CROQUIS!$C$130,1))+1))-1)*CROQUIS!$C$130)/2)+MIN(INT(($A341-1)/5),MAX((MIN(80,MAX(1,INT(((CROQUIS!$C$98)-CROQUIS!$C$107)/MAX(CROQUIS!$C$130,1))+1)))-1,0))*CROQUIS!$C$130),CHOOSE(IF(INT(($A341-1)/5)&gt;MAX((MIN(80,MAX(1,INT(((CROQUIS!$C$98)-CROQUIS!$C$107)/MAX(CROQUIS!$C$130,1))+1)))-1,0),0,MOD($A341-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42">
      <c r="A342" t="n">
        <v>335</v>
      </c>
      <c r="BH342">
        <f>IF(AND(CROQUIS!$C$88=1,CROQUIS!$C$126&gt;0),((CROQUIS!$C$156+(IF(CROQUIS!$C$92="X",CHOOSE(IF(INT(($A342-1)/5)&gt;MAX((MIN(80,MAX(1,INT(((CROQUIS!$C$98)-CROQUIS!$C$107)/MAX(CROQUIS!$C$126,1))+1)))-1,0),0,MOD($A342-1,5))+1,0,2,CROQUIS!$C$97-2,2,0),((CROQUIS!$C$107/2+(((CROQUIS!$C$98)-CROQUIS!$C$107)-(MIN(80,MAX(1,INT(((CROQUIS!$C$98)-CROQUIS!$C$107)/MAX(CROQUIS!$C$126,1))+1))-1)*CROQUIS!$C$126)/2)+MIN(INT(($A342-1)/5),MAX((MIN(80,MAX(1,INT(((CROQUIS!$C$98)-CROQUIS!$C$107)/MAX(CROQUIS!$C$126,1))+1)))-1,0))*CROQUIS!$C$126)))*CROQUIS!$C$155)+IF(CROQUIS!$C$92="X",0,0)),-1000)</f>
        <v>-1000</v>
      </c>
      <c r="BI342">
        <f>IF(AND(CROQUIS!$C$88=1,CROQUIS!$C$126&gt;0),((CROQUIS!$C$157+(IF(CROQUIS!$C$92="X",((CROQUIS!$C$107/2+(((CROQUIS!$C$98)-CROQUIS!$C$107)-(MIN(80,MAX(1,INT(((CROQUIS!$C$98)-CROQUIS!$C$107)/MAX(CROQUIS!$C$126,1))+1))-1)*CROQUIS!$C$126)/2)+MIN(INT(($A342-1)/5),MAX((MIN(80,MAX(1,INT(((CROQUIS!$C$98)-CROQUIS!$C$107)/MAX(CROQUIS!$C$126,1))+1)))-1,0))*CROQUIS!$C$126),CHOOSE(IF(INT(($A342-1)/5)&gt;MAX((MIN(80,MAX(1,INT(((CROQUIS!$C$98)-CROQUIS!$C$107)/MAX(CROQUIS!$C$126,1))+1)))-1,0),0,MOD($A342-1,5))+1,0,2,CROQUIS!$C$97-2,2,0)))*CROQUIS!$C$155)+IF(CROQUIS!$C$92="X",0,0)),-1000)</f>
        <v>-1000</v>
      </c>
      <c r="BJ342">
        <f>IF(AND(CROQUIS!$C$88=1,CROQUIS!$C$134&gt;0),((CROQUIS!$C$156+(IF(CROQUIS!$C$92="X",((CROQUIS!$C$107/2+(((CROQUIS!$C$97)-CROQUIS!$C$107)-(MIN(80,MAX(1,INT(((CROQUIS!$C$97)-CROQUIS!$C$107)/MAX(CROQUIS!$C$134,1))+1))-1)*CROQUIS!$C$134)/2)+MIN(INT(($A342-1)/5),MAX((MIN(80,MAX(1,INT(((CROQUIS!$C$97)-CROQUIS!$C$107)/MAX(CROQUIS!$C$134,1))+1)))-1,0))*CROQUIS!$C$134),CHOOSE(IF(INT(($A342-1)/5)&gt;MAX((MIN(80,MAX(1,INT(((CROQUIS!$C$97)-CROQUIS!$C$107)/MAX(CROQUIS!$C$134,1))+1)))-1,0),0,MOD($A342-1,5))+1,0,2,CROQUIS!$C$98-2,2,0)))*CROQUIS!$C$155)+IF(CROQUIS!$C$92="X",0,0)),-1000)</f>
        <v>-1000</v>
      </c>
      <c r="BK342">
        <f>IF(AND(CROQUIS!$C$88=1,CROQUIS!$C$134&gt;0),((CROQUIS!$C$157+(IF(CROQUIS!$C$92="X",CHOOSE(IF(INT(($A342-1)/5)&gt;MAX((MIN(80,MAX(1,INT(((CROQUIS!$C$97)-CROQUIS!$C$107)/MAX(CROQUIS!$C$134,1))+1)))-1,0),0,MOD($A342-1,5))+1,0,2,CROQUIS!$C$98-2,2,0),((CROQUIS!$C$107/2+(((CROQUIS!$C$97)-CROQUIS!$C$107)-(MIN(80,MAX(1,INT(((CROQUIS!$C$97)-CROQUIS!$C$107)/MAX(CROQUIS!$C$134,1))+1))-1)*CROQUIS!$C$134)/2)+MIN(INT(($A342-1)/5),MAX((MIN(80,MAX(1,INT(((CROQUIS!$C$97)-CROQUIS!$C$107)/MAX(CROQUIS!$C$134,1))+1)))-1,0))*CROQUIS!$C$134)))*CROQUIS!$C$155)+IF(CROQUIS!$C$92="X",0,0)),-1000)</f>
        <v>-1000</v>
      </c>
      <c r="BL342">
        <f>IF(AND(CROQUIS!$C$88=1,CROQUIS!$C$91=0,CROQUIS!$C$130&gt;0,OR(CROQUIS!$C$103=1,CROQUIS!$C$142=1)),((CROQUIS!$C$156+(IF(CROQUIS!$C$92="X",CHOOSE(IF(INT(($A342-1)/5)&gt;MAX((MIN(80,MAX(1,INT(((CROQUIS!$C$98)-CROQUIS!$C$107)/MAX(CROQUIS!$C$130,1))+1)))-1,0),0,MOD($A342-1,5))+1,0,IF(CROQUIS!$C$103=1,-12,2),CROQUIS!$C$107/2+CROQUIS!$C$140,IF(CROQUIS!$C$103=1,-12,2),0),((CROQUIS!$C$107/2+(((CROQUIS!$C$98)-CROQUIS!$C$107)-(MIN(80,MAX(1,INT(((CROQUIS!$C$98)-CROQUIS!$C$107)/MAX(CROQUIS!$C$130,1))+1))-1)*CROQUIS!$C$130)/2)+MIN(INT(($A342-1)/5),MAX((MIN(80,MAX(1,INT(((CROQUIS!$C$98)-CROQUIS!$C$107)/MAX(CROQUIS!$C$130,1))+1)))-1,0))*CROQUIS!$C$130)))*CROQUIS!$C$155)+IF(CROQUIS!$C$92="X",0,0)),-1000)</f>
        <v>-1000</v>
      </c>
      <c r="BM34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342-1)/5),MAX((MIN(80,MAX(1,INT(((CROQUIS!$C$98)-CROQUIS!$C$107)/MAX(CROQUIS!$C$130,1))+1)))-1,0))*CROQUIS!$C$130),CHOOSE(IF(INT(($A342-1)/5)&gt;MAX((MIN(80,MAX(1,INT(((CROQUIS!$C$98)-CROQUIS!$C$107)/MAX(CROQUIS!$C$130,1))+1)))-1,0),0,MOD($A342-1,5))+1,0,IF(CROQUIS!$C$103=1,-12,2),CROQUIS!$C$107/2+CROQUIS!$C$140,IF(CROQUIS!$C$103=1,-12,2),0)))*CROQUIS!$C$155)+IF(CROQUIS!$C$92="X",0,0)),-1000)</f>
        <v>-1000</v>
      </c>
      <c r="BN342">
        <f>IF(AND(CROQUIS!$C$88=1,CROQUIS!$C$91=0,CROQUIS!$C$130&gt;0,OR(CROQUIS!$C$104=1,CROQUIS!$C$142=1)),((CROQUIS!$C$156+(IF(CROQUIS!$C$92="X",CHOOSE(IF(INT(($A342-1)/5)&gt;MAX((MIN(80,MAX(1,INT(((CROQUIS!$C$98)-CROQUIS!$C$107)/MAX(CROQUIS!$C$130,1))+1)))-1,0),0,MOD($A342-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342-1)/5),MAX((MIN(80,MAX(1,INT(((CROQUIS!$C$98)-CROQUIS!$C$107)/MAX(CROQUIS!$C$130,1))+1)))-1,0))*CROQUIS!$C$130)))*CROQUIS!$C$155)+IF(CROQUIS!$C$92="X",0,0)),-1000)</f>
        <v>-1000</v>
      </c>
      <c r="BO34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342-1)/5),MAX((MIN(80,MAX(1,INT(((CROQUIS!$C$98)-CROQUIS!$C$107)/MAX(CROQUIS!$C$130,1))+1)))-1,0))*CROQUIS!$C$130),CHOOSE(IF(INT(($A342-1)/5)&gt;MAX((MIN(80,MAX(1,INT(((CROQUIS!$C$98)-CROQUIS!$C$107)/MAX(CROQUIS!$C$130,1))+1)))-1,0),0,MOD($A342-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4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342-1)/5),MAX((MIN(80,MAX(1,INT(((CROQUIS!$C$97)-CROQUIS!$C$107)/MAX(CROQUIS!$C$138,1))+1)))-1,0))*CROQUIS!$C$138),CHOOSE(IF(INT(($A342-1)/5)&gt;MAX((MIN(80,MAX(1,INT(((CROQUIS!$C$97)-CROQUIS!$C$107)/MAX(CROQUIS!$C$138,1))+1)))-1,0),0,MOD($A342-1,5))+1,0,IF(CROQUIS!$C$105=1,-12,2),CROQUIS!$C$107/2+CROQUIS!$C$141,IF(CROQUIS!$C$105=1,-12,2),0)))*CROQUIS!$C$155)+IF(CROQUIS!$C$92="X",0,0)),-1000)</f>
        <v>-1000</v>
      </c>
      <c r="BQ342">
        <f>IF(AND(CROQUIS!$C$88=1,CROQUIS!$C$91=0,CROQUIS!$C$138&gt;0,OR(CROQUIS!$C$105=1,CROQUIS!$C$143=1)),((CROQUIS!$C$157+(IF(CROQUIS!$C$92="X",CHOOSE(IF(INT(($A342-1)/5)&gt;MAX((MIN(80,MAX(1,INT(((CROQUIS!$C$97)-CROQUIS!$C$107)/MAX(CROQUIS!$C$138,1))+1)))-1,0),0,MOD($A342-1,5))+1,0,IF(CROQUIS!$C$105=1,-12,2),CROQUIS!$C$107/2+CROQUIS!$C$141,IF(CROQUIS!$C$105=1,-12,2),0),((CROQUIS!$C$107/2+(((CROQUIS!$C$97)-CROQUIS!$C$107)-(MIN(80,MAX(1,INT(((CROQUIS!$C$97)-CROQUIS!$C$107)/MAX(CROQUIS!$C$138,1))+1))-1)*CROQUIS!$C$138)/2)+MIN(INT(($A342-1)/5),MAX((MIN(80,MAX(1,INT(((CROQUIS!$C$97)-CROQUIS!$C$107)/MAX(CROQUIS!$C$138,1))+1)))-1,0))*CROQUIS!$C$138)))*CROQUIS!$C$155)+IF(CROQUIS!$C$92="X",0,0)),-1000)</f>
        <v>-1000</v>
      </c>
      <c r="BR34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342-1)/5),MAX((MIN(80,MAX(1,INT(((CROQUIS!$C$97)-CROQUIS!$C$107)/MAX(CROQUIS!$C$138,1))+1)))-1,0))*CROQUIS!$C$138),CHOOSE(IF(INT(($A342-1)/5)&gt;MAX((MIN(80,MAX(1,INT(((CROQUIS!$C$97)-CROQUIS!$C$107)/MAX(CROQUIS!$C$138,1))+1)))-1,0),0,MOD($A342-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42">
        <f>IF(AND(CROQUIS!$C$88=1,CROQUIS!$C$91=0,CROQUIS!$C$138&gt;0,OR(CROQUIS!$C$106=1,CROQUIS!$C$143=1)),((CROQUIS!$C$157+(IF(CROQUIS!$C$92="X",CHOOSE(IF(INT(($A342-1)/5)&gt;MAX((MIN(80,MAX(1,INT(((CROQUIS!$C$97)-CROQUIS!$C$107)/MAX(CROQUIS!$C$138,1))+1)))-1,0),0,MOD($A342-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342-1)/5),MAX((MIN(80,MAX(1,INT(((CROQUIS!$C$97)-CROQUIS!$C$107)/MAX(CROQUIS!$C$138,1))+1)))-1,0))*CROQUIS!$C$138)))*CROQUIS!$C$155)+IF(CROQUIS!$C$92="X",0,0)),-1000)</f>
        <v>-1000</v>
      </c>
      <c r="BT342">
        <f>IF(AND(CROQUIS!$C$88=1,CROQUIS!$C$91=1,CROQUIS!$C$130&gt;0),((CROQUIS!$C$156+(IF(CROQUIS!$C$92="X",CHOOSE(IF(INT(($A342-1)/5)&gt;MAX((MIN(80,MAX(1,INT(((CROQUIS!$C$98)-CROQUIS!$C$107)/MAX(CROQUIS!$C$130,1))+1)))-1,0),0,MOD($A342-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342-1)/5),MAX((MIN(80,MAX(1,INT(((CROQUIS!$C$98)-CROQUIS!$C$107)/MAX(CROQUIS!$C$130,1))+1)))-1,0))*CROQUIS!$C$130)))*CROQUIS!$C$155)+IF(CROQUIS!$C$92="X",0,0)),-1000)</f>
        <v>-1000</v>
      </c>
      <c r="BU342">
        <f>IF(AND(CROQUIS!$C$88=1,CROQUIS!$C$91=1,CROQUIS!$C$130&gt;0),((CROQUIS!$C$157+(IF(CROQUIS!$C$92="X",((CROQUIS!$C$107/2+(((CROQUIS!$C$98)-CROQUIS!$C$107)-(MIN(80,MAX(1,INT(((CROQUIS!$C$98)-CROQUIS!$C$107)/MAX(CROQUIS!$C$130,1))+1))-1)*CROQUIS!$C$130)/2)+MIN(INT(($A342-1)/5),MAX((MIN(80,MAX(1,INT(((CROQUIS!$C$98)-CROQUIS!$C$107)/MAX(CROQUIS!$C$130,1))+1)))-1,0))*CROQUIS!$C$130),CHOOSE(IF(INT(($A342-1)/5)&gt;MAX((MIN(80,MAX(1,INT(((CROQUIS!$C$98)-CROQUIS!$C$107)/MAX(CROQUIS!$C$130,1))+1)))-1,0),0,MOD($A342-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43">
      <c r="A343" t="n">
        <v>336</v>
      </c>
      <c r="BH343">
        <f>IF(AND(CROQUIS!$C$88=1,CROQUIS!$C$126&gt;0),((CROQUIS!$C$156+(IF(CROQUIS!$C$92="X",CHOOSE(IF(INT(($A343-1)/5)&gt;MAX((MIN(80,MAX(1,INT(((CROQUIS!$C$98)-CROQUIS!$C$107)/MAX(CROQUIS!$C$126,1))+1)))-1,0),0,MOD($A343-1,5))+1,0,2,CROQUIS!$C$97-2,2,0),((CROQUIS!$C$107/2+(((CROQUIS!$C$98)-CROQUIS!$C$107)-(MIN(80,MAX(1,INT(((CROQUIS!$C$98)-CROQUIS!$C$107)/MAX(CROQUIS!$C$126,1))+1))-1)*CROQUIS!$C$126)/2)+MIN(INT(($A343-1)/5),MAX((MIN(80,MAX(1,INT(((CROQUIS!$C$98)-CROQUIS!$C$107)/MAX(CROQUIS!$C$126,1))+1)))-1,0))*CROQUIS!$C$126)))*CROQUIS!$C$155)+IF(CROQUIS!$C$92="X",0,0)),-1000)</f>
        <v>-1000</v>
      </c>
      <c r="BI343">
        <f>IF(AND(CROQUIS!$C$88=1,CROQUIS!$C$126&gt;0),((CROQUIS!$C$157+(IF(CROQUIS!$C$92="X",((CROQUIS!$C$107/2+(((CROQUIS!$C$98)-CROQUIS!$C$107)-(MIN(80,MAX(1,INT(((CROQUIS!$C$98)-CROQUIS!$C$107)/MAX(CROQUIS!$C$126,1))+1))-1)*CROQUIS!$C$126)/2)+MIN(INT(($A343-1)/5),MAX((MIN(80,MAX(1,INT(((CROQUIS!$C$98)-CROQUIS!$C$107)/MAX(CROQUIS!$C$126,1))+1)))-1,0))*CROQUIS!$C$126),CHOOSE(IF(INT(($A343-1)/5)&gt;MAX((MIN(80,MAX(1,INT(((CROQUIS!$C$98)-CROQUIS!$C$107)/MAX(CROQUIS!$C$126,1))+1)))-1,0),0,MOD($A343-1,5))+1,0,2,CROQUIS!$C$97-2,2,0)))*CROQUIS!$C$155)+IF(CROQUIS!$C$92="X",0,0)),-1000)</f>
        <v>-1000</v>
      </c>
      <c r="BJ343">
        <f>IF(AND(CROQUIS!$C$88=1,CROQUIS!$C$134&gt;0),((CROQUIS!$C$156+(IF(CROQUIS!$C$92="X",((CROQUIS!$C$107/2+(((CROQUIS!$C$97)-CROQUIS!$C$107)-(MIN(80,MAX(1,INT(((CROQUIS!$C$97)-CROQUIS!$C$107)/MAX(CROQUIS!$C$134,1))+1))-1)*CROQUIS!$C$134)/2)+MIN(INT(($A343-1)/5),MAX((MIN(80,MAX(1,INT(((CROQUIS!$C$97)-CROQUIS!$C$107)/MAX(CROQUIS!$C$134,1))+1)))-1,0))*CROQUIS!$C$134),CHOOSE(IF(INT(($A343-1)/5)&gt;MAX((MIN(80,MAX(1,INT(((CROQUIS!$C$97)-CROQUIS!$C$107)/MAX(CROQUIS!$C$134,1))+1)))-1,0),0,MOD($A343-1,5))+1,0,2,CROQUIS!$C$98-2,2,0)))*CROQUIS!$C$155)+IF(CROQUIS!$C$92="X",0,0)),-1000)</f>
        <v>-1000</v>
      </c>
      <c r="BK343">
        <f>IF(AND(CROQUIS!$C$88=1,CROQUIS!$C$134&gt;0),((CROQUIS!$C$157+(IF(CROQUIS!$C$92="X",CHOOSE(IF(INT(($A343-1)/5)&gt;MAX((MIN(80,MAX(1,INT(((CROQUIS!$C$97)-CROQUIS!$C$107)/MAX(CROQUIS!$C$134,1))+1)))-1,0),0,MOD($A343-1,5))+1,0,2,CROQUIS!$C$98-2,2,0),((CROQUIS!$C$107/2+(((CROQUIS!$C$97)-CROQUIS!$C$107)-(MIN(80,MAX(1,INT(((CROQUIS!$C$97)-CROQUIS!$C$107)/MAX(CROQUIS!$C$134,1))+1))-1)*CROQUIS!$C$134)/2)+MIN(INT(($A343-1)/5),MAX((MIN(80,MAX(1,INT(((CROQUIS!$C$97)-CROQUIS!$C$107)/MAX(CROQUIS!$C$134,1))+1)))-1,0))*CROQUIS!$C$134)))*CROQUIS!$C$155)+IF(CROQUIS!$C$92="X",0,0)),-1000)</f>
        <v>-1000</v>
      </c>
      <c r="BL343">
        <f>IF(AND(CROQUIS!$C$88=1,CROQUIS!$C$91=0,CROQUIS!$C$130&gt;0,OR(CROQUIS!$C$103=1,CROQUIS!$C$142=1)),((CROQUIS!$C$156+(IF(CROQUIS!$C$92="X",CHOOSE(IF(INT(($A343-1)/5)&gt;MAX((MIN(80,MAX(1,INT(((CROQUIS!$C$98)-CROQUIS!$C$107)/MAX(CROQUIS!$C$130,1))+1)))-1,0),0,MOD($A343-1,5))+1,0,IF(CROQUIS!$C$103=1,-12,2),CROQUIS!$C$107/2+CROQUIS!$C$140,IF(CROQUIS!$C$103=1,-12,2),0),((CROQUIS!$C$107/2+(((CROQUIS!$C$98)-CROQUIS!$C$107)-(MIN(80,MAX(1,INT(((CROQUIS!$C$98)-CROQUIS!$C$107)/MAX(CROQUIS!$C$130,1))+1))-1)*CROQUIS!$C$130)/2)+MIN(INT(($A343-1)/5),MAX((MIN(80,MAX(1,INT(((CROQUIS!$C$98)-CROQUIS!$C$107)/MAX(CROQUIS!$C$130,1))+1)))-1,0))*CROQUIS!$C$130)))*CROQUIS!$C$155)+IF(CROQUIS!$C$92="X",0,0)),-1000)</f>
        <v>-1000</v>
      </c>
      <c r="BM34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343-1)/5),MAX((MIN(80,MAX(1,INT(((CROQUIS!$C$98)-CROQUIS!$C$107)/MAX(CROQUIS!$C$130,1))+1)))-1,0))*CROQUIS!$C$130),CHOOSE(IF(INT(($A343-1)/5)&gt;MAX((MIN(80,MAX(1,INT(((CROQUIS!$C$98)-CROQUIS!$C$107)/MAX(CROQUIS!$C$130,1))+1)))-1,0),0,MOD($A343-1,5))+1,0,IF(CROQUIS!$C$103=1,-12,2),CROQUIS!$C$107/2+CROQUIS!$C$140,IF(CROQUIS!$C$103=1,-12,2),0)))*CROQUIS!$C$155)+IF(CROQUIS!$C$92="X",0,0)),-1000)</f>
        <v>-1000</v>
      </c>
      <c r="BN343">
        <f>IF(AND(CROQUIS!$C$88=1,CROQUIS!$C$91=0,CROQUIS!$C$130&gt;0,OR(CROQUIS!$C$104=1,CROQUIS!$C$142=1)),((CROQUIS!$C$156+(IF(CROQUIS!$C$92="X",CHOOSE(IF(INT(($A343-1)/5)&gt;MAX((MIN(80,MAX(1,INT(((CROQUIS!$C$98)-CROQUIS!$C$107)/MAX(CROQUIS!$C$130,1))+1)))-1,0),0,MOD($A343-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343-1)/5),MAX((MIN(80,MAX(1,INT(((CROQUIS!$C$98)-CROQUIS!$C$107)/MAX(CROQUIS!$C$130,1))+1)))-1,0))*CROQUIS!$C$130)))*CROQUIS!$C$155)+IF(CROQUIS!$C$92="X",0,0)),-1000)</f>
        <v>-1000</v>
      </c>
      <c r="BO34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343-1)/5),MAX((MIN(80,MAX(1,INT(((CROQUIS!$C$98)-CROQUIS!$C$107)/MAX(CROQUIS!$C$130,1))+1)))-1,0))*CROQUIS!$C$130),CHOOSE(IF(INT(($A343-1)/5)&gt;MAX((MIN(80,MAX(1,INT(((CROQUIS!$C$98)-CROQUIS!$C$107)/MAX(CROQUIS!$C$130,1))+1)))-1,0),0,MOD($A343-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4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343-1)/5),MAX((MIN(80,MAX(1,INT(((CROQUIS!$C$97)-CROQUIS!$C$107)/MAX(CROQUIS!$C$138,1))+1)))-1,0))*CROQUIS!$C$138),CHOOSE(IF(INT(($A343-1)/5)&gt;MAX((MIN(80,MAX(1,INT(((CROQUIS!$C$97)-CROQUIS!$C$107)/MAX(CROQUIS!$C$138,1))+1)))-1,0),0,MOD($A343-1,5))+1,0,IF(CROQUIS!$C$105=1,-12,2),CROQUIS!$C$107/2+CROQUIS!$C$141,IF(CROQUIS!$C$105=1,-12,2),0)))*CROQUIS!$C$155)+IF(CROQUIS!$C$92="X",0,0)),-1000)</f>
        <v>-1000</v>
      </c>
      <c r="BQ343">
        <f>IF(AND(CROQUIS!$C$88=1,CROQUIS!$C$91=0,CROQUIS!$C$138&gt;0,OR(CROQUIS!$C$105=1,CROQUIS!$C$143=1)),((CROQUIS!$C$157+(IF(CROQUIS!$C$92="X",CHOOSE(IF(INT(($A343-1)/5)&gt;MAX((MIN(80,MAX(1,INT(((CROQUIS!$C$97)-CROQUIS!$C$107)/MAX(CROQUIS!$C$138,1))+1)))-1,0),0,MOD($A343-1,5))+1,0,IF(CROQUIS!$C$105=1,-12,2),CROQUIS!$C$107/2+CROQUIS!$C$141,IF(CROQUIS!$C$105=1,-12,2),0),((CROQUIS!$C$107/2+(((CROQUIS!$C$97)-CROQUIS!$C$107)-(MIN(80,MAX(1,INT(((CROQUIS!$C$97)-CROQUIS!$C$107)/MAX(CROQUIS!$C$138,1))+1))-1)*CROQUIS!$C$138)/2)+MIN(INT(($A343-1)/5),MAX((MIN(80,MAX(1,INT(((CROQUIS!$C$97)-CROQUIS!$C$107)/MAX(CROQUIS!$C$138,1))+1)))-1,0))*CROQUIS!$C$138)))*CROQUIS!$C$155)+IF(CROQUIS!$C$92="X",0,0)),-1000)</f>
        <v>-1000</v>
      </c>
      <c r="BR34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343-1)/5),MAX((MIN(80,MAX(1,INT(((CROQUIS!$C$97)-CROQUIS!$C$107)/MAX(CROQUIS!$C$138,1))+1)))-1,0))*CROQUIS!$C$138),CHOOSE(IF(INT(($A343-1)/5)&gt;MAX((MIN(80,MAX(1,INT(((CROQUIS!$C$97)-CROQUIS!$C$107)/MAX(CROQUIS!$C$138,1))+1)))-1,0),0,MOD($A343-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43">
        <f>IF(AND(CROQUIS!$C$88=1,CROQUIS!$C$91=0,CROQUIS!$C$138&gt;0,OR(CROQUIS!$C$106=1,CROQUIS!$C$143=1)),((CROQUIS!$C$157+(IF(CROQUIS!$C$92="X",CHOOSE(IF(INT(($A343-1)/5)&gt;MAX((MIN(80,MAX(1,INT(((CROQUIS!$C$97)-CROQUIS!$C$107)/MAX(CROQUIS!$C$138,1))+1)))-1,0),0,MOD($A343-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343-1)/5),MAX((MIN(80,MAX(1,INT(((CROQUIS!$C$97)-CROQUIS!$C$107)/MAX(CROQUIS!$C$138,1))+1)))-1,0))*CROQUIS!$C$138)))*CROQUIS!$C$155)+IF(CROQUIS!$C$92="X",0,0)),-1000)</f>
        <v>-1000</v>
      </c>
      <c r="BT343">
        <f>IF(AND(CROQUIS!$C$88=1,CROQUIS!$C$91=1,CROQUIS!$C$130&gt;0),((CROQUIS!$C$156+(IF(CROQUIS!$C$92="X",CHOOSE(IF(INT(($A343-1)/5)&gt;MAX((MIN(80,MAX(1,INT(((CROQUIS!$C$98)-CROQUIS!$C$107)/MAX(CROQUIS!$C$130,1))+1)))-1,0),0,MOD($A343-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343-1)/5),MAX((MIN(80,MAX(1,INT(((CROQUIS!$C$98)-CROQUIS!$C$107)/MAX(CROQUIS!$C$130,1))+1)))-1,0))*CROQUIS!$C$130)))*CROQUIS!$C$155)+IF(CROQUIS!$C$92="X",0,0)),-1000)</f>
        <v>-1000</v>
      </c>
      <c r="BU343">
        <f>IF(AND(CROQUIS!$C$88=1,CROQUIS!$C$91=1,CROQUIS!$C$130&gt;0),((CROQUIS!$C$157+(IF(CROQUIS!$C$92="X",((CROQUIS!$C$107/2+(((CROQUIS!$C$98)-CROQUIS!$C$107)-(MIN(80,MAX(1,INT(((CROQUIS!$C$98)-CROQUIS!$C$107)/MAX(CROQUIS!$C$130,1))+1))-1)*CROQUIS!$C$130)/2)+MIN(INT(($A343-1)/5),MAX((MIN(80,MAX(1,INT(((CROQUIS!$C$98)-CROQUIS!$C$107)/MAX(CROQUIS!$C$130,1))+1)))-1,0))*CROQUIS!$C$130),CHOOSE(IF(INT(($A343-1)/5)&gt;MAX((MIN(80,MAX(1,INT(((CROQUIS!$C$98)-CROQUIS!$C$107)/MAX(CROQUIS!$C$130,1))+1)))-1,0),0,MOD($A343-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44">
      <c r="A344" t="n">
        <v>337</v>
      </c>
      <c r="BH344">
        <f>IF(AND(CROQUIS!$C$88=1,CROQUIS!$C$126&gt;0),((CROQUIS!$C$156+(IF(CROQUIS!$C$92="X",CHOOSE(IF(INT(($A344-1)/5)&gt;MAX((MIN(80,MAX(1,INT(((CROQUIS!$C$98)-CROQUIS!$C$107)/MAX(CROQUIS!$C$126,1))+1)))-1,0),0,MOD($A344-1,5))+1,0,2,CROQUIS!$C$97-2,2,0),((CROQUIS!$C$107/2+(((CROQUIS!$C$98)-CROQUIS!$C$107)-(MIN(80,MAX(1,INT(((CROQUIS!$C$98)-CROQUIS!$C$107)/MAX(CROQUIS!$C$126,1))+1))-1)*CROQUIS!$C$126)/2)+MIN(INT(($A344-1)/5),MAX((MIN(80,MAX(1,INT(((CROQUIS!$C$98)-CROQUIS!$C$107)/MAX(CROQUIS!$C$126,1))+1)))-1,0))*CROQUIS!$C$126)))*CROQUIS!$C$155)+IF(CROQUIS!$C$92="X",0,0)),-1000)</f>
        <v>-1000</v>
      </c>
      <c r="BI344">
        <f>IF(AND(CROQUIS!$C$88=1,CROQUIS!$C$126&gt;0),((CROQUIS!$C$157+(IF(CROQUIS!$C$92="X",((CROQUIS!$C$107/2+(((CROQUIS!$C$98)-CROQUIS!$C$107)-(MIN(80,MAX(1,INT(((CROQUIS!$C$98)-CROQUIS!$C$107)/MAX(CROQUIS!$C$126,1))+1))-1)*CROQUIS!$C$126)/2)+MIN(INT(($A344-1)/5),MAX((MIN(80,MAX(1,INT(((CROQUIS!$C$98)-CROQUIS!$C$107)/MAX(CROQUIS!$C$126,1))+1)))-1,0))*CROQUIS!$C$126),CHOOSE(IF(INT(($A344-1)/5)&gt;MAX((MIN(80,MAX(1,INT(((CROQUIS!$C$98)-CROQUIS!$C$107)/MAX(CROQUIS!$C$126,1))+1)))-1,0),0,MOD($A344-1,5))+1,0,2,CROQUIS!$C$97-2,2,0)))*CROQUIS!$C$155)+IF(CROQUIS!$C$92="X",0,0)),-1000)</f>
        <v>-1000</v>
      </c>
      <c r="BJ344">
        <f>IF(AND(CROQUIS!$C$88=1,CROQUIS!$C$134&gt;0),((CROQUIS!$C$156+(IF(CROQUIS!$C$92="X",((CROQUIS!$C$107/2+(((CROQUIS!$C$97)-CROQUIS!$C$107)-(MIN(80,MAX(1,INT(((CROQUIS!$C$97)-CROQUIS!$C$107)/MAX(CROQUIS!$C$134,1))+1))-1)*CROQUIS!$C$134)/2)+MIN(INT(($A344-1)/5),MAX((MIN(80,MAX(1,INT(((CROQUIS!$C$97)-CROQUIS!$C$107)/MAX(CROQUIS!$C$134,1))+1)))-1,0))*CROQUIS!$C$134),CHOOSE(IF(INT(($A344-1)/5)&gt;MAX((MIN(80,MAX(1,INT(((CROQUIS!$C$97)-CROQUIS!$C$107)/MAX(CROQUIS!$C$134,1))+1)))-1,0),0,MOD($A344-1,5))+1,0,2,CROQUIS!$C$98-2,2,0)))*CROQUIS!$C$155)+IF(CROQUIS!$C$92="X",0,0)),-1000)</f>
        <v>-1000</v>
      </c>
      <c r="BK344">
        <f>IF(AND(CROQUIS!$C$88=1,CROQUIS!$C$134&gt;0),((CROQUIS!$C$157+(IF(CROQUIS!$C$92="X",CHOOSE(IF(INT(($A344-1)/5)&gt;MAX((MIN(80,MAX(1,INT(((CROQUIS!$C$97)-CROQUIS!$C$107)/MAX(CROQUIS!$C$134,1))+1)))-1,0),0,MOD($A344-1,5))+1,0,2,CROQUIS!$C$98-2,2,0),((CROQUIS!$C$107/2+(((CROQUIS!$C$97)-CROQUIS!$C$107)-(MIN(80,MAX(1,INT(((CROQUIS!$C$97)-CROQUIS!$C$107)/MAX(CROQUIS!$C$134,1))+1))-1)*CROQUIS!$C$134)/2)+MIN(INT(($A344-1)/5),MAX((MIN(80,MAX(1,INT(((CROQUIS!$C$97)-CROQUIS!$C$107)/MAX(CROQUIS!$C$134,1))+1)))-1,0))*CROQUIS!$C$134)))*CROQUIS!$C$155)+IF(CROQUIS!$C$92="X",0,0)),-1000)</f>
        <v>-1000</v>
      </c>
      <c r="BL344">
        <f>IF(AND(CROQUIS!$C$88=1,CROQUIS!$C$91=0,CROQUIS!$C$130&gt;0,OR(CROQUIS!$C$103=1,CROQUIS!$C$142=1)),((CROQUIS!$C$156+(IF(CROQUIS!$C$92="X",CHOOSE(IF(INT(($A344-1)/5)&gt;MAX((MIN(80,MAX(1,INT(((CROQUIS!$C$98)-CROQUIS!$C$107)/MAX(CROQUIS!$C$130,1))+1)))-1,0),0,MOD($A344-1,5))+1,0,IF(CROQUIS!$C$103=1,-12,2),CROQUIS!$C$107/2+CROQUIS!$C$140,IF(CROQUIS!$C$103=1,-12,2),0),((CROQUIS!$C$107/2+(((CROQUIS!$C$98)-CROQUIS!$C$107)-(MIN(80,MAX(1,INT(((CROQUIS!$C$98)-CROQUIS!$C$107)/MAX(CROQUIS!$C$130,1))+1))-1)*CROQUIS!$C$130)/2)+MIN(INT(($A344-1)/5),MAX((MIN(80,MAX(1,INT(((CROQUIS!$C$98)-CROQUIS!$C$107)/MAX(CROQUIS!$C$130,1))+1)))-1,0))*CROQUIS!$C$130)))*CROQUIS!$C$155)+IF(CROQUIS!$C$92="X",0,0)),-1000)</f>
        <v>-1000</v>
      </c>
      <c r="BM34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344-1)/5),MAX((MIN(80,MAX(1,INT(((CROQUIS!$C$98)-CROQUIS!$C$107)/MAX(CROQUIS!$C$130,1))+1)))-1,0))*CROQUIS!$C$130),CHOOSE(IF(INT(($A344-1)/5)&gt;MAX((MIN(80,MAX(1,INT(((CROQUIS!$C$98)-CROQUIS!$C$107)/MAX(CROQUIS!$C$130,1))+1)))-1,0),0,MOD($A344-1,5))+1,0,IF(CROQUIS!$C$103=1,-12,2),CROQUIS!$C$107/2+CROQUIS!$C$140,IF(CROQUIS!$C$103=1,-12,2),0)))*CROQUIS!$C$155)+IF(CROQUIS!$C$92="X",0,0)),-1000)</f>
        <v>-1000</v>
      </c>
      <c r="BN344">
        <f>IF(AND(CROQUIS!$C$88=1,CROQUIS!$C$91=0,CROQUIS!$C$130&gt;0,OR(CROQUIS!$C$104=1,CROQUIS!$C$142=1)),((CROQUIS!$C$156+(IF(CROQUIS!$C$92="X",CHOOSE(IF(INT(($A344-1)/5)&gt;MAX((MIN(80,MAX(1,INT(((CROQUIS!$C$98)-CROQUIS!$C$107)/MAX(CROQUIS!$C$130,1))+1)))-1,0),0,MOD($A344-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344-1)/5),MAX((MIN(80,MAX(1,INT(((CROQUIS!$C$98)-CROQUIS!$C$107)/MAX(CROQUIS!$C$130,1))+1)))-1,0))*CROQUIS!$C$130)))*CROQUIS!$C$155)+IF(CROQUIS!$C$92="X",0,0)),-1000)</f>
        <v>-1000</v>
      </c>
      <c r="BO34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344-1)/5),MAX((MIN(80,MAX(1,INT(((CROQUIS!$C$98)-CROQUIS!$C$107)/MAX(CROQUIS!$C$130,1))+1)))-1,0))*CROQUIS!$C$130),CHOOSE(IF(INT(($A344-1)/5)&gt;MAX((MIN(80,MAX(1,INT(((CROQUIS!$C$98)-CROQUIS!$C$107)/MAX(CROQUIS!$C$130,1))+1)))-1,0),0,MOD($A344-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4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344-1)/5),MAX((MIN(80,MAX(1,INT(((CROQUIS!$C$97)-CROQUIS!$C$107)/MAX(CROQUIS!$C$138,1))+1)))-1,0))*CROQUIS!$C$138),CHOOSE(IF(INT(($A344-1)/5)&gt;MAX((MIN(80,MAX(1,INT(((CROQUIS!$C$97)-CROQUIS!$C$107)/MAX(CROQUIS!$C$138,1))+1)))-1,0),0,MOD($A344-1,5))+1,0,IF(CROQUIS!$C$105=1,-12,2),CROQUIS!$C$107/2+CROQUIS!$C$141,IF(CROQUIS!$C$105=1,-12,2),0)))*CROQUIS!$C$155)+IF(CROQUIS!$C$92="X",0,0)),-1000)</f>
        <v>-1000</v>
      </c>
      <c r="BQ344">
        <f>IF(AND(CROQUIS!$C$88=1,CROQUIS!$C$91=0,CROQUIS!$C$138&gt;0,OR(CROQUIS!$C$105=1,CROQUIS!$C$143=1)),((CROQUIS!$C$157+(IF(CROQUIS!$C$92="X",CHOOSE(IF(INT(($A344-1)/5)&gt;MAX((MIN(80,MAX(1,INT(((CROQUIS!$C$97)-CROQUIS!$C$107)/MAX(CROQUIS!$C$138,1))+1)))-1,0),0,MOD($A344-1,5))+1,0,IF(CROQUIS!$C$105=1,-12,2),CROQUIS!$C$107/2+CROQUIS!$C$141,IF(CROQUIS!$C$105=1,-12,2),0),((CROQUIS!$C$107/2+(((CROQUIS!$C$97)-CROQUIS!$C$107)-(MIN(80,MAX(1,INT(((CROQUIS!$C$97)-CROQUIS!$C$107)/MAX(CROQUIS!$C$138,1))+1))-1)*CROQUIS!$C$138)/2)+MIN(INT(($A344-1)/5),MAX((MIN(80,MAX(1,INT(((CROQUIS!$C$97)-CROQUIS!$C$107)/MAX(CROQUIS!$C$138,1))+1)))-1,0))*CROQUIS!$C$138)))*CROQUIS!$C$155)+IF(CROQUIS!$C$92="X",0,0)),-1000)</f>
        <v>-1000</v>
      </c>
      <c r="BR34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344-1)/5),MAX((MIN(80,MAX(1,INT(((CROQUIS!$C$97)-CROQUIS!$C$107)/MAX(CROQUIS!$C$138,1))+1)))-1,0))*CROQUIS!$C$138),CHOOSE(IF(INT(($A344-1)/5)&gt;MAX((MIN(80,MAX(1,INT(((CROQUIS!$C$97)-CROQUIS!$C$107)/MAX(CROQUIS!$C$138,1))+1)))-1,0),0,MOD($A344-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44">
        <f>IF(AND(CROQUIS!$C$88=1,CROQUIS!$C$91=0,CROQUIS!$C$138&gt;0,OR(CROQUIS!$C$106=1,CROQUIS!$C$143=1)),((CROQUIS!$C$157+(IF(CROQUIS!$C$92="X",CHOOSE(IF(INT(($A344-1)/5)&gt;MAX((MIN(80,MAX(1,INT(((CROQUIS!$C$97)-CROQUIS!$C$107)/MAX(CROQUIS!$C$138,1))+1)))-1,0),0,MOD($A344-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344-1)/5),MAX((MIN(80,MAX(1,INT(((CROQUIS!$C$97)-CROQUIS!$C$107)/MAX(CROQUIS!$C$138,1))+1)))-1,0))*CROQUIS!$C$138)))*CROQUIS!$C$155)+IF(CROQUIS!$C$92="X",0,0)),-1000)</f>
        <v>-1000</v>
      </c>
      <c r="BT344">
        <f>IF(AND(CROQUIS!$C$88=1,CROQUIS!$C$91=1,CROQUIS!$C$130&gt;0),((CROQUIS!$C$156+(IF(CROQUIS!$C$92="X",CHOOSE(IF(INT(($A344-1)/5)&gt;MAX((MIN(80,MAX(1,INT(((CROQUIS!$C$98)-CROQUIS!$C$107)/MAX(CROQUIS!$C$130,1))+1)))-1,0),0,MOD($A344-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344-1)/5),MAX((MIN(80,MAX(1,INT(((CROQUIS!$C$98)-CROQUIS!$C$107)/MAX(CROQUIS!$C$130,1))+1)))-1,0))*CROQUIS!$C$130)))*CROQUIS!$C$155)+IF(CROQUIS!$C$92="X",0,0)),-1000)</f>
        <v>-1000</v>
      </c>
      <c r="BU344">
        <f>IF(AND(CROQUIS!$C$88=1,CROQUIS!$C$91=1,CROQUIS!$C$130&gt;0),((CROQUIS!$C$157+(IF(CROQUIS!$C$92="X",((CROQUIS!$C$107/2+(((CROQUIS!$C$98)-CROQUIS!$C$107)-(MIN(80,MAX(1,INT(((CROQUIS!$C$98)-CROQUIS!$C$107)/MAX(CROQUIS!$C$130,1))+1))-1)*CROQUIS!$C$130)/2)+MIN(INT(($A344-1)/5),MAX((MIN(80,MAX(1,INT(((CROQUIS!$C$98)-CROQUIS!$C$107)/MAX(CROQUIS!$C$130,1))+1)))-1,0))*CROQUIS!$C$130),CHOOSE(IF(INT(($A344-1)/5)&gt;MAX((MIN(80,MAX(1,INT(((CROQUIS!$C$98)-CROQUIS!$C$107)/MAX(CROQUIS!$C$130,1))+1)))-1,0),0,MOD($A344-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45">
      <c r="A345" t="n">
        <v>338</v>
      </c>
      <c r="BH345">
        <f>IF(AND(CROQUIS!$C$88=1,CROQUIS!$C$126&gt;0),((CROQUIS!$C$156+(IF(CROQUIS!$C$92="X",CHOOSE(IF(INT(($A345-1)/5)&gt;MAX((MIN(80,MAX(1,INT(((CROQUIS!$C$98)-CROQUIS!$C$107)/MAX(CROQUIS!$C$126,1))+1)))-1,0),0,MOD($A345-1,5))+1,0,2,CROQUIS!$C$97-2,2,0),((CROQUIS!$C$107/2+(((CROQUIS!$C$98)-CROQUIS!$C$107)-(MIN(80,MAX(1,INT(((CROQUIS!$C$98)-CROQUIS!$C$107)/MAX(CROQUIS!$C$126,1))+1))-1)*CROQUIS!$C$126)/2)+MIN(INT(($A345-1)/5),MAX((MIN(80,MAX(1,INT(((CROQUIS!$C$98)-CROQUIS!$C$107)/MAX(CROQUIS!$C$126,1))+1)))-1,0))*CROQUIS!$C$126)))*CROQUIS!$C$155)+IF(CROQUIS!$C$92="X",0,0)),-1000)</f>
        <v>-1000</v>
      </c>
      <c r="BI345">
        <f>IF(AND(CROQUIS!$C$88=1,CROQUIS!$C$126&gt;0),((CROQUIS!$C$157+(IF(CROQUIS!$C$92="X",((CROQUIS!$C$107/2+(((CROQUIS!$C$98)-CROQUIS!$C$107)-(MIN(80,MAX(1,INT(((CROQUIS!$C$98)-CROQUIS!$C$107)/MAX(CROQUIS!$C$126,1))+1))-1)*CROQUIS!$C$126)/2)+MIN(INT(($A345-1)/5),MAX((MIN(80,MAX(1,INT(((CROQUIS!$C$98)-CROQUIS!$C$107)/MAX(CROQUIS!$C$126,1))+1)))-1,0))*CROQUIS!$C$126),CHOOSE(IF(INT(($A345-1)/5)&gt;MAX((MIN(80,MAX(1,INT(((CROQUIS!$C$98)-CROQUIS!$C$107)/MAX(CROQUIS!$C$126,1))+1)))-1,0),0,MOD($A345-1,5))+1,0,2,CROQUIS!$C$97-2,2,0)))*CROQUIS!$C$155)+IF(CROQUIS!$C$92="X",0,0)),-1000)</f>
        <v>-1000</v>
      </c>
      <c r="BJ345">
        <f>IF(AND(CROQUIS!$C$88=1,CROQUIS!$C$134&gt;0),((CROQUIS!$C$156+(IF(CROQUIS!$C$92="X",((CROQUIS!$C$107/2+(((CROQUIS!$C$97)-CROQUIS!$C$107)-(MIN(80,MAX(1,INT(((CROQUIS!$C$97)-CROQUIS!$C$107)/MAX(CROQUIS!$C$134,1))+1))-1)*CROQUIS!$C$134)/2)+MIN(INT(($A345-1)/5),MAX((MIN(80,MAX(1,INT(((CROQUIS!$C$97)-CROQUIS!$C$107)/MAX(CROQUIS!$C$134,1))+1)))-1,0))*CROQUIS!$C$134),CHOOSE(IF(INT(($A345-1)/5)&gt;MAX((MIN(80,MAX(1,INT(((CROQUIS!$C$97)-CROQUIS!$C$107)/MAX(CROQUIS!$C$134,1))+1)))-1,0),0,MOD($A345-1,5))+1,0,2,CROQUIS!$C$98-2,2,0)))*CROQUIS!$C$155)+IF(CROQUIS!$C$92="X",0,0)),-1000)</f>
        <v>-1000</v>
      </c>
      <c r="BK345">
        <f>IF(AND(CROQUIS!$C$88=1,CROQUIS!$C$134&gt;0),((CROQUIS!$C$157+(IF(CROQUIS!$C$92="X",CHOOSE(IF(INT(($A345-1)/5)&gt;MAX((MIN(80,MAX(1,INT(((CROQUIS!$C$97)-CROQUIS!$C$107)/MAX(CROQUIS!$C$134,1))+1)))-1,0),0,MOD($A345-1,5))+1,0,2,CROQUIS!$C$98-2,2,0),((CROQUIS!$C$107/2+(((CROQUIS!$C$97)-CROQUIS!$C$107)-(MIN(80,MAX(1,INT(((CROQUIS!$C$97)-CROQUIS!$C$107)/MAX(CROQUIS!$C$134,1))+1))-1)*CROQUIS!$C$134)/2)+MIN(INT(($A345-1)/5),MAX((MIN(80,MAX(1,INT(((CROQUIS!$C$97)-CROQUIS!$C$107)/MAX(CROQUIS!$C$134,1))+1)))-1,0))*CROQUIS!$C$134)))*CROQUIS!$C$155)+IF(CROQUIS!$C$92="X",0,0)),-1000)</f>
        <v>-1000</v>
      </c>
      <c r="BL345">
        <f>IF(AND(CROQUIS!$C$88=1,CROQUIS!$C$91=0,CROQUIS!$C$130&gt;0,OR(CROQUIS!$C$103=1,CROQUIS!$C$142=1)),((CROQUIS!$C$156+(IF(CROQUIS!$C$92="X",CHOOSE(IF(INT(($A345-1)/5)&gt;MAX((MIN(80,MAX(1,INT(((CROQUIS!$C$98)-CROQUIS!$C$107)/MAX(CROQUIS!$C$130,1))+1)))-1,0),0,MOD($A345-1,5))+1,0,IF(CROQUIS!$C$103=1,-12,2),CROQUIS!$C$107/2+CROQUIS!$C$140,IF(CROQUIS!$C$103=1,-12,2),0),((CROQUIS!$C$107/2+(((CROQUIS!$C$98)-CROQUIS!$C$107)-(MIN(80,MAX(1,INT(((CROQUIS!$C$98)-CROQUIS!$C$107)/MAX(CROQUIS!$C$130,1))+1))-1)*CROQUIS!$C$130)/2)+MIN(INT(($A345-1)/5),MAX((MIN(80,MAX(1,INT(((CROQUIS!$C$98)-CROQUIS!$C$107)/MAX(CROQUIS!$C$130,1))+1)))-1,0))*CROQUIS!$C$130)))*CROQUIS!$C$155)+IF(CROQUIS!$C$92="X",0,0)),-1000)</f>
        <v>-1000</v>
      </c>
      <c r="BM34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345-1)/5),MAX((MIN(80,MAX(1,INT(((CROQUIS!$C$98)-CROQUIS!$C$107)/MAX(CROQUIS!$C$130,1))+1)))-1,0))*CROQUIS!$C$130),CHOOSE(IF(INT(($A345-1)/5)&gt;MAX((MIN(80,MAX(1,INT(((CROQUIS!$C$98)-CROQUIS!$C$107)/MAX(CROQUIS!$C$130,1))+1)))-1,0),0,MOD($A345-1,5))+1,0,IF(CROQUIS!$C$103=1,-12,2),CROQUIS!$C$107/2+CROQUIS!$C$140,IF(CROQUIS!$C$103=1,-12,2),0)))*CROQUIS!$C$155)+IF(CROQUIS!$C$92="X",0,0)),-1000)</f>
        <v>-1000</v>
      </c>
      <c r="BN345">
        <f>IF(AND(CROQUIS!$C$88=1,CROQUIS!$C$91=0,CROQUIS!$C$130&gt;0,OR(CROQUIS!$C$104=1,CROQUIS!$C$142=1)),((CROQUIS!$C$156+(IF(CROQUIS!$C$92="X",CHOOSE(IF(INT(($A345-1)/5)&gt;MAX((MIN(80,MAX(1,INT(((CROQUIS!$C$98)-CROQUIS!$C$107)/MAX(CROQUIS!$C$130,1))+1)))-1,0),0,MOD($A345-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345-1)/5),MAX((MIN(80,MAX(1,INT(((CROQUIS!$C$98)-CROQUIS!$C$107)/MAX(CROQUIS!$C$130,1))+1)))-1,0))*CROQUIS!$C$130)))*CROQUIS!$C$155)+IF(CROQUIS!$C$92="X",0,0)),-1000)</f>
        <v>-1000</v>
      </c>
      <c r="BO34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345-1)/5),MAX((MIN(80,MAX(1,INT(((CROQUIS!$C$98)-CROQUIS!$C$107)/MAX(CROQUIS!$C$130,1))+1)))-1,0))*CROQUIS!$C$130),CHOOSE(IF(INT(($A345-1)/5)&gt;MAX((MIN(80,MAX(1,INT(((CROQUIS!$C$98)-CROQUIS!$C$107)/MAX(CROQUIS!$C$130,1))+1)))-1,0),0,MOD($A345-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4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345-1)/5),MAX((MIN(80,MAX(1,INT(((CROQUIS!$C$97)-CROQUIS!$C$107)/MAX(CROQUIS!$C$138,1))+1)))-1,0))*CROQUIS!$C$138),CHOOSE(IF(INT(($A345-1)/5)&gt;MAX((MIN(80,MAX(1,INT(((CROQUIS!$C$97)-CROQUIS!$C$107)/MAX(CROQUIS!$C$138,1))+1)))-1,0),0,MOD($A345-1,5))+1,0,IF(CROQUIS!$C$105=1,-12,2),CROQUIS!$C$107/2+CROQUIS!$C$141,IF(CROQUIS!$C$105=1,-12,2),0)))*CROQUIS!$C$155)+IF(CROQUIS!$C$92="X",0,0)),-1000)</f>
        <v>-1000</v>
      </c>
      <c r="BQ345">
        <f>IF(AND(CROQUIS!$C$88=1,CROQUIS!$C$91=0,CROQUIS!$C$138&gt;0,OR(CROQUIS!$C$105=1,CROQUIS!$C$143=1)),((CROQUIS!$C$157+(IF(CROQUIS!$C$92="X",CHOOSE(IF(INT(($A345-1)/5)&gt;MAX((MIN(80,MAX(1,INT(((CROQUIS!$C$97)-CROQUIS!$C$107)/MAX(CROQUIS!$C$138,1))+1)))-1,0),0,MOD($A345-1,5))+1,0,IF(CROQUIS!$C$105=1,-12,2),CROQUIS!$C$107/2+CROQUIS!$C$141,IF(CROQUIS!$C$105=1,-12,2),0),((CROQUIS!$C$107/2+(((CROQUIS!$C$97)-CROQUIS!$C$107)-(MIN(80,MAX(1,INT(((CROQUIS!$C$97)-CROQUIS!$C$107)/MAX(CROQUIS!$C$138,1))+1))-1)*CROQUIS!$C$138)/2)+MIN(INT(($A345-1)/5),MAX((MIN(80,MAX(1,INT(((CROQUIS!$C$97)-CROQUIS!$C$107)/MAX(CROQUIS!$C$138,1))+1)))-1,0))*CROQUIS!$C$138)))*CROQUIS!$C$155)+IF(CROQUIS!$C$92="X",0,0)),-1000)</f>
        <v>-1000</v>
      </c>
      <c r="BR34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345-1)/5),MAX((MIN(80,MAX(1,INT(((CROQUIS!$C$97)-CROQUIS!$C$107)/MAX(CROQUIS!$C$138,1))+1)))-1,0))*CROQUIS!$C$138),CHOOSE(IF(INT(($A345-1)/5)&gt;MAX((MIN(80,MAX(1,INT(((CROQUIS!$C$97)-CROQUIS!$C$107)/MAX(CROQUIS!$C$138,1))+1)))-1,0),0,MOD($A345-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45">
        <f>IF(AND(CROQUIS!$C$88=1,CROQUIS!$C$91=0,CROQUIS!$C$138&gt;0,OR(CROQUIS!$C$106=1,CROQUIS!$C$143=1)),((CROQUIS!$C$157+(IF(CROQUIS!$C$92="X",CHOOSE(IF(INT(($A345-1)/5)&gt;MAX((MIN(80,MAX(1,INT(((CROQUIS!$C$97)-CROQUIS!$C$107)/MAX(CROQUIS!$C$138,1))+1)))-1,0),0,MOD($A345-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345-1)/5),MAX((MIN(80,MAX(1,INT(((CROQUIS!$C$97)-CROQUIS!$C$107)/MAX(CROQUIS!$C$138,1))+1)))-1,0))*CROQUIS!$C$138)))*CROQUIS!$C$155)+IF(CROQUIS!$C$92="X",0,0)),-1000)</f>
        <v>-1000</v>
      </c>
      <c r="BT345">
        <f>IF(AND(CROQUIS!$C$88=1,CROQUIS!$C$91=1,CROQUIS!$C$130&gt;0),((CROQUIS!$C$156+(IF(CROQUIS!$C$92="X",CHOOSE(IF(INT(($A345-1)/5)&gt;MAX((MIN(80,MAX(1,INT(((CROQUIS!$C$98)-CROQUIS!$C$107)/MAX(CROQUIS!$C$130,1))+1)))-1,0),0,MOD($A345-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345-1)/5),MAX((MIN(80,MAX(1,INT(((CROQUIS!$C$98)-CROQUIS!$C$107)/MAX(CROQUIS!$C$130,1))+1)))-1,0))*CROQUIS!$C$130)))*CROQUIS!$C$155)+IF(CROQUIS!$C$92="X",0,0)),-1000)</f>
        <v>-1000</v>
      </c>
      <c r="BU345">
        <f>IF(AND(CROQUIS!$C$88=1,CROQUIS!$C$91=1,CROQUIS!$C$130&gt;0),((CROQUIS!$C$157+(IF(CROQUIS!$C$92="X",((CROQUIS!$C$107/2+(((CROQUIS!$C$98)-CROQUIS!$C$107)-(MIN(80,MAX(1,INT(((CROQUIS!$C$98)-CROQUIS!$C$107)/MAX(CROQUIS!$C$130,1))+1))-1)*CROQUIS!$C$130)/2)+MIN(INT(($A345-1)/5),MAX((MIN(80,MAX(1,INT(((CROQUIS!$C$98)-CROQUIS!$C$107)/MAX(CROQUIS!$C$130,1))+1)))-1,0))*CROQUIS!$C$130),CHOOSE(IF(INT(($A345-1)/5)&gt;MAX((MIN(80,MAX(1,INT(((CROQUIS!$C$98)-CROQUIS!$C$107)/MAX(CROQUIS!$C$130,1))+1)))-1,0),0,MOD($A345-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46">
      <c r="A346" t="n">
        <v>339</v>
      </c>
      <c r="BH346">
        <f>IF(AND(CROQUIS!$C$88=1,CROQUIS!$C$126&gt;0),((CROQUIS!$C$156+(IF(CROQUIS!$C$92="X",CHOOSE(IF(INT(($A346-1)/5)&gt;MAX((MIN(80,MAX(1,INT(((CROQUIS!$C$98)-CROQUIS!$C$107)/MAX(CROQUIS!$C$126,1))+1)))-1,0),0,MOD($A346-1,5))+1,0,2,CROQUIS!$C$97-2,2,0),((CROQUIS!$C$107/2+(((CROQUIS!$C$98)-CROQUIS!$C$107)-(MIN(80,MAX(1,INT(((CROQUIS!$C$98)-CROQUIS!$C$107)/MAX(CROQUIS!$C$126,1))+1))-1)*CROQUIS!$C$126)/2)+MIN(INT(($A346-1)/5),MAX((MIN(80,MAX(1,INT(((CROQUIS!$C$98)-CROQUIS!$C$107)/MAX(CROQUIS!$C$126,1))+1)))-1,0))*CROQUIS!$C$126)))*CROQUIS!$C$155)+IF(CROQUIS!$C$92="X",0,0)),-1000)</f>
        <v>-1000</v>
      </c>
      <c r="BI346">
        <f>IF(AND(CROQUIS!$C$88=1,CROQUIS!$C$126&gt;0),((CROQUIS!$C$157+(IF(CROQUIS!$C$92="X",((CROQUIS!$C$107/2+(((CROQUIS!$C$98)-CROQUIS!$C$107)-(MIN(80,MAX(1,INT(((CROQUIS!$C$98)-CROQUIS!$C$107)/MAX(CROQUIS!$C$126,1))+1))-1)*CROQUIS!$C$126)/2)+MIN(INT(($A346-1)/5),MAX((MIN(80,MAX(1,INT(((CROQUIS!$C$98)-CROQUIS!$C$107)/MAX(CROQUIS!$C$126,1))+1)))-1,0))*CROQUIS!$C$126),CHOOSE(IF(INT(($A346-1)/5)&gt;MAX((MIN(80,MAX(1,INT(((CROQUIS!$C$98)-CROQUIS!$C$107)/MAX(CROQUIS!$C$126,1))+1)))-1,0),0,MOD($A346-1,5))+1,0,2,CROQUIS!$C$97-2,2,0)))*CROQUIS!$C$155)+IF(CROQUIS!$C$92="X",0,0)),-1000)</f>
        <v>-1000</v>
      </c>
      <c r="BJ346">
        <f>IF(AND(CROQUIS!$C$88=1,CROQUIS!$C$134&gt;0),((CROQUIS!$C$156+(IF(CROQUIS!$C$92="X",((CROQUIS!$C$107/2+(((CROQUIS!$C$97)-CROQUIS!$C$107)-(MIN(80,MAX(1,INT(((CROQUIS!$C$97)-CROQUIS!$C$107)/MAX(CROQUIS!$C$134,1))+1))-1)*CROQUIS!$C$134)/2)+MIN(INT(($A346-1)/5),MAX((MIN(80,MAX(1,INT(((CROQUIS!$C$97)-CROQUIS!$C$107)/MAX(CROQUIS!$C$134,1))+1)))-1,0))*CROQUIS!$C$134),CHOOSE(IF(INT(($A346-1)/5)&gt;MAX((MIN(80,MAX(1,INT(((CROQUIS!$C$97)-CROQUIS!$C$107)/MAX(CROQUIS!$C$134,1))+1)))-1,0),0,MOD($A346-1,5))+1,0,2,CROQUIS!$C$98-2,2,0)))*CROQUIS!$C$155)+IF(CROQUIS!$C$92="X",0,0)),-1000)</f>
        <v>-1000</v>
      </c>
      <c r="BK346">
        <f>IF(AND(CROQUIS!$C$88=1,CROQUIS!$C$134&gt;0),((CROQUIS!$C$157+(IF(CROQUIS!$C$92="X",CHOOSE(IF(INT(($A346-1)/5)&gt;MAX((MIN(80,MAX(1,INT(((CROQUIS!$C$97)-CROQUIS!$C$107)/MAX(CROQUIS!$C$134,1))+1)))-1,0),0,MOD($A346-1,5))+1,0,2,CROQUIS!$C$98-2,2,0),((CROQUIS!$C$107/2+(((CROQUIS!$C$97)-CROQUIS!$C$107)-(MIN(80,MAX(1,INT(((CROQUIS!$C$97)-CROQUIS!$C$107)/MAX(CROQUIS!$C$134,1))+1))-1)*CROQUIS!$C$134)/2)+MIN(INT(($A346-1)/5),MAX((MIN(80,MAX(1,INT(((CROQUIS!$C$97)-CROQUIS!$C$107)/MAX(CROQUIS!$C$134,1))+1)))-1,0))*CROQUIS!$C$134)))*CROQUIS!$C$155)+IF(CROQUIS!$C$92="X",0,0)),-1000)</f>
        <v>-1000</v>
      </c>
      <c r="BL346">
        <f>IF(AND(CROQUIS!$C$88=1,CROQUIS!$C$91=0,CROQUIS!$C$130&gt;0,OR(CROQUIS!$C$103=1,CROQUIS!$C$142=1)),((CROQUIS!$C$156+(IF(CROQUIS!$C$92="X",CHOOSE(IF(INT(($A346-1)/5)&gt;MAX((MIN(80,MAX(1,INT(((CROQUIS!$C$98)-CROQUIS!$C$107)/MAX(CROQUIS!$C$130,1))+1)))-1,0),0,MOD($A346-1,5))+1,0,IF(CROQUIS!$C$103=1,-12,2),CROQUIS!$C$107/2+CROQUIS!$C$140,IF(CROQUIS!$C$103=1,-12,2),0),((CROQUIS!$C$107/2+(((CROQUIS!$C$98)-CROQUIS!$C$107)-(MIN(80,MAX(1,INT(((CROQUIS!$C$98)-CROQUIS!$C$107)/MAX(CROQUIS!$C$130,1))+1))-1)*CROQUIS!$C$130)/2)+MIN(INT(($A346-1)/5),MAX((MIN(80,MAX(1,INT(((CROQUIS!$C$98)-CROQUIS!$C$107)/MAX(CROQUIS!$C$130,1))+1)))-1,0))*CROQUIS!$C$130)))*CROQUIS!$C$155)+IF(CROQUIS!$C$92="X",0,0)),-1000)</f>
        <v>-1000</v>
      </c>
      <c r="BM34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346-1)/5),MAX((MIN(80,MAX(1,INT(((CROQUIS!$C$98)-CROQUIS!$C$107)/MAX(CROQUIS!$C$130,1))+1)))-1,0))*CROQUIS!$C$130),CHOOSE(IF(INT(($A346-1)/5)&gt;MAX((MIN(80,MAX(1,INT(((CROQUIS!$C$98)-CROQUIS!$C$107)/MAX(CROQUIS!$C$130,1))+1)))-1,0),0,MOD($A346-1,5))+1,0,IF(CROQUIS!$C$103=1,-12,2),CROQUIS!$C$107/2+CROQUIS!$C$140,IF(CROQUIS!$C$103=1,-12,2),0)))*CROQUIS!$C$155)+IF(CROQUIS!$C$92="X",0,0)),-1000)</f>
        <v>-1000</v>
      </c>
      <c r="BN346">
        <f>IF(AND(CROQUIS!$C$88=1,CROQUIS!$C$91=0,CROQUIS!$C$130&gt;0,OR(CROQUIS!$C$104=1,CROQUIS!$C$142=1)),((CROQUIS!$C$156+(IF(CROQUIS!$C$92="X",CHOOSE(IF(INT(($A346-1)/5)&gt;MAX((MIN(80,MAX(1,INT(((CROQUIS!$C$98)-CROQUIS!$C$107)/MAX(CROQUIS!$C$130,1))+1)))-1,0),0,MOD($A346-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346-1)/5),MAX((MIN(80,MAX(1,INT(((CROQUIS!$C$98)-CROQUIS!$C$107)/MAX(CROQUIS!$C$130,1))+1)))-1,0))*CROQUIS!$C$130)))*CROQUIS!$C$155)+IF(CROQUIS!$C$92="X",0,0)),-1000)</f>
        <v>-1000</v>
      </c>
      <c r="BO34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346-1)/5),MAX((MIN(80,MAX(1,INT(((CROQUIS!$C$98)-CROQUIS!$C$107)/MAX(CROQUIS!$C$130,1))+1)))-1,0))*CROQUIS!$C$130),CHOOSE(IF(INT(($A346-1)/5)&gt;MAX((MIN(80,MAX(1,INT(((CROQUIS!$C$98)-CROQUIS!$C$107)/MAX(CROQUIS!$C$130,1))+1)))-1,0),0,MOD($A346-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4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346-1)/5),MAX((MIN(80,MAX(1,INT(((CROQUIS!$C$97)-CROQUIS!$C$107)/MAX(CROQUIS!$C$138,1))+1)))-1,0))*CROQUIS!$C$138),CHOOSE(IF(INT(($A346-1)/5)&gt;MAX((MIN(80,MAX(1,INT(((CROQUIS!$C$97)-CROQUIS!$C$107)/MAX(CROQUIS!$C$138,1))+1)))-1,0),0,MOD($A346-1,5))+1,0,IF(CROQUIS!$C$105=1,-12,2),CROQUIS!$C$107/2+CROQUIS!$C$141,IF(CROQUIS!$C$105=1,-12,2),0)))*CROQUIS!$C$155)+IF(CROQUIS!$C$92="X",0,0)),-1000)</f>
        <v>-1000</v>
      </c>
      <c r="BQ346">
        <f>IF(AND(CROQUIS!$C$88=1,CROQUIS!$C$91=0,CROQUIS!$C$138&gt;0,OR(CROQUIS!$C$105=1,CROQUIS!$C$143=1)),((CROQUIS!$C$157+(IF(CROQUIS!$C$92="X",CHOOSE(IF(INT(($A346-1)/5)&gt;MAX((MIN(80,MAX(1,INT(((CROQUIS!$C$97)-CROQUIS!$C$107)/MAX(CROQUIS!$C$138,1))+1)))-1,0),0,MOD($A346-1,5))+1,0,IF(CROQUIS!$C$105=1,-12,2),CROQUIS!$C$107/2+CROQUIS!$C$141,IF(CROQUIS!$C$105=1,-12,2),0),((CROQUIS!$C$107/2+(((CROQUIS!$C$97)-CROQUIS!$C$107)-(MIN(80,MAX(1,INT(((CROQUIS!$C$97)-CROQUIS!$C$107)/MAX(CROQUIS!$C$138,1))+1))-1)*CROQUIS!$C$138)/2)+MIN(INT(($A346-1)/5),MAX((MIN(80,MAX(1,INT(((CROQUIS!$C$97)-CROQUIS!$C$107)/MAX(CROQUIS!$C$138,1))+1)))-1,0))*CROQUIS!$C$138)))*CROQUIS!$C$155)+IF(CROQUIS!$C$92="X",0,0)),-1000)</f>
        <v>-1000</v>
      </c>
      <c r="BR34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346-1)/5),MAX((MIN(80,MAX(1,INT(((CROQUIS!$C$97)-CROQUIS!$C$107)/MAX(CROQUIS!$C$138,1))+1)))-1,0))*CROQUIS!$C$138),CHOOSE(IF(INT(($A346-1)/5)&gt;MAX((MIN(80,MAX(1,INT(((CROQUIS!$C$97)-CROQUIS!$C$107)/MAX(CROQUIS!$C$138,1))+1)))-1,0),0,MOD($A346-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46">
        <f>IF(AND(CROQUIS!$C$88=1,CROQUIS!$C$91=0,CROQUIS!$C$138&gt;0,OR(CROQUIS!$C$106=1,CROQUIS!$C$143=1)),((CROQUIS!$C$157+(IF(CROQUIS!$C$92="X",CHOOSE(IF(INT(($A346-1)/5)&gt;MAX((MIN(80,MAX(1,INT(((CROQUIS!$C$97)-CROQUIS!$C$107)/MAX(CROQUIS!$C$138,1))+1)))-1,0),0,MOD($A346-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346-1)/5),MAX((MIN(80,MAX(1,INT(((CROQUIS!$C$97)-CROQUIS!$C$107)/MAX(CROQUIS!$C$138,1))+1)))-1,0))*CROQUIS!$C$138)))*CROQUIS!$C$155)+IF(CROQUIS!$C$92="X",0,0)),-1000)</f>
        <v>-1000</v>
      </c>
      <c r="BT346">
        <f>IF(AND(CROQUIS!$C$88=1,CROQUIS!$C$91=1,CROQUIS!$C$130&gt;0),((CROQUIS!$C$156+(IF(CROQUIS!$C$92="X",CHOOSE(IF(INT(($A346-1)/5)&gt;MAX((MIN(80,MAX(1,INT(((CROQUIS!$C$98)-CROQUIS!$C$107)/MAX(CROQUIS!$C$130,1))+1)))-1,0),0,MOD($A346-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346-1)/5),MAX((MIN(80,MAX(1,INT(((CROQUIS!$C$98)-CROQUIS!$C$107)/MAX(CROQUIS!$C$130,1))+1)))-1,0))*CROQUIS!$C$130)))*CROQUIS!$C$155)+IF(CROQUIS!$C$92="X",0,0)),-1000)</f>
        <v>-1000</v>
      </c>
      <c r="BU346">
        <f>IF(AND(CROQUIS!$C$88=1,CROQUIS!$C$91=1,CROQUIS!$C$130&gt;0),((CROQUIS!$C$157+(IF(CROQUIS!$C$92="X",((CROQUIS!$C$107/2+(((CROQUIS!$C$98)-CROQUIS!$C$107)-(MIN(80,MAX(1,INT(((CROQUIS!$C$98)-CROQUIS!$C$107)/MAX(CROQUIS!$C$130,1))+1))-1)*CROQUIS!$C$130)/2)+MIN(INT(($A346-1)/5),MAX((MIN(80,MAX(1,INT(((CROQUIS!$C$98)-CROQUIS!$C$107)/MAX(CROQUIS!$C$130,1))+1)))-1,0))*CROQUIS!$C$130),CHOOSE(IF(INT(($A346-1)/5)&gt;MAX((MIN(80,MAX(1,INT(((CROQUIS!$C$98)-CROQUIS!$C$107)/MAX(CROQUIS!$C$130,1))+1)))-1,0),0,MOD($A346-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47">
      <c r="A347" t="n">
        <v>340</v>
      </c>
      <c r="BH347">
        <f>IF(AND(CROQUIS!$C$88=1,CROQUIS!$C$126&gt;0),((CROQUIS!$C$156+(IF(CROQUIS!$C$92="X",CHOOSE(IF(INT(($A347-1)/5)&gt;MAX((MIN(80,MAX(1,INT(((CROQUIS!$C$98)-CROQUIS!$C$107)/MAX(CROQUIS!$C$126,1))+1)))-1,0),0,MOD($A347-1,5))+1,0,2,CROQUIS!$C$97-2,2,0),((CROQUIS!$C$107/2+(((CROQUIS!$C$98)-CROQUIS!$C$107)-(MIN(80,MAX(1,INT(((CROQUIS!$C$98)-CROQUIS!$C$107)/MAX(CROQUIS!$C$126,1))+1))-1)*CROQUIS!$C$126)/2)+MIN(INT(($A347-1)/5),MAX((MIN(80,MAX(1,INT(((CROQUIS!$C$98)-CROQUIS!$C$107)/MAX(CROQUIS!$C$126,1))+1)))-1,0))*CROQUIS!$C$126)))*CROQUIS!$C$155)+IF(CROQUIS!$C$92="X",0,0)),-1000)</f>
        <v>-1000</v>
      </c>
      <c r="BI347">
        <f>IF(AND(CROQUIS!$C$88=1,CROQUIS!$C$126&gt;0),((CROQUIS!$C$157+(IF(CROQUIS!$C$92="X",((CROQUIS!$C$107/2+(((CROQUIS!$C$98)-CROQUIS!$C$107)-(MIN(80,MAX(1,INT(((CROQUIS!$C$98)-CROQUIS!$C$107)/MAX(CROQUIS!$C$126,1))+1))-1)*CROQUIS!$C$126)/2)+MIN(INT(($A347-1)/5),MAX((MIN(80,MAX(1,INT(((CROQUIS!$C$98)-CROQUIS!$C$107)/MAX(CROQUIS!$C$126,1))+1)))-1,0))*CROQUIS!$C$126),CHOOSE(IF(INT(($A347-1)/5)&gt;MAX((MIN(80,MAX(1,INT(((CROQUIS!$C$98)-CROQUIS!$C$107)/MAX(CROQUIS!$C$126,1))+1)))-1,0),0,MOD($A347-1,5))+1,0,2,CROQUIS!$C$97-2,2,0)))*CROQUIS!$C$155)+IF(CROQUIS!$C$92="X",0,0)),-1000)</f>
        <v>-1000</v>
      </c>
      <c r="BJ347">
        <f>IF(AND(CROQUIS!$C$88=1,CROQUIS!$C$134&gt;0),((CROQUIS!$C$156+(IF(CROQUIS!$C$92="X",((CROQUIS!$C$107/2+(((CROQUIS!$C$97)-CROQUIS!$C$107)-(MIN(80,MAX(1,INT(((CROQUIS!$C$97)-CROQUIS!$C$107)/MAX(CROQUIS!$C$134,1))+1))-1)*CROQUIS!$C$134)/2)+MIN(INT(($A347-1)/5),MAX((MIN(80,MAX(1,INT(((CROQUIS!$C$97)-CROQUIS!$C$107)/MAX(CROQUIS!$C$134,1))+1)))-1,0))*CROQUIS!$C$134),CHOOSE(IF(INT(($A347-1)/5)&gt;MAX((MIN(80,MAX(1,INT(((CROQUIS!$C$97)-CROQUIS!$C$107)/MAX(CROQUIS!$C$134,1))+1)))-1,0),0,MOD($A347-1,5))+1,0,2,CROQUIS!$C$98-2,2,0)))*CROQUIS!$C$155)+IF(CROQUIS!$C$92="X",0,0)),-1000)</f>
        <v>-1000</v>
      </c>
      <c r="BK347">
        <f>IF(AND(CROQUIS!$C$88=1,CROQUIS!$C$134&gt;0),((CROQUIS!$C$157+(IF(CROQUIS!$C$92="X",CHOOSE(IF(INT(($A347-1)/5)&gt;MAX((MIN(80,MAX(1,INT(((CROQUIS!$C$97)-CROQUIS!$C$107)/MAX(CROQUIS!$C$134,1))+1)))-1,0),0,MOD($A347-1,5))+1,0,2,CROQUIS!$C$98-2,2,0),((CROQUIS!$C$107/2+(((CROQUIS!$C$97)-CROQUIS!$C$107)-(MIN(80,MAX(1,INT(((CROQUIS!$C$97)-CROQUIS!$C$107)/MAX(CROQUIS!$C$134,1))+1))-1)*CROQUIS!$C$134)/2)+MIN(INT(($A347-1)/5),MAX((MIN(80,MAX(1,INT(((CROQUIS!$C$97)-CROQUIS!$C$107)/MAX(CROQUIS!$C$134,1))+1)))-1,0))*CROQUIS!$C$134)))*CROQUIS!$C$155)+IF(CROQUIS!$C$92="X",0,0)),-1000)</f>
        <v>-1000</v>
      </c>
      <c r="BL347">
        <f>IF(AND(CROQUIS!$C$88=1,CROQUIS!$C$91=0,CROQUIS!$C$130&gt;0,OR(CROQUIS!$C$103=1,CROQUIS!$C$142=1)),((CROQUIS!$C$156+(IF(CROQUIS!$C$92="X",CHOOSE(IF(INT(($A347-1)/5)&gt;MAX((MIN(80,MAX(1,INT(((CROQUIS!$C$98)-CROQUIS!$C$107)/MAX(CROQUIS!$C$130,1))+1)))-1,0),0,MOD($A347-1,5))+1,0,IF(CROQUIS!$C$103=1,-12,2),CROQUIS!$C$107/2+CROQUIS!$C$140,IF(CROQUIS!$C$103=1,-12,2),0),((CROQUIS!$C$107/2+(((CROQUIS!$C$98)-CROQUIS!$C$107)-(MIN(80,MAX(1,INT(((CROQUIS!$C$98)-CROQUIS!$C$107)/MAX(CROQUIS!$C$130,1))+1))-1)*CROQUIS!$C$130)/2)+MIN(INT(($A347-1)/5),MAX((MIN(80,MAX(1,INT(((CROQUIS!$C$98)-CROQUIS!$C$107)/MAX(CROQUIS!$C$130,1))+1)))-1,0))*CROQUIS!$C$130)))*CROQUIS!$C$155)+IF(CROQUIS!$C$92="X",0,0)),-1000)</f>
        <v>-1000</v>
      </c>
      <c r="BM34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347-1)/5),MAX((MIN(80,MAX(1,INT(((CROQUIS!$C$98)-CROQUIS!$C$107)/MAX(CROQUIS!$C$130,1))+1)))-1,0))*CROQUIS!$C$130),CHOOSE(IF(INT(($A347-1)/5)&gt;MAX((MIN(80,MAX(1,INT(((CROQUIS!$C$98)-CROQUIS!$C$107)/MAX(CROQUIS!$C$130,1))+1)))-1,0),0,MOD($A347-1,5))+1,0,IF(CROQUIS!$C$103=1,-12,2),CROQUIS!$C$107/2+CROQUIS!$C$140,IF(CROQUIS!$C$103=1,-12,2),0)))*CROQUIS!$C$155)+IF(CROQUIS!$C$92="X",0,0)),-1000)</f>
        <v>-1000</v>
      </c>
      <c r="BN347">
        <f>IF(AND(CROQUIS!$C$88=1,CROQUIS!$C$91=0,CROQUIS!$C$130&gt;0,OR(CROQUIS!$C$104=1,CROQUIS!$C$142=1)),((CROQUIS!$C$156+(IF(CROQUIS!$C$92="X",CHOOSE(IF(INT(($A347-1)/5)&gt;MAX((MIN(80,MAX(1,INT(((CROQUIS!$C$98)-CROQUIS!$C$107)/MAX(CROQUIS!$C$130,1))+1)))-1,0),0,MOD($A347-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347-1)/5),MAX((MIN(80,MAX(1,INT(((CROQUIS!$C$98)-CROQUIS!$C$107)/MAX(CROQUIS!$C$130,1))+1)))-1,0))*CROQUIS!$C$130)))*CROQUIS!$C$155)+IF(CROQUIS!$C$92="X",0,0)),-1000)</f>
        <v>-1000</v>
      </c>
      <c r="BO34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347-1)/5),MAX((MIN(80,MAX(1,INT(((CROQUIS!$C$98)-CROQUIS!$C$107)/MAX(CROQUIS!$C$130,1))+1)))-1,0))*CROQUIS!$C$130),CHOOSE(IF(INT(($A347-1)/5)&gt;MAX((MIN(80,MAX(1,INT(((CROQUIS!$C$98)-CROQUIS!$C$107)/MAX(CROQUIS!$C$130,1))+1)))-1,0),0,MOD($A347-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4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347-1)/5),MAX((MIN(80,MAX(1,INT(((CROQUIS!$C$97)-CROQUIS!$C$107)/MAX(CROQUIS!$C$138,1))+1)))-1,0))*CROQUIS!$C$138),CHOOSE(IF(INT(($A347-1)/5)&gt;MAX((MIN(80,MAX(1,INT(((CROQUIS!$C$97)-CROQUIS!$C$107)/MAX(CROQUIS!$C$138,1))+1)))-1,0),0,MOD($A347-1,5))+1,0,IF(CROQUIS!$C$105=1,-12,2),CROQUIS!$C$107/2+CROQUIS!$C$141,IF(CROQUIS!$C$105=1,-12,2),0)))*CROQUIS!$C$155)+IF(CROQUIS!$C$92="X",0,0)),-1000)</f>
        <v>-1000</v>
      </c>
      <c r="BQ347">
        <f>IF(AND(CROQUIS!$C$88=1,CROQUIS!$C$91=0,CROQUIS!$C$138&gt;0,OR(CROQUIS!$C$105=1,CROQUIS!$C$143=1)),((CROQUIS!$C$157+(IF(CROQUIS!$C$92="X",CHOOSE(IF(INT(($A347-1)/5)&gt;MAX((MIN(80,MAX(1,INT(((CROQUIS!$C$97)-CROQUIS!$C$107)/MAX(CROQUIS!$C$138,1))+1)))-1,0),0,MOD($A347-1,5))+1,0,IF(CROQUIS!$C$105=1,-12,2),CROQUIS!$C$107/2+CROQUIS!$C$141,IF(CROQUIS!$C$105=1,-12,2),0),((CROQUIS!$C$107/2+(((CROQUIS!$C$97)-CROQUIS!$C$107)-(MIN(80,MAX(1,INT(((CROQUIS!$C$97)-CROQUIS!$C$107)/MAX(CROQUIS!$C$138,1))+1))-1)*CROQUIS!$C$138)/2)+MIN(INT(($A347-1)/5),MAX((MIN(80,MAX(1,INT(((CROQUIS!$C$97)-CROQUIS!$C$107)/MAX(CROQUIS!$C$138,1))+1)))-1,0))*CROQUIS!$C$138)))*CROQUIS!$C$155)+IF(CROQUIS!$C$92="X",0,0)),-1000)</f>
        <v>-1000</v>
      </c>
      <c r="BR34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347-1)/5),MAX((MIN(80,MAX(1,INT(((CROQUIS!$C$97)-CROQUIS!$C$107)/MAX(CROQUIS!$C$138,1))+1)))-1,0))*CROQUIS!$C$138),CHOOSE(IF(INT(($A347-1)/5)&gt;MAX((MIN(80,MAX(1,INT(((CROQUIS!$C$97)-CROQUIS!$C$107)/MAX(CROQUIS!$C$138,1))+1)))-1,0),0,MOD($A347-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47">
        <f>IF(AND(CROQUIS!$C$88=1,CROQUIS!$C$91=0,CROQUIS!$C$138&gt;0,OR(CROQUIS!$C$106=1,CROQUIS!$C$143=1)),((CROQUIS!$C$157+(IF(CROQUIS!$C$92="X",CHOOSE(IF(INT(($A347-1)/5)&gt;MAX((MIN(80,MAX(1,INT(((CROQUIS!$C$97)-CROQUIS!$C$107)/MAX(CROQUIS!$C$138,1))+1)))-1,0),0,MOD($A347-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347-1)/5),MAX((MIN(80,MAX(1,INT(((CROQUIS!$C$97)-CROQUIS!$C$107)/MAX(CROQUIS!$C$138,1))+1)))-1,0))*CROQUIS!$C$138)))*CROQUIS!$C$155)+IF(CROQUIS!$C$92="X",0,0)),-1000)</f>
        <v>-1000</v>
      </c>
      <c r="BT347">
        <f>IF(AND(CROQUIS!$C$88=1,CROQUIS!$C$91=1,CROQUIS!$C$130&gt;0),((CROQUIS!$C$156+(IF(CROQUIS!$C$92="X",CHOOSE(IF(INT(($A347-1)/5)&gt;MAX((MIN(80,MAX(1,INT(((CROQUIS!$C$98)-CROQUIS!$C$107)/MAX(CROQUIS!$C$130,1))+1)))-1,0),0,MOD($A347-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347-1)/5),MAX((MIN(80,MAX(1,INT(((CROQUIS!$C$98)-CROQUIS!$C$107)/MAX(CROQUIS!$C$130,1))+1)))-1,0))*CROQUIS!$C$130)))*CROQUIS!$C$155)+IF(CROQUIS!$C$92="X",0,0)),-1000)</f>
        <v>-1000</v>
      </c>
      <c r="BU347">
        <f>IF(AND(CROQUIS!$C$88=1,CROQUIS!$C$91=1,CROQUIS!$C$130&gt;0),((CROQUIS!$C$157+(IF(CROQUIS!$C$92="X",((CROQUIS!$C$107/2+(((CROQUIS!$C$98)-CROQUIS!$C$107)-(MIN(80,MAX(1,INT(((CROQUIS!$C$98)-CROQUIS!$C$107)/MAX(CROQUIS!$C$130,1))+1))-1)*CROQUIS!$C$130)/2)+MIN(INT(($A347-1)/5),MAX((MIN(80,MAX(1,INT(((CROQUIS!$C$98)-CROQUIS!$C$107)/MAX(CROQUIS!$C$130,1))+1)))-1,0))*CROQUIS!$C$130),CHOOSE(IF(INT(($A347-1)/5)&gt;MAX((MIN(80,MAX(1,INT(((CROQUIS!$C$98)-CROQUIS!$C$107)/MAX(CROQUIS!$C$130,1))+1)))-1,0),0,MOD($A347-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48">
      <c r="A348" t="n">
        <v>341</v>
      </c>
      <c r="BH348">
        <f>IF(AND(CROQUIS!$C$88=1,CROQUIS!$C$126&gt;0),((CROQUIS!$C$156+(IF(CROQUIS!$C$92="X",CHOOSE(IF(INT(($A348-1)/5)&gt;MAX((MIN(80,MAX(1,INT(((CROQUIS!$C$98)-CROQUIS!$C$107)/MAX(CROQUIS!$C$126,1))+1)))-1,0),0,MOD($A348-1,5))+1,0,2,CROQUIS!$C$97-2,2,0),((CROQUIS!$C$107/2+(((CROQUIS!$C$98)-CROQUIS!$C$107)-(MIN(80,MAX(1,INT(((CROQUIS!$C$98)-CROQUIS!$C$107)/MAX(CROQUIS!$C$126,1))+1))-1)*CROQUIS!$C$126)/2)+MIN(INT(($A348-1)/5),MAX((MIN(80,MAX(1,INT(((CROQUIS!$C$98)-CROQUIS!$C$107)/MAX(CROQUIS!$C$126,1))+1)))-1,0))*CROQUIS!$C$126)))*CROQUIS!$C$155)+IF(CROQUIS!$C$92="X",0,0)),-1000)</f>
        <v>-1000</v>
      </c>
      <c r="BI348">
        <f>IF(AND(CROQUIS!$C$88=1,CROQUIS!$C$126&gt;0),((CROQUIS!$C$157+(IF(CROQUIS!$C$92="X",((CROQUIS!$C$107/2+(((CROQUIS!$C$98)-CROQUIS!$C$107)-(MIN(80,MAX(1,INT(((CROQUIS!$C$98)-CROQUIS!$C$107)/MAX(CROQUIS!$C$126,1))+1))-1)*CROQUIS!$C$126)/2)+MIN(INT(($A348-1)/5),MAX((MIN(80,MAX(1,INT(((CROQUIS!$C$98)-CROQUIS!$C$107)/MAX(CROQUIS!$C$126,1))+1)))-1,0))*CROQUIS!$C$126),CHOOSE(IF(INT(($A348-1)/5)&gt;MAX((MIN(80,MAX(1,INT(((CROQUIS!$C$98)-CROQUIS!$C$107)/MAX(CROQUIS!$C$126,1))+1)))-1,0),0,MOD($A348-1,5))+1,0,2,CROQUIS!$C$97-2,2,0)))*CROQUIS!$C$155)+IF(CROQUIS!$C$92="X",0,0)),-1000)</f>
        <v>-1000</v>
      </c>
      <c r="BJ348">
        <f>IF(AND(CROQUIS!$C$88=1,CROQUIS!$C$134&gt;0),((CROQUIS!$C$156+(IF(CROQUIS!$C$92="X",((CROQUIS!$C$107/2+(((CROQUIS!$C$97)-CROQUIS!$C$107)-(MIN(80,MAX(1,INT(((CROQUIS!$C$97)-CROQUIS!$C$107)/MAX(CROQUIS!$C$134,1))+1))-1)*CROQUIS!$C$134)/2)+MIN(INT(($A348-1)/5),MAX((MIN(80,MAX(1,INT(((CROQUIS!$C$97)-CROQUIS!$C$107)/MAX(CROQUIS!$C$134,1))+1)))-1,0))*CROQUIS!$C$134),CHOOSE(IF(INT(($A348-1)/5)&gt;MAX((MIN(80,MAX(1,INT(((CROQUIS!$C$97)-CROQUIS!$C$107)/MAX(CROQUIS!$C$134,1))+1)))-1,0),0,MOD($A348-1,5))+1,0,2,CROQUIS!$C$98-2,2,0)))*CROQUIS!$C$155)+IF(CROQUIS!$C$92="X",0,0)),-1000)</f>
        <v>-1000</v>
      </c>
      <c r="BK348">
        <f>IF(AND(CROQUIS!$C$88=1,CROQUIS!$C$134&gt;0),((CROQUIS!$C$157+(IF(CROQUIS!$C$92="X",CHOOSE(IF(INT(($A348-1)/5)&gt;MAX((MIN(80,MAX(1,INT(((CROQUIS!$C$97)-CROQUIS!$C$107)/MAX(CROQUIS!$C$134,1))+1)))-1,0),0,MOD($A348-1,5))+1,0,2,CROQUIS!$C$98-2,2,0),((CROQUIS!$C$107/2+(((CROQUIS!$C$97)-CROQUIS!$C$107)-(MIN(80,MAX(1,INT(((CROQUIS!$C$97)-CROQUIS!$C$107)/MAX(CROQUIS!$C$134,1))+1))-1)*CROQUIS!$C$134)/2)+MIN(INT(($A348-1)/5),MAX((MIN(80,MAX(1,INT(((CROQUIS!$C$97)-CROQUIS!$C$107)/MAX(CROQUIS!$C$134,1))+1)))-1,0))*CROQUIS!$C$134)))*CROQUIS!$C$155)+IF(CROQUIS!$C$92="X",0,0)),-1000)</f>
        <v>-1000</v>
      </c>
      <c r="BL348">
        <f>IF(AND(CROQUIS!$C$88=1,CROQUIS!$C$91=0,CROQUIS!$C$130&gt;0,OR(CROQUIS!$C$103=1,CROQUIS!$C$142=1)),((CROQUIS!$C$156+(IF(CROQUIS!$C$92="X",CHOOSE(IF(INT(($A348-1)/5)&gt;MAX((MIN(80,MAX(1,INT(((CROQUIS!$C$98)-CROQUIS!$C$107)/MAX(CROQUIS!$C$130,1))+1)))-1,0),0,MOD($A348-1,5))+1,0,IF(CROQUIS!$C$103=1,-12,2),CROQUIS!$C$107/2+CROQUIS!$C$140,IF(CROQUIS!$C$103=1,-12,2),0),((CROQUIS!$C$107/2+(((CROQUIS!$C$98)-CROQUIS!$C$107)-(MIN(80,MAX(1,INT(((CROQUIS!$C$98)-CROQUIS!$C$107)/MAX(CROQUIS!$C$130,1))+1))-1)*CROQUIS!$C$130)/2)+MIN(INT(($A348-1)/5),MAX((MIN(80,MAX(1,INT(((CROQUIS!$C$98)-CROQUIS!$C$107)/MAX(CROQUIS!$C$130,1))+1)))-1,0))*CROQUIS!$C$130)))*CROQUIS!$C$155)+IF(CROQUIS!$C$92="X",0,0)),-1000)</f>
        <v>-1000</v>
      </c>
      <c r="BM34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348-1)/5),MAX((MIN(80,MAX(1,INT(((CROQUIS!$C$98)-CROQUIS!$C$107)/MAX(CROQUIS!$C$130,1))+1)))-1,0))*CROQUIS!$C$130),CHOOSE(IF(INT(($A348-1)/5)&gt;MAX((MIN(80,MAX(1,INT(((CROQUIS!$C$98)-CROQUIS!$C$107)/MAX(CROQUIS!$C$130,1))+1)))-1,0),0,MOD($A348-1,5))+1,0,IF(CROQUIS!$C$103=1,-12,2),CROQUIS!$C$107/2+CROQUIS!$C$140,IF(CROQUIS!$C$103=1,-12,2),0)))*CROQUIS!$C$155)+IF(CROQUIS!$C$92="X",0,0)),-1000)</f>
        <v>-1000</v>
      </c>
      <c r="BN348">
        <f>IF(AND(CROQUIS!$C$88=1,CROQUIS!$C$91=0,CROQUIS!$C$130&gt;0,OR(CROQUIS!$C$104=1,CROQUIS!$C$142=1)),((CROQUIS!$C$156+(IF(CROQUIS!$C$92="X",CHOOSE(IF(INT(($A348-1)/5)&gt;MAX((MIN(80,MAX(1,INT(((CROQUIS!$C$98)-CROQUIS!$C$107)/MAX(CROQUIS!$C$130,1))+1)))-1,0),0,MOD($A348-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348-1)/5),MAX((MIN(80,MAX(1,INT(((CROQUIS!$C$98)-CROQUIS!$C$107)/MAX(CROQUIS!$C$130,1))+1)))-1,0))*CROQUIS!$C$130)))*CROQUIS!$C$155)+IF(CROQUIS!$C$92="X",0,0)),-1000)</f>
        <v>-1000</v>
      </c>
      <c r="BO34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348-1)/5),MAX((MIN(80,MAX(1,INT(((CROQUIS!$C$98)-CROQUIS!$C$107)/MAX(CROQUIS!$C$130,1))+1)))-1,0))*CROQUIS!$C$130),CHOOSE(IF(INT(($A348-1)/5)&gt;MAX((MIN(80,MAX(1,INT(((CROQUIS!$C$98)-CROQUIS!$C$107)/MAX(CROQUIS!$C$130,1))+1)))-1,0),0,MOD($A348-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4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348-1)/5),MAX((MIN(80,MAX(1,INT(((CROQUIS!$C$97)-CROQUIS!$C$107)/MAX(CROQUIS!$C$138,1))+1)))-1,0))*CROQUIS!$C$138),CHOOSE(IF(INT(($A348-1)/5)&gt;MAX((MIN(80,MAX(1,INT(((CROQUIS!$C$97)-CROQUIS!$C$107)/MAX(CROQUIS!$C$138,1))+1)))-1,0),0,MOD($A348-1,5))+1,0,IF(CROQUIS!$C$105=1,-12,2),CROQUIS!$C$107/2+CROQUIS!$C$141,IF(CROQUIS!$C$105=1,-12,2),0)))*CROQUIS!$C$155)+IF(CROQUIS!$C$92="X",0,0)),-1000)</f>
        <v>-1000</v>
      </c>
      <c r="BQ348">
        <f>IF(AND(CROQUIS!$C$88=1,CROQUIS!$C$91=0,CROQUIS!$C$138&gt;0,OR(CROQUIS!$C$105=1,CROQUIS!$C$143=1)),((CROQUIS!$C$157+(IF(CROQUIS!$C$92="X",CHOOSE(IF(INT(($A348-1)/5)&gt;MAX((MIN(80,MAX(1,INT(((CROQUIS!$C$97)-CROQUIS!$C$107)/MAX(CROQUIS!$C$138,1))+1)))-1,0),0,MOD($A348-1,5))+1,0,IF(CROQUIS!$C$105=1,-12,2),CROQUIS!$C$107/2+CROQUIS!$C$141,IF(CROQUIS!$C$105=1,-12,2),0),((CROQUIS!$C$107/2+(((CROQUIS!$C$97)-CROQUIS!$C$107)-(MIN(80,MAX(1,INT(((CROQUIS!$C$97)-CROQUIS!$C$107)/MAX(CROQUIS!$C$138,1))+1))-1)*CROQUIS!$C$138)/2)+MIN(INT(($A348-1)/5),MAX((MIN(80,MAX(1,INT(((CROQUIS!$C$97)-CROQUIS!$C$107)/MAX(CROQUIS!$C$138,1))+1)))-1,0))*CROQUIS!$C$138)))*CROQUIS!$C$155)+IF(CROQUIS!$C$92="X",0,0)),-1000)</f>
        <v>-1000</v>
      </c>
      <c r="BR34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348-1)/5),MAX((MIN(80,MAX(1,INT(((CROQUIS!$C$97)-CROQUIS!$C$107)/MAX(CROQUIS!$C$138,1))+1)))-1,0))*CROQUIS!$C$138),CHOOSE(IF(INT(($A348-1)/5)&gt;MAX((MIN(80,MAX(1,INT(((CROQUIS!$C$97)-CROQUIS!$C$107)/MAX(CROQUIS!$C$138,1))+1)))-1,0),0,MOD($A348-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48">
        <f>IF(AND(CROQUIS!$C$88=1,CROQUIS!$C$91=0,CROQUIS!$C$138&gt;0,OR(CROQUIS!$C$106=1,CROQUIS!$C$143=1)),((CROQUIS!$C$157+(IF(CROQUIS!$C$92="X",CHOOSE(IF(INT(($A348-1)/5)&gt;MAX((MIN(80,MAX(1,INT(((CROQUIS!$C$97)-CROQUIS!$C$107)/MAX(CROQUIS!$C$138,1))+1)))-1,0),0,MOD($A348-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348-1)/5),MAX((MIN(80,MAX(1,INT(((CROQUIS!$C$97)-CROQUIS!$C$107)/MAX(CROQUIS!$C$138,1))+1)))-1,0))*CROQUIS!$C$138)))*CROQUIS!$C$155)+IF(CROQUIS!$C$92="X",0,0)),-1000)</f>
        <v>-1000</v>
      </c>
      <c r="BT348">
        <f>IF(AND(CROQUIS!$C$88=1,CROQUIS!$C$91=1,CROQUIS!$C$130&gt;0),((CROQUIS!$C$156+(IF(CROQUIS!$C$92="X",CHOOSE(IF(INT(($A348-1)/5)&gt;MAX((MIN(80,MAX(1,INT(((CROQUIS!$C$98)-CROQUIS!$C$107)/MAX(CROQUIS!$C$130,1))+1)))-1,0),0,MOD($A348-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348-1)/5),MAX((MIN(80,MAX(1,INT(((CROQUIS!$C$98)-CROQUIS!$C$107)/MAX(CROQUIS!$C$130,1))+1)))-1,0))*CROQUIS!$C$130)))*CROQUIS!$C$155)+IF(CROQUIS!$C$92="X",0,0)),-1000)</f>
        <v>-1000</v>
      </c>
      <c r="BU348">
        <f>IF(AND(CROQUIS!$C$88=1,CROQUIS!$C$91=1,CROQUIS!$C$130&gt;0),((CROQUIS!$C$157+(IF(CROQUIS!$C$92="X",((CROQUIS!$C$107/2+(((CROQUIS!$C$98)-CROQUIS!$C$107)-(MIN(80,MAX(1,INT(((CROQUIS!$C$98)-CROQUIS!$C$107)/MAX(CROQUIS!$C$130,1))+1))-1)*CROQUIS!$C$130)/2)+MIN(INT(($A348-1)/5),MAX((MIN(80,MAX(1,INT(((CROQUIS!$C$98)-CROQUIS!$C$107)/MAX(CROQUIS!$C$130,1))+1)))-1,0))*CROQUIS!$C$130),CHOOSE(IF(INT(($A348-1)/5)&gt;MAX((MIN(80,MAX(1,INT(((CROQUIS!$C$98)-CROQUIS!$C$107)/MAX(CROQUIS!$C$130,1))+1)))-1,0),0,MOD($A348-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49">
      <c r="A349" t="n">
        <v>342</v>
      </c>
      <c r="BH349">
        <f>IF(AND(CROQUIS!$C$88=1,CROQUIS!$C$126&gt;0),((CROQUIS!$C$156+(IF(CROQUIS!$C$92="X",CHOOSE(IF(INT(($A349-1)/5)&gt;MAX((MIN(80,MAX(1,INT(((CROQUIS!$C$98)-CROQUIS!$C$107)/MAX(CROQUIS!$C$126,1))+1)))-1,0),0,MOD($A349-1,5))+1,0,2,CROQUIS!$C$97-2,2,0),((CROQUIS!$C$107/2+(((CROQUIS!$C$98)-CROQUIS!$C$107)-(MIN(80,MAX(1,INT(((CROQUIS!$C$98)-CROQUIS!$C$107)/MAX(CROQUIS!$C$126,1))+1))-1)*CROQUIS!$C$126)/2)+MIN(INT(($A349-1)/5),MAX((MIN(80,MAX(1,INT(((CROQUIS!$C$98)-CROQUIS!$C$107)/MAX(CROQUIS!$C$126,1))+1)))-1,0))*CROQUIS!$C$126)))*CROQUIS!$C$155)+IF(CROQUIS!$C$92="X",0,0)),-1000)</f>
        <v>-1000</v>
      </c>
      <c r="BI349">
        <f>IF(AND(CROQUIS!$C$88=1,CROQUIS!$C$126&gt;0),((CROQUIS!$C$157+(IF(CROQUIS!$C$92="X",((CROQUIS!$C$107/2+(((CROQUIS!$C$98)-CROQUIS!$C$107)-(MIN(80,MAX(1,INT(((CROQUIS!$C$98)-CROQUIS!$C$107)/MAX(CROQUIS!$C$126,1))+1))-1)*CROQUIS!$C$126)/2)+MIN(INT(($A349-1)/5),MAX((MIN(80,MAX(1,INT(((CROQUIS!$C$98)-CROQUIS!$C$107)/MAX(CROQUIS!$C$126,1))+1)))-1,0))*CROQUIS!$C$126),CHOOSE(IF(INT(($A349-1)/5)&gt;MAX((MIN(80,MAX(1,INT(((CROQUIS!$C$98)-CROQUIS!$C$107)/MAX(CROQUIS!$C$126,1))+1)))-1,0),0,MOD($A349-1,5))+1,0,2,CROQUIS!$C$97-2,2,0)))*CROQUIS!$C$155)+IF(CROQUIS!$C$92="X",0,0)),-1000)</f>
        <v>-1000</v>
      </c>
      <c r="BJ349">
        <f>IF(AND(CROQUIS!$C$88=1,CROQUIS!$C$134&gt;0),((CROQUIS!$C$156+(IF(CROQUIS!$C$92="X",((CROQUIS!$C$107/2+(((CROQUIS!$C$97)-CROQUIS!$C$107)-(MIN(80,MAX(1,INT(((CROQUIS!$C$97)-CROQUIS!$C$107)/MAX(CROQUIS!$C$134,1))+1))-1)*CROQUIS!$C$134)/2)+MIN(INT(($A349-1)/5),MAX((MIN(80,MAX(1,INT(((CROQUIS!$C$97)-CROQUIS!$C$107)/MAX(CROQUIS!$C$134,1))+1)))-1,0))*CROQUIS!$C$134),CHOOSE(IF(INT(($A349-1)/5)&gt;MAX((MIN(80,MAX(1,INT(((CROQUIS!$C$97)-CROQUIS!$C$107)/MAX(CROQUIS!$C$134,1))+1)))-1,0),0,MOD($A349-1,5))+1,0,2,CROQUIS!$C$98-2,2,0)))*CROQUIS!$C$155)+IF(CROQUIS!$C$92="X",0,0)),-1000)</f>
        <v>-1000</v>
      </c>
      <c r="BK349">
        <f>IF(AND(CROQUIS!$C$88=1,CROQUIS!$C$134&gt;0),((CROQUIS!$C$157+(IF(CROQUIS!$C$92="X",CHOOSE(IF(INT(($A349-1)/5)&gt;MAX((MIN(80,MAX(1,INT(((CROQUIS!$C$97)-CROQUIS!$C$107)/MAX(CROQUIS!$C$134,1))+1)))-1,0),0,MOD($A349-1,5))+1,0,2,CROQUIS!$C$98-2,2,0),((CROQUIS!$C$107/2+(((CROQUIS!$C$97)-CROQUIS!$C$107)-(MIN(80,MAX(1,INT(((CROQUIS!$C$97)-CROQUIS!$C$107)/MAX(CROQUIS!$C$134,1))+1))-1)*CROQUIS!$C$134)/2)+MIN(INT(($A349-1)/5),MAX((MIN(80,MAX(1,INT(((CROQUIS!$C$97)-CROQUIS!$C$107)/MAX(CROQUIS!$C$134,1))+1)))-1,0))*CROQUIS!$C$134)))*CROQUIS!$C$155)+IF(CROQUIS!$C$92="X",0,0)),-1000)</f>
        <v>-1000</v>
      </c>
      <c r="BL349">
        <f>IF(AND(CROQUIS!$C$88=1,CROQUIS!$C$91=0,CROQUIS!$C$130&gt;0,OR(CROQUIS!$C$103=1,CROQUIS!$C$142=1)),((CROQUIS!$C$156+(IF(CROQUIS!$C$92="X",CHOOSE(IF(INT(($A349-1)/5)&gt;MAX((MIN(80,MAX(1,INT(((CROQUIS!$C$98)-CROQUIS!$C$107)/MAX(CROQUIS!$C$130,1))+1)))-1,0),0,MOD($A349-1,5))+1,0,IF(CROQUIS!$C$103=1,-12,2),CROQUIS!$C$107/2+CROQUIS!$C$140,IF(CROQUIS!$C$103=1,-12,2),0),((CROQUIS!$C$107/2+(((CROQUIS!$C$98)-CROQUIS!$C$107)-(MIN(80,MAX(1,INT(((CROQUIS!$C$98)-CROQUIS!$C$107)/MAX(CROQUIS!$C$130,1))+1))-1)*CROQUIS!$C$130)/2)+MIN(INT(($A349-1)/5),MAX((MIN(80,MAX(1,INT(((CROQUIS!$C$98)-CROQUIS!$C$107)/MAX(CROQUIS!$C$130,1))+1)))-1,0))*CROQUIS!$C$130)))*CROQUIS!$C$155)+IF(CROQUIS!$C$92="X",0,0)),-1000)</f>
        <v>-1000</v>
      </c>
      <c r="BM34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349-1)/5),MAX((MIN(80,MAX(1,INT(((CROQUIS!$C$98)-CROQUIS!$C$107)/MAX(CROQUIS!$C$130,1))+1)))-1,0))*CROQUIS!$C$130),CHOOSE(IF(INT(($A349-1)/5)&gt;MAX((MIN(80,MAX(1,INT(((CROQUIS!$C$98)-CROQUIS!$C$107)/MAX(CROQUIS!$C$130,1))+1)))-1,0),0,MOD($A349-1,5))+1,0,IF(CROQUIS!$C$103=1,-12,2),CROQUIS!$C$107/2+CROQUIS!$C$140,IF(CROQUIS!$C$103=1,-12,2),0)))*CROQUIS!$C$155)+IF(CROQUIS!$C$92="X",0,0)),-1000)</f>
        <v>-1000</v>
      </c>
      <c r="BN349">
        <f>IF(AND(CROQUIS!$C$88=1,CROQUIS!$C$91=0,CROQUIS!$C$130&gt;0,OR(CROQUIS!$C$104=1,CROQUIS!$C$142=1)),((CROQUIS!$C$156+(IF(CROQUIS!$C$92="X",CHOOSE(IF(INT(($A349-1)/5)&gt;MAX((MIN(80,MAX(1,INT(((CROQUIS!$C$98)-CROQUIS!$C$107)/MAX(CROQUIS!$C$130,1))+1)))-1,0),0,MOD($A349-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349-1)/5),MAX((MIN(80,MAX(1,INT(((CROQUIS!$C$98)-CROQUIS!$C$107)/MAX(CROQUIS!$C$130,1))+1)))-1,0))*CROQUIS!$C$130)))*CROQUIS!$C$155)+IF(CROQUIS!$C$92="X",0,0)),-1000)</f>
        <v>-1000</v>
      </c>
      <c r="BO34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349-1)/5),MAX((MIN(80,MAX(1,INT(((CROQUIS!$C$98)-CROQUIS!$C$107)/MAX(CROQUIS!$C$130,1))+1)))-1,0))*CROQUIS!$C$130),CHOOSE(IF(INT(($A349-1)/5)&gt;MAX((MIN(80,MAX(1,INT(((CROQUIS!$C$98)-CROQUIS!$C$107)/MAX(CROQUIS!$C$130,1))+1)))-1,0),0,MOD($A349-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4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349-1)/5),MAX((MIN(80,MAX(1,INT(((CROQUIS!$C$97)-CROQUIS!$C$107)/MAX(CROQUIS!$C$138,1))+1)))-1,0))*CROQUIS!$C$138),CHOOSE(IF(INT(($A349-1)/5)&gt;MAX((MIN(80,MAX(1,INT(((CROQUIS!$C$97)-CROQUIS!$C$107)/MAX(CROQUIS!$C$138,1))+1)))-1,0),0,MOD($A349-1,5))+1,0,IF(CROQUIS!$C$105=1,-12,2),CROQUIS!$C$107/2+CROQUIS!$C$141,IF(CROQUIS!$C$105=1,-12,2),0)))*CROQUIS!$C$155)+IF(CROQUIS!$C$92="X",0,0)),-1000)</f>
        <v>-1000</v>
      </c>
      <c r="BQ349">
        <f>IF(AND(CROQUIS!$C$88=1,CROQUIS!$C$91=0,CROQUIS!$C$138&gt;0,OR(CROQUIS!$C$105=1,CROQUIS!$C$143=1)),((CROQUIS!$C$157+(IF(CROQUIS!$C$92="X",CHOOSE(IF(INT(($A349-1)/5)&gt;MAX((MIN(80,MAX(1,INT(((CROQUIS!$C$97)-CROQUIS!$C$107)/MAX(CROQUIS!$C$138,1))+1)))-1,0),0,MOD($A349-1,5))+1,0,IF(CROQUIS!$C$105=1,-12,2),CROQUIS!$C$107/2+CROQUIS!$C$141,IF(CROQUIS!$C$105=1,-12,2),0),((CROQUIS!$C$107/2+(((CROQUIS!$C$97)-CROQUIS!$C$107)-(MIN(80,MAX(1,INT(((CROQUIS!$C$97)-CROQUIS!$C$107)/MAX(CROQUIS!$C$138,1))+1))-1)*CROQUIS!$C$138)/2)+MIN(INT(($A349-1)/5),MAX((MIN(80,MAX(1,INT(((CROQUIS!$C$97)-CROQUIS!$C$107)/MAX(CROQUIS!$C$138,1))+1)))-1,0))*CROQUIS!$C$138)))*CROQUIS!$C$155)+IF(CROQUIS!$C$92="X",0,0)),-1000)</f>
        <v>-1000</v>
      </c>
      <c r="BR34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349-1)/5),MAX((MIN(80,MAX(1,INT(((CROQUIS!$C$97)-CROQUIS!$C$107)/MAX(CROQUIS!$C$138,1))+1)))-1,0))*CROQUIS!$C$138),CHOOSE(IF(INT(($A349-1)/5)&gt;MAX((MIN(80,MAX(1,INT(((CROQUIS!$C$97)-CROQUIS!$C$107)/MAX(CROQUIS!$C$138,1))+1)))-1,0),0,MOD($A349-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49">
        <f>IF(AND(CROQUIS!$C$88=1,CROQUIS!$C$91=0,CROQUIS!$C$138&gt;0,OR(CROQUIS!$C$106=1,CROQUIS!$C$143=1)),((CROQUIS!$C$157+(IF(CROQUIS!$C$92="X",CHOOSE(IF(INT(($A349-1)/5)&gt;MAX((MIN(80,MAX(1,INT(((CROQUIS!$C$97)-CROQUIS!$C$107)/MAX(CROQUIS!$C$138,1))+1)))-1,0),0,MOD($A349-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349-1)/5),MAX((MIN(80,MAX(1,INT(((CROQUIS!$C$97)-CROQUIS!$C$107)/MAX(CROQUIS!$C$138,1))+1)))-1,0))*CROQUIS!$C$138)))*CROQUIS!$C$155)+IF(CROQUIS!$C$92="X",0,0)),-1000)</f>
        <v>-1000</v>
      </c>
      <c r="BT349">
        <f>IF(AND(CROQUIS!$C$88=1,CROQUIS!$C$91=1,CROQUIS!$C$130&gt;0),((CROQUIS!$C$156+(IF(CROQUIS!$C$92="X",CHOOSE(IF(INT(($A349-1)/5)&gt;MAX((MIN(80,MAX(1,INT(((CROQUIS!$C$98)-CROQUIS!$C$107)/MAX(CROQUIS!$C$130,1))+1)))-1,0),0,MOD($A349-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349-1)/5),MAX((MIN(80,MAX(1,INT(((CROQUIS!$C$98)-CROQUIS!$C$107)/MAX(CROQUIS!$C$130,1))+1)))-1,0))*CROQUIS!$C$130)))*CROQUIS!$C$155)+IF(CROQUIS!$C$92="X",0,0)),-1000)</f>
        <v>-1000</v>
      </c>
      <c r="BU349">
        <f>IF(AND(CROQUIS!$C$88=1,CROQUIS!$C$91=1,CROQUIS!$C$130&gt;0),((CROQUIS!$C$157+(IF(CROQUIS!$C$92="X",((CROQUIS!$C$107/2+(((CROQUIS!$C$98)-CROQUIS!$C$107)-(MIN(80,MAX(1,INT(((CROQUIS!$C$98)-CROQUIS!$C$107)/MAX(CROQUIS!$C$130,1))+1))-1)*CROQUIS!$C$130)/2)+MIN(INT(($A349-1)/5),MAX((MIN(80,MAX(1,INT(((CROQUIS!$C$98)-CROQUIS!$C$107)/MAX(CROQUIS!$C$130,1))+1)))-1,0))*CROQUIS!$C$130),CHOOSE(IF(INT(($A349-1)/5)&gt;MAX((MIN(80,MAX(1,INT(((CROQUIS!$C$98)-CROQUIS!$C$107)/MAX(CROQUIS!$C$130,1))+1)))-1,0),0,MOD($A349-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50">
      <c r="A350" t="n">
        <v>343</v>
      </c>
      <c r="BH350">
        <f>IF(AND(CROQUIS!$C$88=1,CROQUIS!$C$126&gt;0),((CROQUIS!$C$156+(IF(CROQUIS!$C$92="X",CHOOSE(IF(INT(($A350-1)/5)&gt;MAX((MIN(80,MAX(1,INT(((CROQUIS!$C$98)-CROQUIS!$C$107)/MAX(CROQUIS!$C$126,1))+1)))-1,0),0,MOD($A350-1,5))+1,0,2,CROQUIS!$C$97-2,2,0),((CROQUIS!$C$107/2+(((CROQUIS!$C$98)-CROQUIS!$C$107)-(MIN(80,MAX(1,INT(((CROQUIS!$C$98)-CROQUIS!$C$107)/MAX(CROQUIS!$C$126,1))+1))-1)*CROQUIS!$C$126)/2)+MIN(INT(($A350-1)/5),MAX((MIN(80,MAX(1,INT(((CROQUIS!$C$98)-CROQUIS!$C$107)/MAX(CROQUIS!$C$126,1))+1)))-1,0))*CROQUIS!$C$126)))*CROQUIS!$C$155)+IF(CROQUIS!$C$92="X",0,0)),-1000)</f>
        <v>-1000</v>
      </c>
      <c r="BI350">
        <f>IF(AND(CROQUIS!$C$88=1,CROQUIS!$C$126&gt;0),((CROQUIS!$C$157+(IF(CROQUIS!$C$92="X",((CROQUIS!$C$107/2+(((CROQUIS!$C$98)-CROQUIS!$C$107)-(MIN(80,MAX(1,INT(((CROQUIS!$C$98)-CROQUIS!$C$107)/MAX(CROQUIS!$C$126,1))+1))-1)*CROQUIS!$C$126)/2)+MIN(INT(($A350-1)/5),MAX((MIN(80,MAX(1,INT(((CROQUIS!$C$98)-CROQUIS!$C$107)/MAX(CROQUIS!$C$126,1))+1)))-1,0))*CROQUIS!$C$126),CHOOSE(IF(INT(($A350-1)/5)&gt;MAX((MIN(80,MAX(1,INT(((CROQUIS!$C$98)-CROQUIS!$C$107)/MAX(CROQUIS!$C$126,1))+1)))-1,0),0,MOD($A350-1,5))+1,0,2,CROQUIS!$C$97-2,2,0)))*CROQUIS!$C$155)+IF(CROQUIS!$C$92="X",0,0)),-1000)</f>
        <v>-1000</v>
      </c>
      <c r="BJ350">
        <f>IF(AND(CROQUIS!$C$88=1,CROQUIS!$C$134&gt;0),((CROQUIS!$C$156+(IF(CROQUIS!$C$92="X",((CROQUIS!$C$107/2+(((CROQUIS!$C$97)-CROQUIS!$C$107)-(MIN(80,MAX(1,INT(((CROQUIS!$C$97)-CROQUIS!$C$107)/MAX(CROQUIS!$C$134,1))+1))-1)*CROQUIS!$C$134)/2)+MIN(INT(($A350-1)/5),MAX((MIN(80,MAX(1,INT(((CROQUIS!$C$97)-CROQUIS!$C$107)/MAX(CROQUIS!$C$134,1))+1)))-1,0))*CROQUIS!$C$134),CHOOSE(IF(INT(($A350-1)/5)&gt;MAX((MIN(80,MAX(1,INT(((CROQUIS!$C$97)-CROQUIS!$C$107)/MAX(CROQUIS!$C$134,1))+1)))-1,0),0,MOD($A350-1,5))+1,0,2,CROQUIS!$C$98-2,2,0)))*CROQUIS!$C$155)+IF(CROQUIS!$C$92="X",0,0)),-1000)</f>
        <v>-1000</v>
      </c>
      <c r="BK350">
        <f>IF(AND(CROQUIS!$C$88=1,CROQUIS!$C$134&gt;0),((CROQUIS!$C$157+(IF(CROQUIS!$C$92="X",CHOOSE(IF(INT(($A350-1)/5)&gt;MAX((MIN(80,MAX(1,INT(((CROQUIS!$C$97)-CROQUIS!$C$107)/MAX(CROQUIS!$C$134,1))+1)))-1,0),0,MOD($A350-1,5))+1,0,2,CROQUIS!$C$98-2,2,0),((CROQUIS!$C$107/2+(((CROQUIS!$C$97)-CROQUIS!$C$107)-(MIN(80,MAX(1,INT(((CROQUIS!$C$97)-CROQUIS!$C$107)/MAX(CROQUIS!$C$134,1))+1))-1)*CROQUIS!$C$134)/2)+MIN(INT(($A350-1)/5),MAX((MIN(80,MAX(1,INT(((CROQUIS!$C$97)-CROQUIS!$C$107)/MAX(CROQUIS!$C$134,1))+1)))-1,0))*CROQUIS!$C$134)))*CROQUIS!$C$155)+IF(CROQUIS!$C$92="X",0,0)),-1000)</f>
        <v>-1000</v>
      </c>
      <c r="BL350">
        <f>IF(AND(CROQUIS!$C$88=1,CROQUIS!$C$91=0,CROQUIS!$C$130&gt;0,OR(CROQUIS!$C$103=1,CROQUIS!$C$142=1)),((CROQUIS!$C$156+(IF(CROQUIS!$C$92="X",CHOOSE(IF(INT(($A350-1)/5)&gt;MAX((MIN(80,MAX(1,INT(((CROQUIS!$C$98)-CROQUIS!$C$107)/MAX(CROQUIS!$C$130,1))+1)))-1,0),0,MOD($A350-1,5))+1,0,IF(CROQUIS!$C$103=1,-12,2),CROQUIS!$C$107/2+CROQUIS!$C$140,IF(CROQUIS!$C$103=1,-12,2),0),((CROQUIS!$C$107/2+(((CROQUIS!$C$98)-CROQUIS!$C$107)-(MIN(80,MAX(1,INT(((CROQUIS!$C$98)-CROQUIS!$C$107)/MAX(CROQUIS!$C$130,1))+1))-1)*CROQUIS!$C$130)/2)+MIN(INT(($A350-1)/5),MAX((MIN(80,MAX(1,INT(((CROQUIS!$C$98)-CROQUIS!$C$107)/MAX(CROQUIS!$C$130,1))+1)))-1,0))*CROQUIS!$C$130)))*CROQUIS!$C$155)+IF(CROQUIS!$C$92="X",0,0)),-1000)</f>
        <v>-1000</v>
      </c>
      <c r="BM35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350-1)/5),MAX((MIN(80,MAX(1,INT(((CROQUIS!$C$98)-CROQUIS!$C$107)/MAX(CROQUIS!$C$130,1))+1)))-1,0))*CROQUIS!$C$130),CHOOSE(IF(INT(($A350-1)/5)&gt;MAX((MIN(80,MAX(1,INT(((CROQUIS!$C$98)-CROQUIS!$C$107)/MAX(CROQUIS!$C$130,1))+1)))-1,0),0,MOD($A350-1,5))+1,0,IF(CROQUIS!$C$103=1,-12,2),CROQUIS!$C$107/2+CROQUIS!$C$140,IF(CROQUIS!$C$103=1,-12,2),0)))*CROQUIS!$C$155)+IF(CROQUIS!$C$92="X",0,0)),-1000)</f>
        <v>-1000</v>
      </c>
      <c r="BN350">
        <f>IF(AND(CROQUIS!$C$88=1,CROQUIS!$C$91=0,CROQUIS!$C$130&gt;0,OR(CROQUIS!$C$104=1,CROQUIS!$C$142=1)),((CROQUIS!$C$156+(IF(CROQUIS!$C$92="X",CHOOSE(IF(INT(($A350-1)/5)&gt;MAX((MIN(80,MAX(1,INT(((CROQUIS!$C$98)-CROQUIS!$C$107)/MAX(CROQUIS!$C$130,1))+1)))-1,0),0,MOD($A350-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350-1)/5),MAX((MIN(80,MAX(1,INT(((CROQUIS!$C$98)-CROQUIS!$C$107)/MAX(CROQUIS!$C$130,1))+1)))-1,0))*CROQUIS!$C$130)))*CROQUIS!$C$155)+IF(CROQUIS!$C$92="X",0,0)),-1000)</f>
        <v>-1000</v>
      </c>
      <c r="BO35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350-1)/5),MAX((MIN(80,MAX(1,INT(((CROQUIS!$C$98)-CROQUIS!$C$107)/MAX(CROQUIS!$C$130,1))+1)))-1,0))*CROQUIS!$C$130),CHOOSE(IF(INT(($A350-1)/5)&gt;MAX((MIN(80,MAX(1,INT(((CROQUIS!$C$98)-CROQUIS!$C$107)/MAX(CROQUIS!$C$130,1))+1)))-1,0),0,MOD($A350-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5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350-1)/5),MAX((MIN(80,MAX(1,INT(((CROQUIS!$C$97)-CROQUIS!$C$107)/MAX(CROQUIS!$C$138,1))+1)))-1,0))*CROQUIS!$C$138),CHOOSE(IF(INT(($A350-1)/5)&gt;MAX((MIN(80,MAX(1,INT(((CROQUIS!$C$97)-CROQUIS!$C$107)/MAX(CROQUIS!$C$138,1))+1)))-1,0),0,MOD($A350-1,5))+1,0,IF(CROQUIS!$C$105=1,-12,2),CROQUIS!$C$107/2+CROQUIS!$C$141,IF(CROQUIS!$C$105=1,-12,2),0)))*CROQUIS!$C$155)+IF(CROQUIS!$C$92="X",0,0)),-1000)</f>
        <v>-1000</v>
      </c>
      <c r="BQ350">
        <f>IF(AND(CROQUIS!$C$88=1,CROQUIS!$C$91=0,CROQUIS!$C$138&gt;0,OR(CROQUIS!$C$105=1,CROQUIS!$C$143=1)),((CROQUIS!$C$157+(IF(CROQUIS!$C$92="X",CHOOSE(IF(INT(($A350-1)/5)&gt;MAX((MIN(80,MAX(1,INT(((CROQUIS!$C$97)-CROQUIS!$C$107)/MAX(CROQUIS!$C$138,1))+1)))-1,0),0,MOD($A350-1,5))+1,0,IF(CROQUIS!$C$105=1,-12,2),CROQUIS!$C$107/2+CROQUIS!$C$141,IF(CROQUIS!$C$105=1,-12,2),0),((CROQUIS!$C$107/2+(((CROQUIS!$C$97)-CROQUIS!$C$107)-(MIN(80,MAX(1,INT(((CROQUIS!$C$97)-CROQUIS!$C$107)/MAX(CROQUIS!$C$138,1))+1))-1)*CROQUIS!$C$138)/2)+MIN(INT(($A350-1)/5),MAX((MIN(80,MAX(1,INT(((CROQUIS!$C$97)-CROQUIS!$C$107)/MAX(CROQUIS!$C$138,1))+1)))-1,0))*CROQUIS!$C$138)))*CROQUIS!$C$155)+IF(CROQUIS!$C$92="X",0,0)),-1000)</f>
        <v>-1000</v>
      </c>
      <c r="BR35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350-1)/5),MAX((MIN(80,MAX(1,INT(((CROQUIS!$C$97)-CROQUIS!$C$107)/MAX(CROQUIS!$C$138,1))+1)))-1,0))*CROQUIS!$C$138),CHOOSE(IF(INT(($A350-1)/5)&gt;MAX((MIN(80,MAX(1,INT(((CROQUIS!$C$97)-CROQUIS!$C$107)/MAX(CROQUIS!$C$138,1))+1)))-1,0),0,MOD($A350-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50">
        <f>IF(AND(CROQUIS!$C$88=1,CROQUIS!$C$91=0,CROQUIS!$C$138&gt;0,OR(CROQUIS!$C$106=1,CROQUIS!$C$143=1)),((CROQUIS!$C$157+(IF(CROQUIS!$C$92="X",CHOOSE(IF(INT(($A350-1)/5)&gt;MAX((MIN(80,MAX(1,INT(((CROQUIS!$C$97)-CROQUIS!$C$107)/MAX(CROQUIS!$C$138,1))+1)))-1,0),0,MOD($A350-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350-1)/5),MAX((MIN(80,MAX(1,INT(((CROQUIS!$C$97)-CROQUIS!$C$107)/MAX(CROQUIS!$C$138,1))+1)))-1,0))*CROQUIS!$C$138)))*CROQUIS!$C$155)+IF(CROQUIS!$C$92="X",0,0)),-1000)</f>
        <v>-1000</v>
      </c>
      <c r="BT350">
        <f>IF(AND(CROQUIS!$C$88=1,CROQUIS!$C$91=1,CROQUIS!$C$130&gt;0),((CROQUIS!$C$156+(IF(CROQUIS!$C$92="X",CHOOSE(IF(INT(($A350-1)/5)&gt;MAX((MIN(80,MAX(1,INT(((CROQUIS!$C$98)-CROQUIS!$C$107)/MAX(CROQUIS!$C$130,1))+1)))-1,0),0,MOD($A350-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350-1)/5),MAX((MIN(80,MAX(1,INT(((CROQUIS!$C$98)-CROQUIS!$C$107)/MAX(CROQUIS!$C$130,1))+1)))-1,0))*CROQUIS!$C$130)))*CROQUIS!$C$155)+IF(CROQUIS!$C$92="X",0,0)),-1000)</f>
        <v>-1000</v>
      </c>
      <c r="BU350">
        <f>IF(AND(CROQUIS!$C$88=1,CROQUIS!$C$91=1,CROQUIS!$C$130&gt;0),((CROQUIS!$C$157+(IF(CROQUIS!$C$92="X",((CROQUIS!$C$107/2+(((CROQUIS!$C$98)-CROQUIS!$C$107)-(MIN(80,MAX(1,INT(((CROQUIS!$C$98)-CROQUIS!$C$107)/MAX(CROQUIS!$C$130,1))+1))-1)*CROQUIS!$C$130)/2)+MIN(INT(($A350-1)/5),MAX((MIN(80,MAX(1,INT(((CROQUIS!$C$98)-CROQUIS!$C$107)/MAX(CROQUIS!$C$130,1))+1)))-1,0))*CROQUIS!$C$130),CHOOSE(IF(INT(($A350-1)/5)&gt;MAX((MIN(80,MAX(1,INT(((CROQUIS!$C$98)-CROQUIS!$C$107)/MAX(CROQUIS!$C$130,1))+1)))-1,0),0,MOD($A350-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51">
      <c r="A351" t="n">
        <v>344</v>
      </c>
      <c r="BH351">
        <f>IF(AND(CROQUIS!$C$88=1,CROQUIS!$C$126&gt;0),((CROQUIS!$C$156+(IF(CROQUIS!$C$92="X",CHOOSE(IF(INT(($A351-1)/5)&gt;MAX((MIN(80,MAX(1,INT(((CROQUIS!$C$98)-CROQUIS!$C$107)/MAX(CROQUIS!$C$126,1))+1)))-1,0),0,MOD($A351-1,5))+1,0,2,CROQUIS!$C$97-2,2,0),((CROQUIS!$C$107/2+(((CROQUIS!$C$98)-CROQUIS!$C$107)-(MIN(80,MAX(1,INT(((CROQUIS!$C$98)-CROQUIS!$C$107)/MAX(CROQUIS!$C$126,1))+1))-1)*CROQUIS!$C$126)/2)+MIN(INT(($A351-1)/5),MAX((MIN(80,MAX(1,INT(((CROQUIS!$C$98)-CROQUIS!$C$107)/MAX(CROQUIS!$C$126,1))+1)))-1,0))*CROQUIS!$C$126)))*CROQUIS!$C$155)+IF(CROQUIS!$C$92="X",0,0)),-1000)</f>
        <v>-1000</v>
      </c>
      <c r="BI351">
        <f>IF(AND(CROQUIS!$C$88=1,CROQUIS!$C$126&gt;0),((CROQUIS!$C$157+(IF(CROQUIS!$C$92="X",((CROQUIS!$C$107/2+(((CROQUIS!$C$98)-CROQUIS!$C$107)-(MIN(80,MAX(1,INT(((CROQUIS!$C$98)-CROQUIS!$C$107)/MAX(CROQUIS!$C$126,1))+1))-1)*CROQUIS!$C$126)/2)+MIN(INT(($A351-1)/5),MAX((MIN(80,MAX(1,INT(((CROQUIS!$C$98)-CROQUIS!$C$107)/MAX(CROQUIS!$C$126,1))+1)))-1,0))*CROQUIS!$C$126),CHOOSE(IF(INT(($A351-1)/5)&gt;MAX((MIN(80,MAX(1,INT(((CROQUIS!$C$98)-CROQUIS!$C$107)/MAX(CROQUIS!$C$126,1))+1)))-1,0),0,MOD($A351-1,5))+1,0,2,CROQUIS!$C$97-2,2,0)))*CROQUIS!$C$155)+IF(CROQUIS!$C$92="X",0,0)),-1000)</f>
        <v>-1000</v>
      </c>
      <c r="BJ351">
        <f>IF(AND(CROQUIS!$C$88=1,CROQUIS!$C$134&gt;0),((CROQUIS!$C$156+(IF(CROQUIS!$C$92="X",((CROQUIS!$C$107/2+(((CROQUIS!$C$97)-CROQUIS!$C$107)-(MIN(80,MAX(1,INT(((CROQUIS!$C$97)-CROQUIS!$C$107)/MAX(CROQUIS!$C$134,1))+1))-1)*CROQUIS!$C$134)/2)+MIN(INT(($A351-1)/5),MAX((MIN(80,MAX(1,INT(((CROQUIS!$C$97)-CROQUIS!$C$107)/MAX(CROQUIS!$C$134,1))+1)))-1,0))*CROQUIS!$C$134),CHOOSE(IF(INT(($A351-1)/5)&gt;MAX((MIN(80,MAX(1,INT(((CROQUIS!$C$97)-CROQUIS!$C$107)/MAX(CROQUIS!$C$134,1))+1)))-1,0),0,MOD($A351-1,5))+1,0,2,CROQUIS!$C$98-2,2,0)))*CROQUIS!$C$155)+IF(CROQUIS!$C$92="X",0,0)),-1000)</f>
        <v>-1000</v>
      </c>
      <c r="BK351">
        <f>IF(AND(CROQUIS!$C$88=1,CROQUIS!$C$134&gt;0),((CROQUIS!$C$157+(IF(CROQUIS!$C$92="X",CHOOSE(IF(INT(($A351-1)/5)&gt;MAX((MIN(80,MAX(1,INT(((CROQUIS!$C$97)-CROQUIS!$C$107)/MAX(CROQUIS!$C$134,1))+1)))-1,0),0,MOD($A351-1,5))+1,0,2,CROQUIS!$C$98-2,2,0),((CROQUIS!$C$107/2+(((CROQUIS!$C$97)-CROQUIS!$C$107)-(MIN(80,MAX(1,INT(((CROQUIS!$C$97)-CROQUIS!$C$107)/MAX(CROQUIS!$C$134,1))+1))-1)*CROQUIS!$C$134)/2)+MIN(INT(($A351-1)/5),MAX((MIN(80,MAX(1,INT(((CROQUIS!$C$97)-CROQUIS!$C$107)/MAX(CROQUIS!$C$134,1))+1)))-1,0))*CROQUIS!$C$134)))*CROQUIS!$C$155)+IF(CROQUIS!$C$92="X",0,0)),-1000)</f>
        <v>-1000</v>
      </c>
      <c r="BL351">
        <f>IF(AND(CROQUIS!$C$88=1,CROQUIS!$C$91=0,CROQUIS!$C$130&gt;0,OR(CROQUIS!$C$103=1,CROQUIS!$C$142=1)),((CROQUIS!$C$156+(IF(CROQUIS!$C$92="X",CHOOSE(IF(INT(($A351-1)/5)&gt;MAX((MIN(80,MAX(1,INT(((CROQUIS!$C$98)-CROQUIS!$C$107)/MAX(CROQUIS!$C$130,1))+1)))-1,0),0,MOD($A351-1,5))+1,0,IF(CROQUIS!$C$103=1,-12,2),CROQUIS!$C$107/2+CROQUIS!$C$140,IF(CROQUIS!$C$103=1,-12,2),0),((CROQUIS!$C$107/2+(((CROQUIS!$C$98)-CROQUIS!$C$107)-(MIN(80,MAX(1,INT(((CROQUIS!$C$98)-CROQUIS!$C$107)/MAX(CROQUIS!$C$130,1))+1))-1)*CROQUIS!$C$130)/2)+MIN(INT(($A351-1)/5),MAX((MIN(80,MAX(1,INT(((CROQUIS!$C$98)-CROQUIS!$C$107)/MAX(CROQUIS!$C$130,1))+1)))-1,0))*CROQUIS!$C$130)))*CROQUIS!$C$155)+IF(CROQUIS!$C$92="X",0,0)),-1000)</f>
        <v>-1000</v>
      </c>
      <c r="BM35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351-1)/5),MAX((MIN(80,MAX(1,INT(((CROQUIS!$C$98)-CROQUIS!$C$107)/MAX(CROQUIS!$C$130,1))+1)))-1,0))*CROQUIS!$C$130),CHOOSE(IF(INT(($A351-1)/5)&gt;MAX((MIN(80,MAX(1,INT(((CROQUIS!$C$98)-CROQUIS!$C$107)/MAX(CROQUIS!$C$130,1))+1)))-1,0),0,MOD($A351-1,5))+1,0,IF(CROQUIS!$C$103=1,-12,2),CROQUIS!$C$107/2+CROQUIS!$C$140,IF(CROQUIS!$C$103=1,-12,2),0)))*CROQUIS!$C$155)+IF(CROQUIS!$C$92="X",0,0)),-1000)</f>
        <v>-1000</v>
      </c>
      <c r="BN351">
        <f>IF(AND(CROQUIS!$C$88=1,CROQUIS!$C$91=0,CROQUIS!$C$130&gt;0,OR(CROQUIS!$C$104=1,CROQUIS!$C$142=1)),((CROQUIS!$C$156+(IF(CROQUIS!$C$92="X",CHOOSE(IF(INT(($A351-1)/5)&gt;MAX((MIN(80,MAX(1,INT(((CROQUIS!$C$98)-CROQUIS!$C$107)/MAX(CROQUIS!$C$130,1))+1)))-1,0),0,MOD($A351-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351-1)/5),MAX((MIN(80,MAX(1,INT(((CROQUIS!$C$98)-CROQUIS!$C$107)/MAX(CROQUIS!$C$130,1))+1)))-1,0))*CROQUIS!$C$130)))*CROQUIS!$C$155)+IF(CROQUIS!$C$92="X",0,0)),-1000)</f>
        <v>-1000</v>
      </c>
      <c r="BO35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351-1)/5),MAX((MIN(80,MAX(1,INT(((CROQUIS!$C$98)-CROQUIS!$C$107)/MAX(CROQUIS!$C$130,1))+1)))-1,0))*CROQUIS!$C$130),CHOOSE(IF(INT(($A351-1)/5)&gt;MAX((MIN(80,MAX(1,INT(((CROQUIS!$C$98)-CROQUIS!$C$107)/MAX(CROQUIS!$C$130,1))+1)))-1,0),0,MOD($A351-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5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351-1)/5),MAX((MIN(80,MAX(1,INT(((CROQUIS!$C$97)-CROQUIS!$C$107)/MAX(CROQUIS!$C$138,1))+1)))-1,0))*CROQUIS!$C$138),CHOOSE(IF(INT(($A351-1)/5)&gt;MAX((MIN(80,MAX(1,INT(((CROQUIS!$C$97)-CROQUIS!$C$107)/MAX(CROQUIS!$C$138,1))+1)))-1,0),0,MOD($A351-1,5))+1,0,IF(CROQUIS!$C$105=1,-12,2),CROQUIS!$C$107/2+CROQUIS!$C$141,IF(CROQUIS!$C$105=1,-12,2),0)))*CROQUIS!$C$155)+IF(CROQUIS!$C$92="X",0,0)),-1000)</f>
        <v>-1000</v>
      </c>
      <c r="BQ351">
        <f>IF(AND(CROQUIS!$C$88=1,CROQUIS!$C$91=0,CROQUIS!$C$138&gt;0,OR(CROQUIS!$C$105=1,CROQUIS!$C$143=1)),((CROQUIS!$C$157+(IF(CROQUIS!$C$92="X",CHOOSE(IF(INT(($A351-1)/5)&gt;MAX((MIN(80,MAX(1,INT(((CROQUIS!$C$97)-CROQUIS!$C$107)/MAX(CROQUIS!$C$138,1))+1)))-1,0),0,MOD($A351-1,5))+1,0,IF(CROQUIS!$C$105=1,-12,2),CROQUIS!$C$107/2+CROQUIS!$C$141,IF(CROQUIS!$C$105=1,-12,2),0),((CROQUIS!$C$107/2+(((CROQUIS!$C$97)-CROQUIS!$C$107)-(MIN(80,MAX(1,INT(((CROQUIS!$C$97)-CROQUIS!$C$107)/MAX(CROQUIS!$C$138,1))+1))-1)*CROQUIS!$C$138)/2)+MIN(INT(($A351-1)/5),MAX((MIN(80,MAX(1,INT(((CROQUIS!$C$97)-CROQUIS!$C$107)/MAX(CROQUIS!$C$138,1))+1)))-1,0))*CROQUIS!$C$138)))*CROQUIS!$C$155)+IF(CROQUIS!$C$92="X",0,0)),-1000)</f>
        <v>-1000</v>
      </c>
      <c r="BR35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351-1)/5),MAX((MIN(80,MAX(1,INT(((CROQUIS!$C$97)-CROQUIS!$C$107)/MAX(CROQUIS!$C$138,1))+1)))-1,0))*CROQUIS!$C$138),CHOOSE(IF(INT(($A351-1)/5)&gt;MAX((MIN(80,MAX(1,INT(((CROQUIS!$C$97)-CROQUIS!$C$107)/MAX(CROQUIS!$C$138,1))+1)))-1,0),0,MOD($A351-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51">
        <f>IF(AND(CROQUIS!$C$88=1,CROQUIS!$C$91=0,CROQUIS!$C$138&gt;0,OR(CROQUIS!$C$106=1,CROQUIS!$C$143=1)),((CROQUIS!$C$157+(IF(CROQUIS!$C$92="X",CHOOSE(IF(INT(($A351-1)/5)&gt;MAX((MIN(80,MAX(1,INT(((CROQUIS!$C$97)-CROQUIS!$C$107)/MAX(CROQUIS!$C$138,1))+1)))-1,0),0,MOD($A351-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351-1)/5),MAX((MIN(80,MAX(1,INT(((CROQUIS!$C$97)-CROQUIS!$C$107)/MAX(CROQUIS!$C$138,1))+1)))-1,0))*CROQUIS!$C$138)))*CROQUIS!$C$155)+IF(CROQUIS!$C$92="X",0,0)),-1000)</f>
        <v>-1000</v>
      </c>
      <c r="BT351">
        <f>IF(AND(CROQUIS!$C$88=1,CROQUIS!$C$91=1,CROQUIS!$C$130&gt;0),((CROQUIS!$C$156+(IF(CROQUIS!$C$92="X",CHOOSE(IF(INT(($A351-1)/5)&gt;MAX((MIN(80,MAX(1,INT(((CROQUIS!$C$98)-CROQUIS!$C$107)/MAX(CROQUIS!$C$130,1))+1)))-1,0),0,MOD($A351-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351-1)/5),MAX((MIN(80,MAX(1,INT(((CROQUIS!$C$98)-CROQUIS!$C$107)/MAX(CROQUIS!$C$130,1))+1)))-1,0))*CROQUIS!$C$130)))*CROQUIS!$C$155)+IF(CROQUIS!$C$92="X",0,0)),-1000)</f>
        <v>-1000</v>
      </c>
      <c r="BU351">
        <f>IF(AND(CROQUIS!$C$88=1,CROQUIS!$C$91=1,CROQUIS!$C$130&gt;0),((CROQUIS!$C$157+(IF(CROQUIS!$C$92="X",((CROQUIS!$C$107/2+(((CROQUIS!$C$98)-CROQUIS!$C$107)-(MIN(80,MAX(1,INT(((CROQUIS!$C$98)-CROQUIS!$C$107)/MAX(CROQUIS!$C$130,1))+1))-1)*CROQUIS!$C$130)/2)+MIN(INT(($A351-1)/5),MAX((MIN(80,MAX(1,INT(((CROQUIS!$C$98)-CROQUIS!$C$107)/MAX(CROQUIS!$C$130,1))+1)))-1,0))*CROQUIS!$C$130),CHOOSE(IF(INT(($A351-1)/5)&gt;MAX((MIN(80,MAX(1,INT(((CROQUIS!$C$98)-CROQUIS!$C$107)/MAX(CROQUIS!$C$130,1))+1)))-1,0),0,MOD($A351-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52">
      <c r="A352" t="n">
        <v>345</v>
      </c>
      <c r="BH352">
        <f>IF(AND(CROQUIS!$C$88=1,CROQUIS!$C$126&gt;0),((CROQUIS!$C$156+(IF(CROQUIS!$C$92="X",CHOOSE(IF(INT(($A352-1)/5)&gt;MAX((MIN(80,MAX(1,INT(((CROQUIS!$C$98)-CROQUIS!$C$107)/MAX(CROQUIS!$C$126,1))+1)))-1,0),0,MOD($A352-1,5))+1,0,2,CROQUIS!$C$97-2,2,0),((CROQUIS!$C$107/2+(((CROQUIS!$C$98)-CROQUIS!$C$107)-(MIN(80,MAX(1,INT(((CROQUIS!$C$98)-CROQUIS!$C$107)/MAX(CROQUIS!$C$126,1))+1))-1)*CROQUIS!$C$126)/2)+MIN(INT(($A352-1)/5),MAX((MIN(80,MAX(1,INT(((CROQUIS!$C$98)-CROQUIS!$C$107)/MAX(CROQUIS!$C$126,1))+1)))-1,0))*CROQUIS!$C$126)))*CROQUIS!$C$155)+IF(CROQUIS!$C$92="X",0,0)),-1000)</f>
        <v>-1000</v>
      </c>
      <c r="BI352">
        <f>IF(AND(CROQUIS!$C$88=1,CROQUIS!$C$126&gt;0),((CROQUIS!$C$157+(IF(CROQUIS!$C$92="X",((CROQUIS!$C$107/2+(((CROQUIS!$C$98)-CROQUIS!$C$107)-(MIN(80,MAX(1,INT(((CROQUIS!$C$98)-CROQUIS!$C$107)/MAX(CROQUIS!$C$126,1))+1))-1)*CROQUIS!$C$126)/2)+MIN(INT(($A352-1)/5),MAX((MIN(80,MAX(1,INT(((CROQUIS!$C$98)-CROQUIS!$C$107)/MAX(CROQUIS!$C$126,1))+1)))-1,0))*CROQUIS!$C$126),CHOOSE(IF(INT(($A352-1)/5)&gt;MAX((MIN(80,MAX(1,INT(((CROQUIS!$C$98)-CROQUIS!$C$107)/MAX(CROQUIS!$C$126,1))+1)))-1,0),0,MOD($A352-1,5))+1,0,2,CROQUIS!$C$97-2,2,0)))*CROQUIS!$C$155)+IF(CROQUIS!$C$92="X",0,0)),-1000)</f>
        <v>-1000</v>
      </c>
      <c r="BJ352">
        <f>IF(AND(CROQUIS!$C$88=1,CROQUIS!$C$134&gt;0),((CROQUIS!$C$156+(IF(CROQUIS!$C$92="X",((CROQUIS!$C$107/2+(((CROQUIS!$C$97)-CROQUIS!$C$107)-(MIN(80,MAX(1,INT(((CROQUIS!$C$97)-CROQUIS!$C$107)/MAX(CROQUIS!$C$134,1))+1))-1)*CROQUIS!$C$134)/2)+MIN(INT(($A352-1)/5),MAX((MIN(80,MAX(1,INT(((CROQUIS!$C$97)-CROQUIS!$C$107)/MAX(CROQUIS!$C$134,1))+1)))-1,0))*CROQUIS!$C$134),CHOOSE(IF(INT(($A352-1)/5)&gt;MAX((MIN(80,MAX(1,INT(((CROQUIS!$C$97)-CROQUIS!$C$107)/MAX(CROQUIS!$C$134,1))+1)))-1,0),0,MOD($A352-1,5))+1,0,2,CROQUIS!$C$98-2,2,0)))*CROQUIS!$C$155)+IF(CROQUIS!$C$92="X",0,0)),-1000)</f>
        <v>-1000</v>
      </c>
      <c r="BK352">
        <f>IF(AND(CROQUIS!$C$88=1,CROQUIS!$C$134&gt;0),((CROQUIS!$C$157+(IF(CROQUIS!$C$92="X",CHOOSE(IF(INT(($A352-1)/5)&gt;MAX((MIN(80,MAX(1,INT(((CROQUIS!$C$97)-CROQUIS!$C$107)/MAX(CROQUIS!$C$134,1))+1)))-1,0),0,MOD($A352-1,5))+1,0,2,CROQUIS!$C$98-2,2,0),((CROQUIS!$C$107/2+(((CROQUIS!$C$97)-CROQUIS!$C$107)-(MIN(80,MAX(1,INT(((CROQUIS!$C$97)-CROQUIS!$C$107)/MAX(CROQUIS!$C$134,1))+1))-1)*CROQUIS!$C$134)/2)+MIN(INT(($A352-1)/5),MAX((MIN(80,MAX(1,INT(((CROQUIS!$C$97)-CROQUIS!$C$107)/MAX(CROQUIS!$C$134,1))+1)))-1,0))*CROQUIS!$C$134)))*CROQUIS!$C$155)+IF(CROQUIS!$C$92="X",0,0)),-1000)</f>
        <v>-1000</v>
      </c>
      <c r="BL352">
        <f>IF(AND(CROQUIS!$C$88=1,CROQUIS!$C$91=0,CROQUIS!$C$130&gt;0,OR(CROQUIS!$C$103=1,CROQUIS!$C$142=1)),((CROQUIS!$C$156+(IF(CROQUIS!$C$92="X",CHOOSE(IF(INT(($A352-1)/5)&gt;MAX((MIN(80,MAX(1,INT(((CROQUIS!$C$98)-CROQUIS!$C$107)/MAX(CROQUIS!$C$130,1))+1)))-1,0),0,MOD($A352-1,5))+1,0,IF(CROQUIS!$C$103=1,-12,2),CROQUIS!$C$107/2+CROQUIS!$C$140,IF(CROQUIS!$C$103=1,-12,2),0),((CROQUIS!$C$107/2+(((CROQUIS!$C$98)-CROQUIS!$C$107)-(MIN(80,MAX(1,INT(((CROQUIS!$C$98)-CROQUIS!$C$107)/MAX(CROQUIS!$C$130,1))+1))-1)*CROQUIS!$C$130)/2)+MIN(INT(($A352-1)/5),MAX((MIN(80,MAX(1,INT(((CROQUIS!$C$98)-CROQUIS!$C$107)/MAX(CROQUIS!$C$130,1))+1)))-1,0))*CROQUIS!$C$130)))*CROQUIS!$C$155)+IF(CROQUIS!$C$92="X",0,0)),-1000)</f>
        <v>-1000</v>
      </c>
      <c r="BM35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352-1)/5),MAX((MIN(80,MAX(1,INT(((CROQUIS!$C$98)-CROQUIS!$C$107)/MAX(CROQUIS!$C$130,1))+1)))-1,0))*CROQUIS!$C$130),CHOOSE(IF(INT(($A352-1)/5)&gt;MAX((MIN(80,MAX(1,INT(((CROQUIS!$C$98)-CROQUIS!$C$107)/MAX(CROQUIS!$C$130,1))+1)))-1,0),0,MOD($A352-1,5))+1,0,IF(CROQUIS!$C$103=1,-12,2),CROQUIS!$C$107/2+CROQUIS!$C$140,IF(CROQUIS!$C$103=1,-12,2),0)))*CROQUIS!$C$155)+IF(CROQUIS!$C$92="X",0,0)),-1000)</f>
        <v>-1000</v>
      </c>
      <c r="BN352">
        <f>IF(AND(CROQUIS!$C$88=1,CROQUIS!$C$91=0,CROQUIS!$C$130&gt;0,OR(CROQUIS!$C$104=1,CROQUIS!$C$142=1)),((CROQUIS!$C$156+(IF(CROQUIS!$C$92="X",CHOOSE(IF(INT(($A352-1)/5)&gt;MAX((MIN(80,MAX(1,INT(((CROQUIS!$C$98)-CROQUIS!$C$107)/MAX(CROQUIS!$C$130,1))+1)))-1,0),0,MOD($A352-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352-1)/5),MAX((MIN(80,MAX(1,INT(((CROQUIS!$C$98)-CROQUIS!$C$107)/MAX(CROQUIS!$C$130,1))+1)))-1,0))*CROQUIS!$C$130)))*CROQUIS!$C$155)+IF(CROQUIS!$C$92="X",0,0)),-1000)</f>
        <v>-1000</v>
      </c>
      <c r="BO35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352-1)/5),MAX((MIN(80,MAX(1,INT(((CROQUIS!$C$98)-CROQUIS!$C$107)/MAX(CROQUIS!$C$130,1))+1)))-1,0))*CROQUIS!$C$130),CHOOSE(IF(INT(($A352-1)/5)&gt;MAX((MIN(80,MAX(1,INT(((CROQUIS!$C$98)-CROQUIS!$C$107)/MAX(CROQUIS!$C$130,1))+1)))-1,0),0,MOD($A352-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5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352-1)/5),MAX((MIN(80,MAX(1,INT(((CROQUIS!$C$97)-CROQUIS!$C$107)/MAX(CROQUIS!$C$138,1))+1)))-1,0))*CROQUIS!$C$138),CHOOSE(IF(INT(($A352-1)/5)&gt;MAX((MIN(80,MAX(1,INT(((CROQUIS!$C$97)-CROQUIS!$C$107)/MAX(CROQUIS!$C$138,1))+1)))-1,0),0,MOD($A352-1,5))+1,0,IF(CROQUIS!$C$105=1,-12,2),CROQUIS!$C$107/2+CROQUIS!$C$141,IF(CROQUIS!$C$105=1,-12,2),0)))*CROQUIS!$C$155)+IF(CROQUIS!$C$92="X",0,0)),-1000)</f>
        <v>-1000</v>
      </c>
      <c r="BQ352">
        <f>IF(AND(CROQUIS!$C$88=1,CROQUIS!$C$91=0,CROQUIS!$C$138&gt;0,OR(CROQUIS!$C$105=1,CROQUIS!$C$143=1)),((CROQUIS!$C$157+(IF(CROQUIS!$C$92="X",CHOOSE(IF(INT(($A352-1)/5)&gt;MAX((MIN(80,MAX(1,INT(((CROQUIS!$C$97)-CROQUIS!$C$107)/MAX(CROQUIS!$C$138,1))+1)))-1,0),0,MOD($A352-1,5))+1,0,IF(CROQUIS!$C$105=1,-12,2),CROQUIS!$C$107/2+CROQUIS!$C$141,IF(CROQUIS!$C$105=1,-12,2),0),((CROQUIS!$C$107/2+(((CROQUIS!$C$97)-CROQUIS!$C$107)-(MIN(80,MAX(1,INT(((CROQUIS!$C$97)-CROQUIS!$C$107)/MAX(CROQUIS!$C$138,1))+1))-1)*CROQUIS!$C$138)/2)+MIN(INT(($A352-1)/5),MAX((MIN(80,MAX(1,INT(((CROQUIS!$C$97)-CROQUIS!$C$107)/MAX(CROQUIS!$C$138,1))+1)))-1,0))*CROQUIS!$C$138)))*CROQUIS!$C$155)+IF(CROQUIS!$C$92="X",0,0)),-1000)</f>
        <v>-1000</v>
      </c>
      <c r="BR35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352-1)/5),MAX((MIN(80,MAX(1,INT(((CROQUIS!$C$97)-CROQUIS!$C$107)/MAX(CROQUIS!$C$138,1))+1)))-1,0))*CROQUIS!$C$138),CHOOSE(IF(INT(($A352-1)/5)&gt;MAX((MIN(80,MAX(1,INT(((CROQUIS!$C$97)-CROQUIS!$C$107)/MAX(CROQUIS!$C$138,1))+1)))-1,0),0,MOD($A352-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52">
        <f>IF(AND(CROQUIS!$C$88=1,CROQUIS!$C$91=0,CROQUIS!$C$138&gt;0,OR(CROQUIS!$C$106=1,CROQUIS!$C$143=1)),((CROQUIS!$C$157+(IF(CROQUIS!$C$92="X",CHOOSE(IF(INT(($A352-1)/5)&gt;MAX((MIN(80,MAX(1,INT(((CROQUIS!$C$97)-CROQUIS!$C$107)/MAX(CROQUIS!$C$138,1))+1)))-1,0),0,MOD($A352-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352-1)/5),MAX((MIN(80,MAX(1,INT(((CROQUIS!$C$97)-CROQUIS!$C$107)/MAX(CROQUIS!$C$138,1))+1)))-1,0))*CROQUIS!$C$138)))*CROQUIS!$C$155)+IF(CROQUIS!$C$92="X",0,0)),-1000)</f>
        <v>-1000</v>
      </c>
      <c r="BT352">
        <f>IF(AND(CROQUIS!$C$88=1,CROQUIS!$C$91=1,CROQUIS!$C$130&gt;0),((CROQUIS!$C$156+(IF(CROQUIS!$C$92="X",CHOOSE(IF(INT(($A352-1)/5)&gt;MAX((MIN(80,MAX(1,INT(((CROQUIS!$C$98)-CROQUIS!$C$107)/MAX(CROQUIS!$C$130,1))+1)))-1,0),0,MOD($A352-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352-1)/5),MAX((MIN(80,MAX(1,INT(((CROQUIS!$C$98)-CROQUIS!$C$107)/MAX(CROQUIS!$C$130,1))+1)))-1,0))*CROQUIS!$C$130)))*CROQUIS!$C$155)+IF(CROQUIS!$C$92="X",0,0)),-1000)</f>
        <v>-1000</v>
      </c>
      <c r="BU352">
        <f>IF(AND(CROQUIS!$C$88=1,CROQUIS!$C$91=1,CROQUIS!$C$130&gt;0),((CROQUIS!$C$157+(IF(CROQUIS!$C$92="X",((CROQUIS!$C$107/2+(((CROQUIS!$C$98)-CROQUIS!$C$107)-(MIN(80,MAX(1,INT(((CROQUIS!$C$98)-CROQUIS!$C$107)/MAX(CROQUIS!$C$130,1))+1))-1)*CROQUIS!$C$130)/2)+MIN(INT(($A352-1)/5),MAX((MIN(80,MAX(1,INT(((CROQUIS!$C$98)-CROQUIS!$C$107)/MAX(CROQUIS!$C$130,1))+1)))-1,0))*CROQUIS!$C$130),CHOOSE(IF(INT(($A352-1)/5)&gt;MAX((MIN(80,MAX(1,INT(((CROQUIS!$C$98)-CROQUIS!$C$107)/MAX(CROQUIS!$C$130,1))+1)))-1,0),0,MOD($A352-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53">
      <c r="A353" t="n">
        <v>346</v>
      </c>
      <c r="BH353">
        <f>IF(AND(CROQUIS!$C$88=1,CROQUIS!$C$126&gt;0),((CROQUIS!$C$156+(IF(CROQUIS!$C$92="X",CHOOSE(IF(INT(($A353-1)/5)&gt;MAX((MIN(80,MAX(1,INT(((CROQUIS!$C$98)-CROQUIS!$C$107)/MAX(CROQUIS!$C$126,1))+1)))-1,0),0,MOD($A353-1,5))+1,0,2,CROQUIS!$C$97-2,2,0),((CROQUIS!$C$107/2+(((CROQUIS!$C$98)-CROQUIS!$C$107)-(MIN(80,MAX(1,INT(((CROQUIS!$C$98)-CROQUIS!$C$107)/MAX(CROQUIS!$C$126,1))+1))-1)*CROQUIS!$C$126)/2)+MIN(INT(($A353-1)/5),MAX((MIN(80,MAX(1,INT(((CROQUIS!$C$98)-CROQUIS!$C$107)/MAX(CROQUIS!$C$126,1))+1)))-1,0))*CROQUIS!$C$126)))*CROQUIS!$C$155)+IF(CROQUIS!$C$92="X",0,0)),-1000)</f>
        <v>-1000</v>
      </c>
      <c r="BI353">
        <f>IF(AND(CROQUIS!$C$88=1,CROQUIS!$C$126&gt;0),((CROQUIS!$C$157+(IF(CROQUIS!$C$92="X",((CROQUIS!$C$107/2+(((CROQUIS!$C$98)-CROQUIS!$C$107)-(MIN(80,MAX(1,INT(((CROQUIS!$C$98)-CROQUIS!$C$107)/MAX(CROQUIS!$C$126,1))+1))-1)*CROQUIS!$C$126)/2)+MIN(INT(($A353-1)/5),MAX((MIN(80,MAX(1,INT(((CROQUIS!$C$98)-CROQUIS!$C$107)/MAX(CROQUIS!$C$126,1))+1)))-1,0))*CROQUIS!$C$126),CHOOSE(IF(INT(($A353-1)/5)&gt;MAX((MIN(80,MAX(1,INT(((CROQUIS!$C$98)-CROQUIS!$C$107)/MAX(CROQUIS!$C$126,1))+1)))-1,0),0,MOD($A353-1,5))+1,0,2,CROQUIS!$C$97-2,2,0)))*CROQUIS!$C$155)+IF(CROQUIS!$C$92="X",0,0)),-1000)</f>
        <v>-1000</v>
      </c>
      <c r="BJ353">
        <f>IF(AND(CROQUIS!$C$88=1,CROQUIS!$C$134&gt;0),((CROQUIS!$C$156+(IF(CROQUIS!$C$92="X",((CROQUIS!$C$107/2+(((CROQUIS!$C$97)-CROQUIS!$C$107)-(MIN(80,MAX(1,INT(((CROQUIS!$C$97)-CROQUIS!$C$107)/MAX(CROQUIS!$C$134,1))+1))-1)*CROQUIS!$C$134)/2)+MIN(INT(($A353-1)/5),MAX((MIN(80,MAX(1,INT(((CROQUIS!$C$97)-CROQUIS!$C$107)/MAX(CROQUIS!$C$134,1))+1)))-1,0))*CROQUIS!$C$134),CHOOSE(IF(INT(($A353-1)/5)&gt;MAX((MIN(80,MAX(1,INT(((CROQUIS!$C$97)-CROQUIS!$C$107)/MAX(CROQUIS!$C$134,1))+1)))-1,0),0,MOD($A353-1,5))+1,0,2,CROQUIS!$C$98-2,2,0)))*CROQUIS!$C$155)+IF(CROQUIS!$C$92="X",0,0)),-1000)</f>
        <v>-1000</v>
      </c>
      <c r="BK353">
        <f>IF(AND(CROQUIS!$C$88=1,CROQUIS!$C$134&gt;0),((CROQUIS!$C$157+(IF(CROQUIS!$C$92="X",CHOOSE(IF(INT(($A353-1)/5)&gt;MAX((MIN(80,MAX(1,INT(((CROQUIS!$C$97)-CROQUIS!$C$107)/MAX(CROQUIS!$C$134,1))+1)))-1,0),0,MOD($A353-1,5))+1,0,2,CROQUIS!$C$98-2,2,0),((CROQUIS!$C$107/2+(((CROQUIS!$C$97)-CROQUIS!$C$107)-(MIN(80,MAX(1,INT(((CROQUIS!$C$97)-CROQUIS!$C$107)/MAX(CROQUIS!$C$134,1))+1))-1)*CROQUIS!$C$134)/2)+MIN(INT(($A353-1)/5),MAX((MIN(80,MAX(1,INT(((CROQUIS!$C$97)-CROQUIS!$C$107)/MAX(CROQUIS!$C$134,1))+1)))-1,0))*CROQUIS!$C$134)))*CROQUIS!$C$155)+IF(CROQUIS!$C$92="X",0,0)),-1000)</f>
        <v>-1000</v>
      </c>
      <c r="BL353">
        <f>IF(AND(CROQUIS!$C$88=1,CROQUIS!$C$91=0,CROQUIS!$C$130&gt;0,OR(CROQUIS!$C$103=1,CROQUIS!$C$142=1)),((CROQUIS!$C$156+(IF(CROQUIS!$C$92="X",CHOOSE(IF(INT(($A353-1)/5)&gt;MAX((MIN(80,MAX(1,INT(((CROQUIS!$C$98)-CROQUIS!$C$107)/MAX(CROQUIS!$C$130,1))+1)))-1,0),0,MOD($A353-1,5))+1,0,IF(CROQUIS!$C$103=1,-12,2),CROQUIS!$C$107/2+CROQUIS!$C$140,IF(CROQUIS!$C$103=1,-12,2),0),((CROQUIS!$C$107/2+(((CROQUIS!$C$98)-CROQUIS!$C$107)-(MIN(80,MAX(1,INT(((CROQUIS!$C$98)-CROQUIS!$C$107)/MAX(CROQUIS!$C$130,1))+1))-1)*CROQUIS!$C$130)/2)+MIN(INT(($A353-1)/5),MAX((MIN(80,MAX(1,INT(((CROQUIS!$C$98)-CROQUIS!$C$107)/MAX(CROQUIS!$C$130,1))+1)))-1,0))*CROQUIS!$C$130)))*CROQUIS!$C$155)+IF(CROQUIS!$C$92="X",0,0)),-1000)</f>
        <v>-1000</v>
      </c>
      <c r="BM35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353-1)/5),MAX((MIN(80,MAX(1,INT(((CROQUIS!$C$98)-CROQUIS!$C$107)/MAX(CROQUIS!$C$130,1))+1)))-1,0))*CROQUIS!$C$130),CHOOSE(IF(INT(($A353-1)/5)&gt;MAX((MIN(80,MAX(1,INT(((CROQUIS!$C$98)-CROQUIS!$C$107)/MAX(CROQUIS!$C$130,1))+1)))-1,0),0,MOD($A353-1,5))+1,0,IF(CROQUIS!$C$103=1,-12,2),CROQUIS!$C$107/2+CROQUIS!$C$140,IF(CROQUIS!$C$103=1,-12,2),0)))*CROQUIS!$C$155)+IF(CROQUIS!$C$92="X",0,0)),-1000)</f>
        <v>-1000</v>
      </c>
      <c r="BN353">
        <f>IF(AND(CROQUIS!$C$88=1,CROQUIS!$C$91=0,CROQUIS!$C$130&gt;0,OR(CROQUIS!$C$104=1,CROQUIS!$C$142=1)),((CROQUIS!$C$156+(IF(CROQUIS!$C$92="X",CHOOSE(IF(INT(($A353-1)/5)&gt;MAX((MIN(80,MAX(1,INT(((CROQUIS!$C$98)-CROQUIS!$C$107)/MAX(CROQUIS!$C$130,1))+1)))-1,0),0,MOD($A353-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353-1)/5),MAX((MIN(80,MAX(1,INT(((CROQUIS!$C$98)-CROQUIS!$C$107)/MAX(CROQUIS!$C$130,1))+1)))-1,0))*CROQUIS!$C$130)))*CROQUIS!$C$155)+IF(CROQUIS!$C$92="X",0,0)),-1000)</f>
        <v>-1000</v>
      </c>
      <c r="BO35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353-1)/5),MAX((MIN(80,MAX(1,INT(((CROQUIS!$C$98)-CROQUIS!$C$107)/MAX(CROQUIS!$C$130,1))+1)))-1,0))*CROQUIS!$C$130),CHOOSE(IF(INT(($A353-1)/5)&gt;MAX((MIN(80,MAX(1,INT(((CROQUIS!$C$98)-CROQUIS!$C$107)/MAX(CROQUIS!$C$130,1))+1)))-1,0),0,MOD($A353-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5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353-1)/5),MAX((MIN(80,MAX(1,INT(((CROQUIS!$C$97)-CROQUIS!$C$107)/MAX(CROQUIS!$C$138,1))+1)))-1,0))*CROQUIS!$C$138),CHOOSE(IF(INT(($A353-1)/5)&gt;MAX((MIN(80,MAX(1,INT(((CROQUIS!$C$97)-CROQUIS!$C$107)/MAX(CROQUIS!$C$138,1))+1)))-1,0),0,MOD($A353-1,5))+1,0,IF(CROQUIS!$C$105=1,-12,2),CROQUIS!$C$107/2+CROQUIS!$C$141,IF(CROQUIS!$C$105=1,-12,2),0)))*CROQUIS!$C$155)+IF(CROQUIS!$C$92="X",0,0)),-1000)</f>
        <v>-1000</v>
      </c>
      <c r="BQ353">
        <f>IF(AND(CROQUIS!$C$88=1,CROQUIS!$C$91=0,CROQUIS!$C$138&gt;0,OR(CROQUIS!$C$105=1,CROQUIS!$C$143=1)),((CROQUIS!$C$157+(IF(CROQUIS!$C$92="X",CHOOSE(IF(INT(($A353-1)/5)&gt;MAX((MIN(80,MAX(1,INT(((CROQUIS!$C$97)-CROQUIS!$C$107)/MAX(CROQUIS!$C$138,1))+1)))-1,0),0,MOD($A353-1,5))+1,0,IF(CROQUIS!$C$105=1,-12,2),CROQUIS!$C$107/2+CROQUIS!$C$141,IF(CROQUIS!$C$105=1,-12,2),0),((CROQUIS!$C$107/2+(((CROQUIS!$C$97)-CROQUIS!$C$107)-(MIN(80,MAX(1,INT(((CROQUIS!$C$97)-CROQUIS!$C$107)/MAX(CROQUIS!$C$138,1))+1))-1)*CROQUIS!$C$138)/2)+MIN(INT(($A353-1)/5),MAX((MIN(80,MAX(1,INT(((CROQUIS!$C$97)-CROQUIS!$C$107)/MAX(CROQUIS!$C$138,1))+1)))-1,0))*CROQUIS!$C$138)))*CROQUIS!$C$155)+IF(CROQUIS!$C$92="X",0,0)),-1000)</f>
        <v>-1000</v>
      </c>
      <c r="BR35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353-1)/5),MAX((MIN(80,MAX(1,INT(((CROQUIS!$C$97)-CROQUIS!$C$107)/MAX(CROQUIS!$C$138,1))+1)))-1,0))*CROQUIS!$C$138),CHOOSE(IF(INT(($A353-1)/5)&gt;MAX((MIN(80,MAX(1,INT(((CROQUIS!$C$97)-CROQUIS!$C$107)/MAX(CROQUIS!$C$138,1))+1)))-1,0),0,MOD($A353-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53">
        <f>IF(AND(CROQUIS!$C$88=1,CROQUIS!$C$91=0,CROQUIS!$C$138&gt;0,OR(CROQUIS!$C$106=1,CROQUIS!$C$143=1)),((CROQUIS!$C$157+(IF(CROQUIS!$C$92="X",CHOOSE(IF(INT(($A353-1)/5)&gt;MAX((MIN(80,MAX(1,INT(((CROQUIS!$C$97)-CROQUIS!$C$107)/MAX(CROQUIS!$C$138,1))+1)))-1,0),0,MOD($A353-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353-1)/5),MAX((MIN(80,MAX(1,INT(((CROQUIS!$C$97)-CROQUIS!$C$107)/MAX(CROQUIS!$C$138,1))+1)))-1,0))*CROQUIS!$C$138)))*CROQUIS!$C$155)+IF(CROQUIS!$C$92="X",0,0)),-1000)</f>
        <v>-1000</v>
      </c>
      <c r="BT353">
        <f>IF(AND(CROQUIS!$C$88=1,CROQUIS!$C$91=1,CROQUIS!$C$130&gt;0),((CROQUIS!$C$156+(IF(CROQUIS!$C$92="X",CHOOSE(IF(INT(($A353-1)/5)&gt;MAX((MIN(80,MAX(1,INT(((CROQUIS!$C$98)-CROQUIS!$C$107)/MAX(CROQUIS!$C$130,1))+1)))-1,0),0,MOD($A353-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353-1)/5),MAX((MIN(80,MAX(1,INT(((CROQUIS!$C$98)-CROQUIS!$C$107)/MAX(CROQUIS!$C$130,1))+1)))-1,0))*CROQUIS!$C$130)))*CROQUIS!$C$155)+IF(CROQUIS!$C$92="X",0,0)),-1000)</f>
        <v>-1000</v>
      </c>
      <c r="BU353">
        <f>IF(AND(CROQUIS!$C$88=1,CROQUIS!$C$91=1,CROQUIS!$C$130&gt;0),((CROQUIS!$C$157+(IF(CROQUIS!$C$92="X",((CROQUIS!$C$107/2+(((CROQUIS!$C$98)-CROQUIS!$C$107)-(MIN(80,MAX(1,INT(((CROQUIS!$C$98)-CROQUIS!$C$107)/MAX(CROQUIS!$C$130,1))+1))-1)*CROQUIS!$C$130)/2)+MIN(INT(($A353-1)/5),MAX((MIN(80,MAX(1,INT(((CROQUIS!$C$98)-CROQUIS!$C$107)/MAX(CROQUIS!$C$130,1))+1)))-1,0))*CROQUIS!$C$130),CHOOSE(IF(INT(($A353-1)/5)&gt;MAX((MIN(80,MAX(1,INT(((CROQUIS!$C$98)-CROQUIS!$C$107)/MAX(CROQUIS!$C$130,1))+1)))-1,0),0,MOD($A353-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54">
      <c r="A354" t="n">
        <v>347</v>
      </c>
      <c r="BH354">
        <f>IF(AND(CROQUIS!$C$88=1,CROQUIS!$C$126&gt;0),((CROQUIS!$C$156+(IF(CROQUIS!$C$92="X",CHOOSE(IF(INT(($A354-1)/5)&gt;MAX((MIN(80,MAX(1,INT(((CROQUIS!$C$98)-CROQUIS!$C$107)/MAX(CROQUIS!$C$126,1))+1)))-1,0),0,MOD($A354-1,5))+1,0,2,CROQUIS!$C$97-2,2,0),((CROQUIS!$C$107/2+(((CROQUIS!$C$98)-CROQUIS!$C$107)-(MIN(80,MAX(1,INT(((CROQUIS!$C$98)-CROQUIS!$C$107)/MAX(CROQUIS!$C$126,1))+1))-1)*CROQUIS!$C$126)/2)+MIN(INT(($A354-1)/5),MAX((MIN(80,MAX(1,INT(((CROQUIS!$C$98)-CROQUIS!$C$107)/MAX(CROQUIS!$C$126,1))+1)))-1,0))*CROQUIS!$C$126)))*CROQUIS!$C$155)+IF(CROQUIS!$C$92="X",0,0)),-1000)</f>
        <v>-1000</v>
      </c>
      <c r="BI354">
        <f>IF(AND(CROQUIS!$C$88=1,CROQUIS!$C$126&gt;0),((CROQUIS!$C$157+(IF(CROQUIS!$C$92="X",((CROQUIS!$C$107/2+(((CROQUIS!$C$98)-CROQUIS!$C$107)-(MIN(80,MAX(1,INT(((CROQUIS!$C$98)-CROQUIS!$C$107)/MAX(CROQUIS!$C$126,1))+1))-1)*CROQUIS!$C$126)/2)+MIN(INT(($A354-1)/5),MAX((MIN(80,MAX(1,INT(((CROQUIS!$C$98)-CROQUIS!$C$107)/MAX(CROQUIS!$C$126,1))+1)))-1,0))*CROQUIS!$C$126),CHOOSE(IF(INT(($A354-1)/5)&gt;MAX((MIN(80,MAX(1,INT(((CROQUIS!$C$98)-CROQUIS!$C$107)/MAX(CROQUIS!$C$126,1))+1)))-1,0),0,MOD($A354-1,5))+1,0,2,CROQUIS!$C$97-2,2,0)))*CROQUIS!$C$155)+IF(CROQUIS!$C$92="X",0,0)),-1000)</f>
        <v>-1000</v>
      </c>
      <c r="BJ354">
        <f>IF(AND(CROQUIS!$C$88=1,CROQUIS!$C$134&gt;0),((CROQUIS!$C$156+(IF(CROQUIS!$C$92="X",((CROQUIS!$C$107/2+(((CROQUIS!$C$97)-CROQUIS!$C$107)-(MIN(80,MAX(1,INT(((CROQUIS!$C$97)-CROQUIS!$C$107)/MAX(CROQUIS!$C$134,1))+1))-1)*CROQUIS!$C$134)/2)+MIN(INT(($A354-1)/5),MAX((MIN(80,MAX(1,INT(((CROQUIS!$C$97)-CROQUIS!$C$107)/MAX(CROQUIS!$C$134,1))+1)))-1,0))*CROQUIS!$C$134),CHOOSE(IF(INT(($A354-1)/5)&gt;MAX((MIN(80,MAX(1,INT(((CROQUIS!$C$97)-CROQUIS!$C$107)/MAX(CROQUIS!$C$134,1))+1)))-1,0),0,MOD($A354-1,5))+1,0,2,CROQUIS!$C$98-2,2,0)))*CROQUIS!$C$155)+IF(CROQUIS!$C$92="X",0,0)),-1000)</f>
        <v>-1000</v>
      </c>
      <c r="BK354">
        <f>IF(AND(CROQUIS!$C$88=1,CROQUIS!$C$134&gt;0),((CROQUIS!$C$157+(IF(CROQUIS!$C$92="X",CHOOSE(IF(INT(($A354-1)/5)&gt;MAX((MIN(80,MAX(1,INT(((CROQUIS!$C$97)-CROQUIS!$C$107)/MAX(CROQUIS!$C$134,1))+1)))-1,0),0,MOD($A354-1,5))+1,0,2,CROQUIS!$C$98-2,2,0),((CROQUIS!$C$107/2+(((CROQUIS!$C$97)-CROQUIS!$C$107)-(MIN(80,MAX(1,INT(((CROQUIS!$C$97)-CROQUIS!$C$107)/MAX(CROQUIS!$C$134,1))+1))-1)*CROQUIS!$C$134)/2)+MIN(INT(($A354-1)/5),MAX((MIN(80,MAX(1,INT(((CROQUIS!$C$97)-CROQUIS!$C$107)/MAX(CROQUIS!$C$134,1))+1)))-1,0))*CROQUIS!$C$134)))*CROQUIS!$C$155)+IF(CROQUIS!$C$92="X",0,0)),-1000)</f>
        <v>-1000</v>
      </c>
      <c r="BL354">
        <f>IF(AND(CROQUIS!$C$88=1,CROQUIS!$C$91=0,CROQUIS!$C$130&gt;0,OR(CROQUIS!$C$103=1,CROQUIS!$C$142=1)),((CROQUIS!$C$156+(IF(CROQUIS!$C$92="X",CHOOSE(IF(INT(($A354-1)/5)&gt;MAX((MIN(80,MAX(1,INT(((CROQUIS!$C$98)-CROQUIS!$C$107)/MAX(CROQUIS!$C$130,1))+1)))-1,0),0,MOD($A354-1,5))+1,0,IF(CROQUIS!$C$103=1,-12,2),CROQUIS!$C$107/2+CROQUIS!$C$140,IF(CROQUIS!$C$103=1,-12,2),0),((CROQUIS!$C$107/2+(((CROQUIS!$C$98)-CROQUIS!$C$107)-(MIN(80,MAX(1,INT(((CROQUIS!$C$98)-CROQUIS!$C$107)/MAX(CROQUIS!$C$130,1))+1))-1)*CROQUIS!$C$130)/2)+MIN(INT(($A354-1)/5),MAX((MIN(80,MAX(1,INT(((CROQUIS!$C$98)-CROQUIS!$C$107)/MAX(CROQUIS!$C$130,1))+1)))-1,0))*CROQUIS!$C$130)))*CROQUIS!$C$155)+IF(CROQUIS!$C$92="X",0,0)),-1000)</f>
        <v>-1000</v>
      </c>
      <c r="BM35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354-1)/5),MAX((MIN(80,MAX(1,INT(((CROQUIS!$C$98)-CROQUIS!$C$107)/MAX(CROQUIS!$C$130,1))+1)))-1,0))*CROQUIS!$C$130),CHOOSE(IF(INT(($A354-1)/5)&gt;MAX((MIN(80,MAX(1,INT(((CROQUIS!$C$98)-CROQUIS!$C$107)/MAX(CROQUIS!$C$130,1))+1)))-1,0),0,MOD($A354-1,5))+1,0,IF(CROQUIS!$C$103=1,-12,2),CROQUIS!$C$107/2+CROQUIS!$C$140,IF(CROQUIS!$C$103=1,-12,2),0)))*CROQUIS!$C$155)+IF(CROQUIS!$C$92="X",0,0)),-1000)</f>
        <v>-1000</v>
      </c>
      <c r="BN354">
        <f>IF(AND(CROQUIS!$C$88=1,CROQUIS!$C$91=0,CROQUIS!$C$130&gt;0,OR(CROQUIS!$C$104=1,CROQUIS!$C$142=1)),((CROQUIS!$C$156+(IF(CROQUIS!$C$92="X",CHOOSE(IF(INT(($A354-1)/5)&gt;MAX((MIN(80,MAX(1,INT(((CROQUIS!$C$98)-CROQUIS!$C$107)/MAX(CROQUIS!$C$130,1))+1)))-1,0),0,MOD($A354-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354-1)/5),MAX((MIN(80,MAX(1,INT(((CROQUIS!$C$98)-CROQUIS!$C$107)/MAX(CROQUIS!$C$130,1))+1)))-1,0))*CROQUIS!$C$130)))*CROQUIS!$C$155)+IF(CROQUIS!$C$92="X",0,0)),-1000)</f>
        <v>-1000</v>
      </c>
      <c r="BO35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354-1)/5),MAX((MIN(80,MAX(1,INT(((CROQUIS!$C$98)-CROQUIS!$C$107)/MAX(CROQUIS!$C$130,1))+1)))-1,0))*CROQUIS!$C$130),CHOOSE(IF(INT(($A354-1)/5)&gt;MAX((MIN(80,MAX(1,INT(((CROQUIS!$C$98)-CROQUIS!$C$107)/MAX(CROQUIS!$C$130,1))+1)))-1,0),0,MOD($A354-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5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354-1)/5),MAX((MIN(80,MAX(1,INT(((CROQUIS!$C$97)-CROQUIS!$C$107)/MAX(CROQUIS!$C$138,1))+1)))-1,0))*CROQUIS!$C$138),CHOOSE(IF(INT(($A354-1)/5)&gt;MAX((MIN(80,MAX(1,INT(((CROQUIS!$C$97)-CROQUIS!$C$107)/MAX(CROQUIS!$C$138,1))+1)))-1,0),0,MOD($A354-1,5))+1,0,IF(CROQUIS!$C$105=1,-12,2),CROQUIS!$C$107/2+CROQUIS!$C$141,IF(CROQUIS!$C$105=1,-12,2),0)))*CROQUIS!$C$155)+IF(CROQUIS!$C$92="X",0,0)),-1000)</f>
        <v>-1000</v>
      </c>
      <c r="BQ354">
        <f>IF(AND(CROQUIS!$C$88=1,CROQUIS!$C$91=0,CROQUIS!$C$138&gt;0,OR(CROQUIS!$C$105=1,CROQUIS!$C$143=1)),((CROQUIS!$C$157+(IF(CROQUIS!$C$92="X",CHOOSE(IF(INT(($A354-1)/5)&gt;MAX((MIN(80,MAX(1,INT(((CROQUIS!$C$97)-CROQUIS!$C$107)/MAX(CROQUIS!$C$138,1))+1)))-1,0),0,MOD($A354-1,5))+1,0,IF(CROQUIS!$C$105=1,-12,2),CROQUIS!$C$107/2+CROQUIS!$C$141,IF(CROQUIS!$C$105=1,-12,2),0),((CROQUIS!$C$107/2+(((CROQUIS!$C$97)-CROQUIS!$C$107)-(MIN(80,MAX(1,INT(((CROQUIS!$C$97)-CROQUIS!$C$107)/MAX(CROQUIS!$C$138,1))+1))-1)*CROQUIS!$C$138)/2)+MIN(INT(($A354-1)/5),MAX((MIN(80,MAX(1,INT(((CROQUIS!$C$97)-CROQUIS!$C$107)/MAX(CROQUIS!$C$138,1))+1)))-1,0))*CROQUIS!$C$138)))*CROQUIS!$C$155)+IF(CROQUIS!$C$92="X",0,0)),-1000)</f>
        <v>-1000</v>
      </c>
      <c r="BR35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354-1)/5),MAX((MIN(80,MAX(1,INT(((CROQUIS!$C$97)-CROQUIS!$C$107)/MAX(CROQUIS!$C$138,1))+1)))-1,0))*CROQUIS!$C$138),CHOOSE(IF(INT(($A354-1)/5)&gt;MAX((MIN(80,MAX(1,INT(((CROQUIS!$C$97)-CROQUIS!$C$107)/MAX(CROQUIS!$C$138,1))+1)))-1,0),0,MOD($A354-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54">
        <f>IF(AND(CROQUIS!$C$88=1,CROQUIS!$C$91=0,CROQUIS!$C$138&gt;0,OR(CROQUIS!$C$106=1,CROQUIS!$C$143=1)),((CROQUIS!$C$157+(IF(CROQUIS!$C$92="X",CHOOSE(IF(INT(($A354-1)/5)&gt;MAX((MIN(80,MAX(1,INT(((CROQUIS!$C$97)-CROQUIS!$C$107)/MAX(CROQUIS!$C$138,1))+1)))-1,0),0,MOD($A354-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354-1)/5),MAX((MIN(80,MAX(1,INT(((CROQUIS!$C$97)-CROQUIS!$C$107)/MAX(CROQUIS!$C$138,1))+1)))-1,0))*CROQUIS!$C$138)))*CROQUIS!$C$155)+IF(CROQUIS!$C$92="X",0,0)),-1000)</f>
        <v>-1000</v>
      </c>
      <c r="BT354">
        <f>IF(AND(CROQUIS!$C$88=1,CROQUIS!$C$91=1,CROQUIS!$C$130&gt;0),((CROQUIS!$C$156+(IF(CROQUIS!$C$92="X",CHOOSE(IF(INT(($A354-1)/5)&gt;MAX((MIN(80,MAX(1,INT(((CROQUIS!$C$98)-CROQUIS!$C$107)/MAX(CROQUIS!$C$130,1))+1)))-1,0),0,MOD($A354-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354-1)/5),MAX((MIN(80,MAX(1,INT(((CROQUIS!$C$98)-CROQUIS!$C$107)/MAX(CROQUIS!$C$130,1))+1)))-1,0))*CROQUIS!$C$130)))*CROQUIS!$C$155)+IF(CROQUIS!$C$92="X",0,0)),-1000)</f>
        <v>-1000</v>
      </c>
      <c r="BU354">
        <f>IF(AND(CROQUIS!$C$88=1,CROQUIS!$C$91=1,CROQUIS!$C$130&gt;0),((CROQUIS!$C$157+(IF(CROQUIS!$C$92="X",((CROQUIS!$C$107/2+(((CROQUIS!$C$98)-CROQUIS!$C$107)-(MIN(80,MAX(1,INT(((CROQUIS!$C$98)-CROQUIS!$C$107)/MAX(CROQUIS!$C$130,1))+1))-1)*CROQUIS!$C$130)/2)+MIN(INT(($A354-1)/5),MAX((MIN(80,MAX(1,INT(((CROQUIS!$C$98)-CROQUIS!$C$107)/MAX(CROQUIS!$C$130,1))+1)))-1,0))*CROQUIS!$C$130),CHOOSE(IF(INT(($A354-1)/5)&gt;MAX((MIN(80,MAX(1,INT(((CROQUIS!$C$98)-CROQUIS!$C$107)/MAX(CROQUIS!$C$130,1))+1)))-1,0),0,MOD($A354-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55">
      <c r="A355" t="n">
        <v>348</v>
      </c>
      <c r="BH355">
        <f>IF(AND(CROQUIS!$C$88=1,CROQUIS!$C$126&gt;0),((CROQUIS!$C$156+(IF(CROQUIS!$C$92="X",CHOOSE(IF(INT(($A355-1)/5)&gt;MAX((MIN(80,MAX(1,INT(((CROQUIS!$C$98)-CROQUIS!$C$107)/MAX(CROQUIS!$C$126,1))+1)))-1,0),0,MOD($A355-1,5))+1,0,2,CROQUIS!$C$97-2,2,0),((CROQUIS!$C$107/2+(((CROQUIS!$C$98)-CROQUIS!$C$107)-(MIN(80,MAX(1,INT(((CROQUIS!$C$98)-CROQUIS!$C$107)/MAX(CROQUIS!$C$126,1))+1))-1)*CROQUIS!$C$126)/2)+MIN(INT(($A355-1)/5),MAX((MIN(80,MAX(1,INT(((CROQUIS!$C$98)-CROQUIS!$C$107)/MAX(CROQUIS!$C$126,1))+1)))-1,0))*CROQUIS!$C$126)))*CROQUIS!$C$155)+IF(CROQUIS!$C$92="X",0,0)),-1000)</f>
        <v>-1000</v>
      </c>
      <c r="BI355">
        <f>IF(AND(CROQUIS!$C$88=1,CROQUIS!$C$126&gt;0),((CROQUIS!$C$157+(IF(CROQUIS!$C$92="X",((CROQUIS!$C$107/2+(((CROQUIS!$C$98)-CROQUIS!$C$107)-(MIN(80,MAX(1,INT(((CROQUIS!$C$98)-CROQUIS!$C$107)/MAX(CROQUIS!$C$126,1))+1))-1)*CROQUIS!$C$126)/2)+MIN(INT(($A355-1)/5),MAX((MIN(80,MAX(1,INT(((CROQUIS!$C$98)-CROQUIS!$C$107)/MAX(CROQUIS!$C$126,1))+1)))-1,0))*CROQUIS!$C$126),CHOOSE(IF(INT(($A355-1)/5)&gt;MAX((MIN(80,MAX(1,INT(((CROQUIS!$C$98)-CROQUIS!$C$107)/MAX(CROQUIS!$C$126,1))+1)))-1,0),0,MOD($A355-1,5))+1,0,2,CROQUIS!$C$97-2,2,0)))*CROQUIS!$C$155)+IF(CROQUIS!$C$92="X",0,0)),-1000)</f>
        <v>-1000</v>
      </c>
      <c r="BJ355">
        <f>IF(AND(CROQUIS!$C$88=1,CROQUIS!$C$134&gt;0),((CROQUIS!$C$156+(IF(CROQUIS!$C$92="X",((CROQUIS!$C$107/2+(((CROQUIS!$C$97)-CROQUIS!$C$107)-(MIN(80,MAX(1,INT(((CROQUIS!$C$97)-CROQUIS!$C$107)/MAX(CROQUIS!$C$134,1))+1))-1)*CROQUIS!$C$134)/2)+MIN(INT(($A355-1)/5),MAX((MIN(80,MAX(1,INT(((CROQUIS!$C$97)-CROQUIS!$C$107)/MAX(CROQUIS!$C$134,1))+1)))-1,0))*CROQUIS!$C$134),CHOOSE(IF(INT(($A355-1)/5)&gt;MAX((MIN(80,MAX(1,INT(((CROQUIS!$C$97)-CROQUIS!$C$107)/MAX(CROQUIS!$C$134,1))+1)))-1,0),0,MOD($A355-1,5))+1,0,2,CROQUIS!$C$98-2,2,0)))*CROQUIS!$C$155)+IF(CROQUIS!$C$92="X",0,0)),-1000)</f>
        <v>-1000</v>
      </c>
      <c r="BK355">
        <f>IF(AND(CROQUIS!$C$88=1,CROQUIS!$C$134&gt;0),((CROQUIS!$C$157+(IF(CROQUIS!$C$92="X",CHOOSE(IF(INT(($A355-1)/5)&gt;MAX((MIN(80,MAX(1,INT(((CROQUIS!$C$97)-CROQUIS!$C$107)/MAX(CROQUIS!$C$134,1))+1)))-1,0),0,MOD($A355-1,5))+1,0,2,CROQUIS!$C$98-2,2,0),((CROQUIS!$C$107/2+(((CROQUIS!$C$97)-CROQUIS!$C$107)-(MIN(80,MAX(1,INT(((CROQUIS!$C$97)-CROQUIS!$C$107)/MAX(CROQUIS!$C$134,1))+1))-1)*CROQUIS!$C$134)/2)+MIN(INT(($A355-1)/5),MAX((MIN(80,MAX(1,INT(((CROQUIS!$C$97)-CROQUIS!$C$107)/MAX(CROQUIS!$C$134,1))+1)))-1,0))*CROQUIS!$C$134)))*CROQUIS!$C$155)+IF(CROQUIS!$C$92="X",0,0)),-1000)</f>
        <v>-1000</v>
      </c>
      <c r="BL355">
        <f>IF(AND(CROQUIS!$C$88=1,CROQUIS!$C$91=0,CROQUIS!$C$130&gt;0,OR(CROQUIS!$C$103=1,CROQUIS!$C$142=1)),((CROQUIS!$C$156+(IF(CROQUIS!$C$92="X",CHOOSE(IF(INT(($A355-1)/5)&gt;MAX((MIN(80,MAX(1,INT(((CROQUIS!$C$98)-CROQUIS!$C$107)/MAX(CROQUIS!$C$130,1))+1)))-1,0),0,MOD($A355-1,5))+1,0,IF(CROQUIS!$C$103=1,-12,2),CROQUIS!$C$107/2+CROQUIS!$C$140,IF(CROQUIS!$C$103=1,-12,2),0),((CROQUIS!$C$107/2+(((CROQUIS!$C$98)-CROQUIS!$C$107)-(MIN(80,MAX(1,INT(((CROQUIS!$C$98)-CROQUIS!$C$107)/MAX(CROQUIS!$C$130,1))+1))-1)*CROQUIS!$C$130)/2)+MIN(INT(($A355-1)/5),MAX((MIN(80,MAX(1,INT(((CROQUIS!$C$98)-CROQUIS!$C$107)/MAX(CROQUIS!$C$130,1))+1)))-1,0))*CROQUIS!$C$130)))*CROQUIS!$C$155)+IF(CROQUIS!$C$92="X",0,0)),-1000)</f>
        <v>-1000</v>
      </c>
      <c r="BM35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355-1)/5),MAX((MIN(80,MAX(1,INT(((CROQUIS!$C$98)-CROQUIS!$C$107)/MAX(CROQUIS!$C$130,1))+1)))-1,0))*CROQUIS!$C$130),CHOOSE(IF(INT(($A355-1)/5)&gt;MAX((MIN(80,MAX(1,INT(((CROQUIS!$C$98)-CROQUIS!$C$107)/MAX(CROQUIS!$C$130,1))+1)))-1,0),0,MOD($A355-1,5))+1,0,IF(CROQUIS!$C$103=1,-12,2),CROQUIS!$C$107/2+CROQUIS!$C$140,IF(CROQUIS!$C$103=1,-12,2),0)))*CROQUIS!$C$155)+IF(CROQUIS!$C$92="X",0,0)),-1000)</f>
        <v>-1000</v>
      </c>
      <c r="BN355">
        <f>IF(AND(CROQUIS!$C$88=1,CROQUIS!$C$91=0,CROQUIS!$C$130&gt;0,OR(CROQUIS!$C$104=1,CROQUIS!$C$142=1)),((CROQUIS!$C$156+(IF(CROQUIS!$C$92="X",CHOOSE(IF(INT(($A355-1)/5)&gt;MAX((MIN(80,MAX(1,INT(((CROQUIS!$C$98)-CROQUIS!$C$107)/MAX(CROQUIS!$C$130,1))+1)))-1,0),0,MOD($A355-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355-1)/5),MAX((MIN(80,MAX(1,INT(((CROQUIS!$C$98)-CROQUIS!$C$107)/MAX(CROQUIS!$C$130,1))+1)))-1,0))*CROQUIS!$C$130)))*CROQUIS!$C$155)+IF(CROQUIS!$C$92="X",0,0)),-1000)</f>
        <v>-1000</v>
      </c>
      <c r="BO35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355-1)/5),MAX((MIN(80,MAX(1,INT(((CROQUIS!$C$98)-CROQUIS!$C$107)/MAX(CROQUIS!$C$130,1))+1)))-1,0))*CROQUIS!$C$130),CHOOSE(IF(INT(($A355-1)/5)&gt;MAX((MIN(80,MAX(1,INT(((CROQUIS!$C$98)-CROQUIS!$C$107)/MAX(CROQUIS!$C$130,1))+1)))-1,0),0,MOD($A355-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5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355-1)/5),MAX((MIN(80,MAX(1,INT(((CROQUIS!$C$97)-CROQUIS!$C$107)/MAX(CROQUIS!$C$138,1))+1)))-1,0))*CROQUIS!$C$138),CHOOSE(IF(INT(($A355-1)/5)&gt;MAX((MIN(80,MAX(1,INT(((CROQUIS!$C$97)-CROQUIS!$C$107)/MAX(CROQUIS!$C$138,1))+1)))-1,0),0,MOD($A355-1,5))+1,0,IF(CROQUIS!$C$105=1,-12,2),CROQUIS!$C$107/2+CROQUIS!$C$141,IF(CROQUIS!$C$105=1,-12,2),0)))*CROQUIS!$C$155)+IF(CROQUIS!$C$92="X",0,0)),-1000)</f>
        <v>-1000</v>
      </c>
      <c r="BQ355">
        <f>IF(AND(CROQUIS!$C$88=1,CROQUIS!$C$91=0,CROQUIS!$C$138&gt;0,OR(CROQUIS!$C$105=1,CROQUIS!$C$143=1)),((CROQUIS!$C$157+(IF(CROQUIS!$C$92="X",CHOOSE(IF(INT(($A355-1)/5)&gt;MAX((MIN(80,MAX(1,INT(((CROQUIS!$C$97)-CROQUIS!$C$107)/MAX(CROQUIS!$C$138,1))+1)))-1,0),0,MOD($A355-1,5))+1,0,IF(CROQUIS!$C$105=1,-12,2),CROQUIS!$C$107/2+CROQUIS!$C$141,IF(CROQUIS!$C$105=1,-12,2),0),((CROQUIS!$C$107/2+(((CROQUIS!$C$97)-CROQUIS!$C$107)-(MIN(80,MAX(1,INT(((CROQUIS!$C$97)-CROQUIS!$C$107)/MAX(CROQUIS!$C$138,1))+1))-1)*CROQUIS!$C$138)/2)+MIN(INT(($A355-1)/5),MAX((MIN(80,MAX(1,INT(((CROQUIS!$C$97)-CROQUIS!$C$107)/MAX(CROQUIS!$C$138,1))+1)))-1,0))*CROQUIS!$C$138)))*CROQUIS!$C$155)+IF(CROQUIS!$C$92="X",0,0)),-1000)</f>
        <v>-1000</v>
      </c>
      <c r="BR35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355-1)/5),MAX((MIN(80,MAX(1,INT(((CROQUIS!$C$97)-CROQUIS!$C$107)/MAX(CROQUIS!$C$138,1))+1)))-1,0))*CROQUIS!$C$138),CHOOSE(IF(INT(($A355-1)/5)&gt;MAX((MIN(80,MAX(1,INT(((CROQUIS!$C$97)-CROQUIS!$C$107)/MAX(CROQUIS!$C$138,1))+1)))-1,0),0,MOD($A355-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55">
        <f>IF(AND(CROQUIS!$C$88=1,CROQUIS!$C$91=0,CROQUIS!$C$138&gt;0,OR(CROQUIS!$C$106=1,CROQUIS!$C$143=1)),((CROQUIS!$C$157+(IF(CROQUIS!$C$92="X",CHOOSE(IF(INT(($A355-1)/5)&gt;MAX((MIN(80,MAX(1,INT(((CROQUIS!$C$97)-CROQUIS!$C$107)/MAX(CROQUIS!$C$138,1))+1)))-1,0),0,MOD($A355-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355-1)/5),MAX((MIN(80,MAX(1,INT(((CROQUIS!$C$97)-CROQUIS!$C$107)/MAX(CROQUIS!$C$138,1))+1)))-1,0))*CROQUIS!$C$138)))*CROQUIS!$C$155)+IF(CROQUIS!$C$92="X",0,0)),-1000)</f>
        <v>-1000</v>
      </c>
      <c r="BT355">
        <f>IF(AND(CROQUIS!$C$88=1,CROQUIS!$C$91=1,CROQUIS!$C$130&gt;0),((CROQUIS!$C$156+(IF(CROQUIS!$C$92="X",CHOOSE(IF(INT(($A355-1)/5)&gt;MAX((MIN(80,MAX(1,INT(((CROQUIS!$C$98)-CROQUIS!$C$107)/MAX(CROQUIS!$C$130,1))+1)))-1,0),0,MOD($A355-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355-1)/5),MAX((MIN(80,MAX(1,INT(((CROQUIS!$C$98)-CROQUIS!$C$107)/MAX(CROQUIS!$C$130,1))+1)))-1,0))*CROQUIS!$C$130)))*CROQUIS!$C$155)+IF(CROQUIS!$C$92="X",0,0)),-1000)</f>
        <v>-1000</v>
      </c>
      <c r="BU355">
        <f>IF(AND(CROQUIS!$C$88=1,CROQUIS!$C$91=1,CROQUIS!$C$130&gt;0),((CROQUIS!$C$157+(IF(CROQUIS!$C$92="X",((CROQUIS!$C$107/2+(((CROQUIS!$C$98)-CROQUIS!$C$107)-(MIN(80,MAX(1,INT(((CROQUIS!$C$98)-CROQUIS!$C$107)/MAX(CROQUIS!$C$130,1))+1))-1)*CROQUIS!$C$130)/2)+MIN(INT(($A355-1)/5),MAX((MIN(80,MAX(1,INT(((CROQUIS!$C$98)-CROQUIS!$C$107)/MAX(CROQUIS!$C$130,1))+1)))-1,0))*CROQUIS!$C$130),CHOOSE(IF(INT(($A355-1)/5)&gt;MAX((MIN(80,MAX(1,INT(((CROQUIS!$C$98)-CROQUIS!$C$107)/MAX(CROQUIS!$C$130,1))+1)))-1,0),0,MOD($A355-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56">
      <c r="A356" t="n">
        <v>349</v>
      </c>
      <c r="BH356">
        <f>IF(AND(CROQUIS!$C$88=1,CROQUIS!$C$126&gt;0),((CROQUIS!$C$156+(IF(CROQUIS!$C$92="X",CHOOSE(IF(INT(($A356-1)/5)&gt;MAX((MIN(80,MAX(1,INT(((CROQUIS!$C$98)-CROQUIS!$C$107)/MAX(CROQUIS!$C$126,1))+1)))-1,0),0,MOD($A356-1,5))+1,0,2,CROQUIS!$C$97-2,2,0),((CROQUIS!$C$107/2+(((CROQUIS!$C$98)-CROQUIS!$C$107)-(MIN(80,MAX(1,INT(((CROQUIS!$C$98)-CROQUIS!$C$107)/MAX(CROQUIS!$C$126,1))+1))-1)*CROQUIS!$C$126)/2)+MIN(INT(($A356-1)/5),MAX((MIN(80,MAX(1,INT(((CROQUIS!$C$98)-CROQUIS!$C$107)/MAX(CROQUIS!$C$126,1))+1)))-1,0))*CROQUIS!$C$126)))*CROQUIS!$C$155)+IF(CROQUIS!$C$92="X",0,0)),-1000)</f>
        <v>-1000</v>
      </c>
      <c r="BI356">
        <f>IF(AND(CROQUIS!$C$88=1,CROQUIS!$C$126&gt;0),((CROQUIS!$C$157+(IF(CROQUIS!$C$92="X",((CROQUIS!$C$107/2+(((CROQUIS!$C$98)-CROQUIS!$C$107)-(MIN(80,MAX(1,INT(((CROQUIS!$C$98)-CROQUIS!$C$107)/MAX(CROQUIS!$C$126,1))+1))-1)*CROQUIS!$C$126)/2)+MIN(INT(($A356-1)/5),MAX((MIN(80,MAX(1,INT(((CROQUIS!$C$98)-CROQUIS!$C$107)/MAX(CROQUIS!$C$126,1))+1)))-1,0))*CROQUIS!$C$126),CHOOSE(IF(INT(($A356-1)/5)&gt;MAX((MIN(80,MAX(1,INT(((CROQUIS!$C$98)-CROQUIS!$C$107)/MAX(CROQUIS!$C$126,1))+1)))-1,0),0,MOD($A356-1,5))+1,0,2,CROQUIS!$C$97-2,2,0)))*CROQUIS!$C$155)+IF(CROQUIS!$C$92="X",0,0)),-1000)</f>
        <v>-1000</v>
      </c>
      <c r="BJ356">
        <f>IF(AND(CROQUIS!$C$88=1,CROQUIS!$C$134&gt;0),((CROQUIS!$C$156+(IF(CROQUIS!$C$92="X",((CROQUIS!$C$107/2+(((CROQUIS!$C$97)-CROQUIS!$C$107)-(MIN(80,MAX(1,INT(((CROQUIS!$C$97)-CROQUIS!$C$107)/MAX(CROQUIS!$C$134,1))+1))-1)*CROQUIS!$C$134)/2)+MIN(INT(($A356-1)/5),MAX((MIN(80,MAX(1,INT(((CROQUIS!$C$97)-CROQUIS!$C$107)/MAX(CROQUIS!$C$134,1))+1)))-1,0))*CROQUIS!$C$134),CHOOSE(IF(INT(($A356-1)/5)&gt;MAX((MIN(80,MAX(1,INT(((CROQUIS!$C$97)-CROQUIS!$C$107)/MAX(CROQUIS!$C$134,1))+1)))-1,0),0,MOD($A356-1,5))+1,0,2,CROQUIS!$C$98-2,2,0)))*CROQUIS!$C$155)+IF(CROQUIS!$C$92="X",0,0)),-1000)</f>
        <v>-1000</v>
      </c>
      <c r="BK356">
        <f>IF(AND(CROQUIS!$C$88=1,CROQUIS!$C$134&gt;0),((CROQUIS!$C$157+(IF(CROQUIS!$C$92="X",CHOOSE(IF(INT(($A356-1)/5)&gt;MAX((MIN(80,MAX(1,INT(((CROQUIS!$C$97)-CROQUIS!$C$107)/MAX(CROQUIS!$C$134,1))+1)))-1,0),0,MOD($A356-1,5))+1,0,2,CROQUIS!$C$98-2,2,0),((CROQUIS!$C$107/2+(((CROQUIS!$C$97)-CROQUIS!$C$107)-(MIN(80,MAX(1,INT(((CROQUIS!$C$97)-CROQUIS!$C$107)/MAX(CROQUIS!$C$134,1))+1))-1)*CROQUIS!$C$134)/2)+MIN(INT(($A356-1)/5),MAX((MIN(80,MAX(1,INT(((CROQUIS!$C$97)-CROQUIS!$C$107)/MAX(CROQUIS!$C$134,1))+1)))-1,0))*CROQUIS!$C$134)))*CROQUIS!$C$155)+IF(CROQUIS!$C$92="X",0,0)),-1000)</f>
        <v>-1000</v>
      </c>
      <c r="BL356">
        <f>IF(AND(CROQUIS!$C$88=1,CROQUIS!$C$91=0,CROQUIS!$C$130&gt;0,OR(CROQUIS!$C$103=1,CROQUIS!$C$142=1)),((CROQUIS!$C$156+(IF(CROQUIS!$C$92="X",CHOOSE(IF(INT(($A356-1)/5)&gt;MAX((MIN(80,MAX(1,INT(((CROQUIS!$C$98)-CROQUIS!$C$107)/MAX(CROQUIS!$C$130,1))+1)))-1,0),0,MOD($A356-1,5))+1,0,IF(CROQUIS!$C$103=1,-12,2),CROQUIS!$C$107/2+CROQUIS!$C$140,IF(CROQUIS!$C$103=1,-12,2),0),((CROQUIS!$C$107/2+(((CROQUIS!$C$98)-CROQUIS!$C$107)-(MIN(80,MAX(1,INT(((CROQUIS!$C$98)-CROQUIS!$C$107)/MAX(CROQUIS!$C$130,1))+1))-1)*CROQUIS!$C$130)/2)+MIN(INT(($A356-1)/5),MAX((MIN(80,MAX(1,INT(((CROQUIS!$C$98)-CROQUIS!$C$107)/MAX(CROQUIS!$C$130,1))+1)))-1,0))*CROQUIS!$C$130)))*CROQUIS!$C$155)+IF(CROQUIS!$C$92="X",0,0)),-1000)</f>
        <v>-1000</v>
      </c>
      <c r="BM35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356-1)/5),MAX((MIN(80,MAX(1,INT(((CROQUIS!$C$98)-CROQUIS!$C$107)/MAX(CROQUIS!$C$130,1))+1)))-1,0))*CROQUIS!$C$130),CHOOSE(IF(INT(($A356-1)/5)&gt;MAX((MIN(80,MAX(1,INT(((CROQUIS!$C$98)-CROQUIS!$C$107)/MAX(CROQUIS!$C$130,1))+1)))-1,0),0,MOD($A356-1,5))+1,0,IF(CROQUIS!$C$103=1,-12,2),CROQUIS!$C$107/2+CROQUIS!$C$140,IF(CROQUIS!$C$103=1,-12,2),0)))*CROQUIS!$C$155)+IF(CROQUIS!$C$92="X",0,0)),-1000)</f>
        <v>-1000</v>
      </c>
      <c r="BN356">
        <f>IF(AND(CROQUIS!$C$88=1,CROQUIS!$C$91=0,CROQUIS!$C$130&gt;0,OR(CROQUIS!$C$104=1,CROQUIS!$C$142=1)),((CROQUIS!$C$156+(IF(CROQUIS!$C$92="X",CHOOSE(IF(INT(($A356-1)/5)&gt;MAX((MIN(80,MAX(1,INT(((CROQUIS!$C$98)-CROQUIS!$C$107)/MAX(CROQUIS!$C$130,1))+1)))-1,0),0,MOD($A356-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356-1)/5),MAX((MIN(80,MAX(1,INT(((CROQUIS!$C$98)-CROQUIS!$C$107)/MAX(CROQUIS!$C$130,1))+1)))-1,0))*CROQUIS!$C$130)))*CROQUIS!$C$155)+IF(CROQUIS!$C$92="X",0,0)),-1000)</f>
        <v>-1000</v>
      </c>
      <c r="BO35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356-1)/5),MAX((MIN(80,MAX(1,INT(((CROQUIS!$C$98)-CROQUIS!$C$107)/MAX(CROQUIS!$C$130,1))+1)))-1,0))*CROQUIS!$C$130),CHOOSE(IF(INT(($A356-1)/5)&gt;MAX((MIN(80,MAX(1,INT(((CROQUIS!$C$98)-CROQUIS!$C$107)/MAX(CROQUIS!$C$130,1))+1)))-1,0),0,MOD($A356-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5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356-1)/5),MAX((MIN(80,MAX(1,INT(((CROQUIS!$C$97)-CROQUIS!$C$107)/MAX(CROQUIS!$C$138,1))+1)))-1,0))*CROQUIS!$C$138),CHOOSE(IF(INT(($A356-1)/5)&gt;MAX((MIN(80,MAX(1,INT(((CROQUIS!$C$97)-CROQUIS!$C$107)/MAX(CROQUIS!$C$138,1))+1)))-1,0),0,MOD($A356-1,5))+1,0,IF(CROQUIS!$C$105=1,-12,2),CROQUIS!$C$107/2+CROQUIS!$C$141,IF(CROQUIS!$C$105=1,-12,2),0)))*CROQUIS!$C$155)+IF(CROQUIS!$C$92="X",0,0)),-1000)</f>
        <v>-1000</v>
      </c>
      <c r="BQ356">
        <f>IF(AND(CROQUIS!$C$88=1,CROQUIS!$C$91=0,CROQUIS!$C$138&gt;0,OR(CROQUIS!$C$105=1,CROQUIS!$C$143=1)),((CROQUIS!$C$157+(IF(CROQUIS!$C$92="X",CHOOSE(IF(INT(($A356-1)/5)&gt;MAX((MIN(80,MAX(1,INT(((CROQUIS!$C$97)-CROQUIS!$C$107)/MAX(CROQUIS!$C$138,1))+1)))-1,0),0,MOD($A356-1,5))+1,0,IF(CROQUIS!$C$105=1,-12,2),CROQUIS!$C$107/2+CROQUIS!$C$141,IF(CROQUIS!$C$105=1,-12,2),0),((CROQUIS!$C$107/2+(((CROQUIS!$C$97)-CROQUIS!$C$107)-(MIN(80,MAX(1,INT(((CROQUIS!$C$97)-CROQUIS!$C$107)/MAX(CROQUIS!$C$138,1))+1))-1)*CROQUIS!$C$138)/2)+MIN(INT(($A356-1)/5),MAX((MIN(80,MAX(1,INT(((CROQUIS!$C$97)-CROQUIS!$C$107)/MAX(CROQUIS!$C$138,1))+1)))-1,0))*CROQUIS!$C$138)))*CROQUIS!$C$155)+IF(CROQUIS!$C$92="X",0,0)),-1000)</f>
        <v>-1000</v>
      </c>
      <c r="BR35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356-1)/5),MAX((MIN(80,MAX(1,INT(((CROQUIS!$C$97)-CROQUIS!$C$107)/MAX(CROQUIS!$C$138,1))+1)))-1,0))*CROQUIS!$C$138),CHOOSE(IF(INT(($A356-1)/5)&gt;MAX((MIN(80,MAX(1,INT(((CROQUIS!$C$97)-CROQUIS!$C$107)/MAX(CROQUIS!$C$138,1))+1)))-1,0),0,MOD($A356-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56">
        <f>IF(AND(CROQUIS!$C$88=1,CROQUIS!$C$91=0,CROQUIS!$C$138&gt;0,OR(CROQUIS!$C$106=1,CROQUIS!$C$143=1)),((CROQUIS!$C$157+(IF(CROQUIS!$C$92="X",CHOOSE(IF(INT(($A356-1)/5)&gt;MAX((MIN(80,MAX(1,INT(((CROQUIS!$C$97)-CROQUIS!$C$107)/MAX(CROQUIS!$C$138,1))+1)))-1,0),0,MOD($A356-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356-1)/5),MAX((MIN(80,MAX(1,INT(((CROQUIS!$C$97)-CROQUIS!$C$107)/MAX(CROQUIS!$C$138,1))+1)))-1,0))*CROQUIS!$C$138)))*CROQUIS!$C$155)+IF(CROQUIS!$C$92="X",0,0)),-1000)</f>
        <v>-1000</v>
      </c>
      <c r="BT356">
        <f>IF(AND(CROQUIS!$C$88=1,CROQUIS!$C$91=1,CROQUIS!$C$130&gt;0),((CROQUIS!$C$156+(IF(CROQUIS!$C$92="X",CHOOSE(IF(INT(($A356-1)/5)&gt;MAX((MIN(80,MAX(1,INT(((CROQUIS!$C$98)-CROQUIS!$C$107)/MAX(CROQUIS!$C$130,1))+1)))-1,0),0,MOD($A356-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356-1)/5),MAX((MIN(80,MAX(1,INT(((CROQUIS!$C$98)-CROQUIS!$C$107)/MAX(CROQUIS!$C$130,1))+1)))-1,0))*CROQUIS!$C$130)))*CROQUIS!$C$155)+IF(CROQUIS!$C$92="X",0,0)),-1000)</f>
        <v>-1000</v>
      </c>
      <c r="BU356">
        <f>IF(AND(CROQUIS!$C$88=1,CROQUIS!$C$91=1,CROQUIS!$C$130&gt;0),((CROQUIS!$C$157+(IF(CROQUIS!$C$92="X",((CROQUIS!$C$107/2+(((CROQUIS!$C$98)-CROQUIS!$C$107)-(MIN(80,MAX(1,INT(((CROQUIS!$C$98)-CROQUIS!$C$107)/MAX(CROQUIS!$C$130,1))+1))-1)*CROQUIS!$C$130)/2)+MIN(INT(($A356-1)/5),MAX((MIN(80,MAX(1,INT(((CROQUIS!$C$98)-CROQUIS!$C$107)/MAX(CROQUIS!$C$130,1))+1)))-1,0))*CROQUIS!$C$130),CHOOSE(IF(INT(($A356-1)/5)&gt;MAX((MIN(80,MAX(1,INT(((CROQUIS!$C$98)-CROQUIS!$C$107)/MAX(CROQUIS!$C$130,1))+1)))-1,0),0,MOD($A356-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57">
      <c r="A357" t="n">
        <v>350</v>
      </c>
      <c r="BH357">
        <f>IF(AND(CROQUIS!$C$88=1,CROQUIS!$C$126&gt;0),((CROQUIS!$C$156+(IF(CROQUIS!$C$92="X",CHOOSE(IF(INT(($A357-1)/5)&gt;MAX((MIN(80,MAX(1,INT(((CROQUIS!$C$98)-CROQUIS!$C$107)/MAX(CROQUIS!$C$126,1))+1)))-1,0),0,MOD($A357-1,5))+1,0,2,CROQUIS!$C$97-2,2,0),((CROQUIS!$C$107/2+(((CROQUIS!$C$98)-CROQUIS!$C$107)-(MIN(80,MAX(1,INT(((CROQUIS!$C$98)-CROQUIS!$C$107)/MAX(CROQUIS!$C$126,1))+1))-1)*CROQUIS!$C$126)/2)+MIN(INT(($A357-1)/5),MAX((MIN(80,MAX(1,INT(((CROQUIS!$C$98)-CROQUIS!$C$107)/MAX(CROQUIS!$C$126,1))+1)))-1,0))*CROQUIS!$C$126)))*CROQUIS!$C$155)+IF(CROQUIS!$C$92="X",0,0)),-1000)</f>
        <v>-1000</v>
      </c>
      <c r="BI357">
        <f>IF(AND(CROQUIS!$C$88=1,CROQUIS!$C$126&gt;0),((CROQUIS!$C$157+(IF(CROQUIS!$C$92="X",((CROQUIS!$C$107/2+(((CROQUIS!$C$98)-CROQUIS!$C$107)-(MIN(80,MAX(1,INT(((CROQUIS!$C$98)-CROQUIS!$C$107)/MAX(CROQUIS!$C$126,1))+1))-1)*CROQUIS!$C$126)/2)+MIN(INT(($A357-1)/5),MAX((MIN(80,MAX(1,INT(((CROQUIS!$C$98)-CROQUIS!$C$107)/MAX(CROQUIS!$C$126,1))+1)))-1,0))*CROQUIS!$C$126),CHOOSE(IF(INT(($A357-1)/5)&gt;MAX((MIN(80,MAX(1,INT(((CROQUIS!$C$98)-CROQUIS!$C$107)/MAX(CROQUIS!$C$126,1))+1)))-1,0),0,MOD($A357-1,5))+1,0,2,CROQUIS!$C$97-2,2,0)))*CROQUIS!$C$155)+IF(CROQUIS!$C$92="X",0,0)),-1000)</f>
        <v>-1000</v>
      </c>
      <c r="BJ357">
        <f>IF(AND(CROQUIS!$C$88=1,CROQUIS!$C$134&gt;0),((CROQUIS!$C$156+(IF(CROQUIS!$C$92="X",((CROQUIS!$C$107/2+(((CROQUIS!$C$97)-CROQUIS!$C$107)-(MIN(80,MAX(1,INT(((CROQUIS!$C$97)-CROQUIS!$C$107)/MAX(CROQUIS!$C$134,1))+1))-1)*CROQUIS!$C$134)/2)+MIN(INT(($A357-1)/5),MAX((MIN(80,MAX(1,INT(((CROQUIS!$C$97)-CROQUIS!$C$107)/MAX(CROQUIS!$C$134,1))+1)))-1,0))*CROQUIS!$C$134),CHOOSE(IF(INT(($A357-1)/5)&gt;MAX((MIN(80,MAX(1,INT(((CROQUIS!$C$97)-CROQUIS!$C$107)/MAX(CROQUIS!$C$134,1))+1)))-1,0),0,MOD($A357-1,5))+1,0,2,CROQUIS!$C$98-2,2,0)))*CROQUIS!$C$155)+IF(CROQUIS!$C$92="X",0,0)),-1000)</f>
        <v>-1000</v>
      </c>
      <c r="BK357">
        <f>IF(AND(CROQUIS!$C$88=1,CROQUIS!$C$134&gt;0),((CROQUIS!$C$157+(IF(CROQUIS!$C$92="X",CHOOSE(IF(INT(($A357-1)/5)&gt;MAX((MIN(80,MAX(1,INT(((CROQUIS!$C$97)-CROQUIS!$C$107)/MAX(CROQUIS!$C$134,1))+1)))-1,0),0,MOD($A357-1,5))+1,0,2,CROQUIS!$C$98-2,2,0),((CROQUIS!$C$107/2+(((CROQUIS!$C$97)-CROQUIS!$C$107)-(MIN(80,MAX(1,INT(((CROQUIS!$C$97)-CROQUIS!$C$107)/MAX(CROQUIS!$C$134,1))+1))-1)*CROQUIS!$C$134)/2)+MIN(INT(($A357-1)/5),MAX((MIN(80,MAX(1,INT(((CROQUIS!$C$97)-CROQUIS!$C$107)/MAX(CROQUIS!$C$134,1))+1)))-1,0))*CROQUIS!$C$134)))*CROQUIS!$C$155)+IF(CROQUIS!$C$92="X",0,0)),-1000)</f>
        <v>-1000</v>
      </c>
      <c r="BL357">
        <f>IF(AND(CROQUIS!$C$88=1,CROQUIS!$C$91=0,CROQUIS!$C$130&gt;0,OR(CROQUIS!$C$103=1,CROQUIS!$C$142=1)),((CROQUIS!$C$156+(IF(CROQUIS!$C$92="X",CHOOSE(IF(INT(($A357-1)/5)&gt;MAX((MIN(80,MAX(1,INT(((CROQUIS!$C$98)-CROQUIS!$C$107)/MAX(CROQUIS!$C$130,1))+1)))-1,0),0,MOD($A357-1,5))+1,0,IF(CROQUIS!$C$103=1,-12,2),CROQUIS!$C$107/2+CROQUIS!$C$140,IF(CROQUIS!$C$103=1,-12,2),0),((CROQUIS!$C$107/2+(((CROQUIS!$C$98)-CROQUIS!$C$107)-(MIN(80,MAX(1,INT(((CROQUIS!$C$98)-CROQUIS!$C$107)/MAX(CROQUIS!$C$130,1))+1))-1)*CROQUIS!$C$130)/2)+MIN(INT(($A357-1)/5),MAX((MIN(80,MAX(1,INT(((CROQUIS!$C$98)-CROQUIS!$C$107)/MAX(CROQUIS!$C$130,1))+1)))-1,0))*CROQUIS!$C$130)))*CROQUIS!$C$155)+IF(CROQUIS!$C$92="X",0,0)),-1000)</f>
        <v>-1000</v>
      </c>
      <c r="BM35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357-1)/5),MAX((MIN(80,MAX(1,INT(((CROQUIS!$C$98)-CROQUIS!$C$107)/MAX(CROQUIS!$C$130,1))+1)))-1,0))*CROQUIS!$C$130),CHOOSE(IF(INT(($A357-1)/5)&gt;MAX((MIN(80,MAX(1,INT(((CROQUIS!$C$98)-CROQUIS!$C$107)/MAX(CROQUIS!$C$130,1))+1)))-1,0),0,MOD($A357-1,5))+1,0,IF(CROQUIS!$C$103=1,-12,2),CROQUIS!$C$107/2+CROQUIS!$C$140,IF(CROQUIS!$C$103=1,-12,2),0)))*CROQUIS!$C$155)+IF(CROQUIS!$C$92="X",0,0)),-1000)</f>
        <v>-1000</v>
      </c>
      <c r="BN357">
        <f>IF(AND(CROQUIS!$C$88=1,CROQUIS!$C$91=0,CROQUIS!$C$130&gt;0,OR(CROQUIS!$C$104=1,CROQUIS!$C$142=1)),((CROQUIS!$C$156+(IF(CROQUIS!$C$92="X",CHOOSE(IF(INT(($A357-1)/5)&gt;MAX((MIN(80,MAX(1,INT(((CROQUIS!$C$98)-CROQUIS!$C$107)/MAX(CROQUIS!$C$130,1))+1)))-1,0),0,MOD($A357-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357-1)/5),MAX((MIN(80,MAX(1,INT(((CROQUIS!$C$98)-CROQUIS!$C$107)/MAX(CROQUIS!$C$130,1))+1)))-1,0))*CROQUIS!$C$130)))*CROQUIS!$C$155)+IF(CROQUIS!$C$92="X",0,0)),-1000)</f>
        <v>-1000</v>
      </c>
      <c r="BO35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357-1)/5),MAX((MIN(80,MAX(1,INT(((CROQUIS!$C$98)-CROQUIS!$C$107)/MAX(CROQUIS!$C$130,1))+1)))-1,0))*CROQUIS!$C$130),CHOOSE(IF(INT(($A357-1)/5)&gt;MAX((MIN(80,MAX(1,INT(((CROQUIS!$C$98)-CROQUIS!$C$107)/MAX(CROQUIS!$C$130,1))+1)))-1,0),0,MOD($A357-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5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357-1)/5),MAX((MIN(80,MAX(1,INT(((CROQUIS!$C$97)-CROQUIS!$C$107)/MAX(CROQUIS!$C$138,1))+1)))-1,0))*CROQUIS!$C$138),CHOOSE(IF(INT(($A357-1)/5)&gt;MAX((MIN(80,MAX(1,INT(((CROQUIS!$C$97)-CROQUIS!$C$107)/MAX(CROQUIS!$C$138,1))+1)))-1,0),0,MOD($A357-1,5))+1,0,IF(CROQUIS!$C$105=1,-12,2),CROQUIS!$C$107/2+CROQUIS!$C$141,IF(CROQUIS!$C$105=1,-12,2),0)))*CROQUIS!$C$155)+IF(CROQUIS!$C$92="X",0,0)),-1000)</f>
        <v>-1000</v>
      </c>
      <c r="BQ357">
        <f>IF(AND(CROQUIS!$C$88=1,CROQUIS!$C$91=0,CROQUIS!$C$138&gt;0,OR(CROQUIS!$C$105=1,CROQUIS!$C$143=1)),((CROQUIS!$C$157+(IF(CROQUIS!$C$92="X",CHOOSE(IF(INT(($A357-1)/5)&gt;MAX((MIN(80,MAX(1,INT(((CROQUIS!$C$97)-CROQUIS!$C$107)/MAX(CROQUIS!$C$138,1))+1)))-1,0),0,MOD($A357-1,5))+1,0,IF(CROQUIS!$C$105=1,-12,2),CROQUIS!$C$107/2+CROQUIS!$C$141,IF(CROQUIS!$C$105=1,-12,2),0),((CROQUIS!$C$107/2+(((CROQUIS!$C$97)-CROQUIS!$C$107)-(MIN(80,MAX(1,INT(((CROQUIS!$C$97)-CROQUIS!$C$107)/MAX(CROQUIS!$C$138,1))+1))-1)*CROQUIS!$C$138)/2)+MIN(INT(($A357-1)/5),MAX((MIN(80,MAX(1,INT(((CROQUIS!$C$97)-CROQUIS!$C$107)/MAX(CROQUIS!$C$138,1))+1)))-1,0))*CROQUIS!$C$138)))*CROQUIS!$C$155)+IF(CROQUIS!$C$92="X",0,0)),-1000)</f>
        <v>-1000</v>
      </c>
      <c r="BR35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357-1)/5),MAX((MIN(80,MAX(1,INT(((CROQUIS!$C$97)-CROQUIS!$C$107)/MAX(CROQUIS!$C$138,1))+1)))-1,0))*CROQUIS!$C$138),CHOOSE(IF(INT(($A357-1)/5)&gt;MAX((MIN(80,MAX(1,INT(((CROQUIS!$C$97)-CROQUIS!$C$107)/MAX(CROQUIS!$C$138,1))+1)))-1,0),0,MOD($A357-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57">
        <f>IF(AND(CROQUIS!$C$88=1,CROQUIS!$C$91=0,CROQUIS!$C$138&gt;0,OR(CROQUIS!$C$106=1,CROQUIS!$C$143=1)),((CROQUIS!$C$157+(IF(CROQUIS!$C$92="X",CHOOSE(IF(INT(($A357-1)/5)&gt;MAX((MIN(80,MAX(1,INT(((CROQUIS!$C$97)-CROQUIS!$C$107)/MAX(CROQUIS!$C$138,1))+1)))-1,0),0,MOD($A357-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357-1)/5),MAX((MIN(80,MAX(1,INT(((CROQUIS!$C$97)-CROQUIS!$C$107)/MAX(CROQUIS!$C$138,1))+1)))-1,0))*CROQUIS!$C$138)))*CROQUIS!$C$155)+IF(CROQUIS!$C$92="X",0,0)),-1000)</f>
        <v>-1000</v>
      </c>
      <c r="BT357">
        <f>IF(AND(CROQUIS!$C$88=1,CROQUIS!$C$91=1,CROQUIS!$C$130&gt;0),((CROQUIS!$C$156+(IF(CROQUIS!$C$92="X",CHOOSE(IF(INT(($A357-1)/5)&gt;MAX((MIN(80,MAX(1,INT(((CROQUIS!$C$98)-CROQUIS!$C$107)/MAX(CROQUIS!$C$130,1))+1)))-1,0),0,MOD($A357-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357-1)/5),MAX((MIN(80,MAX(1,INT(((CROQUIS!$C$98)-CROQUIS!$C$107)/MAX(CROQUIS!$C$130,1))+1)))-1,0))*CROQUIS!$C$130)))*CROQUIS!$C$155)+IF(CROQUIS!$C$92="X",0,0)),-1000)</f>
        <v>-1000</v>
      </c>
      <c r="BU357">
        <f>IF(AND(CROQUIS!$C$88=1,CROQUIS!$C$91=1,CROQUIS!$C$130&gt;0),((CROQUIS!$C$157+(IF(CROQUIS!$C$92="X",((CROQUIS!$C$107/2+(((CROQUIS!$C$98)-CROQUIS!$C$107)-(MIN(80,MAX(1,INT(((CROQUIS!$C$98)-CROQUIS!$C$107)/MAX(CROQUIS!$C$130,1))+1))-1)*CROQUIS!$C$130)/2)+MIN(INT(($A357-1)/5),MAX((MIN(80,MAX(1,INT(((CROQUIS!$C$98)-CROQUIS!$C$107)/MAX(CROQUIS!$C$130,1))+1)))-1,0))*CROQUIS!$C$130),CHOOSE(IF(INT(($A357-1)/5)&gt;MAX((MIN(80,MAX(1,INT(((CROQUIS!$C$98)-CROQUIS!$C$107)/MAX(CROQUIS!$C$130,1))+1)))-1,0),0,MOD($A357-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58">
      <c r="A358" t="n">
        <v>351</v>
      </c>
      <c r="BH358">
        <f>IF(AND(CROQUIS!$C$88=1,CROQUIS!$C$126&gt;0),((CROQUIS!$C$156+(IF(CROQUIS!$C$92="X",CHOOSE(IF(INT(($A358-1)/5)&gt;MAX((MIN(80,MAX(1,INT(((CROQUIS!$C$98)-CROQUIS!$C$107)/MAX(CROQUIS!$C$126,1))+1)))-1,0),0,MOD($A358-1,5))+1,0,2,CROQUIS!$C$97-2,2,0),((CROQUIS!$C$107/2+(((CROQUIS!$C$98)-CROQUIS!$C$107)-(MIN(80,MAX(1,INT(((CROQUIS!$C$98)-CROQUIS!$C$107)/MAX(CROQUIS!$C$126,1))+1))-1)*CROQUIS!$C$126)/2)+MIN(INT(($A358-1)/5),MAX((MIN(80,MAX(1,INT(((CROQUIS!$C$98)-CROQUIS!$C$107)/MAX(CROQUIS!$C$126,1))+1)))-1,0))*CROQUIS!$C$126)))*CROQUIS!$C$155)+IF(CROQUIS!$C$92="X",0,0)),-1000)</f>
        <v>-1000</v>
      </c>
      <c r="BI358">
        <f>IF(AND(CROQUIS!$C$88=1,CROQUIS!$C$126&gt;0),((CROQUIS!$C$157+(IF(CROQUIS!$C$92="X",((CROQUIS!$C$107/2+(((CROQUIS!$C$98)-CROQUIS!$C$107)-(MIN(80,MAX(1,INT(((CROQUIS!$C$98)-CROQUIS!$C$107)/MAX(CROQUIS!$C$126,1))+1))-1)*CROQUIS!$C$126)/2)+MIN(INT(($A358-1)/5),MAX((MIN(80,MAX(1,INT(((CROQUIS!$C$98)-CROQUIS!$C$107)/MAX(CROQUIS!$C$126,1))+1)))-1,0))*CROQUIS!$C$126),CHOOSE(IF(INT(($A358-1)/5)&gt;MAX((MIN(80,MAX(1,INT(((CROQUIS!$C$98)-CROQUIS!$C$107)/MAX(CROQUIS!$C$126,1))+1)))-1,0),0,MOD($A358-1,5))+1,0,2,CROQUIS!$C$97-2,2,0)))*CROQUIS!$C$155)+IF(CROQUIS!$C$92="X",0,0)),-1000)</f>
        <v>-1000</v>
      </c>
      <c r="BJ358">
        <f>IF(AND(CROQUIS!$C$88=1,CROQUIS!$C$134&gt;0),((CROQUIS!$C$156+(IF(CROQUIS!$C$92="X",((CROQUIS!$C$107/2+(((CROQUIS!$C$97)-CROQUIS!$C$107)-(MIN(80,MAX(1,INT(((CROQUIS!$C$97)-CROQUIS!$C$107)/MAX(CROQUIS!$C$134,1))+1))-1)*CROQUIS!$C$134)/2)+MIN(INT(($A358-1)/5),MAX((MIN(80,MAX(1,INT(((CROQUIS!$C$97)-CROQUIS!$C$107)/MAX(CROQUIS!$C$134,1))+1)))-1,0))*CROQUIS!$C$134),CHOOSE(IF(INT(($A358-1)/5)&gt;MAX((MIN(80,MAX(1,INT(((CROQUIS!$C$97)-CROQUIS!$C$107)/MAX(CROQUIS!$C$134,1))+1)))-1,0),0,MOD($A358-1,5))+1,0,2,CROQUIS!$C$98-2,2,0)))*CROQUIS!$C$155)+IF(CROQUIS!$C$92="X",0,0)),-1000)</f>
        <v>-1000</v>
      </c>
      <c r="BK358">
        <f>IF(AND(CROQUIS!$C$88=1,CROQUIS!$C$134&gt;0),((CROQUIS!$C$157+(IF(CROQUIS!$C$92="X",CHOOSE(IF(INT(($A358-1)/5)&gt;MAX((MIN(80,MAX(1,INT(((CROQUIS!$C$97)-CROQUIS!$C$107)/MAX(CROQUIS!$C$134,1))+1)))-1,0),0,MOD($A358-1,5))+1,0,2,CROQUIS!$C$98-2,2,0),((CROQUIS!$C$107/2+(((CROQUIS!$C$97)-CROQUIS!$C$107)-(MIN(80,MAX(1,INT(((CROQUIS!$C$97)-CROQUIS!$C$107)/MAX(CROQUIS!$C$134,1))+1))-1)*CROQUIS!$C$134)/2)+MIN(INT(($A358-1)/5),MAX((MIN(80,MAX(1,INT(((CROQUIS!$C$97)-CROQUIS!$C$107)/MAX(CROQUIS!$C$134,1))+1)))-1,0))*CROQUIS!$C$134)))*CROQUIS!$C$155)+IF(CROQUIS!$C$92="X",0,0)),-1000)</f>
        <v>-1000</v>
      </c>
      <c r="BL358">
        <f>IF(AND(CROQUIS!$C$88=1,CROQUIS!$C$91=0,CROQUIS!$C$130&gt;0,OR(CROQUIS!$C$103=1,CROQUIS!$C$142=1)),((CROQUIS!$C$156+(IF(CROQUIS!$C$92="X",CHOOSE(IF(INT(($A358-1)/5)&gt;MAX((MIN(80,MAX(1,INT(((CROQUIS!$C$98)-CROQUIS!$C$107)/MAX(CROQUIS!$C$130,1))+1)))-1,0),0,MOD($A358-1,5))+1,0,IF(CROQUIS!$C$103=1,-12,2),CROQUIS!$C$107/2+CROQUIS!$C$140,IF(CROQUIS!$C$103=1,-12,2),0),((CROQUIS!$C$107/2+(((CROQUIS!$C$98)-CROQUIS!$C$107)-(MIN(80,MAX(1,INT(((CROQUIS!$C$98)-CROQUIS!$C$107)/MAX(CROQUIS!$C$130,1))+1))-1)*CROQUIS!$C$130)/2)+MIN(INT(($A358-1)/5),MAX((MIN(80,MAX(1,INT(((CROQUIS!$C$98)-CROQUIS!$C$107)/MAX(CROQUIS!$C$130,1))+1)))-1,0))*CROQUIS!$C$130)))*CROQUIS!$C$155)+IF(CROQUIS!$C$92="X",0,0)),-1000)</f>
        <v>-1000</v>
      </c>
      <c r="BM35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358-1)/5),MAX((MIN(80,MAX(1,INT(((CROQUIS!$C$98)-CROQUIS!$C$107)/MAX(CROQUIS!$C$130,1))+1)))-1,0))*CROQUIS!$C$130),CHOOSE(IF(INT(($A358-1)/5)&gt;MAX((MIN(80,MAX(1,INT(((CROQUIS!$C$98)-CROQUIS!$C$107)/MAX(CROQUIS!$C$130,1))+1)))-1,0),0,MOD($A358-1,5))+1,0,IF(CROQUIS!$C$103=1,-12,2),CROQUIS!$C$107/2+CROQUIS!$C$140,IF(CROQUIS!$C$103=1,-12,2),0)))*CROQUIS!$C$155)+IF(CROQUIS!$C$92="X",0,0)),-1000)</f>
        <v>-1000</v>
      </c>
      <c r="BN358">
        <f>IF(AND(CROQUIS!$C$88=1,CROQUIS!$C$91=0,CROQUIS!$C$130&gt;0,OR(CROQUIS!$C$104=1,CROQUIS!$C$142=1)),((CROQUIS!$C$156+(IF(CROQUIS!$C$92="X",CHOOSE(IF(INT(($A358-1)/5)&gt;MAX((MIN(80,MAX(1,INT(((CROQUIS!$C$98)-CROQUIS!$C$107)/MAX(CROQUIS!$C$130,1))+1)))-1,0),0,MOD($A358-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358-1)/5),MAX((MIN(80,MAX(1,INT(((CROQUIS!$C$98)-CROQUIS!$C$107)/MAX(CROQUIS!$C$130,1))+1)))-1,0))*CROQUIS!$C$130)))*CROQUIS!$C$155)+IF(CROQUIS!$C$92="X",0,0)),-1000)</f>
        <v>-1000</v>
      </c>
      <c r="BO35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358-1)/5),MAX((MIN(80,MAX(1,INT(((CROQUIS!$C$98)-CROQUIS!$C$107)/MAX(CROQUIS!$C$130,1))+1)))-1,0))*CROQUIS!$C$130),CHOOSE(IF(INT(($A358-1)/5)&gt;MAX((MIN(80,MAX(1,INT(((CROQUIS!$C$98)-CROQUIS!$C$107)/MAX(CROQUIS!$C$130,1))+1)))-1,0),0,MOD($A358-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5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358-1)/5),MAX((MIN(80,MAX(1,INT(((CROQUIS!$C$97)-CROQUIS!$C$107)/MAX(CROQUIS!$C$138,1))+1)))-1,0))*CROQUIS!$C$138),CHOOSE(IF(INT(($A358-1)/5)&gt;MAX((MIN(80,MAX(1,INT(((CROQUIS!$C$97)-CROQUIS!$C$107)/MAX(CROQUIS!$C$138,1))+1)))-1,0),0,MOD($A358-1,5))+1,0,IF(CROQUIS!$C$105=1,-12,2),CROQUIS!$C$107/2+CROQUIS!$C$141,IF(CROQUIS!$C$105=1,-12,2),0)))*CROQUIS!$C$155)+IF(CROQUIS!$C$92="X",0,0)),-1000)</f>
        <v>-1000</v>
      </c>
      <c r="BQ358">
        <f>IF(AND(CROQUIS!$C$88=1,CROQUIS!$C$91=0,CROQUIS!$C$138&gt;0,OR(CROQUIS!$C$105=1,CROQUIS!$C$143=1)),((CROQUIS!$C$157+(IF(CROQUIS!$C$92="X",CHOOSE(IF(INT(($A358-1)/5)&gt;MAX((MIN(80,MAX(1,INT(((CROQUIS!$C$97)-CROQUIS!$C$107)/MAX(CROQUIS!$C$138,1))+1)))-1,0),0,MOD($A358-1,5))+1,0,IF(CROQUIS!$C$105=1,-12,2),CROQUIS!$C$107/2+CROQUIS!$C$141,IF(CROQUIS!$C$105=1,-12,2),0),((CROQUIS!$C$107/2+(((CROQUIS!$C$97)-CROQUIS!$C$107)-(MIN(80,MAX(1,INT(((CROQUIS!$C$97)-CROQUIS!$C$107)/MAX(CROQUIS!$C$138,1))+1))-1)*CROQUIS!$C$138)/2)+MIN(INT(($A358-1)/5),MAX((MIN(80,MAX(1,INT(((CROQUIS!$C$97)-CROQUIS!$C$107)/MAX(CROQUIS!$C$138,1))+1)))-1,0))*CROQUIS!$C$138)))*CROQUIS!$C$155)+IF(CROQUIS!$C$92="X",0,0)),-1000)</f>
        <v>-1000</v>
      </c>
      <c r="BR35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358-1)/5),MAX((MIN(80,MAX(1,INT(((CROQUIS!$C$97)-CROQUIS!$C$107)/MAX(CROQUIS!$C$138,1))+1)))-1,0))*CROQUIS!$C$138),CHOOSE(IF(INT(($A358-1)/5)&gt;MAX((MIN(80,MAX(1,INT(((CROQUIS!$C$97)-CROQUIS!$C$107)/MAX(CROQUIS!$C$138,1))+1)))-1,0),0,MOD($A358-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58">
        <f>IF(AND(CROQUIS!$C$88=1,CROQUIS!$C$91=0,CROQUIS!$C$138&gt;0,OR(CROQUIS!$C$106=1,CROQUIS!$C$143=1)),((CROQUIS!$C$157+(IF(CROQUIS!$C$92="X",CHOOSE(IF(INT(($A358-1)/5)&gt;MAX((MIN(80,MAX(1,INT(((CROQUIS!$C$97)-CROQUIS!$C$107)/MAX(CROQUIS!$C$138,1))+1)))-1,0),0,MOD($A358-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358-1)/5),MAX((MIN(80,MAX(1,INT(((CROQUIS!$C$97)-CROQUIS!$C$107)/MAX(CROQUIS!$C$138,1))+1)))-1,0))*CROQUIS!$C$138)))*CROQUIS!$C$155)+IF(CROQUIS!$C$92="X",0,0)),-1000)</f>
        <v>-1000</v>
      </c>
      <c r="BT358">
        <f>IF(AND(CROQUIS!$C$88=1,CROQUIS!$C$91=1,CROQUIS!$C$130&gt;0),((CROQUIS!$C$156+(IF(CROQUIS!$C$92="X",CHOOSE(IF(INT(($A358-1)/5)&gt;MAX((MIN(80,MAX(1,INT(((CROQUIS!$C$98)-CROQUIS!$C$107)/MAX(CROQUIS!$C$130,1))+1)))-1,0),0,MOD($A358-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358-1)/5),MAX((MIN(80,MAX(1,INT(((CROQUIS!$C$98)-CROQUIS!$C$107)/MAX(CROQUIS!$C$130,1))+1)))-1,0))*CROQUIS!$C$130)))*CROQUIS!$C$155)+IF(CROQUIS!$C$92="X",0,0)),-1000)</f>
        <v>-1000</v>
      </c>
      <c r="BU358">
        <f>IF(AND(CROQUIS!$C$88=1,CROQUIS!$C$91=1,CROQUIS!$C$130&gt;0),((CROQUIS!$C$157+(IF(CROQUIS!$C$92="X",((CROQUIS!$C$107/2+(((CROQUIS!$C$98)-CROQUIS!$C$107)-(MIN(80,MAX(1,INT(((CROQUIS!$C$98)-CROQUIS!$C$107)/MAX(CROQUIS!$C$130,1))+1))-1)*CROQUIS!$C$130)/2)+MIN(INT(($A358-1)/5),MAX((MIN(80,MAX(1,INT(((CROQUIS!$C$98)-CROQUIS!$C$107)/MAX(CROQUIS!$C$130,1))+1)))-1,0))*CROQUIS!$C$130),CHOOSE(IF(INT(($A358-1)/5)&gt;MAX((MIN(80,MAX(1,INT(((CROQUIS!$C$98)-CROQUIS!$C$107)/MAX(CROQUIS!$C$130,1))+1)))-1,0),0,MOD($A358-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59">
      <c r="A359" t="n">
        <v>352</v>
      </c>
      <c r="BH359">
        <f>IF(AND(CROQUIS!$C$88=1,CROQUIS!$C$126&gt;0),((CROQUIS!$C$156+(IF(CROQUIS!$C$92="X",CHOOSE(IF(INT(($A359-1)/5)&gt;MAX((MIN(80,MAX(1,INT(((CROQUIS!$C$98)-CROQUIS!$C$107)/MAX(CROQUIS!$C$126,1))+1)))-1,0),0,MOD($A359-1,5))+1,0,2,CROQUIS!$C$97-2,2,0),((CROQUIS!$C$107/2+(((CROQUIS!$C$98)-CROQUIS!$C$107)-(MIN(80,MAX(1,INT(((CROQUIS!$C$98)-CROQUIS!$C$107)/MAX(CROQUIS!$C$126,1))+1))-1)*CROQUIS!$C$126)/2)+MIN(INT(($A359-1)/5),MAX((MIN(80,MAX(1,INT(((CROQUIS!$C$98)-CROQUIS!$C$107)/MAX(CROQUIS!$C$126,1))+1)))-1,0))*CROQUIS!$C$126)))*CROQUIS!$C$155)+IF(CROQUIS!$C$92="X",0,0)),-1000)</f>
        <v>-1000</v>
      </c>
      <c r="BI359">
        <f>IF(AND(CROQUIS!$C$88=1,CROQUIS!$C$126&gt;0),((CROQUIS!$C$157+(IF(CROQUIS!$C$92="X",((CROQUIS!$C$107/2+(((CROQUIS!$C$98)-CROQUIS!$C$107)-(MIN(80,MAX(1,INT(((CROQUIS!$C$98)-CROQUIS!$C$107)/MAX(CROQUIS!$C$126,1))+1))-1)*CROQUIS!$C$126)/2)+MIN(INT(($A359-1)/5),MAX((MIN(80,MAX(1,INT(((CROQUIS!$C$98)-CROQUIS!$C$107)/MAX(CROQUIS!$C$126,1))+1)))-1,0))*CROQUIS!$C$126),CHOOSE(IF(INT(($A359-1)/5)&gt;MAX((MIN(80,MAX(1,INT(((CROQUIS!$C$98)-CROQUIS!$C$107)/MAX(CROQUIS!$C$126,1))+1)))-1,0),0,MOD($A359-1,5))+1,0,2,CROQUIS!$C$97-2,2,0)))*CROQUIS!$C$155)+IF(CROQUIS!$C$92="X",0,0)),-1000)</f>
        <v>-1000</v>
      </c>
      <c r="BJ359">
        <f>IF(AND(CROQUIS!$C$88=1,CROQUIS!$C$134&gt;0),((CROQUIS!$C$156+(IF(CROQUIS!$C$92="X",((CROQUIS!$C$107/2+(((CROQUIS!$C$97)-CROQUIS!$C$107)-(MIN(80,MAX(1,INT(((CROQUIS!$C$97)-CROQUIS!$C$107)/MAX(CROQUIS!$C$134,1))+1))-1)*CROQUIS!$C$134)/2)+MIN(INT(($A359-1)/5),MAX((MIN(80,MAX(1,INT(((CROQUIS!$C$97)-CROQUIS!$C$107)/MAX(CROQUIS!$C$134,1))+1)))-1,0))*CROQUIS!$C$134),CHOOSE(IF(INT(($A359-1)/5)&gt;MAX((MIN(80,MAX(1,INT(((CROQUIS!$C$97)-CROQUIS!$C$107)/MAX(CROQUIS!$C$134,1))+1)))-1,0),0,MOD($A359-1,5))+1,0,2,CROQUIS!$C$98-2,2,0)))*CROQUIS!$C$155)+IF(CROQUIS!$C$92="X",0,0)),-1000)</f>
        <v>-1000</v>
      </c>
      <c r="BK359">
        <f>IF(AND(CROQUIS!$C$88=1,CROQUIS!$C$134&gt;0),((CROQUIS!$C$157+(IF(CROQUIS!$C$92="X",CHOOSE(IF(INT(($A359-1)/5)&gt;MAX((MIN(80,MAX(1,INT(((CROQUIS!$C$97)-CROQUIS!$C$107)/MAX(CROQUIS!$C$134,1))+1)))-1,0),0,MOD($A359-1,5))+1,0,2,CROQUIS!$C$98-2,2,0),((CROQUIS!$C$107/2+(((CROQUIS!$C$97)-CROQUIS!$C$107)-(MIN(80,MAX(1,INT(((CROQUIS!$C$97)-CROQUIS!$C$107)/MAX(CROQUIS!$C$134,1))+1))-1)*CROQUIS!$C$134)/2)+MIN(INT(($A359-1)/5),MAX((MIN(80,MAX(1,INT(((CROQUIS!$C$97)-CROQUIS!$C$107)/MAX(CROQUIS!$C$134,1))+1)))-1,0))*CROQUIS!$C$134)))*CROQUIS!$C$155)+IF(CROQUIS!$C$92="X",0,0)),-1000)</f>
        <v>-1000</v>
      </c>
      <c r="BL359">
        <f>IF(AND(CROQUIS!$C$88=1,CROQUIS!$C$91=0,CROQUIS!$C$130&gt;0,OR(CROQUIS!$C$103=1,CROQUIS!$C$142=1)),((CROQUIS!$C$156+(IF(CROQUIS!$C$92="X",CHOOSE(IF(INT(($A359-1)/5)&gt;MAX((MIN(80,MAX(1,INT(((CROQUIS!$C$98)-CROQUIS!$C$107)/MAX(CROQUIS!$C$130,1))+1)))-1,0),0,MOD($A359-1,5))+1,0,IF(CROQUIS!$C$103=1,-12,2),CROQUIS!$C$107/2+CROQUIS!$C$140,IF(CROQUIS!$C$103=1,-12,2),0),((CROQUIS!$C$107/2+(((CROQUIS!$C$98)-CROQUIS!$C$107)-(MIN(80,MAX(1,INT(((CROQUIS!$C$98)-CROQUIS!$C$107)/MAX(CROQUIS!$C$130,1))+1))-1)*CROQUIS!$C$130)/2)+MIN(INT(($A359-1)/5),MAX((MIN(80,MAX(1,INT(((CROQUIS!$C$98)-CROQUIS!$C$107)/MAX(CROQUIS!$C$130,1))+1)))-1,0))*CROQUIS!$C$130)))*CROQUIS!$C$155)+IF(CROQUIS!$C$92="X",0,0)),-1000)</f>
        <v>-1000</v>
      </c>
      <c r="BM35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359-1)/5),MAX((MIN(80,MAX(1,INT(((CROQUIS!$C$98)-CROQUIS!$C$107)/MAX(CROQUIS!$C$130,1))+1)))-1,0))*CROQUIS!$C$130),CHOOSE(IF(INT(($A359-1)/5)&gt;MAX((MIN(80,MAX(1,INT(((CROQUIS!$C$98)-CROQUIS!$C$107)/MAX(CROQUIS!$C$130,1))+1)))-1,0),0,MOD($A359-1,5))+1,0,IF(CROQUIS!$C$103=1,-12,2),CROQUIS!$C$107/2+CROQUIS!$C$140,IF(CROQUIS!$C$103=1,-12,2),0)))*CROQUIS!$C$155)+IF(CROQUIS!$C$92="X",0,0)),-1000)</f>
        <v>-1000</v>
      </c>
      <c r="BN359">
        <f>IF(AND(CROQUIS!$C$88=1,CROQUIS!$C$91=0,CROQUIS!$C$130&gt;0,OR(CROQUIS!$C$104=1,CROQUIS!$C$142=1)),((CROQUIS!$C$156+(IF(CROQUIS!$C$92="X",CHOOSE(IF(INT(($A359-1)/5)&gt;MAX((MIN(80,MAX(1,INT(((CROQUIS!$C$98)-CROQUIS!$C$107)/MAX(CROQUIS!$C$130,1))+1)))-1,0),0,MOD($A359-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359-1)/5),MAX((MIN(80,MAX(1,INT(((CROQUIS!$C$98)-CROQUIS!$C$107)/MAX(CROQUIS!$C$130,1))+1)))-1,0))*CROQUIS!$C$130)))*CROQUIS!$C$155)+IF(CROQUIS!$C$92="X",0,0)),-1000)</f>
        <v>-1000</v>
      </c>
      <c r="BO35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359-1)/5),MAX((MIN(80,MAX(1,INT(((CROQUIS!$C$98)-CROQUIS!$C$107)/MAX(CROQUIS!$C$130,1))+1)))-1,0))*CROQUIS!$C$130),CHOOSE(IF(INT(($A359-1)/5)&gt;MAX((MIN(80,MAX(1,INT(((CROQUIS!$C$98)-CROQUIS!$C$107)/MAX(CROQUIS!$C$130,1))+1)))-1,0),0,MOD($A359-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5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359-1)/5),MAX((MIN(80,MAX(1,INT(((CROQUIS!$C$97)-CROQUIS!$C$107)/MAX(CROQUIS!$C$138,1))+1)))-1,0))*CROQUIS!$C$138),CHOOSE(IF(INT(($A359-1)/5)&gt;MAX((MIN(80,MAX(1,INT(((CROQUIS!$C$97)-CROQUIS!$C$107)/MAX(CROQUIS!$C$138,1))+1)))-1,0),0,MOD($A359-1,5))+1,0,IF(CROQUIS!$C$105=1,-12,2),CROQUIS!$C$107/2+CROQUIS!$C$141,IF(CROQUIS!$C$105=1,-12,2),0)))*CROQUIS!$C$155)+IF(CROQUIS!$C$92="X",0,0)),-1000)</f>
        <v>-1000</v>
      </c>
      <c r="BQ359">
        <f>IF(AND(CROQUIS!$C$88=1,CROQUIS!$C$91=0,CROQUIS!$C$138&gt;0,OR(CROQUIS!$C$105=1,CROQUIS!$C$143=1)),((CROQUIS!$C$157+(IF(CROQUIS!$C$92="X",CHOOSE(IF(INT(($A359-1)/5)&gt;MAX((MIN(80,MAX(1,INT(((CROQUIS!$C$97)-CROQUIS!$C$107)/MAX(CROQUIS!$C$138,1))+1)))-1,0),0,MOD($A359-1,5))+1,0,IF(CROQUIS!$C$105=1,-12,2),CROQUIS!$C$107/2+CROQUIS!$C$141,IF(CROQUIS!$C$105=1,-12,2),0),((CROQUIS!$C$107/2+(((CROQUIS!$C$97)-CROQUIS!$C$107)-(MIN(80,MAX(1,INT(((CROQUIS!$C$97)-CROQUIS!$C$107)/MAX(CROQUIS!$C$138,1))+1))-1)*CROQUIS!$C$138)/2)+MIN(INT(($A359-1)/5),MAX((MIN(80,MAX(1,INT(((CROQUIS!$C$97)-CROQUIS!$C$107)/MAX(CROQUIS!$C$138,1))+1)))-1,0))*CROQUIS!$C$138)))*CROQUIS!$C$155)+IF(CROQUIS!$C$92="X",0,0)),-1000)</f>
        <v>-1000</v>
      </c>
      <c r="BR35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359-1)/5),MAX((MIN(80,MAX(1,INT(((CROQUIS!$C$97)-CROQUIS!$C$107)/MAX(CROQUIS!$C$138,1))+1)))-1,0))*CROQUIS!$C$138),CHOOSE(IF(INT(($A359-1)/5)&gt;MAX((MIN(80,MAX(1,INT(((CROQUIS!$C$97)-CROQUIS!$C$107)/MAX(CROQUIS!$C$138,1))+1)))-1,0),0,MOD($A359-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59">
        <f>IF(AND(CROQUIS!$C$88=1,CROQUIS!$C$91=0,CROQUIS!$C$138&gt;0,OR(CROQUIS!$C$106=1,CROQUIS!$C$143=1)),((CROQUIS!$C$157+(IF(CROQUIS!$C$92="X",CHOOSE(IF(INT(($A359-1)/5)&gt;MAX((MIN(80,MAX(1,INT(((CROQUIS!$C$97)-CROQUIS!$C$107)/MAX(CROQUIS!$C$138,1))+1)))-1,0),0,MOD($A359-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359-1)/5),MAX((MIN(80,MAX(1,INT(((CROQUIS!$C$97)-CROQUIS!$C$107)/MAX(CROQUIS!$C$138,1))+1)))-1,0))*CROQUIS!$C$138)))*CROQUIS!$C$155)+IF(CROQUIS!$C$92="X",0,0)),-1000)</f>
        <v>-1000</v>
      </c>
      <c r="BT359">
        <f>IF(AND(CROQUIS!$C$88=1,CROQUIS!$C$91=1,CROQUIS!$C$130&gt;0),((CROQUIS!$C$156+(IF(CROQUIS!$C$92="X",CHOOSE(IF(INT(($A359-1)/5)&gt;MAX((MIN(80,MAX(1,INT(((CROQUIS!$C$98)-CROQUIS!$C$107)/MAX(CROQUIS!$C$130,1))+1)))-1,0),0,MOD($A359-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359-1)/5),MAX((MIN(80,MAX(1,INT(((CROQUIS!$C$98)-CROQUIS!$C$107)/MAX(CROQUIS!$C$130,1))+1)))-1,0))*CROQUIS!$C$130)))*CROQUIS!$C$155)+IF(CROQUIS!$C$92="X",0,0)),-1000)</f>
        <v>-1000</v>
      </c>
      <c r="BU359">
        <f>IF(AND(CROQUIS!$C$88=1,CROQUIS!$C$91=1,CROQUIS!$C$130&gt;0),((CROQUIS!$C$157+(IF(CROQUIS!$C$92="X",((CROQUIS!$C$107/2+(((CROQUIS!$C$98)-CROQUIS!$C$107)-(MIN(80,MAX(1,INT(((CROQUIS!$C$98)-CROQUIS!$C$107)/MAX(CROQUIS!$C$130,1))+1))-1)*CROQUIS!$C$130)/2)+MIN(INT(($A359-1)/5),MAX((MIN(80,MAX(1,INT(((CROQUIS!$C$98)-CROQUIS!$C$107)/MAX(CROQUIS!$C$130,1))+1)))-1,0))*CROQUIS!$C$130),CHOOSE(IF(INT(($A359-1)/5)&gt;MAX((MIN(80,MAX(1,INT(((CROQUIS!$C$98)-CROQUIS!$C$107)/MAX(CROQUIS!$C$130,1))+1)))-1,0),0,MOD($A359-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60">
      <c r="A360" t="n">
        <v>353</v>
      </c>
      <c r="BH360">
        <f>IF(AND(CROQUIS!$C$88=1,CROQUIS!$C$126&gt;0),((CROQUIS!$C$156+(IF(CROQUIS!$C$92="X",CHOOSE(IF(INT(($A360-1)/5)&gt;MAX((MIN(80,MAX(1,INT(((CROQUIS!$C$98)-CROQUIS!$C$107)/MAX(CROQUIS!$C$126,1))+1)))-1,0),0,MOD($A360-1,5))+1,0,2,CROQUIS!$C$97-2,2,0),((CROQUIS!$C$107/2+(((CROQUIS!$C$98)-CROQUIS!$C$107)-(MIN(80,MAX(1,INT(((CROQUIS!$C$98)-CROQUIS!$C$107)/MAX(CROQUIS!$C$126,1))+1))-1)*CROQUIS!$C$126)/2)+MIN(INT(($A360-1)/5),MAX((MIN(80,MAX(1,INT(((CROQUIS!$C$98)-CROQUIS!$C$107)/MAX(CROQUIS!$C$126,1))+1)))-1,0))*CROQUIS!$C$126)))*CROQUIS!$C$155)+IF(CROQUIS!$C$92="X",0,0)),-1000)</f>
        <v>-1000</v>
      </c>
      <c r="BI360">
        <f>IF(AND(CROQUIS!$C$88=1,CROQUIS!$C$126&gt;0),((CROQUIS!$C$157+(IF(CROQUIS!$C$92="X",((CROQUIS!$C$107/2+(((CROQUIS!$C$98)-CROQUIS!$C$107)-(MIN(80,MAX(1,INT(((CROQUIS!$C$98)-CROQUIS!$C$107)/MAX(CROQUIS!$C$126,1))+1))-1)*CROQUIS!$C$126)/2)+MIN(INT(($A360-1)/5),MAX((MIN(80,MAX(1,INT(((CROQUIS!$C$98)-CROQUIS!$C$107)/MAX(CROQUIS!$C$126,1))+1)))-1,0))*CROQUIS!$C$126),CHOOSE(IF(INT(($A360-1)/5)&gt;MAX((MIN(80,MAX(1,INT(((CROQUIS!$C$98)-CROQUIS!$C$107)/MAX(CROQUIS!$C$126,1))+1)))-1,0),0,MOD($A360-1,5))+1,0,2,CROQUIS!$C$97-2,2,0)))*CROQUIS!$C$155)+IF(CROQUIS!$C$92="X",0,0)),-1000)</f>
        <v>-1000</v>
      </c>
      <c r="BJ360">
        <f>IF(AND(CROQUIS!$C$88=1,CROQUIS!$C$134&gt;0),((CROQUIS!$C$156+(IF(CROQUIS!$C$92="X",((CROQUIS!$C$107/2+(((CROQUIS!$C$97)-CROQUIS!$C$107)-(MIN(80,MAX(1,INT(((CROQUIS!$C$97)-CROQUIS!$C$107)/MAX(CROQUIS!$C$134,1))+1))-1)*CROQUIS!$C$134)/2)+MIN(INT(($A360-1)/5),MAX((MIN(80,MAX(1,INT(((CROQUIS!$C$97)-CROQUIS!$C$107)/MAX(CROQUIS!$C$134,1))+1)))-1,0))*CROQUIS!$C$134),CHOOSE(IF(INT(($A360-1)/5)&gt;MAX((MIN(80,MAX(1,INT(((CROQUIS!$C$97)-CROQUIS!$C$107)/MAX(CROQUIS!$C$134,1))+1)))-1,0),0,MOD($A360-1,5))+1,0,2,CROQUIS!$C$98-2,2,0)))*CROQUIS!$C$155)+IF(CROQUIS!$C$92="X",0,0)),-1000)</f>
        <v>-1000</v>
      </c>
      <c r="BK360">
        <f>IF(AND(CROQUIS!$C$88=1,CROQUIS!$C$134&gt;0),((CROQUIS!$C$157+(IF(CROQUIS!$C$92="X",CHOOSE(IF(INT(($A360-1)/5)&gt;MAX((MIN(80,MAX(1,INT(((CROQUIS!$C$97)-CROQUIS!$C$107)/MAX(CROQUIS!$C$134,1))+1)))-1,0),0,MOD($A360-1,5))+1,0,2,CROQUIS!$C$98-2,2,0),((CROQUIS!$C$107/2+(((CROQUIS!$C$97)-CROQUIS!$C$107)-(MIN(80,MAX(1,INT(((CROQUIS!$C$97)-CROQUIS!$C$107)/MAX(CROQUIS!$C$134,1))+1))-1)*CROQUIS!$C$134)/2)+MIN(INT(($A360-1)/5),MAX((MIN(80,MAX(1,INT(((CROQUIS!$C$97)-CROQUIS!$C$107)/MAX(CROQUIS!$C$134,1))+1)))-1,0))*CROQUIS!$C$134)))*CROQUIS!$C$155)+IF(CROQUIS!$C$92="X",0,0)),-1000)</f>
        <v>-1000</v>
      </c>
      <c r="BL360">
        <f>IF(AND(CROQUIS!$C$88=1,CROQUIS!$C$91=0,CROQUIS!$C$130&gt;0,OR(CROQUIS!$C$103=1,CROQUIS!$C$142=1)),((CROQUIS!$C$156+(IF(CROQUIS!$C$92="X",CHOOSE(IF(INT(($A360-1)/5)&gt;MAX((MIN(80,MAX(1,INT(((CROQUIS!$C$98)-CROQUIS!$C$107)/MAX(CROQUIS!$C$130,1))+1)))-1,0),0,MOD($A360-1,5))+1,0,IF(CROQUIS!$C$103=1,-12,2),CROQUIS!$C$107/2+CROQUIS!$C$140,IF(CROQUIS!$C$103=1,-12,2),0),((CROQUIS!$C$107/2+(((CROQUIS!$C$98)-CROQUIS!$C$107)-(MIN(80,MAX(1,INT(((CROQUIS!$C$98)-CROQUIS!$C$107)/MAX(CROQUIS!$C$130,1))+1))-1)*CROQUIS!$C$130)/2)+MIN(INT(($A360-1)/5),MAX((MIN(80,MAX(1,INT(((CROQUIS!$C$98)-CROQUIS!$C$107)/MAX(CROQUIS!$C$130,1))+1)))-1,0))*CROQUIS!$C$130)))*CROQUIS!$C$155)+IF(CROQUIS!$C$92="X",0,0)),-1000)</f>
        <v>-1000</v>
      </c>
      <c r="BM36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360-1)/5),MAX((MIN(80,MAX(1,INT(((CROQUIS!$C$98)-CROQUIS!$C$107)/MAX(CROQUIS!$C$130,1))+1)))-1,0))*CROQUIS!$C$130),CHOOSE(IF(INT(($A360-1)/5)&gt;MAX((MIN(80,MAX(1,INT(((CROQUIS!$C$98)-CROQUIS!$C$107)/MAX(CROQUIS!$C$130,1))+1)))-1,0),0,MOD($A360-1,5))+1,0,IF(CROQUIS!$C$103=1,-12,2),CROQUIS!$C$107/2+CROQUIS!$C$140,IF(CROQUIS!$C$103=1,-12,2),0)))*CROQUIS!$C$155)+IF(CROQUIS!$C$92="X",0,0)),-1000)</f>
        <v>-1000</v>
      </c>
      <c r="BN360">
        <f>IF(AND(CROQUIS!$C$88=1,CROQUIS!$C$91=0,CROQUIS!$C$130&gt;0,OR(CROQUIS!$C$104=1,CROQUIS!$C$142=1)),((CROQUIS!$C$156+(IF(CROQUIS!$C$92="X",CHOOSE(IF(INT(($A360-1)/5)&gt;MAX((MIN(80,MAX(1,INT(((CROQUIS!$C$98)-CROQUIS!$C$107)/MAX(CROQUIS!$C$130,1))+1)))-1,0),0,MOD($A360-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360-1)/5),MAX((MIN(80,MAX(1,INT(((CROQUIS!$C$98)-CROQUIS!$C$107)/MAX(CROQUIS!$C$130,1))+1)))-1,0))*CROQUIS!$C$130)))*CROQUIS!$C$155)+IF(CROQUIS!$C$92="X",0,0)),-1000)</f>
        <v>-1000</v>
      </c>
      <c r="BO36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360-1)/5),MAX((MIN(80,MAX(1,INT(((CROQUIS!$C$98)-CROQUIS!$C$107)/MAX(CROQUIS!$C$130,1))+1)))-1,0))*CROQUIS!$C$130),CHOOSE(IF(INT(($A360-1)/5)&gt;MAX((MIN(80,MAX(1,INT(((CROQUIS!$C$98)-CROQUIS!$C$107)/MAX(CROQUIS!$C$130,1))+1)))-1,0),0,MOD($A360-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6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360-1)/5),MAX((MIN(80,MAX(1,INT(((CROQUIS!$C$97)-CROQUIS!$C$107)/MAX(CROQUIS!$C$138,1))+1)))-1,0))*CROQUIS!$C$138),CHOOSE(IF(INT(($A360-1)/5)&gt;MAX((MIN(80,MAX(1,INT(((CROQUIS!$C$97)-CROQUIS!$C$107)/MAX(CROQUIS!$C$138,1))+1)))-1,0),0,MOD($A360-1,5))+1,0,IF(CROQUIS!$C$105=1,-12,2),CROQUIS!$C$107/2+CROQUIS!$C$141,IF(CROQUIS!$C$105=1,-12,2),0)))*CROQUIS!$C$155)+IF(CROQUIS!$C$92="X",0,0)),-1000)</f>
        <v>-1000</v>
      </c>
      <c r="BQ360">
        <f>IF(AND(CROQUIS!$C$88=1,CROQUIS!$C$91=0,CROQUIS!$C$138&gt;0,OR(CROQUIS!$C$105=1,CROQUIS!$C$143=1)),((CROQUIS!$C$157+(IF(CROQUIS!$C$92="X",CHOOSE(IF(INT(($A360-1)/5)&gt;MAX((MIN(80,MAX(1,INT(((CROQUIS!$C$97)-CROQUIS!$C$107)/MAX(CROQUIS!$C$138,1))+1)))-1,0),0,MOD($A360-1,5))+1,0,IF(CROQUIS!$C$105=1,-12,2),CROQUIS!$C$107/2+CROQUIS!$C$141,IF(CROQUIS!$C$105=1,-12,2),0),((CROQUIS!$C$107/2+(((CROQUIS!$C$97)-CROQUIS!$C$107)-(MIN(80,MAX(1,INT(((CROQUIS!$C$97)-CROQUIS!$C$107)/MAX(CROQUIS!$C$138,1))+1))-1)*CROQUIS!$C$138)/2)+MIN(INT(($A360-1)/5),MAX((MIN(80,MAX(1,INT(((CROQUIS!$C$97)-CROQUIS!$C$107)/MAX(CROQUIS!$C$138,1))+1)))-1,0))*CROQUIS!$C$138)))*CROQUIS!$C$155)+IF(CROQUIS!$C$92="X",0,0)),-1000)</f>
        <v>-1000</v>
      </c>
      <c r="BR36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360-1)/5),MAX((MIN(80,MAX(1,INT(((CROQUIS!$C$97)-CROQUIS!$C$107)/MAX(CROQUIS!$C$138,1))+1)))-1,0))*CROQUIS!$C$138),CHOOSE(IF(INT(($A360-1)/5)&gt;MAX((MIN(80,MAX(1,INT(((CROQUIS!$C$97)-CROQUIS!$C$107)/MAX(CROQUIS!$C$138,1))+1)))-1,0),0,MOD($A360-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60">
        <f>IF(AND(CROQUIS!$C$88=1,CROQUIS!$C$91=0,CROQUIS!$C$138&gt;0,OR(CROQUIS!$C$106=1,CROQUIS!$C$143=1)),((CROQUIS!$C$157+(IF(CROQUIS!$C$92="X",CHOOSE(IF(INT(($A360-1)/5)&gt;MAX((MIN(80,MAX(1,INT(((CROQUIS!$C$97)-CROQUIS!$C$107)/MAX(CROQUIS!$C$138,1))+1)))-1,0),0,MOD($A360-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360-1)/5),MAX((MIN(80,MAX(1,INT(((CROQUIS!$C$97)-CROQUIS!$C$107)/MAX(CROQUIS!$C$138,1))+1)))-1,0))*CROQUIS!$C$138)))*CROQUIS!$C$155)+IF(CROQUIS!$C$92="X",0,0)),-1000)</f>
        <v>-1000</v>
      </c>
      <c r="BT360">
        <f>IF(AND(CROQUIS!$C$88=1,CROQUIS!$C$91=1,CROQUIS!$C$130&gt;0),((CROQUIS!$C$156+(IF(CROQUIS!$C$92="X",CHOOSE(IF(INT(($A360-1)/5)&gt;MAX((MIN(80,MAX(1,INT(((CROQUIS!$C$98)-CROQUIS!$C$107)/MAX(CROQUIS!$C$130,1))+1)))-1,0),0,MOD($A360-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360-1)/5),MAX((MIN(80,MAX(1,INT(((CROQUIS!$C$98)-CROQUIS!$C$107)/MAX(CROQUIS!$C$130,1))+1)))-1,0))*CROQUIS!$C$130)))*CROQUIS!$C$155)+IF(CROQUIS!$C$92="X",0,0)),-1000)</f>
        <v>-1000</v>
      </c>
      <c r="BU360">
        <f>IF(AND(CROQUIS!$C$88=1,CROQUIS!$C$91=1,CROQUIS!$C$130&gt;0),((CROQUIS!$C$157+(IF(CROQUIS!$C$92="X",((CROQUIS!$C$107/2+(((CROQUIS!$C$98)-CROQUIS!$C$107)-(MIN(80,MAX(1,INT(((CROQUIS!$C$98)-CROQUIS!$C$107)/MAX(CROQUIS!$C$130,1))+1))-1)*CROQUIS!$C$130)/2)+MIN(INT(($A360-1)/5),MAX((MIN(80,MAX(1,INT(((CROQUIS!$C$98)-CROQUIS!$C$107)/MAX(CROQUIS!$C$130,1))+1)))-1,0))*CROQUIS!$C$130),CHOOSE(IF(INT(($A360-1)/5)&gt;MAX((MIN(80,MAX(1,INT(((CROQUIS!$C$98)-CROQUIS!$C$107)/MAX(CROQUIS!$C$130,1))+1)))-1,0),0,MOD($A360-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61">
      <c r="A361" t="n">
        <v>354</v>
      </c>
      <c r="BH361">
        <f>IF(AND(CROQUIS!$C$88=1,CROQUIS!$C$126&gt;0),((CROQUIS!$C$156+(IF(CROQUIS!$C$92="X",CHOOSE(IF(INT(($A361-1)/5)&gt;MAX((MIN(80,MAX(1,INT(((CROQUIS!$C$98)-CROQUIS!$C$107)/MAX(CROQUIS!$C$126,1))+1)))-1,0),0,MOD($A361-1,5))+1,0,2,CROQUIS!$C$97-2,2,0),((CROQUIS!$C$107/2+(((CROQUIS!$C$98)-CROQUIS!$C$107)-(MIN(80,MAX(1,INT(((CROQUIS!$C$98)-CROQUIS!$C$107)/MAX(CROQUIS!$C$126,1))+1))-1)*CROQUIS!$C$126)/2)+MIN(INT(($A361-1)/5),MAX((MIN(80,MAX(1,INT(((CROQUIS!$C$98)-CROQUIS!$C$107)/MAX(CROQUIS!$C$126,1))+1)))-1,0))*CROQUIS!$C$126)))*CROQUIS!$C$155)+IF(CROQUIS!$C$92="X",0,0)),-1000)</f>
        <v>-1000</v>
      </c>
      <c r="BI361">
        <f>IF(AND(CROQUIS!$C$88=1,CROQUIS!$C$126&gt;0),((CROQUIS!$C$157+(IF(CROQUIS!$C$92="X",((CROQUIS!$C$107/2+(((CROQUIS!$C$98)-CROQUIS!$C$107)-(MIN(80,MAX(1,INT(((CROQUIS!$C$98)-CROQUIS!$C$107)/MAX(CROQUIS!$C$126,1))+1))-1)*CROQUIS!$C$126)/2)+MIN(INT(($A361-1)/5),MAX((MIN(80,MAX(1,INT(((CROQUIS!$C$98)-CROQUIS!$C$107)/MAX(CROQUIS!$C$126,1))+1)))-1,0))*CROQUIS!$C$126),CHOOSE(IF(INT(($A361-1)/5)&gt;MAX((MIN(80,MAX(1,INT(((CROQUIS!$C$98)-CROQUIS!$C$107)/MAX(CROQUIS!$C$126,1))+1)))-1,0),0,MOD($A361-1,5))+1,0,2,CROQUIS!$C$97-2,2,0)))*CROQUIS!$C$155)+IF(CROQUIS!$C$92="X",0,0)),-1000)</f>
        <v>-1000</v>
      </c>
      <c r="BJ361">
        <f>IF(AND(CROQUIS!$C$88=1,CROQUIS!$C$134&gt;0),((CROQUIS!$C$156+(IF(CROQUIS!$C$92="X",((CROQUIS!$C$107/2+(((CROQUIS!$C$97)-CROQUIS!$C$107)-(MIN(80,MAX(1,INT(((CROQUIS!$C$97)-CROQUIS!$C$107)/MAX(CROQUIS!$C$134,1))+1))-1)*CROQUIS!$C$134)/2)+MIN(INT(($A361-1)/5),MAX((MIN(80,MAX(1,INT(((CROQUIS!$C$97)-CROQUIS!$C$107)/MAX(CROQUIS!$C$134,1))+1)))-1,0))*CROQUIS!$C$134),CHOOSE(IF(INT(($A361-1)/5)&gt;MAX((MIN(80,MAX(1,INT(((CROQUIS!$C$97)-CROQUIS!$C$107)/MAX(CROQUIS!$C$134,1))+1)))-1,0),0,MOD($A361-1,5))+1,0,2,CROQUIS!$C$98-2,2,0)))*CROQUIS!$C$155)+IF(CROQUIS!$C$92="X",0,0)),-1000)</f>
        <v>-1000</v>
      </c>
      <c r="BK361">
        <f>IF(AND(CROQUIS!$C$88=1,CROQUIS!$C$134&gt;0),((CROQUIS!$C$157+(IF(CROQUIS!$C$92="X",CHOOSE(IF(INT(($A361-1)/5)&gt;MAX((MIN(80,MAX(1,INT(((CROQUIS!$C$97)-CROQUIS!$C$107)/MAX(CROQUIS!$C$134,1))+1)))-1,0),0,MOD($A361-1,5))+1,0,2,CROQUIS!$C$98-2,2,0),((CROQUIS!$C$107/2+(((CROQUIS!$C$97)-CROQUIS!$C$107)-(MIN(80,MAX(1,INT(((CROQUIS!$C$97)-CROQUIS!$C$107)/MAX(CROQUIS!$C$134,1))+1))-1)*CROQUIS!$C$134)/2)+MIN(INT(($A361-1)/5),MAX((MIN(80,MAX(1,INT(((CROQUIS!$C$97)-CROQUIS!$C$107)/MAX(CROQUIS!$C$134,1))+1)))-1,0))*CROQUIS!$C$134)))*CROQUIS!$C$155)+IF(CROQUIS!$C$92="X",0,0)),-1000)</f>
        <v>-1000</v>
      </c>
      <c r="BL361">
        <f>IF(AND(CROQUIS!$C$88=1,CROQUIS!$C$91=0,CROQUIS!$C$130&gt;0,OR(CROQUIS!$C$103=1,CROQUIS!$C$142=1)),((CROQUIS!$C$156+(IF(CROQUIS!$C$92="X",CHOOSE(IF(INT(($A361-1)/5)&gt;MAX((MIN(80,MAX(1,INT(((CROQUIS!$C$98)-CROQUIS!$C$107)/MAX(CROQUIS!$C$130,1))+1)))-1,0),0,MOD($A361-1,5))+1,0,IF(CROQUIS!$C$103=1,-12,2),CROQUIS!$C$107/2+CROQUIS!$C$140,IF(CROQUIS!$C$103=1,-12,2),0),((CROQUIS!$C$107/2+(((CROQUIS!$C$98)-CROQUIS!$C$107)-(MIN(80,MAX(1,INT(((CROQUIS!$C$98)-CROQUIS!$C$107)/MAX(CROQUIS!$C$130,1))+1))-1)*CROQUIS!$C$130)/2)+MIN(INT(($A361-1)/5),MAX((MIN(80,MAX(1,INT(((CROQUIS!$C$98)-CROQUIS!$C$107)/MAX(CROQUIS!$C$130,1))+1)))-1,0))*CROQUIS!$C$130)))*CROQUIS!$C$155)+IF(CROQUIS!$C$92="X",0,0)),-1000)</f>
        <v>-1000</v>
      </c>
      <c r="BM36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361-1)/5),MAX((MIN(80,MAX(1,INT(((CROQUIS!$C$98)-CROQUIS!$C$107)/MAX(CROQUIS!$C$130,1))+1)))-1,0))*CROQUIS!$C$130),CHOOSE(IF(INT(($A361-1)/5)&gt;MAX((MIN(80,MAX(1,INT(((CROQUIS!$C$98)-CROQUIS!$C$107)/MAX(CROQUIS!$C$130,1))+1)))-1,0),0,MOD($A361-1,5))+1,0,IF(CROQUIS!$C$103=1,-12,2),CROQUIS!$C$107/2+CROQUIS!$C$140,IF(CROQUIS!$C$103=1,-12,2),0)))*CROQUIS!$C$155)+IF(CROQUIS!$C$92="X",0,0)),-1000)</f>
        <v>-1000</v>
      </c>
      <c r="BN361">
        <f>IF(AND(CROQUIS!$C$88=1,CROQUIS!$C$91=0,CROQUIS!$C$130&gt;0,OR(CROQUIS!$C$104=1,CROQUIS!$C$142=1)),((CROQUIS!$C$156+(IF(CROQUIS!$C$92="X",CHOOSE(IF(INT(($A361-1)/5)&gt;MAX((MIN(80,MAX(1,INT(((CROQUIS!$C$98)-CROQUIS!$C$107)/MAX(CROQUIS!$C$130,1))+1)))-1,0),0,MOD($A361-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361-1)/5),MAX((MIN(80,MAX(1,INT(((CROQUIS!$C$98)-CROQUIS!$C$107)/MAX(CROQUIS!$C$130,1))+1)))-1,0))*CROQUIS!$C$130)))*CROQUIS!$C$155)+IF(CROQUIS!$C$92="X",0,0)),-1000)</f>
        <v>-1000</v>
      </c>
      <c r="BO36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361-1)/5),MAX((MIN(80,MAX(1,INT(((CROQUIS!$C$98)-CROQUIS!$C$107)/MAX(CROQUIS!$C$130,1))+1)))-1,0))*CROQUIS!$C$130),CHOOSE(IF(INT(($A361-1)/5)&gt;MAX((MIN(80,MAX(1,INT(((CROQUIS!$C$98)-CROQUIS!$C$107)/MAX(CROQUIS!$C$130,1))+1)))-1,0),0,MOD($A361-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6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361-1)/5),MAX((MIN(80,MAX(1,INT(((CROQUIS!$C$97)-CROQUIS!$C$107)/MAX(CROQUIS!$C$138,1))+1)))-1,0))*CROQUIS!$C$138),CHOOSE(IF(INT(($A361-1)/5)&gt;MAX((MIN(80,MAX(1,INT(((CROQUIS!$C$97)-CROQUIS!$C$107)/MAX(CROQUIS!$C$138,1))+1)))-1,0),0,MOD($A361-1,5))+1,0,IF(CROQUIS!$C$105=1,-12,2),CROQUIS!$C$107/2+CROQUIS!$C$141,IF(CROQUIS!$C$105=1,-12,2),0)))*CROQUIS!$C$155)+IF(CROQUIS!$C$92="X",0,0)),-1000)</f>
        <v>-1000</v>
      </c>
      <c r="BQ361">
        <f>IF(AND(CROQUIS!$C$88=1,CROQUIS!$C$91=0,CROQUIS!$C$138&gt;0,OR(CROQUIS!$C$105=1,CROQUIS!$C$143=1)),((CROQUIS!$C$157+(IF(CROQUIS!$C$92="X",CHOOSE(IF(INT(($A361-1)/5)&gt;MAX((MIN(80,MAX(1,INT(((CROQUIS!$C$97)-CROQUIS!$C$107)/MAX(CROQUIS!$C$138,1))+1)))-1,0),0,MOD($A361-1,5))+1,0,IF(CROQUIS!$C$105=1,-12,2),CROQUIS!$C$107/2+CROQUIS!$C$141,IF(CROQUIS!$C$105=1,-12,2),0),((CROQUIS!$C$107/2+(((CROQUIS!$C$97)-CROQUIS!$C$107)-(MIN(80,MAX(1,INT(((CROQUIS!$C$97)-CROQUIS!$C$107)/MAX(CROQUIS!$C$138,1))+1))-1)*CROQUIS!$C$138)/2)+MIN(INT(($A361-1)/5),MAX((MIN(80,MAX(1,INT(((CROQUIS!$C$97)-CROQUIS!$C$107)/MAX(CROQUIS!$C$138,1))+1)))-1,0))*CROQUIS!$C$138)))*CROQUIS!$C$155)+IF(CROQUIS!$C$92="X",0,0)),-1000)</f>
        <v>-1000</v>
      </c>
      <c r="BR36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361-1)/5),MAX((MIN(80,MAX(1,INT(((CROQUIS!$C$97)-CROQUIS!$C$107)/MAX(CROQUIS!$C$138,1))+1)))-1,0))*CROQUIS!$C$138),CHOOSE(IF(INT(($A361-1)/5)&gt;MAX((MIN(80,MAX(1,INT(((CROQUIS!$C$97)-CROQUIS!$C$107)/MAX(CROQUIS!$C$138,1))+1)))-1,0),0,MOD($A361-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61">
        <f>IF(AND(CROQUIS!$C$88=1,CROQUIS!$C$91=0,CROQUIS!$C$138&gt;0,OR(CROQUIS!$C$106=1,CROQUIS!$C$143=1)),((CROQUIS!$C$157+(IF(CROQUIS!$C$92="X",CHOOSE(IF(INT(($A361-1)/5)&gt;MAX((MIN(80,MAX(1,INT(((CROQUIS!$C$97)-CROQUIS!$C$107)/MAX(CROQUIS!$C$138,1))+1)))-1,0),0,MOD($A361-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361-1)/5),MAX((MIN(80,MAX(1,INT(((CROQUIS!$C$97)-CROQUIS!$C$107)/MAX(CROQUIS!$C$138,1))+1)))-1,0))*CROQUIS!$C$138)))*CROQUIS!$C$155)+IF(CROQUIS!$C$92="X",0,0)),-1000)</f>
        <v>-1000</v>
      </c>
      <c r="BT361">
        <f>IF(AND(CROQUIS!$C$88=1,CROQUIS!$C$91=1,CROQUIS!$C$130&gt;0),((CROQUIS!$C$156+(IF(CROQUIS!$C$92="X",CHOOSE(IF(INT(($A361-1)/5)&gt;MAX((MIN(80,MAX(1,INT(((CROQUIS!$C$98)-CROQUIS!$C$107)/MAX(CROQUIS!$C$130,1))+1)))-1,0),0,MOD($A361-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361-1)/5),MAX((MIN(80,MAX(1,INT(((CROQUIS!$C$98)-CROQUIS!$C$107)/MAX(CROQUIS!$C$130,1))+1)))-1,0))*CROQUIS!$C$130)))*CROQUIS!$C$155)+IF(CROQUIS!$C$92="X",0,0)),-1000)</f>
        <v>-1000</v>
      </c>
      <c r="BU361">
        <f>IF(AND(CROQUIS!$C$88=1,CROQUIS!$C$91=1,CROQUIS!$C$130&gt;0),((CROQUIS!$C$157+(IF(CROQUIS!$C$92="X",((CROQUIS!$C$107/2+(((CROQUIS!$C$98)-CROQUIS!$C$107)-(MIN(80,MAX(1,INT(((CROQUIS!$C$98)-CROQUIS!$C$107)/MAX(CROQUIS!$C$130,1))+1))-1)*CROQUIS!$C$130)/2)+MIN(INT(($A361-1)/5),MAX((MIN(80,MAX(1,INT(((CROQUIS!$C$98)-CROQUIS!$C$107)/MAX(CROQUIS!$C$130,1))+1)))-1,0))*CROQUIS!$C$130),CHOOSE(IF(INT(($A361-1)/5)&gt;MAX((MIN(80,MAX(1,INT(((CROQUIS!$C$98)-CROQUIS!$C$107)/MAX(CROQUIS!$C$130,1))+1)))-1,0),0,MOD($A361-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62">
      <c r="A362" t="n">
        <v>355</v>
      </c>
      <c r="BH362">
        <f>IF(AND(CROQUIS!$C$88=1,CROQUIS!$C$126&gt;0),((CROQUIS!$C$156+(IF(CROQUIS!$C$92="X",CHOOSE(IF(INT(($A362-1)/5)&gt;MAX((MIN(80,MAX(1,INT(((CROQUIS!$C$98)-CROQUIS!$C$107)/MAX(CROQUIS!$C$126,1))+1)))-1,0),0,MOD($A362-1,5))+1,0,2,CROQUIS!$C$97-2,2,0),((CROQUIS!$C$107/2+(((CROQUIS!$C$98)-CROQUIS!$C$107)-(MIN(80,MAX(1,INT(((CROQUIS!$C$98)-CROQUIS!$C$107)/MAX(CROQUIS!$C$126,1))+1))-1)*CROQUIS!$C$126)/2)+MIN(INT(($A362-1)/5),MAX((MIN(80,MAX(1,INT(((CROQUIS!$C$98)-CROQUIS!$C$107)/MAX(CROQUIS!$C$126,1))+1)))-1,0))*CROQUIS!$C$126)))*CROQUIS!$C$155)+IF(CROQUIS!$C$92="X",0,0)),-1000)</f>
        <v>-1000</v>
      </c>
      <c r="BI362">
        <f>IF(AND(CROQUIS!$C$88=1,CROQUIS!$C$126&gt;0),((CROQUIS!$C$157+(IF(CROQUIS!$C$92="X",((CROQUIS!$C$107/2+(((CROQUIS!$C$98)-CROQUIS!$C$107)-(MIN(80,MAX(1,INT(((CROQUIS!$C$98)-CROQUIS!$C$107)/MAX(CROQUIS!$C$126,1))+1))-1)*CROQUIS!$C$126)/2)+MIN(INT(($A362-1)/5),MAX((MIN(80,MAX(1,INT(((CROQUIS!$C$98)-CROQUIS!$C$107)/MAX(CROQUIS!$C$126,1))+1)))-1,0))*CROQUIS!$C$126),CHOOSE(IF(INT(($A362-1)/5)&gt;MAX((MIN(80,MAX(1,INT(((CROQUIS!$C$98)-CROQUIS!$C$107)/MAX(CROQUIS!$C$126,1))+1)))-1,0),0,MOD($A362-1,5))+1,0,2,CROQUIS!$C$97-2,2,0)))*CROQUIS!$C$155)+IF(CROQUIS!$C$92="X",0,0)),-1000)</f>
        <v>-1000</v>
      </c>
      <c r="BJ362">
        <f>IF(AND(CROQUIS!$C$88=1,CROQUIS!$C$134&gt;0),((CROQUIS!$C$156+(IF(CROQUIS!$C$92="X",((CROQUIS!$C$107/2+(((CROQUIS!$C$97)-CROQUIS!$C$107)-(MIN(80,MAX(1,INT(((CROQUIS!$C$97)-CROQUIS!$C$107)/MAX(CROQUIS!$C$134,1))+1))-1)*CROQUIS!$C$134)/2)+MIN(INT(($A362-1)/5),MAX((MIN(80,MAX(1,INT(((CROQUIS!$C$97)-CROQUIS!$C$107)/MAX(CROQUIS!$C$134,1))+1)))-1,0))*CROQUIS!$C$134),CHOOSE(IF(INT(($A362-1)/5)&gt;MAX((MIN(80,MAX(1,INT(((CROQUIS!$C$97)-CROQUIS!$C$107)/MAX(CROQUIS!$C$134,1))+1)))-1,0),0,MOD($A362-1,5))+1,0,2,CROQUIS!$C$98-2,2,0)))*CROQUIS!$C$155)+IF(CROQUIS!$C$92="X",0,0)),-1000)</f>
        <v>-1000</v>
      </c>
      <c r="BK362">
        <f>IF(AND(CROQUIS!$C$88=1,CROQUIS!$C$134&gt;0),((CROQUIS!$C$157+(IF(CROQUIS!$C$92="X",CHOOSE(IF(INT(($A362-1)/5)&gt;MAX((MIN(80,MAX(1,INT(((CROQUIS!$C$97)-CROQUIS!$C$107)/MAX(CROQUIS!$C$134,1))+1)))-1,0),0,MOD($A362-1,5))+1,0,2,CROQUIS!$C$98-2,2,0),((CROQUIS!$C$107/2+(((CROQUIS!$C$97)-CROQUIS!$C$107)-(MIN(80,MAX(1,INT(((CROQUIS!$C$97)-CROQUIS!$C$107)/MAX(CROQUIS!$C$134,1))+1))-1)*CROQUIS!$C$134)/2)+MIN(INT(($A362-1)/5),MAX((MIN(80,MAX(1,INT(((CROQUIS!$C$97)-CROQUIS!$C$107)/MAX(CROQUIS!$C$134,1))+1)))-1,0))*CROQUIS!$C$134)))*CROQUIS!$C$155)+IF(CROQUIS!$C$92="X",0,0)),-1000)</f>
        <v>-1000</v>
      </c>
      <c r="BL362">
        <f>IF(AND(CROQUIS!$C$88=1,CROQUIS!$C$91=0,CROQUIS!$C$130&gt;0,OR(CROQUIS!$C$103=1,CROQUIS!$C$142=1)),((CROQUIS!$C$156+(IF(CROQUIS!$C$92="X",CHOOSE(IF(INT(($A362-1)/5)&gt;MAX((MIN(80,MAX(1,INT(((CROQUIS!$C$98)-CROQUIS!$C$107)/MAX(CROQUIS!$C$130,1))+1)))-1,0),0,MOD($A362-1,5))+1,0,IF(CROQUIS!$C$103=1,-12,2),CROQUIS!$C$107/2+CROQUIS!$C$140,IF(CROQUIS!$C$103=1,-12,2),0),((CROQUIS!$C$107/2+(((CROQUIS!$C$98)-CROQUIS!$C$107)-(MIN(80,MAX(1,INT(((CROQUIS!$C$98)-CROQUIS!$C$107)/MAX(CROQUIS!$C$130,1))+1))-1)*CROQUIS!$C$130)/2)+MIN(INT(($A362-1)/5),MAX((MIN(80,MAX(1,INT(((CROQUIS!$C$98)-CROQUIS!$C$107)/MAX(CROQUIS!$C$130,1))+1)))-1,0))*CROQUIS!$C$130)))*CROQUIS!$C$155)+IF(CROQUIS!$C$92="X",0,0)),-1000)</f>
        <v>-1000</v>
      </c>
      <c r="BM36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362-1)/5),MAX((MIN(80,MAX(1,INT(((CROQUIS!$C$98)-CROQUIS!$C$107)/MAX(CROQUIS!$C$130,1))+1)))-1,0))*CROQUIS!$C$130),CHOOSE(IF(INT(($A362-1)/5)&gt;MAX((MIN(80,MAX(1,INT(((CROQUIS!$C$98)-CROQUIS!$C$107)/MAX(CROQUIS!$C$130,1))+1)))-1,0),0,MOD($A362-1,5))+1,0,IF(CROQUIS!$C$103=1,-12,2),CROQUIS!$C$107/2+CROQUIS!$C$140,IF(CROQUIS!$C$103=1,-12,2),0)))*CROQUIS!$C$155)+IF(CROQUIS!$C$92="X",0,0)),-1000)</f>
        <v>-1000</v>
      </c>
      <c r="BN362">
        <f>IF(AND(CROQUIS!$C$88=1,CROQUIS!$C$91=0,CROQUIS!$C$130&gt;0,OR(CROQUIS!$C$104=1,CROQUIS!$C$142=1)),((CROQUIS!$C$156+(IF(CROQUIS!$C$92="X",CHOOSE(IF(INT(($A362-1)/5)&gt;MAX((MIN(80,MAX(1,INT(((CROQUIS!$C$98)-CROQUIS!$C$107)/MAX(CROQUIS!$C$130,1))+1)))-1,0),0,MOD($A362-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362-1)/5),MAX((MIN(80,MAX(1,INT(((CROQUIS!$C$98)-CROQUIS!$C$107)/MAX(CROQUIS!$C$130,1))+1)))-1,0))*CROQUIS!$C$130)))*CROQUIS!$C$155)+IF(CROQUIS!$C$92="X",0,0)),-1000)</f>
        <v>-1000</v>
      </c>
      <c r="BO36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362-1)/5),MAX((MIN(80,MAX(1,INT(((CROQUIS!$C$98)-CROQUIS!$C$107)/MAX(CROQUIS!$C$130,1))+1)))-1,0))*CROQUIS!$C$130),CHOOSE(IF(INT(($A362-1)/5)&gt;MAX((MIN(80,MAX(1,INT(((CROQUIS!$C$98)-CROQUIS!$C$107)/MAX(CROQUIS!$C$130,1))+1)))-1,0),0,MOD($A362-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6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362-1)/5),MAX((MIN(80,MAX(1,INT(((CROQUIS!$C$97)-CROQUIS!$C$107)/MAX(CROQUIS!$C$138,1))+1)))-1,0))*CROQUIS!$C$138),CHOOSE(IF(INT(($A362-1)/5)&gt;MAX((MIN(80,MAX(1,INT(((CROQUIS!$C$97)-CROQUIS!$C$107)/MAX(CROQUIS!$C$138,1))+1)))-1,0),0,MOD($A362-1,5))+1,0,IF(CROQUIS!$C$105=1,-12,2),CROQUIS!$C$107/2+CROQUIS!$C$141,IF(CROQUIS!$C$105=1,-12,2),0)))*CROQUIS!$C$155)+IF(CROQUIS!$C$92="X",0,0)),-1000)</f>
        <v>-1000</v>
      </c>
      <c r="BQ362">
        <f>IF(AND(CROQUIS!$C$88=1,CROQUIS!$C$91=0,CROQUIS!$C$138&gt;0,OR(CROQUIS!$C$105=1,CROQUIS!$C$143=1)),((CROQUIS!$C$157+(IF(CROQUIS!$C$92="X",CHOOSE(IF(INT(($A362-1)/5)&gt;MAX((MIN(80,MAX(1,INT(((CROQUIS!$C$97)-CROQUIS!$C$107)/MAX(CROQUIS!$C$138,1))+1)))-1,0),0,MOD($A362-1,5))+1,0,IF(CROQUIS!$C$105=1,-12,2),CROQUIS!$C$107/2+CROQUIS!$C$141,IF(CROQUIS!$C$105=1,-12,2),0),((CROQUIS!$C$107/2+(((CROQUIS!$C$97)-CROQUIS!$C$107)-(MIN(80,MAX(1,INT(((CROQUIS!$C$97)-CROQUIS!$C$107)/MAX(CROQUIS!$C$138,1))+1))-1)*CROQUIS!$C$138)/2)+MIN(INT(($A362-1)/5),MAX((MIN(80,MAX(1,INT(((CROQUIS!$C$97)-CROQUIS!$C$107)/MAX(CROQUIS!$C$138,1))+1)))-1,0))*CROQUIS!$C$138)))*CROQUIS!$C$155)+IF(CROQUIS!$C$92="X",0,0)),-1000)</f>
        <v>-1000</v>
      </c>
      <c r="BR36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362-1)/5),MAX((MIN(80,MAX(1,INT(((CROQUIS!$C$97)-CROQUIS!$C$107)/MAX(CROQUIS!$C$138,1))+1)))-1,0))*CROQUIS!$C$138),CHOOSE(IF(INT(($A362-1)/5)&gt;MAX((MIN(80,MAX(1,INT(((CROQUIS!$C$97)-CROQUIS!$C$107)/MAX(CROQUIS!$C$138,1))+1)))-1,0),0,MOD($A362-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62">
        <f>IF(AND(CROQUIS!$C$88=1,CROQUIS!$C$91=0,CROQUIS!$C$138&gt;0,OR(CROQUIS!$C$106=1,CROQUIS!$C$143=1)),((CROQUIS!$C$157+(IF(CROQUIS!$C$92="X",CHOOSE(IF(INT(($A362-1)/5)&gt;MAX((MIN(80,MAX(1,INT(((CROQUIS!$C$97)-CROQUIS!$C$107)/MAX(CROQUIS!$C$138,1))+1)))-1,0),0,MOD($A362-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362-1)/5),MAX((MIN(80,MAX(1,INT(((CROQUIS!$C$97)-CROQUIS!$C$107)/MAX(CROQUIS!$C$138,1))+1)))-1,0))*CROQUIS!$C$138)))*CROQUIS!$C$155)+IF(CROQUIS!$C$92="X",0,0)),-1000)</f>
        <v>-1000</v>
      </c>
      <c r="BT362">
        <f>IF(AND(CROQUIS!$C$88=1,CROQUIS!$C$91=1,CROQUIS!$C$130&gt;0),((CROQUIS!$C$156+(IF(CROQUIS!$C$92="X",CHOOSE(IF(INT(($A362-1)/5)&gt;MAX((MIN(80,MAX(1,INT(((CROQUIS!$C$98)-CROQUIS!$C$107)/MAX(CROQUIS!$C$130,1))+1)))-1,0),0,MOD($A362-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362-1)/5),MAX((MIN(80,MAX(1,INT(((CROQUIS!$C$98)-CROQUIS!$C$107)/MAX(CROQUIS!$C$130,1))+1)))-1,0))*CROQUIS!$C$130)))*CROQUIS!$C$155)+IF(CROQUIS!$C$92="X",0,0)),-1000)</f>
        <v>-1000</v>
      </c>
      <c r="BU362">
        <f>IF(AND(CROQUIS!$C$88=1,CROQUIS!$C$91=1,CROQUIS!$C$130&gt;0),((CROQUIS!$C$157+(IF(CROQUIS!$C$92="X",((CROQUIS!$C$107/2+(((CROQUIS!$C$98)-CROQUIS!$C$107)-(MIN(80,MAX(1,INT(((CROQUIS!$C$98)-CROQUIS!$C$107)/MAX(CROQUIS!$C$130,1))+1))-1)*CROQUIS!$C$130)/2)+MIN(INT(($A362-1)/5),MAX((MIN(80,MAX(1,INT(((CROQUIS!$C$98)-CROQUIS!$C$107)/MAX(CROQUIS!$C$130,1))+1)))-1,0))*CROQUIS!$C$130),CHOOSE(IF(INT(($A362-1)/5)&gt;MAX((MIN(80,MAX(1,INT(((CROQUIS!$C$98)-CROQUIS!$C$107)/MAX(CROQUIS!$C$130,1))+1)))-1,0),0,MOD($A362-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63">
      <c r="A363" t="n">
        <v>356</v>
      </c>
      <c r="BH363">
        <f>IF(AND(CROQUIS!$C$88=1,CROQUIS!$C$126&gt;0),((CROQUIS!$C$156+(IF(CROQUIS!$C$92="X",CHOOSE(IF(INT(($A363-1)/5)&gt;MAX((MIN(80,MAX(1,INT(((CROQUIS!$C$98)-CROQUIS!$C$107)/MAX(CROQUIS!$C$126,1))+1)))-1,0),0,MOD($A363-1,5))+1,0,2,CROQUIS!$C$97-2,2,0),((CROQUIS!$C$107/2+(((CROQUIS!$C$98)-CROQUIS!$C$107)-(MIN(80,MAX(1,INT(((CROQUIS!$C$98)-CROQUIS!$C$107)/MAX(CROQUIS!$C$126,1))+1))-1)*CROQUIS!$C$126)/2)+MIN(INT(($A363-1)/5),MAX((MIN(80,MAX(1,INT(((CROQUIS!$C$98)-CROQUIS!$C$107)/MAX(CROQUIS!$C$126,1))+1)))-1,0))*CROQUIS!$C$126)))*CROQUIS!$C$155)+IF(CROQUIS!$C$92="X",0,0)),-1000)</f>
        <v>-1000</v>
      </c>
      <c r="BI363">
        <f>IF(AND(CROQUIS!$C$88=1,CROQUIS!$C$126&gt;0),((CROQUIS!$C$157+(IF(CROQUIS!$C$92="X",((CROQUIS!$C$107/2+(((CROQUIS!$C$98)-CROQUIS!$C$107)-(MIN(80,MAX(1,INT(((CROQUIS!$C$98)-CROQUIS!$C$107)/MAX(CROQUIS!$C$126,1))+1))-1)*CROQUIS!$C$126)/2)+MIN(INT(($A363-1)/5),MAX((MIN(80,MAX(1,INT(((CROQUIS!$C$98)-CROQUIS!$C$107)/MAX(CROQUIS!$C$126,1))+1)))-1,0))*CROQUIS!$C$126),CHOOSE(IF(INT(($A363-1)/5)&gt;MAX((MIN(80,MAX(1,INT(((CROQUIS!$C$98)-CROQUIS!$C$107)/MAX(CROQUIS!$C$126,1))+1)))-1,0),0,MOD($A363-1,5))+1,0,2,CROQUIS!$C$97-2,2,0)))*CROQUIS!$C$155)+IF(CROQUIS!$C$92="X",0,0)),-1000)</f>
        <v>-1000</v>
      </c>
      <c r="BJ363">
        <f>IF(AND(CROQUIS!$C$88=1,CROQUIS!$C$134&gt;0),((CROQUIS!$C$156+(IF(CROQUIS!$C$92="X",((CROQUIS!$C$107/2+(((CROQUIS!$C$97)-CROQUIS!$C$107)-(MIN(80,MAX(1,INT(((CROQUIS!$C$97)-CROQUIS!$C$107)/MAX(CROQUIS!$C$134,1))+1))-1)*CROQUIS!$C$134)/2)+MIN(INT(($A363-1)/5),MAX((MIN(80,MAX(1,INT(((CROQUIS!$C$97)-CROQUIS!$C$107)/MAX(CROQUIS!$C$134,1))+1)))-1,0))*CROQUIS!$C$134),CHOOSE(IF(INT(($A363-1)/5)&gt;MAX((MIN(80,MAX(1,INT(((CROQUIS!$C$97)-CROQUIS!$C$107)/MAX(CROQUIS!$C$134,1))+1)))-1,0),0,MOD($A363-1,5))+1,0,2,CROQUIS!$C$98-2,2,0)))*CROQUIS!$C$155)+IF(CROQUIS!$C$92="X",0,0)),-1000)</f>
        <v>-1000</v>
      </c>
      <c r="BK363">
        <f>IF(AND(CROQUIS!$C$88=1,CROQUIS!$C$134&gt;0),((CROQUIS!$C$157+(IF(CROQUIS!$C$92="X",CHOOSE(IF(INT(($A363-1)/5)&gt;MAX((MIN(80,MAX(1,INT(((CROQUIS!$C$97)-CROQUIS!$C$107)/MAX(CROQUIS!$C$134,1))+1)))-1,0),0,MOD($A363-1,5))+1,0,2,CROQUIS!$C$98-2,2,0),((CROQUIS!$C$107/2+(((CROQUIS!$C$97)-CROQUIS!$C$107)-(MIN(80,MAX(1,INT(((CROQUIS!$C$97)-CROQUIS!$C$107)/MAX(CROQUIS!$C$134,1))+1))-1)*CROQUIS!$C$134)/2)+MIN(INT(($A363-1)/5),MAX((MIN(80,MAX(1,INT(((CROQUIS!$C$97)-CROQUIS!$C$107)/MAX(CROQUIS!$C$134,1))+1)))-1,0))*CROQUIS!$C$134)))*CROQUIS!$C$155)+IF(CROQUIS!$C$92="X",0,0)),-1000)</f>
        <v>-1000</v>
      </c>
      <c r="BL363">
        <f>IF(AND(CROQUIS!$C$88=1,CROQUIS!$C$91=0,CROQUIS!$C$130&gt;0,OR(CROQUIS!$C$103=1,CROQUIS!$C$142=1)),((CROQUIS!$C$156+(IF(CROQUIS!$C$92="X",CHOOSE(IF(INT(($A363-1)/5)&gt;MAX((MIN(80,MAX(1,INT(((CROQUIS!$C$98)-CROQUIS!$C$107)/MAX(CROQUIS!$C$130,1))+1)))-1,0),0,MOD($A363-1,5))+1,0,IF(CROQUIS!$C$103=1,-12,2),CROQUIS!$C$107/2+CROQUIS!$C$140,IF(CROQUIS!$C$103=1,-12,2),0),((CROQUIS!$C$107/2+(((CROQUIS!$C$98)-CROQUIS!$C$107)-(MIN(80,MAX(1,INT(((CROQUIS!$C$98)-CROQUIS!$C$107)/MAX(CROQUIS!$C$130,1))+1))-1)*CROQUIS!$C$130)/2)+MIN(INT(($A363-1)/5),MAX((MIN(80,MAX(1,INT(((CROQUIS!$C$98)-CROQUIS!$C$107)/MAX(CROQUIS!$C$130,1))+1)))-1,0))*CROQUIS!$C$130)))*CROQUIS!$C$155)+IF(CROQUIS!$C$92="X",0,0)),-1000)</f>
        <v>-1000</v>
      </c>
      <c r="BM36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363-1)/5),MAX((MIN(80,MAX(1,INT(((CROQUIS!$C$98)-CROQUIS!$C$107)/MAX(CROQUIS!$C$130,1))+1)))-1,0))*CROQUIS!$C$130),CHOOSE(IF(INT(($A363-1)/5)&gt;MAX((MIN(80,MAX(1,INT(((CROQUIS!$C$98)-CROQUIS!$C$107)/MAX(CROQUIS!$C$130,1))+1)))-1,0),0,MOD($A363-1,5))+1,0,IF(CROQUIS!$C$103=1,-12,2),CROQUIS!$C$107/2+CROQUIS!$C$140,IF(CROQUIS!$C$103=1,-12,2),0)))*CROQUIS!$C$155)+IF(CROQUIS!$C$92="X",0,0)),-1000)</f>
        <v>-1000</v>
      </c>
      <c r="BN363">
        <f>IF(AND(CROQUIS!$C$88=1,CROQUIS!$C$91=0,CROQUIS!$C$130&gt;0,OR(CROQUIS!$C$104=1,CROQUIS!$C$142=1)),((CROQUIS!$C$156+(IF(CROQUIS!$C$92="X",CHOOSE(IF(INT(($A363-1)/5)&gt;MAX((MIN(80,MAX(1,INT(((CROQUIS!$C$98)-CROQUIS!$C$107)/MAX(CROQUIS!$C$130,1))+1)))-1,0),0,MOD($A363-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363-1)/5),MAX((MIN(80,MAX(1,INT(((CROQUIS!$C$98)-CROQUIS!$C$107)/MAX(CROQUIS!$C$130,1))+1)))-1,0))*CROQUIS!$C$130)))*CROQUIS!$C$155)+IF(CROQUIS!$C$92="X",0,0)),-1000)</f>
        <v>-1000</v>
      </c>
      <c r="BO36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363-1)/5),MAX((MIN(80,MAX(1,INT(((CROQUIS!$C$98)-CROQUIS!$C$107)/MAX(CROQUIS!$C$130,1))+1)))-1,0))*CROQUIS!$C$130),CHOOSE(IF(INT(($A363-1)/5)&gt;MAX((MIN(80,MAX(1,INT(((CROQUIS!$C$98)-CROQUIS!$C$107)/MAX(CROQUIS!$C$130,1))+1)))-1,0),0,MOD($A363-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6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363-1)/5),MAX((MIN(80,MAX(1,INT(((CROQUIS!$C$97)-CROQUIS!$C$107)/MAX(CROQUIS!$C$138,1))+1)))-1,0))*CROQUIS!$C$138),CHOOSE(IF(INT(($A363-1)/5)&gt;MAX((MIN(80,MAX(1,INT(((CROQUIS!$C$97)-CROQUIS!$C$107)/MAX(CROQUIS!$C$138,1))+1)))-1,0),0,MOD($A363-1,5))+1,0,IF(CROQUIS!$C$105=1,-12,2),CROQUIS!$C$107/2+CROQUIS!$C$141,IF(CROQUIS!$C$105=1,-12,2),0)))*CROQUIS!$C$155)+IF(CROQUIS!$C$92="X",0,0)),-1000)</f>
        <v>-1000</v>
      </c>
      <c r="BQ363">
        <f>IF(AND(CROQUIS!$C$88=1,CROQUIS!$C$91=0,CROQUIS!$C$138&gt;0,OR(CROQUIS!$C$105=1,CROQUIS!$C$143=1)),((CROQUIS!$C$157+(IF(CROQUIS!$C$92="X",CHOOSE(IF(INT(($A363-1)/5)&gt;MAX((MIN(80,MAX(1,INT(((CROQUIS!$C$97)-CROQUIS!$C$107)/MAX(CROQUIS!$C$138,1))+1)))-1,0),0,MOD($A363-1,5))+1,0,IF(CROQUIS!$C$105=1,-12,2),CROQUIS!$C$107/2+CROQUIS!$C$141,IF(CROQUIS!$C$105=1,-12,2),0),((CROQUIS!$C$107/2+(((CROQUIS!$C$97)-CROQUIS!$C$107)-(MIN(80,MAX(1,INT(((CROQUIS!$C$97)-CROQUIS!$C$107)/MAX(CROQUIS!$C$138,1))+1))-1)*CROQUIS!$C$138)/2)+MIN(INT(($A363-1)/5),MAX((MIN(80,MAX(1,INT(((CROQUIS!$C$97)-CROQUIS!$C$107)/MAX(CROQUIS!$C$138,1))+1)))-1,0))*CROQUIS!$C$138)))*CROQUIS!$C$155)+IF(CROQUIS!$C$92="X",0,0)),-1000)</f>
        <v>-1000</v>
      </c>
      <c r="BR36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363-1)/5),MAX((MIN(80,MAX(1,INT(((CROQUIS!$C$97)-CROQUIS!$C$107)/MAX(CROQUIS!$C$138,1))+1)))-1,0))*CROQUIS!$C$138),CHOOSE(IF(INT(($A363-1)/5)&gt;MAX((MIN(80,MAX(1,INT(((CROQUIS!$C$97)-CROQUIS!$C$107)/MAX(CROQUIS!$C$138,1))+1)))-1,0),0,MOD($A363-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63">
        <f>IF(AND(CROQUIS!$C$88=1,CROQUIS!$C$91=0,CROQUIS!$C$138&gt;0,OR(CROQUIS!$C$106=1,CROQUIS!$C$143=1)),((CROQUIS!$C$157+(IF(CROQUIS!$C$92="X",CHOOSE(IF(INT(($A363-1)/5)&gt;MAX((MIN(80,MAX(1,INT(((CROQUIS!$C$97)-CROQUIS!$C$107)/MAX(CROQUIS!$C$138,1))+1)))-1,0),0,MOD($A363-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363-1)/5),MAX((MIN(80,MAX(1,INT(((CROQUIS!$C$97)-CROQUIS!$C$107)/MAX(CROQUIS!$C$138,1))+1)))-1,0))*CROQUIS!$C$138)))*CROQUIS!$C$155)+IF(CROQUIS!$C$92="X",0,0)),-1000)</f>
        <v>-1000</v>
      </c>
      <c r="BT363">
        <f>IF(AND(CROQUIS!$C$88=1,CROQUIS!$C$91=1,CROQUIS!$C$130&gt;0),((CROQUIS!$C$156+(IF(CROQUIS!$C$92="X",CHOOSE(IF(INT(($A363-1)/5)&gt;MAX((MIN(80,MAX(1,INT(((CROQUIS!$C$98)-CROQUIS!$C$107)/MAX(CROQUIS!$C$130,1))+1)))-1,0),0,MOD($A363-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363-1)/5),MAX((MIN(80,MAX(1,INT(((CROQUIS!$C$98)-CROQUIS!$C$107)/MAX(CROQUIS!$C$130,1))+1)))-1,0))*CROQUIS!$C$130)))*CROQUIS!$C$155)+IF(CROQUIS!$C$92="X",0,0)),-1000)</f>
        <v>-1000</v>
      </c>
      <c r="BU363">
        <f>IF(AND(CROQUIS!$C$88=1,CROQUIS!$C$91=1,CROQUIS!$C$130&gt;0),((CROQUIS!$C$157+(IF(CROQUIS!$C$92="X",((CROQUIS!$C$107/2+(((CROQUIS!$C$98)-CROQUIS!$C$107)-(MIN(80,MAX(1,INT(((CROQUIS!$C$98)-CROQUIS!$C$107)/MAX(CROQUIS!$C$130,1))+1))-1)*CROQUIS!$C$130)/2)+MIN(INT(($A363-1)/5),MAX((MIN(80,MAX(1,INT(((CROQUIS!$C$98)-CROQUIS!$C$107)/MAX(CROQUIS!$C$130,1))+1)))-1,0))*CROQUIS!$C$130),CHOOSE(IF(INT(($A363-1)/5)&gt;MAX((MIN(80,MAX(1,INT(((CROQUIS!$C$98)-CROQUIS!$C$107)/MAX(CROQUIS!$C$130,1))+1)))-1,0),0,MOD($A363-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64">
      <c r="A364" t="n">
        <v>357</v>
      </c>
      <c r="BH364">
        <f>IF(AND(CROQUIS!$C$88=1,CROQUIS!$C$126&gt;0),((CROQUIS!$C$156+(IF(CROQUIS!$C$92="X",CHOOSE(IF(INT(($A364-1)/5)&gt;MAX((MIN(80,MAX(1,INT(((CROQUIS!$C$98)-CROQUIS!$C$107)/MAX(CROQUIS!$C$126,1))+1)))-1,0),0,MOD($A364-1,5))+1,0,2,CROQUIS!$C$97-2,2,0),((CROQUIS!$C$107/2+(((CROQUIS!$C$98)-CROQUIS!$C$107)-(MIN(80,MAX(1,INT(((CROQUIS!$C$98)-CROQUIS!$C$107)/MAX(CROQUIS!$C$126,1))+1))-1)*CROQUIS!$C$126)/2)+MIN(INT(($A364-1)/5),MAX((MIN(80,MAX(1,INT(((CROQUIS!$C$98)-CROQUIS!$C$107)/MAX(CROQUIS!$C$126,1))+1)))-1,0))*CROQUIS!$C$126)))*CROQUIS!$C$155)+IF(CROQUIS!$C$92="X",0,0)),-1000)</f>
        <v>-1000</v>
      </c>
      <c r="BI364">
        <f>IF(AND(CROQUIS!$C$88=1,CROQUIS!$C$126&gt;0),((CROQUIS!$C$157+(IF(CROQUIS!$C$92="X",((CROQUIS!$C$107/2+(((CROQUIS!$C$98)-CROQUIS!$C$107)-(MIN(80,MAX(1,INT(((CROQUIS!$C$98)-CROQUIS!$C$107)/MAX(CROQUIS!$C$126,1))+1))-1)*CROQUIS!$C$126)/2)+MIN(INT(($A364-1)/5),MAX((MIN(80,MAX(1,INT(((CROQUIS!$C$98)-CROQUIS!$C$107)/MAX(CROQUIS!$C$126,1))+1)))-1,0))*CROQUIS!$C$126),CHOOSE(IF(INT(($A364-1)/5)&gt;MAX((MIN(80,MAX(1,INT(((CROQUIS!$C$98)-CROQUIS!$C$107)/MAX(CROQUIS!$C$126,1))+1)))-1,0),0,MOD($A364-1,5))+1,0,2,CROQUIS!$C$97-2,2,0)))*CROQUIS!$C$155)+IF(CROQUIS!$C$92="X",0,0)),-1000)</f>
        <v>-1000</v>
      </c>
      <c r="BJ364">
        <f>IF(AND(CROQUIS!$C$88=1,CROQUIS!$C$134&gt;0),((CROQUIS!$C$156+(IF(CROQUIS!$C$92="X",((CROQUIS!$C$107/2+(((CROQUIS!$C$97)-CROQUIS!$C$107)-(MIN(80,MAX(1,INT(((CROQUIS!$C$97)-CROQUIS!$C$107)/MAX(CROQUIS!$C$134,1))+1))-1)*CROQUIS!$C$134)/2)+MIN(INT(($A364-1)/5),MAX((MIN(80,MAX(1,INT(((CROQUIS!$C$97)-CROQUIS!$C$107)/MAX(CROQUIS!$C$134,1))+1)))-1,0))*CROQUIS!$C$134),CHOOSE(IF(INT(($A364-1)/5)&gt;MAX((MIN(80,MAX(1,INT(((CROQUIS!$C$97)-CROQUIS!$C$107)/MAX(CROQUIS!$C$134,1))+1)))-1,0),0,MOD($A364-1,5))+1,0,2,CROQUIS!$C$98-2,2,0)))*CROQUIS!$C$155)+IF(CROQUIS!$C$92="X",0,0)),-1000)</f>
        <v>-1000</v>
      </c>
      <c r="BK364">
        <f>IF(AND(CROQUIS!$C$88=1,CROQUIS!$C$134&gt;0),((CROQUIS!$C$157+(IF(CROQUIS!$C$92="X",CHOOSE(IF(INT(($A364-1)/5)&gt;MAX((MIN(80,MAX(1,INT(((CROQUIS!$C$97)-CROQUIS!$C$107)/MAX(CROQUIS!$C$134,1))+1)))-1,0),0,MOD($A364-1,5))+1,0,2,CROQUIS!$C$98-2,2,0),((CROQUIS!$C$107/2+(((CROQUIS!$C$97)-CROQUIS!$C$107)-(MIN(80,MAX(1,INT(((CROQUIS!$C$97)-CROQUIS!$C$107)/MAX(CROQUIS!$C$134,1))+1))-1)*CROQUIS!$C$134)/2)+MIN(INT(($A364-1)/5),MAX((MIN(80,MAX(1,INT(((CROQUIS!$C$97)-CROQUIS!$C$107)/MAX(CROQUIS!$C$134,1))+1)))-1,0))*CROQUIS!$C$134)))*CROQUIS!$C$155)+IF(CROQUIS!$C$92="X",0,0)),-1000)</f>
        <v>-1000</v>
      </c>
      <c r="BL364">
        <f>IF(AND(CROQUIS!$C$88=1,CROQUIS!$C$91=0,CROQUIS!$C$130&gt;0,OR(CROQUIS!$C$103=1,CROQUIS!$C$142=1)),((CROQUIS!$C$156+(IF(CROQUIS!$C$92="X",CHOOSE(IF(INT(($A364-1)/5)&gt;MAX((MIN(80,MAX(1,INT(((CROQUIS!$C$98)-CROQUIS!$C$107)/MAX(CROQUIS!$C$130,1))+1)))-1,0),0,MOD($A364-1,5))+1,0,IF(CROQUIS!$C$103=1,-12,2),CROQUIS!$C$107/2+CROQUIS!$C$140,IF(CROQUIS!$C$103=1,-12,2),0),((CROQUIS!$C$107/2+(((CROQUIS!$C$98)-CROQUIS!$C$107)-(MIN(80,MAX(1,INT(((CROQUIS!$C$98)-CROQUIS!$C$107)/MAX(CROQUIS!$C$130,1))+1))-1)*CROQUIS!$C$130)/2)+MIN(INT(($A364-1)/5),MAX((MIN(80,MAX(1,INT(((CROQUIS!$C$98)-CROQUIS!$C$107)/MAX(CROQUIS!$C$130,1))+1)))-1,0))*CROQUIS!$C$130)))*CROQUIS!$C$155)+IF(CROQUIS!$C$92="X",0,0)),-1000)</f>
        <v>-1000</v>
      </c>
      <c r="BM36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364-1)/5),MAX((MIN(80,MAX(1,INT(((CROQUIS!$C$98)-CROQUIS!$C$107)/MAX(CROQUIS!$C$130,1))+1)))-1,0))*CROQUIS!$C$130),CHOOSE(IF(INT(($A364-1)/5)&gt;MAX((MIN(80,MAX(1,INT(((CROQUIS!$C$98)-CROQUIS!$C$107)/MAX(CROQUIS!$C$130,1))+1)))-1,0),0,MOD($A364-1,5))+1,0,IF(CROQUIS!$C$103=1,-12,2),CROQUIS!$C$107/2+CROQUIS!$C$140,IF(CROQUIS!$C$103=1,-12,2),0)))*CROQUIS!$C$155)+IF(CROQUIS!$C$92="X",0,0)),-1000)</f>
        <v>-1000</v>
      </c>
      <c r="BN364">
        <f>IF(AND(CROQUIS!$C$88=1,CROQUIS!$C$91=0,CROQUIS!$C$130&gt;0,OR(CROQUIS!$C$104=1,CROQUIS!$C$142=1)),((CROQUIS!$C$156+(IF(CROQUIS!$C$92="X",CHOOSE(IF(INT(($A364-1)/5)&gt;MAX((MIN(80,MAX(1,INT(((CROQUIS!$C$98)-CROQUIS!$C$107)/MAX(CROQUIS!$C$130,1))+1)))-1,0),0,MOD($A364-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364-1)/5),MAX((MIN(80,MAX(1,INT(((CROQUIS!$C$98)-CROQUIS!$C$107)/MAX(CROQUIS!$C$130,1))+1)))-1,0))*CROQUIS!$C$130)))*CROQUIS!$C$155)+IF(CROQUIS!$C$92="X",0,0)),-1000)</f>
        <v>-1000</v>
      </c>
      <c r="BO36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364-1)/5),MAX((MIN(80,MAX(1,INT(((CROQUIS!$C$98)-CROQUIS!$C$107)/MAX(CROQUIS!$C$130,1))+1)))-1,0))*CROQUIS!$C$130),CHOOSE(IF(INT(($A364-1)/5)&gt;MAX((MIN(80,MAX(1,INT(((CROQUIS!$C$98)-CROQUIS!$C$107)/MAX(CROQUIS!$C$130,1))+1)))-1,0),0,MOD($A364-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6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364-1)/5),MAX((MIN(80,MAX(1,INT(((CROQUIS!$C$97)-CROQUIS!$C$107)/MAX(CROQUIS!$C$138,1))+1)))-1,0))*CROQUIS!$C$138),CHOOSE(IF(INT(($A364-1)/5)&gt;MAX((MIN(80,MAX(1,INT(((CROQUIS!$C$97)-CROQUIS!$C$107)/MAX(CROQUIS!$C$138,1))+1)))-1,0),0,MOD($A364-1,5))+1,0,IF(CROQUIS!$C$105=1,-12,2),CROQUIS!$C$107/2+CROQUIS!$C$141,IF(CROQUIS!$C$105=1,-12,2),0)))*CROQUIS!$C$155)+IF(CROQUIS!$C$92="X",0,0)),-1000)</f>
        <v>-1000</v>
      </c>
      <c r="BQ364">
        <f>IF(AND(CROQUIS!$C$88=1,CROQUIS!$C$91=0,CROQUIS!$C$138&gt;0,OR(CROQUIS!$C$105=1,CROQUIS!$C$143=1)),((CROQUIS!$C$157+(IF(CROQUIS!$C$92="X",CHOOSE(IF(INT(($A364-1)/5)&gt;MAX((MIN(80,MAX(1,INT(((CROQUIS!$C$97)-CROQUIS!$C$107)/MAX(CROQUIS!$C$138,1))+1)))-1,0),0,MOD($A364-1,5))+1,0,IF(CROQUIS!$C$105=1,-12,2),CROQUIS!$C$107/2+CROQUIS!$C$141,IF(CROQUIS!$C$105=1,-12,2),0),((CROQUIS!$C$107/2+(((CROQUIS!$C$97)-CROQUIS!$C$107)-(MIN(80,MAX(1,INT(((CROQUIS!$C$97)-CROQUIS!$C$107)/MAX(CROQUIS!$C$138,1))+1))-1)*CROQUIS!$C$138)/2)+MIN(INT(($A364-1)/5),MAX((MIN(80,MAX(1,INT(((CROQUIS!$C$97)-CROQUIS!$C$107)/MAX(CROQUIS!$C$138,1))+1)))-1,0))*CROQUIS!$C$138)))*CROQUIS!$C$155)+IF(CROQUIS!$C$92="X",0,0)),-1000)</f>
        <v>-1000</v>
      </c>
      <c r="BR36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364-1)/5),MAX((MIN(80,MAX(1,INT(((CROQUIS!$C$97)-CROQUIS!$C$107)/MAX(CROQUIS!$C$138,1))+1)))-1,0))*CROQUIS!$C$138),CHOOSE(IF(INT(($A364-1)/5)&gt;MAX((MIN(80,MAX(1,INT(((CROQUIS!$C$97)-CROQUIS!$C$107)/MAX(CROQUIS!$C$138,1))+1)))-1,0),0,MOD($A364-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64">
        <f>IF(AND(CROQUIS!$C$88=1,CROQUIS!$C$91=0,CROQUIS!$C$138&gt;0,OR(CROQUIS!$C$106=1,CROQUIS!$C$143=1)),((CROQUIS!$C$157+(IF(CROQUIS!$C$92="X",CHOOSE(IF(INT(($A364-1)/5)&gt;MAX((MIN(80,MAX(1,INT(((CROQUIS!$C$97)-CROQUIS!$C$107)/MAX(CROQUIS!$C$138,1))+1)))-1,0),0,MOD($A364-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364-1)/5),MAX((MIN(80,MAX(1,INT(((CROQUIS!$C$97)-CROQUIS!$C$107)/MAX(CROQUIS!$C$138,1))+1)))-1,0))*CROQUIS!$C$138)))*CROQUIS!$C$155)+IF(CROQUIS!$C$92="X",0,0)),-1000)</f>
        <v>-1000</v>
      </c>
      <c r="BT364">
        <f>IF(AND(CROQUIS!$C$88=1,CROQUIS!$C$91=1,CROQUIS!$C$130&gt;0),((CROQUIS!$C$156+(IF(CROQUIS!$C$92="X",CHOOSE(IF(INT(($A364-1)/5)&gt;MAX((MIN(80,MAX(1,INT(((CROQUIS!$C$98)-CROQUIS!$C$107)/MAX(CROQUIS!$C$130,1))+1)))-1,0),0,MOD($A364-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364-1)/5),MAX((MIN(80,MAX(1,INT(((CROQUIS!$C$98)-CROQUIS!$C$107)/MAX(CROQUIS!$C$130,1))+1)))-1,0))*CROQUIS!$C$130)))*CROQUIS!$C$155)+IF(CROQUIS!$C$92="X",0,0)),-1000)</f>
        <v>-1000</v>
      </c>
      <c r="BU364">
        <f>IF(AND(CROQUIS!$C$88=1,CROQUIS!$C$91=1,CROQUIS!$C$130&gt;0),((CROQUIS!$C$157+(IF(CROQUIS!$C$92="X",((CROQUIS!$C$107/2+(((CROQUIS!$C$98)-CROQUIS!$C$107)-(MIN(80,MAX(1,INT(((CROQUIS!$C$98)-CROQUIS!$C$107)/MAX(CROQUIS!$C$130,1))+1))-1)*CROQUIS!$C$130)/2)+MIN(INT(($A364-1)/5),MAX((MIN(80,MAX(1,INT(((CROQUIS!$C$98)-CROQUIS!$C$107)/MAX(CROQUIS!$C$130,1))+1)))-1,0))*CROQUIS!$C$130),CHOOSE(IF(INT(($A364-1)/5)&gt;MAX((MIN(80,MAX(1,INT(((CROQUIS!$C$98)-CROQUIS!$C$107)/MAX(CROQUIS!$C$130,1))+1)))-1,0),0,MOD($A364-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65">
      <c r="A365" t="n">
        <v>358</v>
      </c>
      <c r="BH365">
        <f>IF(AND(CROQUIS!$C$88=1,CROQUIS!$C$126&gt;0),((CROQUIS!$C$156+(IF(CROQUIS!$C$92="X",CHOOSE(IF(INT(($A365-1)/5)&gt;MAX((MIN(80,MAX(1,INT(((CROQUIS!$C$98)-CROQUIS!$C$107)/MAX(CROQUIS!$C$126,1))+1)))-1,0),0,MOD($A365-1,5))+1,0,2,CROQUIS!$C$97-2,2,0),((CROQUIS!$C$107/2+(((CROQUIS!$C$98)-CROQUIS!$C$107)-(MIN(80,MAX(1,INT(((CROQUIS!$C$98)-CROQUIS!$C$107)/MAX(CROQUIS!$C$126,1))+1))-1)*CROQUIS!$C$126)/2)+MIN(INT(($A365-1)/5),MAX((MIN(80,MAX(1,INT(((CROQUIS!$C$98)-CROQUIS!$C$107)/MAX(CROQUIS!$C$126,1))+1)))-1,0))*CROQUIS!$C$126)))*CROQUIS!$C$155)+IF(CROQUIS!$C$92="X",0,0)),-1000)</f>
        <v>-1000</v>
      </c>
      <c r="BI365">
        <f>IF(AND(CROQUIS!$C$88=1,CROQUIS!$C$126&gt;0),((CROQUIS!$C$157+(IF(CROQUIS!$C$92="X",((CROQUIS!$C$107/2+(((CROQUIS!$C$98)-CROQUIS!$C$107)-(MIN(80,MAX(1,INT(((CROQUIS!$C$98)-CROQUIS!$C$107)/MAX(CROQUIS!$C$126,1))+1))-1)*CROQUIS!$C$126)/2)+MIN(INT(($A365-1)/5),MAX((MIN(80,MAX(1,INT(((CROQUIS!$C$98)-CROQUIS!$C$107)/MAX(CROQUIS!$C$126,1))+1)))-1,0))*CROQUIS!$C$126),CHOOSE(IF(INT(($A365-1)/5)&gt;MAX((MIN(80,MAX(1,INT(((CROQUIS!$C$98)-CROQUIS!$C$107)/MAX(CROQUIS!$C$126,1))+1)))-1,0),0,MOD($A365-1,5))+1,0,2,CROQUIS!$C$97-2,2,0)))*CROQUIS!$C$155)+IF(CROQUIS!$C$92="X",0,0)),-1000)</f>
        <v>-1000</v>
      </c>
      <c r="BJ365">
        <f>IF(AND(CROQUIS!$C$88=1,CROQUIS!$C$134&gt;0),((CROQUIS!$C$156+(IF(CROQUIS!$C$92="X",((CROQUIS!$C$107/2+(((CROQUIS!$C$97)-CROQUIS!$C$107)-(MIN(80,MAX(1,INT(((CROQUIS!$C$97)-CROQUIS!$C$107)/MAX(CROQUIS!$C$134,1))+1))-1)*CROQUIS!$C$134)/2)+MIN(INT(($A365-1)/5),MAX((MIN(80,MAX(1,INT(((CROQUIS!$C$97)-CROQUIS!$C$107)/MAX(CROQUIS!$C$134,1))+1)))-1,0))*CROQUIS!$C$134),CHOOSE(IF(INT(($A365-1)/5)&gt;MAX((MIN(80,MAX(1,INT(((CROQUIS!$C$97)-CROQUIS!$C$107)/MAX(CROQUIS!$C$134,1))+1)))-1,0),0,MOD($A365-1,5))+1,0,2,CROQUIS!$C$98-2,2,0)))*CROQUIS!$C$155)+IF(CROQUIS!$C$92="X",0,0)),-1000)</f>
        <v>-1000</v>
      </c>
      <c r="BK365">
        <f>IF(AND(CROQUIS!$C$88=1,CROQUIS!$C$134&gt;0),((CROQUIS!$C$157+(IF(CROQUIS!$C$92="X",CHOOSE(IF(INT(($A365-1)/5)&gt;MAX((MIN(80,MAX(1,INT(((CROQUIS!$C$97)-CROQUIS!$C$107)/MAX(CROQUIS!$C$134,1))+1)))-1,0),0,MOD($A365-1,5))+1,0,2,CROQUIS!$C$98-2,2,0),((CROQUIS!$C$107/2+(((CROQUIS!$C$97)-CROQUIS!$C$107)-(MIN(80,MAX(1,INT(((CROQUIS!$C$97)-CROQUIS!$C$107)/MAX(CROQUIS!$C$134,1))+1))-1)*CROQUIS!$C$134)/2)+MIN(INT(($A365-1)/5),MAX((MIN(80,MAX(1,INT(((CROQUIS!$C$97)-CROQUIS!$C$107)/MAX(CROQUIS!$C$134,1))+1)))-1,0))*CROQUIS!$C$134)))*CROQUIS!$C$155)+IF(CROQUIS!$C$92="X",0,0)),-1000)</f>
        <v>-1000</v>
      </c>
      <c r="BL365">
        <f>IF(AND(CROQUIS!$C$88=1,CROQUIS!$C$91=0,CROQUIS!$C$130&gt;0,OR(CROQUIS!$C$103=1,CROQUIS!$C$142=1)),((CROQUIS!$C$156+(IF(CROQUIS!$C$92="X",CHOOSE(IF(INT(($A365-1)/5)&gt;MAX((MIN(80,MAX(1,INT(((CROQUIS!$C$98)-CROQUIS!$C$107)/MAX(CROQUIS!$C$130,1))+1)))-1,0),0,MOD($A365-1,5))+1,0,IF(CROQUIS!$C$103=1,-12,2),CROQUIS!$C$107/2+CROQUIS!$C$140,IF(CROQUIS!$C$103=1,-12,2),0),((CROQUIS!$C$107/2+(((CROQUIS!$C$98)-CROQUIS!$C$107)-(MIN(80,MAX(1,INT(((CROQUIS!$C$98)-CROQUIS!$C$107)/MAX(CROQUIS!$C$130,1))+1))-1)*CROQUIS!$C$130)/2)+MIN(INT(($A365-1)/5),MAX((MIN(80,MAX(1,INT(((CROQUIS!$C$98)-CROQUIS!$C$107)/MAX(CROQUIS!$C$130,1))+1)))-1,0))*CROQUIS!$C$130)))*CROQUIS!$C$155)+IF(CROQUIS!$C$92="X",0,0)),-1000)</f>
        <v>-1000</v>
      </c>
      <c r="BM36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365-1)/5),MAX((MIN(80,MAX(1,INT(((CROQUIS!$C$98)-CROQUIS!$C$107)/MAX(CROQUIS!$C$130,1))+1)))-1,0))*CROQUIS!$C$130),CHOOSE(IF(INT(($A365-1)/5)&gt;MAX((MIN(80,MAX(1,INT(((CROQUIS!$C$98)-CROQUIS!$C$107)/MAX(CROQUIS!$C$130,1))+1)))-1,0),0,MOD($A365-1,5))+1,0,IF(CROQUIS!$C$103=1,-12,2),CROQUIS!$C$107/2+CROQUIS!$C$140,IF(CROQUIS!$C$103=1,-12,2),0)))*CROQUIS!$C$155)+IF(CROQUIS!$C$92="X",0,0)),-1000)</f>
        <v>-1000</v>
      </c>
      <c r="BN365">
        <f>IF(AND(CROQUIS!$C$88=1,CROQUIS!$C$91=0,CROQUIS!$C$130&gt;0,OR(CROQUIS!$C$104=1,CROQUIS!$C$142=1)),((CROQUIS!$C$156+(IF(CROQUIS!$C$92="X",CHOOSE(IF(INT(($A365-1)/5)&gt;MAX((MIN(80,MAX(1,INT(((CROQUIS!$C$98)-CROQUIS!$C$107)/MAX(CROQUIS!$C$130,1))+1)))-1,0),0,MOD($A365-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365-1)/5),MAX((MIN(80,MAX(1,INT(((CROQUIS!$C$98)-CROQUIS!$C$107)/MAX(CROQUIS!$C$130,1))+1)))-1,0))*CROQUIS!$C$130)))*CROQUIS!$C$155)+IF(CROQUIS!$C$92="X",0,0)),-1000)</f>
        <v>-1000</v>
      </c>
      <c r="BO36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365-1)/5),MAX((MIN(80,MAX(1,INT(((CROQUIS!$C$98)-CROQUIS!$C$107)/MAX(CROQUIS!$C$130,1))+1)))-1,0))*CROQUIS!$C$130),CHOOSE(IF(INT(($A365-1)/5)&gt;MAX((MIN(80,MAX(1,INT(((CROQUIS!$C$98)-CROQUIS!$C$107)/MAX(CROQUIS!$C$130,1))+1)))-1,0),0,MOD($A365-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6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365-1)/5),MAX((MIN(80,MAX(1,INT(((CROQUIS!$C$97)-CROQUIS!$C$107)/MAX(CROQUIS!$C$138,1))+1)))-1,0))*CROQUIS!$C$138),CHOOSE(IF(INT(($A365-1)/5)&gt;MAX((MIN(80,MAX(1,INT(((CROQUIS!$C$97)-CROQUIS!$C$107)/MAX(CROQUIS!$C$138,1))+1)))-1,0),0,MOD($A365-1,5))+1,0,IF(CROQUIS!$C$105=1,-12,2),CROQUIS!$C$107/2+CROQUIS!$C$141,IF(CROQUIS!$C$105=1,-12,2),0)))*CROQUIS!$C$155)+IF(CROQUIS!$C$92="X",0,0)),-1000)</f>
        <v>-1000</v>
      </c>
      <c r="BQ365">
        <f>IF(AND(CROQUIS!$C$88=1,CROQUIS!$C$91=0,CROQUIS!$C$138&gt;0,OR(CROQUIS!$C$105=1,CROQUIS!$C$143=1)),((CROQUIS!$C$157+(IF(CROQUIS!$C$92="X",CHOOSE(IF(INT(($A365-1)/5)&gt;MAX((MIN(80,MAX(1,INT(((CROQUIS!$C$97)-CROQUIS!$C$107)/MAX(CROQUIS!$C$138,1))+1)))-1,0),0,MOD($A365-1,5))+1,0,IF(CROQUIS!$C$105=1,-12,2),CROQUIS!$C$107/2+CROQUIS!$C$141,IF(CROQUIS!$C$105=1,-12,2),0),((CROQUIS!$C$107/2+(((CROQUIS!$C$97)-CROQUIS!$C$107)-(MIN(80,MAX(1,INT(((CROQUIS!$C$97)-CROQUIS!$C$107)/MAX(CROQUIS!$C$138,1))+1))-1)*CROQUIS!$C$138)/2)+MIN(INT(($A365-1)/5),MAX((MIN(80,MAX(1,INT(((CROQUIS!$C$97)-CROQUIS!$C$107)/MAX(CROQUIS!$C$138,1))+1)))-1,0))*CROQUIS!$C$138)))*CROQUIS!$C$155)+IF(CROQUIS!$C$92="X",0,0)),-1000)</f>
        <v>-1000</v>
      </c>
      <c r="BR36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365-1)/5),MAX((MIN(80,MAX(1,INT(((CROQUIS!$C$97)-CROQUIS!$C$107)/MAX(CROQUIS!$C$138,1))+1)))-1,0))*CROQUIS!$C$138),CHOOSE(IF(INT(($A365-1)/5)&gt;MAX((MIN(80,MAX(1,INT(((CROQUIS!$C$97)-CROQUIS!$C$107)/MAX(CROQUIS!$C$138,1))+1)))-1,0),0,MOD($A365-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65">
        <f>IF(AND(CROQUIS!$C$88=1,CROQUIS!$C$91=0,CROQUIS!$C$138&gt;0,OR(CROQUIS!$C$106=1,CROQUIS!$C$143=1)),((CROQUIS!$C$157+(IF(CROQUIS!$C$92="X",CHOOSE(IF(INT(($A365-1)/5)&gt;MAX((MIN(80,MAX(1,INT(((CROQUIS!$C$97)-CROQUIS!$C$107)/MAX(CROQUIS!$C$138,1))+1)))-1,0),0,MOD($A365-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365-1)/5),MAX((MIN(80,MAX(1,INT(((CROQUIS!$C$97)-CROQUIS!$C$107)/MAX(CROQUIS!$C$138,1))+1)))-1,0))*CROQUIS!$C$138)))*CROQUIS!$C$155)+IF(CROQUIS!$C$92="X",0,0)),-1000)</f>
        <v>-1000</v>
      </c>
      <c r="BT365">
        <f>IF(AND(CROQUIS!$C$88=1,CROQUIS!$C$91=1,CROQUIS!$C$130&gt;0),((CROQUIS!$C$156+(IF(CROQUIS!$C$92="X",CHOOSE(IF(INT(($A365-1)/5)&gt;MAX((MIN(80,MAX(1,INT(((CROQUIS!$C$98)-CROQUIS!$C$107)/MAX(CROQUIS!$C$130,1))+1)))-1,0),0,MOD($A365-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365-1)/5),MAX((MIN(80,MAX(1,INT(((CROQUIS!$C$98)-CROQUIS!$C$107)/MAX(CROQUIS!$C$130,1))+1)))-1,0))*CROQUIS!$C$130)))*CROQUIS!$C$155)+IF(CROQUIS!$C$92="X",0,0)),-1000)</f>
        <v>-1000</v>
      </c>
      <c r="BU365">
        <f>IF(AND(CROQUIS!$C$88=1,CROQUIS!$C$91=1,CROQUIS!$C$130&gt;0),((CROQUIS!$C$157+(IF(CROQUIS!$C$92="X",((CROQUIS!$C$107/2+(((CROQUIS!$C$98)-CROQUIS!$C$107)-(MIN(80,MAX(1,INT(((CROQUIS!$C$98)-CROQUIS!$C$107)/MAX(CROQUIS!$C$130,1))+1))-1)*CROQUIS!$C$130)/2)+MIN(INT(($A365-1)/5),MAX((MIN(80,MAX(1,INT(((CROQUIS!$C$98)-CROQUIS!$C$107)/MAX(CROQUIS!$C$130,1))+1)))-1,0))*CROQUIS!$C$130),CHOOSE(IF(INT(($A365-1)/5)&gt;MAX((MIN(80,MAX(1,INT(((CROQUIS!$C$98)-CROQUIS!$C$107)/MAX(CROQUIS!$C$130,1))+1)))-1,0),0,MOD($A365-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66">
      <c r="A366" t="n">
        <v>359</v>
      </c>
      <c r="BH366">
        <f>IF(AND(CROQUIS!$C$88=1,CROQUIS!$C$126&gt;0),((CROQUIS!$C$156+(IF(CROQUIS!$C$92="X",CHOOSE(IF(INT(($A366-1)/5)&gt;MAX((MIN(80,MAX(1,INT(((CROQUIS!$C$98)-CROQUIS!$C$107)/MAX(CROQUIS!$C$126,1))+1)))-1,0),0,MOD($A366-1,5))+1,0,2,CROQUIS!$C$97-2,2,0),((CROQUIS!$C$107/2+(((CROQUIS!$C$98)-CROQUIS!$C$107)-(MIN(80,MAX(1,INT(((CROQUIS!$C$98)-CROQUIS!$C$107)/MAX(CROQUIS!$C$126,1))+1))-1)*CROQUIS!$C$126)/2)+MIN(INT(($A366-1)/5),MAX((MIN(80,MAX(1,INT(((CROQUIS!$C$98)-CROQUIS!$C$107)/MAX(CROQUIS!$C$126,1))+1)))-1,0))*CROQUIS!$C$126)))*CROQUIS!$C$155)+IF(CROQUIS!$C$92="X",0,0)),-1000)</f>
        <v>-1000</v>
      </c>
      <c r="BI366">
        <f>IF(AND(CROQUIS!$C$88=1,CROQUIS!$C$126&gt;0),((CROQUIS!$C$157+(IF(CROQUIS!$C$92="X",((CROQUIS!$C$107/2+(((CROQUIS!$C$98)-CROQUIS!$C$107)-(MIN(80,MAX(1,INT(((CROQUIS!$C$98)-CROQUIS!$C$107)/MAX(CROQUIS!$C$126,1))+1))-1)*CROQUIS!$C$126)/2)+MIN(INT(($A366-1)/5),MAX((MIN(80,MAX(1,INT(((CROQUIS!$C$98)-CROQUIS!$C$107)/MAX(CROQUIS!$C$126,1))+1)))-1,0))*CROQUIS!$C$126),CHOOSE(IF(INT(($A366-1)/5)&gt;MAX((MIN(80,MAX(1,INT(((CROQUIS!$C$98)-CROQUIS!$C$107)/MAX(CROQUIS!$C$126,1))+1)))-1,0),0,MOD($A366-1,5))+1,0,2,CROQUIS!$C$97-2,2,0)))*CROQUIS!$C$155)+IF(CROQUIS!$C$92="X",0,0)),-1000)</f>
        <v>-1000</v>
      </c>
      <c r="BJ366">
        <f>IF(AND(CROQUIS!$C$88=1,CROQUIS!$C$134&gt;0),((CROQUIS!$C$156+(IF(CROQUIS!$C$92="X",((CROQUIS!$C$107/2+(((CROQUIS!$C$97)-CROQUIS!$C$107)-(MIN(80,MAX(1,INT(((CROQUIS!$C$97)-CROQUIS!$C$107)/MAX(CROQUIS!$C$134,1))+1))-1)*CROQUIS!$C$134)/2)+MIN(INT(($A366-1)/5),MAX((MIN(80,MAX(1,INT(((CROQUIS!$C$97)-CROQUIS!$C$107)/MAX(CROQUIS!$C$134,1))+1)))-1,0))*CROQUIS!$C$134),CHOOSE(IF(INT(($A366-1)/5)&gt;MAX((MIN(80,MAX(1,INT(((CROQUIS!$C$97)-CROQUIS!$C$107)/MAX(CROQUIS!$C$134,1))+1)))-1,0),0,MOD($A366-1,5))+1,0,2,CROQUIS!$C$98-2,2,0)))*CROQUIS!$C$155)+IF(CROQUIS!$C$92="X",0,0)),-1000)</f>
        <v>-1000</v>
      </c>
      <c r="BK366">
        <f>IF(AND(CROQUIS!$C$88=1,CROQUIS!$C$134&gt;0),((CROQUIS!$C$157+(IF(CROQUIS!$C$92="X",CHOOSE(IF(INT(($A366-1)/5)&gt;MAX((MIN(80,MAX(1,INT(((CROQUIS!$C$97)-CROQUIS!$C$107)/MAX(CROQUIS!$C$134,1))+1)))-1,0),0,MOD($A366-1,5))+1,0,2,CROQUIS!$C$98-2,2,0),((CROQUIS!$C$107/2+(((CROQUIS!$C$97)-CROQUIS!$C$107)-(MIN(80,MAX(1,INT(((CROQUIS!$C$97)-CROQUIS!$C$107)/MAX(CROQUIS!$C$134,1))+1))-1)*CROQUIS!$C$134)/2)+MIN(INT(($A366-1)/5),MAX((MIN(80,MAX(1,INT(((CROQUIS!$C$97)-CROQUIS!$C$107)/MAX(CROQUIS!$C$134,1))+1)))-1,0))*CROQUIS!$C$134)))*CROQUIS!$C$155)+IF(CROQUIS!$C$92="X",0,0)),-1000)</f>
        <v>-1000</v>
      </c>
      <c r="BL366">
        <f>IF(AND(CROQUIS!$C$88=1,CROQUIS!$C$91=0,CROQUIS!$C$130&gt;0,OR(CROQUIS!$C$103=1,CROQUIS!$C$142=1)),((CROQUIS!$C$156+(IF(CROQUIS!$C$92="X",CHOOSE(IF(INT(($A366-1)/5)&gt;MAX((MIN(80,MAX(1,INT(((CROQUIS!$C$98)-CROQUIS!$C$107)/MAX(CROQUIS!$C$130,1))+1)))-1,0),0,MOD($A366-1,5))+1,0,IF(CROQUIS!$C$103=1,-12,2),CROQUIS!$C$107/2+CROQUIS!$C$140,IF(CROQUIS!$C$103=1,-12,2),0),((CROQUIS!$C$107/2+(((CROQUIS!$C$98)-CROQUIS!$C$107)-(MIN(80,MAX(1,INT(((CROQUIS!$C$98)-CROQUIS!$C$107)/MAX(CROQUIS!$C$130,1))+1))-1)*CROQUIS!$C$130)/2)+MIN(INT(($A366-1)/5),MAX((MIN(80,MAX(1,INT(((CROQUIS!$C$98)-CROQUIS!$C$107)/MAX(CROQUIS!$C$130,1))+1)))-1,0))*CROQUIS!$C$130)))*CROQUIS!$C$155)+IF(CROQUIS!$C$92="X",0,0)),-1000)</f>
        <v>-1000</v>
      </c>
      <c r="BM36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366-1)/5),MAX((MIN(80,MAX(1,INT(((CROQUIS!$C$98)-CROQUIS!$C$107)/MAX(CROQUIS!$C$130,1))+1)))-1,0))*CROQUIS!$C$130),CHOOSE(IF(INT(($A366-1)/5)&gt;MAX((MIN(80,MAX(1,INT(((CROQUIS!$C$98)-CROQUIS!$C$107)/MAX(CROQUIS!$C$130,1))+1)))-1,0),0,MOD($A366-1,5))+1,0,IF(CROQUIS!$C$103=1,-12,2),CROQUIS!$C$107/2+CROQUIS!$C$140,IF(CROQUIS!$C$103=1,-12,2),0)))*CROQUIS!$C$155)+IF(CROQUIS!$C$92="X",0,0)),-1000)</f>
        <v>-1000</v>
      </c>
      <c r="BN366">
        <f>IF(AND(CROQUIS!$C$88=1,CROQUIS!$C$91=0,CROQUIS!$C$130&gt;0,OR(CROQUIS!$C$104=1,CROQUIS!$C$142=1)),((CROQUIS!$C$156+(IF(CROQUIS!$C$92="X",CHOOSE(IF(INT(($A366-1)/5)&gt;MAX((MIN(80,MAX(1,INT(((CROQUIS!$C$98)-CROQUIS!$C$107)/MAX(CROQUIS!$C$130,1))+1)))-1,0),0,MOD($A366-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366-1)/5),MAX((MIN(80,MAX(1,INT(((CROQUIS!$C$98)-CROQUIS!$C$107)/MAX(CROQUIS!$C$130,1))+1)))-1,0))*CROQUIS!$C$130)))*CROQUIS!$C$155)+IF(CROQUIS!$C$92="X",0,0)),-1000)</f>
        <v>-1000</v>
      </c>
      <c r="BO36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366-1)/5),MAX((MIN(80,MAX(1,INT(((CROQUIS!$C$98)-CROQUIS!$C$107)/MAX(CROQUIS!$C$130,1))+1)))-1,0))*CROQUIS!$C$130),CHOOSE(IF(INT(($A366-1)/5)&gt;MAX((MIN(80,MAX(1,INT(((CROQUIS!$C$98)-CROQUIS!$C$107)/MAX(CROQUIS!$C$130,1))+1)))-1,0),0,MOD($A366-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6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366-1)/5),MAX((MIN(80,MAX(1,INT(((CROQUIS!$C$97)-CROQUIS!$C$107)/MAX(CROQUIS!$C$138,1))+1)))-1,0))*CROQUIS!$C$138),CHOOSE(IF(INT(($A366-1)/5)&gt;MAX((MIN(80,MAX(1,INT(((CROQUIS!$C$97)-CROQUIS!$C$107)/MAX(CROQUIS!$C$138,1))+1)))-1,0),0,MOD($A366-1,5))+1,0,IF(CROQUIS!$C$105=1,-12,2),CROQUIS!$C$107/2+CROQUIS!$C$141,IF(CROQUIS!$C$105=1,-12,2),0)))*CROQUIS!$C$155)+IF(CROQUIS!$C$92="X",0,0)),-1000)</f>
        <v>-1000</v>
      </c>
      <c r="BQ366">
        <f>IF(AND(CROQUIS!$C$88=1,CROQUIS!$C$91=0,CROQUIS!$C$138&gt;0,OR(CROQUIS!$C$105=1,CROQUIS!$C$143=1)),((CROQUIS!$C$157+(IF(CROQUIS!$C$92="X",CHOOSE(IF(INT(($A366-1)/5)&gt;MAX((MIN(80,MAX(1,INT(((CROQUIS!$C$97)-CROQUIS!$C$107)/MAX(CROQUIS!$C$138,1))+1)))-1,0),0,MOD($A366-1,5))+1,0,IF(CROQUIS!$C$105=1,-12,2),CROQUIS!$C$107/2+CROQUIS!$C$141,IF(CROQUIS!$C$105=1,-12,2),0),((CROQUIS!$C$107/2+(((CROQUIS!$C$97)-CROQUIS!$C$107)-(MIN(80,MAX(1,INT(((CROQUIS!$C$97)-CROQUIS!$C$107)/MAX(CROQUIS!$C$138,1))+1))-1)*CROQUIS!$C$138)/2)+MIN(INT(($A366-1)/5),MAX((MIN(80,MAX(1,INT(((CROQUIS!$C$97)-CROQUIS!$C$107)/MAX(CROQUIS!$C$138,1))+1)))-1,0))*CROQUIS!$C$138)))*CROQUIS!$C$155)+IF(CROQUIS!$C$92="X",0,0)),-1000)</f>
        <v>-1000</v>
      </c>
      <c r="BR36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366-1)/5),MAX((MIN(80,MAX(1,INT(((CROQUIS!$C$97)-CROQUIS!$C$107)/MAX(CROQUIS!$C$138,1))+1)))-1,0))*CROQUIS!$C$138),CHOOSE(IF(INT(($A366-1)/5)&gt;MAX((MIN(80,MAX(1,INT(((CROQUIS!$C$97)-CROQUIS!$C$107)/MAX(CROQUIS!$C$138,1))+1)))-1,0),0,MOD($A366-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66">
        <f>IF(AND(CROQUIS!$C$88=1,CROQUIS!$C$91=0,CROQUIS!$C$138&gt;0,OR(CROQUIS!$C$106=1,CROQUIS!$C$143=1)),((CROQUIS!$C$157+(IF(CROQUIS!$C$92="X",CHOOSE(IF(INT(($A366-1)/5)&gt;MAX((MIN(80,MAX(1,INT(((CROQUIS!$C$97)-CROQUIS!$C$107)/MAX(CROQUIS!$C$138,1))+1)))-1,0),0,MOD($A366-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366-1)/5),MAX((MIN(80,MAX(1,INT(((CROQUIS!$C$97)-CROQUIS!$C$107)/MAX(CROQUIS!$C$138,1))+1)))-1,0))*CROQUIS!$C$138)))*CROQUIS!$C$155)+IF(CROQUIS!$C$92="X",0,0)),-1000)</f>
        <v>-1000</v>
      </c>
      <c r="BT366">
        <f>IF(AND(CROQUIS!$C$88=1,CROQUIS!$C$91=1,CROQUIS!$C$130&gt;0),((CROQUIS!$C$156+(IF(CROQUIS!$C$92="X",CHOOSE(IF(INT(($A366-1)/5)&gt;MAX((MIN(80,MAX(1,INT(((CROQUIS!$C$98)-CROQUIS!$C$107)/MAX(CROQUIS!$C$130,1))+1)))-1,0),0,MOD($A366-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366-1)/5),MAX((MIN(80,MAX(1,INT(((CROQUIS!$C$98)-CROQUIS!$C$107)/MAX(CROQUIS!$C$130,1))+1)))-1,0))*CROQUIS!$C$130)))*CROQUIS!$C$155)+IF(CROQUIS!$C$92="X",0,0)),-1000)</f>
        <v>-1000</v>
      </c>
      <c r="BU366">
        <f>IF(AND(CROQUIS!$C$88=1,CROQUIS!$C$91=1,CROQUIS!$C$130&gt;0),((CROQUIS!$C$157+(IF(CROQUIS!$C$92="X",((CROQUIS!$C$107/2+(((CROQUIS!$C$98)-CROQUIS!$C$107)-(MIN(80,MAX(1,INT(((CROQUIS!$C$98)-CROQUIS!$C$107)/MAX(CROQUIS!$C$130,1))+1))-1)*CROQUIS!$C$130)/2)+MIN(INT(($A366-1)/5),MAX((MIN(80,MAX(1,INT(((CROQUIS!$C$98)-CROQUIS!$C$107)/MAX(CROQUIS!$C$130,1))+1)))-1,0))*CROQUIS!$C$130),CHOOSE(IF(INT(($A366-1)/5)&gt;MAX((MIN(80,MAX(1,INT(((CROQUIS!$C$98)-CROQUIS!$C$107)/MAX(CROQUIS!$C$130,1))+1)))-1,0),0,MOD($A366-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67">
      <c r="A367" t="n">
        <v>360</v>
      </c>
      <c r="BH367">
        <f>IF(AND(CROQUIS!$C$88=1,CROQUIS!$C$126&gt;0),((CROQUIS!$C$156+(IF(CROQUIS!$C$92="X",CHOOSE(IF(INT(($A367-1)/5)&gt;MAX((MIN(80,MAX(1,INT(((CROQUIS!$C$98)-CROQUIS!$C$107)/MAX(CROQUIS!$C$126,1))+1)))-1,0),0,MOD($A367-1,5))+1,0,2,CROQUIS!$C$97-2,2,0),((CROQUIS!$C$107/2+(((CROQUIS!$C$98)-CROQUIS!$C$107)-(MIN(80,MAX(1,INT(((CROQUIS!$C$98)-CROQUIS!$C$107)/MAX(CROQUIS!$C$126,1))+1))-1)*CROQUIS!$C$126)/2)+MIN(INT(($A367-1)/5),MAX((MIN(80,MAX(1,INT(((CROQUIS!$C$98)-CROQUIS!$C$107)/MAX(CROQUIS!$C$126,1))+1)))-1,0))*CROQUIS!$C$126)))*CROQUIS!$C$155)+IF(CROQUIS!$C$92="X",0,0)),-1000)</f>
        <v>-1000</v>
      </c>
      <c r="BI367">
        <f>IF(AND(CROQUIS!$C$88=1,CROQUIS!$C$126&gt;0),((CROQUIS!$C$157+(IF(CROQUIS!$C$92="X",((CROQUIS!$C$107/2+(((CROQUIS!$C$98)-CROQUIS!$C$107)-(MIN(80,MAX(1,INT(((CROQUIS!$C$98)-CROQUIS!$C$107)/MAX(CROQUIS!$C$126,1))+1))-1)*CROQUIS!$C$126)/2)+MIN(INT(($A367-1)/5),MAX((MIN(80,MAX(1,INT(((CROQUIS!$C$98)-CROQUIS!$C$107)/MAX(CROQUIS!$C$126,1))+1)))-1,0))*CROQUIS!$C$126),CHOOSE(IF(INT(($A367-1)/5)&gt;MAX((MIN(80,MAX(1,INT(((CROQUIS!$C$98)-CROQUIS!$C$107)/MAX(CROQUIS!$C$126,1))+1)))-1,0),0,MOD($A367-1,5))+1,0,2,CROQUIS!$C$97-2,2,0)))*CROQUIS!$C$155)+IF(CROQUIS!$C$92="X",0,0)),-1000)</f>
        <v>-1000</v>
      </c>
      <c r="BJ367">
        <f>IF(AND(CROQUIS!$C$88=1,CROQUIS!$C$134&gt;0),((CROQUIS!$C$156+(IF(CROQUIS!$C$92="X",((CROQUIS!$C$107/2+(((CROQUIS!$C$97)-CROQUIS!$C$107)-(MIN(80,MAX(1,INT(((CROQUIS!$C$97)-CROQUIS!$C$107)/MAX(CROQUIS!$C$134,1))+1))-1)*CROQUIS!$C$134)/2)+MIN(INT(($A367-1)/5),MAX((MIN(80,MAX(1,INT(((CROQUIS!$C$97)-CROQUIS!$C$107)/MAX(CROQUIS!$C$134,1))+1)))-1,0))*CROQUIS!$C$134),CHOOSE(IF(INT(($A367-1)/5)&gt;MAX((MIN(80,MAX(1,INT(((CROQUIS!$C$97)-CROQUIS!$C$107)/MAX(CROQUIS!$C$134,1))+1)))-1,0),0,MOD($A367-1,5))+1,0,2,CROQUIS!$C$98-2,2,0)))*CROQUIS!$C$155)+IF(CROQUIS!$C$92="X",0,0)),-1000)</f>
        <v>-1000</v>
      </c>
      <c r="BK367">
        <f>IF(AND(CROQUIS!$C$88=1,CROQUIS!$C$134&gt;0),((CROQUIS!$C$157+(IF(CROQUIS!$C$92="X",CHOOSE(IF(INT(($A367-1)/5)&gt;MAX((MIN(80,MAX(1,INT(((CROQUIS!$C$97)-CROQUIS!$C$107)/MAX(CROQUIS!$C$134,1))+1)))-1,0),0,MOD($A367-1,5))+1,0,2,CROQUIS!$C$98-2,2,0),((CROQUIS!$C$107/2+(((CROQUIS!$C$97)-CROQUIS!$C$107)-(MIN(80,MAX(1,INT(((CROQUIS!$C$97)-CROQUIS!$C$107)/MAX(CROQUIS!$C$134,1))+1))-1)*CROQUIS!$C$134)/2)+MIN(INT(($A367-1)/5),MAX((MIN(80,MAX(1,INT(((CROQUIS!$C$97)-CROQUIS!$C$107)/MAX(CROQUIS!$C$134,1))+1)))-1,0))*CROQUIS!$C$134)))*CROQUIS!$C$155)+IF(CROQUIS!$C$92="X",0,0)),-1000)</f>
        <v>-1000</v>
      </c>
      <c r="BL367">
        <f>IF(AND(CROQUIS!$C$88=1,CROQUIS!$C$91=0,CROQUIS!$C$130&gt;0,OR(CROQUIS!$C$103=1,CROQUIS!$C$142=1)),((CROQUIS!$C$156+(IF(CROQUIS!$C$92="X",CHOOSE(IF(INT(($A367-1)/5)&gt;MAX((MIN(80,MAX(1,INT(((CROQUIS!$C$98)-CROQUIS!$C$107)/MAX(CROQUIS!$C$130,1))+1)))-1,0),0,MOD($A367-1,5))+1,0,IF(CROQUIS!$C$103=1,-12,2),CROQUIS!$C$107/2+CROQUIS!$C$140,IF(CROQUIS!$C$103=1,-12,2),0),((CROQUIS!$C$107/2+(((CROQUIS!$C$98)-CROQUIS!$C$107)-(MIN(80,MAX(1,INT(((CROQUIS!$C$98)-CROQUIS!$C$107)/MAX(CROQUIS!$C$130,1))+1))-1)*CROQUIS!$C$130)/2)+MIN(INT(($A367-1)/5),MAX((MIN(80,MAX(1,INT(((CROQUIS!$C$98)-CROQUIS!$C$107)/MAX(CROQUIS!$C$130,1))+1)))-1,0))*CROQUIS!$C$130)))*CROQUIS!$C$155)+IF(CROQUIS!$C$92="X",0,0)),-1000)</f>
        <v>-1000</v>
      </c>
      <c r="BM36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367-1)/5),MAX((MIN(80,MAX(1,INT(((CROQUIS!$C$98)-CROQUIS!$C$107)/MAX(CROQUIS!$C$130,1))+1)))-1,0))*CROQUIS!$C$130),CHOOSE(IF(INT(($A367-1)/5)&gt;MAX((MIN(80,MAX(1,INT(((CROQUIS!$C$98)-CROQUIS!$C$107)/MAX(CROQUIS!$C$130,1))+1)))-1,0),0,MOD($A367-1,5))+1,0,IF(CROQUIS!$C$103=1,-12,2),CROQUIS!$C$107/2+CROQUIS!$C$140,IF(CROQUIS!$C$103=1,-12,2),0)))*CROQUIS!$C$155)+IF(CROQUIS!$C$92="X",0,0)),-1000)</f>
        <v>-1000</v>
      </c>
      <c r="BN367">
        <f>IF(AND(CROQUIS!$C$88=1,CROQUIS!$C$91=0,CROQUIS!$C$130&gt;0,OR(CROQUIS!$C$104=1,CROQUIS!$C$142=1)),((CROQUIS!$C$156+(IF(CROQUIS!$C$92="X",CHOOSE(IF(INT(($A367-1)/5)&gt;MAX((MIN(80,MAX(1,INT(((CROQUIS!$C$98)-CROQUIS!$C$107)/MAX(CROQUIS!$C$130,1))+1)))-1,0),0,MOD($A367-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367-1)/5),MAX((MIN(80,MAX(1,INT(((CROQUIS!$C$98)-CROQUIS!$C$107)/MAX(CROQUIS!$C$130,1))+1)))-1,0))*CROQUIS!$C$130)))*CROQUIS!$C$155)+IF(CROQUIS!$C$92="X",0,0)),-1000)</f>
        <v>-1000</v>
      </c>
      <c r="BO36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367-1)/5),MAX((MIN(80,MAX(1,INT(((CROQUIS!$C$98)-CROQUIS!$C$107)/MAX(CROQUIS!$C$130,1))+1)))-1,0))*CROQUIS!$C$130),CHOOSE(IF(INT(($A367-1)/5)&gt;MAX((MIN(80,MAX(1,INT(((CROQUIS!$C$98)-CROQUIS!$C$107)/MAX(CROQUIS!$C$130,1))+1)))-1,0),0,MOD($A367-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6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367-1)/5),MAX((MIN(80,MAX(1,INT(((CROQUIS!$C$97)-CROQUIS!$C$107)/MAX(CROQUIS!$C$138,1))+1)))-1,0))*CROQUIS!$C$138),CHOOSE(IF(INT(($A367-1)/5)&gt;MAX((MIN(80,MAX(1,INT(((CROQUIS!$C$97)-CROQUIS!$C$107)/MAX(CROQUIS!$C$138,1))+1)))-1,0),0,MOD($A367-1,5))+1,0,IF(CROQUIS!$C$105=1,-12,2),CROQUIS!$C$107/2+CROQUIS!$C$141,IF(CROQUIS!$C$105=1,-12,2),0)))*CROQUIS!$C$155)+IF(CROQUIS!$C$92="X",0,0)),-1000)</f>
        <v>-1000</v>
      </c>
      <c r="BQ367">
        <f>IF(AND(CROQUIS!$C$88=1,CROQUIS!$C$91=0,CROQUIS!$C$138&gt;0,OR(CROQUIS!$C$105=1,CROQUIS!$C$143=1)),((CROQUIS!$C$157+(IF(CROQUIS!$C$92="X",CHOOSE(IF(INT(($A367-1)/5)&gt;MAX((MIN(80,MAX(1,INT(((CROQUIS!$C$97)-CROQUIS!$C$107)/MAX(CROQUIS!$C$138,1))+1)))-1,0),0,MOD($A367-1,5))+1,0,IF(CROQUIS!$C$105=1,-12,2),CROQUIS!$C$107/2+CROQUIS!$C$141,IF(CROQUIS!$C$105=1,-12,2),0),((CROQUIS!$C$107/2+(((CROQUIS!$C$97)-CROQUIS!$C$107)-(MIN(80,MAX(1,INT(((CROQUIS!$C$97)-CROQUIS!$C$107)/MAX(CROQUIS!$C$138,1))+1))-1)*CROQUIS!$C$138)/2)+MIN(INT(($A367-1)/5),MAX((MIN(80,MAX(1,INT(((CROQUIS!$C$97)-CROQUIS!$C$107)/MAX(CROQUIS!$C$138,1))+1)))-1,0))*CROQUIS!$C$138)))*CROQUIS!$C$155)+IF(CROQUIS!$C$92="X",0,0)),-1000)</f>
        <v>-1000</v>
      </c>
      <c r="BR36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367-1)/5),MAX((MIN(80,MAX(1,INT(((CROQUIS!$C$97)-CROQUIS!$C$107)/MAX(CROQUIS!$C$138,1))+1)))-1,0))*CROQUIS!$C$138),CHOOSE(IF(INT(($A367-1)/5)&gt;MAX((MIN(80,MAX(1,INT(((CROQUIS!$C$97)-CROQUIS!$C$107)/MAX(CROQUIS!$C$138,1))+1)))-1,0),0,MOD($A367-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67">
        <f>IF(AND(CROQUIS!$C$88=1,CROQUIS!$C$91=0,CROQUIS!$C$138&gt;0,OR(CROQUIS!$C$106=1,CROQUIS!$C$143=1)),((CROQUIS!$C$157+(IF(CROQUIS!$C$92="X",CHOOSE(IF(INT(($A367-1)/5)&gt;MAX((MIN(80,MAX(1,INT(((CROQUIS!$C$97)-CROQUIS!$C$107)/MAX(CROQUIS!$C$138,1))+1)))-1,0),0,MOD($A367-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367-1)/5),MAX((MIN(80,MAX(1,INT(((CROQUIS!$C$97)-CROQUIS!$C$107)/MAX(CROQUIS!$C$138,1))+1)))-1,0))*CROQUIS!$C$138)))*CROQUIS!$C$155)+IF(CROQUIS!$C$92="X",0,0)),-1000)</f>
        <v>-1000</v>
      </c>
      <c r="BT367">
        <f>IF(AND(CROQUIS!$C$88=1,CROQUIS!$C$91=1,CROQUIS!$C$130&gt;0),((CROQUIS!$C$156+(IF(CROQUIS!$C$92="X",CHOOSE(IF(INT(($A367-1)/5)&gt;MAX((MIN(80,MAX(1,INT(((CROQUIS!$C$98)-CROQUIS!$C$107)/MAX(CROQUIS!$C$130,1))+1)))-1,0),0,MOD($A367-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367-1)/5),MAX((MIN(80,MAX(1,INT(((CROQUIS!$C$98)-CROQUIS!$C$107)/MAX(CROQUIS!$C$130,1))+1)))-1,0))*CROQUIS!$C$130)))*CROQUIS!$C$155)+IF(CROQUIS!$C$92="X",0,0)),-1000)</f>
        <v>-1000</v>
      </c>
      <c r="BU367">
        <f>IF(AND(CROQUIS!$C$88=1,CROQUIS!$C$91=1,CROQUIS!$C$130&gt;0),((CROQUIS!$C$157+(IF(CROQUIS!$C$92="X",((CROQUIS!$C$107/2+(((CROQUIS!$C$98)-CROQUIS!$C$107)-(MIN(80,MAX(1,INT(((CROQUIS!$C$98)-CROQUIS!$C$107)/MAX(CROQUIS!$C$130,1))+1))-1)*CROQUIS!$C$130)/2)+MIN(INT(($A367-1)/5),MAX((MIN(80,MAX(1,INT(((CROQUIS!$C$98)-CROQUIS!$C$107)/MAX(CROQUIS!$C$130,1))+1)))-1,0))*CROQUIS!$C$130),CHOOSE(IF(INT(($A367-1)/5)&gt;MAX((MIN(80,MAX(1,INT(((CROQUIS!$C$98)-CROQUIS!$C$107)/MAX(CROQUIS!$C$130,1))+1)))-1,0),0,MOD($A367-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68">
      <c r="A368" t="n">
        <v>361</v>
      </c>
      <c r="BH368">
        <f>IF(AND(CROQUIS!$C$88=1,CROQUIS!$C$126&gt;0),((CROQUIS!$C$156+(IF(CROQUIS!$C$92="X",CHOOSE(IF(INT(($A368-1)/5)&gt;MAX((MIN(80,MAX(1,INT(((CROQUIS!$C$98)-CROQUIS!$C$107)/MAX(CROQUIS!$C$126,1))+1)))-1,0),0,MOD($A368-1,5))+1,0,2,CROQUIS!$C$97-2,2,0),((CROQUIS!$C$107/2+(((CROQUIS!$C$98)-CROQUIS!$C$107)-(MIN(80,MAX(1,INT(((CROQUIS!$C$98)-CROQUIS!$C$107)/MAX(CROQUIS!$C$126,1))+1))-1)*CROQUIS!$C$126)/2)+MIN(INT(($A368-1)/5),MAX((MIN(80,MAX(1,INT(((CROQUIS!$C$98)-CROQUIS!$C$107)/MAX(CROQUIS!$C$126,1))+1)))-1,0))*CROQUIS!$C$126)))*CROQUIS!$C$155)+IF(CROQUIS!$C$92="X",0,0)),-1000)</f>
        <v>-1000</v>
      </c>
      <c r="BI368">
        <f>IF(AND(CROQUIS!$C$88=1,CROQUIS!$C$126&gt;0),((CROQUIS!$C$157+(IF(CROQUIS!$C$92="X",((CROQUIS!$C$107/2+(((CROQUIS!$C$98)-CROQUIS!$C$107)-(MIN(80,MAX(1,INT(((CROQUIS!$C$98)-CROQUIS!$C$107)/MAX(CROQUIS!$C$126,1))+1))-1)*CROQUIS!$C$126)/2)+MIN(INT(($A368-1)/5),MAX((MIN(80,MAX(1,INT(((CROQUIS!$C$98)-CROQUIS!$C$107)/MAX(CROQUIS!$C$126,1))+1)))-1,0))*CROQUIS!$C$126),CHOOSE(IF(INT(($A368-1)/5)&gt;MAX((MIN(80,MAX(1,INT(((CROQUIS!$C$98)-CROQUIS!$C$107)/MAX(CROQUIS!$C$126,1))+1)))-1,0),0,MOD($A368-1,5))+1,0,2,CROQUIS!$C$97-2,2,0)))*CROQUIS!$C$155)+IF(CROQUIS!$C$92="X",0,0)),-1000)</f>
        <v>-1000</v>
      </c>
      <c r="BJ368">
        <f>IF(AND(CROQUIS!$C$88=1,CROQUIS!$C$134&gt;0),((CROQUIS!$C$156+(IF(CROQUIS!$C$92="X",((CROQUIS!$C$107/2+(((CROQUIS!$C$97)-CROQUIS!$C$107)-(MIN(80,MAX(1,INT(((CROQUIS!$C$97)-CROQUIS!$C$107)/MAX(CROQUIS!$C$134,1))+1))-1)*CROQUIS!$C$134)/2)+MIN(INT(($A368-1)/5),MAX((MIN(80,MAX(1,INT(((CROQUIS!$C$97)-CROQUIS!$C$107)/MAX(CROQUIS!$C$134,1))+1)))-1,0))*CROQUIS!$C$134),CHOOSE(IF(INT(($A368-1)/5)&gt;MAX((MIN(80,MAX(1,INT(((CROQUIS!$C$97)-CROQUIS!$C$107)/MAX(CROQUIS!$C$134,1))+1)))-1,0),0,MOD($A368-1,5))+1,0,2,CROQUIS!$C$98-2,2,0)))*CROQUIS!$C$155)+IF(CROQUIS!$C$92="X",0,0)),-1000)</f>
        <v>-1000</v>
      </c>
      <c r="BK368">
        <f>IF(AND(CROQUIS!$C$88=1,CROQUIS!$C$134&gt;0),((CROQUIS!$C$157+(IF(CROQUIS!$C$92="X",CHOOSE(IF(INT(($A368-1)/5)&gt;MAX((MIN(80,MAX(1,INT(((CROQUIS!$C$97)-CROQUIS!$C$107)/MAX(CROQUIS!$C$134,1))+1)))-1,0),0,MOD($A368-1,5))+1,0,2,CROQUIS!$C$98-2,2,0),((CROQUIS!$C$107/2+(((CROQUIS!$C$97)-CROQUIS!$C$107)-(MIN(80,MAX(1,INT(((CROQUIS!$C$97)-CROQUIS!$C$107)/MAX(CROQUIS!$C$134,1))+1))-1)*CROQUIS!$C$134)/2)+MIN(INT(($A368-1)/5),MAX((MIN(80,MAX(1,INT(((CROQUIS!$C$97)-CROQUIS!$C$107)/MAX(CROQUIS!$C$134,1))+1)))-1,0))*CROQUIS!$C$134)))*CROQUIS!$C$155)+IF(CROQUIS!$C$92="X",0,0)),-1000)</f>
        <v>-1000</v>
      </c>
      <c r="BL368">
        <f>IF(AND(CROQUIS!$C$88=1,CROQUIS!$C$91=0,CROQUIS!$C$130&gt;0,OR(CROQUIS!$C$103=1,CROQUIS!$C$142=1)),((CROQUIS!$C$156+(IF(CROQUIS!$C$92="X",CHOOSE(IF(INT(($A368-1)/5)&gt;MAX((MIN(80,MAX(1,INT(((CROQUIS!$C$98)-CROQUIS!$C$107)/MAX(CROQUIS!$C$130,1))+1)))-1,0),0,MOD($A368-1,5))+1,0,IF(CROQUIS!$C$103=1,-12,2),CROQUIS!$C$107/2+CROQUIS!$C$140,IF(CROQUIS!$C$103=1,-12,2),0),((CROQUIS!$C$107/2+(((CROQUIS!$C$98)-CROQUIS!$C$107)-(MIN(80,MAX(1,INT(((CROQUIS!$C$98)-CROQUIS!$C$107)/MAX(CROQUIS!$C$130,1))+1))-1)*CROQUIS!$C$130)/2)+MIN(INT(($A368-1)/5),MAX((MIN(80,MAX(1,INT(((CROQUIS!$C$98)-CROQUIS!$C$107)/MAX(CROQUIS!$C$130,1))+1)))-1,0))*CROQUIS!$C$130)))*CROQUIS!$C$155)+IF(CROQUIS!$C$92="X",0,0)),-1000)</f>
        <v>-1000</v>
      </c>
      <c r="BM36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368-1)/5),MAX((MIN(80,MAX(1,INT(((CROQUIS!$C$98)-CROQUIS!$C$107)/MAX(CROQUIS!$C$130,1))+1)))-1,0))*CROQUIS!$C$130),CHOOSE(IF(INT(($A368-1)/5)&gt;MAX((MIN(80,MAX(1,INT(((CROQUIS!$C$98)-CROQUIS!$C$107)/MAX(CROQUIS!$C$130,1))+1)))-1,0),0,MOD($A368-1,5))+1,0,IF(CROQUIS!$C$103=1,-12,2),CROQUIS!$C$107/2+CROQUIS!$C$140,IF(CROQUIS!$C$103=1,-12,2),0)))*CROQUIS!$C$155)+IF(CROQUIS!$C$92="X",0,0)),-1000)</f>
        <v>-1000</v>
      </c>
      <c r="BN368">
        <f>IF(AND(CROQUIS!$C$88=1,CROQUIS!$C$91=0,CROQUIS!$C$130&gt;0,OR(CROQUIS!$C$104=1,CROQUIS!$C$142=1)),((CROQUIS!$C$156+(IF(CROQUIS!$C$92="X",CHOOSE(IF(INT(($A368-1)/5)&gt;MAX((MIN(80,MAX(1,INT(((CROQUIS!$C$98)-CROQUIS!$C$107)/MAX(CROQUIS!$C$130,1))+1)))-1,0),0,MOD($A368-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368-1)/5),MAX((MIN(80,MAX(1,INT(((CROQUIS!$C$98)-CROQUIS!$C$107)/MAX(CROQUIS!$C$130,1))+1)))-1,0))*CROQUIS!$C$130)))*CROQUIS!$C$155)+IF(CROQUIS!$C$92="X",0,0)),-1000)</f>
        <v>-1000</v>
      </c>
      <c r="BO36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368-1)/5),MAX((MIN(80,MAX(1,INT(((CROQUIS!$C$98)-CROQUIS!$C$107)/MAX(CROQUIS!$C$130,1))+1)))-1,0))*CROQUIS!$C$130),CHOOSE(IF(INT(($A368-1)/5)&gt;MAX((MIN(80,MAX(1,INT(((CROQUIS!$C$98)-CROQUIS!$C$107)/MAX(CROQUIS!$C$130,1))+1)))-1,0),0,MOD($A368-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6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368-1)/5),MAX((MIN(80,MAX(1,INT(((CROQUIS!$C$97)-CROQUIS!$C$107)/MAX(CROQUIS!$C$138,1))+1)))-1,0))*CROQUIS!$C$138),CHOOSE(IF(INT(($A368-1)/5)&gt;MAX((MIN(80,MAX(1,INT(((CROQUIS!$C$97)-CROQUIS!$C$107)/MAX(CROQUIS!$C$138,1))+1)))-1,0),0,MOD($A368-1,5))+1,0,IF(CROQUIS!$C$105=1,-12,2),CROQUIS!$C$107/2+CROQUIS!$C$141,IF(CROQUIS!$C$105=1,-12,2),0)))*CROQUIS!$C$155)+IF(CROQUIS!$C$92="X",0,0)),-1000)</f>
        <v>-1000</v>
      </c>
      <c r="BQ368">
        <f>IF(AND(CROQUIS!$C$88=1,CROQUIS!$C$91=0,CROQUIS!$C$138&gt;0,OR(CROQUIS!$C$105=1,CROQUIS!$C$143=1)),((CROQUIS!$C$157+(IF(CROQUIS!$C$92="X",CHOOSE(IF(INT(($A368-1)/5)&gt;MAX((MIN(80,MAX(1,INT(((CROQUIS!$C$97)-CROQUIS!$C$107)/MAX(CROQUIS!$C$138,1))+1)))-1,0),0,MOD($A368-1,5))+1,0,IF(CROQUIS!$C$105=1,-12,2),CROQUIS!$C$107/2+CROQUIS!$C$141,IF(CROQUIS!$C$105=1,-12,2),0),((CROQUIS!$C$107/2+(((CROQUIS!$C$97)-CROQUIS!$C$107)-(MIN(80,MAX(1,INT(((CROQUIS!$C$97)-CROQUIS!$C$107)/MAX(CROQUIS!$C$138,1))+1))-1)*CROQUIS!$C$138)/2)+MIN(INT(($A368-1)/5),MAX((MIN(80,MAX(1,INT(((CROQUIS!$C$97)-CROQUIS!$C$107)/MAX(CROQUIS!$C$138,1))+1)))-1,0))*CROQUIS!$C$138)))*CROQUIS!$C$155)+IF(CROQUIS!$C$92="X",0,0)),-1000)</f>
        <v>-1000</v>
      </c>
      <c r="BR36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368-1)/5),MAX((MIN(80,MAX(1,INT(((CROQUIS!$C$97)-CROQUIS!$C$107)/MAX(CROQUIS!$C$138,1))+1)))-1,0))*CROQUIS!$C$138),CHOOSE(IF(INT(($A368-1)/5)&gt;MAX((MIN(80,MAX(1,INT(((CROQUIS!$C$97)-CROQUIS!$C$107)/MAX(CROQUIS!$C$138,1))+1)))-1,0),0,MOD($A368-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68">
        <f>IF(AND(CROQUIS!$C$88=1,CROQUIS!$C$91=0,CROQUIS!$C$138&gt;0,OR(CROQUIS!$C$106=1,CROQUIS!$C$143=1)),((CROQUIS!$C$157+(IF(CROQUIS!$C$92="X",CHOOSE(IF(INT(($A368-1)/5)&gt;MAX((MIN(80,MAX(1,INT(((CROQUIS!$C$97)-CROQUIS!$C$107)/MAX(CROQUIS!$C$138,1))+1)))-1,0),0,MOD($A368-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368-1)/5),MAX((MIN(80,MAX(1,INT(((CROQUIS!$C$97)-CROQUIS!$C$107)/MAX(CROQUIS!$C$138,1))+1)))-1,0))*CROQUIS!$C$138)))*CROQUIS!$C$155)+IF(CROQUIS!$C$92="X",0,0)),-1000)</f>
        <v>-1000</v>
      </c>
      <c r="BT368">
        <f>IF(AND(CROQUIS!$C$88=1,CROQUIS!$C$91=1,CROQUIS!$C$130&gt;0),((CROQUIS!$C$156+(IF(CROQUIS!$C$92="X",CHOOSE(IF(INT(($A368-1)/5)&gt;MAX((MIN(80,MAX(1,INT(((CROQUIS!$C$98)-CROQUIS!$C$107)/MAX(CROQUIS!$C$130,1))+1)))-1,0),0,MOD($A368-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368-1)/5),MAX((MIN(80,MAX(1,INT(((CROQUIS!$C$98)-CROQUIS!$C$107)/MAX(CROQUIS!$C$130,1))+1)))-1,0))*CROQUIS!$C$130)))*CROQUIS!$C$155)+IF(CROQUIS!$C$92="X",0,0)),-1000)</f>
        <v>-1000</v>
      </c>
      <c r="BU368">
        <f>IF(AND(CROQUIS!$C$88=1,CROQUIS!$C$91=1,CROQUIS!$C$130&gt;0),((CROQUIS!$C$157+(IF(CROQUIS!$C$92="X",((CROQUIS!$C$107/2+(((CROQUIS!$C$98)-CROQUIS!$C$107)-(MIN(80,MAX(1,INT(((CROQUIS!$C$98)-CROQUIS!$C$107)/MAX(CROQUIS!$C$130,1))+1))-1)*CROQUIS!$C$130)/2)+MIN(INT(($A368-1)/5),MAX((MIN(80,MAX(1,INT(((CROQUIS!$C$98)-CROQUIS!$C$107)/MAX(CROQUIS!$C$130,1))+1)))-1,0))*CROQUIS!$C$130),CHOOSE(IF(INT(($A368-1)/5)&gt;MAX((MIN(80,MAX(1,INT(((CROQUIS!$C$98)-CROQUIS!$C$107)/MAX(CROQUIS!$C$130,1))+1)))-1,0),0,MOD($A368-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69">
      <c r="A369" t="n">
        <v>362</v>
      </c>
      <c r="BH369">
        <f>IF(AND(CROQUIS!$C$88=1,CROQUIS!$C$126&gt;0),((CROQUIS!$C$156+(IF(CROQUIS!$C$92="X",CHOOSE(IF(INT(($A369-1)/5)&gt;MAX((MIN(80,MAX(1,INT(((CROQUIS!$C$98)-CROQUIS!$C$107)/MAX(CROQUIS!$C$126,1))+1)))-1,0),0,MOD($A369-1,5))+1,0,2,CROQUIS!$C$97-2,2,0),((CROQUIS!$C$107/2+(((CROQUIS!$C$98)-CROQUIS!$C$107)-(MIN(80,MAX(1,INT(((CROQUIS!$C$98)-CROQUIS!$C$107)/MAX(CROQUIS!$C$126,1))+1))-1)*CROQUIS!$C$126)/2)+MIN(INT(($A369-1)/5),MAX((MIN(80,MAX(1,INT(((CROQUIS!$C$98)-CROQUIS!$C$107)/MAX(CROQUIS!$C$126,1))+1)))-1,0))*CROQUIS!$C$126)))*CROQUIS!$C$155)+IF(CROQUIS!$C$92="X",0,0)),-1000)</f>
        <v>-1000</v>
      </c>
      <c r="BI369">
        <f>IF(AND(CROQUIS!$C$88=1,CROQUIS!$C$126&gt;0),((CROQUIS!$C$157+(IF(CROQUIS!$C$92="X",((CROQUIS!$C$107/2+(((CROQUIS!$C$98)-CROQUIS!$C$107)-(MIN(80,MAX(1,INT(((CROQUIS!$C$98)-CROQUIS!$C$107)/MAX(CROQUIS!$C$126,1))+1))-1)*CROQUIS!$C$126)/2)+MIN(INT(($A369-1)/5),MAX((MIN(80,MAX(1,INT(((CROQUIS!$C$98)-CROQUIS!$C$107)/MAX(CROQUIS!$C$126,1))+1)))-1,0))*CROQUIS!$C$126),CHOOSE(IF(INT(($A369-1)/5)&gt;MAX((MIN(80,MAX(1,INT(((CROQUIS!$C$98)-CROQUIS!$C$107)/MAX(CROQUIS!$C$126,1))+1)))-1,0),0,MOD($A369-1,5))+1,0,2,CROQUIS!$C$97-2,2,0)))*CROQUIS!$C$155)+IF(CROQUIS!$C$92="X",0,0)),-1000)</f>
        <v>-1000</v>
      </c>
      <c r="BJ369">
        <f>IF(AND(CROQUIS!$C$88=1,CROQUIS!$C$134&gt;0),((CROQUIS!$C$156+(IF(CROQUIS!$C$92="X",((CROQUIS!$C$107/2+(((CROQUIS!$C$97)-CROQUIS!$C$107)-(MIN(80,MAX(1,INT(((CROQUIS!$C$97)-CROQUIS!$C$107)/MAX(CROQUIS!$C$134,1))+1))-1)*CROQUIS!$C$134)/2)+MIN(INT(($A369-1)/5),MAX((MIN(80,MAX(1,INT(((CROQUIS!$C$97)-CROQUIS!$C$107)/MAX(CROQUIS!$C$134,1))+1)))-1,0))*CROQUIS!$C$134),CHOOSE(IF(INT(($A369-1)/5)&gt;MAX((MIN(80,MAX(1,INT(((CROQUIS!$C$97)-CROQUIS!$C$107)/MAX(CROQUIS!$C$134,1))+1)))-1,0),0,MOD($A369-1,5))+1,0,2,CROQUIS!$C$98-2,2,0)))*CROQUIS!$C$155)+IF(CROQUIS!$C$92="X",0,0)),-1000)</f>
        <v>-1000</v>
      </c>
      <c r="BK369">
        <f>IF(AND(CROQUIS!$C$88=1,CROQUIS!$C$134&gt;0),((CROQUIS!$C$157+(IF(CROQUIS!$C$92="X",CHOOSE(IF(INT(($A369-1)/5)&gt;MAX((MIN(80,MAX(1,INT(((CROQUIS!$C$97)-CROQUIS!$C$107)/MAX(CROQUIS!$C$134,1))+1)))-1,0),0,MOD($A369-1,5))+1,0,2,CROQUIS!$C$98-2,2,0),((CROQUIS!$C$107/2+(((CROQUIS!$C$97)-CROQUIS!$C$107)-(MIN(80,MAX(1,INT(((CROQUIS!$C$97)-CROQUIS!$C$107)/MAX(CROQUIS!$C$134,1))+1))-1)*CROQUIS!$C$134)/2)+MIN(INT(($A369-1)/5),MAX((MIN(80,MAX(1,INT(((CROQUIS!$C$97)-CROQUIS!$C$107)/MAX(CROQUIS!$C$134,1))+1)))-1,0))*CROQUIS!$C$134)))*CROQUIS!$C$155)+IF(CROQUIS!$C$92="X",0,0)),-1000)</f>
        <v>-1000</v>
      </c>
      <c r="BL369">
        <f>IF(AND(CROQUIS!$C$88=1,CROQUIS!$C$91=0,CROQUIS!$C$130&gt;0,OR(CROQUIS!$C$103=1,CROQUIS!$C$142=1)),((CROQUIS!$C$156+(IF(CROQUIS!$C$92="X",CHOOSE(IF(INT(($A369-1)/5)&gt;MAX((MIN(80,MAX(1,INT(((CROQUIS!$C$98)-CROQUIS!$C$107)/MAX(CROQUIS!$C$130,1))+1)))-1,0),0,MOD($A369-1,5))+1,0,IF(CROQUIS!$C$103=1,-12,2),CROQUIS!$C$107/2+CROQUIS!$C$140,IF(CROQUIS!$C$103=1,-12,2),0),((CROQUIS!$C$107/2+(((CROQUIS!$C$98)-CROQUIS!$C$107)-(MIN(80,MAX(1,INT(((CROQUIS!$C$98)-CROQUIS!$C$107)/MAX(CROQUIS!$C$130,1))+1))-1)*CROQUIS!$C$130)/2)+MIN(INT(($A369-1)/5),MAX((MIN(80,MAX(1,INT(((CROQUIS!$C$98)-CROQUIS!$C$107)/MAX(CROQUIS!$C$130,1))+1)))-1,0))*CROQUIS!$C$130)))*CROQUIS!$C$155)+IF(CROQUIS!$C$92="X",0,0)),-1000)</f>
        <v>-1000</v>
      </c>
      <c r="BM36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369-1)/5),MAX((MIN(80,MAX(1,INT(((CROQUIS!$C$98)-CROQUIS!$C$107)/MAX(CROQUIS!$C$130,1))+1)))-1,0))*CROQUIS!$C$130),CHOOSE(IF(INT(($A369-1)/5)&gt;MAX((MIN(80,MAX(1,INT(((CROQUIS!$C$98)-CROQUIS!$C$107)/MAX(CROQUIS!$C$130,1))+1)))-1,0),0,MOD($A369-1,5))+1,0,IF(CROQUIS!$C$103=1,-12,2),CROQUIS!$C$107/2+CROQUIS!$C$140,IF(CROQUIS!$C$103=1,-12,2),0)))*CROQUIS!$C$155)+IF(CROQUIS!$C$92="X",0,0)),-1000)</f>
        <v>-1000</v>
      </c>
      <c r="BN369">
        <f>IF(AND(CROQUIS!$C$88=1,CROQUIS!$C$91=0,CROQUIS!$C$130&gt;0,OR(CROQUIS!$C$104=1,CROQUIS!$C$142=1)),((CROQUIS!$C$156+(IF(CROQUIS!$C$92="X",CHOOSE(IF(INT(($A369-1)/5)&gt;MAX((MIN(80,MAX(1,INT(((CROQUIS!$C$98)-CROQUIS!$C$107)/MAX(CROQUIS!$C$130,1))+1)))-1,0),0,MOD($A369-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369-1)/5),MAX((MIN(80,MAX(1,INT(((CROQUIS!$C$98)-CROQUIS!$C$107)/MAX(CROQUIS!$C$130,1))+1)))-1,0))*CROQUIS!$C$130)))*CROQUIS!$C$155)+IF(CROQUIS!$C$92="X",0,0)),-1000)</f>
        <v>-1000</v>
      </c>
      <c r="BO36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369-1)/5),MAX((MIN(80,MAX(1,INT(((CROQUIS!$C$98)-CROQUIS!$C$107)/MAX(CROQUIS!$C$130,1))+1)))-1,0))*CROQUIS!$C$130),CHOOSE(IF(INT(($A369-1)/5)&gt;MAX((MIN(80,MAX(1,INT(((CROQUIS!$C$98)-CROQUIS!$C$107)/MAX(CROQUIS!$C$130,1))+1)))-1,0),0,MOD($A369-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6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369-1)/5),MAX((MIN(80,MAX(1,INT(((CROQUIS!$C$97)-CROQUIS!$C$107)/MAX(CROQUIS!$C$138,1))+1)))-1,0))*CROQUIS!$C$138),CHOOSE(IF(INT(($A369-1)/5)&gt;MAX((MIN(80,MAX(1,INT(((CROQUIS!$C$97)-CROQUIS!$C$107)/MAX(CROQUIS!$C$138,1))+1)))-1,0),0,MOD($A369-1,5))+1,0,IF(CROQUIS!$C$105=1,-12,2),CROQUIS!$C$107/2+CROQUIS!$C$141,IF(CROQUIS!$C$105=1,-12,2),0)))*CROQUIS!$C$155)+IF(CROQUIS!$C$92="X",0,0)),-1000)</f>
        <v>-1000</v>
      </c>
      <c r="BQ369">
        <f>IF(AND(CROQUIS!$C$88=1,CROQUIS!$C$91=0,CROQUIS!$C$138&gt;0,OR(CROQUIS!$C$105=1,CROQUIS!$C$143=1)),((CROQUIS!$C$157+(IF(CROQUIS!$C$92="X",CHOOSE(IF(INT(($A369-1)/5)&gt;MAX((MIN(80,MAX(1,INT(((CROQUIS!$C$97)-CROQUIS!$C$107)/MAX(CROQUIS!$C$138,1))+1)))-1,0),0,MOD($A369-1,5))+1,0,IF(CROQUIS!$C$105=1,-12,2),CROQUIS!$C$107/2+CROQUIS!$C$141,IF(CROQUIS!$C$105=1,-12,2),0),((CROQUIS!$C$107/2+(((CROQUIS!$C$97)-CROQUIS!$C$107)-(MIN(80,MAX(1,INT(((CROQUIS!$C$97)-CROQUIS!$C$107)/MAX(CROQUIS!$C$138,1))+1))-1)*CROQUIS!$C$138)/2)+MIN(INT(($A369-1)/5),MAX((MIN(80,MAX(1,INT(((CROQUIS!$C$97)-CROQUIS!$C$107)/MAX(CROQUIS!$C$138,1))+1)))-1,0))*CROQUIS!$C$138)))*CROQUIS!$C$155)+IF(CROQUIS!$C$92="X",0,0)),-1000)</f>
        <v>-1000</v>
      </c>
      <c r="BR36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369-1)/5),MAX((MIN(80,MAX(1,INT(((CROQUIS!$C$97)-CROQUIS!$C$107)/MAX(CROQUIS!$C$138,1))+1)))-1,0))*CROQUIS!$C$138),CHOOSE(IF(INT(($A369-1)/5)&gt;MAX((MIN(80,MAX(1,INT(((CROQUIS!$C$97)-CROQUIS!$C$107)/MAX(CROQUIS!$C$138,1))+1)))-1,0),0,MOD($A369-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69">
        <f>IF(AND(CROQUIS!$C$88=1,CROQUIS!$C$91=0,CROQUIS!$C$138&gt;0,OR(CROQUIS!$C$106=1,CROQUIS!$C$143=1)),((CROQUIS!$C$157+(IF(CROQUIS!$C$92="X",CHOOSE(IF(INT(($A369-1)/5)&gt;MAX((MIN(80,MAX(1,INT(((CROQUIS!$C$97)-CROQUIS!$C$107)/MAX(CROQUIS!$C$138,1))+1)))-1,0),0,MOD($A369-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369-1)/5),MAX((MIN(80,MAX(1,INT(((CROQUIS!$C$97)-CROQUIS!$C$107)/MAX(CROQUIS!$C$138,1))+1)))-1,0))*CROQUIS!$C$138)))*CROQUIS!$C$155)+IF(CROQUIS!$C$92="X",0,0)),-1000)</f>
        <v>-1000</v>
      </c>
      <c r="BT369">
        <f>IF(AND(CROQUIS!$C$88=1,CROQUIS!$C$91=1,CROQUIS!$C$130&gt;0),((CROQUIS!$C$156+(IF(CROQUIS!$C$92="X",CHOOSE(IF(INT(($A369-1)/5)&gt;MAX((MIN(80,MAX(1,INT(((CROQUIS!$C$98)-CROQUIS!$C$107)/MAX(CROQUIS!$C$130,1))+1)))-1,0),0,MOD($A369-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369-1)/5),MAX((MIN(80,MAX(1,INT(((CROQUIS!$C$98)-CROQUIS!$C$107)/MAX(CROQUIS!$C$130,1))+1)))-1,0))*CROQUIS!$C$130)))*CROQUIS!$C$155)+IF(CROQUIS!$C$92="X",0,0)),-1000)</f>
        <v>-1000</v>
      </c>
      <c r="BU369">
        <f>IF(AND(CROQUIS!$C$88=1,CROQUIS!$C$91=1,CROQUIS!$C$130&gt;0),((CROQUIS!$C$157+(IF(CROQUIS!$C$92="X",((CROQUIS!$C$107/2+(((CROQUIS!$C$98)-CROQUIS!$C$107)-(MIN(80,MAX(1,INT(((CROQUIS!$C$98)-CROQUIS!$C$107)/MAX(CROQUIS!$C$130,1))+1))-1)*CROQUIS!$C$130)/2)+MIN(INT(($A369-1)/5),MAX((MIN(80,MAX(1,INT(((CROQUIS!$C$98)-CROQUIS!$C$107)/MAX(CROQUIS!$C$130,1))+1)))-1,0))*CROQUIS!$C$130),CHOOSE(IF(INT(($A369-1)/5)&gt;MAX((MIN(80,MAX(1,INT(((CROQUIS!$C$98)-CROQUIS!$C$107)/MAX(CROQUIS!$C$130,1))+1)))-1,0),0,MOD($A369-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70">
      <c r="A370" t="n">
        <v>363</v>
      </c>
      <c r="BH370">
        <f>IF(AND(CROQUIS!$C$88=1,CROQUIS!$C$126&gt;0),((CROQUIS!$C$156+(IF(CROQUIS!$C$92="X",CHOOSE(IF(INT(($A370-1)/5)&gt;MAX((MIN(80,MAX(1,INT(((CROQUIS!$C$98)-CROQUIS!$C$107)/MAX(CROQUIS!$C$126,1))+1)))-1,0),0,MOD($A370-1,5))+1,0,2,CROQUIS!$C$97-2,2,0),((CROQUIS!$C$107/2+(((CROQUIS!$C$98)-CROQUIS!$C$107)-(MIN(80,MAX(1,INT(((CROQUIS!$C$98)-CROQUIS!$C$107)/MAX(CROQUIS!$C$126,1))+1))-1)*CROQUIS!$C$126)/2)+MIN(INT(($A370-1)/5),MAX((MIN(80,MAX(1,INT(((CROQUIS!$C$98)-CROQUIS!$C$107)/MAX(CROQUIS!$C$126,1))+1)))-1,0))*CROQUIS!$C$126)))*CROQUIS!$C$155)+IF(CROQUIS!$C$92="X",0,0)),-1000)</f>
        <v>-1000</v>
      </c>
      <c r="BI370">
        <f>IF(AND(CROQUIS!$C$88=1,CROQUIS!$C$126&gt;0),((CROQUIS!$C$157+(IF(CROQUIS!$C$92="X",((CROQUIS!$C$107/2+(((CROQUIS!$C$98)-CROQUIS!$C$107)-(MIN(80,MAX(1,INT(((CROQUIS!$C$98)-CROQUIS!$C$107)/MAX(CROQUIS!$C$126,1))+1))-1)*CROQUIS!$C$126)/2)+MIN(INT(($A370-1)/5),MAX((MIN(80,MAX(1,INT(((CROQUIS!$C$98)-CROQUIS!$C$107)/MAX(CROQUIS!$C$126,1))+1)))-1,0))*CROQUIS!$C$126),CHOOSE(IF(INT(($A370-1)/5)&gt;MAX((MIN(80,MAX(1,INT(((CROQUIS!$C$98)-CROQUIS!$C$107)/MAX(CROQUIS!$C$126,1))+1)))-1,0),0,MOD($A370-1,5))+1,0,2,CROQUIS!$C$97-2,2,0)))*CROQUIS!$C$155)+IF(CROQUIS!$C$92="X",0,0)),-1000)</f>
        <v>-1000</v>
      </c>
      <c r="BJ370">
        <f>IF(AND(CROQUIS!$C$88=1,CROQUIS!$C$134&gt;0),((CROQUIS!$C$156+(IF(CROQUIS!$C$92="X",((CROQUIS!$C$107/2+(((CROQUIS!$C$97)-CROQUIS!$C$107)-(MIN(80,MAX(1,INT(((CROQUIS!$C$97)-CROQUIS!$C$107)/MAX(CROQUIS!$C$134,1))+1))-1)*CROQUIS!$C$134)/2)+MIN(INT(($A370-1)/5),MAX((MIN(80,MAX(1,INT(((CROQUIS!$C$97)-CROQUIS!$C$107)/MAX(CROQUIS!$C$134,1))+1)))-1,0))*CROQUIS!$C$134),CHOOSE(IF(INT(($A370-1)/5)&gt;MAX((MIN(80,MAX(1,INT(((CROQUIS!$C$97)-CROQUIS!$C$107)/MAX(CROQUIS!$C$134,1))+1)))-1,0),0,MOD($A370-1,5))+1,0,2,CROQUIS!$C$98-2,2,0)))*CROQUIS!$C$155)+IF(CROQUIS!$C$92="X",0,0)),-1000)</f>
        <v>-1000</v>
      </c>
      <c r="BK370">
        <f>IF(AND(CROQUIS!$C$88=1,CROQUIS!$C$134&gt;0),((CROQUIS!$C$157+(IF(CROQUIS!$C$92="X",CHOOSE(IF(INT(($A370-1)/5)&gt;MAX((MIN(80,MAX(1,INT(((CROQUIS!$C$97)-CROQUIS!$C$107)/MAX(CROQUIS!$C$134,1))+1)))-1,0),0,MOD($A370-1,5))+1,0,2,CROQUIS!$C$98-2,2,0),((CROQUIS!$C$107/2+(((CROQUIS!$C$97)-CROQUIS!$C$107)-(MIN(80,MAX(1,INT(((CROQUIS!$C$97)-CROQUIS!$C$107)/MAX(CROQUIS!$C$134,1))+1))-1)*CROQUIS!$C$134)/2)+MIN(INT(($A370-1)/5),MAX((MIN(80,MAX(1,INT(((CROQUIS!$C$97)-CROQUIS!$C$107)/MAX(CROQUIS!$C$134,1))+1)))-1,0))*CROQUIS!$C$134)))*CROQUIS!$C$155)+IF(CROQUIS!$C$92="X",0,0)),-1000)</f>
        <v>-1000</v>
      </c>
      <c r="BL370">
        <f>IF(AND(CROQUIS!$C$88=1,CROQUIS!$C$91=0,CROQUIS!$C$130&gt;0,OR(CROQUIS!$C$103=1,CROQUIS!$C$142=1)),((CROQUIS!$C$156+(IF(CROQUIS!$C$92="X",CHOOSE(IF(INT(($A370-1)/5)&gt;MAX((MIN(80,MAX(1,INT(((CROQUIS!$C$98)-CROQUIS!$C$107)/MAX(CROQUIS!$C$130,1))+1)))-1,0),0,MOD($A370-1,5))+1,0,IF(CROQUIS!$C$103=1,-12,2),CROQUIS!$C$107/2+CROQUIS!$C$140,IF(CROQUIS!$C$103=1,-12,2),0),((CROQUIS!$C$107/2+(((CROQUIS!$C$98)-CROQUIS!$C$107)-(MIN(80,MAX(1,INT(((CROQUIS!$C$98)-CROQUIS!$C$107)/MAX(CROQUIS!$C$130,1))+1))-1)*CROQUIS!$C$130)/2)+MIN(INT(($A370-1)/5),MAX((MIN(80,MAX(1,INT(((CROQUIS!$C$98)-CROQUIS!$C$107)/MAX(CROQUIS!$C$130,1))+1)))-1,0))*CROQUIS!$C$130)))*CROQUIS!$C$155)+IF(CROQUIS!$C$92="X",0,0)),-1000)</f>
        <v>-1000</v>
      </c>
      <c r="BM37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370-1)/5),MAX((MIN(80,MAX(1,INT(((CROQUIS!$C$98)-CROQUIS!$C$107)/MAX(CROQUIS!$C$130,1))+1)))-1,0))*CROQUIS!$C$130),CHOOSE(IF(INT(($A370-1)/5)&gt;MAX((MIN(80,MAX(1,INT(((CROQUIS!$C$98)-CROQUIS!$C$107)/MAX(CROQUIS!$C$130,1))+1)))-1,0),0,MOD($A370-1,5))+1,0,IF(CROQUIS!$C$103=1,-12,2),CROQUIS!$C$107/2+CROQUIS!$C$140,IF(CROQUIS!$C$103=1,-12,2),0)))*CROQUIS!$C$155)+IF(CROQUIS!$C$92="X",0,0)),-1000)</f>
        <v>-1000</v>
      </c>
      <c r="BN370">
        <f>IF(AND(CROQUIS!$C$88=1,CROQUIS!$C$91=0,CROQUIS!$C$130&gt;0,OR(CROQUIS!$C$104=1,CROQUIS!$C$142=1)),((CROQUIS!$C$156+(IF(CROQUIS!$C$92="X",CHOOSE(IF(INT(($A370-1)/5)&gt;MAX((MIN(80,MAX(1,INT(((CROQUIS!$C$98)-CROQUIS!$C$107)/MAX(CROQUIS!$C$130,1))+1)))-1,0),0,MOD($A370-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370-1)/5),MAX((MIN(80,MAX(1,INT(((CROQUIS!$C$98)-CROQUIS!$C$107)/MAX(CROQUIS!$C$130,1))+1)))-1,0))*CROQUIS!$C$130)))*CROQUIS!$C$155)+IF(CROQUIS!$C$92="X",0,0)),-1000)</f>
        <v>-1000</v>
      </c>
      <c r="BO37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370-1)/5),MAX((MIN(80,MAX(1,INT(((CROQUIS!$C$98)-CROQUIS!$C$107)/MAX(CROQUIS!$C$130,1))+1)))-1,0))*CROQUIS!$C$130),CHOOSE(IF(INT(($A370-1)/5)&gt;MAX((MIN(80,MAX(1,INT(((CROQUIS!$C$98)-CROQUIS!$C$107)/MAX(CROQUIS!$C$130,1))+1)))-1,0),0,MOD($A370-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7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370-1)/5),MAX((MIN(80,MAX(1,INT(((CROQUIS!$C$97)-CROQUIS!$C$107)/MAX(CROQUIS!$C$138,1))+1)))-1,0))*CROQUIS!$C$138),CHOOSE(IF(INT(($A370-1)/5)&gt;MAX((MIN(80,MAX(1,INT(((CROQUIS!$C$97)-CROQUIS!$C$107)/MAX(CROQUIS!$C$138,1))+1)))-1,0),0,MOD($A370-1,5))+1,0,IF(CROQUIS!$C$105=1,-12,2),CROQUIS!$C$107/2+CROQUIS!$C$141,IF(CROQUIS!$C$105=1,-12,2),0)))*CROQUIS!$C$155)+IF(CROQUIS!$C$92="X",0,0)),-1000)</f>
        <v>-1000</v>
      </c>
      <c r="BQ370">
        <f>IF(AND(CROQUIS!$C$88=1,CROQUIS!$C$91=0,CROQUIS!$C$138&gt;0,OR(CROQUIS!$C$105=1,CROQUIS!$C$143=1)),((CROQUIS!$C$157+(IF(CROQUIS!$C$92="X",CHOOSE(IF(INT(($A370-1)/5)&gt;MAX((MIN(80,MAX(1,INT(((CROQUIS!$C$97)-CROQUIS!$C$107)/MAX(CROQUIS!$C$138,1))+1)))-1,0),0,MOD($A370-1,5))+1,0,IF(CROQUIS!$C$105=1,-12,2),CROQUIS!$C$107/2+CROQUIS!$C$141,IF(CROQUIS!$C$105=1,-12,2),0),((CROQUIS!$C$107/2+(((CROQUIS!$C$97)-CROQUIS!$C$107)-(MIN(80,MAX(1,INT(((CROQUIS!$C$97)-CROQUIS!$C$107)/MAX(CROQUIS!$C$138,1))+1))-1)*CROQUIS!$C$138)/2)+MIN(INT(($A370-1)/5),MAX((MIN(80,MAX(1,INT(((CROQUIS!$C$97)-CROQUIS!$C$107)/MAX(CROQUIS!$C$138,1))+1)))-1,0))*CROQUIS!$C$138)))*CROQUIS!$C$155)+IF(CROQUIS!$C$92="X",0,0)),-1000)</f>
        <v>-1000</v>
      </c>
      <c r="BR37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370-1)/5),MAX((MIN(80,MAX(1,INT(((CROQUIS!$C$97)-CROQUIS!$C$107)/MAX(CROQUIS!$C$138,1))+1)))-1,0))*CROQUIS!$C$138),CHOOSE(IF(INT(($A370-1)/5)&gt;MAX((MIN(80,MAX(1,INT(((CROQUIS!$C$97)-CROQUIS!$C$107)/MAX(CROQUIS!$C$138,1))+1)))-1,0),0,MOD($A370-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70">
        <f>IF(AND(CROQUIS!$C$88=1,CROQUIS!$C$91=0,CROQUIS!$C$138&gt;0,OR(CROQUIS!$C$106=1,CROQUIS!$C$143=1)),((CROQUIS!$C$157+(IF(CROQUIS!$C$92="X",CHOOSE(IF(INT(($A370-1)/5)&gt;MAX((MIN(80,MAX(1,INT(((CROQUIS!$C$97)-CROQUIS!$C$107)/MAX(CROQUIS!$C$138,1))+1)))-1,0),0,MOD($A370-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370-1)/5),MAX((MIN(80,MAX(1,INT(((CROQUIS!$C$97)-CROQUIS!$C$107)/MAX(CROQUIS!$C$138,1))+1)))-1,0))*CROQUIS!$C$138)))*CROQUIS!$C$155)+IF(CROQUIS!$C$92="X",0,0)),-1000)</f>
        <v>-1000</v>
      </c>
      <c r="BT370">
        <f>IF(AND(CROQUIS!$C$88=1,CROQUIS!$C$91=1,CROQUIS!$C$130&gt;0),((CROQUIS!$C$156+(IF(CROQUIS!$C$92="X",CHOOSE(IF(INT(($A370-1)/5)&gt;MAX((MIN(80,MAX(1,INT(((CROQUIS!$C$98)-CROQUIS!$C$107)/MAX(CROQUIS!$C$130,1))+1)))-1,0),0,MOD($A370-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370-1)/5),MAX((MIN(80,MAX(1,INT(((CROQUIS!$C$98)-CROQUIS!$C$107)/MAX(CROQUIS!$C$130,1))+1)))-1,0))*CROQUIS!$C$130)))*CROQUIS!$C$155)+IF(CROQUIS!$C$92="X",0,0)),-1000)</f>
        <v>-1000</v>
      </c>
      <c r="BU370">
        <f>IF(AND(CROQUIS!$C$88=1,CROQUIS!$C$91=1,CROQUIS!$C$130&gt;0),((CROQUIS!$C$157+(IF(CROQUIS!$C$92="X",((CROQUIS!$C$107/2+(((CROQUIS!$C$98)-CROQUIS!$C$107)-(MIN(80,MAX(1,INT(((CROQUIS!$C$98)-CROQUIS!$C$107)/MAX(CROQUIS!$C$130,1))+1))-1)*CROQUIS!$C$130)/2)+MIN(INT(($A370-1)/5),MAX((MIN(80,MAX(1,INT(((CROQUIS!$C$98)-CROQUIS!$C$107)/MAX(CROQUIS!$C$130,1))+1)))-1,0))*CROQUIS!$C$130),CHOOSE(IF(INT(($A370-1)/5)&gt;MAX((MIN(80,MAX(1,INT(((CROQUIS!$C$98)-CROQUIS!$C$107)/MAX(CROQUIS!$C$130,1))+1)))-1,0),0,MOD($A370-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71">
      <c r="A371" t="n">
        <v>364</v>
      </c>
      <c r="BH371">
        <f>IF(AND(CROQUIS!$C$88=1,CROQUIS!$C$126&gt;0),((CROQUIS!$C$156+(IF(CROQUIS!$C$92="X",CHOOSE(IF(INT(($A371-1)/5)&gt;MAX((MIN(80,MAX(1,INT(((CROQUIS!$C$98)-CROQUIS!$C$107)/MAX(CROQUIS!$C$126,1))+1)))-1,0),0,MOD($A371-1,5))+1,0,2,CROQUIS!$C$97-2,2,0),((CROQUIS!$C$107/2+(((CROQUIS!$C$98)-CROQUIS!$C$107)-(MIN(80,MAX(1,INT(((CROQUIS!$C$98)-CROQUIS!$C$107)/MAX(CROQUIS!$C$126,1))+1))-1)*CROQUIS!$C$126)/2)+MIN(INT(($A371-1)/5),MAX((MIN(80,MAX(1,INT(((CROQUIS!$C$98)-CROQUIS!$C$107)/MAX(CROQUIS!$C$126,1))+1)))-1,0))*CROQUIS!$C$126)))*CROQUIS!$C$155)+IF(CROQUIS!$C$92="X",0,0)),-1000)</f>
        <v>-1000</v>
      </c>
      <c r="BI371">
        <f>IF(AND(CROQUIS!$C$88=1,CROQUIS!$C$126&gt;0),((CROQUIS!$C$157+(IF(CROQUIS!$C$92="X",((CROQUIS!$C$107/2+(((CROQUIS!$C$98)-CROQUIS!$C$107)-(MIN(80,MAX(1,INT(((CROQUIS!$C$98)-CROQUIS!$C$107)/MAX(CROQUIS!$C$126,1))+1))-1)*CROQUIS!$C$126)/2)+MIN(INT(($A371-1)/5),MAX((MIN(80,MAX(1,INT(((CROQUIS!$C$98)-CROQUIS!$C$107)/MAX(CROQUIS!$C$126,1))+1)))-1,0))*CROQUIS!$C$126),CHOOSE(IF(INT(($A371-1)/5)&gt;MAX((MIN(80,MAX(1,INT(((CROQUIS!$C$98)-CROQUIS!$C$107)/MAX(CROQUIS!$C$126,1))+1)))-1,0),0,MOD($A371-1,5))+1,0,2,CROQUIS!$C$97-2,2,0)))*CROQUIS!$C$155)+IF(CROQUIS!$C$92="X",0,0)),-1000)</f>
        <v>-1000</v>
      </c>
      <c r="BJ371">
        <f>IF(AND(CROQUIS!$C$88=1,CROQUIS!$C$134&gt;0),((CROQUIS!$C$156+(IF(CROQUIS!$C$92="X",((CROQUIS!$C$107/2+(((CROQUIS!$C$97)-CROQUIS!$C$107)-(MIN(80,MAX(1,INT(((CROQUIS!$C$97)-CROQUIS!$C$107)/MAX(CROQUIS!$C$134,1))+1))-1)*CROQUIS!$C$134)/2)+MIN(INT(($A371-1)/5),MAX((MIN(80,MAX(1,INT(((CROQUIS!$C$97)-CROQUIS!$C$107)/MAX(CROQUIS!$C$134,1))+1)))-1,0))*CROQUIS!$C$134),CHOOSE(IF(INT(($A371-1)/5)&gt;MAX((MIN(80,MAX(1,INT(((CROQUIS!$C$97)-CROQUIS!$C$107)/MAX(CROQUIS!$C$134,1))+1)))-1,0),0,MOD($A371-1,5))+1,0,2,CROQUIS!$C$98-2,2,0)))*CROQUIS!$C$155)+IF(CROQUIS!$C$92="X",0,0)),-1000)</f>
        <v>-1000</v>
      </c>
      <c r="BK371">
        <f>IF(AND(CROQUIS!$C$88=1,CROQUIS!$C$134&gt;0),((CROQUIS!$C$157+(IF(CROQUIS!$C$92="X",CHOOSE(IF(INT(($A371-1)/5)&gt;MAX((MIN(80,MAX(1,INT(((CROQUIS!$C$97)-CROQUIS!$C$107)/MAX(CROQUIS!$C$134,1))+1)))-1,0),0,MOD($A371-1,5))+1,0,2,CROQUIS!$C$98-2,2,0),((CROQUIS!$C$107/2+(((CROQUIS!$C$97)-CROQUIS!$C$107)-(MIN(80,MAX(1,INT(((CROQUIS!$C$97)-CROQUIS!$C$107)/MAX(CROQUIS!$C$134,1))+1))-1)*CROQUIS!$C$134)/2)+MIN(INT(($A371-1)/5),MAX((MIN(80,MAX(1,INT(((CROQUIS!$C$97)-CROQUIS!$C$107)/MAX(CROQUIS!$C$134,1))+1)))-1,0))*CROQUIS!$C$134)))*CROQUIS!$C$155)+IF(CROQUIS!$C$92="X",0,0)),-1000)</f>
        <v>-1000</v>
      </c>
      <c r="BL371">
        <f>IF(AND(CROQUIS!$C$88=1,CROQUIS!$C$91=0,CROQUIS!$C$130&gt;0,OR(CROQUIS!$C$103=1,CROQUIS!$C$142=1)),((CROQUIS!$C$156+(IF(CROQUIS!$C$92="X",CHOOSE(IF(INT(($A371-1)/5)&gt;MAX((MIN(80,MAX(1,INT(((CROQUIS!$C$98)-CROQUIS!$C$107)/MAX(CROQUIS!$C$130,1))+1)))-1,0),0,MOD($A371-1,5))+1,0,IF(CROQUIS!$C$103=1,-12,2),CROQUIS!$C$107/2+CROQUIS!$C$140,IF(CROQUIS!$C$103=1,-12,2),0),((CROQUIS!$C$107/2+(((CROQUIS!$C$98)-CROQUIS!$C$107)-(MIN(80,MAX(1,INT(((CROQUIS!$C$98)-CROQUIS!$C$107)/MAX(CROQUIS!$C$130,1))+1))-1)*CROQUIS!$C$130)/2)+MIN(INT(($A371-1)/5),MAX((MIN(80,MAX(1,INT(((CROQUIS!$C$98)-CROQUIS!$C$107)/MAX(CROQUIS!$C$130,1))+1)))-1,0))*CROQUIS!$C$130)))*CROQUIS!$C$155)+IF(CROQUIS!$C$92="X",0,0)),-1000)</f>
        <v>-1000</v>
      </c>
      <c r="BM37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371-1)/5),MAX((MIN(80,MAX(1,INT(((CROQUIS!$C$98)-CROQUIS!$C$107)/MAX(CROQUIS!$C$130,1))+1)))-1,0))*CROQUIS!$C$130),CHOOSE(IF(INT(($A371-1)/5)&gt;MAX((MIN(80,MAX(1,INT(((CROQUIS!$C$98)-CROQUIS!$C$107)/MAX(CROQUIS!$C$130,1))+1)))-1,0),0,MOD($A371-1,5))+1,0,IF(CROQUIS!$C$103=1,-12,2),CROQUIS!$C$107/2+CROQUIS!$C$140,IF(CROQUIS!$C$103=1,-12,2),0)))*CROQUIS!$C$155)+IF(CROQUIS!$C$92="X",0,0)),-1000)</f>
        <v>-1000</v>
      </c>
      <c r="BN371">
        <f>IF(AND(CROQUIS!$C$88=1,CROQUIS!$C$91=0,CROQUIS!$C$130&gt;0,OR(CROQUIS!$C$104=1,CROQUIS!$C$142=1)),((CROQUIS!$C$156+(IF(CROQUIS!$C$92="X",CHOOSE(IF(INT(($A371-1)/5)&gt;MAX((MIN(80,MAX(1,INT(((CROQUIS!$C$98)-CROQUIS!$C$107)/MAX(CROQUIS!$C$130,1))+1)))-1,0),0,MOD($A371-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371-1)/5),MAX((MIN(80,MAX(1,INT(((CROQUIS!$C$98)-CROQUIS!$C$107)/MAX(CROQUIS!$C$130,1))+1)))-1,0))*CROQUIS!$C$130)))*CROQUIS!$C$155)+IF(CROQUIS!$C$92="X",0,0)),-1000)</f>
        <v>-1000</v>
      </c>
      <c r="BO37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371-1)/5),MAX((MIN(80,MAX(1,INT(((CROQUIS!$C$98)-CROQUIS!$C$107)/MAX(CROQUIS!$C$130,1))+1)))-1,0))*CROQUIS!$C$130),CHOOSE(IF(INT(($A371-1)/5)&gt;MAX((MIN(80,MAX(1,INT(((CROQUIS!$C$98)-CROQUIS!$C$107)/MAX(CROQUIS!$C$130,1))+1)))-1,0),0,MOD($A371-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7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371-1)/5),MAX((MIN(80,MAX(1,INT(((CROQUIS!$C$97)-CROQUIS!$C$107)/MAX(CROQUIS!$C$138,1))+1)))-1,0))*CROQUIS!$C$138),CHOOSE(IF(INT(($A371-1)/5)&gt;MAX((MIN(80,MAX(1,INT(((CROQUIS!$C$97)-CROQUIS!$C$107)/MAX(CROQUIS!$C$138,1))+1)))-1,0),0,MOD($A371-1,5))+1,0,IF(CROQUIS!$C$105=1,-12,2),CROQUIS!$C$107/2+CROQUIS!$C$141,IF(CROQUIS!$C$105=1,-12,2),0)))*CROQUIS!$C$155)+IF(CROQUIS!$C$92="X",0,0)),-1000)</f>
        <v>-1000</v>
      </c>
      <c r="BQ371">
        <f>IF(AND(CROQUIS!$C$88=1,CROQUIS!$C$91=0,CROQUIS!$C$138&gt;0,OR(CROQUIS!$C$105=1,CROQUIS!$C$143=1)),((CROQUIS!$C$157+(IF(CROQUIS!$C$92="X",CHOOSE(IF(INT(($A371-1)/5)&gt;MAX((MIN(80,MAX(1,INT(((CROQUIS!$C$97)-CROQUIS!$C$107)/MAX(CROQUIS!$C$138,1))+1)))-1,0),0,MOD($A371-1,5))+1,0,IF(CROQUIS!$C$105=1,-12,2),CROQUIS!$C$107/2+CROQUIS!$C$141,IF(CROQUIS!$C$105=1,-12,2),0),((CROQUIS!$C$107/2+(((CROQUIS!$C$97)-CROQUIS!$C$107)-(MIN(80,MAX(1,INT(((CROQUIS!$C$97)-CROQUIS!$C$107)/MAX(CROQUIS!$C$138,1))+1))-1)*CROQUIS!$C$138)/2)+MIN(INT(($A371-1)/5),MAX((MIN(80,MAX(1,INT(((CROQUIS!$C$97)-CROQUIS!$C$107)/MAX(CROQUIS!$C$138,1))+1)))-1,0))*CROQUIS!$C$138)))*CROQUIS!$C$155)+IF(CROQUIS!$C$92="X",0,0)),-1000)</f>
        <v>-1000</v>
      </c>
      <c r="BR37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371-1)/5),MAX((MIN(80,MAX(1,INT(((CROQUIS!$C$97)-CROQUIS!$C$107)/MAX(CROQUIS!$C$138,1))+1)))-1,0))*CROQUIS!$C$138),CHOOSE(IF(INT(($A371-1)/5)&gt;MAX((MIN(80,MAX(1,INT(((CROQUIS!$C$97)-CROQUIS!$C$107)/MAX(CROQUIS!$C$138,1))+1)))-1,0),0,MOD($A371-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71">
        <f>IF(AND(CROQUIS!$C$88=1,CROQUIS!$C$91=0,CROQUIS!$C$138&gt;0,OR(CROQUIS!$C$106=1,CROQUIS!$C$143=1)),((CROQUIS!$C$157+(IF(CROQUIS!$C$92="X",CHOOSE(IF(INT(($A371-1)/5)&gt;MAX((MIN(80,MAX(1,INT(((CROQUIS!$C$97)-CROQUIS!$C$107)/MAX(CROQUIS!$C$138,1))+1)))-1,0),0,MOD($A371-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371-1)/5),MAX((MIN(80,MAX(1,INT(((CROQUIS!$C$97)-CROQUIS!$C$107)/MAX(CROQUIS!$C$138,1))+1)))-1,0))*CROQUIS!$C$138)))*CROQUIS!$C$155)+IF(CROQUIS!$C$92="X",0,0)),-1000)</f>
        <v>-1000</v>
      </c>
      <c r="BT371">
        <f>IF(AND(CROQUIS!$C$88=1,CROQUIS!$C$91=1,CROQUIS!$C$130&gt;0),((CROQUIS!$C$156+(IF(CROQUIS!$C$92="X",CHOOSE(IF(INT(($A371-1)/5)&gt;MAX((MIN(80,MAX(1,INT(((CROQUIS!$C$98)-CROQUIS!$C$107)/MAX(CROQUIS!$C$130,1))+1)))-1,0),0,MOD($A371-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371-1)/5),MAX((MIN(80,MAX(1,INT(((CROQUIS!$C$98)-CROQUIS!$C$107)/MAX(CROQUIS!$C$130,1))+1)))-1,0))*CROQUIS!$C$130)))*CROQUIS!$C$155)+IF(CROQUIS!$C$92="X",0,0)),-1000)</f>
        <v>-1000</v>
      </c>
      <c r="BU371">
        <f>IF(AND(CROQUIS!$C$88=1,CROQUIS!$C$91=1,CROQUIS!$C$130&gt;0),((CROQUIS!$C$157+(IF(CROQUIS!$C$92="X",((CROQUIS!$C$107/2+(((CROQUIS!$C$98)-CROQUIS!$C$107)-(MIN(80,MAX(1,INT(((CROQUIS!$C$98)-CROQUIS!$C$107)/MAX(CROQUIS!$C$130,1))+1))-1)*CROQUIS!$C$130)/2)+MIN(INT(($A371-1)/5),MAX((MIN(80,MAX(1,INT(((CROQUIS!$C$98)-CROQUIS!$C$107)/MAX(CROQUIS!$C$130,1))+1)))-1,0))*CROQUIS!$C$130),CHOOSE(IF(INT(($A371-1)/5)&gt;MAX((MIN(80,MAX(1,INT(((CROQUIS!$C$98)-CROQUIS!$C$107)/MAX(CROQUIS!$C$130,1))+1)))-1,0),0,MOD($A371-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72">
      <c r="A372" t="n">
        <v>365</v>
      </c>
      <c r="BH372">
        <f>IF(AND(CROQUIS!$C$88=1,CROQUIS!$C$126&gt;0),((CROQUIS!$C$156+(IF(CROQUIS!$C$92="X",CHOOSE(IF(INT(($A372-1)/5)&gt;MAX((MIN(80,MAX(1,INT(((CROQUIS!$C$98)-CROQUIS!$C$107)/MAX(CROQUIS!$C$126,1))+1)))-1,0),0,MOD($A372-1,5))+1,0,2,CROQUIS!$C$97-2,2,0),((CROQUIS!$C$107/2+(((CROQUIS!$C$98)-CROQUIS!$C$107)-(MIN(80,MAX(1,INT(((CROQUIS!$C$98)-CROQUIS!$C$107)/MAX(CROQUIS!$C$126,1))+1))-1)*CROQUIS!$C$126)/2)+MIN(INT(($A372-1)/5),MAX((MIN(80,MAX(1,INT(((CROQUIS!$C$98)-CROQUIS!$C$107)/MAX(CROQUIS!$C$126,1))+1)))-1,0))*CROQUIS!$C$126)))*CROQUIS!$C$155)+IF(CROQUIS!$C$92="X",0,0)),-1000)</f>
        <v>-1000</v>
      </c>
      <c r="BI372">
        <f>IF(AND(CROQUIS!$C$88=1,CROQUIS!$C$126&gt;0),((CROQUIS!$C$157+(IF(CROQUIS!$C$92="X",((CROQUIS!$C$107/2+(((CROQUIS!$C$98)-CROQUIS!$C$107)-(MIN(80,MAX(1,INT(((CROQUIS!$C$98)-CROQUIS!$C$107)/MAX(CROQUIS!$C$126,1))+1))-1)*CROQUIS!$C$126)/2)+MIN(INT(($A372-1)/5),MAX((MIN(80,MAX(1,INT(((CROQUIS!$C$98)-CROQUIS!$C$107)/MAX(CROQUIS!$C$126,1))+1)))-1,0))*CROQUIS!$C$126),CHOOSE(IF(INT(($A372-1)/5)&gt;MAX((MIN(80,MAX(1,INT(((CROQUIS!$C$98)-CROQUIS!$C$107)/MAX(CROQUIS!$C$126,1))+1)))-1,0),0,MOD($A372-1,5))+1,0,2,CROQUIS!$C$97-2,2,0)))*CROQUIS!$C$155)+IF(CROQUIS!$C$92="X",0,0)),-1000)</f>
        <v>-1000</v>
      </c>
      <c r="BJ372">
        <f>IF(AND(CROQUIS!$C$88=1,CROQUIS!$C$134&gt;0),((CROQUIS!$C$156+(IF(CROQUIS!$C$92="X",((CROQUIS!$C$107/2+(((CROQUIS!$C$97)-CROQUIS!$C$107)-(MIN(80,MAX(1,INT(((CROQUIS!$C$97)-CROQUIS!$C$107)/MAX(CROQUIS!$C$134,1))+1))-1)*CROQUIS!$C$134)/2)+MIN(INT(($A372-1)/5),MAX((MIN(80,MAX(1,INT(((CROQUIS!$C$97)-CROQUIS!$C$107)/MAX(CROQUIS!$C$134,1))+1)))-1,0))*CROQUIS!$C$134),CHOOSE(IF(INT(($A372-1)/5)&gt;MAX((MIN(80,MAX(1,INT(((CROQUIS!$C$97)-CROQUIS!$C$107)/MAX(CROQUIS!$C$134,1))+1)))-1,0),0,MOD($A372-1,5))+1,0,2,CROQUIS!$C$98-2,2,0)))*CROQUIS!$C$155)+IF(CROQUIS!$C$92="X",0,0)),-1000)</f>
        <v>-1000</v>
      </c>
      <c r="BK372">
        <f>IF(AND(CROQUIS!$C$88=1,CROQUIS!$C$134&gt;0),((CROQUIS!$C$157+(IF(CROQUIS!$C$92="X",CHOOSE(IF(INT(($A372-1)/5)&gt;MAX((MIN(80,MAX(1,INT(((CROQUIS!$C$97)-CROQUIS!$C$107)/MAX(CROQUIS!$C$134,1))+1)))-1,0),0,MOD($A372-1,5))+1,0,2,CROQUIS!$C$98-2,2,0),((CROQUIS!$C$107/2+(((CROQUIS!$C$97)-CROQUIS!$C$107)-(MIN(80,MAX(1,INT(((CROQUIS!$C$97)-CROQUIS!$C$107)/MAX(CROQUIS!$C$134,1))+1))-1)*CROQUIS!$C$134)/2)+MIN(INT(($A372-1)/5),MAX((MIN(80,MAX(1,INT(((CROQUIS!$C$97)-CROQUIS!$C$107)/MAX(CROQUIS!$C$134,1))+1)))-1,0))*CROQUIS!$C$134)))*CROQUIS!$C$155)+IF(CROQUIS!$C$92="X",0,0)),-1000)</f>
        <v>-1000</v>
      </c>
      <c r="BL372">
        <f>IF(AND(CROQUIS!$C$88=1,CROQUIS!$C$91=0,CROQUIS!$C$130&gt;0,OR(CROQUIS!$C$103=1,CROQUIS!$C$142=1)),((CROQUIS!$C$156+(IF(CROQUIS!$C$92="X",CHOOSE(IF(INT(($A372-1)/5)&gt;MAX((MIN(80,MAX(1,INT(((CROQUIS!$C$98)-CROQUIS!$C$107)/MAX(CROQUIS!$C$130,1))+1)))-1,0),0,MOD($A372-1,5))+1,0,IF(CROQUIS!$C$103=1,-12,2),CROQUIS!$C$107/2+CROQUIS!$C$140,IF(CROQUIS!$C$103=1,-12,2),0),((CROQUIS!$C$107/2+(((CROQUIS!$C$98)-CROQUIS!$C$107)-(MIN(80,MAX(1,INT(((CROQUIS!$C$98)-CROQUIS!$C$107)/MAX(CROQUIS!$C$130,1))+1))-1)*CROQUIS!$C$130)/2)+MIN(INT(($A372-1)/5),MAX((MIN(80,MAX(1,INT(((CROQUIS!$C$98)-CROQUIS!$C$107)/MAX(CROQUIS!$C$130,1))+1)))-1,0))*CROQUIS!$C$130)))*CROQUIS!$C$155)+IF(CROQUIS!$C$92="X",0,0)),-1000)</f>
        <v>-1000</v>
      </c>
      <c r="BM37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372-1)/5),MAX((MIN(80,MAX(1,INT(((CROQUIS!$C$98)-CROQUIS!$C$107)/MAX(CROQUIS!$C$130,1))+1)))-1,0))*CROQUIS!$C$130),CHOOSE(IF(INT(($A372-1)/5)&gt;MAX((MIN(80,MAX(1,INT(((CROQUIS!$C$98)-CROQUIS!$C$107)/MAX(CROQUIS!$C$130,1))+1)))-1,0),0,MOD($A372-1,5))+1,0,IF(CROQUIS!$C$103=1,-12,2),CROQUIS!$C$107/2+CROQUIS!$C$140,IF(CROQUIS!$C$103=1,-12,2),0)))*CROQUIS!$C$155)+IF(CROQUIS!$C$92="X",0,0)),-1000)</f>
        <v>-1000</v>
      </c>
      <c r="BN372">
        <f>IF(AND(CROQUIS!$C$88=1,CROQUIS!$C$91=0,CROQUIS!$C$130&gt;0,OR(CROQUIS!$C$104=1,CROQUIS!$C$142=1)),((CROQUIS!$C$156+(IF(CROQUIS!$C$92="X",CHOOSE(IF(INT(($A372-1)/5)&gt;MAX((MIN(80,MAX(1,INT(((CROQUIS!$C$98)-CROQUIS!$C$107)/MAX(CROQUIS!$C$130,1))+1)))-1,0),0,MOD($A372-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372-1)/5),MAX((MIN(80,MAX(1,INT(((CROQUIS!$C$98)-CROQUIS!$C$107)/MAX(CROQUIS!$C$130,1))+1)))-1,0))*CROQUIS!$C$130)))*CROQUIS!$C$155)+IF(CROQUIS!$C$92="X",0,0)),-1000)</f>
        <v>-1000</v>
      </c>
      <c r="BO37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372-1)/5),MAX((MIN(80,MAX(1,INT(((CROQUIS!$C$98)-CROQUIS!$C$107)/MAX(CROQUIS!$C$130,1))+1)))-1,0))*CROQUIS!$C$130),CHOOSE(IF(INT(($A372-1)/5)&gt;MAX((MIN(80,MAX(1,INT(((CROQUIS!$C$98)-CROQUIS!$C$107)/MAX(CROQUIS!$C$130,1))+1)))-1,0),0,MOD($A372-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7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372-1)/5),MAX((MIN(80,MAX(1,INT(((CROQUIS!$C$97)-CROQUIS!$C$107)/MAX(CROQUIS!$C$138,1))+1)))-1,0))*CROQUIS!$C$138),CHOOSE(IF(INT(($A372-1)/5)&gt;MAX((MIN(80,MAX(1,INT(((CROQUIS!$C$97)-CROQUIS!$C$107)/MAX(CROQUIS!$C$138,1))+1)))-1,0),0,MOD($A372-1,5))+1,0,IF(CROQUIS!$C$105=1,-12,2),CROQUIS!$C$107/2+CROQUIS!$C$141,IF(CROQUIS!$C$105=1,-12,2),0)))*CROQUIS!$C$155)+IF(CROQUIS!$C$92="X",0,0)),-1000)</f>
        <v>-1000</v>
      </c>
      <c r="BQ372">
        <f>IF(AND(CROQUIS!$C$88=1,CROQUIS!$C$91=0,CROQUIS!$C$138&gt;0,OR(CROQUIS!$C$105=1,CROQUIS!$C$143=1)),((CROQUIS!$C$157+(IF(CROQUIS!$C$92="X",CHOOSE(IF(INT(($A372-1)/5)&gt;MAX((MIN(80,MAX(1,INT(((CROQUIS!$C$97)-CROQUIS!$C$107)/MAX(CROQUIS!$C$138,1))+1)))-1,0),0,MOD($A372-1,5))+1,0,IF(CROQUIS!$C$105=1,-12,2),CROQUIS!$C$107/2+CROQUIS!$C$141,IF(CROQUIS!$C$105=1,-12,2),0),((CROQUIS!$C$107/2+(((CROQUIS!$C$97)-CROQUIS!$C$107)-(MIN(80,MAX(1,INT(((CROQUIS!$C$97)-CROQUIS!$C$107)/MAX(CROQUIS!$C$138,1))+1))-1)*CROQUIS!$C$138)/2)+MIN(INT(($A372-1)/5),MAX((MIN(80,MAX(1,INT(((CROQUIS!$C$97)-CROQUIS!$C$107)/MAX(CROQUIS!$C$138,1))+1)))-1,0))*CROQUIS!$C$138)))*CROQUIS!$C$155)+IF(CROQUIS!$C$92="X",0,0)),-1000)</f>
        <v>-1000</v>
      </c>
      <c r="BR37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372-1)/5),MAX((MIN(80,MAX(1,INT(((CROQUIS!$C$97)-CROQUIS!$C$107)/MAX(CROQUIS!$C$138,1))+1)))-1,0))*CROQUIS!$C$138),CHOOSE(IF(INT(($A372-1)/5)&gt;MAX((MIN(80,MAX(1,INT(((CROQUIS!$C$97)-CROQUIS!$C$107)/MAX(CROQUIS!$C$138,1))+1)))-1,0),0,MOD($A372-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72">
        <f>IF(AND(CROQUIS!$C$88=1,CROQUIS!$C$91=0,CROQUIS!$C$138&gt;0,OR(CROQUIS!$C$106=1,CROQUIS!$C$143=1)),((CROQUIS!$C$157+(IF(CROQUIS!$C$92="X",CHOOSE(IF(INT(($A372-1)/5)&gt;MAX((MIN(80,MAX(1,INT(((CROQUIS!$C$97)-CROQUIS!$C$107)/MAX(CROQUIS!$C$138,1))+1)))-1,0),0,MOD($A372-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372-1)/5),MAX((MIN(80,MAX(1,INT(((CROQUIS!$C$97)-CROQUIS!$C$107)/MAX(CROQUIS!$C$138,1))+1)))-1,0))*CROQUIS!$C$138)))*CROQUIS!$C$155)+IF(CROQUIS!$C$92="X",0,0)),-1000)</f>
        <v>-1000</v>
      </c>
      <c r="BT372">
        <f>IF(AND(CROQUIS!$C$88=1,CROQUIS!$C$91=1,CROQUIS!$C$130&gt;0),((CROQUIS!$C$156+(IF(CROQUIS!$C$92="X",CHOOSE(IF(INT(($A372-1)/5)&gt;MAX((MIN(80,MAX(1,INT(((CROQUIS!$C$98)-CROQUIS!$C$107)/MAX(CROQUIS!$C$130,1))+1)))-1,0),0,MOD($A372-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372-1)/5),MAX((MIN(80,MAX(1,INT(((CROQUIS!$C$98)-CROQUIS!$C$107)/MAX(CROQUIS!$C$130,1))+1)))-1,0))*CROQUIS!$C$130)))*CROQUIS!$C$155)+IF(CROQUIS!$C$92="X",0,0)),-1000)</f>
        <v>-1000</v>
      </c>
      <c r="BU372">
        <f>IF(AND(CROQUIS!$C$88=1,CROQUIS!$C$91=1,CROQUIS!$C$130&gt;0),((CROQUIS!$C$157+(IF(CROQUIS!$C$92="X",((CROQUIS!$C$107/2+(((CROQUIS!$C$98)-CROQUIS!$C$107)-(MIN(80,MAX(1,INT(((CROQUIS!$C$98)-CROQUIS!$C$107)/MAX(CROQUIS!$C$130,1))+1))-1)*CROQUIS!$C$130)/2)+MIN(INT(($A372-1)/5),MAX((MIN(80,MAX(1,INT(((CROQUIS!$C$98)-CROQUIS!$C$107)/MAX(CROQUIS!$C$130,1))+1)))-1,0))*CROQUIS!$C$130),CHOOSE(IF(INT(($A372-1)/5)&gt;MAX((MIN(80,MAX(1,INT(((CROQUIS!$C$98)-CROQUIS!$C$107)/MAX(CROQUIS!$C$130,1))+1)))-1,0),0,MOD($A372-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73">
      <c r="A373" t="n">
        <v>366</v>
      </c>
      <c r="BH373">
        <f>IF(AND(CROQUIS!$C$88=1,CROQUIS!$C$126&gt;0),((CROQUIS!$C$156+(IF(CROQUIS!$C$92="X",CHOOSE(IF(INT(($A373-1)/5)&gt;MAX((MIN(80,MAX(1,INT(((CROQUIS!$C$98)-CROQUIS!$C$107)/MAX(CROQUIS!$C$126,1))+1)))-1,0),0,MOD($A373-1,5))+1,0,2,CROQUIS!$C$97-2,2,0),((CROQUIS!$C$107/2+(((CROQUIS!$C$98)-CROQUIS!$C$107)-(MIN(80,MAX(1,INT(((CROQUIS!$C$98)-CROQUIS!$C$107)/MAX(CROQUIS!$C$126,1))+1))-1)*CROQUIS!$C$126)/2)+MIN(INT(($A373-1)/5),MAX((MIN(80,MAX(1,INT(((CROQUIS!$C$98)-CROQUIS!$C$107)/MAX(CROQUIS!$C$126,1))+1)))-1,0))*CROQUIS!$C$126)))*CROQUIS!$C$155)+IF(CROQUIS!$C$92="X",0,0)),-1000)</f>
        <v>-1000</v>
      </c>
      <c r="BI373">
        <f>IF(AND(CROQUIS!$C$88=1,CROQUIS!$C$126&gt;0),((CROQUIS!$C$157+(IF(CROQUIS!$C$92="X",((CROQUIS!$C$107/2+(((CROQUIS!$C$98)-CROQUIS!$C$107)-(MIN(80,MAX(1,INT(((CROQUIS!$C$98)-CROQUIS!$C$107)/MAX(CROQUIS!$C$126,1))+1))-1)*CROQUIS!$C$126)/2)+MIN(INT(($A373-1)/5),MAX((MIN(80,MAX(1,INT(((CROQUIS!$C$98)-CROQUIS!$C$107)/MAX(CROQUIS!$C$126,1))+1)))-1,0))*CROQUIS!$C$126),CHOOSE(IF(INT(($A373-1)/5)&gt;MAX((MIN(80,MAX(1,INT(((CROQUIS!$C$98)-CROQUIS!$C$107)/MAX(CROQUIS!$C$126,1))+1)))-1,0),0,MOD($A373-1,5))+1,0,2,CROQUIS!$C$97-2,2,0)))*CROQUIS!$C$155)+IF(CROQUIS!$C$92="X",0,0)),-1000)</f>
        <v>-1000</v>
      </c>
      <c r="BJ373">
        <f>IF(AND(CROQUIS!$C$88=1,CROQUIS!$C$134&gt;0),((CROQUIS!$C$156+(IF(CROQUIS!$C$92="X",((CROQUIS!$C$107/2+(((CROQUIS!$C$97)-CROQUIS!$C$107)-(MIN(80,MAX(1,INT(((CROQUIS!$C$97)-CROQUIS!$C$107)/MAX(CROQUIS!$C$134,1))+1))-1)*CROQUIS!$C$134)/2)+MIN(INT(($A373-1)/5),MAX((MIN(80,MAX(1,INT(((CROQUIS!$C$97)-CROQUIS!$C$107)/MAX(CROQUIS!$C$134,1))+1)))-1,0))*CROQUIS!$C$134),CHOOSE(IF(INT(($A373-1)/5)&gt;MAX((MIN(80,MAX(1,INT(((CROQUIS!$C$97)-CROQUIS!$C$107)/MAX(CROQUIS!$C$134,1))+1)))-1,0),0,MOD($A373-1,5))+1,0,2,CROQUIS!$C$98-2,2,0)))*CROQUIS!$C$155)+IF(CROQUIS!$C$92="X",0,0)),-1000)</f>
        <v>-1000</v>
      </c>
      <c r="BK373">
        <f>IF(AND(CROQUIS!$C$88=1,CROQUIS!$C$134&gt;0),((CROQUIS!$C$157+(IF(CROQUIS!$C$92="X",CHOOSE(IF(INT(($A373-1)/5)&gt;MAX((MIN(80,MAX(1,INT(((CROQUIS!$C$97)-CROQUIS!$C$107)/MAX(CROQUIS!$C$134,1))+1)))-1,0),0,MOD($A373-1,5))+1,0,2,CROQUIS!$C$98-2,2,0),((CROQUIS!$C$107/2+(((CROQUIS!$C$97)-CROQUIS!$C$107)-(MIN(80,MAX(1,INT(((CROQUIS!$C$97)-CROQUIS!$C$107)/MAX(CROQUIS!$C$134,1))+1))-1)*CROQUIS!$C$134)/2)+MIN(INT(($A373-1)/5),MAX((MIN(80,MAX(1,INT(((CROQUIS!$C$97)-CROQUIS!$C$107)/MAX(CROQUIS!$C$134,1))+1)))-1,0))*CROQUIS!$C$134)))*CROQUIS!$C$155)+IF(CROQUIS!$C$92="X",0,0)),-1000)</f>
        <v>-1000</v>
      </c>
      <c r="BL373">
        <f>IF(AND(CROQUIS!$C$88=1,CROQUIS!$C$91=0,CROQUIS!$C$130&gt;0,OR(CROQUIS!$C$103=1,CROQUIS!$C$142=1)),((CROQUIS!$C$156+(IF(CROQUIS!$C$92="X",CHOOSE(IF(INT(($A373-1)/5)&gt;MAX((MIN(80,MAX(1,INT(((CROQUIS!$C$98)-CROQUIS!$C$107)/MAX(CROQUIS!$C$130,1))+1)))-1,0),0,MOD($A373-1,5))+1,0,IF(CROQUIS!$C$103=1,-12,2),CROQUIS!$C$107/2+CROQUIS!$C$140,IF(CROQUIS!$C$103=1,-12,2),0),((CROQUIS!$C$107/2+(((CROQUIS!$C$98)-CROQUIS!$C$107)-(MIN(80,MAX(1,INT(((CROQUIS!$C$98)-CROQUIS!$C$107)/MAX(CROQUIS!$C$130,1))+1))-1)*CROQUIS!$C$130)/2)+MIN(INT(($A373-1)/5),MAX((MIN(80,MAX(1,INT(((CROQUIS!$C$98)-CROQUIS!$C$107)/MAX(CROQUIS!$C$130,1))+1)))-1,0))*CROQUIS!$C$130)))*CROQUIS!$C$155)+IF(CROQUIS!$C$92="X",0,0)),-1000)</f>
        <v>-1000</v>
      </c>
      <c r="BM37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373-1)/5),MAX((MIN(80,MAX(1,INT(((CROQUIS!$C$98)-CROQUIS!$C$107)/MAX(CROQUIS!$C$130,1))+1)))-1,0))*CROQUIS!$C$130),CHOOSE(IF(INT(($A373-1)/5)&gt;MAX((MIN(80,MAX(1,INT(((CROQUIS!$C$98)-CROQUIS!$C$107)/MAX(CROQUIS!$C$130,1))+1)))-1,0),0,MOD($A373-1,5))+1,0,IF(CROQUIS!$C$103=1,-12,2),CROQUIS!$C$107/2+CROQUIS!$C$140,IF(CROQUIS!$C$103=1,-12,2),0)))*CROQUIS!$C$155)+IF(CROQUIS!$C$92="X",0,0)),-1000)</f>
        <v>-1000</v>
      </c>
      <c r="BN373">
        <f>IF(AND(CROQUIS!$C$88=1,CROQUIS!$C$91=0,CROQUIS!$C$130&gt;0,OR(CROQUIS!$C$104=1,CROQUIS!$C$142=1)),((CROQUIS!$C$156+(IF(CROQUIS!$C$92="X",CHOOSE(IF(INT(($A373-1)/5)&gt;MAX((MIN(80,MAX(1,INT(((CROQUIS!$C$98)-CROQUIS!$C$107)/MAX(CROQUIS!$C$130,1))+1)))-1,0),0,MOD($A373-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373-1)/5),MAX((MIN(80,MAX(1,INT(((CROQUIS!$C$98)-CROQUIS!$C$107)/MAX(CROQUIS!$C$130,1))+1)))-1,0))*CROQUIS!$C$130)))*CROQUIS!$C$155)+IF(CROQUIS!$C$92="X",0,0)),-1000)</f>
        <v>-1000</v>
      </c>
      <c r="BO37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373-1)/5),MAX((MIN(80,MAX(1,INT(((CROQUIS!$C$98)-CROQUIS!$C$107)/MAX(CROQUIS!$C$130,1))+1)))-1,0))*CROQUIS!$C$130),CHOOSE(IF(INT(($A373-1)/5)&gt;MAX((MIN(80,MAX(1,INT(((CROQUIS!$C$98)-CROQUIS!$C$107)/MAX(CROQUIS!$C$130,1))+1)))-1,0),0,MOD($A373-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7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373-1)/5),MAX((MIN(80,MAX(1,INT(((CROQUIS!$C$97)-CROQUIS!$C$107)/MAX(CROQUIS!$C$138,1))+1)))-1,0))*CROQUIS!$C$138),CHOOSE(IF(INT(($A373-1)/5)&gt;MAX((MIN(80,MAX(1,INT(((CROQUIS!$C$97)-CROQUIS!$C$107)/MAX(CROQUIS!$C$138,1))+1)))-1,0),0,MOD($A373-1,5))+1,0,IF(CROQUIS!$C$105=1,-12,2),CROQUIS!$C$107/2+CROQUIS!$C$141,IF(CROQUIS!$C$105=1,-12,2),0)))*CROQUIS!$C$155)+IF(CROQUIS!$C$92="X",0,0)),-1000)</f>
        <v>-1000</v>
      </c>
      <c r="BQ373">
        <f>IF(AND(CROQUIS!$C$88=1,CROQUIS!$C$91=0,CROQUIS!$C$138&gt;0,OR(CROQUIS!$C$105=1,CROQUIS!$C$143=1)),((CROQUIS!$C$157+(IF(CROQUIS!$C$92="X",CHOOSE(IF(INT(($A373-1)/5)&gt;MAX((MIN(80,MAX(1,INT(((CROQUIS!$C$97)-CROQUIS!$C$107)/MAX(CROQUIS!$C$138,1))+1)))-1,0),0,MOD($A373-1,5))+1,0,IF(CROQUIS!$C$105=1,-12,2),CROQUIS!$C$107/2+CROQUIS!$C$141,IF(CROQUIS!$C$105=1,-12,2),0),((CROQUIS!$C$107/2+(((CROQUIS!$C$97)-CROQUIS!$C$107)-(MIN(80,MAX(1,INT(((CROQUIS!$C$97)-CROQUIS!$C$107)/MAX(CROQUIS!$C$138,1))+1))-1)*CROQUIS!$C$138)/2)+MIN(INT(($A373-1)/5),MAX((MIN(80,MAX(1,INT(((CROQUIS!$C$97)-CROQUIS!$C$107)/MAX(CROQUIS!$C$138,1))+1)))-1,0))*CROQUIS!$C$138)))*CROQUIS!$C$155)+IF(CROQUIS!$C$92="X",0,0)),-1000)</f>
        <v>-1000</v>
      </c>
      <c r="BR37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373-1)/5),MAX((MIN(80,MAX(1,INT(((CROQUIS!$C$97)-CROQUIS!$C$107)/MAX(CROQUIS!$C$138,1))+1)))-1,0))*CROQUIS!$C$138),CHOOSE(IF(INT(($A373-1)/5)&gt;MAX((MIN(80,MAX(1,INT(((CROQUIS!$C$97)-CROQUIS!$C$107)/MAX(CROQUIS!$C$138,1))+1)))-1,0),0,MOD($A373-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73">
        <f>IF(AND(CROQUIS!$C$88=1,CROQUIS!$C$91=0,CROQUIS!$C$138&gt;0,OR(CROQUIS!$C$106=1,CROQUIS!$C$143=1)),((CROQUIS!$C$157+(IF(CROQUIS!$C$92="X",CHOOSE(IF(INT(($A373-1)/5)&gt;MAX((MIN(80,MAX(1,INT(((CROQUIS!$C$97)-CROQUIS!$C$107)/MAX(CROQUIS!$C$138,1))+1)))-1,0),0,MOD($A373-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373-1)/5),MAX((MIN(80,MAX(1,INT(((CROQUIS!$C$97)-CROQUIS!$C$107)/MAX(CROQUIS!$C$138,1))+1)))-1,0))*CROQUIS!$C$138)))*CROQUIS!$C$155)+IF(CROQUIS!$C$92="X",0,0)),-1000)</f>
        <v>-1000</v>
      </c>
      <c r="BT373">
        <f>IF(AND(CROQUIS!$C$88=1,CROQUIS!$C$91=1,CROQUIS!$C$130&gt;0),((CROQUIS!$C$156+(IF(CROQUIS!$C$92="X",CHOOSE(IF(INT(($A373-1)/5)&gt;MAX((MIN(80,MAX(1,INT(((CROQUIS!$C$98)-CROQUIS!$C$107)/MAX(CROQUIS!$C$130,1))+1)))-1,0),0,MOD($A373-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373-1)/5),MAX((MIN(80,MAX(1,INT(((CROQUIS!$C$98)-CROQUIS!$C$107)/MAX(CROQUIS!$C$130,1))+1)))-1,0))*CROQUIS!$C$130)))*CROQUIS!$C$155)+IF(CROQUIS!$C$92="X",0,0)),-1000)</f>
        <v>-1000</v>
      </c>
      <c r="BU373">
        <f>IF(AND(CROQUIS!$C$88=1,CROQUIS!$C$91=1,CROQUIS!$C$130&gt;0),((CROQUIS!$C$157+(IF(CROQUIS!$C$92="X",((CROQUIS!$C$107/2+(((CROQUIS!$C$98)-CROQUIS!$C$107)-(MIN(80,MAX(1,INT(((CROQUIS!$C$98)-CROQUIS!$C$107)/MAX(CROQUIS!$C$130,1))+1))-1)*CROQUIS!$C$130)/2)+MIN(INT(($A373-1)/5),MAX((MIN(80,MAX(1,INT(((CROQUIS!$C$98)-CROQUIS!$C$107)/MAX(CROQUIS!$C$130,1))+1)))-1,0))*CROQUIS!$C$130),CHOOSE(IF(INT(($A373-1)/5)&gt;MAX((MIN(80,MAX(1,INT(((CROQUIS!$C$98)-CROQUIS!$C$107)/MAX(CROQUIS!$C$130,1))+1)))-1,0),0,MOD($A373-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74">
      <c r="A374" t="n">
        <v>367</v>
      </c>
      <c r="BH374">
        <f>IF(AND(CROQUIS!$C$88=1,CROQUIS!$C$126&gt;0),((CROQUIS!$C$156+(IF(CROQUIS!$C$92="X",CHOOSE(IF(INT(($A374-1)/5)&gt;MAX((MIN(80,MAX(1,INT(((CROQUIS!$C$98)-CROQUIS!$C$107)/MAX(CROQUIS!$C$126,1))+1)))-1,0),0,MOD($A374-1,5))+1,0,2,CROQUIS!$C$97-2,2,0),((CROQUIS!$C$107/2+(((CROQUIS!$C$98)-CROQUIS!$C$107)-(MIN(80,MAX(1,INT(((CROQUIS!$C$98)-CROQUIS!$C$107)/MAX(CROQUIS!$C$126,1))+1))-1)*CROQUIS!$C$126)/2)+MIN(INT(($A374-1)/5),MAX((MIN(80,MAX(1,INT(((CROQUIS!$C$98)-CROQUIS!$C$107)/MAX(CROQUIS!$C$126,1))+1)))-1,0))*CROQUIS!$C$126)))*CROQUIS!$C$155)+IF(CROQUIS!$C$92="X",0,0)),-1000)</f>
        <v>-1000</v>
      </c>
      <c r="BI374">
        <f>IF(AND(CROQUIS!$C$88=1,CROQUIS!$C$126&gt;0),((CROQUIS!$C$157+(IF(CROQUIS!$C$92="X",((CROQUIS!$C$107/2+(((CROQUIS!$C$98)-CROQUIS!$C$107)-(MIN(80,MAX(1,INT(((CROQUIS!$C$98)-CROQUIS!$C$107)/MAX(CROQUIS!$C$126,1))+1))-1)*CROQUIS!$C$126)/2)+MIN(INT(($A374-1)/5),MAX((MIN(80,MAX(1,INT(((CROQUIS!$C$98)-CROQUIS!$C$107)/MAX(CROQUIS!$C$126,1))+1)))-1,0))*CROQUIS!$C$126),CHOOSE(IF(INT(($A374-1)/5)&gt;MAX((MIN(80,MAX(1,INT(((CROQUIS!$C$98)-CROQUIS!$C$107)/MAX(CROQUIS!$C$126,1))+1)))-1,0),0,MOD($A374-1,5))+1,0,2,CROQUIS!$C$97-2,2,0)))*CROQUIS!$C$155)+IF(CROQUIS!$C$92="X",0,0)),-1000)</f>
        <v>-1000</v>
      </c>
      <c r="BJ374">
        <f>IF(AND(CROQUIS!$C$88=1,CROQUIS!$C$134&gt;0),((CROQUIS!$C$156+(IF(CROQUIS!$C$92="X",((CROQUIS!$C$107/2+(((CROQUIS!$C$97)-CROQUIS!$C$107)-(MIN(80,MAX(1,INT(((CROQUIS!$C$97)-CROQUIS!$C$107)/MAX(CROQUIS!$C$134,1))+1))-1)*CROQUIS!$C$134)/2)+MIN(INT(($A374-1)/5),MAX((MIN(80,MAX(1,INT(((CROQUIS!$C$97)-CROQUIS!$C$107)/MAX(CROQUIS!$C$134,1))+1)))-1,0))*CROQUIS!$C$134),CHOOSE(IF(INT(($A374-1)/5)&gt;MAX((MIN(80,MAX(1,INT(((CROQUIS!$C$97)-CROQUIS!$C$107)/MAX(CROQUIS!$C$134,1))+1)))-1,0),0,MOD($A374-1,5))+1,0,2,CROQUIS!$C$98-2,2,0)))*CROQUIS!$C$155)+IF(CROQUIS!$C$92="X",0,0)),-1000)</f>
        <v>-1000</v>
      </c>
      <c r="BK374">
        <f>IF(AND(CROQUIS!$C$88=1,CROQUIS!$C$134&gt;0),((CROQUIS!$C$157+(IF(CROQUIS!$C$92="X",CHOOSE(IF(INT(($A374-1)/5)&gt;MAX((MIN(80,MAX(1,INT(((CROQUIS!$C$97)-CROQUIS!$C$107)/MAX(CROQUIS!$C$134,1))+1)))-1,0),0,MOD($A374-1,5))+1,0,2,CROQUIS!$C$98-2,2,0),((CROQUIS!$C$107/2+(((CROQUIS!$C$97)-CROQUIS!$C$107)-(MIN(80,MAX(1,INT(((CROQUIS!$C$97)-CROQUIS!$C$107)/MAX(CROQUIS!$C$134,1))+1))-1)*CROQUIS!$C$134)/2)+MIN(INT(($A374-1)/5),MAX((MIN(80,MAX(1,INT(((CROQUIS!$C$97)-CROQUIS!$C$107)/MAX(CROQUIS!$C$134,1))+1)))-1,0))*CROQUIS!$C$134)))*CROQUIS!$C$155)+IF(CROQUIS!$C$92="X",0,0)),-1000)</f>
        <v>-1000</v>
      </c>
      <c r="BL374">
        <f>IF(AND(CROQUIS!$C$88=1,CROQUIS!$C$91=0,CROQUIS!$C$130&gt;0,OR(CROQUIS!$C$103=1,CROQUIS!$C$142=1)),((CROQUIS!$C$156+(IF(CROQUIS!$C$92="X",CHOOSE(IF(INT(($A374-1)/5)&gt;MAX((MIN(80,MAX(1,INT(((CROQUIS!$C$98)-CROQUIS!$C$107)/MAX(CROQUIS!$C$130,1))+1)))-1,0),0,MOD($A374-1,5))+1,0,IF(CROQUIS!$C$103=1,-12,2),CROQUIS!$C$107/2+CROQUIS!$C$140,IF(CROQUIS!$C$103=1,-12,2),0),((CROQUIS!$C$107/2+(((CROQUIS!$C$98)-CROQUIS!$C$107)-(MIN(80,MAX(1,INT(((CROQUIS!$C$98)-CROQUIS!$C$107)/MAX(CROQUIS!$C$130,1))+1))-1)*CROQUIS!$C$130)/2)+MIN(INT(($A374-1)/5),MAX((MIN(80,MAX(1,INT(((CROQUIS!$C$98)-CROQUIS!$C$107)/MAX(CROQUIS!$C$130,1))+1)))-1,0))*CROQUIS!$C$130)))*CROQUIS!$C$155)+IF(CROQUIS!$C$92="X",0,0)),-1000)</f>
        <v>-1000</v>
      </c>
      <c r="BM37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374-1)/5),MAX((MIN(80,MAX(1,INT(((CROQUIS!$C$98)-CROQUIS!$C$107)/MAX(CROQUIS!$C$130,1))+1)))-1,0))*CROQUIS!$C$130),CHOOSE(IF(INT(($A374-1)/5)&gt;MAX((MIN(80,MAX(1,INT(((CROQUIS!$C$98)-CROQUIS!$C$107)/MAX(CROQUIS!$C$130,1))+1)))-1,0),0,MOD($A374-1,5))+1,0,IF(CROQUIS!$C$103=1,-12,2),CROQUIS!$C$107/2+CROQUIS!$C$140,IF(CROQUIS!$C$103=1,-12,2),0)))*CROQUIS!$C$155)+IF(CROQUIS!$C$92="X",0,0)),-1000)</f>
        <v>-1000</v>
      </c>
      <c r="BN374">
        <f>IF(AND(CROQUIS!$C$88=1,CROQUIS!$C$91=0,CROQUIS!$C$130&gt;0,OR(CROQUIS!$C$104=1,CROQUIS!$C$142=1)),((CROQUIS!$C$156+(IF(CROQUIS!$C$92="X",CHOOSE(IF(INT(($A374-1)/5)&gt;MAX((MIN(80,MAX(1,INT(((CROQUIS!$C$98)-CROQUIS!$C$107)/MAX(CROQUIS!$C$130,1))+1)))-1,0),0,MOD($A374-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374-1)/5),MAX((MIN(80,MAX(1,INT(((CROQUIS!$C$98)-CROQUIS!$C$107)/MAX(CROQUIS!$C$130,1))+1)))-1,0))*CROQUIS!$C$130)))*CROQUIS!$C$155)+IF(CROQUIS!$C$92="X",0,0)),-1000)</f>
        <v>-1000</v>
      </c>
      <c r="BO37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374-1)/5),MAX((MIN(80,MAX(1,INT(((CROQUIS!$C$98)-CROQUIS!$C$107)/MAX(CROQUIS!$C$130,1))+1)))-1,0))*CROQUIS!$C$130),CHOOSE(IF(INT(($A374-1)/5)&gt;MAX((MIN(80,MAX(1,INT(((CROQUIS!$C$98)-CROQUIS!$C$107)/MAX(CROQUIS!$C$130,1))+1)))-1,0),0,MOD($A374-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7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374-1)/5),MAX((MIN(80,MAX(1,INT(((CROQUIS!$C$97)-CROQUIS!$C$107)/MAX(CROQUIS!$C$138,1))+1)))-1,0))*CROQUIS!$C$138),CHOOSE(IF(INT(($A374-1)/5)&gt;MAX((MIN(80,MAX(1,INT(((CROQUIS!$C$97)-CROQUIS!$C$107)/MAX(CROQUIS!$C$138,1))+1)))-1,0),0,MOD($A374-1,5))+1,0,IF(CROQUIS!$C$105=1,-12,2),CROQUIS!$C$107/2+CROQUIS!$C$141,IF(CROQUIS!$C$105=1,-12,2),0)))*CROQUIS!$C$155)+IF(CROQUIS!$C$92="X",0,0)),-1000)</f>
        <v>-1000</v>
      </c>
      <c r="BQ374">
        <f>IF(AND(CROQUIS!$C$88=1,CROQUIS!$C$91=0,CROQUIS!$C$138&gt;0,OR(CROQUIS!$C$105=1,CROQUIS!$C$143=1)),((CROQUIS!$C$157+(IF(CROQUIS!$C$92="X",CHOOSE(IF(INT(($A374-1)/5)&gt;MAX((MIN(80,MAX(1,INT(((CROQUIS!$C$97)-CROQUIS!$C$107)/MAX(CROQUIS!$C$138,1))+1)))-1,0),0,MOD($A374-1,5))+1,0,IF(CROQUIS!$C$105=1,-12,2),CROQUIS!$C$107/2+CROQUIS!$C$141,IF(CROQUIS!$C$105=1,-12,2),0),((CROQUIS!$C$107/2+(((CROQUIS!$C$97)-CROQUIS!$C$107)-(MIN(80,MAX(1,INT(((CROQUIS!$C$97)-CROQUIS!$C$107)/MAX(CROQUIS!$C$138,1))+1))-1)*CROQUIS!$C$138)/2)+MIN(INT(($A374-1)/5),MAX((MIN(80,MAX(1,INT(((CROQUIS!$C$97)-CROQUIS!$C$107)/MAX(CROQUIS!$C$138,1))+1)))-1,0))*CROQUIS!$C$138)))*CROQUIS!$C$155)+IF(CROQUIS!$C$92="X",0,0)),-1000)</f>
        <v>-1000</v>
      </c>
      <c r="BR37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374-1)/5),MAX((MIN(80,MAX(1,INT(((CROQUIS!$C$97)-CROQUIS!$C$107)/MAX(CROQUIS!$C$138,1))+1)))-1,0))*CROQUIS!$C$138),CHOOSE(IF(INT(($A374-1)/5)&gt;MAX((MIN(80,MAX(1,INT(((CROQUIS!$C$97)-CROQUIS!$C$107)/MAX(CROQUIS!$C$138,1))+1)))-1,0),0,MOD($A374-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74">
        <f>IF(AND(CROQUIS!$C$88=1,CROQUIS!$C$91=0,CROQUIS!$C$138&gt;0,OR(CROQUIS!$C$106=1,CROQUIS!$C$143=1)),((CROQUIS!$C$157+(IF(CROQUIS!$C$92="X",CHOOSE(IF(INT(($A374-1)/5)&gt;MAX((MIN(80,MAX(1,INT(((CROQUIS!$C$97)-CROQUIS!$C$107)/MAX(CROQUIS!$C$138,1))+1)))-1,0),0,MOD($A374-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374-1)/5),MAX((MIN(80,MAX(1,INT(((CROQUIS!$C$97)-CROQUIS!$C$107)/MAX(CROQUIS!$C$138,1))+1)))-1,0))*CROQUIS!$C$138)))*CROQUIS!$C$155)+IF(CROQUIS!$C$92="X",0,0)),-1000)</f>
        <v>-1000</v>
      </c>
      <c r="BT374">
        <f>IF(AND(CROQUIS!$C$88=1,CROQUIS!$C$91=1,CROQUIS!$C$130&gt;0),((CROQUIS!$C$156+(IF(CROQUIS!$C$92="X",CHOOSE(IF(INT(($A374-1)/5)&gt;MAX((MIN(80,MAX(1,INT(((CROQUIS!$C$98)-CROQUIS!$C$107)/MAX(CROQUIS!$C$130,1))+1)))-1,0),0,MOD($A374-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374-1)/5),MAX((MIN(80,MAX(1,INT(((CROQUIS!$C$98)-CROQUIS!$C$107)/MAX(CROQUIS!$C$130,1))+1)))-1,0))*CROQUIS!$C$130)))*CROQUIS!$C$155)+IF(CROQUIS!$C$92="X",0,0)),-1000)</f>
        <v>-1000</v>
      </c>
      <c r="BU374">
        <f>IF(AND(CROQUIS!$C$88=1,CROQUIS!$C$91=1,CROQUIS!$C$130&gt;0),((CROQUIS!$C$157+(IF(CROQUIS!$C$92="X",((CROQUIS!$C$107/2+(((CROQUIS!$C$98)-CROQUIS!$C$107)-(MIN(80,MAX(1,INT(((CROQUIS!$C$98)-CROQUIS!$C$107)/MAX(CROQUIS!$C$130,1))+1))-1)*CROQUIS!$C$130)/2)+MIN(INT(($A374-1)/5),MAX((MIN(80,MAX(1,INT(((CROQUIS!$C$98)-CROQUIS!$C$107)/MAX(CROQUIS!$C$130,1))+1)))-1,0))*CROQUIS!$C$130),CHOOSE(IF(INT(($A374-1)/5)&gt;MAX((MIN(80,MAX(1,INT(((CROQUIS!$C$98)-CROQUIS!$C$107)/MAX(CROQUIS!$C$130,1))+1)))-1,0),0,MOD($A374-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75">
      <c r="A375" t="n">
        <v>368</v>
      </c>
      <c r="BH375">
        <f>IF(AND(CROQUIS!$C$88=1,CROQUIS!$C$126&gt;0),((CROQUIS!$C$156+(IF(CROQUIS!$C$92="X",CHOOSE(IF(INT(($A375-1)/5)&gt;MAX((MIN(80,MAX(1,INT(((CROQUIS!$C$98)-CROQUIS!$C$107)/MAX(CROQUIS!$C$126,1))+1)))-1,0),0,MOD($A375-1,5))+1,0,2,CROQUIS!$C$97-2,2,0),((CROQUIS!$C$107/2+(((CROQUIS!$C$98)-CROQUIS!$C$107)-(MIN(80,MAX(1,INT(((CROQUIS!$C$98)-CROQUIS!$C$107)/MAX(CROQUIS!$C$126,1))+1))-1)*CROQUIS!$C$126)/2)+MIN(INT(($A375-1)/5),MAX((MIN(80,MAX(1,INT(((CROQUIS!$C$98)-CROQUIS!$C$107)/MAX(CROQUIS!$C$126,1))+1)))-1,0))*CROQUIS!$C$126)))*CROQUIS!$C$155)+IF(CROQUIS!$C$92="X",0,0)),-1000)</f>
        <v>-1000</v>
      </c>
      <c r="BI375">
        <f>IF(AND(CROQUIS!$C$88=1,CROQUIS!$C$126&gt;0),((CROQUIS!$C$157+(IF(CROQUIS!$C$92="X",((CROQUIS!$C$107/2+(((CROQUIS!$C$98)-CROQUIS!$C$107)-(MIN(80,MAX(1,INT(((CROQUIS!$C$98)-CROQUIS!$C$107)/MAX(CROQUIS!$C$126,1))+1))-1)*CROQUIS!$C$126)/2)+MIN(INT(($A375-1)/5),MAX((MIN(80,MAX(1,INT(((CROQUIS!$C$98)-CROQUIS!$C$107)/MAX(CROQUIS!$C$126,1))+1)))-1,0))*CROQUIS!$C$126),CHOOSE(IF(INT(($A375-1)/5)&gt;MAX((MIN(80,MAX(1,INT(((CROQUIS!$C$98)-CROQUIS!$C$107)/MAX(CROQUIS!$C$126,1))+1)))-1,0),0,MOD($A375-1,5))+1,0,2,CROQUIS!$C$97-2,2,0)))*CROQUIS!$C$155)+IF(CROQUIS!$C$92="X",0,0)),-1000)</f>
        <v>-1000</v>
      </c>
      <c r="BJ375">
        <f>IF(AND(CROQUIS!$C$88=1,CROQUIS!$C$134&gt;0),((CROQUIS!$C$156+(IF(CROQUIS!$C$92="X",((CROQUIS!$C$107/2+(((CROQUIS!$C$97)-CROQUIS!$C$107)-(MIN(80,MAX(1,INT(((CROQUIS!$C$97)-CROQUIS!$C$107)/MAX(CROQUIS!$C$134,1))+1))-1)*CROQUIS!$C$134)/2)+MIN(INT(($A375-1)/5),MAX((MIN(80,MAX(1,INT(((CROQUIS!$C$97)-CROQUIS!$C$107)/MAX(CROQUIS!$C$134,1))+1)))-1,0))*CROQUIS!$C$134),CHOOSE(IF(INT(($A375-1)/5)&gt;MAX((MIN(80,MAX(1,INT(((CROQUIS!$C$97)-CROQUIS!$C$107)/MAX(CROQUIS!$C$134,1))+1)))-1,0),0,MOD($A375-1,5))+1,0,2,CROQUIS!$C$98-2,2,0)))*CROQUIS!$C$155)+IF(CROQUIS!$C$92="X",0,0)),-1000)</f>
        <v>-1000</v>
      </c>
      <c r="BK375">
        <f>IF(AND(CROQUIS!$C$88=1,CROQUIS!$C$134&gt;0),((CROQUIS!$C$157+(IF(CROQUIS!$C$92="X",CHOOSE(IF(INT(($A375-1)/5)&gt;MAX((MIN(80,MAX(1,INT(((CROQUIS!$C$97)-CROQUIS!$C$107)/MAX(CROQUIS!$C$134,1))+1)))-1,0),0,MOD($A375-1,5))+1,0,2,CROQUIS!$C$98-2,2,0),((CROQUIS!$C$107/2+(((CROQUIS!$C$97)-CROQUIS!$C$107)-(MIN(80,MAX(1,INT(((CROQUIS!$C$97)-CROQUIS!$C$107)/MAX(CROQUIS!$C$134,1))+1))-1)*CROQUIS!$C$134)/2)+MIN(INT(($A375-1)/5),MAX((MIN(80,MAX(1,INT(((CROQUIS!$C$97)-CROQUIS!$C$107)/MAX(CROQUIS!$C$134,1))+1)))-1,0))*CROQUIS!$C$134)))*CROQUIS!$C$155)+IF(CROQUIS!$C$92="X",0,0)),-1000)</f>
        <v>-1000</v>
      </c>
      <c r="BL375">
        <f>IF(AND(CROQUIS!$C$88=1,CROQUIS!$C$91=0,CROQUIS!$C$130&gt;0,OR(CROQUIS!$C$103=1,CROQUIS!$C$142=1)),((CROQUIS!$C$156+(IF(CROQUIS!$C$92="X",CHOOSE(IF(INT(($A375-1)/5)&gt;MAX((MIN(80,MAX(1,INT(((CROQUIS!$C$98)-CROQUIS!$C$107)/MAX(CROQUIS!$C$130,1))+1)))-1,0),0,MOD($A375-1,5))+1,0,IF(CROQUIS!$C$103=1,-12,2),CROQUIS!$C$107/2+CROQUIS!$C$140,IF(CROQUIS!$C$103=1,-12,2),0),((CROQUIS!$C$107/2+(((CROQUIS!$C$98)-CROQUIS!$C$107)-(MIN(80,MAX(1,INT(((CROQUIS!$C$98)-CROQUIS!$C$107)/MAX(CROQUIS!$C$130,1))+1))-1)*CROQUIS!$C$130)/2)+MIN(INT(($A375-1)/5),MAX((MIN(80,MAX(1,INT(((CROQUIS!$C$98)-CROQUIS!$C$107)/MAX(CROQUIS!$C$130,1))+1)))-1,0))*CROQUIS!$C$130)))*CROQUIS!$C$155)+IF(CROQUIS!$C$92="X",0,0)),-1000)</f>
        <v>-1000</v>
      </c>
      <c r="BM37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375-1)/5),MAX((MIN(80,MAX(1,INT(((CROQUIS!$C$98)-CROQUIS!$C$107)/MAX(CROQUIS!$C$130,1))+1)))-1,0))*CROQUIS!$C$130),CHOOSE(IF(INT(($A375-1)/5)&gt;MAX((MIN(80,MAX(1,INT(((CROQUIS!$C$98)-CROQUIS!$C$107)/MAX(CROQUIS!$C$130,1))+1)))-1,0),0,MOD($A375-1,5))+1,0,IF(CROQUIS!$C$103=1,-12,2),CROQUIS!$C$107/2+CROQUIS!$C$140,IF(CROQUIS!$C$103=1,-12,2),0)))*CROQUIS!$C$155)+IF(CROQUIS!$C$92="X",0,0)),-1000)</f>
        <v>-1000</v>
      </c>
      <c r="BN375">
        <f>IF(AND(CROQUIS!$C$88=1,CROQUIS!$C$91=0,CROQUIS!$C$130&gt;0,OR(CROQUIS!$C$104=1,CROQUIS!$C$142=1)),((CROQUIS!$C$156+(IF(CROQUIS!$C$92="X",CHOOSE(IF(INT(($A375-1)/5)&gt;MAX((MIN(80,MAX(1,INT(((CROQUIS!$C$98)-CROQUIS!$C$107)/MAX(CROQUIS!$C$130,1))+1)))-1,0),0,MOD($A375-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375-1)/5),MAX((MIN(80,MAX(1,INT(((CROQUIS!$C$98)-CROQUIS!$C$107)/MAX(CROQUIS!$C$130,1))+1)))-1,0))*CROQUIS!$C$130)))*CROQUIS!$C$155)+IF(CROQUIS!$C$92="X",0,0)),-1000)</f>
        <v>-1000</v>
      </c>
      <c r="BO37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375-1)/5),MAX((MIN(80,MAX(1,INT(((CROQUIS!$C$98)-CROQUIS!$C$107)/MAX(CROQUIS!$C$130,1))+1)))-1,0))*CROQUIS!$C$130),CHOOSE(IF(INT(($A375-1)/5)&gt;MAX((MIN(80,MAX(1,INT(((CROQUIS!$C$98)-CROQUIS!$C$107)/MAX(CROQUIS!$C$130,1))+1)))-1,0),0,MOD($A375-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7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375-1)/5),MAX((MIN(80,MAX(1,INT(((CROQUIS!$C$97)-CROQUIS!$C$107)/MAX(CROQUIS!$C$138,1))+1)))-1,0))*CROQUIS!$C$138),CHOOSE(IF(INT(($A375-1)/5)&gt;MAX((MIN(80,MAX(1,INT(((CROQUIS!$C$97)-CROQUIS!$C$107)/MAX(CROQUIS!$C$138,1))+1)))-1,0),0,MOD($A375-1,5))+1,0,IF(CROQUIS!$C$105=1,-12,2),CROQUIS!$C$107/2+CROQUIS!$C$141,IF(CROQUIS!$C$105=1,-12,2),0)))*CROQUIS!$C$155)+IF(CROQUIS!$C$92="X",0,0)),-1000)</f>
        <v>-1000</v>
      </c>
      <c r="BQ375">
        <f>IF(AND(CROQUIS!$C$88=1,CROQUIS!$C$91=0,CROQUIS!$C$138&gt;0,OR(CROQUIS!$C$105=1,CROQUIS!$C$143=1)),((CROQUIS!$C$157+(IF(CROQUIS!$C$92="X",CHOOSE(IF(INT(($A375-1)/5)&gt;MAX((MIN(80,MAX(1,INT(((CROQUIS!$C$97)-CROQUIS!$C$107)/MAX(CROQUIS!$C$138,1))+1)))-1,0),0,MOD($A375-1,5))+1,0,IF(CROQUIS!$C$105=1,-12,2),CROQUIS!$C$107/2+CROQUIS!$C$141,IF(CROQUIS!$C$105=1,-12,2),0),((CROQUIS!$C$107/2+(((CROQUIS!$C$97)-CROQUIS!$C$107)-(MIN(80,MAX(1,INT(((CROQUIS!$C$97)-CROQUIS!$C$107)/MAX(CROQUIS!$C$138,1))+1))-1)*CROQUIS!$C$138)/2)+MIN(INT(($A375-1)/5),MAX((MIN(80,MAX(1,INT(((CROQUIS!$C$97)-CROQUIS!$C$107)/MAX(CROQUIS!$C$138,1))+1)))-1,0))*CROQUIS!$C$138)))*CROQUIS!$C$155)+IF(CROQUIS!$C$92="X",0,0)),-1000)</f>
        <v>-1000</v>
      </c>
      <c r="BR37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375-1)/5),MAX((MIN(80,MAX(1,INT(((CROQUIS!$C$97)-CROQUIS!$C$107)/MAX(CROQUIS!$C$138,1))+1)))-1,0))*CROQUIS!$C$138),CHOOSE(IF(INT(($A375-1)/5)&gt;MAX((MIN(80,MAX(1,INT(((CROQUIS!$C$97)-CROQUIS!$C$107)/MAX(CROQUIS!$C$138,1))+1)))-1,0),0,MOD($A375-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75">
        <f>IF(AND(CROQUIS!$C$88=1,CROQUIS!$C$91=0,CROQUIS!$C$138&gt;0,OR(CROQUIS!$C$106=1,CROQUIS!$C$143=1)),((CROQUIS!$C$157+(IF(CROQUIS!$C$92="X",CHOOSE(IF(INT(($A375-1)/5)&gt;MAX((MIN(80,MAX(1,INT(((CROQUIS!$C$97)-CROQUIS!$C$107)/MAX(CROQUIS!$C$138,1))+1)))-1,0),0,MOD($A375-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375-1)/5),MAX((MIN(80,MAX(1,INT(((CROQUIS!$C$97)-CROQUIS!$C$107)/MAX(CROQUIS!$C$138,1))+1)))-1,0))*CROQUIS!$C$138)))*CROQUIS!$C$155)+IF(CROQUIS!$C$92="X",0,0)),-1000)</f>
        <v>-1000</v>
      </c>
      <c r="BT375">
        <f>IF(AND(CROQUIS!$C$88=1,CROQUIS!$C$91=1,CROQUIS!$C$130&gt;0),((CROQUIS!$C$156+(IF(CROQUIS!$C$92="X",CHOOSE(IF(INT(($A375-1)/5)&gt;MAX((MIN(80,MAX(1,INT(((CROQUIS!$C$98)-CROQUIS!$C$107)/MAX(CROQUIS!$C$130,1))+1)))-1,0),0,MOD($A375-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375-1)/5),MAX((MIN(80,MAX(1,INT(((CROQUIS!$C$98)-CROQUIS!$C$107)/MAX(CROQUIS!$C$130,1))+1)))-1,0))*CROQUIS!$C$130)))*CROQUIS!$C$155)+IF(CROQUIS!$C$92="X",0,0)),-1000)</f>
        <v>-1000</v>
      </c>
      <c r="BU375">
        <f>IF(AND(CROQUIS!$C$88=1,CROQUIS!$C$91=1,CROQUIS!$C$130&gt;0),((CROQUIS!$C$157+(IF(CROQUIS!$C$92="X",((CROQUIS!$C$107/2+(((CROQUIS!$C$98)-CROQUIS!$C$107)-(MIN(80,MAX(1,INT(((CROQUIS!$C$98)-CROQUIS!$C$107)/MAX(CROQUIS!$C$130,1))+1))-1)*CROQUIS!$C$130)/2)+MIN(INT(($A375-1)/5),MAX((MIN(80,MAX(1,INT(((CROQUIS!$C$98)-CROQUIS!$C$107)/MAX(CROQUIS!$C$130,1))+1)))-1,0))*CROQUIS!$C$130),CHOOSE(IF(INT(($A375-1)/5)&gt;MAX((MIN(80,MAX(1,INT(((CROQUIS!$C$98)-CROQUIS!$C$107)/MAX(CROQUIS!$C$130,1))+1)))-1,0),0,MOD($A375-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76">
      <c r="A376" t="n">
        <v>369</v>
      </c>
      <c r="BH376">
        <f>IF(AND(CROQUIS!$C$88=1,CROQUIS!$C$126&gt;0),((CROQUIS!$C$156+(IF(CROQUIS!$C$92="X",CHOOSE(IF(INT(($A376-1)/5)&gt;MAX((MIN(80,MAX(1,INT(((CROQUIS!$C$98)-CROQUIS!$C$107)/MAX(CROQUIS!$C$126,1))+1)))-1,0),0,MOD($A376-1,5))+1,0,2,CROQUIS!$C$97-2,2,0),((CROQUIS!$C$107/2+(((CROQUIS!$C$98)-CROQUIS!$C$107)-(MIN(80,MAX(1,INT(((CROQUIS!$C$98)-CROQUIS!$C$107)/MAX(CROQUIS!$C$126,1))+1))-1)*CROQUIS!$C$126)/2)+MIN(INT(($A376-1)/5),MAX((MIN(80,MAX(1,INT(((CROQUIS!$C$98)-CROQUIS!$C$107)/MAX(CROQUIS!$C$126,1))+1)))-1,0))*CROQUIS!$C$126)))*CROQUIS!$C$155)+IF(CROQUIS!$C$92="X",0,0)),-1000)</f>
        <v>-1000</v>
      </c>
      <c r="BI376">
        <f>IF(AND(CROQUIS!$C$88=1,CROQUIS!$C$126&gt;0),((CROQUIS!$C$157+(IF(CROQUIS!$C$92="X",((CROQUIS!$C$107/2+(((CROQUIS!$C$98)-CROQUIS!$C$107)-(MIN(80,MAX(1,INT(((CROQUIS!$C$98)-CROQUIS!$C$107)/MAX(CROQUIS!$C$126,1))+1))-1)*CROQUIS!$C$126)/2)+MIN(INT(($A376-1)/5),MAX((MIN(80,MAX(1,INT(((CROQUIS!$C$98)-CROQUIS!$C$107)/MAX(CROQUIS!$C$126,1))+1)))-1,0))*CROQUIS!$C$126),CHOOSE(IF(INT(($A376-1)/5)&gt;MAX((MIN(80,MAX(1,INT(((CROQUIS!$C$98)-CROQUIS!$C$107)/MAX(CROQUIS!$C$126,1))+1)))-1,0),0,MOD($A376-1,5))+1,0,2,CROQUIS!$C$97-2,2,0)))*CROQUIS!$C$155)+IF(CROQUIS!$C$92="X",0,0)),-1000)</f>
        <v>-1000</v>
      </c>
      <c r="BJ376">
        <f>IF(AND(CROQUIS!$C$88=1,CROQUIS!$C$134&gt;0),((CROQUIS!$C$156+(IF(CROQUIS!$C$92="X",((CROQUIS!$C$107/2+(((CROQUIS!$C$97)-CROQUIS!$C$107)-(MIN(80,MAX(1,INT(((CROQUIS!$C$97)-CROQUIS!$C$107)/MAX(CROQUIS!$C$134,1))+1))-1)*CROQUIS!$C$134)/2)+MIN(INT(($A376-1)/5),MAX((MIN(80,MAX(1,INT(((CROQUIS!$C$97)-CROQUIS!$C$107)/MAX(CROQUIS!$C$134,1))+1)))-1,0))*CROQUIS!$C$134),CHOOSE(IF(INT(($A376-1)/5)&gt;MAX((MIN(80,MAX(1,INT(((CROQUIS!$C$97)-CROQUIS!$C$107)/MAX(CROQUIS!$C$134,1))+1)))-1,0),0,MOD($A376-1,5))+1,0,2,CROQUIS!$C$98-2,2,0)))*CROQUIS!$C$155)+IF(CROQUIS!$C$92="X",0,0)),-1000)</f>
        <v>-1000</v>
      </c>
      <c r="BK376">
        <f>IF(AND(CROQUIS!$C$88=1,CROQUIS!$C$134&gt;0),((CROQUIS!$C$157+(IF(CROQUIS!$C$92="X",CHOOSE(IF(INT(($A376-1)/5)&gt;MAX((MIN(80,MAX(1,INT(((CROQUIS!$C$97)-CROQUIS!$C$107)/MAX(CROQUIS!$C$134,1))+1)))-1,0),0,MOD($A376-1,5))+1,0,2,CROQUIS!$C$98-2,2,0),((CROQUIS!$C$107/2+(((CROQUIS!$C$97)-CROQUIS!$C$107)-(MIN(80,MAX(1,INT(((CROQUIS!$C$97)-CROQUIS!$C$107)/MAX(CROQUIS!$C$134,1))+1))-1)*CROQUIS!$C$134)/2)+MIN(INT(($A376-1)/5),MAX((MIN(80,MAX(1,INT(((CROQUIS!$C$97)-CROQUIS!$C$107)/MAX(CROQUIS!$C$134,1))+1)))-1,0))*CROQUIS!$C$134)))*CROQUIS!$C$155)+IF(CROQUIS!$C$92="X",0,0)),-1000)</f>
        <v>-1000</v>
      </c>
      <c r="BL376">
        <f>IF(AND(CROQUIS!$C$88=1,CROQUIS!$C$91=0,CROQUIS!$C$130&gt;0,OR(CROQUIS!$C$103=1,CROQUIS!$C$142=1)),((CROQUIS!$C$156+(IF(CROQUIS!$C$92="X",CHOOSE(IF(INT(($A376-1)/5)&gt;MAX((MIN(80,MAX(1,INT(((CROQUIS!$C$98)-CROQUIS!$C$107)/MAX(CROQUIS!$C$130,1))+1)))-1,0),0,MOD($A376-1,5))+1,0,IF(CROQUIS!$C$103=1,-12,2),CROQUIS!$C$107/2+CROQUIS!$C$140,IF(CROQUIS!$C$103=1,-12,2),0),((CROQUIS!$C$107/2+(((CROQUIS!$C$98)-CROQUIS!$C$107)-(MIN(80,MAX(1,INT(((CROQUIS!$C$98)-CROQUIS!$C$107)/MAX(CROQUIS!$C$130,1))+1))-1)*CROQUIS!$C$130)/2)+MIN(INT(($A376-1)/5),MAX((MIN(80,MAX(1,INT(((CROQUIS!$C$98)-CROQUIS!$C$107)/MAX(CROQUIS!$C$130,1))+1)))-1,0))*CROQUIS!$C$130)))*CROQUIS!$C$155)+IF(CROQUIS!$C$92="X",0,0)),-1000)</f>
        <v>-1000</v>
      </c>
      <c r="BM37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376-1)/5),MAX((MIN(80,MAX(1,INT(((CROQUIS!$C$98)-CROQUIS!$C$107)/MAX(CROQUIS!$C$130,1))+1)))-1,0))*CROQUIS!$C$130),CHOOSE(IF(INT(($A376-1)/5)&gt;MAX((MIN(80,MAX(1,INT(((CROQUIS!$C$98)-CROQUIS!$C$107)/MAX(CROQUIS!$C$130,1))+1)))-1,0),0,MOD($A376-1,5))+1,0,IF(CROQUIS!$C$103=1,-12,2),CROQUIS!$C$107/2+CROQUIS!$C$140,IF(CROQUIS!$C$103=1,-12,2),0)))*CROQUIS!$C$155)+IF(CROQUIS!$C$92="X",0,0)),-1000)</f>
        <v>-1000</v>
      </c>
      <c r="BN376">
        <f>IF(AND(CROQUIS!$C$88=1,CROQUIS!$C$91=0,CROQUIS!$C$130&gt;0,OR(CROQUIS!$C$104=1,CROQUIS!$C$142=1)),((CROQUIS!$C$156+(IF(CROQUIS!$C$92="X",CHOOSE(IF(INT(($A376-1)/5)&gt;MAX((MIN(80,MAX(1,INT(((CROQUIS!$C$98)-CROQUIS!$C$107)/MAX(CROQUIS!$C$130,1))+1)))-1,0),0,MOD($A376-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376-1)/5),MAX((MIN(80,MAX(1,INT(((CROQUIS!$C$98)-CROQUIS!$C$107)/MAX(CROQUIS!$C$130,1))+1)))-1,0))*CROQUIS!$C$130)))*CROQUIS!$C$155)+IF(CROQUIS!$C$92="X",0,0)),-1000)</f>
        <v>-1000</v>
      </c>
      <c r="BO37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376-1)/5),MAX((MIN(80,MAX(1,INT(((CROQUIS!$C$98)-CROQUIS!$C$107)/MAX(CROQUIS!$C$130,1))+1)))-1,0))*CROQUIS!$C$130),CHOOSE(IF(INT(($A376-1)/5)&gt;MAX((MIN(80,MAX(1,INT(((CROQUIS!$C$98)-CROQUIS!$C$107)/MAX(CROQUIS!$C$130,1))+1)))-1,0),0,MOD($A376-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7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376-1)/5),MAX((MIN(80,MAX(1,INT(((CROQUIS!$C$97)-CROQUIS!$C$107)/MAX(CROQUIS!$C$138,1))+1)))-1,0))*CROQUIS!$C$138),CHOOSE(IF(INT(($A376-1)/5)&gt;MAX((MIN(80,MAX(1,INT(((CROQUIS!$C$97)-CROQUIS!$C$107)/MAX(CROQUIS!$C$138,1))+1)))-1,0),0,MOD($A376-1,5))+1,0,IF(CROQUIS!$C$105=1,-12,2),CROQUIS!$C$107/2+CROQUIS!$C$141,IF(CROQUIS!$C$105=1,-12,2),0)))*CROQUIS!$C$155)+IF(CROQUIS!$C$92="X",0,0)),-1000)</f>
        <v>-1000</v>
      </c>
      <c r="BQ376">
        <f>IF(AND(CROQUIS!$C$88=1,CROQUIS!$C$91=0,CROQUIS!$C$138&gt;0,OR(CROQUIS!$C$105=1,CROQUIS!$C$143=1)),((CROQUIS!$C$157+(IF(CROQUIS!$C$92="X",CHOOSE(IF(INT(($A376-1)/5)&gt;MAX((MIN(80,MAX(1,INT(((CROQUIS!$C$97)-CROQUIS!$C$107)/MAX(CROQUIS!$C$138,1))+1)))-1,0),0,MOD($A376-1,5))+1,0,IF(CROQUIS!$C$105=1,-12,2),CROQUIS!$C$107/2+CROQUIS!$C$141,IF(CROQUIS!$C$105=1,-12,2),0),((CROQUIS!$C$107/2+(((CROQUIS!$C$97)-CROQUIS!$C$107)-(MIN(80,MAX(1,INT(((CROQUIS!$C$97)-CROQUIS!$C$107)/MAX(CROQUIS!$C$138,1))+1))-1)*CROQUIS!$C$138)/2)+MIN(INT(($A376-1)/5),MAX((MIN(80,MAX(1,INT(((CROQUIS!$C$97)-CROQUIS!$C$107)/MAX(CROQUIS!$C$138,1))+1)))-1,0))*CROQUIS!$C$138)))*CROQUIS!$C$155)+IF(CROQUIS!$C$92="X",0,0)),-1000)</f>
        <v>-1000</v>
      </c>
      <c r="BR37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376-1)/5),MAX((MIN(80,MAX(1,INT(((CROQUIS!$C$97)-CROQUIS!$C$107)/MAX(CROQUIS!$C$138,1))+1)))-1,0))*CROQUIS!$C$138),CHOOSE(IF(INT(($A376-1)/5)&gt;MAX((MIN(80,MAX(1,INT(((CROQUIS!$C$97)-CROQUIS!$C$107)/MAX(CROQUIS!$C$138,1))+1)))-1,0),0,MOD($A376-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76">
        <f>IF(AND(CROQUIS!$C$88=1,CROQUIS!$C$91=0,CROQUIS!$C$138&gt;0,OR(CROQUIS!$C$106=1,CROQUIS!$C$143=1)),((CROQUIS!$C$157+(IF(CROQUIS!$C$92="X",CHOOSE(IF(INT(($A376-1)/5)&gt;MAX((MIN(80,MAX(1,INT(((CROQUIS!$C$97)-CROQUIS!$C$107)/MAX(CROQUIS!$C$138,1))+1)))-1,0),0,MOD($A376-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376-1)/5),MAX((MIN(80,MAX(1,INT(((CROQUIS!$C$97)-CROQUIS!$C$107)/MAX(CROQUIS!$C$138,1))+1)))-1,0))*CROQUIS!$C$138)))*CROQUIS!$C$155)+IF(CROQUIS!$C$92="X",0,0)),-1000)</f>
        <v>-1000</v>
      </c>
      <c r="BT376">
        <f>IF(AND(CROQUIS!$C$88=1,CROQUIS!$C$91=1,CROQUIS!$C$130&gt;0),((CROQUIS!$C$156+(IF(CROQUIS!$C$92="X",CHOOSE(IF(INT(($A376-1)/5)&gt;MAX((MIN(80,MAX(1,INT(((CROQUIS!$C$98)-CROQUIS!$C$107)/MAX(CROQUIS!$C$130,1))+1)))-1,0),0,MOD($A376-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376-1)/5),MAX((MIN(80,MAX(1,INT(((CROQUIS!$C$98)-CROQUIS!$C$107)/MAX(CROQUIS!$C$130,1))+1)))-1,0))*CROQUIS!$C$130)))*CROQUIS!$C$155)+IF(CROQUIS!$C$92="X",0,0)),-1000)</f>
        <v>-1000</v>
      </c>
      <c r="BU376">
        <f>IF(AND(CROQUIS!$C$88=1,CROQUIS!$C$91=1,CROQUIS!$C$130&gt;0),((CROQUIS!$C$157+(IF(CROQUIS!$C$92="X",((CROQUIS!$C$107/2+(((CROQUIS!$C$98)-CROQUIS!$C$107)-(MIN(80,MAX(1,INT(((CROQUIS!$C$98)-CROQUIS!$C$107)/MAX(CROQUIS!$C$130,1))+1))-1)*CROQUIS!$C$130)/2)+MIN(INT(($A376-1)/5),MAX((MIN(80,MAX(1,INT(((CROQUIS!$C$98)-CROQUIS!$C$107)/MAX(CROQUIS!$C$130,1))+1)))-1,0))*CROQUIS!$C$130),CHOOSE(IF(INT(($A376-1)/5)&gt;MAX((MIN(80,MAX(1,INT(((CROQUIS!$C$98)-CROQUIS!$C$107)/MAX(CROQUIS!$C$130,1))+1)))-1,0),0,MOD($A376-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77">
      <c r="A377" t="n">
        <v>370</v>
      </c>
      <c r="BH377">
        <f>IF(AND(CROQUIS!$C$88=1,CROQUIS!$C$126&gt;0),((CROQUIS!$C$156+(IF(CROQUIS!$C$92="X",CHOOSE(IF(INT(($A377-1)/5)&gt;MAX((MIN(80,MAX(1,INT(((CROQUIS!$C$98)-CROQUIS!$C$107)/MAX(CROQUIS!$C$126,1))+1)))-1,0),0,MOD($A377-1,5))+1,0,2,CROQUIS!$C$97-2,2,0),((CROQUIS!$C$107/2+(((CROQUIS!$C$98)-CROQUIS!$C$107)-(MIN(80,MAX(1,INT(((CROQUIS!$C$98)-CROQUIS!$C$107)/MAX(CROQUIS!$C$126,1))+1))-1)*CROQUIS!$C$126)/2)+MIN(INT(($A377-1)/5),MAX((MIN(80,MAX(1,INT(((CROQUIS!$C$98)-CROQUIS!$C$107)/MAX(CROQUIS!$C$126,1))+1)))-1,0))*CROQUIS!$C$126)))*CROQUIS!$C$155)+IF(CROQUIS!$C$92="X",0,0)),-1000)</f>
        <v>-1000</v>
      </c>
      <c r="BI377">
        <f>IF(AND(CROQUIS!$C$88=1,CROQUIS!$C$126&gt;0),((CROQUIS!$C$157+(IF(CROQUIS!$C$92="X",((CROQUIS!$C$107/2+(((CROQUIS!$C$98)-CROQUIS!$C$107)-(MIN(80,MAX(1,INT(((CROQUIS!$C$98)-CROQUIS!$C$107)/MAX(CROQUIS!$C$126,1))+1))-1)*CROQUIS!$C$126)/2)+MIN(INT(($A377-1)/5),MAX((MIN(80,MAX(1,INT(((CROQUIS!$C$98)-CROQUIS!$C$107)/MAX(CROQUIS!$C$126,1))+1)))-1,0))*CROQUIS!$C$126),CHOOSE(IF(INT(($A377-1)/5)&gt;MAX((MIN(80,MAX(1,INT(((CROQUIS!$C$98)-CROQUIS!$C$107)/MAX(CROQUIS!$C$126,1))+1)))-1,0),0,MOD($A377-1,5))+1,0,2,CROQUIS!$C$97-2,2,0)))*CROQUIS!$C$155)+IF(CROQUIS!$C$92="X",0,0)),-1000)</f>
        <v>-1000</v>
      </c>
      <c r="BJ377">
        <f>IF(AND(CROQUIS!$C$88=1,CROQUIS!$C$134&gt;0),((CROQUIS!$C$156+(IF(CROQUIS!$C$92="X",((CROQUIS!$C$107/2+(((CROQUIS!$C$97)-CROQUIS!$C$107)-(MIN(80,MAX(1,INT(((CROQUIS!$C$97)-CROQUIS!$C$107)/MAX(CROQUIS!$C$134,1))+1))-1)*CROQUIS!$C$134)/2)+MIN(INT(($A377-1)/5),MAX((MIN(80,MAX(1,INT(((CROQUIS!$C$97)-CROQUIS!$C$107)/MAX(CROQUIS!$C$134,1))+1)))-1,0))*CROQUIS!$C$134),CHOOSE(IF(INT(($A377-1)/5)&gt;MAX((MIN(80,MAX(1,INT(((CROQUIS!$C$97)-CROQUIS!$C$107)/MAX(CROQUIS!$C$134,1))+1)))-1,0),0,MOD($A377-1,5))+1,0,2,CROQUIS!$C$98-2,2,0)))*CROQUIS!$C$155)+IF(CROQUIS!$C$92="X",0,0)),-1000)</f>
        <v>-1000</v>
      </c>
      <c r="BK377">
        <f>IF(AND(CROQUIS!$C$88=1,CROQUIS!$C$134&gt;0),((CROQUIS!$C$157+(IF(CROQUIS!$C$92="X",CHOOSE(IF(INT(($A377-1)/5)&gt;MAX((MIN(80,MAX(1,INT(((CROQUIS!$C$97)-CROQUIS!$C$107)/MAX(CROQUIS!$C$134,1))+1)))-1,0),0,MOD($A377-1,5))+1,0,2,CROQUIS!$C$98-2,2,0),((CROQUIS!$C$107/2+(((CROQUIS!$C$97)-CROQUIS!$C$107)-(MIN(80,MAX(1,INT(((CROQUIS!$C$97)-CROQUIS!$C$107)/MAX(CROQUIS!$C$134,1))+1))-1)*CROQUIS!$C$134)/2)+MIN(INT(($A377-1)/5),MAX((MIN(80,MAX(1,INT(((CROQUIS!$C$97)-CROQUIS!$C$107)/MAX(CROQUIS!$C$134,1))+1)))-1,0))*CROQUIS!$C$134)))*CROQUIS!$C$155)+IF(CROQUIS!$C$92="X",0,0)),-1000)</f>
        <v>-1000</v>
      </c>
      <c r="BL377">
        <f>IF(AND(CROQUIS!$C$88=1,CROQUIS!$C$91=0,CROQUIS!$C$130&gt;0,OR(CROQUIS!$C$103=1,CROQUIS!$C$142=1)),((CROQUIS!$C$156+(IF(CROQUIS!$C$92="X",CHOOSE(IF(INT(($A377-1)/5)&gt;MAX((MIN(80,MAX(1,INT(((CROQUIS!$C$98)-CROQUIS!$C$107)/MAX(CROQUIS!$C$130,1))+1)))-1,0),0,MOD($A377-1,5))+1,0,IF(CROQUIS!$C$103=1,-12,2),CROQUIS!$C$107/2+CROQUIS!$C$140,IF(CROQUIS!$C$103=1,-12,2),0),((CROQUIS!$C$107/2+(((CROQUIS!$C$98)-CROQUIS!$C$107)-(MIN(80,MAX(1,INT(((CROQUIS!$C$98)-CROQUIS!$C$107)/MAX(CROQUIS!$C$130,1))+1))-1)*CROQUIS!$C$130)/2)+MIN(INT(($A377-1)/5),MAX((MIN(80,MAX(1,INT(((CROQUIS!$C$98)-CROQUIS!$C$107)/MAX(CROQUIS!$C$130,1))+1)))-1,0))*CROQUIS!$C$130)))*CROQUIS!$C$155)+IF(CROQUIS!$C$92="X",0,0)),-1000)</f>
        <v>-1000</v>
      </c>
      <c r="BM37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377-1)/5),MAX((MIN(80,MAX(1,INT(((CROQUIS!$C$98)-CROQUIS!$C$107)/MAX(CROQUIS!$C$130,1))+1)))-1,0))*CROQUIS!$C$130),CHOOSE(IF(INT(($A377-1)/5)&gt;MAX((MIN(80,MAX(1,INT(((CROQUIS!$C$98)-CROQUIS!$C$107)/MAX(CROQUIS!$C$130,1))+1)))-1,0),0,MOD($A377-1,5))+1,0,IF(CROQUIS!$C$103=1,-12,2),CROQUIS!$C$107/2+CROQUIS!$C$140,IF(CROQUIS!$C$103=1,-12,2),0)))*CROQUIS!$C$155)+IF(CROQUIS!$C$92="X",0,0)),-1000)</f>
        <v>-1000</v>
      </c>
      <c r="BN377">
        <f>IF(AND(CROQUIS!$C$88=1,CROQUIS!$C$91=0,CROQUIS!$C$130&gt;0,OR(CROQUIS!$C$104=1,CROQUIS!$C$142=1)),((CROQUIS!$C$156+(IF(CROQUIS!$C$92="X",CHOOSE(IF(INT(($A377-1)/5)&gt;MAX((MIN(80,MAX(1,INT(((CROQUIS!$C$98)-CROQUIS!$C$107)/MAX(CROQUIS!$C$130,1))+1)))-1,0),0,MOD($A377-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377-1)/5),MAX((MIN(80,MAX(1,INT(((CROQUIS!$C$98)-CROQUIS!$C$107)/MAX(CROQUIS!$C$130,1))+1)))-1,0))*CROQUIS!$C$130)))*CROQUIS!$C$155)+IF(CROQUIS!$C$92="X",0,0)),-1000)</f>
        <v>-1000</v>
      </c>
      <c r="BO37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377-1)/5),MAX((MIN(80,MAX(1,INT(((CROQUIS!$C$98)-CROQUIS!$C$107)/MAX(CROQUIS!$C$130,1))+1)))-1,0))*CROQUIS!$C$130),CHOOSE(IF(INT(($A377-1)/5)&gt;MAX((MIN(80,MAX(1,INT(((CROQUIS!$C$98)-CROQUIS!$C$107)/MAX(CROQUIS!$C$130,1))+1)))-1,0),0,MOD($A377-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7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377-1)/5),MAX((MIN(80,MAX(1,INT(((CROQUIS!$C$97)-CROQUIS!$C$107)/MAX(CROQUIS!$C$138,1))+1)))-1,0))*CROQUIS!$C$138),CHOOSE(IF(INT(($A377-1)/5)&gt;MAX((MIN(80,MAX(1,INT(((CROQUIS!$C$97)-CROQUIS!$C$107)/MAX(CROQUIS!$C$138,1))+1)))-1,0),0,MOD($A377-1,5))+1,0,IF(CROQUIS!$C$105=1,-12,2),CROQUIS!$C$107/2+CROQUIS!$C$141,IF(CROQUIS!$C$105=1,-12,2),0)))*CROQUIS!$C$155)+IF(CROQUIS!$C$92="X",0,0)),-1000)</f>
        <v>-1000</v>
      </c>
      <c r="BQ377">
        <f>IF(AND(CROQUIS!$C$88=1,CROQUIS!$C$91=0,CROQUIS!$C$138&gt;0,OR(CROQUIS!$C$105=1,CROQUIS!$C$143=1)),((CROQUIS!$C$157+(IF(CROQUIS!$C$92="X",CHOOSE(IF(INT(($A377-1)/5)&gt;MAX((MIN(80,MAX(1,INT(((CROQUIS!$C$97)-CROQUIS!$C$107)/MAX(CROQUIS!$C$138,1))+1)))-1,0),0,MOD($A377-1,5))+1,0,IF(CROQUIS!$C$105=1,-12,2),CROQUIS!$C$107/2+CROQUIS!$C$141,IF(CROQUIS!$C$105=1,-12,2),0),((CROQUIS!$C$107/2+(((CROQUIS!$C$97)-CROQUIS!$C$107)-(MIN(80,MAX(1,INT(((CROQUIS!$C$97)-CROQUIS!$C$107)/MAX(CROQUIS!$C$138,1))+1))-1)*CROQUIS!$C$138)/2)+MIN(INT(($A377-1)/5),MAX((MIN(80,MAX(1,INT(((CROQUIS!$C$97)-CROQUIS!$C$107)/MAX(CROQUIS!$C$138,1))+1)))-1,0))*CROQUIS!$C$138)))*CROQUIS!$C$155)+IF(CROQUIS!$C$92="X",0,0)),-1000)</f>
        <v>-1000</v>
      </c>
      <c r="BR37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377-1)/5),MAX((MIN(80,MAX(1,INT(((CROQUIS!$C$97)-CROQUIS!$C$107)/MAX(CROQUIS!$C$138,1))+1)))-1,0))*CROQUIS!$C$138),CHOOSE(IF(INT(($A377-1)/5)&gt;MAX((MIN(80,MAX(1,INT(((CROQUIS!$C$97)-CROQUIS!$C$107)/MAX(CROQUIS!$C$138,1))+1)))-1,0),0,MOD($A377-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77">
        <f>IF(AND(CROQUIS!$C$88=1,CROQUIS!$C$91=0,CROQUIS!$C$138&gt;0,OR(CROQUIS!$C$106=1,CROQUIS!$C$143=1)),((CROQUIS!$C$157+(IF(CROQUIS!$C$92="X",CHOOSE(IF(INT(($A377-1)/5)&gt;MAX((MIN(80,MAX(1,INT(((CROQUIS!$C$97)-CROQUIS!$C$107)/MAX(CROQUIS!$C$138,1))+1)))-1,0),0,MOD($A377-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377-1)/5),MAX((MIN(80,MAX(1,INT(((CROQUIS!$C$97)-CROQUIS!$C$107)/MAX(CROQUIS!$C$138,1))+1)))-1,0))*CROQUIS!$C$138)))*CROQUIS!$C$155)+IF(CROQUIS!$C$92="X",0,0)),-1000)</f>
        <v>-1000</v>
      </c>
      <c r="BT377">
        <f>IF(AND(CROQUIS!$C$88=1,CROQUIS!$C$91=1,CROQUIS!$C$130&gt;0),((CROQUIS!$C$156+(IF(CROQUIS!$C$92="X",CHOOSE(IF(INT(($A377-1)/5)&gt;MAX((MIN(80,MAX(1,INT(((CROQUIS!$C$98)-CROQUIS!$C$107)/MAX(CROQUIS!$C$130,1))+1)))-1,0),0,MOD($A377-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377-1)/5),MAX((MIN(80,MAX(1,INT(((CROQUIS!$C$98)-CROQUIS!$C$107)/MAX(CROQUIS!$C$130,1))+1)))-1,0))*CROQUIS!$C$130)))*CROQUIS!$C$155)+IF(CROQUIS!$C$92="X",0,0)),-1000)</f>
        <v>-1000</v>
      </c>
      <c r="BU377">
        <f>IF(AND(CROQUIS!$C$88=1,CROQUIS!$C$91=1,CROQUIS!$C$130&gt;0),((CROQUIS!$C$157+(IF(CROQUIS!$C$92="X",((CROQUIS!$C$107/2+(((CROQUIS!$C$98)-CROQUIS!$C$107)-(MIN(80,MAX(1,INT(((CROQUIS!$C$98)-CROQUIS!$C$107)/MAX(CROQUIS!$C$130,1))+1))-1)*CROQUIS!$C$130)/2)+MIN(INT(($A377-1)/5),MAX((MIN(80,MAX(1,INT(((CROQUIS!$C$98)-CROQUIS!$C$107)/MAX(CROQUIS!$C$130,1))+1)))-1,0))*CROQUIS!$C$130),CHOOSE(IF(INT(($A377-1)/5)&gt;MAX((MIN(80,MAX(1,INT(((CROQUIS!$C$98)-CROQUIS!$C$107)/MAX(CROQUIS!$C$130,1))+1)))-1,0),0,MOD($A377-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78">
      <c r="A378" t="n">
        <v>371</v>
      </c>
      <c r="BH378">
        <f>IF(AND(CROQUIS!$C$88=1,CROQUIS!$C$126&gt;0),((CROQUIS!$C$156+(IF(CROQUIS!$C$92="X",CHOOSE(IF(INT(($A378-1)/5)&gt;MAX((MIN(80,MAX(1,INT(((CROQUIS!$C$98)-CROQUIS!$C$107)/MAX(CROQUIS!$C$126,1))+1)))-1,0),0,MOD($A378-1,5))+1,0,2,CROQUIS!$C$97-2,2,0),((CROQUIS!$C$107/2+(((CROQUIS!$C$98)-CROQUIS!$C$107)-(MIN(80,MAX(1,INT(((CROQUIS!$C$98)-CROQUIS!$C$107)/MAX(CROQUIS!$C$126,1))+1))-1)*CROQUIS!$C$126)/2)+MIN(INT(($A378-1)/5),MAX((MIN(80,MAX(1,INT(((CROQUIS!$C$98)-CROQUIS!$C$107)/MAX(CROQUIS!$C$126,1))+1)))-1,0))*CROQUIS!$C$126)))*CROQUIS!$C$155)+IF(CROQUIS!$C$92="X",0,0)),-1000)</f>
        <v>-1000</v>
      </c>
      <c r="BI378">
        <f>IF(AND(CROQUIS!$C$88=1,CROQUIS!$C$126&gt;0),((CROQUIS!$C$157+(IF(CROQUIS!$C$92="X",((CROQUIS!$C$107/2+(((CROQUIS!$C$98)-CROQUIS!$C$107)-(MIN(80,MAX(1,INT(((CROQUIS!$C$98)-CROQUIS!$C$107)/MAX(CROQUIS!$C$126,1))+1))-1)*CROQUIS!$C$126)/2)+MIN(INT(($A378-1)/5),MAX((MIN(80,MAX(1,INT(((CROQUIS!$C$98)-CROQUIS!$C$107)/MAX(CROQUIS!$C$126,1))+1)))-1,0))*CROQUIS!$C$126),CHOOSE(IF(INT(($A378-1)/5)&gt;MAX((MIN(80,MAX(1,INT(((CROQUIS!$C$98)-CROQUIS!$C$107)/MAX(CROQUIS!$C$126,1))+1)))-1,0),0,MOD($A378-1,5))+1,0,2,CROQUIS!$C$97-2,2,0)))*CROQUIS!$C$155)+IF(CROQUIS!$C$92="X",0,0)),-1000)</f>
        <v>-1000</v>
      </c>
      <c r="BJ378">
        <f>IF(AND(CROQUIS!$C$88=1,CROQUIS!$C$134&gt;0),((CROQUIS!$C$156+(IF(CROQUIS!$C$92="X",((CROQUIS!$C$107/2+(((CROQUIS!$C$97)-CROQUIS!$C$107)-(MIN(80,MAX(1,INT(((CROQUIS!$C$97)-CROQUIS!$C$107)/MAX(CROQUIS!$C$134,1))+1))-1)*CROQUIS!$C$134)/2)+MIN(INT(($A378-1)/5),MAX((MIN(80,MAX(1,INT(((CROQUIS!$C$97)-CROQUIS!$C$107)/MAX(CROQUIS!$C$134,1))+1)))-1,0))*CROQUIS!$C$134),CHOOSE(IF(INT(($A378-1)/5)&gt;MAX((MIN(80,MAX(1,INT(((CROQUIS!$C$97)-CROQUIS!$C$107)/MAX(CROQUIS!$C$134,1))+1)))-1,0),0,MOD($A378-1,5))+1,0,2,CROQUIS!$C$98-2,2,0)))*CROQUIS!$C$155)+IF(CROQUIS!$C$92="X",0,0)),-1000)</f>
        <v>-1000</v>
      </c>
      <c r="BK378">
        <f>IF(AND(CROQUIS!$C$88=1,CROQUIS!$C$134&gt;0),((CROQUIS!$C$157+(IF(CROQUIS!$C$92="X",CHOOSE(IF(INT(($A378-1)/5)&gt;MAX((MIN(80,MAX(1,INT(((CROQUIS!$C$97)-CROQUIS!$C$107)/MAX(CROQUIS!$C$134,1))+1)))-1,0),0,MOD($A378-1,5))+1,0,2,CROQUIS!$C$98-2,2,0),((CROQUIS!$C$107/2+(((CROQUIS!$C$97)-CROQUIS!$C$107)-(MIN(80,MAX(1,INT(((CROQUIS!$C$97)-CROQUIS!$C$107)/MAX(CROQUIS!$C$134,1))+1))-1)*CROQUIS!$C$134)/2)+MIN(INT(($A378-1)/5),MAX((MIN(80,MAX(1,INT(((CROQUIS!$C$97)-CROQUIS!$C$107)/MAX(CROQUIS!$C$134,1))+1)))-1,0))*CROQUIS!$C$134)))*CROQUIS!$C$155)+IF(CROQUIS!$C$92="X",0,0)),-1000)</f>
        <v>-1000</v>
      </c>
      <c r="BL378">
        <f>IF(AND(CROQUIS!$C$88=1,CROQUIS!$C$91=0,CROQUIS!$C$130&gt;0,OR(CROQUIS!$C$103=1,CROQUIS!$C$142=1)),((CROQUIS!$C$156+(IF(CROQUIS!$C$92="X",CHOOSE(IF(INT(($A378-1)/5)&gt;MAX((MIN(80,MAX(1,INT(((CROQUIS!$C$98)-CROQUIS!$C$107)/MAX(CROQUIS!$C$130,1))+1)))-1,0),0,MOD($A378-1,5))+1,0,IF(CROQUIS!$C$103=1,-12,2),CROQUIS!$C$107/2+CROQUIS!$C$140,IF(CROQUIS!$C$103=1,-12,2),0),((CROQUIS!$C$107/2+(((CROQUIS!$C$98)-CROQUIS!$C$107)-(MIN(80,MAX(1,INT(((CROQUIS!$C$98)-CROQUIS!$C$107)/MAX(CROQUIS!$C$130,1))+1))-1)*CROQUIS!$C$130)/2)+MIN(INT(($A378-1)/5),MAX((MIN(80,MAX(1,INT(((CROQUIS!$C$98)-CROQUIS!$C$107)/MAX(CROQUIS!$C$130,1))+1)))-1,0))*CROQUIS!$C$130)))*CROQUIS!$C$155)+IF(CROQUIS!$C$92="X",0,0)),-1000)</f>
        <v>-1000</v>
      </c>
      <c r="BM37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378-1)/5),MAX((MIN(80,MAX(1,INT(((CROQUIS!$C$98)-CROQUIS!$C$107)/MAX(CROQUIS!$C$130,1))+1)))-1,0))*CROQUIS!$C$130),CHOOSE(IF(INT(($A378-1)/5)&gt;MAX((MIN(80,MAX(1,INT(((CROQUIS!$C$98)-CROQUIS!$C$107)/MAX(CROQUIS!$C$130,1))+1)))-1,0),0,MOD($A378-1,5))+1,0,IF(CROQUIS!$C$103=1,-12,2),CROQUIS!$C$107/2+CROQUIS!$C$140,IF(CROQUIS!$C$103=1,-12,2),0)))*CROQUIS!$C$155)+IF(CROQUIS!$C$92="X",0,0)),-1000)</f>
        <v>-1000</v>
      </c>
      <c r="BN378">
        <f>IF(AND(CROQUIS!$C$88=1,CROQUIS!$C$91=0,CROQUIS!$C$130&gt;0,OR(CROQUIS!$C$104=1,CROQUIS!$C$142=1)),((CROQUIS!$C$156+(IF(CROQUIS!$C$92="X",CHOOSE(IF(INT(($A378-1)/5)&gt;MAX((MIN(80,MAX(1,INT(((CROQUIS!$C$98)-CROQUIS!$C$107)/MAX(CROQUIS!$C$130,1))+1)))-1,0),0,MOD($A378-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378-1)/5),MAX((MIN(80,MAX(1,INT(((CROQUIS!$C$98)-CROQUIS!$C$107)/MAX(CROQUIS!$C$130,1))+1)))-1,0))*CROQUIS!$C$130)))*CROQUIS!$C$155)+IF(CROQUIS!$C$92="X",0,0)),-1000)</f>
        <v>-1000</v>
      </c>
      <c r="BO37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378-1)/5),MAX((MIN(80,MAX(1,INT(((CROQUIS!$C$98)-CROQUIS!$C$107)/MAX(CROQUIS!$C$130,1))+1)))-1,0))*CROQUIS!$C$130),CHOOSE(IF(INT(($A378-1)/5)&gt;MAX((MIN(80,MAX(1,INT(((CROQUIS!$C$98)-CROQUIS!$C$107)/MAX(CROQUIS!$C$130,1))+1)))-1,0),0,MOD($A378-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7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378-1)/5),MAX((MIN(80,MAX(1,INT(((CROQUIS!$C$97)-CROQUIS!$C$107)/MAX(CROQUIS!$C$138,1))+1)))-1,0))*CROQUIS!$C$138),CHOOSE(IF(INT(($A378-1)/5)&gt;MAX((MIN(80,MAX(1,INT(((CROQUIS!$C$97)-CROQUIS!$C$107)/MAX(CROQUIS!$C$138,1))+1)))-1,0),0,MOD($A378-1,5))+1,0,IF(CROQUIS!$C$105=1,-12,2),CROQUIS!$C$107/2+CROQUIS!$C$141,IF(CROQUIS!$C$105=1,-12,2),0)))*CROQUIS!$C$155)+IF(CROQUIS!$C$92="X",0,0)),-1000)</f>
        <v>-1000</v>
      </c>
      <c r="BQ378">
        <f>IF(AND(CROQUIS!$C$88=1,CROQUIS!$C$91=0,CROQUIS!$C$138&gt;0,OR(CROQUIS!$C$105=1,CROQUIS!$C$143=1)),((CROQUIS!$C$157+(IF(CROQUIS!$C$92="X",CHOOSE(IF(INT(($A378-1)/5)&gt;MAX((MIN(80,MAX(1,INT(((CROQUIS!$C$97)-CROQUIS!$C$107)/MAX(CROQUIS!$C$138,1))+1)))-1,0),0,MOD($A378-1,5))+1,0,IF(CROQUIS!$C$105=1,-12,2),CROQUIS!$C$107/2+CROQUIS!$C$141,IF(CROQUIS!$C$105=1,-12,2),0),((CROQUIS!$C$107/2+(((CROQUIS!$C$97)-CROQUIS!$C$107)-(MIN(80,MAX(1,INT(((CROQUIS!$C$97)-CROQUIS!$C$107)/MAX(CROQUIS!$C$138,1))+1))-1)*CROQUIS!$C$138)/2)+MIN(INT(($A378-1)/5),MAX((MIN(80,MAX(1,INT(((CROQUIS!$C$97)-CROQUIS!$C$107)/MAX(CROQUIS!$C$138,1))+1)))-1,0))*CROQUIS!$C$138)))*CROQUIS!$C$155)+IF(CROQUIS!$C$92="X",0,0)),-1000)</f>
        <v>-1000</v>
      </c>
      <c r="BR37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378-1)/5),MAX((MIN(80,MAX(1,INT(((CROQUIS!$C$97)-CROQUIS!$C$107)/MAX(CROQUIS!$C$138,1))+1)))-1,0))*CROQUIS!$C$138),CHOOSE(IF(INT(($A378-1)/5)&gt;MAX((MIN(80,MAX(1,INT(((CROQUIS!$C$97)-CROQUIS!$C$107)/MAX(CROQUIS!$C$138,1))+1)))-1,0),0,MOD($A378-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78">
        <f>IF(AND(CROQUIS!$C$88=1,CROQUIS!$C$91=0,CROQUIS!$C$138&gt;0,OR(CROQUIS!$C$106=1,CROQUIS!$C$143=1)),((CROQUIS!$C$157+(IF(CROQUIS!$C$92="X",CHOOSE(IF(INT(($A378-1)/5)&gt;MAX((MIN(80,MAX(1,INT(((CROQUIS!$C$97)-CROQUIS!$C$107)/MAX(CROQUIS!$C$138,1))+1)))-1,0),0,MOD($A378-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378-1)/5),MAX((MIN(80,MAX(1,INT(((CROQUIS!$C$97)-CROQUIS!$C$107)/MAX(CROQUIS!$C$138,1))+1)))-1,0))*CROQUIS!$C$138)))*CROQUIS!$C$155)+IF(CROQUIS!$C$92="X",0,0)),-1000)</f>
        <v>-1000</v>
      </c>
      <c r="BT378">
        <f>IF(AND(CROQUIS!$C$88=1,CROQUIS!$C$91=1,CROQUIS!$C$130&gt;0),((CROQUIS!$C$156+(IF(CROQUIS!$C$92="X",CHOOSE(IF(INT(($A378-1)/5)&gt;MAX((MIN(80,MAX(1,INT(((CROQUIS!$C$98)-CROQUIS!$C$107)/MAX(CROQUIS!$C$130,1))+1)))-1,0),0,MOD($A378-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378-1)/5),MAX((MIN(80,MAX(1,INT(((CROQUIS!$C$98)-CROQUIS!$C$107)/MAX(CROQUIS!$C$130,1))+1)))-1,0))*CROQUIS!$C$130)))*CROQUIS!$C$155)+IF(CROQUIS!$C$92="X",0,0)),-1000)</f>
        <v>-1000</v>
      </c>
      <c r="BU378">
        <f>IF(AND(CROQUIS!$C$88=1,CROQUIS!$C$91=1,CROQUIS!$C$130&gt;0),((CROQUIS!$C$157+(IF(CROQUIS!$C$92="X",((CROQUIS!$C$107/2+(((CROQUIS!$C$98)-CROQUIS!$C$107)-(MIN(80,MAX(1,INT(((CROQUIS!$C$98)-CROQUIS!$C$107)/MAX(CROQUIS!$C$130,1))+1))-1)*CROQUIS!$C$130)/2)+MIN(INT(($A378-1)/5),MAX((MIN(80,MAX(1,INT(((CROQUIS!$C$98)-CROQUIS!$C$107)/MAX(CROQUIS!$C$130,1))+1)))-1,0))*CROQUIS!$C$130),CHOOSE(IF(INT(($A378-1)/5)&gt;MAX((MIN(80,MAX(1,INT(((CROQUIS!$C$98)-CROQUIS!$C$107)/MAX(CROQUIS!$C$130,1))+1)))-1,0),0,MOD($A378-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79">
      <c r="A379" t="n">
        <v>372</v>
      </c>
      <c r="BH379">
        <f>IF(AND(CROQUIS!$C$88=1,CROQUIS!$C$126&gt;0),((CROQUIS!$C$156+(IF(CROQUIS!$C$92="X",CHOOSE(IF(INT(($A379-1)/5)&gt;MAX((MIN(80,MAX(1,INT(((CROQUIS!$C$98)-CROQUIS!$C$107)/MAX(CROQUIS!$C$126,1))+1)))-1,0),0,MOD($A379-1,5))+1,0,2,CROQUIS!$C$97-2,2,0),((CROQUIS!$C$107/2+(((CROQUIS!$C$98)-CROQUIS!$C$107)-(MIN(80,MAX(1,INT(((CROQUIS!$C$98)-CROQUIS!$C$107)/MAX(CROQUIS!$C$126,1))+1))-1)*CROQUIS!$C$126)/2)+MIN(INT(($A379-1)/5),MAX((MIN(80,MAX(1,INT(((CROQUIS!$C$98)-CROQUIS!$C$107)/MAX(CROQUIS!$C$126,1))+1)))-1,0))*CROQUIS!$C$126)))*CROQUIS!$C$155)+IF(CROQUIS!$C$92="X",0,0)),-1000)</f>
        <v>-1000</v>
      </c>
      <c r="BI379">
        <f>IF(AND(CROQUIS!$C$88=1,CROQUIS!$C$126&gt;0),((CROQUIS!$C$157+(IF(CROQUIS!$C$92="X",((CROQUIS!$C$107/2+(((CROQUIS!$C$98)-CROQUIS!$C$107)-(MIN(80,MAX(1,INT(((CROQUIS!$C$98)-CROQUIS!$C$107)/MAX(CROQUIS!$C$126,1))+1))-1)*CROQUIS!$C$126)/2)+MIN(INT(($A379-1)/5),MAX((MIN(80,MAX(1,INT(((CROQUIS!$C$98)-CROQUIS!$C$107)/MAX(CROQUIS!$C$126,1))+1)))-1,0))*CROQUIS!$C$126),CHOOSE(IF(INT(($A379-1)/5)&gt;MAX((MIN(80,MAX(1,INT(((CROQUIS!$C$98)-CROQUIS!$C$107)/MAX(CROQUIS!$C$126,1))+1)))-1,0),0,MOD($A379-1,5))+1,0,2,CROQUIS!$C$97-2,2,0)))*CROQUIS!$C$155)+IF(CROQUIS!$C$92="X",0,0)),-1000)</f>
        <v>-1000</v>
      </c>
      <c r="BJ379">
        <f>IF(AND(CROQUIS!$C$88=1,CROQUIS!$C$134&gt;0),((CROQUIS!$C$156+(IF(CROQUIS!$C$92="X",((CROQUIS!$C$107/2+(((CROQUIS!$C$97)-CROQUIS!$C$107)-(MIN(80,MAX(1,INT(((CROQUIS!$C$97)-CROQUIS!$C$107)/MAX(CROQUIS!$C$134,1))+1))-1)*CROQUIS!$C$134)/2)+MIN(INT(($A379-1)/5),MAX((MIN(80,MAX(1,INT(((CROQUIS!$C$97)-CROQUIS!$C$107)/MAX(CROQUIS!$C$134,1))+1)))-1,0))*CROQUIS!$C$134),CHOOSE(IF(INT(($A379-1)/5)&gt;MAX((MIN(80,MAX(1,INT(((CROQUIS!$C$97)-CROQUIS!$C$107)/MAX(CROQUIS!$C$134,1))+1)))-1,0),0,MOD($A379-1,5))+1,0,2,CROQUIS!$C$98-2,2,0)))*CROQUIS!$C$155)+IF(CROQUIS!$C$92="X",0,0)),-1000)</f>
        <v>-1000</v>
      </c>
      <c r="BK379">
        <f>IF(AND(CROQUIS!$C$88=1,CROQUIS!$C$134&gt;0),((CROQUIS!$C$157+(IF(CROQUIS!$C$92="X",CHOOSE(IF(INT(($A379-1)/5)&gt;MAX((MIN(80,MAX(1,INT(((CROQUIS!$C$97)-CROQUIS!$C$107)/MAX(CROQUIS!$C$134,1))+1)))-1,0),0,MOD($A379-1,5))+1,0,2,CROQUIS!$C$98-2,2,0),((CROQUIS!$C$107/2+(((CROQUIS!$C$97)-CROQUIS!$C$107)-(MIN(80,MAX(1,INT(((CROQUIS!$C$97)-CROQUIS!$C$107)/MAX(CROQUIS!$C$134,1))+1))-1)*CROQUIS!$C$134)/2)+MIN(INT(($A379-1)/5),MAX((MIN(80,MAX(1,INT(((CROQUIS!$C$97)-CROQUIS!$C$107)/MAX(CROQUIS!$C$134,1))+1)))-1,0))*CROQUIS!$C$134)))*CROQUIS!$C$155)+IF(CROQUIS!$C$92="X",0,0)),-1000)</f>
        <v>-1000</v>
      </c>
      <c r="BL379">
        <f>IF(AND(CROQUIS!$C$88=1,CROQUIS!$C$91=0,CROQUIS!$C$130&gt;0,OR(CROQUIS!$C$103=1,CROQUIS!$C$142=1)),((CROQUIS!$C$156+(IF(CROQUIS!$C$92="X",CHOOSE(IF(INT(($A379-1)/5)&gt;MAX((MIN(80,MAX(1,INT(((CROQUIS!$C$98)-CROQUIS!$C$107)/MAX(CROQUIS!$C$130,1))+1)))-1,0),0,MOD($A379-1,5))+1,0,IF(CROQUIS!$C$103=1,-12,2),CROQUIS!$C$107/2+CROQUIS!$C$140,IF(CROQUIS!$C$103=1,-12,2),0),((CROQUIS!$C$107/2+(((CROQUIS!$C$98)-CROQUIS!$C$107)-(MIN(80,MAX(1,INT(((CROQUIS!$C$98)-CROQUIS!$C$107)/MAX(CROQUIS!$C$130,1))+1))-1)*CROQUIS!$C$130)/2)+MIN(INT(($A379-1)/5),MAX((MIN(80,MAX(1,INT(((CROQUIS!$C$98)-CROQUIS!$C$107)/MAX(CROQUIS!$C$130,1))+1)))-1,0))*CROQUIS!$C$130)))*CROQUIS!$C$155)+IF(CROQUIS!$C$92="X",0,0)),-1000)</f>
        <v>-1000</v>
      </c>
      <c r="BM37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379-1)/5),MAX((MIN(80,MAX(1,INT(((CROQUIS!$C$98)-CROQUIS!$C$107)/MAX(CROQUIS!$C$130,1))+1)))-1,0))*CROQUIS!$C$130),CHOOSE(IF(INT(($A379-1)/5)&gt;MAX((MIN(80,MAX(1,INT(((CROQUIS!$C$98)-CROQUIS!$C$107)/MAX(CROQUIS!$C$130,1))+1)))-1,0),0,MOD($A379-1,5))+1,0,IF(CROQUIS!$C$103=1,-12,2),CROQUIS!$C$107/2+CROQUIS!$C$140,IF(CROQUIS!$C$103=1,-12,2),0)))*CROQUIS!$C$155)+IF(CROQUIS!$C$92="X",0,0)),-1000)</f>
        <v>-1000</v>
      </c>
      <c r="BN379">
        <f>IF(AND(CROQUIS!$C$88=1,CROQUIS!$C$91=0,CROQUIS!$C$130&gt;0,OR(CROQUIS!$C$104=1,CROQUIS!$C$142=1)),((CROQUIS!$C$156+(IF(CROQUIS!$C$92="X",CHOOSE(IF(INT(($A379-1)/5)&gt;MAX((MIN(80,MAX(1,INT(((CROQUIS!$C$98)-CROQUIS!$C$107)/MAX(CROQUIS!$C$130,1))+1)))-1,0),0,MOD($A379-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379-1)/5),MAX((MIN(80,MAX(1,INT(((CROQUIS!$C$98)-CROQUIS!$C$107)/MAX(CROQUIS!$C$130,1))+1)))-1,0))*CROQUIS!$C$130)))*CROQUIS!$C$155)+IF(CROQUIS!$C$92="X",0,0)),-1000)</f>
        <v>-1000</v>
      </c>
      <c r="BO37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379-1)/5),MAX((MIN(80,MAX(1,INT(((CROQUIS!$C$98)-CROQUIS!$C$107)/MAX(CROQUIS!$C$130,1))+1)))-1,0))*CROQUIS!$C$130),CHOOSE(IF(INT(($A379-1)/5)&gt;MAX((MIN(80,MAX(1,INT(((CROQUIS!$C$98)-CROQUIS!$C$107)/MAX(CROQUIS!$C$130,1))+1)))-1,0),0,MOD($A379-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7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379-1)/5),MAX((MIN(80,MAX(1,INT(((CROQUIS!$C$97)-CROQUIS!$C$107)/MAX(CROQUIS!$C$138,1))+1)))-1,0))*CROQUIS!$C$138),CHOOSE(IF(INT(($A379-1)/5)&gt;MAX((MIN(80,MAX(1,INT(((CROQUIS!$C$97)-CROQUIS!$C$107)/MAX(CROQUIS!$C$138,1))+1)))-1,0),0,MOD($A379-1,5))+1,0,IF(CROQUIS!$C$105=1,-12,2),CROQUIS!$C$107/2+CROQUIS!$C$141,IF(CROQUIS!$C$105=1,-12,2),0)))*CROQUIS!$C$155)+IF(CROQUIS!$C$92="X",0,0)),-1000)</f>
        <v>-1000</v>
      </c>
      <c r="BQ379">
        <f>IF(AND(CROQUIS!$C$88=1,CROQUIS!$C$91=0,CROQUIS!$C$138&gt;0,OR(CROQUIS!$C$105=1,CROQUIS!$C$143=1)),((CROQUIS!$C$157+(IF(CROQUIS!$C$92="X",CHOOSE(IF(INT(($A379-1)/5)&gt;MAX((MIN(80,MAX(1,INT(((CROQUIS!$C$97)-CROQUIS!$C$107)/MAX(CROQUIS!$C$138,1))+1)))-1,0),0,MOD($A379-1,5))+1,0,IF(CROQUIS!$C$105=1,-12,2),CROQUIS!$C$107/2+CROQUIS!$C$141,IF(CROQUIS!$C$105=1,-12,2),0),((CROQUIS!$C$107/2+(((CROQUIS!$C$97)-CROQUIS!$C$107)-(MIN(80,MAX(1,INT(((CROQUIS!$C$97)-CROQUIS!$C$107)/MAX(CROQUIS!$C$138,1))+1))-1)*CROQUIS!$C$138)/2)+MIN(INT(($A379-1)/5),MAX((MIN(80,MAX(1,INT(((CROQUIS!$C$97)-CROQUIS!$C$107)/MAX(CROQUIS!$C$138,1))+1)))-1,0))*CROQUIS!$C$138)))*CROQUIS!$C$155)+IF(CROQUIS!$C$92="X",0,0)),-1000)</f>
        <v>-1000</v>
      </c>
      <c r="BR37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379-1)/5),MAX((MIN(80,MAX(1,INT(((CROQUIS!$C$97)-CROQUIS!$C$107)/MAX(CROQUIS!$C$138,1))+1)))-1,0))*CROQUIS!$C$138),CHOOSE(IF(INT(($A379-1)/5)&gt;MAX((MIN(80,MAX(1,INT(((CROQUIS!$C$97)-CROQUIS!$C$107)/MAX(CROQUIS!$C$138,1))+1)))-1,0),0,MOD($A379-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79">
        <f>IF(AND(CROQUIS!$C$88=1,CROQUIS!$C$91=0,CROQUIS!$C$138&gt;0,OR(CROQUIS!$C$106=1,CROQUIS!$C$143=1)),((CROQUIS!$C$157+(IF(CROQUIS!$C$92="X",CHOOSE(IF(INT(($A379-1)/5)&gt;MAX((MIN(80,MAX(1,INT(((CROQUIS!$C$97)-CROQUIS!$C$107)/MAX(CROQUIS!$C$138,1))+1)))-1,0),0,MOD($A379-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379-1)/5),MAX((MIN(80,MAX(1,INT(((CROQUIS!$C$97)-CROQUIS!$C$107)/MAX(CROQUIS!$C$138,1))+1)))-1,0))*CROQUIS!$C$138)))*CROQUIS!$C$155)+IF(CROQUIS!$C$92="X",0,0)),-1000)</f>
        <v>-1000</v>
      </c>
      <c r="BT379">
        <f>IF(AND(CROQUIS!$C$88=1,CROQUIS!$C$91=1,CROQUIS!$C$130&gt;0),((CROQUIS!$C$156+(IF(CROQUIS!$C$92="X",CHOOSE(IF(INT(($A379-1)/5)&gt;MAX((MIN(80,MAX(1,INT(((CROQUIS!$C$98)-CROQUIS!$C$107)/MAX(CROQUIS!$C$130,1))+1)))-1,0),0,MOD($A379-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379-1)/5),MAX((MIN(80,MAX(1,INT(((CROQUIS!$C$98)-CROQUIS!$C$107)/MAX(CROQUIS!$C$130,1))+1)))-1,0))*CROQUIS!$C$130)))*CROQUIS!$C$155)+IF(CROQUIS!$C$92="X",0,0)),-1000)</f>
        <v>-1000</v>
      </c>
      <c r="BU379">
        <f>IF(AND(CROQUIS!$C$88=1,CROQUIS!$C$91=1,CROQUIS!$C$130&gt;0),((CROQUIS!$C$157+(IF(CROQUIS!$C$92="X",((CROQUIS!$C$107/2+(((CROQUIS!$C$98)-CROQUIS!$C$107)-(MIN(80,MAX(1,INT(((CROQUIS!$C$98)-CROQUIS!$C$107)/MAX(CROQUIS!$C$130,1))+1))-1)*CROQUIS!$C$130)/2)+MIN(INT(($A379-1)/5),MAX((MIN(80,MAX(1,INT(((CROQUIS!$C$98)-CROQUIS!$C$107)/MAX(CROQUIS!$C$130,1))+1)))-1,0))*CROQUIS!$C$130),CHOOSE(IF(INT(($A379-1)/5)&gt;MAX((MIN(80,MAX(1,INT(((CROQUIS!$C$98)-CROQUIS!$C$107)/MAX(CROQUIS!$C$130,1))+1)))-1,0),0,MOD($A379-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80">
      <c r="A380" t="n">
        <v>373</v>
      </c>
      <c r="BH380">
        <f>IF(AND(CROQUIS!$C$88=1,CROQUIS!$C$126&gt;0),((CROQUIS!$C$156+(IF(CROQUIS!$C$92="X",CHOOSE(IF(INT(($A380-1)/5)&gt;MAX((MIN(80,MAX(1,INT(((CROQUIS!$C$98)-CROQUIS!$C$107)/MAX(CROQUIS!$C$126,1))+1)))-1,0),0,MOD($A380-1,5))+1,0,2,CROQUIS!$C$97-2,2,0),((CROQUIS!$C$107/2+(((CROQUIS!$C$98)-CROQUIS!$C$107)-(MIN(80,MAX(1,INT(((CROQUIS!$C$98)-CROQUIS!$C$107)/MAX(CROQUIS!$C$126,1))+1))-1)*CROQUIS!$C$126)/2)+MIN(INT(($A380-1)/5),MAX((MIN(80,MAX(1,INT(((CROQUIS!$C$98)-CROQUIS!$C$107)/MAX(CROQUIS!$C$126,1))+1)))-1,0))*CROQUIS!$C$126)))*CROQUIS!$C$155)+IF(CROQUIS!$C$92="X",0,0)),-1000)</f>
        <v>-1000</v>
      </c>
      <c r="BI380">
        <f>IF(AND(CROQUIS!$C$88=1,CROQUIS!$C$126&gt;0),((CROQUIS!$C$157+(IF(CROQUIS!$C$92="X",((CROQUIS!$C$107/2+(((CROQUIS!$C$98)-CROQUIS!$C$107)-(MIN(80,MAX(1,INT(((CROQUIS!$C$98)-CROQUIS!$C$107)/MAX(CROQUIS!$C$126,1))+1))-1)*CROQUIS!$C$126)/2)+MIN(INT(($A380-1)/5),MAX((MIN(80,MAX(1,INT(((CROQUIS!$C$98)-CROQUIS!$C$107)/MAX(CROQUIS!$C$126,1))+1)))-1,0))*CROQUIS!$C$126),CHOOSE(IF(INT(($A380-1)/5)&gt;MAX((MIN(80,MAX(1,INT(((CROQUIS!$C$98)-CROQUIS!$C$107)/MAX(CROQUIS!$C$126,1))+1)))-1,0),0,MOD($A380-1,5))+1,0,2,CROQUIS!$C$97-2,2,0)))*CROQUIS!$C$155)+IF(CROQUIS!$C$92="X",0,0)),-1000)</f>
        <v>-1000</v>
      </c>
      <c r="BJ380">
        <f>IF(AND(CROQUIS!$C$88=1,CROQUIS!$C$134&gt;0),((CROQUIS!$C$156+(IF(CROQUIS!$C$92="X",((CROQUIS!$C$107/2+(((CROQUIS!$C$97)-CROQUIS!$C$107)-(MIN(80,MAX(1,INT(((CROQUIS!$C$97)-CROQUIS!$C$107)/MAX(CROQUIS!$C$134,1))+1))-1)*CROQUIS!$C$134)/2)+MIN(INT(($A380-1)/5),MAX((MIN(80,MAX(1,INT(((CROQUIS!$C$97)-CROQUIS!$C$107)/MAX(CROQUIS!$C$134,1))+1)))-1,0))*CROQUIS!$C$134),CHOOSE(IF(INT(($A380-1)/5)&gt;MAX((MIN(80,MAX(1,INT(((CROQUIS!$C$97)-CROQUIS!$C$107)/MAX(CROQUIS!$C$134,1))+1)))-1,0),0,MOD($A380-1,5))+1,0,2,CROQUIS!$C$98-2,2,0)))*CROQUIS!$C$155)+IF(CROQUIS!$C$92="X",0,0)),-1000)</f>
        <v>-1000</v>
      </c>
      <c r="BK380">
        <f>IF(AND(CROQUIS!$C$88=1,CROQUIS!$C$134&gt;0),((CROQUIS!$C$157+(IF(CROQUIS!$C$92="X",CHOOSE(IF(INT(($A380-1)/5)&gt;MAX((MIN(80,MAX(1,INT(((CROQUIS!$C$97)-CROQUIS!$C$107)/MAX(CROQUIS!$C$134,1))+1)))-1,0),0,MOD($A380-1,5))+1,0,2,CROQUIS!$C$98-2,2,0),((CROQUIS!$C$107/2+(((CROQUIS!$C$97)-CROQUIS!$C$107)-(MIN(80,MAX(1,INT(((CROQUIS!$C$97)-CROQUIS!$C$107)/MAX(CROQUIS!$C$134,1))+1))-1)*CROQUIS!$C$134)/2)+MIN(INT(($A380-1)/5),MAX((MIN(80,MAX(1,INT(((CROQUIS!$C$97)-CROQUIS!$C$107)/MAX(CROQUIS!$C$134,1))+1)))-1,0))*CROQUIS!$C$134)))*CROQUIS!$C$155)+IF(CROQUIS!$C$92="X",0,0)),-1000)</f>
        <v>-1000</v>
      </c>
      <c r="BL380">
        <f>IF(AND(CROQUIS!$C$88=1,CROQUIS!$C$91=0,CROQUIS!$C$130&gt;0,OR(CROQUIS!$C$103=1,CROQUIS!$C$142=1)),((CROQUIS!$C$156+(IF(CROQUIS!$C$92="X",CHOOSE(IF(INT(($A380-1)/5)&gt;MAX((MIN(80,MAX(1,INT(((CROQUIS!$C$98)-CROQUIS!$C$107)/MAX(CROQUIS!$C$130,1))+1)))-1,0),0,MOD($A380-1,5))+1,0,IF(CROQUIS!$C$103=1,-12,2),CROQUIS!$C$107/2+CROQUIS!$C$140,IF(CROQUIS!$C$103=1,-12,2),0),((CROQUIS!$C$107/2+(((CROQUIS!$C$98)-CROQUIS!$C$107)-(MIN(80,MAX(1,INT(((CROQUIS!$C$98)-CROQUIS!$C$107)/MAX(CROQUIS!$C$130,1))+1))-1)*CROQUIS!$C$130)/2)+MIN(INT(($A380-1)/5),MAX((MIN(80,MAX(1,INT(((CROQUIS!$C$98)-CROQUIS!$C$107)/MAX(CROQUIS!$C$130,1))+1)))-1,0))*CROQUIS!$C$130)))*CROQUIS!$C$155)+IF(CROQUIS!$C$92="X",0,0)),-1000)</f>
        <v>-1000</v>
      </c>
      <c r="BM38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380-1)/5),MAX((MIN(80,MAX(1,INT(((CROQUIS!$C$98)-CROQUIS!$C$107)/MAX(CROQUIS!$C$130,1))+1)))-1,0))*CROQUIS!$C$130),CHOOSE(IF(INT(($A380-1)/5)&gt;MAX((MIN(80,MAX(1,INT(((CROQUIS!$C$98)-CROQUIS!$C$107)/MAX(CROQUIS!$C$130,1))+1)))-1,0),0,MOD($A380-1,5))+1,0,IF(CROQUIS!$C$103=1,-12,2),CROQUIS!$C$107/2+CROQUIS!$C$140,IF(CROQUIS!$C$103=1,-12,2),0)))*CROQUIS!$C$155)+IF(CROQUIS!$C$92="X",0,0)),-1000)</f>
        <v>-1000</v>
      </c>
      <c r="BN380">
        <f>IF(AND(CROQUIS!$C$88=1,CROQUIS!$C$91=0,CROQUIS!$C$130&gt;0,OR(CROQUIS!$C$104=1,CROQUIS!$C$142=1)),((CROQUIS!$C$156+(IF(CROQUIS!$C$92="X",CHOOSE(IF(INT(($A380-1)/5)&gt;MAX((MIN(80,MAX(1,INT(((CROQUIS!$C$98)-CROQUIS!$C$107)/MAX(CROQUIS!$C$130,1))+1)))-1,0),0,MOD($A380-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380-1)/5),MAX((MIN(80,MAX(1,INT(((CROQUIS!$C$98)-CROQUIS!$C$107)/MAX(CROQUIS!$C$130,1))+1)))-1,0))*CROQUIS!$C$130)))*CROQUIS!$C$155)+IF(CROQUIS!$C$92="X",0,0)),-1000)</f>
        <v>-1000</v>
      </c>
      <c r="BO38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380-1)/5),MAX((MIN(80,MAX(1,INT(((CROQUIS!$C$98)-CROQUIS!$C$107)/MAX(CROQUIS!$C$130,1))+1)))-1,0))*CROQUIS!$C$130),CHOOSE(IF(INT(($A380-1)/5)&gt;MAX((MIN(80,MAX(1,INT(((CROQUIS!$C$98)-CROQUIS!$C$107)/MAX(CROQUIS!$C$130,1))+1)))-1,0),0,MOD($A380-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8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380-1)/5),MAX((MIN(80,MAX(1,INT(((CROQUIS!$C$97)-CROQUIS!$C$107)/MAX(CROQUIS!$C$138,1))+1)))-1,0))*CROQUIS!$C$138),CHOOSE(IF(INT(($A380-1)/5)&gt;MAX((MIN(80,MAX(1,INT(((CROQUIS!$C$97)-CROQUIS!$C$107)/MAX(CROQUIS!$C$138,1))+1)))-1,0),0,MOD($A380-1,5))+1,0,IF(CROQUIS!$C$105=1,-12,2),CROQUIS!$C$107/2+CROQUIS!$C$141,IF(CROQUIS!$C$105=1,-12,2),0)))*CROQUIS!$C$155)+IF(CROQUIS!$C$92="X",0,0)),-1000)</f>
        <v>-1000</v>
      </c>
      <c r="BQ380">
        <f>IF(AND(CROQUIS!$C$88=1,CROQUIS!$C$91=0,CROQUIS!$C$138&gt;0,OR(CROQUIS!$C$105=1,CROQUIS!$C$143=1)),((CROQUIS!$C$157+(IF(CROQUIS!$C$92="X",CHOOSE(IF(INT(($A380-1)/5)&gt;MAX((MIN(80,MAX(1,INT(((CROQUIS!$C$97)-CROQUIS!$C$107)/MAX(CROQUIS!$C$138,1))+1)))-1,0),0,MOD($A380-1,5))+1,0,IF(CROQUIS!$C$105=1,-12,2),CROQUIS!$C$107/2+CROQUIS!$C$141,IF(CROQUIS!$C$105=1,-12,2),0),((CROQUIS!$C$107/2+(((CROQUIS!$C$97)-CROQUIS!$C$107)-(MIN(80,MAX(1,INT(((CROQUIS!$C$97)-CROQUIS!$C$107)/MAX(CROQUIS!$C$138,1))+1))-1)*CROQUIS!$C$138)/2)+MIN(INT(($A380-1)/5),MAX((MIN(80,MAX(1,INT(((CROQUIS!$C$97)-CROQUIS!$C$107)/MAX(CROQUIS!$C$138,1))+1)))-1,0))*CROQUIS!$C$138)))*CROQUIS!$C$155)+IF(CROQUIS!$C$92="X",0,0)),-1000)</f>
        <v>-1000</v>
      </c>
      <c r="BR38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380-1)/5),MAX((MIN(80,MAX(1,INT(((CROQUIS!$C$97)-CROQUIS!$C$107)/MAX(CROQUIS!$C$138,1))+1)))-1,0))*CROQUIS!$C$138),CHOOSE(IF(INT(($A380-1)/5)&gt;MAX((MIN(80,MAX(1,INT(((CROQUIS!$C$97)-CROQUIS!$C$107)/MAX(CROQUIS!$C$138,1))+1)))-1,0),0,MOD($A380-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80">
        <f>IF(AND(CROQUIS!$C$88=1,CROQUIS!$C$91=0,CROQUIS!$C$138&gt;0,OR(CROQUIS!$C$106=1,CROQUIS!$C$143=1)),((CROQUIS!$C$157+(IF(CROQUIS!$C$92="X",CHOOSE(IF(INT(($A380-1)/5)&gt;MAX((MIN(80,MAX(1,INT(((CROQUIS!$C$97)-CROQUIS!$C$107)/MAX(CROQUIS!$C$138,1))+1)))-1,0),0,MOD($A380-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380-1)/5),MAX((MIN(80,MAX(1,INT(((CROQUIS!$C$97)-CROQUIS!$C$107)/MAX(CROQUIS!$C$138,1))+1)))-1,0))*CROQUIS!$C$138)))*CROQUIS!$C$155)+IF(CROQUIS!$C$92="X",0,0)),-1000)</f>
        <v>-1000</v>
      </c>
      <c r="BT380">
        <f>IF(AND(CROQUIS!$C$88=1,CROQUIS!$C$91=1,CROQUIS!$C$130&gt;0),((CROQUIS!$C$156+(IF(CROQUIS!$C$92="X",CHOOSE(IF(INT(($A380-1)/5)&gt;MAX((MIN(80,MAX(1,INT(((CROQUIS!$C$98)-CROQUIS!$C$107)/MAX(CROQUIS!$C$130,1))+1)))-1,0),0,MOD($A380-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380-1)/5),MAX((MIN(80,MAX(1,INT(((CROQUIS!$C$98)-CROQUIS!$C$107)/MAX(CROQUIS!$C$130,1))+1)))-1,0))*CROQUIS!$C$130)))*CROQUIS!$C$155)+IF(CROQUIS!$C$92="X",0,0)),-1000)</f>
        <v>-1000</v>
      </c>
      <c r="BU380">
        <f>IF(AND(CROQUIS!$C$88=1,CROQUIS!$C$91=1,CROQUIS!$C$130&gt;0),((CROQUIS!$C$157+(IF(CROQUIS!$C$92="X",((CROQUIS!$C$107/2+(((CROQUIS!$C$98)-CROQUIS!$C$107)-(MIN(80,MAX(1,INT(((CROQUIS!$C$98)-CROQUIS!$C$107)/MAX(CROQUIS!$C$130,1))+1))-1)*CROQUIS!$C$130)/2)+MIN(INT(($A380-1)/5),MAX((MIN(80,MAX(1,INT(((CROQUIS!$C$98)-CROQUIS!$C$107)/MAX(CROQUIS!$C$130,1))+1)))-1,0))*CROQUIS!$C$130),CHOOSE(IF(INT(($A380-1)/5)&gt;MAX((MIN(80,MAX(1,INT(((CROQUIS!$C$98)-CROQUIS!$C$107)/MAX(CROQUIS!$C$130,1))+1)))-1,0),0,MOD($A380-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81">
      <c r="A381" t="n">
        <v>374</v>
      </c>
      <c r="BH381">
        <f>IF(AND(CROQUIS!$C$88=1,CROQUIS!$C$126&gt;0),((CROQUIS!$C$156+(IF(CROQUIS!$C$92="X",CHOOSE(IF(INT(($A381-1)/5)&gt;MAX((MIN(80,MAX(1,INT(((CROQUIS!$C$98)-CROQUIS!$C$107)/MAX(CROQUIS!$C$126,1))+1)))-1,0),0,MOD($A381-1,5))+1,0,2,CROQUIS!$C$97-2,2,0),((CROQUIS!$C$107/2+(((CROQUIS!$C$98)-CROQUIS!$C$107)-(MIN(80,MAX(1,INT(((CROQUIS!$C$98)-CROQUIS!$C$107)/MAX(CROQUIS!$C$126,1))+1))-1)*CROQUIS!$C$126)/2)+MIN(INT(($A381-1)/5),MAX((MIN(80,MAX(1,INT(((CROQUIS!$C$98)-CROQUIS!$C$107)/MAX(CROQUIS!$C$126,1))+1)))-1,0))*CROQUIS!$C$126)))*CROQUIS!$C$155)+IF(CROQUIS!$C$92="X",0,0)),-1000)</f>
        <v>-1000</v>
      </c>
      <c r="BI381">
        <f>IF(AND(CROQUIS!$C$88=1,CROQUIS!$C$126&gt;0),((CROQUIS!$C$157+(IF(CROQUIS!$C$92="X",((CROQUIS!$C$107/2+(((CROQUIS!$C$98)-CROQUIS!$C$107)-(MIN(80,MAX(1,INT(((CROQUIS!$C$98)-CROQUIS!$C$107)/MAX(CROQUIS!$C$126,1))+1))-1)*CROQUIS!$C$126)/2)+MIN(INT(($A381-1)/5),MAX((MIN(80,MAX(1,INT(((CROQUIS!$C$98)-CROQUIS!$C$107)/MAX(CROQUIS!$C$126,1))+1)))-1,0))*CROQUIS!$C$126),CHOOSE(IF(INT(($A381-1)/5)&gt;MAX((MIN(80,MAX(1,INT(((CROQUIS!$C$98)-CROQUIS!$C$107)/MAX(CROQUIS!$C$126,1))+1)))-1,0),0,MOD($A381-1,5))+1,0,2,CROQUIS!$C$97-2,2,0)))*CROQUIS!$C$155)+IF(CROQUIS!$C$92="X",0,0)),-1000)</f>
        <v>-1000</v>
      </c>
      <c r="BJ381">
        <f>IF(AND(CROQUIS!$C$88=1,CROQUIS!$C$134&gt;0),((CROQUIS!$C$156+(IF(CROQUIS!$C$92="X",((CROQUIS!$C$107/2+(((CROQUIS!$C$97)-CROQUIS!$C$107)-(MIN(80,MAX(1,INT(((CROQUIS!$C$97)-CROQUIS!$C$107)/MAX(CROQUIS!$C$134,1))+1))-1)*CROQUIS!$C$134)/2)+MIN(INT(($A381-1)/5),MAX((MIN(80,MAX(1,INT(((CROQUIS!$C$97)-CROQUIS!$C$107)/MAX(CROQUIS!$C$134,1))+1)))-1,0))*CROQUIS!$C$134),CHOOSE(IF(INT(($A381-1)/5)&gt;MAX((MIN(80,MAX(1,INT(((CROQUIS!$C$97)-CROQUIS!$C$107)/MAX(CROQUIS!$C$134,1))+1)))-1,0),0,MOD($A381-1,5))+1,0,2,CROQUIS!$C$98-2,2,0)))*CROQUIS!$C$155)+IF(CROQUIS!$C$92="X",0,0)),-1000)</f>
        <v>-1000</v>
      </c>
      <c r="BK381">
        <f>IF(AND(CROQUIS!$C$88=1,CROQUIS!$C$134&gt;0),((CROQUIS!$C$157+(IF(CROQUIS!$C$92="X",CHOOSE(IF(INT(($A381-1)/5)&gt;MAX((MIN(80,MAX(1,INT(((CROQUIS!$C$97)-CROQUIS!$C$107)/MAX(CROQUIS!$C$134,1))+1)))-1,0),0,MOD($A381-1,5))+1,0,2,CROQUIS!$C$98-2,2,0),((CROQUIS!$C$107/2+(((CROQUIS!$C$97)-CROQUIS!$C$107)-(MIN(80,MAX(1,INT(((CROQUIS!$C$97)-CROQUIS!$C$107)/MAX(CROQUIS!$C$134,1))+1))-1)*CROQUIS!$C$134)/2)+MIN(INT(($A381-1)/5),MAX((MIN(80,MAX(1,INT(((CROQUIS!$C$97)-CROQUIS!$C$107)/MAX(CROQUIS!$C$134,1))+1)))-1,0))*CROQUIS!$C$134)))*CROQUIS!$C$155)+IF(CROQUIS!$C$92="X",0,0)),-1000)</f>
        <v>-1000</v>
      </c>
      <c r="BL381">
        <f>IF(AND(CROQUIS!$C$88=1,CROQUIS!$C$91=0,CROQUIS!$C$130&gt;0,OR(CROQUIS!$C$103=1,CROQUIS!$C$142=1)),((CROQUIS!$C$156+(IF(CROQUIS!$C$92="X",CHOOSE(IF(INT(($A381-1)/5)&gt;MAX((MIN(80,MAX(1,INT(((CROQUIS!$C$98)-CROQUIS!$C$107)/MAX(CROQUIS!$C$130,1))+1)))-1,0),0,MOD($A381-1,5))+1,0,IF(CROQUIS!$C$103=1,-12,2),CROQUIS!$C$107/2+CROQUIS!$C$140,IF(CROQUIS!$C$103=1,-12,2),0),((CROQUIS!$C$107/2+(((CROQUIS!$C$98)-CROQUIS!$C$107)-(MIN(80,MAX(1,INT(((CROQUIS!$C$98)-CROQUIS!$C$107)/MAX(CROQUIS!$C$130,1))+1))-1)*CROQUIS!$C$130)/2)+MIN(INT(($A381-1)/5),MAX((MIN(80,MAX(1,INT(((CROQUIS!$C$98)-CROQUIS!$C$107)/MAX(CROQUIS!$C$130,1))+1)))-1,0))*CROQUIS!$C$130)))*CROQUIS!$C$155)+IF(CROQUIS!$C$92="X",0,0)),-1000)</f>
        <v>-1000</v>
      </c>
      <c r="BM38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381-1)/5),MAX((MIN(80,MAX(1,INT(((CROQUIS!$C$98)-CROQUIS!$C$107)/MAX(CROQUIS!$C$130,1))+1)))-1,0))*CROQUIS!$C$130),CHOOSE(IF(INT(($A381-1)/5)&gt;MAX((MIN(80,MAX(1,INT(((CROQUIS!$C$98)-CROQUIS!$C$107)/MAX(CROQUIS!$C$130,1))+1)))-1,0),0,MOD($A381-1,5))+1,0,IF(CROQUIS!$C$103=1,-12,2),CROQUIS!$C$107/2+CROQUIS!$C$140,IF(CROQUIS!$C$103=1,-12,2),0)))*CROQUIS!$C$155)+IF(CROQUIS!$C$92="X",0,0)),-1000)</f>
        <v>-1000</v>
      </c>
      <c r="BN381">
        <f>IF(AND(CROQUIS!$C$88=1,CROQUIS!$C$91=0,CROQUIS!$C$130&gt;0,OR(CROQUIS!$C$104=1,CROQUIS!$C$142=1)),((CROQUIS!$C$156+(IF(CROQUIS!$C$92="X",CHOOSE(IF(INT(($A381-1)/5)&gt;MAX((MIN(80,MAX(1,INT(((CROQUIS!$C$98)-CROQUIS!$C$107)/MAX(CROQUIS!$C$130,1))+1)))-1,0),0,MOD($A381-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381-1)/5),MAX((MIN(80,MAX(1,INT(((CROQUIS!$C$98)-CROQUIS!$C$107)/MAX(CROQUIS!$C$130,1))+1)))-1,0))*CROQUIS!$C$130)))*CROQUIS!$C$155)+IF(CROQUIS!$C$92="X",0,0)),-1000)</f>
        <v>-1000</v>
      </c>
      <c r="BO38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381-1)/5),MAX((MIN(80,MAX(1,INT(((CROQUIS!$C$98)-CROQUIS!$C$107)/MAX(CROQUIS!$C$130,1))+1)))-1,0))*CROQUIS!$C$130),CHOOSE(IF(INT(($A381-1)/5)&gt;MAX((MIN(80,MAX(1,INT(((CROQUIS!$C$98)-CROQUIS!$C$107)/MAX(CROQUIS!$C$130,1))+1)))-1,0),0,MOD($A381-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8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381-1)/5),MAX((MIN(80,MAX(1,INT(((CROQUIS!$C$97)-CROQUIS!$C$107)/MAX(CROQUIS!$C$138,1))+1)))-1,0))*CROQUIS!$C$138),CHOOSE(IF(INT(($A381-1)/5)&gt;MAX((MIN(80,MAX(1,INT(((CROQUIS!$C$97)-CROQUIS!$C$107)/MAX(CROQUIS!$C$138,1))+1)))-1,0),0,MOD($A381-1,5))+1,0,IF(CROQUIS!$C$105=1,-12,2),CROQUIS!$C$107/2+CROQUIS!$C$141,IF(CROQUIS!$C$105=1,-12,2),0)))*CROQUIS!$C$155)+IF(CROQUIS!$C$92="X",0,0)),-1000)</f>
        <v>-1000</v>
      </c>
      <c r="BQ381">
        <f>IF(AND(CROQUIS!$C$88=1,CROQUIS!$C$91=0,CROQUIS!$C$138&gt;0,OR(CROQUIS!$C$105=1,CROQUIS!$C$143=1)),((CROQUIS!$C$157+(IF(CROQUIS!$C$92="X",CHOOSE(IF(INT(($A381-1)/5)&gt;MAX((MIN(80,MAX(1,INT(((CROQUIS!$C$97)-CROQUIS!$C$107)/MAX(CROQUIS!$C$138,1))+1)))-1,0),0,MOD($A381-1,5))+1,0,IF(CROQUIS!$C$105=1,-12,2),CROQUIS!$C$107/2+CROQUIS!$C$141,IF(CROQUIS!$C$105=1,-12,2),0),((CROQUIS!$C$107/2+(((CROQUIS!$C$97)-CROQUIS!$C$107)-(MIN(80,MAX(1,INT(((CROQUIS!$C$97)-CROQUIS!$C$107)/MAX(CROQUIS!$C$138,1))+1))-1)*CROQUIS!$C$138)/2)+MIN(INT(($A381-1)/5),MAX((MIN(80,MAX(1,INT(((CROQUIS!$C$97)-CROQUIS!$C$107)/MAX(CROQUIS!$C$138,1))+1)))-1,0))*CROQUIS!$C$138)))*CROQUIS!$C$155)+IF(CROQUIS!$C$92="X",0,0)),-1000)</f>
        <v>-1000</v>
      </c>
      <c r="BR38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381-1)/5),MAX((MIN(80,MAX(1,INT(((CROQUIS!$C$97)-CROQUIS!$C$107)/MAX(CROQUIS!$C$138,1))+1)))-1,0))*CROQUIS!$C$138),CHOOSE(IF(INT(($A381-1)/5)&gt;MAX((MIN(80,MAX(1,INT(((CROQUIS!$C$97)-CROQUIS!$C$107)/MAX(CROQUIS!$C$138,1))+1)))-1,0),0,MOD($A381-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81">
        <f>IF(AND(CROQUIS!$C$88=1,CROQUIS!$C$91=0,CROQUIS!$C$138&gt;0,OR(CROQUIS!$C$106=1,CROQUIS!$C$143=1)),((CROQUIS!$C$157+(IF(CROQUIS!$C$92="X",CHOOSE(IF(INT(($A381-1)/5)&gt;MAX((MIN(80,MAX(1,INT(((CROQUIS!$C$97)-CROQUIS!$C$107)/MAX(CROQUIS!$C$138,1))+1)))-1,0),0,MOD($A381-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381-1)/5),MAX((MIN(80,MAX(1,INT(((CROQUIS!$C$97)-CROQUIS!$C$107)/MAX(CROQUIS!$C$138,1))+1)))-1,0))*CROQUIS!$C$138)))*CROQUIS!$C$155)+IF(CROQUIS!$C$92="X",0,0)),-1000)</f>
        <v>-1000</v>
      </c>
      <c r="BT381">
        <f>IF(AND(CROQUIS!$C$88=1,CROQUIS!$C$91=1,CROQUIS!$C$130&gt;0),((CROQUIS!$C$156+(IF(CROQUIS!$C$92="X",CHOOSE(IF(INT(($A381-1)/5)&gt;MAX((MIN(80,MAX(1,INT(((CROQUIS!$C$98)-CROQUIS!$C$107)/MAX(CROQUIS!$C$130,1))+1)))-1,0),0,MOD($A381-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381-1)/5),MAX((MIN(80,MAX(1,INT(((CROQUIS!$C$98)-CROQUIS!$C$107)/MAX(CROQUIS!$C$130,1))+1)))-1,0))*CROQUIS!$C$130)))*CROQUIS!$C$155)+IF(CROQUIS!$C$92="X",0,0)),-1000)</f>
        <v>-1000</v>
      </c>
      <c r="BU381">
        <f>IF(AND(CROQUIS!$C$88=1,CROQUIS!$C$91=1,CROQUIS!$C$130&gt;0),((CROQUIS!$C$157+(IF(CROQUIS!$C$92="X",((CROQUIS!$C$107/2+(((CROQUIS!$C$98)-CROQUIS!$C$107)-(MIN(80,MAX(1,INT(((CROQUIS!$C$98)-CROQUIS!$C$107)/MAX(CROQUIS!$C$130,1))+1))-1)*CROQUIS!$C$130)/2)+MIN(INT(($A381-1)/5),MAX((MIN(80,MAX(1,INT(((CROQUIS!$C$98)-CROQUIS!$C$107)/MAX(CROQUIS!$C$130,1))+1)))-1,0))*CROQUIS!$C$130),CHOOSE(IF(INT(($A381-1)/5)&gt;MAX((MIN(80,MAX(1,INT(((CROQUIS!$C$98)-CROQUIS!$C$107)/MAX(CROQUIS!$C$130,1))+1)))-1,0),0,MOD($A381-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82">
      <c r="A382" t="n">
        <v>375</v>
      </c>
      <c r="BH382">
        <f>IF(AND(CROQUIS!$C$88=1,CROQUIS!$C$126&gt;0),((CROQUIS!$C$156+(IF(CROQUIS!$C$92="X",CHOOSE(IF(INT(($A382-1)/5)&gt;MAX((MIN(80,MAX(1,INT(((CROQUIS!$C$98)-CROQUIS!$C$107)/MAX(CROQUIS!$C$126,1))+1)))-1,0),0,MOD($A382-1,5))+1,0,2,CROQUIS!$C$97-2,2,0),((CROQUIS!$C$107/2+(((CROQUIS!$C$98)-CROQUIS!$C$107)-(MIN(80,MAX(1,INT(((CROQUIS!$C$98)-CROQUIS!$C$107)/MAX(CROQUIS!$C$126,1))+1))-1)*CROQUIS!$C$126)/2)+MIN(INT(($A382-1)/5),MAX((MIN(80,MAX(1,INT(((CROQUIS!$C$98)-CROQUIS!$C$107)/MAX(CROQUIS!$C$126,1))+1)))-1,0))*CROQUIS!$C$126)))*CROQUIS!$C$155)+IF(CROQUIS!$C$92="X",0,0)),-1000)</f>
        <v>-1000</v>
      </c>
      <c r="BI382">
        <f>IF(AND(CROQUIS!$C$88=1,CROQUIS!$C$126&gt;0),((CROQUIS!$C$157+(IF(CROQUIS!$C$92="X",((CROQUIS!$C$107/2+(((CROQUIS!$C$98)-CROQUIS!$C$107)-(MIN(80,MAX(1,INT(((CROQUIS!$C$98)-CROQUIS!$C$107)/MAX(CROQUIS!$C$126,1))+1))-1)*CROQUIS!$C$126)/2)+MIN(INT(($A382-1)/5),MAX((MIN(80,MAX(1,INT(((CROQUIS!$C$98)-CROQUIS!$C$107)/MAX(CROQUIS!$C$126,1))+1)))-1,0))*CROQUIS!$C$126),CHOOSE(IF(INT(($A382-1)/5)&gt;MAX((MIN(80,MAX(1,INT(((CROQUIS!$C$98)-CROQUIS!$C$107)/MAX(CROQUIS!$C$126,1))+1)))-1,0),0,MOD($A382-1,5))+1,0,2,CROQUIS!$C$97-2,2,0)))*CROQUIS!$C$155)+IF(CROQUIS!$C$92="X",0,0)),-1000)</f>
        <v>-1000</v>
      </c>
      <c r="BJ382">
        <f>IF(AND(CROQUIS!$C$88=1,CROQUIS!$C$134&gt;0),((CROQUIS!$C$156+(IF(CROQUIS!$C$92="X",((CROQUIS!$C$107/2+(((CROQUIS!$C$97)-CROQUIS!$C$107)-(MIN(80,MAX(1,INT(((CROQUIS!$C$97)-CROQUIS!$C$107)/MAX(CROQUIS!$C$134,1))+1))-1)*CROQUIS!$C$134)/2)+MIN(INT(($A382-1)/5),MAX((MIN(80,MAX(1,INT(((CROQUIS!$C$97)-CROQUIS!$C$107)/MAX(CROQUIS!$C$134,1))+1)))-1,0))*CROQUIS!$C$134),CHOOSE(IF(INT(($A382-1)/5)&gt;MAX((MIN(80,MAX(1,INT(((CROQUIS!$C$97)-CROQUIS!$C$107)/MAX(CROQUIS!$C$134,1))+1)))-1,0),0,MOD($A382-1,5))+1,0,2,CROQUIS!$C$98-2,2,0)))*CROQUIS!$C$155)+IF(CROQUIS!$C$92="X",0,0)),-1000)</f>
        <v>-1000</v>
      </c>
      <c r="BK382">
        <f>IF(AND(CROQUIS!$C$88=1,CROQUIS!$C$134&gt;0),((CROQUIS!$C$157+(IF(CROQUIS!$C$92="X",CHOOSE(IF(INT(($A382-1)/5)&gt;MAX((MIN(80,MAX(1,INT(((CROQUIS!$C$97)-CROQUIS!$C$107)/MAX(CROQUIS!$C$134,1))+1)))-1,0),0,MOD($A382-1,5))+1,0,2,CROQUIS!$C$98-2,2,0),((CROQUIS!$C$107/2+(((CROQUIS!$C$97)-CROQUIS!$C$107)-(MIN(80,MAX(1,INT(((CROQUIS!$C$97)-CROQUIS!$C$107)/MAX(CROQUIS!$C$134,1))+1))-1)*CROQUIS!$C$134)/2)+MIN(INT(($A382-1)/5),MAX((MIN(80,MAX(1,INT(((CROQUIS!$C$97)-CROQUIS!$C$107)/MAX(CROQUIS!$C$134,1))+1)))-1,0))*CROQUIS!$C$134)))*CROQUIS!$C$155)+IF(CROQUIS!$C$92="X",0,0)),-1000)</f>
        <v>-1000</v>
      </c>
      <c r="BL382">
        <f>IF(AND(CROQUIS!$C$88=1,CROQUIS!$C$91=0,CROQUIS!$C$130&gt;0,OR(CROQUIS!$C$103=1,CROQUIS!$C$142=1)),((CROQUIS!$C$156+(IF(CROQUIS!$C$92="X",CHOOSE(IF(INT(($A382-1)/5)&gt;MAX((MIN(80,MAX(1,INT(((CROQUIS!$C$98)-CROQUIS!$C$107)/MAX(CROQUIS!$C$130,1))+1)))-1,0),0,MOD($A382-1,5))+1,0,IF(CROQUIS!$C$103=1,-12,2),CROQUIS!$C$107/2+CROQUIS!$C$140,IF(CROQUIS!$C$103=1,-12,2),0),((CROQUIS!$C$107/2+(((CROQUIS!$C$98)-CROQUIS!$C$107)-(MIN(80,MAX(1,INT(((CROQUIS!$C$98)-CROQUIS!$C$107)/MAX(CROQUIS!$C$130,1))+1))-1)*CROQUIS!$C$130)/2)+MIN(INT(($A382-1)/5),MAX((MIN(80,MAX(1,INT(((CROQUIS!$C$98)-CROQUIS!$C$107)/MAX(CROQUIS!$C$130,1))+1)))-1,0))*CROQUIS!$C$130)))*CROQUIS!$C$155)+IF(CROQUIS!$C$92="X",0,0)),-1000)</f>
        <v>-1000</v>
      </c>
      <c r="BM38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382-1)/5),MAX((MIN(80,MAX(1,INT(((CROQUIS!$C$98)-CROQUIS!$C$107)/MAX(CROQUIS!$C$130,1))+1)))-1,0))*CROQUIS!$C$130),CHOOSE(IF(INT(($A382-1)/5)&gt;MAX((MIN(80,MAX(1,INT(((CROQUIS!$C$98)-CROQUIS!$C$107)/MAX(CROQUIS!$C$130,1))+1)))-1,0),0,MOD($A382-1,5))+1,0,IF(CROQUIS!$C$103=1,-12,2),CROQUIS!$C$107/2+CROQUIS!$C$140,IF(CROQUIS!$C$103=1,-12,2),0)))*CROQUIS!$C$155)+IF(CROQUIS!$C$92="X",0,0)),-1000)</f>
        <v>-1000</v>
      </c>
      <c r="BN382">
        <f>IF(AND(CROQUIS!$C$88=1,CROQUIS!$C$91=0,CROQUIS!$C$130&gt;0,OR(CROQUIS!$C$104=1,CROQUIS!$C$142=1)),((CROQUIS!$C$156+(IF(CROQUIS!$C$92="X",CHOOSE(IF(INT(($A382-1)/5)&gt;MAX((MIN(80,MAX(1,INT(((CROQUIS!$C$98)-CROQUIS!$C$107)/MAX(CROQUIS!$C$130,1))+1)))-1,0),0,MOD($A382-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382-1)/5),MAX((MIN(80,MAX(1,INT(((CROQUIS!$C$98)-CROQUIS!$C$107)/MAX(CROQUIS!$C$130,1))+1)))-1,0))*CROQUIS!$C$130)))*CROQUIS!$C$155)+IF(CROQUIS!$C$92="X",0,0)),-1000)</f>
        <v>-1000</v>
      </c>
      <c r="BO38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382-1)/5),MAX((MIN(80,MAX(1,INT(((CROQUIS!$C$98)-CROQUIS!$C$107)/MAX(CROQUIS!$C$130,1))+1)))-1,0))*CROQUIS!$C$130),CHOOSE(IF(INT(($A382-1)/5)&gt;MAX((MIN(80,MAX(1,INT(((CROQUIS!$C$98)-CROQUIS!$C$107)/MAX(CROQUIS!$C$130,1))+1)))-1,0),0,MOD($A382-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8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382-1)/5),MAX((MIN(80,MAX(1,INT(((CROQUIS!$C$97)-CROQUIS!$C$107)/MAX(CROQUIS!$C$138,1))+1)))-1,0))*CROQUIS!$C$138),CHOOSE(IF(INT(($A382-1)/5)&gt;MAX((MIN(80,MAX(1,INT(((CROQUIS!$C$97)-CROQUIS!$C$107)/MAX(CROQUIS!$C$138,1))+1)))-1,0),0,MOD($A382-1,5))+1,0,IF(CROQUIS!$C$105=1,-12,2),CROQUIS!$C$107/2+CROQUIS!$C$141,IF(CROQUIS!$C$105=1,-12,2),0)))*CROQUIS!$C$155)+IF(CROQUIS!$C$92="X",0,0)),-1000)</f>
        <v>-1000</v>
      </c>
      <c r="BQ382">
        <f>IF(AND(CROQUIS!$C$88=1,CROQUIS!$C$91=0,CROQUIS!$C$138&gt;0,OR(CROQUIS!$C$105=1,CROQUIS!$C$143=1)),((CROQUIS!$C$157+(IF(CROQUIS!$C$92="X",CHOOSE(IF(INT(($A382-1)/5)&gt;MAX((MIN(80,MAX(1,INT(((CROQUIS!$C$97)-CROQUIS!$C$107)/MAX(CROQUIS!$C$138,1))+1)))-1,0),0,MOD($A382-1,5))+1,0,IF(CROQUIS!$C$105=1,-12,2),CROQUIS!$C$107/2+CROQUIS!$C$141,IF(CROQUIS!$C$105=1,-12,2),0),((CROQUIS!$C$107/2+(((CROQUIS!$C$97)-CROQUIS!$C$107)-(MIN(80,MAX(1,INT(((CROQUIS!$C$97)-CROQUIS!$C$107)/MAX(CROQUIS!$C$138,1))+1))-1)*CROQUIS!$C$138)/2)+MIN(INT(($A382-1)/5),MAX((MIN(80,MAX(1,INT(((CROQUIS!$C$97)-CROQUIS!$C$107)/MAX(CROQUIS!$C$138,1))+1)))-1,0))*CROQUIS!$C$138)))*CROQUIS!$C$155)+IF(CROQUIS!$C$92="X",0,0)),-1000)</f>
        <v>-1000</v>
      </c>
      <c r="BR38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382-1)/5),MAX((MIN(80,MAX(1,INT(((CROQUIS!$C$97)-CROQUIS!$C$107)/MAX(CROQUIS!$C$138,1))+1)))-1,0))*CROQUIS!$C$138),CHOOSE(IF(INT(($A382-1)/5)&gt;MAX((MIN(80,MAX(1,INT(((CROQUIS!$C$97)-CROQUIS!$C$107)/MAX(CROQUIS!$C$138,1))+1)))-1,0),0,MOD($A382-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82">
        <f>IF(AND(CROQUIS!$C$88=1,CROQUIS!$C$91=0,CROQUIS!$C$138&gt;0,OR(CROQUIS!$C$106=1,CROQUIS!$C$143=1)),((CROQUIS!$C$157+(IF(CROQUIS!$C$92="X",CHOOSE(IF(INT(($A382-1)/5)&gt;MAX((MIN(80,MAX(1,INT(((CROQUIS!$C$97)-CROQUIS!$C$107)/MAX(CROQUIS!$C$138,1))+1)))-1,0),0,MOD($A382-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382-1)/5),MAX((MIN(80,MAX(1,INT(((CROQUIS!$C$97)-CROQUIS!$C$107)/MAX(CROQUIS!$C$138,1))+1)))-1,0))*CROQUIS!$C$138)))*CROQUIS!$C$155)+IF(CROQUIS!$C$92="X",0,0)),-1000)</f>
        <v>-1000</v>
      </c>
      <c r="BT382">
        <f>IF(AND(CROQUIS!$C$88=1,CROQUIS!$C$91=1,CROQUIS!$C$130&gt;0),((CROQUIS!$C$156+(IF(CROQUIS!$C$92="X",CHOOSE(IF(INT(($A382-1)/5)&gt;MAX((MIN(80,MAX(1,INT(((CROQUIS!$C$98)-CROQUIS!$C$107)/MAX(CROQUIS!$C$130,1))+1)))-1,0),0,MOD($A382-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382-1)/5),MAX((MIN(80,MAX(1,INT(((CROQUIS!$C$98)-CROQUIS!$C$107)/MAX(CROQUIS!$C$130,1))+1)))-1,0))*CROQUIS!$C$130)))*CROQUIS!$C$155)+IF(CROQUIS!$C$92="X",0,0)),-1000)</f>
        <v>-1000</v>
      </c>
      <c r="BU382">
        <f>IF(AND(CROQUIS!$C$88=1,CROQUIS!$C$91=1,CROQUIS!$C$130&gt;0),((CROQUIS!$C$157+(IF(CROQUIS!$C$92="X",((CROQUIS!$C$107/2+(((CROQUIS!$C$98)-CROQUIS!$C$107)-(MIN(80,MAX(1,INT(((CROQUIS!$C$98)-CROQUIS!$C$107)/MAX(CROQUIS!$C$130,1))+1))-1)*CROQUIS!$C$130)/2)+MIN(INT(($A382-1)/5),MAX((MIN(80,MAX(1,INT(((CROQUIS!$C$98)-CROQUIS!$C$107)/MAX(CROQUIS!$C$130,1))+1)))-1,0))*CROQUIS!$C$130),CHOOSE(IF(INT(($A382-1)/5)&gt;MAX((MIN(80,MAX(1,INT(((CROQUIS!$C$98)-CROQUIS!$C$107)/MAX(CROQUIS!$C$130,1))+1)))-1,0),0,MOD($A382-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83">
      <c r="A383" t="n">
        <v>376</v>
      </c>
      <c r="BH383">
        <f>IF(AND(CROQUIS!$C$88=1,CROQUIS!$C$126&gt;0),((CROQUIS!$C$156+(IF(CROQUIS!$C$92="X",CHOOSE(IF(INT(($A383-1)/5)&gt;MAX((MIN(80,MAX(1,INT(((CROQUIS!$C$98)-CROQUIS!$C$107)/MAX(CROQUIS!$C$126,1))+1)))-1,0),0,MOD($A383-1,5))+1,0,2,CROQUIS!$C$97-2,2,0),((CROQUIS!$C$107/2+(((CROQUIS!$C$98)-CROQUIS!$C$107)-(MIN(80,MAX(1,INT(((CROQUIS!$C$98)-CROQUIS!$C$107)/MAX(CROQUIS!$C$126,1))+1))-1)*CROQUIS!$C$126)/2)+MIN(INT(($A383-1)/5),MAX((MIN(80,MAX(1,INT(((CROQUIS!$C$98)-CROQUIS!$C$107)/MAX(CROQUIS!$C$126,1))+1)))-1,0))*CROQUIS!$C$126)))*CROQUIS!$C$155)+IF(CROQUIS!$C$92="X",0,0)),-1000)</f>
        <v>-1000</v>
      </c>
      <c r="BI383">
        <f>IF(AND(CROQUIS!$C$88=1,CROQUIS!$C$126&gt;0),((CROQUIS!$C$157+(IF(CROQUIS!$C$92="X",((CROQUIS!$C$107/2+(((CROQUIS!$C$98)-CROQUIS!$C$107)-(MIN(80,MAX(1,INT(((CROQUIS!$C$98)-CROQUIS!$C$107)/MAX(CROQUIS!$C$126,1))+1))-1)*CROQUIS!$C$126)/2)+MIN(INT(($A383-1)/5),MAX((MIN(80,MAX(1,INT(((CROQUIS!$C$98)-CROQUIS!$C$107)/MAX(CROQUIS!$C$126,1))+1)))-1,0))*CROQUIS!$C$126),CHOOSE(IF(INT(($A383-1)/5)&gt;MAX((MIN(80,MAX(1,INT(((CROQUIS!$C$98)-CROQUIS!$C$107)/MAX(CROQUIS!$C$126,1))+1)))-1,0),0,MOD($A383-1,5))+1,0,2,CROQUIS!$C$97-2,2,0)))*CROQUIS!$C$155)+IF(CROQUIS!$C$92="X",0,0)),-1000)</f>
        <v>-1000</v>
      </c>
      <c r="BJ383">
        <f>IF(AND(CROQUIS!$C$88=1,CROQUIS!$C$134&gt;0),((CROQUIS!$C$156+(IF(CROQUIS!$C$92="X",((CROQUIS!$C$107/2+(((CROQUIS!$C$97)-CROQUIS!$C$107)-(MIN(80,MAX(1,INT(((CROQUIS!$C$97)-CROQUIS!$C$107)/MAX(CROQUIS!$C$134,1))+1))-1)*CROQUIS!$C$134)/2)+MIN(INT(($A383-1)/5),MAX((MIN(80,MAX(1,INT(((CROQUIS!$C$97)-CROQUIS!$C$107)/MAX(CROQUIS!$C$134,1))+1)))-1,0))*CROQUIS!$C$134),CHOOSE(IF(INT(($A383-1)/5)&gt;MAX((MIN(80,MAX(1,INT(((CROQUIS!$C$97)-CROQUIS!$C$107)/MAX(CROQUIS!$C$134,1))+1)))-1,0),0,MOD($A383-1,5))+1,0,2,CROQUIS!$C$98-2,2,0)))*CROQUIS!$C$155)+IF(CROQUIS!$C$92="X",0,0)),-1000)</f>
        <v>-1000</v>
      </c>
      <c r="BK383">
        <f>IF(AND(CROQUIS!$C$88=1,CROQUIS!$C$134&gt;0),((CROQUIS!$C$157+(IF(CROQUIS!$C$92="X",CHOOSE(IF(INT(($A383-1)/5)&gt;MAX((MIN(80,MAX(1,INT(((CROQUIS!$C$97)-CROQUIS!$C$107)/MAX(CROQUIS!$C$134,1))+1)))-1,0),0,MOD($A383-1,5))+1,0,2,CROQUIS!$C$98-2,2,0),((CROQUIS!$C$107/2+(((CROQUIS!$C$97)-CROQUIS!$C$107)-(MIN(80,MAX(1,INT(((CROQUIS!$C$97)-CROQUIS!$C$107)/MAX(CROQUIS!$C$134,1))+1))-1)*CROQUIS!$C$134)/2)+MIN(INT(($A383-1)/5),MAX((MIN(80,MAX(1,INT(((CROQUIS!$C$97)-CROQUIS!$C$107)/MAX(CROQUIS!$C$134,1))+1)))-1,0))*CROQUIS!$C$134)))*CROQUIS!$C$155)+IF(CROQUIS!$C$92="X",0,0)),-1000)</f>
        <v>-1000</v>
      </c>
      <c r="BL383">
        <f>IF(AND(CROQUIS!$C$88=1,CROQUIS!$C$91=0,CROQUIS!$C$130&gt;0,OR(CROQUIS!$C$103=1,CROQUIS!$C$142=1)),((CROQUIS!$C$156+(IF(CROQUIS!$C$92="X",CHOOSE(IF(INT(($A383-1)/5)&gt;MAX((MIN(80,MAX(1,INT(((CROQUIS!$C$98)-CROQUIS!$C$107)/MAX(CROQUIS!$C$130,1))+1)))-1,0),0,MOD($A383-1,5))+1,0,IF(CROQUIS!$C$103=1,-12,2),CROQUIS!$C$107/2+CROQUIS!$C$140,IF(CROQUIS!$C$103=1,-12,2),0),((CROQUIS!$C$107/2+(((CROQUIS!$C$98)-CROQUIS!$C$107)-(MIN(80,MAX(1,INT(((CROQUIS!$C$98)-CROQUIS!$C$107)/MAX(CROQUIS!$C$130,1))+1))-1)*CROQUIS!$C$130)/2)+MIN(INT(($A383-1)/5),MAX((MIN(80,MAX(1,INT(((CROQUIS!$C$98)-CROQUIS!$C$107)/MAX(CROQUIS!$C$130,1))+1)))-1,0))*CROQUIS!$C$130)))*CROQUIS!$C$155)+IF(CROQUIS!$C$92="X",0,0)),-1000)</f>
        <v>-1000</v>
      </c>
      <c r="BM38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383-1)/5),MAX((MIN(80,MAX(1,INT(((CROQUIS!$C$98)-CROQUIS!$C$107)/MAX(CROQUIS!$C$130,1))+1)))-1,0))*CROQUIS!$C$130),CHOOSE(IF(INT(($A383-1)/5)&gt;MAX((MIN(80,MAX(1,INT(((CROQUIS!$C$98)-CROQUIS!$C$107)/MAX(CROQUIS!$C$130,1))+1)))-1,0),0,MOD($A383-1,5))+1,0,IF(CROQUIS!$C$103=1,-12,2),CROQUIS!$C$107/2+CROQUIS!$C$140,IF(CROQUIS!$C$103=1,-12,2),0)))*CROQUIS!$C$155)+IF(CROQUIS!$C$92="X",0,0)),-1000)</f>
        <v>-1000</v>
      </c>
      <c r="BN383">
        <f>IF(AND(CROQUIS!$C$88=1,CROQUIS!$C$91=0,CROQUIS!$C$130&gt;0,OR(CROQUIS!$C$104=1,CROQUIS!$C$142=1)),((CROQUIS!$C$156+(IF(CROQUIS!$C$92="X",CHOOSE(IF(INT(($A383-1)/5)&gt;MAX((MIN(80,MAX(1,INT(((CROQUIS!$C$98)-CROQUIS!$C$107)/MAX(CROQUIS!$C$130,1))+1)))-1,0),0,MOD($A383-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383-1)/5),MAX((MIN(80,MAX(1,INT(((CROQUIS!$C$98)-CROQUIS!$C$107)/MAX(CROQUIS!$C$130,1))+1)))-1,0))*CROQUIS!$C$130)))*CROQUIS!$C$155)+IF(CROQUIS!$C$92="X",0,0)),-1000)</f>
        <v>-1000</v>
      </c>
      <c r="BO38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383-1)/5),MAX((MIN(80,MAX(1,INT(((CROQUIS!$C$98)-CROQUIS!$C$107)/MAX(CROQUIS!$C$130,1))+1)))-1,0))*CROQUIS!$C$130),CHOOSE(IF(INT(($A383-1)/5)&gt;MAX((MIN(80,MAX(1,INT(((CROQUIS!$C$98)-CROQUIS!$C$107)/MAX(CROQUIS!$C$130,1))+1)))-1,0),0,MOD($A383-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8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383-1)/5),MAX((MIN(80,MAX(1,INT(((CROQUIS!$C$97)-CROQUIS!$C$107)/MAX(CROQUIS!$C$138,1))+1)))-1,0))*CROQUIS!$C$138),CHOOSE(IF(INT(($A383-1)/5)&gt;MAX((MIN(80,MAX(1,INT(((CROQUIS!$C$97)-CROQUIS!$C$107)/MAX(CROQUIS!$C$138,1))+1)))-1,0),0,MOD($A383-1,5))+1,0,IF(CROQUIS!$C$105=1,-12,2),CROQUIS!$C$107/2+CROQUIS!$C$141,IF(CROQUIS!$C$105=1,-12,2),0)))*CROQUIS!$C$155)+IF(CROQUIS!$C$92="X",0,0)),-1000)</f>
        <v>-1000</v>
      </c>
      <c r="BQ383">
        <f>IF(AND(CROQUIS!$C$88=1,CROQUIS!$C$91=0,CROQUIS!$C$138&gt;0,OR(CROQUIS!$C$105=1,CROQUIS!$C$143=1)),((CROQUIS!$C$157+(IF(CROQUIS!$C$92="X",CHOOSE(IF(INT(($A383-1)/5)&gt;MAX((MIN(80,MAX(1,INT(((CROQUIS!$C$97)-CROQUIS!$C$107)/MAX(CROQUIS!$C$138,1))+1)))-1,0),0,MOD($A383-1,5))+1,0,IF(CROQUIS!$C$105=1,-12,2),CROQUIS!$C$107/2+CROQUIS!$C$141,IF(CROQUIS!$C$105=1,-12,2),0),((CROQUIS!$C$107/2+(((CROQUIS!$C$97)-CROQUIS!$C$107)-(MIN(80,MAX(1,INT(((CROQUIS!$C$97)-CROQUIS!$C$107)/MAX(CROQUIS!$C$138,1))+1))-1)*CROQUIS!$C$138)/2)+MIN(INT(($A383-1)/5),MAX((MIN(80,MAX(1,INT(((CROQUIS!$C$97)-CROQUIS!$C$107)/MAX(CROQUIS!$C$138,1))+1)))-1,0))*CROQUIS!$C$138)))*CROQUIS!$C$155)+IF(CROQUIS!$C$92="X",0,0)),-1000)</f>
        <v>-1000</v>
      </c>
      <c r="BR38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383-1)/5),MAX((MIN(80,MAX(1,INT(((CROQUIS!$C$97)-CROQUIS!$C$107)/MAX(CROQUIS!$C$138,1))+1)))-1,0))*CROQUIS!$C$138),CHOOSE(IF(INT(($A383-1)/5)&gt;MAX((MIN(80,MAX(1,INT(((CROQUIS!$C$97)-CROQUIS!$C$107)/MAX(CROQUIS!$C$138,1))+1)))-1,0),0,MOD($A383-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83">
        <f>IF(AND(CROQUIS!$C$88=1,CROQUIS!$C$91=0,CROQUIS!$C$138&gt;0,OR(CROQUIS!$C$106=1,CROQUIS!$C$143=1)),((CROQUIS!$C$157+(IF(CROQUIS!$C$92="X",CHOOSE(IF(INT(($A383-1)/5)&gt;MAX((MIN(80,MAX(1,INT(((CROQUIS!$C$97)-CROQUIS!$C$107)/MAX(CROQUIS!$C$138,1))+1)))-1,0),0,MOD($A383-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383-1)/5),MAX((MIN(80,MAX(1,INT(((CROQUIS!$C$97)-CROQUIS!$C$107)/MAX(CROQUIS!$C$138,1))+1)))-1,0))*CROQUIS!$C$138)))*CROQUIS!$C$155)+IF(CROQUIS!$C$92="X",0,0)),-1000)</f>
        <v>-1000</v>
      </c>
      <c r="BT383">
        <f>IF(AND(CROQUIS!$C$88=1,CROQUIS!$C$91=1,CROQUIS!$C$130&gt;0),((CROQUIS!$C$156+(IF(CROQUIS!$C$92="X",CHOOSE(IF(INT(($A383-1)/5)&gt;MAX((MIN(80,MAX(1,INT(((CROQUIS!$C$98)-CROQUIS!$C$107)/MAX(CROQUIS!$C$130,1))+1)))-1,0),0,MOD($A383-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383-1)/5),MAX((MIN(80,MAX(1,INT(((CROQUIS!$C$98)-CROQUIS!$C$107)/MAX(CROQUIS!$C$130,1))+1)))-1,0))*CROQUIS!$C$130)))*CROQUIS!$C$155)+IF(CROQUIS!$C$92="X",0,0)),-1000)</f>
        <v>-1000</v>
      </c>
      <c r="BU383">
        <f>IF(AND(CROQUIS!$C$88=1,CROQUIS!$C$91=1,CROQUIS!$C$130&gt;0),((CROQUIS!$C$157+(IF(CROQUIS!$C$92="X",((CROQUIS!$C$107/2+(((CROQUIS!$C$98)-CROQUIS!$C$107)-(MIN(80,MAX(1,INT(((CROQUIS!$C$98)-CROQUIS!$C$107)/MAX(CROQUIS!$C$130,1))+1))-1)*CROQUIS!$C$130)/2)+MIN(INT(($A383-1)/5),MAX((MIN(80,MAX(1,INT(((CROQUIS!$C$98)-CROQUIS!$C$107)/MAX(CROQUIS!$C$130,1))+1)))-1,0))*CROQUIS!$C$130),CHOOSE(IF(INT(($A383-1)/5)&gt;MAX((MIN(80,MAX(1,INT(((CROQUIS!$C$98)-CROQUIS!$C$107)/MAX(CROQUIS!$C$130,1))+1)))-1,0),0,MOD($A383-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84">
      <c r="A384" t="n">
        <v>377</v>
      </c>
      <c r="BH384">
        <f>IF(AND(CROQUIS!$C$88=1,CROQUIS!$C$126&gt;0),((CROQUIS!$C$156+(IF(CROQUIS!$C$92="X",CHOOSE(IF(INT(($A384-1)/5)&gt;MAX((MIN(80,MAX(1,INT(((CROQUIS!$C$98)-CROQUIS!$C$107)/MAX(CROQUIS!$C$126,1))+1)))-1,0),0,MOD($A384-1,5))+1,0,2,CROQUIS!$C$97-2,2,0),((CROQUIS!$C$107/2+(((CROQUIS!$C$98)-CROQUIS!$C$107)-(MIN(80,MAX(1,INT(((CROQUIS!$C$98)-CROQUIS!$C$107)/MAX(CROQUIS!$C$126,1))+1))-1)*CROQUIS!$C$126)/2)+MIN(INT(($A384-1)/5),MAX((MIN(80,MAX(1,INT(((CROQUIS!$C$98)-CROQUIS!$C$107)/MAX(CROQUIS!$C$126,1))+1)))-1,0))*CROQUIS!$C$126)))*CROQUIS!$C$155)+IF(CROQUIS!$C$92="X",0,0)),-1000)</f>
        <v>-1000</v>
      </c>
      <c r="BI384">
        <f>IF(AND(CROQUIS!$C$88=1,CROQUIS!$C$126&gt;0),((CROQUIS!$C$157+(IF(CROQUIS!$C$92="X",((CROQUIS!$C$107/2+(((CROQUIS!$C$98)-CROQUIS!$C$107)-(MIN(80,MAX(1,INT(((CROQUIS!$C$98)-CROQUIS!$C$107)/MAX(CROQUIS!$C$126,1))+1))-1)*CROQUIS!$C$126)/2)+MIN(INT(($A384-1)/5),MAX((MIN(80,MAX(1,INT(((CROQUIS!$C$98)-CROQUIS!$C$107)/MAX(CROQUIS!$C$126,1))+1)))-1,0))*CROQUIS!$C$126),CHOOSE(IF(INT(($A384-1)/5)&gt;MAX((MIN(80,MAX(1,INT(((CROQUIS!$C$98)-CROQUIS!$C$107)/MAX(CROQUIS!$C$126,1))+1)))-1,0),0,MOD($A384-1,5))+1,0,2,CROQUIS!$C$97-2,2,0)))*CROQUIS!$C$155)+IF(CROQUIS!$C$92="X",0,0)),-1000)</f>
        <v>-1000</v>
      </c>
      <c r="BJ384">
        <f>IF(AND(CROQUIS!$C$88=1,CROQUIS!$C$134&gt;0),((CROQUIS!$C$156+(IF(CROQUIS!$C$92="X",((CROQUIS!$C$107/2+(((CROQUIS!$C$97)-CROQUIS!$C$107)-(MIN(80,MAX(1,INT(((CROQUIS!$C$97)-CROQUIS!$C$107)/MAX(CROQUIS!$C$134,1))+1))-1)*CROQUIS!$C$134)/2)+MIN(INT(($A384-1)/5),MAX((MIN(80,MAX(1,INT(((CROQUIS!$C$97)-CROQUIS!$C$107)/MAX(CROQUIS!$C$134,1))+1)))-1,0))*CROQUIS!$C$134),CHOOSE(IF(INT(($A384-1)/5)&gt;MAX((MIN(80,MAX(1,INT(((CROQUIS!$C$97)-CROQUIS!$C$107)/MAX(CROQUIS!$C$134,1))+1)))-1,0),0,MOD($A384-1,5))+1,0,2,CROQUIS!$C$98-2,2,0)))*CROQUIS!$C$155)+IF(CROQUIS!$C$92="X",0,0)),-1000)</f>
        <v>-1000</v>
      </c>
      <c r="BK384">
        <f>IF(AND(CROQUIS!$C$88=1,CROQUIS!$C$134&gt;0),((CROQUIS!$C$157+(IF(CROQUIS!$C$92="X",CHOOSE(IF(INT(($A384-1)/5)&gt;MAX((MIN(80,MAX(1,INT(((CROQUIS!$C$97)-CROQUIS!$C$107)/MAX(CROQUIS!$C$134,1))+1)))-1,0),0,MOD($A384-1,5))+1,0,2,CROQUIS!$C$98-2,2,0),((CROQUIS!$C$107/2+(((CROQUIS!$C$97)-CROQUIS!$C$107)-(MIN(80,MAX(1,INT(((CROQUIS!$C$97)-CROQUIS!$C$107)/MAX(CROQUIS!$C$134,1))+1))-1)*CROQUIS!$C$134)/2)+MIN(INT(($A384-1)/5),MAX((MIN(80,MAX(1,INT(((CROQUIS!$C$97)-CROQUIS!$C$107)/MAX(CROQUIS!$C$134,1))+1)))-1,0))*CROQUIS!$C$134)))*CROQUIS!$C$155)+IF(CROQUIS!$C$92="X",0,0)),-1000)</f>
        <v>-1000</v>
      </c>
      <c r="BL384">
        <f>IF(AND(CROQUIS!$C$88=1,CROQUIS!$C$91=0,CROQUIS!$C$130&gt;0,OR(CROQUIS!$C$103=1,CROQUIS!$C$142=1)),((CROQUIS!$C$156+(IF(CROQUIS!$C$92="X",CHOOSE(IF(INT(($A384-1)/5)&gt;MAX((MIN(80,MAX(1,INT(((CROQUIS!$C$98)-CROQUIS!$C$107)/MAX(CROQUIS!$C$130,1))+1)))-1,0),0,MOD($A384-1,5))+1,0,IF(CROQUIS!$C$103=1,-12,2),CROQUIS!$C$107/2+CROQUIS!$C$140,IF(CROQUIS!$C$103=1,-12,2),0),((CROQUIS!$C$107/2+(((CROQUIS!$C$98)-CROQUIS!$C$107)-(MIN(80,MAX(1,INT(((CROQUIS!$C$98)-CROQUIS!$C$107)/MAX(CROQUIS!$C$130,1))+1))-1)*CROQUIS!$C$130)/2)+MIN(INT(($A384-1)/5),MAX((MIN(80,MAX(1,INT(((CROQUIS!$C$98)-CROQUIS!$C$107)/MAX(CROQUIS!$C$130,1))+1)))-1,0))*CROQUIS!$C$130)))*CROQUIS!$C$155)+IF(CROQUIS!$C$92="X",0,0)),-1000)</f>
        <v>-1000</v>
      </c>
      <c r="BM38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384-1)/5),MAX((MIN(80,MAX(1,INT(((CROQUIS!$C$98)-CROQUIS!$C$107)/MAX(CROQUIS!$C$130,1))+1)))-1,0))*CROQUIS!$C$130),CHOOSE(IF(INT(($A384-1)/5)&gt;MAX((MIN(80,MAX(1,INT(((CROQUIS!$C$98)-CROQUIS!$C$107)/MAX(CROQUIS!$C$130,1))+1)))-1,0),0,MOD($A384-1,5))+1,0,IF(CROQUIS!$C$103=1,-12,2),CROQUIS!$C$107/2+CROQUIS!$C$140,IF(CROQUIS!$C$103=1,-12,2),0)))*CROQUIS!$C$155)+IF(CROQUIS!$C$92="X",0,0)),-1000)</f>
        <v>-1000</v>
      </c>
      <c r="BN384">
        <f>IF(AND(CROQUIS!$C$88=1,CROQUIS!$C$91=0,CROQUIS!$C$130&gt;0,OR(CROQUIS!$C$104=1,CROQUIS!$C$142=1)),((CROQUIS!$C$156+(IF(CROQUIS!$C$92="X",CHOOSE(IF(INT(($A384-1)/5)&gt;MAX((MIN(80,MAX(1,INT(((CROQUIS!$C$98)-CROQUIS!$C$107)/MAX(CROQUIS!$C$130,1))+1)))-1,0),0,MOD($A384-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384-1)/5),MAX((MIN(80,MAX(1,INT(((CROQUIS!$C$98)-CROQUIS!$C$107)/MAX(CROQUIS!$C$130,1))+1)))-1,0))*CROQUIS!$C$130)))*CROQUIS!$C$155)+IF(CROQUIS!$C$92="X",0,0)),-1000)</f>
        <v>-1000</v>
      </c>
      <c r="BO38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384-1)/5),MAX((MIN(80,MAX(1,INT(((CROQUIS!$C$98)-CROQUIS!$C$107)/MAX(CROQUIS!$C$130,1))+1)))-1,0))*CROQUIS!$C$130),CHOOSE(IF(INT(($A384-1)/5)&gt;MAX((MIN(80,MAX(1,INT(((CROQUIS!$C$98)-CROQUIS!$C$107)/MAX(CROQUIS!$C$130,1))+1)))-1,0),0,MOD($A384-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8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384-1)/5),MAX((MIN(80,MAX(1,INT(((CROQUIS!$C$97)-CROQUIS!$C$107)/MAX(CROQUIS!$C$138,1))+1)))-1,0))*CROQUIS!$C$138),CHOOSE(IF(INT(($A384-1)/5)&gt;MAX((MIN(80,MAX(1,INT(((CROQUIS!$C$97)-CROQUIS!$C$107)/MAX(CROQUIS!$C$138,1))+1)))-1,0),0,MOD($A384-1,5))+1,0,IF(CROQUIS!$C$105=1,-12,2),CROQUIS!$C$107/2+CROQUIS!$C$141,IF(CROQUIS!$C$105=1,-12,2),0)))*CROQUIS!$C$155)+IF(CROQUIS!$C$92="X",0,0)),-1000)</f>
        <v>-1000</v>
      </c>
      <c r="BQ384">
        <f>IF(AND(CROQUIS!$C$88=1,CROQUIS!$C$91=0,CROQUIS!$C$138&gt;0,OR(CROQUIS!$C$105=1,CROQUIS!$C$143=1)),((CROQUIS!$C$157+(IF(CROQUIS!$C$92="X",CHOOSE(IF(INT(($A384-1)/5)&gt;MAX((MIN(80,MAX(1,INT(((CROQUIS!$C$97)-CROQUIS!$C$107)/MAX(CROQUIS!$C$138,1))+1)))-1,0),0,MOD($A384-1,5))+1,0,IF(CROQUIS!$C$105=1,-12,2),CROQUIS!$C$107/2+CROQUIS!$C$141,IF(CROQUIS!$C$105=1,-12,2),0),((CROQUIS!$C$107/2+(((CROQUIS!$C$97)-CROQUIS!$C$107)-(MIN(80,MAX(1,INT(((CROQUIS!$C$97)-CROQUIS!$C$107)/MAX(CROQUIS!$C$138,1))+1))-1)*CROQUIS!$C$138)/2)+MIN(INT(($A384-1)/5),MAX((MIN(80,MAX(1,INT(((CROQUIS!$C$97)-CROQUIS!$C$107)/MAX(CROQUIS!$C$138,1))+1)))-1,0))*CROQUIS!$C$138)))*CROQUIS!$C$155)+IF(CROQUIS!$C$92="X",0,0)),-1000)</f>
        <v>-1000</v>
      </c>
      <c r="BR38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384-1)/5),MAX((MIN(80,MAX(1,INT(((CROQUIS!$C$97)-CROQUIS!$C$107)/MAX(CROQUIS!$C$138,1))+1)))-1,0))*CROQUIS!$C$138),CHOOSE(IF(INT(($A384-1)/5)&gt;MAX((MIN(80,MAX(1,INT(((CROQUIS!$C$97)-CROQUIS!$C$107)/MAX(CROQUIS!$C$138,1))+1)))-1,0),0,MOD($A384-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84">
        <f>IF(AND(CROQUIS!$C$88=1,CROQUIS!$C$91=0,CROQUIS!$C$138&gt;0,OR(CROQUIS!$C$106=1,CROQUIS!$C$143=1)),((CROQUIS!$C$157+(IF(CROQUIS!$C$92="X",CHOOSE(IF(INT(($A384-1)/5)&gt;MAX((MIN(80,MAX(1,INT(((CROQUIS!$C$97)-CROQUIS!$C$107)/MAX(CROQUIS!$C$138,1))+1)))-1,0),0,MOD($A384-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384-1)/5),MAX((MIN(80,MAX(1,INT(((CROQUIS!$C$97)-CROQUIS!$C$107)/MAX(CROQUIS!$C$138,1))+1)))-1,0))*CROQUIS!$C$138)))*CROQUIS!$C$155)+IF(CROQUIS!$C$92="X",0,0)),-1000)</f>
        <v>-1000</v>
      </c>
      <c r="BT384">
        <f>IF(AND(CROQUIS!$C$88=1,CROQUIS!$C$91=1,CROQUIS!$C$130&gt;0),((CROQUIS!$C$156+(IF(CROQUIS!$C$92="X",CHOOSE(IF(INT(($A384-1)/5)&gt;MAX((MIN(80,MAX(1,INT(((CROQUIS!$C$98)-CROQUIS!$C$107)/MAX(CROQUIS!$C$130,1))+1)))-1,0),0,MOD($A384-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384-1)/5),MAX((MIN(80,MAX(1,INT(((CROQUIS!$C$98)-CROQUIS!$C$107)/MAX(CROQUIS!$C$130,1))+1)))-1,0))*CROQUIS!$C$130)))*CROQUIS!$C$155)+IF(CROQUIS!$C$92="X",0,0)),-1000)</f>
        <v>-1000</v>
      </c>
      <c r="BU384">
        <f>IF(AND(CROQUIS!$C$88=1,CROQUIS!$C$91=1,CROQUIS!$C$130&gt;0),((CROQUIS!$C$157+(IF(CROQUIS!$C$92="X",((CROQUIS!$C$107/2+(((CROQUIS!$C$98)-CROQUIS!$C$107)-(MIN(80,MAX(1,INT(((CROQUIS!$C$98)-CROQUIS!$C$107)/MAX(CROQUIS!$C$130,1))+1))-1)*CROQUIS!$C$130)/2)+MIN(INT(($A384-1)/5),MAX((MIN(80,MAX(1,INT(((CROQUIS!$C$98)-CROQUIS!$C$107)/MAX(CROQUIS!$C$130,1))+1)))-1,0))*CROQUIS!$C$130),CHOOSE(IF(INT(($A384-1)/5)&gt;MAX((MIN(80,MAX(1,INT(((CROQUIS!$C$98)-CROQUIS!$C$107)/MAX(CROQUIS!$C$130,1))+1)))-1,0),0,MOD($A384-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85">
      <c r="A385" t="n">
        <v>378</v>
      </c>
      <c r="BH385">
        <f>IF(AND(CROQUIS!$C$88=1,CROQUIS!$C$126&gt;0),((CROQUIS!$C$156+(IF(CROQUIS!$C$92="X",CHOOSE(IF(INT(($A385-1)/5)&gt;MAX((MIN(80,MAX(1,INT(((CROQUIS!$C$98)-CROQUIS!$C$107)/MAX(CROQUIS!$C$126,1))+1)))-1,0),0,MOD($A385-1,5))+1,0,2,CROQUIS!$C$97-2,2,0),((CROQUIS!$C$107/2+(((CROQUIS!$C$98)-CROQUIS!$C$107)-(MIN(80,MAX(1,INT(((CROQUIS!$C$98)-CROQUIS!$C$107)/MAX(CROQUIS!$C$126,1))+1))-1)*CROQUIS!$C$126)/2)+MIN(INT(($A385-1)/5),MAX((MIN(80,MAX(1,INT(((CROQUIS!$C$98)-CROQUIS!$C$107)/MAX(CROQUIS!$C$126,1))+1)))-1,0))*CROQUIS!$C$126)))*CROQUIS!$C$155)+IF(CROQUIS!$C$92="X",0,0)),-1000)</f>
        <v>-1000</v>
      </c>
      <c r="BI385">
        <f>IF(AND(CROQUIS!$C$88=1,CROQUIS!$C$126&gt;0),((CROQUIS!$C$157+(IF(CROQUIS!$C$92="X",((CROQUIS!$C$107/2+(((CROQUIS!$C$98)-CROQUIS!$C$107)-(MIN(80,MAX(1,INT(((CROQUIS!$C$98)-CROQUIS!$C$107)/MAX(CROQUIS!$C$126,1))+1))-1)*CROQUIS!$C$126)/2)+MIN(INT(($A385-1)/5),MAX((MIN(80,MAX(1,INT(((CROQUIS!$C$98)-CROQUIS!$C$107)/MAX(CROQUIS!$C$126,1))+1)))-1,0))*CROQUIS!$C$126),CHOOSE(IF(INT(($A385-1)/5)&gt;MAX((MIN(80,MAX(1,INT(((CROQUIS!$C$98)-CROQUIS!$C$107)/MAX(CROQUIS!$C$126,1))+1)))-1,0),0,MOD($A385-1,5))+1,0,2,CROQUIS!$C$97-2,2,0)))*CROQUIS!$C$155)+IF(CROQUIS!$C$92="X",0,0)),-1000)</f>
        <v>-1000</v>
      </c>
      <c r="BJ385">
        <f>IF(AND(CROQUIS!$C$88=1,CROQUIS!$C$134&gt;0),((CROQUIS!$C$156+(IF(CROQUIS!$C$92="X",((CROQUIS!$C$107/2+(((CROQUIS!$C$97)-CROQUIS!$C$107)-(MIN(80,MAX(1,INT(((CROQUIS!$C$97)-CROQUIS!$C$107)/MAX(CROQUIS!$C$134,1))+1))-1)*CROQUIS!$C$134)/2)+MIN(INT(($A385-1)/5),MAX((MIN(80,MAX(1,INT(((CROQUIS!$C$97)-CROQUIS!$C$107)/MAX(CROQUIS!$C$134,1))+1)))-1,0))*CROQUIS!$C$134),CHOOSE(IF(INT(($A385-1)/5)&gt;MAX((MIN(80,MAX(1,INT(((CROQUIS!$C$97)-CROQUIS!$C$107)/MAX(CROQUIS!$C$134,1))+1)))-1,0),0,MOD($A385-1,5))+1,0,2,CROQUIS!$C$98-2,2,0)))*CROQUIS!$C$155)+IF(CROQUIS!$C$92="X",0,0)),-1000)</f>
        <v>-1000</v>
      </c>
      <c r="BK385">
        <f>IF(AND(CROQUIS!$C$88=1,CROQUIS!$C$134&gt;0),((CROQUIS!$C$157+(IF(CROQUIS!$C$92="X",CHOOSE(IF(INT(($A385-1)/5)&gt;MAX((MIN(80,MAX(1,INT(((CROQUIS!$C$97)-CROQUIS!$C$107)/MAX(CROQUIS!$C$134,1))+1)))-1,0),0,MOD($A385-1,5))+1,0,2,CROQUIS!$C$98-2,2,0),((CROQUIS!$C$107/2+(((CROQUIS!$C$97)-CROQUIS!$C$107)-(MIN(80,MAX(1,INT(((CROQUIS!$C$97)-CROQUIS!$C$107)/MAX(CROQUIS!$C$134,1))+1))-1)*CROQUIS!$C$134)/2)+MIN(INT(($A385-1)/5),MAX((MIN(80,MAX(1,INT(((CROQUIS!$C$97)-CROQUIS!$C$107)/MAX(CROQUIS!$C$134,1))+1)))-1,0))*CROQUIS!$C$134)))*CROQUIS!$C$155)+IF(CROQUIS!$C$92="X",0,0)),-1000)</f>
        <v>-1000</v>
      </c>
      <c r="BL385">
        <f>IF(AND(CROQUIS!$C$88=1,CROQUIS!$C$91=0,CROQUIS!$C$130&gt;0,OR(CROQUIS!$C$103=1,CROQUIS!$C$142=1)),((CROQUIS!$C$156+(IF(CROQUIS!$C$92="X",CHOOSE(IF(INT(($A385-1)/5)&gt;MAX((MIN(80,MAX(1,INT(((CROQUIS!$C$98)-CROQUIS!$C$107)/MAX(CROQUIS!$C$130,1))+1)))-1,0),0,MOD($A385-1,5))+1,0,IF(CROQUIS!$C$103=1,-12,2),CROQUIS!$C$107/2+CROQUIS!$C$140,IF(CROQUIS!$C$103=1,-12,2),0),((CROQUIS!$C$107/2+(((CROQUIS!$C$98)-CROQUIS!$C$107)-(MIN(80,MAX(1,INT(((CROQUIS!$C$98)-CROQUIS!$C$107)/MAX(CROQUIS!$C$130,1))+1))-1)*CROQUIS!$C$130)/2)+MIN(INT(($A385-1)/5),MAX((MIN(80,MAX(1,INT(((CROQUIS!$C$98)-CROQUIS!$C$107)/MAX(CROQUIS!$C$130,1))+1)))-1,0))*CROQUIS!$C$130)))*CROQUIS!$C$155)+IF(CROQUIS!$C$92="X",0,0)),-1000)</f>
        <v>-1000</v>
      </c>
      <c r="BM38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385-1)/5),MAX((MIN(80,MAX(1,INT(((CROQUIS!$C$98)-CROQUIS!$C$107)/MAX(CROQUIS!$C$130,1))+1)))-1,0))*CROQUIS!$C$130),CHOOSE(IF(INT(($A385-1)/5)&gt;MAX((MIN(80,MAX(1,INT(((CROQUIS!$C$98)-CROQUIS!$C$107)/MAX(CROQUIS!$C$130,1))+1)))-1,0),0,MOD($A385-1,5))+1,0,IF(CROQUIS!$C$103=1,-12,2),CROQUIS!$C$107/2+CROQUIS!$C$140,IF(CROQUIS!$C$103=1,-12,2),0)))*CROQUIS!$C$155)+IF(CROQUIS!$C$92="X",0,0)),-1000)</f>
        <v>-1000</v>
      </c>
      <c r="BN385">
        <f>IF(AND(CROQUIS!$C$88=1,CROQUIS!$C$91=0,CROQUIS!$C$130&gt;0,OR(CROQUIS!$C$104=1,CROQUIS!$C$142=1)),((CROQUIS!$C$156+(IF(CROQUIS!$C$92="X",CHOOSE(IF(INT(($A385-1)/5)&gt;MAX((MIN(80,MAX(1,INT(((CROQUIS!$C$98)-CROQUIS!$C$107)/MAX(CROQUIS!$C$130,1))+1)))-1,0),0,MOD($A385-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385-1)/5),MAX((MIN(80,MAX(1,INT(((CROQUIS!$C$98)-CROQUIS!$C$107)/MAX(CROQUIS!$C$130,1))+1)))-1,0))*CROQUIS!$C$130)))*CROQUIS!$C$155)+IF(CROQUIS!$C$92="X",0,0)),-1000)</f>
        <v>-1000</v>
      </c>
      <c r="BO38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385-1)/5),MAX((MIN(80,MAX(1,INT(((CROQUIS!$C$98)-CROQUIS!$C$107)/MAX(CROQUIS!$C$130,1))+1)))-1,0))*CROQUIS!$C$130),CHOOSE(IF(INT(($A385-1)/5)&gt;MAX((MIN(80,MAX(1,INT(((CROQUIS!$C$98)-CROQUIS!$C$107)/MAX(CROQUIS!$C$130,1))+1)))-1,0),0,MOD($A385-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8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385-1)/5),MAX((MIN(80,MAX(1,INT(((CROQUIS!$C$97)-CROQUIS!$C$107)/MAX(CROQUIS!$C$138,1))+1)))-1,0))*CROQUIS!$C$138),CHOOSE(IF(INT(($A385-1)/5)&gt;MAX((MIN(80,MAX(1,INT(((CROQUIS!$C$97)-CROQUIS!$C$107)/MAX(CROQUIS!$C$138,1))+1)))-1,0),0,MOD($A385-1,5))+1,0,IF(CROQUIS!$C$105=1,-12,2),CROQUIS!$C$107/2+CROQUIS!$C$141,IF(CROQUIS!$C$105=1,-12,2),0)))*CROQUIS!$C$155)+IF(CROQUIS!$C$92="X",0,0)),-1000)</f>
        <v>-1000</v>
      </c>
      <c r="BQ385">
        <f>IF(AND(CROQUIS!$C$88=1,CROQUIS!$C$91=0,CROQUIS!$C$138&gt;0,OR(CROQUIS!$C$105=1,CROQUIS!$C$143=1)),((CROQUIS!$C$157+(IF(CROQUIS!$C$92="X",CHOOSE(IF(INT(($A385-1)/5)&gt;MAX((MIN(80,MAX(1,INT(((CROQUIS!$C$97)-CROQUIS!$C$107)/MAX(CROQUIS!$C$138,1))+1)))-1,0),0,MOD($A385-1,5))+1,0,IF(CROQUIS!$C$105=1,-12,2),CROQUIS!$C$107/2+CROQUIS!$C$141,IF(CROQUIS!$C$105=1,-12,2),0),((CROQUIS!$C$107/2+(((CROQUIS!$C$97)-CROQUIS!$C$107)-(MIN(80,MAX(1,INT(((CROQUIS!$C$97)-CROQUIS!$C$107)/MAX(CROQUIS!$C$138,1))+1))-1)*CROQUIS!$C$138)/2)+MIN(INT(($A385-1)/5),MAX((MIN(80,MAX(1,INT(((CROQUIS!$C$97)-CROQUIS!$C$107)/MAX(CROQUIS!$C$138,1))+1)))-1,0))*CROQUIS!$C$138)))*CROQUIS!$C$155)+IF(CROQUIS!$C$92="X",0,0)),-1000)</f>
        <v>-1000</v>
      </c>
      <c r="BR38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385-1)/5),MAX((MIN(80,MAX(1,INT(((CROQUIS!$C$97)-CROQUIS!$C$107)/MAX(CROQUIS!$C$138,1))+1)))-1,0))*CROQUIS!$C$138),CHOOSE(IF(INT(($A385-1)/5)&gt;MAX((MIN(80,MAX(1,INT(((CROQUIS!$C$97)-CROQUIS!$C$107)/MAX(CROQUIS!$C$138,1))+1)))-1,0),0,MOD($A385-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85">
        <f>IF(AND(CROQUIS!$C$88=1,CROQUIS!$C$91=0,CROQUIS!$C$138&gt;0,OR(CROQUIS!$C$106=1,CROQUIS!$C$143=1)),((CROQUIS!$C$157+(IF(CROQUIS!$C$92="X",CHOOSE(IF(INT(($A385-1)/5)&gt;MAX((MIN(80,MAX(1,INT(((CROQUIS!$C$97)-CROQUIS!$C$107)/MAX(CROQUIS!$C$138,1))+1)))-1,0),0,MOD($A385-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385-1)/5),MAX((MIN(80,MAX(1,INT(((CROQUIS!$C$97)-CROQUIS!$C$107)/MAX(CROQUIS!$C$138,1))+1)))-1,0))*CROQUIS!$C$138)))*CROQUIS!$C$155)+IF(CROQUIS!$C$92="X",0,0)),-1000)</f>
        <v>-1000</v>
      </c>
      <c r="BT385">
        <f>IF(AND(CROQUIS!$C$88=1,CROQUIS!$C$91=1,CROQUIS!$C$130&gt;0),((CROQUIS!$C$156+(IF(CROQUIS!$C$92="X",CHOOSE(IF(INT(($A385-1)/5)&gt;MAX((MIN(80,MAX(1,INT(((CROQUIS!$C$98)-CROQUIS!$C$107)/MAX(CROQUIS!$C$130,1))+1)))-1,0),0,MOD($A385-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385-1)/5),MAX((MIN(80,MAX(1,INT(((CROQUIS!$C$98)-CROQUIS!$C$107)/MAX(CROQUIS!$C$130,1))+1)))-1,0))*CROQUIS!$C$130)))*CROQUIS!$C$155)+IF(CROQUIS!$C$92="X",0,0)),-1000)</f>
        <v>-1000</v>
      </c>
      <c r="BU385">
        <f>IF(AND(CROQUIS!$C$88=1,CROQUIS!$C$91=1,CROQUIS!$C$130&gt;0),((CROQUIS!$C$157+(IF(CROQUIS!$C$92="X",((CROQUIS!$C$107/2+(((CROQUIS!$C$98)-CROQUIS!$C$107)-(MIN(80,MAX(1,INT(((CROQUIS!$C$98)-CROQUIS!$C$107)/MAX(CROQUIS!$C$130,1))+1))-1)*CROQUIS!$C$130)/2)+MIN(INT(($A385-1)/5),MAX((MIN(80,MAX(1,INT(((CROQUIS!$C$98)-CROQUIS!$C$107)/MAX(CROQUIS!$C$130,1))+1)))-1,0))*CROQUIS!$C$130),CHOOSE(IF(INT(($A385-1)/5)&gt;MAX((MIN(80,MAX(1,INT(((CROQUIS!$C$98)-CROQUIS!$C$107)/MAX(CROQUIS!$C$130,1))+1)))-1,0),0,MOD($A385-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86">
      <c r="A386" t="n">
        <v>379</v>
      </c>
      <c r="BH386">
        <f>IF(AND(CROQUIS!$C$88=1,CROQUIS!$C$126&gt;0),((CROQUIS!$C$156+(IF(CROQUIS!$C$92="X",CHOOSE(IF(INT(($A386-1)/5)&gt;MAX((MIN(80,MAX(1,INT(((CROQUIS!$C$98)-CROQUIS!$C$107)/MAX(CROQUIS!$C$126,1))+1)))-1,0),0,MOD($A386-1,5))+1,0,2,CROQUIS!$C$97-2,2,0),((CROQUIS!$C$107/2+(((CROQUIS!$C$98)-CROQUIS!$C$107)-(MIN(80,MAX(1,INT(((CROQUIS!$C$98)-CROQUIS!$C$107)/MAX(CROQUIS!$C$126,1))+1))-1)*CROQUIS!$C$126)/2)+MIN(INT(($A386-1)/5),MAX((MIN(80,MAX(1,INT(((CROQUIS!$C$98)-CROQUIS!$C$107)/MAX(CROQUIS!$C$126,1))+1)))-1,0))*CROQUIS!$C$126)))*CROQUIS!$C$155)+IF(CROQUIS!$C$92="X",0,0)),-1000)</f>
        <v>-1000</v>
      </c>
      <c r="BI386">
        <f>IF(AND(CROQUIS!$C$88=1,CROQUIS!$C$126&gt;0),((CROQUIS!$C$157+(IF(CROQUIS!$C$92="X",((CROQUIS!$C$107/2+(((CROQUIS!$C$98)-CROQUIS!$C$107)-(MIN(80,MAX(1,INT(((CROQUIS!$C$98)-CROQUIS!$C$107)/MAX(CROQUIS!$C$126,1))+1))-1)*CROQUIS!$C$126)/2)+MIN(INT(($A386-1)/5),MAX((MIN(80,MAX(1,INT(((CROQUIS!$C$98)-CROQUIS!$C$107)/MAX(CROQUIS!$C$126,1))+1)))-1,0))*CROQUIS!$C$126),CHOOSE(IF(INT(($A386-1)/5)&gt;MAX((MIN(80,MAX(1,INT(((CROQUIS!$C$98)-CROQUIS!$C$107)/MAX(CROQUIS!$C$126,1))+1)))-1,0),0,MOD($A386-1,5))+1,0,2,CROQUIS!$C$97-2,2,0)))*CROQUIS!$C$155)+IF(CROQUIS!$C$92="X",0,0)),-1000)</f>
        <v>-1000</v>
      </c>
      <c r="BJ386">
        <f>IF(AND(CROQUIS!$C$88=1,CROQUIS!$C$134&gt;0),((CROQUIS!$C$156+(IF(CROQUIS!$C$92="X",((CROQUIS!$C$107/2+(((CROQUIS!$C$97)-CROQUIS!$C$107)-(MIN(80,MAX(1,INT(((CROQUIS!$C$97)-CROQUIS!$C$107)/MAX(CROQUIS!$C$134,1))+1))-1)*CROQUIS!$C$134)/2)+MIN(INT(($A386-1)/5),MAX((MIN(80,MAX(1,INT(((CROQUIS!$C$97)-CROQUIS!$C$107)/MAX(CROQUIS!$C$134,1))+1)))-1,0))*CROQUIS!$C$134),CHOOSE(IF(INT(($A386-1)/5)&gt;MAX((MIN(80,MAX(1,INT(((CROQUIS!$C$97)-CROQUIS!$C$107)/MAX(CROQUIS!$C$134,1))+1)))-1,0),0,MOD($A386-1,5))+1,0,2,CROQUIS!$C$98-2,2,0)))*CROQUIS!$C$155)+IF(CROQUIS!$C$92="X",0,0)),-1000)</f>
        <v>-1000</v>
      </c>
      <c r="BK386">
        <f>IF(AND(CROQUIS!$C$88=1,CROQUIS!$C$134&gt;0),((CROQUIS!$C$157+(IF(CROQUIS!$C$92="X",CHOOSE(IF(INT(($A386-1)/5)&gt;MAX((MIN(80,MAX(1,INT(((CROQUIS!$C$97)-CROQUIS!$C$107)/MAX(CROQUIS!$C$134,1))+1)))-1,0),0,MOD($A386-1,5))+1,0,2,CROQUIS!$C$98-2,2,0),((CROQUIS!$C$107/2+(((CROQUIS!$C$97)-CROQUIS!$C$107)-(MIN(80,MAX(1,INT(((CROQUIS!$C$97)-CROQUIS!$C$107)/MAX(CROQUIS!$C$134,1))+1))-1)*CROQUIS!$C$134)/2)+MIN(INT(($A386-1)/5),MAX((MIN(80,MAX(1,INT(((CROQUIS!$C$97)-CROQUIS!$C$107)/MAX(CROQUIS!$C$134,1))+1)))-1,0))*CROQUIS!$C$134)))*CROQUIS!$C$155)+IF(CROQUIS!$C$92="X",0,0)),-1000)</f>
        <v>-1000</v>
      </c>
      <c r="BL386">
        <f>IF(AND(CROQUIS!$C$88=1,CROQUIS!$C$91=0,CROQUIS!$C$130&gt;0,OR(CROQUIS!$C$103=1,CROQUIS!$C$142=1)),((CROQUIS!$C$156+(IF(CROQUIS!$C$92="X",CHOOSE(IF(INT(($A386-1)/5)&gt;MAX((MIN(80,MAX(1,INT(((CROQUIS!$C$98)-CROQUIS!$C$107)/MAX(CROQUIS!$C$130,1))+1)))-1,0),0,MOD($A386-1,5))+1,0,IF(CROQUIS!$C$103=1,-12,2),CROQUIS!$C$107/2+CROQUIS!$C$140,IF(CROQUIS!$C$103=1,-12,2),0),((CROQUIS!$C$107/2+(((CROQUIS!$C$98)-CROQUIS!$C$107)-(MIN(80,MAX(1,INT(((CROQUIS!$C$98)-CROQUIS!$C$107)/MAX(CROQUIS!$C$130,1))+1))-1)*CROQUIS!$C$130)/2)+MIN(INT(($A386-1)/5),MAX((MIN(80,MAX(1,INT(((CROQUIS!$C$98)-CROQUIS!$C$107)/MAX(CROQUIS!$C$130,1))+1)))-1,0))*CROQUIS!$C$130)))*CROQUIS!$C$155)+IF(CROQUIS!$C$92="X",0,0)),-1000)</f>
        <v>-1000</v>
      </c>
      <c r="BM38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386-1)/5),MAX((MIN(80,MAX(1,INT(((CROQUIS!$C$98)-CROQUIS!$C$107)/MAX(CROQUIS!$C$130,1))+1)))-1,0))*CROQUIS!$C$130),CHOOSE(IF(INT(($A386-1)/5)&gt;MAX((MIN(80,MAX(1,INT(((CROQUIS!$C$98)-CROQUIS!$C$107)/MAX(CROQUIS!$C$130,1))+1)))-1,0),0,MOD($A386-1,5))+1,0,IF(CROQUIS!$C$103=1,-12,2),CROQUIS!$C$107/2+CROQUIS!$C$140,IF(CROQUIS!$C$103=1,-12,2),0)))*CROQUIS!$C$155)+IF(CROQUIS!$C$92="X",0,0)),-1000)</f>
        <v>-1000</v>
      </c>
      <c r="BN386">
        <f>IF(AND(CROQUIS!$C$88=1,CROQUIS!$C$91=0,CROQUIS!$C$130&gt;0,OR(CROQUIS!$C$104=1,CROQUIS!$C$142=1)),((CROQUIS!$C$156+(IF(CROQUIS!$C$92="X",CHOOSE(IF(INT(($A386-1)/5)&gt;MAX((MIN(80,MAX(1,INT(((CROQUIS!$C$98)-CROQUIS!$C$107)/MAX(CROQUIS!$C$130,1))+1)))-1,0),0,MOD($A386-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386-1)/5),MAX((MIN(80,MAX(1,INT(((CROQUIS!$C$98)-CROQUIS!$C$107)/MAX(CROQUIS!$C$130,1))+1)))-1,0))*CROQUIS!$C$130)))*CROQUIS!$C$155)+IF(CROQUIS!$C$92="X",0,0)),-1000)</f>
        <v>-1000</v>
      </c>
      <c r="BO38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386-1)/5),MAX((MIN(80,MAX(1,INT(((CROQUIS!$C$98)-CROQUIS!$C$107)/MAX(CROQUIS!$C$130,1))+1)))-1,0))*CROQUIS!$C$130),CHOOSE(IF(INT(($A386-1)/5)&gt;MAX((MIN(80,MAX(1,INT(((CROQUIS!$C$98)-CROQUIS!$C$107)/MAX(CROQUIS!$C$130,1))+1)))-1,0),0,MOD($A386-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8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386-1)/5),MAX((MIN(80,MAX(1,INT(((CROQUIS!$C$97)-CROQUIS!$C$107)/MAX(CROQUIS!$C$138,1))+1)))-1,0))*CROQUIS!$C$138),CHOOSE(IF(INT(($A386-1)/5)&gt;MAX((MIN(80,MAX(1,INT(((CROQUIS!$C$97)-CROQUIS!$C$107)/MAX(CROQUIS!$C$138,1))+1)))-1,0),0,MOD($A386-1,5))+1,0,IF(CROQUIS!$C$105=1,-12,2),CROQUIS!$C$107/2+CROQUIS!$C$141,IF(CROQUIS!$C$105=1,-12,2),0)))*CROQUIS!$C$155)+IF(CROQUIS!$C$92="X",0,0)),-1000)</f>
        <v>-1000</v>
      </c>
      <c r="BQ386">
        <f>IF(AND(CROQUIS!$C$88=1,CROQUIS!$C$91=0,CROQUIS!$C$138&gt;0,OR(CROQUIS!$C$105=1,CROQUIS!$C$143=1)),((CROQUIS!$C$157+(IF(CROQUIS!$C$92="X",CHOOSE(IF(INT(($A386-1)/5)&gt;MAX((MIN(80,MAX(1,INT(((CROQUIS!$C$97)-CROQUIS!$C$107)/MAX(CROQUIS!$C$138,1))+1)))-1,0),0,MOD($A386-1,5))+1,0,IF(CROQUIS!$C$105=1,-12,2),CROQUIS!$C$107/2+CROQUIS!$C$141,IF(CROQUIS!$C$105=1,-12,2),0),((CROQUIS!$C$107/2+(((CROQUIS!$C$97)-CROQUIS!$C$107)-(MIN(80,MAX(1,INT(((CROQUIS!$C$97)-CROQUIS!$C$107)/MAX(CROQUIS!$C$138,1))+1))-1)*CROQUIS!$C$138)/2)+MIN(INT(($A386-1)/5),MAX((MIN(80,MAX(1,INT(((CROQUIS!$C$97)-CROQUIS!$C$107)/MAX(CROQUIS!$C$138,1))+1)))-1,0))*CROQUIS!$C$138)))*CROQUIS!$C$155)+IF(CROQUIS!$C$92="X",0,0)),-1000)</f>
        <v>-1000</v>
      </c>
      <c r="BR38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386-1)/5),MAX((MIN(80,MAX(1,INT(((CROQUIS!$C$97)-CROQUIS!$C$107)/MAX(CROQUIS!$C$138,1))+1)))-1,0))*CROQUIS!$C$138),CHOOSE(IF(INT(($A386-1)/5)&gt;MAX((MIN(80,MAX(1,INT(((CROQUIS!$C$97)-CROQUIS!$C$107)/MAX(CROQUIS!$C$138,1))+1)))-1,0),0,MOD($A386-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86">
        <f>IF(AND(CROQUIS!$C$88=1,CROQUIS!$C$91=0,CROQUIS!$C$138&gt;0,OR(CROQUIS!$C$106=1,CROQUIS!$C$143=1)),((CROQUIS!$C$157+(IF(CROQUIS!$C$92="X",CHOOSE(IF(INT(($A386-1)/5)&gt;MAX((MIN(80,MAX(1,INT(((CROQUIS!$C$97)-CROQUIS!$C$107)/MAX(CROQUIS!$C$138,1))+1)))-1,0),0,MOD($A386-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386-1)/5),MAX((MIN(80,MAX(1,INT(((CROQUIS!$C$97)-CROQUIS!$C$107)/MAX(CROQUIS!$C$138,1))+1)))-1,0))*CROQUIS!$C$138)))*CROQUIS!$C$155)+IF(CROQUIS!$C$92="X",0,0)),-1000)</f>
        <v>-1000</v>
      </c>
      <c r="BT386">
        <f>IF(AND(CROQUIS!$C$88=1,CROQUIS!$C$91=1,CROQUIS!$C$130&gt;0),((CROQUIS!$C$156+(IF(CROQUIS!$C$92="X",CHOOSE(IF(INT(($A386-1)/5)&gt;MAX((MIN(80,MAX(1,INT(((CROQUIS!$C$98)-CROQUIS!$C$107)/MAX(CROQUIS!$C$130,1))+1)))-1,0),0,MOD($A386-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386-1)/5),MAX((MIN(80,MAX(1,INT(((CROQUIS!$C$98)-CROQUIS!$C$107)/MAX(CROQUIS!$C$130,1))+1)))-1,0))*CROQUIS!$C$130)))*CROQUIS!$C$155)+IF(CROQUIS!$C$92="X",0,0)),-1000)</f>
        <v>-1000</v>
      </c>
      <c r="BU386">
        <f>IF(AND(CROQUIS!$C$88=1,CROQUIS!$C$91=1,CROQUIS!$C$130&gt;0),((CROQUIS!$C$157+(IF(CROQUIS!$C$92="X",((CROQUIS!$C$107/2+(((CROQUIS!$C$98)-CROQUIS!$C$107)-(MIN(80,MAX(1,INT(((CROQUIS!$C$98)-CROQUIS!$C$107)/MAX(CROQUIS!$C$130,1))+1))-1)*CROQUIS!$C$130)/2)+MIN(INT(($A386-1)/5),MAX((MIN(80,MAX(1,INT(((CROQUIS!$C$98)-CROQUIS!$C$107)/MAX(CROQUIS!$C$130,1))+1)))-1,0))*CROQUIS!$C$130),CHOOSE(IF(INT(($A386-1)/5)&gt;MAX((MIN(80,MAX(1,INT(((CROQUIS!$C$98)-CROQUIS!$C$107)/MAX(CROQUIS!$C$130,1))+1)))-1,0),0,MOD($A386-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87">
      <c r="A387" t="n">
        <v>380</v>
      </c>
      <c r="BH387">
        <f>IF(AND(CROQUIS!$C$88=1,CROQUIS!$C$126&gt;0),((CROQUIS!$C$156+(IF(CROQUIS!$C$92="X",CHOOSE(IF(INT(($A387-1)/5)&gt;MAX((MIN(80,MAX(1,INT(((CROQUIS!$C$98)-CROQUIS!$C$107)/MAX(CROQUIS!$C$126,1))+1)))-1,0),0,MOD($A387-1,5))+1,0,2,CROQUIS!$C$97-2,2,0),((CROQUIS!$C$107/2+(((CROQUIS!$C$98)-CROQUIS!$C$107)-(MIN(80,MAX(1,INT(((CROQUIS!$C$98)-CROQUIS!$C$107)/MAX(CROQUIS!$C$126,1))+1))-1)*CROQUIS!$C$126)/2)+MIN(INT(($A387-1)/5),MAX((MIN(80,MAX(1,INT(((CROQUIS!$C$98)-CROQUIS!$C$107)/MAX(CROQUIS!$C$126,1))+1)))-1,0))*CROQUIS!$C$126)))*CROQUIS!$C$155)+IF(CROQUIS!$C$92="X",0,0)),-1000)</f>
        <v>-1000</v>
      </c>
      <c r="BI387">
        <f>IF(AND(CROQUIS!$C$88=1,CROQUIS!$C$126&gt;0),((CROQUIS!$C$157+(IF(CROQUIS!$C$92="X",((CROQUIS!$C$107/2+(((CROQUIS!$C$98)-CROQUIS!$C$107)-(MIN(80,MAX(1,INT(((CROQUIS!$C$98)-CROQUIS!$C$107)/MAX(CROQUIS!$C$126,1))+1))-1)*CROQUIS!$C$126)/2)+MIN(INT(($A387-1)/5),MAX((MIN(80,MAX(1,INT(((CROQUIS!$C$98)-CROQUIS!$C$107)/MAX(CROQUIS!$C$126,1))+1)))-1,0))*CROQUIS!$C$126),CHOOSE(IF(INT(($A387-1)/5)&gt;MAX((MIN(80,MAX(1,INT(((CROQUIS!$C$98)-CROQUIS!$C$107)/MAX(CROQUIS!$C$126,1))+1)))-1,0),0,MOD($A387-1,5))+1,0,2,CROQUIS!$C$97-2,2,0)))*CROQUIS!$C$155)+IF(CROQUIS!$C$92="X",0,0)),-1000)</f>
        <v>-1000</v>
      </c>
      <c r="BJ387">
        <f>IF(AND(CROQUIS!$C$88=1,CROQUIS!$C$134&gt;0),((CROQUIS!$C$156+(IF(CROQUIS!$C$92="X",((CROQUIS!$C$107/2+(((CROQUIS!$C$97)-CROQUIS!$C$107)-(MIN(80,MAX(1,INT(((CROQUIS!$C$97)-CROQUIS!$C$107)/MAX(CROQUIS!$C$134,1))+1))-1)*CROQUIS!$C$134)/2)+MIN(INT(($A387-1)/5),MAX((MIN(80,MAX(1,INT(((CROQUIS!$C$97)-CROQUIS!$C$107)/MAX(CROQUIS!$C$134,1))+1)))-1,0))*CROQUIS!$C$134),CHOOSE(IF(INT(($A387-1)/5)&gt;MAX((MIN(80,MAX(1,INT(((CROQUIS!$C$97)-CROQUIS!$C$107)/MAX(CROQUIS!$C$134,1))+1)))-1,0),0,MOD($A387-1,5))+1,0,2,CROQUIS!$C$98-2,2,0)))*CROQUIS!$C$155)+IF(CROQUIS!$C$92="X",0,0)),-1000)</f>
        <v>-1000</v>
      </c>
      <c r="BK387">
        <f>IF(AND(CROQUIS!$C$88=1,CROQUIS!$C$134&gt;0),((CROQUIS!$C$157+(IF(CROQUIS!$C$92="X",CHOOSE(IF(INT(($A387-1)/5)&gt;MAX((MIN(80,MAX(1,INT(((CROQUIS!$C$97)-CROQUIS!$C$107)/MAX(CROQUIS!$C$134,1))+1)))-1,0),0,MOD($A387-1,5))+1,0,2,CROQUIS!$C$98-2,2,0),((CROQUIS!$C$107/2+(((CROQUIS!$C$97)-CROQUIS!$C$107)-(MIN(80,MAX(1,INT(((CROQUIS!$C$97)-CROQUIS!$C$107)/MAX(CROQUIS!$C$134,1))+1))-1)*CROQUIS!$C$134)/2)+MIN(INT(($A387-1)/5),MAX((MIN(80,MAX(1,INT(((CROQUIS!$C$97)-CROQUIS!$C$107)/MAX(CROQUIS!$C$134,1))+1)))-1,0))*CROQUIS!$C$134)))*CROQUIS!$C$155)+IF(CROQUIS!$C$92="X",0,0)),-1000)</f>
        <v>-1000</v>
      </c>
      <c r="BL387">
        <f>IF(AND(CROQUIS!$C$88=1,CROQUIS!$C$91=0,CROQUIS!$C$130&gt;0,OR(CROQUIS!$C$103=1,CROQUIS!$C$142=1)),((CROQUIS!$C$156+(IF(CROQUIS!$C$92="X",CHOOSE(IF(INT(($A387-1)/5)&gt;MAX((MIN(80,MAX(1,INT(((CROQUIS!$C$98)-CROQUIS!$C$107)/MAX(CROQUIS!$C$130,1))+1)))-1,0),0,MOD($A387-1,5))+1,0,IF(CROQUIS!$C$103=1,-12,2),CROQUIS!$C$107/2+CROQUIS!$C$140,IF(CROQUIS!$C$103=1,-12,2),0),((CROQUIS!$C$107/2+(((CROQUIS!$C$98)-CROQUIS!$C$107)-(MIN(80,MAX(1,INT(((CROQUIS!$C$98)-CROQUIS!$C$107)/MAX(CROQUIS!$C$130,1))+1))-1)*CROQUIS!$C$130)/2)+MIN(INT(($A387-1)/5),MAX((MIN(80,MAX(1,INT(((CROQUIS!$C$98)-CROQUIS!$C$107)/MAX(CROQUIS!$C$130,1))+1)))-1,0))*CROQUIS!$C$130)))*CROQUIS!$C$155)+IF(CROQUIS!$C$92="X",0,0)),-1000)</f>
        <v>-1000</v>
      </c>
      <c r="BM38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387-1)/5),MAX((MIN(80,MAX(1,INT(((CROQUIS!$C$98)-CROQUIS!$C$107)/MAX(CROQUIS!$C$130,1))+1)))-1,0))*CROQUIS!$C$130),CHOOSE(IF(INT(($A387-1)/5)&gt;MAX((MIN(80,MAX(1,INT(((CROQUIS!$C$98)-CROQUIS!$C$107)/MAX(CROQUIS!$C$130,1))+1)))-1,0),0,MOD($A387-1,5))+1,0,IF(CROQUIS!$C$103=1,-12,2),CROQUIS!$C$107/2+CROQUIS!$C$140,IF(CROQUIS!$C$103=1,-12,2),0)))*CROQUIS!$C$155)+IF(CROQUIS!$C$92="X",0,0)),-1000)</f>
        <v>-1000</v>
      </c>
      <c r="BN387">
        <f>IF(AND(CROQUIS!$C$88=1,CROQUIS!$C$91=0,CROQUIS!$C$130&gt;0,OR(CROQUIS!$C$104=1,CROQUIS!$C$142=1)),((CROQUIS!$C$156+(IF(CROQUIS!$C$92="X",CHOOSE(IF(INT(($A387-1)/5)&gt;MAX((MIN(80,MAX(1,INT(((CROQUIS!$C$98)-CROQUIS!$C$107)/MAX(CROQUIS!$C$130,1))+1)))-1,0),0,MOD($A387-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387-1)/5),MAX((MIN(80,MAX(1,INT(((CROQUIS!$C$98)-CROQUIS!$C$107)/MAX(CROQUIS!$C$130,1))+1)))-1,0))*CROQUIS!$C$130)))*CROQUIS!$C$155)+IF(CROQUIS!$C$92="X",0,0)),-1000)</f>
        <v>-1000</v>
      </c>
      <c r="BO38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387-1)/5),MAX((MIN(80,MAX(1,INT(((CROQUIS!$C$98)-CROQUIS!$C$107)/MAX(CROQUIS!$C$130,1))+1)))-1,0))*CROQUIS!$C$130),CHOOSE(IF(INT(($A387-1)/5)&gt;MAX((MIN(80,MAX(1,INT(((CROQUIS!$C$98)-CROQUIS!$C$107)/MAX(CROQUIS!$C$130,1))+1)))-1,0),0,MOD($A387-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8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387-1)/5),MAX((MIN(80,MAX(1,INT(((CROQUIS!$C$97)-CROQUIS!$C$107)/MAX(CROQUIS!$C$138,1))+1)))-1,0))*CROQUIS!$C$138),CHOOSE(IF(INT(($A387-1)/5)&gt;MAX((MIN(80,MAX(1,INT(((CROQUIS!$C$97)-CROQUIS!$C$107)/MAX(CROQUIS!$C$138,1))+1)))-1,0),0,MOD($A387-1,5))+1,0,IF(CROQUIS!$C$105=1,-12,2),CROQUIS!$C$107/2+CROQUIS!$C$141,IF(CROQUIS!$C$105=1,-12,2),0)))*CROQUIS!$C$155)+IF(CROQUIS!$C$92="X",0,0)),-1000)</f>
        <v>-1000</v>
      </c>
      <c r="BQ387">
        <f>IF(AND(CROQUIS!$C$88=1,CROQUIS!$C$91=0,CROQUIS!$C$138&gt;0,OR(CROQUIS!$C$105=1,CROQUIS!$C$143=1)),((CROQUIS!$C$157+(IF(CROQUIS!$C$92="X",CHOOSE(IF(INT(($A387-1)/5)&gt;MAX((MIN(80,MAX(1,INT(((CROQUIS!$C$97)-CROQUIS!$C$107)/MAX(CROQUIS!$C$138,1))+1)))-1,0),0,MOD($A387-1,5))+1,0,IF(CROQUIS!$C$105=1,-12,2),CROQUIS!$C$107/2+CROQUIS!$C$141,IF(CROQUIS!$C$105=1,-12,2),0),((CROQUIS!$C$107/2+(((CROQUIS!$C$97)-CROQUIS!$C$107)-(MIN(80,MAX(1,INT(((CROQUIS!$C$97)-CROQUIS!$C$107)/MAX(CROQUIS!$C$138,1))+1))-1)*CROQUIS!$C$138)/2)+MIN(INT(($A387-1)/5),MAX((MIN(80,MAX(1,INT(((CROQUIS!$C$97)-CROQUIS!$C$107)/MAX(CROQUIS!$C$138,1))+1)))-1,0))*CROQUIS!$C$138)))*CROQUIS!$C$155)+IF(CROQUIS!$C$92="X",0,0)),-1000)</f>
        <v>-1000</v>
      </c>
      <c r="BR38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387-1)/5),MAX((MIN(80,MAX(1,INT(((CROQUIS!$C$97)-CROQUIS!$C$107)/MAX(CROQUIS!$C$138,1))+1)))-1,0))*CROQUIS!$C$138),CHOOSE(IF(INT(($A387-1)/5)&gt;MAX((MIN(80,MAX(1,INT(((CROQUIS!$C$97)-CROQUIS!$C$107)/MAX(CROQUIS!$C$138,1))+1)))-1,0),0,MOD($A387-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87">
        <f>IF(AND(CROQUIS!$C$88=1,CROQUIS!$C$91=0,CROQUIS!$C$138&gt;0,OR(CROQUIS!$C$106=1,CROQUIS!$C$143=1)),((CROQUIS!$C$157+(IF(CROQUIS!$C$92="X",CHOOSE(IF(INT(($A387-1)/5)&gt;MAX((MIN(80,MAX(1,INT(((CROQUIS!$C$97)-CROQUIS!$C$107)/MAX(CROQUIS!$C$138,1))+1)))-1,0),0,MOD($A387-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387-1)/5),MAX((MIN(80,MAX(1,INT(((CROQUIS!$C$97)-CROQUIS!$C$107)/MAX(CROQUIS!$C$138,1))+1)))-1,0))*CROQUIS!$C$138)))*CROQUIS!$C$155)+IF(CROQUIS!$C$92="X",0,0)),-1000)</f>
        <v>-1000</v>
      </c>
      <c r="BT387">
        <f>IF(AND(CROQUIS!$C$88=1,CROQUIS!$C$91=1,CROQUIS!$C$130&gt;0),((CROQUIS!$C$156+(IF(CROQUIS!$C$92="X",CHOOSE(IF(INT(($A387-1)/5)&gt;MAX((MIN(80,MAX(1,INT(((CROQUIS!$C$98)-CROQUIS!$C$107)/MAX(CROQUIS!$C$130,1))+1)))-1,0),0,MOD($A387-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387-1)/5),MAX((MIN(80,MAX(1,INT(((CROQUIS!$C$98)-CROQUIS!$C$107)/MAX(CROQUIS!$C$130,1))+1)))-1,0))*CROQUIS!$C$130)))*CROQUIS!$C$155)+IF(CROQUIS!$C$92="X",0,0)),-1000)</f>
        <v>-1000</v>
      </c>
      <c r="BU387">
        <f>IF(AND(CROQUIS!$C$88=1,CROQUIS!$C$91=1,CROQUIS!$C$130&gt;0),((CROQUIS!$C$157+(IF(CROQUIS!$C$92="X",((CROQUIS!$C$107/2+(((CROQUIS!$C$98)-CROQUIS!$C$107)-(MIN(80,MAX(1,INT(((CROQUIS!$C$98)-CROQUIS!$C$107)/MAX(CROQUIS!$C$130,1))+1))-1)*CROQUIS!$C$130)/2)+MIN(INT(($A387-1)/5),MAX((MIN(80,MAX(1,INT(((CROQUIS!$C$98)-CROQUIS!$C$107)/MAX(CROQUIS!$C$130,1))+1)))-1,0))*CROQUIS!$C$130),CHOOSE(IF(INT(($A387-1)/5)&gt;MAX((MIN(80,MAX(1,INT(((CROQUIS!$C$98)-CROQUIS!$C$107)/MAX(CROQUIS!$C$130,1))+1)))-1,0),0,MOD($A387-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88">
      <c r="A388" t="n">
        <v>381</v>
      </c>
      <c r="BH388">
        <f>IF(AND(CROQUIS!$C$88=1,CROQUIS!$C$126&gt;0),((CROQUIS!$C$156+(IF(CROQUIS!$C$92="X",CHOOSE(IF(INT(($A388-1)/5)&gt;MAX((MIN(80,MAX(1,INT(((CROQUIS!$C$98)-CROQUIS!$C$107)/MAX(CROQUIS!$C$126,1))+1)))-1,0),0,MOD($A388-1,5))+1,0,2,CROQUIS!$C$97-2,2,0),((CROQUIS!$C$107/2+(((CROQUIS!$C$98)-CROQUIS!$C$107)-(MIN(80,MAX(1,INT(((CROQUIS!$C$98)-CROQUIS!$C$107)/MAX(CROQUIS!$C$126,1))+1))-1)*CROQUIS!$C$126)/2)+MIN(INT(($A388-1)/5),MAX((MIN(80,MAX(1,INT(((CROQUIS!$C$98)-CROQUIS!$C$107)/MAX(CROQUIS!$C$126,1))+1)))-1,0))*CROQUIS!$C$126)))*CROQUIS!$C$155)+IF(CROQUIS!$C$92="X",0,0)),-1000)</f>
        <v>-1000</v>
      </c>
      <c r="BI388">
        <f>IF(AND(CROQUIS!$C$88=1,CROQUIS!$C$126&gt;0),((CROQUIS!$C$157+(IF(CROQUIS!$C$92="X",((CROQUIS!$C$107/2+(((CROQUIS!$C$98)-CROQUIS!$C$107)-(MIN(80,MAX(1,INT(((CROQUIS!$C$98)-CROQUIS!$C$107)/MAX(CROQUIS!$C$126,1))+1))-1)*CROQUIS!$C$126)/2)+MIN(INT(($A388-1)/5),MAX((MIN(80,MAX(1,INT(((CROQUIS!$C$98)-CROQUIS!$C$107)/MAX(CROQUIS!$C$126,1))+1)))-1,0))*CROQUIS!$C$126),CHOOSE(IF(INT(($A388-1)/5)&gt;MAX((MIN(80,MAX(1,INT(((CROQUIS!$C$98)-CROQUIS!$C$107)/MAX(CROQUIS!$C$126,1))+1)))-1,0),0,MOD($A388-1,5))+1,0,2,CROQUIS!$C$97-2,2,0)))*CROQUIS!$C$155)+IF(CROQUIS!$C$92="X",0,0)),-1000)</f>
        <v>-1000</v>
      </c>
      <c r="BJ388">
        <f>IF(AND(CROQUIS!$C$88=1,CROQUIS!$C$134&gt;0),((CROQUIS!$C$156+(IF(CROQUIS!$C$92="X",((CROQUIS!$C$107/2+(((CROQUIS!$C$97)-CROQUIS!$C$107)-(MIN(80,MAX(1,INT(((CROQUIS!$C$97)-CROQUIS!$C$107)/MAX(CROQUIS!$C$134,1))+1))-1)*CROQUIS!$C$134)/2)+MIN(INT(($A388-1)/5),MAX((MIN(80,MAX(1,INT(((CROQUIS!$C$97)-CROQUIS!$C$107)/MAX(CROQUIS!$C$134,1))+1)))-1,0))*CROQUIS!$C$134),CHOOSE(IF(INT(($A388-1)/5)&gt;MAX((MIN(80,MAX(1,INT(((CROQUIS!$C$97)-CROQUIS!$C$107)/MAX(CROQUIS!$C$134,1))+1)))-1,0),0,MOD($A388-1,5))+1,0,2,CROQUIS!$C$98-2,2,0)))*CROQUIS!$C$155)+IF(CROQUIS!$C$92="X",0,0)),-1000)</f>
        <v>-1000</v>
      </c>
      <c r="BK388">
        <f>IF(AND(CROQUIS!$C$88=1,CROQUIS!$C$134&gt;0),((CROQUIS!$C$157+(IF(CROQUIS!$C$92="X",CHOOSE(IF(INT(($A388-1)/5)&gt;MAX((MIN(80,MAX(1,INT(((CROQUIS!$C$97)-CROQUIS!$C$107)/MAX(CROQUIS!$C$134,1))+1)))-1,0),0,MOD($A388-1,5))+1,0,2,CROQUIS!$C$98-2,2,0),((CROQUIS!$C$107/2+(((CROQUIS!$C$97)-CROQUIS!$C$107)-(MIN(80,MAX(1,INT(((CROQUIS!$C$97)-CROQUIS!$C$107)/MAX(CROQUIS!$C$134,1))+1))-1)*CROQUIS!$C$134)/2)+MIN(INT(($A388-1)/5),MAX((MIN(80,MAX(1,INT(((CROQUIS!$C$97)-CROQUIS!$C$107)/MAX(CROQUIS!$C$134,1))+1)))-1,0))*CROQUIS!$C$134)))*CROQUIS!$C$155)+IF(CROQUIS!$C$92="X",0,0)),-1000)</f>
        <v>-1000</v>
      </c>
      <c r="BL388">
        <f>IF(AND(CROQUIS!$C$88=1,CROQUIS!$C$91=0,CROQUIS!$C$130&gt;0,OR(CROQUIS!$C$103=1,CROQUIS!$C$142=1)),((CROQUIS!$C$156+(IF(CROQUIS!$C$92="X",CHOOSE(IF(INT(($A388-1)/5)&gt;MAX((MIN(80,MAX(1,INT(((CROQUIS!$C$98)-CROQUIS!$C$107)/MAX(CROQUIS!$C$130,1))+1)))-1,0),0,MOD($A388-1,5))+1,0,IF(CROQUIS!$C$103=1,-12,2),CROQUIS!$C$107/2+CROQUIS!$C$140,IF(CROQUIS!$C$103=1,-12,2),0),((CROQUIS!$C$107/2+(((CROQUIS!$C$98)-CROQUIS!$C$107)-(MIN(80,MAX(1,INT(((CROQUIS!$C$98)-CROQUIS!$C$107)/MAX(CROQUIS!$C$130,1))+1))-1)*CROQUIS!$C$130)/2)+MIN(INT(($A388-1)/5),MAX((MIN(80,MAX(1,INT(((CROQUIS!$C$98)-CROQUIS!$C$107)/MAX(CROQUIS!$C$130,1))+1)))-1,0))*CROQUIS!$C$130)))*CROQUIS!$C$155)+IF(CROQUIS!$C$92="X",0,0)),-1000)</f>
        <v>-1000</v>
      </c>
      <c r="BM38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388-1)/5),MAX((MIN(80,MAX(1,INT(((CROQUIS!$C$98)-CROQUIS!$C$107)/MAX(CROQUIS!$C$130,1))+1)))-1,0))*CROQUIS!$C$130),CHOOSE(IF(INT(($A388-1)/5)&gt;MAX((MIN(80,MAX(1,INT(((CROQUIS!$C$98)-CROQUIS!$C$107)/MAX(CROQUIS!$C$130,1))+1)))-1,0),0,MOD($A388-1,5))+1,0,IF(CROQUIS!$C$103=1,-12,2),CROQUIS!$C$107/2+CROQUIS!$C$140,IF(CROQUIS!$C$103=1,-12,2),0)))*CROQUIS!$C$155)+IF(CROQUIS!$C$92="X",0,0)),-1000)</f>
        <v>-1000</v>
      </c>
      <c r="BN388">
        <f>IF(AND(CROQUIS!$C$88=1,CROQUIS!$C$91=0,CROQUIS!$C$130&gt;0,OR(CROQUIS!$C$104=1,CROQUIS!$C$142=1)),((CROQUIS!$C$156+(IF(CROQUIS!$C$92="X",CHOOSE(IF(INT(($A388-1)/5)&gt;MAX((MIN(80,MAX(1,INT(((CROQUIS!$C$98)-CROQUIS!$C$107)/MAX(CROQUIS!$C$130,1))+1)))-1,0),0,MOD($A388-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388-1)/5),MAX((MIN(80,MAX(1,INT(((CROQUIS!$C$98)-CROQUIS!$C$107)/MAX(CROQUIS!$C$130,1))+1)))-1,0))*CROQUIS!$C$130)))*CROQUIS!$C$155)+IF(CROQUIS!$C$92="X",0,0)),-1000)</f>
        <v>-1000</v>
      </c>
      <c r="BO38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388-1)/5),MAX((MIN(80,MAX(1,INT(((CROQUIS!$C$98)-CROQUIS!$C$107)/MAX(CROQUIS!$C$130,1))+1)))-1,0))*CROQUIS!$C$130),CHOOSE(IF(INT(($A388-1)/5)&gt;MAX((MIN(80,MAX(1,INT(((CROQUIS!$C$98)-CROQUIS!$C$107)/MAX(CROQUIS!$C$130,1))+1)))-1,0),0,MOD($A388-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8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388-1)/5),MAX((MIN(80,MAX(1,INT(((CROQUIS!$C$97)-CROQUIS!$C$107)/MAX(CROQUIS!$C$138,1))+1)))-1,0))*CROQUIS!$C$138),CHOOSE(IF(INT(($A388-1)/5)&gt;MAX((MIN(80,MAX(1,INT(((CROQUIS!$C$97)-CROQUIS!$C$107)/MAX(CROQUIS!$C$138,1))+1)))-1,0),0,MOD($A388-1,5))+1,0,IF(CROQUIS!$C$105=1,-12,2),CROQUIS!$C$107/2+CROQUIS!$C$141,IF(CROQUIS!$C$105=1,-12,2),0)))*CROQUIS!$C$155)+IF(CROQUIS!$C$92="X",0,0)),-1000)</f>
        <v>-1000</v>
      </c>
      <c r="BQ388">
        <f>IF(AND(CROQUIS!$C$88=1,CROQUIS!$C$91=0,CROQUIS!$C$138&gt;0,OR(CROQUIS!$C$105=1,CROQUIS!$C$143=1)),((CROQUIS!$C$157+(IF(CROQUIS!$C$92="X",CHOOSE(IF(INT(($A388-1)/5)&gt;MAX((MIN(80,MAX(1,INT(((CROQUIS!$C$97)-CROQUIS!$C$107)/MAX(CROQUIS!$C$138,1))+1)))-1,0),0,MOD($A388-1,5))+1,0,IF(CROQUIS!$C$105=1,-12,2),CROQUIS!$C$107/2+CROQUIS!$C$141,IF(CROQUIS!$C$105=1,-12,2),0),((CROQUIS!$C$107/2+(((CROQUIS!$C$97)-CROQUIS!$C$107)-(MIN(80,MAX(1,INT(((CROQUIS!$C$97)-CROQUIS!$C$107)/MAX(CROQUIS!$C$138,1))+1))-1)*CROQUIS!$C$138)/2)+MIN(INT(($A388-1)/5),MAX((MIN(80,MAX(1,INT(((CROQUIS!$C$97)-CROQUIS!$C$107)/MAX(CROQUIS!$C$138,1))+1)))-1,0))*CROQUIS!$C$138)))*CROQUIS!$C$155)+IF(CROQUIS!$C$92="X",0,0)),-1000)</f>
        <v>-1000</v>
      </c>
      <c r="BR38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388-1)/5),MAX((MIN(80,MAX(1,INT(((CROQUIS!$C$97)-CROQUIS!$C$107)/MAX(CROQUIS!$C$138,1))+1)))-1,0))*CROQUIS!$C$138),CHOOSE(IF(INT(($A388-1)/5)&gt;MAX((MIN(80,MAX(1,INT(((CROQUIS!$C$97)-CROQUIS!$C$107)/MAX(CROQUIS!$C$138,1))+1)))-1,0),0,MOD($A388-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88">
        <f>IF(AND(CROQUIS!$C$88=1,CROQUIS!$C$91=0,CROQUIS!$C$138&gt;0,OR(CROQUIS!$C$106=1,CROQUIS!$C$143=1)),((CROQUIS!$C$157+(IF(CROQUIS!$C$92="X",CHOOSE(IF(INT(($A388-1)/5)&gt;MAX((MIN(80,MAX(1,INT(((CROQUIS!$C$97)-CROQUIS!$C$107)/MAX(CROQUIS!$C$138,1))+1)))-1,0),0,MOD($A388-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388-1)/5),MAX((MIN(80,MAX(1,INT(((CROQUIS!$C$97)-CROQUIS!$C$107)/MAX(CROQUIS!$C$138,1))+1)))-1,0))*CROQUIS!$C$138)))*CROQUIS!$C$155)+IF(CROQUIS!$C$92="X",0,0)),-1000)</f>
        <v>-1000</v>
      </c>
      <c r="BT388">
        <f>IF(AND(CROQUIS!$C$88=1,CROQUIS!$C$91=1,CROQUIS!$C$130&gt;0),((CROQUIS!$C$156+(IF(CROQUIS!$C$92="X",CHOOSE(IF(INT(($A388-1)/5)&gt;MAX((MIN(80,MAX(1,INT(((CROQUIS!$C$98)-CROQUIS!$C$107)/MAX(CROQUIS!$C$130,1))+1)))-1,0),0,MOD($A388-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388-1)/5),MAX((MIN(80,MAX(1,INT(((CROQUIS!$C$98)-CROQUIS!$C$107)/MAX(CROQUIS!$C$130,1))+1)))-1,0))*CROQUIS!$C$130)))*CROQUIS!$C$155)+IF(CROQUIS!$C$92="X",0,0)),-1000)</f>
        <v>-1000</v>
      </c>
      <c r="BU388">
        <f>IF(AND(CROQUIS!$C$88=1,CROQUIS!$C$91=1,CROQUIS!$C$130&gt;0),((CROQUIS!$C$157+(IF(CROQUIS!$C$92="X",((CROQUIS!$C$107/2+(((CROQUIS!$C$98)-CROQUIS!$C$107)-(MIN(80,MAX(1,INT(((CROQUIS!$C$98)-CROQUIS!$C$107)/MAX(CROQUIS!$C$130,1))+1))-1)*CROQUIS!$C$130)/2)+MIN(INT(($A388-1)/5),MAX((MIN(80,MAX(1,INT(((CROQUIS!$C$98)-CROQUIS!$C$107)/MAX(CROQUIS!$C$130,1))+1)))-1,0))*CROQUIS!$C$130),CHOOSE(IF(INT(($A388-1)/5)&gt;MAX((MIN(80,MAX(1,INT(((CROQUIS!$C$98)-CROQUIS!$C$107)/MAX(CROQUIS!$C$130,1))+1)))-1,0),0,MOD($A388-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89">
      <c r="A389" t="n">
        <v>382</v>
      </c>
      <c r="BH389">
        <f>IF(AND(CROQUIS!$C$88=1,CROQUIS!$C$126&gt;0),((CROQUIS!$C$156+(IF(CROQUIS!$C$92="X",CHOOSE(IF(INT(($A389-1)/5)&gt;MAX((MIN(80,MAX(1,INT(((CROQUIS!$C$98)-CROQUIS!$C$107)/MAX(CROQUIS!$C$126,1))+1)))-1,0),0,MOD($A389-1,5))+1,0,2,CROQUIS!$C$97-2,2,0),((CROQUIS!$C$107/2+(((CROQUIS!$C$98)-CROQUIS!$C$107)-(MIN(80,MAX(1,INT(((CROQUIS!$C$98)-CROQUIS!$C$107)/MAX(CROQUIS!$C$126,1))+1))-1)*CROQUIS!$C$126)/2)+MIN(INT(($A389-1)/5),MAX((MIN(80,MAX(1,INT(((CROQUIS!$C$98)-CROQUIS!$C$107)/MAX(CROQUIS!$C$126,1))+1)))-1,0))*CROQUIS!$C$126)))*CROQUIS!$C$155)+IF(CROQUIS!$C$92="X",0,0)),-1000)</f>
        <v>-1000</v>
      </c>
      <c r="BI389">
        <f>IF(AND(CROQUIS!$C$88=1,CROQUIS!$C$126&gt;0),((CROQUIS!$C$157+(IF(CROQUIS!$C$92="X",((CROQUIS!$C$107/2+(((CROQUIS!$C$98)-CROQUIS!$C$107)-(MIN(80,MAX(1,INT(((CROQUIS!$C$98)-CROQUIS!$C$107)/MAX(CROQUIS!$C$126,1))+1))-1)*CROQUIS!$C$126)/2)+MIN(INT(($A389-1)/5),MAX((MIN(80,MAX(1,INT(((CROQUIS!$C$98)-CROQUIS!$C$107)/MAX(CROQUIS!$C$126,1))+1)))-1,0))*CROQUIS!$C$126),CHOOSE(IF(INT(($A389-1)/5)&gt;MAX((MIN(80,MAX(1,INT(((CROQUIS!$C$98)-CROQUIS!$C$107)/MAX(CROQUIS!$C$126,1))+1)))-1,0),0,MOD($A389-1,5))+1,0,2,CROQUIS!$C$97-2,2,0)))*CROQUIS!$C$155)+IF(CROQUIS!$C$92="X",0,0)),-1000)</f>
        <v>-1000</v>
      </c>
      <c r="BJ389">
        <f>IF(AND(CROQUIS!$C$88=1,CROQUIS!$C$134&gt;0),((CROQUIS!$C$156+(IF(CROQUIS!$C$92="X",((CROQUIS!$C$107/2+(((CROQUIS!$C$97)-CROQUIS!$C$107)-(MIN(80,MAX(1,INT(((CROQUIS!$C$97)-CROQUIS!$C$107)/MAX(CROQUIS!$C$134,1))+1))-1)*CROQUIS!$C$134)/2)+MIN(INT(($A389-1)/5),MAX((MIN(80,MAX(1,INT(((CROQUIS!$C$97)-CROQUIS!$C$107)/MAX(CROQUIS!$C$134,1))+1)))-1,0))*CROQUIS!$C$134),CHOOSE(IF(INT(($A389-1)/5)&gt;MAX((MIN(80,MAX(1,INT(((CROQUIS!$C$97)-CROQUIS!$C$107)/MAX(CROQUIS!$C$134,1))+1)))-1,0),0,MOD($A389-1,5))+1,0,2,CROQUIS!$C$98-2,2,0)))*CROQUIS!$C$155)+IF(CROQUIS!$C$92="X",0,0)),-1000)</f>
        <v>-1000</v>
      </c>
      <c r="BK389">
        <f>IF(AND(CROQUIS!$C$88=1,CROQUIS!$C$134&gt;0),((CROQUIS!$C$157+(IF(CROQUIS!$C$92="X",CHOOSE(IF(INT(($A389-1)/5)&gt;MAX((MIN(80,MAX(1,INT(((CROQUIS!$C$97)-CROQUIS!$C$107)/MAX(CROQUIS!$C$134,1))+1)))-1,0),0,MOD($A389-1,5))+1,0,2,CROQUIS!$C$98-2,2,0),((CROQUIS!$C$107/2+(((CROQUIS!$C$97)-CROQUIS!$C$107)-(MIN(80,MAX(1,INT(((CROQUIS!$C$97)-CROQUIS!$C$107)/MAX(CROQUIS!$C$134,1))+1))-1)*CROQUIS!$C$134)/2)+MIN(INT(($A389-1)/5),MAX((MIN(80,MAX(1,INT(((CROQUIS!$C$97)-CROQUIS!$C$107)/MAX(CROQUIS!$C$134,1))+1)))-1,0))*CROQUIS!$C$134)))*CROQUIS!$C$155)+IF(CROQUIS!$C$92="X",0,0)),-1000)</f>
        <v>-1000</v>
      </c>
      <c r="BL389">
        <f>IF(AND(CROQUIS!$C$88=1,CROQUIS!$C$91=0,CROQUIS!$C$130&gt;0,OR(CROQUIS!$C$103=1,CROQUIS!$C$142=1)),((CROQUIS!$C$156+(IF(CROQUIS!$C$92="X",CHOOSE(IF(INT(($A389-1)/5)&gt;MAX((MIN(80,MAX(1,INT(((CROQUIS!$C$98)-CROQUIS!$C$107)/MAX(CROQUIS!$C$130,1))+1)))-1,0),0,MOD($A389-1,5))+1,0,IF(CROQUIS!$C$103=1,-12,2),CROQUIS!$C$107/2+CROQUIS!$C$140,IF(CROQUIS!$C$103=1,-12,2),0),((CROQUIS!$C$107/2+(((CROQUIS!$C$98)-CROQUIS!$C$107)-(MIN(80,MAX(1,INT(((CROQUIS!$C$98)-CROQUIS!$C$107)/MAX(CROQUIS!$C$130,1))+1))-1)*CROQUIS!$C$130)/2)+MIN(INT(($A389-1)/5),MAX((MIN(80,MAX(1,INT(((CROQUIS!$C$98)-CROQUIS!$C$107)/MAX(CROQUIS!$C$130,1))+1)))-1,0))*CROQUIS!$C$130)))*CROQUIS!$C$155)+IF(CROQUIS!$C$92="X",0,0)),-1000)</f>
        <v>-1000</v>
      </c>
      <c r="BM38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389-1)/5),MAX((MIN(80,MAX(1,INT(((CROQUIS!$C$98)-CROQUIS!$C$107)/MAX(CROQUIS!$C$130,1))+1)))-1,0))*CROQUIS!$C$130),CHOOSE(IF(INT(($A389-1)/5)&gt;MAX((MIN(80,MAX(1,INT(((CROQUIS!$C$98)-CROQUIS!$C$107)/MAX(CROQUIS!$C$130,1))+1)))-1,0),0,MOD($A389-1,5))+1,0,IF(CROQUIS!$C$103=1,-12,2),CROQUIS!$C$107/2+CROQUIS!$C$140,IF(CROQUIS!$C$103=1,-12,2),0)))*CROQUIS!$C$155)+IF(CROQUIS!$C$92="X",0,0)),-1000)</f>
        <v>-1000</v>
      </c>
      <c r="BN389">
        <f>IF(AND(CROQUIS!$C$88=1,CROQUIS!$C$91=0,CROQUIS!$C$130&gt;0,OR(CROQUIS!$C$104=1,CROQUIS!$C$142=1)),((CROQUIS!$C$156+(IF(CROQUIS!$C$92="X",CHOOSE(IF(INT(($A389-1)/5)&gt;MAX((MIN(80,MAX(1,INT(((CROQUIS!$C$98)-CROQUIS!$C$107)/MAX(CROQUIS!$C$130,1))+1)))-1,0),0,MOD($A389-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389-1)/5),MAX((MIN(80,MAX(1,INT(((CROQUIS!$C$98)-CROQUIS!$C$107)/MAX(CROQUIS!$C$130,1))+1)))-1,0))*CROQUIS!$C$130)))*CROQUIS!$C$155)+IF(CROQUIS!$C$92="X",0,0)),-1000)</f>
        <v>-1000</v>
      </c>
      <c r="BO38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389-1)/5),MAX((MIN(80,MAX(1,INT(((CROQUIS!$C$98)-CROQUIS!$C$107)/MAX(CROQUIS!$C$130,1))+1)))-1,0))*CROQUIS!$C$130),CHOOSE(IF(INT(($A389-1)/5)&gt;MAX((MIN(80,MAX(1,INT(((CROQUIS!$C$98)-CROQUIS!$C$107)/MAX(CROQUIS!$C$130,1))+1)))-1,0),0,MOD($A389-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8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389-1)/5),MAX((MIN(80,MAX(1,INT(((CROQUIS!$C$97)-CROQUIS!$C$107)/MAX(CROQUIS!$C$138,1))+1)))-1,0))*CROQUIS!$C$138),CHOOSE(IF(INT(($A389-1)/5)&gt;MAX((MIN(80,MAX(1,INT(((CROQUIS!$C$97)-CROQUIS!$C$107)/MAX(CROQUIS!$C$138,1))+1)))-1,0),0,MOD($A389-1,5))+1,0,IF(CROQUIS!$C$105=1,-12,2),CROQUIS!$C$107/2+CROQUIS!$C$141,IF(CROQUIS!$C$105=1,-12,2),0)))*CROQUIS!$C$155)+IF(CROQUIS!$C$92="X",0,0)),-1000)</f>
        <v>-1000</v>
      </c>
      <c r="BQ389">
        <f>IF(AND(CROQUIS!$C$88=1,CROQUIS!$C$91=0,CROQUIS!$C$138&gt;0,OR(CROQUIS!$C$105=1,CROQUIS!$C$143=1)),((CROQUIS!$C$157+(IF(CROQUIS!$C$92="X",CHOOSE(IF(INT(($A389-1)/5)&gt;MAX((MIN(80,MAX(1,INT(((CROQUIS!$C$97)-CROQUIS!$C$107)/MAX(CROQUIS!$C$138,1))+1)))-1,0),0,MOD($A389-1,5))+1,0,IF(CROQUIS!$C$105=1,-12,2),CROQUIS!$C$107/2+CROQUIS!$C$141,IF(CROQUIS!$C$105=1,-12,2),0),((CROQUIS!$C$107/2+(((CROQUIS!$C$97)-CROQUIS!$C$107)-(MIN(80,MAX(1,INT(((CROQUIS!$C$97)-CROQUIS!$C$107)/MAX(CROQUIS!$C$138,1))+1))-1)*CROQUIS!$C$138)/2)+MIN(INT(($A389-1)/5),MAX((MIN(80,MAX(1,INT(((CROQUIS!$C$97)-CROQUIS!$C$107)/MAX(CROQUIS!$C$138,1))+1)))-1,0))*CROQUIS!$C$138)))*CROQUIS!$C$155)+IF(CROQUIS!$C$92="X",0,0)),-1000)</f>
        <v>-1000</v>
      </c>
      <c r="BR38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389-1)/5),MAX((MIN(80,MAX(1,INT(((CROQUIS!$C$97)-CROQUIS!$C$107)/MAX(CROQUIS!$C$138,1))+1)))-1,0))*CROQUIS!$C$138),CHOOSE(IF(INT(($A389-1)/5)&gt;MAX((MIN(80,MAX(1,INT(((CROQUIS!$C$97)-CROQUIS!$C$107)/MAX(CROQUIS!$C$138,1))+1)))-1,0),0,MOD($A389-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89">
        <f>IF(AND(CROQUIS!$C$88=1,CROQUIS!$C$91=0,CROQUIS!$C$138&gt;0,OR(CROQUIS!$C$106=1,CROQUIS!$C$143=1)),((CROQUIS!$C$157+(IF(CROQUIS!$C$92="X",CHOOSE(IF(INT(($A389-1)/5)&gt;MAX((MIN(80,MAX(1,INT(((CROQUIS!$C$97)-CROQUIS!$C$107)/MAX(CROQUIS!$C$138,1))+1)))-1,0),0,MOD($A389-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389-1)/5),MAX((MIN(80,MAX(1,INT(((CROQUIS!$C$97)-CROQUIS!$C$107)/MAX(CROQUIS!$C$138,1))+1)))-1,0))*CROQUIS!$C$138)))*CROQUIS!$C$155)+IF(CROQUIS!$C$92="X",0,0)),-1000)</f>
        <v>-1000</v>
      </c>
      <c r="BT389">
        <f>IF(AND(CROQUIS!$C$88=1,CROQUIS!$C$91=1,CROQUIS!$C$130&gt;0),((CROQUIS!$C$156+(IF(CROQUIS!$C$92="X",CHOOSE(IF(INT(($A389-1)/5)&gt;MAX((MIN(80,MAX(1,INT(((CROQUIS!$C$98)-CROQUIS!$C$107)/MAX(CROQUIS!$C$130,1))+1)))-1,0),0,MOD($A389-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389-1)/5),MAX((MIN(80,MAX(1,INT(((CROQUIS!$C$98)-CROQUIS!$C$107)/MAX(CROQUIS!$C$130,1))+1)))-1,0))*CROQUIS!$C$130)))*CROQUIS!$C$155)+IF(CROQUIS!$C$92="X",0,0)),-1000)</f>
        <v>-1000</v>
      </c>
      <c r="BU389">
        <f>IF(AND(CROQUIS!$C$88=1,CROQUIS!$C$91=1,CROQUIS!$C$130&gt;0),((CROQUIS!$C$157+(IF(CROQUIS!$C$92="X",((CROQUIS!$C$107/2+(((CROQUIS!$C$98)-CROQUIS!$C$107)-(MIN(80,MAX(1,INT(((CROQUIS!$C$98)-CROQUIS!$C$107)/MAX(CROQUIS!$C$130,1))+1))-1)*CROQUIS!$C$130)/2)+MIN(INT(($A389-1)/5),MAX((MIN(80,MAX(1,INT(((CROQUIS!$C$98)-CROQUIS!$C$107)/MAX(CROQUIS!$C$130,1))+1)))-1,0))*CROQUIS!$C$130),CHOOSE(IF(INT(($A389-1)/5)&gt;MAX((MIN(80,MAX(1,INT(((CROQUIS!$C$98)-CROQUIS!$C$107)/MAX(CROQUIS!$C$130,1))+1)))-1,0),0,MOD($A389-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90">
      <c r="A390" t="n">
        <v>383</v>
      </c>
      <c r="BH390">
        <f>IF(AND(CROQUIS!$C$88=1,CROQUIS!$C$126&gt;0),((CROQUIS!$C$156+(IF(CROQUIS!$C$92="X",CHOOSE(IF(INT(($A390-1)/5)&gt;MAX((MIN(80,MAX(1,INT(((CROQUIS!$C$98)-CROQUIS!$C$107)/MAX(CROQUIS!$C$126,1))+1)))-1,0),0,MOD($A390-1,5))+1,0,2,CROQUIS!$C$97-2,2,0),((CROQUIS!$C$107/2+(((CROQUIS!$C$98)-CROQUIS!$C$107)-(MIN(80,MAX(1,INT(((CROQUIS!$C$98)-CROQUIS!$C$107)/MAX(CROQUIS!$C$126,1))+1))-1)*CROQUIS!$C$126)/2)+MIN(INT(($A390-1)/5),MAX((MIN(80,MAX(1,INT(((CROQUIS!$C$98)-CROQUIS!$C$107)/MAX(CROQUIS!$C$126,1))+1)))-1,0))*CROQUIS!$C$126)))*CROQUIS!$C$155)+IF(CROQUIS!$C$92="X",0,0)),-1000)</f>
        <v>-1000</v>
      </c>
      <c r="BI390">
        <f>IF(AND(CROQUIS!$C$88=1,CROQUIS!$C$126&gt;0),((CROQUIS!$C$157+(IF(CROQUIS!$C$92="X",((CROQUIS!$C$107/2+(((CROQUIS!$C$98)-CROQUIS!$C$107)-(MIN(80,MAX(1,INT(((CROQUIS!$C$98)-CROQUIS!$C$107)/MAX(CROQUIS!$C$126,1))+1))-1)*CROQUIS!$C$126)/2)+MIN(INT(($A390-1)/5),MAX((MIN(80,MAX(1,INT(((CROQUIS!$C$98)-CROQUIS!$C$107)/MAX(CROQUIS!$C$126,1))+1)))-1,0))*CROQUIS!$C$126),CHOOSE(IF(INT(($A390-1)/5)&gt;MAX((MIN(80,MAX(1,INT(((CROQUIS!$C$98)-CROQUIS!$C$107)/MAX(CROQUIS!$C$126,1))+1)))-1,0),0,MOD($A390-1,5))+1,0,2,CROQUIS!$C$97-2,2,0)))*CROQUIS!$C$155)+IF(CROQUIS!$C$92="X",0,0)),-1000)</f>
        <v>-1000</v>
      </c>
      <c r="BJ390">
        <f>IF(AND(CROQUIS!$C$88=1,CROQUIS!$C$134&gt;0),((CROQUIS!$C$156+(IF(CROQUIS!$C$92="X",((CROQUIS!$C$107/2+(((CROQUIS!$C$97)-CROQUIS!$C$107)-(MIN(80,MAX(1,INT(((CROQUIS!$C$97)-CROQUIS!$C$107)/MAX(CROQUIS!$C$134,1))+1))-1)*CROQUIS!$C$134)/2)+MIN(INT(($A390-1)/5),MAX((MIN(80,MAX(1,INT(((CROQUIS!$C$97)-CROQUIS!$C$107)/MAX(CROQUIS!$C$134,1))+1)))-1,0))*CROQUIS!$C$134),CHOOSE(IF(INT(($A390-1)/5)&gt;MAX((MIN(80,MAX(1,INT(((CROQUIS!$C$97)-CROQUIS!$C$107)/MAX(CROQUIS!$C$134,1))+1)))-1,0),0,MOD($A390-1,5))+1,0,2,CROQUIS!$C$98-2,2,0)))*CROQUIS!$C$155)+IF(CROQUIS!$C$92="X",0,0)),-1000)</f>
        <v>-1000</v>
      </c>
      <c r="BK390">
        <f>IF(AND(CROQUIS!$C$88=1,CROQUIS!$C$134&gt;0),((CROQUIS!$C$157+(IF(CROQUIS!$C$92="X",CHOOSE(IF(INT(($A390-1)/5)&gt;MAX((MIN(80,MAX(1,INT(((CROQUIS!$C$97)-CROQUIS!$C$107)/MAX(CROQUIS!$C$134,1))+1)))-1,0),0,MOD($A390-1,5))+1,0,2,CROQUIS!$C$98-2,2,0),((CROQUIS!$C$107/2+(((CROQUIS!$C$97)-CROQUIS!$C$107)-(MIN(80,MAX(1,INT(((CROQUIS!$C$97)-CROQUIS!$C$107)/MAX(CROQUIS!$C$134,1))+1))-1)*CROQUIS!$C$134)/2)+MIN(INT(($A390-1)/5),MAX((MIN(80,MAX(1,INT(((CROQUIS!$C$97)-CROQUIS!$C$107)/MAX(CROQUIS!$C$134,1))+1)))-1,0))*CROQUIS!$C$134)))*CROQUIS!$C$155)+IF(CROQUIS!$C$92="X",0,0)),-1000)</f>
        <v>-1000</v>
      </c>
      <c r="BL390">
        <f>IF(AND(CROQUIS!$C$88=1,CROQUIS!$C$91=0,CROQUIS!$C$130&gt;0,OR(CROQUIS!$C$103=1,CROQUIS!$C$142=1)),((CROQUIS!$C$156+(IF(CROQUIS!$C$92="X",CHOOSE(IF(INT(($A390-1)/5)&gt;MAX((MIN(80,MAX(1,INT(((CROQUIS!$C$98)-CROQUIS!$C$107)/MAX(CROQUIS!$C$130,1))+1)))-1,0),0,MOD($A390-1,5))+1,0,IF(CROQUIS!$C$103=1,-12,2),CROQUIS!$C$107/2+CROQUIS!$C$140,IF(CROQUIS!$C$103=1,-12,2),0),((CROQUIS!$C$107/2+(((CROQUIS!$C$98)-CROQUIS!$C$107)-(MIN(80,MAX(1,INT(((CROQUIS!$C$98)-CROQUIS!$C$107)/MAX(CROQUIS!$C$130,1))+1))-1)*CROQUIS!$C$130)/2)+MIN(INT(($A390-1)/5),MAX((MIN(80,MAX(1,INT(((CROQUIS!$C$98)-CROQUIS!$C$107)/MAX(CROQUIS!$C$130,1))+1)))-1,0))*CROQUIS!$C$130)))*CROQUIS!$C$155)+IF(CROQUIS!$C$92="X",0,0)),-1000)</f>
        <v>-1000</v>
      </c>
      <c r="BM39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390-1)/5),MAX((MIN(80,MAX(1,INT(((CROQUIS!$C$98)-CROQUIS!$C$107)/MAX(CROQUIS!$C$130,1))+1)))-1,0))*CROQUIS!$C$130),CHOOSE(IF(INT(($A390-1)/5)&gt;MAX((MIN(80,MAX(1,INT(((CROQUIS!$C$98)-CROQUIS!$C$107)/MAX(CROQUIS!$C$130,1))+1)))-1,0),0,MOD($A390-1,5))+1,0,IF(CROQUIS!$C$103=1,-12,2),CROQUIS!$C$107/2+CROQUIS!$C$140,IF(CROQUIS!$C$103=1,-12,2),0)))*CROQUIS!$C$155)+IF(CROQUIS!$C$92="X",0,0)),-1000)</f>
        <v>-1000</v>
      </c>
      <c r="BN390">
        <f>IF(AND(CROQUIS!$C$88=1,CROQUIS!$C$91=0,CROQUIS!$C$130&gt;0,OR(CROQUIS!$C$104=1,CROQUIS!$C$142=1)),((CROQUIS!$C$156+(IF(CROQUIS!$C$92="X",CHOOSE(IF(INT(($A390-1)/5)&gt;MAX((MIN(80,MAX(1,INT(((CROQUIS!$C$98)-CROQUIS!$C$107)/MAX(CROQUIS!$C$130,1))+1)))-1,0),0,MOD($A390-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390-1)/5),MAX((MIN(80,MAX(1,INT(((CROQUIS!$C$98)-CROQUIS!$C$107)/MAX(CROQUIS!$C$130,1))+1)))-1,0))*CROQUIS!$C$130)))*CROQUIS!$C$155)+IF(CROQUIS!$C$92="X",0,0)),-1000)</f>
        <v>-1000</v>
      </c>
      <c r="BO39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390-1)/5),MAX((MIN(80,MAX(1,INT(((CROQUIS!$C$98)-CROQUIS!$C$107)/MAX(CROQUIS!$C$130,1))+1)))-1,0))*CROQUIS!$C$130),CHOOSE(IF(INT(($A390-1)/5)&gt;MAX((MIN(80,MAX(1,INT(((CROQUIS!$C$98)-CROQUIS!$C$107)/MAX(CROQUIS!$C$130,1))+1)))-1,0),0,MOD($A390-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9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390-1)/5),MAX((MIN(80,MAX(1,INT(((CROQUIS!$C$97)-CROQUIS!$C$107)/MAX(CROQUIS!$C$138,1))+1)))-1,0))*CROQUIS!$C$138),CHOOSE(IF(INT(($A390-1)/5)&gt;MAX((MIN(80,MAX(1,INT(((CROQUIS!$C$97)-CROQUIS!$C$107)/MAX(CROQUIS!$C$138,1))+1)))-1,0),0,MOD($A390-1,5))+1,0,IF(CROQUIS!$C$105=1,-12,2),CROQUIS!$C$107/2+CROQUIS!$C$141,IF(CROQUIS!$C$105=1,-12,2),0)))*CROQUIS!$C$155)+IF(CROQUIS!$C$92="X",0,0)),-1000)</f>
        <v>-1000</v>
      </c>
      <c r="BQ390">
        <f>IF(AND(CROQUIS!$C$88=1,CROQUIS!$C$91=0,CROQUIS!$C$138&gt;0,OR(CROQUIS!$C$105=1,CROQUIS!$C$143=1)),((CROQUIS!$C$157+(IF(CROQUIS!$C$92="X",CHOOSE(IF(INT(($A390-1)/5)&gt;MAX((MIN(80,MAX(1,INT(((CROQUIS!$C$97)-CROQUIS!$C$107)/MAX(CROQUIS!$C$138,1))+1)))-1,0),0,MOD($A390-1,5))+1,0,IF(CROQUIS!$C$105=1,-12,2),CROQUIS!$C$107/2+CROQUIS!$C$141,IF(CROQUIS!$C$105=1,-12,2),0),((CROQUIS!$C$107/2+(((CROQUIS!$C$97)-CROQUIS!$C$107)-(MIN(80,MAX(1,INT(((CROQUIS!$C$97)-CROQUIS!$C$107)/MAX(CROQUIS!$C$138,1))+1))-1)*CROQUIS!$C$138)/2)+MIN(INT(($A390-1)/5),MAX((MIN(80,MAX(1,INT(((CROQUIS!$C$97)-CROQUIS!$C$107)/MAX(CROQUIS!$C$138,1))+1)))-1,0))*CROQUIS!$C$138)))*CROQUIS!$C$155)+IF(CROQUIS!$C$92="X",0,0)),-1000)</f>
        <v>-1000</v>
      </c>
      <c r="BR39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390-1)/5),MAX((MIN(80,MAX(1,INT(((CROQUIS!$C$97)-CROQUIS!$C$107)/MAX(CROQUIS!$C$138,1))+1)))-1,0))*CROQUIS!$C$138),CHOOSE(IF(INT(($A390-1)/5)&gt;MAX((MIN(80,MAX(1,INT(((CROQUIS!$C$97)-CROQUIS!$C$107)/MAX(CROQUIS!$C$138,1))+1)))-1,0),0,MOD($A390-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90">
        <f>IF(AND(CROQUIS!$C$88=1,CROQUIS!$C$91=0,CROQUIS!$C$138&gt;0,OR(CROQUIS!$C$106=1,CROQUIS!$C$143=1)),((CROQUIS!$C$157+(IF(CROQUIS!$C$92="X",CHOOSE(IF(INT(($A390-1)/5)&gt;MAX((MIN(80,MAX(1,INT(((CROQUIS!$C$97)-CROQUIS!$C$107)/MAX(CROQUIS!$C$138,1))+1)))-1,0),0,MOD($A390-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390-1)/5),MAX((MIN(80,MAX(1,INT(((CROQUIS!$C$97)-CROQUIS!$C$107)/MAX(CROQUIS!$C$138,1))+1)))-1,0))*CROQUIS!$C$138)))*CROQUIS!$C$155)+IF(CROQUIS!$C$92="X",0,0)),-1000)</f>
        <v>-1000</v>
      </c>
      <c r="BT390">
        <f>IF(AND(CROQUIS!$C$88=1,CROQUIS!$C$91=1,CROQUIS!$C$130&gt;0),((CROQUIS!$C$156+(IF(CROQUIS!$C$92="X",CHOOSE(IF(INT(($A390-1)/5)&gt;MAX((MIN(80,MAX(1,INT(((CROQUIS!$C$98)-CROQUIS!$C$107)/MAX(CROQUIS!$C$130,1))+1)))-1,0),0,MOD($A390-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390-1)/5),MAX((MIN(80,MAX(1,INT(((CROQUIS!$C$98)-CROQUIS!$C$107)/MAX(CROQUIS!$C$130,1))+1)))-1,0))*CROQUIS!$C$130)))*CROQUIS!$C$155)+IF(CROQUIS!$C$92="X",0,0)),-1000)</f>
        <v>-1000</v>
      </c>
      <c r="BU390">
        <f>IF(AND(CROQUIS!$C$88=1,CROQUIS!$C$91=1,CROQUIS!$C$130&gt;0),((CROQUIS!$C$157+(IF(CROQUIS!$C$92="X",((CROQUIS!$C$107/2+(((CROQUIS!$C$98)-CROQUIS!$C$107)-(MIN(80,MAX(1,INT(((CROQUIS!$C$98)-CROQUIS!$C$107)/MAX(CROQUIS!$C$130,1))+1))-1)*CROQUIS!$C$130)/2)+MIN(INT(($A390-1)/5),MAX((MIN(80,MAX(1,INT(((CROQUIS!$C$98)-CROQUIS!$C$107)/MAX(CROQUIS!$C$130,1))+1)))-1,0))*CROQUIS!$C$130),CHOOSE(IF(INT(($A390-1)/5)&gt;MAX((MIN(80,MAX(1,INT(((CROQUIS!$C$98)-CROQUIS!$C$107)/MAX(CROQUIS!$C$130,1))+1)))-1,0),0,MOD($A390-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91">
      <c r="A391" t="n">
        <v>384</v>
      </c>
      <c r="BH391">
        <f>IF(AND(CROQUIS!$C$88=1,CROQUIS!$C$126&gt;0),((CROQUIS!$C$156+(IF(CROQUIS!$C$92="X",CHOOSE(IF(INT(($A391-1)/5)&gt;MAX((MIN(80,MAX(1,INT(((CROQUIS!$C$98)-CROQUIS!$C$107)/MAX(CROQUIS!$C$126,1))+1)))-1,0),0,MOD($A391-1,5))+1,0,2,CROQUIS!$C$97-2,2,0),((CROQUIS!$C$107/2+(((CROQUIS!$C$98)-CROQUIS!$C$107)-(MIN(80,MAX(1,INT(((CROQUIS!$C$98)-CROQUIS!$C$107)/MAX(CROQUIS!$C$126,1))+1))-1)*CROQUIS!$C$126)/2)+MIN(INT(($A391-1)/5),MAX((MIN(80,MAX(1,INT(((CROQUIS!$C$98)-CROQUIS!$C$107)/MAX(CROQUIS!$C$126,1))+1)))-1,0))*CROQUIS!$C$126)))*CROQUIS!$C$155)+IF(CROQUIS!$C$92="X",0,0)),-1000)</f>
        <v>-1000</v>
      </c>
      <c r="BI391">
        <f>IF(AND(CROQUIS!$C$88=1,CROQUIS!$C$126&gt;0),((CROQUIS!$C$157+(IF(CROQUIS!$C$92="X",((CROQUIS!$C$107/2+(((CROQUIS!$C$98)-CROQUIS!$C$107)-(MIN(80,MAX(1,INT(((CROQUIS!$C$98)-CROQUIS!$C$107)/MAX(CROQUIS!$C$126,1))+1))-1)*CROQUIS!$C$126)/2)+MIN(INT(($A391-1)/5),MAX((MIN(80,MAX(1,INT(((CROQUIS!$C$98)-CROQUIS!$C$107)/MAX(CROQUIS!$C$126,1))+1)))-1,0))*CROQUIS!$C$126),CHOOSE(IF(INT(($A391-1)/5)&gt;MAX((MIN(80,MAX(1,INT(((CROQUIS!$C$98)-CROQUIS!$C$107)/MAX(CROQUIS!$C$126,1))+1)))-1,0),0,MOD($A391-1,5))+1,0,2,CROQUIS!$C$97-2,2,0)))*CROQUIS!$C$155)+IF(CROQUIS!$C$92="X",0,0)),-1000)</f>
        <v>-1000</v>
      </c>
      <c r="BJ391">
        <f>IF(AND(CROQUIS!$C$88=1,CROQUIS!$C$134&gt;0),((CROQUIS!$C$156+(IF(CROQUIS!$C$92="X",((CROQUIS!$C$107/2+(((CROQUIS!$C$97)-CROQUIS!$C$107)-(MIN(80,MAX(1,INT(((CROQUIS!$C$97)-CROQUIS!$C$107)/MAX(CROQUIS!$C$134,1))+1))-1)*CROQUIS!$C$134)/2)+MIN(INT(($A391-1)/5),MAX((MIN(80,MAX(1,INT(((CROQUIS!$C$97)-CROQUIS!$C$107)/MAX(CROQUIS!$C$134,1))+1)))-1,0))*CROQUIS!$C$134),CHOOSE(IF(INT(($A391-1)/5)&gt;MAX((MIN(80,MAX(1,INT(((CROQUIS!$C$97)-CROQUIS!$C$107)/MAX(CROQUIS!$C$134,1))+1)))-1,0),0,MOD($A391-1,5))+1,0,2,CROQUIS!$C$98-2,2,0)))*CROQUIS!$C$155)+IF(CROQUIS!$C$92="X",0,0)),-1000)</f>
        <v>-1000</v>
      </c>
      <c r="BK391">
        <f>IF(AND(CROQUIS!$C$88=1,CROQUIS!$C$134&gt;0),((CROQUIS!$C$157+(IF(CROQUIS!$C$92="X",CHOOSE(IF(INT(($A391-1)/5)&gt;MAX((MIN(80,MAX(1,INT(((CROQUIS!$C$97)-CROQUIS!$C$107)/MAX(CROQUIS!$C$134,1))+1)))-1,0),0,MOD($A391-1,5))+1,0,2,CROQUIS!$C$98-2,2,0),((CROQUIS!$C$107/2+(((CROQUIS!$C$97)-CROQUIS!$C$107)-(MIN(80,MAX(1,INT(((CROQUIS!$C$97)-CROQUIS!$C$107)/MAX(CROQUIS!$C$134,1))+1))-1)*CROQUIS!$C$134)/2)+MIN(INT(($A391-1)/5),MAX((MIN(80,MAX(1,INT(((CROQUIS!$C$97)-CROQUIS!$C$107)/MAX(CROQUIS!$C$134,1))+1)))-1,0))*CROQUIS!$C$134)))*CROQUIS!$C$155)+IF(CROQUIS!$C$92="X",0,0)),-1000)</f>
        <v>-1000</v>
      </c>
      <c r="BL391">
        <f>IF(AND(CROQUIS!$C$88=1,CROQUIS!$C$91=0,CROQUIS!$C$130&gt;0,OR(CROQUIS!$C$103=1,CROQUIS!$C$142=1)),((CROQUIS!$C$156+(IF(CROQUIS!$C$92="X",CHOOSE(IF(INT(($A391-1)/5)&gt;MAX((MIN(80,MAX(1,INT(((CROQUIS!$C$98)-CROQUIS!$C$107)/MAX(CROQUIS!$C$130,1))+1)))-1,0),0,MOD($A391-1,5))+1,0,IF(CROQUIS!$C$103=1,-12,2),CROQUIS!$C$107/2+CROQUIS!$C$140,IF(CROQUIS!$C$103=1,-12,2),0),((CROQUIS!$C$107/2+(((CROQUIS!$C$98)-CROQUIS!$C$107)-(MIN(80,MAX(1,INT(((CROQUIS!$C$98)-CROQUIS!$C$107)/MAX(CROQUIS!$C$130,1))+1))-1)*CROQUIS!$C$130)/2)+MIN(INT(($A391-1)/5),MAX((MIN(80,MAX(1,INT(((CROQUIS!$C$98)-CROQUIS!$C$107)/MAX(CROQUIS!$C$130,1))+1)))-1,0))*CROQUIS!$C$130)))*CROQUIS!$C$155)+IF(CROQUIS!$C$92="X",0,0)),-1000)</f>
        <v>-1000</v>
      </c>
      <c r="BM39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391-1)/5),MAX((MIN(80,MAX(1,INT(((CROQUIS!$C$98)-CROQUIS!$C$107)/MAX(CROQUIS!$C$130,1))+1)))-1,0))*CROQUIS!$C$130),CHOOSE(IF(INT(($A391-1)/5)&gt;MAX((MIN(80,MAX(1,INT(((CROQUIS!$C$98)-CROQUIS!$C$107)/MAX(CROQUIS!$C$130,1))+1)))-1,0),0,MOD($A391-1,5))+1,0,IF(CROQUIS!$C$103=1,-12,2),CROQUIS!$C$107/2+CROQUIS!$C$140,IF(CROQUIS!$C$103=1,-12,2),0)))*CROQUIS!$C$155)+IF(CROQUIS!$C$92="X",0,0)),-1000)</f>
        <v>-1000</v>
      </c>
      <c r="BN391">
        <f>IF(AND(CROQUIS!$C$88=1,CROQUIS!$C$91=0,CROQUIS!$C$130&gt;0,OR(CROQUIS!$C$104=1,CROQUIS!$C$142=1)),((CROQUIS!$C$156+(IF(CROQUIS!$C$92="X",CHOOSE(IF(INT(($A391-1)/5)&gt;MAX((MIN(80,MAX(1,INT(((CROQUIS!$C$98)-CROQUIS!$C$107)/MAX(CROQUIS!$C$130,1))+1)))-1,0),0,MOD($A391-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391-1)/5),MAX((MIN(80,MAX(1,INT(((CROQUIS!$C$98)-CROQUIS!$C$107)/MAX(CROQUIS!$C$130,1))+1)))-1,0))*CROQUIS!$C$130)))*CROQUIS!$C$155)+IF(CROQUIS!$C$92="X",0,0)),-1000)</f>
        <v>-1000</v>
      </c>
      <c r="BO39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391-1)/5),MAX((MIN(80,MAX(1,INT(((CROQUIS!$C$98)-CROQUIS!$C$107)/MAX(CROQUIS!$C$130,1))+1)))-1,0))*CROQUIS!$C$130),CHOOSE(IF(INT(($A391-1)/5)&gt;MAX((MIN(80,MAX(1,INT(((CROQUIS!$C$98)-CROQUIS!$C$107)/MAX(CROQUIS!$C$130,1))+1)))-1,0),0,MOD($A391-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9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391-1)/5),MAX((MIN(80,MAX(1,INT(((CROQUIS!$C$97)-CROQUIS!$C$107)/MAX(CROQUIS!$C$138,1))+1)))-1,0))*CROQUIS!$C$138),CHOOSE(IF(INT(($A391-1)/5)&gt;MAX((MIN(80,MAX(1,INT(((CROQUIS!$C$97)-CROQUIS!$C$107)/MAX(CROQUIS!$C$138,1))+1)))-1,0),0,MOD($A391-1,5))+1,0,IF(CROQUIS!$C$105=1,-12,2),CROQUIS!$C$107/2+CROQUIS!$C$141,IF(CROQUIS!$C$105=1,-12,2),0)))*CROQUIS!$C$155)+IF(CROQUIS!$C$92="X",0,0)),-1000)</f>
        <v>-1000</v>
      </c>
      <c r="BQ391">
        <f>IF(AND(CROQUIS!$C$88=1,CROQUIS!$C$91=0,CROQUIS!$C$138&gt;0,OR(CROQUIS!$C$105=1,CROQUIS!$C$143=1)),((CROQUIS!$C$157+(IF(CROQUIS!$C$92="X",CHOOSE(IF(INT(($A391-1)/5)&gt;MAX((MIN(80,MAX(1,INT(((CROQUIS!$C$97)-CROQUIS!$C$107)/MAX(CROQUIS!$C$138,1))+1)))-1,0),0,MOD($A391-1,5))+1,0,IF(CROQUIS!$C$105=1,-12,2),CROQUIS!$C$107/2+CROQUIS!$C$141,IF(CROQUIS!$C$105=1,-12,2),0),((CROQUIS!$C$107/2+(((CROQUIS!$C$97)-CROQUIS!$C$107)-(MIN(80,MAX(1,INT(((CROQUIS!$C$97)-CROQUIS!$C$107)/MAX(CROQUIS!$C$138,1))+1))-1)*CROQUIS!$C$138)/2)+MIN(INT(($A391-1)/5),MAX((MIN(80,MAX(1,INT(((CROQUIS!$C$97)-CROQUIS!$C$107)/MAX(CROQUIS!$C$138,1))+1)))-1,0))*CROQUIS!$C$138)))*CROQUIS!$C$155)+IF(CROQUIS!$C$92="X",0,0)),-1000)</f>
        <v>-1000</v>
      </c>
      <c r="BR39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391-1)/5),MAX((MIN(80,MAX(1,INT(((CROQUIS!$C$97)-CROQUIS!$C$107)/MAX(CROQUIS!$C$138,1))+1)))-1,0))*CROQUIS!$C$138),CHOOSE(IF(INT(($A391-1)/5)&gt;MAX((MIN(80,MAX(1,INT(((CROQUIS!$C$97)-CROQUIS!$C$107)/MAX(CROQUIS!$C$138,1))+1)))-1,0),0,MOD($A391-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91">
        <f>IF(AND(CROQUIS!$C$88=1,CROQUIS!$C$91=0,CROQUIS!$C$138&gt;0,OR(CROQUIS!$C$106=1,CROQUIS!$C$143=1)),((CROQUIS!$C$157+(IF(CROQUIS!$C$92="X",CHOOSE(IF(INT(($A391-1)/5)&gt;MAX((MIN(80,MAX(1,INT(((CROQUIS!$C$97)-CROQUIS!$C$107)/MAX(CROQUIS!$C$138,1))+1)))-1,0),0,MOD($A391-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391-1)/5),MAX((MIN(80,MAX(1,INT(((CROQUIS!$C$97)-CROQUIS!$C$107)/MAX(CROQUIS!$C$138,1))+1)))-1,0))*CROQUIS!$C$138)))*CROQUIS!$C$155)+IF(CROQUIS!$C$92="X",0,0)),-1000)</f>
        <v>-1000</v>
      </c>
      <c r="BT391">
        <f>IF(AND(CROQUIS!$C$88=1,CROQUIS!$C$91=1,CROQUIS!$C$130&gt;0),((CROQUIS!$C$156+(IF(CROQUIS!$C$92="X",CHOOSE(IF(INT(($A391-1)/5)&gt;MAX((MIN(80,MAX(1,INT(((CROQUIS!$C$98)-CROQUIS!$C$107)/MAX(CROQUIS!$C$130,1))+1)))-1,0),0,MOD($A391-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391-1)/5),MAX((MIN(80,MAX(1,INT(((CROQUIS!$C$98)-CROQUIS!$C$107)/MAX(CROQUIS!$C$130,1))+1)))-1,0))*CROQUIS!$C$130)))*CROQUIS!$C$155)+IF(CROQUIS!$C$92="X",0,0)),-1000)</f>
        <v>-1000</v>
      </c>
      <c r="BU391">
        <f>IF(AND(CROQUIS!$C$88=1,CROQUIS!$C$91=1,CROQUIS!$C$130&gt;0),((CROQUIS!$C$157+(IF(CROQUIS!$C$92="X",((CROQUIS!$C$107/2+(((CROQUIS!$C$98)-CROQUIS!$C$107)-(MIN(80,MAX(1,INT(((CROQUIS!$C$98)-CROQUIS!$C$107)/MAX(CROQUIS!$C$130,1))+1))-1)*CROQUIS!$C$130)/2)+MIN(INT(($A391-1)/5),MAX((MIN(80,MAX(1,INT(((CROQUIS!$C$98)-CROQUIS!$C$107)/MAX(CROQUIS!$C$130,1))+1)))-1,0))*CROQUIS!$C$130),CHOOSE(IF(INT(($A391-1)/5)&gt;MAX((MIN(80,MAX(1,INT(((CROQUIS!$C$98)-CROQUIS!$C$107)/MAX(CROQUIS!$C$130,1))+1)))-1,0),0,MOD($A391-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92">
      <c r="A392" t="n">
        <v>385</v>
      </c>
      <c r="BH392">
        <f>IF(AND(CROQUIS!$C$88=1,CROQUIS!$C$126&gt;0),((CROQUIS!$C$156+(IF(CROQUIS!$C$92="X",CHOOSE(IF(INT(($A392-1)/5)&gt;MAX((MIN(80,MAX(1,INT(((CROQUIS!$C$98)-CROQUIS!$C$107)/MAX(CROQUIS!$C$126,1))+1)))-1,0),0,MOD($A392-1,5))+1,0,2,CROQUIS!$C$97-2,2,0),((CROQUIS!$C$107/2+(((CROQUIS!$C$98)-CROQUIS!$C$107)-(MIN(80,MAX(1,INT(((CROQUIS!$C$98)-CROQUIS!$C$107)/MAX(CROQUIS!$C$126,1))+1))-1)*CROQUIS!$C$126)/2)+MIN(INT(($A392-1)/5),MAX((MIN(80,MAX(1,INT(((CROQUIS!$C$98)-CROQUIS!$C$107)/MAX(CROQUIS!$C$126,1))+1)))-1,0))*CROQUIS!$C$126)))*CROQUIS!$C$155)+IF(CROQUIS!$C$92="X",0,0)),-1000)</f>
        <v>-1000</v>
      </c>
      <c r="BI392">
        <f>IF(AND(CROQUIS!$C$88=1,CROQUIS!$C$126&gt;0),((CROQUIS!$C$157+(IF(CROQUIS!$C$92="X",((CROQUIS!$C$107/2+(((CROQUIS!$C$98)-CROQUIS!$C$107)-(MIN(80,MAX(1,INT(((CROQUIS!$C$98)-CROQUIS!$C$107)/MAX(CROQUIS!$C$126,1))+1))-1)*CROQUIS!$C$126)/2)+MIN(INT(($A392-1)/5),MAX((MIN(80,MAX(1,INT(((CROQUIS!$C$98)-CROQUIS!$C$107)/MAX(CROQUIS!$C$126,1))+1)))-1,0))*CROQUIS!$C$126),CHOOSE(IF(INT(($A392-1)/5)&gt;MAX((MIN(80,MAX(1,INT(((CROQUIS!$C$98)-CROQUIS!$C$107)/MAX(CROQUIS!$C$126,1))+1)))-1,0),0,MOD($A392-1,5))+1,0,2,CROQUIS!$C$97-2,2,0)))*CROQUIS!$C$155)+IF(CROQUIS!$C$92="X",0,0)),-1000)</f>
        <v>-1000</v>
      </c>
      <c r="BJ392">
        <f>IF(AND(CROQUIS!$C$88=1,CROQUIS!$C$134&gt;0),((CROQUIS!$C$156+(IF(CROQUIS!$C$92="X",((CROQUIS!$C$107/2+(((CROQUIS!$C$97)-CROQUIS!$C$107)-(MIN(80,MAX(1,INT(((CROQUIS!$C$97)-CROQUIS!$C$107)/MAX(CROQUIS!$C$134,1))+1))-1)*CROQUIS!$C$134)/2)+MIN(INT(($A392-1)/5),MAX((MIN(80,MAX(1,INT(((CROQUIS!$C$97)-CROQUIS!$C$107)/MAX(CROQUIS!$C$134,1))+1)))-1,0))*CROQUIS!$C$134),CHOOSE(IF(INT(($A392-1)/5)&gt;MAX((MIN(80,MAX(1,INT(((CROQUIS!$C$97)-CROQUIS!$C$107)/MAX(CROQUIS!$C$134,1))+1)))-1,0),0,MOD($A392-1,5))+1,0,2,CROQUIS!$C$98-2,2,0)))*CROQUIS!$C$155)+IF(CROQUIS!$C$92="X",0,0)),-1000)</f>
        <v>-1000</v>
      </c>
      <c r="BK392">
        <f>IF(AND(CROQUIS!$C$88=1,CROQUIS!$C$134&gt;0),((CROQUIS!$C$157+(IF(CROQUIS!$C$92="X",CHOOSE(IF(INT(($A392-1)/5)&gt;MAX((MIN(80,MAX(1,INT(((CROQUIS!$C$97)-CROQUIS!$C$107)/MAX(CROQUIS!$C$134,1))+1)))-1,0),0,MOD($A392-1,5))+1,0,2,CROQUIS!$C$98-2,2,0),((CROQUIS!$C$107/2+(((CROQUIS!$C$97)-CROQUIS!$C$107)-(MIN(80,MAX(1,INT(((CROQUIS!$C$97)-CROQUIS!$C$107)/MAX(CROQUIS!$C$134,1))+1))-1)*CROQUIS!$C$134)/2)+MIN(INT(($A392-1)/5),MAX((MIN(80,MAX(1,INT(((CROQUIS!$C$97)-CROQUIS!$C$107)/MAX(CROQUIS!$C$134,1))+1)))-1,0))*CROQUIS!$C$134)))*CROQUIS!$C$155)+IF(CROQUIS!$C$92="X",0,0)),-1000)</f>
        <v>-1000</v>
      </c>
      <c r="BL392">
        <f>IF(AND(CROQUIS!$C$88=1,CROQUIS!$C$91=0,CROQUIS!$C$130&gt;0,OR(CROQUIS!$C$103=1,CROQUIS!$C$142=1)),((CROQUIS!$C$156+(IF(CROQUIS!$C$92="X",CHOOSE(IF(INT(($A392-1)/5)&gt;MAX((MIN(80,MAX(1,INT(((CROQUIS!$C$98)-CROQUIS!$C$107)/MAX(CROQUIS!$C$130,1))+1)))-1,0),0,MOD($A392-1,5))+1,0,IF(CROQUIS!$C$103=1,-12,2),CROQUIS!$C$107/2+CROQUIS!$C$140,IF(CROQUIS!$C$103=1,-12,2),0),((CROQUIS!$C$107/2+(((CROQUIS!$C$98)-CROQUIS!$C$107)-(MIN(80,MAX(1,INT(((CROQUIS!$C$98)-CROQUIS!$C$107)/MAX(CROQUIS!$C$130,1))+1))-1)*CROQUIS!$C$130)/2)+MIN(INT(($A392-1)/5),MAX((MIN(80,MAX(1,INT(((CROQUIS!$C$98)-CROQUIS!$C$107)/MAX(CROQUIS!$C$130,1))+1)))-1,0))*CROQUIS!$C$130)))*CROQUIS!$C$155)+IF(CROQUIS!$C$92="X",0,0)),-1000)</f>
        <v>-1000</v>
      </c>
      <c r="BM39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392-1)/5),MAX((MIN(80,MAX(1,INT(((CROQUIS!$C$98)-CROQUIS!$C$107)/MAX(CROQUIS!$C$130,1))+1)))-1,0))*CROQUIS!$C$130),CHOOSE(IF(INT(($A392-1)/5)&gt;MAX((MIN(80,MAX(1,INT(((CROQUIS!$C$98)-CROQUIS!$C$107)/MAX(CROQUIS!$C$130,1))+1)))-1,0),0,MOD($A392-1,5))+1,0,IF(CROQUIS!$C$103=1,-12,2),CROQUIS!$C$107/2+CROQUIS!$C$140,IF(CROQUIS!$C$103=1,-12,2),0)))*CROQUIS!$C$155)+IF(CROQUIS!$C$92="X",0,0)),-1000)</f>
        <v>-1000</v>
      </c>
      <c r="BN392">
        <f>IF(AND(CROQUIS!$C$88=1,CROQUIS!$C$91=0,CROQUIS!$C$130&gt;0,OR(CROQUIS!$C$104=1,CROQUIS!$C$142=1)),((CROQUIS!$C$156+(IF(CROQUIS!$C$92="X",CHOOSE(IF(INT(($A392-1)/5)&gt;MAX((MIN(80,MAX(1,INT(((CROQUIS!$C$98)-CROQUIS!$C$107)/MAX(CROQUIS!$C$130,1))+1)))-1,0),0,MOD($A392-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392-1)/5),MAX((MIN(80,MAX(1,INT(((CROQUIS!$C$98)-CROQUIS!$C$107)/MAX(CROQUIS!$C$130,1))+1)))-1,0))*CROQUIS!$C$130)))*CROQUIS!$C$155)+IF(CROQUIS!$C$92="X",0,0)),-1000)</f>
        <v>-1000</v>
      </c>
      <c r="BO39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392-1)/5),MAX((MIN(80,MAX(1,INT(((CROQUIS!$C$98)-CROQUIS!$C$107)/MAX(CROQUIS!$C$130,1))+1)))-1,0))*CROQUIS!$C$130),CHOOSE(IF(INT(($A392-1)/5)&gt;MAX((MIN(80,MAX(1,INT(((CROQUIS!$C$98)-CROQUIS!$C$107)/MAX(CROQUIS!$C$130,1))+1)))-1,0),0,MOD($A392-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9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392-1)/5),MAX((MIN(80,MAX(1,INT(((CROQUIS!$C$97)-CROQUIS!$C$107)/MAX(CROQUIS!$C$138,1))+1)))-1,0))*CROQUIS!$C$138),CHOOSE(IF(INT(($A392-1)/5)&gt;MAX((MIN(80,MAX(1,INT(((CROQUIS!$C$97)-CROQUIS!$C$107)/MAX(CROQUIS!$C$138,1))+1)))-1,0),0,MOD($A392-1,5))+1,0,IF(CROQUIS!$C$105=1,-12,2),CROQUIS!$C$107/2+CROQUIS!$C$141,IF(CROQUIS!$C$105=1,-12,2),0)))*CROQUIS!$C$155)+IF(CROQUIS!$C$92="X",0,0)),-1000)</f>
        <v>-1000</v>
      </c>
      <c r="BQ392">
        <f>IF(AND(CROQUIS!$C$88=1,CROQUIS!$C$91=0,CROQUIS!$C$138&gt;0,OR(CROQUIS!$C$105=1,CROQUIS!$C$143=1)),((CROQUIS!$C$157+(IF(CROQUIS!$C$92="X",CHOOSE(IF(INT(($A392-1)/5)&gt;MAX((MIN(80,MAX(1,INT(((CROQUIS!$C$97)-CROQUIS!$C$107)/MAX(CROQUIS!$C$138,1))+1)))-1,0),0,MOD($A392-1,5))+1,0,IF(CROQUIS!$C$105=1,-12,2),CROQUIS!$C$107/2+CROQUIS!$C$141,IF(CROQUIS!$C$105=1,-12,2),0),((CROQUIS!$C$107/2+(((CROQUIS!$C$97)-CROQUIS!$C$107)-(MIN(80,MAX(1,INT(((CROQUIS!$C$97)-CROQUIS!$C$107)/MAX(CROQUIS!$C$138,1))+1))-1)*CROQUIS!$C$138)/2)+MIN(INT(($A392-1)/5),MAX((MIN(80,MAX(1,INT(((CROQUIS!$C$97)-CROQUIS!$C$107)/MAX(CROQUIS!$C$138,1))+1)))-1,0))*CROQUIS!$C$138)))*CROQUIS!$C$155)+IF(CROQUIS!$C$92="X",0,0)),-1000)</f>
        <v>-1000</v>
      </c>
      <c r="BR39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392-1)/5),MAX((MIN(80,MAX(1,INT(((CROQUIS!$C$97)-CROQUIS!$C$107)/MAX(CROQUIS!$C$138,1))+1)))-1,0))*CROQUIS!$C$138),CHOOSE(IF(INT(($A392-1)/5)&gt;MAX((MIN(80,MAX(1,INT(((CROQUIS!$C$97)-CROQUIS!$C$107)/MAX(CROQUIS!$C$138,1))+1)))-1,0),0,MOD($A392-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92">
        <f>IF(AND(CROQUIS!$C$88=1,CROQUIS!$C$91=0,CROQUIS!$C$138&gt;0,OR(CROQUIS!$C$106=1,CROQUIS!$C$143=1)),((CROQUIS!$C$157+(IF(CROQUIS!$C$92="X",CHOOSE(IF(INT(($A392-1)/5)&gt;MAX((MIN(80,MAX(1,INT(((CROQUIS!$C$97)-CROQUIS!$C$107)/MAX(CROQUIS!$C$138,1))+1)))-1,0),0,MOD($A392-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392-1)/5),MAX((MIN(80,MAX(1,INT(((CROQUIS!$C$97)-CROQUIS!$C$107)/MAX(CROQUIS!$C$138,1))+1)))-1,0))*CROQUIS!$C$138)))*CROQUIS!$C$155)+IF(CROQUIS!$C$92="X",0,0)),-1000)</f>
        <v>-1000</v>
      </c>
      <c r="BT392">
        <f>IF(AND(CROQUIS!$C$88=1,CROQUIS!$C$91=1,CROQUIS!$C$130&gt;0),((CROQUIS!$C$156+(IF(CROQUIS!$C$92="X",CHOOSE(IF(INT(($A392-1)/5)&gt;MAX((MIN(80,MAX(1,INT(((CROQUIS!$C$98)-CROQUIS!$C$107)/MAX(CROQUIS!$C$130,1))+1)))-1,0),0,MOD($A392-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392-1)/5),MAX((MIN(80,MAX(1,INT(((CROQUIS!$C$98)-CROQUIS!$C$107)/MAX(CROQUIS!$C$130,1))+1)))-1,0))*CROQUIS!$C$130)))*CROQUIS!$C$155)+IF(CROQUIS!$C$92="X",0,0)),-1000)</f>
        <v>-1000</v>
      </c>
      <c r="BU392">
        <f>IF(AND(CROQUIS!$C$88=1,CROQUIS!$C$91=1,CROQUIS!$C$130&gt;0),((CROQUIS!$C$157+(IF(CROQUIS!$C$92="X",((CROQUIS!$C$107/2+(((CROQUIS!$C$98)-CROQUIS!$C$107)-(MIN(80,MAX(1,INT(((CROQUIS!$C$98)-CROQUIS!$C$107)/MAX(CROQUIS!$C$130,1))+1))-1)*CROQUIS!$C$130)/2)+MIN(INT(($A392-1)/5),MAX((MIN(80,MAX(1,INT(((CROQUIS!$C$98)-CROQUIS!$C$107)/MAX(CROQUIS!$C$130,1))+1)))-1,0))*CROQUIS!$C$130),CHOOSE(IF(INT(($A392-1)/5)&gt;MAX((MIN(80,MAX(1,INT(((CROQUIS!$C$98)-CROQUIS!$C$107)/MAX(CROQUIS!$C$130,1))+1)))-1,0),0,MOD($A392-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93">
      <c r="A393" t="n">
        <v>386</v>
      </c>
      <c r="BH393">
        <f>IF(AND(CROQUIS!$C$88=1,CROQUIS!$C$126&gt;0),((CROQUIS!$C$156+(IF(CROQUIS!$C$92="X",CHOOSE(IF(INT(($A393-1)/5)&gt;MAX((MIN(80,MAX(1,INT(((CROQUIS!$C$98)-CROQUIS!$C$107)/MAX(CROQUIS!$C$126,1))+1)))-1,0),0,MOD($A393-1,5))+1,0,2,CROQUIS!$C$97-2,2,0),((CROQUIS!$C$107/2+(((CROQUIS!$C$98)-CROQUIS!$C$107)-(MIN(80,MAX(1,INT(((CROQUIS!$C$98)-CROQUIS!$C$107)/MAX(CROQUIS!$C$126,1))+1))-1)*CROQUIS!$C$126)/2)+MIN(INT(($A393-1)/5),MAX((MIN(80,MAX(1,INT(((CROQUIS!$C$98)-CROQUIS!$C$107)/MAX(CROQUIS!$C$126,1))+1)))-1,0))*CROQUIS!$C$126)))*CROQUIS!$C$155)+IF(CROQUIS!$C$92="X",0,0)),-1000)</f>
        <v>-1000</v>
      </c>
      <c r="BI393">
        <f>IF(AND(CROQUIS!$C$88=1,CROQUIS!$C$126&gt;0),((CROQUIS!$C$157+(IF(CROQUIS!$C$92="X",((CROQUIS!$C$107/2+(((CROQUIS!$C$98)-CROQUIS!$C$107)-(MIN(80,MAX(1,INT(((CROQUIS!$C$98)-CROQUIS!$C$107)/MAX(CROQUIS!$C$126,1))+1))-1)*CROQUIS!$C$126)/2)+MIN(INT(($A393-1)/5),MAX((MIN(80,MAX(1,INT(((CROQUIS!$C$98)-CROQUIS!$C$107)/MAX(CROQUIS!$C$126,1))+1)))-1,0))*CROQUIS!$C$126),CHOOSE(IF(INT(($A393-1)/5)&gt;MAX((MIN(80,MAX(1,INT(((CROQUIS!$C$98)-CROQUIS!$C$107)/MAX(CROQUIS!$C$126,1))+1)))-1,0),0,MOD($A393-1,5))+1,0,2,CROQUIS!$C$97-2,2,0)))*CROQUIS!$C$155)+IF(CROQUIS!$C$92="X",0,0)),-1000)</f>
        <v>-1000</v>
      </c>
      <c r="BJ393">
        <f>IF(AND(CROQUIS!$C$88=1,CROQUIS!$C$134&gt;0),((CROQUIS!$C$156+(IF(CROQUIS!$C$92="X",((CROQUIS!$C$107/2+(((CROQUIS!$C$97)-CROQUIS!$C$107)-(MIN(80,MAX(1,INT(((CROQUIS!$C$97)-CROQUIS!$C$107)/MAX(CROQUIS!$C$134,1))+1))-1)*CROQUIS!$C$134)/2)+MIN(INT(($A393-1)/5),MAX((MIN(80,MAX(1,INT(((CROQUIS!$C$97)-CROQUIS!$C$107)/MAX(CROQUIS!$C$134,1))+1)))-1,0))*CROQUIS!$C$134),CHOOSE(IF(INT(($A393-1)/5)&gt;MAX((MIN(80,MAX(1,INT(((CROQUIS!$C$97)-CROQUIS!$C$107)/MAX(CROQUIS!$C$134,1))+1)))-1,0),0,MOD($A393-1,5))+1,0,2,CROQUIS!$C$98-2,2,0)))*CROQUIS!$C$155)+IF(CROQUIS!$C$92="X",0,0)),-1000)</f>
        <v>-1000</v>
      </c>
      <c r="BK393">
        <f>IF(AND(CROQUIS!$C$88=1,CROQUIS!$C$134&gt;0),((CROQUIS!$C$157+(IF(CROQUIS!$C$92="X",CHOOSE(IF(INT(($A393-1)/5)&gt;MAX((MIN(80,MAX(1,INT(((CROQUIS!$C$97)-CROQUIS!$C$107)/MAX(CROQUIS!$C$134,1))+1)))-1,0),0,MOD($A393-1,5))+1,0,2,CROQUIS!$C$98-2,2,0),((CROQUIS!$C$107/2+(((CROQUIS!$C$97)-CROQUIS!$C$107)-(MIN(80,MAX(1,INT(((CROQUIS!$C$97)-CROQUIS!$C$107)/MAX(CROQUIS!$C$134,1))+1))-1)*CROQUIS!$C$134)/2)+MIN(INT(($A393-1)/5),MAX((MIN(80,MAX(1,INT(((CROQUIS!$C$97)-CROQUIS!$C$107)/MAX(CROQUIS!$C$134,1))+1)))-1,0))*CROQUIS!$C$134)))*CROQUIS!$C$155)+IF(CROQUIS!$C$92="X",0,0)),-1000)</f>
        <v>-1000</v>
      </c>
      <c r="BL393">
        <f>IF(AND(CROQUIS!$C$88=1,CROQUIS!$C$91=0,CROQUIS!$C$130&gt;0,OR(CROQUIS!$C$103=1,CROQUIS!$C$142=1)),((CROQUIS!$C$156+(IF(CROQUIS!$C$92="X",CHOOSE(IF(INT(($A393-1)/5)&gt;MAX((MIN(80,MAX(1,INT(((CROQUIS!$C$98)-CROQUIS!$C$107)/MAX(CROQUIS!$C$130,1))+1)))-1,0),0,MOD($A393-1,5))+1,0,IF(CROQUIS!$C$103=1,-12,2),CROQUIS!$C$107/2+CROQUIS!$C$140,IF(CROQUIS!$C$103=1,-12,2),0),((CROQUIS!$C$107/2+(((CROQUIS!$C$98)-CROQUIS!$C$107)-(MIN(80,MAX(1,INT(((CROQUIS!$C$98)-CROQUIS!$C$107)/MAX(CROQUIS!$C$130,1))+1))-1)*CROQUIS!$C$130)/2)+MIN(INT(($A393-1)/5),MAX((MIN(80,MAX(1,INT(((CROQUIS!$C$98)-CROQUIS!$C$107)/MAX(CROQUIS!$C$130,1))+1)))-1,0))*CROQUIS!$C$130)))*CROQUIS!$C$155)+IF(CROQUIS!$C$92="X",0,0)),-1000)</f>
        <v>-1000</v>
      </c>
      <c r="BM39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393-1)/5),MAX((MIN(80,MAX(1,INT(((CROQUIS!$C$98)-CROQUIS!$C$107)/MAX(CROQUIS!$C$130,1))+1)))-1,0))*CROQUIS!$C$130),CHOOSE(IF(INT(($A393-1)/5)&gt;MAX((MIN(80,MAX(1,INT(((CROQUIS!$C$98)-CROQUIS!$C$107)/MAX(CROQUIS!$C$130,1))+1)))-1,0),0,MOD($A393-1,5))+1,0,IF(CROQUIS!$C$103=1,-12,2),CROQUIS!$C$107/2+CROQUIS!$C$140,IF(CROQUIS!$C$103=1,-12,2),0)))*CROQUIS!$C$155)+IF(CROQUIS!$C$92="X",0,0)),-1000)</f>
        <v>-1000</v>
      </c>
      <c r="BN393">
        <f>IF(AND(CROQUIS!$C$88=1,CROQUIS!$C$91=0,CROQUIS!$C$130&gt;0,OR(CROQUIS!$C$104=1,CROQUIS!$C$142=1)),((CROQUIS!$C$156+(IF(CROQUIS!$C$92="X",CHOOSE(IF(INT(($A393-1)/5)&gt;MAX((MIN(80,MAX(1,INT(((CROQUIS!$C$98)-CROQUIS!$C$107)/MAX(CROQUIS!$C$130,1))+1)))-1,0),0,MOD($A393-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393-1)/5),MAX((MIN(80,MAX(1,INT(((CROQUIS!$C$98)-CROQUIS!$C$107)/MAX(CROQUIS!$C$130,1))+1)))-1,0))*CROQUIS!$C$130)))*CROQUIS!$C$155)+IF(CROQUIS!$C$92="X",0,0)),-1000)</f>
        <v>-1000</v>
      </c>
      <c r="BO39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393-1)/5),MAX((MIN(80,MAX(1,INT(((CROQUIS!$C$98)-CROQUIS!$C$107)/MAX(CROQUIS!$C$130,1))+1)))-1,0))*CROQUIS!$C$130),CHOOSE(IF(INT(($A393-1)/5)&gt;MAX((MIN(80,MAX(1,INT(((CROQUIS!$C$98)-CROQUIS!$C$107)/MAX(CROQUIS!$C$130,1))+1)))-1,0),0,MOD($A393-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9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393-1)/5),MAX((MIN(80,MAX(1,INT(((CROQUIS!$C$97)-CROQUIS!$C$107)/MAX(CROQUIS!$C$138,1))+1)))-1,0))*CROQUIS!$C$138),CHOOSE(IF(INT(($A393-1)/5)&gt;MAX((MIN(80,MAX(1,INT(((CROQUIS!$C$97)-CROQUIS!$C$107)/MAX(CROQUIS!$C$138,1))+1)))-1,0),0,MOD($A393-1,5))+1,0,IF(CROQUIS!$C$105=1,-12,2),CROQUIS!$C$107/2+CROQUIS!$C$141,IF(CROQUIS!$C$105=1,-12,2),0)))*CROQUIS!$C$155)+IF(CROQUIS!$C$92="X",0,0)),-1000)</f>
        <v>-1000</v>
      </c>
      <c r="BQ393">
        <f>IF(AND(CROQUIS!$C$88=1,CROQUIS!$C$91=0,CROQUIS!$C$138&gt;0,OR(CROQUIS!$C$105=1,CROQUIS!$C$143=1)),((CROQUIS!$C$157+(IF(CROQUIS!$C$92="X",CHOOSE(IF(INT(($A393-1)/5)&gt;MAX((MIN(80,MAX(1,INT(((CROQUIS!$C$97)-CROQUIS!$C$107)/MAX(CROQUIS!$C$138,1))+1)))-1,0),0,MOD($A393-1,5))+1,0,IF(CROQUIS!$C$105=1,-12,2),CROQUIS!$C$107/2+CROQUIS!$C$141,IF(CROQUIS!$C$105=1,-12,2),0),((CROQUIS!$C$107/2+(((CROQUIS!$C$97)-CROQUIS!$C$107)-(MIN(80,MAX(1,INT(((CROQUIS!$C$97)-CROQUIS!$C$107)/MAX(CROQUIS!$C$138,1))+1))-1)*CROQUIS!$C$138)/2)+MIN(INT(($A393-1)/5),MAX((MIN(80,MAX(1,INT(((CROQUIS!$C$97)-CROQUIS!$C$107)/MAX(CROQUIS!$C$138,1))+1)))-1,0))*CROQUIS!$C$138)))*CROQUIS!$C$155)+IF(CROQUIS!$C$92="X",0,0)),-1000)</f>
        <v>-1000</v>
      </c>
      <c r="BR39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393-1)/5),MAX((MIN(80,MAX(1,INT(((CROQUIS!$C$97)-CROQUIS!$C$107)/MAX(CROQUIS!$C$138,1))+1)))-1,0))*CROQUIS!$C$138),CHOOSE(IF(INT(($A393-1)/5)&gt;MAX((MIN(80,MAX(1,INT(((CROQUIS!$C$97)-CROQUIS!$C$107)/MAX(CROQUIS!$C$138,1))+1)))-1,0),0,MOD($A393-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93">
        <f>IF(AND(CROQUIS!$C$88=1,CROQUIS!$C$91=0,CROQUIS!$C$138&gt;0,OR(CROQUIS!$C$106=1,CROQUIS!$C$143=1)),((CROQUIS!$C$157+(IF(CROQUIS!$C$92="X",CHOOSE(IF(INT(($A393-1)/5)&gt;MAX((MIN(80,MAX(1,INT(((CROQUIS!$C$97)-CROQUIS!$C$107)/MAX(CROQUIS!$C$138,1))+1)))-1,0),0,MOD($A393-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393-1)/5),MAX((MIN(80,MAX(1,INT(((CROQUIS!$C$97)-CROQUIS!$C$107)/MAX(CROQUIS!$C$138,1))+1)))-1,0))*CROQUIS!$C$138)))*CROQUIS!$C$155)+IF(CROQUIS!$C$92="X",0,0)),-1000)</f>
        <v>-1000</v>
      </c>
      <c r="BT393">
        <f>IF(AND(CROQUIS!$C$88=1,CROQUIS!$C$91=1,CROQUIS!$C$130&gt;0),((CROQUIS!$C$156+(IF(CROQUIS!$C$92="X",CHOOSE(IF(INT(($A393-1)/5)&gt;MAX((MIN(80,MAX(1,INT(((CROQUIS!$C$98)-CROQUIS!$C$107)/MAX(CROQUIS!$C$130,1))+1)))-1,0),0,MOD($A393-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393-1)/5),MAX((MIN(80,MAX(1,INT(((CROQUIS!$C$98)-CROQUIS!$C$107)/MAX(CROQUIS!$C$130,1))+1)))-1,0))*CROQUIS!$C$130)))*CROQUIS!$C$155)+IF(CROQUIS!$C$92="X",0,0)),-1000)</f>
        <v>-1000</v>
      </c>
      <c r="BU393">
        <f>IF(AND(CROQUIS!$C$88=1,CROQUIS!$C$91=1,CROQUIS!$C$130&gt;0),((CROQUIS!$C$157+(IF(CROQUIS!$C$92="X",((CROQUIS!$C$107/2+(((CROQUIS!$C$98)-CROQUIS!$C$107)-(MIN(80,MAX(1,INT(((CROQUIS!$C$98)-CROQUIS!$C$107)/MAX(CROQUIS!$C$130,1))+1))-1)*CROQUIS!$C$130)/2)+MIN(INT(($A393-1)/5),MAX((MIN(80,MAX(1,INT(((CROQUIS!$C$98)-CROQUIS!$C$107)/MAX(CROQUIS!$C$130,1))+1)))-1,0))*CROQUIS!$C$130),CHOOSE(IF(INT(($A393-1)/5)&gt;MAX((MIN(80,MAX(1,INT(((CROQUIS!$C$98)-CROQUIS!$C$107)/MAX(CROQUIS!$C$130,1))+1)))-1,0),0,MOD($A393-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94">
      <c r="A394" t="n">
        <v>387</v>
      </c>
      <c r="BH394">
        <f>IF(AND(CROQUIS!$C$88=1,CROQUIS!$C$126&gt;0),((CROQUIS!$C$156+(IF(CROQUIS!$C$92="X",CHOOSE(IF(INT(($A394-1)/5)&gt;MAX((MIN(80,MAX(1,INT(((CROQUIS!$C$98)-CROQUIS!$C$107)/MAX(CROQUIS!$C$126,1))+1)))-1,0),0,MOD($A394-1,5))+1,0,2,CROQUIS!$C$97-2,2,0),((CROQUIS!$C$107/2+(((CROQUIS!$C$98)-CROQUIS!$C$107)-(MIN(80,MAX(1,INT(((CROQUIS!$C$98)-CROQUIS!$C$107)/MAX(CROQUIS!$C$126,1))+1))-1)*CROQUIS!$C$126)/2)+MIN(INT(($A394-1)/5),MAX((MIN(80,MAX(1,INT(((CROQUIS!$C$98)-CROQUIS!$C$107)/MAX(CROQUIS!$C$126,1))+1)))-1,0))*CROQUIS!$C$126)))*CROQUIS!$C$155)+IF(CROQUIS!$C$92="X",0,0)),-1000)</f>
        <v>-1000</v>
      </c>
      <c r="BI394">
        <f>IF(AND(CROQUIS!$C$88=1,CROQUIS!$C$126&gt;0),((CROQUIS!$C$157+(IF(CROQUIS!$C$92="X",((CROQUIS!$C$107/2+(((CROQUIS!$C$98)-CROQUIS!$C$107)-(MIN(80,MAX(1,INT(((CROQUIS!$C$98)-CROQUIS!$C$107)/MAX(CROQUIS!$C$126,1))+1))-1)*CROQUIS!$C$126)/2)+MIN(INT(($A394-1)/5),MAX((MIN(80,MAX(1,INT(((CROQUIS!$C$98)-CROQUIS!$C$107)/MAX(CROQUIS!$C$126,1))+1)))-1,0))*CROQUIS!$C$126),CHOOSE(IF(INT(($A394-1)/5)&gt;MAX((MIN(80,MAX(1,INT(((CROQUIS!$C$98)-CROQUIS!$C$107)/MAX(CROQUIS!$C$126,1))+1)))-1,0),0,MOD($A394-1,5))+1,0,2,CROQUIS!$C$97-2,2,0)))*CROQUIS!$C$155)+IF(CROQUIS!$C$92="X",0,0)),-1000)</f>
        <v>-1000</v>
      </c>
      <c r="BJ394">
        <f>IF(AND(CROQUIS!$C$88=1,CROQUIS!$C$134&gt;0),((CROQUIS!$C$156+(IF(CROQUIS!$C$92="X",((CROQUIS!$C$107/2+(((CROQUIS!$C$97)-CROQUIS!$C$107)-(MIN(80,MAX(1,INT(((CROQUIS!$C$97)-CROQUIS!$C$107)/MAX(CROQUIS!$C$134,1))+1))-1)*CROQUIS!$C$134)/2)+MIN(INT(($A394-1)/5),MAX((MIN(80,MAX(1,INT(((CROQUIS!$C$97)-CROQUIS!$C$107)/MAX(CROQUIS!$C$134,1))+1)))-1,0))*CROQUIS!$C$134),CHOOSE(IF(INT(($A394-1)/5)&gt;MAX((MIN(80,MAX(1,INT(((CROQUIS!$C$97)-CROQUIS!$C$107)/MAX(CROQUIS!$C$134,1))+1)))-1,0),0,MOD($A394-1,5))+1,0,2,CROQUIS!$C$98-2,2,0)))*CROQUIS!$C$155)+IF(CROQUIS!$C$92="X",0,0)),-1000)</f>
        <v>-1000</v>
      </c>
      <c r="BK394">
        <f>IF(AND(CROQUIS!$C$88=1,CROQUIS!$C$134&gt;0),((CROQUIS!$C$157+(IF(CROQUIS!$C$92="X",CHOOSE(IF(INT(($A394-1)/5)&gt;MAX((MIN(80,MAX(1,INT(((CROQUIS!$C$97)-CROQUIS!$C$107)/MAX(CROQUIS!$C$134,1))+1)))-1,0),0,MOD($A394-1,5))+1,0,2,CROQUIS!$C$98-2,2,0),((CROQUIS!$C$107/2+(((CROQUIS!$C$97)-CROQUIS!$C$107)-(MIN(80,MAX(1,INT(((CROQUIS!$C$97)-CROQUIS!$C$107)/MAX(CROQUIS!$C$134,1))+1))-1)*CROQUIS!$C$134)/2)+MIN(INT(($A394-1)/5),MAX((MIN(80,MAX(1,INT(((CROQUIS!$C$97)-CROQUIS!$C$107)/MAX(CROQUIS!$C$134,1))+1)))-1,0))*CROQUIS!$C$134)))*CROQUIS!$C$155)+IF(CROQUIS!$C$92="X",0,0)),-1000)</f>
        <v>-1000</v>
      </c>
      <c r="BL394">
        <f>IF(AND(CROQUIS!$C$88=1,CROQUIS!$C$91=0,CROQUIS!$C$130&gt;0,OR(CROQUIS!$C$103=1,CROQUIS!$C$142=1)),((CROQUIS!$C$156+(IF(CROQUIS!$C$92="X",CHOOSE(IF(INT(($A394-1)/5)&gt;MAX((MIN(80,MAX(1,INT(((CROQUIS!$C$98)-CROQUIS!$C$107)/MAX(CROQUIS!$C$130,1))+1)))-1,0),0,MOD($A394-1,5))+1,0,IF(CROQUIS!$C$103=1,-12,2),CROQUIS!$C$107/2+CROQUIS!$C$140,IF(CROQUIS!$C$103=1,-12,2),0),((CROQUIS!$C$107/2+(((CROQUIS!$C$98)-CROQUIS!$C$107)-(MIN(80,MAX(1,INT(((CROQUIS!$C$98)-CROQUIS!$C$107)/MAX(CROQUIS!$C$130,1))+1))-1)*CROQUIS!$C$130)/2)+MIN(INT(($A394-1)/5),MAX((MIN(80,MAX(1,INT(((CROQUIS!$C$98)-CROQUIS!$C$107)/MAX(CROQUIS!$C$130,1))+1)))-1,0))*CROQUIS!$C$130)))*CROQUIS!$C$155)+IF(CROQUIS!$C$92="X",0,0)),-1000)</f>
        <v>-1000</v>
      </c>
      <c r="BM39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394-1)/5),MAX((MIN(80,MAX(1,INT(((CROQUIS!$C$98)-CROQUIS!$C$107)/MAX(CROQUIS!$C$130,1))+1)))-1,0))*CROQUIS!$C$130),CHOOSE(IF(INT(($A394-1)/5)&gt;MAX((MIN(80,MAX(1,INT(((CROQUIS!$C$98)-CROQUIS!$C$107)/MAX(CROQUIS!$C$130,1))+1)))-1,0),0,MOD($A394-1,5))+1,0,IF(CROQUIS!$C$103=1,-12,2),CROQUIS!$C$107/2+CROQUIS!$C$140,IF(CROQUIS!$C$103=1,-12,2),0)))*CROQUIS!$C$155)+IF(CROQUIS!$C$92="X",0,0)),-1000)</f>
        <v>-1000</v>
      </c>
      <c r="BN394">
        <f>IF(AND(CROQUIS!$C$88=1,CROQUIS!$C$91=0,CROQUIS!$C$130&gt;0,OR(CROQUIS!$C$104=1,CROQUIS!$C$142=1)),((CROQUIS!$C$156+(IF(CROQUIS!$C$92="X",CHOOSE(IF(INT(($A394-1)/5)&gt;MAX((MIN(80,MAX(1,INT(((CROQUIS!$C$98)-CROQUIS!$C$107)/MAX(CROQUIS!$C$130,1))+1)))-1,0),0,MOD($A394-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394-1)/5),MAX((MIN(80,MAX(1,INT(((CROQUIS!$C$98)-CROQUIS!$C$107)/MAX(CROQUIS!$C$130,1))+1)))-1,0))*CROQUIS!$C$130)))*CROQUIS!$C$155)+IF(CROQUIS!$C$92="X",0,0)),-1000)</f>
        <v>-1000</v>
      </c>
      <c r="BO39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394-1)/5),MAX((MIN(80,MAX(1,INT(((CROQUIS!$C$98)-CROQUIS!$C$107)/MAX(CROQUIS!$C$130,1))+1)))-1,0))*CROQUIS!$C$130),CHOOSE(IF(INT(($A394-1)/5)&gt;MAX((MIN(80,MAX(1,INT(((CROQUIS!$C$98)-CROQUIS!$C$107)/MAX(CROQUIS!$C$130,1))+1)))-1,0),0,MOD($A394-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9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394-1)/5),MAX((MIN(80,MAX(1,INT(((CROQUIS!$C$97)-CROQUIS!$C$107)/MAX(CROQUIS!$C$138,1))+1)))-1,0))*CROQUIS!$C$138),CHOOSE(IF(INT(($A394-1)/5)&gt;MAX((MIN(80,MAX(1,INT(((CROQUIS!$C$97)-CROQUIS!$C$107)/MAX(CROQUIS!$C$138,1))+1)))-1,0),0,MOD($A394-1,5))+1,0,IF(CROQUIS!$C$105=1,-12,2),CROQUIS!$C$107/2+CROQUIS!$C$141,IF(CROQUIS!$C$105=1,-12,2),0)))*CROQUIS!$C$155)+IF(CROQUIS!$C$92="X",0,0)),-1000)</f>
        <v>-1000</v>
      </c>
      <c r="BQ394">
        <f>IF(AND(CROQUIS!$C$88=1,CROQUIS!$C$91=0,CROQUIS!$C$138&gt;0,OR(CROQUIS!$C$105=1,CROQUIS!$C$143=1)),((CROQUIS!$C$157+(IF(CROQUIS!$C$92="X",CHOOSE(IF(INT(($A394-1)/5)&gt;MAX((MIN(80,MAX(1,INT(((CROQUIS!$C$97)-CROQUIS!$C$107)/MAX(CROQUIS!$C$138,1))+1)))-1,0),0,MOD($A394-1,5))+1,0,IF(CROQUIS!$C$105=1,-12,2),CROQUIS!$C$107/2+CROQUIS!$C$141,IF(CROQUIS!$C$105=1,-12,2),0),((CROQUIS!$C$107/2+(((CROQUIS!$C$97)-CROQUIS!$C$107)-(MIN(80,MAX(1,INT(((CROQUIS!$C$97)-CROQUIS!$C$107)/MAX(CROQUIS!$C$138,1))+1))-1)*CROQUIS!$C$138)/2)+MIN(INT(($A394-1)/5),MAX((MIN(80,MAX(1,INT(((CROQUIS!$C$97)-CROQUIS!$C$107)/MAX(CROQUIS!$C$138,1))+1)))-1,0))*CROQUIS!$C$138)))*CROQUIS!$C$155)+IF(CROQUIS!$C$92="X",0,0)),-1000)</f>
        <v>-1000</v>
      </c>
      <c r="BR39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394-1)/5),MAX((MIN(80,MAX(1,INT(((CROQUIS!$C$97)-CROQUIS!$C$107)/MAX(CROQUIS!$C$138,1))+1)))-1,0))*CROQUIS!$C$138),CHOOSE(IF(INT(($A394-1)/5)&gt;MAX((MIN(80,MAX(1,INT(((CROQUIS!$C$97)-CROQUIS!$C$107)/MAX(CROQUIS!$C$138,1))+1)))-1,0),0,MOD($A394-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94">
        <f>IF(AND(CROQUIS!$C$88=1,CROQUIS!$C$91=0,CROQUIS!$C$138&gt;0,OR(CROQUIS!$C$106=1,CROQUIS!$C$143=1)),((CROQUIS!$C$157+(IF(CROQUIS!$C$92="X",CHOOSE(IF(INT(($A394-1)/5)&gt;MAX((MIN(80,MAX(1,INT(((CROQUIS!$C$97)-CROQUIS!$C$107)/MAX(CROQUIS!$C$138,1))+1)))-1,0),0,MOD($A394-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394-1)/5),MAX((MIN(80,MAX(1,INT(((CROQUIS!$C$97)-CROQUIS!$C$107)/MAX(CROQUIS!$C$138,1))+1)))-1,0))*CROQUIS!$C$138)))*CROQUIS!$C$155)+IF(CROQUIS!$C$92="X",0,0)),-1000)</f>
        <v>-1000</v>
      </c>
      <c r="BT394">
        <f>IF(AND(CROQUIS!$C$88=1,CROQUIS!$C$91=1,CROQUIS!$C$130&gt;0),((CROQUIS!$C$156+(IF(CROQUIS!$C$92="X",CHOOSE(IF(INT(($A394-1)/5)&gt;MAX((MIN(80,MAX(1,INT(((CROQUIS!$C$98)-CROQUIS!$C$107)/MAX(CROQUIS!$C$130,1))+1)))-1,0),0,MOD($A394-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394-1)/5),MAX((MIN(80,MAX(1,INT(((CROQUIS!$C$98)-CROQUIS!$C$107)/MAX(CROQUIS!$C$130,1))+1)))-1,0))*CROQUIS!$C$130)))*CROQUIS!$C$155)+IF(CROQUIS!$C$92="X",0,0)),-1000)</f>
        <v>-1000</v>
      </c>
      <c r="BU394">
        <f>IF(AND(CROQUIS!$C$88=1,CROQUIS!$C$91=1,CROQUIS!$C$130&gt;0),((CROQUIS!$C$157+(IF(CROQUIS!$C$92="X",((CROQUIS!$C$107/2+(((CROQUIS!$C$98)-CROQUIS!$C$107)-(MIN(80,MAX(1,INT(((CROQUIS!$C$98)-CROQUIS!$C$107)/MAX(CROQUIS!$C$130,1))+1))-1)*CROQUIS!$C$130)/2)+MIN(INT(($A394-1)/5),MAX((MIN(80,MAX(1,INT(((CROQUIS!$C$98)-CROQUIS!$C$107)/MAX(CROQUIS!$C$130,1))+1)))-1,0))*CROQUIS!$C$130),CHOOSE(IF(INT(($A394-1)/5)&gt;MAX((MIN(80,MAX(1,INT(((CROQUIS!$C$98)-CROQUIS!$C$107)/MAX(CROQUIS!$C$130,1))+1)))-1,0),0,MOD($A394-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95">
      <c r="A395" t="n">
        <v>388</v>
      </c>
      <c r="BH395">
        <f>IF(AND(CROQUIS!$C$88=1,CROQUIS!$C$126&gt;0),((CROQUIS!$C$156+(IF(CROQUIS!$C$92="X",CHOOSE(IF(INT(($A395-1)/5)&gt;MAX((MIN(80,MAX(1,INT(((CROQUIS!$C$98)-CROQUIS!$C$107)/MAX(CROQUIS!$C$126,1))+1)))-1,0),0,MOD($A395-1,5))+1,0,2,CROQUIS!$C$97-2,2,0),((CROQUIS!$C$107/2+(((CROQUIS!$C$98)-CROQUIS!$C$107)-(MIN(80,MAX(1,INT(((CROQUIS!$C$98)-CROQUIS!$C$107)/MAX(CROQUIS!$C$126,1))+1))-1)*CROQUIS!$C$126)/2)+MIN(INT(($A395-1)/5),MAX((MIN(80,MAX(1,INT(((CROQUIS!$C$98)-CROQUIS!$C$107)/MAX(CROQUIS!$C$126,1))+1)))-1,0))*CROQUIS!$C$126)))*CROQUIS!$C$155)+IF(CROQUIS!$C$92="X",0,0)),-1000)</f>
        <v>-1000</v>
      </c>
      <c r="BI395">
        <f>IF(AND(CROQUIS!$C$88=1,CROQUIS!$C$126&gt;0),((CROQUIS!$C$157+(IF(CROQUIS!$C$92="X",((CROQUIS!$C$107/2+(((CROQUIS!$C$98)-CROQUIS!$C$107)-(MIN(80,MAX(1,INT(((CROQUIS!$C$98)-CROQUIS!$C$107)/MAX(CROQUIS!$C$126,1))+1))-1)*CROQUIS!$C$126)/2)+MIN(INT(($A395-1)/5),MAX((MIN(80,MAX(1,INT(((CROQUIS!$C$98)-CROQUIS!$C$107)/MAX(CROQUIS!$C$126,1))+1)))-1,0))*CROQUIS!$C$126),CHOOSE(IF(INT(($A395-1)/5)&gt;MAX((MIN(80,MAX(1,INT(((CROQUIS!$C$98)-CROQUIS!$C$107)/MAX(CROQUIS!$C$126,1))+1)))-1,0),0,MOD($A395-1,5))+1,0,2,CROQUIS!$C$97-2,2,0)))*CROQUIS!$C$155)+IF(CROQUIS!$C$92="X",0,0)),-1000)</f>
        <v>-1000</v>
      </c>
      <c r="BJ395">
        <f>IF(AND(CROQUIS!$C$88=1,CROQUIS!$C$134&gt;0),((CROQUIS!$C$156+(IF(CROQUIS!$C$92="X",((CROQUIS!$C$107/2+(((CROQUIS!$C$97)-CROQUIS!$C$107)-(MIN(80,MAX(1,INT(((CROQUIS!$C$97)-CROQUIS!$C$107)/MAX(CROQUIS!$C$134,1))+1))-1)*CROQUIS!$C$134)/2)+MIN(INT(($A395-1)/5),MAX((MIN(80,MAX(1,INT(((CROQUIS!$C$97)-CROQUIS!$C$107)/MAX(CROQUIS!$C$134,1))+1)))-1,0))*CROQUIS!$C$134),CHOOSE(IF(INT(($A395-1)/5)&gt;MAX((MIN(80,MAX(1,INT(((CROQUIS!$C$97)-CROQUIS!$C$107)/MAX(CROQUIS!$C$134,1))+1)))-1,0),0,MOD($A395-1,5))+1,0,2,CROQUIS!$C$98-2,2,0)))*CROQUIS!$C$155)+IF(CROQUIS!$C$92="X",0,0)),-1000)</f>
        <v>-1000</v>
      </c>
      <c r="BK395">
        <f>IF(AND(CROQUIS!$C$88=1,CROQUIS!$C$134&gt;0),((CROQUIS!$C$157+(IF(CROQUIS!$C$92="X",CHOOSE(IF(INT(($A395-1)/5)&gt;MAX((MIN(80,MAX(1,INT(((CROQUIS!$C$97)-CROQUIS!$C$107)/MAX(CROQUIS!$C$134,1))+1)))-1,0),0,MOD($A395-1,5))+1,0,2,CROQUIS!$C$98-2,2,0),((CROQUIS!$C$107/2+(((CROQUIS!$C$97)-CROQUIS!$C$107)-(MIN(80,MAX(1,INT(((CROQUIS!$C$97)-CROQUIS!$C$107)/MAX(CROQUIS!$C$134,1))+1))-1)*CROQUIS!$C$134)/2)+MIN(INT(($A395-1)/5),MAX((MIN(80,MAX(1,INT(((CROQUIS!$C$97)-CROQUIS!$C$107)/MAX(CROQUIS!$C$134,1))+1)))-1,0))*CROQUIS!$C$134)))*CROQUIS!$C$155)+IF(CROQUIS!$C$92="X",0,0)),-1000)</f>
        <v>-1000</v>
      </c>
      <c r="BL395">
        <f>IF(AND(CROQUIS!$C$88=1,CROQUIS!$C$91=0,CROQUIS!$C$130&gt;0,OR(CROQUIS!$C$103=1,CROQUIS!$C$142=1)),((CROQUIS!$C$156+(IF(CROQUIS!$C$92="X",CHOOSE(IF(INT(($A395-1)/5)&gt;MAX((MIN(80,MAX(1,INT(((CROQUIS!$C$98)-CROQUIS!$C$107)/MAX(CROQUIS!$C$130,1))+1)))-1,0),0,MOD($A395-1,5))+1,0,IF(CROQUIS!$C$103=1,-12,2),CROQUIS!$C$107/2+CROQUIS!$C$140,IF(CROQUIS!$C$103=1,-12,2),0),((CROQUIS!$C$107/2+(((CROQUIS!$C$98)-CROQUIS!$C$107)-(MIN(80,MAX(1,INT(((CROQUIS!$C$98)-CROQUIS!$C$107)/MAX(CROQUIS!$C$130,1))+1))-1)*CROQUIS!$C$130)/2)+MIN(INT(($A395-1)/5),MAX((MIN(80,MAX(1,INT(((CROQUIS!$C$98)-CROQUIS!$C$107)/MAX(CROQUIS!$C$130,1))+1)))-1,0))*CROQUIS!$C$130)))*CROQUIS!$C$155)+IF(CROQUIS!$C$92="X",0,0)),-1000)</f>
        <v>-1000</v>
      </c>
      <c r="BM39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395-1)/5),MAX((MIN(80,MAX(1,INT(((CROQUIS!$C$98)-CROQUIS!$C$107)/MAX(CROQUIS!$C$130,1))+1)))-1,0))*CROQUIS!$C$130),CHOOSE(IF(INT(($A395-1)/5)&gt;MAX((MIN(80,MAX(1,INT(((CROQUIS!$C$98)-CROQUIS!$C$107)/MAX(CROQUIS!$C$130,1))+1)))-1,0),0,MOD($A395-1,5))+1,0,IF(CROQUIS!$C$103=1,-12,2),CROQUIS!$C$107/2+CROQUIS!$C$140,IF(CROQUIS!$C$103=1,-12,2),0)))*CROQUIS!$C$155)+IF(CROQUIS!$C$92="X",0,0)),-1000)</f>
        <v>-1000</v>
      </c>
      <c r="BN395">
        <f>IF(AND(CROQUIS!$C$88=1,CROQUIS!$C$91=0,CROQUIS!$C$130&gt;0,OR(CROQUIS!$C$104=1,CROQUIS!$C$142=1)),((CROQUIS!$C$156+(IF(CROQUIS!$C$92="X",CHOOSE(IF(INT(($A395-1)/5)&gt;MAX((MIN(80,MAX(1,INT(((CROQUIS!$C$98)-CROQUIS!$C$107)/MAX(CROQUIS!$C$130,1))+1)))-1,0),0,MOD($A395-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395-1)/5),MAX((MIN(80,MAX(1,INT(((CROQUIS!$C$98)-CROQUIS!$C$107)/MAX(CROQUIS!$C$130,1))+1)))-1,0))*CROQUIS!$C$130)))*CROQUIS!$C$155)+IF(CROQUIS!$C$92="X",0,0)),-1000)</f>
        <v>-1000</v>
      </c>
      <c r="BO39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395-1)/5),MAX((MIN(80,MAX(1,INT(((CROQUIS!$C$98)-CROQUIS!$C$107)/MAX(CROQUIS!$C$130,1))+1)))-1,0))*CROQUIS!$C$130),CHOOSE(IF(INT(($A395-1)/5)&gt;MAX((MIN(80,MAX(1,INT(((CROQUIS!$C$98)-CROQUIS!$C$107)/MAX(CROQUIS!$C$130,1))+1)))-1,0),0,MOD($A395-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9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395-1)/5),MAX((MIN(80,MAX(1,INT(((CROQUIS!$C$97)-CROQUIS!$C$107)/MAX(CROQUIS!$C$138,1))+1)))-1,0))*CROQUIS!$C$138),CHOOSE(IF(INT(($A395-1)/5)&gt;MAX((MIN(80,MAX(1,INT(((CROQUIS!$C$97)-CROQUIS!$C$107)/MAX(CROQUIS!$C$138,1))+1)))-1,0),0,MOD($A395-1,5))+1,0,IF(CROQUIS!$C$105=1,-12,2),CROQUIS!$C$107/2+CROQUIS!$C$141,IF(CROQUIS!$C$105=1,-12,2),0)))*CROQUIS!$C$155)+IF(CROQUIS!$C$92="X",0,0)),-1000)</f>
        <v>-1000</v>
      </c>
      <c r="BQ395">
        <f>IF(AND(CROQUIS!$C$88=1,CROQUIS!$C$91=0,CROQUIS!$C$138&gt;0,OR(CROQUIS!$C$105=1,CROQUIS!$C$143=1)),((CROQUIS!$C$157+(IF(CROQUIS!$C$92="X",CHOOSE(IF(INT(($A395-1)/5)&gt;MAX((MIN(80,MAX(1,INT(((CROQUIS!$C$97)-CROQUIS!$C$107)/MAX(CROQUIS!$C$138,1))+1)))-1,0),0,MOD($A395-1,5))+1,0,IF(CROQUIS!$C$105=1,-12,2),CROQUIS!$C$107/2+CROQUIS!$C$141,IF(CROQUIS!$C$105=1,-12,2),0),((CROQUIS!$C$107/2+(((CROQUIS!$C$97)-CROQUIS!$C$107)-(MIN(80,MAX(1,INT(((CROQUIS!$C$97)-CROQUIS!$C$107)/MAX(CROQUIS!$C$138,1))+1))-1)*CROQUIS!$C$138)/2)+MIN(INT(($A395-1)/5),MAX((MIN(80,MAX(1,INT(((CROQUIS!$C$97)-CROQUIS!$C$107)/MAX(CROQUIS!$C$138,1))+1)))-1,0))*CROQUIS!$C$138)))*CROQUIS!$C$155)+IF(CROQUIS!$C$92="X",0,0)),-1000)</f>
        <v>-1000</v>
      </c>
      <c r="BR39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395-1)/5),MAX((MIN(80,MAX(1,INT(((CROQUIS!$C$97)-CROQUIS!$C$107)/MAX(CROQUIS!$C$138,1))+1)))-1,0))*CROQUIS!$C$138),CHOOSE(IF(INT(($A395-1)/5)&gt;MAX((MIN(80,MAX(1,INT(((CROQUIS!$C$97)-CROQUIS!$C$107)/MAX(CROQUIS!$C$138,1))+1)))-1,0),0,MOD($A395-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95">
        <f>IF(AND(CROQUIS!$C$88=1,CROQUIS!$C$91=0,CROQUIS!$C$138&gt;0,OR(CROQUIS!$C$106=1,CROQUIS!$C$143=1)),((CROQUIS!$C$157+(IF(CROQUIS!$C$92="X",CHOOSE(IF(INT(($A395-1)/5)&gt;MAX((MIN(80,MAX(1,INT(((CROQUIS!$C$97)-CROQUIS!$C$107)/MAX(CROQUIS!$C$138,1))+1)))-1,0),0,MOD($A395-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395-1)/5),MAX((MIN(80,MAX(1,INT(((CROQUIS!$C$97)-CROQUIS!$C$107)/MAX(CROQUIS!$C$138,1))+1)))-1,0))*CROQUIS!$C$138)))*CROQUIS!$C$155)+IF(CROQUIS!$C$92="X",0,0)),-1000)</f>
        <v>-1000</v>
      </c>
      <c r="BT395">
        <f>IF(AND(CROQUIS!$C$88=1,CROQUIS!$C$91=1,CROQUIS!$C$130&gt;0),((CROQUIS!$C$156+(IF(CROQUIS!$C$92="X",CHOOSE(IF(INT(($A395-1)/5)&gt;MAX((MIN(80,MAX(1,INT(((CROQUIS!$C$98)-CROQUIS!$C$107)/MAX(CROQUIS!$C$130,1))+1)))-1,0),0,MOD($A395-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395-1)/5),MAX((MIN(80,MAX(1,INT(((CROQUIS!$C$98)-CROQUIS!$C$107)/MAX(CROQUIS!$C$130,1))+1)))-1,0))*CROQUIS!$C$130)))*CROQUIS!$C$155)+IF(CROQUIS!$C$92="X",0,0)),-1000)</f>
        <v>-1000</v>
      </c>
      <c r="BU395">
        <f>IF(AND(CROQUIS!$C$88=1,CROQUIS!$C$91=1,CROQUIS!$C$130&gt;0),((CROQUIS!$C$157+(IF(CROQUIS!$C$92="X",((CROQUIS!$C$107/2+(((CROQUIS!$C$98)-CROQUIS!$C$107)-(MIN(80,MAX(1,INT(((CROQUIS!$C$98)-CROQUIS!$C$107)/MAX(CROQUIS!$C$130,1))+1))-1)*CROQUIS!$C$130)/2)+MIN(INT(($A395-1)/5),MAX((MIN(80,MAX(1,INT(((CROQUIS!$C$98)-CROQUIS!$C$107)/MAX(CROQUIS!$C$130,1))+1)))-1,0))*CROQUIS!$C$130),CHOOSE(IF(INT(($A395-1)/5)&gt;MAX((MIN(80,MAX(1,INT(((CROQUIS!$C$98)-CROQUIS!$C$107)/MAX(CROQUIS!$C$130,1))+1)))-1,0),0,MOD($A395-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96">
      <c r="A396" t="n">
        <v>389</v>
      </c>
      <c r="BH396">
        <f>IF(AND(CROQUIS!$C$88=1,CROQUIS!$C$126&gt;0),((CROQUIS!$C$156+(IF(CROQUIS!$C$92="X",CHOOSE(IF(INT(($A396-1)/5)&gt;MAX((MIN(80,MAX(1,INT(((CROQUIS!$C$98)-CROQUIS!$C$107)/MAX(CROQUIS!$C$126,1))+1)))-1,0),0,MOD($A396-1,5))+1,0,2,CROQUIS!$C$97-2,2,0),((CROQUIS!$C$107/2+(((CROQUIS!$C$98)-CROQUIS!$C$107)-(MIN(80,MAX(1,INT(((CROQUIS!$C$98)-CROQUIS!$C$107)/MAX(CROQUIS!$C$126,1))+1))-1)*CROQUIS!$C$126)/2)+MIN(INT(($A396-1)/5),MAX((MIN(80,MAX(1,INT(((CROQUIS!$C$98)-CROQUIS!$C$107)/MAX(CROQUIS!$C$126,1))+1)))-1,0))*CROQUIS!$C$126)))*CROQUIS!$C$155)+IF(CROQUIS!$C$92="X",0,0)),-1000)</f>
        <v>-1000</v>
      </c>
      <c r="BI396">
        <f>IF(AND(CROQUIS!$C$88=1,CROQUIS!$C$126&gt;0),((CROQUIS!$C$157+(IF(CROQUIS!$C$92="X",((CROQUIS!$C$107/2+(((CROQUIS!$C$98)-CROQUIS!$C$107)-(MIN(80,MAX(1,INT(((CROQUIS!$C$98)-CROQUIS!$C$107)/MAX(CROQUIS!$C$126,1))+1))-1)*CROQUIS!$C$126)/2)+MIN(INT(($A396-1)/5),MAX((MIN(80,MAX(1,INT(((CROQUIS!$C$98)-CROQUIS!$C$107)/MAX(CROQUIS!$C$126,1))+1)))-1,0))*CROQUIS!$C$126),CHOOSE(IF(INT(($A396-1)/5)&gt;MAX((MIN(80,MAX(1,INT(((CROQUIS!$C$98)-CROQUIS!$C$107)/MAX(CROQUIS!$C$126,1))+1)))-1,0),0,MOD($A396-1,5))+1,0,2,CROQUIS!$C$97-2,2,0)))*CROQUIS!$C$155)+IF(CROQUIS!$C$92="X",0,0)),-1000)</f>
        <v>-1000</v>
      </c>
      <c r="BJ396">
        <f>IF(AND(CROQUIS!$C$88=1,CROQUIS!$C$134&gt;0),((CROQUIS!$C$156+(IF(CROQUIS!$C$92="X",((CROQUIS!$C$107/2+(((CROQUIS!$C$97)-CROQUIS!$C$107)-(MIN(80,MAX(1,INT(((CROQUIS!$C$97)-CROQUIS!$C$107)/MAX(CROQUIS!$C$134,1))+1))-1)*CROQUIS!$C$134)/2)+MIN(INT(($A396-1)/5),MAX((MIN(80,MAX(1,INT(((CROQUIS!$C$97)-CROQUIS!$C$107)/MAX(CROQUIS!$C$134,1))+1)))-1,0))*CROQUIS!$C$134),CHOOSE(IF(INT(($A396-1)/5)&gt;MAX((MIN(80,MAX(1,INT(((CROQUIS!$C$97)-CROQUIS!$C$107)/MAX(CROQUIS!$C$134,1))+1)))-1,0),0,MOD($A396-1,5))+1,0,2,CROQUIS!$C$98-2,2,0)))*CROQUIS!$C$155)+IF(CROQUIS!$C$92="X",0,0)),-1000)</f>
        <v>-1000</v>
      </c>
      <c r="BK396">
        <f>IF(AND(CROQUIS!$C$88=1,CROQUIS!$C$134&gt;0),((CROQUIS!$C$157+(IF(CROQUIS!$C$92="X",CHOOSE(IF(INT(($A396-1)/5)&gt;MAX((MIN(80,MAX(1,INT(((CROQUIS!$C$97)-CROQUIS!$C$107)/MAX(CROQUIS!$C$134,1))+1)))-1,0),0,MOD($A396-1,5))+1,0,2,CROQUIS!$C$98-2,2,0),((CROQUIS!$C$107/2+(((CROQUIS!$C$97)-CROQUIS!$C$107)-(MIN(80,MAX(1,INT(((CROQUIS!$C$97)-CROQUIS!$C$107)/MAX(CROQUIS!$C$134,1))+1))-1)*CROQUIS!$C$134)/2)+MIN(INT(($A396-1)/5),MAX((MIN(80,MAX(1,INT(((CROQUIS!$C$97)-CROQUIS!$C$107)/MAX(CROQUIS!$C$134,1))+1)))-1,0))*CROQUIS!$C$134)))*CROQUIS!$C$155)+IF(CROQUIS!$C$92="X",0,0)),-1000)</f>
        <v>-1000</v>
      </c>
      <c r="BL396">
        <f>IF(AND(CROQUIS!$C$88=1,CROQUIS!$C$91=0,CROQUIS!$C$130&gt;0,OR(CROQUIS!$C$103=1,CROQUIS!$C$142=1)),((CROQUIS!$C$156+(IF(CROQUIS!$C$92="X",CHOOSE(IF(INT(($A396-1)/5)&gt;MAX((MIN(80,MAX(1,INT(((CROQUIS!$C$98)-CROQUIS!$C$107)/MAX(CROQUIS!$C$130,1))+1)))-1,0),0,MOD($A396-1,5))+1,0,IF(CROQUIS!$C$103=1,-12,2),CROQUIS!$C$107/2+CROQUIS!$C$140,IF(CROQUIS!$C$103=1,-12,2),0),((CROQUIS!$C$107/2+(((CROQUIS!$C$98)-CROQUIS!$C$107)-(MIN(80,MAX(1,INT(((CROQUIS!$C$98)-CROQUIS!$C$107)/MAX(CROQUIS!$C$130,1))+1))-1)*CROQUIS!$C$130)/2)+MIN(INT(($A396-1)/5),MAX((MIN(80,MAX(1,INT(((CROQUIS!$C$98)-CROQUIS!$C$107)/MAX(CROQUIS!$C$130,1))+1)))-1,0))*CROQUIS!$C$130)))*CROQUIS!$C$155)+IF(CROQUIS!$C$92="X",0,0)),-1000)</f>
        <v>-1000</v>
      </c>
      <c r="BM39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396-1)/5),MAX((MIN(80,MAX(1,INT(((CROQUIS!$C$98)-CROQUIS!$C$107)/MAX(CROQUIS!$C$130,1))+1)))-1,0))*CROQUIS!$C$130),CHOOSE(IF(INT(($A396-1)/5)&gt;MAX((MIN(80,MAX(1,INT(((CROQUIS!$C$98)-CROQUIS!$C$107)/MAX(CROQUIS!$C$130,1))+1)))-1,0),0,MOD($A396-1,5))+1,0,IF(CROQUIS!$C$103=1,-12,2),CROQUIS!$C$107/2+CROQUIS!$C$140,IF(CROQUIS!$C$103=1,-12,2),0)))*CROQUIS!$C$155)+IF(CROQUIS!$C$92="X",0,0)),-1000)</f>
        <v>-1000</v>
      </c>
      <c r="BN396">
        <f>IF(AND(CROQUIS!$C$88=1,CROQUIS!$C$91=0,CROQUIS!$C$130&gt;0,OR(CROQUIS!$C$104=1,CROQUIS!$C$142=1)),((CROQUIS!$C$156+(IF(CROQUIS!$C$92="X",CHOOSE(IF(INT(($A396-1)/5)&gt;MAX((MIN(80,MAX(1,INT(((CROQUIS!$C$98)-CROQUIS!$C$107)/MAX(CROQUIS!$C$130,1))+1)))-1,0),0,MOD($A396-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396-1)/5),MAX((MIN(80,MAX(1,INT(((CROQUIS!$C$98)-CROQUIS!$C$107)/MAX(CROQUIS!$C$130,1))+1)))-1,0))*CROQUIS!$C$130)))*CROQUIS!$C$155)+IF(CROQUIS!$C$92="X",0,0)),-1000)</f>
        <v>-1000</v>
      </c>
      <c r="BO39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396-1)/5),MAX((MIN(80,MAX(1,INT(((CROQUIS!$C$98)-CROQUIS!$C$107)/MAX(CROQUIS!$C$130,1))+1)))-1,0))*CROQUIS!$C$130),CHOOSE(IF(INT(($A396-1)/5)&gt;MAX((MIN(80,MAX(1,INT(((CROQUIS!$C$98)-CROQUIS!$C$107)/MAX(CROQUIS!$C$130,1))+1)))-1,0),0,MOD($A396-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9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396-1)/5),MAX((MIN(80,MAX(1,INT(((CROQUIS!$C$97)-CROQUIS!$C$107)/MAX(CROQUIS!$C$138,1))+1)))-1,0))*CROQUIS!$C$138),CHOOSE(IF(INT(($A396-1)/5)&gt;MAX((MIN(80,MAX(1,INT(((CROQUIS!$C$97)-CROQUIS!$C$107)/MAX(CROQUIS!$C$138,1))+1)))-1,0),0,MOD($A396-1,5))+1,0,IF(CROQUIS!$C$105=1,-12,2),CROQUIS!$C$107/2+CROQUIS!$C$141,IF(CROQUIS!$C$105=1,-12,2),0)))*CROQUIS!$C$155)+IF(CROQUIS!$C$92="X",0,0)),-1000)</f>
        <v>-1000</v>
      </c>
      <c r="BQ396">
        <f>IF(AND(CROQUIS!$C$88=1,CROQUIS!$C$91=0,CROQUIS!$C$138&gt;0,OR(CROQUIS!$C$105=1,CROQUIS!$C$143=1)),((CROQUIS!$C$157+(IF(CROQUIS!$C$92="X",CHOOSE(IF(INT(($A396-1)/5)&gt;MAX((MIN(80,MAX(1,INT(((CROQUIS!$C$97)-CROQUIS!$C$107)/MAX(CROQUIS!$C$138,1))+1)))-1,0),0,MOD($A396-1,5))+1,0,IF(CROQUIS!$C$105=1,-12,2),CROQUIS!$C$107/2+CROQUIS!$C$141,IF(CROQUIS!$C$105=1,-12,2),0),((CROQUIS!$C$107/2+(((CROQUIS!$C$97)-CROQUIS!$C$107)-(MIN(80,MAX(1,INT(((CROQUIS!$C$97)-CROQUIS!$C$107)/MAX(CROQUIS!$C$138,1))+1))-1)*CROQUIS!$C$138)/2)+MIN(INT(($A396-1)/5),MAX((MIN(80,MAX(1,INT(((CROQUIS!$C$97)-CROQUIS!$C$107)/MAX(CROQUIS!$C$138,1))+1)))-1,0))*CROQUIS!$C$138)))*CROQUIS!$C$155)+IF(CROQUIS!$C$92="X",0,0)),-1000)</f>
        <v>-1000</v>
      </c>
      <c r="BR39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396-1)/5),MAX((MIN(80,MAX(1,INT(((CROQUIS!$C$97)-CROQUIS!$C$107)/MAX(CROQUIS!$C$138,1))+1)))-1,0))*CROQUIS!$C$138),CHOOSE(IF(INT(($A396-1)/5)&gt;MAX((MIN(80,MAX(1,INT(((CROQUIS!$C$97)-CROQUIS!$C$107)/MAX(CROQUIS!$C$138,1))+1)))-1,0),0,MOD($A396-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96">
        <f>IF(AND(CROQUIS!$C$88=1,CROQUIS!$C$91=0,CROQUIS!$C$138&gt;0,OR(CROQUIS!$C$106=1,CROQUIS!$C$143=1)),((CROQUIS!$C$157+(IF(CROQUIS!$C$92="X",CHOOSE(IF(INT(($A396-1)/5)&gt;MAX((MIN(80,MAX(1,INT(((CROQUIS!$C$97)-CROQUIS!$C$107)/MAX(CROQUIS!$C$138,1))+1)))-1,0),0,MOD($A396-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396-1)/5),MAX((MIN(80,MAX(1,INT(((CROQUIS!$C$97)-CROQUIS!$C$107)/MAX(CROQUIS!$C$138,1))+1)))-1,0))*CROQUIS!$C$138)))*CROQUIS!$C$155)+IF(CROQUIS!$C$92="X",0,0)),-1000)</f>
        <v>-1000</v>
      </c>
      <c r="BT396">
        <f>IF(AND(CROQUIS!$C$88=1,CROQUIS!$C$91=1,CROQUIS!$C$130&gt;0),((CROQUIS!$C$156+(IF(CROQUIS!$C$92="X",CHOOSE(IF(INT(($A396-1)/5)&gt;MAX((MIN(80,MAX(1,INT(((CROQUIS!$C$98)-CROQUIS!$C$107)/MAX(CROQUIS!$C$130,1))+1)))-1,0),0,MOD($A396-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396-1)/5),MAX((MIN(80,MAX(1,INT(((CROQUIS!$C$98)-CROQUIS!$C$107)/MAX(CROQUIS!$C$130,1))+1)))-1,0))*CROQUIS!$C$130)))*CROQUIS!$C$155)+IF(CROQUIS!$C$92="X",0,0)),-1000)</f>
        <v>-1000</v>
      </c>
      <c r="BU396">
        <f>IF(AND(CROQUIS!$C$88=1,CROQUIS!$C$91=1,CROQUIS!$C$130&gt;0),((CROQUIS!$C$157+(IF(CROQUIS!$C$92="X",((CROQUIS!$C$107/2+(((CROQUIS!$C$98)-CROQUIS!$C$107)-(MIN(80,MAX(1,INT(((CROQUIS!$C$98)-CROQUIS!$C$107)/MAX(CROQUIS!$C$130,1))+1))-1)*CROQUIS!$C$130)/2)+MIN(INT(($A396-1)/5),MAX((MIN(80,MAX(1,INT(((CROQUIS!$C$98)-CROQUIS!$C$107)/MAX(CROQUIS!$C$130,1))+1)))-1,0))*CROQUIS!$C$130),CHOOSE(IF(INT(($A396-1)/5)&gt;MAX((MIN(80,MAX(1,INT(((CROQUIS!$C$98)-CROQUIS!$C$107)/MAX(CROQUIS!$C$130,1))+1)))-1,0),0,MOD($A396-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97">
      <c r="A397" t="n">
        <v>390</v>
      </c>
      <c r="BH397">
        <f>IF(AND(CROQUIS!$C$88=1,CROQUIS!$C$126&gt;0),((CROQUIS!$C$156+(IF(CROQUIS!$C$92="X",CHOOSE(IF(INT(($A397-1)/5)&gt;MAX((MIN(80,MAX(1,INT(((CROQUIS!$C$98)-CROQUIS!$C$107)/MAX(CROQUIS!$C$126,1))+1)))-1,0),0,MOD($A397-1,5))+1,0,2,CROQUIS!$C$97-2,2,0),((CROQUIS!$C$107/2+(((CROQUIS!$C$98)-CROQUIS!$C$107)-(MIN(80,MAX(1,INT(((CROQUIS!$C$98)-CROQUIS!$C$107)/MAX(CROQUIS!$C$126,1))+1))-1)*CROQUIS!$C$126)/2)+MIN(INT(($A397-1)/5),MAX((MIN(80,MAX(1,INT(((CROQUIS!$C$98)-CROQUIS!$C$107)/MAX(CROQUIS!$C$126,1))+1)))-1,0))*CROQUIS!$C$126)))*CROQUIS!$C$155)+IF(CROQUIS!$C$92="X",0,0)),-1000)</f>
        <v>-1000</v>
      </c>
      <c r="BI397">
        <f>IF(AND(CROQUIS!$C$88=1,CROQUIS!$C$126&gt;0),((CROQUIS!$C$157+(IF(CROQUIS!$C$92="X",((CROQUIS!$C$107/2+(((CROQUIS!$C$98)-CROQUIS!$C$107)-(MIN(80,MAX(1,INT(((CROQUIS!$C$98)-CROQUIS!$C$107)/MAX(CROQUIS!$C$126,1))+1))-1)*CROQUIS!$C$126)/2)+MIN(INT(($A397-1)/5),MAX((MIN(80,MAX(1,INT(((CROQUIS!$C$98)-CROQUIS!$C$107)/MAX(CROQUIS!$C$126,1))+1)))-1,0))*CROQUIS!$C$126),CHOOSE(IF(INT(($A397-1)/5)&gt;MAX((MIN(80,MAX(1,INT(((CROQUIS!$C$98)-CROQUIS!$C$107)/MAX(CROQUIS!$C$126,1))+1)))-1,0),0,MOD($A397-1,5))+1,0,2,CROQUIS!$C$97-2,2,0)))*CROQUIS!$C$155)+IF(CROQUIS!$C$92="X",0,0)),-1000)</f>
        <v>-1000</v>
      </c>
      <c r="BJ397">
        <f>IF(AND(CROQUIS!$C$88=1,CROQUIS!$C$134&gt;0),((CROQUIS!$C$156+(IF(CROQUIS!$C$92="X",((CROQUIS!$C$107/2+(((CROQUIS!$C$97)-CROQUIS!$C$107)-(MIN(80,MAX(1,INT(((CROQUIS!$C$97)-CROQUIS!$C$107)/MAX(CROQUIS!$C$134,1))+1))-1)*CROQUIS!$C$134)/2)+MIN(INT(($A397-1)/5),MAX((MIN(80,MAX(1,INT(((CROQUIS!$C$97)-CROQUIS!$C$107)/MAX(CROQUIS!$C$134,1))+1)))-1,0))*CROQUIS!$C$134),CHOOSE(IF(INT(($A397-1)/5)&gt;MAX((MIN(80,MAX(1,INT(((CROQUIS!$C$97)-CROQUIS!$C$107)/MAX(CROQUIS!$C$134,1))+1)))-1,0),0,MOD($A397-1,5))+1,0,2,CROQUIS!$C$98-2,2,0)))*CROQUIS!$C$155)+IF(CROQUIS!$C$92="X",0,0)),-1000)</f>
        <v>-1000</v>
      </c>
      <c r="BK397">
        <f>IF(AND(CROQUIS!$C$88=1,CROQUIS!$C$134&gt;0),((CROQUIS!$C$157+(IF(CROQUIS!$C$92="X",CHOOSE(IF(INT(($A397-1)/5)&gt;MAX((MIN(80,MAX(1,INT(((CROQUIS!$C$97)-CROQUIS!$C$107)/MAX(CROQUIS!$C$134,1))+1)))-1,0),0,MOD($A397-1,5))+1,0,2,CROQUIS!$C$98-2,2,0),((CROQUIS!$C$107/2+(((CROQUIS!$C$97)-CROQUIS!$C$107)-(MIN(80,MAX(1,INT(((CROQUIS!$C$97)-CROQUIS!$C$107)/MAX(CROQUIS!$C$134,1))+1))-1)*CROQUIS!$C$134)/2)+MIN(INT(($A397-1)/5),MAX((MIN(80,MAX(1,INT(((CROQUIS!$C$97)-CROQUIS!$C$107)/MAX(CROQUIS!$C$134,1))+1)))-1,0))*CROQUIS!$C$134)))*CROQUIS!$C$155)+IF(CROQUIS!$C$92="X",0,0)),-1000)</f>
        <v>-1000</v>
      </c>
      <c r="BL397">
        <f>IF(AND(CROQUIS!$C$88=1,CROQUIS!$C$91=0,CROQUIS!$C$130&gt;0,OR(CROQUIS!$C$103=1,CROQUIS!$C$142=1)),((CROQUIS!$C$156+(IF(CROQUIS!$C$92="X",CHOOSE(IF(INT(($A397-1)/5)&gt;MAX((MIN(80,MAX(1,INT(((CROQUIS!$C$98)-CROQUIS!$C$107)/MAX(CROQUIS!$C$130,1))+1)))-1,0),0,MOD($A397-1,5))+1,0,IF(CROQUIS!$C$103=1,-12,2),CROQUIS!$C$107/2+CROQUIS!$C$140,IF(CROQUIS!$C$103=1,-12,2),0),((CROQUIS!$C$107/2+(((CROQUIS!$C$98)-CROQUIS!$C$107)-(MIN(80,MAX(1,INT(((CROQUIS!$C$98)-CROQUIS!$C$107)/MAX(CROQUIS!$C$130,1))+1))-1)*CROQUIS!$C$130)/2)+MIN(INT(($A397-1)/5),MAX((MIN(80,MAX(1,INT(((CROQUIS!$C$98)-CROQUIS!$C$107)/MAX(CROQUIS!$C$130,1))+1)))-1,0))*CROQUIS!$C$130)))*CROQUIS!$C$155)+IF(CROQUIS!$C$92="X",0,0)),-1000)</f>
        <v>-1000</v>
      </c>
      <c r="BM39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397-1)/5),MAX((MIN(80,MAX(1,INT(((CROQUIS!$C$98)-CROQUIS!$C$107)/MAX(CROQUIS!$C$130,1))+1)))-1,0))*CROQUIS!$C$130),CHOOSE(IF(INT(($A397-1)/5)&gt;MAX((MIN(80,MAX(1,INT(((CROQUIS!$C$98)-CROQUIS!$C$107)/MAX(CROQUIS!$C$130,1))+1)))-1,0),0,MOD($A397-1,5))+1,0,IF(CROQUIS!$C$103=1,-12,2),CROQUIS!$C$107/2+CROQUIS!$C$140,IF(CROQUIS!$C$103=1,-12,2),0)))*CROQUIS!$C$155)+IF(CROQUIS!$C$92="X",0,0)),-1000)</f>
        <v>-1000</v>
      </c>
      <c r="BN397">
        <f>IF(AND(CROQUIS!$C$88=1,CROQUIS!$C$91=0,CROQUIS!$C$130&gt;0,OR(CROQUIS!$C$104=1,CROQUIS!$C$142=1)),((CROQUIS!$C$156+(IF(CROQUIS!$C$92="X",CHOOSE(IF(INT(($A397-1)/5)&gt;MAX((MIN(80,MAX(1,INT(((CROQUIS!$C$98)-CROQUIS!$C$107)/MAX(CROQUIS!$C$130,1))+1)))-1,0),0,MOD($A397-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397-1)/5),MAX((MIN(80,MAX(1,INT(((CROQUIS!$C$98)-CROQUIS!$C$107)/MAX(CROQUIS!$C$130,1))+1)))-1,0))*CROQUIS!$C$130)))*CROQUIS!$C$155)+IF(CROQUIS!$C$92="X",0,0)),-1000)</f>
        <v>-1000</v>
      </c>
      <c r="BO39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397-1)/5),MAX((MIN(80,MAX(1,INT(((CROQUIS!$C$98)-CROQUIS!$C$107)/MAX(CROQUIS!$C$130,1))+1)))-1,0))*CROQUIS!$C$130),CHOOSE(IF(INT(($A397-1)/5)&gt;MAX((MIN(80,MAX(1,INT(((CROQUIS!$C$98)-CROQUIS!$C$107)/MAX(CROQUIS!$C$130,1))+1)))-1,0),0,MOD($A397-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9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397-1)/5),MAX((MIN(80,MAX(1,INT(((CROQUIS!$C$97)-CROQUIS!$C$107)/MAX(CROQUIS!$C$138,1))+1)))-1,0))*CROQUIS!$C$138),CHOOSE(IF(INT(($A397-1)/5)&gt;MAX((MIN(80,MAX(1,INT(((CROQUIS!$C$97)-CROQUIS!$C$107)/MAX(CROQUIS!$C$138,1))+1)))-1,0),0,MOD($A397-1,5))+1,0,IF(CROQUIS!$C$105=1,-12,2),CROQUIS!$C$107/2+CROQUIS!$C$141,IF(CROQUIS!$C$105=1,-12,2),0)))*CROQUIS!$C$155)+IF(CROQUIS!$C$92="X",0,0)),-1000)</f>
        <v>-1000</v>
      </c>
      <c r="BQ397">
        <f>IF(AND(CROQUIS!$C$88=1,CROQUIS!$C$91=0,CROQUIS!$C$138&gt;0,OR(CROQUIS!$C$105=1,CROQUIS!$C$143=1)),((CROQUIS!$C$157+(IF(CROQUIS!$C$92="X",CHOOSE(IF(INT(($A397-1)/5)&gt;MAX((MIN(80,MAX(1,INT(((CROQUIS!$C$97)-CROQUIS!$C$107)/MAX(CROQUIS!$C$138,1))+1)))-1,0),0,MOD($A397-1,5))+1,0,IF(CROQUIS!$C$105=1,-12,2),CROQUIS!$C$107/2+CROQUIS!$C$141,IF(CROQUIS!$C$105=1,-12,2),0),((CROQUIS!$C$107/2+(((CROQUIS!$C$97)-CROQUIS!$C$107)-(MIN(80,MAX(1,INT(((CROQUIS!$C$97)-CROQUIS!$C$107)/MAX(CROQUIS!$C$138,1))+1))-1)*CROQUIS!$C$138)/2)+MIN(INT(($A397-1)/5),MAX((MIN(80,MAX(1,INT(((CROQUIS!$C$97)-CROQUIS!$C$107)/MAX(CROQUIS!$C$138,1))+1)))-1,0))*CROQUIS!$C$138)))*CROQUIS!$C$155)+IF(CROQUIS!$C$92="X",0,0)),-1000)</f>
        <v>-1000</v>
      </c>
      <c r="BR39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397-1)/5),MAX((MIN(80,MAX(1,INT(((CROQUIS!$C$97)-CROQUIS!$C$107)/MAX(CROQUIS!$C$138,1))+1)))-1,0))*CROQUIS!$C$138),CHOOSE(IF(INT(($A397-1)/5)&gt;MAX((MIN(80,MAX(1,INT(((CROQUIS!$C$97)-CROQUIS!$C$107)/MAX(CROQUIS!$C$138,1))+1)))-1,0),0,MOD($A397-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97">
        <f>IF(AND(CROQUIS!$C$88=1,CROQUIS!$C$91=0,CROQUIS!$C$138&gt;0,OR(CROQUIS!$C$106=1,CROQUIS!$C$143=1)),((CROQUIS!$C$157+(IF(CROQUIS!$C$92="X",CHOOSE(IF(INT(($A397-1)/5)&gt;MAX((MIN(80,MAX(1,INT(((CROQUIS!$C$97)-CROQUIS!$C$107)/MAX(CROQUIS!$C$138,1))+1)))-1,0),0,MOD($A397-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397-1)/5),MAX((MIN(80,MAX(1,INT(((CROQUIS!$C$97)-CROQUIS!$C$107)/MAX(CROQUIS!$C$138,1))+1)))-1,0))*CROQUIS!$C$138)))*CROQUIS!$C$155)+IF(CROQUIS!$C$92="X",0,0)),-1000)</f>
        <v>-1000</v>
      </c>
      <c r="BT397">
        <f>IF(AND(CROQUIS!$C$88=1,CROQUIS!$C$91=1,CROQUIS!$C$130&gt;0),((CROQUIS!$C$156+(IF(CROQUIS!$C$92="X",CHOOSE(IF(INT(($A397-1)/5)&gt;MAX((MIN(80,MAX(1,INT(((CROQUIS!$C$98)-CROQUIS!$C$107)/MAX(CROQUIS!$C$130,1))+1)))-1,0),0,MOD($A397-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397-1)/5),MAX((MIN(80,MAX(1,INT(((CROQUIS!$C$98)-CROQUIS!$C$107)/MAX(CROQUIS!$C$130,1))+1)))-1,0))*CROQUIS!$C$130)))*CROQUIS!$C$155)+IF(CROQUIS!$C$92="X",0,0)),-1000)</f>
        <v>-1000</v>
      </c>
      <c r="BU397">
        <f>IF(AND(CROQUIS!$C$88=1,CROQUIS!$C$91=1,CROQUIS!$C$130&gt;0),((CROQUIS!$C$157+(IF(CROQUIS!$C$92="X",((CROQUIS!$C$107/2+(((CROQUIS!$C$98)-CROQUIS!$C$107)-(MIN(80,MAX(1,INT(((CROQUIS!$C$98)-CROQUIS!$C$107)/MAX(CROQUIS!$C$130,1))+1))-1)*CROQUIS!$C$130)/2)+MIN(INT(($A397-1)/5),MAX((MIN(80,MAX(1,INT(((CROQUIS!$C$98)-CROQUIS!$C$107)/MAX(CROQUIS!$C$130,1))+1)))-1,0))*CROQUIS!$C$130),CHOOSE(IF(INT(($A397-1)/5)&gt;MAX((MIN(80,MAX(1,INT(((CROQUIS!$C$98)-CROQUIS!$C$107)/MAX(CROQUIS!$C$130,1))+1)))-1,0),0,MOD($A397-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98">
      <c r="A398" t="n">
        <v>391</v>
      </c>
      <c r="BH398">
        <f>IF(AND(CROQUIS!$C$88=1,CROQUIS!$C$126&gt;0),((CROQUIS!$C$156+(IF(CROQUIS!$C$92="X",CHOOSE(IF(INT(($A398-1)/5)&gt;MAX((MIN(80,MAX(1,INT(((CROQUIS!$C$98)-CROQUIS!$C$107)/MAX(CROQUIS!$C$126,1))+1)))-1,0),0,MOD($A398-1,5))+1,0,2,CROQUIS!$C$97-2,2,0),((CROQUIS!$C$107/2+(((CROQUIS!$C$98)-CROQUIS!$C$107)-(MIN(80,MAX(1,INT(((CROQUIS!$C$98)-CROQUIS!$C$107)/MAX(CROQUIS!$C$126,1))+1))-1)*CROQUIS!$C$126)/2)+MIN(INT(($A398-1)/5),MAX((MIN(80,MAX(1,INT(((CROQUIS!$C$98)-CROQUIS!$C$107)/MAX(CROQUIS!$C$126,1))+1)))-1,0))*CROQUIS!$C$126)))*CROQUIS!$C$155)+IF(CROQUIS!$C$92="X",0,0)),-1000)</f>
        <v>-1000</v>
      </c>
      <c r="BI398">
        <f>IF(AND(CROQUIS!$C$88=1,CROQUIS!$C$126&gt;0),((CROQUIS!$C$157+(IF(CROQUIS!$C$92="X",((CROQUIS!$C$107/2+(((CROQUIS!$C$98)-CROQUIS!$C$107)-(MIN(80,MAX(1,INT(((CROQUIS!$C$98)-CROQUIS!$C$107)/MAX(CROQUIS!$C$126,1))+1))-1)*CROQUIS!$C$126)/2)+MIN(INT(($A398-1)/5),MAX((MIN(80,MAX(1,INT(((CROQUIS!$C$98)-CROQUIS!$C$107)/MAX(CROQUIS!$C$126,1))+1)))-1,0))*CROQUIS!$C$126),CHOOSE(IF(INT(($A398-1)/5)&gt;MAX((MIN(80,MAX(1,INT(((CROQUIS!$C$98)-CROQUIS!$C$107)/MAX(CROQUIS!$C$126,1))+1)))-1,0),0,MOD($A398-1,5))+1,0,2,CROQUIS!$C$97-2,2,0)))*CROQUIS!$C$155)+IF(CROQUIS!$C$92="X",0,0)),-1000)</f>
        <v>-1000</v>
      </c>
      <c r="BJ398">
        <f>IF(AND(CROQUIS!$C$88=1,CROQUIS!$C$134&gt;0),((CROQUIS!$C$156+(IF(CROQUIS!$C$92="X",((CROQUIS!$C$107/2+(((CROQUIS!$C$97)-CROQUIS!$C$107)-(MIN(80,MAX(1,INT(((CROQUIS!$C$97)-CROQUIS!$C$107)/MAX(CROQUIS!$C$134,1))+1))-1)*CROQUIS!$C$134)/2)+MIN(INT(($A398-1)/5),MAX((MIN(80,MAX(1,INT(((CROQUIS!$C$97)-CROQUIS!$C$107)/MAX(CROQUIS!$C$134,1))+1)))-1,0))*CROQUIS!$C$134),CHOOSE(IF(INT(($A398-1)/5)&gt;MAX((MIN(80,MAX(1,INT(((CROQUIS!$C$97)-CROQUIS!$C$107)/MAX(CROQUIS!$C$134,1))+1)))-1,0),0,MOD($A398-1,5))+1,0,2,CROQUIS!$C$98-2,2,0)))*CROQUIS!$C$155)+IF(CROQUIS!$C$92="X",0,0)),-1000)</f>
        <v>-1000</v>
      </c>
      <c r="BK398">
        <f>IF(AND(CROQUIS!$C$88=1,CROQUIS!$C$134&gt;0),((CROQUIS!$C$157+(IF(CROQUIS!$C$92="X",CHOOSE(IF(INT(($A398-1)/5)&gt;MAX((MIN(80,MAX(1,INT(((CROQUIS!$C$97)-CROQUIS!$C$107)/MAX(CROQUIS!$C$134,1))+1)))-1,0),0,MOD($A398-1,5))+1,0,2,CROQUIS!$C$98-2,2,0),((CROQUIS!$C$107/2+(((CROQUIS!$C$97)-CROQUIS!$C$107)-(MIN(80,MAX(1,INT(((CROQUIS!$C$97)-CROQUIS!$C$107)/MAX(CROQUIS!$C$134,1))+1))-1)*CROQUIS!$C$134)/2)+MIN(INT(($A398-1)/5),MAX((MIN(80,MAX(1,INT(((CROQUIS!$C$97)-CROQUIS!$C$107)/MAX(CROQUIS!$C$134,1))+1)))-1,0))*CROQUIS!$C$134)))*CROQUIS!$C$155)+IF(CROQUIS!$C$92="X",0,0)),-1000)</f>
        <v>-1000</v>
      </c>
      <c r="BL398">
        <f>IF(AND(CROQUIS!$C$88=1,CROQUIS!$C$91=0,CROQUIS!$C$130&gt;0,OR(CROQUIS!$C$103=1,CROQUIS!$C$142=1)),((CROQUIS!$C$156+(IF(CROQUIS!$C$92="X",CHOOSE(IF(INT(($A398-1)/5)&gt;MAX((MIN(80,MAX(1,INT(((CROQUIS!$C$98)-CROQUIS!$C$107)/MAX(CROQUIS!$C$130,1))+1)))-1,0),0,MOD($A398-1,5))+1,0,IF(CROQUIS!$C$103=1,-12,2),CROQUIS!$C$107/2+CROQUIS!$C$140,IF(CROQUIS!$C$103=1,-12,2),0),((CROQUIS!$C$107/2+(((CROQUIS!$C$98)-CROQUIS!$C$107)-(MIN(80,MAX(1,INT(((CROQUIS!$C$98)-CROQUIS!$C$107)/MAX(CROQUIS!$C$130,1))+1))-1)*CROQUIS!$C$130)/2)+MIN(INT(($A398-1)/5),MAX((MIN(80,MAX(1,INT(((CROQUIS!$C$98)-CROQUIS!$C$107)/MAX(CROQUIS!$C$130,1))+1)))-1,0))*CROQUIS!$C$130)))*CROQUIS!$C$155)+IF(CROQUIS!$C$92="X",0,0)),-1000)</f>
        <v>-1000</v>
      </c>
      <c r="BM398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398-1)/5),MAX((MIN(80,MAX(1,INT(((CROQUIS!$C$98)-CROQUIS!$C$107)/MAX(CROQUIS!$C$130,1))+1)))-1,0))*CROQUIS!$C$130),CHOOSE(IF(INT(($A398-1)/5)&gt;MAX((MIN(80,MAX(1,INT(((CROQUIS!$C$98)-CROQUIS!$C$107)/MAX(CROQUIS!$C$130,1))+1)))-1,0),0,MOD($A398-1,5))+1,0,IF(CROQUIS!$C$103=1,-12,2),CROQUIS!$C$107/2+CROQUIS!$C$140,IF(CROQUIS!$C$103=1,-12,2),0)))*CROQUIS!$C$155)+IF(CROQUIS!$C$92="X",0,0)),-1000)</f>
        <v>-1000</v>
      </c>
      <c r="BN398">
        <f>IF(AND(CROQUIS!$C$88=1,CROQUIS!$C$91=0,CROQUIS!$C$130&gt;0,OR(CROQUIS!$C$104=1,CROQUIS!$C$142=1)),((CROQUIS!$C$156+(IF(CROQUIS!$C$92="X",CHOOSE(IF(INT(($A398-1)/5)&gt;MAX((MIN(80,MAX(1,INT(((CROQUIS!$C$98)-CROQUIS!$C$107)/MAX(CROQUIS!$C$130,1))+1)))-1,0),0,MOD($A398-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398-1)/5),MAX((MIN(80,MAX(1,INT(((CROQUIS!$C$98)-CROQUIS!$C$107)/MAX(CROQUIS!$C$130,1))+1)))-1,0))*CROQUIS!$C$130)))*CROQUIS!$C$155)+IF(CROQUIS!$C$92="X",0,0)),-1000)</f>
        <v>-1000</v>
      </c>
      <c r="BO398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398-1)/5),MAX((MIN(80,MAX(1,INT(((CROQUIS!$C$98)-CROQUIS!$C$107)/MAX(CROQUIS!$C$130,1))+1)))-1,0))*CROQUIS!$C$130),CHOOSE(IF(INT(($A398-1)/5)&gt;MAX((MIN(80,MAX(1,INT(((CROQUIS!$C$98)-CROQUIS!$C$107)/MAX(CROQUIS!$C$130,1))+1)))-1,0),0,MOD($A398-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98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398-1)/5),MAX((MIN(80,MAX(1,INT(((CROQUIS!$C$97)-CROQUIS!$C$107)/MAX(CROQUIS!$C$138,1))+1)))-1,0))*CROQUIS!$C$138),CHOOSE(IF(INT(($A398-1)/5)&gt;MAX((MIN(80,MAX(1,INT(((CROQUIS!$C$97)-CROQUIS!$C$107)/MAX(CROQUIS!$C$138,1))+1)))-1,0),0,MOD($A398-1,5))+1,0,IF(CROQUIS!$C$105=1,-12,2),CROQUIS!$C$107/2+CROQUIS!$C$141,IF(CROQUIS!$C$105=1,-12,2),0)))*CROQUIS!$C$155)+IF(CROQUIS!$C$92="X",0,0)),-1000)</f>
        <v>-1000</v>
      </c>
      <c r="BQ398">
        <f>IF(AND(CROQUIS!$C$88=1,CROQUIS!$C$91=0,CROQUIS!$C$138&gt;0,OR(CROQUIS!$C$105=1,CROQUIS!$C$143=1)),((CROQUIS!$C$157+(IF(CROQUIS!$C$92="X",CHOOSE(IF(INT(($A398-1)/5)&gt;MAX((MIN(80,MAX(1,INT(((CROQUIS!$C$97)-CROQUIS!$C$107)/MAX(CROQUIS!$C$138,1))+1)))-1,0),0,MOD($A398-1,5))+1,0,IF(CROQUIS!$C$105=1,-12,2),CROQUIS!$C$107/2+CROQUIS!$C$141,IF(CROQUIS!$C$105=1,-12,2),0),((CROQUIS!$C$107/2+(((CROQUIS!$C$97)-CROQUIS!$C$107)-(MIN(80,MAX(1,INT(((CROQUIS!$C$97)-CROQUIS!$C$107)/MAX(CROQUIS!$C$138,1))+1))-1)*CROQUIS!$C$138)/2)+MIN(INT(($A398-1)/5),MAX((MIN(80,MAX(1,INT(((CROQUIS!$C$97)-CROQUIS!$C$107)/MAX(CROQUIS!$C$138,1))+1)))-1,0))*CROQUIS!$C$138)))*CROQUIS!$C$155)+IF(CROQUIS!$C$92="X",0,0)),-1000)</f>
        <v>-1000</v>
      </c>
      <c r="BR398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398-1)/5),MAX((MIN(80,MAX(1,INT(((CROQUIS!$C$97)-CROQUIS!$C$107)/MAX(CROQUIS!$C$138,1))+1)))-1,0))*CROQUIS!$C$138),CHOOSE(IF(INT(($A398-1)/5)&gt;MAX((MIN(80,MAX(1,INT(((CROQUIS!$C$97)-CROQUIS!$C$107)/MAX(CROQUIS!$C$138,1))+1)))-1,0),0,MOD($A398-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98">
        <f>IF(AND(CROQUIS!$C$88=1,CROQUIS!$C$91=0,CROQUIS!$C$138&gt;0,OR(CROQUIS!$C$106=1,CROQUIS!$C$143=1)),((CROQUIS!$C$157+(IF(CROQUIS!$C$92="X",CHOOSE(IF(INT(($A398-1)/5)&gt;MAX((MIN(80,MAX(1,INT(((CROQUIS!$C$97)-CROQUIS!$C$107)/MAX(CROQUIS!$C$138,1))+1)))-1,0),0,MOD($A398-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398-1)/5),MAX((MIN(80,MAX(1,INT(((CROQUIS!$C$97)-CROQUIS!$C$107)/MAX(CROQUIS!$C$138,1))+1)))-1,0))*CROQUIS!$C$138)))*CROQUIS!$C$155)+IF(CROQUIS!$C$92="X",0,0)),-1000)</f>
        <v>-1000</v>
      </c>
      <c r="BT398">
        <f>IF(AND(CROQUIS!$C$88=1,CROQUIS!$C$91=1,CROQUIS!$C$130&gt;0),((CROQUIS!$C$156+(IF(CROQUIS!$C$92="X",CHOOSE(IF(INT(($A398-1)/5)&gt;MAX((MIN(80,MAX(1,INT(((CROQUIS!$C$98)-CROQUIS!$C$107)/MAX(CROQUIS!$C$130,1))+1)))-1,0),0,MOD($A398-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398-1)/5),MAX((MIN(80,MAX(1,INT(((CROQUIS!$C$98)-CROQUIS!$C$107)/MAX(CROQUIS!$C$130,1))+1)))-1,0))*CROQUIS!$C$130)))*CROQUIS!$C$155)+IF(CROQUIS!$C$92="X",0,0)),-1000)</f>
        <v>-1000</v>
      </c>
      <c r="BU398">
        <f>IF(AND(CROQUIS!$C$88=1,CROQUIS!$C$91=1,CROQUIS!$C$130&gt;0),((CROQUIS!$C$157+(IF(CROQUIS!$C$92="X",((CROQUIS!$C$107/2+(((CROQUIS!$C$98)-CROQUIS!$C$107)-(MIN(80,MAX(1,INT(((CROQUIS!$C$98)-CROQUIS!$C$107)/MAX(CROQUIS!$C$130,1))+1))-1)*CROQUIS!$C$130)/2)+MIN(INT(($A398-1)/5),MAX((MIN(80,MAX(1,INT(((CROQUIS!$C$98)-CROQUIS!$C$107)/MAX(CROQUIS!$C$130,1))+1)))-1,0))*CROQUIS!$C$130),CHOOSE(IF(INT(($A398-1)/5)&gt;MAX((MIN(80,MAX(1,INT(((CROQUIS!$C$98)-CROQUIS!$C$107)/MAX(CROQUIS!$C$130,1))+1)))-1,0),0,MOD($A398-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399">
      <c r="A399" t="n">
        <v>392</v>
      </c>
      <c r="BH399">
        <f>IF(AND(CROQUIS!$C$88=1,CROQUIS!$C$126&gt;0),((CROQUIS!$C$156+(IF(CROQUIS!$C$92="X",CHOOSE(IF(INT(($A399-1)/5)&gt;MAX((MIN(80,MAX(1,INT(((CROQUIS!$C$98)-CROQUIS!$C$107)/MAX(CROQUIS!$C$126,1))+1)))-1,0),0,MOD($A399-1,5))+1,0,2,CROQUIS!$C$97-2,2,0),((CROQUIS!$C$107/2+(((CROQUIS!$C$98)-CROQUIS!$C$107)-(MIN(80,MAX(1,INT(((CROQUIS!$C$98)-CROQUIS!$C$107)/MAX(CROQUIS!$C$126,1))+1))-1)*CROQUIS!$C$126)/2)+MIN(INT(($A399-1)/5),MAX((MIN(80,MAX(1,INT(((CROQUIS!$C$98)-CROQUIS!$C$107)/MAX(CROQUIS!$C$126,1))+1)))-1,0))*CROQUIS!$C$126)))*CROQUIS!$C$155)+IF(CROQUIS!$C$92="X",0,0)),-1000)</f>
        <v>-1000</v>
      </c>
      <c r="BI399">
        <f>IF(AND(CROQUIS!$C$88=1,CROQUIS!$C$126&gt;0),((CROQUIS!$C$157+(IF(CROQUIS!$C$92="X",((CROQUIS!$C$107/2+(((CROQUIS!$C$98)-CROQUIS!$C$107)-(MIN(80,MAX(1,INT(((CROQUIS!$C$98)-CROQUIS!$C$107)/MAX(CROQUIS!$C$126,1))+1))-1)*CROQUIS!$C$126)/2)+MIN(INT(($A399-1)/5),MAX((MIN(80,MAX(1,INT(((CROQUIS!$C$98)-CROQUIS!$C$107)/MAX(CROQUIS!$C$126,1))+1)))-1,0))*CROQUIS!$C$126),CHOOSE(IF(INT(($A399-1)/5)&gt;MAX((MIN(80,MAX(1,INT(((CROQUIS!$C$98)-CROQUIS!$C$107)/MAX(CROQUIS!$C$126,1))+1)))-1,0),0,MOD($A399-1,5))+1,0,2,CROQUIS!$C$97-2,2,0)))*CROQUIS!$C$155)+IF(CROQUIS!$C$92="X",0,0)),-1000)</f>
        <v>-1000</v>
      </c>
      <c r="BJ399">
        <f>IF(AND(CROQUIS!$C$88=1,CROQUIS!$C$134&gt;0),((CROQUIS!$C$156+(IF(CROQUIS!$C$92="X",((CROQUIS!$C$107/2+(((CROQUIS!$C$97)-CROQUIS!$C$107)-(MIN(80,MAX(1,INT(((CROQUIS!$C$97)-CROQUIS!$C$107)/MAX(CROQUIS!$C$134,1))+1))-1)*CROQUIS!$C$134)/2)+MIN(INT(($A399-1)/5),MAX((MIN(80,MAX(1,INT(((CROQUIS!$C$97)-CROQUIS!$C$107)/MAX(CROQUIS!$C$134,1))+1)))-1,0))*CROQUIS!$C$134),CHOOSE(IF(INT(($A399-1)/5)&gt;MAX((MIN(80,MAX(1,INT(((CROQUIS!$C$97)-CROQUIS!$C$107)/MAX(CROQUIS!$C$134,1))+1)))-1,0),0,MOD($A399-1,5))+1,0,2,CROQUIS!$C$98-2,2,0)))*CROQUIS!$C$155)+IF(CROQUIS!$C$92="X",0,0)),-1000)</f>
        <v>-1000</v>
      </c>
      <c r="BK399">
        <f>IF(AND(CROQUIS!$C$88=1,CROQUIS!$C$134&gt;0),((CROQUIS!$C$157+(IF(CROQUIS!$C$92="X",CHOOSE(IF(INT(($A399-1)/5)&gt;MAX((MIN(80,MAX(1,INT(((CROQUIS!$C$97)-CROQUIS!$C$107)/MAX(CROQUIS!$C$134,1))+1)))-1,0),0,MOD($A399-1,5))+1,0,2,CROQUIS!$C$98-2,2,0),((CROQUIS!$C$107/2+(((CROQUIS!$C$97)-CROQUIS!$C$107)-(MIN(80,MAX(1,INT(((CROQUIS!$C$97)-CROQUIS!$C$107)/MAX(CROQUIS!$C$134,1))+1))-1)*CROQUIS!$C$134)/2)+MIN(INT(($A399-1)/5),MAX((MIN(80,MAX(1,INT(((CROQUIS!$C$97)-CROQUIS!$C$107)/MAX(CROQUIS!$C$134,1))+1)))-1,0))*CROQUIS!$C$134)))*CROQUIS!$C$155)+IF(CROQUIS!$C$92="X",0,0)),-1000)</f>
        <v>-1000</v>
      </c>
      <c r="BL399">
        <f>IF(AND(CROQUIS!$C$88=1,CROQUIS!$C$91=0,CROQUIS!$C$130&gt;0,OR(CROQUIS!$C$103=1,CROQUIS!$C$142=1)),((CROQUIS!$C$156+(IF(CROQUIS!$C$92="X",CHOOSE(IF(INT(($A399-1)/5)&gt;MAX((MIN(80,MAX(1,INT(((CROQUIS!$C$98)-CROQUIS!$C$107)/MAX(CROQUIS!$C$130,1))+1)))-1,0),0,MOD($A399-1,5))+1,0,IF(CROQUIS!$C$103=1,-12,2),CROQUIS!$C$107/2+CROQUIS!$C$140,IF(CROQUIS!$C$103=1,-12,2),0),((CROQUIS!$C$107/2+(((CROQUIS!$C$98)-CROQUIS!$C$107)-(MIN(80,MAX(1,INT(((CROQUIS!$C$98)-CROQUIS!$C$107)/MAX(CROQUIS!$C$130,1))+1))-1)*CROQUIS!$C$130)/2)+MIN(INT(($A399-1)/5),MAX((MIN(80,MAX(1,INT(((CROQUIS!$C$98)-CROQUIS!$C$107)/MAX(CROQUIS!$C$130,1))+1)))-1,0))*CROQUIS!$C$130)))*CROQUIS!$C$155)+IF(CROQUIS!$C$92="X",0,0)),-1000)</f>
        <v>-1000</v>
      </c>
      <c r="BM399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399-1)/5),MAX((MIN(80,MAX(1,INT(((CROQUIS!$C$98)-CROQUIS!$C$107)/MAX(CROQUIS!$C$130,1))+1)))-1,0))*CROQUIS!$C$130),CHOOSE(IF(INT(($A399-1)/5)&gt;MAX((MIN(80,MAX(1,INT(((CROQUIS!$C$98)-CROQUIS!$C$107)/MAX(CROQUIS!$C$130,1))+1)))-1,0),0,MOD($A399-1,5))+1,0,IF(CROQUIS!$C$103=1,-12,2),CROQUIS!$C$107/2+CROQUIS!$C$140,IF(CROQUIS!$C$103=1,-12,2),0)))*CROQUIS!$C$155)+IF(CROQUIS!$C$92="X",0,0)),-1000)</f>
        <v>-1000</v>
      </c>
      <c r="BN399">
        <f>IF(AND(CROQUIS!$C$88=1,CROQUIS!$C$91=0,CROQUIS!$C$130&gt;0,OR(CROQUIS!$C$104=1,CROQUIS!$C$142=1)),((CROQUIS!$C$156+(IF(CROQUIS!$C$92="X",CHOOSE(IF(INT(($A399-1)/5)&gt;MAX((MIN(80,MAX(1,INT(((CROQUIS!$C$98)-CROQUIS!$C$107)/MAX(CROQUIS!$C$130,1))+1)))-1,0),0,MOD($A399-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399-1)/5),MAX((MIN(80,MAX(1,INT(((CROQUIS!$C$98)-CROQUIS!$C$107)/MAX(CROQUIS!$C$130,1))+1)))-1,0))*CROQUIS!$C$130)))*CROQUIS!$C$155)+IF(CROQUIS!$C$92="X",0,0)),-1000)</f>
        <v>-1000</v>
      </c>
      <c r="BO399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399-1)/5),MAX((MIN(80,MAX(1,INT(((CROQUIS!$C$98)-CROQUIS!$C$107)/MAX(CROQUIS!$C$130,1))+1)))-1,0))*CROQUIS!$C$130),CHOOSE(IF(INT(($A399-1)/5)&gt;MAX((MIN(80,MAX(1,INT(((CROQUIS!$C$98)-CROQUIS!$C$107)/MAX(CROQUIS!$C$130,1))+1)))-1,0),0,MOD($A399-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399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399-1)/5),MAX((MIN(80,MAX(1,INT(((CROQUIS!$C$97)-CROQUIS!$C$107)/MAX(CROQUIS!$C$138,1))+1)))-1,0))*CROQUIS!$C$138),CHOOSE(IF(INT(($A399-1)/5)&gt;MAX((MIN(80,MAX(1,INT(((CROQUIS!$C$97)-CROQUIS!$C$107)/MAX(CROQUIS!$C$138,1))+1)))-1,0),0,MOD($A399-1,5))+1,0,IF(CROQUIS!$C$105=1,-12,2),CROQUIS!$C$107/2+CROQUIS!$C$141,IF(CROQUIS!$C$105=1,-12,2),0)))*CROQUIS!$C$155)+IF(CROQUIS!$C$92="X",0,0)),-1000)</f>
        <v>-1000</v>
      </c>
      <c r="BQ399">
        <f>IF(AND(CROQUIS!$C$88=1,CROQUIS!$C$91=0,CROQUIS!$C$138&gt;0,OR(CROQUIS!$C$105=1,CROQUIS!$C$143=1)),((CROQUIS!$C$157+(IF(CROQUIS!$C$92="X",CHOOSE(IF(INT(($A399-1)/5)&gt;MAX((MIN(80,MAX(1,INT(((CROQUIS!$C$97)-CROQUIS!$C$107)/MAX(CROQUIS!$C$138,1))+1)))-1,0),0,MOD($A399-1,5))+1,0,IF(CROQUIS!$C$105=1,-12,2),CROQUIS!$C$107/2+CROQUIS!$C$141,IF(CROQUIS!$C$105=1,-12,2),0),((CROQUIS!$C$107/2+(((CROQUIS!$C$97)-CROQUIS!$C$107)-(MIN(80,MAX(1,INT(((CROQUIS!$C$97)-CROQUIS!$C$107)/MAX(CROQUIS!$C$138,1))+1))-1)*CROQUIS!$C$138)/2)+MIN(INT(($A399-1)/5),MAX((MIN(80,MAX(1,INT(((CROQUIS!$C$97)-CROQUIS!$C$107)/MAX(CROQUIS!$C$138,1))+1)))-1,0))*CROQUIS!$C$138)))*CROQUIS!$C$155)+IF(CROQUIS!$C$92="X",0,0)),-1000)</f>
        <v>-1000</v>
      </c>
      <c r="BR399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399-1)/5),MAX((MIN(80,MAX(1,INT(((CROQUIS!$C$97)-CROQUIS!$C$107)/MAX(CROQUIS!$C$138,1))+1)))-1,0))*CROQUIS!$C$138),CHOOSE(IF(INT(($A399-1)/5)&gt;MAX((MIN(80,MAX(1,INT(((CROQUIS!$C$97)-CROQUIS!$C$107)/MAX(CROQUIS!$C$138,1))+1)))-1,0),0,MOD($A399-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399">
        <f>IF(AND(CROQUIS!$C$88=1,CROQUIS!$C$91=0,CROQUIS!$C$138&gt;0,OR(CROQUIS!$C$106=1,CROQUIS!$C$143=1)),((CROQUIS!$C$157+(IF(CROQUIS!$C$92="X",CHOOSE(IF(INT(($A399-1)/5)&gt;MAX((MIN(80,MAX(1,INT(((CROQUIS!$C$97)-CROQUIS!$C$107)/MAX(CROQUIS!$C$138,1))+1)))-1,0),0,MOD($A399-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399-1)/5),MAX((MIN(80,MAX(1,INT(((CROQUIS!$C$97)-CROQUIS!$C$107)/MAX(CROQUIS!$C$138,1))+1)))-1,0))*CROQUIS!$C$138)))*CROQUIS!$C$155)+IF(CROQUIS!$C$92="X",0,0)),-1000)</f>
        <v>-1000</v>
      </c>
      <c r="BT399">
        <f>IF(AND(CROQUIS!$C$88=1,CROQUIS!$C$91=1,CROQUIS!$C$130&gt;0),((CROQUIS!$C$156+(IF(CROQUIS!$C$92="X",CHOOSE(IF(INT(($A399-1)/5)&gt;MAX((MIN(80,MAX(1,INT(((CROQUIS!$C$98)-CROQUIS!$C$107)/MAX(CROQUIS!$C$130,1))+1)))-1,0),0,MOD($A399-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399-1)/5),MAX((MIN(80,MAX(1,INT(((CROQUIS!$C$98)-CROQUIS!$C$107)/MAX(CROQUIS!$C$130,1))+1)))-1,0))*CROQUIS!$C$130)))*CROQUIS!$C$155)+IF(CROQUIS!$C$92="X",0,0)),-1000)</f>
        <v>-1000</v>
      </c>
      <c r="BU399">
        <f>IF(AND(CROQUIS!$C$88=1,CROQUIS!$C$91=1,CROQUIS!$C$130&gt;0),((CROQUIS!$C$157+(IF(CROQUIS!$C$92="X",((CROQUIS!$C$107/2+(((CROQUIS!$C$98)-CROQUIS!$C$107)-(MIN(80,MAX(1,INT(((CROQUIS!$C$98)-CROQUIS!$C$107)/MAX(CROQUIS!$C$130,1))+1))-1)*CROQUIS!$C$130)/2)+MIN(INT(($A399-1)/5),MAX((MIN(80,MAX(1,INT(((CROQUIS!$C$98)-CROQUIS!$C$107)/MAX(CROQUIS!$C$130,1))+1)))-1,0))*CROQUIS!$C$130),CHOOSE(IF(INT(($A399-1)/5)&gt;MAX((MIN(80,MAX(1,INT(((CROQUIS!$C$98)-CROQUIS!$C$107)/MAX(CROQUIS!$C$130,1))+1)))-1,0),0,MOD($A399-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00">
      <c r="A400" t="n">
        <v>393</v>
      </c>
      <c r="BH400">
        <f>IF(AND(CROQUIS!$C$88=1,CROQUIS!$C$126&gt;0),((CROQUIS!$C$156+(IF(CROQUIS!$C$92="X",CHOOSE(IF(INT(($A400-1)/5)&gt;MAX((MIN(80,MAX(1,INT(((CROQUIS!$C$98)-CROQUIS!$C$107)/MAX(CROQUIS!$C$126,1))+1)))-1,0),0,MOD($A400-1,5))+1,0,2,CROQUIS!$C$97-2,2,0),((CROQUIS!$C$107/2+(((CROQUIS!$C$98)-CROQUIS!$C$107)-(MIN(80,MAX(1,INT(((CROQUIS!$C$98)-CROQUIS!$C$107)/MAX(CROQUIS!$C$126,1))+1))-1)*CROQUIS!$C$126)/2)+MIN(INT(($A400-1)/5),MAX((MIN(80,MAX(1,INT(((CROQUIS!$C$98)-CROQUIS!$C$107)/MAX(CROQUIS!$C$126,1))+1)))-1,0))*CROQUIS!$C$126)))*CROQUIS!$C$155)+IF(CROQUIS!$C$92="X",0,0)),-1000)</f>
        <v>-1000</v>
      </c>
      <c r="BI400">
        <f>IF(AND(CROQUIS!$C$88=1,CROQUIS!$C$126&gt;0),((CROQUIS!$C$157+(IF(CROQUIS!$C$92="X",((CROQUIS!$C$107/2+(((CROQUIS!$C$98)-CROQUIS!$C$107)-(MIN(80,MAX(1,INT(((CROQUIS!$C$98)-CROQUIS!$C$107)/MAX(CROQUIS!$C$126,1))+1))-1)*CROQUIS!$C$126)/2)+MIN(INT(($A400-1)/5),MAX((MIN(80,MAX(1,INT(((CROQUIS!$C$98)-CROQUIS!$C$107)/MAX(CROQUIS!$C$126,1))+1)))-1,0))*CROQUIS!$C$126),CHOOSE(IF(INT(($A400-1)/5)&gt;MAX((MIN(80,MAX(1,INT(((CROQUIS!$C$98)-CROQUIS!$C$107)/MAX(CROQUIS!$C$126,1))+1)))-1,0),0,MOD($A400-1,5))+1,0,2,CROQUIS!$C$97-2,2,0)))*CROQUIS!$C$155)+IF(CROQUIS!$C$92="X",0,0)),-1000)</f>
        <v>-1000</v>
      </c>
      <c r="BJ400">
        <f>IF(AND(CROQUIS!$C$88=1,CROQUIS!$C$134&gt;0),((CROQUIS!$C$156+(IF(CROQUIS!$C$92="X",((CROQUIS!$C$107/2+(((CROQUIS!$C$97)-CROQUIS!$C$107)-(MIN(80,MAX(1,INT(((CROQUIS!$C$97)-CROQUIS!$C$107)/MAX(CROQUIS!$C$134,1))+1))-1)*CROQUIS!$C$134)/2)+MIN(INT(($A400-1)/5),MAX((MIN(80,MAX(1,INT(((CROQUIS!$C$97)-CROQUIS!$C$107)/MAX(CROQUIS!$C$134,1))+1)))-1,0))*CROQUIS!$C$134),CHOOSE(IF(INT(($A400-1)/5)&gt;MAX((MIN(80,MAX(1,INT(((CROQUIS!$C$97)-CROQUIS!$C$107)/MAX(CROQUIS!$C$134,1))+1)))-1,0),0,MOD($A400-1,5))+1,0,2,CROQUIS!$C$98-2,2,0)))*CROQUIS!$C$155)+IF(CROQUIS!$C$92="X",0,0)),-1000)</f>
        <v>-1000</v>
      </c>
      <c r="BK400">
        <f>IF(AND(CROQUIS!$C$88=1,CROQUIS!$C$134&gt;0),((CROQUIS!$C$157+(IF(CROQUIS!$C$92="X",CHOOSE(IF(INT(($A400-1)/5)&gt;MAX((MIN(80,MAX(1,INT(((CROQUIS!$C$97)-CROQUIS!$C$107)/MAX(CROQUIS!$C$134,1))+1)))-1,0),0,MOD($A400-1,5))+1,0,2,CROQUIS!$C$98-2,2,0),((CROQUIS!$C$107/2+(((CROQUIS!$C$97)-CROQUIS!$C$107)-(MIN(80,MAX(1,INT(((CROQUIS!$C$97)-CROQUIS!$C$107)/MAX(CROQUIS!$C$134,1))+1))-1)*CROQUIS!$C$134)/2)+MIN(INT(($A400-1)/5),MAX((MIN(80,MAX(1,INT(((CROQUIS!$C$97)-CROQUIS!$C$107)/MAX(CROQUIS!$C$134,1))+1)))-1,0))*CROQUIS!$C$134)))*CROQUIS!$C$155)+IF(CROQUIS!$C$92="X",0,0)),-1000)</f>
        <v>-1000</v>
      </c>
      <c r="BL400">
        <f>IF(AND(CROQUIS!$C$88=1,CROQUIS!$C$91=0,CROQUIS!$C$130&gt;0,OR(CROQUIS!$C$103=1,CROQUIS!$C$142=1)),((CROQUIS!$C$156+(IF(CROQUIS!$C$92="X",CHOOSE(IF(INT(($A400-1)/5)&gt;MAX((MIN(80,MAX(1,INT(((CROQUIS!$C$98)-CROQUIS!$C$107)/MAX(CROQUIS!$C$130,1))+1)))-1,0),0,MOD($A400-1,5))+1,0,IF(CROQUIS!$C$103=1,-12,2),CROQUIS!$C$107/2+CROQUIS!$C$140,IF(CROQUIS!$C$103=1,-12,2),0),((CROQUIS!$C$107/2+(((CROQUIS!$C$98)-CROQUIS!$C$107)-(MIN(80,MAX(1,INT(((CROQUIS!$C$98)-CROQUIS!$C$107)/MAX(CROQUIS!$C$130,1))+1))-1)*CROQUIS!$C$130)/2)+MIN(INT(($A400-1)/5),MAX((MIN(80,MAX(1,INT(((CROQUIS!$C$98)-CROQUIS!$C$107)/MAX(CROQUIS!$C$130,1))+1)))-1,0))*CROQUIS!$C$130)))*CROQUIS!$C$155)+IF(CROQUIS!$C$92="X",0,0)),-1000)</f>
        <v>-1000</v>
      </c>
      <c r="BM400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400-1)/5),MAX((MIN(80,MAX(1,INT(((CROQUIS!$C$98)-CROQUIS!$C$107)/MAX(CROQUIS!$C$130,1))+1)))-1,0))*CROQUIS!$C$130),CHOOSE(IF(INT(($A400-1)/5)&gt;MAX((MIN(80,MAX(1,INT(((CROQUIS!$C$98)-CROQUIS!$C$107)/MAX(CROQUIS!$C$130,1))+1)))-1,0),0,MOD($A400-1,5))+1,0,IF(CROQUIS!$C$103=1,-12,2),CROQUIS!$C$107/2+CROQUIS!$C$140,IF(CROQUIS!$C$103=1,-12,2),0)))*CROQUIS!$C$155)+IF(CROQUIS!$C$92="X",0,0)),-1000)</f>
        <v>-1000</v>
      </c>
      <c r="BN400">
        <f>IF(AND(CROQUIS!$C$88=1,CROQUIS!$C$91=0,CROQUIS!$C$130&gt;0,OR(CROQUIS!$C$104=1,CROQUIS!$C$142=1)),((CROQUIS!$C$156+(IF(CROQUIS!$C$92="X",CHOOSE(IF(INT(($A400-1)/5)&gt;MAX((MIN(80,MAX(1,INT(((CROQUIS!$C$98)-CROQUIS!$C$107)/MAX(CROQUIS!$C$130,1))+1)))-1,0),0,MOD($A400-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400-1)/5),MAX((MIN(80,MAX(1,INT(((CROQUIS!$C$98)-CROQUIS!$C$107)/MAX(CROQUIS!$C$130,1))+1)))-1,0))*CROQUIS!$C$130)))*CROQUIS!$C$155)+IF(CROQUIS!$C$92="X",0,0)),-1000)</f>
        <v>-1000</v>
      </c>
      <c r="BO400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400-1)/5),MAX((MIN(80,MAX(1,INT(((CROQUIS!$C$98)-CROQUIS!$C$107)/MAX(CROQUIS!$C$130,1))+1)))-1,0))*CROQUIS!$C$130),CHOOSE(IF(INT(($A400-1)/5)&gt;MAX((MIN(80,MAX(1,INT(((CROQUIS!$C$98)-CROQUIS!$C$107)/MAX(CROQUIS!$C$130,1))+1)))-1,0),0,MOD($A400-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00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400-1)/5),MAX((MIN(80,MAX(1,INT(((CROQUIS!$C$97)-CROQUIS!$C$107)/MAX(CROQUIS!$C$138,1))+1)))-1,0))*CROQUIS!$C$138),CHOOSE(IF(INT(($A400-1)/5)&gt;MAX((MIN(80,MAX(1,INT(((CROQUIS!$C$97)-CROQUIS!$C$107)/MAX(CROQUIS!$C$138,1))+1)))-1,0),0,MOD($A400-1,5))+1,0,IF(CROQUIS!$C$105=1,-12,2),CROQUIS!$C$107/2+CROQUIS!$C$141,IF(CROQUIS!$C$105=1,-12,2),0)))*CROQUIS!$C$155)+IF(CROQUIS!$C$92="X",0,0)),-1000)</f>
        <v>-1000</v>
      </c>
      <c r="BQ400">
        <f>IF(AND(CROQUIS!$C$88=1,CROQUIS!$C$91=0,CROQUIS!$C$138&gt;0,OR(CROQUIS!$C$105=1,CROQUIS!$C$143=1)),((CROQUIS!$C$157+(IF(CROQUIS!$C$92="X",CHOOSE(IF(INT(($A400-1)/5)&gt;MAX((MIN(80,MAX(1,INT(((CROQUIS!$C$97)-CROQUIS!$C$107)/MAX(CROQUIS!$C$138,1))+1)))-1,0),0,MOD($A400-1,5))+1,0,IF(CROQUIS!$C$105=1,-12,2),CROQUIS!$C$107/2+CROQUIS!$C$141,IF(CROQUIS!$C$105=1,-12,2),0),((CROQUIS!$C$107/2+(((CROQUIS!$C$97)-CROQUIS!$C$107)-(MIN(80,MAX(1,INT(((CROQUIS!$C$97)-CROQUIS!$C$107)/MAX(CROQUIS!$C$138,1))+1))-1)*CROQUIS!$C$138)/2)+MIN(INT(($A400-1)/5),MAX((MIN(80,MAX(1,INT(((CROQUIS!$C$97)-CROQUIS!$C$107)/MAX(CROQUIS!$C$138,1))+1)))-1,0))*CROQUIS!$C$138)))*CROQUIS!$C$155)+IF(CROQUIS!$C$92="X",0,0)),-1000)</f>
        <v>-1000</v>
      </c>
      <c r="BR400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400-1)/5),MAX((MIN(80,MAX(1,INT(((CROQUIS!$C$97)-CROQUIS!$C$107)/MAX(CROQUIS!$C$138,1))+1)))-1,0))*CROQUIS!$C$138),CHOOSE(IF(INT(($A400-1)/5)&gt;MAX((MIN(80,MAX(1,INT(((CROQUIS!$C$97)-CROQUIS!$C$107)/MAX(CROQUIS!$C$138,1))+1)))-1,0),0,MOD($A400-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00">
        <f>IF(AND(CROQUIS!$C$88=1,CROQUIS!$C$91=0,CROQUIS!$C$138&gt;0,OR(CROQUIS!$C$106=1,CROQUIS!$C$143=1)),((CROQUIS!$C$157+(IF(CROQUIS!$C$92="X",CHOOSE(IF(INT(($A400-1)/5)&gt;MAX((MIN(80,MAX(1,INT(((CROQUIS!$C$97)-CROQUIS!$C$107)/MAX(CROQUIS!$C$138,1))+1)))-1,0),0,MOD($A400-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400-1)/5),MAX((MIN(80,MAX(1,INT(((CROQUIS!$C$97)-CROQUIS!$C$107)/MAX(CROQUIS!$C$138,1))+1)))-1,0))*CROQUIS!$C$138)))*CROQUIS!$C$155)+IF(CROQUIS!$C$92="X",0,0)),-1000)</f>
        <v>-1000</v>
      </c>
      <c r="BT400">
        <f>IF(AND(CROQUIS!$C$88=1,CROQUIS!$C$91=1,CROQUIS!$C$130&gt;0),((CROQUIS!$C$156+(IF(CROQUIS!$C$92="X",CHOOSE(IF(INT(($A400-1)/5)&gt;MAX((MIN(80,MAX(1,INT(((CROQUIS!$C$98)-CROQUIS!$C$107)/MAX(CROQUIS!$C$130,1))+1)))-1,0),0,MOD($A400-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400-1)/5),MAX((MIN(80,MAX(1,INT(((CROQUIS!$C$98)-CROQUIS!$C$107)/MAX(CROQUIS!$C$130,1))+1)))-1,0))*CROQUIS!$C$130)))*CROQUIS!$C$155)+IF(CROQUIS!$C$92="X",0,0)),-1000)</f>
        <v>-1000</v>
      </c>
      <c r="BU400">
        <f>IF(AND(CROQUIS!$C$88=1,CROQUIS!$C$91=1,CROQUIS!$C$130&gt;0),((CROQUIS!$C$157+(IF(CROQUIS!$C$92="X",((CROQUIS!$C$107/2+(((CROQUIS!$C$98)-CROQUIS!$C$107)-(MIN(80,MAX(1,INT(((CROQUIS!$C$98)-CROQUIS!$C$107)/MAX(CROQUIS!$C$130,1))+1))-1)*CROQUIS!$C$130)/2)+MIN(INT(($A400-1)/5),MAX((MIN(80,MAX(1,INT(((CROQUIS!$C$98)-CROQUIS!$C$107)/MAX(CROQUIS!$C$130,1))+1)))-1,0))*CROQUIS!$C$130),CHOOSE(IF(INT(($A400-1)/5)&gt;MAX((MIN(80,MAX(1,INT(((CROQUIS!$C$98)-CROQUIS!$C$107)/MAX(CROQUIS!$C$130,1))+1)))-1,0),0,MOD($A400-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01">
      <c r="A401" t="n">
        <v>394</v>
      </c>
      <c r="BH401">
        <f>IF(AND(CROQUIS!$C$88=1,CROQUIS!$C$126&gt;0),((CROQUIS!$C$156+(IF(CROQUIS!$C$92="X",CHOOSE(IF(INT(($A401-1)/5)&gt;MAX((MIN(80,MAX(1,INT(((CROQUIS!$C$98)-CROQUIS!$C$107)/MAX(CROQUIS!$C$126,1))+1)))-1,0),0,MOD($A401-1,5))+1,0,2,CROQUIS!$C$97-2,2,0),((CROQUIS!$C$107/2+(((CROQUIS!$C$98)-CROQUIS!$C$107)-(MIN(80,MAX(1,INT(((CROQUIS!$C$98)-CROQUIS!$C$107)/MAX(CROQUIS!$C$126,1))+1))-1)*CROQUIS!$C$126)/2)+MIN(INT(($A401-1)/5),MAX((MIN(80,MAX(1,INT(((CROQUIS!$C$98)-CROQUIS!$C$107)/MAX(CROQUIS!$C$126,1))+1)))-1,0))*CROQUIS!$C$126)))*CROQUIS!$C$155)+IF(CROQUIS!$C$92="X",0,0)),-1000)</f>
        <v>-1000</v>
      </c>
      <c r="BI401">
        <f>IF(AND(CROQUIS!$C$88=1,CROQUIS!$C$126&gt;0),((CROQUIS!$C$157+(IF(CROQUIS!$C$92="X",((CROQUIS!$C$107/2+(((CROQUIS!$C$98)-CROQUIS!$C$107)-(MIN(80,MAX(1,INT(((CROQUIS!$C$98)-CROQUIS!$C$107)/MAX(CROQUIS!$C$126,1))+1))-1)*CROQUIS!$C$126)/2)+MIN(INT(($A401-1)/5),MAX((MIN(80,MAX(1,INT(((CROQUIS!$C$98)-CROQUIS!$C$107)/MAX(CROQUIS!$C$126,1))+1)))-1,0))*CROQUIS!$C$126),CHOOSE(IF(INT(($A401-1)/5)&gt;MAX((MIN(80,MAX(1,INT(((CROQUIS!$C$98)-CROQUIS!$C$107)/MAX(CROQUIS!$C$126,1))+1)))-1,0),0,MOD($A401-1,5))+1,0,2,CROQUIS!$C$97-2,2,0)))*CROQUIS!$C$155)+IF(CROQUIS!$C$92="X",0,0)),-1000)</f>
        <v>-1000</v>
      </c>
      <c r="BJ401">
        <f>IF(AND(CROQUIS!$C$88=1,CROQUIS!$C$134&gt;0),((CROQUIS!$C$156+(IF(CROQUIS!$C$92="X",((CROQUIS!$C$107/2+(((CROQUIS!$C$97)-CROQUIS!$C$107)-(MIN(80,MAX(1,INT(((CROQUIS!$C$97)-CROQUIS!$C$107)/MAX(CROQUIS!$C$134,1))+1))-1)*CROQUIS!$C$134)/2)+MIN(INT(($A401-1)/5),MAX((MIN(80,MAX(1,INT(((CROQUIS!$C$97)-CROQUIS!$C$107)/MAX(CROQUIS!$C$134,1))+1)))-1,0))*CROQUIS!$C$134),CHOOSE(IF(INT(($A401-1)/5)&gt;MAX((MIN(80,MAX(1,INT(((CROQUIS!$C$97)-CROQUIS!$C$107)/MAX(CROQUIS!$C$134,1))+1)))-1,0),0,MOD($A401-1,5))+1,0,2,CROQUIS!$C$98-2,2,0)))*CROQUIS!$C$155)+IF(CROQUIS!$C$92="X",0,0)),-1000)</f>
        <v>-1000</v>
      </c>
      <c r="BK401">
        <f>IF(AND(CROQUIS!$C$88=1,CROQUIS!$C$134&gt;0),((CROQUIS!$C$157+(IF(CROQUIS!$C$92="X",CHOOSE(IF(INT(($A401-1)/5)&gt;MAX((MIN(80,MAX(1,INT(((CROQUIS!$C$97)-CROQUIS!$C$107)/MAX(CROQUIS!$C$134,1))+1)))-1,0),0,MOD($A401-1,5))+1,0,2,CROQUIS!$C$98-2,2,0),((CROQUIS!$C$107/2+(((CROQUIS!$C$97)-CROQUIS!$C$107)-(MIN(80,MAX(1,INT(((CROQUIS!$C$97)-CROQUIS!$C$107)/MAX(CROQUIS!$C$134,1))+1))-1)*CROQUIS!$C$134)/2)+MIN(INT(($A401-1)/5),MAX((MIN(80,MAX(1,INT(((CROQUIS!$C$97)-CROQUIS!$C$107)/MAX(CROQUIS!$C$134,1))+1)))-1,0))*CROQUIS!$C$134)))*CROQUIS!$C$155)+IF(CROQUIS!$C$92="X",0,0)),-1000)</f>
        <v>-1000</v>
      </c>
      <c r="BL401">
        <f>IF(AND(CROQUIS!$C$88=1,CROQUIS!$C$91=0,CROQUIS!$C$130&gt;0,OR(CROQUIS!$C$103=1,CROQUIS!$C$142=1)),((CROQUIS!$C$156+(IF(CROQUIS!$C$92="X",CHOOSE(IF(INT(($A401-1)/5)&gt;MAX((MIN(80,MAX(1,INT(((CROQUIS!$C$98)-CROQUIS!$C$107)/MAX(CROQUIS!$C$130,1))+1)))-1,0),0,MOD($A401-1,5))+1,0,IF(CROQUIS!$C$103=1,-12,2),CROQUIS!$C$107/2+CROQUIS!$C$140,IF(CROQUIS!$C$103=1,-12,2),0),((CROQUIS!$C$107/2+(((CROQUIS!$C$98)-CROQUIS!$C$107)-(MIN(80,MAX(1,INT(((CROQUIS!$C$98)-CROQUIS!$C$107)/MAX(CROQUIS!$C$130,1))+1))-1)*CROQUIS!$C$130)/2)+MIN(INT(($A401-1)/5),MAX((MIN(80,MAX(1,INT(((CROQUIS!$C$98)-CROQUIS!$C$107)/MAX(CROQUIS!$C$130,1))+1)))-1,0))*CROQUIS!$C$130)))*CROQUIS!$C$155)+IF(CROQUIS!$C$92="X",0,0)),-1000)</f>
        <v>-1000</v>
      </c>
      <c r="BM401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401-1)/5),MAX((MIN(80,MAX(1,INT(((CROQUIS!$C$98)-CROQUIS!$C$107)/MAX(CROQUIS!$C$130,1))+1)))-1,0))*CROQUIS!$C$130),CHOOSE(IF(INT(($A401-1)/5)&gt;MAX((MIN(80,MAX(1,INT(((CROQUIS!$C$98)-CROQUIS!$C$107)/MAX(CROQUIS!$C$130,1))+1)))-1,0),0,MOD($A401-1,5))+1,0,IF(CROQUIS!$C$103=1,-12,2),CROQUIS!$C$107/2+CROQUIS!$C$140,IF(CROQUIS!$C$103=1,-12,2),0)))*CROQUIS!$C$155)+IF(CROQUIS!$C$92="X",0,0)),-1000)</f>
        <v>-1000</v>
      </c>
      <c r="BN401">
        <f>IF(AND(CROQUIS!$C$88=1,CROQUIS!$C$91=0,CROQUIS!$C$130&gt;0,OR(CROQUIS!$C$104=1,CROQUIS!$C$142=1)),((CROQUIS!$C$156+(IF(CROQUIS!$C$92="X",CHOOSE(IF(INT(($A401-1)/5)&gt;MAX((MIN(80,MAX(1,INT(((CROQUIS!$C$98)-CROQUIS!$C$107)/MAX(CROQUIS!$C$130,1))+1)))-1,0),0,MOD($A401-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401-1)/5),MAX((MIN(80,MAX(1,INT(((CROQUIS!$C$98)-CROQUIS!$C$107)/MAX(CROQUIS!$C$130,1))+1)))-1,0))*CROQUIS!$C$130)))*CROQUIS!$C$155)+IF(CROQUIS!$C$92="X",0,0)),-1000)</f>
        <v>-1000</v>
      </c>
      <c r="BO401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401-1)/5),MAX((MIN(80,MAX(1,INT(((CROQUIS!$C$98)-CROQUIS!$C$107)/MAX(CROQUIS!$C$130,1))+1)))-1,0))*CROQUIS!$C$130),CHOOSE(IF(INT(($A401-1)/5)&gt;MAX((MIN(80,MAX(1,INT(((CROQUIS!$C$98)-CROQUIS!$C$107)/MAX(CROQUIS!$C$130,1))+1)))-1,0),0,MOD($A401-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01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401-1)/5),MAX((MIN(80,MAX(1,INT(((CROQUIS!$C$97)-CROQUIS!$C$107)/MAX(CROQUIS!$C$138,1))+1)))-1,0))*CROQUIS!$C$138),CHOOSE(IF(INT(($A401-1)/5)&gt;MAX((MIN(80,MAX(1,INT(((CROQUIS!$C$97)-CROQUIS!$C$107)/MAX(CROQUIS!$C$138,1))+1)))-1,0),0,MOD($A401-1,5))+1,0,IF(CROQUIS!$C$105=1,-12,2),CROQUIS!$C$107/2+CROQUIS!$C$141,IF(CROQUIS!$C$105=1,-12,2),0)))*CROQUIS!$C$155)+IF(CROQUIS!$C$92="X",0,0)),-1000)</f>
        <v>-1000</v>
      </c>
      <c r="BQ401">
        <f>IF(AND(CROQUIS!$C$88=1,CROQUIS!$C$91=0,CROQUIS!$C$138&gt;0,OR(CROQUIS!$C$105=1,CROQUIS!$C$143=1)),((CROQUIS!$C$157+(IF(CROQUIS!$C$92="X",CHOOSE(IF(INT(($A401-1)/5)&gt;MAX((MIN(80,MAX(1,INT(((CROQUIS!$C$97)-CROQUIS!$C$107)/MAX(CROQUIS!$C$138,1))+1)))-1,0),0,MOD($A401-1,5))+1,0,IF(CROQUIS!$C$105=1,-12,2),CROQUIS!$C$107/2+CROQUIS!$C$141,IF(CROQUIS!$C$105=1,-12,2),0),((CROQUIS!$C$107/2+(((CROQUIS!$C$97)-CROQUIS!$C$107)-(MIN(80,MAX(1,INT(((CROQUIS!$C$97)-CROQUIS!$C$107)/MAX(CROQUIS!$C$138,1))+1))-1)*CROQUIS!$C$138)/2)+MIN(INT(($A401-1)/5),MAX((MIN(80,MAX(1,INT(((CROQUIS!$C$97)-CROQUIS!$C$107)/MAX(CROQUIS!$C$138,1))+1)))-1,0))*CROQUIS!$C$138)))*CROQUIS!$C$155)+IF(CROQUIS!$C$92="X",0,0)),-1000)</f>
        <v>-1000</v>
      </c>
      <c r="BR401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401-1)/5),MAX((MIN(80,MAX(1,INT(((CROQUIS!$C$97)-CROQUIS!$C$107)/MAX(CROQUIS!$C$138,1))+1)))-1,0))*CROQUIS!$C$138),CHOOSE(IF(INT(($A401-1)/5)&gt;MAX((MIN(80,MAX(1,INT(((CROQUIS!$C$97)-CROQUIS!$C$107)/MAX(CROQUIS!$C$138,1))+1)))-1,0),0,MOD($A401-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01">
        <f>IF(AND(CROQUIS!$C$88=1,CROQUIS!$C$91=0,CROQUIS!$C$138&gt;0,OR(CROQUIS!$C$106=1,CROQUIS!$C$143=1)),((CROQUIS!$C$157+(IF(CROQUIS!$C$92="X",CHOOSE(IF(INT(($A401-1)/5)&gt;MAX((MIN(80,MAX(1,INT(((CROQUIS!$C$97)-CROQUIS!$C$107)/MAX(CROQUIS!$C$138,1))+1)))-1,0),0,MOD($A401-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401-1)/5),MAX((MIN(80,MAX(1,INT(((CROQUIS!$C$97)-CROQUIS!$C$107)/MAX(CROQUIS!$C$138,1))+1)))-1,0))*CROQUIS!$C$138)))*CROQUIS!$C$155)+IF(CROQUIS!$C$92="X",0,0)),-1000)</f>
        <v>-1000</v>
      </c>
      <c r="BT401">
        <f>IF(AND(CROQUIS!$C$88=1,CROQUIS!$C$91=1,CROQUIS!$C$130&gt;0),((CROQUIS!$C$156+(IF(CROQUIS!$C$92="X",CHOOSE(IF(INT(($A401-1)/5)&gt;MAX((MIN(80,MAX(1,INT(((CROQUIS!$C$98)-CROQUIS!$C$107)/MAX(CROQUIS!$C$130,1))+1)))-1,0),0,MOD($A401-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401-1)/5),MAX((MIN(80,MAX(1,INT(((CROQUIS!$C$98)-CROQUIS!$C$107)/MAX(CROQUIS!$C$130,1))+1)))-1,0))*CROQUIS!$C$130)))*CROQUIS!$C$155)+IF(CROQUIS!$C$92="X",0,0)),-1000)</f>
        <v>-1000</v>
      </c>
      <c r="BU401">
        <f>IF(AND(CROQUIS!$C$88=1,CROQUIS!$C$91=1,CROQUIS!$C$130&gt;0),((CROQUIS!$C$157+(IF(CROQUIS!$C$92="X",((CROQUIS!$C$107/2+(((CROQUIS!$C$98)-CROQUIS!$C$107)-(MIN(80,MAX(1,INT(((CROQUIS!$C$98)-CROQUIS!$C$107)/MAX(CROQUIS!$C$130,1))+1))-1)*CROQUIS!$C$130)/2)+MIN(INT(($A401-1)/5),MAX((MIN(80,MAX(1,INT(((CROQUIS!$C$98)-CROQUIS!$C$107)/MAX(CROQUIS!$C$130,1))+1)))-1,0))*CROQUIS!$C$130),CHOOSE(IF(INT(($A401-1)/5)&gt;MAX((MIN(80,MAX(1,INT(((CROQUIS!$C$98)-CROQUIS!$C$107)/MAX(CROQUIS!$C$130,1))+1)))-1,0),0,MOD($A401-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02">
      <c r="A402" t="n">
        <v>395</v>
      </c>
      <c r="BH402">
        <f>IF(AND(CROQUIS!$C$88=1,CROQUIS!$C$126&gt;0),((CROQUIS!$C$156+(IF(CROQUIS!$C$92="X",CHOOSE(IF(INT(($A402-1)/5)&gt;MAX((MIN(80,MAX(1,INT(((CROQUIS!$C$98)-CROQUIS!$C$107)/MAX(CROQUIS!$C$126,1))+1)))-1,0),0,MOD($A402-1,5))+1,0,2,CROQUIS!$C$97-2,2,0),((CROQUIS!$C$107/2+(((CROQUIS!$C$98)-CROQUIS!$C$107)-(MIN(80,MAX(1,INT(((CROQUIS!$C$98)-CROQUIS!$C$107)/MAX(CROQUIS!$C$126,1))+1))-1)*CROQUIS!$C$126)/2)+MIN(INT(($A402-1)/5),MAX((MIN(80,MAX(1,INT(((CROQUIS!$C$98)-CROQUIS!$C$107)/MAX(CROQUIS!$C$126,1))+1)))-1,0))*CROQUIS!$C$126)))*CROQUIS!$C$155)+IF(CROQUIS!$C$92="X",0,0)),-1000)</f>
        <v>-1000</v>
      </c>
      <c r="BI402">
        <f>IF(AND(CROQUIS!$C$88=1,CROQUIS!$C$126&gt;0),((CROQUIS!$C$157+(IF(CROQUIS!$C$92="X",((CROQUIS!$C$107/2+(((CROQUIS!$C$98)-CROQUIS!$C$107)-(MIN(80,MAX(1,INT(((CROQUIS!$C$98)-CROQUIS!$C$107)/MAX(CROQUIS!$C$126,1))+1))-1)*CROQUIS!$C$126)/2)+MIN(INT(($A402-1)/5),MAX((MIN(80,MAX(1,INT(((CROQUIS!$C$98)-CROQUIS!$C$107)/MAX(CROQUIS!$C$126,1))+1)))-1,0))*CROQUIS!$C$126),CHOOSE(IF(INT(($A402-1)/5)&gt;MAX((MIN(80,MAX(1,INT(((CROQUIS!$C$98)-CROQUIS!$C$107)/MAX(CROQUIS!$C$126,1))+1)))-1,0),0,MOD($A402-1,5))+1,0,2,CROQUIS!$C$97-2,2,0)))*CROQUIS!$C$155)+IF(CROQUIS!$C$92="X",0,0)),-1000)</f>
        <v>-1000</v>
      </c>
      <c r="BJ402">
        <f>IF(AND(CROQUIS!$C$88=1,CROQUIS!$C$134&gt;0),((CROQUIS!$C$156+(IF(CROQUIS!$C$92="X",((CROQUIS!$C$107/2+(((CROQUIS!$C$97)-CROQUIS!$C$107)-(MIN(80,MAX(1,INT(((CROQUIS!$C$97)-CROQUIS!$C$107)/MAX(CROQUIS!$C$134,1))+1))-1)*CROQUIS!$C$134)/2)+MIN(INT(($A402-1)/5),MAX((MIN(80,MAX(1,INT(((CROQUIS!$C$97)-CROQUIS!$C$107)/MAX(CROQUIS!$C$134,1))+1)))-1,0))*CROQUIS!$C$134),CHOOSE(IF(INT(($A402-1)/5)&gt;MAX((MIN(80,MAX(1,INT(((CROQUIS!$C$97)-CROQUIS!$C$107)/MAX(CROQUIS!$C$134,1))+1)))-1,0),0,MOD($A402-1,5))+1,0,2,CROQUIS!$C$98-2,2,0)))*CROQUIS!$C$155)+IF(CROQUIS!$C$92="X",0,0)),-1000)</f>
        <v>-1000</v>
      </c>
      <c r="BK402">
        <f>IF(AND(CROQUIS!$C$88=1,CROQUIS!$C$134&gt;0),((CROQUIS!$C$157+(IF(CROQUIS!$C$92="X",CHOOSE(IF(INT(($A402-1)/5)&gt;MAX((MIN(80,MAX(1,INT(((CROQUIS!$C$97)-CROQUIS!$C$107)/MAX(CROQUIS!$C$134,1))+1)))-1,0),0,MOD($A402-1,5))+1,0,2,CROQUIS!$C$98-2,2,0),((CROQUIS!$C$107/2+(((CROQUIS!$C$97)-CROQUIS!$C$107)-(MIN(80,MAX(1,INT(((CROQUIS!$C$97)-CROQUIS!$C$107)/MAX(CROQUIS!$C$134,1))+1))-1)*CROQUIS!$C$134)/2)+MIN(INT(($A402-1)/5),MAX((MIN(80,MAX(1,INT(((CROQUIS!$C$97)-CROQUIS!$C$107)/MAX(CROQUIS!$C$134,1))+1)))-1,0))*CROQUIS!$C$134)))*CROQUIS!$C$155)+IF(CROQUIS!$C$92="X",0,0)),-1000)</f>
        <v>-1000</v>
      </c>
      <c r="BL402">
        <f>IF(AND(CROQUIS!$C$88=1,CROQUIS!$C$91=0,CROQUIS!$C$130&gt;0,OR(CROQUIS!$C$103=1,CROQUIS!$C$142=1)),((CROQUIS!$C$156+(IF(CROQUIS!$C$92="X",CHOOSE(IF(INT(($A402-1)/5)&gt;MAX((MIN(80,MAX(1,INT(((CROQUIS!$C$98)-CROQUIS!$C$107)/MAX(CROQUIS!$C$130,1))+1)))-1,0),0,MOD($A402-1,5))+1,0,IF(CROQUIS!$C$103=1,-12,2),CROQUIS!$C$107/2+CROQUIS!$C$140,IF(CROQUIS!$C$103=1,-12,2),0),((CROQUIS!$C$107/2+(((CROQUIS!$C$98)-CROQUIS!$C$107)-(MIN(80,MAX(1,INT(((CROQUIS!$C$98)-CROQUIS!$C$107)/MAX(CROQUIS!$C$130,1))+1))-1)*CROQUIS!$C$130)/2)+MIN(INT(($A402-1)/5),MAX((MIN(80,MAX(1,INT(((CROQUIS!$C$98)-CROQUIS!$C$107)/MAX(CROQUIS!$C$130,1))+1)))-1,0))*CROQUIS!$C$130)))*CROQUIS!$C$155)+IF(CROQUIS!$C$92="X",0,0)),-1000)</f>
        <v>-1000</v>
      </c>
      <c r="BM402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402-1)/5),MAX((MIN(80,MAX(1,INT(((CROQUIS!$C$98)-CROQUIS!$C$107)/MAX(CROQUIS!$C$130,1))+1)))-1,0))*CROQUIS!$C$130),CHOOSE(IF(INT(($A402-1)/5)&gt;MAX((MIN(80,MAX(1,INT(((CROQUIS!$C$98)-CROQUIS!$C$107)/MAX(CROQUIS!$C$130,1))+1)))-1,0),0,MOD($A402-1,5))+1,0,IF(CROQUIS!$C$103=1,-12,2),CROQUIS!$C$107/2+CROQUIS!$C$140,IF(CROQUIS!$C$103=1,-12,2),0)))*CROQUIS!$C$155)+IF(CROQUIS!$C$92="X",0,0)),-1000)</f>
        <v>-1000</v>
      </c>
      <c r="BN402">
        <f>IF(AND(CROQUIS!$C$88=1,CROQUIS!$C$91=0,CROQUIS!$C$130&gt;0,OR(CROQUIS!$C$104=1,CROQUIS!$C$142=1)),((CROQUIS!$C$156+(IF(CROQUIS!$C$92="X",CHOOSE(IF(INT(($A402-1)/5)&gt;MAX((MIN(80,MAX(1,INT(((CROQUIS!$C$98)-CROQUIS!$C$107)/MAX(CROQUIS!$C$130,1))+1)))-1,0),0,MOD($A402-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402-1)/5),MAX((MIN(80,MAX(1,INT(((CROQUIS!$C$98)-CROQUIS!$C$107)/MAX(CROQUIS!$C$130,1))+1)))-1,0))*CROQUIS!$C$130)))*CROQUIS!$C$155)+IF(CROQUIS!$C$92="X",0,0)),-1000)</f>
        <v>-1000</v>
      </c>
      <c r="BO402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402-1)/5),MAX((MIN(80,MAX(1,INT(((CROQUIS!$C$98)-CROQUIS!$C$107)/MAX(CROQUIS!$C$130,1))+1)))-1,0))*CROQUIS!$C$130),CHOOSE(IF(INT(($A402-1)/5)&gt;MAX((MIN(80,MAX(1,INT(((CROQUIS!$C$98)-CROQUIS!$C$107)/MAX(CROQUIS!$C$130,1))+1)))-1,0),0,MOD($A402-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02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402-1)/5),MAX((MIN(80,MAX(1,INT(((CROQUIS!$C$97)-CROQUIS!$C$107)/MAX(CROQUIS!$C$138,1))+1)))-1,0))*CROQUIS!$C$138),CHOOSE(IF(INT(($A402-1)/5)&gt;MAX((MIN(80,MAX(1,INT(((CROQUIS!$C$97)-CROQUIS!$C$107)/MAX(CROQUIS!$C$138,1))+1)))-1,0),0,MOD($A402-1,5))+1,0,IF(CROQUIS!$C$105=1,-12,2),CROQUIS!$C$107/2+CROQUIS!$C$141,IF(CROQUIS!$C$105=1,-12,2),0)))*CROQUIS!$C$155)+IF(CROQUIS!$C$92="X",0,0)),-1000)</f>
        <v>-1000</v>
      </c>
      <c r="BQ402">
        <f>IF(AND(CROQUIS!$C$88=1,CROQUIS!$C$91=0,CROQUIS!$C$138&gt;0,OR(CROQUIS!$C$105=1,CROQUIS!$C$143=1)),((CROQUIS!$C$157+(IF(CROQUIS!$C$92="X",CHOOSE(IF(INT(($A402-1)/5)&gt;MAX((MIN(80,MAX(1,INT(((CROQUIS!$C$97)-CROQUIS!$C$107)/MAX(CROQUIS!$C$138,1))+1)))-1,0),0,MOD($A402-1,5))+1,0,IF(CROQUIS!$C$105=1,-12,2),CROQUIS!$C$107/2+CROQUIS!$C$141,IF(CROQUIS!$C$105=1,-12,2),0),((CROQUIS!$C$107/2+(((CROQUIS!$C$97)-CROQUIS!$C$107)-(MIN(80,MAX(1,INT(((CROQUIS!$C$97)-CROQUIS!$C$107)/MAX(CROQUIS!$C$138,1))+1))-1)*CROQUIS!$C$138)/2)+MIN(INT(($A402-1)/5),MAX((MIN(80,MAX(1,INT(((CROQUIS!$C$97)-CROQUIS!$C$107)/MAX(CROQUIS!$C$138,1))+1)))-1,0))*CROQUIS!$C$138)))*CROQUIS!$C$155)+IF(CROQUIS!$C$92="X",0,0)),-1000)</f>
        <v>-1000</v>
      </c>
      <c r="BR402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402-1)/5),MAX((MIN(80,MAX(1,INT(((CROQUIS!$C$97)-CROQUIS!$C$107)/MAX(CROQUIS!$C$138,1))+1)))-1,0))*CROQUIS!$C$138),CHOOSE(IF(INT(($A402-1)/5)&gt;MAX((MIN(80,MAX(1,INT(((CROQUIS!$C$97)-CROQUIS!$C$107)/MAX(CROQUIS!$C$138,1))+1)))-1,0),0,MOD($A402-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02">
        <f>IF(AND(CROQUIS!$C$88=1,CROQUIS!$C$91=0,CROQUIS!$C$138&gt;0,OR(CROQUIS!$C$106=1,CROQUIS!$C$143=1)),((CROQUIS!$C$157+(IF(CROQUIS!$C$92="X",CHOOSE(IF(INT(($A402-1)/5)&gt;MAX((MIN(80,MAX(1,INT(((CROQUIS!$C$97)-CROQUIS!$C$107)/MAX(CROQUIS!$C$138,1))+1)))-1,0),0,MOD($A402-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402-1)/5),MAX((MIN(80,MAX(1,INT(((CROQUIS!$C$97)-CROQUIS!$C$107)/MAX(CROQUIS!$C$138,1))+1)))-1,0))*CROQUIS!$C$138)))*CROQUIS!$C$155)+IF(CROQUIS!$C$92="X",0,0)),-1000)</f>
        <v>-1000</v>
      </c>
      <c r="BT402">
        <f>IF(AND(CROQUIS!$C$88=1,CROQUIS!$C$91=1,CROQUIS!$C$130&gt;0),((CROQUIS!$C$156+(IF(CROQUIS!$C$92="X",CHOOSE(IF(INT(($A402-1)/5)&gt;MAX((MIN(80,MAX(1,INT(((CROQUIS!$C$98)-CROQUIS!$C$107)/MAX(CROQUIS!$C$130,1))+1)))-1,0),0,MOD($A402-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402-1)/5),MAX((MIN(80,MAX(1,INT(((CROQUIS!$C$98)-CROQUIS!$C$107)/MAX(CROQUIS!$C$130,1))+1)))-1,0))*CROQUIS!$C$130)))*CROQUIS!$C$155)+IF(CROQUIS!$C$92="X",0,0)),-1000)</f>
        <v>-1000</v>
      </c>
      <c r="BU402">
        <f>IF(AND(CROQUIS!$C$88=1,CROQUIS!$C$91=1,CROQUIS!$C$130&gt;0),((CROQUIS!$C$157+(IF(CROQUIS!$C$92="X",((CROQUIS!$C$107/2+(((CROQUIS!$C$98)-CROQUIS!$C$107)-(MIN(80,MAX(1,INT(((CROQUIS!$C$98)-CROQUIS!$C$107)/MAX(CROQUIS!$C$130,1))+1))-1)*CROQUIS!$C$130)/2)+MIN(INT(($A402-1)/5),MAX((MIN(80,MAX(1,INT(((CROQUIS!$C$98)-CROQUIS!$C$107)/MAX(CROQUIS!$C$130,1))+1)))-1,0))*CROQUIS!$C$130),CHOOSE(IF(INT(($A402-1)/5)&gt;MAX((MIN(80,MAX(1,INT(((CROQUIS!$C$98)-CROQUIS!$C$107)/MAX(CROQUIS!$C$130,1))+1)))-1,0),0,MOD($A402-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03">
      <c r="A403" t="n">
        <v>396</v>
      </c>
      <c r="BH403">
        <f>IF(AND(CROQUIS!$C$88=1,CROQUIS!$C$126&gt;0),((CROQUIS!$C$156+(IF(CROQUIS!$C$92="X",CHOOSE(IF(INT(($A403-1)/5)&gt;MAX((MIN(80,MAX(1,INT(((CROQUIS!$C$98)-CROQUIS!$C$107)/MAX(CROQUIS!$C$126,1))+1)))-1,0),0,MOD($A403-1,5))+1,0,2,CROQUIS!$C$97-2,2,0),((CROQUIS!$C$107/2+(((CROQUIS!$C$98)-CROQUIS!$C$107)-(MIN(80,MAX(1,INT(((CROQUIS!$C$98)-CROQUIS!$C$107)/MAX(CROQUIS!$C$126,1))+1))-1)*CROQUIS!$C$126)/2)+MIN(INT(($A403-1)/5),MAX((MIN(80,MAX(1,INT(((CROQUIS!$C$98)-CROQUIS!$C$107)/MAX(CROQUIS!$C$126,1))+1)))-1,0))*CROQUIS!$C$126)))*CROQUIS!$C$155)+IF(CROQUIS!$C$92="X",0,0)),-1000)</f>
        <v>-1000</v>
      </c>
      <c r="BI403">
        <f>IF(AND(CROQUIS!$C$88=1,CROQUIS!$C$126&gt;0),((CROQUIS!$C$157+(IF(CROQUIS!$C$92="X",((CROQUIS!$C$107/2+(((CROQUIS!$C$98)-CROQUIS!$C$107)-(MIN(80,MAX(1,INT(((CROQUIS!$C$98)-CROQUIS!$C$107)/MAX(CROQUIS!$C$126,1))+1))-1)*CROQUIS!$C$126)/2)+MIN(INT(($A403-1)/5),MAX((MIN(80,MAX(1,INT(((CROQUIS!$C$98)-CROQUIS!$C$107)/MAX(CROQUIS!$C$126,1))+1)))-1,0))*CROQUIS!$C$126),CHOOSE(IF(INT(($A403-1)/5)&gt;MAX((MIN(80,MAX(1,INT(((CROQUIS!$C$98)-CROQUIS!$C$107)/MAX(CROQUIS!$C$126,1))+1)))-1,0),0,MOD($A403-1,5))+1,0,2,CROQUIS!$C$97-2,2,0)))*CROQUIS!$C$155)+IF(CROQUIS!$C$92="X",0,0)),-1000)</f>
        <v>-1000</v>
      </c>
      <c r="BJ403">
        <f>IF(AND(CROQUIS!$C$88=1,CROQUIS!$C$134&gt;0),((CROQUIS!$C$156+(IF(CROQUIS!$C$92="X",((CROQUIS!$C$107/2+(((CROQUIS!$C$97)-CROQUIS!$C$107)-(MIN(80,MAX(1,INT(((CROQUIS!$C$97)-CROQUIS!$C$107)/MAX(CROQUIS!$C$134,1))+1))-1)*CROQUIS!$C$134)/2)+MIN(INT(($A403-1)/5),MAX((MIN(80,MAX(1,INT(((CROQUIS!$C$97)-CROQUIS!$C$107)/MAX(CROQUIS!$C$134,1))+1)))-1,0))*CROQUIS!$C$134),CHOOSE(IF(INT(($A403-1)/5)&gt;MAX((MIN(80,MAX(1,INT(((CROQUIS!$C$97)-CROQUIS!$C$107)/MAX(CROQUIS!$C$134,1))+1)))-1,0),0,MOD($A403-1,5))+1,0,2,CROQUIS!$C$98-2,2,0)))*CROQUIS!$C$155)+IF(CROQUIS!$C$92="X",0,0)),-1000)</f>
        <v>-1000</v>
      </c>
      <c r="BK403">
        <f>IF(AND(CROQUIS!$C$88=1,CROQUIS!$C$134&gt;0),((CROQUIS!$C$157+(IF(CROQUIS!$C$92="X",CHOOSE(IF(INT(($A403-1)/5)&gt;MAX((MIN(80,MAX(1,INT(((CROQUIS!$C$97)-CROQUIS!$C$107)/MAX(CROQUIS!$C$134,1))+1)))-1,0),0,MOD($A403-1,5))+1,0,2,CROQUIS!$C$98-2,2,0),((CROQUIS!$C$107/2+(((CROQUIS!$C$97)-CROQUIS!$C$107)-(MIN(80,MAX(1,INT(((CROQUIS!$C$97)-CROQUIS!$C$107)/MAX(CROQUIS!$C$134,1))+1))-1)*CROQUIS!$C$134)/2)+MIN(INT(($A403-1)/5),MAX((MIN(80,MAX(1,INT(((CROQUIS!$C$97)-CROQUIS!$C$107)/MAX(CROQUIS!$C$134,1))+1)))-1,0))*CROQUIS!$C$134)))*CROQUIS!$C$155)+IF(CROQUIS!$C$92="X",0,0)),-1000)</f>
        <v>-1000</v>
      </c>
      <c r="BL403">
        <f>IF(AND(CROQUIS!$C$88=1,CROQUIS!$C$91=0,CROQUIS!$C$130&gt;0,OR(CROQUIS!$C$103=1,CROQUIS!$C$142=1)),((CROQUIS!$C$156+(IF(CROQUIS!$C$92="X",CHOOSE(IF(INT(($A403-1)/5)&gt;MAX((MIN(80,MAX(1,INT(((CROQUIS!$C$98)-CROQUIS!$C$107)/MAX(CROQUIS!$C$130,1))+1)))-1,0),0,MOD($A403-1,5))+1,0,IF(CROQUIS!$C$103=1,-12,2),CROQUIS!$C$107/2+CROQUIS!$C$140,IF(CROQUIS!$C$103=1,-12,2),0),((CROQUIS!$C$107/2+(((CROQUIS!$C$98)-CROQUIS!$C$107)-(MIN(80,MAX(1,INT(((CROQUIS!$C$98)-CROQUIS!$C$107)/MAX(CROQUIS!$C$130,1))+1))-1)*CROQUIS!$C$130)/2)+MIN(INT(($A403-1)/5),MAX((MIN(80,MAX(1,INT(((CROQUIS!$C$98)-CROQUIS!$C$107)/MAX(CROQUIS!$C$130,1))+1)))-1,0))*CROQUIS!$C$130)))*CROQUIS!$C$155)+IF(CROQUIS!$C$92="X",0,0)),-1000)</f>
        <v>-1000</v>
      </c>
      <c r="BM403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403-1)/5),MAX((MIN(80,MAX(1,INT(((CROQUIS!$C$98)-CROQUIS!$C$107)/MAX(CROQUIS!$C$130,1))+1)))-1,0))*CROQUIS!$C$130),CHOOSE(IF(INT(($A403-1)/5)&gt;MAX((MIN(80,MAX(1,INT(((CROQUIS!$C$98)-CROQUIS!$C$107)/MAX(CROQUIS!$C$130,1))+1)))-1,0),0,MOD($A403-1,5))+1,0,IF(CROQUIS!$C$103=1,-12,2),CROQUIS!$C$107/2+CROQUIS!$C$140,IF(CROQUIS!$C$103=1,-12,2),0)))*CROQUIS!$C$155)+IF(CROQUIS!$C$92="X",0,0)),-1000)</f>
        <v>-1000</v>
      </c>
      <c r="BN403">
        <f>IF(AND(CROQUIS!$C$88=1,CROQUIS!$C$91=0,CROQUIS!$C$130&gt;0,OR(CROQUIS!$C$104=1,CROQUIS!$C$142=1)),((CROQUIS!$C$156+(IF(CROQUIS!$C$92="X",CHOOSE(IF(INT(($A403-1)/5)&gt;MAX((MIN(80,MAX(1,INT(((CROQUIS!$C$98)-CROQUIS!$C$107)/MAX(CROQUIS!$C$130,1))+1)))-1,0),0,MOD($A403-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403-1)/5),MAX((MIN(80,MAX(1,INT(((CROQUIS!$C$98)-CROQUIS!$C$107)/MAX(CROQUIS!$C$130,1))+1)))-1,0))*CROQUIS!$C$130)))*CROQUIS!$C$155)+IF(CROQUIS!$C$92="X",0,0)),-1000)</f>
        <v>-1000</v>
      </c>
      <c r="BO403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403-1)/5),MAX((MIN(80,MAX(1,INT(((CROQUIS!$C$98)-CROQUIS!$C$107)/MAX(CROQUIS!$C$130,1))+1)))-1,0))*CROQUIS!$C$130),CHOOSE(IF(INT(($A403-1)/5)&gt;MAX((MIN(80,MAX(1,INT(((CROQUIS!$C$98)-CROQUIS!$C$107)/MAX(CROQUIS!$C$130,1))+1)))-1,0),0,MOD($A403-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03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403-1)/5),MAX((MIN(80,MAX(1,INT(((CROQUIS!$C$97)-CROQUIS!$C$107)/MAX(CROQUIS!$C$138,1))+1)))-1,0))*CROQUIS!$C$138),CHOOSE(IF(INT(($A403-1)/5)&gt;MAX((MIN(80,MAX(1,INT(((CROQUIS!$C$97)-CROQUIS!$C$107)/MAX(CROQUIS!$C$138,1))+1)))-1,0),0,MOD($A403-1,5))+1,0,IF(CROQUIS!$C$105=1,-12,2),CROQUIS!$C$107/2+CROQUIS!$C$141,IF(CROQUIS!$C$105=1,-12,2),0)))*CROQUIS!$C$155)+IF(CROQUIS!$C$92="X",0,0)),-1000)</f>
        <v>-1000</v>
      </c>
      <c r="BQ403">
        <f>IF(AND(CROQUIS!$C$88=1,CROQUIS!$C$91=0,CROQUIS!$C$138&gt;0,OR(CROQUIS!$C$105=1,CROQUIS!$C$143=1)),((CROQUIS!$C$157+(IF(CROQUIS!$C$92="X",CHOOSE(IF(INT(($A403-1)/5)&gt;MAX((MIN(80,MAX(1,INT(((CROQUIS!$C$97)-CROQUIS!$C$107)/MAX(CROQUIS!$C$138,1))+1)))-1,0),0,MOD($A403-1,5))+1,0,IF(CROQUIS!$C$105=1,-12,2),CROQUIS!$C$107/2+CROQUIS!$C$141,IF(CROQUIS!$C$105=1,-12,2),0),((CROQUIS!$C$107/2+(((CROQUIS!$C$97)-CROQUIS!$C$107)-(MIN(80,MAX(1,INT(((CROQUIS!$C$97)-CROQUIS!$C$107)/MAX(CROQUIS!$C$138,1))+1))-1)*CROQUIS!$C$138)/2)+MIN(INT(($A403-1)/5),MAX((MIN(80,MAX(1,INT(((CROQUIS!$C$97)-CROQUIS!$C$107)/MAX(CROQUIS!$C$138,1))+1)))-1,0))*CROQUIS!$C$138)))*CROQUIS!$C$155)+IF(CROQUIS!$C$92="X",0,0)),-1000)</f>
        <v>-1000</v>
      </c>
      <c r="BR403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403-1)/5),MAX((MIN(80,MAX(1,INT(((CROQUIS!$C$97)-CROQUIS!$C$107)/MAX(CROQUIS!$C$138,1))+1)))-1,0))*CROQUIS!$C$138),CHOOSE(IF(INT(($A403-1)/5)&gt;MAX((MIN(80,MAX(1,INT(((CROQUIS!$C$97)-CROQUIS!$C$107)/MAX(CROQUIS!$C$138,1))+1)))-1,0),0,MOD($A403-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03">
        <f>IF(AND(CROQUIS!$C$88=1,CROQUIS!$C$91=0,CROQUIS!$C$138&gt;0,OR(CROQUIS!$C$106=1,CROQUIS!$C$143=1)),((CROQUIS!$C$157+(IF(CROQUIS!$C$92="X",CHOOSE(IF(INT(($A403-1)/5)&gt;MAX((MIN(80,MAX(1,INT(((CROQUIS!$C$97)-CROQUIS!$C$107)/MAX(CROQUIS!$C$138,1))+1)))-1,0),0,MOD($A403-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403-1)/5),MAX((MIN(80,MAX(1,INT(((CROQUIS!$C$97)-CROQUIS!$C$107)/MAX(CROQUIS!$C$138,1))+1)))-1,0))*CROQUIS!$C$138)))*CROQUIS!$C$155)+IF(CROQUIS!$C$92="X",0,0)),-1000)</f>
        <v>-1000</v>
      </c>
      <c r="BT403">
        <f>IF(AND(CROQUIS!$C$88=1,CROQUIS!$C$91=1,CROQUIS!$C$130&gt;0),((CROQUIS!$C$156+(IF(CROQUIS!$C$92="X",CHOOSE(IF(INT(($A403-1)/5)&gt;MAX((MIN(80,MAX(1,INT(((CROQUIS!$C$98)-CROQUIS!$C$107)/MAX(CROQUIS!$C$130,1))+1)))-1,0),0,MOD($A403-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403-1)/5),MAX((MIN(80,MAX(1,INT(((CROQUIS!$C$98)-CROQUIS!$C$107)/MAX(CROQUIS!$C$130,1))+1)))-1,0))*CROQUIS!$C$130)))*CROQUIS!$C$155)+IF(CROQUIS!$C$92="X",0,0)),-1000)</f>
        <v>-1000</v>
      </c>
      <c r="BU403">
        <f>IF(AND(CROQUIS!$C$88=1,CROQUIS!$C$91=1,CROQUIS!$C$130&gt;0),((CROQUIS!$C$157+(IF(CROQUIS!$C$92="X",((CROQUIS!$C$107/2+(((CROQUIS!$C$98)-CROQUIS!$C$107)-(MIN(80,MAX(1,INT(((CROQUIS!$C$98)-CROQUIS!$C$107)/MAX(CROQUIS!$C$130,1))+1))-1)*CROQUIS!$C$130)/2)+MIN(INT(($A403-1)/5),MAX((MIN(80,MAX(1,INT(((CROQUIS!$C$98)-CROQUIS!$C$107)/MAX(CROQUIS!$C$130,1))+1)))-1,0))*CROQUIS!$C$130),CHOOSE(IF(INT(($A403-1)/5)&gt;MAX((MIN(80,MAX(1,INT(((CROQUIS!$C$98)-CROQUIS!$C$107)/MAX(CROQUIS!$C$130,1))+1)))-1,0),0,MOD($A403-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04">
      <c r="A404" t="n">
        <v>397</v>
      </c>
      <c r="BH404">
        <f>IF(AND(CROQUIS!$C$88=1,CROQUIS!$C$126&gt;0),((CROQUIS!$C$156+(IF(CROQUIS!$C$92="X",CHOOSE(IF(INT(($A404-1)/5)&gt;MAX((MIN(80,MAX(1,INT(((CROQUIS!$C$98)-CROQUIS!$C$107)/MAX(CROQUIS!$C$126,1))+1)))-1,0),0,MOD($A404-1,5))+1,0,2,CROQUIS!$C$97-2,2,0),((CROQUIS!$C$107/2+(((CROQUIS!$C$98)-CROQUIS!$C$107)-(MIN(80,MAX(1,INT(((CROQUIS!$C$98)-CROQUIS!$C$107)/MAX(CROQUIS!$C$126,1))+1))-1)*CROQUIS!$C$126)/2)+MIN(INT(($A404-1)/5),MAX((MIN(80,MAX(1,INT(((CROQUIS!$C$98)-CROQUIS!$C$107)/MAX(CROQUIS!$C$126,1))+1)))-1,0))*CROQUIS!$C$126)))*CROQUIS!$C$155)+IF(CROQUIS!$C$92="X",0,0)),-1000)</f>
        <v>-1000</v>
      </c>
      <c r="BI404">
        <f>IF(AND(CROQUIS!$C$88=1,CROQUIS!$C$126&gt;0),((CROQUIS!$C$157+(IF(CROQUIS!$C$92="X",((CROQUIS!$C$107/2+(((CROQUIS!$C$98)-CROQUIS!$C$107)-(MIN(80,MAX(1,INT(((CROQUIS!$C$98)-CROQUIS!$C$107)/MAX(CROQUIS!$C$126,1))+1))-1)*CROQUIS!$C$126)/2)+MIN(INT(($A404-1)/5),MAX((MIN(80,MAX(1,INT(((CROQUIS!$C$98)-CROQUIS!$C$107)/MAX(CROQUIS!$C$126,1))+1)))-1,0))*CROQUIS!$C$126),CHOOSE(IF(INT(($A404-1)/5)&gt;MAX((MIN(80,MAX(1,INT(((CROQUIS!$C$98)-CROQUIS!$C$107)/MAX(CROQUIS!$C$126,1))+1)))-1,0),0,MOD($A404-1,5))+1,0,2,CROQUIS!$C$97-2,2,0)))*CROQUIS!$C$155)+IF(CROQUIS!$C$92="X",0,0)),-1000)</f>
        <v>-1000</v>
      </c>
      <c r="BJ404">
        <f>IF(AND(CROQUIS!$C$88=1,CROQUIS!$C$134&gt;0),((CROQUIS!$C$156+(IF(CROQUIS!$C$92="X",((CROQUIS!$C$107/2+(((CROQUIS!$C$97)-CROQUIS!$C$107)-(MIN(80,MAX(1,INT(((CROQUIS!$C$97)-CROQUIS!$C$107)/MAX(CROQUIS!$C$134,1))+1))-1)*CROQUIS!$C$134)/2)+MIN(INT(($A404-1)/5),MAX((MIN(80,MAX(1,INT(((CROQUIS!$C$97)-CROQUIS!$C$107)/MAX(CROQUIS!$C$134,1))+1)))-1,0))*CROQUIS!$C$134),CHOOSE(IF(INT(($A404-1)/5)&gt;MAX((MIN(80,MAX(1,INT(((CROQUIS!$C$97)-CROQUIS!$C$107)/MAX(CROQUIS!$C$134,1))+1)))-1,0),0,MOD($A404-1,5))+1,0,2,CROQUIS!$C$98-2,2,0)))*CROQUIS!$C$155)+IF(CROQUIS!$C$92="X",0,0)),-1000)</f>
        <v>-1000</v>
      </c>
      <c r="BK404">
        <f>IF(AND(CROQUIS!$C$88=1,CROQUIS!$C$134&gt;0),((CROQUIS!$C$157+(IF(CROQUIS!$C$92="X",CHOOSE(IF(INT(($A404-1)/5)&gt;MAX((MIN(80,MAX(1,INT(((CROQUIS!$C$97)-CROQUIS!$C$107)/MAX(CROQUIS!$C$134,1))+1)))-1,0),0,MOD($A404-1,5))+1,0,2,CROQUIS!$C$98-2,2,0),((CROQUIS!$C$107/2+(((CROQUIS!$C$97)-CROQUIS!$C$107)-(MIN(80,MAX(1,INT(((CROQUIS!$C$97)-CROQUIS!$C$107)/MAX(CROQUIS!$C$134,1))+1))-1)*CROQUIS!$C$134)/2)+MIN(INT(($A404-1)/5),MAX((MIN(80,MAX(1,INT(((CROQUIS!$C$97)-CROQUIS!$C$107)/MAX(CROQUIS!$C$134,1))+1)))-1,0))*CROQUIS!$C$134)))*CROQUIS!$C$155)+IF(CROQUIS!$C$92="X",0,0)),-1000)</f>
        <v>-1000</v>
      </c>
      <c r="BL404">
        <f>IF(AND(CROQUIS!$C$88=1,CROQUIS!$C$91=0,CROQUIS!$C$130&gt;0,OR(CROQUIS!$C$103=1,CROQUIS!$C$142=1)),((CROQUIS!$C$156+(IF(CROQUIS!$C$92="X",CHOOSE(IF(INT(($A404-1)/5)&gt;MAX((MIN(80,MAX(1,INT(((CROQUIS!$C$98)-CROQUIS!$C$107)/MAX(CROQUIS!$C$130,1))+1)))-1,0),0,MOD($A404-1,5))+1,0,IF(CROQUIS!$C$103=1,-12,2),CROQUIS!$C$107/2+CROQUIS!$C$140,IF(CROQUIS!$C$103=1,-12,2),0),((CROQUIS!$C$107/2+(((CROQUIS!$C$98)-CROQUIS!$C$107)-(MIN(80,MAX(1,INT(((CROQUIS!$C$98)-CROQUIS!$C$107)/MAX(CROQUIS!$C$130,1))+1))-1)*CROQUIS!$C$130)/2)+MIN(INT(($A404-1)/5),MAX((MIN(80,MAX(1,INT(((CROQUIS!$C$98)-CROQUIS!$C$107)/MAX(CROQUIS!$C$130,1))+1)))-1,0))*CROQUIS!$C$130)))*CROQUIS!$C$155)+IF(CROQUIS!$C$92="X",0,0)),-1000)</f>
        <v>-1000</v>
      </c>
      <c r="BM404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404-1)/5),MAX((MIN(80,MAX(1,INT(((CROQUIS!$C$98)-CROQUIS!$C$107)/MAX(CROQUIS!$C$130,1))+1)))-1,0))*CROQUIS!$C$130),CHOOSE(IF(INT(($A404-1)/5)&gt;MAX((MIN(80,MAX(1,INT(((CROQUIS!$C$98)-CROQUIS!$C$107)/MAX(CROQUIS!$C$130,1))+1)))-1,0),0,MOD($A404-1,5))+1,0,IF(CROQUIS!$C$103=1,-12,2),CROQUIS!$C$107/2+CROQUIS!$C$140,IF(CROQUIS!$C$103=1,-12,2),0)))*CROQUIS!$C$155)+IF(CROQUIS!$C$92="X",0,0)),-1000)</f>
        <v>-1000</v>
      </c>
      <c r="BN404">
        <f>IF(AND(CROQUIS!$C$88=1,CROQUIS!$C$91=0,CROQUIS!$C$130&gt;0,OR(CROQUIS!$C$104=1,CROQUIS!$C$142=1)),((CROQUIS!$C$156+(IF(CROQUIS!$C$92="X",CHOOSE(IF(INT(($A404-1)/5)&gt;MAX((MIN(80,MAX(1,INT(((CROQUIS!$C$98)-CROQUIS!$C$107)/MAX(CROQUIS!$C$130,1))+1)))-1,0),0,MOD($A404-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404-1)/5),MAX((MIN(80,MAX(1,INT(((CROQUIS!$C$98)-CROQUIS!$C$107)/MAX(CROQUIS!$C$130,1))+1)))-1,0))*CROQUIS!$C$130)))*CROQUIS!$C$155)+IF(CROQUIS!$C$92="X",0,0)),-1000)</f>
        <v>-1000</v>
      </c>
      <c r="BO404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404-1)/5),MAX((MIN(80,MAX(1,INT(((CROQUIS!$C$98)-CROQUIS!$C$107)/MAX(CROQUIS!$C$130,1))+1)))-1,0))*CROQUIS!$C$130),CHOOSE(IF(INT(($A404-1)/5)&gt;MAX((MIN(80,MAX(1,INT(((CROQUIS!$C$98)-CROQUIS!$C$107)/MAX(CROQUIS!$C$130,1))+1)))-1,0),0,MOD($A404-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04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404-1)/5),MAX((MIN(80,MAX(1,INT(((CROQUIS!$C$97)-CROQUIS!$C$107)/MAX(CROQUIS!$C$138,1))+1)))-1,0))*CROQUIS!$C$138),CHOOSE(IF(INT(($A404-1)/5)&gt;MAX((MIN(80,MAX(1,INT(((CROQUIS!$C$97)-CROQUIS!$C$107)/MAX(CROQUIS!$C$138,1))+1)))-1,0),0,MOD($A404-1,5))+1,0,IF(CROQUIS!$C$105=1,-12,2),CROQUIS!$C$107/2+CROQUIS!$C$141,IF(CROQUIS!$C$105=1,-12,2),0)))*CROQUIS!$C$155)+IF(CROQUIS!$C$92="X",0,0)),-1000)</f>
        <v>-1000</v>
      </c>
      <c r="BQ404">
        <f>IF(AND(CROQUIS!$C$88=1,CROQUIS!$C$91=0,CROQUIS!$C$138&gt;0,OR(CROQUIS!$C$105=1,CROQUIS!$C$143=1)),((CROQUIS!$C$157+(IF(CROQUIS!$C$92="X",CHOOSE(IF(INT(($A404-1)/5)&gt;MAX((MIN(80,MAX(1,INT(((CROQUIS!$C$97)-CROQUIS!$C$107)/MAX(CROQUIS!$C$138,1))+1)))-1,0),0,MOD($A404-1,5))+1,0,IF(CROQUIS!$C$105=1,-12,2),CROQUIS!$C$107/2+CROQUIS!$C$141,IF(CROQUIS!$C$105=1,-12,2),0),((CROQUIS!$C$107/2+(((CROQUIS!$C$97)-CROQUIS!$C$107)-(MIN(80,MAX(1,INT(((CROQUIS!$C$97)-CROQUIS!$C$107)/MAX(CROQUIS!$C$138,1))+1))-1)*CROQUIS!$C$138)/2)+MIN(INT(($A404-1)/5),MAX((MIN(80,MAX(1,INT(((CROQUIS!$C$97)-CROQUIS!$C$107)/MAX(CROQUIS!$C$138,1))+1)))-1,0))*CROQUIS!$C$138)))*CROQUIS!$C$155)+IF(CROQUIS!$C$92="X",0,0)),-1000)</f>
        <v>-1000</v>
      </c>
      <c r="BR404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404-1)/5),MAX((MIN(80,MAX(1,INT(((CROQUIS!$C$97)-CROQUIS!$C$107)/MAX(CROQUIS!$C$138,1))+1)))-1,0))*CROQUIS!$C$138),CHOOSE(IF(INT(($A404-1)/5)&gt;MAX((MIN(80,MAX(1,INT(((CROQUIS!$C$97)-CROQUIS!$C$107)/MAX(CROQUIS!$C$138,1))+1)))-1,0),0,MOD($A404-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04">
        <f>IF(AND(CROQUIS!$C$88=1,CROQUIS!$C$91=0,CROQUIS!$C$138&gt;0,OR(CROQUIS!$C$106=1,CROQUIS!$C$143=1)),((CROQUIS!$C$157+(IF(CROQUIS!$C$92="X",CHOOSE(IF(INT(($A404-1)/5)&gt;MAX((MIN(80,MAX(1,INT(((CROQUIS!$C$97)-CROQUIS!$C$107)/MAX(CROQUIS!$C$138,1))+1)))-1,0),0,MOD($A404-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404-1)/5),MAX((MIN(80,MAX(1,INT(((CROQUIS!$C$97)-CROQUIS!$C$107)/MAX(CROQUIS!$C$138,1))+1)))-1,0))*CROQUIS!$C$138)))*CROQUIS!$C$155)+IF(CROQUIS!$C$92="X",0,0)),-1000)</f>
        <v>-1000</v>
      </c>
      <c r="BT404">
        <f>IF(AND(CROQUIS!$C$88=1,CROQUIS!$C$91=1,CROQUIS!$C$130&gt;0),((CROQUIS!$C$156+(IF(CROQUIS!$C$92="X",CHOOSE(IF(INT(($A404-1)/5)&gt;MAX((MIN(80,MAX(1,INT(((CROQUIS!$C$98)-CROQUIS!$C$107)/MAX(CROQUIS!$C$130,1))+1)))-1,0),0,MOD($A404-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404-1)/5),MAX((MIN(80,MAX(1,INT(((CROQUIS!$C$98)-CROQUIS!$C$107)/MAX(CROQUIS!$C$130,1))+1)))-1,0))*CROQUIS!$C$130)))*CROQUIS!$C$155)+IF(CROQUIS!$C$92="X",0,0)),-1000)</f>
        <v>-1000</v>
      </c>
      <c r="BU404">
        <f>IF(AND(CROQUIS!$C$88=1,CROQUIS!$C$91=1,CROQUIS!$C$130&gt;0),((CROQUIS!$C$157+(IF(CROQUIS!$C$92="X",((CROQUIS!$C$107/2+(((CROQUIS!$C$98)-CROQUIS!$C$107)-(MIN(80,MAX(1,INT(((CROQUIS!$C$98)-CROQUIS!$C$107)/MAX(CROQUIS!$C$130,1))+1))-1)*CROQUIS!$C$130)/2)+MIN(INT(($A404-1)/5),MAX((MIN(80,MAX(1,INT(((CROQUIS!$C$98)-CROQUIS!$C$107)/MAX(CROQUIS!$C$130,1))+1)))-1,0))*CROQUIS!$C$130),CHOOSE(IF(INT(($A404-1)/5)&gt;MAX((MIN(80,MAX(1,INT(((CROQUIS!$C$98)-CROQUIS!$C$107)/MAX(CROQUIS!$C$130,1))+1)))-1,0),0,MOD($A404-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05">
      <c r="A405" t="n">
        <v>398</v>
      </c>
      <c r="BH405">
        <f>IF(AND(CROQUIS!$C$88=1,CROQUIS!$C$126&gt;0),((CROQUIS!$C$156+(IF(CROQUIS!$C$92="X",CHOOSE(IF(INT(($A405-1)/5)&gt;MAX((MIN(80,MAX(1,INT(((CROQUIS!$C$98)-CROQUIS!$C$107)/MAX(CROQUIS!$C$126,1))+1)))-1,0),0,MOD($A405-1,5))+1,0,2,CROQUIS!$C$97-2,2,0),((CROQUIS!$C$107/2+(((CROQUIS!$C$98)-CROQUIS!$C$107)-(MIN(80,MAX(1,INT(((CROQUIS!$C$98)-CROQUIS!$C$107)/MAX(CROQUIS!$C$126,1))+1))-1)*CROQUIS!$C$126)/2)+MIN(INT(($A405-1)/5),MAX((MIN(80,MAX(1,INT(((CROQUIS!$C$98)-CROQUIS!$C$107)/MAX(CROQUIS!$C$126,1))+1)))-1,0))*CROQUIS!$C$126)))*CROQUIS!$C$155)+IF(CROQUIS!$C$92="X",0,0)),-1000)</f>
        <v>-1000</v>
      </c>
      <c r="BI405">
        <f>IF(AND(CROQUIS!$C$88=1,CROQUIS!$C$126&gt;0),((CROQUIS!$C$157+(IF(CROQUIS!$C$92="X",((CROQUIS!$C$107/2+(((CROQUIS!$C$98)-CROQUIS!$C$107)-(MIN(80,MAX(1,INT(((CROQUIS!$C$98)-CROQUIS!$C$107)/MAX(CROQUIS!$C$126,1))+1))-1)*CROQUIS!$C$126)/2)+MIN(INT(($A405-1)/5),MAX((MIN(80,MAX(1,INT(((CROQUIS!$C$98)-CROQUIS!$C$107)/MAX(CROQUIS!$C$126,1))+1)))-1,0))*CROQUIS!$C$126),CHOOSE(IF(INT(($A405-1)/5)&gt;MAX((MIN(80,MAX(1,INT(((CROQUIS!$C$98)-CROQUIS!$C$107)/MAX(CROQUIS!$C$126,1))+1)))-1,0),0,MOD($A405-1,5))+1,0,2,CROQUIS!$C$97-2,2,0)))*CROQUIS!$C$155)+IF(CROQUIS!$C$92="X",0,0)),-1000)</f>
        <v>-1000</v>
      </c>
      <c r="BJ405">
        <f>IF(AND(CROQUIS!$C$88=1,CROQUIS!$C$134&gt;0),((CROQUIS!$C$156+(IF(CROQUIS!$C$92="X",((CROQUIS!$C$107/2+(((CROQUIS!$C$97)-CROQUIS!$C$107)-(MIN(80,MAX(1,INT(((CROQUIS!$C$97)-CROQUIS!$C$107)/MAX(CROQUIS!$C$134,1))+1))-1)*CROQUIS!$C$134)/2)+MIN(INT(($A405-1)/5),MAX((MIN(80,MAX(1,INT(((CROQUIS!$C$97)-CROQUIS!$C$107)/MAX(CROQUIS!$C$134,1))+1)))-1,0))*CROQUIS!$C$134),CHOOSE(IF(INT(($A405-1)/5)&gt;MAX((MIN(80,MAX(1,INT(((CROQUIS!$C$97)-CROQUIS!$C$107)/MAX(CROQUIS!$C$134,1))+1)))-1,0),0,MOD($A405-1,5))+1,0,2,CROQUIS!$C$98-2,2,0)))*CROQUIS!$C$155)+IF(CROQUIS!$C$92="X",0,0)),-1000)</f>
        <v>-1000</v>
      </c>
      <c r="BK405">
        <f>IF(AND(CROQUIS!$C$88=1,CROQUIS!$C$134&gt;0),((CROQUIS!$C$157+(IF(CROQUIS!$C$92="X",CHOOSE(IF(INT(($A405-1)/5)&gt;MAX((MIN(80,MAX(1,INT(((CROQUIS!$C$97)-CROQUIS!$C$107)/MAX(CROQUIS!$C$134,1))+1)))-1,0),0,MOD($A405-1,5))+1,0,2,CROQUIS!$C$98-2,2,0),((CROQUIS!$C$107/2+(((CROQUIS!$C$97)-CROQUIS!$C$107)-(MIN(80,MAX(1,INT(((CROQUIS!$C$97)-CROQUIS!$C$107)/MAX(CROQUIS!$C$134,1))+1))-1)*CROQUIS!$C$134)/2)+MIN(INT(($A405-1)/5),MAX((MIN(80,MAX(1,INT(((CROQUIS!$C$97)-CROQUIS!$C$107)/MAX(CROQUIS!$C$134,1))+1)))-1,0))*CROQUIS!$C$134)))*CROQUIS!$C$155)+IF(CROQUIS!$C$92="X",0,0)),-1000)</f>
        <v>-1000</v>
      </c>
      <c r="BL405">
        <f>IF(AND(CROQUIS!$C$88=1,CROQUIS!$C$91=0,CROQUIS!$C$130&gt;0,OR(CROQUIS!$C$103=1,CROQUIS!$C$142=1)),((CROQUIS!$C$156+(IF(CROQUIS!$C$92="X",CHOOSE(IF(INT(($A405-1)/5)&gt;MAX((MIN(80,MAX(1,INT(((CROQUIS!$C$98)-CROQUIS!$C$107)/MAX(CROQUIS!$C$130,1))+1)))-1,0),0,MOD($A405-1,5))+1,0,IF(CROQUIS!$C$103=1,-12,2),CROQUIS!$C$107/2+CROQUIS!$C$140,IF(CROQUIS!$C$103=1,-12,2),0),((CROQUIS!$C$107/2+(((CROQUIS!$C$98)-CROQUIS!$C$107)-(MIN(80,MAX(1,INT(((CROQUIS!$C$98)-CROQUIS!$C$107)/MAX(CROQUIS!$C$130,1))+1))-1)*CROQUIS!$C$130)/2)+MIN(INT(($A405-1)/5),MAX((MIN(80,MAX(1,INT(((CROQUIS!$C$98)-CROQUIS!$C$107)/MAX(CROQUIS!$C$130,1))+1)))-1,0))*CROQUIS!$C$130)))*CROQUIS!$C$155)+IF(CROQUIS!$C$92="X",0,0)),-1000)</f>
        <v>-1000</v>
      </c>
      <c r="BM405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405-1)/5),MAX((MIN(80,MAX(1,INT(((CROQUIS!$C$98)-CROQUIS!$C$107)/MAX(CROQUIS!$C$130,1))+1)))-1,0))*CROQUIS!$C$130),CHOOSE(IF(INT(($A405-1)/5)&gt;MAX((MIN(80,MAX(1,INT(((CROQUIS!$C$98)-CROQUIS!$C$107)/MAX(CROQUIS!$C$130,1))+1)))-1,0),0,MOD($A405-1,5))+1,0,IF(CROQUIS!$C$103=1,-12,2),CROQUIS!$C$107/2+CROQUIS!$C$140,IF(CROQUIS!$C$103=1,-12,2),0)))*CROQUIS!$C$155)+IF(CROQUIS!$C$92="X",0,0)),-1000)</f>
        <v>-1000</v>
      </c>
      <c r="BN405">
        <f>IF(AND(CROQUIS!$C$88=1,CROQUIS!$C$91=0,CROQUIS!$C$130&gt;0,OR(CROQUIS!$C$104=1,CROQUIS!$C$142=1)),((CROQUIS!$C$156+(IF(CROQUIS!$C$92="X",CHOOSE(IF(INT(($A405-1)/5)&gt;MAX((MIN(80,MAX(1,INT(((CROQUIS!$C$98)-CROQUIS!$C$107)/MAX(CROQUIS!$C$130,1))+1)))-1,0),0,MOD($A405-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405-1)/5),MAX((MIN(80,MAX(1,INT(((CROQUIS!$C$98)-CROQUIS!$C$107)/MAX(CROQUIS!$C$130,1))+1)))-1,0))*CROQUIS!$C$130)))*CROQUIS!$C$155)+IF(CROQUIS!$C$92="X",0,0)),-1000)</f>
        <v>-1000</v>
      </c>
      <c r="BO405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405-1)/5),MAX((MIN(80,MAX(1,INT(((CROQUIS!$C$98)-CROQUIS!$C$107)/MAX(CROQUIS!$C$130,1))+1)))-1,0))*CROQUIS!$C$130),CHOOSE(IF(INT(($A405-1)/5)&gt;MAX((MIN(80,MAX(1,INT(((CROQUIS!$C$98)-CROQUIS!$C$107)/MAX(CROQUIS!$C$130,1))+1)))-1,0),0,MOD($A405-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05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405-1)/5),MAX((MIN(80,MAX(1,INT(((CROQUIS!$C$97)-CROQUIS!$C$107)/MAX(CROQUIS!$C$138,1))+1)))-1,0))*CROQUIS!$C$138),CHOOSE(IF(INT(($A405-1)/5)&gt;MAX((MIN(80,MAX(1,INT(((CROQUIS!$C$97)-CROQUIS!$C$107)/MAX(CROQUIS!$C$138,1))+1)))-1,0),0,MOD($A405-1,5))+1,0,IF(CROQUIS!$C$105=1,-12,2),CROQUIS!$C$107/2+CROQUIS!$C$141,IF(CROQUIS!$C$105=1,-12,2),0)))*CROQUIS!$C$155)+IF(CROQUIS!$C$92="X",0,0)),-1000)</f>
        <v>-1000</v>
      </c>
      <c r="BQ405">
        <f>IF(AND(CROQUIS!$C$88=1,CROQUIS!$C$91=0,CROQUIS!$C$138&gt;0,OR(CROQUIS!$C$105=1,CROQUIS!$C$143=1)),((CROQUIS!$C$157+(IF(CROQUIS!$C$92="X",CHOOSE(IF(INT(($A405-1)/5)&gt;MAX((MIN(80,MAX(1,INT(((CROQUIS!$C$97)-CROQUIS!$C$107)/MAX(CROQUIS!$C$138,1))+1)))-1,0),0,MOD($A405-1,5))+1,0,IF(CROQUIS!$C$105=1,-12,2),CROQUIS!$C$107/2+CROQUIS!$C$141,IF(CROQUIS!$C$105=1,-12,2),0),((CROQUIS!$C$107/2+(((CROQUIS!$C$97)-CROQUIS!$C$107)-(MIN(80,MAX(1,INT(((CROQUIS!$C$97)-CROQUIS!$C$107)/MAX(CROQUIS!$C$138,1))+1))-1)*CROQUIS!$C$138)/2)+MIN(INT(($A405-1)/5),MAX((MIN(80,MAX(1,INT(((CROQUIS!$C$97)-CROQUIS!$C$107)/MAX(CROQUIS!$C$138,1))+1)))-1,0))*CROQUIS!$C$138)))*CROQUIS!$C$155)+IF(CROQUIS!$C$92="X",0,0)),-1000)</f>
        <v>-1000</v>
      </c>
      <c r="BR405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405-1)/5),MAX((MIN(80,MAX(1,INT(((CROQUIS!$C$97)-CROQUIS!$C$107)/MAX(CROQUIS!$C$138,1))+1)))-1,0))*CROQUIS!$C$138),CHOOSE(IF(INT(($A405-1)/5)&gt;MAX((MIN(80,MAX(1,INT(((CROQUIS!$C$97)-CROQUIS!$C$107)/MAX(CROQUIS!$C$138,1))+1)))-1,0),0,MOD($A405-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05">
        <f>IF(AND(CROQUIS!$C$88=1,CROQUIS!$C$91=0,CROQUIS!$C$138&gt;0,OR(CROQUIS!$C$106=1,CROQUIS!$C$143=1)),((CROQUIS!$C$157+(IF(CROQUIS!$C$92="X",CHOOSE(IF(INT(($A405-1)/5)&gt;MAX((MIN(80,MAX(1,INT(((CROQUIS!$C$97)-CROQUIS!$C$107)/MAX(CROQUIS!$C$138,1))+1)))-1,0),0,MOD($A405-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405-1)/5),MAX((MIN(80,MAX(1,INT(((CROQUIS!$C$97)-CROQUIS!$C$107)/MAX(CROQUIS!$C$138,1))+1)))-1,0))*CROQUIS!$C$138)))*CROQUIS!$C$155)+IF(CROQUIS!$C$92="X",0,0)),-1000)</f>
        <v>-1000</v>
      </c>
      <c r="BT405">
        <f>IF(AND(CROQUIS!$C$88=1,CROQUIS!$C$91=1,CROQUIS!$C$130&gt;0),((CROQUIS!$C$156+(IF(CROQUIS!$C$92="X",CHOOSE(IF(INT(($A405-1)/5)&gt;MAX((MIN(80,MAX(1,INT(((CROQUIS!$C$98)-CROQUIS!$C$107)/MAX(CROQUIS!$C$130,1))+1)))-1,0),0,MOD($A405-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405-1)/5),MAX((MIN(80,MAX(1,INT(((CROQUIS!$C$98)-CROQUIS!$C$107)/MAX(CROQUIS!$C$130,1))+1)))-1,0))*CROQUIS!$C$130)))*CROQUIS!$C$155)+IF(CROQUIS!$C$92="X",0,0)),-1000)</f>
        <v>-1000</v>
      </c>
      <c r="BU405">
        <f>IF(AND(CROQUIS!$C$88=1,CROQUIS!$C$91=1,CROQUIS!$C$130&gt;0),((CROQUIS!$C$157+(IF(CROQUIS!$C$92="X",((CROQUIS!$C$107/2+(((CROQUIS!$C$98)-CROQUIS!$C$107)-(MIN(80,MAX(1,INT(((CROQUIS!$C$98)-CROQUIS!$C$107)/MAX(CROQUIS!$C$130,1))+1))-1)*CROQUIS!$C$130)/2)+MIN(INT(($A405-1)/5),MAX((MIN(80,MAX(1,INT(((CROQUIS!$C$98)-CROQUIS!$C$107)/MAX(CROQUIS!$C$130,1))+1)))-1,0))*CROQUIS!$C$130),CHOOSE(IF(INT(($A405-1)/5)&gt;MAX((MIN(80,MAX(1,INT(((CROQUIS!$C$98)-CROQUIS!$C$107)/MAX(CROQUIS!$C$130,1))+1)))-1,0),0,MOD($A405-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06">
      <c r="A406" t="n">
        <v>399</v>
      </c>
      <c r="BH406">
        <f>IF(AND(CROQUIS!$C$88=1,CROQUIS!$C$126&gt;0),((CROQUIS!$C$156+(IF(CROQUIS!$C$92="X",CHOOSE(IF(INT(($A406-1)/5)&gt;MAX((MIN(80,MAX(1,INT(((CROQUIS!$C$98)-CROQUIS!$C$107)/MAX(CROQUIS!$C$126,1))+1)))-1,0),0,MOD($A406-1,5))+1,0,2,CROQUIS!$C$97-2,2,0),((CROQUIS!$C$107/2+(((CROQUIS!$C$98)-CROQUIS!$C$107)-(MIN(80,MAX(1,INT(((CROQUIS!$C$98)-CROQUIS!$C$107)/MAX(CROQUIS!$C$126,1))+1))-1)*CROQUIS!$C$126)/2)+MIN(INT(($A406-1)/5),MAX((MIN(80,MAX(1,INT(((CROQUIS!$C$98)-CROQUIS!$C$107)/MAX(CROQUIS!$C$126,1))+1)))-1,0))*CROQUIS!$C$126)))*CROQUIS!$C$155)+IF(CROQUIS!$C$92="X",0,0)),-1000)</f>
        <v>-1000</v>
      </c>
      <c r="BI406">
        <f>IF(AND(CROQUIS!$C$88=1,CROQUIS!$C$126&gt;0),((CROQUIS!$C$157+(IF(CROQUIS!$C$92="X",((CROQUIS!$C$107/2+(((CROQUIS!$C$98)-CROQUIS!$C$107)-(MIN(80,MAX(1,INT(((CROQUIS!$C$98)-CROQUIS!$C$107)/MAX(CROQUIS!$C$126,1))+1))-1)*CROQUIS!$C$126)/2)+MIN(INT(($A406-1)/5),MAX((MIN(80,MAX(1,INT(((CROQUIS!$C$98)-CROQUIS!$C$107)/MAX(CROQUIS!$C$126,1))+1)))-1,0))*CROQUIS!$C$126),CHOOSE(IF(INT(($A406-1)/5)&gt;MAX((MIN(80,MAX(1,INT(((CROQUIS!$C$98)-CROQUIS!$C$107)/MAX(CROQUIS!$C$126,1))+1)))-1,0),0,MOD($A406-1,5))+1,0,2,CROQUIS!$C$97-2,2,0)))*CROQUIS!$C$155)+IF(CROQUIS!$C$92="X",0,0)),-1000)</f>
        <v>-1000</v>
      </c>
      <c r="BJ406">
        <f>IF(AND(CROQUIS!$C$88=1,CROQUIS!$C$134&gt;0),((CROQUIS!$C$156+(IF(CROQUIS!$C$92="X",((CROQUIS!$C$107/2+(((CROQUIS!$C$97)-CROQUIS!$C$107)-(MIN(80,MAX(1,INT(((CROQUIS!$C$97)-CROQUIS!$C$107)/MAX(CROQUIS!$C$134,1))+1))-1)*CROQUIS!$C$134)/2)+MIN(INT(($A406-1)/5),MAX((MIN(80,MAX(1,INT(((CROQUIS!$C$97)-CROQUIS!$C$107)/MAX(CROQUIS!$C$134,1))+1)))-1,0))*CROQUIS!$C$134),CHOOSE(IF(INT(($A406-1)/5)&gt;MAX((MIN(80,MAX(1,INT(((CROQUIS!$C$97)-CROQUIS!$C$107)/MAX(CROQUIS!$C$134,1))+1)))-1,0),0,MOD($A406-1,5))+1,0,2,CROQUIS!$C$98-2,2,0)))*CROQUIS!$C$155)+IF(CROQUIS!$C$92="X",0,0)),-1000)</f>
        <v>-1000</v>
      </c>
      <c r="BK406">
        <f>IF(AND(CROQUIS!$C$88=1,CROQUIS!$C$134&gt;0),((CROQUIS!$C$157+(IF(CROQUIS!$C$92="X",CHOOSE(IF(INT(($A406-1)/5)&gt;MAX((MIN(80,MAX(1,INT(((CROQUIS!$C$97)-CROQUIS!$C$107)/MAX(CROQUIS!$C$134,1))+1)))-1,0),0,MOD($A406-1,5))+1,0,2,CROQUIS!$C$98-2,2,0),((CROQUIS!$C$107/2+(((CROQUIS!$C$97)-CROQUIS!$C$107)-(MIN(80,MAX(1,INT(((CROQUIS!$C$97)-CROQUIS!$C$107)/MAX(CROQUIS!$C$134,1))+1))-1)*CROQUIS!$C$134)/2)+MIN(INT(($A406-1)/5),MAX((MIN(80,MAX(1,INT(((CROQUIS!$C$97)-CROQUIS!$C$107)/MAX(CROQUIS!$C$134,1))+1)))-1,0))*CROQUIS!$C$134)))*CROQUIS!$C$155)+IF(CROQUIS!$C$92="X",0,0)),-1000)</f>
        <v>-1000</v>
      </c>
      <c r="BL406">
        <f>IF(AND(CROQUIS!$C$88=1,CROQUIS!$C$91=0,CROQUIS!$C$130&gt;0,OR(CROQUIS!$C$103=1,CROQUIS!$C$142=1)),((CROQUIS!$C$156+(IF(CROQUIS!$C$92="X",CHOOSE(IF(INT(($A406-1)/5)&gt;MAX((MIN(80,MAX(1,INT(((CROQUIS!$C$98)-CROQUIS!$C$107)/MAX(CROQUIS!$C$130,1))+1)))-1,0),0,MOD($A406-1,5))+1,0,IF(CROQUIS!$C$103=1,-12,2),CROQUIS!$C$107/2+CROQUIS!$C$140,IF(CROQUIS!$C$103=1,-12,2),0),((CROQUIS!$C$107/2+(((CROQUIS!$C$98)-CROQUIS!$C$107)-(MIN(80,MAX(1,INT(((CROQUIS!$C$98)-CROQUIS!$C$107)/MAX(CROQUIS!$C$130,1))+1))-1)*CROQUIS!$C$130)/2)+MIN(INT(($A406-1)/5),MAX((MIN(80,MAX(1,INT(((CROQUIS!$C$98)-CROQUIS!$C$107)/MAX(CROQUIS!$C$130,1))+1)))-1,0))*CROQUIS!$C$130)))*CROQUIS!$C$155)+IF(CROQUIS!$C$92="X",0,0)),-1000)</f>
        <v>-1000</v>
      </c>
      <c r="BM406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406-1)/5),MAX((MIN(80,MAX(1,INT(((CROQUIS!$C$98)-CROQUIS!$C$107)/MAX(CROQUIS!$C$130,1))+1)))-1,0))*CROQUIS!$C$130),CHOOSE(IF(INT(($A406-1)/5)&gt;MAX((MIN(80,MAX(1,INT(((CROQUIS!$C$98)-CROQUIS!$C$107)/MAX(CROQUIS!$C$130,1))+1)))-1,0),0,MOD($A406-1,5))+1,0,IF(CROQUIS!$C$103=1,-12,2),CROQUIS!$C$107/2+CROQUIS!$C$140,IF(CROQUIS!$C$103=1,-12,2),0)))*CROQUIS!$C$155)+IF(CROQUIS!$C$92="X",0,0)),-1000)</f>
        <v>-1000</v>
      </c>
      <c r="BN406">
        <f>IF(AND(CROQUIS!$C$88=1,CROQUIS!$C$91=0,CROQUIS!$C$130&gt;0,OR(CROQUIS!$C$104=1,CROQUIS!$C$142=1)),((CROQUIS!$C$156+(IF(CROQUIS!$C$92="X",CHOOSE(IF(INT(($A406-1)/5)&gt;MAX((MIN(80,MAX(1,INT(((CROQUIS!$C$98)-CROQUIS!$C$107)/MAX(CROQUIS!$C$130,1))+1)))-1,0),0,MOD($A406-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406-1)/5),MAX((MIN(80,MAX(1,INT(((CROQUIS!$C$98)-CROQUIS!$C$107)/MAX(CROQUIS!$C$130,1))+1)))-1,0))*CROQUIS!$C$130)))*CROQUIS!$C$155)+IF(CROQUIS!$C$92="X",0,0)),-1000)</f>
        <v>-1000</v>
      </c>
      <c r="BO406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406-1)/5),MAX((MIN(80,MAX(1,INT(((CROQUIS!$C$98)-CROQUIS!$C$107)/MAX(CROQUIS!$C$130,1))+1)))-1,0))*CROQUIS!$C$130),CHOOSE(IF(INT(($A406-1)/5)&gt;MAX((MIN(80,MAX(1,INT(((CROQUIS!$C$98)-CROQUIS!$C$107)/MAX(CROQUIS!$C$130,1))+1)))-1,0),0,MOD($A406-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06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406-1)/5),MAX((MIN(80,MAX(1,INT(((CROQUIS!$C$97)-CROQUIS!$C$107)/MAX(CROQUIS!$C$138,1))+1)))-1,0))*CROQUIS!$C$138),CHOOSE(IF(INT(($A406-1)/5)&gt;MAX((MIN(80,MAX(1,INT(((CROQUIS!$C$97)-CROQUIS!$C$107)/MAX(CROQUIS!$C$138,1))+1)))-1,0),0,MOD($A406-1,5))+1,0,IF(CROQUIS!$C$105=1,-12,2),CROQUIS!$C$107/2+CROQUIS!$C$141,IF(CROQUIS!$C$105=1,-12,2),0)))*CROQUIS!$C$155)+IF(CROQUIS!$C$92="X",0,0)),-1000)</f>
        <v>-1000</v>
      </c>
      <c r="BQ406">
        <f>IF(AND(CROQUIS!$C$88=1,CROQUIS!$C$91=0,CROQUIS!$C$138&gt;0,OR(CROQUIS!$C$105=1,CROQUIS!$C$143=1)),((CROQUIS!$C$157+(IF(CROQUIS!$C$92="X",CHOOSE(IF(INT(($A406-1)/5)&gt;MAX((MIN(80,MAX(1,INT(((CROQUIS!$C$97)-CROQUIS!$C$107)/MAX(CROQUIS!$C$138,1))+1)))-1,0),0,MOD($A406-1,5))+1,0,IF(CROQUIS!$C$105=1,-12,2),CROQUIS!$C$107/2+CROQUIS!$C$141,IF(CROQUIS!$C$105=1,-12,2),0),((CROQUIS!$C$107/2+(((CROQUIS!$C$97)-CROQUIS!$C$107)-(MIN(80,MAX(1,INT(((CROQUIS!$C$97)-CROQUIS!$C$107)/MAX(CROQUIS!$C$138,1))+1))-1)*CROQUIS!$C$138)/2)+MIN(INT(($A406-1)/5),MAX((MIN(80,MAX(1,INT(((CROQUIS!$C$97)-CROQUIS!$C$107)/MAX(CROQUIS!$C$138,1))+1)))-1,0))*CROQUIS!$C$138)))*CROQUIS!$C$155)+IF(CROQUIS!$C$92="X",0,0)),-1000)</f>
        <v>-1000</v>
      </c>
      <c r="BR406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406-1)/5),MAX((MIN(80,MAX(1,INT(((CROQUIS!$C$97)-CROQUIS!$C$107)/MAX(CROQUIS!$C$138,1))+1)))-1,0))*CROQUIS!$C$138),CHOOSE(IF(INT(($A406-1)/5)&gt;MAX((MIN(80,MAX(1,INT(((CROQUIS!$C$97)-CROQUIS!$C$107)/MAX(CROQUIS!$C$138,1))+1)))-1,0),0,MOD($A406-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06">
        <f>IF(AND(CROQUIS!$C$88=1,CROQUIS!$C$91=0,CROQUIS!$C$138&gt;0,OR(CROQUIS!$C$106=1,CROQUIS!$C$143=1)),((CROQUIS!$C$157+(IF(CROQUIS!$C$92="X",CHOOSE(IF(INT(($A406-1)/5)&gt;MAX((MIN(80,MAX(1,INT(((CROQUIS!$C$97)-CROQUIS!$C$107)/MAX(CROQUIS!$C$138,1))+1)))-1,0),0,MOD($A406-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406-1)/5),MAX((MIN(80,MAX(1,INT(((CROQUIS!$C$97)-CROQUIS!$C$107)/MAX(CROQUIS!$C$138,1))+1)))-1,0))*CROQUIS!$C$138)))*CROQUIS!$C$155)+IF(CROQUIS!$C$92="X",0,0)),-1000)</f>
        <v>-1000</v>
      </c>
      <c r="BT406">
        <f>IF(AND(CROQUIS!$C$88=1,CROQUIS!$C$91=1,CROQUIS!$C$130&gt;0),((CROQUIS!$C$156+(IF(CROQUIS!$C$92="X",CHOOSE(IF(INT(($A406-1)/5)&gt;MAX((MIN(80,MAX(1,INT(((CROQUIS!$C$98)-CROQUIS!$C$107)/MAX(CROQUIS!$C$130,1))+1)))-1,0),0,MOD($A406-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406-1)/5),MAX((MIN(80,MAX(1,INT(((CROQUIS!$C$98)-CROQUIS!$C$107)/MAX(CROQUIS!$C$130,1))+1)))-1,0))*CROQUIS!$C$130)))*CROQUIS!$C$155)+IF(CROQUIS!$C$92="X",0,0)),-1000)</f>
        <v>-1000</v>
      </c>
      <c r="BU406">
        <f>IF(AND(CROQUIS!$C$88=1,CROQUIS!$C$91=1,CROQUIS!$C$130&gt;0),((CROQUIS!$C$157+(IF(CROQUIS!$C$92="X",((CROQUIS!$C$107/2+(((CROQUIS!$C$98)-CROQUIS!$C$107)-(MIN(80,MAX(1,INT(((CROQUIS!$C$98)-CROQUIS!$C$107)/MAX(CROQUIS!$C$130,1))+1))-1)*CROQUIS!$C$130)/2)+MIN(INT(($A406-1)/5),MAX((MIN(80,MAX(1,INT(((CROQUIS!$C$98)-CROQUIS!$C$107)/MAX(CROQUIS!$C$130,1))+1)))-1,0))*CROQUIS!$C$130),CHOOSE(IF(INT(($A406-1)/5)&gt;MAX((MIN(80,MAX(1,INT(((CROQUIS!$C$98)-CROQUIS!$C$107)/MAX(CROQUIS!$C$130,1))+1)))-1,0),0,MOD($A406-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407">
      <c r="A407" t="n">
        <v>400</v>
      </c>
      <c r="BH407">
        <f>IF(AND(CROQUIS!$C$88=1,CROQUIS!$C$126&gt;0),((CROQUIS!$C$156+(IF(CROQUIS!$C$92="X",CHOOSE(IF(INT(($A407-1)/5)&gt;MAX((MIN(80,MAX(1,INT(((CROQUIS!$C$98)-CROQUIS!$C$107)/MAX(CROQUIS!$C$126,1))+1)))-1,0),0,MOD($A407-1,5))+1,0,2,CROQUIS!$C$97-2,2,0),((CROQUIS!$C$107/2+(((CROQUIS!$C$98)-CROQUIS!$C$107)-(MIN(80,MAX(1,INT(((CROQUIS!$C$98)-CROQUIS!$C$107)/MAX(CROQUIS!$C$126,1))+1))-1)*CROQUIS!$C$126)/2)+MIN(INT(($A407-1)/5),MAX((MIN(80,MAX(1,INT(((CROQUIS!$C$98)-CROQUIS!$C$107)/MAX(CROQUIS!$C$126,1))+1)))-1,0))*CROQUIS!$C$126)))*CROQUIS!$C$155)+IF(CROQUIS!$C$92="X",0,0)),-1000)</f>
        <v>-1000</v>
      </c>
      <c r="BI407">
        <f>IF(AND(CROQUIS!$C$88=1,CROQUIS!$C$126&gt;0),((CROQUIS!$C$157+(IF(CROQUIS!$C$92="X",((CROQUIS!$C$107/2+(((CROQUIS!$C$98)-CROQUIS!$C$107)-(MIN(80,MAX(1,INT(((CROQUIS!$C$98)-CROQUIS!$C$107)/MAX(CROQUIS!$C$126,1))+1))-1)*CROQUIS!$C$126)/2)+MIN(INT(($A407-1)/5),MAX((MIN(80,MAX(1,INT(((CROQUIS!$C$98)-CROQUIS!$C$107)/MAX(CROQUIS!$C$126,1))+1)))-1,0))*CROQUIS!$C$126),CHOOSE(IF(INT(($A407-1)/5)&gt;MAX((MIN(80,MAX(1,INT(((CROQUIS!$C$98)-CROQUIS!$C$107)/MAX(CROQUIS!$C$126,1))+1)))-1,0),0,MOD($A407-1,5))+1,0,2,CROQUIS!$C$97-2,2,0)))*CROQUIS!$C$155)+IF(CROQUIS!$C$92="X",0,0)),-1000)</f>
        <v>-1000</v>
      </c>
      <c r="BJ407">
        <f>IF(AND(CROQUIS!$C$88=1,CROQUIS!$C$134&gt;0),((CROQUIS!$C$156+(IF(CROQUIS!$C$92="X",((CROQUIS!$C$107/2+(((CROQUIS!$C$97)-CROQUIS!$C$107)-(MIN(80,MAX(1,INT(((CROQUIS!$C$97)-CROQUIS!$C$107)/MAX(CROQUIS!$C$134,1))+1))-1)*CROQUIS!$C$134)/2)+MIN(INT(($A407-1)/5),MAX((MIN(80,MAX(1,INT(((CROQUIS!$C$97)-CROQUIS!$C$107)/MAX(CROQUIS!$C$134,1))+1)))-1,0))*CROQUIS!$C$134),CHOOSE(IF(INT(($A407-1)/5)&gt;MAX((MIN(80,MAX(1,INT(((CROQUIS!$C$97)-CROQUIS!$C$107)/MAX(CROQUIS!$C$134,1))+1)))-1,0),0,MOD($A407-1,5))+1,0,2,CROQUIS!$C$98-2,2,0)))*CROQUIS!$C$155)+IF(CROQUIS!$C$92="X",0,0)),-1000)</f>
        <v>-1000</v>
      </c>
      <c r="BK407">
        <f>IF(AND(CROQUIS!$C$88=1,CROQUIS!$C$134&gt;0),((CROQUIS!$C$157+(IF(CROQUIS!$C$92="X",CHOOSE(IF(INT(($A407-1)/5)&gt;MAX((MIN(80,MAX(1,INT(((CROQUIS!$C$97)-CROQUIS!$C$107)/MAX(CROQUIS!$C$134,1))+1)))-1,0),0,MOD($A407-1,5))+1,0,2,CROQUIS!$C$98-2,2,0),((CROQUIS!$C$107/2+(((CROQUIS!$C$97)-CROQUIS!$C$107)-(MIN(80,MAX(1,INT(((CROQUIS!$C$97)-CROQUIS!$C$107)/MAX(CROQUIS!$C$134,1))+1))-1)*CROQUIS!$C$134)/2)+MIN(INT(($A407-1)/5),MAX((MIN(80,MAX(1,INT(((CROQUIS!$C$97)-CROQUIS!$C$107)/MAX(CROQUIS!$C$134,1))+1)))-1,0))*CROQUIS!$C$134)))*CROQUIS!$C$155)+IF(CROQUIS!$C$92="X",0,0)),-1000)</f>
        <v>-1000</v>
      </c>
      <c r="BL407">
        <f>IF(AND(CROQUIS!$C$88=1,CROQUIS!$C$91=0,CROQUIS!$C$130&gt;0,OR(CROQUIS!$C$103=1,CROQUIS!$C$142=1)),((CROQUIS!$C$156+(IF(CROQUIS!$C$92="X",CHOOSE(IF(INT(($A407-1)/5)&gt;MAX((MIN(80,MAX(1,INT(((CROQUIS!$C$98)-CROQUIS!$C$107)/MAX(CROQUIS!$C$130,1))+1)))-1,0),0,MOD($A407-1,5))+1,0,IF(CROQUIS!$C$103=1,-12,2),CROQUIS!$C$107/2+CROQUIS!$C$140,IF(CROQUIS!$C$103=1,-12,2),0),((CROQUIS!$C$107/2+(((CROQUIS!$C$98)-CROQUIS!$C$107)-(MIN(80,MAX(1,INT(((CROQUIS!$C$98)-CROQUIS!$C$107)/MAX(CROQUIS!$C$130,1))+1))-1)*CROQUIS!$C$130)/2)+MIN(INT(($A407-1)/5),MAX((MIN(80,MAX(1,INT(((CROQUIS!$C$98)-CROQUIS!$C$107)/MAX(CROQUIS!$C$130,1))+1)))-1,0))*CROQUIS!$C$130)))*CROQUIS!$C$155)+IF(CROQUIS!$C$92="X",0,0)),-1000)</f>
        <v>-1000</v>
      </c>
      <c r="BM407">
        <f>IF(AND(CROQUIS!$C$88=1,CROQUIS!$C$91=0,CROQUIS!$C$130&gt;0,OR(CROQUIS!$C$103=1,CROQUIS!$C$142=1)),((CROQUIS!$C$157+(IF(CROQUIS!$C$92="X",((CROQUIS!$C$107/2+(((CROQUIS!$C$98)-CROQUIS!$C$107)-(MIN(80,MAX(1,INT(((CROQUIS!$C$98)-CROQUIS!$C$107)/MAX(CROQUIS!$C$130,1))+1))-1)*CROQUIS!$C$130)/2)+MIN(INT(($A407-1)/5),MAX((MIN(80,MAX(1,INT(((CROQUIS!$C$98)-CROQUIS!$C$107)/MAX(CROQUIS!$C$130,1))+1)))-1,0))*CROQUIS!$C$130),CHOOSE(IF(INT(($A407-1)/5)&gt;MAX((MIN(80,MAX(1,INT(((CROQUIS!$C$98)-CROQUIS!$C$107)/MAX(CROQUIS!$C$130,1))+1)))-1,0),0,MOD($A407-1,5))+1,0,IF(CROQUIS!$C$103=1,-12,2),CROQUIS!$C$107/2+CROQUIS!$C$140,IF(CROQUIS!$C$103=1,-12,2),0)))*CROQUIS!$C$155)+IF(CROQUIS!$C$92="X",0,0)),-1000)</f>
        <v>-1000</v>
      </c>
      <c r="BN407">
        <f>IF(AND(CROQUIS!$C$88=1,CROQUIS!$C$91=0,CROQUIS!$C$130&gt;0,OR(CROQUIS!$C$104=1,CROQUIS!$C$142=1)),((CROQUIS!$C$156+(IF(CROQUIS!$C$92="X",CHOOSE(IF(INT(($A407-1)/5)&gt;MAX((MIN(80,MAX(1,INT(((CROQUIS!$C$98)-CROQUIS!$C$107)/MAX(CROQUIS!$C$130,1))+1)))-1,0),0,MOD($A407-1,5))+1,CROQUIS!$C$97,CROQUIS!$C$97-CROQUIS!$C$107/2-CROQUIS!$C$140,IF(CROQUIS!$C$104=1,CROQUIS!$C$97+12,CROQUIS!$C$97-2),CROQUIS!$C$97-CROQUIS!$C$107/2-CROQUIS!$C$140,CROQUIS!$C$97),((CROQUIS!$C$107/2+(((CROQUIS!$C$98)-CROQUIS!$C$107)-(MIN(80,MAX(1,INT(((CROQUIS!$C$98)-CROQUIS!$C$107)/MAX(CROQUIS!$C$130,1))+1))-1)*CROQUIS!$C$130)/2)+MIN(INT(($A407-1)/5),MAX((MIN(80,MAX(1,INT(((CROQUIS!$C$98)-CROQUIS!$C$107)/MAX(CROQUIS!$C$130,1))+1)))-1,0))*CROQUIS!$C$130)))*CROQUIS!$C$155)+IF(CROQUIS!$C$92="X",0,0)),-1000)</f>
        <v>-1000</v>
      </c>
      <c r="BO407">
        <f>IF(AND(CROQUIS!$C$88=1,CROQUIS!$C$91=0,CROQUIS!$C$130&gt;0,OR(CROQUIS!$C$104=1,CROQUIS!$C$142=1)),((CROQUIS!$C$157+(IF(CROQUIS!$C$92="X",((CROQUIS!$C$107/2+(((CROQUIS!$C$98)-CROQUIS!$C$107)-(MIN(80,MAX(1,INT(((CROQUIS!$C$98)-CROQUIS!$C$107)/MAX(CROQUIS!$C$130,1))+1))-1)*CROQUIS!$C$130)/2)+MIN(INT(($A407-1)/5),MAX((MIN(80,MAX(1,INT(((CROQUIS!$C$98)-CROQUIS!$C$107)/MAX(CROQUIS!$C$130,1))+1)))-1,0))*CROQUIS!$C$130),CHOOSE(IF(INT(($A407-1)/5)&gt;MAX((MIN(80,MAX(1,INT(((CROQUIS!$C$98)-CROQUIS!$C$107)/MAX(CROQUIS!$C$130,1))+1)))-1,0),0,MOD($A407-1,5))+1,CROQUIS!$C$97,CROQUIS!$C$97-CROQUIS!$C$107/2-CROQUIS!$C$140,IF(CROQUIS!$C$104=1,CROQUIS!$C$97+12,CROQUIS!$C$97-2),CROQUIS!$C$97-CROQUIS!$C$107/2-CROQUIS!$C$140,CROQUIS!$C$97)))*CROQUIS!$C$155)+IF(CROQUIS!$C$92="X",0,0)),-1000)</f>
        <v>-1000</v>
      </c>
      <c r="BP407">
        <f>IF(AND(CROQUIS!$C$88=1,CROQUIS!$C$91=0,CROQUIS!$C$138&gt;0,OR(CROQUIS!$C$105=1,CROQUIS!$C$143=1)),((CROQUIS!$C$156+(IF(CROQUIS!$C$92="X",((CROQUIS!$C$107/2+(((CROQUIS!$C$97)-CROQUIS!$C$107)-(MIN(80,MAX(1,INT(((CROQUIS!$C$97)-CROQUIS!$C$107)/MAX(CROQUIS!$C$138,1))+1))-1)*CROQUIS!$C$138)/2)+MIN(INT(($A407-1)/5),MAX((MIN(80,MAX(1,INT(((CROQUIS!$C$97)-CROQUIS!$C$107)/MAX(CROQUIS!$C$138,1))+1)))-1,0))*CROQUIS!$C$138),CHOOSE(IF(INT(($A407-1)/5)&gt;MAX((MIN(80,MAX(1,INT(((CROQUIS!$C$97)-CROQUIS!$C$107)/MAX(CROQUIS!$C$138,1))+1)))-1,0),0,MOD($A407-1,5))+1,0,IF(CROQUIS!$C$105=1,-12,2),CROQUIS!$C$107/2+CROQUIS!$C$141,IF(CROQUIS!$C$105=1,-12,2),0)))*CROQUIS!$C$155)+IF(CROQUIS!$C$92="X",0,0)),-1000)</f>
        <v>-1000</v>
      </c>
      <c r="BQ407">
        <f>IF(AND(CROQUIS!$C$88=1,CROQUIS!$C$91=0,CROQUIS!$C$138&gt;0,OR(CROQUIS!$C$105=1,CROQUIS!$C$143=1)),((CROQUIS!$C$157+(IF(CROQUIS!$C$92="X",CHOOSE(IF(INT(($A407-1)/5)&gt;MAX((MIN(80,MAX(1,INT(((CROQUIS!$C$97)-CROQUIS!$C$107)/MAX(CROQUIS!$C$138,1))+1)))-1,0),0,MOD($A407-1,5))+1,0,IF(CROQUIS!$C$105=1,-12,2),CROQUIS!$C$107/2+CROQUIS!$C$141,IF(CROQUIS!$C$105=1,-12,2),0),((CROQUIS!$C$107/2+(((CROQUIS!$C$97)-CROQUIS!$C$107)-(MIN(80,MAX(1,INT(((CROQUIS!$C$97)-CROQUIS!$C$107)/MAX(CROQUIS!$C$138,1))+1))-1)*CROQUIS!$C$138)/2)+MIN(INT(($A407-1)/5),MAX((MIN(80,MAX(1,INT(((CROQUIS!$C$97)-CROQUIS!$C$107)/MAX(CROQUIS!$C$138,1))+1)))-1,0))*CROQUIS!$C$138)))*CROQUIS!$C$155)+IF(CROQUIS!$C$92="X",0,0)),-1000)</f>
        <v>-1000</v>
      </c>
      <c r="BR407">
        <f>IF(AND(CROQUIS!$C$88=1,CROQUIS!$C$91=0,CROQUIS!$C$138&gt;0,OR(CROQUIS!$C$106=1,CROQUIS!$C$143=1)),((CROQUIS!$C$156+(IF(CROQUIS!$C$92="X",((CROQUIS!$C$107/2+(((CROQUIS!$C$97)-CROQUIS!$C$107)-(MIN(80,MAX(1,INT(((CROQUIS!$C$97)-CROQUIS!$C$107)/MAX(CROQUIS!$C$138,1))+1))-1)*CROQUIS!$C$138)/2)+MIN(INT(($A407-1)/5),MAX((MIN(80,MAX(1,INT(((CROQUIS!$C$97)-CROQUIS!$C$107)/MAX(CROQUIS!$C$138,1))+1)))-1,0))*CROQUIS!$C$138),CHOOSE(IF(INT(($A407-1)/5)&gt;MAX((MIN(80,MAX(1,INT(((CROQUIS!$C$97)-CROQUIS!$C$107)/MAX(CROQUIS!$C$138,1))+1)))-1,0),0,MOD($A407-1,5))+1,CROQUIS!$C$98,CROQUIS!$C$98-CROQUIS!$C$107/2-CROQUIS!$C$141,IF(CROQUIS!$C$106=1,CROQUIS!$C$98+12,CROQUIS!$C$98-2),CROQUIS!$C$98-CROQUIS!$C$107/2-CROQUIS!$C$141,CROQUIS!$C$98)))*CROQUIS!$C$155)+IF(CROQUIS!$C$92="X",0,0)),-1000)</f>
        <v>-1000</v>
      </c>
      <c r="BS407">
        <f>IF(AND(CROQUIS!$C$88=1,CROQUIS!$C$91=0,CROQUIS!$C$138&gt;0,OR(CROQUIS!$C$106=1,CROQUIS!$C$143=1)),((CROQUIS!$C$157+(IF(CROQUIS!$C$92="X",CHOOSE(IF(INT(($A407-1)/5)&gt;MAX((MIN(80,MAX(1,INT(((CROQUIS!$C$97)-CROQUIS!$C$107)/MAX(CROQUIS!$C$138,1))+1)))-1,0),0,MOD($A407-1,5))+1,CROQUIS!$C$98,CROQUIS!$C$98-CROQUIS!$C$107/2-CROQUIS!$C$141,IF(CROQUIS!$C$106=1,CROQUIS!$C$98+12,CROQUIS!$C$98-2),CROQUIS!$C$98-CROQUIS!$C$107/2-CROQUIS!$C$141,CROQUIS!$C$98),((CROQUIS!$C$107/2+(((CROQUIS!$C$97)-CROQUIS!$C$107)-(MIN(80,MAX(1,INT(((CROQUIS!$C$97)-CROQUIS!$C$107)/MAX(CROQUIS!$C$138,1))+1))-1)*CROQUIS!$C$138)/2)+MIN(INT(($A407-1)/5),MAX((MIN(80,MAX(1,INT(((CROQUIS!$C$97)-CROQUIS!$C$107)/MAX(CROQUIS!$C$138,1))+1)))-1,0))*CROQUIS!$C$138)))*CROQUIS!$C$155)+IF(CROQUIS!$C$92="X",0,0)),-1000)</f>
        <v>-1000</v>
      </c>
      <c r="BT407">
        <f>IF(AND(CROQUIS!$C$88=1,CROQUIS!$C$91=1,CROQUIS!$C$130&gt;0),((CROQUIS!$C$156+(IF(CROQUIS!$C$92="X",CHOOSE(IF(INT(($A407-1)/5)&gt;MAX((MIN(80,MAX(1,INT(((CROQUIS!$C$98)-CROQUIS!$C$107)/MAX(CROQUIS!$C$130,1))+1)))-1,0),0,MOD($A407-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,((CROQUIS!$C$107/2+(((CROQUIS!$C$98)-CROQUIS!$C$107)-(MIN(80,MAX(1,INT(((CROQUIS!$C$98)-CROQUIS!$C$107)/MAX(CROQUIS!$C$130,1))+1))-1)*CROQUIS!$C$130)/2)+MIN(INT(($A407-1)/5),MAX((MIN(80,MAX(1,INT(((CROQUIS!$C$98)-CROQUIS!$C$107)/MAX(CROQUIS!$C$130,1))+1)))-1,0))*CROQUIS!$C$130)))*CROQUIS!$C$155)+IF(CROQUIS!$C$92="X",0,0)),-1000)</f>
        <v>-1000</v>
      </c>
      <c r="BU407">
        <f>IF(AND(CROQUIS!$C$88=1,CROQUIS!$C$91=1,CROQUIS!$C$130&gt;0),((CROQUIS!$C$157+(IF(CROQUIS!$C$92="X",((CROQUIS!$C$107/2+(((CROQUIS!$C$98)-CROQUIS!$C$107)-(MIN(80,MAX(1,INT(((CROQUIS!$C$98)-CROQUIS!$C$107)/MAX(CROQUIS!$C$130,1))+1))-1)*CROQUIS!$C$130)/2)+MIN(INT(($A407-1)/5),MAX((MIN(80,MAX(1,INT(((CROQUIS!$C$98)-CROQUIS!$C$107)/MAX(CROQUIS!$C$130,1))+1)))-1,0))*CROQUIS!$C$130),CHOOSE(IF(INT(($A407-1)/5)&gt;MAX((MIN(80,MAX(1,INT(((CROQUIS!$C$98)-CROQUIS!$C$107)/MAX(CROQUIS!$C$130,1))+1)))-1,0),0,MOD($A407-1,5))+1,IF(CROQUIS!$C$94=1,0,CROQUIS!$C$97),IF(CROQUIS!$C$91=1,IF(CROQUIS!$C$94=1,-(CROQUIS!$C$107/2+CROQUIS!$C$140),2),2),IF(CROQUIS!$C$91=1,IF(CROQUIS!$C$94=1,CROQUIS!$C$97-2,CROQUIS!$C$97+CROQUIS!$C$107/2+CROQUIS!$C$140),CROQUIS!$C$97-2),IF(CROQUIS!$C$91=1,IF(CROQUIS!$C$94=1,-(CROQUIS!$C$107/2+CROQUIS!$C$140),2),2),IF(CROQUIS!$C$94=1,0,CROQUIS!$C$97))))*CROQUIS!$C$155)+IF(CROQUIS!$C$92="X",0,0)),-1000)</f>
        <v>-1000</v>
      </c>
    </row>
    <row r="599">
      <c r="A599" s="86" t="inlineStr">
        <is>
          <t>TEXTOS DE LEYENDAS Y COTAS</t>
        </is>
      </c>
    </row>
    <row r="600">
      <c r="A600" t="str">
        <f>IF(AND(CROQUIS!$C$87=1),"Tablero "&amp;CROQUIS!$C$89&amp;": a_x = "&amp;TEXT(CROQUIS!$C$95/100,"0.00")&amp;" m × a_y = "&amp;TEXT(CROQUIS!$C$96/100,"0.00")&amp;" m (a ejes)","—")</f>
        <v>Tablero EJEMPLO F80016 (de borde): a_x = 4.43 m × a_y = 4.00 m (a ejes)</v>
      </c>
    </row>
    <row r="601">
      <c r="A601" t="str">
        <f>IF(AND(CROQUIS!$C$87=1),IF(CROQUIS!$C$91=1,"Apoyo del volado (muro, dala o trabe de b_p = "&amp;DATOS!$C$84&amp;" cm)","Paño de los apoyos (b_p = "&amp;DATOS!$C$84&amp;" cm)"),"—")</f>
        <v>Paño de los apoyos (b_p = 15 cm)</v>
      </c>
    </row>
    <row r="602">
      <c r="A602" t="str">
        <f>IF(AND(CROQUIS!$C$87=1,CROQUIS!$C$91=1),"Empotramiento","—")</f>
        <v>—</v>
      </c>
    </row>
    <row r="603">
      <c r="A603" t="str">
        <f>IF(AND(CROQUIS!$C$87=1,CROQUIS!$C$91=1),"Tablero de respaldo (L_b = "&amp;TEXT(CROQUIS!$C$146/100,"0.00")&amp;" m; se dibuja una parte)","—")</f>
        <v>—</v>
      </c>
    </row>
    <row r="604">
      <c r="A604" t="str">
        <f>IF(AND(CROQUIS!$C$87=1,CROQUIS!$C$91=1,CROQUIS!$C$148&gt;0),"Carga en la orilla P = "&amp;TEXT(CROQUIS!$C$148,"0.0")&amp;" kg/m (servicio)","—")</f>
        <v>—</v>
      </c>
    </row>
    <row r="605">
      <c r="A605" t="str">
        <f>IF(AND(CROQUIS!$C$87=1),"a_x = "&amp;TEXT(CROQUIS!$C$95/100,"0.00")&amp;" m","—")</f>
        <v>a_x = 4.43 m</v>
      </c>
    </row>
    <row r="606">
      <c r="A606" t="str">
        <f>IF(AND(CROQUIS!$C$87=1),"a_y = "&amp;TEXT(CROQUIS!$C$96/100,"0.00")&amp;" m","—")</f>
        <v>a_y = 4.00 m</v>
      </c>
    </row>
    <row r="607">
      <c r="A607" t="str">
        <f>IF(AND(CROQUIS!$C$88=1),"Tablero "&amp;CROQUIS!$C$89&amp;": a_x = "&amp;TEXT(CROQUIS!$C$95/100,"0.00")&amp;" m × a_y = "&amp;TEXT(CROQUIS!$C$96/100,"0.00")&amp;" m (a ejes)","—")</f>
        <v>—</v>
      </c>
    </row>
    <row r="608">
      <c r="A608" t="str">
        <f>IF(AND(CROQUIS!$C$88=1),IF(CROQUIS!$C$91=1,"Apoyo del volado (muro, dala o trabe de b_p = "&amp;DATOS!$C$84&amp;" cm)","Paño de los apoyos (b_p = "&amp;DATOS!$C$84&amp;" cm)"),"—")</f>
        <v>—</v>
      </c>
    </row>
    <row r="609">
      <c r="A609" t="str">
        <f>IF(AND(CROQUIS!$C$88=1,CROQUIS!$C$91=1),"Empotramiento","—")</f>
        <v>—</v>
      </c>
    </row>
    <row r="610">
      <c r="A610" t="str">
        <f>IF(AND(CROQUIS!$C$88=1,CROQUIS!$C$91=1),"Tablero de respaldo (L_b = "&amp;TEXT(CROQUIS!$C$146/100,"0.00")&amp;" m; se dibuja una parte)","—")</f>
        <v>—</v>
      </c>
    </row>
    <row r="611">
      <c r="A611" t="str">
        <f>IF(AND(CROQUIS!$C$88=1,CROQUIS!$C$91=1,CROQUIS!$C$148&gt;0),"Carga en la orilla P = "&amp;TEXT(CROQUIS!$C$148,"0.0")&amp;" kg/m (servicio)","—")</f>
        <v>—</v>
      </c>
    </row>
    <row r="612">
      <c r="A612" t="str">
        <f>IF(AND(CROQUIS!$C$88=1),"a_x = "&amp;TEXT(CROQUIS!$C$95/100,"0.00")&amp;" m","—")</f>
        <v>—</v>
      </c>
    </row>
    <row r="613">
      <c r="A613" t="str">
        <f>IF(AND(CROQUIS!$C$88=1),"a_y = "&amp;TEXT(CROQUIS!$C$96/100,"0.00")&amp;" m","—")</f>
        <v>—</v>
      </c>
    </row>
    <row r="614">
      <c r="A614" t="str">
        <f>IF(AND(CROQUIS!$C$87=1,CROQUIS!$C$91=1,CROQUIS!$C$144&gt;0),"Respaldo: "&amp;CROQUIS!$C$145&amp;" hilera(s) con nervaduras de "&amp;CROQUIS!$C$111&amp;" cm (hasta "&amp;TEXT(CROQUIS!$C$144/100,"0.00")&amp;" m del paño)","—")</f>
        <v>—</v>
      </c>
    </row>
    <row r="615">
      <c r="A615" t="str">
        <f>IF(AND(CROQUIS!$C$87=1,CROQUIS!$C$158&gt;0,CROQUIS!$C$160&gt;0),"Casetones "&amp;TEXT(CROQUIS!$C$112,"0")&amp;"×"&amp;TEXT(CROQUIS!$C$112,"0")&amp;"×"&amp;DATOS!$C$79&amp;" cm: "&amp;CROQUIS!$C$158&amp;" × "&amp;CROQUIS!$C$160&amp;" (nervaduras de "&amp;CROQUIS!$C$111&amp;" cm entre ellos, a cada "&amp;DATOS!$C$83&amp;" cm)","—")</f>
        <v>Casetones 60×60×19 cm: 6 × 5 (nervaduras de 10 cm entre ellos, a cada 70 cm)</v>
      </c>
    </row>
    <row r="616">
      <c r="A616" t="str">
        <f>IF(AND(CROQUIS!$C$87=1,CROQUIS!$C$158&gt;=2),"Ejes de nervaduras (‖ X y ‖ Y)","—")</f>
        <v>Ejes de nervaduras (‖ X y ‖ Y)</v>
      </c>
    </row>
    <row r="617">
      <c r="A617" t="str">
        <f>IF(AND(CROQUIS!$C$87=1,CROQUIS!$C$123&gt;0,CROQUIS!$C$162&gt;0),"Zona maciza junto al apoyo: macizo de orilla + "&amp;CROQUIS!$C$123&amp;" hilera(s) de casetones quitadas por cortante","—")</f>
        <v>—</v>
      </c>
    </row>
    <row r="618">
      <c r="A618" t="str">
        <f>IF(AND(CROQUIS!$C$87=1),"‖ corto · inferior: "&amp;CROQUIS!$C$127,"—")</f>
        <v>‖ corto · inferior: 1 No. 4 corrida</v>
      </c>
    </row>
    <row r="619">
      <c r="A619" t="str">
        <f>IF(AND(CROQUIS!$C$87=1),IF(CROQUIS!$C$91=1,"‖ corto · superior del volado: "&amp;CROQUIS!$C$130&amp;" No. "&amp;CROQUIS!$C$128&amp;" (corrida y bastones: ver ARMADO en NERVADAS)","‖ corto · superior: "&amp;CROQUIS!$C$131),"—")</f>
        <v>‖ corto · superior: 1 No. 4 corrida</v>
      </c>
    </row>
    <row r="620">
      <c r="A620" t="str">
        <f>IF(AND(CROQUIS!$C$87=1,CROQUIS!$C$91=0,CROQUIS!$C$130&gt;=2,OR(CROQUIS!$C$103=1,CROQUIS!$C$142=1)),"‖ corto · bastones (borde continuo"&amp;IF(CROQUIS!$C$142=1," y discontinuo","")&amp;"), L = "&amp;TEXT(CROQUIS!$C$140/100,"0.00")&amp;" m desde el paño","—")</f>
        <v>—</v>
      </c>
    </row>
    <row r="621">
      <c r="A621" t="str">
        <f>IF(AND(CROQUIS!$C$87=1),"‖ largo · inferior: "&amp;CROQUIS!$C$135,"—")</f>
        <v>‖ largo · inferior: 1 No. 4 corrida</v>
      </c>
    </row>
    <row r="622">
      <c r="A622" t="str">
        <f>IF(AND(CROQUIS!$C$87=1),"‖ largo · superior: "&amp;CROQUIS!$C$139,"—")</f>
        <v>‖ largo · superior: 1 No. 4 corrida</v>
      </c>
    </row>
    <row r="623">
      <c r="A623" t="str">
        <f>IF(AND(CROQUIS!$C$87=1,CROQUIS!$C$91=0,CROQUIS!$C$138&gt;=2,OR(CROQUIS!$C$105=1,CROQUIS!$C$143=1)),"‖ largo · bastones, L = "&amp;TEXT(CROQUIS!$C$141/100,"0.00")&amp;" m desde el paño","—")</f>
        <v>—</v>
      </c>
    </row>
    <row r="624">
      <c r="A624" t="str">
        <f>IF(AND(CROQUIS!$C$87=1,CROQUIS!$C$158&gt;=2),"s = "&amp;DATOS!$C$83&amp;" cm","—")</f>
        <v>s = 70 cm</v>
      </c>
    </row>
    <row r="625">
      <c r="A625" t="str">
        <f>IF(AND(CROQUIS!$C$88=1,CROQUIS!$C$126&gt;0),"‖ corto · inferior: "&amp;CROQUIS!$C$127,"—")</f>
        <v>—</v>
      </c>
    </row>
    <row r="626">
      <c r="A626" t="str">
        <f>IF(AND(CROQUIS!$C$88=1,CROQUIS!$C$134&gt;0),"‖ largo · inferior: "&amp;CROQUIS!$C$135,"—")</f>
        <v>—</v>
      </c>
    </row>
    <row r="627">
      <c r="A627" t="str">
        <f>IF(AND(CROQUIS!$C$88=1,CROQUIS!$C$91=0,CROQUIS!$C$130&gt;0,OR(CROQUIS!$C$103=1,CROQUIS!$C$142=1)),"‖ corto · bastones superiores: "&amp;CROQUIS!$C$131,"—")</f>
        <v>—</v>
      </c>
    </row>
    <row r="628">
      <c r="A628" t="str">
        <f>IF(AND(CROQUIS!$C$88=1,CROQUIS!$C$91=0,CROQUIS!$C$138&gt;0,OR(CROQUIS!$C$105=1,CROQUIS!$C$143=1)),"‖ largo · bastones superiores: "&amp;CROQUIS!$C$139,"—")</f>
        <v>—</v>
      </c>
    </row>
    <row r="629">
      <c r="A629" t="str">
        <f>IF(AND(CROQUIS!$C$88=1,CROQUIS!$C$91=1,CROQUIS!$C$130&gt;0),"Superior del volado: "&amp;CROQUIS!$C$131,"—")</f>
        <v>—</v>
      </c>
    </row>
    <row r="630">
      <c r="A630" t="str">
        <f>IF(AND(CROQUIS!$C$87=1),"Nervadura b_w = "&amp;CROQUIS!$C$111&amp;" cm + capa t = "&amp;DATOS!$C$81&amp;" cm (h = "&amp;DATOS!$C$82&amp;" cm)","—")</f>
        <v>Nervadura b_w = 10 cm + capa t = 6 cm (h = 25 cm)</v>
      </c>
    </row>
    <row r="631">
      <c r="A631" t="str">
        <f>IF(AND(CROQUIS!$C$87=1),"Casetón "&amp;TEXT(CROQUIS!$C$112,"0")&amp;" × "&amp;DATOS!$C$79&amp;" cm","—")</f>
        <v>Casetón 60 × 19 cm</v>
      </c>
    </row>
    <row r="632">
      <c r="A632" t="str">
        <f>IF(AND(CROQUIS!$C$87=1),"Malla "&amp;DATOS!$C$93&amp;" al centro de la capa ("&amp;TEXT(CROQUIS!$C$117,"0.0")&amp;" cm a la cara superior)","—")</f>
        <v>Malla 6x6-4/4 al centro de la capa (2.4 cm a la cara superior)</v>
      </c>
    </row>
    <row r="633">
      <c r="A633" t="str">
        <f>IF(AND(CROQUIS!$C$87=1,CROQUIS!$C$126&gt;=1),"Inferior ‖ corto: "&amp;CROQUIS!$C$126&amp;" No. "&amp;CROQUIS!$C$124&amp;" (r = "&amp;CROQUIS!$C$109&amp;" cm)","—")</f>
        <v>Inferior ‖ corto: 1 No. 4 (r = 2 cm)</v>
      </c>
    </row>
    <row r="634">
      <c r="A634" t="str">
        <f>IF(AND(CROQUIS!$C$87=1,CROQUIS!$C$130&gt;=1),"Superior ‖ corto: "&amp;CROQUIS!$C$130&amp;" No. "&amp;CROQUIS!$C$128&amp;" junto al apoyo (armado completo en la planta)","—")</f>
        <v>Superior ‖ corto: 1 No. 4 junto al apoyo (armado completo en la planta)</v>
      </c>
    </row>
    <row r="635">
      <c r="A635" t="str">
        <f>IF(AND(CROQUIS!$C$87=1),"b_w = "&amp;CROQUIS!$C$111&amp;" cm","—")</f>
        <v>b_w = 10 cm</v>
      </c>
    </row>
    <row r="636">
      <c r="A636" t="str">
        <f>IF(AND(CROQUIS!$C$87=1),"s = "&amp;DATOS!$C$83&amp;" cm","—")</f>
        <v>s = 70 cm</v>
      </c>
    </row>
    <row r="637">
      <c r="A637" t="str">
        <f>IF(AND(CROQUIS!$C$87=1),"h = "&amp;DATOS!$C$82&amp;" cm","—")</f>
        <v>h = 25 cm</v>
      </c>
    </row>
    <row r="638">
      <c r="A638" t="str">
        <f>IF(AND(CROQUIS!$C$87=1),"d = "&amp;TEXT(CROQUIS!$C$147,"0.0")&amp;" cm (inf. ‖ corto)","—")</f>
        <v>d = 22.4 cm (inf. ‖ corto)</v>
      </c>
    </row>
    <row r="639">
      <c r="A639" t="str">
        <f>IF(AND(CROQUIS!$C$88=1),"Losa maciza h = "&amp;CROQUIS!$C$108&amp;" cm (franja de 60 cm)","—")</f>
        <v>—</v>
      </c>
    </row>
    <row r="640">
      <c r="A640" t="str">
        <f>IF(AND(CROQUIS!$C$88=1),"Inferior ‖ corto: "&amp;CROQUIS!$C$127&amp;" (r = "&amp;CROQUIS!$C$109&amp;" cm)","—")</f>
        <v>—</v>
      </c>
    </row>
    <row r="641">
      <c r="A641" t="str">
        <f>IF(AND(CROQUIS!$C$88=1,CROQUIS!$C$134&gt;0),"Inferior ‖ largo: No. "&amp;CROQUIS!$C$132&amp;" @ "&amp;CROQUIS!$C$134&amp;" cm","—")</f>
        <v>—</v>
      </c>
    </row>
    <row r="642">
      <c r="A642" t="str">
        <f>IF(AND(CROQUIS!$C$88=1,CROQUIS!$C$138&gt;0),"Superior ‖ largo: No. "&amp;CROQUIS!$C$136&amp;" @ "&amp;CROQUIS!$C$138&amp;" cm","—")</f>
        <v>—</v>
      </c>
    </row>
    <row r="643">
      <c r="A643" t="str">
        <f>IF(AND(CROQUIS!$C$88=1),"Superior ‖ corto: No. "&amp;CROQUIS!$C$128&amp;" @ "&amp;CROQUIS!$C$130&amp;" cm (r = "&amp;CROQUIS!$C$110&amp;" cm)","—")</f>
        <v>—</v>
      </c>
    </row>
    <row r="644">
      <c r="A644" t="str">
        <f>IF(AND(CROQUIS!$C$88=1),"h = "&amp;CROQUIS!$C$108&amp;" cm","—")</f>
        <v>—</v>
      </c>
    </row>
    <row r="645">
      <c r="A645" t="str">
        <f>IF(AND(CROQUIS!$C$88=1),"r = "&amp;CROQUIS!$C$109&amp;" cm","—")</f>
        <v>—</v>
      </c>
    </row>
    <row r="646">
      <c r="A646" t="str">
        <f>IF(AND(CROQUIS!$C$88=1),"r = "&amp;CROQUIS!$C$110&amp;" cm","—")</f>
        <v>—</v>
      </c>
    </row>
    <row r="647">
      <c r="A647" t="str">
        <f>IF(AND(CROQUIS!$C$88=1,MIN(12,INT(58/MAX(CROQUIS!$C$134,1))+1)&gt;=2),"s = "&amp;CROQUIS!$C$134&amp;" cm","—")</f>
        <v>—</v>
      </c>
    </row>
    <row r="648">
      <c r="A648" t="str">
        <f>IF(AND(CROQUIS!$C$87=1),IF(CROQUIS!$C$91=1,"Volado y parte del tablero de respaldo","Losa ‖ corto (corte continuo donde el borde es continuo)")&amp;" — escala vertical ×"&amp;CROQUIS!$C$172,"—")</f>
        <v>Losa ‖ corto (corte continuo donde el borde es continuo) — escala vertical ×3</v>
      </c>
    </row>
    <row r="649">
      <c r="A649" t="str">
        <f>IF(AND(CROQUIS!$C$87=1),"Apoyos (b_p = "&amp;DATOS!$C$84&amp;" cm)","—")</f>
        <v>Apoyos (b_p = 15 cm)</v>
      </c>
    </row>
    <row r="650">
      <c r="A650" t="str">
        <f>IF(AND(CROQUIS!$C$87=1),"Inferior ‖ corto: "&amp;CROQUIS!$C$127,"—")</f>
        <v>Inferior ‖ corto: 1 No. 4 corrida</v>
      </c>
    </row>
    <row r="651">
      <c r="A651" t="str">
        <f>IF(AND(CROQUIS!$C$87=1,1),IF(CROQUIS!$C$91=1,"Superior del volado: "&amp;CROQUIS!$C$130&amp;" No. "&amp;CROQUIS!$C$128&amp;" (armado completo en la planta)","Superior corrido: 1 No. "&amp;CROQUIS!$C$128&amp;" (6.7.6.1.3)"),"—")</f>
        <v>Superior corrido: 1 No. 4 (6.7.6.1.3)</v>
      </c>
    </row>
    <row r="652">
      <c r="A652" t="str">
        <f>IF(AND(CROQUIS!$C$87=1,CROQUIS!$C$91=0,CROQUIS!$C$130&gt;=2,OR(CROQUIS!$C$103=1,CROQUIS!$C$142=1)),"Bastones ‖ corto: "&amp;(CROQUIS!$C$130-1)&amp;" No. "&amp;CROQUIS!$C$128&amp;", L = "&amp;TEXT(CROQUIS!$C$140/100,"0.00")&amp;" m desde el paño","—")</f>
        <v>—</v>
      </c>
    </row>
    <row r="653">
      <c r="A653" t="str">
        <f>IF(AND(CROQUIS!$C$87=1,CROQUIS!$C$162&gt;0),"Casetones (detrás de la nervadura)","—")</f>
        <v>Casetones (detrás de la nervadura)</v>
      </c>
    </row>
    <row r="654">
      <c r="A654" t="str">
        <f>IF(AND(CROQUIS!$C$87=1,CROQUIS!$C$162&gt;0),"Fin de la zona maciza (macizo de orilla"&amp;IF(CROQUIS!$C$123&gt;0," + "&amp;CROQUIS!$C$123&amp;" hilera(s) por cortante","")&amp;")","—")</f>
        <v>Fin de la zona maciza (macizo de orilla)</v>
      </c>
    </row>
    <row r="655">
      <c r="A655" t="str">
        <f>IF(AND(CROQUIS!$C$87=1),IF(CROQUIS!$C$91=1,"Volado: "&amp;TEXT(CROQUIS!$C$97/100,"0.00")&amp;" m del eje del apoyo a la orilla","a1 = "&amp;TEXT(CROQUIS!$C$97/100,"0.00")&amp;" m (a ejes)"),"—")</f>
        <v>a1 = 4.00 m (a ejes)</v>
      </c>
    </row>
    <row r="656">
      <c r="A656" t="str">
        <f>IF(AND(CROQUIS!$C$87=1,OR(CROQUIS!$C$91=1,AND(CROQUIS!$C$130&gt;=2,OR(CROQUIS!$C$103=1,CROQUIS!$C$142=1)))),"L = "&amp;TEXT(CROQUIS!$C$140/100,"0.00")&amp;" m desde el paño","—")</f>
        <v>—</v>
      </c>
    </row>
    <row r="657">
      <c r="A657" t="str">
        <f>IF(AND(CROQUIS!$C$87=1,CROQUIS!$C$91=1,CROQUIS!$C$148&gt;0),"P = "&amp;TEXT(CROQUIS!$C$148,"0.0")&amp;" kg/m","—")</f>
        <v>—</v>
      </c>
    </row>
    <row r="658">
      <c r="A658" t="str">
        <f>IF(AND(CROQUIS!$C$88=1),IF(CROQUIS!$C$91=1,"Volado y parte del tablero de respaldo","Losa ‖ corto (corte continuo donde el borde es continuo)")&amp;" — escala vertical ×"&amp;CROQUIS!$C$172,"—")</f>
        <v>—</v>
      </c>
    </row>
    <row r="659">
      <c r="A659" t="str">
        <f>IF(AND(CROQUIS!$C$88=1),"Apoyos (b_p = "&amp;DATOS!$C$84&amp;" cm)","—")</f>
        <v>—</v>
      </c>
    </row>
    <row r="660">
      <c r="A660" t="str">
        <f>IF(AND(CROQUIS!$C$88=1),"Inferior ‖ corto: "&amp;CROQUIS!$C$127,"—")</f>
        <v>—</v>
      </c>
    </row>
    <row r="661">
      <c r="A661" t="str">
        <f>IF(AND(CROQUIS!$C$88=1,CROQUIS!$C$91=1),"Superior del volado: No. "&amp;CROQUIS!$C$128&amp;" @ "&amp;CROQUIS!$C$130&amp;" cm","—")</f>
        <v>—</v>
      </c>
    </row>
    <row r="662">
      <c r="A662" t="str">
        <f>IF(AND(CROQUIS!$C$88=1,CROQUIS!$C$91=0,CROQUIS!$C$130&gt;0,OR(CROQUIS!$C$103=1,CROQUIS!$C$142=1)),"Bastones ‖ corto: No. "&amp;CROQUIS!$C$128&amp;" @ "&amp;CROQUIS!$C$130&amp;" cm, L = "&amp;TEXT(CROQUIS!$C$140/100,"0.00")&amp;" m desde el paño","—")</f>
        <v>—</v>
      </c>
    </row>
    <row r="663">
      <c r="A663" t="str">
        <f>IF(AND(CROQUIS!$C$88=1),IF(CROQUIS!$C$91=1,"Volado: "&amp;TEXT(CROQUIS!$C$97/100,"0.00")&amp;" m del eje del apoyo a la orilla","a1 = "&amp;TEXT(CROQUIS!$C$97/100,"0.00")&amp;" m (a ejes)"),"—")</f>
        <v>—</v>
      </c>
    </row>
    <row r="664">
      <c r="A664" t="str">
        <f>IF(AND(CROQUIS!$C$88=1,OR(CROQUIS!$C$91=1,AND(CROQUIS!$C$130&gt;0,OR(CROQUIS!$C$103=1,CROQUIS!$C$142=1)))),"L = "&amp;TEXT(CROQUIS!$C$140/100,"0.00")&amp;" m desde el paño","—")</f>
        <v>—</v>
      </c>
    </row>
    <row r="665">
      <c r="A665" t="str">
        <f>IF(AND(CROQUIS!$C$88=1,CROQUIS!$C$91=1,CROQUIS!$C$148&gt;0),"P = "&amp;TEXT(CROQUIS!$C$148,"0.0")&amp;" kg/m","—")</f>
        <v>—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2026-10-23T03:28:22Z</dcterms:created>
  <dcterms:modified xmlns:dcterms="http://purl.org/dc/terms/" xmlns:xsi="http://www.w3.org/2001/XMLSchema-instance" xsi:type="dcterms:W3CDTF">2026-10-23T03:28:24Z</dcterms:modified>
</cp:coreProperties>
</file>